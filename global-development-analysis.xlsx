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16"/>
  <workbookPr hidePivotFieldList="1" defaultThemeVersion="166925"/>
  <xr:revisionPtr revIDLastSave="806" documentId="11_E60897F41BE170836B02CE998F75CCDC64E183C8" xr6:coauthVersionLast="47" xr6:coauthVersionMax="47" xr10:uidLastSave="{DDEB7AF2-885D-4C66-B609-1528210A85BF}"/>
  <bookViews>
    <workbookView xWindow="240" yWindow="105" windowWidth="14805" windowHeight="8010" firstSheet="7" activeTab="3" xr2:uid="{00000000-000D-0000-FFFF-FFFF00000000}"/>
  </bookViews>
  <sheets>
    <sheet name="raw_data" sheetId="1" r:id="rId1"/>
    <sheet name="cleaned_data" sheetId="2" r:id="rId2"/>
    <sheet name="quality_checks" sheetId="3" r:id="rId3"/>
    <sheet name="calculated_fields" sheetId="4" r:id="rId4"/>
    <sheet name="pivot_analysis" sheetId="5" r:id="rId5"/>
    <sheet name="charts" sheetId="6" r:id="rId6"/>
    <sheet name="dashboard" sheetId="7" r:id="rId7"/>
    <sheet name="Insights_Report" sheetId="8" r:id="rId8"/>
  </sheets>
  <calcPr calcId="191028"/>
  <pivotCaches>
    <pivotCache cacheId="5"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9" i="4" l="1"/>
  <c r="B18" i="4"/>
  <c r="B17" i="4"/>
  <c r="B16" i="4"/>
  <c r="B15" i="4"/>
  <c r="C10" i="4"/>
  <c r="C7" i="4"/>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5002" i="2"/>
  <c r="P5003" i="2"/>
  <c r="P5004" i="2"/>
  <c r="P5005" i="2"/>
  <c r="P5006" i="2"/>
  <c r="P5007" i="2"/>
  <c r="P5008" i="2"/>
  <c r="P5009" i="2"/>
  <c r="P5010" i="2"/>
  <c r="P5011" i="2"/>
  <c r="P5012" i="2"/>
  <c r="P5013" i="2"/>
  <c r="P5014" i="2"/>
  <c r="P5015" i="2"/>
  <c r="P5016" i="2"/>
  <c r="P5017" i="2"/>
  <c r="P5018" i="2"/>
  <c r="P5019" i="2"/>
  <c r="P5020" i="2"/>
  <c r="P5021" i="2"/>
  <c r="P5022" i="2"/>
  <c r="P5023" i="2"/>
  <c r="P5024" i="2"/>
  <c r="P5025" i="2"/>
  <c r="P5026" i="2"/>
  <c r="P5027" i="2"/>
  <c r="P5028" i="2"/>
  <c r="P5029" i="2"/>
  <c r="P5030" i="2"/>
  <c r="P5031" i="2"/>
  <c r="P5032" i="2"/>
  <c r="P5033" i="2"/>
  <c r="P5034" i="2"/>
  <c r="P5035" i="2"/>
  <c r="P5036" i="2"/>
  <c r="P5037" i="2"/>
  <c r="P5038" i="2"/>
  <c r="P5039" i="2"/>
  <c r="P5040" i="2"/>
  <c r="P5041" i="2"/>
  <c r="P5042" i="2"/>
  <c r="P5043" i="2"/>
  <c r="P5044" i="2"/>
  <c r="P5045" i="2"/>
  <c r="P5046" i="2"/>
  <c r="P5047" i="2"/>
  <c r="P5048" i="2"/>
  <c r="P5049" i="2"/>
  <c r="P5050" i="2"/>
  <c r="P5051" i="2"/>
  <c r="P5052" i="2"/>
  <c r="P5053" i="2"/>
  <c r="P5054" i="2"/>
  <c r="P5055" i="2"/>
  <c r="P5056" i="2"/>
  <c r="P5057" i="2"/>
  <c r="P5058" i="2"/>
  <c r="P5059" i="2"/>
  <c r="P5060" i="2"/>
  <c r="P5061" i="2"/>
  <c r="P5062" i="2"/>
  <c r="P5063" i="2"/>
  <c r="P5064" i="2"/>
  <c r="P5065" i="2"/>
  <c r="P5066" i="2"/>
  <c r="P5067" i="2"/>
  <c r="P5068" i="2"/>
  <c r="P5069" i="2"/>
  <c r="P5070" i="2"/>
  <c r="P5071" i="2"/>
  <c r="P5072" i="2"/>
  <c r="P5073" i="2"/>
  <c r="P5074" i="2"/>
  <c r="P5075" i="2"/>
  <c r="P5076" i="2"/>
  <c r="P5077" i="2"/>
  <c r="P5078" i="2"/>
  <c r="P5079" i="2"/>
  <c r="P5080" i="2"/>
  <c r="P5081" i="2"/>
  <c r="P5082" i="2"/>
  <c r="P5083" i="2"/>
  <c r="P5084" i="2"/>
  <c r="P5085" i="2"/>
  <c r="P5086" i="2"/>
  <c r="P5087" i="2"/>
  <c r="P5088" i="2"/>
  <c r="P5089" i="2"/>
  <c r="P5090" i="2"/>
  <c r="P5091" i="2"/>
  <c r="P5092" i="2"/>
  <c r="P5093" i="2"/>
  <c r="P5094" i="2"/>
  <c r="P5095" i="2"/>
  <c r="P5096" i="2"/>
  <c r="P5097" i="2"/>
  <c r="P5098" i="2"/>
  <c r="P5099" i="2"/>
  <c r="P5100" i="2"/>
  <c r="P5101" i="2"/>
  <c r="P5102" i="2"/>
  <c r="P5103" i="2"/>
  <c r="P5104" i="2"/>
  <c r="P5105" i="2"/>
  <c r="P5106" i="2"/>
  <c r="P5107" i="2"/>
  <c r="P5108" i="2"/>
  <c r="P5109" i="2"/>
  <c r="P5110" i="2"/>
  <c r="P5111" i="2"/>
  <c r="P5112" i="2"/>
  <c r="P5113"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N5003" i="2"/>
  <c r="N5004" i="2"/>
  <c r="N5005" i="2"/>
  <c r="N5006" i="2"/>
  <c r="N5007" i="2"/>
  <c r="N5008" i="2"/>
  <c r="N5009" i="2"/>
  <c r="N5010" i="2"/>
  <c r="N5011" i="2"/>
  <c r="N5012" i="2"/>
  <c r="N5013" i="2"/>
  <c r="N5014" i="2"/>
  <c r="N5015" i="2"/>
  <c r="N5016" i="2"/>
  <c r="N5017" i="2"/>
  <c r="N5018" i="2"/>
  <c r="N5019" i="2"/>
  <c r="N5020" i="2"/>
  <c r="N5021" i="2"/>
  <c r="N5022" i="2"/>
  <c r="N5023" i="2"/>
  <c r="N5024" i="2"/>
  <c r="N5025" i="2"/>
  <c r="N5026" i="2"/>
  <c r="N5027" i="2"/>
  <c r="N5028" i="2"/>
  <c r="N5029" i="2"/>
  <c r="N5030" i="2"/>
  <c r="N5031" i="2"/>
  <c r="N5032" i="2"/>
  <c r="N5033" i="2"/>
  <c r="N5034" i="2"/>
  <c r="N5035" i="2"/>
  <c r="N5036" i="2"/>
  <c r="N5037" i="2"/>
  <c r="N5038" i="2"/>
  <c r="N5039" i="2"/>
  <c r="N5040" i="2"/>
  <c r="N5041" i="2"/>
  <c r="N5042" i="2"/>
  <c r="N5043" i="2"/>
  <c r="N5044" i="2"/>
  <c r="N5045" i="2"/>
  <c r="N5046" i="2"/>
  <c r="N5047" i="2"/>
  <c r="N5048" i="2"/>
  <c r="N5049" i="2"/>
  <c r="N5050" i="2"/>
  <c r="N5051" i="2"/>
  <c r="N5052" i="2"/>
  <c r="N5053" i="2"/>
  <c r="N5054" i="2"/>
  <c r="N5055" i="2"/>
  <c r="N5056" i="2"/>
  <c r="N5057" i="2"/>
  <c r="N5058" i="2"/>
  <c r="N5059" i="2"/>
  <c r="N5060" i="2"/>
  <c r="N5061" i="2"/>
  <c r="N5062" i="2"/>
  <c r="N5063" i="2"/>
  <c r="N5064" i="2"/>
  <c r="N5065" i="2"/>
  <c r="N5066" i="2"/>
  <c r="N5067" i="2"/>
  <c r="N5068" i="2"/>
  <c r="N5069" i="2"/>
  <c r="N5070" i="2"/>
  <c r="N5071" i="2"/>
  <c r="N5072" i="2"/>
  <c r="N5073" i="2"/>
  <c r="N5074" i="2"/>
  <c r="N5075" i="2"/>
  <c r="N5076" i="2"/>
  <c r="N5077" i="2"/>
  <c r="N5078" i="2"/>
  <c r="N5079" i="2"/>
  <c r="N5080" i="2"/>
  <c r="N5081" i="2"/>
  <c r="N5082" i="2"/>
  <c r="N5083" i="2"/>
  <c r="N5084" i="2"/>
  <c r="N5085" i="2"/>
  <c r="N5086" i="2"/>
  <c r="N5087" i="2"/>
  <c r="N5088" i="2"/>
  <c r="N5089" i="2"/>
  <c r="N5090" i="2"/>
  <c r="N5091" i="2"/>
  <c r="N5092" i="2"/>
  <c r="N5093" i="2"/>
  <c r="N5094" i="2"/>
  <c r="N5095" i="2"/>
  <c r="N5096" i="2"/>
  <c r="N5097" i="2"/>
  <c r="N5098" i="2"/>
  <c r="N5099" i="2"/>
  <c r="N5100" i="2"/>
  <c r="N5101" i="2"/>
  <c r="N5102" i="2"/>
  <c r="N5103" i="2"/>
  <c r="N5104" i="2"/>
  <c r="N5105" i="2"/>
  <c r="N5106" i="2"/>
  <c r="N5107" i="2"/>
  <c r="N5108" i="2"/>
  <c r="N5109" i="2"/>
  <c r="N5110" i="2"/>
  <c r="N5111" i="2"/>
  <c r="N5112" i="2"/>
  <c r="N5113"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5002" i="2"/>
  <c r="M5003" i="2"/>
  <c r="M5004" i="2"/>
  <c r="M5005" i="2"/>
  <c r="M5006" i="2"/>
  <c r="M5007" i="2"/>
  <c r="M5008" i="2"/>
  <c r="M5009" i="2"/>
  <c r="M5010" i="2"/>
  <c r="M5011" i="2"/>
  <c r="M5012" i="2"/>
  <c r="M5013" i="2"/>
  <c r="M5014" i="2"/>
  <c r="M5015" i="2"/>
  <c r="M5016" i="2"/>
  <c r="M5017" i="2"/>
  <c r="M5018" i="2"/>
  <c r="M5019" i="2"/>
  <c r="M5020" i="2"/>
  <c r="M5021" i="2"/>
  <c r="M5022" i="2"/>
  <c r="M5023" i="2"/>
  <c r="M5024" i="2"/>
  <c r="M5025" i="2"/>
  <c r="M5026" i="2"/>
  <c r="M5027" i="2"/>
  <c r="M5028" i="2"/>
  <c r="M5029" i="2"/>
  <c r="M5030" i="2"/>
  <c r="M5031" i="2"/>
  <c r="M5032" i="2"/>
  <c r="M5033" i="2"/>
  <c r="M5034" i="2"/>
  <c r="M5035" i="2"/>
  <c r="M5036" i="2"/>
  <c r="M5037" i="2"/>
  <c r="M5038" i="2"/>
  <c r="M5039" i="2"/>
  <c r="M5040" i="2"/>
  <c r="M5041" i="2"/>
  <c r="M5042" i="2"/>
  <c r="M5043" i="2"/>
  <c r="M5044" i="2"/>
  <c r="M5045" i="2"/>
  <c r="M5046" i="2"/>
  <c r="M5047" i="2"/>
  <c r="M5048" i="2"/>
  <c r="M5049" i="2"/>
  <c r="M5050" i="2"/>
  <c r="M5051" i="2"/>
  <c r="M5052" i="2"/>
  <c r="M5053" i="2"/>
  <c r="M5054" i="2"/>
  <c r="M5055" i="2"/>
  <c r="M5056" i="2"/>
  <c r="M5057" i="2"/>
  <c r="M5058" i="2"/>
  <c r="M5059" i="2"/>
  <c r="M5060" i="2"/>
  <c r="M5061" i="2"/>
  <c r="M5062" i="2"/>
  <c r="M5063" i="2"/>
  <c r="M5064" i="2"/>
  <c r="M5065" i="2"/>
  <c r="M5066" i="2"/>
  <c r="M5067" i="2"/>
  <c r="M5068" i="2"/>
  <c r="M5069" i="2"/>
  <c r="M5070" i="2"/>
  <c r="M5071" i="2"/>
  <c r="M5072" i="2"/>
  <c r="M5073" i="2"/>
  <c r="M5074" i="2"/>
  <c r="M5075" i="2"/>
  <c r="M5076" i="2"/>
  <c r="M5077" i="2"/>
  <c r="M5078" i="2"/>
  <c r="M5079" i="2"/>
  <c r="M5080" i="2"/>
  <c r="M5081" i="2"/>
  <c r="M5082" i="2"/>
  <c r="M5083" i="2"/>
  <c r="M5084" i="2"/>
  <c r="M5085" i="2"/>
  <c r="M5086" i="2"/>
  <c r="M5087" i="2"/>
  <c r="M5088" i="2"/>
  <c r="M5089" i="2"/>
  <c r="M5090" i="2"/>
  <c r="M5091" i="2"/>
  <c r="M5092" i="2"/>
  <c r="M5093" i="2"/>
  <c r="M5094" i="2"/>
  <c r="M5095" i="2"/>
  <c r="M5096" i="2"/>
  <c r="M5097" i="2"/>
  <c r="M5098" i="2"/>
  <c r="M5099" i="2"/>
  <c r="M5100" i="2"/>
  <c r="M5101" i="2"/>
  <c r="M5102" i="2"/>
  <c r="M5103" i="2"/>
  <c r="M5104" i="2"/>
  <c r="M5105" i="2"/>
  <c r="M5106" i="2"/>
  <c r="M5107" i="2"/>
  <c r="M5108" i="2"/>
  <c r="M5109" i="2"/>
  <c r="M5110" i="2"/>
  <c r="M5111" i="2"/>
  <c r="M5112" i="2"/>
  <c r="M5113" i="2"/>
  <c r="C12" i="3"/>
  <c r="C11" i="3"/>
  <c r="C10" i="3"/>
  <c r="C9" i="3"/>
  <c r="C8" i="3"/>
  <c r="C7" i="3"/>
  <c r="C6" i="3"/>
  <c r="C5" i="3"/>
  <c r="C4" i="3"/>
  <c r="C13" i="3" l="1"/>
</calcChain>
</file>

<file path=xl/sharedStrings.xml><?xml version="1.0" encoding="utf-8"?>
<sst xmlns="http://schemas.openxmlformats.org/spreadsheetml/2006/main" count="102414" uniqueCount="7090">
  <si>
    <t>Observation_ID</t>
  </si>
  <si>
    <t>Country</t>
  </si>
  <si>
    <t>Continent</t>
  </si>
  <si>
    <t>Year</t>
  </si>
  <si>
    <t>Indicator_Code</t>
  </si>
  <si>
    <t>Indicator_Name</t>
  </si>
  <si>
    <t>Development_Dimension</t>
  </si>
  <si>
    <t>SDG_Link</t>
  </si>
  <si>
    <t>Value</t>
  </si>
  <si>
    <t>Unit</t>
  </si>
  <si>
    <t>Country_Year_Key</t>
  </si>
  <si>
    <t>Source_Note</t>
  </si>
  <si>
    <t>GM-00001</t>
  </si>
  <si>
    <t>Afghanistan</t>
  </si>
  <si>
    <t>Asia</t>
  </si>
  <si>
    <t>LIFE_EXP</t>
  </si>
  <si>
    <t>Life expectancy at birth</t>
  </si>
  <si>
    <t>Health</t>
  </si>
  <si>
    <t>SDG 3: Good Health and Well-being</t>
  </si>
  <si>
    <t>Years</t>
  </si>
  <si>
    <t>Afghanistan|1952</t>
  </si>
  <si>
    <t>Gapminder/Plotly country-year extract reshaped to long indicator format for education</t>
  </si>
  <si>
    <t>GM-00002</t>
  </si>
  <si>
    <t>POP_TOTAL</t>
  </si>
  <si>
    <t>Population, total</t>
  </si>
  <si>
    <t>Demographics</t>
  </si>
  <si>
    <t>SDG 11: Sustainable Cities and Communities</t>
  </si>
  <si>
    <t>People</t>
  </si>
  <si>
    <t>GM-00003</t>
  </si>
  <si>
    <t>GDP_PC</t>
  </si>
  <si>
    <t>GDP per capita</t>
  </si>
  <si>
    <t>Economy</t>
  </si>
  <si>
    <t>SDG 8: Decent Work and Economic Growth</t>
  </si>
  <si>
    <t>Source-defined international dollars</t>
  </si>
  <si>
    <t>GM-00004</t>
  </si>
  <si>
    <t>Afghanistan|1957</t>
  </si>
  <si>
    <t>GM-00005</t>
  </si>
  <si>
    <t>GM-00006</t>
  </si>
  <si>
    <t>GM-00007</t>
  </si>
  <si>
    <t>Afghanistan|1962</t>
  </si>
  <si>
    <t>GM-00008</t>
  </si>
  <si>
    <t>GM-00009</t>
  </si>
  <si>
    <t>GM-00010</t>
  </si>
  <si>
    <t>Afghanistan|1967</t>
  </si>
  <si>
    <t>GM-00011</t>
  </si>
  <si>
    <t>GM-00012</t>
  </si>
  <si>
    <t>GM-00013</t>
  </si>
  <si>
    <t>Afghanistan|1972</t>
  </si>
  <si>
    <t>GM-00014</t>
  </si>
  <si>
    <t>GM-00015</t>
  </si>
  <si>
    <t>GM-00016</t>
  </si>
  <si>
    <t>Afghanistan|1977</t>
  </si>
  <si>
    <t>GM-00017</t>
  </si>
  <si>
    <t>GM-00018</t>
  </si>
  <si>
    <t>GM-00019</t>
  </si>
  <si>
    <t>Afghanistan|1982</t>
  </si>
  <si>
    <t>GM-00020</t>
  </si>
  <si>
    <t>GM-00021</t>
  </si>
  <si>
    <t>GM-00022</t>
  </si>
  <si>
    <t>Afghanistan|1987</t>
  </si>
  <si>
    <t>GM-00023</t>
  </si>
  <si>
    <t>GM-00024</t>
  </si>
  <si>
    <t>GM-00025</t>
  </si>
  <si>
    <t>Afghanistan|1992</t>
  </si>
  <si>
    <t>GM-00026</t>
  </si>
  <si>
    <t>GM-00027</t>
  </si>
  <si>
    <t>GM-00028</t>
  </si>
  <si>
    <t>Afghanistan|1997</t>
  </si>
  <si>
    <t>GM-00029</t>
  </si>
  <si>
    <t>GM-00030</t>
  </si>
  <si>
    <t>GM-00031</t>
  </si>
  <si>
    <t>Afghanistan|2002</t>
  </si>
  <si>
    <t>GM-00032</t>
  </si>
  <si>
    <t>GM-00033</t>
  </si>
  <si>
    <t>GM-00034</t>
  </si>
  <si>
    <t>Afghanistan|2007</t>
  </si>
  <si>
    <t>GM-00035</t>
  </si>
  <si>
    <t>GM-00036</t>
  </si>
  <si>
    <t>GM-00037</t>
  </si>
  <si>
    <t>Albania</t>
  </si>
  <si>
    <t>Europe</t>
  </si>
  <si>
    <t>Albania|1952</t>
  </si>
  <si>
    <t>GM-00038</t>
  </si>
  <si>
    <t>GM-00039</t>
  </si>
  <si>
    <t>GM-00040</t>
  </si>
  <si>
    <t>Albania|1957</t>
  </si>
  <si>
    <t>GM-00041</t>
  </si>
  <si>
    <t>GM-00042</t>
  </si>
  <si>
    <t>GM-00043</t>
  </si>
  <si>
    <t>Albania|1962</t>
  </si>
  <si>
    <t>GM-00044</t>
  </si>
  <si>
    <t>GM-00045</t>
  </si>
  <si>
    <t>GM-00046</t>
  </si>
  <si>
    <t>Albania|1967</t>
  </si>
  <si>
    <t>GM-00047</t>
  </si>
  <si>
    <t>GM-00048</t>
  </si>
  <si>
    <t>GM-00049</t>
  </si>
  <si>
    <t>Albania|1972</t>
  </si>
  <si>
    <t>GM-00050</t>
  </si>
  <si>
    <t>GM-00051</t>
  </si>
  <si>
    <t>GM-00052</t>
  </si>
  <si>
    <t>Albania|1977</t>
  </si>
  <si>
    <t>GM-00053</t>
  </si>
  <si>
    <t>GM-00054</t>
  </si>
  <si>
    <t>GM-00055</t>
  </si>
  <si>
    <t>Albania|1982</t>
  </si>
  <si>
    <t>GM-00056</t>
  </si>
  <si>
    <t>GM-00057</t>
  </si>
  <si>
    <t>GM-00058</t>
  </si>
  <si>
    <t>Albania|1987</t>
  </si>
  <si>
    <t>GM-00059</t>
  </si>
  <si>
    <t>GM-00060</t>
  </si>
  <si>
    <t>GM-00061</t>
  </si>
  <si>
    <t>Albania|1992</t>
  </si>
  <si>
    <t>GM-00062</t>
  </si>
  <si>
    <t>GM-00063</t>
  </si>
  <si>
    <t>GM-00064</t>
  </si>
  <si>
    <t>Albania|1997</t>
  </si>
  <si>
    <t>GM-00065</t>
  </si>
  <si>
    <t>GM-00066</t>
  </si>
  <si>
    <t>GM-00067</t>
  </si>
  <si>
    <t>Albania|2002</t>
  </si>
  <si>
    <t>GM-00068</t>
  </si>
  <si>
    <t>GM-00069</t>
  </si>
  <si>
    <t>GM-00070</t>
  </si>
  <si>
    <t>Albania|2007</t>
  </si>
  <si>
    <t>GM-00071</t>
  </si>
  <si>
    <t>GM-00072</t>
  </si>
  <si>
    <t>GM-00073</t>
  </si>
  <si>
    <t>Algeria</t>
  </si>
  <si>
    <t>Africa</t>
  </si>
  <si>
    <t>Algeria|1952</t>
  </si>
  <si>
    <t>GM-00074</t>
  </si>
  <si>
    <t>GM-00075</t>
  </si>
  <si>
    <t>GM-00076</t>
  </si>
  <si>
    <t>Algeria|1957</t>
  </si>
  <si>
    <t>GM-00077</t>
  </si>
  <si>
    <t>GM-00078</t>
  </si>
  <si>
    <t>GM-00079</t>
  </si>
  <si>
    <t>Algeria|1962</t>
  </si>
  <si>
    <t>GM-00080</t>
  </si>
  <si>
    <t>GM-00081</t>
  </si>
  <si>
    <t>GM-00082</t>
  </si>
  <si>
    <t>Algeria|1967</t>
  </si>
  <si>
    <t>GM-00083</t>
  </si>
  <si>
    <t>GM-00084</t>
  </si>
  <si>
    <t>GM-00085</t>
  </si>
  <si>
    <t>Algeria|1972</t>
  </si>
  <si>
    <t>GM-00086</t>
  </si>
  <si>
    <t>GM-00087</t>
  </si>
  <si>
    <t>GM-00088</t>
  </si>
  <si>
    <t>Algeria|1977</t>
  </si>
  <si>
    <t>GM-00089</t>
  </si>
  <si>
    <t>GM-00090</t>
  </si>
  <si>
    <t>GM-00091</t>
  </si>
  <si>
    <t>Algeria|1982</t>
  </si>
  <si>
    <t>GM-00092</t>
  </si>
  <si>
    <t>GM-00093</t>
  </si>
  <si>
    <t>GM-00094</t>
  </si>
  <si>
    <t>Algeria|1987</t>
  </si>
  <si>
    <t>GM-00095</t>
  </si>
  <si>
    <t>GM-00096</t>
  </si>
  <si>
    <t>GM-00097</t>
  </si>
  <si>
    <t>Algeria|1992</t>
  </si>
  <si>
    <t>GM-00098</t>
  </si>
  <si>
    <t>GM-00099</t>
  </si>
  <si>
    <t>GM-00100</t>
  </si>
  <si>
    <t>Algeria|1997</t>
  </si>
  <si>
    <t>GM-00101</t>
  </si>
  <si>
    <t>GM-00102</t>
  </si>
  <si>
    <t>GM-00103</t>
  </si>
  <si>
    <t>Algeria|2002</t>
  </si>
  <si>
    <t>GM-00104</t>
  </si>
  <si>
    <t>GM-00105</t>
  </si>
  <si>
    <t>GM-00106</t>
  </si>
  <si>
    <t>Algeria|2007</t>
  </si>
  <si>
    <t>GM-00107</t>
  </si>
  <si>
    <t>GM-00108</t>
  </si>
  <si>
    <t>GM-00109</t>
  </si>
  <si>
    <t>Angola</t>
  </si>
  <si>
    <t>Angola|1952</t>
  </si>
  <si>
    <t>GM-00110</t>
  </si>
  <si>
    <t>GM-00111</t>
  </si>
  <si>
    <t>GM-00112</t>
  </si>
  <si>
    <t>Angola|1957</t>
  </si>
  <si>
    <t>GM-00113</t>
  </si>
  <si>
    <t>GM-00114</t>
  </si>
  <si>
    <t>GM-00115</t>
  </si>
  <si>
    <t>Angola|1962</t>
  </si>
  <si>
    <t>GM-00116</t>
  </si>
  <si>
    <t>GM-00117</t>
  </si>
  <si>
    <t>GM-00118</t>
  </si>
  <si>
    <t>Angola|1967</t>
  </si>
  <si>
    <t>GM-00119</t>
  </si>
  <si>
    <t>GM-00120</t>
  </si>
  <si>
    <t>GM-00121</t>
  </si>
  <si>
    <t>Angola|1972</t>
  </si>
  <si>
    <t>GM-00122</t>
  </si>
  <si>
    <t>GM-00123</t>
  </si>
  <si>
    <t>GM-00124</t>
  </si>
  <si>
    <t>Angola|1977</t>
  </si>
  <si>
    <t>GM-00125</t>
  </si>
  <si>
    <t>GM-00126</t>
  </si>
  <si>
    <t>GM-00127</t>
  </si>
  <si>
    <t>Angola|1982</t>
  </si>
  <si>
    <t>GM-00128</t>
  </si>
  <si>
    <t>GM-00129</t>
  </si>
  <si>
    <t>GM-00130</t>
  </si>
  <si>
    <t>Angola|1987</t>
  </si>
  <si>
    <t>GM-00131</t>
  </si>
  <si>
    <t>GM-00132</t>
  </si>
  <si>
    <t>GM-00133</t>
  </si>
  <si>
    <t>Angola|1992</t>
  </si>
  <si>
    <t>GM-00134</t>
  </si>
  <si>
    <t>GM-00135</t>
  </si>
  <si>
    <t>GM-00136</t>
  </si>
  <si>
    <t>Angola|1997</t>
  </si>
  <si>
    <t>GM-00137</t>
  </si>
  <si>
    <t>GM-00138</t>
  </si>
  <si>
    <t>GM-00139</t>
  </si>
  <si>
    <t>Angola|2002</t>
  </si>
  <si>
    <t>GM-00140</t>
  </si>
  <si>
    <t>GM-00141</t>
  </si>
  <si>
    <t>GM-00142</t>
  </si>
  <si>
    <t>Angola|2007</t>
  </si>
  <si>
    <t>GM-00143</t>
  </si>
  <si>
    <t>GM-00144</t>
  </si>
  <si>
    <t>GM-00145</t>
  </si>
  <si>
    <t>Argentina</t>
  </si>
  <si>
    <t>Americas</t>
  </si>
  <si>
    <t>Argentina|1952</t>
  </si>
  <si>
    <t>GM-00146</t>
  </si>
  <si>
    <t>GM-00147</t>
  </si>
  <si>
    <t>GM-00148</t>
  </si>
  <si>
    <t>Argentina|1957</t>
  </si>
  <si>
    <t>GM-00149</t>
  </si>
  <si>
    <t>GM-00150</t>
  </si>
  <si>
    <t>GM-00151</t>
  </si>
  <si>
    <t>Argentina|1962</t>
  </si>
  <si>
    <t>GM-00152</t>
  </si>
  <si>
    <t>GM-00153</t>
  </si>
  <si>
    <t>GM-00154</t>
  </si>
  <si>
    <t>Argentina|1967</t>
  </si>
  <si>
    <t>GM-00155</t>
  </si>
  <si>
    <t>GM-00156</t>
  </si>
  <si>
    <t>GM-00157</t>
  </si>
  <si>
    <t>Argentina|1972</t>
  </si>
  <si>
    <t>GM-00158</t>
  </si>
  <si>
    <t>GM-00159</t>
  </si>
  <si>
    <t>GM-00160</t>
  </si>
  <si>
    <t>Argentina|1977</t>
  </si>
  <si>
    <t>GM-00161</t>
  </si>
  <si>
    <t>GM-00162</t>
  </si>
  <si>
    <t>GM-00163</t>
  </si>
  <si>
    <t>Argentina|1982</t>
  </si>
  <si>
    <t>GM-00164</t>
  </si>
  <si>
    <t>GM-00165</t>
  </si>
  <si>
    <t>GM-00166</t>
  </si>
  <si>
    <t>Argentina|1987</t>
  </si>
  <si>
    <t>GM-00167</t>
  </si>
  <si>
    <t>GM-00168</t>
  </si>
  <si>
    <t>GM-00169</t>
  </si>
  <si>
    <t>Argentina|1992</t>
  </si>
  <si>
    <t>GM-00170</t>
  </si>
  <si>
    <t>GM-00171</t>
  </si>
  <si>
    <t>GM-00172</t>
  </si>
  <si>
    <t>Argentina|1997</t>
  </si>
  <si>
    <t>GM-00173</t>
  </si>
  <si>
    <t>GM-00174</t>
  </si>
  <si>
    <t>GM-00175</t>
  </si>
  <si>
    <t>Argentina|2002</t>
  </si>
  <si>
    <t>GM-00176</t>
  </si>
  <si>
    <t>GM-00177</t>
  </si>
  <si>
    <t>GM-00178</t>
  </si>
  <si>
    <t>Argentina|2007</t>
  </si>
  <si>
    <t>GM-00179</t>
  </si>
  <si>
    <t>GM-00180</t>
  </si>
  <si>
    <t>GM-00181</t>
  </si>
  <si>
    <t>Australia</t>
  </si>
  <si>
    <t>Oceania</t>
  </si>
  <si>
    <t>Australia|1952</t>
  </si>
  <si>
    <t>GM-00182</t>
  </si>
  <si>
    <t>GM-00183</t>
  </si>
  <si>
    <t>GM-00184</t>
  </si>
  <si>
    <t>Australia|1957</t>
  </si>
  <si>
    <t>GM-00185</t>
  </si>
  <si>
    <t>GM-00186</t>
  </si>
  <si>
    <t>GM-00187</t>
  </si>
  <si>
    <t>Australia|1962</t>
  </si>
  <si>
    <t>GM-00188</t>
  </si>
  <si>
    <t>GM-00189</t>
  </si>
  <si>
    <t>GM-00190</t>
  </si>
  <si>
    <t>Australia|1967</t>
  </si>
  <si>
    <t>GM-00191</t>
  </si>
  <si>
    <t>GM-00192</t>
  </si>
  <si>
    <t>GM-00193</t>
  </si>
  <si>
    <t>Australia|1972</t>
  </si>
  <si>
    <t>GM-00194</t>
  </si>
  <si>
    <t>GM-00195</t>
  </si>
  <si>
    <t>GM-00196</t>
  </si>
  <si>
    <t>Australia|1977</t>
  </si>
  <si>
    <t>GM-00197</t>
  </si>
  <si>
    <t>GM-00198</t>
  </si>
  <si>
    <t>GM-00199</t>
  </si>
  <si>
    <t>Australia|1982</t>
  </si>
  <si>
    <t>GM-00200</t>
  </si>
  <si>
    <t>GM-00201</t>
  </si>
  <si>
    <t>GM-00202</t>
  </si>
  <si>
    <t>Australia|1987</t>
  </si>
  <si>
    <t>GM-00203</t>
  </si>
  <si>
    <t>GM-00204</t>
  </si>
  <si>
    <t>GM-00205</t>
  </si>
  <si>
    <t>Australia|1992</t>
  </si>
  <si>
    <t>GM-00206</t>
  </si>
  <si>
    <t>GM-00207</t>
  </si>
  <si>
    <t>GM-00208</t>
  </si>
  <si>
    <t>Australia|1997</t>
  </si>
  <si>
    <t>GM-00209</t>
  </si>
  <si>
    <t>GM-00210</t>
  </si>
  <si>
    <t>GM-00211</t>
  </si>
  <si>
    <t>Australia|2002</t>
  </si>
  <si>
    <t>GM-00212</t>
  </si>
  <si>
    <t>GM-00213</t>
  </si>
  <si>
    <t>GM-00214</t>
  </si>
  <si>
    <t>Australia|2007</t>
  </si>
  <si>
    <t>GM-00215</t>
  </si>
  <si>
    <t>GM-00216</t>
  </si>
  <si>
    <t>GM-00217</t>
  </si>
  <si>
    <t>Austria</t>
  </si>
  <si>
    <t>Austria|1952</t>
  </si>
  <si>
    <t>GM-00218</t>
  </si>
  <si>
    <t>GM-00219</t>
  </si>
  <si>
    <t>GM-00220</t>
  </si>
  <si>
    <t>Austria|1957</t>
  </si>
  <si>
    <t>GM-00221</t>
  </si>
  <si>
    <t>GM-00222</t>
  </si>
  <si>
    <t>GM-00223</t>
  </si>
  <si>
    <t>Austria|1962</t>
  </si>
  <si>
    <t>GM-00224</t>
  </si>
  <si>
    <t>GM-00225</t>
  </si>
  <si>
    <t>GM-00226</t>
  </si>
  <si>
    <t>Austria|1967</t>
  </si>
  <si>
    <t>GM-00227</t>
  </si>
  <si>
    <t>GM-00228</t>
  </si>
  <si>
    <t>GM-00229</t>
  </si>
  <si>
    <t>Austria|1972</t>
  </si>
  <si>
    <t>GM-00230</t>
  </si>
  <si>
    <t>GM-00231</t>
  </si>
  <si>
    <t>GM-00232</t>
  </si>
  <si>
    <t>Austria|1977</t>
  </si>
  <si>
    <t>GM-00233</t>
  </si>
  <si>
    <t>GM-00234</t>
  </si>
  <si>
    <t>GM-00235</t>
  </si>
  <si>
    <t>Austria|1982</t>
  </si>
  <si>
    <t>GM-00236</t>
  </si>
  <si>
    <t>GM-00237</t>
  </si>
  <si>
    <t>GM-00238</t>
  </si>
  <si>
    <t>Austria|1987</t>
  </si>
  <si>
    <t>GM-00239</t>
  </si>
  <si>
    <t>GM-00240</t>
  </si>
  <si>
    <t>GM-00241</t>
  </si>
  <si>
    <t>Austria|1992</t>
  </si>
  <si>
    <t>GM-00242</t>
  </si>
  <si>
    <t>GM-00243</t>
  </si>
  <si>
    <t>GM-00244</t>
  </si>
  <si>
    <t>Austria|1997</t>
  </si>
  <si>
    <t>GM-00245</t>
  </si>
  <si>
    <t>GM-00246</t>
  </si>
  <si>
    <t>GM-00247</t>
  </si>
  <si>
    <t>Austria|2002</t>
  </si>
  <si>
    <t>GM-00248</t>
  </si>
  <si>
    <t>GM-00249</t>
  </si>
  <si>
    <t>GM-00250</t>
  </si>
  <si>
    <t>Austria|2007</t>
  </si>
  <si>
    <t>GM-00251</t>
  </si>
  <si>
    <t>GM-00252</t>
  </si>
  <si>
    <t>GM-00253</t>
  </si>
  <si>
    <t>Bahrain</t>
  </si>
  <si>
    <t>Bahrain|1952</t>
  </si>
  <si>
    <t>GM-00254</t>
  </si>
  <si>
    <t>GM-00255</t>
  </si>
  <si>
    <t>GM-00256</t>
  </si>
  <si>
    <t>Bahrain|1957</t>
  </si>
  <si>
    <t>GM-00257</t>
  </si>
  <si>
    <t>GM-00258</t>
  </si>
  <si>
    <t>GM-00259</t>
  </si>
  <si>
    <t>Bahrain|1962</t>
  </si>
  <si>
    <t>GM-00260</t>
  </si>
  <si>
    <t>GM-00261</t>
  </si>
  <si>
    <t>GM-00262</t>
  </si>
  <si>
    <t>Bahrain|1967</t>
  </si>
  <si>
    <t>GM-00263</t>
  </si>
  <si>
    <t>GM-00264</t>
  </si>
  <si>
    <t>GM-00265</t>
  </si>
  <si>
    <t>Bahrain|1972</t>
  </si>
  <si>
    <t>GM-00266</t>
  </si>
  <si>
    <t>GM-00267</t>
  </si>
  <si>
    <t>GM-00268</t>
  </si>
  <si>
    <t>Bahrain|1977</t>
  </si>
  <si>
    <t>GM-00269</t>
  </si>
  <si>
    <t>GM-00270</t>
  </si>
  <si>
    <t>GM-00271</t>
  </si>
  <si>
    <t>Bahrain|1982</t>
  </si>
  <si>
    <t>GM-00272</t>
  </si>
  <si>
    <t>GM-00273</t>
  </si>
  <si>
    <t>GM-00274</t>
  </si>
  <si>
    <t>Bahrain|1987</t>
  </si>
  <si>
    <t>GM-00275</t>
  </si>
  <si>
    <t>GM-00276</t>
  </si>
  <si>
    <t>GM-00277</t>
  </si>
  <si>
    <t>Bahrain|1992</t>
  </si>
  <si>
    <t>GM-00278</t>
  </si>
  <si>
    <t>GM-00279</t>
  </si>
  <si>
    <t>GM-00280</t>
  </si>
  <si>
    <t>Bahrain|1997</t>
  </si>
  <si>
    <t>GM-00281</t>
  </si>
  <si>
    <t>GM-00282</t>
  </si>
  <si>
    <t>GM-00283</t>
  </si>
  <si>
    <t>Bahrain|2002</t>
  </si>
  <si>
    <t>GM-00284</t>
  </si>
  <si>
    <t>GM-00285</t>
  </si>
  <si>
    <t>GM-00286</t>
  </si>
  <si>
    <t>Bahrain|2007</t>
  </si>
  <si>
    <t>GM-00287</t>
  </si>
  <si>
    <t>GM-00288</t>
  </si>
  <si>
    <t>GM-00289</t>
  </si>
  <si>
    <t>Bangladesh</t>
  </si>
  <si>
    <t>Bangladesh|1952</t>
  </si>
  <si>
    <t>GM-00290</t>
  </si>
  <si>
    <t>GM-00291</t>
  </si>
  <si>
    <t>GM-00292</t>
  </si>
  <si>
    <t>Bangladesh|1957</t>
  </si>
  <si>
    <t>GM-00293</t>
  </si>
  <si>
    <t>GM-00294</t>
  </si>
  <si>
    <t>GM-00295</t>
  </si>
  <si>
    <t>Bangladesh|1962</t>
  </si>
  <si>
    <t>GM-00296</t>
  </si>
  <si>
    <t>GM-00297</t>
  </si>
  <si>
    <t>GM-00298</t>
  </si>
  <si>
    <t>Bangladesh|1967</t>
  </si>
  <si>
    <t>GM-00299</t>
  </si>
  <si>
    <t>GM-00300</t>
  </si>
  <si>
    <t>GM-00301</t>
  </si>
  <si>
    <t>Bangladesh|1972</t>
  </si>
  <si>
    <t>GM-00302</t>
  </si>
  <si>
    <t>GM-00303</t>
  </si>
  <si>
    <t>GM-00304</t>
  </si>
  <si>
    <t>Bangladesh|1977</t>
  </si>
  <si>
    <t>GM-00305</t>
  </si>
  <si>
    <t>GM-00306</t>
  </si>
  <si>
    <t>GM-00307</t>
  </si>
  <si>
    <t>Bangladesh|1982</t>
  </si>
  <si>
    <t>GM-00308</t>
  </si>
  <si>
    <t>GM-00309</t>
  </si>
  <si>
    <t>GM-00310</t>
  </si>
  <si>
    <t>Bangladesh|1987</t>
  </si>
  <si>
    <t>GM-00311</t>
  </si>
  <si>
    <t>GM-00312</t>
  </si>
  <si>
    <t>GM-00313</t>
  </si>
  <si>
    <t>Bangladesh|1992</t>
  </si>
  <si>
    <t>GM-00314</t>
  </si>
  <si>
    <t>GM-00315</t>
  </si>
  <si>
    <t>GM-00316</t>
  </si>
  <si>
    <t>Bangladesh|1997</t>
  </si>
  <si>
    <t>GM-00317</t>
  </si>
  <si>
    <t>GM-00318</t>
  </si>
  <si>
    <t>GM-00319</t>
  </si>
  <si>
    <t>Bangladesh|2002</t>
  </si>
  <si>
    <t>GM-00320</t>
  </si>
  <si>
    <t>GM-00321</t>
  </si>
  <si>
    <t>GM-00322</t>
  </si>
  <si>
    <t>Bangladesh|2007</t>
  </si>
  <si>
    <t>GM-00323</t>
  </si>
  <si>
    <t>GM-00324</t>
  </si>
  <si>
    <t>GM-00325</t>
  </si>
  <si>
    <t>Belgium</t>
  </si>
  <si>
    <t>Belgium|1952</t>
  </si>
  <si>
    <t>GM-00326</t>
  </si>
  <si>
    <t>GM-00327</t>
  </si>
  <si>
    <t>GM-00328</t>
  </si>
  <si>
    <t>Belgium|1957</t>
  </si>
  <si>
    <t>GM-00329</t>
  </si>
  <si>
    <t>GM-00330</t>
  </si>
  <si>
    <t>GM-00331</t>
  </si>
  <si>
    <t>Belgium|1962</t>
  </si>
  <si>
    <t>GM-00332</t>
  </si>
  <si>
    <t>GM-00333</t>
  </si>
  <si>
    <t>GM-00334</t>
  </si>
  <si>
    <t>Belgium|1967</t>
  </si>
  <si>
    <t>GM-00335</t>
  </si>
  <si>
    <t>GM-00336</t>
  </si>
  <si>
    <t>GM-00337</t>
  </si>
  <si>
    <t>Belgium|1972</t>
  </si>
  <si>
    <t>GM-00338</t>
  </si>
  <si>
    <t>GM-00339</t>
  </si>
  <si>
    <t>GM-00340</t>
  </si>
  <si>
    <t>Belgium|1977</t>
  </si>
  <si>
    <t>GM-00341</t>
  </si>
  <si>
    <t>GM-00342</t>
  </si>
  <si>
    <t>GM-00343</t>
  </si>
  <si>
    <t>Belgium|1982</t>
  </si>
  <si>
    <t>GM-00344</t>
  </si>
  <si>
    <t>GM-00345</t>
  </si>
  <si>
    <t>GM-00346</t>
  </si>
  <si>
    <t>Belgium|1987</t>
  </si>
  <si>
    <t>GM-00347</t>
  </si>
  <si>
    <t>GM-00348</t>
  </si>
  <si>
    <t>GM-00349</t>
  </si>
  <si>
    <t>Belgium|1992</t>
  </si>
  <si>
    <t>GM-00350</t>
  </si>
  <si>
    <t>GM-00351</t>
  </si>
  <si>
    <t>GM-00352</t>
  </si>
  <si>
    <t>Belgium|1997</t>
  </si>
  <si>
    <t>GM-00353</t>
  </si>
  <si>
    <t>GM-00354</t>
  </si>
  <si>
    <t>GM-00355</t>
  </si>
  <si>
    <t>Belgium|2002</t>
  </si>
  <si>
    <t>GM-00356</t>
  </si>
  <si>
    <t>GM-00357</t>
  </si>
  <si>
    <t>GM-00358</t>
  </si>
  <si>
    <t>Belgium|2007</t>
  </si>
  <si>
    <t>GM-00359</t>
  </si>
  <si>
    <t>GM-00360</t>
  </si>
  <si>
    <t>GM-00361</t>
  </si>
  <si>
    <t>Benin</t>
  </si>
  <si>
    <t>Benin|1952</t>
  </si>
  <si>
    <t>GM-00362</t>
  </si>
  <si>
    <t>GM-00363</t>
  </si>
  <si>
    <t>GM-00364</t>
  </si>
  <si>
    <t>Benin|1957</t>
  </si>
  <si>
    <t>GM-00365</t>
  </si>
  <si>
    <t>GM-00366</t>
  </si>
  <si>
    <t>GM-00367</t>
  </si>
  <si>
    <t>Benin|1962</t>
  </si>
  <si>
    <t>GM-00368</t>
  </si>
  <si>
    <t>GM-00369</t>
  </si>
  <si>
    <t>GM-00370</t>
  </si>
  <si>
    <t>Benin|1967</t>
  </si>
  <si>
    <t>GM-00371</t>
  </si>
  <si>
    <t>GM-00372</t>
  </si>
  <si>
    <t>GM-00373</t>
  </si>
  <si>
    <t>Benin|1972</t>
  </si>
  <si>
    <t>GM-00374</t>
  </si>
  <si>
    <t>GM-00375</t>
  </si>
  <si>
    <t>GM-00376</t>
  </si>
  <si>
    <t>Benin|1977</t>
  </si>
  <si>
    <t>GM-00377</t>
  </si>
  <si>
    <t>GM-00378</t>
  </si>
  <si>
    <t>GM-00379</t>
  </si>
  <si>
    <t>Benin|1982</t>
  </si>
  <si>
    <t>GM-00380</t>
  </si>
  <si>
    <t>GM-00381</t>
  </si>
  <si>
    <t>GM-00382</t>
  </si>
  <si>
    <t>Benin|1987</t>
  </si>
  <si>
    <t>GM-00383</t>
  </si>
  <si>
    <t>GM-00384</t>
  </si>
  <si>
    <t>GM-00385</t>
  </si>
  <si>
    <t>Benin|1992</t>
  </si>
  <si>
    <t>GM-00386</t>
  </si>
  <si>
    <t>GM-00387</t>
  </si>
  <si>
    <t>GM-00388</t>
  </si>
  <si>
    <t>Benin|1997</t>
  </si>
  <si>
    <t>GM-00389</t>
  </si>
  <si>
    <t>GM-00390</t>
  </si>
  <si>
    <t>GM-00391</t>
  </si>
  <si>
    <t>Benin|2002</t>
  </si>
  <si>
    <t>GM-00392</t>
  </si>
  <si>
    <t>GM-00393</t>
  </si>
  <si>
    <t>GM-00394</t>
  </si>
  <si>
    <t>Benin|2007</t>
  </si>
  <si>
    <t>GM-00395</t>
  </si>
  <si>
    <t>GM-00396</t>
  </si>
  <si>
    <t>GM-00397</t>
  </si>
  <si>
    <t>Bolivia</t>
  </si>
  <si>
    <t>Bolivia|1952</t>
  </si>
  <si>
    <t>GM-00398</t>
  </si>
  <si>
    <t>GM-00399</t>
  </si>
  <si>
    <t>GM-00400</t>
  </si>
  <si>
    <t>Bolivia|1957</t>
  </si>
  <si>
    <t>GM-00401</t>
  </si>
  <si>
    <t>GM-00402</t>
  </si>
  <si>
    <t>GM-00403</t>
  </si>
  <si>
    <t>Bolivia|1962</t>
  </si>
  <si>
    <t>GM-00404</t>
  </si>
  <si>
    <t>GM-00405</t>
  </si>
  <si>
    <t>GM-00406</t>
  </si>
  <si>
    <t>Bolivia|1967</t>
  </si>
  <si>
    <t>GM-00407</t>
  </si>
  <si>
    <t>GM-00408</t>
  </si>
  <si>
    <t>GM-00409</t>
  </si>
  <si>
    <t>Bolivia|1972</t>
  </si>
  <si>
    <t>GM-00410</t>
  </si>
  <si>
    <t>GM-00411</t>
  </si>
  <si>
    <t>GM-00412</t>
  </si>
  <si>
    <t>Bolivia|1977</t>
  </si>
  <si>
    <t>GM-00413</t>
  </si>
  <si>
    <t>GM-00414</t>
  </si>
  <si>
    <t>GM-00415</t>
  </si>
  <si>
    <t>Bolivia|1982</t>
  </si>
  <si>
    <t>GM-00416</t>
  </si>
  <si>
    <t>GM-00417</t>
  </si>
  <si>
    <t>GM-00418</t>
  </si>
  <si>
    <t>Bolivia|1987</t>
  </si>
  <si>
    <t>GM-00419</t>
  </si>
  <si>
    <t>GM-00420</t>
  </si>
  <si>
    <t>GM-00421</t>
  </si>
  <si>
    <t>Bolivia|1992</t>
  </si>
  <si>
    <t>GM-00422</t>
  </si>
  <si>
    <t>GM-00423</t>
  </si>
  <si>
    <t>GM-00424</t>
  </si>
  <si>
    <t>Bolivia|1997</t>
  </si>
  <si>
    <t>GM-00425</t>
  </si>
  <si>
    <t>GM-00426</t>
  </si>
  <si>
    <t>GM-00427</t>
  </si>
  <si>
    <t>Bolivia|2002</t>
  </si>
  <si>
    <t>GM-00428</t>
  </si>
  <si>
    <t>GM-00429</t>
  </si>
  <si>
    <t>GM-00430</t>
  </si>
  <si>
    <t>Bolivia|2007</t>
  </si>
  <si>
    <t>GM-00431</t>
  </si>
  <si>
    <t>GM-00432</t>
  </si>
  <si>
    <t>GM-00433</t>
  </si>
  <si>
    <t>Bosnia and Herzegovina</t>
  </si>
  <si>
    <t>Bosnia and Herzegovina|1952</t>
  </si>
  <si>
    <t>GM-00434</t>
  </si>
  <si>
    <t>GM-00435</t>
  </si>
  <si>
    <t>GM-00436</t>
  </si>
  <si>
    <t>Bosnia and Herzegovina|1957</t>
  </si>
  <si>
    <t>GM-00437</t>
  </si>
  <si>
    <t>GM-00438</t>
  </si>
  <si>
    <t>GM-00439</t>
  </si>
  <si>
    <t>Bosnia and Herzegovina|1962</t>
  </si>
  <si>
    <t>GM-00440</t>
  </si>
  <si>
    <t>GM-00441</t>
  </si>
  <si>
    <t>GM-00442</t>
  </si>
  <si>
    <t>Bosnia and Herzegovina|1967</t>
  </si>
  <si>
    <t>GM-00443</t>
  </si>
  <si>
    <t>GM-00444</t>
  </si>
  <si>
    <t>GM-00445</t>
  </si>
  <si>
    <t>Bosnia and Herzegovina|1972</t>
  </si>
  <si>
    <t>GM-00446</t>
  </si>
  <si>
    <t>GM-00447</t>
  </si>
  <si>
    <t>GM-00448</t>
  </si>
  <si>
    <t>Bosnia and Herzegovina|1977</t>
  </si>
  <si>
    <t>GM-00449</t>
  </si>
  <si>
    <t>GM-00450</t>
  </si>
  <si>
    <t>GM-00451</t>
  </si>
  <si>
    <t>Bosnia and Herzegovina|1982</t>
  </si>
  <si>
    <t>GM-00452</t>
  </si>
  <si>
    <t>GM-00453</t>
  </si>
  <si>
    <t>GM-00454</t>
  </si>
  <si>
    <t>Bosnia and Herzegovina|1987</t>
  </si>
  <si>
    <t>GM-00455</t>
  </si>
  <si>
    <t>GM-00456</t>
  </si>
  <si>
    <t>GM-00457</t>
  </si>
  <si>
    <t>Bosnia and Herzegovina|1992</t>
  </si>
  <si>
    <t>GM-00458</t>
  </si>
  <si>
    <t>GM-00459</t>
  </si>
  <si>
    <t>GM-00460</t>
  </si>
  <si>
    <t>Bosnia and Herzegovina|1997</t>
  </si>
  <si>
    <t>GM-00461</t>
  </si>
  <si>
    <t>GM-00462</t>
  </si>
  <si>
    <t>GM-00463</t>
  </si>
  <si>
    <t>Bosnia and Herzegovina|2002</t>
  </si>
  <si>
    <t>GM-00464</t>
  </si>
  <si>
    <t>GM-00465</t>
  </si>
  <si>
    <t>GM-00466</t>
  </si>
  <si>
    <t>Bosnia and Herzegovina|2007</t>
  </si>
  <si>
    <t>GM-00467</t>
  </si>
  <si>
    <t>GM-00468</t>
  </si>
  <si>
    <t>GM-00469</t>
  </si>
  <si>
    <t>Botswana</t>
  </si>
  <si>
    <t>Botswana|1952</t>
  </si>
  <si>
    <t>GM-00470</t>
  </si>
  <si>
    <t>GM-00471</t>
  </si>
  <si>
    <t>GM-00472</t>
  </si>
  <si>
    <t>Botswana|1957</t>
  </si>
  <si>
    <t>GM-00473</t>
  </si>
  <si>
    <t>GM-00474</t>
  </si>
  <si>
    <t>GM-00475</t>
  </si>
  <si>
    <t>Botswana|1962</t>
  </si>
  <si>
    <t>GM-00476</t>
  </si>
  <si>
    <t>GM-00477</t>
  </si>
  <si>
    <t>GM-00478</t>
  </si>
  <si>
    <t>Botswana|1967</t>
  </si>
  <si>
    <t>GM-00479</t>
  </si>
  <si>
    <t>GM-00480</t>
  </si>
  <si>
    <t>GM-00481</t>
  </si>
  <si>
    <t>Botswana|1972</t>
  </si>
  <si>
    <t>GM-00482</t>
  </si>
  <si>
    <t>GM-00483</t>
  </si>
  <si>
    <t>GM-00484</t>
  </si>
  <si>
    <t>Botswana|1977</t>
  </si>
  <si>
    <t>GM-00485</t>
  </si>
  <si>
    <t>GM-00486</t>
  </si>
  <si>
    <t>GM-00487</t>
  </si>
  <si>
    <t>Botswana|1982</t>
  </si>
  <si>
    <t>GM-00488</t>
  </si>
  <si>
    <t>GM-00489</t>
  </si>
  <si>
    <t>GM-00490</t>
  </si>
  <si>
    <t>Botswana|1987</t>
  </si>
  <si>
    <t>GM-00491</t>
  </si>
  <si>
    <t>GM-00492</t>
  </si>
  <si>
    <t>GM-00493</t>
  </si>
  <si>
    <t>Botswana|1992</t>
  </si>
  <si>
    <t>GM-00494</t>
  </si>
  <si>
    <t>GM-00495</t>
  </si>
  <si>
    <t>GM-00496</t>
  </si>
  <si>
    <t>Botswana|1997</t>
  </si>
  <si>
    <t>GM-00497</t>
  </si>
  <si>
    <t>GM-00498</t>
  </si>
  <si>
    <t>GM-00499</t>
  </si>
  <si>
    <t>Botswana|2002</t>
  </si>
  <si>
    <t>GM-00500</t>
  </si>
  <si>
    <t>GM-00501</t>
  </si>
  <si>
    <t>GM-00502</t>
  </si>
  <si>
    <t>Botswana|2007</t>
  </si>
  <si>
    <t>GM-00503</t>
  </si>
  <si>
    <t>GM-00504</t>
  </si>
  <si>
    <t>GM-00505</t>
  </si>
  <si>
    <t>Brazil</t>
  </si>
  <si>
    <t>Brazil|1952</t>
  </si>
  <si>
    <t>GM-00506</t>
  </si>
  <si>
    <t>GM-00507</t>
  </si>
  <si>
    <t>GM-00508</t>
  </si>
  <si>
    <t>Brazil|1957</t>
  </si>
  <si>
    <t>GM-00509</t>
  </si>
  <si>
    <t>GM-00510</t>
  </si>
  <si>
    <t>GM-00511</t>
  </si>
  <si>
    <t>Brazil|1962</t>
  </si>
  <si>
    <t>GM-00512</t>
  </si>
  <si>
    <t>GM-00513</t>
  </si>
  <si>
    <t>GM-00514</t>
  </si>
  <si>
    <t>Brazil|1967</t>
  </si>
  <si>
    <t>GM-00515</t>
  </si>
  <si>
    <t>GM-00516</t>
  </si>
  <si>
    <t>GM-00517</t>
  </si>
  <si>
    <t>Brazil|1972</t>
  </si>
  <si>
    <t>GM-00518</t>
  </si>
  <si>
    <t>GM-00519</t>
  </si>
  <si>
    <t>GM-00520</t>
  </si>
  <si>
    <t>Brazil|1977</t>
  </si>
  <si>
    <t>GM-00521</t>
  </si>
  <si>
    <t>GM-00522</t>
  </si>
  <si>
    <t>GM-00523</t>
  </si>
  <si>
    <t>Brazil|1982</t>
  </si>
  <si>
    <t>GM-00524</t>
  </si>
  <si>
    <t>GM-00525</t>
  </si>
  <si>
    <t>GM-00526</t>
  </si>
  <si>
    <t>Brazil|1987</t>
  </si>
  <si>
    <t>GM-00527</t>
  </si>
  <si>
    <t>GM-00528</t>
  </si>
  <si>
    <t>GM-00529</t>
  </si>
  <si>
    <t>Brazil|1992</t>
  </si>
  <si>
    <t>GM-00530</t>
  </si>
  <si>
    <t>GM-00531</t>
  </si>
  <si>
    <t>GM-00532</t>
  </si>
  <si>
    <t>Brazil|1997</t>
  </si>
  <si>
    <t>GM-00533</t>
  </si>
  <si>
    <t>GM-00534</t>
  </si>
  <si>
    <t>GM-00535</t>
  </si>
  <si>
    <t>Brazil|2002</t>
  </si>
  <si>
    <t>GM-00536</t>
  </si>
  <si>
    <t>GM-00537</t>
  </si>
  <si>
    <t>GM-00538</t>
  </si>
  <si>
    <t>Brazil|2007</t>
  </si>
  <si>
    <t>GM-00539</t>
  </si>
  <si>
    <t>GM-00540</t>
  </si>
  <si>
    <t>GM-00541</t>
  </si>
  <si>
    <t>Bulgaria</t>
  </si>
  <si>
    <t>Bulgaria|1952</t>
  </si>
  <si>
    <t>GM-00542</t>
  </si>
  <si>
    <t>GM-00543</t>
  </si>
  <si>
    <t>GM-00544</t>
  </si>
  <si>
    <t>Bulgaria|1957</t>
  </si>
  <si>
    <t>GM-00545</t>
  </si>
  <si>
    <t>GM-00546</t>
  </si>
  <si>
    <t>GM-00547</t>
  </si>
  <si>
    <t>Bulgaria|1962</t>
  </si>
  <si>
    <t>GM-00548</t>
  </si>
  <si>
    <t>GM-00549</t>
  </si>
  <si>
    <t>GM-00550</t>
  </si>
  <si>
    <t>Bulgaria|1967</t>
  </si>
  <si>
    <t>GM-00551</t>
  </si>
  <si>
    <t>GM-00552</t>
  </si>
  <si>
    <t>GM-00553</t>
  </si>
  <si>
    <t>Bulgaria|1972</t>
  </si>
  <si>
    <t>GM-00554</t>
  </si>
  <si>
    <t>GM-00555</t>
  </si>
  <si>
    <t>GM-00556</t>
  </si>
  <si>
    <t>Bulgaria|1977</t>
  </si>
  <si>
    <t>GM-00557</t>
  </si>
  <si>
    <t>GM-00558</t>
  </si>
  <si>
    <t>GM-00559</t>
  </si>
  <si>
    <t>Bulgaria|1982</t>
  </si>
  <si>
    <t>GM-00560</t>
  </si>
  <si>
    <t>GM-00561</t>
  </si>
  <si>
    <t>GM-00562</t>
  </si>
  <si>
    <t>Bulgaria|1987</t>
  </si>
  <si>
    <t>GM-00563</t>
  </si>
  <si>
    <t>GM-00564</t>
  </si>
  <si>
    <t>GM-00565</t>
  </si>
  <si>
    <t>Bulgaria|1992</t>
  </si>
  <si>
    <t>GM-00566</t>
  </si>
  <si>
    <t>GM-00567</t>
  </si>
  <si>
    <t>GM-00568</t>
  </si>
  <si>
    <t>Bulgaria|1997</t>
  </si>
  <si>
    <t>GM-00569</t>
  </si>
  <si>
    <t>GM-00570</t>
  </si>
  <si>
    <t>GM-00571</t>
  </si>
  <si>
    <t>Bulgaria|2002</t>
  </si>
  <si>
    <t>GM-00572</t>
  </si>
  <si>
    <t>GM-00573</t>
  </si>
  <si>
    <t>GM-00574</t>
  </si>
  <si>
    <t>Bulgaria|2007</t>
  </si>
  <si>
    <t>GM-00575</t>
  </si>
  <si>
    <t>GM-00576</t>
  </si>
  <si>
    <t>GM-00577</t>
  </si>
  <si>
    <t>Burkina Faso</t>
  </si>
  <si>
    <t>Burkina Faso|1952</t>
  </si>
  <si>
    <t>GM-00578</t>
  </si>
  <si>
    <t>GM-00579</t>
  </si>
  <si>
    <t>GM-00580</t>
  </si>
  <si>
    <t>Burkina Faso|1957</t>
  </si>
  <si>
    <t>GM-00581</t>
  </si>
  <si>
    <t>GM-00582</t>
  </si>
  <si>
    <t>GM-00583</t>
  </si>
  <si>
    <t>Burkina Faso|1962</t>
  </si>
  <si>
    <t>GM-00584</t>
  </si>
  <si>
    <t>GM-00585</t>
  </si>
  <si>
    <t>GM-00586</t>
  </si>
  <si>
    <t>Burkina Faso|1967</t>
  </si>
  <si>
    <t>GM-00587</t>
  </si>
  <si>
    <t>GM-00588</t>
  </si>
  <si>
    <t>GM-00589</t>
  </si>
  <si>
    <t>Burkina Faso|1972</t>
  </si>
  <si>
    <t>GM-00590</t>
  </si>
  <si>
    <t>GM-00591</t>
  </si>
  <si>
    <t>GM-00592</t>
  </si>
  <si>
    <t>Burkina Faso|1977</t>
  </si>
  <si>
    <t>GM-00593</t>
  </si>
  <si>
    <t>GM-00594</t>
  </si>
  <si>
    <t>GM-00595</t>
  </si>
  <si>
    <t>Burkina Faso|1982</t>
  </si>
  <si>
    <t>GM-00596</t>
  </si>
  <si>
    <t>GM-00597</t>
  </si>
  <si>
    <t>GM-00598</t>
  </si>
  <si>
    <t>Burkina Faso|1987</t>
  </si>
  <si>
    <t>GM-00599</t>
  </si>
  <si>
    <t>GM-00600</t>
  </si>
  <si>
    <t>GM-00601</t>
  </si>
  <si>
    <t>Burkina Faso|1992</t>
  </si>
  <si>
    <t>GM-00602</t>
  </si>
  <si>
    <t>GM-00603</t>
  </si>
  <si>
    <t>GM-00604</t>
  </si>
  <si>
    <t>Burkina Faso|1997</t>
  </si>
  <si>
    <t>GM-00605</t>
  </si>
  <si>
    <t>GM-00606</t>
  </si>
  <si>
    <t>GM-00607</t>
  </si>
  <si>
    <t>Burkina Faso|2002</t>
  </si>
  <si>
    <t>GM-00608</t>
  </si>
  <si>
    <t>GM-00609</t>
  </si>
  <si>
    <t>GM-00610</t>
  </si>
  <si>
    <t>Burkina Faso|2007</t>
  </si>
  <si>
    <t>GM-00611</t>
  </si>
  <si>
    <t>GM-00612</t>
  </si>
  <si>
    <t>GM-00613</t>
  </si>
  <si>
    <t>Burundi</t>
  </si>
  <si>
    <t>Burundi|1952</t>
  </si>
  <si>
    <t>GM-00614</t>
  </si>
  <si>
    <t>GM-00615</t>
  </si>
  <si>
    <t>GM-00616</t>
  </si>
  <si>
    <t>Burundi|1957</t>
  </si>
  <si>
    <t>GM-00617</t>
  </si>
  <si>
    <t>GM-00618</t>
  </si>
  <si>
    <t>GM-00619</t>
  </si>
  <si>
    <t>Burundi|1962</t>
  </si>
  <si>
    <t>GM-00620</t>
  </si>
  <si>
    <t>GM-00621</t>
  </si>
  <si>
    <t>GM-00622</t>
  </si>
  <si>
    <t>Burundi|1967</t>
  </si>
  <si>
    <t>GM-00623</t>
  </si>
  <si>
    <t>GM-00624</t>
  </si>
  <si>
    <t>GM-00625</t>
  </si>
  <si>
    <t>Burundi|1972</t>
  </si>
  <si>
    <t>GM-00626</t>
  </si>
  <si>
    <t>GM-00627</t>
  </si>
  <si>
    <t>GM-00628</t>
  </si>
  <si>
    <t>Burundi|1977</t>
  </si>
  <si>
    <t>GM-00629</t>
  </si>
  <si>
    <t>GM-00630</t>
  </si>
  <si>
    <t>GM-00631</t>
  </si>
  <si>
    <t>Burundi|1982</t>
  </si>
  <si>
    <t>GM-00632</t>
  </si>
  <si>
    <t>GM-00633</t>
  </si>
  <si>
    <t>GM-00634</t>
  </si>
  <si>
    <t>Burundi|1987</t>
  </si>
  <si>
    <t>GM-00635</t>
  </si>
  <si>
    <t>GM-00636</t>
  </si>
  <si>
    <t>GM-00637</t>
  </si>
  <si>
    <t>Burundi|1992</t>
  </si>
  <si>
    <t>GM-00638</t>
  </si>
  <si>
    <t>GM-00639</t>
  </si>
  <si>
    <t>GM-00640</t>
  </si>
  <si>
    <t>Burundi|1997</t>
  </si>
  <si>
    <t>GM-00641</t>
  </si>
  <si>
    <t>GM-00642</t>
  </si>
  <si>
    <t>GM-00643</t>
  </si>
  <si>
    <t>Burundi|2002</t>
  </si>
  <si>
    <t>GM-00644</t>
  </si>
  <si>
    <t>GM-00645</t>
  </si>
  <si>
    <t>GM-00646</t>
  </si>
  <si>
    <t>Burundi|2007</t>
  </si>
  <si>
    <t>GM-00647</t>
  </si>
  <si>
    <t>GM-00648</t>
  </si>
  <si>
    <t>GM-00649</t>
  </si>
  <si>
    <t>Cambodia</t>
  </si>
  <si>
    <t>Cambodia|1952</t>
  </si>
  <si>
    <t>GM-00650</t>
  </si>
  <si>
    <t>GM-00651</t>
  </si>
  <si>
    <t>GM-00652</t>
  </si>
  <si>
    <t>Cambodia|1957</t>
  </si>
  <si>
    <t>GM-00653</t>
  </si>
  <si>
    <t>GM-00654</t>
  </si>
  <si>
    <t>GM-00655</t>
  </si>
  <si>
    <t>Cambodia|1962</t>
  </si>
  <si>
    <t>GM-00656</t>
  </si>
  <si>
    <t>GM-00657</t>
  </si>
  <si>
    <t>GM-00658</t>
  </si>
  <si>
    <t>Cambodia|1967</t>
  </si>
  <si>
    <t>GM-00659</t>
  </si>
  <si>
    <t>GM-00660</t>
  </si>
  <si>
    <t>GM-00661</t>
  </si>
  <si>
    <t>Cambodia|1972</t>
  </si>
  <si>
    <t>GM-00662</t>
  </si>
  <si>
    <t>GM-00663</t>
  </si>
  <si>
    <t>GM-00664</t>
  </si>
  <si>
    <t>Cambodia|1977</t>
  </si>
  <si>
    <t>GM-00665</t>
  </si>
  <si>
    <t>GM-00666</t>
  </si>
  <si>
    <t>GM-00667</t>
  </si>
  <si>
    <t>Cambodia|1982</t>
  </si>
  <si>
    <t>GM-00668</t>
  </si>
  <si>
    <t>GM-00669</t>
  </si>
  <si>
    <t>GM-00670</t>
  </si>
  <si>
    <t>Cambodia|1987</t>
  </si>
  <si>
    <t>GM-00671</t>
  </si>
  <si>
    <t>GM-00672</t>
  </si>
  <si>
    <t>GM-00673</t>
  </si>
  <si>
    <t>Cambodia|1992</t>
  </si>
  <si>
    <t>GM-00674</t>
  </si>
  <si>
    <t>GM-00675</t>
  </si>
  <si>
    <t>GM-00676</t>
  </si>
  <si>
    <t>Cambodia|1997</t>
  </si>
  <si>
    <t>GM-00677</t>
  </si>
  <si>
    <t>GM-00678</t>
  </si>
  <si>
    <t>GM-00679</t>
  </si>
  <si>
    <t>Cambodia|2002</t>
  </si>
  <si>
    <t>GM-00680</t>
  </si>
  <si>
    <t>GM-00681</t>
  </si>
  <si>
    <t>GM-00682</t>
  </si>
  <si>
    <t>Cambodia|2007</t>
  </si>
  <si>
    <t>GM-00683</t>
  </si>
  <si>
    <t>GM-00684</t>
  </si>
  <si>
    <t>GM-00685</t>
  </si>
  <si>
    <t>Cameroon</t>
  </si>
  <si>
    <t>Cameroon|1952</t>
  </si>
  <si>
    <t>GM-00686</t>
  </si>
  <si>
    <t>GM-00687</t>
  </si>
  <si>
    <t>GM-00688</t>
  </si>
  <si>
    <t>Cameroon|1957</t>
  </si>
  <si>
    <t>GM-00689</t>
  </si>
  <si>
    <t>GM-00690</t>
  </si>
  <si>
    <t>GM-00691</t>
  </si>
  <si>
    <t>Cameroon|1962</t>
  </si>
  <si>
    <t>GM-00692</t>
  </si>
  <si>
    <t>GM-00693</t>
  </si>
  <si>
    <t>GM-00694</t>
  </si>
  <si>
    <t>Cameroon|1967</t>
  </si>
  <si>
    <t>GM-00695</t>
  </si>
  <si>
    <t>GM-00696</t>
  </si>
  <si>
    <t>GM-00697</t>
  </si>
  <si>
    <t>Cameroon|1972</t>
  </si>
  <si>
    <t>GM-00698</t>
  </si>
  <si>
    <t>GM-00699</t>
  </si>
  <si>
    <t>GM-00700</t>
  </si>
  <si>
    <t>Cameroon|1977</t>
  </si>
  <si>
    <t>GM-00701</t>
  </si>
  <si>
    <t>GM-00702</t>
  </si>
  <si>
    <t>GM-00703</t>
  </si>
  <si>
    <t>Cameroon|1982</t>
  </si>
  <si>
    <t>GM-00704</t>
  </si>
  <si>
    <t>GM-00705</t>
  </si>
  <si>
    <t>GM-00706</t>
  </si>
  <si>
    <t>Cameroon|1987</t>
  </si>
  <si>
    <t>GM-00707</t>
  </si>
  <si>
    <t>GM-00708</t>
  </si>
  <si>
    <t>GM-00709</t>
  </si>
  <si>
    <t>Cameroon|1992</t>
  </si>
  <si>
    <t>GM-00710</t>
  </si>
  <si>
    <t>GM-00711</t>
  </si>
  <si>
    <t>GM-00712</t>
  </si>
  <si>
    <t>Cameroon|1997</t>
  </si>
  <si>
    <t>GM-00713</t>
  </si>
  <si>
    <t>GM-00714</t>
  </si>
  <si>
    <t>GM-00715</t>
  </si>
  <si>
    <t>Cameroon|2002</t>
  </si>
  <si>
    <t>GM-00716</t>
  </si>
  <si>
    <t>GM-00717</t>
  </si>
  <si>
    <t>GM-00718</t>
  </si>
  <si>
    <t>Cameroon|2007</t>
  </si>
  <si>
    <t>GM-00719</t>
  </si>
  <si>
    <t>GM-00720</t>
  </si>
  <si>
    <t>GM-00721</t>
  </si>
  <si>
    <t>Canada</t>
  </si>
  <si>
    <t>Canada|1952</t>
  </si>
  <si>
    <t>GM-00722</t>
  </si>
  <si>
    <t>GM-00723</t>
  </si>
  <si>
    <t>GM-00724</t>
  </si>
  <si>
    <t>Canada|1957</t>
  </si>
  <si>
    <t>GM-00725</t>
  </si>
  <si>
    <t>GM-00726</t>
  </si>
  <si>
    <t>GM-00727</t>
  </si>
  <si>
    <t>Canada|1962</t>
  </si>
  <si>
    <t>GM-00728</t>
  </si>
  <si>
    <t>GM-00729</t>
  </si>
  <si>
    <t>GM-00730</t>
  </si>
  <si>
    <t>Canada|1967</t>
  </si>
  <si>
    <t>GM-00731</t>
  </si>
  <si>
    <t>GM-00732</t>
  </si>
  <si>
    <t>GM-00733</t>
  </si>
  <si>
    <t>Canada|1972</t>
  </si>
  <si>
    <t>GM-00734</t>
  </si>
  <si>
    <t>GM-00735</t>
  </si>
  <si>
    <t>GM-00736</t>
  </si>
  <si>
    <t>Canada|1977</t>
  </si>
  <si>
    <t>GM-00737</t>
  </si>
  <si>
    <t>GM-00738</t>
  </si>
  <si>
    <t>GM-00739</t>
  </si>
  <si>
    <t>Canada|1982</t>
  </si>
  <si>
    <t>GM-00740</t>
  </si>
  <si>
    <t>GM-00741</t>
  </si>
  <si>
    <t>GM-00742</t>
  </si>
  <si>
    <t>Canada|1987</t>
  </si>
  <si>
    <t>GM-00743</t>
  </si>
  <si>
    <t>GM-00744</t>
  </si>
  <si>
    <t>GM-00745</t>
  </si>
  <si>
    <t>Canada|1992</t>
  </si>
  <si>
    <t>GM-00746</t>
  </si>
  <si>
    <t>GM-00747</t>
  </si>
  <si>
    <t>GM-00748</t>
  </si>
  <si>
    <t>Canada|1997</t>
  </si>
  <si>
    <t>GM-00749</t>
  </si>
  <si>
    <t>GM-00750</t>
  </si>
  <si>
    <t>GM-00751</t>
  </si>
  <si>
    <t>Canada|2002</t>
  </si>
  <si>
    <t>GM-00752</t>
  </si>
  <si>
    <t>GM-00753</t>
  </si>
  <si>
    <t>GM-00754</t>
  </si>
  <si>
    <t>Canada|2007</t>
  </si>
  <si>
    <t>GM-00755</t>
  </si>
  <si>
    <t>GM-00756</t>
  </si>
  <si>
    <t>GM-00757</t>
  </si>
  <si>
    <t>Central African Republic</t>
  </si>
  <si>
    <t>Central African Republic|1952</t>
  </si>
  <si>
    <t>GM-00758</t>
  </si>
  <si>
    <t>GM-00759</t>
  </si>
  <si>
    <t>GM-00760</t>
  </si>
  <si>
    <t>Central African Republic|1957</t>
  </si>
  <si>
    <t>GM-00761</t>
  </si>
  <si>
    <t>GM-00762</t>
  </si>
  <si>
    <t>GM-00763</t>
  </si>
  <si>
    <t>Central African Republic|1962</t>
  </si>
  <si>
    <t>GM-00764</t>
  </si>
  <si>
    <t>GM-00765</t>
  </si>
  <si>
    <t>GM-00766</t>
  </si>
  <si>
    <t>Central African Republic|1967</t>
  </si>
  <si>
    <t>GM-00767</t>
  </si>
  <si>
    <t>GM-00768</t>
  </si>
  <si>
    <t>GM-00769</t>
  </si>
  <si>
    <t>Central African Republic|1972</t>
  </si>
  <si>
    <t>GM-00770</t>
  </si>
  <si>
    <t>GM-00771</t>
  </si>
  <si>
    <t>GM-00772</t>
  </si>
  <si>
    <t>Central African Republic|1977</t>
  </si>
  <si>
    <t>GM-00773</t>
  </si>
  <si>
    <t>GM-00774</t>
  </si>
  <si>
    <t>GM-00775</t>
  </si>
  <si>
    <t>Central African Republic|1982</t>
  </si>
  <si>
    <t>GM-00776</t>
  </si>
  <si>
    <t>GM-00777</t>
  </si>
  <si>
    <t>GM-00778</t>
  </si>
  <si>
    <t>Central African Republic|1987</t>
  </si>
  <si>
    <t>GM-00779</t>
  </si>
  <si>
    <t>GM-00780</t>
  </si>
  <si>
    <t>GM-00781</t>
  </si>
  <si>
    <t>Central African Republic|1992</t>
  </si>
  <si>
    <t>GM-00782</t>
  </si>
  <si>
    <t>GM-00783</t>
  </si>
  <si>
    <t>GM-00784</t>
  </si>
  <si>
    <t>Central African Republic|1997</t>
  </si>
  <si>
    <t>GM-00785</t>
  </si>
  <si>
    <t>GM-00786</t>
  </si>
  <si>
    <t>GM-00787</t>
  </si>
  <si>
    <t>Central African Republic|2002</t>
  </si>
  <si>
    <t>GM-00788</t>
  </si>
  <si>
    <t>GM-00789</t>
  </si>
  <si>
    <t>GM-00790</t>
  </si>
  <si>
    <t>Central African Republic|2007</t>
  </si>
  <si>
    <t>GM-00791</t>
  </si>
  <si>
    <t>GM-00792</t>
  </si>
  <si>
    <t>GM-00793</t>
  </si>
  <si>
    <t>Chad</t>
  </si>
  <si>
    <t>Chad|1952</t>
  </si>
  <si>
    <t>GM-00794</t>
  </si>
  <si>
    <t>GM-00795</t>
  </si>
  <si>
    <t>GM-00796</t>
  </si>
  <si>
    <t>Chad|1957</t>
  </si>
  <si>
    <t>GM-00797</t>
  </si>
  <si>
    <t>GM-00798</t>
  </si>
  <si>
    <t>GM-00799</t>
  </si>
  <si>
    <t>Chad|1962</t>
  </si>
  <si>
    <t>GM-00800</t>
  </si>
  <si>
    <t>GM-00801</t>
  </si>
  <si>
    <t>GM-00802</t>
  </si>
  <si>
    <t>Chad|1967</t>
  </si>
  <si>
    <t>GM-00803</t>
  </si>
  <si>
    <t>GM-00804</t>
  </si>
  <si>
    <t>GM-00805</t>
  </si>
  <si>
    <t>Chad|1972</t>
  </si>
  <si>
    <t>GM-00806</t>
  </si>
  <si>
    <t>GM-00807</t>
  </si>
  <si>
    <t>GM-00808</t>
  </si>
  <si>
    <t>Chad|1977</t>
  </si>
  <si>
    <t>GM-00809</t>
  </si>
  <si>
    <t>GM-00810</t>
  </si>
  <si>
    <t>GM-00811</t>
  </si>
  <si>
    <t>Chad|1982</t>
  </si>
  <si>
    <t>GM-00812</t>
  </si>
  <si>
    <t>GM-00813</t>
  </si>
  <si>
    <t>GM-00814</t>
  </si>
  <si>
    <t>Chad|1987</t>
  </si>
  <si>
    <t>GM-00815</t>
  </si>
  <si>
    <t>GM-00816</t>
  </si>
  <si>
    <t>GM-00817</t>
  </si>
  <si>
    <t>Chad|1992</t>
  </si>
  <si>
    <t>GM-00818</t>
  </si>
  <si>
    <t>GM-00819</t>
  </si>
  <si>
    <t>GM-00820</t>
  </si>
  <si>
    <t>Chad|1997</t>
  </si>
  <si>
    <t>GM-00821</t>
  </si>
  <si>
    <t>GM-00822</t>
  </si>
  <si>
    <t>GM-00823</t>
  </si>
  <si>
    <t>Chad|2002</t>
  </si>
  <si>
    <t>GM-00824</t>
  </si>
  <si>
    <t>GM-00825</t>
  </si>
  <si>
    <t>GM-00826</t>
  </si>
  <si>
    <t>Chad|2007</t>
  </si>
  <si>
    <t>GM-00827</t>
  </si>
  <si>
    <t>GM-00828</t>
  </si>
  <si>
    <t>GM-00829</t>
  </si>
  <si>
    <t>Chile</t>
  </si>
  <si>
    <t>Chile|1952</t>
  </si>
  <si>
    <t>GM-00830</t>
  </si>
  <si>
    <t>GM-00831</t>
  </si>
  <si>
    <t>GM-00832</t>
  </si>
  <si>
    <t>Chile|1957</t>
  </si>
  <si>
    <t>GM-00833</t>
  </si>
  <si>
    <t>GM-00834</t>
  </si>
  <si>
    <t>GM-00835</t>
  </si>
  <si>
    <t>Chile|1962</t>
  </si>
  <si>
    <t>GM-00836</t>
  </si>
  <si>
    <t>GM-00837</t>
  </si>
  <si>
    <t>GM-00838</t>
  </si>
  <si>
    <t>Chile|1967</t>
  </si>
  <si>
    <t>GM-00839</t>
  </si>
  <si>
    <t>GM-00840</t>
  </si>
  <si>
    <t>GM-00841</t>
  </si>
  <si>
    <t>Chile|1972</t>
  </si>
  <si>
    <t>GM-00842</t>
  </si>
  <si>
    <t>GM-00843</t>
  </si>
  <si>
    <t>GM-00844</t>
  </si>
  <si>
    <t>Chile|1977</t>
  </si>
  <si>
    <t>GM-00845</t>
  </si>
  <si>
    <t>GM-00846</t>
  </si>
  <si>
    <t>GM-00847</t>
  </si>
  <si>
    <t>Chile|1982</t>
  </si>
  <si>
    <t>GM-00848</t>
  </si>
  <si>
    <t>GM-00849</t>
  </si>
  <si>
    <t>GM-00850</t>
  </si>
  <si>
    <t>Chile|1987</t>
  </si>
  <si>
    <t>GM-00851</t>
  </si>
  <si>
    <t>GM-00852</t>
  </si>
  <si>
    <t>GM-00853</t>
  </si>
  <si>
    <t>Chile|1992</t>
  </si>
  <si>
    <t>GM-00854</t>
  </si>
  <si>
    <t>GM-00855</t>
  </si>
  <si>
    <t>GM-00856</t>
  </si>
  <si>
    <t>Chile|1997</t>
  </si>
  <si>
    <t>GM-00857</t>
  </si>
  <si>
    <t>GM-00858</t>
  </si>
  <si>
    <t>GM-00859</t>
  </si>
  <si>
    <t>Chile|2002</t>
  </si>
  <si>
    <t>GM-00860</t>
  </si>
  <si>
    <t>GM-00861</t>
  </si>
  <si>
    <t>GM-00862</t>
  </si>
  <si>
    <t>Chile|2007</t>
  </si>
  <si>
    <t>GM-00863</t>
  </si>
  <si>
    <t>GM-00864</t>
  </si>
  <si>
    <t>GM-00865</t>
  </si>
  <si>
    <t>China</t>
  </si>
  <si>
    <t>China|1952</t>
  </si>
  <si>
    <t>GM-00866</t>
  </si>
  <si>
    <t>GM-00867</t>
  </si>
  <si>
    <t>GM-00868</t>
  </si>
  <si>
    <t>China|1957</t>
  </si>
  <si>
    <t>GM-00869</t>
  </si>
  <si>
    <t>GM-00870</t>
  </si>
  <si>
    <t>GM-00871</t>
  </si>
  <si>
    <t>China|1962</t>
  </si>
  <si>
    <t>GM-00872</t>
  </si>
  <si>
    <t>GM-00873</t>
  </si>
  <si>
    <t>GM-00874</t>
  </si>
  <si>
    <t>China|1967</t>
  </si>
  <si>
    <t>GM-00875</t>
  </si>
  <si>
    <t>GM-00876</t>
  </si>
  <si>
    <t>GM-00877</t>
  </si>
  <si>
    <t>China|1972</t>
  </si>
  <si>
    <t>GM-00878</t>
  </si>
  <si>
    <t>GM-00879</t>
  </si>
  <si>
    <t>GM-00880</t>
  </si>
  <si>
    <t>China|1977</t>
  </si>
  <si>
    <t>GM-00881</t>
  </si>
  <si>
    <t>GM-00882</t>
  </si>
  <si>
    <t>GM-00883</t>
  </si>
  <si>
    <t>China|1982</t>
  </si>
  <si>
    <t>GM-00884</t>
  </si>
  <si>
    <t>GM-00885</t>
  </si>
  <si>
    <t>GM-00886</t>
  </si>
  <si>
    <t>China|1987</t>
  </si>
  <si>
    <t>GM-00887</t>
  </si>
  <si>
    <t>GM-00888</t>
  </si>
  <si>
    <t>GM-00889</t>
  </si>
  <si>
    <t>China|1992</t>
  </si>
  <si>
    <t>GM-00890</t>
  </si>
  <si>
    <t>GM-00891</t>
  </si>
  <si>
    <t>GM-00892</t>
  </si>
  <si>
    <t>China|1997</t>
  </si>
  <si>
    <t>GM-00893</t>
  </si>
  <si>
    <t>GM-00894</t>
  </si>
  <si>
    <t>GM-00895</t>
  </si>
  <si>
    <t>China|2002</t>
  </si>
  <si>
    <t>GM-00896</t>
  </si>
  <si>
    <t>GM-00897</t>
  </si>
  <si>
    <t>GM-00898</t>
  </si>
  <si>
    <t>China|2007</t>
  </si>
  <si>
    <t>GM-00899</t>
  </si>
  <si>
    <t>GM-00900</t>
  </si>
  <si>
    <t>GM-00901</t>
  </si>
  <si>
    <t>Colombia</t>
  </si>
  <si>
    <t>Colombia|1952</t>
  </si>
  <si>
    <t>GM-00902</t>
  </si>
  <si>
    <t>GM-00903</t>
  </si>
  <si>
    <t>GM-00904</t>
  </si>
  <si>
    <t>Colombia|1957</t>
  </si>
  <si>
    <t>GM-00905</t>
  </si>
  <si>
    <t>GM-00906</t>
  </si>
  <si>
    <t>GM-00907</t>
  </si>
  <si>
    <t>Colombia|1962</t>
  </si>
  <si>
    <t>GM-00908</t>
  </si>
  <si>
    <t>GM-00909</t>
  </si>
  <si>
    <t>GM-00910</t>
  </si>
  <si>
    <t>Colombia|1967</t>
  </si>
  <si>
    <t>GM-00911</t>
  </si>
  <si>
    <t>GM-00912</t>
  </si>
  <si>
    <t>GM-00913</t>
  </si>
  <si>
    <t>Colombia|1972</t>
  </si>
  <si>
    <t>GM-00914</t>
  </si>
  <si>
    <t>GM-00915</t>
  </si>
  <si>
    <t>GM-00916</t>
  </si>
  <si>
    <t>Colombia|1977</t>
  </si>
  <si>
    <t>GM-00917</t>
  </si>
  <si>
    <t>GM-00918</t>
  </si>
  <si>
    <t>GM-00919</t>
  </si>
  <si>
    <t>Colombia|1982</t>
  </si>
  <si>
    <t>GM-00920</t>
  </si>
  <si>
    <t>GM-00921</t>
  </si>
  <si>
    <t>GM-00922</t>
  </si>
  <si>
    <t>Colombia|1987</t>
  </si>
  <si>
    <t>GM-00923</t>
  </si>
  <si>
    <t>GM-00924</t>
  </si>
  <si>
    <t>GM-00925</t>
  </si>
  <si>
    <t>Colombia|1992</t>
  </si>
  <si>
    <t>GM-00926</t>
  </si>
  <si>
    <t>GM-00927</t>
  </si>
  <si>
    <t>GM-00928</t>
  </si>
  <si>
    <t>Colombia|1997</t>
  </si>
  <si>
    <t>GM-00929</t>
  </si>
  <si>
    <t>GM-00930</t>
  </si>
  <si>
    <t>GM-00931</t>
  </si>
  <si>
    <t>Colombia|2002</t>
  </si>
  <si>
    <t>GM-00932</t>
  </si>
  <si>
    <t>GM-00933</t>
  </si>
  <si>
    <t>GM-00934</t>
  </si>
  <si>
    <t>Colombia|2007</t>
  </si>
  <si>
    <t>GM-00935</t>
  </si>
  <si>
    <t>GM-00936</t>
  </si>
  <si>
    <t>GM-00937</t>
  </si>
  <si>
    <t>Comoros</t>
  </si>
  <si>
    <t>Comoros|1952</t>
  </si>
  <si>
    <t>GM-00938</t>
  </si>
  <si>
    <t>GM-00939</t>
  </si>
  <si>
    <t>GM-00940</t>
  </si>
  <si>
    <t>Comoros|1957</t>
  </si>
  <si>
    <t>GM-00941</t>
  </si>
  <si>
    <t>GM-00942</t>
  </si>
  <si>
    <t>GM-00943</t>
  </si>
  <si>
    <t>Comoros|1962</t>
  </si>
  <si>
    <t>GM-00944</t>
  </si>
  <si>
    <t>GM-00945</t>
  </si>
  <si>
    <t>GM-00946</t>
  </si>
  <si>
    <t>Comoros|1967</t>
  </si>
  <si>
    <t>GM-00947</t>
  </si>
  <si>
    <t>GM-00948</t>
  </si>
  <si>
    <t>GM-00949</t>
  </si>
  <si>
    <t>Comoros|1972</t>
  </si>
  <si>
    <t>GM-00950</t>
  </si>
  <si>
    <t>GM-00951</t>
  </si>
  <si>
    <t>GM-00952</t>
  </si>
  <si>
    <t>Comoros|1977</t>
  </si>
  <si>
    <t>GM-00953</t>
  </si>
  <si>
    <t>GM-00954</t>
  </si>
  <si>
    <t>GM-00955</t>
  </si>
  <si>
    <t>Comoros|1982</t>
  </si>
  <si>
    <t>GM-00956</t>
  </si>
  <si>
    <t>GM-00957</t>
  </si>
  <si>
    <t>GM-00958</t>
  </si>
  <si>
    <t>Comoros|1987</t>
  </si>
  <si>
    <t>GM-00959</t>
  </si>
  <si>
    <t>GM-00960</t>
  </si>
  <si>
    <t>GM-00961</t>
  </si>
  <si>
    <t>Comoros|1992</t>
  </si>
  <si>
    <t>GM-00962</t>
  </si>
  <si>
    <t>GM-00963</t>
  </si>
  <si>
    <t>GM-00964</t>
  </si>
  <si>
    <t>Comoros|1997</t>
  </si>
  <si>
    <t>GM-00965</t>
  </si>
  <si>
    <t>GM-00966</t>
  </si>
  <si>
    <t>GM-00967</t>
  </si>
  <si>
    <t>Comoros|2002</t>
  </si>
  <si>
    <t>GM-00968</t>
  </si>
  <si>
    <t>GM-00969</t>
  </si>
  <si>
    <t>GM-00970</t>
  </si>
  <si>
    <t>Comoros|2007</t>
  </si>
  <si>
    <t>GM-00971</t>
  </si>
  <si>
    <t>GM-00972</t>
  </si>
  <si>
    <t>GM-00973</t>
  </si>
  <si>
    <t>Congo, Dem. Rep.</t>
  </si>
  <si>
    <t>Congo, Dem. Rep.|1952</t>
  </si>
  <si>
    <t>GM-00974</t>
  </si>
  <si>
    <t>GM-00975</t>
  </si>
  <si>
    <t>GM-00976</t>
  </si>
  <si>
    <t>Congo, Dem. Rep.|1957</t>
  </si>
  <si>
    <t>GM-00977</t>
  </si>
  <si>
    <t>GM-00978</t>
  </si>
  <si>
    <t>GM-00979</t>
  </si>
  <si>
    <t>Congo, Dem. Rep.|1962</t>
  </si>
  <si>
    <t>GM-00980</t>
  </si>
  <si>
    <t>GM-00981</t>
  </si>
  <si>
    <t>GM-00982</t>
  </si>
  <si>
    <t>Congo, Dem. Rep.|1967</t>
  </si>
  <si>
    <t>GM-00983</t>
  </si>
  <si>
    <t>GM-00984</t>
  </si>
  <si>
    <t>GM-00985</t>
  </si>
  <si>
    <t>Congo, Dem. Rep.|1972</t>
  </si>
  <si>
    <t>GM-00986</t>
  </si>
  <si>
    <t>GM-00987</t>
  </si>
  <si>
    <t>GM-00988</t>
  </si>
  <si>
    <t>Congo, Dem. Rep.|1977</t>
  </si>
  <si>
    <t>GM-00989</t>
  </si>
  <si>
    <t>GM-00990</t>
  </si>
  <si>
    <t>GM-00991</t>
  </si>
  <si>
    <t>Congo, Dem. Rep.|1982</t>
  </si>
  <si>
    <t>GM-00992</t>
  </si>
  <si>
    <t>GM-00993</t>
  </si>
  <si>
    <t>GM-00994</t>
  </si>
  <si>
    <t>Congo, Dem. Rep.|1987</t>
  </si>
  <si>
    <t>GM-00995</t>
  </si>
  <si>
    <t>GM-00996</t>
  </si>
  <si>
    <t>GM-00997</t>
  </si>
  <si>
    <t>Congo, Dem. Rep.|1992</t>
  </si>
  <si>
    <t>GM-00998</t>
  </si>
  <si>
    <t>GM-00999</t>
  </si>
  <si>
    <t>GM-01000</t>
  </si>
  <si>
    <t>Congo, Dem. Rep.|1997</t>
  </si>
  <si>
    <t>GM-01001</t>
  </si>
  <si>
    <t>GM-01002</t>
  </si>
  <si>
    <t>GM-01003</t>
  </si>
  <si>
    <t>Congo, Dem. Rep.|2002</t>
  </si>
  <si>
    <t>GM-01004</t>
  </si>
  <si>
    <t>GM-01005</t>
  </si>
  <si>
    <t>GM-01006</t>
  </si>
  <si>
    <t>Congo, Dem. Rep.|2007</t>
  </si>
  <si>
    <t>GM-01007</t>
  </si>
  <si>
    <t>GM-01008</t>
  </si>
  <si>
    <t>GM-01009</t>
  </si>
  <si>
    <t>Congo, Rep.</t>
  </si>
  <si>
    <t>Congo, Rep.|1952</t>
  </si>
  <si>
    <t>GM-01010</t>
  </si>
  <si>
    <t>GM-01011</t>
  </si>
  <si>
    <t>GM-01012</t>
  </si>
  <si>
    <t>Congo, Rep.|1957</t>
  </si>
  <si>
    <t>GM-01013</t>
  </si>
  <si>
    <t>GM-01014</t>
  </si>
  <si>
    <t>GM-01015</t>
  </si>
  <si>
    <t>Congo, Rep.|1962</t>
  </si>
  <si>
    <t>GM-01016</t>
  </si>
  <si>
    <t>GM-01017</t>
  </si>
  <si>
    <t>GM-01018</t>
  </si>
  <si>
    <t>Congo, Rep.|1967</t>
  </si>
  <si>
    <t>GM-01019</t>
  </si>
  <si>
    <t>GM-01020</t>
  </si>
  <si>
    <t>GM-01021</t>
  </si>
  <si>
    <t>Congo, Rep.|1972</t>
  </si>
  <si>
    <t>GM-01022</t>
  </si>
  <si>
    <t>GM-01023</t>
  </si>
  <si>
    <t>GM-01024</t>
  </si>
  <si>
    <t>Congo, Rep.|1977</t>
  </si>
  <si>
    <t>GM-01025</t>
  </si>
  <si>
    <t>GM-01026</t>
  </si>
  <si>
    <t>GM-01027</t>
  </si>
  <si>
    <t>Congo, Rep.|1982</t>
  </si>
  <si>
    <t>GM-01028</t>
  </si>
  <si>
    <t>GM-01029</t>
  </si>
  <si>
    <t>GM-01030</t>
  </si>
  <si>
    <t>Congo, Rep.|1987</t>
  </si>
  <si>
    <t>GM-01031</t>
  </si>
  <si>
    <t>GM-01032</t>
  </si>
  <si>
    <t>GM-01033</t>
  </si>
  <si>
    <t>Congo, Rep.|1992</t>
  </si>
  <si>
    <t>GM-01034</t>
  </si>
  <si>
    <t>GM-01035</t>
  </si>
  <si>
    <t>GM-01036</t>
  </si>
  <si>
    <t>Congo, Rep.|1997</t>
  </si>
  <si>
    <t>GM-01037</t>
  </si>
  <si>
    <t>GM-01038</t>
  </si>
  <si>
    <t>GM-01039</t>
  </si>
  <si>
    <t>Congo, Rep.|2002</t>
  </si>
  <si>
    <t>GM-01040</t>
  </si>
  <si>
    <t>GM-01041</t>
  </si>
  <si>
    <t>GM-01042</t>
  </si>
  <si>
    <t>Congo, Rep.|2007</t>
  </si>
  <si>
    <t>GM-01043</t>
  </si>
  <si>
    <t>GM-01044</t>
  </si>
  <si>
    <t>GM-01045</t>
  </si>
  <si>
    <t>Costa Rica</t>
  </si>
  <si>
    <t>Costa Rica|1952</t>
  </si>
  <si>
    <t>GM-01046</t>
  </si>
  <si>
    <t>GM-01047</t>
  </si>
  <si>
    <t>GM-01048</t>
  </si>
  <si>
    <t>Costa Rica|1957</t>
  </si>
  <si>
    <t>GM-01049</t>
  </si>
  <si>
    <t>GM-01050</t>
  </si>
  <si>
    <t>GM-01051</t>
  </si>
  <si>
    <t>Costa Rica|1962</t>
  </si>
  <si>
    <t>GM-01052</t>
  </si>
  <si>
    <t>GM-01053</t>
  </si>
  <si>
    <t>GM-01054</t>
  </si>
  <si>
    <t>Costa Rica|1967</t>
  </si>
  <si>
    <t>GM-01055</t>
  </si>
  <si>
    <t>GM-01056</t>
  </si>
  <si>
    <t>GM-01057</t>
  </si>
  <si>
    <t>Costa Rica|1972</t>
  </si>
  <si>
    <t>GM-01058</t>
  </si>
  <si>
    <t>GM-01059</t>
  </si>
  <si>
    <t>GM-01060</t>
  </si>
  <si>
    <t>Costa Rica|1977</t>
  </si>
  <si>
    <t>GM-01061</t>
  </si>
  <si>
    <t>GM-01062</t>
  </si>
  <si>
    <t>GM-01063</t>
  </si>
  <si>
    <t>Costa Rica|1982</t>
  </si>
  <si>
    <t>GM-01064</t>
  </si>
  <si>
    <t>GM-01065</t>
  </si>
  <si>
    <t>GM-01066</t>
  </si>
  <si>
    <t>Costa Rica|1987</t>
  </si>
  <si>
    <t>GM-01067</t>
  </si>
  <si>
    <t>GM-01068</t>
  </si>
  <si>
    <t>GM-01069</t>
  </si>
  <si>
    <t>Costa Rica|1992</t>
  </si>
  <si>
    <t>GM-01070</t>
  </si>
  <si>
    <t>GM-01071</t>
  </si>
  <si>
    <t>GM-01072</t>
  </si>
  <si>
    <t>Costa Rica|1997</t>
  </si>
  <si>
    <t>GM-01073</t>
  </si>
  <si>
    <t>GM-01074</t>
  </si>
  <si>
    <t>GM-01075</t>
  </si>
  <si>
    <t>Costa Rica|2002</t>
  </si>
  <si>
    <t>GM-01076</t>
  </si>
  <si>
    <t>GM-01077</t>
  </si>
  <si>
    <t>GM-01078</t>
  </si>
  <si>
    <t>Costa Rica|2007</t>
  </si>
  <si>
    <t>GM-01079</t>
  </si>
  <si>
    <t>GM-01080</t>
  </si>
  <si>
    <t>GM-01081</t>
  </si>
  <si>
    <t>Cote d'Ivoire</t>
  </si>
  <si>
    <t>Cote d'Ivoire|1952</t>
  </si>
  <si>
    <t>GM-01082</t>
  </si>
  <si>
    <t>GM-01083</t>
  </si>
  <si>
    <t>GM-01084</t>
  </si>
  <si>
    <t>Cote d'Ivoire|1957</t>
  </si>
  <si>
    <t>GM-01085</t>
  </si>
  <si>
    <t>GM-01086</t>
  </si>
  <si>
    <t>GM-01087</t>
  </si>
  <si>
    <t>Cote d'Ivoire|1962</t>
  </si>
  <si>
    <t>GM-01088</t>
  </si>
  <si>
    <t>GM-01089</t>
  </si>
  <si>
    <t>GM-01090</t>
  </si>
  <si>
    <t>Cote d'Ivoire|1967</t>
  </si>
  <si>
    <t>GM-01091</t>
  </si>
  <si>
    <t>GM-01092</t>
  </si>
  <si>
    <t>GM-01093</t>
  </si>
  <si>
    <t>Cote d'Ivoire|1972</t>
  </si>
  <si>
    <t>GM-01094</t>
  </si>
  <si>
    <t>GM-01095</t>
  </si>
  <si>
    <t>GM-01096</t>
  </si>
  <si>
    <t>Cote d'Ivoire|1977</t>
  </si>
  <si>
    <t>GM-01097</t>
  </si>
  <si>
    <t>GM-01098</t>
  </si>
  <si>
    <t>GM-01099</t>
  </si>
  <si>
    <t>Cote d'Ivoire|1982</t>
  </si>
  <si>
    <t>GM-01100</t>
  </si>
  <si>
    <t>GM-01101</t>
  </si>
  <si>
    <t>GM-01102</t>
  </si>
  <si>
    <t>Cote d'Ivoire|1987</t>
  </si>
  <si>
    <t>GM-01103</t>
  </si>
  <si>
    <t>GM-01104</t>
  </si>
  <si>
    <t>GM-01105</t>
  </si>
  <si>
    <t>Cote d'Ivoire|1992</t>
  </si>
  <si>
    <t>GM-01106</t>
  </si>
  <si>
    <t>GM-01107</t>
  </si>
  <si>
    <t>GM-01108</t>
  </si>
  <si>
    <t>Cote d'Ivoire|1997</t>
  </si>
  <si>
    <t>GM-01109</t>
  </si>
  <si>
    <t>GM-01110</t>
  </si>
  <si>
    <t>GM-01111</t>
  </si>
  <si>
    <t>Cote d'Ivoire|2002</t>
  </si>
  <si>
    <t>GM-01112</t>
  </si>
  <si>
    <t>GM-01113</t>
  </si>
  <si>
    <t>GM-01114</t>
  </si>
  <si>
    <t>Cote d'Ivoire|2007</t>
  </si>
  <si>
    <t>GM-01115</t>
  </si>
  <si>
    <t>GM-01116</t>
  </si>
  <si>
    <t>GM-01117</t>
  </si>
  <si>
    <t>Croatia</t>
  </si>
  <si>
    <t>Croatia|1952</t>
  </si>
  <si>
    <t>GM-01118</t>
  </si>
  <si>
    <t>GM-01119</t>
  </si>
  <si>
    <t>GM-01120</t>
  </si>
  <si>
    <t>Croatia|1957</t>
  </si>
  <si>
    <t>GM-01121</t>
  </si>
  <si>
    <t>GM-01122</t>
  </si>
  <si>
    <t>GM-01123</t>
  </si>
  <si>
    <t>Croatia|1962</t>
  </si>
  <si>
    <t>GM-01124</t>
  </si>
  <si>
    <t>GM-01125</t>
  </si>
  <si>
    <t>GM-01126</t>
  </si>
  <si>
    <t>Croatia|1967</t>
  </si>
  <si>
    <t>GM-01127</t>
  </si>
  <si>
    <t>GM-01128</t>
  </si>
  <si>
    <t>GM-01129</t>
  </si>
  <si>
    <t>Croatia|1972</t>
  </si>
  <si>
    <t>GM-01130</t>
  </si>
  <si>
    <t>GM-01131</t>
  </si>
  <si>
    <t>GM-01132</t>
  </si>
  <si>
    <t>Croatia|1977</t>
  </si>
  <si>
    <t>GM-01133</t>
  </si>
  <si>
    <t>GM-01134</t>
  </si>
  <si>
    <t>GM-01135</t>
  </si>
  <si>
    <t>Croatia|1982</t>
  </si>
  <si>
    <t>GM-01136</t>
  </si>
  <si>
    <t>GM-01137</t>
  </si>
  <si>
    <t>GM-01138</t>
  </si>
  <si>
    <t>Croatia|1987</t>
  </si>
  <si>
    <t>GM-01139</t>
  </si>
  <si>
    <t>GM-01140</t>
  </si>
  <si>
    <t>GM-01141</t>
  </si>
  <si>
    <t>Croatia|1992</t>
  </si>
  <si>
    <t>GM-01142</t>
  </si>
  <si>
    <t>GM-01143</t>
  </si>
  <si>
    <t>GM-01144</t>
  </si>
  <si>
    <t>Croatia|1997</t>
  </si>
  <si>
    <t>GM-01145</t>
  </si>
  <si>
    <t>GM-01146</t>
  </si>
  <si>
    <t>GM-01147</t>
  </si>
  <si>
    <t>Croatia|2002</t>
  </si>
  <si>
    <t>GM-01148</t>
  </si>
  <si>
    <t>GM-01149</t>
  </si>
  <si>
    <t>GM-01150</t>
  </si>
  <si>
    <t>Croatia|2007</t>
  </si>
  <si>
    <t>GM-01151</t>
  </si>
  <si>
    <t>GM-01152</t>
  </si>
  <si>
    <t>GM-01153</t>
  </si>
  <si>
    <t>Cuba</t>
  </si>
  <si>
    <t>Cuba|1952</t>
  </si>
  <si>
    <t>GM-01154</t>
  </si>
  <si>
    <t>GM-01155</t>
  </si>
  <si>
    <t>GM-01156</t>
  </si>
  <si>
    <t>Cuba|1957</t>
  </si>
  <si>
    <t>GM-01157</t>
  </si>
  <si>
    <t>GM-01158</t>
  </si>
  <si>
    <t>GM-01159</t>
  </si>
  <si>
    <t>Cuba|1962</t>
  </si>
  <si>
    <t>GM-01160</t>
  </si>
  <si>
    <t>GM-01161</t>
  </si>
  <si>
    <t>GM-01162</t>
  </si>
  <si>
    <t>Cuba|1967</t>
  </si>
  <si>
    <t>GM-01163</t>
  </si>
  <si>
    <t>GM-01164</t>
  </si>
  <si>
    <t>GM-01165</t>
  </si>
  <si>
    <t>Cuba|1972</t>
  </si>
  <si>
    <t>GM-01166</t>
  </si>
  <si>
    <t>GM-01167</t>
  </si>
  <si>
    <t>GM-01168</t>
  </si>
  <si>
    <t>Cuba|1977</t>
  </si>
  <si>
    <t>GM-01169</t>
  </si>
  <si>
    <t>GM-01170</t>
  </si>
  <si>
    <t>GM-01171</t>
  </si>
  <si>
    <t>Cuba|1982</t>
  </si>
  <si>
    <t>GM-01172</t>
  </si>
  <si>
    <t>GM-01173</t>
  </si>
  <si>
    <t>GM-01174</t>
  </si>
  <si>
    <t>Cuba|1987</t>
  </si>
  <si>
    <t>GM-01175</t>
  </si>
  <si>
    <t>GM-01176</t>
  </si>
  <si>
    <t>GM-01177</t>
  </si>
  <si>
    <t>Cuba|1992</t>
  </si>
  <si>
    <t>GM-01178</t>
  </si>
  <si>
    <t>GM-01179</t>
  </si>
  <si>
    <t>GM-01180</t>
  </si>
  <si>
    <t>Cuba|1997</t>
  </si>
  <si>
    <t>GM-01181</t>
  </si>
  <si>
    <t>GM-01182</t>
  </si>
  <si>
    <t>GM-01183</t>
  </si>
  <si>
    <t>Cuba|2002</t>
  </si>
  <si>
    <t>GM-01184</t>
  </si>
  <si>
    <t>GM-01185</t>
  </si>
  <si>
    <t>GM-01186</t>
  </si>
  <si>
    <t>Cuba|2007</t>
  </si>
  <si>
    <t>GM-01187</t>
  </si>
  <si>
    <t>GM-01188</t>
  </si>
  <si>
    <t>GM-01189</t>
  </si>
  <si>
    <t>Czech Republic</t>
  </si>
  <si>
    <t>Czech Republic|1952</t>
  </si>
  <si>
    <t>GM-01190</t>
  </si>
  <si>
    <t>GM-01191</t>
  </si>
  <si>
    <t>GM-01192</t>
  </si>
  <si>
    <t>Czech Republic|1957</t>
  </si>
  <si>
    <t>GM-01193</t>
  </si>
  <si>
    <t>GM-01194</t>
  </si>
  <si>
    <t>GM-01195</t>
  </si>
  <si>
    <t>Czech Republic|1962</t>
  </si>
  <si>
    <t>GM-01196</t>
  </si>
  <si>
    <t>GM-01197</t>
  </si>
  <si>
    <t>GM-01198</t>
  </si>
  <si>
    <t>Czech Republic|1967</t>
  </si>
  <si>
    <t>GM-01199</t>
  </si>
  <si>
    <t>GM-01200</t>
  </si>
  <si>
    <t>GM-01201</t>
  </si>
  <si>
    <t>Czech Republic|1972</t>
  </si>
  <si>
    <t>GM-01202</t>
  </si>
  <si>
    <t>GM-01203</t>
  </si>
  <si>
    <t>GM-01204</t>
  </si>
  <si>
    <t>Czech Republic|1977</t>
  </si>
  <si>
    <t>GM-01205</t>
  </si>
  <si>
    <t>GM-01206</t>
  </si>
  <si>
    <t>GM-01207</t>
  </si>
  <si>
    <t>Czech Republic|1982</t>
  </si>
  <si>
    <t>GM-01208</t>
  </si>
  <si>
    <t>GM-01209</t>
  </si>
  <si>
    <t>GM-01210</t>
  </si>
  <si>
    <t>Czech Republic|1987</t>
  </si>
  <si>
    <t>GM-01211</t>
  </si>
  <si>
    <t>GM-01212</t>
  </si>
  <si>
    <t>GM-01213</t>
  </si>
  <si>
    <t>Czech Republic|1992</t>
  </si>
  <si>
    <t>GM-01214</t>
  </si>
  <si>
    <t>GM-01215</t>
  </si>
  <si>
    <t>GM-01216</t>
  </si>
  <si>
    <t>Czech Republic|1997</t>
  </si>
  <si>
    <t>GM-01217</t>
  </si>
  <si>
    <t>GM-01218</t>
  </si>
  <si>
    <t>GM-01219</t>
  </si>
  <si>
    <t>Czech Republic|2002</t>
  </si>
  <si>
    <t>GM-01220</t>
  </si>
  <si>
    <t>GM-01221</t>
  </si>
  <si>
    <t>GM-01222</t>
  </si>
  <si>
    <t>Czech Republic|2007</t>
  </si>
  <si>
    <t>GM-01223</t>
  </si>
  <si>
    <t>GM-01224</t>
  </si>
  <si>
    <t>GM-01225</t>
  </si>
  <si>
    <t>Denmark</t>
  </si>
  <si>
    <t>Denmark|1952</t>
  </si>
  <si>
    <t>GM-01226</t>
  </si>
  <si>
    <t>GM-01227</t>
  </si>
  <si>
    <t>GM-01228</t>
  </si>
  <si>
    <t>Denmark|1957</t>
  </si>
  <si>
    <t>GM-01229</t>
  </si>
  <si>
    <t>GM-01230</t>
  </si>
  <si>
    <t>GM-01231</t>
  </si>
  <si>
    <t>Denmark|1962</t>
  </si>
  <si>
    <t>GM-01232</t>
  </si>
  <si>
    <t>GM-01233</t>
  </si>
  <si>
    <t>GM-01234</t>
  </si>
  <si>
    <t>Denmark|1967</t>
  </si>
  <si>
    <t>GM-01235</t>
  </si>
  <si>
    <t>GM-01236</t>
  </si>
  <si>
    <t>GM-01237</t>
  </si>
  <si>
    <t>Denmark|1972</t>
  </si>
  <si>
    <t>GM-01238</t>
  </si>
  <si>
    <t>GM-01239</t>
  </si>
  <si>
    <t>GM-01240</t>
  </si>
  <si>
    <t>Denmark|1977</t>
  </si>
  <si>
    <t>GM-01241</t>
  </si>
  <si>
    <t>GM-01242</t>
  </si>
  <si>
    <t>GM-01243</t>
  </si>
  <si>
    <t>Denmark|1982</t>
  </si>
  <si>
    <t>GM-01244</t>
  </si>
  <si>
    <t>GM-01245</t>
  </si>
  <si>
    <t>GM-01246</t>
  </si>
  <si>
    <t>Denmark|1987</t>
  </si>
  <si>
    <t>GM-01247</t>
  </si>
  <si>
    <t>GM-01248</t>
  </si>
  <si>
    <t>GM-01249</t>
  </si>
  <si>
    <t>Denmark|1992</t>
  </si>
  <si>
    <t>GM-01250</t>
  </si>
  <si>
    <t>GM-01251</t>
  </si>
  <si>
    <t>GM-01252</t>
  </si>
  <si>
    <t>Denmark|1997</t>
  </si>
  <si>
    <t>GM-01253</t>
  </si>
  <si>
    <t>GM-01254</t>
  </si>
  <si>
    <t>GM-01255</t>
  </si>
  <si>
    <t>Denmark|2002</t>
  </si>
  <si>
    <t>GM-01256</t>
  </si>
  <si>
    <t>GM-01257</t>
  </si>
  <si>
    <t>GM-01258</t>
  </si>
  <si>
    <t>Denmark|2007</t>
  </si>
  <si>
    <t>GM-01259</t>
  </si>
  <si>
    <t>GM-01260</t>
  </si>
  <si>
    <t>GM-01261</t>
  </si>
  <si>
    <t>Djibouti</t>
  </si>
  <si>
    <t>Djibouti|1952</t>
  </si>
  <si>
    <t>GM-01262</t>
  </si>
  <si>
    <t>GM-01263</t>
  </si>
  <si>
    <t>GM-01264</t>
  </si>
  <si>
    <t>Djibouti|1957</t>
  </si>
  <si>
    <t>GM-01265</t>
  </si>
  <si>
    <t>GM-01266</t>
  </si>
  <si>
    <t>GM-01267</t>
  </si>
  <si>
    <t>Djibouti|1962</t>
  </si>
  <si>
    <t>GM-01268</t>
  </si>
  <si>
    <t>GM-01269</t>
  </si>
  <si>
    <t>GM-01270</t>
  </si>
  <si>
    <t>Djibouti|1967</t>
  </si>
  <si>
    <t>GM-01271</t>
  </si>
  <si>
    <t>GM-01272</t>
  </si>
  <si>
    <t>GM-01273</t>
  </si>
  <si>
    <t>Djibouti|1972</t>
  </si>
  <si>
    <t>GM-01274</t>
  </si>
  <si>
    <t>GM-01275</t>
  </si>
  <si>
    <t>GM-01276</t>
  </si>
  <si>
    <t>Djibouti|1977</t>
  </si>
  <si>
    <t>GM-01277</t>
  </si>
  <si>
    <t>GM-01278</t>
  </si>
  <si>
    <t>GM-01279</t>
  </si>
  <si>
    <t>Djibouti|1982</t>
  </si>
  <si>
    <t>GM-01280</t>
  </si>
  <si>
    <t>GM-01281</t>
  </si>
  <si>
    <t>GM-01282</t>
  </si>
  <si>
    <t>Djibouti|1987</t>
  </si>
  <si>
    <t>GM-01283</t>
  </si>
  <si>
    <t>GM-01284</t>
  </si>
  <si>
    <t>GM-01285</t>
  </si>
  <si>
    <t>Djibouti|1992</t>
  </si>
  <si>
    <t>GM-01286</t>
  </si>
  <si>
    <t>GM-01287</t>
  </si>
  <si>
    <t>GM-01288</t>
  </si>
  <si>
    <t>Djibouti|1997</t>
  </si>
  <si>
    <t>GM-01289</t>
  </si>
  <si>
    <t>GM-01290</t>
  </si>
  <si>
    <t>GM-01291</t>
  </si>
  <si>
    <t>Djibouti|2002</t>
  </si>
  <si>
    <t>GM-01292</t>
  </si>
  <si>
    <t>GM-01293</t>
  </si>
  <si>
    <t>GM-01294</t>
  </si>
  <si>
    <t>Djibouti|2007</t>
  </si>
  <si>
    <t>GM-01295</t>
  </si>
  <si>
    <t>GM-01296</t>
  </si>
  <si>
    <t>GM-01297</t>
  </si>
  <si>
    <t>Dominican Republic</t>
  </si>
  <si>
    <t>Dominican Republic|1952</t>
  </si>
  <si>
    <t>GM-01298</t>
  </si>
  <si>
    <t>GM-01299</t>
  </si>
  <si>
    <t>GM-01300</t>
  </si>
  <si>
    <t>Dominican Republic|1957</t>
  </si>
  <si>
    <t>GM-01301</t>
  </si>
  <si>
    <t>GM-01302</t>
  </si>
  <si>
    <t>GM-01303</t>
  </si>
  <si>
    <t>Dominican Republic|1962</t>
  </si>
  <si>
    <t>GM-01304</t>
  </si>
  <si>
    <t>GM-01305</t>
  </si>
  <si>
    <t>GM-01306</t>
  </si>
  <si>
    <t>Dominican Republic|1967</t>
  </si>
  <si>
    <t>GM-01307</t>
  </si>
  <si>
    <t>GM-01308</t>
  </si>
  <si>
    <t>GM-01309</t>
  </si>
  <si>
    <t>Dominican Republic|1972</t>
  </si>
  <si>
    <t>GM-01310</t>
  </si>
  <si>
    <t>GM-01311</t>
  </si>
  <si>
    <t>GM-01312</t>
  </si>
  <si>
    <t>Dominican Republic|1977</t>
  </si>
  <si>
    <t>GM-01313</t>
  </si>
  <si>
    <t>GM-01314</t>
  </si>
  <si>
    <t>GM-01315</t>
  </si>
  <si>
    <t>Dominican Republic|1982</t>
  </si>
  <si>
    <t>GM-01316</t>
  </si>
  <si>
    <t>GM-01317</t>
  </si>
  <si>
    <t>GM-01318</t>
  </si>
  <si>
    <t>Dominican Republic|1987</t>
  </si>
  <si>
    <t>GM-01319</t>
  </si>
  <si>
    <t>GM-01320</t>
  </si>
  <si>
    <t>GM-01321</t>
  </si>
  <si>
    <t>Dominican Republic|1992</t>
  </si>
  <si>
    <t>GM-01322</t>
  </si>
  <si>
    <t>GM-01323</t>
  </si>
  <si>
    <t>GM-01324</t>
  </si>
  <si>
    <t>Dominican Republic|1997</t>
  </si>
  <si>
    <t>GM-01325</t>
  </si>
  <si>
    <t>GM-01326</t>
  </si>
  <si>
    <t>GM-01327</t>
  </si>
  <si>
    <t>Dominican Republic|2002</t>
  </si>
  <si>
    <t>GM-01328</t>
  </si>
  <si>
    <t>GM-01329</t>
  </si>
  <si>
    <t>GM-01330</t>
  </si>
  <si>
    <t>Dominican Republic|2007</t>
  </si>
  <si>
    <t>GM-01331</t>
  </si>
  <si>
    <t>GM-01332</t>
  </si>
  <si>
    <t>GM-01333</t>
  </si>
  <si>
    <t>Ecuador</t>
  </si>
  <si>
    <t>Ecuador|1952</t>
  </si>
  <si>
    <t>GM-01334</t>
  </si>
  <si>
    <t>GM-01335</t>
  </si>
  <si>
    <t>GM-01336</t>
  </si>
  <si>
    <t>Ecuador|1957</t>
  </si>
  <si>
    <t>GM-01337</t>
  </si>
  <si>
    <t>GM-01338</t>
  </si>
  <si>
    <t>GM-01339</t>
  </si>
  <si>
    <t>Ecuador|1962</t>
  </si>
  <si>
    <t>GM-01340</t>
  </si>
  <si>
    <t>GM-01341</t>
  </si>
  <si>
    <t>GM-01342</t>
  </si>
  <si>
    <t>Ecuador|1967</t>
  </si>
  <si>
    <t>GM-01343</t>
  </si>
  <si>
    <t>GM-01344</t>
  </si>
  <si>
    <t>GM-01345</t>
  </si>
  <si>
    <t>Ecuador|1972</t>
  </si>
  <si>
    <t>GM-01346</t>
  </si>
  <si>
    <t>GM-01347</t>
  </si>
  <si>
    <t>GM-01348</t>
  </si>
  <si>
    <t>Ecuador|1977</t>
  </si>
  <si>
    <t>GM-01349</t>
  </si>
  <si>
    <t>GM-01350</t>
  </si>
  <si>
    <t>GM-01351</t>
  </si>
  <si>
    <t>Ecuador|1982</t>
  </si>
  <si>
    <t>GM-01352</t>
  </si>
  <si>
    <t>GM-01353</t>
  </si>
  <si>
    <t>GM-01354</t>
  </si>
  <si>
    <t>Ecuador|1987</t>
  </si>
  <si>
    <t>GM-01355</t>
  </si>
  <si>
    <t>GM-01356</t>
  </si>
  <si>
    <t>GM-01357</t>
  </si>
  <si>
    <t>Ecuador|1992</t>
  </si>
  <si>
    <t>GM-01358</t>
  </si>
  <si>
    <t>GM-01359</t>
  </si>
  <si>
    <t>GM-01360</t>
  </si>
  <si>
    <t>Ecuador|1997</t>
  </si>
  <si>
    <t>GM-01361</t>
  </si>
  <si>
    <t>GM-01362</t>
  </si>
  <si>
    <t>GM-01363</t>
  </si>
  <si>
    <t>Ecuador|2002</t>
  </si>
  <si>
    <t>GM-01364</t>
  </si>
  <si>
    <t>GM-01365</t>
  </si>
  <si>
    <t>GM-01366</t>
  </si>
  <si>
    <t>Ecuador|2007</t>
  </si>
  <si>
    <t>GM-01367</t>
  </si>
  <si>
    <t>GM-01368</t>
  </si>
  <si>
    <t>GM-01369</t>
  </si>
  <si>
    <t>Egypt</t>
  </si>
  <si>
    <t>Egypt|1952</t>
  </si>
  <si>
    <t>GM-01370</t>
  </si>
  <si>
    <t>GM-01371</t>
  </si>
  <si>
    <t>GM-01372</t>
  </si>
  <si>
    <t>Egypt|1957</t>
  </si>
  <si>
    <t>GM-01373</t>
  </si>
  <si>
    <t>GM-01374</t>
  </si>
  <si>
    <t>GM-01375</t>
  </si>
  <si>
    <t>Egypt|1962</t>
  </si>
  <si>
    <t>GM-01376</t>
  </si>
  <si>
    <t>GM-01377</t>
  </si>
  <si>
    <t>GM-01378</t>
  </si>
  <si>
    <t>Egypt|1967</t>
  </si>
  <si>
    <t>GM-01379</t>
  </si>
  <si>
    <t>GM-01380</t>
  </si>
  <si>
    <t>GM-01381</t>
  </si>
  <si>
    <t>Egypt|1972</t>
  </si>
  <si>
    <t>GM-01382</t>
  </si>
  <si>
    <t>GM-01383</t>
  </si>
  <si>
    <t>GM-01384</t>
  </si>
  <si>
    <t>Egypt|1977</t>
  </si>
  <si>
    <t>GM-01385</t>
  </si>
  <si>
    <t>GM-01386</t>
  </si>
  <si>
    <t>GM-01387</t>
  </si>
  <si>
    <t>Egypt|1982</t>
  </si>
  <si>
    <t>GM-01388</t>
  </si>
  <si>
    <t>GM-01389</t>
  </si>
  <si>
    <t>GM-01390</t>
  </si>
  <si>
    <t>Egypt|1987</t>
  </si>
  <si>
    <t>GM-01391</t>
  </si>
  <si>
    <t>GM-01392</t>
  </si>
  <si>
    <t>GM-01393</t>
  </si>
  <si>
    <t>Egypt|1992</t>
  </si>
  <si>
    <t>GM-01394</t>
  </si>
  <si>
    <t>GM-01395</t>
  </si>
  <si>
    <t>GM-01396</t>
  </si>
  <si>
    <t>Egypt|1997</t>
  </si>
  <si>
    <t>GM-01397</t>
  </si>
  <si>
    <t>GM-01398</t>
  </si>
  <si>
    <t>GM-01399</t>
  </si>
  <si>
    <t>Egypt|2002</t>
  </si>
  <si>
    <t>GM-01400</t>
  </si>
  <si>
    <t>GM-01401</t>
  </si>
  <si>
    <t>GM-01402</t>
  </si>
  <si>
    <t>Egypt|2007</t>
  </si>
  <si>
    <t>GM-01403</t>
  </si>
  <si>
    <t>GM-01404</t>
  </si>
  <si>
    <t>GM-01405</t>
  </si>
  <si>
    <t>El Salvador</t>
  </si>
  <si>
    <t>El Salvador|1952</t>
  </si>
  <si>
    <t>GM-01406</t>
  </si>
  <si>
    <t>GM-01407</t>
  </si>
  <si>
    <t>GM-01408</t>
  </si>
  <si>
    <t>El Salvador|1957</t>
  </si>
  <si>
    <t>GM-01409</t>
  </si>
  <si>
    <t>GM-01410</t>
  </si>
  <si>
    <t>GM-01411</t>
  </si>
  <si>
    <t>El Salvador|1962</t>
  </si>
  <si>
    <t>GM-01412</t>
  </si>
  <si>
    <t>GM-01413</t>
  </si>
  <si>
    <t>GM-01414</t>
  </si>
  <si>
    <t>El Salvador|1967</t>
  </si>
  <si>
    <t>GM-01415</t>
  </si>
  <si>
    <t>GM-01416</t>
  </si>
  <si>
    <t>GM-01417</t>
  </si>
  <si>
    <t>El Salvador|1972</t>
  </si>
  <si>
    <t>GM-01418</t>
  </si>
  <si>
    <t>GM-01419</t>
  </si>
  <si>
    <t>GM-01420</t>
  </si>
  <si>
    <t>El Salvador|1977</t>
  </si>
  <si>
    <t>GM-01421</t>
  </si>
  <si>
    <t>GM-01422</t>
  </si>
  <si>
    <t>GM-01423</t>
  </si>
  <si>
    <t>El Salvador|1982</t>
  </si>
  <si>
    <t>GM-01424</t>
  </si>
  <si>
    <t>GM-01425</t>
  </si>
  <si>
    <t>GM-01426</t>
  </si>
  <si>
    <t>El Salvador|1987</t>
  </si>
  <si>
    <t>GM-01427</t>
  </si>
  <si>
    <t>GM-01428</t>
  </si>
  <si>
    <t>GM-01429</t>
  </si>
  <si>
    <t>El Salvador|1992</t>
  </si>
  <si>
    <t>GM-01430</t>
  </si>
  <si>
    <t>GM-01431</t>
  </si>
  <si>
    <t>GM-01432</t>
  </si>
  <si>
    <t>El Salvador|1997</t>
  </si>
  <si>
    <t>GM-01433</t>
  </si>
  <si>
    <t>GM-01434</t>
  </si>
  <si>
    <t>GM-01435</t>
  </si>
  <si>
    <t>El Salvador|2002</t>
  </si>
  <si>
    <t>GM-01436</t>
  </si>
  <si>
    <t>GM-01437</t>
  </si>
  <si>
    <t>GM-01438</t>
  </si>
  <si>
    <t>El Salvador|2007</t>
  </si>
  <si>
    <t>GM-01439</t>
  </si>
  <si>
    <t>GM-01440</t>
  </si>
  <si>
    <t>GM-01441</t>
  </si>
  <si>
    <t>Equatorial Guinea</t>
  </si>
  <si>
    <t>Equatorial Guinea|1952</t>
  </si>
  <si>
    <t>GM-01442</t>
  </si>
  <si>
    <t>GM-01443</t>
  </si>
  <si>
    <t>GM-01444</t>
  </si>
  <si>
    <t>Equatorial Guinea|1957</t>
  </si>
  <si>
    <t>GM-01445</t>
  </si>
  <si>
    <t>GM-01446</t>
  </si>
  <si>
    <t>GM-01447</t>
  </si>
  <si>
    <t>Equatorial Guinea|1962</t>
  </si>
  <si>
    <t>GM-01448</t>
  </si>
  <si>
    <t>GM-01449</t>
  </si>
  <si>
    <t>GM-01450</t>
  </si>
  <si>
    <t>Equatorial Guinea|1967</t>
  </si>
  <si>
    <t>GM-01451</t>
  </si>
  <si>
    <t>GM-01452</t>
  </si>
  <si>
    <t>GM-01453</t>
  </si>
  <si>
    <t>Equatorial Guinea|1972</t>
  </si>
  <si>
    <t>GM-01454</t>
  </si>
  <si>
    <t>GM-01455</t>
  </si>
  <si>
    <t>GM-01456</t>
  </si>
  <si>
    <t>Equatorial Guinea|1977</t>
  </si>
  <si>
    <t>GM-01457</t>
  </si>
  <si>
    <t>GM-01458</t>
  </si>
  <si>
    <t>GM-01459</t>
  </si>
  <si>
    <t>Equatorial Guinea|1982</t>
  </si>
  <si>
    <t>GM-01460</t>
  </si>
  <si>
    <t>GM-01461</t>
  </si>
  <si>
    <t>GM-01462</t>
  </si>
  <si>
    <t>Equatorial Guinea|1987</t>
  </si>
  <si>
    <t>GM-01463</t>
  </si>
  <si>
    <t>GM-01464</t>
  </si>
  <si>
    <t>GM-01465</t>
  </si>
  <si>
    <t>Equatorial Guinea|1992</t>
  </si>
  <si>
    <t>GM-01466</t>
  </si>
  <si>
    <t>GM-01467</t>
  </si>
  <si>
    <t>GM-01468</t>
  </si>
  <si>
    <t>Equatorial Guinea|1997</t>
  </si>
  <si>
    <t>GM-01469</t>
  </si>
  <si>
    <t>GM-01470</t>
  </si>
  <si>
    <t>GM-01471</t>
  </si>
  <si>
    <t>Equatorial Guinea|2002</t>
  </si>
  <si>
    <t>GM-01472</t>
  </si>
  <si>
    <t>GM-01473</t>
  </si>
  <si>
    <t>GM-01474</t>
  </si>
  <si>
    <t>Equatorial Guinea|2007</t>
  </si>
  <si>
    <t>GM-01475</t>
  </si>
  <si>
    <t>GM-01476</t>
  </si>
  <si>
    <t>GM-01477</t>
  </si>
  <si>
    <t>Eritrea</t>
  </si>
  <si>
    <t>Eritrea|1952</t>
  </si>
  <si>
    <t>GM-01478</t>
  </si>
  <si>
    <t>GM-01479</t>
  </si>
  <si>
    <t>GM-01480</t>
  </si>
  <si>
    <t>Eritrea|1957</t>
  </si>
  <si>
    <t>GM-01481</t>
  </si>
  <si>
    <t>GM-01482</t>
  </si>
  <si>
    <t>GM-01483</t>
  </si>
  <si>
    <t>Eritrea|1962</t>
  </si>
  <si>
    <t>GM-01484</t>
  </si>
  <si>
    <t>GM-01485</t>
  </si>
  <si>
    <t>GM-01486</t>
  </si>
  <si>
    <t>Eritrea|1967</t>
  </si>
  <si>
    <t>GM-01487</t>
  </si>
  <si>
    <t>GM-01488</t>
  </si>
  <si>
    <t>GM-01489</t>
  </si>
  <si>
    <t>Eritrea|1972</t>
  </si>
  <si>
    <t>GM-01490</t>
  </si>
  <si>
    <t>GM-01491</t>
  </si>
  <si>
    <t>GM-01492</t>
  </si>
  <si>
    <t>Eritrea|1977</t>
  </si>
  <si>
    <t>GM-01493</t>
  </si>
  <si>
    <t>GM-01494</t>
  </si>
  <si>
    <t>GM-01495</t>
  </si>
  <si>
    <t>Eritrea|1982</t>
  </si>
  <si>
    <t>GM-01496</t>
  </si>
  <si>
    <t>GM-01497</t>
  </si>
  <si>
    <t>GM-01498</t>
  </si>
  <si>
    <t>Eritrea|1987</t>
  </si>
  <si>
    <t>GM-01499</t>
  </si>
  <si>
    <t>GM-01500</t>
  </si>
  <si>
    <t>GM-01501</t>
  </si>
  <si>
    <t>Eritrea|1992</t>
  </si>
  <si>
    <t>GM-01502</t>
  </si>
  <si>
    <t>GM-01503</t>
  </si>
  <si>
    <t>GM-01504</t>
  </si>
  <si>
    <t>Eritrea|1997</t>
  </si>
  <si>
    <t>GM-01505</t>
  </si>
  <si>
    <t>GM-01506</t>
  </si>
  <si>
    <t>GM-01507</t>
  </si>
  <si>
    <t>Eritrea|2002</t>
  </si>
  <si>
    <t>GM-01508</t>
  </si>
  <si>
    <t>GM-01509</t>
  </si>
  <si>
    <t>GM-01510</t>
  </si>
  <si>
    <t>Eritrea|2007</t>
  </si>
  <si>
    <t>GM-01511</t>
  </si>
  <si>
    <t>GM-01512</t>
  </si>
  <si>
    <t>GM-01513</t>
  </si>
  <si>
    <t>Ethiopia</t>
  </si>
  <si>
    <t>Ethiopia|1952</t>
  </si>
  <si>
    <t>GM-01514</t>
  </si>
  <si>
    <t>GM-01515</t>
  </si>
  <si>
    <t>GM-01516</t>
  </si>
  <si>
    <t>Ethiopia|1957</t>
  </si>
  <si>
    <t>GM-01517</t>
  </si>
  <si>
    <t>GM-01518</t>
  </si>
  <si>
    <t>GM-01519</t>
  </si>
  <si>
    <t>Ethiopia|1962</t>
  </si>
  <si>
    <t>GM-01520</t>
  </si>
  <si>
    <t>GM-01521</t>
  </si>
  <si>
    <t>GM-01522</t>
  </si>
  <si>
    <t>Ethiopia|1967</t>
  </si>
  <si>
    <t>GM-01523</t>
  </si>
  <si>
    <t>GM-01524</t>
  </si>
  <si>
    <t>GM-01525</t>
  </si>
  <si>
    <t>Ethiopia|1972</t>
  </si>
  <si>
    <t>GM-01526</t>
  </si>
  <si>
    <t>GM-01527</t>
  </si>
  <si>
    <t>GM-01528</t>
  </si>
  <si>
    <t>Ethiopia|1977</t>
  </si>
  <si>
    <t>GM-01529</t>
  </si>
  <si>
    <t>GM-01530</t>
  </si>
  <si>
    <t>GM-01531</t>
  </si>
  <si>
    <t>Ethiopia|1982</t>
  </si>
  <si>
    <t>GM-01532</t>
  </si>
  <si>
    <t>GM-01533</t>
  </si>
  <si>
    <t>GM-01534</t>
  </si>
  <si>
    <t>Ethiopia|1987</t>
  </si>
  <si>
    <t>GM-01535</t>
  </si>
  <si>
    <t>GM-01536</t>
  </si>
  <si>
    <t>GM-01537</t>
  </si>
  <si>
    <t>Ethiopia|1992</t>
  </si>
  <si>
    <t>GM-01538</t>
  </si>
  <si>
    <t>GM-01539</t>
  </si>
  <si>
    <t>GM-01540</t>
  </si>
  <si>
    <t>Ethiopia|1997</t>
  </si>
  <si>
    <t>GM-01541</t>
  </si>
  <si>
    <t>GM-01542</t>
  </si>
  <si>
    <t>GM-01543</t>
  </si>
  <si>
    <t>Ethiopia|2002</t>
  </si>
  <si>
    <t>GM-01544</t>
  </si>
  <si>
    <t>GM-01545</t>
  </si>
  <si>
    <t>GM-01546</t>
  </si>
  <si>
    <t>Ethiopia|2007</t>
  </si>
  <si>
    <t>GM-01547</t>
  </si>
  <si>
    <t>GM-01548</t>
  </si>
  <si>
    <t>GM-01549</t>
  </si>
  <si>
    <t>Finland</t>
  </si>
  <si>
    <t>Finland|1952</t>
  </si>
  <si>
    <t>GM-01550</t>
  </si>
  <si>
    <t>GM-01551</t>
  </si>
  <si>
    <t>GM-01552</t>
  </si>
  <si>
    <t>Finland|1957</t>
  </si>
  <si>
    <t>GM-01553</t>
  </si>
  <si>
    <t>GM-01554</t>
  </si>
  <si>
    <t>GM-01555</t>
  </si>
  <si>
    <t>Finland|1962</t>
  </si>
  <si>
    <t>GM-01556</t>
  </si>
  <si>
    <t>GM-01557</t>
  </si>
  <si>
    <t>GM-01558</t>
  </si>
  <si>
    <t>Finland|1967</t>
  </si>
  <si>
    <t>GM-01559</t>
  </si>
  <si>
    <t>GM-01560</t>
  </si>
  <si>
    <t>GM-01561</t>
  </si>
  <si>
    <t>Finland|1972</t>
  </si>
  <si>
    <t>GM-01562</t>
  </si>
  <si>
    <t>GM-01563</t>
  </si>
  <si>
    <t>GM-01564</t>
  </si>
  <si>
    <t>Finland|1977</t>
  </si>
  <si>
    <t>GM-01565</t>
  </si>
  <si>
    <t>GM-01566</t>
  </si>
  <si>
    <t>GM-01567</t>
  </si>
  <si>
    <t>Finland|1982</t>
  </si>
  <si>
    <t>GM-01568</t>
  </si>
  <si>
    <t>GM-01569</t>
  </si>
  <si>
    <t>GM-01570</t>
  </si>
  <si>
    <t>Finland|1987</t>
  </si>
  <si>
    <t>GM-01571</t>
  </si>
  <si>
    <t>GM-01572</t>
  </si>
  <si>
    <t>GM-01573</t>
  </si>
  <si>
    <t>Finland|1992</t>
  </si>
  <si>
    <t>GM-01574</t>
  </si>
  <si>
    <t>GM-01575</t>
  </si>
  <si>
    <t>GM-01576</t>
  </si>
  <si>
    <t>Finland|1997</t>
  </si>
  <si>
    <t>GM-01577</t>
  </si>
  <si>
    <t>GM-01578</t>
  </si>
  <si>
    <t>GM-01579</t>
  </si>
  <si>
    <t>Finland|2002</t>
  </si>
  <si>
    <t>GM-01580</t>
  </si>
  <si>
    <t>GM-01581</t>
  </si>
  <si>
    <t>GM-01582</t>
  </si>
  <si>
    <t>Finland|2007</t>
  </si>
  <si>
    <t>GM-01583</t>
  </si>
  <si>
    <t>GM-01584</t>
  </si>
  <si>
    <t>GM-01585</t>
  </si>
  <si>
    <t>France</t>
  </si>
  <si>
    <t>France|1952</t>
  </si>
  <si>
    <t>GM-01586</t>
  </si>
  <si>
    <t>GM-01587</t>
  </si>
  <si>
    <t>GM-01588</t>
  </si>
  <si>
    <t>France|1957</t>
  </si>
  <si>
    <t>GM-01589</t>
  </si>
  <si>
    <t>GM-01590</t>
  </si>
  <si>
    <t>GM-01591</t>
  </si>
  <si>
    <t>France|1962</t>
  </si>
  <si>
    <t>GM-01592</t>
  </si>
  <si>
    <t>GM-01593</t>
  </si>
  <si>
    <t>GM-01594</t>
  </si>
  <si>
    <t>France|1967</t>
  </si>
  <si>
    <t>GM-01595</t>
  </si>
  <si>
    <t>GM-01596</t>
  </si>
  <si>
    <t>GM-01597</t>
  </si>
  <si>
    <t>France|1972</t>
  </si>
  <si>
    <t>GM-01598</t>
  </si>
  <si>
    <t>GM-01599</t>
  </si>
  <si>
    <t>GM-01600</t>
  </si>
  <si>
    <t>France|1977</t>
  </si>
  <si>
    <t>GM-01601</t>
  </si>
  <si>
    <t>GM-01602</t>
  </si>
  <si>
    <t>GM-01603</t>
  </si>
  <si>
    <t>France|1982</t>
  </si>
  <si>
    <t>GM-01604</t>
  </si>
  <si>
    <t>GM-01605</t>
  </si>
  <si>
    <t>GM-01606</t>
  </si>
  <si>
    <t>France|1987</t>
  </si>
  <si>
    <t>GM-01607</t>
  </si>
  <si>
    <t>GM-01608</t>
  </si>
  <si>
    <t>GM-01609</t>
  </si>
  <si>
    <t>France|1992</t>
  </si>
  <si>
    <t>GM-01610</t>
  </si>
  <si>
    <t>GM-01611</t>
  </si>
  <si>
    <t>GM-01612</t>
  </si>
  <si>
    <t>France|1997</t>
  </si>
  <si>
    <t>GM-01613</t>
  </si>
  <si>
    <t>GM-01614</t>
  </si>
  <si>
    <t>GM-01615</t>
  </si>
  <si>
    <t>France|2002</t>
  </si>
  <si>
    <t>GM-01616</t>
  </si>
  <si>
    <t>GM-01617</t>
  </si>
  <si>
    <t>GM-01618</t>
  </si>
  <si>
    <t>France|2007</t>
  </si>
  <si>
    <t>GM-01619</t>
  </si>
  <si>
    <t>GM-01620</t>
  </si>
  <si>
    <t>GM-01621</t>
  </si>
  <si>
    <t>Gabon</t>
  </si>
  <si>
    <t>Gabon|1952</t>
  </si>
  <si>
    <t>GM-01622</t>
  </si>
  <si>
    <t>GM-01623</t>
  </si>
  <si>
    <t>GM-01624</t>
  </si>
  <si>
    <t>Gabon|1957</t>
  </si>
  <si>
    <t>GM-01625</t>
  </si>
  <si>
    <t>GM-01626</t>
  </si>
  <si>
    <t>GM-01627</t>
  </si>
  <si>
    <t>Gabon|1962</t>
  </si>
  <si>
    <t>GM-01628</t>
  </si>
  <si>
    <t>GM-01629</t>
  </si>
  <si>
    <t>GM-01630</t>
  </si>
  <si>
    <t>Gabon|1967</t>
  </si>
  <si>
    <t>GM-01631</t>
  </si>
  <si>
    <t>GM-01632</t>
  </si>
  <si>
    <t>GM-01633</t>
  </si>
  <si>
    <t>Gabon|1972</t>
  </si>
  <si>
    <t>GM-01634</t>
  </si>
  <si>
    <t>GM-01635</t>
  </si>
  <si>
    <t>GM-01636</t>
  </si>
  <si>
    <t>Gabon|1977</t>
  </si>
  <si>
    <t>GM-01637</t>
  </si>
  <si>
    <t>GM-01638</t>
  </si>
  <si>
    <t>GM-01639</t>
  </si>
  <si>
    <t>Gabon|1982</t>
  </si>
  <si>
    <t>GM-01640</t>
  </si>
  <si>
    <t>GM-01641</t>
  </si>
  <si>
    <t>GM-01642</t>
  </si>
  <si>
    <t>Gabon|1987</t>
  </si>
  <si>
    <t>GM-01643</t>
  </si>
  <si>
    <t>GM-01644</t>
  </si>
  <si>
    <t>GM-01645</t>
  </si>
  <si>
    <t>Gabon|1992</t>
  </si>
  <si>
    <t>GM-01646</t>
  </si>
  <si>
    <t>GM-01647</t>
  </si>
  <si>
    <t>GM-01648</t>
  </si>
  <si>
    <t>Gabon|1997</t>
  </si>
  <si>
    <t>GM-01649</t>
  </si>
  <si>
    <t>GM-01650</t>
  </si>
  <si>
    <t>GM-01651</t>
  </si>
  <si>
    <t>Gabon|2002</t>
  </si>
  <si>
    <t>GM-01652</t>
  </si>
  <si>
    <t>GM-01653</t>
  </si>
  <si>
    <t>GM-01654</t>
  </si>
  <si>
    <t>Gabon|2007</t>
  </si>
  <si>
    <t>GM-01655</t>
  </si>
  <si>
    <t>GM-01656</t>
  </si>
  <si>
    <t>GM-01657</t>
  </si>
  <si>
    <t>Gambia</t>
  </si>
  <si>
    <t>Gambia|1952</t>
  </si>
  <si>
    <t>GM-01658</t>
  </si>
  <si>
    <t>GM-01659</t>
  </si>
  <si>
    <t>GM-01660</t>
  </si>
  <si>
    <t>Gambia|1957</t>
  </si>
  <si>
    <t>GM-01661</t>
  </si>
  <si>
    <t>GM-01662</t>
  </si>
  <si>
    <t>GM-01663</t>
  </si>
  <si>
    <t>Gambia|1962</t>
  </si>
  <si>
    <t>GM-01664</t>
  </si>
  <si>
    <t>GM-01665</t>
  </si>
  <si>
    <t>GM-01666</t>
  </si>
  <si>
    <t>Gambia|1967</t>
  </si>
  <si>
    <t>GM-01667</t>
  </si>
  <si>
    <t>GM-01668</t>
  </si>
  <si>
    <t>GM-01669</t>
  </si>
  <si>
    <t>Gambia|1972</t>
  </si>
  <si>
    <t>GM-01670</t>
  </si>
  <si>
    <t>GM-01671</t>
  </si>
  <si>
    <t>GM-01672</t>
  </si>
  <si>
    <t>Gambia|1977</t>
  </si>
  <si>
    <t>GM-01673</t>
  </si>
  <si>
    <t>GM-01674</t>
  </si>
  <si>
    <t>GM-01675</t>
  </si>
  <si>
    <t>Gambia|1982</t>
  </si>
  <si>
    <t>GM-01676</t>
  </si>
  <si>
    <t>GM-01677</t>
  </si>
  <si>
    <t>GM-01678</t>
  </si>
  <si>
    <t>Gambia|1987</t>
  </si>
  <si>
    <t>GM-01679</t>
  </si>
  <si>
    <t>GM-01680</t>
  </si>
  <si>
    <t>GM-01681</t>
  </si>
  <si>
    <t>Gambia|1992</t>
  </si>
  <si>
    <t>GM-01682</t>
  </si>
  <si>
    <t>GM-01683</t>
  </si>
  <si>
    <t>GM-01684</t>
  </si>
  <si>
    <t>Gambia|1997</t>
  </si>
  <si>
    <t>GM-01685</t>
  </si>
  <si>
    <t>GM-01686</t>
  </si>
  <si>
    <t>GM-01687</t>
  </si>
  <si>
    <t>Gambia|2002</t>
  </si>
  <si>
    <t>GM-01688</t>
  </si>
  <si>
    <t>GM-01689</t>
  </si>
  <si>
    <t>GM-01690</t>
  </si>
  <si>
    <t>Gambia|2007</t>
  </si>
  <si>
    <t>GM-01691</t>
  </si>
  <si>
    <t>GM-01692</t>
  </si>
  <si>
    <t>GM-01693</t>
  </si>
  <si>
    <t>Germany</t>
  </si>
  <si>
    <t>Germany|1952</t>
  </si>
  <si>
    <t>GM-01694</t>
  </si>
  <si>
    <t>GM-01695</t>
  </si>
  <si>
    <t>GM-01696</t>
  </si>
  <si>
    <t>Germany|1957</t>
  </si>
  <si>
    <t>GM-01697</t>
  </si>
  <si>
    <t>GM-01698</t>
  </si>
  <si>
    <t>GM-01699</t>
  </si>
  <si>
    <t>Germany|1962</t>
  </si>
  <si>
    <t>GM-01700</t>
  </si>
  <si>
    <t>GM-01701</t>
  </si>
  <si>
    <t>GM-01702</t>
  </si>
  <si>
    <t>Germany|1967</t>
  </si>
  <si>
    <t>GM-01703</t>
  </si>
  <si>
    <t>GM-01704</t>
  </si>
  <si>
    <t>GM-01705</t>
  </si>
  <si>
    <t>Germany|1972</t>
  </si>
  <si>
    <t>GM-01706</t>
  </si>
  <si>
    <t>GM-01707</t>
  </si>
  <si>
    <t>GM-01708</t>
  </si>
  <si>
    <t>Germany|1977</t>
  </si>
  <si>
    <t>GM-01709</t>
  </si>
  <si>
    <t>GM-01710</t>
  </si>
  <si>
    <t>GM-01711</t>
  </si>
  <si>
    <t>Germany|1982</t>
  </si>
  <si>
    <t>GM-01712</t>
  </si>
  <si>
    <t>GM-01713</t>
  </si>
  <si>
    <t>GM-01714</t>
  </si>
  <si>
    <t>Germany|1987</t>
  </si>
  <si>
    <t>GM-01715</t>
  </si>
  <si>
    <t>GM-01716</t>
  </si>
  <si>
    <t>GM-01717</t>
  </si>
  <si>
    <t>Germany|1992</t>
  </si>
  <si>
    <t>GM-01718</t>
  </si>
  <si>
    <t>GM-01719</t>
  </si>
  <si>
    <t>GM-01720</t>
  </si>
  <si>
    <t>Germany|1997</t>
  </si>
  <si>
    <t>GM-01721</t>
  </si>
  <si>
    <t>GM-01722</t>
  </si>
  <si>
    <t>GM-01723</t>
  </si>
  <si>
    <t>Germany|2002</t>
  </si>
  <si>
    <t>GM-01724</t>
  </si>
  <si>
    <t>GM-01725</t>
  </si>
  <si>
    <t>GM-01726</t>
  </si>
  <si>
    <t>Germany|2007</t>
  </si>
  <si>
    <t>GM-01727</t>
  </si>
  <si>
    <t>GM-01728</t>
  </si>
  <si>
    <t>GM-01729</t>
  </si>
  <si>
    <t>Ghana</t>
  </si>
  <si>
    <t>Ghana|1952</t>
  </si>
  <si>
    <t>GM-01730</t>
  </si>
  <si>
    <t>GM-01731</t>
  </si>
  <si>
    <t>GM-01732</t>
  </si>
  <si>
    <t>Ghana|1957</t>
  </si>
  <si>
    <t>GM-01733</t>
  </si>
  <si>
    <t>GM-01734</t>
  </si>
  <si>
    <t>GM-01735</t>
  </si>
  <si>
    <t>Ghana|1962</t>
  </si>
  <si>
    <t>GM-01736</t>
  </si>
  <si>
    <t>GM-01737</t>
  </si>
  <si>
    <t>GM-01738</t>
  </si>
  <si>
    <t>Ghana|1967</t>
  </si>
  <si>
    <t>GM-01739</t>
  </si>
  <si>
    <t>GM-01740</t>
  </si>
  <si>
    <t>GM-01741</t>
  </si>
  <si>
    <t>Ghana|1972</t>
  </si>
  <si>
    <t>GM-01742</t>
  </si>
  <si>
    <t>GM-01743</t>
  </si>
  <si>
    <t>GM-01744</t>
  </si>
  <si>
    <t>Ghana|1977</t>
  </si>
  <si>
    <t>GM-01745</t>
  </si>
  <si>
    <t>GM-01746</t>
  </si>
  <si>
    <t>GM-01747</t>
  </si>
  <si>
    <t>Ghana|1982</t>
  </si>
  <si>
    <t>GM-01748</t>
  </si>
  <si>
    <t>GM-01749</t>
  </si>
  <si>
    <t>GM-01750</t>
  </si>
  <si>
    <t>Ghana|1987</t>
  </si>
  <si>
    <t>GM-01751</t>
  </si>
  <si>
    <t>GM-01752</t>
  </si>
  <si>
    <t>GM-01753</t>
  </si>
  <si>
    <t>Ghana|1992</t>
  </si>
  <si>
    <t>GM-01754</t>
  </si>
  <si>
    <t>GM-01755</t>
  </si>
  <si>
    <t>GM-01756</t>
  </si>
  <si>
    <t>Ghana|1997</t>
  </si>
  <si>
    <t>GM-01757</t>
  </si>
  <si>
    <t>GM-01758</t>
  </si>
  <si>
    <t>GM-01759</t>
  </si>
  <si>
    <t>Ghana|2002</t>
  </si>
  <si>
    <t>GM-01760</t>
  </si>
  <si>
    <t>GM-01761</t>
  </si>
  <si>
    <t>GM-01762</t>
  </si>
  <si>
    <t>Ghana|2007</t>
  </si>
  <si>
    <t>GM-01763</t>
  </si>
  <si>
    <t>GM-01764</t>
  </si>
  <si>
    <t>GM-01765</t>
  </si>
  <si>
    <t>Greece</t>
  </si>
  <si>
    <t>Greece|1952</t>
  </si>
  <si>
    <t>GM-01766</t>
  </si>
  <si>
    <t>GM-01767</t>
  </si>
  <si>
    <t>GM-01768</t>
  </si>
  <si>
    <t>Greece|1957</t>
  </si>
  <si>
    <t>GM-01769</t>
  </si>
  <si>
    <t>GM-01770</t>
  </si>
  <si>
    <t>GM-01771</t>
  </si>
  <si>
    <t>Greece|1962</t>
  </si>
  <si>
    <t>GM-01772</t>
  </si>
  <si>
    <t>GM-01773</t>
  </si>
  <si>
    <t>GM-01774</t>
  </si>
  <si>
    <t>Greece|1967</t>
  </si>
  <si>
    <t>GM-01775</t>
  </si>
  <si>
    <t>GM-01776</t>
  </si>
  <si>
    <t>GM-01777</t>
  </si>
  <si>
    <t>Greece|1972</t>
  </si>
  <si>
    <t>GM-01778</t>
  </si>
  <si>
    <t>GM-01779</t>
  </si>
  <si>
    <t>GM-01780</t>
  </si>
  <si>
    <t>Greece|1977</t>
  </si>
  <si>
    <t>GM-01781</t>
  </si>
  <si>
    <t>GM-01782</t>
  </si>
  <si>
    <t>GM-01783</t>
  </si>
  <si>
    <t>Greece|1982</t>
  </si>
  <si>
    <t>GM-01784</t>
  </si>
  <si>
    <t>GM-01785</t>
  </si>
  <si>
    <t>GM-01786</t>
  </si>
  <si>
    <t>Greece|1987</t>
  </si>
  <si>
    <t>GM-01787</t>
  </si>
  <si>
    <t>GM-01788</t>
  </si>
  <si>
    <t>GM-01789</t>
  </si>
  <si>
    <t>Greece|1992</t>
  </si>
  <si>
    <t>GM-01790</t>
  </si>
  <si>
    <t>GM-01791</t>
  </si>
  <si>
    <t>GM-01792</t>
  </si>
  <si>
    <t>Greece|1997</t>
  </si>
  <si>
    <t>GM-01793</t>
  </si>
  <si>
    <t>GM-01794</t>
  </si>
  <si>
    <t>GM-01795</t>
  </si>
  <si>
    <t>Greece|2002</t>
  </si>
  <si>
    <t>GM-01796</t>
  </si>
  <si>
    <t>GM-01797</t>
  </si>
  <si>
    <t>GM-01798</t>
  </si>
  <si>
    <t>Greece|2007</t>
  </si>
  <si>
    <t>GM-01799</t>
  </si>
  <si>
    <t>GM-01800</t>
  </si>
  <si>
    <t>GM-01801</t>
  </si>
  <si>
    <t>Guatemala</t>
  </si>
  <si>
    <t>Guatemala|1952</t>
  </si>
  <si>
    <t>GM-01802</t>
  </si>
  <si>
    <t>GM-01803</t>
  </si>
  <si>
    <t>GM-01804</t>
  </si>
  <si>
    <t>Guatemala|1957</t>
  </si>
  <si>
    <t>GM-01805</t>
  </si>
  <si>
    <t>GM-01806</t>
  </si>
  <si>
    <t>GM-01807</t>
  </si>
  <si>
    <t>Guatemala|1962</t>
  </si>
  <si>
    <t>GM-01808</t>
  </si>
  <si>
    <t>GM-01809</t>
  </si>
  <si>
    <t>GM-01810</t>
  </si>
  <si>
    <t>Guatemala|1967</t>
  </si>
  <si>
    <t>GM-01811</t>
  </si>
  <si>
    <t>GM-01812</t>
  </si>
  <si>
    <t>GM-01813</t>
  </si>
  <si>
    <t>Guatemala|1972</t>
  </si>
  <si>
    <t>GM-01814</t>
  </si>
  <si>
    <t>GM-01815</t>
  </si>
  <si>
    <t>GM-01816</t>
  </si>
  <si>
    <t>Guatemala|1977</t>
  </si>
  <si>
    <t>GM-01817</t>
  </si>
  <si>
    <t>GM-01818</t>
  </si>
  <si>
    <t>GM-01819</t>
  </si>
  <si>
    <t>Guatemala|1982</t>
  </si>
  <si>
    <t>GM-01820</t>
  </si>
  <si>
    <t>GM-01821</t>
  </si>
  <si>
    <t>GM-01822</t>
  </si>
  <si>
    <t>Guatemala|1987</t>
  </si>
  <si>
    <t>GM-01823</t>
  </si>
  <si>
    <t>GM-01824</t>
  </si>
  <si>
    <t>GM-01825</t>
  </si>
  <si>
    <t>Guatemala|1992</t>
  </si>
  <si>
    <t>GM-01826</t>
  </si>
  <si>
    <t>GM-01827</t>
  </si>
  <si>
    <t>GM-01828</t>
  </si>
  <si>
    <t>Guatemala|1997</t>
  </si>
  <si>
    <t>GM-01829</t>
  </si>
  <si>
    <t>GM-01830</t>
  </si>
  <si>
    <t>GM-01831</t>
  </si>
  <si>
    <t>Guatemala|2002</t>
  </si>
  <si>
    <t>GM-01832</t>
  </si>
  <si>
    <t>GM-01833</t>
  </si>
  <si>
    <t>GM-01834</t>
  </si>
  <si>
    <t>Guatemala|2007</t>
  </si>
  <si>
    <t>GM-01835</t>
  </si>
  <si>
    <t>GM-01836</t>
  </si>
  <si>
    <t>GM-01837</t>
  </si>
  <si>
    <t>Guinea</t>
  </si>
  <si>
    <t>Guinea|1952</t>
  </si>
  <si>
    <t>GM-01838</t>
  </si>
  <si>
    <t>GM-01839</t>
  </si>
  <si>
    <t>GM-01840</t>
  </si>
  <si>
    <t>Guinea|1957</t>
  </si>
  <si>
    <t>GM-01841</t>
  </si>
  <si>
    <t>GM-01842</t>
  </si>
  <si>
    <t>GM-01843</t>
  </si>
  <si>
    <t>Guinea|1962</t>
  </si>
  <si>
    <t>GM-01844</t>
  </si>
  <si>
    <t>GM-01845</t>
  </si>
  <si>
    <t>GM-01846</t>
  </si>
  <si>
    <t>Guinea|1967</t>
  </si>
  <si>
    <t>GM-01847</t>
  </si>
  <si>
    <t>GM-01848</t>
  </si>
  <si>
    <t>GM-01849</t>
  </si>
  <si>
    <t>Guinea|1972</t>
  </si>
  <si>
    <t>GM-01850</t>
  </si>
  <si>
    <t>GM-01851</t>
  </si>
  <si>
    <t>GM-01852</t>
  </si>
  <si>
    <t>Guinea|1977</t>
  </si>
  <si>
    <t>GM-01853</t>
  </si>
  <si>
    <t>GM-01854</t>
  </si>
  <si>
    <t>GM-01855</t>
  </si>
  <si>
    <t>Guinea|1982</t>
  </si>
  <si>
    <t>GM-01856</t>
  </si>
  <si>
    <t>GM-01857</t>
  </si>
  <si>
    <t>GM-01858</t>
  </si>
  <si>
    <t>Guinea|1987</t>
  </si>
  <si>
    <t>GM-01859</t>
  </si>
  <si>
    <t>GM-01860</t>
  </si>
  <si>
    <t>GM-01861</t>
  </si>
  <si>
    <t>Guinea|1992</t>
  </si>
  <si>
    <t>GM-01862</t>
  </si>
  <si>
    <t>GM-01863</t>
  </si>
  <si>
    <t>GM-01864</t>
  </si>
  <si>
    <t>Guinea|1997</t>
  </si>
  <si>
    <t>GM-01865</t>
  </si>
  <si>
    <t>GM-01866</t>
  </si>
  <si>
    <t>GM-01867</t>
  </si>
  <si>
    <t>Guinea|2002</t>
  </si>
  <si>
    <t>GM-01868</t>
  </si>
  <si>
    <t>GM-01869</t>
  </si>
  <si>
    <t>GM-01870</t>
  </si>
  <si>
    <t>Guinea|2007</t>
  </si>
  <si>
    <t>GM-01871</t>
  </si>
  <si>
    <t>GM-01872</t>
  </si>
  <si>
    <t>GM-01873</t>
  </si>
  <si>
    <t>Guinea-Bissau</t>
  </si>
  <si>
    <t>Guinea-Bissau|1952</t>
  </si>
  <si>
    <t>GM-01874</t>
  </si>
  <si>
    <t>GM-01875</t>
  </si>
  <si>
    <t>GM-01876</t>
  </si>
  <si>
    <t>Guinea-Bissau|1957</t>
  </si>
  <si>
    <t>GM-01877</t>
  </si>
  <si>
    <t>GM-01878</t>
  </si>
  <si>
    <t>GM-01879</t>
  </si>
  <si>
    <t>Guinea-Bissau|1962</t>
  </si>
  <si>
    <t>GM-01880</t>
  </si>
  <si>
    <t>GM-01881</t>
  </si>
  <si>
    <t>GM-01882</t>
  </si>
  <si>
    <t>Guinea-Bissau|1967</t>
  </si>
  <si>
    <t>GM-01883</t>
  </si>
  <si>
    <t>GM-01884</t>
  </si>
  <si>
    <t>GM-01885</t>
  </si>
  <si>
    <t>Guinea-Bissau|1972</t>
  </si>
  <si>
    <t>GM-01886</t>
  </si>
  <si>
    <t>GM-01887</t>
  </si>
  <si>
    <t>GM-01888</t>
  </si>
  <si>
    <t>Guinea-Bissau|1977</t>
  </si>
  <si>
    <t>GM-01889</t>
  </si>
  <si>
    <t>GM-01890</t>
  </si>
  <si>
    <t>GM-01891</t>
  </si>
  <si>
    <t>Guinea-Bissau|1982</t>
  </si>
  <si>
    <t>GM-01892</t>
  </si>
  <si>
    <t>GM-01893</t>
  </si>
  <si>
    <t>GM-01894</t>
  </si>
  <si>
    <t>Guinea-Bissau|1987</t>
  </si>
  <si>
    <t>GM-01895</t>
  </si>
  <si>
    <t>GM-01896</t>
  </si>
  <si>
    <t>GM-01897</t>
  </si>
  <si>
    <t>Guinea-Bissau|1992</t>
  </si>
  <si>
    <t>GM-01898</t>
  </si>
  <si>
    <t>GM-01899</t>
  </si>
  <si>
    <t>GM-01900</t>
  </si>
  <si>
    <t>Guinea-Bissau|1997</t>
  </si>
  <si>
    <t>GM-01901</t>
  </si>
  <si>
    <t>GM-01902</t>
  </si>
  <si>
    <t>GM-01903</t>
  </si>
  <si>
    <t>Guinea-Bissau|2002</t>
  </si>
  <si>
    <t>GM-01904</t>
  </si>
  <si>
    <t>GM-01905</t>
  </si>
  <si>
    <t>GM-01906</t>
  </si>
  <si>
    <t>Guinea-Bissau|2007</t>
  </si>
  <si>
    <t>GM-01907</t>
  </si>
  <si>
    <t>GM-01908</t>
  </si>
  <si>
    <t>GM-01909</t>
  </si>
  <si>
    <t>Haiti</t>
  </si>
  <si>
    <t>Haiti|1952</t>
  </si>
  <si>
    <t>GM-01910</t>
  </si>
  <si>
    <t>GM-01911</t>
  </si>
  <si>
    <t>GM-01912</t>
  </si>
  <si>
    <t>Haiti|1957</t>
  </si>
  <si>
    <t>GM-01913</t>
  </si>
  <si>
    <t>GM-01914</t>
  </si>
  <si>
    <t>GM-01915</t>
  </si>
  <si>
    <t>Haiti|1962</t>
  </si>
  <si>
    <t>GM-01916</t>
  </si>
  <si>
    <t>GM-01917</t>
  </si>
  <si>
    <t>GM-01918</t>
  </si>
  <si>
    <t>Haiti|1967</t>
  </si>
  <si>
    <t>GM-01919</t>
  </si>
  <si>
    <t>GM-01920</t>
  </si>
  <si>
    <t>GM-01921</t>
  </si>
  <si>
    <t>Haiti|1972</t>
  </si>
  <si>
    <t>GM-01922</t>
  </si>
  <si>
    <t>GM-01923</t>
  </si>
  <si>
    <t>GM-01924</t>
  </si>
  <si>
    <t>Haiti|1977</t>
  </si>
  <si>
    <t>GM-01925</t>
  </si>
  <si>
    <t>GM-01926</t>
  </si>
  <si>
    <t>GM-01927</t>
  </si>
  <si>
    <t>Haiti|1982</t>
  </si>
  <si>
    <t>GM-01928</t>
  </si>
  <si>
    <t>GM-01929</t>
  </si>
  <si>
    <t>GM-01930</t>
  </si>
  <si>
    <t>Haiti|1987</t>
  </si>
  <si>
    <t>GM-01931</t>
  </si>
  <si>
    <t>GM-01932</t>
  </si>
  <si>
    <t>GM-01933</t>
  </si>
  <si>
    <t>Haiti|1992</t>
  </si>
  <si>
    <t>GM-01934</t>
  </si>
  <si>
    <t>GM-01935</t>
  </si>
  <si>
    <t>GM-01936</t>
  </si>
  <si>
    <t>Haiti|1997</t>
  </si>
  <si>
    <t>GM-01937</t>
  </si>
  <si>
    <t>GM-01938</t>
  </si>
  <si>
    <t>GM-01939</t>
  </si>
  <si>
    <t>Haiti|2002</t>
  </si>
  <si>
    <t>GM-01940</t>
  </si>
  <si>
    <t>GM-01941</t>
  </si>
  <si>
    <t>GM-01942</t>
  </si>
  <si>
    <t>Haiti|2007</t>
  </si>
  <si>
    <t>GM-01943</t>
  </si>
  <si>
    <t>GM-01944</t>
  </si>
  <si>
    <t>GM-01945</t>
  </si>
  <si>
    <t>Honduras</t>
  </si>
  <si>
    <t>Honduras|1952</t>
  </si>
  <si>
    <t>GM-01946</t>
  </si>
  <si>
    <t>GM-01947</t>
  </si>
  <si>
    <t>GM-01948</t>
  </si>
  <si>
    <t>Honduras|1957</t>
  </si>
  <si>
    <t>GM-01949</t>
  </si>
  <si>
    <t>GM-01950</t>
  </si>
  <si>
    <t>GM-01951</t>
  </si>
  <si>
    <t>Honduras|1962</t>
  </si>
  <si>
    <t>GM-01952</t>
  </si>
  <si>
    <t>GM-01953</t>
  </si>
  <si>
    <t>GM-01954</t>
  </si>
  <si>
    <t>Honduras|1967</t>
  </si>
  <si>
    <t>GM-01955</t>
  </si>
  <si>
    <t>GM-01956</t>
  </si>
  <si>
    <t>GM-01957</t>
  </si>
  <si>
    <t>Honduras|1972</t>
  </si>
  <si>
    <t>GM-01958</t>
  </si>
  <si>
    <t>GM-01959</t>
  </si>
  <si>
    <t>GM-01960</t>
  </si>
  <si>
    <t>Honduras|1977</t>
  </si>
  <si>
    <t>GM-01961</t>
  </si>
  <si>
    <t>GM-01962</t>
  </si>
  <si>
    <t>GM-01963</t>
  </si>
  <si>
    <t>Honduras|1982</t>
  </si>
  <si>
    <t>GM-01964</t>
  </si>
  <si>
    <t>GM-01965</t>
  </si>
  <si>
    <t>GM-01966</t>
  </si>
  <si>
    <t>Honduras|1987</t>
  </si>
  <si>
    <t>GM-01967</t>
  </si>
  <si>
    <t>GM-01968</t>
  </si>
  <si>
    <t>GM-01969</t>
  </si>
  <si>
    <t>Honduras|1992</t>
  </si>
  <si>
    <t>GM-01970</t>
  </si>
  <si>
    <t>GM-01971</t>
  </si>
  <si>
    <t>GM-01972</t>
  </si>
  <si>
    <t>Honduras|1997</t>
  </si>
  <si>
    <t>GM-01973</t>
  </si>
  <si>
    <t>GM-01974</t>
  </si>
  <si>
    <t>GM-01975</t>
  </si>
  <si>
    <t>Honduras|2002</t>
  </si>
  <si>
    <t>GM-01976</t>
  </si>
  <si>
    <t>GM-01977</t>
  </si>
  <si>
    <t>GM-01978</t>
  </si>
  <si>
    <t>Honduras|2007</t>
  </si>
  <si>
    <t>GM-01979</t>
  </si>
  <si>
    <t>GM-01980</t>
  </si>
  <si>
    <t>GM-01981</t>
  </si>
  <si>
    <t>Hong Kong, China</t>
  </si>
  <si>
    <t>Hong Kong, China|1952</t>
  </si>
  <si>
    <t>GM-01982</t>
  </si>
  <si>
    <t>GM-01983</t>
  </si>
  <si>
    <t>GM-01984</t>
  </si>
  <si>
    <t>Hong Kong, China|1957</t>
  </si>
  <si>
    <t>GM-01985</t>
  </si>
  <si>
    <t>GM-01986</t>
  </si>
  <si>
    <t>GM-01987</t>
  </si>
  <si>
    <t>Hong Kong, China|1962</t>
  </si>
  <si>
    <t>GM-01988</t>
  </si>
  <si>
    <t>GM-01989</t>
  </si>
  <si>
    <t>GM-01990</t>
  </si>
  <si>
    <t>Hong Kong, China|1967</t>
  </si>
  <si>
    <t>GM-01991</t>
  </si>
  <si>
    <t>GM-01992</t>
  </si>
  <si>
    <t>GM-01993</t>
  </si>
  <si>
    <t>Hong Kong, China|1972</t>
  </si>
  <si>
    <t>GM-01994</t>
  </si>
  <si>
    <t>GM-01995</t>
  </si>
  <si>
    <t>GM-01996</t>
  </si>
  <si>
    <t>Hong Kong, China|1977</t>
  </si>
  <si>
    <t>GM-01997</t>
  </si>
  <si>
    <t>GM-01998</t>
  </si>
  <si>
    <t>GM-01999</t>
  </si>
  <si>
    <t>Hong Kong, China|1982</t>
  </si>
  <si>
    <t>GM-02000</t>
  </si>
  <si>
    <t>GM-02001</t>
  </si>
  <si>
    <t>GM-02002</t>
  </si>
  <si>
    <t>Hong Kong, China|1987</t>
  </si>
  <si>
    <t>GM-02003</t>
  </si>
  <si>
    <t>GM-02004</t>
  </si>
  <si>
    <t>GM-02005</t>
  </si>
  <si>
    <t>Hong Kong, China|1992</t>
  </si>
  <si>
    <t>GM-02006</t>
  </si>
  <si>
    <t>GM-02007</t>
  </si>
  <si>
    <t>GM-02008</t>
  </si>
  <si>
    <t>Hong Kong, China|1997</t>
  </si>
  <si>
    <t>GM-02009</t>
  </si>
  <si>
    <t>GM-02010</t>
  </si>
  <si>
    <t>GM-02011</t>
  </si>
  <si>
    <t>Hong Kong, China|2002</t>
  </si>
  <si>
    <t>GM-02012</t>
  </si>
  <si>
    <t>GM-02013</t>
  </si>
  <si>
    <t>GM-02014</t>
  </si>
  <si>
    <t>Hong Kong, China|2007</t>
  </si>
  <si>
    <t>GM-02015</t>
  </si>
  <si>
    <t>GM-02016</t>
  </si>
  <si>
    <t>GM-02017</t>
  </si>
  <si>
    <t>Hungary</t>
  </si>
  <si>
    <t>Hungary|1952</t>
  </si>
  <si>
    <t>GM-02018</t>
  </si>
  <si>
    <t>GM-02019</t>
  </si>
  <si>
    <t>GM-02020</t>
  </si>
  <si>
    <t>Hungary|1957</t>
  </si>
  <si>
    <t>GM-02021</t>
  </si>
  <si>
    <t>GM-02022</t>
  </si>
  <si>
    <t>GM-02023</t>
  </si>
  <si>
    <t>Hungary|1962</t>
  </si>
  <si>
    <t>GM-02024</t>
  </si>
  <si>
    <t>GM-02025</t>
  </si>
  <si>
    <t>GM-02026</t>
  </si>
  <si>
    <t>Hungary|1967</t>
  </si>
  <si>
    <t>GM-02027</t>
  </si>
  <si>
    <t>GM-02028</t>
  </si>
  <si>
    <t>GM-02029</t>
  </si>
  <si>
    <t>Hungary|1972</t>
  </si>
  <si>
    <t>GM-02030</t>
  </si>
  <si>
    <t>GM-02031</t>
  </si>
  <si>
    <t>GM-02032</t>
  </si>
  <si>
    <t>Hungary|1977</t>
  </si>
  <si>
    <t>GM-02033</t>
  </si>
  <si>
    <t>GM-02034</t>
  </si>
  <si>
    <t>GM-02035</t>
  </si>
  <si>
    <t>Hungary|1982</t>
  </si>
  <si>
    <t>GM-02036</t>
  </si>
  <si>
    <t>GM-02037</t>
  </si>
  <si>
    <t>GM-02038</t>
  </si>
  <si>
    <t>Hungary|1987</t>
  </si>
  <si>
    <t>GM-02039</t>
  </si>
  <si>
    <t>GM-02040</t>
  </si>
  <si>
    <t>GM-02041</t>
  </si>
  <si>
    <t>Hungary|1992</t>
  </si>
  <si>
    <t>GM-02042</t>
  </si>
  <si>
    <t>GM-02043</t>
  </si>
  <si>
    <t>GM-02044</t>
  </si>
  <si>
    <t>Hungary|1997</t>
  </si>
  <si>
    <t>GM-02045</t>
  </si>
  <si>
    <t>GM-02046</t>
  </si>
  <si>
    <t>GM-02047</t>
  </si>
  <si>
    <t>Hungary|2002</t>
  </si>
  <si>
    <t>GM-02048</t>
  </si>
  <si>
    <t>GM-02049</t>
  </si>
  <si>
    <t>GM-02050</t>
  </si>
  <si>
    <t>Hungary|2007</t>
  </si>
  <si>
    <t>GM-02051</t>
  </si>
  <si>
    <t>GM-02052</t>
  </si>
  <si>
    <t>GM-02053</t>
  </si>
  <si>
    <t>Iceland</t>
  </si>
  <si>
    <t>Iceland|1952</t>
  </si>
  <si>
    <t>GM-02054</t>
  </si>
  <si>
    <t>GM-02055</t>
  </si>
  <si>
    <t>GM-02056</t>
  </si>
  <si>
    <t>Iceland|1957</t>
  </si>
  <si>
    <t>GM-02057</t>
  </si>
  <si>
    <t>GM-02058</t>
  </si>
  <si>
    <t>GM-02059</t>
  </si>
  <si>
    <t>Iceland|1962</t>
  </si>
  <si>
    <t>GM-02060</t>
  </si>
  <si>
    <t>GM-02061</t>
  </si>
  <si>
    <t>GM-02062</t>
  </si>
  <si>
    <t>Iceland|1967</t>
  </si>
  <si>
    <t>GM-02063</t>
  </si>
  <si>
    <t>GM-02064</t>
  </si>
  <si>
    <t>GM-02065</t>
  </si>
  <si>
    <t>Iceland|1972</t>
  </si>
  <si>
    <t>GM-02066</t>
  </si>
  <si>
    <t>GM-02067</t>
  </si>
  <si>
    <t>GM-02068</t>
  </si>
  <si>
    <t>Iceland|1977</t>
  </si>
  <si>
    <t>GM-02069</t>
  </si>
  <si>
    <t>GM-02070</t>
  </si>
  <si>
    <t>GM-02071</t>
  </si>
  <si>
    <t>Iceland|1982</t>
  </si>
  <si>
    <t>GM-02072</t>
  </si>
  <si>
    <t>GM-02073</t>
  </si>
  <si>
    <t>GM-02074</t>
  </si>
  <si>
    <t>Iceland|1987</t>
  </si>
  <si>
    <t>GM-02075</t>
  </si>
  <si>
    <t>GM-02076</t>
  </si>
  <si>
    <t>GM-02077</t>
  </si>
  <si>
    <t>Iceland|1992</t>
  </si>
  <si>
    <t>GM-02078</t>
  </si>
  <si>
    <t>GM-02079</t>
  </si>
  <si>
    <t>GM-02080</t>
  </si>
  <si>
    <t>Iceland|1997</t>
  </si>
  <si>
    <t>GM-02081</t>
  </si>
  <si>
    <t>GM-02082</t>
  </si>
  <si>
    <t>GM-02083</t>
  </si>
  <si>
    <t>Iceland|2002</t>
  </si>
  <si>
    <t>GM-02084</t>
  </si>
  <si>
    <t>GM-02085</t>
  </si>
  <si>
    <t>GM-02086</t>
  </si>
  <si>
    <t>Iceland|2007</t>
  </si>
  <si>
    <t>GM-02087</t>
  </si>
  <si>
    <t>GM-02088</t>
  </si>
  <si>
    <t>GM-02089</t>
  </si>
  <si>
    <t>India</t>
  </si>
  <si>
    <t>India|1952</t>
  </si>
  <si>
    <t>GM-02090</t>
  </si>
  <si>
    <t>GM-02091</t>
  </si>
  <si>
    <t>GM-02092</t>
  </si>
  <si>
    <t>India|1957</t>
  </si>
  <si>
    <t>GM-02093</t>
  </si>
  <si>
    <t>GM-02094</t>
  </si>
  <si>
    <t>GM-02095</t>
  </si>
  <si>
    <t>India|1962</t>
  </si>
  <si>
    <t>GM-02096</t>
  </si>
  <si>
    <t>GM-02097</t>
  </si>
  <si>
    <t>GM-02098</t>
  </si>
  <si>
    <t>India|1967</t>
  </si>
  <si>
    <t>GM-02099</t>
  </si>
  <si>
    <t>GM-02100</t>
  </si>
  <si>
    <t>GM-02101</t>
  </si>
  <si>
    <t>India|1972</t>
  </si>
  <si>
    <t>GM-02102</t>
  </si>
  <si>
    <t>GM-02103</t>
  </si>
  <si>
    <t>GM-02104</t>
  </si>
  <si>
    <t>India|1977</t>
  </si>
  <si>
    <t>GM-02105</t>
  </si>
  <si>
    <t>GM-02106</t>
  </si>
  <si>
    <t>GM-02107</t>
  </si>
  <si>
    <t>India|1982</t>
  </si>
  <si>
    <t>GM-02108</t>
  </si>
  <si>
    <t>GM-02109</t>
  </si>
  <si>
    <t>GM-02110</t>
  </si>
  <si>
    <t>India|1987</t>
  </si>
  <si>
    <t>GM-02111</t>
  </si>
  <si>
    <t>GM-02112</t>
  </si>
  <si>
    <t>GM-02113</t>
  </si>
  <si>
    <t>India|1992</t>
  </si>
  <si>
    <t>GM-02114</t>
  </si>
  <si>
    <t>GM-02115</t>
  </si>
  <si>
    <t>GM-02116</t>
  </si>
  <si>
    <t>India|1997</t>
  </si>
  <si>
    <t>GM-02117</t>
  </si>
  <si>
    <t>GM-02118</t>
  </si>
  <si>
    <t>GM-02119</t>
  </si>
  <si>
    <t>India|2002</t>
  </si>
  <si>
    <t>GM-02120</t>
  </si>
  <si>
    <t>GM-02121</t>
  </si>
  <si>
    <t>GM-02122</t>
  </si>
  <si>
    <t>India|2007</t>
  </si>
  <si>
    <t>GM-02123</t>
  </si>
  <si>
    <t>GM-02124</t>
  </si>
  <si>
    <t>GM-02125</t>
  </si>
  <si>
    <t>Indonesia</t>
  </si>
  <si>
    <t>Indonesia|1952</t>
  </si>
  <si>
    <t>GM-02126</t>
  </si>
  <si>
    <t>GM-02127</t>
  </si>
  <si>
    <t>GM-02128</t>
  </si>
  <si>
    <t>Indonesia|1957</t>
  </si>
  <si>
    <t>GM-02129</t>
  </si>
  <si>
    <t>GM-02130</t>
  </si>
  <si>
    <t>GM-02131</t>
  </si>
  <si>
    <t>Indonesia|1962</t>
  </si>
  <si>
    <t>GM-02132</t>
  </si>
  <si>
    <t>GM-02133</t>
  </si>
  <si>
    <t>GM-02134</t>
  </si>
  <si>
    <t>Indonesia|1967</t>
  </si>
  <si>
    <t>GM-02135</t>
  </si>
  <si>
    <t>GM-02136</t>
  </si>
  <si>
    <t>GM-02137</t>
  </si>
  <si>
    <t>Indonesia|1972</t>
  </si>
  <si>
    <t>GM-02138</t>
  </si>
  <si>
    <t>GM-02139</t>
  </si>
  <si>
    <t>GM-02140</t>
  </si>
  <si>
    <t>Indonesia|1977</t>
  </si>
  <si>
    <t>GM-02141</t>
  </si>
  <si>
    <t>GM-02142</t>
  </si>
  <si>
    <t>GM-02143</t>
  </si>
  <si>
    <t>Indonesia|1982</t>
  </si>
  <si>
    <t>GM-02144</t>
  </si>
  <si>
    <t>GM-02145</t>
  </si>
  <si>
    <t>GM-02146</t>
  </si>
  <si>
    <t>Indonesia|1987</t>
  </si>
  <si>
    <t>GM-02147</t>
  </si>
  <si>
    <t>GM-02148</t>
  </si>
  <si>
    <t>GM-02149</t>
  </si>
  <si>
    <t>Indonesia|1992</t>
  </si>
  <si>
    <t>GM-02150</t>
  </si>
  <si>
    <t>GM-02151</t>
  </si>
  <si>
    <t>GM-02152</t>
  </si>
  <si>
    <t>Indonesia|1997</t>
  </si>
  <si>
    <t>GM-02153</t>
  </si>
  <si>
    <t>GM-02154</t>
  </si>
  <si>
    <t>GM-02155</t>
  </si>
  <si>
    <t>Indonesia|2002</t>
  </si>
  <si>
    <t>GM-02156</t>
  </si>
  <si>
    <t>GM-02157</t>
  </si>
  <si>
    <t>GM-02158</t>
  </si>
  <si>
    <t>Indonesia|2007</t>
  </si>
  <si>
    <t>GM-02159</t>
  </si>
  <si>
    <t>GM-02160</t>
  </si>
  <si>
    <t>GM-02161</t>
  </si>
  <si>
    <t>Iran</t>
  </si>
  <si>
    <t>Iran|1952</t>
  </si>
  <si>
    <t>GM-02162</t>
  </si>
  <si>
    <t>GM-02163</t>
  </si>
  <si>
    <t>GM-02164</t>
  </si>
  <si>
    <t>Iran|1957</t>
  </si>
  <si>
    <t>GM-02165</t>
  </si>
  <si>
    <t>GM-02166</t>
  </si>
  <si>
    <t>GM-02167</t>
  </si>
  <si>
    <t>Iran|1962</t>
  </si>
  <si>
    <t>GM-02168</t>
  </si>
  <si>
    <t>GM-02169</t>
  </si>
  <si>
    <t>GM-02170</t>
  </si>
  <si>
    <t>Iran|1967</t>
  </si>
  <si>
    <t>GM-02171</t>
  </si>
  <si>
    <t>GM-02172</t>
  </si>
  <si>
    <t>GM-02173</t>
  </si>
  <si>
    <t>Iran|1972</t>
  </si>
  <si>
    <t>GM-02174</t>
  </si>
  <si>
    <t>GM-02175</t>
  </si>
  <si>
    <t>GM-02176</t>
  </si>
  <si>
    <t>Iran|1977</t>
  </si>
  <si>
    <t>GM-02177</t>
  </si>
  <si>
    <t>GM-02178</t>
  </si>
  <si>
    <t>GM-02179</t>
  </si>
  <si>
    <t>Iran|1982</t>
  </si>
  <si>
    <t>GM-02180</t>
  </si>
  <si>
    <t>GM-02181</t>
  </si>
  <si>
    <t>GM-02182</t>
  </si>
  <si>
    <t>Iran|1987</t>
  </si>
  <si>
    <t>GM-02183</t>
  </si>
  <si>
    <t>GM-02184</t>
  </si>
  <si>
    <t>GM-02185</t>
  </si>
  <si>
    <t>Iran|1992</t>
  </si>
  <si>
    <t>GM-02186</t>
  </si>
  <si>
    <t>GM-02187</t>
  </si>
  <si>
    <t>GM-02188</t>
  </si>
  <si>
    <t>Iran|1997</t>
  </si>
  <si>
    <t>GM-02189</t>
  </si>
  <si>
    <t>GM-02190</t>
  </si>
  <si>
    <t>GM-02191</t>
  </si>
  <si>
    <t>Iran|2002</t>
  </si>
  <si>
    <t>GM-02192</t>
  </si>
  <si>
    <t>GM-02193</t>
  </si>
  <si>
    <t>GM-02194</t>
  </si>
  <si>
    <t>Iran|2007</t>
  </si>
  <si>
    <t>GM-02195</t>
  </si>
  <si>
    <t>GM-02196</t>
  </si>
  <si>
    <t>GM-02197</t>
  </si>
  <si>
    <t>Iraq</t>
  </si>
  <si>
    <t>Iraq|1952</t>
  </si>
  <si>
    <t>GM-02198</t>
  </si>
  <si>
    <t>GM-02199</t>
  </si>
  <si>
    <t>GM-02200</t>
  </si>
  <si>
    <t>Iraq|1957</t>
  </si>
  <si>
    <t>GM-02201</t>
  </si>
  <si>
    <t>GM-02202</t>
  </si>
  <si>
    <t>GM-02203</t>
  </si>
  <si>
    <t>Iraq|1962</t>
  </si>
  <si>
    <t>GM-02204</t>
  </si>
  <si>
    <t>GM-02205</t>
  </si>
  <si>
    <t>GM-02206</t>
  </si>
  <si>
    <t>Iraq|1967</t>
  </si>
  <si>
    <t>GM-02207</t>
  </si>
  <si>
    <t>GM-02208</t>
  </si>
  <si>
    <t>GM-02209</t>
  </si>
  <si>
    <t>Iraq|1972</t>
  </si>
  <si>
    <t>GM-02210</t>
  </si>
  <si>
    <t>GM-02211</t>
  </si>
  <si>
    <t>GM-02212</t>
  </si>
  <si>
    <t>Iraq|1977</t>
  </si>
  <si>
    <t>GM-02213</t>
  </si>
  <si>
    <t>GM-02214</t>
  </si>
  <si>
    <t>GM-02215</t>
  </si>
  <si>
    <t>Iraq|1982</t>
  </si>
  <si>
    <t>GM-02216</t>
  </si>
  <si>
    <t>GM-02217</t>
  </si>
  <si>
    <t>GM-02218</t>
  </si>
  <si>
    <t>Iraq|1987</t>
  </si>
  <si>
    <t>GM-02219</t>
  </si>
  <si>
    <t>GM-02220</t>
  </si>
  <si>
    <t>GM-02221</t>
  </si>
  <si>
    <t>Iraq|1992</t>
  </si>
  <si>
    <t>GM-02222</t>
  </si>
  <si>
    <t>GM-02223</t>
  </si>
  <si>
    <t>GM-02224</t>
  </si>
  <si>
    <t>Iraq|1997</t>
  </si>
  <si>
    <t>GM-02225</t>
  </si>
  <si>
    <t>GM-02226</t>
  </si>
  <si>
    <t>GM-02227</t>
  </si>
  <si>
    <t>Iraq|2002</t>
  </si>
  <si>
    <t>GM-02228</t>
  </si>
  <si>
    <t>GM-02229</t>
  </si>
  <si>
    <t>GM-02230</t>
  </si>
  <si>
    <t>Iraq|2007</t>
  </si>
  <si>
    <t>GM-02231</t>
  </si>
  <si>
    <t>GM-02232</t>
  </si>
  <si>
    <t>GM-02233</t>
  </si>
  <si>
    <t>Ireland</t>
  </si>
  <si>
    <t>Ireland|1952</t>
  </si>
  <si>
    <t>GM-02234</t>
  </si>
  <si>
    <t>GM-02235</t>
  </si>
  <si>
    <t>GM-02236</t>
  </si>
  <si>
    <t>Ireland|1957</t>
  </si>
  <si>
    <t>GM-02237</t>
  </si>
  <si>
    <t>GM-02238</t>
  </si>
  <si>
    <t>GM-02239</t>
  </si>
  <si>
    <t>Ireland|1962</t>
  </si>
  <si>
    <t>GM-02240</t>
  </si>
  <si>
    <t>GM-02241</t>
  </si>
  <si>
    <t>GM-02242</t>
  </si>
  <si>
    <t>Ireland|1967</t>
  </si>
  <si>
    <t>GM-02243</t>
  </si>
  <si>
    <t>GM-02244</t>
  </si>
  <si>
    <t>GM-02245</t>
  </si>
  <si>
    <t>Ireland|1972</t>
  </si>
  <si>
    <t>GM-02246</t>
  </si>
  <si>
    <t>GM-02247</t>
  </si>
  <si>
    <t>GM-02248</t>
  </si>
  <si>
    <t>Ireland|1977</t>
  </si>
  <si>
    <t>GM-02249</t>
  </si>
  <si>
    <t>GM-02250</t>
  </si>
  <si>
    <t>GM-02251</t>
  </si>
  <si>
    <t>Ireland|1982</t>
  </si>
  <si>
    <t>GM-02252</t>
  </si>
  <si>
    <t>GM-02253</t>
  </si>
  <si>
    <t>GM-02254</t>
  </si>
  <si>
    <t>Ireland|1987</t>
  </si>
  <si>
    <t>GM-02255</t>
  </si>
  <si>
    <t>GM-02256</t>
  </si>
  <si>
    <t>GM-02257</t>
  </si>
  <si>
    <t>Ireland|1992</t>
  </si>
  <si>
    <t>GM-02258</t>
  </si>
  <si>
    <t>GM-02259</t>
  </si>
  <si>
    <t>GM-02260</t>
  </si>
  <si>
    <t>Ireland|1997</t>
  </si>
  <si>
    <t>GM-02261</t>
  </si>
  <si>
    <t>GM-02262</t>
  </si>
  <si>
    <t>GM-02263</t>
  </si>
  <si>
    <t>Ireland|2002</t>
  </si>
  <si>
    <t>GM-02264</t>
  </si>
  <si>
    <t>GM-02265</t>
  </si>
  <si>
    <t>GM-02266</t>
  </si>
  <si>
    <t>Ireland|2007</t>
  </si>
  <si>
    <t>GM-02267</t>
  </si>
  <si>
    <t>GM-02268</t>
  </si>
  <si>
    <t>GM-02269</t>
  </si>
  <si>
    <t>Israel</t>
  </si>
  <si>
    <t>Israel|1952</t>
  </si>
  <si>
    <t>GM-02270</t>
  </si>
  <si>
    <t>GM-02271</t>
  </si>
  <si>
    <t>GM-02272</t>
  </si>
  <si>
    <t>Israel|1957</t>
  </si>
  <si>
    <t>GM-02273</t>
  </si>
  <si>
    <t>GM-02274</t>
  </si>
  <si>
    <t>GM-02275</t>
  </si>
  <si>
    <t>Israel|1962</t>
  </si>
  <si>
    <t>GM-02276</t>
  </si>
  <si>
    <t>GM-02277</t>
  </si>
  <si>
    <t>GM-02278</t>
  </si>
  <si>
    <t>Israel|1967</t>
  </si>
  <si>
    <t>GM-02279</t>
  </si>
  <si>
    <t>GM-02280</t>
  </si>
  <si>
    <t>GM-02281</t>
  </si>
  <si>
    <t>Israel|1972</t>
  </si>
  <si>
    <t>GM-02282</t>
  </si>
  <si>
    <t>GM-02283</t>
  </si>
  <si>
    <t>GM-02284</t>
  </si>
  <si>
    <t>Israel|1977</t>
  </si>
  <si>
    <t>GM-02285</t>
  </si>
  <si>
    <t>GM-02286</t>
  </si>
  <si>
    <t>GM-02287</t>
  </si>
  <si>
    <t>Israel|1982</t>
  </si>
  <si>
    <t>GM-02288</t>
  </si>
  <si>
    <t>GM-02289</t>
  </si>
  <si>
    <t>GM-02290</t>
  </si>
  <si>
    <t>Israel|1987</t>
  </si>
  <si>
    <t>GM-02291</t>
  </si>
  <si>
    <t>GM-02292</t>
  </si>
  <si>
    <t>GM-02293</t>
  </si>
  <si>
    <t>Israel|1992</t>
  </si>
  <si>
    <t>GM-02294</t>
  </si>
  <si>
    <t>GM-02295</t>
  </si>
  <si>
    <t>GM-02296</t>
  </si>
  <si>
    <t>Israel|1997</t>
  </si>
  <si>
    <t>GM-02297</t>
  </si>
  <si>
    <t>GM-02298</t>
  </si>
  <si>
    <t>GM-02299</t>
  </si>
  <si>
    <t>Israel|2002</t>
  </si>
  <si>
    <t>GM-02300</t>
  </si>
  <si>
    <t>GM-02301</t>
  </si>
  <si>
    <t>GM-02302</t>
  </si>
  <si>
    <t>Israel|2007</t>
  </si>
  <si>
    <t>GM-02303</t>
  </si>
  <si>
    <t>GM-02304</t>
  </si>
  <si>
    <t>GM-02305</t>
  </si>
  <si>
    <t>Italy</t>
  </si>
  <si>
    <t>Italy|1952</t>
  </si>
  <si>
    <t>GM-02306</t>
  </si>
  <si>
    <t>GM-02307</t>
  </si>
  <si>
    <t>GM-02308</t>
  </si>
  <si>
    <t>Italy|1957</t>
  </si>
  <si>
    <t>GM-02309</t>
  </si>
  <si>
    <t>GM-02310</t>
  </si>
  <si>
    <t>GM-02311</t>
  </si>
  <si>
    <t>Italy|1962</t>
  </si>
  <si>
    <t>GM-02312</t>
  </si>
  <si>
    <t>GM-02313</t>
  </si>
  <si>
    <t>GM-02314</t>
  </si>
  <si>
    <t>Italy|1967</t>
  </si>
  <si>
    <t>GM-02315</t>
  </si>
  <si>
    <t>GM-02316</t>
  </si>
  <si>
    <t>GM-02317</t>
  </si>
  <si>
    <t>Italy|1972</t>
  </si>
  <si>
    <t>GM-02318</t>
  </si>
  <si>
    <t>GM-02319</t>
  </si>
  <si>
    <t>GM-02320</t>
  </si>
  <si>
    <t>Italy|1977</t>
  </si>
  <si>
    <t>GM-02321</t>
  </si>
  <si>
    <t>GM-02322</t>
  </si>
  <si>
    <t>GM-02323</t>
  </si>
  <si>
    <t>Italy|1982</t>
  </si>
  <si>
    <t>GM-02324</t>
  </si>
  <si>
    <t>GM-02325</t>
  </si>
  <si>
    <t>GM-02326</t>
  </si>
  <si>
    <t>Italy|1987</t>
  </si>
  <si>
    <t>GM-02327</t>
  </si>
  <si>
    <t>GM-02328</t>
  </si>
  <si>
    <t>GM-02329</t>
  </si>
  <si>
    <t>Italy|1992</t>
  </si>
  <si>
    <t>GM-02330</t>
  </si>
  <si>
    <t>GM-02331</t>
  </si>
  <si>
    <t>GM-02332</t>
  </si>
  <si>
    <t>Italy|1997</t>
  </si>
  <si>
    <t>GM-02333</t>
  </si>
  <si>
    <t>GM-02334</t>
  </si>
  <si>
    <t>GM-02335</t>
  </si>
  <si>
    <t>Italy|2002</t>
  </si>
  <si>
    <t>GM-02336</t>
  </si>
  <si>
    <t>GM-02337</t>
  </si>
  <si>
    <t>GM-02338</t>
  </si>
  <si>
    <t>Italy|2007</t>
  </si>
  <si>
    <t>GM-02339</t>
  </si>
  <si>
    <t>GM-02340</t>
  </si>
  <si>
    <t>GM-02341</t>
  </si>
  <si>
    <t>Jamaica</t>
  </si>
  <si>
    <t>Jamaica|1952</t>
  </si>
  <si>
    <t>GM-02342</t>
  </si>
  <si>
    <t>GM-02343</t>
  </si>
  <si>
    <t>GM-02344</t>
  </si>
  <si>
    <t>Jamaica|1957</t>
  </si>
  <si>
    <t>GM-02345</t>
  </si>
  <si>
    <t>GM-02346</t>
  </si>
  <si>
    <t>GM-02347</t>
  </si>
  <si>
    <t>Jamaica|1962</t>
  </si>
  <si>
    <t>GM-02348</t>
  </si>
  <si>
    <t>GM-02349</t>
  </si>
  <si>
    <t>GM-02350</t>
  </si>
  <si>
    <t>Jamaica|1967</t>
  </si>
  <si>
    <t>GM-02351</t>
  </si>
  <si>
    <t>GM-02352</t>
  </si>
  <si>
    <t>GM-02353</t>
  </si>
  <si>
    <t>Jamaica|1972</t>
  </si>
  <si>
    <t>GM-02354</t>
  </si>
  <si>
    <t>GM-02355</t>
  </si>
  <si>
    <t>GM-02356</t>
  </si>
  <si>
    <t>Jamaica|1977</t>
  </si>
  <si>
    <t>GM-02357</t>
  </si>
  <si>
    <t>GM-02358</t>
  </si>
  <si>
    <t>GM-02359</t>
  </si>
  <si>
    <t>Jamaica|1982</t>
  </si>
  <si>
    <t>GM-02360</t>
  </si>
  <si>
    <t>GM-02361</t>
  </si>
  <si>
    <t>GM-02362</t>
  </si>
  <si>
    <t>Jamaica|1987</t>
  </si>
  <si>
    <t>GM-02363</t>
  </si>
  <si>
    <t>GM-02364</t>
  </si>
  <si>
    <t>GM-02365</t>
  </si>
  <si>
    <t>Jamaica|1992</t>
  </si>
  <si>
    <t>GM-02366</t>
  </si>
  <si>
    <t>GM-02367</t>
  </si>
  <si>
    <t>GM-02368</t>
  </si>
  <si>
    <t>Jamaica|1997</t>
  </si>
  <si>
    <t>GM-02369</t>
  </si>
  <si>
    <t>GM-02370</t>
  </si>
  <si>
    <t>GM-02371</t>
  </si>
  <si>
    <t>Jamaica|2002</t>
  </si>
  <si>
    <t>GM-02372</t>
  </si>
  <si>
    <t>GM-02373</t>
  </si>
  <si>
    <t>GM-02374</t>
  </si>
  <si>
    <t>Jamaica|2007</t>
  </si>
  <si>
    <t>GM-02375</t>
  </si>
  <si>
    <t>GM-02376</t>
  </si>
  <si>
    <t>GM-02377</t>
  </si>
  <si>
    <t>Japan</t>
  </si>
  <si>
    <t>Japan|1952</t>
  </si>
  <si>
    <t>GM-02378</t>
  </si>
  <si>
    <t>GM-02379</t>
  </si>
  <si>
    <t>GM-02380</t>
  </si>
  <si>
    <t>Japan|1957</t>
  </si>
  <si>
    <t>GM-02381</t>
  </si>
  <si>
    <t>GM-02382</t>
  </si>
  <si>
    <t>GM-02383</t>
  </si>
  <si>
    <t>Japan|1962</t>
  </si>
  <si>
    <t>GM-02384</t>
  </si>
  <si>
    <t>GM-02385</t>
  </si>
  <si>
    <t>GM-02386</t>
  </si>
  <si>
    <t>Japan|1967</t>
  </si>
  <si>
    <t>GM-02387</t>
  </si>
  <si>
    <t>GM-02388</t>
  </si>
  <si>
    <t>GM-02389</t>
  </si>
  <si>
    <t>Japan|1972</t>
  </si>
  <si>
    <t>GM-02390</t>
  </si>
  <si>
    <t>GM-02391</t>
  </si>
  <si>
    <t>GM-02392</t>
  </si>
  <si>
    <t>Japan|1977</t>
  </si>
  <si>
    <t>GM-02393</t>
  </si>
  <si>
    <t>GM-02394</t>
  </si>
  <si>
    <t>GM-02395</t>
  </si>
  <si>
    <t>Japan|1982</t>
  </si>
  <si>
    <t>GM-02396</t>
  </si>
  <si>
    <t>GM-02397</t>
  </si>
  <si>
    <t>GM-02398</t>
  </si>
  <si>
    <t>Japan|1987</t>
  </si>
  <si>
    <t>GM-02399</t>
  </si>
  <si>
    <t>GM-02400</t>
  </si>
  <si>
    <t>GM-02401</t>
  </si>
  <si>
    <t>Japan|1992</t>
  </si>
  <si>
    <t>GM-02402</t>
  </si>
  <si>
    <t>GM-02403</t>
  </si>
  <si>
    <t>GM-02404</t>
  </si>
  <si>
    <t>Japan|1997</t>
  </si>
  <si>
    <t>GM-02405</t>
  </si>
  <si>
    <t>GM-02406</t>
  </si>
  <si>
    <t>GM-02407</t>
  </si>
  <si>
    <t>Japan|2002</t>
  </si>
  <si>
    <t>GM-02408</t>
  </si>
  <si>
    <t>GM-02409</t>
  </si>
  <si>
    <t>GM-02410</t>
  </si>
  <si>
    <t>Japan|2007</t>
  </si>
  <si>
    <t>GM-02411</t>
  </si>
  <si>
    <t>GM-02412</t>
  </si>
  <si>
    <t>GM-02413</t>
  </si>
  <si>
    <t>Jordan</t>
  </si>
  <si>
    <t>Jordan|1952</t>
  </si>
  <si>
    <t>GM-02414</t>
  </si>
  <si>
    <t>GM-02415</t>
  </si>
  <si>
    <t>GM-02416</t>
  </si>
  <si>
    <t>Jordan|1957</t>
  </si>
  <si>
    <t>GM-02417</t>
  </si>
  <si>
    <t>GM-02418</t>
  </si>
  <si>
    <t>GM-02419</t>
  </si>
  <si>
    <t>Jordan|1962</t>
  </si>
  <si>
    <t>GM-02420</t>
  </si>
  <si>
    <t>GM-02421</t>
  </si>
  <si>
    <t>GM-02422</t>
  </si>
  <si>
    <t>Jordan|1967</t>
  </si>
  <si>
    <t>GM-02423</t>
  </si>
  <si>
    <t>GM-02424</t>
  </si>
  <si>
    <t>GM-02425</t>
  </si>
  <si>
    <t>Jordan|1972</t>
  </si>
  <si>
    <t>GM-02426</t>
  </si>
  <si>
    <t>GM-02427</t>
  </si>
  <si>
    <t>GM-02428</t>
  </si>
  <si>
    <t>Jordan|1977</t>
  </si>
  <si>
    <t>GM-02429</t>
  </si>
  <si>
    <t>GM-02430</t>
  </si>
  <si>
    <t>GM-02431</t>
  </si>
  <si>
    <t>Jordan|1982</t>
  </si>
  <si>
    <t>GM-02432</t>
  </si>
  <si>
    <t>GM-02433</t>
  </si>
  <si>
    <t>GM-02434</t>
  </si>
  <si>
    <t>Jordan|1987</t>
  </si>
  <si>
    <t>GM-02435</t>
  </si>
  <si>
    <t>GM-02436</t>
  </si>
  <si>
    <t>GM-02437</t>
  </si>
  <si>
    <t>Jordan|1992</t>
  </si>
  <si>
    <t>GM-02438</t>
  </si>
  <si>
    <t>GM-02439</t>
  </si>
  <si>
    <t>GM-02440</t>
  </si>
  <si>
    <t>Jordan|1997</t>
  </si>
  <si>
    <t>GM-02441</t>
  </si>
  <si>
    <t>GM-02442</t>
  </si>
  <si>
    <t>GM-02443</t>
  </si>
  <si>
    <t>Jordan|2002</t>
  </si>
  <si>
    <t>GM-02444</t>
  </si>
  <si>
    <t>GM-02445</t>
  </si>
  <si>
    <t>GM-02446</t>
  </si>
  <si>
    <t>Jordan|2007</t>
  </si>
  <si>
    <t>GM-02447</t>
  </si>
  <si>
    <t>GM-02448</t>
  </si>
  <si>
    <t>GM-02449</t>
  </si>
  <si>
    <t>Kenya</t>
  </si>
  <si>
    <t>Kenya|1952</t>
  </si>
  <si>
    <t>GM-02450</t>
  </si>
  <si>
    <t>GM-02451</t>
  </si>
  <si>
    <t>GM-02452</t>
  </si>
  <si>
    <t>Kenya|1957</t>
  </si>
  <si>
    <t>GM-02453</t>
  </si>
  <si>
    <t>GM-02454</t>
  </si>
  <si>
    <t>GM-02455</t>
  </si>
  <si>
    <t>Kenya|1962</t>
  </si>
  <si>
    <t>GM-02456</t>
  </si>
  <si>
    <t>GM-02457</t>
  </si>
  <si>
    <t>GM-02458</t>
  </si>
  <si>
    <t>Kenya|1967</t>
  </si>
  <si>
    <t>GM-02459</t>
  </si>
  <si>
    <t>GM-02460</t>
  </si>
  <si>
    <t>GM-02461</t>
  </si>
  <si>
    <t>Kenya|1972</t>
  </si>
  <si>
    <t>GM-02462</t>
  </si>
  <si>
    <t>GM-02463</t>
  </si>
  <si>
    <t>GM-02464</t>
  </si>
  <si>
    <t>Kenya|1977</t>
  </si>
  <si>
    <t>GM-02465</t>
  </si>
  <si>
    <t>GM-02466</t>
  </si>
  <si>
    <t>GM-02467</t>
  </si>
  <si>
    <t>Kenya|1982</t>
  </si>
  <si>
    <t>GM-02468</t>
  </si>
  <si>
    <t>GM-02469</t>
  </si>
  <si>
    <t>GM-02470</t>
  </si>
  <si>
    <t>Kenya|1987</t>
  </si>
  <si>
    <t>GM-02471</t>
  </si>
  <si>
    <t>GM-02472</t>
  </si>
  <si>
    <t>GM-02473</t>
  </si>
  <si>
    <t>Kenya|1992</t>
  </si>
  <si>
    <t>GM-02474</t>
  </si>
  <si>
    <t>GM-02475</t>
  </si>
  <si>
    <t>GM-02476</t>
  </si>
  <si>
    <t>Kenya|1997</t>
  </si>
  <si>
    <t>GM-02477</t>
  </si>
  <si>
    <t>GM-02478</t>
  </si>
  <si>
    <t>GM-02479</t>
  </si>
  <si>
    <t>Kenya|2002</t>
  </si>
  <si>
    <t>GM-02480</t>
  </si>
  <si>
    <t>GM-02481</t>
  </si>
  <si>
    <t>GM-02482</t>
  </si>
  <si>
    <t>Kenya|2007</t>
  </si>
  <si>
    <t>GM-02483</t>
  </si>
  <si>
    <t>GM-02484</t>
  </si>
  <si>
    <t>GM-02485</t>
  </si>
  <si>
    <t>Korea, Dem. Rep.</t>
  </si>
  <si>
    <t>Korea, Dem. Rep.|1952</t>
  </si>
  <si>
    <t>GM-02486</t>
  </si>
  <si>
    <t>GM-02487</t>
  </si>
  <si>
    <t>GM-02488</t>
  </si>
  <si>
    <t>Korea, Dem. Rep.|1957</t>
  </si>
  <si>
    <t>GM-02489</t>
  </si>
  <si>
    <t>GM-02490</t>
  </si>
  <si>
    <t>GM-02491</t>
  </si>
  <si>
    <t>Korea, Dem. Rep.|1962</t>
  </si>
  <si>
    <t>GM-02492</t>
  </si>
  <si>
    <t>GM-02493</t>
  </si>
  <si>
    <t>GM-02494</t>
  </si>
  <si>
    <t>Korea, Dem. Rep.|1967</t>
  </si>
  <si>
    <t>GM-02495</t>
  </si>
  <si>
    <t>GM-02496</t>
  </si>
  <si>
    <t>GM-02497</t>
  </si>
  <si>
    <t>Korea, Dem. Rep.|1972</t>
  </si>
  <si>
    <t>GM-02498</t>
  </si>
  <si>
    <t>GM-02499</t>
  </si>
  <si>
    <t>GM-02500</t>
  </si>
  <si>
    <t>Korea, Dem. Rep.|1977</t>
  </si>
  <si>
    <t>GM-02501</t>
  </si>
  <si>
    <t>GM-02502</t>
  </si>
  <si>
    <t>GM-02503</t>
  </si>
  <si>
    <t>Korea, Dem. Rep.|1982</t>
  </si>
  <si>
    <t>GM-02504</t>
  </si>
  <si>
    <t>GM-02505</t>
  </si>
  <si>
    <t>GM-02506</t>
  </si>
  <si>
    <t>Korea, Dem. Rep.|1987</t>
  </si>
  <si>
    <t>GM-02507</t>
  </si>
  <si>
    <t>GM-02508</t>
  </si>
  <si>
    <t>GM-02509</t>
  </si>
  <si>
    <t>Korea, Dem. Rep.|1992</t>
  </si>
  <si>
    <t>GM-02510</t>
  </si>
  <si>
    <t>GM-02511</t>
  </si>
  <si>
    <t>GM-02512</t>
  </si>
  <si>
    <t>Korea, Dem. Rep.|1997</t>
  </si>
  <si>
    <t>GM-02513</t>
  </si>
  <si>
    <t>GM-02514</t>
  </si>
  <si>
    <t>GM-02515</t>
  </si>
  <si>
    <t>Korea, Dem. Rep.|2002</t>
  </si>
  <si>
    <t>GM-02516</t>
  </si>
  <si>
    <t>GM-02517</t>
  </si>
  <si>
    <t>GM-02518</t>
  </si>
  <si>
    <t>Korea, Dem. Rep.|2007</t>
  </si>
  <si>
    <t>GM-02519</t>
  </si>
  <si>
    <t>GM-02520</t>
  </si>
  <si>
    <t>GM-02521</t>
  </si>
  <si>
    <t>Korea, Rep.</t>
  </si>
  <si>
    <t>Korea, Rep.|1952</t>
  </si>
  <si>
    <t>GM-02522</t>
  </si>
  <si>
    <t>GM-02523</t>
  </si>
  <si>
    <t>GM-02524</t>
  </si>
  <si>
    <t>Korea, Rep.|1957</t>
  </si>
  <si>
    <t>GM-02525</t>
  </si>
  <si>
    <t>GM-02526</t>
  </si>
  <si>
    <t>GM-02527</t>
  </si>
  <si>
    <t>Korea, Rep.|1962</t>
  </si>
  <si>
    <t>GM-02528</t>
  </si>
  <si>
    <t>GM-02529</t>
  </si>
  <si>
    <t>GM-02530</t>
  </si>
  <si>
    <t>Korea, Rep.|1967</t>
  </si>
  <si>
    <t>GM-02531</t>
  </si>
  <si>
    <t>GM-02532</t>
  </si>
  <si>
    <t>GM-02533</t>
  </si>
  <si>
    <t>Korea, Rep.|1972</t>
  </si>
  <si>
    <t>GM-02534</t>
  </si>
  <si>
    <t>GM-02535</t>
  </si>
  <si>
    <t>GM-02536</t>
  </si>
  <si>
    <t>Korea, Rep.|1977</t>
  </si>
  <si>
    <t>GM-02537</t>
  </si>
  <si>
    <t>GM-02538</t>
  </si>
  <si>
    <t>GM-02539</t>
  </si>
  <si>
    <t>Korea, Rep.|1982</t>
  </si>
  <si>
    <t>GM-02540</t>
  </si>
  <si>
    <t>GM-02541</t>
  </si>
  <si>
    <t>GM-02542</t>
  </si>
  <si>
    <t>Korea, Rep.|1987</t>
  </si>
  <si>
    <t>GM-02543</t>
  </si>
  <si>
    <t>GM-02544</t>
  </si>
  <si>
    <t>GM-02545</t>
  </si>
  <si>
    <t>Korea, Rep.|1992</t>
  </si>
  <si>
    <t>GM-02546</t>
  </si>
  <si>
    <t>GM-02547</t>
  </si>
  <si>
    <t>GM-02548</t>
  </si>
  <si>
    <t>Korea, Rep.|1997</t>
  </si>
  <si>
    <t>GM-02549</t>
  </si>
  <si>
    <t>GM-02550</t>
  </si>
  <si>
    <t>GM-02551</t>
  </si>
  <si>
    <t>Korea, Rep.|2002</t>
  </si>
  <si>
    <t>GM-02552</t>
  </si>
  <si>
    <t>GM-02553</t>
  </si>
  <si>
    <t>GM-02554</t>
  </si>
  <si>
    <t>Korea, Rep.|2007</t>
  </si>
  <si>
    <t>GM-02555</t>
  </si>
  <si>
    <t>GM-02556</t>
  </si>
  <si>
    <t>GM-02557</t>
  </si>
  <si>
    <t>Kuwait</t>
  </si>
  <si>
    <t>Kuwait|1952</t>
  </si>
  <si>
    <t>GM-02558</t>
  </si>
  <si>
    <t>GM-02559</t>
  </si>
  <si>
    <t>GM-02560</t>
  </si>
  <si>
    <t>Kuwait|1957</t>
  </si>
  <si>
    <t>GM-02561</t>
  </si>
  <si>
    <t>GM-02562</t>
  </si>
  <si>
    <t>GM-02563</t>
  </si>
  <si>
    <t>Kuwait|1962</t>
  </si>
  <si>
    <t>GM-02564</t>
  </si>
  <si>
    <t>GM-02565</t>
  </si>
  <si>
    <t>GM-02566</t>
  </si>
  <si>
    <t>Kuwait|1967</t>
  </si>
  <si>
    <t>GM-02567</t>
  </si>
  <si>
    <t>GM-02568</t>
  </si>
  <si>
    <t>GM-02569</t>
  </si>
  <si>
    <t>Kuwait|1972</t>
  </si>
  <si>
    <t>GM-02570</t>
  </si>
  <si>
    <t>GM-02571</t>
  </si>
  <si>
    <t>GM-02572</t>
  </si>
  <si>
    <t>Kuwait|1977</t>
  </si>
  <si>
    <t>GM-02573</t>
  </si>
  <si>
    <t>GM-02574</t>
  </si>
  <si>
    <t>GM-02575</t>
  </si>
  <si>
    <t>Kuwait|1982</t>
  </si>
  <si>
    <t>GM-02576</t>
  </si>
  <si>
    <t>GM-02577</t>
  </si>
  <si>
    <t>GM-02578</t>
  </si>
  <si>
    <t>Kuwait|1987</t>
  </si>
  <si>
    <t>GM-02579</t>
  </si>
  <si>
    <t>GM-02580</t>
  </si>
  <si>
    <t>GM-02581</t>
  </si>
  <si>
    <t>Kuwait|1992</t>
  </si>
  <si>
    <t>GM-02582</t>
  </si>
  <si>
    <t>GM-02583</t>
  </si>
  <si>
    <t>GM-02584</t>
  </si>
  <si>
    <t>Kuwait|1997</t>
  </si>
  <si>
    <t>GM-02585</t>
  </si>
  <si>
    <t>GM-02586</t>
  </si>
  <si>
    <t>GM-02587</t>
  </si>
  <si>
    <t>Kuwait|2002</t>
  </si>
  <si>
    <t>GM-02588</t>
  </si>
  <si>
    <t>GM-02589</t>
  </si>
  <si>
    <t>GM-02590</t>
  </si>
  <si>
    <t>Kuwait|2007</t>
  </si>
  <si>
    <t>GM-02591</t>
  </si>
  <si>
    <t>GM-02592</t>
  </si>
  <si>
    <t>GM-02593</t>
  </si>
  <si>
    <t>Lebanon</t>
  </si>
  <si>
    <t>Lebanon|1952</t>
  </si>
  <si>
    <t>GM-02594</t>
  </si>
  <si>
    <t>GM-02595</t>
  </si>
  <si>
    <t>GM-02596</t>
  </si>
  <si>
    <t>Lebanon|1957</t>
  </si>
  <si>
    <t>GM-02597</t>
  </si>
  <si>
    <t>GM-02598</t>
  </si>
  <si>
    <t>GM-02599</t>
  </si>
  <si>
    <t>Lebanon|1962</t>
  </si>
  <si>
    <t>GM-02600</t>
  </si>
  <si>
    <t>GM-02601</t>
  </si>
  <si>
    <t>GM-02602</t>
  </si>
  <si>
    <t>Lebanon|1967</t>
  </si>
  <si>
    <t>GM-02603</t>
  </si>
  <si>
    <t>GM-02604</t>
  </si>
  <si>
    <t>GM-02605</t>
  </si>
  <si>
    <t>Lebanon|1972</t>
  </si>
  <si>
    <t>GM-02606</t>
  </si>
  <si>
    <t>GM-02607</t>
  </si>
  <si>
    <t>GM-02608</t>
  </si>
  <si>
    <t>Lebanon|1977</t>
  </si>
  <si>
    <t>GM-02609</t>
  </si>
  <si>
    <t>GM-02610</t>
  </si>
  <si>
    <t>GM-02611</t>
  </si>
  <si>
    <t>Lebanon|1982</t>
  </si>
  <si>
    <t>GM-02612</t>
  </si>
  <si>
    <t>GM-02613</t>
  </si>
  <si>
    <t>GM-02614</t>
  </si>
  <si>
    <t>Lebanon|1987</t>
  </si>
  <si>
    <t>GM-02615</t>
  </si>
  <si>
    <t>GM-02616</t>
  </si>
  <si>
    <t>GM-02617</t>
  </si>
  <si>
    <t>Lebanon|1992</t>
  </si>
  <si>
    <t>GM-02618</t>
  </si>
  <si>
    <t>GM-02619</t>
  </si>
  <si>
    <t>GM-02620</t>
  </si>
  <si>
    <t>Lebanon|1997</t>
  </si>
  <si>
    <t>GM-02621</t>
  </si>
  <si>
    <t>GM-02622</t>
  </si>
  <si>
    <t>GM-02623</t>
  </si>
  <si>
    <t>Lebanon|2002</t>
  </si>
  <si>
    <t>GM-02624</t>
  </si>
  <si>
    <t>GM-02625</t>
  </si>
  <si>
    <t>GM-02626</t>
  </si>
  <si>
    <t>Lebanon|2007</t>
  </si>
  <si>
    <t>GM-02627</t>
  </si>
  <si>
    <t>GM-02628</t>
  </si>
  <si>
    <t>GM-02629</t>
  </si>
  <si>
    <t>Lesotho</t>
  </si>
  <si>
    <t>Lesotho|1952</t>
  </si>
  <si>
    <t>GM-02630</t>
  </si>
  <si>
    <t>GM-02631</t>
  </si>
  <si>
    <t>GM-02632</t>
  </si>
  <si>
    <t>Lesotho|1957</t>
  </si>
  <si>
    <t>GM-02633</t>
  </si>
  <si>
    <t>GM-02634</t>
  </si>
  <si>
    <t>GM-02635</t>
  </si>
  <si>
    <t>Lesotho|1962</t>
  </si>
  <si>
    <t>GM-02636</t>
  </si>
  <si>
    <t>GM-02637</t>
  </si>
  <si>
    <t>GM-02638</t>
  </si>
  <si>
    <t>Lesotho|1967</t>
  </si>
  <si>
    <t>GM-02639</t>
  </si>
  <si>
    <t>GM-02640</t>
  </si>
  <si>
    <t>GM-02641</t>
  </si>
  <si>
    <t>Lesotho|1972</t>
  </si>
  <si>
    <t>GM-02642</t>
  </si>
  <si>
    <t>GM-02643</t>
  </si>
  <si>
    <t>GM-02644</t>
  </si>
  <si>
    <t>Lesotho|1977</t>
  </si>
  <si>
    <t>GM-02645</t>
  </si>
  <si>
    <t>GM-02646</t>
  </si>
  <si>
    <t>GM-02647</t>
  </si>
  <si>
    <t>Lesotho|1982</t>
  </si>
  <si>
    <t>GM-02648</t>
  </si>
  <si>
    <t>GM-02649</t>
  </si>
  <si>
    <t>GM-02650</t>
  </si>
  <si>
    <t>Lesotho|1987</t>
  </si>
  <si>
    <t>GM-02651</t>
  </si>
  <si>
    <t>GM-02652</t>
  </si>
  <si>
    <t>GM-02653</t>
  </si>
  <si>
    <t>Lesotho|1992</t>
  </si>
  <si>
    <t>GM-02654</t>
  </si>
  <si>
    <t>GM-02655</t>
  </si>
  <si>
    <t>GM-02656</t>
  </si>
  <si>
    <t>Lesotho|1997</t>
  </si>
  <si>
    <t>GM-02657</t>
  </si>
  <si>
    <t>GM-02658</t>
  </si>
  <si>
    <t>GM-02659</t>
  </si>
  <si>
    <t>Lesotho|2002</t>
  </si>
  <si>
    <t>GM-02660</t>
  </si>
  <si>
    <t>GM-02661</t>
  </si>
  <si>
    <t>GM-02662</t>
  </si>
  <si>
    <t>Lesotho|2007</t>
  </si>
  <si>
    <t>GM-02663</t>
  </si>
  <si>
    <t>GM-02664</t>
  </si>
  <si>
    <t>GM-02665</t>
  </si>
  <si>
    <t>Liberia</t>
  </si>
  <si>
    <t>Liberia|1952</t>
  </si>
  <si>
    <t>GM-02666</t>
  </si>
  <si>
    <t>GM-02667</t>
  </si>
  <si>
    <t>GM-02668</t>
  </si>
  <si>
    <t>Liberia|1957</t>
  </si>
  <si>
    <t>GM-02669</t>
  </si>
  <si>
    <t>GM-02670</t>
  </si>
  <si>
    <t>GM-02671</t>
  </si>
  <si>
    <t>Liberia|1962</t>
  </si>
  <si>
    <t>GM-02672</t>
  </si>
  <si>
    <t>GM-02673</t>
  </si>
  <si>
    <t>GM-02674</t>
  </si>
  <si>
    <t>Liberia|1967</t>
  </si>
  <si>
    <t>GM-02675</t>
  </si>
  <si>
    <t>GM-02676</t>
  </si>
  <si>
    <t>GM-02677</t>
  </si>
  <si>
    <t>Liberia|1972</t>
  </si>
  <si>
    <t>GM-02678</t>
  </si>
  <si>
    <t>GM-02679</t>
  </si>
  <si>
    <t>GM-02680</t>
  </si>
  <si>
    <t>Liberia|1977</t>
  </si>
  <si>
    <t>GM-02681</t>
  </si>
  <si>
    <t>GM-02682</t>
  </si>
  <si>
    <t>GM-02683</t>
  </si>
  <si>
    <t>Liberia|1982</t>
  </si>
  <si>
    <t>GM-02684</t>
  </si>
  <si>
    <t>GM-02685</t>
  </si>
  <si>
    <t>GM-02686</t>
  </si>
  <si>
    <t>Liberia|1987</t>
  </si>
  <si>
    <t>GM-02687</t>
  </si>
  <si>
    <t>GM-02688</t>
  </si>
  <si>
    <t>GM-02689</t>
  </si>
  <si>
    <t>Liberia|1992</t>
  </si>
  <si>
    <t>GM-02690</t>
  </si>
  <si>
    <t>GM-02691</t>
  </si>
  <si>
    <t>GM-02692</t>
  </si>
  <si>
    <t>Liberia|1997</t>
  </si>
  <si>
    <t>GM-02693</t>
  </si>
  <si>
    <t>GM-02694</t>
  </si>
  <si>
    <t>GM-02695</t>
  </si>
  <si>
    <t>Liberia|2002</t>
  </si>
  <si>
    <t>GM-02696</t>
  </si>
  <si>
    <t>GM-02697</t>
  </si>
  <si>
    <t>GM-02698</t>
  </si>
  <si>
    <t>Liberia|2007</t>
  </si>
  <si>
    <t>GM-02699</t>
  </si>
  <si>
    <t>GM-02700</t>
  </si>
  <si>
    <t>GM-02701</t>
  </si>
  <si>
    <t>Libya</t>
  </si>
  <si>
    <t>Libya|1952</t>
  </si>
  <si>
    <t>GM-02702</t>
  </si>
  <si>
    <t>GM-02703</t>
  </si>
  <si>
    <t>GM-02704</t>
  </si>
  <si>
    <t>Libya|1957</t>
  </si>
  <si>
    <t>GM-02705</t>
  </si>
  <si>
    <t>GM-02706</t>
  </si>
  <si>
    <t>GM-02707</t>
  </si>
  <si>
    <t>Libya|1962</t>
  </si>
  <si>
    <t>GM-02708</t>
  </si>
  <si>
    <t>GM-02709</t>
  </si>
  <si>
    <t>GM-02710</t>
  </si>
  <si>
    <t>Libya|1967</t>
  </si>
  <si>
    <t>GM-02711</t>
  </si>
  <si>
    <t>GM-02712</t>
  </si>
  <si>
    <t>GM-02713</t>
  </si>
  <si>
    <t>Libya|1972</t>
  </si>
  <si>
    <t>GM-02714</t>
  </si>
  <si>
    <t>GM-02715</t>
  </si>
  <si>
    <t>GM-02716</t>
  </si>
  <si>
    <t>Libya|1977</t>
  </si>
  <si>
    <t>GM-02717</t>
  </si>
  <si>
    <t>GM-02718</t>
  </si>
  <si>
    <t>GM-02719</t>
  </si>
  <si>
    <t>Libya|1982</t>
  </si>
  <si>
    <t>GM-02720</t>
  </si>
  <si>
    <t>GM-02721</t>
  </si>
  <si>
    <t>GM-02722</t>
  </si>
  <si>
    <t>Libya|1987</t>
  </si>
  <si>
    <t>GM-02723</t>
  </si>
  <si>
    <t>GM-02724</t>
  </si>
  <si>
    <t>GM-02725</t>
  </si>
  <si>
    <t>Libya|1992</t>
  </si>
  <si>
    <t>GM-02726</t>
  </si>
  <si>
    <t>GM-02727</t>
  </si>
  <si>
    <t>GM-02728</t>
  </si>
  <si>
    <t>Libya|1997</t>
  </si>
  <si>
    <t>GM-02729</t>
  </si>
  <si>
    <t>GM-02730</t>
  </si>
  <si>
    <t>GM-02731</t>
  </si>
  <si>
    <t>Libya|2002</t>
  </si>
  <si>
    <t>GM-02732</t>
  </si>
  <si>
    <t>GM-02733</t>
  </si>
  <si>
    <t>GM-02734</t>
  </si>
  <si>
    <t>Libya|2007</t>
  </si>
  <si>
    <t>GM-02735</t>
  </si>
  <si>
    <t>GM-02736</t>
  </si>
  <si>
    <t>GM-02737</t>
  </si>
  <si>
    <t>Madagascar</t>
  </si>
  <si>
    <t>Madagascar|1952</t>
  </si>
  <si>
    <t>GM-02738</t>
  </si>
  <si>
    <t>GM-02739</t>
  </si>
  <si>
    <t>GM-02740</t>
  </si>
  <si>
    <t>Madagascar|1957</t>
  </si>
  <si>
    <t>GM-02741</t>
  </si>
  <si>
    <t>GM-02742</t>
  </si>
  <si>
    <t>GM-02743</t>
  </si>
  <si>
    <t>Madagascar|1962</t>
  </si>
  <si>
    <t>GM-02744</t>
  </si>
  <si>
    <t>GM-02745</t>
  </si>
  <si>
    <t>GM-02746</t>
  </si>
  <si>
    <t>Madagascar|1967</t>
  </si>
  <si>
    <t>GM-02747</t>
  </si>
  <si>
    <t>GM-02748</t>
  </si>
  <si>
    <t>GM-02749</t>
  </si>
  <si>
    <t>Madagascar|1972</t>
  </si>
  <si>
    <t>GM-02750</t>
  </si>
  <si>
    <t>GM-02751</t>
  </si>
  <si>
    <t>GM-02752</t>
  </si>
  <si>
    <t>Madagascar|1977</t>
  </si>
  <si>
    <t>GM-02753</t>
  </si>
  <si>
    <t>GM-02754</t>
  </si>
  <si>
    <t>GM-02755</t>
  </si>
  <si>
    <t>Madagascar|1982</t>
  </si>
  <si>
    <t>GM-02756</t>
  </si>
  <si>
    <t>GM-02757</t>
  </si>
  <si>
    <t>GM-02758</t>
  </si>
  <si>
    <t>Madagascar|1987</t>
  </si>
  <si>
    <t>GM-02759</t>
  </si>
  <si>
    <t>GM-02760</t>
  </si>
  <si>
    <t>GM-02761</t>
  </si>
  <si>
    <t>Madagascar|1992</t>
  </si>
  <si>
    <t>GM-02762</t>
  </si>
  <si>
    <t>GM-02763</t>
  </si>
  <si>
    <t>GM-02764</t>
  </si>
  <si>
    <t>Madagascar|1997</t>
  </si>
  <si>
    <t>GM-02765</t>
  </si>
  <si>
    <t>GM-02766</t>
  </si>
  <si>
    <t>GM-02767</t>
  </si>
  <si>
    <t>Madagascar|2002</t>
  </si>
  <si>
    <t>GM-02768</t>
  </si>
  <si>
    <t>GM-02769</t>
  </si>
  <si>
    <t>GM-02770</t>
  </si>
  <si>
    <t>Madagascar|2007</t>
  </si>
  <si>
    <t>GM-02771</t>
  </si>
  <si>
    <t>GM-02772</t>
  </si>
  <si>
    <t>GM-02773</t>
  </si>
  <si>
    <t>Malawi</t>
  </si>
  <si>
    <t>Malawi|1952</t>
  </si>
  <si>
    <t>GM-02774</t>
  </si>
  <si>
    <t>GM-02775</t>
  </si>
  <si>
    <t>GM-02776</t>
  </si>
  <si>
    <t>Malawi|1957</t>
  </si>
  <si>
    <t>GM-02777</t>
  </si>
  <si>
    <t>GM-02778</t>
  </si>
  <si>
    <t>GM-02779</t>
  </si>
  <si>
    <t>Malawi|1962</t>
  </si>
  <si>
    <t>GM-02780</t>
  </si>
  <si>
    <t>GM-02781</t>
  </si>
  <si>
    <t>GM-02782</t>
  </si>
  <si>
    <t>Malawi|1967</t>
  </si>
  <si>
    <t>GM-02783</t>
  </si>
  <si>
    <t>GM-02784</t>
  </si>
  <si>
    <t>GM-02785</t>
  </si>
  <si>
    <t>Malawi|1972</t>
  </si>
  <si>
    <t>GM-02786</t>
  </si>
  <si>
    <t>GM-02787</t>
  </si>
  <si>
    <t>GM-02788</t>
  </si>
  <si>
    <t>Malawi|1977</t>
  </si>
  <si>
    <t>GM-02789</t>
  </si>
  <si>
    <t>GM-02790</t>
  </si>
  <si>
    <t>GM-02791</t>
  </si>
  <si>
    <t>Malawi|1982</t>
  </si>
  <si>
    <t>GM-02792</t>
  </si>
  <si>
    <t>GM-02793</t>
  </si>
  <si>
    <t>GM-02794</t>
  </si>
  <si>
    <t>Malawi|1987</t>
  </si>
  <si>
    <t>GM-02795</t>
  </si>
  <si>
    <t>GM-02796</t>
  </si>
  <si>
    <t>GM-02797</t>
  </si>
  <si>
    <t>Malawi|1992</t>
  </si>
  <si>
    <t>GM-02798</t>
  </si>
  <si>
    <t>GM-02799</t>
  </si>
  <si>
    <t>GM-02800</t>
  </si>
  <si>
    <t>Malawi|1997</t>
  </si>
  <si>
    <t>GM-02801</t>
  </si>
  <si>
    <t>GM-02802</t>
  </si>
  <si>
    <t>GM-02803</t>
  </si>
  <si>
    <t>Malawi|2002</t>
  </si>
  <si>
    <t>GM-02804</t>
  </si>
  <si>
    <t>GM-02805</t>
  </si>
  <si>
    <t>GM-02806</t>
  </si>
  <si>
    <t>Malawi|2007</t>
  </si>
  <si>
    <t>GM-02807</t>
  </si>
  <si>
    <t>GM-02808</t>
  </si>
  <si>
    <t>GM-02809</t>
  </si>
  <si>
    <t>Malaysia</t>
  </si>
  <si>
    <t>Malaysia|1952</t>
  </si>
  <si>
    <t>GM-02810</t>
  </si>
  <si>
    <t>GM-02811</t>
  </si>
  <si>
    <t>GM-02812</t>
  </si>
  <si>
    <t>Malaysia|1957</t>
  </si>
  <si>
    <t>GM-02813</t>
  </si>
  <si>
    <t>GM-02814</t>
  </si>
  <si>
    <t>GM-02815</t>
  </si>
  <si>
    <t>Malaysia|1962</t>
  </si>
  <si>
    <t>GM-02816</t>
  </si>
  <si>
    <t>GM-02817</t>
  </si>
  <si>
    <t>GM-02818</t>
  </si>
  <si>
    <t>Malaysia|1967</t>
  </si>
  <si>
    <t>GM-02819</t>
  </si>
  <si>
    <t>GM-02820</t>
  </si>
  <si>
    <t>GM-02821</t>
  </si>
  <si>
    <t>Malaysia|1972</t>
  </si>
  <si>
    <t>GM-02822</t>
  </si>
  <si>
    <t>GM-02823</t>
  </si>
  <si>
    <t>GM-02824</t>
  </si>
  <si>
    <t>Malaysia|1977</t>
  </si>
  <si>
    <t>GM-02825</t>
  </si>
  <si>
    <t>GM-02826</t>
  </si>
  <si>
    <t>GM-02827</t>
  </si>
  <si>
    <t>Malaysia|1982</t>
  </si>
  <si>
    <t>GM-02828</t>
  </si>
  <si>
    <t>GM-02829</t>
  </si>
  <si>
    <t>GM-02830</t>
  </si>
  <si>
    <t>Malaysia|1987</t>
  </si>
  <si>
    <t>GM-02831</t>
  </si>
  <si>
    <t>GM-02832</t>
  </si>
  <si>
    <t>GM-02833</t>
  </si>
  <si>
    <t>Malaysia|1992</t>
  </si>
  <si>
    <t>GM-02834</t>
  </si>
  <si>
    <t>GM-02835</t>
  </si>
  <si>
    <t>GM-02836</t>
  </si>
  <si>
    <t>Malaysia|1997</t>
  </si>
  <si>
    <t>GM-02837</t>
  </si>
  <si>
    <t>GM-02838</t>
  </si>
  <si>
    <t>GM-02839</t>
  </si>
  <si>
    <t>Malaysia|2002</t>
  </si>
  <si>
    <t>GM-02840</t>
  </si>
  <si>
    <t>GM-02841</t>
  </si>
  <si>
    <t>GM-02842</t>
  </si>
  <si>
    <t>Malaysia|2007</t>
  </si>
  <si>
    <t>GM-02843</t>
  </si>
  <si>
    <t>GM-02844</t>
  </si>
  <si>
    <t>GM-02845</t>
  </si>
  <si>
    <t>Mali</t>
  </si>
  <si>
    <t>Mali|1952</t>
  </si>
  <si>
    <t>GM-02846</t>
  </si>
  <si>
    <t>GM-02847</t>
  </si>
  <si>
    <t>GM-02848</t>
  </si>
  <si>
    <t>Mali|1957</t>
  </si>
  <si>
    <t>GM-02849</t>
  </si>
  <si>
    <t>GM-02850</t>
  </si>
  <si>
    <t>GM-02851</t>
  </si>
  <si>
    <t>Mali|1962</t>
  </si>
  <si>
    <t>GM-02852</t>
  </si>
  <si>
    <t>GM-02853</t>
  </si>
  <si>
    <t>GM-02854</t>
  </si>
  <si>
    <t>Mali|1967</t>
  </si>
  <si>
    <t>GM-02855</t>
  </si>
  <si>
    <t>GM-02856</t>
  </si>
  <si>
    <t>GM-02857</t>
  </si>
  <si>
    <t>Mali|1972</t>
  </si>
  <si>
    <t>GM-02858</t>
  </si>
  <si>
    <t>GM-02859</t>
  </si>
  <si>
    <t>GM-02860</t>
  </si>
  <si>
    <t>Mali|1977</t>
  </si>
  <si>
    <t>GM-02861</t>
  </si>
  <si>
    <t>GM-02862</t>
  </si>
  <si>
    <t>GM-02863</t>
  </si>
  <si>
    <t>Mali|1982</t>
  </si>
  <si>
    <t>GM-02864</t>
  </si>
  <si>
    <t>GM-02865</t>
  </si>
  <si>
    <t>GM-02866</t>
  </si>
  <si>
    <t>Mali|1987</t>
  </si>
  <si>
    <t>GM-02867</t>
  </si>
  <si>
    <t>GM-02868</t>
  </si>
  <si>
    <t>GM-02869</t>
  </si>
  <si>
    <t>Mali|1992</t>
  </si>
  <si>
    <t>GM-02870</t>
  </si>
  <si>
    <t>GM-02871</t>
  </si>
  <si>
    <t>GM-02872</t>
  </si>
  <si>
    <t>Mali|1997</t>
  </si>
  <si>
    <t>GM-02873</t>
  </si>
  <si>
    <t>GM-02874</t>
  </si>
  <si>
    <t>GM-02875</t>
  </si>
  <si>
    <t>Mali|2002</t>
  </si>
  <si>
    <t>GM-02876</t>
  </si>
  <si>
    <t>GM-02877</t>
  </si>
  <si>
    <t>GM-02878</t>
  </si>
  <si>
    <t>Mali|2007</t>
  </si>
  <si>
    <t>GM-02879</t>
  </si>
  <si>
    <t>GM-02880</t>
  </si>
  <si>
    <t>GM-02881</t>
  </si>
  <si>
    <t>Mauritania</t>
  </si>
  <si>
    <t>Mauritania|1952</t>
  </si>
  <si>
    <t>GM-02882</t>
  </si>
  <si>
    <t>GM-02883</t>
  </si>
  <si>
    <t>GM-02884</t>
  </si>
  <si>
    <t>Mauritania|1957</t>
  </si>
  <si>
    <t>GM-02885</t>
  </si>
  <si>
    <t>GM-02886</t>
  </si>
  <si>
    <t>GM-02887</t>
  </si>
  <si>
    <t>Mauritania|1962</t>
  </si>
  <si>
    <t>GM-02888</t>
  </si>
  <si>
    <t>GM-02889</t>
  </si>
  <si>
    <t>GM-02890</t>
  </si>
  <si>
    <t>Mauritania|1967</t>
  </si>
  <si>
    <t>GM-02891</t>
  </si>
  <si>
    <t>GM-02892</t>
  </si>
  <si>
    <t>GM-02893</t>
  </si>
  <si>
    <t>Mauritania|1972</t>
  </si>
  <si>
    <t>GM-02894</t>
  </si>
  <si>
    <t>GM-02895</t>
  </si>
  <si>
    <t>GM-02896</t>
  </si>
  <si>
    <t>Mauritania|1977</t>
  </si>
  <si>
    <t>GM-02897</t>
  </si>
  <si>
    <t>GM-02898</t>
  </si>
  <si>
    <t>GM-02899</t>
  </si>
  <si>
    <t>Mauritania|1982</t>
  </si>
  <si>
    <t>GM-02900</t>
  </si>
  <si>
    <t>GM-02901</t>
  </si>
  <si>
    <t>GM-02902</t>
  </si>
  <si>
    <t>Mauritania|1987</t>
  </si>
  <si>
    <t>GM-02903</t>
  </si>
  <si>
    <t>GM-02904</t>
  </si>
  <si>
    <t>GM-02905</t>
  </si>
  <si>
    <t>Mauritania|1992</t>
  </si>
  <si>
    <t>GM-02906</t>
  </si>
  <si>
    <t>GM-02907</t>
  </si>
  <si>
    <t>GM-02908</t>
  </si>
  <si>
    <t>Mauritania|1997</t>
  </si>
  <si>
    <t>GM-02909</t>
  </si>
  <si>
    <t>GM-02910</t>
  </si>
  <si>
    <t>GM-02911</t>
  </si>
  <si>
    <t>Mauritania|2002</t>
  </si>
  <si>
    <t>GM-02912</t>
  </si>
  <si>
    <t>GM-02913</t>
  </si>
  <si>
    <t>GM-02914</t>
  </si>
  <si>
    <t>Mauritania|2007</t>
  </si>
  <si>
    <t>GM-02915</t>
  </si>
  <si>
    <t>GM-02916</t>
  </si>
  <si>
    <t>GM-02917</t>
  </si>
  <si>
    <t>Mauritius</t>
  </si>
  <si>
    <t>Mauritius|1952</t>
  </si>
  <si>
    <t>GM-02918</t>
  </si>
  <si>
    <t>GM-02919</t>
  </si>
  <si>
    <t>GM-02920</t>
  </si>
  <si>
    <t>Mauritius|1957</t>
  </si>
  <si>
    <t>GM-02921</t>
  </si>
  <si>
    <t>GM-02922</t>
  </si>
  <si>
    <t>GM-02923</t>
  </si>
  <si>
    <t>Mauritius|1962</t>
  </si>
  <si>
    <t>GM-02924</t>
  </si>
  <si>
    <t>GM-02925</t>
  </si>
  <si>
    <t>GM-02926</t>
  </si>
  <si>
    <t>Mauritius|1967</t>
  </si>
  <si>
    <t>GM-02927</t>
  </si>
  <si>
    <t>GM-02928</t>
  </si>
  <si>
    <t>GM-02929</t>
  </si>
  <si>
    <t>Mauritius|1972</t>
  </si>
  <si>
    <t>GM-02930</t>
  </si>
  <si>
    <t>GM-02931</t>
  </si>
  <si>
    <t>GM-02932</t>
  </si>
  <si>
    <t>Mauritius|1977</t>
  </si>
  <si>
    <t>GM-02933</t>
  </si>
  <si>
    <t>GM-02934</t>
  </si>
  <si>
    <t>GM-02935</t>
  </si>
  <si>
    <t>Mauritius|1982</t>
  </si>
  <si>
    <t>GM-02936</t>
  </si>
  <si>
    <t>GM-02937</t>
  </si>
  <si>
    <t>GM-02938</t>
  </si>
  <si>
    <t>Mauritius|1987</t>
  </si>
  <si>
    <t>GM-02939</t>
  </si>
  <si>
    <t>GM-02940</t>
  </si>
  <si>
    <t>GM-02941</t>
  </si>
  <si>
    <t>Mauritius|1992</t>
  </si>
  <si>
    <t>GM-02942</t>
  </si>
  <si>
    <t>GM-02943</t>
  </si>
  <si>
    <t>GM-02944</t>
  </si>
  <si>
    <t>Mauritius|1997</t>
  </si>
  <si>
    <t>GM-02945</t>
  </si>
  <si>
    <t>GM-02946</t>
  </si>
  <si>
    <t>GM-02947</t>
  </si>
  <si>
    <t>Mauritius|2002</t>
  </si>
  <si>
    <t>GM-02948</t>
  </si>
  <si>
    <t>GM-02949</t>
  </si>
  <si>
    <t>GM-02950</t>
  </si>
  <si>
    <t>Mauritius|2007</t>
  </si>
  <si>
    <t>GM-02951</t>
  </si>
  <si>
    <t>GM-02952</t>
  </si>
  <si>
    <t>GM-02953</t>
  </si>
  <si>
    <t>Mexico</t>
  </si>
  <si>
    <t>Mexico|1952</t>
  </si>
  <si>
    <t>GM-02954</t>
  </si>
  <si>
    <t>GM-02955</t>
  </si>
  <si>
    <t>GM-02956</t>
  </si>
  <si>
    <t>Mexico|1957</t>
  </si>
  <si>
    <t>GM-02957</t>
  </si>
  <si>
    <t>GM-02958</t>
  </si>
  <si>
    <t>GM-02959</t>
  </si>
  <si>
    <t>Mexico|1962</t>
  </si>
  <si>
    <t>GM-02960</t>
  </si>
  <si>
    <t>GM-02961</t>
  </si>
  <si>
    <t>GM-02962</t>
  </si>
  <si>
    <t>Mexico|1967</t>
  </si>
  <si>
    <t>GM-02963</t>
  </si>
  <si>
    <t>GM-02964</t>
  </si>
  <si>
    <t>GM-02965</t>
  </si>
  <si>
    <t>Mexico|1972</t>
  </si>
  <si>
    <t>GM-02966</t>
  </si>
  <si>
    <t>GM-02967</t>
  </si>
  <si>
    <t>GM-02968</t>
  </si>
  <si>
    <t>Mexico|1977</t>
  </si>
  <si>
    <t>GM-02969</t>
  </si>
  <si>
    <t>GM-02970</t>
  </si>
  <si>
    <t>GM-02971</t>
  </si>
  <si>
    <t>Mexico|1982</t>
  </si>
  <si>
    <t>GM-02972</t>
  </si>
  <si>
    <t>GM-02973</t>
  </si>
  <si>
    <t>GM-02974</t>
  </si>
  <si>
    <t>Mexico|1987</t>
  </si>
  <si>
    <t>GM-02975</t>
  </si>
  <si>
    <t>GM-02976</t>
  </si>
  <si>
    <t>GM-02977</t>
  </si>
  <si>
    <t>Mexico|1992</t>
  </si>
  <si>
    <t>GM-02978</t>
  </si>
  <si>
    <t>GM-02979</t>
  </si>
  <si>
    <t>GM-02980</t>
  </si>
  <si>
    <t>Mexico|1997</t>
  </si>
  <si>
    <t>GM-02981</t>
  </si>
  <si>
    <t>GM-02982</t>
  </si>
  <si>
    <t>GM-02983</t>
  </si>
  <si>
    <t>Mexico|2002</t>
  </si>
  <si>
    <t>GM-02984</t>
  </si>
  <si>
    <t>GM-02985</t>
  </si>
  <si>
    <t>GM-02986</t>
  </si>
  <si>
    <t>Mexico|2007</t>
  </si>
  <si>
    <t>GM-02987</t>
  </si>
  <si>
    <t>GM-02988</t>
  </si>
  <si>
    <t>GM-02989</t>
  </si>
  <si>
    <t>Mongolia</t>
  </si>
  <si>
    <t>Mongolia|1952</t>
  </si>
  <si>
    <t>GM-02990</t>
  </si>
  <si>
    <t>GM-02991</t>
  </si>
  <si>
    <t>GM-02992</t>
  </si>
  <si>
    <t>Mongolia|1957</t>
  </si>
  <si>
    <t>GM-02993</t>
  </si>
  <si>
    <t>GM-02994</t>
  </si>
  <si>
    <t>GM-02995</t>
  </si>
  <si>
    <t>Mongolia|1962</t>
  </si>
  <si>
    <t>GM-02996</t>
  </si>
  <si>
    <t>GM-02997</t>
  </si>
  <si>
    <t>GM-02998</t>
  </si>
  <si>
    <t>Mongolia|1967</t>
  </si>
  <si>
    <t>GM-02999</t>
  </si>
  <si>
    <t>GM-03000</t>
  </si>
  <si>
    <t>GM-03001</t>
  </si>
  <si>
    <t>Mongolia|1972</t>
  </si>
  <si>
    <t>GM-03002</t>
  </si>
  <si>
    <t>GM-03003</t>
  </si>
  <si>
    <t>GM-03004</t>
  </si>
  <si>
    <t>Mongolia|1977</t>
  </si>
  <si>
    <t>GM-03005</t>
  </si>
  <si>
    <t>GM-03006</t>
  </si>
  <si>
    <t>GM-03007</t>
  </si>
  <si>
    <t>Mongolia|1982</t>
  </si>
  <si>
    <t>GM-03008</t>
  </si>
  <si>
    <t>GM-03009</t>
  </si>
  <si>
    <t>GM-03010</t>
  </si>
  <si>
    <t>Mongolia|1987</t>
  </si>
  <si>
    <t>GM-03011</t>
  </si>
  <si>
    <t>GM-03012</t>
  </si>
  <si>
    <t>GM-03013</t>
  </si>
  <si>
    <t>Mongolia|1992</t>
  </si>
  <si>
    <t>GM-03014</t>
  </si>
  <si>
    <t>GM-03015</t>
  </si>
  <si>
    <t>GM-03016</t>
  </si>
  <si>
    <t>Mongolia|1997</t>
  </si>
  <si>
    <t>GM-03017</t>
  </si>
  <si>
    <t>GM-03018</t>
  </si>
  <si>
    <t>GM-03019</t>
  </si>
  <si>
    <t>Mongolia|2002</t>
  </si>
  <si>
    <t>GM-03020</t>
  </si>
  <si>
    <t>GM-03021</t>
  </si>
  <si>
    <t>GM-03022</t>
  </si>
  <si>
    <t>Mongolia|2007</t>
  </si>
  <si>
    <t>GM-03023</t>
  </si>
  <si>
    <t>GM-03024</t>
  </si>
  <si>
    <t>GM-03025</t>
  </si>
  <si>
    <t>Montenegro</t>
  </si>
  <si>
    <t>Montenegro|1952</t>
  </si>
  <si>
    <t>GM-03026</t>
  </si>
  <si>
    <t>GM-03027</t>
  </si>
  <si>
    <t>GM-03028</t>
  </si>
  <si>
    <t>Montenegro|1957</t>
  </si>
  <si>
    <t>GM-03029</t>
  </si>
  <si>
    <t>GM-03030</t>
  </si>
  <si>
    <t>GM-03031</t>
  </si>
  <si>
    <t>Montenegro|1962</t>
  </si>
  <si>
    <t>GM-03032</t>
  </si>
  <si>
    <t>GM-03033</t>
  </si>
  <si>
    <t>GM-03034</t>
  </si>
  <si>
    <t>Montenegro|1967</t>
  </si>
  <si>
    <t>GM-03035</t>
  </si>
  <si>
    <t>GM-03036</t>
  </si>
  <si>
    <t>GM-03037</t>
  </si>
  <si>
    <t>Montenegro|1972</t>
  </si>
  <si>
    <t>GM-03038</t>
  </si>
  <si>
    <t>GM-03039</t>
  </si>
  <si>
    <t>GM-03040</t>
  </si>
  <si>
    <t>Montenegro|1977</t>
  </si>
  <si>
    <t>GM-03041</t>
  </si>
  <si>
    <t>GM-03042</t>
  </si>
  <si>
    <t>GM-03043</t>
  </si>
  <si>
    <t>Montenegro|1982</t>
  </si>
  <si>
    <t>GM-03044</t>
  </si>
  <si>
    <t>GM-03045</t>
  </si>
  <si>
    <t>GM-03046</t>
  </si>
  <si>
    <t>Montenegro|1987</t>
  </si>
  <si>
    <t>GM-03047</t>
  </si>
  <si>
    <t>GM-03048</t>
  </si>
  <si>
    <t>GM-03049</t>
  </si>
  <si>
    <t>Montenegro|1992</t>
  </si>
  <si>
    <t>GM-03050</t>
  </si>
  <si>
    <t>GM-03051</t>
  </si>
  <si>
    <t>GM-03052</t>
  </si>
  <si>
    <t>Montenegro|1997</t>
  </si>
  <si>
    <t>GM-03053</t>
  </si>
  <si>
    <t>GM-03054</t>
  </si>
  <si>
    <t>GM-03055</t>
  </si>
  <si>
    <t>Montenegro|2002</t>
  </si>
  <si>
    <t>GM-03056</t>
  </si>
  <si>
    <t>GM-03057</t>
  </si>
  <si>
    <t>GM-03058</t>
  </si>
  <si>
    <t>Montenegro|2007</t>
  </si>
  <si>
    <t>GM-03059</t>
  </si>
  <si>
    <t>GM-03060</t>
  </si>
  <si>
    <t>GM-03061</t>
  </si>
  <si>
    <t>Morocco</t>
  </si>
  <si>
    <t>Morocco|1952</t>
  </si>
  <si>
    <t>GM-03062</t>
  </si>
  <si>
    <t>GM-03063</t>
  </si>
  <si>
    <t>GM-03064</t>
  </si>
  <si>
    <t>Morocco|1957</t>
  </si>
  <si>
    <t>GM-03065</t>
  </si>
  <si>
    <t>GM-03066</t>
  </si>
  <si>
    <t>GM-03067</t>
  </si>
  <si>
    <t>Morocco|1962</t>
  </si>
  <si>
    <t>GM-03068</t>
  </si>
  <si>
    <t>GM-03069</t>
  </si>
  <si>
    <t>GM-03070</t>
  </si>
  <si>
    <t>Morocco|1967</t>
  </si>
  <si>
    <t>GM-03071</t>
  </si>
  <si>
    <t>GM-03072</t>
  </si>
  <si>
    <t>GM-03073</t>
  </si>
  <si>
    <t>Morocco|1972</t>
  </si>
  <si>
    <t>GM-03074</t>
  </si>
  <si>
    <t>GM-03075</t>
  </si>
  <si>
    <t>GM-03076</t>
  </si>
  <si>
    <t>Morocco|1977</t>
  </si>
  <si>
    <t>GM-03077</t>
  </si>
  <si>
    <t>GM-03078</t>
  </si>
  <si>
    <t>GM-03079</t>
  </si>
  <si>
    <t>Morocco|1982</t>
  </si>
  <si>
    <t>GM-03080</t>
  </si>
  <si>
    <t>GM-03081</t>
  </si>
  <si>
    <t>GM-03082</t>
  </si>
  <si>
    <t>Morocco|1987</t>
  </si>
  <si>
    <t>GM-03083</t>
  </si>
  <si>
    <t>GM-03084</t>
  </si>
  <si>
    <t>GM-03085</t>
  </si>
  <si>
    <t>Morocco|1992</t>
  </si>
  <si>
    <t>GM-03086</t>
  </si>
  <si>
    <t>GM-03087</t>
  </si>
  <si>
    <t>GM-03088</t>
  </si>
  <si>
    <t>Morocco|1997</t>
  </si>
  <si>
    <t>GM-03089</t>
  </si>
  <si>
    <t>GM-03090</t>
  </si>
  <si>
    <t>GM-03091</t>
  </si>
  <si>
    <t>Morocco|2002</t>
  </si>
  <si>
    <t>GM-03092</t>
  </si>
  <si>
    <t>GM-03093</t>
  </si>
  <si>
    <t>GM-03094</t>
  </si>
  <si>
    <t>Morocco|2007</t>
  </si>
  <si>
    <t>GM-03095</t>
  </si>
  <si>
    <t>GM-03096</t>
  </si>
  <si>
    <t>GM-03097</t>
  </si>
  <si>
    <t>Mozambique</t>
  </si>
  <si>
    <t>Mozambique|1952</t>
  </si>
  <si>
    <t>GM-03098</t>
  </si>
  <si>
    <t>GM-03099</t>
  </si>
  <si>
    <t>GM-03100</t>
  </si>
  <si>
    <t>Mozambique|1957</t>
  </si>
  <si>
    <t>GM-03101</t>
  </si>
  <si>
    <t>GM-03102</t>
  </si>
  <si>
    <t>GM-03103</t>
  </si>
  <si>
    <t>Mozambique|1962</t>
  </si>
  <si>
    <t>GM-03104</t>
  </si>
  <si>
    <t>GM-03105</t>
  </si>
  <si>
    <t>GM-03106</t>
  </si>
  <si>
    <t>Mozambique|1967</t>
  </si>
  <si>
    <t>GM-03107</t>
  </si>
  <si>
    <t>GM-03108</t>
  </si>
  <si>
    <t>GM-03109</t>
  </si>
  <si>
    <t>Mozambique|1972</t>
  </si>
  <si>
    <t>GM-03110</t>
  </si>
  <si>
    <t>GM-03111</t>
  </si>
  <si>
    <t>GM-03112</t>
  </si>
  <si>
    <t>Mozambique|1977</t>
  </si>
  <si>
    <t>GM-03113</t>
  </si>
  <si>
    <t>GM-03114</t>
  </si>
  <si>
    <t>GM-03115</t>
  </si>
  <si>
    <t>Mozambique|1982</t>
  </si>
  <si>
    <t>GM-03116</t>
  </si>
  <si>
    <t>GM-03117</t>
  </si>
  <si>
    <t>GM-03118</t>
  </si>
  <si>
    <t>Mozambique|1987</t>
  </si>
  <si>
    <t>GM-03119</t>
  </si>
  <si>
    <t>GM-03120</t>
  </si>
  <si>
    <t>GM-03121</t>
  </si>
  <si>
    <t>Mozambique|1992</t>
  </si>
  <si>
    <t>GM-03122</t>
  </si>
  <si>
    <t>GM-03123</t>
  </si>
  <si>
    <t>GM-03124</t>
  </si>
  <si>
    <t>Mozambique|1997</t>
  </si>
  <si>
    <t>GM-03125</t>
  </si>
  <si>
    <t>GM-03126</t>
  </si>
  <si>
    <t>GM-03127</t>
  </si>
  <si>
    <t>Mozambique|2002</t>
  </si>
  <si>
    <t>GM-03128</t>
  </si>
  <si>
    <t>GM-03129</t>
  </si>
  <si>
    <t>GM-03130</t>
  </si>
  <si>
    <t>Mozambique|2007</t>
  </si>
  <si>
    <t>GM-03131</t>
  </si>
  <si>
    <t>GM-03132</t>
  </si>
  <si>
    <t>GM-03133</t>
  </si>
  <si>
    <t>Myanmar</t>
  </si>
  <si>
    <t>Myanmar|1952</t>
  </si>
  <si>
    <t>GM-03134</t>
  </si>
  <si>
    <t>GM-03135</t>
  </si>
  <si>
    <t>GM-03136</t>
  </si>
  <si>
    <t>Myanmar|1957</t>
  </si>
  <si>
    <t>GM-03137</t>
  </si>
  <si>
    <t>GM-03138</t>
  </si>
  <si>
    <t>GM-03139</t>
  </si>
  <si>
    <t>Myanmar|1962</t>
  </si>
  <si>
    <t>GM-03140</t>
  </si>
  <si>
    <t>GM-03141</t>
  </si>
  <si>
    <t>GM-03142</t>
  </si>
  <si>
    <t>Myanmar|1967</t>
  </si>
  <si>
    <t>GM-03143</t>
  </si>
  <si>
    <t>GM-03144</t>
  </si>
  <si>
    <t>GM-03145</t>
  </si>
  <si>
    <t>Myanmar|1972</t>
  </si>
  <si>
    <t>GM-03146</t>
  </si>
  <si>
    <t>GM-03147</t>
  </si>
  <si>
    <t>GM-03148</t>
  </si>
  <si>
    <t>Myanmar|1977</t>
  </si>
  <si>
    <t>GM-03149</t>
  </si>
  <si>
    <t>GM-03150</t>
  </si>
  <si>
    <t>GM-03151</t>
  </si>
  <si>
    <t>Myanmar|1982</t>
  </si>
  <si>
    <t>GM-03152</t>
  </si>
  <si>
    <t>GM-03153</t>
  </si>
  <si>
    <t>GM-03154</t>
  </si>
  <si>
    <t>Myanmar|1987</t>
  </si>
  <si>
    <t>GM-03155</t>
  </si>
  <si>
    <t>GM-03156</t>
  </si>
  <si>
    <t>GM-03157</t>
  </si>
  <si>
    <t>Myanmar|1992</t>
  </si>
  <si>
    <t>GM-03158</t>
  </si>
  <si>
    <t>GM-03159</t>
  </si>
  <si>
    <t>GM-03160</t>
  </si>
  <si>
    <t>Myanmar|1997</t>
  </si>
  <si>
    <t>GM-03161</t>
  </si>
  <si>
    <t>GM-03162</t>
  </si>
  <si>
    <t>GM-03163</t>
  </si>
  <si>
    <t>Myanmar|2002</t>
  </si>
  <si>
    <t>GM-03164</t>
  </si>
  <si>
    <t>GM-03165</t>
  </si>
  <si>
    <t>GM-03166</t>
  </si>
  <si>
    <t>Myanmar|2007</t>
  </si>
  <si>
    <t>GM-03167</t>
  </si>
  <si>
    <t>GM-03168</t>
  </si>
  <si>
    <t>GM-03169</t>
  </si>
  <si>
    <t>Namibia</t>
  </si>
  <si>
    <t>Namibia|1952</t>
  </si>
  <si>
    <t>GM-03170</t>
  </si>
  <si>
    <t>GM-03171</t>
  </si>
  <si>
    <t>GM-03172</t>
  </si>
  <si>
    <t>Namibia|1957</t>
  </si>
  <si>
    <t>GM-03173</t>
  </si>
  <si>
    <t>GM-03174</t>
  </si>
  <si>
    <t>GM-03175</t>
  </si>
  <si>
    <t>Namibia|1962</t>
  </si>
  <si>
    <t>GM-03176</t>
  </si>
  <si>
    <t>GM-03177</t>
  </si>
  <si>
    <t>GM-03178</t>
  </si>
  <si>
    <t>Namibia|1967</t>
  </si>
  <si>
    <t>GM-03179</t>
  </si>
  <si>
    <t>GM-03180</t>
  </si>
  <si>
    <t>GM-03181</t>
  </si>
  <si>
    <t>Namibia|1972</t>
  </si>
  <si>
    <t>GM-03182</t>
  </si>
  <si>
    <t>GM-03183</t>
  </si>
  <si>
    <t>GM-03184</t>
  </si>
  <si>
    <t>Namibia|1977</t>
  </si>
  <si>
    <t>GM-03185</t>
  </si>
  <si>
    <t>GM-03186</t>
  </si>
  <si>
    <t>GM-03187</t>
  </si>
  <si>
    <t>Namibia|1982</t>
  </si>
  <si>
    <t>GM-03188</t>
  </si>
  <si>
    <t>GM-03189</t>
  </si>
  <si>
    <t>GM-03190</t>
  </si>
  <si>
    <t>Namibia|1987</t>
  </si>
  <si>
    <t>GM-03191</t>
  </si>
  <si>
    <t>GM-03192</t>
  </si>
  <si>
    <t>GM-03193</t>
  </si>
  <si>
    <t>Namibia|1992</t>
  </si>
  <si>
    <t>GM-03194</t>
  </si>
  <si>
    <t>GM-03195</t>
  </si>
  <si>
    <t>GM-03196</t>
  </si>
  <si>
    <t>Namibia|1997</t>
  </si>
  <si>
    <t>GM-03197</t>
  </si>
  <si>
    <t>GM-03198</t>
  </si>
  <si>
    <t>GM-03199</t>
  </si>
  <si>
    <t>Namibia|2002</t>
  </si>
  <si>
    <t>GM-03200</t>
  </si>
  <si>
    <t>GM-03201</t>
  </si>
  <si>
    <t>GM-03202</t>
  </si>
  <si>
    <t>Namibia|2007</t>
  </si>
  <si>
    <t>GM-03203</t>
  </si>
  <si>
    <t>GM-03204</t>
  </si>
  <si>
    <t>GM-03205</t>
  </si>
  <si>
    <t>Nepal</t>
  </si>
  <si>
    <t>Nepal|1952</t>
  </si>
  <si>
    <t>GM-03206</t>
  </si>
  <si>
    <t>GM-03207</t>
  </si>
  <si>
    <t>GM-03208</t>
  </si>
  <si>
    <t>Nepal|1957</t>
  </si>
  <si>
    <t>GM-03209</t>
  </si>
  <si>
    <t>GM-03210</t>
  </si>
  <si>
    <t>GM-03211</t>
  </si>
  <si>
    <t>Nepal|1962</t>
  </si>
  <si>
    <t>GM-03212</t>
  </si>
  <si>
    <t>GM-03213</t>
  </si>
  <si>
    <t>GM-03214</t>
  </si>
  <si>
    <t>Nepal|1967</t>
  </si>
  <si>
    <t>GM-03215</t>
  </si>
  <si>
    <t>GM-03216</t>
  </si>
  <si>
    <t>GM-03217</t>
  </si>
  <si>
    <t>Nepal|1972</t>
  </si>
  <si>
    <t>GM-03218</t>
  </si>
  <si>
    <t>GM-03219</t>
  </si>
  <si>
    <t>GM-03220</t>
  </si>
  <si>
    <t>Nepal|1977</t>
  </si>
  <si>
    <t>GM-03221</t>
  </si>
  <si>
    <t>GM-03222</t>
  </si>
  <si>
    <t>GM-03223</t>
  </si>
  <si>
    <t>Nepal|1982</t>
  </si>
  <si>
    <t>GM-03224</t>
  </si>
  <si>
    <t>GM-03225</t>
  </si>
  <si>
    <t>GM-03226</t>
  </si>
  <si>
    <t>Nepal|1987</t>
  </si>
  <si>
    <t>GM-03227</t>
  </si>
  <si>
    <t>GM-03228</t>
  </si>
  <si>
    <t>GM-03229</t>
  </si>
  <si>
    <t>Nepal|1992</t>
  </si>
  <si>
    <t>GM-03230</t>
  </si>
  <si>
    <t>GM-03231</t>
  </si>
  <si>
    <t>GM-03232</t>
  </si>
  <si>
    <t>Nepal|1997</t>
  </si>
  <si>
    <t>GM-03233</t>
  </si>
  <si>
    <t>GM-03234</t>
  </si>
  <si>
    <t>GM-03235</t>
  </si>
  <si>
    <t>Nepal|2002</t>
  </si>
  <si>
    <t>GM-03236</t>
  </si>
  <si>
    <t>GM-03237</t>
  </si>
  <si>
    <t>GM-03238</t>
  </si>
  <si>
    <t>Nepal|2007</t>
  </si>
  <si>
    <t>GM-03239</t>
  </si>
  <si>
    <t>GM-03240</t>
  </si>
  <si>
    <t>GM-03241</t>
  </si>
  <si>
    <t>Netherlands</t>
  </si>
  <si>
    <t>Netherlands|1952</t>
  </si>
  <si>
    <t>GM-03242</t>
  </si>
  <si>
    <t>GM-03243</t>
  </si>
  <si>
    <t>GM-03244</t>
  </si>
  <si>
    <t>Netherlands|1957</t>
  </si>
  <si>
    <t>GM-03245</t>
  </si>
  <si>
    <t>GM-03246</t>
  </si>
  <si>
    <t>GM-03247</t>
  </si>
  <si>
    <t>Netherlands|1962</t>
  </si>
  <si>
    <t>GM-03248</t>
  </si>
  <si>
    <t>GM-03249</t>
  </si>
  <si>
    <t>GM-03250</t>
  </si>
  <si>
    <t>Netherlands|1967</t>
  </si>
  <si>
    <t>GM-03251</t>
  </si>
  <si>
    <t>GM-03252</t>
  </si>
  <si>
    <t>GM-03253</t>
  </si>
  <si>
    <t>Netherlands|1972</t>
  </si>
  <si>
    <t>GM-03254</t>
  </si>
  <si>
    <t>GM-03255</t>
  </si>
  <si>
    <t>GM-03256</t>
  </si>
  <si>
    <t>Netherlands|1977</t>
  </si>
  <si>
    <t>GM-03257</t>
  </si>
  <si>
    <t>GM-03258</t>
  </si>
  <si>
    <t>GM-03259</t>
  </si>
  <si>
    <t>Netherlands|1982</t>
  </si>
  <si>
    <t>GM-03260</t>
  </si>
  <si>
    <t>GM-03261</t>
  </si>
  <si>
    <t>GM-03262</t>
  </si>
  <si>
    <t>Netherlands|1987</t>
  </si>
  <si>
    <t>GM-03263</t>
  </si>
  <si>
    <t>GM-03264</t>
  </si>
  <si>
    <t>GM-03265</t>
  </si>
  <si>
    <t>Netherlands|1992</t>
  </si>
  <si>
    <t>GM-03266</t>
  </si>
  <si>
    <t>GM-03267</t>
  </si>
  <si>
    <t>GM-03268</t>
  </si>
  <si>
    <t>Netherlands|1997</t>
  </si>
  <si>
    <t>GM-03269</t>
  </si>
  <si>
    <t>GM-03270</t>
  </si>
  <si>
    <t>GM-03271</t>
  </si>
  <si>
    <t>Netherlands|2002</t>
  </si>
  <si>
    <t>GM-03272</t>
  </si>
  <si>
    <t>GM-03273</t>
  </si>
  <si>
    <t>GM-03274</t>
  </si>
  <si>
    <t>Netherlands|2007</t>
  </si>
  <si>
    <t>GM-03275</t>
  </si>
  <si>
    <t>GM-03276</t>
  </si>
  <si>
    <t>GM-03277</t>
  </si>
  <si>
    <t>New Zealand</t>
  </si>
  <si>
    <t>New Zealand|1952</t>
  </si>
  <si>
    <t>GM-03278</t>
  </si>
  <si>
    <t>GM-03279</t>
  </si>
  <si>
    <t>GM-03280</t>
  </si>
  <si>
    <t>New Zealand|1957</t>
  </si>
  <si>
    <t>GM-03281</t>
  </si>
  <si>
    <t>GM-03282</t>
  </si>
  <si>
    <t>GM-03283</t>
  </si>
  <si>
    <t>New Zealand|1962</t>
  </si>
  <si>
    <t>GM-03284</t>
  </si>
  <si>
    <t>GM-03285</t>
  </si>
  <si>
    <t>GM-03286</t>
  </si>
  <si>
    <t>New Zealand|1967</t>
  </si>
  <si>
    <t>GM-03287</t>
  </si>
  <si>
    <t>GM-03288</t>
  </si>
  <si>
    <t>GM-03289</t>
  </si>
  <si>
    <t>New Zealand|1972</t>
  </si>
  <si>
    <t>GM-03290</t>
  </si>
  <si>
    <t>GM-03291</t>
  </si>
  <si>
    <t>GM-03292</t>
  </si>
  <si>
    <t>New Zealand|1977</t>
  </si>
  <si>
    <t>GM-03293</t>
  </si>
  <si>
    <t>GM-03294</t>
  </si>
  <si>
    <t>GM-03295</t>
  </si>
  <si>
    <t>New Zealand|1982</t>
  </si>
  <si>
    <t>GM-03296</t>
  </si>
  <si>
    <t>GM-03297</t>
  </si>
  <si>
    <t>GM-03298</t>
  </si>
  <si>
    <t>New Zealand|1987</t>
  </si>
  <si>
    <t>GM-03299</t>
  </si>
  <si>
    <t>GM-03300</t>
  </si>
  <si>
    <t>GM-03301</t>
  </si>
  <si>
    <t>New Zealand|1992</t>
  </si>
  <si>
    <t>GM-03302</t>
  </si>
  <si>
    <t>GM-03303</t>
  </si>
  <si>
    <t>GM-03304</t>
  </si>
  <si>
    <t>New Zealand|1997</t>
  </si>
  <si>
    <t>GM-03305</t>
  </si>
  <si>
    <t>GM-03306</t>
  </si>
  <si>
    <t>GM-03307</t>
  </si>
  <si>
    <t>New Zealand|2002</t>
  </si>
  <si>
    <t>GM-03308</t>
  </si>
  <si>
    <t>GM-03309</t>
  </si>
  <si>
    <t>GM-03310</t>
  </si>
  <si>
    <t>New Zealand|2007</t>
  </si>
  <si>
    <t>GM-03311</t>
  </si>
  <si>
    <t>GM-03312</t>
  </si>
  <si>
    <t>GM-03313</t>
  </si>
  <si>
    <t>Nicaragua</t>
  </si>
  <si>
    <t>Nicaragua|1952</t>
  </si>
  <si>
    <t>GM-03314</t>
  </si>
  <si>
    <t>GM-03315</t>
  </si>
  <si>
    <t>GM-03316</t>
  </si>
  <si>
    <t>Nicaragua|1957</t>
  </si>
  <si>
    <t>GM-03317</t>
  </si>
  <si>
    <t>GM-03318</t>
  </si>
  <si>
    <t>GM-03319</t>
  </si>
  <si>
    <t>Nicaragua|1962</t>
  </si>
  <si>
    <t>GM-03320</t>
  </si>
  <si>
    <t>GM-03321</t>
  </si>
  <si>
    <t>GM-03322</t>
  </si>
  <si>
    <t>Nicaragua|1967</t>
  </si>
  <si>
    <t>GM-03323</t>
  </si>
  <si>
    <t>GM-03324</t>
  </si>
  <si>
    <t>GM-03325</t>
  </si>
  <si>
    <t>Nicaragua|1972</t>
  </si>
  <si>
    <t>GM-03326</t>
  </si>
  <si>
    <t>GM-03327</t>
  </si>
  <si>
    <t>GM-03328</t>
  </si>
  <si>
    <t>Nicaragua|1977</t>
  </si>
  <si>
    <t>GM-03329</t>
  </si>
  <si>
    <t>GM-03330</t>
  </si>
  <si>
    <t>GM-03331</t>
  </si>
  <si>
    <t>Nicaragua|1982</t>
  </si>
  <si>
    <t>GM-03332</t>
  </si>
  <si>
    <t>GM-03333</t>
  </si>
  <si>
    <t>GM-03334</t>
  </si>
  <si>
    <t>Nicaragua|1987</t>
  </si>
  <si>
    <t>GM-03335</t>
  </si>
  <si>
    <t>GM-03336</t>
  </si>
  <si>
    <t>GM-03337</t>
  </si>
  <si>
    <t>Nicaragua|1992</t>
  </si>
  <si>
    <t>GM-03338</t>
  </si>
  <si>
    <t>GM-03339</t>
  </si>
  <si>
    <t>GM-03340</t>
  </si>
  <si>
    <t>Nicaragua|1997</t>
  </si>
  <si>
    <t>GM-03341</t>
  </si>
  <si>
    <t>GM-03342</t>
  </si>
  <si>
    <t>GM-03343</t>
  </si>
  <si>
    <t>Nicaragua|2002</t>
  </si>
  <si>
    <t>GM-03344</t>
  </si>
  <si>
    <t>GM-03345</t>
  </si>
  <si>
    <t>GM-03346</t>
  </si>
  <si>
    <t>Nicaragua|2007</t>
  </si>
  <si>
    <t>GM-03347</t>
  </si>
  <si>
    <t>GM-03348</t>
  </si>
  <si>
    <t>GM-03349</t>
  </si>
  <si>
    <t>Niger</t>
  </si>
  <si>
    <t>Niger|1952</t>
  </si>
  <si>
    <t>GM-03350</t>
  </si>
  <si>
    <t>GM-03351</t>
  </si>
  <si>
    <t>GM-03352</t>
  </si>
  <si>
    <t>Niger|1957</t>
  </si>
  <si>
    <t>GM-03353</t>
  </si>
  <si>
    <t>GM-03354</t>
  </si>
  <si>
    <t>GM-03355</t>
  </si>
  <si>
    <t>Niger|1962</t>
  </si>
  <si>
    <t>GM-03356</t>
  </si>
  <si>
    <t>GM-03357</t>
  </si>
  <si>
    <t>GM-03358</t>
  </si>
  <si>
    <t>Niger|1967</t>
  </si>
  <si>
    <t>GM-03359</t>
  </si>
  <si>
    <t>GM-03360</t>
  </si>
  <si>
    <t>GM-03361</t>
  </si>
  <si>
    <t>Niger|1972</t>
  </si>
  <si>
    <t>GM-03362</t>
  </si>
  <si>
    <t>GM-03363</t>
  </si>
  <si>
    <t>GM-03364</t>
  </si>
  <si>
    <t>Niger|1977</t>
  </si>
  <si>
    <t>GM-03365</t>
  </si>
  <si>
    <t>GM-03366</t>
  </si>
  <si>
    <t>GM-03367</t>
  </si>
  <si>
    <t>Niger|1982</t>
  </si>
  <si>
    <t>GM-03368</t>
  </si>
  <si>
    <t>GM-03369</t>
  </si>
  <si>
    <t>GM-03370</t>
  </si>
  <si>
    <t>Niger|1987</t>
  </si>
  <si>
    <t>GM-03371</t>
  </si>
  <si>
    <t>GM-03372</t>
  </si>
  <si>
    <t>GM-03373</t>
  </si>
  <si>
    <t>Niger|1992</t>
  </si>
  <si>
    <t>GM-03374</t>
  </si>
  <si>
    <t>GM-03375</t>
  </si>
  <si>
    <t>GM-03376</t>
  </si>
  <si>
    <t>Niger|1997</t>
  </si>
  <si>
    <t>GM-03377</t>
  </si>
  <si>
    <t>GM-03378</t>
  </si>
  <si>
    <t>GM-03379</t>
  </si>
  <si>
    <t>Niger|2002</t>
  </si>
  <si>
    <t>GM-03380</t>
  </si>
  <si>
    <t>GM-03381</t>
  </si>
  <si>
    <t>GM-03382</t>
  </si>
  <si>
    <t>Niger|2007</t>
  </si>
  <si>
    <t>GM-03383</t>
  </si>
  <si>
    <t>GM-03384</t>
  </si>
  <si>
    <t>GM-03385</t>
  </si>
  <si>
    <t>Nigeria</t>
  </si>
  <si>
    <t>Nigeria|1952</t>
  </si>
  <si>
    <t>GM-03386</t>
  </si>
  <si>
    <t>GM-03387</t>
  </si>
  <si>
    <t>GM-03388</t>
  </si>
  <si>
    <t>Nigeria|1957</t>
  </si>
  <si>
    <t>GM-03389</t>
  </si>
  <si>
    <t>GM-03390</t>
  </si>
  <si>
    <t>GM-03391</t>
  </si>
  <si>
    <t>Nigeria|1962</t>
  </si>
  <si>
    <t>GM-03392</t>
  </si>
  <si>
    <t>GM-03393</t>
  </si>
  <si>
    <t>GM-03394</t>
  </si>
  <si>
    <t>Nigeria|1967</t>
  </si>
  <si>
    <t>GM-03395</t>
  </si>
  <si>
    <t>GM-03396</t>
  </si>
  <si>
    <t>GM-03397</t>
  </si>
  <si>
    <t>Nigeria|1972</t>
  </si>
  <si>
    <t>GM-03398</t>
  </si>
  <si>
    <t>GM-03399</t>
  </si>
  <si>
    <t>GM-03400</t>
  </si>
  <si>
    <t>Nigeria|1977</t>
  </si>
  <si>
    <t>GM-03401</t>
  </si>
  <si>
    <t>GM-03402</t>
  </si>
  <si>
    <t>GM-03403</t>
  </si>
  <si>
    <t>Nigeria|1982</t>
  </si>
  <si>
    <t>GM-03404</t>
  </si>
  <si>
    <t>GM-03405</t>
  </si>
  <si>
    <t>GM-03406</t>
  </si>
  <si>
    <t>Nigeria|1987</t>
  </si>
  <si>
    <t>GM-03407</t>
  </si>
  <si>
    <t>GM-03408</t>
  </si>
  <si>
    <t>GM-03409</t>
  </si>
  <si>
    <t>Nigeria|1992</t>
  </si>
  <si>
    <t>GM-03410</t>
  </si>
  <si>
    <t>GM-03411</t>
  </si>
  <si>
    <t>GM-03412</t>
  </si>
  <si>
    <t>Nigeria|1997</t>
  </si>
  <si>
    <t>GM-03413</t>
  </si>
  <si>
    <t>GM-03414</t>
  </si>
  <si>
    <t>GM-03415</t>
  </si>
  <si>
    <t>Nigeria|2002</t>
  </si>
  <si>
    <t>GM-03416</t>
  </si>
  <si>
    <t>GM-03417</t>
  </si>
  <si>
    <t>GM-03418</t>
  </si>
  <si>
    <t>Nigeria|2007</t>
  </si>
  <si>
    <t>GM-03419</t>
  </si>
  <si>
    <t>GM-03420</t>
  </si>
  <si>
    <t>GM-03421</t>
  </si>
  <si>
    <t>Norway</t>
  </si>
  <si>
    <t>Norway|1952</t>
  </si>
  <si>
    <t>GM-03422</t>
  </si>
  <si>
    <t>GM-03423</t>
  </si>
  <si>
    <t>GM-03424</t>
  </si>
  <si>
    <t>Norway|1957</t>
  </si>
  <si>
    <t>GM-03425</t>
  </si>
  <si>
    <t>GM-03426</t>
  </si>
  <si>
    <t>GM-03427</t>
  </si>
  <si>
    <t>Norway|1962</t>
  </si>
  <si>
    <t>GM-03428</t>
  </si>
  <si>
    <t>GM-03429</t>
  </si>
  <si>
    <t>GM-03430</t>
  </si>
  <si>
    <t>Norway|1967</t>
  </si>
  <si>
    <t>GM-03431</t>
  </si>
  <si>
    <t>GM-03432</t>
  </si>
  <si>
    <t>GM-03433</t>
  </si>
  <si>
    <t>Norway|1972</t>
  </si>
  <si>
    <t>GM-03434</t>
  </si>
  <si>
    <t>GM-03435</t>
  </si>
  <si>
    <t>GM-03436</t>
  </si>
  <si>
    <t>Norway|1977</t>
  </si>
  <si>
    <t>GM-03437</t>
  </si>
  <si>
    <t>GM-03438</t>
  </si>
  <si>
    <t>GM-03439</t>
  </si>
  <si>
    <t>Norway|1982</t>
  </si>
  <si>
    <t>GM-03440</t>
  </si>
  <si>
    <t>GM-03441</t>
  </si>
  <si>
    <t>GM-03442</t>
  </si>
  <si>
    <t>Norway|1987</t>
  </si>
  <si>
    <t>GM-03443</t>
  </si>
  <si>
    <t>GM-03444</t>
  </si>
  <si>
    <t>GM-03445</t>
  </si>
  <si>
    <t>Norway|1992</t>
  </si>
  <si>
    <t>GM-03446</t>
  </si>
  <si>
    <t>GM-03447</t>
  </si>
  <si>
    <t>GM-03448</t>
  </si>
  <si>
    <t>Norway|1997</t>
  </si>
  <si>
    <t>GM-03449</t>
  </si>
  <si>
    <t>GM-03450</t>
  </si>
  <si>
    <t>GM-03451</t>
  </si>
  <si>
    <t>Norway|2002</t>
  </si>
  <si>
    <t>GM-03452</t>
  </si>
  <si>
    <t>GM-03453</t>
  </si>
  <si>
    <t>GM-03454</t>
  </si>
  <si>
    <t>Norway|2007</t>
  </si>
  <si>
    <t>GM-03455</t>
  </si>
  <si>
    <t>GM-03456</t>
  </si>
  <si>
    <t>GM-03457</t>
  </si>
  <si>
    <t>Oman</t>
  </si>
  <si>
    <t>Oman|1952</t>
  </si>
  <si>
    <t>GM-03458</t>
  </si>
  <si>
    <t>GM-03459</t>
  </si>
  <si>
    <t>GM-03460</t>
  </si>
  <si>
    <t>Oman|1957</t>
  </si>
  <si>
    <t>GM-03461</t>
  </si>
  <si>
    <t>GM-03462</t>
  </si>
  <si>
    <t>GM-03463</t>
  </si>
  <si>
    <t>Oman|1962</t>
  </si>
  <si>
    <t>GM-03464</t>
  </si>
  <si>
    <t>GM-03465</t>
  </si>
  <si>
    <t>GM-03466</t>
  </si>
  <si>
    <t>Oman|1967</t>
  </si>
  <si>
    <t>GM-03467</t>
  </si>
  <si>
    <t>GM-03468</t>
  </si>
  <si>
    <t>GM-03469</t>
  </si>
  <si>
    <t>Oman|1972</t>
  </si>
  <si>
    <t>GM-03470</t>
  </si>
  <si>
    <t>GM-03471</t>
  </si>
  <si>
    <t>GM-03472</t>
  </si>
  <si>
    <t>Oman|1977</t>
  </si>
  <si>
    <t>GM-03473</t>
  </si>
  <si>
    <t>GM-03474</t>
  </si>
  <si>
    <t>GM-03475</t>
  </si>
  <si>
    <t>Oman|1982</t>
  </si>
  <si>
    <t>GM-03476</t>
  </si>
  <si>
    <t>GM-03477</t>
  </si>
  <si>
    <t>GM-03478</t>
  </si>
  <si>
    <t>Oman|1987</t>
  </si>
  <si>
    <t>GM-03479</t>
  </si>
  <si>
    <t>GM-03480</t>
  </si>
  <si>
    <t>GM-03481</t>
  </si>
  <si>
    <t>Oman|1992</t>
  </si>
  <si>
    <t>GM-03482</t>
  </si>
  <si>
    <t>GM-03483</t>
  </si>
  <si>
    <t>GM-03484</t>
  </si>
  <si>
    <t>Oman|1997</t>
  </si>
  <si>
    <t>GM-03485</t>
  </si>
  <si>
    <t>GM-03486</t>
  </si>
  <si>
    <t>GM-03487</t>
  </si>
  <si>
    <t>Oman|2002</t>
  </si>
  <si>
    <t>GM-03488</t>
  </si>
  <si>
    <t>GM-03489</t>
  </si>
  <si>
    <t>GM-03490</t>
  </si>
  <si>
    <t>Oman|2007</t>
  </si>
  <si>
    <t>GM-03491</t>
  </si>
  <si>
    <t>GM-03492</t>
  </si>
  <si>
    <t>GM-03493</t>
  </si>
  <si>
    <t>Pakistan</t>
  </si>
  <si>
    <t>Pakistan|1952</t>
  </si>
  <si>
    <t>GM-03494</t>
  </si>
  <si>
    <t>GM-03495</t>
  </si>
  <si>
    <t>GM-03496</t>
  </si>
  <si>
    <t>Pakistan|1957</t>
  </si>
  <si>
    <t>GM-03497</t>
  </si>
  <si>
    <t>GM-03498</t>
  </si>
  <si>
    <t>GM-03499</t>
  </si>
  <si>
    <t>Pakistan|1962</t>
  </si>
  <si>
    <t>GM-03500</t>
  </si>
  <si>
    <t>GM-03501</t>
  </si>
  <si>
    <t>GM-03502</t>
  </si>
  <si>
    <t>Pakistan|1967</t>
  </si>
  <si>
    <t>GM-03503</t>
  </si>
  <si>
    <t>GM-03504</t>
  </si>
  <si>
    <t>GM-03505</t>
  </si>
  <si>
    <t>Pakistan|1972</t>
  </si>
  <si>
    <t>GM-03506</t>
  </si>
  <si>
    <t>GM-03507</t>
  </si>
  <si>
    <t>GM-03508</t>
  </si>
  <si>
    <t>Pakistan|1977</t>
  </si>
  <si>
    <t>GM-03509</t>
  </si>
  <si>
    <t>GM-03510</t>
  </si>
  <si>
    <t>GM-03511</t>
  </si>
  <si>
    <t>Pakistan|1982</t>
  </si>
  <si>
    <t>GM-03512</t>
  </si>
  <si>
    <t>GM-03513</t>
  </si>
  <si>
    <t>GM-03514</t>
  </si>
  <si>
    <t>Pakistan|1987</t>
  </si>
  <si>
    <t>GM-03515</t>
  </si>
  <si>
    <t>GM-03516</t>
  </si>
  <si>
    <t>GM-03517</t>
  </si>
  <si>
    <t>Pakistan|1992</t>
  </si>
  <si>
    <t>GM-03518</t>
  </si>
  <si>
    <t>GM-03519</t>
  </si>
  <si>
    <t>GM-03520</t>
  </si>
  <si>
    <t>Pakistan|1997</t>
  </si>
  <si>
    <t>GM-03521</t>
  </si>
  <si>
    <t>GM-03522</t>
  </si>
  <si>
    <t>GM-03523</t>
  </si>
  <si>
    <t>Pakistan|2002</t>
  </si>
  <si>
    <t>GM-03524</t>
  </si>
  <si>
    <t>GM-03525</t>
  </si>
  <si>
    <t>GM-03526</t>
  </si>
  <si>
    <t>Pakistan|2007</t>
  </si>
  <si>
    <t>GM-03527</t>
  </si>
  <si>
    <t>GM-03528</t>
  </si>
  <si>
    <t>GM-03529</t>
  </si>
  <si>
    <t>Panama</t>
  </si>
  <si>
    <t>Panama|1952</t>
  </si>
  <si>
    <t>GM-03530</t>
  </si>
  <si>
    <t>GM-03531</t>
  </si>
  <si>
    <t>GM-03532</t>
  </si>
  <si>
    <t>Panama|1957</t>
  </si>
  <si>
    <t>GM-03533</t>
  </si>
  <si>
    <t>GM-03534</t>
  </si>
  <si>
    <t>GM-03535</t>
  </si>
  <si>
    <t>Panama|1962</t>
  </si>
  <si>
    <t>GM-03536</t>
  </si>
  <si>
    <t>GM-03537</t>
  </si>
  <si>
    <t>GM-03538</t>
  </si>
  <si>
    <t>Panama|1967</t>
  </si>
  <si>
    <t>GM-03539</t>
  </si>
  <si>
    <t>GM-03540</t>
  </si>
  <si>
    <t>GM-03541</t>
  </si>
  <si>
    <t>Panama|1972</t>
  </si>
  <si>
    <t>GM-03542</t>
  </si>
  <si>
    <t>GM-03543</t>
  </si>
  <si>
    <t>GM-03544</t>
  </si>
  <si>
    <t>Panama|1977</t>
  </si>
  <si>
    <t>GM-03545</t>
  </si>
  <si>
    <t>GM-03546</t>
  </si>
  <si>
    <t>GM-03547</t>
  </si>
  <si>
    <t>Panama|1982</t>
  </si>
  <si>
    <t>GM-03548</t>
  </si>
  <si>
    <t>GM-03549</t>
  </si>
  <si>
    <t>GM-03550</t>
  </si>
  <si>
    <t>Panama|1987</t>
  </si>
  <si>
    <t>GM-03551</t>
  </si>
  <si>
    <t>GM-03552</t>
  </si>
  <si>
    <t>GM-03553</t>
  </si>
  <si>
    <t>Panama|1992</t>
  </si>
  <si>
    <t>GM-03554</t>
  </si>
  <si>
    <t>GM-03555</t>
  </si>
  <si>
    <t>GM-03556</t>
  </si>
  <si>
    <t>Panama|1997</t>
  </si>
  <si>
    <t>GM-03557</t>
  </si>
  <si>
    <t>GM-03558</t>
  </si>
  <si>
    <t>GM-03559</t>
  </si>
  <si>
    <t>Panama|2002</t>
  </si>
  <si>
    <t>GM-03560</t>
  </si>
  <si>
    <t>GM-03561</t>
  </si>
  <si>
    <t>GM-03562</t>
  </si>
  <si>
    <t>Panama|2007</t>
  </si>
  <si>
    <t>GM-03563</t>
  </si>
  <si>
    <t>GM-03564</t>
  </si>
  <si>
    <t>GM-03565</t>
  </si>
  <si>
    <t>Paraguay</t>
  </si>
  <si>
    <t>Paraguay|1952</t>
  </si>
  <si>
    <t>GM-03566</t>
  </si>
  <si>
    <t>GM-03567</t>
  </si>
  <si>
    <t>GM-03568</t>
  </si>
  <si>
    <t>Paraguay|1957</t>
  </si>
  <si>
    <t>GM-03569</t>
  </si>
  <si>
    <t>GM-03570</t>
  </si>
  <si>
    <t>GM-03571</t>
  </si>
  <si>
    <t>Paraguay|1962</t>
  </si>
  <si>
    <t>GM-03572</t>
  </si>
  <si>
    <t>GM-03573</t>
  </si>
  <si>
    <t>GM-03574</t>
  </si>
  <si>
    <t>Paraguay|1967</t>
  </si>
  <si>
    <t>GM-03575</t>
  </si>
  <si>
    <t>GM-03576</t>
  </si>
  <si>
    <t>GM-03577</t>
  </si>
  <si>
    <t>Paraguay|1972</t>
  </si>
  <si>
    <t>GM-03578</t>
  </si>
  <si>
    <t>GM-03579</t>
  </si>
  <si>
    <t>GM-03580</t>
  </si>
  <si>
    <t>Paraguay|1977</t>
  </si>
  <si>
    <t>GM-03581</t>
  </si>
  <si>
    <t>GM-03582</t>
  </si>
  <si>
    <t>GM-03583</t>
  </si>
  <si>
    <t>Paraguay|1982</t>
  </si>
  <si>
    <t>GM-03584</t>
  </si>
  <si>
    <t>GM-03585</t>
  </si>
  <si>
    <t>GM-03586</t>
  </si>
  <si>
    <t>Paraguay|1987</t>
  </si>
  <si>
    <t>GM-03587</t>
  </si>
  <si>
    <t>GM-03588</t>
  </si>
  <si>
    <t>GM-03589</t>
  </si>
  <si>
    <t>Paraguay|1992</t>
  </si>
  <si>
    <t>GM-03590</t>
  </si>
  <si>
    <t>GM-03591</t>
  </si>
  <si>
    <t>GM-03592</t>
  </si>
  <si>
    <t>Paraguay|1997</t>
  </si>
  <si>
    <t>GM-03593</t>
  </si>
  <si>
    <t>GM-03594</t>
  </si>
  <si>
    <t>GM-03595</t>
  </si>
  <si>
    <t>Paraguay|2002</t>
  </si>
  <si>
    <t>GM-03596</t>
  </si>
  <si>
    <t>GM-03597</t>
  </si>
  <si>
    <t>GM-03598</t>
  </si>
  <si>
    <t>Paraguay|2007</t>
  </si>
  <si>
    <t>GM-03599</t>
  </si>
  <si>
    <t>GM-03600</t>
  </si>
  <si>
    <t>GM-03601</t>
  </si>
  <si>
    <t>Peru</t>
  </si>
  <si>
    <t>Peru|1952</t>
  </si>
  <si>
    <t>GM-03602</t>
  </si>
  <si>
    <t>GM-03603</t>
  </si>
  <si>
    <t>GM-03604</t>
  </si>
  <si>
    <t>Peru|1957</t>
  </si>
  <si>
    <t>GM-03605</t>
  </si>
  <si>
    <t>GM-03606</t>
  </si>
  <si>
    <t>GM-03607</t>
  </si>
  <si>
    <t>Peru|1962</t>
  </si>
  <si>
    <t>GM-03608</t>
  </si>
  <si>
    <t>GM-03609</t>
  </si>
  <si>
    <t>GM-03610</t>
  </si>
  <si>
    <t>Peru|1967</t>
  </si>
  <si>
    <t>GM-03611</t>
  </si>
  <si>
    <t>GM-03612</t>
  </si>
  <si>
    <t>GM-03613</t>
  </si>
  <si>
    <t>Peru|1972</t>
  </si>
  <si>
    <t>GM-03614</t>
  </si>
  <si>
    <t>GM-03615</t>
  </si>
  <si>
    <t>GM-03616</t>
  </si>
  <si>
    <t>Peru|1977</t>
  </si>
  <si>
    <t>GM-03617</t>
  </si>
  <si>
    <t>GM-03618</t>
  </si>
  <si>
    <t>GM-03619</t>
  </si>
  <si>
    <t>Peru|1982</t>
  </si>
  <si>
    <t>GM-03620</t>
  </si>
  <si>
    <t>GM-03621</t>
  </si>
  <si>
    <t>GM-03622</t>
  </si>
  <si>
    <t>Peru|1987</t>
  </si>
  <si>
    <t>GM-03623</t>
  </si>
  <si>
    <t>GM-03624</t>
  </si>
  <si>
    <t>GM-03625</t>
  </si>
  <si>
    <t>Peru|1992</t>
  </si>
  <si>
    <t>GM-03626</t>
  </si>
  <si>
    <t>GM-03627</t>
  </si>
  <si>
    <t>GM-03628</t>
  </si>
  <si>
    <t>Peru|1997</t>
  </si>
  <si>
    <t>GM-03629</t>
  </si>
  <si>
    <t>GM-03630</t>
  </si>
  <si>
    <t>GM-03631</t>
  </si>
  <si>
    <t>Peru|2002</t>
  </si>
  <si>
    <t>GM-03632</t>
  </si>
  <si>
    <t>GM-03633</t>
  </si>
  <si>
    <t>GM-03634</t>
  </si>
  <si>
    <t>Peru|2007</t>
  </si>
  <si>
    <t>GM-03635</t>
  </si>
  <si>
    <t>GM-03636</t>
  </si>
  <si>
    <t>GM-03637</t>
  </si>
  <si>
    <t>Philippines</t>
  </si>
  <si>
    <t>Philippines|1952</t>
  </si>
  <si>
    <t>GM-03638</t>
  </si>
  <si>
    <t>GM-03639</t>
  </si>
  <si>
    <t>GM-03640</t>
  </si>
  <si>
    <t>Philippines|1957</t>
  </si>
  <si>
    <t>GM-03641</t>
  </si>
  <si>
    <t>GM-03642</t>
  </si>
  <si>
    <t>GM-03643</t>
  </si>
  <si>
    <t>Philippines|1962</t>
  </si>
  <si>
    <t>GM-03644</t>
  </si>
  <si>
    <t>GM-03645</t>
  </si>
  <si>
    <t>GM-03646</t>
  </si>
  <si>
    <t>Philippines|1967</t>
  </si>
  <si>
    <t>GM-03647</t>
  </si>
  <si>
    <t>GM-03648</t>
  </si>
  <si>
    <t>GM-03649</t>
  </si>
  <si>
    <t>Philippines|1972</t>
  </si>
  <si>
    <t>GM-03650</t>
  </si>
  <si>
    <t>GM-03651</t>
  </si>
  <si>
    <t>GM-03652</t>
  </si>
  <si>
    <t>Philippines|1977</t>
  </si>
  <si>
    <t>GM-03653</t>
  </si>
  <si>
    <t>GM-03654</t>
  </si>
  <si>
    <t>GM-03655</t>
  </si>
  <si>
    <t>Philippines|1982</t>
  </si>
  <si>
    <t>GM-03656</t>
  </si>
  <si>
    <t>GM-03657</t>
  </si>
  <si>
    <t>GM-03658</t>
  </si>
  <si>
    <t>Philippines|1987</t>
  </si>
  <si>
    <t>GM-03659</t>
  </si>
  <si>
    <t>GM-03660</t>
  </si>
  <si>
    <t>GM-03661</t>
  </si>
  <si>
    <t>Philippines|1992</t>
  </si>
  <si>
    <t>GM-03662</t>
  </si>
  <si>
    <t>GM-03663</t>
  </si>
  <si>
    <t>GM-03664</t>
  </si>
  <si>
    <t>Philippines|1997</t>
  </si>
  <si>
    <t>GM-03665</t>
  </si>
  <si>
    <t>GM-03666</t>
  </si>
  <si>
    <t>GM-03667</t>
  </si>
  <si>
    <t>Philippines|2002</t>
  </si>
  <si>
    <t>GM-03668</t>
  </si>
  <si>
    <t>GM-03669</t>
  </si>
  <si>
    <t>GM-03670</t>
  </si>
  <si>
    <t>Philippines|2007</t>
  </si>
  <si>
    <t>GM-03671</t>
  </si>
  <si>
    <t>GM-03672</t>
  </si>
  <si>
    <t>GM-03673</t>
  </si>
  <si>
    <t>Poland</t>
  </si>
  <si>
    <t>Poland|1952</t>
  </si>
  <si>
    <t>GM-03674</t>
  </si>
  <si>
    <t>GM-03675</t>
  </si>
  <si>
    <t>GM-03676</t>
  </si>
  <si>
    <t>Poland|1957</t>
  </si>
  <si>
    <t>GM-03677</t>
  </si>
  <si>
    <t>GM-03678</t>
  </si>
  <si>
    <t>GM-03679</t>
  </si>
  <si>
    <t>Poland|1962</t>
  </si>
  <si>
    <t>GM-03680</t>
  </si>
  <si>
    <t>GM-03681</t>
  </si>
  <si>
    <t>GM-03682</t>
  </si>
  <si>
    <t>Poland|1967</t>
  </si>
  <si>
    <t>GM-03683</t>
  </si>
  <si>
    <t>GM-03684</t>
  </si>
  <si>
    <t>GM-03685</t>
  </si>
  <si>
    <t>Poland|1972</t>
  </si>
  <si>
    <t>GM-03686</t>
  </si>
  <si>
    <t>GM-03687</t>
  </si>
  <si>
    <t>GM-03688</t>
  </si>
  <si>
    <t>Poland|1977</t>
  </si>
  <si>
    <t>GM-03689</t>
  </si>
  <si>
    <t>GM-03690</t>
  </si>
  <si>
    <t>GM-03691</t>
  </si>
  <si>
    <t>Poland|1982</t>
  </si>
  <si>
    <t>GM-03692</t>
  </si>
  <si>
    <t>GM-03693</t>
  </si>
  <si>
    <t>GM-03694</t>
  </si>
  <si>
    <t>Poland|1987</t>
  </si>
  <si>
    <t>GM-03695</t>
  </si>
  <si>
    <t>GM-03696</t>
  </si>
  <si>
    <t>GM-03697</t>
  </si>
  <si>
    <t>Poland|1992</t>
  </si>
  <si>
    <t>GM-03698</t>
  </si>
  <si>
    <t>GM-03699</t>
  </si>
  <si>
    <t>GM-03700</t>
  </si>
  <si>
    <t>Poland|1997</t>
  </si>
  <si>
    <t>GM-03701</t>
  </si>
  <si>
    <t>GM-03702</t>
  </si>
  <si>
    <t>GM-03703</t>
  </si>
  <si>
    <t>Poland|2002</t>
  </si>
  <si>
    <t>GM-03704</t>
  </si>
  <si>
    <t>GM-03705</t>
  </si>
  <si>
    <t>GM-03706</t>
  </si>
  <si>
    <t>Poland|2007</t>
  </si>
  <si>
    <t>GM-03707</t>
  </si>
  <si>
    <t>GM-03708</t>
  </si>
  <si>
    <t>GM-03709</t>
  </si>
  <si>
    <t>Portugal</t>
  </si>
  <si>
    <t>Portugal|1952</t>
  </si>
  <si>
    <t>GM-03710</t>
  </si>
  <si>
    <t>GM-03711</t>
  </si>
  <si>
    <t>GM-03712</t>
  </si>
  <si>
    <t>Portugal|1957</t>
  </si>
  <si>
    <t>GM-03713</t>
  </si>
  <si>
    <t>GM-03714</t>
  </si>
  <si>
    <t>GM-03715</t>
  </si>
  <si>
    <t>Portugal|1962</t>
  </si>
  <si>
    <t>GM-03716</t>
  </si>
  <si>
    <t>GM-03717</t>
  </si>
  <si>
    <t>GM-03718</t>
  </si>
  <si>
    <t>Portugal|1967</t>
  </si>
  <si>
    <t>GM-03719</t>
  </si>
  <si>
    <t>GM-03720</t>
  </si>
  <si>
    <t>GM-03721</t>
  </si>
  <si>
    <t>Portugal|1972</t>
  </si>
  <si>
    <t>GM-03722</t>
  </si>
  <si>
    <t>GM-03723</t>
  </si>
  <si>
    <t>GM-03724</t>
  </si>
  <si>
    <t>Portugal|1977</t>
  </si>
  <si>
    <t>GM-03725</t>
  </si>
  <si>
    <t>GM-03726</t>
  </si>
  <si>
    <t>GM-03727</t>
  </si>
  <si>
    <t>Portugal|1982</t>
  </si>
  <si>
    <t>GM-03728</t>
  </si>
  <si>
    <t>GM-03729</t>
  </si>
  <si>
    <t>GM-03730</t>
  </si>
  <si>
    <t>Portugal|1987</t>
  </si>
  <si>
    <t>GM-03731</t>
  </si>
  <si>
    <t>GM-03732</t>
  </si>
  <si>
    <t>GM-03733</t>
  </si>
  <si>
    <t>Portugal|1992</t>
  </si>
  <si>
    <t>GM-03734</t>
  </si>
  <si>
    <t>GM-03735</t>
  </si>
  <si>
    <t>GM-03736</t>
  </si>
  <si>
    <t>Portugal|1997</t>
  </si>
  <si>
    <t>GM-03737</t>
  </si>
  <si>
    <t>GM-03738</t>
  </si>
  <si>
    <t>GM-03739</t>
  </si>
  <si>
    <t>Portugal|2002</t>
  </si>
  <si>
    <t>GM-03740</t>
  </si>
  <si>
    <t>GM-03741</t>
  </si>
  <si>
    <t>GM-03742</t>
  </si>
  <si>
    <t>Portugal|2007</t>
  </si>
  <si>
    <t>GM-03743</t>
  </si>
  <si>
    <t>GM-03744</t>
  </si>
  <si>
    <t>GM-03745</t>
  </si>
  <si>
    <t>Puerto Rico</t>
  </si>
  <si>
    <t>Puerto Rico|1952</t>
  </si>
  <si>
    <t>GM-03746</t>
  </si>
  <si>
    <t>GM-03747</t>
  </si>
  <si>
    <t>GM-03748</t>
  </si>
  <si>
    <t>Puerto Rico|1957</t>
  </si>
  <si>
    <t>GM-03749</t>
  </si>
  <si>
    <t>GM-03750</t>
  </si>
  <si>
    <t>GM-03751</t>
  </si>
  <si>
    <t>Puerto Rico|1962</t>
  </si>
  <si>
    <t>GM-03752</t>
  </si>
  <si>
    <t>GM-03753</t>
  </si>
  <si>
    <t>GM-03754</t>
  </si>
  <si>
    <t>Puerto Rico|1967</t>
  </si>
  <si>
    <t>GM-03755</t>
  </si>
  <si>
    <t>GM-03756</t>
  </si>
  <si>
    <t>GM-03757</t>
  </si>
  <si>
    <t>Puerto Rico|1972</t>
  </si>
  <si>
    <t>GM-03758</t>
  </si>
  <si>
    <t>GM-03759</t>
  </si>
  <si>
    <t>GM-03760</t>
  </si>
  <si>
    <t>Puerto Rico|1977</t>
  </si>
  <si>
    <t>GM-03761</t>
  </si>
  <si>
    <t>GM-03762</t>
  </si>
  <si>
    <t>GM-03763</t>
  </si>
  <si>
    <t>Puerto Rico|1982</t>
  </si>
  <si>
    <t>GM-03764</t>
  </si>
  <si>
    <t>GM-03765</t>
  </si>
  <si>
    <t>GM-03766</t>
  </si>
  <si>
    <t>Puerto Rico|1987</t>
  </si>
  <si>
    <t>GM-03767</t>
  </si>
  <si>
    <t>GM-03768</t>
  </si>
  <si>
    <t>GM-03769</t>
  </si>
  <si>
    <t>Puerto Rico|1992</t>
  </si>
  <si>
    <t>GM-03770</t>
  </si>
  <si>
    <t>GM-03771</t>
  </si>
  <si>
    <t>GM-03772</t>
  </si>
  <si>
    <t>Puerto Rico|1997</t>
  </si>
  <si>
    <t>GM-03773</t>
  </si>
  <si>
    <t>GM-03774</t>
  </si>
  <si>
    <t>GM-03775</t>
  </si>
  <si>
    <t>Puerto Rico|2002</t>
  </si>
  <si>
    <t>GM-03776</t>
  </si>
  <si>
    <t>GM-03777</t>
  </si>
  <si>
    <t>GM-03778</t>
  </si>
  <si>
    <t>Puerto Rico|2007</t>
  </si>
  <si>
    <t>GM-03779</t>
  </si>
  <si>
    <t>GM-03780</t>
  </si>
  <si>
    <t>GM-03781</t>
  </si>
  <si>
    <t>Reunion</t>
  </si>
  <si>
    <t>Reunion|1952</t>
  </si>
  <si>
    <t>GM-03782</t>
  </si>
  <si>
    <t>GM-03783</t>
  </si>
  <si>
    <t>GM-03784</t>
  </si>
  <si>
    <t>Reunion|1957</t>
  </si>
  <si>
    <t>GM-03785</t>
  </si>
  <si>
    <t>GM-03786</t>
  </si>
  <si>
    <t>GM-03787</t>
  </si>
  <si>
    <t>Reunion|1962</t>
  </si>
  <si>
    <t>GM-03788</t>
  </si>
  <si>
    <t>GM-03789</t>
  </si>
  <si>
    <t>GM-03790</t>
  </si>
  <si>
    <t>Reunion|1967</t>
  </si>
  <si>
    <t>GM-03791</t>
  </si>
  <si>
    <t>GM-03792</t>
  </si>
  <si>
    <t>GM-03793</t>
  </si>
  <si>
    <t>Reunion|1972</t>
  </si>
  <si>
    <t>GM-03794</t>
  </si>
  <si>
    <t>GM-03795</t>
  </si>
  <si>
    <t>GM-03796</t>
  </si>
  <si>
    <t>Reunion|1977</t>
  </si>
  <si>
    <t>GM-03797</t>
  </si>
  <si>
    <t>GM-03798</t>
  </si>
  <si>
    <t>GM-03799</t>
  </si>
  <si>
    <t>Reunion|1982</t>
  </si>
  <si>
    <t>GM-03800</t>
  </si>
  <si>
    <t>GM-03801</t>
  </si>
  <si>
    <t>GM-03802</t>
  </si>
  <si>
    <t>Reunion|1987</t>
  </si>
  <si>
    <t>GM-03803</t>
  </si>
  <si>
    <t>GM-03804</t>
  </si>
  <si>
    <t>GM-03805</t>
  </si>
  <si>
    <t>Reunion|1992</t>
  </si>
  <si>
    <t>GM-03806</t>
  </si>
  <si>
    <t>GM-03807</t>
  </si>
  <si>
    <t>GM-03808</t>
  </si>
  <si>
    <t>Reunion|1997</t>
  </si>
  <si>
    <t>GM-03809</t>
  </si>
  <si>
    <t>GM-03810</t>
  </si>
  <si>
    <t>GM-03811</t>
  </si>
  <si>
    <t>Reunion|2002</t>
  </si>
  <si>
    <t>GM-03812</t>
  </si>
  <si>
    <t>GM-03813</t>
  </si>
  <si>
    <t>GM-03814</t>
  </si>
  <si>
    <t>Reunion|2007</t>
  </si>
  <si>
    <t>GM-03815</t>
  </si>
  <si>
    <t>GM-03816</t>
  </si>
  <si>
    <t>GM-03817</t>
  </si>
  <si>
    <t>Romania</t>
  </si>
  <si>
    <t>Romania|1952</t>
  </si>
  <si>
    <t>GM-03818</t>
  </si>
  <si>
    <t>GM-03819</t>
  </si>
  <si>
    <t>GM-03820</t>
  </si>
  <si>
    <t>Romania|1957</t>
  </si>
  <si>
    <t>GM-03821</t>
  </si>
  <si>
    <t>GM-03822</t>
  </si>
  <si>
    <t>GM-03823</t>
  </si>
  <si>
    <t>Romania|1962</t>
  </si>
  <si>
    <t>GM-03824</t>
  </si>
  <si>
    <t>GM-03825</t>
  </si>
  <si>
    <t>GM-03826</t>
  </si>
  <si>
    <t>Romania|1967</t>
  </si>
  <si>
    <t>GM-03827</t>
  </si>
  <si>
    <t>GM-03828</t>
  </si>
  <si>
    <t>GM-03829</t>
  </si>
  <si>
    <t>Romania|1972</t>
  </si>
  <si>
    <t>GM-03830</t>
  </si>
  <si>
    <t>GM-03831</t>
  </si>
  <si>
    <t>GM-03832</t>
  </si>
  <si>
    <t>Romania|1977</t>
  </si>
  <si>
    <t>GM-03833</t>
  </si>
  <si>
    <t>GM-03834</t>
  </si>
  <si>
    <t>GM-03835</t>
  </si>
  <si>
    <t>Romania|1982</t>
  </si>
  <si>
    <t>GM-03836</t>
  </si>
  <si>
    <t>GM-03837</t>
  </si>
  <si>
    <t>GM-03838</t>
  </si>
  <si>
    <t>Romania|1987</t>
  </si>
  <si>
    <t>GM-03839</t>
  </si>
  <si>
    <t>GM-03840</t>
  </si>
  <si>
    <t>GM-03841</t>
  </si>
  <si>
    <t>Romania|1992</t>
  </si>
  <si>
    <t>GM-03842</t>
  </si>
  <si>
    <t>GM-03843</t>
  </si>
  <si>
    <t>GM-03844</t>
  </si>
  <si>
    <t>Romania|1997</t>
  </si>
  <si>
    <t>GM-03845</t>
  </si>
  <si>
    <t>GM-03846</t>
  </si>
  <si>
    <t>GM-03847</t>
  </si>
  <si>
    <t>Romania|2002</t>
  </si>
  <si>
    <t>GM-03848</t>
  </si>
  <si>
    <t>GM-03849</t>
  </si>
  <si>
    <t>GM-03850</t>
  </si>
  <si>
    <t>Romania|2007</t>
  </si>
  <si>
    <t>GM-03851</t>
  </si>
  <si>
    <t>GM-03852</t>
  </si>
  <si>
    <t>GM-03853</t>
  </si>
  <si>
    <t>Rwanda</t>
  </si>
  <si>
    <t>Rwanda|1952</t>
  </si>
  <si>
    <t>GM-03854</t>
  </si>
  <si>
    <t>GM-03855</t>
  </si>
  <si>
    <t>GM-03856</t>
  </si>
  <si>
    <t>Rwanda|1957</t>
  </si>
  <si>
    <t>GM-03857</t>
  </si>
  <si>
    <t>GM-03858</t>
  </si>
  <si>
    <t>GM-03859</t>
  </si>
  <si>
    <t>Rwanda|1962</t>
  </si>
  <si>
    <t>GM-03860</t>
  </si>
  <si>
    <t>GM-03861</t>
  </si>
  <si>
    <t>GM-03862</t>
  </si>
  <si>
    <t>Rwanda|1967</t>
  </si>
  <si>
    <t>GM-03863</t>
  </si>
  <si>
    <t>GM-03864</t>
  </si>
  <si>
    <t>GM-03865</t>
  </si>
  <si>
    <t>Rwanda|1972</t>
  </si>
  <si>
    <t>GM-03866</t>
  </si>
  <si>
    <t>GM-03867</t>
  </si>
  <si>
    <t>GM-03868</t>
  </si>
  <si>
    <t>Rwanda|1977</t>
  </si>
  <si>
    <t>GM-03869</t>
  </si>
  <si>
    <t>GM-03870</t>
  </si>
  <si>
    <t>GM-03871</t>
  </si>
  <si>
    <t>Rwanda|1982</t>
  </si>
  <si>
    <t>GM-03872</t>
  </si>
  <si>
    <t>GM-03873</t>
  </si>
  <si>
    <t>GM-03874</t>
  </si>
  <si>
    <t>Rwanda|1987</t>
  </si>
  <si>
    <t>GM-03875</t>
  </si>
  <si>
    <t>GM-03876</t>
  </si>
  <si>
    <t>GM-03877</t>
  </si>
  <si>
    <t>Rwanda|1992</t>
  </si>
  <si>
    <t>GM-03878</t>
  </si>
  <si>
    <t>GM-03879</t>
  </si>
  <si>
    <t>GM-03880</t>
  </si>
  <si>
    <t>Rwanda|1997</t>
  </si>
  <si>
    <t>GM-03881</t>
  </si>
  <si>
    <t>GM-03882</t>
  </si>
  <si>
    <t>GM-03883</t>
  </si>
  <si>
    <t>Rwanda|2002</t>
  </si>
  <si>
    <t>GM-03884</t>
  </si>
  <si>
    <t>GM-03885</t>
  </si>
  <si>
    <t>GM-03886</t>
  </si>
  <si>
    <t>Rwanda|2007</t>
  </si>
  <si>
    <t>GM-03887</t>
  </si>
  <si>
    <t>GM-03888</t>
  </si>
  <si>
    <t>GM-03889</t>
  </si>
  <si>
    <t>Sao Tome and Principe</t>
  </si>
  <si>
    <t>Sao Tome and Principe|1952</t>
  </si>
  <si>
    <t>GM-03890</t>
  </si>
  <si>
    <t>GM-03891</t>
  </si>
  <si>
    <t>GM-03892</t>
  </si>
  <si>
    <t>Sao Tome and Principe|1957</t>
  </si>
  <si>
    <t>GM-03893</t>
  </si>
  <si>
    <t>GM-03894</t>
  </si>
  <si>
    <t>GM-03895</t>
  </si>
  <si>
    <t>Sao Tome and Principe|1962</t>
  </si>
  <si>
    <t>GM-03896</t>
  </si>
  <si>
    <t>GM-03897</t>
  </si>
  <si>
    <t>GM-03898</t>
  </si>
  <si>
    <t>Sao Tome and Principe|1967</t>
  </si>
  <si>
    <t>GM-03899</t>
  </si>
  <si>
    <t>GM-03900</t>
  </si>
  <si>
    <t>GM-03901</t>
  </si>
  <si>
    <t>Sao Tome and Principe|1972</t>
  </si>
  <si>
    <t>GM-03902</t>
  </si>
  <si>
    <t>GM-03903</t>
  </si>
  <si>
    <t>GM-03904</t>
  </si>
  <si>
    <t>Sao Tome and Principe|1977</t>
  </si>
  <si>
    <t>GM-03905</t>
  </si>
  <si>
    <t>GM-03906</t>
  </si>
  <si>
    <t>GM-03907</t>
  </si>
  <si>
    <t>Sao Tome and Principe|1982</t>
  </si>
  <si>
    <t>GM-03908</t>
  </si>
  <si>
    <t>GM-03909</t>
  </si>
  <si>
    <t>GM-03910</t>
  </si>
  <si>
    <t>Sao Tome and Principe|1987</t>
  </si>
  <si>
    <t>GM-03911</t>
  </si>
  <si>
    <t>GM-03912</t>
  </si>
  <si>
    <t>GM-03913</t>
  </si>
  <si>
    <t>Sao Tome and Principe|1992</t>
  </si>
  <si>
    <t>GM-03914</t>
  </si>
  <si>
    <t>GM-03915</t>
  </si>
  <si>
    <t>GM-03916</t>
  </si>
  <si>
    <t>Sao Tome and Principe|1997</t>
  </si>
  <si>
    <t>GM-03917</t>
  </si>
  <si>
    <t>GM-03918</t>
  </si>
  <si>
    <t>GM-03919</t>
  </si>
  <si>
    <t>Sao Tome and Principe|2002</t>
  </si>
  <si>
    <t>GM-03920</t>
  </si>
  <si>
    <t>GM-03921</t>
  </si>
  <si>
    <t>GM-03922</t>
  </si>
  <si>
    <t>Sao Tome and Principe|2007</t>
  </si>
  <si>
    <t>GM-03923</t>
  </si>
  <si>
    <t>GM-03924</t>
  </si>
  <si>
    <t>GM-03925</t>
  </si>
  <si>
    <t>Saudi Arabia</t>
  </si>
  <si>
    <t>Saudi Arabia|1952</t>
  </si>
  <si>
    <t>GM-03926</t>
  </si>
  <si>
    <t>GM-03927</t>
  </si>
  <si>
    <t>GM-03928</t>
  </si>
  <si>
    <t>Saudi Arabia|1957</t>
  </si>
  <si>
    <t>GM-03929</t>
  </si>
  <si>
    <t>GM-03930</t>
  </si>
  <si>
    <t>GM-03931</t>
  </si>
  <si>
    <t>Saudi Arabia|1962</t>
  </si>
  <si>
    <t>GM-03932</t>
  </si>
  <si>
    <t>GM-03933</t>
  </si>
  <si>
    <t>GM-03934</t>
  </si>
  <si>
    <t>Saudi Arabia|1967</t>
  </si>
  <si>
    <t>GM-03935</t>
  </si>
  <si>
    <t>GM-03936</t>
  </si>
  <si>
    <t>GM-03937</t>
  </si>
  <si>
    <t>Saudi Arabia|1972</t>
  </si>
  <si>
    <t>GM-03938</t>
  </si>
  <si>
    <t>GM-03939</t>
  </si>
  <si>
    <t>GM-03940</t>
  </si>
  <si>
    <t>Saudi Arabia|1977</t>
  </si>
  <si>
    <t>GM-03941</t>
  </si>
  <si>
    <t>GM-03942</t>
  </si>
  <si>
    <t>GM-03943</t>
  </si>
  <si>
    <t>Saudi Arabia|1982</t>
  </si>
  <si>
    <t>GM-03944</t>
  </si>
  <si>
    <t>GM-03945</t>
  </si>
  <si>
    <t>GM-03946</t>
  </si>
  <si>
    <t>Saudi Arabia|1987</t>
  </si>
  <si>
    <t>GM-03947</t>
  </si>
  <si>
    <t>GM-03948</t>
  </si>
  <si>
    <t>GM-03949</t>
  </si>
  <si>
    <t>Saudi Arabia|1992</t>
  </si>
  <si>
    <t>GM-03950</t>
  </si>
  <si>
    <t>GM-03951</t>
  </si>
  <si>
    <t>GM-03952</t>
  </si>
  <si>
    <t>Saudi Arabia|1997</t>
  </si>
  <si>
    <t>GM-03953</t>
  </si>
  <si>
    <t>GM-03954</t>
  </si>
  <si>
    <t>GM-03955</t>
  </si>
  <si>
    <t>Saudi Arabia|2002</t>
  </si>
  <si>
    <t>GM-03956</t>
  </si>
  <si>
    <t>GM-03957</t>
  </si>
  <si>
    <t>GM-03958</t>
  </si>
  <si>
    <t>Saudi Arabia|2007</t>
  </si>
  <si>
    <t>GM-03959</t>
  </si>
  <si>
    <t>GM-03960</t>
  </si>
  <si>
    <t>GM-03961</t>
  </si>
  <si>
    <t>Senegal</t>
  </si>
  <si>
    <t>Senegal|1952</t>
  </si>
  <si>
    <t>GM-03962</t>
  </si>
  <si>
    <t>GM-03963</t>
  </si>
  <si>
    <t>GM-03964</t>
  </si>
  <si>
    <t>Senegal|1957</t>
  </si>
  <si>
    <t>GM-03965</t>
  </si>
  <si>
    <t>GM-03966</t>
  </si>
  <si>
    <t>GM-03967</t>
  </si>
  <si>
    <t>Senegal|1962</t>
  </si>
  <si>
    <t>GM-03968</t>
  </si>
  <si>
    <t>GM-03969</t>
  </si>
  <si>
    <t>GM-03970</t>
  </si>
  <si>
    <t>Senegal|1967</t>
  </si>
  <si>
    <t>GM-03971</t>
  </si>
  <si>
    <t>GM-03972</t>
  </si>
  <si>
    <t>GM-03973</t>
  </si>
  <si>
    <t>Senegal|1972</t>
  </si>
  <si>
    <t>GM-03974</t>
  </si>
  <si>
    <t>GM-03975</t>
  </si>
  <si>
    <t>GM-03976</t>
  </si>
  <si>
    <t>Senegal|1977</t>
  </si>
  <si>
    <t>GM-03977</t>
  </si>
  <si>
    <t>GM-03978</t>
  </si>
  <si>
    <t>GM-03979</t>
  </si>
  <si>
    <t>Senegal|1982</t>
  </si>
  <si>
    <t>GM-03980</t>
  </si>
  <si>
    <t>GM-03981</t>
  </si>
  <si>
    <t>GM-03982</t>
  </si>
  <si>
    <t>Senegal|1987</t>
  </si>
  <si>
    <t>GM-03983</t>
  </si>
  <si>
    <t>GM-03984</t>
  </si>
  <si>
    <t>GM-03985</t>
  </si>
  <si>
    <t>Senegal|1992</t>
  </si>
  <si>
    <t>GM-03986</t>
  </si>
  <si>
    <t>GM-03987</t>
  </si>
  <si>
    <t>GM-03988</t>
  </si>
  <si>
    <t>Senegal|1997</t>
  </si>
  <si>
    <t>GM-03989</t>
  </si>
  <si>
    <t>GM-03990</t>
  </si>
  <si>
    <t>GM-03991</t>
  </si>
  <si>
    <t>Senegal|2002</t>
  </si>
  <si>
    <t>GM-03992</t>
  </si>
  <si>
    <t>GM-03993</t>
  </si>
  <si>
    <t>GM-03994</t>
  </si>
  <si>
    <t>Senegal|2007</t>
  </si>
  <si>
    <t>GM-03995</t>
  </si>
  <si>
    <t>GM-03996</t>
  </si>
  <si>
    <t>GM-03997</t>
  </si>
  <si>
    <t>Serbia</t>
  </si>
  <si>
    <t>Serbia|1952</t>
  </si>
  <si>
    <t>GM-03998</t>
  </si>
  <si>
    <t>GM-03999</t>
  </si>
  <si>
    <t>GM-04000</t>
  </si>
  <si>
    <t>Serbia|1957</t>
  </si>
  <si>
    <t>GM-04001</t>
  </si>
  <si>
    <t>GM-04002</t>
  </si>
  <si>
    <t>GM-04003</t>
  </si>
  <si>
    <t>Serbia|1962</t>
  </si>
  <si>
    <t>GM-04004</t>
  </si>
  <si>
    <t>GM-04005</t>
  </si>
  <si>
    <t>GM-04006</t>
  </si>
  <si>
    <t>Serbia|1967</t>
  </si>
  <si>
    <t>GM-04007</t>
  </si>
  <si>
    <t>GM-04008</t>
  </si>
  <si>
    <t>GM-04009</t>
  </si>
  <si>
    <t>Serbia|1972</t>
  </si>
  <si>
    <t>GM-04010</t>
  </si>
  <si>
    <t>GM-04011</t>
  </si>
  <si>
    <t>GM-04012</t>
  </si>
  <si>
    <t>Serbia|1977</t>
  </si>
  <si>
    <t>GM-04013</t>
  </si>
  <si>
    <t>GM-04014</t>
  </si>
  <si>
    <t>GM-04015</t>
  </si>
  <si>
    <t>Serbia|1982</t>
  </si>
  <si>
    <t>GM-04016</t>
  </si>
  <si>
    <t>GM-04017</t>
  </si>
  <si>
    <t>GM-04018</t>
  </si>
  <si>
    <t>Serbia|1987</t>
  </si>
  <si>
    <t>GM-04019</t>
  </si>
  <si>
    <t>GM-04020</t>
  </si>
  <si>
    <t>GM-04021</t>
  </si>
  <si>
    <t>Serbia|1992</t>
  </si>
  <si>
    <t>GM-04022</t>
  </si>
  <si>
    <t>GM-04023</t>
  </si>
  <si>
    <t>GM-04024</t>
  </si>
  <si>
    <t>Serbia|1997</t>
  </si>
  <si>
    <t>GM-04025</t>
  </si>
  <si>
    <t>GM-04026</t>
  </si>
  <si>
    <t>GM-04027</t>
  </si>
  <si>
    <t>Serbia|2002</t>
  </si>
  <si>
    <t>GM-04028</t>
  </si>
  <si>
    <t>GM-04029</t>
  </si>
  <si>
    <t>GM-04030</t>
  </si>
  <si>
    <t>Serbia|2007</t>
  </si>
  <si>
    <t>GM-04031</t>
  </si>
  <si>
    <t>GM-04032</t>
  </si>
  <si>
    <t>GM-04033</t>
  </si>
  <si>
    <t>Sierra Leone</t>
  </si>
  <si>
    <t>Sierra Leone|1952</t>
  </si>
  <si>
    <t>GM-04034</t>
  </si>
  <si>
    <t>GM-04035</t>
  </si>
  <si>
    <t>GM-04036</t>
  </si>
  <si>
    <t>Sierra Leone|1957</t>
  </si>
  <si>
    <t>GM-04037</t>
  </si>
  <si>
    <t>GM-04038</t>
  </si>
  <si>
    <t>GM-04039</t>
  </si>
  <si>
    <t>Sierra Leone|1962</t>
  </si>
  <si>
    <t>GM-04040</t>
  </si>
  <si>
    <t>GM-04041</t>
  </si>
  <si>
    <t>GM-04042</t>
  </si>
  <si>
    <t>Sierra Leone|1967</t>
  </si>
  <si>
    <t>GM-04043</t>
  </si>
  <si>
    <t>GM-04044</t>
  </si>
  <si>
    <t>GM-04045</t>
  </si>
  <si>
    <t>Sierra Leone|1972</t>
  </si>
  <si>
    <t>GM-04046</t>
  </si>
  <si>
    <t>GM-04047</t>
  </si>
  <si>
    <t>GM-04048</t>
  </si>
  <si>
    <t>Sierra Leone|1977</t>
  </si>
  <si>
    <t>GM-04049</t>
  </si>
  <si>
    <t>GM-04050</t>
  </si>
  <si>
    <t>GM-04051</t>
  </si>
  <si>
    <t>Sierra Leone|1982</t>
  </si>
  <si>
    <t>GM-04052</t>
  </si>
  <si>
    <t>GM-04053</t>
  </si>
  <si>
    <t>GM-04054</t>
  </si>
  <si>
    <t>Sierra Leone|1987</t>
  </si>
  <si>
    <t>GM-04055</t>
  </si>
  <si>
    <t>GM-04056</t>
  </si>
  <si>
    <t>GM-04057</t>
  </si>
  <si>
    <t>Sierra Leone|1992</t>
  </si>
  <si>
    <t>GM-04058</t>
  </si>
  <si>
    <t>GM-04059</t>
  </si>
  <si>
    <t>GM-04060</t>
  </si>
  <si>
    <t>Sierra Leone|1997</t>
  </si>
  <si>
    <t>GM-04061</t>
  </si>
  <si>
    <t>GM-04062</t>
  </si>
  <si>
    <t>GM-04063</t>
  </si>
  <si>
    <t>Sierra Leone|2002</t>
  </si>
  <si>
    <t>GM-04064</t>
  </si>
  <si>
    <t>GM-04065</t>
  </si>
  <si>
    <t>GM-04066</t>
  </si>
  <si>
    <t>Sierra Leone|2007</t>
  </si>
  <si>
    <t>GM-04067</t>
  </si>
  <si>
    <t>GM-04068</t>
  </si>
  <si>
    <t>GM-04069</t>
  </si>
  <si>
    <t>Singapore</t>
  </si>
  <si>
    <t>Singapore|1952</t>
  </si>
  <si>
    <t>GM-04070</t>
  </si>
  <si>
    <t>GM-04071</t>
  </si>
  <si>
    <t>GM-04072</t>
  </si>
  <si>
    <t>Singapore|1957</t>
  </si>
  <si>
    <t>GM-04073</t>
  </si>
  <si>
    <t>GM-04074</t>
  </si>
  <si>
    <t>GM-04075</t>
  </si>
  <si>
    <t>Singapore|1962</t>
  </si>
  <si>
    <t>GM-04076</t>
  </si>
  <si>
    <t>GM-04077</t>
  </si>
  <si>
    <t>GM-04078</t>
  </si>
  <si>
    <t>Singapore|1967</t>
  </si>
  <si>
    <t>GM-04079</t>
  </si>
  <si>
    <t>GM-04080</t>
  </si>
  <si>
    <t>GM-04081</t>
  </si>
  <si>
    <t>Singapore|1972</t>
  </si>
  <si>
    <t>GM-04082</t>
  </si>
  <si>
    <t>GM-04083</t>
  </si>
  <si>
    <t>GM-04084</t>
  </si>
  <si>
    <t>Singapore|1977</t>
  </si>
  <si>
    <t>GM-04085</t>
  </si>
  <si>
    <t>GM-04086</t>
  </si>
  <si>
    <t>GM-04087</t>
  </si>
  <si>
    <t>Singapore|1982</t>
  </si>
  <si>
    <t>GM-04088</t>
  </si>
  <si>
    <t>GM-04089</t>
  </si>
  <si>
    <t>GM-04090</t>
  </si>
  <si>
    <t>Singapore|1987</t>
  </si>
  <si>
    <t>GM-04091</t>
  </si>
  <si>
    <t>GM-04092</t>
  </si>
  <si>
    <t>GM-04093</t>
  </si>
  <si>
    <t>Singapore|1992</t>
  </si>
  <si>
    <t>GM-04094</t>
  </si>
  <si>
    <t>GM-04095</t>
  </si>
  <si>
    <t>GM-04096</t>
  </si>
  <si>
    <t>Singapore|1997</t>
  </si>
  <si>
    <t>GM-04097</t>
  </si>
  <si>
    <t>GM-04098</t>
  </si>
  <si>
    <t>GM-04099</t>
  </si>
  <si>
    <t>Singapore|2002</t>
  </si>
  <si>
    <t>GM-04100</t>
  </si>
  <si>
    <t>GM-04101</t>
  </si>
  <si>
    <t>GM-04102</t>
  </si>
  <si>
    <t>Singapore|2007</t>
  </si>
  <si>
    <t>GM-04103</t>
  </si>
  <si>
    <t>GM-04104</t>
  </si>
  <si>
    <t>GM-04105</t>
  </si>
  <si>
    <t>Slovak Republic</t>
  </si>
  <si>
    <t>Slovak Republic|1952</t>
  </si>
  <si>
    <t>GM-04106</t>
  </si>
  <si>
    <t>GM-04107</t>
  </si>
  <si>
    <t>GM-04108</t>
  </si>
  <si>
    <t>Slovak Republic|1957</t>
  </si>
  <si>
    <t>GM-04109</t>
  </si>
  <si>
    <t>GM-04110</t>
  </si>
  <si>
    <t>GM-04111</t>
  </si>
  <si>
    <t>Slovak Republic|1962</t>
  </si>
  <si>
    <t>GM-04112</t>
  </si>
  <si>
    <t>GM-04113</t>
  </si>
  <si>
    <t>GM-04114</t>
  </si>
  <si>
    <t>Slovak Republic|1967</t>
  </si>
  <si>
    <t>GM-04115</t>
  </si>
  <si>
    <t>GM-04116</t>
  </si>
  <si>
    <t>GM-04117</t>
  </si>
  <si>
    <t>Slovak Republic|1972</t>
  </si>
  <si>
    <t>GM-04118</t>
  </si>
  <si>
    <t>GM-04119</t>
  </si>
  <si>
    <t>GM-04120</t>
  </si>
  <si>
    <t>Slovak Republic|1977</t>
  </si>
  <si>
    <t>GM-04121</t>
  </si>
  <si>
    <t>GM-04122</t>
  </si>
  <si>
    <t>GM-04123</t>
  </si>
  <si>
    <t>Slovak Republic|1982</t>
  </si>
  <si>
    <t>GM-04124</t>
  </si>
  <si>
    <t>GM-04125</t>
  </si>
  <si>
    <t>GM-04126</t>
  </si>
  <si>
    <t>Slovak Republic|1987</t>
  </si>
  <si>
    <t>GM-04127</t>
  </si>
  <si>
    <t>GM-04128</t>
  </si>
  <si>
    <t>GM-04129</t>
  </si>
  <si>
    <t>Slovak Republic|1992</t>
  </si>
  <si>
    <t>GM-04130</t>
  </si>
  <si>
    <t>GM-04131</t>
  </si>
  <si>
    <t>GM-04132</t>
  </si>
  <si>
    <t>Slovak Republic|1997</t>
  </si>
  <si>
    <t>GM-04133</t>
  </si>
  <si>
    <t>GM-04134</t>
  </si>
  <si>
    <t>GM-04135</t>
  </si>
  <si>
    <t>Slovak Republic|2002</t>
  </si>
  <si>
    <t>GM-04136</t>
  </si>
  <si>
    <t>GM-04137</t>
  </si>
  <si>
    <t>GM-04138</t>
  </si>
  <si>
    <t>Slovak Republic|2007</t>
  </si>
  <si>
    <t>GM-04139</t>
  </si>
  <si>
    <t>GM-04140</t>
  </si>
  <si>
    <t>GM-04141</t>
  </si>
  <si>
    <t>Slovenia</t>
  </si>
  <si>
    <t>Slovenia|1952</t>
  </si>
  <si>
    <t>GM-04142</t>
  </si>
  <si>
    <t>GM-04143</t>
  </si>
  <si>
    <t>GM-04144</t>
  </si>
  <si>
    <t>Slovenia|1957</t>
  </si>
  <si>
    <t>GM-04145</t>
  </si>
  <si>
    <t>GM-04146</t>
  </si>
  <si>
    <t>GM-04147</t>
  </si>
  <si>
    <t>Slovenia|1962</t>
  </si>
  <si>
    <t>GM-04148</t>
  </si>
  <si>
    <t>GM-04149</t>
  </si>
  <si>
    <t>GM-04150</t>
  </si>
  <si>
    <t>Slovenia|1967</t>
  </si>
  <si>
    <t>GM-04151</t>
  </si>
  <si>
    <t>GM-04152</t>
  </si>
  <si>
    <t>GM-04153</t>
  </si>
  <si>
    <t>Slovenia|1972</t>
  </si>
  <si>
    <t>GM-04154</t>
  </si>
  <si>
    <t>GM-04155</t>
  </si>
  <si>
    <t>GM-04156</t>
  </si>
  <si>
    <t>Slovenia|1977</t>
  </si>
  <si>
    <t>GM-04157</t>
  </si>
  <si>
    <t>GM-04158</t>
  </si>
  <si>
    <t>GM-04159</t>
  </si>
  <si>
    <t>Slovenia|1982</t>
  </si>
  <si>
    <t>GM-04160</t>
  </si>
  <si>
    <t>GM-04161</t>
  </si>
  <si>
    <t>GM-04162</t>
  </si>
  <si>
    <t>Slovenia|1987</t>
  </si>
  <si>
    <t>GM-04163</t>
  </si>
  <si>
    <t>GM-04164</t>
  </si>
  <si>
    <t>GM-04165</t>
  </si>
  <si>
    <t>Slovenia|1992</t>
  </si>
  <si>
    <t>GM-04166</t>
  </si>
  <si>
    <t>GM-04167</t>
  </si>
  <si>
    <t>GM-04168</t>
  </si>
  <si>
    <t>Slovenia|1997</t>
  </si>
  <si>
    <t>GM-04169</t>
  </si>
  <si>
    <t>GM-04170</t>
  </si>
  <si>
    <t>GM-04171</t>
  </si>
  <si>
    <t>Slovenia|2002</t>
  </si>
  <si>
    <t>GM-04172</t>
  </si>
  <si>
    <t>GM-04173</t>
  </si>
  <si>
    <t>GM-04174</t>
  </si>
  <si>
    <t>Slovenia|2007</t>
  </si>
  <si>
    <t>GM-04175</t>
  </si>
  <si>
    <t>GM-04176</t>
  </si>
  <si>
    <t>GM-04177</t>
  </si>
  <si>
    <t>Somalia</t>
  </si>
  <si>
    <t>Somalia|1952</t>
  </si>
  <si>
    <t>GM-04178</t>
  </si>
  <si>
    <t>GM-04179</t>
  </si>
  <si>
    <t>GM-04180</t>
  </si>
  <si>
    <t>Somalia|1957</t>
  </si>
  <si>
    <t>GM-04181</t>
  </si>
  <si>
    <t>GM-04182</t>
  </si>
  <si>
    <t>GM-04183</t>
  </si>
  <si>
    <t>Somalia|1962</t>
  </si>
  <si>
    <t>GM-04184</t>
  </si>
  <si>
    <t>GM-04185</t>
  </si>
  <si>
    <t>GM-04186</t>
  </si>
  <si>
    <t>Somalia|1967</t>
  </si>
  <si>
    <t>GM-04187</t>
  </si>
  <si>
    <t>GM-04188</t>
  </si>
  <si>
    <t>GM-04189</t>
  </si>
  <si>
    <t>Somalia|1972</t>
  </si>
  <si>
    <t>GM-04190</t>
  </si>
  <si>
    <t>GM-04191</t>
  </si>
  <si>
    <t>GM-04192</t>
  </si>
  <si>
    <t>Somalia|1977</t>
  </si>
  <si>
    <t>GM-04193</t>
  </si>
  <si>
    <t>GM-04194</t>
  </si>
  <si>
    <t>GM-04195</t>
  </si>
  <si>
    <t>Somalia|1982</t>
  </si>
  <si>
    <t>GM-04196</t>
  </si>
  <si>
    <t>GM-04197</t>
  </si>
  <si>
    <t>GM-04198</t>
  </si>
  <si>
    <t>Somalia|1987</t>
  </si>
  <si>
    <t>GM-04199</t>
  </si>
  <si>
    <t>GM-04200</t>
  </si>
  <si>
    <t>GM-04201</t>
  </si>
  <si>
    <t>Somalia|1992</t>
  </si>
  <si>
    <t>GM-04202</t>
  </si>
  <si>
    <t>GM-04203</t>
  </si>
  <si>
    <t>GM-04204</t>
  </si>
  <si>
    <t>Somalia|1997</t>
  </si>
  <si>
    <t>GM-04205</t>
  </si>
  <si>
    <t>GM-04206</t>
  </si>
  <si>
    <t>GM-04207</t>
  </si>
  <si>
    <t>Somalia|2002</t>
  </si>
  <si>
    <t>GM-04208</t>
  </si>
  <si>
    <t>GM-04209</t>
  </si>
  <si>
    <t>GM-04210</t>
  </si>
  <si>
    <t>Somalia|2007</t>
  </si>
  <si>
    <t>GM-04211</t>
  </si>
  <si>
    <t>GM-04212</t>
  </si>
  <si>
    <t>GM-04213</t>
  </si>
  <si>
    <t>South Africa</t>
  </si>
  <si>
    <t>South Africa|1952</t>
  </si>
  <si>
    <t>GM-04214</t>
  </si>
  <si>
    <t>GM-04215</t>
  </si>
  <si>
    <t>GM-04216</t>
  </si>
  <si>
    <t>South Africa|1957</t>
  </si>
  <si>
    <t>GM-04217</t>
  </si>
  <si>
    <t>GM-04218</t>
  </si>
  <si>
    <t>GM-04219</t>
  </si>
  <si>
    <t>South Africa|1962</t>
  </si>
  <si>
    <t>GM-04220</t>
  </si>
  <si>
    <t>GM-04221</t>
  </si>
  <si>
    <t>GM-04222</t>
  </si>
  <si>
    <t>South Africa|1967</t>
  </si>
  <si>
    <t>GM-04223</t>
  </si>
  <si>
    <t>GM-04224</t>
  </si>
  <si>
    <t>GM-04225</t>
  </si>
  <si>
    <t>South Africa|1972</t>
  </si>
  <si>
    <t>GM-04226</t>
  </si>
  <si>
    <t>GM-04227</t>
  </si>
  <si>
    <t>GM-04228</t>
  </si>
  <si>
    <t>South Africa|1977</t>
  </si>
  <si>
    <t>GM-04229</t>
  </si>
  <si>
    <t>GM-04230</t>
  </si>
  <si>
    <t>GM-04231</t>
  </si>
  <si>
    <t>South Africa|1982</t>
  </si>
  <si>
    <t>GM-04232</t>
  </si>
  <si>
    <t>GM-04233</t>
  </si>
  <si>
    <t>GM-04234</t>
  </si>
  <si>
    <t>South Africa|1987</t>
  </si>
  <si>
    <t>GM-04235</t>
  </si>
  <si>
    <t>GM-04236</t>
  </si>
  <si>
    <t>GM-04237</t>
  </si>
  <si>
    <t>South Africa|1992</t>
  </si>
  <si>
    <t>GM-04238</t>
  </si>
  <si>
    <t>GM-04239</t>
  </si>
  <si>
    <t>GM-04240</t>
  </si>
  <si>
    <t>South Africa|1997</t>
  </si>
  <si>
    <t>GM-04241</t>
  </si>
  <si>
    <t>GM-04242</t>
  </si>
  <si>
    <t>GM-04243</t>
  </si>
  <si>
    <t>South Africa|2002</t>
  </si>
  <si>
    <t>GM-04244</t>
  </si>
  <si>
    <t>GM-04245</t>
  </si>
  <si>
    <t>GM-04246</t>
  </si>
  <si>
    <t>South Africa|2007</t>
  </si>
  <si>
    <t>GM-04247</t>
  </si>
  <si>
    <t>GM-04248</t>
  </si>
  <si>
    <t>GM-04249</t>
  </si>
  <si>
    <t>Spain</t>
  </si>
  <si>
    <t>Spain|1952</t>
  </si>
  <si>
    <t>GM-04250</t>
  </si>
  <si>
    <t>GM-04251</t>
  </si>
  <si>
    <t>GM-04252</t>
  </si>
  <si>
    <t>Spain|1957</t>
  </si>
  <si>
    <t>GM-04253</t>
  </si>
  <si>
    <t>GM-04254</t>
  </si>
  <si>
    <t>GM-04255</t>
  </si>
  <si>
    <t>Spain|1962</t>
  </si>
  <si>
    <t>GM-04256</t>
  </si>
  <si>
    <t>GM-04257</t>
  </si>
  <si>
    <t>GM-04258</t>
  </si>
  <si>
    <t>Spain|1967</t>
  </si>
  <si>
    <t>GM-04259</t>
  </si>
  <si>
    <t>GM-04260</t>
  </si>
  <si>
    <t>GM-04261</t>
  </si>
  <si>
    <t>Spain|1972</t>
  </si>
  <si>
    <t>GM-04262</t>
  </si>
  <si>
    <t>GM-04263</t>
  </si>
  <si>
    <t>GM-04264</t>
  </si>
  <si>
    <t>Spain|1977</t>
  </si>
  <si>
    <t>GM-04265</t>
  </si>
  <si>
    <t>GM-04266</t>
  </si>
  <si>
    <t>GM-04267</t>
  </si>
  <si>
    <t>Spain|1982</t>
  </si>
  <si>
    <t>GM-04268</t>
  </si>
  <si>
    <t>GM-04269</t>
  </si>
  <si>
    <t>GM-04270</t>
  </si>
  <si>
    <t>Spain|1987</t>
  </si>
  <si>
    <t>GM-04271</t>
  </si>
  <si>
    <t>GM-04272</t>
  </si>
  <si>
    <t>GM-04273</t>
  </si>
  <si>
    <t>Spain|1992</t>
  </si>
  <si>
    <t>GM-04274</t>
  </si>
  <si>
    <t>GM-04275</t>
  </si>
  <si>
    <t>GM-04276</t>
  </si>
  <si>
    <t>Spain|1997</t>
  </si>
  <si>
    <t>GM-04277</t>
  </si>
  <si>
    <t>GM-04278</t>
  </si>
  <si>
    <t>GM-04279</t>
  </si>
  <si>
    <t>Spain|2002</t>
  </si>
  <si>
    <t>GM-04280</t>
  </si>
  <si>
    <t>GM-04281</t>
  </si>
  <si>
    <t>GM-04282</t>
  </si>
  <si>
    <t>Spain|2007</t>
  </si>
  <si>
    <t>GM-04283</t>
  </si>
  <si>
    <t>GM-04284</t>
  </si>
  <si>
    <t>GM-04285</t>
  </si>
  <si>
    <t>Sri Lanka</t>
  </si>
  <si>
    <t>Sri Lanka|1952</t>
  </si>
  <si>
    <t>GM-04286</t>
  </si>
  <si>
    <t>GM-04287</t>
  </si>
  <si>
    <t>GM-04288</t>
  </si>
  <si>
    <t>Sri Lanka|1957</t>
  </si>
  <si>
    <t>GM-04289</t>
  </si>
  <si>
    <t>GM-04290</t>
  </si>
  <si>
    <t>GM-04291</t>
  </si>
  <si>
    <t>Sri Lanka|1962</t>
  </si>
  <si>
    <t>GM-04292</t>
  </si>
  <si>
    <t>GM-04293</t>
  </si>
  <si>
    <t>GM-04294</t>
  </si>
  <si>
    <t>Sri Lanka|1967</t>
  </si>
  <si>
    <t>GM-04295</t>
  </si>
  <si>
    <t>GM-04296</t>
  </si>
  <si>
    <t>GM-04297</t>
  </si>
  <si>
    <t>Sri Lanka|1972</t>
  </si>
  <si>
    <t>GM-04298</t>
  </si>
  <si>
    <t>GM-04299</t>
  </si>
  <si>
    <t>GM-04300</t>
  </si>
  <si>
    <t>Sri Lanka|1977</t>
  </si>
  <si>
    <t>GM-04301</t>
  </si>
  <si>
    <t>GM-04302</t>
  </si>
  <si>
    <t>GM-04303</t>
  </si>
  <si>
    <t>Sri Lanka|1982</t>
  </si>
  <si>
    <t>GM-04304</t>
  </si>
  <si>
    <t>GM-04305</t>
  </si>
  <si>
    <t>GM-04306</t>
  </si>
  <si>
    <t>Sri Lanka|1987</t>
  </si>
  <si>
    <t>GM-04307</t>
  </si>
  <si>
    <t>GM-04308</t>
  </si>
  <si>
    <t>GM-04309</t>
  </si>
  <si>
    <t>Sri Lanka|1992</t>
  </si>
  <si>
    <t>GM-04310</t>
  </si>
  <si>
    <t>GM-04311</t>
  </si>
  <si>
    <t>GM-04312</t>
  </si>
  <si>
    <t>Sri Lanka|1997</t>
  </si>
  <si>
    <t>GM-04313</t>
  </si>
  <si>
    <t>GM-04314</t>
  </si>
  <si>
    <t>GM-04315</t>
  </si>
  <si>
    <t>Sri Lanka|2002</t>
  </si>
  <si>
    <t>GM-04316</t>
  </si>
  <si>
    <t>GM-04317</t>
  </si>
  <si>
    <t>GM-04318</t>
  </si>
  <si>
    <t>Sri Lanka|2007</t>
  </si>
  <si>
    <t>GM-04319</t>
  </si>
  <si>
    <t>GM-04320</t>
  </si>
  <si>
    <t>GM-04321</t>
  </si>
  <si>
    <t>Sudan</t>
  </si>
  <si>
    <t>Sudan|1952</t>
  </si>
  <si>
    <t>GM-04322</t>
  </si>
  <si>
    <t>GM-04323</t>
  </si>
  <si>
    <t>GM-04324</t>
  </si>
  <si>
    <t>Sudan|1957</t>
  </si>
  <si>
    <t>GM-04325</t>
  </si>
  <si>
    <t>GM-04326</t>
  </si>
  <si>
    <t>GM-04327</t>
  </si>
  <si>
    <t>Sudan|1962</t>
  </si>
  <si>
    <t>GM-04328</t>
  </si>
  <si>
    <t>GM-04329</t>
  </si>
  <si>
    <t>GM-04330</t>
  </si>
  <si>
    <t>Sudan|1967</t>
  </si>
  <si>
    <t>GM-04331</t>
  </si>
  <si>
    <t>GM-04332</t>
  </si>
  <si>
    <t>GM-04333</t>
  </si>
  <si>
    <t>Sudan|1972</t>
  </si>
  <si>
    <t>GM-04334</t>
  </si>
  <si>
    <t>GM-04335</t>
  </si>
  <si>
    <t>GM-04336</t>
  </si>
  <si>
    <t>Sudan|1977</t>
  </si>
  <si>
    <t>GM-04337</t>
  </si>
  <si>
    <t>GM-04338</t>
  </si>
  <si>
    <t>GM-04339</t>
  </si>
  <si>
    <t>Sudan|1982</t>
  </si>
  <si>
    <t>GM-04340</t>
  </si>
  <si>
    <t>GM-04341</t>
  </si>
  <si>
    <t>GM-04342</t>
  </si>
  <si>
    <t>Sudan|1987</t>
  </si>
  <si>
    <t>GM-04343</t>
  </si>
  <si>
    <t>GM-04344</t>
  </si>
  <si>
    <t>GM-04345</t>
  </si>
  <si>
    <t>Sudan|1992</t>
  </si>
  <si>
    <t>GM-04346</t>
  </si>
  <si>
    <t>GM-04347</t>
  </si>
  <si>
    <t>GM-04348</t>
  </si>
  <si>
    <t>Sudan|1997</t>
  </si>
  <si>
    <t>GM-04349</t>
  </si>
  <si>
    <t>GM-04350</t>
  </si>
  <si>
    <t>GM-04351</t>
  </si>
  <si>
    <t>Sudan|2002</t>
  </si>
  <si>
    <t>GM-04352</t>
  </si>
  <si>
    <t>GM-04353</t>
  </si>
  <si>
    <t>GM-04354</t>
  </si>
  <si>
    <t>Sudan|2007</t>
  </si>
  <si>
    <t>GM-04355</t>
  </si>
  <si>
    <t>GM-04356</t>
  </si>
  <si>
    <t>GM-04357</t>
  </si>
  <si>
    <t>Swaziland</t>
  </si>
  <si>
    <t>Swaziland|1952</t>
  </si>
  <si>
    <t>GM-04358</t>
  </si>
  <si>
    <t>GM-04359</t>
  </si>
  <si>
    <t>GM-04360</t>
  </si>
  <si>
    <t>Swaziland|1957</t>
  </si>
  <si>
    <t>GM-04361</t>
  </si>
  <si>
    <t>GM-04362</t>
  </si>
  <si>
    <t>GM-04363</t>
  </si>
  <si>
    <t>Swaziland|1962</t>
  </si>
  <si>
    <t>GM-04364</t>
  </si>
  <si>
    <t>GM-04365</t>
  </si>
  <si>
    <t>GM-04366</t>
  </si>
  <si>
    <t>Swaziland|1967</t>
  </si>
  <si>
    <t>GM-04367</t>
  </si>
  <si>
    <t>GM-04368</t>
  </si>
  <si>
    <t>GM-04369</t>
  </si>
  <si>
    <t>Swaziland|1972</t>
  </si>
  <si>
    <t>GM-04370</t>
  </si>
  <si>
    <t>GM-04371</t>
  </si>
  <si>
    <t>GM-04372</t>
  </si>
  <si>
    <t>Swaziland|1977</t>
  </si>
  <si>
    <t>GM-04373</t>
  </si>
  <si>
    <t>GM-04374</t>
  </si>
  <si>
    <t>GM-04375</t>
  </si>
  <si>
    <t>Swaziland|1982</t>
  </si>
  <si>
    <t>GM-04376</t>
  </si>
  <si>
    <t>GM-04377</t>
  </si>
  <si>
    <t>GM-04378</t>
  </si>
  <si>
    <t>Swaziland|1987</t>
  </si>
  <si>
    <t>GM-04379</t>
  </si>
  <si>
    <t>GM-04380</t>
  </si>
  <si>
    <t>GM-04381</t>
  </si>
  <si>
    <t>Swaziland|1992</t>
  </si>
  <si>
    <t>GM-04382</t>
  </si>
  <si>
    <t>GM-04383</t>
  </si>
  <si>
    <t>GM-04384</t>
  </si>
  <si>
    <t>Swaziland|1997</t>
  </si>
  <si>
    <t>GM-04385</t>
  </si>
  <si>
    <t>GM-04386</t>
  </si>
  <si>
    <t>GM-04387</t>
  </si>
  <si>
    <t>Swaziland|2002</t>
  </si>
  <si>
    <t>GM-04388</t>
  </si>
  <si>
    <t>GM-04389</t>
  </si>
  <si>
    <t>GM-04390</t>
  </si>
  <si>
    <t>Swaziland|2007</t>
  </si>
  <si>
    <t>GM-04391</t>
  </si>
  <si>
    <t>GM-04392</t>
  </si>
  <si>
    <t>GM-04393</t>
  </si>
  <si>
    <t>Sweden</t>
  </si>
  <si>
    <t>Sweden|1952</t>
  </si>
  <si>
    <t>GM-04394</t>
  </si>
  <si>
    <t>GM-04395</t>
  </si>
  <si>
    <t>GM-04396</t>
  </si>
  <si>
    <t>Sweden|1957</t>
  </si>
  <si>
    <t>GM-04397</t>
  </si>
  <si>
    <t>GM-04398</t>
  </si>
  <si>
    <t>GM-04399</t>
  </si>
  <si>
    <t>Sweden|1962</t>
  </si>
  <si>
    <t>GM-04400</t>
  </si>
  <si>
    <t>GM-04401</t>
  </si>
  <si>
    <t>GM-04402</t>
  </si>
  <si>
    <t>Sweden|1967</t>
  </si>
  <si>
    <t>GM-04403</t>
  </si>
  <si>
    <t>GM-04404</t>
  </si>
  <si>
    <t>GM-04405</t>
  </si>
  <si>
    <t>Sweden|1972</t>
  </si>
  <si>
    <t>GM-04406</t>
  </si>
  <si>
    <t>GM-04407</t>
  </si>
  <si>
    <t>GM-04408</t>
  </si>
  <si>
    <t>Sweden|1977</t>
  </si>
  <si>
    <t>GM-04409</t>
  </si>
  <si>
    <t>GM-04410</t>
  </si>
  <si>
    <t>GM-04411</t>
  </si>
  <si>
    <t>Sweden|1982</t>
  </si>
  <si>
    <t>GM-04412</t>
  </si>
  <si>
    <t>GM-04413</t>
  </si>
  <si>
    <t>GM-04414</t>
  </si>
  <si>
    <t>Sweden|1987</t>
  </si>
  <si>
    <t>GM-04415</t>
  </si>
  <si>
    <t>GM-04416</t>
  </si>
  <si>
    <t>GM-04417</t>
  </si>
  <si>
    <t>Sweden|1992</t>
  </si>
  <si>
    <t>GM-04418</t>
  </si>
  <si>
    <t>GM-04419</t>
  </si>
  <si>
    <t>GM-04420</t>
  </si>
  <si>
    <t>Sweden|1997</t>
  </si>
  <si>
    <t>GM-04421</t>
  </si>
  <si>
    <t>GM-04422</t>
  </si>
  <si>
    <t>GM-04423</t>
  </si>
  <si>
    <t>Sweden|2002</t>
  </si>
  <si>
    <t>GM-04424</t>
  </si>
  <si>
    <t>GM-04425</t>
  </si>
  <si>
    <t>GM-04426</t>
  </si>
  <si>
    <t>Sweden|2007</t>
  </si>
  <si>
    <t>GM-04427</t>
  </si>
  <si>
    <t>GM-04428</t>
  </si>
  <si>
    <t>GM-04429</t>
  </si>
  <si>
    <t>Switzerland</t>
  </si>
  <si>
    <t>Switzerland|1952</t>
  </si>
  <si>
    <t>GM-04430</t>
  </si>
  <si>
    <t>GM-04431</t>
  </si>
  <si>
    <t>GM-04432</t>
  </si>
  <si>
    <t>Switzerland|1957</t>
  </si>
  <si>
    <t>GM-04433</t>
  </si>
  <si>
    <t>GM-04434</t>
  </si>
  <si>
    <t>GM-04435</t>
  </si>
  <si>
    <t>Switzerland|1962</t>
  </si>
  <si>
    <t>GM-04436</t>
  </si>
  <si>
    <t>GM-04437</t>
  </si>
  <si>
    <t>GM-04438</t>
  </si>
  <si>
    <t>Switzerland|1967</t>
  </si>
  <si>
    <t>GM-04439</t>
  </si>
  <si>
    <t>GM-04440</t>
  </si>
  <si>
    <t>GM-04441</t>
  </si>
  <si>
    <t>Switzerland|1972</t>
  </si>
  <si>
    <t>GM-04442</t>
  </si>
  <si>
    <t>GM-04443</t>
  </si>
  <si>
    <t>GM-04444</t>
  </si>
  <si>
    <t>Switzerland|1977</t>
  </si>
  <si>
    <t>GM-04445</t>
  </si>
  <si>
    <t>GM-04446</t>
  </si>
  <si>
    <t>GM-04447</t>
  </si>
  <si>
    <t>Switzerland|1982</t>
  </si>
  <si>
    <t>GM-04448</t>
  </si>
  <si>
    <t>GM-04449</t>
  </si>
  <si>
    <t>GM-04450</t>
  </si>
  <si>
    <t>Switzerland|1987</t>
  </si>
  <si>
    <t>GM-04451</t>
  </si>
  <si>
    <t>GM-04452</t>
  </si>
  <si>
    <t>GM-04453</t>
  </si>
  <si>
    <t>Switzerland|1992</t>
  </si>
  <si>
    <t>GM-04454</t>
  </si>
  <si>
    <t>GM-04455</t>
  </si>
  <si>
    <t>GM-04456</t>
  </si>
  <si>
    <t>Switzerland|1997</t>
  </si>
  <si>
    <t>GM-04457</t>
  </si>
  <si>
    <t>GM-04458</t>
  </si>
  <si>
    <t>GM-04459</t>
  </si>
  <si>
    <t>Switzerland|2002</t>
  </si>
  <si>
    <t>GM-04460</t>
  </si>
  <si>
    <t>GM-04461</t>
  </si>
  <si>
    <t>GM-04462</t>
  </si>
  <si>
    <t>Switzerland|2007</t>
  </si>
  <si>
    <t>GM-04463</t>
  </si>
  <si>
    <t>GM-04464</t>
  </si>
  <si>
    <t>GM-04465</t>
  </si>
  <si>
    <t>Syria</t>
  </si>
  <si>
    <t>Syria|1952</t>
  </si>
  <si>
    <t>GM-04466</t>
  </si>
  <si>
    <t>GM-04467</t>
  </si>
  <si>
    <t>GM-04468</t>
  </si>
  <si>
    <t>Syria|1957</t>
  </si>
  <si>
    <t>GM-04469</t>
  </si>
  <si>
    <t>GM-04470</t>
  </si>
  <si>
    <t>GM-04471</t>
  </si>
  <si>
    <t>Syria|1962</t>
  </si>
  <si>
    <t>GM-04472</t>
  </si>
  <si>
    <t>GM-04473</t>
  </si>
  <si>
    <t>GM-04474</t>
  </si>
  <si>
    <t>Syria|1967</t>
  </si>
  <si>
    <t>GM-04475</t>
  </si>
  <si>
    <t>GM-04476</t>
  </si>
  <si>
    <t>GM-04477</t>
  </si>
  <si>
    <t>Syria|1972</t>
  </si>
  <si>
    <t>GM-04478</t>
  </si>
  <si>
    <t>GM-04479</t>
  </si>
  <si>
    <t>GM-04480</t>
  </si>
  <si>
    <t>Syria|1977</t>
  </si>
  <si>
    <t>GM-04481</t>
  </si>
  <si>
    <t>GM-04482</t>
  </si>
  <si>
    <t>GM-04483</t>
  </si>
  <si>
    <t>Syria|1982</t>
  </si>
  <si>
    <t>GM-04484</t>
  </si>
  <si>
    <t>GM-04485</t>
  </si>
  <si>
    <t>GM-04486</t>
  </si>
  <si>
    <t>Syria|1987</t>
  </si>
  <si>
    <t>GM-04487</t>
  </si>
  <si>
    <t>GM-04488</t>
  </si>
  <si>
    <t>GM-04489</t>
  </si>
  <si>
    <t>Syria|1992</t>
  </si>
  <si>
    <t>GM-04490</t>
  </si>
  <si>
    <t>GM-04491</t>
  </si>
  <si>
    <t>GM-04492</t>
  </si>
  <si>
    <t>Syria|1997</t>
  </si>
  <si>
    <t>GM-04493</t>
  </si>
  <si>
    <t>GM-04494</t>
  </si>
  <si>
    <t>GM-04495</t>
  </si>
  <si>
    <t>Syria|2002</t>
  </si>
  <si>
    <t>GM-04496</t>
  </si>
  <si>
    <t>GM-04497</t>
  </si>
  <si>
    <t>GM-04498</t>
  </si>
  <si>
    <t>Syria|2007</t>
  </si>
  <si>
    <t>GM-04499</t>
  </si>
  <si>
    <t>GM-04500</t>
  </si>
  <si>
    <t>GM-04501</t>
  </si>
  <si>
    <t>Taiwan</t>
  </si>
  <si>
    <t>Taiwan|1952</t>
  </si>
  <si>
    <t>GM-04502</t>
  </si>
  <si>
    <t>GM-04503</t>
  </si>
  <si>
    <t>GM-04504</t>
  </si>
  <si>
    <t>Taiwan|1957</t>
  </si>
  <si>
    <t>GM-04505</t>
  </si>
  <si>
    <t>GM-04506</t>
  </si>
  <si>
    <t>GM-04507</t>
  </si>
  <si>
    <t>Taiwan|1962</t>
  </si>
  <si>
    <t>GM-04508</t>
  </si>
  <si>
    <t>GM-04509</t>
  </si>
  <si>
    <t>GM-04510</t>
  </si>
  <si>
    <t>Taiwan|1967</t>
  </si>
  <si>
    <t>GM-04511</t>
  </si>
  <si>
    <t>GM-04512</t>
  </si>
  <si>
    <t>GM-04513</t>
  </si>
  <si>
    <t>Taiwan|1972</t>
  </si>
  <si>
    <t>GM-04514</t>
  </si>
  <si>
    <t>GM-04515</t>
  </si>
  <si>
    <t>GM-04516</t>
  </si>
  <si>
    <t>Taiwan|1977</t>
  </si>
  <si>
    <t>GM-04517</t>
  </si>
  <si>
    <t>GM-04518</t>
  </si>
  <si>
    <t>GM-04519</t>
  </si>
  <si>
    <t>Taiwan|1982</t>
  </si>
  <si>
    <t>GM-04520</t>
  </si>
  <si>
    <t>GM-04521</t>
  </si>
  <si>
    <t>GM-04522</t>
  </si>
  <si>
    <t>Taiwan|1987</t>
  </si>
  <si>
    <t>GM-04523</t>
  </si>
  <si>
    <t>GM-04524</t>
  </si>
  <si>
    <t>GM-04525</t>
  </si>
  <si>
    <t>Taiwan|1992</t>
  </si>
  <si>
    <t>GM-04526</t>
  </si>
  <si>
    <t>GM-04527</t>
  </si>
  <si>
    <t>GM-04528</t>
  </si>
  <si>
    <t>Taiwan|1997</t>
  </si>
  <si>
    <t>GM-04529</t>
  </si>
  <si>
    <t>GM-04530</t>
  </si>
  <si>
    <t>GM-04531</t>
  </si>
  <si>
    <t>Taiwan|2002</t>
  </si>
  <si>
    <t>GM-04532</t>
  </si>
  <si>
    <t>GM-04533</t>
  </si>
  <si>
    <t>GM-04534</t>
  </si>
  <si>
    <t>Taiwan|2007</t>
  </si>
  <si>
    <t>GM-04535</t>
  </si>
  <si>
    <t>GM-04536</t>
  </si>
  <si>
    <t>GM-04537</t>
  </si>
  <si>
    <t>Tanzania</t>
  </si>
  <si>
    <t>Tanzania|1952</t>
  </si>
  <si>
    <t>GM-04538</t>
  </si>
  <si>
    <t>GM-04539</t>
  </si>
  <si>
    <t>GM-04540</t>
  </si>
  <si>
    <t>Tanzania|1957</t>
  </si>
  <si>
    <t>GM-04541</t>
  </si>
  <si>
    <t>GM-04542</t>
  </si>
  <si>
    <t>GM-04543</t>
  </si>
  <si>
    <t>Tanzania|1962</t>
  </si>
  <si>
    <t>GM-04544</t>
  </si>
  <si>
    <t>GM-04545</t>
  </si>
  <si>
    <t>GM-04546</t>
  </si>
  <si>
    <t>Tanzania|1967</t>
  </si>
  <si>
    <t>GM-04547</t>
  </si>
  <si>
    <t>GM-04548</t>
  </si>
  <si>
    <t>GM-04549</t>
  </si>
  <si>
    <t>Tanzania|1972</t>
  </si>
  <si>
    <t>GM-04550</t>
  </si>
  <si>
    <t>GM-04551</t>
  </si>
  <si>
    <t>GM-04552</t>
  </si>
  <si>
    <t>Tanzania|1977</t>
  </si>
  <si>
    <t>GM-04553</t>
  </si>
  <si>
    <t>GM-04554</t>
  </si>
  <si>
    <t>GM-04555</t>
  </si>
  <si>
    <t>Tanzania|1982</t>
  </si>
  <si>
    <t>GM-04556</t>
  </si>
  <si>
    <t>GM-04557</t>
  </si>
  <si>
    <t>GM-04558</t>
  </si>
  <si>
    <t>Tanzania|1987</t>
  </si>
  <si>
    <t>GM-04559</t>
  </si>
  <si>
    <t>GM-04560</t>
  </si>
  <si>
    <t>GM-04561</t>
  </si>
  <si>
    <t>Tanzania|1992</t>
  </si>
  <si>
    <t>GM-04562</t>
  </si>
  <si>
    <t>GM-04563</t>
  </si>
  <si>
    <t>GM-04564</t>
  </si>
  <si>
    <t>Tanzania|1997</t>
  </si>
  <si>
    <t>GM-04565</t>
  </si>
  <si>
    <t>GM-04566</t>
  </si>
  <si>
    <t>GM-04567</t>
  </si>
  <si>
    <t>Tanzania|2002</t>
  </si>
  <si>
    <t>GM-04568</t>
  </si>
  <si>
    <t>GM-04569</t>
  </si>
  <si>
    <t>GM-04570</t>
  </si>
  <si>
    <t>Tanzania|2007</t>
  </si>
  <si>
    <t>GM-04571</t>
  </si>
  <si>
    <t>GM-04572</t>
  </si>
  <si>
    <t>GM-04573</t>
  </si>
  <si>
    <t>Thailand</t>
  </si>
  <si>
    <t>Thailand|1952</t>
  </si>
  <si>
    <t>GM-04574</t>
  </si>
  <si>
    <t>GM-04575</t>
  </si>
  <si>
    <t>GM-04576</t>
  </si>
  <si>
    <t>Thailand|1957</t>
  </si>
  <si>
    <t>GM-04577</t>
  </si>
  <si>
    <t>GM-04578</t>
  </si>
  <si>
    <t>GM-04579</t>
  </si>
  <si>
    <t>Thailand|1962</t>
  </si>
  <si>
    <t>GM-04580</t>
  </si>
  <si>
    <t>GM-04581</t>
  </si>
  <si>
    <t>GM-04582</t>
  </si>
  <si>
    <t>Thailand|1967</t>
  </si>
  <si>
    <t>GM-04583</t>
  </si>
  <si>
    <t>GM-04584</t>
  </si>
  <si>
    <t>GM-04585</t>
  </si>
  <si>
    <t>Thailand|1972</t>
  </si>
  <si>
    <t>GM-04586</t>
  </si>
  <si>
    <t>GM-04587</t>
  </si>
  <si>
    <t>GM-04588</t>
  </si>
  <si>
    <t>Thailand|1977</t>
  </si>
  <si>
    <t>GM-04589</t>
  </si>
  <si>
    <t>GM-04590</t>
  </si>
  <si>
    <t>GM-04591</t>
  </si>
  <si>
    <t>Thailand|1982</t>
  </si>
  <si>
    <t>GM-04592</t>
  </si>
  <si>
    <t>GM-04593</t>
  </si>
  <si>
    <t>GM-04594</t>
  </si>
  <si>
    <t>Thailand|1987</t>
  </si>
  <si>
    <t>GM-04595</t>
  </si>
  <si>
    <t>GM-04596</t>
  </si>
  <si>
    <t>GM-04597</t>
  </si>
  <si>
    <t>Thailand|1992</t>
  </si>
  <si>
    <t>GM-04598</t>
  </si>
  <si>
    <t>GM-04599</t>
  </si>
  <si>
    <t>GM-04600</t>
  </si>
  <si>
    <t>Thailand|1997</t>
  </si>
  <si>
    <t>GM-04601</t>
  </si>
  <si>
    <t>GM-04602</t>
  </si>
  <si>
    <t>GM-04603</t>
  </si>
  <si>
    <t>Thailand|2002</t>
  </si>
  <si>
    <t>GM-04604</t>
  </si>
  <si>
    <t>GM-04605</t>
  </si>
  <si>
    <t>GM-04606</t>
  </si>
  <si>
    <t>Thailand|2007</t>
  </si>
  <si>
    <t>GM-04607</t>
  </si>
  <si>
    <t>GM-04608</t>
  </si>
  <si>
    <t>GM-04609</t>
  </si>
  <si>
    <t>Togo</t>
  </si>
  <si>
    <t>Togo|1952</t>
  </si>
  <si>
    <t>GM-04610</t>
  </si>
  <si>
    <t>GM-04611</t>
  </si>
  <si>
    <t>GM-04612</t>
  </si>
  <si>
    <t>Togo|1957</t>
  </si>
  <si>
    <t>GM-04613</t>
  </si>
  <si>
    <t>GM-04614</t>
  </si>
  <si>
    <t>GM-04615</t>
  </si>
  <si>
    <t>Togo|1962</t>
  </si>
  <si>
    <t>GM-04616</t>
  </si>
  <si>
    <t>GM-04617</t>
  </si>
  <si>
    <t>GM-04618</t>
  </si>
  <si>
    <t>Togo|1967</t>
  </si>
  <si>
    <t>GM-04619</t>
  </si>
  <si>
    <t>GM-04620</t>
  </si>
  <si>
    <t>GM-04621</t>
  </si>
  <si>
    <t>Togo|1972</t>
  </si>
  <si>
    <t>GM-04622</t>
  </si>
  <si>
    <t>GM-04623</t>
  </si>
  <si>
    <t>GM-04624</t>
  </si>
  <si>
    <t>Togo|1977</t>
  </si>
  <si>
    <t>GM-04625</t>
  </si>
  <si>
    <t>GM-04626</t>
  </si>
  <si>
    <t>GM-04627</t>
  </si>
  <si>
    <t>Togo|1982</t>
  </si>
  <si>
    <t>GM-04628</t>
  </si>
  <si>
    <t>GM-04629</t>
  </si>
  <si>
    <t>GM-04630</t>
  </si>
  <si>
    <t>Togo|1987</t>
  </si>
  <si>
    <t>GM-04631</t>
  </si>
  <si>
    <t>GM-04632</t>
  </si>
  <si>
    <t>GM-04633</t>
  </si>
  <si>
    <t>Togo|1992</t>
  </si>
  <si>
    <t>GM-04634</t>
  </si>
  <si>
    <t>GM-04635</t>
  </si>
  <si>
    <t>GM-04636</t>
  </si>
  <si>
    <t>Togo|1997</t>
  </si>
  <si>
    <t>GM-04637</t>
  </si>
  <si>
    <t>GM-04638</t>
  </si>
  <si>
    <t>GM-04639</t>
  </si>
  <si>
    <t>Togo|2002</t>
  </si>
  <si>
    <t>GM-04640</t>
  </si>
  <si>
    <t>GM-04641</t>
  </si>
  <si>
    <t>GM-04642</t>
  </si>
  <si>
    <t>Togo|2007</t>
  </si>
  <si>
    <t>GM-04643</t>
  </si>
  <si>
    <t>GM-04644</t>
  </si>
  <si>
    <t>GM-04645</t>
  </si>
  <si>
    <t>Trinidad and Tobago</t>
  </si>
  <si>
    <t>Trinidad and Tobago|1952</t>
  </si>
  <si>
    <t>GM-04646</t>
  </si>
  <si>
    <t>GM-04647</t>
  </si>
  <si>
    <t>GM-04648</t>
  </si>
  <si>
    <t>Trinidad and Tobago|1957</t>
  </si>
  <si>
    <t>GM-04649</t>
  </si>
  <si>
    <t>GM-04650</t>
  </si>
  <si>
    <t>GM-04651</t>
  </si>
  <si>
    <t>Trinidad and Tobago|1962</t>
  </si>
  <si>
    <t>GM-04652</t>
  </si>
  <si>
    <t>GM-04653</t>
  </si>
  <si>
    <t>GM-04654</t>
  </si>
  <si>
    <t>Trinidad and Tobago|1967</t>
  </si>
  <si>
    <t>GM-04655</t>
  </si>
  <si>
    <t>GM-04656</t>
  </si>
  <si>
    <t>GM-04657</t>
  </si>
  <si>
    <t>Trinidad and Tobago|1972</t>
  </si>
  <si>
    <t>GM-04658</t>
  </si>
  <si>
    <t>GM-04659</t>
  </si>
  <si>
    <t>GM-04660</t>
  </si>
  <si>
    <t>Trinidad and Tobago|1977</t>
  </si>
  <si>
    <t>GM-04661</t>
  </si>
  <si>
    <t>GM-04662</t>
  </si>
  <si>
    <t>GM-04663</t>
  </si>
  <si>
    <t>Trinidad and Tobago|1982</t>
  </si>
  <si>
    <t>GM-04664</t>
  </si>
  <si>
    <t>GM-04665</t>
  </si>
  <si>
    <t>GM-04666</t>
  </si>
  <si>
    <t>Trinidad and Tobago|1987</t>
  </si>
  <si>
    <t>GM-04667</t>
  </si>
  <si>
    <t>GM-04668</t>
  </si>
  <si>
    <t>GM-04669</t>
  </si>
  <si>
    <t>Trinidad and Tobago|1992</t>
  </si>
  <si>
    <t>GM-04670</t>
  </si>
  <si>
    <t>GM-04671</t>
  </si>
  <si>
    <t>GM-04672</t>
  </si>
  <si>
    <t>Trinidad and Tobago|1997</t>
  </si>
  <si>
    <t>GM-04673</t>
  </si>
  <si>
    <t>GM-04674</t>
  </si>
  <si>
    <t>GM-04675</t>
  </si>
  <si>
    <t>Trinidad and Tobago|2002</t>
  </si>
  <si>
    <t>GM-04676</t>
  </si>
  <si>
    <t>GM-04677</t>
  </si>
  <si>
    <t>GM-04678</t>
  </si>
  <si>
    <t>Trinidad and Tobago|2007</t>
  </si>
  <si>
    <t>GM-04679</t>
  </si>
  <si>
    <t>GM-04680</t>
  </si>
  <si>
    <t>GM-04681</t>
  </si>
  <si>
    <t>Tunisia</t>
  </si>
  <si>
    <t>Tunisia|1952</t>
  </si>
  <si>
    <t>GM-04682</t>
  </si>
  <si>
    <t>GM-04683</t>
  </si>
  <si>
    <t>GM-04684</t>
  </si>
  <si>
    <t>Tunisia|1957</t>
  </si>
  <si>
    <t>GM-04685</t>
  </si>
  <si>
    <t>GM-04686</t>
  </si>
  <si>
    <t>GM-04687</t>
  </si>
  <si>
    <t>Tunisia|1962</t>
  </si>
  <si>
    <t>GM-04688</t>
  </si>
  <si>
    <t>GM-04689</t>
  </si>
  <si>
    <t>GM-04690</t>
  </si>
  <si>
    <t>Tunisia|1967</t>
  </si>
  <si>
    <t>GM-04691</t>
  </si>
  <si>
    <t>GM-04692</t>
  </si>
  <si>
    <t>GM-04693</t>
  </si>
  <si>
    <t>Tunisia|1972</t>
  </si>
  <si>
    <t>GM-04694</t>
  </si>
  <si>
    <t>GM-04695</t>
  </si>
  <si>
    <t>GM-04696</t>
  </si>
  <si>
    <t>Tunisia|1977</t>
  </si>
  <si>
    <t>GM-04697</t>
  </si>
  <si>
    <t>GM-04698</t>
  </si>
  <si>
    <t>GM-04699</t>
  </si>
  <si>
    <t>Tunisia|1982</t>
  </si>
  <si>
    <t>GM-04700</t>
  </si>
  <si>
    <t>GM-04701</t>
  </si>
  <si>
    <t>GM-04702</t>
  </si>
  <si>
    <t>Tunisia|1987</t>
  </si>
  <si>
    <t>GM-04703</t>
  </si>
  <si>
    <t>GM-04704</t>
  </si>
  <si>
    <t>GM-04705</t>
  </si>
  <si>
    <t>Tunisia|1992</t>
  </si>
  <si>
    <t>GM-04706</t>
  </si>
  <si>
    <t>GM-04707</t>
  </si>
  <si>
    <t>GM-04708</t>
  </si>
  <si>
    <t>Tunisia|1997</t>
  </si>
  <si>
    <t>GM-04709</t>
  </si>
  <si>
    <t>GM-04710</t>
  </si>
  <si>
    <t>GM-04711</t>
  </si>
  <si>
    <t>Tunisia|2002</t>
  </si>
  <si>
    <t>GM-04712</t>
  </si>
  <si>
    <t>GM-04713</t>
  </si>
  <si>
    <t>GM-04714</t>
  </si>
  <si>
    <t>Tunisia|2007</t>
  </si>
  <si>
    <t>GM-04715</t>
  </si>
  <si>
    <t>GM-04716</t>
  </si>
  <si>
    <t>GM-04717</t>
  </si>
  <si>
    <t>Turkey</t>
  </si>
  <si>
    <t>Turkey|1952</t>
  </si>
  <si>
    <t>GM-04718</t>
  </si>
  <si>
    <t>GM-04719</t>
  </si>
  <si>
    <t>GM-04720</t>
  </si>
  <si>
    <t>Turkey|1957</t>
  </si>
  <si>
    <t>GM-04721</t>
  </si>
  <si>
    <t>GM-04722</t>
  </si>
  <si>
    <t>GM-04723</t>
  </si>
  <si>
    <t>Turkey|1962</t>
  </si>
  <si>
    <t>GM-04724</t>
  </si>
  <si>
    <t>GM-04725</t>
  </si>
  <si>
    <t>GM-04726</t>
  </si>
  <si>
    <t>Turkey|1967</t>
  </si>
  <si>
    <t>GM-04727</t>
  </si>
  <si>
    <t>GM-04728</t>
  </si>
  <si>
    <t>GM-04729</t>
  </si>
  <si>
    <t>Turkey|1972</t>
  </si>
  <si>
    <t>GM-04730</t>
  </si>
  <si>
    <t>GM-04731</t>
  </si>
  <si>
    <t>GM-04732</t>
  </si>
  <si>
    <t>Turkey|1977</t>
  </si>
  <si>
    <t>GM-04733</t>
  </si>
  <si>
    <t>GM-04734</t>
  </si>
  <si>
    <t>GM-04735</t>
  </si>
  <si>
    <t>Turkey|1982</t>
  </si>
  <si>
    <t>GM-04736</t>
  </si>
  <si>
    <t>GM-04737</t>
  </si>
  <si>
    <t>GM-04738</t>
  </si>
  <si>
    <t>Turkey|1987</t>
  </si>
  <si>
    <t>GM-04739</t>
  </si>
  <si>
    <t>GM-04740</t>
  </si>
  <si>
    <t>GM-04741</t>
  </si>
  <si>
    <t>Turkey|1992</t>
  </si>
  <si>
    <t>GM-04742</t>
  </si>
  <si>
    <t>GM-04743</t>
  </si>
  <si>
    <t>GM-04744</t>
  </si>
  <si>
    <t>Turkey|1997</t>
  </si>
  <si>
    <t>GM-04745</t>
  </si>
  <si>
    <t>GM-04746</t>
  </si>
  <si>
    <t>GM-04747</t>
  </si>
  <si>
    <t>Turkey|2002</t>
  </si>
  <si>
    <t>GM-04748</t>
  </si>
  <si>
    <t>GM-04749</t>
  </si>
  <si>
    <t>GM-04750</t>
  </si>
  <si>
    <t>Turkey|2007</t>
  </si>
  <si>
    <t>GM-04751</t>
  </si>
  <si>
    <t>GM-04752</t>
  </si>
  <si>
    <t>GM-04753</t>
  </si>
  <si>
    <t>Uganda</t>
  </si>
  <si>
    <t>Uganda|1952</t>
  </si>
  <si>
    <t>GM-04754</t>
  </si>
  <si>
    <t>GM-04755</t>
  </si>
  <si>
    <t>GM-04756</t>
  </si>
  <si>
    <t>Uganda|1957</t>
  </si>
  <si>
    <t>GM-04757</t>
  </si>
  <si>
    <t>GM-04758</t>
  </si>
  <si>
    <t>GM-04759</t>
  </si>
  <si>
    <t>Uganda|1962</t>
  </si>
  <si>
    <t>GM-04760</t>
  </si>
  <si>
    <t>GM-04761</t>
  </si>
  <si>
    <t>GM-04762</t>
  </si>
  <si>
    <t>Uganda|1967</t>
  </si>
  <si>
    <t>GM-04763</t>
  </si>
  <si>
    <t>GM-04764</t>
  </si>
  <si>
    <t>GM-04765</t>
  </si>
  <si>
    <t>Uganda|1972</t>
  </si>
  <si>
    <t>GM-04766</t>
  </si>
  <si>
    <t>GM-04767</t>
  </si>
  <si>
    <t>GM-04768</t>
  </si>
  <si>
    <t>Uganda|1977</t>
  </si>
  <si>
    <t>GM-04769</t>
  </si>
  <si>
    <t>GM-04770</t>
  </si>
  <si>
    <t>GM-04771</t>
  </si>
  <si>
    <t>Uganda|1982</t>
  </si>
  <si>
    <t>GM-04772</t>
  </si>
  <si>
    <t>GM-04773</t>
  </si>
  <si>
    <t>GM-04774</t>
  </si>
  <si>
    <t>Uganda|1987</t>
  </si>
  <si>
    <t>GM-04775</t>
  </si>
  <si>
    <t>GM-04776</t>
  </si>
  <si>
    <t>GM-04777</t>
  </si>
  <si>
    <t>Uganda|1992</t>
  </si>
  <si>
    <t>GM-04778</t>
  </si>
  <si>
    <t>GM-04779</t>
  </si>
  <si>
    <t>GM-04780</t>
  </si>
  <si>
    <t>Uganda|1997</t>
  </si>
  <si>
    <t>GM-04781</t>
  </si>
  <si>
    <t>GM-04782</t>
  </si>
  <si>
    <t>GM-04783</t>
  </si>
  <si>
    <t>Uganda|2002</t>
  </si>
  <si>
    <t>GM-04784</t>
  </si>
  <si>
    <t>GM-04785</t>
  </si>
  <si>
    <t>GM-04786</t>
  </si>
  <si>
    <t>Uganda|2007</t>
  </si>
  <si>
    <t>GM-04787</t>
  </si>
  <si>
    <t>GM-04788</t>
  </si>
  <si>
    <t>GM-04789</t>
  </si>
  <si>
    <t>United Kingdom</t>
  </si>
  <si>
    <t>United Kingdom|1952</t>
  </si>
  <si>
    <t>GM-04790</t>
  </si>
  <si>
    <t>GM-04791</t>
  </si>
  <si>
    <t>GM-04792</t>
  </si>
  <si>
    <t>United Kingdom|1957</t>
  </si>
  <si>
    <t>GM-04793</t>
  </si>
  <si>
    <t>GM-04794</t>
  </si>
  <si>
    <t>GM-04795</t>
  </si>
  <si>
    <t>United Kingdom|1962</t>
  </si>
  <si>
    <t>GM-04796</t>
  </si>
  <si>
    <t>GM-04797</t>
  </si>
  <si>
    <t>GM-04798</t>
  </si>
  <si>
    <t>United Kingdom|1967</t>
  </si>
  <si>
    <t>GM-04799</t>
  </si>
  <si>
    <t>GM-04800</t>
  </si>
  <si>
    <t>GM-04801</t>
  </si>
  <si>
    <t>United Kingdom|1972</t>
  </si>
  <si>
    <t>GM-04802</t>
  </si>
  <si>
    <t>GM-04803</t>
  </si>
  <si>
    <t>GM-04804</t>
  </si>
  <si>
    <t>United Kingdom|1977</t>
  </si>
  <si>
    <t>GM-04805</t>
  </si>
  <si>
    <t>GM-04806</t>
  </si>
  <si>
    <t>GM-04807</t>
  </si>
  <si>
    <t>United Kingdom|1982</t>
  </si>
  <si>
    <t>GM-04808</t>
  </si>
  <si>
    <t>GM-04809</t>
  </si>
  <si>
    <t>GM-04810</t>
  </si>
  <si>
    <t>United Kingdom|1987</t>
  </si>
  <si>
    <t>GM-04811</t>
  </si>
  <si>
    <t>GM-04812</t>
  </si>
  <si>
    <t>GM-04813</t>
  </si>
  <si>
    <t>United Kingdom|1992</t>
  </si>
  <si>
    <t>GM-04814</t>
  </si>
  <si>
    <t>GM-04815</t>
  </si>
  <si>
    <t>GM-04816</t>
  </si>
  <si>
    <t>United Kingdom|1997</t>
  </si>
  <si>
    <t>GM-04817</t>
  </si>
  <si>
    <t>GM-04818</t>
  </si>
  <si>
    <t>GM-04819</t>
  </si>
  <si>
    <t>United Kingdom|2002</t>
  </si>
  <si>
    <t>GM-04820</t>
  </si>
  <si>
    <t>GM-04821</t>
  </si>
  <si>
    <t>GM-04822</t>
  </si>
  <si>
    <t>United Kingdom|2007</t>
  </si>
  <si>
    <t>GM-04823</t>
  </si>
  <si>
    <t>GM-04824</t>
  </si>
  <si>
    <t>GM-04825</t>
  </si>
  <si>
    <t>United States</t>
  </si>
  <si>
    <t>United States|1952</t>
  </si>
  <si>
    <t>GM-04826</t>
  </si>
  <si>
    <t>GM-04827</t>
  </si>
  <si>
    <t>GM-04828</t>
  </si>
  <si>
    <t>United States|1957</t>
  </si>
  <si>
    <t>GM-04829</t>
  </si>
  <si>
    <t>GM-04830</t>
  </si>
  <si>
    <t>GM-04831</t>
  </si>
  <si>
    <t>United States|1962</t>
  </si>
  <si>
    <t>GM-04832</t>
  </si>
  <si>
    <t>GM-04833</t>
  </si>
  <si>
    <t>GM-04834</t>
  </si>
  <si>
    <t>United States|1967</t>
  </si>
  <si>
    <t>GM-04835</t>
  </si>
  <si>
    <t>GM-04836</t>
  </si>
  <si>
    <t>GM-04837</t>
  </si>
  <si>
    <t>United States|1972</t>
  </si>
  <si>
    <t>GM-04838</t>
  </si>
  <si>
    <t>GM-04839</t>
  </si>
  <si>
    <t>GM-04840</t>
  </si>
  <si>
    <t>United States|1977</t>
  </si>
  <si>
    <t>GM-04841</t>
  </si>
  <si>
    <t>GM-04842</t>
  </si>
  <si>
    <t>GM-04843</t>
  </si>
  <si>
    <t>United States|1982</t>
  </si>
  <si>
    <t>GM-04844</t>
  </si>
  <si>
    <t>GM-04845</t>
  </si>
  <si>
    <t>GM-04846</t>
  </si>
  <si>
    <t>United States|1987</t>
  </si>
  <si>
    <t>GM-04847</t>
  </si>
  <si>
    <t>GM-04848</t>
  </si>
  <si>
    <t>GM-04849</t>
  </si>
  <si>
    <t>United States|1992</t>
  </si>
  <si>
    <t>GM-04850</t>
  </si>
  <si>
    <t>GM-04851</t>
  </si>
  <si>
    <t>GM-04852</t>
  </si>
  <si>
    <t>United States|1997</t>
  </si>
  <si>
    <t>GM-04853</t>
  </si>
  <si>
    <t>GM-04854</t>
  </si>
  <si>
    <t>GM-04855</t>
  </si>
  <si>
    <t>United States|2002</t>
  </si>
  <si>
    <t>GM-04856</t>
  </si>
  <si>
    <t>GM-04857</t>
  </si>
  <si>
    <t>GM-04858</t>
  </si>
  <si>
    <t>United States|2007</t>
  </si>
  <si>
    <t>GM-04859</t>
  </si>
  <si>
    <t>GM-04860</t>
  </si>
  <si>
    <t>GM-04861</t>
  </si>
  <si>
    <t>Uruguay</t>
  </si>
  <si>
    <t>Uruguay|1952</t>
  </si>
  <si>
    <t>GM-04862</t>
  </si>
  <si>
    <t>GM-04863</t>
  </si>
  <si>
    <t>GM-04864</t>
  </si>
  <si>
    <t>Uruguay|1957</t>
  </si>
  <si>
    <t>GM-04865</t>
  </si>
  <si>
    <t>GM-04866</t>
  </si>
  <si>
    <t>GM-04867</t>
  </si>
  <si>
    <t>Uruguay|1962</t>
  </si>
  <si>
    <t>GM-04868</t>
  </si>
  <si>
    <t>GM-04869</t>
  </si>
  <si>
    <t>GM-04870</t>
  </si>
  <si>
    <t>Uruguay|1967</t>
  </si>
  <si>
    <t>GM-04871</t>
  </si>
  <si>
    <t>GM-04872</t>
  </si>
  <si>
    <t>GM-04873</t>
  </si>
  <si>
    <t>Uruguay|1972</t>
  </si>
  <si>
    <t>GM-04874</t>
  </si>
  <si>
    <t>GM-04875</t>
  </si>
  <si>
    <t>GM-04876</t>
  </si>
  <si>
    <t>Uruguay|1977</t>
  </si>
  <si>
    <t>GM-04877</t>
  </si>
  <si>
    <t>GM-04878</t>
  </si>
  <si>
    <t>GM-04879</t>
  </si>
  <si>
    <t>Uruguay|1982</t>
  </si>
  <si>
    <t>GM-04880</t>
  </si>
  <si>
    <t>GM-04881</t>
  </si>
  <si>
    <t>GM-04882</t>
  </si>
  <si>
    <t>Uruguay|1987</t>
  </si>
  <si>
    <t>GM-04883</t>
  </si>
  <si>
    <t>GM-04884</t>
  </si>
  <si>
    <t>GM-04885</t>
  </si>
  <si>
    <t>Uruguay|1992</t>
  </si>
  <si>
    <t>GM-04886</t>
  </si>
  <si>
    <t>GM-04887</t>
  </si>
  <si>
    <t>GM-04888</t>
  </si>
  <si>
    <t>Uruguay|1997</t>
  </si>
  <si>
    <t>GM-04889</t>
  </si>
  <si>
    <t>GM-04890</t>
  </si>
  <si>
    <t>GM-04891</t>
  </si>
  <si>
    <t>Uruguay|2002</t>
  </si>
  <si>
    <t>GM-04892</t>
  </si>
  <si>
    <t>GM-04893</t>
  </si>
  <si>
    <t>GM-04894</t>
  </si>
  <si>
    <t>Uruguay|2007</t>
  </si>
  <si>
    <t>GM-04895</t>
  </si>
  <si>
    <t>GM-04896</t>
  </si>
  <si>
    <t>GM-04897</t>
  </si>
  <si>
    <t>Venezuela</t>
  </si>
  <si>
    <t>Venezuela|1952</t>
  </si>
  <si>
    <t>GM-04898</t>
  </si>
  <si>
    <t>GM-04899</t>
  </si>
  <si>
    <t>GM-04900</t>
  </si>
  <si>
    <t>Venezuela|1957</t>
  </si>
  <si>
    <t>GM-04901</t>
  </si>
  <si>
    <t>GM-04902</t>
  </si>
  <si>
    <t>GM-04903</t>
  </si>
  <si>
    <t>Venezuela|1962</t>
  </si>
  <si>
    <t>GM-04904</t>
  </si>
  <si>
    <t>GM-04905</t>
  </si>
  <si>
    <t>GM-04906</t>
  </si>
  <si>
    <t>Venezuela|1967</t>
  </si>
  <si>
    <t>GM-04907</t>
  </si>
  <si>
    <t>GM-04908</t>
  </si>
  <si>
    <t>GM-04909</t>
  </si>
  <si>
    <t>Venezuela|1972</t>
  </si>
  <si>
    <t>GM-04910</t>
  </si>
  <si>
    <t>GM-04911</t>
  </si>
  <si>
    <t>GM-04912</t>
  </si>
  <si>
    <t>Venezuela|1977</t>
  </si>
  <si>
    <t>GM-04913</t>
  </si>
  <si>
    <t>GM-04914</t>
  </si>
  <si>
    <t>GM-04915</t>
  </si>
  <si>
    <t>Venezuela|1982</t>
  </si>
  <si>
    <t>GM-04916</t>
  </si>
  <si>
    <t>GM-04917</t>
  </si>
  <si>
    <t>GM-04918</t>
  </si>
  <si>
    <t>Venezuela|1987</t>
  </si>
  <si>
    <t>GM-04919</t>
  </si>
  <si>
    <t>GM-04920</t>
  </si>
  <si>
    <t>GM-04921</t>
  </si>
  <si>
    <t>Venezuela|1992</t>
  </si>
  <si>
    <t>GM-04922</t>
  </si>
  <si>
    <t>GM-04923</t>
  </si>
  <si>
    <t>GM-04924</t>
  </si>
  <si>
    <t>Venezuela|1997</t>
  </si>
  <si>
    <t>GM-04925</t>
  </si>
  <si>
    <t>GM-04926</t>
  </si>
  <si>
    <t>GM-04927</t>
  </si>
  <si>
    <t>Venezuela|2002</t>
  </si>
  <si>
    <t>GM-04928</t>
  </si>
  <si>
    <t>GM-04929</t>
  </si>
  <si>
    <t>GM-04930</t>
  </si>
  <si>
    <t>Venezuela|2007</t>
  </si>
  <si>
    <t>GM-04931</t>
  </si>
  <si>
    <t>GM-04932</t>
  </si>
  <si>
    <t>GM-04933</t>
  </si>
  <si>
    <t>Vietnam</t>
  </si>
  <si>
    <t>Vietnam|1952</t>
  </si>
  <si>
    <t>GM-04934</t>
  </si>
  <si>
    <t>GM-04935</t>
  </si>
  <si>
    <t>GM-04936</t>
  </si>
  <si>
    <t>Vietnam|1957</t>
  </si>
  <si>
    <t>GM-04937</t>
  </si>
  <si>
    <t>GM-04938</t>
  </si>
  <si>
    <t>GM-04939</t>
  </si>
  <si>
    <t>Vietnam|1962</t>
  </si>
  <si>
    <t>GM-04940</t>
  </si>
  <si>
    <t>GM-04941</t>
  </si>
  <si>
    <t>GM-04942</t>
  </si>
  <si>
    <t>Vietnam|1967</t>
  </si>
  <si>
    <t>GM-04943</t>
  </si>
  <si>
    <t>GM-04944</t>
  </si>
  <si>
    <t>GM-04945</t>
  </si>
  <si>
    <t>Vietnam|1972</t>
  </si>
  <si>
    <t>GM-04946</t>
  </si>
  <si>
    <t>GM-04947</t>
  </si>
  <si>
    <t>GM-04948</t>
  </si>
  <si>
    <t>Vietnam|1977</t>
  </si>
  <si>
    <t>GM-04949</t>
  </si>
  <si>
    <t>GM-04950</t>
  </si>
  <si>
    <t>GM-04951</t>
  </si>
  <si>
    <t>Vietnam|1982</t>
  </si>
  <si>
    <t>GM-04952</t>
  </si>
  <si>
    <t>GM-04953</t>
  </si>
  <si>
    <t>GM-04954</t>
  </si>
  <si>
    <t>Vietnam|1987</t>
  </si>
  <si>
    <t>GM-04955</t>
  </si>
  <si>
    <t>GM-04956</t>
  </si>
  <si>
    <t>GM-04957</t>
  </si>
  <si>
    <t>Vietnam|1992</t>
  </si>
  <si>
    <t>GM-04958</t>
  </si>
  <si>
    <t>GM-04959</t>
  </si>
  <si>
    <t>GM-04960</t>
  </si>
  <si>
    <t>Vietnam|1997</t>
  </si>
  <si>
    <t>GM-04961</t>
  </si>
  <si>
    <t>GM-04962</t>
  </si>
  <si>
    <t>GM-04963</t>
  </si>
  <si>
    <t>Vietnam|2002</t>
  </si>
  <si>
    <t>GM-04964</t>
  </si>
  <si>
    <t>GM-04965</t>
  </si>
  <si>
    <t>GM-04966</t>
  </si>
  <si>
    <t>Vietnam|2007</t>
  </si>
  <si>
    <t>GM-04967</t>
  </si>
  <si>
    <t>GM-04968</t>
  </si>
  <si>
    <t>GM-04969</t>
  </si>
  <si>
    <t>West Bank and Gaza</t>
  </si>
  <si>
    <t>West Bank and Gaza|1952</t>
  </si>
  <si>
    <t>GM-04970</t>
  </si>
  <si>
    <t>GM-04971</t>
  </si>
  <si>
    <t>GM-04972</t>
  </si>
  <si>
    <t>West Bank and Gaza|1957</t>
  </si>
  <si>
    <t>GM-04973</t>
  </si>
  <si>
    <t>GM-04974</t>
  </si>
  <si>
    <t>GM-04975</t>
  </si>
  <si>
    <t>West Bank and Gaza|1962</t>
  </si>
  <si>
    <t>GM-04976</t>
  </si>
  <si>
    <t>GM-04977</t>
  </si>
  <si>
    <t>GM-04978</t>
  </si>
  <si>
    <t>West Bank and Gaza|1967</t>
  </si>
  <si>
    <t>GM-04979</t>
  </si>
  <si>
    <t>GM-04980</t>
  </si>
  <si>
    <t>GM-04981</t>
  </si>
  <si>
    <t>West Bank and Gaza|1972</t>
  </si>
  <si>
    <t>GM-04982</t>
  </si>
  <si>
    <t>GM-04983</t>
  </si>
  <si>
    <t>GM-04984</t>
  </si>
  <si>
    <t>West Bank and Gaza|1977</t>
  </si>
  <si>
    <t>GM-04985</t>
  </si>
  <si>
    <t>GM-04986</t>
  </si>
  <si>
    <t>GM-04987</t>
  </si>
  <si>
    <t>West Bank and Gaza|1982</t>
  </si>
  <si>
    <t>GM-04988</t>
  </si>
  <si>
    <t>GM-04989</t>
  </si>
  <si>
    <t>GM-04990</t>
  </si>
  <si>
    <t>West Bank and Gaza|1987</t>
  </si>
  <si>
    <t>GM-04991</t>
  </si>
  <si>
    <t>GM-04992</t>
  </si>
  <si>
    <t>GM-04993</t>
  </si>
  <si>
    <t>West Bank and Gaza|1992</t>
  </si>
  <si>
    <t>GM-04994</t>
  </si>
  <si>
    <t>GM-04995</t>
  </si>
  <si>
    <t>GM-04996</t>
  </si>
  <si>
    <t>West Bank and Gaza|1997</t>
  </si>
  <si>
    <t>GM-04997</t>
  </si>
  <si>
    <t>GM-04998</t>
  </si>
  <si>
    <t>GM-04999</t>
  </si>
  <si>
    <t>West Bank and Gaza|2002</t>
  </si>
  <si>
    <t>GM-05000</t>
  </si>
  <si>
    <t>GM-05001</t>
  </si>
  <si>
    <t>GM-05002</t>
  </si>
  <si>
    <t>West Bank and Gaza|2007</t>
  </si>
  <si>
    <t>GM-05003</t>
  </si>
  <si>
    <t>GM-05004</t>
  </si>
  <si>
    <t>GM-05005</t>
  </si>
  <si>
    <t>Yemen, Rep.</t>
  </si>
  <si>
    <t>Yemen, Rep.|1952</t>
  </si>
  <si>
    <t>GM-05006</t>
  </si>
  <si>
    <t>GM-05007</t>
  </si>
  <si>
    <t>GM-05008</t>
  </si>
  <si>
    <t>Yemen, Rep.|1957</t>
  </si>
  <si>
    <t>GM-05009</t>
  </si>
  <si>
    <t>GM-05010</t>
  </si>
  <si>
    <t>GM-05011</t>
  </si>
  <si>
    <t>Yemen, Rep.|1962</t>
  </si>
  <si>
    <t>GM-05012</t>
  </si>
  <si>
    <t>GM-05013</t>
  </si>
  <si>
    <t>GM-05014</t>
  </si>
  <si>
    <t>Yemen, Rep.|1967</t>
  </si>
  <si>
    <t>GM-05015</t>
  </si>
  <si>
    <t>GM-05016</t>
  </si>
  <si>
    <t>GM-05017</t>
  </si>
  <si>
    <t>Yemen, Rep.|1972</t>
  </si>
  <si>
    <t>GM-05018</t>
  </si>
  <si>
    <t>GM-05019</t>
  </si>
  <si>
    <t>GM-05020</t>
  </si>
  <si>
    <t>Yemen, Rep.|1977</t>
  </si>
  <si>
    <t>GM-05021</t>
  </si>
  <si>
    <t>GM-05022</t>
  </si>
  <si>
    <t>GM-05023</t>
  </si>
  <si>
    <t>Yemen, Rep.|1982</t>
  </si>
  <si>
    <t>GM-05024</t>
  </si>
  <si>
    <t>GM-05025</t>
  </si>
  <si>
    <t>GM-05026</t>
  </si>
  <si>
    <t>Yemen, Rep.|1987</t>
  </si>
  <si>
    <t>GM-05027</t>
  </si>
  <si>
    <t>GM-05028</t>
  </si>
  <si>
    <t>GM-05029</t>
  </si>
  <si>
    <t>Yemen, Rep.|1992</t>
  </si>
  <si>
    <t>GM-05030</t>
  </si>
  <si>
    <t>GM-05031</t>
  </si>
  <si>
    <t>GM-05032</t>
  </si>
  <si>
    <t>Yemen, Rep.|1997</t>
  </si>
  <si>
    <t>GM-05033</t>
  </si>
  <si>
    <t>GM-05034</t>
  </si>
  <si>
    <t>GM-05035</t>
  </si>
  <si>
    <t>Yemen, Rep.|2002</t>
  </si>
  <si>
    <t>GM-05036</t>
  </si>
  <si>
    <t>GM-05037</t>
  </si>
  <si>
    <t>GM-05038</t>
  </si>
  <si>
    <t>Yemen, Rep.|2007</t>
  </si>
  <si>
    <t>GM-05039</t>
  </si>
  <si>
    <t>GM-05040</t>
  </si>
  <si>
    <t>GM-05041</t>
  </si>
  <si>
    <t>Zambia</t>
  </si>
  <si>
    <t>Zambia|1952</t>
  </si>
  <si>
    <t>GM-05042</t>
  </si>
  <si>
    <t>GM-05043</t>
  </si>
  <si>
    <t>GM-05044</t>
  </si>
  <si>
    <t>Zambia|1957</t>
  </si>
  <si>
    <t>GM-05045</t>
  </si>
  <si>
    <t>GM-05046</t>
  </si>
  <si>
    <t>GM-05047</t>
  </si>
  <si>
    <t>Zambia|1962</t>
  </si>
  <si>
    <t>GM-05048</t>
  </si>
  <si>
    <t>GM-05049</t>
  </si>
  <si>
    <t>GM-05050</t>
  </si>
  <si>
    <t>Zambia|1967</t>
  </si>
  <si>
    <t>GM-05051</t>
  </si>
  <si>
    <t>GM-05052</t>
  </si>
  <si>
    <t>GM-05053</t>
  </si>
  <si>
    <t>Zambia|1972</t>
  </si>
  <si>
    <t>GM-05054</t>
  </si>
  <si>
    <t>GM-05055</t>
  </si>
  <si>
    <t>GM-05056</t>
  </si>
  <si>
    <t>Zambia|1977</t>
  </si>
  <si>
    <t>GM-05057</t>
  </si>
  <si>
    <t>GM-05058</t>
  </si>
  <si>
    <t>GM-05059</t>
  </si>
  <si>
    <t>Zambia|1982</t>
  </si>
  <si>
    <t>GM-05060</t>
  </si>
  <si>
    <t>GM-05061</t>
  </si>
  <si>
    <t>GM-05062</t>
  </si>
  <si>
    <t>Zambia|1987</t>
  </si>
  <si>
    <t>GM-05063</t>
  </si>
  <si>
    <t>GM-05064</t>
  </si>
  <si>
    <t>GM-05065</t>
  </si>
  <si>
    <t>Zambia|1992</t>
  </si>
  <si>
    <t>GM-05066</t>
  </si>
  <si>
    <t>GM-05067</t>
  </si>
  <si>
    <t>GM-05068</t>
  </si>
  <si>
    <t>Zambia|1997</t>
  </si>
  <si>
    <t>GM-05069</t>
  </si>
  <si>
    <t>GM-05070</t>
  </si>
  <si>
    <t>GM-05071</t>
  </si>
  <si>
    <t>Zambia|2002</t>
  </si>
  <si>
    <t>GM-05072</t>
  </si>
  <si>
    <t>GM-05073</t>
  </si>
  <si>
    <t>GM-05074</t>
  </si>
  <si>
    <t>Zambia|2007</t>
  </si>
  <si>
    <t>GM-05075</t>
  </si>
  <si>
    <t>GM-05076</t>
  </si>
  <si>
    <t>GM-05077</t>
  </si>
  <si>
    <t>Zimbabwe</t>
  </si>
  <si>
    <t>Zimbabwe|1952</t>
  </si>
  <si>
    <t>GM-05078</t>
  </si>
  <si>
    <t>GM-05079</t>
  </si>
  <si>
    <t>GM-05080</t>
  </si>
  <si>
    <t>Zimbabwe|1957</t>
  </si>
  <si>
    <t>GM-05081</t>
  </si>
  <si>
    <t>GM-05082</t>
  </si>
  <si>
    <t>GM-05083</t>
  </si>
  <si>
    <t>Zimbabwe|1962</t>
  </si>
  <si>
    <t>GM-05084</t>
  </si>
  <si>
    <t>GM-05085</t>
  </si>
  <si>
    <t>GM-05086</t>
  </si>
  <si>
    <t>Zimbabwe|1967</t>
  </si>
  <si>
    <t>GM-05087</t>
  </si>
  <si>
    <t>GM-05088</t>
  </si>
  <si>
    <t>GM-05089</t>
  </si>
  <si>
    <t>Zimbabwe|1972</t>
  </si>
  <si>
    <t>GM-05090</t>
  </si>
  <si>
    <t>GM-05091</t>
  </si>
  <si>
    <t>GM-05092</t>
  </si>
  <si>
    <t>Zimbabwe|1977</t>
  </si>
  <si>
    <t>GM-05093</t>
  </si>
  <si>
    <t>GM-05094</t>
  </si>
  <si>
    <t>GM-05095</t>
  </si>
  <si>
    <t>Zimbabwe|1982</t>
  </si>
  <si>
    <t>GM-05096</t>
  </si>
  <si>
    <t>GM-05097</t>
  </si>
  <si>
    <t>GM-05098</t>
  </si>
  <si>
    <t>Zimbabwe|1987</t>
  </si>
  <si>
    <t>GM-05099</t>
  </si>
  <si>
    <t>GM-05100</t>
  </si>
  <si>
    <t>GM-05101</t>
  </si>
  <si>
    <t>Zimbabwe|1992</t>
  </si>
  <si>
    <t>GM-05102</t>
  </si>
  <si>
    <t>GM-05103</t>
  </si>
  <si>
    <t>GM-05104</t>
  </si>
  <si>
    <t>Zimbabwe|1997</t>
  </si>
  <si>
    <t>GM-05105</t>
  </si>
  <si>
    <t>GM-05106</t>
  </si>
  <si>
    <t>GM-05107</t>
  </si>
  <si>
    <t>Zimbabwe|2002</t>
  </si>
  <si>
    <t>GM-05108</t>
  </si>
  <si>
    <t>GM-05109</t>
  </si>
  <si>
    <t>GM-05110</t>
  </si>
  <si>
    <t>Zimbabwe|2007</t>
  </si>
  <si>
    <t>GM-05111</t>
  </si>
  <si>
    <t>GM-05112</t>
  </si>
  <si>
    <t>Value_Check</t>
  </si>
  <si>
    <t>Decade</t>
  </si>
  <si>
    <t>Value_Band</t>
  </si>
  <si>
    <t>Dimension_Lookup</t>
  </si>
  <si>
    <t>Data Quality Checks</t>
  </si>
  <si>
    <t>Checks</t>
  </si>
  <si>
    <t>Formula / Method</t>
  </si>
  <si>
    <t>Result</t>
  </si>
  <si>
    <t>Interpretation</t>
  </si>
  <si>
    <t>Total observations</t>
  </si>
  <si>
    <t>COUNTA on Observation_ID</t>
  </si>
  <si>
    <t>5,112 observations available for analysis.</t>
  </si>
  <si>
    <t>Blank Observation IDs</t>
  </si>
  <si>
    <t>COUNTBLANK on Observation_ID</t>
  </si>
  <si>
    <t>No missing observation IDs identified.</t>
  </si>
  <si>
    <t>LIFE_EXP rows</t>
  </si>
  <si>
    <t>COUNTIF on Indicator_Code</t>
  </si>
  <si>
    <t>Balanced indicator coverage.</t>
  </si>
  <si>
    <t>POP_TOTAL rows</t>
  </si>
  <si>
    <t>GDP_PC rows</t>
  </si>
  <si>
    <t>Minimum year</t>
  </si>
  <si>
    <t>MIN on Year</t>
  </si>
  <si>
    <t>Earliest observation year.</t>
  </si>
  <si>
    <t>Maximum year</t>
  </si>
  <si>
    <t>MAX on Year</t>
  </si>
  <si>
    <t>Latest observation year.</t>
  </si>
  <si>
    <t>Minimum value</t>
  </si>
  <si>
    <t>MIN on Value</t>
  </si>
  <si>
    <t>No negative values identified</t>
  </si>
  <si>
    <t>Maximum value</t>
  </si>
  <si>
    <t>MAX on Value</t>
  </si>
  <si>
    <t>Maximum value in the dataset</t>
  </si>
  <si>
    <t>Rows needing review</t>
  </si>
  <si>
    <t>COUNTIF on Value_Check</t>
  </si>
  <si>
    <t>No negative or non-numeric values identified.</t>
  </si>
  <si>
    <t>Calculated Fields and Formula Analysis</t>
  </si>
  <si>
    <t>Field / Analysis</t>
  </si>
  <si>
    <t>Result / Purpose</t>
  </si>
  <si>
    <t>Comment</t>
  </si>
  <si>
    <t>IF + AND + ISNUMBER</t>
  </si>
  <si>
    <t>Flags invalid or negative values</t>
  </si>
  <si>
    <t>FLOOR</t>
  </si>
  <si>
    <t>Groups observation years into decades</t>
  </si>
  <si>
    <t>Nested IF</t>
  </si>
  <si>
    <t>Categorises life expectancy into Low/Medium/High</t>
  </si>
  <si>
    <t>Africa row count</t>
  </si>
  <si>
    <t>COUNTIF on Continent</t>
  </si>
  <si>
    <t>Counts observations recorded for Africa.</t>
  </si>
  <si>
    <t>Asia population total (2007)</t>
  </si>
  <si>
    <t>SUMIFS</t>
  </si>
  <si>
    <t>VLOOKUP</t>
  </si>
  <si>
    <t>Maps indicator codes to development dimensions</t>
  </si>
  <si>
    <t>Average life expectancy</t>
  </si>
  <si>
    <t>AVERAGEIF</t>
  </si>
  <si>
    <t>Average life expectancy across all country-year observations.</t>
  </si>
  <si>
    <t>Key Analytical Metrics</t>
  </si>
  <si>
    <t>Metric</t>
  </si>
  <si>
    <t>Africa life expectancy increase (1952–2007)</t>
  </si>
  <si>
    <t>Life expectancy in Africa increased by approximately 15.67 years between 1952 and 2007.</t>
  </si>
  <si>
    <t>Asia life expectancy increase (1952–2007)</t>
  </si>
  <si>
    <t>Life expectancy in Asia increased by approximately 24.41 years between 1952 and 2007.</t>
  </si>
  <si>
    <t>Highest 2007 life expectancy continent</t>
  </si>
  <si>
    <t>Oceania had the highest average life expectancy in 2007 at approximately 80.72 years.</t>
  </si>
  <si>
    <t>Highest 2007 GDP per capita continent</t>
  </si>
  <si>
    <t>Oceania had the highest average GDP per capita in 2007 at approximately 29,810.19.</t>
  </si>
  <si>
    <t>Largest 2007 population continent</t>
  </si>
  <si>
    <t>Asia had the largest population in 2007, with approximately 3.81 billion people represented in the dataset.</t>
  </si>
  <si>
    <t>Average of Value</t>
  </si>
  <si>
    <t>Grand Total</t>
  </si>
  <si>
    <t>Sum of Value</t>
  </si>
  <si>
    <t>GLOBAL DEVELOPMENT DASHBOARD</t>
  </si>
  <si>
    <t>Overall Avg Life Expectancy</t>
  </si>
  <si>
    <t>Africa Life Expentency Change</t>
  </si>
  <si>
    <t>Asia Life Expentency Change</t>
  </si>
  <si>
    <t>Largest 2007 Population</t>
  </si>
  <si>
    <t>59.47 years</t>
  </si>
  <si>
    <t>+15.67 years</t>
  </si>
  <si>
    <t>+24.41 years</t>
  </si>
  <si>
    <t>Asia · 3.81B</t>
  </si>
  <si>
    <t>KEY INSIGHTS</t>
  </si>
  <si>
    <r>
      <rPr>
        <b/>
        <sz val="11"/>
        <color rgb="FF000000"/>
        <rFont val="Calibri"/>
        <scheme val="minor"/>
      </rPr>
      <t xml:space="preserve">Life expectancy improved globally
</t>
    </r>
    <r>
      <rPr>
        <sz val="11"/>
        <color rgb="FF000000"/>
        <rFont val="Calibri"/>
        <scheme val="minor"/>
      </rPr>
      <t>Average life expectancy was 59.47 years, with long-term improvements across all continents.</t>
    </r>
  </si>
  <si>
    <r>
      <rPr>
        <b/>
        <sz val="11"/>
        <color rgb="FF000000"/>
        <rFont val="Calibri"/>
        <scheme val="minor"/>
      </rPr>
      <t xml:space="preserve">Asia recorded strong improvement
</t>
    </r>
    <r>
      <rPr>
        <sz val="11"/>
        <color rgb="FF000000"/>
        <rFont val="Calibri"/>
        <scheme val="minor"/>
      </rPr>
      <t>Average life expectancy increased by 24.41 years between 1952 and 2007.</t>
    </r>
  </si>
  <si>
    <r>
      <rPr>
        <b/>
        <sz val="11"/>
        <color rgb="FF000000"/>
        <rFont val="Calibri"/>
        <scheme val="minor"/>
      </rPr>
      <t xml:space="preserve">Oceania leads on 2007 outcomes
</t>
    </r>
    <r>
      <rPr>
        <sz val="11"/>
        <color rgb="FF000000"/>
        <rFont val="Calibri"/>
        <scheme val="minor"/>
      </rPr>
      <t xml:space="preserve">It recorded the highest average life expectancy (80.72 years) and GDP per capita (29,810.19) in 2007.
</t>
    </r>
  </si>
  <si>
    <r>
      <rPr>
        <b/>
        <sz val="11"/>
        <color rgb="FF000000"/>
        <rFont val="Calibri"/>
        <scheme val="minor"/>
      </rPr>
      <t xml:space="preserve">Asia dominates population size
</t>
    </r>
    <r>
      <rPr>
        <sz val="11"/>
        <color rgb="FF000000"/>
        <rFont val="Calibri"/>
        <scheme val="minor"/>
      </rPr>
      <t>Asia represented approximately 3.81 billion people in 2007, far exceeding every other continent.</t>
    </r>
  </si>
  <si>
    <t>Analysis: Life Expectancy, Population and GDP per Capita | 1952–2007</t>
  </si>
  <si>
    <t>UN Development Indicators — Analytical Insights Report</t>
  </si>
  <si>
    <t>Analysis Overview</t>
  </si>
  <si>
    <t>This analysis examines long-term patterns in life expectancy, population and GDP per capita across five continents between 1952 and 2007. The analysis uses cleaned indicator data, calculated fields and PivotTables to compare health, demographic and economic development.</t>
  </si>
  <si>
    <t>Key Findings</t>
  </si>
  <si>
    <t>Life Expectancy Improvement</t>
  </si>
  <si>
    <t>Average life expectancy increased across all five continents between 1952 and 2007. Asia recorded an increase of approximately 24.41 years, compared with approximately 15.67 years in Africa.</t>
  </si>
  <si>
    <t>Life Expectancy in 2007</t>
  </si>
  <si>
    <t>Oceania recorded the highest average life expectancy in 2007 at approximately 80.72 years, followed by Europe at approximately 77.65 years.</t>
  </si>
  <si>
    <t>Population Distribution</t>
  </si>
  <si>
    <t>Asia had the largest population represented in the dataset in 2007 at approximately 3.81 billion people, substantially exceeding the other continental groups.</t>
  </si>
  <si>
    <t>Economic Development</t>
  </si>
  <si>
    <t>Average GDP per capita increased substantially over the study period. In 2007, Oceania recorded the highest continental average at approximately 29,810.19, followed by Europe at approximately 25,054.48.</t>
  </si>
  <si>
    <t>Conclusion</t>
  </si>
  <si>
    <t>The results indicate broad improvements in health and economic indicators over time, although substantial differences remained between continents. The analysis also highlights that population size, economic output per person and health outcomes represent different dimensions of development and should be interpreted together rather than in isolation.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</si>
</sst>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1"/>
      <color rgb="FF000000"/>
      <name val="Calibri"/>
      <family val="2"/>
      <scheme val="minor"/>
    </font>
    <font>
      <b/>
      <sz val="18"/>
      <color theme="1"/>
      <name val="Calibri"/>
      <family val="2"/>
      <scheme val="minor"/>
    </font>
    <font>
      <sz val="12"/>
      <color theme="1"/>
      <name val="Calibri"/>
      <family val="2"/>
      <scheme val="minor"/>
    </font>
    <font>
      <b/>
      <sz val="24"/>
      <color theme="1"/>
      <name val="Calibri"/>
      <family val="2"/>
      <scheme val="minor"/>
    </font>
    <font>
      <sz val="14"/>
      <color theme="1"/>
      <name val="Calibri"/>
      <family val="2"/>
      <scheme val="minor"/>
    </font>
    <font>
      <b/>
      <sz val="12"/>
      <color rgb="FF000000"/>
      <name val="Calibri"/>
      <scheme val="minor"/>
    </font>
    <font>
      <b/>
      <sz val="11"/>
      <color theme="1"/>
      <name val="Calibri"/>
      <family val="2"/>
      <scheme val="minor"/>
    </font>
    <font>
      <b/>
      <sz val="12"/>
      <color theme="1"/>
      <name val="Calibri"/>
      <family val="2"/>
      <scheme val="minor"/>
    </font>
    <font>
      <b/>
      <sz val="16"/>
      <color theme="1"/>
      <name val="Calibri"/>
      <family val="2"/>
      <scheme val="minor"/>
    </font>
    <font>
      <b/>
      <sz val="11"/>
      <color rgb="FF000000"/>
      <name val="Calibri"/>
      <scheme val="minor"/>
    </font>
    <font>
      <sz val="11"/>
      <color rgb="FF000000"/>
      <name val="Calibri"/>
      <scheme val="minor"/>
    </font>
    <font>
      <b/>
      <sz val="14"/>
      <color rgb="FF000000"/>
      <name val="Calibri"/>
      <scheme val="minor"/>
    </font>
    <font>
      <b/>
      <sz val="11"/>
      <color rgb="FF000000"/>
      <name val="Calibri"/>
      <family val="2"/>
      <scheme val="minor"/>
    </font>
    <font>
      <b/>
      <sz val="12"/>
      <color rgb="FF000000"/>
      <name val="Calibri"/>
      <family val="2"/>
      <scheme val="minor"/>
    </font>
    <font>
      <b/>
      <sz val="16"/>
      <color rgb="FF000000"/>
      <name val="Calibri"/>
      <family val="2"/>
      <scheme val="minor"/>
    </font>
    <font>
      <b/>
      <sz val="14"/>
      <color rgb="FF000000"/>
      <name val="Calibri"/>
      <family val="2"/>
      <scheme val="minor"/>
    </font>
  </fonts>
  <fills count="3">
    <fill>
      <patternFill patternType="none"/>
    </fill>
    <fill>
      <patternFill patternType="gray125"/>
    </fill>
    <fill>
      <patternFill patternType="solid">
        <fgColor theme="2"/>
        <bgColor indexed="64"/>
      </patternFill>
    </fill>
  </fills>
  <borders count="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41">
    <xf numFmtId="0" fontId="0" fillId="0" borderId="0" xfId="0"/>
    <xf numFmtId="0" fontId="1" fillId="0" borderId="0" xfId="0" applyFont="1"/>
    <xf numFmtId="2" fontId="0" fillId="0" borderId="0" xfId="0" applyNumberFormat="1"/>
    <xf numFmtId="4" fontId="0" fillId="0" borderId="0" xfId="0" applyNumberFormat="1"/>
    <xf numFmtId="2" fontId="0" fillId="0" borderId="0" xfId="0" pivotButton="1" applyNumberFormat="1"/>
    <xf numFmtId="1" fontId="0" fillId="0" borderId="0" xfId="0" applyNumberFormat="1"/>
    <xf numFmtId="3" fontId="0" fillId="0" borderId="0" xfId="0" applyNumberFormat="1"/>
    <xf numFmtId="4" fontId="0" fillId="0" borderId="0" xfId="0" pivotButton="1" applyNumberFormat="1"/>
    <xf numFmtId="3" fontId="0" fillId="0" borderId="0" xfId="0" pivotButton="1" applyNumberFormat="1"/>
    <xf numFmtId="0" fontId="0" fillId="0" borderId="0" xfId="0" applyAlignment="1">
      <alignment horizontal="left"/>
    </xf>
    <xf numFmtId="1" fontId="0" fillId="0" borderId="0" xfId="0" applyNumberFormat="1" applyAlignment="1">
      <alignment horizontal="left"/>
    </xf>
    <xf numFmtId="3" fontId="1" fillId="0" borderId="0" xfId="0" applyNumberFormat="1" applyFont="1" applyAlignment="1">
      <alignment horizontal="left" wrapText="1"/>
    </xf>
    <xf numFmtId="0" fontId="3" fillId="0" borderId="0" xfId="0" applyFont="1" applyAlignment="1">
      <alignment horizontal="center" vertical="center"/>
    </xf>
    <xf numFmtId="0" fontId="4" fillId="0" borderId="0" xfId="0" applyFont="1" applyAlignment="1">
      <alignment horizontal="center" vertical="center"/>
    </xf>
    <xf numFmtId="0" fontId="0" fillId="0" borderId="0" xfId="0" applyAlignment="1">
      <alignment vertical="center"/>
    </xf>
    <xf numFmtId="0" fontId="0" fillId="0" borderId="0" xfId="0" applyAlignment="1">
      <alignment horizontal="center" vertical="center"/>
    </xf>
    <xf numFmtId="0" fontId="6" fillId="0" borderId="0" xfId="0" applyFont="1" applyAlignment="1">
      <alignment horizontal="center" vertical="center"/>
    </xf>
    <xf numFmtId="0" fontId="8" fillId="0" borderId="0" xfId="0" applyFont="1" applyAlignment="1">
      <alignment horizontal="center" vertical="center"/>
    </xf>
    <xf numFmtId="0" fontId="11" fillId="2" borderId="2" xfId="0" applyFont="1" applyFill="1" applyBorder="1" applyAlignment="1">
      <alignment horizontal="center" vertical="center" wrapText="1"/>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8" fillId="2" borderId="4" xfId="0" applyFont="1" applyFill="1" applyBorder="1" applyAlignment="1">
      <alignment horizontal="center" vertical="center"/>
    </xf>
    <xf numFmtId="0" fontId="8" fillId="2" borderId="2" xfId="0" applyFont="1" applyFill="1" applyBorder="1" applyAlignment="1">
      <alignment horizontal="center" vertical="center"/>
    </xf>
    <xf numFmtId="0" fontId="9" fillId="0" borderId="0" xfId="0" applyFont="1" applyAlignment="1">
      <alignment horizontal="center" vertical="top"/>
    </xf>
    <xf numFmtId="0" fontId="12" fillId="0" borderId="0" xfId="0" applyFont="1" applyAlignment="1">
      <alignment horizontal="center"/>
    </xf>
    <xf numFmtId="0" fontId="5" fillId="0" borderId="0" xfId="0" applyFont="1" applyAlignment="1">
      <alignment horizontal="center"/>
    </xf>
    <xf numFmtId="0" fontId="7" fillId="0" borderId="0" xfId="0" applyFont="1"/>
    <xf numFmtId="0" fontId="2" fillId="0" borderId="0" xfId="0" applyFont="1"/>
    <xf numFmtId="0" fontId="9" fillId="0" borderId="0" xfId="0" applyFont="1"/>
    <xf numFmtId="0" fontId="13" fillId="0" borderId="0" xfId="0" applyFont="1"/>
    <xf numFmtId="0" fontId="14" fillId="0" borderId="0" xfId="0" applyFont="1"/>
    <xf numFmtId="0" fontId="8" fillId="0" borderId="0" xfId="0" applyFont="1"/>
    <xf numFmtId="0" fontId="15" fillId="0" borderId="0" xfId="0" applyFont="1"/>
    <xf numFmtId="0" fontId="0" fillId="0" borderId="0" xfId="0" applyAlignment="1">
      <alignment wrapText="1"/>
    </xf>
    <xf numFmtId="0" fontId="0" fillId="0" borderId="0" xfId="0" applyAlignment="1">
      <alignment horizontal="left" vertical="center" wrapText="1"/>
    </xf>
    <xf numFmtId="0" fontId="16" fillId="0" borderId="0" xfId="0" applyFont="1"/>
    <xf numFmtId="0" fontId="1" fillId="0" borderId="0" xfId="0" applyFont="1" applyAlignment="1">
      <alignment wrapText="1"/>
    </xf>
    <xf numFmtId="0" fontId="16" fillId="0" borderId="0" xfId="0" applyFont="1" applyAlignment="1">
      <alignment wrapText="1"/>
    </xf>
    <xf numFmtId="0" fontId="7" fillId="0" borderId="1" xfId="0" applyFont="1" applyBorder="1"/>
    <xf numFmtId="0" fontId="0" fillId="0" borderId="0" xfId="0" applyAlignment="1">
      <alignment vertical="center" wrapText="1"/>
    </xf>
    <xf numFmtId="2" fontId="0" fillId="0" borderId="0" xfId="0" applyNumberFormat="1" applyAlignment="1">
      <alignment horizontal="left" vertical="center"/>
    </xf>
  </cellXfs>
  <cellStyles count="1">
    <cellStyle name="Normal" xfId="0" builtinId="0"/>
  </cellStyles>
  <dxfs count="71">
    <dxf>
      <numFmt numFmtId="0" formatCode="General"/>
    </dxf>
    <dxf>
      <numFmt numFmtId="0" formatCode="General"/>
    </dxf>
    <dxf>
      <numFmt numFmtId="0" formatCode="General"/>
    </dxf>
    <dxf>
      <numFmt numFmtId="0" formatCode="General"/>
    </dxf>
    <dxf>
      <font>
        <color rgb="FF9C0006"/>
      </font>
      <fill>
        <patternFill>
          <bgColor rgb="FFFFC7CE"/>
        </patternFill>
      </fill>
    </dxf>
    <dxf>
      <font>
        <color rgb="FF9C0006"/>
      </font>
      <fill>
        <patternFill>
          <bgColor rgb="FFFFC7CE"/>
        </patternFill>
      </fil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[Noor_Huda_UN_Excel_Analyst_Project.xlsx.xlsx]pivot_analysis!PivotTable1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Life Expectancy Trends by Continent (1952–2007)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pivot_analysis!$B$3:$B$4</c:f>
              <c:strCache>
                <c:ptCount val="1"/>
                <c:pt idx="0">
                  <c:v>Africa</c:v>
                </c:pt>
              </c:strCache>
            </c:strRef>
          </c:tx>
          <c:spPr>
            <a:ln w="28575" cap="rnd">
              <a:solidFill>
                <a:schemeClr val="accent1"/>
              </a:solidFill>
              <a:round/>
            </a:ln>
            <a:effectLst/>
          </c:spPr>
          <c:marker>
            <c:symbol val="none"/>
          </c:marker>
          <c:cat>
            <c:strRef>
              <c:f>pivot_analysis!$A$5:$A$17</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pivot_analysis!$B$5:$B$17</c:f>
              <c:numCache>
                <c:formatCode>0.00</c:formatCode>
                <c:ptCount val="12"/>
                <c:pt idx="0">
                  <c:v>39.135499999999993</c:v>
                </c:pt>
                <c:pt idx="1">
                  <c:v>41.26634615384615</c:v>
                </c:pt>
                <c:pt idx="2">
                  <c:v>43.319442307692306</c:v>
                </c:pt>
                <c:pt idx="3">
                  <c:v>45.334538461538465</c:v>
                </c:pt>
                <c:pt idx="4">
                  <c:v>47.450942307692308</c:v>
                </c:pt>
                <c:pt idx="5">
                  <c:v>49.580423076923076</c:v>
                </c:pt>
                <c:pt idx="6">
                  <c:v>51.592865384615386</c:v>
                </c:pt>
                <c:pt idx="7">
                  <c:v>53.344788461538457</c:v>
                </c:pt>
                <c:pt idx="8">
                  <c:v>53.629576923076911</c:v>
                </c:pt>
                <c:pt idx="9">
                  <c:v>53.59826923076924</c:v>
                </c:pt>
                <c:pt idx="10">
                  <c:v>53.325230769230764</c:v>
                </c:pt>
                <c:pt idx="11">
                  <c:v>54.806038461538478</c:v>
                </c:pt>
              </c:numCache>
            </c:numRef>
          </c:val>
          <c:smooth val="0"/>
          <c:extLst>
            <c:ext xmlns:c16="http://schemas.microsoft.com/office/drawing/2014/chart" uri="{C3380CC4-5D6E-409C-BE32-E72D297353CC}">
              <c16:uniqueId val="{00000000-13A5-48FC-A7EC-F99BE36D3D04}"/>
            </c:ext>
          </c:extLst>
        </c:ser>
        <c:ser>
          <c:idx val="1"/>
          <c:order val="1"/>
          <c:tx>
            <c:strRef>
              <c:f>pivot_analysis!$C$3:$C$4</c:f>
              <c:strCache>
                <c:ptCount val="1"/>
                <c:pt idx="0">
                  <c:v>Americas</c:v>
                </c:pt>
              </c:strCache>
            </c:strRef>
          </c:tx>
          <c:spPr>
            <a:ln w="28575" cap="rnd">
              <a:solidFill>
                <a:schemeClr val="accent2"/>
              </a:solidFill>
              <a:round/>
            </a:ln>
            <a:effectLst/>
          </c:spPr>
          <c:marker>
            <c:symbol val="none"/>
          </c:marker>
          <c:cat>
            <c:strRef>
              <c:f>pivot_analysis!$A$5:$A$17</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pivot_analysis!$C$5:$C$17</c:f>
              <c:numCache>
                <c:formatCode>0.00</c:formatCode>
                <c:ptCount val="12"/>
                <c:pt idx="0">
                  <c:v>53.279839999999993</c:v>
                </c:pt>
                <c:pt idx="1">
                  <c:v>55.96027999999999</c:v>
                </c:pt>
                <c:pt idx="2">
                  <c:v>58.398760000000003</c:v>
                </c:pt>
                <c:pt idx="3">
                  <c:v>60.410919999999997</c:v>
                </c:pt>
                <c:pt idx="4">
                  <c:v>62.394920000000013</c:v>
                </c:pt>
                <c:pt idx="5">
                  <c:v>64.391559999999984</c:v>
                </c:pt>
                <c:pt idx="6">
                  <c:v>66.228840000000019</c:v>
                </c:pt>
                <c:pt idx="7">
                  <c:v>68.09071999999999</c:v>
                </c:pt>
                <c:pt idx="8">
                  <c:v>69.568359999999998</c:v>
                </c:pt>
                <c:pt idx="9">
                  <c:v>71.150480000000002</c:v>
                </c:pt>
                <c:pt idx="10">
                  <c:v>72.422039999999996</c:v>
                </c:pt>
                <c:pt idx="11">
                  <c:v>73.608119999999971</c:v>
                </c:pt>
              </c:numCache>
            </c:numRef>
          </c:val>
          <c:smooth val="0"/>
          <c:extLst>
            <c:ext xmlns:c16="http://schemas.microsoft.com/office/drawing/2014/chart" uri="{C3380CC4-5D6E-409C-BE32-E72D297353CC}">
              <c16:uniqueId val="{00000019-13A5-48FC-A7EC-F99BE36D3D04}"/>
            </c:ext>
          </c:extLst>
        </c:ser>
        <c:ser>
          <c:idx val="2"/>
          <c:order val="2"/>
          <c:tx>
            <c:strRef>
              <c:f>pivot_analysis!$D$3:$D$4</c:f>
              <c:strCache>
                <c:ptCount val="1"/>
                <c:pt idx="0">
                  <c:v>Asia</c:v>
                </c:pt>
              </c:strCache>
            </c:strRef>
          </c:tx>
          <c:spPr>
            <a:ln w="28575" cap="rnd">
              <a:solidFill>
                <a:schemeClr val="accent3"/>
              </a:solidFill>
              <a:round/>
            </a:ln>
            <a:effectLst/>
          </c:spPr>
          <c:marker>
            <c:symbol val="none"/>
          </c:marker>
          <c:cat>
            <c:strRef>
              <c:f>pivot_analysis!$A$5:$A$17</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pivot_analysis!$D$5:$D$17</c:f>
              <c:numCache>
                <c:formatCode>0.00</c:formatCode>
                <c:ptCount val="12"/>
                <c:pt idx="0">
                  <c:v>46.314393939393931</c:v>
                </c:pt>
                <c:pt idx="1">
                  <c:v>49.318544242424238</c:v>
                </c:pt>
                <c:pt idx="2">
                  <c:v>51.563223030303035</c:v>
                </c:pt>
                <c:pt idx="3">
                  <c:v>54.663639999999994</c:v>
                </c:pt>
                <c:pt idx="4">
                  <c:v>57.319269090909089</c:v>
                </c:pt>
                <c:pt idx="5">
                  <c:v>59.610556363636356</c:v>
                </c:pt>
                <c:pt idx="6">
                  <c:v>62.617939393939388</c:v>
                </c:pt>
                <c:pt idx="7">
                  <c:v>64.8511818181818</c:v>
                </c:pt>
                <c:pt idx="8">
                  <c:v>66.537212121212121</c:v>
                </c:pt>
                <c:pt idx="9">
                  <c:v>68.020515151515141</c:v>
                </c:pt>
                <c:pt idx="10">
                  <c:v>69.233878787878766</c:v>
                </c:pt>
                <c:pt idx="11">
                  <c:v>70.728484848484854</c:v>
                </c:pt>
              </c:numCache>
            </c:numRef>
          </c:val>
          <c:smooth val="0"/>
          <c:extLst>
            <c:ext xmlns:c16="http://schemas.microsoft.com/office/drawing/2014/chart" uri="{C3380CC4-5D6E-409C-BE32-E72D297353CC}">
              <c16:uniqueId val="{0000001A-13A5-48FC-A7EC-F99BE36D3D04}"/>
            </c:ext>
          </c:extLst>
        </c:ser>
        <c:ser>
          <c:idx val="3"/>
          <c:order val="3"/>
          <c:tx>
            <c:strRef>
              <c:f>pivot_analysis!$E$3:$E$4</c:f>
              <c:strCache>
                <c:ptCount val="1"/>
                <c:pt idx="0">
                  <c:v>Europe</c:v>
                </c:pt>
              </c:strCache>
            </c:strRef>
          </c:tx>
          <c:spPr>
            <a:ln w="28575" cap="rnd">
              <a:solidFill>
                <a:schemeClr val="accent4"/>
              </a:solidFill>
              <a:round/>
            </a:ln>
            <a:effectLst/>
          </c:spPr>
          <c:marker>
            <c:symbol val="none"/>
          </c:marker>
          <c:cat>
            <c:strRef>
              <c:f>pivot_analysis!$A$5:$A$17</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pivot_analysis!$E$5:$E$17</c:f>
              <c:numCache>
                <c:formatCode>0.00</c:formatCode>
                <c:ptCount val="12"/>
                <c:pt idx="0">
                  <c:v>64.408500000000018</c:v>
                </c:pt>
                <c:pt idx="1">
                  <c:v>66.703066666666672</c:v>
                </c:pt>
                <c:pt idx="2">
                  <c:v>68.539233333333343</c:v>
                </c:pt>
                <c:pt idx="3">
                  <c:v>69.737599999999986</c:v>
                </c:pt>
                <c:pt idx="4">
                  <c:v>70.77503333333334</c:v>
                </c:pt>
                <c:pt idx="5">
                  <c:v>71.937766666666676</c:v>
                </c:pt>
                <c:pt idx="6">
                  <c:v>72.806399999999996</c:v>
                </c:pt>
                <c:pt idx="7">
                  <c:v>73.642166666666682</c:v>
                </c:pt>
                <c:pt idx="8">
                  <c:v>74.440100000000001</c:v>
                </c:pt>
                <c:pt idx="9">
                  <c:v>75.505166666666668</c:v>
                </c:pt>
                <c:pt idx="10">
                  <c:v>76.70059999999998</c:v>
                </c:pt>
                <c:pt idx="11">
                  <c:v>77.648600000000016</c:v>
                </c:pt>
              </c:numCache>
            </c:numRef>
          </c:val>
          <c:smooth val="0"/>
          <c:extLst>
            <c:ext xmlns:c16="http://schemas.microsoft.com/office/drawing/2014/chart" uri="{C3380CC4-5D6E-409C-BE32-E72D297353CC}">
              <c16:uniqueId val="{0000001B-13A5-48FC-A7EC-F99BE36D3D04}"/>
            </c:ext>
          </c:extLst>
        </c:ser>
        <c:ser>
          <c:idx val="4"/>
          <c:order val="4"/>
          <c:tx>
            <c:strRef>
              <c:f>pivot_analysis!$F$3:$F$4</c:f>
              <c:strCache>
                <c:ptCount val="1"/>
                <c:pt idx="0">
                  <c:v>Oceania</c:v>
                </c:pt>
              </c:strCache>
            </c:strRef>
          </c:tx>
          <c:spPr>
            <a:ln w="28575" cap="rnd">
              <a:solidFill>
                <a:schemeClr val="accent5"/>
              </a:solidFill>
              <a:round/>
            </a:ln>
            <a:effectLst/>
          </c:spPr>
          <c:marker>
            <c:symbol val="none"/>
          </c:marker>
          <c:cat>
            <c:strRef>
              <c:f>pivot_analysis!$A$5:$A$17</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pivot_analysis!$F$5:$F$17</c:f>
              <c:numCache>
                <c:formatCode>0.00</c:formatCode>
                <c:ptCount val="12"/>
                <c:pt idx="0">
                  <c:v>69.254999999999995</c:v>
                </c:pt>
                <c:pt idx="1">
                  <c:v>70.295000000000002</c:v>
                </c:pt>
                <c:pt idx="2">
                  <c:v>71.085000000000008</c:v>
                </c:pt>
                <c:pt idx="3">
                  <c:v>71.31</c:v>
                </c:pt>
                <c:pt idx="4">
                  <c:v>71.91</c:v>
                </c:pt>
                <c:pt idx="5">
                  <c:v>72.85499999999999</c:v>
                </c:pt>
                <c:pt idx="6">
                  <c:v>74.289999999999992</c:v>
                </c:pt>
                <c:pt idx="7">
                  <c:v>75.319999999999993</c:v>
                </c:pt>
                <c:pt idx="8">
                  <c:v>76.944999999999993</c:v>
                </c:pt>
                <c:pt idx="9">
                  <c:v>78.19</c:v>
                </c:pt>
                <c:pt idx="10">
                  <c:v>79.740000000000009</c:v>
                </c:pt>
                <c:pt idx="11">
                  <c:v>80.719499999999996</c:v>
                </c:pt>
              </c:numCache>
            </c:numRef>
          </c:val>
          <c:smooth val="0"/>
          <c:extLst>
            <c:ext xmlns:c16="http://schemas.microsoft.com/office/drawing/2014/chart" uri="{C3380CC4-5D6E-409C-BE32-E72D297353CC}">
              <c16:uniqueId val="{0000001C-13A5-48FC-A7EC-F99BE36D3D04}"/>
            </c:ext>
          </c:extLst>
        </c:ser>
        <c:dLbls>
          <c:showLegendKey val="0"/>
          <c:showVal val="0"/>
          <c:showCatName val="0"/>
          <c:showSerName val="0"/>
          <c:showPercent val="0"/>
          <c:showBubbleSize val="0"/>
        </c:dLbls>
        <c:smooth val="0"/>
        <c:axId val="2052934152"/>
        <c:axId val="260939783"/>
      </c:lineChart>
      <c:catAx>
        <c:axId val="2052934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939783"/>
        <c:crosses val="autoZero"/>
        <c:auto val="1"/>
        <c:lblAlgn val="ctr"/>
        <c:lblOffset val="100"/>
        <c:noMultiLvlLbl val="0"/>
      </c:catAx>
      <c:valAx>
        <c:axId val="2609397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934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[Noor_Huda_UN_Excel_Analyst_Project.xlsx.xlsx]pivot_analysis!PivotTable2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Population by Continent (2007)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pivot_analysis!$B$22</c:f>
              <c:strCache>
                <c:ptCount val="1"/>
                <c:pt idx="0">
                  <c:v>Total</c:v>
                </c:pt>
              </c:strCache>
            </c:strRef>
          </c:tx>
          <c:spPr>
            <a:solidFill>
              <a:schemeClr val="accent1"/>
            </a:solidFill>
            <a:ln>
              <a:noFill/>
            </a:ln>
            <a:effectLst/>
          </c:spPr>
          <c:invertIfNegative val="0"/>
          <c:cat>
            <c:strRef>
              <c:f>pivot_analysis!$A$23:$A$28</c:f>
              <c:strCache>
                <c:ptCount val="5"/>
                <c:pt idx="0">
                  <c:v>Africa</c:v>
                </c:pt>
                <c:pt idx="1">
                  <c:v>Americas</c:v>
                </c:pt>
                <c:pt idx="2">
                  <c:v>Asia</c:v>
                </c:pt>
                <c:pt idx="3">
                  <c:v>Europe</c:v>
                </c:pt>
                <c:pt idx="4">
                  <c:v>Oceania</c:v>
                </c:pt>
              </c:strCache>
            </c:strRef>
          </c:cat>
          <c:val>
            <c:numRef>
              <c:f>pivot_analysis!$B$23:$B$28</c:f>
              <c:numCache>
                <c:formatCode>#,##0</c:formatCode>
                <c:ptCount val="5"/>
                <c:pt idx="0">
                  <c:v>929539692</c:v>
                </c:pt>
                <c:pt idx="1">
                  <c:v>898871184</c:v>
                </c:pt>
                <c:pt idx="2">
                  <c:v>3811953827</c:v>
                </c:pt>
                <c:pt idx="3">
                  <c:v>586098529</c:v>
                </c:pt>
                <c:pt idx="4">
                  <c:v>24549947</c:v>
                </c:pt>
              </c:numCache>
            </c:numRef>
          </c:val>
          <c:extLst>
            <c:ext xmlns:c16="http://schemas.microsoft.com/office/drawing/2014/chart" uri="{C3380CC4-5D6E-409C-BE32-E72D297353CC}">
              <c16:uniqueId val="{00000000-A1C0-4DEF-9BA2-368D35198043}"/>
            </c:ext>
          </c:extLst>
        </c:ser>
        <c:dLbls>
          <c:showLegendKey val="0"/>
          <c:showVal val="0"/>
          <c:showCatName val="0"/>
          <c:showSerName val="0"/>
          <c:showPercent val="0"/>
          <c:showBubbleSize val="0"/>
        </c:dLbls>
        <c:gapWidth val="219"/>
        <c:overlap val="-27"/>
        <c:axId val="258822151"/>
        <c:axId val="258824199"/>
      </c:barChart>
      <c:catAx>
        <c:axId val="258822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24199"/>
        <c:crosses val="autoZero"/>
        <c:auto val="1"/>
        <c:lblAlgn val="ctr"/>
        <c:lblOffset val="100"/>
        <c:noMultiLvlLbl val="0"/>
      </c:catAx>
      <c:valAx>
        <c:axId val="2588241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22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[Noor_Huda_UN_Excel_Analyst_Project.xlsx.xlsx]pivot_analysis!PivotTable3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GDP per Capita by Continent (1952–2007)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pivot_analysis!$B$34:$B$35</c:f>
              <c:strCache>
                <c:ptCount val="1"/>
                <c:pt idx="0">
                  <c:v>Africa</c:v>
                </c:pt>
              </c:strCache>
            </c:strRef>
          </c:tx>
          <c:spPr>
            <a:ln w="28575" cap="rnd">
              <a:solidFill>
                <a:schemeClr val="accent1"/>
              </a:solidFill>
              <a:round/>
            </a:ln>
            <a:effectLst/>
          </c:spPr>
          <c:marker>
            <c:symbol val="none"/>
          </c:marker>
          <c:cat>
            <c:strRef>
              <c:f>pivot_analysis!$A$36:$A$48</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pivot_analysis!$B$36:$B$48</c:f>
              <c:numCache>
                <c:formatCode>#,##0.00</c:formatCode>
                <c:ptCount val="12"/>
                <c:pt idx="0">
                  <c:v>1252.5724658211539</c:v>
                </c:pt>
                <c:pt idx="1">
                  <c:v>1385.2360622557685</c:v>
                </c:pt>
                <c:pt idx="2">
                  <c:v>1598.0788248461531</c:v>
                </c:pt>
                <c:pt idx="3">
                  <c:v>2050.3638008576927</c:v>
                </c:pt>
                <c:pt idx="4">
                  <c:v>2339.6156741980767</c:v>
                </c:pt>
                <c:pt idx="5">
                  <c:v>2585.9385084634609</c:v>
                </c:pt>
                <c:pt idx="6">
                  <c:v>2481.5929597538461</c:v>
                </c:pt>
                <c:pt idx="7">
                  <c:v>2282.6689912596153</c:v>
                </c:pt>
                <c:pt idx="8">
                  <c:v>2281.8103332442306</c:v>
                </c:pt>
                <c:pt idx="9">
                  <c:v>2378.7595551019226</c:v>
                </c:pt>
                <c:pt idx="10">
                  <c:v>2599.3851588903849</c:v>
                </c:pt>
                <c:pt idx="11">
                  <c:v>3089.0326047365384</c:v>
                </c:pt>
              </c:numCache>
            </c:numRef>
          </c:val>
          <c:smooth val="0"/>
          <c:extLst>
            <c:ext xmlns:c16="http://schemas.microsoft.com/office/drawing/2014/chart" uri="{C3380CC4-5D6E-409C-BE32-E72D297353CC}">
              <c16:uniqueId val="{00000000-148C-418E-AAF2-E1D07A68EAA9}"/>
            </c:ext>
          </c:extLst>
        </c:ser>
        <c:ser>
          <c:idx val="1"/>
          <c:order val="1"/>
          <c:tx>
            <c:strRef>
              <c:f>pivot_analysis!$C$34:$C$35</c:f>
              <c:strCache>
                <c:ptCount val="1"/>
                <c:pt idx="0">
                  <c:v>Americas</c:v>
                </c:pt>
              </c:strCache>
            </c:strRef>
          </c:tx>
          <c:spPr>
            <a:ln w="28575" cap="rnd">
              <a:solidFill>
                <a:schemeClr val="accent2"/>
              </a:solidFill>
              <a:round/>
            </a:ln>
            <a:effectLst/>
          </c:spPr>
          <c:marker>
            <c:symbol val="none"/>
          </c:marker>
          <c:cat>
            <c:strRef>
              <c:f>pivot_analysis!$A$36:$A$48</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pivot_analysis!$C$36:$C$48</c:f>
              <c:numCache>
                <c:formatCode>#,##0.00</c:formatCode>
                <c:ptCount val="12"/>
                <c:pt idx="0">
                  <c:v>4079.0625521999991</c:v>
                </c:pt>
                <c:pt idx="1">
                  <c:v>4616.0437331599987</c:v>
                </c:pt>
                <c:pt idx="2">
                  <c:v>4901.5418704000003</c:v>
                </c:pt>
                <c:pt idx="3">
                  <c:v>5668.2534960399998</c:v>
                </c:pt>
                <c:pt idx="4">
                  <c:v>6491.3341390399992</c:v>
                </c:pt>
                <c:pt idx="5">
                  <c:v>7352.0071262799984</c:v>
                </c:pt>
                <c:pt idx="6">
                  <c:v>7506.7370880799999</c:v>
                </c:pt>
                <c:pt idx="7">
                  <c:v>7793.4002611200003</c:v>
                </c:pt>
                <c:pt idx="8">
                  <c:v>8044.9344055199981</c:v>
                </c:pt>
                <c:pt idx="9">
                  <c:v>8889.3008625600014</c:v>
                </c:pt>
                <c:pt idx="10">
                  <c:v>9287.677107319998</c:v>
                </c:pt>
                <c:pt idx="11">
                  <c:v>11003.031625359999</c:v>
                </c:pt>
              </c:numCache>
            </c:numRef>
          </c:val>
          <c:smooth val="0"/>
          <c:extLst>
            <c:ext xmlns:c16="http://schemas.microsoft.com/office/drawing/2014/chart" uri="{C3380CC4-5D6E-409C-BE32-E72D297353CC}">
              <c16:uniqueId val="{00000019-148C-418E-AAF2-E1D07A68EAA9}"/>
            </c:ext>
          </c:extLst>
        </c:ser>
        <c:ser>
          <c:idx val="2"/>
          <c:order val="2"/>
          <c:tx>
            <c:strRef>
              <c:f>pivot_analysis!$D$34:$D$35</c:f>
              <c:strCache>
                <c:ptCount val="1"/>
                <c:pt idx="0">
                  <c:v>Asia</c:v>
                </c:pt>
              </c:strCache>
            </c:strRef>
          </c:tx>
          <c:spPr>
            <a:ln w="28575" cap="rnd">
              <a:solidFill>
                <a:schemeClr val="accent3"/>
              </a:solidFill>
              <a:round/>
            </a:ln>
            <a:effectLst/>
          </c:spPr>
          <c:marker>
            <c:symbol val="none"/>
          </c:marker>
          <c:cat>
            <c:strRef>
              <c:f>pivot_analysis!$A$36:$A$48</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pivot_analysis!$D$36:$D$48</c:f>
              <c:numCache>
                <c:formatCode>#,##0.00</c:formatCode>
                <c:ptCount val="12"/>
                <c:pt idx="0">
                  <c:v>5195.4840040393938</c:v>
                </c:pt>
                <c:pt idx="1">
                  <c:v>5787.7329399424225</c:v>
                </c:pt>
                <c:pt idx="2">
                  <c:v>5729.3696247757571</c:v>
                </c:pt>
                <c:pt idx="3">
                  <c:v>5971.1733736060614</c:v>
                </c:pt>
                <c:pt idx="4">
                  <c:v>8187.4686994484846</c:v>
                </c:pt>
                <c:pt idx="5">
                  <c:v>7791.3140199303034</c:v>
                </c:pt>
                <c:pt idx="6">
                  <c:v>7434.1351574848477</c:v>
                </c:pt>
                <c:pt idx="7">
                  <c:v>7608.2265077303045</c:v>
                </c:pt>
                <c:pt idx="8">
                  <c:v>8639.6902477303047</c:v>
                </c:pt>
                <c:pt idx="9">
                  <c:v>9834.0932952484873</c:v>
                </c:pt>
                <c:pt idx="10">
                  <c:v>10174.090396578786</c:v>
                </c:pt>
                <c:pt idx="11">
                  <c:v>12473.026870133332</c:v>
                </c:pt>
              </c:numCache>
            </c:numRef>
          </c:val>
          <c:smooth val="0"/>
          <c:extLst>
            <c:ext xmlns:c16="http://schemas.microsoft.com/office/drawing/2014/chart" uri="{C3380CC4-5D6E-409C-BE32-E72D297353CC}">
              <c16:uniqueId val="{0000001A-148C-418E-AAF2-E1D07A68EAA9}"/>
            </c:ext>
          </c:extLst>
        </c:ser>
        <c:ser>
          <c:idx val="3"/>
          <c:order val="3"/>
          <c:tx>
            <c:strRef>
              <c:f>pivot_analysis!$E$34:$E$35</c:f>
              <c:strCache>
                <c:ptCount val="1"/>
                <c:pt idx="0">
                  <c:v>Europe</c:v>
                </c:pt>
              </c:strCache>
            </c:strRef>
          </c:tx>
          <c:spPr>
            <a:ln w="28575" cap="rnd">
              <a:solidFill>
                <a:schemeClr val="accent4"/>
              </a:solidFill>
              <a:round/>
            </a:ln>
            <a:effectLst/>
          </c:spPr>
          <c:marker>
            <c:symbol val="none"/>
          </c:marker>
          <c:cat>
            <c:strRef>
              <c:f>pivot_analysis!$A$36:$A$48</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pivot_analysis!$E$36:$E$48</c:f>
              <c:numCache>
                <c:formatCode>#,##0.00</c:formatCode>
                <c:ptCount val="12"/>
                <c:pt idx="0">
                  <c:v>5661.0574347599986</c:v>
                </c:pt>
                <c:pt idx="1">
                  <c:v>6963.0128159333344</c:v>
                </c:pt>
                <c:pt idx="2">
                  <c:v>8365.4868143000003</c:v>
                </c:pt>
                <c:pt idx="3">
                  <c:v>10143.823756533331</c:v>
                </c:pt>
                <c:pt idx="4">
                  <c:v>12479.575246466666</c:v>
                </c:pt>
                <c:pt idx="5">
                  <c:v>14283.979109599995</c:v>
                </c:pt>
                <c:pt idx="6">
                  <c:v>15617.896551233333</c:v>
                </c:pt>
                <c:pt idx="7">
                  <c:v>17214.310726633335</c:v>
                </c:pt>
                <c:pt idx="8">
                  <c:v>17061.568084200007</c:v>
                </c:pt>
                <c:pt idx="9">
                  <c:v>19076.781801600002</c:v>
                </c:pt>
                <c:pt idx="10">
                  <c:v>21711.732422433328</c:v>
                </c:pt>
                <c:pt idx="11">
                  <c:v>25054.481635933334</c:v>
                </c:pt>
              </c:numCache>
            </c:numRef>
          </c:val>
          <c:smooth val="0"/>
          <c:extLst>
            <c:ext xmlns:c16="http://schemas.microsoft.com/office/drawing/2014/chart" uri="{C3380CC4-5D6E-409C-BE32-E72D297353CC}">
              <c16:uniqueId val="{0000001B-148C-418E-AAF2-E1D07A68EAA9}"/>
            </c:ext>
          </c:extLst>
        </c:ser>
        <c:ser>
          <c:idx val="4"/>
          <c:order val="4"/>
          <c:tx>
            <c:strRef>
              <c:f>pivot_analysis!$F$34:$F$35</c:f>
              <c:strCache>
                <c:ptCount val="1"/>
                <c:pt idx="0">
                  <c:v>Oceania</c:v>
                </c:pt>
              </c:strCache>
            </c:strRef>
          </c:tx>
          <c:spPr>
            <a:ln w="28575" cap="rnd">
              <a:solidFill>
                <a:schemeClr val="accent5"/>
              </a:solidFill>
              <a:round/>
            </a:ln>
            <a:effectLst/>
          </c:spPr>
          <c:marker>
            <c:symbol val="none"/>
          </c:marker>
          <c:cat>
            <c:strRef>
              <c:f>pivot_analysis!$A$36:$A$48</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pivot_analysis!$F$36:$F$48</c:f>
              <c:numCache>
                <c:formatCode>#,##0.00</c:formatCode>
                <c:ptCount val="12"/>
                <c:pt idx="0">
                  <c:v>10298.085650000001</c:v>
                </c:pt>
                <c:pt idx="1">
                  <c:v>11598.522455</c:v>
                </c:pt>
                <c:pt idx="2">
                  <c:v>12696.452430000001</c:v>
                </c:pt>
                <c:pt idx="3">
                  <c:v>14495.021789999999</c:v>
                </c:pt>
                <c:pt idx="4">
                  <c:v>16417.33338</c:v>
                </c:pt>
                <c:pt idx="5">
                  <c:v>17283.957605</c:v>
                </c:pt>
                <c:pt idx="6">
                  <c:v>18554.70984</c:v>
                </c:pt>
                <c:pt idx="7">
                  <c:v>20448.040159999997</c:v>
                </c:pt>
                <c:pt idx="8">
                  <c:v>20894.045885</c:v>
                </c:pt>
                <c:pt idx="9">
                  <c:v>24024.175170000002</c:v>
                </c:pt>
                <c:pt idx="10">
                  <c:v>26938.778040000001</c:v>
                </c:pt>
                <c:pt idx="11">
                  <c:v>29810.188274999949</c:v>
                </c:pt>
              </c:numCache>
            </c:numRef>
          </c:val>
          <c:smooth val="0"/>
          <c:extLst>
            <c:ext xmlns:c16="http://schemas.microsoft.com/office/drawing/2014/chart" uri="{C3380CC4-5D6E-409C-BE32-E72D297353CC}">
              <c16:uniqueId val="{0000001C-148C-418E-AAF2-E1D07A68EAA9}"/>
            </c:ext>
          </c:extLst>
        </c:ser>
        <c:dLbls>
          <c:showLegendKey val="0"/>
          <c:showVal val="0"/>
          <c:showCatName val="0"/>
          <c:showSerName val="0"/>
          <c:showPercent val="0"/>
          <c:showBubbleSize val="0"/>
        </c:dLbls>
        <c:smooth val="0"/>
        <c:axId val="1989781512"/>
        <c:axId val="2052373512"/>
      </c:lineChart>
      <c:catAx>
        <c:axId val="1989781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373512"/>
        <c:crosses val="autoZero"/>
        <c:auto val="1"/>
        <c:lblAlgn val="ctr"/>
        <c:lblOffset val="100"/>
        <c:noMultiLvlLbl val="0"/>
      </c:catAx>
      <c:valAx>
        <c:axId val="20523735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781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[Noor_Huda_UN_Excel_Analyst_Project.xlsx.xlsx]pivot_analysis!PivotTable1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Life Expectancy Trends by Continent (1952–2007)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pivot_analysis!$B$3:$B$4</c:f>
              <c:strCache>
                <c:ptCount val="1"/>
                <c:pt idx="0">
                  <c:v>Africa</c:v>
                </c:pt>
              </c:strCache>
            </c:strRef>
          </c:tx>
          <c:spPr>
            <a:ln w="28575" cap="rnd">
              <a:solidFill>
                <a:schemeClr val="accent1"/>
              </a:solidFill>
              <a:round/>
            </a:ln>
            <a:effectLst/>
          </c:spPr>
          <c:marker>
            <c:symbol val="none"/>
          </c:marker>
          <c:cat>
            <c:strRef>
              <c:f>pivot_analysis!$A$5:$A$17</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pivot_analysis!$B$5:$B$17</c:f>
              <c:numCache>
                <c:formatCode>0.00</c:formatCode>
                <c:ptCount val="12"/>
                <c:pt idx="0">
                  <c:v>39.135499999999993</c:v>
                </c:pt>
                <c:pt idx="1">
                  <c:v>41.26634615384615</c:v>
                </c:pt>
                <c:pt idx="2">
                  <c:v>43.319442307692306</c:v>
                </c:pt>
                <c:pt idx="3">
                  <c:v>45.334538461538465</c:v>
                </c:pt>
                <c:pt idx="4">
                  <c:v>47.450942307692308</c:v>
                </c:pt>
                <c:pt idx="5">
                  <c:v>49.580423076923076</c:v>
                </c:pt>
                <c:pt idx="6">
                  <c:v>51.592865384615386</c:v>
                </c:pt>
                <c:pt idx="7">
                  <c:v>53.344788461538457</c:v>
                </c:pt>
                <c:pt idx="8">
                  <c:v>53.629576923076911</c:v>
                </c:pt>
                <c:pt idx="9">
                  <c:v>53.59826923076924</c:v>
                </c:pt>
                <c:pt idx="10">
                  <c:v>53.325230769230764</c:v>
                </c:pt>
                <c:pt idx="11">
                  <c:v>54.806038461538478</c:v>
                </c:pt>
              </c:numCache>
            </c:numRef>
          </c:val>
          <c:smooth val="0"/>
          <c:extLst>
            <c:ext xmlns:c16="http://schemas.microsoft.com/office/drawing/2014/chart" uri="{C3380CC4-5D6E-409C-BE32-E72D297353CC}">
              <c16:uniqueId val="{00000000-3391-4BDC-9942-645A0F45FB81}"/>
            </c:ext>
          </c:extLst>
        </c:ser>
        <c:ser>
          <c:idx val="1"/>
          <c:order val="1"/>
          <c:tx>
            <c:strRef>
              <c:f>pivot_analysis!$C$3:$C$4</c:f>
              <c:strCache>
                <c:ptCount val="1"/>
                <c:pt idx="0">
                  <c:v>Americas</c:v>
                </c:pt>
              </c:strCache>
            </c:strRef>
          </c:tx>
          <c:spPr>
            <a:ln w="28575" cap="rnd">
              <a:solidFill>
                <a:schemeClr val="accent2"/>
              </a:solidFill>
              <a:round/>
            </a:ln>
            <a:effectLst/>
          </c:spPr>
          <c:marker>
            <c:symbol val="none"/>
          </c:marker>
          <c:cat>
            <c:strRef>
              <c:f>pivot_analysis!$A$5:$A$17</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pivot_analysis!$C$5:$C$17</c:f>
              <c:numCache>
                <c:formatCode>0.00</c:formatCode>
                <c:ptCount val="12"/>
                <c:pt idx="0">
                  <c:v>53.279839999999993</c:v>
                </c:pt>
                <c:pt idx="1">
                  <c:v>55.96027999999999</c:v>
                </c:pt>
                <c:pt idx="2">
                  <c:v>58.398760000000003</c:v>
                </c:pt>
                <c:pt idx="3">
                  <c:v>60.410919999999997</c:v>
                </c:pt>
                <c:pt idx="4">
                  <c:v>62.394920000000013</c:v>
                </c:pt>
                <c:pt idx="5">
                  <c:v>64.391559999999984</c:v>
                </c:pt>
                <c:pt idx="6">
                  <c:v>66.228840000000019</c:v>
                </c:pt>
                <c:pt idx="7">
                  <c:v>68.09071999999999</c:v>
                </c:pt>
                <c:pt idx="8">
                  <c:v>69.568359999999998</c:v>
                </c:pt>
                <c:pt idx="9">
                  <c:v>71.150480000000002</c:v>
                </c:pt>
                <c:pt idx="10">
                  <c:v>72.422039999999996</c:v>
                </c:pt>
                <c:pt idx="11">
                  <c:v>73.608119999999971</c:v>
                </c:pt>
              </c:numCache>
            </c:numRef>
          </c:val>
          <c:smooth val="0"/>
          <c:extLst>
            <c:ext xmlns:c16="http://schemas.microsoft.com/office/drawing/2014/chart" uri="{C3380CC4-5D6E-409C-BE32-E72D297353CC}">
              <c16:uniqueId val="{00000001-3391-4BDC-9942-645A0F45FB81}"/>
            </c:ext>
          </c:extLst>
        </c:ser>
        <c:ser>
          <c:idx val="2"/>
          <c:order val="2"/>
          <c:tx>
            <c:strRef>
              <c:f>pivot_analysis!$D$3:$D$4</c:f>
              <c:strCache>
                <c:ptCount val="1"/>
                <c:pt idx="0">
                  <c:v>Asia</c:v>
                </c:pt>
              </c:strCache>
            </c:strRef>
          </c:tx>
          <c:spPr>
            <a:ln w="28575" cap="rnd">
              <a:solidFill>
                <a:schemeClr val="accent3"/>
              </a:solidFill>
              <a:round/>
            </a:ln>
            <a:effectLst/>
          </c:spPr>
          <c:marker>
            <c:symbol val="none"/>
          </c:marker>
          <c:cat>
            <c:strRef>
              <c:f>pivot_analysis!$A$5:$A$17</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pivot_analysis!$D$5:$D$17</c:f>
              <c:numCache>
                <c:formatCode>0.00</c:formatCode>
                <c:ptCount val="12"/>
                <c:pt idx="0">
                  <c:v>46.314393939393931</c:v>
                </c:pt>
                <c:pt idx="1">
                  <c:v>49.318544242424238</c:v>
                </c:pt>
                <c:pt idx="2">
                  <c:v>51.563223030303035</c:v>
                </c:pt>
                <c:pt idx="3">
                  <c:v>54.663639999999994</c:v>
                </c:pt>
                <c:pt idx="4">
                  <c:v>57.319269090909089</c:v>
                </c:pt>
                <c:pt idx="5">
                  <c:v>59.610556363636356</c:v>
                </c:pt>
                <c:pt idx="6">
                  <c:v>62.617939393939388</c:v>
                </c:pt>
                <c:pt idx="7">
                  <c:v>64.8511818181818</c:v>
                </c:pt>
                <c:pt idx="8">
                  <c:v>66.537212121212121</c:v>
                </c:pt>
                <c:pt idx="9">
                  <c:v>68.020515151515141</c:v>
                </c:pt>
                <c:pt idx="10">
                  <c:v>69.233878787878766</c:v>
                </c:pt>
                <c:pt idx="11">
                  <c:v>70.728484848484854</c:v>
                </c:pt>
              </c:numCache>
            </c:numRef>
          </c:val>
          <c:smooth val="0"/>
          <c:extLst>
            <c:ext xmlns:c16="http://schemas.microsoft.com/office/drawing/2014/chart" uri="{C3380CC4-5D6E-409C-BE32-E72D297353CC}">
              <c16:uniqueId val="{00000002-3391-4BDC-9942-645A0F45FB81}"/>
            </c:ext>
          </c:extLst>
        </c:ser>
        <c:ser>
          <c:idx val="3"/>
          <c:order val="3"/>
          <c:tx>
            <c:strRef>
              <c:f>pivot_analysis!$E$3:$E$4</c:f>
              <c:strCache>
                <c:ptCount val="1"/>
                <c:pt idx="0">
                  <c:v>Europe</c:v>
                </c:pt>
              </c:strCache>
            </c:strRef>
          </c:tx>
          <c:spPr>
            <a:ln w="28575" cap="rnd">
              <a:solidFill>
                <a:schemeClr val="accent4"/>
              </a:solidFill>
              <a:round/>
            </a:ln>
            <a:effectLst/>
          </c:spPr>
          <c:marker>
            <c:symbol val="none"/>
          </c:marker>
          <c:cat>
            <c:strRef>
              <c:f>pivot_analysis!$A$5:$A$17</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pivot_analysis!$E$5:$E$17</c:f>
              <c:numCache>
                <c:formatCode>0.00</c:formatCode>
                <c:ptCount val="12"/>
                <c:pt idx="0">
                  <c:v>64.408500000000018</c:v>
                </c:pt>
                <c:pt idx="1">
                  <c:v>66.703066666666672</c:v>
                </c:pt>
                <c:pt idx="2">
                  <c:v>68.539233333333343</c:v>
                </c:pt>
                <c:pt idx="3">
                  <c:v>69.737599999999986</c:v>
                </c:pt>
                <c:pt idx="4">
                  <c:v>70.77503333333334</c:v>
                </c:pt>
                <c:pt idx="5">
                  <c:v>71.937766666666676</c:v>
                </c:pt>
                <c:pt idx="6">
                  <c:v>72.806399999999996</c:v>
                </c:pt>
                <c:pt idx="7">
                  <c:v>73.642166666666682</c:v>
                </c:pt>
                <c:pt idx="8">
                  <c:v>74.440100000000001</c:v>
                </c:pt>
                <c:pt idx="9">
                  <c:v>75.505166666666668</c:v>
                </c:pt>
                <c:pt idx="10">
                  <c:v>76.70059999999998</c:v>
                </c:pt>
                <c:pt idx="11">
                  <c:v>77.648600000000016</c:v>
                </c:pt>
              </c:numCache>
            </c:numRef>
          </c:val>
          <c:smooth val="0"/>
          <c:extLst>
            <c:ext xmlns:c16="http://schemas.microsoft.com/office/drawing/2014/chart" uri="{C3380CC4-5D6E-409C-BE32-E72D297353CC}">
              <c16:uniqueId val="{00000003-3391-4BDC-9942-645A0F45FB81}"/>
            </c:ext>
          </c:extLst>
        </c:ser>
        <c:ser>
          <c:idx val="4"/>
          <c:order val="4"/>
          <c:tx>
            <c:strRef>
              <c:f>pivot_analysis!$F$3:$F$4</c:f>
              <c:strCache>
                <c:ptCount val="1"/>
                <c:pt idx="0">
                  <c:v>Oceania</c:v>
                </c:pt>
              </c:strCache>
            </c:strRef>
          </c:tx>
          <c:spPr>
            <a:ln w="28575" cap="rnd">
              <a:solidFill>
                <a:schemeClr val="accent5"/>
              </a:solidFill>
              <a:round/>
            </a:ln>
            <a:effectLst/>
          </c:spPr>
          <c:marker>
            <c:symbol val="none"/>
          </c:marker>
          <c:cat>
            <c:strRef>
              <c:f>pivot_analysis!$A$5:$A$17</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pivot_analysis!$F$5:$F$17</c:f>
              <c:numCache>
                <c:formatCode>0.00</c:formatCode>
                <c:ptCount val="12"/>
                <c:pt idx="0">
                  <c:v>69.254999999999995</c:v>
                </c:pt>
                <c:pt idx="1">
                  <c:v>70.295000000000002</c:v>
                </c:pt>
                <c:pt idx="2">
                  <c:v>71.085000000000008</c:v>
                </c:pt>
                <c:pt idx="3">
                  <c:v>71.31</c:v>
                </c:pt>
                <c:pt idx="4">
                  <c:v>71.91</c:v>
                </c:pt>
                <c:pt idx="5">
                  <c:v>72.85499999999999</c:v>
                </c:pt>
                <c:pt idx="6">
                  <c:v>74.289999999999992</c:v>
                </c:pt>
                <c:pt idx="7">
                  <c:v>75.319999999999993</c:v>
                </c:pt>
                <c:pt idx="8">
                  <c:v>76.944999999999993</c:v>
                </c:pt>
                <c:pt idx="9">
                  <c:v>78.19</c:v>
                </c:pt>
                <c:pt idx="10">
                  <c:v>79.740000000000009</c:v>
                </c:pt>
                <c:pt idx="11">
                  <c:v>80.719499999999996</c:v>
                </c:pt>
              </c:numCache>
            </c:numRef>
          </c:val>
          <c:smooth val="0"/>
          <c:extLst>
            <c:ext xmlns:c16="http://schemas.microsoft.com/office/drawing/2014/chart" uri="{C3380CC4-5D6E-409C-BE32-E72D297353CC}">
              <c16:uniqueId val="{00000004-3391-4BDC-9942-645A0F45FB81}"/>
            </c:ext>
          </c:extLst>
        </c:ser>
        <c:dLbls>
          <c:showLegendKey val="0"/>
          <c:showVal val="0"/>
          <c:showCatName val="0"/>
          <c:showSerName val="0"/>
          <c:showPercent val="0"/>
          <c:showBubbleSize val="0"/>
        </c:dLbls>
        <c:smooth val="0"/>
        <c:axId val="2052934152"/>
        <c:axId val="260939783"/>
      </c:lineChart>
      <c:catAx>
        <c:axId val="2052934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939783"/>
        <c:crosses val="autoZero"/>
        <c:auto val="1"/>
        <c:lblAlgn val="ctr"/>
        <c:lblOffset val="100"/>
        <c:noMultiLvlLbl val="0"/>
      </c:catAx>
      <c:valAx>
        <c:axId val="260939783"/>
        <c:scaling>
          <c:orientation val="minMax"/>
          <c:min val="3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Life Expectancy (Years)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934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[Noor_Huda_UN_Excel_Analyst_Project.xlsx.xlsx]pivot_analysis!PivotTable2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Population by Continent (2007)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pivot_analysis!$A$23:$A$28</c:f>
              <c:strCache>
                <c:ptCount val="5"/>
                <c:pt idx="0">
                  <c:v>Africa</c:v>
                </c:pt>
                <c:pt idx="1">
                  <c:v>Americas</c:v>
                </c:pt>
                <c:pt idx="2">
                  <c:v>Asia</c:v>
                </c:pt>
                <c:pt idx="3">
                  <c:v>Europe</c:v>
                </c:pt>
                <c:pt idx="4">
                  <c:v>Oceania</c:v>
                </c:pt>
              </c:strCache>
            </c:strRef>
          </c:cat>
          <c:val>
            <c:numRef>
              <c:f>pivot_analysis!$B$23:$B$28</c:f>
              <c:numCache>
                <c:formatCode>#,##0</c:formatCode>
                <c:ptCount val="5"/>
                <c:pt idx="0">
                  <c:v>929539692</c:v>
                </c:pt>
                <c:pt idx="1">
                  <c:v>898871184</c:v>
                </c:pt>
                <c:pt idx="2">
                  <c:v>3811953827</c:v>
                </c:pt>
                <c:pt idx="3">
                  <c:v>586098529</c:v>
                </c:pt>
                <c:pt idx="4">
                  <c:v>24549947</c:v>
                </c:pt>
              </c:numCache>
            </c:numRef>
          </c:val>
          <c:extLst>
            <c:ext xmlns:c16="http://schemas.microsoft.com/office/drawing/2014/chart" uri="{C3380CC4-5D6E-409C-BE32-E72D297353CC}">
              <c16:uniqueId val="{00000000-80CE-4535-910A-2F91F6235358}"/>
            </c:ext>
          </c:extLst>
        </c:ser>
        <c:dLbls>
          <c:showLegendKey val="0"/>
          <c:showVal val="0"/>
          <c:showCatName val="0"/>
          <c:showSerName val="0"/>
          <c:showPercent val="0"/>
          <c:showBubbleSize val="0"/>
        </c:dLbls>
        <c:gapWidth val="219"/>
        <c:overlap val="-27"/>
        <c:axId val="258822151"/>
        <c:axId val="258824199"/>
      </c:barChart>
      <c:catAx>
        <c:axId val="258822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24199"/>
        <c:crosses val="autoZero"/>
        <c:auto val="1"/>
        <c:lblAlgn val="ctr"/>
        <c:lblOffset val="100"/>
        <c:noMultiLvlLbl val="0"/>
      </c:catAx>
      <c:valAx>
        <c:axId val="258824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Population (Billions)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22151"/>
        <c:crosses val="autoZero"/>
        <c:crossBetween val="between"/>
        <c:majorUnit val="5000000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[Noor_Huda_UN_Excel_Analyst_Project.xlsx.xlsx]pivot_analysis!PivotTable3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GDP per Capita by Continent (1952–2007)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pivot_analysis!$B$34:$B$35</c:f>
              <c:strCache>
                <c:ptCount val="1"/>
                <c:pt idx="0">
                  <c:v>Africa</c:v>
                </c:pt>
              </c:strCache>
            </c:strRef>
          </c:tx>
          <c:spPr>
            <a:ln w="28575" cap="rnd">
              <a:solidFill>
                <a:schemeClr val="accent1"/>
              </a:solidFill>
              <a:round/>
            </a:ln>
            <a:effectLst/>
          </c:spPr>
          <c:marker>
            <c:symbol val="none"/>
          </c:marker>
          <c:cat>
            <c:strRef>
              <c:f>pivot_analysis!$A$36:$A$48</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pivot_analysis!$B$36:$B$48</c:f>
              <c:numCache>
                <c:formatCode>#,##0.00</c:formatCode>
                <c:ptCount val="12"/>
                <c:pt idx="0">
                  <c:v>1252.5724658211539</c:v>
                </c:pt>
                <c:pt idx="1">
                  <c:v>1385.2360622557685</c:v>
                </c:pt>
                <c:pt idx="2">
                  <c:v>1598.0788248461531</c:v>
                </c:pt>
                <c:pt idx="3">
                  <c:v>2050.3638008576927</c:v>
                </c:pt>
                <c:pt idx="4">
                  <c:v>2339.6156741980767</c:v>
                </c:pt>
                <c:pt idx="5">
                  <c:v>2585.9385084634609</c:v>
                </c:pt>
                <c:pt idx="6">
                  <c:v>2481.5929597538461</c:v>
                </c:pt>
                <c:pt idx="7">
                  <c:v>2282.6689912596153</c:v>
                </c:pt>
                <c:pt idx="8">
                  <c:v>2281.8103332442306</c:v>
                </c:pt>
                <c:pt idx="9">
                  <c:v>2378.7595551019226</c:v>
                </c:pt>
                <c:pt idx="10">
                  <c:v>2599.3851588903849</c:v>
                </c:pt>
                <c:pt idx="11">
                  <c:v>3089.0326047365384</c:v>
                </c:pt>
              </c:numCache>
            </c:numRef>
          </c:val>
          <c:smooth val="0"/>
          <c:extLst>
            <c:ext xmlns:c16="http://schemas.microsoft.com/office/drawing/2014/chart" uri="{C3380CC4-5D6E-409C-BE32-E72D297353CC}">
              <c16:uniqueId val="{00000000-A6E4-4B13-B647-888F777C23A5}"/>
            </c:ext>
          </c:extLst>
        </c:ser>
        <c:ser>
          <c:idx val="1"/>
          <c:order val="1"/>
          <c:tx>
            <c:strRef>
              <c:f>pivot_analysis!$C$34:$C$35</c:f>
              <c:strCache>
                <c:ptCount val="1"/>
                <c:pt idx="0">
                  <c:v>Americas</c:v>
                </c:pt>
              </c:strCache>
            </c:strRef>
          </c:tx>
          <c:spPr>
            <a:ln w="28575" cap="rnd">
              <a:solidFill>
                <a:schemeClr val="accent2"/>
              </a:solidFill>
              <a:round/>
            </a:ln>
            <a:effectLst/>
          </c:spPr>
          <c:marker>
            <c:symbol val="none"/>
          </c:marker>
          <c:cat>
            <c:strRef>
              <c:f>pivot_analysis!$A$36:$A$48</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pivot_analysis!$C$36:$C$48</c:f>
              <c:numCache>
                <c:formatCode>#,##0.00</c:formatCode>
                <c:ptCount val="12"/>
                <c:pt idx="0">
                  <c:v>4079.0625521999991</c:v>
                </c:pt>
                <c:pt idx="1">
                  <c:v>4616.0437331599987</c:v>
                </c:pt>
                <c:pt idx="2">
                  <c:v>4901.5418704000003</c:v>
                </c:pt>
                <c:pt idx="3">
                  <c:v>5668.2534960399998</c:v>
                </c:pt>
                <c:pt idx="4">
                  <c:v>6491.3341390399992</c:v>
                </c:pt>
                <c:pt idx="5">
                  <c:v>7352.0071262799984</c:v>
                </c:pt>
                <c:pt idx="6">
                  <c:v>7506.7370880799999</c:v>
                </c:pt>
                <c:pt idx="7">
                  <c:v>7793.4002611200003</c:v>
                </c:pt>
                <c:pt idx="8">
                  <c:v>8044.9344055199981</c:v>
                </c:pt>
                <c:pt idx="9">
                  <c:v>8889.3008625600014</c:v>
                </c:pt>
                <c:pt idx="10">
                  <c:v>9287.677107319998</c:v>
                </c:pt>
                <c:pt idx="11">
                  <c:v>11003.031625359999</c:v>
                </c:pt>
              </c:numCache>
            </c:numRef>
          </c:val>
          <c:smooth val="0"/>
          <c:extLst>
            <c:ext xmlns:c16="http://schemas.microsoft.com/office/drawing/2014/chart" uri="{C3380CC4-5D6E-409C-BE32-E72D297353CC}">
              <c16:uniqueId val="{00000001-A6E4-4B13-B647-888F777C23A5}"/>
            </c:ext>
          </c:extLst>
        </c:ser>
        <c:ser>
          <c:idx val="2"/>
          <c:order val="2"/>
          <c:tx>
            <c:strRef>
              <c:f>pivot_analysis!$D$34:$D$35</c:f>
              <c:strCache>
                <c:ptCount val="1"/>
                <c:pt idx="0">
                  <c:v>Asia</c:v>
                </c:pt>
              </c:strCache>
            </c:strRef>
          </c:tx>
          <c:spPr>
            <a:ln w="28575" cap="rnd">
              <a:solidFill>
                <a:schemeClr val="accent3"/>
              </a:solidFill>
              <a:round/>
            </a:ln>
            <a:effectLst/>
          </c:spPr>
          <c:marker>
            <c:symbol val="none"/>
          </c:marker>
          <c:cat>
            <c:strRef>
              <c:f>pivot_analysis!$A$36:$A$48</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pivot_analysis!$D$36:$D$48</c:f>
              <c:numCache>
                <c:formatCode>#,##0.00</c:formatCode>
                <c:ptCount val="12"/>
                <c:pt idx="0">
                  <c:v>5195.4840040393938</c:v>
                </c:pt>
                <c:pt idx="1">
                  <c:v>5787.7329399424225</c:v>
                </c:pt>
                <c:pt idx="2">
                  <c:v>5729.3696247757571</c:v>
                </c:pt>
                <c:pt idx="3">
                  <c:v>5971.1733736060614</c:v>
                </c:pt>
                <c:pt idx="4">
                  <c:v>8187.4686994484846</c:v>
                </c:pt>
                <c:pt idx="5">
                  <c:v>7791.3140199303034</c:v>
                </c:pt>
                <c:pt idx="6">
                  <c:v>7434.1351574848477</c:v>
                </c:pt>
                <c:pt idx="7">
                  <c:v>7608.2265077303045</c:v>
                </c:pt>
                <c:pt idx="8">
                  <c:v>8639.6902477303047</c:v>
                </c:pt>
                <c:pt idx="9">
                  <c:v>9834.0932952484873</c:v>
                </c:pt>
                <c:pt idx="10">
                  <c:v>10174.090396578786</c:v>
                </c:pt>
                <c:pt idx="11">
                  <c:v>12473.026870133332</c:v>
                </c:pt>
              </c:numCache>
            </c:numRef>
          </c:val>
          <c:smooth val="0"/>
          <c:extLst>
            <c:ext xmlns:c16="http://schemas.microsoft.com/office/drawing/2014/chart" uri="{C3380CC4-5D6E-409C-BE32-E72D297353CC}">
              <c16:uniqueId val="{00000002-A6E4-4B13-B647-888F777C23A5}"/>
            </c:ext>
          </c:extLst>
        </c:ser>
        <c:ser>
          <c:idx val="3"/>
          <c:order val="3"/>
          <c:tx>
            <c:strRef>
              <c:f>pivot_analysis!$E$34:$E$35</c:f>
              <c:strCache>
                <c:ptCount val="1"/>
                <c:pt idx="0">
                  <c:v>Europe</c:v>
                </c:pt>
              </c:strCache>
            </c:strRef>
          </c:tx>
          <c:spPr>
            <a:ln w="28575" cap="rnd">
              <a:solidFill>
                <a:schemeClr val="accent4"/>
              </a:solidFill>
              <a:round/>
            </a:ln>
            <a:effectLst/>
          </c:spPr>
          <c:marker>
            <c:symbol val="none"/>
          </c:marker>
          <c:cat>
            <c:strRef>
              <c:f>pivot_analysis!$A$36:$A$48</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pivot_analysis!$E$36:$E$48</c:f>
              <c:numCache>
                <c:formatCode>#,##0.00</c:formatCode>
                <c:ptCount val="12"/>
                <c:pt idx="0">
                  <c:v>5661.0574347599986</c:v>
                </c:pt>
                <c:pt idx="1">
                  <c:v>6963.0128159333344</c:v>
                </c:pt>
                <c:pt idx="2">
                  <c:v>8365.4868143000003</c:v>
                </c:pt>
                <c:pt idx="3">
                  <c:v>10143.823756533331</c:v>
                </c:pt>
                <c:pt idx="4">
                  <c:v>12479.575246466666</c:v>
                </c:pt>
                <c:pt idx="5">
                  <c:v>14283.979109599995</c:v>
                </c:pt>
                <c:pt idx="6">
                  <c:v>15617.896551233333</c:v>
                </c:pt>
                <c:pt idx="7">
                  <c:v>17214.310726633335</c:v>
                </c:pt>
                <c:pt idx="8">
                  <c:v>17061.568084200007</c:v>
                </c:pt>
                <c:pt idx="9">
                  <c:v>19076.781801600002</c:v>
                </c:pt>
                <c:pt idx="10">
                  <c:v>21711.732422433328</c:v>
                </c:pt>
                <c:pt idx="11">
                  <c:v>25054.481635933334</c:v>
                </c:pt>
              </c:numCache>
            </c:numRef>
          </c:val>
          <c:smooth val="0"/>
          <c:extLst>
            <c:ext xmlns:c16="http://schemas.microsoft.com/office/drawing/2014/chart" uri="{C3380CC4-5D6E-409C-BE32-E72D297353CC}">
              <c16:uniqueId val="{00000003-A6E4-4B13-B647-888F777C23A5}"/>
            </c:ext>
          </c:extLst>
        </c:ser>
        <c:ser>
          <c:idx val="4"/>
          <c:order val="4"/>
          <c:tx>
            <c:strRef>
              <c:f>pivot_analysis!$F$34:$F$35</c:f>
              <c:strCache>
                <c:ptCount val="1"/>
                <c:pt idx="0">
                  <c:v>Oceania</c:v>
                </c:pt>
              </c:strCache>
            </c:strRef>
          </c:tx>
          <c:spPr>
            <a:ln w="28575" cap="rnd">
              <a:solidFill>
                <a:schemeClr val="accent5"/>
              </a:solidFill>
              <a:round/>
            </a:ln>
            <a:effectLst/>
          </c:spPr>
          <c:marker>
            <c:symbol val="none"/>
          </c:marker>
          <c:cat>
            <c:strRef>
              <c:f>pivot_analysis!$A$36:$A$48</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pivot_analysis!$F$36:$F$48</c:f>
              <c:numCache>
                <c:formatCode>#,##0.00</c:formatCode>
                <c:ptCount val="12"/>
                <c:pt idx="0">
                  <c:v>10298.085650000001</c:v>
                </c:pt>
                <c:pt idx="1">
                  <c:v>11598.522455</c:v>
                </c:pt>
                <c:pt idx="2">
                  <c:v>12696.452430000001</c:v>
                </c:pt>
                <c:pt idx="3">
                  <c:v>14495.021789999999</c:v>
                </c:pt>
                <c:pt idx="4">
                  <c:v>16417.33338</c:v>
                </c:pt>
                <c:pt idx="5">
                  <c:v>17283.957605</c:v>
                </c:pt>
                <c:pt idx="6">
                  <c:v>18554.70984</c:v>
                </c:pt>
                <c:pt idx="7">
                  <c:v>20448.040159999997</c:v>
                </c:pt>
                <c:pt idx="8">
                  <c:v>20894.045885</c:v>
                </c:pt>
                <c:pt idx="9">
                  <c:v>24024.175170000002</c:v>
                </c:pt>
                <c:pt idx="10">
                  <c:v>26938.778040000001</c:v>
                </c:pt>
                <c:pt idx="11">
                  <c:v>29810.188274999949</c:v>
                </c:pt>
              </c:numCache>
            </c:numRef>
          </c:val>
          <c:smooth val="0"/>
          <c:extLst>
            <c:ext xmlns:c16="http://schemas.microsoft.com/office/drawing/2014/chart" uri="{C3380CC4-5D6E-409C-BE32-E72D297353CC}">
              <c16:uniqueId val="{00000004-A6E4-4B13-B647-888F777C23A5}"/>
            </c:ext>
          </c:extLst>
        </c:ser>
        <c:dLbls>
          <c:showLegendKey val="0"/>
          <c:showVal val="0"/>
          <c:showCatName val="0"/>
          <c:showSerName val="0"/>
          <c:showPercent val="0"/>
          <c:showBubbleSize val="0"/>
        </c:dLbls>
        <c:smooth val="0"/>
        <c:axId val="1989781512"/>
        <c:axId val="2052373512"/>
      </c:lineChart>
      <c:catAx>
        <c:axId val="1989781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373512"/>
        <c:crosses val="autoZero"/>
        <c:auto val="1"/>
        <c:lblAlgn val="ctr"/>
        <c:lblOffset val="100"/>
        <c:noMultiLvlLbl val="0"/>
      </c:catAx>
      <c:valAx>
        <c:axId val="2052373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GDP per Capita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781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[Noor_Huda_UN_Excel_Analyst_Project.xlsx.xlsx]pivot_analysis!PivotTable1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Life Expectancy Trends by Continent (1952–2007)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pivot_analysis!$B$3:$B$4</c:f>
              <c:strCache>
                <c:ptCount val="1"/>
                <c:pt idx="0">
                  <c:v>Africa</c:v>
                </c:pt>
              </c:strCache>
            </c:strRef>
          </c:tx>
          <c:spPr>
            <a:ln w="28575" cap="rnd">
              <a:solidFill>
                <a:schemeClr val="accent1"/>
              </a:solidFill>
              <a:round/>
            </a:ln>
            <a:effectLst/>
          </c:spPr>
          <c:marker>
            <c:symbol val="none"/>
          </c:marker>
          <c:cat>
            <c:strRef>
              <c:f>pivot_analysis!$A$5:$A$17</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pivot_analysis!$B$5:$B$17</c:f>
              <c:numCache>
                <c:formatCode>0.00</c:formatCode>
                <c:ptCount val="12"/>
                <c:pt idx="0">
                  <c:v>39.135499999999993</c:v>
                </c:pt>
                <c:pt idx="1">
                  <c:v>41.26634615384615</c:v>
                </c:pt>
                <c:pt idx="2">
                  <c:v>43.319442307692306</c:v>
                </c:pt>
                <c:pt idx="3">
                  <c:v>45.334538461538465</c:v>
                </c:pt>
                <c:pt idx="4">
                  <c:v>47.450942307692308</c:v>
                </c:pt>
                <c:pt idx="5">
                  <c:v>49.580423076923076</c:v>
                </c:pt>
                <c:pt idx="6">
                  <c:v>51.592865384615386</c:v>
                </c:pt>
                <c:pt idx="7">
                  <c:v>53.344788461538457</c:v>
                </c:pt>
                <c:pt idx="8">
                  <c:v>53.629576923076911</c:v>
                </c:pt>
                <c:pt idx="9">
                  <c:v>53.59826923076924</c:v>
                </c:pt>
                <c:pt idx="10">
                  <c:v>53.325230769230764</c:v>
                </c:pt>
                <c:pt idx="11">
                  <c:v>54.806038461538478</c:v>
                </c:pt>
              </c:numCache>
            </c:numRef>
          </c:val>
          <c:smooth val="0"/>
          <c:extLst>
            <c:ext xmlns:c16="http://schemas.microsoft.com/office/drawing/2014/chart" uri="{C3380CC4-5D6E-409C-BE32-E72D297353CC}">
              <c16:uniqueId val="{00000000-6A5B-49E3-AAE3-796BB16DD606}"/>
            </c:ext>
          </c:extLst>
        </c:ser>
        <c:ser>
          <c:idx val="1"/>
          <c:order val="1"/>
          <c:tx>
            <c:strRef>
              <c:f>pivot_analysis!$C$3:$C$4</c:f>
              <c:strCache>
                <c:ptCount val="1"/>
                <c:pt idx="0">
                  <c:v>Americas</c:v>
                </c:pt>
              </c:strCache>
            </c:strRef>
          </c:tx>
          <c:spPr>
            <a:ln w="28575" cap="rnd">
              <a:solidFill>
                <a:schemeClr val="accent2"/>
              </a:solidFill>
              <a:round/>
            </a:ln>
            <a:effectLst/>
          </c:spPr>
          <c:marker>
            <c:symbol val="none"/>
          </c:marker>
          <c:cat>
            <c:strRef>
              <c:f>pivot_analysis!$A$5:$A$17</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pivot_analysis!$C$5:$C$17</c:f>
              <c:numCache>
                <c:formatCode>0.00</c:formatCode>
                <c:ptCount val="12"/>
                <c:pt idx="0">
                  <c:v>53.279839999999993</c:v>
                </c:pt>
                <c:pt idx="1">
                  <c:v>55.96027999999999</c:v>
                </c:pt>
                <c:pt idx="2">
                  <c:v>58.398760000000003</c:v>
                </c:pt>
                <c:pt idx="3">
                  <c:v>60.410919999999997</c:v>
                </c:pt>
                <c:pt idx="4">
                  <c:v>62.394920000000013</c:v>
                </c:pt>
                <c:pt idx="5">
                  <c:v>64.391559999999984</c:v>
                </c:pt>
                <c:pt idx="6">
                  <c:v>66.228840000000019</c:v>
                </c:pt>
                <c:pt idx="7">
                  <c:v>68.09071999999999</c:v>
                </c:pt>
                <c:pt idx="8">
                  <c:v>69.568359999999998</c:v>
                </c:pt>
                <c:pt idx="9">
                  <c:v>71.150480000000002</c:v>
                </c:pt>
                <c:pt idx="10">
                  <c:v>72.422039999999996</c:v>
                </c:pt>
                <c:pt idx="11">
                  <c:v>73.608119999999971</c:v>
                </c:pt>
              </c:numCache>
            </c:numRef>
          </c:val>
          <c:smooth val="0"/>
          <c:extLst>
            <c:ext xmlns:c16="http://schemas.microsoft.com/office/drawing/2014/chart" uri="{C3380CC4-5D6E-409C-BE32-E72D297353CC}">
              <c16:uniqueId val="{00000001-6A5B-49E3-AAE3-796BB16DD606}"/>
            </c:ext>
          </c:extLst>
        </c:ser>
        <c:ser>
          <c:idx val="2"/>
          <c:order val="2"/>
          <c:tx>
            <c:strRef>
              <c:f>pivot_analysis!$D$3:$D$4</c:f>
              <c:strCache>
                <c:ptCount val="1"/>
                <c:pt idx="0">
                  <c:v>Asia</c:v>
                </c:pt>
              </c:strCache>
            </c:strRef>
          </c:tx>
          <c:spPr>
            <a:ln w="28575" cap="rnd">
              <a:solidFill>
                <a:schemeClr val="accent3"/>
              </a:solidFill>
              <a:round/>
            </a:ln>
            <a:effectLst/>
          </c:spPr>
          <c:marker>
            <c:symbol val="none"/>
          </c:marker>
          <c:cat>
            <c:strRef>
              <c:f>pivot_analysis!$A$5:$A$17</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pivot_analysis!$D$5:$D$17</c:f>
              <c:numCache>
                <c:formatCode>0.00</c:formatCode>
                <c:ptCount val="12"/>
                <c:pt idx="0">
                  <c:v>46.314393939393931</c:v>
                </c:pt>
                <c:pt idx="1">
                  <c:v>49.318544242424238</c:v>
                </c:pt>
                <c:pt idx="2">
                  <c:v>51.563223030303035</c:v>
                </c:pt>
                <c:pt idx="3">
                  <c:v>54.663639999999994</c:v>
                </c:pt>
                <c:pt idx="4">
                  <c:v>57.319269090909089</c:v>
                </c:pt>
                <c:pt idx="5">
                  <c:v>59.610556363636356</c:v>
                </c:pt>
                <c:pt idx="6">
                  <c:v>62.617939393939388</c:v>
                </c:pt>
                <c:pt idx="7">
                  <c:v>64.8511818181818</c:v>
                </c:pt>
                <c:pt idx="8">
                  <c:v>66.537212121212121</c:v>
                </c:pt>
                <c:pt idx="9">
                  <c:v>68.020515151515141</c:v>
                </c:pt>
                <c:pt idx="10">
                  <c:v>69.233878787878766</c:v>
                </c:pt>
                <c:pt idx="11">
                  <c:v>70.728484848484854</c:v>
                </c:pt>
              </c:numCache>
            </c:numRef>
          </c:val>
          <c:smooth val="0"/>
          <c:extLst>
            <c:ext xmlns:c16="http://schemas.microsoft.com/office/drawing/2014/chart" uri="{C3380CC4-5D6E-409C-BE32-E72D297353CC}">
              <c16:uniqueId val="{00000002-6A5B-49E3-AAE3-796BB16DD606}"/>
            </c:ext>
          </c:extLst>
        </c:ser>
        <c:ser>
          <c:idx val="3"/>
          <c:order val="3"/>
          <c:tx>
            <c:strRef>
              <c:f>pivot_analysis!$E$3:$E$4</c:f>
              <c:strCache>
                <c:ptCount val="1"/>
                <c:pt idx="0">
                  <c:v>Europe</c:v>
                </c:pt>
              </c:strCache>
            </c:strRef>
          </c:tx>
          <c:spPr>
            <a:ln w="28575" cap="rnd">
              <a:solidFill>
                <a:schemeClr val="accent4"/>
              </a:solidFill>
              <a:round/>
            </a:ln>
            <a:effectLst/>
          </c:spPr>
          <c:marker>
            <c:symbol val="none"/>
          </c:marker>
          <c:cat>
            <c:strRef>
              <c:f>pivot_analysis!$A$5:$A$17</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pivot_analysis!$E$5:$E$17</c:f>
              <c:numCache>
                <c:formatCode>0.00</c:formatCode>
                <c:ptCount val="12"/>
                <c:pt idx="0">
                  <c:v>64.408500000000018</c:v>
                </c:pt>
                <c:pt idx="1">
                  <c:v>66.703066666666672</c:v>
                </c:pt>
                <c:pt idx="2">
                  <c:v>68.539233333333343</c:v>
                </c:pt>
                <c:pt idx="3">
                  <c:v>69.737599999999986</c:v>
                </c:pt>
                <c:pt idx="4">
                  <c:v>70.77503333333334</c:v>
                </c:pt>
                <c:pt idx="5">
                  <c:v>71.937766666666676</c:v>
                </c:pt>
                <c:pt idx="6">
                  <c:v>72.806399999999996</c:v>
                </c:pt>
                <c:pt idx="7">
                  <c:v>73.642166666666682</c:v>
                </c:pt>
                <c:pt idx="8">
                  <c:v>74.440100000000001</c:v>
                </c:pt>
                <c:pt idx="9">
                  <c:v>75.505166666666668</c:v>
                </c:pt>
                <c:pt idx="10">
                  <c:v>76.70059999999998</c:v>
                </c:pt>
                <c:pt idx="11">
                  <c:v>77.648600000000016</c:v>
                </c:pt>
              </c:numCache>
            </c:numRef>
          </c:val>
          <c:smooth val="0"/>
          <c:extLst>
            <c:ext xmlns:c16="http://schemas.microsoft.com/office/drawing/2014/chart" uri="{C3380CC4-5D6E-409C-BE32-E72D297353CC}">
              <c16:uniqueId val="{00000003-6A5B-49E3-AAE3-796BB16DD606}"/>
            </c:ext>
          </c:extLst>
        </c:ser>
        <c:ser>
          <c:idx val="4"/>
          <c:order val="4"/>
          <c:tx>
            <c:strRef>
              <c:f>pivot_analysis!$F$3:$F$4</c:f>
              <c:strCache>
                <c:ptCount val="1"/>
                <c:pt idx="0">
                  <c:v>Oceania</c:v>
                </c:pt>
              </c:strCache>
            </c:strRef>
          </c:tx>
          <c:spPr>
            <a:ln w="28575" cap="rnd">
              <a:solidFill>
                <a:schemeClr val="accent5"/>
              </a:solidFill>
              <a:round/>
            </a:ln>
            <a:effectLst/>
          </c:spPr>
          <c:marker>
            <c:symbol val="none"/>
          </c:marker>
          <c:cat>
            <c:strRef>
              <c:f>pivot_analysis!$A$5:$A$17</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pivot_analysis!$F$5:$F$17</c:f>
              <c:numCache>
                <c:formatCode>0.00</c:formatCode>
                <c:ptCount val="12"/>
                <c:pt idx="0">
                  <c:v>69.254999999999995</c:v>
                </c:pt>
                <c:pt idx="1">
                  <c:v>70.295000000000002</c:v>
                </c:pt>
                <c:pt idx="2">
                  <c:v>71.085000000000008</c:v>
                </c:pt>
                <c:pt idx="3">
                  <c:v>71.31</c:v>
                </c:pt>
                <c:pt idx="4">
                  <c:v>71.91</c:v>
                </c:pt>
                <c:pt idx="5">
                  <c:v>72.85499999999999</c:v>
                </c:pt>
                <c:pt idx="6">
                  <c:v>74.289999999999992</c:v>
                </c:pt>
                <c:pt idx="7">
                  <c:v>75.319999999999993</c:v>
                </c:pt>
                <c:pt idx="8">
                  <c:v>76.944999999999993</c:v>
                </c:pt>
                <c:pt idx="9">
                  <c:v>78.19</c:v>
                </c:pt>
                <c:pt idx="10">
                  <c:v>79.740000000000009</c:v>
                </c:pt>
                <c:pt idx="11">
                  <c:v>80.719499999999996</c:v>
                </c:pt>
              </c:numCache>
            </c:numRef>
          </c:val>
          <c:smooth val="0"/>
          <c:extLst>
            <c:ext xmlns:c16="http://schemas.microsoft.com/office/drawing/2014/chart" uri="{C3380CC4-5D6E-409C-BE32-E72D297353CC}">
              <c16:uniqueId val="{00000004-6A5B-49E3-AAE3-796BB16DD606}"/>
            </c:ext>
          </c:extLst>
        </c:ser>
        <c:dLbls>
          <c:showLegendKey val="0"/>
          <c:showVal val="0"/>
          <c:showCatName val="0"/>
          <c:showSerName val="0"/>
          <c:showPercent val="0"/>
          <c:showBubbleSize val="0"/>
        </c:dLbls>
        <c:smooth val="0"/>
        <c:axId val="2052934152"/>
        <c:axId val="260939783"/>
      </c:lineChart>
      <c:catAx>
        <c:axId val="2052934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939783"/>
        <c:crosses val="autoZero"/>
        <c:auto val="1"/>
        <c:lblAlgn val="ctr"/>
        <c:lblOffset val="100"/>
        <c:noMultiLvlLbl val="0"/>
      </c:catAx>
      <c:valAx>
        <c:axId val="260939783"/>
        <c:scaling>
          <c:orientation val="minMax"/>
          <c:min val="3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Life Expectancy (Years)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934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[Noor_Huda_UN_Excel_Analyst_Project.xlsx.xlsx]pivot_analysis!PivotTable3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GDP per Capita by Continent (1952–2007)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pivot_analysis!$B$34:$B$35</c:f>
              <c:strCache>
                <c:ptCount val="1"/>
                <c:pt idx="0">
                  <c:v>Africa</c:v>
                </c:pt>
              </c:strCache>
            </c:strRef>
          </c:tx>
          <c:spPr>
            <a:ln w="28575" cap="rnd">
              <a:solidFill>
                <a:schemeClr val="accent1"/>
              </a:solidFill>
              <a:round/>
            </a:ln>
            <a:effectLst/>
          </c:spPr>
          <c:marker>
            <c:symbol val="none"/>
          </c:marker>
          <c:cat>
            <c:strRef>
              <c:f>pivot_analysis!$A$36:$A$48</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pivot_analysis!$B$36:$B$48</c:f>
              <c:numCache>
                <c:formatCode>#,##0.00</c:formatCode>
                <c:ptCount val="12"/>
                <c:pt idx="0">
                  <c:v>1252.5724658211539</c:v>
                </c:pt>
                <c:pt idx="1">
                  <c:v>1385.2360622557685</c:v>
                </c:pt>
                <c:pt idx="2">
                  <c:v>1598.0788248461531</c:v>
                </c:pt>
                <c:pt idx="3">
                  <c:v>2050.3638008576927</c:v>
                </c:pt>
                <c:pt idx="4">
                  <c:v>2339.6156741980767</c:v>
                </c:pt>
                <c:pt idx="5">
                  <c:v>2585.9385084634609</c:v>
                </c:pt>
                <c:pt idx="6">
                  <c:v>2481.5929597538461</c:v>
                </c:pt>
                <c:pt idx="7">
                  <c:v>2282.6689912596153</c:v>
                </c:pt>
                <c:pt idx="8">
                  <c:v>2281.8103332442306</c:v>
                </c:pt>
                <c:pt idx="9">
                  <c:v>2378.7595551019226</c:v>
                </c:pt>
                <c:pt idx="10">
                  <c:v>2599.3851588903849</c:v>
                </c:pt>
                <c:pt idx="11">
                  <c:v>3089.0326047365384</c:v>
                </c:pt>
              </c:numCache>
            </c:numRef>
          </c:val>
          <c:smooth val="0"/>
          <c:extLst>
            <c:ext xmlns:c16="http://schemas.microsoft.com/office/drawing/2014/chart" uri="{C3380CC4-5D6E-409C-BE32-E72D297353CC}">
              <c16:uniqueId val="{00000000-210C-410C-B95B-E7CAD3606C56}"/>
            </c:ext>
          </c:extLst>
        </c:ser>
        <c:ser>
          <c:idx val="1"/>
          <c:order val="1"/>
          <c:tx>
            <c:strRef>
              <c:f>pivot_analysis!$C$34:$C$35</c:f>
              <c:strCache>
                <c:ptCount val="1"/>
                <c:pt idx="0">
                  <c:v>Americas</c:v>
                </c:pt>
              </c:strCache>
            </c:strRef>
          </c:tx>
          <c:spPr>
            <a:ln w="28575" cap="rnd">
              <a:solidFill>
                <a:schemeClr val="accent2"/>
              </a:solidFill>
              <a:round/>
            </a:ln>
            <a:effectLst/>
          </c:spPr>
          <c:marker>
            <c:symbol val="none"/>
          </c:marker>
          <c:cat>
            <c:strRef>
              <c:f>pivot_analysis!$A$36:$A$48</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pivot_analysis!$C$36:$C$48</c:f>
              <c:numCache>
                <c:formatCode>#,##0.00</c:formatCode>
                <c:ptCount val="12"/>
                <c:pt idx="0">
                  <c:v>4079.0625521999991</c:v>
                </c:pt>
                <c:pt idx="1">
                  <c:v>4616.0437331599987</c:v>
                </c:pt>
                <c:pt idx="2">
                  <c:v>4901.5418704000003</c:v>
                </c:pt>
                <c:pt idx="3">
                  <c:v>5668.2534960399998</c:v>
                </c:pt>
                <c:pt idx="4">
                  <c:v>6491.3341390399992</c:v>
                </c:pt>
                <c:pt idx="5">
                  <c:v>7352.0071262799984</c:v>
                </c:pt>
                <c:pt idx="6">
                  <c:v>7506.7370880799999</c:v>
                </c:pt>
                <c:pt idx="7">
                  <c:v>7793.4002611200003</c:v>
                </c:pt>
                <c:pt idx="8">
                  <c:v>8044.9344055199981</c:v>
                </c:pt>
                <c:pt idx="9">
                  <c:v>8889.3008625600014</c:v>
                </c:pt>
                <c:pt idx="10">
                  <c:v>9287.677107319998</c:v>
                </c:pt>
                <c:pt idx="11">
                  <c:v>11003.031625359999</c:v>
                </c:pt>
              </c:numCache>
            </c:numRef>
          </c:val>
          <c:smooth val="0"/>
          <c:extLst>
            <c:ext xmlns:c16="http://schemas.microsoft.com/office/drawing/2014/chart" uri="{C3380CC4-5D6E-409C-BE32-E72D297353CC}">
              <c16:uniqueId val="{00000001-210C-410C-B95B-E7CAD3606C56}"/>
            </c:ext>
          </c:extLst>
        </c:ser>
        <c:ser>
          <c:idx val="2"/>
          <c:order val="2"/>
          <c:tx>
            <c:strRef>
              <c:f>pivot_analysis!$D$34:$D$35</c:f>
              <c:strCache>
                <c:ptCount val="1"/>
                <c:pt idx="0">
                  <c:v>Asia</c:v>
                </c:pt>
              </c:strCache>
            </c:strRef>
          </c:tx>
          <c:spPr>
            <a:ln w="28575" cap="rnd">
              <a:solidFill>
                <a:schemeClr val="accent3"/>
              </a:solidFill>
              <a:round/>
            </a:ln>
            <a:effectLst/>
          </c:spPr>
          <c:marker>
            <c:symbol val="none"/>
          </c:marker>
          <c:cat>
            <c:strRef>
              <c:f>pivot_analysis!$A$36:$A$48</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pivot_analysis!$D$36:$D$48</c:f>
              <c:numCache>
                <c:formatCode>#,##0.00</c:formatCode>
                <c:ptCount val="12"/>
                <c:pt idx="0">
                  <c:v>5195.4840040393938</c:v>
                </c:pt>
                <c:pt idx="1">
                  <c:v>5787.7329399424225</c:v>
                </c:pt>
                <c:pt idx="2">
                  <c:v>5729.3696247757571</c:v>
                </c:pt>
                <c:pt idx="3">
                  <c:v>5971.1733736060614</c:v>
                </c:pt>
                <c:pt idx="4">
                  <c:v>8187.4686994484846</c:v>
                </c:pt>
                <c:pt idx="5">
                  <c:v>7791.3140199303034</c:v>
                </c:pt>
                <c:pt idx="6">
                  <c:v>7434.1351574848477</c:v>
                </c:pt>
                <c:pt idx="7">
                  <c:v>7608.2265077303045</c:v>
                </c:pt>
                <c:pt idx="8">
                  <c:v>8639.6902477303047</c:v>
                </c:pt>
                <c:pt idx="9">
                  <c:v>9834.0932952484873</c:v>
                </c:pt>
                <c:pt idx="10">
                  <c:v>10174.090396578786</c:v>
                </c:pt>
                <c:pt idx="11">
                  <c:v>12473.026870133332</c:v>
                </c:pt>
              </c:numCache>
            </c:numRef>
          </c:val>
          <c:smooth val="0"/>
          <c:extLst>
            <c:ext xmlns:c16="http://schemas.microsoft.com/office/drawing/2014/chart" uri="{C3380CC4-5D6E-409C-BE32-E72D297353CC}">
              <c16:uniqueId val="{00000002-210C-410C-B95B-E7CAD3606C56}"/>
            </c:ext>
          </c:extLst>
        </c:ser>
        <c:ser>
          <c:idx val="3"/>
          <c:order val="3"/>
          <c:tx>
            <c:strRef>
              <c:f>pivot_analysis!$E$34:$E$35</c:f>
              <c:strCache>
                <c:ptCount val="1"/>
                <c:pt idx="0">
                  <c:v>Europe</c:v>
                </c:pt>
              </c:strCache>
            </c:strRef>
          </c:tx>
          <c:spPr>
            <a:ln w="28575" cap="rnd">
              <a:solidFill>
                <a:schemeClr val="accent4"/>
              </a:solidFill>
              <a:round/>
            </a:ln>
            <a:effectLst/>
          </c:spPr>
          <c:marker>
            <c:symbol val="none"/>
          </c:marker>
          <c:cat>
            <c:strRef>
              <c:f>pivot_analysis!$A$36:$A$48</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pivot_analysis!$E$36:$E$48</c:f>
              <c:numCache>
                <c:formatCode>#,##0.00</c:formatCode>
                <c:ptCount val="12"/>
                <c:pt idx="0">
                  <c:v>5661.0574347599986</c:v>
                </c:pt>
                <c:pt idx="1">
                  <c:v>6963.0128159333344</c:v>
                </c:pt>
                <c:pt idx="2">
                  <c:v>8365.4868143000003</c:v>
                </c:pt>
                <c:pt idx="3">
                  <c:v>10143.823756533331</c:v>
                </c:pt>
                <c:pt idx="4">
                  <c:v>12479.575246466666</c:v>
                </c:pt>
                <c:pt idx="5">
                  <c:v>14283.979109599995</c:v>
                </c:pt>
                <c:pt idx="6">
                  <c:v>15617.896551233333</c:v>
                </c:pt>
                <c:pt idx="7">
                  <c:v>17214.310726633335</c:v>
                </c:pt>
                <c:pt idx="8">
                  <c:v>17061.568084200007</c:v>
                </c:pt>
                <c:pt idx="9">
                  <c:v>19076.781801600002</c:v>
                </c:pt>
                <c:pt idx="10">
                  <c:v>21711.732422433328</c:v>
                </c:pt>
                <c:pt idx="11">
                  <c:v>25054.481635933334</c:v>
                </c:pt>
              </c:numCache>
            </c:numRef>
          </c:val>
          <c:smooth val="0"/>
          <c:extLst>
            <c:ext xmlns:c16="http://schemas.microsoft.com/office/drawing/2014/chart" uri="{C3380CC4-5D6E-409C-BE32-E72D297353CC}">
              <c16:uniqueId val="{00000003-210C-410C-B95B-E7CAD3606C56}"/>
            </c:ext>
          </c:extLst>
        </c:ser>
        <c:ser>
          <c:idx val="4"/>
          <c:order val="4"/>
          <c:tx>
            <c:strRef>
              <c:f>pivot_analysis!$F$34:$F$35</c:f>
              <c:strCache>
                <c:ptCount val="1"/>
                <c:pt idx="0">
                  <c:v>Oceania</c:v>
                </c:pt>
              </c:strCache>
            </c:strRef>
          </c:tx>
          <c:spPr>
            <a:ln w="28575" cap="rnd">
              <a:solidFill>
                <a:schemeClr val="accent5"/>
              </a:solidFill>
              <a:round/>
            </a:ln>
            <a:effectLst/>
          </c:spPr>
          <c:marker>
            <c:symbol val="none"/>
          </c:marker>
          <c:cat>
            <c:strRef>
              <c:f>pivot_analysis!$A$36:$A$48</c:f>
              <c:strCache>
                <c:ptCount val="12"/>
                <c:pt idx="0">
                  <c:v>1952</c:v>
                </c:pt>
                <c:pt idx="1">
                  <c:v>1957</c:v>
                </c:pt>
                <c:pt idx="2">
                  <c:v>1962</c:v>
                </c:pt>
                <c:pt idx="3">
                  <c:v>1967</c:v>
                </c:pt>
                <c:pt idx="4">
                  <c:v>1972</c:v>
                </c:pt>
                <c:pt idx="5">
                  <c:v>1977</c:v>
                </c:pt>
                <c:pt idx="6">
                  <c:v>1982</c:v>
                </c:pt>
                <c:pt idx="7">
                  <c:v>1987</c:v>
                </c:pt>
                <c:pt idx="8">
                  <c:v>1992</c:v>
                </c:pt>
                <c:pt idx="9">
                  <c:v>1997</c:v>
                </c:pt>
                <c:pt idx="10">
                  <c:v>2002</c:v>
                </c:pt>
                <c:pt idx="11">
                  <c:v>2007</c:v>
                </c:pt>
              </c:strCache>
            </c:strRef>
          </c:cat>
          <c:val>
            <c:numRef>
              <c:f>pivot_analysis!$F$36:$F$48</c:f>
              <c:numCache>
                <c:formatCode>#,##0.00</c:formatCode>
                <c:ptCount val="12"/>
                <c:pt idx="0">
                  <c:v>10298.085650000001</c:v>
                </c:pt>
                <c:pt idx="1">
                  <c:v>11598.522455</c:v>
                </c:pt>
                <c:pt idx="2">
                  <c:v>12696.452430000001</c:v>
                </c:pt>
                <c:pt idx="3">
                  <c:v>14495.021789999999</c:v>
                </c:pt>
                <c:pt idx="4">
                  <c:v>16417.33338</c:v>
                </c:pt>
                <c:pt idx="5">
                  <c:v>17283.957605</c:v>
                </c:pt>
                <c:pt idx="6">
                  <c:v>18554.70984</c:v>
                </c:pt>
                <c:pt idx="7">
                  <c:v>20448.040159999997</c:v>
                </c:pt>
                <c:pt idx="8">
                  <c:v>20894.045885</c:v>
                </c:pt>
                <c:pt idx="9">
                  <c:v>24024.175170000002</c:v>
                </c:pt>
                <c:pt idx="10">
                  <c:v>26938.778040000001</c:v>
                </c:pt>
                <c:pt idx="11">
                  <c:v>29810.188274999949</c:v>
                </c:pt>
              </c:numCache>
            </c:numRef>
          </c:val>
          <c:smooth val="0"/>
          <c:extLst>
            <c:ext xmlns:c16="http://schemas.microsoft.com/office/drawing/2014/chart" uri="{C3380CC4-5D6E-409C-BE32-E72D297353CC}">
              <c16:uniqueId val="{00000004-210C-410C-B95B-E7CAD3606C56}"/>
            </c:ext>
          </c:extLst>
        </c:ser>
        <c:dLbls>
          <c:showLegendKey val="0"/>
          <c:showVal val="0"/>
          <c:showCatName val="0"/>
          <c:showSerName val="0"/>
          <c:showPercent val="0"/>
          <c:showBubbleSize val="0"/>
        </c:dLbls>
        <c:smooth val="0"/>
        <c:axId val="1989781512"/>
        <c:axId val="2052373512"/>
      </c:lineChart>
      <c:catAx>
        <c:axId val="1989781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373512"/>
        <c:crosses val="autoZero"/>
        <c:auto val="1"/>
        <c:lblAlgn val="ctr"/>
        <c:lblOffset val="100"/>
        <c:noMultiLvlLbl val="0"/>
      </c:catAx>
      <c:valAx>
        <c:axId val="2052373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GDP per Capita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781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[Noor_Huda_UN_Excel_Analyst_Project.xlsx.xlsx]pivot_analysis!PivotTable2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Population by Continent (2007)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pivot_analysis!$A$23:$A$28</c:f>
              <c:strCache>
                <c:ptCount val="5"/>
                <c:pt idx="0">
                  <c:v>Africa</c:v>
                </c:pt>
                <c:pt idx="1">
                  <c:v>Americas</c:v>
                </c:pt>
                <c:pt idx="2">
                  <c:v>Asia</c:v>
                </c:pt>
                <c:pt idx="3">
                  <c:v>Europe</c:v>
                </c:pt>
                <c:pt idx="4">
                  <c:v>Oceania</c:v>
                </c:pt>
              </c:strCache>
            </c:strRef>
          </c:cat>
          <c:val>
            <c:numRef>
              <c:f>pivot_analysis!$B$23:$B$28</c:f>
              <c:numCache>
                <c:formatCode>#,##0</c:formatCode>
                <c:ptCount val="5"/>
                <c:pt idx="0">
                  <c:v>929539692</c:v>
                </c:pt>
                <c:pt idx="1">
                  <c:v>898871184</c:v>
                </c:pt>
                <c:pt idx="2">
                  <c:v>3811953827</c:v>
                </c:pt>
                <c:pt idx="3">
                  <c:v>586098529</c:v>
                </c:pt>
                <c:pt idx="4">
                  <c:v>24549947</c:v>
                </c:pt>
              </c:numCache>
            </c:numRef>
          </c:val>
          <c:extLst>
            <c:ext xmlns:c16="http://schemas.microsoft.com/office/drawing/2014/chart" uri="{C3380CC4-5D6E-409C-BE32-E72D297353CC}">
              <c16:uniqueId val="{00000000-AB58-42E9-81D2-3D958DDE7216}"/>
            </c:ext>
          </c:extLst>
        </c:ser>
        <c:dLbls>
          <c:showLegendKey val="0"/>
          <c:showVal val="0"/>
          <c:showCatName val="0"/>
          <c:showSerName val="0"/>
          <c:showPercent val="0"/>
          <c:showBubbleSize val="0"/>
        </c:dLbls>
        <c:gapWidth val="219"/>
        <c:overlap val="-27"/>
        <c:axId val="258822151"/>
        <c:axId val="258824199"/>
      </c:barChart>
      <c:catAx>
        <c:axId val="258822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24199"/>
        <c:crosses val="autoZero"/>
        <c:auto val="1"/>
        <c:lblAlgn val="ctr"/>
        <c:lblOffset val="100"/>
        <c:noMultiLvlLbl val="0"/>
      </c:catAx>
      <c:valAx>
        <c:axId val="258824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Population (Billions)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22151"/>
        <c:crosses val="autoZero"/>
        <c:crossBetween val="between"/>
        <c:majorUnit val="5000000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7</xdr:col>
      <xdr:colOff>285750</xdr:colOff>
      <xdr:row>1</xdr:row>
      <xdr:rowOff>180975</xdr:rowOff>
    </xdr:from>
    <xdr:to>
      <xdr:col>12</xdr:col>
      <xdr:colOff>342900</xdr:colOff>
      <xdr:row>17</xdr:row>
      <xdr:rowOff>0</xdr:rowOff>
    </xdr:to>
    <xdr:graphicFrame macro="">
      <xdr:nvGraphicFramePr>
        <xdr:cNvPr id="2" name="Chart 1">
          <a:extLst>
            <a:ext uri="{FF2B5EF4-FFF2-40B4-BE49-F238E27FC236}">
              <a16:creationId xmlns:a16="http://schemas.microsoft.com/office/drawing/2014/main" id="{4E68DE87-DA10-C884-E605-ABBAAED51E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819150</xdr:colOff>
      <xdr:row>17</xdr:row>
      <xdr:rowOff>180975</xdr:rowOff>
    </xdr:from>
    <xdr:to>
      <xdr:col>6</xdr:col>
      <xdr:colOff>819150</xdr:colOff>
      <xdr:row>31</xdr:row>
      <xdr:rowOff>180975</xdr:rowOff>
    </xdr:to>
    <xdr:graphicFrame macro="">
      <xdr:nvGraphicFramePr>
        <xdr:cNvPr id="3" name="Chart 2">
          <a:extLst>
            <a:ext uri="{FF2B5EF4-FFF2-40B4-BE49-F238E27FC236}">
              <a16:creationId xmlns:a16="http://schemas.microsoft.com/office/drawing/2014/main" id="{C5ACB2CC-3838-AC5E-40F5-D897B848F0C5}"/>
            </a:ext>
            <a:ext uri="{147F2762-F138-4A5C-976F-8EAC2B608ADB}">
              <a16:predDERef xmlns:a16="http://schemas.microsoft.com/office/drawing/2014/main" pred="{4E68DE87-DA10-C884-E605-ABBAAED51E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561975</xdr:colOff>
      <xdr:row>32</xdr:row>
      <xdr:rowOff>180975</xdr:rowOff>
    </xdr:from>
    <xdr:to>
      <xdr:col>12</xdr:col>
      <xdr:colOff>161925</xdr:colOff>
      <xdr:row>47</xdr:row>
      <xdr:rowOff>180975</xdr:rowOff>
    </xdr:to>
    <xdr:graphicFrame macro="">
      <xdr:nvGraphicFramePr>
        <xdr:cNvPr id="4" name="Chart 3">
          <a:extLst>
            <a:ext uri="{FF2B5EF4-FFF2-40B4-BE49-F238E27FC236}">
              <a16:creationId xmlns:a16="http://schemas.microsoft.com/office/drawing/2014/main" id="{792E1523-84F2-095E-167C-26C4D0D851F9}"/>
            </a:ext>
            <a:ext uri="{147F2762-F138-4A5C-976F-8EAC2B608ADB}">
              <a16:predDERef xmlns:a16="http://schemas.microsoft.com/office/drawing/2014/main" pred="{C5ACB2CC-3838-AC5E-40F5-D897B848F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590550</xdr:colOff>
      <xdr:row>1</xdr:row>
      <xdr:rowOff>171450</xdr:rowOff>
    </xdr:from>
    <xdr:to>
      <xdr:col>8</xdr:col>
      <xdr:colOff>600075</xdr:colOff>
      <xdr:row>17</xdr:row>
      <xdr:rowOff>161925</xdr:rowOff>
    </xdr:to>
    <xdr:graphicFrame macro="">
      <xdr:nvGraphicFramePr>
        <xdr:cNvPr id="2" name="Chart 1">
          <a:extLst>
            <a:ext uri="{FF2B5EF4-FFF2-40B4-BE49-F238E27FC236}">
              <a16:creationId xmlns:a16="http://schemas.microsoft.com/office/drawing/2014/main" id="{2924EAEC-7BD6-44BB-A59E-B529E160B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590550</xdr:colOff>
      <xdr:row>19</xdr:row>
      <xdr:rowOff>171450</xdr:rowOff>
    </xdr:from>
    <xdr:to>
      <xdr:col>14</xdr:col>
      <xdr:colOff>0</xdr:colOff>
      <xdr:row>38</xdr:row>
      <xdr:rowOff>9525</xdr:rowOff>
    </xdr:to>
    <xdr:graphicFrame macro="">
      <xdr:nvGraphicFramePr>
        <xdr:cNvPr id="3" name="Chart 2">
          <a:extLst>
            <a:ext uri="{FF2B5EF4-FFF2-40B4-BE49-F238E27FC236}">
              <a16:creationId xmlns:a16="http://schemas.microsoft.com/office/drawing/2014/main" id="{A29240E0-1BC6-45B1-9EA2-7D039E540D16}"/>
            </a:ext>
            <a:ext uri="{147F2762-F138-4A5C-976F-8EAC2B608ADB}">
              <a16:predDERef xmlns:a16="http://schemas.microsoft.com/office/drawing/2014/main" pred="{2924EAEC-7BD6-44BB-A59E-B529E160B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600075</xdr:colOff>
      <xdr:row>2</xdr:row>
      <xdr:rowOff>0</xdr:rowOff>
    </xdr:from>
    <xdr:to>
      <xdr:col>17</xdr:col>
      <xdr:colOff>600075</xdr:colOff>
      <xdr:row>17</xdr:row>
      <xdr:rowOff>171450</xdr:rowOff>
    </xdr:to>
    <xdr:graphicFrame macro="">
      <xdr:nvGraphicFramePr>
        <xdr:cNvPr id="4" name="Chart 3">
          <a:extLst>
            <a:ext uri="{FF2B5EF4-FFF2-40B4-BE49-F238E27FC236}">
              <a16:creationId xmlns:a16="http://schemas.microsoft.com/office/drawing/2014/main" id="{119F2117-2634-4CEB-BBD4-1BBB421E28D2}"/>
            </a:ext>
            <a:ext uri="{147F2762-F138-4A5C-976F-8EAC2B608ADB}">
              <a16:predDERef xmlns:a16="http://schemas.microsoft.com/office/drawing/2014/main" pred="{A29240E0-1BC6-45B1-9EA2-7D039E540D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600075</xdr:colOff>
      <xdr:row>14</xdr:row>
      <xdr:rowOff>142875</xdr:rowOff>
    </xdr:from>
    <xdr:to>
      <xdr:col>8</xdr:col>
      <xdr:colOff>581025</xdr:colOff>
      <xdr:row>30</xdr:row>
      <xdr:rowOff>171450</xdr:rowOff>
    </xdr:to>
    <xdr:graphicFrame macro="">
      <xdr:nvGraphicFramePr>
        <xdr:cNvPr id="2" name="Chart 1">
          <a:extLst>
            <a:ext uri="{FF2B5EF4-FFF2-40B4-BE49-F238E27FC236}">
              <a16:creationId xmlns:a16="http://schemas.microsoft.com/office/drawing/2014/main" id="{63FC199F-46CB-4E23-A337-78AA5B090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15</xdr:row>
      <xdr:rowOff>0</xdr:rowOff>
    </xdr:from>
    <xdr:to>
      <xdr:col>19</xdr:col>
      <xdr:colOff>0</xdr:colOff>
      <xdr:row>30</xdr:row>
      <xdr:rowOff>171450</xdr:rowOff>
    </xdr:to>
    <xdr:graphicFrame macro="">
      <xdr:nvGraphicFramePr>
        <xdr:cNvPr id="3" name="Chart 3">
          <a:extLst>
            <a:ext uri="{FF2B5EF4-FFF2-40B4-BE49-F238E27FC236}">
              <a16:creationId xmlns:a16="http://schemas.microsoft.com/office/drawing/2014/main" id="{1F3BA0D1-E790-4036-A558-5AA302F09807}"/>
            </a:ext>
            <a:ext uri="{147F2762-F138-4A5C-976F-8EAC2B608ADB}">
              <a16:predDERef xmlns:a16="http://schemas.microsoft.com/office/drawing/2014/main" pred="{63FC199F-46CB-4E23-A337-78AA5B090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33</xdr:row>
      <xdr:rowOff>171450</xdr:rowOff>
    </xdr:from>
    <xdr:to>
      <xdr:col>9</xdr:col>
      <xdr:colOff>0</xdr:colOff>
      <xdr:row>50</xdr:row>
      <xdr:rowOff>152400</xdr:rowOff>
    </xdr:to>
    <xdr:graphicFrame macro="">
      <xdr:nvGraphicFramePr>
        <xdr:cNvPr id="4" name="Chart 2">
          <a:extLst>
            <a:ext uri="{FF2B5EF4-FFF2-40B4-BE49-F238E27FC236}">
              <a16:creationId xmlns:a16="http://schemas.microsoft.com/office/drawing/2014/main" id="{573EF917-F80B-4D12-BB51-91FD48FD1813}"/>
            </a:ext>
            <a:ext uri="{147F2762-F138-4A5C-976F-8EAC2B608ADB}">
              <a16:predDERef xmlns:a16="http://schemas.microsoft.com/office/drawing/2014/main" pred="{1F3BA0D1-E790-4036-A558-5AA302F09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87.5173005787" createdVersion="8" refreshedVersion="8" minRefreshableVersion="3" recordCount="5112" xr:uid="{0D2DB6B0-97C9-41B1-8E34-DAF6E33EB364}">
  <cacheSource type="worksheet">
    <worksheetSource name="Table13"/>
  </cacheSource>
  <cacheFields count="16">
    <cacheField name="Observation_ID" numFmtId="0">
      <sharedItems/>
    </cacheField>
    <cacheField name="Country" numFmtId="0">
      <sharedItems/>
    </cacheField>
    <cacheField name="Continent" numFmtId="0">
      <sharedItems count="5">
        <s v="Asia"/>
        <s v="Europe"/>
        <s v="Africa"/>
        <s v="Americas"/>
        <s v="Oceania"/>
      </sharedItems>
    </cacheField>
    <cacheField name="Year" numFmtId="0">
      <sharedItems containsSemiMixedTypes="0" containsString="0" containsNumber="1" containsInteger="1" minValue="1952" maxValue="2007" count="12">
        <n v="1952"/>
        <n v="1957"/>
        <n v="1962"/>
        <n v="1967"/>
        <n v="1972"/>
        <n v="1977"/>
        <n v="1982"/>
        <n v="1987"/>
        <n v="1992"/>
        <n v="1997"/>
        <n v="2002"/>
        <n v="2007"/>
      </sharedItems>
    </cacheField>
    <cacheField name="Indicator_Code" numFmtId="0">
      <sharedItems count="3">
        <s v="LIFE_EXP"/>
        <s v="POP_TOTAL"/>
        <s v="GDP_PC"/>
      </sharedItems>
    </cacheField>
    <cacheField name="Indicator_Name" numFmtId="0">
      <sharedItems/>
    </cacheField>
    <cacheField name="Development_Dimension" numFmtId="0">
      <sharedItems/>
    </cacheField>
    <cacheField name="SDG_Link" numFmtId="0">
      <sharedItems/>
    </cacheField>
    <cacheField name="Value" numFmtId="0">
      <sharedItems containsSemiMixedTypes="0" containsString="0" containsNumber="1" minValue="23.599" maxValue="1318683096"/>
    </cacheField>
    <cacheField name="Unit" numFmtId="0">
      <sharedItems/>
    </cacheField>
    <cacheField name="Country_Year_Key" numFmtId="0">
      <sharedItems/>
    </cacheField>
    <cacheField name="Source_Note" numFmtId="0">
      <sharedItems/>
    </cacheField>
    <cacheField name="Value_Check" numFmtId="0">
      <sharedItems/>
    </cacheField>
    <cacheField name="Decade" numFmtId="0">
      <sharedItems/>
    </cacheField>
    <cacheField name="Value_Band" numFmtId="0">
      <sharedItems/>
    </cacheField>
    <cacheField name="Dimension_Lookup"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12">
  <r>
    <s v="GM-00001"/>
    <s v="Afghanistan"/>
    <x v="0"/>
    <x v="0"/>
    <x v="0"/>
    <s v="Life expectancy at birth"/>
    <s v="Health"/>
    <s v="SDG 3: Good Health and Well-being"/>
    <n v="28.800999999999998"/>
    <s v="Years"/>
    <s v="Afghanistan|1952"/>
    <s v="Gapminder/Plotly country-year extract reshaped to long indicator format for education"/>
    <s v="OK"/>
    <s v="1950s"/>
    <s v="Low"/>
    <s v="Health"/>
  </r>
  <r>
    <s v="GM-00002"/>
    <s v="Afghanistan"/>
    <x v="0"/>
    <x v="0"/>
    <x v="1"/>
    <s v="Population, total"/>
    <s v="Demographics"/>
    <s v="SDG 11: Sustainable Cities and Communities"/>
    <n v="8425333"/>
    <s v="People"/>
    <s v="Afghanistan|1952"/>
    <s v="Gapminder/Plotly country-year extract reshaped to long indicator format for education"/>
    <s v="OK"/>
    <s v="1950s"/>
    <s v="N/A"/>
    <s v="Demographics"/>
  </r>
  <r>
    <s v="GM-00003"/>
    <s v="Afghanistan"/>
    <x v="0"/>
    <x v="0"/>
    <x v="2"/>
    <s v="GDP per capita"/>
    <s v="Economy"/>
    <s v="SDG 8: Decent Work and Economic Growth"/>
    <n v="779.44531449999999"/>
    <s v="Source-defined international dollars"/>
    <s v="Afghanistan|1952"/>
    <s v="Gapminder/Plotly country-year extract reshaped to long indicator format for education"/>
    <s v="OK"/>
    <s v="1950s"/>
    <s v="N/A"/>
    <s v="Economy"/>
  </r>
  <r>
    <s v="GM-00004"/>
    <s v="Afghanistan"/>
    <x v="0"/>
    <x v="1"/>
    <x v="0"/>
    <s v="Life expectancy at birth"/>
    <s v="Health"/>
    <s v="SDG 3: Good Health and Well-being"/>
    <n v="30.332000000000001"/>
    <s v="Years"/>
    <s v="Afghanistan|1957"/>
    <s v="Gapminder/Plotly country-year extract reshaped to long indicator format for education"/>
    <s v="OK"/>
    <s v="1950s"/>
    <s v="Low"/>
    <s v="Health"/>
  </r>
  <r>
    <s v="GM-00005"/>
    <s v="Afghanistan"/>
    <x v="0"/>
    <x v="1"/>
    <x v="1"/>
    <s v="Population, total"/>
    <s v="Demographics"/>
    <s v="SDG 11: Sustainable Cities and Communities"/>
    <n v="9240934"/>
    <s v="People"/>
    <s v="Afghanistan|1957"/>
    <s v="Gapminder/Plotly country-year extract reshaped to long indicator format for education"/>
    <s v="OK"/>
    <s v="1950s"/>
    <s v="N/A"/>
    <s v="Demographics"/>
  </r>
  <r>
    <s v="GM-00006"/>
    <s v="Afghanistan"/>
    <x v="0"/>
    <x v="1"/>
    <x v="2"/>
    <s v="GDP per capita"/>
    <s v="Economy"/>
    <s v="SDG 8: Decent Work and Economic Growth"/>
    <n v="820.85302960000001"/>
    <s v="Source-defined international dollars"/>
    <s v="Afghanistan|1957"/>
    <s v="Gapminder/Plotly country-year extract reshaped to long indicator format for education"/>
    <s v="OK"/>
    <s v="1950s"/>
    <s v="N/A"/>
    <s v="Economy"/>
  </r>
  <r>
    <s v="GM-00007"/>
    <s v="Afghanistan"/>
    <x v="0"/>
    <x v="2"/>
    <x v="0"/>
    <s v="Life expectancy at birth"/>
    <s v="Health"/>
    <s v="SDG 3: Good Health and Well-being"/>
    <n v="31.997"/>
    <s v="Years"/>
    <s v="Afghanistan|1962"/>
    <s v="Gapminder/Plotly country-year extract reshaped to long indicator format for education"/>
    <s v="OK"/>
    <s v="1960s"/>
    <s v="Low"/>
    <s v="Health"/>
  </r>
  <r>
    <s v="GM-00008"/>
    <s v="Afghanistan"/>
    <x v="0"/>
    <x v="2"/>
    <x v="1"/>
    <s v="Population, total"/>
    <s v="Demographics"/>
    <s v="SDG 11: Sustainable Cities and Communities"/>
    <n v="10267083"/>
    <s v="People"/>
    <s v="Afghanistan|1962"/>
    <s v="Gapminder/Plotly country-year extract reshaped to long indicator format for education"/>
    <s v="OK"/>
    <s v="1960s"/>
    <s v="N/A"/>
    <s v="Demographics"/>
  </r>
  <r>
    <s v="GM-00009"/>
    <s v="Afghanistan"/>
    <x v="0"/>
    <x v="2"/>
    <x v="2"/>
    <s v="GDP per capita"/>
    <s v="Economy"/>
    <s v="SDG 8: Decent Work and Economic Growth"/>
    <n v="853.10070999999903"/>
    <s v="Source-defined international dollars"/>
    <s v="Afghanistan|1962"/>
    <s v="Gapminder/Plotly country-year extract reshaped to long indicator format for education"/>
    <s v="OK"/>
    <s v="1960s"/>
    <s v="N/A"/>
    <s v="Economy"/>
  </r>
  <r>
    <s v="GM-00010"/>
    <s v="Afghanistan"/>
    <x v="0"/>
    <x v="3"/>
    <x v="0"/>
    <s v="Life expectancy at birth"/>
    <s v="Health"/>
    <s v="SDG 3: Good Health and Well-being"/>
    <n v="34.020000000000003"/>
    <s v="Years"/>
    <s v="Afghanistan|1967"/>
    <s v="Gapminder/Plotly country-year extract reshaped to long indicator format for education"/>
    <s v="OK"/>
    <s v="1960s"/>
    <s v="Low"/>
    <s v="Health"/>
  </r>
  <r>
    <s v="GM-00011"/>
    <s v="Afghanistan"/>
    <x v="0"/>
    <x v="3"/>
    <x v="1"/>
    <s v="Population, total"/>
    <s v="Demographics"/>
    <s v="SDG 11: Sustainable Cities and Communities"/>
    <n v="11537966"/>
    <s v="People"/>
    <s v="Afghanistan|1967"/>
    <s v="Gapminder/Plotly country-year extract reshaped to long indicator format for education"/>
    <s v="OK"/>
    <s v="1960s"/>
    <s v="N/A"/>
    <s v="Demographics"/>
  </r>
  <r>
    <s v="GM-00012"/>
    <s v="Afghanistan"/>
    <x v="0"/>
    <x v="3"/>
    <x v="2"/>
    <s v="GDP per capita"/>
    <s v="Economy"/>
    <s v="SDG 8: Decent Work and Economic Growth"/>
    <n v="836.19713820000004"/>
    <s v="Source-defined international dollars"/>
    <s v="Afghanistan|1967"/>
    <s v="Gapminder/Plotly country-year extract reshaped to long indicator format for education"/>
    <s v="OK"/>
    <s v="1960s"/>
    <s v="N/A"/>
    <s v="Economy"/>
  </r>
  <r>
    <s v="GM-00013"/>
    <s v="Afghanistan"/>
    <x v="0"/>
    <x v="4"/>
    <x v="0"/>
    <s v="Life expectancy at birth"/>
    <s v="Health"/>
    <s v="SDG 3: Good Health and Well-being"/>
    <n v="36.088000000000001"/>
    <s v="Years"/>
    <s v="Afghanistan|1972"/>
    <s v="Gapminder/Plotly country-year extract reshaped to long indicator format for education"/>
    <s v="OK"/>
    <s v="1970s"/>
    <s v="Low"/>
    <s v="Health"/>
  </r>
  <r>
    <s v="GM-00014"/>
    <s v="Afghanistan"/>
    <x v="0"/>
    <x v="4"/>
    <x v="1"/>
    <s v="Population, total"/>
    <s v="Demographics"/>
    <s v="SDG 11: Sustainable Cities and Communities"/>
    <n v="13079460"/>
    <s v="People"/>
    <s v="Afghanistan|1972"/>
    <s v="Gapminder/Plotly country-year extract reshaped to long indicator format for education"/>
    <s v="OK"/>
    <s v="1970s"/>
    <s v="N/A"/>
    <s v="Demographics"/>
  </r>
  <r>
    <s v="GM-00015"/>
    <s v="Afghanistan"/>
    <x v="0"/>
    <x v="4"/>
    <x v="2"/>
    <s v="GDP per capita"/>
    <s v="Economy"/>
    <s v="SDG 8: Decent Work and Economic Growth"/>
    <n v="739.981105799999"/>
    <s v="Source-defined international dollars"/>
    <s v="Afghanistan|1972"/>
    <s v="Gapminder/Plotly country-year extract reshaped to long indicator format for education"/>
    <s v="OK"/>
    <s v="1970s"/>
    <s v="N/A"/>
    <s v="Economy"/>
  </r>
  <r>
    <s v="GM-00016"/>
    <s v="Afghanistan"/>
    <x v="0"/>
    <x v="5"/>
    <x v="0"/>
    <s v="Life expectancy at birth"/>
    <s v="Health"/>
    <s v="SDG 3: Good Health and Well-being"/>
    <n v="38.438000000000002"/>
    <s v="Years"/>
    <s v="Afghanistan|1977"/>
    <s v="Gapminder/Plotly country-year extract reshaped to long indicator format for education"/>
    <s v="OK"/>
    <s v="1970s"/>
    <s v="Low"/>
    <s v="Health"/>
  </r>
  <r>
    <s v="GM-00017"/>
    <s v="Afghanistan"/>
    <x v="0"/>
    <x v="5"/>
    <x v="1"/>
    <s v="Population, total"/>
    <s v="Demographics"/>
    <s v="SDG 11: Sustainable Cities and Communities"/>
    <n v="14880372"/>
    <s v="People"/>
    <s v="Afghanistan|1977"/>
    <s v="Gapminder/Plotly country-year extract reshaped to long indicator format for education"/>
    <s v="OK"/>
    <s v="1970s"/>
    <s v="N/A"/>
    <s v="Demographics"/>
  </r>
  <r>
    <s v="GM-00018"/>
    <s v="Afghanistan"/>
    <x v="0"/>
    <x v="5"/>
    <x v="2"/>
    <s v="GDP per capita"/>
    <s v="Economy"/>
    <s v="SDG 8: Decent Work and Economic Growth"/>
    <n v="786.11335999999994"/>
    <s v="Source-defined international dollars"/>
    <s v="Afghanistan|1977"/>
    <s v="Gapminder/Plotly country-year extract reshaped to long indicator format for education"/>
    <s v="OK"/>
    <s v="1970s"/>
    <s v="N/A"/>
    <s v="Economy"/>
  </r>
  <r>
    <s v="GM-00019"/>
    <s v="Afghanistan"/>
    <x v="0"/>
    <x v="6"/>
    <x v="0"/>
    <s v="Life expectancy at birth"/>
    <s v="Health"/>
    <s v="SDG 3: Good Health and Well-being"/>
    <n v="39.853999999999999"/>
    <s v="Years"/>
    <s v="Afghanistan|1982"/>
    <s v="Gapminder/Plotly country-year extract reshaped to long indicator format for education"/>
    <s v="OK"/>
    <s v="1980s"/>
    <s v="Low"/>
    <s v="Health"/>
  </r>
  <r>
    <s v="GM-00020"/>
    <s v="Afghanistan"/>
    <x v="0"/>
    <x v="6"/>
    <x v="1"/>
    <s v="Population, total"/>
    <s v="Demographics"/>
    <s v="SDG 11: Sustainable Cities and Communities"/>
    <n v="12881816"/>
    <s v="People"/>
    <s v="Afghanistan|1982"/>
    <s v="Gapminder/Plotly country-year extract reshaped to long indicator format for education"/>
    <s v="OK"/>
    <s v="1980s"/>
    <s v="N/A"/>
    <s v="Demographics"/>
  </r>
  <r>
    <s v="GM-00021"/>
    <s v="Afghanistan"/>
    <x v="0"/>
    <x v="6"/>
    <x v="2"/>
    <s v="GDP per capita"/>
    <s v="Economy"/>
    <s v="SDG 8: Decent Work and Economic Growth"/>
    <n v="978.01143879999995"/>
    <s v="Source-defined international dollars"/>
    <s v="Afghanistan|1982"/>
    <s v="Gapminder/Plotly country-year extract reshaped to long indicator format for education"/>
    <s v="OK"/>
    <s v="1980s"/>
    <s v="N/A"/>
    <s v="Economy"/>
  </r>
  <r>
    <s v="GM-00022"/>
    <s v="Afghanistan"/>
    <x v="0"/>
    <x v="7"/>
    <x v="0"/>
    <s v="Life expectancy at birth"/>
    <s v="Health"/>
    <s v="SDG 3: Good Health and Well-being"/>
    <n v="40.822000000000003"/>
    <s v="Years"/>
    <s v="Afghanistan|1987"/>
    <s v="Gapminder/Plotly country-year extract reshaped to long indicator format for education"/>
    <s v="OK"/>
    <s v="1980s"/>
    <s v="Low"/>
    <s v="Health"/>
  </r>
  <r>
    <s v="GM-00023"/>
    <s v="Afghanistan"/>
    <x v="0"/>
    <x v="7"/>
    <x v="1"/>
    <s v="Population, total"/>
    <s v="Demographics"/>
    <s v="SDG 11: Sustainable Cities and Communities"/>
    <n v="13867957"/>
    <s v="People"/>
    <s v="Afghanistan|1987"/>
    <s v="Gapminder/Plotly country-year extract reshaped to long indicator format for education"/>
    <s v="OK"/>
    <s v="1980s"/>
    <s v="N/A"/>
    <s v="Demographics"/>
  </r>
  <r>
    <s v="GM-00024"/>
    <s v="Afghanistan"/>
    <x v="0"/>
    <x v="7"/>
    <x v="2"/>
    <s v="GDP per capita"/>
    <s v="Economy"/>
    <s v="SDG 8: Decent Work and Economic Growth"/>
    <n v="852.39594479999903"/>
    <s v="Source-defined international dollars"/>
    <s v="Afghanistan|1987"/>
    <s v="Gapminder/Plotly country-year extract reshaped to long indicator format for education"/>
    <s v="OK"/>
    <s v="1980s"/>
    <s v="N/A"/>
    <s v="Economy"/>
  </r>
  <r>
    <s v="GM-00025"/>
    <s v="Afghanistan"/>
    <x v="0"/>
    <x v="8"/>
    <x v="0"/>
    <s v="Life expectancy at birth"/>
    <s v="Health"/>
    <s v="SDG 3: Good Health and Well-being"/>
    <n v="41.673999999999999"/>
    <s v="Years"/>
    <s v="Afghanistan|1992"/>
    <s v="Gapminder/Plotly country-year extract reshaped to long indicator format for education"/>
    <s v="OK"/>
    <s v="1990s"/>
    <s v="Low"/>
    <s v="Health"/>
  </r>
  <r>
    <s v="GM-00026"/>
    <s v="Afghanistan"/>
    <x v="0"/>
    <x v="8"/>
    <x v="1"/>
    <s v="Population, total"/>
    <s v="Demographics"/>
    <s v="SDG 11: Sustainable Cities and Communities"/>
    <n v="16317921"/>
    <s v="People"/>
    <s v="Afghanistan|1992"/>
    <s v="Gapminder/Plotly country-year extract reshaped to long indicator format for education"/>
    <s v="OK"/>
    <s v="1990s"/>
    <s v="N/A"/>
    <s v="Demographics"/>
  </r>
  <r>
    <s v="GM-00027"/>
    <s v="Afghanistan"/>
    <x v="0"/>
    <x v="8"/>
    <x v="2"/>
    <s v="GDP per capita"/>
    <s v="Economy"/>
    <s v="SDG 8: Decent Work and Economic Growth"/>
    <n v="649.34139519999997"/>
    <s v="Source-defined international dollars"/>
    <s v="Afghanistan|1992"/>
    <s v="Gapminder/Plotly country-year extract reshaped to long indicator format for education"/>
    <s v="OK"/>
    <s v="1990s"/>
    <s v="N/A"/>
    <s v="Economy"/>
  </r>
  <r>
    <s v="GM-00028"/>
    <s v="Afghanistan"/>
    <x v="0"/>
    <x v="9"/>
    <x v="0"/>
    <s v="Life expectancy at birth"/>
    <s v="Health"/>
    <s v="SDG 3: Good Health and Well-being"/>
    <n v="41.762999999999998"/>
    <s v="Years"/>
    <s v="Afghanistan|1997"/>
    <s v="Gapminder/Plotly country-year extract reshaped to long indicator format for education"/>
    <s v="OK"/>
    <s v="1990s"/>
    <s v="Low"/>
    <s v="Health"/>
  </r>
  <r>
    <s v="GM-00029"/>
    <s v="Afghanistan"/>
    <x v="0"/>
    <x v="9"/>
    <x v="1"/>
    <s v="Population, total"/>
    <s v="Demographics"/>
    <s v="SDG 11: Sustainable Cities and Communities"/>
    <n v="22227415"/>
    <s v="People"/>
    <s v="Afghanistan|1997"/>
    <s v="Gapminder/Plotly country-year extract reshaped to long indicator format for education"/>
    <s v="OK"/>
    <s v="1990s"/>
    <s v="N/A"/>
    <s v="Demographics"/>
  </r>
  <r>
    <s v="GM-00030"/>
    <s v="Afghanistan"/>
    <x v="0"/>
    <x v="9"/>
    <x v="2"/>
    <s v="GDP per capita"/>
    <s v="Economy"/>
    <s v="SDG 8: Decent Work and Economic Growth"/>
    <n v="635.34135100000003"/>
    <s v="Source-defined international dollars"/>
    <s v="Afghanistan|1997"/>
    <s v="Gapminder/Plotly country-year extract reshaped to long indicator format for education"/>
    <s v="OK"/>
    <s v="1990s"/>
    <s v="N/A"/>
    <s v="Economy"/>
  </r>
  <r>
    <s v="GM-00031"/>
    <s v="Afghanistan"/>
    <x v="0"/>
    <x v="10"/>
    <x v="0"/>
    <s v="Life expectancy at birth"/>
    <s v="Health"/>
    <s v="SDG 3: Good Health and Well-being"/>
    <n v="42.128999999999998"/>
    <s v="Years"/>
    <s v="Afghanistan|2002"/>
    <s v="Gapminder/Plotly country-year extract reshaped to long indicator format for education"/>
    <s v="OK"/>
    <s v="2000s"/>
    <s v="Low"/>
    <s v="Health"/>
  </r>
  <r>
    <s v="GM-00032"/>
    <s v="Afghanistan"/>
    <x v="0"/>
    <x v="10"/>
    <x v="1"/>
    <s v="Population, total"/>
    <s v="Demographics"/>
    <s v="SDG 11: Sustainable Cities and Communities"/>
    <n v="25268405"/>
    <s v="People"/>
    <s v="Afghanistan|2002"/>
    <s v="Gapminder/Plotly country-year extract reshaped to long indicator format for education"/>
    <s v="OK"/>
    <s v="2000s"/>
    <s v="N/A"/>
    <s v="Demographics"/>
  </r>
  <r>
    <s v="GM-00033"/>
    <s v="Afghanistan"/>
    <x v="0"/>
    <x v="10"/>
    <x v="2"/>
    <s v="GDP per capita"/>
    <s v="Economy"/>
    <s v="SDG 8: Decent Work and Economic Growth"/>
    <n v="726.73405479999997"/>
    <s v="Source-defined international dollars"/>
    <s v="Afghanistan|2002"/>
    <s v="Gapminder/Plotly country-year extract reshaped to long indicator format for education"/>
    <s v="OK"/>
    <s v="2000s"/>
    <s v="N/A"/>
    <s v="Economy"/>
  </r>
  <r>
    <s v="GM-00034"/>
    <s v="Afghanistan"/>
    <x v="0"/>
    <x v="11"/>
    <x v="0"/>
    <s v="Life expectancy at birth"/>
    <s v="Health"/>
    <s v="SDG 3: Good Health and Well-being"/>
    <n v="43.828000000000003"/>
    <s v="Years"/>
    <s v="Afghanistan|2007"/>
    <s v="Gapminder/Plotly country-year extract reshaped to long indicator format for education"/>
    <s v="OK"/>
    <s v="2000s"/>
    <s v="Low"/>
    <s v="Health"/>
  </r>
  <r>
    <s v="GM-00035"/>
    <s v="Afghanistan"/>
    <x v="0"/>
    <x v="11"/>
    <x v="1"/>
    <s v="Population, total"/>
    <s v="Demographics"/>
    <s v="SDG 11: Sustainable Cities and Communities"/>
    <n v="31889923"/>
    <s v="People"/>
    <s v="Afghanistan|2007"/>
    <s v="Gapminder/Plotly country-year extract reshaped to long indicator format for education"/>
    <s v="OK"/>
    <s v="2000s"/>
    <s v="N/A"/>
    <s v="Demographics"/>
  </r>
  <r>
    <s v="GM-00036"/>
    <s v="Afghanistan"/>
    <x v="0"/>
    <x v="11"/>
    <x v="2"/>
    <s v="GDP per capita"/>
    <s v="Economy"/>
    <s v="SDG 8: Decent Work and Economic Growth"/>
    <n v="974.58033839999996"/>
    <s v="Source-defined international dollars"/>
    <s v="Afghanistan|2007"/>
    <s v="Gapminder/Plotly country-year extract reshaped to long indicator format for education"/>
    <s v="OK"/>
    <s v="2000s"/>
    <s v="N/A"/>
    <s v="Economy"/>
  </r>
  <r>
    <s v="GM-00037"/>
    <s v="Albania"/>
    <x v="1"/>
    <x v="0"/>
    <x v="0"/>
    <s v="Life expectancy at birth"/>
    <s v="Health"/>
    <s v="SDG 3: Good Health and Well-being"/>
    <n v="55.23"/>
    <s v="Years"/>
    <s v="Albania|1952"/>
    <s v="Gapminder/Plotly country-year extract reshaped to long indicator format for education"/>
    <s v="OK"/>
    <s v="1950s"/>
    <s v="Medium"/>
    <s v="Health"/>
  </r>
  <r>
    <s v="GM-00038"/>
    <s v="Albania"/>
    <x v="1"/>
    <x v="0"/>
    <x v="1"/>
    <s v="Population, total"/>
    <s v="Demographics"/>
    <s v="SDG 11: Sustainable Cities and Communities"/>
    <n v="1282697"/>
    <s v="People"/>
    <s v="Albania|1952"/>
    <s v="Gapminder/Plotly country-year extract reshaped to long indicator format for education"/>
    <s v="OK"/>
    <s v="1950s"/>
    <s v="N/A"/>
    <s v="Demographics"/>
  </r>
  <r>
    <s v="GM-00039"/>
    <s v="Albania"/>
    <x v="1"/>
    <x v="0"/>
    <x v="2"/>
    <s v="GDP per capita"/>
    <s v="Economy"/>
    <s v="SDG 8: Decent Work and Economic Growth"/>
    <n v="1601.0561359999999"/>
    <s v="Source-defined international dollars"/>
    <s v="Albania|1952"/>
    <s v="Gapminder/Plotly country-year extract reshaped to long indicator format for education"/>
    <s v="OK"/>
    <s v="1950s"/>
    <s v="N/A"/>
    <s v="Economy"/>
  </r>
  <r>
    <s v="GM-00040"/>
    <s v="Albania"/>
    <x v="1"/>
    <x v="1"/>
    <x v="0"/>
    <s v="Life expectancy at birth"/>
    <s v="Health"/>
    <s v="SDG 3: Good Health and Well-being"/>
    <n v="59.28"/>
    <s v="Years"/>
    <s v="Albania|1957"/>
    <s v="Gapminder/Plotly country-year extract reshaped to long indicator format for education"/>
    <s v="OK"/>
    <s v="1950s"/>
    <s v="Medium"/>
    <s v="Health"/>
  </r>
  <r>
    <s v="GM-00041"/>
    <s v="Albania"/>
    <x v="1"/>
    <x v="1"/>
    <x v="1"/>
    <s v="Population, total"/>
    <s v="Demographics"/>
    <s v="SDG 11: Sustainable Cities and Communities"/>
    <n v="1476505"/>
    <s v="People"/>
    <s v="Albania|1957"/>
    <s v="Gapminder/Plotly country-year extract reshaped to long indicator format for education"/>
    <s v="OK"/>
    <s v="1950s"/>
    <s v="N/A"/>
    <s v="Demographics"/>
  </r>
  <r>
    <s v="GM-00042"/>
    <s v="Albania"/>
    <x v="1"/>
    <x v="1"/>
    <x v="2"/>
    <s v="GDP per capita"/>
    <s v="Economy"/>
    <s v="SDG 8: Decent Work and Economic Growth"/>
    <n v="1942.2842439999999"/>
    <s v="Source-defined international dollars"/>
    <s v="Albania|1957"/>
    <s v="Gapminder/Plotly country-year extract reshaped to long indicator format for education"/>
    <s v="OK"/>
    <s v="1950s"/>
    <s v="N/A"/>
    <s v="Economy"/>
  </r>
  <r>
    <s v="GM-00043"/>
    <s v="Albania"/>
    <x v="1"/>
    <x v="2"/>
    <x v="0"/>
    <s v="Life expectancy at birth"/>
    <s v="Health"/>
    <s v="SDG 3: Good Health and Well-being"/>
    <n v="64.819999999999993"/>
    <s v="Years"/>
    <s v="Albania|1962"/>
    <s v="Gapminder/Plotly country-year extract reshaped to long indicator format for education"/>
    <s v="OK"/>
    <s v="1960s"/>
    <s v="Medium"/>
    <s v="Health"/>
  </r>
  <r>
    <s v="GM-00044"/>
    <s v="Albania"/>
    <x v="1"/>
    <x v="2"/>
    <x v="1"/>
    <s v="Population, total"/>
    <s v="Demographics"/>
    <s v="SDG 11: Sustainable Cities and Communities"/>
    <n v="1728137"/>
    <s v="People"/>
    <s v="Albania|1962"/>
    <s v="Gapminder/Plotly country-year extract reshaped to long indicator format for education"/>
    <s v="OK"/>
    <s v="1960s"/>
    <s v="N/A"/>
    <s v="Demographics"/>
  </r>
  <r>
    <s v="GM-00045"/>
    <s v="Albania"/>
    <x v="1"/>
    <x v="2"/>
    <x v="2"/>
    <s v="GDP per capita"/>
    <s v="Economy"/>
    <s v="SDG 8: Decent Work and Economic Growth"/>
    <n v="2312.888958"/>
    <s v="Source-defined international dollars"/>
    <s v="Albania|1962"/>
    <s v="Gapminder/Plotly country-year extract reshaped to long indicator format for education"/>
    <s v="OK"/>
    <s v="1960s"/>
    <s v="N/A"/>
    <s v="Economy"/>
  </r>
  <r>
    <s v="GM-00046"/>
    <s v="Albania"/>
    <x v="1"/>
    <x v="3"/>
    <x v="0"/>
    <s v="Life expectancy at birth"/>
    <s v="Health"/>
    <s v="SDG 3: Good Health and Well-being"/>
    <n v="66.22"/>
    <s v="Years"/>
    <s v="Albania|1967"/>
    <s v="Gapminder/Plotly country-year extract reshaped to long indicator format for education"/>
    <s v="OK"/>
    <s v="1960s"/>
    <s v="Medium"/>
    <s v="Health"/>
  </r>
  <r>
    <s v="GM-00047"/>
    <s v="Albania"/>
    <x v="1"/>
    <x v="3"/>
    <x v="1"/>
    <s v="Population, total"/>
    <s v="Demographics"/>
    <s v="SDG 11: Sustainable Cities and Communities"/>
    <n v="1984060"/>
    <s v="People"/>
    <s v="Albania|1967"/>
    <s v="Gapminder/Plotly country-year extract reshaped to long indicator format for education"/>
    <s v="OK"/>
    <s v="1960s"/>
    <s v="N/A"/>
    <s v="Demographics"/>
  </r>
  <r>
    <s v="GM-00048"/>
    <s v="Albania"/>
    <x v="1"/>
    <x v="3"/>
    <x v="2"/>
    <s v="GDP per capita"/>
    <s v="Economy"/>
    <s v="SDG 8: Decent Work and Economic Growth"/>
    <n v="2760.1969309999999"/>
    <s v="Source-defined international dollars"/>
    <s v="Albania|1967"/>
    <s v="Gapminder/Plotly country-year extract reshaped to long indicator format for education"/>
    <s v="OK"/>
    <s v="1960s"/>
    <s v="N/A"/>
    <s v="Economy"/>
  </r>
  <r>
    <s v="GM-00049"/>
    <s v="Albania"/>
    <x v="1"/>
    <x v="4"/>
    <x v="0"/>
    <s v="Life expectancy at birth"/>
    <s v="Health"/>
    <s v="SDG 3: Good Health and Well-being"/>
    <n v="67.69"/>
    <s v="Years"/>
    <s v="Albania|1972"/>
    <s v="Gapminder/Plotly country-year extract reshaped to long indicator format for education"/>
    <s v="OK"/>
    <s v="1970s"/>
    <s v="Medium"/>
    <s v="Health"/>
  </r>
  <r>
    <s v="GM-00050"/>
    <s v="Albania"/>
    <x v="1"/>
    <x v="4"/>
    <x v="1"/>
    <s v="Population, total"/>
    <s v="Demographics"/>
    <s v="SDG 11: Sustainable Cities and Communities"/>
    <n v="2263554"/>
    <s v="People"/>
    <s v="Albania|1972"/>
    <s v="Gapminder/Plotly country-year extract reshaped to long indicator format for education"/>
    <s v="OK"/>
    <s v="1970s"/>
    <s v="N/A"/>
    <s v="Demographics"/>
  </r>
  <r>
    <s v="GM-00051"/>
    <s v="Albania"/>
    <x v="1"/>
    <x v="4"/>
    <x v="2"/>
    <s v="GDP per capita"/>
    <s v="Economy"/>
    <s v="SDG 8: Decent Work and Economic Growth"/>
    <n v="3313.422188"/>
    <s v="Source-defined international dollars"/>
    <s v="Albania|1972"/>
    <s v="Gapminder/Plotly country-year extract reshaped to long indicator format for education"/>
    <s v="OK"/>
    <s v="1970s"/>
    <s v="N/A"/>
    <s v="Economy"/>
  </r>
  <r>
    <s v="GM-00052"/>
    <s v="Albania"/>
    <x v="1"/>
    <x v="5"/>
    <x v="0"/>
    <s v="Life expectancy at birth"/>
    <s v="Health"/>
    <s v="SDG 3: Good Health and Well-being"/>
    <n v="68.930000000000007"/>
    <s v="Years"/>
    <s v="Albania|1977"/>
    <s v="Gapminder/Plotly country-year extract reshaped to long indicator format for education"/>
    <s v="OK"/>
    <s v="1970s"/>
    <s v="Medium"/>
    <s v="Health"/>
  </r>
  <r>
    <s v="GM-00053"/>
    <s v="Albania"/>
    <x v="1"/>
    <x v="5"/>
    <x v="1"/>
    <s v="Population, total"/>
    <s v="Demographics"/>
    <s v="SDG 11: Sustainable Cities and Communities"/>
    <n v="2509048"/>
    <s v="People"/>
    <s v="Albania|1977"/>
    <s v="Gapminder/Plotly country-year extract reshaped to long indicator format for education"/>
    <s v="OK"/>
    <s v="1970s"/>
    <s v="N/A"/>
    <s v="Demographics"/>
  </r>
  <r>
    <s v="GM-00054"/>
    <s v="Albania"/>
    <x v="1"/>
    <x v="5"/>
    <x v="2"/>
    <s v="GDP per capita"/>
    <s v="Economy"/>
    <s v="SDG 8: Decent Work and Economic Growth"/>
    <n v="3533.0039099999999"/>
    <s v="Source-defined international dollars"/>
    <s v="Albania|1977"/>
    <s v="Gapminder/Plotly country-year extract reshaped to long indicator format for education"/>
    <s v="OK"/>
    <s v="1970s"/>
    <s v="N/A"/>
    <s v="Economy"/>
  </r>
  <r>
    <s v="GM-00055"/>
    <s v="Albania"/>
    <x v="1"/>
    <x v="6"/>
    <x v="0"/>
    <s v="Life expectancy at birth"/>
    <s v="Health"/>
    <s v="SDG 3: Good Health and Well-being"/>
    <n v="70.42"/>
    <s v="Years"/>
    <s v="Albania|1982"/>
    <s v="Gapminder/Plotly country-year extract reshaped to long indicator format for education"/>
    <s v="OK"/>
    <s v="1980s"/>
    <s v="High"/>
    <s v="Health"/>
  </r>
  <r>
    <s v="GM-00056"/>
    <s v="Albania"/>
    <x v="1"/>
    <x v="6"/>
    <x v="1"/>
    <s v="Population, total"/>
    <s v="Demographics"/>
    <s v="SDG 11: Sustainable Cities and Communities"/>
    <n v="2780097"/>
    <s v="People"/>
    <s v="Albania|1982"/>
    <s v="Gapminder/Plotly country-year extract reshaped to long indicator format for education"/>
    <s v="OK"/>
    <s v="1980s"/>
    <s v="N/A"/>
    <s v="Demographics"/>
  </r>
  <r>
    <s v="GM-00057"/>
    <s v="Albania"/>
    <x v="1"/>
    <x v="6"/>
    <x v="2"/>
    <s v="GDP per capita"/>
    <s v="Economy"/>
    <s v="SDG 8: Decent Work and Economic Growth"/>
    <n v="3630.8807219999999"/>
    <s v="Source-defined international dollars"/>
    <s v="Albania|1982"/>
    <s v="Gapminder/Plotly country-year extract reshaped to long indicator format for education"/>
    <s v="OK"/>
    <s v="1980s"/>
    <s v="N/A"/>
    <s v="Economy"/>
  </r>
  <r>
    <s v="GM-00058"/>
    <s v="Albania"/>
    <x v="1"/>
    <x v="7"/>
    <x v="0"/>
    <s v="Life expectancy at birth"/>
    <s v="Health"/>
    <s v="SDG 3: Good Health and Well-being"/>
    <n v="72"/>
    <s v="Years"/>
    <s v="Albania|1987"/>
    <s v="Gapminder/Plotly country-year extract reshaped to long indicator format for education"/>
    <s v="OK"/>
    <s v="1980s"/>
    <s v="High"/>
    <s v="Health"/>
  </r>
  <r>
    <s v="GM-00059"/>
    <s v="Albania"/>
    <x v="1"/>
    <x v="7"/>
    <x v="1"/>
    <s v="Population, total"/>
    <s v="Demographics"/>
    <s v="SDG 11: Sustainable Cities and Communities"/>
    <n v="3075321"/>
    <s v="People"/>
    <s v="Albania|1987"/>
    <s v="Gapminder/Plotly country-year extract reshaped to long indicator format for education"/>
    <s v="OK"/>
    <s v="1980s"/>
    <s v="N/A"/>
    <s v="Demographics"/>
  </r>
  <r>
    <s v="GM-00060"/>
    <s v="Albania"/>
    <x v="1"/>
    <x v="7"/>
    <x v="2"/>
    <s v="GDP per capita"/>
    <s v="Economy"/>
    <s v="SDG 8: Decent Work and Economic Growth"/>
    <n v="3738.9327349999999"/>
    <s v="Source-defined international dollars"/>
    <s v="Albania|1987"/>
    <s v="Gapminder/Plotly country-year extract reshaped to long indicator format for education"/>
    <s v="OK"/>
    <s v="1980s"/>
    <s v="N/A"/>
    <s v="Economy"/>
  </r>
  <r>
    <s v="GM-00061"/>
    <s v="Albania"/>
    <x v="1"/>
    <x v="8"/>
    <x v="0"/>
    <s v="Life expectancy at birth"/>
    <s v="Health"/>
    <s v="SDG 3: Good Health and Well-being"/>
    <n v="71.581000000000003"/>
    <s v="Years"/>
    <s v="Albania|1992"/>
    <s v="Gapminder/Plotly country-year extract reshaped to long indicator format for education"/>
    <s v="OK"/>
    <s v="1990s"/>
    <s v="High"/>
    <s v="Health"/>
  </r>
  <r>
    <s v="GM-00062"/>
    <s v="Albania"/>
    <x v="1"/>
    <x v="8"/>
    <x v="1"/>
    <s v="Population, total"/>
    <s v="Demographics"/>
    <s v="SDG 11: Sustainable Cities and Communities"/>
    <n v="3326498"/>
    <s v="People"/>
    <s v="Albania|1992"/>
    <s v="Gapminder/Plotly country-year extract reshaped to long indicator format for education"/>
    <s v="OK"/>
    <s v="1990s"/>
    <s v="N/A"/>
    <s v="Demographics"/>
  </r>
  <r>
    <s v="GM-00063"/>
    <s v="Albania"/>
    <x v="1"/>
    <x v="8"/>
    <x v="2"/>
    <s v="GDP per capita"/>
    <s v="Economy"/>
    <s v="SDG 8: Decent Work and Economic Growth"/>
    <n v="2497.4379009999998"/>
    <s v="Source-defined international dollars"/>
    <s v="Albania|1992"/>
    <s v="Gapminder/Plotly country-year extract reshaped to long indicator format for education"/>
    <s v="OK"/>
    <s v="1990s"/>
    <s v="N/A"/>
    <s v="Economy"/>
  </r>
  <r>
    <s v="GM-00064"/>
    <s v="Albania"/>
    <x v="1"/>
    <x v="9"/>
    <x v="0"/>
    <s v="Life expectancy at birth"/>
    <s v="Health"/>
    <s v="SDG 3: Good Health and Well-being"/>
    <n v="72.95"/>
    <s v="Years"/>
    <s v="Albania|1997"/>
    <s v="Gapminder/Plotly country-year extract reshaped to long indicator format for education"/>
    <s v="OK"/>
    <s v="1990s"/>
    <s v="High"/>
    <s v="Health"/>
  </r>
  <r>
    <s v="GM-00065"/>
    <s v="Albania"/>
    <x v="1"/>
    <x v="9"/>
    <x v="1"/>
    <s v="Population, total"/>
    <s v="Demographics"/>
    <s v="SDG 11: Sustainable Cities and Communities"/>
    <n v="3428038"/>
    <s v="People"/>
    <s v="Albania|1997"/>
    <s v="Gapminder/Plotly country-year extract reshaped to long indicator format for education"/>
    <s v="OK"/>
    <s v="1990s"/>
    <s v="N/A"/>
    <s v="Demographics"/>
  </r>
  <r>
    <s v="GM-00066"/>
    <s v="Albania"/>
    <x v="1"/>
    <x v="9"/>
    <x v="2"/>
    <s v="GDP per capita"/>
    <s v="Economy"/>
    <s v="SDG 8: Decent Work and Economic Growth"/>
    <n v="3193.0546039999999"/>
    <s v="Source-defined international dollars"/>
    <s v="Albania|1997"/>
    <s v="Gapminder/Plotly country-year extract reshaped to long indicator format for education"/>
    <s v="OK"/>
    <s v="1990s"/>
    <s v="N/A"/>
    <s v="Economy"/>
  </r>
  <r>
    <s v="GM-00067"/>
    <s v="Albania"/>
    <x v="1"/>
    <x v="10"/>
    <x v="0"/>
    <s v="Life expectancy at birth"/>
    <s v="Health"/>
    <s v="SDG 3: Good Health and Well-being"/>
    <n v="75.650999999999996"/>
    <s v="Years"/>
    <s v="Albania|2002"/>
    <s v="Gapminder/Plotly country-year extract reshaped to long indicator format for education"/>
    <s v="OK"/>
    <s v="2000s"/>
    <s v="High"/>
    <s v="Health"/>
  </r>
  <r>
    <s v="GM-00068"/>
    <s v="Albania"/>
    <x v="1"/>
    <x v="10"/>
    <x v="1"/>
    <s v="Population, total"/>
    <s v="Demographics"/>
    <s v="SDG 11: Sustainable Cities and Communities"/>
    <n v="3508512"/>
    <s v="People"/>
    <s v="Albania|2002"/>
    <s v="Gapminder/Plotly country-year extract reshaped to long indicator format for education"/>
    <s v="OK"/>
    <s v="2000s"/>
    <s v="N/A"/>
    <s v="Demographics"/>
  </r>
  <r>
    <s v="GM-00069"/>
    <s v="Albania"/>
    <x v="1"/>
    <x v="10"/>
    <x v="2"/>
    <s v="GDP per capita"/>
    <s v="Economy"/>
    <s v="SDG 8: Decent Work and Economic Growth"/>
    <n v="4604.2117369999996"/>
    <s v="Source-defined international dollars"/>
    <s v="Albania|2002"/>
    <s v="Gapminder/Plotly country-year extract reshaped to long indicator format for education"/>
    <s v="OK"/>
    <s v="2000s"/>
    <s v="N/A"/>
    <s v="Economy"/>
  </r>
  <r>
    <s v="GM-00070"/>
    <s v="Albania"/>
    <x v="1"/>
    <x v="11"/>
    <x v="0"/>
    <s v="Life expectancy at birth"/>
    <s v="Health"/>
    <s v="SDG 3: Good Health and Well-being"/>
    <n v="76.423000000000002"/>
    <s v="Years"/>
    <s v="Albania|2007"/>
    <s v="Gapminder/Plotly country-year extract reshaped to long indicator format for education"/>
    <s v="OK"/>
    <s v="2000s"/>
    <s v="High"/>
    <s v="Health"/>
  </r>
  <r>
    <s v="GM-00071"/>
    <s v="Albania"/>
    <x v="1"/>
    <x v="11"/>
    <x v="1"/>
    <s v="Population, total"/>
    <s v="Demographics"/>
    <s v="SDG 11: Sustainable Cities and Communities"/>
    <n v="3600523"/>
    <s v="People"/>
    <s v="Albania|2007"/>
    <s v="Gapminder/Plotly country-year extract reshaped to long indicator format for education"/>
    <s v="OK"/>
    <s v="2000s"/>
    <s v="N/A"/>
    <s v="Demographics"/>
  </r>
  <r>
    <s v="GM-00072"/>
    <s v="Albania"/>
    <x v="1"/>
    <x v="11"/>
    <x v="2"/>
    <s v="GDP per capita"/>
    <s v="Economy"/>
    <s v="SDG 8: Decent Work and Economic Growth"/>
    <n v="5937.0295259999903"/>
    <s v="Source-defined international dollars"/>
    <s v="Albania|2007"/>
    <s v="Gapminder/Plotly country-year extract reshaped to long indicator format for education"/>
    <s v="OK"/>
    <s v="2000s"/>
    <s v="N/A"/>
    <s v="Economy"/>
  </r>
  <r>
    <s v="GM-00073"/>
    <s v="Algeria"/>
    <x v="2"/>
    <x v="0"/>
    <x v="0"/>
    <s v="Life expectancy at birth"/>
    <s v="Health"/>
    <s v="SDG 3: Good Health and Well-being"/>
    <n v="43.076999999999998"/>
    <s v="Years"/>
    <s v="Algeria|1952"/>
    <s v="Gapminder/Plotly country-year extract reshaped to long indicator format for education"/>
    <s v="OK"/>
    <s v="1950s"/>
    <s v="Low"/>
    <s v="Health"/>
  </r>
  <r>
    <s v="GM-00074"/>
    <s v="Algeria"/>
    <x v="2"/>
    <x v="0"/>
    <x v="1"/>
    <s v="Population, total"/>
    <s v="Demographics"/>
    <s v="SDG 11: Sustainable Cities and Communities"/>
    <n v="9279525"/>
    <s v="People"/>
    <s v="Algeria|1952"/>
    <s v="Gapminder/Plotly country-year extract reshaped to long indicator format for education"/>
    <s v="OK"/>
    <s v="1950s"/>
    <s v="N/A"/>
    <s v="Demographics"/>
  </r>
  <r>
    <s v="GM-00075"/>
    <s v="Algeria"/>
    <x v="2"/>
    <x v="0"/>
    <x v="2"/>
    <s v="GDP per capita"/>
    <s v="Economy"/>
    <s v="SDG 8: Decent Work and Economic Growth"/>
    <n v="2449.0081850000001"/>
    <s v="Source-defined international dollars"/>
    <s v="Algeria|1952"/>
    <s v="Gapminder/Plotly country-year extract reshaped to long indicator format for education"/>
    <s v="OK"/>
    <s v="1950s"/>
    <s v="N/A"/>
    <s v="Economy"/>
  </r>
  <r>
    <s v="GM-00076"/>
    <s v="Algeria"/>
    <x v="2"/>
    <x v="1"/>
    <x v="0"/>
    <s v="Life expectancy at birth"/>
    <s v="Health"/>
    <s v="SDG 3: Good Health and Well-being"/>
    <n v="45.685000000000002"/>
    <s v="Years"/>
    <s v="Algeria|1957"/>
    <s v="Gapminder/Plotly country-year extract reshaped to long indicator format for education"/>
    <s v="OK"/>
    <s v="1950s"/>
    <s v="Low"/>
    <s v="Health"/>
  </r>
  <r>
    <s v="GM-00077"/>
    <s v="Algeria"/>
    <x v="2"/>
    <x v="1"/>
    <x v="1"/>
    <s v="Population, total"/>
    <s v="Demographics"/>
    <s v="SDG 11: Sustainable Cities and Communities"/>
    <n v="10270856"/>
    <s v="People"/>
    <s v="Algeria|1957"/>
    <s v="Gapminder/Plotly country-year extract reshaped to long indicator format for education"/>
    <s v="OK"/>
    <s v="1950s"/>
    <s v="N/A"/>
    <s v="Demographics"/>
  </r>
  <r>
    <s v="GM-00078"/>
    <s v="Algeria"/>
    <x v="2"/>
    <x v="1"/>
    <x v="2"/>
    <s v="GDP per capita"/>
    <s v="Economy"/>
    <s v="SDG 8: Decent Work and Economic Growth"/>
    <n v="3013.9760230000002"/>
    <s v="Source-defined international dollars"/>
    <s v="Algeria|1957"/>
    <s v="Gapminder/Plotly country-year extract reshaped to long indicator format for education"/>
    <s v="OK"/>
    <s v="1950s"/>
    <s v="N/A"/>
    <s v="Economy"/>
  </r>
  <r>
    <s v="GM-00079"/>
    <s v="Algeria"/>
    <x v="2"/>
    <x v="2"/>
    <x v="0"/>
    <s v="Life expectancy at birth"/>
    <s v="Health"/>
    <s v="SDG 3: Good Health and Well-being"/>
    <n v="48.302999999999997"/>
    <s v="Years"/>
    <s v="Algeria|1962"/>
    <s v="Gapminder/Plotly country-year extract reshaped to long indicator format for education"/>
    <s v="OK"/>
    <s v="1960s"/>
    <s v="Low"/>
    <s v="Health"/>
  </r>
  <r>
    <s v="GM-00080"/>
    <s v="Algeria"/>
    <x v="2"/>
    <x v="2"/>
    <x v="1"/>
    <s v="Population, total"/>
    <s v="Demographics"/>
    <s v="SDG 11: Sustainable Cities and Communities"/>
    <n v="11000948"/>
    <s v="People"/>
    <s v="Algeria|1962"/>
    <s v="Gapminder/Plotly country-year extract reshaped to long indicator format for education"/>
    <s v="OK"/>
    <s v="1960s"/>
    <s v="N/A"/>
    <s v="Demographics"/>
  </r>
  <r>
    <s v="GM-00081"/>
    <s v="Algeria"/>
    <x v="2"/>
    <x v="2"/>
    <x v="2"/>
    <s v="GDP per capita"/>
    <s v="Economy"/>
    <s v="SDG 8: Decent Work and Economic Growth"/>
    <n v="2550.8168799999999"/>
    <s v="Source-defined international dollars"/>
    <s v="Algeria|1962"/>
    <s v="Gapminder/Plotly country-year extract reshaped to long indicator format for education"/>
    <s v="OK"/>
    <s v="1960s"/>
    <s v="N/A"/>
    <s v="Economy"/>
  </r>
  <r>
    <s v="GM-00082"/>
    <s v="Algeria"/>
    <x v="2"/>
    <x v="3"/>
    <x v="0"/>
    <s v="Life expectancy at birth"/>
    <s v="Health"/>
    <s v="SDG 3: Good Health and Well-being"/>
    <n v="51.406999999999996"/>
    <s v="Years"/>
    <s v="Algeria|1967"/>
    <s v="Gapminder/Plotly country-year extract reshaped to long indicator format for education"/>
    <s v="OK"/>
    <s v="1960s"/>
    <s v="Low"/>
    <s v="Health"/>
  </r>
  <r>
    <s v="GM-00083"/>
    <s v="Algeria"/>
    <x v="2"/>
    <x v="3"/>
    <x v="1"/>
    <s v="Population, total"/>
    <s v="Demographics"/>
    <s v="SDG 11: Sustainable Cities and Communities"/>
    <n v="12760499"/>
    <s v="People"/>
    <s v="Algeria|1967"/>
    <s v="Gapminder/Plotly country-year extract reshaped to long indicator format for education"/>
    <s v="OK"/>
    <s v="1960s"/>
    <s v="N/A"/>
    <s v="Demographics"/>
  </r>
  <r>
    <s v="GM-00084"/>
    <s v="Algeria"/>
    <x v="2"/>
    <x v="3"/>
    <x v="2"/>
    <s v="GDP per capita"/>
    <s v="Economy"/>
    <s v="SDG 8: Decent Work and Economic Growth"/>
    <n v="3246.991771"/>
    <s v="Source-defined international dollars"/>
    <s v="Algeria|1967"/>
    <s v="Gapminder/Plotly country-year extract reshaped to long indicator format for education"/>
    <s v="OK"/>
    <s v="1960s"/>
    <s v="N/A"/>
    <s v="Economy"/>
  </r>
  <r>
    <s v="GM-00085"/>
    <s v="Algeria"/>
    <x v="2"/>
    <x v="4"/>
    <x v="0"/>
    <s v="Life expectancy at birth"/>
    <s v="Health"/>
    <s v="SDG 3: Good Health and Well-being"/>
    <n v="54.518000000000001"/>
    <s v="Years"/>
    <s v="Algeria|1972"/>
    <s v="Gapminder/Plotly country-year extract reshaped to long indicator format for education"/>
    <s v="OK"/>
    <s v="1970s"/>
    <s v="Low"/>
    <s v="Health"/>
  </r>
  <r>
    <s v="GM-00086"/>
    <s v="Algeria"/>
    <x v="2"/>
    <x v="4"/>
    <x v="1"/>
    <s v="Population, total"/>
    <s v="Demographics"/>
    <s v="SDG 11: Sustainable Cities and Communities"/>
    <n v="14760787"/>
    <s v="People"/>
    <s v="Algeria|1972"/>
    <s v="Gapminder/Plotly country-year extract reshaped to long indicator format for education"/>
    <s v="OK"/>
    <s v="1970s"/>
    <s v="N/A"/>
    <s v="Demographics"/>
  </r>
  <r>
    <s v="GM-00087"/>
    <s v="Algeria"/>
    <x v="2"/>
    <x v="4"/>
    <x v="2"/>
    <s v="GDP per capita"/>
    <s v="Economy"/>
    <s v="SDG 8: Decent Work and Economic Growth"/>
    <n v="4182.6637659999997"/>
    <s v="Source-defined international dollars"/>
    <s v="Algeria|1972"/>
    <s v="Gapminder/Plotly country-year extract reshaped to long indicator format for education"/>
    <s v="OK"/>
    <s v="1970s"/>
    <s v="N/A"/>
    <s v="Economy"/>
  </r>
  <r>
    <s v="GM-00088"/>
    <s v="Algeria"/>
    <x v="2"/>
    <x v="5"/>
    <x v="0"/>
    <s v="Life expectancy at birth"/>
    <s v="Health"/>
    <s v="SDG 3: Good Health and Well-being"/>
    <n v="58.014000000000003"/>
    <s v="Years"/>
    <s v="Algeria|1977"/>
    <s v="Gapminder/Plotly country-year extract reshaped to long indicator format for education"/>
    <s v="OK"/>
    <s v="1970s"/>
    <s v="Medium"/>
    <s v="Health"/>
  </r>
  <r>
    <s v="GM-00089"/>
    <s v="Algeria"/>
    <x v="2"/>
    <x v="5"/>
    <x v="1"/>
    <s v="Population, total"/>
    <s v="Demographics"/>
    <s v="SDG 11: Sustainable Cities and Communities"/>
    <n v="17152804"/>
    <s v="People"/>
    <s v="Algeria|1977"/>
    <s v="Gapminder/Plotly country-year extract reshaped to long indicator format for education"/>
    <s v="OK"/>
    <s v="1970s"/>
    <s v="N/A"/>
    <s v="Demographics"/>
  </r>
  <r>
    <s v="GM-00090"/>
    <s v="Algeria"/>
    <x v="2"/>
    <x v="5"/>
    <x v="2"/>
    <s v="GDP per capita"/>
    <s v="Economy"/>
    <s v="SDG 8: Decent Work and Economic Growth"/>
    <n v="4910.4167559999996"/>
    <s v="Source-defined international dollars"/>
    <s v="Algeria|1977"/>
    <s v="Gapminder/Plotly country-year extract reshaped to long indicator format for education"/>
    <s v="OK"/>
    <s v="1970s"/>
    <s v="N/A"/>
    <s v="Economy"/>
  </r>
  <r>
    <s v="GM-00091"/>
    <s v="Algeria"/>
    <x v="2"/>
    <x v="6"/>
    <x v="0"/>
    <s v="Life expectancy at birth"/>
    <s v="Health"/>
    <s v="SDG 3: Good Health and Well-being"/>
    <n v="61.368000000000002"/>
    <s v="Years"/>
    <s v="Algeria|1982"/>
    <s v="Gapminder/Plotly country-year extract reshaped to long indicator format for education"/>
    <s v="OK"/>
    <s v="1980s"/>
    <s v="Medium"/>
    <s v="Health"/>
  </r>
  <r>
    <s v="GM-00092"/>
    <s v="Algeria"/>
    <x v="2"/>
    <x v="6"/>
    <x v="1"/>
    <s v="Population, total"/>
    <s v="Demographics"/>
    <s v="SDG 11: Sustainable Cities and Communities"/>
    <n v="20033753"/>
    <s v="People"/>
    <s v="Algeria|1982"/>
    <s v="Gapminder/Plotly country-year extract reshaped to long indicator format for education"/>
    <s v="OK"/>
    <s v="1980s"/>
    <s v="N/A"/>
    <s v="Demographics"/>
  </r>
  <r>
    <s v="GM-00093"/>
    <s v="Algeria"/>
    <x v="2"/>
    <x v="6"/>
    <x v="2"/>
    <s v="GDP per capita"/>
    <s v="Economy"/>
    <s v="SDG 8: Decent Work and Economic Growth"/>
    <n v="5745.1602130000001"/>
    <s v="Source-defined international dollars"/>
    <s v="Algeria|1982"/>
    <s v="Gapminder/Plotly country-year extract reshaped to long indicator format for education"/>
    <s v="OK"/>
    <s v="1980s"/>
    <s v="N/A"/>
    <s v="Economy"/>
  </r>
  <r>
    <s v="GM-00094"/>
    <s v="Algeria"/>
    <x v="2"/>
    <x v="7"/>
    <x v="0"/>
    <s v="Life expectancy at birth"/>
    <s v="Health"/>
    <s v="SDG 3: Good Health and Well-being"/>
    <n v="65.798999999999893"/>
    <s v="Years"/>
    <s v="Algeria|1987"/>
    <s v="Gapminder/Plotly country-year extract reshaped to long indicator format for education"/>
    <s v="OK"/>
    <s v="1980s"/>
    <s v="Medium"/>
    <s v="Health"/>
  </r>
  <r>
    <s v="GM-00095"/>
    <s v="Algeria"/>
    <x v="2"/>
    <x v="7"/>
    <x v="1"/>
    <s v="Population, total"/>
    <s v="Demographics"/>
    <s v="SDG 11: Sustainable Cities and Communities"/>
    <n v="23254956"/>
    <s v="People"/>
    <s v="Algeria|1987"/>
    <s v="Gapminder/Plotly country-year extract reshaped to long indicator format for education"/>
    <s v="OK"/>
    <s v="1980s"/>
    <s v="N/A"/>
    <s v="Demographics"/>
  </r>
  <r>
    <s v="GM-00096"/>
    <s v="Algeria"/>
    <x v="2"/>
    <x v="7"/>
    <x v="2"/>
    <s v="GDP per capita"/>
    <s v="Economy"/>
    <s v="SDG 8: Decent Work and Economic Growth"/>
    <n v="5681.3585389999998"/>
    <s v="Source-defined international dollars"/>
    <s v="Algeria|1987"/>
    <s v="Gapminder/Plotly country-year extract reshaped to long indicator format for education"/>
    <s v="OK"/>
    <s v="1980s"/>
    <s v="N/A"/>
    <s v="Economy"/>
  </r>
  <r>
    <s v="GM-00097"/>
    <s v="Algeria"/>
    <x v="2"/>
    <x v="8"/>
    <x v="0"/>
    <s v="Life expectancy at birth"/>
    <s v="Health"/>
    <s v="SDG 3: Good Health and Well-being"/>
    <n v="67.744"/>
    <s v="Years"/>
    <s v="Algeria|1992"/>
    <s v="Gapminder/Plotly country-year extract reshaped to long indicator format for education"/>
    <s v="OK"/>
    <s v="1990s"/>
    <s v="Medium"/>
    <s v="Health"/>
  </r>
  <r>
    <s v="GM-00098"/>
    <s v="Algeria"/>
    <x v="2"/>
    <x v="8"/>
    <x v="1"/>
    <s v="Population, total"/>
    <s v="Demographics"/>
    <s v="SDG 11: Sustainable Cities and Communities"/>
    <n v="26298373"/>
    <s v="People"/>
    <s v="Algeria|1992"/>
    <s v="Gapminder/Plotly country-year extract reshaped to long indicator format for education"/>
    <s v="OK"/>
    <s v="1990s"/>
    <s v="N/A"/>
    <s v="Demographics"/>
  </r>
  <r>
    <s v="GM-00099"/>
    <s v="Algeria"/>
    <x v="2"/>
    <x v="8"/>
    <x v="2"/>
    <s v="GDP per capita"/>
    <s v="Economy"/>
    <s v="SDG 8: Decent Work and Economic Growth"/>
    <n v="5023.2166470000002"/>
    <s v="Source-defined international dollars"/>
    <s v="Algeria|1992"/>
    <s v="Gapminder/Plotly country-year extract reshaped to long indicator format for education"/>
    <s v="OK"/>
    <s v="1990s"/>
    <s v="N/A"/>
    <s v="Economy"/>
  </r>
  <r>
    <s v="GM-00100"/>
    <s v="Algeria"/>
    <x v="2"/>
    <x v="9"/>
    <x v="0"/>
    <s v="Life expectancy at birth"/>
    <s v="Health"/>
    <s v="SDG 3: Good Health and Well-being"/>
    <n v="69.152000000000001"/>
    <s v="Years"/>
    <s v="Algeria|1997"/>
    <s v="Gapminder/Plotly country-year extract reshaped to long indicator format for education"/>
    <s v="OK"/>
    <s v="1990s"/>
    <s v="Medium"/>
    <s v="Health"/>
  </r>
  <r>
    <s v="GM-00101"/>
    <s v="Algeria"/>
    <x v="2"/>
    <x v="9"/>
    <x v="1"/>
    <s v="Population, total"/>
    <s v="Demographics"/>
    <s v="SDG 11: Sustainable Cities and Communities"/>
    <n v="29072015"/>
    <s v="People"/>
    <s v="Algeria|1997"/>
    <s v="Gapminder/Plotly country-year extract reshaped to long indicator format for education"/>
    <s v="OK"/>
    <s v="1990s"/>
    <s v="N/A"/>
    <s v="Demographics"/>
  </r>
  <r>
    <s v="GM-00102"/>
    <s v="Algeria"/>
    <x v="2"/>
    <x v="9"/>
    <x v="2"/>
    <s v="GDP per capita"/>
    <s v="Economy"/>
    <s v="SDG 8: Decent Work and Economic Growth"/>
    <n v="4797.2950510000001"/>
    <s v="Source-defined international dollars"/>
    <s v="Algeria|1997"/>
    <s v="Gapminder/Plotly country-year extract reshaped to long indicator format for education"/>
    <s v="OK"/>
    <s v="1990s"/>
    <s v="N/A"/>
    <s v="Economy"/>
  </r>
  <r>
    <s v="GM-00103"/>
    <s v="Algeria"/>
    <x v="2"/>
    <x v="10"/>
    <x v="0"/>
    <s v="Life expectancy at birth"/>
    <s v="Health"/>
    <s v="SDG 3: Good Health and Well-being"/>
    <n v="70.994"/>
    <s v="Years"/>
    <s v="Algeria|2002"/>
    <s v="Gapminder/Plotly country-year extract reshaped to long indicator format for education"/>
    <s v="OK"/>
    <s v="2000s"/>
    <s v="High"/>
    <s v="Health"/>
  </r>
  <r>
    <s v="GM-00104"/>
    <s v="Algeria"/>
    <x v="2"/>
    <x v="10"/>
    <x v="1"/>
    <s v="Population, total"/>
    <s v="Demographics"/>
    <s v="SDG 11: Sustainable Cities and Communities"/>
    <n v="31287142"/>
    <s v="People"/>
    <s v="Algeria|2002"/>
    <s v="Gapminder/Plotly country-year extract reshaped to long indicator format for education"/>
    <s v="OK"/>
    <s v="2000s"/>
    <s v="N/A"/>
    <s v="Demographics"/>
  </r>
  <r>
    <s v="GM-00105"/>
    <s v="Algeria"/>
    <x v="2"/>
    <x v="10"/>
    <x v="2"/>
    <s v="GDP per capita"/>
    <s v="Economy"/>
    <s v="SDG 8: Decent Work and Economic Growth"/>
    <n v="5288.0403820000001"/>
    <s v="Source-defined international dollars"/>
    <s v="Algeria|2002"/>
    <s v="Gapminder/Plotly country-year extract reshaped to long indicator format for education"/>
    <s v="OK"/>
    <s v="2000s"/>
    <s v="N/A"/>
    <s v="Economy"/>
  </r>
  <r>
    <s v="GM-00106"/>
    <s v="Algeria"/>
    <x v="2"/>
    <x v="11"/>
    <x v="0"/>
    <s v="Life expectancy at birth"/>
    <s v="Health"/>
    <s v="SDG 3: Good Health and Well-being"/>
    <n v="72.301000000000002"/>
    <s v="Years"/>
    <s v="Algeria|2007"/>
    <s v="Gapminder/Plotly country-year extract reshaped to long indicator format for education"/>
    <s v="OK"/>
    <s v="2000s"/>
    <s v="High"/>
    <s v="Health"/>
  </r>
  <r>
    <s v="GM-00107"/>
    <s v="Algeria"/>
    <x v="2"/>
    <x v="11"/>
    <x v="1"/>
    <s v="Population, total"/>
    <s v="Demographics"/>
    <s v="SDG 11: Sustainable Cities and Communities"/>
    <n v="33333216"/>
    <s v="People"/>
    <s v="Algeria|2007"/>
    <s v="Gapminder/Plotly country-year extract reshaped to long indicator format for education"/>
    <s v="OK"/>
    <s v="2000s"/>
    <s v="N/A"/>
    <s v="Demographics"/>
  </r>
  <r>
    <s v="GM-00108"/>
    <s v="Algeria"/>
    <x v="2"/>
    <x v="11"/>
    <x v="2"/>
    <s v="GDP per capita"/>
    <s v="Economy"/>
    <s v="SDG 8: Decent Work and Economic Growth"/>
    <n v="6223.3674650000003"/>
    <s v="Source-defined international dollars"/>
    <s v="Algeria|2007"/>
    <s v="Gapminder/Plotly country-year extract reshaped to long indicator format for education"/>
    <s v="OK"/>
    <s v="2000s"/>
    <s v="N/A"/>
    <s v="Economy"/>
  </r>
  <r>
    <s v="GM-00109"/>
    <s v="Angola"/>
    <x v="2"/>
    <x v="0"/>
    <x v="0"/>
    <s v="Life expectancy at birth"/>
    <s v="Health"/>
    <s v="SDG 3: Good Health and Well-being"/>
    <n v="30.015000000000001"/>
    <s v="Years"/>
    <s v="Angola|1952"/>
    <s v="Gapminder/Plotly country-year extract reshaped to long indicator format for education"/>
    <s v="OK"/>
    <s v="1950s"/>
    <s v="Low"/>
    <s v="Health"/>
  </r>
  <r>
    <s v="GM-00110"/>
    <s v="Angola"/>
    <x v="2"/>
    <x v="0"/>
    <x v="1"/>
    <s v="Population, total"/>
    <s v="Demographics"/>
    <s v="SDG 11: Sustainable Cities and Communities"/>
    <n v="4232095"/>
    <s v="People"/>
    <s v="Angola|1952"/>
    <s v="Gapminder/Plotly country-year extract reshaped to long indicator format for education"/>
    <s v="OK"/>
    <s v="1950s"/>
    <s v="N/A"/>
    <s v="Demographics"/>
  </r>
  <r>
    <s v="GM-00111"/>
    <s v="Angola"/>
    <x v="2"/>
    <x v="0"/>
    <x v="2"/>
    <s v="GDP per capita"/>
    <s v="Economy"/>
    <s v="SDG 8: Decent Work and Economic Growth"/>
    <n v="3520.6102729999998"/>
    <s v="Source-defined international dollars"/>
    <s v="Angola|1952"/>
    <s v="Gapminder/Plotly country-year extract reshaped to long indicator format for education"/>
    <s v="OK"/>
    <s v="1950s"/>
    <s v="N/A"/>
    <s v="Economy"/>
  </r>
  <r>
    <s v="GM-00112"/>
    <s v="Angola"/>
    <x v="2"/>
    <x v="1"/>
    <x v="0"/>
    <s v="Life expectancy at birth"/>
    <s v="Health"/>
    <s v="SDG 3: Good Health and Well-being"/>
    <n v="31.998999999999999"/>
    <s v="Years"/>
    <s v="Angola|1957"/>
    <s v="Gapminder/Plotly country-year extract reshaped to long indicator format for education"/>
    <s v="OK"/>
    <s v="1950s"/>
    <s v="Low"/>
    <s v="Health"/>
  </r>
  <r>
    <s v="GM-00113"/>
    <s v="Angola"/>
    <x v="2"/>
    <x v="1"/>
    <x v="1"/>
    <s v="Population, total"/>
    <s v="Demographics"/>
    <s v="SDG 11: Sustainable Cities and Communities"/>
    <n v="4561361"/>
    <s v="People"/>
    <s v="Angola|1957"/>
    <s v="Gapminder/Plotly country-year extract reshaped to long indicator format for education"/>
    <s v="OK"/>
    <s v="1950s"/>
    <s v="N/A"/>
    <s v="Demographics"/>
  </r>
  <r>
    <s v="GM-00114"/>
    <s v="Angola"/>
    <x v="2"/>
    <x v="1"/>
    <x v="2"/>
    <s v="GDP per capita"/>
    <s v="Economy"/>
    <s v="SDG 8: Decent Work and Economic Growth"/>
    <n v="3827.9404650000001"/>
    <s v="Source-defined international dollars"/>
    <s v="Angola|1957"/>
    <s v="Gapminder/Plotly country-year extract reshaped to long indicator format for education"/>
    <s v="OK"/>
    <s v="1950s"/>
    <s v="N/A"/>
    <s v="Economy"/>
  </r>
  <r>
    <s v="GM-00115"/>
    <s v="Angola"/>
    <x v="2"/>
    <x v="2"/>
    <x v="0"/>
    <s v="Life expectancy at birth"/>
    <s v="Health"/>
    <s v="SDG 3: Good Health and Well-being"/>
    <n v="34"/>
    <s v="Years"/>
    <s v="Angola|1962"/>
    <s v="Gapminder/Plotly country-year extract reshaped to long indicator format for education"/>
    <s v="OK"/>
    <s v="1960s"/>
    <s v="Low"/>
    <s v="Health"/>
  </r>
  <r>
    <s v="GM-00116"/>
    <s v="Angola"/>
    <x v="2"/>
    <x v="2"/>
    <x v="1"/>
    <s v="Population, total"/>
    <s v="Demographics"/>
    <s v="SDG 11: Sustainable Cities and Communities"/>
    <n v="4826015"/>
    <s v="People"/>
    <s v="Angola|1962"/>
    <s v="Gapminder/Plotly country-year extract reshaped to long indicator format for education"/>
    <s v="OK"/>
    <s v="1960s"/>
    <s v="N/A"/>
    <s v="Demographics"/>
  </r>
  <r>
    <s v="GM-00117"/>
    <s v="Angola"/>
    <x v="2"/>
    <x v="2"/>
    <x v="2"/>
    <s v="GDP per capita"/>
    <s v="Economy"/>
    <s v="SDG 8: Decent Work and Economic Growth"/>
    <n v="4269.276742"/>
    <s v="Source-defined international dollars"/>
    <s v="Angola|1962"/>
    <s v="Gapminder/Plotly country-year extract reshaped to long indicator format for education"/>
    <s v="OK"/>
    <s v="1960s"/>
    <s v="N/A"/>
    <s v="Economy"/>
  </r>
  <r>
    <s v="GM-00118"/>
    <s v="Angola"/>
    <x v="2"/>
    <x v="3"/>
    <x v="0"/>
    <s v="Life expectancy at birth"/>
    <s v="Health"/>
    <s v="SDG 3: Good Health and Well-being"/>
    <n v="35.984999999999999"/>
    <s v="Years"/>
    <s v="Angola|1967"/>
    <s v="Gapminder/Plotly country-year extract reshaped to long indicator format for education"/>
    <s v="OK"/>
    <s v="1960s"/>
    <s v="Low"/>
    <s v="Health"/>
  </r>
  <r>
    <s v="GM-00119"/>
    <s v="Angola"/>
    <x v="2"/>
    <x v="3"/>
    <x v="1"/>
    <s v="Population, total"/>
    <s v="Demographics"/>
    <s v="SDG 11: Sustainable Cities and Communities"/>
    <n v="5247469"/>
    <s v="People"/>
    <s v="Angola|1967"/>
    <s v="Gapminder/Plotly country-year extract reshaped to long indicator format for education"/>
    <s v="OK"/>
    <s v="1960s"/>
    <s v="N/A"/>
    <s v="Demographics"/>
  </r>
  <r>
    <s v="GM-00120"/>
    <s v="Angola"/>
    <x v="2"/>
    <x v="3"/>
    <x v="2"/>
    <s v="GDP per capita"/>
    <s v="Economy"/>
    <s v="SDG 8: Decent Work and Economic Growth"/>
    <n v="5522.7763750000004"/>
    <s v="Source-defined international dollars"/>
    <s v="Angola|1967"/>
    <s v="Gapminder/Plotly country-year extract reshaped to long indicator format for education"/>
    <s v="OK"/>
    <s v="1960s"/>
    <s v="N/A"/>
    <s v="Economy"/>
  </r>
  <r>
    <s v="GM-00121"/>
    <s v="Angola"/>
    <x v="2"/>
    <x v="4"/>
    <x v="0"/>
    <s v="Life expectancy at birth"/>
    <s v="Health"/>
    <s v="SDG 3: Good Health and Well-being"/>
    <n v="37.927999999999997"/>
    <s v="Years"/>
    <s v="Angola|1972"/>
    <s v="Gapminder/Plotly country-year extract reshaped to long indicator format for education"/>
    <s v="OK"/>
    <s v="1970s"/>
    <s v="Low"/>
    <s v="Health"/>
  </r>
  <r>
    <s v="GM-00122"/>
    <s v="Angola"/>
    <x v="2"/>
    <x v="4"/>
    <x v="1"/>
    <s v="Population, total"/>
    <s v="Demographics"/>
    <s v="SDG 11: Sustainable Cities and Communities"/>
    <n v="5894858"/>
    <s v="People"/>
    <s v="Angola|1972"/>
    <s v="Gapminder/Plotly country-year extract reshaped to long indicator format for education"/>
    <s v="OK"/>
    <s v="1970s"/>
    <s v="N/A"/>
    <s v="Demographics"/>
  </r>
  <r>
    <s v="GM-00123"/>
    <s v="Angola"/>
    <x v="2"/>
    <x v="4"/>
    <x v="2"/>
    <s v="GDP per capita"/>
    <s v="Economy"/>
    <s v="SDG 8: Decent Work and Economic Growth"/>
    <n v="5473.2880049999903"/>
    <s v="Source-defined international dollars"/>
    <s v="Angola|1972"/>
    <s v="Gapminder/Plotly country-year extract reshaped to long indicator format for education"/>
    <s v="OK"/>
    <s v="1970s"/>
    <s v="N/A"/>
    <s v="Economy"/>
  </r>
  <r>
    <s v="GM-00124"/>
    <s v="Angola"/>
    <x v="2"/>
    <x v="5"/>
    <x v="0"/>
    <s v="Life expectancy at birth"/>
    <s v="Health"/>
    <s v="SDG 3: Good Health and Well-being"/>
    <n v="39.482999999999997"/>
    <s v="Years"/>
    <s v="Angola|1977"/>
    <s v="Gapminder/Plotly country-year extract reshaped to long indicator format for education"/>
    <s v="OK"/>
    <s v="1970s"/>
    <s v="Low"/>
    <s v="Health"/>
  </r>
  <r>
    <s v="GM-00125"/>
    <s v="Angola"/>
    <x v="2"/>
    <x v="5"/>
    <x v="1"/>
    <s v="Population, total"/>
    <s v="Demographics"/>
    <s v="SDG 11: Sustainable Cities and Communities"/>
    <n v="6162675"/>
    <s v="People"/>
    <s v="Angola|1977"/>
    <s v="Gapminder/Plotly country-year extract reshaped to long indicator format for education"/>
    <s v="OK"/>
    <s v="1970s"/>
    <s v="N/A"/>
    <s v="Demographics"/>
  </r>
  <r>
    <s v="GM-00126"/>
    <s v="Angola"/>
    <x v="2"/>
    <x v="5"/>
    <x v="2"/>
    <s v="GDP per capita"/>
    <s v="Economy"/>
    <s v="SDG 8: Decent Work and Economic Growth"/>
    <n v="3008.6473550000001"/>
    <s v="Source-defined international dollars"/>
    <s v="Angola|1977"/>
    <s v="Gapminder/Plotly country-year extract reshaped to long indicator format for education"/>
    <s v="OK"/>
    <s v="1970s"/>
    <s v="N/A"/>
    <s v="Economy"/>
  </r>
  <r>
    <s v="GM-00127"/>
    <s v="Angola"/>
    <x v="2"/>
    <x v="6"/>
    <x v="0"/>
    <s v="Life expectancy at birth"/>
    <s v="Health"/>
    <s v="SDG 3: Good Health and Well-being"/>
    <n v="39.942"/>
    <s v="Years"/>
    <s v="Angola|1982"/>
    <s v="Gapminder/Plotly country-year extract reshaped to long indicator format for education"/>
    <s v="OK"/>
    <s v="1980s"/>
    <s v="Low"/>
    <s v="Health"/>
  </r>
  <r>
    <s v="GM-00128"/>
    <s v="Angola"/>
    <x v="2"/>
    <x v="6"/>
    <x v="1"/>
    <s v="Population, total"/>
    <s v="Demographics"/>
    <s v="SDG 11: Sustainable Cities and Communities"/>
    <n v="7016384"/>
    <s v="People"/>
    <s v="Angola|1982"/>
    <s v="Gapminder/Plotly country-year extract reshaped to long indicator format for education"/>
    <s v="OK"/>
    <s v="1980s"/>
    <s v="N/A"/>
    <s v="Demographics"/>
  </r>
  <r>
    <s v="GM-00129"/>
    <s v="Angola"/>
    <x v="2"/>
    <x v="6"/>
    <x v="2"/>
    <s v="GDP per capita"/>
    <s v="Economy"/>
    <s v="SDG 8: Decent Work and Economic Growth"/>
    <n v="2756.9536720000001"/>
    <s v="Source-defined international dollars"/>
    <s v="Angola|1982"/>
    <s v="Gapminder/Plotly country-year extract reshaped to long indicator format for education"/>
    <s v="OK"/>
    <s v="1980s"/>
    <s v="N/A"/>
    <s v="Economy"/>
  </r>
  <r>
    <s v="GM-00130"/>
    <s v="Angola"/>
    <x v="2"/>
    <x v="7"/>
    <x v="0"/>
    <s v="Life expectancy at birth"/>
    <s v="Health"/>
    <s v="SDG 3: Good Health and Well-being"/>
    <n v="39.905999999999999"/>
    <s v="Years"/>
    <s v="Angola|1987"/>
    <s v="Gapminder/Plotly country-year extract reshaped to long indicator format for education"/>
    <s v="OK"/>
    <s v="1980s"/>
    <s v="Low"/>
    <s v="Health"/>
  </r>
  <r>
    <s v="GM-00131"/>
    <s v="Angola"/>
    <x v="2"/>
    <x v="7"/>
    <x v="1"/>
    <s v="Population, total"/>
    <s v="Demographics"/>
    <s v="SDG 11: Sustainable Cities and Communities"/>
    <n v="7874230"/>
    <s v="People"/>
    <s v="Angola|1987"/>
    <s v="Gapminder/Plotly country-year extract reshaped to long indicator format for education"/>
    <s v="OK"/>
    <s v="1980s"/>
    <s v="N/A"/>
    <s v="Demographics"/>
  </r>
  <r>
    <s v="GM-00132"/>
    <s v="Angola"/>
    <x v="2"/>
    <x v="7"/>
    <x v="2"/>
    <s v="GDP per capita"/>
    <s v="Economy"/>
    <s v="SDG 8: Decent Work and Economic Growth"/>
    <n v="2430.2083109999999"/>
    <s v="Source-defined international dollars"/>
    <s v="Angola|1987"/>
    <s v="Gapminder/Plotly country-year extract reshaped to long indicator format for education"/>
    <s v="OK"/>
    <s v="1980s"/>
    <s v="N/A"/>
    <s v="Economy"/>
  </r>
  <r>
    <s v="GM-00133"/>
    <s v="Angola"/>
    <x v="2"/>
    <x v="8"/>
    <x v="0"/>
    <s v="Life expectancy at birth"/>
    <s v="Health"/>
    <s v="SDG 3: Good Health and Well-being"/>
    <n v="40.646999999999998"/>
    <s v="Years"/>
    <s v="Angola|1992"/>
    <s v="Gapminder/Plotly country-year extract reshaped to long indicator format for education"/>
    <s v="OK"/>
    <s v="1990s"/>
    <s v="Low"/>
    <s v="Health"/>
  </r>
  <r>
    <s v="GM-00134"/>
    <s v="Angola"/>
    <x v="2"/>
    <x v="8"/>
    <x v="1"/>
    <s v="Population, total"/>
    <s v="Demographics"/>
    <s v="SDG 11: Sustainable Cities and Communities"/>
    <n v="8735988"/>
    <s v="People"/>
    <s v="Angola|1992"/>
    <s v="Gapminder/Plotly country-year extract reshaped to long indicator format for education"/>
    <s v="OK"/>
    <s v="1990s"/>
    <s v="N/A"/>
    <s v="Demographics"/>
  </r>
  <r>
    <s v="GM-00135"/>
    <s v="Angola"/>
    <x v="2"/>
    <x v="8"/>
    <x v="2"/>
    <s v="GDP per capita"/>
    <s v="Economy"/>
    <s v="SDG 8: Decent Work and Economic Growth"/>
    <n v="2627.8456849999998"/>
    <s v="Source-defined international dollars"/>
    <s v="Angola|1992"/>
    <s v="Gapminder/Plotly country-year extract reshaped to long indicator format for education"/>
    <s v="OK"/>
    <s v="1990s"/>
    <s v="N/A"/>
    <s v="Economy"/>
  </r>
  <r>
    <s v="GM-00136"/>
    <s v="Angola"/>
    <x v="2"/>
    <x v="9"/>
    <x v="0"/>
    <s v="Life expectancy at birth"/>
    <s v="Health"/>
    <s v="SDG 3: Good Health and Well-being"/>
    <n v="40.963000000000001"/>
    <s v="Years"/>
    <s v="Angola|1997"/>
    <s v="Gapminder/Plotly country-year extract reshaped to long indicator format for education"/>
    <s v="OK"/>
    <s v="1990s"/>
    <s v="Low"/>
    <s v="Health"/>
  </r>
  <r>
    <s v="GM-00137"/>
    <s v="Angola"/>
    <x v="2"/>
    <x v="9"/>
    <x v="1"/>
    <s v="Population, total"/>
    <s v="Demographics"/>
    <s v="SDG 11: Sustainable Cities and Communities"/>
    <n v="9875024"/>
    <s v="People"/>
    <s v="Angola|1997"/>
    <s v="Gapminder/Plotly country-year extract reshaped to long indicator format for education"/>
    <s v="OK"/>
    <s v="1990s"/>
    <s v="N/A"/>
    <s v="Demographics"/>
  </r>
  <r>
    <s v="GM-00138"/>
    <s v="Angola"/>
    <x v="2"/>
    <x v="9"/>
    <x v="2"/>
    <s v="GDP per capita"/>
    <s v="Economy"/>
    <s v="SDG 8: Decent Work and Economic Growth"/>
    <n v="2277.1408839999999"/>
    <s v="Source-defined international dollars"/>
    <s v="Angola|1997"/>
    <s v="Gapminder/Plotly country-year extract reshaped to long indicator format for education"/>
    <s v="OK"/>
    <s v="1990s"/>
    <s v="N/A"/>
    <s v="Economy"/>
  </r>
  <r>
    <s v="GM-00139"/>
    <s v="Angola"/>
    <x v="2"/>
    <x v="10"/>
    <x v="0"/>
    <s v="Life expectancy at birth"/>
    <s v="Health"/>
    <s v="SDG 3: Good Health and Well-being"/>
    <n v="41.003"/>
    <s v="Years"/>
    <s v="Angola|2002"/>
    <s v="Gapminder/Plotly country-year extract reshaped to long indicator format for education"/>
    <s v="OK"/>
    <s v="2000s"/>
    <s v="Low"/>
    <s v="Health"/>
  </r>
  <r>
    <s v="GM-00140"/>
    <s v="Angola"/>
    <x v="2"/>
    <x v="10"/>
    <x v="1"/>
    <s v="Population, total"/>
    <s v="Demographics"/>
    <s v="SDG 11: Sustainable Cities and Communities"/>
    <n v="10866106"/>
    <s v="People"/>
    <s v="Angola|2002"/>
    <s v="Gapminder/Plotly country-year extract reshaped to long indicator format for education"/>
    <s v="OK"/>
    <s v="2000s"/>
    <s v="N/A"/>
    <s v="Demographics"/>
  </r>
  <r>
    <s v="GM-00141"/>
    <s v="Angola"/>
    <x v="2"/>
    <x v="10"/>
    <x v="2"/>
    <s v="GDP per capita"/>
    <s v="Economy"/>
    <s v="SDG 8: Decent Work and Economic Growth"/>
    <n v="2773.2873119999999"/>
    <s v="Source-defined international dollars"/>
    <s v="Angola|2002"/>
    <s v="Gapminder/Plotly country-year extract reshaped to long indicator format for education"/>
    <s v="OK"/>
    <s v="2000s"/>
    <s v="N/A"/>
    <s v="Economy"/>
  </r>
  <r>
    <s v="GM-00142"/>
    <s v="Angola"/>
    <x v="2"/>
    <x v="11"/>
    <x v="0"/>
    <s v="Life expectancy at birth"/>
    <s v="Health"/>
    <s v="SDG 3: Good Health and Well-being"/>
    <n v="42.731000000000002"/>
    <s v="Years"/>
    <s v="Angola|2007"/>
    <s v="Gapminder/Plotly country-year extract reshaped to long indicator format for education"/>
    <s v="OK"/>
    <s v="2000s"/>
    <s v="Low"/>
    <s v="Health"/>
  </r>
  <r>
    <s v="GM-00143"/>
    <s v="Angola"/>
    <x v="2"/>
    <x v="11"/>
    <x v="1"/>
    <s v="Population, total"/>
    <s v="Demographics"/>
    <s v="SDG 11: Sustainable Cities and Communities"/>
    <n v="12420476"/>
    <s v="People"/>
    <s v="Angola|2007"/>
    <s v="Gapminder/Plotly country-year extract reshaped to long indicator format for education"/>
    <s v="OK"/>
    <s v="2000s"/>
    <s v="N/A"/>
    <s v="Demographics"/>
  </r>
  <r>
    <s v="GM-00144"/>
    <s v="Angola"/>
    <x v="2"/>
    <x v="11"/>
    <x v="2"/>
    <s v="GDP per capita"/>
    <s v="Economy"/>
    <s v="SDG 8: Decent Work and Economic Growth"/>
    <n v="4797.2312670000001"/>
    <s v="Source-defined international dollars"/>
    <s v="Angola|2007"/>
    <s v="Gapminder/Plotly country-year extract reshaped to long indicator format for education"/>
    <s v="OK"/>
    <s v="2000s"/>
    <s v="N/A"/>
    <s v="Economy"/>
  </r>
  <r>
    <s v="GM-00145"/>
    <s v="Argentina"/>
    <x v="3"/>
    <x v="0"/>
    <x v="0"/>
    <s v="Life expectancy at birth"/>
    <s v="Health"/>
    <s v="SDG 3: Good Health and Well-being"/>
    <n v="62.484999999999999"/>
    <s v="Years"/>
    <s v="Argentina|1952"/>
    <s v="Gapminder/Plotly country-year extract reshaped to long indicator format for education"/>
    <s v="OK"/>
    <s v="1950s"/>
    <s v="Medium"/>
    <s v="Health"/>
  </r>
  <r>
    <s v="GM-00146"/>
    <s v="Argentina"/>
    <x v="3"/>
    <x v="0"/>
    <x v="1"/>
    <s v="Population, total"/>
    <s v="Demographics"/>
    <s v="SDG 11: Sustainable Cities and Communities"/>
    <n v="17876956"/>
    <s v="People"/>
    <s v="Argentina|1952"/>
    <s v="Gapminder/Plotly country-year extract reshaped to long indicator format for education"/>
    <s v="OK"/>
    <s v="1950s"/>
    <s v="N/A"/>
    <s v="Demographics"/>
  </r>
  <r>
    <s v="GM-00147"/>
    <s v="Argentina"/>
    <x v="3"/>
    <x v="0"/>
    <x v="2"/>
    <s v="GDP per capita"/>
    <s v="Economy"/>
    <s v="SDG 8: Decent Work and Economic Growth"/>
    <n v="5911.3150530000003"/>
    <s v="Source-defined international dollars"/>
    <s v="Argentina|1952"/>
    <s v="Gapminder/Plotly country-year extract reshaped to long indicator format for education"/>
    <s v="OK"/>
    <s v="1950s"/>
    <s v="N/A"/>
    <s v="Economy"/>
  </r>
  <r>
    <s v="GM-00148"/>
    <s v="Argentina"/>
    <x v="3"/>
    <x v="1"/>
    <x v="0"/>
    <s v="Life expectancy at birth"/>
    <s v="Health"/>
    <s v="SDG 3: Good Health and Well-being"/>
    <n v="64.399000000000001"/>
    <s v="Years"/>
    <s v="Argentina|1957"/>
    <s v="Gapminder/Plotly country-year extract reshaped to long indicator format for education"/>
    <s v="OK"/>
    <s v="1950s"/>
    <s v="Medium"/>
    <s v="Health"/>
  </r>
  <r>
    <s v="GM-00149"/>
    <s v="Argentina"/>
    <x v="3"/>
    <x v="1"/>
    <x v="1"/>
    <s v="Population, total"/>
    <s v="Demographics"/>
    <s v="SDG 11: Sustainable Cities and Communities"/>
    <n v="19610538"/>
    <s v="People"/>
    <s v="Argentina|1957"/>
    <s v="Gapminder/Plotly country-year extract reshaped to long indicator format for education"/>
    <s v="OK"/>
    <s v="1950s"/>
    <s v="N/A"/>
    <s v="Demographics"/>
  </r>
  <r>
    <s v="GM-00150"/>
    <s v="Argentina"/>
    <x v="3"/>
    <x v="1"/>
    <x v="2"/>
    <s v="GDP per capita"/>
    <s v="Economy"/>
    <s v="SDG 8: Decent Work and Economic Growth"/>
    <n v="6856.8562119999997"/>
    <s v="Source-defined international dollars"/>
    <s v="Argentina|1957"/>
    <s v="Gapminder/Plotly country-year extract reshaped to long indicator format for education"/>
    <s v="OK"/>
    <s v="1950s"/>
    <s v="N/A"/>
    <s v="Economy"/>
  </r>
  <r>
    <s v="GM-00151"/>
    <s v="Argentina"/>
    <x v="3"/>
    <x v="2"/>
    <x v="0"/>
    <s v="Life expectancy at birth"/>
    <s v="Health"/>
    <s v="SDG 3: Good Health and Well-being"/>
    <n v="65.141999999999996"/>
    <s v="Years"/>
    <s v="Argentina|1962"/>
    <s v="Gapminder/Plotly country-year extract reshaped to long indicator format for education"/>
    <s v="OK"/>
    <s v="1960s"/>
    <s v="Medium"/>
    <s v="Health"/>
  </r>
  <r>
    <s v="GM-00152"/>
    <s v="Argentina"/>
    <x v="3"/>
    <x v="2"/>
    <x v="1"/>
    <s v="Population, total"/>
    <s v="Demographics"/>
    <s v="SDG 11: Sustainable Cities and Communities"/>
    <n v="21283783"/>
    <s v="People"/>
    <s v="Argentina|1962"/>
    <s v="Gapminder/Plotly country-year extract reshaped to long indicator format for education"/>
    <s v="OK"/>
    <s v="1960s"/>
    <s v="N/A"/>
    <s v="Demographics"/>
  </r>
  <r>
    <s v="GM-00153"/>
    <s v="Argentina"/>
    <x v="3"/>
    <x v="2"/>
    <x v="2"/>
    <s v="GDP per capita"/>
    <s v="Economy"/>
    <s v="SDG 8: Decent Work and Economic Growth"/>
    <n v="7133.1660229999998"/>
    <s v="Source-defined international dollars"/>
    <s v="Argentina|1962"/>
    <s v="Gapminder/Plotly country-year extract reshaped to long indicator format for education"/>
    <s v="OK"/>
    <s v="1960s"/>
    <s v="N/A"/>
    <s v="Economy"/>
  </r>
  <r>
    <s v="GM-00154"/>
    <s v="Argentina"/>
    <x v="3"/>
    <x v="3"/>
    <x v="0"/>
    <s v="Life expectancy at birth"/>
    <s v="Health"/>
    <s v="SDG 3: Good Health and Well-being"/>
    <n v="65.634"/>
    <s v="Years"/>
    <s v="Argentina|1967"/>
    <s v="Gapminder/Plotly country-year extract reshaped to long indicator format for education"/>
    <s v="OK"/>
    <s v="1960s"/>
    <s v="Medium"/>
    <s v="Health"/>
  </r>
  <r>
    <s v="GM-00155"/>
    <s v="Argentina"/>
    <x v="3"/>
    <x v="3"/>
    <x v="1"/>
    <s v="Population, total"/>
    <s v="Demographics"/>
    <s v="SDG 11: Sustainable Cities and Communities"/>
    <n v="22934225"/>
    <s v="People"/>
    <s v="Argentina|1967"/>
    <s v="Gapminder/Plotly country-year extract reshaped to long indicator format for education"/>
    <s v="OK"/>
    <s v="1960s"/>
    <s v="N/A"/>
    <s v="Demographics"/>
  </r>
  <r>
    <s v="GM-00156"/>
    <s v="Argentina"/>
    <x v="3"/>
    <x v="3"/>
    <x v="2"/>
    <s v="GDP per capita"/>
    <s v="Economy"/>
    <s v="SDG 8: Decent Work and Economic Growth"/>
    <n v="8052.9530209999903"/>
    <s v="Source-defined international dollars"/>
    <s v="Argentina|1967"/>
    <s v="Gapminder/Plotly country-year extract reshaped to long indicator format for education"/>
    <s v="OK"/>
    <s v="1960s"/>
    <s v="N/A"/>
    <s v="Economy"/>
  </r>
  <r>
    <s v="GM-00157"/>
    <s v="Argentina"/>
    <x v="3"/>
    <x v="4"/>
    <x v="0"/>
    <s v="Life expectancy at birth"/>
    <s v="Health"/>
    <s v="SDG 3: Good Health and Well-being"/>
    <n v="67.064999999999998"/>
    <s v="Years"/>
    <s v="Argentina|1972"/>
    <s v="Gapminder/Plotly country-year extract reshaped to long indicator format for education"/>
    <s v="OK"/>
    <s v="1970s"/>
    <s v="Medium"/>
    <s v="Health"/>
  </r>
  <r>
    <s v="GM-00158"/>
    <s v="Argentina"/>
    <x v="3"/>
    <x v="4"/>
    <x v="1"/>
    <s v="Population, total"/>
    <s v="Demographics"/>
    <s v="SDG 11: Sustainable Cities and Communities"/>
    <n v="24779799"/>
    <s v="People"/>
    <s v="Argentina|1972"/>
    <s v="Gapminder/Plotly country-year extract reshaped to long indicator format for education"/>
    <s v="OK"/>
    <s v="1970s"/>
    <s v="N/A"/>
    <s v="Demographics"/>
  </r>
  <r>
    <s v="GM-00159"/>
    <s v="Argentina"/>
    <x v="3"/>
    <x v="4"/>
    <x v="2"/>
    <s v="GDP per capita"/>
    <s v="Economy"/>
    <s v="SDG 8: Decent Work and Economic Growth"/>
    <n v="9443.0385260000003"/>
    <s v="Source-defined international dollars"/>
    <s v="Argentina|1972"/>
    <s v="Gapminder/Plotly country-year extract reshaped to long indicator format for education"/>
    <s v="OK"/>
    <s v="1970s"/>
    <s v="N/A"/>
    <s v="Economy"/>
  </r>
  <r>
    <s v="GM-00160"/>
    <s v="Argentina"/>
    <x v="3"/>
    <x v="5"/>
    <x v="0"/>
    <s v="Life expectancy at birth"/>
    <s v="Health"/>
    <s v="SDG 3: Good Health and Well-being"/>
    <n v="68.480999999999995"/>
    <s v="Years"/>
    <s v="Argentina|1977"/>
    <s v="Gapminder/Plotly country-year extract reshaped to long indicator format for education"/>
    <s v="OK"/>
    <s v="1970s"/>
    <s v="Medium"/>
    <s v="Health"/>
  </r>
  <r>
    <s v="GM-00161"/>
    <s v="Argentina"/>
    <x v="3"/>
    <x v="5"/>
    <x v="1"/>
    <s v="Population, total"/>
    <s v="Demographics"/>
    <s v="SDG 11: Sustainable Cities and Communities"/>
    <n v="26983828"/>
    <s v="People"/>
    <s v="Argentina|1977"/>
    <s v="Gapminder/Plotly country-year extract reshaped to long indicator format for education"/>
    <s v="OK"/>
    <s v="1970s"/>
    <s v="N/A"/>
    <s v="Demographics"/>
  </r>
  <r>
    <s v="GM-00162"/>
    <s v="Argentina"/>
    <x v="3"/>
    <x v="5"/>
    <x v="2"/>
    <s v="GDP per capita"/>
    <s v="Economy"/>
    <s v="SDG 8: Decent Work and Economic Growth"/>
    <n v="10079.026739999999"/>
    <s v="Source-defined international dollars"/>
    <s v="Argentina|1977"/>
    <s v="Gapminder/Plotly country-year extract reshaped to long indicator format for education"/>
    <s v="OK"/>
    <s v="1970s"/>
    <s v="N/A"/>
    <s v="Economy"/>
  </r>
  <r>
    <s v="GM-00163"/>
    <s v="Argentina"/>
    <x v="3"/>
    <x v="6"/>
    <x v="0"/>
    <s v="Life expectancy at birth"/>
    <s v="Health"/>
    <s v="SDG 3: Good Health and Well-being"/>
    <n v="69.941999999999993"/>
    <s v="Years"/>
    <s v="Argentina|1982"/>
    <s v="Gapminder/Plotly country-year extract reshaped to long indicator format for education"/>
    <s v="OK"/>
    <s v="1980s"/>
    <s v="Medium"/>
    <s v="Health"/>
  </r>
  <r>
    <s v="GM-00164"/>
    <s v="Argentina"/>
    <x v="3"/>
    <x v="6"/>
    <x v="1"/>
    <s v="Population, total"/>
    <s v="Demographics"/>
    <s v="SDG 11: Sustainable Cities and Communities"/>
    <n v="29341374"/>
    <s v="People"/>
    <s v="Argentina|1982"/>
    <s v="Gapminder/Plotly country-year extract reshaped to long indicator format for education"/>
    <s v="OK"/>
    <s v="1980s"/>
    <s v="N/A"/>
    <s v="Demographics"/>
  </r>
  <r>
    <s v="GM-00165"/>
    <s v="Argentina"/>
    <x v="3"/>
    <x v="6"/>
    <x v="2"/>
    <s v="GDP per capita"/>
    <s v="Economy"/>
    <s v="SDG 8: Decent Work and Economic Growth"/>
    <n v="8997.8974120000003"/>
    <s v="Source-defined international dollars"/>
    <s v="Argentina|1982"/>
    <s v="Gapminder/Plotly country-year extract reshaped to long indicator format for education"/>
    <s v="OK"/>
    <s v="1980s"/>
    <s v="N/A"/>
    <s v="Economy"/>
  </r>
  <r>
    <s v="GM-00166"/>
    <s v="Argentina"/>
    <x v="3"/>
    <x v="7"/>
    <x v="0"/>
    <s v="Life expectancy at birth"/>
    <s v="Health"/>
    <s v="SDG 3: Good Health and Well-being"/>
    <n v="70.774000000000001"/>
    <s v="Years"/>
    <s v="Argentina|1987"/>
    <s v="Gapminder/Plotly country-year extract reshaped to long indicator format for education"/>
    <s v="OK"/>
    <s v="1980s"/>
    <s v="High"/>
    <s v="Health"/>
  </r>
  <r>
    <s v="GM-00167"/>
    <s v="Argentina"/>
    <x v="3"/>
    <x v="7"/>
    <x v="1"/>
    <s v="Population, total"/>
    <s v="Demographics"/>
    <s v="SDG 11: Sustainable Cities and Communities"/>
    <n v="31620918"/>
    <s v="People"/>
    <s v="Argentina|1987"/>
    <s v="Gapminder/Plotly country-year extract reshaped to long indicator format for education"/>
    <s v="OK"/>
    <s v="1980s"/>
    <s v="N/A"/>
    <s v="Demographics"/>
  </r>
  <r>
    <s v="GM-00168"/>
    <s v="Argentina"/>
    <x v="3"/>
    <x v="7"/>
    <x v="2"/>
    <s v="GDP per capita"/>
    <s v="Economy"/>
    <s v="SDG 8: Decent Work and Economic Growth"/>
    <n v="9139.6713889999992"/>
    <s v="Source-defined international dollars"/>
    <s v="Argentina|1987"/>
    <s v="Gapminder/Plotly country-year extract reshaped to long indicator format for education"/>
    <s v="OK"/>
    <s v="1980s"/>
    <s v="N/A"/>
    <s v="Economy"/>
  </r>
  <r>
    <s v="GM-00169"/>
    <s v="Argentina"/>
    <x v="3"/>
    <x v="8"/>
    <x v="0"/>
    <s v="Life expectancy at birth"/>
    <s v="Health"/>
    <s v="SDG 3: Good Health and Well-being"/>
    <n v="71.867999999999995"/>
    <s v="Years"/>
    <s v="Argentina|1992"/>
    <s v="Gapminder/Plotly country-year extract reshaped to long indicator format for education"/>
    <s v="OK"/>
    <s v="1990s"/>
    <s v="High"/>
    <s v="Health"/>
  </r>
  <r>
    <s v="GM-00170"/>
    <s v="Argentina"/>
    <x v="3"/>
    <x v="8"/>
    <x v="1"/>
    <s v="Population, total"/>
    <s v="Demographics"/>
    <s v="SDG 11: Sustainable Cities and Communities"/>
    <n v="33958947"/>
    <s v="People"/>
    <s v="Argentina|1992"/>
    <s v="Gapminder/Plotly country-year extract reshaped to long indicator format for education"/>
    <s v="OK"/>
    <s v="1990s"/>
    <s v="N/A"/>
    <s v="Demographics"/>
  </r>
  <r>
    <s v="GM-00171"/>
    <s v="Argentina"/>
    <x v="3"/>
    <x v="8"/>
    <x v="2"/>
    <s v="GDP per capita"/>
    <s v="Economy"/>
    <s v="SDG 8: Decent Work and Economic Growth"/>
    <n v="9308.4187099999999"/>
    <s v="Source-defined international dollars"/>
    <s v="Argentina|1992"/>
    <s v="Gapminder/Plotly country-year extract reshaped to long indicator format for education"/>
    <s v="OK"/>
    <s v="1990s"/>
    <s v="N/A"/>
    <s v="Economy"/>
  </r>
  <r>
    <s v="GM-00172"/>
    <s v="Argentina"/>
    <x v="3"/>
    <x v="9"/>
    <x v="0"/>
    <s v="Life expectancy at birth"/>
    <s v="Health"/>
    <s v="SDG 3: Good Health and Well-being"/>
    <n v="73.275000000000006"/>
    <s v="Years"/>
    <s v="Argentina|1997"/>
    <s v="Gapminder/Plotly country-year extract reshaped to long indicator format for education"/>
    <s v="OK"/>
    <s v="1990s"/>
    <s v="High"/>
    <s v="Health"/>
  </r>
  <r>
    <s v="GM-00173"/>
    <s v="Argentina"/>
    <x v="3"/>
    <x v="9"/>
    <x v="1"/>
    <s v="Population, total"/>
    <s v="Demographics"/>
    <s v="SDG 11: Sustainable Cities and Communities"/>
    <n v="36203463"/>
    <s v="People"/>
    <s v="Argentina|1997"/>
    <s v="Gapminder/Plotly country-year extract reshaped to long indicator format for education"/>
    <s v="OK"/>
    <s v="1990s"/>
    <s v="N/A"/>
    <s v="Demographics"/>
  </r>
  <r>
    <s v="GM-00174"/>
    <s v="Argentina"/>
    <x v="3"/>
    <x v="9"/>
    <x v="2"/>
    <s v="GDP per capita"/>
    <s v="Economy"/>
    <s v="SDG 8: Decent Work and Economic Growth"/>
    <n v="10967.281950000001"/>
    <s v="Source-defined international dollars"/>
    <s v="Argentina|1997"/>
    <s v="Gapminder/Plotly country-year extract reshaped to long indicator format for education"/>
    <s v="OK"/>
    <s v="1990s"/>
    <s v="N/A"/>
    <s v="Economy"/>
  </r>
  <r>
    <s v="GM-00175"/>
    <s v="Argentina"/>
    <x v="3"/>
    <x v="10"/>
    <x v="0"/>
    <s v="Life expectancy at birth"/>
    <s v="Health"/>
    <s v="SDG 3: Good Health and Well-being"/>
    <n v="74.34"/>
    <s v="Years"/>
    <s v="Argentina|2002"/>
    <s v="Gapminder/Plotly country-year extract reshaped to long indicator format for education"/>
    <s v="OK"/>
    <s v="2000s"/>
    <s v="High"/>
    <s v="Health"/>
  </r>
  <r>
    <s v="GM-00176"/>
    <s v="Argentina"/>
    <x v="3"/>
    <x v="10"/>
    <x v="1"/>
    <s v="Population, total"/>
    <s v="Demographics"/>
    <s v="SDG 11: Sustainable Cities and Communities"/>
    <n v="38331121"/>
    <s v="People"/>
    <s v="Argentina|2002"/>
    <s v="Gapminder/Plotly country-year extract reshaped to long indicator format for education"/>
    <s v="OK"/>
    <s v="2000s"/>
    <s v="N/A"/>
    <s v="Demographics"/>
  </r>
  <r>
    <s v="GM-00177"/>
    <s v="Argentina"/>
    <x v="3"/>
    <x v="10"/>
    <x v="2"/>
    <s v="GDP per capita"/>
    <s v="Economy"/>
    <s v="SDG 8: Decent Work and Economic Growth"/>
    <n v="8797.6407159999999"/>
    <s v="Source-defined international dollars"/>
    <s v="Argentina|2002"/>
    <s v="Gapminder/Plotly country-year extract reshaped to long indicator format for education"/>
    <s v="OK"/>
    <s v="2000s"/>
    <s v="N/A"/>
    <s v="Economy"/>
  </r>
  <r>
    <s v="GM-00178"/>
    <s v="Argentina"/>
    <x v="3"/>
    <x v="11"/>
    <x v="0"/>
    <s v="Life expectancy at birth"/>
    <s v="Health"/>
    <s v="SDG 3: Good Health and Well-being"/>
    <n v="75.319999999999993"/>
    <s v="Years"/>
    <s v="Argentina|2007"/>
    <s v="Gapminder/Plotly country-year extract reshaped to long indicator format for education"/>
    <s v="OK"/>
    <s v="2000s"/>
    <s v="High"/>
    <s v="Health"/>
  </r>
  <r>
    <s v="GM-00179"/>
    <s v="Argentina"/>
    <x v="3"/>
    <x v="11"/>
    <x v="1"/>
    <s v="Population, total"/>
    <s v="Demographics"/>
    <s v="SDG 11: Sustainable Cities and Communities"/>
    <n v="40301927"/>
    <s v="People"/>
    <s v="Argentina|2007"/>
    <s v="Gapminder/Plotly country-year extract reshaped to long indicator format for education"/>
    <s v="OK"/>
    <s v="2000s"/>
    <s v="N/A"/>
    <s v="Demographics"/>
  </r>
  <r>
    <s v="GM-00180"/>
    <s v="Argentina"/>
    <x v="3"/>
    <x v="11"/>
    <x v="2"/>
    <s v="GDP per capita"/>
    <s v="Economy"/>
    <s v="SDG 8: Decent Work and Economic Growth"/>
    <n v="12779.379639999999"/>
    <s v="Source-defined international dollars"/>
    <s v="Argentina|2007"/>
    <s v="Gapminder/Plotly country-year extract reshaped to long indicator format for education"/>
    <s v="OK"/>
    <s v="2000s"/>
    <s v="N/A"/>
    <s v="Economy"/>
  </r>
  <r>
    <s v="GM-00181"/>
    <s v="Australia"/>
    <x v="4"/>
    <x v="0"/>
    <x v="0"/>
    <s v="Life expectancy at birth"/>
    <s v="Health"/>
    <s v="SDG 3: Good Health and Well-being"/>
    <n v="69.12"/>
    <s v="Years"/>
    <s v="Australia|1952"/>
    <s v="Gapminder/Plotly country-year extract reshaped to long indicator format for education"/>
    <s v="OK"/>
    <s v="1950s"/>
    <s v="Medium"/>
    <s v="Health"/>
  </r>
  <r>
    <s v="GM-00182"/>
    <s v="Australia"/>
    <x v="4"/>
    <x v="0"/>
    <x v="1"/>
    <s v="Population, total"/>
    <s v="Demographics"/>
    <s v="SDG 11: Sustainable Cities and Communities"/>
    <n v="8691212"/>
    <s v="People"/>
    <s v="Australia|1952"/>
    <s v="Gapminder/Plotly country-year extract reshaped to long indicator format for education"/>
    <s v="OK"/>
    <s v="1950s"/>
    <s v="N/A"/>
    <s v="Demographics"/>
  </r>
  <r>
    <s v="GM-00183"/>
    <s v="Australia"/>
    <x v="4"/>
    <x v="0"/>
    <x v="2"/>
    <s v="GDP per capita"/>
    <s v="Economy"/>
    <s v="SDG 8: Decent Work and Economic Growth"/>
    <n v="10039.59564"/>
    <s v="Source-defined international dollars"/>
    <s v="Australia|1952"/>
    <s v="Gapminder/Plotly country-year extract reshaped to long indicator format for education"/>
    <s v="OK"/>
    <s v="1950s"/>
    <s v="N/A"/>
    <s v="Economy"/>
  </r>
  <r>
    <s v="GM-00184"/>
    <s v="Australia"/>
    <x v="4"/>
    <x v="1"/>
    <x v="0"/>
    <s v="Life expectancy at birth"/>
    <s v="Health"/>
    <s v="SDG 3: Good Health and Well-being"/>
    <n v="70.33"/>
    <s v="Years"/>
    <s v="Australia|1957"/>
    <s v="Gapminder/Plotly country-year extract reshaped to long indicator format for education"/>
    <s v="OK"/>
    <s v="1950s"/>
    <s v="High"/>
    <s v="Health"/>
  </r>
  <r>
    <s v="GM-00185"/>
    <s v="Australia"/>
    <x v="4"/>
    <x v="1"/>
    <x v="1"/>
    <s v="Population, total"/>
    <s v="Demographics"/>
    <s v="SDG 11: Sustainable Cities and Communities"/>
    <n v="9712569"/>
    <s v="People"/>
    <s v="Australia|1957"/>
    <s v="Gapminder/Plotly country-year extract reshaped to long indicator format for education"/>
    <s v="OK"/>
    <s v="1950s"/>
    <s v="N/A"/>
    <s v="Demographics"/>
  </r>
  <r>
    <s v="GM-00186"/>
    <s v="Australia"/>
    <x v="4"/>
    <x v="1"/>
    <x v="2"/>
    <s v="GDP per capita"/>
    <s v="Economy"/>
    <s v="SDG 8: Decent Work and Economic Growth"/>
    <n v="10949.649590000001"/>
    <s v="Source-defined international dollars"/>
    <s v="Australia|1957"/>
    <s v="Gapminder/Plotly country-year extract reshaped to long indicator format for education"/>
    <s v="OK"/>
    <s v="1950s"/>
    <s v="N/A"/>
    <s v="Economy"/>
  </r>
  <r>
    <s v="GM-00187"/>
    <s v="Australia"/>
    <x v="4"/>
    <x v="2"/>
    <x v="0"/>
    <s v="Life expectancy at birth"/>
    <s v="Health"/>
    <s v="SDG 3: Good Health and Well-being"/>
    <n v="70.930000000000007"/>
    <s v="Years"/>
    <s v="Australia|1962"/>
    <s v="Gapminder/Plotly country-year extract reshaped to long indicator format for education"/>
    <s v="OK"/>
    <s v="1960s"/>
    <s v="High"/>
    <s v="Health"/>
  </r>
  <r>
    <s v="GM-00188"/>
    <s v="Australia"/>
    <x v="4"/>
    <x v="2"/>
    <x v="1"/>
    <s v="Population, total"/>
    <s v="Demographics"/>
    <s v="SDG 11: Sustainable Cities and Communities"/>
    <n v="10794968"/>
    <s v="People"/>
    <s v="Australia|1962"/>
    <s v="Gapminder/Plotly country-year extract reshaped to long indicator format for education"/>
    <s v="OK"/>
    <s v="1960s"/>
    <s v="N/A"/>
    <s v="Demographics"/>
  </r>
  <r>
    <s v="GM-00189"/>
    <s v="Australia"/>
    <x v="4"/>
    <x v="2"/>
    <x v="2"/>
    <s v="GDP per capita"/>
    <s v="Economy"/>
    <s v="SDG 8: Decent Work and Economic Growth"/>
    <n v="12217.226860000001"/>
    <s v="Source-defined international dollars"/>
    <s v="Australia|1962"/>
    <s v="Gapminder/Plotly country-year extract reshaped to long indicator format for education"/>
    <s v="OK"/>
    <s v="1960s"/>
    <s v="N/A"/>
    <s v="Economy"/>
  </r>
  <r>
    <s v="GM-00190"/>
    <s v="Australia"/>
    <x v="4"/>
    <x v="3"/>
    <x v="0"/>
    <s v="Life expectancy at birth"/>
    <s v="Health"/>
    <s v="SDG 3: Good Health and Well-being"/>
    <n v="71.099999999999994"/>
    <s v="Years"/>
    <s v="Australia|1967"/>
    <s v="Gapminder/Plotly country-year extract reshaped to long indicator format for education"/>
    <s v="OK"/>
    <s v="1960s"/>
    <s v="High"/>
    <s v="Health"/>
  </r>
  <r>
    <s v="GM-00191"/>
    <s v="Australia"/>
    <x v="4"/>
    <x v="3"/>
    <x v="1"/>
    <s v="Population, total"/>
    <s v="Demographics"/>
    <s v="SDG 11: Sustainable Cities and Communities"/>
    <n v="11872264"/>
    <s v="People"/>
    <s v="Australia|1967"/>
    <s v="Gapminder/Plotly country-year extract reshaped to long indicator format for education"/>
    <s v="OK"/>
    <s v="1960s"/>
    <s v="N/A"/>
    <s v="Demographics"/>
  </r>
  <r>
    <s v="GM-00192"/>
    <s v="Australia"/>
    <x v="4"/>
    <x v="3"/>
    <x v="2"/>
    <s v="GDP per capita"/>
    <s v="Economy"/>
    <s v="SDG 8: Decent Work and Economic Growth"/>
    <n v="14526.12465"/>
    <s v="Source-defined international dollars"/>
    <s v="Australia|1967"/>
    <s v="Gapminder/Plotly country-year extract reshaped to long indicator format for education"/>
    <s v="OK"/>
    <s v="1960s"/>
    <s v="N/A"/>
    <s v="Economy"/>
  </r>
  <r>
    <s v="GM-00193"/>
    <s v="Australia"/>
    <x v="4"/>
    <x v="4"/>
    <x v="0"/>
    <s v="Life expectancy at birth"/>
    <s v="Health"/>
    <s v="SDG 3: Good Health and Well-being"/>
    <n v="71.930000000000007"/>
    <s v="Years"/>
    <s v="Australia|1972"/>
    <s v="Gapminder/Plotly country-year extract reshaped to long indicator format for education"/>
    <s v="OK"/>
    <s v="1970s"/>
    <s v="High"/>
    <s v="Health"/>
  </r>
  <r>
    <s v="GM-00194"/>
    <s v="Australia"/>
    <x v="4"/>
    <x v="4"/>
    <x v="1"/>
    <s v="Population, total"/>
    <s v="Demographics"/>
    <s v="SDG 11: Sustainable Cities and Communities"/>
    <n v="13177000"/>
    <s v="People"/>
    <s v="Australia|1972"/>
    <s v="Gapminder/Plotly country-year extract reshaped to long indicator format for education"/>
    <s v="OK"/>
    <s v="1970s"/>
    <s v="N/A"/>
    <s v="Demographics"/>
  </r>
  <r>
    <s v="GM-00195"/>
    <s v="Australia"/>
    <x v="4"/>
    <x v="4"/>
    <x v="2"/>
    <s v="GDP per capita"/>
    <s v="Economy"/>
    <s v="SDG 8: Decent Work and Economic Growth"/>
    <n v="16788.62948"/>
    <s v="Source-defined international dollars"/>
    <s v="Australia|1972"/>
    <s v="Gapminder/Plotly country-year extract reshaped to long indicator format for education"/>
    <s v="OK"/>
    <s v="1970s"/>
    <s v="N/A"/>
    <s v="Economy"/>
  </r>
  <r>
    <s v="GM-00196"/>
    <s v="Australia"/>
    <x v="4"/>
    <x v="5"/>
    <x v="0"/>
    <s v="Life expectancy at birth"/>
    <s v="Health"/>
    <s v="SDG 3: Good Health and Well-being"/>
    <n v="73.489999999999995"/>
    <s v="Years"/>
    <s v="Australia|1977"/>
    <s v="Gapminder/Plotly country-year extract reshaped to long indicator format for education"/>
    <s v="OK"/>
    <s v="1970s"/>
    <s v="High"/>
    <s v="Health"/>
  </r>
  <r>
    <s v="GM-00197"/>
    <s v="Australia"/>
    <x v="4"/>
    <x v="5"/>
    <x v="1"/>
    <s v="Population, total"/>
    <s v="Demographics"/>
    <s v="SDG 11: Sustainable Cities and Communities"/>
    <n v="14074100"/>
    <s v="People"/>
    <s v="Australia|1977"/>
    <s v="Gapminder/Plotly country-year extract reshaped to long indicator format for education"/>
    <s v="OK"/>
    <s v="1970s"/>
    <s v="N/A"/>
    <s v="Demographics"/>
  </r>
  <r>
    <s v="GM-00198"/>
    <s v="Australia"/>
    <x v="4"/>
    <x v="5"/>
    <x v="2"/>
    <s v="GDP per capita"/>
    <s v="Economy"/>
    <s v="SDG 8: Decent Work and Economic Growth"/>
    <n v="18334.197510000002"/>
    <s v="Source-defined international dollars"/>
    <s v="Australia|1977"/>
    <s v="Gapminder/Plotly country-year extract reshaped to long indicator format for education"/>
    <s v="OK"/>
    <s v="1970s"/>
    <s v="N/A"/>
    <s v="Economy"/>
  </r>
  <r>
    <s v="GM-00199"/>
    <s v="Australia"/>
    <x v="4"/>
    <x v="6"/>
    <x v="0"/>
    <s v="Life expectancy at birth"/>
    <s v="Health"/>
    <s v="SDG 3: Good Health and Well-being"/>
    <n v="74.739999999999995"/>
    <s v="Years"/>
    <s v="Australia|1982"/>
    <s v="Gapminder/Plotly country-year extract reshaped to long indicator format for education"/>
    <s v="OK"/>
    <s v="1980s"/>
    <s v="High"/>
    <s v="Health"/>
  </r>
  <r>
    <s v="GM-00200"/>
    <s v="Australia"/>
    <x v="4"/>
    <x v="6"/>
    <x v="1"/>
    <s v="Population, total"/>
    <s v="Demographics"/>
    <s v="SDG 11: Sustainable Cities and Communities"/>
    <n v="15184200"/>
    <s v="People"/>
    <s v="Australia|1982"/>
    <s v="Gapminder/Plotly country-year extract reshaped to long indicator format for education"/>
    <s v="OK"/>
    <s v="1980s"/>
    <s v="N/A"/>
    <s v="Demographics"/>
  </r>
  <r>
    <s v="GM-00201"/>
    <s v="Australia"/>
    <x v="4"/>
    <x v="6"/>
    <x v="2"/>
    <s v="GDP per capita"/>
    <s v="Economy"/>
    <s v="SDG 8: Decent Work and Economic Growth"/>
    <n v="19477.009279999998"/>
    <s v="Source-defined international dollars"/>
    <s v="Australia|1982"/>
    <s v="Gapminder/Plotly country-year extract reshaped to long indicator format for education"/>
    <s v="OK"/>
    <s v="1980s"/>
    <s v="N/A"/>
    <s v="Economy"/>
  </r>
  <r>
    <s v="GM-00202"/>
    <s v="Australia"/>
    <x v="4"/>
    <x v="7"/>
    <x v="0"/>
    <s v="Life expectancy at birth"/>
    <s v="Health"/>
    <s v="SDG 3: Good Health and Well-being"/>
    <n v="76.319999999999993"/>
    <s v="Years"/>
    <s v="Australia|1987"/>
    <s v="Gapminder/Plotly country-year extract reshaped to long indicator format for education"/>
    <s v="OK"/>
    <s v="1980s"/>
    <s v="High"/>
    <s v="Health"/>
  </r>
  <r>
    <s v="GM-00203"/>
    <s v="Australia"/>
    <x v="4"/>
    <x v="7"/>
    <x v="1"/>
    <s v="Population, total"/>
    <s v="Demographics"/>
    <s v="SDG 11: Sustainable Cities and Communities"/>
    <n v="16257249"/>
    <s v="People"/>
    <s v="Australia|1987"/>
    <s v="Gapminder/Plotly country-year extract reshaped to long indicator format for education"/>
    <s v="OK"/>
    <s v="1980s"/>
    <s v="N/A"/>
    <s v="Demographics"/>
  </r>
  <r>
    <s v="GM-00204"/>
    <s v="Australia"/>
    <x v="4"/>
    <x v="7"/>
    <x v="2"/>
    <s v="GDP per capita"/>
    <s v="Economy"/>
    <s v="SDG 8: Decent Work and Economic Growth"/>
    <n v="21888.889029999998"/>
    <s v="Source-defined international dollars"/>
    <s v="Australia|1987"/>
    <s v="Gapminder/Plotly country-year extract reshaped to long indicator format for education"/>
    <s v="OK"/>
    <s v="1980s"/>
    <s v="N/A"/>
    <s v="Economy"/>
  </r>
  <r>
    <s v="GM-00205"/>
    <s v="Australia"/>
    <x v="4"/>
    <x v="8"/>
    <x v="0"/>
    <s v="Life expectancy at birth"/>
    <s v="Health"/>
    <s v="SDG 3: Good Health and Well-being"/>
    <n v="77.56"/>
    <s v="Years"/>
    <s v="Australia|1992"/>
    <s v="Gapminder/Plotly country-year extract reshaped to long indicator format for education"/>
    <s v="OK"/>
    <s v="1990s"/>
    <s v="High"/>
    <s v="Health"/>
  </r>
  <r>
    <s v="GM-00206"/>
    <s v="Australia"/>
    <x v="4"/>
    <x v="8"/>
    <x v="1"/>
    <s v="Population, total"/>
    <s v="Demographics"/>
    <s v="SDG 11: Sustainable Cities and Communities"/>
    <n v="17481977"/>
    <s v="People"/>
    <s v="Australia|1992"/>
    <s v="Gapminder/Plotly country-year extract reshaped to long indicator format for education"/>
    <s v="OK"/>
    <s v="1990s"/>
    <s v="N/A"/>
    <s v="Demographics"/>
  </r>
  <r>
    <s v="GM-00207"/>
    <s v="Australia"/>
    <x v="4"/>
    <x v="8"/>
    <x v="2"/>
    <s v="GDP per capita"/>
    <s v="Economy"/>
    <s v="SDG 8: Decent Work and Economic Growth"/>
    <n v="23424.76683"/>
    <s v="Source-defined international dollars"/>
    <s v="Australia|1992"/>
    <s v="Gapminder/Plotly country-year extract reshaped to long indicator format for education"/>
    <s v="OK"/>
    <s v="1990s"/>
    <s v="N/A"/>
    <s v="Economy"/>
  </r>
  <r>
    <s v="GM-00208"/>
    <s v="Australia"/>
    <x v="4"/>
    <x v="9"/>
    <x v="0"/>
    <s v="Life expectancy at birth"/>
    <s v="Health"/>
    <s v="SDG 3: Good Health and Well-being"/>
    <n v="78.83"/>
    <s v="Years"/>
    <s v="Australia|1997"/>
    <s v="Gapminder/Plotly country-year extract reshaped to long indicator format for education"/>
    <s v="OK"/>
    <s v="1990s"/>
    <s v="High"/>
    <s v="Health"/>
  </r>
  <r>
    <s v="GM-00209"/>
    <s v="Australia"/>
    <x v="4"/>
    <x v="9"/>
    <x v="1"/>
    <s v="Population, total"/>
    <s v="Demographics"/>
    <s v="SDG 11: Sustainable Cities and Communities"/>
    <n v="18565243"/>
    <s v="People"/>
    <s v="Australia|1997"/>
    <s v="Gapminder/Plotly country-year extract reshaped to long indicator format for education"/>
    <s v="OK"/>
    <s v="1990s"/>
    <s v="N/A"/>
    <s v="Demographics"/>
  </r>
  <r>
    <s v="GM-00210"/>
    <s v="Australia"/>
    <x v="4"/>
    <x v="9"/>
    <x v="2"/>
    <s v="GDP per capita"/>
    <s v="Economy"/>
    <s v="SDG 8: Decent Work and Economic Growth"/>
    <n v="26997.936570000002"/>
    <s v="Source-defined international dollars"/>
    <s v="Australia|1997"/>
    <s v="Gapminder/Plotly country-year extract reshaped to long indicator format for education"/>
    <s v="OK"/>
    <s v="1990s"/>
    <s v="N/A"/>
    <s v="Economy"/>
  </r>
  <r>
    <s v="GM-00211"/>
    <s v="Australia"/>
    <x v="4"/>
    <x v="10"/>
    <x v="0"/>
    <s v="Life expectancy at birth"/>
    <s v="Health"/>
    <s v="SDG 3: Good Health and Well-being"/>
    <n v="80.37"/>
    <s v="Years"/>
    <s v="Australia|2002"/>
    <s v="Gapminder/Plotly country-year extract reshaped to long indicator format for education"/>
    <s v="OK"/>
    <s v="2000s"/>
    <s v="High"/>
    <s v="Health"/>
  </r>
  <r>
    <s v="GM-00212"/>
    <s v="Australia"/>
    <x v="4"/>
    <x v="10"/>
    <x v="1"/>
    <s v="Population, total"/>
    <s v="Demographics"/>
    <s v="SDG 11: Sustainable Cities and Communities"/>
    <n v="19546792"/>
    <s v="People"/>
    <s v="Australia|2002"/>
    <s v="Gapminder/Plotly country-year extract reshaped to long indicator format for education"/>
    <s v="OK"/>
    <s v="2000s"/>
    <s v="N/A"/>
    <s v="Demographics"/>
  </r>
  <r>
    <s v="GM-00213"/>
    <s v="Australia"/>
    <x v="4"/>
    <x v="10"/>
    <x v="2"/>
    <s v="GDP per capita"/>
    <s v="Economy"/>
    <s v="SDG 8: Decent Work and Economic Growth"/>
    <n v="30687.754730000001"/>
    <s v="Source-defined international dollars"/>
    <s v="Australia|2002"/>
    <s v="Gapminder/Plotly country-year extract reshaped to long indicator format for education"/>
    <s v="OK"/>
    <s v="2000s"/>
    <s v="N/A"/>
    <s v="Economy"/>
  </r>
  <r>
    <s v="GM-00214"/>
    <s v="Australia"/>
    <x v="4"/>
    <x v="11"/>
    <x v="0"/>
    <s v="Life expectancy at birth"/>
    <s v="Health"/>
    <s v="SDG 3: Good Health and Well-being"/>
    <n v="81.234999999999999"/>
    <s v="Years"/>
    <s v="Australia|2007"/>
    <s v="Gapminder/Plotly country-year extract reshaped to long indicator format for education"/>
    <s v="OK"/>
    <s v="2000s"/>
    <s v="High"/>
    <s v="Health"/>
  </r>
  <r>
    <s v="GM-00215"/>
    <s v="Australia"/>
    <x v="4"/>
    <x v="11"/>
    <x v="1"/>
    <s v="Population, total"/>
    <s v="Demographics"/>
    <s v="SDG 11: Sustainable Cities and Communities"/>
    <n v="20434176"/>
    <s v="People"/>
    <s v="Australia|2007"/>
    <s v="Gapminder/Plotly country-year extract reshaped to long indicator format for education"/>
    <s v="OK"/>
    <s v="2000s"/>
    <s v="N/A"/>
    <s v="Demographics"/>
  </r>
  <r>
    <s v="GM-00216"/>
    <s v="Australia"/>
    <x v="4"/>
    <x v="11"/>
    <x v="2"/>
    <s v="GDP per capita"/>
    <s v="Economy"/>
    <s v="SDG 8: Decent Work and Economic Growth"/>
    <n v="34435.3674399999"/>
    <s v="Source-defined international dollars"/>
    <s v="Australia|2007"/>
    <s v="Gapminder/Plotly country-year extract reshaped to long indicator format for education"/>
    <s v="OK"/>
    <s v="2000s"/>
    <s v="N/A"/>
    <s v="Economy"/>
  </r>
  <r>
    <s v="GM-00217"/>
    <s v="Austria"/>
    <x v="1"/>
    <x v="0"/>
    <x v="0"/>
    <s v="Life expectancy at birth"/>
    <s v="Health"/>
    <s v="SDG 3: Good Health and Well-being"/>
    <n v="66.8"/>
    <s v="Years"/>
    <s v="Austria|1952"/>
    <s v="Gapminder/Plotly country-year extract reshaped to long indicator format for education"/>
    <s v="OK"/>
    <s v="1950s"/>
    <s v="Medium"/>
    <s v="Health"/>
  </r>
  <r>
    <s v="GM-00218"/>
    <s v="Austria"/>
    <x v="1"/>
    <x v="0"/>
    <x v="1"/>
    <s v="Population, total"/>
    <s v="Demographics"/>
    <s v="SDG 11: Sustainable Cities and Communities"/>
    <n v="6927772"/>
    <s v="People"/>
    <s v="Austria|1952"/>
    <s v="Gapminder/Plotly country-year extract reshaped to long indicator format for education"/>
    <s v="OK"/>
    <s v="1950s"/>
    <s v="N/A"/>
    <s v="Demographics"/>
  </r>
  <r>
    <s v="GM-00219"/>
    <s v="Austria"/>
    <x v="1"/>
    <x v="0"/>
    <x v="2"/>
    <s v="GDP per capita"/>
    <s v="Economy"/>
    <s v="SDG 8: Decent Work and Economic Growth"/>
    <n v="6137.0764920000001"/>
    <s v="Source-defined international dollars"/>
    <s v="Austria|1952"/>
    <s v="Gapminder/Plotly country-year extract reshaped to long indicator format for education"/>
    <s v="OK"/>
    <s v="1950s"/>
    <s v="N/A"/>
    <s v="Economy"/>
  </r>
  <r>
    <s v="GM-00220"/>
    <s v="Austria"/>
    <x v="1"/>
    <x v="1"/>
    <x v="0"/>
    <s v="Life expectancy at birth"/>
    <s v="Health"/>
    <s v="SDG 3: Good Health and Well-being"/>
    <n v="67.48"/>
    <s v="Years"/>
    <s v="Austria|1957"/>
    <s v="Gapminder/Plotly country-year extract reshaped to long indicator format for education"/>
    <s v="OK"/>
    <s v="1950s"/>
    <s v="Medium"/>
    <s v="Health"/>
  </r>
  <r>
    <s v="GM-00221"/>
    <s v="Austria"/>
    <x v="1"/>
    <x v="1"/>
    <x v="1"/>
    <s v="Population, total"/>
    <s v="Demographics"/>
    <s v="SDG 11: Sustainable Cities and Communities"/>
    <n v="6965860"/>
    <s v="People"/>
    <s v="Austria|1957"/>
    <s v="Gapminder/Plotly country-year extract reshaped to long indicator format for education"/>
    <s v="OK"/>
    <s v="1950s"/>
    <s v="N/A"/>
    <s v="Demographics"/>
  </r>
  <r>
    <s v="GM-00222"/>
    <s v="Austria"/>
    <x v="1"/>
    <x v="1"/>
    <x v="2"/>
    <s v="GDP per capita"/>
    <s v="Economy"/>
    <s v="SDG 8: Decent Work and Economic Growth"/>
    <n v="8842.5980299999992"/>
    <s v="Source-defined international dollars"/>
    <s v="Austria|1957"/>
    <s v="Gapminder/Plotly country-year extract reshaped to long indicator format for education"/>
    <s v="OK"/>
    <s v="1950s"/>
    <s v="N/A"/>
    <s v="Economy"/>
  </r>
  <r>
    <s v="GM-00223"/>
    <s v="Austria"/>
    <x v="1"/>
    <x v="2"/>
    <x v="0"/>
    <s v="Life expectancy at birth"/>
    <s v="Health"/>
    <s v="SDG 3: Good Health and Well-being"/>
    <n v="69.540000000000006"/>
    <s v="Years"/>
    <s v="Austria|1962"/>
    <s v="Gapminder/Plotly country-year extract reshaped to long indicator format for education"/>
    <s v="OK"/>
    <s v="1960s"/>
    <s v="Medium"/>
    <s v="Health"/>
  </r>
  <r>
    <s v="GM-00224"/>
    <s v="Austria"/>
    <x v="1"/>
    <x v="2"/>
    <x v="1"/>
    <s v="Population, total"/>
    <s v="Demographics"/>
    <s v="SDG 11: Sustainable Cities and Communities"/>
    <n v="7129864"/>
    <s v="People"/>
    <s v="Austria|1962"/>
    <s v="Gapminder/Plotly country-year extract reshaped to long indicator format for education"/>
    <s v="OK"/>
    <s v="1960s"/>
    <s v="N/A"/>
    <s v="Demographics"/>
  </r>
  <r>
    <s v="GM-00225"/>
    <s v="Austria"/>
    <x v="1"/>
    <x v="2"/>
    <x v="2"/>
    <s v="GDP per capita"/>
    <s v="Economy"/>
    <s v="SDG 8: Decent Work and Economic Growth"/>
    <n v="10750.72111"/>
    <s v="Source-defined international dollars"/>
    <s v="Austria|1962"/>
    <s v="Gapminder/Plotly country-year extract reshaped to long indicator format for education"/>
    <s v="OK"/>
    <s v="1960s"/>
    <s v="N/A"/>
    <s v="Economy"/>
  </r>
  <r>
    <s v="GM-00226"/>
    <s v="Austria"/>
    <x v="1"/>
    <x v="3"/>
    <x v="0"/>
    <s v="Life expectancy at birth"/>
    <s v="Health"/>
    <s v="SDG 3: Good Health and Well-being"/>
    <n v="70.14"/>
    <s v="Years"/>
    <s v="Austria|1967"/>
    <s v="Gapminder/Plotly country-year extract reshaped to long indicator format for education"/>
    <s v="OK"/>
    <s v="1960s"/>
    <s v="High"/>
    <s v="Health"/>
  </r>
  <r>
    <s v="GM-00227"/>
    <s v="Austria"/>
    <x v="1"/>
    <x v="3"/>
    <x v="1"/>
    <s v="Population, total"/>
    <s v="Demographics"/>
    <s v="SDG 11: Sustainable Cities and Communities"/>
    <n v="7376998"/>
    <s v="People"/>
    <s v="Austria|1967"/>
    <s v="Gapminder/Plotly country-year extract reshaped to long indicator format for education"/>
    <s v="OK"/>
    <s v="1960s"/>
    <s v="N/A"/>
    <s v="Demographics"/>
  </r>
  <r>
    <s v="GM-00228"/>
    <s v="Austria"/>
    <x v="1"/>
    <x v="3"/>
    <x v="2"/>
    <s v="GDP per capita"/>
    <s v="Economy"/>
    <s v="SDG 8: Decent Work and Economic Growth"/>
    <n v="12834.6024"/>
    <s v="Source-defined international dollars"/>
    <s v="Austria|1967"/>
    <s v="Gapminder/Plotly country-year extract reshaped to long indicator format for education"/>
    <s v="OK"/>
    <s v="1960s"/>
    <s v="N/A"/>
    <s v="Economy"/>
  </r>
  <r>
    <s v="GM-00229"/>
    <s v="Austria"/>
    <x v="1"/>
    <x v="4"/>
    <x v="0"/>
    <s v="Life expectancy at birth"/>
    <s v="Health"/>
    <s v="SDG 3: Good Health and Well-being"/>
    <n v="70.63"/>
    <s v="Years"/>
    <s v="Austria|1972"/>
    <s v="Gapminder/Plotly country-year extract reshaped to long indicator format for education"/>
    <s v="OK"/>
    <s v="1970s"/>
    <s v="High"/>
    <s v="Health"/>
  </r>
  <r>
    <s v="GM-00230"/>
    <s v="Austria"/>
    <x v="1"/>
    <x v="4"/>
    <x v="1"/>
    <s v="Population, total"/>
    <s v="Demographics"/>
    <s v="SDG 11: Sustainable Cities and Communities"/>
    <n v="7544201"/>
    <s v="People"/>
    <s v="Austria|1972"/>
    <s v="Gapminder/Plotly country-year extract reshaped to long indicator format for education"/>
    <s v="OK"/>
    <s v="1970s"/>
    <s v="N/A"/>
    <s v="Demographics"/>
  </r>
  <r>
    <s v="GM-00231"/>
    <s v="Austria"/>
    <x v="1"/>
    <x v="4"/>
    <x v="2"/>
    <s v="GDP per capita"/>
    <s v="Economy"/>
    <s v="SDG 8: Decent Work and Economic Growth"/>
    <n v="16661.625599999999"/>
    <s v="Source-defined international dollars"/>
    <s v="Austria|1972"/>
    <s v="Gapminder/Plotly country-year extract reshaped to long indicator format for education"/>
    <s v="OK"/>
    <s v="1970s"/>
    <s v="N/A"/>
    <s v="Economy"/>
  </r>
  <r>
    <s v="GM-00232"/>
    <s v="Austria"/>
    <x v="1"/>
    <x v="5"/>
    <x v="0"/>
    <s v="Life expectancy at birth"/>
    <s v="Health"/>
    <s v="SDG 3: Good Health and Well-being"/>
    <n v="72.17"/>
    <s v="Years"/>
    <s v="Austria|1977"/>
    <s v="Gapminder/Plotly country-year extract reshaped to long indicator format for education"/>
    <s v="OK"/>
    <s v="1970s"/>
    <s v="High"/>
    <s v="Health"/>
  </r>
  <r>
    <s v="GM-00233"/>
    <s v="Austria"/>
    <x v="1"/>
    <x v="5"/>
    <x v="1"/>
    <s v="Population, total"/>
    <s v="Demographics"/>
    <s v="SDG 11: Sustainable Cities and Communities"/>
    <n v="7568430"/>
    <s v="People"/>
    <s v="Austria|1977"/>
    <s v="Gapminder/Plotly country-year extract reshaped to long indicator format for education"/>
    <s v="OK"/>
    <s v="1970s"/>
    <s v="N/A"/>
    <s v="Demographics"/>
  </r>
  <r>
    <s v="GM-00234"/>
    <s v="Austria"/>
    <x v="1"/>
    <x v="5"/>
    <x v="2"/>
    <s v="GDP per capita"/>
    <s v="Economy"/>
    <s v="SDG 8: Decent Work and Economic Growth"/>
    <n v="19749.422299999998"/>
    <s v="Source-defined international dollars"/>
    <s v="Austria|1977"/>
    <s v="Gapminder/Plotly country-year extract reshaped to long indicator format for education"/>
    <s v="OK"/>
    <s v="1970s"/>
    <s v="N/A"/>
    <s v="Economy"/>
  </r>
  <r>
    <s v="GM-00235"/>
    <s v="Austria"/>
    <x v="1"/>
    <x v="6"/>
    <x v="0"/>
    <s v="Life expectancy at birth"/>
    <s v="Health"/>
    <s v="SDG 3: Good Health and Well-being"/>
    <n v="73.180000000000007"/>
    <s v="Years"/>
    <s v="Austria|1982"/>
    <s v="Gapminder/Plotly country-year extract reshaped to long indicator format for education"/>
    <s v="OK"/>
    <s v="1980s"/>
    <s v="High"/>
    <s v="Health"/>
  </r>
  <r>
    <s v="GM-00236"/>
    <s v="Austria"/>
    <x v="1"/>
    <x v="6"/>
    <x v="1"/>
    <s v="Population, total"/>
    <s v="Demographics"/>
    <s v="SDG 11: Sustainable Cities and Communities"/>
    <n v="7574613"/>
    <s v="People"/>
    <s v="Austria|1982"/>
    <s v="Gapminder/Plotly country-year extract reshaped to long indicator format for education"/>
    <s v="OK"/>
    <s v="1980s"/>
    <s v="N/A"/>
    <s v="Demographics"/>
  </r>
  <r>
    <s v="GM-00237"/>
    <s v="Austria"/>
    <x v="1"/>
    <x v="6"/>
    <x v="2"/>
    <s v="GDP per capita"/>
    <s v="Economy"/>
    <s v="SDG 8: Decent Work and Economic Growth"/>
    <n v="21597.083620000001"/>
    <s v="Source-defined international dollars"/>
    <s v="Austria|1982"/>
    <s v="Gapminder/Plotly country-year extract reshaped to long indicator format for education"/>
    <s v="OK"/>
    <s v="1980s"/>
    <s v="N/A"/>
    <s v="Economy"/>
  </r>
  <r>
    <s v="GM-00238"/>
    <s v="Austria"/>
    <x v="1"/>
    <x v="7"/>
    <x v="0"/>
    <s v="Life expectancy at birth"/>
    <s v="Health"/>
    <s v="SDG 3: Good Health and Well-being"/>
    <n v="74.94"/>
    <s v="Years"/>
    <s v="Austria|1987"/>
    <s v="Gapminder/Plotly country-year extract reshaped to long indicator format for education"/>
    <s v="OK"/>
    <s v="1980s"/>
    <s v="High"/>
    <s v="Health"/>
  </r>
  <r>
    <s v="GM-00239"/>
    <s v="Austria"/>
    <x v="1"/>
    <x v="7"/>
    <x v="1"/>
    <s v="Population, total"/>
    <s v="Demographics"/>
    <s v="SDG 11: Sustainable Cities and Communities"/>
    <n v="7578903"/>
    <s v="People"/>
    <s v="Austria|1987"/>
    <s v="Gapminder/Plotly country-year extract reshaped to long indicator format for education"/>
    <s v="OK"/>
    <s v="1980s"/>
    <s v="N/A"/>
    <s v="Demographics"/>
  </r>
  <r>
    <s v="GM-00240"/>
    <s v="Austria"/>
    <x v="1"/>
    <x v="7"/>
    <x v="2"/>
    <s v="GDP per capita"/>
    <s v="Economy"/>
    <s v="SDG 8: Decent Work and Economic Growth"/>
    <n v="23687.826069999999"/>
    <s v="Source-defined international dollars"/>
    <s v="Austria|1987"/>
    <s v="Gapminder/Plotly country-year extract reshaped to long indicator format for education"/>
    <s v="OK"/>
    <s v="1980s"/>
    <s v="N/A"/>
    <s v="Economy"/>
  </r>
  <r>
    <s v="GM-00241"/>
    <s v="Austria"/>
    <x v="1"/>
    <x v="8"/>
    <x v="0"/>
    <s v="Life expectancy at birth"/>
    <s v="Health"/>
    <s v="SDG 3: Good Health and Well-being"/>
    <n v="76.040000000000006"/>
    <s v="Years"/>
    <s v="Austria|1992"/>
    <s v="Gapminder/Plotly country-year extract reshaped to long indicator format for education"/>
    <s v="OK"/>
    <s v="1990s"/>
    <s v="High"/>
    <s v="Health"/>
  </r>
  <r>
    <s v="GM-00242"/>
    <s v="Austria"/>
    <x v="1"/>
    <x v="8"/>
    <x v="1"/>
    <s v="Population, total"/>
    <s v="Demographics"/>
    <s v="SDG 11: Sustainable Cities and Communities"/>
    <n v="7914969"/>
    <s v="People"/>
    <s v="Austria|1992"/>
    <s v="Gapminder/Plotly country-year extract reshaped to long indicator format for education"/>
    <s v="OK"/>
    <s v="1990s"/>
    <s v="N/A"/>
    <s v="Demographics"/>
  </r>
  <r>
    <s v="GM-00243"/>
    <s v="Austria"/>
    <x v="1"/>
    <x v="8"/>
    <x v="2"/>
    <s v="GDP per capita"/>
    <s v="Economy"/>
    <s v="SDG 8: Decent Work and Economic Growth"/>
    <n v="27042.018680000001"/>
    <s v="Source-defined international dollars"/>
    <s v="Austria|1992"/>
    <s v="Gapminder/Plotly country-year extract reshaped to long indicator format for education"/>
    <s v="OK"/>
    <s v="1990s"/>
    <s v="N/A"/>
    <s v="Economy"/>
  </r>
  <r>
    <s v="GM-00244"/>
    <s v="Austria"/>
    <x v="1"/>
    <x v="9"/>
    <x v="0"/>
    <s v="Life expectancy at birth"/>
    <s v="Health"/>
    <s v="SDG 3: Good Health and Well-being"/>
    <n v="77.510000000000005"/>
    <s v="Years"/>
    <s v="Austria|1997"/>
    <s v="Gapminder/Plotly country-year extract reshaped to long indicator format for education"/>
    <s v="OK"/>
    <s v="1990s"/>
    <s v="High"/>
    <s v="Health"/>
  </r>
  <r>
    <s v="GM-00245"/>
    <s v="Austria"/>
    <x v="1"/>
    <x v="9"/>
    <x v="1"/>
    <s v="Population, total"/>
    <s v="Demographics"/>
    <s v="SDG 11: Sustainable Cities and Communities"/>
    <n v="8069876"/>
    <s v="People"/>
    <s v="Austria|1997"/>
    <s v="Gapminder/Plotly country-year extract reshaped to long indicator format for education"/>
    <s v="OK"/>
    <s v="1990s"/>
    <s v="N/A"/>
    <s v="Demographics"/>
  </r>
  <r>
    <s v="GM-00246"/>
    <s v="Austria"/>
    <x v="1"/>
    <x v="9"/>
    <x v="2"/>
    <s v="GDP per capita"/>
    <s v="Economy"/>
    <s v="SDG 8: Decent Work and Economic Growth"/>
    <n v="29095.92066"/>
    <s v="Source-defined international dollars"/>
    <s v="Austria|1997"/>
    <s v="Gapminder/Plotly country-year extract reshaped to long indicator format for education"/>
    <s v="OK"/>
    <s v="1990s"/>
    <s v="N/A"/>
    <s v="Economy"/>
  </r>
  <r>
    <s v="GM-00247"/>
    <s v="Austria"/>
    <x v="1"/>
    <x v="10"/>
    <x v="0"/>
    <s v="Life expectancy at birth"/>
    <s v="Health"/>
    <s v="SDG 3: Good Health and Well-being"/>
    <n v="78.98"/>
    <s v="Years"/>
    <s v="Austria|2002"/>
    <s v="Gapminder/Plotly country-year extract reshaped to long indicator format for education"/>
    <s v="OK"/>
    <s v="2000s"/>
    <s v="High"/>
    <s v="Health"/>
  </r>
  <r>
    <s v="GM-00248"/>
    <s v="Austria"/>
    <x v="1"/>
    <x v="10"/>
    <x v="1"/>
    <s v="Population, total"/>
    <s v="Demographics"/>
    <s v="SDG 11: Sustainable Cities and Communities"/>
    <n v="8148312"/>
    <s v="People"/>
    <s v="Austria|2002"/>
    <s v="Gapminder/Plotly country-year extract reshaped to long indicator format for education"/>
    <s v="OK"/>
    <s v="2000s"/>
    <s v="N/A"/>
    <s v="Demographics"/>
  </r>
  <r>
    <s v="GM-00249"/>
    <s v="Austria"/>
    <x v="1"/>
    <x v="10"/>
    <x v="2"/>
    <s v="GDP per capita"/>
    <s v="Economy"/>
    <s v="SDG 8: Decent Work and Economic Growth"/>
    <n v="32417.607690000001"/>
    <s v="Source-defined international dollars"/>
    <s v="Austria|2002"/>
    <s v="Gapminder/Plotly country-year extract reshaped to long indicator format for education"/>
    <s v="OK"/>
    <s v="2000s"/>
    <s v="N/A"/>
    <s v="Economy"/>
  </r>
  <r>
    <s v="GM-00250"/>
    <s v="Austria"/>
    <x v="1"/>
    <x v="11"/>
    <x v="0"/>
    <s v="Life expectancy at birth"/>
    <s v="Health"/>
    <s v="SDG 3: Good Health and Well-being"/>
    <n v="79.828999999999994"/>
    <s v="Years"/>
    <s v="Austria|2007"/>
    <s v="Gapminder/Plotly country-year extract reshaped to long indicator format for education"/>
    <s v="OK"/>
    <s v="2000s"/>
    <s v="High"/>
    <s v="Health"/>
  </r>
  <r>
    <s v="GM-00251"/>
    <s v="Austria"/>
    <x v="1"/>
    <x v="11"/>
    <x v="1"/>
    <s v="Population, total"/>
    <s v="Demographics"/>
    <s v="SDG 11: Sustainable Cities and Communities"/>
    <n v="8199783"/>
    <s v="People"/>
    <s v="Austria|2007"/>
    <s v="Gapminder/Plotly country-year extract reshaped to long indicator format for education"/>
    <s v="OK"/>
    <s v="2000s"/>
    <s v="N/A"/>
    <s v="Demographics"/>
  </r>
  <r>
    <s v="GM-00252"/>
    <s v="Austria"/>
    <x v="1"/>
    <x v="11"/>
    <x v="2"/>
    <s v="GDP per capita"/>
    <s v="Economy"/>
    <s v="SDG 8: Decent Work and Economic Growth"/>
    <n v="36126.492700000003"/>
    <s v="Source-defined international dollars"/>
    <s v="Austria|2007"/>
    <s v="Gapminder/Plotly country-year extract reshaped to long indicator format for education"/>
    <s v="OK"/>
    <s v="2000s"/>
    <s v="N/A"/>
    <s v="Economy"/>
  </r>
  <r>
    <s v="GM-00253"/>
    <s v="Bahrain"/>
    <x v="0"/>
    <x v="0"/>
    <x v="0"/>
    <s v="Life expectancy at birth"/>
    <s v="Health"/>
    <s v="SDG 3: Good Health and Well-being"/>
    <n v="50.938999999999901"/>
    <s v="Years"/>
    <s v="Bahrain|1952"/>
    <s v="Gapminder/Plotly country-year extract reshaped to long indicator format for education"/>
    <s v="OK"/>
    <s v="1950s"/>
    <s v="Low"/>
    <s v="Health"/>
  </r>
  <r>
    <s v="GM-00254"/>
    <s v="Bahrain"/>
    <x v="0"/>
    <x v="0"/>
    <x v="1"/>
    <s v="Population, total"/>
    <s v="Demographics"/>
    <s v="SDG 11: Sustainable Cities and Communities"/>
    <n v="120447"/>
    <s v="People"/>
    <s v="Bahrain|1952"/>
    <s v="Gapminder/Plotly country-year extract reshaped to long indicator format for education"/>
    <s v="OK"/>
    <s v="1950s"/>
    <s v="N/A"/>
    <s v="Demographics"/>
  </r>
  <r>
    <s v="GM-00255"/>
    <s v="Bahrain"/>
    <x v="0"/>
    <x v="0"/>
    <x v="2"/>
    <s v="GDP per capita"/>
    <s v="Economy"/>
    <s v="SDG 8: Decent Work and Economic Growth"/>
    <n v="9867.0847649999996"/>
    <s v="Source-defined international dollars"/>
    <s v="Bahrain|1952"/>
    <s v="Gapminder/Plotly country-year extract reshaped to long indicator format for education"/>
    <s v="OK"/>
    <s v="1950s"/>
    <s v="N/A"/>
    <s v="Economy"/>
  </r>
  <r>
    <s v="GM-00256"/>
    <s v="Bahrain"/>
    <x v="0"/>
    <x v="1"/>
    <x v="0"/>
    <s v="Life expectancy at birth"/>
    <s v="Health"/>
    <s v="SDG 3: Good Health and Well-being"/>
    <n v="53.832000000000001"/>
    <s v="Years"/>
    <s v="Bahrain|1957"/>
    <s v="Gapminder/Plotly country-year extract reshaped to long indicator format for education"/>
    <s v="OK"/>
    <s v="1950s"/>
    <s v="Low"/>
    <s v="Health"/>
  </r>
  <r>
    <s v="GM-00257"/>
    <s v="Bahrain"/>
    <x v="0"/>
    <x v="1"/>
    <x v="1"/>
    <s v="Population, total"/>
    <s v="Demographics"/>
    <s v="SDG 11: Sustainable Cities and Communities"/>
    <n v="138655"/>
    <s v="People"/>
    <s v="Bahrain|1957"/>
    <s v="Gapminder/Plotly country-year extract reshaped to long indicator format for education"/>
    <s v="OK"/>
    <s v="1950s"/>
    <s v="N/A"/>
    <s v="Demographics"/>
  </r>
  <r>
    <s v="GM-00258"/>
    <s v="Bahrain"/>
    <x v="0"/>
    <x v="1"/>
    <x v="2"/>
    <s v="GDP per capita"/>
    <s v="Economy"/>
    <s v="SDG 8: Decent Work and Economic Growth"/>
    <n v="11635.79945"/>
    <s v="Source-defined international dollars"/>
    <s v="Bahrain|1957"/>
    <s v="Gapminder/Plotly country-year extract reshaped to long indicator format for education"/>
    <s v="OK"/>
    <s v="1950s"/>
    <s v="N/A"/>
    <s v="Economy"/>
  </r>
  <r>
    <s v="GM-00259"/>
    <s v="Bahrain"/>
    <x v="0"/>
    <x v="2"/>
    <x v="0"/>
    <s v="Life expectancy at birth"/>
    <s v="Health"/>
    <s v="SDG 3: Good Health and Well-being"/>
    <n v="56.923000000000002"/>
    <s v="Years"/>
    <s v="Bahrain|1962"/>
    <s v="Gapminder/Plotly country-year extract reshaped to long indicator format for education"/>
    <s v="OK"/>
    <s v="1960s"/>
    <s v="Medium"/>
    <s v="Health"/>
  </r>
  <r>
    <s v="GM-00260"/>
    <s v="Bahrain"/>
    <x v="0"/>
    <x v="2"/>
    <x v="1"/>
    <s v="Population, total"/>
    <s v="Demographics"/>
    <s v="SDG 11: Sustainable Cities and Communities"/>
    <n v="171863"/>
    <s v="People"/>
    <s v="Bahrain|1962"/>
    <s v="Gapminder/Plotly country-year extract reshaped to long indicator format for education"/>
    <s v="OK"/>
    <s v="1960s"/>
    <s v="N/A"/>
    <s v="Demographics"/>
  </r>
  <r>
    <s v="GM-00261"/>
    <s v="Bahrain"/>
    <x v="0"/>
    <x v="2"/>
    <x v="2"/>
    <s v="GDP per capita"/>
    <s v="Economy"/>
    <s v="SDG 8: Decent Work and Economic Growth"/>
    <n v="12753.27514"/>
    <s v="Source-defined international dollars"/>
    <s v="Bahrain|1962"/>
    <s v="Gapminder/Plotly country-year extract reshaped to long indicator format for education"/>
    <s v="OK"/>
    <s v="1960s"/>
    <s v="N/A"/>
    <s v="Economy"/>
  </r>
  <r>
    <s v="GM-00262"/>
    <s v="Bahrain"/>
    <x v="0"/>
    <x v="3"/>
    <x v="0"/>
    <s v="Life expectancy at birth"/>
    <s v="Health"/>
    <s v="SDG 3: Good Health and Well-being"/>
    <n v="59.923000000000002"/>
    <s v="Years"/>
    <s v="Bahrain|1967"/>
    <s v="Gapminder/Plotly country-year extract reshaped to long indicator format for education"/>
    <s v="OK"/>
    <s v="1960s"/>
    <s v="Medium"/>
    <s v="Health"/>
  </r>
  <r>
    <s v="GM-00263"/>
    <s v="Bahrain"/>
    <x v="0"/>
    <x v="3"/>
    <x v="1"/>
    <s v="Population, total"/>
    <s v="Demographics"/>
    <s v="SDG 11: Sustainable Cities and Communities"/>
    <n v="202182"/>
    <s v="People"/>
    <s v="Bahrain|1967"/>
    <s v="Gapminder/Plotly country-year extract reshaped to long indicator format for education"/>
    <s v="OK"/>
    <s v="1960s"/>
    <s v="N/A"/>
    <s v="Demographics"/>
  </r>
  <r>
    <s v="GM-00264"/>
    <s v="Bahrain"/>
    <x v="0"/>
    <x v="3"/>
    <x v="2"/>
    <s v="GDP per capita"/>
    <s v="Economy"/>
    <s v="SDG 8: Decent Work and Economic Growth"/>
    <n v="14804.672699999999"/>
    <s v="Source-defined international dollars"/>
    <s v="Bahrain|1967"/>
    <s v="Gapminder/Plotly country-year extract reshaped to long indicator format for education"/>
    <s v="OK"/>
    <s v="1960s"/>
    <s v="N/A"/>
    <s v="Economy"/>
  </r>
  <r>
    <s v="GM-00265"/>
    <s v="Bahrain"/>
    <x v="0"/>
    <x v="4"/>
    <x v="0"/>
    <s v="Life expectancy at birth"/>
    <s v="Health"/>
    <s v="SDG 3: Good Health and Well-being"/>
    <n v="63.3"/>
    <s v="Years"/>
    <s v="Bahrain|1972"/>
    <s v="Gapminder/Plotly country-year extract reshaped to long indicator format for education"/>
    <s v="OK"/>
    <s v="1970s"/>
    <s v="Medium"/>
    <s v="Health"/>
  </r>
  <r>
    <s v="GM-00266"/>
    <s v="Bahrain"/>
    <x v="0"/>
    <x v="4"/>
    <x v="1"/>
    <s v="Population, total"/>
    <s v="Demographics"/>
    <s v="SDG 11: Sustainable Cities and Communities"/>
    <n v="230800"/>
    <s v="People"/>
    <s v="Bahrain|1972"/>
    <s v="Gapminder/Plotly country-year extract reshaped to long indicator format for education"/>
    <s v="OK"/>
    <s v="1970s"/>
    <s v="N/A"/>
    <s v="Demographics"/>
  </r>
  <r>
    <s v="GM-00267"/>
    <s v="Bahrain"/>
    <x v="0"/>
    <x v="4"/>
    <x v="2"/>
    <s v="GDP per capita"/>
    <s v="Economy"/>
    <s v="SDG 8: Decent Work and Economic Growth"/>
    <n v="18268.658390000001"/>
    <s v="Source-defined international dollars"/>
    <s v="Bahrain|1972"/>
    <s v="Gapminder/Plotly country-year extract reshaped to long indicator format for education"/>
    <s v="OK"/>
    <s v="1970s"/>
    <s v="N/A"/>
    <s v="Economy"/>
  </r>
  <r>
    <s v="GM-00268"/>
    <s v="Bahrain"/>
    <x v="0"/>
    <x v="5"/>
    <x v="0"/>
    <s v="Life expectancy at birth"/>
    <s v="Health"/>
    <s v="SDG 3: Good Health and Well-being"/>
    <n v="65.593000000000004"/>
    <s v="Years"/>
    <s v="Bahrain|1977"/>
    <s v="Gapminder/Plotly country-year extract reshaped to long indicator format for education"/>
    <s v="OK"/>
    <s v="1970s"/>
    <s v="Medium"/>
    <s v="Health"/>
  </r>
  <r>
    <s v="GM-00269"/>
    <s v="Bahrain"/>
    <x v="0"/>
    <x v="5"/>
    <x v="1"/>
    <s v="Population, total"/>
    <s v="Demographics"/>
    <s v="SDG 11: Sustainable Cities and Communities"/>
    <n v="297410"/>
    <s v="People"/>
    <s v="Bahrain|1977"/>
    <s v="Gapminder/Plotly country-year extract reshaped to long indicator format for education"/>
    <s v="OK"/>
    <s v="1970s"/>
    <s v="N/A"/>
    <s v="Demographics"/>
  </r>
  <r>
    <s v="GM-00270"/>
    <s v="Bahrain"/>
    <x v="0"/>
    <x v="5"/>
    <x v="2"/>
    <s v="GDP per capita"/>
    <s v="Economy"/>
    <s v="SDG 8: Decent Work and Economic Growth"/>
    <n v="19340.10196"/>
    <s v="Source-defined international dollars"/>
    <s v="Bahrain|1977"/>
    <s v="Gapminder/Plotly country-year extract reshaped to long indicator format for education"/>
    <s v="OK"/>
    <s v="1970s"/>
    <s v="N/A"/>
    <s v="Economy"/>
  </r>
  <r>
    <s v="GM-00271"/>
    <s v="Bahrain"/>
    <x v="0"/>
    <x v="6"/>
    <x v="0"/>
    <s v="Life expectancy at birth"/>
    <s v="Health"/>
    <s v="SDG 3: Good Health and Well-being"/>
    <n v="69.051999999999893"/>
    <s v="Years"/>
    <s v="Bahrain|1982"/>
    <s v="Gapminder/Plotly country-year extract reshaped to long indicator format for education"/>
    <s v="OK"/>
    <s v="1980s"/>
    <s v="Medium"/>
    <s v="Health"/>
  </r>
  <r>
    <s v="GM-00272"/>
    <s v="Bahrain"/>
    <x v="0"/>
    <x v="6"/>
    <x v="1"/>
    <s v="Population, total"/>
    <s v="Demographics"/>
    <s v="SDG 11: Sustainable Cities and Communities"/>
    <n v="377967"/>
    <s v="People"/>
    <s v="Bahrain|1982"/>
    <s v="Gapminder/Plotly country-year extract reshaped to long indicator format for education"/>
    <s v="OK"/>
    <s v="1980s"/>
    <s v="N/A"/>
    <s v="Demographics"/>
  </r>
  <r>
    <s v="GM-00273"/>
    <s v="Bahrain"/>
    <x v="0"/>
    <x v="6"/>
    <x v="2"/>
    <s v="GDP per capita"/>
    <s v="Economy"/>
    <s v="SDG 8: Decent Work and Economic Growth"/>
    <n v="19211.14731"/>
    <s v="Source-defined international dollars"/>
    <s v="Bahrain|1982"/>
    <s v="Gapminder/Plotly country-year extract reshaped to long indicator format for education"/>
    <s v="OK"/>
    <s v="1980s"/>
    <s v="N/A"/>
    <s v="Economy"/>
  </r>
  <r>
    <s v="GM-00274"/>
    <s v="Bahrain"/>
    <x v="0"/>
    <x v="7"/>
    <x v="0"/>
    <s v="Life expectancy at birth"/>
    <s v="Health"/>
    <s v="SDG 3: Good Health and Well-being"/>
    <n v="70.75"/>
    <s v="Years"/>
    <s v="Bahrain|1987"/>
    <s v="Gapminder/Plotly country-year extract reshaped to long indicator format for education"/>
    <s v="OK"/>
    <s v="1980s"/>
    <s v="High"/>
    <s v="Health"/>
  </r>
  <r>
    <s v="GM-00275"/>
    <s v="Bahrain"/>
    <x v="0"/>
    <x v="7"/>
    <x v="1"/>
    <s v="Population, total"/>
    <s v="Demographics"/>
    <s v="SDG 11: Sustainable Cities and Communities"/>
    <n v="454612"/>
    <s v="People"/>
    <s v="Bahrain|1987"/>
    <s v="Gapminder/Plotly country-year extract reshaped to long indicator format for education"/>
    <s v="OK"/>
    <s v="1980s"/>
    <s v="N/A"/>
    <s v="Demographics"/>
  </r>
  <r>
    <s v="GM-00276"/>
    <s v="Bahrain"/>
    <x v="0"/>
    <x v="7"/>
    <x v="2"/>
    <s v="GDP per capita"/>
    <s v="Economy"/>
    <s v="SDG 8: Decent Work and Economic Growth"/>
    <n v="18524.02406"/>
    <s v="Source-defined international dollars"/>
    <s v="Bahrain|1987"/>
    <s v="Gapminder/Plotly country-year extract reshaped to long indicator format for education"/>
    <s v="OK"/>
    <s v="1980s"/>
    <s v="N/A"/>
    <s v="Economy"/>
  </r>
  <r>
    <s v="GM-00277"/>
    <s v="Bahrain"/>
    <x v="0"/>
    <x v="8"/>
    <x v="0"/>
    <s v="Life expectancy at birth"/>
    <s v="Health"/>
    <s v="SDG 3: Good Health and Well-being"/>
    <n v="72.600999999999999"/>
    <s v="Years"/>
    <s v="Bahrain|1992"/>
    <s v="Gapminder/Plotly country-year extract reshaped to long indicator format for education"/>
    <s v="OK"/>
    <s v="1990s"/>
    <s v="High"/>
    <s v="Health"/>
  </r>
  <r>
    <s v="GM-00278"/>
    <s v="Bahrain"/>
    <x v="0"/>
    <x v="8"/>
    <x v="1"/>
    <s v="Population, total"/>
    <s v="Demographics"/>
    <s v="SDG 11: Sustainable Cities and Communities"/>
    <n v="529491"/>
    <s v="People"/>
    <s v="Bahrain|1992"/>
    <s v="Gapminder/Plotly country-year extract reshaped to long indicator format for education"/>
    <s v="OK"/>
    <s v="1990s"/>
    <s v="N/A"/>
    <s v="Demographics"/>
  </r>
  <r>
    <s v="GM-00279"/>
    <s v="Bahrain"/>
    <x v="0"/>
    <x v="8"/>
    <x v="2"/>
    <s v="GDP per capita"/>
    <s v="Economy"/>
    <s v="SDG 8: Decent Work and Economic Growth"/>
    <n v="19035.579170000001"/>
    <s v="Source-defined international dollars"/>
    <s v="Bahrain|1992"/>
    <s v="Gapminder/Plotly country-year extract reshaped to long indicator format for education"/>
    <s v="OK"/>
    <s v="1990s"/>
    <s v="N/A"/>
    <s v="Economy"/>
  </r>
  <r>
    <s v="GM-00280"/>
    <s v="Bahrain"/>
    <x v="0"/>
    <x v="9"/>
    <x v="0"/>
    <s v="Life expectancy at birth"/>
    <s v="Health"/>
    <s v="SDG 3: Good Health and Well-being"/>
    <n v="73.924999999999997"/>
    <s v="Years"/>
    <s v="Bahrain|1997"/>
    <s v="Gapminder/Plotly country-year extract reshaped to long indicator format for education"/>
    <s v="OK"/>
    <s v="1990s"/>
    <s v="High"/>
    <s v="Health"/>
  </r>
  <r>
    <s v="GM-00281"/>
    <s v="Bahrain"/>
    <x v="0"/>
    <x v="9"/>
    <x v="1"/>
    <s v="Population, total"/>
    <s v="Demographics"/>
    <s v="SDG 11: Sustainable Cities and Communities"/>
    <n v="598561"/>
    <s v="People"/>
    <s v="Bahrain|1997"/>
    <s v="Gapminder/Plotly country-year extract reshaped to long indicator format for education"/>
    <s v="OK"/>
    <s v="1990s"/>
    <s v="N/A"/>
    <s v="Demographics"/>
  </r>
  <r>
    <s v="GM-00282"/>
    <s v="Bahrain"/>
    <x v="0"/>
    <x v="9"/>
    <x v="2"/>
    <s v="GDP per capita"/>
    <s v="Economy"/>
    <s v="SDG 8: Decent Work and Economic Growth"/>
    <n v="20292.016790000001"/>
    <s v="Source-defined international dollars"/>
    <s v="Bahrain|1997"/>
    <s v="Gapminder/Plotly country-year extract reshaped to long indicator format for education"/>
    <s v="OK"/>
    <s v="1990s"/>
    <s v="N/A"/>
    <s v="Economy"/>
  </r>
  <r>
    <s v="GM-00283"/>
    <s v="Bahrain"/>
    <x v="0"/>
    <x v="10"/>
    <x v="0"/>
    <s v="Life expectancy at birth"/>
    <s v="Health"/>
    <s v="SDG 3: Good Health and Well-being"/>
    <n v="74.795000000000002"/>
    <s v="Years"/>
    <s v="Bahrain|2002"/>
    <s v="Gapminder/Plotly country-year extract reshaped to long indicator format for education"/>
    <s v="OK"/>
    <s v="2000s"/>
    <s v="High"/>
    <s v="Health"/>
  </r>
  <r>
    <s v="GM-00284"/>
    <s v="Bahrain"/>
    <x v="0"/>
    <x v="10"/>
    <x v="1"/>
    <s v="Population, total"/>
    <s v="Demographics"/>
    <s v="SDG 11: Sustainable Cities and Communities"/>
    <n v="656397"/>
    <s v="People"/>
    <s v="Bahrain|2002"/>
    <s v="Gapminder/Plotly country-year extract reshaped to long indicator format for education"/>
    <s v="OK"/>
    <s v="2000s"/>
    <s v="N/A"/>
    <s v="Demographics"/>
  </r>
  <r>
    <s v="GM-00285"/>
    <s v="Bahrain"/>
    <x v="0"/>
    <x v="10"/>
    <x v="2"/>
    <s v="GDP per capita"/>
    <s v="Economy"/>
    <s v="SDG 8: Decent Work and Economic Growth"/>
    <n v="23403.559270000002"/>
    <s v="Source-defined international dollars"/>
    <s v="Bahrain|2002"/>
    <s v="Gapminder/Plotly country-year extract reshaped to long indicator format for education"/>
    <s v="OK"/>
    <s v="2000s"/>
    <s v="N/A"/>
    <s v="Economy"/>
  </r>
  <r>
    <s v="GM-00286"/>
    <s v="Bahrain"/>
    <x v="0"/>
    <x v="11"/>
    <x v="0"/>
    <s v="Life expectancy at birth"/>
    <s v="Health"/>
    <s v="SDG 3: Good Health and Well-being"/>
    <n v="75.635000000000005"/>
    <s v="Years"/>
    <s v="Bahrain|2007"/>
    <s v="Gapminder/Plotly country-year extract reshaped to long indicator format for education"/>
    <s v="OK"/>
    <s v="2000s"/>
    <s v="High"/>
    <s v="Health"/>
  </r>
  <r>
    <s v="GM-00287"/>
    <s v="Bahrain"/>
    <x v="0"/>
    <x v="11"/>
    <x v="1"/>
    <s v="Population, total"/>
    <s v="Demographics"/>
    <s v="SDG 11: Sustainable Cities and Communities"/>
    <n v="708573"/>
    <s v="People"/>
    <s v="Bahrain|2007"/>
    <s v="Gapminder/Plotly country-year extract reshaped to long indicator format for education"/>
    <s v="OK"/>
    <s v="2000s"/>
    <s v="N/A"/>
    <s v="Demographics"/>
  </r>
  <r>
    <s v="GM-00288"/>
    <s v="Bahrain"/>
    <x v="0"/>
    <x v="11"/>
    <x v="2"/>
    <s v="GDP per capita"/>
    <s v="Economy"/>
    <s v="SDG 8: Decent Work and Economic Growth"/>
    <n v="29796.048340000001"/>
    <s v="Source-defined international dollars"/>
    <s v="Bahrain|2007"/>
    <s v="Gapminder/Plotly country-year extract reshaped to long indicator format for education"/>
    <s v="OK"/>
    <s v="2000s"/>
    <s v="N/A"/>
    <s v="Economy"/>
  </r>
  <r>
    <s v="GM-00289"/>
    <s v="Bangladesh"/>
    <x v="0"/>
    <x v="0"/>
    <x v="0"/>
    <s v="Life expectancy at birth"/>
    <s v="Health"/>
    <s v="SDG 3: Good Health and Well-being"/>
    <n v="37.484000000000002"/>
    <s v="Years"/>
    <s v="Bangladesh|1952"/>
    <s v="Gapminder/Plotly country-year extract reshaped to long indicator format for education"/>
    <s v="OK"/>
    <s v="1950s"/>
    <s v="Low"/>
    <s v="Health"/>
  </r>
  <r>
    <s v="GM-00290"/>
    <s v="Bangladesh"/>
    <x v="0"/>
    <x v="0"/>
    <x v="1"/>
    <s v="Population, total"/>
    <s v="Demographics"/>
    <s v="SDG 11: Sustainable Cities and Communities"/>
    <n v="46886859"/>
    <s v="People"/>
    <s v="Bangladesh|1952"/>
    <s v="Gapminder/Plotly country-year extract reshaped to long indicator format for education"/>
    <s v="OK"/>
    <s v="1950s"/>
    <s v="N/A"/>
    <s v="Demographics"/>
  </r>
  <r>
    <s v="GM-00291"/>
    <s v="Bangladesh"/>
    <x v="0"/>
    <x v="0"/>
    <x v="2"/>
    <s v="GDP per capita"/>
    <s v="Economy"/>
    <s v="SDG 8: Decent Work and Economic Growth"/>
    <n v="684.24417159999996"/>
    <s v="Source-defined international dollars"/>
    <s v="Bangladesh|1952"/>
    <s v="Gapminder/Plotly country-year extract reshaped to long indicator format for education"/>
    <s v="OK"/>
    <s v="1950s"/>
    <s v="N/A"/>
    <s v="Economy"/>
  </r>
  <r>
    <s v="GM-00292"/>
    <s v="Bangladesh"/>
    <x v="0"/>
    <x v="1"/>
    <x v="0"/>
    <s v="Life expectancy at birth"/>
    <s v="Health"/>
    <s v="SDG 3: Good Health and Well-being"/>
    <n v="39.347999999999999"/>
    <s v="Years"/>
    <s v="Bangladesh|1957"/>
    <s v="Gapminder/Plotly country-year extract reshaped to long indicator format for education"/>
    <s v="OK"/>
    <s v="1950s"/>
    <s v="Low"/>
    <s v="Health"/>
  </r>
  <r>
    <s v="GM-00293"/>
    <s v="Bangladesh"/>
    <x v="0"/>
    <x v="1"/>
    <x v="1"/>
    <s v="Population, total"/>
    <s v="Demographics"/>
    <s v="SDG 11: Sustainable Cities and Communities"/>
    <n v="51365468"/>
    <s v="People"/>
    <s v="Bangladesh|1957"/>
    <s v="Gapminder/Plotly country-year extract reshaped to long indicator format for education"/>
    <s v="OK"/>
    <s v="1950s"/>
    <s v="N/A"/>
    <s v="Demographics"/>
  </r>
  <r>
    <s v="GM-00294"/>
    <s v="Bangladesh"/>
    <x v="0"/>
    <x v="1"/>
    <x v="2"/>
    <s v="GDP per capita"/>
    <s v="Economy"/>
    <s v="SDG 8: Decent Work and Economic Growth"/>
    <n v="661.63745770000003"/>
    <s v="Source-defined international dollars"/>
    <s v="Bangladesh|1957"/>
    <s v="Gapminder/Plotly country-year extract reshaped to long indicator format for education"/>
    <s v="OK"/>
    <s v="1950s"/>
    <s v="N/A"/>
    <s v="Economy"/>
  </r>
  <r>
    <s v="GM-00295"/>
    <s v="Bangladesh"/>
    <x v="0"/>
    <x v="2"/>
    <x v="0"/>
    <s v="Life expectancy at birth"/>
    <s v="Health"/>
    <s v="SDG 3: Good Health and Well-being"/>
    <n v="41.216000000000001"/>
    <s v="Years"/>
    <s v="Bangladesh|1962"/>
    <s v="Gapminder/Plotly country-year extract reshaped to long indicator format for education"/>
    <s v="OK"/>
    <s v="1960s"/>
    <s v="Low"/>
    <s v="Health"/>
  </r>
  <r>
    <s v="GM-00296"/>
    <s v="Bangladesh"/>
    <x v="0"/>
    <x v="2"/>
    <x v="1"/>
    <s v="Population, total"/>
    <s v="Demographics"/>
    <s v="SDG 11: Sustainable Cities and Communities"/>
    <n v="56839289"/>
    <s v="People"/>
    <s v="Bangladesh|1962"/>
    <s v="Gapminder/Plotly country-year extract reshaped to long indicator format for education"/>
    <s v="OK"/>
    <s v="1960s"/>
    <s v="N/A"/>
    <s v="Demographics"/>
  </r>
  <r>
    <s v="GM-00297"/>
    <s v="Bangladesh"/>
    <x v="0"/>
    <x v="2"/>
    <x v="2"/>
    <s v="GDP per capita"/>
    <s v="Economy"/>
    <s v="SDG 8: Decent Work and Economic Growth"/>
    <n v="686.34155379999902"/>
    <s v="Source-defined international dollars"/>
    <s v="Bangladesh|1962"/>
    <s v="Gapminder/Plotly country-year extract reshaped to long indicator format for education"/>
    <s v="OK"/>
    <s v="1960s"/>
    <s v="N/A"/>
    <s v="Economy"/>
  </r>
  <r>
    <s v="GM-00298"/>
    <s v="Bangladesh"/>
    <x v="0"/>
    <x v="3"/>
    <x v="0"/>
    <s v="Life expectancy at birth"/>
    <s v="Health"/>
    <s v="SDG 3: Good Health and Well-being"/>
    <n v="43.453000000000003"/>
    <s v="Years"/>
    <s v="Bangladesh|1967"/>
    <s v="Gapminder/Plotly country-year extract reshaped to long indicator format for education"/>
    <s v="OK"/>
    <s v="1960s"/>
    <s v="Low"/>
    <s v="Health"/>
  </r>
  <r>
    <s v="GM-00299"/>
    <s v="Bangladesh"/>
    <x v="0"/>
    <x v="3"/>
    <x v="1"/>
    <s v="Population, total"/>
    <s v="Demographics"/>
    <s v="SDG 11: Sustainable Cities and Communities"/>
    <n v="62821884"/>
    <s v="People"/>
    <s v="Bangladesh|1967"/>
    <s v="Gapminder/Plotly country-year extract reshaped to long indicator format for education"/>
    <s v="OK"/>
    <s v="1960s"/>
    <s v="N/A"/>
    <s v="Demographics"/>
  </r>
  <r>
    <s v="GM-00300"/>
    <s v="Bangladesh"/>
    <x v="0"/>
    <x v="3"/>
    <x v="2"/>
    <s v="GDP per capita"/>
    <s v="Economy"/>
    <s v="SDG 8: Decent Work and Economic Growth"/>
    <n v="721.18608619999998"/>
    <s v="Source-defined international dollars"/>
    <s v="Bangladesh|1967"/>
    <s v="Gapminder/Plotly country-year extract reshaped to long indicator format for education"/>
    <s v="OK"/>
    <s v="1960s"/>
    <s v="N/A"/>
    <s v="Economy"/>
  </r>
  <r>
    <s v="GM-00301"/>
    <s v="Bangladesh"/>
    <x v="0"/>
    <x v="4"/>
    <x v="0"/>
    <s v="Life expectancy at birth"/>
    <s v="Health"/>
    <s v="SDG 3: Good Health and Well-being"/>
    <n v="45.252000000000002"/>
    <s v="Years"/>
    <s v="Bangladesh|1972"/>
    <s v="Gapminder/Plotly country-year extract reshaped to long indicator format for education"/>
    <s v="OK"/>
    <s v="1970s"/>
    <s v="Low"/>
    <s v="Health"/>
  </r>
  <r>
    <s v="GM-00302"/>
    <s v="Bangladesh"/>
    <x v="0"/>
    <x v="4"/>
    <x v="1"/>
    <s v="Population, total"/>
    <s v="Demographics"/>
    <s v="SDG 11: Sustainable Cities and Communities"/>
    <n v="70759295"/>
    <s v="People"/>
    <s v="Bangladesh|1972"/>
    <s v="Gapminder/Plotly country-year extract reshaped to long indicator format for education"/>
    <s v="OK"/>
    <s v="1970s"/>
    <s v="N/A"/>
    <s v="Demographics"/>
  </r>
  <r>
    <s v="GM-00303"/>
    <s v="Bangladesh"/>
    <x v="0"/>
    <x v="4"/>
    <x v="2"/>
    <s v="GDP per capita"/>
    <s v="Economy"/>
    <s v="SDG 8: Decent Work and Economic Growth"/>
    <n v="630.23362650000001"/>
    <s v="Source-defined international dollars"/>
    <s v="Bangladesh|1972"/>
    <s v="Gapminder/Plotly country-year extract reshaped to long indicator format for education"/>
    <s v="OK"/>
    <s v="1970s"/>
    <s v="N/A"/>
    <s v="Economy"/>
  </r>
  <r>
    <s v="GM-00304"/>
    <s v="Bangladesh"/>
    <x v="0"/>
    <x v="5"/>
    <x v="0"/>
    <s v="Life expectancy at birth"/>
    <s v="Health"/>
    <s v="SDG 3: Good Health and Well-being"/>
    <n v="46.923000000000002"/>
    <s v="Years"/>
    <s v="Bangladesh|1977"/>
    <s v="Gapminder/Plotly country-year extract reshaped to long indicator format for education"/>
    <s v="OK"/>
    <s v="1970s"/>
    <s v="Low"/>
    <s v="Health"/>
  </r>
  <r>
    <s v="GM-00305"/>
    <s v="Bangladesh"/>
    <x v="0"/>
    <x v="5"/>
    <x v="1"/>
    <s v="Population, total"/>
    <s v="Demographics"/>
    <s v="SDG 11: Sustainable Cities and Communities"/>
    <n v="80428306"/>
    <s v="People"/>
    <s v="Bangladesh|1977"/>
    <s v="Gapminder/Plotly country-year extract reshaped to long indicator format for education"/>
    <s v="OK"/>
    <s v="1970s"/>
    <s v="N/A"/>
    <s v="Demographics"/>
  </r>
  <r>
    <s v="GM-00306"/>
    <s v="Bangladesh"/>
    <x v="0"/>
    <x v="5"/>
    <x v="2"/>
    <s v="GDP per capita"/>
    <s v="Economy"/>
    <s v="SDG 8: Decent Work and Economic Growth"/>
    <n v="659.87723219999998"/>
    <s v="Source-defined international dollars"/>
    <s v="Bangladesh|1977"/>
    <s v="Gapminder/Plotly country-year extract reshaped to long indicator format for education"/>
    <s v="OK"/>
    <s v="1970s"/>
    <s v="N/A"/>
    <s v="Economy"/>
  </r>
  <r>
    <s v="GM-00307"/>
    <s v="Bangladesh"/>
    <x v="0"/>
    <x v="6"/>
    <x v="0"/>
    <s v="Life expectancy at birth"/>
    <s v="Health"/>
    <s v="SDG 3: Good Health and Well-being"/>
    <n v="50.008999999999901"/>
    <s v="Years"/>
    <s v="Bangladesh|1982"/>
    <s v="Gapminder/Plotly country-year extract reshaped to long indicator format for education"/>
    <s v="OK"/>
    <s v="1980s"/>
    <s v="Low"/>
    <s v="Health"/>
  </r>
  <r>
    <s v="GM-00308"/>
    <s v="Bangladesh"/>
    <x v="0"/>
    <x v="6"/>
    <x v="1"/>
    <s v="Population, total"/>
    <s v="Demographics"/>
    <s v="SDG 11: Sustainable Cities and Communities"/>
    <n v="93074406"/>
    <s v="People"/>
    <s v="Bangladesh|1982"/>
    <s v="Gapminder/Plotly country-year extract reshaped to long indicator format for education"/>
    <s v="OK"/>
    <s v="1980s"/>
    <s v="N/A"/>
    <s v="Demographics"/>
  </r>
  <r>
    <s v="GM-00309"/>
    <s v="Bangladesh"/>
    <x v="0"/>
    <x v="6"/>
    <x v="2"/>
    <s v="GDP per capita"/>
    <s v="Economy"/>
    <s v="SDG 8: Decent Work and Economic Growth"/>
    <n v="676.98186559999999"/>
    <s v="Source-defined international dollars"/>
    <s v="Bangladesh|1982"/>
    <s v="Gapminder/Plotly country-year extract reshaped to long indicator format for education"/>
    <s v="OK"/>
    <s v="1980s"/>
    <s v="N/A"/>
    <s v="Economy"/>
  </r>
  <r>
    <s v="GM-00310"/>
    <s v="Bangladesh"/>
    <x v="0"/>
    <x v="7"/>
    <x v="0"/>
    <s v="Life expectancy at birth"/>
    <s v="Health"/>
    <s v="SDG 3: Good Health and Well-being"/>
    <n v="52.819000000000003"/>
    <s v="Years"/>
    <s v="Bangladesh|1987"/>
    <s v="Gapminder/Plotly country-year extract reshaped to long indicator format for education"/>
    <s v="OK"/>
    <s v="1980s"/>
    <s v="Low"/>
    <s v="Health"/>
  </r>
  <r>
    <s v="GM-00311"/>
    <s v="Bangladesh"/>
    <x v="0"/>
    <x v="7"/>
    <x v="1"/>
    <s v="Population, total"/>
    <s v="Demographics"/>
    <s v="SDG 11: Sustainable Cities and Communities"/>
    <n v="103764241"/>
    <s v="People"/>
    <s v="Bangladesh|1987"/>
    <s v="Gapminder/Plotly country-year extract reshaped to long indicator format for education"/>
    <s v="OK"/>
    <s v="1980s"/>
    <s v="N/A"/>
    <s v="Demographics"/>
  </r>
  <r>
    <s v="GM-00312"/>
    <s v="Bangladesh"/>
    <x v="0"/>
    <x v="7"/>
    <x v="2"/>
    <s v="GDP per capita"/>
    <s v="Economy"/>
    <s v="SDG 8: Decent Work and Economic Growth"/>
    <n v="751.97940349999999"/>
    <s v="Source-defined international dollars"/>
    <s v="Bangladesh|1987"/>
    <s v="Gapminder/Plotly country-year extract reshaped to long indicator format for education"/>
    <s v="OK"/>
    <s v="1980s"/>
    <s v="N/A"/>
    <s v="Economy"/>
  </r>
  <r>
    <s v="GM-00313"/>
    <s v="Bangladesh"/>
    <x v="0"/>
    <x v="8"/>
    <x v="0"/>
    <s v="Life expectancy at birth"/>
    <s v="Health"/>
    <s v="SDG 3: Good Health and Well-being"/>
    <n v="56.018000000000001"/>
    <s v="Years"/>
    <s v="Bangladesh|1992"/>
    <s v="Gapminder/Plotly country-year extract reshaped to long indicator format for education"/>
    <s v="OK"/>
    <s v="1990s"/>
    <s v="Medium"/>
    <s v="Health"/>
  </r>
  <r>
    <s v="GM-00314"/>
    <s v="Bangladesh"/>
    <x v="0"/>
    <x v="8"/>
    <x v="1"/>
    <s v="Population, total"/>
    <s v="Demographics"/>
    <s v="SDG 11: Sustainable Cities and Communities"/>
    <n v="113704579"/>
    <s v="People"/>
    <s v="Bangladesh|1992"/>
    <s v="Gapminder/Plotly country-year extract reshaped to long indicator format for education"/>
    <s v="OK"/>
    <s v="1990s"/>
    <s v="N/A"/>
    <s v="Demographics"/>
  </r>
  <r>
    <s v="GM-00315"/>
    <s v="Bangladesh"/>
    <x v="0"/>
    <x v="8"/>
    <x v="2"/>
    <s v="GDP per capita"/>
    <s v="Economy"/>
    <s v="SDG 8: Decent Work and Economic Growth"/>
    <n v="837.81016429999897"/>
    <s v="Source-defined international dollars"/>
    <s v="Bangladesh|1992"/>
    <s v="Gapminder/Plotly country-year extract reshaped to long indicator format for education"/>
    <s v="OK"/>
    <s v="1990s"/>
    <s v="N/A"/>
    <s v="Economy"/>
  </r>
  <r>
    <s v="GM-00316"/>
    <s v="Bangladesh"/>
    <x v="0"/>
    <x v="9"/>
    <x v="0"/>
    <s v="Life expectancy at birth"/>
    <s v="Health"/>
    <s v="SDG 3: Good Health and Well-being"/>
    <n v="59.411999999999999"/>
    <s v="Years"/>
    <s v="Bangladesh|1997"/>
    <s v="Gapminder/Plotly country-year extract reshaped to long indicator format for education"/>
    <s v="OK"/>
    <s v="1990s"/>
    <s v="Medium"/>
    <s v="Health"/>
  </r>
  <r>
    <s v="GM-00317"/>
    <s v="Bangladesh"/>
    <x v="0"/>
    <x v="9"/>
    <x v="1"/>
    <s v="Population, total"/>
    <s v="Demographics"/>
    <s v="SDG 11: Sustainable Cities and Communities"/>
    <n v="123315288"/>
    <s v="People"/>
    <s v="Bangladesh|1997"/>
    <s v="Gapminder/Plotly country-year extract reshaped to long indicator format for education"/>
    <s v="OK"/>
    <s v="1990s"/>
    <s v="N/A"/>
    <s v="Demographics"/>
  </r>
  <r>
    <s v="GM-00318"/>
    <s v="Bangladesh"/>
    <x v="0"/>
    <x v="9"/>
    <x v="2"/>
    <s v="GDP per capita"/>
    <s v="Economy"/>
    <s v="SDG 8: Decent Work and Economic Growth"/>
    <n v="972.77003520000005"/>
    <s v="Source-defined international dollars"/>
    <s v="Bangladesh|1997"/>
    <s v="Gapminder/Plotly country-year extract reshaped to long indicator format for education"/>
    <s v="OK"/>
    <s v="1990s"/>
    <s v="N/A"/>
    <s v="Economy"/>
  </r>
  <r>
    <s v="GM-00319"/>
    <s v="Bangladesh"/>
    <x v="0"/>
    <x v="10"/>
    <x v="0"/>
    <s v="Life expectancy at birth"/>
    <s v="Health"/>
    <s v="SDG 3: Good Health and Well-being"/>
    <n v="62.012999999999998"/>
    <s v="Years"/>
    <s v="Bangladesh|2002"/>
    <s v="Gapminder/Plotly country-year extract reshaped to long indicator format for education"/>
    <s v="OK"/>
    <s v="2000s"/>
    <s v="Medium"/>
    <s v="Health"/>
  </r>
  <r>
    <s v="GM-00320"/>
    <s v="Bangladesh"/>
    <x v="0"/>
    <x v="10"/>
    <x v="1"/>
    <s v="Population, total"/>
    <s v="Demographics"/>
    <s v="SDG 11: Sustainable Cities and Communities"/>
    <n v="135656790"/>
    <s v="People"/>
    <s v="Bangladesh|2002"/>
    <s v="Gapminder/Plotly country-year extract reshaped to long indicator format for education"/>
    <s v="OK"/>
    <s v="2000s"/>
    <s v="N/A"/>
    <s v="Demographics"/>
  </r>
  <r>
    <s v="GM-00321"/>
    <s v="Bangladesh"/>
    <x v="0"/>
    <x v="10"/>
    <x v="2"/>
    <s v="GDP per capita"/>
    <s v="Economy"/>
    <s v="SDG 8: Decent Work and Economic Growth"/>
    <n v="1136.3904299999999"/>
    <s v="Source-defined international dollars"/>
    <s v="Bangladesh|2002"/>
    <s v="Gapminder/Plotly country-year extract reshaped to long indicator format for education"/>
    <s v="OK"/>
    <s v="2000s"/>
    <s v="N/A"/>
    <s v="Economy"/>
  </r>
  <r>
    <s v="GM-00322"/>
    <s v="Bangladesh"/>
    <x v="0"/>
    <x v="11"/>
    <x v="0"/>
    <s v="Life expectancy at birth"/>
    <s v="Health"/>
    <s v="SDG 3: Good Health and Well-being"/>
    <n v="64.061999999999998"/>
    <s v="Years"/>
    <s v="Bangladesh|2007"/>
    <s v="Gapminder/Plotly country-year extract reshaped to long indicator format for education"/>
    <s v="OK"/>
    <s v="2000s"/>
    <s v="Medium"/>
    <s v="Health"/>
  </r>
  <r>
    <s v="GM-00323"/>
    <s v="Bangladesh"/>
    <x v="0"/>
    <x v="11"/>
    <x v="1"/>
    <s v="Population, total"/>
    <s v="Demographics"/>
    <s v="SDG 11: Sustainable Cities and Communities"/>
    <n v="150448339"/>
    <s v="People"/>
    <s v="Bangladesh|2007"/>
    <s v="Gapminder/Plotly country-year extract reshaped to long indicator format for education"/>
    <s v="OK"/>
    <s v="2000s"/>
    <s v="N/A"/>
    <s v="Demographics"/>
  </r>
  <r>
    <s v="GM-00324"/>
    <s v="Bangladesh"/>
    <x v="0"/>
    <x v="11"/>
    <x v="2"/>
    <s v="GDP per capita"/>
    <s v="Economy"/>
    <s v="SDG 8: Decent Work and Economic Growth"/>
    <n v="1391.253792"/>
    <s v="Source-defined international dollars"/>
    <s v="Bangladesh|2007"/>
    <s v="Gapminder/Plotly country-year extract reshaped to long indicator format for education"/>
    <s v="OK"/>
    <s v="2000s"/>
    <s v="N/A"/>
    <s v="Economy"/>
  </r>
  <r>
    <s v="GM-00325"/>
    <s v="Belgium"/>
    <x v="1"/>
    <x v="0"/>
    <x v="0"/>
    <s v="Life expectancy at birth"/>
    <s v="Health"/>
    <s v="SDG 3: Good Health and Well-being"/>
    <n v="68"/>
    <s v="Years"/>
    <s v="Belgium|1952"/>
    <s v="Gapminder/Plotly country-year extract reshaped to long indicator format for education"/>
    <s v="OK"/>
    <s v="1950s"/>
    <s v="Medium"/>
    <s v="Health"/>
  </r>
  <r>
    <s v="GM-00326"/>
    <s v="Belgium"/>
    <x v="1"/>
    <x v="0"/>
    <x v="1"/>
    <s v="Population, total"/>
    <s v="Demographics"/>
    <s v="SDG 11: Sustainable Cities and Communities"/>
    <n v="8730405"/>
    <s v="People"/>
    <s v="Belgium|1952"/>
    <s v="Gapminder/Plotly country-year extract reshaped to long indicator format for education"/>
    <s v="OK"/>
    <s v="1950s"/>
    <s v="N/A"/>
    <s v="Demographics"/>
  </r>
  <r>
    <s v="GM-00327"/>
    <s v="Belgium"/>
    <x v="1"/>
    <x v="0"/>
    <x v="2"/>
    <s v="GDP per capita"/>
    <s v="Economy"/>
    <s v="SDG 8: Decent Work and Economic Growth"/>
    <n v="8343.1051269999898"/>
    <s v="Source-defined international dollars"/>
    <s v="Belgium|1952"/>
    <s v="Gapminder/Plotly country-year extract reshaped to long indicator format for education"/>
    <s v="OK"/>
    <s v="1950s"/>
    <s v="N/A"/>
    <s v="Economy"/>
  </r>
  <r>
    <s v="GM-00328"/>
    <s v="Belgium"/>
    <x v="1"/>
    <x v="1"/>
    <x v="0"/>
    <s v="Life expectancy at birth"/>
    <s v="Health"/>
    <s v="SDG 3: Good Health and Well-being"/>
    <n v="69.239999999999995"/>
    <s v="Years"/>
    <s v="Belgium|1957"/>
    <s v="Gapminder/Plotly country-year extract reshaped to long indicator format for education"/>
    <s v="OK"/>
    <s v="1950s"/>
    <s v="Medium"/>
    <s v="Health"/>
  </r>
  <r>
    <s v="GM-00329"/>
    <s v="Belgium"/>
    <x v="1"/>
    <x v="1"/>
    <x v="1"/>
    <s v="Population, total"/>
    <s v="Demographics"/>
    <s v="SDG 11: Sustainable Cities and Communities"/>
    <n v="8989111"/>
    <s v="People"/>
    <s v="Belgium|1957"/>
    <s v="Gapminder/Plotly country-year extract reshaped to long indicator format for education"/>
    <s v="OK"/>
    <s v="1950s"/>
    <s v="N/A"/>
    <s v="Demographics"/>
  </r>
  <r>
    <s v="GM-00330"/>
    <s v="Belgium"/>
    <x v="1"/>
    <x v="1"/>
    <x v="2"/>
    <s v="GDP per capita"/>
    <s v="Economy"/>
    <s v="SDG 8: Decent Work and Economic Growth"/>
    <n v="9714.9606230000009"/>
    <s v="Source-defined international dollars"/>
    <s v="Belgium|1957"/>
    <s v="Gapminder/Plotly country-year extract reshaped to long indicator format for education"/>
    <s v="OK"/>
    <s v="1950s"/>
    <s v="N/A"/>
    <s v="Economy"/>
  </r>
  <r>
    <s v="GM-00331"/>
    <s v="Belgium"/>
    <x v="1"/>
    <x v="2"/>
    <x v="0"/>
    <s v="Life expectancy at birth"/>
    <s v="Health"/>
    <s v="SDG 3: Good Health and Well-being"/>
    <n v="70.25"/>
    <s v="Years"/>
    <s v="Belgium|1962"/>
    <s v="Gapminder/Plotly country-year extract reshaped to long indicator format for education"/>
    <s v="OK"/>
    <s v="1960s"/>
    <s v="High"/>
    <s v="Health"/>
  </r>
  <r>
    <s v="GM-00332"/>
    <s v="Belgium"/>
    <x v="1"/>
    <x v="2"/>
    <x v="1"/>
    <s v="Population, total"/>
    <s v="Demographics"/>
    <s v="SDG 11: Sustainable Cities and Communities"/>
    <n v="9218400"/>
    <s v="People"/>
    <s v="Belgium|1962"/>
    <s v="Gapminder/Plotly country-year extract reshaped to long indicator format for education"/>
    <s v="OK"/>
    <s v="1960s"/>
    <s v="N/A"/>
    <s v="Demographics"/>
  </r>
  <r>
    <s v="GM-00333"/>
    <s v="Belgium"/>
    <x v="1"/>
    <x v="2"/>
    <x v="2"/>
    <s v="GDP per capita"/>
    <s v="Economy"/>
    <s v="SDG 8: Decent Work and Economic Growth"/>
    <n v="10991.206759999999"/>
    <s v="Source-defined international dollars"/>
    <s v="Belgium|1962"/>
    <s v="Gapminder/Plotly country-year extract reshaped to long indicator format for education"/>
    <s v="OK"/>
    <s v="1960s"/>
    <s v="N/A"/>
    <s v="Economy"/>
  </r>
  <r>
    <s v="GM-00334"/>
    <s v="Belgium"/>
    <x v="1"/>
    <x v="3"/>
    <x v="0"/>
    <s v="Life expectancy at birth"/>
    <s v="Health"/>
    <s v="SDG 3: Good Health and Well-being"/>
    <n v="70.94"/>
    <s v="Years"/>
    <s v="Belgium|1967"/>
    <s v="Gapminder/Plotly country-year extract reshaped to long indicator format for education"/>
    <s v="OK"/>
    <s v="1960s"/>
    <s v="High"/>
    <s v="Health"/>
  </r>
  <r>
    <s v="GM-00335"/>
    <s v="Belgium"/>
    <x v="1"/>
    <x v="3"/>
    <x v="1"/>
    <s v="Population, total"/>
    <s v="Demographics"/>
    <s v="SDG 11: Sustainable Cities and Communities"/>
    <n v="9556500"/>
    <s v="People"/>
    <s v="Belgium|1967"/>
    <s v="Gapminder/Plotly country-year extract reshaped to long indicator format for education"/>
    <s v="OK"/>
    <s v="1960s"/>
    <s v="N/A"/>
    <s v="Demographics"/>
  </r>
  <r>
    <s v="GM-00336"/>
    <s v="Belgium"/>
    <x v="1"/>
    <x v="3"/>
    <x v="2"/>
    <s v="GDP per capita"/>
    <s v="Economy"/>
    <s v="SDG 8: Decent Work and Economic Growth"/>
    <n v="13149.04119"/>
    <s v="Source-defined international dollars"/>
    <s v="Belgium|1967"/>
    <s v="Gapminder/Plotly country-year extract reshaped to long indicator format for education"/>
    <s v="OK"/>
    <s v="1960s"/>
    <s v="N/A"/>
    <s v="Economy"/>
  </r>
  <r>
    <s v="GM-00337"/>
    <s v="Belgium"/>
    <x v="1"/>
    <x v="4"/>
    <x v="0"/>
    <s v="Life expectancy at birth"/>
    <s v="Health"/>
    <s v="SDG 3: Good Health and Well-being"/>
    <n v="71.44"/>
    <s v="Years"/>
    <s v="Belgium|1972"/>
    <s v="Gapminder/Plotly country-year extract reshaped to long indicator format for education"/>
    <s v="OK"/>
    <s v="1970s"/>
    <s v="High"/>
    <s v="Health"/>
  </r>
  <r>
    <s v="GM-00338"/>
    <s v="Belgium"/>
    <x v="1"/>
    <x v="4"/>
    <x v="1"/>
    <s v="Population, total"/>
    <s v="Demographics"/>
    <s v="SDG 11: Sustainable Cities and Communities"/>
    <n v="9709100"/>
    <s v="People"/>
    <s v="Belgium|1972"/>
    <s v="Gapminder/Plotly country-year extract reshaped to long indicator format for education"/>
    <s v="OK"/>
    <s v="1970s"/>
    <s v="N/A"/>
    <s v="Demographics"/>
  </r>
  <r>
    <s v="GM-00339"/>
    <s v="Belgium"/>
    <x v="1"/>
    <x v="4"/>
    <x v="2"/>
    <s v="GDP per capita"/>
    <s v="Economy"/>
    <s v="SDG 8: Decent Work and Economic Growth"/>
    <n v="16672.14356"/>
    <s v="Source-defined international dollars"/>
    <s v="Belgium|1972"/>
    <s v="Gapminder/Plotly country-year extract reshaped to long indicator format for education"/>
    <s v="OK"/>
    <s v="1970s"/>
    <s v="N/A"/>
    <s v="Economy"/>
  </r>
  <r>
    <s v="GM-00340"/>
    <s v="Belgium"/>
    <x v="1"/>
    <x v="5"/>
    <x v="0"/>
    <s v="Life expectancy at birth"/>
    <s v="Health"/>
    <s v="SDG 3: Good Health and Well-being"/>
    <n v="72.8"/>
    <s v="Years"/>
    <s v="Belgium|1977"/>
    <s v="Gapminder/Plotly country-year extract reshaped to long indicator format for education"/>
    <s v="OK"/>
    <s v="1970s"/>
    <s v="High"/>
    <s v="Health"/>
  </r>
  <r>
    <s v="GM-00341"/>
    <s v="Belgium"/>
    <x v="1"/>
    <x v="5"/>
    <x v="1"/>
    <s v="Population, total"/>
    <s v="Demographics"/>
    <s v="SDG 11: Sustainable Cities and Communities"/>
    <n v="9821800"/>
    <s v="People"/>
    <s v="Belgium|1977"/>
    <s v="Gapminder/Plotly country-year extract reshaped to long indicator format for education"/>
    <s v="OK"/>
    <s v="1970s"/>
    <s v="N/A"/>
    <s v="Demographics"/>
  </r>
  <r>
    <s v="GM-00342"/>
    <s v="Belgium"/>
    <x v="1"/>
    <x v="5"/>
    <x v="2"/>
    <s v="GDP per capita"/>
    <s v="Economy"/>
    <s v="SDG 8: Decent Work and Economic Growth"/>
    <n v="19117.974480000001"/>
    <s v="Source-defined international dollars"/>
    <s v="Belgium|1977"/>
    <s v="Gapminder/Plotly country-year extract reshaped to long indicator format for education"/>
    <s v="OK"/>
    <s v="1970s"/>
    <s v="N/A"/>
    <s v="Economy"/>
  </r>
  <r>
    <s v="GM-00343"/>
    <s v="Belgium"/>
    <x v="1"/>
    <x v="6"/>
    <x v="0"/>
    <s v="Life expectancy at birth"/>
    <s v="Health"/>
    <s v="SDG 3: Good Health and Well-being"/>
    <n v="73.930000000000007"/>
    <s v="Years"/>
    <s v="Belgium|1982"/>
    <s v="Gapminder/Plotly country-year extract reshaped to long indicator format for education"/>
    <s v="OK"/>
    <s v="1980s"/>
    <s v="High"/>
    <s v="Health"/>
  </r>
  <r>
    <s v="GM-00344"/>
    <s v="Belgium"/>
    <x v="1"/>
    <x v="6"/>
    <x v="1"/>
    <s v="Population, total"/>
    <s v="Demographics"/>
    <s v="SDG 11: Sustainable Cities and Communities"/>
    <n v="9856303"/>
    <s v="People"/>
    <s v="Belgium|1982"/>
    <s v="Gapminder/Plotly country-year extract reshaped to long indicator format for education"/>
    <s v="OK"/>
    <s v="1980s"/>
    <s v="N/A"/>
    <s v="Demographics"/>
  </r>
  <r>
    <s v="GM-00345"/>
    <s v="Belgium"/>
    <x v="1"/>
    <x v="6"/>
    <x v="2"/>
    <s v="GDP per capita"/>
    <s v="Economy"/>
    <s v="SDG 8: Decent Work and Economic Growth"/>
    <n v="20979.845890000001"/>
    <s v="Source-defined international dollars"/>
    <s v="Belgium|1982"/>
    <s v="Gapminder/Plotly country-year extract reshaped to long indicator format for education"/>
    <s v="OK"/>
    <s v="1980s"/>
    <s v="N/A"/>
    <s v="Economy"/>
  </r>
  <r>
    <s v="GM-00346"/>
    <s v="Belgium"/>
    <x v="1"/>
    <x v="7"/>
    <x v="0"/>
    <s v="Life expectancy at birth"/>
    <s v="Health"/>
    <s v="SDG 3: Good Health and Well-being"/>
    <n v="75.349999999999994"/>
    <s v="Years"/>
    <s v="Belgium|1987"/>
    <s v="Gapminder/Plotly country-year extract reshaped to long indicator format for education"/>
    <s v="OK"/>
    <s v="1980s"/>
    <s v="High"/>
    <s v="Health"/>
  </r>
  <r>
    <s v="GM-00347"/>
    <s v="Belgium"/>
    <x v="1"/>
    <x v="7"/>
    <x v="1"/>
    <s v="Population, total"/>
    <s v="Demographics"/>
    <s v="SDG 11: Sustainable Cities and Communities"/>
    <n v="9870200"/>
    <s v="People"/>
    <s v="Belgium|1987"/>
    <s v="Gapminder/Plotly country-year extract reshaped to long indicator format for education"/>
    <s v="OK"/>
    <s v="1980s"/>
    <s v="N/A"/>
    <s v="Demographics"/>
  </r>
  <r>
    <s v="GM-00348"/>
    <s v="Belgium"/>
    <x v="1"/>
    <x v="7"/>
    <x v="2"/>
    <s v="GDP per capita"/>
    <s v="Economy"/>
    <s v="SDG 8: Decent Work and Economic Growth"/>
    <n v="22525.56308"/>
    <s v="Source-defined international dollars"/>
    <s v="Belgium|1987"/>
    <s v="Gapminder/Plotly country-year extract reshaped to long indicator format for education"/>
    <s v="OK"/>
    <s v="1980s"/>
    <s v="N/A"/>
    <s v="Economy"/>
  </r>
  <r>
    <s v="GM-00349"/>
    <s v="Belgium"/>
    <x v="1"/>
    <x v="8"/>
    <x v="0"/>
    <s v="Life expectancy at birth"/>
    <s v="Health"/>
    <s v="SDG 3: Good Health and Well-being"/>
    <n v="76.459999999999994"/>
    <s v="Years"/>
    <s v="Belgium|1992"/>
    <s v="Gapminder/Plotly country-year extract reshaped to long indicator format for education"/>
    <s v="OK"/>
    <s v="1990s"/>
    <s v="High"/>
    <s v="Health"/>
  </r>
  <r>
    <s v="GM-00350"/>
    <s v="Belgium"/>
    <x v="1"/>
    <x v="8"/>
    <x v="1"/>
    <s v="Population, total"/>
    <s v="Demographics"/>
    <s v="SDG 11: Sustainable Cities and Communities"/>
    <n v="10045622"/>
    <s v="People"/>
    <s v="Belgium|1992"/>
    <s v="Gapminder/Plotly country-year extract reshaped to long indicator format for education"/>
    <s v="OK"/>
    <s v="1990s"/>
    <s v="N/A"/>
    <s v="Demographics"/>
  </r>
  <r>
    <s v="GM-00351"/>
    <s v="Belgium"/>
    <x v="1"/>
    <x v="8"/>
    <x v="2"/>
    <s v="GDP per capita"/>
    <s v="Economy"/>
    <s v="SDG 8: Decent Work and Economic Growth"/>
    <n v="25575.57069"/>
    <s v="Source-defined international dollars"/>
    <s v="Belgium|1992"/>
    <s v="Gapminder/Plotly country-year extract reshaped to long indicator format for education"/>
    <s v="OK"/>
    <s v="1990s"/>
    <s v="N/A"/>
    <s v="Economy"/>
  </r>
  <r>
    <s v="GM-00352"/>
    <s v="Belgium"/>
    <x v="1"/>
    <x v="9"/>
    <x v="0"/>
    <s v="Life expectancy at birth"/>
    <s v="Health"/>
    <s v="SDG 3: Good Health and Well-being"/>
    <n v="77.53"/>
    <s v="Years"/>
    <s v="Belgium|1997"/>
    <s v="Gapminder/Plotly country-year extract reshaped to long indicator format for education"/>
    <s v="OK"/>
    <s v="1990s"/>
    <s v="High"/>
    <s v="Health"/>
  </r>
  <r>
    <s v="GM-00353"/>
    <s v="Belgium"/>
    <x v="1"/>
    <x v="9"/>
    <x v="1"/>
    <s v="Population, total"/>
    <s v="Demographics"/>
    <s v="SDG 11: Sustainable Cities and Communities"/>
    <n v="10199787"/>
    <s v="People"/>
    <s v="Belgium|1997"/>
    <s v="Gapminder/Plotly country-year extract reshaped to long indicator format for education"/>
    <s v="OK"/>
    <s v="1990s"/>
    <s v="N/A"/>
    <s v="Demographics"/>
  </r>
  <r>
    <s v="GM-00354"/>
    <s v="Belgium"/>
    <x v="1"/>
    <x v="9"/>
    <x v="2"/>
    <s v="GDP per capita"/>
    <s v="Economy"/>
    <s v="SDG 8: Decent Work and Economic Growth"/>
    <n v="27561.196629999999"/>
    <s v="Source-defined international dollars"/>
    <s v="Belgium|1997"/>
    <s v="Gapminder/Plotly country-year extract reshaped to long indicator format for education"/>
    <s v="OK"/>
    <s v="1990s"/>
    <s v="N/A"/>
    <s v="Economy"/>
  </r>
  <r>
    <s v="GM-00355"/>
    <s v="Belgium"/>
    <x v="1"/>
    <x v="10"/>
    <x v="0"/>
    <s v="Life expectancy at birth"/>
    <s v="Health"/>
    <s v="SDG 3: Good Health and Well-being"/>
    <n v="78.319999999999993"/>
    <s v="Years"/>
    <s v="Belgium|2002"/>
    <s v="Gapminder/Plotly country-year extract reshaped to long indicator format for education"/>
    <s v="OK"/>
    <s v="2000s"/>
    <s v="High"/>
    <s v="Health"/>
  </r>
  <r>
    <s v="GM-00356"/>
    <s v="Belgium"/>
    <x v="1"/>
    <x v="10"/>
    <x v="1"/>
    <s v="Population, total"/>
    <s v="Demographics"/>
    <s v="SDG 11: Sustainable Cities and Communities"/>
    <n v="10311970"/>
    <s v="People"/>
    <s v="Belgium|2002"/>
    <s v="Gapminder/Plotly country-year extract reshaped to long indicator format for education"/>
    <s v="OK"/>
    <s v="2000s"/>
    <s v="N/A"/>
    <s v="Demographics"/>
  </r>
  <r>
    <s v="GM-00357"/>
    <s v="Belgium"/>
    <x v="1"/>
    <x v="10"/>
    <x v="2"/>
    <s v="GDP per capita"/>
    <s v="Economy"/>
    <s v="SDG 8: Decent Work and Economic Growth"/>
    <n v="30485.883750000001"/>
    <s v="Source-defined international dollars"/>
    <s v="Belgium|2002"/>
    <s v="Gapminder/Plotly country-year extract reshaped to long indicator format for education"/>
    <s v="OK"/>
    <s v="2000s"/>
    <s v="N/A"/>
    <s v="Economy"/>
  </r>
  <r>
    <s v="GM-00358"/>
    <s v="Belgium"/>
    <x v="1"/>
    <x v="11"/>
    <x v="0"/>
    <s v="Life expectancy at birth"/>
    <s v="Health"/>
    <s v="SDG 3: Good Health and Well-being"/>
    <n v="79.441000000000003"/>
    <s v="Years"/>
    <s v="Belgium|2007"/>
    <s v="Gapminder/Plotly country-year extract reshaped to long indicator format for education"/>
    <s v="OK"/>
    <s v="2000s"/>
    <s v="High"/>
    <s v="Health"/>
  </r>
  <r>
    <s v="GM-00359"/>
    <s v="Belgium"/>
    <x v="1"/>
    <x v="11"/>
    <x v="1"/>
    <s v="Population, total"/>
    <s v="Demographics"/>
    <s v="SDG 11: Sustainable Cities and Communities"/>
    <n v="10392226"/>
    <s v="People"/>
    <s v="Belgium|2007"/>
    <s v="Gapminder/Plotly country-year extract reshaped to long indicator format for education"/>
    <s v="OK"/>
    <s v="2000s"/>
    <s v="N/A"/>
    <s v="Demographics"/>
  </r>
  <r>
    <s v="GM-00360"/>
    <s v="Belgium"/>
    <x v="1"/>
    <x v="11"/>
    <x v="2"/>
    <s v="GDP per capita"/>
    <s v="Economy"/>
    <s v="SDG 8: Decent Work and Economic Growth"/>
    <n v="33692.605080000001"/>
    <s v="Source-defined international dollars"/>
    <s v="Belgium|2007"/>
    <s v="Gapminder/Plotly country-year extract reshaped to long indicator format for education"/>
    <s v="OK"/>
    <s v="2000s"/>
    <s v="N/A"/>
    <s v="Economy"/>
  </r>
  <r>
    <s v="GM-00361"/>
    <s v="Benin"/>
    <x v="2"/>
    <x v="0"/>
    <x v="0"/>
    <s v="Life expectancy at birth"/>
    <s v="Health"/>
    <s v="SDG 3: Good Health and Well-being"/>
    <n v="38.222999999999999"/>
    <s v="Years"/>
    <s v="Benin|1952"/>
    <s v="Gapminder/Plotly country-year extract reshaped to long indicator format for education"/>
    <s v="OK"/>
    <s v="1950s"/>
    <s v="Low"/>
    <s v="Health"/>
  </r>
  <r>
    <s v="GM-00362"/>
    <s v="Benin"/>
    <x v="2"/>
    <x v="0"/>
    <x v="1"/>
    <s v="Population, total"/>
    <s v="Demographics"/>
    <s v="SDG 11: Sustainable Cities and Communities"/>
    <n v="1738315"/>
    <s v="People"/>
    <s v="Benin|1952"/>
    <s v="Gapminder/Plotly country-year extract reshaped to long indicator format for education"/>
    <s v="OK"/>
    <s v="1950s"/>
    <s v="N/A"/>
    <s v="Demographics"/>
  </r>
  <r>
    <s v="GM-00363"/>
    <s v="Benin"/>
    <x v="2"/>
    <x v="0"/>
    <x v="2"/>
    <s v="GDP per capita"/>
    <s v="Economy"/>
    <s v="SDG 8: Decent Work and Economic Growth"/>
    <n v="1062.7521999999999"/>
    <s v="Source-defined international dollars"/>
    <s v="Benin|1952"/>
    <s v="Gapminder/Plotly country-year extract reshaped to long indicator format for education"/>
    <s v="OK"/>
    <s v="1950s"/>
    <s v="N/A"/>
    <s v="Economy"/>
  </r>
  <r>
    <s v="GM-00364"/>
    <s v="Benin"/>
    <x v="2"/>
    <x v="1"/>
    <x v="0"/>
    <s v="Life expectancy at birth"/>
    <s v="Health"/>
    <s v="SDG 3: Good Health and Well-being"/>
    <n v="40.357999999999997"/>
    <s v="Years"/>
    <s v="Benin|1957"/>
    <s v="Gapminder/Plotly country-year extract reshaped to long indicator format for education"/>
    <s v="OK"/>
    <s v="1950s"/>
    <s v="Low"/>
    <s v="Health"/>
  </r>
  <r>
    <s v="GM-00365"/>
    <s v="Benin"/>
    <x v="2"/>
    <x v="1"/>
    <x v="1"/>
    <s v="Population, total"/>
    <s v="Demographics"/>
    <s v="SDG 11: Sustainable Cities and Communities"/>
    <n v="1925173"/>
    <s v="People"/>
    <s v="Benin|1957"/>
    <s v="Gapminder/Plotly country-year extract reshaped to long indicator format for education"/>
    <s v="OK"/>
    <s v="1950s"/>
    <s v="N/A"/>
    <s v="Demographics"/>
  </r>
  <r>
    <s v="GM-00366"/>
    <s v="Benin"/>
    <x v="2"/>
    <x v="1"/>
    <x v="2"/>
    <s v="GDP per capita"/>
    <s v="Economy"/>
    <s v="SDG 8: Decent Work and Economic Growth"/>
    <n v="959.60108049999997"/>
    <s v="Source-defined international dollars"/>
    <s v="Benin|1957"/>
    <s v="Gapminder/Plotly country-year extract reshaped to long indicator format for education"/>
    <s v="OK"/>
    <s v="1950s"/>
    <s v="N/A"/>
    <s v="Economy"/>
  </r>
  <r>
    <s v="GM-00367"/>
    <s v="Benin"/>
    <x v="2"/>
    <x v="2"/>
    <x v="0"/>
    <s v="Life expectancy at birth"/>
    <s v="Health"/>
    <s v="SDG 3: Good Health and Well-being"/>
    <n v="42.618000000000002"/>
    <s v="Years"/>
    <s v="Benin|1962"/>
    <s v="Gapminder/Plotly country-year extract reshaped to long indicator format for education"/>
    <s v="OK"/>
    <s v="1960s"/>
    <s v="Low"/>
    <s v="Health"/>
  </r>
  <r>
    <s v="GM-00368"/>
    <s v="Benin"/>
    <x v="2"/>
    <x v="2"/>
    <x v="1"/>
    <s v="Population, total"/>
    <s v="Demographics"/>
    <s v="SDG 11: Sustainable Cities and Communities"/>
    <n v="2151895"/>
    <s v="People"/>
    <s v="Benin|1962"/>
    <s v="Gapminder/Plotly country-year extract reshaped to long indicator format for education"/>
    <s v="OK"/>
    <s v="1960s"/>
    <s v="N/A"/>
    <s v="Demographics"/>
  </r>
  <r>
    <s v="GM-00369"/>
    <s v="Benin"/>
    <x v="2"/>
    <x v="2"/>
    <x v="2"/>
    <s v="GDP per capita"/>
    <s v="Economy"/>
    <s v="SDG 8: Decent Work and Economic Growth"/>
    <n v="949.49906410000006"/>
    <s v="Source-defined international dollars"/>
    <s v="Benin|1962"/>
    <s v="Gapminder/Plotly country-year extract reshaped to long indicator format for education"/>
    <s v="OK"/>
    <s v="1960s"/>
    <s v="N/A"/>
    <s v="Economy"/>
  </r>
  <r>
    <s v="GM-00370"/>
    <s v="Benin"/>
    <x v="2"/>
    <x v="3"/>
    <x v="0"/>
    <s v="Life expectancy at birth"/>
    <s v="Health"/>
    <s v="SDG 3: Good Health and Well-being"/>
    <n v="44.884999999999998"/>
    <s v="Years"/>
    <s v="Benin|1967"/>
    <s v="Gapminder/Plotly country-year extract reshaped to long indicator format for education"/>
    <s v="OK"/>
    <s v="1960s"/>
    <s v="Low"/>
    <s v="Health"/>
  </r>
  <r>
    <s v="GM-00371"/>
    <s v="Benin"/>
    <x v="2"/>
    <x v="3"/>
    <x v="1"/>
    <s v="Population, total"/>
    <s v="Demographics"/>
    <s v="SDG 11: Sustainable Cities and Communities"/>
    <n v="2427334"/>
    <s v="People"/>
    <s v="Benin|1967"/>
    <s v="Gapminder/Plotly country-year extract reshaped to long indicator format for education"/>
    <s v="OK"/>
    <s v="1960s"/>
    <s v="N/A"/>
    <s v="Demographics"/>
  </r>
  <r>
    <s v="GM-00372"/>
    <s v="Benin"/>
    <x v="2"/>
    <x v="3"/>
    <x v="2"/>
    <s v="GDP per capita"/>
    <s v="Economy"/>
    <s v="SDG 8: Decent Work and Economic Growth"/>
    <n v="1035.8314109999999"/>
    <s v="Source-defined international dollars"/>
    <s v="Benin|1967"/>
    <s v="Gapminder/Plotly country-year extract reshaped to long indicator format for education"/>
    <s v="OK"/>
    <s v="1960s"/>
    <s v="N/A"/>
    <s v="Economy"/>
  </r>
  <r>
    <s v="GM-00373"/>
    <s v="Benin"/>
    <x v="2"/>
    <x v="4"/>
    <x v="0"/>
    <s v="Life expectancy at birth"/>
    <s v="Health"/>
    <s v="SDG 3: Good Health and Well-being"/>
    <n v="47.014000000000003"/>
    <s v="Years"/>
    <s v="Benin|1972"/>
    <s v="Gapminder/Plotly country-year extract reshaped to long indicator format for education"/>
    <s v="OK"/>
    <s v="1970s"/>
    <s v="Low"/>
    <s v="Health"/>
  </r>
  <r>
    <s v="GM-00374"/>
    <s v="Benin"/>
    <x v="2"/>
    <x v="4"/>
    <x v="1"/>
    <s v="Population, total"/>
    <s v="Demographics"/>
    <s v="SDG 11: Sustainable Cities and Communities"/>
    <n v="2761407"/>
    <s v="People"/>
    <s v="Benin|1972"/>
    <s v="Gapminder/Plotly country-year extract reshaped to long indicator format for education"/>
    <s v="OK"/>
    <s v="1970s"/>
    <s v="N/A"/>
    <s v="Demographics"/>
  </r>
  <r>
    <s v="GM-00375"/>
    <s v="Benin"/>
    <x v="2"/>
    <x v="4"/>
    <x v="2"/>
    <s v="GDP per capita"/>
    <s v="Economy"/>
    <s v="SDG 8: Decent Work and Economic Growth"/>
    <n v="1085.796879"/>
    <s v="Source-defined international dollars"/>
    <s v="Benin|1972"/>
    <s v="Gapminder/Plotly country-year extract reshaped to long indicator format for education"/>
    <s v="OK"/>
    <s v="1970s"/>
    <s v="N/A"/>
    <s v="Economy"/>
  </r>
  <r>
    <s v="GM-00376"/>
    <s v="Benin"/>
    <x v="2"/>
    <x v="5"/>
    <x v="0"/>
    <s v="Life expectancy at birth"/>
    <s v="Health"/>
    <s v="SDG 3: Good Health and Well-being"/>
    <n v="49.19"/>
    <s v="Years"/>
    <s v="Benin|1977"/>
    <s v="Gapminder/Plotly country-year extract reshaped to long indicator format for education"/>
    <s v="OK"/>
    <s v="1970s"/>
    <s v="Low"/>
    <s v="Health"/>
  </r>
  <r>
    <s v="GM-00377"/>
    <s v="Benin"/>
    <x v="2"/>
    <x v="5"/>
    <x v="1"/>
    <s v="Population, total"/>
    <s v="Demographics"/>
    <s v="SDG 11: Sustainable Cities and Communities"/>
    <n v="3168267"/>
    <s v="People"/>
    <s v="Benin|1977"/>
    <s v="Gapminder/Plotly country-year extract reshaped to long indicator format for education"/>
    <s v="OK"/>
    <s v="1970s"/>
    <s v="N/A"/>
    <s v="Demographics"/>
  </r>
  <r>
    <s v="GM-00378"/>
    <s v="Benin"/>
    <x v="2"/>
    <x v="5"/>
    <x v="2"/>
    <s v="GDP per capita"/>
    <s v="Economy"/>
    <s v="SDG 8: Decent Work and Economic Growth"/>
    <n v="1029.161251"/>
    <s v="Source-defined international dollars"/>
    <s v="Benin|1977"/>
    <s v="Gapminder/Plotly country-year extract reshaped to long indicator format for education"/>
    <s v="OK"/>
    <s v="1970s"/>
    <s v="N/A"/>
    <s v="Economy"/>
  </r>
  <r>
    <s v="GM-00379"/>
    <s v="Benin"/>
    <x v="2"/>
    <x v="6"/>
    <x v="0"/>
    <s v="Life expectancy at birth"/>
    <s v="Health"/>
    <s v="SDG 3: Good Health and Well-being"/>
    <n v="50.904000000000003"/>
    <s v="Years"/>
    <s v="Benin|1982"/>
    <s v="Gapminder/Plotly country-year extract reshaped to long indicator format for education"/>
    <s v="OK"/>
    <s v="1980s"/>
    <s v="Low"/>
    <s v="Health"/>
  </r>
  <r>
    <s v="GM-00380"/>
    <s v="Benin"/>
    <x v="2"/>
    <x v="6"/>
    <x v="1"/>
    <s v="Population, total"/>
    <s v="Demographics"/>
    <s v="SDG 11: Sustainable Cities and Communities"/>
    <n v="3641603"/>
    <s v="People"/>
    <s v="Benin|1982"/>
    <s v="Gapminder/Plotly country-year extract reshaped to long indicator format for education"/>
    <s v="OK"/>
    <s v="1980s"/>
    <s v="N/A"/>
    <s v="Demographics"/>
  </r>
  <r>
    <s v="GM-00381"/>
    <s v="Benin"/>
    <x v="2"/>
    <x v="6"/>
    <x v="2"/>
    <s v="GDP per capita"/>
    <s v="Economy"/>
    <s v="SDG 8: Decent Work and Economic Growth"/>
    <n v="1277.897616"/>
    <s v="Source-defined international dollars"/>
    <s v="Benin|1982"/>
    <s v="Gapminder/Plotly country-year extract reshaped to long indicator format for education"/>
    <s v="OK"/>
    <s v="1980s"/>
    <s v="N/A"/>
    <s v="Economy"/>
  </r>
  <r>
    <s v="GM-00382"/>
    <s v="Benin"/>
    <x v="2"/>
    <x v="7"/>
    <x v="0"/>
    <s v="Life expectancy at birth"/>
    <s v="Health"/>
    <s v="SDG 3: Good Health and Well-being"/>
    <n v="52.337000000000003"/>
    <s v="Years"/>
    <s v="Benin|1987"/>
    <s v="Gapminder/Plotly country-year extract reshaped to long indicator format for education"/>
    <s v="OK"/>
    <s v="1980s"/>
    <s v="Low"/>
    <s v="Health"/>
  </r>
  <r>
    <s v="GM-00383"/>
    <s v="Benin"/>
    <x v="2"/>
    <x v="7"/>
    <x v="1"/>
    <s v="Population, total"/>
    <s v="Demographics"/>
    <s v="SDG 11: Sustainable Cities and Communities"/>
    <n v="4243788"/>
    <s v="People"/>
    <s v="Benin|1987"/>
    <s v="Gapminder/Plotly country-year extract reshaped to long indicator format for education"/>
    <s v="OK"/>
    <s v="1980s"/>
    <s v="N/A"/>
    <s v="Demographics"/>
  </r>
  <r>
    <s v="GM-00384"/>
    <s v="Benin"/>
    <x v="2"/>
    <x v="7"/>
    <x v="2"/>
    <s v="GDP per capita"/>
    <s v="Economy"/>
    <s v="SDG 8: Decent Work and Economic Growth"/>
    <n v="1225.85601"/>
    <s v="Source-defined international dollars"/>
    <s v="Benin|1987"/>
    <s v="Gapminder/Plotly country-year extract reshaped to long indicator format for education"/>
    <s v="OK"/>
    <s v="1980s"/>
    <s v="N/A"/>
    <s v="Economy"/>
  </r>
  <r>
    <s v="GM-00385"/>
    <s v="Benin"/>
    <x v="2"/>
    <x v="8"/>
    <x v="0"/>
    <s v="Life expectancy at birth"/>
    <s v="Health"/>
    <s v="SDG 3: Good Health and Well-being"/>
    <n v="53.918999999999997"/>
    <s v="Years"/>
    <s v="Benin|1992"/>
    <s v="Gapminder/Plotly country-year extract reshaped to long indicator format for education"/>
    <s v="OK"/>
    <s v="1990s"/>
    <s v="Low"/>
    <s v="Health"/>
  </r>
  <r>
    <s v="GM-00386"/>
    <s v="Benin"/>
    <x v="2"/>
    <x v="8"/>
    <x v="1"/>
    <s v="Population, total"/>
    <s v="Demographics"/>
    <s v="SDG 11: Sustainable Cities and Communities"/>
    <n v="4981671"/>
    <s v="People"/>
    <s v="Benin|1992"/>
    <s v="Gapminder/Plotly country-year extract reshaped to long indicator format for education"/>
    <s v="OK"/>
    <s v="1990s"/>
    <s v="N/A"/>
    <s v="Demographics"/>
  </r>
  <r>
    <s v="GM-00387"/>
    <s v="Benin"/>
    <x v="2"/>
    <x v="8"/>
    <x v="2"/>
    <s v="GDP per capita"/>
    <s v="Economy"/>
    <s v="SDG 8: Decent Work and Economic Growth"/>
    <n v="1191.2076810000001"/>
    <s v="Source-defined international dollars"/>
    <s v="Benin|1992"/>
    <s v="Gapminder/Plotly country-year extract reshaped to long indicator format for education"/>
    <s v="OK"/>
    <s v="1990s"/>
    <s v="N/A"/>
    <s v="Economy"/>
  </r>
  <r>
    <s v="GM-00388"/>
    <s v="Benin"/>
    <x v="2"/>
    <x v="9"/>
    <x v="0"/>
    <s v="Life expectancy at birth"/>
    <s v="Health"/>
    <s v="SDG 3: Good Health and Well-being"/>
    <n v="54.777000000000001"/>
    <s v="Years"/>
    <s v="Benin|1997"/>
    <s v="Gapminder/Plotly country-year extract reshaped to long indicator format for education"/>
    <s v="OK"/>
    <s v="1990s"/>
    <s v="Low"/>
    <s v="Health"/>
  </r>
  <r>
    <s v="GM-00389"/>
    <s v="Benin"/>
    <x v="2"/>
    <x v="9"/>
    <x v="1"/>
    <s v="Population, total"/>
    <s v="Demographics"/>
    <s v="SDG 11: Sustainable Cities and Communities"/>
    <n v="6066080"/>
    <s v="People"/>
    <s v="Benin|1997"/>
    <s v="Gapminder/Plotly country-year extract reshaped to long indicator format for education"/>
    <s v="OK"/>
    <s v="1990s"/>
    <s v="N/A"/>
    <s v="Demographics"/>
  </r>
  <r>
    <s v="GM-00390"/>
    <s v="Benin"/>
    <x v="2"/>
    <x v="9"/>
    <x v="2"/>
    <s v="GDP per capita"/>
    <s v="Economy"/>
    <s v="SDG 8: Decent Work and Economic Growth"/>
    <n v="1232.9752920000001"/>
    <s v="Source-defined international dollars"/>
    <s v="Benin|1997"/>
    <s v="Gapminder/Plotly country-year extract reshaped to long indicator format for education"/>
    <s v="OK"/>
    <s v="1990s"/>
    <s v="N/A"/>
    <s v="Economy"/>
  </r>
  <r>
    <s v="GM-00391"/>
    <s v="Benin"/>
    <x v="2"/>
    <x v="10"/>
    <x v="0"/>
    <s v="Life expectancy at birth"/>
    <s v="Health"/>
    <s v="SDG 3: Good Health and Well-being"/>
    <n v="54.405999999999999"/>
    <s v="Years"/>
    <s v="Benin|2002"/>
    <s v="Gapminder/Plotly country-year extract reshaped to long indicator format for education"/>
    <s v="OK"/>
    <s v="2000s"/>
    <s v="Low"/>
    <s v="Health"/>
  </r>
  <r>
    <s v="GM-00392"/>
    <s v="Benin"/>
    <x v="2"/>
    <x v="10"/>
    <x v="1"/>
    <s v="Population, total"/>
    <s v="Demographics"/>
    <s v="SDG 11: Sustainable Cities and Communities"/>
    <n v="7026113"/>
    <s v="People"/>
    <s v="Benin|2002"/>
    <s v="Gapminder/Plotly country-year extract reshaped to long indicator format for education"/>
    <s v="OK"/>
    <s v="2000s"/>
    <s v="N/A"/>
    <s v="Demographics"/>
  </r>
  <r>
    <s v="GM-00393"/>
    <s v="Benin"/>
    <x v="2"/>
    <x v="10"/>
    <x v="2"/>
    <s v="GDP per capita"/>
    <s v="Economy"/>
    <s v="SDG 8: Decent Work and Economic Growth"/>
    <n v="1372.877931"/>
    <s v="Source-defined international dollars"/>
    <s v="Benin|2002"/>
    <s v="Gapminder/Plotly country-year extract reshaped to long indicator format for education"/>
    <s v="OK"/>
    <s v="2000s"/>
    <s v="N/A"/>
    <s v="Economy"/>
  </r>
  <r>
    <s v="GM-00394"/>
    <s v="Benin"/>
    <x v="2"/>
    <x v="11"/>
    <x v="0"/>
    <s v="Life expectancy at birth"/>
    <s v="Health"/>
    <s v="SDG 3: Good Health and Well-being"/>
    <n v="56.728000000000002"/>
    <s v="Years"/>
    <s v="Benin|2007"/>
    <s v="Gapminder/Plotly country-year extract reshaped to long indicator format for education"/>
    <s v="OK"/>
    <s v="2000s"/>
    <s v="Medium"/>
    <s v="Health"/>
  </r>
  <r>
    <s v="GM-00395"/>
    <s v="Benin"/>
    <x v="2"/>
    <x v="11"/>
    <x v="1"/>
    <s v="Population, total"/>
    <s v="Demographics"/>
    <s v="SDG 11: Sustainable Cities and Communities"/>
    <n v="8078314"/>
    <s v="People"/>
    <s v="Benin|2007"/>
    <s v="Gapminder/Plotly country-year extract reshaped to long indicator format for education"/>
    <s v="OK"/>
    <s v="2000s"/>
    <s v="N/A"/>
    <s v="Demographics"/>
  </r>
  <r>
    <s v="GM-00396"/>
    <s v="Benin"/>
    <x v="2"/>
    <x v="11"/>
    <x v="2"/>
    <s v="GDP per capita"/>
    <s v="Economy"/>
    <s v="SDG 8: Decent Work and Economic Growth"/>
    <n v="1441.2848730000001"/>
    <s v="Source-defined international dollars"/>
    <s v="Benin|2007"/>
    <s v="Gapminder/Plotly country-year extract reshaped to long indicator format for education"/>
    <s v="OK"/>
    <s v="2000s"/>
    <s v="N/A"/>
    <s v="Economy"/>
  </r>
  <r>
    <s v="GM-00397"/>
    <s v="Bolivia"/>
    <x v="3"/>
    <x v="0"/>
    <x v="0"/>
    <s v="Life expectancy at birth"/>
    <s v="Health"/>
    <s v="SDG 3: Good Health and Well-being"/>
    <n v="40.414000000000001"/>
    <s v="Years"/>
    <s v="Bolivia|1952"/>
    <s v="Gapminder/Plotly country-year extract reshaped to long indicator format for education"/>
    <s v="OK"/>
    <s v="1950s"/>
    <s v="Low"/>
    <s v="Health"/>
  </r>
  <r>
    <s v="GM-00398"/>
    <s v="Bolivia"/>
    <x v="3"/>
    <x v="0"/>
    <x v="1"/>
    <s v="Population, total"/>
    <s v="Demographics"/>
    <s v="SDG 11: Sustainable Cities and Communities"/>
    <n v="2883315"/>
    <s v="People"/>
    <s v="Bolivia|1952"/>
    <s v="Gapminder/Plotly country-year extract reshaped to long indicator format for education"/>
    <s v="OK"/>
    <s v="1950s"/>
    <s v="N/A"/>
    <s v="Demographics"/>
  </r>
  <r>
    <s v="GM-00399"/>
    <s v="Bolivia"/>
    <x v="3"/>
    <x v="0"/>
    <x v="2"/>
    <s v="GDP per capita"/>
    <s v="Economy"/>
    <s v="SDG 8: Decent Work and Economic Growth"/>
    <n v="2677.3263470000002"/>
    <s v="Source-defined international dollars"/>
    <s v="Bolivia|1952"/>
    <s v="Gapminder/Plotly country-year extract reshaped to long indicator format for education"/>
    <s v="OK"/>
    <s v="1950s"/>
    <s v="N/A"/>
    <s v="Economy"/>
  </r>
  <r>
    <s v="GM-00400"/>
    <s v="Bolivia"/>
    <x v="3"/>
    <x v="1"/>
    <x v="0"/>
    <s v="Life expectancy at birth"/>
    <s v="Health"/>
    <s v="SDG 3: Good Health and Well-being"/>
    <n v="41.89"/>
    <s v="Years"/>
    <s v="Bolivia|1957"/>
    <s v="Gapminder/Plotly country-year extract reshaped to long indicator format for education"/>
    <s v="OK"/>
    <s v="1950s"/>
    <s v="Low"/>
    <s v="Health"/>
  </r>
  <r>
    <s v="GM-00401"/>
    <s v="Bolivia"/>
    <x v="3"/>
    <x v="1"/>
    <x v="1"/>
    <s v="Population, total"/>
    <s v="Demographics"/>
    <s v="SDG 11: Sustainable Cities and Communities"/>
    <n v="3211738"/>
    <s v="People"/>
    <s v="Bolivia|1957"/>
    <s v="Gapminder/Plotly country-year extract reshaped to long indicator format for education"/>
    <s v="OK"/>
    <s v="1950s"/>
    <s v="N/A"/>
    <s v="Demographics"/>
  </r>
  <r>
    <s v="GM-00402"/>
    <s v="Bolivia"/>
    <x v="3"/>
    <x v="1"/>
    <x v="2"/>
    <s v="GDP per capita"/>
    <s v="Economy"/>
    <s v="SDG 8: Decent Work and Economic Growth"/>
    <n v="2127.686326"/>
    <s v="Source-defined international dollars"/>
    <s v="Bolivia|1957"/>
    <s v="Gapminder/Plotly country-year extract reshaped to long indicator format for education"/>
    <s v="OK"/>
    <s v="1950s"/>
    <s v="N/A"/>
    <s v="Economy"/>
  </r>
  <r>
    <s v="GM-00403"/>
    <s v="Bolivia"/>
    <x v="3"/>
    <x v="2"/>
    <x v="0"/>
    <s v="Life expectancy at birth"/>
    <s v="Health"/>
    <s v="SDG 3: Good Health and Well-being"/>
    <n v="43.427999999999997"/>
    <s v="Years"/>
    <s v="Bolivia|1962"/>
    <s v="Gapminder/Plotly country-year extract reshaped to long indicator format for education"/>
    <s v="OK"/>
    <s v="1960s"/>
    <s v="Low"/>
    <s v="Health"/>
  </r>
  <r>
    <s v="GM-00404"/>
    <s v="Bolivia"/>
    <x v="3"/>
    <x v="2"/>
    <x v="1"/>
    <s v="Population, total"/>
    <s v="Demographics"/>
    <s v="SDG 11: Sustainable Cities and Communities"/>
    <n v="3593918"/>
    <s v="People"/>
    <s v="Bolivia|1962"/>
    <s v="Gapminder/Plotly country-year extract reshaped to long indicator format for education"/>
    <s v="OK"/>
    <s v="1960s"/>
    <s v="N/A"/>
    <s v="Demographics"/>
  </r>
  <r>
    <s v="GM-00405"/>
    <s v="Bolivia"/>
    <x v="3"/>
    <x v="2"/>
    <x v="2"/>
    <s v="GDP per capita"/>
    <s v="Economy"/>
    <s v="SDG 8: Decent Work and Economic Growth"/>
    <n v="2180.972546"/>
    <s v="Source-defined international dollars"/>
    <s v="Bolivia|1962"/>
    <s v="Gapminder/Plotly country-year extract reshaped to long indicator format for education"/>
    <s v="OK"/>
    <s v="1960s"/>
    <s v="N/A"/>
    <s v="Economy"/>
  </r>
  <r>
    <s v="GM-00406"/>
    <s v="Bolivia"/>
    <x v="3"/>
    <x v="3"/>
    <x v="0"/>
    <s v="Life expectancy at birth"/>
    <s v="Health"/>
    <s v="SDG 3: Good Health and Well-being"/>
    <n v="45.031999999999996"/>
    <s v="Years"/>
    <s v="Bolivia|1967"/>
    <s v="Gapminder/Plotly country-year extract reshaped to long indicator format for education"/>
    <s v="OK"/>
    <s v="1960s"/>
    <s v="Low"/>
    <s v="Health"/>
  </r>
  <r>
    <s v="GM-00407"/>
    <s v="Bolivia"/>
    <x v="3"/>
    <x v="3"/>
    <x v="1"/>
    <s v="Population, total"/>
    <s v="Demographics"/>
    <s v="SDG 11: Sustainable Cities and Communities"/>
    <n v="4040665"/>
    <s v="People"/>
    <s v="Bolivia|1967"/>
    <s v="Gapminder/Plotly country-year extract reshaped to long indicator format for education"/>
    <s v="OK"/>
    <s v="1960s"/>
    <s v="N/A"/>
    <s v="Demographics"/>
  </r>
  <r>
    <s v="GM-00408"/>
    <s v="Bolivia"/>
    <x v="3"/>
    <x v="3"/>
    <x v="2"/>
    <s v="GDP per capita"/>
    <s v="Economy"/>
    <s v="SDG 8: Decent Work and Economic Growth"/>
    <n v="2586.8860530000002"/>
    <s v="Source-defined international dollars"/>
    <s v="Bolivia|1967"/>
    <s v="Gapminder/Plotly country-year extract reshaped to long indicator format for education"/>
    <s v="OK"/>
    <s v="1960s"/>
    <s v="N/A"/>
    <s v="Economy"/>
  </r>
  <r>
    <s v="GM-00409"/>
    <s v="Bolivia"/>
    <x v="3"/>
    <x v="4"/>
    <x v="0"/>
    <s v="Life expectancy at birth"/>
    <s v="Health"/>
    <s v="SDG 3: Good Health and Well-being"/>
    <n v="46.713999999999999"/>
    <s v="Years"/>
    <s v="Bolivia|1972"/>
    <s v="Gapminder/Plotly country-year extract reshaped to long indicator format for education"/>
    <s v="OK"/>
    <s v="1970s"/>
    <s v="Low"/>
    <s v="Health"/>
  </r>
  <r>
    <s v="GM-00410"/>
    <s v="Bolivia"/>
    <x v="3"/>
    <x v="4"/>
    <x v="1"/>
    <s v="Population, total"/>
    <s v="Demographics"/>
    <s v="SDG 11: Sustainable Cities and Communities"/>
    <n v="4565872"/>
    <s v="People"/>
    <s v="Bolivia|1972"/>
    <s v="Gapminder/Plotly country-year extract reshaped to long indicator format for education"/>
    <s v="OK"/>
    <s v="1970s"/>
    <s v="N/A"/>
    <s v="Demographics"/>
  </r>
  <r>
    <s v="GM-00411"/>
    <s v="Bolivia"/>
    <x v="3"/>
    <x v="4"/>
    <x v="2"/>
    <s v="GDP per capita"/>
    <s v="Economy"/>
    <s v="SDG 8: Decent Work and Economic Growth"/>
    <n v="2980.3313389999998"/>
    <s v="Source-defined international dollars"/>
    <s v="Bolivia|1972"/>
    <s v="Gapminder/Plotly country-year extract reshaped to long indicator format for education"/>
    <s v="OK"/>
    <s v="1970s"/>
    <s v="N/A"/>
    <s v="Economy"/>
  </r>
  <r>
    <s v="GM-00412"/>
    <s v="Bolivia"/>
    <x v="3"/>
    <x v="5"/>
    <x v="0"/>
    <s v="Life expectancy at birth"/>
    <s v="Health"/>
    <s v="SDG 3: Good Health and Well-being"/>
    <n v="50.023000000000003"/>
    <s v="Years"/>
    <s v="Bolivia|1977"/>
    <s v="Gapminder/Plotly country-year extract reshaped to long indicator format for education"/>
    <s v="OK"/>
    <s v="1970s"/>
    <s v="Low"/>
    <s v="Health"/>
  </r>
  <r>
    <s v="GM-00413"/>
    <s v="Bolivia"/>
    <x v="3"/>
    <x v="5"/>
    <x v="1"/>
    <s v="Population, total"/>
    <s v="Demographics"/>
    <s v="SDG 11: Sustainable Cities and Communities"/>
    <n v="5079716"/>
    <s v="People"/>
    <s v="Bolivia|1977"/>
    <s v="Gapminder/Plotly country-year extract reshaped to long indicator format for education"/>
    <s v="OK"/>
    <s v="1970s"/>
    <s v="N/A"/>
    <s v="Demographics"/>
  </r>
  <r>
    <s v="GM-00414"/>
    <s v="Bolivia"/>
    <x v="3"/>
    <x v="5"/>
    <x v="2"/>
    <s v="GDP per capita"/>
    <s v="Economy"/>
    <s v="SDG 8: Decent Work and Economic Growth"/>
    <n v="3548.0978319999999"/>
    <s v="Source-defined international dollars"/>
    <s v="Bolivia|1977"/>
    <s v="Gapminder/Plotly country-year extract reshaped to long indicator format for education"/>
    <s v="OK"/>
    <s v="1970s"/>
    <s v="N/A"/>
    <s v="Economy"/>
  </r>
  <r>
    <s v="GM-00415"/>
    <s v="Bolivia"/>
    <x v="3"/>
    <x v="6"/>
    <x v="0"/>
    <s v="Life expectancy at birth"/>
    <s v="Health"/>
    <s v="SDG 3: Good Health and Well-being"/>
    <n v="53.859000000000002"/>
    <s v="Years"/>
    <s v="Bolivia|1982"/>
    <s v="Gapminder/Plotly country-year extract reshaped to long indicator format for education"/>
    <s v="OK"/>
    <s v="1980s"/>
    <s v="Low"/>
    <s v="Health"/>
  </r>
  <r>
    <s v="GM-00416"/>
    <s v="Bolivia"/>
    <x v="3"/>
    <x v="6"/>
    <x v="1"/>
    <s v="Population, total"/>
    <s v="Demographics"/>
    <s v="SDG 11: Sustainable Cities and Communities"/>
    <n v="5642224"/>
    <s v="People"/>
    <s v="Bolivia|1982"/>
    <s v="Gapminder/Plotly country-year extract reshaped to long indicator format for education"/>
    <s v="OK"/>
    <s v="1980s"/>
    <s v="N/A"/>
    <s v="Demographics"/>
  </r>
  <r>
    <s v="GM-00417"/>
    <s v="Bolivia"/>
    <x v="3"/>
    <x v="6"/>
    <x v="2"/>
    <s v="GDP per capita"/>
    <s v="Economy"/>
    <s v="SDG 8: Decent Work and Economic Growth"/>
    <n v="3156.510452"/>
    <s v="Source-defined international dollars"/>
    <s v="Bolivia|1982"/>
    <s v="Gapminder/Plotly country-year extract reshaped to long indicator format for education"/>
    <s v="OK"/>
    <s v="1980s"/>
    <s v="N/A"/>
    <s v="Economy"/>
  </r>
  <r>
    <s v="GM-00418"/>
    <s v="Bolivia"/>
    <x v="3"/>
    <x v="7"/>
    <x v="0"/>
    <s v="Life expectancy at birth"/>
    <s v="Health"/>
    <s v="SDG 3: Good Health and Well-being"/>
    <n v="57.250999999999998"/>
    <s v="Years"/>
    <s v="Bolivia|1987"/>
    <s v="Gapminder/Plotly country-year extract reshaped to long indicator format for education"/>
    <s v="OK"/>
    <s v="1980s"/>
    <s v="Medium"/>
    <s v="Health"/>
  </r>
  <r>
    <s v="GM-00419"/>
    <s v="Bolivia"/>
    <x v="3"/>
    <x v="7"/>
    <x v="1"/>
    <s v="Population, total"/>
    <s v="Demographics"/>
    <s v="SDG 11: Sustainable Cities and Communities"/>
    <n v="6156369"/>
    <s v="People"/>
    <s v="Bolivia|1987"/>
    <s v="Gapminder/Plotly country-year extract reshaped to long indicator format for education"/>
    <s v="OK"/>
    <s v="1980s"/>
    <s v="N/A"/>
    <s v="Demographics"/>
  </r>
  <r>
    <s v="GM-00420"/>
    <s v="Bolivia"/>
    <x v="3"/>
    <x v="7"/>
    <x v="2"/>
    <s v="GDP per capita"/>
    <s v="Economy"/>
    <s v="SDG 8: Decent Work and Economic Growth"/>
    <n v="2753.6914900000002"/>
    <s v="Source-defined international dollars"/>
    <s v="Bolivia|1987"/>
    <s v="Gapminder/Plotly country-year extract reshaped to long indicator format for education"/>
    <s v="OK"/>
    <s v="1980s"/>
    <s v="N/A"/>
    <s v="Economy"/>
  </r>
  <r>
    <s v="GM-00421"/>
    <s v="Bolivia"/>
    <x v="3"/>
    <x v="8"/>
    <x v="0"/>
    <s v="Life expectancy at birth"/>
    <s v="Health"/>
    <s v="SDG 3: Good Health and Well-being"/>
    <n v="59.957000000000001"/>
    <s v="Years"/>
    <s v="Bolivia|1992"/>
    <s v="Gapminder/Plotly country-year extract reshaped to long indicator format for education"/>
    <s v="OK"/>
    <s v="1990s"/>
    <s v="Medium"/>
    <s v="Health"/>
  </r>
  <r>
    <s v="GM-00422"/>
    <s v="Bolivia"/>
    <x v="3"/>
    <x v="8"/>
    <x v="1"/>
    <s v="Population, total"/>
    <s v="Demographics"/>
    <s v="SDG 11: Sustainable Cities and Communities"/>
    <n v="6893451"/>
    <s v="People"/>
    <s v="Bolivia|1992"/>
    <s v="Gapminder/Plotly country-year extract reshaped to long indicator format for education"/>
    <s v="OK"/>
    <s v="1990s"/>
    <s v="N/A"/>
    <s v="Demographics"/>
  </r>
  <r>
    <s v="GM-00423"/>
    <s v="Bolivia"/>
    <x v="3"/>
    <x v="8"/>
    <x v="2"/>
    <s v="GDP per capita"/>
    <s v="Economy"/>
    <s v="SDG 8: Decent Work and Economic Growth"/>
    <n v="2961.6996939999999"/>
    <s v="Source-defined international dollars"/>
    <s v="Bolivia|1992"/>
    <s v="Gapminder/Plotly country-year extract reshaped to long indicator format for education"/>
    <s v="OK"/>
    <s v="1990s"/>
    <s v="N/A"/>
    <s v="Economy"/>
  </r>
  <r>
    <s v="GM-00424"/>
    <s v="Bolivia"/>
    <x v="3"/>
    <x v="9"/>
    <x v="0"/>
    <s v="Life expectancy at birth"/>
    <s v="Health"/>
    <s v="SDG 3: Good Health and Well-being"/>
    <n v="62.05"/>
    <s v="Years"/>
    <s v="Bolivia|1997"/>
    <s v="Gapminder/Plotly country-year extract reshaped to long indicator format for education"/>
    <s v="OK"/>
    <s v="1990s"/>
    <s v="Medium"/>
    <s v="Health"/>
  </r>
  <r>
    <s v="GM-00425"/>
    <s v="Bolivia"/>
    <x v="3"/>
    <x v="9"/>
    <x v="1"/>
    <s v="Population, total"/>
    <s v="Demographics"/>
    <s v="SDG 11: Sustainable Cities and Communities"/>
    <n v="7693188"/>
    <s v="People"/>
    <s v="Bolivia|1997"/>
    <s v="Gapminder/Plotly country-year extract reshaped to long indicator format for education"/>
    <s v="OK"/>
    <s v="1990s"/>
    <s v="N/A"/>
    <s v="Demographics"/>
  </r>
  <r>
    <s v="GM-00426"/>
    <s v="Bolivia"/>
    <x v="3"/>
    <x v="9"/>
    <x v="2"/>
    <s v="GDP per capita"/>
    <s v="Economy"/>
    <s v="SDG 8: Decent Work and Economic Growth"/>
    <n v="3326.1431910000001"/>
    <s v="Source-defined international dollars"/>
    <s v="Bolivia|1997"/>
    <s v="Gapminder/Plotly country-year extract reshaped to long indicator format for education"/>
    <s v="OK"/>
    <s v="1990s"/>
    <s v="N/A"/>
    <s v="Economy"/>
  </r>
  <r>
    <s v="GM-00427"/>
    <s v="Bolivia"/>
    <x v="3"/>
    <x v="10"/>
    <x v="0"/>
    <s v="Life expectancy at birth"/>
    <s v="Health"/>
    <s v="SDG 3: Good Health and Well-being"/>
    <n v="63.883000000000003"/>
    <s v="Years"/>
    <s v="Bolivia|2002"/>
    <s v="Gapminder/Plotly country-year extract reshaped to long indicator format for education"/>
    <s v="OK"/>
    <s v="2000s"/>
    <s v="Medium"/>
    <s v="Health"/>
  </r>
  <r>
    <s v="GM-00428"/>
    <s v="Bolivia"/>
    <x v="3"/>
    <x v="10"/>
    <x v="1"/>
    <s v="Population, total"/>
    <s v="Demographics"/>
    <s v="SDG 11: Sustainable Cities and Communities"/>
    <n v="8445134"/>
    <s v="People"/>
    <s v="Bolivia|2002"/>
    <s v="Gapminder/Plotly country-year extract reshaped to long indicator format for education"/>
    <s v="OK"/>
    <s v="2000s"/>
    <s v="N/A"/>
    <s v="Demographics"/>
  </r>
  <r>
    <s v="GM-00429"/>
    <s v="Bolivia"/>
    <x v="3"/>
    <x v="10"/>
    <x v="2"/>
    <s v="GDP per capita"/>
    <s v="Economy"/>
    <s v="SDG 8: Decent Work and Economic Growth"/>
    <n v="3413.26269"/>
    <s v="Source-defined international dollars"/>
    <s v="Bolivia|2002"/>
    <s v="Gapminder/Plotly country-year extract reshaped to long indicator format for education"/>
    <s v="OK"/>
    <s v="2000s"/>
    <s v="N/A"/>
    <s v="Economy"/>
  </r>
  <r>
    <s v="GM-00430"/>
    <s v="Bolivia"/>
    <x v="3"/>
    <x v="11"/>
    <x v="0"/>
    <s v="Life expectancy at birth"/>
    <s v="Health"/>
    <s v="SDG 3: Good Health and Well-being"/>
    <n v="65.554000000000002"/>
    <s v="Years"/>
    <s v="Bolivia|2007"/>
    <s v="Gapminder/Plotly country-year extract reshaped to long indicator format for education"/>
    <s v="OK"/>
    <s v="2000s"/>
    <s v="Medium"/>
    <s v="Health"/>
  </r>
  <r>
    <s v="GM-00431"/>
    <s v="Bolivia"/>
    <x v="3"/>
    <x v="11"/>
    <x v="1"/>
    <s v="Population, total"/>
    <s v="Demographics"/>
    <s v="SDG 11: Sustainable Cities and Communities"/>
    <n v="9119152"/>
    <s v="People"/>
    <s v="Bolivia|2007"/>
    <s v="Gapminder/Plotly country-year extract reshaped to long indicator format for education"/>
    <s v="OK"/>
    <s v="2000s"/>
    <s v="N/A"/>
    <s v="Demographics"/>
  </r>
  <r>
    <s v="GM-00432"/>
    <s v="Bolivia"/>
    <x v="3"/>
    <x v="11"/>
    <x v="2"/>
    <s v="GDP per capita"/>
    <s v="Economy"/>
    <s v="SDG 8: Decent Work and Economic Growth"/>
    <n v="3822.137084"/>
    <s v="Source-defined international dollars"/>
    <s v="Bolivia|2007"/>
    <s v="Gapminder/Plotly country-year extract reshaped to long indicator format for education"/>
    <s v="OK"/>
    <s v="2000s"/>
    <s v="N/A"/>
    <s v="Economy"/>
  </r>
  <r>
    <s v="GM-00433"/>
    <s v="Bosnia and Herzegovina"/>
    <x v="1"/>
    <x v="0"/>
    <x v="0"/>
    <s v="Life expectancy at birth"/>
    <s v="Health"/>
    <s v="SDG 3: Good Health and Well-being"/>
    <n v="53.82"/>
    <s v="Years"/>
    <s v="Bosnia and Herzegovina|1952"/>
    <s v="Gapminder/Plotly country-year extract reshaped to long indicator format for education"/>
    <s v="OK"/>
    <s v="1950s"/>
    <s v="Low"/>
    <s v="Health"/>
  </r>
  <r>
    <s v="GM-00434"/>
    <s v="Bosnia and Herzegovina"/>
    <x v="1"/>
    <x v="0"/>
    <x v="1"/>
    <s v="Population, total"/>
    <s v="Demographics"/>
    <s v="SDG 11: Sustainable Cities and Communities"/>
    <n v="2791000"/>
    <s v="People"/>
    <s v="Bosnia and Herzegovina|1952"/>
    <s v="Gapminder/Plotly country-year extract reshaped to long indicator format for education"/>
    <s v="OK"/>
    <s v="1950s"/>
    <s v="N/A"/>
    <s v="Demographics"/>
  </r>
  <r>
    <s v="GM-00435"/>
    <s v="Bosnia and Herzegovina"/>
    <x v="1"/>
    <x v="0"/>
    <x v="2"/>
    <s v="GDP per capita"/>
    <s v="Economy"/>
    <s v="SDG 8: Decent Work and Economic Growth"/>
    <n v="973.53319480000005"/>
    <s v="Source-defined international dollars"/>
    <s v="Bosnia and Herzegovina|1952"/>
    <s v="Gapminder/Plotly country-year extract reshaped to long indicator format for education"/>
    <s v="OK"/>
    <s v="1950s"/>
    <s v="N/A"/>
    <s v="Economy"/>
  </r>
  <r>
    <s v="GM-00436"/>
    <s v="Bosnia and Herzegovina"/>
    <x v="1"/>
    <x v="1"/>
    <x v="0"/>
    <s v="Life expectancy at birth"/>
    <s v="Health"/>
    <s v="SDG 3: Good Health and Well-being"/>
    <n v="58.45"/>
    <s v="Years"/>
    <s v="Bosnia and Herzegovina|1957"/>
    <s v="Gapminder/Plotly country-year extract reshaped to long indicator format for education"/>
    <s v="OK"/>
    <s v="1950s"/>
    <s v="Medium"/>
    <s v="Health"/>
  </r>
  <r>
    <s v="GM-00437"/>
    <s v="Bosnia and Herzegovina"/>
    <x v="1"/>
    <x v="1"/>
    <x v="1"/>
    <s v="Population, total"/>
    <s v="Demographics"/>
    <s v="SDG 11: Sustainable Cities and Communities"/>
    <n v="3076000"/>
    <s v="People"/>
    <s v="Bosnia and Herzegovina|1957"/>
    <s v="Gapminder/Plotly country-year extract reshaped to long indicator format for education"/>
    <s v="OK"/>
    <s v="1950s"/>
    <s v="N/A"/>
    <s v="Demographics"/>
  </r>
  <r>
    <s v="GM-00438"/>
    <s v="Bosnia and Herzegovina"/>
    <x v="1"/>
    <x v="1"/>
    <x v="2"/>
    <s v="GDP per capita"/>
    <s v="Economy"/>
    <s v="SDG 8: Decent Work and Economic Growth"/>
    <n v="1353.989176"/>
    <s v="Source-defined international dollars"/>
    <s v="Bosnia and Herzegovina|1957"/>
    <s v="Gapminder/Plotly country-year extract reshaped to long indicator format for education"/>
    <s v="OK"/>
    <s v="1950s"/>
    <s v="N/A"/>
    <s v="Economy"/>
  </r>
  <r>
    <s v="GM-00439"/>
    <s v="Bosnia and Herzegovina"/>
    <x v="1"/>
    <x v="2"/>
    <x v="0"/>
    <s v="Life expectancy at birth"/>
    <s v="Health"/>
    <s v="SDG 3: Good Health and Well-being"/>
    <n v="61.93"/>
    <s v="Years"/>
    <s v="Bosnia and Herzegovina|1962"/>
    <s v="Gapminder/Plotly country-year extract reshaped to long indicator format for education"/>
    <s v="OK"/>
    <s v="1960s"/>
    <s v="Medium"/>
    <s v="Health"/>
  </r>
  <r>
    <s v="GM-00440"/>
    <s v="Bosnia and Herzegovina"/>
    <x v="1"/>
    <x v="2"/>
    <x v="1"/>
    <s v="Population, total"/>
    <s v="Demographics"/>
    <s v="SDG 11: Sustainable Cities and Communities"/>
    <n v="3349000"/>
    <s v="People"/>
    <s v="Bosnia and Herzegovina|1962"/>
    <s v="Gapminder/Plotly country-year extract reshaped to long indicator format for education"/>
    <s v="OK"/>
    <s v="1960s"/>
    <s v="N/A"/>
    <s v="Demographics"/>
  </r>
  <r>
    <s v="GM-00441"/>
    <s v="Bosnia and Herzegovina"/>
    <x v="1"/>
    <x v="2"/>
    <x v="2"/>
    <s v="GDP per capita"/>
    <s v="Economy"/>
    <s v="SDG 8: Decent Work and Economic Growth"/>
    <n v="1709.683679"/>
    <s v="Source-defined international dollars"/>
    <s v="Bosnia and Herzegovina|1962"/>
    <s v="Gapminder/Plotly country-year extract reshaped to long indicator format for education"/>
    <s v="OK"/>
    <s v="1960s"/>
    <s v="N/A"/>
    <s v="Economy"/>
  </r>
  <r>
    <s v="GM-00442"/>
    <s v="Bosnia and Herzegovina"/>
    <x v="1"/>
    <x v="3"/>
    <x v="0"/>
    <s v="Life expectancy at birth"/>
    <s v="Health"/>
    <s v="SDG 3: Good Health and Well-being"/>
    <n v="64.790000000000006"/>
    <s v="Years"/>
    <s v="Bosnia and Herzegovina|1967"/>
    <s v="Gapminder/Plotly country-year extract reshaped to long indicator format for education"/>
    <s v="OK"/>
    <s v="1960s"/>
    <s v="Medium"/>
    <s v="Health"/>
  </r>
  <r>
    <s v="GM-00443"/>
    <s v="Bosnia and Herzegovina"/>
    <x v="1"/>
    <x v="3"/>
    <x v="1"/>
    <s v="Population, total"/>
    <s v="Demographics"/>
    <s v="SDG 11: Sustainable Cities and Communities"/>
    <n v="3585000"/>
    <s v="People"/>
    <s v="Bosnia and Herzegovina|1967"/>
    <s v="Gapminder/Plotly country-year extract reshaped to long indicator format for education"/>
    <s v="OK"/>
    <s v="1960s"/>
    <s v="N/A"/>
    <s v="Demographics"/>
  </r>
  <r>
    <s v="GM-00444"/>
    <s v="Bosnia and Herzegovina"/>
    <x v="1"/>
    <x v="3"/>
    <x v="2"/>
    <s v="GDP per capita"/>
    <s v="Economy"/>
    <s v="SDG 8: Decent Work and Economic Growth"/>
    <n v="2172.3524229999998"/>
    <s v="Source-defined international dollars"/>
    <s v="Bosnia and Herzegovina|1967"/>
    <s v="Gapminder/Plotly country-year extract reshaped to long indicator format for education"/>
    <s v="OK"/>
    <s v="1960s"/>
    <s v="N/A"/>
    <s v="Economy"/>
  </r>
  <r>
    <s v="GM-00445"/>
    <s v="Bosnia and Herzegovina"/>
    <x v="1"/>
    <x v="4"/>
    <x v="0"/>
    <s v="Life expectancy at birth"/>
    <s v="Health"/>
    <s v="SDG 3: Good Health and Well-being"/>
    <n v="67.45"/>
    <s v="Years"/>
    <s v="Bosnia and Herzegovina|1972"/>
    <s v="Gapminder/Plotly country-year extract reshaped to long indicator format for education"/>
    <s v="OK"/>
    <s v="1970s"/>
    <s v="Medium"/>
    <s v="Health"/>
  </r>
  <r>
    <s v="GM-00446"/>
    <s v="Bosnia and Herzegovina"/>
    <x v="1"/>
    <x v="4"/>
    <x v="1"/>
    <s v="Population, total"/>
    <s v="Demographics"/>
    <s v="SDG 11: Sustainable Cities and Communities"/>
    <n v="3819000"/>
    <s v="People"/>
    <s v="Bosnia and Herzegovina|1972"/>
    <s v="Gapminder/Plotly country-year extract reshaped to long indicator format for education"/>
    <s v="OK"/>
    <s v="1970s"/>
    <s v="N/A"/>
    <s v="Demographics"/>
  </r>
  <r>
    <s v="GM-00447"/>
    <s v="Bosnia and Herzegovina"/>
    <x v="1"/>
    <x v="4"/>
    <x v="2"/>
    <s v="GDP per capita"/>
    <s v="Economy"/>
    <s v="SDG 8: Decent Work and Economic Growth"/>
    <n v="2860.16975"/>
    <s v="Source-defined international dollars"/>
    <s v="Bosnia and Herzegovina|1972"/>
    <s v="Gapminder/Plotly country-year extract reshaped to long indicator format for education"/>
    <s v="OK"/>
    <s v="1970s"/>
    <s v="N/A"/>
    <s v="Economy"/>
  </r>
  <r>
    <s v="GM-00448"/>
    <s v="Bosnia and Herzegovina"/>
    <x v="1"/>
    <x v="5"/>
    <x v="0"/>
    <s v="Life expectancy at birth"/>
    <s v="Health"/>
    <s v="SDG 3: Good Health and Well-being"/>
    <n v="69.86"/>
    <s v="Years"/>
    <s v="Bosnia and Herzegovina|1977"/>
    <s v="Gapminder/Plotly country-year extract reshaped to long indicator format for education"/>
    <s v="OK"/>
    <s v="1970s"/>
    <s v="Medium"/>
    <s v="Health"/>
  </r>
  <r>
    <s v="GM-00449"/>
    <s v="Bosnia and Herzegovina"/>
    <x v="1"/>
    <x v="5"/>
    <x v="1"/>
    <s v="Population, total"/>
    <s v="Demographics"/>
    <s v="SDG 11: Sustainable Cities and Communities"/>
    <n v="4086000"/>
    <s v="People"/>
    <s v="Bosnia and Herzegovina|1977"/>
    <s v="Gapminder/Plotly country-year extract reshaped to long indicator format for education"/>
    <s v="OK"/>
    <s v="1970s"/>
    <s v="N/A"/>
    <s v="Demographics"/>
  </r>
  <r>
    <s v="GM-00450"/>
    <s v="Bosnia and Herzegovina"/>
    <x v="1"/>
    <x v="5"/>
    <x v="2"/>
    <s v="GDP per capita"/>
    <s v="Economy"/>
    <s v="SDG 8: Decent Work and Economic Growth"/>
    <n v="3528.4813049999998"/>
    <s v="Source-defined international dollars"/>
    <s v="Bosnia and Herzegovina|1977"/>
    <s v="Gapminder/Plotly country-year extract reshaped to long indicator format for education"/>
    <s v="OK"/>
    <s v="1970s"/>
    <s v="N/A"/>
    <s v="Economy"/>
  </r>
  <r>
    <s v="GM-00451"/>
    <s v="Bosnia and Herzegovina"/>
    <x v="1"/>
    <x v="6"/>
    <x v="0"/>
    <s v="Life expectancy at birth"/>
    <s v="Health"/>
    <s v="SDG 3: Good Health and Well-being"/>
    <n v="70.69"/>
    <s v="Years"/>
    <s v="Bosnia and Herzegovina|1982"/>
    <s v="Gapminder/Plotly country-year extract reshaped to long indicator format for education"/>
    <s v="OK"/>
    <s v="1980s"/>
    <s v="High"/>
    <s v="Health"/>
  </r>
  <r>
    <s v="GM-00452"/>
    <s v="Bosnia and Herzegovina"/>
    <x v="1"/>
    <x v="6"/>
    <x v="1"/>
    <s v="Population, total"/>
    <s v="Demographics"/>
    <s v="SDG 11: Sustainable Cities and Communities"/>
    <n v="4172693"/>
    <s v="People"/>
    <s v="Bosnia and Herzegovina|1982"/>
    <s v="Gapminder/Plotly country-year extract reshaped to long indicator format for education"/>
    <s v="OK"/>
    <s v="1980s"/>
    <s v="N/A"/>
    <s v="Demographics"/>
  </r>
  <r>
    <s v="GM-00453"/>
    <s v="Bosnia and Herzegovina"/>
    <x v="1"/>
    <x v="6"/>
    <x v="2"/>
    <s v="GDP per capita"/>
    <s v="Economy"/>
    <s v="SDG 8: Decent Work and Economic Growth"/>
    <n v="4126.6131569999998"/>
    <s v="Source-defined international dollars"/>
    <s v="Bosnia and Herzegovina|1982"/>
    <s v="Gapminder/Plotly country-year extract reshaped to long indicator format for education"/>
    <s v="OK"/>
    <s v="1980s"/>
    <s v="N/A"/>
    <s v="Economy"/>
  </r>
  <r>
    <s v="GM-00454"/>
    <s v="Bosnia and Herzegovina"/>
    <x v="1"/>
    <x v="7"/>
    <x v="0"/>
    <s v="Life expectancy at birth"/>
    <s v="Health"/>
    <s v="SDG 3: Good Health and Well-being"/>
    <n v="71.14"/>
    <s v="Years"/>
    <s v="Bosnia and Herzegovina|1987"/>
    <s v="Gapminder/Plotly country-year extract reshaped to long indicator format for education"/>
    <s v="OK"/>
    <s v="1980s"/>
    <s v="High"/>
    <s v="Health"/>
  </r>
  <r>
    <s v="GM-00455"/>
    <s v="Bosnia and Herzegovina"/>
    <x v="1"/>
    <x v="7"/>
    <x v="1"/>
    <s v="Population, total"/>
    <s v="Demographics"/>
    <s v="SDG 11: Sustainable Cities and Communities"/>
    <n v="4338977"/>
    <s v="People"/>
    <s v="Bosnia and Herzegovina|1987"/>
    <s v="Gapminder/Plotly country-year extract reshaped to long indicator format for education"/>
    <s v="OK"/>
    <s v="1980s"/>
    <s v="N/A"/>
    <s v="Demographics"/>
  </r>
  <r>
    <s v="GM-00456"/>
    <s v="Bosnia and Herzegovina"/>
    <x v="1"/>
    <x v="7"/>
    <x v="2"/>
    <s v="GDP per capita"/>
    <s v="Economy"/>
    <s v="SDG 8: Decent Work and Economic Growth"/>
    <n v="4314.1147570000003"/>
    <s v="Source-defined international dollars"/>
    <s v="Bosnia and Herzegovina|1987"/>
    <s v="Gapminder/Plotly country-year extract reshaped to long indicator format for education"/>
    <s v="OK"/>
    <s v="1980s"/>
    <s v="N/A"/>
    <s v="Economy"/>
  </r>
  <r>
    <s v="GM-00457"/>
    <s v="Bosnia and Herzegovina"/>
    <x v="1"/>
    <x v="8"/>
    <x v="0"/>
    <s v="Life expectancy at birth"/>
    <s v="Health"/>
    <s v="SDG 3: Good Health and Well-being"/>
    <n v="72.177999999999997"/>
    <s v="Years"/>
    <s v="Bosnia and Herzegovina|1992"/>
    <s v="Gapminder/Plotly country-year extract reshaped to long indicator format for education"/>
    <s v="OK"/>
    <s v="1990s"/>
    <s v="High"/>
    <s v="Health"/>
  </r>
  <r>
    <s v="GM-00458"/>
    <s v="Bosnia and Herzegovina"/>
    <x v="1"/>
    <x v="8"/>
    <x v="1"/>
    <s v="Population, total"/>
    <s v="Demographics"/>
    <s v="SDG 11: Sustainable Cities and Communities"/>
    <n v="4256013"/>
    <s v="People"/>
    <s v="Bosnia and Herzegovina|1992"/>
    <s v="Gapminder/Plotly country-year extract reshaped to long indicator format for education"/>
    <s v="OK"/>
    <s v="1990s"/>
    <s v="N/A"/>
    <s v="Demographics"/>
  </r>
  <r>
    <s v="GM-00459"/>
    <s v="Bosnia and Herzegovina"/>
    <x v="1"/>
    <x v="8"/>
    <x v="2"/>
    <s v="GDP per capita"/>
    <s v="Economy"/>
    <s v="SDG 8: Decent Work and Economic Growth"/>
    <n v="2546.7814450000001"/>
    <s v="Source-defined international dollars"/>
    <s v="Bosnia and Herzegovina|1992"/>
    <s v="Gapminder/Plotly country-year extract reshaped to long indicator format for education"/>
    <s v="OK"/>
    <s v="1990s"/>
    <s v="N/A"/>
    <s v="Economy"/>
  </r>
  <r>
    <s v="GM-00460"/>
    <s v="Bosnia and Herzegovina"/>
    <x v="1"/>
    <x v="9"/>
    <x v="0"/>
    <s v="Life expectancy at birth"/>
    <s v="Health"/>
    <s v="SDG 3: Good Health and Well-being"/>
    <n v="73.244"/>
    <s v="Years"/>
    <s v="Bosnia and Herzegovina|1997"/>
    <s v="Gapminder/Plotly country-year extract reshaped to long indicator format for education"/>
    <s v="OK"/>
    <s v="1990s"/>
    <s v="High"/>
    <s v="Health"/>
  </r>
  <r>
    <s v="GM-00461"/>
    <s v="Bosnia and Herzegovina"/>
    <x v="1"/>
    <x v="9"/>
    <x v="1"/>
    <s v="Population, total"/>
    <s v="Demographics"/>
    <s v="SDG 11: Sustainable Cities and Communities"/>
    <n v="3607000"/>
    <s v="People"/>
    <s v="Bosnia and Herzegovina|1997"/>
    <s v="Gapminder/Plotly country-year extract reshaped to long indicator format for education"/>
    <s v="OK"/>
    <s v="1990s"/>
    <s v="N/A"/>
    <s v="Demographics"/>
  </r>
  <r>
    <s v="GM-00462"/>
    <s v="Bosnia and Herzegovina"/>
    <x v="1"/>
    <x v="9"/>
    <x v="2"/>
    <s v="GDP per capita"/>
    <s v="Economy"/>
    <s v="SDG 8: Decent Work and Economic Growth"/>
    <n v="4766.355904"/>
    <s v="Source-defined international dollars"/>
    <s v="Bosnia and Herzegovina|1997"/>
    <s v="Gapminder/Plotly country-year extract reshaped to long indicator format for education"/>
    <s v="OK"/>
    <s v="1990s"/>
    <s v="N/A"/>
    <s v="Economy"/>
  </r>
  <r>
    <s v="GM-00463"/>
    <s v="Bosnia and Herzegovina"/>
    <x v="1"/>
    <x v="10"/>
    <x v="0"/>
    <s v="Life expectancy at birth"/>
    <s v="Health"/>
    <s v="SDG 3: Good Health and Well-being"/>
    <n v="74.09"/>
    <s v="Years"/>
    <s v="Bosnia and Herzegovina|2002"/>
    <s v="Gapminder/Plotly country-year extract reshaped to long indicator format for education"/>
    <s v="OK"/>
    <s v="2000s"/>
    <s v="High"/>
    <s v="Health"/>
  </r>
  <r>
    <s v="GM-00464"/>
    <s v="Bosnia and Herzegovina"/>
    <x v="1"/>
    <x v="10"/>
    <x v="1"/>
    <s v="Population, total"/>
    <s v="Demographics"/>
    <s v="SDG 11: Sustainable Cities and Communities"/>
    <n v="4165416"/>
    <s v="People"/>
    <s v="Bosnia and Herzegovina|2002"/>
    <s v="Gapminder/Plotly country-year extract reshaped to long indicator format for education"/>
    <s v="OK"/>
    <s v="2000s"/>
    <s v="N/A"/>
    <s v="Demographics"/>
  </r>
  <r>
    <s v="GM-00465"/>
    <s v="Bosnia and Herzegovina"/>
    <x v="1"/>
    <x v="10"/>
    <x v="2"/>
    <s v="GDP per capita"/>
    <s v="Economy"/>
    <s v="SDG 8: Decent Work and Economic Growth"/>
    <n v="6018.9752390000003"/>
    <s v="Source-defined international dollars"/>
    <s v="Bosnia and Herzegovina|2002"/>
    <s v="Gapminder/Plotly country-year extract reshaped to long indicator format for education"/>
    <s v="OK"/>
    <s v="2000s"/>
    <s v="N/A"/>
    <s v="Economy"/>
  </r>
  <r>
    <s v="GM-00466"/>
    <s v="Bosnia and Herzegovina"/>
    <x v="1"/>
    <x v="11"/>
    <x v="0"/>
    <s v="Life expectancy at birth"/>
    <s v="Health"/>
    <s v="SDG 3: Good Health and Well-being"/>
    <n v="74.852000000000004"/>
    <s v="Years"/>
    <s v="Bosnia and Herzegovina|2007"/>
    <s v="Gapminder/Plotly country-year extract reshaped to long indicator format for education"/>
    <s v="OK"/>
    <s v="2000s"/>
    <s v="High"/>
    <s v="Health"/>
  </r>
  <r>
    <s v="GM-00467"/>
    <s v="Bosnia and Herzegovina"/>
    <x v="1"/>
    <x v="11"/>
    <x v="1"/>
    <s v="Population, total"/>
    <s v="Demographics"/>
    <s v="SDG 11: Sustainable Cities and Communities"/>
    <n v="4552198"/>
    <s v="People"/>
    <s v="Bosnia and Herzegovina|2007"/>
    <s v="Gapminder/Plotly country-year extract reshaped to long indicator format for education"/>
    <s v="OK"/>
    <s v="2000s"/>
    <s v="N/A"/>
    <s v="Demographics"/>
  </r>
  <r>
    <s v="GM-00468"/>
    <s v="Bosnia and Herzegovina"/>
    <x v="1"/>
    <x v="11"/>
    <x v="2"/>
    <s v="GDP per capita"/>
    <s v="Economy"/>
    <s v="SDG 8: Decent Work and Economic Growth"/>
    <n v="7446.2988029999997"/>
    <s v="Source-defined international dollars"/>
    <s v="Bosnia and Herzegovina|2007"/>
    <s v="Gapminder/Plotly country-year extract reshaped to long indicator format for education"/>
    <s v="OK"/>
    <s v="2000s"/>
    <s v="N/A"/>
    <s v="Economy"/>
  </r>
  <r>
    <s v="GM-00469"/>
    <s v="Botswana"/>
    <x v="2"/>
    <x v="0"/>
    <x v="0"/>
    <s v="Life expectancy at birth"/>
    <s v="Health"/>
    <s v="SDG 3: Good Health and Well-being"/>
    <n v="47.622"/>
    <s v="Years"/>
    <s v="Botswana|1952"/>
    <s v="Gapminder/Plotly country-year extract reshaped to long indicator format for education"/>
    <s v="OK"/>
    <s v="1950s"/>
    <s v="Low"/>
    <s v="Health"/>
  </r>
  <r>
    <s v="GM-00470"/>
    <s v="Botswana"/>
    <x v="2"/>
    <x v="0"/>
    <x v="1"/>
    <s v="Population, total"/>
    <s v="Demographics"/>
    <s v="SDG 11: Sustainable Cities and Communities"/>
    <n v="442308"/>
    <s v="People"/>
    <s v="Botswana|1952"/>
    <s v="Gapminder/Plotly country-year extract reshaped to long indicator format for education"/>
    <s v="OK"/>
    <s v="1950s"/>
    <s v="N/A"/>
    <s v="Demographics"/>
  </r>
  <r>
    <s v="GM-00471"/>
    <s v="Botswana"/>
    <x v="2"/>
    <x v="0"/>
    <x v="2"/>
    <s v="GDP per capita"/>
    <s v="Economy"/>
    <s v="SDG 8: Decent Work and Economic Growth"/>
    <n v="851.24114069999996"/>
    <s v="Source-defined international dollars"/>
    <s v="Botswana|1952"/>
    <s v="Gapminder/Plotly country-year extract reshaped to long indicator format for education"/>
    <s v="OK"/>
    <s v="1950s"/>
    <s v="N/A"/>
    <s v="Economy"/>
  </r>
  <r>
    <s v="GM-00472"/>
    <s v="Botswana"/>
    <x v="2"/>
    <x v="1"/>
    <x v="0"/>
    <s v="Life expectancy at birth"/>
    <s v="Health"/>
    <s v="SDG 3: Good Health and Well-being"/>
    <n v="49.618000000000002"/>
    <s v="Years"/>
    <s v="Botswana|1957"/>
    <s v="Gapminder/Plotly country-year extract reshaped to long indicator format for education"/>
    <s v="OK"/>
    <s v="1950s"/>
    <s v="Low"/>
    <s v="Health"/>
  </r>
  <r>
    <s v="GM-00473"/>
    <s v="Botswana"/>
    <x v="2"/>
    <x v="1"/>
    <x v="1"/>
    <s v="Population, total"/>
    <s v="Demographics"/>
    <s v="SDG 11: Sustainable Cities and Communities"/>
    <n v="474639"/>
    <s v="People"/>
    <s v="Botswana|1957"/>
    <s v="Gapminder/Plotly country-year extract reshaped to long indicator format for education"/>
    <s v="OK"/>
    <s v="1950s"/>
    <s v="N/A"/>
    <s v="Demographics"/>
  </r>
  <r>
    <s v="GM-00474"/>
    <s v="Botswana"/>
    <x v="2"/>
    <x v="1"/>
    <x v="2"/>
    <s v="GDP per capita"/>
    <s v="Economy"/>
    <s v="SDG 8: Decent Work and Economic Growth"/>
    <n v="918.23253490000002"/>
    <s v="Source-defined international dollars"/>
    <s v="Botswana|1957"/>
    <s v="Gapminder/Plotly country-year extract reshaped to long indicator format for education"/>
    <s v="OK"/>
    <s v="1950s"/>
    <s v="N/A"/>
    <s v="Economy"/>
  </r>
  <r>
    <s v="GM-00475"/>
    <s v="Botswana"/>
    <x v="2"/>
    <x v="2"/>
    <x v="0"/>
    <s v="Life expectancy at birth"/>
    <s v="Health"/>
    <s v="SDG 3: Good Health and Well-being"/>
    <n v="51.52"/>
    <s v="Years"/>
    <s v="Botswana|1962"/>
    <s v="Gapminder/Plotly country-year extract reshaped to long indicator format for education"/>
    <s v="OK"/>
    <s v="1960s"/>
    <s v="Low"/>
    <s v="Health"/>
  </r>
  <r>
    <s v="GM-00476"/>
    <s v="Botswana"/>
    <x v="2"/>
    <x v="2"/>
    <x v="1"/>
    <s v="Population, total"/>
    <s v="Demographics"/>
    <s v="SDG 11: Sustainable Cities and Communities"/>
    <n v="512764"/>
    <s v="People"/>
    <s v="Botswana|1962"/>
    <s v="Gapminder/Plotly country-year extract reshaped to long indicator format for education"/>
    <s v="OK"/>
    <s v="1960s"/>
    <s v="N/A"/>
    <s v="Demographics"/>
  </r>
  <r>
    <s v="GM-00477"/>
    <s v="Botswana"/>
    <x v="2"/>
    <x v="2"/>
    <x v="2"/>
    <s v="GDP per capita"/>
    <s v="Economy"/>
    <s v="SDG 8: Decent Work and Economic Growth"/>
    <n v="983.65397640000003"/>
    <s v="Source-defined international dollars"/>
    <s v="Botswana|1962"/>
    <s v="Gapminder/Plotly country-year extract reshaped to long indicator format for education"/>
    <s v="OK"/>
    <s v="1960s"/>
    <s v="N/A"/>
    <s v="Economy"/>
  </r>
  <r>
    <s v="GM-00478"/>
    <s v="Botswana"/>
    <x v="2"/>
    <x v="3"/>
    <x v="0"/>
    <s v="Life expectancy at birth"/>
    <s v="Health"/>
    <s v="SDG 3: Good Health and Well-being"/>
    <n v="53.298000000000002"/>
    <s v="Years"/>
    <s v="Botswana|1967"/>
    <s v="Gapminder/Plotly country-year extract reshaped to long indicator format for education"/>
    <s v="OK"/>
    <s v="1960s"/>
    <s v="Low"/>
    <s v="Health"/>
  </r>
  <r>
    <s v="GM-00479"/>
    <s v="Botswana"/>
    <x v="2"/>
    <x v="3"/>
    <x v="1"/>
    <s v="Population, total"/>
    <s v="Demographics"/>
    <s v="SDG 11: Sustainable Cities and Communities"/>
    <n v="553541"/>
    <s v="People"/>
    <s v="Botswana|1967"/>
    <s v="Gapminder/Plotly country-year extract reshaped to long indicator format for education"/>
    <s v="OK"/>
    <s v="1960s"/>
    <s v="N/A"/>
    <s v="Demographics"/>
  </r>
  <r>
    <s v="GM-00480"/>
    <s v="Botswana"/>
    <x v="2"/>
    <x v="3"/>
    <x v="2"/>
    <s v="GDP per capita"/>
    <s v="Economy"/>
    <s v="SDG 8: Decent Work and Economic Growth"/>
    <n v="1214.709294"/>
    <s v="Source-defined international dollars"/>
    <s v="Botswana|1967"/>
    <s v="Gapminder/Plotly country-year extract reshaped to long indicator format for education"/>
    <s v="OK"/>
    <s v="1960s"/>
    <s v="N/A"/>
    <s v="Economy"/>
  </r>
  <r>
    <s v="GM-00481"/>
    <s v="Botswana"/>
    <x v="2"/>
    <x v="4"/>
    <x v="0"/>
    <s v="Life expectancy at birth"/>
    <s v="Health"/>
    <s v="SDG 3: Good Health and Well-being"/>
    <n v="56.024000000000001"/>
    <s v="Years"/>
    <s v="Botswana|1972"/>
    <s v="Gapminder/Plotly country-year extract reshaped to long indicator format for education"/>
    <s v="OK"/>
    <s v="1970s"/>
    <s v="Medium"/>
    <s v="Health"/>
  </r>
  <r>
    <s v="GM-00482"/>
    <s v="Botswana"/>
    <x v="2"/>
    <x v="4"/>
    <x v="1"/>
    <s v="Population, total"/>
    <s v="Demographics"/>
    <s v="SDG 11: Sustainable Cities and Communities"/>
    <n v="619351"/>
    <s v="People"/>
    <s v="Botswana|1972"/>
    <s v="Gapminder/Plotly country-year extract reshaped to long indicator format for education"/>
    <s v="OK"/>
    <s v="1970s"/>
    <s v="N/A"/>
    <s v="Demographics"/>
  </r>
  <r>
    <s v="GM-00483"/>
    <s v="Botswana"/>
    <x v="2"/>
    <x v="4"/>
    <x v="2"/>
    <s v="GDP per capita"/>
    <s v="Economy"/>
    <s v="SDG 8: Decent Work and Economic Growth"/>
    <n v="2263.6111139999998"/>
    <s v="Source-defined international dollars"/>
    <s v="Botswana|1972"/>
    <s v="Gapminder/Plotly country-year extract reshaped to long indicator format for education"/>
    <s v="OK"/>
    <s v="1970s"/>
    <s v="N/A"/>
    <s v="Economy"/>
  </r>
  <r>
    <s v="GM-00484"/>
    <s v="Botswana"/>
    <x v="2"/>
    <x v="5"/>
    <x v="0"/>
    <s v="Life expectancy at birth"/>
    <s v="Health"/>
    <s v="SDG 3: Good Health and Well-being"/>
    <n v="59.319000000000003"/>
    <s v="Years"/>
    <s v="Botswana|1977"/>
    <s v="Gapminder/Plotly country-year extract reshaped to long indicator format for education"/>
    <s v="OK"/>
    <s v="1970s"/>
    <s v="Medium"/>
    <s v="Health"/>
  </r>
  <r>
    <s v="GM-00485"/>
    <s v="Botswana"/>
    <x v="2"/>
    <x v="5"/>
    <x v="1"/>
    <s v="Population, total"/>
    <s v="Demographics"/>
    <s v="SDG 11: Sustainable Cities and Communities"/>
    <n v="781472"/>
    <s v="People"/>
    <s v="Botswana|1977"/>
    <s v="Gapminder/Plotly country-year extract reshaped to long indicator format for education"/>
    <s v="OK"/>
    <s v="1970s"/>
    <s v="N/A"/>
    <s v="Demographics"/>
  </r>
  <r>
    <s v="GM-00486"/>
    <s v="Botswana"/>
    <x v="2"/>
    <x v="5"/>
    <x v="2"/>
    <s v="GDP per capita"/>
    <s v="Economy"/>
    <s v="SDG 8: Decent Work and Economic Growth"/>
    <n v="3214.857818"/>
    <s v="Source-defined international dollars"/>
    <s v="Botswana|1977"/>
    <s v="Gapminder/Plotly country-year extract reshaped to long indicator format for education"/>
    <s v="OK"/>
    <s v="1970s"/>
    <s v="N/A"/>
    <s v="Economy"/>
  </r>
  <r>
    <s v="GM-00487"/>
    <s v="Botswana"/>
    <x v="2"/>
    <x v="6"/>
    <x v="0"/>
    <s v="Life expectancy at birth"/>
    <s v="Health"/>
    <s v="SDG 3: Good Health and Well-being"/>
    <n v="61.484000000000002"/>
    <s v="Years"/>
    <s v="Botswana|1982"/>
    <s v="Gapminder/Plotly country-year extract reshaped to long indicator format for education"/>
    <s v="OK"/>
    <s v="1980s"/>
    <s v="Medium"/>
    <s v="Health"/>
  </r>
  <r>
    <s v="GM-00488"/>
    <s v="Botswana"/>
    <x v="2"/>
    <x v="6"/>
    <x v="1"/>
    <s v="Population, total"/>
    <s v="Demographics"/>
    <s v="SDG 11: Sustainable Cities and Communities"/>
    <n v="970347"/>
    <s v="People"/>
    <s v="Botswana|1982"/>
    <s v="Gapminder/Plotly country-year extract reshaped to long indicator format for education"/>
    <s v="OK"/>
    <s v="1980s"/>
    <s v="N/A"/>
    <s v="Demographics"/>
  </r>
  <r>
    <s v="GM-00489"/>
    <s v="Botswana"/>
    <x v="2"/>
    <x v="6"/>
    <x v="2"/>
    <s v="GDP per capita"/>
    <s v="Economy"/>
    <s v="SDG 8: Decent Work and Economic Growth"/>
    <n v="4551.1421499999997"/>
    <s v="Source-defined international dollars"/>
    <s v="Botswana|1982"/>
    <s v="Gapminder/Plotly country-year extract reshaped to long indicator format for education"/>
    <s v="OK"/>
    <s v="1980s"/>
    <s v="N/A"/>
    <s v="Economy"/>
  </r>
  <r>
    <s v="GM-00490"/>
    <s v="Botswana"/>
    <x v="2"/>
    <x v="7"/>
    <x v="0"/>
    <s v="Life expectancy at birth"/>
    <s v="Health"/>
    <s v="SDG 3: Good Health and Well-being"/>
    <n v="63.622"/>
    <s v="Years"/>
    <s v="Botswana|1987"/>
    <s v="Gapminder/Plotly country-year extract reshaped to long indicator format for education"/>
    <s v="OK"/>
    <s v="1980s"/>
    <s v="Medium"/>
    <s v="Health"/>
  </r>
  <r>
    <s v="GM-00491"/>
    <s v="Botswana"/>
    <x v="2"/>
    <x v="7"/>
    <x v="1"/>
    <s v="Population, total"/>
    <s v="Demographics"/>
    <s v="SDG 11: Sustainable Cities and Communities"/>
    <n v="1151184"/>
    <s v="People"/>
    <s v="Botswana|1987"/>
    <s v="Gapminder/Plotly country-year extract reshaped to long indicator format for education"/>
    <s v="OK"/>
    <s v="1980s"/>
    <s v="N/A"/>
    <s v="Demographics"/>
  </r>
  <r>
    <s v="GM-00492"/>
    <s v="Botswana"/>
    <x v="2"/>
    <x v="7"/>
    <x v="2"/>
    <s v="GDP per capita"/>
    <s v="Economy"/>
    <s v="SDG 8: Decent Work and Economic Growth"/>
    <n v="6205.8838500000002"/>
    <s v="Source-defined international dollars"/>
    <s v="Botswana|1987"/>
    <s v="Gapminder/Plotly country-year extract reshaped to long indicator format for education"/>
    <s v="OK"/>
    <s v="1980s"/>
    <s v="N/A"/>
    <s v="Economy"/>
  </r>
  <r>
    <s v="GM-00493"/>
    <s v="Botswana"/>
    <x v="2"/>
    <x v="8"/>
    <x v="0"/>
    <s v="Life expectancy at birth"/>
    <s v="Health"/>
    <s v="SDG 3: Good Health and Well-being"/>
    <n v="62.744999999999997"/>
    <s v="Years"/>
    <s v="Botswana|1992"/>
    <s v="Gapminder/Plotly country-year extract reshaped to long indicator format for education"/>
    <s v="OK"/>
    <s v="1990s"/>
    <s v="Medium"/>
    <s v="Health"/>
  </r>
  <r>
    <s v="GM-00494"/>
    <s v="Botswana"/>
    <x v="2"/>
    <x v="8"/>
    <x v="1"/>
    <s v="Population, total"/>
    <s v="Demographics"/>
    <s v="SDG 11: Sustainable Cities and Communities"/>
    <n v="1342614"/>
    <s v="People"/>
    <s v="Botswana|1992"/>
    <s v="Gapminder/Plotly country-year extract reshaped to long indicator format for education"/>
    <s v="OK"/>
    <s v="1990s"/>
    <s v="N/A"/>
    <s v="Demographics"/>
  </r>
  <r>
    <s v="GM-00495"/>
    <s v="Botswana"/>
    <x v="2"/>
    <x v="8"/>
    <x v="2"/>
    <s v="GDP per capita"/>
    <s v="Economy"/>
    <s v="SDG 8: Decent Work and Economic Growth"/>
    <n v="7954.111645"/>
    <s v="Source-defined international dollars"/>
    <s v="Botswana|1992"/>
    <s v="Gapminder/Plotly country-year extract reshaped to long indicator format for education"/>
    <s v="OK"/>
    <s v="1990s"/>
    <s v="N/A"/>
    <s v="Economy"/>
  </r>
  <r>
    <s v="GM-00496"/>
    <s v="Botswana"/>
    <x v="2"/>
    <x v="9"/>
    <x v="0"/>
    <s v="Life expectancy at birth"/>
    <s v="Health"/>
    <s v="SDG 3: Good Health and Well-being"/>
    <n v="52.555999999999997"/>
    <s v="Years"/>
    <s v="Botswana|1997"/>
    <s v="Gapminder/Plotly country-year extract reshaped to long indicator format for education"/>
    <s v="OK"/>
    <s v="1990s"/>
    <s v="Low"/>
    <s v="Health"/>
  </r>
  <r>
    <s v="GM-00497"/>
    <s v="Botswana"/>
    <x v="2"/>
    <x v="9"/>
    <x v="1"/>
    <s v="Population, total"/>
    <s v="Demographics"/>
    <s v="SDG 11: Sustainable Cities and Communities"/>
    <n v="1536536"/>
    <s v="People"/>
    <s v="Botswana|1997"/>
    <s v="Gapminder/Plotly country-year extract reshaped to long indicator format for education"/>
    <s v="OK"/>
    <s v="1990s"/>
    <s v="N/A"/>
    <s v="Demographics"/>
  </r>
  <r>
    <s v="GM-00498"/>
    <s v="Botswana"/>
    <x v="2"/>
    <x v="9"/>
    <x v="2"/>
    <s v="GDP per capita"/>
    <s v="Economy"/>
    <s v="SDG 8: Decent Work and Economic Growth"/>
    <n v="8647.1423130000003"/>
    <s v="Source-defined international dollars"/>
    <s v="Botswana|1997"/>
    <s v="Gapminder/Plotly country-year extract reshaped to long indicator format for education"/>
    <s v="OK"/>
    <s v="1990s"/>
    <s v="N/A"/>
    <s v="Economy"/>
  </r>
  <r>
    <s v="GM-00499"/>
    <s v="Botswana"/>
    <x v="2"/>
    <x v="10"/>
    <x v="0"/>
    <s v="Life expectancy at birth"/>
    <s v="Health"/>
    <s v="SDG 3: Good Health and Well-being"/>
    <n v="46.633999999999901"/>
    <s v="Years"/>
    <s v="Botswana|2002"/>
    <s v="Gapminder/Plotly country-year extract reshaped to long indicator format for education"/>
    <s v="OK"/>
    <s v="2000s"/>
    <s v="Low"/>
    <s v="Health"/>
  </r>
  <r>
    <s v="GM-00500"/>
    <s v="Botswana"/>
    <x v="2"/>
    <x v="10"/>
    <x v="1"/>
    <s v="Population, total"/>
    <s v="Demographics"/>
    <s v="SDG 11: Sustainable Cities and Communities"/>
    <n v="1630347"/>
    <s v="People"/>
    <s v="Botswana|2002"/>
    <s v="Gapminder/Plotly country-year extract reshaped to long indicator format for education"/>
    <s v="OK"/>
    <s v="2000s"/>
    <s v="N/A"/>
    <s v="Demographics"/>
  </r>
  <r>
    <s v="GM-00501"/>
    <s v="Botswana"/>
    <x v="2"/>
    <x v="10"/>
    <x v="2"/>
    <s v="GDP per capita"/>
    <s v="Economy"/>
    <s v="SDG 8: Decent Work and Economic Growth"/>
    <n v="11003.605079999999"/>
    <s v="Source-defined international dollars"/>
    <s v="Botswana|2002"/>
    <s v="Gapminder/Plotly country-year extract reshaped to long indicator format for education"/>
    <s v="OK"/>
    <s v="2000s"/>
    <s v="N/A"/>
    <s v="Economy"/>
  </r>
  <r>
    <s v="GM-00502"/>
    <s v="Botswana"/>
    <x v="2"/>
    <x v="11"/>
    <x v="0"/>
    <s v="Life expectancy at birth"/>
    <s v="Health"/>
    <s v="SDG 3: Good Health and Well-being"/>
    <n v="50.728000000000002"/>
    <s v="Years"/>
    <s v="Botswana|2007"/>
    <s v="Gapminder/Plotly country-year extract reshaped to long indicator format for education"/>
    <s v="OK"/>
    <s v="2000s"/>
    <s v="Low"/>
    <s v="Health"/>
  </r>
  <r>
    <s v="GM-00503"/>
    <s v="Botswana"/>
    <x v="2"/>
    <x v="11"/>
    <x v="1"/>
    <s v="Population, total"/>
    <s v="Demographics"/>
    <s v="SDG 11: Sustainable Cities and Communities"/>
    <n v="1639131"/>
    <s v="People"/>
    <s v="Botswana|2007"/>
    <s v="Gapminder/Plotly country-year extract reshaped to long indicator format for education"/>
    <s v="OK"/>
    <s v="2000s"/>
    <s v="N/A"/>
    <s v="Demographics"/>
  </r>
  <r>
    <s v="GM-00504"/>
    <s v="Botswana"/>
    <x v="2"/>
    <x v="11"/>
    <x v="2"/>
    <s v="GDP per capita"/>
    <s v="Economy"/>
    <s v="SDG 8: Decent Work and Economic Growth"/>
    <n v="12569.851769999999"/>
    <s v="Source-defined international dollars"/>
    <s v="Botswana|2007"/>
    <s v="Gapminder/Plotly country-year extract reshaped to long indicator format for education"/>
    <s v="OK"/>
    <s v="2000s"/>
    <s v="N/A"/>
    <s v="Economy"/>
  </r>
  <r>
    <s v="GM-00505"/>
    <s v="Brazil"/>
    <x v="3"/>
    <x v="0"/>
    <x v="0"/>
    <s v="Life expectancy at birth"/>
    <s v="Health"/>
    <s v="SDG 3: Good Health and Well-being"/>
    <n v="50.917000000000002"/>
    <s v="Years"/>
    <s v="Brazil|1952"/>
    <s v="Gapminder/Plotly country-year extract reshaped to long indicator format for education"/>
    <s v="OK"/>
    <s v="1950s"/>
    <s v="Low"/>
    <s v="Health"/>
  </r>
  <r>
    <s v="GM-00506"/>
    <s v="Brazil"/>
    <x v="3"/>
    <x v="0"/>
    <x v="1"/>
    <s v="Population, total"/>
    <s v="Demographics"/>
    <s v="SDG 11: Sustainable Cities and Communities"/>
    <n v="56602560"/>
    <s v="People"/>
    <s v="Brazil|1952"/>
    <s v="Gapminder/Plotly country-year extract reshaped to long indicator format for education"/>
    <s v="OK"/>
    <s v="1950s"/>
    <s v="N/A"/>
    <s v="Demographics"/>
  </r>
  <r>
    <s v="GM-00507"/>
    <s v="Brazil"/>
    <x v="3"/>
    <x v="0"/>
    <x v="2"/>
    <s v="GDP per capita"/>
    <s v="Economy"/>
    <s v="SDG 8: Decent Work and Economic Growth"/>
    <n v="2108.9443550000001"/>
    <s v="Source-defined international dollars"/>
    <s v="Brazil|1952"/>
    <s v="Gapminder/Plotly country-year extract reshaped to long indicator format for education"/>
    <s v="OK"/>
    <s v="1950s"/>
    <s v="N/A"/>
    <s v="Economy"/>
  </r>
  <r>
    <s v="GM-00508"/>
    <s v="Brazil"/>
    <x v="3"/>
    <x v="1"/>
    <x v="0"/>
    <s v="Life expectancy at birth"/>
    <s v="Health"/>
    <s v="SDG 3: Good Health and Well-being"/>
    <n v="53.284999999999997"/>
    <s v="Years"/>
    <s v="Brazil|1957"/>
    <s v="Gapminder/Plotly country-year extract reshaped to long indicator format for education"/>
    <s v="OK"/>
    <s v="1950s"/>
    <s v="Low"/>
    <s v="Health"/>
  </r>
  <r>
    <s v="GM-00509"/>
    <s v="Brazil"/>
    <x v="3"/>
    <x v="1"/>
    <x v="1"/>
    <s v="Population, total"/>
    <s v="Demographics"/>
    <s v="SDG 11: Sustainable Cities and Communities"/>
    <n v="65551171"/>
    <s v="People"/>
    <s v="Brazil|1957"/>
    <s v="Gapminder/Plotly country-year extract reshaped to long indicator format for education"/>
    <s v="OK"/>
    <s v="1950s"/>
    <s v="N/A"/>
    <s v="Demographics"/>
  </r>
  <r>
    <s v="GM-00510"/>
    <s v="Brazil"/>
    <x v="3"/>
    <x v="1"/>
    <x v="2"/>
    <s v="GDP per capita"/>
    <s v="Economy"/>
    <s v="SDG 8: Decent Work and Economic Growth"/>
    <n v="2487.3659889999999"/>
    <s v="Source-defined international dollars"/>
    <s v="Brazil|1957"/>
    <s v="Gapminder/Plotly country-year extract reshaped to long indicator format for education"/>
    <s v="OK"/>
    <s v="1950s"/>
    <s v="N/A"/>
    <s v="Economy"/>
  </r>
  <r>
    <s v="GM-00511"/>
    <s v="Brazil"/>
    <x v="3"/>
    <x v="2"/>
    <x v="0"/>
    <s v="Life expectancy at birth"/>
    <s v="Health"/>
    <s v="SDG 3: Good Health and Well-being"/>
    <n v="55.664999999999999"/>
    <s v="Years"/>
    <s v="Brazil|1962"/>
    <s v="Gapminder/Plotly country-year extract reshaped to long indicator format for education"/>
    <s v="OK"/>
    <s v="1960s"/>
    <s v="Medium"/>
    <s v="Health"/>
  </r>
  <r>
    <s v="GM-00512"/>
    <s v="Brazil"/>
    <x v="3"/>
    <x v="2"/>
    <x v="1"/>
    <s v="Population, total"/>
    <s v="Demographics"/>
    <s v="SDG 11: Sustainable Cities and Communities"/>
    <n v="76039390"/>
    <s v="People"/>
    <s v="Brazil|1962"/>
    <s v="Gapminder/Plotly country-year extract reshaped to long indicator format for education"/>
    <s v="OK"/>
    <s v="1960s"/>
    <s v="N/A"/>
    <s v="Demographics"/>
  </r>
  <r>
    <s v="GM-00513"/>
    <s v="Brazil"/>
    <x v="3"/>
    <x v="2"/>
    <x v="2"/>
    <s v="GDP per capita"/>
    <s v="Economy"/>
    <s v="SDG 8: Decent Work and Economic Growth"/>
    <n v="3336.5858020000001"/>
    <s v="Source-defined international dollars"/>
    <s v="Brazil|1962"/>
    <s v="Gapminder/Plotly country-year extract reshaped to long indicator format for education"/>
    <s v="OK"/>
    <s v="1960s"/>
    <s v="N/A"/>
    <s v="Economy"/>
  </r>
  <r>
    <s v="GM-00514"/>
    <s v="Brazil"/>
    <x v="3"/>
    <x v="3"/>
    <x v="0"/>
    <s v="Life expectancy at birth"/>
    <s v="Health"/>
    <s v="SDG 3: Good Health and Well-being"/>
    <n v="57.631999999999998"/>
    <s v="Years"/>
    <s v="Brazil|1967"/>
    <s v="Gapminder/Plotly country-year extract reshaped to long indicator format for education"/>
    <s v="OK"/>
    <s v="1960s"/>
    <s v="Medium"/>
    <s v="Health"/>
  </r>
  <r>
    <s v="GM-00515"/>
    <s v="Brazil"/>
    <x v="3"/>
    <x v="3"/>
    <x v="1"/>
    <s v="Population, total"/>
    <s v="Demographics"/>
    <s v="SDG 11: Sustainable Cities and Communities"/>
    <n v="88049823"/>
    <s v="People"/>
    <s v="Brazil|1967"/>
    <s v="Gapminder/Plotly country-year extract reshaped to long indicator format for education"/>
    <s v="OK"/>
    <s v="1960s"/>
    <s v="N/A"/>
    <s v="Demographics"/>
  </r>
  <r>
    <s v="GM-00516"/>
    <s v="Brazil"/>
    <x v="3"/>
    <x v="3"/>
    <x v="2"/>
    <s v="GDP per capita"/>
    <s v="Economy"/>
    <s v="SDG 8: Decent Work and Economic Growth"/>
    <n v="3429.8643569999999"/>
    <s v="Source-defined international dollars"/>
    <s v="Brazil|1967"/>
    <s v="Gapminder/Plotly country-year extract reshaped to long indicator format for education"/>
    <s v="OK"/>
    <s v="1960s"/>
    <s v="N/A"/>
    <s v="Economy"/>
  </r>
  <r>
    <s v="GM-00517"/>
    <s v="Brazil"/>
    <x v="3"/>
    <x v="4"/>
    <x v="0"/>
    <s v="Life expectancy at birth"/>
    <s v="Health"/>
    <s v="SDG 3: Good Health and Well-being"/>
    <n v="59.503999999999998"/>
    <s v="Years"/>
    <s v="Brazil|1972"/>
    <s v="Gapminder/Plotly country-year extract reshaped to long indicator format for education"/>
    <s v="OK"/>
    <s v="1970s"/>
    <s v="Medium"/>
    <s v="Health"/>
  </r>
  <r>
    <s v="GM-00518"/>
    <s v="Brazil"/>
    <x v="3"/>
    <x v="4"/>
    <x v="1"/>
    <s v="Population, total"/>
    <s v="Demographics"/>
    <s v="SDG 11: Sustainable Cities and Communities"/>
    <n v="100840058"/>
    <s v="People"/>
    <s v="Brazil|1972"/>
    <s v="Gapminder/Plotly country-year extract reshaped to long indicator format for education"/>
    <s v="OK"/>
    <s v="1970s"/>
    <s v="N/A"/>
    <s v="Demographics"/>
  </r>
  <r>
    <s v="GM-00519"/>
    <s v="Brazil"/>
    <x v="3"/>
    <x v="4"/>
    <x v="2"/>
    <s v="GDP per capita"/>
    <s v="Economy"/>
    <s v="SDG 8: Decent Work and Economic Growth"/>
    <n v="4985.7114670000001"/>
    <s v="Source-defined international dollars"/>
    <s v="Brazil|1972"/>
    <s v="Gapminder/Plotly country-year extract reshaped to long indicator format for education"/>
    <s v="OK"/>
    <s v="1970s"/>
    <s v="N/A"/>
    <s v="Economy"/>
  </r>
  <r>
    <s v="GM-00520"/>
    <s v="Brazil"/>
    <x v="3"/>
    <x v="5"/>
    <x v="0"/>
    <s v="Life expectancy at birth"/>
    <s v="Health"/>
    <s v="SDG 3: Good Health and Well-being"/>
    <n v="61.488999999999997"/>
    <s v="Years"/>
    <s v="Brazil|1977"/>
    <s v="Gapminder/Plotly country-year extract reshaped to long indicator format for education"/>
    <s v="OK"/>
    <s v="1970s"/>
    <s v="Medium"/>
    <s v="Health"/>
  </r>
  <r>
    <s v="GM-00521"/>
    <s v="Brazil"/>
    <x v="3"/>
    <x v="5"/>
    <x v="1"/>
    <s v="Population, total"/>
    <s v="Demographics"/>
    <s v="SDG 11: Sustainable Cities and Communities"/>
    <n v="114313951"/>
    <s v="People"/>
    <s v="Brazil|1977"/>
    <s v="Gapminder/Plotly country-year extract reshaped to long indicator format for education"/>
    <s v="OK"/>
    <s v="1970s"/>
    <s v="N/A"/>
    <s v="Demographics"/>
  </r>
  <r>
    <s v="GM-00522"/>
    <s v="Brazil"/>
    <x v="3"/>
    <x v="5"/>
    <x v="2"/>
    <s v="GDP per capita"/>
    <s v="Economy"/>
    <s v="SDG 8: Decent Work and Economic Growth"/>
    <n v="6660.1186539999999"/>
    <s v="Source-defined international dollars"/>
    <s v="Brazil|1977"/>
    <s v="Gapminder/Plotly country-year extract reshaped to long indicator format for education"/>
    <s v="OK"/>
    <s v="1970s"/>
    <s v="N/A"/>
    <s v="Economy"/>
  </r>
  <r>
    <s v="GM-00523"/>
    <s v="Brazil"/>
    <x v="3"/>
    <x v="6"/>
    <x v="0"/>
    <s v="Life expectancy at birth"/>
    <s v="Health"/>
    <s v="SDG 3: Good Health and Well-being"/>
    <n v="63.335999999999999"/>
    <s v="Years"/>
    <s v="Brazil|1982"/>
    <s v="Gapminder/Plotly country-year extract reshaped to long indicator format for education"/>
    <s v="OK"/>
    <s v="1980s"/>
    <s v="Medium"/>
    <s v="Health"/>
  </r>
  <r>
    <s v="GM-00524"/>
    <s v="Brazil"/>
    <x v="3"/>
    <x v="6"/>
    <x v="1"/>
    <s v="Population, total"/>
    <s v="Demographics"/>
    <s v="SDG 11: Sustainable Cities and Communities"/>
    <n v="128962939"/>
    <s v="People"/>
    <s v="Brazil|1982"/>
    <s v="Gapminder/Plotly country-year extract reshaped to long indicator format for education"/>
    <s v="OK"/>
    <s v="1980s"/>
    <s v="N/A"/>
    <s v="Demographics"/>
  </r>
  <r>
    <s v="GM-00525"/>
    <s v="Brazil"/>
    <x v="3"/>
    <x v="6"/>
    <x v="2"/>
    <s v="GDP per capita"/>
    <s v="Economy"/>
    <s v="SDG 8: Decent Work and Economic Growth"/>
    <n v="7030.8358779999999"/>
    <s v="Source-defined international dollars"/>
    <s v="Brazil|1982"/>
    <s v="Gapminder/Plotly country-year extract reshaped to long indicator format for education"/>
    <s v="OK"/>
    <s v="1980s"/>
    <s v="N/A"/>
    <s v="Economy"/>
  </r>
  <r>
    <s v="GM-00526"/>
    <s v="Brazil"/>
    <x v="3"/>
    <x v="7"/>
    <x v="0"/>
    <s v="Life expectancy at birth"/>
    <s v="Health"/>
    <s v="SDG 3: Good Health and Well-being"/>
    <n v="65.204999999999998"/>
    <s v="Years"/>
    <s v="Brazil|1987"/>
    <s v="Gapminder/Plotly country-year extract reshaped to long indicator format for education"/>
    <s v="OK"/>
    <s v="1980s"/>
    <s v="Medium"/>
    <s v="Health"/>
  </r>
  <r>
    <s v="GM-00527"/>
    <s v="Brazil"/>
    <x v="3"/>
    <x v="7"/>
    <x v="1"/>
    <s v="Population, total"/>
    <s v="Demographics"/>
    <s v="SDG 11: Sustainable Cities and Communities"/>
    <n v="142938076"/>
    <s v="People"/>
    <s v="Brazil|1987"/>
    <s v="Gapminder/Plotly country-year extract reshaped to long indicator format for education"/>
    <s v="OK"/>
    <s v="1980s"/>
    <s v="N/A"/>
    <s v="Demographics"/>
  </r>
  <r>
    <s v="GM-00528"/>
    <s v="Brazil"/>
    <x v="3"/>
    <x v="7"/>
    <x v="2"/>
    <s v="GDP per capita"/>
    <s v="Economy"/>
    <s v="SDG 8: Decent Work and Economic Growth"/>
    <n v="7807.0958179999998"/>
    <s v="Source-defined international dollars"/>
    <s v="Brazil|1987"/>
    <s v="Gapminder/Plotly country-year extract reshaped to long indicator format for education"/>
    <s v="OK"/>
    <s v="1980s"/>
    <s v="N/A"/>
    <s v="Economy"/>
  </r>
  <r>
    <s v="GM-00529"/>
    <s v="Brazil"/>
    <x v="3"/>
    <x v="8"/>
    <x v="0"/>
    <s v="Life expectancy at birth"/>
    <s v="Health"/>
    <s v="SDG 3: Good Health and Well-being"/>
    <n v="67.057000000000002"/>
    <s v="Years"/>
    <s v="Brazil|1992"/>
    <s v="Gapminder/Plotly country-year extract reshaped to long indicator format for education"/>
    <s v="OK"/>
    <s v="1990s"/>
    <s v="Medium"/>
    <s v="Health"/>
  </r>
  <r>
    <s v="GM-00530"/>
    <s v="Brazil"/>
    <x v="3"/>
    <x v="8"/>
    <x v="1"/>
    <s v="Population, total"/>
    <s v="Demographics"/>
    <s v="SDG 11: Sustainable Cities and Communities"/>
    <n v="155975974"/>
    <s v="People"/>
    <s v="Brazil|1992"/>
    <s v="Gapminder/Plotly country-year extract reshaped to long indicator format for education"/>
    <s v="OK"/>
    <s v="1990s"/>
    <s v="N/A"/>
    <s v="Demographics"/>
  </r>
  <r>
    <s v="GM-00531"/>
    <s v="Brazil"/>
    <x v="3"/>
    <x v="8"/>
    <x v="2"/>
    <s v="GDP per capita"/>
    <s v="Economy"/>
    <s v="SDG 8: Decent Work and Economic Growth"/>
    <n v="6950.2830209999902"/>
    <s v="Source-defined international dollars"/>
    <s v="Brazil|1992"/>
    <s v="Gapminder/Plotly country-year extract reshaped to long indicator format for education"/>
    <s v="OK"/>
    <s v="1990s"/>
    <s v="N/A"/>
    <s v="Economy"/>
  </r>
  <r>
    <s v="GM-00532"/>
    <s v="Brazil"/>
    <x v="3"/>
    <x v="9"/>
    <x v="0"/>
    <s v="Life expectancy at birth"/>
    <s v="Health"/>
    <s v="SDG 3: Good Health and Well-being"/>
    <n v="69.388000000000005"/>
    <s v="Years"/>
    <s v="Brazil|1997"/>
    <s v="Gapminder/Plotly country-year extract reshaped to long indicator format for education"/>
    <s v="OK"/>
    <s v="1990s"/>
    <s v="Medium"/>
    <s v="Health"/>
  </r>
  <r>
    <s v="GM-00533"/>
    <s v="Brazil"/>
    <x v="3"/>
    <x v="9"/>
    <x v="1"/>
    <s v="Population, total"/>
    <s v="Demographics"/>
    <s v="SDG 11: Sustainable Cities and Communities"/>
    <n v="168546719"/>
    <s v="People"/>
    <s v="Brazil|1997"/>
    <s v="Gapminder/Plotly country-year extract reshaped to long indicator format for education"/>
    <s v="OK"/>
    <s v="1990s"/>
    <s v="N/A"/>
    <s v="Demographics"/>
  </r>
  <r>
    <s v="GM-00534"/>
    <s v="Brazil"/>
    <x v="3"/>
    <x v="9"/>
    <x v="2"/>
    <s v="GDP per capita"/>
    <s v="Economy"/>
    <s v="SDG 8: Decent Work and Economic Growth"/>
    <n v="7957.9808239999902"/>
    <s v="Source-defined international dollars"/>
    <s v="Brazil|1997"/>
    <s v="Gapminder/Plotly country-year extract reshaped to long indicator format for education"/>
    <s v="OK"/>
    <s v="1990s"/>
    <s v="N/A"/>
    <s v="Economy"/>
  </r>
  <r>
    <s v="GM-00535"/>
    <s v="Brazil"/>
    <x v="3"/>
    <x v="10"/>
    <x v="0"/>
    <s v="Life expectancy at birth"/>
    <s v="Health"/>
    <s v="SDG 3: Good Health and Well-being"/>
    <n v="71.006"/>
    <s v="Years"/>
    <s v="Brazil|2002"/>
    <s v="Gapminder/Plotly country-year extract reshaped to long indicator format for education"/>
    <s v="OK"/>
    <s v="2000s"/>
    <s v="High"/>
    <s v="Health"/>
  </r>
  <r>
    <s v="GM-00536"/>
    <s v="Brazil"/>
    <x v="3"/>
    <x v="10"/>
    <x v="1"/>
    <s v="Population, total"/>
    <s v="Demographics"/>
    <s v="SDG 11: Sustainable Cities and Communities"/>
    <n v="179914212"/>
    <s v="People"/>
    <s v="Brazil|2002"/>
    <s v="Gapminder/Plotly country-year extract reshaped to long indicator format for education"/>
    <s v="OK"/>
    <s v="2000s"/>
    <s v="N/A"/>
    <s v="Demographics"/>
  </r>
  <r>
    <s v="GM-00537"/>
    <s v="Brazil"/>
    <x v="3"/>
    <x v="10"/>
    <x v="2"/>
    <s v="GDP per capita"/>
    <s v="Economy"/>
    <s v="SDG 8: Decent Work and Economic Growth"/>
    <n v="8131.2128430000002"/>
    <s v="Source-defined international dollars"/>
    <s v="Brazil|2002"/>
    <s v="Gapminder/Plotly country-year extract reshaped to long indicator format for education"/>
    <s v="OK"/>
    <s v="2000s"/>
    <s v="N/A"/>
    <s v="Economy"/>
  </r>
  <r>
    <s v="GM-00538"/>
    <s v="Brazil"/>
    <x v="3"/>
    <x v="11"/>
    <x v="0"/>
    <s v="Life expectancy at birth"/>
    <s v="Health"/>
    <s v="SDG 3: Good Health and Well-being"/>
    <n v="72.39"/>
    <s v="Years"/>
    <s v="Brazil|2007"/>
    <s v="Gapminder/Plotly country-year extract reshaped to long indicator format for education"/>
    <s v="OK"/>
    <s v="2000s"/>
    <s v="High"/>
    <s v="Health"/>
  </r>
  <r>
    <s v="GM-00539"/>
    <s v="Brazil"/>
    <x v="3"/>
    <x v="11"/>
    <x v="1"/>
    <s v="Population, total"/>
    <s v="Demographics"/>
    <s v="SDG 11: Sustainable Cities and Communities"/>
    <n v="190010647"/>
    <s v="People"/>
    <s v="Brazil|2007"/>
    <s v="Gapminder/Plotly country-year extract reshaped to long indicator format for education"/>
    <s v="OK"/>
    <s v="2000s"/>
    <s v="N/A"/>
    <s v="Demographics"/>
  </r>
  <r>
    <s v="GM-00540"/>
    <s v="Brazil"/>
    <x v="3"/>
    <x v="11"/>
    <x v="2"/>
    <s v="GDP per capita"/>
    <s v="Economy"/>
    <s v="SDG 8: Decent Work and Economic Growth"/>
    <n v="9065.8008250000003"/>
    <s v="Source-defined international dollars"/>
    <s v="Brazil|2007"/>
    <s v="Gapminder/Plotly country-year extract reshaped to long indicator format for education"/>
    <s v="OK"/>
    <s v="2000s"/>
    <s v="N/A"/>
    <s v="Economy"/>
  </r>
  <r>
    <s v="GM-00541"/>
    <s v="Bulgaria"/>
    <x v="1"/>
    <x v="0"/>
    <x v="0"/>
    <s v="Life expectancy at birth"/>
    <s v="Health"/>
    <s v="SDG 3: Good Health and Well-being"/>
    <n v="59.6"/>
    <s v="Years"/>
    <s v="Bulgaria|1952"/>
    <s v="Gapminder/Plotly country-year extract reshaped to long indicator format for education"/>
    <s v="OK"/>
    <s v="1950s"/>
    <s v="Medium"/>
    <s v="Health"/>
  </r>
  <r>
    <s v="GM-00542"/>
    <s v="Bulgaria"/>
    <x v="1"/>
    <x v="0"/>
    <x v="1"/>
    <s v="Population, total"/>
    <s v="Demographics"/>
    <s v="SDG 11: Sustainable Cities and Communities"/>
    <n v="7274900"/>
    <s v="People"/>
    <s v="Bulgaria|1952"/>
    <s v="Gapminder/Plotly country-year extract reshaped to long indicator format for education"/>
    <s v="OK"/>
    <s v="1950s"/>
    <s v="N/A"/>
    <s v="Demographics"/>
  </r>
  <r>
    <s v="GM-00543"/>
    <s v="Bulgaria"/>
    <x v="1"/>
    <x v="0"/>
    <x v="2"/>
    <s v="GDP per capita"/>
    <s v="Economy"/>
    <s v="SDG 8: Decent Work and Economic Growth"/>
    <n v="2444.2866479999998"/>
    <s v="Source-defined international dollars"/>
    <s v="Bulgaria|1952"/>
    <s v="Gapminder/Plotly country-year extract reshaped to long indicator format for education"/>
    <s v="OK"/>
    <s v="1950s"/>
    <s v="N/A"/>
    <s v="Economy"/>
  </r>
  <r>
    <s v="GM-00544"/>
    <s v="Bulgaria"/>
    <x v="1"/>
    <x v="1"/>
    <x v="0"/>
    <s v="Life expectancy at birth"/>
    <s v="Health"/>
    <s v="SDG 3: Good Health and Well-being"/>
    <n v="66.61"/>
    <s v="Years"/>
    <s v="Bulgaria|1957"/>
    <s v="Gapminder/Plotly country-year extract reshaped to long indicator format for education"/>
    <s v="OK"/>
    <s v="1950s"/>
    <s v="Medium"/>
    <s v="Health"/>
  </r>
  <r>
    <s v="GM-00545"/>
    <s v="Bulgaria"/>
    <x v="1"/>
    <x v="1"/>
    <x v="1"/>
    <s v="Population, total"/>
    <s v="Demographics"/>
    <s v="SDG 11: Sustainable Cities and Communities"/>
    <n v="7651254"/>
    <s v="People"/>
    <s v="Bulgaria|1957"/>
    <s v="Gapminder/Plotly country-year extract reshaped to long indicator format for education"/>
    <s v="OK"/>
    <s v="1950s"/>
    <s v="N/A"/>
    <s v="Demographics"/>
  </r>
  <r>
    <s v="GM-00546"/>
    <s v="Bulgaria"/>
    <x v="1"/>
    <x v="1"/>
    <x v="2"/>
    <s v="GDP per capita"/>
    <s v="Economy"/>
    <s v="SDG 8: Decent Work and Economic Growth"/>
    <n v="3008.6707270000002"/>
    <s v="Source-defined international dollars"/>
    <s v="Bulgaria|1957"/>
    <s v="Gapminder/Plotly country-year extract reshaped to long indicator format for education"/>
    <s v="OK"/>
    <s v="1950s"/>
    <s v="N/A"/>
    <s v="Economy"/>
  </r>
  <r>
    <s v="GM-00547"/>
    <s v="Bulgaria"/>
    <x v="1"/>
    <x v="2"/>
    <x v="0"/>
    <s v="Life expectancy at birth"/>
    <s v="Health"/>
    <s v="SDG 3: Good Health and Well-being"/>
    <n v="69.510000000000005"/>
    <s v="Years"/>
    <s v="Bulgaria|1962"/>
    <s v="Gapminder/Plotly country-year extract reshaped to long indicator format for education"/>
    <s v="OK"/>
    <s v="1960s"/>
    <s v="Medium"/>
    <s v="Health"/>
  </r>
  <r>
    <s v="GM-00548"/>
    <s v="Bulgaria"/>
    <x v="1"/>
    <x v="2"/>
    <x v="1"/>
    <s v="Population, total"/>
    <s v="Demographics"/>
    <s v="SDG 11: Sustainable Cities and Communities"/>
    <n v="8012946"/>
    <s v="People"/>
    <s v="Bulgaria|1962"/>
    <s v="Gapminder/Plotly country-year extract reshaped to long indicator format for education"/>
    <s v="OK"/>
    <s v="1960s"/>
    <s v="N/A"/>
    <s v="Demographics"/>
  </r>
  <r>
    <s v="GM-00549"/>
    <s v="Bulgaria"/>
    <x v="1"/>
    <x v="2"/>
    <x v="2"/>
    <s v="GDP per capita"/>
    <s v="Economy"/>
    <s v="SDG 8: Decent Work and Economic Growth"/>
    <n v="4254.3378389999998"/>
    <s v="Source-defined international dollars"/>
    <s v="Bulgaria|1962"/>
    <s v="Gapminder/Plotly country-year extract reshaped to long indicator format for education"/>
    <s v="OK"/>
    <s v="1960s"/>
    <s v="N/A"/>
    <s v="Economy"/>
  </r>
  <r>
    <s v="GM-00550"/>
    <s v="Bulgaria"/>
    <x v="1"/>
    <x v="3"/>
    <x v="0"/>
    <s v="Life expectancy at birth"/>
    <s v="Health"/>
    <s v="SDG 3: Good Health and Well-being"/>
    <n v="70.42"/>
    <s v="Years"/>
    <s v="Bulgaria|1967"/>
    <s v="Gapminder/Plotly country-year extract reshaped to long indicator format for education"/>
    <s v="OK"/>
    <s v="1960s"/>
    <s v="High"/>
    <s v="Health"/>
  </r>
  <r>
    <s v="GM-00551"/>
    <s v="Bulgaria"/>
    <x v="1"/>
    <x v="3"/>
    <x v="1"/>
    <s v="Population, total"/>
    <s v="Demographics"/>
    <s v="SDG 11: Sustainable Cities and Communities"/>
    <n v="8310226"/>
    <s v="People"/>
    <s v="Bulgaria|1967"/>
    <s v="Gapminder/Plotly country-year extract reshaped to long indicator format for education"/>
    <s v="OK"/>
    <s v="1960s"/>
    <s v="N/A"/>
    <s v="Demographics"/>
  </r>
  <r>
    <s v="GM-00552"/>
    <s v="Bulgaria"/>
    <x v="1"/>
    <x v="3"/>
    <x v="2"/>
    <s v="GDP per capita"/>
    <s v="Economy"/>
    <s v="SDG 8: Decent Work and Economic Growth"/>
    <n v="5577.0028000000002"/>
    <s v="Source-defined international dollars"/>
    <s v="Bulgaria|1967"/>
    <s v="Gapminder/Plotly country-year extract reshaped to long indicator format for education"/>
    <s v="OK"/>
    <s v="1960s"/>
    <s v="N/A"/>
    <s v="Economy"/>
  </r>
  <r>
    <s v="GM-00553"/>
    <s v="Bulgaria"/>
    <x v="1"/>
    <x v="4"/>
    <x v="0"/>
    <s v="Life expectancy at birth"/>
    <s v="Health"/>
    <s v="SDG 3: Good Health and Well-being"/>
    <n v="70.900000000000006"/>
    <s v="Years"/>
    <s v="Bulgaria|1972"/>
    <s v="Gapminder/Plotly country-year extract reshaped to long indicator format for education"/>
    <s v="OK"/>
    <s v="1970s"/>
    <s v="High"/>
    <s v="Health"/>
  </r>
  <r>
    <s v="GM-00554"/>
    <s v="Bulgaria"/>
    <x v="1"/>
    <x v="4"/>
    <x v="1"/>
    <s v="Population, total"/>
    <s v="Demographics"/>
    <s v="SDG 11: Sustainable Cities and Communities"/>
    <n v="8576200"/>
    <s v="People"/>
    <s v="Bulgaria|1972"/>
    <s v="Gapminder/Plotly country-year extract reshaped to long indicator format for education"/>
    <s v="OK"/>
    <s v="1970s"/>
    <s v="N/A"/>
    <s v="Demographics"/>
  </r>
  <r>
    <s v="GM-00555"/>
    <s v="Bulgaria"/>
    <x v="1"/>
    <x v="4"/>
    <x v="2"/>
    <s v="GDP per capita"/>
    <s v="Economy"/>
    <s v="SDG 8: Decent Work and Economic Growth"/>
    <n v="6597.4943979999998"/>
    <s v="Source-defined international dollars"/>
    <s v="Bulgaria|1972"/>
    <s v="Gapminder/Plotly country-year extract reshaped to long indicator format for education"/>
    <s v="OK"/>
    <s v="1970s"/>
    <s v="N/A"/>
    <s v="Economy"/>
  </r>
  <r>
    <s v="GM-00556"/>
    <s v="Bulgaria"/>
    <x v="1"/>
    <x v="5"/>
    <x v="0"/>
    <s v="Life expectancy at birth"/>
    <s v="Health"/>
    <s v="SDG 3: Good Health and Well-being"/>
    <n v="70.81"/>
    <s v="Years"/>
    <s v="Bulgaria|1977"/>
    <s v="Gapminder/Plotly country-year extract reshaped to long indicator format for education"/>
    <s v="OK"/>
    <s v="1970s"/>
    <s v="High"/>
    <s v="Health"/>
  </r>
  <r>
    <s v="GM-00557"/>
    <s v="Bulgaria"/>
    <x v="1"/>
    <x v="5"/>
    <x v="1"/>
    <s v="Population, total"/>
    <s v="Demographics"/>
    <s v="SDG 11: Sustainable Cities and Communities"/>
    <n v="8797022"/>
    <s v="People"/>
    <s v="Bulgaria|1977"/>
    <s v="Gapminder/Plotly country-year extract reshaped to long indicator format for education"/>
    <s v="OK"/>
    <s v="1970s"/>
    <s v="N/A"/>
    <s v="Demographics"/>
  </r>
  <r>
    <s v="GM-00558"/>
    <s v="Bulgaria"/>
    <x v="1"/>
    <x v="5"/>
    <x v="2"/>
    <s v="GDP per capita"/>
    <s v="Economy"/>
    <s v="SDG 8: Decent Work and Economic Growth"/>
    <n v="7612.2404379999998"/>
    <s v="Source-defined international dollars"/>
    <s v="Bulgaria|1977"/>
    <s v="Gapminder/Plotly country-year extract reshaped to long indicator format for education"/>
    <s v="OK"/>
    <s v="1970s"/>
    <s v="N/A"/>
    <s v="Economy"/>
  </r>
  <r>
    <s v="GM-00559"/>
    <s v="Bulgaria"/>
    <x v="1"/>
    <x v="6"/>
    <x v="0"/>
    <s v="Life expectancy at birth"/>
    <s v="Health"/>
    <s v="SDG 3: Good Health and Well-being"/>
    <n v="71.08"/>
    <s v="Years"/>
    <s v="Bulgaria|1982"/>
    <s v="Gapminder/Plotly country-year extract reshaped to long indicator format for education"/>
    <s v="OK"/>
    <s v="1980s"/>
    <s v="High"/>
    <s v="Health"/>
  </r>
  <r>
    <s v="GM-00560"/>
    <s v="Bulgaria"/>
    <x v="1"/>
    <x v="6"/>
    <x v="1"/>
    <s v="Population, total"/>
    <s v="Demographics"/>
    <s v="SDG 11: Sustainable Cities and Communities"/>
    <n v="8892098"/>
    <s v="People"/>
    <s v="Bulgaria|1982"/>
    <s v="Gapminder/Plotly country-year extract reshaped to long indicator format for education"/>
    <s v="OK"/>
    <s v="1980s"/>
    <s v="N/A"/>
    <s v="Demographics"/>
  </r>
  <r>
    <s v="GM-00561"/>
    <s v="Bulgaria"/>
    <x v="1"/>
    <x v="6"/>
    <x v="2"/>
    <s v="GDP per capita"/>
    <s v="Economy"/>
    <s v="SDG 8: Decent Work and Economic Growth"/>
    <n v="8224.1916469999996"/>
    <s v="Source-defined international dollars"/>
    <s v="Bulgaria|1982"/>
    <s v="Gapminder/Plotly country-year extract reshaped to long indicator format for education"/>
    <s v="OK"/>
    <s v="1980s"/>
    <s v="N/A"/>
    <s v="Economy"/>
  </r>
  <r>
    <s v="GM-00562"/>
    <s v="Bulgaria"/>
    <x v="1"/>
    <x v="7"/>
    <x v="0"/>
    <s v="Life expectancy at birth"/>
    <s v="Health"/>
    <s v="SDG 3: Good Health and Well-being"/>
    <n v="71.34"/>
    <s v="Years"/>
    <s v="Bulgaria|1987"/>
    <s v="Gapminder/Plotly country-year extract reshaped to long indicator format for education"/>
    <s v="OK"/>
    <s v="1980s"/>
    <s v="High"/>
    <s v="Health"/>
  </r>
  <r>
    <s v="GM-00563"/>
    <s v="Bulgaria"/>
    <x v="1"/>
    <x v="7"/>
    <x v="1"/>
    <s v="Population, total"/>
    <s v="Demographics"/>
    <s v="SDG 11: Sustainable Cities and Communities"/>
    <n v="8971958"/>
    <s v="People"/>
    <s v="Bulgaria|1987"/>
    <s v="Gapminder/Plotly country-year extract reshaped to long indicator format for education"/>
    <s v="OK"/>
    <s v="1980s"/>
    <s v="N/A"/>
    <s v="Demographics"/>
  </r>
  <r>
    <s v="GM-00564"/>
    <s v="Bulgaria"/>
    <x v="1"/>
    <x v="7"/>
    <x v="2"/>
    <s v="GDP per capita"/>
    <s v="Economy"/>
    <s v="SDG 8: Decent Work and Economic Growth"/>
    <n v="8239.854824"/>
    <s v="Source-defined international dollars"/>
    <s v="Bulgaria|1987"/>
    <s v="Gapminder/Plotly country-year extract reshaped to long indicator format for education"/>
    <s v="OK"/>
    <s v="1980s"/>
    <s v="N/A"/>
    <s v="Economy"/>
  </r>
  <r>
    <s v="GM-00565"/>
    <s v="Bulgaria"/>
    <x v="1"/>
    <x v="8"/>
    <x v="0"/>
    <s v="Life expectancy at birth"/>
    <s v="Health"/>
    <s v="SDG 3: Good Health and Well-being"/>
    <n v="71.19"/>
    <s v="Years"/>
    <s v="Bulgaria|1992"/>
    <s v="Gapminder/Plotly country-year extract reshaped to long indicator format for education"/>
    <s v="OK"/>
    <s v="1990s"/>
    <s v="High"/>
    <s v="Health"/>
  </r>
  <r>
    <s v="GM-00566"/>
    <s v="Bulgaria"/>
    <x v="1"/>
    <x v="8"/>
    <x v="1"/>
    <s v="Population, total"/>
    <s v="Demographics"/>
    <s v="SDG 11: Sustainable Cities and Communities"/>
    <n v="8658506"/>
    <s v="People"/>
    <s v="Bulgaria|1992"/>
    <s v="Gapminder/Plotly country-year extract reshaped to long indicator format for education"/>
    <s v="OK"/>
    <s v="1990s"/>
    <s v="N/A"/>
    <s v="Demographics"/>
  </r>
  <r>
    <s v="GM-00567"/>
    <s v="Bulgaria"/>
    <x v="1"/>
    <x v="8"/>
    <x v="2"/>
    <s v="GDP per capita"/>
    <s v="Economy"/>
    <s v="SDG 8: Decent Work and Economic Growth"/>
    <n v="6302.6234379999996"/>
    <s v="Source-defined international dollars"/>
    <s v="Bulgaria|1992"/>
    <s v="Gapminder/Plotly country-year extract reshaped to long indicator format for education"/>
    <s v="OK"/>
    <s v="1990s"/>
    <s v="N/A"/>
    <s v="Economy"/>
  </r>
  <r>
    <s v="GM-00568"/>
    <s v="Bulgaria"/>
    <x v="1"/>
    <x v="9"/>
    <x v="0"/>
    <s v="Life expectancy at birth"/>
    <s v="Health"/>
    <s v="SDG 3: Good Health and Well-being"/>
    <n v="70.319999999999993"/>
    <s v="Years"/>
    <s v="Bulgaria|1997"/>
    <s v="Gapminder/Plotly country-year extract reshaped to long indicator format for education"/>
    <s v="OK"/>
    <s v="1990s"/>
    <s v="High"/>
    <s v="Health"/>
  </r>
  <r>
    <s v="GM-00569"/>
    <s v="Bulgaria"/>
    <x v="1"/>
    <x v="9"/>
    <x v="1"/>
    <s v="Population, total"/>
    <s v="Demographics"/>
    <s v="SDG 11: Sustainable Cities and Communities"/>
    <n v="8066057"/>
    <s v="People"/>
    <s v="Bulgaria|1997"/>
    <s v="Gapminder/Plotly country-year extract reshaped to long indicator format for education"/>
    <s v="OK"/>
    <s v="1990s"/>
    <s v="N/A"/>
    <s v="Demographics"/>
  </r>
  <r>
    <s v="GM-00570"/>
    <s v="Bulgaria"/>
    <x v="1"/>
    <x v="9"/>
    <x v="2"/>
    <s v="GDP per capita"/>
    <s v="Economy"/>
    <s v="SDG 8: Decent Work and Economic Growth"/>
    <n v="5970.3887599999998"/>
    <s v="Source-defined international dollars"/>
    <s v="Bulgaria|1997"/>
    <s v="Gapminder/Plotly country-year extract reshaped to long indicator format for education"/>
    <s v="OK"/>
    <s v="1990s"/>
    <s v="N/A"/>
    <s v="Economy"/>
  </r>
  <r>
    <s v="GM-00571"/>
    <s v="Bulgaria"/>
    <x v="1"/>
    <x v="10"/>
    <x v="0"/>
    <s v="Life expectancy at birth"/>
    <s v="Health"/>
    <s v="SDG 3: Good Health and Well-being"/>
    <n v="72.14"/>
    <s v="Years"/>
    <s v="Bulgaria|2002"/>
    <s v="Gapminder/Plotly country-year extract reshaped to long indicator format for education"/>
    <s v="OK"/>
    <s v="2000s"/>
    <s v="High"/>
    <s v="Health"/>
  </r>
  <r>
    <s v="GM-00572"/>
    <s v="Bulgaria"/>
    <x v="1"/>
    <x v="10"/>
    <x v="1"/>
    <s v="Population, total"/>
    <s v="Demographics"/>
    <s v="SDG 11: Sustainable Cities and Communities"/>
    <n v="7661799"/>
    <s v="People"/>
    <s v="Bulgaria|2002"/>
    <s v="Gapminder/Plotly country-year extract reshaped to long indicator format for education"/>
    <s v="OK"/>
    <s v="2000s"/>
    <s v="N/A"/>
    <s v="Demographics"/>
  </r>
  <r>
    <s v="GM-00573"/>
    <s v="Bulgaria"/>
    <x v="1"/>
    <x v="10"/>
    <x v="2"/>
    <s v="GDP per capita"/>
    <s v="Economy"/>
    <s v="SDG 8: Decent Work and Economic Growth"/>
    <n v="7696.7777249999999"/>
    <s v="Source-defined international dollars"/>
    <s v="Bulgaria|2002"/>
    <s v="Gapminder/Plotly country-year extract reshaped to long indicator format for education"/>
    <s v="OK"/>
    <s v="2000s"/>
    <s v="N/A"/>
    <s v="Economy"/>
  </r>
  <r>
    <s v="GM-00574"/>
    <s v="Bulgaria"/>
    <x v="1"/>
    <x v="11"/>
    <x v="0"/>
    <s v="Life expectancy at birth"/>
    <s v="Health"/>
    <s v="SDG 3: Good Health and Well-being"/>
    <n v="73.004999999999995"/>
    <s v="Years"/>
    <s v="Bulgaria|2007"/>
    <s v="Gapminder/Plotly country-year extract reshaped to long indicator format for education"/>
    <s v="OK"/>
    <s v="2000s"/>
    <s v="High"/>
    <s v="Health"/>
  </r>
  <r>
    <s v="GM-00575"/>
    <s v="Bulgaria"/>
    <x v="1"/>
    <x v="11"/>
    <x v="1"/>
    <s v="Population, total"/>
    <s v="Demographics"/>
    <s v="SDG 11: Sustainable Cities and Communities"/>
    <n v="7322858"/>
    <s v="People"/>
    <s v="Bulgaria|2007"/>
    <s v="Gapminder/Plotly country-year extract reshaped to long indicator format for education"/>
    <s v="OK"/>
    <s v="2000s"/>
    <s v="N/A"/>
    <s v="Demographics"/>
  </r>
  <r>
    <s v="GM-00576"/>
    <s v="Bulgaria"/>
    <x v="1"/>
    <x v="11"/>
    <x v="2"/>
    <s v="GDP per capita"/>
    <s v="Economy"/>
    <s v="SDG 8: Decent Work and Economic Growth"/>
    <n v="10680.792820000001"/>
    <s v="Source-defined international dollars"/>
    <s v="Bulgaria|2007"/>
    <s v="Gapminder/Plotly country-year extract reshaped to long indicator format for education"/>
    <s v="OK"/>
    <s v="2000s"/>
    <s v="N/A"/>
    <s v="Economy"/>
  </r>
  <r>
    <s v="GM-00577"/>
    <s v="Burkina Faso"/>
    <x v="2"/>
    <x v="0"/>
    <x v="0"/>
    <s v="Life expectancy at birth"/>
    <s v="Health"/>
    <s v="SDG 3: Good Health and Well-being"/>
    <n v="31.975000000000001"/>
    <s v="Years"/>
    <s v="Burkina Faso|1952"/>
    <s v="Gapminder/Plotly country-year extract reshaped to long indicator format for education"/>
    <s v="OK"/>
    <s v="1950s"/>
    <s v="Low"/>
    <s v="Health"/>
  </r>
  <r>
    <s v="GM-00578"/>
    <s v="Burkina Faso"/>
    <x v="2"/>
    <x v="0"/>
    <x v="1"/>
    <s v="Population, total"/>
    <s v="Demographics"/>
    <s v="SDG 11: Sustainable Cities and Communities"/>
    <n v="4469979"/>
    <s v="People"/>
    <s v="Burkina Faso|1952"/>
    <s v="Gapminder/Plotly country-year extract reshaped to long indicator format for education"/>
    <s v="OK"/>
    <s v="1950s"/>
    <s v="N/A"/>
    <s v="Demographics"/>
  </r>
  <r>
    <s v="GM-00579"/>
    <s v="Burkina Faso"/>
    <x v="2"/>
    <x v="0"/>
    <x v="2"/>
    <s v="GDP per capita"/>
    <s v="Economy"/>
    <s v="SDG 8: Decent Work and Economic Growth"/>
    <n v="543.25524129999997"/>
    <s v="Source-defined international dollars"/>
    <s v="Burkina Faso|1952"/>
    <s v="Gapminder/Plotly country-year extract reshaped to long indicator format for education"/>
    <s v="OK"/>
    <s v="1950s"/>
    <s v="N/A"/>
    <s v="Economy"/>
  </r>
  <r>
    <s v="GM-00580"/>
    <s v="Burkina Faso"/>
    <x v="2"/>
    <x v="1"/>
    <x v="0"/>
    <s v="Life expectancy at birth"/>
    <s v="Health"/>
    <s v="SDG 3: Good Health and Well-being"/>
    <n v="34.905999999999999"/>
    <s v="Years"/>
    <s v="Burkina Faso|1957"/>
    <s v="Gapminder/Plotly country-year extract reshaped to long indicator format for education"/>
    <s v="OK"/>
    <s v="1950s"/>
    <s v="Low"/>
    <s v="Health"/>
  </r>
  <r>
    <s v="GM-00581"/>
    <s v="Burkina Faso"/>
    <x v="2"/>
    <x v="1"/>
    <x v="1"/>
    <s v="Population, total"/>
    <s v="Demographics"/>
    <s v="SDG 11: Sustainable Cities and Communities"/>
    <n v="4713416"/>
    <s v="People"/>
    <s v="Burkina Faso|1957"/>
    <s v="Gapminder/Plotly country-year extract reshaped to long indicator format for education"/>
    <s v="OK"/>
    <s v="1950s"/>
    <s v="N/A"/>
    <s v="Demographics"/>
  </r>
  <r>
    <s v="GM-00582"/>
    <s v="Burkina Faso"/>
    <x v="2"/>
    <x v="1"/>
    <x v="2"/>
    <s v="GDP per capita"/>
    <s v="Economy"/>
    <s v="SDG 8: Decent Work and Economic Growth"/>
    <n v="617.183464799999"/>
    <s v="Source-defined international dollars"/>
    <s v="Burkina Faso|1957"/>
    <s v="Gapminder/Plotly country-year extract reshaped to long indicator format for education"/>
    <s v="OK"/>
    <s v="1950s"/>
    <s v="N/A"/>
    <s v="Economy"/>
  </r>
  <r>
    <s v="GM-00583"/>
    <s v="Burkina Faso"/>
    <x v="2"/>
    <x v="2"/>
    <x v="0"/>
    <s v="Life expectancy at birth"/>
    <s v="Health"/>
    <s v="SDG 3: Good Health and Well-being"/>
    <n v="37.814"/>
    <s v="Years"/>
    <s v="Burkina Faso|1962"/>
    <s v="Gapminder/Plotly country-year extract reshaped to long indicator format for education"/>
    <s v="OK"/>
    <s v="1960s"/>
    <s v="Low"/>
    <s v="Health"/>
  </r>
  <r>
    <s v="GM-00584"/>
    <s v="Burkina Faso"/>
    <x v="2"/>
    <x v="2"/>
    <x v="1"/>
    <s v="Population, total"/>
    <s v="Demographics"/>
    <s v="SDG 11: Sustainable Cities and Communities"/>
    <n v="4919632"/>
    <s v="People"/>
    <s v="Burkina Faso|1962"/>
    <s v="Gapminder/Plotly country-year extract reshaped to long indicator format for education"/>
    <s v="OK"/>
    <s v="1960s"/>
    <s v="N/A"/>
    <s v="Demographics"/>
  </r>
  <r>
    <s v="GM-00585"/>
    <s v="Burkina Faso"/>
    <x v="2"/>
    <x v="2"/>
    <x v="2"/>
    <s v="GDP per capita"/>
    <s v="Economy"/>
    <s v="SDG 8: Decent Work and Economic Growth"/>
    <n v="722.51202060000003"/>
    <s v="Source-defined international dollars"/>
    <s v="Burkina Faso|1962"/>
    <s v="Gapminder/Plotly country-year extract reshaped to long indicator format for education"/>
    <s v="OK"/>
    <s v="1960s"/>
    <s v="N/A"/>
    <s v="Economy"/>
  </r>
  <r>
    <s v="GM-00586"/>
    <s v="Burkina Faso"/>
    <x v="2"/>
    <x v="3"/>
    <x v="0"/>
    <s v="Life expectancy at birth"/>
    <s v="Health"/>
    <s v="SDG 3: Good Health and Well-being"/>
    <n v="40.697000000000003"/>
    <s v="Years"/>
    <s v="Burkina Faso|1967"/>
    <s v="Gapminder/Plotly country-year extract reshaped to long indicator format for education"/>
    <s v="OK"/>
    <s v="1960s"/>
    <s v="Low"/>
    <s v="Health"/>
  </r>
  <r>
    <s v="GM-00587"/>
    <s v="Burkina Faso"/>
    <x v="2"/>
    <x v="3"/>
    <x v="1"/>
    <s v="Population, total"/>
    <s v="Demographics"/>
    <s v="SDG 11: Sustainable Cities and Communities"/>
    <n v="5127935"/>
    <s v="People"/>
    <s v="Burkina Faso|1967"/>
    <s v="Gapminder/Plotly country-year extract reshaped to long indicator format for education"/>
    <s v="OK"/>
    <s v="1960s"/>
    <s v="N/A"/>
    <s v="Demographics"/>
  </r>
  <r>
    <s v="GM-00588"/>
    <s v="Burkina Faso"/>
    <x v="2"/>
    <x v="3"/>
    <x v="2"/>
    <s v="GDP per capita"/>
    <s v="Economy"/>
    <s v="SDG 8: Decent Work and Economic Growth"/>
    <n v="794.82655969999996"/>
    <s v="Source-defined international dollars"/>
    <s v="Burkina Faso|1967"/>
    <s v="Gapminder/Plotly country-year extract reshaped to long indicator format for education"/>
    <s v="OK"/>
    <s v="1960s"/>
    <s v="N/A"/>
    <s v="Economy"/>
  </r>
  <r>
    <s v="GM-00589"/>
    <s v="Burkina Faso"/>
    <x v="2"/>
    <x v="4"/>
    <x v="0"/>
    <s v="Life expectancy at birth"/>
    <s v="Health"/>
    <s v="SDG 3: Good Health and Well-being"/>
    <n v="43.591000000000001"/>
    <s v="Years"/>
    <s v="Burkina Faso|1972"/>
    <s v="Gapminder/Plotly country-year extract reshaped to long indicator format for education"/>
    <s v="OK"/>
    <s v="1970s"/>
    <s v="Low"/>
    <s v="Health"/>
  </r>
  <r>
    <s v="GM-00590"/>
    <s v="Burkina Faso"/>
    <x v="2"/>
    <x v="4"/>
    <x v="1"/>
    <s v="Population, total"/>
    <s v="Demographics"/>
    <s v="SDG 11: Sustainable Cities and Communities"/>
    <n v="5433886"/>
    <s v="People"/>
    <s v="Burkina Faso|1972"/>
    <s v="Gapminder/Plotly country-year extract reshaped to long indicator format for education"/>
    <s v="OK"/>
    <s v="1970s"/>
    <s v="N/A"/>
    <s v="Demographics"/>
  </r>
  <r>
    <s v="GM-00591"/>
    <s v="Burkina Faso"/>
    <x v="2"/>
    <x v="4"/>
    <x v="2"/>
    <s v="GDP per capita"/>
    <s v="Economy"/>
    <s v="SDG 8: Decent Work and Economic Growth"/>
    <n v="854.73597629999995"/>
    <s v="Source-defined international dollars"/>
    <s v="Burkina Faso|1972"/>
    <s v="Gapminder/Plotly country-year extract reshaped to long indicator format for education"/>
    <s v="OK"/>
    <s v="1970s"/>
    <s v="N/A"/>
    <s v="Economy"/>
  </r>
  <r>
    <s v="GM-00592"/>
    <s v="Burkina Faso"/>
    <x v="2"/>
    <x v="5"/>
    <x v="0"/>
    <s v="Life expectancy at birth"/>
    <s v="Health"/>
    <s v="SDG 3: Good Health and Well-being"/>
    <n v="46.137"/>
    <s v="Years"/>
    <s v="Burkina Faso|1977"/>
    <s v="Gapminder/Plotly country-year extract reshaped to long indicator format for education"/>
    <s v="OK"/>
    <s v="1970s"/>
    <s v="Low"/>
    <s v="Health"/>
  </r>
  <r>
    <s v="GM-00593"/>
    <s v="Burkina Faso"/>
    <x v="2"/>
    <x v="5"/>
    <x v="1"/>
    <s v="Population, total"/>
    <s v="Demographics"/>
    <s v="SDG 11: Sustainable Cities and Communities"/>
    <n v="5889574"/>
    <s v="People"/>
    <s v="Burkina Faso|1977"/>
    <s v="Gapminder/Plotly country-year extract reshaped to long indicator format for education"/>
    <s v="OK"/>
    <s v="1970s"/>
    <s v="N/A"/>
    <s v="Demographics"/>
  </r>
  <r>
    <s v="GM-00594"/>
    <s v="Burkina Faso"/>
    <x v="2"/>
    <x v="5"/>
    <x v="2"/>
    <s v="GDP per capita"/>
    <s v="Economy"/>
    <s v="SDG 8: Decent Work and Economic Growth"/>
    <n v="743.38703680000003"/>
    <s v="Source-defined international dollars"/>
    <s v="Burkina Faso|1977"/>
    <s v="Gapminder/Plotly country-year extract reshaped to long indicator format for education"/>
    <s v="OK"/>
    <s v="1970s"/>
    <s v="N/A"/>
    <s v="Economy"/>
  </r>
  <r>
    <s v="GM-00595"/>
    <s v="Burkina Faso"/>
    <x v="2"/>
    <x v="6"/>
    <x v="0"/>
    <s v="Life expectancy at birth"/>
    <s v="Health"/>
    <s v="SDG 3: Good Health and Well-being"/>
    <n v="48.122"/>
    <s v="Years"/>
    <s v="Burkina Faso|1982"/>
    <s v="Gapminder/Plotly country-year extract reshaped to long indicator format for education"/>
    <s v="OK"/>
    <s v="1980s"/>
    <s v="Low"/>
    <s v="Health"/>
  </r>
  <r>
    <s v="GM-00596"/>
    <s v="Burkina Faso"/>
    <x v="2"/>
    <x v="6"/>
    <x v="1"/>
    <s v="Population, total"/>
    <s v="Demographics"/>
    <s v="SDG 11: Sustainable Cities and Communities"/>
    <n v="6634596"/>
    <s v="People"/>
    <s v="Burkina Faso|1982"/>
    <s v="Gapminder/Plotly country-year extract reshaped to long indicator format for education"/>
    <s v="OK"/>
    <s v="1980s"/>
    <s v="N/A"/>
    <s v="Demographics"/>
  </r>
  <r>
    <s v="GM-00597"/>
    <s v="Burkina Faso"/>
    <x v="2"/>
    <x v="6"/>
    <x v="2"/>
    <s v="GDP per capita"/>
    <s v="Economy"/>
    <s v="SDG 8: Decent Work and Economic Growth"/>
    <n v="807.19858550000004"/>
    <s v="Source-defined international dollars"/>
    <s v="Burkina Faso|1982"/>
    <s v="Gapminder/Plotly country-year extract reshaped to long indicator format for education"/>
    <s v="OK"/>
    <s v="1980s"/>
    <s v="N/A"/>
    <s v="Economy"/>
  </r>
  <r>
    <s v="GM-00598"/>
    <s v="Burkina Faso"/>
    <x v="2"/>
    <x v="7"/>
    <x v="0"/>
    <s v="Life expectancy at birth"/>
    <s v="Health"/>
    <s v="SDG 3: Good Health and Well-being"/>
    <n v="49.557000000000002"/>
    <s v="Years"/>
    <s v="Burkina Faso|1987"/>
    <s v="Gapminder/Plotly country-year extract reshaped to long indicator format for education"/>
    <s v="OK"/>
    <s v="1980s"/>
    <s v="Low"/>
    <s v="Health"/>
  </r>
  <r>
    <s v="GM-00599"/>
    <s v="Burkina Faso"/>
    <x v="2"/>
    <x v="7"/>
    <x v="1"/>
    <s v="Population, total"/>
    <s v="Demographics"/>
    <s v="SDG 11: Sustainable Cities and Communities"/>
    <n v="7586551"/>
    <s v="People"/>
    <s v="Burkina Faso|1987"/>
    <s v="Gapminder/Plotly country-year extract reshaped to long indicator format for education"/>
    <s v="OK"/>
    <s v="1980s"/>
    <s v="N/A"/>
    <s v="Demographics"/>
  </r>
  <r>
    <s v="GM-00600"/>
    <s v="Burkina Faso"/>
    <x v="2"/>
    <x v="7"/>
    <x v="2"/>
    <s v="GDP per capita"/>
    <s v="Economy"/>
    <s v="SDG 8: Decent Work and Economic Growth"/>
    <n v="912.06314169999996"/>
    <s v="Source-defined international dollars"/>
    <s v="Burkina Faso|1987"/>
    <s v="Gapminder/Plotly country-year extract reshaped to long indicator format for education"/>
    <s v="OK"/>
    <s v="1980s"/>
    <s v="N/A"/>
    <s v="Economy"/>
  </r>
  <r>
    <s v="GM-00601"/>
    <s v="Burkina Faso"/>
    <x v="2"/>
    <x v="8"/>
    <x v="0"/>
    <s v="Life expectancy at birth"/>
    <s v="Health"/>
    <s v="SDG 3: Good Health and Well-being"/>
    <n v="50.26"/>
    <s v="Years"/>
    <s v="Burkina Faso|1992"/>
    <s v="Gapminder/Plotly country-year extract reshaped to long indicator format for education"/>
    <s v="OK"/>
    <s v="1990s"/>
    <s v="Low"/>
    <s v="Health"/>
  </r>
  <r>
    <s v="GM-00602"/>
    <s v="Burkina Faso"/>
    <x v="2"/>
    <x v="8"/>
    <x v="1"/>
    <s v="Population, total"/>
    <s v="Demographics"/>
    <s v="SDG 11: Sustainable Cities and Communities"/>
    <n v="8878303"/>
    <s v="People"/>
    <s v="Burkina Faso|1992"/>
    <s v="Gapminder/Plotly country-year extract reshaped to long indicator format for education"/>
    <s v="OK"/>
    <s v="1990s"/>
    <s v="N/A"/>
    <s v="Demographics"/>
  </r>
  <r>
    <s v="GM-00603"/>
    <s v="Burkina Faso"/>
    <x v="2"/>
    <x v="8"/>
    <x v="2"/>
    <s v="GDP per capita"/>
    <s v="Economy"/>
    <s v="SDG 8: Decent Work and Economic Growth"/>
    <n v="931.75277310000001"/>
    <s v="Source-defined international dollars"/>
    <s v="Burkina Faso|1992"/>
    <s v="Gapminder/Plotly country-year extract reshaped to long indicator format for education"/>
    <s v="OK"/>
    <s v="1990s"/>
    <s v="N/A"/>
    <s v="Economy"/>
  </r>
  <r>
    <s v="GM-00604"/>
    <s v="Burkina Faso"/>
    <x v="2"/>
    <x v="9"/>
    <x v="0"/>
    <s v="Life expectancy at birth"/>
    <s v="Health"/>
    <s v="SDG 3: Good Health and Well-being"/>
    <n v="50.323999999999998"/>
    <s v="Years"/>
    <s v="Burkina Faso|1997"/>
    <s v="Gapminder/Plotly country-year extract reshaped to long indicator format for education"/>
    <s v="OK"/>
    <s v="1990s"/>
    <s v="Low"/>
    <s v="Health"/>
  </r>
  <r>
    <s v="GM-00605"/>
    <s v="Burkina Faso"/>
    <x v="2"/>
    <x v="9"/>
    <x v="1"/>
    <s v="Population, total"/>
    <s v="Demographics"/>
    <s v="SDG 11: Sustainable Cities and Communities"/>
    <n v="10352843"/>
    <s v="People"/>
    <s v="Burkina Faso|1997"/>
    <s v="Gapminder/Plotly country-year extract reshaped to long indicator format for education"/>
    <s v="OK"/>
    <s v="1990s"/>
    <s v="N/A"/>
    <s v="Demographics"/>
  </r>
  <r>
    <s v="GM-00606"/>
    <s v="Burkina Faso"/>
    <x v="2"/>
    <x v="9"/>
    <x v="2"/>
    <s v="GDP per capita"/>
    <s v="Economy"/>
    <s v="SDG 8: Decent Work and Economic Growth"/>
    <n v="946.29496180000001"/>
    <s v="Source-defined international dollars"/>
    <s v="Burkina Faso|1997"/>
    <s v="Gapminder/Plotly country-year extract reshaped to long indicator format for education"/>
    <s v="OK"/>
    <s v="1990s"/>
    <s v="N/A"/>
    <s v="Economy"/>
  </r>
  <r>
    <s v="GM-00607"/>
    <s v="Burkina Faso"/>
    <x v="2"/>
    <x v="10"/>
    <x v="0"/>
    <s v="Life expectancy at birth"/>
    <s v="Health"/>
    <s v="SDG 3: Good Health and Well-being"/>
    <n v="50.65"/>
    <s v="Years"/>
    <s v="Burkina Faso|2002"/>
    <s v="Gapminder/Plotly country-year extract reshaped to long indicator format for education"/>
    <s v="OK"/>
    <s v="2000s"/>
    <s v="Low"/>
    <s v="Health"/>
  </r>
  <r>
    <s v="GM-00608"/>
    <s v="Burkina Faso"/>
    <x v="2"/>
    <x v="10"/>
    <x v="1"/>
    <s v="Population, total"/>
    <s v="Demographics"/>
    <s v="SDG 11: Sustainable Cities and Communities"/>
    <n v="12251209"/>
    <s v="People"/>
    <s v="Burkina Faso|2002"/>
    <s v="Gapminder/Plotly country-year extract reshaped to long indicator format for education"/>
    <s v="OK"/>
    <s v="2000s"/>
    <s v="N/A"/>
    <s v="Demographics"/>
  </r>
  <r>
    <s v="GM-00609"/>
    <s v="Burkina Faso"/>
    <x v="2"/>
    <x v="10"/>
    <x v="2"/>
    <s v="GDP per capita"/>
    <s v="Economy"/>
    <s v="SDG 8: Decent Work and Economic Growth"/>
    <n v="1037.645221"/>
    <s v="Source-defined international dollars"/>
    <s v="Burkina Faso|2002"/>
    <s v="Gapminder/Plotly country-year extract reshaped to long indicator format for education"/>
    <s v="OK"/>
    <s v="2000s"/>
    <s v="N/A"/>
    <s v="Economy"/>
  </r>
  <r>
    <s v="GM-00610"/>
    <s v="Burkina Faso"/>
    <x v="2"/>
    <x v="11"/>
    <x v="0"/>
    <s v="Life expectancy at birth"/>
    <s v="Health"/>
    <s v="SDG 3: Good Health and Well-being"/>
    <n v="52.295000000000002"/>
    <s v="Years"/>
    <s v="Burkina Faso|2007"/>
    <s v="Gapminder/Plotly country-year extract reshaped to long indicator format for education"/>
    <s v="OK"/>
    <s v="2000s"/>
    <s v="Low"/>
    <s v="Health"/>
  </r>
  <r>
    <s v="GM-00611"/>
    <s v="Burkina Faso"/>
    <x v="2"/>
    <x v="11"/>
    <x v="1"/>
    <s v="Population, total"/>
    <s v="Demographics"/>
    <s v="SDG 11: Sustainable Cities and Communities"/>
    <n v="14326203"/>
    <s v="People"/>
    <s v="Burkina Faso|2007"/>
    <s v="Gapminder/Plotly country-year extract reshaped to long indicator format for education"/>
    <s v="OK"/>
    <s v="2000s"/>
    <s v="N/A"/>
    <s v="Demographics"/>
  </r>
  <r>
    <s v="GM-00612"/>
    <s v="Burkina Faso"/>
    <x v="2"/>
    <x v="11"/>
    <x v="2"/>
    <s v="GDP per capita"/>
    <s v="Economy"/>
    <s v="SDG 8: Decent Work and Economic Growth"/>
    <n v="1217.0329939999999"/>
    <s v="Source-defined international dollars"/>
    <s v="Burkina Faso|2007"/>
    <s v="Gapminder/Plotly country-year extract reshaped to long indicator format for education"/>
    <s v="OK"/>
    <s v="2000s"/>
    <s v="N/A"/>
    <s v="Economy"/>
  </r>
  <r>
    <s v="GM-00613"/>
    <s v="Burundi"/>
    <x v="2"/>
    <x v="0"/>
    <x v="0"/>
    <s v="Life expectancy at birth"/>
    <s v="Health"/>
    <s v="SDG 3: Good Health and Well-being"/>
    <n v="39.030999999999999"/>
    <s v="Years"/>
    <s v="Burundi|1952"/>
    <s v="Gapminder/Plotly country-year extract reshaped to long indicator format for education"/>
    <s v="OK"/>
    <s v="1950s"/>
    <s v="Low"/>
    <s v="Health"/>
  </r>
  <r>
    <s v="GM-00614"/>
    <s v="Burundi"/>
    <x v="2"/>
    <x v="0"/>
    <x v="1"/>
    <s v="Population, total"/>
    <s v="Demographics"/>
    <s v="SDG 11: Sustainable Cities and Communities"/>
    <n v="2445618"/>
    <s v="People"/>
    <s v="Burundi|1952"/>
    <s v="Gapminder/Plotly country-year extract reshaped to long indicator format for education"/>
    <s v="OK"/>
    <s v="1950s"/>
    <s v="N/A"/>
    <s v="Demographics"/>
  </r>
  <r>
    <s v="GM-00615"/>
    <s v="Burundi"/>
    <x v="2"/>
    <x v="0"/>
    <x v="2"/>
    <s v="GDP per capita"/>
    <s v="Economy"/>
    <s v="SDG 8: Decent Work and Economic Growth"/>
    <n v="339.29645870000002"/>
    <s v="Source-defined international dollars"/>
    <s v="Burundi|1952"/>
    <s v="Gapminder/Plotly country-year extract reshaped to long indicator format for education"/>
    <s v="OK"/>
    <s v="1950s"/>
    <s v="N/A"/>
    <s v="Economy"/>
  </r>
  <r>
    <s v="GM-00616"/>
    <s v="Burundi"/>
    <x v="2"/>
    <x v="1"/>
    <x v="0"/>
    <s v="Life expectancy at birth"/>
    <s v="Health"/>
    <s v="SDG 3: Good Health and Well-being"/>
    <n v="40.533000000000001"/>
    <s v="Years"/>
    <s v="Burundi|1957"/>
    <s v="Gapminder/Plotly country-year extract reshaped to long indicator format for education"/>
    <s v="OK"/>
    <s v="1950s"/>
    <s v="Low"/>
    <s v="Health"/>
  </r>
  <r>
    <s v="GM-00617"/>
    <s v="Burundi"/>
    <x v="2"/>
    <x v="1"/>
    <x v="1"/>
    <s v="Population, total"/>
    <s v="Demographics"/>
    <s v="SDG 11: Sustainable Cities and Communities"/>
    <n v="2667518"/>
    <s v="People"/>
    <s v="Burundi|1957"/>
    <s v="Gapminder/Plotly country-year extract reshaped to long indicator format for education"/>
    <s v="OK"/>
    <s v="1950s"/>
    <s v="N/A"/>
    <s v="Demographics"/>
  </r>
  <r>
    <s v="GM-00618"/>
    <s v="Burundi"/>
    <x v="2"/>
    <x v="1"/>
    <x v="2"/>
    <s v="GDP per capita"/>
    <s v="Economy"/>
    <s v="SDG 8: Decent Work and Economic Growth"/>
    <n v="379.56462809999999"/>
    <s v="Source-defined international dollars"/>
    <s v="Burundi|1957"/>
    <s v="Gapminder/Plotly country-year extract reshaped to long indicator format for education"/>
    <s v="OK"/>
    <s v="1950s"/>
    <s v="N/A"/>
    <s v="Economy"/>
  </r>
  <r>
    <s v="GM-00619"/>
    <s v="Burundi"/>
    <x v="2"/>
    <x v="2"/>
    <x v="0"/>
    <s v="Life expectancy at birth"/>
    <s v="Health"/>
    <s v="SDG 3: Good Health and Well-being"/>
    <n v="42.045000000000002"/>
    <s v="Years"/>
    <s v="Burundi|1962"/>
    <s v="Gapminder/Plotly country-year extract reshaped to long indicator format for education"/>
    <s v="OK"/>
    <s v="1960s"/>
    <s v="Low"/>
    <s v="Health"/>
  </r>
  <r>
    <s v="GM-00620"/>
    <s v="Burundi"/>
    <x v="2"/>
    <x v="2"/>
    <x v="1"/>
    <s v="Population, total"/>
    <s v="Demographics"/>
    <s v="SDG 11: Sustainable Cities and Communities"/>
    <n v="2961915"/>
    <s v="People"/>
    <s v="Burundi|1962"/>
    <s v="Gapminder/Plotly country-year extract reshaped to long indicator format for education"/>
    <s v="OK"/>
    <s v="1960s"/>
    <s v="N/A"/>
    <s v="Demographics"/>
  </r>
  <r>
    <s v="GM-00621"/>
    <s v="Burundi"/>
    <x v="2"/>
    <x v="2"/>
    <x v="2"/>
    <s v="GDP per capita"/>
    <s v="Economy"/>
    <s v="SDG 8: Decent Work and Economic Growth"/>
    <n v="355.20322729999998"/>
    <s v="Source-defined international dollars"/>
    <s v="Burundi|1962"/>
    <s v="Gapminder/Plotly country-year extract reshaped to long indicator format for education"/>
    <s v="OK"/>
    <s v="1960s"/>
    <s v="N/A"/>
    <s v="Economy"/>
  </r>
  <r>
    <s v="GM-00622"/>
    <s v="Burundi"/>
    <x v="2"/>
    <x v="3"/>
    <x v="0"/>
    <s v="Life expectancy at birth"/>
    <s v="Health"/>
    <s v="SDG 3: Good Health and Well-being"/>
    <n v="43.548000000000002"/>
    <s v="Years"/>
    <s v="Burundi|1967"/>
    <s v="Gapminder/Plotly country-year extract reshaped to long indicator format for education"/>
    <s v="OK"/>
    <s v="1960s"/>
    <s v="Low"/>
    <s v="Health"/>
  </r>
  <r>
    <s v="GM-00623"/>
    <s v="Burundi"/>
    <x v="2"/>
    <x v="3"/>
    <x v="1"/>
    <s v="Population, total"/>
    <s v="Demographics"/>
    <s v="SDG 11: Sustainable Cities and Communities"/>
    <n v="3330989"/>
    <s v="People"/>
    <s v="Burundi|1967"/>
    <s v="Gapminder/Plotly country-year extract reshaped to long indicator format for education"/>
    <s v="OK"/>
    <s v="1960s"/>
    <s v="N/A"/>
    <s v="Demographics"/>
  </r>
  <r>
    <s v="GM-00624"/>
    <s v="Burundi"/>
    <x v="2"/>
    <x v="3"/>
    <x v="2"/>
    <s v="GDP per capita"/>
    <s v="Economy"/>
    <s v="SDG 8: Decent Work and Economic Growth"/>
    <n v="412.97751360000001"/>
    <s v="Source-defined international dollars"/>
    <s v="Burundi|1967"/>
    <s v="Gapminder/Plotly country-year extract reshaped to long indicator format for education"/>
    <s v="OK"/>
    <s v="1960s"/>
    <s v="N/A"/>
    <s v="Economy"/>
  </r>
  <r>
    <s v="GM-00625"/>
    <s v="Burundi"/>
    <x v="2"/>
    <x v="4"/>
    <x v="0"/>
    <s v="Life expectancy at birth"/>
    <s v="Health"/>
    <s v="SDG 3: Good Health and Well-being"/>
    <n v="44.057000000000002"/>
    <s v="Years"/>
    <s v="Burundi|1972"/>
    <s v="Gapminder/Plotly country-year extract reshaped to long indicator format for education"/>
    <s v="OK"/>
    <s v="1970s"/>
    <s v="Low"/>
    <s v="Health"/>
  </r>
  <r>
    <s v="GM-00626"/>
    <s v="Burundi"/>
    <x v="2"/>
    <x v="4"/>
    <x v="1"/>
    <s v="Population, total"/>
    <s v="Demographics"/>
    <s v="SDG 11: Sustainable Cities and Communities"/>
    <n v="3529983"/>
    <s v="People"/>
    <s v="Burundi|1972"/>
    <s v="Gapminder/Plotly country-year extract reshaped to long indicator format for education"/>
    <s v="OK"/>
    <s v="1970s"/>
    <s v="N/A"/>
    <s v="Demographics"/>
  </r>
  <r>
    <s v="GM-00627"/>
    <s v="Burundi"/>
    <x v="2"/>
    <x v="4"/>
    <x v="2"/>
    <s v="GDP per capita"/>
    <s v="Economy"/>
    <s v="SDG 8: Decent Work and Economic Growth"/>
    <n v="464.0995039"/>
    <s v="Source-defined international dollars"/>
    <s v="Burundi|1972"/>
    <s v="Gapminder/Plotly country-year extract reshaped to long indicator format for education"/>
    <s v="OK"/>
    <s v="1970s"/>
    <s v="N/A"/>
    <s v="Economy"/>
  </r>
  <r>
    <s v="GM-00628"/>
    <s v="Burundi"/>
    <x v="2"/>
    <x v="5"/>
    <x v="0"/>
    <s v="Life expectancy at birth"/>
    <s v="Health"/>
    <s v="SDG 3: Good Health and Well-being"/>
    <n v="45.91"/>
    <s v="Years"/>
    <s v="Burundi|1977"/>
    <s v="Gapminder/Plotly country-year extract reshaped to long indicator format for education"/>
    <s v="OK"/>
    <s v="1970s"/>
    <s v="Low"/>
    <s v="Health"/>
  </r>
  <r>
    <s v="GM-00629"/>
    <s v="Burundi"/>
    <x v="2"/>
    <x v="5"/>
    <x v="1"/>
    <s v="Population, total"/>
    <s v="Demographics"/>
    <s v="SDG 11: Sustainable Cities and Communities"/>
    <n v="3834415"/>
    <s v="People"/>
    <s v="Burundi|1977"/>
    <s v="Gapminder/Plotly country-year extract reshaped to long indicator format for education"/>
    <s v="OK"/>
    <s v="1970s"/>
    <s v="N/A"/>
    <s v="Demographics"/>
  </r>
  <r>
    <s v="GM-00630"/>
    <s v="Burundi"/>
    <x v="2"/>
    <x v="5"/>
    <x v="2"/>
    <s v="GDP per capita"/>
    <s v="Economy"/>
    <s v="SDG 8: Decent Work and Economic Growth"/>
    <n v="556.10326510000004"/>
    <s v="Source-defined international dollars"/>
    <s v="Burundi|1977"/>
    <s v="Gapminder/Plotly country-year extract reshaped to long indicator format for education"/>
    <s v="OK"/>
    <s v="1970s"/>
    <s v="N/A"/>
    <s v="Economy"/>
  </r>
  <r>
    <s v="GM-00631"/>
    <s v="Burundi"/>
    <x v="2"/>
    <x v="6"/>
    <x v="0"/>
    <s v="Life expectancy at birth"/>
    <s v="Health"/>
    <s v="SDG 3: Good Health and Well-being"/>
    <n v="47.470999999999997"/>
    <s v="Years"/>
    <s v="Burundi|1982"/>
    <s v="Gapminder/Plotly country-year extract reshaped to long indicator format for education"/>
    <s v="OK"/>
    <s v="1980s"/>
    <s v="Low"/>
    <s v="Health"/>
  </r>
  <r>
    <s v="GM-00632"/>
    <s v="Burundi"/>
    <x v="2"/>
    <x v="6"/>
    <x v="1"/>
    <s v="Population, total"/>
    <s v="Demographics"/>
    <s v="SDG 11: Sustainable Cities and Communities"/>
    <n v="4580410"/>
    <s v="People"/>
    <s v="Burundi|1982"/>
    <s v="Gapminder/Plotly country-year extract reshaped to long indicator format for education"/>
    <s v="OK"/>
    <s v="1980s"/>
    <s v="N/A"/>
    <s v="Demographics"/>
  </r>
  <r>
    <s v="GM-00633"/>
    <s v="Burundi"/>
    <x v="2"/>
    <x v="6"/>
    <x v="2"/>
    <s v="GDP per capita"/>
    <s v="Economy"/>
    <s v="SDG 8: Decent Work and Economic Growth"/>
    <n v="559.60323099999903"/>
    <s v="Source-defined international dollars"/>
    <s v="Burundi|1982"/>
    <s v="Gapminder/Plotly country-year extract reshaped to long indicator format for education"/>
    <s v="OK"/>
    <s v="1980s"/>
    <s v="N/A"/>
    <s v="Economy"/>
  </r>
  <r>
    <s v="GM-00634"/>
    <s v="Burundi"/>
    <x v="2"/>
    <x v="7"/>
    <x v="0"/>
    <s v="Life expectancy at birth"/>
    <s v="Health"/>
    <s v="SDG 3: Good Health and Well-being"/>
    <n v="48.210999999999999"/>
    <s v="Years"/>
    <s v="Burundi|1987"/>
    <s v="Gapminder/Plotly country-year extract reshaped to long indicator format for education"/>
    <s v="OK"/>
    <s v="1980s"/>
    <s v="Low"/>
    <s v="Health"/>
  </r>
  <r>
    <s v="GM-00635"/>
    <s v="Burundi"/>
    <x v="2"/>
    <x v="7"/>
    <x v="1"/>
    <s v="Population, total"/>
    <s v="Demographics"/>
    <s v="SDG 11: Sustainable Cities and Communities"/>
    <n v="5126023"/>
    <s v="People"/>
    <s v="Burundi|1987"/>
    <s v="Gapminder/Plotly country-year extract reshaped to long indicator format for education"/>
    <s v="OK"/>
    <s v="1980s"/>
    <s v="N/A"/>
    <s v="Demographics"/>
  </r>
  <r>
    <s v="GM-00636"/>
    <s v="Burundi"/>
    <x v="2"/>
    <x v="7"/>
    <x v="2"/>
    <s v="GDP per capita"/>
    <s v="Economy"/>
    <s v="SDG 8: Decent Work and Economic Growth"/>
    <n v="621.81881889999897"/>
    <s v="Source-defined international dollars"/>
    <s v="Burundi|1987"/>
    <s v="Gapminder/Plotly country-year extract reshaped to long indicator format for education"/>
    <s v="OK"/>
    <s v="1980s"/>
    <s v="N/A"/>
    <s v="Economy"/>
  </r>
  <r>
    <s v="GM-00637"/>
    <s v="Burundi"/>
    <x v="2"/>
    <x v="8"/>
    <x v="0"/>
    <s v="Life expectancy at birth"/>
    <s v="Health"/>
    <s v="SDG 3: Good Health and Well-being"/>
    <n v="44.735999999999997"/>
    <s v="Years"/>
    <s v="Burundi|1992"/>
    <s v="Gapminder/Plotly country-year extract reshaped to long indicator format for education"/>
    <s v="OK"/>
    <s v="1990s"/>
    <s v="Low"/>
    <s v="Health"/>
  </r>
  <r>
    <s v="GM-00638"/>
    <s v="Burundi"/>
    <x v="2"/>
    <x v="8"/>
    <x v="1"/>
    <s v="Population, total"/>
    <s v="Demographics"/>
    <s v="SDG 11: Sustainable Cities and Communities"/>
    <n v="5809236"/>
    <s v="People"/>
    <s v="Burundi|1992"/>
    <s v="Gapminder/Plotly country-year extract reshaped to long indicator format for education"/>
    <s v="OK"/>
    <s v="1990s"/>
    <s v="N/A"/>
    <s v="Demographics"/>
  </r>
  <r>
    <s v="GM-00639"/>
    <s v="Burundi"/>
    <x v="2"/>
    <x v="8"/>
    <x v="2"/>
    <s v="GDP per capita"/>
    <s v="Economy"/>
    <s v="SDG 8: Decent Work and Economic Growth"/>
    <n v="631.69987779999997"/>
    <s v="Source-defined international dollars"/>
    <s v="Burundi|1992"/>
    <s v="Gapminder/Plotly country-year extract reshaped to long indicator format for education"/>
    <s v="OK"/>
    <s v="1990s"/>
    <s v="N/A"/>
    <s v="Economy"/>
  </r>
  <r>
    <s v="GM-00640"/>
    <s v="Burundi"/>
    <x v="2"/>
    <x v="9"/>
    <x v="0"/>
    <s v="Life expectancy at birth"/>
    <s v="Health"/>
    <s v="SDG 3: Good Health and Well-being"/>
    <n v="45.326000000000001"/>
    <s v="Years"/>
    <s v="Burundi|1997"/>
    <s v="Gapminder/Plotly country-year extract reshaped to long indicator format for education"/>
    <s v="OK"/>
    <s v="1990s"/>
    <s v="Low"/>
    <s v="Health"/>
  </r>
  <r>
    <s v="GM-00641"/>
    <s v="Burundi"/>
    <x v="2"/>
    <x v="9"/>
    <x v="1"/>
    <s v="Population, total"/>
    <s v="Demographics"/>
    <s v="SDG 11: Sustainable Cities and Communities"/>
    <n v="6121610"/>
    <s v="People"/>
    <s v="Burundi|1997"/>
    <s v="Gapminder/Plotly country-year extract reshaped to long indicator format for education"/>
    <s v="OK"/>
    <s v="1990s"/>
    <s v="N/A"/>
    <s v="Demographics"/>
  </r>
  <r>
    <s v="GM-00642"/>
    <s v="Burundi"/>
    <x v="2"/>
    <x v="9"/>
    <x v="2"/>
    <s v="GDP per capita"/>
    <s v="Economy"/>
    <s v="SDG 8: Decent Work and Economic Growth"/>
    <n v="463.11514779999999"/>
    <s v="Source-defined international dollars"/>
    <s v="Burundi|1997"/>
    <s v="Gapminder/Plotly country-year extract reshaped to long indicator format for education"/>
    <s v="OK"/>
    <s v="1990s"/>
    <s v="N/A"/>
    <s v="Economy"/>
  </r>
  <r>
    <s v="GM-00643"/>
    <s v="Burundi"/>
    <x v="2"/>
    <x v="10"/>
    <x v="0"/>
    <s v="Life expectancy at birth"/>
    <s v="Health"/>
    <s v="SDG 3: Good Health and Well-being"/>
    <n v="47.36"/>
    <s v="Years"/>
    <s v="Burundi|2002"/>
    <s v="Gapminder/Plotly country-year extract reshaped to long indicator format for education"/>
    <s v="OK"/>
    <s v="2000s"/>
    <s v="Low"/>
    <s v="Health"/>
  </r>
  <r>
    <s v="GM-00644"/>
    <s v="Burundi"/>
    <x v="2"/>
    <x v="10"/>
    <x v="1"/>
    <s v="Population, total"/>
    <s v="Demographics"/>
    <s v="SDG 11: Sustainable Cities and Communities"/>
    <n v="7021078"/>
    <s v="People"/>
    <s v="Burundi|2002"/>
    <s v="Gapminder/Plotly country-year extract reshaped to long indicator format for education"/>
    <s v="OK"/>
    <s v="2000s"/>
    <s v="N/A"/>
    <s v="Demographics"/>
  </r>
  <r>
    <s v="GM-00645"/>
    <s v="Burundi"/>
    <x v="2"/>
    <x v="10"/>
    <x v="2"/>
    <s v="GDP per capita"/>
    <s v="Economy"/>
    <s v="SDG 8: Decent Work and Economic Growth"/>
    <n v="446.4035126"/>
    <s v="Source-defined international dollars"/>
    <s v="Burundi|2002"/>
    <s v="Gapminder/Plotly country-year extract reshaped to long indicator format for education"/>
    <s v="OK"/>
    <s v="2000s"/>
    <s v="N/A"/>
    <s v="Economy"/>
  </r>
  <r>
    <s v="GM-00646"/>
    <s v="Burundi"/>
    <x v="2"/>
    <x v="11"/>
    <x v="0"/>
    <s v="Life expectancy at birth"/>
    <s v="Health"/>
    <s v="SDG 3: Good Health and Well-being"/>
    <n v="49.58"/>
    <s v="Years"/>
    <s v="Burundi|2007"/>
    <s v="Gapminder/Plotly country-year extract reshaped to long indicator format for education"/>
    <s v="OK"/>
    <s v="2000s"/>
    <s v="Low"/>
    <s v="Health"/>
  </r>
  <r>
    <s v="GM-00647"/>
    <s v="Burundi"/>
    <x v="2"/>
    <x v="11"/>
    <x v="1"/>
    <s v="Population, total"/>
    <s v="Demographics"/>
    <s v="SDG 11: Sustainable Cities and Communities"/>
    <n v="8390505"/>
    <s v="People"/>
    <s v="Burundi|2007"/>
    <s v="Gapminder/Plotly country-year extract reshaped to long indicator format for education"/>
    <s v="OK"/>
    <s v="2000s"/>
    <s v="N/A"/>
    <s v="Demographics"/>
  </r>
  <r>
    <s v="GM-00648"/>
    <s v="Burundi"/>
    <x v="2"/>
    <x v="11"/>
    <x v="2"/>
    <s v="GDP per capita"/>
    <s v="Economy"/>
    <s v="SDG 8: Decent Work and Economic Growth"/>
    <n v="430.07069159999998"/>
    <s v="Source-defined international dollars"/>
    <s v="Burundi|2007"/>
    <s v="Gapminder/Plotly country-year extract reshaped to long indicator format for education"/>
    <s v="OK"/>
    <s v="2000s"/>
    <s v="N/A"/>
    <s v="Economy"/>
  </r>
  <r>
    <s v="GM-00649"/>
    <s v="Cambodia"/>
    <x v="0"/>
    <x v="0"/>
    <x v="0"/>
    <s v="Life expectancy at birth"/>
    <s v="Health"/>
    <s v="SDG 3: Good Health and Well-being"/>
    <n v="39.417000000000002"/>
    <s v="Years"/>
    <s v="Cambodia|1952"/>
    <s v="Gapminder/Plotly country-year extract reshaped to long indicator format for education"/>
    <s v="OK"/>
    <s v="1950s"/>
    <s v="Low"/>
    <s v="Health"/>
  </r>
  <r>
    <s v="GM-00650"/>
    <s v="Cambodia"/>
    <x v="0"/>
    <x v="0"/>
    <x v="1"/>
    <s v="Population, total"/>
    <s v="Demographics"/>
    <s v="SDG 11: Sustainable Cities and Communities"/>
    <n v="4693836"/>
    <s v="People"/>
    <s v="Cambodia|1952"/>
    <s v="Gapminder/Plotly country-year extract reshaped to long indicator format for education"/>
    <s v="OK"/>
    <s v="1950s"/>
    <s v="N/A"/>
    <s v="Demographics"/>
  </r>
  <r>
    <s v="GM-00651"/>
    <s v="Cambodia"/>
    <x v="0"/>
    <x v="0"/>
    <x v="2"/>
    <s v="GDP per capita"/>
    <s v="Economy"/>
    <s v="SDG 8: Decent Work and Economic Growth"/>
    <n v="368.46928559999998"/>
    <s v="Source-defined international dollars"/>
    <s v="Cambodia|1952"/>
    <s v="Gapminder/Plotly country-year extract reshaped to long indicator format for education"/>
    <s v="OK"/>
    <s v="1950s"/>
    <s v="N/A"/>
    <s v="Economy"/>
  </r>
  <r>
    <s v="GM-00652"/>
    <s v="Cambodia"/>
    <x v="0"/>
    <x v="1"/>
    <x v="0"/>
    <s v="Life expectancy at birth"/>
    <s v="Health"/>
    <s v="SDG 3: Good Health and Well-being"/>
    <n v="41.366"/>
    <s v="Years"/>
    <s v="Cambodia|1957"/>
    <s v="Gapminder/Plotly country-year extract reshaped to long indicator format for education"/>
    <s v="OK"/>
    <s v="1950s"/>
    <s v="Low"/>
    <s v="Health"/>
  </r>
  <r>
    <s v="GM-00653"/>
    <s v="Cambodia"/>
    <x v="0"/>
    <x v="1"/>
    <x v="1"/>
    <s v="Population, total"/>
    <s v="Demographics"/>
    <s v="SDG 11: Sustainable Cities and Communities"/>
    <n v="5322536"/>
    <s v="People"/>
    <s v="Cambodia|1957"/>
    <s v="Gapminder/Plotly country-year extract reshaped to long indicator format for education"/>
    <s v="OK"/>
    <s v="1950s"/>
    <s v="N/A"/>
    <s v="Demographics"/>
  </r>
  <r>
    <s v="GM-00654"/>
    <s v="Cambodia"/>
    <x v="0"/>
    <x v="1"/>
    <x v="2"/>
    <s v="GDP per capita"/>
    <s v="Economy"/>
    <s v="SDG 8: Decent Work and Economic Growth"/>
    <n v="434.03833639999999"/>
    <s v="Source-defined international dollars"/>
    <s v="Cambodia|1957"/>
    <s v="Gapminder/Plotly country-year extract reshaped to long indicator format for education"/>
    <s v="OK"/>
    <s v="1950s"/>
    <s v="N/A"/>
    <s v="Economy"/>
  </r>
  <r>
    <s v="GM-00655"/>
    <s v="Cambodia"/>
    <x v="0"/>
    <x v="2"/>
    <x v="0"/>
    <s v="Life expectancy at birth"/>
    <s v="Health"/>
    <s v="SDG 3: Good Health and Well-being"/>
    <n v="43.414999999999999"/>
    <s v="Years"/>
    <s v="Cambodia|1962"/>
    <s v="Gapminder/Plotly country-year extract reshaped to long indicator format for education"/>
    <s v="OK"/>
    <s v="1960s"/>
    <s v="Low"/>
    <s v="Health"/>
  </r>
  <r>
    <s v="GM-00656"/>
    <s v="Cambodia"/>
    <x v="0"/>
    <x v="2"/>
    <x v="1"/>
    <s v="Population, total"/>
    <s v="Demographics"/>
    <s v="SDG 11: Sustainable Cities and Communities"/>
    <n v="6083619"/>
    <s v="People"/>
    <s v="Cambodia|1962"/>
    <s v="Gapminder/Plotly country-year extract reshaped to long indicator format for education"/>
    <s v="OK"/>
    <s v="1960s"/>
    <s v="N/A"/>
    <s v="Demographics"/>
  </r>
  <r>
    <s v="GM-00657"/>
    <s v="Cambodia"/>
    <x v="0"/>
    <x v="2"/>
    <x v="2"/>
    <s v="GDP per capita"/>
    <s v="Economy"/>
    <s v="SDG 8: Decent Work and Economic Growth"/>
    <n v="496.91364759999999"/>
    <s v="Source-defined international dollars"/>
    <s v="Cambodia|1962"/>
    <s v="Gapminder/Plotly country-year extract reshaped to long indicator format for education"/>
    <s v="OK"/>
    <s v="1960s"/>
    <s v="N/A"/>
    <s v="Economy"/>
  </r>
  <r>
    <s v="GM-00658"/>
    <s v="Cambodia"/>
    <x v="0"/>
    <x v="3"/>
    <x v="0"/>
    <s v="Life expectancy at birth"/>
    <s v="Health"/>
    <s v="SDG 3: Good Health and Well-being"/>
    <n v="45.414999999999999"/>
    <s v="Years"/>
    <s v="Cambodia|1967"/>
    <s v="Gapminder/Plotly country-year extract reshaped to long indicator format for education"/>
    <s v="OK"/>
    <s v="1960s"/>
    <s v="Low"/>
    <s v="Health"/>
  </r>
  <r>
    <s v="GM-00659"/>
    <s v="Cambodia"/>
    <x v="0"/>
    <x v="3"/>
    <x v="1"/>
    <s v="Population, total"/>
    <s v="Demographics"/>
    <s v="SDG 11: Sustainable Cities and Communities"/>
    <n v="6960067"/>
    <s v="People"/>
    <s v="Cambodia|1967"/>
    <s v="Gapminder/Plotly country-year extract reshaped to long indicator format for education"/>
    <s v="OK"/>
    <s v="1960s"/>
    <s v="N/A"/>
    <s v="Demographics"/>
  </r>
  <r>
    <s v="GM-00660"/>
    <s v="Cambodia"/>
    <x v="0"/>
    <x v="3"/>
    <x v="2"/>
    <s v="GDP per capita"/>
    <s v="Economy"/>
    <s v="SDG 8: Decent Work and Economic Growth"/>
    <n v="523.43231419999995"/>
    <s v="Source-defined international dollars"/>
    <s v="Cambodia|1967"/>
    <s v="Gapminder/Plotly country-year extract reshaped to long indicator format for education"/>
    <s v="OK"/>
    <s v="1960s"/>
    <s v="N/A"/>
    <s v="Economy"/>
  </r>
  <r>
    <s v="GM-00661"/>
    <s v="Cambodia"/>
    <x v="0"/>
    <x v="4"/>
    <x v="0"/>
    <s v="Life expectancy at birth"/>
    <s v="Health"/>
    <s v="SDG 3: Good Health and Well-being"/>
    <n v="40.317"/>
    <s v="Years"/>
    <s v="Cambodia|1972"/>
    <s v="Gapminder/Plotly country-year extract reshaped to long indicator format for education"/>
    <s v="OK"/>
    <s v="1970s"/>
    <s v="Low"/>
    <s v="Health"/>
  </r>
  <r>
    <s v="GM-00662"/>
    <s v="Cambodia"/>
    <x v="0"/>
    <x v="4"/>
    <x v="1"/>
    <s v="Population, total"/>
    <s v="Demographics"/>
    <s v="SDG 11: Sustainable Cities and Communities"/>
    <n v="7450606"/>
    <s v="People"/>
    <s v="Cambodia|1972"/>
    <s v="Gapminder/Plotly country-year extract reshaped to long indicator format for education"/>
    <s v="OK"/>
    <s v="1970s"/>
    <s v="N/A"/>
    <s v="Demographics"/>
  </r>
  <r>
    <s v="GM-00663"/>
    <s v="Cambodia"/>
    <x v="0"/>
    <x v="4"/>
    <x v="2"/>
    <s v="GDP per capita"/>
    <s v="Economy"/>
    <s v="SDG 8: Decent Work and Economic Growth"/>
    <n v="421.6240257"/>
    <s v="Source-defined international dollars"/>
    <s v="Cambodia|1972"/>
    <s v="Gapminder/Plotly country-year extract reshaped to long indicator format for education"/>
    <s v="OK"/>
    <s v="1970s"/>
    <s v="N/A"/>
    <s v="Economy"/>
  </r>
  <r>
    <s v="GM-00664"/>
    <s v="Cambodia"/>
    <x v="0"/>
    <x v="5"/>
    <x v="0"/>
    <s v="Life expectancy at birth"/>
    <s v="Health"/>
    <s v="SDG 3: Good Health and Well-being"/>
    <n v="31.22"/>
    <s v="Years"/>
    <s v="Cambodia|1977"/>
    <s v="Gapminder/Plotly country-year extract reshaped to long indicator format for education"/>
    <s v="OK"/>
    <s v="1970s"/>
    <s v="Low"/>
    <s v="Health"/>
  </r>
  <r>
    <s v="GM-00665"/>
    <s v="Cambodia"/>
    <x v="0"/>
    <x v="5"/>
    <x v="1"/>
    <s v="Population, total"/>
    <s v="Demographics"/>
    <s v="SDG 11: Sustainable Cities and Communities"/>
    <n v="6978607"/>
    <s v="People"/>
    <s v="Cambodia|1977"/>
    <s v="Gapminder/Plotly country-year extract reshaped to long indicator format for education"/>
    <s v="OK"/>
    <s v="1970s"/>
    <s v="N/A"/>
    <s v="Demographics"/>
  </r>
  <r>
    <s v="GM-00666"/>
    <s v="Cambodia"/>
    <x v="0"/>
    <x v="5"/>
    <x v="2"/>
    <s v="GDP per capita"/>
    <s v="Economy"/>
    <s v="SDG 8: Decent Work and Economic Growth"/>
    <n v="524.97218319999899"/>
    <s v="Source-defined international dollars"/>
    <s v="Cambodia|1977"/>
    <s v="Gapminder/Plotly country-year extract reshaped to long indicator format for education"/>
    <s v="OK"/>
    <s v="1970s"/>
    <s v="N/A"/>
    <s v="Economy"/>
  </r>
  <r>
    <s v="GM-00667"/>
    <s v="Cambodia"/>
    <x v="0"/>
    <x v="6"/>
    <x v="0"/>
    <s v="Life expectancy at birth"/>
    <s v="Health"/>
    <s v="SDG 3: Good Health and Well-being"/>
    <n v="50.957000000000001"/>
    <s v="Years"/>
    <s v="Cambodia|1982"/>
    <s v="Gapminder/Plotly country-year extract reshaped to long indicator format for education"/>
    <s v="OK"/>
    <s v="1980s"/>
    <s v="Low"/>
    <s v="Health"/>
  </r>
  <r>
    <s v="GM-00668"/>
    <s v="Cambodia"/>
    <x v="0"/>
    <x v="6"/>
    <x v="1"/>
    <s v="Population, total"/>
    <s v="Demographics"/>
    <s v="SDG 11: Sustainable Cities and Communities"/>
    <n v="7272485"/>
    <s v="People"/>
    <s v="Cambodia|1982"/>
    <s v="Gapminder/Plotly country-year extract reshaped to long indicator format for education"/>
    <s v="OK"/>
    <s v="1980s"/>
    <s v="N/A"/>
    <s v="Demographics"/>
  </r>
  <r>
    <s v="GM-00669"/>
    <s v="Cambodia"/>
    <x v="0"/>
    <x v="6"/>
    <x v="2"/>
    <s v="GDP per capita"/>
    <s v="Economy"/>
    <s v="SDG 8: Decent Work and Economic Growth"/>
    <n v="624.47547840000004"/>
    <s v="Source-defined international dollars"/>
    <s v="Cambodia|1982"/>
    <s v="Gapminder/Plotly country-year extract reshaped to long indicator format for education"/>
    <s v="OK"/>
    <s v="1980s"/>
    <s v="N/A"/>
    <s v="Economy"/>
  </r>
  <r>
    <s v="GM-00670"/>
    <s v="Cambodia"/>
    <x v="0"/>
    <x v="7"/>
    <x v="0"/>
    <s v="Life expectancy at birth"/>
    <s v="Health"/>
    <s v="SDG 3: Good Health and Well-being"/>
    <n v="53.914000000000001"/>
    <s v="Years"/>
    <s v="Cambodia|1987"/>
    <s v="Gapminder/Plotly country-year extract reshaped to long indicator format for education"/>
    <s v="OK"/>
    <s v="1980s"/>
    <s v="Low"/>
    <s v="Health"/>
  </r>
  <r>
    <s v="GM-00671"/>
    <s v="Cambodia"/>
    <x v="0"/>
    <x v="7"/>
    <x v="1"/>
    <s v="Population, total"/>
    <s v="Demographics"/>
    <s v="SDG 11: Sustainable Cities and Communities"/>
    <n v="8371791"/>
    <s v="People"/>
    <s v="Cambodia|1987"/>
    <s v="Gapminder/Plotly country-year extract reshaped to long indicator format for education"/>
    <s v="OK"/>
    <s v="1980s"/>
    <s v="N/A"/>
    <s v="Demographics"/>
  </r>
  <r>
    <s v="GM-00672"/>
    <s v="Cambodia"/>
    <x v="0"/>
    <x v="7"/>
    <x v="2"/>
    <s v="GDP per capita"/>
    <s v="Economy"/>
    <s v="SDG 8: Decent Work and Economic Growth"/>
    <n v="683.89557319999994"/>
    <s v="Source-defined international dollars"/>
    <s v="Cambodia|1987"/>
    <s v="Gapminder/Plotly country-year extract reshaped to long indicator format for education"/>
    <s v="OK"/>
    <s v="1980s"/>
    <s v="N/A"/>
    <s v="Economy"/>
  </r>
  <r>
    <s v="GM-00673"/>
    <s v="Cambodia"/>
    <x v="0"/>
    <x v="8"/>
    <x v="0"/>
    <s v="Life expectancy at birth"/>
    <s v="Health"/>
    <s v="SDG 3: Good Health and Well-being"/>
    <n v="55.802999999999997"/>
    <s v="Years"/>
    <s v="Cambodia|1992"/>
    <s v="Gapminder/Plotly country-year extract reshaped to long indicator format for education"/>
    <s v="OK"/>
    <s v="1990s"/>
    <s v="Medium"/>
    <s v="Health"/>
  </r>
  <r>
    <s v="GM-00674"/>
    <s v="Cambodia"/>
    <x v="0"/>
    <x v="8"/>
    <x v="1"/>
    <s v="Population, total"/>
    <s v="Demographics"/>
    <s v="SDG 11: Sustainable Cities and Communities"/>
    <n v="10150094"/>
    <s v="People"/>
    <s v="Cambodia|1992"/>
    <s v="Gapminder/Plotly country-year extract reshaped to long indicator format for education"/>
    <s v="OK"/>
    <s v="1990s"/>
    <s v="N/A"/>
    <s v="Demographics"/>
  </r>
  <r>
    <s v="GM-00675"/>
    <s v="Cambodia"/>
    <x v="0"/>
    <x v="8"/>
    <x v="2"/>
    <s v="GDP per capita"/>
    <s v="Economy"/>
    <s v="SDG 8: Decent Work and Economic Growth"/>
    <n v="682.30317549999995"/>
    <s v="Source-defined international dollars"/>
    <s v="Cambodia|1992"/>
    <s v="Gapminder/Plotly country-year extract reshaped to long indicator format for education"/>
    <s v="OK"/>
    <s v="1990s"/>
    <s v="N/A"/>
    <s v="Economy"/>
  </r>
  <r>
    <s v="GM-00676"/>
    <s v="Cambodia"/>
    <x v="0"/>
    <x v="9"/>
    <x v="0"/>
    <s v="Life expectancy at birth"/>
    <s v="Health"/>
    <s v="SDG 3: Good Health and Well-being"/>
    <n v="56.533999999999999"/>
    <s v="Years"/>
    <s v="Cambodia|1997"/>
    <s v="Gapminder/Plotly country-year extract reshaped to long indicator format for education"/>
    <s v="OK"/>
    <s v="1990s"/>
    <s v="Medium"/>
    <s v="Health"/>
  </r>
  <r>
    <s v="GM-00677"/>
    <s v="Cambodia"/>
    <x v="0"/>
    <x v="9"/>
    <x v="1"/>
    <s v="Population, total"/>
    <s v="Demographics"/>
    <s v="SDG 11: Sustainable Cities and Communities"/>
    <n v="11782962"/>
    <s v="People"/>
    <s v="Cambodia|1997"/>
    <s v="Gapminder/Plotly country-year extract reshaped to long indicator format for education"/>
    <s v="OK"/>
    <s v="1990s"/>
    <s v="N/A"/>
    <s v="Demographics"/>
  </r>
  <r>
    <s v="GM-00678"/>
    <s v="Cambodia"/>
    <x v="0"/>
    <x v="9"/>
    <x v="2"/>
    <s v="GDP per capita"/>
    <s v="Economy"/>
    <s v="SDG 8: Decent Work and Economic Growth"/>
    <n v="734.28516999999999"/>
    <s v="Source-defined international dollars"/>
    <s v="Cambodia|1997"/>
    <s v="Gapminder/Plotly country-year extract reshaped to long indicator format for education"/>
    <s v="OK"/>
    <s v="1990s"/>
    <s v="N/A"/>
    <s v="Economy"/>
  </r>
  <r>
    <s v="GM-00679"/>
    <s v="Cambodia"/>
    <x v="0"/>
    <x v="10"/>
    <x v="0"/>
    <s v="Life expectancy at birth"/>
    <s v="Health"/>
    <s v="SDG 3: Good Health and Well-being"/>
    <n v="56.752000000000002"/>
    <s v="Years"/>
    <s v="Cambodia|2002"/>
    <s v="Gapminder/Plotly country-year extract reshaped to long indicator format for education"/>
    <s v="OK"/>
    <s v="2000s"/>
    <s v="Medium"/>
    <s v="Health"/>
  </r>
  <r>
    <s v="GM-00680"/>
    <s v="Cambodia"/>
    <x v="0"/>
    <x v="10"/>
    <x v="1"/>
    <s v="Population, total"/>
    <s v="Demographics"/>
    <s v="SDG 11: Sustainable Cities and Communities"/>
    <n v="12926707"/>
    <s v="People"/>
    <s v="Cambodia|2002"/>
    <s v="Gapminder/Plotly country-year extract reshaped to long indicator format for education"/>
    <s v="OK"/>
    <s v="2000s"/>
    <s v="N/A"/>
    <s v="Demographics"/>
  </r>
  <r>
    <s v="GM-00681"/>
    <s v="Cambodia"/>
    <x v="0"/>
    <x v="10"/>
    <x v="2"/>
    <s v="GDP per capita"/>
    <s v="Economy"/>
    <s v="SDG 8: Decent Work and Economic Growth"/>
    <n v="896.22601529999895"/>
    <s v="Source-defined international dollars"/>
    <s v="Cambodia|2002"/>
    <s v="Gapminder/Plotly country-year extract reshaped to long indicator format for education"/>
    <s v="OK"/>
    <s v="2000s"/>
    <s v="N/A"/>
    <s v="Economy"/>
  </r>
  <r>
    <s v="GM-00682"/>
    <s v="Cambodia"/>
    <x v="0"/>
    <x v="11"/>
    <x v="0"/>
    <s v="Life expectancy at birth"/>
    <s v="Health"/>
    <s v="SDG 3: Good Health and Well-being"/>
    <n v="59.722999999999999"/>
    <s v="Years"/>
    <s v="Cambodia|2007"/>
    <s v="Gapminder/Plotly country-year extract reshaped to long indicator format for education"/>
    <s v="OK"/>
    <s v="2000s"/>
    <s v="Medium"/>
    <s v="Health"/>
  </r>
  <r>
    <s v="GM-00683"/>
    <s v="Cambodia"/>
    <x v="0"/>
    <x v="11"/>
    <x v="1"/>
    <s v="Population, total"/>
    <s v="Demographics"/>
    <s v="SDG 11: Sustainable Cities and Communities"/>
    <n v="14131858"/>
    <s v="People"/>
    <s v="Cambodia|2007"/>
    <s v="Gapminder/Plotly country-year extract reshaped to long indicator format for education"/>
    <s v="OK"/>
    <s v="2000s"/>
    <s v="N/A"/>
    <s v="Demographics"/>
  </r>
  <r>
    <s v="GM-00684"/>
    <s v="Cambodia"/>
    <x v="0"/>
    <x v="11"/>
    <x v="2"/>
    <s v="GDP per capita"/>
    <s v="Economy"/>
    <s v="SDG 8: Decent Work and Economic Growth"/>
    <n v="1713.7786860000001"/>
    <s v="Source-defined international dollars"/>
    <s v="Cambodia|2007"/>
    <s v="Gapminder/Plotly country-year extract reshaped to long indicator format for education"/>
    <s v="OK"/>
    <s v="2000s"/>
    <s v="N/A"/>
    <s v="Economy"/>
  </r>
  <r>
    <s v="GM-00685"/>
    <s v="Cameroon"/>
    <x v="2"/>
    <x v="0"/>
    <x v="0"/>
    <s v="Life expectancy at birth"/>
    <s v="Health"/>
    <s v="SDG 3: Good Health and Well-being"/>
    <n v="38.523000000000003"/>
    <s v="Years"/>
    <s v="Cameroon|1952"/>
    <s v="Gapminder/Plotly country-year extract reshaped to long indicator format for education"/>
    <s v="OK"/>
    <s v="1950s"/>
    <s v="Low"/>
    <s v="Health"/>
  </r>
  <r>
    <s v="GM-00686"/>
    <s v="Cameroon"/>
    <x v="2"/>
    <x v="0"/>
    <x v="1"/>
    <s v="Population, total"/>
    <s v="Demographics"/>
    <s v="SDG 11: Sustainable Cities and Communities"/>
    <n v="5009067"/>
    <s v="People"/>
    <s v="Cameroon|1952"/>
    <s v="Gapminder/Plotly country-year extract reshaped to long indicator format for education"/>
    <s v="OK"/>
    <s v="1950s"/>
    <s v="N/A"/>
    <s v="Demographics"/>
  </r>
  <r>
    <s v="GM-00687"/>
    <s v="Cameroon"/>
    <x v="2"/>
    <x v="0"/>
    <x v="2"/>
    <s v="GDP per capita"/>
    <s v="Economy"/>
    <s v="SDG 8: Decent Work and Economic Growth"/>
    <n v="1172.667655"/>
    <s v="Source-defined international dollars"/>
    <s v="Cameroon|1952"/>
    <s v="Gapminder/Plotly country-year extract reshaped to long indicator format for education"/>
    <s v="OK"/>
    <s v="1950s"/>
    <s v="N/A"/>
    <s v="Economy"/>
  </r>
  <r>
    <s v="GM-00688"/>
    <s v="Cameroon"/>
    <x v="2"/>
    <x v="1"/>
    <x v="0"/>
    <s v="Life expectancy at birth"/>
    <s v="Health"/>
    <s v="SDG 3: Good Health and Well-being"/>
    <n v="40.427999999999997"/>
    <s v="Years"/>
    <s v="Cameroon|1957"/>
    <s v="Gapminder/Plotly country-year extract reshaped to long indicator format for education"/>
    <s v="OK"/>
    <s v="1950s"/>
    <s v="Low"/>
    <s v="Health"/>
  </r>
  <r>
    <s v="GM-00689"/>
    <s v="Cameroon"/>
    <x v="2"/>
    <x v="1"/>
    <x v="1"/>
    <s v="Population, total"/>
    <s v="Demographics"/>
    <s v="SDG 11: Sustainable Cities and Communities"/>
    <n v="5359923"/>
    <s v="People"/>
    <s v="Cameroon|1957"/>
    <s v="Gapminder/Plotly country-year extract reshaped to long indicator format for education"/>
    <s v="OK"/>
    <s v="1950s"/>
    <s v="N/A"/>
    <s v="Demographics"/>
  </r>
  <r>
    <s v="GM-00690"/>
    <s v="Cameroon"/>
    <x v="2"/>
    <x v="1"/>
    <x v="2"/>
    <s v="GDP per capita"/>
    <s v="Economy"/>
    <s v="SDG 8: Decent Work and Economic Growth"/>
    <n v="1313.0480990000001"/>
    <s v="Source-defined international dollars"/>
    <s v="Cameroon|1957"/>
    <s v="Gapminder/Plotly country-year extract reshaped to long indicator format for education"/>
    <s v="OK"/>
    <s v="1950s"/>
    <s v="N/A"/>
    <s v="Economy"/>
  </r>
  <r>
    <s v="GM-00691"/>
    <s v="Cameroon"/>
    <x v="2"/>
    <x v="2"/>
    <x v="0"/>
    <s v="Life expectancy at birth"/>
    <s v="Health"/>
    <s v="SDG 3: Good Health and Well-being"/>
    <n v="42.643000000000001"/>
    <s v="Years"/>
    <s v="Cameroon|1962"/>
    <s v="Gapminder/Plotly country-year extract reshaped to long indicator format for education"/>
    <s v="OK"/>
    <s v="1960s"/>
    <s v="Low"/>
    <s v="Health"/>
  </r>
  <r>
    <s v="GM-00692"/>
    <s v="Cameroon"/>
    <x v="2"/>
    <x v="2"/>
    <x v="1"/>
    <s v="Population, total"/>
    <s v="Demographics"/>
    <s v="SDG 11: Sustainable Cities and Communities"/>
    <n v="5793633"/>
    <s v="People"/>
    <s v="Cameroon|1962"/>
    <s v="Gapminder/Plotly country-year extract reshaped to long indicator format for education"/>
    <s v="OK"/>
    <s v="1960s"/>
    <s v="N/A"/>
    <s v="Demographics"/>
  </r>
  <r>
    <s v="GM-00693"/>
    <s v="Cameroon"/>
    <x v="2"/>
    <x v="2"/>
    <x v="2"/>
    <s v="GDP per capita"/>
    <s v="Economy"/>
    <s v="SDG 8: Decent Work and Economic Growth"/>
    <n v="1399.6074410000001"/>
    <s v="Source-defined international dollars"/>
    <s v="Cameroon|1962"/>
    <s v="Gapminder/Plotly country-year extract reshaped to long indicator format for education"/>
    <s v="OK"/>
    <s v="1960s"/>
    <s v="N/A"/>
    <s v="Economy"/>
  </r>
  <r>
    <s v="GM-00694"/>
    <s v="Cameroon"/>
    <x v="2"/>
    <x v="3"/>
    <x v="0"/>
    <s v="Life expectancy at birth"/>
    <s v="Health"/>
    <s v="SDG 3: Good Health and Well-being"/>
    <n v="44.798999999999999"/>
    <s v="Years"/>
    <s v="Cameroon|1967"/>
    <s v="Gapminder/Plotly country-year extract reshaped to long indicator format for education"/>
    <s v="OK"/>
    <s v="1960s"/>
    <s v="Low"/>
    <s v="Health"/>
  </r>
  <r>
    <s v="GM-00695"/>
    <s v="Cameroon"/>
    <x v="2"/>
    <x v="3"/>
    <x v="1"/>
    <s v="Population, total"/>
    <s v="Demographics"/>
    <s v="SDG 11: Sustainable Cities and Communities"/>
    <n v="6335506"/>
    <s v="People"/>
    <s v="Cameroon|1967"/>
    <s v="Gapminder/Plotly country-year extract reshaped to long indicator format for education"/>
    <s v="OK"/>
    <s v="1960s"/>
    <s v="N/A"/>
    <s v="Demographics"/>
  </r>
  <r>
    <s v="GM-00696"/>
    <s v="Cameroon"/>
    <x v="2"/>
    <x v="3"/>
    <x v="2"/>
    <s v="GDP per capita"/>
    <s v="Economy"/>
    <s v="SDG 8: Decent Work and Economic Growth"/>
    <n v="1508.4531480000001"/>
    <s v="Source-defined international dollars"/>
    <s v="Cameroon|1967"/>
    <s v="Gapminder/Plotly country-year extract reshaped to long indicator format for education"/>
    <s v="OK"/>
    <s v="1960s"/>
    <s v="N/A"/>
    <s v="Economy"/>
  </r>
  <r>
    <s v="GM-00697"/>
    <s v="Cameroon"/>
    <x v="2"/>
    <x v="4"/>
    <x v="0"/>
    <s v="Life expectancy at birth"/>
    <s v="Health"/>
    <s v="SDG 3: Good Health and Well-being"/>
    <n v="47.048999999999999"/>
    <s v="Years"/>
    <s v="Cameroon|1972"/>
    <s v="Gapminder/Plotly country-year extract reshaped to long indicator format for education"/>
    <s v="OK"/>
    <s v="1970s"/>
    <s v="Low"/>
    <s v="Health"/>
  </r>
  <r>
    <s v="GM-00698"/>
    <s v="Cameroon"/>
    <x v="2"/>
    <x v="4"/>
    <x v="1"/>
    <s v="Population, total"/>
    <s v="Demographics"/>
    <s v="SDG 11: Sustainable Cities and Communities"/>
    <n v="7021028"/>
    <s v="People"/>
    <s v="Cameroon|1972"/>
    <s v="Gapminder/Plotly country-year extract reshaped to long indicator format for education"/>
    <s v="OK"/>
    <s v="1970s"/>
    <s v="N/A"/>
    <s v="Demographics"/>
  </r>
  <r>
    <s v="GM-00699"/>
    <s v="Cameroon"/>
    <x v="2"/>
    <x v="4"/>
    <x v="2"/>
    <s v="GDP per capita"/>
    <s v="Economy"/>
    <s v="SDG 8: Decent Work and Economic Growth"/>
    <n v="1684.146528"/>
    <s v="Source-defined international dollars"/>
    <s v="Cameroon|1972"/>
    <s v="Gapminder/Plotly country-year extract reshaped to long indicator format for education"/>
    <s v="OK"/>
    <s v="1970s"/>
    <s v="N/A"/>
    <s v="Economy"/>
  </r>
  <r>
    <s v="GM-00700"/>
    <s v="Cameroon"/>
    <x v="2"/>
    <x v="5"/>
    <x v="0"/>
    <s v="Life expectancy at birth"/>
    <s v="Health"/>
    <s v="SDG 3: Good Health and Well-being"/>
    <n v="49.354999999999997"/>
    <s v="Years"/>
    <s v="Cameroon|1977"/>
    <s v="Gapminder/Plotly country-year extract reshaped to long indicator format for education"/>
    <s v="OK"/>
    <s v="1970s"/>
    <s v="Low"/>
    <s v="Health"/>
  </r>
  <r>
    <s v="GM-00701"/>
    <s v="Cameroon"/>
    <x v="2"/>
    <x v="5"/>
    <x v="1"/>
    <s v="Population, total"/>
    <s v="Demographics"/>
    <s v="SDG 11: Sustainable Cities and Communities"/>
    <n v="7959865"/>
    <s v="People"/>
    <s v="Cameroon|1977"/>
    <s v="Gapminder/Plotly country-year extract reshaped to long indicator format for education"/>
    <s v="OK"/>
    <s v="1970s"/>
    <s v="N/A"/>
    <s v="Demographics"/>
  </r>
  <r>
    <s v="GM-00702"/>
    <s v="Cameroon"/>
    <x v="2"/>
    <x v="5"/>
    <x v="2"/>
    <s v="GDP per capita"/>
    <s v="Economy"/>
    <s v="SDG 8: Decent Work and Economic Growth"/>
    <n v="1783.432873"/>
    <s v="Source-defined international dollars"/>
    <s v="Cameroon|1977"/>
    <s v="Gapminder/Plotly country-year extract reshaped to long indicator format for education"/>
    <s v="OK"/>
    <s v="1970s"/>
    <s v="N/A"/>
    <s v="Economy"/>
  </r>
  <r>
    <s v="GM-00703"/>
    <s v="Cameroon"/>
    <x v="2"/>
    <x v="6"/>
    <x v="0"/>
    <s v="Life expectancy at birth"/>
    <s v="Health"/>
    <s v="SDG 3: Good Health and Well-being"/>
    <n v="52.960999999999999"/>
    <s v="Years"/>
    <s v="Cameroon|1982"/>
    <s v="Gapminder/Plotly country-year extract reshaped to long indicator format for education"/>
    <s v="OK"/>
    <s v="1980s"/>
    <s v="Low"/>
    <s v="Health"/>
  </r>
  <r>
    <s v="GM-00704"/>
    <s v="Cameroon"/>
    <x v="2"/>
    <x v="6"/>
    <x v="1"/>
    <s v="Population, total"/>
    <s v="Demographics"/>
    <s v="SDG 11: Sustainable Cities and Communities"/>
    <n v="9250831"/>
    <s v="People"/>
    <s v="Cameroon|1982"/>
    <s v="Gapminder/Plotly country-year extract reshaped to long indicator format for education"/>
    <s v="OK"/>
    <s v="1980s"/>
    <s v="N/A"/>
    <s v="Demographics"/>
  </r>
  <r>
    <s v="GM-00705"/>
    <s v="Cameroon"/>
    <x v="2"/>
    <x v="6"/>
    <x v="2"/>
    <s v="GDP per capita"/>
    <s v="Economy"/>
    <s v="SDG 8: Decent Work and Economic Growth"/>
    <n v="2367.9832820000001"/>
    <s v="Source-defined international dollars"/>
    <s v="Cameroon|1982"/>
    <s v="Gapminder/Plotly country-year extract reshaped to long indicator format for education"/>
    <s v="OK"/>
    <s v="1980s"/>
    <s v="N/A"/>
    <s v="Economy"/>
  </r>
  <r>
    <s v="GM-00706"/>
    <s v="Cameroon"/>
    <x v="2"/>
    <x v="7"/>
    <x v="0"/>
    <s v="Life expectancy at birth"/>
    <s v="Health"/>
    <s v="SDG 3: Good Health and Well-being"/>
    <n v="54.984999999999999"/>
    <s v="Years"/>
    <s v="Cameroon|1987"/>
    <s v="Gapminder/Plotly country-year extract reshaped to long indicator format for education"/>
    <s v="OK"/>
    <s v="1980s"/>
    <s v="Low"/>
    <s v="Health"/>
  </r>
  <r>
    <s v="GM-00707"/>
    <s v="Cameroon"/>
    <x v="2"/>
    <x v="7"/>
    <x v="1"/>
    <s v="Population, total"/>
    <s v="Demographics"/>
    <s v="SDG 11: Sustainable Cities and Communities"/>
    <n v="10780667"/>
    <s v="People"/>
    <s v="Cameroon|1987"/>
    <s v="Gapminder/Plotly country-year extract reshaped to long indicator format for education"/>
    <s v="OK"/>
    <s v="1980s"/>
    <s v="N/A"/>
    <s v="Demographics"/>
  </r>
  <r>
    <s v="GM-00708"/>
    <s v="Cameroon"/>
    <x v="2"/>
    <x v="7"/>
    <x v="2"/>
    <s v="GDP per capita"/>
    <s v="Economy"/>
    <s v="SDG 8: Decent Work and Economic Growth"/>
    <n v="2602.6642059999999"/>
    <s v="Source-defined international dollars"/>
    <s v="Cameroon|1987"/>
    <s v="Gapminder/Plotly country-year extract reshaped to long indicator format for education"/>
    <s v="OK"/>
    <s v="1980s"/>
    <s v="N/A"/>
    <s v="Economy"/>
  </r>
  <r>
    <s v="GM-00709"/>
    <s v="Cameroon"/>
    <x v="2"/>
    <x v="8"/>
    <x v="0"/>
    <s v="Life expectancy at birth"/>
    <s v="Health"/>
    <s v="SDG 3: Good Health and Well-being"/>
    <n v="54.313999999999901"/>
    <s v="Years"/>
    <s v="Cameroon|1992"/>
    <s v="Gapminder/Plotly country-year extract reshaped to long indicator format for education"/>
    <s v="OK"/>
    <s v="1990s"/>
    <s v="Low"/>
    <s v="Health"/>
  </r>
  <r>
    <s v="GM-00710"/>
    <s v="Cameroon"/>
    <x v="2"/>
    <x v="8"/>
    <x v="1"/>
    <s v="Population, total"/>
    <s v="Demographics"/>
    <s v="SDG 11: Sustainable Cities and Communities"/>
    <n v="12467171"/>
    <s v="People"/>
    <s v="Cameroon|1992"/>
    <s v="Gapminder/Plotly country-year extract reshaped to long indicator format for education"/>
    <s v="OK"/>
    <s v="1990s"/>
    <s v="N/A"/>
    <s v="Demographics"/>
  </r>
  <r>
    <s v="GM-00711"/>
    <s v="Cameroon"/>
    <x v="2"/>
    <x v="8"/>
    <x v="2"/>
    <s v="GDP per capita"/>
    <s v="Economy"/>
    <s v="SDG 8: Decent Work and Economic Growth"/>
    <n v="1793.163278"/>
    <s v="Source-defined international dollars"/>
    <s v="Cameroon|1992"/>
    <s v="Gapminder/Plotly country-year extract reshaped to long indicator format for education"/>
    <s v="OK"/>
    <s v="1990s"/>
    <s v="N/A"/>
    <s v="Economy"/>
  </r>
  <r>
    <s v="GM-00712"/>
    <s v="Cameroon"/>
    <x v="2"/>
    <x v="9"/>
    <x v="0"/>
    <s v="Life expectancy at birth"/>
    <s v="Health"/>
    <s v="SDG 3: Good Health and Well-being"/>
    <n v="52.198999999999998"/>
    <s v="Years"/>
    <s v="Cameroon|1997"/>
    <s v="Gapminder/Plotly country-year extract reshaped to long indicator format for education"/>
    <s v="OK"/>
    <s v="1990s"/>
    <s v="Low"/>
    <s v="Health"/>
  </r>
  <r>
    <s v="GM-00713"/>
    <s v="Cameroon"/>
    <x v="2"/>
    <x v="9"/>
    <x v="1"/>
    <s v="Population, total"/>
    <s v="Demographics"/>
    <s v="SDG 11: Sustainable Cities and Communities"/>
    <n v="14195809"/>
    <s v="People"/>
    <s v="Cameroon|1997"/>
    <s v="Gapminder/Plotly country-year extract reshaped to long indicator format for education"/>
    <s v="OK"/>
    <s v="1990s"/>
    <s v="N/A"/>
    <s v="Demographics"/>
  </r>
  <r>
    <s v="GM-00714"/>
    <s v="Cameroon"/>
    <x v="2"/>
    <x v="9"/>
    <x v="2"/>
    <s v="GDP per capita"/>
    <s v="Economy"/>
    <s v="SDG 8: Decent Work and Economic Growth"/>
    <n v="1694.3374690000001"/>
    <s v="Source-defined international dollars"/>
    <s v="Cameroon|1997"/>
    <s v="Gapminder/Plotly country-year extract reshaped to long indicator format for education"/>
    <s v="OK"/>
    <s v="1990s"/>
    <s v="N/A"/>
    <s v="Economy"/>
  </r>
  <r>
    <s v="GM-00715"/>
    <s v="Cameroon"/>
    <x v="2"/>
    <x v="10"/>
    <x v="0"/>
    <s v="Life expectancy at birth"/>
    <s v="Health"/>
    <s v="SDG 3: Good Health and Well-being"/>
    <n v="49.856000000000002"/>
    <s v="Years"/>
    <s v="Cameroon|2002"/>
    <s v="Gapminder/Plotly country-year extract reshaped to long indicator format for education"/>
    <s v="OK"/>
    <s v="2000s"/>
    <s v="Low"/>
    <s v="Health"/>
  </r>
  <r>
    <s v="GM-00716"/>
    <s v="Cameroon"/>
    <x v="2"/>
    <x v="10"/>
    <x v="1"/>
    <s v="Population, total"/>
    <s v="Demographics"/>
    <s v="SDG 11: Sustainable Cities and Communities"/>
    <n v="15929988"/>
    <s v="People"/>
    <s v="Cameroon|2002"/>
    <s v="Gapminder/Plotly country-year extract reshaped to long indicator format for education"/>
    <s v="OK"/>
    <s v="2000s"/>
    <s v="N/A"/>
    <s v="Demographics"/>
  </r>
  <r>
    <s v="GM-00717"/>
    <s v="Cameroon"/>
    <x v="2"/>
    <x v="10"/>
    <x v="2"/>
    <s v="GDP per capita"/>
    <s v="Economy"/>
    <s v="SDG 8: Decent Work and Economic Growth"/>
    <n v="1934.0114490000001"/>
    <s v="Source-defined international dollars"/>
    <s v="Cameroon|2002"/>
    <s v="Gapminder/Plotly country-year extract reshaped to long indicator format for education"/>
    <s v="OK"/>
    <s v="2000s"/>
    <s v="N/A"/>
    <s v="Economy"/>
  </r>
  <r>
    <s v="GM-00718"/>
    <s v="Cameroon"/>
    <x v="2"/>
    <x v="11"/>
    <x v="0"/>
    <s v="Life expectancy at birth"/>
    <s v="Health"/>
    <s v="SDG 3: Good Health and Well-being"/>
    <n v="50.43"/>
    <s v="Years"/>
    <s v="Cameroon|2007"/>
    <s v="Gapminder/Plotly country-year extract reshaped to long indicator format for education"/>
    <s v="OK"/>
    <s v="2000s"/>
    <s v="Low"/>
    <s v="Health"/>
  </r>
  <r>
    <s v="GM-00719"/>
    <s v="Cameroon"/>
    <x v="2"/>
    <x v="11"/>
    <x v="1"/>
    <s v="Population, total"/>
    <s v="Demographics"/>
    <s v="SDG 11: Sustainable Cities and Communities"/>
    <n v="17696293"/>
    <s v="People"/>
    <s v="Cameroon|2007"/>
    <s v="Gapminder/Plotly country-year extract reshaped to long indicator format for education"/>
    <s v="OK"/>
    <s v="2000s"/>
    <s v="N/A"/>
    <s v="Demographics"/>
  </r>
  <r>
    <s v="GM-00720"/>
    <s v="Cameroon"/>
    <x v="2"/>
    <x v="11"/>
    <x v="2"/>
    <s v="GDP per capita"/>
    <s v="Economy"/>
    <s v="SDG 8: Decent Work and Economic Growth"/>
    <n v="2042.0952400000001"/>
    <s v="Source-defined international dollars"/>
    <s v="Cameroon|2007"/>
    <s v="Gapminder/Plotly country-year extract reshaped to long indicator format for education"/>
    <s v="OK"/>
    <s v="2000s"/>
    <s v="N/A"/>
    <s v="Economy"/>
  </r>
  <r>
    <s v="GM-00721"/>
    <s v="Canada"/>
    <x v="3"/>
    <x v="0"/>
    <x v="0"/>
    <s v="Life expectancy at birth"/>
    <s v="Health"/>
    <s v="SDG 3: Good Health and Well-being"/>
    <n v="68.75"/>
    <s v="Years"/>
    <s v="Canada|1952"/>
    <s v="Gapminder/Plotly country-year extract reshaped to long indicator format for education"/>
    <s v="OK"/>
    <s v="1950s"/>
    <s v="Medium"/>
    <s v="Health"/>
  </r>
  <r>
    <s v="GM-00722"/>
    <s v="Canada"/>
    <x v="3"/>
    <x v="0"/>
    <x v="1"/>
    <s v="Population, total"/>
    <s v="Demographics"/>
    <s v="SDG 11: Sustainable Cities and Communities"/>
    <n v="14785584"/>
    <s v="People"/>
    <s v="Canada|1952"/>
    <s v="Gapminder/Plotly country-year extract reshaped to long indicator format for education"/>
    <s v="OK"/>
    <s v="1950s"/>
    <s v="N/A"/>
    <s v="Demographics"/>
  </r>
  <r>
    <s v="GM-00723"/>
    <s v="Canada"/>
    <x v="3"/>
    <x v="0"/>
    <x v="2"/>
    <s v="GDP per capita"/>
    <s v="Economy"/>
    <s v="SDG 8: Decent Work and Economic Growth"/>
    <n v="11367.161120000001"/>
    <s v="Source-defined international dollars"/>
    <s v="Canada|1952"/>
    <s v="Gapminder/Plotly country-year extract reshaped to long indicator format for education"/>
    <s v="OK"/>
    <s v="1950s"/>
    <s v="N/A"/>
    <s v="Economy"/>
  </r>
  <r>
    <s v="GM-00724"/>
    <s v="Canada"/>
    <x v="3"/>
    <x v="1"/>
    <x v="0"/>
    <s v="Life expectancy at birth"/>
    <s v="Health"/>
    <s v="SDG 3: Good Health and Well-being"/>
    <n v="69.959999999999994"/>
    <s v="Years"/>
    <s v="Canada|1957"/>
    <s v="Gapminder/Plotly country-year extract reshaped to long indicator format for education"/>
    <s v="OK"/>
    <s v="1950s"/>
    <s v="Medium"/>
    <s v="Health"/>
  </r>
  <r>
    <s v="GM-00725"/>
    <s v="Canada"/>
    <x v="3"/>
    <x v="1"/>
    <x v="1"/>
    <s v="Population, total"/>
    <s v="Demographics"/>
    <s v="SDG 11: Sustainable Cities and Communities"/>
    <n v="17010154"/>
    <s v="People"/>
    <s v="Canada|1957"/>
    <s v="Gapminder/Plotly country-year extract reshaped to long indicator format for education"/>
    <s v="OK"/>
    <s v="1950s"/>
    <s v="N/A"/>
    <s v="Demographics"/>
  </r>
  <r>
    <s v="GM-00726"/>
    <s v="Canada"/>
    <x v="3"/>
    <x v="1"/>
    <x v="2"/>
    <s v="GDP per capita"/>
    <s v="Economy"/>
    <s v="SDG 8: Decent Work and Economic Growth"/>
    <n v="12489.950059999999"/>
    <s v="Source-defined international dollars"/>
    <s v="Canada|1957"/>
    <s v="Gapminder/Plotly country-year extract reshaped to long indicator format for education"/>
    <s v="OK"/>
    <s v="1950s"/>
    <s v="N/A"/>
    <s v="Economy"/>
  </r>
  <r>
    <s v="GM-00727"/>
    <s v="Canada"/>
    <x v="3"/>
    <x v="2"/>
    <x v="0"/>
    <s v="Life expectancy at birth"/>
    <s v="Health"/>
    <s v="SDG 3: Good Health and Well-being"/>
    <n v="71.3"/>
    <s v="Years"/>
    <s v="Canada|1962"/>
    <s v="Gapminder/Plotly country-year extract reshaped to long indicator format for education"/>
    <s v="OK"/>
    <s v="1960s"/>
    <s v="High"/>
    <s v="Health"/>
  </r>
  <r>
    <s v="GM-00728"/>
    <s v="Canada"/>
    <x v="3"/>
    <x v="2"/>
    <x v="1"/>
    <s v="Population, total"/>
    <s v="Demographics"/>
    <s v="SDG 11: Sustainable Cities and Communities"/>
    <n v="18985849"/>
    <s v="People"/>
    <s v="Canada|1962"/>
    <s v="Gapminder/Plotly country-year extract reshaped to long indicator format for education"/>
    <s v="OK"/>
    <s v="1960s"/>
    <s v="N/A"/>
    <s v="Demographics"/>
  </r>
  <r>
    <s v="GM-00729"/>
    <s v="Canada"/>
    <x v="3"/>
    <x v="2"/>
    <x v="2"/>
    <s v="GDP per capita"/>
    <s v="Economy"/>
    <s v="SDG 8: Decent Work and Economic Growth"/>
    <n v="13462.485549999999"/>
    <s v="Source-defined international dollars"/>
    <s v="Canada|1962"/>
    <s v="Gapminder/Plotly country-year extract reshaped to long indicator format for education"/>
    <s v="OK"/>
    <s v="1960s"/>
    <s v="N/A"/>
    <s v="Economy"/>
  </r>
  <r>
    <s v="GM-00730"/>
    <s v="Canada"/>
    <x v="3"/>
    <x v="3"/>
    <x v="0"/>
    <s v="Life expectancy at birth"/>
    <s v="Health"/>
    <s v="SDG 3: Good Health and Well-being"/>
    <n v="72.13"/>
    <s v="Years"/>
    <s v="Canada|1967"/>
    <s v="Gapminder/Plotly country-year extract reshaped to long indicator format for education"/>
    <s v="OK"/>
    <s v="1960s"/>
    <s v="High"/>
    <s v="Health"/>
  </r>
  <r>
    <s v="GM-00731"/>
    <s v="Canada"/>
    <x v="3"/>
    <x v="3"/>
    <x v="1"/>
    <s v="Population, total"/>
    <s v="Demographics"/>
    <s v="SDG 11: Sustainable Cities and Communities"/>
    <n v="20819767"/>
    <s v="People"/>
    <s v="Canada|1967"/>
    <s v="Gapminder/Plotly country-year extract reshaped to long indicator format for education"/>
    <s v="OK"/>
    <s v="1960s"/>
    <s v="N/A"/>
    <s v="Demographics"/>
  </r>
  <r>
    <s v="GM-00732"/>
    <s v="Canada"/>
    <x v="3"/>
    <x v="3"/>
    <x v="2"/>
    <s v="GDP per capita"/>
    <s v="Economy"/>
    <s v="SDG 8: Decent Work and Economic Growth"/>
    <n v="16076.588030000001"/>
    <s v="Source-defined international dollars"/>
    <s v="Canada|1967"/>
    <s v="Gapminder/Plotly country-year extract reshaped to long indicator format for education"/>
    <s v="OK"/>
    <s v="1960s"/>
    <s v="N/A"/>
    <s v="Economy"/>
  </r>
  <r>
    <s v="GM-00733"/>
    <s v="Canada"/>
    <x v="3"/>
    <x v="4"/>
    <x v="0"/>
    <s v="Life expectancy at birth"/>
    <s v="Health"/>
    <s v="SDG 3: Good Health and Well-being"/>
    <n v="72.88"/>
    <s v="Years"/>
    <s v="Canada|1972"/>
    <s v="Gapminder/Plotly country-year extract reshaped to long indicator format for education"/>
    <s v="OK"/>
    <s v="1970s"/>
    <s v="High"/>
    <s v="Health"/>
  </r>
  <r>
    <s v="GM-00734"/>
    <s v="Canada"/>
    <x v="3"/>
    <x v="4"/>
    <x v="1"/>
    <s v="Population, total"/>
    <s v="Demographics"/>
    <s v="SDG 11: Sustainable Cities and Communities"/>
    <n v="22284500"/>
    <s v="People"/>
    <s v="Canada|1972"/>
    <s v="Gapminder/Plotly country-year extract reshaped to long indicator format for education"/>
    <s v="OK"/>
    <s v="1970s"/>
    <s v="N/A"/>
    <s v="Demographics"/>
  </r>
  <r>
    <s v="GM-00735"/>
    <s v="Canada"/>
    <x v="3"/>
    <x v="4"/>
    <x v="2"/>
    <s v="GDP per capita"/>
    <s v="Economy"/>
    <s v="SDG 8: Decent Work and Economic Growth"/>
    <n v="18970.57086"/>
    <s v="Source-defined international dollars"/>
    <s v="Canada|1972"/>
    <s v="Gapminder/Plotly country-year extract reshaped to long indicator format for education"/>
    <s v="OK"/>
    <s v="1970s"/>
    <s v="N/A"/>
    <s v="Economy"/>
  </r>
  <r>
    <s v="GM-00736"/>
    <s v="Canada"/>
    <x v="3"/>
    <x v="5"/>
    <x v="0"/>
    <s v="Life expectancy at birth"/>
    <s v="Health"/>
    <s v="SDG 3: Good Health and Well-being"/>
    <n v="74.209999999999994"/>
    <s v="Years"/>
    <s v="Canada|1977"/>
    <s v="Gapminder/Plotly country-year extract reshaped to long indicator format for education"/>
    <s v="OK"/>
    <s v="1970s"/>
    <s v="High"/>
    <s v="Health"/>
  </r>
  <r>
    <s v="GM-00737"/>
    <s v="Canada"/>
    <x v="3"/>
    <x v="5"/>
    <x v="1"/>
    <s v="Population, total"/>
    <s v="Demographics"/>
    <s v="SDG 11: Sustainable Cities and Communities"/>
    <n v="23796400"/>
    <s v="People"/>
    <s v="Canada|1977"/>
    <s v="Gapminder/Plotly country-year extract reshaped to long indicator format for education"/>
    <s v="OK"/>
    <s v="1970s"/>
    <s v="N/A"/>
    <s v="Demographics"/>
  </r>
  <r>
    <s v="GM-00738"/>
    <s v="Canada"/>
    <x v="3"/>
    <x v="5"/>
    <x v="2"/>
    <s v="GDP per capita"/>
    <s v="Economy"/>
    <s v="SDG 8: Decent Work and Economic Growth"/>
    <n v="22090.88306"/>
    <s v="Source-defined international dollars"/>
    <s v="Canada|1977"/>
    <s v="Gapminder/Plotly country-year extract reshaped to long indicator format for education"/>
    <s v="OK"/>
    <s v="1970s"/>
    <s v="N/A"/>
    <s v="Economy"/>
  </r>
  <r>
    <s v="GM-00739"/>
    <s v="Canada"/>
    <x v="3"/>
    <x v="6"/>
    <x v="0"/>
    <s v="Life expectancy at birth"/>
    <s v="Health"/>
    <s v="SDG 3: Good Health and Well-being"/>
    <n v="75.760000000000005"/>
    <s v="Years"/>
    <s v="Canada|1982"/>
    <s v="Gapminder/Plotly country-year extract reshaped to long indicator format for education"/>
    <s v="OK"/>
    <s v="1980s"/>
    <s v="High"/>
    <s v="Health"/>
  </r>
  <r>
    <s v="GM-00740"/>
    <s v="Canada"/>
    <x v="3"/>
    <x v="6"/>
    <x v="1"/>
    <s v="Population, total"/>
    <s v="Demographics"/>
    <s v="SDG 11: Sustainable Cities and Communities"/>
    <n v="25201900"/>
    <s v="People"/>
    <s v="Canada|1982"/>
    <s v="Gapminder/Plotly country-year extract reshaped to long indicator format for education"/>
    <s v="OK"/>
    <s v="1980s"/>
    <s v="N/A"/>
    <s v="Demographics"/>
  </r>
  <r>
    <s v="GM-00741"/>
    <s v="Canada"/>
    <x v="3"/>
    <x v="6"/>
    <x v="2"/>
    <s v="GDP per capita"/>
    <s v="Economy"/>
    <s v="SDG 8: Decent Work and Economic Growth"/>
    <n v="22898.792140000001"/>
    <s v="Source-defined international dollars"/>
    <s v="Canada|1982"/>
    <s v="Gapminder/Plotly country-year extract reshaped to long indicator format for education"/>
    <s v="OK"/>
    <s v="1980s"/>
    <s v="N/A"/>
    <s v="Economy"/>
  </r>
  <r>
    <s v="GM-00742"/>
    <s v="Canada"/>
    <x v="3"/>
    <x v="7"/>
    <x v="0"/>
    <s v="Life expectancy at birth"/>
    <s v="Health"/>
    <s v="SDG 3: Good Health and Well-being"/>
    <n v="76.86"/>
    <s v="Years"/>
    <s v="Canada|1987"/>
    <s v="Gapminder/Plotly country-year extract reshaped to long indicator format for education"/>
    <s v="OK"/>
    <s v="1980s"/>
    <s v="High"/>
    <s v="Health"/>
  </r>
  <r>
    <s v="GM-00743"/>
    <s v="Canada"/>
    <x v="3"/>
    <x v="7"/>
    <x v="1"/>
    <s v="Population, total"/>
    <s v="Demographics"/>
    <s v="SDG 11: Sustainable Cities and Communities"/>
    <n v="26549700"/>
    <s v="People"/>
    <s v="Canada|1987"/>
    <s v="Gapminder/Plotly country-year extract reshaped to long indicator format for education"/>
    <s v="OK"/>
    <s v="1980s"/>
    <s v="N/A"/>
    <s v="Demographics"/>
  </r>
  <r>
    <s v="GM-00744"/>
    <s v="Canada"/>
    <x v="3"/>
    <x v="7"/>
    <x v="2"/>
    <s v="GDP per capita"/>
    <s v="Economy"/>
    <s v="SDG 8: Decent Work and Economic Growth"/>
    <n v="26626.515029999999"/>
    <s v="Source-defined international dollars"/>
    <s v="Canada|1987"/>
    <s v="Gapminder/Plotly country-year extract reshaped to long indicator format for education"/>
    <s v="OK"/>
    <s v="1980s"/>
    <s v="N/A"/>
    <s v="Economy"/>
  </r>
  <r>
    <s v="GM-00745"/>
    <s v="Canada"/>
    <x v="3"/>
    <x v="8"/>
    <x v="0"/>
    <s v="Life expectancy at birth"/>
    <s v="Health"/>
    <s v="SDG 3: Good Health and Well-being"/>
    <n v="77.95"/>
    <s v="Years"/>
    <s v="Canada|1992"/>
    <s v="Gapminder/Plotly country-year extract reshaped to long indicator format for education"/>
    <s v="OK"/>
    <s v="1990s"/>
    <s v="High"/>
    <s v="Health"/>
  </r>
  <r>
    <s v="GM-00746"/>
    <s v="Canada"/>
    <x v="3"/>
    <x v="8"/>
    <x v="1"/>
    <s v="Population, total"/>
    <s v="Demographics"/>
    <s v="SDG 11: Sustainable Cities and Communities"/>
    <n v="28523502"/>
    <s v="People"/>
    <s v="Canada|1992"/>
    <s v="Gapminder/Plotly country-year extract reshaped to long indicator format for education"/>
    <s v="OK"/>
    <s v="1990s"/>
    <s v="N/A"/>
    <s v="Demographics"/>
  </r>
  <r>
    <s v="GM-00747"/>
    <s v="Canada"/>
    <x v="3"/>
    <x v="8"/>
    <x v="2"/>
    <s v="GDP per capita"/>
    <s v="Economy"/>
    <s v="SDG 8: Decent Work and Economic Growth"/>
    <n v="26342.884259999999"/>
    <s v="Source-defined international dollars"/>
    <s v="Canada|1992"/>
    <s v="Gapminder/Plotly country-year extract reshaped to long indicator format for education"/>
    <s v="OK"/>
    <s v="1990s"/>
    <s v="N/A"/>
    <s v="Economy"/>
  </r>
  <r>
    <s v="GM-00748"/>
    <s v="Canada"/>
    <x v="3"/>
    <x v="9"/>
    <x v="0"/>
    <s v="Life expectancy at birth"/>
    <s v="Health"/>
    <s v="SDG 3: Good Health and Well-being"/>
    <n v="78.61"/>
    <s v="Years"/>
    <s v="Canada|1997"/>
    <s v="Gapminder/Plotly country-year extract reshaped to long indicator format for education"/>
    <s v="OK"/>
    <s v="1990s"/>
    <s v="High"/>
    <s v="Health"/>
  </r>
  <r>
    <s v="GM-00749"/>
    <s v="Canada"/>
    <x v="3"/>
    <x v="9"/>
    <x v="1"/>
    <s v="Population, total"/>
    <s v="Demographics"/>
    <s v="SDG 11: Sustainable Cities and Communities"/>
    <n v="30305843"/>
    <s v="People"/>
    <s v="Canada|1997"/>
    <s v="Gapminder/Plotly country-year extract reshaped to long indicator format for education"/>
    <s v="OK"/>
    <s v="1990s"/>
    <s v="N/A"/>
    <s v="Demographics"/>
  </r>
  <r>
    <s v="GM-00750"/>
    <s v="Canada"/>
    <x v="3"/>
    <x v="9"/>
    <x v="2"/>
    <s v="GDP per capita"/>
    <s v="Economy"/>
    <s v="SDG 8: Decent Work and Economic Growth"/>
    <n v="28954.925889999999"/>
    <s v="Source-defined international dollars"/>
    <s v="Canada|1997"/>
    <s v="Gapminder/Plotly country-year extract reshaped to long indicator format for education"/>
    <s v="OK"/>
    <s v="1990s"/>
    <s v="N/A"/>
    <s v="Economy"/>
  </r>
  <r>
    <s v="GM-00751"/>
    <s v="Canada"/>
    <x v="3"/>
    <x v="10"/>
    <x v="0"/>
    <s v="Life expectancy at birth"/>
    <s v="Health"/>
    <s v="SDG 3: Good Health and Well-being"/>
    <n v="79.77"/>
    <s v="Years"/>
    <s v="Canada|2002"/>
    <s v="Gapminder/Plotly country-year extract reshaped to long indicator format for education"/>
    <s v="OK"/>
    <s v="2000s"/>
    <s v="High"/>
    <s v="Health"/>
  </r>
  <r>
    <s v="GM-00752"/>
    <s v="Canada"/>
    <x v="3"/>
    <x v="10"/>
    <x v="1"/>
    <s v="Population, total"/>
    <s v="Demographics"/>
    <s v="SDG 11: Sustainable Cities and Communities"/>
    <n v="31902268"/>
    <s v="People"/>
    <s v="Canada|2002"/>
    <s v="Gapminder/Plotly country-year extract reshaped to long indicator format for education"/>
    <s v="OK"/>
    <s v="2000s"/>
    <s v="N/A"/>
    <s v="Demographics"/>
  </r>
  <r>
    <s v="GM-00753"/>
    <s v="Canada"/>
    <x v="3"/>
    <x v="10"/>
    <x v="2"/>
    <s v="GDP per capita"/>
    <s v="Economy"/>
    <s v="SDG 8: Decent Work and Economic Growth"/>
    <n v="33328.965069999998"/>
    <s v="Source-defined international dollars"/>
    <s v="Canada|2002"/>
    <s v="Gapminder/Plotly country-year extract reshaped to long indicator format for education"/>
    <s v="OK"/>
    <s v="2000s"/>
    <s v="N/A"/>
    <s v="Economy"/>
  </r>
  <r>
    <s v="GM-00754"/>
    <s v="Canada"/>
    <x v="3"/>
    <x v="11"/>
    <x v="0"/>
    <s v="Life expectancy at birth"/>
    <s v="Health"/>
    <s v="SDG 3: Good Health and Well-being"/>
    <n v="80.653000000000006"/>
    <s v="Years"/>
    <s v="Canada|2007"/>
    <s v="Gapminder/Plotly country-year extract reshaped to long indicator format for education"/>
    <s v="OK"/>
    <s v="2000s"/>
    <s v="High"/>
    <s v="Health"/>
  </r>
  <r>
    <s v="GM-00755"/>
    <s v="Canada"/>
    <x v="3"/>
    <x v="11"/>
    <x v="1"/>
    <s v="Population, total"/>
    <s v="Demographics"/>
    <s v="SDG 11: Sustainable Cities and Communities"/>
    <n v="33390141"/>
    <s v="People"/>
    <s v="Canada|2007"/>
    <s v="Gapminder/Plotly country-year extract reshaped to long indicator format for education"/>
    <s v="OK"/>
    <s v="2000s"/>
    <s v="N/A"/>
    <s v="Demographics"/>
  </r>
  <r>
    <s v="GM-00756"/>
    <s v="Canada"/>
    <x v="3"/>
    <x v="11"/>
    <x v="2"/>
    <s v="GDP per capita"/>
    <s v="Economy"/>
    <s v="SDG 8: Decent Work and Economic Growth"/>
    <n v="36319.235009999997"/>
    <s v="Source-defined international dollars"/>
    <s v="Canada|2007"/>
    <s v="Gapminder/Plotly country-year extract reshaped to long indicator format for education"/>
    <s v="OK"/>
    <s v="2000s"/>
    <s v="N/A"/>
    <s v="Economy"/>
  </r>
  <r>
    <s v="GM-00757"/>
    <s v="Central African Republic"/>
    <x v="2"/>
    <x v="0"/>
    <x v="0"/>
    <s v="Life expectancy at birth"/>
    <s v="Health"/>
    <s v="SDG 3: Good Health and Well-being"/>
    <n v="35.463000000000001"/>
    <s v="Years"/>
    <s v="Central African Republic|1952"/>
    <s v="Gapminder/Plotly country-year extract reshaped to long indicator format for education"/>
    <s v="OK"/>
    <s v="1950s"/>
    <s v="Low"/>
    <s v="Health"/>
  </r>
  <r>
    <s v="GM-00758"/>
    <s v="Central African Republic"/>
    <x v="2"/>
    <x v="0"/>
    <x v="1"/>
    <s v="Population, total"/>
    <s v="Demographics"/>
    <s v="SDG 11: Sustainable Cities and Communities"/>
    <n v="1291695"/>
    <s v="People"/>
    <s v="Central African Republic|1952"/>
    <s v="Gapminder/Plotly country-year extract reshaped to long indicator format for education"/>
    <s v="OK"/>
    <s v="1950s"/>
    <s v="N/A"/>
    <s v="Demographics"/>
  </r>
  <r>
    <s v="GM-00759"/>
    <s v="Central African Republic"/>
    <x v="2"/>
    <x v="0"/>
    <x v="2"/>
    <s v="GDP per capita"/>
    <s v="Economy"/>
    <s v="SDG 8: Decent Work and Economic Growth"/>
    <n v="1071.3107130000001"/>
    <s v="Source-defined international dollars"/>
    <s v="Central African Republic|1952"/>
    <s v="Gapminder/Plotly country-year extract reshaped to long indicator format for education"/>
    <s v="OK"/>
    <s v="1950s"/>
    <s v="N/A"/>
    <s v="Economy"/>
  </r>
  <r>
    <s v="GM-00760"/>
    <s v="Central African Republic"/>
    <x v="2"/>
    <x v="1"/>
    <x v="0"/>
    <s v="Life expectancy at birth"/>
    <s v="Health"/>
    <s v="SDG 3: Good Health and Well-being"/>
    <n v="37.463999999999999"/>
    <s v="Years"/>
    <s v="Central African Republic|1957"/>
    <s v="Gapminder/Plotly country-year extract reshaped to long indicator format for education"/>
    <s v="OK"/>
    <s v="1950s"/>
    <s v="Low"/>
    <s v="Health"/>
  </r>
  <r>
    <s v="GM-00761"/>
    <s v="Central African Republic"/>
    <x v="2"/>
    <x v="1"/>
    <x v="1"/>
    <s v="Population, total"/>
    <s v="Demographics"/>
    <s v="SDG 11: Sustainable Cities and Communities"/>
    <n v="1392284"/>
    <s v="People"/>
    <s v="Central African Republic|1957"/>
    <s v="Gapminder/Plotly country-year extract reshaped to long indicator format for education"/>
    <s v="OK"/>
    <s v="1950s"/>
    <s v="N/A"/>
    <s v="Demographics"/>
  </r>
  <r>
    <s v="GM-00762"/>
    <s v="Central African Republic"/>
    <x v="2"/>
    <x v="1"/>
    <x v="2"/>
    <s v="GDP per capita"/>
    <s v="Economy"/>
    <s v="SDG 8: Decent Work and Economic Growth"/>
    <n v="1190.8443279999999"/>
    <s v="Source-defined international dollars"/>
    <s v="Central African Republic|1957"/>
    <s v="Gapminder/Plotly country-year extract reshaped to long indicator format for education"/>
    <s v="OK"/>
    <s v="1950s"/>
    <s v="N/A"/>
    <s v="Economy"/>
  </r>
  <r>
    <s v="GM-00763"/>
    <s v="Central African Republic"/>
    <x v="2"/>
    <x v="2"/>
    <x v="0"/>
    <s v="Life expectancy at birth"/>
    <s v="Health"/>
    <s v="SDG 3: Good Health and Well-being"/>
    <n v="39.475000000000001"/>
    <s v="Years"/>
    <s v="Central African Republic|1962"/>
    <s v="Gapminder/Plotly country-year extract reshaped to long indicator format for education"/>
    <s v="OK"/>
    <s v="1960s"/>
    <s v="Low"/>
    <s v="Health"/>
  </r>
  <r>
    <s v="GM-00764"/>
    <s v="Central African Republic"/>
    <x v="2"/>
    <x v="2"/>
    <x v="1"/>
    <s v="Population, total"/>
    <s v="Demographics"/>
    <s v="SDG 11: Sustainable Cities and Communities"/>
    <n v="1523478"/>
    <s v="People"/>
    <s v="Central African Republic|1962"/>
    <s v="Gapminder/Plotly country-year extract reshaped to long indicator format for education"/>
    <s v="OK"/>
    <s v="1960s"/>
    <s v="N/A"/>
    <s v="Demographics"/>
  </r>
  <r>
    <s v="GM-00765"/>
    <s v="Central African Republic"/>
    <x v="2"/>
    <x v="2"/>
    <x v="2"/>
    <s v="GDP per capita"/>
    <s v="Economy"/>
    <s v="SDG 8: Decent Work and Economic Growth"/>
    <n v="1193.068753"/>
    <s v="Source-defined international dollars"/>
    <s v="Central African Republic|1962"/>
    <s v="Gapminder/Plotly country-year extract reshaped to long indicator format for education"/>
    <s v="OK"/>
    <s v="1960s"/>
    <s v="N/A"/>
    <s v="Economy"/>
  </r>
  <r>
    <s v="GM-00766"/>
    <s v="Central African Republic"/>
    <x v="2"/>
    <x v="3"/>
    <x v="0"/>
    <s v="Life expectancy at birth"/>
    <s v="Health"/>
    <s v="SDG 3: Good Health and Well-being"/>
    <n v="41.478000000000002"/>
    <s v="Years"/>
    <s v="Central African Republic|1967"/>
    <s v="Gapminder/Plotly country-year extract reshaped to long indicator format for education"/>
    <s v="OK"/>
    <s v="1960s"/>
    <s v="Low"/>
    <s v="Health"/>
  </r>
  <r>
    <s v="GM-00767"/>
    <s v="Central African Republic"/>
    <x v="2"/>
    <x v="3"/>
    <x v="1"/>
    <s v="Population, total"/>
    <s v="Demographics"/>
    <s v="SDG 11: Sustainable Cities and Communities"/>
    <n v="1733638"/>
    <s v="People"/>
    <s v="Central African Republic|1967"/>
    <s v="Gapminder/Plotly country-year extract reshaped to long indicator format for education"/>
    <s v="OK"/>
    <s v="1960s"/>
    <s v="N/A"/>
    <s v="Demographics"/>
  </r>
  <r>
    <s v="GM-00768"/>
    <s v="Central African Republic"/>
    <x v="2"/>
    <x v="3"/>
    <x v="2"/>
    <s v="GDP per capita"/>
    <s v="Economy"/>
    <s v="SDG 8: Decent Work and Economic Growth"/>
    <n v="1136.056615"/>
    <s v="Source-defined international dollars"/>
    <s v="Central African Republic|1967"/>
    <s v="Gapminder/Plotly country-year extract reshaped to long indicator format for education"/>
    <s v="OK"/>
    <s v="1960s"/>
    <s v="N/A"/>
    <s v="Economy"/>
  </r>
  <r>
    <s v="GM-00769"/>
    <s v="Central African Republic"/>
    <x v="2"/>
    <x v="4"/>
    <x v="0"/>
    <s v="Life expectancy at birth"/>
    <s v="Health"/>
    <s v="SDG 3: Good Health and Well-being"/>
    <n v="43.457000000000001"/>
    <s v="Years"/>
    <s v="Central African Republic|1972"/>
    <s v="Gapminder/Plotly country-year extract reshaped to long indicator format for education"/>
    <s v="OK"/>
    <s v="1970s"/>
    <s v="Low"/>
    <s v="Health"/>
  </r>
  <r>
    <s v="GM-00770"/>
    <s v="Central African Republic"/>
    <x v="2"/>
    <x v="4"/>
    <x v="1"/>
    <s v="Population, total"/>
    <s v="Demographics"/>
    <s v="SDG 11: Sustainable Cities and Communities"/>
    <n v="1927260"/>
    <s v="People"/>
    <s v="Central African Republic|1972"/>
    <s v="Gapminder/Plotly country-year extract reshaped to long indicator format for education"/>
    <s v="OK"/>
    <s v="1970s"/>
    <s v="N/A"/>
    <s v="Demographics"/>
  </r>
  <r>
    <s v="GM-00771"/>
    <s v="Central African Republic"/>
    <x v="2"/>
    <x v="4"/>
    <x v="2"/>
    <s v="GDP per capita"/>
    <s v="Economy"/>
    <s v="SDG 8: Decent Work and Economic Growth"/>
    <n v="1070.013275"/>
    <s v="Source-defined international dollars"/>
    <s v="Central African Republic|1972"/>
    <s v="Gapminder/Plotly country-year extract reshaped to long indicator format for education"/>
    <s v="OK"/>
    <s v="1970s"/>
    <s v="N/A"/>
    <s v="Economy"/>
  </r>
  <r>
    <s v="GM-00772"/>
    <s v="Central African Republic"/>
    <x v="2"/>
    <x v="5"/>
    <x v="0"/>
    <s v="Life expectancy at birth"/>
    <s v="Health"/>
    <s v="SDG 3: Good Health and Well-being"/>
    <n v="46.774999999999999"/>
    <s v="Years"/>
    <s v="Central African Republic|1977"/>
    <s v="Gapminder/Plotly country-year extract reshaped to long indicator format for education"/>
    <s v="OK"/>
    <s v="1970s"/>
    <s v="Low"/>
    <s v="Health"/>
  </r>
  <r>
    <s v="GM-00773"/>
    <s v="Central African Republic"/>
    <x v="2"/>
    <x v="5"/>
    <x v="1"/>
    <s v="Population, total"/>
    <s v="Demographics"/>
    <s v="SDG 11: Sustainable Cities and Communities"/>
    <n v="2167533"/>
    <s v="People"/>
    <s v="Central African Republic|1977"/>
    <s v="Gapminder/Plotly country-year extract reshaped to long indicator format for education"/>
    <s v="OK"/>
    <s v="1970s"/>
    <s v="N/A"/>
    <s v="Demographics"/>
  </r>
  <r>
    <s v="GM-00774"/>
    <s v="Central African Republic"/>
    <x v="2"/>
    <x v="5"/>
    <x v="2"/>
    <s v="GDP per capita"/>
    <s v="Economy"/>
    <s v="SDG 8: Decent Work and Economic Growth"/>
    <n v="1109.3743380000001"/>
    <s v="Source-defined international dollars"/>
    <s v="Central African Republic|1977"/>
    <s v="Gapminder/Plotly country-year extract reshaped to long indicator format for education"/>
    <s v="OK"/>
    <s v="1970s"/>
    <s v="N/A"/>
    <s v="Economy"/>
  </r>
  <r>
    <s v="GM-00775"/>
    <s v="Central African Republic"/>
    <x v="2"/>
    <x v="6"/>
    <x v="0"/>
    <s v="Life expectancy at birth"/>
    <s v="Health"/>
    <s v="SDG 3: Good Health and Well-being"/>
    <n v="48.295000000000002"/>
    <s v="Years"/>
    <s v="Central African Republic|1982"/>
    <s v="Gapminder/Plotly country-year extract reshaped to long indicator format for education"/>
    <s v="OK"/>
    <s v="1980s"/>
    <s v="Low"/>
    <s v="Health"/>
  </r>
  <r>
    <s v="GM-00776"/>
    <s v="Central African Republic"/>
    <x v="2"/>
    <x v="6"/>
    <x v="1"/>
    <s v="Population, total"/>
    <s v="Demographics"/>
    <s v="SDG 11: Sustainable Cities and Communities"/>
    <n v="2476971"/>
    <s v="People"/>
    <s v="Central African Republic|1982"/>
    <s v="Gapminder/Plotly country-year extract reshaped to long indicator format for education"/>
    <s v="OK"/>
    <s v="1980s"/>
    <s v="N/A"/>
    <s v="Demographics"/>
  </r>
  <r>
    <s v="GM-00777"/>
    <s v="Central African Republic"/>
    <x v="2"/>
    <x v="6"/>
    <x v="2"/>
    <s v="GDP per capita"/>
    <s v="Economy"/>
    <s v="SDG 8: Decent Work and Economic Growth"/>
    <n v="956.75299070000005"/>
    <s v="Source-defined international dollars"/>
    <s v="Central African Republic|1982"/>
    <s v="Gapminder/Plotly country-year extract reshaped to long indicator format for education"/>
    <s v="OK"/>
    <s v="1980s"/>
    <s v="N/A"/>
    <s v="Economy"/>
  </r>
  <r>
    <s v="GM-00778"/>
    <s v="Central African Republic"/>
    <x v="2"/>
    <x v="7"/>
    <x v="0"/>
    <s v="Life expectancy at birth"/>
    <s v="Health"/>
    <s v="SDG 3: Good Health and Well-being"/>
    <n v="50.484999999999999"/>
    <s v="Years"/>
    <s v="Central African Republic|1987"/>
    <s v="Gapminder/Plotly country-year extract reshaped to long indicator format for education"/>
    <s v="OK"/>
    <s v="1980s"/>
    <s v="Low"/>
    <s v="Health"/>
  </r>
  <r>
    <s v="GM-00779"/>
    <s v="Central African Republic"/>
    <x v="2"/>
    <x v="7"/>
    <x v="1"/>
    <s v="Population, total"/>
    <s v="Demographics"/>
    <s v="SDG 11: Sustainable Cities and Communities"/>
    <n v="2840009"/>
    <s v="People"/>
    <s v="Central African Republic|1987"/>
    <s v="Gapminder/Plotly country-year extract reshaped to long indicator format for education"/>
    <s v="OK"/>
    <s v="1980s"/>
    <s v="N/A"/>
    <s v="Demographics"/>
  </r>
  <r>
    <s v="GM-00780"/>
    <s v="Central African Republic"/>
    <x v="2"/>
    <x v="7"/>
    <x v="2"/>
    <s v="GDP per capita"/>
    <s v="Economy"/>
    <s v="SDG 8: Decent Work and Economic Growth"/>
    <n v="844.87635039999998"/>
    <s v="Source-defined international dollars"/>
    <s v="Central African Republic|1987"/>
    <s v="Gapminder/Plotly country-year extract reshaped to long indicator format for education"/>
    <s v="OK"/>
    <s v="1980s"/>
    <s v="N/A"/>
    <s v="Economy"/>
  </r>
  <r>
    <s v="GM-00781"/>
    <s v="Central African Republic"/>
    <x v="2"/>
    <x v="8"/>
    <x v="0"/>
    <s v="Life expectancy at birth"/>
    <s v="Health"/>
    <s v="SDG 3: Good Health and Well-being"/>
    <n v="49.396000000000001"/>
    <s v="Years"/>
    <s v="Central African Republic|1992"/>
    <s v="Gapminder/Plotly country-year extract reshaped to long indicator format for education"/>
    <s v="OK"/>
    <s v="1990s"/>
    <s v="Low"/>
    <s v="Health"/>
  </r>
  <r>
    <s v="GM-00782"/>
    <s v="Central African Republic"/>
    <x v="2"/>
    <x v="8"/>
    <x v="1"/>
    <s v="Population, total"/>
    <s v="Demographics"/>
    <s v="SDG 11: Sustainable Cities and Communities"/>
    <n v="3265124"/>
    <s v="People"/>
    <s v="Central African Republic|1992"/>
    <s v="Gapminder/Plotly country-year extract reshaped to long indicator format for education"/>
    <s v="OK"/>
    <s v="1990s"/>
    <s v="N/A"/>
    <s v="Demographics"/>
  </r>
  <r>
    <s v="GM-00783"/>
    <s v="Central African Republic"/>
    <x v="2"/>
    <x v="8"/>
    <x v="2"/>
    <s v="GDP per capita"/>
    <s v="Economy"/>
    <s v="SDG 8: Decent Work and Economic Growth"/>
    <n v="747.90552520000006"/>
    <s v="Source-defined international dollars"/>
    <s v="Central African Republic|1992"/>
    <s v="Gapminder/Plotly country-year extract reshaped to long indicator format for education"/>
    <s v="OK"/>
    <s v="1990s"/>
    <s v="N/A"/>
    <s v="Economy"/>
  </r>
  <r>
    <s v="GM-00784"/>
    <s v="Central African Republic"/>
    <x v="2"/>
    <x v="9"/>
    <x v="0"/>
    <s v="Life expectancy at birth"/>
    <s v="Health"/>
    <s v="SDG 3: Good Health and Well-being"/>
    <n v="46.066000000000003"/>
    <s v="Years"/>
    <s v="Central African Republic|1997"/>
    <s v="Gapminder/Plotly country-year extract reshaped to long indicator format for education"/>
    <s v="OK"/>
    <s v="1990s"/>
    <s v="Low"/>
    <s v="Health"/>
  </r>
  <r>
    <s v="GM-00785"/>
    <s v="Central African Republic"/>
    <x v="2"/>
    <x v="9"/>
    <x v="1"/>
    <s v="Population, total"/>
    <s v="Demographics"/>
    <s v="SDG 11: Sustainable Cities and Communities"/>
    <n v="3696513"/>
    <s v="People"/>
    <s v="Central African Republic|1997"/>
    <s v="Gapminder/Plotly country-year extract reshaped to long indicator format for education"/>
    <s v="OK"/>
    <s v="1990s"/>
    <s v="N/A"/>
    <s v="Demographics"/>
  </r>
  <r>
    <s v="GM-00786"/>
    <s v="Central African Republic"/>
    <x v="2"/>
    <x v="9"/>
    <x v="2"/>
    <s v="GDP per capita"/>
    <s v="Economy"/>
    <s v="SDG 8: Decent Work and Economic Growth"/>
    <n v="740.50633170000003"/>
    <s v="Source-defined international dollars"/>
    <s v="Central African Republic|1997"/>
    <s v="Gapminder/Plotly country-year extract reshaped to long indicator format for education"/>
    <s v="OK"/>
    <s v="1990s"/>
    <s v="N/A"/>
    <s v="Economy"/>
  </r>
  <r>
    <s v="GM-00787"/>
    <s v="Central African Republic"/>
    <x v="2"/>
    <x v="10"/>
    <x v="0"/>
    <s v="Life expectancy at birth"/>
    <s v="Health"/>
    <s v="SDG 3: Good Health and Well-being"/>
    <n v="43.308"/>
    <s v="Years"/>
    <s v="Central African Republic|2002"/>
    <s v="Gapminder/Plotly country-year extract reshaped to long indicator format for education"/>
    <s v="OK"/>
    <s v="2000s"/>
    <s v="Low"/>
    <s v="Health"/>
  </r>
  <r>
    <s v="GM-00788"/>
    <s v="Central African Republic"/>
    <x v="2"/>
    <x v="10"/>
    <x v="1"/>
    <s v="Population, total"/>
    <s v="Demographics"/>
    <s v="SDG 11: Sustainable Cities and Communities"/>
    <n v="4048013"/>
    <s v="People"/>
    <s v="Central African Republic|2002"/>
    <s v="Gapminder/Plotly country-year extract reshaped to long indicator format for education"/>
    <s v="OK"/>
    <s v="2000s"/>
    <s v="N/A"/>
    <s v="Demographics"/>
  </r>
  <r>
    <s v="GM-00789"/>
    <s v="Central African Republic"/>
    <x v="2"/>
    <x v="10"/>
    <x v="2"/>
    <s v="GDP per capita"/>
    <s v="Economy"/>
    <s v="SDG 8: Decent Work and Economic Growth"/>
    <n v="738.69060679999996"/>
    <s v="Source-defined international dollars"/>
    <s v="Central African Republic|2002"/>
    <s v="Gapminder/Plotly country-year extract reshaped to long indicator format for education"/>
    <s v="OK"/>
    <s v="2000s"/>
    <s v="N/A"/>
    <s v="Economy"/>
  </r>
  <r>
    <s v="GM-00790"/>
    <s v="Central African Republic"/>
    <x v="2"/>
    <x v="11"/>
    <x v="0"/>
    <s v="Life expectancy at birth"/>
    <s v="Health"/>
    <s v="SDG 3: Good Health and Well-being"/>
    <n v="44.741"/>
    <s v="Years"/>
    <s v="Central African Republic|2007"/>
    <s v="Gapminder/Plotly country-year extract reshaped to long indicator format for education"/>
    <s v="OK"/>
    <s v="2000s"/>
    <s v="Low"/>
    <s v="Health"/>
  </r>
  <r>
    <s v="GM-00791"/>
    <s v="Central African Republic"/>
    <x v="2"/>
    <x v="11"/>
    <x v="1"/>
    <s v="Population, total"/>
    <s v="Demographics"/>
    <s v="SDG 11: Sustainable Cities and Communities"/>
    <n v="4369038"/>
    <s v="People"/>
    <s v="Central African Republic|2007"/>
    <s v="Gapminder/Plotly country-year extract reshaped to long indicator format for education"/>
    <s v="OK"/>
    <s v="2000s"/>
    <s v="N/A"/>
    <s v="Demographics"/>
  </r>
  <r>
    <s v="GM-00792"/>
    <s v="Central African Republic"/>
    <x v="2"/>
    <x v="11"/>
    <x v="2"/>
    <s v="GDP per capita"/>
    <s v="Economy"/>
    <s v="SDG 8: Decent Work and Economic Growth"/>
    <n v="706.01653699999997"/>
    <s v="Source-defined international dollars"/>
    <s v="Central African Republic|2007"/>
    <s v="Gapminder/Plotly country-year extract reshaped to long indicator format for education"/>
    <s v="OK"/>
    <s v="2000s"/>
    <s v="N/A"/>
    <s v="Economy"/>
  </r>
  <r>
    <s v="GM-00793"/>
    <s v="Chad"/>
    <x v="2"/>
    <x v="0"/>
    <x v="0"/>
    <s v="Life expectancy at birth"/>
    <s v="Health"/>
    <s v="SDG 3: Good Health and Well-being"/>
    <n v="38.091999999999999"/>
    <s v="Years"/>
    <s v="Chad|1952"/>
    <s v="Gapminder/Plotly country-year extract reshaped to long indicator format for education"/>
    <s v="OK"/>
    <s v="1950s"/>
    <s v="Low"/>
    <s v="Health"/>
  </r>
  <r>
    <s v="GM-00794"/>
    <s v="Chad"/>
    <x v="2"/>
    <x v="0"/>
    <x v="1"/>
    <s v="Population, total"/>
    <s v="Demographics"/>
    <s v="SDG 11: Sustainable Cities and Communities"/>
    <n v="2682462"/>
    <s v="People"/>
    <s v="Chad|1952"/>
    <s v="Gapminder/Plotly country-year extract reshaped to long indicator format for education"/>
    <s v="OK"/>
    <s v="1950s"/>
    <s v="N/A"/>
    <s v="Demographics"/>
  </r>
  <r>
    <s v="GM-00795"/>
    <s v="Chad"/>
    <x v="2"/>
    <x v="0"/>
    <x v="2"/>
    <s v="GDP per capita"/>
    <s v="Economy"/>
    <s v="SDG 8: Decent Work and Economic Growth"/>
    <n v="1178.665927"/>
    <s v="Source-defined international dollars"/>
    <s v="Chad|1952"/>
    <s v="Gapminder/Plotly country-year extract reshaped to long indicator format for education"/>
    <s v="OK"/>
    <s v="1950s"/>
    <s v="N/A"/>
    <s v="Economy"/>
  </r>
  <r>
    <s v="GM-00796"/>
    <s v="Chad"/>
    <x v="2"/>
    <x v="1"/>
    <x v="0"/>
    <s v="Life expectancy at birth"/>
    <s v="Health"/>
    <s v="SDG 3: Good Health and Well-being"/>
    <n v="39.881"/>
    <s v="Years"/>
    <s v="Chad|1957"/>
    <s v="Gapminder/Plotly country-year extract reshaped to long indicator format for education"/>
    <s v="OK"/>
    <s v="1950s"/>
    <s v="Low"/>
    <s v="Health"/>
  </r>
  <r>
    <s v="GM-00797"/>
    <s v="Chad"/>
    <x v="2"/>
    <x v="1"/>
    <x v="1"/>
    <s v="Population, total"/>
    <s v="Demographics"/>
    <s v="SDG 11: Sustainable Cities and Communities"/>
    <n v="2894855"/>
    <s v="People"/>
    <s v="Chad|1957"/>
    <s v="Gapminder/Plotly country-year extract reshaped to long indicator format for education"/>
    <s v="OK"/>
    <s v="1950s"/>
    <s v="N/A"/>
    <s v="Demographics"/>
  </r>
  <r>
    <s v="GM-00798"/>
    <s v="Chad"/>
    <x v="2"/>
    <x v="1"/>
    <x v="2"/>
    <s v="GDP per capita"/>
    <s v="Economy"/>
    <s v="SDG 8: Decent Work and Economic Growth"/>
    <n v="1308.4955769999999"/>
    <s v="Source-defined international dollars"/>
    <s v="Chad|1957"/>
    <s v="Gapminder/Plotly country-year extract reshaped to long indicator format for education"/>
    <s v="OK"/>
    <s v="1950s"/>
    <s v="N/A"/>
    <s v="Economy"/>
  </r>
  <r>
    <s v="GM-00799"/>
    <s v="Chad"/>
    <x v="2"/>
    <x v="2"/>
    <x v="0"/>
    <s v="Life expectancy at birth"/>
    <s v="Health"/>
    <s v="SDG 3: Good Health and Well-being"/>
    <n v="41.716000000000001"/>
    <s v="Years"/>
    <s v="Chad|1962"/>
    <s v="Gapminder/Plotly country-year extract reshaped to long indicator format for education"/>
    <s v="OK"/>
    <s v="1960s"/>
    <s v="Low"/>
    <s v="Health"/>
  </r>
  <r>
    <s v="GM-00800"/>
    <s v="Chad"/>
    <x v="2"/>
    <x v="2"/>
    <x v="1"/>
    <s v="Population, total"/>
    <s v="Demographics"/>
    <s v="SDG 11: Sustainable Cities and Communities"/>
    <n v="3150417"/>
    <s v="People"/>
    <s v="Chad|1962"/>
    <s v="Gapminder/Plotly country-year extract reshaped to long indicator format for education"/>
    <s v="OK"/>
    <s v="1960s"/>
    <s v="N/A"/>
    <s v="Demographics"/>
  </r>
  <r>
    <s v="GM-00801"/>
    <s v="Chad"/>
    <x v="2"/>
    <x v="2"/>
    <x v="2"/>
    <s v="GDP per capita"/>
    <s v="Economy"/>
    <s v="SDG 8: Decent Work and Economic Growth"/>
    <n v="1389.817618"/>
    <s v="Source-defined international dollars"/>
    <s v="Chad|1962"/>
    <s v="Gapminder/Plotly country-year extract reshaped to long indicator format for education"/>
    <s v="OK"/>
    <s v="1960s"/>
    <s v="N/A"/>
    <s v="Economy"/>
  </r>
  <r>
    <s v="GM-00802"/>
    <s v="Chad"/>
    <x v="2"/>
    <x v="3"/>
    <x v="0"/>
    <s v="Life expectancy at birth"/>
    <s v="Health"/>
    <s v="SDG 3: Good Health and Well-being"/>
    <n v="43.600999999999999"/>
    <s v="Years"/>
    <s v="Chad|1967"/>
    <s v="Gapminder/Plotly country-year extract reshaped to long indicator format for education"/>
    <s v="OK"/>
    <s v="1960s"/>
    <s v="Low"/>
    <s v="Health"/>
  </r>
  <r>
    <s v="GM-00803"/>
    <s v="Chad"/>
    <x v="2"/>
    <x v="3"/>
    <x v="1"/>
    <s v="Population, total"/>
    <s v="Demographics"/>
    <s v="SDG 11: Sustainable Cities and Communities"/>
    <n v="3495967"/>
    <s v="People"/>
    <s v="Chad|1967"/>
    <s v="Gapminder/Plotly country-year extract reshaped to long indicator format for education"/>
    <s v="OK"/>
    <s v="1960s"/>
    <s v="N/A"/>
    <s v="Demographics"/>
  </r>
  <r>
    <s v="GM-00804"/>
    <s v="Chad"/>
    <x v="2"/>
    <x v="3"/>
    <x v="2"/>
    <s v="GDP per capita"/>
    <s v="Economy"/>
    <s v="SDG 8: Decent Work and Economic Growth"/>
    <n v="1196.810565"/>
    <s v="Source-defined international dollars"/>
    <s v="Chad|1967"/>
    <s v="Gapminder/Plotly country-year extract reshaped to long indicator format for education"/>
    <s v="OK"/>
    <s v="1960s"/>
    <s v="N/A"/>
    <s v="Economy"/>
  </r>
  <r>
    <s v="GM-00805"/>
    <s v="Chad"/>
    <x v="2"/>
    <x v="4"/>
    <x v="0"/>
    <s v="Life expectancy at birth"/>
    <s v="Health"/>
    <s v="SDG 3: Good Health and Well-being"/>
    <n v="45.569000000000003"/>
    <s v="Years"/>
    <s v="Chad|1972"/>
    <s v="Gapminder/Plotly country-year extract reshaped to long indicator format for education"/>
    <s v="OK"/>
    <s v="1970s"/>
    <s v="Low"/>
    <s v="Health"/>
  </r>
  <r>
    <s v="GM-00806"/>
    <s v="Chad"/>
    <x v="2"/>
    <x v="4"/>
    <x v="1"/>
    <s v="Population, total"/>
    <s v="Demographics"/>
    <s v="SDG 11: Sustainable Cities and Communities"/>
    <n v="3899068"/>
    <s v="People"/>
    <s v="Chad|1972"/>
    <s v="Gapminder/Plotly country-year extract reshaped to long indicator format for education"/>
    <s v="OK"/>
    <s v="1970s"/>
    <s v="N/A"/>
    <s v="Demographics"/>
  </r>
  <r>
    <s v="GM-00807"/>
    <s v="Chad"/>
    <x v="2"/>
    <x v="4"/>
    <x v="2"/>
    <s v="GDP per capita"/>
    <s v="Economy"/>
    <s v="SDG 8: Decent Work and Economic Growth"/>
    <n v="1104.103987"/>
    <s v="Source-defined international dollars"/>
    <s v="Chad|1972"/>
    <s v="Gapminder/Plotly country-year extract reshaped to long indicator format for education"/>
    <s v="OK"/>
    <s v="1970s"/>
    <s v="N/A"/>
    <s v="Economy"/>
  </r>
  <r>
    <s v="GM-00808"/>
    <s v="Chad"/>
    <x v="2"/>
    <x v="5"/>
    <x v="0"/>
    <s v="Life expectancy at birth"/>
    <s v="Health"/>
    <s v="SDG 3: Good Health and Well-being"/>
    <n v="47.383000000000003"/>
    <s v="Years"/>
    <s v="Chad|1977"/>
    <s v="Gapminder/Plotly country-year extract reshaped to long indicator format for education"/>
    <s v="OK"/>
    <s v="1970s"/>
    <s v="Low"/>
    <s v="Health"/>
  </r>
  <r>
    <s v="GM-00809"/>
    <s v="Chad"/>
    <x v="2"/>
    <x v="5"/>
    <x v="1"/>
    <s v="Population, total"/>
    <s v="Demographics"/>
    <s v="SDG 11: Sustainable Cities and Communities"/>
    <n v="4388260"/>
    <s v="People"/>
    <s v="Chad|1977"/>
    <s v="Gapminder/Plotly country-year extract reshaped to long indicator format for education"/>
    <s v="OK"/>
    <s v="1970s"/>
    <s v="N/A"/>
    <s v="Demographics"/>
  </r>
  <r>
    <s v="GM-00810"/>
    <s v="Chad"/>
    <x v="2"/>
    <x v="5"/>
    <x v="2"/>
    <s v="GDP per capita"/>
    <s v="Economy"/>
    <s v="SDG 8: Decent Work and Economic Growth"/>
    <n v="1133.98495"/>
    <s v="Source-defined international dollars"/>
    <s v="Chad|1977"/>
    <s v="Gapminder/Plotly country-year extract reshaped to long indicator format for education"/>
    <s v="OK"/>
    <s v="1970s"/>
    <s v="N/A"/>
    <s v="Economy"/>
  </r>
  <r>
    <s v="GM-00811"/>
    <s v="Chad"/>
    <x v="2"/>
    <x v="6"/>
    <x v="0"/>
    <s v="Life expectancy at birth"/>
    <s v="Health"/>
    <s v="SDG 3: Good Health and Well-being"/>
    <n v="49.517000000000003"/>
    <s v="Years"/>
    <s v="Chad|1982"/>
    <s v="Gapminder/Plotly country-year extract reshaped to long indicator format for education"/>
    <s v="OK"/>
    <s v="1980s"/>
    <s v="Low"/>
    <s v="Health"/>
  </r>
  <r>
    <s v="GM-00812"/>
    <s v="Chad"/>
    <x v="2"/>
    <x v="6"/>
    <x v="1"/>
    <s v="Population, total"/>
    <s v="Demographics"/>
    <s v="SDG 11: Sustainable Cities and Communities"/>
    <n v="4875118"/>
    <s v="People"/>
    <s v="Chad|1982"/>
    <s v="Gapminder/Plotly country-year extract reshaped to long indicator format for education"/>
    <s v="OK"/>
    <s v="1980s"/>
    <s v="N/A"/>
    <s v="Demographics"/>
  </r>
  <r>
    <s v="GM-00813"/>
    <s v="Chad"/>
    <x v="2"/>
    <x v="6"/>
    <x v="2"/>
    <s v="GDP per capita"/>
    <s v="Economy"/>
    <s v="SDG 8: Decent Work and Economic Growth"/>
    <n v="797.90810060000001"/>
    <s v="Source-defined international dollars"/>
    <s v="Chad|1982"/>
    <s v="Gapminder/Plotly country-year extract reshaped to long indicator format for education"/>
    <s v="OK"/>
    <s v="1980s"/>
    <s v="N/A"/>
    <s v="Economy"/>
  </r>
  <r>
    <s v="GM-00814"/>
    <s v="Chad"/>
    <x v="2"/>
    <x v="7"/>
    <x v="0"/>
    <s v="Life expectancy at birth"/>
    <s v="Health"/>
    <s v="SDG 3: Good Health and Well-being"/>
    <n v="51.051000000000002"/>
    <s v="Years"/>
    <s v="Chad|1987"/>
    <s v="Gapminder/Plotly country-year extract reshaped to long indicator format for education"/>
    <s v="OK"/>
    <s v="1980s"/>
    <s v="Low"/>
    <s v="Health"/>
  </r>
  <r>
    <s v="GM-00815"/>
    <s v="Chad"/>
    <x v="2"/>
    <x v="7"/>
    <x v="1"/>
    <s v="Population, total"/>
    <s v="Demographics"/>
    <s v="SDG 11: Sustainable Cities and Communities"/>
    <n v="5498955"/>
    <s v="People"/>
    <s v="Chad|1987"/>
    <s v="Gapminder/Plotly country-year extract reshaped to long indicator format for education"/>
    <s v="OK"/>
    <s v="1980s"/>
    <s v="N/A"/>
    <s v="Demographics"/>
  </r>
  <r>
    <s v="GM-00816"/>
    <s v="Chad"/>
    <x v="2"/>
    <x v="7"/>
    <x v="2"/>
    <s v="GDP per capita"/>
    <s v="Economy"/>
    <s v="SDG 8: Decent Work and Economic Growth"/>
    <n v="952.38612899999998"/>
    <s v="Source-defined international dollars"/>
    <s v="Chad|1987"/>
    <s v="Gapminder/Plotly country-year extract reshaped to long indicator format for education"/>
    <s v="OK"/>
    <s v="1980s"/>
    <s v="N/A"/>
    <s v="Economy"/>
  </r>
  <r>
    <s v="GM-00817"/>
    <s v="Chad"/>
    <x v="2"/>
    <x v="8"/>
    <x v="0"/>
    <s v="Life expectancy at birth"/>
    <s v="Health"/>
    <s v="SDG 3: Good Health and Well-being"/>
    <n v="51.723999999999997"/>
    <s v="Years"/>
    <s v="Chad|1992"/>
    <s v="Gapminder/Plotly country-year extract reshaped to long indicator format for education"/>
    <s v="OK"/>
    <s v="1990s"/>
    <s v="Low"/>
    <s v="Health"/>
  </r>
  <r>
    <s v="GM-00818"/>
    <s v="Chad"/>
    <x v="2"/>
    <x v="8"/>
    <x v="1"/>
    <s v="Population, total"/>
    <s v="Demographics"/>
    <s v="SDG 11: Sustainable Cities and Communities"/>
    <n v="6429417"/>
    <s v="People"/>
    <s v="Chad|1992"/>
    <s v="Gapminder/Plotly country-year extract reshaped to long indicator format for education"/>
    <s v="OK"/>
    <s v="1990s"/>
    <s v="N/A"/>
    <s v="Demographics"/>
  </r>
  <r>
    <s v="GM-00819"/>
    <s v="Chad"/>
    <x v="2"/>
    <x v="8"/>
    <x v="2"/>
    <s v="GDP per capita"/>
    <s v="Economy"/>
    <s v="SDG 8: Decent Work and Economic Growth"/>
    <n v="1058.0643"/>
    <s v="Source-defined international dollars"/>
    <s v="Chad|1992"/>
    <s v="Gapminder/Plotly country-year extract reshaped to long indicator format for education"/>
    <s v="OK"/>
    <s v="1990s"/>
    <s v="N/A"/>
    <s v="Economy"/>
  </r>
  <r>
    <s v="GM-00820"/>
    <s v="Chad"/>
    <x v="2"/>
    <x v="9"/>
    <x v="0"/>
    <s v="Life expectancy at birth"/>
    <s v="Health"/>
    <s v="SDG 3: Good Health and Well-being"/>
    <n v="51.573"/>
    <s v="Years"/>
    <s v="Chad|1997"/>
    <s v="Gapminder/Plotly country-year extract reshaped to long indicator format for education"/>
    <s v="OK"/>
    <s v="1990s"/>
    <s v="Low"/>
    <s v="Health"/>
  </r>
  <r>
    <s v="GM-00821"/>
    <s v="Chad"/>
    <x v="2"/>
    <x v="9"/>
    <x v="1"/>
    <s v="Population, total"/>
    <s v="Demographics"/>
    <s v="SDG 11: Sustainable Cities and Communities"/>
    <n v="7562011"/>
    <s v="People"/>
    <s v="Chad|1997"/>
    <s v="Gapminder/Plotly country-year extract reshaped to long indicator format for education"/>
    <s v="OK"/>
    <s v="1990s"/>
    <s v="N/A"/>
    <s v="Demographics"/>
  </r>
  <r>
    <s v="GM-00822"/>
    <s v="Chad"/>
    <x v="2"/>
    <x v="9"/>
    <x v="2"/>
    <s v="GDP per capita"/>
    <s v="Economy"/>
    <s v="SDG 8: Decent Work and Economic Growth"/>
    <n v="1004.961353"/>
    <s v="Source-defined international dollars"/>
    <s v="Chad|1997"/>
    <s v="Gapminder/Plotly country-year extract reshaped to long indicator format for education"/>
    <s v="OK"/>
    <s v="1990s"/>
    <s v="N/A"/>
    <s v="Economy"/>
  </r>
  <r>
    <s v="GM-00823"/>
    <s v="Chad"/>
    <x v="2"/>
    <x v="10"/>
    <x v="0"/>
    <s v="Life expectancy at birth"/>
    <s v="Health"/>
    <s v="SDG 3: Good Health and Well-being"/>
    <n v="50.524999999999999"/>
    <s v="Years"/>
    <s v="Chad|2002"/>
    <s v="Gapminder/Plotly country-year extract reshaped to long indicator format for education"/>
    <s v="OK"/>
    <s v="2000s"/>
    <s v="Low"/>
    <s v="Health"/>
  </r>
  <r>
    <s v="GM-00824"/>
    <s v="Chad"/>
    <x v="2"/>
    <x v="10"/>
    <x v="1"/>
    <s v="Population, total"/>
    <s v="Demographics"/>
    <s v="SDG 11: Sustainable Cities and Communities"/>
    <n v="8835739"/>
    <s v="People"/>
    <s v="Chad|2002"/>
    <s v="Gapminder/Plotly country-year extract reshaped to long indicator format for education"/>
    <s v="OK"/>
    <s v="2000s"/>
    <s v="N/A"/>
    <s v="Demographics"/>
  </r>
  <r>
    <s v="GM-00825"/>
    <s v="Chad"/>
    <x v="2"/>
    <x v="10"/>
    <x v="2"/>
    <s v="GDP per capita"/>
    <s v="Economy"/>
    <s v="SDG 8: Decent Work and Economic Growth"/>
    <n v="1156.1818599999999"/>
    <s v="Source-defined international dollars"/>
    <s v="Chad|2002"/>
    <s v="Gapminder/Plotly country-year extract reshaped to long indicator format for education"/>
    <s v="OK"/>
    <s v="2000s"/>
    <s v="N/A"/>
    <s v="Economy"/>
  </r>
  <r>
    <s v="GM-00826"/>
    <s v="Chad"/>
    <x v="2"/>
    <x v="11"/>
    <x v="0"/>
    <s v="Life expectancy at birth"/>
    <s v="Health"/>
    <s v="SDG 3: Good Health and Well-being"/>
    <n v="50.651000000000003"/>
    <s v="Years"/>
    <s v="Chad|2007"/>
    <s v="Gapminder/Plotly country-year extract reshaped to long indicator format for education"/>
    <s v="OK"/>
    <s v="2000s"/>
    <s v="Low"/>
    <s v="Health"/>
  </r>
  <r>
    <s v="GM-00827"/>
    <s v="Chad"/>
    <x v="2"/>
    <x v="11"/>
    <x v="1"/>
    <s v="Population, total"/>
    <s v="Demographics"/>
    <s v="SDG 11: Sustainable Cities and Communities"/>
    <n v="10238807"/>
    <s v="People"/>
    <s v="Chad|2007"/>
    <s v="Gapminder/Plotly country-year extract reshaped to long indicator format for education"/>
    <s v="OK"/>
    <s v="2000s"/>
    <s v="N/A"/>
    <s v="Demographics"/>
  </r>
  <r>
    <s v="GM-00828"/>
    <s v="Chad"/>
    <x v="2"/>
    <x v="11"/>
    <x v="2"/>
    <s v="GDP per capita"/>
    <s v="Economy"/>
    <s v="SDG 8: Decent Work and Economic Growth"/>
    <n v="1704.0637240000001"/>
    <s v="Source-defined international dollars"/>
    <s v="Chad|2007"/>
    <s v="Gapminder/Plotly country-year extract reshaped to long indicator format for education"/>
    <s v="OK"/>
    <s v="2000s"/>
    <s v="N/A"/>
    <s v="Economy"/>
  </r>
  <r>
    <s v="GM-00829"/>
    <s v="Chile"/>
    <x v="3"/>
    <x v="0"/>
    <x v="0"/>
    <s v="Life expectancy at birth"/>
    <s v="Health"/>
    <s v="SDG 3: Good Health and Well-being"/>
    <n v="54.744999999999997"/>
    <s v="Years"/>
    <s v="Chile|1952"/>
    <s v="Gapminder/Plotly country-year extract reshaped to long indicator format for education"/>
    <s v="OK"/>
    <s v="1950s"/>
    <s v="Low"/>
    <s v="Health"/>
  </r>
  <r>
    <s v="GM-00830"/>
    <s v="Chile"/>
    <x v="3"/>
    <x v="0"/>
    <x v="1"/>
    <s v="Population, total"/>
    <s v="Demographics"/>
    <s v="SDG 11: Sustainable Cities and Communities"/>
    <n v="6377619"/>
    <s v="People"/>
    <s v="Chile|1952"/>
    <s v="Gapminder/Plotly country-year extract reshaped to long indicator format for education"/>
    <s v="OK"/>
    <s v="1950s"/>
    <s v="N/A"/>
    <s v="Demographics"/>
  </r>
  <r>
    <s v="GM-00831"/>
    <s v="Chile"/>
    <x v="3"/>
    <x v="0"/>
    <x v="2"/>
    <s v="GDP per capita"/>
    <s v="Economy"/>
    <s v="SDG 8: Decent Work and Economic Growth"/>
    <n v="3939.9787889999998"/>
    <s v="Source-defined international dollars"/>
    <s v="Chile|1952"/>
    <s v="Gapminder/Plotly country-year extract reshaped to long indicator format for education"/>
    <s v="OK"/>
    <s v="1950s"/>
    <s v="N/A"/>
    <s v="Economy"/>
  </r>
  <r>
    <s v="GM-00832"/>
    <s v="Chile"/>
    <x v="3"/>
    <x v="1"/>
    <x v="0"/>
    <s v="Life expectancy at birth"/>
    <s v="Health"/>
    <s v="SDG 3: Good Health and Well-being"/>
    <n v="56.073999999999998"/>
    <s v="Years"/>
    <s v="Chile|1957"/>
    <s v="Gapminder/Plotly country-year extract reshaped to long indicator format for education"/>
    <s v="OK"/>
    <s v="1950s"/>
    <s v="Medium"/>
    <s v="Health"/>
  </r>
  <r>
    <s v="GM-00833"/>
    <s v="Chile"/>
    <x v="3"/>
    <x v="1"/>
    <x v="1"/>
    <s v="Population, total"/>
    <s v="Demographics"/>
    <s v="SDG 11: Sustainable Cities and Communities"/>
    <n v="7048426"/>
    <s v="People"/>
    <s v="Chile|1957"/>
    <s v="Gapminder/Plotly country-year extract reshaped to long indicator format for education"/>
    <s v="OK"/>
    <s v="1950s"/>
    <s v="N/A"/>
    <s v="Demographics"/>
  </r>
  <r>
    <s v="GM-00834"/>
    <s v="Chile"/>
    <x v="3"/>
    <x v="1"/>
    <x v="2"/>
    <s v="GDP per capita"/>
    <s v="Economy"/>
    <s v="SDG 8: Decent Work and Economic Growth"/>
    <n v="4315.6227230000004"/>
    <s v="Source-defined international dollars"/>
    <s v="Chile|1957"/>
    <s v="Gapminder/Plotly country-year extract reshaped to long indicator format for education"/>
    <s v="OK"/>
    <s v="1950s"/>
    <s v="N/A"/>
    <s v="Economy"/>
  </r>
  <r>
    <s v="GM-00835"/>
    <s v="Chile"/>
    <x v="3"/>
    <x v="2"/>
    <x v="0"/>
    <s v="Life expectancy at birth"/>
    <s v="Health"/>
    <s v="SDG 3: Good Health and Well-being"/>
    <n v="57.923999999999999"/>
    <s v="Years"/>
    <s v="Chile|1962"/>
    <s v="Gapminder/Plotly country-year extract reshaped to long indicator format for education"/>
    <s v="OK"/>
    <s v="1960s"/>
    <s v="Medium"/>
    <s v="Health"/>
  </r>
  <r>
    <s v="GM-00836"/>
    <s v="Chile"/>
    <x v="3"/>
    <x v="2"/>
    <x v="1"/>
    <s v="Population, total"/>
    <s v="Demographics"/>
    <s v="SDG 11: Sustainable Cities and Communities"/>
    <n v="7961258"/>
    <s v="People"/>
    <s v="Chile|1962"/>
    <s v="Gapminder/Plotly country-year extract reshaped to long indicator format for education"/>
    <s v="OK"/>
    <s v="1960s"/>
    <s v="N/A"/>
    <s v="Demographics"/>
  </r>
  <r>
    <s v="GM-00837"/>
    <s v="Chile"/>
    <x v="3"/>
    <x v="2"/>
    <x v="2"/>
    <s v="GDP per capita"/>
    <s v="Economy"/>
    <s v="SDG 8: Decent Work and Economic Growth"/>
    <n v="4519.0943310000002"/>
    <s v="Source-defined international dollars"/>
    <s v="Chile|1962"/>
    <s v="Gapminder/Plotly country-year extract reshaped to long indicator format for education"/>
    <s v="OK"/>
    <s v="1960s"/>
    <s v="N/A"/>
    <s v="Economy"/>
  </r>
  <r>
    <s v="GM-00838"/>
    <s v="Chile"/>
    <x v="3"/>
    <x v="3"/>
    <x v="0"/>
    <s v="Life expectancy at birth"/>
    <s v="Health"/>
    <s v="SDG 3: Good Health and Well-being"/>
    <n v="60.523000000000003"/>
    <s v="Years"/>
    <s v="Chile|1967"/>
    <s v="Gapminder/Plotly country-year extract reshaped to long indicator format for education"/>
    <s v="OK"/>
    <s v="1960s"/>
    <s v="Medium"/>
    <s v="Health"/>
  </r>
  <r>
    <s v="GM-00839"/>
    <s v="Chile"/>
    <x v="3"/>
    <x v="3"/>
    <x v="1"/>
    <s v="Population, total"/>
    <s v="Demographics"/>
    <s v="SDG 11: Sustainable Cities and Communities"/>
    <n v="8858908"/>
    <s v="People"/>
    <s v="Chile|1967"/>
    <s v="Gapminder/Plotly country-year extract reshaped to long indicator format for education"/>
    <s v="OK"/>
    <s v="1960s"/>
    <s v="N/A"/>
    <s v="Demographics"/>
  </r>
  <r>
    <s v="GM-00840"/>
    <s v="Chile"/>
    <x v="3"/>
    <x v="3"/>
    <x v="2"/>
    <s v="GDP per capita"/>
    <s v="Economy"/>
    <s v="SDG 8: Decent Work and Economic Growth"/>
    <n v="5106.654313"/>
    <s v="Source-defined international dollars"/>
    <s v="Chile|1967"/>
    <s v="Gapminder/Plotly country-year extract reshaped to long indicator format for education"/>
    <s v="OK"/>
    <s v="1960s"/>
    <s v="N/A"/>
    <s v="Economy"/>
  </r>
  <r>
    <s v="GM-00841"/>
    <s v="Chile"/>
    <x v="3"/>
    <x v="4"/>
    <x v="0"/>
    <s v="Life expectancy at birth"/>
    <s v="Health"/>
    <s v="SDG 3: Good Health and Well-being"/>
    <n v="63.441000000000003"/>
    <s v="Years"/>
    <s v="Chile|1972"/>
    <s v="Gapminder/Plotly country-year extract reshaped to long indicator format for education"/>
    <s v="OK"/>
    <s v="1970s"/>
    <s v="Medium"/>
    <s v="Health"/>
  </r>
  <r>
    <s v="GM-00842"/>
    <s v="Chile"/>
    <x v="3"/>
    <x v="4"/>
    <x v="1"/>
    <s v="Population, total"/>
    <s v="Demographics"/>
    <s v="SDG 11: Sustainable Cities and Communities"/>
    <n v="9717524"/>
    <s v="People"/>
    <s v="Chile|1972"/>
    <s v="Gapminder/Plotly country-year extract reshaped to long indicator format for education"/>
    <s v="OK"/>
    <s v="1970s"/>
    <s v="N/A"/>
    <s v="Demographics"/>
  </r>
  <r>
    <s v="GM-00843"/>
    <s v="Chile"/>
    <x v="3"/>
    <x v="4"/>
    <x v="2"/>
    <s v="GDP per capita"/>
    <s v="Economy"/>
    <s v="SDG 8: Decent Work and Economic Growth"/>
    <n v="5494.024437"/>
    <s v="Source-defined international dollars"/>
    <s v="Chile|1972"/>
    <s v="Gapminder/Plotly country-year extract reshaped to long indicator format for education"/>
    <s v="OK"/>
    <s v="1970s"/>
    <s v="N/A"/>
    <s v="Economy"/>
  </r>
  <r>
    <s v="GM-00844"/>
    <s v="Chile"/>
    <x v="3"/>
    <x v="5"/>
    <x v="0"/>
    <s v="Life expectancy at birth"/>
    <s v="Health"/>
    <s v="SDG 3: Good Health and Well-being"/>
    <n v="67.051999999999893"/>
    <s v="Years"/>
    <s v="Chile|1977"/>
    <s v="Gapminder/Plotly country-year extract reshaped to long indicator format for education"/>
    <s v="OK"/>
    <s v="1970s"/>
    <s v="Medium"/>
    <s v="Health"/>
  </r>
  <r>
    <s v="GM-00845"/>
    <s v="Chile"/>
    <x v="3"/>
    <x v="5"/>
    <x v="1"/>
    <s v="Population, total"/>
    <s v="Demographics"/>
    <s v="SDG 11: Sustainable Cities and Communities"/>
    <n v="10599793"/>
    <s v="People"/>
    <s v="Chile|1977"/>
    <s v="Gapminder/Plotly country-year extract reshaped to long indicator format for education"/>
    <s v="OK"/>
    <s v="1970s"/>
    <s v="N/A"/>
    <s v="Demographics"/>
  </r>
  <r>
    <s v="GM-00846"/>
    <s v="Chile"/>
    <x v="3"/>
    <x v="5"/>
    <x v="2"/>
    <s v="GDP per capita"/>
    <s v="Economy"/>
    <s v="SDG 8: Decent Work and Economic Growth"/>
    <n v="4756.7638360000001"/>
    <s v="Source-defined international dollars"/>
    <s v="Chile|1977"/>
    <s v="Gapminder/Plotly country-year extract reshaped to long indicator format for education"/>
    <s v="OK"/>
    <s v="1970s"/>
    <s v="N/A"/>
    <s v="Economy"/>
  </r>
  <r>
    <s v="GM-00847"/>
    <s v="Chile"/>
    <x v="3"/>
    <x v="6"/>
    <x v="0"/>
    <s v="Life expectancy at birth"/>
    <s v="Health"/>
    <s v="SDG 3: Good Health and Well-being"/>
    <n v="70.564999999999998"/>
    <s v="Years"/>
    <s v="Chile|1982"/>
    <s v="Gapminder/Plotly country-year extract reshaped to long indicator format for education"/>
    <s v="OK"/>
    <s v="1980s"/>
    <s v="High"/>
    <s v="Health"/>
  </r>
  <r>
    <s v="GM-00848"/>
    <s v="Chile"/>
    <x v="3"/>
    <x v="6"/>
    <x v="1"/>
    <s v="Population, total"/>
    <s v="Demographics"/>
    <s v="SDG 11: Sustainable Cities and Communities"/>
    <n v="11487112"/>
    <s v="People"/>
    <s v="Chile|1982"/>
    <s v="Gapminder/Plotly country-year extract reshaped to long indicator format for education"/>
    <s v="OK"/>
    <s v="1980s"/>
    <s v="N/A"/>
    <s v="Demographics"/>
  </r>
  <r>
    <s v="GM-00849"/>
    <s v="Chile"/>
    <x v="3"/>
    <x v="6"/>
    <x v="2"/>
    <s v="GDP per capita"/>
    <s v="Economy"/>
    <s v="SDG 8: Decent Work and Economic Growth"/>
    <n v="5095.6657379999997"/>
    <s v="Source-defined international dollars"/>
    <s v="Chile|1982"/>
    <s v="Gapminder/Plotly country-year extract reshaped to long indicator format for education"/>
    <s v="OK"/>
    <s v="1980s"/>
    <s v="N/A"/>
    <s v="Economy"/>
  </r>
  <r>
    <s v="GM-00850"/>
    <s v="Chile"/>
    <x v="3"/>
    <x v="7"/>
    <x v="0"/>
    <s v="Life expectancy at birth"/>
    <s v="Health"/>
    <s v="SDG 3: Good Health and Well-being"/>
    <n v="72.492000000000004"/>
    <s v="Years"/>
    <s v="Chile|1987"/>
    <s v="Gapminder/Plotly country-year extract reshaped to long indicator format for education"/>
    <s v="OK"/>
    <s v="1980s"/>
    <s v="High"/>
    <s v="Health"/>
  </r>
  <r>
    <s v="GM-00851"/>
    <s v="Chile"/>
    <x v="3"/>
    <x v="7"/>
    <x v="1"/>
    <s v="Population, total"/>
    <s v="Demographics"/>
    <s v="SDG 11: Sustainable Cities and Communities"/>
    <n v="12463354"/>
    <s v="People"/>
    <s v="Chile|1987"/>
    <s v="Gapminder/Plotly country-year extract reshaped to long indicator format for education"/>
    <s v="OK"/>
    <s v="1980s"/>
    <s v="N/A"/>
    <s v="Demographics"/>
  </r>
  <r>
    <s v="GM-00852"/>
    <s v="Chile"/>
    <x v="3"/>
    <x v="7"/>
    <x v="2"/>
    <s v="GDP per capita"/>
    <s v="Economy"/>
    <s v="SDG 8: Decent Work and Economic Growth"/>
    <n v="5547.0637539999998"/>
    <s v="Source-defined international dollars"/>
    <s v="Chile|1987"/>
    <s v="Gapminder/Plotly country-year extract reshaped to long indicator format for education"/>
    <s v="OK"/>
    <s v="1980s"/>
    <s v="N/A"/>
    <s v="Economy"/>
  </r>
  <r>
    <s v="GM-00853"/>
    <s v="Chile"/>
    <x v="3"/>
    <x v="8"/>
    <x v="0"/>
    <s v="Life expectancy at birth"/>
    <s v="Health"/>
    <s v="SDG 3: Good Health and Well-being"/>
    <n v="74.126000000000005"/>
    <s v="Years"/>
    <s v="Chile|1992"/>
    <s v="Gapminder/Plotly country-year extract reshaped to long indicator format for education"/>
    <s v="OK"/>
    <s v="1990s"/>
    <s v="High"/>
    <s v="Health"/>
  </r>
  <r>
    <s v="GM-00854"/>
    <s v="Chile"/>
    <x v="3"/>
    <x v="8"/>
    <x v="1"/>
    <s v="Population, total"/>
    <s v="Demographics"/>
    <s v="SDG 11: Sustainable Cities and Communities"/>
    <n v="13572994"/>
    <s v="People"/>
    <s v="Chile|1992"/>
    <s v="Gapminder/Plotly country-year extract reshaped to long indicator format for education"/>
    <s v="OK"/>
    <s v="1990s"/>
    <s v="N/A"/>
    <s v="Demographics"/>
  </r>
  <r>
    <s v="GM-00855"/>
    <s v="Chile"/>
    <x v="3"/>
    <x v="8"/>
    <x v="2"/>
    <s v="GDP per capita"/>
    <s v="Economy"/>
    <s v="SDG 8: Decent Work and Economic Growth"/>
    <n v="7596.1259639999998"/>
    <s v="Source-defined international dollars"/>
    <s v="Chile|1992"/>
    <s v="Gapminder/Plotly country-year extract reshaped to long indicator format for education"/>
    <s v="OK"/>
    <s v="1990s"/>
    <s v="N/A"/>
    <s v="Economy"/>
  </r>
  <r>
    <s v="GM-00856"/>
    <s v="Chile"/>
    <x v="3"/>
    <x v="9"/>
    <x v="0"/>
    <s v="Life expectancy at birth"/>
    <s v="Health"/>
    <s v="SDG 3: Good Health and Well-being"/>
    <n v="75.816000000000003"/>
    <s v="Years"/>
    <s v="Chile|1997"/>
    <s v="Gapminder/Plotly country-year extract reshaped to long indicator format for education"/>
    <s v="OK"/>
    <s v="1990s"/>
    <s v="High"/>
    <s v="Health"/>
  </r>
  <r>
    <s v="GM-00857"/>
    <s v="Chile"/>
    <x v="3"/>
    <x v="9"/>
    <x v="1"/>
    <s v="Population, total"/>
    <s v="Demographics"/>
    <s v="SDG 11: Sustainable Cities and Communities"/>
    <n v="14599929"/>
    <s v="People"/>
    <s v="Chile|1997"/>
    <s v="Gapminder/Plotly country-year extract reshaped to long indicator format for education"/>
    <s v="OK"/>
    <s v="1990s"/>
    <s v="N/A"/>
    <s v="Demographics"/>
  </r>
  <r>
    <s v="GM-00858"/>
    <s v="Chile"/>
    <x v="3"/>
    <x v="9"/>
    <x v="2"/>
    <s v="GDP per capita"/>
    <s v="Economy"/>
    <s v="SDG 8: Decent Work and Economic Growth"/>
    <n v="10118.053180000001"/>
    <s v="Source-defined international dollars"/>
    <s v="Chile|1997"/>
    <s v="Gapminder/Plotly country-year extract reshaped to long indicator format for education"/>
    <s v="OK"/>
    <s v="1990s"/>
    <s v="N/A"/>
    <s v="Economy"/>
  </r>
  <r>
    <s v="GM-00859"/>
    <s v="Chile"/>
    <x v="3"/>
    <x v="10"/>
    <x v="0"/>
    <s v="Life expectancy at birth"/>
    <s v="Health"/>
    <s v="SDG 3: Good Health and Well-being"/>
    <n v="77.86"/>
    <s v="Years"/>
    <s v="Chile|2002"/>
    <s v="Gapminder/Plotly country-year extract reshaped to long indicator format for education"/>
    <s v="OK"/>
    <s v="2000s"/>
    <s v="High"/>
    <s v="Health"/>
  </r>
  <r>
    <s v="GM-00860"/>
    <s v="Chile"/>
    <x v="3"/>
    <x v="10"/>
    <x v="1"/>
    <s v="Population, total"/>
    <s v="Demographics"/>
    <s v="SDG 11: Sustainable Cities and Communities"/>
    <n v="15497046"/>
    <s v="People"/>
    <s v="Chile|2002"/>
    <s v="Gapminder/Plotly country-year extract reshaped to long indicator format for education"/>
    <s v="OK"/>
    <s v="2000s"/>
    <s v="N/A"/>
    <s v="Demographics"/>
  </r>
  <r>
    <s v="GM-00861"/>
    <s v="Chile"/>
    <x v="3"/>
    <x v="10"/>
    <x v="2"/>
    <s v="GDP per capita"/>
    <s v="Economy"/>
    <s v="SDG 8: Decent Work and Economic Growth"/>
    <n v="10778.78385"/>
    <s v="Source-defined international dollars"/>
    <s v="Chile|2002"/>
    <s v="Gapminder/Plotly country-year extract reshaped to long indicator format for education"/>
    <s v="OK"/>
    <s v="2000s"/>
    <s v="N/A"/>
    <s v="Economy"/>
  </r>
  <r>
    <s v="GM-00862"/>
    <s v="Chile"/>
    <x v="3"/>
    <x v="11"/>
    <x v="0"/>
    <s v="Life expectancy at birth"/>
    <s v="Health"/>
    <s v="SDG 3: Good Health and Well-being"/>
    <n v="78.552999999999997"/>
    <s v="Years"/>
    <s v="Chile|2007"/>
    <s v="Gapminder/Plotly country-year extract reshaped to long indicator format for education"/>
    <s v="OK"/>
    <s v="2000s"/>
    <s v="High"/>
    <s v="Health"/>
  </r>
  <r>
    <s v="GM-00863"/>
    <s v="Chile"/>
    <x v="3"/>
    <x v="11"/>
    <x v="1"/>
    <s v="Population, total"/>
    <s v="Demographics"/>
    <s v="SDG 11: Sustainable Cities and Communities"/>
    <n v="16284741"/>
    <s v="People"/>
    <s v="Chile|2007"/>
    <s v="Gapminder/Plotly country-year extract reshaped to long indicator format for education"/>
    <s v="OK"/>
    <s v="2000s"/>
    <s v="N/A"/>
    <s v="Demographics"/>
  </r>
  <r>
    <s v="GM-00864"/>
    <s v="Chile"/>
    <x v="3"/>
    <x v="11"/>
    <x v="2"/>
    <s v="GDP per capita"/>
    <s v="Economy"/>
    <s v="SDG 8: Decent Work and Economic Growth"/>
    <n v="13171.638849999999"/>
    <s v="Source-defined international dollars"/>
    <s v="Chile|2007"/>
    <s v="Gapminder/Plotly country-year extract reshaped to long indicator format for education"/>
    <s v="OK"/>
    <s v="2000s"/>
    <s v="N/A"/>
    <s v="Economy"/>
  </r>
  <r>
    <s v="GM-00865"/>
    <s v="China"/>
    <x v="0"/>
    <x v="0"/>
    <x v="0"/>
    <s v="Life expectancy at birth"/>
    <s v="Health"/>
    <s v="SDG 3: Good Health and Well-being"/>
    <n v="44"/>
    <s v="Years"/>
    <s v="China|1952"/>
    <s v="Gapminder/Plotly country-year extract reshaped to long indicator format for education"/>
    <s v="OK"/>
    <s v="1950s"/>
    <s v="Low"/>
    <s v="Health"/>
  </r>
  <r>
    <s v="GM-00866"/>
    <s v="China"/>
    <x v="0"/>
    <x v="0"/>
    <x v="1"/>
    <s v="Population, total"/>
    <s v="Demographics"/>
    <s v="SDG 11: Sustainable Cities and Communities"/>
    <n v="556263527"/>
    <s v="People"/>
    <s v="China|1952"/>
    <s v="Gapminder/Plotly country-year extract reshaped to long indicator format for education"/>
    <s v="OK"/>
    <s v="1950s"/>
    <s v="N/A"/>
    <s v="Demographics"/>
  </r>
  <r>
    <s v="GM-00867"/>
    <s v="China"/>
    <x v="0"/>
    <x v="0"/>
    <x v="2"/>
    <s v="GDP per capita"/>
    <s v="Economy"/>
    <s v="SDG 8: Decent Work and Economic Growth"/>
    <n v="400.44861100000003"/>
    <s v="Source-defined international dollars"/>
    <s v="China|1952"/>
    <s v="Gapminder/Plotly country-year extract reshaped to long indicator format for education"/>
    <s v="OK"/>
    <s v="1950s"/>
    <s v="N/A"/>
    <s v="Economy"/>
  </r>
  <r>
    <s v="GM-00868"/>
    <s v="China"/>
    <x v="0"/>
    <x v="1"/>
    <x v="0"/>
    <s v="Life expectancy at birth"/>
    <s v="Health"/>
    <s v="SDG 3: Good Health and Well-being"/>
    <n v="50.548960000000001"/>
    <s v="Years"/>
    <s v="China|1957"/>
    <s v="Gapminder/Plotly country-year extract reshaped to long indicator format for education"/>
    <s v="OK"/>
    <s v="1950s"/>
    <s v="Low"/>
    <s v="Health"/>
  </r>
  <r>
    <s v="GM-00869"/>
    <s v="China"/>
    <x v="0"/>
    <x v="1"/>
    <x v="1"/>
    <s v="Population, total"/>
    <s v="Demographics"/>
    <s v="SDG 11: Sustainable Cities and Communities"/>
    <n v="637408000"/>
    <s v="People"/>
    <s v="China|1957"/>
    <s v="Gapminder/Plotly country-year extract reshaped to long indicator format for education"/>
    <s v="OK"/>
    <s v="1950s"/>
    <s v="N/A"/>
    <s v="Demographics"/>
  </r>
  <r>
    <s v="GM-00870"/>
    <s v="China"/>
    <x v="0"/>
    <x v="1"/>
    <x v="2"/>
    <s v="GDP per capita"/>
    <s v="Economy"/>
    <s v="SDG 8: Decent Work and Economic Growth"/>
    <n v="575.9870009"/>
    <s v="Source-defined international dollars"/>
    <s v="China|1957"/>
    <s v="Gapminder/Plotly country-year extract reshaped to long indicator format for education"/>
    <s v="OK"/>
    <s v="1950s"/>
    <s v="N/A"/>
    <s v="Economy"/>
  </r>
  <r>
    <s v="GM-00871"/>
    <s v="China"/>
    <x v="0"/>
    <x v="2"/>
    <x v="0"/>
    <s v="Life expectancy at birth"/>
    <s v="Health"/>
    <s v="SDG 3: Good Health and Well-being"/>
    <n v="44.501359999999998"/>
    <s v="Years"/>
    <s v="China|1962"/>
    <s v="Gapminder/Plotly country-year extract reshaped to long indicator format for education"/>
    <s v="OK"/>
    <s v="1960s"/>
    <s v="Low"/>
    <s v="Health"/>
  </r>
  <r>
    <s v="GM-00872"/>
    <s v="China"/>
    <x v="0"/>
    <x v="2"/>
    <x v="1"/>
    <s v="Population, total"/>
    <s v="Demographics"/>
    <s v="SDG 11: Sustainable Cities and Communities"/>
    <n v="665770000"/>
    <s v="People"/>
    <s v="China|1962"/>
    <s v="Gapminder/Plotly country-year extract reshaped to long indicator format for education"/>
    <s v="OK"/>
    <s v="1960s"/>
    <s v="N/A"/>
    <s v="Demographics"/>
  </r>
  <r>
    <s v="GM-00873"/>
    <s v="China"/>
    <x v="0"/>
    <x v="2"/>
    <x v="2"/>
    <s v="GDP per capita"/>
    <s v="Economy"/>
    <s v="SDG 8: Decent Work and Economic Growth"/>
    <n v="487.6740183"/>
    <s v="Source-defined international dollars"/>
    <s v="China|1962"/>
    <s v="Gapminder/Plotly country-year extract reshaped to long indicator format for education"/>
    <s v="OK"/>
    <s v="1960s"/>
    <s v="N/A"/>
    <s v="Economy"/>
  </r>
  <r>
    <s v="GM-00874"/>
    <s v="China"/>
    <x v="0"/>
    <x v="3"/>
    <x v="0"/>
    <s v="Life expectancy at birth"/>
    <s v="Health"/>
    <s v="SDG 3: Good Health and Well-being"/>
    <n v="58.381120000000003"/>
    <s v="Years"/>
    <s v="China|1967"/>
    <s v="Gapminder/Plotly country-year extract reshaped to long indicator format for education"/>
    <s v="OK"/>
    <s v="1960s"/>
    <s v="Medium"/>
    <s v="Health"/>
  </r>
  <r>
    <s v="GM-00875"/>
    <s v="China"/>
    <x v="0"/>
    <x v="3"/>
    <x v="1"/>
    <s v="Population, total"/>
    <s v="Demographics"/>
    <s v="SDG 11: Sustainable Cities and Communities"/>
    <n v="754550000"/>
    <s v="People"/>
    <s v="China|1967"/>
    <s v="Gapminder/Plotly country-year extract reshaped to long indicator format for education"/>
    <s v="OK"/>
    <s v="1960s"/>
    <s v="N/A"/>
    <s v="Demographics"/>
  </r>
  <r>
    <s v="GM-00876"/>
    <s v="China"/>
    <x v="0"/>
    <x v="3"/>
    <x v="2"/>
    <s v="GDP per capita"/>
    <s v="Economy"/>
    <s v="SDG 8: Decent Work and Economic Growth"/>
    <n v="612.70569339999997"/>
    <s v="Source-defined international dollars"/>
    <s v="China|1967"/>
    <s v="Gapminder/Plotly country-year extract reshaped to long indicator format for education"/>
    <s v="OK"/>
    <s v="1960s"/>
    <s v="N/A"/>
    <s v="Economy"/>
  </r>
  <r>
    <s v="GM-00877"/>
    <s v="China"/>
    <x v="0"/>
    <x v="4"/>
    <x v="0"/>
    <s v="Life expectancy at birth"/>
    <s v="Health"/>
    <s v="SDG 3: Good Health and Well-being"/>
    <n v="63.118879999999997"/>
    <s v="Years"/>
    <s v="China|1972"/>
    <s v="Gapminder/Plotly country-year extract reshaped to long indicator format for education"/>
    <s v="OK"/>
    <s v="1970s"/>
    <s v="Medium"/>
    <s v="Health"/>
  </r>
  <r>
    <s v="GM-00878"/>
    <s v="China"/>
    <x v="0"/>
    <x v="4"/>
    <x v="1"/>
    <s v="Population, total"/>
    <s v="Demographics"/>
    <s v="SDG 11: Sustainable Cities and Communities"/>
    <n v="862030000"/>
    <s v="People"/>
    <s v="China|1972"/>
    <s v="Gapminder/Plotly country-year extract reshaped to long indicator format for education"/>
    <s v="OK"/>
    <s v="1970s"/>
    <s v="N/A"/>
    <s v="Demographics"/>
  </r>
  <r>
    <s v="GM-00879"/>
    <s v="China"/>
    <x v="0"/>
    <x v="4"/>
    <x v="2"/>
    <s v="GDP per capita"/>
    <s v="Economy"/>
    <s v="SDG 8: Decent Work and Economic Growth"/>
    <n v="676.90009210000005"/>
    <s v="Source-defined international dollars"/>
    <s v="China|1972"/>
    <s v="Gapminder/Plotly country-year extract reshaped to long indicator format for education"/>
    <s v="OK"/>
    <s v="1970s"/>
    <s v="N/A"/>
    <s v="Economy"/>
  </r>
  <r>
    <s v="GM-00880"/>
    <s v="China"/>
    <x v="0"/>
    <x v="5"/>
    <x v="0"/>
    <s v="Life expectancy at birth"/>
    <s v="Health"/>
    <s v="SDG 3: Good Health and Well-being"/>
    <n v="63.967359999999999"/>
    <s v="Years"/>
    <s v="China|1977"/>
    <s v="Gapminder/Plotly country-year extract reshaped to long indicator format for education"/>
    <s v="OK"/>
    <s v="1970s"/>
    <s v="Medium"/>
    <s v="Health"/>
  </r>
  <r>
    <s v="GM-00881"/>
    <s v="China"/>
    <x v="0"/>
    <x v="5"/>
    <x v="1"/>
    <s v="Population, total"/>
    <s v="Demographics"/>
    <s v="SDG 11: Sustainable Cities and Communities"/>
    <n v="943455000"/>
    <s v="People"/>
    <s v="China|1977"/>
    <s v="Gapminder/Plotly country-year extract reshaped to long indicator format for education"/>
    <s v="OK"/>
    <s v="1970s"/>
    <s v="N/A"/>
    <s v="Demographics"/>
  </r>
  <r>
    <s v="GM-00882"/>
    <s v="China"/>
    <x v="0"/>
    <x v="5"/>
    <x v="2"/>
    <s v="GDP per capita"/>
    <s v="Economy"/>
    <s v="SDG 8: Decent Work and Economic Growth"/>
    <n v="741.23746989999995"/>
    <s v="Source-defined international dollars"/>
    <s v="China|1977"/>
    <s v="Gapminder/Plotly country-year extract reshaped to long indicator format for education"/>
    <s v="OK"/>
    <s v="1970s"/>
    <s v="N/A"/>
    <s v="Economy"/>
  </r>
  <r>
    <s v="GM-00883"/>
    <s v="China"/>
    <x v="0"/>
    <x v="6"/>
    <x v="0"/>
    <s v="Life expectancy at birth"/>
    <s v="Health"/>
    <s v="SDG 3: Good Health and Well-being"/>
    <n v="65.525000000000006"/>
    <s v="Years"/>
    <s v="China|1982"/>
    <s v="Gapminder/Plotly country-year extract reshaped to long indicator format for education"/>
    <s v="OK"/>
    <s v="1980s"/>
    <s v="Medium"/>
    <s v="Health"/>
  </r>
  <r>
    <s v="GM-00884"/>
    <s v="China"/>
    <x v="0"/>
    <x v="6"/>
    <x v="1"/>
    <s v="Population, total"/>
    <s v="Demographics"/>
    <s v="SDG 11: Sustainable Cities and Communities"/>
    <n v="1000281000"/>
    <s v="People"/>
    <s v="China|1982"/>
    <s v="Gapminder/Plotly country-year extract reshaped to long indicator format for education"/>
    <s v="OK"/>
    <s v="1980s"/>
    <s v="N/A"/>
    <s v="Demographics"/>
  </r>
  <r>
    <s v="GM-00885"/>
    <s v="China"/>
    <x v="0"/>
    <x v="6"/>
    <x v="2"/>
    <s v="GDP per capita"/>
    <s v="Economy"/>
    <s v="SDG 8: Decent Work and Economic Growth"/>
    <n v="962.42138050000005"/>
    <s v="Source-defined international dollars"/>
    <s v="China|1982"/>
    <s v="Gapminder/Plotly country-year extract reshaped to long indicator format for education"/>
    <s v="OK"/>
    <s v="1980s"/>
    <s v="N/A"/>
    <s v="Economy"/>
  </r>
  <r>
    <s v="GM-00886"/>
    <s v="China"/>
    <x v="0"/>
    <x v="7"/>
    <x v="0"/>
    <s v="Life expectancy at birth"/>
    <s v="Health"/>
    <s v="SDG 3: Good Health and Well-being"/>
    <n v="67.274000000000001"/>
    <s v="Years"/>
    <s v="China|1987"/>
    <s v="Gapminder/Plotly country-year extract reshaped to long indicator format for education"/>
    <s v="OK"/>
    <s v="1980s"/>
    <s v="Medium"/>
    <s v="Health"/>
  </r>
  <r>
    <s v="GM-00887"/>
    <s v="China"/>
    <x v="0"/>
    <x v="7"/>
    <x v="1"/>
    <s v="Population, total"/>
    <s v="Demographics"/>
    <s v="SDG 11: Sustainable Cities and Communities"/>
    <n v="1084035000"/>
    <s v="People"/>
    <s v="China|1987"/>
    <s v="Gapminder/Plotly country-year extract reshaped to long indicator format for education"/>
    <s v="OK"/>
    <s v="1980s"/>
    <s v="N/A"/>
    <s v="Demographics"/>
  </r>
  <r>
    <s v="GM-00888"/>
    <s v="China"/>
    <x v="0"/>
    <x v="7"/>
    <x v="2"/>
    <s v="GDP per capita"/>
    <s v="Economy"/>
    <s v="SDG 8: Decent Work and Economic Growth"/>
    <n v="1378.904018"/>
    <s v="Source-defined international dollars"/>
    <s v="China|1987"/>
    <s v="Gapminder/Plotly country-year extract reshaped to long indicator format for education"/>
    <s v="OK"/>
    <s v="1980s"/>
    <s v="N/A"/>
    <s v="Economy"/>
  </r>
  <r>
    <s v="GM-00889"/>
    <s v="China"/>
    <x v="0"/>
    <x v="8"/>
    <x v="0"/>
    <s v="Life expectancy at birth"/>
    <s v="Health"/>
    <s v="SDG 3: Good Health and Well-being"/>
    <n v="68.69"/>
    <s v="Years"/>
    <s v="China|1992"/>
    <s v="Gapminder/Plotly country-year extract reshaped to long indicator format for education"/>
    <s v="OK"/>
    <s v="1990s"/>
    <s v="Medium"/>
    <s v="Health"/>
  </r>
  <r>
    <s v="GM-00890"/>
    <s v="China"/>
    <x v="0"/>
    <x v="8"/>
    <x v="1"/>
    <s v="Population, total"/>
    <s v="Demographics"/>
    <s v="SDG 11: Sustainable Cities and Communities"/>
    <n v="1164970000"/>
    <s v="People"/>
    <s v="China|1992"/>
    <s v="Gapminder/Plotly country-year extract reshaped to long indicator format for education"/>
    <s v="OK"/>
    <s v="1990s"/>
    <s v="N/A"/>
    <s v="Demographics"/>
  </r>
  <r>
    <s v="GM-00891"/>
    <s v="China"/>
    <x v="0"/>
    <x v="8"/>
    <x v="2"/>
    <s v="GDP per capita"/>
    <s v="Economy"/>
    <s v="SDG 8: Decent Work and Economic Growth"/>
    <n v="1655.7841579999999"/>
    <s v="Source-defined international dollars"/>
    <s v="China|1992"/>
    <s v="Gapminder/Plotly country-year extract reshaped to long indicator format for education"/>
    <s v="OK"/>
    <s v="1990s"/>
    <s v="N/A"/>
    <s v="Economy"/>
  </r>
  <r>
    <s v="GM-00892"/>
    <s v="China"/>
    <x v="0"/>
    <x v="9"/>
    <x v="0"/>
    <s v="Life expectancy at birth"/>
    <s v="Health"/>
    <s v="SDG 3: Good Health and Well-being"/>
    <n v="70.426000000000002"/>
    <s v="Years"/>
    <s v="China|1997"/>
    <s v="Gapminder/Plotly country-year extract reshaped to long indicator format for education"/>
    <s v="OK"/>
    <s v="1990s"/>
    <s v="High"/>
    <s v="Health"/>
  </r>
  <r>
    <s v="GM-00893"/>
    <s v="China"/>
    <x v="0"/>
    <x v="9"/>
    <x v="1"/>
    <s v="Population, total"/>
    <s v="Demographics"/>
    <s v="SDG 11: Sustainable Cities and Communities"/>
    <n v="1230075000"/>
    <s v="People"/>
    <s v="China|1997"/>
    <s v="Gapminder/Plotly country-year extract reshaped to long indicator format for education"/>
    <s v="OK"/>
    <s v="1990s"/>
    <s v="N/A"/>
    <s v="Demographics"/>
  </r>
  <r>
    <s v="GM-00894"/>
    <s v="China"/>
    <x v="0"/>
    <x v="9"/>
    <x v="2"/>
    <s v="GDP per capita"/>
    <s v="Economy"/>
    <s v="SDG 8: Decent Work and Economic Growth"/>
    <n v="2289.234136"/>
    <s v="Source-defined international dollars"/>
    <s v="China|1997"/>
    <s v="Gapminder/Plotly country-year extract reshaped to long indicator format for education"/>
    <s v="OK"/>
    <s v="1990s"/>
    <s v="N/A"/>
    <s v="Economy"/>
  </r>
  <r>
    <s v="GM-00895"/>
    <s v="China"/>
    <x v="0"/>
    <x v="10"/>
    <x v="0"/>
    <s v="Life expectancy at birth"/>
    <s v="Health"/>
    <s v="SDG 3: Good Health and Well-being"/>
    <n v="72.028000000000006"/>
    <s v="Years"/>
    <s v="China|2002"/>
    <s v="Gapminder/Plotly country-year extract reshaped to long indicator format for education"/>
    <s v="OK"/>
    <s v="2000s"/>
    <s v="High"/>
    <s v="Health"/>
  </r>
  <r>
    <s v="GM-00896"/>
    <s v="China"/>
    <x v="0"/>
    <x v="10"/>
    <x v="1"/>
    <s v="Population, total"/>
    <s v="Demographics"/>
    <s v="SDG 11: Sustainable Cities and Communities"/>
    <n v="1280400000"/>
    <s v="People"/>
    <s v="China|2002"/>
    <s v="Gapminder/Plotly country-year extract reshaped to long indicator format for education"/>
    <s v="OK"/>
    <s v="2000s"/>
    <s v="N/A"/>
    <s v="Demographics"/>
  </r>
  <r>
    <s v="GM-00897"/>
    <s v="China"/>
    <x v="0"/>
    <x v="10"/>
    <x v="2"/>
    <s v="GDP per capita"/>
    <s v="Economy"/>
    <s v="SDG 8: Decent Work and Economic Growth"/>
    <n v="3119.2808960000002"/>
    <s v="Source-defined international dollars"/>
    <s v="China|2002"/>
    <s v="Gapminder/Plotly country-year extract reshaped to long indicator format for education"/>
    <s v="OK"/>
    <s v="2000s"/>
    <s v="N/A"/>
    <s v="Economy"/>
  </r>
  <r>
    <s v="GM-00898"/>
    <s v="China"/>
    <x v="0"/>
    <x v="11"/>
    <x v="0"/>
    <s v="Life expectancy at birth"/>
    <s v="Health"/>
    <s v="SDG 3: Good Health and Well-being"/>
    <n v="72.960999999999999"/>
    <s v="Years"/>
    <s v="China|2007"/>
    <s v="Gapminder/Plotly country-year extract reshaped to long indicator format for education"/>
    <s v="OK"/>
    <s v="2000s"/>
    <s v="High"/>
    <s v="Health"/>
  </r>
  <r>
    <s v="GM-00899"/>
    <s v="China"/>
    <x v="0"/>
    <x v="11"/>
    <x v="1"/>
    <s v="Population, total"/>
    <s v="Demographics"/>
    <s v="SDG 11: Sustainable Cities and Communities"/>
    <n v="1318683096"/>
    <s v="People"/>
    <s v="China|2007"/>
    <s v="Gapminder/Plotly country-year extract reshaped to long indicator format for education"/>
    <s v="OK"/>
    <s v="2000s"/>
    <s v="N/A"/>
    <s v="Demographics"/>
  </r>
  <r>
    <s v="GM-00900"/>
    <s v="China"/>
    <x v="0"/>
    <x v="11"/>
    <x v="2"/>
    <s v="GDP per capita"/>
    <s v="Economy"/>
    <s v="SDG 8: Decent Work and Economic Growth"/>
    <n v="4959.1148540000004"/>
    <s v="Source-defined international dollars"/>
    <s v="China|2007"/>
    <s v="Gapminder/Plotly country-year extract reshaped to long indicator format for education"/>
    <s v="OK"/>
    <s v="2000s"/>
    <s v="N/A"/>
    <s v="Economy"/>
  </r>
  <r>
    <s v="GM-00901"/>
    <s v="Colombia"/>
    <x v="3"/>
    <x v="0"/>
    <x v="0"/>
    <s v="Life expectancy at birth"/>
    <s v="Health"/>
    <s v="SDG 3: Good Health and Well-being"/>
    <n v="50.643000000000001"/>
    <s v="Years"/>
    <s v="Colombia|1952"/>
    <s v="Gapminder/Plotly country-year extract reshaped to long indicator format for education"/>
    <s v="OK"/>
    <s v="1950s"/>
    <s v="Low"/>
    <s v="Health"/>
  </r>
  <r>
    <s v="GM-00902"/>
    <s v="Colombia"/>
    <x v="3"/>
    <x v="0"/>
    <x v="1"/>
    <s v="Population, total"/>
    <s v="Demographics"/>
    <s v="SDG 11: Sustainable Cities and Communities"/>
    <n v="12350771"/>
    <s v="People"/>
    <s v="Colombia|1952"/>
    <s v="Gapminder/Plotly country-year extract reshaped to long indicator format for education"/>
    <s v="OK"/>
    <s v="1950s"/>
    <s v="N/A"/>
    <s v="Demographics"/>
  </r>
  <r>
    <s v="GM-00903"/>
    <s v="Colombia"/>
    <x v="3"/>
    <x v="0"/>
    <x v="2"/>
    <s v="GDP per capita"/>
    <s v="Economy"/>
    <s v="SDG 8: Decent Work and Economic Growth"/>
    <n v="2144.115096"/>
    <s v="Source-defined international dollars"/>
    <s v="Colombia|1952"/>
    <s v="Gapminder/Plotly country-year extract reshaped to long indicator format for education"/>
    <s v="OK"/>
    <s v="1950s"/>
    <s v="N/A"/>
    <s v="Economy"/>
  </r>
  <r>
    <s v="GM-00904"/>
    <s v="Colombia"/>
    <x v="3"/>
    <x v="1"/>
    <x v="0"/>
    <s v="Life expectancy at birth"/>
    <s v="Health"/>
    <s v="SDG 3: Good Health and Well-being"/>
    <n v="55.118000000000002"/>
    <s v="Years"/>
    <s v="Colombia|1957"/>
    <s v="Gapminder/Plotly country-year extract reshaped to long indicator format for education"/>
    <s v="OK"/>
    <s v="1950s"/>
    <s v="Medium"/>
    <s v="Health"/>
  </r>
  <r>
    <s v="GM-00905"/>
    <s v="Colombia"/>
    <x v="3"/>
    <x v="1"/>
    <x v="1"/>
    <s v="Population, total"/>
    <s v="Demographics"/>
    <s v="SDG 11: Sustainable Cities and Communities"/>
    <n v="14485993"/>
    <s v="People"/>
    <s v="Colombia|1957"/>
    <s v="Gapminder/Plotly country-year extract reshaped to long indicator format for education"/>
    <s v="OK"/>
    <s v="1950s"/>
    <s v="N/A"/>
    <s v="Demographics"/>
  </r>
  <r>
    <s v="GM-00906"/>
    <s v="Colombia"/>
    <x v="3"/>
    <x v="1"/>
    <x v="2"/>
    <s v="GDP per capita"/>
    <s v="Economy"/>
    <s v="SDG 8: Decent Work and Economic Growth"/>
    <n v="2323.8055810000001"/>
    <s v="Source-defined international dollars"/>
    <s v="Colombia|1957"/>
    <s v="Gapminder/Plotly country-year extract reshaped to long indicator format for education"/>
    <s v="OK"/>
    <s v="1950s"/>
    <s v="N/A"/>
    <s v="Economy"/>
  </r>
  <r>
    <s v="GM-00907"/>
    <s v="Colombia"/>
    <x v="3"/>
    <x v="2"/>
    <x v="0"/>
    <s v="Life expectancy at birth"/>
    <s v="Health"/>
    <s v="SDG 3: Good Health and Well-being"/>
    <n v="57.863"/>
    <s v="Years"/>
    <s v="Colombia|1962"/>
    <s v="Gapminder/Plotly country-year extract reshaped to long indicator format for education"/>
    <s v="OK"/>
    <s v="1960s"/>
    <s v="Medium"/>
    <s v="Health"/>
  </r>
  <r>
    <s v="GM-00908"/>
    <s v="Colombia"/>
    <x v="3"/>
    <x v="2"/>
    <x v="1"/>
    <s v="Population, total"/>
    <s v="Demographics"/>
    <s v="SDG 11: Sustainable Cities and Communities"/>
    <n v="17009885"/>
    <s v="People"/>
    <s v="Colombia|1962"/>
    <s v="Gapminder/Plotly country-year extract reshaped to long indicator format for education"/>
    <s v="OK"/>
    <s v="1960s"/>
    <s v="N/A"/>
    <s v="Demographics"/>
  </r>
  <r>
    <s v="GM-00909"/>
    <s v="Colombia"/>
    <x v="3"/>
    <x v="2"/>
    <x v="2"/>
    <s v="GDP per capita"/>
    <s v="Economy"/>
    <s v="SDG 8: Decent Work and Economic Growth"/>
    <n v="2492.3511090000002"/>
    <s v="Source-defined international dollars"/>
    <s v="Colombia|1962"/>
    <s v="Gapminder/Plotly country-year extract reshaped to long indicator format for education"/>
    <s v="OK"/>
    <s v="1960s"/>
    <s v="N/A"/>
    <s v="Economy"/>
  </r>
  <r>
    <s v="GM-00910"/>
    <s v="Colombia"/>
    <x v="3"/>
    <x v="3"/>
    <x v="0"/>
    <s v="Life expectancy at birth"/>
    <s v="Health"/>
    <s v="SDG 3: Good Health and Well-being"/>
    <n v="59.963000000000001"/>
    <s v="Years"/>
    <s v="Colombia|1967"/>
    <s v="Gapminder/Plotly country-year extract reshaped to long indicator format for education"/>
    <s v="OK"/>
    <s v="1960s"/>
    <s v="Medium"/>
    <s v="Health"/>
  </r>
  <r>
    <s v="GM-00911"/>
    <s v="Colombia"/>
    <x v="3"/>
    <x v="3"/>
    <x v="1"/>
    <s v="Population, total"/>
    <s v="Demographics"/>
    <s v="SDG 11: Sustainable Cities and Communities"/>
    <n v="19764027"/>
    <s v="People"/>
    <s v="Colombia|1967"/>
    <s v="Gapminder/Plotly country-year extract reshaped to long indicator format for education"/>
    <s v="OK"/>
    <s v="1960s"/>
    <s v="N/A"/>
    <s v="Demographics"/>
  </r>
  <r>
    <s v="GM-00912"/>
    <s v="Colombia"/>
    <x v="3"/>
    <x v="3"/>
    <x v="2"/>
    <s v="GDP per capita"/>
    <s v="Economy"/>
    <s v="SDG 8: Decent Work and Economic Growth"/>
    <n v="2678.7298390000001"/>
    <s v="Source-defined international dollars"/>
    <s v="Colombia|1967"/>
    <s v="Gapminder/Plotly country-year extract reshaped to long indicator format for education"/>
    <s v="OK"/>
    <s v="1960s"/>
    <s v="N/A"/>
    <s v="Economy"/>
  </r>
  <r>
    <s v="GM-00913"/>
    <s v="Colombia"/>
    <x v="3"/>
    <x v="4"/>
    <x v="0"/>
    <s v="Life expectancy at birth"/>
    <s v="Health"/>
    <s v="SDG 3: Good Health and Well-being"/>
    <n v="61.622999999999998"/>
    <s v="Years"/>
    <s v="Colombia|1972"/>
    <s v="Gapminder/Plotly country-year extract reshaped to long indicator format for education"/>
    <s v="OK"/>
    <s v="1970s"/>
    <s v="Medium"/>
    <s v="Health"/>
  </r>
  <r>
    <s v="GM-00914"/>
    <s v="Colombia"/>
    <x v="3"/>
    <x v="4"/>
    <x v="1"/>
    <s v="Population, total"/>
    <s v="Demographics"/>
    <s v="SDG 11: Sustainable Cities and Communities"/>
    <n v="22542890"/>
    <s v="People"/>
    <s v="Colombia|1972"/>
    <s v="Gapminder/Plotly country-year extract reshaped to long indicator format for education"/>
    <s v="OK"/>
    <s v="1970s"/>
    <s v="N/A"/>
    <s v="Demographics"/>
  </r>
  <r>
    <s v="GM-00915"/>
    <s v="Colombia"/>
    <x v="3"/>
    <x v="4"/>
    <x v="2"/>
    <s v="GDP per capita"/>
    <s v="Economy"/>
    <s v="SDG 8: Decent Work and Economic Growth"/>
    <n v="3264.6600410000001"/>
    <s v="Source-defined international dollars"/>
    <s v="Colombia|1972"/>
    <s v="Gapminder/Plotly country-year extract reshaped to long indicator format for education"/>
    <s v="OK"/>
    <s v="1970s"/>
    <s v="N/A"/>
    <s v="Economy"/>
  </r>
  <r>
    <s v="GM-00916"/>
    <s v="Colombia"/>
    <x v="3"/>
    <x v="5"/>
    <x v="0"/>
    <s v="Life expectancy at birth"/>
    <s v="Health"/>
    <s v="SDG 3: Good Health and Well-being"/>
    <n v="63.837000000000003"/>
    <s v="Years"/>
    <s v="Colombia|1977"/>
    <s v="Gapminder/Plotly country-year extract reshaped to long indicator format for education"/>
    <s v="OK"/>
    <s v="1970s"/>
    <s v="Medium"/>
    <s v="Health"/>
  </r>
  <r>
    <s v="GM-00917"/>
    <s v="Colombia"/>
    <x v="3"/>
    <x v="5"/>
    <x v="1"/>
    <s v="Population, total"/>
    <s v="Demographics"/>
    <s v="SDG 11: Sustainable Cities and Communities"/>
    <n v="25094412"/>
    <s v="People"/>
    <s v="Colombia|1977"/>
    <s v="Gapminder/Plotly country-year extract reshaped to long indicator format for education"/>
    <s v="OK"/>
    <s v="1970s"/>
    <s v="N/A"/>
    <s v="Demographics"/>
  </r>
  <r>
    <s v="GM-00918"/>
    <s v="Colombia"/>
    <x v="3"/>
    <x v="5"/>
    <x v="2"/>
    <s v="GDP per capita"/>
    <s v="Economy"/>
    <s v="SDG 8: Decent Work and Economic Growth"/>
    <n v="3815.8078700000001"/>
    <s v="Source-defined international dollars"/>
    <s v="Colombia|1977"/>
    <s v="Gapminder/Plotly country-year extract reshaped to long indicator format for education"/>
    <s v="OK"/>
    <s v="1970s"/>
    <s v="N/A"/>
    <s v="Economy"/>
  </r>
  <r>
    <s v="GM-00919"/>
    <s v="Colombia"/>
    <x v="3"/>
    <x v="6"/>
    <x v="0"/>
    <s v="Life expectancy at birth"/>
    <s v="Health"/>
    <s v="SDG 3: Good Health and Well-being"/>
    <n v="66.653000000000006"/>
    <s v="Years"/>
    <s v="Colombia|1982"/>
    <s v="Gapminder/Plotly country-year extract reshaped to long indicator format for education"/>
    <s v="OK"/>
    <s v="1980s"/>
    <s v="Medium"/>
    <s v="Health"/>
  </r>
  <r>
    <s v="GM-00920"/>
    <s v="Colombia"/>
    <x v="3"/>
    <x v="6"/>
    <x v="1"/>
    <s v="Population, total"/>
    <s v="Demographics"/>
    <s v="SDG 11: Sustainable Cities and Communities"/>
    <n v="27764644"/>
    <s v="People"/>
    <s v="Colombia|1982"/>
    <s v="Gapminder/Plotly country-year extract reshaped to long indicator format for education"/>
    <s v="OK"/>
    <s v="1980s"/>
    <s v="N/A"/>
    <s v="Demographics"/>
  </r>
  <r>
    <s v="GM-00921"/>
    <s v="Colombia"/>
    <x v="3"/>
    <x v="6"/>
    <x v="2"/>
    <s v="GDP per capita"/>
    <s v="Economy"/>
    <s v="SDG 8: Decent Work and Economic Growth"/>
    <n v="4397.5756590000001"/>
    <s v="Source-defined international dollars"/>
    <s v="Colombia|1982"/>
    <s v="Gapminder/Plotly country-year extract reshaped to long indicator format for education"/>
    <s v="OK"/>
    <s v="1980s"/>
    <s v="N/A"/>
    <s v="Economy"/>
  </r>
  <r>
    <s v="GM-00922"/>
    <s v="Colombia"/>
    <x v="3"/>
    <x v="7"/>
    <x v="0"/>
    <s v="Life expectancy at birth"/>
    <s v="Health"/>
    <s v="SDG 3: Good Health and Well-being"/>
    <n v="67.768000000000001"/>
    <s v="Years"/>
    <s v="Colombia|1987"/>
    <s v="Gapminder/Plotly country-year extract reshaped to long indicator format for education"/>
    <s v="OK"/>
    <s v="1980s"/>
    <s v="Medium"/>
    <s v="Health"/>
  </r>
  <r>
    <s v="GM-00923"/>
    <s v="Colombia"/>
    <x v="3"/>
    <x v="7"/>
    <x v="1"/>
    <s v="Population, total"/>
    <s v="Demographics"/>
    <s v="SDG 11: Sustainable Cities and Communities"/>
    <n v="30964245"/>
    <s v="People"/>
    <s v="Colombia|1987"/>
    <s v="Gapminder/Plotly country-year extract reshaped to long indicator format for education"/>
    <s v="OK"/>
    <s v="1980s"/>
    <s v="N/A"/>
    <s v="Demographics"/>
  </r>
  <r>
    <s v="GM-00924"/>
    <s v="Colombia"/>
    <x v="3"/>
    <x v="7"/>
    <x v="2"/>
    <s v="GDP per capita"/>
    <s v="Economy"/>
    <s v="SDG 8: Decent Work and Economic Growth"/>
    <n v="4903.2191000000003"/>
    <s v="Source-defined international dollars"/>
    <s v="Colombia|1987"/>
    <s v="Gapminder/Plotly country-year extract reshaped to long indicator format for education"/>
    <s v="OK"/>
    <s v="1980s"/>
    <s v="N/A"/>
    <s v="Economy"/>
  </r>
  <r>
    <s v="GM-00925"/>
    <s v="Colombia"/>
    <x v="3"/>
    <x v="8"/>
    <x v="0"/>
    <s v="Life expectancy at birth"/>
    <s v="Health"/>
    <s v="SDG 3: Good Health and Well-being"/>
    <n v="68.421000000000006"/>
    <s v="Years"/>
    <s v="Colombia|1992"/>
    <s v="Gapminder/Plotly country-year extract reshaped to long indicator format for education"/>
    <s v="OK"/>
    <s v="1990s"/>
    <s v="Medium"/>
    <s v="Health"/>
  </r>
  <r>
    <s v="GM-00926"/>
    <s v="Colombia"/>
    <x v="3"/>
    <x v="8"/>
    <x v="1"/>
    <s v="Population, total"/>
    <s v="Demographics"/>
    <s v="SDG 11: Sustainable Cities and Communities"/>
    <n v="34202721"/>
    <s v="People"/>
    <s v="Colombia|1992"/>
    <s v="Gapminder/Plotly country-year extract reshaped to long indicator format for education"/>
    <s v="OK"/>
    <s v="1990s"/>
    <s v="N/A"/>
    <s v="Demographics"/>
  </r>
  <r>
    <s v="GM-00927"/>
    <s v="Colombia"/>
    <x v="3"/>
    <x v="8"/>
    <x v="2"/>
    <s v="GDP per capita"/>
    <s v="Economy"/>
    <s v="SDG 8: Decent Work and Economic Growth"/>
    <n v="5444.6486169999998"/>
    <s v="Source-defined international dollars"/>
    <s v="Colombia|1992"/>
    <s v="Gapminder/Plotly country-year extract reshaped to long indicator format for education"/>
    <s v="OK"/>
    <s v="1990s"/>
    <s v="N/A"/>
    <s v="Economy"/>
  </r>
  <r>
    <s v="GM-00928"/>
    <s v="Colombia"/>
    <x v="3"/>
    <x v="9"/>
    <x v="0"/>
    <s v="Life expectancy at birth"/>
    <s v="Health"/>
    <s v="SDG 3: Good Health and Well-being"/>
    <n v="70.313000000000002"/>
    <s v="Years"/>
    <s v="Colombia|1997"/>
    <s v="Gapminder/Plotly country-year extract reshaped to long indicator format for education"/>
    <s v="OK"/>
    <s v="1990s"/>
    <s v="High"/>
    <s v="Health"/>
  </r>
  <r>
    <s v="GM-00929"/>
    <s v="Colombia"/>
    <x v="3"/>
    <x v="9"/>
    <x v="1"/>
    <s v="Population, total"/>
    <s v="Demographics"/>
    <s v="SDG 11: Sustainable Cities and Communities"/>
    <n v="37657830"/>
    <s v="People"/>
    <s v="Colombia|1997"/>
    <s v="Gapminder/Plotly country-year extract reshaped to long indicator format for education"/>
    <s v="OK"/>
    <s v="1990s"/>
    <s v="N/A"/>
    <s v="Demographics"/>
  </r>
  <r>
    <s v="GM-00930"/>
    <s v="Colombia"/>
    <x v="3"/>
    <x v="9"/>
    <x v="2"/>
    <s v="GDP per capita"/>
    <s v="Economy"/>
    <s v="SDG 8: Decent Work and Economic Growth"/>
    <n v="6117.3617459999996"/>
    <s v="Source-defined international dollars"/>
    <s v="Colombia|1997"/>
    <s v="Gapminder/Plotly country-year extract reshaped to long indicator format for education"/>
    <s v="OK"/>
    <s v="1990s"/>
    <s v="N/A"/>
    <s v="Economy"/>
  </r>
  <r>
    <s v="GM-00931"/>
    <s v="Colombia"/>
    <x v="3"/>
    <x v="10"/>
    <x v="0"/>
    <s v="Life expectancy at birth"/>
    <s v="Health"/>
    <s v="SDG 3: Good Health and Well-being"/>
    <n v="71.682000000000002"/>
    <s v="Years"/>
    <s v="Colombia|2002"/>
    <s v="Gapminder/Plotly country-year extract reshaped to long indicator format for education"/>
    <s v="OK"/>
    <s v="2000s"/>
    <s v="High"/>
    <s v="Health"/>
  </r>
  <r>
    <s v="GM-00932"/>
    <s v="Colombia"/>
    <x v="3"/>
    <x v="10"/>
    <x v="1"/>
    <s v="Population, total"/>
    <s v="Demographics"/>
    <s v="SDG 11: Sustainable Cities and Communities"/>
    <n v="41008227"/>
    <s v="People"/>
    <s v="Colombia|2002"/>
    <s v="Gapminder/Plotly country-year extract reshaped to long indicator format for education"/>
    <s v="OK"/>
    <s v="2000s"/>
    <s v="N/A"/>
    <s v="Demographics"/>
  </r>
  <r>
    <s v="GM-00933"/>
    <s v="Colombia"/>
    <x v="3"/>
    <x v="10"/>
    <x v="2"/>
    <s v="GDP per capita"/>
    <s v="Economy"/>
    <s v="SDG 8: Decent Work and Economic Growth"/>
    <n v="5755.2599620000001"/>
    <s v="Source-defined international dollars"/>
    <s v="Colombia|2002"/>
    <s v="Gapminder/Plotly country-year extract reshaped to long indicator format for education"/>
    <s v="OK"/>
    <s v="2000s"/>
    <s v="N/A"/>
    <s v="Economy"/>
  </r>
  <r>
    <s v="GM-00934"/>
    <s v="Colombia"/>
    <x v="3"/>
    <x v="11"/>
    <x v="0"/>
    <s v="Life expectancy at birth"/>
    <s v="Health"/>
    <s v="SDG 3: Good Health and Well-being"/>
    <n v="72.888999999999996"/>
    <s v="Years"/>
    <s v="Colombia|2007"/>
    <s v="Gapminder/Plotly country-year extract reshaped to long indicator format for education"/>
    <s v="OK"/>
    <s v="2000s"/>
    <s v="High"/>
    <s v="Health"/>
  </r>
  <r>
    <s v="GM-00935"/>
    <s v="Colombia"/>
    <x v="3"/>
    <x v="11"/>
    <x v="1"/>
    <s v="Population, total"/>
    <s v="Demographics"/>
    <s v="SDG 11: Sustainable Cities and Communities"/>
    <n v="44227550"/>
    <s v="People"/>
    <s v="Colombia|2007"/>
    <s v="Gapminder/Plotly country-year extract reshaped to long indicator format for education"/>
    <s v="OK"/>
    <s v="2000s"/>
    <s v="N/A"/>
    <s v="Demographics"/>
  </r>
  <r>
    <s v="GM-00936"/>
    <s v="Colombia"/>
    <x v="3"/>
    <x v="11"/>
    <x v="2"/>
    <s v="GDP per capita"/>
    <s v="Economy"/>
    <s v="SDG 8: Decent Work and Economic Growth"/>
    <n v="7006.5804189999999"/>
    <s v="Source-defined international dollars"/>
    <s v="Colombia|2007"/>
    <s v="Gapminder/Plotly country-year extract reshaped to long indicator format for education"/>
    <s v="OK"/>
    <s v="2000s"/>
    <s v="N/A"/>
    <s v="Economy"/>
  </r>
  <r>
    <s v="GM-00937"/>
    <s v="Comoros"/>
    <x v="2"/>
    <x v="0"/>
    <x v="0"/>
    <s v="Life expectancy at birth"/>
    <s v="Health"/>
    <s v="SDG 3: Good Health and Well-being"/>
    <n v="40.715000000000003"/>
    <s v="Years"/>
    <s v="Comoros|1952"/>
    <s v="Gapminder/Plotly country-year extract reshaped to long indicator format for education"/>
    <s v="OK"/>
    <s v="1950s"/>
    <s v="Low"/>
    <s v="Health"/>
  </r>
  <r>
    <s v="GM-00938"/>
    <s v="Comoros"/>
    <x v="2"/>
    <x v="0"/>
    <x v="1"/>
    <s v="Population, total"/>
    <s v="Demographics"/>
    <s v="SDG 11: Sustainable Cities and Communities"/>
    <n v="153936"/>
    <s v="People"/>
    <s v="Comoros|1952"/>
    <s v="Gapminder/Plotly country-year extract reshaped to long indicator format for education"/>
    <s v="OK"/>
    <s v="1950s"/>
    <s v="N/A"/>
    <s v="Demographics"/>
  </r>
  <r>
    <s v="GM-00939"/>
    <s v="Comoros"/>
    <x v="2"/>
    <x v="0"/>
    <x v="2"/>
    <s v="GDP per capita"/>
    <s v="Economy"/>
    <s v="SDG 8: Decent Work and Economic Growth"/>
    <n v="1102.9909359999999"/>
    <s v="Source-defined international dollars"/>
    <s v="Comoros|1952"/>
    <s v="Gapminder/Plotly country-year extract reshaped to long indicator format for education"/>
    <s v="OK"/>
    <s v="1950s"/>
    <s v="N/A"/>
    <s v="Economy"/>
  </r>
  <r>
    <s v="GM-00940"/>
    <s v="Comoros"/>
    <x v="2"/>
    <x v="1"/>
    <x v="0"/>
    <s v="Life expectancy at birth"/>
    <s v="Health"/>
    <s v="SDG 3: Good Health and Well-being"/>
    <n v="42.46"/>
    <s v="Years"/>
    <s v="Comoros|1957"/>
    <s v="Gapminder/Plotly country-year extract reshaped to long indicator format for education"/>
    <s v="OK"/>
    <s v="1950s"/>
    <s v="Low"/>
    <s v="Health"/>
  </r>
  <r>
    <s v="GM-00941"/>
    <s v="Comoros"/>
    <x v="2"/>
    <x v="1"/>
    <x v="1"/>
    <s v="Population, total"/>
    <s v="Demographics"/>
    <s v="SDG 11: Sustainable Cities and Communities"/>
    <n v="170928"/>
    <s v="People"/>
    <s v="Comoros|1957"/>
    <s v="Gapminder/Plotly country-year extract reshaped to long indicator format for education"/>
    <s v="OK"/>
    <s v="1950s"/>
    <s v="N/A"/>
    <s v="Demographics"/>
  </r>
  <r>
    <s v="GM-00942"/>
    <s v="Comoros"/>
    <x v="2"/>
    <x v="1"/>
    <x v="2"/>
    <s v="GDP per capita"/>
    <s v="Economy"/>
    <s v="SDG 8: Decent Work and Economic Growth"/>
    <n v="1211.1485479999999"/>
    <s v="Source-defined international dollars"/>
    <s v="Comoros|1957"/>
    <s v="Gapminder/Plotly country-year extract reshaped to long indicator format for education"/>
    <s v="OK"/>
    <s v="1950s"/>
    <s v="N/A"/>
    <s v="Economy"/>
  </r>
  <r>
    <s v="GM-00943"/>
    <s v="Comoros"/>
    <x v="2"/>
    <x v="2"/>
    <x v="0"/>
    <s v="Life expectancy at birth"/>
    <s v="Health"/>
    <s v="SDG 3: Good Health and Well-being"/>
    <n v="44.466999999999999"/>
    <s v="Years"/>
    <s v="Comoros|1962"/>
    <s v="Gapminder/Plotly country-year extract reshaped to long indicator format for education"/>
    <s v="OK"/>
    <s v="1960s"/>
    <s v="Low"/>
    <s v="Health"/>
  </r>
  <r>
    <s v="GM-00944"/>
    <s v="Comoros"/>
    <x v="2"/>
    <x v="2"/>
    <x v="1"/>
    <s v="Population, total"/>
    <s v="Demographics"/>
    <s v="SDG 11: Sustainable Cities and Communities"/>
    <n v="191689"/>
    <s v="People"/>
    <s v="Comoros|1962"/>
    <s v="Gapminder/Plotly country-year extract reshaped to long indicator format for education"/>
    <s v="OK"/>
    <s v="1960s"/>
    <s v="N/A"/>
    <s v="Demographics"/>
  </r>
  <r>
    <s v="GM-00945"/>
    <s v="Comoros"/>
    <x v="2"/>
    <x v="2"/>
    <x v="2"/>
    <s v="GDP per capita"/>
    <s v="Economy"/>
    <s v="SDG 8: Decent Work and Economic Growth"/>
    <n v="1406.6482779999999"/>
    <s v="Source-defined international dollars"/>
    <s v="Comoros|1962"/>
    <s v="Gapminder/Plotly country-year extract reshaped to long indicator format for education"/>
    <s v="OK"/>
    <s v="1960s"/>
    <s v="N/A"/>
    <s v="Economy"/>
  </r>
  <r>
    <s v="GM-00946"/>
    <s v="Comoros"/>
    <x v="2"/>
    <x v="3"/>
    <x v="0"/>
    <s v="Life expectancy at birth"/>
    <s v="Health"/>
    <s v="SDG 3: Good Health and Well-being"/>
    <n v="46.472000000000001"/>
    <s v="Years"/>
    <s v="Comoros|1967"/>
    <s v="Gapminder/Plotly country-year extract reshaped to long indicator format for education"/>
    <s v="OK"/>
    <s v="1960s"/>
    <s v="Low"/>
    <s v="Health"/>
  </r>
  <r>
    <s v="GM-00947"/>
    <s v="Comoros"/>
    <x v="2"/>
    <x v="3"/>
    <x v="1"/>
    <s v="Population, total"/>
    <s v="Demographics"/>
    <s v="SDG 11: Sustainable Cities and Communities"/>
    <n v="217378"/>
    <s v="People"/>
    <s v="Comoros|1967"/>
    <s v="Gapminder/Plotly country-year extract reshaped to long indicator format for education"/>
    <s v="OK"/>
    <s v="1960s"/>
    <s v="N/A"/>
    <s v="Demographics"/>
  </r>
  <r>
    <s v="GM-00948"/>
    <s v="Comoros"/>
    <x v="2"/>
    <x v="3"/>
    <x v="2"/>
    <s v="GDP per capita"/>
    <s v="Economy"/>
    <s v="SDG 8: Decent Work and Economic Growth"/>
    <n v="1876.0296430000001"/>
    <s v="Source-defined international dollars"/>
    <s v="Comoros|1967"/>
    <s v="Gapminder/Plotly country-year extract reshaped to long indicator format for education"/>
    <s v="OK"/>
    <s v="1960s"/>
    <s v="N/A"/>
    <s v="Economy"/>
  </r>
  <r>
    <s v="GM-00949"/>
    <s v="Comoros"/>
    <x v="2"/>
    <x v="4"/>
    <x v="0"/>
    <s v="Life expectancy at birth"/>
    <s v="Health"/>
    <s v="SDG 3: Good Health and Well-being"/>
    <n v="48.944000000000003"/>
    <s v="Years"/>
    <s v="Comoros|1972"/>
    <s v="Gapminder/Plotly country-year extract reshaped to long indicator format for education"/>
    <s v="OK"/>
    <s v="1970s"/>
    <s v="Low"/>
    <s v="Health"/>
  </r>
  <r>
    <s v="GM-00950"/>
    <s v="Comoros"/>
    <x v="2"/>
    <x v="4"/>
    <x v="1"/>
    <s v="Population, total"/>
    <s v="Demographics"/>
    <s v="SDG 11: Sustainable Cities and Communities"/>
    <n v="250027"/>
    <s v="People"/>
    <s v="Comoros|1972"/>
    <s v="Gapminder/Plotly country-year extract reshaped to long indicator format for education"/>
    <s v="OK"/>
    <s v="1970s"/>
    <s v="N/A"/>
    <s v="Demographics"/>
  </r>
  <r>
    <s v="GM-00951"/>
    <s v="Comoros"/>
    <x v="2"/>
    <x v="4"/>
    <x v="2"/>
    <s v="GDP per capita"/>
    <s v="Economy"/>
    <s v="SDG 8: Decent Work and Economic Growth"/>
    <n v="1937.577675"/>
    <s v="Source-defined international dollars"/>
    <s v="Comoros|1972"/>
    <s v="Gapminder/Plotly country-year extract reshaped to long indicator format for education"/>
    <s v="OK"/>
    <s v="1970s"/>
    <s v="N/A"/>
    <s v="Economy"/>
  </r>
  <r>
    <s v="GM-00952"/>
    <s v="Comoros"/>
    <x v="2"/>
    <x v="5"/>
    <x v="0"/>
    <s v="Life expectancy at birth"/>
    <s v="Health"/>
    <s v="SDG 3: Good Health and Well-being"/>
    <n v="50.938999999999901"/>
    <s v="Years"/>
    <s v="Comoros|1977"/>
    <s v="Gapminder/Plotly country-year extract reshaped to long indicator format for education"/>
    <s v="OK"/>
    <s v="1970s"/>
    <s v="Low"/>
    <s v="Health"/>
  </r>
  <r>
    <s v="GM-00953"/>
    <s v="Comoros"/>
    <x v="2"/>
    <x v="5"/>
    <x v="1"/>
    <s v="Population, total"/>
    <s v="Demographics"/>
    <s v="SDG 11: Sustainable Cities and Communities"/>
    <n v="304739"/>
    <s v="People"/>
    <s v="Comoros|1977"/>
    <s v="Gapminder/Plotly country-year extract reshaped to long indicator format for education"/>
    <s v="OK"/>
    <s v="1970s"/>
    <s v="N/A"/>
    <s v="Demographics"/>
  </r>
  <r>
    <s v="GM-00954"/>
    <s v="Comoros"/>
    <x v="2"/>
    <x v="5"/>
    <x v="2"/>
    <s v="GDP per capita"/>
    <s v="Economy"/>
    <s v="SDG 8: Decent Work and Economic Growth"/>
    <n v="1172.6030470000001"/>
    <s v="Source-defined international dollars"/>
    <s v="Comoros|1977"/>
    <s v="Gapminder/Plotly country-year extract reshaped to long indicator format for education"/>
    <s v="OK"/>
    <s v="1970s"/>
    <s v="N/A"/>
    <s v="Economy"/>
  </r>
  <r>
    <s v="GM-00955"/>
    <s v="Comoros"/>
    <x v="2"/>
    <x v="6"/>
    <x v="0"/>
    <s v="Life expectancy at birth"/>
    <s v="Health"/>
    <s v="SDG 3: Good Health and Well-being"/>
    <n v="52.933"/>
    <s v="Years"/>
    <s v="Comoros|1982"/>
    <s v="Gapminder/Plotly country-year extract reshaped to long indicator format for education"/>
    <s v="OK"/>
    <s v="1980s"/>
    <s v="Low"/>
    <s v="Health"/>
  </r>
  <r>
    <s v="GM-00956"/>
    <s v="Comoros"/>
    <x v="2"/>
    <x v="6"/>
    <x v="1"/>
    <s v="Population, total"/>
    <s v="Demographics"/>
    <s v="SDG 11: Sustainable Cities and Communities"/>
    <n v="348643"/>
    <s v="People"/>
    <s v="Comoros|1982"/>
    <s v="Gapminder/Plotly country-year extract reshaped to long indicator format for education"/>
    <s v="OK"/>
    <s v="1980s"/>
    <s v="N/A"/>
    <s v="Demographics"/>
  </r>
  <r>
    <s v="GM-00957"/>
    <s v="Comoros"/>
    <x v="2"/>
    <x v="6"/>
    <x v="2"/>
    <s v="GDP per capita"/>
    <s v="Economy"/>
    <s v="SDG 8: Decent Work and Economic Growth"/>
    <n v="1267.100083"/>
    <s v="Source-defined international dollars"/>
    <s v="Comoros|1982"/>
    <s v="Gapminder/Plotly country-year extract reshaped to long indicator format for education"/>
    <s v="OK"/>
    <s v="1980s"/>
    <s v="N/A"/>
    <s v="Economy"/>
  </r>
  <r>
    <s v="GM-00958"/>
    <s v="Comoros"/>
    <x v="2"/>
    <x v="7"/>
    <x v="0"/>
    <s v="Life expectancy at birth"/>
    <s v="Health"/>
    <s v="SDG 3: Good Health and Well-being"/>
    <n v="54.926000000000002"/>
    <s v="Years"/>
    <s v="Comoros|1987"/>
    <s v="Gapminder/Plotly country-year extract reshaped to long indicator format for education"/>
    <s v="OK"/>
    <s v="1980s"/>
    <s v="Low"/>
    <s v="Health"/>
  </r>
  <r>
    <s v="GM-00959"/>
    <s v="Comoros"/>
    <x v="2"/>
    <x v="7"/>
    <x v="1"/>
    <s v="Population, total"/>
    <s v="Demographics"/>
    <s v="SDG 11: Sustainable Cities and Communities"/>
    <n v="395114"/>
    <s v="People"/>
    <s v="Comoros|1987"/>
    <s v="Gapminder/Plotly country-year extract reshaped to long indicator format for education"/>
    <s v="OK"/>
    <s v="1980s"/>
    <s v="N/A"/>
    <s v="Demographics"/>
  </r>
  <r>
    <s v="GM-00960"/>
    <s v="Comoros"/>
    <x v="2"/>
    <x v="7"/>
    <x v="2"/>
    <s v="GDP per capita"/>
    <s v="Economy"/>
    <s v="SDG 8: Decent Work and Economic Growth"/>
    <n v="1315.980812"/>
    <s v="Source-defined international dollars"/>
    <s v="Comoros|1987"/>
    <s v="Gapminder/Plotly country-year extract reshaped to long indicator format for education"/>
    <s v="OK"/>
    <s v="1980s"/>
    <s v="N/A"/>
    <s v="Economy"/>
  </r>
  <r>
    <s v="GM-00961"/>
    <s v="Comoros"/>
    <x v="2"/>
    <x v="8"/>
    <x v="0"/>
    <s v="Life expectancy at birth"/>
    <s v="Health"/>
    <s v="SDG 3: Good Health and Well-being"/>
    <n v="57.938999999999901"/>
    <s v="Years"/>
    <s v="Comoros|1992"/>
    <s v="Gapminder/Plotly country-year extract reshaped to long indicator format for education"/>
    <s v="OK"/>
    <s v="1990s"/>
    <s v="Medium"/>
    <s v="Health"/>
  </r>
  <r>
    <s v="GM-00962"/>
    <s v="Comoros"/>
    <x v="2"/>
    <x v="8"/>
    <x v="1"/>
    <s v="Population, total"/>
    <s v="Demographics"/>
    <s v="SDG 11: Sustainable Cities and Communities"/>
    <n v="454429"/>
    <s v="People"/>
    <s v="Comoros|1992"/>
    <s v="Gapminder/Plotly country-year extract reshaped to long indicator format for education"/>
    <s v="OK"/>
    <s v="1990s"/>
    <s v="N/A"/>
    <s v="Demographics"/>
  </r>
  <r>
    <s v="GM-00963"/>
    <s v="Comoros"/>
    <x v="2"/>
    <x v="8"/>
    <x v="2"/>
    <s v="GDP per capita"/>
    <s v="Economy"/>
    <s v="SDG 8: Decent Work and Economic Growth"/>
    <n v="1246.9073699999999"/>
    <s v="Source-defined international dollars"/>
    <s v="Comoros|1992"/>
    <s v="Gapminder/Plotly country-year extract reshaped to long indicator format for education"/>
    <s v="OK"/>
    <s v="1990s"/>
    <s v="N/A"/>
    <s v="Economy"/>
  </r>
  <r>
    <s v="GM-00964"/>
    <s v="Comoros"/>
    <x v="2"/>
    <x v="9"/>
    <x v="0"/>
    <s v="Life expectancy at birth"/>
    <s v="Health"/>
    <s v="SDG 3: Good Health and Well-being"/>
    <n v="60.66"/>
    <s v="Years"/>
    <s v="Comoros|1997"/>
    <s v="Gapminder/Plotly country-year extract reshaped to long indicator format for education"/>
    <s v="OK"/>
    <s v="1990s"/>
    <s v="Medium"/>
    <s v="Health"/>
  </r>
  <r>
    <s v="GM-00965"/>
    <s v="Comoros"/>
    <x v="2"/>
    <x v="9"/>
    <x v="1"/>
    <s v="Population, total"/>
    <s v="Demographics"/>
    <s v="SDG 11: Sustainable Cities and Communities"/>
    <n v="527982"/>
    <s v="People"/>
    <s v="Comoros|1997"/>
    <s v="Gapminder/Plotly country-year extract reshaped to long indicator format for education"/>
    <s v="OK"/>
    <s v="1990s"/>
    <s v="N/A"/>
    <s v="Demographics"/>
  </r>
  <r>
    <s v="GM-00966"/>
    <s v="Comoros"/>
    <x v="2"/>
    <x v="9"/>
    <x v="2"/>
    <s v="GDP per capita"/>
    <s v="Economy"/>
    <s v="SDG 8: Decent Work and Economic Growth"/>
    <n v="1173.6182349999999"/>
    <s v="Source-defined international dollars"/>
    <s v="Comoros|1997"/>
    <s v="Gapminder/Plotly country-year extract reshaped to long indicator format for education"/>
    <s v="OK"/>
    <s v="1990s"/>
    <s v="N/A"/>
    <s v="Economy"/>
  </r>
  <r>
    <s v="GM-00967"/>
    <s v="Comoros"/>
    <x v="2"/>
    <x v="10"/>
    <x v="0"/>
    <s v="Life expectancy at birth"/>
    <s v="Health"/>
    <s v="SDG 3: Good Health and Well-being"/>
    <n v="62.973999999999997"/>
    <s v="Years"/>
    <s v="Comoros|2002"/>
    <s v="Gapminder/Plotly country-year extract reshaped to long indicator format for education"/>
    <s v="OK"/>
    <s v="2000s"/>
    <s v="Medium"/>
    <s v="Health"/>
  </r>
  <r>
    <s v="GM-00968"/>
    <s v="Comoros"/>
    <x v="2"/>
    <x v="10"/>
    <x v="1"/>
    <s v="Population, total"/>
    <s v="Demographics"/>
    <s v="SDG 11: Sustainable Cities and Communities"/>
    <n v="614382"/>
    <s v="People"/>
    <s v="Comoros|2002"/>
    <s v="Gapminder/Plotly country-year extract reshaped to long indicator format for education"/>
    <s v="OK"/>
    <s v="2000s"/>
    <s v="N/A"/>
    <s v="Demographics"/>
  </r>
  <r>
    <s v="GM-00969"/>
    <s v="Comoros"/>
    <x v="2"/>
    <x v="10"/>
    <x v="2"/>
    <s v="GDP per capita"/>
    <s v="Economy"/>
    <s v="SDG 8: Decent Work and Economic Growth"/>
    <n v="1075.8115580000001"/>
    <s v="Source-defined international dollars"/>
    <s v="Comoros|2002"/>
    <s v="Gapminder/Plotly country-year extract reshaped to long indicator format for education"/>
    <s v="OK"/>
    <s v="2000s"/>
    <s v="N/A"/>
    <s v="Economy"/>
  </r>
  <r>
    <s v="GM-00970"/>
    <s v="Comoros"/>
    <x v="2"/>
    <x v="11"/>
    <x v="0"/>
    <s v="Life expectancy at birth"/>
    <s v="Health"/>
    <s v="SDG 3: Good Health and Well-being"/>
    <n v="65.152000000000001"/>
    <s v="Years"/>
    <s v="Comoros|2007"/>
    <s v="Gapminder/Plotly country-year extract reshaped to long indicator format for education"/>
    <s v="OK"/>
    <s v="2000s"/>
    <s v="Medium"/>
    <s v="Health"/>
  </r>
  <r>
    <s v="GM-00971"/>
    <s v="Comoros"/>
    <x v="2"/>
    <x v="11"/>
    <x v="1"/>
    <s v="Population, total"/>
    <s v="Demographics"/>
    <s v="SDG 11: Sustainable Cities and Communities"/>
    <n v="710960"/>
    <s v="People"/>
    <s v="Comoros|2007"/>
    <s v="Gapminder/Plotly country-year extract reshaped to long indicator format for education"/>
    <s v="OK"/>
    <s v="2000s"/>
    <s v="N/A"/>
    <s v="Demographics"/>
  </r>
  <r>
    <s v="GM-00972"/>
    <s v="Comoros"/>
    <x v="2"/>
    <x v="11"/>
    <x v="2"/>
    <s v="GDP per capita"/>
    <s v="Economy"/>
    <s v="SDG 8: Decent Work and Economic Growth"/>
    <n v="986.14787920000003"/>
    <s v="Source-defined international dollars"/>
    <s v="Comoros|2007"/>
    <s v="Gapminder/Plotly country-year extract reshaped to long indicator format for education"/>
    <s v="OK"/>
    <s v="2000s"/>
    <s v="N/A"/>
    <s v="Economy"/>
  </r>
  <r>
    <s v="GM-00973"/>
    <s v="Congo, Dem. Rep."/>
    <x v="2"/>
    <x v="0"/>
    <x v="0"/>
    <s v="Life expectancy at birth"/>
    <s v="Health"/>
    <s v="SDG 3: Good Health and Well-being"/>
    <n v="39.143000000000001"/>
    <s v="Years"/>
    <s v="Congo, Dem. Rep.|1952"/>
    <s v="Gapminder/Plotly country-year extract reshaped to long indicator format for education"/>
    <s v="OK"/>
    <s v="1950s"/>
    <s v="Low"/>
    <s v="Health"/>
  </r>
  <r>
    <s v="GM-00974"/>
    <s v="Congo, Dem. Rep."/>
    <x v="2"/>
    <x v="0"/>
    <x v="1"/>
    <s v="Population, total"/>
    <s v="Demographics"/>
    <s v="SDG 11: Sustainable Cities and Communities"/>
    <n v="14100005"/>
    <s v="People"/>
    <s v="Congo, Dem. Rep.|1952"/>
    <s v="Gapminder/Plotly country-year extract reshaped to long indicator format for education"/>
    <s v="OK"/>
    <s v="1950s"/>
    <s v="N/A"/>
    <s v="Demographics"/>
  </r>
  <r>
    <s v="GM-00975"/>
    <s v="Congo, Dem. Rep."/>
    <x v="2"/>
    <x v="0"/>
    <x v="2"/>
    <s v="GDP per capita"/>
    <s v="Economy"/>
    <s v="SDG 8: Decent Work and Economic Growth"/>
    <n v="780.54232569999999"/>
    <s v="Source-defined international dollars"/>
    <s v="Congo, Dem. Rep.|1952"/>
    <s v="Gapminder/Plotly country-year extract reshaped to long indicator format for education"/>
    <s v="OK"/>
    <s v="1950s"/>
    <s v="N/A"/>
    <s v="Economy"/>
  </r>
  <r>
    <s v="GM-00976"/>
    <s v="Congo, Dem. Rep."/>
    <x v="2"/>
    <x v="1"/>
    <x v="0"/>
    <s v="Life expectancy at birth"/>
    <s v="Health"/>
    <s v="SDG 3: Good Health and Well-being"/>
    <n v="40.652000000000001"/>
    <s v="Years"/>
    <s v="Congo, Dem. Rep.|1957"/>
    <s v="Gapminder/Plotly country-year extract reshaped to long indicator format for education"/>
    <s v="OK"/>
    <s v="1950s"/>
    <s v="Low"/>
    <s v="Health"/>
  </r>
  <r>
    <s v="GM-00977"/>
    <s v="Congo, Dem. Rep."/>
    <x v="2"/>
    <x v="1"/>
    <x v="1"/>
    <s v="Population, total"/>
    <s v="Demographics"/>
    <s v="SDG 11: Sustainable Cities and Communities"/>
    <n v="15577932"/>
    <s v="People"/>
    <s v="Congo, Dem. Rep.|1957"/>
    <s v="Gapminder/Plotly country-year extract reshaped to long indicator format for education"/>
    <s v="OK"/>
    <s v="1950s"/>
    <s v="N/A"/>
    <s v="Demographics"/>
  </r>
  <r>
    <s v="GM-00978"/>
    <s v="Congo, Dem. Rep."/>
    <x v="2"/>
    <x v="1"/>
    <x v="2"/>
    <s v="GDP per capita"/>
    <s v="Economy"/>
    <s v="SDG 8: Decent Work and Economic Growth"/>
    <n v="905.86023030000001"/>
    <s v="Source-defined international dollars"/>
    <s v="Congo, Dem. Rep.|1957"/>
    <s v="Gapminder/Plotly country-year extract reshaped to long indicator format for education"/>
    <s v="OK"/>
    <s v="1950s"/>
    <s v="N/A"/>
    <s v="Economy"/>
  </r>
  <r>
    <s v="GM-00979"/>
    <s v="Congo, Dem. Rep."/>
    <x v="2"/>
    <x v="2"/>
    <x v="0"/>
    <s v="Life expectancy at birth"/>
    <s v="Health"/>
    <s v="SDG 3: Good Health and Well-being"/>
    <n v="42.122"/>
    <s v="Years"/>
    <s v="Congo, Dem. Rep.|1962"/>
    <s v="Gapminder/Plotly country-year extract reshaped to long indicator format for education"/>
    <s v="OK"/>
    <s v="1960s"/>
    <s v="Low"/>
    <s v="Health"/>
  </r>
  <r>
    <s v="GM-00980"/>
    <s v="Congo, Dem. Rep."/>
    <x v="2"/>
    <x v="2"/>
    <x v="1"/>
    <s v="Population, total"/>
    <s v="Demographics"/>
    <s v="SDG 11: Sustainable Cities and Communities"/>
    <n v="17486434"/>
    <s v="People"/>
    <s v="Congo, Dem. Rep.|1962"/>
    <s v="Gapminder/Plotly country-year extract reshaped to long indicator format for education"/>
    <s v="OK"/>
    <s v="1960s"/>
    <s v="N/A"/>
    <s v="Demographics"/>
  </r>
  <r>
    <s v="GM-00981"/>
    <s v="Congo, Dem. Rep."/>
    <x v="2"/>
    <x v="2"/>
    <x v="2"/>
    <s v="GDP per capita"/>
    <s v="Economy"/>
    <s v="SDG 8: Decent Work and Economic Growth"/>
    <n v="896.31463350000001"/>
    <s v="Source-defined international dollars"/>
    <s v="Congo, Dem. Rep.|1962"/>
    <s v="Gapminder/Plotly country-year extract reshaped to long indicator format for education"/>
    <s v="OK"/>
    <s v="1960s"/>
    <s v="N/A"/>
    <s v="Economy"/>
  </r>
  <r>
    <s v="GM-00982"/>
    <s v="Congo, Dem. Rep."/>
    <x v="2"/>
    <x v="3"/>
    <x v="0"/>
    <s v="Life expectancy at birth"/>
    <s v="Health"/>
    <s v="SDG 3: Good Health and Well-being"/>
    <n v="44.055999999999997"/>
    <s v="Years"/>
    <s v="Congo, Dem. Rep.|1967"/>
    <s v="Gapminder/Plotly country-year extract reshaped to long indicator format for education"/>
    <s v="OK"/>
    <s v="1960s"/>
    <s v="Low"/>
    <s v="Health"/>
  </r>
  <r>
    <s v="GM-00983"/>
    <s v="Congo, Dem. Rep."/>
    <x v="2"/>
    <x v="3"/>
    <x v="1"/>
    <s v="Population, total"/>
    <s v="Demographics"/>
    <s v="SDG 11: Sustainable Cities and Communities"/>
    <n v="19941073"/>
    <s v="People"/>
    <s v="Congo, Dem. Rep.|1967"/>
    <s v="Gapminder/Plotly country-year extract reshaped to long indicator format for education"/>
    <s v="OK"/>
    <s v="1960s"/>
    <s v="N/A"/>
    <s v="Demographics"/>
  </r>
  <r>
    <s v="GM-00984"/>
    <s v="Congo, Dem. Rep."/>
    <x v="2"/>
    <x v="3"/>
    <x v="2"/>
    <s v="GDP per capita"/>
    <s v="Economy"/>
    <s v="SDG 8: Decent Work and Economic Growth"/>
    <n v="861.59324240000001"/>
    <s v="Source-defined international dollars"/>
    <s v="Congo, Dem. Rep.|1967"/>
    <s v="Gapminder/Plotly country-year extract reshaped to long indicator format for education"/>
    <s v="OK"/>
    <s v="1960s"/>
    <s v="N/A"/>
    <s v="Economy"/>
  </r>
  <r>
    <s v="GM-00985"/>
    <s v="Congo, Dem. Rep."/>
    <x v="2"/>
    <x v="4"/>
    <x v="0"/>
    <s v="Life expectancy at birth"/>
    <s v="Health"/>
    <s v="SDG 3: Good Health and Well-being"/>
    <n v="45.988999999999997"/>
    <s v="Years"/>
    <s v="Congo, Dem. Rep.|1972"/>
    <s v="Gapminder/Plotly country-year extract reshaped to long indicator format for education"/>
    <s v="OK"/>
    <s v="1970s"/>
    <s v="Low"/>
    <s v="Health"/>
  </r>
  <r>
    <s v="GM-00986"/>
    <s v="Congo, Dem. Rep."/>
    <x v="2"/>
    <x v="4"/>
    <x v="1"/>
    <s v="Population, total"/>
    <s v="Demographics"/>
    <s v="SDG 11: Sustainable Cities and Communities"/>
    <n v="23007669"/>
    <s v="People"/>
    <s v="Congo, Dem. Rep.|1972"/>
    <s v="Gapminder/Plotly country-year extract reshaped to long indicator format for education"/>
    <s v="OK"/>
    <s v="1970s"/>
    <s v="N/A"/>
    <s v="Demographics"/>
  </r>
  <r>
    <s v="GM-00987"/>
    <s v="Congo, Dem. Rep."/>
    <x v="2"/>
    <x v="4"/>
    <x v="2"/>
    <s v="GDP per capita"/>
    <s v="Economy"/>
    <s v="SDG 8: Decent Work and Economic Growth"/>
    <n v="904.89606849999996"/>
    <s v="Source-defined international dollars"/>
    <s v="Congo, Dem. Rep.|1972"/>
    <s v="Gapminder/Plotly country-year extract reshaped to long indicator format for education"/>
    <s v="OK"/>
    <s v="1970s"/>
    <s v="N/A"/>
    <s v="Economy"/>
  </r>
  <r>
    <s v="GM-00988"/>
    <s v="Congo, Dem. Rep."/>
    <x v="2"/>
    <x v="5"/>
    <x v="0"/>
    <s v="Life expectancy at birth"/>
    <s v="Health"/>
    <s v="SDG 3: Good Health and Well-being"/>
    <n v="47.804000000000002"/>
    <s v="Years"/>
    <s v="Congo, Dem. Rep.|1977"/>
    <s v="Gapminder/Plotly country-year extract reshaped to long indicator format for education"/>
    <s v="OK"/>
    <s v="1970s"/>
    <s v="Low"/>
    <s v="Health"/>
  </r>
  <r>
    <s v="GM-00989"/>
    <s v="Congo, Dem. Rep."/>
    <x v="2"/>
    <x v="5"/>
    <x v="1"/>
    <s v="Population, total"/>
    <s v="Demographics"/>
    <s v="SDG 11: Sustainable Cities and Communities"/>
    <n v="26480870"/>
    <s v="People"/>
    <s v="Congo, Dem. Rep.|1977"/>
    <s v="Gapminder/Plotly country-year extract reshaped to long indicator format for education"/>
    <s v="OK"/>
    <s v="1970s"/>
    <s v="N/A"/>
    <s v="Demographics"/>
  </r>
  <r>
    <s v="GM-00990"/>
    <s v="Congo, Dem. Rep."/>
    <x v="2"/>
    <x v="5"/>
    <x v="2"/>
    <s v="GDP per capita"/>
    <s v="Economy"/>
    <s v="SDG 8: Decent Work and Economic Growth"/>
    <n v="795.75728200000003"/>
    <s v="Source-defined international dollars"/>
    <s v="Congo, Dem. Rep.|1977"/>
    <s v="Gapminder/Plotly country-year extract reshaped to long indicator format for education"/>
    <s v="OK"/>
    <s v="1970s"/>
    <s v="N/A"/>
    <s v="Economy"/>
  </r>
  <r>
    <s v="GM-00991"/>
    <s v="Congo, Dem. Rep."/>
    <x v="2"/>
    <x v="6"/>
    <x v="0"/>
    <s v="Life expectancy at birth"/>
    <s v="Health"/>
    <s v="SDG 3: Good Health and Well-being"/>
    <n v="47.783999999999999"/>
    <s v="Years"/>
    <s v="Congo, Dem. Rep.|1982"/>
    <s v="Gapminder/Plotly country-year extract reshaped to long indicator format for education"/>
    <s v="OK"/>
    <s v="1980s"/>
    <s v="Low"/>
    <s v="Health"/>
  </r>
  <r>
    <s v="GM-00992"/>
    <s v="Congo, Dem. Rep."/>
    <x v="2"/>
    <x v="6"/>
    <x v="1"/>
    <s v="Population, total"/>
    <s v="Demographics"/>
    <s v="SDG 11: Sustainable Cities and Communities"/>
    <n v="30646495"/>
    <s v="People"/>
    <s v="Congo, Dem. Rep.|1982"/>
    <s v="Gapminder/Plotly country-year extract reshaped to long indicator format for education"/>
    <s v="OK"/>
    <s v="1980s"/>
    <s v="N/A"/>
    <s v="Demographics"/>
  </r>
  <r>
    <s v="GM-00993"/>
    <s v="Congo, Dem. Rep."/>
    <x v="2"/>
    <x v="6"/>
    <x v="2"/>
    <s v="GDP per capita"/>
    <s v="Economy"/>
    <s v="SDG 8: Decent Work and Economic Growth"/>
    <n v="673.74781810000002"/>
    <s v="Source-defined international dollars"/>
    <s v="Congo, Dem. Rep.|1982"/>
    <s v="Gapminder/Plotly country-year extract reshaped to long indicator format for education"/>
    <s v="OK"/>
    <s v="1980s"/>
    <s v="N/A"/>
    <s v="Economy"/>
  </r>
  <r>
    <s v="GM-00994"/>
    <s v="Congo, Dem. Rep."/>
    <x v="2"/>
    <x v="7"/>
    <x v="0"/>
    <s v="Life expectancy at birth"/>
    <s v="Health"/>
    <s v="SDG 3: Good Health and Well-being"/>
    <n v="47.411999999999999"/>
    <s v="Years"/>
    <s v="Congo, Dem. Rep.|1987"/>
    <s v="Gapminder/Plotly country-year extract reshaped to long indicator format for education"/>
    <s v="OK"/>
    <s v="1980s"/>
    <s v="Low"/>
    <s v="Health"/>
  </r>
  <r>
    <s v="GM-00995"/>
    <s v="Congo, Dem. Rep."/>
    <x v="2"/>
    <x v="7"/>
    <x v="1"/>
    <s v="Population, total"/>
    <s v="Demographics"/>
    <s v="SDG 11: Sustainable Cities and Communities"/>
    <n v="35481645"/>
    <s v="People"/>
    <s v="Congo, Dem. Rep.|1987"/>
    <s v="Gapminder/Plotly country-year extract reshaped to long indicator format for education"/>
    <s v="OK"/>
    <s v="1980s"/>
    <s v="N/A"/>
    <s v="Demographics"/>
  </r>
  <r>
    <s v="GM-00996"/>
    <s v="Congo, Dem. Rep."/>
    <x v="2"/>
    <x v="7"/>
    <x v="2"/>
    <s v="GDP per capita"/>
    <s v="Economy"/>
    <s v="SDG 8: Decent Work and Economic Growth"/>
    <n v="672.774812"/>
    <s v="Source-defined international dollars"/>
    <s v="Congo, Dem. Rep.|1987"/>
    <s v="Gapminder/Plotly country-year extract reshaped to long indicator format for education"/>
    <s v="OK"/>
    <s v="1980s"/>
    <s v="N/A"/>
    <s v="Economy"/>
  </r>
  <r>
    <s v="GM-00997"/>
    <s v="Congo, Dem. Rep."/>
    <x v="2"/>
    <x v="8"/>
    <x v="0"/>
    <s v="Life expectancy at birth"/>
    <s v="Health"/>
    <s v="SDG 3: Good Health and Well-being"/>
    <n v="45.548000000000002"/>
    <s v="Years"/>
    <s v="Congo, Dem. Rep.|1992"/>
    <s v="Gapminder/Plotly country-year extract reshaped to long indicator format for education"/>
    <s v="OK"/>
    <s v="1990s"/>
    <s v="Low"/>
    <s v="Health"/>
  </r>
  <r>
    <s v="GM-00998"/>
    <s v="Congo, Dem. Rep."/>
    <x v="2"/>
    <x v="8"/>
    <x v="1"/>
    <s v="Population, total"/>
    <s v="Demographics"/>
    <s v="SDG 11: Sustainable Cities and Communities"/>
    <n v="41672143"/>
    <s v="People"/>
    <s v="Congo, Dem. Rep.|1992"/>
    <s v="Gapminder/Plotly country-year extract reshaped to long indicator format for education"/>
    <s v="OK"/>
    <s v="1990s"/>
    <s v="N/A"/>
    <s v="Demographics"/>
  </r>
  <r>
    <s v="GM-00999"/>
    <s v="Congo, Dem. Rep."/>
    <x v="2"/>
    <x v="8"/>
    <x v="2"/>
    <s v="GDP per capita"/>
    <s v="Economy"/>
    <s v="SDG 8: Decent Work and Economic Growth"/>
    <n v="457.71918069999998"/>
    <s v="Source-defined international dollars"/>
    <s v="Congo, Dem. Rep.|1992"/>
    <s v="Gapminder/Plotly country-year extract reshaped to long indicator format for education"/>
    <s v="OK"/>
    <s v="1990s"/>
    <s v="N/A"/>
    <s v="Economy"/>
  </r>
  <r>
    <s v="GM-01000"/>
    <s v="Congo, Dem. Rep."/>
    <x v="2"/>
    <x v="9"/>
    <x v="0"/>
    <s v="Life expectancy at birth"/>
    <s v="Health"/>
    <s v="SDG 3: Good Health and Well-being"/>
    <n v="42.587000000000003"/>
    <s v="Years"/>
    <s v="Congo, Dem. Rep.|1997"/>
    <s v="Gapminder/Plotly country-year extract reshaped to long indicator format for education"/>
    <s v="OK"/>
    <s v="1990s"/>
    <s v="Low"/>
    <s v="Health"/>
  </r>
  <r>
    <s v="GM-01001"/>
    <s v="Congo, Dem. Rep."/>
    <x v="2"/>
    <x v="9"/>
    <x v="1"/>
    <s v="Population, total"/>
    <s v="Demographics"/>
    <s v="SDG 11: Sustainable Cities and Communities"/>
    <n v="47798986"/>
    <s v="People"/>
    <s v="Congo, Dem. Rep.|1997"/>
    <s v="Gapminder/Plotly country-year extract reshaped to long indicator format for education"/>
    <s v="OK"/>
    <s v="1990s"/>
    <s v="N/A"/>
    <s v="Demographics"/>
  </r>
  <r>
    <s v="GM-01002"/>
    <s v="Congo, Dem. Rep."/>
    <x v="2"/>
    <x v="9"/>
    <x v="2"/>
    <s v="GDP per capita"/>
    <s v="Economy"/>
    <s v="SDG 8: Decent Work and Economic Growth"/>
    <n v="312.188423"/>
    <s v="Source-defined international dollars"/>
    <s v="Congo, Dem. Rep.|1997"/>
    <s v="Gapminder/Plotly country-year extract reshaped to long indicator format for education"/>
    <s v="OK"/>
    <s v="1990s"/>
    <s v="N/A"/>
    <s v="Economy"/>
  </r>
  <r>
    <s v="GM-01003"/>
    <s v="Congo, Dem. Rep."/>
    <x v="2"/>
    <x v="10"/>
    <x v="0"/>
    <s v="Life expectancy at birth"/>
    <s v="Health"/>
    <s v="SDG 3: Good Health and Well-being"/>
    <n v="44.966000000000001"/>
    <s v="Years"/>
    <s v="Congo, Dem. Rep.|2002"/>
    <s v="Gapminder/Plotly country-year extract reshaped to long indicator format for education"/>
    <s v="OK"/>
    <s v="2000s"/>
    <s v="Low"/>
    <s v="Health"/>
  </r>
  <r>
    <s v="GM-01004"/>
    <s v="Congo, Dem. Rep."/>
    <x v="2"/>
    <x v="10"/>
    <x v="1"/>
    <s v="Population, total"/>
    <s v="Demographics"/>
    <s v="SDG 11: Sustainable Cities and Communities"/>
    <n v="55379852"/>
    <s v="People"/>
    <s v="Congo, Dem. Rep.|2002"/>
    <s v="Gapminder/Plotly country-year extract reshaped to long indicator format for education"/>
    <s v="OK"/>
    <s v="2000s"/>
    <s v="N/A"/>
    <s v="Demographics"/>
  </r>
  <r>
    <s v="GM-01005"/>
    <s v="Congo, Dem. Rep."/>
    <x v="2"/>
    <x v="10"/>
    <x v="2"/>
    <s v="GDP per capita"/>
    <s v="Economy"/>
    <s v="SDG 8: Decent Work and Economic Growth"/>
    <n v="241.1658765"/>
    <s v="Source-defined international dollars"/>
    <s v="Congo, Dem. Rep.|2002"/>
    <s v="Gapminder/Plotly country-year extract reshaped to long indicator format for education"/>
    <s v="OK"/>
    <s v="2000s"/>
    <s v="N/A"/>
    <s v="Economy"/>
  </r>
  <r>
    <s v="GM-01006"/>
    <s v="Congo, Dem. Rep."/>
    <x v="2"/>
    <x v="11"/>
    <x v="0"/>
    <s v="Life expectancy at birth"/>
    <s v="Health"/>
    <s v="SDG 3: Good Health and Well-being"/>
    <n v="46.462000000000003"/>
    <s v="Years"/>
    <s v="Congo, Dem. Rep.|2007"/>
    <s v="Gapminder/Plotly country-year extract reshaped to long indicator format for education"/>
    <s v="OK"/>
    <s v="2000s"/>
    <s v="Low"/>
    <s v="Health"/>
  </r>
  <r>
    <s v="GM-01007"/>
    <s v="Congo, Dem. Rep."/>
    <x v="2"/>
    <x v="11"/>
    <x v="1"/>
    <s v="Population, total"/>
    <s v="Demographics"/>
    <s v="SDG 11: Sustainable Cities and Communities"/>
    <n v="64606759"/>
    <s v="People"/>
    <s v="Congo, Dem. Rep.|2007"/>
    <s v="Gapminder/Plotly country-year extract reshaped to long indicator format for education"/>
    <s v="OK"/>
    <s v="2000s"/>
    <s v="N/A"/>
    <s v="Demographics"/>
  </r>
  <r>
    <s v="GM-01008"/>
    <s v="Congo, Dem. Rep."/>
    <x v="2"/>
    <x v="11"/>
    <x v="2"/>
    <s v="GDP per capita"/>
    <s v="Economy"/>
    <s v="SDG 8: Decent Work and Economic Growth"/>
    <n v="277.55185870000003"/>
    <s v="Source-defined international dollars"/>
    <s v="Congo, Dem. Rep.|2007"/>
    <s v="Gapminder/Plotly country-year extract reshaped to long indicator format for education"/>
    <s v="OK"/>
    <s v="2000s"/>
    <s v="N/A"/>
    <s v="Economy"/>
  </r>
  <r>
    <s v="GM-01009"/>
    <s v="Congo, Rep."/>
    <x v="2"/>
    <x v="0"/>
    <x v="0"/>
    <s v="Life expectancy at birth"/>
    <s v="Health"/>
    <s v="SDG 3: Good Health and Well-being"/>
    <n v="42.110999999999997"/>
    <s v="Years"/>
    <s v="Congo, Rep.|1952"/>
    <s v="Gapminder/Plotly country-year extract reshaped to long indicator format for education"/>
    <s v="OK"/>
    <s v="1950s"/>
    <s v="Low"/>
    <s v="Health"/>
  </r>
  <r>
    <s v="GM-01010"/>
    <s v="Congo, Rep."/>
    <x v="2"/>
    <x v="0"/>
    <x v="1"/>
    <s v="Population, total"/>
    <s v="Demographics"/>
    <s v="SDG 11: Sustainable Cities and Communities"/>
    <n v="854885"/>
    <s v="People"/>
    <s v="Congo, Rep.|1952"/>
    <s v="Gapminder/Plotly country-year extract reshaped to long indicator format for education"/>
    <s v="OK"/>
    <s v="1950s"/>
    <s v="N/A"/>
    <s v="Demographics"/>
  </r>
  <r>
    <s v="GM-01011"/>
    <s v="Congo, Rep."/>
    <x v="2"/>
    <x v="0"/>
    <x v="2"/>
    <s v="GDP per capita"/>
    <s v="Economy"/>
    <s v="SDG 8: Decent Work and Economic Growth"/>
    <n v="2125.6214180000002"/>
    <s v="Source-defined international dollars"/>
    <s v="Congo, Rep.|1952"/>
    <s v="Gapminder/Plotly country-year extract reshaped to long indicator format for education"/>
    <s v="OK"/>
    <s v="1950s"/>
    <s v="N/A"/>
    <s v="Economy"/>
  </r>
  <r>
    <s v="GM-01012"/>
    <s v="Congo, Rep."/>
    <x v="2"/>
    <x v="1"/>
    <x v="0"/>
    <s v="Life expectancy at birth"/>
    <s v="Health"/>
    <s v="SDG 3: Good Health and Well-being"/>
    <n v="45.052999999999997"/>
    <s v="Years"/>
    <s v="Congo, Rep.|1957"/>
    <s v="Gapminder/Plotly country-year extract reshaped to long indicator format for education"/>
    <s v="OK"/>
    <s v="1950s"/>
    <s v="Low"/>
    <s v="Health"/>
  </r>
  <r>
    <s v="GM-01013"/>
    <s v="Congo, Rep."/>
    <x v="2"/>
    <x v="1"/>
    <x v="1"/>
    <s v="Population, total"/>
    <s v="Demographics"/>
    <s v="SDG 11: Sustainable Cities and Communities"/>
    <n v="940458"/>
    <s v="People"/>
    <s v="Congo, Rep.|1957"/>
    <s v="Gapminder/Plotly country-year extract reshaped to long indicator format for education"/>
    <s v="OK"/>
    <s v="1950s"/>
    <s v="N/A"/>
    <s v="Demographics"/>
  </r>
  <r>
    <s v="GM-01014"/>
    <s v="Congo, Rep."/>
    <x v="2"/>
    <x v="1"/>
    <x v="2"/>
    <s v="GDP per capita"/>
    <s v="Economy"/>
    <s v="SDG 8: Decent Work and Economic Growth"/>
    <n v="2315.056572"/>
    <s v="Source-defined international dollars"/>
    <s v="Congo, Rep.|1957"/>
    <s v="Gapminder/Plotly country-year extract reshaped to long indicator format for education"/>
    <s v="OK"/>
    <s v="1950s"/>
    <s v="N/A"/>
    <s v="Economy"/>
  </r>
  <r>
    <s v="GM-01015"/>
    <s v="Congo, Rep."/>
    <x v="2"/>
    <x v="2"/>
    <x v="0"/>
    <s v="Life expectancy at birth"/>
    <s v="Health"/>
    <s v="SDG 3: Good Health and Well-being"/>
    <n v="48.435000000000002"/>
    <s v="Years"/>
    <s v="Congo, Rep.|1962"/>
    <s v="Gapminder/Plotly country-year extract reshaped to long indicator format for education"/>
    <s v="OK"/>
    <s v="1960s"/>
    <s v="Low"/>
    <s v="Health"/>
  </r>
  <r>
    <s v="GM-01016"/>
    <s v="Congo, Rep."/>
    <x v="2"/>
    <x v="2"/>
    <x v="1"/>
    <s v="Population, total"/>
    <s v="Demographics"/>
    <s v="SDG 11: Sustainable Cities and Communities"/>
    <n v="1047924"/>
    <s v="People"/>
    <s v="Congo, Rep.|1962"/>
    <s v="Gapminder/Plotly country-year extract reshaped to long indicator format for education"/>
    <s v="OK"/>
    <s v="1960s"/>
    <s v="N/A"/>
    <s v="Demographics"/>
  </r>
  <r>
    <s v="GM-01017"/>
    <s v="Congo, Rep."/>
    <x v="2"/>
    <x v="2"/>
    <x v="2"/>
    <s v="GDP per capita"/>
    <s v="Economy"/>
    <s v="SDG 8: Decent Work and Economic Growth"/>
    <n v="2464.7831569999998"/>
    <s v="Source-defined international dollars"/>
    <s v="Congo, Rep.|1962"/>
    <s v="Gapminder/Plotly country-year extract reshaped to long indicator format for education"/>
    <s v="OK"/>
    <s v="1960s"/>
    <s v="N/A"/>
    <s v="Economy"/>
  </r>
  <r>
    <s v="GM-01018"/>
    <s v="Congo, Rep."/>
    <x v="2"/>
    <x v="3"/>
    <x v="0"/>
    <s v="Life expectancy at birth"/>
    <s v="Health"/>
    <s v="SDG 3: Good Health and Well-being"/>
    <n v="52.04"/>
    <s v="Years"/>
    <s v="Congo, Rep.|1967"/>
    <s v="Gapminder/Plotly country-year extract reshaped to long indicator format for education"/>
    <s v="OK"/>
    <s v="1960s"/>
    <s v="Low"/>
    <s v="Health"/>
  </r>
  <r>
    <s v="GM-01019"/>
    <s v="Congo, Rep."/>
    <x v="2"/>
    <x v="3"/>
    <x v="1"/>
    <s v="Population, total"/>
    <s v="Demographics"/>
    <s v="SDG 11: Sustainable Cities and Communities"/>
    <n v="1179760"/>
    <s v="People"/>
    <s v="Congo, Rep.|1967"/>
    <s v="Gapminder/Plotly country-year extract reshaped to long indicator format for education"/>
    <s v="OK"/>
    <s v="1960s"/>
    <s v="N/A"/>
    <s v="Demographics"/>
  </r>
  <r>
    <s v="GM-01020"/>
    <s v="Congo, Rep."/>
    <x v="2"/>
    <x v="3"/>
    <x v="2"/>
    <s v="GDP per capita"/>
    <s v="Economy"/>
    <s v="SDG 8: Decent Work and Economic Growth"/>
    <n v="2677.9396419999998"/>
    <s v="Source-defined international dollars"/>
    <s v="Congo, Rep.|1967"/>
    <s v="Gapminder/Plotly country-year extract reshaped to long indicator format for education"/>
    <s v="OK"/>
    <s v="1960s"/>
    <s v="N/A"/>
    <s v="Economy"/>
  </r>
  <r>
    <s v="GM-01021"/>
    <s v="Congo, Rep."/>
    <x v="2"/>
    <x v="4"/>
    <x v="0"/>
    <s v="Life expectancy at birth"/>
    <s v="Health"/>
    <s v="SDG 3: Good Health and Well-being"/>
    <n v="54.906999999999996"/>
    <s v="Years"/>
    <s v="Congo, Rep.|1972"/>
    <s v="Gapminder/Plotly country-year extract reshaped to long indicator format for education"/>
    <s v="OK"/>
    <s v="1970s"/>
    <s v="Low"/>
    <s v="Health"/>
  </r>
  <r>
    <s v="GM-01022"/>
    <s v="Congo, Rep."/>
    <x v="2"/>
    <x v="4"/>
    <x v="1"/>
    <s v="Population, total"/>
    <s v="Demographics"/>
    <s v="SDG 11: Sustainable Cities and Communities"/>
    <n v="1340458"/>
    <s v="People"/>
    <s v="Congo, Rep.|1972"/>
    <s v="Gapminder/Plotly country-year extract reshaped to long indicator format for education"/>
    <s v="OK"/>
    <s v="1970s"/>
    <s v="N/A"/>
    <s v="Demographics"/>
  </r>
  <r>
    <s v="GM-01023"/>
    <s v="Congo, Rep."/>
    <x v="2"/>
    <x v="4"/>
    <x v="2"/>
    <s v="GDP per capita"/>
    <s v="Economy"/>
    <s v="SDG 8: Decent Work and Economic Growth"/>
    <n v="3213.1526829999998"/>
    <s v="Source-defined international dollars"/>
    <s v="Congo, Rep.|1972"/>
    <s v="Gapminder/Plotly country-year extract reshaped to long indicator format for education"/>
    <s v="OK"/>
    <s v="1970s"/>
    <s v="N/A"/>
    <s v="Economy"/>
  </r>
  <r>
    <s v="GM-01024"/>
    <s v="Congo, Rep."/>
    <x v="2"/>
    <x v="5"/>
    <x v="0"/>
    <s v="Life expectancy at birth"/>
    <s v="Health"/>
    <s v="SDG 3: Good Health and Well-being"/>
    <n v="55.625"/>
    <s v="Years"/>
    <s v="Congo, Rep.|1977"/>
    <s v="Gapminder/Plotly country-year extract reshaped to long indicator format for education"/>
    <s v="OK"/>
    <s v="1970s"/>
    <s v="Medium"/>
    <s v="Health"/>
  </r>
  <r>
    <s v="GM-01025"/>
    <s v="Congo, Rep."/>
    <x v="2"/>
    <x v="5"/>
    <x v="1"/>
    <s v="Population, total"/>
    <s v="Demographics"/>
    <s v="SDG 11: Sustainable Cities and Communities"/>
    <n v="1536769"/>
    <s v="People"/>
    <s v="Congo, Rep.|1977"/>
    <s v="Gapminder/Plotly country-year extract reshaped to long indicator format for education"/>
    <s v="OK"/>
    <s v="1970s"/>
    <s v="N/A"/>
    <s v="Demographics"/>
  </r>
  <r>
    <s v="GM-01026"/>
    <s v="Congo, Rep."/>
    <x v="2"/>
    <x v="5"/>
    <x v="2"/>
    <s v="GDP per capita"/>
    <s v="Economy"/>
    <s v="SDG 8: Decent Work and Economic Growth"/>
    <n v="3259.1789779999999"/>
    <s v="Source-defined international dollars"/>
    <s v="Congo, Rep.|1977"/>
    <s v="Gapminder/Plotly country-year extract reshaped to long indicator format for education"/>
    <s v="OK"/>
    <s v="1970s"/>
    <s v="N/A"/>
    <s v="Economy"/>
  </r>
  <r>
    <s v="GM-01027"/>
    <s v="Congo, Rep."/>
    <x v="2"/>
    <x v="6"/>
    <x v="0"/>
    <s v="Life expectancy at birth"/>
    <s v="Health"/>
    <s v="SDG 3: Good Health and Well-being"/>
    <n v="56.695"/>
    <s v="Years"/>
    <s v="Congo, Rep.|1982"/>
    <s v="Gapminder/Plotly country-year extract reshaped to long indicator format for education"/>
    <s v="OK"/>
    <s v="1980s"/>
    <s v="Medium"/>
    <s v="Health"/>
  </r>
  <r>
    <s v="GM-01028"/>
    <s v="Congo, Rep."/>
    <x v="2"/>
    <x v="6"/>
    <x v="1"/>
    <s v="Population, total"/>
    <s v="Demographics"/>
    <s v="SDG 11: Sustainable Cities and Communities"/>
    <n v="1774735"/>
    <s v="People"/>
    <s v="Congo, Rep.|1982"/>
    <s v="Gapminder/Plotly country-year extract reshaped to long indicator format for education"/>
    <s v="OK"/>
    <s v="1980s"/>
    <s v="N/A"/>
    <s v="Demographics"/>
  </r>
  <r>
    <s v="GM-01029"/>
    <s v="Congo, Rep."/>
    <x v="2"/>
    <x v="6"/>
    <x v="2"/>
    <s v="GDP per capita"/>
    <s v="Economy"/>
    <s v="SDG 8: Decent Work and Economic Growth"/>
    <n v="4879.5075219999999"/>
    <s v="Source-defined international dollars"/>
    <s v="Congo, Rep.|1982"/>
    <s v="Gapminder/Plotly country-year extract reshaped to long indicator format for education"/>
    <s v="OK"/>
    <s v="1980s"/>
    <s v="N/A"/>
    <s v="Economy"/>
  </r>
  <r>
    <s v="GM-01030"/>
    <s v="Congo, Rep."/>
    <x v="2"/>
    <x v="7"/>
    <x v="0"/>
    <s v="Life expectancy at birth"/>
    <s v="Health"/>
    <s v="SDG 3: Good Health and Well-being"/>
    <n v="57.47"/>
    <s v="Years"/>
    <s v="Congo, Rep.|1987"/>
    <s v="Gapminder/Plotly country-year extract reshaped to long indicator format for education"/>
    <s v="OK"/>
    <s v="1980s"/>
    <s v="Medium"/>
    <s v="Health"/>
  </r>
  <r>
    <s v="GM-01031"/>
    <s v="Congo, Rep."/>
    <x v="2"/>
    <x v="7"/>
    <x v="1"/>
    <s v="Population, total"/>
    <s v="Demographics"/>
    <s v="SDG 11: Sustainable Cities and Communities"/>
    <n v="2064095"/>
    <s v="People"/>
    <s v="Congo, Rep.|1987"/>
    <s v="Gapminder/Plotly country-year extract reshaped to long indicator format for education"/>
    <s v="OK"/>
    <s v="1980s"/>
    <s v="N/A"/>
    <s v="Demographics"/>
  </r>
  <r>
    <s v="GM-01032"/>
    <s v="Congo, Rep."/>
    <x v="2"/>
    <x v="7"/>
    <x v="2"/>
    <s v="GDP per capita"/>
    <s v="Economy"/>
    <s v="SDG 8: Decent Work and Economic Growth"/>
    <n v="4201.1949369999902"/>
    <s v="Source-defined international dollars"/>
    <s v="Congo, Rep.|1987"/>
    <s v="Gapminder/Plotly country-year extract reshaped to long indicator format for education"/>
    <s v="OK"/>
    <s v="1980s"/>
    <s v="N/A"/>
    <s v="Economy"/>
  </r>
  <r>
    <s v="GM-01033"/>
    <s v="Congo, Rep."/>
    <x v="2"/>
    <x v="8"/>
    <x v="0"/>
    <s v="Life expectancy at birth"/>
    <s v="Health"/>
    <s v="SDG 3: Good Health and Well-being"/>
    <n v="56.433"/>
    <s v="Years"/>
    <s v="Congo, Rep.|1992"/>
    <s v="Gapminder/Plotly country-year extract reshaped to long indicator format for education"/>
    <s v="OK"/>
    <s v="1990s"/>
    <s v="Medium"/>
    <s v="Health"/>
  </r>
  <r>
    <s v="GM-01034"/>
    <s v="Congo, Rep."/>
    <x v="2"/>
    <x v="8"/>
    <x v="1"/>
    <s v="Population, total"/>
    <s v="Demographics"/>
    <s v="SDG 11: Sustainable Cities and Communities"/>
    <n v="2409073"/>
    <s v="People"/>
    <s v="Congo, Rep.|1992"/>
    <s v="Gapminder/Plotly country-year extract reshaped to long indicator format for education"/>
    <s v="OK"/>
    <s v="1990s"/>
    <s v="N/A"/>
    <s v="Demographics"/>
  </r>
  <r>
    <s v="GM-01035"/>
    <s v="Congo, Rep."/>
    <x v="2"/>
    <x v="8"/>
    <x v="2"/>
    <s v="GDP per capita"/>
    <s v="Economy"/>
    <s v="SDG 8: Decent Work and Economic Growth"/>
    <n v="4016.2395289999999"/>
    <s v="Source-defined international dollars"/>
    <s v="Congo, Rep.|1992"/>
    <s v="Gapminder/Plotly country-year extract reshaped to long indicator format for education"/>
    <s v="OK"/>
    <s v="1990s"/>
    <s v="N/A"/>
    <s v="Economy"/>
  </r>
  <r>
    <s v="GM-01036"/>
    <s v="Congo, Rep."/>
    <x v="2"/>
    <x v="9"/>
    <x v="0"/>
    <s v="Life expectancy at birth"/>
    <s v="Health"/>
    <s v="SDG 3: Good Health and Well-being"/>
    <n v="52.962000000000003"/>
    <s v="Years"/>
    <s v="Congo, Rep.|1997"/>
    <s v="Gapminder/Plotly country-year extract reshaped to long indicator format for education"/>
    <s v="OK"/>
    <s v="1990s"/>
    <s v="Low"/>
    <s v="Health"/>
  </r>
  <r>
    <s v="GM-01037"/>
    <s v="Congo, Rep."/>
    <x v="2"/>
    <x v="9"/>
    <x v="1"/>
    <s v="Population, total"/>
    <s v="Demographics"/>
    <s v="SDG 11: Sustainable Cities and Communities"/>
    <n v="2800947"/>
    <s v="People"/>
    <s v="Congo, Rep.|1997"/>
    <s v="Gapminder/Plotly country-year extract reshaped to long indicator format for education"/>
    <s v="OK"/>
    <s v="1990s"/>
    <s v="N/A"/>
    <s v="Demographics"/>
  </r>
  <r>
    <s v="GM-01038"/>
    <s v="Congo, Rep."/>
    <x v="2"/>
    <x v="9"/>
    <x v="2"/>
    <s v="GDP per capita"/>
    <s v="Economy"/>
    <s v="SDG 8: Decent Work and Economic Growth"/>
    <n v="3484.1643760000002"/>
    <s v="Source-defined international dollars"/>
    <s v="Congo, Rep.|1997"/>
    <s v="Gapminder/Plotly country-year extract reshaped to long indicator format for education"/>
    <s v="OK"/>
    <s v="1990s"/>
    <s v="N/A"/>
    <s v="Economy"/>
  </r>
  <r>
    <s v="GM-01039"/>
    <s v="Congo, Rep."/>
    <x v="2"/>
    <x v="10"/>
    <x v="0"/>
    <s v="Life expectancy at birth"/>
    <s v="Health"/>
    <s v="SDG 3: Good Health and Well-being"/>
    <n v="52.97"/>
    <s v="Years"/>
    <s v="Congo, Rep.|2002"/>
    <s v="Gapminder/Plotly country-year extract reshaped to long indicator format for education"/>
    <s v="OK"/>
    <s v="2000s"/>
    <s v="Low"/>
    <s v="Health"/>
  </r>
  <r>
    <s v="GM-01040"/>
    <s v="Congo, Rep."/>
    <x v="2"/>
    <x v="10"/>
    <x v="1"/>
    <s v="Population, total"/>
    <s v="Demographics"/>
    <s v="SDG 11: Sustainable Cities and Communities"/>
    <n v="3328795"/>
    <s v="People"/>
    <s v="Congo, Rep.|2002"/>
    <s v="Gapminder/Plotly country-year extract reshaped to long indicator format for education"/>
    <s v="OK"/>
    <s v="2000s"/>
    <s v="N/A"/>
    <s v="Demographics"/>
  </r>
  <r>
    <s v="GM-01041"/>
    <s v="Congo, Rep."/>
    <x v="2"/>
    <x v="10"/>
    <x v="2"/>
    <s v="GDP per capita"/>
    <s v="Economy"/>
    <s v="SDG 8: Decent Work and Economic Growth"/>
    <n v="3484.0619700000002"/>
    <s v="Source-defined international dollars"/>
    <s v="Congo, Rep.|2002"/>
    <s v="Gapminder/Plotly country-year extract reshaped to long indicator format for education"/>
    <s v="OK"/>
    <s v="2000s"/>
    <s v="N/A"/>
    <s v="Economy"/>
  </r>
  <r>
    <s v="GM-01042"/>
    <s v="Congo, Rep."/>
    <x v="2"/>
    <x v="11"/>
    <x v="0"/>
    <s v="Life expectancy at birth"/>
    <s v="Health"/>
    <s v="SDG 3: Good Health and Well-being"/>
    <n v="55.322000000000003"/>
    <s v="Years"/>
    <s v="Congo, Rep.|2007"/>
    <s v="Gapminder/Plotly country-year extract reshaped to long indicator format for education"/>
    <s v="OK"/>
    <s v="2000s"/>
    <s v="Medium"/>
    <s v="Health"/>
  </r>
  <r>
    <s v="GM-01043"/>
    <s v="Congo, Rep."/>
    <x v="2"/>
    <x v="11"/>
    <x v="1"/>
    <s v="Population, total"/>
    <s v="Demographics"/>
    <s v="SDG 11: Sustainable Cities and Communities"/>
    <n v="3800610"/>
    <s v="People"/>
    <s v="Congo, Rep.|2007"/>
    <s v="Gapminder/Plotly country-year extract reshaped to long indicator format for education"/>
    <s v="OK"/>
    <s v="2000s"/>
    <s v="N/A"/>
    <s v="Demographics"/>
  </r>
  <r>
    <s v="GM-01044"/>
    <s v="Congo, Rep."/>
    <x v="2"/>
    <x v="11"/>
    <x v="2"/>
    <s v="GDP per capita"/>
    <s v="Economy"/>
    <s v="SDG 8: Decent Work and Economic Growth"/>
    <n v="3632.5577979999998"/>
    <s v="Source-defined international dollars"/>
    <s v="Congo, Rep.|2007"/>
    <s v="Gapminder/Plotly country-year extract reshaped to long indicator format for education"/>
    <s v="OK"/>
    <s v="2000s"/>
    <s v="N/A"/>
    <s v="Economy"/>
  </r>
  <r>
    <s v="GM-01045"/>
    <s v="Costa Rica"/>
    <x v="3"/>
    <x v="0"/>
    <x v="0"/>
    <s v="Life expectancy at birth"/>
    <s v="Health"/>
    <s v="SDG 3: Good Health and Well-being"/>
    <n v="57.206000000000003"/>
    <s v="Years"/>
    <s v="Costa Rica|1952"/>
    <s v="Gapminder/Plotly country-year extract reshaped to long indicator format for education"/>
    <s v="OK"/>
    <s v="1950s"/>
    <s v="Medium"/>
    <s v="Health"/>
  </r>
  <r>
    <s v="GM-01046"/>
    <s v="Costa Rica"/>
    <x v="3"/>
    <x v="0"/>
    <x v="1"/>
    <s v="Population, total"/>
    <s v="Demographics"/>
    <s v="SDG 11: Sustainable Cities and Communities"/>
    <n v="926317"/>
    <s v="People"/>
    <s v="Costa Rica|1952"/>
    <s v="Gapminder/Plotly country-year extract reshaped to long indicator format for education"/>
    <s v="OK"/>
    <s v="1950s"/>
    <s v="N/A"/>
    <s v="Demographics"/>
  </r>
  <r>
    <s v="GM-01047"/>
    <s v="Costa Rica"/>
    <x v="3"/>
    <x v="0"/>
    <x v="2"/>
    <s v="GDP per capita"/>
    <s v="Economy"/>
    <s v="SDG 8: Decent Work and Economic Growth"/>
    <n v="2627.0094709999998"/>
    <s v="Source-defined international dollars"/>
    <s v="Costa Rica|1952"/>
    <s v="Gapminder/Plotly country-year extract reshaped to long indicator format for education"/>
    <s v="OK"/>
    <s v="1950s"/>
    <s v="N/A"/>
    <s v="Economy"/>
  </r>
  <r>
    <s v="GM-01048"/>
    <s v="Costa Rica"/>
    <x v="3"/>
    <x v="1"/>
    <x v="0"/>
    <s v="Life expectancy at birth"/>
    <s v="Health"/>
    <s v="SDG 3: Good Health and Well-being"/>
    <n v="60.026000000000003"/>
    <s v="Years"/>
    <s v="Costa Rica|1957"/>
    <s v="Gapminder/Plotly country-year extract reshaped to long indicator format for education"/>
    <s v="OK"/>
    <s v="1950s"/>
    <s v="Medium"/>
    <s v="Health"/>
  </r>
  <r>
    <s v="GM-01049"/>
    <s v="Costa Rica"/>
    <x v="3"/>
    <x v="1"/>
    <x v="1"/>
    <s v="Population, total"/>
    <s v="Demographics"/>
    <s v="SDG 11: Sustainable Cities and Communities"/>
    <n v="1112300"/>
    <s v="People"/>
    <s v="Costa Rica|1957"/>
    <s v="Gapminder/Plotly country-year extract reshaped to long indicator format for education"/>
    <s v="OK"/>
    <s v="1950s"/>
    <s v="N/A"/>
    <s v="Demographics"/>
  </r>
  <r>
    <s v="GM-01050"/>
    <s v="Costa Rica"/>
    <x v="3"/>
    <x v="1"/>
    <x v="2"/>
    <s v="GDP per capita"/>
    <s v="Economy"/>
    <s v="SDG 8: Decent Work and Economic Growth"/>
    <n v="2990.0108019999998"/>
    <s v="Source-defined international dollars"/>
    <s v="Costa Rica|1957"/>
    <s v="Gapminder/Plotly country-year extract reshaped to long indicator format for education"/>
    <s v="OK"/>
    <s v="1950s"/>
    <s v="N/A"/>
    <s v="Economy"/>
  </r>
  <r>
    <s v="GM-01051"/>
    <s v="Costa Rica"/>
    <x v="3"/>
    <x v="2"/>
    <x v="0"/>
    <s v="Life expectancy at birth"/>
    <s v="Health"/>
    <s v="SDG 3: Good Health and Well-being"/>
    <n v="62.841999999999999"/>
    <s v="Years"/>
    <s v="Costa Rica|1962"/>
    <s v="Gapminder/Plotly country-year extract reshaped to long indicator format for education"/>
    <s v="OK"/>
    <s v="1960s"/>
    <s v="Medium"/>
    <s v="Health"/>
  </r>
  <r>
    <s v="GM-01052"/>
    <s v="Costa Rica"/>
    <x v="3"/>
    <x v="2"/>
    <x v="1"/>
    <s v="Population, total"/>
    <s v="Demographics"/>
    <s v="SDG 11: Sustainable Cities and Communities"/>
    <n v="1345187"/>
    <s v="People"/>
    <s v="Costa Rica|1962"/>
    <s v="Gapminder/Plotly country-year extract reshaped to long indicator format for education"/>
    <s v="OK"/>
    <s v="1960s"/>
    <s v="N/A"/>
    <s v="Demographics"/>
  </r>
  <r>
    <s v="GM-01053"/>
    <s v="Costa Rica"/>
    <x v="3"/>
    <x v="2"/>
    <x v="2"/>
    <s v="GDP per capita"/>
    <s v="Economy"/>
    <s v="SDG 8: Decent Work and Economic Growth"/>
    <n v="3460.9370250000002"/>
    <s v="Source-defined international dollars"/>
    <s v="Costa Rica|1962"/>
    <s v="Gapminder/Plotly country-year extract reshaped to long indicator format for education"/>
    <s v="OK"/>
    <s v="1960s"/>
    <s v="N/A"/>
    <s v="Economy"/>
  </r>
  <r>
    <s v="GM-01054"/>
    <s v="Costa Rica"/>
    <x v="3"/>
    <x v="3"/>
    <x v="0"/>
    <s v="Life expectancy at birth"/>
    <s v="Health"/>
    <s v="SDG 3: Good Health and Well-being"/>
    <n v="65.423999999999893"/>
    <s v="Years"/>
    <s v="Costa Rica|1967"/>
    <s v="Gapminder/Plotly country-year extract reshaped to long indicator format for education"/>
    <s v="OK"/>
    <s v="1960s"/>
    <s v="Medium"/>
    <s v="Health"/>
  </r>
  <r>
    <s v="GM-01055"/>
    <s v="Costa Rica"/>
    <x v="3"/>
    <x v="3"/>
    <x v="1"/>
    <s v="Population, total"/>
    <s v="Demographics"/>
    <s v="SDG 11: Sustainable Cities and Communities"/>
    <n v="1588717"/>
    <s v="People"/>
    <s v="Costa Rica|1967"/>
    <s v="Gapminder/Plotly country-year extract reshaped to long indicator format for education"/>
    <s v="OK"/>
    <s v="1960s"/>
    <s v="N/A"/>
    <s v="Demographics"/>
  </r>
  <r>
    <s v="GM-01056"/>
    <s v="Costa Rica"/>
    <x v="3"/>
    <x v="3"/>
    <x v="2"/>
    <s v="GDP per capita"/>
    <s v="Economy"/>
    <s v="SDG 8: Decent Work and Economic Growth"/>
    <n v="4161.7278340000003"/>
    <s v="Source-defined international dollars"/>
    <s v="Costa Rica|1967"/>
    <s v="Gapminder/Plotly country-year extract reshaped to long indicator format for education"/>
    <s v="OK"/>
    <s v="1960s"/>
    <s v="N/A"/>
    <s v="Economy"/>
  </r>
  <r>
    <s v="GM-01057"/>
    <s v="Costa Rica"/>
    <x v="3"/>
    <x v="4"/>
    <x v="0"/>
    <s v="Life expectancy at birth"/>
    <s v="Health"/>
    <s v="SDG 3: Good Health and Well-being"/>
    <n v="67.848999999999904"/>
    <s v="Years"/>
    <s v="Costa Rica|1972"/>
    <s v="Gapminder/Plotly country-year extract reshaped to long indicator format for education"/>
    <s v="OK"/>
    <s v="1970s"/>
    <s v="Medium"/>
    <s v="Health"/>
  </r>
  <r>
    <s v="GM-01058"/>
    <s v="Costa Rica"/>
    <x v="3"/>
    <x v="4"/>
    <x v="1"/>
    <s v="Population, total"/>
    <s v="Demographics"/>
    <s v="SDG 11: Sustainable Cities and Communities"/>
    <n v="1834796"/>
    <s v="People"/>
    <s v="Costa Rica|1972"/>
    <s v="Gapminder/Plotly country-year extract reshaped to long indicator format for education"/>
    <s v="OK"/>
    <s v="1970s"/>
    <s v="N/A"/>
    <s v="Demographics"/>
  </r>
  <r>
    <s v="GM-01059"/>
    <s v="Costa Rica"/>
    <x v="3"/>
    <x v="4"/>
    <x v="2"/>
    <s v="GDP per capita"/>
    <s v="Economy"/>
    <s v="SDG 8: Decent Work and Economic Growth"/>
    <n v="5118.1469390000002"/>
    <s v="Source-defined international dollars"/>
    <s v="Costa Rica|1972"/>
    <s v="Gapminder/Plotly country-year extract reshaped to long indicator format for education"/>
    <s v="OK"/>
    <s v="1970s"/>
    <s v="N/A"/>
    <s v="Economy"/>
  </r>
  <r>
    <s v="GM-01060"/>
    <s v="Costa Rica"/>
    <x v="3"/>
    <x v="5"/>
    <x v="0"/>
    <s v="Life expectancy at birth"/>
    <s v="Health"/>
    <s v="SDG 3: Good Health and Well-being"/>
    <n v="70.75"/>
    <s v="Years"/>
    <s v="Costa Rica|1977"/>
    <s v="Gapminder/Plotly country-year extract reshaped to long indicator format for education"/>
    <s v="OK"/>
    <s v="1970s"/>
    <s v="High"/>
    <s v="Health"/>
  </r>
  <r>
    <s v="GM-01061"/>
    <s v="Costa Rica"/>
    <x v="3"/>
    <x v="5"/>
    <x v="1"/>
    <s v="Population, total"/>
    <s v="Demographics"/>
    <s v="SDG 11: Sustainable Cities and Communities"/>
    <n v="2108457"/>
    <s v="People"/>
    <s v="Costa Rica|1977"/>
    <s v="Gapminder/Plotly country-year extract reshaped to long indicator format for education"/>
    <s v="OK"/>
    <s v="1970s"/>
    <s v="N/A"/>
    <s v="Demographics"/>
  </r>
  <r>
    <s v="GM-01062"/>
    <s v="Costa Rica"/>
    <x v="3"/>
    <x v="5"/>
    <x v="2"/>
    <s v="GDP per capita"/>
    <s v="Economy"/>
    <s v="SDG 8: Decent Work and Economic Growth"/>
    <n v="5926.8769670000001"/>
    <s v="Source-defined international dollars"/>
    <s v="Costa Rica|1977"/>
    <s v="Gapminder/Plotly country-year extract reshaped to long indicator format for education"/>
    <s v="OK"/>
    <s v="1970s"/>
    <s v="N/A"/>
    <s v="Economy"/>
  </r>
  <r>
    <s v="GM-01063"/>
    <s v="Costa Rica"/>
    <x v="3"/>
    <x v="6"/>
    <x v="0"/>
    <s v="Life expectancy at birth"/>
    <s v="Health"/>
    <s v="SDG 3: Good Health and Well-being"/>
    <n v="73.45"/>
    <s v="Years"/>
    <s v="Costa Rica|1982"/>
    <s v="Gapminder/Plotly country-year extract reshaped to long indicator format for education"/>
    <s v="OK"/>
    <s v="1980s"/>
    <s v="High"/>
    <s v="Health"/>
  </r>
  <r>
    <s v="GM-01064"/>
    <s v="Costa Rica"/>
    <x v="3"/>
    <x v="6"/>
    <x v="1"/>
    <s v="Population, total"/>
    <s v="Demographics"/>
    <s v="SDG 11: Sustainable Cities and Communities"/>
    <n v="2424367"/>
    <s v="People"/>
    <s v="Costa Rica|1982"/>
    <s v="Gapminder/Plotly country-year extract reshaped to long indicator format for education"/>
    <s v="OK"/>
    <s v="1980s"/>
    <s v="N/A"/>
    <s v="Demographics"/>
  </r>
  <r>
    <s v="GM-01065"/>
    <s v="Costa Rica"/>
    <x v="3"/>
    <x v="6"/>
    <x v="2"/>
    <s v="GDP per capita"/>
    <s v="Economy"/>
    <s v="SDG 8: Decent Work and Economic Growth"/>
    <n v="5262.734751"/>
    <s v="Source-defined international dollars"/>
    <s v="Costa Rica|1982"/>
    <s v="Gapminder/Plotly country-year extract reshaped to long indicator format for education"/>
    <s v="OK"/>
    <s v="1980s"/>
    <s v="N/A"/>
    <s v="Economy"/>
  </r>
  <r>
    <s v="GM-01066"/>
    <s v="Costa Rica"/>
    <x v="3"/>
    <x v="7"/>
    <x v="0"/>
    <s v="Life expectancy at birth"/>
    <s v="Health"/>
    <s v="SDG 3: Good Health and Well-being"/>
    <n v="74.751999999999995"/>
    <s v="Years"/>
    <s v="Costa Rica|1987"/>
    <s v="Gapminder/Plotly country-year extract reshaped to long indicator format for education"/>
    <s v="OK"/>
    <s v="1980s"/>
    <s v="High"/>
    <s v="Health"/>
  </r>
  <r>
    <s v="GM-01067"/>
    <s v="Costa Rica"/>
    <x v="3"/>
    <x v="7"/>
    <x v="1"/>
    <s v="Population, total"/>
    <s v="Demographics"/>
    <s v="SDG 11: Sustainable Cities and Communities"/>
    <n v="2799811"/>
    <s v="People"/>
    <s v="Costa Rica|1987"/>
    <s v="Gapminder/Plotly country-year extract reshaped to long indicator format for education"/>
    <s v="OK"/>
    <s v="1980s"/>
    <s v="N/A"/>
    <s v="Demographics"/>
  </r>
  <r>
    <s v="GM-01068"/>
    <s v="Costa Rica"/>
    <x v="3"/>
    <x v="7"/>
    <x v="2"/>
    <s v="GDP per capita"/>
    <s v="Economy"/>
    <s v="SDG 8: Decent Work and Economic Growth"/>
    <n v="5629.9153180000003"/>
    <s v="Source-defined international dollars"/>
    <s v="Costa Rica|1987"/>
    <s v="Gapminder/Plotly country-year extract reshaped to long indicator format for education"/>
    <s v="OK"/>
    <s v="1980s"/>
    <s v="N/A"/>
    <s v="Economy"/>
  </r>
  <r>
    <s v="GM-01069"/>
    <s v="Costa Rica"/>
    <x v="3"/>
    <x v="8"/>
    <x v="0"/>
    <s v="Life expectancy at birth"/>
    <s v="Health"/>
    <s v="SDG 3: Good Health and Well-being"/>
    <n v="75.712999999999994"/>
    <s v="Years"/>
    <s v="Costa Rica|1992"/>
    <s v="Gapminder/Plotly country-year extract reshaped to long indicator format for education"/>
    <s v="OK"/>
    <s v="1990s"/>
    <s v="High"/>
    <s v="Health"/>
  </r>
  <r>
    <s v="GM-01070"/>
    <s v="Costa Rica"/>
    <x v="3"/>
    <x v="8"/>
    <x v="1"/>
    <s v="Population, total"/>
    <s v="Demographics"/>
    <s v="SDG 11: Sustainable Cities and Communities"/>
    <n v="3173216"/>
    <s v="People"/>
    <s v="Costa Rica|1992"/>
    <s v="Gapminder/Plotly country-year extract reshaped to long indicator format for education"/>
    <s v="OK"/>
    <s v="1990s"/>
    <s v="N/A"/>
    <s v="Demographics"/>
  </r>
  <r>
    <s v="GM-01071"/>
    <s v="Costa Rica"/>
    <x v="3"/>
    <x v="8"/>
    <x v="2"/>
    <s v="GDP per capita"/>
    <s v="Economy"/>
    <s v="SDG 8: Decent Work and Economic Growth"/>
    <n v="6160.4163170000002"/>
    <s v="Source-defined international dollars"/>
    <s v="Costa Rica|1992"/>
    <s v="Gapminder/Plotly country-year extract reshaped to long indicator format for education"/>
    <s v="OK"/>
    <s v="1990s"/>
    <s v="N/A"/>
    <s v="Economy"/>
  </r>
  <r>
    <s v="GM-01072"/>
    <s v="Costa Rica"/>
    <x v="3"/>
    <x v="9"/>
    <x v="0"/>
    <s v="Life expectancy at birth"/>
    <s v="Health"/>
    <s v="SDG 3: Good Health and Well-being"/>
    <n v="77.260000000000005"/>
    <s v="Years"/>
    <s v="Costa Rica|1997"/>
    <s v="Gapminder/Plotly country-year extract reshaped to long indicator format for education"/>
    <s v="OK"/>
    <s v="1990s"/>
    <s v="High"/>
    <s v="Health"/>
  </r>
  <r>
    <s v="GM-01073"/>
    <s v="Costa Rica"/>
    <x v="3"/>
    <x v="9"/>
    <x v="1"/>
    <s v="Population, total"/>
    <s v="Demographics"/>
    <s v="SDG 11: Sustainable Cities and Communities"/>
    <n v="3518107"/>
    <s v="People"/>
    <s v="Costa Rica|1997"/>
    <s v="Gapminder/Plotly country-year extract reshaped to long indicator format for education"/>
    <s v="OK"/>
    <s v="1990s"/>
    <s v="N/A"/>
    <s v="Demographics"/>
  </r>
  <r>
    <s v="GM-01074"/>
    <s v="Costa Rica"/>
    <x v="3"/>
    <x v="9"/>
    <x v="2"/>
    <s v="GDP per capita"/>
    <s v="Economy"/>
    <s v="SDG 8: Decent Work and Economic Growth"/>
    <n v="6677.045314"/>
    <s v="Source-defined international dollars"/>
    <s v="Costa Rica|1997"/>
    <s v="Gapminder/Plotly country-year extract reshaped to long indicator format for education"/>
    <s v="OK"/>
    <s v="1990s"/>
    <s v="N/A"/>
    <s v="Economy"/>
  </r>
  <r>
    <s v="GM-01075"/>
    <s v="Costa Rica"/>
    <x v="3"/>
    <x v="10"/>
    <x v="0"/>
    <s v="Life expectancy at birth"/>
    <s v="Health"/>
    <s v="SDG 3: Good Health and Well-being"/>
    <n v="78.123000000000005"/>
    <s v="Years"/>
    <s v="Costa Rica|2002"/>
    <s v="Gapminder/Plotly country-year extract reshaped to long indicator format for education"/>
    <s v="OK"/>
    <s v="2000s"/>
    <s v="High"/>
    <s v="Health"/>
  </r>
  <r>
    <s v="GM-01076"/>
    <s v="Costa Rica"/>
    <x v="3"/>
    <x v="10"/>
    <x v="1"/>
    <s v="Population, total"/>
    <s v="Demographics"/>
    <s v="SDG 11: Sustainable Cities and Communities"/>
    <n v="3834934"/>
    <s v="People"/>
    <s v="Costa Rica|2002"/>
    <s v="Gapminder/Plotly country-year extract reshaped to long indicator format for education"/>
    <s v="OK"/>
    <s v="2000s"/>
    <s v="N/A"/>
    <s v="Demographics"/>
  </r>
  <r>
    <s v="GM-01077"/>
    <s v="Costa Rica"/>
    <x v="3"/>
    <x v="10"/>
    <x v="2"/>
    <s v="GDP per capita"/>
    <s v="Economy"/>
    <s v="SDG 8: Decent Work and Economic Growth"/>
    <n v="7723.4471949999997"/>
    <s v="Source-defined international dollars"/>
    <s v="Costa Rica|2002"/>
    <s v="Gapminder/Plotly country-year extract reshaped to long indicator format for education"/>
    <s v="OK"/>
    <s v="2000s"/>
    <s v="N/A"/>
    <s v="Economy"/>
  </r>
  <r>
    <s v="GM-01078"/>
    <s v="Costa Rica"/>
    <x v="3"/>
    <x v="11"/>
    <x v="0"/>
    <s v="Life expectancy at birth"/>
    <s v="Health"/>
    <s v="SDG 3: Good Health and Well-being"/>
    <n v="78.781999999999996"/>
    <s v="Years"/>
    <s v="Costa Rica|2007"/>
    <s v="Gapminder/Plotly country-year extract reshaped to long indicator format for education"/>
    <s v="OK"/>
    <s v="2000s"/>
    <s v="High"/>
    <s v="Health"/>
  </r>
  <r>
    <s v="GM-01079"/>
    <s v="Costa Rica"/>
    <x v="3"/>
    <x v="11"/>
    <x v="1"/>
    <s v="Population, total"/>
    <s v="Demographics"/>
    <s v="SDG 11: Sustainable Cities and Communities"/>
    <n v="4133884"/>
    <s v="People"/>
    <s v="Costa Rica|2007"/>
    <s v="Gapminder/Plotly country-year extract reshaped to long indicator format for education"/>
    <s v="OK"/>
    <s v="2000s"/>
    <s v="N/A"/>
    <s v="Demographics"/>
  </r>
  <r>
    <s v="GM-01080"/>
    <s v="Costa Rica"/>
    <x v="3"/>
    <x v="11"/>
    <x v="2"/>
    <s v="GDP per capita"/>
    <s v="Economy"/>
    <s v="SDG 8: Decent Work and Economic Growth"/>
    <n v="9645.06142"/>
    <s v="Source-defined international dollars"/>
    <s v="Costa Rica|2007"/>
    <s v="Gapminder/Plotly country-year extract reshaped to long indicator format for education"/>
    <s v="OK"/>
    <s v="2000s"/>
    <s v="N/A"/>
    <s v="Economy"/>
  </r>
  <r>
    <s v="GM-01081"/>
    <s v="Cote d'Ivoire"/>
    <x v="2"/>
    <x v="0"/>
    <x v="0"/>
    <s v="Life expectancy at birth"/>
    <s v="Health"/>
    <s v="SDG 3: Good Health and Well-being"/>
    <n v="40.476999999999997"/>
    <s v="Years"/>
    <s v="Cote d'Ivoire|1952"/>
    <s v="Gapminder/Plotly country-year extract reshaped to long indicator format for education"/>
    <s v="OK"/>
    <s v="1950s"/>
    <s v="Low"/>
    <s v="Health"/>
  </r>
  <r>
    <s v="GM-01082"/>
    <s v="Cote d'Ivoire"/>
    <x v="2"/>
    <x v="0"/>
    <x v="1"/>
    <s v="Population, total"/>
    <s v="Demographics"/>
    <s v="SDG 11: Sustainable Cities and Communities"/>
    <n v="2977019"/>
    <s v="People"/>
    <s v="Cote d'Ivoire|1952"/>
    <s v="Gapminder/Plotly country-year extract reshaped to long indicator format for education"/>
    <s v="OK"/>
    <s v="1950s"/>
    <s v="N/A"/>
    <s v="Demographics"/>
  </r>
  <r>
    <s v="GM-01083"/>
    <s v="Cote d'Ivoire"/>
    <x v="2"/>
    <x v="0"/>
    <x v="2"/>
    <s v="GDP per capita"/>
    <s v="Economy"/>
    <s v="SDG 8: Decent Work and Economic Growth"/>
    <n v="1388.594732"/>
    <s v="Source-defined international dollars"/>
    <s v="Cote d'Ivoire|1952"/>
    <s v="Gapminder/Plotly country-year extract reshaped to long indicator format for education"/>
    <s v="OK"/>
    <s v="1950s"/>
    <s v="N/A"/>
    <s v="Economy"/>
  </r>
  <r>
    <s v="GM-01084"/>
    <s v="Cote d'Ivoire"/>
    <x v="2"/>
    <x v="1"/>
    <x v="0"/>
    <s v="Life expectancy at birth"/>
    <s v="Health"/>
    <s v="SDG 3: Good Health and Well-being"/>
    <n v="42.469000000000001"/>
    <s v="Years"/>
    <s v="Cote d'Ivoire|1957"/>
    <s v="Gapminder/Plotly country-year extract reshaped to long indicator format for education"/>
    <s v="OK"/>
    <s v="1950s"/>
    <s v="Low"/>
    <s v="Health"/>
  </r>
  <r>
    <s v="GM-01085"/>
    <s v="Cote d'Ivoire"/>
    <x v="2"/>
    <x v="1"/>
    <x v="1"/>
    <s v="Population, total"/>
    <s v="Demographics"/>
    <s v="SDG 11: Sustainable Cities and Communities"/>
    <n v="3300000"/>
    <s v="People"/>
    <s v="Cote d'Ivoire|1957"/>
    <s v="Gapminder/Plotly country-year extract reshaped to long indicator format for education"/>
    <s v="OK"/>
    <s v="1950s"/>
    <s v="N/A"/>
    <s v="Demographics"/>
  </r>
  <r>
    <s v="GM-01086"/>
    <s v="Cote d'Ivoire"/>
    <x v="2"/>
    <x v="1"/>
    <x v="2"/>
    <s v="GDP per capita"/>
    <s v="Economy"/>
    <s v="SDG 8: Decent Work and Economic Growth"/>
    <n v="1500.895925"/>
    <s v="Source-defined international dollars"/>
    <s v="Cote d'Ivoire|1957"/>
    <s v="Gapminder/Plotly country-year extract reshaped to long indicator format for education"/>
    <s v="OK"/>
    <s v="1950s"/>
    <s v="N/A"/>
    <s v="Economy"/>
  </r>
  <r>
    <s v="GM-01087"/>
    <s v="Cote d'Ivoire"/>
    <x v="2"/>
    <x v="2"/>
    <x v="0"/>
    <s v="Life expectancy at birth"/>
    <s v="Health"/>
    <s v="SDG 3: Good Health and Well-being"/>
    <n v="44.93"/>
    <s v="Years"/>
    <s v="Cote d'Ivoire|1962"/>
    <s v="Gapminder/Plotly country-year extract reshaped to long indicator format for education"/>
    <s v="OK"/>
    <s v="1960s"/>
    <s v="Low"/>
    <s v="Health"/>
  </r>
  <r>
    <s v="GM-01088"/>
    <s v="Cote d'Ivoire"/>
    <x v="2"/>
    <x v="2"/>
    <x v="1"/>
    <s v="Population, total"/>
    <s v="Demographics"/>
    <s v="SDG 11: Sustainable Cities and Communities"/>
    <n v="3832408"/>
    <s v="People"/>
    <s v="Cote d'Ivoire|1962"/>
    <s v="Gapminder/Plotly country-year extract reshaped to long indicator format for education"/>
    <s v="OK"/>
    <s v="1960s"/>
    <s v="N/A"/>
    <s v="Demographics"/>
  </r>
  <r>
    <s v="GM-01089"/>
    <s v="Cote d'Ivoire"/>
    <x v="2"/>
    <x v="2"/>
    <x v="2"/>
    <s v="GDP per capita"/>
    <s v="Economy"/>
    <s v="SDG 8: Decent Work and Economic Growth"/>
    <n v="1728.869428"/>
    <s v="Source-defined international dollars"/>
    <s v="Cote d'Ivoire|1962"/>
    <s v="Gapminder/Plotly country-year extract reshaped to long indicator format for education"/>
    <s v="OK"/>
    <s v="1960s"/>
    <s v="N/A"/>
    <s v="Economy"/>
  </r>
  <r>
    <s v="GM-01090"/>
    <s v="Cote d'Ivoire"/>
    <x v="2"/>
    <x v="3"/>
    <x v="0"/>
    <s v="Life expectancy at birth"/>
    <s v="Health"/>
    <s v="SDG 3: Good Health and Well-being"/>
    <n v="47.35"/>
    <s v="Years"/>
    <s v="Cote d'Ivoire|1967"/>
    <s v="Gapminder/Plotly country-year extract reshaped to long indicator format for education"/>
    <s v="OK"/>
    <s v="1960s"/>
    <s v="Low"/>
    <s v="Health"/>
  </r>
  <r>
    <s v="GM-01091"/>
    <s v="Cote d'Ivoire"/>
    <x v="2"/>
    <x v="3"/>
    <x v="1"/>
    <s v="Population, total"/>
    <s v="Demographics"/>
    <s v="SDG 11: Sustainable Cities and Communities"/>
    <n v="4744870"/>
    <s v="People"/>
    <s v="Cote d'Ivoire|1967"/>
    <s v="Gapminder/Plotly country-year extract reshaped to long indicator format for education"/>
    <s v="OK"/>
    <s v="1960s"/>
    <s v="N/A"/>
    <s v="Demographics"/>
  </r>
  <r>
    <s v="GM-01092"/>
    <s v="Cote d'Ivoire"/>
    <x v="2"/>
    <x v="3"/>
    <x v="2"/>
    <s v="GDP per capita"/>
    <s v="Economy"/>
    <s v="SDG 8: Decent Work and Economic Growth"/>
    <n v="2052.0504729999998"/>
    <s v="Source-defined international dollars"/>
    <s v="Cote d'Ivoire|1967"/>
    <s v="Gapminder/Plotly country-year extract reshaped to long indicator format for education"/>
    <s v="OK"/>
    <s v="1960s"/>
    <s v="N/A"/>
    <s v="Economy"/>
  </r>
  <r>
    <s v="GM-01093"/>
    <s v="Cote d'Ivoire"/>
    <x v="2"/>
    <x v="4"/>
    <x v="0"/>
    <s v="Life expectancy at birth"/>
    <s v="Health"/>
    <s v="SDG 3: Good Health and Well-being"/>
    <n v="49.801000000000002"/>
    <s v="Years"/>
    <s v="Cote d'Ivoire|1972"/>
    <s v="Gapminder/Plotly country-year extract reshaped to long indicator format for education"/>
    <s v="OK"/>
    <s v="1970s"/>
    <s v="Low"/>
    <s v="Health"/>
  </r>
  <r>
    <s v="GM-01094"/>
    <s v="Cote d'Ivoire"/>
    <x v="2"/>
    <x v="4"/>
    <x v="1"/>
    <s v="Population, total"/>
    <s v="Demographics"/>
    <s v="SDG 11: Sustainable Cities and Communities"/>
    <n v="6071696"/>
    <s v="People"/>
    <s v="Cote d'Ivoire|1972"/>
    <s v="Gapminder/Plotly country-year extract reshaped to long indicator format for education"/>
    <s v="OK"/>
    <s v="1970s"/>
    <s v="N/A"/>
    <s v="Demographics"/>
  </r>
  <r>
    <s v="GM-01095"/>
    <s v="Cote d'Ivoire"/>
    <x v="2"/>
    <x v="4"/>
    <x v="2"/>
    <s v="GDP per capita"/>
    <s v="Economy"/>
    <s v="SDG 8: Decent Work and Economic Growth"/>
    <n v="2378.2011109999999"/>
    <s v="Source-defined international dollars"/>
    <s v="Cote d'Ivoire|1972"/>
    <s v="Gapminder/Plotly country-year extract reshaped to long indicator format for education"/>
    <s v="OK"/>
    <s v="1970s"/>
    <s v="N/A"/>
    <s v="Economy"/>
  </r>
  <r>
    <s v="GM-01096"/>
    <s v="Cote d'Ivoire"/>
    <x v="2"/>
    <x v="5"/>
    <x v="0"/>
    <s v="Life expectancy at birth"/>
    <s v="Health"/>
    <s v="SDG 3: Good Health and Well-being"/>
    <n v="52.374000000000002"/>
    <s v="Years"/>
    <s v="Cote d'Ivoire|1977"/>
    <s v="Gapminder/Plotly country-year extract reshaped to long indicator format for education"/>
    <s v="OK"/>
    <s v="1970s"/>
    <s v="Low"/>
    <s v="Health"/>
  </r>
  <r>
    <s v="GM-01097"/>
    <s v="Cote d'Ivoire"/>
    <x v="2"/>
    <x v="5"/>
    <x v="1"/>
    <s v="Population, total"/>
    <s v="Demographics"/>
    <s v="SDG 11: Sustainable Cities and Communities"/>
    <n v="7459574"/>
    <s v="People"/>
    <s v="Cote d'Ivoire|1977"/>
    <s v="Gapminder/Plotly country-year extract reshaped to long indicator format for education"/>
    <s v="OK"/>
    <s v="1970s"/>
    <s v="N/A"/>
    <s v="Demographics"/>
  </r>
  <r>
    <s v="GM-01098"/>
    <s v="Cote d'Ivoire"/>
    <x v="2"/>
    <x v="5"/>
    <x v="2"/>
    <s v="GDP per capita"/>
    <s v="Economy"/>
    <s v="SDG 8: Decent Work and Economic Growth"/>
    <n v="2517.736547"/>
    <s v="Source-defined international dollars"/>
    <s v="Cote d'Ivoire|1977"/>
    <s v="Gapminder/Plotly country-year extract reshaped to long indicator format for education"/>
    <s v="OK"/>
    <s v="1970s"/>
    <s v="N/A"/>
    <s v="Economy"/>
  </r>
  <r>
    <s v="GM-01099"/>
    <s v="Cote d'Ivoire"/>
    <x v="2"/>
    <x v="6"/>
    <x v="0"/>
    <s v="Life expectancy at birth"/>
    <s v="Health"/>
    <s v="SDG 3: Good Health and Well-being"/>
    <n v="53.982999999999997"/>
    <s v="Years"/>
    <s v="Cote d'Ivoire|1982"/>
    <s v="Gapminder/Plotly country-year extract reshaped to long indicator format for education"/>
    <s v="OK"/>
    <s v="1980s"/>
    <s v="Low"/>
    <s v="Health"/>
  </r>
  <r>
    <s v="GM-01100"/>
    <s v="Cote d'Ivoire"/>
    <x v="2"/>
    <x v="6"/>
    <x v="1"/>
    <s v="Population, total"/>
    <s v="Demographics"/>
    <s v="SDG 11: Sustainable Cities and Communities"/>
    <n v="9025951"/>
    <s v="People"/>
    <s v="Cote d'Ivoire|1982"/>
    <s v="Gapminder/Plotly country-year extract reshaped to long indicator format for education"/>
    <s v="OK"/>
    <s v="1980s"/>
    <s v="N/A"/>
    <s v="Demographics"/>
  </r>
  <r>
    <s v="GM-01101"/>
    <s v="Cote d'Ivoire"/>
    <x v="2"/>
    <x v="6"/>
    <x v="2"/>
    <s v="GDP per capita"/>
    <s v="Economy"/>
    <s v="SDG 8: Decent Work and Economic Growth"/>
    <n v="2602.710169"/>
    <s v="Source-defined international dollars"/>
    <s v="Cote d'Ivoire|1982"/>
    <s v="Gapminder/Plotly country-year extract reshaped to long indicator format for education"/>
    <s v="OK"/>
    <s v="1980s"/>
    <s v="N/A"/>
    <s v="Economy"/>
  </r>
  <r>
    <s v="GM-01102"/>
    <s v="Cote d'Ivoire"/>
    <x v="2"/>
    <x v="7"/>
    <x v="0"/>
    <s v="Life expectancy at birth"/>
    <s v="Health"/>
    <s v="SDG 3: Good Health and Well-being"/>
    <n v="54.655000000000001"/>
    <s v="Years"/>
    <s v="Cote d'Ivoire|1987"/>
    <s v="Gapminder/Plotly country-year extract reshaped to long indicator format for education"/>
    <s v="OK"/>
    <s v="1980s"/>
    <s v="Low"/>
    <s v="Health"/>
  </r>
  <r>
    <s v="GM-01103"/>
    <s v="Cote d'Ivoire"/>
    <x v="2"/>
    <x v="7"/>
    <x v="1"/>
    <s v="Population, total"/>
    <s v="Demographics"/>
    <s v="SDG 11: Sustainable Cities and Communities"/>
    <n v="10761098"/>
    <s v="People"/>
    <s v="Cote d'Ivoire|1987"/>
    <s v="Gapminder/Plotly country-year extract reshaped to long indicator format for education"/>
    <s v="OK"/>
    <s v="1980s"/>
    <s v="N/A"/>
    <s v="Demographics"/>
  </r>
  <r>
    <s v="GM-01104"/>
    <s v="Cote d'Ivoire"/>
    <x v="2"/>
    <x v="7"/>
    <x v="2"/>
    <s v="GDP per capita"/>
    <s v="Economy"/>
    <s v="SDG 8: Decent Work and Economic Growth"/>
    <n v="2156.9560689999998"/>
    <s v="Source-defined international dollars"/>
    <s v="Cote d'Ivoire|1987"/>
    <s v="Gapminder/Plotly country-year extract reshaped to long indicator format for education"/>
    <s v="OK"/>
    <s v="1980s"/>
    <s v="N/A"/>
    <s v="Economy"/>
  </r>
  <r>
    <s v="GM-01105"/>
    <s v="Cote d'Ivoire"/>
    <x v="2"/>
    <x v="8"/>
    <x v="0"/>
    <s v="Life expectancy at birth"/>
    <s v="Health"/>
    <s v="SDG 3: Good Health and Well-being"/>
    <n v="52.043999999999997"/>
    <s v="Years"/>
    <s v="Cote d'Ivoire|1992"/>
    <s v="Gapminder/Plotly country-year extract reshaped to long indicator format for education"/>
    <s v="OK"/>
    <s v="1990s"/>
    <s v="Low"/>
    <s v="Health"/>
  </r>
  <r>
    <s v="GM-01106"/>
    <s v="Cote d'Ivoire"/>
    <x v="2"/>
    <x v="8"/>
    <x v="1"/>
    <s v="Population, total"/>
    <s v="Demographics"/>
    <s v="SDG 11: Sustainable Cities and Communities"/>
    <n v="12772596"/>
    <s v="People"/>
    <s v="Cote d'Ivoire|1992"/>
    <s v="Gapminder/Plotly country-year extract reshaped to long indicator format for education"/>
    <s v="OK"/>
    <s v="1990s"/>
    <s v="N/A"/>
    <s v="Demographics"/>
  </r>
  <r>
    <s v="GM-01107"/>
    <s v="Cote d'Ivoire"/>
    <x v="2"/>
    <x v="8"/>
    <x v="2"/>
    <s v="GDP per capita"/>
    <s v="Economy"/>
    <s v="SDG 8: Decent Work and Economic Growth"/>
    <n v="1648.073791"/>
    <s v="Source-defined international dollars"/>
    <s v="Cote d'Ivoire|1992"/>
    <s v="Gapminder/Plotly country-year extract reshaped to long indicator format for education"/>
    <s v="OK"/>
    <s v="1990s"/>
    <s v="N/A"/>
    <s v="Economy"/>
  </r>
  <r>
    <s v="GM-01108"/>
    <s v="Cote d'Ivoire"/>
    <x v="2"/>
    <x v="9"/>
    <x v="0"/>
    <s v="Life expectancy at birth"/>
    <s v="Health"/>
    <s v="SDG 3: Good Health and Well-being"/>
    <n v="47.991"/>
    <s v="Years"/>
    <s v="Cote d'Ivoire|1997"/>
    <s v="Gapminder/Plotly country-year extract reshaped to long indicator format for education"/>
    <s v="OK"/>
    <s v="1990s"/>
    <s v="Low"/>
    <s v="Health"/>
  </r>
  <r>
    <s v="GM-01109"/>
    <s v="Cote d'Ivoire"/>
    <x v="2"/>
    <x v="9"/>
    <x v="1"/>
    <s v="Population, total"/>
    <s v="Demographics"/>
    <s v="SDG 11: Sustainable Cities and Communities"/>
    <n v="14625967"/>
    <s v="People"/>
    <s v="Cote d'Ivoire|1997"/>
    <s v="Gapminder/Plotly country-year extract reshaped to long indicator format for education"/>
    <s v="OK"/>
    <s v="1990s"/>
    <s v="N/A"/>
    <s v="Demographics"/>
  </r>
  <r>
    <s v="GM-01110"/>
    <s v="Cote d'Ivoire"/>
    <x v="2"/>
    <x v="9"/>
    <x v="2"/>
    <s v="GDP per capita"/>
    <s v="Economy"/>
    <s v="SDG 8: Decent Work and Economic Growth"/>
    <n v="1786.2654070000001"/>
    <s v="Source-defined international dollars"/>
    <s v="Cote d'Ivoire|1997"/>
    <s v="Gapminder/Plotly country-year extract reshaped to long indicator format for education"/>
    <s v="OK"/>
    <s v="1990s"/>
    <s v="N/A"/>
    <s v="Economy"/>
  </r>
  <r>
    <s v="GM-01111"/>
    <s v="Cote d'Ivoire"/>
    <x v="2"/>
    <x v="10"/>
    <x v="0"/>
    <s v="Life expectancy at birth"/>
    <s v="Health"/>
    <s v="SDG 3: Good Health and Well-being"/>
    <n v="46.832000000000001"/>
    <s v="Years"/>
    <s v="Cote d'Ivoire|2002"/>
    <s v="Gapminder/Plotly country-year extract reshaped to long indicator format for education"/>
    <s v="OK"/>
    <s v="2000s"/>
    <s v="Low"/>
    <s v="Health"/>
  </r>
  <r>
    <s v="GM-01112"/>
    <s v="Cote d'Ivoire"/>
    <x v="2"/>
    <x v="10"/>
    <x v="1"/>
    <s v="Population, total"/>
    <s v="Demographics"/>
    <s v="SDG 11: Sustainable Cities and Communities"/>
    <n v="16252726"/>
    <s v="People"/>
    <s v="Cote d'Ivoire|2002"/>
    <s v="Gapminder/Plotly country-year extract reshaped to long indicator format for education"/>
    <s v="OK"/>
    <s v="2000s"/>
    <s v="N/A"/>
    <s v="Demographics"/>
  </r>
  <r>
    <s v="GM-01113"/>
    <s v="Cote d'Ivoire"/>
    <x v="2"/>
    <x v="10"/>
    <x v="2"/>
    <s v="GDP per capita"/>
    <s v="Economy"/>
    <s v="SDG 8: Decent Work and Economic Growth"/>
    <n v="1648.800823"/>
    <s v="Source-defined international dollars"/>
    <s v="Cote d'Ivoire|2002"/>
    <s v="Gapminder/Plotly country-year extract reshaped to long indicator format for education"/>
    <s v="OK"/>
    <s v="2000s"/>
    <s v="N/A"/>
    <s v="Economy"/>
  </r>
  <r>
    <s v="GM-01114"/>
    <s v="Cote d'Ivoire"/>
    <x v="2"/>
    <x v="11"/>
    <x v="0"/>
    <s v="Life expectancy at birth"/>
    <s v="Health"/>
    <s v="SDG 3: Good Health and Well-being"/>
    <n v="48.328000000000003"/>
    <s v="Years"/>
    <s v="Cote d'Ivoire|2007"/>
    <s v="Gapminder/Plotly country-year extract reshaped to long indicator format for education"/>
    <s v="OK"/>
    <s v="2000s"/>
    <s v="Low"/>
    <s v="Health"/>
  </r>
  <r>
    <s v="GM-01115"/>
    <s v="Cote d'Ivoire"/>
    <x v="2"/>
    <x v="11"/>
    <x v="1"/>
    <s v="Population, total"/>
    <s v="Demographics"/>
    <s v="SDG 11: Sustainable Cities and Communities"/>
    <n v="18013409"/>
    <s v="People"/>
    <s v="Cote d'Ivoire|2007"/>
    <s v="Gapminder/Plotly country-year extract reshaped to long indicator format for education"/>
    <s v="OK"/>
    <s v="2000s"/>
    <s v="N/A"/>
    <s v="Demographics"/>
  </r>
  <r>
    <s v="GM-01116"/>
    <s v="Cote d'Ivoire"/>
    <x v="2"/>
    <x v="11"/>
    <x v="2"/>
    <s v="GDP per capita"/>
    <s v="Economy"/>
    <s v="SDG 8: Decent Work and Economic Growth"/>
    <n v="1544.7501119999999"/>
    <s v="Source-defined international dollars"/>
    <s v="Cote d'Ivoire|2007"/>
    <s v="Gapminder/Plotly country-year extract reshaped to long indicator format for education"/>
    <s v="OK"/>
    <s v="2000s"/>
    <s v="N/A"/>
    <s v="Economy"/>
  </r>
  <r>
    <s v="GM-01117"/>
    <s v="Croatia"/>
    <x v="1"/>
    <x v="0"/>
    <x v="0"/>
    <s v="Life expectancy at birth"/>
    <s v="Health"/>
    <s v="SDG 3: Good Health and Well-being"/>
    <n v="61.21"/>
    <s v="Years"/>
    <s v="Croatia|1952"/>
    <s v="Gapminder/Plotly country-year extract reshaped to long indicator format for education"/>
    <s v="OK"/>
    <s v="1950s"/>
    <s v="Medium"/>
    <s v="Health"/>
  </r>
  <r>
    <s v="GM-01118"/>
    <s v="Croatia"/>
    <x v="1"/>
    <x v="0"/>
    <x v="1"/>
    <s v="Population, total"/>
    <s v="Demographics"/>
    <s v="SDG 11: Sustainable Cities and Communities"/>
    <n v="3882229"/>
    <s v="People"/>
    <s v="Croatia|1952"/>
    <s v="Gapminder/Plotly country-year extract reshaped to long indicator format for education"/>
    <s v="OK"/>
    <s v="1950s"/>
    <s v="N/A"/>
    <s v="Demographics"/>
  </r>
  <r>
    <s v="GM-01119"/>
    <s v="Croatia"/>
    <x v="1"/>
    <x v="0"/>
    <x v="2"/>
    <s v="GDP per capita"/>
    <s v="Economy"/>
    <s v="SDG 8: Decent Work and Economic Growth"/>
    <n v="3119.2365199999999"/>
    <s v="Source-defined international dollars"/>
    <s v="Croatia|1952"/>
    <s v="Gapminder/Plotly country-year extract reshaped to long indicator format for education"/>
    <s v="OK"/>
    <s v="1950s"/>
    <s v="N/A"/>
    <s v="Economy"/>
  </r>
  <r>
    <s v="GM-01120"/>
    <s v="Croatia"/>
    <x v="1"/>
    <x v="1"/>
    <x v="0"/>
    <s v="Life expectancy at birth"/>
    <s v="Health"/>
    <s v="SDG 3: Good Health and Well-being"/>
    <n v="64.77"/>
    <s v="Years"/>
    <s v="Croatia|1957"/>
    <s v="Gapminder/Plotly country-year extract reshaped to long indicator format for education"/>
    <s v="OK"/>
    <s v="1950s"/>
    <s v="Medium"/>
    <s v="Health"/>
  </r>
  <r>
    <s v="GM-01121"/>
    <s v="Croatia"/>
    <x v="1"/>
    <x v="1"/>
    <x v="1"/>
    <s v="Population, total"/>
    <s v="Demographics"/>
    <s v="SDG 11: Sustainable Cities and Communities"/>
    <n v="3991242"/>
    <s v="People"/>
    <s v="Croatia|1957"/>
    <s v="Gapminder/Plotly country-year extract reshaped to long indicator format for education"/>
    <s v="OK"/>
    <s v="1950s"/>
    <s v="N/A"/>
    <s v="Demographics"/>
  </r>
  <r>
    <s v="GM-01122"/>
    <s v="Croatia"/>
    <x v="1"/>
    <x v="1"/>
    <x v="2"/>
    <s v="GDP per capita"/>
    <s v="Economy"/>
    <s v="SDG 8: Decent Work and Economic Growth"/>
    <n v="4338.2316170000004"/>
    <s v="Source-defined international dollars"/>
    <s v="Croatia|1957"/>
    <s v="Gapminder/Plotly country-year extract reshaped to long indicator format for education"/>
    <s v="OK"/>
    <s v="1950s"/>
    <s v="N/A"/>
    <s v="Economy"/>
  </r>
  <r>
    <s v="GM-01123"/>
    <s v="Croatia"/>
    <x v="1"/>
    <x v="2"/>
    <x v="0"/>
    <s v="Life expectancy at birth"/>
    <s v="Health"/>
    <s v="SDG 3: Good Health and Well-being"/>
    <n v="67.13"/>
    <s v="Years"/>
    <s v="Croatia|1962"/>
    <s v="Gapminder/Plotly country-year extract reshaped to long indicator format for education"/>
    <s v="OK"/>
    <s v="1960s"/>
    <s v="Medium"/>
    <s v="Health"/>
  </r>
  <r>
    <s v="GM-01124"/>
    <s v="Croatia"/>
    <x v="1"/>
    <x v="2"/>
    <x v="1"/>
    <s v="Population, total"/>
    <s v="Demographics"/>
    <s v="SDG 11: Sustainable Cities and Communities"/>
    <n v="4076557"/>
    <s v="People"/>
    <s v="Croatia|1962"/>
    <s v="Gapminder/Plotly country-year extract reshaped to long indicator format for education"/>
    <s v="OK"/>
    <s v="1960s"/>
    <s v="N/A"/>
    <s v="Demographics"/>
  </r>
  <r>
    <s v="GM-01125"/>
    <s v="Croatia"/>
    <x v="1"/>
    <x v="2"/>
    <x v="2"/>
    <s v="GDP per capita"/>
    <s v="Economy"/>
    <s v="SDG 8: Decent Work and Economic Growth"/>
    <n v="5477.8900180000001"/>
    <s v="Source-defined international dollars"/>
    <s v="Croatia|1962"/>
    <s v="Gapminder/Plotly country-year extract reshaped to long indicator format for education"/>
    <s v="OK"/>
    <s v="1960s"/>
    <s v="N/A"/>
    <s v="Economy"/>
  </r>
  <r>
    <s v="GM-01126"/>
    <s v="Croatia"/>
    <x v="1"/>
    <x v="3"/>
    <x v="0"/>
    <s v="Life expectancy at birth"/>
    <s v="Health"/>
    <s v="SDG 3: Good Health and Well-being"/>
    <n v="68.5"/>
    <s v="Years"/>
    <s v="Croatia|1967"/>
    <s v="Gapminder/Plotly country-year extract reshaped to long indicator format for education"/>
    <s v="OK"/>
    <s v="1960s"/>
    <s v="Medium"/>
    <s v="Health"/>
  </r>
  <r>
    <s v="GM-01127"/>
    <s v="Croatia"/>
    <x v="1"/>
    <x v="3"/>
    <x v="1"/>
    <s v="Population, total"/>
    <s v="Demographics"/>
    <s v="SDG 11: Sustainable Cities and Communities"/>
    <n v="4174366"/>
    <s v="People"/>
    <s v="Croatia|1967"/>
    <s v="Gapminder/Plotly country-year extract reshaped to long indicator format for education"/>
    <s v="OK"/>
    <s v="1960s"/>
    <s v="N/A"/>
    <s v="Demographics"/>
  </r>
  <r>
    <s v="GM-01128"/>
    <s v="Croatia"/>
    <x v="1"/>
    <x v="3"/>
    <x v="2"/>
    <s v="GDP per capita"/>
    <s v="Economy"/>
    <s v="SDG 8: Decent Work and Economic Growth"/>
    <n v="6960.297861"/>
    <s v="Source-defined international dollars"/>
    <s v="Croatia|1967"/>
    <s v="Gapminder/Plotly country-year extract reshaped to long indicator format for education"/>
    <s v="OK"/>
    <s v="1960s"/>
    <s v="N/A"/>
    <s v="Economy"/>
  </r>
  <r>
    <s v="GM-01129"/>
    <s v="Croatia"/>
    <x v="1"/>
    <x v="4"/>
    <x v="0"/>
    <s v="Life expectancy at birth"/>
    <s v="Health"/>
    <s v="SDG 3: Good Health and Well-being"/>
    <n v="69.61"/>
    <s v="Years"/>
    <s v="Croatia|1972"/>
    <s v="Gapminder/Plotly country-year extract reshaped to long indicator format for education"/>
    <s v="OK"/>
    <s v="1970s"/>
    <s v="Medium"/>
    <s v="Health"/>
  </r>
  <r>
    <s v="GM-01130"/>
    <s v="Croatia"/>
    <x v="1"/>
    <x v="4"/>
    <x v="1"/>
    <s v="Population, total"/>
    <s v="Demographics"/>
    <s v="SDG 11: Sustainable Cities and Communities"/>
    <n v="4225310"/>
    <s v="People"/>
    <s v="Croatia|1972"/>
    <s v="Gapminder/Plotly country-year extract reshaped to long indicator format for education"/>
    <s v="OK"/>
    <s v="1970s"/>
    <s v="N/A"/>
    <s v="Demographics"/>
  </r>
  <r>
    <s v="GM-01131"/>
    <s v="Croatia"/>
    <x v="1"/>
    <x v="4"/>
    <x v="2"/>
    <s v="GDP per capita"/>
    <s v="Economy"/>
    <s v="SDG 8: Decent Work and Economic Growth"/>
    <n v="9164.0901269999995"/>
    <s v="Source-defined international dollars"/>
    <s v="Croatia|1972"/>
    <s v="Gapminder/Plotly country-year extract reshaped to long indicator format for education"/>
    <s v="OK"/>
    <s v="1970s"/>
    <s v="N/A"/>
    <s v="Economy"/>
  </r>
  <r>
    <s v="GM-01132"/>
    <s v="Croatia"/>
    <x v="1"/>
    <x v="5"/>
    <x v="0"/>
    <s v="Life expectancy at birth"/>
    <s v="Health"/>
    <s v="SDG 3: Good Health and Well-being"/>
    <n v="70.64"/>
    <s v="Years"/>
    <s v="Croatia|1977"/>
    <s v="Gapminder/Plotly country-year extract reshaped to long indicator format for education"/>
    <s v="OK"/>
    <s v="1970s"/>
    <s v="High"/>
    <s v="Health"/>
  </r>
  <r>
    <s v="GM-01133"/>
    <s v="Croatia"/>
    <x v="1"/>
    <x v="5"/>
    <x v="1"/>
    <s v="Population, total"/>
    <s v="Demographics"/>
    <s v="SDG 11: Sustainable Cities and Communities"/>
    <n v="4318673"/>
    <s v="People"/>
    <s v="Croatia|1977"/>
    <s v="Gapminder/Plotly country-year extract reshaped to long indicator format for education"/>
    <s v="OK"/>
    <s v="1970s"/>
    <s v="N/A"/>
    <s v="Demographics"/>
  </r>
  <r>
    <s v="GM-01134"/>
    <s v="Croatia"/>
    <x v="1"/>
    <x v="5"/>
    <x v="2"/>
    <s v="GDP per capita"/>
    <s v="Economy"/>
    <s v="SDG 8: Decent Work and Economic Growth"/>
    <n v="11305.38517"/>
    <s v="Source-defined international dollars"/>
    <s v="Croatia|1977"/>
    <s v="Gapminder/Plotly country-year extract reshaped to long indicator format for education"/>
    <s v="OK"/>
    <s v="1970s"/>
    <s v="N/A"/>
    <s v="Economy"/>
  </r>
  <r>
    <s v="GM-01135"/>
    <s v="Croatia"/>
    <x v="1"/>
    <x v="6"/>
    <x v="0"/>
    <s v="Life expectancy at birth"/>
    <s v="Health"/>
    <s v="SDG 3: Good Health and Well-being"/>
    <n v="70.459999999999994"/>
    <s v="Years"/>
    <s v="Croatia|1982"/>
    <s v="Gapminder/Plotly country-year extract reshaped to long indicator format for education"/>
    <s v="OK"/>
    <s v="1980s"/>
    <s v="High"/>
    <s v="Health"/>
  </r>
  <r>
    <s v="GM-01136"/>
    <s v="Croatia"/>
    <x v="1"/>
    <x v="6"/>
    <x v="1"/>
    <s v="Population, total"/>
    <s v="Demographics"/>
    <s v="SDG 11: Sustainable Cities and Communities"/>
    <n v="4413368"/>
    <s v="People"/>
    <s v="Croatia|1982"/>
    <s v="Gapminder/Plotly country-year extract reshaped to long indicator format for education"/>
    <s v="OK"/>
    <s v="1980s"/>
    <s v="N/A"/>
    <s v="Demographics"/>
  </r>
  <r>
    <s v="GM-01137"/>
    <s v="Croatia"/>
    <x v="1"/>
    <x v="6"/>
    <x v="2"/>
    <s v="GDP per capita"/>
    <s v="Economy"/>
    <s v="SDG 8: Decent Work and Economic Growth"/>
    <n v="13221.821840000001"/>
    <s v="Source-defined international dollars"/>
    <s v="Croatia|1982"/>
    <s v="Gapminder/Plotly country-year extract reshaped to long indicator format for education"/>
    <s v="OK"/>
    <s v="1980s"/>
    <s v="N/A"/>
    <s v="Economy"/>
  </r>
  <r>
    <s v="GM-01138"/>
    <s v="Croatia"/>
    <x v="1"/>
    <x v="7"/>
    <x v="0"/>
    <s v="Life expectancy at birth"/>
    <s v="Health"/>
    <s v="SDG 3: Good Health and Well-being"/>
    <n v="71.52"/>
    <s v="Years"/>
    <s v="Croatia|1987"/>
    <s v="Gapminder/Plotly country-year extract reshaped to long indicator format for education"/>
    <s v="OK"/>
    <s v="1980s"/>
    <s v="High"/>
    <s v="Health"/>
  </r>
  <r>
    <s v="GM-01139"/>
    <s v="Croatia"/>
    <x v="1"/>
    <x v="7"/>
    <x v="1"/>
    <s v="Population, total"/>
    <s v="Demographics"/>
    <s v="SDG 11: Sustainable Cities and Communities"/>
    <n v="4484310"/>
    <s v="People"/>
    <s v="Croatia|1987"/>
    <s v="Gapminder/Plotly country-year extract reshaped to long indicator format for education"/>
    <s v="OK"/>
    <s v="1980s"/>
    <s v="N/A"/>
    <s v="Demographics"/>
  </r>
  <r>
    <s v="GM-01140"/>
    <s v="Croatia"/>
    <x v="1"/>
    <x v="7"/>
    <x v="2"/>
    <s v="GDP per capita"/>
    <s v="Economy"/>
    <s v="SDG 8: Decent Work and Economic Growth"/>
    <n v="13822.58394"/>
    <s v="Source-defined international dollars"/>
    <s v="Croatia|1987"/>
    <s v="Gapminder/Plotly country-year extract reshaped to long indicator format for education"/>
    <s v="OK"/>
    <s v="1980s"/>
    <s v="N/A"/>
    <s v="Economy"/>
  </r>
  <r>
    <s v="GM-01141"/>
    <s v="Croatia"/>
    <x v="1"/>
    <x v="8"/>
    <x v="0"/>
    <s v="Life expectancy at birth"/>
    <s v="Health"/>
    <s v="SDG 3: Good Health and Well-being"/>
    <n v="72.527000000000001"/>
    <s v="Years"/>
    <s v="Croatia|1992"/>
    <s v="Gapminder/Plotly country-year extract reshaped to long indicator format for education"/>
    <s v="OK"/>
    <s v="1990s"/>
    <s v="High"/>
    <s v="Health"/>
  </r>
  <r>
    <s v="GM-01142"/>
    <s v="Croatia"/>
    <x v="1"/>
    <x v="8"/>
    <x v="1"/>
    <s v="Population, total"/>
    <s v="Demographics"/>
    <s v="SDG 11: Sustainable Cities and Communities"/>
    <n v="4494013"/>
    <s v="People"/>
    <s v="Croatia|1992"/>
    <s v="Gapminder/Plotly country-year extract reshaped to long indicator format for education"/>
    <s v="OK"/>
    <s v="1990s"/>
    <s v="N/A"/>
    <s v="Demographics"/>
  </r>
  <r>
    <s v="GM-01143"/>
    <s v="Croatia"/>
    <x v="1"/>
    <x v="8"/>
    <x v="2"/>
    <s v="GDP per capita"/>
    <s v="Economy"/>
    <s v="SDG 8: Decent Work and Economic Growth"/>
    <n v="8447.7948730000007"/>
    <s v="Source-defined international dollars"/>
    <s v="Croatia|1992"/>
    <s v="Gapminder/Plotly country-year extract reshaped to long indicator format for education"/>
    <s v="OK"/>
    <s v="1990s"/>
    <s v="N/A"/>
    <s v="Economy"/>
  </r>
  <r>
    <s v="GM-01144"/>
    <s v="Croatia"/>
    <x v="1"/>
    <x v="9"/>
    <x v="0"/>
    <s v="Life expectancy at birth"/>
    <s v="Health"/>
    <s v="SDG 3: Good Health and Well-being"/>
    <n v="73.680000000000007"/>
    <s v="Years"/>
    <s v="Croatia|1997"/>
    <s v="Gapminder/Plotly country-year extract reshaped to long indicator format for education"/>
    <s v="OK"/>
    <s v="1990s"/>
    <s v="High"/>
    <s v="Health"/>
  </r>
  <r>
    <s v="GM-01145"/>
    <s v="Croatia"/>
    <x v="1"/>
    <x v="9"/>
    <x v="1"/>
    <s v="Population, total"/>
    <s v="Demographics"/>
    <s v="SDG 11: Sustainable Cities and Communities"/>
    <n v="4444595"/>
    <s v="People"/>
    <s v="Croatia|1997"/>
    <s v="Gapminder/Plotly country-year extract reshaped to long indicator format for education"/>
    <s v="OK"/>
    <s v="1990s"/>
    <s v="N/A"/>
    <s v="Demographics"/>
  </r>
  <r>
    <s v="GM-01146"/>
    <s v="Croatia"/>
    <x v="1"/>
    <x v="9"/>
    <x v="2"/>
    <s v="GDP per capita"/>
    <s v="Economy"/>
    <s v="SDG 8: Decent Work and Economic Growth"/>
    <n v="9875.6045150000009"/>
    <s v="Source-defined international dollars"/>
    <s v="Croatia|1997"/>
    <s v="Gapminder/Plotly country-year extract reshaped to long indicator format for education"/>
    <s v="OK"/>
    <s v="1990s"/>
    <s v="N/A"/>
    <s v="Economy"/>
  </r>
  <r>
    <s v="GM-01147"/>
    <s v="Croatia"/>
    <x v="1"/>
    <x v="10"/>
    <x v="0"/>
    <s v="Life expectancy at birth"/>
    <s v="Health"/>
    <s v="SDG 3: Good Health and Well-being"/>
    <n v="74.876000000000005"/>
    <s v="Years"/>
    <s v="Croatia|2002"/>
    <s v="Gapminder/Plotly country-year extract reshaped to long indicator format for education"/>
    <s v="OK"/>
    <s v="2000s"/>
    <s v="High"/>
    <s v="Health"/>
  </r>
  <r>
    <s v="GM-01148"/>
    <s v="Croatia"/>
    <x v="1"/>
    <x v="10"/>
    <x v="1"/>
    <s v="Population, total"/>
    <s v="Demographics"/>
    <s v="SDG 11: Sustainable Cities and Communities"/>
    <n v="4481020"/>
    <s v="People"/>
    <s v="Croatia|2002"/>
    <s v="Gapminder/Plotly country-year extract reshaped to long indicator format for education"/>
    <s v="OK"/>
    <s v="2000s"/>
    <s v="N/A"/>
    <s v="Demographics"/>
  </r>
  <r>
    <s v="GM-01149"/>
    <s v="Croatia"/>
    <x v="1"/>
    <x v="10"/>
    <x v="2"/>
    <s v="GDP per capita"/>
    <s v="Economy"/>
    <s v="SDG 8: Decent Work and Economic Growth"/>
    <n v="11628.38895"/>
    <s v="Source-defined international dollars"/>
    <s v="Croatia|2002"/>
    <s v="Gapminder/Plotly country-year extract reshaped to long indicator format for education"/>
    <s v="OK"/>
    <s v="2000s"/>
    <s v="N/A"/>
    <s v="Economy"/>
  </r>
  <r>
    <s v="GM-01150"/>
    <s v="Croatia"/>
    <x v="1"/>
    <x v="11"/>
    <x v="0"/>
    <s v="Life expectancy at birth"/>
    <s v="Health"/>
    <s v="SDG 3: Good Health and Well-being"/>
    <n v="75.748000000000005"/>
    <s v="Years"/>
    <s v="Croatia|2007"/>
    <s v="Gapminder/Plotly country-year extract reshaped to long indicator format for education"/>
    <s v="OK"/>
    <s v="2000s"/>
    <s v="High"/>
    <s v="Health"/>
  </r>
  <r>
    <s v="GM-01151"/>
    <s v="Croatia"/>
    <x v="1"/>
    <x v="11"/>
    <x v="1"/>
    <s v="Population, total"/>
    <s v="Demographics"/>
    <s v="SDG 11: Sustainable Cities and Communities"/>
    <n v="4493312"/>
    <s v="People"/>
    <s v="Croatia|2007"/>
    <s v="Gapminder/Plotly country-year extract reshaped to long indicator format for education"/>
    <s v="OK"/>
    <s v="2000s"/>
    <s v="N/A"/>
    <s v="Demographics"/>
  </r>
  <r>
    <s v="GM-01152"/>
    <s v="Croatia"/>
    <x v="1"/>
    <x v="11"/>
    <x v="2"/>
    <s v="GDP per capita"/>
    <s v="Economy"/>
    <s v="SDG 8: Decent Work and Economic Growth"/>
    <n v="14619.2227199999"/>
    <s v="Source-defined international dollars"/>
    <s v="Croatia|2007"/>
    <s v="Gapminder/Plotly country-year extract reshaped to long indicator format for education"/>
    <s v="OK"/>
    <s v="2000s"/>
    <s v="N/A"/>
    <s v="Economy"/>
  </r>
  <r>
    <s v="GM-01153"/>
    <s v="Cuba"/>
    <x v="3"/>
    <x v="0"/>
    <x v="0"/>
    <s v="Life expectancy at birth"/>
    <s v="Health"/>
    <s v="SDG 3: Good Health and Well-being"/>
    <n v="59.420999999999999"/>
    <s v="Years"/>
    <s v="Cuba|1952"/>
    <s v="Gapminder/Plotly country-year extract reshaped to long indicator format for education"/>
    <s v="OK"/>
    <s v="1950s"/>
    <s v="Medium"/>
    <s v="Health"/>
  </r>
  <r>
    <s v="GM-01154"/>
    <s v="Cuba"/>
    <x v="3"/>
    <x v="0"/>
    <x v="1"/>
    <s v="Population, total"/>
    <s v="Demographics"/>
    <s v="SDG 11: Sustainable Cities and Communities"/>
    <n v="6007797"/>
    <s v="People"/>
    <s v="Cuba|1952"/>
    <s v="Gapminder/Plotly country-year extract reshaped to long indicator format for education"/>
    <s v="OK"/>
    <s v="1950s"/>
    <s v="N/A"/>
    <s v="Demographics"/>
  </r>
  <r>
    <s v="GM-01155"/>
    <s v="Cuba"/>
    <x v="3"/>
    <x v="0"/>
    <x v="2"/>
    <s v="GDP per capita"/>
    <s v="Economy"/>
    <s v="SDG 8: Decent Work and Economic Growth"/>
    <n v="5586.5387799999999"/>
    <s v="Source-defined international dollars"/>
    <s v="Cuba|1952"/>
    <s v="Gapminder/Plotly country-year extract reshaped to long indicator format for education"/>
    <s v="OK"/>
    <s v="1950s"/>
    <s v="N/A"/>
    <s v="Economy"/>
  </r>
  <r>
    <s v="GM-01156"/>
    <s v="Cuba"/>
    <x v="3"/>
    <x v="1"/>
    <x v="0"/>
    <s v="Life expectancy at birth"/>
    <s v="Health"/>
    <s v="SDG 3: Good Health and Well-being"/>
    <n v="62.325000000000003"/>
    <s v="Years"/>
    <s v="Cuba|1957"/>
    <s v="Gapminder/Plotly country-year extract reshaped to long indicator format for education"/>
    <s v="OK"/>
    <s v="1950s"/>
    <s v="Medium"/>
    <s v="Health"/>
  </r>
  <r>
    <s v="GM-01157"/>
    <s v="Cuba"/>
    <x v="3"/>
    <x v="1"/>
    <x v="1"/>
    <s v="Population, total"/>
    <s v="Demographics"/>
    <s v="SDG 11: Sustainable Cities and Communities"/>
    <n v="6640752"/>
    <s v="People"/>
    <s v="Cuba|1957"/>
    <s v="Gapminder/Plotly country-year extract reshaped to long indicator format for education"/>
    <s v="OK"/>
    <s v="1950s"/>
    <s v="N/A"/>
    <s v="Demographics"/>
  </r>
  <r>
    <s v="GM-01158"/>
    <s v="Cuba"/>
    <x v="3"/>
    <x v="1"/>
    <x v="2"/>
    <s v="GDP per capita"/>
    <s v="Economy"/>
    <s v="SDG 8: Decent Work and Economic Growth"/>
    <n v="6092.1743589999996"/>
    <s v="Source-defined international dollars"/>
    <s v="Cuba|1957"/>
    <s v="Gapminder/Plotly country-year extract reshaped to long indicator format for education"/>
    <s v="OK"/>
    <s v="1950s"/>
    <s v="N/A"/>
    <s v="Economy"/>
  </r>
  <r>
    <s v="GM-01159"/>
    <s v="Cuba"/>
    <x v="3"/>
    <x v="2"/>
    <x v="0"/>
    <s v="Life expectancy at birth"/>
    <s v="Health"/>
    <s v="SDG 3: Good Health and Well-being"/>
    <n v="65.245999999999995"/>
    <s v="Years"/>
    <s v="Cuba|1962"/>
    <s v="Gapminder/Plotly country-year extract reshaped to long indicator format for education"/>
    <s v="OK"/>
    <s v="1960s"/>
    <s v="Medium"/>
    <s v="Health"/>
  </r>
  <r>
    <s v="GM-01160"/>
    <s v="Cuba"/>
    <x v="3"/>
    <x v="2"/>
    <x v="1"/>
    <s v="Population, total"/>
    <s v="Demographics"/>
    <s v="SDG 11: Sustainable Cities and Communities"/>
    <n v="7254373"/>
    <s v="People"/>
    <s v="Cuba|1962"/>
    <s v="Gapminder/Plotly country-year extract reshaped to long indicator format for education"/>
    <s v="OK"/>
    <s v="1960s"/>
    <s v="N/A"/>
    <s v="Demographics"/>
  </r>
  <r>
    <s v="GM-01161"/>
    <s v="Cuba"/>
    <x v="3"/>
    <x v="2"/>
    <x v="2"/>
    <s v="GDP per capita"/>
    <s v="Economy"/>
    <s v="SDG 8: Decent Work and Economic Growth"/>
    <n v="5180.7559099999999"/>
    <s v="Source-defined international dollars"/>
    <s v="Cuba|1962"/>
    <s v="Gapminder/Plotly country-year extract reshaped to long indicator format for education"/>
    <s v="OK"/>
    <s v="1960s"/>
    <s v="N/A"/>
    <s v="Economy"/>
  </r>
  <r>
    <s v="GM-01162"/>
    <s v="Cuba"/>
    <x v="3"/>
    <x v="3"/>
    <x v="0"/>
    <s v="Life expectancy at birth"/>
    <s v="Health"/>
    <s v="SDG 3: Good Health and Well-being"/>
    <n v="68.290000000000006"/>
    <s v="Years"/>
    <s v="Cuba|1967"/>
    <s v="Gapminder/Plotly country-year extract reshaped to long indicator format for education"/>
    <s v="OK"/>
    <s v="1960s"/>
    <s v="Medium"/>
    <s v="Health"/>
  </r>
  <r>
    <s v="GM-01163"/>
    <s v="Cuba"/>
    <x v="3"/>
    <x v="3"/>
    <x v="1"/>
    <s v="Population, total"/>
    <s v="Demographics"/>
    <s v="SDG 11: Sustainable Cities and Communities"/>
    <n v="8139332"/>
    <s v="People"/>
    <s v="Cuba|1967"/>
    <s v="Gapminder/Plotly country-year extract reshaped to long indicator format for education"/>
    <s v="OK"/>
    <s v="1960s"/>
    <s v="N/A"/>
    <s v="Demographics"/>
  </r>
  <r>
    <s v="GM-01164"/>
    <s v="Cuba"/>
    <x v="3"/>
    <x v="3"/>
    <x v="2"/>
    <s v="GDP per capita"/>
    <s v="Economy"/>
    <s v="SDG 8: Decent Work and Economic Growth"/>
    <n v="5690.2680149999997"/>
    <s v="Source-defined international dollars"/>
    <s v="Cuba|1967"/>
    <s v="Gapminder/Plotly country-year extract reshaped to long indicator format for education"/>
    <s v="OK"/>
    <s v="1960s"/>
    <s v="N/A"/>
    <s v="Economy"/>
  </r>
  <r>
    <s v="GM-01165"/>
    <s v="Cuba"/>
    <x v="3"/>
    <x v="4"/>
    <x v="0"/>
    <s v="Life expectancy at birth"/>
    <s v="Health"/>
    <s v="SDG 3: Good Health and Well-being"/>
    <n v="70.722999999999999"/>
    <s v="Years"/>
    <s v="Cuba|1972"/>
    <s v="Gapminder/Plotly country-year extract reshaped to long indicator format for education"/>
    <s v="OK"/>
    <s v="1970s"/>
    <s v="High"/>
    <s v="Health"/>
  </r>
  <r>
    <s v="GM-01166"/>
    <s v="Cuba"/>
    <x v="3"/>
    <x v="4"/>
    <x v="1"/>
    <s v="Population, total"/>
    <s v="Demographics"/>
    <s v="SDG 11: Sustainable Cities and Communities"/>
    <n v="8831348"/>
    <s v="People"/>
    <s v="Cuba|1972"/>
    <s v="Gapminder/Plotly country-year extract reshaped to long indicator format for education"/>
    <s v="OK"/>
    <s v="1970s"/>
    <s v="N/A"/>
    <s v="Demographics"/>
  </r>
  <r>
    <s v="GM-01167"/>
    <s v="Cuba"/>
    <x v="3"/>
    <x v="4"/>
    <x v="2"/>
    <s v="GDP per capita"/>
    <s v="Economy"/>
    <s v="SDG 8: Decent Work and Economic Growth"/>
    <n v="5305.445256"/>
    <s v="Source-defined international dollars"/>
    <s v="Cuba|1972"/>
    <s v="Gapminder/Plotly country-year extract reshaped to long indicator format for education"/>
    <s v="OK"/>
    <s v="1970s"/>
    <s v="N/A"/>
    <s v="Economy"/>
  </r>
  <r>
    <s v="GM-01168"/>
    <s v="Cuba"/>
    <x v="3"/>
    <x v="5"/>
    <x v="0"/>
    <s v="Life expectancy at birth"/>
    <s v="Health"/>
    <s v="SDG 3: Good Health and Well-being"/>
    <n v="72.649000000000001"/>
    <s v="Years"/>
    <s v="Cuba|1977"/>
    <s v="Gapminder/Plotly country-year extract reshaped to long indicator format for education"/>
    <s v="OK"/>
    <s v="1970s"/>
    <s v="High"/>
    <s v="Health"/>
  </r>
  <r>
    <s v="GM-01169"/>
    <s v="Cuba"/>
    <x v="3"/>
    <x v="5"/>
    <x v="1"/>
    <s v="Population, total"/>
    <s v="Demographics"/>
    <s v="SDG 11: Sustainable Cities and Communities"/>
    <n v="9537988"/>
    <s v="People"/>
    <s v="Cuba|1977"/>
    <s v="Gapminder/Plotly country-year extract reshaped to long indicator format for education"/>
    <s v="OK"/>
    <s v="1970s"/>
    <s v="N/A"/>
    <s v="Demographics"/>
  </r>
  <r>
    <s v="GM-01170"/>
    <s v="Cuba"/>
    <x v="3"/>
    <x v="5"/>
    <x v="2"/>
    <s v="GDP per capita"/>
    <s v="Economy"/>
    <s v="SDG 8: Decent Work and Economic Growth"/>
    <n v="6380.4949659999902"/>
    <s v="Source-defined international dollars"/>
    <s v="Cuba|1977"/>
    <s v="Gapminder/Plotly country-year extract reshaped to long indicator format for education"/>
    <s v="OK"/>
    <s v="1970s"/>
    <s v="N/A"/>
    <s v="Economy"/>
  </r>
  <r>
    <s v="GM-01171"/>
    <s v="Cuba"/>
    <x v="3"/>
    <x v="6"/>
    <x v="0"/>
    <s v="Life expectancy at birth"/>
    <s v="Health"/>
    <s v="SDG 3: Good Health and Well-being"/>
    <n v="73.716999999999999"/>
    <s v="Years"/>
    <s v="Cuba|1982"/>
    <s v="Gapminder/Plotly country-year extract reshaped to long indicator format for education"/>
    <s v="OK"/>
    <s v="1980s"/>
    <s v="High"/>
    <s v="Health"/>
  </r>
  <r>
    <s v="GM-01172"/>
    <s v="Cuba"/>
    <x v="3"/>
    <x v="6"/>
    <x v="1"/>
    <s v="Population, total"/>
    <s v="Demographics"/>
    <s v="SDG 11: Sustainable Cities and Communities"/>
    <n v="9789224"/>
    <s v="People"/>
    <s v="Cuba|1982"/>
    <s v="Gapminder/Plotly country-year extract reshaped to long indicator format for education"/>
    <s v="OK"/>
    <s v="1980s"/>
    <s v="N/A"/>
    <s v="Demographics"/>
  </r>
  <r>
    <s v="GM-01173"/>
    <s v="Cuba"/>
    <x v="3"/>
    <x v="6"/>
    <x v="2"/>
    <s v="GDP per capita"/>
    <s v="Economy"/>
    <s v="SDG 8: Decent Work and Economic Growth"/>
    <n v="7316.9181069999904"/>
    <s v="Source-defined international dollars"/>
    <s v="Cuba|1982"/>
    <s v="Gapminder/Plotly country-year extract reshaped to long indicator format for education"/>
    <s v="OK"/>
    <s v="1980s"/>
    <s v="N/A"/>
    <s v="Economy"/>
  </r>
  <r>
    <s v="GM-01174"/>
    <s v="Cuba"/>
    <x v="3"/>
    <x v="7"/>
    <x v="0"/>
    <s v="Life expectancy at birth"/>
    <s v="Health"/>
    <s v="SDG 3: Good Health and Well-being"/>
    <n v="74.173999999999893"/>
    <s v="Years"/>
    <s v="Cuba|1987"/>
    <s v="Gapminder/Plotly country-year extract reshaped to long indicator format for education"/>
    <s v="OK"/>
    <s v="1980s"/>
    <s v="High"/>
    <s v="Health"/>
  </r>
  <r>
    <s v="GM-01175"/>
    <s v="Cuba"/>
    <x v="3"/>
    <x v="7"/>
    <x v="1"/>
    <s v="Population, total"/>
    <s v="Demographics"/>
    <s v="SDG 11: Sustainable Cities and Communities"/>
    <n v="10239839"/>
    <s v="People"/>
    <s v="Cuba|1987"/>
    <s v="Gapminder/Plotly country-year extract reshaped to long indicator format for education"/>
    <s v="OK"/>
    <s v="1980s"/>
    <s v="N/A"/>
    <s v="Demographics"/>
  </r>
  <r>
    <s v="GM-01176"/>
    <s v="Cuba"/>
    <x v="3"/>
    <x v="7"/>
    <x v="2"/>
    <s v="GDP per capita"/>
    <s v="Economy"/>
    <s v="SDG 8: Decent Work and Economic Growth"/>
    <n v="7532.92476299999"/>
    <s v="Source-defined international dollars"/>
    <s v="Cuba|1987"/>
    <s v="Gapminder/Plotly country-year extract reshaped to long indicator format for education"/>
    <s v="OK"/>
    <s v="1980s"/>
    <s v="N/A"/>
    <s v="Economy"/>
  </r>
  <r>
    <s v="GM-01177"/>
    <s v="Cuba"/>
    <x v="3"/>
    <x v="8"/>
    <x v="0"/>
    <s v="Life expectancy at birth"/>
    <s v="Health"/>
    <s v="SDG 3: Good Health and Well-being"/>
    <n v="74.414000000000001"/>
    <s v="Years"/>
    <s v="Cuba|1992"/>
    <s v="Gapminder/Plotly country-year extract reshaped to long indicator format for education"/>
    <s v="OK"/>
    <s v="1990s"/>
    <s v="High"/>
    <s v="Health"/>
  </r>
  <r>
    <s v="GM-01178"/>
    <s v="Cuba"/>
    <x v="3"/>
    <x v="8"/>
    <x v="1"/>
    <s v="Population, total"/>
    <s v="Demographics"/>
    <s v="SDG 11: Sustainable Cities and Communities"/>
    <n v="10723260"/>
    <s v="People"/>
    <s v="Cuba|1992"/>
    <s v="Gapminder/Plotly country-year extract reshaped to long indicator format for education"/>
    <s v="OK"/>
    <s v="1990s"/>
    <s v="N/A"/>
    <s v="Demographics"/>
  </r>
  <r>
    <s v="GM-01179"/>
    <s v="Cuba"/>
    <x v="3"/>
    <x v="8"/>
    <x v="2"/>
    <s v="GDP per capita"/>
    <s v="Economy"/>
    <s v="SDG 8: Decent Work and Economic Growth"/>
    <n v="5592.8439630000003"/>
    <s v="Source-defined international dollars"/>
    <s v="Cuba|1992"/>
    <s v="Gapminder/Plotly country-year extract reshaped to long indicator format for education"/>
    <s v="OK"/>
    <s v="1990s"/>
    <s v="N/A"/>
    <s v="Economy"/>
  </r>
  <r>
    <s v="GM-01180"/>
    <s v="Cuba"/>
    <x v="3"/>
    <x v="9"/>
    <x v="0"/>
    <s v="Life expectancy at birth"/>
    <s v="Health"/>
    <s v="SDG 3: Good Health and Well-being"/>
    <n v="76.150999999999996"/>
    <s v="Years"/>
    <s v="Cuba|1997"/>
    <s v="Gapminder/Plotly country-year extract reshaped to long indicator format for education"/>
    <s v="OK"/>
    <s v="1990s"/>
    <s v="High"/>
    <s v="Health"/>
  </r>
  <r>
    <s v="GM-01181"/>
    <s v="Cuba"/>
    <x v="3"/>
    <x v="9"/>
    <x v="1"/>
    <s v="Population, total"/>
    <s v="Demographics"/>
    <s v="SDG 11: Sustainable Cities and Communities"/>
    <n v="10983007"/>
    <s v="People"/>
    <s v="Cuba|1997"/>
    <s v="Gapminder/Plotly country-year extract reshaped to long indicator format for education"/>
    <s v="OK"/>
    <s v="1990s"/>
    <s v="N/A"/>
    <s v="Demographics"/>
  </r>
  <r>
    <s v="GM-01182"/>
    <s v="Cuba"/>
    <x v="3"/>
    <x v="9"/>
    <x v="2"/>
    <s v="GDP per capita"/>
    <s v="Economy"/>
    <s v="SDG 8: Decent Work and Economic Growth"/>
    <n v="5431.9904150000002"/>
    <s v="Source-defined international dollars"/>
    <s v="Cuba|1997"/>
    <s v="Gapminder/Plotly country-year extract reshaped to long indicator format for education"/>
    <s v="OK"/>
    <s v="1990s"/>
    <s v="N/A"/>
    <s v="Economy"/>
  </r>
  <r>
    <s v="GM-01183"/>
    <s v="Cuba"/>
    <x v="3"/>
    <x v="10"/>
    <x v="0"/>
    <s v="Life expectancy at birth"/>
    <s v="Health"/>
    <s v="SDG 3: Good Health and Well-being"/>
    <n v="77.158000000000001"/>
    <s v="Years"/>
    <s v="Cuba|2002"/>
    <s v="Gapminder/Plotly country-year extract reshaped to long indicator format for education"/>
    <s v="OK"/>
    <s v="2000s"/>
    <s v="High"/>
    <s v="Health"/>
  </r>
  <r>
    <s v="GM-01184"/>
    <s v="Cuba"/>
    <x v="3"/>
    <x v="10"/>
    <x v="1"/>
    <s v="Population, total"/>
    <s v="Demographics"/>
    <s v="SDG 11: Sustainable Cities and Communities"/>
    <n v="11226999"/>
    <s v="People"/>
    <s v="Cuba|2002"/>
    <s v="Gapminder/Plotly country-year extract reshaped to long indicator format for education"/>
    <s v="OK"/>
    <s v="2000s"/>
    <s v="N/A"/>
    <s v="Demographics"/>
  </r>
  <r>
    <s v="GM-01185"/>
    <s v="Cuba"/>
    <x v="3"/>
    <x v="10"/>
    <x v="2"/>
    <s v="GDP per capita"/>
    <s v="Economy"/>
    <s v="SDG 8: Decent Work and Economic Growth"/>
    <n v="6340.6466829999999"/>
    <s v="Source-defined international dollars"/>
    <s v="Cuba|2002"/>
    <s v="Gapminder/Plotly country-year extract reshaped to long indicator format for education"/>
    <s v="OK"/>
    <s v="2000s"/>
    <s v="N/A"/>
    <s v="Economy"/>
  </r>
  <r>
    <s v="GM-01186"/>
    <s v="Cuba"/>
    <x v="3"/>
    <x v="11"/>
    <x v="0"/>
    <s v="Life expectancy at birth"/>
    <s v="Health"/>
    <s v="SDG 3: Good Health and Well-being"/>
    <n v="78.272999999999996"/>
    <s v="Years"/>
    <s v="Cuba|2007"/>
    <s v="Gapminder/Plotly country-year extract reshaped to long indicator format for education"/>
    <s v="OK"/>
    <s v="2000s"/>
    <s v="High"/>
    <s v="Health"/>
  </r>
  <r>
    <s v="GM-01187"/>
    <s v="Cuba"/>
    <x v="3"/>
    <x v="11"/>
    <x v="1"/>
    <s v="Population, total"/>
    <s v="Demographics"/>
    <s v="SDG 11: Sustainable Cities and Communities"/>
    <n v="11416987"/>
    <s v="People"/>
    <s v="Cuba|2007"/>
    <s v="Gapminder/Plotly country-year extract reshaped to long indicator format for education"/>
    <s v="OK"/>
    <s v="2000s"/>
    <s v="N/A"/>
    <s v="Demographics"/>
  </r>
  <r>
    <s v="GM-01188"/>
    <s v="Cuba"/>
    <x v="3"/>
    <x v="11"/>
    <x v="2"/>
    <s v="GDP per capita"/>
    <s v="Economy"/>
    <s v="SDG 8: Decent Work and Economic Growth"/>
    <n v="8948.1029230000004"/>
    <s v="Source-defined international dollars"/>
    <s v="Cuba|2007"/>
    <s v="Gapminder/Plotly country-year extract reshaped to long indicator format for education"/>
    <s v="OK"/>
    <s v="2000s"/>
    <s v="N/A"/>
    <s v="Economy"/>
  </r>
  <r>
    <s v="GM-01189"/>
    <s v="Czech Republic"/>
    <x v="1"/>
    <x v="0"/>
    <x v="0"/>
    <s v="Life expectancy at birth"/>
    <s v="Health"/>
    <s v="SDG 3: Good Health and Well-being"/>
    <n v="66.87"/>
    <s v="Years"/>
    <s v="Czech Republic|1952"/>
    <s v="Gapminder/Plotly country-year extract reshaped to long indicator format for education"/>
    <s v="OK"/>
    <s v="1950s"/>
    <s v="Medium"/>
    <s v="Health"/>
  </r>
  <r>
    <s v="GM-01190"/>
    <s v="Czech Republic"/>
    <x v="1"/>
    <x v="0"/>
    <x v="1"/>
    <s v="Population, total"/>
    <s v="Demographics"/>
    <s v="SDG 11: Sustainable Cities and Communities"/>
    <n v="9125183"/>
    <s v="People"/>
    <s v="Czech Republic|1952"/>
    <s v="Gapminder/Plotly country-year extract reshaped to long indicator format for education"/>
    <s v="OK"/>
    <s v="1950s"/>
    <s v="N/A"/>
    <s v="Demographics"/>
  </r>
  <r>
    <s v="GM-01191"/>
    <s v="Czech Republic"/>
    <x v="1"/>
    <x v="0"/>
    <x v="2"/>
    <s v="GDP per capita"/>
    <s v="Economy"/>
    <s v="SDG 8: Decent Work and Economic Growth"/>
    <n v="6876.1402500000004"/>
    <s v="Source-defined international dollars"/>
    <s v="Czech Republic|1952"/>
    <s v="Gapminder/Plotly country-year extract reshaped to long indicator format for education"/>
    <s v="OK"/>
    <s v="1950s"/>
    <s v="N/A"/>
    <s v="Economy"/>
  </r>
  <r>
    <s v="GM-01192"/>
    <s v="Czech Republic"/>
    <x v="1"/>
    <x v="1"/>
    <x v="0"/>
    <s v="Life expectancy at birth"/>
    <s v="Health"/>
    <s v="SDG 3: Good Health and Well-being"/>
    <n v="69.03"/>
    <s v="Years"/>
    <s v="Czech Republic|1957"/>
    <s v="Gapminder/Plotly country-year extract reshaped to long indicator format for education"/>
    <s v="OK"/>
    <s v="1950s"/>
    <s v="Medium"/>
    <s v="Health"/>
  </r>
  <r>
    <s v="GM-01193"/>
    <s v="Czech Republic"/>
    <x v="1"/>
    <x v="1"/>
    <x v="1"/>
    <s v="Population, total"/>
    <s v="Demographics"/>
    <s v="SDG 11: Sustainable Cities and Communities"/>
    <n v="9513758"/>
    <s v="People"/>
    <s v="Czech Republic|1957"/>
    <s v="Gapminder/Plotly country-year extract reshaped to long indicator format for education"/>
    <s v="OK"/>
    <s v="1950s"/>
    <s v="N/A"/>
    <s v="Demographics"/>
  </r>
  <r>
    <s v="GM-01194"/>
    <s v="Czech Republic"/>
    <x v="1"/>
    <x v="1"/>
    <x v="2"/>
    <s v="GDP per capita"/>
    <s v="Economy"/>
    <s v="SDG 8: Decent Work and Economic Growth"/>
    <n v="8256.3439180000005"/>
    <s v="Source-defined international dollars"/>
    <s v="Czech Republic|1957"/>
    <s v="Gapminder/Plotly country-year extract reshaped to long indicator format for education"/>
    <s v="OK"/>
    <s v="1950s"/>
    <s v="N/A"/>
    <s v="Economy"/>
  </r>
  <r>
    <s v="GM-01195"/>
    <s v="Czech Republic"/>
    <x v="1"/>
    <x v="2"/>
    <x v="0"/>
    <s v="Life expectancy at birth"/>
    <s v="Health"/>
    <s v="SDG 3: Good Health and Well-being"/>
    <n v="69.900000000000006"/>
    <s v="Years"/>
    <s v="Czech Republic|1962"/>
    <s v="Gapminder/Plotly country-year extract reshaped to long indicator format for education"/>
    <s v="OK"/>
    <s v="1960s"/>
    <s v="Medium"/>
    <s v="Health"/>
  </r>
  <r>
    <s v="GM-01196"/>
    <s v="Czech Republic"/>
    <x v="1"/>
    <x v="2"/>
    <x v="1"/>
    <s v="Population, total"/>
    <s v="Demographics"/>
    <s v="SDG 11: Sustainable Cities and Communities"/>
    <n v="9620282"/>
    <s v="People"/>
    <s v="Czech Republic|1962"/>
    <s v="Gapminder/Plotly country-year extract reshaped to long indicator format for education"/>
    <s v="OK"/>
    <s v="1960s"/>
    <s v="N/A"/>
    <s v="Demographics"/>
  </r>
  <r>
    <s v="GM-01197"/>
    <s v="Czech Republic"/>
    <x v="1"/>
    <x v="2"/>
    <x v="2"/>
    <s v="GDP per capita"/>
    <s v="Economy"/>
    <s v="SDG 8: Decent Work and Economic Growth"/>
    <n v="10136.867130000001"/>
    <s v="Source-defined international dollars"/>
    <s v="Czech Republic|1962"/>
    <s v="Gapminder/Plotly country-year extract reshaped to long indicator format for education"/>
    <s v="OK"/>
    <s v="1960s"/>
    <s v="N/A"/>
    <s v="Economy"/>
  </r>
  <r>
    <s v="GM-01198"/>
    <s v="Czech Republic"/>
    <x v="1"/>
    <x v="3"/>
    <x v="0"/>
    <s v="Life expectancy at birth"/>
    <s v="Health"/>
    <s v="SDG 3: Good Health and Well-being"/>
    <n v="70.38"/>
    <s v="Years"/>
    <s v="Czech Republic|1967"/>
    <s v="Gapminder/Plotly country-year extract reshaped to long indicator format for education"/>
    <s v="OK"/>
    <s v="1960s"/>
    <s v="High"/>
    <s v="Health"/>
  </r>
  <r>
    <s v="GM-01199"/>
    <s v="Czech Republic"/>
    <x v="1"/>
    <x v="3"/>
    <x v="1"/>
    <s v="Population, total"/>
    <s v="Demographics"/>
    <s v="SDG 11: Sustainable Cities and Communities"/>
    <n v="9835109"/>
    <s v="People"/>
    <s v="Czech Republic|1967"/>
    <s v="Gapminder/Plotly country-year extract reshaped to long indicator format for education"/>
    <s v="OK"/>
    <s v="1960s"/>
    <s v="N/A"/>
    <s v="Demographics"/>
  </r>
  <r>
    <s v="GM-01200"/>
    <s v="Czech Republic"/>
    <x v="1"/>
    <x v="3"/>
    <x v="2"/>
    <s v="GDP per capita"/>
    <s v="Economy"/>
    <s v="SDG 8: Decent Work and Economic Growth"/>
    <n v="11399.444890000001"/>
    <s v="Source-defined international dollars"/>
    <s v="Czech Republic|1967"/>
    <s v="Gapminder/Plotly country-year extract reshaped to long indicator format for education"/>
    <s v="OK"/>
    <s v="1960s"/>
    <s v="N/A"/>
    <s v="Economy"/>
  </r>
  <r>
    <s v="GM-01201"/>
    <s v="Czech Republic"/>
    <x v="1"/>
    <x v="4"/>
    <x v="0"/>
    <s v="Life expectancy at birth"/>
    <s v="Health"/>
    <s v="SDG 3: Good Health and Well-being"/>
    <n v="70.290000000000006"/>
    <s v="Years"/>
    <s v="Czech Republic|1972"/>
    <s v="Gapminder/Plotly country-year extract reshaped to long indicator format for education"/>
    <s v="OK"/>
    <s v="1970s"/>
    <s v="High"/>
    <s v="Health"/>
  </r>
  <r>
    <s v="GM-01202"/>
    <s v="Czech Republic"/>
    <x v="1"/>
    <x v="4"/>
    <x v="1"/>
    <s v="Population, total"/>
    <s v="Demographics"/>
    <s v="SDG 11: Sustainable Cities and Communities"/>
    <n v="9862158"/>
    <s v="People"/>
    <s v="Czech Republic|1972"/>
    <s v="Gapminder/Plotly country-year extract reshaped to long indicator format for education"/>
    <s v="OK"/>
    <s v="1970s"/>
    <s v="N/A"/>
    <s v="Demographics"/>
  </r>
  <r>
    <s v="GM-01203"/>
    <s v="Czech Republic"/>
    <x v="1"/>
    <x v="4"/>
    <x v="2"/>
    <s v="GDP per capita"/>
    <s v="Economy"/>
    <s v="SDG 8: Decent Work and Economic Growth"/>
    <n v="13108.453600000001"/>
    <s v="Source-defined international dollars"/>
    <s v="Czech Republic|1972"/>
    <s v="Gapminder/Plotly country-year extract reshaped to long indicator format for education"/>
    <s v="OK"/>
    <s v="1970s"/>
    <s v="N/A"/>
    <s v="Economy"/>
  </r>
  <r>
    <s v="GM-01204"/>
    <s v="Czech Republic"/>
    <x v="1"/>
    <x v="5"/>
    <x v="0"/>
    <s v="Life expectancy at birth"/>
    <s v="Health"/>
    <s v="SDG 3: Good Health and Well-being"/>
    <n v="70.709999999999994"/>
    <s v="Years"/>
    <s v="Czech Republic|1977"/>
    <s v="Gapminder/Plotly country-year extract reshaped to long indicator format for education"/>
    <s v="OK"/>
    <s v="1970s"/>
    <s v="High"/>
    <s v="Health"/>
  </r>
  <r>
    <s v="GM-01205"/>
    <s v="Czech Republic"/>
    <x v="1"/>
    <x v="5"/>
    <x v="1"/>
    <s v="Population, total"/>
    <s v="Demographics"/>
    <s v="SDG 11: Sustainable Cities and Communities"/>
    <n v="10161915"/>
    <s v="People"/>
    <s v="Czech Republic|1977"/>
    <s v="Gapminder/Plotly country-year extract reshaped to long indicator format for education"/>
    <s v="OK"/>
    <s v="1970s"/>
    <s v="N/A"/>
    <s v="Demographics"/>
  </r>
  <r>
    <s v="GM-01206"/>
    <s v="Czech Republic"/>
    <x v="1"/>
    <x v="5"/>
    <x v="2"/>
    <s v="GDP per capita"/>
    <s v="Economy"/>
    <s v="SDG 8: Decent Work and Economic Growth"/>
    <n v="14800.160620000001"/>
    <s v="Source-defined international dollars"/>
    <s v="Czech Republic|1977"/>
    <s v="Gapminder/Plotly country-year extract reshaped to long indicator format for education"/>
    <s v="OK"/>
    <s v="1970s"/>
    <s v="N/A"/>
    <s v="Economy"/>
  </r>
  <r>
    <s v="GM-01207"/>
    <s v="Czech Republic"/>
    <x v="1"/>
    <x v="6"/>
    <x v="0"/>
    <s v="Life expectancy at birth"/>
    <s v="Health"/>
    <s v="SDG 3: Good Health and Well-being"/>
    <n v="70.959999999999994"/>
    <s v="Years"/>
    <s v="Czech Republic|1982"/>
    <s v="Gapminder/Plotly country-year extract reshaped to long indicator format for education"/>
    <s v="OK"/>
    <s v="1980s"/>
    <s v="High"/>
    <s v="Health"/>
  </r>
  <r>
    <s v="GM-01208"/>
    <s v="Czech Republic"/>
    <x v="1"/>
    <x v="6"/>
    <x v="1"/>
    <s v="Population, total"/>
    <s v="Demographics"/>
    <s v="SDG 11: Sustainable Cities and Communities"/>
    <n v="10303704"/>
    <s v="People"/>
    <s v="Czech Republic|1982"/>
    <s v="Gapminder/Plotly country-year extract reshaped to long indicator format for education"/>
    <s v="OK"/>
    <s v="1980s"/>
    <s v="N/A"/>
    <s v="Demographics"/>
  </r>
  <r>
    <s v="GM-01209"/>
    <s v="Czech Republic"/>
    <x v="1"/>
    <x v="6"/>
    <x v="2"/>
    <s v="GDP per capita"/>
    <s v="Economy"/>
    <s v="SDG 8: Decent Work and Economic Growth"/>
    <n v="15377.22855"/>
    <s v="Source-defined international dollars"/>
    <s v="Czech Republic|1982"/>
    <s v="Gapminder/Plotly country-year extract reshaped to long indicator format for education"/>
    <s v="OK"/>
    <s v="1980s"/>
    <s v="N/A"/>
    <s v="Economy"/>
  </r>
  <r>
    <s v="GM-01210"/>
    <s v="Czech Republic"/>
    <x v="1"/>
    <x v="7"/>
    <x v="0"/>
    <s v="Life expectancy at birth"/>
    <s v="Health"/>
    <s v="SDG 3: Good Health and Well-being"/>
    <n v="71.58"/>
    <s v="Years"/>
    <s v="Czech Republic|1987"/>
    <s v="Gapminder/Plotly country-year extract reshaped to long indicator format for education"/>
    <s v="OK"/>
    <s v="1980s"/>
    <s v="High"/>
    <s v="Health"/>
  </r>
  <r>
    <s v="GM-01211"/>
    <s v="Czech Republic"/>
    <x v="1"/>
    <x v="7"/>
    <x v="1"/>
    <s v="Population, total"/>
    <s v="Demographics"/>
    <s v="SDG 11: Sustainable Cities and Communities"/>
    <n v="10311597"/>
    <s v="People"/>
    <s v="Czech Republic|1987"/>
    <s v="Gapminder/Plotly country-year extract reshaped to long indicator format for education"/>
    <s v="OK"/>
    <s v="1980s"/>
    <s v="N/A"/>
    <s v="Demographics"/>
  </r>
  <r>
    <s v="GM-01212"/>
    <s v="Czech Republic"/>
    <x v="1"/>
    <x v="7"/>
    <x v="2"/>
    <s v="GDP per capita"/>
    <s v="Economy"/>
    <s v="SDG 8: Decent Work and Economic Growth"/>
    <n v="16310.4434"/>
    <s v="Source-defined international dollars"/>
    <s v="Czech Republic|1987"/>
    <s v="Gapminder/Plotly country-year extract reshaped to long indicator format for education"/>
    <s v="OK"/>
    <s v="1980s"/>
    <s v="N/A"/>
    <s v="Economy"/>
  </r>
  <r>
    <s v="GM-01213"/>
    <s v="Czech Republic"/>
    <x v="1"/>
    <x v="8"/>
    <x v="0"/>
    <s v="Life expectancy at birth"/>
    <s v="Health"/>
    <s v="SDG 3: Good Health and Well-being"/>
    <n v="72.400000000000006"/>
    <s v="Years"/>
    <s v="Czech Republic|1992"/>
    <s v="Gapminder/Plotly country-year extract reshaped to long indicator format for education"/>
    <s v="OK"/>
    <s v="1990s"/>
    <s v="High"/>
    <s v="Health"/>
  </r>
  <r>
    <s v="GM-01214"/>
    <s v="Czech Republic"/>
    <x v="1"/>
    <x v="8"/>
    <x v="1"/>
    <s v="Population, total"/>
    <s v="Demographics"/>
    <s v="SDG 11: Sustainable Cities and Communities"/>
    <n v="10315702"/>
    <s v="People"/>
    <s v="Czech Republic|1992"/>
    <s v="Gapminder/Plotly country-year extract reshaped to long indicator format for education"/>
    <s v="OK"/>
    <s v="1990s"/>
    <s v="N/A"/>
    <s v="Demographics"/>
  </r>
  <r>
    <s v="GM-01215"/>
    <s v="Czech Republic"/>
    <x v="1"/>
    <x v="8"/>
    <x v="2"/>
    <s v="GDP per capita"/>
    <s v="Economy"/>
    <s v="SDG 8: Decent Work and Economic Growth"/>
    <n v="14297.021220000001"/>
    <s v="Source-defined international dollars"/>
    <s v="Czech Republic|1992"/>
    <s v="Gapminder/Plotly country-year extract reshaped to long indicator format for education"/>
    <s v="OK"/>
    <s v="1990s"/>
    <s v="N/A"/>
    <s v="Economy"/>
  </r>
  <r>
    <s v="GM-01216"/>
    <s v="Czech Republic"/>
    <x v="1"/>
    <x v="9"/>
    <x v="0"/>
    <s v="Life expectancy at birth"/>
    <s v="Health"/>
    <s v="SDG 3: Good Health and Well-being"/>
    <n v="74.010000000000005"/>
    <s v="Years"/>
    <s v="Czech Republic|1997"/>
    <s v="Gapminder/Plotly country-year extract reshaped to long indicator format for education"/>
    <s v="OK"/>
    <s v="1990s"/>
    <s v="High"/>
    <s v="Health"/>
  </r>
  <r>
    <s v="GM-01217"/>
    <s v="Czech Republic"/>
    <x v="1"/>
    <x v="9"/>
    <x v="1"/>
    <s v="Population, total"/>
    <s v="Demographics"/>
    <s v="SDG 11: Sustainable Cities and Communities"/>
    <n v="10300707"/>
    <s v="People"/>
    <s v="Czech Republic|1997"/>
    <s v="Gapminder/Plotly country-year extract reshaped to long indicator format for education"/>
    <s v="OK"/>
    <s v="1990s"/>
    <s v="N/A"/>
    <s v="Demographics"/>
  </r>
  <r>
    <s v="GM-01218"/>
    <s v="Czech Republic"/>
    <x v="1"/>
    <x v="9"/>
    <x v="2"/>
    <s v="GDP per capita"/>
    <s v="Economy"/>
    <s v="SDG 8: Decent Work and Economic Growth"/>
    <n v="16048.51424"/>
    <s v="Source-defined international dollars"/>
    <s v="Czech Republic|1997"/>
    <s v="Gapminder/Plotly country-year extract reshaped to long indicator format for education"/>
    <s v="OK"/>
    <s v="1990s"/>
    <s v="N/A"/>
    <s v="Economy"/>
  </r>
  <r>
    <s v="GM-01219"/>
    <s v="Czech Republic"/>
    <x v="1"/>
    <x v="10"/>
    <x v="0"/>
    <s v="Life expectancy at birth"/>
    <s v="Health"/>
    <s v="SDG 3: Good Health and Well-being"/>
    <n v="75.510000000000005"/>
    <s v="Years"/>
    <s v="Czech Republic|2002"/>
    <s v="Gapminder/Plotly country-year extract reshaped to long indicator format for education"/>
    <s v="OK"/>
    <s v="2000s"/>
    <s v="High"/>
    <s v="Health"/>
  </r>
  <r>
    <s v="GM-01220"/>
    <s v="Czech Republic"/>
    <x v="1"/>
    <x v="10"/>
    <x v="1"/>
    <s v="Population, total"/>
    <s v="Demographics"/>
    <s v="SDG 11: Sustainable Cities and Communities"/>
    <n v="10256295"/>
    <s v="People"/>
    <s v="Czech Republic|2002"/>
    <s v="Gapminder/Plotly country-year extract reshaped to long indicator format for education"/>
    <s v="OK"/>
    <s v="2000s"/>
    <s v="N/A"/>
    <s v="Demographics"/>
  </r>
  <r>
    <s v="GM-01221"/>
    <s v="Czech Republic"/>
    <x v="1"/>
    <x v="10"/>
    <x v="2"/>
    <s v="GDP per capita"/>
    <s v="Economy"/>
    <s v="SDG 8: Decent Work and Economic Growth"/>
    <n v="17596.210219999899"/>
    <s v="Source-defined international dollars"/>
    <s v="Czech Republic|2002"/>
    <s v="Gapminder/Plotly country-year extract reshaped to long indicator format for education"/>
    <s v="OK"/>
    <s v="2000s"/>
    <s v="N/A"/>
    <s v="Economy"/>
  </r>
  <r>
    <s v="GM-01222"/>
    <s v="Czech Republic"/>
    <x v="1"/>
    <x v="11"/>
    <x v="0"/>
    <s v="Life expectancy at birth"/>
    <s v="Health"/>
    <s v="SDG 3: Good Health and Well-being"/>
    <n v="76.486000000000004"/>
    <s v="Years"/>
    <s v="Czech Republic|2007"/>
    <s v="Gapminder/Plotly country-year extract reshaped to long indicator format for education"/>
    <s v="OK"/>
    <s v="2000s"/>
    <s v="High"/>
    <s v="Health"/>
  </r>
  <r>
    <s v="GM-01223"/>
    <s v="Czech Republic"/>
    <x v="1"/>
    <x v="11"/>
    <x v="1"/>
    <s v="Population, total"/>
    <s v="Demographics"/>
    <s v="SDG 11: Sustainable Cities and Communities"/>
    <n v="10228744"/>
    <s v="People"/>
    <s v="Czech Republic|2007"/>
    <s v="Gapminder/Plotly country-year extract reshaped to long indicator format for education"/>
    <s v="OK"/>
    <s v="2000s"/>
    <s v="N/A"/>
    <s v="Demographics"/>
  </r>
  <r>
    <s v="GM-01224"/>
    <s v="Czech Republic"/>
    <x v="1"/>
    <x v="11"/>
    <x v="2"/>
    <s v="GDP per capita"/>
    <s v="Economy"/>
    <s v="SDG 8: Decent Work and Economic Growth"/>
    <n v="22833.308509999999"/>
    <s v="Source-defined international dollars"/>
    <s v="Czech Republic|2007"/>
    <s v="Gapminder/Plotly country-year extract reshaped to long indicator format for education"/>
    <s v="OK"/>
    <s v="2000s"/>
    <s v="N/A"/>
    <s v="Economy"/>
  </r>
  <r>
    <s v="GM-01225"/>
    <s v="Denmark"/>
    <x v="1"/>
    <x v="0"/>
    <x v="0"/>
    <s v="Life expectancy at birth"/>
    <s v="Health"/>
    <s v="SDG 3: Good Health and Well-being"/>
    <n v="70.78"/>
    <s v="Years"/>
    <s v="Denmark|1952"/>
    <s v="Gapminder/Plotly country-year extract reshaped to long indicator format for education"/>
    <s v="OK"/>
    <s v="1950s"/>
    <s v="High"/>
    <s v="Health"/>
  </r>
  <r>
    <s v="GM-01226"/>
    <s v="Denmark"/>
    <x v="1"/>
    <x v="0"/>
    <x v="1"/>
    <s v="Population, total"/>
    <s v="Demographics"/>
    <s v="SDG 11: Sustainable Cities and Communities"/>
    <n v="4334000"/>
    <s v="People"/>
    <s v="Denmark|1952"/>
    <s v="Gapminder/Plotly country-year extract reshaped to long indicator format for education"/>
    <s v="OK"/>
    <s v="1950s"/>
    <s v="N/A"/>
    <s v="Demographics"/>
  </r>
  <r>
    <s v="GM-01227"/>
    <s v="Denmark"/>
    <x v="1"/>
    <x v="0"/>
    <x v="2"/>
    <s v="GDP per capita"/>
    <s v="Economy"/>
    <s v="SDG 8: Decent Work and Economic Growth"/>
    <n v="9692.3852449999995"/>
    <s v="Source-defined international dollars"/>
    <s v="Denmark|1952"/>
    <s v="Gapminder/Plotly country-year extract reshaped to long indicator format for education"/>
    <s v="OK"/>
    <s v="1950s"/>
    <s v="N/A"/>
    <s v="Economy"/>
  </r>
  <r>
    <s v="GM-01228"/>
    <s v="Denmark"/>
    <x v="1"/>
    <x v="1"/>
    <x v="0"/>
    <s v="Life expectancy at birth"/>
    <s v="Health"/>
    <s v="SDG 3: Good Health and Well-being"/>
    <n v="71.81"/>
    <s v="Years"/>
    <s v="Denmark|1957"/>
    <s v="Gapminder/Plotly country-year extract reshaped to long indicator format for education"/>
    <s v="OK"/>
    <s v="1950s"/>
    <s v="High"/>
    <s v="Health"/>
  </r>
  <r>
    <s v="GM-01229"/>
    <s v="Denmark"/>
    <x v="1"/>
    <x v="1"/>
    <x v="1"/>
    <s v="Population, total"/>
    <s v="Demographics"/>
    <s v="SDG 11: Sustainable Cities and Communities"/>
    <n v="4487831"/>
    <s v="People"/>
    <s v="Denmark|1957"/>
    <s v="Gapminder/Plotly country-year extract reshaped to long indicator format for education"/>
    <s v="OK"/>
    <s v="1950s"/>
    <s v="N/A"/>
    <s v="Demographics"/>
  </r>
  <r>
    <s v="GM-01230"/>
    <s v="Denmark"/>
    <x v="1"/>
    <x v="1"/>
    <x v="2"/>
    <s v="GDP per capita"/>
    <s v="Economy"/>
    <s v="SDG 8: Decent Work and Economic Growth"/>
    <n v="11099.65935"/>
    <s v="Source-defined international dollars"/>
    <s v="Denmark|1957"/>
    <s v="Gapminder/Plotly country-year extract reshaped to long indicator format for education"/>
    <s v="OK"/>
    <s v="1950s"/>
    <s v="N/A"/>
    <s v="Economy"/>
  </r>
  <r>
    <s v="GM-01231"/>
    <s v="Denmark"/>
    <x v="1"/>
    <x v="2"/>
    <x v="0"/>
    <s v="Life expectancy at birth"/>
    <s v="Health"/>
    <s v="SDG 3: Good Health and Well-being"/>
    <n v="72.349999999999994"/>
    <s v="Years"/>
    <s v="Denmark|1962"/>
    <s v="Gapminder/Plotly country-year extract reshaped to long indicator format for education"/>
    <s v="OK"/>
    <s v="1960s"/>
    <s v="High"/>
    <s v="Health"/>
  </r>
  <r>
    <s v="GM-01232"/>
    <s v="Denmark"/>
    <x v="1"/>
    <x v="2"/>
    <x v="1"/>
    <s v="Population, total"/>
    <s v="Demographics"/>
    <s v="SDG 11: Sustainable Cities and Communities"/>
    <n v="4646899"/>
    <s v="People"/>
    <s v="Denmark|1962"/>
    <s v="Gapminder/Plotly country-year extract reshaped to long indicator format for education"/>
    <s v="OK"/>
    <s v="1960s"/>
    <s v="N/A"/>
    <s v="Demographics"/>
  </r>
  <r>
    <s v="GM-01233"/>
    <s v="Denmark"/>
    <x v="1"/>
    <x v="2"/>
    <x v="2"/>
    <s v="GDP per capita"/>
    <s v="Economy"/>
    <s v="SDG 8: Decent Work and Economic Growth"/>
    <n v="13583.31351"/>
    <s v="Source-defined international dollars"/>
    <s v="Denmark|1962"/>
    <s v="Gapminder/Plotly country-year extract reshaped to long indicator format for education"/>
    <s v="OK"/>
    <s v="1960s"/>
    <s v="N/A"/>
    <s v="Economy"/>
  </r>
  <r>
    <s v="GM-01234"/>
    <s v="Denmark"/>
    <x v="1"/>
    <x v="3"/>
    <x v="0"/>
    <s v="Life expectancy at birth"/>
    <s v="Health"/>
    <s v="SDG 3: Good Health and Well-being"/>
    <n v="72.959999999999994"/>
    <s v="Years"/>
    <s v="Denmark|1967"/>
    <s v="Gapminder/Plotly country-year extract reshaped to long indicator format for education"/>
    <s v="OK"/>
    <s v="1960s"/>
    <s v="High"/>
    <s v="Health"/>
  </r>
  <r>
    <s v="GM-01235"/>
    <s v="Denmark"/>
    <x v="1"/>
    <x v="3"/>
    <x v="1"/>
    <s v="Population, total"/>
    <s v="Demographics"/>
    <s v="SDG 11: Sustainable Cities and Communities"/>
    <n v="4838800"/>
    <s v="People"/>
    <s v="Denmark|1967"/>
    <s v="Gapminder/Plotly country-year extract reshaped to long indicator format for education"/>
    <s v="OK"/>
    <s v="1960s"/>
    <s v="N/A"/>
    <s v="Demographics"/>
  </r>
  <r>
    <s v="GM-01236"/>
    <s v="Denmark"/>
    <x v="1"/>
    <x v="3"/>
    <x v="2"/>
    <s v="GDP per capita"/>
    <s v="Economy"/>
    <s v="SDG 8: Decent Work and Economic Growth"/>
    <n v="15937.211230000001"/>
    <s v="Source-defined international dollars"/>
    <s v="Denmark|1967"/>
    <s v="Gapminder/Plotly country-year extract reshaped to long indicator format for education"/>
    <s v="OK"/>
    <s v="1960s"/>
    <s v="N/A"/>
    <s v="Economy"/>
  </r>
  <r>
    <s v="GM-01237"/>
    <s v="Denmark"/>
    <x v="1"/>
    <x v="4"/>
    <x v="0"/>
    <s v="Life expectancy at birth"/>
    <s v="Health"/>
    <s v="SDG 3: Good Health and Well-being"/>
    <n v="73.47"/>
    <s v="Years"/>
    <s v="Denmark|1972"/>
    <s v="Gapminder/Plotly country-year extract reshaped to long indicator format for education"/>
    <s v="OK"/>
    <s v="1970s"/>
    <s v="High"/>
    <s v="Health"/>
  </r>
  <r>
    <s v="GM-01238"/>
    <s v="Denmark"/>
    <x v="1"/>
    <x v="4"/>
    <x v="1"/>
    <s v="Population, total"/>
    <s v="Demographics"/>
    <s v="SDG 11: Sustainable Cities and Communities"/>
    <n v="4991596"/>
    <s v="People"/>
    <s v="Denmark|1972"/>
    <s v="Gapminder/Plotly country-year extract reshaped to long indicator format for education"/>
    <s v="OK"/>
    <s v="1970s"/>
    <s v="N/A"/>
    <s v="Demographics"/>
  </r>
  <r>
    <s v="GM-01239"/>
    <s v="Denmark"/>
    <x v="1"/>
    <x v="4"/>
    <x v="2"/>
    <s v="GDP per capita"/>
    <s v="Economy"/>
    <s v="SDG 8: Decent Work and Economic Growth"/>
    <n v="18866.20721"/>
    <s v="Source-defined international dollars"/>
    <s v="Denmark|1972"/>
    <s v="Gapminder/Plotly country-year extract reshaped to long indicator format for education"/>
    <s v="OK"/>
    <s v="1970s"/>
    <s v="N/A"/>
    <s v="Economy"/>
  </r>
  <r>
    <s v="GM-01240"/>
    <s v="Denmark"/>
    <x v="1"/>
    <x v="5"/>
    <x v="0"/>
    <s v="Life expectancy at birth"/>
    <s v="Health"/>
    <s v="SDG 3: Good Health and Well-being"/>
    <n v="74.69"/>
    <s v="Years"/>
    <s v="Denmark|1977"/>
    <s v="Gapminder/Plotly country-year extract reshaped to long indicator format for education"/>
    <s v="OK"/>
    <s v="1970s"/>
    <s v="High"/>
    <s v="Health"/>
  </r>
  <r>
    <s v="GM-01241"/>
    <s v="Denmark"/>
    <x v="1"/>
    <x v="5"/>
    <x v="1"/>
    <s v="Population, total"/>
    <s v="Demographics"/>
    <s v="SDG 11: Sustainable Cities and Communities"/>
    <n v="5088419"/>
    <s v="People"/>
    <s v="Denmark|1977"/>
    <s v="Gapminder/Plotly country-year extract reshaped to long indicator format for education"/>
    <s v="OK"/>
    <s v="1970s"/>
    <s v="N/A"/>
    <s v="Demographics"/>
  </r>
  <r>
    <s v="GM-01242"/>
    <s v="Denmark"/>
    <x v="1"/>
    <x v="5"/>
    <x v="2"/>
    <s v="GDP per capita"/>
    <s v="Economy"/>
    <s v="SDG 8: Decent Work and Economic Growth"/>
    <n v="20422.9015"/>
    <s v="Source-defined international dollars"/>
    <s v="Denmark|1977"/>
    <s v="Gapminder/Plotly country-year extract reshaped to long indicator format for education"/>
    <s v="OK"/>
    <s v="1970s"/>
    <s v="N/A"/>
    <s v="Economy"/>
  </r>
  <r>
    <s v="GM-01243"/>
    <s v="Denmark"/>
    <x v="1"/>
    <x v="6"/>
    <x v="0"/>
    <s v="Life expectancy at birth"/>
    <s v="Health"/>
    <s v="SDG 3: Good Health and Well-being"/>
    <n v="74.63"/>
    <s v="Years"/>
    <s v="Denmark|1982"/>
    <s v="Gapminder/Plotly country-year extract reshaped to long indicator format for education"/>
    <s v="OK"/>
    <s v="1980s"/>
    <s v="High"/>
    <s v="Health"/>
  </r>
  <r>
    <s v="GM-01244"/>
    <s v="Denmark"/>
    <x v="1"/>
    <x v="6"/>
    <x v="1"/>
    <s v="Population, total"/>
    <s v="Demographics"/>
    <s v="SDG 11: Sustainable Cities and Communities"/>
    <n v="5117810"/>
    <s v="People"/>
    <s v="Denmark|1982"/>
    <s v="Gapminder/Plotly country-year extract reshaped to long indicator format for education"/>
    <s v="OK"/>
    <s v="1980s"/>
    <s v="N/A"/>
    <s v="Demographics"/>
  </r>
  <r>
    <s v="GM-01245"/>
    <s v="Denmark"/>
    <x v="1"/>
    <x v="6"/>
    <x v="2"/>
    <s v="GDP per capita"/>
    <s v="Economy"/>
    <s v="SDG 8: Decent Work and Economic Growth"/>
    <n v="21688.04048"/>
    <s v="Source-defined international dollars"/>
    <s v="Denmark|1982"/>
    <s v="Gapminder/Plotly country-year extract reshaped to long indicator format for education"/>
    <s v="OK"/>
    <s v="1980s"/>
    <s v="N/A"/>
    <s v="Economy"/>
  </r>
  <r>
    <s v="GM-01246"/>
    <s v="Denmark"/>
    <x v="1"/>
    <x v="7"/>
    <x v="0"/>
    <s v="Life expectancy at birth"/>
    <s v="Health"/>
    <s v="SDG 3: Good Health and Well-being"/>
    <n v="74.8"/>
    <s v="Years"/>
    <s v="Denmark|1987"/>
    <s v="Gapminder/Plotly country-year extract reshaped to long indicator format for education"/>
    <s v="OK"/>
    <s v="1980s"/>
    <s v="High"/>
    <s v="Health"/>
  </r>
  <r>
    <s v="GM-01247"/>
    <s v="Denmark"/>
    <x v="1"/>
    <x v="7"/>
    <x v="1"/>
    <s v="Population, total"/>
    <s v="Demographics"/>
    <s v="SDG 11: Sustainable Cities and Communities"/>
    <n v="5127024"/>
    <s v="People"/>
    <s v="Denmark|1987"/>
    <s v="Gapminder/Plotly country-year extract reshaped to long indicator format for education"/>
    <s v="OK"/>
    <s v="1980s"/>
    <s v="N/A"/>
    <s v="Demographics"/>
  </r>
  <r>
    <s v="GM-01248"/>
    <s v="Denmark"/>
    <x v="1"/>
    <x v="7"/>
    <x v="2"/>
    <s v="GDP per capita"/>
    <s v="Economy"/>
    <s v="SDG 8: Decent Work and Economic Growth"/>
    <n v="25116.175810000001"/>
    <s v="Source-defined international dollars"/>
    <s v="Denmark|1987"/>
    <s v="Gapminder/Plotly country-year extract reshaped to long indicator format for education"/>
    <s v="OK"/>
    <s v="1980s"/>
    <s v="N/A"/>
    <s v="Economy"/>
  </r>
  <r>
    <s v="GM-01249"/>
    <s v="Denmark"/>
    <x v="1"/>
    <x v="8"/>
    <x v="0"/>
    <s v="Life expectancy at birth"/>
    <s v="Health"/>
    <s v="SDG 3: Good Health and Well-being"/>
    <n v="75.33"/>
    <s v="Years"/>
    <s v="Denmark|1992"/>
    <s v="Gapminder/Plotly country-year extract reshaped to long indicator format for education"/>
    <s v="OK"/>
    <s v="1990s"/>
    <s v="High"/>
    <s v="Health"/>
  </r>
  <r>
    <s v="GM-01250"/>
    <s v="Denmark"/>
    <x v="1"/>
    <x v="8"/>
    <x v="1"/>
    <s v="Population, total"/>
    <s v="Demographics"/>
    <s v="SDG 11: Sustainable Cities and Communities"/>
    <n v="5171393"/>
    <s v="People"/>
    <s v="Denmark|1992"/>
    <s v="Gapminder/Plotly country-year extract reshaped to long indicator format for education"/>
    <s v="OK"/>
    <s v="1990s"/>
    <s v="N/A"/>
    <s v="Demographics"/>
  </r>
  <r>
    <s v="GM-01251"/>
    <s v="Denmark"/>
    <x v="1"/>
    <x v="8"/>
    <x v="2"/>
    <s v="GDP per capita"/>
    <s v="Economy"/>
    <s v="SDG 8: Decent Work and Economic Growth"/>
    <n v="26406.739850000002"/>
    <s v="Source-defined international dollars"/>
    <s v="Denmark|1992"/>
    <s v="Gapminder/Plotly country-year extract reshaped to long indicator format for education"/>
    <s v="OK"/>
    <s v="1990s"/>
    <s v="N/A"/>
    <s v="Economy"/>
  </r>
  <r>
    <s v="GM-01252"/>
    <s v="Denmark"/>
    <x v="1"/>
    <x v="9"/>
    <x v="0"/>
    <s v="Life expectancy at birth"/>
    <s v="Health"/>
    <s v="SDG 3: Good Health and Well-being"/>
    <n v="76.11"/>
    <s v="Years"/>
    <s v="Denmark|1997"/>
    <s v="Gapminder/Plotly country-year extract reshaped to long indicator format for education"/>
    <s v="OK"/>
    <s v="1990s"/>
    <s v="High"/>
    <s v="Health"/>
  </r>
  <r>
    <s v="GM-01253"/>
    <s v="Denmark"/>
    <x v="1"/>
    <x v="9"/>
    <x v="1"/>
    <s v="Population, total"/>
    <s v="Demographics"/>
    <s v="SDG 11: Sustainable Cities and Communities"/>
    <n v="5283663"/>
    <s v="People"/>
    <s v="Denmark|1997"/>
    <s v="Gapminder/Plotly country-year extract reshaped to long indicator format for education"/>
    <s v="OK"/>
    <s v="1990s"/>
    <s v="N/A"/>
    <s v="Demographics"/>
  </r>
  <r>
    <s v="GM-01254"/>
    <s v="Denmark"/>
    <x v="1"/>
    <x v="9"/>
    <x v="2"/>
    <s v="GDP per capita"/>
    <s v="Economy"/>
    <s v="SDG 8: Decent Work and Economic Growth"/>
    <n v="29804.345669999999"/>
    <s v="Source-defined international dollars"/>
    <s v="Denmark|1997"/>
    <s v="Gapminder/Plotly country-year extract reshaped to long indicator format for education"/>
    <s v="OK"/>
    <s v="1990s"/>
    <s v="N/A"/>
    <s v="Economy"/>
  </r>
  <r>
    <s v="GM-01255"/>
    <s v="Denmark"/>
    <x v="1"/>
    <x v="10"/>
    <x v="0"/>
    <s v="Life expectancy at birth"/>
    <s v="Health"/>
    <s v="SDG 3: Good Health and Well-being"/>
    <n v="77.180000000000007"/>
    <s v="Years"/>
    <s v="Denmark|2002"/>
    <s v="Gapminder/Plotly country-year extract reshaped to long indicator format for education"/>
    <s v="OK"/>
    <s v="2000s"/>
    <s v="High"/>
    <s v="Health"/>
  </r>
  <r>
    <s v="GM-01256"/>
    <s v="Denmark"/>
    <x v="1"/>
    <x v="10"/>
    <x v="1"/>
    <s v="Population, total"/>
    <s v="Demographics"/>
    <s v="SDG 11: Sustainable Cities and Communities"/>
    <n v="5374693"/>
    <s v="People"/>
    <s v="Denmark|2002"/>
    <s v="Gapminder/Plotly country-year extract reshaped to long indicator format for education"/>
    <s v="OK"/>
    <s v="2000s"/>
    <s v="N/A"/>
    <s v="Demographics"/>
  </r>
  <r>
    <s v="GM-01257"/>
    <s v="Denmark"/>
    <x v="1"/>
    <x v="10"/>
    <x v="2"/>
    <s v="GDP per capita"/>
    <s v="Economy"/>
    <s v="SDG 8: Decent Work and Economic Growth"/>
    <n v="32166.500059999998"/>
    <s v="Source-defined international dollars"/>
    <s v="Denmark|2002"/>
    <s v="Gapminder/Plotly country-year extract reshaped to long indicator format for education"/>
    <s v="OK"/>
    <s v="2000s"/>
    <s v="N/A"/>
    <s v="Economy"/>
  </r>
  <r>
    <s v="GM-01258"/>
    <s v="Denmark"/>
    <x v="1"/>
    <x v="11"/>
    <x v="0"/>
    <s v="Life expectancy at birth"/>
    <s v="Health"/>
    <s v="SDG 3: Good Health and Well-being"/>
    <n v="78.331999999999994"/>
    <s v="Years"/>
    <s v="Denmark|2007"/>
    <s v="Gapminder/Plotly country-year extract reshaped to long indicator format for education"/>
    <s v="OK"/>
    <s v="2000s"/>
    <s v="High"/>
    <s v="Health"/>
  </r>
  <r>
    <s v="GM-01259"/>
    <s v="Denmark"/>
    <x v="1"/>
    <x v="11"/>
    <x v="1"/>
    <s v="Population, total"/>
    <s v="Demographics"/>
    <s v="SDG 11: Sustainable Cities and Communities"/>
    <n v="5468120"/>
    <s v="People"/>
    <s v="Denmark|2007"/>
    <s v="Gapminder/Plotly country-year extract reshaped to long indicator format for education"/>
    <s v="OK"/>
    <s v="2000s"/>
    <s v="N/A"/>
    <s v="Demographics"/>
  </r>
  <r>
    <s v="GM-01260"/>
    <s v="Denmark"/>
    <x v="1"/>
    <x v="11"/>
    <x v="2"/>
    <s v="GDP per capita"/>
    <s v="Economy"/>
    <s v="SDG 8: Decent Work and Economic Growth"/>
    <n v="35278.418740000001"/>
    <s v="Source-defined international dollars"/>
    <s v="Denmark|2007"/>
    <s v="Gapminder/Plotly country-year extract reshaped to long indicator format for education"/>
    <s v="OK"/>
    <s v="2000s"/>
    <s v="N/A"/>
    <s v="Economy"/>
  </r>
  <r>
    <s v="GM-01261"/>
    <s v="Djibouti"/>
    <x v="2"/>
    <x v="0"/>
    <x v="0"/>
    <s v="Life expectancy at birth"/>
    <s v="Health"/>
    <s v="SDG 3: Good Health and Well-being"/>
    <n v="34.811999999999998"/>
    <s v="Years"/>
    <s v="Djibouti|1952"/>
    <s v="Gapminder/Plotly country-year extract reshaped to long indicator format for education"/>
    <s v="OK"/>
    <s v="1950s"/>
    <s v="Low"/>
    <s v="Health"/>
  </r>
  <r>
    <s v="GM-01262"/>
    <s v="Djibouti"/>
    <x v="2"/>
    <x v="0"/>
    <x v="1"/>
    <s v="Population, total"/>
    <s v="Demographics"/>
    <s v="SDG 11: Sustainable Cities and Communities"/>
    <n v="63149"/>
    <s v="People"/>
    <s v="Djibouti|1952"/>
    <s v="Gapminder/Plotly country-year extract reshaped to long indicator format for education"/>
    <s v="OK"/>
    <s v="1950s"/>
    <s v="N/A"/>
    <s v="Demographics"/>
  </r>
  <r>
    <s v="GM-01263"/>
    <s v="Djibouti"/>
    <x v="2"/>
    <x v="0"/>
    <x v="2"/>
    <s v="GDP per capita"/>
    <s v="Economy"/>
    <s v="SDG 8: Decent Work and Economic Growth"/>
    <n v="2669.5294749999998"/>
    <s v="Source-defined international dollars"/>
    <s v="Djibouti|1952"/>
    <s v="Gapminder/Plotly country-year extract reshaped to long indicator format for education"/>
    <s v="OK"/>
    <s v="1950s"/>
    <s v="N/A"/>
    <s v="Economy"/>
  </r>
  <r>
    <s v="GM-01264"/>
    <s v="Djibouti"/>
    <x v="2"/>
    <x v="1"/>
    <x v="0"/>
    <s v="Life expectancy at birth"/>
    <s v="Health"/>
    <s v="SDG 3: Good Health and Well-being"/>
    <n v="37.328000000000003"/>
    <s v="Years"/>
    <s v="Djibouti|1957"/>
    <s v="Gapminder/Plotly country-year extract reshaped to long indicator format for education"/>
    <s v="OK"/>
    <s v="1950s"/>
    <s v="Low"/>
    <s v="Health"/>
  </r>
  <r>
    <s v="GM-01265"/>
    <s v="Djibouti"/>
    <x v="2"/>
    <x v="1"/>
    <x v="1"/>
    <s v="Population, total"/>
    <s v="Demographics"/>
    <s v="SDG 11: Sustainable Cities and Communities"/>
    <n v="71851"/>
    <s v="People"/>
    <s v="Djibouti|1957"/>
    <s v="Gapminder/Plotly country-year extract reshaped to long indicator format for education"/>
    <s v="OK"/>
    <s v="1950s"/>
    <s v="N/A"/>
    <s v="Demographics"/>
  </r>
  <r>
    <s v="GM-01266"/>
    <s v="Djibouti"/>
    <x v="2"/>
    <x v="1"/>
    <x v="2"/>
    <s v="GDP per capita"/>
    <s v="Economy"/>
    <s v="SDG 8: Decent Work and Economic Growth"/>
    <n v="2864.9690759999999"/>
    <s v="Source-defined international dollars"/>
    <s v="Djibouti|1957"/>
    <s v="Gapminder/Plotly country-year extract reshaped to long indicator format for education"/>
    <s v="OK"/>
    <s v="1950s"/>
    <s v="N/A"/>
    <s v="Economy"/>
  </r>
  <r>
    <s v="GM-01267"/>
    <s v="Djibouti"/>
    <x v="2"/>
    <x v="2"/>
    <x v="0"/>
    <s v="Life expectancy at birth"/>
    <s v="Health"/>
    <s v="SDG 3: Good Health and Well-being"/>
    <n v="39.692999999999998"/>
    <s v="Years"/>
    <s v="Djibouti|1962"/>
    <s v="Gapminder/Plotly country-year extract reshaped to long indicator format for education"/>
    <s v="OK"/>
    <s v="1960s"/>
    <s v="Low"/>
    <s v="Health"/>
  </r>
  <r>
    <s v="GM-01268"/>
    <s v="Djibouti"/>
    <x v="2"/>
    <x v="2"/>
    <x v="1"/>
    <s v="Population, total"/>
    <s v="Demographics"/>
    <s v="SDG 11: Sustainable Cities and Communities"/>
    <n v="89898"/>
    <s v="People"/>
    <s v="Djibouti|1962"/>
    <s v="Gapminder/Plotly country-year extract reshaped to long indicator format for education"/>
    <s v="OK"/>
    <s v="1960s"/>
    <s v="N/A"/>
    <s v="Demographics"/>
  </r>
  <r>
    <s v="GM-01269"/>
    <s v="Djibouti"/>
    <x v="2"/>
    <x v="2"/>
    <x v="2"/>
    <s v="GDP per capita"/>
    <s v="Economy"/>
    <s v="SDG 8: Decent Work and Economic Growth"/>
    <n v="3020.9892629999999"/>
    <s v="Source-defined international dollars"/>
    <s v="Djibouti|1962"/>
    <s v="Gapminder/Plotly country-year extract reshaped to long indicator format for education"/>
    <s v="OK"/>
    <s v="1960s"/>
    <s v="N/A"/>
    <s v="Economy"/>
  </r>
  <r>
    <s v="GM-01270"/>
    <s v="Djibouti"/>
    <x v="2"/>
    <x v="3"/>
    <x v="0"/>
    <s v="Life expectancy at birth"/>
    <s v="Health"/>
    <s v="SDG 3: Good Health and Well-being"/>
    <n v="42.073999999999998"/>
    <s v="Years"/>
    <s v="Djibouti|1967"/>
    <s v="Gapminder/Plotly country-year extract reshaped to long indicator format for education"/>
    <s v="OK"/>
    <s v="1960s"/>
    <s v="Low"/>
    <s v="Health"/>
  </r>
  <r>
    <s v="GM-01271"/>
    <s v="Djibouti"/>
    <x v="2"/>
    <x v="3"/>
    <x v="1"/>
    <s v="Population, total"/>
    <s v="Demographics"/>
    <s v="SDG 11: Sustainable Cities and Communities"/>
    <n v="127617"/>
    <s v="People"/>
    <s v="Djibouti|1967"/>
    <s v="Gapminder/Plotly country-year extract reshaped to long indicator format for education"/>
    <s v="OK"/>
    <s v="1960s"/>
    <s v="N/A"/>
    <s v="Demographics"/>
  </r>
  <r>
    <s v="GM-01272"/>
    <s v="Djibouti"/>
    <x v="2"/>
    <x v="3"/>
    <x v="2"/>
    <s v="GDP per capita"/>
    <s v="Economy"/>
    <s v="SDG 8: Decent Work and Economic Growth"/>
    <n v="3020.0505130000001"/>
    <s v="Source-defined international dollars"/>
    <s v="Djibouti|1967"/>
    <s v="Gapminder/Plotly country-year extract reshaped to long indicator format for education"/>
    <s v="OK"/>
    <s v="1960s"/>
    <s v="N/A"/>
    <s v="Economy"/>
  </r>
  <r>
    <s v="GM-01273"/>
    <s v="Djibouti"/>
    <x v="2"/>
    <x v="4"/>
    <x v="0"/>
    <s v="Life expectancy at birth"/>
    <s v="Health"/>
    <s v="SDG 3: Good Health and Well-being"/>
    <n v="44.366"/>
    <s v="Years"/>
    <s v="Djibouti|1972"/>
    <s v="Gapminder/Plotly country-year extract reshaped to long indicator format for education"/>
    <s v="OK"/>
    <s v="1970s"/>
    <s v="Low"/>
    <s v="Health"/>
  </r>
  <r>
    <s v="GM-01274"/>
    <s v="Djibouti"/>
    <x v="2"/>
    <x v="4"/>
    <x v="1"/>
    <s v="Population, total"/>
    <s v="Demographics"/>
    <s v="SDG 11: Sustainable Cities and Communities"/>
    <n v="178848"/>
    <s v="People"/>
    <s v="Djibouti|1972"/>
    <s v="Gapminder/Plotly country-year extract reshaped to long indicator format for education"/>
    <s v="OK"/>
    <s v="1970s"/>
    <s v="N/A"/>
    <s v="Demographics"/>
  </r>
  <r>
    <s v="GM-01275"/>
    <s v="Djibouti"/>
    <x v="2"/>
    <x v="4"/>
    <x v="2"/>
    <s v="GDP per capita"/>
    <s v="Economy"/>
    <s v="SDG 8: Decent Work and Economic Growth"/>
    <n v="3694.212352"/>
    <s v="Source-defined international dollars"/>
    <s v="Djibouti|1972"/>
    <s v="Gapminder/Plotly country-year extract reshaped to long indicator format for education"/>
    <s v="OK"/>
    <s v="1970s"/>
    <s v="N/A"/>
    <s v="Economy"/>
  </r>
  <r>
    <s v="GM-01276"/>
    <s v="Djibouti"/>
    <x v="2"/>
    <x v="5"/>
    <x v="0"/>
    <s v="Life expectancy at birth"/>
    <s v="Health"/>
    <s v="SDG 3: Good Health and Well-being"/>
    <n v="46.518999999999998"/>
    <s v="Years"/>
    <s v="Djibouti|1977"/>
    <s v="Gapminder/Plotly country-year extract reshaped to long indicator format for education"/>
    <s v="OK"/>
    <s v="1970s"/>
    <s v="Low"/>
    <s v="Health"/>
  </r>
  <r>
    <s v="GM-01277"/>
    <s v="Djibouti"/>
    <x v="2"/>
    <x v="5"/>
    <x v="1"/>
    <s v="Population, total"/>
    <s v="Demographics"/>
    <s v="SDG 11: Sustainable Cities and Communities"/>
    <n v="228694"/>
    <s v="People"/>
    <s v="Djibouti|1977"/>
    <s v="Gapminder/Plotly country-year extract reshaped to long indicator format for education"/>
    <s v="OK"/>
    <s v="1970s"/>
    <s v="N/A"/>
    <s v="Demographics"/>
  </r>
  <r>
    <s v="GM-01278"/>
    <s v="Djibouti"/>
    <x v="2"/>
    <x v="5"/>
    <x v="2"/>
    <s v="GDP per capita"/>
    <s v="Economy"/>
    <s v="SDG 8: Decent Work and Economic Growth"/>
    <n v="3081.7610220000001"/>
    <s v="Source-defined international dollars"/>
    <s v="Djibouti|1977"/>
    <s v="Gapminder/Plotly country-year extract reshaped to long indicator format for education"/>
    <s v="OK"/>
    <s v="1970s"/>
    <s v="N/A"/>
    <s v="Economy"/>
  </r>
  <r>
    <s v="GM-01279"/>
    <s v="Djibouti"/>
    <x v="2"/>
    <x v="6"/>
    <x v="0"/>
    <s v="Life expectancy at birth"/>
    <s v="Health"/>
    <s v="SDG 3: Good Health and Well-being"/>
    <n v="48.811999999999998"/>
    <s v="Years"/>
    <s v="Djibouti|1982"/>
    <s v="Gapminder/Plotly country-year extract reshaped to long indicator format for education"/>
    <s v="OK"/>
    <s v="1980s"/>
    <s v="Low"/>
    <s v="Health"/>
  </r>
  <r>
    <s v="GM-01280"/>
    <s v="Djibouti"/>
    <x v="2"/>
    <x v="6"/>
    <x v="1"/>
    <s v="Population, total"/>
    <s v="Demographics"/>
    <s v="SDG 11: Sustainable Cities and Communities"/>
    <n v="305991"/>
    <s v="People"/>
    <s v="Djibouti|1982"/>
    <s v="Gapminder/Plotly country-year extract reshaped to long indicator format for education"/>
    <s v="OK"/>
    <s v="1980s"/>
    <s v="N/A"/>
    <s v="Demographics"/>
  </r>
  <r>
    <s v="GM-01281"/>
    <s v="Djibouti"/>
    <x v="2"/>
    <x v="6"/>
    <x v="2"/>
    <s v="GDP per capita"/>
    <s v="Economy"/>
    <s v="SDG 8: Decent Work and Economic Growth"/>
    <n v="2879.4680669999998"/>
    <s v="Source-defined international dollars"/>
    <s v="Djibouti|1982"/>
    <s v="Gapminder/Plotly country-year extract reshaped to long indicator format for education"/>
    <s v="OK"/>
    <s v="1980s"/>
    <s v="N/A"/>
    <s v="Economy"/>
  </r>
  <r>
    <s v="GM-01282"/>
    <s v="Djibouti"/>
    <x v="2"/>
    <x v="7"/>
    <x v="0"/>
    <s v="Life expectancy at birth"/>
    <s v="Health"/>
    <s v="SDG 3: Good Health and Well-being"/>
    <n v="50.04"/>
    <s v="Years"/>
    <s v="Djibouti|1987"/>
    <s v="Gapminder/Plotly country-year extract reshaped to long indicator format for education"/>
    <s v="OK"/>
    <s v="1980s"/>
    <s v="Low"/>
    <s v="Health"/>
  </r>
  <r>
    <s v="GM-01283"/>
    <s v="Djibouti"/>
    <x v="2"/>
    <x v="7"/>
    <x v="1"/>
    <s v="Population, total"/>
    <s v="Demographics"/>
    <s v="SDG 11: Sustainable Cities and Communities"/>
    <n v="311025"/>
    <s v="People"/>
    <s v="Djibouti|1987"/>
    <s v="Gapminder/Plotly country-year extract reshaped to long indicator format for education"/>
    <s v="OK"/>
    <s v="1980s"/>
    <s v="N/A"/>
    <s v="Demographics"/>
  </r>
  <r>
    <s v="GM-01284"/>
    <s v="Djibouti"/>
    <x v="2"/>
    <x v="7"/>
    <x v="2"/>
    <s v="GDP per capita"/>
    <s v="Economy"/>
    <s v="SDG 8: Decent Work and Economic Growth"/>
    <n v="2880.1025679999998"/>
    <s v="Source-defined international dollars"/>
    <s v="Djibouti|1987"/>
    <s v="Gapminder/Plotly country-year extract reshaped to long indicator format for education"/>
    <s v="OK"/>
    <s v="1980s"/>
    <s v="N/A"/>
    <s v="Economy"/>
  </r>
  <r>
    <s v="GM-01285"/>
    <s v="Djibouti"/>
    <x v="2"/>
    <x v="8"/>
    <x v="0"/>
    <s v="Life expectancy at birth"/>
    <s v="Health"/>
    <s v="SDG 3: Good Health and Well-being"/>
    <n v="51.603999999999999"/>
    <s v="Years"/>
    <s v="Djibouti|1992"/>
    <s v="Gapminder/Plotly country-year extract reshaped to long indicator format for education"/>
    <s v="OK"/>
    <s v="1990s"/>
    <s v="Low"/>
    <s v="Health"/>
  </r>
  <r>
    <s v="GM-01286"/>
    <s v="Djibouti"/>
    <x v="2"/>
    <x v="8"/>
    <x v="1"/>
    <s v="Population, total"/>
    <s v="Demographics"/>
    <s v="SDG 11: Sustainable Cities and Communities"/>
    <n v="384156"/>
    <s v="People"/>
    <s v="Djibouti|1992"/>
    <s v="Gapminder/Plotly country-year extract reshaped to long indicator format for education"/>
    <s v="OK"/>
    <s v="1990s"/>
    <s v="N/A"/>
    <s v="Demographics"/>
  </r>
  <r>
    <s v="GM-01287"/>
    <s v="Djibouti"/>
    <x v="2"/>
    <x v="8"/>
    <x v="2"/>
    <s v="GDP per capita"/>
    <s v="Economy"/>
    <s v="SDG 8: Decent Work and Economic Growth"/>
    <n v="2377.1561919999999"/>
    <s v="Source-defined international dollars"/>
    <s v="Djibouti|1992"/>
    <s v="Gapminder/Plotly country-year extract reshaped to long indicator format for education"/>
    <s v="OK"/>
    <s v="1990s"/>
    <s v="N/A"/>
    <s v="Economy"/>
  </r>
  <r>
    <s v="GM-01288"/>
    <s v="Djibouti"/>
    <x v="2"/>
    <x v="9"/>
    <x v="0"/>
    <s v="Life expectancy at birth"/>
    <s v="Health"/>
    <s v="SDG 3: Good Health and Well-being"/>
    <n v="53.156999999999996"/>
    <s v="Years"/>
    <s v="Djibouti|1997"/>
    <s v="Gapminder/Plotly country-year extract reshaped to long indicator format for education"/>
    <s v="OK"/>
    <s v="1990s"/>
    <s v="Low"/>
    <s v="Health"/>
  </r>
  <r>
    <s v="GM-01289"/>
    <s v="Djibouti"/>
    <x v="2"/>
    <x v="9"/>
    <x v="1"/>
    <s v="Population, total"/>
    <s v="Demographics"/>
    <s v="SDG 11: Sustainable Cities and Communities"/>
    <n v="417908"/>
    <s v="People"/>
    <s v="Djibouti|1997"/>
    <s v="Gapminder/Plotly country-year extract reshaped to long indicator format for education"/>
    <s v="OK"/>
    <s v="1990s"/>
    <s v="N/A"/>
    <s v="Demographics"/>
  </r>
  <r>
    <s v="GM-01290"/>
    <s v="Djibouti"/>
    <x v="2"/>
    <x v="9"/>
    <x v="2"/>
    <s v="GDP per capita"/>
    <s v="Economy"/>
    <s v="SDG 8: Decent Work and Economic Growth"/>
    <n v="1895.0169840000001"/>
    <s v="Source-defined international dollars"/>
    <s v="Djibouti|1997"/>
    <s v="Gapminder/Plotly country-year extract reshaped to long indicator format for education"/>
    <s v="OK"/>
    <s v="1990s"/>
    <s v="N/A"/>
    <s v="Economy"/>
  </r>
  <r>
    <s v="GM-01291"/>
    <s v="Djibouti"/>
    <x v="2"/>
    <x v="10"/>
    <x v="0"/>
    <s v="Life expectancy at birth"/>
    <s v="Health"/>
    <s v="SDG 3: Good Health and Well-being"/>
    <n v="53.372999999999998"/>
    <s v="Years"/>
    <s v="Djibouti|2002"/>
    <s v="Gapminder/Plotly country-year extract reshaped to long indicator format for education"/>
    <s v="OK"/>
    <s v="2000s"/>
    <s v="Low"/>
    <s v="Health"/>
  </r>
  <r>
    <s v="GM-01292"/>
    <s v="Djibouti"/>
    <x v="2"/>
    <x v="10"/>
    <x v="1"/>
    <s v="Population, total"/>
    <s v="Demographics"/>
    <s v="SDG 11: Sustainable Cities and Communities"/>
    <n v="447416"/>
    <s v="People"/>
    <s v="Djibouti|2002"/>
    <s v="Gapminder/Plotly country-year extract reshaped to long indicator format for education"/>
    <s v="OK"/>
    <s v="2000s"/>
    <s v="N/A"/>
    <s v="Demographics"/>
  </r>
  <r>
    <s v="GM-01293"/>
    <s v="Djibouti"/>
    <x v="2"/>
    <x v="10"/>
    <x v="2"/>
    <s v="GDP per capita"/>
    <s v="Economy"/>
    <s v="SDG 8: Decent Work and Economic Growth"/>
    <n v="1908.260867"/>
    <s v="Source-defined international dollars"/>
    <s v="Djibouti|2002"/>
    <s v="Gapminder/Plotly country-year extract reshaped to long indicator format for education"/>
    <s v="OK"/>
    <s v="2000s"/>
    <s v="N/A"/>
    <s v="Economy"/>
  </r>
  <r>
    <s v="GM-01294"/>
    <s v="Djibouti"/>
    <x v="2"/>
    <x v="11"/>
    <x v="0"/>
    <s v="Life expectancy at birth"/>
    <s v="Health"/>
    <s v="SDG 3: Good Health and Well-being"/>
    <n v="54.790999999999997"/>
    <s v="Years"/>
    <s v="Djibouti|2007"/>
    <s v="Gapminder/Plotly country-year extract reshaped to long indicator format for education"/>
    <s v="OK"/>
    <s v="2000s"/>
    <s v="Low"/>
    <s v="Health"/>
  </r>
  <r>
    <s v="GM-01295"/>
    <s v="Djibouti"/>
    <x v="2"/>
    <x v="11"/>
    <x v="1"/>
    <s v="Population, total"/>
    <s v="Demographics"/>
    <s v="SDG 11: Sustainable Cities and Communities"/>
    <n v="496374"/>
    <s v="People"/>
    <s v="Djibouti|2007"/>
    <s v="Gapminder/Plotly country-year extract reshaped to long indicator format for education"/>
    <s v="OK"/>
    <s v="2000s"/>
    <s v="N/A"/>
    <s v="Demographics"/>
  </r>
  <r>
    <s v="GM-01296"/>
    <s v="Djibouti"/>
    <x v="2"/>
    <x v="11"/>
    <x v="2"/>
    <s v="GDP per capita"/>
    <s v="Economy"/>
    <s v="SDG 8: Decent Work and Economic Growth"/>
    <n v="2082.4815669999998"/>
    <s v="Source-defined international dollars"/>
    <s v="Djibouti|2007"/>
    <s v="Gapminder/Plotly country-year extract reshaped to long indicator format for education"/>
    <s v="OK"/>
    <s v="2000s"/>
    <s v="N/A"/>
    <s v="Economy"/>
  </r>
  <r>
    <s v="GM-01297"/>
    <s v="Dominican Republic"/>
    <x v="3"/>
    <x v="0"/>
    <x v="0"/>
    <s v="Life expectancy at birth"/>
    <s v="Health"/>
    <s v="SDG 3: Good Health and Well-being"/>
    <n v="45.927999999999997"/>
    <s v="Years"/>
    <s v="Dominican Republic|1952"/>
    <s v="Gapminder/Plotly country-year extract reshaped to long indicator format for education"/>
    <s v="OK"/>
    <s v="1950s"/>
    <s v="Low"/>
    <s v="Health"/>
  </r>
  <r>
    <s v="GM-01298"/>
    <s v="Dominican Republic"/>
    <x v="3"/>
    <x v="0"/>
    <x v="1"/>
    <s v="Population, total"/>
    <s v="Demographics"/>
    <s v="SDG 11: Sustainable Cities and Communities"/>
    <n v="2491346"/>
    <s v="People"/>
    <s v="Dominican Republic|1952"/>
    <s v="Gapminder/Plotly country-year extract reshaped to long indicator format for education"/>
    <s v="OK"/>
    <s v="1950s"/>
    <s v="N/A"/>
    <s v="Demographics"/>
  </r>
  <r>
    <s v="GM-01299"/>
    <s v="Dominican Republic"/>
    <x v="3"/>
    <x v="0"/>
    <x v="2"/>
    <s v="GDP per capita"/>
    <s v="Economy"/>
    <s v="SDG 8: Decent Work and Economic Growth"/>
    <n v="1397.7171370000001"/>
    <s v="Source-defined international dollars"/>
    <s v="Dominican Republic|1952"/>
    <s v="Gapminder/Plotly country-year extract reshaped to long indicator format for education"/>
    <s v="OK"/>
    <s v="1950s"/>
    <s v="N/A"/>
    <s v="Economy"/>
  </r>
  <r>
    <s v="GM-01300"/>
    <s v="Dominican Republic"/>
    <x v="3"/>
    <x v="1"/>
    <x v="0"/>
    <s v="Life expectancy at birth"/>
    <s v="Health"/>
    <s v="SDG 3: Good Health and Well-being"/>
    <n v="49.828000000000003"/>
    <s v="Years"/>
    <s v="Dominican Republic|1957"/>
    <s v="Gapminder/Plotly country-year extract reshaped to long indicator format for education"/>
    <s v="OK"/>
    <s v="1950s"/>
    <s v="Low"/>
    <s v="Health"/>
  </r>
  <r>
    <s v="GM-01301"/>
    <s v="Dominican Republic"/>
    <x v="3"/>
    <x v="1"/>
    <x v="1"/>
    <s v="Population, total"/>
    <s v="Demographics"/>
    <s v="SDG 11: Sustainable Cities and Communities"/>
    <n v="2923186"/>
    <s v="People"/>
    <s v="Dominican Republic|1957"/>
    <s v="Gapminder/Plotly country-year extract reshaped to long indicator format for education"/>
    <s v="OK"/>
    <s v="1950s"/>
    <s v="N/A"/>
    <s v="Demographics"/>
  </r>
  <r>
    <s v="GM-01302"/>
    <s v="Dominican Republic"/>
    <x v="3"/>
    <x v="1"/>
    <x v="2"/>
    <s v="GDP per capita"/>
    <s v="Economy"/>
    <s v="SDG 8: Decent Work and Economic Growth"/>
    <n v="1544.4029949999999"/>
    <s v="Source-defined international dollars"/>
    <s v="Dominican Republic|1957"/>
    <s v="Gapminder/Plotly country-year extract reshaped to long indicator format for education"/>
    <s v="OK"/>
    <s v="1950s"/>
    <s v="N/A"/>
    <s v="Economy"/>
  </r>
  <r>
    <s v="GM-01303"/>
    <s v="Dominican Republic"/>
    <x v="3"/>
    <x v="2"/>
    <x v="0"/>
    <s v="Life expectancy at birth"/>
    <s v="Health"/>
    <s v="SDG 3: Good Health and Well-being"/>
    <n v="53.459000000000003"/>
    <s v="Years"/>
    <s v="Dominican Republic|1962"/>
    <s v="Gapminder/Plotly country-year extract reshaped to long indicator format for education"/>
    <s v="OK"/>
    <s v="1960s"/>
    <s v="Low"/>
    <s v="Health"/>
  </r>
  <r>
    <s v="GM-01304"/>
    <s v="Dominican Republic"/>
    <x v="3"/>
    <x v="2"/>
    <x v="1"/>
    <s v="Population, total"/>
    <s v="Demographics"/>
    <s v="SDG 11: Sustainable Cities and Communities"/>
    <n v="3453434"/>
    <s v="People"/>
    <s v="Dominican Republic|1962"/>
    <s v="Gapminder/Plotly country-year extract reshaped to long indicator format for education"/>
    <s v="OK"/>
    <s v="1960s"/>
    <s v="N/A"/>
    <s v="Demographics"/>
  </r>
  <r>
    <s v="GM-01305"/>
    <s v="Dominican Republic"/>
    <x v="3"/>
    <x v="2"/>
    <x v="2"/>
    <s v="GDP per capita"/>
    <s v="Economy"/>
    <s v="SDG 8: Decent Work and Economic Growth"/>
    <n v="1662.1373590000001"/>
    <s v="Source-defined international dollars"/>
    <s v="Dominican Republic|1962"/>
    <s v="Gapminder/Plotly country-year extract reshaped to long indicator format for education"/>
    <s v="OK"/>
    <s v="1960s"/>
    <s v="N/A"/>
    <s v="Economy"/>
  </r>
  <r>
    <s v="GM-01306"/>
    <s v="Dominican Republic"/>
    <x v="3"/>
    <x v="3"/>
    <x v="0"/>
    <s v="Life expectancy at birth"/>
    <s v="Health"/>
    <s v="SDG 3: Good Health and Well-being"/>
    <n v="56.750999999999998"/>
    <s v="Years"/>
    <s v="Dominican Republic|1967"/>
    <s v="Gapminder/Plotly country-year extract reshaped to long indicator format for education"/>
    <s v="OK"/>
    <s v="1960s"/>
    <s v="Medium"/>
    <s v="Health"/>
  </r>
  <r>
    <s v="GM-01307"/>
    <s v="Dominican Republic"/>
    <x v="3"/>
    <x v="3"/>
    <x v="1"/>
    <s v="Population, total"/>
    <s v="Demographics"/>
    <s v="SDG 11: Sustainable Cities and Communities"/>
    <n v="4049146"/>
    <s v="People"/>
    <s v="Dominican Republic|1967"/>
    <s v="Gapminder/Plotly country-year extract reshaped to long indicator format for education"/>
    <s v="OK"/>
    <s v="1960s"/>
    <s v="N/A"/>
    <s v="Demographics"/>
  </r>
  <r>
    <s v="GM-01308"/>
    <s v="Dominican Republic"/>
    <x v="3"/>
    <x v="3"/>
    <x v="2"/>
    <s v="GDP per capita"/>
    <s v="Economy"/>
    <s v="SDG 8: Decent Work and Economic Growth"/>
    <n v="1653.7230029999901"/>
    <s v="Source-defined international dollars"/>
    <s v="Dominican Republic|1967"/>
    <s v="Gapminder/Plotly country-year extract reshaped to long indicator format for education"/>
    <s v="OK"/>
    <s v="1960s"/>
    <s v="N/A"/>
    <s v="Economy"/>
  </r>
  <r>
    <s v="GM-01309"/>
    <s v="Dominican Republic"/>
    <x v="3"/>
    <x v="4"/>
    <x v="0"/>
    <s v="Life expectancy at birth"/>
    <s v="Health"/>
    <s v="SDG 3: Good Health and Well-being"/>
    <n v="59.631"/>
    <s v="Years"/>
    <s v="Dominican Republic|1972"/>
    <s v="Gapminder/Plotly country-year extract reshaped to long indicator format for education"/>
    <s v="OK"/>
    <s v="1970s"/>
    <s v="Medium"/>
    <s v="Health"/>
  </r>
  <r>
    <s v="GM-01310"/>
    <s v="Dominican Republic"/>
    <x v="3"/>
    <x v="4"/>
    <x v="1"/>
    <s v="Population, total"/>
    <s v="Demographics"/>
    <s v="SDG 11: Sustainable Cities and Communities"/>
    <n v="4671329"/>
    <s v="People"/>
    <s v="Dominican Republic|1972"/>
    <s v="Gapminder/Plotly country-year extract reshaped to long indicator format for education"/>
    <s v="OK"/>
    <s v="1970s"/>
    <s v="N/A"/>
    <s v="Demographics"/>
  </r>
  <r>
    <s v="GM-01311"/>
    <s v="Dominican Republic"/>
    <x v="3"/>
    <x v="4"/>
    <x v="2"/>
    <s v="GDP per capita"/>
    <s v="Economy"/>
    <s v="SDG 8: Decent Work and Economic Growth"/>
    <n v="2189.874499"/>
    <s v="Source-defined international dollars"/>
    <s v="Dominican Republic|1972"/>
    <s v="Gapminder/Plotly country-year extract reshaped to long indicator format for education"/>
    <s v="OK"/>
    <s v="1970s"/>
    <s v="N/A"/>
    <s v="Economy"/>
  </r>
  <r>
    <s v="GM-01312"/>
    <s v="Dominican Republic"/>
    <x v="3"/>
    <x v="5"/>
    <x v="0"/>
    <s v="Life expectancy at birth"/>
    <s v="Health"/>
    <s v="SDG 3: Good Health and Well-being"/>
    <n v="61.787999999999997"/>
    <s v="Years"/>
    <s v="Dominican Republic|1977"/>
    <s v="Gapminder/Plotly country-year extract reshaped to long indicator format for education"/>
    <s v="OK"/>
    <s v="1970s"/>
    <s v="Medium"/>
    <s v="Health"/>
  </r>
  <r>
    <s v="GM-01313"/>
    <s v="Dominican Republic"/>
    <x v="3"/>
    <x v="5"/>
    <x v="1"/>
    <s v="Population, total"/>
    <s v="Demographics"/>
    <s v="SDG 11: Sustainable Cities and Communities"/>
    <n v="5302800"/>
    <s v="People"/>
    <s v="Dominican Republic|1977"/>
    <s v="Gapminder/Plotly country-year extract reshaped to long indicator format for education"/>
    <s v="OK"/>
    <s v="1970s"/>
    <s v="N/A"/>
    <s v="Demographics"/>
  </r>
  <r>
    <s v="GM-01314"/>
    <s v="Dominican Republic"/>
    <x v="3"/>
    <x v="5"/>
    <x v="2"/>
    <s v="GDP per capita"/>
    <s v="Economy"/>
    <s v="SDG 8: Decent Work and Economic Growth"/>
    <n v="2681.9888999999998"/>
    <s v="Source-defined international dollars"/>
    <s v="Dominican Republic|1977"/>
    <s v="Gapminder/Plotly country-year extract reshaped to long indicator format for education"/>
    <s v="OK"/>
    <s v="1970s"/>
    <s v="N/A"/>
    <s v="Economy"/>
  </r>
  <r>
    <s v="GM-01315"/>
    <s v="Dominican Republic"/>
    <x v="3"/>
    <x v="6"/>
    <x v="0"/>
    <s v="Life expectancy at birth"/>
    <s v="Health"/>
    <s v="SDG 3: Good Health and Well-being"/>
    <n v="63.726999999999997"/>
    <s v="Years"/>
    <s v="Dominican Republic|1982"/>
    <s v="Gapminder/Plotly country-year extract reshaped to long indicator format for education"/>
    <s v="OK"/>
    <s v="1980s"/>
    <s v="Medium"/>
    <s v="Health"/>
  </r>
  <r>
    <s v="GM-01316"/>
    <s v="Dominican Republic"/>
    <x v="3"/>
    <x v="6"/>
    <x v="1"/>
    <s v="Population, total"/>
    <s v="Demographics"/>
    <s v="SDG 11: Sustainable Cities and Communities"/>
    <n v="5968349"/>
    <s v="People"/>
    <s v="Dominican Republic|1982"/>
    <s v="Gapminder/Plotly country-year extract reshaped to long indicator format for education"/>
    <s v="OK"/>
    <s v="1980s"/>
    <s v="N/A"/>
    <s v="Demographics"/>
  </r>
  <r>
    <s v="GM-01317"/>
    <s v="Dominican Republic"/>
    <x v="3"/>
    <x v="6"/>
    <x v="2"/>
    <s v="GDP per capita"/>
    <s v="Economy"/>
    <s v="SDG 8: Decent Work and Economic Growth"/>
    <n v="2861.0923859999998"/>
    <s v="Source-defined international dollars"/>
    <s v="Dominican Republic|1982"/>
    <s v="Gapminder/Plotly country-year extract reshaped to long indicator format for education"/>
    <s v="OK"/>
    <s v="1980s"/>
    <s v="N/A"/>
    <s v="Economy"/>
  </r>
  <r>
    <s v="GM-01318"/>
    <s v="Dominican Republic"/>
    <x v="3"/>
    <x v="7"/>
    <x v="0"/>
    <s v="Life expectancy at birth"/>
    <s v="Health"/>
    <s v="SDG 3: Good Health and Well-being"/>
    <n v="66.046000000000006"/>
    <s v="Years"/>
    <s v="Dominican Republic|1987"/>
    <s v="Gapminder/Plotly country-year extract reshaped to long indicator format for education"/>
    <s v="OK"/>
    <s v="1980s"/>
    <s v="Medium"/>
    <s v="Health"/>
  </r>
  <r>
    <s v="GM-01319"/>
    <s v="Dominican Republic"/>
    <x v="3"/>
    <x v="7"/>
    <x v="1"/>
    <s v="Population, total"/>
    <s v="Demographics"/>
    <s v="SDG 11: Sustainable Cities and Communities"/>
    <n v="6655297"/>
    <s v="People"/>
    <s v="Dominican Republic|1987"/>
    <s v="Gapminder/Plotly country-year extract reshaped to long indicator format for education"/>
    <s v="OK"/>
    <s v="1980s"/>
    <s v="N/A"/>
    <s v="Demographics"/>
  </r>
  <r>
    <s v="GM-01320"/>
    <s v="Dominican Republic"/>
    <x v="3"/>
    <x v="7"/>
    <x v="2"/>
    <s v="GDP per capita"/>
    <s v="Economy"/>
    <s v="SDG 8: Decent Work and Economic Growth"/>
    <n v="2899.8421750000002"/>
    <s v="Source-defined international dollars"/>
    <s v="Dominican Republic|1987"/>
    <s v="Gapminder/Plotly country-year extract reshaped to long indicator format for education"/>
    <s v="OK"/>
    <s v="1980s"/>
    <s v="N/A"/>
    <s v="Economy"/>
  </r>
  <r>
    <s v="GM-01321"/>
    <s v="Dominican Republic"/>
    <x v="3"/>
    <x v="8"/>
    <x v="0"/>
    <s v="Life expectancy at birth"/>
    <s v="Health"/>
    <s v="SDG 3: Good Health and Well-being"/>
    <n v="68.456999999999994"/>
    <s v="Years"/>
    <s v="Dominican Republic|1992"/>
    <s v="Gapminder/Plotly country-year extract reshaped to long indicator format for education"/>
    <s v="OK"/>
    <s v="1990s"/>
    <s v="Medium"/>
    <s v="Health"/>
  </r>
  <r>
    <s v="GM-01322"/>
    <s v="Dominican Republic"/>
    <x v="3"/>
    <x v="8"/>
    <x v="1"/>
    <s v="Population, total"/>
    <s v="Demographics"/>
    <s v="SDG 11: Sustainable Cities and Communities"/>
    <n v="7351181"/>
    <s v="People"/>
    <s v="Dominican Republic|1992"/>
    <s v="Gapminder/Plotly country-year extract reshaped to long indicator format for education"/>
    <s v="OK"/>
    <s v="1990s"/>
    <s v="N/A"/>
    <s v="Demographics"/>
  </r>
  <r>
    <s v="GM-01323"/>
    <s v="Dominican Republic"/>
    <x v="3"/>
    <x v="8"/>
    <x v="2"/>
    <s v="GDP per capita"/>
    <s v="Economy"/>
    <s v="SDG 8: Decent Work and Economic Growth"/>
    <n v="3044.2142140000001"/>
    <s v="Source-defined international dollars"/>
    <s v="Dominican Republic|1992"/>
    <s v="Gapminder/Plotly country-year extract reshaped to long indicator format for education"/>
    <s v="OK"/>
    <s v="1990s"/>
    <s v="N/A"/>
    <s v="Economy"/>
  </r>
  <r>
    <s v="GM-01324"/>
    <s v="Dominican Republic"/>
    <x v="3"/>
    <x v="9"/>
    <x v="0"/>
    <s v="Life expectancy at birth"/>
    <s v="Health"/>
    <s v="SDG 3: Good Health and Well-being"/>
    <n v="69.956999999999994"/>
    <s v="Years"/>
    <s v="Dominican Republic|1997"/>
    <s v="Gapminder/Plotly country-year extract reshaped to long indicator format for education"/>
    <s v="OK"/>
    <s v="1990s"/>
    <s v="Medium"/>
    <s v="Health"/>
  </r>
  <r>
    <s v="GM-01325"/>
    <s v="Dominican Republic"/>
    <x v="3"/>
    <x v="9"/>
    <x v="1"/>
    <s v="Population, total"/>
    <s v="Demographics"/>
    <s v="SDG 11: Sustainable Cities and Communities"/>
    <n v="7992357"/>
    <s v="People"/>
    <s v="Dominican Republic|1997"/>
    <s v="Gapminder/Plotly country-year extract reshaped to long indicator format for education"/>
    <s v="OK"/>
    <s v="1990s"/>
    <s v="N/A"/>
    <s v="Demographics"/>
  </r>
  <r>
    <s v="GM-01326"/>
    <s v="Dominican Republic"/>
    <x v="3"/>
    <x v="9"/>
    <x v="2"/>
    <s v="GDP per capita"/>
    <s v="Economy"/>
    <s v="SDG 8: Decent Work and Economic Growth"/>
    <n v="3614.1012850000002"/>
    <s v="Source-defined international dollars"/>
    <s v="Dominican Republic|1997"/>
    <s v="Gapminder/Plotly country-year extract reshaped to long indicator format for education"/>
    <s v="OK"/>
    <s v="1990s"/>
    <s v="N/A"/>
    <s v="Economy"/>
  </r>
  <r>
    <s v="GM-01327"/>
    <s v="Dominican Republic"/>
    <x v="3"/>
    <x v="10"/>
    <x v="0"/>
    <s v="Life expectancy at birth"/>
    <s v="Health"/>
    <s v="SDG 3: Good Health and Well-being"/>
    <n v="70.846999999999994"/>
    <s v="Years"/>
    <s v="Dominican Republic|2002"/>
    <s v="Gapminder/Plotly country-year extract reshaped to long indicator format for education"/>
    <s v="OK"/>
    <s v="2000s"/>
    <s v="High"/>
    <s v="Health"/>
  </r>
  <r>
    <s v="GM-01328"/>
    <s v="Dominican Republic"/>
    <x v="3"/>
    <x v="10"/>
    <x v="1"/>
    <s v="Population, total"/>
    <s v="Demographics"/>
    <s v="SDG 11: Sustainable Cities and Communities"/>
    <n v="8650322"/>
    <s v="People"/>
    <s v="Dominican Republic|2002"/>
    <s v="Gapminder/Plotly country-year extract reshaped to long indicator format for education"/>
    <s v="OK"/>
    <s v="2000s"/>
    <s v="N/A"/>
    <s v="Demographics"/>
  </r>
  <r>
    <s v="GM-01329"/>
    <s v="Dominican Republic"/>
    <x v="3"/>
    <x v="10"/>
    <x v="2"/>
    <s v="GDP per capita"/>
    <s v="Economy"/>
    <s v="SDG 8: Decent Work and Economic Growth"/>
    <n v="4563.8081540000003"/>
    <s v="Source-defined international dollars"/>
    <s v="Dominican Republic|2002"/>
    <s v="Gapminder/Plotly country-year extract reshaped to long indicator format for education"/>
    <s v="OK"/>
    <s v="2000s"/>
    <s v="N/A"/>
    <s v="Economy"/>
  </r>
  <r>
    <s v="GM-01330"/>
    <s v="Dominican Republic"/>
    <x v="3"/>
    <x v="11"/>
    <x v="0"/>
    <s v="Life expectancy at birth"/>
    <s v="Health"/>
    <s v="SDG 3: Good Health and Well-being"/>
    <n v="72.234999999999999"/>
    <s v="Years"/>
    <s v="Dominican Republic|2007"/>
    <s v="Gapminder/Plotly country-year extract reshaped to long indicator format for education"/>
    <s v="OK"/>
    <s v="2000s"/>
    <s v="High"/>
    <s v="Health"/>
  </r>
  <r>
    <s v="GM-01331"/>
    <s v="Dominican Republic"/>
    <x v="3"/>
    <x v="11"/>
    <x v="1"/>
    <s v="Population, total"/>
    <s v="Demographics"/>
    <s v="SDG 11: Sustainable Cities and Communities"/>
    <n v="9319622"/>
    <s v="People"/>
    <s v="Dominican Republic|2007"/>
    <s v="Gapminder/Plotly country-year extract reshaped to long indicator format for education"/>
    <s v="OK"/>
    <s v="2000s"/>
    <s v="N/A"/>
    <s v="Demographics"/>
  </r>
  <r>
    <s v="GM-01332"/>
    <s v="Dominican Republic"/>
    <x v="3"/>
    <x v="11"/>
    <x v="2"/>
    <s v="GDP per capita"/>
    <s v="Economy"/>
    <s v="SDG 8: Decent Work and Economic Growth"/>
    <n v="6025.3747519999997"/>
    <s v="Source-defined international dollars"/>
    <s v="Dominican Republic|2007"/>
    <s v="Gapminder/Plotly country-year extract reshaped to long indicator format for education"/>
    <s v="OK"/>
    <s v="2000s"/>
    <s v="N/A"/>
    <s v="Economy"/>
  </r>
  <r>
    <s v="GM-01333"/>
    <s v="Ecuador"/>
    <x v="3"/>
    <x v="0"/>
    <x v="0"/>
    <s v="Life expectancy at birth"/>
    <s v="Health"/>
    <s v="SDG 3: Good Health and Well-being"/>
    <n v="48.356999999999999"/>
    <s v="Years"/>
    <s v="Ecuador|1952"/>
    <s v="Gapminder/Plotly country-year extract reshaped to long indicator format for education"/>
    <s v="OK"/>
    <s v="1950s"/>
    <s v="Low"/>
    <s v="Health"/>
  </r>
  <r>
    <s v="GM-01334"/>
    <s v="Ecuador"/>
    <x v="3"/>
    <x v="0"/>
    <x v="1"/>
    <s v="Population, total"/>
    <s v="Demographics"/>
    <s v="SDG 11: Sustainable Cities and Communities"/>
    <n v="3548753"/>
    <s v="People"/>
    <s v="Ecuador|1952"/>
    <s v="Gapminder/Plotly country-year extract reshaped to long indicator format for education"/>
    <s v="OK"/>
    <s v="1950s"/>
    <s v="N/A"/>
    <s v="Demographics"/>
  </r>
  <r>
    <s v="GM-01335"/>
    <s v="Ecuador"/>
    <x v="3"/>
    <x v="0"/>
    <x v="2"/>
    <s v="GDP per capita"/>
    <s v="Economy"/>
    <s v="SDG 8: Decent Work and Economic Growth"/>
    <n v="3522.110717"/>
    <s v="Source-defined international dollars"/>
    <s v="Ecuador|1952"/>
    <s v="Gapminder/Plotly country-year extract reshaped to long indicator format for education"/>
    <s v="OK"/>
    <s v="1950s"/>
    <s v="N/A"/>
    <s v="Economy"/>
  </r>
  <r>
    <s v="GM-01336"/>
    <s v="Ecuador"/>
    <x v="3"/>
    <x v="1"/>
    <x v="0"/>
    <s v="Life expectancy at birth"/>
    <s v="Health"/>
    <s v="SDG 3: Good Health and Well-being"/>
    <n v="51.356000000000002"/>
    <s v="Years"/>
    <s v="Ecuador|1957"/>
    <s v="Gapminder/Plotly country-year extract reshaped to long indicator format for education"/>
    <s v="OK"/>
    <s v="1950s"/>
    <s v="Low"/>
    <s v="Health"/>
  </r>
  <r>
    <s v="GM-01337"/>
    <s v="Ecuador"/>
    <x v="3"/>
    <x v="1"/>
    <x v="1"/>
    <s v="Population, total"/>
    <s v="Demographics"/>
    <s v="SDG 11: Sustainable Cities and Communities"/>
    <n v="4058385"/>
    <s v="People"/>
    <s v="Ecuador|1957"/>
    <s v="Gapminder/Plotly country-year extract reshaped to long indicator format for education"/>
    <s v="OK"/>
    <s v="1950s"/>
    <s v="N/A"/>
    <s v="Demographics"/>
  </r>
  <r>
    <s v="GM-01338"/>
    <s v="Ecuador"/>
    <x v="3"/>
    <x v="1"/>
    <x v="2"/>
    <s v="GDP per capita"/>
    <s v="Economy"/>
    <s v="SDG 8: Decent Work and Economic Growth"/>
    <n v="3780.5466510000001"/>
    <s v="Source-defined international dollars"/>
    <s v="Ecuador|1957"/>
    <s v="Gapminder/Plotly country-year extract reshaped to long indicator format for education"/>
    <s v="OK"/>
    <s v="1950s"/>
    <s v="N/A"/>
    <s v="Economy"/>
  </r>
  <r>
    <s v="GM-01339"/>
    <s v="Ecuador"/>
    <x v="3"/>
    <x v="2"/>
    <x v="0"/>
    <s v="Life expectancy at birth"/>
    <s v="Health"/>
    <s v="SDG 3: Good Health and Well-being"/>
    <n v="54.64"/>
    <s v="Years"/>
    <s v="Ecuador|1962"/>
    <s v="Gapminder/Plotly country-year extract reshaped to long indicator format for education"/>
    <s v="OK"/>
    <s v="1960s"/>
    <s v="Low"/>
    <s v="Health"/>
  </r>
  <r>
    <s v="GM-01340"/>
    <s v="Ecuador"/>
    <x v="3"/>
    <x v="2"/>
    <x v="1"/>
    <s v="Population, total"/>
    <s v="Demographics"/>
    <s v="SDG 11: Sustainable Cities and Communities"/>
    <n v="4681707"/>
    <s v="People"/>
    <s v="Ecuador|1962"/>
    <s v="Gapminder/Plotly country-year extract reshaped to long indicator format for education"/>
    <s v="OK"/>
    <s v="1960s"/>
    <s v="N/A"/>
    <s v="Demographics"/>
  </r>
  <r>
    <s v="GM-01341"/>
    <s v="Ecuador"/>
    <x v="3"/>
    <x v="2"/>
    <x v="2"/>
    <s v="GDP per capita"/>
    <s v="Economy"/>
    <s v="SDG 8: Decent Work and Economic Growth"/>
    <n v="4086.1140780000001"/>
    <s v="Source-defined international dollars"/>
    <s v="Ecuador|1962"/>
    <s v="Gapminder/Plotly country-year extract reshaped to long indicator format for education"/>
    <s v="OK"/>
    <s v="1960s"/>
    <s v="N/A"/>
    <s v="Economy"/>
  </r>
  <r>
    <s v="GM-01342"/>
    <s v="Ecuador"/>
    <x v="3"/>
    <x v="3"/>
    <x v="0"/>
    <s v="Life expectancy at birth"/>
    <s v="Health"/>
    <s v="SDG 3: Good Health and Well-being"/>
    <n v="56.677999999999997"/>
    <s v="Years"/>
    <s v="Ecuador|1967"/>
    <s v="Gapminder/Plotly country-year extract reshaped to long indicator format for education"/>
    <s v="OK"/>
    <s v="1960s"/>
    <s v="Medium"/>
    <s v="Health"/>
  </r>
  <r>
    <s v="GM-01343"/>
    <s v="Ecuador"/>
    <x v="3"/>
    <x v="3"/>
    <x v="1"/>
    <s v="Population, total"/>
    <s v="Demographics"/>
    <s v="SDG 11: Sustainable Cities and Communities"/>
    <n v="5432424"/>
    <s v="People"/>
    <s v="Ecuador|1967"/>
    <s v="Gapminder/Plotly country-year extract reshaped to long indicator format for education"/>
    <s v="OK"/>
    <s v="1960s"/>
    <s v="N/A"/>
    <s v="Demographics"/>
  </r>
  <r>
    <s v="GM-01344"/>
    <s v="Ecuador"/>
    <x v="3"/>
    <x v="3"/>
    <x v="2"/>
    <s v="GDP per capita"/>
    <s v="Economy"/>
    <s v="SDG 8: Decent Work and Economic Growth"/>
    <n v="4579.0742149999996"/>
    <s v="Source-defined international dollars"/>
    <s v="Ecuador|1967"/>
    <s v="Gapminder/Plotly country-year extract reshaped to long indicator format for education"/>
    <s v="OK"/>
    <s v="1960s"/>
    <s v="N/A"/>
    <s v="Economy"/>
  </r>
  <r>
    <s v="GM-01345"/>
    <s v="Ecuador"/>
    <x v="3"/>
    <x v="4"/>
    <x v="0"/>
    <s v="Life expectancy at birth"/>
    <s v="Health"/>
    <s v="SDG 3: Good Health and Well-being"/>
    <n v="58.795999999999999"/>
    <s v="Years"/>
    <s v="Ecuador|1972"/>
    <s v="Gapminder/Plotly country-year extract reshaped to long indicator format for education"/>
    <s v="OK"/>
    <s v="1970s"/>
    <s v="Medium"/>
    <s v="Health"/>
  </r>
  <r>
    <s v="GM-01346"/>
    <s v="Ecuador"/>
    <x v="3"/>
    <x v="4"/>
    <x v="1"/>
    <s v="Population, total"/>
    <s v="Demographics"/>
    <s v="SDG 11: Sustainable Cities and Communities"/>
    <n v="6298651"/>
    <s v="People"/>
    <s v="Ecuador|1972"/>
    <s v="Gapminder/Plotly country-year extract reshaped to long indicator format for education"/>
    <s v="OK"/>
    <s v="1970s"/>
    <s v="N/A"/>
    <s v="Demographics"/>
  </r>
  <r>
    <s v="GM-01347"/>
    <s v="Ecuador"/>
    <x v="3"/>
    <x v="4"/>
    <x v="2"/>
    <s v="GDP per capita"/>
    <s v="Economy"/>
    <s v="SDG 8: Decent Work and Economic Growth"/>
    <n v="5280.9947099999999"/>
    <s v="Source-defined international dollars"/>
    <s v="Ecuador|1972"/>
    <s v="Gapminder/Plotly country-year extract reshaped to long indicator format for education"/>
    <s v="OK"/>
    <s v="1970s"/>
    <s v="N/A"/>
    <s v="Economy"/>
  </r>
  <r>
    <s v="GM-01348"/>
    <s v="Ecuador"/>
    <x v="3"/>
    <x v="5"/>
    <x v="0"/>
    <s v="Life expectancy at birth"/>
    <s v="Health"/>
    <s v="SDG 3: Good Health and Well-being"/>
    <n v="61.31"/>
    <s v="Years"/>
    <s v="Ecuador|1977"/>
    <s v="Gapminder/Plotly country-year extract reshaped to long indicator format for education"/>
    <s v="OK"/>
    <s v="1970s"/>
    <s v="Medium"/>
    <s v="Health"/>
  </r>
  <r>
    <s v="GM-01349"/>
    <s v="Ecuador"/>
    <x v="3"/>
    <x v="5"/>
    <x v="1"/>
    <s v="Population, total"/>
    <s v="Demographics"/>
    <s v="SDG 11: Sustainable Cities and Communities"/>
    <n v="7278866"/>
    <s v="People"/>
    <s v="Ecuador|1977"/>
    <s v="Gapminder/Plotly country-year extract reshaped to long indicator format for education"/>
    <s v="OK"/>
    <s v="1970s"/>
    <s v="N/A"/>
    <s v="Demographics"/>
  </r>
  <r>
    <s v="GM-01350"/>
    <s v="Ecuador"/>
    <x v="3"/>
    <x v="5"/>
    <x v="2"/>
    <s v="GDP per capita"/>
    <s v="Economy"/>
    <s v="SDG 8: Decent Work and Economic Growth"/>
    <n v="6679.6232600000003"/>
    <s v="Source-defined international dollars"/>
    <s v="Ecuador|1977"/>
    <s v="Gapminder/Plotly country-year extract reshaped to long indicator format for education"/>
    <s v="OK"/>
    <s v="1970s"/>
    <s v="N/A"/>
    <s v="Economy"/>
  </r>
  <r>
    <s v="GM-01351"/>
    <s v="Ecuador"/>
    <x v="3"/>
    <x v="6"/>
    <x v="0"/>
    <s v="Life expectancy at birth"/>
    <s v="Health"/>
    <s v="SDG 3: Good Health and Well-being"/>
    <n v="64.341999999999999"/>
    <s v="Years"/>
    <s v="Ecuador|1982"/>
    <s v="Gapminder/Plotly country-year extract reshaped to long indicator format for education"/>
    <s v="OK"/>
    <s v="1980s"/>
    <s v="Medium"/>
    <s v="Health"/>
  </r>
  <r>
    <s v="GM-01352"/>
    <s v="Ecuador"/>
    <x v="3"/>
    <x v="6"/>
    <x v="1"/>
    <s v="Population, total"/>
    <s v="Demographics"/>
    <s v="SDG 11: Sustainable Cities and Communities"/>
    <n v="8365850"/>
    <s v="People"/>
    <s v="Ecuador|1982"/>
    <s v="Gapminder/Plotly country-year extract reshaped to long indicator format for education"/>
    <s v="OK"/>
    <s v="1980s"/>
    <s v="N/A"/>
    <s v="Demographics"/>
  </r>
  <r>
    <s v="GM-01353"/>
    <s v="Ecuador"/>
    <x v="3"/>
    <x v="6"/>
    <x v="2"/>
    <s v="GDP per capita"/>
    <s v="Economy"/>
    <s v="SDG 8: Decent Work and Economic Growth"/>
    <n v="7213.7912669999996"/>
    <s v="Source-defined international dollars"/>
    <s v="Ecuador|1982"/>
    <s v="Gapminder/Plotly country-year extract reshaped to long indicator format for education"/>
    <s v="OK"/>
    <s v="1980s"/>
    <s v="N/A"/>
    <s v="Economy"/>
  </r>
  <r>
    <s v="GM-01354"/>
    <s v="Ecuador"/>
    <x v="3"/>
    <x v="7"/>
    <x v="0"/>
    <s v="Life expectancy at birth"/>
    <s v="Health"/>
    <s v="SDG 3: Good Health and Well-being"/>
    <n v="67.230999999999995"/>
    <s v="Years"/>
    <s v="Ecuador|1987"/>
    <s v="Gapminder/Plotly country-year extract reshaped to long indicator format for education"/>
    <s v="OK"/>
    <s v="1980s"/>
    <s v="Medium"/>
    <s v="Health"/>
  </r>
  <r>
    <s v="GM-01355"/>
    <s v="Ecuador"/>
    <x v="3"/>
    <x v="7"/>
    <x v="1"/>
    <s v="Population, total"/>
    <s v="Demographics"/>
    <s v="SDG 11: Sustainable Cities and Communities"/>
    <n v="9545158"/>
    <s v="People"/>
    <s v="Ecuador|1987"/>
    <s v="Gapminder/Plotly country-year extract reshaped to long indicator format for education"/>
    <s v="OK"/>
    <s v="1980s"/>
    <s v="N/A"/>
    <s v="Demographics"/>
  </r>
  <r>
    <s v="GM-01356"/>
    <s v="Ecuador"/>
    <x v="3"/>
    <x v="7"/>
    <x v="2"/>
    <s v="GDP per capita"/>
    <s v="Economy"/>
    <s v="SDG 8: Decent Work and Economic Growth"/>
    <n v="6481.7769930000004"/>
    <s v="Source-defined international dollars"/>
    <s v="Ecuador|1987"/>
    <s v="Gapminder/Plotly country-year extract reshaped to long indicator format for education"/>
    <s v="OK"/>
    <s v="1980s"/>
    <s v="N/A"/>
    <s v="Economy"/>
  </r>
  <r>
    <s v="GM-01357"/>
    <s v="Ecuador"/>
    <x v="3"/>
    <x v="8"/>
    <x v="0"/>
    <s v="Life expectancy at birth"/>
    <s v="Health"/>
    <s v="SDG 3: Good Health and Well-being"/>
    <n v="69.613"/>
    <s v="Years"/>
    <s v="Ecuador|1992"/>
    <s v="Gapminder/Plotly country-year extract reshaped to long indicator format for education"/>
    <s v="OK"/>
    <s v="1990s"/>
    <s v="Medium"/>
    <s v="Health"/>
  </r>
  <r>
    <s v="GM-01358"/>
    <s v="Ecuador"/>
    <x v="3"/>
    <x v="8"/>
    <x v="1"/>
    <s v="Population, total"/>
    <s v="Demographics"/>
    <s v="SDG 11: Sustainable Cities and Communities"/>
    <n v="10748394"/>
    <s v="People"/>
    <s v="Ecuador|1992"/>
    <s v="Gapminder/Plotly country-year extract reshaped to long indicator format for education"/>
    <s v="OK"/>
    <s v="1990s"/>
    <s v="N/A"/>
    <s v="Demographics"/>
  </r>
  <r>
    <s v="GM-01359"/>
    <s v="Ecuador"/>
    <x v="3"/>
    <x v="8"/>
    <x v="2"/>
    <s v="GDP per capita"/>
    <s v="Economy"/>
    <s v="SDG 8: Decent Work and Economic Growth"/>
    <n v="7103.7025949999997"/>
    <s v="Source-defined international dollars"/>
    <s v="Ecuador|1992"/>
    <s v="Gapminder/Plotly country-year extract reshaped to long indicator format for education"/>
    <s v="OK"/>
    <s v="1990s"/>
    <s v="N/A"/>
    <s v="Economy"/>
  </r>
  <r>
    <s v="GM-01360"/>
    <s v="Ecuador"/>
    <x v="3"/>
    <x v="9"/>
    <x v="0"/>
    <s v="Life expectancy at birth"/>
    <s v="Health"/>
    <s v="SDG 3: Good Health and Well-being"/>
    <n v="72.311999999999998"/>
    <s v="Years"/>
    <s v="Ecuador|1997"/>
    <s v="Gapminder/Plotly country-year extract reshaped to long indicator format for education"/>
    <s v="OK"/>
    <s v="1990s"/>
    <s v="High"/>
    <s v="Health"/>
  </r>
  <r>
    <s v="GM-01361"/>
    <s v="Ecuador"/>
    <x v="3"/>
    <x v="9"/>
    <x v="1"/>
    <s v="Population, total"/>
    <s v="Demographics"/>
    <s v="SDG 11: Sustainable Cities and Communities"/>
    <n v="11911819"/>
    <s v="People"/>
    <s v="Ecuador|1997"/>
    <s v="Gapminder/Plotly country-year extract reshaped to long indicator format for education"/>
    <s v="OK"/>
    <s v="1990s"/>
    <s v="N/A"/>
    <s v="Demographics"/>
  </r>
  <r>
    <s v="GM-01362"/>
    <s v="Ecuador"/>
    <x v="3"/>
    <x v="9"/>
    <x v="2"/>
    <s v="GDP per capita"/>
    <s v="Economy"/>
    <s v="SDG 8: Decent Work and Economic Growth"/>
    <n v="7429.4558769999903"/>
    <s v="Source-defined international dollars"/>
    <s v="Ecuador|1997"/>
    <s v="Gapminder/Plotly country-year extract reshaped to long indicator format for education"/>
    <s v="OK"/>
    <s v="1990s"/>
    <s v="N/A"/>
    <s v="Economy"/>
  </r>
  <r>
    <s v="GM-01363"/>
    <s v="Ecuador"/>
    <x v="3"/>
    <x v="10"/>
    <x v="0"/>
    <s v="Life expectancy at birth"/>
    <s v="Health"/>
    <s v="SDG 3: Good Health and Well-being"/>
    <n v="74.173000000000002"/>
    <s v="Years"/>
    <s v="Ecuador|2002"/>
    <s v="Gapminder/Plotly country-year extract reshaped to long indicator format for education"/>
    <s v="OK"/>
    <s v="2000s"/>
    <s v="High"/>
    <s v="Health"/>
  </r>
  <r>
    <s v="GM-01364"/>
    <s v="Ecuador"/>
    <x v="3"/>
    <x v="10"/>
    <x v="1"/>
    <s v="Population, total"/>
    <s v="Demographics"/>
    <s v="SDG 11: Sustainable Cities and Communities"/>
    <n v="12921234"/>
    <s v="People"/>
    <s v="Ecuador|2002"/>
    <s v="Gapminder/Plotly country-year extract reshaped to long indicator format for education"/>
    <s v="OK"/>
    <s v="2000s"/>
    <s v="N/A"/>
    <s v="Demographics"/>
  </r>
  <r>
    <s v="GM-01365"/>
    <s v="Ecuador"/>
    <x v="3"/>
    <x v="10"/>
    <x v="2"/>
    <s v="GDP per capita"/>
    <s v="Economy"/>
    <s v="SDG 8: Decent Work and Economic Growth"/>
    <n v="5773.0445120000004"/>
    <s v="Source-defined international dollars"/>
    <s v="Ecuador|2002"/>
    <s v="Gapminder/Plotly country-year extract reshaped to long indicator format for education"/>
    <s v="OK"/>
    <s v="2000s"/>
    <s v="N/A"/>
    <s v="Economy"/>
  </r>
  <r>
    <s v="GM-01366"/>
    <s v="Ecuador"/>
    <x v="3"/>
    <x v="11"/>
    <x v="0"/>
    <s v="Life expectancy at birth"/>
    <s v="Health"/>
    <s v="SDG 3: Good Health and Well-being"/>
    <n v="74.994"/>
    <s v="Years"/>
    <s v="Ecuador|2007"/>
    <s v="Gapminder/Plotly country-year extract reshaped to long indicator format for education"/>
    <s v="OK"/>
    <s v="2000s"/>
    <s v="High"/>
    <s v="Health"/>
  </r>
  <r>
    <s v="GM-01367"/>
    <s v="Ecuador"/>
    <x v="3"/>
    <x v="11"/>
    <x v="1"/>
    <s v="Population, total"/>
    <s v="Demographics"/>
    <s v="SDG 11: Sustainable Cities and Communities"/>
    <n v="13755680"/>
    <s v="People"/>
    <s v="Ecuador|2007"/>
    <s v="Gapminder/Plotly country-year extract reshaped to long indicator format for education"/>
    <s v="OK"/>
    <s v="2000s"/>
    <s v="N/A"/>
    <s v="Demographics"/>
  </r>
  <r>
    <s v="GM-01368"/>
    <s v="Ecuador"/>
    <x v="3"/>
    <x v="11"/>
    <x v="2"/>
    <s v="GDP per capita"/>
    <s v="Economy"/>
    <s v="SDG 8: Decent Work and Economic Growth"/>
    <n v="6873.262326"/>
    <s v="Source-defined international dollars"/>
    <s v="Ecuador|2007"/>
    <s v="Gapminder/Plotly country-year extract reshaped to long indicator format for education"/>
    <s v="OK"/>
    <s v="2000s"/>
    <s v="N/A"/>
    <s v="Economy"/>
  </r>
  <r>
    <s v="GM-01369"/>
    <s v="Egypt"/>
    <x v="2"/>
    <x v="0"/>
    <x v="0"/>
    <s v="Life expectancy at birth"/>
    <s v="Health"/>
    <s v="SDG 3: Good Health and Well-being"/>
    <n v="41.893000000000001"/>
    <s v="Years"/>
    <s v="Egypt|1952"/>
    <s v="Gapminder/Plotly country-year extract reshaped to long indicator format for education"/>
    <s v="OK"/>
    <s v="1950s"/>
    <s v="Low"/>
    <s v="Health"/>
  </r>
  <r>
    <s v="GM-01370"/>
    <s v="Egypt"/>
    <x v="2"/>
    <x v="0"/>
    <x v="1"/>
    <s v="Population, total"/>
    <s v="Demographics"/>
    <s v="SDG 11: Sustainable Cities and Communities"/>
    <n v="22223309"/>
    <s v="People"/>
    <s v="Egypt|1952"/>
    <s v="Gapminder/Plotly country-year extract reshaped to long indicator format for education"/>
    <s v="OK"/>
    <s v="1950s"/>
    <s v="N/A"/>
    <s v="Demographics"/>
  </r>
  <r>
    <s v="GM-01371"/>
    <s v="Egypt"/>
    <x v="2"/>
    <x v="0"/>
    <x v="2"/>
    <s v="GDP per capita"/>
    <s v="Economy"/>
    <s v="SDG 8: Decent Work and Economic Growth"/>
    <n v="1418.822445"/>
    <s v="Source-defined international dollars"/>
    <s v="Egypt|1952"/>
    <s v="Gapminder/Plotly country-year extract reshaped to long indicator format for education"/>
    <s v="OK"/>
    <s v="1950s"/>
    <s v="N/A"/>
    <s v="Economy"/>
  </r>
  <r>
    <s v="GM-01372"/>
    <s v="Egypt"/>
    <x v="2"/>
    <x v="1"/>
    <x v="0"/>
    <s v="Life expectancy at birth"/>
    <s v="Health"/>
    <s v="SDG 3: Good Health and Well-being"/>
    <n v="44.444000000000003"/>
    <s v="Years"/>
    <s v="Egypt|1957"/>
    <s v="Gapminder/Plotly country-year extract reshaped to long indicator format for education"/>
    <s v="OK"/>
    <s v="1950s"/>
    <s v="Low"/>
    <s v="Health"/>
  </r>
  <r>
    <s v="GM-01373"/>
    <s v="Egypt"/>
    <x v="2"/>
    <x v="1"/>
    <x v="1"/>
    <s v="Population, total"/>
    <s v="Demographics"/>
    <s v="SDG 11: Sustainable Cities and Communities"/>
    <n v="25009741"/>
    <s v="People"/>
    <s v="Egypt|1957"/>
    <s v="Gapminder/Plotly country-year extract reshaped to long indicator format for education"/>
    <s v="OK"/>
    <s v="1950s"/>
    <s v="N/A"/>
    <s v="Demographics"/>
  </r>
  <r>
    <s v="GM-01374"/>
    <s v="Egypt"/>
    <x v="2"/>
    <x v="1"/>
    <x v="2"/>
    <s v="GDP per capita"/>
    <s v="Economy"/>
    <s v="SDG 8: Decent Work and Economic Growth"/>
    <n v="1458.915272"/>
    <s v="Source-defined international dollars"/>
    <s v="Egypt|1957"/>
    <s v="Gapminder/Plotly country-year extract reshaped to long indicator format for education"/>
    <s v="OK"/>
    <s v="1950s"/>
    <s v="N/A"/>
    <s v="Economy"/>
  </r>
  <r>
    <s v="GM-01375"/>
    <s v="Egypt"/>
    <x v="2"/>
    <x v="2"/>
    <x v="0"/>
    <s v="Life expectancy at birth"/>
    <s v="Health"/>
    <s v="SDG 3: Good Health and Well-being"/>
    <n v="46.991999999999997"/>
    <s v="Years"/>
    <s v="Egypt|1962"/>
    <s v="Gapminder/Plotly country-year extract reshaped to long indicator format for education"/>
    <s v="OK"/>
    <s v="1960s"/>
    <s v="Low"/>
    <s v="Health"/>
  </r>
  <r>
    <s v="GM-01376"/>
    <s v="Egypt"/>
    <x v="2"/>
    <x v="2"/>
    <x v="1"/>
    <s v="Population, total"/>
    <s v="Demographics"/>
    <s v="SDG 11: Sustainable Cities and Communities"/>
    <n v="28173309"/>
    <s v="People"/>
    <s v="Egypt|1962"/>
    <s v="Gapminder/Plotly country-year extract reshaped to long indicator format for education"/>
    <s v="OK"/>
    <s v="1960s"/>
    <s v="N/A"/>
    <s v="Demographics"/>
  </r>
  <r>
    <s v="GM-01377"/>
    <s v="Egypt"/>
    <x v="2"/>
    <x v="2"/>
    <x v="2"/>
    <s v="GDP per capita"/>
    <s v="Economy"/>
    <s v="SDG 8: Decent Work and Economic Growth"/>
    <n v="1693.335853"/>
    <s v="Source-defined international dollars"/>
    <s v="Egypt|1962"/>
    <s v="Gapminder/Plotly country-year extract reshaped to long indicator format for education"/>
    <s v="OK"/>
    <s v="1960s"/>
    <s v="N/A"/>
    <s v="Economy"/>
  </r>
  <r>
    <s v="GM-01378"/>
    <s v="Egypt"/>
    <x v="2"/>
    <x v="3"/>
    <x v="0"/>
    <s v="Life expectancy at birth"/>
    <s v="Health"/>
    <s v="SDG 3: Good Health and Well-being"/>
    <n v="49.292999999999999"/>
    <s v="Years"/>
    <s v="Egypt|1967"/>
    <s v="Gapminder/Plotly country-year extract reshaped to long indicator format for education"/>
    <s v="OK"/>
    <s v="1960s"/>
    <s v="Low"/>
    <s v="Health"/>
  </r>
  <r>
    <s v="GM-01379"/>
    <s v="Egypt"/>
    <x v="2"/>
    <x v="3"/>
    <x v="1"/>
    <s v="Population, total"/>
    <s v="Demographics"/>
    <s v="SDG 11: Sustainable Cities and Communities"/>
    <n v="31681188"/>
    <s v="People"/>
    <s v="Egypt|1967"/>
    <s v="Gapminder/Plotly country-year extract reshaped to long indicator format for education"/>
    <s v="OK"/>
    <s v="1960s"/>
    <s v="N/A"/>
    <s v="Demographics"/>
  </r>
  <r>
    <s v="GM-01380"/>
    <s v="Egypt"/>
    <x v="2"/>
    <x v="3"/>
    <x v="2"/>
    <s v="GDP per capita"/>
    <s v="Economy"/>
    <s v="SDG 8: Decent Work and Economic Growth"/>
    <n v="1814.8807280000001"/>
    <s v="Source-defined international dollars"/>
    <s v="Egypt|1967"/>
    <s v="Gapminder/Plotly country-year extract reshaped to long indicator format for education"/>
    <s v="OK"/>
    <s v="1960s"/>
    <s v="N/A"/>
    <s v="Economy"/>
  </r>
  <r>
    <s v="GM-01381"/>
    <s v="Egypt"/>
    <x v="2"/>
    <x v="4"/>
    <x v="0"/>
    <s v="Life expectancy at birth"/>
    <s v="Health"/>
    <s v="SDG 3: Good Health and Well-being"/>
    <n v="51.137"/>
    <s v="Years"/>
    <s v="Egypt|1972"/>
    <s v="Gapminder/Plotly country-year extract reshaped to long indicator format for education"/>
    <s v="OK"/>
    <s v="1970s"/>
    <s v="Low"/>
    <s v="Health"/>
  </r>
  <r>
    <s v="GM-01382"/>
    <s v="Egypt"/>
    <x v="2"/>
    <x v="4"/>
    <x v="1"/>
    <s v="Population, total"/>
    <s v="Demographics"/>
    <s v="SDG 11: Sustainable Cities and Communities"/>
    <n v="34807417"/>
    <s v="People"/>
    <s v="Egypt|1972"/>
    <s v="Gapminder/Plotly country-year extract reshaped to long indicator format for education"/>
    <s v="OK"/>
    <s v="1970s"/>
    <s v="N/A"/>
    <s v="Demographics"/>
  </r>
  <r>
    <s v="GM-01383"/>
    <s v="Egypt"/>
    <x v="2"/>
    <x v="4"/>
    <x v="2"/>
    <s v="GDP per capita"/>
    <s v="Economy"/>
    <s v="SDG 8: Decent Work and Economic Growth"/>
    <n v="2024.008147"/>
    <s v="Source-defined international dollars"/>
    <s v="Egypt|1972"/>
    <s v="Gapminder/Plotly country-year extract reshaped to long indicator format for education"/>
    <s v="OK"/>
    <s v="1970s"/>
    <s v="N/A"/>
    <s v="Economy"/>
  </r>
  <r>
    <s v="GM-01384"/>
    <s v="Egypt"/>
    <x v="2"/>
    <x v="5"/>
    <x v="0"/>
    <s v="Life expectancy at birth"/>
    <s v="Health"/>
    <s v="SDG 3: Good Health and Well-being"/>
    <n v="53.319000000000003"/>
    <s v="Years"/>
    <s v="Egypt|1977"/>
    <s v="Gapminder/Plotly country-year extract reshaped to long indicator format for education"/>
    <s v="OK"/>
    <s v="1970s"/>
    <s v="Low"/>
    <s v="Health"/>
  </r>
  <r>
    <s v="GM-01385"/>
    <s v="Egypt"/>
    <x v="2"/>
    <x v="5"/>
    <x v="1"/>
    <s v="Population, total"/>
    <s v="Demographics"/>
    <s v="SDG 11: Sustainable Cities and Communities"/>
    <n v="38783863"/>
    <s v="People"/>
    <s v="Egypt|1977"/>
    <s v="Gapminder/Plotly country-year extract reshaped to long indicator format for education"/>
    <s v="OK"/>
    <s v="1970s"/>
    <s v="N/A"/>
    <s v="Demographics"/>
  </r>
  <r>
    <s v="GM-01386"/>
    <s v="Egypt"/>
    <x v="2"/>
    <x v="5"/>
    <x v="2"/>
    <s v="GDP per capita"/>
    <s v="Economy"/>
    <s v="SDG 8: Decent Work and Economic Growth"/>
    <n v="2785.4935820000001"/>
    <s v="Source-defined international dollars"/>
    <s v="Egypt|1977"/>
    <s v="Gapminder/Plotly country-year extract reshaped to long indicator format for education"/>
    <s v="OK"/>
    <s v="1970s"/>
    <s v="N/A"/>
    <s v="Economy"/>
  </r>
  <r>
    <s v="GM-01387"/>
    <s v="Egypt"/>
    <x v="2"/>
    <x v="6"/>
    <x v="0"/>
    <s v="Life expectancy at birth"/>
    <s v="Health"/>
    <s v="SDG 3: Good Health and Well-being"/>
    <n v="56.006"/>
    <s v="Years"/>
    <s v="Egypt|1982"/>
    <s v="Gapminder/Plotly country-year extract reshaped to long indicator format for education"/>
    <s v="OK"/>
    <s v="1980s"/>
    <s v="Medium"/>
    <s v="Health"/>
  </r>
  <r>
    <s v="GM-01388"/>
    <s v="Egypt"/>
    <x v="2"/>
    <x v="6"/>
    <x v="1"/>
    <s v="Population, total"/>
    <s v="Demographics"/>
    <s v="SDG 11: Sustainable Cities and Communities"/>
    <n v="45681811"/>
    <s v="People"/>
    <s v="Egypt|1982"/>
    <s v="Gapminder/Plotly country-year extract reshaped to long indicator format for education"/>
    <s v="OK"/>
    <s v="1980s"/>
    <s v="N/A"/>
    <s v="Demographics"/>
  </r>
  <r>
    <s v="GM-01389"/>
    <s v="Egypt"/>
    <x v="2"/>
    <x v="6"/>
    <x v="2"/>
    <s v="GDP per capita"/>
    <s v="Economy"/>
    <s v="SDG 8: Decent Work and Economic Growth"/>
    <n v="3503.729636"/>
    <s v="Source-defined international dollars"/>
    <s v="Egypt|1982"/>
    <s v="Gapminder/Plotly country-year extract reshaped to long indicator format for education"/>
    <s v="OK"/>
    <s v="1980s"/>
    <s v="N/A"/>
    <s v="Economy"/>
  </r>
  <r>
    <s v="GM-01390"/>
    <s v="Egypt"/>
    <x v="2"/>
    <x v="7"/>
    <x v="0"/>
    <s v="Life expectancy at birth"/>
    <s v="Health"/>
    <s v="SDG 3: Good Health and Well-being"/>
    <n v="59.796999999999997"/>
    <s v="Years"/>
    <s v="Egypt|1987"/>
    <s v="Gapminder/Plotly country-year extract reshaped to long indicator format for education"/>
    <s v="OK"/>
    <s v="1980s"/>
    <s v="Medium"/>
    <s v="Health"/>
  </r>
  <r>
    <s v="GM-01391"/>
    <s v="Egypt"/>
    <x v="2"/>
    <x v="7"/>
    <x v="1"/>
    <s v="Population, total"/>
    <s v="Demographics"/>
    <s v="SDG 11: Sustainable Cities and Communities"/>
    <n v="52799062"/>
    <s v="People"/>
    <s v="Egypt|1987"/>
    <s v="Gapminder/Plotly country-year extract reshaped to long indicator format for education"/>
    <s v="OK"/>
    <s v="1980s"/>
    <s v="N/A"/>
    <s v="Demographics"/>
  </r>
  <r>
    <s v="GM-01392"/>
    <s v="Egypt"/>
    <x v="2"/>
    <x v="7"/>
    <x v="2"/>
    <s v="GDP per capita"/>
    <s v="Economy"/>
    <s v="SDG 8: Decent Work and Economic Growth"/>
    <n v="3885.4607099999998"/>
    <s v="Source-defined international dollars"/>
    <s v="Egypt|1987"/>
    <s v="Gapminder/Plotly country-year extract reshaped to long indicator format for education"/>
    <s v="OK"/>
    <s v="1980s"/>
    <s v="N/A"/>
    <s v="Economy"/>
  </r>
  <r>
    <s v="GM-01393"/>
    <s v="Egypt"/>
    <x v="2"/>
    <x v="8"/>
    <x v="0"/>
    <s v="Life expectancy at birth"/>
    <s v="Health"/>
    <s v="SDG 3: Good Health and Well-being"/>
    <n v="63.673999999999999"/>
    <s v="Years"/>
    <s v="Egypt|1992"/>
    <s v="Gapminder/Plotly country-year extract reshaped to long indicator format for education"/>
    <s v="OK"/>
    <s v="1990s"/>
    <s v="Medium"/>
    <s v="Health"/>
  </r>
  <r>
    <s v="GM-01394"/>
    <s v="Egypt"/>
    <x v="2"/>
    <x v="8"/>
    <x v="1"/>
    <s v="Population, total"/>
    <s v="Demographics"/>
    <s v="SDG 11: Sustainable Cities and Communities"/>
    <n v="59402198"/>
    <s v="People"/>
    <s v="Egypt|1992"/>
    <s v="Gapminder/Plotly country-year extract reshaped to long indicator format for education"/>
    <s v="OK"/>
    <s v="1990s"/>
    <s v="N/A"/>
    <s v="Demographics"/>
  </r>
  <r>
    <s v="GM-01395"/>
    <s v="Egypt"/>
    <x v="2"/>
    <x v="8"/>
    <x v="2"/>
    <s v="GDP per capita"/>
    <s v="Economy"/>
    <s v="SDG 8: Decent Work and Economic Growth"/>
    <n v="3794.7551950000002"/>
    <s v="Source-defined international dollars"/>
    <s v="Egypt|1992"/>
    <s v="Gapminder/Plotly country-year extract reshaped to long indicator format for education"/>
    <s v="OK"/>
    <s v="1990s"/>
    <s v="N/A"/>
    <s v="Economy"/>
  </r>
  <r>
    <s v="GM-01396"/>
    <s v="Egypt"/>
    <x v="2"/>
    <x v="9"/>
    <x v="0"/>
    <s v="Life expectancy at birth"/>
    <s v="Health"/>
    <s v="SDG 3: Good Health and Well-being"/>
    <n v="67.216999999999999"/>
    <s v="Years"/>
    <s v="Egypt|1997"/>
    <s v="Gapminder/Plotly country-year extract reshaped to long indicator format for education"/>
    <s v="OK"/>
    <s v="1990s"/>
    <s v="Medium"/>
    <s v="Health"/>
  </r>
  <r>
    <s v="GM-01397"/>
    <s v="Egypt"/>
    <x v="2"/>
    <x v="9"/>
    <x v="1"/>
    <s v="Population, total"/>
    <s v="Demographics"/>
    <s v="SDG 11: Sustainable Cities and Communities"/>
    <n v="66134291"/>
    <s v="People"/>
    <s v="Egypt|1997"/>
    <s v="Gapminder/Plotly country-year extract reshaped to long indicator format for education"/>
    <s v="OK"/>
    <s v="1990s"/>
    <s v="N/A"/>
    <s v="Demographics"/>
  </r>
  <r>
    <s v="GM-01398"/>
    <s v="Egypt"/>
    <x v="2"/>
    <x v="9"/>
    <x v="2"/>
    <s v="GDP per capita"/>
    <s v="Economy"/>
    <s v="SDG 8: Decent Work and Economic Growth"/>
    <n v="4173.1817970000002"/>
    <s v="Source-defined international dollars"/>
    <s v="Egypt|1997"/>
    <s v="Gapminder/Plotly country-year extract reshaped to long indicator format for education"/>
    <s v="OK"/>
    <s v="1990s"/>
    <s v="N/A"/>
    <s v="Economy"/>
  </r>
  <r>
    <s v="GM-01399"/>
    <s v="Egypt"/>
    <x v="2"/>
    <x v="10"/>
    <x v="0"/>
    <s v="Life expectancy at birth"/>
    <s v="Health"/>
    <s v="SDG 3: Good Health and Well-being"/>
    <n v="69.805999999999997"/>
    <s v="Years"/>
    <s v="Egypt|2002"/>
    <s v="Gapminder/Plotly country-year extract reshaped to long indicator format for education"/>
    <s v="OK"/>
    <s v="2000s"/>
    <s v="Medium"/>
    <s v="Health"/>
  </r>
  <r>
    <s v="GM-01400"/>
    <s v="Egypt"/>
    <x v="2"/>
    <x v="10"/>
    <x v="1"/>
    <s v="Population, total"/>
    <s v="Demographics"/>
    <s v="SDG 11: Sustainable Cities and Communities"/>
    <n v="73312559"/>
    <s v="People"/>
    <s v="Egypt|2002"/>
    <s v="Gapminder/Plotly country-year extract reshaped to long indicator format for education"/>
    <s v="OK"/>
    <s v="2000s"/>
    <s v="N/A"/>
    <s v="Demographics"/>
  </r>
  <r>
    <s v="GM-01401"/>
    <s v="Egypt"/>
    <x v="2"/>
    <x v="10"/>
    <x v="2"/>
    <s v="GDP per capita"/>
    <s v="Economy"/>
    <s v="SDG 8: Decent Work and Economic Growth"/>
    <n v="4754.6044140000004"/>
    <s v="Source-defined international dollars"/>
    <s v="Egypt|2002"/>
    <s v="Gapminder/Plotly country-year extract reshaped to long indicator format for education"/>
    <s v="OK"/>
    <s v="2000s"/>
    <s v="N/A"/>
    <s v="Economy"/>
  </r>
  <r>
    <s v="GM-01402"/>
    <s v="Egypt"/>
    <x v="2"/>
    <x v="11"/>
    <x v="0"/>
    <s v="Life expectancy at birth"/>
    <s v="Health"/>
    <s v="SDG 3: Good Health and Well-being"/>
    <n v="71.337999999999994"/>
    <s v="Years"/>
    <s v="Egypt|2007"/>
    <s v="Gapminder/Plotly country-year extract reshaped to long indicator format for education"/>
    <s v="OK"/>
    <s v="2000s"/>
    <s v="High"/>
    <s v="Health"/>
  </r>
  <r>
    <s v="GM-01403"/>
    <s v="Egypt"/>
    <x v="2"/>
    <x v="11"/>
    <x v="1"/>
    <s v="Population, total"/>
    <s v="Demographics"/>
    <s v="SDG 11: Sustainable Cities and Communities"/>
    <n v="80264543"/>
    <s v="People"/>
    <s v="Egypt|2007"/>
    <s v="Gapminder/Plotly country-year extract reshaped to long indicator format for education"/>
    <s v="OK"/>
    <s v="2000s"/>
    <s v="N/A"/>
    <s v="Demographics"/>
  </r>
  <r>
    <s v="GM-01404"/>
    <s v="Egypt"/>
    <x v="2"/>
    <x v="11"/>
    <x v="2"/>
    <s v="GDP per capita"/>
    <s v="Economy"/>
    <s v="SDG 8: Decent Work and Economic Growth"/>
    <n v="5581.1809979999998"/>
    <s v="Source-defined international dollars"/>
    <s v="Egypt|2007"/>
    <s v="Gapminder/Plotly country-year extract reshaped to long indicator format for education"/>
    <s v="OK"/>
    <s v="2000s"/>
    <s v="N/A"/>
    <s v="Economy"/>
  </r>
  <r>
    <s v="GM-01405"/>
    <s v="El Salvador"/>
    <x v="3"/>
    <x v="0"/>
    <x v="0"/>
    <s v="Life expectancy at birth"/>
    <s v="Health"/>
    <s v="SDG 3: Good Health and Well-being"/>
    <n v="45.262"/>
    <s v="Years"/>
    <s v="El Salvador|1952"/>
    <s v="Gapminder/Plotly country-year extract reshaped to long indicator format for education"/>
    <s v="OK"/>
    <s v="1950s"/>
    <s v="Low"/>
    <s v="Health"/>
  </r>
  <r>
    <s v="GM-01406"/>
    <s v="El Salvador"/>
    <x v="3"/>
    <x v="0"/>
    <x v="1"/>
    <s v="Population, total"/>
    <s v="Demographics"/>
    <s v="SDG 11: Sustainable Cities and Communities"/>
    <n v="2042865"/>
    <s v="People"/>
    <s v="El Salvador|1952"/>
    <s v="Gapminder/Plotly country-year extract reshaped to long indicator format for education"/>
    <s v="OK"/>
    <s v="1950s"/>
    <s v="N/A"/>
    <s v="Demographics"/>
  </r>
  <r>
    <s v="GM-01407"/>
    <s v="El Salvador"/>
    <x v="3"/>
    <x v="0"/>
    <x v="2"/>
    <s v="GDP per capita"/>
    <s v="Economy"/>
    <s v="SDG 8: Decent Work and Economic Growth"/>
    <n v="3048.3029000000001"/>
    <s v="Source-defined international dollars"/>
    <s v="El Salvador|1952"/>
    <s v="Gapminder/Plotly country-year extract reshaped to long indicator format for education"/>
    <s v="OK"/>
    <s v="1950s"/>
    <s v="N/A"/>
    <s v="Economy"/>
  </r>
  <r>
    <s v="GM-01408"/>
    <s v="El Salvador"/>
    <x v="3"/>
    <x v="1"/>
    <x v="0"/>
    <s v="Life expectancy at birth"/>
    <s v="Health"/>
    <s v="SDG 3: Good Health and Well-being"/>
    <n v="48.57"/>
    <s v="Years"/>
    <s v="El Salvador|1957"/>
    <s v="Gapminder/Plotly country-year extract reshaped to long indicator format for education"/>
    <s v="OK"/>
    <s v="1950s"/>
    <s v="Low"/>
    <s v="Health"/>
  </r>
  <r>
    <s v="GM-01409"/>
    <s v="El Salvador"/>
    <x v="3"/>
    <x v="1"/>
    <x v="1"/>
    <s v="Population, total"/>
    <s v="Demographics"/>
    <s v="SDG 11: Sustainable Cities and Communities"/>
    <n v="2355805"/>
    <s v="People"/>
    <s v="El Salvador|1957"/>
    <s v="Gapminder/Plotly country-year extract reshaped to long indicator format for education"/>
    <s v="OK"/>
    <s v="1950s"/>
    <s v="N/A"/>
    <s v="Demographics"/>
  </r>
  <r>
    <s v="GM-01410"/>
    <s v="El Salvador"/>
    <x v="3"/>
    <x v="1"/>
    <x v="2"/>
    <s v="GDP per capita"/>
    <s v="Economy"/>
    <s v="SDG 8: Decent Work and Economic Growth"/>
    <n v="3421.5232179999998"/>
    <s v="Source-defined international dollars"/>
    <s v="El Salvador|1957"/>
    <s v="Gapminder/Plotly country-year extract reshaped to long indicator format for education"/>
    <s v="OK"/>
    <s v="1950s"/>
    <s v="N/A"/>
    <s v="Economy"/>
  </r>
  <r>
    <s v="GM-01411"/>
    <s v="El Salvador"/>
    <x v="3"/>
    <x v="2"/>
    <x v="0"/>
    <s v="Life expectancy at birth"/>
    <s v="Health"/>
    <s v="SDG 3: Good Health and Well-being"/>
    <n v="52.307000000000002"/>
    <s v="Years"/>
    <s v="El Salvador|1962"/>
    <s v="Gapminder/Plotly country-year extract reshaped to long indicator format for education"/>
    <s v="OK"/>
    <s v="1960s"/>
    <s v="Low"/>
    <s v="Health"/>
  </r>
  <r>
    <s v="GM-01412"/>
    <s v="El Salvador"/>
    <x v="3"/>
    <x v="2"/>
    <x v="1"/>
    <s v="Population, total"/>
    <s v="Demographics"/>
    <s v="SDG 11: Sustainable Cities and Communities"/>
    <n v="2747687"/>
    <s v="People"/>
    <s v="El Salvador|1962"/>
    <s v="Gapminder/Plotly country-year extract reshaped to long indicator format for education"/>
    <s v="OK"/>
    <s v="1960s"/>
    <s v="N/A"/>
    <s v="Demographics"/>
  </r>
  <r>
    <s v="GM-01413"/>
    <s v="El Salvador"/>
    <x v="3"/>
    <x v="2"/>
    <x v="2"/>
    <s v="GDP per capita"/>
    <s v="Economy"/>
    <s v="SDG 8: Decent Work and Economic Growth"/>
    <n v="3776.8036269999998"/>
    <s v="Source-defined international dollars"/>
    <s v="El Salvador|1962"/>
    <s v="Gapminder/Plotly country-year extract reshaped to long indicator format for education"/>
    <s v="OK"/>
    <s v="1960s"/>
    <s v="N/A"/>
    <s v="Economy"/>
  </r>
  <r>
    <s v="GM-01414"/>
    <s v="El Salvador"/>
    <x v="3"/>
    <x v="3"/>
    <x v="0"/>
    <s v="Life expectancy at birth"/>
    <s v="Health"/>
    <s v="SDG 3: Good Health and Well-being"/>
    <n v="55.854999999999997"/>
    <s v="Years"/>
    <s v="El Salvador|1967"/>
    <s v="Gapminder/Plotly country-year extract reshaped to long indicator format for education"/>
    <s v="OK"/>
    <s v="1960s"/>
    <s v="Medium"/>
    <s v="Health"/>
  </r>
  <r>
    <s v="GM-01415"/>
    <s v="El Salvador"/>
    <x v="3"/>
    <x v="3"/>
    <x v="1"/>
    <s v="Population, total"/>
    <s v="Demographics"/>
    <s v="SDG 11: Sustainable Cities and Communities"/>
    <n v="3232927"/>
    <s v="People"/>
    <s v="El Salvador|1967"/>
    <s v="Gapminder/Plotly country-year extract reshaped to long indicator format for education"/>
    <s v="OK"/>
    <s v="1960s"/>
    <s v="N/A"/>
    <s v="Demographics"/>
  </r>
  <r>
    <s v="GM-01416"/>
    <s v="El Salvador"/>
    <x v="3"/>
    <x v="3"/>
    <x v="2"/>
    <s v="GDP per capita"/>
    <s v="Economy"/>
    <s v="SDG 8: Decent Work and Economic Growth"/>
    <n v="4358.5953929999996"/>
    <s v="Source-defined international dollars"/>
    <s v="El Salvador|1967"/>
    <s v="Gapminder/Plotly country-year extract reshaped to long indicator format for education"/>
    <s v="OK"/>
    <s v="1960s"/>
    <s v="N/A"/>
    <s v="Economy"/>
  </r>
  <r>
    <s v="GM-01417"/>
    <s v="El Salvador"/>
    <x v="3"/>
    <x v="4"/>
    <x v="0"/>
    <s v="Life expectancy at birth"/>
    <s v="Health"/>
    <s v="SDG 3: Good Health and Well-being"/>
    <n v="58.207000000000001"/>
    <s v="Years"/>
    <s v="El Salvador|1972"/>
    <s v="Gapminder/Plotly country-year extract reshaped to long indicator format for education"/>
    <s v="OK"/>
    <s v="1970s"/>
    <s v="Medium"/>
    <s v="Health"/>
  </r>
  <r>
    <s v="GM-01418"/>
    <s v="El Salvador"/>
    <x v="3"/>
    <x v="4"/>
    <x v="1"/>
    <s v="Population, total"/>
    <s v="Demographics"/>
    <s v="SDG 11: Sustainable Cities and Communities"/>
    <n v="3790903"/>
    <s v="People"/>
    <s v="El Salvador|1972"/>
    <s v="Gapminder/Plotly country-year extract reshaped to long indicator format for education"/>
    <s v="OK"/>
    <s v="1970s"/>
    <s v="N/A"/>
    <s v="Demographics"/>
  </r>
  <r>
    <s v="GM-01419"/>
    <s v="El Salvador"/>
    <x v="3"/>
    <x v="4"/>
    <x v="2"/>
    <s v="GDP per capita"/>
    <s v="Economy"/>
    <s v="SDG 8: Decent Work and Economic Growth"/>
    <n v="4520.2460080000001"/>
    <s v="Source-defined international dollars"/>
    <s v="El Salvador|1972"/>
    <s v="Gapminder/Plotly country-year extract reshaped to long indicator format for education"/>
    <s v="OK"/>
    <s v="1970s"/>
    <s v="N/A"/>
    <s v="Economy"/>
  </r>
  <r>
    <s v="GM-01420"/>
    <s v="El Salvador"/>
    <x v="3"/>
    <x v="5"/>
    <x v="0"/>
    <s v="Life expectancy at birth"/>
    <s v="Health"/>
    <s v="SDG 3: Good Health and Well-being"/>
    <n v="56.695999999999998"/>
    <s v="Years"/>
    <s v="El Salvador|1977"/>
    <s v="Gapminder/Plotly country-year extract reshaped to long indicator format for education"/>
    <s v="OK"/>
    <s v="1970s"/>
    <s v="Medium"/>
    <s v="Health"/>
  </r>
  <r>
    <s v="GM-01421"/>
    <s v="El Salvador"/>
    <x v="3"/>
    <x v="5"/>
    <x v="1"/>
    <s v="Population, total"/>
    <s v="Demographics"/>
    <s v="SDG 11: Sustainable Cities and Communities"/>
    <n v="4282586"/>
    <s v="People"/>
    <s v="El Salvador|1977"/>
    <s v="Gapminder/Plotly country-year extract reshaped to long indicator format for education"/>
    <s v="OK"/>
    <s v="1970s"/>
    <s v="N/A"/>
    <s v="Demographics"/>
  </r>
  <r>
    <s v="GM-01422"/>
    <s v="El Salvador"/>
    <x v="3"/>
    <x v="5"/>
    <x v="2"/>
    <s v="GDP per capita"/>
    <s v="Economy"/>
    <s v="SDG 8: Decent Work and Economic Growth"/>
    <n v="5138.9223739999998"/>
    <s v="Source-defined international dollars"/>
    <s v="El Salvador|1977"/>
    <s v="Gapminder/Plotly country-year extract reshaped to long indicator format for education"/>
    <s v="OK"/>
    <s v="1970s"/>
    <s v="N/A"/>
    <s v="Economy"/>
  </r>
  <r>
    <s v="GM-01423"/>
    <s v="El Salvador"/>
    <x v="3"/>
    <x v="6"/>
    <x v="0"/>
    <s v="Life expectancy at birth"/>
    <s v="Health"/>
    <s v="SDG 3: Good Health and Well-being"/>
    <n v="56.603999999999999"/>
    <s v="Years"/>
    <s v="El Salvador|1982"/>
    <s v="Gapminder/Plotly country-year extract reshaped to long indicator format for education"/>
    <s v="OK"/>
    <s v="1980s"/>
    <s v="Medium"/>
    <s v="Health"/>
  </r>
  <r>
    <s v="GM-01424"/>
    <s v="El Salvador"/>
    <x v="3"/>
    <x v="6"/>
    <x v="1"/>
    <s v="Population, total"/>
    <s v="Demographics"/>
    <s v="SDG 11: Sustainable Cities and Communities"/>
    <n v="4474873"/>
    <s v="People"/>
    <s v="El Salvador|1982"/>
    <s v="Gapminder/Plotly country-year extract reshaped to long indicator format for education"/>
    <s v="OK"/>
    <s v="1980s"/>
    <s v="N/A"/>
    <s v="Demographics"/>
  </r>
  <r>
    <s v="GM-01425"/>
    <s v="El Salvador"/>
    <x v="3"/>
    <x v="6"/>
    <x v="2"/>
    <s v="GDP per capita"/>
    <s v="Economy"/>
    <s v="SDG 8: Decent Work and Economic Growth"/>
    <n v="4098.3441750000002"/>
    <s v="Source-defined international dollars"/>
    <s v="El Salvador|1982"/>
    <s v="Gapminder/Plotly country-year extract reshaped to long indicator format for education"/>
    <s v="OK"/>
    <s v="1980s"/>
    <s v="N/A"/>
    <s v="Economy"/>
  </r>
  <r>
    <s v="GM-01426"/>
    <s v="El Salvador"/>
    <x v="3"/>
    <x v="7"/>
    <x v="0"/>
    <s v="Life expectancy at birth"/>
    <s v="Health"/>
    <s v="SDG 3: Good Health and Well-being"/>
    <n v="63.154000000000003"/>
    <s v="Years"/>
    <s v="El Salvador|1987"/>
    <s v="Gapminder/Plotly country-year extract reshaped to long indicator format for education"/>
    <s v="OK"/>
    <s v="1980s"/>
    <s v="Medium"/>
    <s v="Health"/>
  </r>
  <r>
    <s v="GM-01427"/>
    <s v="El Salvador"/>
    <x v="3"/>
    <x v="7"/>
    <x v="1"/>
    <s v="Population, total"/>
    <s v="Demographics"/>
    <s v="SDG 11: Sustainable Cities and Communities"/>
    <n v="4842194"/>
    <s v="People"/>
    <s v="El Salvador|1987"/>
    <s v="Gapminder/Plotly country-year extract reshaped to long indicator format for education"/>
    <s v="OK"/>
    <s v="1980s"/>
    <s v="N/A"/>
    <s v="Demographics"/>
  </r>
  <r>
    <s v="GM-01428"/>
    <s v="El Salvador"/>
    <x v="3"/>
    <x v="7"/>
    <x v="2"/>
    <s v="GDP per capita"/>
    <s v="Economy"/>
    <s v="SDG 8: Decent Work and Economic Growth"/>
    <n v="4140.4420970000001"/>
    <s v="Source-defined international dollars"/>
    <s v="El Salvador|1987"/>
    <s v="Gapminder/Plotly country-year extract reshaped to long indicator format for education"/>
    <s v="OK"/>
    <s v="1980s"/>
    <s v="N/A"/>
    <s v="Economy"/>
  </r>
  <r>
    <s v="GM-01429"/>
    <s v="El Salvador"/>
    <x v="3"/>
    <x v="8"/>
    <x v="0"/>
    <s v="Life expectancy at birth"/>
    <s v="Health"/>
    <s v="SDG 3: Good Health and Well-being"/>
    <n v="66.798000000000002"/>
    <s v="Years"/>
    <s v="El Salvador|1992"/>
    <s v="Gapminder/Plotly country-year extract reshaped to long indicator format for education"/>
    <s v="OK"/>
    <s v="1990s"/>
    <s v="Medium"/>
    <s v="Health"/>
  </r>
  <r>
    <s v="GM-01430"/>
    <s v="El Salvador"/>
    <x v="3"/>
    <x v="8"/>
    <x v="1"/>
    <s v="Population, total"/>
    <s v="Demographics"/>
    <s v="SDG 11: Sustainable Cities and Communities"/>
    <n v="5274649"/>
    <s v="People"/>
    <s v="El Salvador|1992"/>
    <s v="Gapminder/Plotly country-year extract reshaped to long indicator format for education"/>
    <s v="OK"/>
    <s v="1990s"/>
    <s v="N/A"/>
    <s v="Demographics"/>
  </r>
  <r>
    <s v="GM-01431"/>
    <s v="El Salvador"/>
    <x v="3"/>
    <x v="8"/>
    <x v="2"/>
    <s v="GDP per capita"/>
    <s v="Economy"/>
    <s v="SDG 8: Decent Work and Economic Growth"/>
    <n v="4444.2317000000003"/>
    <s v="Source-defined international dollars"/>
    <s v="El Salvador|1992"/>
    <s v="Gapminder/Plotly country-year extract reshaped to long indicator format for education"/>
    <s v="OK"/>
    <s v="1990s"/>
    <s v="N/A"/>
    <s v="Economy"/>
  </r>
  <r>
    <s v="GM-01432"/>
    <s v="El Salvador"/>
    <x v="3"/>
    <x v="9"/>
    <x v="0"/>
    <s v="Life expectancy at birth"/>
    <s v="Health"/>
    <s v="SDG 3: Good Health and Well-being"/>
    <n v="69.534999999999997"/>
    <s v="Years"/>
    <s v="El Salvador|1997"/>
    <s v="Gapminder/Plotly country-year extract reshaped to long indicator format for education"/>
    <s v="OK"/>
    <s v="1990s"/>
    <s v="Medium"/>
    <s v="Health"/>
  </r>
  <r>
    <s v="GM-01433"/>
    <s v="El Salvador"/>
    <x v="3"/>
    <x v="9"/>
    <x v="1"/>
    <s v="Population, total"/>
    <s v="Demographics"/>
    <s v="SDG 11: Sustainable Cities and Communities"/>
    <n v="5783439"/>
    <s v="People"/>
    <s v="El Salvador|1997"/>
    <s v="Gapminder/Plotly country-year extract reshaped to long indicator format for education"/>
    <s v="OK"/>
    <s v="1990s"/>
    <s v="N/A"/>
    <s v="Demographics"/>
  </r>
  <r>
    <s v="GM-01434"/>
    <s v="El Salvador"/>
    <x v="3"/>
    <x v="9"/>
    <x v="2"/>
    <s v="GDP per capita"/>
    <s v="Economy"/>
    <s v="SDG 8: Decent Work and Economic Growth"/>
    <n v="5154.8254960000004"/>
    <s v="Source-defined international dollars"/>
    <s v="El Salvador|1997"/>
    <s v="Gapminder/Plotly country-year extract reshaped to long indicator format for education"/>
    <s v="OK"/>
    <s v="1990s"/>
    <s v="N/A"/>
    <s v="Economy"/>
  </r>
  <r>
    <s v="GM-01435"/>
    <s v="El Salvador"/>
    <x v="3"/>
    <x v="10"/>
    <x v="0"/>
    <s v="Life expectancy at birth"/>
    <s v="Health"/>
    <s v="SDG 3: Good Health and Well-being"/>
    <n v="70.733999999999995"/>
    <s v="Years"/>
    <s v="El Salvador|2002"/>
    <s v="Gapminder/Plotly country-year extract reshaped to long indicator format for education"/>
    <s v="OK"/>
    <s v="2000s"/>
    <s v="High"/>
    <s v="Health"/>
  </r>
  <r>
    <s v="GM-01436"/>
    <s v="El Salvador"/>
    <x v="3"/>
    <x v="10"/>
    <x v="1"/>
    <s v="Population, total"/>
    <s v="Demographics"/>
    <s v="SDG 11: Sustainable Cities and Communities"/>
    <n v="6353681"/>
    <s v="People"/>
    <s v="El Salvador|2002"/>
    <s v="Gapminder/Plotly country-year extract reshaped to long indicator format for education"/>
    <s v="OK"/>
    <s v="2000s"/>
    <s v="N/A"/>
    <s v="Demographics"/>
  </r>
  <r>
    <s v="GM-01437"/>
    <s v="El Salvador"/>
    <x v="3"/>
    <x v="10"/>
    <x v="2"/>
    <s v="GDP per capita"/>
    <s v="Economy"/>
    <s v="SDG 8: Decent Work and Economic Growth"/>
    <n v="5351.5686659999901"/>
    <s v="Source-defined international dollars"/>
    <s v="El Salvador|2002"/>
    <s v="Gapminder/Plotly country-year extract reshaped to long indicator format for education"/>
    <s v="OK"/>
    <s v="2000s"/>
    <s v="N/A"/>
    <s v="Economy"/>
  </r>
  <r>
    <s v="GM-01438"/>
    <s v="El Salvador"/>
    <x v="3"/>
    <x v="11"/>
    <x v="0"/>
    <s v="Life expectancy at birth"/>
    <s v="Health"/>
    <s v="SDG 3: Good Health and Well-being"/>
    <n v="71.878"/>
    <s v="Years"/>
    <s v="El Salvador|2007"/>
    <s v="Gapminder/Plotly country-year extract reshaped to long indicator format for education"/>
    <s v="OK"/>
    <s v="2000s"/>
    <s v="High"/>
    <s v="Health"/>
  </r>
  <r>
    <s v="GM-01439"/>
    <s v="El Salvador"/>
    <x v="3"/>
    <x v="11"/>
    <x v="1"/>
    <s v="Population, total"/>
    <s v="Demographics"/>
    <s v="SDG 11: Sustainable Cities and Communities"/>
    <n v="6939688"/>
    <s v="People"/>
    <s v="El Salvador|2007"/>
    <s v="Gapminder/Plotly country-year extract reshaped to long indicator format for education"/>
    <s v="OK"/>
    <s v="2000s"/>
    <s v="N/A"/>
    <s v="Demographics"/>
  </r>
  <r>
    <s v="GM-01440"/>
    <s v="El Salvador"/>
    <x v="3"/>
    <x v="11"/>
    <x v="2"/>
    <s v="GDP per capita"/>
    <s v="Economy"/>
    <s v="SDG 8: Decent Work and Economic Growth"/>
    <n v="5728.3535140000004"/>
    <s v="Source-defined international dollars"/>
    <s v="El Salvador|2007"/>
    <s v="Gapminder/Plotly country-year extract reshaped to long indicator format for education"/>
    <s v="OK"/>
    <s v="2000s"/>
    <s v="N/A"/>
    <s v="Economy"/>
  </r>
  <r>
    <s v="GM-01441"/>
    <s v="Equatorial Guinea"/>
    <x v="2"/>
    <x v="0"/>
    <x v="0"/>
    <s v="Life expectancy at birth"/>
    <s v="Health"/>
    <s v="SDG 3: Good Health and Well-being"/>
    <n v="34.481999999999999"/>
    <s v="Years"/>
    <s v="Equatorial Guinea|1952"/>
    <s v="Gapminder/Plotly country-year extract reshaped to long indicator format for education"/>
    <s v="OK"/>
    <s v="1950s"/>
    <s v="Low"/>
    <s v="Health"/>
  </r>
  <r>
    <s v="GM-01442"/>
    <s v="Equatorial Guinea"/>
    <x v="2"/>
    <x v="0"/>
    <x v="1"/>
    <s v="Population, total"/>
    <s v="Demographics"/>
    <s v="SDG 11: Sustainable Cities and Communities"/>
    <n v="216964"/>
    <s v="People"/>
    <s v="Equatorial Guinea|1952"/>
    <s v="Gapminder/Plotly country-year extract reshaped to long indicator format for education"/>
    <s v="OK"/>
    <s v="1950s"/>
    <s v="N/A"/>
    <s v="Demographics"/>
  </r>
  <r>
    <s v="GM-01443"/>
    <s v="Equatorial Guinea"/>
    <x v="2"/>
    <x v="0"/>
    <x v="2"/>
    <s v="GDP per capita"/>
    <s v="Economy"/>
    <s v="SDG 8: Decent Work and Economic Growth"/>
    <n v="375.64312310000003"/>
    <s v="Source-defined international dollars"/>
    <s v="Equatorial Guinea|1952"/>
    <s v="Gapminder/Plotly country-year extract reshaped to long indicator format for education"/>
    <s v="OK"/>
    <s v="1950s"/>
    <s v="N/A"/>
    <s v="Economy"/>
  </r>
  <r>
    <s v="GM-01444"/>
    <s v="Equatorial Guinea"/>
    <x v="2"/>
    <x v="1"/>
    <x v="0"/>
    <s v="Life expectancy at birth"/>
    <s v="Health"/>
    <s v="SDG 3: Good Health and Well-being"/>
    <n v="35.982999999999997"/>
    <s v="Years"/>
    <s v="Equatorial Guinea|1957"/>
    <s v="Gapminder/Plotly country-year extract reshaped to long indicator format for education"/>
    <s v="OK"/>
    <s v="1950s"/>
    <s v="Low"/>
    <s v="Health"/>
  </r>
  <r>
    <s v="GM-01445"/>
    <s v="Equatorial Guinea"/>
    <x v="2"/>
    <x v="1"/>
    <x v="1"/>
    <s v="Population, total"/>
    <s v="Demographics"/>
    <s v="SDG 11: Sustainable Cities and Communities"/>
    <n v="232922"/>
    <s v="People"/>
    <s v="Equatorial Guinea|1957"/>
    <s v="Gapminder/Plotly country-year extract reshaped to long indicator format for education"/>
    <s v="OK"/>
    <s v="1950s"/>
    <s v="N/A"/>
    <s v="Demographics"/>
  </r>
  <r>
    <s v="GM-01446"/>
    <s v="Equatorial Guinea"/>
    <x v="2"/>
    <x v="1"/>
    <x v="2"/>
    <s v="GDP per capita"/>
    <s v="Economy"/>
    <s v="SDG 8: Decent Work and Economic Growth"/>
    <n v="426.09640810000002"/>
    <s v="Source-defined international dollars"/>
    <s v="Equatorial Guinea|1957"/>
    <s v="Gapminder/Plotly country-year extract reshaped to long indicator format for education"/>
    <s v="OK"/>
    <s v="1950s"/>
    <s v="N/A"/>
    <s v="Economy"/>
  </r>
  <r>
    <s v="GM-01447"/>
    <s v="Equatorial Guinea"/>
    <x v="2"/>
    <x v="2"/>
    <x v="0"/>
    <s v="Life expectancy at birth"/>
    <s v="Health"/>
    <s v="SDG 3: Good Health and Well-being"/>
    <n v="37.484999999999999"/>
    <s v="Years"/>
    <s v="Equatorial Guinea|1962"/>
    <s v="Gapminder/Plotly country-year extract reshaped to long indicator format for education"/>
    <s v="OK"/>
    <s v="1960s"/>
    <s v="Low"/>
    <s v="Health"/>
  </r>
  <r>
    <s v="GM-01448"/>
    <s v="Equatorial Guinea"/>
    <x v="2"/>
    <x v="2"/>
    <x v="1"/>
    <s v="Population, total"/>
    <s v="Demographics"/>
    <s v="SDG 11: Sustainable Cities and Communities"/>
    <n v="249220"/>
    <s v="People"/>
    <s v="Equatorial Guinea|1962"/>
    <s v="Gapminder/Plotly country-year extract reshaped to long indicator format for education"/>
    <s v="OK"/>
    <s v="1960s"/>
    <s v="N/A"/>
    <s v="Demographics"/>
  </r>
  <r>
    <s v="GM-01449"/>
    <s v="Equatorial Guinea"/>
    <x v="2"/>
    <x v="2"/>
    <x v="2"/>
    <s v="GDP per capita"/>
    <s v="Economy"/>
    <s v="SDG 8: Decent Work and Economic Growth"/>
    <n v="582.84197139999901"/>
    <s v="Source-defined international dollars"/>
    <s v="Equatorial Guinea|1962"/>
    <s v="Gapminder/Plotly country-year extract reshaped to long indicator format for education"/>
    <s v="OK"/>
    <s v="1960s"/>
    <s v="N/A"/>
    <s v="Economy"/>
  </r>
  <r>
    <s v="GM-01450"/>
    <s v="Equatorial Guinea"/>
    <x v="2"/>
    <x v="3"/>
    <x v="0"/>
    <s v="Life expectancy at birth"/>
    <s v="Health"/>
    <s v="SDG 3: Good Health and Well-being"/>
    <n v="38.987000000000002"/>
    <s v="Years"/>
    <s v="Equatorial Guinea|1967"/>
    <s v="Gapminder/Plotly country-year extract reshaped to long indicator format for education"/>
    <s v="OK"/>
    <s v="1960s"/>
    <s v="Low"/>
    <s v="Health"/>
  </r>
  <r>
    <s v="GM-01451"/>
    <s v="Equatorial Guinea"/>
    <x v="2"/>
    <x v="3"/>
    <x v="1"/>
    <s v="Population, total"/>
    <s v="Demographics"/>
    <s v="SDG 11: Sustainable Cities and Communities"/>
    <n v="259864"/>
    <s v="People"/>
    <s v="Equatorial Guinea|1967"/>
    <s v="Gapminder/Plotly country-year extract reshaped to long indicator format for education"/>
    <s v="OK"/>
    <s v="1960s"/>
    <s v="N/A"/>
    <s v="Demographics"/>
  </r>
  <r>
    <s v="GM-01452"/>
    <s v="Equatorial Guinea"/>
    <x v="2"/>
    <x v="3"/>
    <x v="2"/>
    <s v="GDP per capita"/>
    <s v="Economy"/>
    <s v="SDG 8: Decent Work and Economic Growth"/>
    <n v="915.59600250000005"/>
    <s v="Source-defined international dollars"/>
    <s v="Equatorial Guinea|1967"/>
    <s v="Gapminder/Plotly country-year extract reshaped to long indicator format for education"/>
    <s v="OK"/>
    <s v="1960s"/>
    <s v="N/A"/>
    <s v="Economy"/>
  </r>
  <r>
    <s v="GM-01453"/>
    <s v="Equatorial Guinea"/>
    <x v="2"/>
    <x v="4"/>
    <x v="0"/>
    <s v="Life expectancy at birth"/>
    <s v="Health"/>
    <s v="SDG 3: Good Health and Well-being"/>
    <n v="40.515999999999998"/>
    <s v="Years"/>
    <s v="Equatorial Guinea|1972"/>
    <s v="Gapminder/Plotly country-year extract reshaped to long indicator format for education"/>
    <s v="OK"/>
    <s v="1970s"/>
    <s v="Low"/>
    <s v="Health"/>
  </r>
  <r>
    <s v="GM-01454"/>
    <s v="Equatorial Guinea"/>
    <x v="2"/>
    <x v="4"/>
    <x v="1"/>
    <s v="Population, total"/>
    <s v="Demographics"/>
    <s v="SDG 11: Sustainable Cities and Communities"/>
    <n v="277603"/>
    <s v="People"/>
    <s v="Equatorial Guinea|1972"/>
    <s v="Gapminder/Plotly country-year extract reshaped to long indicator format for education"/>
    <s v="OK"/>
    <s v="1970s"/>
    <s v="N/A"/>
    <s v="Demographics"/>
  </r>
  <r>
    <s v="GM-01455"/>
    <s v="Equatorial Guinea"/>
    <x v="2"/>
    <x v="4"/>
    <x v="2"/>
    <s v="GDP per capita"/>
    <s v="Economy"/>
    <s v="SDG 8: Decent Work and Economic Growth"/>
    <n v="672.41225710000003"/>
    <s v="Source-defined international dollars"/>
    <s v="Equatorial Guinea|1972"/>
    <s v="Gapminder/Plotly country-year extract reshaped to long indicator format for education"/>
    <s v="OK"/>
    <s v="1970s"/>
    <s v="N/A"/>
    <s v="Economy"/>
  </r>
  <r>
    <s v="GM-01456"/>
    <s v="Equatorial Guinea"/>
    <x v="2"/>
    <x v="5"/>
    <x v="0"/>
    <s v="Life expectancy at birth"/>
    <s v="Health"/>
    <s v="SDG 3: Good Health and Well-being"/>
    <n v="42.024000000000001"/>
    <s v="Years"/>
    <s v="Equatorial Guinea|1977"/>
    <s v="Gapminder/Plotly country-year extract reshaped to long indicator format for education"/>
    <s v="OK"/>
    <s v="1970s"/>
    <s v="Low"/>
    <s v="Health"/>
  </r>
  <r>
    <s v="GM-01457"/>
    <s v="Equatorial Guinea"/>
    <x v="2"/>
    <x v="5"/>
    <x v="1"/>
    <s v="Population, total"/>
    <s v="Demographics"/>
    <s v="SDG 11: Sustainable Cities and Communities"/>
    <n v="192675"/>
    <s v="People"/>
    <s v="Equatorial Guinea|1977"/>
    <s v="Gapminder/Plotly country-year extract reshaped to long indicator format for education"/>
    <s v="OK"/>
    <s v="1970s"/>
    <s v="N/A"/>
    <s v="Demographics"/>
  </r>
  <r>
    <s v="GM-01458"/>
    <s v="Equatorial Guinea"/>
    <x v="2"/>
    <x v="5"/>
    <x v="2"/>
    <s v="GDP per capita"/>
    <s v="Economy"/>
    <s v="SDG 8: Decent Work and Economic Growth"/>
    <n v="958.5668124"/>
    <s v="Source-defined international dollars"/>
    <s v="Equatorial Guinea|1977"/>
    <s v="Gapminder/Plotly country-year extract reshaped to long indicator format for education"/>
    <s v="OK"/>
    <s v="1970s"/>
    <s v="N/A"/>
    <s v="Economy"/>
  </r>
  <r>
    <s v="GM-01459"/>
    <s v="Equatorial Guinea"/>
    <x v="2"/>
    <x v="6"/>
    <x v="0"/>
    <s v="Life expectancy at birth"/>
    <s v="Health"/>
    <s v="SDG 3: Good Health and Well-being"/>
    <n v="43.661999999999999"/>
    <s v="Years"/>
    <s v="Equatorial Guinea|1982"/>
    <s v="Gapminder/Plotly country-year extract reshaped to long indicator format for education"/>
    <s v="OK"/>
    <s v="1980s"/>
    <s v="Low"/>
    <s v="Health"/>
  </r>
  <r>
    <s v="GM-01460"/>
    <s v="Equatorial Guinea"/>
    <x v="2"/>
    <x v="6"/>
    <x v="1"/>
    <s v="Population, total"/>
    <s v="Demographics"/>
    <s v="SDG 11: Sustainable Cities and Communities"/>
    <n v="285483"/>
    <s v="People"/>
    <s v="Equatorial Guinea|1982"/>
    <s v="Gapminder/Plotly country-year extract reshaped to long indicator format for education"/>
    <s v="OK"/>
    <s v="1980s"/>
    <s v="N/A"/>
    <s v="Demographics"/>
  </r>
  <r>
    <s v="GM-01461"/>
    <s v="Equatorial Guinea"/>
    <x v="2"/>
    <x v="6"/>
    <x v="2"/>
    <s v="GDP per capita"/>
    <s v="Economy"/>
    <s v="SDG 8: Decent Work and Economic Growth"/>
    <n v="927.82534269999996"/>
    <s v="Source-defined international dollars"/>
    <s v="Equatorial Guinea|1982"/>
    <s v="Gapminder/Plotly country-year extract reshaped to long indicator format for education"/>
    <s v="OK"/>
    <s v="1980s"/>
    <s v="N/A"/>
    <s v="Economy"/>
  </r>
  <r>
    <s v="GM-01462"/>
    <s v="Equatorial Guinea"/>
    <x v="2"/>
    <x v="7"/>
    <x v="0"/>
    <s v="Life expectancy at birth"/>
    <s v="Health"/>
    <s v="SDG 3: Good Health and Well-being"/>
    <n v="45.664000000000001"/>
    <s v="Years"/>
    <s v="Equatorial Guinea|1987"/>
    <s v="Gapminder/Plotly country-year extract reshaped to long indicator format for education"/>
    <s v="OK"/>
    <s v="1980s"/>
    <s v="Low"/>
    <s v="Health"/>
  </r>
  <r>
    <s v="GM-01463"/>
    <s v="Equatorial Guinea"/>
    <x v="2"/>
    <x v="7"/>
    <x v="1"/>
    <s v="Population, total"/>
    <s v="Demographics"/>
    <s v="SDG 11: Sustainable Cities and Communities"/>
    <n v="341244"/>
    <s v="People"/>
    <s v="Equatorial Guinea|1987"/>
    <s v="Gapminder/Plotly country-year extract reshaped to long indicator format for education"/>
    <s v="OK"/>
    <s v="1980s"/>
    <s v="N/A"/>
    <s v="Demographics"/>
  </r>
  <r>
    <s v="GM-01464"/>
    <s v="Equatorial Guinea"/>
    <x v="2"/>
    <x v="7"/>
    <x v="2"/>
    <s v="GDP per capita"/>
    <s v="Economy"/>
    <s v="SDG 8: Decent Work and Economic Growth"/>
    <n v="966.89681489999998"/>
    <s v="Source-defined international dollars"/>
    <s v="Equatorial Guinea|1987"/>
    <s v="Gapminder/Plotly country-year extract reshaped to long indicator format for education"/>
    <s v="OK"/>
    <s v="1980s"/>
    <s v="N/A"/>
    <s v="Economy"/>
  </r>
  <r>
    <s v="GM-01465"/>
    <s v="Equatorial Guinea"/>
    <x v="2"/>
    <x v="8"/>
    <x v="0"/>
    <s v="Life expectancy at birth"/>
    <s v="Health"/>
    <s v="SDG 3: Good Health and Well-being"/>
    <n v="47.545000000000002"/>
    <s v="Years"/>
    <s v="Equatorial Guinea|1992"/>
    <s v="Gapminder/Plotly country-year extract reshaped to long indicator format for education"/>
    <s v="OK"/>
    <s v="1990s"/>
    <s v="Low"/>
    <s v="Health"/>
  </r>
  <r>
    <s v="GM-01466"/>
    <s v="Equatorial Guinea"/>
    <x v="2"/>
    <x v="8"/>
    <x v="1"/>
    <s v="Population, total"/>
    <s v="Demographics"/>
    <s v="SDG 11: Sustainable Cities and Communities"/>
    <n v="387838"/>
    <s v="People"/>
    <s v="Equatorial Guinea|1992"/>
    <s v="Gapminder/Plotly country-year extract reshaped to long indicator format for education"/>
    <s v="OK"/>
    <s v="1990s"/>
    <s v="N/A"/>
    <s v="Demographics"/>
  </r>
  <r>
    <s v="GM-01467"/>
    <s v="Equatorial Guinea"/>
    <x v="2"/>
    <x v="8"/>
    <x v="2"/>
    <s v="GDP per capita"/>
    <s v="Economy"/>
    <s v="SDG 8: Decent Work and Economic Growth"/>
    <n v="1132.055034"/>
    <s v="Source-defined international dollars"/>
    <s v="Equatorial Guinea|1992"/>
    <s v="Gapminder/Plotly country-year extract reshaped to long indicator format for education"/>
    <s v="OK"/>
    <s v="1990s"/>
    <s v="N/A"/>
    <s v="Economy"/>
  </r>
  <r>
    <s v="GM-01468"/>
    <s v="Equatorial Guinea"/>
    <x v="2"/>
    <x v="9"/>
    <x v="0"/>
    <s v="Life expectancy at birth"/>
    <s v="Health"/>
    <s v="SDG 3: Good Health and Well-being"/>
    <n v="48.244999999999997"/>
    <s v="Years"/>
    <s v="Equatorial Guinea|1997"/>
    <s v="Gapminder/Plotly country-year extract reshaped to long indicator format for education"/>
    <s v="OK"/>
    <s v="1990s"/>
    <s v="Low"/>
    <s v="Health"/>
  </r>
  <r>
    <s v="GM-01469"/>
    <s v="Equatorial Guinea"/>
    <x v="2"/>
    <x v="9"/>
    <x v="1"/>
    <s v="Population, total"/>
    <s v="Demographics"/>
    <s v="SDG 11: Sustainable Cities and Communities"/>
    <n v="439971"/>
    <s v="People"/>
    <s v="Equatorial Guinea|1997"/>
    <s v="Gapminder/Plotly country-year extract reshaped to long indicator format for education"/>
    <s v="OK"/>
    <s v="1990s"/>
    <s v="N/A"/>
    <s v="Demographics"/>
  </r>
  <r>
    <s v="GM-01470"/>
    <s v="Equatorial Guinea"/>
    <x v="2"/>
    <x v="9"/>
    <x v="2"/>
    <s v="GDP per capita"/>
    <s v="Economy"/>
    <s v="SDG 8: Decent Work and Economic Growth"/>
    <n v="2814.480755"/>
    <s v="Source-defined international dollars"/>
    <s v="Equatorial Guinea|1997"/>
    <s v="Gapminder/Plotly country-year extract reshaped to long indicator format for education"/>
    <s v="OK"/>
    <s v="1990s"/>
    <s v="N/A"/>
    <s v="Economy"/>
  </r>
  <r>
    <s v="GM-01471"/>
    <s v="Equatorial Guinea"/>
    <x v="2"/>
    <x v="10"/>
    <x v="0"/>
    <s v="Life expectancy at birth"/>
    <s v="Health"/>
    <s v="SDG 3: Good Health and Well-being"/>
    <n v="49.347999999999999"/>
    <s v="Years"/>
    <s v="Equatorial Guinea|2002"/>
    <s v="Gapminder/Plotly country-year extract reshaped to long indicator format for education"/>
    <s v="OK"/>
    <s v="2000s"/>
    <s v="Low"/>
    <s v="Health"/>
  </r>
  <r>
    <s v="GM-01472"/>
    <s v="Equatorial Guinea"/>
    <x v="2"/>
    <x v="10"/>
    <x v="1"/>
    <s v="Population, total"/>
    <s v="Demographics"/>
    <s v="SDG 11: Sustainable Cities and Communities"/>
    <n v="495627"/>
    <s v="People"/>
    <s v="Equatorial Guinea|2002"/>
    <s v="Gapminder/Plotly country-year extract reshaped to long indicator format for education"/>
    <s v="OK"/>
    <s v="2000s"/>
    <s v="N/A"/>
    <s v="Demographics"/>
  </r>
  <r>
    <s v="GM-01473"/>
    <s v="Equatorial Guinea"/>
    <x v="2"/>
    <x v="10"/>
    <x v="2"/>
    <s v="GDP per capita"/>
    <s v="Economy"/>
    <s v="SDG 8: Decent Work and Economic Growth"/>
    <n v="7703.4958999999999"/>
    <s v="Source-defined international dollars"/>
    <s v="Equatorial Guinea|2002"/>
    <s v="Gapminder/Plotly country-year extract reshaped to long indicator format for education"/>
    <s v="OK"/>
    <s v="2000s"/>
    <s v="N/A"/>
    <s v="Economy"/>
  </r>
  <r>
    <s v="GM-01474"/>
    <s v="Equatorial Guinea"/>
    <x v="2"/>
    <x v="11"/>
    <x v="0"/>
    <s v="Life expectancy at birth"/>
    <s v="Health"/>
    <s v="SDG 3: Good Health and Well-being"/>
    <n v="51.578999999999901"/>
    <s v="Years"/>
    <s v="Equatorial Guinea|2007"/>
    <s v="Gapminder/Plotly country-year extract reshaped to long indicator format for education"/>
    <s v="OK"/>
    <s v="2000s"/>
    <s v="Low"/>
    <s v="Health"/>
  </r>
  <r>
    <s v="GM-01475"/>
    <s v="Equatorial Guinea"/>
    <x v="2"/>
    <x v="11"/>
    <x v="1"/>
    <s v="Population, total"/>
    <s v="Demographics"/>
    <s v="SDG 11: Sustainable Cities and Communities"/>
    <n v="551201"/>
    <s v="People"/>
    <s v="Equatorial Guinea|2007"/>
    <s v="Gapminder/Plotly country-year extract reshaped to long indicator format for education"/>
    <s v="OK"/>
    <s v="2000s"/>
    <s v="N/A"/>
    <s v="Demographics"/>
  </r>
  <r>
    <s v="GM-01476"/>
    <s v="Equatorial Guinea"/>
    <x v="2"/>
    <x v="11"/>
    <x v="2"/>
    <s v="GDP per capita"/>
    <s v="Economy"/>
    <s v="SDG 8: Decent Work and Economic Growth"/>
    <n v="12154.089749999999"/>
    <s v="Source-defined international dollars"/>
    <s v="Equatorial Guinea|2007"/>
    <s v="Gapminder/Plotly country-year extract reshaped to long indicator format for education"/>
    <s v="OK"/>
    <s v="2000s"/>
    <s v="N/A"/>
    <s v="Economy"/>
  </r>
  <r>
    <s v="GM-01477"/>
    <s v="Eritrea"/>
    <x v="2"/>
    <x v="0"/>
    <x v="0"/>
    <s v="Life expectancy at birth"/>
    <s v="Health"/>
    <s v="SDG 3: Good Health and Well-being"/>
    <n v="35.927999999999997"/>
    <s v="Years"/>
    <s v="Eritrea|1952"/>
    <s v="Gapminder/Plotly country-year extract reshaped to long indicator format for education"/>
    <s v="OK"/>
    <s v="1950s"/>
    <s v="Low"/>
    <s v="Health"/>
  </r>
  <r>
    <s v="GM-01478"/>
    <s v="Eritrea"/>
    <x v="2"/>
    <x v="0"/>
    <x v="1"/>
    <s v="Population, total"/>
    <s v="Demographics"/>
    <s v="SDG 11: Sustainable Cities and Communities"/>
    <n v="1438760"/>
    <s v="People"/>
    <s v="Eritrea|1952"/>
    <s v="Gapminder/Plotly country-year extract reshaped to long indicator format for education"/>
    <s v="OK"/>
    <s v="1950s"/>
    <s v="N/A"/>
    <s v="Demographics"/>
  </r>
  <r>
    <s v="GM-01479"/>
    <s v="Eritrea"/>
    <x v="2"/>
    <x v="0"/>
    <x v="2"/>
    <s v="GDP per capita"/>
    <s v="Economy"/>
    <s v="SDG 8: Decent Work and Economic Growth"/>
    <n v="328.94055709999998"/>
    <s v="Source-defined international dollars"/>
    <s v="Eritrea|1952"/>
    <s v="Gapminder/Plotly country-year extract reshaped to long indicator format for education"/>
    <s v="OK"/>
    <s v="1950s"/>
    <s v="N/A"/>
    <s v="Economy"/>
  </r>
  <r>
    <s v="GM-01480"/>
    <s v="Eritrea"/>
    <x v="2"/>
    <x v="1"/>
    <x v="0"/>
    <s v="Life expectancy at birth"/>
    <s v="Health"/>
    <s v="SDG 3: Good Health and Well-being"/>
    <n v="38.046999999999997"/>
    <s v="Years"/>
    <s v="Eritrea|1957"/>
    <s v="Gapminder/Plotly country-year extract reshaped to long indicator format for education"/>
    <s v="OK"/>
    <s v="1950s"/>
    <s v="Low"/>
    <s v="Health"/>
  </r>
  <r>
    <s v="GM-01481"/>
    <s v="Eritrea"/>
    <x v="2"/>
    <x v="1"/>
    <x v="1"/>
    <s v="Population, total"/>
    <s v="Demographics"/>
    <s v="SDG 11: Sustainable Cities and Communities"/>
    <n v="1542611"/>
    <s v="People"/>
    <s v="Eritrea|1957"/>
    <s v="Gapminder/Plotly country-year extract reshaped to long indicator format for education"/>
    <s v="OK"/>
    <s v="1950s"/>
    <s v="N/A"/>
    <s v="Demographics"/>
  </r>
  <r>
    <s v="GM-01482"/>
    <s v="Eritrea"/>
    <x v="2"/>
    <x v="1"/>
    <x v="2"/>
    <s v="GDP per capita"/>
    <s v="Economy"/>
    <s v="SDG 8: Decent Work and Economic Growth"/>
    <n v="344.16188590000002"/>
    <s v="Source-defined international dollars"/>
    <s v="Eritrea|1957"/>
    <s v="Gapminder/Plotly country-year extract reshaped to long indicator format for education"/>
    <s v="OK"/>
    <s v="1950s"/>
    <s v="N/A"/>
    <s v="Economy"/>
  </r>
  <r>
    <s v="GM-01483"/>
    <s v="Eritrea"/>
    <x v="2"/>
    <x v="2"/>
    <x v="0"/>
    <s v="Life expectancy at birth"/>
    <s v="Health"/>
    <s v="SDG 3: Good Health and Well-being"/>
    <n v="40.158000000000001"/>
    <s v="Years"/>
    <s v="Eritrea|1962"/>
    <s v="Gapminder/Plotly country-year extract reshaped to long indicator format for education"/>
    <s v="OK"/>
    <s v="1960s"/>
    <s v="Low"/>
    <s v="Health"/>
  </r>
  <r>
    <s v="GM-01484"/>
    <s v="Eritrea"/>
    <x v="2"/>
    <x v="2"/>
    <x v="1"/>
    <s v="Population, total"/>
    <s v="Demographics"/>
    <s v="SDG 11: Sustainable Cities and Communities"/>
    <n v="1666618"/>
    <s v="People"/>
    <s v="Eritrea|1962"/>
    <s v="Gapminder/Plotly country-year extract reshaped to long indicator format for education"/>
    <s v="OK"/>
    <s v="1960s"/>
    <s v="N/A"/>
    <s v="Demographics"/>
  </r>
  <r>
    <s v="GM-01485"/>
    <s v="Eritrea"/>
    <x v="2"/>
    <x v="2"/>
    <x v="2"/>
    <s v="GDP per capita"/>
    <s v="Economy"/>
    <s v="SDG 8: Decent Work and Economic Growth"/>
    <n v="380.99584329999999"/>
    <s v="Source-defined international dollars"/>
    <s v="Eritrea|1962"/>
    <s v="Gapminder/Plotly country-year extract reshaped to long indicator format for education"/>
    <s v="OK"/>
    <s v="1960s"/>
    <s v="N/A"/>
    <s v="Economy"/>
  </r>
  <r>
    <s v="GM-01486"/>
    <s v="Eritrea"/>
    <x v="2"/>
    <x v="3"/>
    <x v="0"/>
    <s v="Life expectancy at birth"/>
    <s v="Health"/>
    <s v="SDG 3: Good Health and Well-being"/>
    <n v="42.188999999999901"/>
    <s v="Years"/>
    <s v="Eritrea|1967"/>
    <s v="Gapminder/Plotly country-year extract reshaped to long indicator format for education"/>
    <s v="OK"/>
    <s v="1960s"/>
    <s v="Low"/>
    <s v="Health"/>
  </r>
  <r>
    <s v="GM-01487"/>
    <s v="Eritrea"/>
    <x v="2"/>
    <x v="3"/>
    <x v="1"/>
    <s v="Population, total"/>
    <s v="Demographics"/>
    <s v="SDG 11: Sustainable Cities and Communities"/>
    <n v="1820319"/>
    <s v="People"/>
    <s v="Eritrea|1967"/>
    <s v="Gapminder/Plotly country-year extract reshaped to long indicator format for education"/>
    <s v="OK"/>
    <s v="1960s"/>
    <s v="N/A"/>
    <s v="Demographics"/>
  </r>
  <r>
    <s v="GM-01488"/>
    <s v="Eritrea"/>
    <x v="2"/>
    <x v="3"/>
    <x v="2"/>
    <s v="GDP per capita"/>
    <s v="Economy"/>
    <s v="SDG 8: Decent Work and Economic Growth"/>
    <n v="468.79496990000001"/>
    <s v="Source-defined international dollars"/>
    <s v="Eritrea|1967"/>
    <s v="Gapminder/Plotly country-year extract reshaped to long indicator format for education"/>
    <s v="OK"/>
    <s v="1960s"/>
    <s v="N/A"/>
    <s v="Economy"/>
  </r>
  <r>
    <s v="GM-01489"/>
    <s v="Eritrea"/>
    <x v="2"/>
    <x v="4"/>
    <x v="0"/>
    <s v="Life expectancy at birth"/>
    <s v="Health"/>
    <s v="SDG 3: Good Health and Well-being"/>
    <n v="44.142000000000003"/>
    <s v="Years"/>
    <s v="Eritrea|1972"/>
    <s v="Gapminder/Plotly country-year extract reshaped to long indicator format for education"/>
    <s v="OK"/>
    <s v="1970s"/>
    <s v="Low"/>
    <s v="Health"/>
  </r>
  <r>
    <s v="GM-01490"/>
    <s v="Eritrea"/>
    <x v="2"/>
    <x v="4"/>
    <x v="1"/>
    <s v="Population, total"/>
    <s v="Demographics"/>
    <s v="SDG 11: Sustainable Cities and Communities"/>
    <n v="2260187"/>
    <s v="People"/>
    <s v="Eritrea|1972"/>
    <s v="Gapminder/Plotly country-year extract reshaped to long indicator format for education"/>
    <s v="OK"/>
    <s v="1970s"/>
    <s v="N/A"/>
    <s v="Demographics"/>
  </r>
  <r>
    <s v="GM-01491"/>
    <s v="Eritrea"/>
    <x v="2"/>
    <x v="4"/>
    <x v="2"/>
    <s v="GDP per capita"/>
    <s v="Economy"/>
    <s v="SDG 8: Decent Work and Economic Growth"/>
    <n v="514.32420819999902"/>
    <s v="Source-defined international dollars"/>
    <s v="Eritrea|1972"/>
    <s v="Gapminder/Plotly country-year extract reshaped to long indicator format for education"/>
    <s v="OK"/>
    <s v="1970s"/>
    <s v="N/A"/>
    <s v="Economy"/>
  </r>
  <r>
    <s v="GM-01492"/>
    <s v="Eritrea"/>
    <x v="2"/>
    <x v="5"/>
    <x v="0"/>
    <s v="Life expectancy at birth"/>
    <s v="Health"/>
    <s v="SDG 3: Good Health and Well-being"/>
    <n v="44.534999999999997"/>
    <s v="Years"/>
    <s v="Eritrea|1977"/>
    <s v="Gapminder/Plotly country-year extract reshaped to long indicator format for education"/>
    <s v="OK"/>
    <s v="1970s"/>
    <s v="Low"/>
    <s v="Health"/>
  </r>
  <r>
    <s v="GM-01493"/>
    <s v="Eritrea"/>
    <x v="2"/>
    <x v="5"/>
    <x v="1"/>
    <s v="Population, total"/>
    <s v="Demographics"/>
    <s v="SDG 11: Sustainable Cities and Communities"/>
    <n v="2512642"/>
    <s v="People"/>
    <s v="Eritrea|1977"/>
    <s v="Gapminder/Plotly country-year extract reshaped to long indicator format for education"/>
    <s v="OK"/>
    <s v="1970s"/>
    <s v="N/A"/>
    <s v="Demographics"/>
  </r>
  <r>
    <s v="GM-01494"/>
    <s v="Eritrea"/>
    <x v="2"/>
    <x v="5"/>
    <x v="2"/>
    <s v="GDP per capita"/>
    <s v="Economy"/>
    <s v="SDG 8: Decent Work and Economic Growth"/>
    <n v="505.75380769999998"/>
    <s v="Source-defined international dollars"/>
    <s v="Eritrea|1977"/>
    <s v="Gapminder/Plotly country-year extract reshaped to long indicator format for education"/>
    <s v="OK"/>
    <s v="1970s"/>
    <s v="N/A"/>
    <s v="Economy"/>
  </r>
  <r>
    <s v="GM-01495"/>
    <s v="Eritrea"/>
    <x v="2"/>
    <x v="6"/>
    <x v="0"/>
    <s v="Life expectancy at birth"/>
    <s v="Health"/>
    <s v="SDG 3: Good Health and Well-being"/>
    <n v="43.89"/>
    <s v="Years"/>
    <s v="Eritrea|1982"/>
    <s v="Gapminder/Plotly country-year extract reshaped to long indicator format for education"/>
    <s v="OK"/>
    <s v="1980s"/>
    <s v="Low"/>
    <s v="Health"/>
  </r>
  <r>
    <s v="GM-01496"/>
    <s v="Eritrea"/>
    <x v="2"/>
    <x v="6"/>
    <x v="1"/>
    <s v="Population, total"/>
    <s v="Demographics"/>
    <s v="SDG 11: Sustainable Cities and Communities"/>
    <n v="2637297"/>
    <s v="People"/>
    <s v="Eritrea|1982"/>
    <s v="Gapminder/Plotly country-year extract reshaped to long indicator format for education"/>
    <s v="OK"/>
    <s v="1980s"/>
    <s v="N/A"/>
    <s v="Demographics"/>
  </r>
  <r>
    <s v="GM-01497"/>
    <s v="Eritrea"/>
    <x v="2"/>
    <x v="6"/>
    <x v="2"/>
    <s v="GDP per capita"/>
    <s v="Economy"/>
    <s v="SDG 8: Decent Work and Economic Growth"/>
    <n v="524.87584930000003"/>
    <s v="Source-defined international dollars"/>
    <s v="Eritrea|1982"/>
    <s v="Gapminder/Plotly country-year extract reshaped to long indicator format for education"/>
    <s v="OK"/>
    <s v="1980s"/>
    <s v="N/A"/>
    <s v="Economy"/>
  </r>
  <r>
    <s v="GM-01498"/>
    <s v="Eritrea"/>
    <x v="2"/>
    <x v="7"/>
    <x v="0"/>
    <s v="Life expectancy at birth"/>
    <s v="Health"/>
    <s v="SDG 3: Good Health and Well-being"/>
    <n v="46.453000000000003"/>
    <s v="Years"/>
    <s v="Eritrea|1987"/>
    <s v="Gapminder/Plotly country-year extract reshaped to long indicator format for education"/>
    <s v="OK"/>
    <s v="1980s"/>
    <s v="Low"/>
    <s v="Health"/>
  </r>
  <r>
    <s v="GM-01499"/>
    <s v="Eritrea"/>
    <x v="2"/>
    <x v="7"/>
    <x v="1"/>
    <s v="Population, total"/>
    <s v="Demographics"/>
    <s v="SDG 11: Sustainable Cities and Communities"/>
    <n v="2915959"/>
    <s v="People"/>
    <s v="Eritrea|1987"/>
    <s v="Gapminder/Plotly country-year extract reshaped to long indicator format for education"/>
    <s v="OK"/>
    <s v="1980s"/>
    <s v="N/A"/>
    <s v="Demographics"/>
  </r>
  <r>
    <s v="GM-01500"/>
    <s v="Eritrea"/>
    <x v="2"/>
    <x v="7"/>
    <x v="2"/>
    <s v="GDP per capita"/>
    <s v="Economy"/>
    <s v="SDG 8: Decent Work and Economic Growth"/>
    <n v="521.13413330000003"/>
    <s v="Source-defined international dollars"/>
    <s v="Eritrea|1987"/>
    <s v="Gapminder/Plotly country-year extract reshaped to long indicator format for education"/>
    <s v="OK"/>
    <s v="1980s"/>
    <s v="N/A"/>
    <s v="Economy"/>
  </r>
  <r>
    <s v="GM-01501"/>
    <s v="Eritrea"/>
    <x v="2"/>
    <x v="8"/>
    <x v="0"/>
    <s v="Life expectancy at birth"/>
    <s v="Health"/>
    <s v="SDG 3: Good Health and Well-being"/>
    <n v="49.991"/>
    <s v="Years"/>
    <s v="Eritrea|1992"/>
    <s v="Gapminder/Plotly country-year extract reshaped to long indicator format for education"/>
    <s v="OK"/>
    <s v="1990s"/>
    <s v="Low"/>
    <s v="Health"/>
  </r>
  <r>
    <s v="GM-01502"/>
    <s v="Eritrea"/>
    <x v="2"/>
    <x v="8"/>
    <x v="1"/>
    <s v="Population, total"/>
    <s v="Demographics"/>
    <s v="SDG 11: Sustainable Cities and Communities"/>
    <n v="3668440"/>
    <s v="People"/>
    <s v="Eritrea|1992"/>
    <s v="Gapminder/Plotly country-year extract reshaped to long indicator format for education"/>
    <s v="OK"/>
    <s v="1990s"/>
    <s v="N/A"/>
    <s v="Demographics"/>
  </r>
  <r>
    <s v="GM-01503"/>
    <s v="Eritrea"/>
    <x v="2"/>
    <x v="8"/>
    <x v="2"/>
    <s v="GDP per capita"/>
    <s v="Economy"/>
    <s v="SDG 8: Decent Work and Economic Growth"/>
    <n v="582.85851019999996"/>
    <s v="Source-defined international dollars"/>
    <s v="Eritrea|1992"/>
    <s v="Gapminder/Plotly country-year extract reshaped to long indicator format for education"/>
    <s v="OK"/>
    <s v="1990s"/>
    <s v="N/A"/>
    <s v="Economy"/>
  </r>
  <r>
    <s v="GM-01504"/>
    <s v="Eritrea"/>
    <x v="2"/>
    <x v="9"/>
    <x v="0"/>
    <s v="Life expectancy at birth"/>
    <s v="Health"/>
    <s v="SDG 3: Good Health and Well-being"/>
    <n v="53.378"/>
    <s v="Years"/>
    <s v="Eritrea|1997"/>
    <s v="Gapminder/Plotly country-year extract reshaped to long indicator format for education"/>
    <s v="OK"/>
    <s v="1990s"/>
    <s v="Low"/>
    <s v="Health"/>
  </r>
  <r>
    <s v="GM-01505"/>
    <s v="Eritrea"/>
    <x v="2"/>
    <x v="9"/>
    <x v="1"/>
    <s v="Population, total"/>
    <s v="Demographics"/>
    <s v="SDG 11: Sustainable Cities and Communities"/>
    <n v="4058319"/>
    <s v="People"/>
    <s v="Eritrea|1997"/>
    <s v="Gapminder/Plotly country-year extract reshaped to long indicator format for education"/>
    <s v="OK"/>
    <s v="1990s"/>
    <s v="N/A"/>
    <s v="Demographics"/>
  </r>
  <r>
    <s v="GM-01506"/>
    <s v="Eritrea"/>
    <x v="2"/>
    <x v="9"/>
    <x v="2"/>
    <s v="GDP per capita"/>
    <s v="Economy"/>
    <s v="SDG 8: Decent Work and Economic Growth"/>
    <n v="913.47078999999997"/>
    <s v="Source-defined international dollars"/>
    <s v="Eritrea|1997"/>
    <s v="Gapminder/Plotly country-year extract reshaped to long indicator format for education"/>
    <s v="OK"/>
    <s v="1990s"/>
    <s v="N/A"/>
    <s v="Economy"/>
  </r>
  <r>
    <s v="GM-01507"/>
    <s v="Eritrea"/>
    <x v="2"/>
    <x v="10"/>
    <x v="0"/>
    <s v="Life expectancy at birth"/>
    <s v="Health"/>
    <s v="SDG 3: Good Health and Well-being"/>
    <n v="55.24"/>
    <s v="Years"/>
    <s v="Eritrea|2002"/>
    <s v="Gapminder/Plotly country-year extract reshaped to long indicator format for education"/>
    <s v="OK"/>
    <s v="2000s"/>
    <s v="Medium"/>
    <s v="Health"/>
  </r>
  <r>
    <s v="GM-01508"/>
    <s v="Eritrea"/>
    <x v="2"/>
    <x v="10"/>
    <x v="1"/>
    <s v="Population, total"/>
    <s v="Demographics"/>
    <s v="SDG 11: Sustainable Cities and Communities"/>
    <n v="4414865"/>
    <s v="People"/>
    <s v="Eritrea|2002"/>
    <s v="Gapminder/Plotly country-year extract reshaped to long indicator format for education"/>
    <s v="OK"/>
    <s v="2000s"/>
    <s v="N/A"/>
    <s v="Demographics"/>
  </r>
  <r>
    <s v="GM-01509"/>
    <s v="Eritrea"/>
    <x v="2"/>
    <x v="10"/>
    <x v="2"/>
    <s v="GDP per capita"/>
    <s v="Economy"/>
    <s v="SDG 8: Decent Work and Economic Growth"/>
    <n v="765.35000149999996"/>
    <s v="Source-defined international dollars"/>
    <s v="Eritrea|2002"/>
    <s v="Gapminder/Plotly country-year extract reshaped to long indicator format for education"/>
    <s v="OK"/>
    <s v="2000s"/>
    <s v="N/A"/>
    <s v="Economy"/>
  </r>
  <r>
    <s v="GM-01510"/>
    <s v="Eritrea"/>
    <x v="2"/>
    <x v="11"/>
    <x v="0"/>
    <s v="Life expectancy at birth"/>
    <s v="Health"/>
    <s v="SDG 3: Good Health and Well-being"/>
    <n v="58.04"/>
    <s v="Years"/>
    <s v="Eritrea|2007"/>
    <s v="Gapminder/Plotly country-year extract reshaped to long indicator format for education"/>
    <s v="OK"/>
    <s v="2000s"/>
    <s v="Medium"/>
    <s v="Health"/>
  </r>
  <r>
    <s v="GM-01511"/>
    <s v="Eritrea"/>
    <x v="2"/>
    <x v="11"/>
    <x v="1"/>
    <s v="Population, total"/>
    <s v="Demographics"/>
    <s v="SDG 11: Sustainable Cities and Communities"/>
    <n v="4906585"/>
    <s v="People"/>
    <s v="Eritrea|2007"/>
    <s v="Gapminder/Plotly country-year extract reshaped to long indicator format for education"/>
    <s v="OK"/>
    <s v="2000s"/>
    <s v="N/A"/>
    <s v="Demographics"/>
  </r>
  <r>
    <s v="GM-01512"/>
    <s v="Eritrea"/>
    <x v="2"/>
    <x v="11"/>
    <x v="2"/>
    <s v="GDP per capita"/>
    <s v="Economy"/>
    <s v="SDG 8: Decent Work and Economic Growth"/>
    <n v="641.36952359999998"/>
    <s v="Source-defined international dollars"/>
    <s v="Eritrea|2007"/>
    <s v="Gapminder/Plotly country-year extract reshaped to long indicator format for education"/>
    <s v="OK"/>
    <s v="2000s"/>
    <s v="N/A"/>
    <s v="Economy"/>
  </r>
  <r>
    <s v="GM-01513"/>
    <s v="Ethiopia"/>
    <x v="2"/>
    <x v="0"/>
    <x v="0"/>
    <s v="Life expectancy at birth"/>
    <s v="Health"/>
    <s v="SDG 3: Good Health and Well-being"/>
    <n v="34.078000000000003"/>
    <s v="Years"/>
    <s v="Ethiopia|1952"/>
    <s v="Gapminder/Plotly country-year extract reshaped to long indicator format for education"/>
    <s v="OK"/>
    <s v="1950s"/>
    <s v="Low"/>
    <s v="Health"/>
  </r>
  <r>
    <s v="GM-01514"/>
    <s v="Ethiopia"/>
    <x v="2"/>
    <x v="0"/>
    <x v="1"/>
    <s v="Population, total"/>
    <s v="Demographics"/>
    <s v="SDG 11: Sustainable Cities and Communities"/>
    <n v="20860941"/>
    <s v="People"/>
    <s v="Ethiopia|1952"/>
    <s v="Gapminder/Plotly country-year extract reshaped to long indicator format for education"/>
    <s v="OK"/>
    <s v="1950s"/>
    <s v="N/A"/>
    <s v="Demographics"/>
  </r>
  <r>
    <s v="GM-01515"/>
    <s v="Ethiopia"/>
    <x v="2"/>
    <x v="0"/>
    <x v="2"/>
    <s v="GDP per capita"/>
    <s v="Economy"/>
    <s v="SDG 8: Decent Work and Economic Growth"/>
    <n v="362.14627960000001"/>
    <s v="Source-defined international dollars"/>
    <s v="Ethiopia|1952"/>
    <s v="Gapminder/Plotly country-year extract reshaped to long indicator format for education"/>
    <s v="OK"/>
    <s v="1950s"/>
    <s v="N/A"/>
    <s v="Economy"/>
  </r>
  <r>
    <s v="GM-01516"/>
    <s v="Ethiopia"/>
    <x v="2"/>
    <x v="1"/>
    <x v="0"/>
    <s v="Life expectancy at birth"/>
    <s v="Health"/>
    <s v="SDG 3: Good Health and Well-being"/>
    <n v="36.667000000000002"/>
    <s v="Years"/>
    <s v="Ethiopia|1957"/>
    <s v="Gapminder/Plotly country-year extract reshaped to long indicator format for education"/>
    <s v="OK"/>
    <s v="1950s"/>
    <s v="Low"/>
    <s v="Health"/>
  </r>
  <r>
    <s v="GM-01517"/>
    <s v="Ethiopia"/>
    <x v="2"/>
    <x v="1"/>
    <x v="1"/>
    <s v="Population, total"/>
    <s v="Demographics"/>
    <s v="SDG 11: Sustainable Cities and Communities"/>
    <n v="22815614"/>
    <s v="People"/>
    <s v="Ethiopia|1957"/>
    <s v="Gapminder/Plotly country-year extract reshaped to long indicator format for education"/>
    <s v="OK"/>
    <s v="1950s"/>
    <s v="N/A"/>
    <s v="Demographics"/>
  </r>
  <r>
    <s v="GM-01518"/>
    <s v="Ethiopia"/>
    <x v="2"/>
    <x v="1"/>
    <x v="2"/>
    <s v="GDP per capita"/>
    <s v="Economy"/>
    <s v="SDG 8: Decent Work and Economic Growth"/>
    <n v="378.90416320000003"/>
    <s v="Source-defined international dollars"/>
    <s v="Ethiopia|1957"/>
    <s v="Gapminder/Plotly country-year extract reshaped to long indicator format for education"/>
    <s v="OK"/>
    <s v="1950s"/>
    <s v="N/A"/>
    <s v="Economy"/>
  </r>
  <r>
    <s v="GM-01519"/>
    <s v="Ethiopia"/>
    <x v="2"/>
    <x v="2"/>
    <x v="0"/>
    <s v="Life expectancy at birth"/>
    <s v="Health"/>
    <s v="SDG 3: Good Health and Well-being"/>
    <n v="40.058999999999997"/>
    <s v="Years"/>
    <s v="Ethiopia|1962"/>
    <s v="Gapminder/Plotly country-year extract reshaped to long indicator format for education"/>
    <s v="OK"/>
    <s v="1960s"/>
    <s v="Low"/>
    <s v="Health"/>
  </r>
  <r>
    <s v="GM-01520"/>
    <s v="Ethiopia"/>
    <x v="2"/>
    <x v="2"/>
    <x v="1"/>
    <s v="Population, total"/>
    <s v="Demographics"/>
    <s v="SDG 11: Sustainable Cities and Communities"/>
    <n v="25145372"/>
    <s v="People"/>
    <s v="Ethiopia|1962"/>
    <s v="Gapminder/Plotly country-year extract reshaped to long indicator format for education"/>
    <s v="OK"/>
    <s v="1960s"/>
    <s v="N/A"/>
    <s v="Demographics"/>
  </r>
  <r>
    <s v="GM-01521"/>
    <s v="Ethiopia"/>
    <x v="2"/>
    <x v="2"/>
    <x v="2"/>
    <s v="GDP per capita"/>
    <s v="Economy"/>
    <s v="SDG 8: Decent Work and Economic Growth"/>
    <n v="419.45641610000001"/>
    <s v="Source-defined international dollars"/>
    <s v="Ethiopia|1962"/>
    <s v="Gapminder/Plotly country-year extract reshaped to long indicator format for education"/>
    <s v="OK"/>
    <s v="1960s"/>
    <s v="N/A"/>
    <s v="Economy"/>
  </r>
  <r>
    <s v="GM-01522"/>
    <s v="Ethiopia"/>
    <x v="2"/>
    <x v="3"/>
    <x v="0"/>
    <s v="Life expectancy at birth"/>
    <s v="Health"/>
    <s v="SDG 3: Good Health and Well-being"/>
    <n v="42.115000000000002"/>
    <s v="Years"/>
    <s v="Ethiopia|1967"/>
    <s v="Gapminder/Plotly country-year extract reshaped to long indicator format for education"/>
    <s v="OK"/>
    <s v="1960s"/>
    <s v="Low"/>
    <s v="Health"/>
  </r>
  <r>
    <s v="GM-01523"/>
    <s v="Ethiopia"/>
    <x v="2"/>
    <x v="3"/>
    <x v="1"/>
    <s v="Population, total"/>
    <s v="Demographics"/>
    <s v="SDG 11: Sustainable Cities and Communities"/>
    <n v="27860297"/>
    <s v="People"/>
    <s v="Ethiopia|1967"/>
    <s v="Gapminder/Plotly country-year extract reshaped to long indicator format for education"/>
    <s v="OK"/>
    <s v="1960s"/>
    <s v="N/A"/>
    <s v="Demographics"/>
  </r>
  <r>
    <s v="GM-01524"/>
    <s v="Ethiopia"/>
    <x v="2"/>
    <x v="3"/>
    <x v="2"/>
    <s v="GDP per capita"/>
    <s v="Economy"/>
    <s v="SDG 8: Decent Work and Economic Growth"/>
    <n v="516.11864379999997"/>
    <s v="Source-defined international dollars"/>
    <s v="Ethiopia|1967"/>
    <s v="Gapminder/Plotly country-year extract reshaped to long indicator format for education"/>
    <s v="OK"/>
    <s v="1960s"/>
    <s v="N/A"/>
    <s v="Economy"/>
  </r>
  <r>
    <s v="GM-01525"/>
    <s v="Ethiopia"/>
    <x v="2"/>
    <x v="4"/>
    <x v="0"/>
    <s v="Life expectancy at birth"/>
    <s v="Health"/>
    <s v="SDG 3: Good Health and Well-being"/>
    <n v="43.515000000000001"/>
    <s v="Years"/>
    <s v="Ethiopia|1972"/>
    <s v="Gapminder/Plotly country-year extract reshaped to long indicator format for education"/>
    <s v="OK"/>
    <s v="1970s"/>
    <s v="Low"/>
    <s v="Health"/>
  </r>
  <r>
    <s v="GM-01526"/>
    <s v="Ethiopia"/>
    <x v="2"/>
    <x v="4"/>
    <x v="1"/>
    <s v="Population, total"/>
    <s v="Demographics"/>
    <s v="SDG 11: Sustainable Cities and Communities"/>
    <n v="30770372"/>
    <s v="People"/>
    <s v="Ethiopia|1972"/>
    <s v="Gapminder/Plotly country-year extract reshaped to long indicator format for education"/>
    <s v="OK"/>
    <s v="1970s"/>
    <s v="N/A"/>
    <s v="Demographics"/>
  </r>
  <r>
    <s v="GM-01527"/>
    <s v="Ethiopia"/>
    <x v="2"/>
    <x v="4"/>
    <x v="2"/>
    <s v="GDP per capita"/>
    <s v="Economy"/>
    <s v="SDG 8: Decent Work and Economic Growth"/>
    <n v="566.24394419999999"/>
    <s v="Source-defined international dollars"/>
    <s v="Ethiopia|1972"/>
    <s v="Gapminder/Plotly country-year extract reshaped to long indicator format for education"/>
    <s v="OK"/>
    <s v="1970s"/>
    <s v="N/A"/>
    <s v="Economy"/>
  </r>
  <r>
    <s v="GM-01528"/>
    <s v="Ethiopia"/>
    <x v="2"/>
    <x v="5"/>
    <x v="0"/>
    <s v="Life expectancy at birth"/>
    <s v="Health"/>
    <s v="SDG 3: Good Health and Well-being"/>
    <n v="44.51"/>
    <s v="Years"/>
    <s v="Ethiopia|1977"/>
    <s v="Gapminder/Plotly country-year extract reshaped to long indicator format for education"/>
    <s v="OK"/>
    <s v="1970s"/>
    <s v="Low"/>
    <s v="Health"/>
  </r>
  <r>
    <s v="GM-01529"/>
    <s v="Ethiopia"/>
    <x v="2"/>
    <x v="5"/>
    <x v="1"/>
    <s v="Population, total"/>
    <s v="Demographics"/>
    <s v="SDG 11: Sustainable Cities and Communities"/>
    <n v="34617799"/>
    <s v="People"/>
    <s v="Ethiopia|1977"/>
    <s v="Gapminder/Plotly country-year extract reshaped to long indicator format for education"/>
    <s v="OK"/>
    <s v="1970s"/>
    <s v="N/A"/>
    <s v="Demographics"/>
  </r>
  <r>
    <s v="GM-01530"/>
    <s v="Ethiopia"/>
    <x v="2"/>
    <x v="5"/>
    <x v="2"/>
    <s v="GDP per capita"/>
    <s v="Economy"/>
    <s v="SDG 8: Decent Work and Economic Growth"/>
    <n v="556.80838340000003"/>
    <s v="Source-defined international dollars"/>
    <s v="Ethiopia|1977"/>
    <s v="Gapminder/Plotly country-year extract reshaped to long indicator format for education"/>
    <s v="OK"/>
    <s v="1970s"/>
    <s v="N/A"/>
    <s v="Economy"/>
  </r>
  <r>
    <s v="GM-01531"/>
    <s v="Ethiopia"/>
    <x v="2"/>
    <x v="6"/>
    <x v="0"/>
    <s v="Life expectancy at birth"/>
    <s v="Health"/>
    <s v="SDG 3: Good Health and Well-being"/>
    <n v="44.915999999999997"/>
    <s v="Years"/>
    <s v="Ethiopia|1982"/>
    <s v="Gapminder/Plotly country-year extract reshaped to long indicator format for education"/>
    <s v="OK"/>
    <s v="1980s"/>
    <s v="Low"/>
    <s v="Health"/>
  </r>
  <r>
    <s v="GM-01532"/>
    <s v="Ethiopia"/>
    <x v="2"/>
    <x v="6"/>
    <x v="1"/>
    <s v="Population, total"/>
    <s v="Demographics"/>
    <s v="SDG 11: Sustainable Cities and Communities"/>
    <n v="38111756"/>
    <s v="People"/>
    <s v="Ethiopia|1982"/>
    <s v="Gapminder/Plotly country-year extract reshaped to long indicator format for education"/>
    <s v="OK"/>
    <s v="1980s"/>
    <s v="N/A"/>
    <s v="Demographics"/>
  </r>
  <r>
    <s v="GM-01533"/>
    <s v="Ethiopia"/>
    <x v="2"/>
    <x v="6"/>
    <x v="2"/>
    <s v="GDP per capita"/>
    <s v="Economy"/>
    <s v="SDG 8: Decent Work and Economic Growth"/>
    <n v="577.86074710000003"/>
    <s v="Source-defined international dollars"/>
    <s v="Ethiopia|1982"/>
    <s v="Gapminder/Plotly country-year extract reshaped to long indicator format for education"/>
    <s v="OK"/>
    <s v="1980s"/>
    <s v="N/A"/>
    <s v="Economy"/>
  </r>
  <r>
    <s v="GM-01534"/>
    <s v="Ethiopia"/>
    <x v="2"/>
    <x v="7"/>
    <x v="0"/>
    <s v="Life expectancy at birth"/>
    <s v="Health"/>
    <s v="SDG 3: Good Health and Well-being"/>
    <n v="46.683999999999997"/>
    <s v="Years"/>
    <s v="Ethiopia|1987"/>
    <s v="Gapminder/Plotly country-year extract reshaped to long indicator format for education"/>
    <s v="OK"/>
    <s v="1980s"/>
    <s v="Low"/>
    <s v="Health"/>
  </r>
  <r>
    <s v="GM-01535"/>
    <s v="Ethiopia"/>
    <x v="2"/>
    <x v="7"/>
    <x v="1"/>
    <s v="Population, total"/>
    <s v="Demographics"/>
    <s v="SDG 11: Sustainable Cities and Communities"/>
    <n v="42999530"/>
    <s v="People"/>
    <s v="Ethiopia|1987"/>
    <s v="Gapminder/Plotly country-year extract reshaped to long indicator format for education"/>
    <s v="OK"/>
    <s v="1980s"/>
    <s v="N/A"/>
    <s v="Demographics"/>
  </r>
  <r>
    <s v="GM-01536"/>
    <s v="Ethiopia"/>
    <x v="2"/>
    <x v="7"/>
    <x v="2"/>
    <s v="GDP per capita"/>
    <s v="Economy"/>
    <s v="SDG 8: Decent Work and Economic Growth"/>
    <n v="573.74131420000003"/>
    <s v="Source-defined international dollars"/>
    <s v="Ethiopia|1987"/>
    <s v="Gapminder/Plotly country-year extract reshaped to long indicator format for education"/>
    <s v="OK"/>
    <s v="1980s"/>
    <s v="N/A"/>
    <s v="Economy"/>
  </r>
  <r>
    <s v="GM-01537"/>
    <s v="Ethiopia"/>
    <x v="2"/>
    <x v="8"/>
    <x v="0"/>
    <s v="Life expectancy at birth"/>
    <s v="Health"/>
    <s v="SDG 3: Good Health and Well-being"/>
    <n v="48.091000000000001"/>
    <s v="Years"/>
    <s v="Ethiopia|1992"/>
    <s v="Gapminder/Plotly country-year extract reshaped to long indicator format for education"/>
    <s v="OK"/>
    <s v="1990s"/>
    <s v="Low"/>
    <s v="Health"/>
  </r>
  <r>
    <s v="GM-01538"/>
    <s v="Ethiopia"/>
    <x v="2"/>
    <x v="8"/>
    <x v="1"/>
    <s v="Population, total"/>
    <s v="Demographics"/>
    <s v="SDG 11: Sustainable Cities and Communities"/>
    <n v="52088559"/>
    <s v="People"/>
    <s v="Ethiopia|1992"/>
    <s v="Gapminder/Plotly country-year extract reshaped to long indicator format for education"/>
    <s v="OK"/>
    <s v="1990s"/>
    <s v="N/A"/>
    <s v="Demographics"/>
  </r>
  <r>
    <s v="GM-01539"/>
    <s v="Ethiopia"/>
    <x v="2"/>
    <x v="8"/>
    <x v="2"/>
    <s v="GDP per capita"/>
    <s v="Economy"/>
    <s v="SDG 8: Decent Work and Economic Growth"/>
    <n v="421.35346529999998"/>
    <s v="Source-defined international dollars"/>
    <s v="Ethiopia|1992"/>
    <s v="Gapminder/Plotly country-year extract reshaped to long indicator format for education"/>
    <s v="OK"/>
    <s v="1990s"/>
    <s v="N/A"/>
    <s v="Economy"/>
  </r>
  <r>
    <s v="GM-01540"/>
    <s v="Ethiopia"/>
    <x v="2"/>
    <x v="9"/>
    <x v="0"/>
    <s v="Life expectancy at birth"/>
    <s v="Health"/>
    <s v="SDG 3: Good Health and Well-being"/>
    <n v="49.402000000000001"/>
    <s v="Years"/>
    <s v="Ethiopia|1997"/>
    <s v="Gapminder/Plotly country-year extract reshaped to long indicator format for education"/>
    <s v="OK"/>
    <s v="1990s"/>
    <s v="Low"/>
    <s v="Health"/>
  </r>
  <r>
    <s v="GM-01541"/>
    <s v="Ethiopia"/>
    <x v="2"/>
    <x v="9"/>
    <x v="1"/>
    <s v="Population, total"/>
    <s v="Demographics"/>
    <s v="SDG 11: Sustainable Cities and Communities"/>
    <n v="59861301"/>
    <s v="People"/>
    <s v="Ethiopia|1997"/>
    <s v="Gapminder/Plotly country-year extract reshaped to long indicator format for education"/>
    <s v="OK"/>
    <s v="1990s"/>
    <s v="N/A"/>
    <s v="Demographics"/>
  </r>
  <r>
    <s v="GM-01542"/>
    <s v="Ethiopia"/>
    <x v="2"/>
    <x v="9"/>
    <x v="2"/>
    <s v="GDP per capita"/>
    <s v="Economy"/>
    <s v="SDG 8: Decent Work and Economic Growth"/>
    <n v="515.88940130000003"/>
    <s v="Source-defined international dollars"/>
    <s v="Ethiopia|1997"/>
    <s v="Gapminder/Plotly country-year extract reshaped to long indicator format for education"/>
    <s v="OK"/>
    <s v="1990s"/>
    <s v="N/A"/>
    <s v="Economy"/>
  </r>
  <r>
    <s v="GM-01543"/>
    <s v="Ethiopia"/>
    <x v="2"/>
    <x v="10"/>
    <x v="0"/>
    <s v="Life expectancy at birth"/>
    <s v="Health"/>
    <s v="SDG 3: Good Health and Well-being"/>
    <n v="50.725000000000001"/>
    <s v="Years"/>
    <s v="Ethiopia|2002"/>
    <s v="Gapminder/Plotly country-year extract reshaped to long indicator format for education"/>
    <s v="OK"/>
    <s v="2000s"/>
    <s v="Low"/>
    <s v="Health"/>
  </r>
  <r>
    <s v="GM-01544"/>
    <s v="Ethiopia"/>
    <x v="2"/>
    <x v="10"/>
    <x v="1"/>
    <s v="Population, total"/>
    <s v="Demographics"/>
    <s v="SDG 11: Sustainable Cities and Communities"/>
    <n v="67946797"/>
    <s v="People"/>
    <s v="Ethiopia|2002"/>
    <s v="Gapminder/Plotly country-year extract reshaped to long indicator format for education"/>
    <s v="OK"/>
    <s v="2000s"/>
    <s v="N/A"/>
    <s v="Demographics"/>
  </r>
  <r>
    <s v="GM-01545"/>
    <s v="Ethiopia"/>
    <x v="2"/>
    <x v="10"/>
    <x v="2"/>
    <s v="GDP per capita"/>
    <s v="Economy"/>
    <s v="SDG 8: Decent Work and Economic Growth"/>
    <n v="530.05353190000005"/>
    <s v="Source-defined international dollars"/>
    <s v="Ethiopia|2002"/>
    <s v="Gapminder/Plotly country-year extract reshaped to long indicator format for education"/>
    <s v="OK"/>
    <s v="2000s"/>
    <s v="N/A"/>
    <s v="Economy"/>
  </r>
  <r>
    <s v="GM-01546"/>
    <s v="Ethiopia"/>
    <x v="2"/>
    <x v="11"/>
    <x v="0"/>
    <s v="Life expectancy at birth"/>
    <s v="Health"/>
    <s v="SDG 3: Good Health and Well-being"/>
    <n v="52.947000000000003"/>
    <s v="Years"/>
    <s v="Ethiopia|2007"/>
    <s v="Gapminder/Plotly country-year extract reshaped to long indicator format for education"/>
    <s v="OK"/>
    <s v="2000s"/>
    <s v="Low"/>
    <s v="Health"/>
  </r>
  <r>
    <s v="GM-01547"/>
    <s v="Ethiopia"/>
    <x v="2"/>
    <x v="11"/>
    <x v="1"/>
    <s v="Population, total"/>
    <s v="Demographics"/>
    <s v="SDG 11: Sustainable Cities and Communities"/>
    <n v="76511887"/>
    <s v="People"/>
    <s v="Ethiopia|2007"/>
    <s v="Gapminder/Plotly country-year extract reshaped to long indicator format for education"/>
    <s v="OK"/>
    <s v="2000s"/>
    <s v="N/A"/>
    <s v="Demographics"/>
  </r>
  <r>
    <s v="GM-01548"/>
    <s v="Ethiopia"/>
    <x v="2"/>
    <x v="11"/>
    <x v="2"/>
    <s v="GDP per capita"/>
    <s v="Economy"/>
    <s v="SDG 8: Decent Work and Economic Growth"/>
    <n v="690.80557590000001"/>
    <s v="Source-defined international dollars"/>
    <s v="Ethiopia|2007"/>
    <s v="Gapminder/Plotly country-year extract reshaped to long indicator format for education"/>
    <s v="OK"/>
    <s v="2000s"/>
    <s v="N/A"/>
    <s v="Economy"/>
  </r>
  <r>
    <s v="GM-01549"/>
    <s v="Finland"/>
    <x v="1"/>
    <x v="0"/>
    <x v="0"/>
    <s v="Life expectancy at birth"/>
    <s v="Health"/>
    <s v="SDG 3: Good Health and Well-being"/>
    <n v="66.55"/>
    <s v="Years"/>
    <s v="Finland|1952"/>
    <s v="Gapminder/Plotly country-year extract reshaped to long indicator format for education"/>
    <s v="OK"/>
    <s v="1950s"/>
    <s v="Medium"/>
    <s v="Health"/>
  </r>
  <r>
    <s v="GM-01550"/>
    <s v="Finland"/>
    <x v="1"/>
    <x v="0"/>
    <x v="1"/>
    <s v="Population, total"/>
    <s v="Demographics"/>
    <s v="SDG 11: Sustainable Cities and Communities"/>
    <n v="4090500"/>
    <s v="People"/>
    <s v="Finland|1952"/>
    <s v="Gapminder/Plotly country-year extract reshaped to long indicator format for education"/>
    <s v="OK"/>
    <s v="1950s"/>
    <s v="N/A"/>
    <s v="Demographics"/>
  </r>
  <r>
    <s v="GM-01551"/>
    <s v="Finland"/>
    <x v="1"/>
    <x v="0"/>
    <x v="2"/>
    <s v="GDP per capita"/>
    <s v="Economy"/>
    <s v="SDG 8: Decent Work and Economic Growth"/>
    <n v="6424.5190709999997"/>
    <s v="Source-defined international dollars"/>
    <s v="Finland|1952"/>
    <s v="Gapminder/Plotly country-year extract reshaped to long indicator format for education"/>
    <s v="OK"/>
    <s v="1950s"/>
    <s v="N/A"/>
    <s v="Economy"/>
  </r>
  <r>
    <s v="GM-01552"/>
    <s v="Finland"/>
    <x v="1"/>
    <x v="1"/>
    <x v="0"/>
    <s v="Life expectancy at birth"/>
    <s v="Health"/>
    <s v="SDG 3: Good Health and Well-being"/>
    <n v="67.489999999999995"/>
    <s v="Years"/>
    <s v="Finland|1957"/>
    <s v="Gapminder/Plotly country-year extract reshaped to long indicator format for education"/>
    <s v="OK"/>
    <s v="1950s"/>
    <s v="Medium"/>
    <s v="Health"/>
  </r>
  <r>
    <s v="GM-01553"/>
    <s v="Finland"/>
    <x v="1"/>
    <x v="1"/>
    <x v="1"/>
    <s v="Population, total"/>
    <s v="Demographics"/>
    <s v="SDG 11: Sustainable Cities and Communities"/>
    <n v="4324000"/>
    <s v="People"/>
    <s v="Finland|1957"/>
    <s v="Gapminder/Plotly country-year extract reshaped to long indicator format for education"/>
    <s v="OK"/>
    <s v="1950s"/>
    <s v="N/A"/>
    <s v="Demographics"/>
  </r>
  <r>
    <s v="GM-01554"/>
    <s v="Finland"/>
    <x v="1"/>
    <x v="1"/>
    <x v="2"/>
    <s v="GDP per capita"/>
    <s v="Economy"/>
    <s v="SDG 8: Decent Work and Economic Growth"/>
    <n v="7545.4153859999997"/>
    <s v="Source-defined international dollars"/>
    <s v="Finland|1957"/>
    <s v="Gapminder/Plotly country-year extract reshaped to long indicator format for education"/>
    <s v="OK"/>
    <s v="1950s"/>
    <s v="N/A"/>
    <s v="Economy"/>
  </r>
  <r>
    <s v="GM-01555"/>
    <s v="Finland"/>
    <x v="1"/>
    <x v="2"/>
    <x v="0"/>
    <s v="Life expectancy at birth"/>
    <s v="Health"/>
    <s v="SDG 3: Good Health and Well-being"/>
    <n v="68.75"/>
    <s v="Years"/>
    <s v="Finland|1962"/>
    <s v="Gapminder/Plotly country-year extract reshaped to long indicator format for education"/>
    <s v="OK"/>
    <s v="1960s"/>
    <s v="Medium"/>
    <s v="Health"/>
  </r>
  <r>
    <s v="GM-01556"/>
    <s v="Finland"/>
    <x v="1"/>
    <x v="2"/>
    <x v="1"/>
    <s v="Population, total"/>
    <s v="Demographics"/>
    <s v="SDG 11: Sustainable Cities and Communities"/>
    <n v="4491443"/>
    <s v="People"/>
    <s v="Finland|1962"/>
    <s v="Gapminder/Plotly country-year extract reshaped to long indicator format for education"/>
    <s v="OK"/>
    <s v="1960s"/>
    <s v="N/A"/>
    <s v="Demographics"/>
  </r>
  <r>
    <s v="GM-01557"/>
    <s v="Finland"/>
    <x v="1"/>
    <x v="2"/>
    <x v="2"/>
    <s v="GDP per capita"/>
    <s v="Economy"/>
    <s v="SDG 8: Decent Work and Economic Growth"/>
    <n v="9371.8425609999995"/>
    <s v="Source-defined international dollars"/>
    <s v="Finland|1962"/>
    <s v="Gapminder/Plotly country-year extract reshaped to long indicator format for education"/>
    <s v="OK"/>
    <s v="1960s"/>
    <s v="N/A"/>
    <s v="Economy"/>
  </r>
  <r>
    <s v="GM-01558"/>
    <s v="Finland"/>
    <x v="1"/>
    <x v="3"/>
    <x v="0"/>
    <s v="Life expectancy at birth"/>
    <s v="Health"/>
    <s v="SDG 3: Good Health and Well-being"/>
    <n v="69.83"/>
    <s v="Years"/>
    <s v="Finland|1967"/>
    <s v="Gapminder/Plotly country-year extract reshaped to long indicator format for education"/>
    <s v="OK"/>
    <s v="1960s"/>
    <s v="Medium"/>
    <s v="Health"/>
  </r>
  <r>
    <s v="GM-01559"/>
    <s v="Finland"/>
    <x v="1"/>
    <x v="3"/>
    <x v="1"/>
    <s v="Population, total"/>
    <s v="Demographics"/>
    <s v="SDG 11: Sustainable Cities and Communities"/>
    <n v="4605744"/>
    <s v="People"/>
    <s v="Finland|1967"/>
    <s v="Gapminder/Plotly country-year extract reshaped to long indicator format for education"/>
    <s v="OK"/>
    <s v="1960s"/>
    <s v="N/A"/>
    <s v="Demographics"/>
  </r>
  <r>
    <s v="GM-01560"/>
    <s v="Finland"/>
    <x v="1"/>
    <x v="3"/>
    <x v="2"/>
    <s v="GDP per capita"/>
    <s v="Economy"/>
    <s v="SDG 8: Decent Work and Economic Growth"/>
    <n v="10921.636259999999"/>
    <s v="Source-defined international dollars"/>
    <s v="Finland|1967"/>
    <s v="Gapminder/Plotly country-year extract reshaped to long indicator format for education"/>
    <s v="OK"/>
    <s v="1960s"/>
    <s v="N/A"/>
    <s v="Economy"/>
  </r>
  <r>
    <s v="GM-01561"/>
    <s v="Finland"/>
    <x v="1"/>
    <x v="4"/>
    <x v="0"/>
    <s v="Life expectancy at birth"/>
    <s v="Health"/>
    <s v="SDG 3: Good Health and Well-being"/>
    <n v="70.87"/>
    <s v="Years"/>
    <s v="Finland|1972"/>
    <s v="Gapminder/Plotly country-year extract reshaped to long indicator format for education"/>
    <s v="OK"/>
    <s v="1970s"/>
    <s v="High"/>
    <s v="Health"/>
  </r>
  <r>
    <s v="GM-01562"/>
    <s v="Finland"/>
    <x v="1"/>
    <x v="4"/>
    <x v="1"/>
    <s v="Population, total"/>
    <s v="Demographics"/>
    <s v="SDG 11: Sustainable Cities and Communities"/>
    <n v="4639657"/>
    <s v="People"/>
    <s v="Finland|1972"/>
    <s v="Gapminder/Plotly country-year extract reshaped to long indicator format for education"/>
    <s v="OK"/>
    <s v="1970s"/>
    <s v="N/A"/>
    <s v="Demographics"/>
  </r>
  <r>
    <s v="GM-01563"/>
    <s v="Finland"/>
    <x v="1"/>
    <x v="4"/>
    <x v="2"/>
    <s v="GDP per capita"/>
    <s v="Economy"/>
    <s v="SDG 8: Decent Work and Economic Growth"/>
    <n v="14358.875899999999"/>
    <s v="Source-defined international dollars"/>
    <s v="Finland|1972"/>
    <s v="Gapminder/Plotly country-year extract reshaped to long indicator format for education"/>
    <s v="OK"/>
    <s v="1970s"/>
    <s v="N/A"/>
    <s v="Economy"/>
  </r>
  <r>
    <s v="GM-01564"/>
    <s v="Finland"/>
    <x v="1"/>
    <x v="5"/>
    <x v="0"/>
    <s v="Life expectancy at birth"/>
    <s v="Health"/>
    <s v="SDG 3: Good Health and Well-being"/>
    <n v="72.52"/>
    <s v="Years"/>
    <s v="Finland|1977"/>
    <s v="Gapminder/Plotly country-year extract reshaped to long indicator format for education"/>
    <s v="OK"/>
    <s v="1970s"/>
    <s v="High"/>
    <s v="Health"/>
  </r>
  <r>
    <s v="GM-01565"/>
    <s v="Finland"/>
    <x v="1"/>
    <x v="5"/>
    <x v="1"/>
    <s v="Population, total"/>
    <s v="Demographics"/>
    <s v="SDG 11: Sustainable Cities and Communities"/>
    <n v="4738902"/>
    <s v="People"/>
    <s v="Finland|1977"/>
    <s v="Gapminder/Plotly country-year extract reshaped to long indicator format for education"/>
    <s v="OK"/>
    <s v="1970s"/>
    <s v="N/A"/>
    <s v="Demographics"/>
  </r>
  <r>
    <s v="GM-01566"/>
    <s v="Finland"/>
    <x v="1"/>
    <x v="5"/>
    <x v="2"/>
    <s v="GDP per capita"/>
    <s v="Economy"/>
    <s v="SDG 8: Decent Work and Economic Growth"/>
    <n v="15605.42283"/>
    <s v="Source-defined international dollars"/>
    <s v="Finland|1977"/>
    <s v="Gapminder/Plotly country-year extract reshaped to long indicator format for education"/>
    <s v="OK"/>
    <s v="1970s"/>
    <s v="N/A"/>
    <s v="Economy"/>
  </r>
  <r>
    <s v="GM-01567"/>
    <s v="Finland"/>
    <x v="1"/>
    <x v="6"/>
    <x v="0"/>
    <s v="Life expectancy at birth"/>
    <s v="Health"/>
    <s v="SDG 3: Good Health and Well-being"/>
    <n v="74.55"/>
    <s v="Years"/>
    <s v="Finland|1982"/>
    <s v="Gapminder/Plotly country-year extract reshaped to long indicator format for education"/>
    <s v="OK"/>
    <s v="1980s"/>
    <s v="High"/>
    <s v="Health"/>
  </r>
  <r>
    <s v="GM-01568"/>
    <s v="Finland"/>
    <x v="1"/>
    <x v="6"/>
    <x v="1"/>
    <s v="Population, total"/>
    <s v="Demographics"/>
    <s v="SDG 11: Sustainable Cities and Communities"/>
    <n v="4826933"/>
    <s v="People"/>
    <s v="Finland|1982"/>
    <s v="Gapminder/Plotly country-year extract reshaped to long indicator format for education"/>
    <s v="OK"/>
    <s v="1980s"/>
    <s v="N/A"/>
    <s v="Demographics"/>
  </r>
  <r>
    <s v="GM-01569"/>
    <s v="Finland"/>
    <x v="1"/>
    <x v="6"/>
    <x v="2"/>
    <s v="GDP per capita"/>
    <s v="Economy"/>
    <s v="SDG 8: Decent Work and Economic Growth"/>
    <n v="18533.157609999998"/>
    <s v="Source-defined international dollars"/>
    <s v="Finland|1982"/>
    <s v="Gapminder/Plotly country-year extract reshaped to long indicator format for education"/>
    <s v="OK"/>
    <s v="1980s"/>
    <s v="N/A"/>
    <s v="Economy"/>
  </r>
  <r>
    <s v="GM-01570"/>
    <s v="Finland"/>
    <x v="1"/>
    <x v="7"/>
    <x v="0"/>
    <s v="Life expectancy at birth"/>
    <s v="Health"/>
    <s v="SDG 3: Good Health and Well-being"/>
    <n v="74.83"/>
    <s v="Years"/>
    <s v="Finland|1987"/>
    <s v="Gapminder/Plotly country-year extract reshaped to long indicator format for education"/>
    <s v="OK"/>
    <s v="1980s"/>
    <s v="High"/>
    <s v="Health"/>
  </r>
  <r>
    <s v="GM-01571"/>
    <s v="Finland"/>
    <x v="1"/>
    <x v="7"/>
    <x v="1"/>
    <s v="Population, total"/>
    <s v="Demographics"/>
    <s v="SDG 11: Sustainable Cities and Communities"/>
    <n v="4931729"/>
    <s v="People"/>
    <s v="Finland|1987"/>
    <s v="Gapminder/Plotly country-year extract reshaped to long indicator format for education"/>
    <s v="OK"/>
    <s v="1980s"/>
    <s v="N/A"/>
    <s v="Demographics"/>
  </r>
  <r>
    <s v="GM-01572"/>
    <s v="Finland"/>
    <x v="1"/>
    <x v="7"/>
    <x v="2"/>
    <s v="GDP per capita"/>
    <s v="Economy"/>
    <s v="SDG 8: Decent Work and Economic Growth"/>
    <n v="21141.01223"/>
    <s v="Source-defined international dollars"/>
    <s v="Finland|1987"/>
    <s v="Gapminder/Plotly country-year extract reshaped to long indicator format for education"/>
    <s v="OK"/>
    <s v="1980s"/>
    <s v="N/A"/>
    <s v="Economy"/>
  </r>
  <r>
    <s v="GM-01573"/>
    <s v="Finland"/>
    <x v="1"/>
    <x v="8"/>
    <x v="0"/>
    <s v="Life expectancy at birth"/>
    <s v="Health"/>
    <s v="SDG 3: Good Health and Well-being"/>
    <n v="75.7"/>
    <s v="Years"/>
    <s v="Finland|1992"/>
    <s v="Gapminder/Plotly country-year extract reshaped to long indicator format for education"/>
    <s v="OK"/>
    <s v="1990s"/>
    <s v="High"/>
    <s v="Health"/>
  </r>
  <r>
    <s v="GM-01574"/>
    <s v="Finland"/>
    <x v="1"/>
    <x v="8"/>
    <x v="1"/>
    <s v="Population, total"/>
    <s v="Demographics"/>
    <s v="SDG 11: Sustainable Cities and Communities"/>
    <n v="5041039"/>
    <s v="People"/>
    <s v="Finland|1992"/>
    <s v="Gapminder/Plotly country-year extract reshaped to long indicator format for education"/>
    <s v="OK"/>
    <s v="1990s"/>
    <s v="N/A"/>
    <s v="Demographics"/>
  </r>
  <r>
    <s v="GM-01575"/>
    <s v="Finland"/>
    <x v="1"/>
    <x v="8"/>
    <x v="2"/>
    <s v="GDP per capita"/>
    <s v="Economy"/>
    <s v="SDG 8: Decent Work and Economic Growth"/>
    <n v="20647.164990000001"/>
    <s v="Source-defined international dollars"/>
    <s v="Finland|1992"/>
    <s v="Gapminder/Plotly country-year extract reshaped to long indicator format for education"/>
    <s v="OK"/>
    <s v="1990s"/>
    <s v="N/A"/>
    <s v="Economy"/>
  </r>
  <r>
    <s v="GM-01576"/>
    <s v="Finland"/>
    <x v="1"/>
    <x v="9"/>
    <x v="0"/>
    <s v="Life expectancy at birth"/>
    <s v="Health"/>
    <s v="SDG 3: Good Health and Well-being"/>
    <n v="77.13"/>
    <s v="Years"/>
    <s v="Finland|1997"/>
    <s v="Gapminder/Plotly country-year extract reshaped to long indicator format for education"/>
    <s v="OK"/>
    <s v="1990s"/>
    <s v="High"/>
    <s v="Health"/>
  </r>
  <r>
    <s v="GM-01577"/>
    <s v="Finland"/>
    <x v="1"/>
    <x v="9"/>
    <x v="1"/>
    <s v="Population, total"/>
    <s v="Demographics"/>
    <s v="SDG 11: Sustainable Cities and Communities"/>
    <n v="5134406"/>
    <s v="People"/>
    <s v="Finland|1997"/>
    <s v="Gapminder/Plotly country-year extract reshaped to long indicator format for education"/>
    <s v="OK"/>
    <s v="1990s"/>
    <s v="N/A"/>
    <s v="Demographics"/>
  </r>
  <r>
    <s v="GM-01578"/>
    <s v="Finland"/>
    <x v="1"/>
    <x v="9"/>
    <x v="2"/>
    <s v="GDP per capita"/>
    <s v="Economy"/>
    <s v="SDG 8: Decent Work and Economic Growth"/>
    <n v="23723.950199999999"/>
    <s v="Source-defined international dollars"/>
    <s v="Finland|1997"/>
    <s v="Gapminder/Plotly country-year extract reshaped to long indicator format for education"/>
    <s v="OK"/>
    <s v="1990s"/>
    <s v="N/A"/>
    <s v="Economy"/>
  </r>
  <r>
    <s v="GM-01579"/>
    <s v="Finland"/>
    <x v="1"/>
    <x v="10"/>
    <x v="0"/>
    <s v="Life expectancy at birth"/>
    <s v="Health"/>
    <s v="SDG 3: Good Health and Well-being"/>
    <n v="78.37"/>
    <s v="Years"/>
    <s v="Finland|2002"/>
    <s v="Gapminder/Plotly country-year extract reshaped to long indicator format for education"/>
    <s v="OK"/>
    <s v="2000s"/>
    <s v="High"/>
    <s v="Health"/>
  </r>
  <r>
    <s v="GM-01580"/>
    <s v="Finland"/>
    <x v="1"/>
    <x v="10"/>
    <x v="1"/>
    <s v="Population, total"/>
    <s v="Demographics"/>
    <s v="SDG 11: Sustainable Cities and Communities"/>
    <n v="5193039"/>
    <s v="People"/>
    <s v="Finland|2002"/>
    <s v="Gapminder/Plotly country-year extract reshaped to long indicator format for education"/>
    <s v="OK"/>
    <s v="2000s"/>
    <s v="N/A"/>
    <s v="Demographics"/>
  </r>
  <r>
    <s v="GM-01581"/>
    <s v="Finland"/>
    <x v="1"/>
    <x v="10"/>
    <x v="2"/>
    <s v="GDP per capita"/>
    <s v="Economy"/>
    <s v="SDG 8: Decent Work and Economic Growth"/>
    <n v="28204.59057"/>
    <s v="Source-defined international dollars"/>
    <s v="Finland|2002"/>
    <s v="Gapminder/Plotly country-year extract reshaped to long indicator format for education"/>
    <s v="OK"/>
    <s v="2000s"/>
    <s v="N/A"/>
    <s v="Economy"/>
  </r>
  <r>
    <s v="GM-01582"/>
    <s v="Finland"/>
    <x v="1"/>
    <x v="11"/>
    <x v="0"/>
    <s v="Life expectancy at birth"/>
    <s v="Health"/>
    <s v="SDG 3: Good Health and Well-being"/>
    <n v="79.313000000000002"/>
    <s v="Years"/>
    <s v="Finland|2007"/>
    <s v="Gapminder/Plotly country-year extract reshaped to long indicator format for education"/>
    <s v="OK"/>
    <s v="2000s"/>
    <s v="High"/>
    <s v="Health"/>
  </r>
  <r>
    <s v="GM-01583"/>
    <s v="Finland"/>
    <x v="1"/>
    <x v="11"/>
    <x v="1"/>
    <s v="Population, total"/>
    <s v="Demographics"/>
    <s v="SDG 11: Sustainable Cities and Communities"/>
    <n v="5238460"/>
    <s v="People"/>
    <s v="Finland|2007"/>
    <s v="Gapminder/Plotly country-year extract reshaped to long indicator format for education"/>
    <s v="OK"/>
    <s v="2000s"/>
    <s v="N/A"/>
    <s v="Demographics"/>
  </r>
  <r>
    <s v="GM-01584"/>
    <s v="Finland"/>
    <x v="1"/>
    <x v="11"/>
    <x v="2"/>
    <s v="GDP per capita"/>
    <s v="Economy"/>
    <s v="SDG 8: Decent Work and Economic Growth"/>
    <n v="33207.0844"/>
    <s v="Source-defined international dollars"/>
    <s v="Finland|2007"/>
    <s v="Gapminder/Plotly country-year extract reshaped to long indicator format for education"/>
    <s v="OK"/>
    <s v="2000s"/>
    <s v="N/A"/>
    <s v="Economy"/>
  </r>
  <r>
    <s v="GM-01585"/>
    <s v="France"/>
    <x v="1"/>
    <x v="0"/>
    <x v="0"/>
    <s v="Life expectancy at birth"/>
    <s v="Health"/>
    <s v="SDG 3: Good Health and Well-being"/>
    <n v="67.41"/>
    <s v="Years"/>
    <s v="France|1952"/>
    <s v="Gapminder/Plotly country-year extract reshaped to long indicator format for education"/>
    <s v="OK"/>
    <s v="1950s"/>
    <s v="Medium"/>
    <s v="Health"/>
  </r>
  <r>
    <s v="GM-01586"/>
    <s v="France"/>
    <x v="1"/>
    <x v="0"/>
    <x v="1"/>
    <s v="Population, total"/>
    <s v="Demographics"/>
    <s v="SDG 11: Sustainable Cities and Communities"/>
    <n v="42459667"/>
    <s v="People"/>
    <s v="France|1952"/>
    <s v="Gapminder/Plotly country-year extract reshaped to long indicator format for education"/>
    <s v="OK"/>
    <s v="1950s"/>
    <s v="N/A"/>
    <s v="Demographics"/>
  </r>
  <r>
    <s v="GM-01587"/>
    <s v="France"/>
    <x v="1"/>
    <x v="0"/>
    <x v="2"/>
    <s v="GDP per capita"/>
    <s v="Economy"/>
    <s v="SDG 8: Decent Work and Economic Growth"/>
    <n v="7029.8093269999999"/>
    <s v="Source-defined international dollars"/>
    <s v="France|1952"/>
    <s v="Gapminder/Plotly country-year extract reshaped to long indicator format for education"/>
    <s v="OK"/>
    <s v="1950s"/>
    <s v="N/A"/>
    <s v="Economy"/>
  </r>
  <r>
    <s v="GM-01588"/>
    <s v="France"/>
    <x v="1"/>
    <x v="1"/>
    <x v="0"/>
    <s v="Life expectancy at birth"/>
    <s v="Health"/>
    <s v="SDG 3: Good Health and Well-being"/>
    <n v="68.930000000000007"/>
    <s v="Years"/>
    <s v="France|1957"/>
    <s v="Gapminder/Plotly country-year extract reshaped to long indicator format for education"/>
    <s v="OK"/>
    <s v="1950s"/>
    <s v="Medium"/>
    <s v="Health"/>
  </r>
  <r>
    <s v="GM-01589"/>
    <s v="France"/>
    <x v="1"/>
    <x v="1"/>
    <x v="1"/>
    <s v="Population, total"/>
    <s v="Demographics"/>
    <s v="SDG 11: Sustainable Cities and Communities"/>
    <n v="44310863"/>
    <s v="People"/>
    <s v="France|1957"/>
    <s v="Gapminder/Plotly country-year extract reshaped to long indicator format for education"/>
    <s v="OK"/>
    <s v="1950s"/>
    <s v="N/A"/>
    <s v="Demographics"/>
  </r>
  <r>
    <s v="GM-01590"/>
    <s v="France"/>
    <x v="1"/>
    <x v="1"/>
    <x v="2"/>
    <s v="GDP per capita"/>
    <s v="Economy"/>
    <s v="SDG 8: Decent Work and Economic Growth"/>
    <n v="8662.8348979999992"/>
    <s v="Source-defined international dollars"/>
    <s v="France|1957"/>
    <s v="Gapminder/Plotly country-year extract reshaped to long indicator format for education"/>
    <s v="OK"/>
    <s v="1950s"/>
    <s v="N/A"/>
    <s v="Economy"/>
  </r>
  <r>
    <s v="GM-01591"/>
    <s v="France"/>
    <x v="1"/>
    <x v="2"/>
    <x v="0"/>
    <s v="Life expectancy at birth"/>
    <s v="Health"/>
    <s v="SDG 3: Good Health and Well-being"/>
    <n v="70.510000000000005"/>
    <s v="Years"/>
    <s v="France|1962"/>
    <s v="Gapminder/Plotly country-year extract reshaped to long indicator format for education"/>
    <s v="OK"/>
    <s v="1960s"/>
    <s v="High"/>
    <s v="Health"/>
  </r>
  <r>
    <s v="GM-01592"/>
    <s v="France"/>
    <x v="1"/>
    <x v="2"/>
    <x v="1"/>
    <s v="Population, total"/>
    <s v="Demographics"/>
    <s v="SDG 11: Sustainable Cities and Communities"/>
    <n v="47124000"/>
    <s v="People"/>
    <s v="France|1962"/>
    <s v="Gapminder/Plotly country-year extract reshaped to long indicator format for education"/>
    <s v="OK"/>
    <s v="1960s"/>
    <s v="N/A"/>
    <s v="Demographics"/>
  </r>
  <r>
    <s v="GM-01593"/>
    <s v="France"/>
    <x v="1"/>
    <x v="2"/>
    <x v="2"/>
    <s v="GDP per capita"/>
    <s v="Economy"/>
    <s v="SDG 8: Decent Work and Economic Growth"/>
    <n v="10560.48553"/>
    <s v="Source-defined international dollars"/>
    <s v="France|1962"/>
    <s v="Gapminder/Plotly country-year extract reshaped to long indicator format for education"/>
    <s v="OK"/>
    <s v="1960s"/>
    <s v="N/A"/>
    <s v="Economy"/>
  </r>
  <r>
    <s v="GM-01594"/>
    <s v="France"/>
    <x v="1"/>
    <x v="3"/>
    <x v="0"/>
    <s v="Life expectancy at birth"/>
    <s v="Health"/>
    <s v="SDG 3: Good Health and Well-being"/>
    <n v="71.55"/>
    <s v="Years"/>
    <s v="France|1967"/>
    <s v="Gapminder/Plotly country-year extract reshaped to long indicator format for education"/>
    <s v="OK"/>
    <s v="1960s"/>
    <s v="High"/>
    <s v="Health"/>
  </r>
  <r>
    <s v="GM-01595"/>
    <s v="France"/>
    <x v="1"/>
    <x v="3"/>
    <x v="1"/>
    <s v="Population, total"/>
    <s v="Demographics"/>
    <s v="SDG 11: Sustainable Cities and Communities"/>
    <n v="49569000"/>
    <s v="People"/>
    <s v="France|1967"/>
    <s v="Gapminder/Plotly country-year extract reshaped to long indicator format for education"/>
    <s v="OK"/>
    <s v="1960s"/>
    <s v="N/A"/>
    <s v="Demographics"/>
  </r>
  <r>
    <s v="GM-01596"/>
    <s v="France"/>
    <x v="1"/>
    <x v="3"/>
    <x v="2"/>
    <s v="GDP per capita"/>
    <s v="Economy"/>
    <s v="SDG 8: Decent Work and Economic Growth"/>
    <n v="12999.917659999999"/>
    <s v="Source-defined international dollars"/>
    <s v="France|1967"/>
    <s v="Gapminder/Plotly country-year extract reshaped to long indicator format for education"/>
    <s v="OK"/>
    <s v="1960s"/>
    <s v="N/A"/>
    <s v="Economy"/>
  </r>
  <r>
    <s v="GM-01597"/>
    <s v="France"/>
    <x v="1"/>
    <x v="4"/>
    <x v="0"/>
    <s v="Life expectancy at birth"/>
    <s v="Health"/>
    <s v="SDG 3: Good Health and Well-being"/>
    <n v="72.38"/>
    <s v="Years"/>
    <s v="France|1972"/>
    <s v="Gapminder/Plotly country-year extract reshaped to long indicator format for education"/>
    <s v="OK"/>
    <s v="1970s"/>
    <s v="High"/>
    <s v="Health"/>
  </r>
  <r>
    <s v="GM-01598"/>
    <s v="France"/>
    <x v="1"/>
    <x v="4"/>
    <x v="1"/>
    <s v="Population, total"/>
    <s v="Demographics"/>
    <s v="SDG 11: Sustainable Cities and Communities"/>
    <n v="51732000"/>
    <s v="People"/>
    <s v="France|1972"/>
    <s v="Gapminder/Plotly country-year extract reshaped to long indicator format for education"/>
    <s v="OK"/>
    <s v="1970s"/>
    <s v="N/A"/>
    <s v="Demographics"/>
  </r>
  <r>
    <s v="GM-01599"/>
    <s v="France"/>
    <x v="1"/>
    <x v="4"/>
    <x v="2"/>
    <s v="GDP per capita"/>
    <s v="Economy"/>
    <s v="SDG 8: Decent Work and Economic Growth"/>
    <n v="16107.191709999999"/>
    <s v="Source-defined international dollars"/>
    <s v="France|1972"/>
    <s v="Gapminder/Plotly country-year extract reshaped to long indicator format for education"/>
    <s v="OK"/>
    <s v="1970s"/>
    <s v="N/A"/>
    <s v="Economy"/>
  </r>
  <r>
    <s v="GM-01600"/>
    <s v="France"/>
    <x v="1"/>
    <x v="5"/>
    <x v="0"/>
    <s v="Life expectancy at birth"/>
    <s v="Health"/>
    <s v="SDG 3: Good Health and Well-being"/>
    <n v="73.83"/>
    <s v="Years"/>
    <s v="France|1977"/>
    <s v="Gapminder/Plotly country-year extract reshaped to long indicator format for education"/>
    <s v="OK"/>
    <s v="1970s"/>
    <s v="High"/>
    <s v="Health"/>
  </r>
  <r>
    <s v="GM-01601"/>
    <s v="France"/>
    <x v="1"/>
    <x v="5"/>
    <x v="1"/>
    <s v="Population, total"/>
    <s v="Demographics"/>
    <s v="SDG 11: Sustainable Cities and Communities"/>
    <n v="53165019"/>
    <s v="People"/>
    <s v="France|1977"/>
    <s v="Gapminder/Plotly country-year extract reshaped to long indicator format for education"/>
    <s v="OK"/>
    <s v="1970s"/>
    <s v="N/A"/>
    <s v="Demographics"/>
  </r>
  <r>
    <s v="GM-01602"/>
    <s v="France"/>
    <x v="1"/>
    <x v="5"/>
    <x v="2"/>
    <s v="GDP per capita"/>
    <s v="Economy"/>
    <s v="SDG 8: Decent Work and Economic Growth"/>
    <n v="18292.635139999999"/>
    <s v="Source-defined international dollars"/>
    <s v="France|1977"/>
    <s v="Gapminder/Plotly country-year extract reshaped to long indicator format for education"/>
    <s v="OK"/>
    <s v="1970s"/>
    <s v="N/A"/>
    <s v="Economy"/>
  </r>
  <r>
    <s v="GM-01603"/>
    <s v="France"/>
    <x v="1"/>
    <x v="6"/>
    <x v="0"/>
    <s v="Life expectancy at birth"/>
    <s v="Health"/>
    <s v="SDG 3: Good Health and Well-being"/>
    <n v="74.89"/>
    <s v="Years"/>
    <s v="France|1982"/>
    <s v="Gapminder/Plotly country-year extract reshaped to long indicator format for education"/>
    <s v="OK"/>
    <s v="1980s"/>
    <s v="High"/>
    <s v="Health"/>
  </r>
  <r>
    <s v="GM-01604"/>
    <s v="France"/>
    <x v="1"/>
    <x v="6"/>
    <x v="1"/>
    <s v="Population, total"/>
    <s v="Demographics"/>
    <s v="SDG 11: Sustainable Cities and Communities"/>
    <n v="54433565"/>
    <s v="People"/>
    <s v="France|1982"/>
    <s v="Gapminder/Plotly country-year extract reshaped to long indicator format for education"/>
    <s v="OK"/>
    <s v="1980s"/>
    <s v="N/A"/>
    <s v="Demographics"/>
  </r>
  <r>
    <s v="GM-01605"/>
    <s v="France"/>
    <x v="1"/>
    <x v="6"/>
    <x v="2"/>
    <s v="GDP per capita"/>
    <s v="Economy"/>
    <s v="SDG 8: Decent Work and Economic Growth"/>
    <n v="20293.89746"/>
    <s v="Source-defined international dollars"/>
    <s v="France|1982"/>
    <s v="Gapminder/Plotly country-year extract reshaped to long indicator format for education"/>
    <s v="OK"/>
    <s v="1980s"/>
    <s v="N/A"/>
    <s v="Economy"/>
  </r>
  <r>
    <s v="GM-01606"/>
    <s v="France"/>
    <x v="1"/>
    <x v="7"/>
    <x v="0"/>
    <s v="Life expectancy at birth"/>
    <s v="Health"/>
    <s v="SDG 3: Good Health and Well-being"/>
    <n v="76.34"/>
    <s v="Years"/>
    <s v="France|1987"/>
    <s v="Gapminder/Plotly country-year extract reshaped to long indicator format for education"/>
    <s v="OK"/>
    <s v="1980s"/>
    <s v="High"/>
    <s v="Health"/>
  </r>
  <r>
    <s v="GM-01607"/>
    <s v="France"/>
    <x v="1"/>
    <x v="7"/>
    <x v="1"/>
    <s v="Population, total"/>
    <s v="Demographics"/>
    <s v="SDG 11: Sustainable Cities and Communities"/>
    <n v="55630100"/>
    <s v="People"/>
    <s v="France|1987"/>
    <s v="Gapminder/Plotly country-year extract reshaped to long indicator format for education"/>
    <s v="OK"/>
    <s v="1980s"/>
    <s v="N/A"/>
    <s v="Demographics"/>
  </r>
  <r>
    <s v="GM-01608"/>
    <s v="France"/>
    <x v="1"/>
    <x v="7"/>
    <x v="2"/>
    <s v="GDP per capita"/>
    <s v="Economy"/>
    <s v="SDG 8: Decent Work and Economic Growth"/>
    <n v="22066.442139999999"/>
    <s v="Source-defined international dollars"/>
    <s v="France|1987"/>
    <s v="Gapminder/Plotly country-year extract reshaped to long indicator format for education"/>
    <s v="OK"/>
    <s v="1980s"/>
    <s v="N/A"/>
    <s v="Economy"/>
  </r>
  <r>
    <s v="GM-01609"/>
    <s v="France"/>
    <x v="1"/>
    <x v="8"/>
    <x v="0"/>
    <s v="Life expectancy at birth"/>
    <s v="Health"/>
    <s v="SDG 3: Good Health and Well-being"/>
    <n v="77.459999999999994"/>
    <s v="Years"/>
    <s v="France|1992"/>
    <s v="Gapminder/Plotly country-year extract reshaped to long indicator format for education"/>
    <s v="OK"/>
    <s v="1990s"/>
    <s v="High"/>
    <s v="Health"/>
  </r>
  <r>
    <s v="GM-01610"/>
    <s v="France"/>
    <x v="1"/>
    <x v="8"/>
    <x v="1"/>
    <s v="Population, total"/>
    <s v="Demographics"/>
    <s v="SDG 11: Sustainable Cities and Communities"/>
    <n v="57374179"/>
    <s v="People"/>
    <s v="France|1992"/>
    <s v="Gapminder/Plotly country-year extract reshaped to long indicator format for education"/>
    <s v="OK"/>
    <s v="1990s"/>
    <s v="N/A"/>
    <s v="Demographics"/>
  </r>
  <r>
    <s v="GM-01611"/>
    <s v="France"/>
    <x v="1"/>
    <x v="8"/>
    <x v="2"/>
    <s v="GDP per capita"/>
    <s v="Economy"/>
    <s v="SDG 8: Decent Work and Economic Growth"/>
    <n v="24703.796149999998"/>
    <s v="Source-defined international dollars"/>
    <s v="France|1992"/>
    <s v="Gapminder/Plotly country-year extract reshaped to long indicator format for education"/>
    <s v="OK"/>
    <s v="1990s"/>
    <s v="N/A"/>
    <s v="Economy"/>
  </r>
  <r>
    <s v="GM-01612"/>
    <s v="France"/>
    <x v="1"/>
    <x v="9"/>
    <x v="0"/>
    <s v="Life expectancy at birth"/>
    <s v="Health"/>
    <s v="SDG 3: Good Health and Well-being"/>
    <n v="78.64"/>
    <s v="Years"/>
    <s v="France|1997"/>
    <s v="Gapminder/Plotly country-year extract reshaped to long indicator format for education"/>
    <s v="OK"/>
    <s v="1990s"/>
    <s v="High"/>
    <s v="Health"/>
  </r>
  <r>
    <s v="GM-01613"/>
    <s v="France"/>
    <x v="1"/>
    <x v="9"/>
    <x v="1"/>
    <s v="Population, total"/>
    <s v="Demographics"/>
    <s v="SDG 11: Sustainable Cities and Communities"/>
    <n v="58623428"/>
    <s v="People"/>
    <s v="France|1997"/>
    <s v="Gapminder/Plotly country-year extract reshaped to long indicator format for education"/>
    <s v="OK"/>
    <s v="1990s"/>
    <s v="N/A"/>
    <s v="Demographics"/>
  </r>
  <r>
    <s v="GM-01614"/>
    <s v="France"/>
    <x v="1"/>
    <x v="9"/>
    <x v="2"/>
    <s v="GDP per capita"/>
    <s v="Economy"/>
    <s v="SDG 8: Decent Work and Economic Growth"/>
    <n v="25889.78487"/>
    <s v="Source-defined international dollars"/>
    <s v="France|1997"/>
    <s v="Gapminder/Plotly country-year extract reshaped to long indicator format for education"/>
    <s v="OK"/>
    <s v="1990s"/>
    <s v="N/A"/>
    <s v="Economy"/>
  </r>
  <r>
    <s v="GM-01615"/>
    <s v="France"/>
    <x v="1"/>
    <x v="10"/>
    <x v="0"/>
    <s v="Life expectancy at birth"/>
    <s v="Health"/>
    <s v="SDG 3: Good Health and Well-being"/>
    <n v="79.59"/>
    <s v="Years"/>
    <s v="France|2002"/>
    <s v="Gapminder/Plotly country-year extract reshaped to long indicator format for education"/>
    <s v="OK"/>
    <s v="2000s"/>
    <s v="High"/>
    <s v="Health"/>
  </r>
  <r>
    <s v="GM-01616"/>
    <s v="France"/>
    <x v="1"/>
    <x v="10"/>
    <x v="1"/>
    <s v="Population, total"/>
    <s v="Demographics"/>
    <s v="SDG 11: Sustainable Cities and Communities"/>
    <n v="59925035"/>
    <s v="People"/>
    <s v="France|2002"/>
    <s v="Gapminder/Plotly country-year extract reshaped to long indicator format for education"/>
    <s v="OK"/>
    <s v="2000s"/>
    <s v="N/A"/>
    <s v="Demographics"/>
  </r>
  <r>
    <s v="GM-01617"/>
    <s v="France"/>
    <x v="1"/>
    <x v="10"/>
    <x v="2"/>
    <s v="GDP per capita"/>
    <s v="Economy"/>
    <s v="SDG 8: Decent Work and Economic Growth"/>
    <n v="28926.032340000002"/>
    <s v="Source-defined international dollars"/>
    <s v="France|2002"/>
    <s v="Gapminder/Plotly country-year extract reshaped to long indicator format for education"/>
    <s v="OK"/>
    <s v="2000s"/>
    <s v="N/A"/>
    <s v="Economy"/>
  </r>
  <r>
    <s v="GM-01618"/>
    <s v="France"/>
    <x v="1"/>
    <x v="11"/>
    <x v="0"/>
    <s v="Life expectancy at birth"/>
    <s v="Health"/>
    <s v="SDG 3: Good Health and Well-being"/>
    <n v="80.656999999999996"/>
    <s v="Years"/>
    <s v="France|2007"/>
    <s v="Gapminder/Plotly country-year extract reshaped to long indicator format for education"/>
    <s v="OK"/>
    <s v="2000s"/>
    <s v="High"/>
    <s v="Health"/>
  </r>
  <r>
    <s v="GM-01619"/>
    <s v="France"/>
    <x v="1"/>
    <x v="11"/>
    <x v="1"/>
    <s v="Population, total"/>
    <s v="Demographics"/>
    <s v="SDG 11: Sustainable Cities and Communities"/>
    <n v="61083916"/>
    <s v="People"/>
    <s v="France|2007"/>
    <s v="Gapminder/Plotly country-year extract reshaped to long indicator format for education"/>
    <s v="OK"/>
    <s v="2000s"/>
    <s v="N/A"/>
    <s v="Demographics"/>
  </r>
  <r>
    <s v="GM-01620"/>
    <s v="France"/>
    <x v="1"/>
    <x v="11"/>
    <x v="2"/>
    <s v="GDP per capita"/>
    <s v="Economy"/>
    <s v="SDG 8: Decent Work and Economic Growth"/>
    <n v="30470.0167"/>
    <s v="Source-defined international dollars"/>
    <s v="France|2007"/>
    <s v="Gapminder/Plotly country-year extract reshaped to long indicator format for education"/>
    <s v="OK"/>
    <s v="2000s"/>
    <s v="N/A"/>
    <s v="Economy"/>
  </r>
  <r>
    <s v="GM-01621"/>
    <s v="Gabon"/>
    <x v="2"/>
    <x v="0"/>
    <x v="0"/>
    <s v="Life expectancy at birth"/>
    <s v="Health"/>
    <s v="SDG 3: Good Health and Well-being"/>
    <n v="37.003"/>
    <s v="Years"/>
    <s v="Gabon|1952"/>
    <s v="Gapminder/Plotly country-year extract reshaped to long indicator format for education"/>
    <s v="OK"/>
    <s v="1950s"/>
    <s v="Low"/>
    <s v="Health"/>
  </r>
  <r>
    <s v="GM-01622"/>
    <s v="Gabon"/>
    <x v="2"/>
    <x v="0"/>
    <x v="1"/>
    <s v="Population, total"/>
    <s v="Demographics"/>
    <s v="SDG 11: Sustainable Cities and Communities"/>
    <n v="420702"/>
    <s v="People"/>
    <s v="Gabon|1952"/>
    <s v="Gapminder/Plotly country-year extract reshaped to long indicator format for education"/>
    <s v="OK"/>
    <s v="1950s"/>
    <s v="N/A"/>
    <s v="Demographics"/>
  </r>
  <r>
    <s v="GM-01623"/>
    <s v="Gabon"/>
    <x v="2"/>
    <x v="0"/>
    <x v="2"/>
    <s v="GDP per capita"/>
    <s v="Economy"/>
    <s v="SDG 8: Decent Work and Economic Growth"/>
    <n v="4293.4764750000004"/>
    <s v="Source-defined international dollars"/>
    <s v="Gabon|1952"/>
    <s v="Gapminder/Plotly country-year extract reshaped to long indicator format for education"/>
    <s v="OK"/>
    <s v="1950s"/>
    <s v="N/A"/>
    <s v="Economy"/>
  </r>
  <r>
    <s v="GM-01624"/>
    <s v="Gabon"/>
    <x v="2"/>
    <x v="1"/>
    <x v="0"/>
    <s v="Life expectancy at birth"/>
    <s v="Health"/>
    <s v="SDG 3: Good Health and Well-being"/>
    <n v="38.999000000000002"/>
    <s v="Years"/>
    <s v="Gabon|1957"/>
    <s v="Gapminder/Plotly country-year extract reshaped to long indicator format for education"/>
    <s v="OK"/>
    <s v="1950s"/>
    <s v="Low"/>
    <s v="Health"/>
  </r>
  <r>
    <s v="GM-01625"/>
    <s v="Gabon"/>
    <x v="2"/>
    <x v="1"/>
    <x v="1"/>
    <s v="Population, total"/>
    <s v="Demographics"/>
    <s v="SDG 11: Sustainable Cities and Communities"/>
    <n v="434904"/>
    <s v="People"/>
    <s v="Gabon|1957"/>
    <s v="Gapminder/Plotly country-year extract reshaped to long indicator format for education"/>
    <s v="OK"/>
    <s v="1950s"/>
    <s v="N/A"/>
    <s v="Demographics"/>
  </r>
  <r>
    <s v="GM-01626"/>
    <s v="Gabon"/>
    <x v="2"/>
    <x v="1"/>
    <x v="2"/>
    <s v="GDP per capita"/>
    <s v="Economy"/>
    <s v="SDG 8: Decent Work and Economic Growth"/>
    <n v="4976.1980990000002"/>
    <s v="Source-defined international dollars"/>
    <s v="Gabon|1957"/>
    <s v="Gapminder/Plotly country-year extract reshaped to long indicator format for education"/>
    <s v="OK"/>
    <s v="1950s"/>
    <s v="N/A"/>
    <s v="Economy"/>
  </r>
  <r>
    <s v="GM-01627"/>
    <s v="Gabon"/>
    <x v="2"/>
    <x v="2"/>
    <x v="0"/>
    <s v="Life expectancy at birth"/>
    <s v="Health"/>
    <s v="SDG 3: Good Health and Well-being"/>
    <n v="40.488999999999997"/>
    <s v="Years"/>
    <s v="Gabon|1962"/>
    <s v="Gapminder/Plotly country-year extract reshaped to long indicator format for education"/>
    <s v="OK"/>
    <s v="1960s"/>
    <s v="Low"/>
    <s v="Health"/>
  </r>
  <r>
    <s v="GM-01628"/>
    <s v="Gabon"/>
    <x v="2"/>
    <x v="2"/>
    <x v="1"/>
    <s v="Population, total"/>
    <s v="Demographics"/>
    <s v="SDG 11: Sustainable Cities and Communities"/>
    <n v="455661"/>
    <s v="People"/>
    <s v="Gabon|1962"/>
    <s v="Gapminder/Plotly country-year extract reshaped to long indicator format for education"/>
    <s v="OK"/>
    <s v="1960s"/>
    <s v="N/A"/>
    <s v="Demographics"/>
  </r>
  <r>
    <s v="GM-01629"/>
    <s v="Gabon"/>
    <x v="2"/>
    <x v="2"/>
    <x v="2"/>
    <s v="GDP per capita"/>
    <s v="Economy"/>
    <s v="SDG 8: Decent Work and Economic Growth"/>
    <n v="6631.4592220000004"/>
    <s v="Source-defined international dollars"/>
    <s v="Gabon|1962"/>
    <s v="Gapminder/Plotly country-year extract reshaped to long indicator format for education"/>
    <s v="OK"/>
    <s v="1960s"/>
    <s v="N/A"/>
    <s v="Economy"/>
  </r>
  <r>
    <s v="GM-01630"/>
    <s v="Gabon"/>
    <x v="2"/>
    <x v="3"/>
    <x v="0"/>
    <s v="Life expectancy at birth"/>
    <s v="Health"/>
    <s v="SDG 3: Good Health and Well-being"/>
    <n v="44.597999999999999"/>
    <s v="Years"/>
    <s v="Gabon|1967"/>
    <s v="Gapminder/Plotly country-year extract reshaped to long indicator format for education"/>
    <s v="OK"/>
    <s v="1960s"/>
    <s v="Low"/>
    <s v="Health"/>
  </r>
  <r>
    <s v="GM-01631"/>
    <s v="Gabon"/>
    <x v="2"/>
    <x v="3"/>
    <x v="1"/>
    <s v="Population, total"/>
    <s v="Demographics"/>
    <s v="SDG 11: Sustainable Cities and Communities"/>
    <n v="489004"/>
    <s v="People"/>
    <s v="Gabon|1967"/>
    <s v="Gapminder/Plotly country-year extract reshaped to long indicator format for education"/>
    <s v="OK"/>
    <s v="1960s"/>
    <s v="N/A"/>
    <s v="Demographics"/>
  </r>
  <r>
    <s v="GM-01632"/>
    <s v="Gabon"/>
    <x v="2"/>
    <x v="3"/>
    <x v="2"/>
    <s v="GDP per capita"/>
    <s v="Economy"/>
    <s v="SDG 8: Decent Work and Economic Growth"/>
    <n v="8358.7619869999999"/>
    <s v="Source-defined international dollars"/>
    <s v="Gabon|1967"/>
    <s v="Gapminder/Plotly country-year extract reshaped to long indicator format for education"/>
    <s v="OK"/>
    <s v="1960s"/>
    <s v="N/A"/>
    <s v="Economy"/>
  </r>
  <r>
    <s v="GM-01633"/>
    <s v="Gabon"/>
    <x v="2"/>
    <x v="4"/>
    <x v="0"/>
    <s v="Life expectancy at birth"/>
    <s v="Health"/>
    <s v="SDG 3: Good Health and Well-being"/>
    <n v="48.69"/>
    <s v="Years"/>
    <s v="Gabon|1972"/>
    <s v="Gapminder/Plotly country-year extract reshaped to long indicator format for education"/>
    <s v="OK"/>
    <s v="1970s"/>
    <s v="Low"/>
    <s v="Health"/>
  </r>
  <r>
    <s v="GM-01634"/>
    <s v="Gabon"/>
    <x v="2"/>
    <x v="4"/>
    <x v="1"/>
    <s v="Population, total"/>
    <s v="Demographics"/>
    <s v="SDG 11: Sustainable Cities and Communities"/>
    <n v="537977"/>
    <s v="People"/>
    <s v="Gabon|1972"/>
    <s v="Gapminder/Plotly country-year extract reshaped to long indicator format for education"/>
    <s v="OK"/>
    <s v="1970s"/>
    <s v="N/A"/>
    <s v="Demographics"/>
  </r>
  <r>
    <s v="GM-01635"/>
    <s v="Gabon"/>
    <x v="2"/>
    <x v="4"/>
    <x v="2"/>
    <s v="GDP per capita"/>
    <s v="Economy"/>
    <s v="SDG 8: Decent Work and Economic Growth"/>
    <n v="11401.948410000001"/>
    <s v="Source-defined international dollars"/>
    <s v="Gabon|1972"/>
    <s v="Gapminder/Plotly country-year extract reshaped to long indicator format for education"/>
    <s v="OK"/>
    <s v="1970s"/>
    <s v="N/A"/>
    <s v="Economy"/>
  </r>
  <r>
    <s v="GM-01636"/>
    <s v="Gabon"/>
    <x v="2"/>
    <x v="5"/>
    <x v="0"/>
    <s v="Life expectancy at birth"/>
    <s v="Health"/>
    <s v="SDG 3: Good Health and Well-being"/>
    <n v="52.79"/>
    <s v="Years"/>
    <s v="Gabon|1977"/>
    <s v="Gapminder/Plotly country-year extract reshaped to long indicator format for education"/>
    <s v="OK"/>
    <s v="1970s"/>
    <s v="Low"/>
    <s v="Health"/>
  </r>
  <r>
    <s v="GM-01637"/>
    <s v="Gabon"/>
    <x v="2"/>
    <x v="5"/>
    <x v="1"/>
    <s v="Population, total"/>
    <s v="Demographics"/>
    <s v="SDG 11: Sustainable Cities and Communities"/>
    <n v="706367"/>
    <s v="People"/>
    <s v="Gabon|1977"/>
    <s v="Gapminder/Plotly country-year extract reshaped to long indicator format for education"/>
    <s v="OK"/>
    <s v="1970s"/>
    <s v="N/A"/>
    <s v="Demographics"/>
  </r>
  <r>
    <s v="GM-01638"/>
    <s v="Gabon"/>
    <x v="2"/>
    <x v="5"/>
    <x v="2"/>
    <s v="GDP per capita"/>
    <s v="Economy"/>
    <s v="SDG 8: Decent Work and Economic Growth"/>
    <n v="21745.573280000001"/>
    <s v="Source-defined international dollars"/>
    <s v="Gabon|1977"/>
    <s v="Gapminder/Plotly country-year extract reshaped to long indicator format for education"/>
    <s v="OK"/>
    <s v="1970s"/>
    <s v="N/A"/>
    <s v="Economy"/>
  </r>
  <r>
    <s v="GM-01639"/>
    <s v="Gabon"/>
    <x v="2"/>
    <x v="6"/>
    <x v="0"/>
    <s v="Life expectancy at birth"/>
    <s v="Health"/>
    <s v="SDG 3: Good Health and Well-being"/>
    <n v="56.563999999999901"/>
    <s v="Years"/>
    <s v="Gabon|1982"/>
    <s v="Gapminder/Plotly country-year extract reshaped to long indicator format for education"/>
    <s v="OK"/>
    <s v="1980s"/>
    <s v="Medium"/>
    <s v="Health"/>
  </r>
  <r>
    <s v="GM-01640"/>
    <s v="Gabon"/>
    <x v="2"/>
    <x v="6"/>
    <x v="1"/>
    <s v="Population, total"/>
    <s v="Demographics"/>
    <s v="SDG 11: Sustainable Cities and Communities"/>
    <n v="753874"/>
    <s v="People"/>
    <s v="Gabon|1982"/>
    <s v="Gapminder/Plotly country-year extract reshaped to long indicator format for education"/>
    <s v="OK"/>
    <s v="1980s"/>
    <s v="N/A"/>
    <s v="Demographics"/>
  </r>
  <r>
    <s v="GM-01641"/>
    <s v="Gabon"/>
    <x v="2"/>
    <x v="6"/>
    <x v="2"/>
    <s v="GDP per capita"/>
    <s v="Economy"/>
    <s v="SDG 8: Decent Work and Economic Growth"/>
    <n v="15113.361940000001"/>
    <s v="Source-defined international dollars"/>
    <s v="Gabon|1982"/>
    <s v="Gapminder/Plotly country-year extract reshaped to long indicator format for education"/>
    <s v="OK"/>
    <s v="1980s"/>
    <s v="N/A"/>
    <s v="Economy"/>
  </r>
  <r>
    <s v="GM-01642"/>
    <s v="Gabon"/>
    <x v="2"/>
    <x v="7"/>
    <x v="0"/>
    <s v="Life expectancy at birth"/>
    <s v="Health"/>
    <s v="SDG 3: Good Health and Well-being"/>
    <n v="60.19"/>
    <s v="Years"/>
    <s v="Gabon|1987"/>
    <s v="Gapminder/Plotly country-year extract reshaped to long indicator format for education"/>
    <s v="OK"/>
    <s v="1980s"/>
    <s v="Medium"/>
    <s v="Health"/>
  </r>
  <r>
    <s v="GM-01643"/>
    <s v="Gabon"/>
    <x v="2"/>
    <x v="7"/>
    <x v="1"/>
    <s v="Population, total"/>
    <s v="Demographics"/>
    <s v="SDG 11: Sustainable Cities and Communities"/>
    <n v="880397"/>
    <s v="People"/>
    <s v="Gabon|1987"/>
    <s v="Gapminder/Plotly country-year extract reshaped to long indicator format for education"/>
    <s v="OK"/>
    <s v="1980s"/>
    <s v="N/A"/>
    <s v="Demographics"/>
  </r>
  <r>
    <s v="GM-01644"/>
    <s v="Gabon"/>
    <x v="2"/>
    <x v="7"/>
    <x v="2"/>
    <s v="GDP per capita"/>
    <s v="Economy"/>
    <s v="SDG 8: Decent Work and Economic Growth"/>
    <n v="11864.408439999999"/>
    <s v="Source-defined international dollars"/>
    <s v="Gabon|1987"/>
    <s v="Gapminder/Plotly country-year extract reshaped to long indicator format for education"/>
    <s v="OK"/>
    <s v="1980s"/>
    <s v="N/A"/>
    <s v="Economy"/>
  </r>
  <r>
    <s v="GM-01645"/>
    <s v="Gabon"/>
    <x v="2"/>
    <x v="8"/>
    <x v="0"/>
    <s v="Life expectancy at birth"/>
    <s v="Health"/>
    <s v="SDG 3: Good Health and Well-being"/>
    <n v="61.366"/>
    <s v="Years"/>
    <s v="Gabon|1992"/>
    <s v="Gapminder/Plotly country-year extract reshaped to long indicator format for education"/>
    <s v="OK"/>
    <s v="1990s"/>
    <s v="Medium"/>
    <s v="Health"/>
  </r>
  <r>
    <s v="GM-01646"/>
    <s v="Gabon"/>
    <x v="2"/>
    <x v="8"/>
    <x v="1"/>
    <s v="Population, total"/>
    <s v="Demographics"/>
    <s v="SDG 11: Sustainable Cities and Communities"/>
    <n v="985739"/>
    <s v="People"/>
    <s v="Gabon|1992"/>
    <s v="Gapminder/Plotly country-year extract reshaped to long indicator format for education"/>
    <s v="OK"/>
    <s v="1990s"/>
    <s v="N/A"/>
    <s v="Demographics"/>
  </r>
  <r>
    <s v="GM-01647"/>
    <s v="Gabon"/>
    <x v="2"/>
    <x v="8"/>
    <x v="2"/>
    <s v="GDP per capita"/>
    <s v="Economy"/>
    <s v="SDG 8: Decent Work and Economic Growth"/>
    <n v="13522.157520000001"/>
    <s v="Source-defined international dollars"/>
    <s v="Gabon|1992"/>
    <s v="Gapminder/Plotly country-year extract reshaped to long indicator format for education"/>
    <s v="OK"/>
    <s v="1990s"/>
    <s v="N/A"/>
    <s v="Economy"/>
  </r>
  <r>
    <s v="GM-01648"/>
    <s v="Gabon"/>
    <x v="2"/>
    <x v="9"/>
    <x v="0"/>
    <s v="Life expectancy at birth"/>
    <s v="Health"/>
    <s v="SDG 3: Good Health and Well-being"/>
    <n v="60.460999999999999"/>
    <s v="Years"/>
    <s v="Gabon|1997"/>
    <s v="Gapminder/Plotly country-year extract reshaped to long indicator format for education"/>
    <s v="OK"/>
    <s v="1990s"/>
    <s v="Medium"/>
    <s v="Health"/>
  </r>
  <r>
    <s v="GM-01649"/>
    <s v="Gabon"/>
    <x v="2"/>
    <x v="9"/>
    <x v="1"/>
    <s v="Population, total"/>
    <s v="Demographics"/>
    <s v="SDG 11: Sustainable Cities and Communities"/>
    <n v="1126189"/>
    <s v="People"/>
    <s v="Gabon|1997"/>
    <s v="Gapminder/Plotly country-year extract reshaped to long indicator format for education"/>
    <s v="OK"/>
    <s v="1990s"/>
    <s v="N/A"/>
    <s v="Demographics"/>
  </r>
  <r>
    <s v="GM-01650"/>
    <s v="Gabon"/>
    <x v="2"/>
    <x v="9"/>
    <x v="2"/>
    <s v="GDP per capita"/>
    <s v="Economy"/>
    <s v="SDG 8: Decent Work and Economic Growth"/>
    <n v="14722.84188"/>
    <s v="Source-defined international dollars"/>
    <s v="Gabon|1997"/>
    <s v="Gapminder/Plotly country-year extract reshaped to long indicator format for education"/>
    <s v="OK"/>
    <s v="1990s"/>
    <s v="N/A"/>
    <s v="Economy"/>
  </r>
  <r>
    <s v="GM-01651"/>
    <s v="Gabon"/>
    <x v="2"/>
    <x v="10"/>
    <x v="0"/>
    <s v="Life expectancy at birth"/>
    <s v="Health"/>
    <s v="SDG 3: Good Health and Well-being"/>
    <n v="56.761000000000003"/>
    <s v="Years"/>
    <s v="Gabon|2002"/>
    <s v="Gapminder/Plotly country-year extract reshaped to long indicator format for education"/>
    <s v="OK"/>
    <s v="2000s"/>
    <s v="Medium"/>
    <s v="Health"/>
  </r>
  <r>
    <s v="GM-01652"/>
    <s v="Gabon"/>
    <x v="2"/>
    <x v="10"/>
    <x v="1"/>
    <s v="Population, total"/>
    <s v="Demographics"/>
    <s v="SDG 11: Sustainable Cities and Communities"/>
    <n v="1299304"/>
    <s v="People"/>
    <s v="Gabon|2002"/>
    <s v="Gapminder/Plotly country-year extract reshaped to long indicator format for education"/>
    <s v="OK"/>
    <s v="2000s"/>
    <s v="N/A"/>
    <s v="Demographics"/>
  </r>
  <r>
    <s v="GM-01653"/>
    <s v="Gabon"/>
    <x v="2"/>
    <x v="10"/>
    <x v="2"/>
    <s v="GDP per capita"/>
    <s v="Economy"/>
    <s v="SDG 8: Decent Work and Economic Growth"/>
    <n v="12521.71392"/>
    <s v="Source-defined international dollars"/>
    <s v="Gabon|2002"/>
    <s v="Gapminder/Plotly country-year extract reshaped to long indicator format for education"/>
    <s v="OK"/>
    <s v="2000s"/>
    <s v="N/A"/>
    <s v="Economy"/>
  </r>
  <r>
    <s v="GM-01654"/>
    <s v="Gabon"/>
    <x v="2"/>
    <x v="11"/>
    <x v="0"/>
    <s v="Life expectancy at birth"/>
    <s v="Health"/>
    <s v="SDG 3: Good Health and Well-being"/>
    <n v="56.734999999999999"/>
    <s v="Years"/>
    <s v="Gabon|2007"/>
    <s v="Gapminder/Plotly country-year extract reshaped to long indicator format for education"/>
    <s v="OK"/>
    <s v="2000s"/>
    <s v="Medium"/>
    <s v="Health"/>
  </r>
  <r>
    <s v="GM-01655"/>
    <s v="Gabon"/>
    <x v="2"/>
    <x v="11"/>
    <x v="1"/>
    <s v="Population, total"/>
    <s v="Demographics"/>
    <s v="SDG 11: Sustainable Cities and Communities"/>
    <n v="1454867"/>
    <s v="People"/>
    <s v="Gabon|2007"/>
    <s v="Gapminder/Plotly country-year extract reshaped to long indicator format for education"/>
    <s v="OK"/>
    <s v="2000s"/>
    <s v="N/A"/>
    <s v="Demographics"/>
  </r>
  <r>
    <s v="GM-01656"/>
    <s v="Gabon"/>
    <x v="2"/>
    <x v="11"/>
    <x v="2"/>
    <s v="GDP per capita"/>
    <s v="Economy"/>
    <s v="SDG 8: Decent Work and Economic Growth"/>
    <n v="13206.48452"/>
    <s v="Source-defined international dollars"/>
    <s v="Gabon|2007"/>
    <s v="Gapminder/Plotly country-year extract reshaped to long indicator format for education"/>
    <s v="OK"/>
    <s v="2000s"/>
    <s v="N/A"/>
    <s v="Economy"/>
  </r>
  <r>
    <s v="GM-01657"/>
    <s v="Gambia"/>
    <x v="2"/>
    <x v="0"/>
    <x v="0"/>
    <s v="Life expectancy at birth"/>
    <s v="Health"/>
    <s v="SDG 3: Good Health and Well-being"/>
    <n v="30"/>
    <s v="Years"/>
    <s v="Gambia|1952"/>
    <s v="Gapminder/Plotly country-year extract reshaped to long indicator format for education"/>
    <s v="OK"/>
    <s v="1950s"/>
    <s v="Low"/>
    <s v="Health"/>
  </r>
  <r>
    <s v="GM-01658"/>
    <s v="Gambia"/>
    <x v="2"/>
    <x v="0"/>
    <x v="1"/>
    <s v="Population, total"/>
    <s v="Demographics"/>
    <s v="SDG 11: Sustainable Cities and Communities"/>
    <n v="284320"/>
    <s v="People"/>
    <s v="Gambia|1952"/>
    <s v="Gapminder/Plotly country-year extract reshaped to long indicator format for education"/>
    <s v="OK"/>
    <s v="1950s"/>
    <s v="N/A"/>
    <s v="Demographics"/>
  </r>
  <r>
    <s v="GM-01659"/>
    <s v="Gambia"/>
    <x v="2"/>
    <x v="0"/>
    <x v="2"/>
    <s v="GDP per capita"/>
    <s v="Economy"/>
    <s v="SDG 8: Decent Work and Economic Growth"/>
    <n v="485.23065910000003"/>
    <s v="Source-defined international dollars"/>
    <s v="Gambia|1952"/>
    <s v="Gapminder/Plotly country-year extract reshaped to long indicator format for education"/>
    <s v="OK"/>
    <s v="1950s"/>
    <s v="N/A"/>
    <s v="Economy"/>
  </r>
  <r>
    <s v="GM-01660"/>
    <s v="Gambia"/>
    <x v="2"/>
    <x v="1"/>
    <x v="0"/>
    <s v="Life expectancy at birth"/>
    <s v="Health"/>
    <s v="SDG 3: Good Health and Well-being"/>
    <n v="32.064999999999998"/>
    <s v="Years"/>
    <s v="Gambia|1957"/>
    <s v="Gapminder/Plotly country-year extract reshaped to long indicator format for education"/>
    <s v="OK"/>
    <s v="1950s"/>
    <s v="Low"/>
    <s v="Health"/>
  </r>
  <r>
    <s v="GM-01661"/>
    <s v="Gambia"/>
    <x v="2"/>
    <x v="1"/>
    <x v="1"/>
    <s v="Population, total"/>
    <s v="Demographics"/>
    <s v="SDG 11: Sustainable Cities and Communities"/>
    <n v="323150"/>
    <s v="People"/>
    <s v="Gambia|1957"/>
    <s v="Gapminder/Plotly country-year extract reshaped to long indicator format for education"/>
    <s v="OK"/>
    <s v="1950s"/>
    <s v="N/A"/>
    <s v="Demographics"/>
  </r>
  <r>
    <s v="GM-01662"/>
    <s v="Gambia"/>
    <x v="2"/>
    <x v="1"/>
    <x v="2"/>
    <s v="GDP per capita"/>
    <s v="Economy"/>
    <s v="SDG 8: Decent Work and Economic Growth"/>
    <n v="520.92671110000003"/>
    <s v="Source-defined international dollars"/>
    <s v="Gambia|1957"/>
    <s v="Gapminder/Plotly country-year extract reshaped to long indicator format for education"/>
    <s v="OK"/>
    <s v="1950s"/>
    <s v="N/A"/>
    <s v="Economy"/>
  </r>
  <r>
    <s v="GM-01663"/>
    <s v="Gambia"/>
    <x v="2"/>
    <x v="2"/>
    <x v="0"/>
    <s v="Life expectancy at birth"/>
    <s v="Health"/>
    <s v="SDG 3: Good Health and Well-being"/>
    <n v="33.896000000000001"/>
    <s v="Years"/>
    <s v="Gambia|1962"/>
    <s v="Gapminder/Plotly country-year extract reshaped to long indicator format for education"/>
    <s v="OK"/>
    <s v="1960s"/>
    <s v="Low"/>
    <s v="Health"/>
  </r>
  <r>
    <s v="GM-01664"/>
    <s v="Gambia"/>
    <x v="2"/>
    <x v="2"/>
    <x v="1"/>
    <s v="Population, total"/>
    <s v="Demographics"/>
    <s v="SDG 11: Sustainable Cities and Communities"/>
    <n v="374020"/>
    <s v="People"/>
    <s v="Gambia|1962"/>
    <s v="Gapminder/Plotly country-year extract reshaped to long indicator format for education"/>
    <s v="OK"/>
    <s v="1960s"/>
    <s v="N/A"/>
    <s v="Demographics"/>
  </r>
  <r>
    <s v="GM-01665"/>
    <s v="Gambia"/>
    <x v="2"/>
    <x v="2"/>
    <x v="2"/>
    <s v="GDP per capita"/>
    <s v="Economy"/>
    <s v="SDG 8: Decent Work and Economic Growth"/>
    <n v="599.65027599999996"/>
    <s v="Source-defined international dollars"/>
    <s v="Gambia|1962"/>
    <s v="Gapminder/Plotly country-year extract reshaped to long indicator format for education"/>
    <s v="OK"/>
    <s v="1960s"/>
    <s v="N/A"/>
    <s v="Economy"/>
  </r>
  <r>
    <s v="GM-01666"/>
    <s v="Gambia"/>
    <x v="2"/>
    <x v="3"/>
    <x v="0"/>
    <s v="Life expectancy at birth"/>
    <s v="Health"/>
    <s v="SDG 3: Good Health and Well-being"/>
    <n v="35.856999999999999"/>
    <s v="Years"/>
    <s v="Gambia|1967"/>
    <s v="Gapminder/Plotly country-year extract reshaped to long indicator format for education"/>
    <s v="OK"/>
    <s v="1960s"/>
    <s v="Low"/>
    <s v="Health"/>
  </r>
  <r>
    <s v="GM-01667"/>
    <s v="Gambia"/>
    <x v="2"/>
    <x v="3"/>
    <x v="1"/>
    <s v="Population, total"/>
    <s v="Demographics"/>
    <s v="SDG 11: Sustainable Cities and Communities"/>
    <n v="439593"/>
    <s v="People"/>
    <s v="Gambia|1967"/>
    <s v="Gapminder/Plotly country-year extract reshaped to long indicator format for education"/>
    <s v="OK"/>
    <s v="1960s"/>
    <s v="N/A"/>
    <s v="Demographics"/>
  </r>
  <r>
    <s v="GM-01668"/>
    <s v="Gambia"/>
    <x v="2"/>
    <x v="3"/>
    <x v="2"/>
    <s v="GDP per capita"/>
    <s v="Economy"/>
    <s v="SDG 8: Decent Work and Economic Growth"/>
    <n v="734.78291239999999"/>
    <s v="Source-defined international dollars"/>
    <s v="Gambia|1967"/>
    <s v="Gapminder/Plotly country-year extract reshaped to long indicator format for education"/>
    <s v="OK"/>
    <s v="1960s"/>
    <s v="N/A"/>
    <s v="Economy"/>
  </r>
  <r>
    <s v="GM-01669"/>
    <s v="Gambia"/>
    <x v="2"/>
    <x v="4"/>
    <x v="0"/>
    <s v="Life expectancy at birth"/>
    <s v="Health"/>
    <s v="SDG 3: Good Health and Well-being"/>
    <n v="38.308"/>
    <s v="Years"/>
    <s v="Gambia|1972"/>
    <s v="Gapminder/Plotly country-year extract reshaped to long indicator format for education"/>
    <s v="OK"/>
    <s v="1970s"/>
    <s v="Low"/>
    <s v="Health"/>
  </r>
  <r>
    <s v="GM-01670"/>
    <s v="Gambia"/>
    <x v="2"/>
    <x v="4"/>
    <x v="1"/>
    <s v="Population, total"/>
    <s v="Demographics"/>
    <s v="SDG 11: Sustainable Cities and Communities"/>
    <n v="517101"/>
    <s v="People"/>
    <s v="Gambia|1972"/>
    <s v="Gapminder/Plotly country-year extract reshaped to long indicator format for education"/>
    <s v="OK"/>
    <s v="1970s"/>
    <s v="N/A"/>
    <s v="Demographics"/>
  </r>
  <r>
    <s v="GM-01671"/>
    <s v="Gambia"/>
    <x v="2"/>
    <x v="4"/>
    <x v="2"/>
    <s v="GDP per capita"/>
    <s v="Economy"/>
    <s v="SDG 8: Decent Work and Economic Growth"/>
    <n v="756.08683629999996"/>
    <s v="Source-defined international dollars"/>
    <s v="Gambia|1972"/>
    <s v="Gapminder/Plotly country-year extract reshaped to long indicator format for education"/>
    <s v="OK"/>
    <s v="1970s"/>
    <s v="N/A"/>
    <s v="Economy"/>
  </r>
  <r>
    <s v="GM-01672"/>
    <s v="Gambia"/>
    <x v="2"/>
    <x v="5"/>
    <x v="0"/>
    <s v="Life expectancy at birth"/>
    <s v="Health"/>
    <s v="SDG 3: Good Health and Well-being"/>
    <n v="41.841999999999999"/>
    <s v="Years"/>
    <s v="Gambia|1977"/>
    <s v="Gapminder/Plotly country-year extract reshaped to long indicator format for education"/>
    <s v="OK"/>
    <s v="1970s"/>
    <s v="Low"/>
    <s v="Health"/>
  </r>
  <r>
    <s v="GM-01673"/>
    <s v="Gambia"/>
    <x v="2"/>
    <x v="5"/>
    <x v="1"/>
    <s v="Population, total"/>
    <s v="Demographics"/>
    <s v="SDG 11: Sustainable Cities and Communities"/>
    <n v="608274"/>
    <s v="People"/>
    <s v="Gambia|1977"/>
    <s v="Gapminder/Plotly country-year extract reshaped to long indicator format for education"/>
    <s v="OK"/>
    <s v="1970s"/>
    <s v="N/A"/>
    <s v="Demographics"/>
  </r>
  <r>
    <s v="GM-01674"/>
    <s v="Gambia"/>
    <x v="2"/>
    <x v="5"/>
    <x v="2"/>
    <s v="GDP per capita"/>
    <s v="Economy"/>
    <s v="SDG 8: Decent Work and Economic Growth"/>
    <n v="884.75525070000003"/>
    <s v="Source-defined international dollars"/>
    <s v="Gambia|1977"/>
    <s v="Gapminder/Plotly country-year extract reshaped to long indicator format for education"/>
    <s v="OK"/>
    <s v="1970s"/>
    <s v="N/A"/>
    <s v="Economy"/>
  </r>
  <r>
    <s v="GM-01675"/>
    <s v="Gambia"/>
    <x v="2"/>
    <x v="6"/>
    <x v="0"/>
    <s v="Life expectancy at birth"/>
    <s v="Health"/>
    <s v="SDG 3: Good Health and Well-being"/>
    <n v="45.58"/>
    <s v="Years"/>
    <s v="Gambia|1982"/>
    <s v="Gapminder/Plotly country-year extract reshaped to long indicator format for education"/>
    <s v="OK"/>
    <s v="1980s"/>
    <s v="Low"/>
    <s v="Health"/>
  </r>
  <r>
    <s v="GM-01676"/>
    <s v="Gambia"/>
    <x v="2"/>
    <x v="6"/>
    <x v="1"/>
    <s v="Population, total"/>
    <s v="Demographics"/>
    <s v="SDG 11: Sustainable Cities and Communities"/>
    <n v="715523"/>
    <s v="People"/>
    <s v="Gambia|1982"/>
    <s v="Gapminder/Plotly country-year extract reshaped to long indicator format for education"/>
    <s v="OK"/>
    <s v="1980s"/>
    <s v="N/A"/>
    <s v="Demographics"/>
  </r>
  <r>
    <s v="GM-01677"/>
    <s v="Gambia"/>
    <x v="2"/>
    <x v="6"/>
    <x v="2"/>
    <s v="GDP per capita"/>
    <s v="Economy"/>
    <s v="SDG 8: Decent Work and Economic Growth"/>
    <n v="835.80961079999895"/>
    <s v="Source-defined international dollars"/>
    <s v="Gambia|1982"/>
    <s v="Gapminder/Plotly country-year extract reshaped to long indicator format for education"/>
    <s v="OK"/>
    <s v="1980s"/>
    <s v="N/A"/>
    <s v="Economy"/>
  </r>
  <r>
    <s v="GM-01678"/>
    <s v="Gambia"/>
    <x v="2"/>
    <x v="7"/>
    <x v="0"/>
    <s v="Life expectancy at birth"/>
    <s v="Health"/>
    <s v="SDG 3: Good Health and Well-being"/>
    <n v="49.265000000000001"/>
    <s v="Years"/>
    <s v="Gambia|1987"/>
    <s v="Gapminder/Plotly country-year extract reshaped to long indicator format for education"/>
    <s v="OK"/>
    <s v="1980s"/>
    <s v="Low"/>
    <s v="Health"/>
  </r>
  <r>
    <s v="GM-01679"/>
    <s v="Gambia"/>
    <x v="2"/>
    <x v="7"/>
    <x v="1"/>
    <s v="Population, total"/>
    <s v="Demographics"/>
    <s v="SDG 11: Sustainable Cities and Communities"/>
    <n v="848406"/>
    <s v="People"/>
    <s v="Gambia|1987"/>
    <s v="Gapminder/Plotly country-year extract reshaped to long indicator format for education"/>
    <s v="OK"/>
    <s v="1980s"/>
    <s v="N/A"/>
    <s v="Demographics"/>
  </r>
  <r>
    <s v="GM-01680"/>
    <s v="Gambia"/>
    <x v="2"/>
    <x v="7"/>
    <x v="2"/>
    <s v="GDP per capita"/>
    <s v="Economy"/>
    <s v="SDG 8: Decent Work and Economic Growth"/>
    <n v="611.65886109999997"/>
    <s v="Source-defined international dollars"/>
    <s v="Gambia|1987"/>
    <s v="Gapminder/Plotly country-year extract reshaped to long indicator format for education"/>
    <s v="OK"/>
    <s v="1980s"/>
    <s v="N/A"/>
    <s v="Economy"/>
  </r>
  <r>
    <s v="GM-01681"/>
    <s v="Gambia"/>
    <x v="2"/>
    <x v="8"/>
    <x v="0"/>
    <s v="Life expectancy at birth"/>
    <s v="Health"/>
    <s v="SDG 3: Good Health and Well-being"/>
    <n v="52.643999999999998"/>
    <s v="Years"/>
    <s v="Gambia|1992"/>
    <s v="Gapminder/Plotly country-year extract reshaped to long indicator format for education"/>
    <s v="OK"/>
    <s v="1990s"/>
    <s v="Low"/>
    <s v="Health"/>
  </r>
  <r>
    <s v="GM-01682"/>
    <s v="Gambia"/>
    <x v="2"/>
    <x v="8"/>
    <x v="1"/>
    <s v="Population, total"/>
    <s v="Demographics"/>
    <s v="SDG 11: Sustainable Cities and Communities"/>
    <n v="1025384"/>
    <s v="People"/>
    <s v="Gambia|1992"/>
    <s v="Gapminder/Plotly country-year extract reshaped to long indicator format for education"/>
    <s v="OK"/>
    <s v="1990s"/>
    <s v="N/A"/>
    <s v="Demographics"/>
  </r>
  <r>
    <s v="GM-01683"/>
    <s v="Gambia"/>
    <x v="2"/>
    <x v="8"/>
    <x v="2"/>
    <s v="GDP per capita"/>
    <s v="Economy"/>
    <s v="SDG 8: Decent Work and Economic Growth"/>
    <n v="665.62441260000003"/>
    <s v="Source-defined international dollars"/>
    <s v="Gambia|1992"/>
    <s v="Gapminder/Plotly country-year extract reshaped to long indicator format for education"/>
    <s v="OK"/>
    <s v="1990s"/>
    <s v="N/A"/>
    <s v="Economy"/>
  </r>
  <r>
    <s v="GM-01684"/>
    <s v="Gambia"/>
    <x v="2"/>
    <x v="9"/>
    <x v="0"/>
    <s v="Life expectancy at birth"/>
    <s v="Health"/>
    <s v="SDG 3: Good Health and Well-being"/>
    <n v="55.860999999999997"/>
    <s v="Years"/>
    <s v="Gambia|1997"/>
    <s v="Gapminder/Plotly country-year extract reshaped to long indicator format for education"/>
    <s v="OK"/>
    <s v="1990s"/>
    <s v="Medium"/>
    <s v="Health"/>
  </r>
  <r>
    <s v="GM-01685"/>
    <s v="Gambia"/>
    <x v="2"/>
    <x v="9"/>
    <x v="1"/>
    <s v="Population, total"/>
    <s v="Demographics"/>
    <s v="SDG 11: Sustainable Cities and Communities"/>
    <n v="1235767"/>
    <s v="People"/>
    <s v="Gambia|1997"/>
    <s v="Gapminder/Plotly country-year extract reshaped to long indicator format for education"/>
    <s v="OK"/>
    <s v="1990s"/>
    <s v="N/A"/>
    <s v="Demographics"/>
  </r>
  <r>
    <s v="GM-01686"/>
    <s v="Gambia"/>
    <x v="2"/>
    <x v="9"/>
    <x v="2"/>
    <s v="GDP per capita"/>
    <s v="Economy"/>
    <s v="SDG 8: Decent Work and Economic Growth"/>
    <n v="653.73017040000002"/>
    <s v="Source-defined international dollars"/>
    <s v="Gambia|1997"/>
    <s v="Gapminder/Plotly country-year extract reshaped to long indicator format for education"/>
    <s v="OK"/>
    <s v="1990s"/>
    <s v="N/A"/>
    <s v="Economy"/>
  </r>
  <r>
    <s v="GM-01687"/>
    <s v="Gambia"/>
    <x v="2"/>
    <x v="10"/>
    <x v="0"/>
    <s v="Life expectancy at birth"/>
    <s v="Health"/>
    <s v="SDG 3: Good Health and Well-being"/>
    <n v="58.040999999999997"/>
    <s v="Years"/>
    <s v="Gambia|2002"/>
    <s v="Gapminder/Plotly country-year extract reshaped to long indicator format for education"/>
    <s v="OK"/>
    <s v="2000s"/>
    <s v="Medium"/>
    <s v="Health"/>
  </r>
  <r>
    <s v="GM-01688"/>
    <s v="Gambia"/>
    <x v="2"/>
    <x v="10"/>
    <x v="1"/>
    <s v="Population, total"/>
    <s v="Demographics"/>
    <s v="SDG 11: Sustainable Cities and Communities"/>
    <n v="1457766"/>
    <s v="People"/>
    <s v="Gambia|2002"/>
    <s v="Gapminder/Plotly country-year extract reshaped to long indicator format for education"/>
    <s v="OK"/>
    <s v="2000s"/>
    <s v="N/A"/>
    <s v="Demographics"/>
  </r>
  <r>
    <s v="GM-01689"/>
    <s v="Gambia"/>
    <x v="2"/>
    <x v="10"/>
    <x v="2"/>
    <s v="GDP per capita"/>
    <s v="Economy"/>
    <s v="SDG 8: Decent Work and Economic Growth"/>
    <n v="660.58559969999999"/>
    <s v="Source-defined international dollars"/>
    <s v="Gambia|2002"/>
    <s v="Gapminder/Plotly country-year extract reshaped to long indicator format for education"/>
    <s v="OK"/>
    <s v="2000s"/>
    <s v="N/A"/>
    <s v="Economy"/>
  </r>
  <r>
    <s v="GM-01690"/>
    <s v="Gambia"/>
    <x v="2"/>
    <x v="11"/>
    <x v="0"/>
    <s v="Life expectancy at birth"/>
    <s v="Health"/>
    <s v="SDG 3: Good Health and Well-being"/>
    <n v="59.448"/>
    <s v="Years"/>
    <s v="Gambia|2007"/>
    <s v="Gapminder/Plotly country-year extract reshaped to long indicator format for education"/>
    <s v="OK"/>
    <s v="2000s"/>
    <s v="Medium"/>
    <s v="Health"/>
  </r>
  <r>
    <s v="GM-01691"/>
    <s v="Gambia"/>
    <x v="2"/>
    <x v="11"/>
    <x v="1"/>
    <s v="Population, total"/>
    <s v="Demographics"/>
    <s v="SDG 11: Sustainable Cities and Communities"/>
    <n v="1688359"/>
    <s v="People"/>
    <s v="Gambia|2007"/>
    <s v="Gapminder/Plotly country-year extract reshaped to long indicator format for education"/>
    <s v="OK"/>
    <s v="2000s"/>
    <s v="N/A"/>
    <s v="Demographics"/>
  </r>
  <r>
    <s v="GM-01692"/>
    <s v="Gambia"/>
    <x v="2"/>
    <x v="11"/>
    <x v="2"/>
    <s v="GDP per capita"/>
    <s v="Economy"/>
    <s v="SDG 8: Decent Work and Economic Growth"/>
    <n v="752.74972649999995"/>
    <s v="Source-defined international dollars"/>
    <s v="Gambia|2007"/>
    <s v="Gapminder/Plotly country-year extract reshaped to long indicator format for education"/>
    <s v="OK"/>
    <s v="2000s"/>
    <s v="N/A"/>
    <s v="Economy"/>
  </r>
  <r>
    <s v="GM-01693"/>
    <s v="Germany"/>
    <x v="1"/>
    <x v="0"/>
    <x v="0"/>
    <s v="Life expectancy at birth"/>
    <s v="Health"/>
    <s v="SDG 3: Good Health and Well-being"/>
    <n v="67.5"/>
    <s v="Years"/>
    <s v="Germany|1952"/>
    <s v="Gapminder/Plotly country-year extract reshaped to long indicator format for education"/>
    <s v="OK"/>
    <s v="1950s"/>
    <s v="Medium"/>
    <s v="Health"/>
  </r>
  <r>
    <s v="GM-01694"/>
    <s v="Germany"/>
    <x v="1"/>
    <x v="0"/>
    <x v="1"/>
    <s v="Population, total"/>
    <s v="Demographics"/>
    <s v="SDG 11: Sustainable Cities and Communities"/>
    <n v="69145952"/>
    <s v="People"/>
    <s v="Germany|1952"/>
    <s v="Gapminder/Plotly country-year extract reshaped to long indicator format for education"/>
    <s v="OK"/>
    <s v="1950s"/>
    <s v="N/A"/>
    <s v="Demographics"/>
  </r>
  <r>
    <s v="GM-01695"/>
    <s v="Germany"/>
    <x v="1"/>
    <x v="0"/>
    <x v="2"/>
    <s v="GDP per capita"/>
    <s v="Economy"/>
    <s v="SDG 8: Decent Work and Economic Growth"/>
    <n v="7144.1143929999998"/>
    <s v="Source-defined international dollars"/>
    <s v="Germany|1952"/>
    <s v="Gapminder/Plotly country-year extract reshaped to long indicator format for education"/>
    <s v="OK"/>
    <s v="1950s"/>
    <s v="N/A"/>
    <s v="Economy"/>
  </r>
  <r>
    <s v="GM-01696"/>
    <s v="Germany"/>
    <x v="1"/>
    <x v="1"/>
    <x v="0"/>
    <s v="Life expectancy at birth"/>
    <s v="Health"/>
    <s v="SDG 3: Good Health and Well-being"/>
    <n v="69.099999999999994"/>
    <s v="Years"/>
    <s v="Germany|1957"/>
    <s v="Gapminder/Plotly country-year extract reshaped to long indicator format for education"/>
    <s v="OK"/>
    <s v="1950s"/>
    <s v="Medium"/>
    <s v="Health"/>
  </r>
  <r>
    <s v="GM-01697"/>
    <s v="Germany"/>
    <x v="1"/>
    <x v="1"/>
    <x v="1"/>
    <s v="Population, total"/>
    <s v="Demographics"/>
    <s v="SDG 11: Sustainable Cities and Communities"/>
    <n v="71019069"/>
    <s v="People"/>
    <s v="Germany|1957"/>
    <s v="Gapminder/Plotly country-year extract reshaped to long indicator format for education"/>
    <s v="OK"/>
    <s v="1950s"/>
    <s v="N/A"/>
    <s v="Demographics"/>
  </r>
  <r>
    <s v="GM-01698"/>
    <s v="Germany"/>
    <x v="1"/>
    <x v="1"/>
    <x v="2"/>
    <s v="GDP per capita"/>
    <s v="Economy"/>
    <s v="SDG 8: Decent Work and Economic Growth"/>
    <n v="10187.826650000001"/>
    <s v="Source-defined international dollars"/>
    <s v="Germany|1957"/>
    <s v="Gapminder/Plotly country-year extract reshaped to long indicator format for education"/>
    <s v="OK"/>
    <s v="1950s"/>
    <s v="N/A"/>
    <s v="Economy"/>
  </r>
  <r>
    <s v="GM-01699"/>
    <s v="Germany"/>
    <x v="1"/>
    <x v="2"/>
    <x v="0"/>
    <s v="Life expectancy at birth"/>
    <s v="Health"/>
    <s v="SDG 3: Good Health and Well-being"/>
    <n v="70.3"/>
    <s v="Years"/>
    <s v="Germany|1962"/>
    <s v="Gapminder/Plotly country-year extract reshaped to long indicator format for education"/>
    <s v="OK"/>
    <s v="1960s"/>
    <s v="High"/>
    <s v="Health"/>
  </r>
  <r>
    <s v="GM-01700"/>
    <s v="Germany"/>
    <x v="1"/>
    <x v="2"/>
    <x v="1"/>
    <s v="Population, total"/>
    <s v="Demographics"/>
    <s v="SDG 11: Sustainable Cities and Communities"/>
    <n v="73739117"/>
    <s v="People"/>
    <s v="Germany|1962"/>
    <s v="Gapminder/Plotly country-year extract reshaped to long indicator format for education"/>
    <s v="OK"/>
    <s v="1960s"/>
    <s v="N/A"/>
    <s v="Demographics"/>
  </r>
  <r>
    <s v="GM-01701"/>
    <s v="Germany"/>
    <x v="1"/>
    <x v="2"/>
    <x v="2"/>
    <s v="GDP per capita"/>
    <s v="Economy"/>
    <s v="SDG 8: Decent Work and Economic Growth"/>
    <n v="12902.46291"/>
    <s v="Source-defined international dollars"/>
    <s v="Germany|1962"/>
    <s v="Gapminder/Plotly country-year extract reshaped to long indicator format for education"/>
    <s v="OK"/>
    <s v="1960s"/>
    <s v="N/A"/>
    <s v="Economy"/>
  </r>
  <r>
    <s v="GM-01702"/>
    <s v="Germany"/>
    <x v="1"/>
    <x v="3"/>
    <x v="0"/>
    <s v="Life expectancy at birth"/>
    <s v="Health"/>
    <s v="SDG 3: Good Health and Well-being"/>
    <n v="70.8"/>
    <s v="Years"/>
    <s v="Germany|1967"/>
    <s v="Gapminder/Plotly country-year extract reshaped to long indicator format for education"/>
    <s v="OK"/>
    <s v="1960s"/>
    <s v="High"/>
    <s v="Health"/>
  </r>
  <r>
    <s v="GM-01703"/>
    <s v="Germany"/>
    <x v="1"/>
    <x v="3"/>
    <x v="1"/>
    <s v="Population, total"/>
    <s v="Demographics"/>
    <s v="SDG 11: Sustainable Cities and Communities"/>
    <n v="76368453"/>
    <s v="People"/>
    <s v="Germany|1967"/>
    <s v="Gapminder/Plotly country-year extract reshaped to long indicator format for education"/>
    <s v="OK"/>
    <s v="1960s"/>
    <s v="N/A"/>
    <s v="Demographics"/>
  </r>
  <r>
    <s v="GM-01704"/>
    <s v="Germany"/>
    <x v="1"/>
    <x v="3"/>
    <x v="2"/>
    <s v="GDP per capita"/>
    <s v="Economy"/>
    <s v="SDG 8: Decent Work and Economic Growth"/>
    <n v="14745.625609999999"/>
    <s v="Source-defined international dollars"/>
    <s v="Germany|1967"/>
    <s v="Gapminder/Plotly country-year extract reshaped to long indicator format for education"/>
    <s v="OK"/>
    <s v="1960s"/>
    <s v="N/A"/>
    <s v="Economy"/>
  </r>
  <r>
    <s v="GM-01705"/>
    <s v="Germany"/>
    <x v="1"/>
    <x v="4"/>
    <x v="0"/>
    <s v="Life expectancy at birth"/>
    <s v="Health"/>
    <s v="SDG 3: Good Health and Well-being"/>
    <n v="71"/>
    <s v="Years"/>
    <s v="Germany|1972"/>
    <s v="Gapminder/Plotly country-year extract reshaped to long indicator format for education"/>
    <s v="OK"/>
    <s v="1970s"/>
    <s v="High"/>
    <s v="Health"/>
  </r>
  <r>
    <s v="GM-01706"/>
    <s v="Germany"/>
    <x v="1"/>
    <x v="4"/>
    <x v="1"/>
    <s v="Population, total"/>
    <s v="Demographics"/>
    <s v="SDG 11: Sustainable Cities and Communities"/>
    <n v="78717088"/>
    <s v="People"/>
    <s v="Germany|1972"/>
    <s v="Gapminder/Plotly country-year extract reshaped to long indicator format for education"/>
    <s v="OK"/>
    <s v="1970s"/>
    <s v="N/A"/>
    <s v="Demographics"/>
  </r>
  <r>
    <s v="GM-01707"/>
    <s v="Germany"/>
    <x v="1"/>
    <x v="4"/>
    <x v="2"/>
    <s v="GDP per capita"/>
    <s v="Economy"/>
    <s v="SDG 8: Decent Work and Economic Growth"/>
    <n v="18016.180270000001"/>
    <s v="Source-defined international dollars"/>
    <s v="Germany|1972"/>
    <s v="Gapminder/Plotly country-year extract reshaped to long indicator format for education"/>
    <s v="OK"/>
    <s v="1970s"/>
    <s v="N/A"/>
    <s v="Economy"/>
  </r>
  <r>
    <s v="GM-01708"/>
    <s v="Germany"/>
    <x v="1"/>
    <x v="5"/>
    <x v="0"/>
    <s v="Life expectancy at birth"/>
    <s v="Health"/>
    <s v="SDG 3: Good Health and Well-being"/>
    <n v="72.5"/>
    <s v="Years"/>
    <s v="Germany|1977"/>
    <s v="Gapminder/Plotly country-year extract reshaped to long indicator format for education"/>
    <s v="OK"/>
    <s v="1970s"/>
    <s v="High"/>
    <s v="Health"/>
  </r>
  <r>
    <s v="GM-01709"/>
    <s v="Germany"/>
    <x v="1"/>
    <x v="5"/>
    <x v="1"/>
    <s v="Population, total"/>
    <s v="Demographics"/>
    <s v="SDG 11: Sustainable Cities and Communities"/>
    <n v="78160773"/>
    <s v="People"/>
    <s v="Germany|1977"/>
    <s v="Gapminder/Plotly country-year extract reshaped to long indicator format for education"/>
    <s v="OK"/>
    <s v="1970s"/>
    <s v="N/A"/>
    <s v="Demographics"/>
  </r>
  <r>
    <s v="GM-01710"/>
    <s v="Germany"/>
    <x v="1"/>
    <x v="5"/>
    <x v="2"/>
    <s v="GDP per capita"/>
    <s v="Economy"/>
    <s v="SDG 8: Decent Work and Economic Growth"/>
    <n v="20512.92123"/>
    <s v="Source-defined international dollars"/>
    <s v="Germany|1977"/>
    <s v="Gapminder/Plotly country-year extract reshaped to long indicator format for education"/>
    <s v="OK"/>
    <s v="1970s"/>
    <s v="N/A"/>
    <s v="Economy"/>
  </r>
  <r>
    <s v="GM-01711"/>
    <s v="Germany"/>
    <x v="1"/>
    <x v="6"/>
    <x v="0"/>
    <s v="Life expectancy at birth"/>
    <s v="Health"/>
    <s v="SDG 3: Good Health and Well-being"/>
    <n v="73.8"/>
    <s v="Years"/>
    <s v="Germany|1982"/>
    <s v="Gapminder/Plotly country-year extract reshaped to long indicator format for education"/>
    <s v="OK"/>
    <s v="1980s"/>
    <s v="High"/>
    <s v="Health"/>
  </r>
  <r>
    <s v="GM-01712"/>
    <s v="Germany"/>
    <x v="1"/>
    <x v="6"/>
    <x v="1"/>
    <s v="Population, total"/>
    <s v="Demographics"/>
    <s v="SDG 11: Sustainable Cities and Communities"/>
    <n v="78335266"/>
    <s v="People"/>
    <s v="Germany|1982"/>
    <s v="Gapminder/Plotly country-year extract reshaped to long indicator format for education"/>
    <s v="OK"/>
    <s v="1980s"/>
    <s v="N/A"/>
    <s v="Demographics"/>
  </r>
  <r>
    <s v="GM-01713"/>
    <s v="Germany"/>
    <x v="1"/>
    <x v="6"/>
    <x v="2"/>
    <s v="GDP per capita"/>
    <s v="Economy"/>
    <s v="SDG 8: Decent Work and Economic Growth"/>
    <n v="22031.532739999999"/>
    <s v="Source-defined international dollars"/>
    <s v="Germany|1982"/>
    <s v="Gapminder/Plotly country-year extract reshaped to long indicator format for education"/>
    <s v="OK"/>
    <s v="1980s"/>
    <s v="N/A"/>
    <s v="Economy"/>
  </r>
  <r>
    <s v="GM-01714"/>
    <s v="Germany"/>
    <x v="1"/>
    <x v="7"/>
    <x v="0"/>
    <s v="Life expectancy at birth"/>
    <s v="Health"/>
    <s v="SDG 3: Good Health and Well-being"/>
    <n v="74.846999999999994"/>
    <s v="Years"/>
    <s v="Germany|1987"/>
    <s v="Gapminder/Plotly country-year extract reshaped to long indicator format for education"/>
    <s v="OK"/>
    <s v="1980s"/>
    <s v="High"/>
    <s v="Health"/>
  </r>
  <r>
    <s v="GM-01715"/>
    <s v="Germany"/>
    <x v="1"/>
    <x v="7"/>
    <x v="1"/>
    <s v="Population, total"/>
    <s v="Demographics"/>
    <s v="SDG 11: Sustainable Cities and Communities"/>
    <n v="77718298"/>
    <s v="People"/>
    <s v="Germany|1987"/>
    <s v="Gapminder/Plotly country-year extract reshaped to long indicator format for education"/>
    <s v="OK"/>
    <s v="1980s"/>
    <s v="N/A"/>
    <s v="Demographics"/>
  </r>
  <r>
    <s v="GM-01716"/>
    <s v="Germany"/>
    <x v="1"/>
    <x v="7"/>
    <x v="2"/>
    <s v="GDP per capita"/>
    <s v="Economy"/>
    <s v="SDG 8: Decent Work and Economic Growth"/>
    <n v="24639.185659999999"/>
    <s v="Source-defined international dollars"/>
    <s v="Germany|1987"/>
    <s v="Gapminder/Plotly country-year extract reshaped to long indicator format for education"/>
    <s v="OK"/>
    <s v="1980s"/>
    <s v="N/A"/>
    <s v="Economy"/>
  </r>
  <r>
    <s v="GM-01717"/>
    <s v="Germany"/>
    <x v="1"/>
    <x v="8"/>
    <x v="0"/>
    <s v="Life expectancy at birth"/>
    <s v="Health"/>
    <s v="SDG 3: Good Health and Well-being"/>
    <n v="76.069999999999993"/>
    <s v="Years"/>
    <s v="Germany|1992"/>
    <s v="Gapminder/Plotly country-year extract reshaped to long indicator format for education"/>
    <s v="OK"/>
    <s v="1990s"/>
    <s v="High"/>
    <s v="Health"/>
  </r>
  <r>
    <s v="GM-01718"/>
    <s v="Germany"/>
    <x v="1"/>
    <x v="8"/>
    <x v="1"/>
    <s v="Population, total"/>
    <s v="Demographics"/>
    <s v="SDG 11: Sustainable Cities and Communities"/>
    <n v="80597764"/>
    <s v="People"/>
    <s v="Germany|1992"/>
    <s v="Gapminder/Plotly country-year extract reshaped to long indicator format for education"/>
    <s v="OK"/>
    <s v="1990s"/>
    <s v="N/A"/>
    <s v="Demographics"/>
  </r>
  <r>
    <s v="GM-01719"/>
    <s v="Germany"/>
    <x v="1"/>
    <x v="8"/>
    <x v="2"/>
    <s v="GDP per capita"/>
    <s v="Economy"/>
    <s v="SDG 8: Decent Work and Economic Growth"/>
    <n v="26505.303169999999"/>
    <s v="Source-defined international dollars"/>
    <s v="Germany|1992"/>
    <s v="Gapminder/Plotly country-year extract reshaped to long indicator format for education"/>
    <s v="OK"/>
    <s v="1990s"/>
    <s v="N/A"/>
    <s v="Economy"/>
  </r>
  <r>
    <s v="GM-01720"/>
    <s v="Germany"/>
    <x v="1"/>
    <x v="9"/>
    <x v="0"/>
    <s v="Life expectancy at birth"/>
    <s v="Health"/>
    <s v="SDG 3: Good Health and Well-being"/>
    <n v="77.34"/>
    <s v="Years"/>
    <s v="Germany|1997"/>
    <s v="Gapminder/Plotly country-year extract reshaped to long indicator format for education"/>
    <s v="OK"/>
    <s v="1990s"/>
    <s v="High"/>
    <s v="Health"/>
  </r>
  <r>
    <s v="GM-01721"/>
    <s v="Germany"/>
    <x v="1"/>
    <x v="9"/>
    <x v="1"/>
    <s v="Population, total"/>
    <s v="Demographics"/>
    <s v="SDG 11: Sustainable Cities and Communities"/>
    <n v="82011073"/>
    <s v="People"/>
    <s v="Germany|1997"/>
    <s v="Gapminder/Plotly country-year extract reshaped to long indicator format for education"/>
    <s v="OK"/>
    <s v="1990s"/>
    <s v="N/A"/>
    <s v="Demographics"/>
  </r>
  <r>
    <s v="GM-01722"/>
    <s v="Germany"/>
    <x v="1"/>
    <x v="9"/>
    <x v="2"/>
    <s v="GDP per capita"/>
    <s v="Economy"/>
    <s v="SDG 8: Decent Work and Economic Growth"/>
    <n v="27788.884160000001"/>
    <s v="Source-defined international dollars"/>
    <s v="Germany|1997"/>
    <s v="Gapminder/Plotly country-year extract reshaped to long indicator format for education"/>
    <s v="OK"/>
    <s v="1990s"/>
    <s v="N/A"/>
    <s v="Economy"/>
  </r>
  <r>
    <s v="GM-01723"/>
    <s v="Germany"/>
    <x v="1"/>
    <x v="10"/>
    <x v="0"/>
    <s v="Life expectancy at birth"/>
    <s v="Health"/>
    <s v="SDG 3: Good Health and Well-being"/>
    <n v="78.67"/>
    <s v="Years"/>
    <s v="Germany|2002"/>
    <s v="Gapminder/Plotly country-year extract reshaped to long indicator format for education"/>
    <s v="OK"/>
    <s v="2000s"/>
    <s v="High"/>
    <s v="Health"/>
  </r>
  <r>
    <s v="GM-01724"/>
    <s v="Germany"/>
    <x v="1"/>
    <x v="10"/>
    <x v="1"/>
    <s v="Population, total"/>
    <s v="Demographics"/>
    <s v="SDG 11: Sustainable Cities and Communities"/>
    <n v="82350671"/>
    <s v="People"/>
    <s v="Germany|2002"/>
    <s v="Gapminder/Plotly country-year extract reshaped to long indicator format for education"/>
    <s v="OK"/>
    <s v="2000s"/>
    <s v="N/A"/>
    <s v="Demographics"/>
  </r>
  <r>
    <s v="GM-01725"/>
    <s v="Germany"/>
    <x v="1"/>
    <x v="10"/>
    <x v="2"/>
    <s v="GDP per capita"/>
    <s v="Economy"/>
    <s v="SDG 8: Decent Work and Economic Growth"/>
    <n v="30035.80198"/>
    <s v="Source-defined international dollars"/>
    <s v="Germany|2002"/>
    <s v="Gapminder/Plotly country-year extract reshaped to long indicator format for education"/>
    <s v="OK"/>
    <s v="2000s"/>
    <s v="N/A"/>
    <s v="Economy"/>
  </r>
  <r>
    <s v="GM-01726"/>
    <s v="Germany"/>
    <x v="1"/>
    <x v="11"/>
    <x v="0"/>
    <s v="Life expectancy at birth"/>
    <s v="Health"/>
    <s v="SDG 3: Good Health and Well-being"/>
    <n v="79.406000000000006"/>
    <s v="Years"/>
    <s v="Germany|2007"/>
    <s v="Gapminder/Plotly country-year extract reshaped to long indicator format for education"/>
    <s v="OK"/>
    <s v="2000s"/>
    <s v="High"/>
    <s v="Health"/>
  </r>
  <r>
    <s v="GM-01727"/>
    <s v="Germany"/>
    <x v="1"/>
    <x v="11"/>
    <x v="1"/>
    <s v="Population, total"/>
    <s v="Demographics"/>
    <s v="SDG 11: Sustainable Cities and Communities"/>
    <n v="82400996"/>
    <s v="People"/>
    <s v="Germany|2007"/>
    <s v="Gapminder/Plotly country-year extract reshaped to long indicator format for education"/>
    <s v="OK"/>
    <s v="2000s"/>
    <s v="N/A"/>
    <s v="Demographics"/>
  </r>
  <r>
    <s v="GM-01728"/>
    <s v="Germany"/>
    <x v="1"/>
    <x v="11"/>
    <x v="2"/>
    <s v="GDP per capita"/>
    <s v="Economy"/>
    <s v="SDG 8: Decent Work and Economic Growth"/>
    <n v="32170.37442"/>
    <s v="Source-defined international dollars"/>
    <s v="Germany|2007"/>
    <s v="Gapminder/Plotly country-year extract reshaped to long indicator format for education"/>
    <s v="OK"/>
    <s v="2000s"/>
    <s v="N/A"/>
    <s v="Economy"/>
  </r>
  <r>
    <s v="GM-01729"/>
    <s v="Ghana"/>
    <x v="2"/>
    <x v="0"/>
    <x v="0"/>
    <s v="Life expectancy at birth"/>
    <s v="Health"/>
    <s v="SDG 3: Good Health and Well-being"/>
    <n v="43.149000000000001"/>
    <s v="Years"/>
    <s v="Ghana|1952"/>
    <s v="Gapminder/Plotly country-year extract reshaped to long indicator format for education"/>
    <s v="OK"/>
    <s v="1950s"/>
    <s v="Low"/>
    <s v="Health"/>
  </r>
  <r>
    <s v="GM-01730"/>
    <s v="Ghana"/>
    <x v="2"/>
    <x v="0"/>
    <x v="1"/>
    <s v="Population, total"/>
    <s v="Demographics"/>
    <s v="SDG 11: Sustainable Cities and Communities"/>
    <n v="5581001"/>
    <s v="People"/>
    <s v="Ghana|1952"/>
    <s v="Gapminder/Plotly country-year extract reshaped to long indicator format for education"/>
    <s v="OK"/>
    <s v="1950s"/>
    <s v="N/A"/>
    <s v="Demographics"/>
  </r>
  <r>
    <s v="GM-01731"/>
    <s v="Ghana"/>
    <x v="2"/>
    <x v="0"/>
    <x v="2"/>
    <s v="GDP per capita"/>
    <s v="Economy"/>
    <s v="SDG 8: Decent Work and Economic Growth"/>
    <n v="911.29893709999999"/>
    <s v="Source-defined international dollars"/>
    <s v="Ghana|1952"/>
    <s v="Gapminder/Plotly country-year extract reshaped to long indicator format for education"/>
    <s v="OK"/>
    <s v="1950s"/>
    <s v="N/A"/>
    <s v="Economy"/>
  </r>
  <r>
    <s v="GM-01732"/>
    <s v="Ghana"/>
    <x v="2"/>
    <x v="1"/>
    <x v="0"/>
    <s v="Life expectancy at birth"/>
    <s v="Health"/>
    <s v="SDG 3: Good Health and Well-being"/>
    <n v="44.779000000000003"/>
    <s v="Years"/>
    <s v="Ghana|1957"/>
    <s v="Gapminder/Plotly country-year extract reshaped to long indicator format for education"/>
    <s v="OK"/>
    <s v="1950s"/>
    <s v="Low"/>
    <s v="Health"/>
  </r>
  <r>
    <s v="GM-01733"/>
    <s v="Ghana"/>
    <x v="2"/>
    <x v="1"/>
    <x v="1"/>
    <s v="Population, total"/>
    <s v="Demographics"/>
    <s v="SDG 11: Sustainable Cities and Communities"/>
    <n v="6391288"/>
    <s v="People"/>
    <s v="Ghana|1957"/>
    <s v="Gapminder/Plotly country-year extract reshaped to long indicator format for education"/>
    <s v="OK"/>
    <s v="1950s"/>
    <s v="N/A"/>
    <s v="Demographics"/>
  </r>
  <r>
    <s v="GM-01734"/>
    <s v="Ghana"/>
    <x v="2"/>
    <x v="1"/>
    <x v="2"/>
    <s v="GDP per capita"/>
    <s v="Economy"/>
    <s v="SDG 8: Decent Work and Economic Growth"/>
    <n v="1043.56153699999"/>
    <s v="Source-defined international dollars"/>
    <s v="Ghana|1957"/>
    <s v="Gapminder/Plotly country-year extract reshaped to long indicator format for education"/>
    <s v="OK"/>
    <s v="1950s"/>
    <s v="N/A"/>
    <s v="Economy"/>
  </r>
  <r>
    <s v="GM-01735"/>
    <s v="Ghana"/>
    <x v="2"/>
    <x v="2"/>
    <x v="0"/>
    <s v="Life expectancy at birth"/>
    <s v="Health"/>
    <s v="SDG 3: Good Health and Well-being"/>
    <n v="46.451999999999998"/>
    <s v="Years"/>
    <s v="Ghana|1962"/>
    <s v="Gapminder/Plotly country-year extract reshaped to long indicator format for education"/>
    <s v="OK"/>
    <s v="1960s"/>
    <s v="Low"/>
    <s v="Health"/>
  </r>
  <r>
    <s v="GM-01736"/>
    <s v="Ghana"/>
    <x v="2"/>
    <x v="2"/>
    <x v="1"/>
    <s v="Population, total"/>
    <s v="Demographics"/>
    <s v="SDG 11: Sustainable Cities and Communities"/>
    <n v="7355248"/>
    <s v="People"/>
    <s v="Ghana|1962"/>
    <s v="Gapminder/Plotly country-year extract reshaped to long indicator format for education"/>
    <s v="OK"/>
    <s v="1960s"/>
    <s v="N/A"/>
    <s v="Demographics"/>
  </r>
  <r>
    <s v="GM-01737"/>
    <s v="Ghana"/>
    <x v="2"/>
    <x v="2"/>
    <x v="2"/>
    <s v="GDP per capita"/>
    <s v="Economy"/>
    <s v="SDG 8: Decent Work and Economic Growth"/>
    <n v="1190.0411180000001"/>
    <s v="Source-defined international dollars"/>
    <s v="Ghana|1962"/>
    <s v="Gapminder/Plotly country-year extract reshaped to long indicator format for education"/>
    <s v="OK"/>
    <s v="1960s"/>
    <s v="N/A"/>
    <s v="Economy"/>
  </r>
  <r>
    <s v="GM-01738"/>
    <s v="Ghana"/>
    <x v="2"/>
    <x v="3"/>
    <x v="0"/>
    <s v="Life expectancy at birth"/>
    <s v="Health"/>
    <s v="SDG 3: Good Health and Well-being"/>
    <n v="48.072000000000003"/>
    <s v="Years"/>
    <s v="Ghana|1967"/>
    <s v="Gapminder/Plotly country-year extract reshaped to long indicator format for education"/>
    <s v="OK"/>
    <s v="1960s"/>
    <s v="Low"/>
    <s v="Health"/>
  </r>
  <r>
    <s v="GM-01739"/>
    <s v="Ghana"/>
    <x v="2"/>
    <x v="3"/>
    <x v="1"/>
    <s v="Population, total"/>
    <s v="Demographics"/>
    <s v="SDG 11: Sustainable Cities and Communities"/>
    <n v="8490213"/>
    <s v="People"/>
    <s v="Ghana|1967"/>
    <s v="Gapminder/Plotly country-year extract reshaped to long indicator format for education"/>
    <s v="OK"/>
    <s v="1960s"/>
    <s v="N/A"/>
    <s v="Demographics"/>
  </r>
  <r>
    <s v="GM-01740"/>
    <s v="Ghana"/>
    <x v="2"/>
    <x v="3"/>
    <x v="2"/>
    <s v="GDP per capita"/>
    <s v="Economy"/>
    <s v="SDG 8: Decent Work and Economic Growth"/>
    <n v="1125.6971599999999"/>
    <s v="Source-defined international dollars"/>
    <s v="Ghana|1967"/>
    <s v="Gapminder/Plotly country-year extract reshaped to long indicator format for education"/>
    <s v="OK"/>
    <s v="1960s"/>
    <s v="N/A"/>
    <s v="Economy"/>
  </r>
  <r>
    <s v="GM-01741"/>
    <s v="Ghana"/>
    <x v="2"/>
    <x v="4"/>
    <x v="0"/>
    <s v="Life expectancy at birth"/>
    <s v="Health"/>
    <s v="SDG 3: Good Health and Well-being"/>
    <n v="49.875"/>
    <s v="Years"/>
    <s v="Ghana|1972"/>
    <s v="Gapminder/Plotly country-year extract reshaped to long indicator format for education"/>
    <s v="OK"/>
    <s v="1970s"/>
    <s v="Low"/>
    <s v="Health"/>
  </r>
  <r>
    <s v="GM-01742"/>
    <s v="Ghana"/>
    <x v="2"/>
    <x v="4"/>
    <x v="1"/>
    <s v="Population, total"/>
    <s v="Demographics"/>
    <s v="SDG 11: Sustainable Cities and Communities"/>
    <n v="9354120"/>
    <s v="People"/>
    <s v="Ghana|1972"/>
    <s v="Gapminder/Plotly country-year extract reshaped to long indicator format for education"/>
    <s v="OK"/>
    <s v="1970s"/>
    <s v="N/A"/>
    <s v="Demographics"/>
  </r>
  <r>
    <s v="GM-01743"/>
    <s v="Ghana"/>
    <x v="2"/>
    <x v="4"/>
    <x v="2"/>
    <s v="GDP per capita"/>
    <s v="Economy"/>
    <s v="SDG 8: Decent Work and Economic Growth"/>
    <n v="1178.223708"/>
    <s v="Source-defined international dollars"/>
    <s v="Ghana|1972"/>
    <s v="Gapminder/Plotly country-year extract reshaped to long indicator format for education"/>
    <s v="OK"/>
    <s v="1970s"/>
    <s v="N/A"/>
    <s v="Economy"/>
  </r>
  <r>
    <s v="GM-01744"/>
    <s v="Ghana"/>
    <x v="2"/>
    <x v="5"/>
    <x v="0"/>
    <s v="Life expectancy at birth"/>
    <s v="Health"/>
    <s v="SDG 3: Good Health and Well-being"/>
    <n v="51.756"/>
    <s v="Years"/>
    <s v="Ghana|1977"/>
    <s v="Gapminder/Plotly country-year extract reshaped to long indicator format for education"/>
    <s v="OK"/>
    <s v="1970s"/>
    <s v="Low"/>
    <s v="Health"/>
  </r>
  <r>
    <s v="GM-01745"/>
    <s v="Ghana"/>
    <x v="2"/>
    <x v="5"/>
    <x v="1"/>
    <s v="Population, total"/>
    <s v="Demographics"/>
    <s v="SDG 11: Sustainable Cities and Communities"/>
    <n v="10538093"/>
    <s v="People"/>
    <s v="Ghana|1977"/>
    <s v="Gapminder/Plotly country-year extract reshaped to long indicator format for education"/>
    <s v="OK"/>
    <s v="1970s"/>
    <s v="N/A"/>
    <s v="Demographics"/>
  </r>
  <r>
    <s v="GM-01746"/>
    <s v="Ghana"/>
    <x v="2"/>
    <x v="5"/>
    <x v="2"/>
    <s v="GDP per capita"/>
    <s v="Economy"/>
    <s v="SDG 8: Decent Work and Economic Growth"/>
    <n v="993.22395710000001"/>
    <s v="Source-defined international dollars"/>
    <s v="Ghana|1977"/>
    <s v="Gapminder/Plotly country-year extract reshaped to long indicator format for education"/>
    <s v="OK"/>
    <s v="1970s"/>
    <s v="N/A"/>
    <s v="Economy"/>
  </r>
  <r>
    <s v="GM-01747"/>
    <s v="Ghana"/>
    <x v="2"/>
    <x v="6"/>
    <x v="0"/>
    <s v="Life expectancy at birth"/>
    <s v="Health"/>
    <s v="SDG 3: Good Health and Well-being"/>
    <n v="53.744"/>
    <s v="Years"/>
    <s v="Ghana|1982"/>
    <s v="Gapminder/Plotly country-year extract reshaped to long indicator format for education"/>
    <s v="OK"/>
    <s v="1980s"/>
    <s v="Low"/>
    <s v="Health"/>
  </r>
  <r>
    <s v="GM-01748"/>
    <s v="Ghana"/>
    <x v="2"/>
    <x v="6"/>
    <x v="1"/>
    <s v="Population, total"/>
    <s v="Demographics"/>
    <s v="SDG 11: Sustainable Cities and Communities"/>
    <n v="11400338"/>
    <s v="People"/>
    <s v="Ghana|1982"/>
    <s v="Gapminder/Plotly country-year extract reshaped to long indicator format for education"/>
    <s v="OK"/>
    <s v="1980s"/>
    <s v="N/A"/>
    <s v="Demographics"/>
  </r>
  <r>
    <s v="GM-01749"/>
    <s v="Ghana"/>
    <x v="2"/>
    <x v="6"/>
    <x v="2"/>
    <s v="GDP per capita"/>
    <s v="Economy"/>
    <s v="SDG 8: Decent Work and Economic Growth"/>
    <n v="876.03256899999997"/>
    <s v="Source-defined international dollars"/>
    <s v="Ghana|1982"/>
    <s v="Gapminder/Plotly country-year extract reshaped to long indicator format for education"/>
    <s v="OK"/>
    <s v="1980s"/>
    <s v="N/A"/>
    <s v="Economy"/>
  </r>
  <r>
    <s v="GM-01750"/>
    <s v="Ghana"/>
    <x v="2"/>
    <x v="7"/>
    <x v="0"/>
    <s v="Life expectancy at birth"/>
    <s v="Health"/>
    <s v="SDG 3: Good Health and Well-being"/>
    <n v="55.728999999999999"/>
    <s v="Years"/>
    <s v="Ghana|1987"/>
    <s v="Gapminder/Plotly country-year extract reshaped to long indicator format for education"/>
    <s v="OK"/>
    <s v="1980s"/>
    <s v="Medium"/>
    <s v="Health"/>
  </r>
  <r>
    <s v="GM-01751"/>
    <s v="Ghana"/>
    <x v="2"/>
    <x v="7"/>
    <x v="1"/>
    <s v="Population, total"/>
    <s v="Demographics"/>
    <s v="SDG 11: Sustainable Cities and Communities"/>
    <n v="14168101"/>
    <s v="People"/>
    <s v="Ghana|1987"/>
    <s v="Gapminder/Plotly country-year extract reshaped to long indicator format for education"/>
    <s v="OK"/>
    <s v="1980s"/>
    <s v="N/A"/>
    <s v="Demographics"/>
  </r>
  <r>
    <s v="GM-01752"/>
    <s v="Ghana"/>
    <x v="2"/>
    <x v="7"/>
    <x v="2"/>
    <s v="GDP per capita"/>
    <s v="Economy"/>
    <s v="SDG 8: Decent Work and Economic Growth"/>
    <n v="847.00611349999997"/>
    <s v="Source-defined international dollars"/>
    <s v="Ghana|1987"/>
    <s v="Gapminder/Plotly country-year extract reshaped to long indicator format for education"/>
    <s v="OK"/>
    <s v="1980s"/>
    <s v="N/A"/>
    <s v="Economy"/>
  </r>
  <r>
    <s v="GM-01753"/>
    <s v="Ghana"/>
    <x v="2"/>
    <x v="8"/>
    <x v="0"/>
    <s v="Life expectancy at birth"/>
    <s v="Health"/>
    <s v="SDG 3: Good Health and Well-being"/>
    <n v="57.500999999999998"/>
    <s v="Years"/>
    <s v="Ghana|1992"/>
    <s v="Gapminder/Plotly country-year extract reshaped to long indicator format for education"/>
    <s v="OK"/>
    <s v="1990s"/>
    <s v="Medium"/>
    <s v="Health"/>
  </r>
  <r>
    <s v="GM-01754"/>
    <s v="Ghana"/>
    <x v="2"/>
    <x v="8"/>
    <x v="1"/>
    <s v="Population, total"/>
    <s v="Demographics"/>
    <s v="SDG 11: Sustainable Cities and Communities"/>
    <n v="16278738"/>
    <s v="People"/>
    <s v="Ghana|1992"/>
    <s v="Gapminder/Plotly country-year extract reshaped to long indicator format for education"/>
    <s v="OK"/>
    <s v="1990s"/>
    <s v="N/A"/>
    <s v="Demographics"/>
  </r>
  <r>
    <s v="GM-01755"/>
    <s v="Ghana"/>
    <x v="2"/>
    <x v="8"/>
    <x v="2"/>
    <s v="GDP per capita"/>
    <s v="Economy"/>
    <s v="SDG 8: Decent Work and Economic Growth"/>
    <n v="925.06015400000001"/>
    <s v="Source-defined international dollars"/>
    <s v="Ghana|1992"/>
    <s v="Gapminder/Plotly country-year extract reshaped to long indicator format for education"/>
    <s v="OK"/>
    <s v="1990s"/>
    <s v="N/A"/>
    <s v="Economy"/>
  </r>
  <r>
    <s v="GM-01756"/>
    <s v="Ghana"/>
    <x v="2"/>
    <x v="9"/>
    <x v="0"/>
    <s v="Life expectancy at birth"/>
    <s v="Health"/>
    <s v="SDG 3: Good Health and Well-being"/>
    <n v="58.555999999999997"/>
    <s v="Years"/>
    <s v="Ghana|1997"/>
    <s v="Gapminder/Plotly country-year extract reshaped to long indicator format for education"/>
    <s v="OK"/>
    <s v="1990s"/>
    <s v="Medium"/>
    <s v="Health"/>
  </r>
  <r>
    <s v="GM-01757"/>
    <s v="Ghana"/>
    <x v="2"/>
    <x v="9"/>
    <x v="1"/>
    <s v="Population, total"/>
    <s v="Demographics"/>
    <s v="SDG 11: Sustainable Cities and Communities"/>
    <n v="18418288"/>
    <s v="People"/>
    <s v="Ghana|1997"/>
    <s v="Gapminder/Plotly country-year extract reshaped to long indicator format for education"/>
    <s v="OK"/>
    <s v="1990s"/>
    <s v="N/A"/>
    <s v="Demographics"/>
  </r>
  <r>
    <s v="GM-01758"/>
    <s v="Ghana"/>
    <x v="2"/>
    <x v="9"/>
    <x v="2"/>
    <s v="GDP per capita"/>
    <s v="Economy"/>
    <s v="SDG 8: Decent Work and Economic Growth"/>
    <n v="1005.245812"/>
    <s v="Source-defined international dollars"/>
    <s v="Ghana|1997"/>
    <s v="Gapminder/Plotly country-year extract reshaped to long indicator format for education"/>
    <s v="OK"/>
    <s v="1990s"/>
    <s v="N/A"/>
    <s v="Economy"/>
  </r>
  <r>
    <s v="GM-01759"/>
    <s v="Ghana"/>
    <x v="2"/>
    <x v="10"/>
    <x v="0"/>
    <s v="Life expectancy at birth"/>
    <s v="Health"/>
    <s v="SDG 3: Good Health and Well-being"/>
    <n v="58.453000000000003"/>
    <s v="Years"/>
    <s v="Ghana|2002"/>
    <s v="Gapminder/Plotly country-year extract reshaped to long indicator format for education"/>
    <s v="OK"/>
    <s v="2000s"/>
    <s v="Medium"/>
    <s v="Health"/>
  </r>
  <r>
    <s v="GM-01760"/>
    <s v="Ghana"/>
    <x v="2"/>
    <x v="10"/>
    <x v="1"/>
    <s v="Population, total"/>
    <s v="Demographics"/>
    <s v="SDG 11: Sustainable Cities and Communities"/>
    <n v="20550751"/>
    <s v="People"/>
    <s v="Ghana|2002"/>
    <s v="Gapminder/Plotly country-year extract reshaped to long indicator format for education"/>
    <s v="OK"/>
    <s v="2000s"/>
    <s v="N/A"/>
    <s v="Demographics"/>
  </r>
  <r>
    <s v="GM-01761"/>
    <s v="Ghana"/>
    <x v="2"/>
    <x v="10"/>
    <x v="2"/>
    <s v="GDP per capita"/>
    <s v="Economy"/>
    <s v="SDG 8: Decent Work and Economic Growth"/>
    <n v="1111.9845779999901"/>
    <s v="Source-defined international dollars"/>
    <s v="Ghana|2002"/>
    <s v="Gapminder/Plotly country-year extract reshaped to long indicator format for education"/>
    <s v="OK"/>
    <s v="2000s"/>
    <s v="N/A"/>
    <s v="Economy"/>
  </r>
  <r>
    <s v="GM-01762"/>
    <s v="Ghana"/>
    <x v="2"/>
    <x v="11"/>
    <x v="0"/>
    <s v="Life expectancy at birth"/>
    <s v="Health"/>
    <s v="SDG 3: Good Health and Well-being"/>
    <n v="60.021999999999998"/>
    <s v="Years"/>
    <s v="Ghana|2007"/>
    <s v="Gapminder/Plotly country-year extract reshaped to long indicator format for education"/>
    <s v="OK"/>
    <s v="2000s"/>
    <s v="Medium"/>
    <s v="Health"/>
  </r>
  <r>
    <s v="GM-01763"/>
    <s v="Ghana"/>
    <x v="2"/>
    <x v="11"/>
    <x v="1"/>
    <s v="Population, total"/>
    <s v="Demographics"/>
    <s v="SDG 11: Sustainable Cities and Communities"/>
    <n v="22873338"/>
    <s v="People"/>
    <s v="Ghana|2007"/>
    <s v="Gapminder/Plotly country-year extract reshaped to long indicator format for education"/>
    <s v="OK"/>
    <s v="2000s"/>
    <s v="N/A"/>
    <s v="Demographics"/>
  </r>
  <r>
    <s v="GM-01764"/>
    <s v="Ghana"/>
    <x v="2"/>
    <x v="11"/>
    <x v="2"/>
    <s v="GDP per capita"/>
    <s v="Economy"/>
    <s v="SDG 8: Decent Work and Economic Growth"/>
    <n v="1327.6089099999999"/>
    <s v="Source-defined international dollars"/>
    <s v="Ghana|2007"/>
    <s v="Gapminder/Plotly country-year extract reshaped to long indicator format for education"/>
    <s v="OK"/>
    <s v="2000s"/>
    <s v="N/A"/>
    <s v="Economy"/>
  </r>
  <r>
    <s v="GM-01765"/>
    <s v="Greece"/>
    <x v="1"/>
    <x v="0"/>
    <x v="0"/>
    <s v="Life expectancy at birth"/>
    <s v="Health"/>
    <s v="SDG 3: Good Health and Well-being"/>
    <n v="65.86"/>
    <s v="Years"/>
    <s v="Greece|1952"/>
    <s v="Gapminder/Plotly country-year extract reshaped to long indicator format for education"/>
    <s v="OK"/>
    <s v="1950s"/>
    <s v="Medium"/>
    <s v="Health"/>
  </r>
  <r>
    <s v="GM-01766"/>
    <s v="Greece"/>
    <x v="1"/>
    <x v="0"/>
    <x v="1"/>
    <s v="Population, total"/>
    <s v="Demographics"/>
    <s v="SDG 11: Sustainable Cities and Communities"/>
    <n v="7733250"/>
    <s v="People"/>
    <s v="Greece|1952"/>
    <s v="Gapminder/Plotly country-year extract reshaped to long indicator format for education"/>
    <s v="OK"/>
    <s v="1950s"/>
    <s v="N/A"/>
    <s v="Demographics"/>
  </r>
  <r>
    <s v="GM-01767"/>
    <s v="Greece"/>
    <x v="1"/>
    <x v="0"/>
    <x v="2"/>
    <s v="GDP per capita"/>
    <s v="Economy"/>
    <s v="SDG 8: Decent Work and Economic Growth"/>
    <n v="3530.690067"/>
    <s v="Source-defined international dollars"/>
    <s v="Greece|1952"/>
    <s v="Gapminder/Plotly country-year extract reshaped to long indicator format for education"/>
    <s v="OK"/>
    <s v="1950s"/>
    <s v="N/A"/>
    <s v="Economy"/>
  </r>
  <r>
    <s v="GM-01768"/>
    <s v="Greece"/>
    <x v="1"/>
    <x v="1"/>
    <x v="0"/>
    <s v="Life expectancy at birth"/>
    <s v="Health"/>
    <s v="SDG 3: Good Health and Well-being"/>
    <n v="67.86"/>
    <s v="Years"/>
    <s v="Greece|1957"/>
    <s v="Gapminder/Plotly country-year extract reshaped to long indicator format for education"/>
    <s v="OK"/>
    <s v="1950s"/>
    <s v="Medium"/>
    <s v="Health"/>
  </r>
  <r>
    <s v="GM-01769"/>
    <s v="Greece"/>
    <x v="1"/>
    <x v="1"/>
    <x v="1"/>
    <s v="Population, total"/>
    <s v="Demographics"/>
    <s v="SDG 11: Sustainable Cities and Communities"/>
    <n v="8096218"/>
    <s v="People"/>
    <s v="Greece|1957"/>
    <s v="Gapminder/Plotly country-year extract reshaped to long indicator format for education"/>
    <s v="OK"/>
    <s v="1950s"/>
    <s v="N/A"/>
    <s v="Demographics"/>
  </r>
  <r>
    <s v="GM-01770"/>
    <s v="Greece"/>
    <x v="1"/>
    <x v="1"/>
    <x v="2"/>
    <s v="GDP per capita"/>
    <s v="Economy"/>
    <s v="SDG 8: Decent Work and Economic Growth"/>
    <n v="4916.2998889999999"/>
    <s v="Source-defined international dollars"/>
    <s v="Greece|1957"/>
    <s v="Gapminder/Plotly country-year extract reshaped to long indicator format for education"/>
    <s v="OK"/>
    <s v="1950s"/>
    <s v="N/A"/>
    <s v="Economy"/>
  </r>
  <r>
    <s v="GM-01771"/>
    <s v="Greece"/>
    <x v="1"/>
    <x v="2"/>
    <x v="0"/>
    <s v="Life expectancy at birth"/>
    <s v="Health"/>
    <s v="SDG 3: Good Health and Well-being"/>
    <n v="69.510000000000005"/>
    <s v="Years"/>
    <s v="Greece|1962"/>
    <s v="Gapminder/Plotly country-year extract reshaped to long indicator format for education"/>
    <s v="OK"/>
    <s v="1960s"/>
    <s v="Medium"/>
    <s v="Health"/>
  </r>
  <r>
    <s v="GM-01772"/>
    <s v="Greece"/>
    <x v="1"/>
    <x v="2"/>
    <x v="1"/>
    <s v="Population, total"/>
    <s v="Demographics"/>
    <s v="SDG 11: Sustainable Cities and Communities"/>
    <n v="8448233"/>
    <s v="People"/>
    <s v="Greece|1962"/>
    <s v="Gapminder/Plotly country-year extract reshaped to long indicator format for education"/>
    <s v="OK"/>
    <s v="1960s"/>
    <s v="N/A"/>
    <s v="Demographics"/>
  </r>
  <r>
    <s v="GM-01773"/>
    <s v="Greece"/>
    <x v="1"/>
    <x v="2"/>
    <x v="2"/>
    <s v="GDP per capita"/>
    <s v="Economy"/>
    <s v="SDG 8: Decent Work and Economic Growth"/>
    <n v="6017.1907329999904"/>
    <s v="Source-defined international dollars"/>
    <s v="Greece|1962"/>
    <s v="Gapminder/Plotly country-year extract reshaped to long indicator format for education"/>
    <s v="OK"/>
    <s v="1960s"/>
    <s v="N/A"/>
    <s v="Economy"/>
  </r>
  <r>
    <s v="GM-01774"/>
    <s v="Greece"/>
    <x v="1"/>
    <x v="3"/>
    <x v="0"/>
    <s v="Life expectancy at birth"/>
    <s v="Health"/>
    <s v="SDG 3: Good Health and Well-being"/>
    <n v="71"/>
    <s v="Years"/>
    <s v="Greece|1967"/>
    <s v="Gapminder/Plotly country-year extract reshaped to long indicator format for education"/>
    <s v="OK"/>
    <s v="1960s"/>
    <s v="High"/>
    <s v="Health"/>
  </r>
  <r>
    <s v="GM-01775"/>
    <s v="Greece"/>
    <x v="1"/>
    <x v="3"/>
    <x v="1"/>
    <s v="Population, total"/>
    <s v="Demographics"/>
    <s v="SDG 11: Sustainable Cities and Communities"/>
    <n v="8716441"/>
    <s v="People"/>
    <s v="Greece|1967"/>
    <s v="Gapminder/Plotly country-year extract reshaped to long indicator format for education"/>
    <s v="OK"/>
    <s v="1960s"/>
    <s v="N/A"/>
    <s v="Demographics"/>
  </r>
  <r>
    <s v="GM-01776"/>
    <s v="Greece"/>
    <x v="1"/>
    <x v="3"/>
    <x v="2"/>
    <s v="GDP per capita"/>
    <s v="Economy"/>
    <s v="SDG 8: Decent Work and Economic Growth"/>
    <n v="8513.0970159999997"/>
    <s v="Source-defined international dollars"/>
    <s v="Greece|1967"/>
    <s v="Gapminder/Plotly country-year extract reshaped to long indicator format for education"/>
    <s v="OK"/>
    <s v="1960s"/>
    <s v="N/A"/>
    <s v="Economy"/>
  </r>
  <r>
    <s v="GM-01777"/>
    <s v="Greece"/>
    <x v="1"/>
    <x v="4"/>
    <x v="0"/>
    <s v="Life expectancy at birth"/>
    <s v="Health"/>
    <s v="SDG 3: Good Health and Well-being"/>
    <n v="72.34"/>
    <s v="Years"/>
    <s v="Greece|1972"/>
    <s v="Gapminder/Plotly country-year extract reshaped to long indicator format for education"/>
    <s v="OK"/>
    <s v="1970s"/>
    <s v="High"/>
    <s v="Health"/>
  </r>
  <r>
    <s v="GM-01778"/>
    <s v="Greece"/>
    <x v="1"/>
    <x v="4"/>
    <x v="1"/>
    <s v="Population, total"/>
    <s v="Demographics"/>
    <s v="SDG 11: Sustainable Cities and Communities"/>
    <n v="8888628"/>
    <s v="People"/>
    <s v="Greece|1972"/>
    <s v="Gapminder/Plotly country-year extract reshaped to long indicator format for education"/>
    <s v="OK"/>
    <s v="1970s"/>
    <s v="N/A"/>
    <s v="Demographics"/>
  </r>
  <r>
    <s v="GM-01779"/>
    <s v="Greece"/>
    <x v="1"/>
    <x v="4"/>
    <x v="2"/>
    <s v="GDP per capita"/>
    <s v="Economy"/>
    <s v="SDG 8: Decent Work and Economic Growth"/>
    <n v="12724.82957"/>
    <s v="Source-defined international dollars"/>
    <s v="Greece|1972"/>
    <s v="Gapminder/Plotly country-year extract reshaped to long indicator format for education"/>
    <s v="OK"/>
    <s v="1970s"/>
    <s v="N/A"/>
    <s v="Economy"/>
  </r>
  <r>
    <s v="GM-01780"/>
    <s v="Greece"/>
    <x v="1"/>
    <x v="5"/>
    <x v="0"/>
    <s v="Life expectancy at birth"/>
    <s v="Health"/>
    <s v="SDG 3: Good Health and Well-being"/>
    <n v="73.680000000000007"/>
    <s v="Years"/>
    <s v="Greece|1977"/>
    <s v="Gapminder/Plotly country-year extract reshaped to long indicator format for education"/>
    <s v="OK"/>
    <s v="1970s"/>
    <s v="High"/>
    <s v="Health"/>
  </r>
  <r>
    <s v="GM-01781"/>
    <s v="Greece"/>
    <x v="1"/>
    <x v="5"/>
    <x v="1"/>
    <s v="Population, total"/>
    <s v="Demographics"/>
    <s v="SDG 11: Sustainable Cities and Communities"/>
    <n v="9308479"/>
    <s v="People"/>
    <s v="Greece|1977"/>
    <s v="Gapminder/Plotly country-year extract reshaped to long indicator format for education"/>
    <s v="OK"/>
    <s v="1970s"/>
    <s v="N/A"/>
    <s v="Demographics"/>
  </r>
  <r>
    <s v="GM-01782"/>
    <s v="Greece"/>
    <x v="1"/>
    <x v="5"/>
    <x v="2"/>
    <s v="GDP per capita"/>
    <s v="Economy"/>
    <s v="SDG 8: Decent Work and Economic Growth"/>
    <n v="14195.52428"/>
    <s v="Source-defined international dollars"/>
    <s v="Greece|1977"/>
    <s v="Gapminder/Plotly country-year extract reshaped to long indicator format for education"/>
    <s v="OK"/>
    <s v="1970s"/>
    <s v="N/A"/>
    <s v="Economy"/>
  </r>
  <r>
    <s v="GM-01783"/>
    <s v="Greece"/>
    <x v="1"/>
    <x v="6"/>
    <x v="0"/>
    <s v="Life expectancy at birth"/>
    <s v="Health"/>
    <s v="SDG 3: Good Health and Well-being"/>
    <n v="75.239999999999995"/>
    <s v="Years"/>
    <s v="Greece|1982"/>
    <s v="Gapminder/Plotly country-year extract reshaped to long indicator format for education"/>
    <s v="OK"/>
    <s v="1980s"/>
    <s v="High"/>
    <s v="Health"/>
  </r>
  <r>
    <s v="GM-01784"/>
    <s v="Greece"/>
    <x v="1"/>
    <x v="6"/>
    <x v="1"/>
    <s v="Population, total"/>
    <s v="Demographics"/>
    <s v="SDG 11: Sustainable Cities and Communities"/>
    <n v="9786480"/>
    <s v="People"/>
    <s v="Greece|1982"/>
    <s v="Gapminder/Plotly country-year extract reshaped to long indicator format for education"/>
    <s v="OK"/>
    <s v="1980s"/>
    <s v="N/A"/>
    <s v="Demographics"/>
  </r>
  <r>
    <s v="GM-01785"/>
    <s v="Greece"/>
    <x v="1"/>
    <x v="6"/>
    <x v="2"/>
    <s v="GDP per capita"/>
    <s v="Economy"/>
    <s v="SDG 8: Decent Work and Economic Growth"/>
    <n v="15268.420889999999"/>
    <s v="Source-defined international dollars"/>
    <s v="Greece|1982"/>
    <s v="Gapminder/Plotly country-year extract reshaped to long indicator format for education"/>
    <s v="OK"/>
    <s v="1980s"/>
    <s v="N/A"/>
    <s v="Economy"/>
  </r>
  <r>
    <s v="GM-01786"/>
    <s v="Greece"/>
    <x v="1"/>
    <x v="7"/>
    <x v="0"/>
    <s v="Life expectancy at birth"/>
    <s v="Health"/>
    <s v="SDG 3: Good Health and Well-being"/>
    <n v="76.67"/>
    <s v="Years"/>
    <s v="Greece|1987"/>
    <s v="Gapminder/Plotly country-year extract reshaped to long indicator format for education"/>
    <s v="OK"/>
    <s v="1980s"/>
    <s v="High"/>
    <s v="Health"/>
  </r>
  <r>
    <s v="GM-01787"/>
    <s v="Greece"/>
    <x v="1"/>
    <x v="7"/>
    <x v="1"/>
    <s v="Population, total"/>
    <s v="Demographics"/>
    <s v="SDG 11: Sustainable Cities and Communities"/>
    <n v="9974490"/>
    <s v="People"/>
    <s v="Greece|1987"/>
    <s v="Gapminder/Plotly country-year extract reshaped to long indicator format for education"/>
    <s v="OK"/>
    <s v="1980s"/>
    <s v="N/A"/>
    <s v="Demographics"/>
  </r>
  <r>
    <s v="GM-01788"/>
    <s v="Greece"/>
    <x v="1"/>
    <x v="7"/>
    <x v="2"/>
    <s v="GDP per capita"/>
    <s v="Economy"/>
    <s v="SDG 8: Decent Work and Economic Growth"/>
    <n v="16120.528389999999"/>
    <s v="Source-defined international dollars"/>
    <s v="Greece|1987"/>
    <s v="Gapminder/Plotly country-year extract reshaped to long indicator format for education"/>
    <s v="OK"/>
    <s v="1980s"/>
    <s v="N/A"/>
    <s v="Economy"/>
  </r>
  <r>
    <s v="GM-01789"/>
    <s v="Greece"/>
    <x v="1"/>
    <x v="8"/>
    <x v="0"/>
    <s v="Life expectancy at birth"/>
    <s v="Health"/>
    <s v="SDG 3: Good Health and Well-being"/>
    <n v="77.03"/>
    <s v="Years"/>
    <s v="Greece|1992"/>
    <s v="Gapminder/Plotly country-year extract reshaped to long indicator format for education"/>
    <s v="OK"/>
    <s v="1990s"/>
    <s v="High"/>
    <s v="Health"/>
  </r>
  <r>
    <s v="GM-01790"/>
    <s v="Greece"/>
    <x v="1"/>
    <x v="8"/>
    <x v="1"/>
    <s v="Population, total"/>
    <s v="Demographics"/>
    <s v="SDG 11: Sustainable Cities and Communities"/>
    <n v="10325429"/>
    <s v="People"/>
    <s v="Greece|1992"/>
    <s v="Gapminder/Plotly country-year extract reshaped to long indicator format for education"/>
    <s v="OK"/>
    <s v="1990s"/>
    <s v="N/A"/>
    <s v="Demographics"/>
  </r>
  <r>
    <s v="GM-01791"/>
    <s v="Greece"/>
    <x v="1"/>
    <x v="8"/>
    <x v="2"/>
    <s v="GDP per capita"/>
    <s v="Economy"/>
    <s v="SDG 8: Decent Work and Economic Growth"/>
    <n v="17541.496340000002"/>
    <s v="Source-defined international dollars"/>
    <s v="Greece|1992"/>
    <s v="Gapminder/Plotly country-year extract reshaped to long indicator format for education"/>
    <s v="OK"/>
    <s v="1990s"/>
    <s v="N/A"/>
    <s v="Economy"/>
  </r>
  <r>
    <s v="GM-01792"/>
    <s v="Greece"/>
    <x v="1"/>
    <x v="9"/>
    <x v="0"/>
    <s v="Life expectancy at birth"/>
    <s v="Health"/>
    <s v="SDG 3: Good Health and Well-being"/>
    <n v="77.869"/>
    <s v="Years"/>
    <s v="Greece|1997"/>
    <s v="Gapminder/Plotly country-year extract reshaped to long indicator format for education"/>
    <s v="OK"/>
    <s v="1990s"/>
    <s v="High"/>
    <s v="Health"/>
  </r>
  <r>
    <s v="GM-01793"/>
    <s v="Greece"/>
    <x v="1"/>
    <x v="9"/>
    <x v="1"/>
    <s v="Population, total"/>
    <s v="Demographics"/>
    <s v="SDG 11: Sustainable Cities and Communities"/>
    <n v="10502372"/>
    <s v="People"/>
    <s v="Greece|1997"/>
    <s v="Gapminder/Plotly country-year extract reshaped to long indicator format for education"/>
    <s v="OK"/>
    <s v="1990s"/>
    <s v="N/A"/>
    <s v="Demographics"/>
  </r>
  <r>
    <s v="GM-01794"/>
    <s v="Greece"/>
    <x v="1"/>
    <x v="9"/>
    <x v="2"/>
    <s v="GDP per capita"/>
    <s v="Economy"/>
    <s v="SDG 8: Decent Work and Economic Growth"/>
    <n v="18747.69814"/>
    <s v="Source-defined international dollars"/>
    <s v="Greece|1997"/>
    <s v="Gapminder/Plotly country-year extract reshaped to long indicator format for education"/>
    <s v="OK"/>
    <s v="1990s"/>
    <s v="N/A"/>
    <s v="Economy"/>
  </r>
  <r>
    <s v="GM-01795"/>
    <s v="Greece"/>
    <x v="1"/>
    <x v="10"/>
    <x v="0"/>
    <s v="Life expectancy at birth"/>
    <s v="Health"/>
    <s v="SDG 3: Good Health and Well-being"/>
    <n v="78.256"/>
    <s v="Years"/>
    <s v="Greece|2002"/>
    <s v="Gapminder/Plotly country-year extract reshaped to long indicator format for education"/>
    <s v="OK"/>
    <s v="2000s"/>
    <s v="High"/>
    <s v="Health"/>
  </r>
  <r>
    <s v="GM-01796"/>
    <s v="Greece"/>
    <x v="1"/>
    <x v="10"/>
    <x v="1"/>
    <s v="Population, total"/>
    <s v="Demographics"/>
    <s v="SDG 11: Sustainable Cities and Communities"/>
    <n v="10603863"/>
    <s v="People"/>
    <s v="Greece|2002"/>
    <s v="Gapminder/Plotly country-year extract reshaped to long indicator format for education"/>
    <s v="OK"/>
    <s v="2000s"/>
    <s v="N/A"/>
    <s v="Demographics"/>
  </r>
  <r>
    <s v="GM-01797"/>
    <s v="Greece"/>
    <x v="1"/>
    <x v="10"/>
    <x v="2"/>
    <s v="GDP per capita"/>
    <s v="Economy"/>
    <s v="SDG 8: Decent Work and Economic Growth"/>
    <n v="22514.254799999999"/>
    <s v="Source-defined international dollars"/>
    <s v="Greece|2002"/>
    <s v="Gapminder/Plotly country-year extract reshaped to long indicator format for education"/>
    <s v="OK"/>
    <s v="2000s"/>
    <s v="N/A"/>
    <s v="Economy"/>
  </r>
  <r>
    <s v="GM-01798"/>
    <s v="Greece"/>
    <x v="1"/>
    <x v="11"/>
    <x v="0"/>
    <s v="Life expectancy at birth"/>
    <s v="Health"/>
    <s v="SDG 3: Good Health and Well-being"/>
    <n v="79.483000000000004"/>
    <s v="Years"/>
    <s v="Greece|2007"/>
    <s v="Gapminder/Plotly country-year extract reshaped to long indicator format for education"/>
    <s v="OK"/>
    <s v="2000s"/>
    <s v="High"/>
    <s v="Health"/>
  </r>
  <r>
    <s v="GM-01799"/>
    <s v="Greece"/>
    <x v="1"/>
    <x v="11"/>
    <x v="1"/>
    <s v="Population, total"/>
    <s v="Demographics"/>
    <s v="SDG 11: Sustainable Cities and Communities"/>
    <n v="10706290"/>
    <s v="People"/>
    <s v="Greece|2007"/>
    <s v="Gapminder/Plotly country-year extract reshaped to long indicator format for education"/>
    <s v="OK"/>
    <s v="2000s"/>
    <s v="N/A"/>
    <s v="Demographics"/>
  </r>
  <r>
    <s v="GM-01800"/>
    <s v="Greece"/>
    <x v="1"/>
    <x v="11"/>
    <x v="2"/>
    <s v="GDP per capita"/>
    <s v="Economy"/>
    <s v="SDG 8: Decent Work and Economic Growth"/>
    <n v="27538.41188"/>
    <s v="Source-defined international dollars"/>
    <s v="Greece|2007"/>
    <s v="Gapminder/Plotly country-year extract reshaped to long indicator format for education"/>
    <s v="OK"/>
    <s v="2000s"/>
    <s v="N/A"/>
    <s v="Economy"/>
  </r>
  <r>
    <s v="GM-01801"/>
    <s v="Guatemala"/>
    <x v="3"/>
    <x v="0"/>
    <x v="0"/>
    <s v="Life expectancy at birth"/>
    <s v="Health"/>
    <s v="SDG 3: Good Health and Well-being"/>
    <n v="42.023000000000003"/>
    <s v="Years"/>
    <s v="Guatemala|1952"/>
    <s v="Gapminder/Plotly country-year extract reshaped to long indicator format for education"/>
    <s v="OK"/>
    <s v="1950s"/>
    <s v="Low"/>
    <s v="Health"/>
  </r>
  <r>
    <s v="GM-01802"/>
    <s v="Guatemala"/>
    <x v="3"/>
    <x v="0"/>
    <x v="1"/>
    <s v="Population, total"/>
    <s v="Demographics"/>
    <s v="SDG 11: Sustainable Cities and Communities"/>
    <n v="3146381"/>
    <s v="People"/>
    <s v="Guatemala|1952"/>
    <s v="Gapminder/Plotly country-year extract reshaped to long indicator format for education"/>
    <s v="OK"/>
    <s v="1950s"/>
    <s v="N/A"/>
    <s v="Demographics"/>
  </r>
  <r>
    <s v="GM-01803"/>
    <s v="Guatemala"/>
    <x v="3"/>
    <x v="0"/>
    <x v="2"/>
    <s v="GDP per capita"/>
    <s v="Economy"/>
    <s v="SDG 8: Decent Work and Economic Growth"/>
    <n v="2428.2377689999998"/>
    <s v="Source-defined international dollars"/>
    <s v="Guatemala|1952"/>
    <s v="Gapminder/Plotly country-year extract reshaped to long indicator format for education"/>
    <s v="OK"/>
    <s v="1950s"/>
    <s v="N/A"/>
    <s v="Economy"/>
  </r>
  <r>
    <s v="GM-01804"/>
    <s v="Guatemala"/>
    <x v="3"/>
    <x v="1"/>
    <x v="0"/>
    <s v="Life expectancy at birth"/>
    <s v="Health"/>
    <s v="SDG 3: Good Health and Well-being"/>
    <n v="44.142000000000003"/>
    <s v="Years"/>
    <s v="Guatemala|1957"/>
    <s v="Gapminder/Plotly country-year extract reshaped to long indicator format for education"/>
    <s v="OK"/>
    <s v="1950s"/>
    <s v="Low"/>
    <s v="Health"/>
  </r>
  <r>
    <s v="GM-01805"/>
    <s v="Guatemala"/>
    <x v="3"/>
    <x v="1"/>
    <x v="1"/>
    <s v="Population, total"/>
    <s v="Demographics"/>
    <s v="SDG 11: Sustainable Cities and Communities"/>
    <n v="3640876"/>
    <s v="People"/>
    <s v="Guatemala|1957"/>
    <s v="Gapminder/Plotly country-year extract reshaped to long indicator format for education"/>
    <s v="OK"/>
    <s v="1950s"/>
    <s v="N/A"/>
    <s v="Demographics"/>
  </r>
  <r>
    <s v="GM-01806"/>
    <s v="Guatemala"/>
    <x v="3"/>
    <x v="1"/>
    <x v="2"/>
    <s v="GDP per capita"/>
    <s v="Economy"/>
    <s v="SDG 8: Decent Work and Economic Growth"/>
    <n v="2617.1559670000001"/>
    <s v="Source-defined international dollars"/>
    <s v="Guatemala|1957"/>
    <s v="Gapminder/Plotly country-year extract reshaped to long indicator format for education"/>
    <s v="OK"/>
    <s v="1950s"/>
    <s v="N/A"/>
    <s v="Economy"/>
  </r>
  <r>
    <s v="GM-01807"/>
    <s v="Guatemala"/>
    <x v="3"/>
    <x v="2"/>
    <x v="0"/>
    <s v="Life expectancy at birth"/>
    <s v="Health"/>
    <s v="SDG 3: Good Health and Well-being"/>
    <n v="46.953999999999901"/>
    <s v="Years"/>
    <s v="Guatemala|1962"/>
    <s v="Gapminder/Plotly country-year extract reshaped to long indicator format for education"/>
    <s v="OK"/>
    <s v="1960s"/>
    <s v="Low"/>
    <s v="Health"/>
  </r>
  <r>
    <s v="GM-01808"/>
    <s v="Guatemala"/>
    <x v="3"/>
    <x v="2"/>
    <x v="1"/>
    <s v="Population, total"/>
    <s v="Demographics"/>
    <s v="SDG 11: Sustainable Cities and Communities"/>
    <n v="4208858"/>
    <s v="People"/>
    <s v="Guatemala|1962"/>
    <s v="Gapminder/Plotly country-year extract reshaped to long indicator format for education"/>
    <s v="OK"/>
    <s v="1960s"/>
    <s v="N/A"/>
    <s v="Demographics"/>
  </r>
  <r>
    <s v="GM-01809"/>
    <s v="Guatemala"/>
    <x v="3"/>
    <x v="2"/>
    <x v="2"/>
    <s v="GDP per capita"/>
    <s v="Economy"/>
    <s v="SDG 8: Decent Work and Economic Growth"/>
    <n v="2750.364446"/>
    <s v="Source-defined international dollars"/>
    <s v="Guatemala|1962"/>
    <s v="Gapminder/Plotly country-year extract reshaped to long indicator format for education"/>
    <s v="OK"/>
    <s v="1960s"/>
    <s v="N/A"/>
    <s v="Economy"/>
  </r>
  <r>
    <s v="GM-01810"/>
    <s v="Guatemala"/>
    <x v="3"/>
    <x v="3"/>
    <x v="0"/>
    <s v="Life expectancy at birth"/>
    <s v="Health"/>
    <s v="SDG 3: Good Health and Well-being"/>
    <n v="50.015999999999998"/>
    <s v="Years"/>
    <s v="Guatemala|1967"/>
    <s v="Gapminder/Plotly country-year extract reshaped to long indicator format for education"/>
    <s v="OK"/>
    <s v="1960s"/>
    <s v="Low"/>
    <s v="Health"/>
  </r>
  <r>
    <s v="GM-01811"/>
    <s v="Guatemala"/>
    <x v="3"/>
    <x v="3"/>
    <x v="1"/>
    <s v="Population, total"/>
    <s v="Demographics"/>
    <s v="SDG 11: Sustainable Cities and Communities"/>
    <n v="4690773"/>
    <s v="People"/>
    <s v="Guatemala|1967"/>
    <s v="Gapminder/Plotly country-year extract reshaped to long indicator format for education"/>
    <s v="OK"/>
    <s v="1960s"/>
    <s v="N/A"/>
    <s v="Demographics"/>
  </r>
  <r>
    <s v="GM-01812"/>
    <s v="Guatemala"/>
    <x v="3"/>
    <x v="3"/>
    <x v="2"/>
    <s v="GDP per capita"/>
    <s v="Economy"/>
    <s v="SDG 8: Decent Work and Economic Growth"/>
    <n v="3242.5311470000001"/>
    <s v="Source-defined international dollars"/>
    <s v="Guatemala|1967"/>
    <s v="Gapminder/Plotly country-year extract reshaped to long indicator format for education"/>
    <s v="OK"/>
    <s v="1960s"/>
    <s v="N/A"/>
    <s v="Economy"/>
  </r>
  <r>
    <s v="GM-01813"/>
    <s v="Guatemala"/>
    <x v="3"/>
    <x v="4"/>
    <x v="0"/>
    <s v="Life expectancy at birth"/>
    <s v="Health"/>
    <s v="SDG 3: Good Health and Well-being"/>
    <n v="53.738"/>
    <s v="Years"/>
    <s v="Guatemala|1972"/>
    <s v="Gapminder/Plotly country-year extract reshaped to long indicator format for education"/>
    <s v="OK"/>
    <s v="1970s"/>
    <s v="Low"/>
    <s v="Health"/>
  </r>
  <r>
    <s v="GM-01814"/>
    <s v="Guatemala"/>
    <x v="3"/>
    <x v="4"/>
    <x v="1"/>
    <s v="Population, total"/>
    <s v="Demographics"/>
    <s v="SDG 11: Sustainable Cities and Communities"/>
    <n v="5149581"/>
    <s v="People"/>
    <s v="Guatemala|1972"/>
    <s v="Gapminder/Plotly country-year extract reshaped to long indicator format for education"/>
    <s v="OK"/>
    <s v="1970s"/>
    <s v="N/A"/>
    <s v="Demographics"/>
  </r>
  <r>
    <s v="GM-01815"/>
    <s v="Guatemala"/>
    <x v="3"/>
    <x v="4"/>
    <x v="2"/>
    <s v="GDP per capita"/>
    <s v="Economy"/>
    <s v="SDG 8: Decent Work and Economic Growth"/>
    <n v="4031.4082709999998"/>
    <s v="Source-defined international dollars"/>
    <s v="Guatemala|1972"/>
    <s v="Gapminder/Plotly country-year extract reshaped to long indicator format for education"/>
    <s v="OK"/>
    <s v="1970s"/>
    <s v="N/A"/>
    <s v="Economy"/>
  </r>
  <r>
    <s v="GM-01816"/>
    <s v="Guatemala"/>
    <x v="3"/>
    <x v="5"/>
    <x v="0"/>
    <s v="Life expectancy at birth"/>
    <s v="Health"/>
    <s v="SDG 3: Good Health and Well-being"/>
    <n v="56.029000000000003"/>
    <s v="Years"/>
    <s v="Guatemala|1977"/>
    <s v="Gapminder/Plotly country-year extract reshaped to long indicator format for education"/>
    <s v="OK"/>
    <s v="1970s"/>
    <s v="Medium"/>
    <s v="Health"/>
  </r>
  <r>
    <s v="GM-01817"/>
    <s v="Guatemala"/>
    <x v="3"/>
    <x v="5"/>
    <x v="1"/>
    <s v="Population, total"/>
    <s v="Demographics"/>
    <s v="SDG 11: Sustainable Cities and Communities"/>
    <n v="5703430"/>
    <s v="People"/>
    <s v="Guatemala|1977"/>
    <s v="Gapminder/Plotly country-year extract reshaped to long indicator format for education"/>
    <s v="OK"/>
    <s v="1970s"/>
    <s v="N/A"/>
    <s v="Demographics"/>
  </r>
  <r>
    <s v="GM-01818"/>
    <s v="Guatemala"/>
    <x v="3"/>
    <x v="5"/>
    <x v="2"/>
    <s v="GDP per capita"/>
    <s v="Economy"/>
    <s v="SDG 8: Decent Work and Economic Growth"/>
    <n v="4879.9927479999997"/>
    <s v="Source-defined international dollars"/>
    <s v="Guatemala|1977"/>
    <s v="Gapminder/Plotly country-year extract reshaped to long indicator format for education"/>
    <s v="OK"/>
    <s v="1970s"/>
    <s v="N/A"/>
    <s v="Economy"/>
  </r>
  <r>
    <s v="GM-01819"/>
    <s v="Guatemala"/>
    <x v="3"/>
    <x v="6"/>
    <x v="0"/>
    <s v="Life expectancy at birth"/>
    <s v="Health"/>
    <s v="SDG 3: Good Health and Well-being"/>
    <n v="58.137"/>
    <s v="Years"/>
    <s v="Guatemala|1982"/>
    <s v="Gapminder/Plotly country-year extract reshaped to long indicator format for education"/>
    <s v="OK"/>
    <s v="1980s"/>
    <s v="Medium"/>
    <s v="Health"/>
  </r>
  <r>
    <s v="GM-01820"/>
    <s v="Guatemala"/>
    <x v="3"/>
    <x v="6"/>
    <x v="1"/>
    <s v="Population, total"/>
    <s v="Demographics"/>
    <s v="SDG 11: Sustainable Cities and Communities"/>
    <n v="6395630"/>
    <s v="People"/>
    <s v="Guatemala|1982"/>
    <s v="Gapminder/Plotly country-year extract reshaped to long indicator format for education"/>
    <s v="OK"/>
    <s v="1980s"/>
    <s v="N/A"/>
    <s v="Demographics"/>
  </r>
  <r>
    <s v="GM-01821"/>
    <s v="Guatemala"/>
    <x v="3"/>
    <x v="6"/>
    <x v="2"/>
    <s v="GDP per capita"/>
    <s v="Economy"/>
    <s v="SDG 8: Decent Work and Economic Growth"/>
    <n v="4820.4947899999997"/>
    <s v="Source-defined international dollars"/>
    <s v="Guatemala|1982"/>
    <s v="Gapminder/Plotly country-year extract reshaped to long indicator format for education"/>
    <s v="OK"/>
    <s v="1980s"/>
    <s v="N/A"/>
    <s v="Economy"/>
  </r>
  <r>
    <s v="GM-01822"/>
    <s v="Guatemala"/>
    <x v="3"/>
    <x v="7"/>
    <x v="0"/>
    <s v="Life expectancy at birth"/>
    <s v="Health"/>
    <s v="SDG 3: Good Health and Well-being"/>
    <n v="60.781999999999996"/>
    <s v="Years"/>
    <s v="Guatemala|1987"/>
    <s v="Gapminder/Plotly country-year extract reshaped to long indicator format for education"/>
    <s v="OK"/>
    <s v="1980s"/>
    <s v="Medium"/>
    <s v="Health"/>
  </r>
  <r>
    <s v="GM-01823"/>
    <s v="Guatemala"/>
    <x v="3"/>
    <x v="7"/>
    <x v="1"/>
    <s v="Population, total"/>
    <s v="Demographics"/>
    <s v="SDG 11: Sustainable Cities and Communities"/>
    <n v="7326406"/>
    <s v="People"/>
    <s v="Guatemala|1987"/>
    <s v="Gapminder/Plotly country-year extract reshaped to long indicator format for education"/>
    <s v="OK"/>
    <s v="1980s"/>
    <s v="N/A"/>
    <s v="Demographics"/>
  </r>
  <r>
    <s v="GM-01824"/>
    <s v="Guatemala"/>
    <x v="3"/>
    <x v="7"/>
    <x v="2"/>
    <s v="GDP per capita"/>
    <s v="Economy"/>
    <s v="SDG 8: Decent Work and Economic Growth"/>
    <n v="4246.4859740000002"/>
    <s v="Source-defined international dollars"/>
    <s v="Guatemala|1987"/>
    <s v="Gapminder/Plotly country-year extract reshaped to long indicator format for education"/>
    <s v="OK"/>
    <s v="1980s"/>
    <s v="N/A"/>
    <s v="Economy"/>
  </r>
  <r>
    <s v="GM-01825"/>
    <s v="Guatemala"/>
    <x v="3"/>
    <x v="8"/>
    <x v="0"/>
    <s v="Life expectancy at birth"/>
    <s v="Health"/>
    <s v="SDG 3: Good Health and Well-being"/>
    <n v="63.372999999999998"/>
    <s v="Years"/>
    <s v="Guatemala|1992"/>
    <s v="Gapminder/Plotly country-year extract reshaped to long indicator format for education"/>
    <s v="OK"/>
    <s v="1990s"/>
    <s v="Medium"/>
    <s v="Health"/>
  </r>
  <r>
    <s v="GM-01826"/>
    <s v="Guatemala"/>
    <x v="3"/>
    <x v="8"/>
    <x v="1"/>
    <s v="Population, total"/>
    <s v="Demographics"/>
    <s v="SDG 11: Sustainable Cities and Communities"/>
    <n v="8486949"/>
    <s v="People"/>
    <s v="Guatemala|1992"/>
    <s v="Gapminder/Plotly country-year extract reshaped to long indicator format for education"/>
    <s v="OK"/>
    <s v="1990s"/>
    <s v="N/A"/>
    <s v="Demographics"/>
  </r>
  <r>
    <s v="GM-01827"/>
    <s v="Guatemala"/>
    <x v="3"/>
    <x v="8"/>
    <x v="2"/>
    <s v="GDP per capita"/>
    <s v="Economy"/>
    <s v="SDG 8: Decent Work and Economic Growth"/>
    <n v="4439.4508400000004"/>
    <s v="Source-defined international dollars"/>
    <s v="Guatemala|1992"/>
    <s v="Gapminder/Plotly country-year extract reshaped to long indicator format for education"/>
    <s v="OK"/>
    <s v="1990s"/>
    <s v="N/A"/>
    <s v="Economy"/>
  </r>
  <r>
    <s v="GM-01828"/>
    <s v="Guatemala"/>
    <x v="3"/>
    <x v="9"/>
    <x v="0"/>
    <s v="Life expectancy at birth"/>
    <s v="Health"/>
    <s v="SDG 3: Good Health and Well-being"/>
    <n v="66.322000000000003"/>
    <s v="Years"/>
    <s v="Guatemala|1997"/>
    <s v="Gapminder/Plotly country-year extract reshaped to long indicator format for education"/>
    <s v="OK"/>
    <s v="1990s"/>
    <s v="Medium"/>
    <s v="Health"/>
  </r>
  <r>
    <s v="GM-01829"/>
    <s v="Guatemala"/>
    <x v="3"/>
    <x v="9"/>
    <x v="1"/>
    <s v="Population, total"/>
    <s v="Demographics"/>
    <s v="SDG 11: Sustainable Cities and Communities"/>
    <n v="9803875"/>
    <s v="People"/>
    <s v="Guatemala|1997"/>
    <s v="Gapminder/Plotly country-year extract reshaped to long indicator format for education"/>
    <s v="OK"/>
    <s v="1990s"/>
    <s v="N/A"/>
    <s v="Demographics"/>
  </r>
  <r>
    <s v="GM-01830"/>
    <s v="Guatemala"/>
    <x v="3"/>
    <x v="9"/>
    <x v="2"/>
    <s v="GDP per capita"/>
    <s v="Economy"/>
    <s v="SDG 8: Decent Work and Economic Growth"/>
    <n v="4684.3138070000005"/>
    <s v="Source-defined international dollars"/>
    <s v="Guatemala|1997"/>
    <s v="Gapminder/Plotly country-year extract reshaped to long indicator format for education"/>
    <s v="OK"/>
    <s v="1990s"/>
    <s v="N/A"/>
    <s v="Economy"/>
  </r>
  <r>
    <s v="GM-01831"/>
    <s v="Guatemala"/>
    <x v="3"/>
    <x v="10"/>
    <x v="0"/>
    <s v="Life expectancy at birth"/>
    <s v="Health"/>
    <s v="SDG 3: Good Health and Well-being"/>
    <n v="68.977999999999994"/>
    <s v="Years"/>
    <s v="Guatemala|2002"/>
    <s v="Gapminder/Plotly country-year extract reshaped to long indicator format for education"/>
    <s v="OK"/>
    <s v="2000s"/>
    <s v="Medium"/>
    <s v="Health"/>
  </r>
  <r>
    <s v="GM-01832"/>
    <s v="Guatemala"/>
    <x v="3"/>
    <x v="10"/>
    <x v="1"/>
    <s v="Population, total"/>
    <s v="Demographics"/>
    <s v="SDG 11: Sustainable Cities and Communities"/>
    <n v="11178650"/>
    <s v="People"/>
    <s v="Guatemala|2002"/>
    <s v="Gapminder/Plotly country-year extract reshaped to long indicator format for education"/>
    <s v="OK"/>
    <s v="2000s"/>
    <s v="N/A"/>
    <s v="Demographics"/>
  </r>
  <r>
    <s v="GM-01833"/>
    <s v="Guatemala"/>
    <x v="3"/>
    <x v="10"/>
    <x v="2"/>
    <s v="GDP per capita"/>
    <s v="Economy"/>
    <s v="SDG 8: Decent Work and Economic Growth"/>
    <n v="4858.347495"/>
    <s v="Source-defined international dollars"/>
    <s v="Guatemala|2002"/>
    <s v="Gapminder/Plotly country-year extract reshaped to long indicator format for education"/>
    <s v="OK"/>
    <s v="2000s"/>
    <s v="N/A"/>
    <s v="Economy"/>
  </r>
  <r>
    <s v="GM-01834"/>
    <s v="Guatemala"/>
    <x v="3"/>
    <x v="11"/>
    <x v="0"/>
    <s v="Life expectancy at birth"/>
    <s v="Health"/>
    <s v="SDG 3: Good Health and Well-being"/>
    <n v="70.259"/>
    <s v="Years"/>
    <s v="Guatemala|2007"/>
    <s v="Gapminder/Plotly country-year extract reshaped to long indicator format for education"/>
    <s v="OK"/>
    <s v="2000s"/>
    <s v="High"/>
    <s v="Health"/>
  </r>
  <r>
    <s v="GM-01835"/>
    <s v="Guatemala"/>
    <x v="3"/>
    <x v="11"/>
    <x v="1"/>
    <s v="Population, total"/>
    <s v="Demographics"/>
    <s v="SDG 11: Sustainable Cities and Communities"/>
    <n v="12572928"/>
    <s v="People"/>
    <s v="Guatemala|2007"/>
    <s v="Gapminder/Plotly country-year extract reshaped to long indicator format for education"/>
    <s v="OK"/>
    <s v="2000s"/>
    <s v="N/A"/>
    <s v="Demographics"/>
  </r>
  <r>
    <s v="GM-01836"/>
    <s v="Guatemala"/>
    <x v="3"/>
    <x v="11"/>
    <x v="2"/>
    <s v="GDP per capita"/>
    <s v="Economy"/>
    <s v="SDG 8: Decent Work and Economic Growth"/>
    <n v="5186.0500030000003"/>
    <s v="Source-defined international dollars"/>
    <s v="Guatemala|2007"/>
    <s v="Gapminder/Plotly country-year extract reshaped to long indicator format for education"/>
    <s v="OK"/>
    <s v="2000s"/>
    <s v="N/A"/>
    <s v="Economy"/>
  </r>
  <r>
    <s v="GM-01837"/>
    <s v="Guinea"/>
    <x v="2"/>
    <x v="0"/>
    <x v="0"/>
    <s v="Life expectancy at birth"/>
    <s v="Health"/>
    <s v="SDG 3: Good Health and Well-being"/>
    <n v="33.609000000000002"/>
    <s v="Years"/>
    <s v="Guinea|1952"/>
    <s v="Gapminder/Plotly country-year extract reshaped to long indicator format for education"/>
    <s v="OK"/>
    <s v="1950s"/>
    <s v="Low"/>
    <s v="Health"/>
  </r>
  <r>
    <s v="GM-01838"/>
    <s v="Guinea"/>
    <x v="2"/>
    <x v="0"/>
    <x v="1"/>
    <s v="Population, total"/>
    <s v="Demographics"/>
    <s v="SDG 11: Sustainable Cities and Communities"/>
    <n v="2664249"/>
    <s v="People"/>
    <s v="Guinea|1952"/>
    <s v="Gapminder/Plotly country-year extract reshaped to long indicator format for education"/>
    <s v="OK"/>
    <s v="1950s"/>
    <s v="N/A"/>
    <s v="Demographics"/>
  </r>
  <r>
    <s v="GM-01839"/>
    <s v="Guinea"/>
    <x v="2"/>
    <x v="0"/>
    <x v="2"/>
    <s v="GDP per capita"/>
    <s v="Economy"/>
    <s v="SDG 8: Decent Work and Economic Growth"/>
    <n v="510.19649229999999"/>
    <s v="Source-defined international dollars"/>
    <s v="Guinea|1952"/>
    <s v="Gapminder/Plotly country-year extract reshaped to long indicator format for education"/>
    <s v="OK"/>
    <s v="1950s"/>
    <s v="N/A"/>
    <s v="Economy"/>
  </r>
  <r>
    <s v="GM-01840"/>
    <s v="Guinea"/>
    <x v="2"/>
    <x v="1"/>
    <x v="0"/>
    <s v="Life expectancy at birth"/>
    <s v="Health"/>
    <s v="SDG 3: Good Health and Well-being"/>
    <n v="34.558"/>
    <s v="Years"/>
    <s v="Guinea|1957"/>
    <s v="Gapminder/Plotly country-year extract reshaped to long indicator format for education"/>
    <s v="OK"/>
    <s v="1950s"/>
    <s v="Low"/>
    <s v="Health"/>
  </r>
  <r>
    <s v="GM-01841"/>
    <s v="Guinea"/>
    <x v="2"/>
    <x v="1"/>
    <x v="1"/>
    <s v="Population, total"/>
    <s v="Demographics"/>
    <s v="SDG 11: Sustainable Cities and Communities"/>
    <n v="2876726"/>
    <s v="People"/>
    <s v="Guinea|1957"/>
    <s v="Gapminder/Plotly country-year extract reshaped to long indicator format for education"/>
    <s v="OK"/>
    <s v="1950s"/>
    <s v="N/A"/>
    <s v="Demographics"/>
  </r>
  <r>
    <s v="GM-01842"/>
    <s v="Guinea"/>
    <x v="2"/>
    <x v="1"/>
    <x v="2"/>
    <s v="GDP per capita"/>
    <s v="Economy"/>
    <s v="SDG 8: Decent Work and Economic Growth"/>
    <n v="576.26702450000005"/>
    <s v="Source-defined international dollars"/>
    <s v="Guinea|1957"/>
    <s v="Gapminder/Plotly country-year extract reshaped to long indicator format for education"/>
    <s v="OK"/>
    <s v="1950s"/>
    <s v="N/A"/>
    <s v="Economy"/>
  </r>
  <r>
    <s v="GM-01843"/>
    <s v="Guinea"/>
    <x v="2"/>
    <x v="2"/>
    <x v="0"/>
    <s v="Life expectancy at birth"/>
    <s v="Health"/>
    <s v="SDG 3: Good Health and Well-being"/>
    <n v="35.753"/>
    <s v="Years"/>
    <s v="Guinea|1962"/>
    <s v="Gapminder/Plotly country-year extract reshaped to long indicator format for education"/>
    <s v="OK"/>
    <s v="1960s"/>
    <s v="Low"/>
    <s v="Health"/>
  </r>
  <r>
    <s v="GM-01844"/>
    <s v="Guinea"/>
    <x v="2"/>
    <x v="2"/>
    <x v="1"/>
    <s v="Population, total"/>
    <s v="Demographics"/>
    <s v="SDG 11: Sustainable Cities and Communities"/>
    <n v="3140003"/>
    <s v="People"/>
    <s v="Guinea|1962"/>
    <s v="Gapminder/Plotly country-year extract reshaped to long indicator format for education"/>
    <s v="OK"/>
    <s v="1960s"/>
    <s v="N/A"/>
    <s v="Demographics"/>
  </r>
  <r>
    <s v="GM-01845"/>
    <s v="Guinea"/>
    <x v="2"/>
    <x v="2"/>
    <x v="2"/>
    <s v="GDP per capita"/>
    <s v="Economy"/>
    <s v="SDG 8: Decent Work and Economic Growth"/>
    <n v="686.37367389999997"/>
    <s v="Source-defined international dollars"/>
    <s v="Guinea|1962"/>
    <s v="Gapminder/Plotly country-year extract reshaped to long indicator format for education"/>
    <s v="OK"/>
    <s v="1960s"/>
    <s v="N/A"/>
    <s v="Economy"/>
  </r>
  <r>
    <s v="GM-01846"/>
    <s v="Guinea"/>
    <x v="2"/>
    <x v="3"/>
    <x v="0"/>
    <s v="Life expectancy at birth"/>
    <s v="Health"/>
    <s v="SDG 3: Good Health and Well-being"/>
    <n v="37.197000000000003"/>
    <s v="Years"/>
    <s v="Guinea|1967"/>
    <s v="Gapminder/Plotly country-year extract reshaped to long indicator format for education"/>
    <s v="OK"/>
    <s v="1960s"/>
    <s v="Low"/>
    <s v="Health"/>
  </r>
  <r>
    <s v="GM-01847"/>
    <s v="Guinea"/>
    <x v="2"/>
    <x v="3"/>
    <x v="1"/>
    <s v="Population, total"/>
    <s v="Demographics"/>
    <s v="SDG 11: Sustainable Cities and Communities"/>
    <n v="3451418"/>
    <s v="People"/>
    <s v="Guinea|1967"/>
    <s v="Gapminder/Plotly country-year extract reshaped to long indicator format for education"/>
    <s v="OK"/>
    <s v="1960s"/>
    <s v="N/A"/>
    <s v="Demographics"/>
  </r>
  <r>
    <s v="GM-01848"/>
    <s v="Guinea"/>
    <x v="2"/>
    <x v="3"/>
    <x v="2"/>
    <s v="GDP per capita"/>
    <s v="Economy"/>
    <s v="SDG 8: Decent Work and Economic Growth"/>
    <n v="708.75954090000005"/>
    <s v="Source-defined international dollars"/>
    <s v="Guinea|1967"/>
    <s v="Gapminder/Plotly country-year extract reshaped to long indicator format for education"/>
    <s v="OK"/>
    <s v="1960s"/>
    <s v="N/A"/>
    <s v="Economy"/>
  </r>
  <r>
    <s v="GM-01849"/>
    <s v="Guinea"/>
    <x v="2"/>
    <x v="4"/>
    <x v="0"/>
    <s v="Life expectancy at birth"/>
    <s v="Health"/>
    <s v="SDG 3: Good Health and Well-being"/>
    <n v="38.841999999999999"/>
    <s v="Years"/>
    <s v="Guinea|1972"/>
    <s v="Gapminder/Plotly country-year extract reshaped to long indicator format for education"/>
    <s v="OK"/>
    <s v="1970s"/>
    <s v="Low"/>
    <s v="Health"/>
  </r>
  <r>
    <s v="GM-01850"/>
    <s v="Guinea"/>
    <x v="2"/>
    <x v="4"/>
    <x v="1"/>
    <s v="Population, total"/>
    <s v="Demographics"/>
    <s v="SDG 11: Sustainable Cities and Communities"/>
    <n v="3811387"/>
    <s v="People"/>
    <s v="Guinea|1972"/>
    <s v="Gapminder/Plotly country-year extract reshaped to long indicator format for education"/>
    <s v="OK"/>
    <s v="1970s"/>
    <s v="N/A"/>
    <s v="Demographics"/>
  </r>
  <r>
    <s v="GM-01851"/>
    <s v="Guinea"/>
    <x v="2"/>
    <x v="4"/>
    <x v="2"/>
    <s v="GDP per capita"/>
    <s v="Economy"/>
    <s v="SDG 8: Decent Work and Economic Growth"/>
    <n v="741.66623070000003"/>
    <s v="Source-defined international dollars"/>
    <s v="Guinea|1972"/>
    <s v="Gapminder/Plotly country-year extract reshaped to long indicator format for education"/>
    <s v="OK"/>
    <s v="1970s"/>
    <s v="N/A"/>
    <s v="Economy"/>
  </r>
  <r>
    <s v="GM-01852"/>
    <s v="Guinea"/>
    <x v="2"/>
    <x v="5"/>
    <x v="0"/>
    <s v="Life expectancy at birth"/>
    <s v="Health"/>
    <s v="SDG 3: Good Health and Well-being"/>
    <n v="40.762"/>
    <s v="Years"/>
    <s v="Guinea|1977"/>
    <s v="Gapminder/Plotly country-year extract reshaped to long indicator format for education"/>
    <s v="OK"/>
    <s v="1970s"/>
    <s v="Low"/>
    <s v="Health"/>
  </r>
  <r>
    <s v="GM-01853"/>
    <s v="Guinea"/>
    <x v="2"/>
    <x v="5"/>
    <x v="1"/>
    <s v="Population, total"/>
    <s v="Demographics"/>
    <s v="SDG 11: Sustainable Cities and Communities"/>
    <n v="4227026"/>
    <s v="People"/>
    <s v="Guinea|1977"/>
    <s v="Gapminder/Plotly country-year extract reshaped to long indicator format for education"/>
    <s v="OK"/>
    <s v="1970s"/>
    <s v="N/A"/>
    <s v="Demographics"/>
  </r>
  <r>
    <s v="GM-01854"/>
    <s v="Guinea"/>
    <x v="2"/>
    <x v="5"/>
    <x v="2"/>
    <s v="GDP per capita"/>
    <s v="Economy"/>
    <s v="SDG 8: Decent Work and Economic Growth"/>
    <n v="874.68586429999903"/>
    <s v="Source-defined international dollars"/>
    <s v="Guinea|1977"/>
    <s v="Gapminder/Plotly country-year extract reshaped to long indicator format for education"/>
    <s v="OK"/>
    <s v="1970s"/>
    <s v="N/A"/>
    <s v="Economy"/>
  </r>
  <r>
    <s v="GM-01855"/>
    <s v="Guinea"/>
    <x v="2"/>
    <x v="6"/>
    <x v="0"/>
    <s v="Life expectancy at birth"/>
    <s v="Health"/>
    <s v="SDG 3: Good Health and Well-being"/>
    <n v="42.890999999999998"/>
    <s v="Years"/>
    <s v="Guinea|1982"/>
    <s v="Gapminder/Plotly country-year extract reshaped to long indicator format for education"/>
    <s v="OK"/>
    <s v="1980s"/>
    <s v="Low"/>
    <s v="Health"/>
  </r>
  <r>
    <s v="GM-01856"/>
    <s v="Guinea"/>
    <x v="2"/>
    <x v="6"/>
    <x v="1"/>
    <s v="Population, total"/>
    <s v="Demographics"/>
    <s v="SDG 11: Sustainable Cities and Communities"/>
    <n v="4710497"/>
    <s v="People"/>
    <s v="Guinea|1982"/>
    <s v="Gapminder/Plotly country-year extract reshaped to long indicator format for education"/>
    <s v="OK"/>
    <s v="1980s"/>
    <s v="N/A"/>
    <s v="Demographics"/>
  </r>
  <r>
    <s v="GM-01857"/>
    <s v="Guinea"/>
    <x v="2"/>
    <x v="6"/>
    <x v="2"/>
    <s v="GDP per capita"/>
    <s v="Economy"/>
    <s v="SDG 8: Decent Work and Economic Growth"/>
    <n v="857.2503577"/>
    <s v="Source-defined international dollars"/>
    <s v="Guinea|1982"/>
    <s v="Gapminder/Plotly country-year extract reshaped to long indicator format for education"/>
    <s v="OK"/>
    <s v="1980s"/>
    <s v="N/A"/>
    <s v="Economy"/>
  </r>
  <r>
    <s v="GM-01858"/>
    <s v="Guinea"/>
    <x v="2"/>
    <x v="7"/>
    <x v="0"/>
    <s v="Life expectancy at birth"/>
    <s v="Health"/>
    <s v="SDG 3: Good Health and Well-being"/>
    <n v="45.552"/>
    <s v="Years"/>
    <s v="Guinea|1987"/>
    <s v="Gapminder/Plotly country-year extract reshaped to long indicator format for education"/>
    <s v="OK"/>
    <s v="1980s"/>
    <s v="Low"/>
    <s v="Health"/>
  </r>
  <r>
    <s v="GM-01859"/>
    <s v="Guinea"/>
    <x v="2"/>
    <x v="7"/>
    <x v="1"/>
    <s v="Population, total"/>
    <s v="Demographics"/>
    <s v="SDG 11: Sustainable Cities and Communities"/>
    <n v="5650262"/>
    <s v="People"/>
    <s v="Guinea|1987"/>
    <s v="Gapminder/Plotly country-year extract reshaped to long indicator format for education"/>
    <s v="OK"/>
    <s v="1980s"/>
    <s v="N/A"/>
    <s v="Demographics"/>
  </r>
  <r>
    <s v="GM-01860"/>
    <s v="Guinea"/>
    <x v="2"/>
    <x v="7"/>
    <x v="2"/>
    <s v="GDP per capita"/>
    <s v="Economy"/>
    <s v="SDG 8: Decent Work and Economic Growth"/>
    <n v="805.57247179999899"/>
    <s v="Source-defined international dollars"/>
    <s v="Guinea|1987"/>
    <s v="Gapminder/Plotly country-year extract reshaped to long indicator format for education"/>
    <s v="OK"/>
    <s v="1980s"/>
    <s v="N/A"/>
    <s v="Economy"/>
  </r>
  <r>
    <s v="GM-01861"/>
    <s v="Guinea"/>
    <x v="2"/>
    <x v="8"/>
    <x v="0"/>
    <s v="Life expectancy at birth"/>
    <s v="Health"/>
    <s v="SDG 3: Good Health and Well-being"/>
    <n v="48.576000000000001"/>
    <s v="Years"/>
    <s v="Guinea|1992"/>
    <s v="Gapminder/Plotly country-year extract reshaped to long indicator format for education"/>
    <s v="OK"/>
    <s v="1990s"/>
    <s v="Low"/>
    <s v="Health"/>
  </r>
  <r>
    <s v="GM-01862"/>
    <s v="Guinea"/>
    <x v="2"/>
    <x v="8"/>
    <x v="1"/>
    <s v="Population, total"/>
    <s v="Demographics"/>
    <s v="SDG 11: Sustainable Cities and Communities"/>
    <n v="6990574"/>
    <s v="People"/>
    <s v="Guinea|1992"/>
    <s v="Gapminder/Plotly country-year extract reshaped to long indicator format for education"/>
    <s v="OK"/>
    <s v="1990s"/>
    <s v="N/A"/>
    <s v="Demographics"/>
  </r>
  <r>
    <s v="GM-01863"/>
    <s v="Guinea"/>
    <x v="2"/>
    <x v="8"/>
    <x v="2"/>
    <s v="GDP per capita"/>
    <s v="Economy"/>
    <s v="SDG 8: Decent Work and Economic Growth"/>
    <n v="794.34843839999996"/>
    <s v="Source-defined international dollars"/>
    <s v="Guinea|1992"/>
    <s v="Gapminder/Plotly country-year extract reshaped to long indicator format for education"/>
    <s v="OK"/>
    <s v="1990s"/>
    <s v="N/A"/>
    <s v="Economy"/>
  </r>
  <r>
    <s v="GM-01864"/>
    <s v="Guinea"/>
    <x v="2"/>
    <x v="9"/>
    <x v="0"/>
    <s v="Life expectancy at birth"/>
    <s v="Health"/>
    <s v="SDG 3: Good Health and Well-being"/>
    <n v="51.454999999999998"/>
    <s v="Years"/>
    <s v="Guinea|1997"/>
    <s v="Gapminder/Plotly country-year extract reshaped to long indicator format for education"/>
    <s v="OK"/>
    <s v="1990s"/>
    <s v="Low"/>
    <s v="Health"/>
  </r>
  <r>
    <s v="GM-01865"/>
    <s v="Guinea"/>
    <x v="2"/>
    <x v="9"/>
    <x v="1"/>
    <s v="Population, total"/>
    <s v="Demographics"/>
    <s v="SDG 11: Sustainable Cities and Communities"/>
    <n v="8048834"/>
    <s v="People"/>
    <s v="Guinea|1997"/>
    <s v="Gapminder/Plotly country-year extract reshaped to long indicator format for education"/>
    <s v="OK"/>
    <s v="1990s"/>
    <s v="N/A"/>
    <s v="Demographics"/>
  </r>
  <r>
    <s v="GM-01866"/>
    <s v="Guinea"/>
    <x v="2"/>
    <x v="9"/>
    <x v="2"/>
    <s v="GDP per capita"/>
    <s v="Economy"/>
    <s v="SDG 8: Decent Work and Economic Growth"/>
    <n v="869.449766799999"/>
    <s v="Source-defined international dollars"/>
    <s v="Guinea|1997"/>
    <s v="Gapminder/Plotly country-year extract reshaped to long indicator format for education"/>
    <s v="OK"/>
    <s v="1990s"/>
    <s v="N/A"/>
    <s v="Economy"/>
  </r>
  <r>
    <s v="GM-01867"/>
    <s v="Guinea"/>
    <x v="2"/>
    <x v="10"/>
    <x v="0"/>
    <s v="Life expectancy at birth"/>
    <s v="Health"/>
    <s v="SDG 3: Good Health and Well-being"/>
    <n v="53.676000000000002"/>
    <s v="Years"/>
    <s v="Guinea|2002"/>
    <s v="Gapminder/Plotly country-year extract reshaped to long indicator format for education"/>
    <s v="OK"/>
    <s v="2000s"/>
    <s v="Low"/>
    <s v="Health"/>
  </r>
  <r>
    <s v="GM-01868"/>
    <s v="Guinea"/>
    <x v="2"/>
    <x v="10"/>
    <x v="1"/>
    <s v="Population, total"/>
    <s v="Demographics"/>
    <s v="SDG 11: Sustainable Cities and Communities"/>
    <n v="8807818"/>
    <s v="People"/>
    <s v="Guinea|2002"/>
    <s v="Gapminder/Plotly country-year extract reshaped to long indicator format for education"/>
    <s v="OK"/>
    <s v="2000s"/>
    <s v="N/A"/>
    <s v="Demographics"/>
  </r>
  <r>
    <s v="GM-01869"/>
    <s v="Guinea"/>
    <x v="2"/>
    <x v="10"/>
    <x v="2"/>
    <s v="GDP per capita"/>
    <s v="Economy"/>
    <s v="SDG 8: Decent Work and Economic Growth"/>
    <n v="945.58358369999996"/>
    <s v="Source-defined international dollars"/>
    <s v="Guinea|2002"/>
    <s v="Gapminder/Plotly country-year extract reshaped to long indicator format for education"/>
    <s v="OK"/>
    <s v="2000s"/>
    <s v="N/A"/>
    <s v="Economy"/>
  </r>
  <r>
    <s v="GM-01870"/>
    <s v="Guinea"/>
    <x v="2"/>
    <x v="11"/>
    <x v="0"/>
    <s v="Life expectancy at birth"/>
    <s v="Health"/>
    <s v="SDG 3: Good Health and Well-being"/>
    <n v="56.006999999999998"/>
    <s v="Years"/>
    <s v="Guinea|2007"/>
    <s v="Gapminder/Plotly country-year extract reshaped to long indicator format for education"/>
    <s v="OK"/>
    <s v="2000s"/>
    <s v="Medium"/>
    <s v="Health"/>
  </r>
  <r>
    <s v="GM-01871"/>
    <s v="Guinea"/>
    <x v="2"/>
    <x v="11"/>
    <x v="1"/>
    <s v="Population, total"/>
    <s v="Demographics"/>
    <s v="SDG 11: Sustainable Cities and Communities"/>
    <n v="9947814"/>
    <s v="People"/>
    <s v="Guinea|2007"/>
    <s v="Gapminder/Plotly country-year extract reshaped to long indicator format for education"/>
    <s v="OK"/>
    <s v="2000s"/>
    <s v="N/A"/>
    <s v="Demographics"/>
  </r>
  <r>
    <s v="GM-01872"/>
    <s v="Guinea"/>
    <x v="2"/>
    <x v="11"/>
    <x v="2"/>
    <s v="GDP per capita"/>
    <s v="Economy"/>
    <s v="SDG 8: Decent Work and Economic Growth"/>
    <n v="942.6542111"/>
    <s v="Source-defined international dollars"/>
    <s v="Guinea|2007"/>
    <s v="Gapminder/Plotly country-year extract reshaped to long indicator format for education"/>
    <s v="OK"/>
    <s v="2000s"/>
    <s v="N/A"/>
    <s v="Economy"/>
  </r>
  <r>
    <s v="GM-01873"/>
    <s v="Guinea-Bissau"/>
    <x v="2"/>
    <x v="0"/>
    <x v="0"/>
    <s v="Life expectancy at birth"/>
    <s v="Health"/>
    <s v="SDG 3: Good Health and Well-being"/>
    <n v="32.5"/>
    <s v="Years"/>
    <s v="Guinea-Bissau|1952"/>
    <s v="Gapminder/Plotly country-year extract reshaped to long indicator format for education"/>
    <s v="OK"/>
    <s v="1950s"/>
    <s v="Low"/>
    <s v="Health"/>
  </r>
  <r>
    <s v="GM-01874"/>
    <s v="Guinea-Bissau"/>
    <x v="2"/>
    <x v="0"/>
    <x v="1"/>
    <s v="Population, total"/>
    <s v="Demographics"/>
    <s v="SDG 11: Sustainable Cities and Communities"/>
    <n v="580653"/>
    <s v="People"/>
    <s v="Guinea-Bissau|1952"/>
    <s v="Gapminder/Plotly country-year extract reshaped to long indicator format for education"/>
    <s v="OK"/>
    <s v="1950s"/>
    <s v="N/A"/>
    <s v="Demographics"/>
  </r>
  <r>
    <s v="GM-01875"/>
    <s v="Guinea-Bissau"/>
    <x v="2"/>
    <x v="0"/>
    <x v="2"/>
    <s v="GDP per capita"/>
    <s v="Economy"/>
    <s v="SDG 8: Decent Work and Economic Growth"/>
    <n v="299.85031900000001"/>
    <s v="Source-defined international dollars"/>
    <s v="Guinea-Bissau|1952"/>
    <s v="Gapminder/Plotly country-year extract reshaped to long indicator format for education"/>
    <s v="OK"/>
    <s v="1950s"/>
    <s v="N/A"/>
    <s v="Economy"/>
  </r>
  <r>
    <s v="GM-01876"/>
    <s v="Guinea-Bissau"/>
    <x v="2"/>
    <x v="1"/>
    <x v="0"/>
    <s v="Life expectancy at birth"/>
    <s v="Health"/>
    <s v="SDG 3: Good Health and Well-being"/>
    <n v="33.488999999999997"/>
    <s v="Years"/>
    <s v="Guinea-Bissau|1957"/>
    <s v="Gapminder/Plotly country-year extract reshaped to long indicator format for education"/>
    <s v="OK"/>
    <s v="1950s"/>
    <s v="Low"/>
    <s v="Health"/>
  </r>
  <r>
    <s v="GM-01877"/>
    <s v="Guinea-Bissau"/>
    <x v="2"/>
    <x v="1"/>
    <x v="1"/>
    <s v="Population, total"/>
    <s v="Demographics"/>
    <s v="SDG 11: Sustainable Cities and Communities"/>
    <n v="601095"/>
    <s v="People"/>
    <s v="Guinea-Bissau|1957"/>
    <s v="Gapminder/Plotly country-year extract reshaped to long indicator format for education"/>
    <s v="OK"/>
    <s v="1950s"/>
    <s v="N/A"/>
    <s v="Demographics"/>
  </r>
  <r>
    <s v="GM-01878"/>
    <s v="Guinea-Bissau"/>
    <x v="2"/>
    <x v="1"/>
    <x v="2"/>
    <s v="GDP per capita"/>
    <s v="Economy"/>
    <s v="SDG 8: Decent Work and Economic Growth"/>
    <n v="431.79045660000003"/>
    <s v="Source-defined international dollars"/>
    <s v="Guinea-Bissau|1957"/>
    <s v="Gapminder/Plotly country-year extract reshaped to long indicator format for education"/>
    <s v="OK"/>
    <s v="1950s"/>
    <s v="N/A"/>
    <s v="Economy"/>
  </r>
  <r>
    <s v="GM-01879"/>
    <s v="Guinea-Bissau"/>
    <x v="2"/>
    <x v="2"/>
    <x v="0"/>
    <s v="Life expectancy at birth"/>
    <s v="Health"/>
    <s v="SDG 3: Good Health and Well-being"/>
    <n v="34.488"/>
    <s v="Years"/>
    <s v="Guinea-Bissau|1962"/>
    <s v="Gapminder/Plotly country-year extract reshaped to long indicator format for education"/>
    <s v="OK"/>
    <s v="1960s"/>
    <s v="Low"/>
    <s v="Health"/>
  </r>
  <r>
    <s v="GM-01880"/>
    <s v="Guinea-Bissau"/>
    <x v="2"/>
    <x v="2"/>
    <x v="1"/>
    <s v="Population, total"/>
    <s v="Demographics"/>
    <s v="SDG 11: Sustainable Cities and Communities"/>
    <n v="627820"/>
    <s v="People"/>
    <s v="Guinea-Bissau|1962"/>
    <s v="Gapminder/Plotly country-year extract reshaped to long indicator format for education"/>
    <s v="OK"/>
    <s v="1960s"/>
    <s v="N/A"/>
    <s v="Demographics"/>
  </r>
  <r>
    <s v="GM-01881"/>
    <s v="Guinea-Bissau"/>
    <x v="2"/>
    <x v="2"/>
    <x v="2"/>
    <s v="GDP per capita"/>
    <s v="Economy"/>
    <s v="SDG 8: Decent Work and Economic Growth"/>
    <n v="522.03437250000002"/>
    <s v="Source-defined international dollars"/>
    <s v="Guinea-Bissau|1962"/>
    <s v="Gapminder/Plotly country-year extract reshaped to long indicator format for education"/>
    <s v="OK"/>
    <s v="1960s"/>
    <s v="N/A"/>
    <s v="Economy"/>
  </r>
  <r>
    <s v="GM-01882"/>
    <s v="Guinea-Bissau"/>
    <x v="2"/>
    <x v="3"/>
    <x v="0"/>
    <s v="Life expectancy at birth"/>
    <s v="Health"/>
    <s v="SDG 3: Good Health and Well-being"/>
    <n v="35.491999999999997"/>
    <s v="Years"/>
    <s v="Guinea-Bissau|1967"/>
    <s v="Gapminder/Plotly country-year extract reshaped to long indicator format for education"/>
    <s v="OK"/>
    <s v="1960s"/>
    <s v="Low"/>
    <s v="Health"/>
  </r>
  <r>
    <s v="GM-01883"/>
    <s v="Guinea-Bissau"/>
    <x v="2"/>
    <x v="3"/>
    <x v="1"/>
    <s v="Population, total"/>
    <s v="Demographics"/>
    <s v="SDG 11: Sustainable Cities and Communities"/>
    <n v="601287"/>
    <s v="People"/>
    <s v="Guinea-Bissau|1967"/>
    <s v="Gapminder/Plotly country-year extract reshaped to long indicator format for education"/>
    <s v="OK"/>
    <s v="1960s"/>
    <s v="N/A"/>
    <s v="Demographics"/>
  </r>
  <r>
    <s v="GM-01884"/>
    <s v="Guinea-Bissau"/>
    <x v="2"/>
    <x v="3"/>
    <x v="2"/>
    <s v="GDP per capita"/>
    <s v="Economy"/>
    <s v="SDG 8: Decent Work and Economic Growth"/>
    <n v="715.58064019999995"/>
    <s v="Source-defined international dollars"/>
    <s v="Guinea-Bissau|1967"/>
    <s v="Gapminder/Plotly country-year extract reshaped to long indicator format for education"/>
    <s v="OK"/>
    <s v="1960s"/>
    <s v="N/A"/>
    <s v="Economy"/>
  </r>
  <r>
    <s v="GM-01885"/>
    <s v="Guinea-Bissau"/>
    <x v="2"/>
    <x v="4"/>
    <x v="0"/>
    <s v="Life expectancy at birth"/>
    <s v="Health"/>
    <s v="SDG 3: Good Health and Well-being"/>
    <n v="36.485999999999997"/>
    <s v="Years"/>
    <s v="Guinea-Bissau|1972"/>
    <s v="Gapminder/Plotly country-year extract reshaped to long indicator format for education"/>
    <s v="OK"/>
    <s v="1970s"/>
    <s v="Low"/>
    <s v="Health"/>
  </r>
  <r>
    <s v="GM-01886"/>
    <s v="Guinea-Bissau"/>
    <x v="2"/>
    <x v="4"/>
    <x v="1"/>
    <s v="Population, total"/>
    <s v="Demographics"/>
    <s v="SDG 11: Sustainable Cities and Communities"/>
    <n v="625361"/>
    <s v="People"/>
    <s v="Guinea-Bissau|1972"/>
    <s v="Gapminder/Plotly country-year extract reshaped to long indicator format for education"/>
    <s v="OK"/>
    <s v="1970s"/>
    <s v="N/A"/>
    <s v="Demographics"/>
  </r>
  <r>
    <s v="GM-01887"/>
    <s v="Guinea-Bissau"/>
    <x v="2"/>
    <x v="4"/>
    <x v="2"/>
    <s v="GDP per capita"/>
    <s v="Economy"/>
    <s v="SDG 8: Decent Work and Economic Growth"/>
    <n v="820.22458759999995"/>
    <s v="Source-defined international dollars"/>
    <s v="Guinea-Bissau|1972"/>
    <s v="Gapminder/Plotly country-year extract reshaped to long indicator format for education"/>
    <s v="OK"/>
    <s v="1970s"/>
    <s v="N/A"/>
    <s v="Economy"/>
  </r>
  <r>
    <s v="GM-01888"/>
    <s v="Guinea-Bissau"/>
    <x v="2"/>
    <x v="5"/>
    <x v="0"/>
    <s v="Life expectancy at birth"/>
    <s v="Health"/>
    <s v="SDG 3: Good Health and Well-being"/>
    <n v="37.465000000000003"/>
    <s v="Years"/>
    <s v="Guinea-Bissau|1977"/>
    <s v="Gapminder/Plotly country-year extract reshaped to long indicator format for education"/>
    <s v="OK"/>
    <s v="1970s"/>
    <s v="Low"/>
    <s v="Health"/>
  </r>
  <r>
    <s v="GM-01889"/>
    <s v="Guinea-Bissau"/>
    <x v="2"/>
    <x v="5"/>
    <x v="1"/>
    <s v="Population, total"/>
    <s v="Demographics"/>
    <s v="SDG 11: Sustainable Cities and Communities"/>
    <n v="745228"/>
    <s v="People"/>
    <s v="Guinea-Bissau|1977"/>
    <s v="Gapminder/Plotly country-year extract reshaped to long indicator format for education"/>
    <s v="OK"/>
    <s v="1970s"/>
    <s v="N/A"/>
    <s v="Demographics"/>
  </r>
  <r>
    <s v="GM-01890"/>
    <s v="Guinea-Bissau"/>
    <x v="2"/>
    <x v="5"/>
    <x v="2"/>
    <s v="GDP per capita"/>
    <s v="Economy"/>
    <s v="SDG 8: Decent Work and Economic Growth"/>
    <n v="764.72596279999902"/>
    <s v="Source-defined international dollars"/>
    <s v="Guinea-Bissau|1977"/>
    <s v="Gapminder/Plotly country-year extract reshaped to long indicator format for education"/>
    <s v="OK"/>
    <s v="1970s"/>
    <s v="N/A"/>
    <s v="Economy"/>
  </r>
  <r>
    <s v="GM-01891"/>
    <s v="Guinea-Bissau"/>
    <x v="2"/>
    <x v="6"/>
    <x v="0"/>
    <s v="Life expectancy at birth"/>
    <s v="Health"/>
    <s v="SDG 3: Good Health and Well-being"/>
    <n v="39.326999999999998"/>
    <s v="Years"/>
    <s v="Guinea-Bissau|1982"/>
    <s v="Gapminder/Plotly country-year extract reshaped to long indicator format for education"/>
    <s v="OK"/>
    <s v="1980s"/>
    <s v="Low"/>
    <s v="Health"/>
  </r>
  <r>
    <s v="GM-01892"/>
    <s v="Guinea-Bissau"/>
    <x v="2"/>
    <x v="6"/>
    <x v="1"/>
    <s v="Population, total"/>
    <s v="Demographics"/>
    <s v="SDG 11: Sustainable Cities and Communities"/>
    <n v="825987"/>
    <s v="People"/>
    <s v="Guinea-Bissau|1982"/>
    <s v="Gapminder/Plotly country-year extract reshaped to long indicator format for education"/>
    <s v="OK"/>
    <s v="1980s"/>
    <s v="N/A"/>
    <s v="Demographics"/>
  </r>
  <r>
    <s v="GM-01893"/>
    <s v="Guinea-Bissau"/>
    <x v="2"/>
    <x v="6"/>
    <x v="2"/>
    <s v="GDP per capita"/>
    <s v="Economy"/>
    <s v="SDG 8: Decent Work and Economic Growth"/>
    <n v="838.12396709999996"/>
    <s v="Source-defined international dollars"/>
    <s v="Guinea-Bissau|1982"/>
    <s v="Gapminder/Plotly country-year extract reshaped to long indicator format for education"/>
    <s v="OK"/>
    <s v="1980s"/>
    <s v="N/A"/>
    <s v="Economy"/>
  </r>
  <r>
    <s v="GM-01894"/>
    <s v="Guinea-Bissau"/>
    <x v="2"/>
    <x v="7"/>
    <x v="0"/>
    <s v="Life expectancy at birth"/>
    <s v="Health"/>
    <s v="SDG 3: Good Health and Well-being"/>
    <n v="41.244999999999997"/>
    <s v="Years"/>
    <s v="Guinea-Bissau|1987"/>
    <s v="Gapminder/Plotly country-year extract reshaped to long indicator format for education"/>
    <s v="OK"/>
    <s v="1980s"/>
    <s v="Low"/>
    <s v="Health"/>
  </r>
  <r>
    <s v="GM-01895"/>
    <s v="Guinea-Bissau"/>
    <x v="2"/>
    <x v="7"/>
    <x v="1"/>
    <s v="Population, total"/>
    <s v="Demographics"/>
    <s v="SDG 11: Sustainable Cities and Communities"/>
    <n v="927524"/>
    <s v="People"/>
    <s v="Guinea-Bissau|1987"/>
    <s v="Gapminder/Plotly country-year extract reshaped to long indicator format for education"/>
    <s v="OK"/>
    <s v="1980s"/>
    <s v="N/A"/>
    <s v="Demographics"/>
  </r>
  <r>
    <s v="GM-01896"/>
    <s v="Guinea-Bissau"/>
    <x v="2"/>
    <x v="7"/>
    <x v="2"/>
    <s v="GDP per capita"/>
    <s v="Economy"/>
    <s v="SDG 8: Decent Work and Economic Growth"/>
    <n v="736.41539209999996"/>
    <s v="Source-defined international dollars"/>
    <s v="Guinea-Bissau|1987"/>
    <s v="Gapminder/Plotly country-year extract reshaped to long indicator format for education"/>
    <s v="OK"/>
    <s v="1980s"/>
    <s v="N/A"/>
    <s v="Economy"/>
  </r>
  <r>
    <s v="GM-01897"/>
    <s v="Guinea-Bissau"/>
    <x v="2"/>
    <x v="8"/>
    <x v="0"/>
    <s v="Life expectancy at birth"/>
    <s v="Health"/>
    <s v="SDG 3: Good Health and Well-being"/>
    <n v="43.265999999999998"/>
    <s v="Years"/>
    <s v="Guinea-Bissau|1992"/>
    <s v="Gapminder/Plotly country-year extract reshaped to long indicator format for education"/>
    <s v="OK"/>
    <s v="1990s"/>
    <s v="Low"/>
    <s v="Health"/>
  </r>
  <r>
    <s v="GM-01898"/>
    <s v="Guinea-Bissau"/>
    <x v="2"/>
    <x v="8"/>
    <x v="1"/>
    <s v="Population, total"/>
    <s v="Demographics"/>
    <s v="SDG 11: Sustainable Cities and Communities"/>
    <n v="1050938"/>
    <s v="People"/>
    <s v="Guinea-Bissau|1992"/>
    <s v="Gapminder/Plotly country-year extract reshaped to long indicator format for education"/>
    <s v="OK"/>
    <s v="1990s"/>
    <s v="N/A"/>
    <s v="Demographics"/>
  </r>
  <r>
    <s v="GM-01899"/>
    <s v="Guinea-Bissau"/>
    <x v="2"/>
    <x v="8"/>
    <x v="2"/>
    <s v="GDP per capita"/>
    <s v="Economy"/>
    <s v="SDG 8: Decent Work and Economic Growth"/>
    <n v="745.53987059999997"/>
    <s v="Source-defined international dollars"/>
    <s v="Guinea-Bissau|1992"/>
    <s v="Gapminder/Plotly country-year extract reshaped to long indicator format for education"/>
    <s v="OK"/>
    <s v="1990s"/>
    <s v="N/A"/>
    <s v="Economy"/>
  </r>
  <r>
    <s v="GM-01900"/>
    <s v="Guinea-Bissau"/>
    <x v="2"/>
    <x v="9"/>
    <x v="0"/>
    <s v="Life expectancy at birth"/>
    <s v="Health"/>
    <s v="SDG 3: Good Health and Well-being"/>
    <n v="44.872999999999998"/>
    <s v="Years"/>
    <s v="Guinea-Bissau|1997"/>
    <s v="Gapminder/Plotly country-year extract reshaped to long indicator format for education"/>
    <s v="OK"/>
    <s v="1990s"/>
    <s v="Low"/>
    <s v="Health"/>
  </r>
  <r>
    <s v="GM-01901"/>
    <s v="Guinea-Bissau"/>
    <x v="2"/>
    <x v="9"/>
    <x v="1"/>
    <s v="Population, total"/>
    <s v="Demographics"/>
    <s v="SDG 11: Sustainable Cities and Communities"/>
    <n v="1193708"/>
    <s v="People"/>
    <s v="Guinea-Bissau|1997"/>
    <s v="Gapminder/Plotly country-year extract reshaped to long indicator format for education"/>
    <s v="OK"/>
    <s v="1990s"/>
    <s v="N/A"/>
    <s v="Demographics"/>
  </r>
  <r>
    <s v="GM-01902"/>
    <s v="Guinea-Bissau"/>
    <x v="2"/>
    <x v="9"/>
    <x v="2"/>
    <s v="GDP per capita"/>
    <s v="Economy"/>
    <s v="SDG 8: Decent Work and Economic Growth"/>
    <n v="796.66446810000002"/>
    <s v="Source-defined international dollars"/>
    <s v="Guinea-Bissau|1997"/>
    <s v="Gapminder/Plotly country-year extract reshaped to long indicator format for education"/>
    <s v="OK"/>
    <s v="1990s"/>
    <s v="N/A"/>
    <s v="Economy"/>
  </r>
  <r>
    <s v="GM-01903"/>
    <s v="Guinea-Bissau"/>
    <x v="2"/>
    <x v="10"/>
    <x v="0"/>
    <s v="Life expectancy at birth"/>
    <s v="Health"/>
    <s v="SDG 3: Good Health and Well-being"/>
    <n v="45.503999999999998"/>
    <s v="Years"/>
    <s v="Guinea-Bissau|2002"/>
    <s v="Gapminder/Plotly country-year extract reshaped to long indicator format for education"/>
    <s v="OK"/>
    <s v="2000s"/>
    <s v="Low"/>
    <s v="Health"/>
  </r>
  <r>
    <s v="GM-01904"/>
    <s v="Guinea-Bissau"/>
    <x v="2"/>
    <x v="10"/>
    <x v="1"/>
    <s v="Population, total"/>
    <s v="Demographics"/>
    <s v="SDG 11: Sustainable Cities and Communities"/>
    <n v="1332459"/>
    <s v="People"/>
    <s v="Guinea-Bissau|2002"/>
    <s v="Gapminder/Plotly country-year extract reshaped to long indicator format for education"/>
    <s v="OK"/>
    <s v="2000s"/>
    <s v="N/A"/>
    <s v="Demographics"/>
  </r>
  <r>
    <s v="GM-01905"/>
    <s v="Guinea-Bissau"/>
    <x v="2"/>
    <x v="10"/>
    <x v="2"/>
    <s v="GDP per capita"/>
    <s v="Economy"/>
    <s v="SDG 8: Decent Work and Economic Growth"/>
    <n v="575.70471759999998"/>
    <s v="Source-defined international dollars"/>
    <s v="Guinea-Bissau|2002"/>
    <s v="Gapminder/Plotly country-year extract reshaped to long indicator format for education"/>
    <s v="OK"/>
    <s v="2000s"/>
    <s v="N/A"/>
    <s v="Economy"/>
  </r>
  <r>
    <s v="GM-01906"/>
    <s v="Guinea-Bissau"/>
    <x v="2"/>
    <x v="11"/>
    <x v="0"/>
    <s v="Life expectancy at birth"/>
    <s v="Health"/>
    <s v="SDG 3: Good Health and Well-being"/>
    <n v="46.387999999999998"/>
    <s v="Years"/>
    <s v="Guinea-Bissau|2007"/>
    <s v="Gapminder/Plotly country-year extract reshaped to long indicator format for education"/>
    <s v="OK"/>
    <s v="2000s"/>
    <s v="Low"/>
    <s v="Health"/>
  </r>
  <r>
    <s v="GM-01907"/>
    <s v="Guinea-Bissau"/>
    <x v="2"/>
    <x v="11"/>
    <x v="1"/>
    <s v="Population, total"/>
    <s v="Demographics"/>
    <s v="SDG 11: Sustainable Cities and Communities"/>
    <n v="1472041"/>
    <s v="People"/>
    <s v="Guinea-Bissau|2007"/>
    <s v="Gapminder/Plotly country-year extract reshaped to long indicator format for education"/>
    <s v="OK"/>
    <s v="2000s"/>
    <s v="N/A"/>
    <s v="Demographics"/>
  </r>
  <r>
    <s v="GM-01908"/>
    <s v="Guinea-Bissau"/>
    <x v="2"/>
    <x v="11"/>
    <x v="2"/>
    <s v="GDP per capita"/>
    <s v="Economy"/>
    <s v="SDG 8: Decent Work and Economic Growth"/>
    <n v="579.23174299999903"/>
    <s v="Source-defined international dollars"/>
    <s v="Guinea-Bissau|2007"/>
    <s v="Gapminder/Plotly country-year extract reshaped to long indicator format for education"/>
    <s v="OK"/>
    <s v="2000s"/>
    <s v="N/A"/>
    <s v="Economy"/>
  </r>
  <r>
    <s v="GM-01909"/>
    <s v="Haiti"/>
    <x v="3"/>
    <x v="0"/>
    <x v="0"/>
    <s v="Life expectancy at birth"/>
    <s v="Health"/>
    <s v="SDG 3: Good Health and Well-being"/>
    <n v="37.579000000000001"/>
    <s v="Years"/>
    <s v="Haiti|1952"/>
    <s v="Gapminder/Plotly country-year extract reshaped to long indicator format for education"/>
    <s v="OK"/>
    <s v="1950s"/>
    <s v="Low"/>
    <s v="Health"/>
  </r>
  <r>
    <s v="GM-01910"/>
    <s v="Haiti"/>
    <x v="3"/>
    <x v="0"/>
    <x v="1"/>
    <s v="Population, total"/>
    <s v="Demographics"/>
    <s v="SDG 11: Sustainable Cities and Communities"/>
    <n v="3201488"/>
    <s v="People"/>
    <s v="Haiti|1952"/>
    <s v="Gapminder/Plotly country-year extract reshaped to long indicator format for education"/>
    <s v="OK"/>
    <s v="1950s"/>
    <s v="N/A"/>
    <s v="Demographics"/>
  </r>
  <r>
    <s v="GM-01911"/>
    <s v="Haiti"/>
    <x v="3"/>
    <x v="0"/>
    <x v="2"/>
    <s v="GDP per capita"/>
    <s v="Economy"/>
    <s v="SDG 8: Decent Work and Economic Growth"/>
    <n v="1840.366939"/>
    <s v="Source-defined international dollars"/>
    <s v="Haiti|1952"/>
    <s v="Gapminder/Plotly country-year extract reshaped to long indicator format for education"/>
    <s v="OK"/>
    <s v="1950s"/>
    <s v="N/A"/>
    <s v="Economy"/>
  </r>
  <r>
    <s v="GM-01912"/>
    <s v="Haiti"/>
    <x v="3"/>
    <x v="1"/>
    <x v="0"/>
    <s v="Life expectancy at birth"/>
    <s v="Health"/>
    <s v="SDG 3: Good Health and Well-being"/>
    <n v="40.695999999999998"/>
    <s v="Years"/>
    <s v="Haiti|1957"/>
    <s v="Gapminder/Plotly country-year extract reshaped to long indicator format for education"/>
    <s v="OK"/>
    <s v="1950s"/>
    <s v="Low"/>
    <s v="Health"/>
  </r>
  <r>
    <s v="GM-01913"/>
    <s v="Haiti"/>
    <x v="3"/>
    <x v="1"/>
    <x v="1"/>
    <s v="Population, total"/>
    <s v="Demographics"/>
    <s v="SDG 11: Sustainable Cities and Communities"/>
    <n v="3507701"/>
    <s v="People"/>
    <s v="Haiti|1957"/>
    <s v="Gapminder/Plotly country-year extract reshaped to long indicator format for education"/>
    <s v="OK"/>
    <s v="1950s"/>
    <s v="N/A"/>
    <s v="Demographics"/>
  </r>
  <r>
    <s v="GM-01914"/>
    <s v="Haiti"/>
    <x v="3"/>
    <x v="1"/>
    <x v="2"/>
    <s v="GDP per capita"/>
    <s v="Economy"/>
    <s v="SDG 8: Decent Work and Economic Growth"/>
    <n v="1726.887882"/>
    <s v="Source-defined international dollars"/>
    <s v="Haiti|1957"/>
    <s v="Gapminder/Plotly country-year extract reshaped to long indicator format for education"/>
    <s v="OK"/>
    <s v="1950s"/>
    <s v="N/A"/>
    <s v="Economy"/>
  </r>
  <r>
    <s v="GM-01915"/>
    <s v="Haiti"/>
    <x v="3"/>
    <x v="2"/>
    <x v="0"/>
    <s v="Life expectancy at birth"/>
    <s v="Health"/>
    <s v="SDG 3: Good Health and Well-being"/>
    <n v="43.59"/>
    <s v="Years"/>
    <s v="Haiti|1962"/>
    <s v="Gapminder/Plotly country-year extract reshaped to long indicator format for education"/>
    <s v="OK"/>
    <s v="1960s"/>
    <s v="Low"/>
    <s v="Health"/>
  </r>
  <r>
    <s v="GM-01916"/>
    <s v="Haiti"/>
    <x v="3"/>
    <x v="2"/>
    <x v="1"/>
    <s v="Population, total"/>
    <s v="Demographics"/>
    <s v="SDG 11: Sustainable Cities and Communities"/>
    <n v="3880130"/>
    <s v="People"/>
    <s v="Haiti|1962"/>
    <s v="Gapminder/Plotly country-year extract reshaped to long indicator format for education"/>
    <s v="OK"/>
    <s v="1960s"/>
    <s v="N/A"/>
    <s v="Demographics"/>
  </r>
  <r>
    <s v="GM-01917"/>
    <s v="Haiti"/>
    <x v="3"/>
    <x v="2"/>
    <x v="2"/>
    <s v="GDP per capita"/>
    <s v="Economy"/>
    <s v="SDG 8: Decent Work and Economic Growth"/>
    <n v="1796.5890320000001"/>
    <s v="Source-defined international dollars"/>
    <s v="Haiti|1962"/>
    <s v="Gapminder/Plotly country-year extract reshaped to long indicator format for education"/>
    <s v="OK"/>
    <s v="1960s"/>
    <s v="N/A"/>
    <s v="Economy"/>
  </r>
  <r>
    <s v="GM-01918"/>
    <s v="Haiti"/>
    <x v="3"/>
    <x v="3"/>
    <x v="0"/>
    <s v="Life expectancy at birth"/>
    <s v="Health"/>
    <s v="SDG 3: Good Health and Well-being"/>
    <n v="46.243000000000002"/>
    <s v="Years"/>
    <s v="Haiti|1967"/>
    <s v="Gapminder/Plotly country-year extract reshaped to long indicator format for education"/>
    <s v="OK"/>
    <s v="1960s"/>
    <s v="Low"/>
    <s v="Health"/>
  </r>
  <r>
    <s v="GM-01919"/>
    <s v="Haiti"/>
    <x v="3"/>
    <x v="3"/>
    <x v="1"/>
    <s v="Population, total"/>
    <s v="Demographics"/>
    <s v="SDG 11: Sustainable Cities and Communities"/>
    <n v="4318137"/>
    <s v="People"/>
    <s v="Haiti|1967"/>
    <s v="Gapminder/Plotly country-year extract reshaped to long indicator format for education"/>
    <s v="OK"/>
    <s v="1960s"/>
    <s v="N/A"/>
    <s v="Demographics"/>
  </r>
  <r>
    <s v="GM-01920"/>
    <s v="Haiti"/>
    <x v="3"/>
    <x v="3"/>
    <x v="2"/>
    <s v="GDP per capita"/>
    <s v="Economy"/>
    <s v="SDG 8: Decent Work and Economic Growth"/>
    <n v="1452.0576659999999"/>
    <s v="Source-defined international dollars"/>
    <s v="Haiti|1967"/>
    <s v="Gapminder/Plotly country-year extract reshaped to long indicator format for education"/>
    <s v="OK"/>
    <s v="1960s"/>
    <s v="N/A"/>
    <s v="Economy"/>
  </r>
  <r>
    <s v="GM-01921"/>
    <s v="Haiti"/>
    <x v="3"/>
    <x v="4"/>
    <x v="0"/>
    <s v="Life expectancy at birth"/>
    <s v="Health"/>
    <s v="SDG 3: Good Health and Well-being"/>
    <n v="48.042000000000002"/>
    <s v="Years"/>
    <s v="Haiti|1972"/>
    <s v="Gapminder/Plotly country-year extract reshaped to long indicator format for education"/>
    <s v="OK"/>
    <s v="1970s"/>
    <s v="Low"/>
    <s v="Health"/>
  </r>
  <r>
    <s v="GM-01922"/>
    <s v="Haiti"/>
    <x v="3"/>
    <x v="4"/>
    <x v="1"/>
    <s v="Population, total"/>
    <s v="Demographics"/>
    <s v="SDG 11: Sustainable Cities and Communities"/>
    <n v="4698301"/>
    <s v="People"/>
    <s v="Haiti|1972"/>
    <s v="Gapminder/Plotly country-year extract reshaped to long indicator format for education"/>
    <s v="OK"/>
    <s v="1970s"/>
    <s v="N/A"/>
    <s v="Demographics"/>
  </r>
  <r>
    <s v="GM-01923"/>
    <s v="Haiti"/>
    <x v="3"/>
    <x v="4"/>
    <x v="2"/>
    <s v="GDP per capita"/>
    <s v="Economy"/>
    <s v="SDG 8: Decent Work and Economic Growth"/>
    <n v="1654.456946"/>
    <s v="Source-defined international dollars"/>
    <s v="Haiti|1972"/>
    <s v="Gapminder/Plotly country-year extract reshaped to long indicator format for education"/>
    <s v="OK"/>
    <s v="1970s"/>
    <s v="N/A"/>
    <s v="Economy"/>
  </r>
  <r>
    <s v="GM-01924"/>
    <s v="Haiti"/>
    <x v="3"/>
    <x v="5"/>
    <x v="0"/>
    <s v="Life expectancy at birth"/>
    <s v="Health"/>
    <s v="SDG 3: Good Health and Well-being"/>
    <n v="49.923000000000002"/>
    <s v="Years"/>
    <s v="Haiti|1977"/>
    <s v="Gapminder/Plotly country-year extract reshaped to long indicator format for education"/>
    <s v="OK"/>
    <s v="1970s"/>
    <s v="Low"/>
    <s v="Health"/>
  </r>
  <r>
    <s v="GM-01925"/>
    <s v="Haiti"/>
    <x v="3"/>
    <x v="5"/>
    <x v="1"/>
    <s v="Population, total"/>
    <s v="Demographics"/>
    <s v="SDG 11: Sustainable Cities and Communities"/>
    <n v="4908554"/>
    <s v="People"/>
    <s v="Haiti|1977"/>
    <s v="Gapminder/Plotly country-year extract reshaped to long indicator format for education"/>
    <s v="OK"/>
    <s v="1970s"/>
    <s v="N/A"/>
    <s v="Demographics"/>
  </r>
  <r>
    <s v="GM-01926"/>
    <s v="Haiti"/>
    <x v="3"/>
    <x v="5"/>
    <x v="2"/>
    <s v="GDP per capita"/>
    <s v="Economy"/>
    <s v="SDG 8: Decent Work and Economic Growth"/>
    <n v="1874.298931"/>
    <s v="Source-defined international dollars"/>
    <s v="Haiti|1977"/>
    <s v="Gapminder/Plotly country-year extract reshaped to long indicator format for education"/>
    <s v="OK"/>
    <s v="1970s"/>
    <s v="N/A"/>
    <s v="Economy"/>
  </r>
  <r>
    <s v="GM-01927"/>
    <s v="Haiti"/>
    <x v="3"/>
    <x v="6"/>
    <x v="0"/>
    <s v="Life expectancy at birth"/>
    <s v="Health"/>
    <s v="SDG 3: Good Health and Well-being"/>
    <n v="51.460999999999999"/>
    <s v="Years"/>
    <s v="Haiti|1982"/>
    <s v="Gapminder/Plotly country-year extract reshaped to long indicator format for education"/>
    <s v="OK"/>
    <s v="1980s"/>
    <s v="Low"/>
    <s v="Health"/>
  </r>
  <r>
    <s v="GM-01928"/>
    <s v="Haiti"/>
    <x v="3"/>
    <x v="6"/>
    <x v="1"/>
    <s v="Population, total"/>
    <s v="Demographics"/>
    <s v="SDG 11: Sustainable Cities and Communities"/>
    <n v="5198399"/>
    <s v="People"/>
    <s v="Haiti|1982"/>
    <s v="Gapminder/Plotly country-year extract reshaped to long indicator format for education"/>
    <s v="OK"/>
    <s v="1980s"/>
    <s v="N/A"/>
    <s v="Demographics"/>
  </r>
  <r>
    <s v="GM-01929"/>
    <s v="Haiti"/>
    <x v="3"/>
    <x v="6"/>
    <x v="2"/>
    <s v="GDP per capita"/>
    <s v="Economy"/>
    <s v="SDG 8: Decent Work and Economic Growth"/>
    <n v="2011.159549"/>
    <s v="Source-defined international dollars"/>
    <s v="Haiti|1982"/>
    <s v="Gapminder/Plotly country-year extract reshaped to long indicator format for education"/>
    <s v="OK"/>
    <s v="1980s"/>
    <s v="N/A"/>
    <s v="Economy"/>
  </r>
  <r>
    <s v="GM-01930"/>
    <s v="Haiti"/>
    <x v="3"/>
    <x v="7"/>
    <x v="0"/>
    <s v="Life expectancy at birth"/>
    <s v="Health"/>
    <s v="SDG 3: Good Health and Well-being"/>
    <n v="53.636000000000003"/>
    <s v="Years"/>
    <s v="Haiti|1987"/>
    <s v="Gapminder/Plotly country-year extract reshaped to long indicator format for education"/>
    <s v="OK"/>
    <s v="1980s"/>
    <s v="Low"/>
    <s v="Health"/>
  </r>
  <r>
    <s v="GM-01931"/>
    <s v="Haiti"/>
    <x v="3"/>
    <x v="7"/>
    <x v="1"/>
    <s v="Population, total"/>
    <s v="Demographics"/>
    <s v="SDG 11: Sustainable Cities and Communities"/>
    <n v="5756203"/>
    <s v="People"/>
    <s v="Haiti|1987"/>
    <s v="Gapminder/Plotly country-year extract reshaped to long indicator format for education"/>
    <s v="OK"/>
    <s v="1980s"/>
    <s v="N/A"/>
    <s v="Demographics"/>
  </r>
  <r>
    <s v="GM-01932"/>
    <s v="Haiti"/>
    <x v="3"/>
    <x v="7"/>
    <x v="2"/>
    <s v="GDP per capita"/>
    <s v="Economy"/>
    <s v="SDG 8: Decent Work and Economic Growth"/>
    <n v="1823.015995"/>
    <s v="Source-defined international dollars"/>
    <s v="Haiti|1987"/>
    <s v="Gapminder/Plotly country-year extract reshaped to long indicator format for education"/>
    <s v="OK"/>
    <s v="1980s"/>
    <s v="N/A"/>
    <s v="Economy"/>
  </r>
  <r>
    <s v="GM-01933"/>
    <s v="Haiti"/>
    <x v="3"/>
    <x v="8"/>
    <x v="0"/>
    <s v="Life expectancy at birth"/>
    <s v="Health"/>
    <s v="SDG 3: Good Health and Well-being"/>
    <n v="55.088999999999999"/>
    <s v="Years"/>
    <s v="Haiti|1992"/>
    <s v="Gapminder/Plotly country-year extract reshaped to long indicator format for education"/>
    <s v="OK"/>
    <s v="1990s"/>
    <s v="Medium"/>
    <s v="Health"/>
  </r>
  <r>
    <s v="GM-01934"/>
    <s v="Haiti"/>
    <x v="3"/>
    <x v="8"/>
    <x v="1"/>
    <s v="Population, total"/>
    <s v="Demographics"/>
    <s v="SDG 11: Sustainable Cities and Communities"/>
    <n v="6326682"/>
    <s v="People"/>
    <s v="Haiti|1992"/>
    <s v="Gapminder/Plotly country-year extract reshaped to long indicator format for education"/>
    <s v="OK"/>
    <s v="1990s"/>
    <s v="N/A"/>
    <s v="Demographics"/>
  </r>
  <r>
    <s v="GM-01935"/>
    <s v="Haiti"/>
    <x v="3"/>
    <x v="8"/>
    <x v="2"/>
    <s v="GDP per capita"/>
    <s v="Economy"/>
    <s v="SDG 8: Decent Work and Economic Growth"/>
    <n v="1456.3095169999999"/>
    <s v="Source-defined international dollars"/>
    <s v="Haiti|1992"/>
    <s v="Gapminder/Plotly country-year extract reshaped to long indicator format for education"/>
    <s v="OK"/>
    <s v="1990s"/>
    <s v="N/A"/>
    <s v="Economy"/>
  </r>
  <r>
    <s v="GM-01936"/>
    <s v="Haiti"/>
    <x v="3"/>
    <x v="9"/>
    <x v="0"/>
    <s v="Life expectancy at birth"/>
    <s v="Health"/>
    <s v="SDG 3: Good Health and Well-being"/>
    <n v="56.670999999999999"/>
    <s v="Years"/>
    <s v="Haiti|1997"/>
    <s v="Gapminder/Plotly country-year extract reshaped to long indicator format for education"/>
    <s v="OK"/>
    <s v="1990s"/>
    <s v="Medium"/>
    <s v="Health"/>
  </r>
  <r>
    <s v="GM-01937"/>
    <s v="Haiti"/>
    <x v="3"/>
    <x v="9"/>
    <x v="1"/>
    <s v="Population, total"/>
    <s v="Demographics"/>
    <s v="SDG 11: Sustainable Cities and Communities"/>
    <n v="6913545"/>
    <s v="People"/>
    <s v="Haiti|1997"/>
    <s v="Gapminder/Plotly country-year extract reshaped to long indicator format for education"/>
    <s v="OK"/>
    <s v="1990s"/>
    <s v="N/A"/>
    <s v="Demographics"/>
  </r>
  <r>
    <s v="GM-01938"/>
    <s v="Haiti"/>
    <x v="3"/>
    <x v="9"/>
    <x v="2"/>
    <s v="GDP per capita"/>
    <s v="Economy"/>
    <s v="SDG 8: Decent Work and Economic Growth"/>
    <n v="1341.7269309999999"/>
    <s v="Source-defined international dollars"/>
    <s v="Haiti|1997"/>
    <s v="Gapminder/Plotly country-year extract reshaped to long indicator format for education"/>
    <s v="OK"/>
    <s v="1990s"/>
    <s v="N/A"/>
    <s v="Economy"/>
  </r>
  <r>
    <s v="GM-01939"/>
    <s v="Haiti"/>
    <x v="3"/>
    <x v="10"/>
    <x v="0"/>
    <s v="Life expectancy at birth"/>
    <s v="Health"/>
    <s v="SDG 3: Good Health and Well-being"/>
    <n v="58.137"/>
    <s v="Years"/>
    <s v="Haiti|2002"/>
    <s v="Gapminder/Plotly country-year extract reshaped to long indicator format for education"/>
    <s v="OK"/>
    <s v="2000s"/>
    <s v="Medium"/>
    <s v="Health"/>
  </r>
  <r>
    <s v="GM-01940"/>
    <s v="Haiti"/>
    <x v="3"/>
    <x v="10"/>
    <x v="1"/>
    <s v="Population, total"/>
    <s v="Demographics"/>
    <s v="SDG 11: Sustainable Cities and Communities"/>
    <n v="7607651"/>
    <s v="People"/>
    <s v="Haiti|2002"/>
    <s v="Gapminder/Plotly country-year extract reshaped to long indicator format for education"/>
    <s v="OK"/>
    <s v="2000s"/>
    <s v="N/A"/>
    <s v="Demographics"/>
  </r>
  <r>
    <s v="GM-01941"/>
    <s v="Haiti"/>
    <x v="3"/>
    <x v="10"/>
    <x v="2"/>
    <s v="GDP per capita"/>
    <s v="Economy"/>
    <s v="SDG 8: Decent Work and Economic Growth"/>
    <n v="1270.364932"/>
    <s v="Source-defined international dollars"/>
    <s v="Haiti|2002"/>
    <s v="Gapminder/Plotly country-year extract reshaped to long indicator format for education"/>
    <s v="OK"/>
    <s v="2000s"/>
    <s v="N/A"/>
    <s v="Economy"/>
  </r>
  <r>
    <s v="GM-01942"/>
    <s v="Haiti"/>
    <x v="3"/>
    <x v="11"/>
    <x v="0"/>
    <s v="Life expectancy at birth"/>
    <s v="Health"/>
    <s v="SDG 3: Good Health and Well-being"/>
    <n v="60.915999999999997"/>
    <s v="Years"/>
    <s v="Haiti|2007"/>
    <s v="Gapminder/Plotly country-year extract reshaped to long indicator format for education"/>
    <s v="OK"/>
    <s v="2000s"/>
    <s v="Medium"/>
    <s v="Health"/>
  </r>
  <r>
    <s v="GM-01943"/>
    <s v="Haiti"/>
    <x v="3"/>
    <x v="11"/>
    <x v="1"/>
    <s v="Population, total"/>
    <s v="Demographics"/>
    <s v="SDG 11: Sustainable Cities and Communities"/>
    <n v="8502814"/>
    <s v="People"/>
    <s v="Haiti|2007"/>
    <s v="Gapminder/Plotly country-year extract reshaped to long indicator format for education"/>
    <s v="OK"/>
    <s v="2000s"/>
    <s v="N/A"/>
    <s v="Demographics"/>
  </r>
  <r>
    <s v="GM-01944"/>
    <s v="Haiti"/>
    <x v="3"/>
    <x v="11"/>
    <x v="2"/>
    <s v="GDP per capita"/>
    <s v="Economy"/>
    <s v="SDG 8: Decent Work and Economic Growth"/>
    <n v="1201.637154"/>
    <s v="Source-defined international dollars"/>
    <s v="Haiti|2007"/>
    <s v="Gapminder/Plotly country-year extract reshaped to long indicator format for education"/>
    <s v="OK"/>
    <s v="2000s"/>
    <s v="N/A"/>
    <s v="Economy"/>
  </r>
  <r>
    <s v="GM-01945"/>
    <s v="Honduras"/>
    <x v="3"/>
    <x v="0"/>
    <x v="0"/>
    <s v="Life expectancy at birth"/>
    <s v="Health"/>
    <s v="SDG 3: Good Health and Well-being"/>
    <n v="41.911999999999999"/>
    <s v="Years"/>
    <s v="Honduras|1952"/>
    <s v="Gapminder/Plotly country-year extract reshaped to long indicator format for education"/>
    <s v="OK"/>
    <s v="1950s"/>
    <s v="Low"/>
    <s v="Health"/>
  </r>
  <r>
    <s v="GM-01946"/>
    <s v="Honduras"/>
    <x v="3"/>
    <x v="0"/>
    <x v="1"/>
    <s v="Population, total"/>
    <s v="Demographics"/>
    <s v="SDG 11: Sustainable Cities and Communities"/>
    <n v="1517453"/>
    <s v="People"/>
    <s v="Honduras|1952"/>
    <s v="Gapminder/Plotly country-year extract reshaped to long indicator format for education"/>
    <s v="OK"/>
    <s v="1950s"/>
    <s v="N/A"/>
    <s v="Demographics"/>
  </r>
  <r>
    <s v="GM-01947"/>
    <s v="Honduras"/>
    <x v="3"/>
    <x v="0"/>
    <x v="2"/>
    <s v="GDP per capita"/>
    <s v="Economy"/>
    <s v="SDG 8: Decent Work and Economic Growth"/>
    <n v="2194.9262039999999"/>
    <s v="Source-defined international dollars"/>
    <s v="Honduras|1952"/>
    <s v="Gapminder/Plotly country-year extract reshaped to long indicator format for education"/>
    <s v="OK"/>
    <s v="1950s"/>
    <s v="N/A"/>
    <s v="Economy"/>
  </r>
  <r>
    <s v="GM-01948"/>
    <s v="Honduras"/>
    <x v="3"/>
    <x v="1"/>
    <x v="0"/>
    <s v="Life expectancy at birth"/>
    <s v="Health"/>
    <s v="SDG 3: Good Health and Well-being"/>
    <n v="44.664999999999999"/>
    <s v="Years"/>
    <s v="Honduras|1957"/>
    <s v="Gapminder/Plotly country-year extract reshaped to long indicator format for education"/>
    <s v="OK"/>
    <s v="1950s"/>
    <s v="Low"/>
    <s v="Health"/>
  </r>
  <r>
    <s v="GM-01949"/>
    <s v="Honduras"/>
    <x v="3"/>
    <x v="1"/>
    <x v="1"/>
    <s v="Population, total"/>
    <s v="Demographics"/>
    <s v="SDG 11: Sustainable Cities and Communities"/>
    <n v="1770390"/>
    <s v="People"/>
    <s v="Honduras|1957"/>
    <s v="Gapminder/Plotly country-year extract reshaped to long indicator format for education"/>
    <s v="OK"/>
    <s v="1950s"/>
    <s v="N/A"/>
    <s v="Demographics"/>
  </r>
  <r>
    <s v="GM-01950"/>
    <s v="Honduras"/>
    <x v="3"/>
    <x v="1"/>
    <x v="2"/>
    <s v="GDP per capita"/>
    <s v="Economy"/>
    <s v="SDG 8: Decent Work and Economic Growth"/>
    <n v="2220.4876819999999"/>
    <s v="Source-defined international dollars"/>
    <s v="Honduras|1957"/>
    <s v="Gapminder/Plotly country-year extract reshaped to long indicator format for education"/>
    <s v="OK"/>
    <s v="1950s"/>
    <s v="N/A"/>
    <s v="Economy"/>
  </r>
  <r>
    <s v="GM-01951"/>
    <s v="Honduras"/>
    <x v="3"/>
    <x v="2"/>
    <x v="0"/>
    <s v="Life expectancy at birth"/>
    <s v="Health"/>
    <s v="SDG 3: Good Health and Well-being"/>
    <n v="48.040999999999997"/>
    <s v="Years"/>
    <s v="Honduras|1962"/>
    <s v="Gapminder/Plotly country-year extract reshaped to long indicator format for education"/>
    <s v="OK"/>
    <s v="1960s"/>
    <s v="Low"/>
    <s v="Health"/>
  </r>
  <r>
    <s v="GM-01952"/>
    <s v="Honduras"/>
    <x v="3"/>
    <x v="2"/>
    <x v="1"/>
    <s v="Population, total"/>
    <s v="Demographics"/>
    <s v="SDG 11: Sustainable Cities and Communities"/>
    <n v="2090162"/>
    <s v="People"/>
    <s v="Honduras|1962"/>
    <s v="Gapminder/Plotly country-year extract reshaped to long indicator format for education"/>
    <s v="OK"/>
    <s v="1960s"/>
    <s v="N/A"/>
    <s v="Demographics"/>
  </r>
  <r>
    <s v="GM-01953"/>
    <s v="Honduras"/>
    <x v="3"/>
    <x v="2"/>
    <x v="2"/>
    <s v="GDP per capita"/>
    <s v="Economy"/>
    <s v="SDG 8: Decent Work and Economic Growth"/>
    <n v="2291.1568349999998"/>
    <s v="Source-defined international dollars"/>
    <s v="Honduras|1962"/>
    <s v="Gapminder/Plotly country-year extract reshaped to long indicator format for education"/>
    <s v="OK"/>
    <s v="1960s"/>
    <s v="N/A"/>
    <s v="Economy"/>
  </r>
  <r>
    <s v="GM-01954"/>
    <s v="Honduras"/>
    <x v="3"/>
    <x v="3"/>
    <x v="0"/>
    <s v="Life expectancy at birth"/>
    <s v="Health"/>
    <s v="SDG 3: Good Health and Well-being"/>
    <n v="50.923999999999999"/>
    <s v="Years"/>
    <s v="Honduras|1967"/>
    <s v="Gapminder/Plotly country-year extract reshaped to long indicator format for education"/>
    <s v="OK"/>
    <s v="1960s"/>
    <s v="Low"/>
    <s v="Health"/>
  </r>
  <r>
    <s v="GM-01955"/>
    <s v="Honduras"/>
    <x v="3"/>
    <x v="3"/>
    <x v="1"/>
    <s v="Population, total"/>
    <s v="Demographics"/>
    <s v="SDG 11: Sustainable Cities and Communities"/>
    <n v="2500689"/>
    <s v="People"/>
    <s v="Honduras|1967"/>
    <s v="Gapminder/Plotly country-year extract reshaped to long indicator format for education"/>
    <s v="OK"/>
    <s v="1960s"/>
    <s v="N/A"/>
    <s v="Demographics"/>
  </r>
  <r>
    <s v="GM-01956"/>
    <s v="Honduras"/>
    <x v="3"/>
    <x v="3"/>
    <x v="2"/>
    <s v="GDP per capita"/>
    <s v="Economy"/>
    <s v="SDG 8: Decent Work and Economic Growth"/>
    <n v="2538.269358"/>
    <s v="Source-defined international dollars"/>
    <s v="Honduras|1967"/>
    <s v="Gapminder/Plotly country-year extract reshaped to long indicator format for education"/>
    <s v="OK"/>
    <s v="1960s"/>
    <s v="N/A"/>
    <s v="Economy"/>
  </r>
  <r>
    <s v="GM-01957"/>
    <s v="Honduras"/>
    <x v="3"/>
    <x v="4"/>
    <x v="0"/>
    <s v="Life expectancy at birth"/>
    <s v="Health"/>
    <s v="SDG 3: Good Health and Well-being"/>
    <n v="53.883999999999901"/>
    <s v="Years"/>
    <s v="Honduras|1972"/>
    <s v="Gapminder/Plotly country-year extract reshaped to long indicator format for education"/>
    <s v="OK"/>
    <s v="1970s"/>
    <s v="Low"/>
    <s v="Health"/>
  </r>
  <r>
    <s v="GM-01958"/>
    <s v="Honduras"/>
    <x v="3"/>
    <x v="4"/>
    <x v="1"/>
    <s v="Population, total"/>
    <s v="Demographics"/>
    <s v="SDG 11: Sustainable Cities and Communities"/>
    <n v="2965146"/>
    <s v="People"/>
    <s v="Honduras|1972"/>
    <s v="Gapminder/Plotly country-year extract reshaped to long indicator format for education"/>
    <s v="OK"/>
    <s v="1970s"/>
    <s v="N/A"/>
    <s v="Demographics"/>
  </r>
  <r>
    <s v="GM-01959"/>
    <s v="Honduras"/>
    <x v="3"/>
    <x v="4"/>
    <x v="2"/>
    <s v="GDP per capita"/>
    <s v="Economy"/>
    <s v="SDG 8: Decent Work and Economic Growth"/>
    <n v="2529.842345"/>
    <s v="Source-defined international dollars"/>
    <s v="Honduras|1972"/>
    <s v="Gapminder/Plotly country-year extract reshaped to long indicator format for education"/>
    <s v="OK"/>
    <s v="1970s"/>
    <s v="N/A"/>
    <s v="Economy"/>
  </r>
  <r>
    <s v="GM-01960"/>
    <s v="Honduras"/>
    <x v="3"/>
    <x v="5"/>
    <x v="0"/>
    <s v="Life expectancy at birth"/>
    <s v="Health"/>
    <s v="SDG 3: Good Health and Well-being"/>
    <n v="57.402000000000001"/>
    <s v="Years"/>
    <s v="Honduras|1977"/>
    <s v="Gapminder/Plotly country-year extract reshaped to long indicator format for education"/>
    <s v="OK"/>
    <s v="1970s"/>
    <s v="Medium"/>
    <s v="Health"/>
  </r>
  <r>
    <s v="GM-01961"/>
    <s v="Honduras"/>
    <x v="3"/>
    <x v="5"/>
    <x v="1"/>
    <s v="Population, total"/>
    <s v="Demographics"/>
    <s v="SDG 11: Sustainable Cities and Communities"/>
    <n v="3055235"/>
    <s v="People"/>
    <s v="Honduras|1977"/>
    <s v="Gapminder/Plotly country-year extract reshaped to long indicator format for education"/>
    <s v="OK"/>
    <s v="1970s"/>
    <s v="N/A"/>
    <s v="Demographics"/>
  </r>
  <r>
    <s v="GM-01962"/>
    <s v="Honduras"/>
    <x v="3"/>
    <x v="5"/>
    <x v="2"/>
    <s v="GDP per capita"/>
    <s v="Economy"/>
    <s v="SDG 8: Decent Work and Economic Growth"/>
    <n v="3203.2080660000001"/>
    <s v="Source-defined international dollars"/>
    <s v="Honduras|1977"/>
    <s v="Gapminder/Plotly country-year extract reshaped to long indicator format for education"/>
    <s v="OK"/>
    <s v="1970s"/>
    <s v="N/A"/>
    <s v="Economy"/>
  </r>
  <r>
    <s v="GM-01963"/>
    <s v="Honduras"/>
    <x v="3"/>
    <x v="6"/>
    <x v="0"/>
    <s v="Life expectancy at birth"/>
    <s v="Health"/>
    <s v="SDG 3: Good Health and Well-being"/>
    <n v="60.908999999999999"/>
    <s v="Years"/>
    <s v="Honduras|1982"/>
    <s v="Gapminder/Plotly country-year extract reshaped to long indicator format for education"/>
    <s v="OK"/>
    <s v="1980s"/>
    <s v="Medium"/>
    <s v="Health"/>
  </r>
  <r>
    <s v="GM-01964"/>
    <s v="Honduras"/>
    <x v="3"/>
    <x v="6"/>
    <x v="1"/>
    <s v="Population, total"/>
    <s v="Demographics"/>
    <s v="SDG 11: Sustainable Cities and Communities"/>
    <n v="3669448"/>
    <s v="People"/>
    <s v="Honduras|1982"/>
    <s v="Gapminder/Plotly country-year extract reshaped to long indicator format for education"/>
    <s v="OK"/>
    <s v="1980s"/>
    <s v="N/A"/>
    <s v="Demographics"/>
  </r>
  <r>
    <s v="GM-01965"/>
    <s v="Honduras"/>
    <x v="3"/>
    <x v="6"/>
    <x v="2"/>
    <s v="GDP per capita"/>
    <s v="Economy"/>
    <s v="SDG 8: Decent Work and Economic Growth"/>
    <n v="3121.7607939999998"/>
    <s v="Source-defined international dollars"/>
    <s v="Honduras|1982"/>
    <s v="Gapminder/Plotly country-year extract reshaped to long indicator format for education"/>
    <s v="OK"/>
    <s v="1980s"/>
    <s v="N/A"/>
    <s v="Economy"/>
  </r>
  <r>
    <s v="GM-01966"/>
    <s v="Honduras"/>
    <x v="3"/>
    <x v="7"/>
    <x v="0"/>
    <s v="Life expectancy at birth"/>
    <s v="Health"/>
    <s v="SDG 3: Good Health and Well-being"/>
    <n v="64.492000000000004"/>
    <s v="Years"/>
    <s v="Honduras|1987"/>
    <s v="Gapminder/Plotly country-year extract reshaped to long indicator format for education"/>
    <s v="OK"/>
    <s v="1980s"/>
    <s v="Medium"/>
    <s v="Health"/>
  </r>
  <r>
    <s v="GM-01967"/>
    <s v="Honduras"/>
    <x v="3"/>
    <x v="7"/>
    <x v="1"/>
    <s v="Population, total"/>
    <s v="Demographics"/>
    <s v="SDG 11: Sustainable Cities and Communities"/>
    <n v="4372203"/>
    <s v="People"/>
    <s v="Honduras|1987"/>
    <s v="Gapminder/Plotly country-year extract reshaped to long indicator format for education"/>
    <s v="OK"/>
    <s v="1980s"/>
    <s v="N/A"/>
    <s v="Demographics"/>
  </r>
  <r>
    <s v="GM-01968"/>
    <s v="Honduras"/>
    <x v="3"/>
    <x v="7"/>
    <x v="2"/>
    <s v="GDP per capita"/>
    <s v="Economy"/>
    <s v="SDG 8: Decent Work and Economic Growth"/>
    <n v="3023.0966990000002"/>
    <s v="Source-defined international dollars"/>
    <s v="Honduras|1987"/>
    <s v="Gapminder/Plotly country-year extract reshaped to long indicator format for education"/>
    <s v="OK"/>
    <s v="1980s"/>
    <s v="N/A"/>
    <s v="Economy"/>
  </r>
  <r>
    <s v="GM-01969"/>
    <s v="Honduras"/>
    <x v="3"/>
    <x v="8"/>
    <x v="0"/>
    <s v="Life expectancy at birth"/>
    <s v="Health"/>
    <s v="SDG 3: Good Health and Well-being"/>
    <n v="66.399000000000001"/>
    <s v="Years"/>
    <s v="Honduras|1992"/>
    <s v="Gapminder/Plotly country-year extract reshaped to long indicator format for education"/>
    <s v="OK"/>
    <s v="1990s"/>
    <s v="Medium"/>
    <s v="Health"/>
  </r>
  <r>
    <s v="GM-01970"/>
    <s v="Honduras"/>
    <x v="3"/>
    <x v="8"/>
    <x v="1"/>
    <s v="Population, total"/>
    <s v="Demographics"/>
    <s v="SDG 11: Sustainable Cities and Communities"/>
    <n v="5077347"/>
    <s v="People"/>
    <s v="Honduras|1992"/>
    <s v="Gapminder/Plotly country-year extract reshaped to long indicator format for education"/>
    <s v="OK"/>
    <s v="1990s"/>
    <s v="N/A"/>
    <s v="Demographics"/>
  </r>
  <r>
    <s v="GM-01971"/>
    <s v="Honduras"/>
    <x v="3"/>
    <x v="8"/>
    <x v="2"/>
    <s v="GDP per capita"/>
    <s v="Economy"/>
    <s v="SDG 8: Decent Work and Economic Growth"/>
    <n v="3081.6946029999999"/>
    <s v="Source-defined international dollars"/>
    <s v="Honduras|1992"/>
    <s v="Gapminder/Plotly country-year extract reshaped to long indicator format for education"/>
    <s v="OK"/>
    <s v="1990s"/>
    <s v="N/A"/>
    <s v="Economy"/>
  </r>
  <r>
    <s v="GM-01972"/>
    <s v="Honduras"/>
    <x v="3"/>
    <x v="9"/>
    <x v="0"/>
    <s v="Life expectancy at birth"/>
    <s v="Health"/>
    <s v="SDG 3: Good Health and Well-being"/>
    <n v="67.658999999999907"/>
    <s v="Years"/>
    <s v="Honduras|1997"/>
    <s v="Gapminder/Plotly country-year extract reshaped to long indicator format for education"/>
    <s v="OK"/>
    <s v="1990s"/>
    <s v="Medium"/>
    <s v="Health"/>
  </r>
  <r>
    <s v="GM-01973"/>
    <s v="Honduras"/>
    <x v="3"/>
    <x v="9"/>
    <x v="1"/>
    <s v="Population, total"/>
    <s v="Demographics"/>
    <s v="SDG 11: Sustainable Cities and Communities"/>
    <n v="5867957"/>
    <s v="People"/>
    <s v="Honduras|1997"/>
    <s v="Gapminder/Plotly country-year extract reshaped to long indicator format for education"/>
    <s v="OK"/>
    <s v="1990s"/>
    <s v="N/A"/>
    <s v="Demographics"/>
  </r>
  <r>
    <s v="GM-01974"/>
    <s v="Honduras"/>
    <x v="3"/>
    <x v="9"/>
    <x v="2"/>
    <s v="GDP per capita"/>
    <s v="Economy"/>
    <s v="SDG 8: Decent Work and Economic Growth"/>
    <n v="3160.4549059999999"/>
    <s v="Source-defined international dollars"/>
    <s v="Honduras|1997"/>
    <s v="Gapminder/Plotly country-year extract reshaped to long indicator format for education"/>
    <s v="OK"/>
    <s v="1990s"/>
    <s v="N/A"/>
    <s v="Economy"/>
  </r>
  <r>
    <s v="GM-01975"/>
    <s v="Honduras"/>
    <x v="3"/>
    <x v="10"/>
    <x v="0"/>
    <s v="Life expectancy at birth"/>
    <s v="Health"/>
    <s v="SDG 3: Good Health and Well-being"/>
    <n v="68.564999999999998"/>
    <s v="Years"/>
    <s v="Honduras|2002"/>
    <s v="Gapminder/Plotly country-year extract reshaped to long indicator format for education"/>
    <s v="OK"/>
    <s v="2000s"/>
    <s v="Medium"/>
    <s v="Health"/>
  </r>
  <r>
    <s v="GM-01976"/>
    <s v="Honduras"/>
    <x v="3"/>
    <x v="10"/>
    <x v="1"/>
    <s v="Population, total"/>
    <s v="Demographics"/>
    <s v="SDG 11: Sustainable Cities and Communities"/>
    <n v="6677328"/>
    <s v="People"/>
    <s v="Honduras|2002"/>
    <s v="Gapminder/Plotly country-year extract reshaped to long indicator format for education"/>
    <s v="OK"/>
    <s v="2000s"/>
    <s v="N/A"/>
    <s v="Demographics"/>
  </r>
  <r>
    <s v="GM-01977"/>
    <s v="Honduras"/>
    <x v="3"/>
    <x v="10"/>
    <x v="2"/>
    <s v="GDP per capita"/>
    <s v="Economy"/>
    <s v="SDG 8: Decent Work and Economic Growth"/>
    <n v="3099.7286600000002"/>
    <s v="Source-defined international dollars"/>
    <s v="Honduras|2002"/>
    <s v="Gapminder/Plotly country-year extract reshaped to long indicator format for education"/>
    <s v="OK"/>
    <s v="2000s"/>
    <s v="N/A"/>
    <s v="Economy"/>
  </r>
  <r>
    <s v="GM-01978"/>
    <s v="Honduras"/>
    <x v="3"/>
    <x v="11"/>
    <x v="0"/>
    <s v="Life expectancy at birth"/>
    <s v="Health"/>
    <s v="SDG 3: Good Health and Well-being"/>
    <n v="70.197999999999993"/>
    <s v="Years"/>
    <s v="Honduras|2007"/>
    <s v="Gapminder/Plotly country-year extract reshaped to long indicator format for education"/>
    <s v="OK"/>
    <s v="2000s"/>
    <s v="High"/>
    <s v="Health"/>
  </r>
  <r>
    <s v="GM-01979"/>
    <s v="Honduras"/>
    <x v="3"/>
    <x v="11"/>
    <x v="1"/>
    <s v="Population, total"/>
    <s v="Demographics"/>
    <s v="SDG 11: Sustainable Cities and Communities"/>
    <n v="7483763"/>
    <s v="People"/>
    <s v="Honduras|2007"/>
    <s v="Gapminder/Plotly country-year extract reshaped to long indicator format for education"/>
    <s v="OK"/>
    <s v="2000s"/>
    <s v="N/A"/>
    <s v="Demographics"/>
  </r>
  <r>
    <s v="GM-01980"/>
    <s v="Honduras"/>
    <x v="3"/>
    <x v="11"/>
    <x v="2"/>
    <s v="GDP per capita"/>
    <s v="Economy"/>
    <s v="SDG 8: Decent Work and Economic Growth"/>
    <n v="3548.3308459999998"/>
    <s v="Source-defined international dollars"/>
    <s v="Honduras|2007"/>
    <s v="Gapminder/Plotly country-year extract reshaped to long indicator format for education"/>
    <s v="OK"/>
    <s v="2000s"/>
    <s v="N/A"/>
    <s v="Economy"/>
  </r>
  <r>
    <s v="GM-01981"/>
    <s v="Hong Kong, China"/>
    <x v="0"/>
    <x v="0"/>
    <x v="0"/>
    <s v="Life expectancy at birth"/>
    <s v="Health"/>
    <s v="SDG 3: Good Health and Well-being"/>
    <n v="60.96"/>
    <s v="Years"/>
    <s v="Hong Kong, China|1952"/>
    <s v="Gapminder/Plotly country-year extract reshaped to long indicator format for education"/>
    <s v="OK"/>
    <s v="1950s"/>
    <s v="Medium"/>
    <s v="Health"/>
  </r>
  <r>
    <s v="GM-01982"/>
    <s v="Hong Kong, China"/>
    <x v="0"/>
    <x v="0"/>
    <x v="1"/>
    <s v="Population, total"/>
    <s v="Demographics"/>
    <s v="SDG 11: Sustainable Cities and Communities"/>
    <n v="2125900"/>
    <s v="People"/>
    <s v="Hong Kong, China|1952"/>
    <s v="Gapminder/Plotly country-year extract reshaped to long indicator format for education"/>
    <s v="OK"/>
    <s v="1950s"/>
    <s v="N/A"/>
    <s v="Demographics"/>
  </r>
  <r>
    <s v="GM-01983"/>
    <s v="Hong Kong, China"/>
    <x v="0"/>
    <x v="0"/>
    <x v="2"/>
    <s v="GDP per capita"/>
    <s v="Economy"/>
    <s v="SDG 8: Decent Work and Economic Growth"/>
    <n v="3054.4212090000001"/>
    <s v="Source-defined international dollars"/>
    <s v="Hong Kong, China|1952"/>
    <s v="Gapminder/Plotly country-year extract reshaped to long indicator format for education"/>
    <s v="OK"/>
    <s v="1950s"/>
    <s v="N/A"/>
    <s v="Economy"/>
  </r>
  <r>
    <s v="GM-01984"/>
    <s v="Hong Kong, China"/>
    <x v="0"/>
    <x v="1"/>
    <x v="0"/>
    <s v="Life expectancy at birth"/>
    <s v="Health"/>
    <s v="SDG 3: Good Health and Well-being"/>
    <n v="64.75"/>
    <s v="Years"/>
    <s v="Hong Kong, China|1957"/>
    <s v="Gapminder/Plotly country-year extract reshaped to long indicator format for education"/>
    <s v="OK"/>
    <s v="1950s"/>
    <s v="Medium"/>
    <s v="Health"/>
  </r>
  <r>
    <s v="GM-01985"/>
    <s v="Hong Kong, China"/>
    <x v="0"/>
    <x v="1"/>
    <x v="1"/>
    <s v="Population, total"/>
    <s v="Demographics"/>
    <s v="SDG 11: Sustainable Cities and Communities"/>
    <n v="2736300"/>
    <s v="People"/>
    <s v="Hong Kong, China|1957"/>
    <s v="Gapminder/Plotly country-year extract reshaped to long indicator format for education"/>
    <s v="OK"/>
    <s v="1950s"/>
    <s v="N/A"/>
    <s v="Demographics"/>
  </r>
  <r>
    <s v="GM-01986"/>
    <s v="Hong Kong, China"/>
    <x v="0"/>
    <x v="1"/>
    <x v="2"/>
    <s v="GDP per capita"/>
    <s v="Economy"/>
    <s v="SDG 8: Decent Work and Economic Growth"/>
    <n v="3629.0764570000001"/>
    <s v="Source-defined international dollars"/>
    <s v="Hong Kong, China|1957"/>
    <s v="Gapminder/Plotly country-year extract reshaped to long indicator format for education"/>
    <s v="OK"/>
    <s v="1950s"/>
    <s v="N/A"/>
    <s v="Economy"/>
  </r>
  <r>
    <s v="GM-01987"/>
    <s v="Hong Kong, China"/>
    <x v="0"/>
    <x v="2"/>
    <x v="0"/>
    <s v="Life expectancy at birth"/>
    <s v="Health"/>
    <s v="SDG 3: Good Health and Well-being"/>
    <n v="67.650000000000006"/>
    <s v="Years"/>
    <s v="Hong Kong, China|1962"/>
    <s v="Gapminder/Plotly country-year extract reshaped to long indicator format for education"/>
    <s v="OK"/>
    <s v="1960s"/>
    <s v="Medium"/>
    <s v="Health"/>
  </r>
  <r>
    <s v="GM-01988"/>
    <s v="Hong Kong, China"/>
    <x v="0"/>
    <x v="2"/>
    <x v="1"/>
    <s v="Population, total"/>
    <s v="Demographics"/>
    <s v="SDG 11: Sustainable Cities and Communities"/>
    <n v="3305200"/>
    <s v="People"/>
    <s v="Hong Kong, China|1962"/>
    <s v="Gapminder/Plotly country-year extract reshaped to long indicator format for education"/>
    <s v="OK"/>
    <s v="1960s"/>
    <s v="N/A"/>
    <s v="Demographics"/>
  </r>
  <r>
    <s v="GM-01989"/>
    <s v="Hong Kong, China"/>
    <x v="0"/>
    <x v="2"/>
    <x v="2"/>
    <s v="GDP per capita"/>
    <s v="Economy"/>
    <s v="SDG 8: Decent Work and Economic Growth"/>
    <n v="4692.6482719999904"/>
    <s v="Source-defined international dollars"/>
    <s v="Hong Kong, China|1962"/>
    <s v="Gapminder/Plotly country-year extract reshaped to long indicator format for education"/>
    <s v="OK"/>
    <s v="1960s"/>
    <s v="N/A"/>
    <s v="Economy"/>
  </r>
  <r>
    <s v="GM-01990"/>
    <s v="Hong Kong, China"/>
    <x v="0"/>
    <x v="3"/>
    <x v="0"/>
    <s v="Life expectancy at birth"/>
    <s v="Health"/>
    <s v="SDG 3: Good Health and Well-being"/>
    <n v="70"/>
    <s v="Years"/>
    <s v="Hong Kong, China|1967"/>
    <s v="Gapminder/Plotly country-year extract reshaped to long indicator format for education"/>
    <s v="OK"/>
    <s v="1960s"/>
    <s v="High"/>
    <s v="Health"/>
  </r>
  <r>
    <s v="GM-01991"/>
    <s v="Hong Kong, China"/>
    <x v="0"/>
    <x v="3"/>
    <x v="1"/>
    <s v="Population, total"/>
    <s v="Demographics"/>
    <s v="SDG 11: Sustainable Cities and Communities"/>
    <n v="3722800"/>
    <s v="People"/>
    <s v="Hong Kong, China|1967"/>
    <s v="Gapminder/Plotly country-year extract reshaped to long indicator format for education"/>
    <s v="OK"/>
    <s v="1960s"/>
    <s v="N/A"/>
    <s v="Demographics"/>
  </r>
  <r>
    <s v="GM-01992"/>
    <s v="Hong Kong, China"/>
    <x v="0"/>
    <x v="3"/>
    <x v="2"/>
    <s v="GDP per capita"/>
    <s v="Economy"/>
    <s v="SDG 8: Decent Work and Economic Growth"/>
    <n v="6197.9628140000004"/>
    <s v="Source-defined international dollars"/>
    <s v="Hong Kong, China|1967"/>
    <s v="Gapminder/Plotly country-year extract reshaped to long indicator format for education"/>
    <s v="OK"/>
    <s v="1960s"/>
    <s v="N/A"/>
    <s v="Economy"/>
  </r>
  <r>
    <s v="GM-01993"/>
    <s v="Hong Kong, China"/>
    <x v="0"/>
    <x v="4"/>
    <x v="0"/>
    <s v="Life expectancy at birth"/>
    <s v="Health"/>
    <s v="SDG 3: Good Health and Well-being"/>
    <n v="72"/>
    <s v="Years"/>
    <s v="Hong Kong, China|1972"/>
    <s v="Gapminder/Plotly country-year extract reshaped to long indicator format for education"/>
    <s v="OK"/>
    <s v="1970s"/>
    <s v="High"/>
    <s v="Health"/>
  </r>
  <r>
    <s v="GM-01994"/>
    <s v="Hong Kong, China"/>
    <x v="0"/>
    <x v="4"/>
    <x v="1"/>
    <s v="Population, total"/>
    <s v="Demographics"/>
    <s v="SDG 11: Sustainable Cities and Communities"/>
    <n v="4115700"/>
    <s v="People"/>
    <s v="Hong Kong, China|1972"/>
    <s v="Gapminder/Plotly country-year extract reshaped to long indicator format for education"/>
    <s v="OK"/>
    <s v="1970s"/>
    <s v="N/A"/>
    <s v="Demographics"/>
  </r>
  <r>
    <s v="GM-01995"/>
    <s v="Hong Kong, China"/>
    <x v="0"/>
    <x v="4"/>
    <x v="2"/>
    <s v="GDP per capita"/>
    <s v="Economy"/>
    <s v="SDG 8: Decent Work and Economic Growth"/>
    <n v="8315.9281449999999"/>
    <s v="Source-defined international dollars"/>
    <s v="Hong Kong, China|1972"/>
    <s v="Gapminder/Plotly country-year extract reshaped to long indicator format for education"/>
    <s v="OK"/>
    <s v="1970s"/>
    <s v="N/A"/>
    <s v="Economy"/>
  </r>
  <r>
    <s v="GM-01996"/>
    <s v="Hong Kong, China"/>
    <x v="0"/>
    <x v="5"/>
    <x v="0"/>
    <s v="Life expectancy at birth"/>
    <s v="Health"/>
    <s v="SDG 3: Good Health and Well-being"/>
    <n v="73.599999999999994"/>
    <s v="Years"/>
    <s v="Hong Kong, China|1977"/>
    <s v="Gapminder/Plotly country-year extract reshaped to long indicator format for education"/>
    <s v="OK"/>
    <s v="1970s"/>
    <s v="High"/>
    <s v="Health"/>
  </r>
  <r>
    <s v="GM-01997"/>
    <s v="Hong Kong, China"/>
    <x v="0"/>
    <x v="5"/>
    <x v="1"/>
    <s v="Population, total"/>
    <s v="Demographics"/>
    <s v="SDG 11: Sustainable Cities and Communities"/>
    <n v="4583700"/>
    <s v="People"/>
    <s v="Hong Kong, China|1977"/>
    <s v="Gapminder/Plotly country-year extract reshaped to long indicator format for education"/>
    <s v="OK"/>
    <s v="1970s"/>
    <s v="N/A"/>
    <s v="Demographics"/>
  </r>
  <r>
    <s v="GM-01998"/>
    <s v="Hong Kong, China"/>
    <x v="0"/>
    <x v="5"/>
    <x v="2"/>
    <s v="GDP per capita"/>
    <s v="Economy"/>
    <s v="SDG 8: Decent Work and Economic Growth"/>
    <n v="11186.141250000001"/>
    <s v="Source-defined international dollars"/>
    <s v="Hong Kong, China|1977"/>
    <s v="Gapminder/Plotly country-year extract reshaped to long indicator format for education"/>
    <s v="OK"/>
    <s v="1970s"/>
    <s v="N/A"/>
    <s v="Economy"/>
  </r>
  <r>
    <s v="GM-01999"/>
    <s v="Hong Kong, China"/>
    <x v="0"/>
    <x v="6"/>
    <x v="0"/>
    <s v="Life expectancy at birth"/>
    <s v="Health"/>
    <s v="SDG 3: Good Health and Well-being"/>
    <n v="75.45"/>
    <s v="Years"/>
    <s v="Hong Kong, China|1982"/>
    <s v="Gapminder/Plotly country-year extract reshaped to long indicator format for education"/>
    <s v="OK"/>
    <s v="1980s"/>
    <s v="High"/>
    <s v="Health"/>
  </r>
  <r>
    <s v="GM-02000"/>
    <s v="Hong Kong, China"/>
    <x v="0"/>
    <x v="6"/>
    <x v="1"/>
    <s v="Population, total"/>
    <s v="Demographics"/>
    <s v="SDG 11: Sustainable Cities and Communities"/>
    <n v="5264500"/>
    <s v="People"/>
    <s v="Hong Kong, China|1982"/>
    <s v="Gapminder/Plotly country-year extract reshaped to long indicator format for education"/>
    <s v="OK"/>
    <s v="1980s"/>
    <s v="N/A"/>
    <s v="Demographics"/>
  </r>
  <r>
    <s v="GM-02001"/>
    <s v="Hong Kong, China"/>
    <x v="0"/>
    <x v="6"/>
    <x v="2"/>
    <s v="GDP per capita"/>
    <s v="Economy"/>
    <s v="SDG 8: Decent Work and Economic Growth"/>
    <n v="14560.530510000001"/>
    <s v="Source-defined international dollars"/>
    <s v="Hong Kong, China|1982"/>
    <s v="Gapminder/Plotly country-year extract reshaped to long indicator format for education"/>
    <s v="OK"/>
    <s v="1980s"/>
    <s v="N/A"/>
    <s v="Economy"/>
  </r>
  <r>
    <s v="GM-02002"/>
    <s v="Hong Kong, China"/>
    <x v="0"/>
    <x v="7"/>
    <x v="0"/>
    <s v="Life expectancy at birth"/>
    <s v="Health"/>
    <s v="SDG 3: Good Health and Well-being"/>
    <n v="76.2"/>
    <s v="Years"/>
    <s v="Hong Kong, China|1987"/>
    <s v="Gapminder/Plotly country-year extract reshaped to long indicator format for education"/>
    <s v="OK"/>
    <s v="1980s"/>
    <s v="High"/>
    <s v="Health"/>
  </r>
  <r>
    <s v="GM-02003"/>
    <s v="Hong Kong, China"/>
    <x v="0"/>
    <x v="7"/>
    <x v="1"/>
    <s v="Population, total"/>
    <s v="Demographics"/>
    <s v="SDG 11: Sustainable Cities and Communities"/>
    <n v="5584510"/>
    <s v="People"/>
    <s v="Hong Kong, China|1987"/>
    <s v="Gapminder/Plotly country-year extract reshaped to long indicator format for education"/>
    <s v="OK"/>
    <s v="1980s"/>
    <s v="N/A"/>
    <s v="Demographics"/>
  </r>
  <r>
    <s v="GM-02004"/>
    <s v="Hong Kong, China"/>
    <x v="0"/>
    <x v="7"/>
    <x v="2"/>
    <s v="GDP per capita"/>
    <s v="Economy"/>
    <s v="SDG 8: Decent Work and Economic Growth"/>
    <n v="20038.472689999999"/>
    <s v="Source-defined international dollars"/>
    <s v="Hong Kong, China|1987"/>
    <s v="Gapminder/Plotly country-year extract reshaped to long indicator format for education"/>
    <s v="OK"/>
    <s v="1980s"/>
    <s v="N/A"/>
    <s v="Economy"/>
  </r>
  <r>
    <s v="GM-02005"/>
    <s v="Hong Kong, China"/>
    <x v="0"/>
    <x v="8"/>
    <x v="0"/>
    <s v="Life expectancy at birth"/>
    <s v="Health"/>
    <s v="SDG 3: Good Health and Well-being"/>
    <n v="77.600999999999999"/>
    <s v="Years"/>
    <s v="Hong Kong, China|1992"/>
    <s v="Gapminder/Plotly country-year extract reshaped to long indicator format for education"/>
    <s v="OK"/>
    <s v="1990s"/>
    <s v="High"/>
    <s v="Health"/>
  </r>
  <r>
    <s v="GM-02006"/>
    <s v="Hong Kong, China"/>
    <x v="0"/>
    <x v="8"/>
    <x v="1"/>
    <s v="Population, total"/>
    <s v="Demographics"/>
    <s v="SDG 11: Sustainable Cities and Communities"/>
    <n v="5829696"/>
    <s v="People"/>
    <s v="Hong Kong, China|1992"/>
    <s v="Gapminder/Plotly country-year extract reshaped to long indicator format for education"/>
    <s v="OK"/>
    <s v="1990s"/>
    <s v="N/A"/>
    <s v="Demographics"/>
  </r>
  <r>
    <s v="GM-02007"/>
    <s v="Hong Kong, China"/>
    <x v="0"/>
    <x v="8"/>
    <x v="2"/>
    <s v="GDP per capita"/>
    <s v="Economy"/>
    <s v="SDG 8: Decent Work and Economic Growth"/>
    <n v="24757.603009999999"/>
    <s v="Source-defined international dollars"/>
    <s v="Hong Kong, China|1992"/>
    <s v="Gapminder/Plotly country-year extract reshaped to long indicator format for education"/>
    <s v="OK"/>
    <s v="1990s"/>
    <s v="N/A"/>
    <s v="Economy"/>
  </r>
  <r>
    <s v="GM-02008"/>
    <s v="Hong Kong, China"/>
    <x v="0"/>
    <x v="9"/>
    <x v="0"/>
    <s v="Life expectancy at birth"/>
    <s v="Health"/>
    <s v="SDG 3: Good Health and Well-being"/>
    <n v="80"/>
    <s v="Years"/>
    <s v="Hong Kong, China|1997"/>
    <s v="Gapminder/Plotly country-year extract reshaped to long indicator format for education"/>
    <s v="OK"/>
    <s v="1990s"/>
    <s v="High"/>
    <s v="Health"/>
  </r>
  <r>
    <s v="GM-02009"/>
    <s v="Hong Kong, China"/>
    <x v="0"/>
    <x v="9"/>
    <x v="1"/>
    <s v="Population, total"/>
    <s v="Demographics"/>
    <s v="SDG 11: Sustainable Cities and Communities"/>
    <n v="6495918"/>
    <s v="People"/>
    <s v="Hong Kong, China|1997"/>
    <s v="Gapminder/Plotly country-year extract reshaped to long indicator format for education"/>
    <s v="OK"/>
    <s v="1990s"/>
    <s v="N/A"/>
    <s v="Demographics"/>
  </r>
  <r>
    <s v="GM-02010"/>
    <s v="Hong Kong, China"/>
    <x v="0"/>
    <x v="9"/>
    <x v="2"/>
    <s v="GDP per capita"/>
    <s v="Economy"/>
    <s v="SDG 8: Decent Work and Economic Growth"/>
    <n v="28377.63219"/>
    <s v="Source-defined international dollars"/>
    <s v="Hong Kong, China|1997"/>
    <s v="Gapminder/Plotly country-year extract reshaped to long indicator format for education"/>
    <s v="OK"/>
    <s v="1990s"/>
    <s v="N/A"/>
    <s v="Economy"/>
  </r>
  <r>
    <s v="GM-02011"/>
    <s v="Hong Kong, China"/>
    <x v="0"/>
    <x v="10"/>
    <x v="0"/>
    <s v="Life expectancy at birth"/>
    <s v="Health"/>
    <s v="SDG 3: Good Health and Well-being"/>
    <n v="81.495000000000005"/>
    <s v="Years"/>
    <s v="Hong Kong, China|2002"/>
    <s v="Gapminder/Plotly country-year extract reshaped to long indicator format for education"/>
    <s v="OK"/>
    <s v="2000s"/>
    <s v="High"/>
    <s v="Health"/>
  </r>
  <r>
    <s v="GM-02012"/>
    <s v="Hong Kong, China"/>
    <x v="0"/>
    <x v="10"/>
    <x v="1"/>
    <s v="Population, total"/>
    <s v="Demographics"/>
    <s v="SDG 11: Sustainable Cities and Communities"/>
    <n v="6762476"/>
    <s v="People"/>
    <s v="Hong Kong, China|2002"/>
    <s v="Gapminder/Plotly country-year extract reshaped to long indicator format for education"/>
    <s v="OK"/>
    <s v="2000s"/>
    <s v="N/A"/>
    <s v="Demographics"/>
  </r>
  <r>
    <s v="GM-02013"/>
    <s v="Hong Kong, China"/>
    <x v="0"/>
    <x v="10"/>
    <x v="2"/>
    <s v="GDP per capita"/>
    <s v="Economy"/>
    <s v="SDG 8: Decent Work and Economic Growth"/>
    <n v="30209.015159999999"/>
    <s v="Source-defined international dollars"/>
    <s v="Hong Kong, China|2002"/>
    <s v="Gapminder/Plotly country-year extract reshaped to long indicator format for education"/>
    <s v="OK"/>
    <s v="2000s"/>
    <s v="N/A"/>
    <s v="Economy"/>
  </r>
  <r>
    <s v="GM-02014"/>
    <s v="Hong Kong, China"/>
    <x v="0"/>
    <x v="11"/>
    <x v="0"/>
    <s v="Life expectancy at birth"/>
    <s v="Health"/>
    <s v="SDG 3: Good Health and Well-being"/>
    <n v="82.207999999999998"/>
    <s v="Years"/>
    <s v="Hong Kong, China|2007"/>
    <s v="Gapminder/Plotly country-year extract reshaped to long indicator format for education"/>
    <s v="OK"/>
    <s v="2000s"/>
    <s v="High"/>
    <s v="Health"/>
  </r>
  <r>
    <s v="GM-02015"/>
    <s v="Hong Kong, China"/>
    <x v="0"/>
    <x v="11"/>
    <x v="1"/>
    <s v="Population, total"/>
    <s v="Demographics"/>
    <s v="SDG 11: Sustainable Cities and Communities"/>
    <n v="6980412"/>
    <s v="People"/>
    <s v="Hong Kong, China|2007"/>
    <s v="Gapminder/Plotly country-year extract reshaped to long indicator format for education"/>
    <s v="OK"/>
    <s v="2000s"/>
    <s v="N/A"/>
    <s v="Demographics"/>
  </r>
  <r>
    <s v="GM-02016"/>
    <s v="Hong Kong, China"/>
    <x v="0"/>
    <x v="11"/>
    <x v="2"/>
    <s v="GDP per capita"/>
    <s v="Economy"/>
    <s v="SDG 8: Decent Work and Economic Growth"/>
    <n v="39724.978669999997"/>
    <s v="Source-defined international dollars"/>
    <s v="Hong Kong, China|2007"/>
    <s v="Gapminder/Plotly country-year extract reshaped to long indicator format for education"/>
    <s v="OK"/>
    <s v="2000s"/>
    <s v="N/A"/>
    <s v="Economy"/>
  </r>
  <r>
    <s v="GM-02017"/>
    <s v="Hungary"/>
    <x v="1"/>
    <x v="0"/>
    <x v="0"/>
    <s v="Life expectancy at birth"/>
    <s v="Health"/>
    <s v="SDG 3: Good Health and Well-being"/>
    <n v="64.03"/>
    <s v="Years"/>
    <s v="Hungary|1952"/>
    <s v="Gapminder/Plotly country-year extract reshaped to long indicator format for education"/>
    <s v="OK"/>
    <s v="1950s"/>
    <s v="Medium"/>
    <s v="Health"/>
  </r>
  <r>
    <s v="GM-02018"/>
    <s v="Hungary"/>
    <x v="1"/>
    <x v="0"/>
    <x v="1"/>
    <s v="Population, total"/>
    <s v="Demographics"/>
    <s v="SDG 11: Sustainable Cities and Communities"/>
    <n v="9504000"/>
    <s v="People"/>
    <s v="Hungary|1952"/>
    <s v="Gapminder/Plotly country-year extract reshaped to long indicator format for education"/>
    <s v="OK"/>
    <s v="1950s"/>
    <s v="N/A"/>
    <s v="Demographics"/>
  </r>
  <r>
    <s v="GM-02019"/>
    <s v="Hungary"/>
    <x v="1"/>
    <x v="0"/>
    <x v="2"/>
    <s v="GDP per capita"/>
    <s v="Economy"/>
    <s v="SDG 8: Decent Work and Economic Growth"/>
    <n v="5263.6738160000004"/>
    <s v="Source-defined international dollars"/>
    <s v="Hungary|1952"/>
    <s v="Gapminder/Plotly country-year extract reshaped to long indicator format for education"/>
    <s v="OK"/>
    <s v="1950s"/>
    <s v="N/A"/>
    <s v="Economy"/>
  </r>
  <r>
    <s v="GM-02020"/>
    <s v="Hungary"/>
    <x v="1"/>
    <x v="1"/>
    <x v="0"/>
    <s v="Life expectancy at birth"/>
    <s v="Health"/>
    <s v="SDG 3: Good Health and Well-being"/>
    <n v="66.41"/>
    <s v="Years"/>
    <s v="Hungary|1957"/>
    <s v="Gapminder/Plotly country-year extract reshaped to long indicator format for education"/>
    <s v="OK"/>
    <s v="1950s"/>
    <s v="Medium"/>
    <s v="Health"/>
  </r>
  <r>
    <s v="GM-02021"/>
    <s v="Hungary"/>
    <x v="1"/>
    <x v="1"/>
    <x v="1"/>
    <s v="Population, total"/>
    <s v="Demographics"/>
    <s v="SDG 11: Sustainable Cities and Communities"/>
    <n v="9839000"/>
    <s v="People"/>
    <s v="Hungary|1957"/>
    <s v="Gapminder/Plotly country-year extract reshaped to long indicator format for education"/>
    <s v="OK"/>
    <s v="1950s"/>
    <s v="N/A"/>
    <s v="Demographics"/>
  </r>
  <r>
    <s v="GM-02022"/>
    <s v="Hungary"/>
    <x v="1"/>
    <x v="1"/>
    <x v="2"/>
    <s v="GDP per capita"/>
    <s v="Economy"/>
    <s v="SDG 8: Decent Work and Economic Growth"/>
    <n v="6040.1800110000004"/>
    <s v="Source-defined international dollars"/>
    <s v="Hungary|1957"/>
    <s v="Gapminder/Plotly country-year extract reshaped to long indicator format for education"/>
    <s v="OK"/>
    <s v="1950s"/>
    <s v="N/A"/>
    <s v="Economy"/>
  </r>
  <r>
    <s v="GM-02023"/>
    <s v="Hungary"/>
    <x v="1"/>
    <x v="2"/>
    <x v="0"/>
    <s v="Life expectancy at birth"/>
    <s v="Health"/>
    <s v="SDG 3: Good Health and Well-being"/>
    <n v="67.959999999999994"/>
    <s v="Years"/>
    <s v="Hungary|1962"/>
    <s v="Gapminder/Plotly country-year extract reshaped to long indicator format for education"/>
    <s v="OK"/>
    <s v="1960s"/>
    <s v="Medium"/>
    <s v="Health"/>
  </r>
  <r>
    <s v="GM-02024"/>
    <s v="Hungary"/>
    <x v="1"/>
    <x v="2"/>
    <x v="1"/>
    <s v="Population, total"/>
    <s v="Demographics"/>
    <s v="SDG 11: Sustainable Cities and Communities"/>
    <n v="10063000"/>
    <s v="People"/>
    <s v="Hungary|1962"/>
    <s v="Gapminder/Plotly country-year extract reshaped to long indicator format for education"/>
    <s v="OK"/>
    <s v="1960s"/>
    <s v="N/A"/>
    <s v="Demographics"/>
  </r>
  <r>
    <s v="GM-02025"/>
    <s v="Hungary"/>
    <x v="1"/>
    <x v="2"/>
    <x v="2"/>
    <s v="GDP per capita"/>
    <s v="Economy"/>
    <s v="SDG 8: Decent Work and Economic Growth"/>
    <n v="7550.3598769999999"/>
    <s v="Source-defined international dollars"/>
    <s v="Hungary|1962"/>
    <s v="Gapminder/Plotly country-year extract reshaped to long indicator format for education"/>
    <s v="OK"/>
    <s v="1960s"/>
    <s v="N/A"/>
    <s v="Economy"/>
  </r>
  <r>
    <s v="GM-02026"/>
    <s v="Hungary"/>
    <x v="1"/>
    <x v="3"/>
    <x v="0"/>
    <s v="Life expectancy at birth"/>
    <s v="Health"/>
    <s v="SDG 3: Good Health and Well-being"/>
    <n v="69.5"/>
    <s v="Years"/>
    <s v="Hungary|1967"/>
    <s v="Gapminder/Plotly country-year extract reshaped to long indicator format for education"/>
    <s v="OK"/>
    <s v="1960s"/>
    <s v="Medium"/>
    <s v="Health"/>
  </r>
  <r>
    <s v="GM-02027"/>
    <s v="Hungary"/>
    <x v="1"/>
    <x v="3"/>
    <x v="1"/>
    <s v="Population, total"/>
    <s v="Demographics"/>
    <s v="SDG 11: Sustainable Cities and Communities"/>
    <n v="10223422"/>
    <s v="People"/>
    <s v="Hungary|1967"/>
    <s v="Gapminder/Plotly country-year extract reshaped to long indicator format for education"/>
    <s v="OK"/>
    <s v="1960s"/>
    <s v="N/A"/>
    <s v="Demographics"/>
  </r>
  <r>
    <s v="GM-02028"/>
    <s v="Hungary"/>
    <x v="1"/>
    <x v="3"/>
    <x v="2"/>
    <s v="GDP per capita"/>
    <s v="Economy"/>
    <s v="SDG 8: Decent Work and Economic Growth"/>
    <n v="9326.6446699999997"/>
    <s v="Source-defined international dollars"/>
    <s v="Hungary|1967"/>
    <s v="Gapminder/Plotly country-year extract reshaped to long indicator format for education"/>
    <s v="OK"/>
    <s v="1960s"/>
    <s v="N/A"/>
    <s v="Economy"/>
  </r>
  <r>
    <s v="GM-02029"/>
    <s v="Hungary"/>
    <x v="1"/>
    <x v="4"/>
    <x v="0"/>
    <s v="Life expectancy at birth"/>
    <s v="Health"/>
    <s v="SDG 3: Good Health and Well-being"/>
    <n v="69.760000000000005"/>
    <s v="Years"/>
    <s v="Hungary|1972"/>
    <s v="Gapminder/Plotly country-year extract reshaped to long indicator format for education"/>
    <s v="OK"/>
    <s v="1970s"/>
    <s v="Medium"/>
    <s v="Health"/>
  </r>
  <r>
    <s v="GM-02030"/>
    <s v="Hungary"/>
    <x v="1"/>
    <x v="4"/>
    <x v="1"/>
    <s v="Population, total"/>
    <s v="Demographics"/>
    <s v="SDG 11: Sustainable Cities and Communities"/>
    <n v="10394091"/>
    <s v="People"/>
    <s v="Hungary|1972"/>
    <s v="Gapminder/Plotly country-year extract reshaped to long indicator format for education"/>
    <s v="OK"/>
    <s v="1970s"/>
    <s v="N/A"/>
    <s v="Demographics"/>
  </r>
  <r>
    <s v="GM-02031"/>
    <s v="Hungary"/>
    <x v="1"/>
    <x v="4"/>
    <x v="2"/>
    <s v="GDP per capita"/>
    <s v="Economy"/>
    <s v="SDG 8: Decent Work and Economic Growth"/>
    <n v="10168.65611"/>
    <s v="Source-defined international dollars"/>
    <s v="Hungary|1972"/>
    <s v="Gapminder/Plotly country-year extract reshaped to long indicator format for education"/>
    <s v="OK"/>
    <s v="1970s"/>
    <s v="N/A"/>
    <s v="Economy"/>
  </r>
  <r>
    <s v="GM-02032"/>
    <s v="Hungary"/>
    <x v="1"/>
    <x v="5"/>
    <x v="0"/>
    <s v="Life expectancy at birth"/>
    <s v="Health"/>
    <s v="SDG 3: Good Health and Well-being"/>
    <n v="69.95"/>
    <s v="Years"/>
    <s v="Hungary|1977"/>
    <s v="Gapminder/Plotly country-year extract reshaped to long indicator format for education"/>
    <s v="OK"/>
    <s v="1970s"/>
    <s v="Medium"/>
    <s v="Health"/>
  </r>
  <r>
    <s v="GM-02033"/>
    <s v="Hungary"/>
    <x v="1"/>
    <x v="5"/>
    <x v="1"/>
    <s v="Population, total"/>
    <s v="Demographics"/>
    <s v="SDG 11: Sustainable Cities and Communities"/>
    <n v="10637171"/>
    <s v="People"/>
    <s v="Hungary|1977"/>
    <s v="Gapminder/Plotly country-year extract reshaped to long indicator format for education"/>
    <s v="OK"/>
    <s v="1970s"/>
    <s v="N/A"/>
    <s v="Demographics"/>
  </r>
  <r>
    <s v="GM-02034"/>
    <s v="Hungary"/>
    <x v="1"/>
    <x v="5"/>
    <x v="2"/>
    <s v="GDP per capita"/>
    <s v="Economy"/>
    <s v="SDG 8: Decent Work and Economic Growth"/>
    <n v="11674.837369999999"/>
    <s v="Source-defined international dollars"/>
    <s v="Hungary|1977"/>
    <s v="Gapminder/Plotly country-year extract reshaped to long indicator format for education"/>
    <s v="OK"/>
    <s v="1970s"/>
    <s v="N/A"/>
    <s v="Economy"/>
  </r>
  <r>
    <s v="GM-02035"/>
    <s v="Hungary"/>
    <x v="1"/>
    <x v="6"/>
    <x v="0"/>
    <s v="Life expectancy at birth"/>
    <s v="Health"/>
    <s v="SDG 3: Good Health and Well-being"/>
    <n v="69.39"/>
    <s v="Years"/>
    <s v="Hungary|1982"/>
    <s v="Gapminder/Plotly country-year extract reshaped to long indicator format for education"/>
    <s v="OK"/>
    <s v="1980s"/>
    <s v="Medium"/>
    <s v="Health"/>
  </r>
  <r>
    <s v="GM-02036"/>
    <s v="Hungary"/>
    <x v="1"/>
    <x v="6"/>
    <x v="1"/>
    <s v="Population, total"/>
    <s v="Demographics"/>
    <s v="SDG 11: Sustainable Cities and Communities"/>
    <n v="10705535"/>
    <s v="People"/>
    <s v="Hungary|1982"/>
    <s v="Gapminder/Plotly country-year extract reshaped to long indicator format for education"/>
    <s v="OK"/>
    <s v="1980s"/>
    <s v="N/A"/>
    <s v="Demographics"/>
  </r>
  <r>
    <s v="GM-02037"/>
    <s v="Hungary"/>
    <x v="1"/>
    <x v="6"/>
    <x v="2"/>
    <s v="GDP per capita"/>
    <s v="Economy"/>
    <s v="SDG 8: Decent Work and Economic Growth"/>
    <n v="12545.990659999999"/>
    <s v="Source-defined international dollars"/>
    <s v="Hungary|1982"/>
    <s v="Gapminder/Plotly country-year extract reshaped to long indicator format for education"/>
    <s v="OK"/>
    <s v="1980s"/>
    <s v="N/A"/>
    <s v="Economy"/>
  </r>
  <r>
    <s v="GM-02038"/>
    <s v="Hungary"/>
    <x v="1"/>
    <x v="7"/>
    <x v="0"/>
    <s v="Life expectancy at birth"/>
    <s v="Health"/>
    <s v="SDG 3: Good Health and Well-being"/>
    <n v="69.58"/>
    <s v="Years"/>
    <s v="Hungary|1987"/>
    <s v="Gapminder/Plotly country-year extract reshaped to long indicator format for education"/>
    <s v="OK"/>
    <s v="1980s"/>
    <s v="Medium"/>
    <s v="Health"/>
  </r>
  <r>
    <s v="GM-02039"/>
    <s v="Hungary"/>
    <x v="1"/>
    <x v="7"/>
    <x v="1"/>
    <s v="Population, total"/>
    <s v="Demographics"/>
    <s v="SDG 11: Sustainable Cities and Communities"/>
    <n v="10612740"/>
    <s v="People"/>
    <s v="Hungary|1987"/>
    <s v="Gapminder/Plotly country-year extract reshaped to long indicator format for education"/>
    <s v="OK"/>
    <s v="1980s"/>
    <s v="N/A"/>
    <s v="Demographics"/>
  </r>
  <r>
    <s v="GM-02040"/>
    <s v="Hungary"/>
    <x v="1"/>
    <x v="7"/>
    <x v="2"/>
    <s v="GDP per capita"/>
    <s v="Economy"/>
    <s v="SDG 8: Decent Work and Economic Growth"/>
    <n v="12986.47998"/>
    <s v="Source-defined international dollars"/>
    <s v="Hungary|1987"/>
    <s v="Gapminder/Plotly country-year extract reshaped to long indicator format for education"/>
    <s v="OK"/>
    <s v="1980s"/>
    <s v="N/A"/>
    <s v="Economy"/>
  </r>
  <r>
    <s v="GM-02041"/>
    <s v="Hungary"/>
    <x v="1"/>
    <x v="8"/>
    <x v="0"/>
    <s v="Life expectancy at birth"/>
    <s v="Health"/>
    <s v="SDG 3: Good Health and Well-being"/>
    <n v="69.17"/>
    <s v="Years"/>
    <s v="Hungary|1992"/>
    <s v="Gapminder/Plotly country-year extract reshaped to long indicator format for education"/>
    <s v="OK"/>
    <s v="1990s"/>
    <s v="Medium"/>
    <s v="Health"/>
  </r>
  <r>
    <s v="GM-02042"/>
    <s v="Hungary"/>
    <x v="1"/>
    <x v="8"/>
    <x v="1"/>
    <s v="Population, total"/>
    <s v="Demographics"/>
    <s v="SDG 11: Sustainable Cities and Communities"/>
    <n v="10348684"/>
    <s v="People"/>
    <s v="Hungary|1992"/>
    <s v="Gapminder/Plotly country-year extract reshaped to long indicator format for education"/>
    <s v="OK"/>
    <s v="1990s"/>
    <s v="N/A"/>
    <s v="Demographics"/>
  </r>
  <r>
    <s v="GM-02043"/>
    <s v="Hungary"/>
    <x v="1"/>
    <x v="8"/>
    <x v="2"/>
    <s v="GDP per capita"/>
    <s v="Economy"/>
    <s v="SDG 8: Decent Work and Economic Growth"/>
    <n v="10535.628549999999"/>
    <s v="Source-defined international dollars"/>
    <s v="Hungary|1992"/>
    <s v="Gapminder/Plotly country-year extract reshaped to long indicator format for education"/>
    <s v="OK"/>
    <s v="1990s"/>
    <s v="N/A"/>
    <s v="Economy"/>
  </r>
  <r>
    <s v="GM-02044"/>
    <s v="Hungary"/>
    <x v="1"/>
    <x v="9"/>
    <x v="0"/>
    <s v="Life expectancy at birth"/>
    <s v="Health"/>
    <s v="SDG 3: Good Health and Well-being"/>
    <n v="71.040000000000006"/>
    <s v="Years"/>
    <s v="Hungary|1997"/>
    <s v="Gapminder/Plotly country-year extract reshaped to long indicator format for education"/>
    <s v="OK"/>
    <s v="1990s"/>
    <s v="High"/>
    <s v="Health"/>
  </r>
  <r>
    <s v="GM-02045"/>
    <s v="Hungary"/>
    <x v="1"/>
    <x v="9"/>
    <x v="1"/>
    <s v="Population, total"/>
    <s v="Demographics"/>
    <s v="SDG 11: Sustainable Cities and Communities"/>
    <n v="10244684"/>
    <s v="People"/>
    <s v="Hungary|1997"/>
    <s v="Gapminder/Plotly country-year extract reshaped to long indicator format for education"/>
    <s v="OK"/>
    <s v="1990s"/>
    <s v="N/A"/>
    <s v="Demographics"/>
  </r>
  <r>
    <s v="GM-02046"/>
    <s v="Hungary"/>
    <x v="1"/>
    <x v="9"/>
    <x v="2"/>
    <s v="GDP per capita"/>
    <s v="Economy"/>
    <s v="SDG 8: Decent Work and Economic Growth"/>
    <n v="11712.7768"/>
    <s v="Source-defined international dollars"/>
    <s v="Hungary|1997"/>
    <s v="Gapminder/Plotly country-year extract reshaped to long indicator format for education"/>
    <s v="OK"/>
    <s v="1990s"/>
    <s v="N/A"/>
    <s v="Economy"/>
  </r>
  <r>
    <s v="GM-02047"/>
    <s v="Hungary"/>
    <x v="1"/>
    <x v="10"/>
    <x v="0"/>
    <s v="Life expectancy at birth"/>
    <s v="Health"/>
    <s v="SDG 3: Good Health and Well-being"/>
    <n v="72.59"/>
    <s v="Years"/>
    <s v="Hungary|2002"/>
    <s v="Gapminder/Plotly country-year extract reshaped to long indicator format for education"/>
    <s v="OK"/>
    <s v="2000s"/>
    <s v="High"/>
    <s v="Health"/>
  </r>
  <r>
    <s v="GM-02048"/>
    <s v="Hungary"/>
    <x v="1"/>
    <x v="10"/>
    <x v="1"/>
    <s v="Population, total"/>
    <s v="Demographics"/>
    <s v="SDG 11: Sustainable Cities and Communities"/>
    <n v="10083313"/>
    <s v="People"/>
    <s v="Hungary|2002"/>
    <s v="Gapminder/Plotly country-year extract reshaped to long indicator format for education"/>
    <s v="OK"/>
    <s v="2000s"/>
    <s v="N/A"/>
    <s v="Demographics"/>
  </r>
  <r>
    <s v="GM-02049"/>
    <s v="Hungary"/>
    <x v="1"/>
    <x v="10"/>
    <x v="2"/>
    <s v="GDP per capita"/>
    <s v="Economy"/>
    <s v="SDG 8: Decent Work and Economic Growth"/>
    <n v="14843.93556"/>
    <s v="Source-defined international dollars"/>
    <s v="Hungary|2002"/>
    <s v="Gapminder/Plotly country-year extract reshaped to long indicator format for education"/>
    <s v="OK"/>
    <s v="2000s"/>
    <s v="N/A"/>
    <s v="Economy"/>
  </r>
  <r>
    <s v="GM-02050"/>
    <s v="Hungary"/>
    <x v="1"/>
    <x v="11"/>
    <x v="0"/>
    <s v="Life expectancy at birth"/>
    <s v="Health"/>
    <s v="SDG 3: Good Health and Well-being"/>
    <n v="73.337999999999994"/>
    <s v="Years"/>
    <s v="Hungary|2007"/>
    <s v="Gapminder/Plotly country-year extract reshaped to long indicator format for education"/>
    <s v="OK"/>
    <s v="2000s"/>
    <s v="High"/>
    <s v="Health"/>
  </r>
  <r>
    <s v="GM-02051"/>
    <s v="Hungary"/>
    <x v="1"/>
    <x v="11"/>
    <x v="1"/>
    <s v="Population, total"/>
    <s v="Demographics"/>
    <s v="SDG 11: Sustainable Cities and Communities"/>
    <n v="9956108"/>
    <s v="People"/>
    <s v="Hungary|2007"/>
    <s v="Gapminder/Plotly country-year extract reshaped to long indicator format for education"/>
    <s v="OK"/>
    <s v="2000s"/>
    <s v="N/A"/>
    <s v="Demographics"/>
  </r>
  <r>
    <s v="GM-02052"/>
    <s v="Hungary"/>
    <x v="1"/>
    <x v="11"/>
    <x v="2"/>
    <s v="GDP per capita"/>
    <s v="Economy"/>
    <s v="SDG 8: Decent Work and Economic Growth"/>
    <n v="18008.944439999999"/>
    <s v="Source-defined international dollars"/>
    <s v="Hungary|2007"/>
    <s v="Gapminder/Plotly country-year extract reshaped to long indicator format for education"/>
    <s v="OK"/>
    <s v="2000s"/>
    <s v="N/A"/>
    <s v="Economy"/>
  </r>
  <r>
    <s v="GM-02053"/>
    <s v="Iceland"/>
    <x v="1"/>
    <x v="0"/>
    <x v="0"/>
    <s v="Life expectancy at birth"/>
    <s v="Health"/>
    <s v="SDG 3: Good Health and Well-being"/>
    <n v="72.489999999999995"/>
    <s v="Years"/>
    <s v="Iceland|1952"/>
    <s v="Gapminder/Plotly country-year extract reshaped to long indicator format for education"/>
    <s v="OK"/>
    <s v="1950s"/>
    <s v="High"/>
    <s v="Health"/>
  </r>
  <r>
    <s v="GM-02054"/>
    <s v="Iceland"/>
    <x v="1"/>
    <x v="0"/>
    <x v="1"/>
    <s v="Population, total"/>
    <s v="Demographics"/>
    <s v="SDG 11: Sustainable Cities and Communities"/>
    <n v="147962"/>
    <s v="People"/>
    <s v="Iceland|1952"/>
    <s v="Gapminder/Plotly country-year extract reshaped to long indicator format for education"/>
    <s v="OK"/>
    <s v="1950s"/>
    <s v="N/A"/>
    <s v="Demographics"/>
  </r>
  <r>
    <s v="GM-02055"/>
    <s v="Iceland"/>
    <x v="1"/>
    <x v="0"/>
    <x v="2"/>
    <s v="GDP per capita"/>
    <s v="Economy"/>
    <s v="SDG 8: Decent Work and Economic Growth"/>
    <n v="7267.6884280000004"/>
    <s v="Source-defined international dollars"/>
    <s v="Iceland|1952"/>
    <s v="Gapminder/Plotly country-year extract reshaped to long indicator format for education"/>
    <s v="OK"/>
    <s v="1950s"/>
    <s v="N/A"/>
    <s v="Economy"/>
  </r>
  <r>
    <s v="GM-02056"/>
    <s v="Iceland"/>
    <x v="1"/>
    <x v="1"/>
    <x v="0"/>
    <s v="Life expectancy at birth"/>
    <s v="Health"/>
    <s v="SDG 3: Good Health and Well-being"/>
    <n v="73.47"/>
    <s v="Years"/>
    <s v="Iceland|1957"/>
    <s v="Gapminder/Plotly country-year extract reshaped to long indicator format for education"/>
    <s v="OK"/>
    <s v="1950s"/>
    <s v="High"/>
    <s v="Health"/>
  </r>
  <r>
    <s v="GM-02057"/>
    <s v="Iceland"/>
    <x v="1"/>
    <x v="1"/>
    <x v="1"/>
    <s v="Population, total"/>
    <s v="Demographics"/>
    <s v="SDG 11: Sustainable Cities and Communities"/>
    <n v="165110"/>
    <s v="People"/>
    <s v="Iceland|1957"/>
    <s v="Gapminder/Plotly country-year extract reshaped to long indicator format for education"/>
    <s v="OK"/>
    <s v="1950s"/>
    <s v="N/A"/>
    <s v="Demographics"/>
  </r>
  <r>
    <s v="GM-02058"/>
    <s v="Iceland"/>
    <x v="1"/>
    <x v="1"/>
    <x v="2"/>
    <s v="GDP per capita"/>
    <s v="Economy"/>
    <s v="SDG 8: Decent Work and Economic Growth"/>
    <n v="9244.0014119999996"/>
    <s v="Source-defined international dollars"/>
    <s v="Iceland|1957"/>
    <s v="Gapminder/Plotly country-year extract reshaped to long indicator format for education"/>
    <s v="OK"/>
    <s v="1950s"/>
    <s v="N/A"/>
    <s v="Economy"/>
  </r>
  <r>
    <s v="GM-02059"/>
    <s v="Iceland"/>
    <x v="1"/>
    <x v="2"/>
    <x v="0"/>
    <s v="Life expectancy at birth"/>
    <s v="Health"/>
    <s v="SDG 3: Good Health and Well-being"/>
    <n v="73.680000000000007"/>
    <s v="Years"/>
    <s v="Iceland|1962"/>
    <s v="Gapminder/Plotly country-year extract reshaped to long indicator format for education"/>
    <s v="OK"/>
    <s v="1960s"/>
    <s v="High"/>
    <s v="Health"/>
  </r>
  <r>
    <s v="GM-02060"/>
    <s v="Iceland"/>
    <x v="1"/>
    <x v="2"/>
    <x v="1"/>
    <s v="Population, total"/>
    <s v="Demographics"/>
    <s v="SDG 11: Sustainable Cities and Communities"/>
    <n v="182053"/>
    <s v="People"/>
    <s v="Iceland|1962"/>
    <s v="Gapminder/Plotly country-year extract reshaped to long indicator format for education"/>
    <s v="OK"/>
    <s v="1960s"/>
    <s v="N/A"/>
    <s v="Demographics"/>
  </r>
  <r>
    <s v="GM-02061"/>
    <s v="Iceland"/>
    <x v="1"/>
    <x v="2"/>
    <x v="2"/>
    <s v="GDP per capita"/>
    <s v="Economy"/>
    <s v="SDG 8: Decent Work and Economic Growth"/>
    <n v="10350.15906"/>
    <s v="Source-defined international dollars"/>
    <s v="Iceland|1962"/>
    <s v="Gapminder/Plotly country-year extract reshaped to long indicator format for education"/>
    <s v="OK"/>
    <s v="1960s"/>
    <s v="N/A"/>
    <s v="Economy"/>
  </r>
  <r>
    <s v="GM-02062"/>
    <s v="Iceland"/>
    <x v="1"/>
    <x v="3"/>
    <x v="0"/>
    <s v="Life expectancy at birth"/>
    <s v="Health"/>
    <s v="SDG 3: Good Health and Well-being"/>
    <n v="73.73"/>
    <s v="Years"/>
    <s v="Iceland|1967"/>
    <s v="Gapminder/Plotly country-year extract reshaped to long indicator format for education"/>
    <s v="OK"/>
    <s v="1960s"/>
    <s v="High"/>
    <s v="Health"/>
  </r>
  <r>
    <s v="GM-02063"/>
    <s v="Iceland"/>
    <x v="1"/>
    <x v="3"/>
    <x v="1"/>
    <s v="Population, total"/>
    <s v="Demographics"/>
    <s v="SDG 11: Sustainable Cities and Communities"/>
    <n v="198676"/>
    <s v="People"/>
    <s v="Iceland|1967"/>
    <s v="Gapminder/Plotly country-year extract reshaped to long indicator format for education"/>
    <s v="OK"/>
    <s v="1960s"/>
    <s v="N/A"/>
    <s v="Demographics"/>
  </r>
  <r>
    <s v="GM-02064"/>
    <s v="Iceland"/>
    <x v="1"/>
    <x v="3"/>
    <x v="2"/>
    <s v="GDP per capita"/>
    <s v="Economy"/>
    <s v="SDG 8: Decent Work and Economic Growth"/>
    <n v="13319.89568"/>
    <s v="Source-defined international dollars"/>
    <s v="Iceland|1967"/>
    <s v="Gapminder/Plotly country-year extract reshaped to long indicator format for education"/>
    <s v="OK"/>
    <s v="1960s"/>
    <s v="N/A"/>
    <s v="Economy"/>
  </r>
  <r>
    <s v="GM-02065"/>
    <s v="Iceland"/>
    <x v="1"/>
    <x v="4"/>
    <x v="0"/>
    <s v="Life expectancy at birth"/>
    <s v="Health"/>
    <s v="SDG 3: Good Health and Well-being"/>
    <n v="74.459999999999994"/>
    <s v="Years"/>
    <s v="Iceland|1972"/>
    <s v="Gapminder/Plotly country-year extract reshaped to long indicator format for education"/>
    <s v="OK"/>
    <s v="1970s"/>
    <s v="High"/>
    <s v="Health"/>
  </r>
  <r>
    <s v="GM-02066"/>
    <s v="Iceland"/>
    <x v="1"/>
    <x v="4"/>
    <x v="1"/>
    <s v="Population, total"/>
    <s v="Demographics"/>
    <s v="SDG 11: Sustainable Cities and Communities"/>
    <n v="209275"/>
    <s v="People"/>
    <s v="Iceland|1972"/>
    <s v="Gapminder/Plotly country-year extract reshaped to long indicator format for education"/>
    <s v="OK"/>
    <s v="1970s"/>
    <s v="N/A"/>
    <s v="Demographics"/>
  </r>
  <r>
    <s v="GM-02067"/>
    <s v="Iceland"/>
    <x v="1"/>
    <x v="4"/>
    <x v="2"/>
    <s v="GDP per capita"/>
    <s v="Economy"/>
    <s v="SDG 8: Decent Work and Economic Growth"/>
    <n v="15798.063620000001"/>
    <s v="Source-defined international dollars"/>
    <s v="Iceland|1972"/>
    <s v="Gapminder/Plotly country-year extract reshaped to long indicator format for education"/>
    <s v="OK"/>
    <s v="1970s"/>
    <s v="N/A"/>
    <s v="Economy"/>
  </r>
  <r>
    <s v="GM-02068"/>
    <s v="Iceland"/>
    <x v="1"/>
    <x v="5"/>
    <x v="0"/>
    <s v="Life expectancy at birth"/>
    <s v="Health"/>
    <s v="SDG 3: Good Health and Well-being"/>
    <n v="76.11"/>
    <s v="Years"/>
    <s v="Iceland|1977"/>
    <s v="Gapminder/Plotly country-year extract reshaped to long indicator format for education"/>
    <s v="OK"/>
    <s v="1970s"/>
    <s v="High"/>
    <s v="Health"/>
  </r>
  <r>
    <s v="GM-02069"/>
    <s v="Iceland"/>
    <x v="1"/>
    <x v="5"/>
    <x v="1"/>
    <s v="Population, total"/>
    <s v="Demographics"/>
    <s v="SDG 11: Sustainable Cities and Communities"/>
    <n v="221823"/>
    <s v="People"/>
    <s v="Iceland|1977"/>
    <s v="Gapminder/Plotly country-year extract reshaped to long indicator format for education"/>
    <s v="OK"/>
    <s v="1970s"/>
    <s v="N/A"/>
    <s v="Demographics"/>
  </r>
  <r>
    <s v="GM-02070"/>
    <s v="Iceland"/>
    <x v="1"/>
    <x v="5"/>
    <x v="2"/>
    <s v="GDP per capita"/>
    <s v="Economy"/>
    <s v="SDG 8: Decent Work and Economic Growth"/>
    <n v="19654.962469999999"/>
    <s v="Source-defined international dollars"/>
    <s v="Iceland|1977"/>
    <s v="Gapminder/Plotly country-year extract reshaped to long indicator format for education"/>
    <s v="OK"/>
    <s v="1970s"/>
    <s v="N/A"/>
    <s v="Economy"/>
  </r>
  <r>
    <s v="GM-02071"/>
    <s v="Iceland"/>
    <x v="1"/>
    <x v="6"/>
    <x v="0"/>
    <s v="Life expectancy at birth"/>
    <s v="Health"/>
    <s v="SDG 3: Good Health and Well-being"/>
    <n v="76.989999999999995"/>
    <s v="Years"/>
    <s v="Iceland|1982"/>
    <s v="Gapminder/Plotly country-year extract reshaped to long indicator format for education"/>
    <s v="OK"/>
    <s v="1980s"/>
    <s v="High"/>
    <s v="Health"/>
  </r>
  <r>
    <s v="GM-02072"/>
    <s v="Iceland"/>
    <x v="1"/>
    <x v="6"/>
    <x v="1"/>
    <s v="Population, total"/>
    <s v="Demographics"/>
    <s v="SDG 11: Sustainable Cities and Communities"/>
    <n v="233997"/>
    <s v="People"/>
    <s v="Iceland|1982"/>
    <s v="Gapminder/Plotly country-year extract reshaped to long indicator format for education"/>
    <s v="OK"/>
    <s v="1980s"/>
    <s v="N/A"/>
    <s v="Demographics"/>
  </r>
  <r>
    <s v="GM-02073"/>
    <s v="Iceland"/>
    <x v="1"/>
    <x v="6"/>
    <x v="2"/>
    <s v="GDP per capita"/>
    <s v="Economy"/>
    <s v="SDG 8: Decent Work and Economic Growth"/>
    <n v="23269.607499999998"/>
    <s v="Source-defined international dollars"/>
    <s v="Iceland|1982"/>
    <s v="Gapminder/Plotly country-year extract reshaped to long indicator format for education"/>
    <s v="OK"/>
    <s v="1980s"/>
    <s v="N/A"/>
    <s v="Economy"/>
  </r>
  <r>
    <s v="GM-02074"/>
    <s v="Iceland"/>
    <x v="1"/>
    <x v="7"/>
    <x v="0"/>
    <s v="Life expectancy at birth"/>
    <s v="Health"/>
    <s v="SDG 3: Good Health and Well-being"/>
    <n v="77.23"/>
    <s v="Years"/>
    <s v="Iceland|1987"/>
    <s v="Gapminder/Plotly country-year extract reshaped to long indicator format for education"/>
    <s v="OK"/>
    <s v="1980s"/>
    <s v="High"/>
    <s v="Health"/>
  </r>
  <r>
    <s v="GM-02075"/>
    <s v="Iceland"/>
    <x v="1"/>
    <x v="7"/>
    <x v="1"/>
    <s v="Population, total"/>
    <s v="Demographics"/>
    <s v="SDG 11: Sustainable Cities and Communities"/>
    <n v="244676"/>
    <s v="People"/>
    <s v="Iceland|1987"/>
    <s v="Gapminder/Plotly country-year extract reshaped to long indicator format for education"/>
    <s v="OK"/>
    <s v="1980s"/>
    <s v="N/A"/>
    <s v="Demographics"/>
  </r>
  <r>
    <s v="GM-02076"/>
    <s v="Iceland"/>
    <x v="1"/>
    <x v="7"/>
    <x v="2"/>
    <s v="GDP per capita"/>
    <s v="Economy"/>
    <s v="SDG 8: Decent Work and Economic Growth"/>
    <n v="26923.206279999999"/>
    <s v="Source-defined international dollars"/>
    <s v="Iceland|1987"/>
    <s v="Gapminder/Plotly country-year extract reshaped to long indicator format for education"/>
    <s v="OK"/>
    <s v="1980s"/>
    <s v="N/A"/>
    <s v="Economy"/>
  </r>
  <r>
    <s v="GM-02077"/>
    <s v="Iceland"/>
    <x v="1"/>
    <x v="8"/>
    <x v="0"/>
    <s v="Life expectancy at birth"/>
    <s v="Health"/>
    <s v="SDG 3: Good Health and Well-being"/>
    <n v="78.77"/>
    <s v="Years"/>
    <s v="Iceland|1992"/>
    <s v="Gapminder/Plotly country-year extract reshaped to long indicator format for education"/>
    <s v="OK"/>
    <s v="1990s"/>
    <s v="High"/>
    <s v="Health"/>
  </r>
  <r>
    <s v="GM-02078"/>
    <s v="Iceland"/>
    <x v="1"/>
    <x v="8"/>
    <x v="1"/>
    <s v="Population, total"/>
    <s v="Demographics"/>
    <s v="SDG 11: Sustainable Cities and Communities"/>
    <n v="259012"/>
    <s v="People"/>
    <s v="Iceland|1992"/>
    <s v="Gapminder/Plotly country-year extract reshaped to long indicator format for education"/>
    <s v="OK"/>
    <s v="1990s"/>
    <s v="N/A"/>
    <s v="Demographics"/>
  </r>
  <r>
    <s v="GM-02079"/>
    <s v="Iceland"/>
    <x v="1"/>
    <x v="8"/>
    <x v="2"/>
    <s v="GDP per capita"/>
    <s v="Economy"/>
    <s v="SDG 8: Decent Work and Economic Growth"/>
    <n v="25144.39201"/>
    <s v="Source-defined international dollars"/>
    <s v="Iceland|1992"/>
    <s v="Gapminder/Plotly country-year extract reshaped to long indicator format for education"/>
    <s v="OK"/>
    <s v="1990s"/>
    <s v="N/A"/>
    <s v="Economy"/>
  </r>
  <r>
    <s v="GM-02080"/>
    <s v="Iceland"/>
    <x v="1"/>
    <x v="9"/>
    <x v="0"/>
    <s v="Life expectancy at birth"/>
    <s v="Health"/>
    <s v="SDG 3: Good Health and Well-being"/>
    <n v="78.95"/>
    <s v="Years"/>
    <s v="Iceland|1997"/>
    <s v="Gapminder/Plotly country-year extract reshaped to long indicator format for education"/>
    <s v="OK"/>
    <s v="1990s"/>
    <s v="High"/>
    <s v="Health"/>
  </r>
  <r>
    <s v="GM-02081"/>
    <s v="Iceland"/>
    <x v="1"/>
    <x v="9"/>
    <x v="1"/>
    <s v="Population, total"/>
    <s v="Demographics"/>
    <s v="SDG 11: Sustainable Cities and Communities"/>
    <n v="271192"/>
    <s v="People"/>
    <s v="Iceland|1997"/>
    <s v="Gapminder/Plotly country-year extract reshaped to long indicator format for education"/>
    <s v="OK"/>
    <s v="1990s"/>
    <s v="N/A"/>
    <s v="Demographics"/>
  </r>
  <r>
    <s v="GM-02082"/>
    <s v="Iceland"/>
    <x v="1"/>
    <x v="9"/>
    <x v="2"/>
    <s v="GDP per capita"/>
    <s v="Economy"/>
    <s v="SDG 8: Decent Work and Economic Growth"/>
    <n v="28061.09966"/>
    <s v="Source-defined international dollars"/>
    <s v="Iceland|1997"/>
    <s v="Gapminder/Plotly country-year extract reshaped to long indicator format for education"/>
    <s v="OK"/>
    <s v="1990s"/>
    <s v="N/A"/>
    <s v="Economy"/>
  </r>
  <r>
    <s v="GM-02083"/>
    <s v="Iceland"/>
    <x v="1"/>
    <x v="10"/>
    <x v="0"/>
    <s v="Life expectancy at birth"/>
    <s v="Health"/>
    <s v="SDG 3: Good Health and Well-being"/>
    <n v="80.5"/>
    <s v="Years"/>
    <s v="Iceland|2002"/>
    <s v="Gapminder/Plotly country-year extract reshaped to long indicator format for education"/>
    <s v="OK"/>
    <s v="2000s"/>
    <s v="High"/>
    <s v="Health"/>
  </r>
  <r>
    <s v="GM-02084"/>
    <s v="Iceland"/>
    <x v="1"/>
    <x v="10"/>
    <x v="1"/>
    <s v="Population, total"/>
    <s v="Demographics"/>
    <s v="SDG 11: Sustainable Cities and Communities"/>
    <n v="288030"/>
    <s v="People"/>
    <s v="Iceland|2002"/>
    <s v="Gapminder/Plotly country-year extract reshaped to long indicator format for education"/>
    <s v="OK"/>
    <s v="2000s"/>
    <s v="N/A"/>
    <s v="Demographics"/>
  </r>
  <r>
    <s v="GM-02085"/>
    <s v="Iceland"/>
    <x v="1"/>
    <x v="10"/>
    <x v="2"/>
    <s v="GDP per capita"/>
    <s v="Economy"/>
    <s v="SDG 8: Decent Work and Economic Growth"/>
    <n v="31163.201959999999"/>
    <s v="Source-defined international dollars"/>
    <s v="Iceland|2002"/>
    <s v="Gapminder/Plotly country-year extract reshaped to long indicator format for education"/>
    <s v="OK"/>
    <s v="2000s"/>
    <s v="N/A"/>
    <s v="Economy"/>
  </r>
  <r>
    <s v="GM-02086"/>
    <s v="Iceland"/>
    <x v="1"/>
    <x v="11"/>
    <x v="0"/>
    <s v="Life expectancy at birth"/>
    <s v="Health"/>
    <s v="SDG 3: Good Health and Well-being"/>
    <n v="81.757000000000005"/>
    <s v="Years"/>
    <s v="Iceland|2007"/>
    <s v="Gapminder/Plotly country-year extract reshaped to long indicator format for education"/>
    <s v="OK"/>
    <s v="2000s"/>
    <s v="High"/>
    <s v="Health"/>
  </r>
  <r>
    <s v="GM-02087"/>
    <s v="Iceland"/>
    <x v="1"/>
    <x v="11"/>
    <x v="1"/>
    <s v="Population, total"/>
    <s v="Demographics"/>
    <s v="SDG 11: Sustainable Cities and Communities"/>
    <n v="301931"/>
    <s v="People"/>
    <s v="Iceland|2007"/>
    <s v="Gapminder/Plotly country-year extract reshaped to long indicator format for education"/>
    <s v="OK"/>
    <s v="2000s"/>
    <s v="N/A"/>
    <s v="Demographics"/>
  </r>
  <r>
    <s v="GM-02088"/>
    <s v="Iceland"/>
    <x v="1"/>
    <x v="11"/>
    <x v="2"/>
    <s v="GDP per capita"/>
    <s v="Economy"/>
    <s v="SDG 8: Decent Work and Economic Growth"/>
    <n v="36180.789190000003"/>
    <s v="Source-defined international dollars"/>
    <s v="Iceland|2007"/>
    <s v="Gapminder/Plotly country-year extract reshaped to long indicator format for education"/>
    <s v="OK"/>
    <s v="2000s"/>
    <s v="N/A"/>
    <s v="Economy"/>
  </r>
  <r>
    <s v="GM-02089"/>
    <s v="India"/>
    <x v="0"/>
    <x v="0"/>
    <x v="0"/>
    <s v="Life expectancy at birth"/>
    <s v="Health"/>
    <s v="SDG 3: Good Health and Well-being"/>
    <n v="37.372999999999998"/>
    <s v="Years"/>
    <s v="India|1952"/>
    <s v="Gapminder/Plotly country-year extract reshaped to long indicator format for education"/>
    <s v="OK"/>
    <s v="1950s"/>
    <s v="Low"/>
    <s v="Health"/>
  </r>
  <r>
    <s v="GM-02090"/>
    <s v="India"/>
    <x v="0"/>
    <x v="0"/>
    <x v="1"/>
    <s v="Population, total"/>
    <s v="Demographics"/>
    <s v="SDG 11: Sustainable Cities and Communities"/>
    <n v="372000000"/>
    <s v="People"/>
    <s v="India|1952"/>
    <s v="Gapminder/Plotly country-year extract reshaped to long indicator format for education"/>
    <s v="OK"/>
    <s v="1950s"/>
    <s v="N/A"/>
    <s v="Demographics"/>
  </r>
  <r>
    <s v="GM-02091"/>
    <s v="India"/>
    <x v="0"/>
    <x v="0"/>
    <x v="2"/>
    <s v="GDP per capita"/>
    <s v="Economy"/>
    <s v="SDG 8: Decent Work and Economic Growth"/>
    <n v="546.56574929999999"/>
    <s v="Source-defined international dollars"/>
    <s v="India|1952"/>
    <s v="Gapminder/Plotly country-year extract reshaped to long indicator format for education"/>
    <s v="OK"/>
    <s v="1950s"/>
    <s v="N/A"/>
    <s v="Economy"/>
  </r>
  <r>
    <s v="GM-02092"/>
    <s v="India"/>
    <x v="0"/>
    <x v="1"/>
    <x v="0"/>
    <s v="Life expectancy at birth"/>
    <s v="Health"/>
    <s v="SDG 3: Good Health and Well-being"/>
    <n v="40.249000000000002"/>
    <s v="Years"/>
    <s v="India|1957"/>
    <s v="Gapminder/Plotly country-year extract reshaped to long indicator format for education"/>
    <s v="OK"/>
    <s v="1950s"/>
    <s v="Low"/>
    <s v="Health"/>
  </r>
  <r>
    <s v="GM-02093"/>
    <s v="India"/>
    <x v="0"/>
    <x v="1"/>
    <x v="1"/>
    <s v="Population, total"/>
    <s v="Demographics"/>
    <s v="SDG 11: Sustainable Cities and Communities"/>
    <n v="409000000"/>
    <s v="People"/>
    <s v="India|1957"/>
    <s v="Gapminder/Plotly country-year extract reshaped to long indicator format for education"/>
    <s v="OK"/>
    <s v="1950s"/>
    <s v="N/A"/>
    <s v="Demographics"/>
  </r>
  <r>
    <s v="GM-02094"/>
    <s v="India"/>
    <x v="0"/>
    <x v="1"/>
    <x v="2"/>
    <s v="GDP per capita"/>
    <s v="Economy"/>
    <s v="SDG 8: Decent Work and Economic Growth"/>
    <n v="590.06199600000002"/>
    <s v="Source-defined international dollars"/>
    <s v="India|1957"/>
    <s v="Gapminder/Plotly country-year extract reshaped to long indicator format for education"/>
    <s v="OK"/>
    <s v="1950s"/>
    <s v="N/A"/>
    <s v="Economy"/>
  </r>
  <r>
    <s v="GM-02095"/>
    <s v="India"/>
    <x v="0"/>
    <x v="2"/>
    <x v="0"/>
    <s v="Life expectancy at birth"/>
    <s v="Health"/>
    <s v="SDG 3: Good Health and Well-being"/>
    <n v="43.604999999999997"/>
    <s v="Years"/>
    <s v="India|1962"/>
    <s v="Gapminder/Plotly country-year extract reshaped to long indicator format for education"/>
    <s v="OK"/>
    <s v="1960s"/>
    <s v="Low"/>
    <s v="Health"/>
  </r>
  <r>
    <s v="GM-02096"/>
    <s v="India"/>
    <x v="0"/>
    <x v="2"/>
    <x v="1"/>
    <s v="Population, total"/>
    <s v="Demographics"/>
    <s v="SDG 11: Sustainable Cities and Communities"/>
    <n v="454000000"/>
    <s v="People"/>
    <s v="India|1962"/>
    <s v="Gapminder/Plotly country-year extract reshaped to long indicator format for education"/>
    <s v="OK"/>
    <s v="1960s"/>
    <s v="N/A"/>
    <s v="Demographics"/>
  </r>
  <r>
    <s v="GM-02097"/>
    <s v="India"/>
    <x v="0"/>
    <x v="2"/>
    <x v="2"/>
    <s v="GDP per capita"/>
    <s v="Economy"/>
    <s v="SDG 8: Decent Work and Economic Growth"/>
    <n v="658.34715089999997"/>
    <s v="Source-defined international dollars"/>
    <s v="India|1962"/>
    <s v="Gapminder/Plotly country-year extract reshaped to long indicator format for education"/>
    <s v="OK"/>
    <s v="1960s"/>
    <s v="N/A"/>
    <s v="Economy"/>
  </r>
  <r>
    <s v="GM-02098"/>
    <s v="India"/>
    <x v="0"/>
    <x v="3"/>
    <x v="0"/>
    <s v="Life expectancy at birth"/>
    <s v="Health"/>
    <s v="SDG 3: Good Health and Well-being"/>
    <n v="47.192999999999998"/>
    <s v="Years"/>
    <s v="India|1967"/>
    <s v="Gapminder/Plotly country-year extract reshaped to long indicator format for education"/>
    <s v="OK"/>
    <s v="1960s"/>
    <s v="Low"/>
    <s v="Health"/>
  </r>
  <r>
    <s v="GM-02099"/>
    <s v="India"/>
    <x v="0"/>
    <x v="3"/>
    <x v="1"/>
    <s v="Population, total"/>
    <s v="Demographics"/>
    <s v="SDG 11: Sustainable Cities and Communities"/>
    <n v="506000000"/>
    <s v="People"/>
    <s v="India|1967"/>
    <s v="Gapminder/Plotly country-year extract reshaped to long indicator format for education"/>
    <s v="OK"/>
    <s v="1960s"/>
    <s v="N/A"/>
    <s v="Demographics"/>
  </r>
  <r>
    <s v="GM-02100"/>
    <s v="India"/>
    <x v="0"/>
    <x v="3"/>
    <x v="2"/>
    <s v="GDP per capita"/>
    <s v="Economy"/>
    <s v="SDG 8: Decent Work and Economic Growth"/>
    <n v="700.77061070000002"/>
    <s v="Source-defined international dollars"/>
    <s v="India|1967"/>
    <s v="Gapminder/Plotly country-year extract reshaped to long indicator format for education"/>
    <s v="OK"/>
    <s v="1960s"/>
    <s v="N/A"/>
    <s v="Economy"/>
  </r>
  <r>
    <s v="GM-02101"/>
    <s v="India"/>
    <x v="0"/>
    <x v="4"/>
    <x v="0"/>
    <s v="Life expectancy at birth"/>
    <s v="Health"/>
    <s v="SDG 3: Good Health and Well-being"/>
    <n v="50.651000000000003"/>
    <s v="Years"/>
    <s v="India|1972"/>
    <s v="Gapminder/Plotly country-year extract reshaped to long indicator format for education"/>
    <s v="OK"/>
    <s v="1970s"/>
    <s v="Low"/>
    <s v="Health"/>
  </r>
  <r>
    <s v="GM-02102"/>
    <s v="India"/>
    <x v="0"/>
    <x v="4"/>
    <x v="1"/>
    <s v="Population, total"/>
    <s v="Demographics"/>
    <s v="SDG 11: Sustainable Cities and Communities"/>
    <n v="567000000"/>
    <s v="People"/>
    <s v="India|1972"/>
    <s v="Gapminder/Plotly country-year extract reshaped to long indicator format for education"/>
    <s v="OK"/>
    <s v="1970s"/>
    <s v="N/A"/>
    <s v="Demographics"/>
  </r>
  <r>
    <s v="GM-02103"/>
    <s v="India"/>
    <x v="0"/>
    <x v="4"/>
    <x v="2"/>
    <s v="GDP per capita"/>
    <s v="Economy"/>
    <s v="SDG 8: Decent Work and Economic Growth"/>
    <n v="724.03252699999996"/>
    <s v="Source-defined international dollars"/>
    <s v="India|1972"/>
    <s v="Gapminder/Plotly country-year extract reshaped to long indicator format for education"/>
    <s v="OK"/>
    <s v="1970s"/>
    <s v="N/A"/>
    <s v="Economy"/>
  </r>
  <r>
    <s v="GM-02104"/>
    <s v="India"/>
    <x v="0"/>
    <x v="5"/>
    <x v="0"/>
    <s v="Life expectancy at birth"/>
    <s v="Health"/>
    <s v="SDG 3: Good Health and Well-being"/>
    <n v="54.207999999999998"/>
    <s v="Years"/>
    <s v="India|1977"/>
    <s v="Gapminder/Plotly country-year extract reshaped to long indicator format for education"/>
    <s v="OK"/>
    <s v="1970s"/>
    <s v="Low"/>
    <s v="Health"/>
  </r>
  <r>
    <s v="GM-02105"/>
    <s v="India"/>
    <x v="0"/>
    <x v="5"/>
    <x v="1"/>
    <s v="Population, total"/>
    <s v="Demographics"/>
    <s v="SDG 11: Sustainable Cities and Communities"/>
    <n v="634000000"/>
    <s v="People"/>
    <s v="India|1977"/>
    <s v="Gapminder/Plotly country-year extract reshaped to long indicator format for education"/>
    <s v="OK"/>
    <s v="1970s"/>
    <s v="N/A"/>
    <s v="Demographics"/>
  </r>
  <r>
    <s v="GM-02106"/>
    <s v="India"/>
    <x v="0"/>
    <x v="5"/>
    <x v="2"/>
    <s v="GDP per capita"/>
    <s v="Economy"/>
    <s v="SDG 8: Decent Work and Economic Growth"/>
    <n v="813.33732299999997"/>
    <s v="Source-defined international dollars"/>
    <s v="India|1977"/>
    <s v="Gapminder/Plotly country-year extract reshaped to long indicator format for education"/>
    <s v="OK"/>
    <s v="1970s"/>
    <s v="N/A"/>
    <s v="Economy"/>
  </r>
  <r>
    <s v="GM-02107"/>
    <s v="India"/>
    <x v="0"/>
    <x v="6"/>
    <x v="0"/>
    <s v="Life expectancy at birth"/>
    <s v="Health"/>
    <s v="SDG 3: Good Health and Well-being"/>
    <n v="56.595999999999997"/>
    <s v="Years"/>
    <s v="India|1982"/>
    <s v="Gapminder/Plotly country-year extract reshaped to long indicator format for education"/>
    <s v="OK"/>
    <s v="1980s"/>
    <s v="Medium"/>
    <s v="Health"/>
  </r>
  <r>
    <s v="GM-02108"/>
    <s v="India"/>
    <x v="0"/>
    <x v="6"/>
    <x v="1"/>
    <s v="Population, total"/>
    <s v="Demographics"/>
    <s v="SDG 11: Sustainable Cities and Communities"/>
    <n v="708000000"/>
    <s v="People"/>
    <s v="India|1982"/>
    <s v="Gapminder/Plotly country-year extract reshaped to long indicator format for education"/>
    <s v="OK"/>
    <s v="1980s"/>
    <s v="N/A"/>
    <s v="Demographics"/>
  </r>
  <r>
    <s v="GM-02109"/>
    <s v="India"/>
    <x v="0"/>
    <x v="6"/>
    <x v="2"/>
    <s v="GDP per capita"/>
    <s v="Economy"/>
    <s v="SDG 8: Decent Work and Economic Growth"/>
    <n v="855.72353769999995"/>
    <s v="Source-defined international dollars"/>
    <s v="India|1982"/>
    <s v="Gapminder/Plotly country-year extract reshaped to long indicator format for education"/>
    <s v="OK"/>
    <s v="1980s"/>
    <s v="N/A"/>
    <s v="Economy"/>
  </r>
  <r>
    <s v="GM-02110"/>
    <s v="India"/>
    <x v="0"/>
    <x v="7"/>
    <x v="0"/>
    <s v="Life expectancy at birth"/>
    <s v="Health"/>
    <s v="SDG 3: Good Health and Well-being"/>
    <n v="58.552999999999997"/>
    <s v="Years"/>
    <s v="India|1987"/>
    <s v="Gapminder/Plotly country-year extract reshaped to long indicator format for education"/>
    <s v="OK"/>
    <s v="1980s"/>
    <s v="Medium"/>
    <s v="Health"/>
  </r>
  <r>
    <s v="GM-02111"/>
    <s v="India"/>
    <x v="0"/>
    <x v="7"/>
    <x v="1"/>
    <s v="Population, total"/>
    <s v="Demographics"/>
    <s v="SDG 11: Sustainable Cities and Communities"/>
    <n v="788000000"/>
    <s v="People"/>
    <s v="India|1987"/>
    <s v="Gapminder/Plotly country-year extract reshaped to long indicator format for education"/>
    <s v="OK"/>
    <s v="1980s"/>
    <s v="N/A"/>
    <s v="Demographics"/>
  </r>
  <r>
    <s v="GM-02112"/>
    <s v="India"/>
    <x v="0"/>
    <x v="7"/>
    <x v="2"/>
    <s v="GDP per capita"/>
    <s v="Economy"/>
    <s v="SDG 8: Decent Work and Economic Growth"/>
    <n v="976.51267559999997"/>
    <s v="Source-defined international dollars"/>
    <s v="India|1987"/>
    <s v="Gapminder/Plotly country-year extract reshaped to long indicator format for education"/>
    <s v="OK"/>
    <s v="1980s"/>
    <s v="N/A"/>
    <s v="Economy"/>
  </r>
  <r>
    <s v="GM-02113"/>
    <s v="India"/>
    <x v="0"/>
    <x v="8"/>
    <x v="0"/>
    <s v="Life expectancy at birth"/>
    <s v="Health"/>
    <s v="SDG 3: Good Health and Well-being"/>
    <n v="60.222999999999999"/>
    <s v="Years"/>
    <s v="India|1992"/>
    <s v="Gapminder/Plotly country-year extract reshaped to long indicator format for education"/>
    <s v="OK"/>
    <s v="1990s"/>
    <s v="Medium"/>
    <s v="Health"/>
  </r>
  <r>
    <s v="GM-02114"/>
    <s v="India"/>
    <x v="0"/>
    <x v="8"/>
    <x v="1"/>
    <s v="Population, total"/>
    <s v="Demographics"/>
    <s v="SDG 11: Sustainable Cities and Communities"/>
    <n v="872000000"/>
    <s v="People"/>
    <s v="India|1992"/>
    <s v="Gapminder/Plotly country-year extract reshaped to long indicator format for education"/>
    <s v="OK"/>
    <s v="1990s"/>
    <s v="N/A"/>
    <s v="Demographics"/>
  </r>
  <r>
    <s v="GM-02115"/>
    <s v="India"/>
    <x v="0"/>
    <x v="8"/>
    <x v="2"/>
    <s v="GDP per capita"/>
    <s v="Economy"/>
    <s v="SDG 8: Decent Work and Economic Growth"/>
    <n v="1164.4068090000001"/>
    <s v="Source-defined international dollars"/>
    <s v="India|1992"/>
    <s v="Gapminder/Plotly country-year extract reshaped to long indicator format for education"/>
    <s v="OK"/>
    <s v="1990s"/>
    <s v="N/A"/>
    <s v="Economy"/>
  </r>
  <r>
    <s v="GM-02116"/>
    <s v="India"/>
    <x v="0"/>
    <x v="9"/>
    <x v="0"/>
    <s v="Life expectancy at birth"/>
    <s v="Health"/>
    <s v="SDG 3: Good Health and Well-being"/>
    <n v="61.765000000000001"/>
    <s v="Years"/>
    <s v="India|1997"/>
    <s v="Gapminder/Plotly country-year extract reshaped to long indicator format for education"/>
    <s v="OK"/>
    <s v="1990s"/>
    <s v="Medium"/>
    <s v="Health"/>
  </r>
  <r>
    <s v="GM-02117"/>
    <s v="India"/>
    <x v="0"/>
    <x v="9"/>
    <x v="1"/>
    <s v="Population, total"/>
    <s v="Demographics"/>
    <s v="SDG 11: Sustainable Cities and Communities"/>
    <n v="959000000"/>
    <s v="People"/>
    <s v="India|1997"/>
    <s v="Gapminder/Plotly country-year extract reshaped to long indicator format for education"/>
    <s v="OK"/>
    <s v="1990s"/>
    <s v="N/A"/>
    <s v="Demographics"/>
  </r>
  <r>
    <s v="GM-02118"/>
    <s v="India"/>
    <x v="0"/>
    <x v="9"/>
    <x v="2"/>
    <s v="GDP per capita"/>
    <s v="Economy"/>
    <s v="SDG 8: Decent Work and Economic Growth"/>
    <n v="1458.817442"/>
    <s v="Source-defined international dollars"/>
    <s v="India|1997"/>
    <s v="Gapminder/Plotly country-year extract reshaped to long indicator format for education"/>
    <s v="OK"/>
    <s v="1990s"/>
    <s v="N/A"/>
    <s v="Economy"/>
  </r>
  <r>
    <s v="GM-02119"/>
    <s v="India"/>
    <x v="0"/>
    <x v="10"/>
    <x v="0"/>
    <s v="Life expectancy at birth"/>
    <s v="Health"/>
    <s v="SDG 3: Good Health and Well-being"/>
    <n v="62.878999999999998"/>
    <s v="Years"/>
    <s v="India|2002"/>
    <s v="Gapminder/Plotly country-year extract reshaped to long indicator format for education"/>
    <s v="OK"/>
    <s v="2000s"/>
    <s v="Medium"/>
    <s v="Health"/>
  </r>
  <r>
    <s v="GM-02120"/>
    <s v="India"/>
    <x v="0"/>
    <x v="10"/>
    <x v="1"/>
    <s v="Population, total"/>
    <s v="Demographics"/>
    <s v="SDG 11: Sustainable Cities and Communities"/>
    <n v="1034172547"/>
    <s v="People"/>
    <s v="India|2002"/>
    <s v="Gapminder/Plotly country-year extract reshaped to long indicator format for education"/>
    <s v="OK"/>
    <s v="2000s"/>
    <s v="N/A"/>
    <s v="Demographics"/>
  </r>
  <r>
    <s v="GM-02121"/>
    <s v="India"/>
    <x v="0"/>
    <x v="10"/>
    <x v="2"/>
    <s v="GDP per capita"/>
    <s v="Economy"/>
    <s v="SDG 8: Decent Work and Economic Growth"/>
    <n v="1746.769454"/>
    <s v="Source-defined international dollars"/>
    <s v="India|2002"/>
    <s v="Gapminder/Plotly country-year extract reshaped to long indicator format for education"/>
    <s v="OK"/>
    <s v="2000s"/>
    <s v="N/A"/>
    <s v="Economy"/>
  </r>
  <r>
    <s v="GM-02122"/>
    <s v="India"/>
    <x v="0"/>
    <x v="11"/>
    <x v="0"/>
    <s v="Life expectancy at birth"/>
    <s v="Health"/>
    <s v="SDG 3: Good Health and Well-being"/>
    <n v="64.697999999999993"/>
    <s v="Years"/>
    <s v="India|2007"/>
    <s v="Gapminder/Plotly country-year extract reshaped to long indicator format for education"/>
    <s v="OK"/>
    <s v="2000s"/>
    <s v="Medium"/>
    <s v="Health"/>
  </r>
  <r>
    <s v="GM-02123"/>
    <s v="India"/>
    <x v="0"/>
    <x v="11"/>
    <x v="1"/>
    <s v="Population, total"/>
    <s v="Demographics"/>
    <s v="SDG 11: Sustainable Cities and Communities"/>
    <n v="1110396331"/>
    <s v="People"/>
    <s v="India|2007"/>
    <s v="Gapminder/Plotly country-year extract reshaped to long indicator format for education"/>
    <s v="OK"/>
    <s v="2000s"/>
    <s v="N/A"/>
    <s v="Demographics"/>
  </r>
  <r>
    <s v="GM-02124"/>
    <s v="India"/>
    <x v="0"/>
    <x v="11"/>
    <x v="2"/>
    <s v="GDP per capita"/>
    <s v="Economy"/>
    <s v="SDG 8: Decent Work and Economic Growth"/>
    <n v="2452.210407"/>
    <s v="Source-defined international dollars"/>
    <s v="India|2007"/>
    <s v="Gapminder/Plotly country-year extract reshaped to long indicator format for education"/>
    <s v="OK"/>
    <s v="2000s"/>
    <s v="N/A"/>
    <s v="Economy"/>
  </r>
  <r>
    <s v="GM-02125"/>
    <s v="Indonesia"/>
    <x v="0"/>
    <x v="0"/>
    <x v="0"/>
    <s v="Life expectancy at birth"/>
    <s v="Health"/>
    <s v="SDG 3: Good Health and Well-being"/>
    <n v="37.468000000000004"/>
    <s v="Years"/>
    <s v="Indonesia|1952"/>
    <s v="Gapminder/Plotly country-year extract reshaped to long indicator format for education"/>
    <s v="OK"/>
    <s v="1950s"/>
    <s v="Low"/>
    <s v="Health"/>
  </r>
  <r>
    <s v="GM-02126"/>
    <s v="Indonesia"/>
    <x v="0"/>
    <x v="0"/>
    <x v="1"/>
    <s v="Population, total"/>
    <s v="Demographics"/>
    <s v="SDG 11: Sustainable Cities and Communities"/>
    <n v="82052000"/>
    <s v="People"/>
    <s v="Indonesia|1952"/>
    <s v="Gapminder/Plotly country-year extract reshaped to long indicator format for education"/>
    <s v="OK"/>
    <s v="1950s"/>
    <s v="N/A"/>
    <s v="Demographics"/>
  </r>
  <r>
    <s v="GM-02127"/>
    <s v="Indonesia"/>
    <x v="0"/>
    <x v="0"/>
    <x v="2"/>
    <s v="GDP per capita"/>
    <s v="Economy"/>
    <s v="SDG 8: Decent Work and Economic Growth"/>
    <n v="749.6816546"/>
    <s v="Source-defined international dollars"/>
    <s v="Indonesia|1952"/>
    <s v="Gapminder/Plotly country-year extract reshaped to long indicator format for education"/>
    <s v="OK"/>
    <s v="1950s"/>
    <s v="N/A"/>
    <s v="Economy"/>
  </r>
  <r>
    <s v="GM-02128"/>
    <s v="Indonesia"/>
    <x v="0"/>
    <x v="1"/>
    <x v="0"/>
    <s v="Life expectancy at birth"/>
    <s v="Health"/>
    <s v="SDG 3: Good Health and Well-being"/>
    <n v="39.917999999999999"/>
    <s v="Years"/>
    <s v="Indonesia|1957"/>
    <s v="Gapminder/Plotly country-year extract reshaped to long indicator format for education"/>
    <s v="OK"/>
    <s v="1950s"/>
    <s v="Low"/>
    <s v="Health"/>
  </r>
  <r>
    <s v="GM-02129"/>
    <s v="Indonesia"/>
    <x v="0"/>
    <x v="1"/>
    <x v="1"/>
    <s v="Population, total"/>
    <s v="Demographics"/>
    <s v="SDG 11: Sustainable Cities and Communities"/>
    <n v="90124000"/>
    <s v="People"/>
    <s v="Indonesia|1957"/>
    <s v="Gapminder/Plotly country-year extract reshaped to long indicator format for education"/>
    <s v="OK"/>
    <s v="1950s"/>
    <s v="N/A"/>
    <s v="Demographics"/>
  </r>
  <r>
    <s v="GM-02130"/>
    <s v="Indonesia"/>
    <x v="0"/>
    <x v="1"/>
    <x v="2"/>
    <s v="GDP per capita"/>
    <s v="Economy"/>
    <s v="SDG 8: Decent Work and Economic Growth"/>
    <n v="858.90027069999996"/>
    <s v="Source-defined international dollars"/>
    <s v="Indonesia|1957"/>
    <s v="Gapminder/Plotly country-year extract reshaped to long indicator format for education"/>
    <s v="OK"/>
    <s v="1950s"/>
    <s v="N/A"/>
    <s v="Economy"/>
  </r>
  <r>
    <s v="GM-02131"/>
    <s v="Indonesia"/>
    <x v="0"/>
    <x v="2"/>
    <x v="0"/>
    <s v="Life expectancy at birth"/>
    <s v="Health"/>
    <s v="SDG 3: Good Health and Well-being"/>
    <n v="42.518000000000001"/>
    <s v="Years"/>
    <s v="Indonesia|1962"/>
    <s v="Gapminder/Plotly country-year extract reshaped to long indicator format for education"/>
    <s v="OK"/>
    <s v="1960s"/>
    <s v="Low"/>
    <s v="Health"/>
  </r>
  <r>
    <s v="GM-02132"/>
    <s v="Indonesia"/>
    <x v="0"/>
    <x v="2"/>
    <x v="1"/>
    <s v="Population, total"/>
    <s v="Demographics"/>
    <s v="SDG 11: Sustainable Cities and Communities"/>
    <n v="99028000"/>
    <s v="People"/>
    <s v="Indonesia|1962"/>
    <s v="Gapminder/Plotly country-year extract reshaped to long indicator format for education"/>
    <s v="OK"/>
    <s v="1960s"/>
    <s v="N/A"/>
    <s v="Demographics"/>
  </r>
  <r>
    <s v="GM-02133"/>
    <s v="Indonesia"/>
    <x v="0"/>
    <x v="2"/>
    <x v="2"/>
    <s v="GDP per capita"/>
    <s v="Economy"/>
    <s v="SDG 8: Decent Work and Economic Growth"/>
    <n v="849.28977009999903"/>
    <s v="Source-defined international dollars"/>
    <s v="Indonesia|1962"/>
    <s v="Gapminder/Plotly country-year extract reshaped to long indicator format for education"/>
    <s v="OK"/>
    <s v="1960s"/>
    <s v="N/A"/>
    <s v="Economy"/>
  </r>
  <r>
    <s v="GM-02134"/>
    <s v="Indonesia"/>
    <x v="0"/>
    <x v="3"/>
    <x v="0"/>
    <s v="Life expectancy at birth"/>
    <s v="Health"/>
    <s v="SDG 3: Good Health and Well-being"/>
    <n v="45.963999999999999"/>
    <s v="Years"/>
    <s v="Indonesia|1967"/>
    <s v="Gapminder/Plotly country-year extract reshaped to long indicator format for education"/>
    <s v="OK"/>
    <s v="1960s"/>
    <s v="Low"/>
    <s v="Health"/>
  </r>
  <r>
    <s v="GM-02135"/>
    <s v="Indonesia"/>
    <x v="0"/>
    <x v="3"/>
    <x v="1"/>
    <s v="Population, total"/>
    <s v="Demographics"/>
    <s v="SDG 11: Sustainable Cities and Communities"/>
    <n v="109343000"/>
    <s v="People"/>
    <s v="Indonesia|1967"/>
    <s v="Gapminder/Plotly country-year extract reshaped to long indicator format for education"/>
    <s v="OK"/>
    <s v="1960s"/>
    <s v="N/A"/>
    <s v="Demographics"/>
  </r>
  <r>
    <s v="GM-02136"/>
    <s v="Indonesia"/>
    <x v="0"/>
    <x v="3"/>
    <x v="2"/>
    <s v="GDP per capita"/>
    <s v="Economy"/>
    <s v="SDG 8: Decent Work and Economic Growth"/>
    <n v="762.43177209999999"/>
    <s v="Source-defined international dollars"/>
    <s v="Indonesia|1967"/>
    <s v="Gapminder/Plotly country-year extract reshaped to long indicator format for education"/>
    <s v="OK"/>
    <s v="1960s"/>
    <s v="N/A"/>
    <s v="Economy"/>
  </r>
  <r>
    <s v="GM-02137"/>
    <s v="Indonesia"/>
    <x v="0"/>
    <x v="4"/>
    <x v="0"/>
    <s v="Life expectancy at birth"/>
    <s v="Health"/>
    <s v="SDG 3: Good Health and Well-being"/>
    <n v="49.203000000000003"/>
    <s v="Years"/>
    <s v="Indonesia|1972"/>
    <s v="Gapminder/Plotly country-year extract reshaped to long indicator format for education"/>
    <s v="OK"/>
    <s v="1970s"/>
    <s v="Low"/>
    <s v="Health"/>
  </r>
  <r>
    <s v="GM-02138"/>
    <s v="Indonesia"/>
    <x v="0"/>
    <x v="4"/>
    <x v="1"/>
    <s v="Population, total"/>
    <s v="Demographics"/>
    <s v="SDG 11: Sustainable Cities and Communities"/>
    <n v="121282000"/>
    <s v="People"/>
    <s v="Indonesia|1972"/>
    <s v="Gapminder/Plotly country-year extract reshaped to long indicator format for education"/>
    <s v="OK"/>
    <s v="1970s"/>
    <s v="N/A"/>
    <s v="Demographics"/>
  </r>
  <r>
    <s v="GM-02139"/>
    <s v="Indonesia"/>
    <x v="0"/>
    <x v="4"/>
    <x v="2"/>
    <s v="GDP per capita"/>
    <s v="Economy"/>
    <s v="SDG 8: Decent Work and Economic Growth"/>
    <n v="1111.1079070000001"/>
    <s v="Source-defined international dollars"/>
    <s v="Indonesia|1972"/>
    <s v="Gapminder/Plotly country-year extract reshaped to long indicator format for education"/>
    <s v="OK"/>
    <s v="1970s"/>
    <s v="N/A"/>
    <s v="Economy"/>
  </r>
  <r>
    <s v="GM-02140"/>
    <s v="Indonesia"/>
    <x v="0"/>
    <x v="5"/>
    <x v="0"/>
    <s v="Life expectancy at birth"/>
    <s v="Health"/>
    <s v="SDG 3: Good Health and Well-being"/>
    <n v="52.701999999999998"/>
    <s v="Years"/>
    <s v="Indonesia|1977"/>
    <s v="Gapminder/Plotly country-year extract reshaped to long indicator format for education"/>
    <s v="OK"/>
    <s v="1970s"/>
    <s v="Low"/>
    <s v="Health"/>
  </r>
  <r>
    <s v="GM-02141"/>
    <s v="Indonesia"/>
    <x v="0"/>
    <x v="5"/>
    <x v="1"/>
    <s v="Population, total"/>
    <s v="Demographics"/>
    <s v="SDG 11: Sustainable Cities and Communities"/>
    <n v="136725000"/>
    <s v="People"/>
    <s v="Indonesia|1977"/>
    <s v="Gapminder/Plotly country-year extract reshaped to long indicator format for education"/>
    <s v="OK"/>
    <s v="1970s"/>
    <s v="N/A"/>
    <s v="Demographics"/>
  </r>
  <r>
    <s v="GM-02142"/>
    <s v="Indonesia"/>
    <x v="0"/>
    <x v="5"/>
    <x v="2"/>
    <s v="GDP per capita"/>
    <s v="Economy"/>
    <s v="SDG 8: Decent Work and Economic Growth"/>
    <n v="1382.7020560000001"/>
    <s v="Source-defined international dollars"/>
    <s v="Indonesia|1977"/>
    <s v="Gapminder/Plotly country-year extract reshaped to long indicator format for education"/>
    <s v="OK"/>
    <s v="1970s"/>
    <s v="N/A"/>
    <s v="Economy"/>
  </r>
  <r>
    <s v="GM-02143"/>
    <s v="Indonesia"/>
    <x v="0"/>
    <x v="6"/>
    <x v="0"/>
    <s v="Life expectancy at birth"/>
    <s v="Health"/>
    <s v="SDG 3: Good Health and Well-being"/>
    <n v="56.158999999999999"/>
    <s v="Years"/>
    <s v="Indonesia|1982"/>
    <s v="Gapminder/Plotly country-year extract reshaped to long indicator format for education"/>
    <s v="OK"/>
    <s v="1980s"/>
    <s v="Medium"/>
    <s v="Health"/>
  </r>
  <r>
    <s v="GM-02144"/>
    <s v="Indonesia"/>
    <x v="0"/>
    <x v="6"/>
    <x v="1"/>
    <s v="Population, total"/>
    <s v="Demographics"/>
    <s v="SDG 11: Sustainable Cities and Communities"/>
    <n v="153343000"/>
    <s v="People"/>
    <s v="Indonesia|1982"/>
    <s v="Gapminder/Plotly country-year extract reshaped to long indicator format for education"/>
    <s v="OK"/>
    <s v="1980s"/>
    <s v="N/A"/>
    <s v="Demographics"/>
  </r>
  <r>
    <s v="GM-02145"/>
    <s v="Indonesia"/>
    <x v="0"/>
    <x v="6"/>
    <x v="2"/>
    <s v="GDP per capita"/>
    <s v="Economy"/>
    <s v="SDG 8: Decent Work and Economic Growth"/>
    <n v="1516.8729880000001"/>
    <s v="Source-defined international dollars"/>
    <s v="Indonesia|1982"/>
    <s v="Gapminder/Plotly country-year extract reshaped to long indicator format for education"/>
    <s v="OK"/>
    <s v="1980s"/>
    <s v="N/A"/>
    <s v="Economy"/>
  </r>
  <r>
    <s v="GM-02146"/>
    <s v="Indonesia"/>
    <x v="0"/>
    <x v="7"/>
    <x v="0"/>
    <s v="Life expectancy at birth"/>
    <s v="Health"/>
    <s v="SDG 3: Good Health and Well-being"/>
    <n v="60.137"/>
    <s v="Years"/>
    <s v="Indonesia|1987"/>
    <s v="Gapminder/Plotly country-year extract reshaped to long indicator format for education"/>
    <s v="OK"/>
    <s v="1980s"/>
    <s v="Medium"/>
    <s v="Health"/>
  </r>
  <r>
    <s v="GM-02147"/>
    <s v="Indonesia"/>
    <x v="0"/>
    <x v="7"/>
    <x v="1"/>
    <s v="Population, total"/>
    <s v="Demographics"/>
    <s v="SDG 11: Sustainable Cities and Communities"/>
    <n v="169276000"/>
    <s v="People"/>
    <s v="Indonesia|1987"/>
    <s v="Gapminder/Plotly country-year extract reshaped to long indicator format for education"/>
    <s v="OK"/>
    <s v="1980s"/>
    <s v="N/A"/>
    <s v="Demographics"/>
  </r>
  <r>
    <s v="GM-02148"/>
    <s v="Indonesia"/>
    <x v="0"/>
    <x v="7"/>
    <x v="2"/>
    <s v="GDP per capita"/>
    <s v="Economy"/>
    <s v="SDG 8: Decent Work and Economic Growth"/>
    <n v="1748.356961"/>
    <s v="Source-defined international dollars"/>
    <s v="Indonesia|1987"/>
    <s v="Gapminder/Plotly country-year extract reshaped to long indicator format for education"/>
    <s v="OK"/>
    <s v="1980s"/>
    <s v="N/A"/>
    <s v="Economy"/>
  </r>
  <r>
    <s v="GM-02149"/>
    <s v="Indonesia"/>
    <x v="0"/>
    <x v="8"/>
    <x v="0"/>
    <s v="Life expectancy at birth"/>
    <s v="Health"/>
    <s v="SDG 3: Good Health and Well-being"/>
    <n v="62.680999999999997"/>
    <s v="Years"/>
    <s v="Indonesia|1992"/>
    <s v="Gapminder/Plotly country-year extract reshaped to long indicator format for education"/>
    <s v="OK"/>
    <s v="1990s"/>
    <s v="Medium"/>
    <s v="Health"/>
  </r>
  <r>
    <s v="GM-02150"/>
    <s v="Indonesia"/>
    <x v="0"/>
    <x v="8"/>
    <x v="1"/>
    <s v="Population, total"/>
    <s v="Demographics"/>
    <s v="SDG 11: Sustainable Cities and Communities"/>
    <n v="184816000"/>
    <s v="People"/>
    <s v="Indonesia|1992"/>
    <s v="Gapminder/Plotly country-year extract reshaped to long indicator format for education"/>
    <s v="OK"/>
    <s v="1990s"/>
    <s v="N/A"/>
    <s v="Demographics"/>
  </r>
  <r>
    <s v="GM-02151"/>
    <s v="Indonesia"/>
    <x v="0"/>
    <x v="8"/>
    <x v="2"/>
    <s v="GDP per capita"/>
    <s v="Economy"/>
    <s v="SDG 8: Decent Work and Economic Growth"/>
    <n v="2383.1408980000001"/>
    <s v="Source-defined international dollars"/>
    <s v="Indonesia|1992"/>
    <s v="Gapminder/Plotly country-year extract reshaped to long indicator format for education"/>
    <s v="OK"/>
    <s v="1990s"/>
    <s v="N/A"/>
    <s v="Economy"/>
  </r>
  <r>
    <s v="GM-02152"/>
    <s v="Indonesia"/>
    <x v="0"/>
    <x v="9"/>
    <x v="0"/>
    <s v="Life expectancy at birth"/>
    <s v="Health"/>
    <s v="SDG 3: Good Health and Well-being"/>
    <n v="66.040999999999997"/>
    <s v="Years"/>
    <s v="Indonesia|1997"/>
    <s v="Gapminder/Plotly country-year extract reshaped to long indicator format for education"/>
    <s v="OK"/>
    <s v="1990s"/>
    <s v="Medium"/>
    <s v="Health"/>
  </r>
  <r>
    <s v="GM-02153"/>
    <s v="Indonesia"/>
    <x v="0"/>
    <x v="9"/>
    <x v="1"/>
    <s v="Population, total"/>
    <s v="Demographics"/>
    <s v="SDG 11: Sustainable Cities and Communities"/>
    <n v="199278000"/>
    <s v="People"/>
    <s v="Indonesia|1997"/>
    <s v="Gapminder/Plotly country-year extract reshaped to long indicator format for education"/>
    <s v="OK"/>
    <s v="1990s"/>
    <s v="N/A"/>
    <s v="Demographics"/>
  </r>
  <r>
    <s v="GM-02154"/>
    <s v="Indonesia"/>
    <x v="0"/>
    <x v="9"/>
    <x v="2"/>
    <s v="GDP per capita"/>
    <s v="Economy"/>
    <s v="SDG 8: Decent Work and Economic Growth"/>
    <n v="3119.335603"/>
    <s v="Source-defined international dollars"/>
    <s v="Indonesia|1997"/>
    <s v="Gapminder/Plotly country-year extract reshaped to long indicator format for education"/>
    <s v="OK"/>
    <s v="1990s"/>
    <s v="N/A"/>
    <s v="Economy"/>
  </r>
  <r>
    <s v="GM-02155"/>
    <s v="Indonesia"/>
    <x v="0"/>
    <x v="10"/>
    <x v="0"/>
    <s v="Life expectancy at birth"/>
    <s v="Health"/>
    <s v="SDG 3: Good Health and Well-being"/>
    <n v="68.587999999999994"/>
    <s v="Years"/>
    <s v="Indonesia|2002"/>
    <s v="Gapminder/Plotly country-year extract reshaped to long indicator format for education"/>
    <s v="OK"/>
    <s v="2000s"/>
    <s v="Medium"/>
    <s v="Health"/>
  </r>
  <r>
    <s v="GM-02156"/>
    <s v="Indonesia"/>
    <x v="0"/>
    <x v="10"/>
    <x v="1"/>
    <s v="Population, total"/>
    <s v="Demographics"/>
    <s v="SDG 11: Sustainable Cities and Communities"/>
    <n v="211060000"/>
    <s v="People"/>
    <s v="Indonesia|2002"/>
    <s v="Gapminder/Plotly country-year extract reshaped to long indicator format for education"/>
    <s v="OK"/>
    <s v="2000s"/>
    <s v="N/A"/>
    <s v="Demographics"/>
  </r>
  <r>
    <s v="GM-02157"/>
    <s v="Indonesia"/>
    <x v="0"/>
    <x v="10"/>
    <x v="2"/>
    <s v="GDP per capita"/>
    <s v="Economy"/>
    <s v="SDG 8: Decent Work and Economic Growth"/>
    <n v="2873.9128700000001"/>
    <s v="Source-defined international dollars"/>
    <s v="Indonesia|2002"/>
    <s v="Gapminder/Plotly country-year extract reshaped to long indicator format for education"/>
    <s v="OK"/>
    <s v="2000s"/>
    <s v="N/A"/>
    <s v="Economy"/>
  </r>
  <r>
    <s v="GM-02158"/>
    <s v="Indonesia"/>
    <x v="0"/>
    <x v="11"/>
    <x v="0"/>
    <s v="Life expectancy at birth"/>
    <s v="Health"/>
    <s v="SDG 3: Good Health and Well-being"/>
    <n v="70.650000000000006"/>
    <s v="Years"/>
    <s v="Indonesia|2007"/>
    <s v="Gapminder/Plotly country-year extract reshaped to long indicator format for education"/>
    <s v="OK"/>
    <s v="2000s"/>
    <s v="High"/>
    <s v="Health"/>
  </r>
  <r>
    <s v="GM-02159"/>
    <s v="Indonesia"/>
    <x v="0"/>
    <x v="11"/>
    <x v="1"/>
    <s v="Population, total"/>
    <s v="Demographics"/>
    <s v="SDG 11: Sustainable Cities and Communities"/>
    <n v="223547000"/>
    <s v="People"/>
    <s v="Indonesia|2007"/>
    <s v="Gapminder/Plotly country-year extract reshaped to long indicator format for education"/>
    <s v="OK"/>
    <s v="2000s"/>
    <s v="N/A"/>
    <s v="Demographics"/>
  </r>
  <r>
    <s v="GM-02160"/>
    <s v="Indonesia"/>
    <x v="0"/>
    <x v="11"/>
    <x v="2"/>
    <s v="GDP per capita"/>
    <s v="Economy"/>
    <s v="SDG 8: Decent Work and Economic Growth"/>
    <n v="3540.6515639999998"/>
    <s v="Source-defined international dollars"/>
    <s v="Indonesia|2007"/>
    <s v="Gapminder/Plotly country-year extract reshaped to long indicator format for education"/>
    <s v="OK"/>
    <s v="2000s"/>
    <s v="N/A"/>
    <s v="Economy"/>
  </r>
  <r>
    <s v="GM-02161"/>
    <s v="Iran"/>
    <x v="0"/>
    <x v="0"/>
    <x v="0"/>
    <s v="Life expectancy at birth"/>
    <s v="Health"/>
    <s v="SDG 3: Good Health and Well-being"/>
    <n v="44.869"/>
    <s v="Years"/>
    <s v="Iran|1952"/>
    <s v="Gapminder/Plotly country-year extract reshaped to long indicator format for education"/>
    <s v="OK"/>
    <s v="1950s"/>
    <s v="Low"/>
    <s v="Health"/>
  </r>
  <r>
    <s v="GM-02162"/>
    <s v="Iran"/>
    <x v="0"/>
    <x v="0"/>
    <x v="1"/>
    <s v="Population, total"/>
    <s v="Demographics"/>
    <s v="SDG 11: Sustainable Cities and Communities"/>
    <n v="17272000"/>
    <s v="People"/>
    <s v="Iran|1952"/>
    <s v="Gapminder/Plotly country-year extract reshaped to long indicator format for education"/>
    <s v="OK"/>
    <s v="1950s"/>
    <s v="N/A"/>
    <s v="Demographics"/>
  </r>
  <r>
    <s v="GM-02163"/>
    <s v="Iran"/>
    <x v="0"/>
    <x v="0"/>
    <x v="2"/>
    <s v="GDP per capita"/>
    <s v="Economy"/>
    <s v="SDG 8: Decent Work and Economic Growth"/>
    <n v="3035.3260019999998"/>
    <s v="Source-defined international dollars"/>
    <s v="Iran|1952"/>
    <s v="Gapminder/Plotly country-year extract reshaped to long indicator format for education"/>
    <s v="OK"/>
    <s v="1950s"/>
    <s v="N/A"/>
    <s v="Economy"/>
  </r>
  <r>
    <s v="GM-02164"/>
    <s v="Iran"/>
    <x v="0"/>
    <x v="1"/>
    <x v="0"/>
    <s v="Life expectancy at birth"/>
    <s v="Health"/>
    <s v="SDG 3: Good Health and Well-being"/>
    <n v="47.180999999999997"/>
    <s v="Years"/>
    <s v="Iran|1957"/>
    <s v="Gapminder/Plotly country-year extract reshaped to long indicator format for education"/>
    <s v="OK"/>
    <s v="1950s"/>
    <s v="Low"/>
    <s v="Health"/>
  </r>
  <r>
    <s v="GM-02165"/>
    <s v="Iran"/>
    <x v="0"/>
    <x v="1"/>
    <x v="1"/>
    <s v="Population, total"/>
    <s v="Demographics"/>
    <s v="SDG 11: Sustainable Cities and Communities"/>
    <n v="19792000"/>
    <s v="People"/>
    <s v="Iran|1957"/>
    <s v="Gapminder/Plotly country-year extract reshaped to long indicator format for education"/>
    <s v="OK"/>
    <s v="1950s"/>
    <s v="N/A"/>
    <s v="Demographics"/>
  </r>
  <r>
    <s v="GM-02166"/>
    <s v="Iran"/>
    <x v="0"/>
    <x v="1"/>
    <x v="2"/>
    <s v="GDP per capita"/>
    <s v="Economy"/>
    <s v="SDG 8: Decent Work and Economic Growth"/>
    <n v="3290.2576429999999"/>
    <s v="Source-defined international dollars"/>
    <s v="Iran|1957"/>
    <s v="Gapminder/Plotly country-year extract reshaped to long indicator format for education"/>
    <s v="OK"/>
    <s v="1950s"/>
    <s v="N/A"/>
    <s v="Economy"/>
  </r>
  <r>
    <s v="GM-02167"/>
    <s v="Iran"/>
    <x v="0"/>
    <x v="2"/>
    <x v="0"/>
    <s v="Life expectancy at birth"/>
    <s v="Health"/>
    <s v="SDG 3: Good Health and Well-being"/>
    <n v="49.325000000000003"/>
    <s v="Years"/>
    <s v="Iran|1962"/>
    <s v="Gapminder/Plotly country-year extract reshaped to long indicator format for education"/>
    <s v="OK"/>
    <s v="1960s"/>
    <s v="Low"/>
    <s v="Health"/>
  </r>
  <r>
    <s v="GM-02168"/>
    <s v="Iran"/>
    <x v="0"/>
    <x v="2"/>
    <x v="1"/>
    <s v="Population, total"/>
    <s v="Demographics"/>
    <s v="SDG 11: Sustainable Cities and Communities"/>
    <n v="22874000"/>
    <s v="People"/>
    <s v="Iran|1962"/>
    <s v="Gapminder/Plotly country-year extract reshaped to long indicator format for education"/>
    <s v="OK"/>
    <s v="1960s"/>
    <s v="N/A"/>
    <s v="Demographics"/>
  </r>
  <r>
    <s v="GM-02169"/>
    <s v="Iran"/>
    <x v="0"/>
    <x v="2"/>
    <x v="2"/>
    <s v="GDP per capita"/>
    <s v="Economy"/>
    <s v="SDG 8: Decent Work and Economic Growth"/>
    <n v="4187.3298020000002"/>
    <s v="Source-defined international dollars"/>
    <s v="Iran|1962"/>
    <s v="Gapminder/Plotly country-year extract reshaped to long indicator format for education"/>
    <s v="OK"/>
    <s v="1960s"/>
    <s v="N/A"/>
    <s v="Economy"/>
  </r>
  <r>
    <s v="GM-02170"/>
    <s v="Iran"/>
    <x v="0"/>
    <x v="3"/>
    <x v="0"/>
    <s v="Life expectancy at birth"/>
    <s v="Health"/>
    <s v="SDG 3: Good Health and Well-being"/>
    <n v="52.469000000000001"/>
    <s v="Years"/>
    <s v="Iran|1967"/>
    <s v="Gapminder/Plotly country-year extract reshaped to long indicator format for education"/>
    <s v="OK"/>
    <s v="1960s"/>
    <s v="Low"/>
    <s v="Health"/>
  </r>
  <r>
    <s v="GM-02171"/>
    <s v="Iran"/>
    <x v="0"/>
    <x v="3"/>
    <x v="1"/>
    <s v="Population, total"/>
    <s v="Demographics"/>
    <s v="SDG 11: Sustainable Cities and Communities"/>
    <n v="26538000"/>
    <s v="People"/>
    <s v="Iran|1967"/>
    <s v="Gapminder/Plotly country-year extract reshaped to long indicator format for education"/>
    <s v="OK"/>
    <s v="1960s"/>
    <s v="N/A"/>
    <s v="Demographics"/>
  </r>
  <r>
    <s v="GM-02172"/>
    <s v="Iran"/>
    <x v="0"/>
    <x v="3"/>
    <x v="2"/>
    <s v="GDP per capita"/>
    <s v="Economy"/>
    <s v="SDG 8: Decent Work and Economic Growth"/>
    <n v="5906.7318049999903"/>
    <s v="Source-defined international dollars"/>
    <s v="Iran|1967"/>
    <s v="Gapminder/Plotly country-year extract reshaped to long indicator format for education"/>
    <s v="OK"/>
    <s v="1960s"/>
    <s v="N/A"/>
    <s v="Economy"/>
  </r>
  <r>
    <s v="GM-02173"/>
    <s v="Iran"/>
    <x v="0"/>
    <x v="4"/>
    <x v="0"/>
    <s v="Life expectancy at birth"/>
    <s v="Health"/>
    <s v="SDG 3: Good Health and Well-being"/>
    <n v="55.234000000000002"/>
    <s v="Years"/>
    <s v="Iran|1972"/>
    <s v="Gapminder/Plotly country-year extract reshaped to long indicator format for education"/>
    <s v="OK"/>
    <s v="1970s"/>
    <s v="Medium"/>
    <s v="Health"/>
  </r>
  <r>
    <s v="GM-02174"/>
    <s v="Iran"/>
    <x v="0"/>
    <x v="4"/>
    <x v="1"/>
    <s v="Population, total"/>
    <s v="Demographics"/>
    <s v="SDG 11: Sustainable Cities and Communities"/>
    <n v="30614000"/>
    <s v="People"/>
    <s v="Iran|1972"/>
    <s v="Gapminder/Plotly country-year extract reshaped to long indicator format for education"/>
    <s v="OK"/>
    <s v="1970s"/>
    <s v="N/A"/>
    <s v="Demographics"/>
  </r>
  <r>
    <s v="GM-02175"/>
    <s v="Iran"/>
    <x v="0"/>
    <x v="4"/>
    <x v="2"/>
    <s v="GDP per capita"/>
    <s v="Economy"/>
    <s v="SDG 8: Decent Work and Economic Growth"/>
    <n v="9613.8186069999992"/>
    <s v="Source-defined international dollars"/>
    <s v="Iran|1972"/>
    <s v="Gapminder/Plotly country-year extract reshaped to long indicator format for education"/>
    <s v="OK"/>
    <s v="1970s"/>
    <s v="N/A"/>
    <s v="Economy"/>
  </r>
  <r>
    <s v="GM-02176"/>
    <s v="Iran"/>
    <x v="0"/>
    <x v="5"/>
    <x v="0"/>
    <s v="Life expectancy at birth"/>
    <s v="Health"/>
    <s v="SDG 3: Good Health and Well-being"/>
    <n v="57.701999999999998"/>
    <s v="Years"/>
    <s v="Iran|1977"/>
    <s v="Gapminder/Plotly country-year extract reshaped to long indicator format for education"/>
    <s v="OK"/>
    <s v="1970s"/>
    <s v="Medium"/>
    <s v="Health"/>
  </r>
  <r>
    <s v="GM-02177"/>
    <s v="Iran"/>
    <x v="0"/>
    <x v="5"/>
    <x v="1"/>
    <s v="Population, total"/>
    <s v="Demographics"/>
    <s v="SDG 11: Sustainable Cities and Communities"/>
    <n v="35480679"/>
    <s v="People"/>
    <s v="Iran|1977"/>
    <s v="Gapminder/Plotly country-year extract reshaped to long indicator format for education"/>
    <s v="OK"/>
    <s v="1970s"/>
    <s v="N/A"/>
    <s v="Demographics"/>
  </r>
  <r>
    <s v="GM-02178"/>
    <s v="Iran"/>
    <x v="0"/>
    <x v="5"/>
    <x v="2"/>
    <s v="GDP per capita"/>
    <s v="Economy"/>
    <s v="SDG 8: Decent Work and Economic Growth"/>
    <n v="11888.595079999999"/>
    <s v="Source-defined international dollars"/>
    <s v="Iran|1977"/>
    <s v="Gapminder/Plotly country-year extract reshaped to long indicator format for education"/>
    <s v="OK"/>
    <s v="1970s"/>
    <s v="N/A"/>
    <s v="Economy"/>
  </r>
  <r>
    <s v="GM-02179"/>
    <s v="Iran"/>
    <x v="0"/>
    <x v="6"/>
    <x v="0"/>
    <s v="Life expectancy at birth"/>
    <s v="Health"/>
    <s v="SDG 3: Good Health and Well-being"/>
    <n v="59.62"/>
    <s v="Years"/>
    <s v="Iran|1982"/>
    <s v="Gapminder/Plotly country-year extract reshaped to long indicator format for education"/>
    <s v="OK"/>
    <s v="1980s"/>
    <s v="Medium"/>
    <s v="Health"/>
  </r>
  <r>
    <s v="GM-02180"/>
    <s v="Iran"/>
    <x v="0"/>
    <x v="6"/>
    <x v="1"/>
    <s v="Population, total"/>
    <s v="Demographics"/>
    <s v="SDG 11: Sustainable Cities and Communities"/>
    <n v="43072751"/>
    <s v="People"/>
    <s v="Iran|1982"/>
    <s v="Gapminder/Plotly country-year extract reshaped to long indicator format for education"/>
    <s v="OK"/>
    <s v="1980s"/>
    <s v="N/A"/>
    <s v="Demographics"/>
  </r>
  <r>
    <s v="GM-02181"/>
    <s v="Iran"/>
    <x v="0"/>
    <x v="6"/>
    <x v="2"/>
    <s v="GDP per capita"/>
    <s v="Economy"/>
    <s v="SDG 8: Decent Work and Economic Growth"/>
    <n v="7608.3346019999999"/>
    <s v="Source-defined international dollars"/>
    <s v="Iran|1982"/>
    <s v="Gapminder/Plotly country-year extract reshaped to long indicator format for education"/>
    <s v="OK"/>
    <s v="1980s"/>
    <s v="N/A"/>
    <s v="Economy"/>
  </r>
  <r>
    <s v="GM-02182"/>
    <s v="Iran"/>
    <x v="0"/>
    <x v="7"/>
    <x v="0"/>
    <s v="Life expectancy at birth"/>
    <s v="Health"/>
    <s v="SDG 3: Good Health and Well-being"/>
    <n v="63.04"/>
    <s v="Years"/>
    <s v="Iran|1987"/>
    <s v="Gapminder/Plotly country-year extract reshaped to long indicator format for education"/>
    <s v="OK"/>
    <s v="1980s"/>
    <s v="Medium"/>
    <s v="Health"/>
  </r>
  <r>
    <s v="GM-02183"/>
    <s v="Iran"/>
    <x v="0"/>
    <x v="7"/>
    <x v="1"/>
    <s v="Population, total"/>
    <s v="Demographics"/>
    <s v="SDG 11: Sustainable Cities and Communities"/>
    <n v="51889696"/>
    <s v="People"/>
    <s v="Iran|1987"/>
    <s v="Gapminder/Plotly country-year extract reshaped to long indicator format for education"/>
    <s v="OK"/>
    <s v="1980s"/>
    <s v="N/A"/>
    <s v="Demographics"/>
  </r>
  <r>
    <s v="GM-02184"/>
    <s v="Iran"/>
    <x v="0"/>
    <x v="7"/>
    <x v="2"/>
    <s v="GDP per capita"/>
    <s v="Economy"/>
    <s v="SDG 8: Decent Work and Economic Growth"/>
    <n v="6642.8813710000004"/>
    <s v="Source-defined international dollars"/>
    <s v="Iran|1987"/>
    <s v="Gapminder/Plotly country-year extract reshaped to long indicator format for education"/>
    <s v="OK"/>
    <s v="1980s"/>
    <s v="N/A"/>
    <s v="Economy"/>
  </r>
  <r>
    <s v="GM-02185"/>
    <s v="Iran"/>
    <x v="0"/>
    <x v="8"/>
    <x v="0"/>
    <s v="Life expectancy at birth"/>
    <s v="Health"/>
    <s v="SDG 3: Good Health and Well-being"/>
    <n v="65.742000000000004"/>
    <s v="Years"/>
    <s v="Iran|1992"/>
    <s v="Gapminder/Plotly country-year extract reshaped to long indicator format for education"/>
    <s v="OK"/>
    <s v="1990s"/>
    <s v="Medium"/>
    <s v="Health"/>
  </r>
  <r>
    <s v="GM-02186"/>
    <s v="Iran"/>
    <x v="0"/>
    <x v="8"/>
    <x v="1"/>
    <s v="Population, total"/>
    <s v="Demographics"/>
    <s v="SDG 11: Sustainable Cities and Communities"/>
    <n v="60397973"/>
    <s v="People"/>
    <s v="Iran|1992"/>
    <s v="Gapminder/Plotly country-year extract reshaped to long indicator format for education"/>
    <s v="OK"/>
    <s v="1990s"/>
    <s v="N/A"/>
    <s v="Demographics"/>
  </r>
  <r>
    <s v="GM-02187"/>
    <s v="Iran"/>
    <x v="0"/>
    <x v="8"/>
    <x v="2"/>
    <s v="GDP per capita"/>
    <s v="Economy"/>
    <s v="SDG 8: Decent Work and Economic Growth"/>
    <n v="7235.6531879999902"/>
    <s v="Source-defined international dollars"/>
    <s v="Iran|1992"/>
    <s v="Gapminder/Plotly country-year extract reshaped to long indicator format for education"/>
    <s v="OK"/>
    <s v="1990s"/>
    <s v="N/A"/>
    <s v="Economy"/>
  </r>
  <r>
    <s v="GM-02188"/>
    <s v="Iran"/>
    <x v="0"/>
    <x v="9"/>
    <x v="0"/>
    <s v="Life expectancy at birth"/>
    <s v="Health"/>
    <s v="SDG 3: Good Health and Well-being"/>
    <n v="68.042000000000002"/>
    <s v="Years"/>
    <s v="Iran|1997"/>
    <s v="Gapminder/Plotly country-year extract reshaped to long indicator format for education"/>
    <s v="OK"/>
    <s v="1990s"/>
    <s v="Medium"/>
    <s v="Health"/>
  </r>
  <r>
    <s v="GM-02189"/>
    <s v="Iran"/>
    <x v="0"/>
    <x v="9"/>
    <x v="1"/>
    <s v="Population, total"/>
    <s v="Demographics"/>
    <s v="SDG 11: Sustainable Cities and Communities"/>
    <n v="63327987"/>
    <s v="People"/>
    <s v="Iran|1997"/>
    <s v="Gapminder/Plotly country-year extract reshaped to long indicator format for education"/>
    <s v="OK"/>
    <s v="1990s"/>
    <s v="N/A"/>
    <s v="Demographics"/>
  </r>
  <r>
    <s v="GM-02190"/>
    <s v="Iran"/>
    <x v="0"/>
    <x v="9"/>
    <x v="2"/>
    <s v="GDP per capita"/>
    <s v="Economy"/>
    <s v="SDG 8: Decent Work and Economic Growth"/>
    <n v="8263.5903010000002"/>
    <s v="Source-defined international dollars"/>
    <s v="Iran|1997"/>
    <s v="Gapminder/Plotly country-year extract reshaped to long indicator format for education"/>
    <s v="OK"/>
    <s v="1990s"/>
    <s v="N/A"/>
    <s v="Economy"/>
  </r>
  <r>
    <s v="GM-02191"/>
    <s v="Iran"/>
    <x v="0"/>
    <x v="10"/>
    <x v="0"/>
    <s v="Life expectancy at birth"/>
    <s v="Health"/>
    <s v="SDG 3: Good Health and Well-being"/>
    <n v="69.450999999999993"/>
    <s v="Years"/>
    <s v="Iran|2002"/>
    <s v="Gapminder/Plotly country-year extract reshaped to long indicator format for education"/>
    <s v="OK"/>
    <s v="2000s"/>
    <s v="Medium"/>
    <s v="Health"/>
  </r>
  <r>
    <s v="GM-02192"/>
    <s v="Iran"/>
    <x v="0"/>
    <x v="10"/>
    <x v="1"/>
    <s v="Population, total"/>
    <s v="Demographics"/>
    <s v="SDG 11: Sustainable Cities and Communities"/>
    <n v="66907826"/>
    <s v="People"/>
    <s v="Iran|2002"/>
    <s v="Gapminder/Plotly country-year extract reshaped to long indicator format for education"/>
    <s v="OK"/>
    <s v="2000s"/>
    <s v="N/A"/>
    <s v="Demographics"/>
  </r>
  <r>
    <s v="GM-02193"/>
    <s v="Iran"/>
    <x v="0"/>
    <x v="10"/>
    <x v="2"/>
    <s v="GDP per capita"/>
    <s v="Economy"/>
    <s v="SDG 8: Decent Work and Economic Growth"/>
    <n v="9240.7619749999994"/>
    <s v="Source-defined international dollars"/>
    <s v="Iran|2002"/>
    <s v="Gapminder/Plotly country-year extract reshaped to long indicator format for education"/>
    <s v="OK"/>
    <s v="2000s"/>
    <s v="N/A"/>
    <s v="Economy"/>
  </r>
  <r>
    <s v="GM-02194"/>
    <s v="Iran"/>
    <x v="0"/>
    <x v="11"/>
    <x v="0"/>
    <s v="Life expectancy at birth"/>
    <s v="Health"/>
    <s v="SDG 3: Good Health and Well-being"/>
    <n v="70.963999999999999"/>
    <s v="Years"/>
    <s v="Iran|2007"/>
    <s v="Gapminder/Plotly country-year extract reshaped to long indicator format for education"/>
    <s v="OK"/>
    <s v="2000s"/>
    <s v="High"/>
    <s v="Health"/>
  </r>
  <r>
    <s v="GM-02195"/>
    <s v="Iran"/>
    <x v="0"/>
    <x v="11"/>
    <x v="1"/>
    <s v="Population, total"/>
    <s v="Demographics"/>
    <s v="SDG 11: Sustainable Cities and Communities"/>
    <n v="69453570"/>
    <s v="People"/>
    <s v="Iran|2007"/>
    <s v="Gapminder/Plotly country-year extract reshaped to long indicator format for education"/>
    <s v="OK"/>
    <s v="2000s"/>
    <s v="N/A"/>
    <s v="Demographics"/>
  </r>
  <r>
    <s v="GM-02196"/>
    <s v="Iran"/>
    <x v="0"/>
    <x v="11"/>
    <x v="2"/>
    <s v="GDP per capita"/>
    <s v="Economy"/>
    <s v="SDG 8: Decent Work and Economic Growth"/>
    <n v="11605.71449"/>
    <s v="Source-defined international dollars"/>
    <s v="Iran|2007"/>
    <s v="Gapminder/Plotly country-year extract reshaped to long indicator format for education"/>
    <s v="OK"/>
    <s v="2000s"/>
    <s v="N/A"/>
    <s v="Economy"/>
  </r>
  <r>
    <s v="GM-02197"/>
    <s v="Iraq"/>
    <x v="0"/>
    <x v="0"/>
    <x v="0"/>
    <s v="Life expectancy at birth"/>
    <s v="Health"/>
    <s v="SDG 3: Good Health and Well-being"/>
    <n v="45.32"/>
    <s v="Years"/>
    <s v="Iraq|1952"/>
    <s v="Gapminder/Plotly country-year extract reshaped to long indicator format for education"/>
    <s v="OK"/>
    <s v="1950s"/>
    <s v="Low"/>
    <s v="Health"/>
  </r>
  <r>
    <s v="GM-02198"/>
    <s v="Iraq"/>
    <x v="0"/>
    <x v="0"/>
    <x v="1"/>
    <s v="Population, total"/>
    <s v="Demographics"/>
    <s v="SDG 11: Sustainable Cities and Communities"/>
    <n v="5441766"/>
    <s v="People"/>
    <s v="Iraq|1952"/>
    <s v="Gapminder/Plotly country-year extract reshaped to long indicator format for education"/>
    <s v="OK"/>
    <s v="1950s"/>
    <s v="N/A"/>
    <s v="Demographics"/>
  </r>
  <r>
    <s v="GM-02199"/>
    <s v="Iraq"/>
    <x v="0"/>
    <x v="0"/>
    <x v="2"/>
    <s v="GDP per capita"/>
    <s v="Economy"/>
    <s v="SDG 8: Decent Work and Economic Growth"/>
    <n v="4129.7660560000004"/>
    <s v="Source-defined international dollars"/>
    <s v="Iraq|1952"/>
    <s v="Gapminder/Plotly country-year extract reshaped to long indicator format for education"/>
    <s v="OK"/>
    <s v="1950s"/>
    <s v="N/A"/>
    <s v="Economy"/>
  </r>
  <r>
    <s v="GM-02200"/>
    <s v="Iraq"/>
    <x v="0"/>
    <x v="1"/>
    <x v="0"/>
    <s v="Life expectancy at birth"/>
    <s v="Health"/>
    <s v="SDG 3: Good Health and Well-being"/>
    <n v="48.436999999999998"/>
    <s v="Years"/>
    <s v="Iraq|1957"/>
    <s v="Gapminder/Plotly country-year extract reshaped to long indicator format for education"/>
    <s v="OK"/>
    <s v="1950s"/>
    <s v="Low"/>
    <s v="Health"/>
  </r>
  <r>
    <s v="GM-02201"/>
    <s v="Iraq"/>
    <x v="0"/>
    <x v="1"/>
    <x v="1"/>
    <s v="Population, total"/>
    <s v="Demographics"/>
    <s v="SDG 11: Sustainable Cities and Communities"/>
    <n v="6248643"/>
    <s v="People"/>
    <s v="Iraq|1957"/>
    <s v="Gapminder/Plotly country-year extract reshaped to long indicator format for education"/>
    <s v="OK"/>
    <s v="1950s"/>
    <s v="N/A"/>
    <s v="Demographics"/>
  </r>
  <r>
    <s v="GM-02202"/>
    <s v="Iraq"/>
    <x v="0"/>
    <x v="1"/>
    <x v="2"/>
    <s v="GDP per capita"/>
    <s v="Economy"/>
    <s v="SDG 8: Decent Work and Economic Growth"/>
    <n v="6229.3335619999998"/>
    <s v="Source-defined international dollars"/>
    <s v="Iraq|1957"/>
    <s v="Gapminder/Plotly country-year extract reshaped to long indicator format for education"/>
    <s v="OK"/>
    <s v="1950s"/>
    <s v="N/A"/>
    <s v="Economy"/>
  </r>
  <r>
    <s v="GM-02203"/>
    <s v="Iraq"/>
    <x v="0"/>
    <x v="2"/>
    <x v="0"/>
    <s v="Life expectancy at birth"/>
    <s v="Health"/>
    <s v="SDG 3: Good Health and Well-being"/>
    <n v="51.457000000000001"/>
    <s v="Years"/>
    <s v="Iraq|1962"/>
    <s v="Gapminder/Plotly country-year extract reshaped to long indicator format for education"/>
    <s v="OK"/>
    <s v="1960s"/>
    <s v="Low"/>
    <s v="Health"/>
  </r>
  <r>
    <s v="GM-02204"/>
    <s v="Iraq"/>
    <x v="0"/>
    <x v="2"/>
    <x v="1"/>
    <s v="Population, total"/>
    <s v="Demographics"/>
    <s v="SDG 11: Sustainable Cities and Communities"/>
    <n v="7240260"/>
    <s v="People"/>
    <s v="Iraq|1962"/>
    <s v="Gapminder/Plotly country-year extract reshaped to long indicator format for education"/>
    <s v="OK"/>
    <s v="1960s"/>
    <s v="N/A"/>
    <s v="Demographics"/>
  </r>
  <r>
    <s v="GM-02205"/>
    <s v="Iraq"/>
    <x v="0"/>
    <x v="2"/>
    <x v="2"/>
    <s v="GDP per capita"/>
    <s v="Economy"/>
    <s v="SDG 8: Decent Work and Economic Growth"/>
    <n v="8341.7378150000004"/>
    <s v="Source-defined international dollars"/>
    <s v="Iraq|1962"/>
    <s v="Gapminder/Plotly country-year extract reshaped to long indicator format for education"/>
    <s v="OK"/>
    <s v="1960s"/>
    <s v="N/A"/>
    <s v="Economy"/>
  </r>
  <r>
    <s v="GM-02206"/>
    <s v="Iraq"/>
    <x v="0"/>
    <x v="3"/>
    <x v="0"/>
    <s v="Life expectancy at birth"/>
    <s v="Health"/>
    <s v="SDG 3: Good Health and Well-being"/>
    <n v="54.459000000000003"/>
    <s v="Years"/>
    <s v="Iraq|1967"/>
    <s v="Gapminder/Plotly country-year extract reshaped to long indicator format for education"/>
    <s v="OK"/>
    <s v="1960s"/>
    <s v="Low"/>
    <s v="Health"/>
  </r>
  <r>
    <s v="GM-02207"/>
    <s v="Iraq"/>
    <x v="0"/>
    <x v="3"/>
    <x v="1"/>
    <s v="Population, total"/>
    <s v="Demographics"/>
    <s v="SDG 11: Sustainable Cities and Communities"/>
    <n v="8519282"/>
    <s v="People"/>
    <s v="Iraq|1967"/>
    <s v="Gapminder/Plotly country-year extract reshaped to long indicator format for education"/>
    <s v="OK"/>
    <s v="1960s"/>
    <s v="N/A"/>
    <s v="Demographics"/>
  </r>
  <r>
    <s v="GM-02208"/>
    <s v="Iraq"/>
    <x v="0"/>
    <x v="3"/>
    <x v="2"/>
    <s v="GDP per capita"/>
    <s v="Economy"/>
    <s v="SDG 8: Decent Work and Economic Growth"/>
    <n v="8931.4598110000006"/>
    <s v="Source-defined international dollars"/>
    <s v="Iraq|1967"/>
    <s v="Gapminder/Plotly country-year extract reshaped to long indicator format for education"/>
    <s v="OK"/>
    <s v="1960s"/>
    <s v="N/A"/>
    <s v="Economy"/>
  </r>
  <r>
    <s v="GM-02209"/>
    <s v="Iraq"/>
    <x v="0"/>
    <x v="4"/>
    <x v="0"/>
    <s v="Life expectancy at birth"/>
    <s v="Health"/>
    <s v="SDG 3: Good Health and Well-being"/>
    <n v="56.95"/>
    <s v="Years"/>
    <s v="Iraq|1972"/>
    <s v="Gapminder/Plotly country-year extract reshaped to long indicator format for education"/>
    <s v="OK"/>
    <s v="1970s"/>
    <s v="Medium"/>
    <s v="Health"/>
  </r>
  <r>
    <s v="GM-02210"/>
    <s v="Iraq"/>
    <x v="0"/>
    <x v="4"/>
    <x v="1"/>
    <s v="Population, total"/>
    <s v="Demographics"/>
    <s v="SDG 11: Sustainable Cities and Communities"/>
    <n v="10061506"/>
    <s v="People"/>
    <s v="Iraq|1972"/>
    <s v="Gapminder/Plotly country-year extract reshaped to long indicator format for education"/>
    <s v="OK"/>
    <s v="1970s"/>
    <s v="N/A"/>
    <s v="Demographics"/>
  </r>
  <r>
    <s v="GM-02211"/>
    <s v="Iraq"/>
    <x v="0"/>
    <x v="4"/>
    <x v="2"/>
    <s v="GDP per capita"/>
    <s v="Economy"/>
    <s v="SDG 8: Decent Work and Economic Growth"/>
    <n v="9576.0375960000001"/>
    <s v="Source-defined international dollars"/>
    <s v="Iraq|1972"/>
    <s v="Gapminder/Plotly country-year extract reshaped to long indicator format for education"/>
    <s v="OK"/>
    <s v="1970s"/>
    <s v="N/A"/>
    <s v="Economy"/>
  </r>
  <r>
    <s v="GM-02212"/>
    <s v="Iraq"/>
    <x v="0"/>
    <x v="5"/>
    <x v="0"/>
    <s v="Life expectancy at birth"/>
    <s v="Health"/>
    <s v="SDG 3: Good Health and Well-being"/>
    <n v="60.412999999999997"/>
    <s v="Years"/>
    <s v="Iraq|1977"/>
    <s v="Gapminder/Plotly country-year extract reshaped to long indicator format for education"/>
    <s v="OK"/>
    <s v="1970s"/>
    <s v="Medium"/>
    <s v="Health"/>
  </r>
  <r>
    <s v="GM-02213"/>
    <s v="Iraq"/>
    <x v="0"/>
    <x v="5"/>
    <x v="1"/>
    <s v="Population, total"/>
    <s v="Demographics"/>
    <s v="SDG 11: Sustainable Cities and Communities"/>
    <n v="11882916"/>
    <s v="People"/>
    <s v="Iraq|1977"/>
    <s v="Gapminder/Plotly country-year extract reshaped to long indicator format for education"/>
    <s v="OK"/>
    <s v="1970s"/>
    <s v="N/A"/>
    <s v="Demographics"/>
  </r>
  <r>
    <s v="GM-02214"/>
    <s v="Iraq"/>
    <x v="0"/>
    <x v="5"/>
    <x v="2"/>
    <s v="GDP per capita"/>
    <s v="Economy"/>
    <s v="SDG 8: Decent Work and Economic Growth"/>
    <n v="14688.235070000001"/>
    <s v="Source-defined international dollars"/>
    <s v="Iraq|1977"/>
    <s v="Gapminder/Plotly country-year extract reshaped to long indicator format for education"/>
    <s v="OK"/>
    <s v="1970s"/>
    <s v="N/A"/>
    <s v="Economy"/>
  </r>
  <r>
    <s v="GM-02215"/>
    <s v="Iraq"/>
    <x v="0"/>
    <x v="6"/>
    <x v="0"/>
    <s v="Life expectancy at birth"/>
    <s v="Health"/>
    <s v="SDG 3: Good Health and Well-being"/>
    <n v="62.037999999999997"/>
    <s v="Years"/>
    <s v="Iraq|1982"/>
    <s v="Gapminder/Plotly country-year extract reshaped to long indicator format for education"/>
    <s v="OK"/>
    <s v="1980s"/>
    <s v="Medium"/>
    <s v="Health"/>
  </r>
  <r>
    <s v="GM-02216"/>
    <s v="Iraq"/>
    <x v="0"/>
    <x v="6"/>
    <x v="1"/>
    <s v="Population, total"/>
    <s v="Demographics"/>
    <s v="SDG 11: Sustainable Cities and Communities"/>
    <n v="14173318"/>
    <s v="People"/>
    <s v="Iraq|1982"/>
    <s v="Gapminder/Plotly country-year extract reshaped to long indicator format for education"/>
    <s v="OK"/>
    <s v="1980s"/>
    <s v="N/A"/>
    <s v="Demographics"/>
  </r>
  <r>
    <s v="GM-02217"/>
    <s v="Iraq"/>
    <x v="0"/>
    <x v="6"/>
    <x v="2"/>
    <s v="GDP per capita"/>
    <s v="Economy"/>
    <s v="SDG 8: Decent Work and Economic Growth"/>
    <n v="14517.90711"/>
    <s v="Source-defined international dollars"/>
    <s v="Iraq|1982"/>
    <s v="Gapminder/Plotly country-year extract reshaped to long indicator format for education"/>
    <s v="OK"/>
    <s v="1980s"/>
    <s v="N/A"/>
    <s v="Economy"/>
  </r>
  <r>
    <s v="GM-02218"/>
    <s v="Iraq"/>
    <x v="0"/>
    <x v="7"/>
    <x v="0"/>
    <s v="Life expectancy at birth"/>
    <s v="Health"/>
    <s v="SDG 3: Good Health and Well-being"/>
    <n v="65.043999999999997"/>
    <s v="Years"/>
    <s v="Iraq|1987"/>
    <s v="Gapminder/Plotly country-year extract reshaped to long indicator format for education"/>
    <s v="OK"/>
    <s v="1980s"/>
    <s v="Medium"/>
    <s v="Health"/>
  </r>
  <r>
    <s v="GM-02219"/>
    <s v="Iraq"/>
    <x v="0"/>
    <x v="7"/>
    <x v="1"/>
    <s v="Population, total"/>
    <s v="Demographics"/>
    <s v="SDG 11: Sustainable Cities and Communities"/>
    <n v="16543189"/>
    <s v="People"/>
    <s v="Iraq|1987"/>
    <s v="Gapminder/Plotly country-year extract reshaped to long indicator format for education"/>
    <s v="OK"/>
    <s v="1980s"/>
    <s v="N/A"/>
    <s v="Demographics"/>
  </r>
  <r>
    <s v="GM-02220"/>
    <s v="Iraq"/>
    <x v="0"/>
    <x v="7"/>
    <x v="2"/>
    <s v="GDP per capita"/>
    <s v="Economy"/>
    <s v="SDG 8: Decent Work and Economic Growth"/>
    <n v="11643.572679999999"/>
    <s v="Source-defined international dollars"/>
    <s v="Iraq|1987"/>
    <s v="Gapminder/Plotly country-year extract reshaped to long indicator format for education"/>
    <s v="OK"/>
    <s v="1980s"/>
    <s v="N/A"/>
    <s v="Economy"/>
  </r>
  <r>
    <s v="GM-02221"/>
    <s v="Iraq"/>
    <x v="0"/>
    <x v="8"/>
    <x v="0"/>
    <s v="Life expectancy at birth"/>
    <s v="Health"/>
    <s v="SDG 3: Good Health and Well-being"/>
    <n v="59.460999999999999"/>
    <s v="Years"/>
    <s v="Iraq|1992"/>
    <s v="Gapminder/Plotly country-year extract reshaped to long indicator format for education"/>
    <s v="OK"/>
    <s v="1990s"/>
    <s v="Medium"/>
    <s v="Health"/>
  </r>
  <r>
    <s v="GM-02222"/>
    <s v="Iraq"/>
    <x v="0"/>
    <x v="8"/>
    <x v="1"/>
    <s v="Population, total"/>
    <s v="Demographics"/>
    <s v="SDG 11: Sustainable Cities and Communities"/>
    <n v="17861905"/>
    <s v="People"/>
    <s v="Iraq|1992"/>
    <s v="Gapminder/Plotly country-year extract reshaped to long indicator format for education"/>
    <s v="OK"/>
    <s v="1990s"/>
    <s v="N/A"/>
    <s v="Demographics"/>
  </r>
  <r>
    <s v="GM-02223"/>
    <s v="Iraq"/>
    <x v="0"/>
    <x v="8"/>
    <x v="2"/>
    <s v="GDP per capita"/>
    <s v="Economy"/>
    <s v="SDG 8: Decent Work and Economic Growth"/>
    <n v="3745.6406870000001"/>
    <s v="Source-defined international dollars"/>
    <s v="Iraq|1992"/>
    <s v="Gapminder/Plotly country-year extract reshaped to long indicator format for education"/>
    <s v="OK"/>
    <s v="1990s"/>
    <s v="N/A"/>
    <s v="Economy"/>
  </r>
  <r>
    <s v="GM-02224"/>
    <s v="Iraq"/>
    <x v="0"/>
    <x v="9"/>
    <x v="0"/>
    <s v="Life expectancy at birth"/>
    <s v="Health"/>
    <s v="SDG 3: Good Health and Well-being"/>
    <n v="58.811"/>
    <s v="Years"/>
    <s v="Iraq|1997"/>
    <s v="Gapminder/Plotly country-year extract reshaped to long indicator format for education"/>
    <s v="OK"/>
    <s v="1990s"/>
    <s v="Medium"/>
    <s v="Health"/>
  </r>
  <r>
    <s v="GM-02225"/>
    <s v="Iraq"/>
    <x v="0"/>
    <x v="9"/>
    <x v="1"/>
    <s v="Population, total"/>
    <s v="Demographics"/>
    <s v="SDG 11: Sustainable Cities and Communities"/>
    <n v="20775703"/>
    <s v="People"/>
    <s v="Iraq|1997"/>
    <s v="Gapminder/Plotly country-year extract reshaped to long indicator format for education"/>
    <s v="OK"/>
    <s v="1990s"/>
    <s v="N/A"/>
    <s v="Demographics"/>
  </r>
  <r>
    <s v="GM-02226"/>
    <s v="Iraq"/>
    <x v="0"/>
    <x v="9"/>
    <x v="2"/>
    <s v="GDP per capita"/>
    <s v="Economy"/>
    <s v="SDG 8: Decent Work and Economic Growth"/>
    <n v="3076.239795"/>
    <s v="Source-defined international dollars"/>
    <s v="Iraq|1997"/>
    <s v="Gapminder/Plotly country-year extract reshaped to long indicator format for education"/>
    <s v="OK"/>
    <s v="1990s"/>
    <s v="N/A"/>
    <s v="Economy"/>
  </r>
  <r>
    <s v="GM-02227"/>
    <s v="Iraq"/>
    <x v="0"/>
    <x v="10"/>
    <x v="0"/>
    <s v="Life expectancy at birth"/>
    <s v="Health"/>
    <s v="SDG 3: Good Health and Well-being"/>
    <n v="57.045999999999999"/>
    <s v="Years"/>
    <s v="Iraq|2002"/>
    <s v="Gapminder/Plotly country-year extract reshaped to long indicator format for education"/>
    <s v="OK"/>
    <s v="2000s"/>
    <s v="Medium"/>
    <s v="Health"/>
  </r>
  <r>
    <s v="GM-02228"/>
    <s v="Iraq"/>
    <x v="0"/>
    <x v="10"/>
    <x v="1"/>
    <s v="Population, total"/>
    <s v="Demographics"/>
    <s v="SDG 11: Sustainable Cities and Communities"/>
    <n v="24001816"/>
    <s v="People"/>
    <s v="Iraq|2002"/>
    <s v="Gapminder/Plotly country-year extract reshaped to long indicator format for education"/>
    <s v="OK"/>
    <s v="2000s"/>
    <s v="N/A"/>
    <s v="Demographics"/>
  </r>
  <r>
    <s v="GM-02229"/>
    <s v="Iraq"/>
    <x v="0"/>
    <x v="10"/>
    <x v="2"/>
    <s v="GDP per capita"/>
    <s v="Economy"/>
    <s v="SDG 8: Decent Work and Economic Growth"/>
    <n v="4390.7173119999998"/>
    <s v="Source-defined international dollars"/>
    <s v="Iraq|2002"/>
    <s v="Gapminder/Plotly country-year extract reshaped to long indicator format for education"/>
    <s v="OK"/>
    <s v="2000s"/>
    <s v="N/A"/>
    <s v="Economy"/>
  </r>
  <r>
    <s v="GM-02230"/>
    <s v="Iraq"/>
    <x v="0"/>
    <x v="11"/>
    <x v="0"/>
    <s v="Life expectancy at birth"/>
    <s v="Health"/>
    <s v="SDG 3: Good Health and Well-being"/>
    <n v="59.545000000000002"/>
    <s v="Years"/>
    <s v="Iraq|2007"/>
    <s v="Gapminder/Plotly country-year extract reshaped to long indicator format for education"/>
    <s v="OK"/>
    <s v="2000s"/>
    <s v="Medium"/>
    <s v="Health"/>
  </r>
  <r>
    <s v="GM-02231"/>
    <s v="Iraq"/>
    <x v="0"/>
    <x v="11"/>
    <x v="1"/>
    <s v="Population, total"/>
    <s v="Demographics"/>
    <s v="SDG 11: Sustainable Cities and Communities"/>
    <n v="27499638"/>
    <s v="People"/>
    <s v="Iraq|2007"/>
    <s v="Gapminder/Plotly country-year extract reshaped to long indicator format for education"/>
    <s v="OK"/>
    <s v="2000s"/>
    <s v="N/A"/>
    <s v="Demographics"/>
  </r>
  <r>
    <s v="GM-02232"/>
    <s v="Iraq"/>
    <x v="0"/>
    <x v="11"/>
    <x v="2"/>
    <s v="GDP per capita"/>
    <s v="Economy"/>
    <s v="SDG 8: Decent Work and Economic Growth"/>
    <n v="4471.0619059999999"/>
    <s v="Source-defined international dollars"/>
    <s v="Iraq|2007"/>
    <s v="Gapminder/Plotly country-year extract reshaped to long indicator format for education"/>
    <s v="OK"/>
    <s v="2000s"/>
    <s v="N/A"/>
    <s v="Economy"/>
  </r>
  <r>
    <s v="GM-02233"/>
    <s v="Ireland"/>
    <x v="1"/>
    <x v="0"/>
    <x v="0"/>
    <s v="Life expectancy at birth"/>
    <s v="Health"/>
    <s v="SDG 3: Good Health and Well-being"/>
    <n v="66.91"/>
    <s v="Years"/>
    <s v="Ireland|1952"/>
    <s v="Gapminder/Plotly country-year extract reshaped to long indicator format for education"/>
    <s v="OK"/>
    <s v="1950s"/>
    <s v="Medium"/>
    <s v="Health"/>
  </r>
  <r>
    <s v="GM-02234"/>
    <s v="Ireland"/>
    <x v="1"/>
    <x v="0"/>
    <x v="1"/>
    <s v="Population, total"/>
    <s v="Demographics"/>
    <s v="SDG 11: Sustainable Cities and Communities"/>
    <n v="2952156"/>
    <s v="People"/>
    <s v="Ireland|1952"/>
    <s v="Gapminder/Plotly country-year extract reshaped to long indicator format for education"/>
    <s v="OK"/>
    <s v="1950s"/>
    <s v="N/A"/>
    <s v="Demographics"/>
  </r>
  <r>
    <s v="GM-02235"/>
    <s v="Ireland"/>
    <x v="1"/>
    <x v="0"/>
    <x v="2"/>
    <s v="GDP per capita"/>
    <s v="Economy"/>
    <s v="SDG 8: Decent Work and Economic Growth"/>
    <n v="5210.2803279999998"/>
    <s v="Source-defined international dollars"/>
    <s v="Ireland|1952"/>
    <s v="Gapminder/Plotly country-year extract reshaped to long indicator format for education"/>
    <s v="OK"/>
    <s v="1950s"/>
    <s v="N/A"/>
    <s v="Economy"/>
  </r>
  <r>
    <s v="GM-02236"/>
    <s v="Ireland"/>
    <x v="1"/>
    <x v="1"/>
    <x v="0"/>
    <s v="Life expectancy at birth"/>
    <s v="Health"/>
    <s v="SDG 3: Good Health and Well-being"/>
    <n v="68.900000000000006"/>
    <s v="Years"/>
    <s v="Ireland|1957"/>
    <s v="Gapminder/Plotly country-year extract reshaped to long indicator format for education"/>
    <s v="OK"/>
    <s v="1950s"/>
    <s v="Medium"/>
    <s v="Health"/>
  </r>
  <r>
    <s v="GM-02237"/>
    <s v="Ireland"/>
    <x v="1"/>
    <x v="1"/>
    <x v="1"/>
    <s v="Population, total"/>
    <s v="Demographics"/>
    <s v="SDG 11: Sustainable Cities and Communities"/>
    <n v="2878220"/>
    <s v="People"/>
    <s v="Ireland|1957"/>
    <s v="Gapminder/Plotly country-year extract reshaped to long indicator format for education"/>
    <s v="OK"/>
    <s v="1950s"/>
    <s v="N/A"/>
    <s v="Demographics"/>
  </r>
  <r>
    <s v="GM-02238"/>
    <s v="Ireland"/>
    <x v="1"/>
    <x v="1"/>
    <x v="2"/>
    <s v="GDP per capita"/>
    <s v="Economy"/>
    <s v="SDG 8: Decent Work and Economic Growth"/>
    <n v="5599.0778719999998"/>
    <s v="Source-defined international dollars"/>
    <s v="Ireland|1957"/>
    <s v="Gapminder/Plotly country-year extract reshaped to long indicator format for education"/>
    <s v="OK"/>
    <s v="1950s"/>
    <s v="N/A"/>
    <s v="Economy"/>
  </r>
  <r>
    <s v="GM-02239"/>
    <s v="Ireland"/>
    <x v="1"/>
    <x v="2"/>
    <x v="0"/>
    <s v="Life expectancy at birth"/>
    <s v="Health"/>
    <s v="SDG 3: Good Health and Well-being"/>
    <n v="70.290000000000006"/>
    <s v="Years"/>
    <s v="Ireland|1962"/>
    <s v="Gapminder/Plotly country-year extract reshaped to long indicator format for education"/>
    <s v="OK"/>
    <s v="1960s"/>
    <s v="High"/>
    <s v="Health"/>
  </r>
  <r>
    <s v="GM-02240"/>
    <s v="Ireland"/>
    <x v="1"/>
    <x v="2"/>
    <x v="1"/>
    <s v="Population, total"/>
    <s v="Demographics"/>
    <s v="SDG 11: Sustainable Cities and Communities"/>
    <n v="2830000"/>
    <s v="People"/>
    <s v="Ireland|1962"/>
    <s v="Gapminder/Plotly country-year extract reshaped to long indicator format for education"/>
    <s v="OK"/>
    <s v="1960s"/>
    <s v="N/A"/>
    <s v="Demographics"/>
  </r>
  <r>
    <s v="GM-02241"/>
    <s v="Ireland"/>
    <x v="1"/>
    <x v="2"/>
    <x v="2"/>
    <s v="GDP per capita"/>
    <s v="Economy"/>
    <s v="SDG 8: Decent Work and Economic Growth"/>
    <n v="6631.5973139999996"/>
    <s v="Source-defined international dollars"/>
    <s v="Ireland|1962"/>
    <s v="Gapminder/Plotly country-year extract reshaped to long indicator format for education"/>
    <s v="OK"/>
    <s v="1960s"/>
    <s v="N/A"/>
    <s v="Economy"/>
  </r>
  <r>
    <s v="GM-02242"/>
    <s v="Ireland"/>
    <x v="1"/>
    <x v="3"/>
    <x v="0"/>
    <s v="Life expectancy at birth"/>
    <s v="Health"/>
    <s v="SDG 3: Good Health and Well-being"/>
    <n v="71.08"/>
    <s v="Years"/>
    <s v="Ireland|1967"/>
    <s v="Gapminder/Plotly country-year extract reshaped to long indicator format for education"/>
    <s v="OK"/>
    <s v="1960s"/>
    <s v="High"/>
    <s v="Health"/>
  </r>
  <r>
    <s v="GM-02243"/>
    <s v="Ireland"/>
    <x v="1"/>
    <x v="3"/>
    <x v="1"/>
    <s v="Population, total"/>
    <s v="Demographics"/>
    <s v="SDG 11: Sustainable Cities and Communities"/>
    <n v="2900100"/>
    <s v="People"/>
    <s v="Ireland|1967"/>
    <s v="Gapminder/Plotly country-year extract reshaped to long indicator format for education"/>
    <s v="OK"/>
    <s v="1960s"/>
    <s v="N/A"/>
    <s v="Demographics"/>
  </r>
  <r>
    <s v="GM-02244"/>
    <s v="Ireland"/>
    <x v="1"/>
    <x v="3"/>
    <x v="2"/>
    <s v="GDP per capita"/>
    <s v="Economy"/>
    <s v="SDG 8: Decent Work and Economic Growth"/>
    <n v="7655.5689629999997"/>
    <s v="Source-defined international dollars"/>
    <s v="Ireland|1967"/>
    <s v="Gapminder/Plotly country-year extract reshaped to long indicator format for education"/>
    <s v="OK"/>
    <s v="1960s"/>
    <s v="N/A"/>
    <s v="Economy"/>
  </r>
  <r>
    <s v="GM-02245"/>
    <s v="Ireland"/>
    <x v="1"/>
    <x v="4"/>
    <x v="0"/>
    <s v="Life expectancy at birth"/>
    <s v="Health"/>
    <s v="SDG 3: Good Health and Well-being"/>
    <n v="71.28"/>
    <s v="Years"/>
    <s v="Ireland|1972"/>
    <s v="Gapminder/Plotly country-year extract reshaped to long indicator format for education"/>
    <s v="OK"/>
    <s v="1970s"/>
    <s v="High"/>
    <s v="Health"/>
  </r>
  <r>
    <s v="GM-02246"/>
    <s v="Ireland"/>
    <x v="1"/>
    <x v="4"/>
    <x v="1"/>
    <s v="Population, total"/>
    <s v="Demographics"/>
    <s v="SDG 11: Sustainable Cities and Communities"/>
    <n v="3024400"/>
    <s v="People"/>
    <s v="Ireland|1972"/>
    <s v="Gapminder/Plotly country-year extract reshaped to long indicator format for education"/>
    <s v="OK"/>
    <s v="1970s"/>
    <s v="N/A"/>
    <s v="Demographics"/>
  </r>
  <r>
    <s v="GM-02247"/>
    <s v="Ireland"/>
    <x v="1"/>
    <x v="4"/>
    <x v="2"/>
    <s v="GDP per capita"/>
    <s v="Economy"/>
    <s v="SDG 8: Decent Work and Economic Growth"/>
    <n v="9530.7728960000004"/>
    <s v="Source-defined international dollars"/>
    <s v="Ireland|1972"/>
    <s v="Gapminder/Plotly country-year extract reshaped to long indicator format for education"/>
    <s v="OK"/>
    <s v="1970s"/>
    <s v="N/A"/>
    <s v="Economy"/>
  </r>
  <r>
    <s v="GM-02248"/>
    <s v="Ireland"/>
    <x v="1"/>
    <x v="5"/>
    <x v="0"/>
    <s v="Life expectancy at birth"/>
    <s v="Health"/>
    <s v="SDG 3: Good Health and Well-being"/>
    <n v="72.03"/>
    <s v="Years"/>
    <s v="Ireland|1977"/>
    <s v="Gapminder/Plotly country-year extract reshaped to long indicator format for education"/>
    <s v="OK"/>
    <s v="1970s"/>
    <s v="High"/>
    <s v="Health"/>
  </r>
  <r>
    <s v="GM-02249"/>
    <s v="Ireland"/>
    <x v="1"/>
    <x v="5"/>
    <x v="1"/>
    <s v="Population, total"/>
    <s v="Demographics"/>
    <s v="SDG 11: Sustainable Cities and Communities"/>
    <n v="3271900"/>
    <s v="People"/>
    <s v="Ireland|1977"/>
    <s v="Gapminder/Plotly country-year extract reshaped to long indicator format for education"/>
    <s v="OK"/>
    <s v="1970s"/>
    <s v="N/A"/>
    <s v="Demographics"/>
  </r>
  <r>
    <s v="GM-02250"/>
    <s v="Ireland"/>
    <x v="1"/>
    <x v="5"/>
    <x v="2"/>
    <s v="GDP per capita"/>
    <s v="Economy"/>
    <s v="SDG 8: Decent Work and Economic Growth"/>
    <n v="11150.98113"/>
    <s v="Source-defined international dollars"/>
    <s v="Ireland|1977"/>
    <s v="Gapminder/Plotly country-year extract reshaped to long indicator format for education"/>
    <s v="OK"/>
    <s v="1970s"/>
    <s v="N/A"/>
    <s v="Economy"/>
  </r>
  <r>
    <s v="GM-02251"/>
    <s v="Ireland"/>
    <x v="1"/>
    <x v="6"/>
    <x v="0"/>
    <s v="Life expectancy at birth"/>
    <s v="Health"/>
    <s v="SDG 3: Good Health and Well-being"/>
    <n v="73.099999999999994"/>
    <s v="Years"/>
    <s v="Ireland|1982"/>
    <s v="Gapminder/Plotly country-year extract reshaped to long indicator format for education"/>
    <s v="OK"/>
    <s v="1980s"/>
    <s v="High"/>
    <s v="Health"/>
  </r>
  <r>
    <s v="GM-02252"/>
    <s v="Ireland"/>
    <x v="1"/>
    <x v="6"/>
    <x v="1"/>
    <s v="Population, total"/>
    <s v="Demographics"/>
    <s v="SDG 11: Sustainable Cities and Communities"/>
    <n v="3480000"/>
    <s v="People"/>
    <s v="Ireland|1982"/>
    <s v="Gapminder/Plotly country-year extract reshaped to long indicator format for education"/>
    <s v="OK"/>
    <s v="1980s"/>
    <s v="N/A"/>
    <s v="Demographics"/>
  </r>
  <r>
    <s v="GM-02253"/>
    <s v="Ireland"/>
    <x v="1"/>
    <x v="6"/>
    <x v="2"/>
    <s v="GDP per capita"/>
    <s v="Economy"/>
    <s v="SDG 8: Decent Work and Economic Growth"/>
    <n v="12618.32141"/>
    <s v="Source-defined international dollars"/>
    <s v="Ireland|1982"/>
    <s v="Gapminder/Plotly country-year extract reshaped to long indicator format for education"/>
    <s v="OK"/>
    <s v="1980s"/>
    <s v="N/A"/>
    <s v="Economy"/>
  </r>
  <r>
    <s v="GM-02254"/>
    <s v="Ireland"/>
    <x v="1"/>
    <x v="7"/>
    <x v="0"/>
    <s v="Life expectancy at birth"/>
    <s v="Health"/>
    <s v="SDG 3: Good Health and Well-being"/>
    <n v="74.36"/>
    <s v="Years"/>
    <s v="Ireland|1987"/>
    <s v="Gapminder/Plotly country-year extract reshaped to long indicator format for education"/>
    <s v="OK"/>
    <s v="1980s"/>
    <s v="High"/>
    <s v="Health"/>
  </r>
  <r>
    <s v="GM-02255"/>
    <s v="Ireland"/>
    <x v="1"/>
    <x v="7"/>
    <x v="1"/>
    <s v="Population, total"/>
    <s v="Demographics"/>
    <s v="SDG 11: Sustainable Cities and Communities"/>
    <n v="3539900"/>
    <s v="People"/>
    <s v="Ireland|1987"/>
    <s v="Gapminder/Plotly country-year extract reshaped to long indicator format for education"/>
    <s v="OK"/>
    <s v="1980s"/>
    <s v="N/A"/>
    <s v="Demographics"/>
  </r>
  <r>
    <s v="GM-02256"/>
    <s v="Ireland"/>
    <x v="1"/>
    <x v="7"/>
    <x v="2"/>
    <s v="GDP per capita"/>
    <s v="Economy"/>
    <s v="SDG 8: Decent Work and Economic Growth"/>
    <n v="13872.86652"/>
    <s v="Source-defined international dollars"/>
    <s v="Ireland|1987"/>
    <s v="Gapminder/Plotly country-year extract reshaped to long indicator format for education"/>
    <s v="OK"/>
    <s v="1980s"/>
    <s v="N/A"/>
    <s v="Economy"/>
  </r>
  <r>
    <s v="GM-02257"/>
    <s v="Ireland"/>
    <x v="1"/>
    <x v="8"/>
    <x v="0"/>
    <s v="Life expectancy at birth"/>
    <s v="Health"/>
    <s v="SDG 3: Good Health and Well-being"/>
    <n v="75.466999999999999"/>
    <s v="Years"/>
    <s v="Ireland|1992"/>
    <s v="Gapminder/Plotly country-year extract reshaped to long indicator format for education"/>
    <s v="OK"/>
    <s v="1990s"/>
    <s v="High"/>
    <s v="Health"/>
  </r>
  <r>
    <s v="GM-02258"/>
    <s v="Ireland"/>
    <x v="1"/>
    <x v="8"/>
    <x v="1"/>
    <s v="Population, total"/>
    <s v="Demographics"/>
    <s v="SDG 11: Sustainable Cities and Communities"/>
    <n v="3557761"/>
    <s v="People"/>
    <s v="Ireland|1992"/>
    <s v="Gapminder/Plotly country-year extract reshaped to long indicator format for education"/>
    <s v="OK"/>
    <s v="1990s"/>
    <s v="N/A"/>
    <s v="Demographics"/>
  </r>
  <r>
    <s v="GM-02259"/>
    <s v="Ireland"/>
    <x v="1"/>
    <x v="8"/>
    <x v="2"/>
    <s v="GDP per capita"/>
    <s v="Economy"/>
    <s v="SDG 8: Decent Work and Economic Growth"/>
    <n v="17558.815549999999"/>
    <s v="Source-defined international dollars"/>
    <s v="Ireland|1992"/>
    <s v="Gapminder/Plotly country-year extract reshaped to long indicator format for education"/>
    <s v="OK"/>
    <s v="1990s"/>
    <s v="N/A"/>
    <s v="Economy"/>
  </r>
  <r>
    <s v="GM-02260"/>
    <s v="Ireland"/>
    <x v="1"/>
    <x v="9"/>
    <x v="0"/>
    <s v="Life expectancy at birth"/>
    <s v="Health"/>
    <s v="SDG 3: Good Health and Well-being"/>
    <n v="76.122"/>
    <s v="Years"/>
    <s v="Ireland|1997"/>
    <s v="Gapminder/Plotly country-year extract reshaped to long indicator format for education"/>
    <s v="OK"/>
    <s v="1990s"/>
    <s v="High"/>
    <s v="Health"/>
  </r>
  <r>
    <s v="GM-02261"/>
    <s v="Ireland"/>
    <x v="1"/>
    <x v="9"/>
    <x v="1"/>
    <s v="Population, total"/>
    <s v="Demographics"/>
    <s v="SDG 11: Sustainable Cities and Communities"/>
    <n v="3667233"/>
    <s v="People"/>
    <s v="Ireland|1997"/>
    <s v="Gapminder/Plotly country-year extract reshaped to long indicator format for education"/>
    <s v="OK"/>
    <s v="1990s"/>
    <s v="N/A"/>
    <s v="Demographics"/>
  </r>
  <r>
    <s v="GM-02262"/>
    <s v="Ireland"/>
    <x v="1"/>
    <x v="9"/>
    <x v="2"/>
    <s v="GDP per capita"/>
    <s v="Economy"/>
    <s v="SDG 8: Decent Work and Economic Growth"/>
    <n v="24521.94713"/>
    <s v="Source-defined international dollars"/>
    <s v="Ireland|1997"/>
    <s v="Gapminder/Plotly country-year extract reshaped to long indicator format for education"/>
    <s v="OK"/>
    <s v="1990s"/>
    <s v="N/A"/>
    <s v="Economy"/>
  </r>
  <r>
    <s v="GM-02263"/>
    <s v="Ireland"/>
    <x v="1"/>
    <x v="10"/>
    <x v="0"/>
    <s v="Life expectancy at birth"/>
    <s v="Health"/>
    <s v="SDG 3: Good Health and Well-being"/>
    <n v="77.783000000000001"/>
    <s v="Years"/>
    <s v="Ireland|2002"/>
    <s v="Gapminder/Plotly country-year extract reshaped to long indicator format for education"/>
    <s v="OK"/>
    <s v="2000s"/>
    <s v="High"/>
    <s v="Health"/>
  </r>
  <r>
    <s v="GM-02264"/>
    <s v="Ireland"/>
    <x v="1"/>
    <x v="10"/>
    <x v="1"/>
    <s v="Population, total"/>
    <s v="Demographics"/>
    <s v="SDG 11: Sustainable Cities and Communities"/>
    <n v="3879155"/>
    <s v="People"/>
    <s v="Ireland|2002"/>
    <s v="Gapminder/Plotly country-year extract reshaped to long indicator format for education"/>
    <s v="OK"/>
    <s v="2000s"/>
    <s v="N/A"/>
    <s v="Demographics"/>
  </r>
  <r>
    <s v="GM-02265"/>
    <s v="Ireland"/>
    <x v="1"/>
    <x v="10"/>
    <x v="2"/>
    <s v="GDP per capita"/>
    <s v="Economy"/>
    <s v="SDG 8: Decent Work and Economic Growth"/>
    <n v="34077.04939"/>
    <s v="Source-defined international dollars"/>
    <s v="Ireland|2002"/>
    <s v="Gapminder/Plotly country-year extract reshaped to long indicator format for education"/>
    <s v="OK"/>
    <s v="2000s"/>
    <s v="N/A"/>
    <s v="Economy"/>
  </r>
  <r>
    <s v="GM-02266"/>
    <s v="Ireland"/>
    <x v="1"/>
    <x v="11"/>
    <x v="0"/>
    <s v="Life expectancy at birth"/>
    <s v="Health"/>
    <s v="SDG 3: Good Health and Well-being"/>
    <n v="78.885000000000005"/>
    <s v="Years"/>
    <s v="Ireland|2007"/>
    <s v="Gapminder/Plotly country-year extract reshaped to long indicator format for education"/>
    <s v="OK"/>
    <s v="2000s"/>
    <s v="High"/>
    <s v="Health"/>
  </r>
  <r>
    <s v="GM-02267"/>
    <s v="Ireland"/>
    <x v="1"/>
    <x v="11"/>
    <x v="1"/>
    <s v="Population, total"/>
    <s v="Demographics"/>
    <s v="SDG 11: Sustainable Cities and Communities"/>
    <n v="4109086"/>
    <s v="People"/>
    <s v="Ireland|2007"/>
    <s v="Gapminder/Plotly country-year extract reshaped to long indicator format for education"/>
    <s v="OK"/>
    <s v="2000s"/>
    <s v="N/A"/>
    <s v="Demographics"/>
  </r>
  <r>
    <s v="GM-02268"/>
    <s v="Ireland"/>
    <x v="1"/>
    <x v="11"/>
    <x v="2"/>
    <s v="GDP per capita"/>
    <s v="Economy"/>
    <s v="SDG 8: Decent Work and Economic Growth"/>
    <n v="40675.996350000001"/>
    <s v="Source-defined international dollars"/>
    <s v="Ireland|2007"/>
    <s v="Gapminder/Plotly country-year extract reshaped to long indicator format for education"/>
    <s v="OK"/>
    <s v="2000s"/>
    <s v="N/A"/>
    <s v="Economy"/>
  </r>
  <r>
    <s v="GM-02269"/>
    <s v="Israel"/>
    <x v="0"/>
    <x v="0"/>
    <x v="0"/>
    <s v="Life expectancy at birth"/>
    <s v="Health"/>
    <s v="SDG 3: Good Health and Well-being"/>
    <n v="65.39"/>
    <s v="Years"/>
    <s v="Israel|1952"/>
    <s v="Gapminder/Plotly country-year extract reshaped to long indicator format for education"/>
    <s v="OK"/>
    <s v="1950s"/>
    <s v="Medium"/>
    <s v="Health"/>
  </r>
  <r>
    <s v="GM-02270"/>
    <s v="Israel"/>
    <x v="0"/>
    <x v="0"/>
    <x v="1"/>
    <s v="Population, total"/>
    <s v="Demographics"/>
    <s v="SDG 11: Sustainable Cities and Communities"/>
    <n v="1620914"/>
    <s v="People"/>
    <s v="Israel|1952"/>
    <s v="Gapminder/Plotly country-year extract reshaped to long indicator format for education"/>
    <s v="OK"/>
    <s v="1950s"/>
    <s v="N/A"/>
    <s v="Demographics"/>
  </r>
  <r>
    <s v="GM-02271"/>
    <s v="Israel"/>
    <x v="0"/>
    <x v="0"/>
    <x v="2"/>
    <s v="GDP per capita"/>
    <s v="Economy"/>
    <s v="SDG 8: Decent Work and Economic Growth"/>
    <n v="4086.5221280000001"/>
    <s v="Source-defined international dollars"/>
    <s v="Israel|1952"/>
    <s v="Gapminder/Plotly country-year extract reshaped to long indicator format for education"/>
    <s v="OK"/>
    <s v="1950s"/>
    <s v="N/A"/>
    <s v="Economy"/>
  </r>
  <r>
    <s v="GM-02272"/>
    <s v="Israel"/>
    <x v="0"/>
    <x v="1"/>
    <x v="0"/>
    <s v="Life expectancy at birth"/>
    <s v="Health"/>
    <s v="SDG 3: Good Health and Well-being"/>
    <n v="67.84"/>
    <s v="Years"/>
    <s v="Israel|1957"/>
    <s v="Gapminder/Plotly country-year extract reshaped to long indicator format for education"/>
    <s v="OK"/>
    <s v="1950s"/>
    <s v="Medium"/>
    <s v="Health"/>
  </r>
  <r>
    <s v="GM-02273"/>
    <s v="Israel"/>
    <x v="0"/>
    <x v="1"/>
    <x v="1"/>
    <s v="Population, total"/>
    <s v="Demographics"/>
    <s v="SDG 11: Sustainable Cities and Communities"/>
    <n v="1944401"/>
    <s v="People"/>
    <s v="Israel|1957"/>
    <s v="Gapminder/Plotly country-year extract reshaped to long indicator format for education"/>
    <s v="OK"/>
    <s v="1950s"/>
    <s v="N/A"/>
    <s v="Demographics"/>
  </r>
  <r>
    <s v="GM-02274"/>
    <s v="Israel"/>
    <x v="0"/>
    <x v="1"/>
    <x v="2"/>
    <s v="GDP per capita"/>
    <s v="Economy"/>
    <s v="SDG 8: Decent Work and Economic Growth"/>
    <n v="5385.2784510000001"/>
    <s v="Source-defined international dollars"/>
    <s v="Israel|1957"/>
    <s v="Gapminder/Plotly country-year extract reshaped to long indicator format for education"/>
    <s v="OK"/>
    <s v="1950s"/>
    <s v="N/A"/>
    <s v="Economy"/>
  </r>
  <r>
    <s v="GM-02275"/>
    <s v="Israel"/>
    <x v="0"/>
    <x v="2"/>
    <x v="0"/>
    <s v="Life expectancy at birth"/>
    <s v="Health"/>
    <s v="SDG 3: Good Health and Well-being"/>
    <n v="69.39"/>
    <s v="Years"/>
    <s v="Israel|1962"/>
    <s v="Gapminder/Plotly country-year extract reshaped to long indicator format for education"/>
    <s v="OK"/>
    <s v="1960s"/>
    <s v="Medium"/>
    <s v="Health"/>
  </r>
  <r>
    <s v="GM-02276"/>
    <s v="Israel"/>
    <x v="0"/>
    <x v="2"/>
    <x v="1"/>
    <s v="Population, total"/>
    <s v="Demographics"/>
    <s v="SDG 11: Sustainable Cities and Communities"/>
    <n v="2310904"/>
    <s v="People"/>
    <s v="Israel|1962"/>
    <s v="Gapminder/Plotly country-year extract reshaped to long indicator format for education"/>
    <s v="OK"/>
    <s v="1960s"/>
    <s v="N/A"/>
    <s v="Demographics"/>
  </r>
  <r>
    <s v="GM-02277"/>
    <s v="Israel"/>
    <x v="0"/>
    <x v="2"/>
    <x v="2"/>
    <s v="GDP per capita"/>
    <s v="Economy"/>
    <s v="SDG 8: Decent Work and Economic Growth"/>
    <n v="7105.6307059999999"/>
    <s v="Source-defined international dollars"/>
    <s v="Israel|1962"/>
    <s v="Gapminder/Plotly country-year extract reshaped to long indicator format for education"/>
    <s v="OK"/>
    <s v="1960s"/>
    <s v="N/A"/>
    <s v="Economy"/>
  </r>
  <r>
    <s v="GM-02278"/>
    <s v="Israel"/>
    <x v="0"/>
    <x v="3"/>
    <x v="0"/>
    <s v="Life expectancy at birth"/>
    <s v="Health"/>
    <s v="SDG 3: Good Health and Well-being"/>
    <n v="70.75"/>
    <s v="Years"/>
    <s v="Israel|1967"/>
    <s v="Gapminder/Plotly country-year extract reshaped to long indicator format for education"/>
    <s v="OK"/>
    <s v="1960s"/>
    <s v="High"/>
    <s v="Health"/>
  </r>
  <r>
    <s v="GM-02279"/>
    <s v="Israel"/>
    <x v="0"/>
    <x v="3"/>
    <x v="1"/>
    <s v="Population, total"/>
    <s v="Demographics"/>
    <s v="SDG 11: Sustainable Cities and Communities"/>
    <n v="2693585"/>
    <s v="People"/>
    <s v="Israel|1967"/>
    <s v="Gapminder/Plotly country-year extract reshaped to long indicator format for education"/>
    <s v="OK"/>
    <s v="1960s"/>
    <s v="N/A"/>
    <s v="Demographics"/>
  </r>
  <r>
    <s v="GM-02280"/>
    <s v="Israel"/>
    <x v="0"/>
    <x v="3"/>
    <x v="2"/>
    <s v="GDP per capita"/>
    <s v="Economy"/>
    <s v="SDG 8: Decent Work and Economic Growth"/>
    <n v="8393.7414040000003"/>
    <s v="Source-defined international dollars"/>
    <s v="Israel|1967"/>
    <s v="Gapminder/Plotly country-year extract reshaped to long indicator format for education"/>
    <s v="OK"/>
    <s v="1960s"/>
    <s v="N/A"/>
    <s v="Economy"/>
  </r>
  <r>
    <s v="GM-02281"/>
    <s v="Israel"/>
    <x v="0"/>
    <x v="4"/>
    <x v="0"/>
    <s v="Life expectancy at birth"/>
    <s v="Health"/>
    <s v="SDG 3: Good Health and Well-being"/>
    <n v="71.63"/>
    <s v="Years"/>
    <s v="Israel|1972"/>
    <s v="Gapminder/Plotly country-year extract reshaped to long indicator format for education"/>
    <s v="OK"/>
    <s v="1970s"/>
    <s v="High"/>
    <s v="Health"/>
  </r>
  <r>
    <s v="GM-02282"/>
    <s v="Israel"/>
    <x v="0"/>
    <x v="4"/>
    <x v="1"/>
    <s v="Population, total"/>
    <s v="Demographics"/>
    <s v="SDG 11: Sustainable Cities and Communities"/>
    <n v="3095893"/>
    <s v="People"/>
    <s v="Israel|1972"/>
    <s v="Gapminder/Plotly country-year extract reshaped to long indicator format for education"/>
    <s v="OK"/>
    <s v="1970s"/>
    <s v="N/A"/>
    <s v="Demographics"/>
  </r>
  <r>
    <s v="GM-02283"/>
    <s v="Israel"/>
    <x v="0"/>
    <x v="4"/>
    <x v="2"/>
    <s v="GDP per capita"/>
    <s v="Economy"/>
    <s v="SDG 8: Decent Work and Economic Growth"/>
    <n v="12786.93223"/>
    <s v="Source-defined international dollars"/>
    <s v="Israel|1972"/>
    <s v="Gapminder/Plotly country-year extract reshaped to long indicator format for education"/>
    <s v="OK"/>
    <s v="1970s"/>
    <s v="N/A"/>
    <s v="Economy"/>
  </r>
  <r>
    <s v="GM-02284"/>
    <s v="Israel"/>
    <x v="0"/>
    <x v="5"/>
    <x v="0"/>
    <s v="Life expectancy at birth"/>
    <s v="Health"/>
    <s v="SDG 3: Good Health and Well-being"/>
    <n v="73.06"/>
    <s v="Years"/>
    <s v="Israel|1977"/>
    <s v="Gapminder/Plotly country-year extract reshaped to long indicator format for education"/>
    <s v="OK"/>
    <s v="1970s"/>
    <s v="High"/>
    <s v="Health"/>
  </r>
  <r>
    <s v="GM-02285"/>
    <s v="Israel"/>
    <x v="0"/>
    <x v="5"/>
    <x v="1"/>
    <s v="Population, total"/>
    <s v="Demographics"/>
    <s v="SDG 11: Sustainable Cities and Communities"/>
    <n v="3495918"/>
    <s v="People"/>
    <s v="Israel|1977"/>
    <s v="Gapminder/Plotly country-year extract reshaped to long indicator format for education"/>
    <s v="OK"/>
    <s v="1970s"/>
    <s v="N/A"/>
    <s v="Demographics"/>
  </r>
  <r>
    <s v="GM-02286"/>
    <s v="Israel"/>
    <x v="0"/>
    <x v="5"/>
    <x v="2"/>
    <s v="GDP per capita"/>
    <s v="Economy"/>
    <s v="SDG 8: Decent Work and Economic Growth"/>
    <n v="13306.619210000001"/>
    <s v="Source-defined international dollars"/>
    <s v="Israel|1977"/>
    <s v="Gapminder/Plotly country-year extract reshaped to long indicator format for education"/>
    <s v="OK"/>
    <s v="1970s"/>
    <s v="N/A"/>
    <s v="Economy"/>
  </r>
  <r>
    <s v="GM-02287"/>
    <s v="Israel"/>
    <x v="0"/>
    <x v="6"/>
    <x v="0"/>
    <s v="Life expectancy at birth"/>
    <s v="Health"/>
    <s v="SDG 3: Good Health and Well-being"/>
    <n v="74.45"/>
    <s v="Years"/>
    <s v="Israel|1982"/>
    <s v="Gapminder/Plotly country-year extract reshaped to long indicator format for education"/>
    <s v="OK"/>
    <s v="1980s"/>
    <s v="High"/>
    <s v="Health"/>
  </r>
  <r>
    <s v="GM-02288"/>
    <s v="Israel"/>
    <x v="0"/>
    <x v="6"/>
    <x v="1"/>
    <s v="Population, total"/>
    <s v="Demographics"/>
    <s v="SDG 11: Sustainable Cities and Communities"/>
    <n v="3858421"/>
    <s v="People"/>
    <s v="Israel|1982"/>
    <s v="Gapminder/Plotly country-year extract reshaped to long indicator format for education"/>
    <s v="OK"/>
    <s v="1980s"/>
    <s v="N/A"/>
    <s v="Demographics"/>
  </r>
  <r>
    <s v="GM-02289"/>
    <s v="Israel"/>
    <x v="0"/>
    <x v="6"/>
    <x v="2"/>
    <s v="GDP per capita"/>
    <s v="Economy"/>
    <s v="SDG 8: Decent Work and Economic Growth"/>
    <n v="15367.029200000001"/>
    <s v="Source-defined international dollars"/>
    <s v="Israel|1982"/>
    <s v="Gapminder/Plotly country-year extract reshaped to long indicator format for education"/>
    <s v="OK"/>
    <s v="1980s"/>
    <s v="N/A"/>
    <s v="Economy"/>
  </r>
  <r>
    <s v="GM-02290"/>
    <s v="Israel"/>
    <x v="0"/>
    <x v="7"/>
    <x v="0"/>
    <s v="Life expectancy at birth"/>
    <s v="Health"/>
    <s v="SDG 3: Good Health and Well-being"/>
    <n v="75.599999999999994"/>
    <s v="Years"/>
    <s v="Israel|1987"/>
    <s v="Gapminder/Plotly country-year extract reshaped to long indicator format for education"/>
    <s v="OK"/>
    <s v="1980s"/>
    <s v="High"/>
    <s v="Health"/>
  </r>
  <r>
    <s v="GM-02291"/>
    <s v="Israel"/>
    <x v="0"/>
    <x v="7"/>
    <x v="1"/>
    <s v="Population, total"/>
    <s v="Demographics"/>
    <s v="SDG 11: Sustainable Cities and Communities"/>
    <n v="4203148"/>
    <s v="People"/>
    <s v="Israel|1987"/>
    <s v="Gapminder/Plotly country-year extract reshaped to long indicator format for education"/>
    <s v="OK"/>
    <s v="1980s"/>
    <s v="N/A"/>
    <s v="Demographics"/>
  </r>
  <r>
    <s v="GM-02292"/>
    <s v="Israel"/>
    <x v="0"/>
    <x v="7"/>
    <x v="2"/>
    <s v="GDP per capita"/>
    <s v="Economy"/>
    <s v="SDG 8: Decent Work and Economic Growth"/>
    <n v="17122.479859999999"/>
    <s v="Source-defined international dollars"/>
    <s v="Israel|1987"/>
    <s v="Gapminder/Plotly country-year extract reshaped to long indicator format for education"/>
    <s v="OK"/>
    <s v="1980s"/>
    <s v="N/A"/>
    <s v="Economy"/>
  </r>
  <r>
    <s v="GM-02293"/>
    <s v="Israel"/>
    <x v="0"/>
    <x v="8"/>
    <x v="0"/>
    <s v="Life expectancy at birth"/>
    <s v="Health"/>
    <s v="SDG 3: Good Health and Well-being"/>
    <n v="76.930000000000007"/>
    <s v="Years"/>
    <s v="Israel|1992"/>
    <s v="Gapminder/Plotly country-year extract reshaped to long indicator format for education"/>
    <s v="OK"/>
    <s v="1990s"/>
    <s v="High"/>
    <s v="Health"/>
  </r>
  <r>
    <s v="GM-02294"/>
    <s v="Israel"/>
    <x v="0"/>
    <x v="8"/>
    <x v="1"/>
    <s v="Population, total"/>
    <s v="Demographics"/>
    <s v="SDG 11: Sustainable Cities and Communities"/>
    <n v="4936550"/>
    <s v="People"/>
    <s v="Israel|1992"/>
    <s v="Gapminder/Plotly country-year extract reshaped to long indicator format for education"/>
    <s v="OK"/>
    <s v="1990s"/>
    <s v="N/A"/>
    <s v="Demographics"/>
  </r>
  <r>
    <s v="GM-02295"/>
    <s v="Israel"/>
    <x v="0"/>
    <x v="8"/>
    <x v="2"/>
    <s v="GDP per capita"/>
    <s v="Economy"/>
    <s v="SDG 8: Decent Work and Economic Growth"/>
    <n v="18051.522540000002"/>
    <s v="Source-defined international dollars"/>
    <s v="Israel|1992"/>
    <s v="Gapminder/Plotly country-year extract reshaped to long indicator format for education"/>
    <s v="OK"/>
    <s v="1990s"/>
    <s v="N/A"/>
    <s v="Economy"/>
  </r>
  <r>
    <s v="GM-02296"/>
    <s v="Israel"/>
    <x v="0"/>
    <x v="9"/>
    <x v="0"/>
    <s v="Life expectancy at birth"/>
    <s v="Health"/>
    <s v="SDG 3: Good Health and Well-being"/>
    <n v="78.268999999999906"/>
    <s v="Years"/>
    <s v="Israel|1997"/>
    <s v="Gapminder/Plotly country-year extract reshaped to long indicator format for education"/>
    <s v="OK"/>
    <s v="1990s"/>
    <s v="High"/>
    <s v="Health"/>
  </r>
  <r>
    <s v="GM-02297"/>
    <s v="Israel"/>
    <x v="0"/>
    <x v="9"/>
    <x v="1"/>
    <s v="Population, total"/>
    <s v="Demographics"/>
    <s v="SDG 11: Sustainable Cities and Communities"/>
    <n v="5531387"/>
    <s v="People"/>
    <s v="Israel|1997"/>
    <s v="Gapminder/Plotly country-year extract reshaped to long indicator format for education"/>
    <s v="OK"/>
    <s v="1990s"/>
    <s v="N/A"/>
    <s v="Demographics"/>
  </r>
  <r>
    <s v="GM-02298"/>
    <s v="Israel"/>
    <x v="0"/>
    <x v="9"/>
    <x v="2"/>
    <s v="GDP per capita"/>
    <s v="Economy"/>
    <s v="SDG 8: Decent Work and Economic Growth"/>
    <n v="20896.609240000002"/>
    <s v="Source-defined international dollars"/>
    <s v="Israel|1997"/>
    <s v="Gapminder/Plotly country-year extract reshaped to long indicator format for education"/>
    <s v="OK"/>
    <s v="1990s"/>
    <s v="N/A"/>
    <s v="Economy"/>
  </r>
  <r>
    <s v="GM-02299"/>
    <s v="Israel"/>
    <x v="0"/>
    <x v="10"/>
    <x v="0"/>
    <s v="Life expectancy at birth"/>
    <s v="Health"/>
    <s v="SDG 3: Good Health and Well-being"/>
    <n v="79.695999999999998"/>
    <s v="Years"/>
    <s v="Israel|2002"/>
    <s v="Gapminder/Plotly country-year extract reshaped to long indicator format for education"/>
    <s v="OK"/>
    <s v="2000s"/>
    <s v="High"/>
    <s v="Health"/>
  </r>
  <r>
    <s v="GM-02300"/>
    <s v="Israel"/>
    <x v="0"/>
    <x v="10"/>
    <x v="1"/>
    <s v="Population, total"/>
    <s v="Demographics"/>
    <s v="SDG 11: Sustainable Cities and Communities"/>
    <n v="6029529"/>
    <s v="People"/>
    <s v="Israel|2002"/>
    <s v="Gapminder/Plotly country-year extract reshaped to long indicator format for education"/>
    <s v="OK"/>
    <s v="2000s"/>
    <s v="N/A"/>
    <s v="Demographics"/>
  </r>
  <r>
    <s v="GM-02301"/>
    <s v="Israel"/>
    <x v="0"/>
    <x v="10"/>
    <x v="2"/>
    <s v="GDP per capita"/>
    <s v="Economy"/>
    <s v="SDG 8: Decent Work and Economic Growth"/>
    <n v="21905.595140000001"/>
    <s v="Source-defined international dollars"/>
    <s v="Israel|2002"/>
    <s v="Gapminder/Plotly country-year extract reshaped to long indicator format for education"/>
    <s v="OK"/>
    <s v="2000s"/>
    <s v="N/A"/>
    <s v="Economy"/>
  </r>
  <r>
    <s v="GM-02302"/>
    <s v="Israel"/>
    <x v="0"/>
    <x v="11"/>
    <x v="0"/>
    <s v="Life expectancy at birth"/>
    <s v="Health"/>
    <s v="SDG 3: Good Health and Well-being"/>
    <n v="80.745000000000005"/>
    <s v="Years"/>
    <s v="Israel|2007"/>
    <s v="Gapminder/Plotly country-year extract reshaped to long indicator format for education"/>
    <s v="OK"/>
    <s v="2000s"/>
    <s v="High"/>
    <s v="Health"/>
  </r>
  <r>
    <s v="GM-02303"/>
    <s v="Israel"/>
    <x v="0"/>
    <x v="11"/>
    <x v="1"/>
    <s v="Population, total"/>
    <s v="Demographics"/>
    <s v="SDG 11: Sustainable Cities and Communities"/>
    <n v="6426679"/>
    <s v="People"/>
    <s v="Israel|2007"/>
    <s v="Gapminder/Plotly country-year extract reshaped to long indicator format for education"/>
    <s v="OK"/>
    <s v="2000s"/>
    <s v="N/A"/>
    <s v="Demographics"/>
  </r>
  <r>
    <s v="GM-02304"/>
    <s v="Israel"/>
    <x v="0"/>
    <x v="11"/>
    <x v="2"/>
    <s v="GDP per capita"/>
    <s v="Economy"/>
    <s v="SDG 8: Decent Work and Economic Growth"/>
    <n v="25523.277099999999"/>
    <s v="Source-defined international dollars"/>
    <s v="Israel|2007"/>
    <s v="Gapminder/Plotly country-year extract reshaped to long indicator format for education"/>
    <s v="OK"/>
    <s v="2000s"/>
    <s v="N/A"/>
    <s v="Economy"/>
  </r>
  <r>
    <s v="GM-02305"/>
    <s v="Italy"/>
    <x v="1"/>
    <x v="0"/>
    <x v="0"/>
    <s v="Life expectancy at birth"/>
    <s v="Health"/>
    <s v="SDG 3: Good Health and Well-being"/>
    <n v="65.94"/>
    <s v="Years"/>
    <s v="Italy|1952"/>
    <s v="Gapminder/Plotly country-year extract reshaped to long indicator format for education"/>
    <s v="OK"/>
    <s v="1950s"/>
    <s v="Medium"/>
    <s v="Health"/>
  </r>
  <r>
    <s v="GM-02306"/>
    <s v="Italy"/>
    <x v="1"/>
    <x v="0"/>
    <x v="1"/>
    <s v="Population, total"/>
    <s v="Demographics"/>
    <s v="SDG 11: Sustainable Cities and Communities"/>
    <n v="47666000"/>
    <s v="People"/>
    <s v="Italy|1952"/>
    <s v="Gapminder/Plotly country-year extract reshaped to long indicator format for education"/>
    <s v="OK"/>
    <s v="1950s"/>
    <s v="N/A"/>
    <s v="Demographics"/>
  </r>
  <r>
    <s v="GM-02307"/>
    <s v="Italy"/>
    <x v="1"/>
    <x v="0"/>
    <x v="2"/>
    <s v="GDP per capita"/>
    <s v="Economy"/>
    <s v="SDG 8: Decent Work and Economic Growth"/>
    <n v="4931.4041549999902"/>
    <s v="Source-defined international dollars"/>
    <s v="Italy|1952"/>
    <s v="Gapminder/Plotly country-year extract reshaped to long indicator format for education"/>
    <s v="OK"/>
    <s v="1950s"/>
    <s v="N/A"/>
    <s v="Economy"/>
  </r>
  <r>
    <s v="GM-02308"/>
    <s v="Italy"/>
    <x v="1"/>
    <x v="1"/>
    <x v="0"/>
    <s v="Life expectancy at birth"/>
    <s v="Health"/>
    <s v="SDG 3: Good Health and Well-being"/>
    <n v="67.81"/>
    <s v="Years"/>
    <s v="Italy|1957"/>
    <s v="Gapminder/Plotly country-year extract reshaped to long indicator format for education"/>
    <s v="OK"/>
    <s v="1950s"/>
    <s v="Medium"/>
    <s v="Health"/>
  </r>
  <r>
    <s v="GM-02309"/>
    <s v="Italy"/>
    <x v="1"/>
    <x v="1"/>
    <x v="1"/>
    <s v="Population, total"/>
    <s v="Demographics"/>
    <s v="SDG 11: Sustainable Cities and Communities"/>
    <n v="49182000"/>
    <s v="People"/>
    <s v="Italy|1957"/>
    <s v="Gapminder/Plotly country-year extract reshaped to long indicator format for education"/>
    <s v="OK"/>
    <s v="1950s"/>
    <s v="N/A"/>
    <s v="Demographics"/>
  </r>
  <r>
    <s v="GM-02310"/>
    <s v="Italy"/>
    <x v="1"/>
    <x v="1"/>
    <x v="2"/>
    <s v="GDP per capita"/>
    <s v="Economy"/>
    <s v="SDG 8: Decent Work and Economic Growth"/>
    <n v="6248.6562320000003"/>
    <s v="Source-defined international dollars"/>
    <s v="Italy|1957"/>
    <s v="Gapminder/Plotly country-year extract reshaped to long indicator format for education"/>
    <s v="OK"/>
    <s v="1950s"/>
    <s v="N/A"/>
    <s v="Economy"/>
  </r>
  <r>
    <s v="GM-02311"/>
    <s v="Italy"/>
    <x v="1"/>
    <x v="2"/>
    <x v="0"/>
    <s v="Life expectancy at birth"/>
    <s v="Health"/>
    <s v="SDG 3: Good Health and Well-being"/>
    <n v="69.239999999999995"/>
    <s v="Years"/>
    <s v="Italy|1962"/>
    <s v="Gapminder/Plotly country-year extract reshaped to long indicator format for education"/>
    <s v="OK"/>
    <s v="1960s"/>
    <s v="Medium"/>
    <s v="Health"/>
  </r>
  <r>
    <s v="GM-02312"/>
    <s v="Italy"/>
    <x v="1"/>
    <x v="2"/>
    <x v="1"/>
    <s v="Population, total"/>
    <s v="Demographics"/>
    <s v="SDG 11: Sustainable Cities and Communities"/>
    <n v="50843200"/>
    <s v="People"/>
    <s v="Italy|1962"/>
    <s v="Gapminder/Plotly country-year extract reshaped to long indicator format for education"/>
    <s v="OK"/>
    <s v="1960s"/>
    <s v="N/A"/>
    <s v="Demographics"/>
  </r>
  <r>
    <s v="GM-02313"/>
    <s v="Italy"/>
    <x v="1"/>
    <x v="2"/>
    <x v="2"/>
    <s v="GDP per capita"/>
    <s v="Economy"/>
    <s v="SDG 8: Decent Work and Economic Growth"/>
    <n v="8243.5823400000008"/>
    <s v="Source-defined international dollars"/>
    <s v="Italy|1962"/>
    <s v="Gapminder/Plotly country-year extract reshaped to long indicator format for education"/>
    <s v="OK"/>
    <s v="1960s"/>
    <s v="N/A"/>
    <s v="Economy"/>
  </r>
  <r>
    <s v="GM-02314"/>
    <s v="Italy"/>
    <x v="1"/>
    <x v="3"/>
    <x v="0"/>
    <s v="Life expectancy at birth"/>
    <s v="Health"/>
    <s v="SDG 3: Good Health and Well-being"/>
    <n v="71.06"/>
    <s v="Years"/>
    <s v="Italy|1967"/>
    <s v="Gapminder/Plotly country-year extract reshaped to long indicator format for education"/>
    <s v="OK"/>
    <s v="1960s"/>
    <s v="High"/>
    <s v="Health"/>
  </r>
  <r>
    <s v="GM-02315"/>
    <s v="Italy"/>
    <x v="1"/>
    <x v="3"/>
    <x v="1"/>
    <s v="Population, total"/>
    <s v="Demographics"/>
    <s v="SDG 11: Sustainable Cities and Communities"/>
    <n v="52667100"/>
    <s v="People"/>
    <s v="Italy|1967"/>
    <s v="Gapminder/Plotly country-year extract reshaped to long indicator format for education"/>
    <s v="OK"/>
    <s v="1960s"/>
    <s v="N/A"/>
    <s v="Demographics"/>
  </r>
  <r>
    <s v="GM-02316"/>
    <s v="Italy"/>
    <x v="1"/>
    <x v="3"/>
    <x v="2"/>
    <s v="GDP per capita"/>
    <s v="Economy"/>
    <s v="SDG 8: Decent Work and Economic Growth"/>
    <n v="10022.401309999999"/>
    <s v="Source-defined international dollars"/>
    <s v="Italy|1967"/>
    <s v="Gapminder/Plotly country-year extract reshaped to long indicator format for education"/>
    <s v="OK"/>
    <s v="1960s"/>
    <s v="N/A"/>
    <s v="Economy"/>
  </r>
  <r>
    <s v="GM-02317"/>
    <s v="Italy"/>
    <x v="1"/>
    <x v="4"/>
    <x v="0"/>
    <s v="Life expectancy at birth"/>
    <s v="Health"/>
    <s v="SDG 3: Good Health and Well-being"/>
    <n v="72.19"/>
    <s v="Years"/>
    <s v="Italy|1972"/>
    <s v="Gapminder/Plotly country-year extract reshaped to long indicator format for education"/>
    <s v="OK"/>
    <s v="1970s"/>
    <s v="High"/>
    <s v="Health"/>
  </r>
  <r>
    <s v="GM-02318"/>
    <s v="Italy"/>
    <x v="1"/>
    <x v="4"/>
    <x v="1"/>
    <s v="Population, total"/>
    <s v="Demographics"/>
    <s v="SDG 11: Sustainable Cities and Communities"/>
    <n v="54365564"/>
    <s v="People"/>
    <s v="Italy|1972"/>
    <s v="Gapminder/Plotly country-year extract reshaped to long indicator format for education"/>
    <s v="OK"/>
    <s v="1970s"/>
    <s v="N/A"/>
    <s v="Demographics"/>
  </r>
  <r>
    <s v="GM-02319"/>
    <s v="Italy"/>
    <x v="1"/>
    <x v="4"/>
    <x v="2"/>
    <s v="GDP per capita"/>
    <s v="Economy"/>
    <s v="SDG 8: Decent Work and Economic Growth"/>
    <n v="12269.27378"/>
    <s v="Source-defined international dollars"/>
    <s v="Italy|1972"/>
    <s v="Gapminder/Plotly country-year extract reshaped to long indicator format for education"/>
    <s v="OK"/>
    <s v="1970s"/>
    <s v="N/A"/>
    <s v="Economy"/>
  </r>
  <r>
    <s v="GM-02320"/>
    <s v="Italy"/>
    <x v="1"/>
    <x v="5"/>
    <x v="0"/>
    <s v="Life expectancy at birth"/>
    <s v="Health"/>
    <s v="SDG 3: Good Health and Well-being"/>
    <n v="73.48"/>
    <s v="Years"/>
    <s v="Italy|1977"/>
    <s v="Gapminder/Plotly country-year extract reshaped to long indicator format for education"/>
    <s v="OK"/>
    <s v="1970s"/>
    <s v="High"/>
    <s v="Health"/>
  </r>
  <r>
    <s v="GM-02321"/>
    <s v="Italy"/>
    <x v="1"/>
    <x v="5"/>
    <x v="1"/>
    <s v="Population, total"/>
    <s v="Demographics"/>
    <s v="SDG 11: Sustainable Cities and Communities"/>
    <n v="56059245"/>
    <s v="People"/>
    <s v="Italy|1977"/>
    <s v="Gapminder/Plotly country-year extract reshaped to long indicator format for education"/>
    <s v="OK"/>
    <s v="1970s"/>
    <s v="N/A"/>
    <s v="Demographics"/>
  </r>
  <r>
    <s v="GM-02322"/>
    <s v="Italy"/>
    <x v="1"/>
    <x v="5"/>
    <x v="2"/>
    <s v="GDP per capita"/>
    <s v="Economy"/>
    <s v="SDG 8: Decent Work and Economic Growth"/>
    <n v="14255.98475"/>
    <s v="Source-defined international dollars"/>
    <s v="Italy|1977"/>
    <s v="Gapminder/Plotly country-year extract reshaped to long indicator format for education"/>
    <s v="OK"/>
    <s v="1970s"/>
    <s v="N/A"/>
    <s v="Economy"/>
  </r>
  <r>
    <s v="GM-02323"/>
    <s v="Italy"/>
    <x v="1"/>
    <x v="6"/>
    <x v="0"/>
    <s v="Life expectancy at birth"/>
    <s v="Health"/>
    <s v="SDG 3: Good Health and Well-being"/>
    <n v="74.98"/>
    <s v="Years"/>
    <s v="Italy|1982"/>
    <s v="Gapminder/Plotly country-year extract reshaped to long indicator format for education"/>
    <s v="OK"/>
    <s v="1980s"/>
    <s v="High"/>
    <s v="Health"/>
  </r>
  <r>
    <s v="GM-02324"/>
    <s v="Italy"/>
    <x v="1"/>
    <x v="6"/>
    <x v="1"/>
    <s v="Population, total"/>
    <s v="Demographics"/>
    <s v="SDG 11: Sustainable Cities and Communities"/>
    <n v="56535636"/>
    <s v="People"/>
    <s v="Italy|1982"/>
    <s v="Gapminder/Plotly country-year extract reshaped to long indicator format for education"/>
    <s v="OK"/>
    <s v="1980s"/>
    <s v="N/A"/>
    <s v="Demographics"/>
  </r>
  <r>
    <s v="GM-02325"/>
    <s v="Italy"/>
    <x v="1"/>
    <x v="6"/>
    <x v="2"/>
    <s v="GDP per capita"/>
    <s v="Economy"/>
    <s v="SDG 8: Decent Work and Economic Growth"/>
    <n v="16537.483499999998"/>
    <s v="Source-defined international dollars"/>
    <s v="Italy|1982"/>
    <s v="Gapminder/Plotly country-year extract reshaped to long indicator format for education"/>
    <s v="OK"/>
    <s v="1980s"/>
    <s v="N/A"/>
    <s v="Economy"/>
  </r>
  <r>
    <s v="GM-02326"/>
    <s v="Italy"/>
    <x v="1"/>
    <x v="7"/>
    <x v="0"/>
    <s v="Life expectancy at birth"/>
    <s v="Health"/>
    <s v="SDG 3: Good Health and Well-being"/>
    <n v="76.42"/>
    <s v="Years"/>
    <s v="Italy|1987"/>
    <s v="Gapminder/Plotly country-year extract reshaped to long indicator format for education"/>
    <s v="OK"/>
    <s v="1980s"/>
    <s v="High"/>
    <s v="Health"/>
  </r>
  <r>
    <s v="GM-02327"/>
    <s v="Italy"/>
    <x v="1"/>
    <x v="7"/>
    <x v="1"/>
    <s v="Population, total"/>
    <s v="Demographics"/>
    <s v="SDG 11: Sustainable Cities and Communities"/>
    <n v="56729703"/>
    <s v="People"/>
    <s v="Italy|1987"/>
    <s v="Gapminder/Plotly country-year extract reshaped to long indicator format for education"/>
    <s v="OK"/>
    <s v="1980s"/>
    <s v="N/A"/>
    <s v="Demographics"/>
  </r>
  <r>
    <s v="GM-02328"/>
    <s v="Italy"/>
    <x v="1"/>
    <x v="7"/>
    <x v="2"/>
    <s v="GDP per capita"/>
    <s v="Economy"/>
    <s v="SDG 8: Decent Work and Economic Growth"/>
    <n v="19207.234820000001"/>
    <s v="Source-defined international dollars"/>
    <s v="Italy|1987"/>
    <s v="Gapminder/Plotly country-year extract reshaped to long indicator format for education"/>
    <s v="OK"/>
    <s v="1980s"/>
    <s v="N/A"/>
    <s v="Economy"/>
  </r>
  <r>
    <s v="GM-02329"/>
    <s v="Italy"/>
    <x v="1"/>
    <x v="8"/>
    <x v="0"/>
    <s v="Life expectancy at birth"/>
    <s v="Health"/>
    <s v="SDG 3: Good Health and Well-being"/>
    <n v="77.44"/>
    <s v="Years"/>
    <s v="Italy|1992"/>
    <s v="Gapminder/Plotly country-year extract reshaped to long indicator format for education"/>
    <s v="OK"/>
    <s v="1990s"/>
    <s v="High"/>
    <s v="Health"/>
  </r>
  <r>
    <s v="GM-02330"/>
    <s v="Italy"/>
    <x v="1"/>
    <x v="8"/>
    <x v="1"/>
    <s v="Population, total"/>
    <s v="Demographics"/>
    <s v="SDG 11: Sustainable Cities and Communities"/>
    <n v="56840847"/>
    <s v="People"/>
    <s v="Italy|1992"/>
    <s v="Gapminder/Plotly country-year extract reshaped to long indicator format for education"/>
    <s v="OK"/>
    <s v="1990s"/>
    <s v="N/A"/>
    <s v="Demographics"/>
  </r>
  <r>
    <s v="GM-02331"/>
    <s v="Italy"/>
    <x v="1"/>
    <x v="8"/>
    <x v="2"/>
    <s v="GDP per capita"/>
    <s v="Economy"/>
    <s v="SDG 8: Decent Work and Economic Growth"/>
    <n v="22013.64486"/>
    <s v="Source-defined international dollars"/>
    <s v="Italy|1992"/>
    <s v="Gapminder/Plotly country-year extract reshaped to long indicator format for education"/>
    <s v="OK"/>
    <s v="1990s"/>
    <s v="N/A"/>
    <s v="Economy"/>
  </r>
  <r>
    <s v="GM-02332"/>
    <s v="Italy"/>
    <x v="1"/>
    <x v="9"/>
    <x v="0"/>
    <s v="Life expectancy at birth"/>
    <s v="Health"/>
    <s v="SDG 3: Good Health and Well-being"/>
    <n v="78.819999999999993"/>
    <s v="Years"/>
    <s v="Italy|1997"/>
    <s v="Gapminder/Plotly country-year extract reshaped to long indicator format for education"/>
    <s v="OK"/>
    <s v="1990s"/>
    <s v="High"/>
    <s v="Health"/>
  </r>
  <r>
    <s v="GM-02333"/>
    <s v="Italy"/>
    <x v="1"/>
    <x v="9"/>
    <x v="1"/>
    <s v="Population, total"/>
    <s v="Demographics"/>
    <s v="SDG 11: Sustainable Cities and Communities"/>
    <n v="57479469"/>
    <s v="People"/>
    <s v="Italy|1997"/>
    <s v="Gapminder/Plotly country-year extract reshaped to long indicator format for education"/>
    <s v="OK"/>
    <s v="1990s"/>
    <s v="N/A"/>
    <s v="Demographics"/>
  </r>
  <r>
    <s v="GM-02334"/>
    <s v="Italy"/>
    <x v="1"/>
    <x v="9"/>
    <x v="2"/>
    <s v="GDP per capita"/>
    <s v="Economy"/>
    <s v="SDG 8: Decent Work and Economic Growth"/>
    <n v="24675.024460000001"/>
    <s v="Source-defined international dollars"/>
    <s v="Italy|1997"/>
    <s v="Gapminder/Plotly country-year extract reshaped to long indicator format for education"/>
    <s v="OK"/>
    <s v="1990s"/>
    <s v="N/A"/>
    <s v="Economy"/>
  </r>
  <r>
    <s v="GM-02335"/>
    <s v="Italy"/>
    <x v="1"/>
    <x v="10"/>
    <x v="0"/>
    <s v="Life expectancy at birth"/>
    <s v="Health"/>
    <s v="SDG 3: Good Health and Well-being"/>
    <n v="80.239999999999995"/>
    <s v="Years"/>
    <s v="Italy|2002"/>
    <s v="Gapminder/Plotly country-year extract reshaped to long indicator format for education"/>
    <s v="OK"/>
    <s v="2000s"/>
    <s v="High"/>
    <s v="Health"/>
  </r>
  <r>
    <s v="GM-02336"/>
    <s v="Italy"/>
    <x v="1"/>
    <x v="10"/>
    <x v="1"/>
    <s v="Population, total"/>
    <s v="Demographics"/>
    <s v="SDG 11: Sustainable Cities and Communities"/>
    <n v="57926999"/>
    <s v="People"/>
    <s v="Italy|2002"/>
    <s v="Gapminder/Plotly country-year extract reshaped to long indicator format for education"/>
    <s v="OK"/>
    <s v="2000s"/>
    <s v="N/A"/>
    <s v="Demographics"/>
  </r>
  <r>
    <s v="GM-02337"/>
    <s v="Italy"/>
    <x v="1"/>
    <x v="10"/>
    <x v="2"/>
    <s v="GDP per capita"/>
    <s v="Economy"/>
    <s v="SDG 8: Decent Work and Economic Growth"/>
    <n v="27968.098170000001"/>
    <s v="Source-defined international dollars"/>
    <s v="Italy|2002"/>
    <s v="Gapminder/Plotly country-year extract reshaped to long indicator format for education"/>
    <s v="OK"/>
    <s v="2000s"/>
    <s v="N/A"/>
    <s v="Economy"/>
  </r>
  <r>
    <s v="GM-02338"/>
    <s v="Italy"/>
    <x v="1"/>
    <x v="11"/>
    <x v="0"/>
    <s v="Life expectancy at birth"/>
    <s v="Health"/>
    <s v="SDG 3: Good Health and Well-being"/>
    <n v="80.546000000000006"/>
    <s v="Years"/>
    <s v="Italy|2007"/>
    <s v="Gapminder/Plotly country-year extract reshaped to long indicator format for education"/>
    <s v="OK"/>
    <s v="2000s"/>
    <s v="High"/>
    <s v="Health"/>
  </r>
  <r>
    <s v="GM-02339"/>
    <s v="Italy"/>
    <x v="1"/>
    <x v="11"/>
    <x v="1"/>
    <s v="Population, total"/>
    <s v="Demographics"/>
    <s v="SDG 11: Sustainable Cities and Communities"/>
    <n v="58147733"/>
    <s v="People"/>
    <s v="Italy|2007"/>
    <s v="Gapminder/Plotly country-year extract reshaped to long indicator format for education"/>
    <s v="OK"/>
    <s v="2000s"/>
    <s v="N/A"/>
    <s v="Demographics"/>
  </r>
  <r>
    <s v="GM-02340"/>
    <s v="Italy"/>
    <x v="1"/>
    <x v="11"/>
    <x v="2"/>
    <s v="GDP per capita"/>
    <s v="Economy"/>
    <s v="SDG 8: Decent Work and Economic Growth"/>
    <n v="28569.719700000001"/>
    <s v="Source-defined international dollars"/>
    <s v="Italy|2007"/>
    <s v="Gapminder/Plotly country-year extract reshaped to long indicator format for education"/>
    <s v="OK"/>
    <s v="2000s"/>
    <s v="N/A"/>
    <s v="Economy"/>
  </r>
  <r>
    <s v="GM-02341"/>
    <s v="Jamaica"/>
    <x v="3"/>
    <x v="0"/>
    <x v="0"/>
    <s v="Life expectancy at birth"/>
    <s v="Health"/>
    <s v="SDG 3: Good Health and Well-being"/>
    <n v="58.53"/>
    <s v="Years"/>
    <s v="Jamaica|1952"/>
    <s v="Gapminder/Plotly country-year extract reshaped to long indicator format for education"/>
    <s v="OK"/>
    <s v="1950s"/>
    <s v="Medium"/>
    <s v="Health"/>
  </r>
  <r>
    <s v="GM-02342"/>
    <s v="Jamaica"/>
    <x v="3"/>
    <x v="0"/>
    <x v="1"/>
    <s v="Population, total"/>
    <s v="Demographics"/>
    <s v="SDG 11: Sustainable Cities and Communities"/>
    <n v="1426095"/>
    <s v="People"/>
    <s v="Jamaica|1952"/>
    <s v="Gapminder/Plotly country-year extract reshaped to long indicator format for education"/>
    <s v="OK"/>
    <s v="1950s"/>
    <s v="N/A"/>
    <s v="Demographics"/>
  </r>
  <r>
    <s v="GM-02343"/>
    <s v="Jamaica"/>
    <x v="3"/>
    <x v="0"/>
    <x v="2"/>
    <s v="GDP per capita"/>
    <s v="Economy"/>
    <s v="SDG 8: Decent Work and Economic Growth"/>
    <n v="2898.5308810000001"/>
    <s v="Source-defined international dollars"/>
    <s v="Jamaica|1952"/>
    <s v="Gapminder/Plotly country-year extract reshaped to long indicator format for education"/>
    <s v="OK"/>
    <s v="1950s"/>
    <s v="N/A"/>
    <s v="Economy"/>
  </r>
  <r>
    <s v="GM-02344"/>
    <s v="Jamaica"/>
    <x v="3"/>
    <x v="1"/>
    <x v="0"/>
    <s v="Life expectancy at birth"/>
    <s v="Health"/>
    <s v="SDG 3: Good Health and Well-being"/>
    <n v="62.61"/>
    <s v="Years"/>
    <s v="Jamaica|1957"/>
    <s v="Gapminder/Plotly country-year extract reshaped to long indicator format for education"/>
    <s v="OK"/>
    <s v="1950s"/>
    <s v="Medium"/>
    <s v="Health"/>
  </r>
  <r>
    <s v="GM-02345"/>
    <s v="Jamaica"/>
    <x v="3"/>
    <x v="1"/>
    <x v="1"/>
    <s v="Population, total"/>
    <s v="Demographics"/>
    <s v="SDG 11: Sustainable Cities and Communities"/>
    <n v="1535090"/>
    <s v="People"/>
    <s v="Jamaica|1957"/>
    <s v="Gapminder/Plotly country-year extract reshaped to long indicator format for education"/>
    <s v="OK"/>
    <s v="1950s"/>
    <s v="N/A"/>
    <s v="Demographics"/>
  </r>
  <r>
    <s v="GM-02346"/>
    <s v="Jamaica"/>
    <x v="3"/>
    <x v="1"/>
    <x v="2"/>
    <s v="GDP per capita"/>
    <s v="Economy"/>
    <s v="SDG 8: Decent Work and Economic Growth"/>
    <n v="4756.5257810000003"/>
    <s v="Source-defined international dollars"/>
    <s v="Jamaica|1957"/>
    <s v="Gapminder/Plotly country-year extract reshaped to long indicator format for education"/>
    <s v="OK"/>
    <s v="1950s"/>
    <s v="N/A"/>
    <s v="Economy"/>
  </r>
  <r>
    <s v="GM-02347"/>
    <s v="Jamaica"/>
    <x v="3"/>
    <x v="2"/>
    <x v="0"/>
    <s v="Life expectancy at birth"/>
    <s v="Health"/>
    <s v="SDG 3: Good Health and Well-being"/>
    <n v="65.61"/>
    <s v="Years"/>
    <s v="Jamaica|1962"/>
    <s v="Gapminder/Plotly country-year extract reshaped to long indicator format for education"/>
    <s v="OK"/>
    <s v="1960s"/>
    <s v="Medium"/>
    <s v="Health"/>
  </r>
  <r>
    <s v="GM-02348"/>
    <s v="Jamaica"/>
    <x v="3"/>
    <x v="2"/>
    <x v="1"/>
    <s v="Population, total"/>
    <s v="Demographics"/>
    <s v="SDG 11: Sustainable Cities and Communities"/>
    <n v="1665128"/>
    <s v="People"/>
    <s v="Jamaica|1962"/>
    <s v="Gapminder/Plotly country-year extract reshaped to long indicator format for education"/>
    <s v="OK"/>
    <s v="1960s"/>
    <s v="N/A"/>
    <s v="Demographics"/>
  </r>
  <r>
    <s v="GM-02349"/>
    <s v="Jamaica"/>
    <x v="3"/>
    <x v="2"/>
    <x v="2"/>
    <s v="GDP per capita"/>
    <s v="Economy"/>
    <s v="SDG 8: Decent Work and Economic Growth"/>
    <n v="5246.107524"/>
    <s v="Source-defined international dollars"/>
    <s v="Jamaica|1962"/>
    <s v="Gapminder/Plotly country-year extract reshaped to long indicator format for education"/>
    <s v="OK"/>
    <s v="1960s"/>
    <s v="N/A"/>
    <s v="Economy"/>
  </r>
  <r>
    <s v="GM-02350"/>
    <s v="Jamaica"/>
    <x v="3"/>
    <x v="3"/>
    <x v="0"/>
    <s v="Life expectancy at birth"/>
    <s v="Health"/>
    <s v="SDG 3: Good Health and Well-being"/>
    <n v="67.510000000000005"/>
    <s v="Years"/>
    <s v="Jamaica|1967"/>
    <s v="Gapminder/Plotly country-year extract reshaped to long indicator format for education"/>
    <s v="OK"/>
    <s v="1960s"/>
    <s v="Medium"/>
    <s v="Health"/>
  </r>
  <r>
    <s v="GM-02351"/>
    <s v="Jamaica"/>
    <x v="3"/>
    <x v="3"/>
    <x v="1"/>
    <s v="Population, total"/>
    <s v="Demographics"/>
    <s v="SDG 11: Sustainable Cities and Communities"/>
    <n v="1861096"/>
    <s v="People"/>
    <s v="Jamaica|1967"/>
    <s v="Gapminder/Plotly country-year extract reshaped to long indicator format for education"/>
    <s v="OK"/>
    <s v="1960s"/>
    <s v="N/A"/>
    <s v="Demographics"/>
  </r>
  <r>
    <s v="GM-02352"/>
    <s v="Jamaica"/>
    <x v="3"/>
    <x v="3"/>
    <x v="2"/>
    <s v="GDP per capita"/>
    <s v="Economy"/>
    <s v="SDG 8: Decent Work and Economic Growth"/>
    <n v="6124.7034509999903"/>
    <s v="Source-defined international dollars"/>
    <s v="Jamaica|1967"/>
    <s v="Gapminder/Plotly country-year extract reshaped to long indicator format for education"/>
    <s v="OK"/>
    <s v="1960s"/>
    <s v="N/A"/>
    <s v="Economy"/>
  </r>
  <r>
    <s v="GM-02353"/>
    <s v="Jamaica"/>
    <x v="3"/>
    <x v="4"/>
    <x v="0"/>
    <s v="Life expectancy at birth"/>
    <s v="Health"/>
    <s v="SDG 3: Good Health and Well-being"/>
    <n v="69"/>
    <s v="Years"/>
    <s v="Jamaica|1972"/>
    <s v="Gapminder/Plotly country-year extract reshaped to long indicator format for education"/>
    <s v="OK"/>
    <s v="1970s"/>
    <s v="Medium"/>
    <s v="Health"/>
  </r>
  <r>
    <s v="GM-02354"/>
    <s v="Jamaica"/>
    <x v="3"/>
    <x v="4"/>
    <x v="1"/>
    <s v="Population, total"/>
    <s v="Demographics"/>
    <s v="SDG 11: Sustainable Cities and Communities"/>
    <n v="1997616"/>
    <s v="People"/>
    <s v="Jamaica|1972"/>
    <s v="Gapminder/Plotly country-year extract reshaped to long indicator format for education"/>
    <s v="OK"/>
    <s v="1970s"/>
    <s v="N/A"/>
    <s v="Demographics"/>
  </r>
  <r>
    <s v="GM-02355"/>
    <s v="Jamaica"/>
    <x v="3"/>
    <x v="4"/>
    <x v="2"/>
    <s v="GDP per capita"/>
    <s v="Economy"/>
    <s v="SDG 8: Decent Work and Economic Growth"/>
    <n v="7433.8892930000002"/>
    <s v="Source-defined international dollars"/>
    <s v="Jamaica|1972"/>
    <s v="Gapminder/Plotly country-year extract reshaped to long indicator format for education"/>
    <s v="OK"/>
    <s v="1970s"/>
    <s v="N/A"/>
    <s v="Economy"/>
  </r>
  <r>
    <s v="GM-02356"/>
    <s v="Jamaica"/>
    <x v="3"/>
    <x v="5"/>
    <x v="0"/>
    <s v="Life expectancy at birth"/>
    <s v="Health"/>
    <s v="SDG 3: Good Health and Well-being"/>
    <n v="70.11"/>
    <s v="Years"/>
    <s v="Jamaica|1977"/>
    <s v="Gapminder/Plotly country-year extract reshaped to long indicator format for education"/>
    <s v="OK"/>
    <s v="1970s"/>
    <s v="High"/>
    <s v="Health"/>
  </r>
  <r>
    <s v="GM-02357"/>
    <s v="Jamaica"/>
    <x v="3"/>
    <x v="5"/>
    <x v="1"/>
    <s v="Population, total"/>
    <s v="Demographics"/>
    <s v="SDG 11: Sustainable Cities and Communities"/>
    <n v="2156814"/>
    <s v="People"/>
    <s v="Jamaica|1977"/>
    <s v="Gapminder/Plotly country-year extract reshaped to long indicator format for education"/>
    <s v="OK"/>
    <s v="1970s"/>
    <s v="N/A"/>
    <s v="Demographics"/>
  </r>
  <r>
    <s v="GM-02358"/>
    <s v="Jamaica"/>
    <x v="3"/>
    <x v="5"/>
    <x v="2"/>
    <s v="GDP per capita"/>
    <s v="Economy"/>
    <s v="SDG 8: Decent Work and Economic Growth"/>
    <n v="6650.195573"/>
    <s v="Source-defined international dollars"/>
    <s v="Jamaica|1977"/>
    <s v="Gapminder/Plotly country-year extract reshaped to long indicator format for education"/>
    <s v="OK"/>
    <s v="1970s"/>
    <s v="N/A"/>
    <s v="Economy"/>
  </r>
  <r>
    <s v="GM-02359"/>
    <s v="Jamaica"/>
    <x v="3"/>
    <x v="6"/>
    <x v="0"/>
    <s v="Life expectancy at birth"/>
    <s v="Health"/>
    <s v="SDG 3: Good Health and Well-being"/>
    <n v="71.209999999999994"/>
    <s v="Years"/>
    <s v="Jamaica|1982"/>
    <s v="Gapminder/Plotly country-year extract reshaped to long indicator format for education"/>
    <s v="OK"/>
    <s v="1980s"/>
    <s v="High"/>
    <s v="Health"/>
  </r>
  <r>
    <s v="GM-02360"/>
    <s v="Jamaica"/>
    <x v="3"/>
    <x v="6"/>
    <x v="1"/>
    <s v="Population, total"/>
    <s v="Demographics"/>
    <s v="SDG 11: Sustainable Cities and Communities"/>
    <n v="2298309"/>
    <s v="People"/>
    <s v="Jamaica|1982"/>
    <s v="Gapminder/Plotly country-year extract reshaped to long indicator format for education"/>
    <s v="OK"/>
    <s v="1980s"/>
    <s v="N/A"/>
    <s v="Demographics"/>
  </r>
  <r>
    <s v="GM-02361"/>
    <s v="Jamaica"/>
    <x v="3"/>
    <x v="6"/>
    <x v="2"/>
    <s v="GDP per capita"/>
    <s v="Economy"/>
    <s v="SDG 8: Decent Work and Economic Growth"/>
    <n v="6068.0513499999997"/>
    <s v="Source-defined international dollars"/>
    <s v="Jamaica|1982"/>
    <s v="Gapminder/Plotly country-year extract reshaped to long indicator format for education"/>
    <s v="OK"/>
    <s v="1980s"/>
    <s v="N/A"/>
    <s v="Economy"/>
  </r>
  <r>
    <s v="GM-02362"/>
    <s v="Jamaica"/>
    <x v="3"/>
    <x v="7"/>
    <x v="0"/>
    <s v="Life expectancy at birth"/>
    <s v="Health"/>
    <s v="SDG 3: Good Health and Well-being"/>
    <n v="71.77"/>
    <s v="Years"/>
    <s v="Jamaica|1987"/>
    <s v="Gapminder/Plotly country-year extract reshaped to long indicator format for education"/>
    <s v="OK"/>
    <s v="1980s"/>
    <s v="High"/>
    <s v="Health"/>
  </r>
  <r>
    <s v="GM-02363"/>
    <s v="Jamaica"/>
    <x v="3"/>
    <x v="7"/>
    <x v="1"/>
    <s v="Population, total"/>
    <s v="Demographics"/>
    <s v="SDG 11: Sustainable Cities and Communities"/>
    <n v="2326606"/>
    <s v="People"/>
    <s v="Jamaica|1987"/>
    <s v="Gapminder/Plotly country-year extract reshaped to long indicator format for education"/>
    <s v="OK"/>
    <s v="1980s"/>
    <s v="N/A"/>
    <s v="Demographics"/>
  </r>
  <r>
    <s v="GM-02364"/>
    <s v="Jamaica"/>
    <x v="3"/>
    <x v="7"/>
    <x v="2"/>
    <s v="GDP per capita"/>
    <s v="Economy"/>
    <s v="SDG 8: Decent Work and Economic Growth"/>
    <n v="6351.2374950000003"/>
    <s v="Source-defined international dollars"/>
    <s v="Jamaica|1987"/>
    <s v="Gapminder/Plotly country-year extract reshaped to long indicator format for education"/>
    <s v="OK"/>
    <s v="1980s"/>
    <s v="N/A"/>
    <s v="Economy"/>
  </r>
  <r>
    <s v="GM-02365"/>
    <s v="Jamaica"/>
    <x v="3"/>
    <x v="8"/>
    <x v="0"/>
    <s v="Life expectancy at birth"/>
    <s v="Health"/>
    <s v="SDG 3: Good Health and Well-being"/>
    <n v="71.766000000000005"/>
    <s v="Years"/>
    <s v="Jamaica|1992"/>
    <s v="Gapminder/Plotly country-year extract reshaped to long indicator format for education"/>
    <s v="OK"/>
    <s v="1990s"/>
    <s v="High"/>
    <s v="Health"/>
  </r>
  <r>
    <s v="GM-02366"/>
    <s v="Jamaica"/>
    <x v="3"/>
    <x v="8"/>
    <x v="1"/>
    <s v="Population, total"/>
    <s v="Demographics"/>
    <s v="SDG 11: Sustainable Cities and Communities"/>
    <n v="2378618"/>
    <s v="People"/>
    <s v="Jamaica|1992"/>
    <s v="Gapminder/Plotly country-year extract reshaped to long indicator format for education"/>
    <s v="OK"/>
    <s v="1990s"/>
    <s v="N/A"/>
    <s v="Demographics"/>
  </r>
  <r>
    <s v="GM-02367"/>
    <s v="Jamaica"/>
    <x v="3"/>
    <x v="8"/>
    <x v="2"/>
    <s v="GDP per capita"/>
    <s v="Economy"/>
    <s v="SDG 8: Decent Work and Economic Growth"/>
    <n v="7404.9236849999998"/>
    <s v="Source-defined international dollars"/>
    <s v="Jamaica|1992"/>
    <s v="Gapminder/Plotly country-year extract reshaped to long indicator format for education"/>
    <s v="OK"/>
    <s v="1990s"/>
    <s v="N/A"/>
    <s v="Economy"/>
  </r>
  <r>
    <s v="GM-02368"/>
    <s v="Jamaica"/>
    <x v="3"/>
    <x v="9"/>
    <x v="0"/>
    <s v="Life expectancy at birth"/>
    <s v="Health"/>
    <s v="SDG 3: Good Health and Well-being"/>
    <n v="72.262"/>
    <s v="Years"/>
    <s v="Jamaica|1997"/>
    <s v="Gapminder/Plotly country-year extract reshaped to long indicator format for education"/>
    <s v="OK"/>
    <s v="1990s"/>
    <s v="High"/>
    <s v="Health"/>
  </r>
  <r>
    <s v="GM-02369"/>
    <s v="Jamaica"/>
    <x v="3"/>
    <x v="9"/>
    <x v="1"/>
    <s v="Population, total"/>
    <s v="Demographics"/>
    <s v="SDG 11: Sustainable Cities and Communities"/>
    <n v="2531311"/>
    <s v="People"/>
    <s v="Jamaica|1997"/>
    <s v="Gapminder/Plotly country-year extract reshaped to long indicator format for education"/>
    <s v="OK"/>
    <s v="1990s"/>
    <s v="N/A"/>
    <s v="Demographics"/>
  </r>
  <r>
    <s v="GM-02370"/>
    <s v="Jamaica"/>
    <x v="3"/>
    <x v="9"/>
    <x v="2"/>
    <s v="GDP per capita"/>
    <s v="Economy"/>
    <s v="SDG 8: Decent Work and Economic Growth"/>
    <n v="7121.924704"/>
    <s v="Source-defined international dollars"/>
    <s v="Jamaica|1997"/>
    <s v="Gapminder/Plotly country-year extract reshaped to long indicator format for education"/>
    <s v="OK"/>
    <s v="1990s"/>
    <s v="N/A"/>
    <s v="Economy"/>
  </r>
  <r>
    <s v="GM-02371"/>
    <s v="Jamaica"/>
    <x v="3"/>
    <x v="10"/>
    <x v="0"/>
    <s v="Life expectancy at birth"/>
    <s v="Health"/>
    <s v="SDG 3: Good Health and Well-being"/>
    <n v="72.046999999999997"/>
    <s v="Years"/>
    <s v="Jamaica|2002"/>
    <s v="Gapminder/Plotly country-year extract reshaped to long indicator format for education"/>
    <s v="OK"/>
    <s v="2000s"/>
    <s v="High"/>
    <s v="Health"/>
  </r>
  <r>
    <s v="GM-02372"/>
    <s v="Jamaica"/>
    <x v="3"/>
    <x v="10"/>
    <x v="1"/>
    <s v="Population, total"/>
    <s v="Demographics"/>
    <s v="SDG 11: Sustainable Cities and Communities"/>
    <n v="2664659"/>
    <s v="People"/>
    <s v="Jamaica|2002"/>
    <s v="Gapminder/Plotly country-year extract reshaped to long indicator format for education"/>
    <s v="OK"/>
    <s v="2000s"/>
    <s v="N/A"/>
    <s v="Demographics"/>
  </r>
  <r>
    <s v="GM-02373"/>
    <s v="Jamaica"/>
    <x v="3"/>
    <x v="10"/>
    <x v="2"/>
    <s v="GDP per capita"/>
    <s v="Economy"/>
    <s v="SDG 8: Decent Work and Economic Growth"/>
    <n v="6994.7748609999999"/>
    <s v="Source-defined international dollars"/>
    <s v="Jamaica|2002"/>
    <s v="Gapminder/Plotly country-year extract reshaped to long indicator format for education"/>
    <s v="OK"/>
    <s v="2000s"/>
    <s v="N/A"/>
    <s v="Economy"/>
  </r>
  <r>
    <s v="GM-02374"/>
    <s v="Jamaica"/>
    <x v="3"/>
    <x v="11"/>
    <x v="0"/>
    <s v="Life expectancy at birth"/>
    <s v="Health"/>
    <s v="SDG 3: Good Health and Well-being"/>
    <n v="72.566999999999993"/>
    <s v="Years"/>
    <s v="Jamaica|2007"/>
    <s v="Gapminder/Plotly country-year extract reshaped to long indicator format for education"/>
    <s v="OK"/>
    <s v="2000s"/>
    <s v="High"/>
    <s v="Health"/>
  </r>
  <r>
    <s v="GM-02375"/>
    <s v="Jamaica"/>
    <x v="3"/>
    <x v="11"/>
    <x v="1"/>
    <s v="Population, total"/>
    <s v="Demographics"/>
    <s v="SDG 11: Sustainable Cities and Communities"/>
    <n v="2780132"/>
    <s v="People"/>
    <s v="Jamaica|2007"/>
    <s v="Gapminder/Plotly country-year extract reshaped to long indicator format for education"/>
    <s v="OK"/>
    <s v="2000s"/>
    <s v="N/A"/>
    <s v="Demographics"/>
  </r>
  <r>
    <s v="GM-02376"/>
    <s v="Jamaica"/>
    <x v="3"/>
    <x v="11"/>
    <x v="2"/>
    <s v="GDP per capita"/>
    <s v="Economy"/>
    <s v="SDG 8: Decent Work and Economic Growth"/>
    <n v="7320.8802619999997"/>
    <s v="Source-defined international dollars"/>
    <s v="Jamaica|2007"/>
    <s v="Gapminder/Plotly country-year extract reshaped to long indicator format for education"/>
    <s v="OK"/>
    <s v="2000s"/>
    <s v="N/A"/>
    <s v="Economy"/>
  </r>
  <r>
    <s v="GM-02377"/>
    <s v="Japan"/>
    <x v="0"/>
    <x v="0"/>
    <x v="0"/>
    <s v="Life expectancy at birth"/>
    <s v="Health"/>
    <s v="SDG 3: Good Health and Well-being"/>
    <n v="63.03"/>
    <s v="Years"/>
    <s v="Japan|1952"/>
    <s v="Gapminder/Plotly country-year extract reshaped to long indicator format for education"/>
    <s v="OK"/>
    <s v="1950s"/>
    <s v="Medium"/>
    <s v="Health"/>
  </r>
  <r>
    <s v="GM-02378"/>
    <s v="Japan"/>
    <x v="0"/>
    <x v="0"/>
    <x v="1"/>
    <s v="Population, total"/>
    <s v="Demographics"/>
    <s v="SDG 11: Sustainable Cities and Communities"/>
    <n v="86459025"/>
    <s v="People"/>
    <s v="Japan|1952"/>
    <s v="Gapminder/Plotly country-year extract reshaped to long indicator format for education"/>
    <s v="OK"/>
    <s v="1950s"/>
    <s v="N/A"/>
    <s v="Demographics"/>
  </r>
  <r>
    <s v="GM-02379"/>
    <s v="Japan"/>
    <x v="0"/>
    <x v="0"/>
    <x v="2"/>
    <s v="GDP per capita"/>
    <s v="Economy"/>
    <s v="SDG 8: Decent Work and Economic Growth"/>
    <n v="3216.9563469999998"/>
    <s v="Source-defined international dollars"/>
    <s v="Japan|1952"/>
    <s v="Gapminder/Plotly country-year extract reshaped to long indicator format for education"/>
    <s v="OK"/>
    <s v="1950s"/>
    <s v="N/A"/>
    <s v="Economy"/>
  </r>
  <r>
    <s v="GM-02380"/>
    <s v="Japan"/>
    <x v="0"/>
    <x v="1"/>
    <x v="0"/>
    <s v="Life expectancy at birth"/>
    <s v="Health"/>
    <s v="SDG 3: Good Health and Well-being"/>
    <n v="65.5"/>
    <s v="Years"/>
    <s v="Japan|1957"/>
    <s v="Gapminder/Plotly country-year extract reshaped to long indicator format for education"/>
    <s v="OK"/>
    <s v="1950s"/>
    <s v="Medium"/>
    <s v="Health"/>
  </r>
  <r>
    <s v="GM-02381"/>
    <s v="Japan"/>
    <x v="0"/>
    <x v="1"/>
    <x v="1"/>
    <s v="Population, total"/>
    <s v="Demographics"/>
    <s v="SDG 11: Sustainable Cities and Communities"/>
    <n v="91563009"/>
    <s v="People"/>
    <s v="Japan|1957"/>
    <s v="Gapminder/Plotly country-year extract reshaped to long indicator format for education"/>
    <s v="OK"/>
    <s v="1950s"/>
    <s v="N/A"/>
    <s v="Demographics"/>
  </r>
  <r>
    <s v="GM-02382"/>
    <s v="Japan"/>
    <x v="0"/>
    <x v="1"/>
    <x v="2"/>
    <s v="GDP per capita"/>
    <s v="Economy"/>
    <s v="SDG 8: Decent Work and Economic Growth"/>
    <n v="4317.6943650000003"/>
    <s v="Source-defined international dollars"/>
    <s v="Japan|1957"/>
    <s v="Gapminder/Plotly country-year extract reshaped to long indicator format for education"/>
    <s v="OK"/>
    <s v="1950s"/>
    <s v="N/A"/>
    <s v="Economy"/>
  </r>
  <r>
    <s v="GM-02383"/>
    <s v="Japan"/>
    <x v="0"/>
    <x v="2"/>
    <x v="0"/>
    <s v="Life expectancy at birth"/>
    <s v="Health"/>
    <s v="SDG 3: Good Health and Well-being"/>
    <n v="68.73"/>
    <s v="Years"/>
    <s v="Japan|1962"/>
    <s v="Gapminder/Plotly country-year extract reshaped to long indicator format for education"/>
    <s v="OK"/>
    <s v="1960s"/>
    <s v="Medium"/>
    <s v="Health"/>
  </r>
  <r>
    <s v="GM-02384"/>
    <s v="Japan"/>
    <x v="0"/>
    <x v="2"/>
    <x v="1"/>
    <s v="Population, total"/>
    <s v="Demographics"/>
    <s v="SDG 11: Sustainable Cities and Communities"/>
    <n v="95831757"/>
    <s v="People"/>
    <s v="Japan|1962"/>
    <s v="Gapminder/Plotly country-year extract reshaped to long indicator format for education"/>
    <s v="OK"/>
    <s v="1960s"/>
    <s v="N/A"/>
    <s v="Demographics"/>
  </r>
  <r>
    <s v="GM-02385"/>
    <s v="Japan"/>
    <x v="0"/>
    <x v="2"/>
    <x v="2"/>
    <s v="GDP per capita"/>
    <s v="Economy"/>
    <s v="SDG 8: Decent Work and Economic Growth"/>
    <n v="6576.649461"/>
    <s v="Source-defined international dollars"/>
    <s v="Japan|1962"/>
    <s v="Gapminder/Plotly country-year extract reshaped to long indicator format for education"/>
    <s v="OK"/>
    <s v="1960s"/>
    <s v="N/A"/>
    <s v="Economy"/>
  </r>
  <r>
    <s v="GM-02386"/>
    <s v="Japan"/>
    <x v="0"/>
    <x v="3"/>
    <x v="0"/>
    <s v="Life expectancy at birth"/>
    <s v="Health"/>
    <s v="SDG 3: Good Health and Well-being"/>
    <n v="71.430000000000007"/>
    <s v="Years"/>
    <s v="Japan|1967"/>
    <s v="Gapminder/Plotly country-year extract reshaped to long indicator format for education"/>
    <s v="OK"/>
    <s v="1960s"/>
    <s v="High"/>
    <s v="Health"/>
  </r>
  <r>
    <s v="GM-02387"/>
    <s v="Japan"/>
    <x v="0"/>
    <x v="3"/>
    <x v="1"/>
    <s v="Population, total"/>
    <s v="Demographics"/>
    <s v="SDG 11: Sustainable Cities and Communities"/>
    <n v="100825279"/>
    <s v="People"/>
    <s v="Japan|1967"/>
    <s v="Gapminder/Plotly country-year extract reshaped to long indicator format for education"/>
    <s v="OK"/>
    <s v="1960s"/>
    <s v="N/A"/>
    <s v="Demographics"/>
  </r>
  <r>
    <s v="GM-02388"/>
    <s v="Japan"/>
    <x v="0"/>
    <x v="3"/>
    <x v="2"/>
    <s v="GDP per capita"/>
    <s v="Economy"/>
    <s v="SDG 8: Decent Work and Economic Growth"/>
    <n v="9847.7886070000004"/>
    <s v="Source-defined international dollars"/>
    <s v="Japan|1967"/>
    <s v="Gapminder/Plotly country-year extract reshaped to long indicator format for education"/>
    <s v="OK"/>
    <s v="1960s"/>
    <s v="N/A"/>
    <s v="Economy"/>
  </r>
  <r>
    <s v="GM-02389"/>
    <s v="Japan"/>
    <x v="0"/>
    <x v="4"/>
    <x v="0"/>
    <s v="Life expectancy at birth"/>
    <s v="Health"/>
    <s v="SDG 3: Good Health and Well-being"/>
    <n v="73.42"/>
    <s v="Years"/>
    <s v="Japan|1972"/>
    <s v="Gapminder/Plotly country-year extract reshaped to long indicator format for education"/>
    <s v="OK"/>
    <s v="1970s"/>
    <s v="High"/>
    <s v="Health"/>
  </r>
  <r>
    <s v="GM-02390"/>
    <s v="Japan"/>
    <x v="0"/>
    <x v="4"/>
    <x v="1"/>
    <s v="Population, total"/>
    <s v="Demographics"/>
    <s v="SDG 11: Sustainable Cities and Communities"/>
    <n v="107188273"/>
    <s v="People"/>
    <s v="Japan|1972"/>
    <s v="Gapminder/Plotly country-year extract reshaped to long indicator format for education"/>
    <s v="OK"/>
    <s v="1970s"/>
    <s v="N/A"/>
    <s v="Demographics"/>
  </r>
  <r>
    <s v="GM-02391"/>
    <s v="Japan"/>
    <x v="0"/>
    <x v="4"/>
    <x v="2"/>
    <s v="GDP per capita"/>
    <s v="Economy"/>
    <s v="SDG 8: Decent Work and Economic Growth"/>
    <n v="14778.78636"/>
    <s v="Source-defined international dollars"/>
    <s v="Japan|1972"/>
    <s v="Gapminder/Plotly country-year extract reshaped to long indicator format for education"/>
    <s v="OK"/>
    <s v="1970s"/>
    <s v="N/A"/>
    <s v="Economy"/>
  </r>
  <r>
    <s v="GM-02392"/>
    <s v="Japan"/>
    <x v="0"/>
    <x v="5"/>
    <x v="0"/>
    <s v="Life expectancy at birth"/>
    <s v="Health"/>
    <s v="SDG 3: Good Health and Well-being"/>
    <n v="75.38"/>
    <s v="Years"/>
    <s v="Japan|1977"/>
    <s v="Gapminder/Plotly country-year extract reshaped to long indicator format for education"/>
    <s v="OK"/>
    <s v="1970s"/>
    <s v="High"/>
    <s v="Health"/>
  </r>
  <r>
    <s v="GM-02393"/>
    <s v="Japan"/>
    <x v="0"/>
    <x v="5"/>
    <x v="1"/>
    <s v="Population, total"/>
    <s v="Demographics"/>
    <s v="SDG 11: Sustainable Cities and Communities"/>
    <n v="113872473"/>
    <s v="People"/>
    <s v="Japan|1977"/>
    <s v="Gapminder/Plotly country-year extract reshaped to long indicator format for education"/>
    <s v="OK"/>
    <s v="1970s"/>
    <s v="N/A"/>
    <s v="Demographics"/>
  </r>
  <r>
    <s v="GM-02394"/>
    <s v="Japan"/>
    <x v="0"/>
    <x v="5"/>
    <x v="2"/>
    <s v="GDP per capita"/>
    <s v="Economy"/>
    <s v="SDG 8: Decent Work and Economic Growth"/>
    <n v="16610.37701"/>
    <s v="Source-defined international dollars"/>
    <s v="Japan|1977"/>
    <s v="Gapminder/Plotly country-year extract reshaped to long indicator format for education"/>
    <s v="OK"/>
    <s v="1970s"/>
    <s v="N/A"/>
    <s v="Economy"/>
  </r>
  <r>
    <s v="GM-02395"/>
    <s v="Japan"/>
    <x v="0"/>
    <x v="6"/>
    <x v="0"/>
    <s v="Life expectancy at birth"/>
    <s v="Health"/>
    <s v="SDG 3: Good Health and Well-being"/>
    <n v="77.11"/>
    <s v="Years"/>
    <s v="Japan|1982"/>
    <s v="Gapminder/Plotly country-year extract reshaped to long indicator format for education"/>
    <s v="OK"/>
    <s v="1980s"/>
    <s v="High"/>
    <s v="Health"/>
  </r>
  <r>
    <s v="GM-02396"/>
    <s v="Japan"/>
    <x v="0"/>
    <x v="6"/>
    <x v="1"/>
    <s v="Population, total"/>
    <s v="Demographics"/>
    <s v="SDG 11: Sustainable Cities and Communities"/>
    <n v="118454974"/>
    <s v="People"/>
    <s v="Japan|1982"/>
    <s v="Gapminder/Plotly country-year extract reshaped to long indicator format for education"/>
    <s v="OK"/>
    <s v="1980s"/>
    <s v="N/A"/>
    <s v="Demographics"/>
  </r>
  <r>
    <s v="GM-02397"/>
    <s v="Japan"/>
    <x v="0"/>
    <x v="6"/>
    <x v="2"/>
    <s v="GDP per capita"/>
    <s v="Economy"/>
    <s v="SDG 8: Decent Work and Economic Growth"/>
    <n v="19384.10571"/>
    <s v="Source-defined international dollars"/>
    <s v="Japan|1982"/>
    <s v="Gapminder/Plotly country-year extract reshaped to long indicator format for education"/>
    <s v="OK"/>
    <s v="1980s"/>
    <s v="N/A"/>
    <s v="Economy"/>
  </r>
  <r>
    <s v="GM-02398"/>
    <s v="Japan"/>
    <x v="0"/>
    <x v="7"/>
    <x v="0"/>
    <s v="Life expectancy at birth"/>
    <s v="Health"/>
    <s v="SDG 3: Good Health and Well-being"/>
    <n v="78.67"/>
    <s v="Years"/>
    <s v="Japan|1987"/>
    <s v="Gapminder/Plotly country-year extract reshaped to long indicator format for education"/>
    <s v="OK"/>
    <s v="1980s"/>
    <s v="High"/>
    <s v="Health"/>
  </r>
  <r>
    <s v="GM-02399"/>
    <s v="Japan"/>
    <x v="0"/>
    <x v="7"/>
    <x v="1"/>
    <s v="Population, total"/>
    <s v="Demographics"/>
    <s v="SDG 11: Sustainable Cities and Communities"/>
    <n v="122091325"/>
    <s v="People"/>
    <s v="Japan|1987"/>
    <s v="Gapminder/Plotly country-year extract reshaped to long indicator format for education"/>
    <s v="OK"/>
    <s v="1980s"/>
    <s v="N/A"/>
    <s v="Demographics"/>
  </r>
  <r>
    <s v="GM-02400"/>
    <s v="Japan"/>
    <x v="0"/>
    <x v="7"/>
    <x v="2"/>
    <s v="GDP per capita"/>
    <s v="Economy"/>
    <s v="SDG 8: Decent Work and Economic Growth"/>
    <n v="22375.941889999998"/>
    <s v="Source-defined international dollars"/>
    <s v="Japan|1987"/>
    <s v="Gapminder/Plotly country-year extract reshaped to long indicator format for education"/>
    <s v="OK"/>
    <s v="1980s"/>
    <s v="N/A"/>
    <s v="Economy"/>
  </r>
  <r>
    <s v="GM-02401"/>
    <s v="Japan"/>
    <x v="0"/>
    <x v="8"/>
    <x v="0"/>
    <s v="Life expectancy at birth"/>
    <s v="Health"/>
    <s v="SDG 3: Good Health and Well-being"/>
    <n v="79.36"/>
    <s v="Years"/>
    <s v="Japan|1992"/>
    <s v="Gapminder/Plotly country-year extract reshaped to long indicator format for education"/>
    <s v="OK"/>
    <s v="1990s"/>
    <s v="High"/>
    <s v="Health"/>
  </r>
  <r>
    <s v="GM-02402"/>
    <s v="Japan"/>
    <x v="0"/>
    <x v="8"/>
    <x v="1"/>
    <s v="Population, total"/>
    <s v="Demographics"/>
    <s v="SDG 11: Sustainable Cities and Communities"/>
    <n v="124329269"/>
    <s v="People"/>
    <s v="Japan|1992"/>
    <s v="Gapminder/Plotly country-year extract reshaped to long indicator format for education"/>
    <s v="OK"/>
    <s v="1990s"/>
    <s v="N/A"/>
    <s v="Demographics"/>
  </r>
  <r>
    <s v="GM-02403"/>
    <s v="Japan"/>
    <x v="0"/>
    <x v="8"/>
    <x v="2"/>
    <s v="GDP per capita"/>
    <s v="Economy"/>
    <s v="SDG 8: Decent Work and Economic Growth"/>
    <n v="26824.895110000001"/>
    <s v="Source-defined international dollars"/>
    <s v="Japan|1992"/>
    <s v="Gapminder/Plotly country-year extract reshaped to long indicator format for education"/>
    <s v="OK"/>
    <s v="1990s"/>
    <s v="N/A"/>
    <s v="Economy"/>
  </r>
  <r>
    <s v="GM-02404"/>
    <s v="Japan"/>
    <x v="0"/>
    <x v="9"/>
    <x v="0"/>
    <s v="Life expectancy at birth"/>
    <s v="Health"/>
    <s v="SDG 3: Good Health and Well-being"/>
    <n v="80.69"/>
    <s v="Years"/>
    <s v="Japan|1997"/>
    <s v="Gapminder/Plotly country-year extract reshaped to long indicator format for education"/>
    <s v="OK"/>
    <s v="1990s"/>
    <s v="High"/>
    <s v="Health"/>
  </r>
  <r>
    <s v="GM-02405"/>
    <s v="Japan"/>
    <x v="0"/>
    <x v="9"/>
    <x v="1"/>
    <s v="Population, total"/>
    <s v="Demographics"/>
    <s v="SDG 11: Sustainable Cities and Communities"/>
    <n v="125956499"/>
    <s v="People"/>
    <s v="Japan|1997"/>
    <s v="Gapminder/Plotly country-year extract reshaped to long indicator format for education"/>
    <s v="OK"/>
    <s v="1990s"/>
    <s v="N/A"/>
    <s v="Demographics"/>
  </r>
  <r>
    <s v="GM-02406"/>
    <s v="Japan"/>
    <x v="0"/>
    <x v="9"/>
    <x v="2"/>
    <s v="GDP per capita"/>
    <s v="Economy"/>
    <s v="SDG 8: Decent Work and Economic Growth"/>
    <n v="28816.584989999999"/>
    <s v="Source-defined international dollars"/>
    <s v="Japan|1997"/>
    <s v="Gapminder/Plotly country-year extract reshaped to long indicator format for education"/>
    <s v="OK"/>
    <s v="1990s"/>
    <s v="N/A"/>
    <s v="Economy"/>
  </r>
  <r>
    <s v="GM-02407"/>
    <s v="Japan"/>
    <x v="0"/>
    <x v="10"/>
    <x v="0"/>
    <s v="Life expectancy at birth"/>
    <s v="Health"/>
    <s v="SDG 3: Good Health and Well-being"/>
    <n v="82"/>
    <s v="Years"/>
    <s v="Japan|2002"/>
    <s v="Gapminder/Plotly country-year extract reshaped to long indicator format for education"/>
    <s v="OK"/>
    <s v="2000s"/>
    <s v="High"/>
    <s v="Health"/>
  </r>
  <r>
    <s v="GM-02408"/>
    <s v="Japan"/>
    <x v="0"/>
    <x v="10"/>
    <x v="1"/>
    <s v="Population, total"/>
    <s v="Demographics"/>
    <s v="SDG 11: Sustainable Cities and Communities"/>
    <n v="127065841"/>
    <s v="People"/>
    <s v="Japan|2002"/>
    <s v="Gapminder/Plotly country-year extract reshaped to long indicator format for education"/>
    <s v="OK"/>
    <s v="2000s"/>
    <s v="N/A"/>
    <s v="Demographics"/>
  </r>
  <r>
    <s v="GM-02409"/>
    <s v="Japan"/>
    <x v="0"/>
    <x v="10"/>
    <x v="2"/>
    <s v="GDP per capita"/>
    <s v="Economy"/>
    <s v="SDG 8: Decent Work and Economic Growth"/>
    <n v="28604.591899999999"/>
    <s v="Source-defined international dollars"/>
    <s v="Japan|2002"/>
    <s v="Gapminder/Plotly country-year extract reshaped to long indicator format for education"/>
    <s v="OK"/>
    <s v="2000s"/>
    <s v="N/A"/>
    <s v="Economy"/>
  </r>
  <r>
    <s v="GM-02410"/>
    <s v="Japan"/>
    <x v="0"/>
    <x v="11"/>
    <x v="0"/>
    <s v="Life expectancy at birth"/>
    <s v="Health"/>
    <s v="SDG 3: Good Health and Well-being"/>
    <n v="82.602999999999994"/>
    <s v="Years"/>
    <s v="Japan|2007"/>
    <s v="Gapminder/Plotly country-year extract reshaped to long indicator format for education"/>
    <s v="OK"/>
    <s v="2000s"/>
    <s v="High"/>
    <s v="Health"/>
  </r>
  <r>
    <s v="GM-02411"/>
    <s v="Japan"/>
    <x v="0"/>
    <x v="11"/>
    <x v="1"/>
    <s v="Population, total"/>
    <s v="Demographics"/>
    <s v="SDG 11: Sustainable Cities and Communities"/>
    <n v="127467972"/>
    <s v="People"/>
    <s v="Japan|2007"/>
    <s v="Gapminder/Plotly country-year extract reshaped to long indicator format for education"/>
    <s v="OK"/>
    <s v="2000s"/>
    <s v="N/A"/>
    <s v="Demographics"/>
  </r>
  <r>
    <s v="GM-02412"/>
    <s v="Japan"/>
    <x v="0"/>
    <x v="11"/>
    <x v="2"/>
    <s v="GDP per capita"/>
    <s v="Economy"/>
    <s v="SDG 8: Decent Work and Economic Growth"/>
    <n v="31656.068060000001"/>
    <s v="Source-defined international dollars"/>
    <s v="Japan|2007"/>
    <s v="Gapminder/Plotly country-year extract reshaped to long indicator format for education"/>
    <s v="OK"/>
    <s v="2000s"/>
    <s v="N/A"/>
    <s v="Economy"/>
  </r>
  <r>
    <s v="GM-02413"/>
    <s v="Jordan"/>
    <x v="0"/>
    <x v="0"/>
    <x v="0"/>
    <s v="Life expectancy at birth"/>
    <s v="Health"/>
    <s v="SDG 3: Good Health and Well-being"/>
    <n v="43.158000000000001"/>
    <s v="Years"/>
    <s v="Jordan|1952"/>
    <s v="Gapminder/Plotly country-year extract reshaped to long indicator format for education"/>
    <s v="OK"/>
    <s v="1950s"/>
    <s v="Low"/>
    <s v="Health"/>
  </r>
  <r>
    <s v="GM-02414"/>
    <s v="Jordan"/>
    <x v="0"/>
    <x v="0"/>
    <x v="1"/>
    <s v="Population, total"/>
    <s v="Demographics"/>
    <s v="SDG 11: Sustainable Cities and Communities"/>
    <n v="607914"/>
    <s v="People"/>
    <s v="Jordan|1952"/>
    <s v="Gapminder/Plotly country-year extract reshaped to long indicator format for education"/>
    <s v="OK"/>
    <s v="1950s"/>
    <s v="N/A"/>
    <s v="Demographics"/>
  </r>
  <r>
    <s v="GM-02415"/>
    <s v="Jordan"/>
    <x v="0"/>
    <x v="0"/>
    <x v="2"/>
    <s v="GDP per capita"/>
    <s v="Economy"/>
    <s v="SDG 8: Decent Work and Economic Growth"/>
    <n v="1546.907807"/>
    <s v="Source-defined international dollars"/>
    <s v="Jordan|1952"/>
    <s v="Gapminder/Plotly country-year extract reshaped to long indicator format for education"/>
    <s v="OK"/>
    <s v="1950s"/>
    <s v="N/A"/>
    <s v="Economy"/>
  </r>
  <r>
    <s v="GM-02416"/>
    <s v="Jordan"/>
    <x v="0"/>
    <x v="1"/>
    <x v="0"/>
    <s v="Life expectancy at birth"/>
    <s v="Health"/>
    <s v="SDG 3: Good Health and Well-being"/>
    <n v="45.668999999999997"/>
    <s v="Years"/>
    <s v="Jordan|1957"/>
    <s v="Gapminder/Plotly country-year extract reshaped to long indicator format for education"/>
    <s v="OK"/>
    <s v="1950s"/>
    <s v="Low"/>
    <s v="Health"/>
  </r>
  <r>
    <s v="GM-02417"/>
    <s v="Jordan"/>
    <x v="0"/>
    <x v="1"/>
    <x v="1"/>
    <s v="Population, total"/>
    <s v="Demographics"/>
    <s v="SDG 11: Sustainable Cities and Communities"/>
    <n v="746559"/>
    <s v="People"/>
    <s v="Jordan|1957"/>
    <s v="Gapminder/Plotly country-year extract reshaped to long indicator format for education"/>
    <s v="OK"/>
    <s v="1950s"/>
    <s v="N/A"/>
    <s v="Demographics"/>
  </r>
  <r>
    <s v="GM-02418"/>
    <s v="Jordan"/>
    <x v="0"/>
    <x v="1"/>
    <x v="2"/>
    <s v="GDP per capita"/>
    <s v="Economy"/>
    <s v="SDG 8: Decent Work and Economic Growth"/>
    <n v="1886.0805909999999"/>
    <s v="Source-defined international dollars"/>
    <s v="Jordan|1957"/>
    <s v="Gapminder/Plotly country-year extract reshaped to long indicator format for education"/>
    <s v="OK"/>
    <s v="1950s"/>
    <s v="N/A"/>
    <s v="Economy"/>
  </r>
  <r>
    <s v="GM-02419"/>
    <s v="Jordan"/>
    <x v="0"/>
    <x v="2"/>
    <x v="0"/>
    <s v="Life expectancy at birth"/>
    <s v="Health"/>
    <s v="SDG 3: Good Health and Well-being"/>
    <n v="48.125999999999998"/>
    <s v="Years"/>
    <s v="Jordan|1962"/>
    <s v="Gapminder/Plotly country-year extract reshaped to long indicator format for education"/>
    <s v="OK"/>
    <s v="1960s"/>
    <s v="Low"/>
    <s v="Health"/>
  </r>
  <r>
    <s v="GM-02420"/>
    <s v="Jordan"/>
    <x v="0"/>
    <x v="2"/>
    <x v="1"/>
    <s v="Population, total"/>
    <s v="Demographics"/>
    <s v="SDG 11: Sustainable Cities and Communities"/>
    <n v="933559"/>
    <s v="People"/>
    <s v="Jordan|1962"/>
    <s v="Gapminder/Plotly country-year extract reshaped to long indicator format for education"/>
    <s v="OK"/>
    <s v="1960s"/>
    <s v="N/A"/>
    <s v="Demographics"/>
  </r>
  <r>
    <s v="GM-02421"/>
    <s v="Jordan"/>
    <x v="0"/>
    <x v="2"/>
    <x v="2"/>
    <s v="GDP per capita"/>
    <s v="Economy"/>
    <s v="SDG 8: Decent Work and Economic Growth"/>
    <n v="2348.0091579999998"/>
    <s v="Source-defined international dollars"/>
    <s v="Jordan|1962"/>
    <s v="Gapminder/Plotly country-year extract reshaped to long indicator format for education"/>
    <s v="OK"/>
    <s v="1960s"/>
    <s v="N/A"/>
    <s v="Economy"/>
  </r>
  <r>
    <s v="GM-02422"/>
    <s v="Jordan"/>
    <x v="0"/>
    <x v="3"/>
    <x v="0"/>
    <s v="Life expectancy at birth"/>
    <s v="Health"/>
    <s v="SDG 3: Good Health and Well-being"/>
    <n v="51.628999999999998"/>
    <s v="Years"/>
    <s v="Jordan|1967"/>
    <s v="Gapminder/Plotly country-year extract reshaped to long indicator format for education"/>
    <s v="OK"/>
    <s v="1960s"/>
    <s v="Low"/>
    <s v="Health"/>
  </r>
  <r>
    <s v="GM-02423"/>
    <s v="Jordan"/>
    <x v="0"/>
    <x v="3"/>
    <x v="1"/>
    <s v="Population, total"/>
    <s v="Demographics"/>
    <s v="SDG 11: Sustainable Cities and Communities"/>
    <n v="1255058"/>
    <s v="People"/>
    <s v="Jordan|1967"/>
    <s v="Gapminder/Plotly country-year extract reshaped to long indicator format for education"/>
    <s v="OK"/>
    <s v="1960s"/>
    <s v="N/A"/>
    <s v="Demographics"/>
  </r>
  <r>
    <s v="GM-02424"/>
    <s v="Jordan"/>
    <x v="0"/>
    <x v="3"/>
    <x v="2"/>
    <s v="GDP per capita"/>
    <s v="Economy"/>
    <s v="SDG 8: Decent Work and Economic Growth"/>
    <n v="2741.7962520000001"/>
    <s v="Source-defined international dollars"/>
    <s v="Jordan|1967"/>
    <s v="Gapminder/Plotly country-year extract reshaped to long indicator format for education"/>
    <s v="OK"/>
    <s v="1960s"/>
    <s v="N/A"/>
    <s v="Economy"/>
  </r>
  <r>
    <s v="GM-02425"/>
    <s v="Jordan"/>
    <x v="0"/>
    <x v="4"/>
    <x v="0"/>
    <s v="Life expectancy at birth"/>
    <s v="Health"/>
    <s v="SDG 3: Good Health and Well-being"/>
    <n v="56.527999999999999"/>
    <s v="Years"/>
    <s v="Jordan|1972"/>
    <s v="Gapminder/Plotly country-year extract reshaped to long indicator format for education"/>
    <s v="OK"/>
    <s v="1970s"/>
    <s v="Medium"/>
    <s v="Health"/>
  </r>
  <r>
    <s v="GM-02426"/>
    <s v="Jordan"/>
    <x v="0"/>
    <x v="4"/>
    <x v="1"/>
    <s v="Population, total"/>
    <s v="Demographics"/>
    <s v="SDG 11: Sustainable Cities and Communities"/>
    <n v="1613551"/>
    <s v="People"/>
    <s v="Jordan|1972"/>
    <s v="Gapminder/Plotly country-year extract reshaped to long indicator format for education"/>
    <s v="OK"/>
    <s v="1970s"/>
    <s v="N/A"/>
    <s v="Demographics"/>
  </r>
  <r>
    <s v="GM-02427"/>
    <s v="Jordan"/>
    <x v="0"/>
    <x v="4"/>
    <x v="2"/>
    <s v="GDP per capita"/>
    <s v="Economy"/>
    <s v="SDG 8: Decent Work and Economic Growth"/>
    <n v="2110.8563089999998"/>
    <s v="Source-defined international dollars"/>
    <s v="Jordan|1972"/>
    <s v="Gapminder/Plotly country-year extract reshaped to long indicator format for education"/>
    <s v="OK"/>
    <s v="1970s"/>
    <s v="N/A"/>
    <s v="Economy"/>
  </r>
  <r>
    <s v="GM-02428"/>
    <s v="Jordan"/>
    <x v="0"/>
    <x v="5"/>
    <x v="0"/>
    <s v="Life expectancy at birth"/>
    <s v="Health"/>
    <s v="SDG 3: Good Health and Well-being"/>
    <n v="61.133999999999901"/>
    <s v="Years"/>
    <s v="Jordan|1977"/>
    <s v="Gapminder/Plotly country-year extract reshaped to long indicator format for education"/>
    <s v="OK"/>
    <s v="1970s"/>
    <s v="Medium"/>
    <s v="Health"/>
  </r>
  <r>
    <s v="GM-02429"/>
    <s v="Jordan"/>
    <x v="0"/>
    <x v="5"/>
    <x v="1"/>
    <s v="Population, total"/>
    <s v="Demographics"/>
    <s v="SDG 11: Sustainable Cities and Communities"/>
    <n v="1937652"/>
    <s v="People"/>
    <s v="Jordan|1977"/>
    <s v="Gapminder/Plotly country-year extract reshaped to long indicator format for education"/>
    <s v="OK"/>
    <s v="1970s"/>
    <s v="N/A"/>
    <s v="Demographics"/>
  </r>
  <r>
    <s v="GM-02430"/>
    <s v="Jordan"/>
    <x v="0"/>
    <x v="5"/>
    <x v="2"/>
    <s v="GDP per capita"/>
    <s v="Economy"/>
    <s v="SDG 8: Decent Work and Economic Growth"/>
    <n v="2852.351568"/>
    <s v="Source-defined international dollars"/>
    <s v="Jordan|1977"/>
    <s v="Gapminder/Plotly country-year extract reshaped to long indicator format for education"/>
    <s v="OK"/>
    <s v="1970s"/>
    <s v="N/A"/>
    <s v="Economy"/>
  </r>
  <r>
    <s v="GM-02431"/>
    <s v="Jordan"/>
    <x v="0"/>
    <x v="6"/>
    <x v="0"/>
    <s v="Life expectancy at birth"/>
    <s v="Health"/>
    <s v="SDG 3: Good Health and Well-being"/>
    <n v="63.738999999999997"/>
    <s v="Years"/>
    <s v="Jordan|1982"/>
    <s v="Gapminder/Plotly country-year extract reshaped to long indicator format for education"/>
    <s v="OK"/>
    <s v="1980s"/>
    <s v="Medium"/>
    <s v="Health"/>
  </r>
  <r>
    <s v="GM-02432"/>
    <s v="Jordan"/>
    <x v="0"/>
    <x v="6"/>
    <x v="1"/>
    <s v="Population, total"/>
    <s v="Demographics"/>
    <s v="SDG 11: Sustainable Cities and Communities"/>
    <n v="2347031"/>
    <s v="People"/>
    <s v="Jordan|1982"/>
    <s v="Gapminder/Plotly country-year extract reshaped to long indicator format for education"/>
    <s v="OK"/>
    <s v="1980s"/>
    <s v="N/A"/>
    <s v="Demographics"/>
  </r>
  <r>
    <s v="GM-02433"/>
    <s v="Jordan"/>
    <x v="0"/>
    <x v="6"/>
    <x v="2"/>
    <s v="GDP per capita"/>
    <s v="Economy"/>
    <s v="SDG 8: Decent Work and Economic Growth"/>
    <n v="4161.4159589999999"/>
    <s v="Source-defined international dollars"/>
    <s v="Jordan|1982"/>
    <s v="Gapminder/Plotly country-year extract reshaped to long indicator format for education"/>
    <s v="OK"/>
    <s v="1980s"/>
    <s v="N/A"/>
    <s v="Economy"/>
  </r>
  <r>
    <s v="GM-02434"/>
    <s v="Jordan"/>
    <x v="0"/>
    <x v="7"/>
    <x v="0"/>
    <s v="Life expectancy at birth"/>
    <s v="Health"/>
    <s v="SDG 3: Good Health and Well-being"/>
    <n v="65.869"/>
    <s v="Years"/>
    <s v="Jordan|1987"/>
    <s v="Gapminder/Plotly country-year extract reshaped to long indicator format for education"/>
    <s v="OK"/>
    <s v="1980s"/>
    <s v="Medium"/>
    <s v="Health"/>
  </r>
  <r>
    <s v="GM-02435"/>
    <s v="Jordan"/>
    <x v="0"/>
    <x v="7"/>
    <x v="1"/>
    <s v="Population, total"/>
    <s v="Demographics"/>
    <s v="SDG 11: Sustainable Cities and Communities"/>
    <n v="2820042"/>
    <s v="People"/>
    <s v="Jordan|1987"/>
    <s v="Gapminder/Plotly country-year extract reshaped to long indicator format for education"/>
    <s v="OK"/>
    <s v="1980s"/>
    <s v="N/A"/>
    <s v="Demographics"/>
  </r>
  <r>
    <s v="GM-02436"/>
    <s v="Jordan"/>
    <x v="0"/>
    <x v="7"/>
    <x v="2"/>
    <s v="GDP per capita"/>
    <s v="Economy"/>
    <s v="SDG 8: Decent Work and Economic Growth"/>
    <n v="4448.6799119999996"/>
    <s v="Source-defined international dollars"/>
    <s v="Jordan|1987"/>
    <s v="Gapminder/Plotly country-year extract reshaped to long indicator format for education"/>
    <s v="OK"/>
    <s v="1980s"/>
    <s v="N/A"/>
    <s v="Economy"/>
  </r>
  <r>
    <s v="GM-02437"/>
    <s v="Jordan"/>
    <x v="0"/>
    <x v="8"/>
    <x v="0"/>
    <s v="Life expectancy at birth"/>
    <s v="Health"/>
    <s v="SDG 3: Good Health and Well-being"/>
    <n v="68.015000000000001"/>
    <s v="Years"/>
    <s v="Jordan|1992"/>
    <s v="Gapminder/Plotly country-year extract reshaped to long indicator format for education"/>
    <s v="OK"/>
    <s v="1990s"/>
    <s v="Medium"/>
    <s v="Health"/>
  </r>
  <r>
    <s v="GM-02438"/>
    <s v="Jordan"/>
    <x v="0"/>
    <x v="8"/>
    <x v="1"/>
    <s v="Population, total"/>
    <s v="Demographics"/>
    <s v="SDG 11: Sustainable Cities and Communities"/>
    <n v="3867409"/>
    <s v="People"/>
    <s v="Jordan|1992"/>
    <s v="Gapminder/Plotly country-year extract reshaped to long indicator format for education"/>
    <s v="OK"/>
    <s v="1990s"/>
    <s v="N/A"/>
    <s v="Demographics"/>
  </r>
  <r>
    <s v="GM-02439"/>
    <s v="Jordan"/>
    <x v="0"/>
    <x v="8"/>
    <x v="2"/>
    <s v="GDP per capita"/>
    <s v="Economy"/>
    <s v="SDG 8: Decent Work and Economic Growth"/>
    <n v="3431.5936470000001"/>
    <s v="Source-defined international dollars"/>
    <s v="Jordan|1992"/>
    <s v="Gapminder/Plotly country-year extract reshaped to long indicator format for education"/>
    <s v="OK"/>
    <s v="1990s"/>
    <s v="N/A"/>
    <s v="Economy"/>
  </r>
  <r>
    <s v="GM-02440"/>
    <s v="Jordan"/>
    <x v="0"/>
    <x v="9"/>
    <x v="0"/>
    <s v="Life expectancy at birth"/>
    <s v="Health"/>
    <s v="SDG 3: Good Health and Well-being"/>
    <n v="69.771999999999906"/>
    <s v="Years"/>
    <s v="Jordan|1997"/>
    <s v="Gapminder/Plotly country-year extract reshaped to long indicator format for education"/>
    <s v="OK"/>
    <s v="1990s"/>
    <s v="Medium"/>
    <s v="Health"/>
  </r>
  <r>
    <s v="GM-02441"/>
    <s v="Jordan"/>
    <x v="0"/>
    <x v="9"/>
    <x v="1"/>
    <s v="Population, total"/>
    <s v="Demographics"/>
    <s v="SDG 11: Sustainable Cities and Communities"/>
    <n v="4526235"/>
    <s v="People"/>
    <s v="Jordan|1997"/>
    <s v="Gapminder/Plotly country-year extract reshaped to long indicator format for education"/>
    <s v="OK"/>
    <s v="1990s"/>
    <s v="N/A"/>
    <s v="Demographics"/>
  </r>
  <r>
    <s v="GM-02442"/>
    <s v="Jordan"/>
    <x v="0"/>
    <x v="9"/>
    <x v="2"/>
    <s v="GDP per capita"/>
    <s v="Economy"/>
    <s v="SDG 8: Decent Work and Economic Growth"/>
    <n v="3645.3795719999998"/>
    <s v="Source-defined international dollars"/>
    <s v="Jordan|1997"/>
    <s v="Gapminder/Plotly country-year extract reshaped to long indicator format for education"/>
    <s v="OK"/>
    <s v="1990s"/>
    <s v="N/A"/>
    <s v="Economy"/>
  </r>
  <r>
    <s v="GM-02443"/>
    <s v="Jordan"/>
    <x v="0"/>
    <x v="10"/>
    <x v="0"/>
    <s v="Life expectancy at birth"/>
    <s v="Health"/>
    <s v="SDG 3: Good Health and Well-being"/>
    <n v="71.263000000000005"/>
    <s v="Years"/>
    <s v="Jordan|2002"/>
    <s v="Gapminder/Plotly country-year extract reshaped to long indicator format for education"/>
    <s v="OK"/>
    <s v="2000s"/>
    <s v="High"/>
    <s v="Health"/>
  </r>
  <r>
    <s v="GM-02444"/>
    <s v="Jordan"/>
    <x v="0"/>
    <x v="10"/>
    <x v="1"/>
    <s v="Population, total"/>
    <s v="Demographics"/>
    <s v="SDG 11: Sustainable Cities and Communities"/>
    <n v="5307470"/>
    <s v="People"/>
    <s v="Jordan|2002"/>
    <s v="Gapminder/Plotly country-year extract reshaped to long indicator format for education"/>
    <s v="OK"/>
    <s v="2000s"/>
    <s v="N/A"/>
    <s v="Demographics"/>
  </r>
  <r>
    <s v="GM-02445"/>
    <s v="Jordan"/>
    <x v="0"/>
    <x v="10"/>
    <x v="2"/>
    <s v="GDP per capita"/>
    <s v="Economy"/>
    <s v="SDG 8: Decent Work and Economic Growth"/>
    <n v="3844.9171940000001"/>
    <s v="Source-defined international dollars"/>
    <s v="Jordan|2002"/>
    <s v="Gapminder/Plotly country-year extract reshaped to long indicator format for education"/>
    <s v="OK"/>
    <s v="2000s"/>
    <s v="N/A"/>
    <s v="Economy"/>
  </r>
  <r>
    <s v="GM-02446"/>
    <s v="Jordan"/>
    <x v="0"/>
    <x v="11"/>
    <x v="0"/>
    <s v="Life expectancy at birth"/>
    <s v="Health"/>
    <s v="SDG 3: Good Health and Well-being"/>
    <n v="72.534999999999997"/>
    <s v="Years"/>
    <s v="Jordan|2007"/>
    <s v="Gapminder/Plotly country-year extract reshaped to long indicator format for education"/>
    <s v="OK"/>
    <s v="2000s"/>
    <s v="High"/>
    <s v="Health"/>
  </r>
  <r>
    <s v="GM-02447"/>
    <s v="Jordan"/>
    <x v="0"/>
    <x v="11"/>
    <x v="1"/>
    <s v="Population, total"/>
    <s v="Demographics"/>
    <s v="SDG 11: Sustainable Cities and Communities"/>
    <n v="6053193"/>
    <s v="People"/>
    <s v="Jordan|2007"/>
    <s v="Gapminder/Plotly country-year extract reshaped to long indicator format for education"/>
    <s v="OK"/>
    <s v="2000s"/>
    <s v="N/A"/>
    <s v="Demographics"/>
  </r>
  <r>
    <s v="GM-02448"/>
    <s v="Jordan"/>
    <x v="0"/>
    <x v="11"/>
    <x v="2"/>
    <s v="GDP per capita"/>
    <s v="Economy"/>
    <s v="SDG 8: Decent Work and Economic Growth"/>
    <n v="4519.4611709999999"/>
    <s v="Source-defined international dollars"/>
    <s v="Jordan|2007"/>
    <s v="Gapminder/Plotly country-year extract reshaped to long indicator format for education"/>
    <s v="OK"/>
    <s v="2000s"/>
    <s v="N/A"/>
    <s v="Economy"/>
  </r>
  <r>
    <s v="GM-02449"/>
    <s v="Kenya"/>
    <x v="2"/>
    <x v="0"/>
    <x v="0"/>
    <s v="Life expectancy at birth"/>
    <s v="Health"/>
    <s v="SDG 3: Good Health and Well-being"/>
    <n v="42.27"/>
    <s v="Years"/>
    <s v="Kenya|1952"/>
    <s v="Gapminder/Plotly country-year extract reshaped to long indicator format for education"/>
    <s v="OK"/>
    <s v="1950s"/>
    <s v="Low"/>
    <s v="Health"/>
  </r>
  <r>
    <s v="GM-02450"/>
    <s v="Kenya"/>
    <x v="2"/>
    <x v="0"/>
    <x v="1"/>
    <s v="Population, total"/>
    <s v="Demographics"/>
    <s v="SDG 11: Sustainable Cities and Communities"/>
    <n v="6464046"/>
    <s v="People"/>
    <s v="Kenya|1952"/>
    <s v="Gapminder/Plotly country-year extract reshaped to long indicator format for education"/>
    <s v="OK"/>
    <s v="1950s"/>
    <s v="N/A"/>
    <s v="Demographics"/>
  </r>
  <r>
    <s v="GM-02451"/>
    <s v="Kenya"/>
    <x v="2"/>
    <x v="0"/>
    <x v="2"/>
    <s v="GDP per capita"/>
    <s v="Economy"/>
    <s v="SDG 8: Decent Work and Economic Growth"/>
    <n v="853.54091899999901"/>
    <s v="Source-defined international dollars"/>
    <s v="Kenya|1952"/>
    <s v="Gapminder/Plotly country-year extract reshaped to long indicator format for education"/>
    <s v="OK"/>
    <s v="1950s"/>
    <s v="N/A"/>
    <s v="Economy"/>
  </r>
  <r>
    <s v="GM-02452"/>
    <s v="Kenya"/>
    <x v="2"/>
    <x v="1"/>
    <x v="0"/>
    <s v="Life expectancy at birth"/>
    <s v="Health"/>
    <s v="SDG 3: Good Health and Well-being"/>
    <n v="44.686"/>
    <s v="Years"/>
    <s v="Kenya|1957"/>
    <s v="Gapminder/Plotly country-year extract reshaped to long indicator format for education"/>
    <s v="OK"/>
    <s v="1950s"/>
    <s v="Low"/>
    <s v="Health"/>
  </r>
  <r>
    <s v="GM-02453"/>
    <s v="Kenya"/>
    <x v="2"/>
    <x v="1"/>
    <x v="1"/>
    <s v="Population, total"/>
    <s v="Demographics"/>
    <s v="SDG 11: Sustainable Cities and Communities"/>
    <n v="7454779"/>
    <s v="People"/>
    <s v="Kenya|1957"/>
    <s v="Gapminder/Plotly country-year extract reshaped to long indicator format for education"/>
    <s v="OK"/>
    <s v="1950s"/>
    <s v="N/A"/>
    <s v="Demographics"/>
  </r>
  <r>
    <s v="GM-02454"/>
    <s v="Kenya"/>
    <x v="2"/>
    <x v="1"/>
    <x v="2"/>
    <s v="GDP per capita"/>
    <s v="Economy"/>
    <s v="SDG 8: Decent Work and Economic Growth"/>
    <n v="944.43831520000003"/>
    <s v="Source-defined international dollars"/>
    <s v="Kenya|1957"/>
    <s v="Gapminder/Plotly country-year extract reshaped to long indicator format for education"/>
    <s v="OK"/>
    <s v="1950s"/>
    <s v="N/A"/>
    <s v="Economy"/>
  </r>
  <r>
    <s v="GM-02455"/>
    <s v="Kenya"/>
    <x v="2"/>
    <x v="2"/>
    <x v="0"/>
    <s v="Life expectancy at birth"/>
    <s v="Health"/>
    <s v="SDG 3: Good Health and Well-being"/>
    <n v="47.948999999999998"/>
    <s v="Years"/>
    <s v="Kenya|1962"/>
    <s v="Gapminder/Plotly country-year extract reshaped to long indicator format for education"/>
    <s v="OK"/>
    <s v="1960s"/>
    <s v="Low"/>
    <s v="Health"/>
  </r>
  <r>
    <s v="GM-02456"/>
    <s v="Kenya"/>
    <x v="2"/>
    <x v="2"/>
    <x v="1"/>
    <s v="Population, total"/>
    <s v="Demographics"/>
    <s v="SDG 11: Sustainable Cities and Communities"/>
    <n v="8678557"/>
    <s v="People"/>
    <s v="Kenya|1962"/>
    <s v="Gapminder/Plotly country-year extract reshaped to long indicator format for education"/>
    <s v="OK"/>
    <s v="1960s"/>
    <s v="N/A"/>
    <s v="Demographics"/>
  </r>
  <r>
    <s v="GM-02457"/>
    <s v="Kenya"/>
    <x v="2"/>
    <x v="2"/>
    <x v="2"/>
    <s v="GDP per capita"/>
    <s v="Economy"/>
    <s v="SDG 8: Decent Work and Economic Growth"/>
    <n v="896.96637320000002"/>
    <s v="Source-defined international dollars"/>
    <s v="Kenya|1962"/>
    <s v="Gapminder/Plotly country-year extract reshaped to long indicator format for education"/>
    <s v="OK"/>
    <s v="1960s"/>
    <s v="N/A"/>
    <s v="Economy"/>
  </r>
  <r>
    <s v="GM-02458"/>
    <s v="Kenya"/>
    <x v="2"/>
    <x v="3"/>
    <x v="0"/>
    <s v="Life expectancy at birth"/>
    <s v="Health"/>
    <s v="SDG 3: Good Health and Well-being"/>
    <n v="50.654000000000003"/>
    <s v="Years"/>
    <s v="Kenya|1967"/>
    <s v="Gapminder/Plotly country-year extract reshaped to long indicator format for education"/>
    <s v="OK"/>
    <s v="1960s"/>
    <s v="Low"/>
    <s v="Health"/>
  </r>
  <r>
    <s v="GM-02459"/>
    <s v="Kenya"/>
    <x v="2"/>
    <x v="3"/>
    <x v="1"/>
    <s v="Population, total"/>
    <s v="Demographics"/>
    <s v="SDG 11: Sustainable Cities and Communities"/>
    <n v="10191512"/>
    <s v="People"/>
    <s v="Kenya|1967"/>
    <s v="Gapminder/Plotly country-year extract reshaped to long indicator format for education"/>
    <s v="OK"/>
    <s v="1960s"/>
    <s v="N/A"/>
    <s v="Demographics"/>
  </r>
  <r>
    <s v="GM-02460"/>
    <s v="Kenya"/>
    <x v="2"/>
    <x v="3"/>
    <x v="2"/>
    <s v="GDP per capita"/>
    <s v="Economy"/>
    <s v="SDG 8: Decent Work and Economic Growth"/>
    <n v="1056.736457"/>
    <s v="Source-defined international dollars"/>
    <s v="Kenya|1967"/>
    <s v="Gapminder/Plotly country-year extract reshaped to long indicator format for education"/>
    <s v="OK"/>
    <s v="1960s"/>
    <s v="N/A"/>
    <s v="Economy"/>
  </r>
  <r>
    <s v="GM-02461"/>
    <s v="Kenya"/>
    <x v="2"/>
    <x v="4"/>
    <x v="0"/>
    <s v="Life expectancy at birth"/>
    <s v="Health"/>
    <s v="SDG 3: Good Health and Well-being"/>
    <n v="53.558999999999997"/>
    <s v="Years"/>
    <s v="Kenya|1972"/>
    <s v="Gapminder/Plotly country-year extract reshaped to long indicator format for education"/>
    <s v="OK"/>
    <s v="1970s"/>
    <s v="Low"/>
    <s v="Health"/>
  </r>
  <r>
    <s v="GM-02462"/>
    <s v="Kenya"/>
    <x v="2"/>
    <x v="4"/>
    <x v="1"/>
    <s v="Population, total"/>
    <s v="Demographics"/>
    <s v="SDG 11: Sustainable Cities and Communities"/>
    <n v="12044785"/>
    <s v="People"/>
    <s v="Kenya|1972"/>
    <s v="Gapminder/Plotly country-year extract reshaped to long indicator format for education"/>
    <s v="OK"/>
    <s v="1970s"/>
    <s v="N/A"/>
    <s v="Demographics"/>
  </r>
  <r>
    <s v="GM-02463"/>
    <s v="Kenya"/>
    <x v="2"/>
    <x v="4"/>
    <x v="2"/>
    <s v="GDP per capita"/>
    <s v="Economy"/>
    <s v="SDG 8: Decent Work and Economic Growth"/>
    <n v="1222.359968"/>
    <s v="Source-defined international dollars"/>
    <s v="Kenya|1972"/>
    <s v="Gapminder/Plotly country-year extract reshaped to long indicator format for education"/>
    <s v="OK"/>
    <s v="1970s"/>
    <s v="N/A"/>
    <s v="Economy"/>
  </r>
  <r>
    <s v="GM-02464"/>
    <s v="Kenya"/>
    <x v="2"/>
    <x v="5"/>
    <x v="0"/>
    <s v="Life expectancy at birth"/>
    <s v="Health"/>
    <s v="SDG 3: Good Health and Well-being"/>
    <n v="56.155000000000001"/>
    <s v="Years"/>
    <s v="Kenya|1977"/>
    <s v="Gapminder/Plotly country-year extract reshaped to long indicator format for education"/>
    <s v="OK"/>
    <s v="1970s"/>
    <s v="Medium"/>
    <s v="Health"/>
  </r>
  <r>
    <s v="GM-02465"/>
    <s v="Kenya"/>
    <x v="2"/>
    <x v="5"/>
    <x v="1"/>
    <s v="Population, total"/>
    <s v="Demographics"/>
    <s v="SDG 11: Sustainable Cities and Communities"/>
    <n v="14500404"/>
    <s v="People"/>
    <s v="Kenya|1977"/>
    <s v="Gapminder/Plotly country-year extract reshaped to long indicator format for education"/>
    <s v="OK"/>
    <s v="1970s"/>
    <s v="N/A"/>
    <s v="Demographics"/>
  </r>
  <r>
    <s v="GM-02466"/>
    <s v="Kenya"/>
    <x v="2"/>
    <x v="5"/>
    <x v="2"/>
    <s v="GDP per capita"/>
    <s v="Economy"/>
    <s v="SDG 8: Decent Work and Economic Growth"/>
    <n v="1267.613204"/>
    <s v="Source-defined international dollars"/>
    <s v="Kenya|1977"/>
    <s v="Gapminder/Plotly country-year extract reshaped to long indicator format for education"/>
    <s v="OK"/>
    <s v="1970s"/>
    <s v="N/A"/>
    <s v="Economy"/>
  </r>
  <r>
    <s v="GM-02467"/>
    <s v="Kenya"/>
    <x v="2"/>
    <x v="6"/>
    <x v="0"/>
    <s v="Life expectancy at birth"/>
    <s v="Health"/>
    <s v="SDG 3: Good Health and Well-being"/>
    <n v="58.765999999999998"/>
    <s v="Years"/>
    <s v="Kenya|1982"/>
    <s v="Gapminder/Plotly country-year extract reshaped to long indicator format for education"/>
    <s v="OK"/>
    <s v="1980s"/>
    <s v="Medium"/>
    <s v="Health"/>
  </r>
  <r>
    <s v="GM-02468"/>
    <s v="Kenya"/>
    <x v="2"/>
    <x v="6"/>
    <x v="1"/>
    <s v="Population, total"/>
    <s v="Demographics"/>
    <s v="SDG 11: Sustainable Cities and Communities"/>
    <n v="17661452"/>
    <s v="People"/>
    <s v="Kenya|1982"/>
    <s v="Gapminder/Plotly country-year extract reshaped to long indicator format for education"/>
    <s v="OK"/>
    <s v="1980s"/>
    <s v="N/A"/>
    <s v="Demographics"/>
  </r>
  <r>
    <s v="GM-02469"/>
    <s v="Kenya"/>
    <x v="2"/>
    <x v="6"/>
    <x v="2"/>
    <s v="GDP per capita"/>
    <s v="Economy"/>
    <s v="SDG 8: Decent Work and Economic Growth"/>
    <n v="1348.2257910000001"/>
    <s v="Source-defined international dollars"/>
    <s v="Kenya|1982"/>
    <s v="Gapminder/Plotly country-year extract reshaped to long indicator format for education"/>
    <s v="OK"/>
    <s v="1980s"/>
    <s v="N/A"/>
    <s v="Economy"/>
  </r>
  <r>
    <s v="GM-02470"/>
    <s v="Kenya"/>
    <x v="2"/>
    <x v="7"/>
    <x v="0"/>
    <s v="Life expectancy at birth"/>
    <s v="Health"/>
    <s v="SDG 3: Good Health and Well-being"/>
    <n v="59.338999999999999"/>
    <s v="Years"/>
    <s v="Kenya|1987"/>
    <s v="Gapminder/Plotly country-year extract reshaped to long indicator format for education"/>
    <s v="OK"/>
    <s v="1980s"/>
    <s v="Medium"/>
    <s v="Health"/>
  </r>
  <r>
    <s v="GM-02471"/>
    <s v="Kenya"/>
    <x v="2"/>
    <x v="7"/>
    <x v="1"/>
    <s v="Population, total"/>
    <s v="Demographics"/>
    <s v="SDG 11: Sustainable Cities and Communities"/>
    <n v="21198082"/>
    <s v="People"/>
    <s v="Kenya|1987"/>
    <s v="Gapminder/Plotly country-year extract reshaped to long indicator format for education"/>
    <s v="OK"/>
    <s v="1980s"/>
    <s v="N/A"/>
    <s v="Demographics"/>
  </r>
  <r>
    <s v="GM-02472"/>
    <s v="Kenya"/>
    <x v="2"/>
    <x v="7"/>
    <x v="2"/>
    <s v="GDP per capita"/>
    <s v="Economy"/>
    <s v="SDG 8: Decent Work and Economic Growth"/>
    <n v="1361.936856"/>
    <s v="Source-defined international dollars"/>
    <s v="Kenya|1987"/>
    <s v="Gapminder/Plotly country-year extract reshaped to long indicator format for education"/>
    <s v="OK"/>
    <s v="1980s"/>
    <s v="N/A"/>
    <s v="Economy"/>
  </r>
  <r>
    <s v="GM-02473"/>
    <s v="Kenya"/>
    <x v="2"/>
    <x v="8"/>
    <x v="0"/>
    <s v="Life expectancy at birth"/>
    <s v="Health"/>
    <s v="SDG 3: Good Health and Well-being"/>
    <n v="59.284999999999997"/>
    <s v="Years"/>
    <s v="Kenya|1992"/>
    <s v="Gapminder/Plotly country-year extract reshaped to long indicator format for education"/>
    <s v="OK"/>
    <s v="1990s"/>
    <s v="Medium"/>
    <s v="Health"/>
  </r>
  <r>
    <s v="GM-02474"/>
    <s v="Kenya"/>
    <x v="2"/>
    <x v="8"/>
    <x v="1"/>
    <s v="Population, total"/>
    <s v="Demographics"/>
    <s v="SDG 11: Sustainable Cities and Communities"/>
    <n v="25020539"/>
    <s v="People"/>
    <s v="Kenya|1992"/>
    <s v="Gapminder/Plotly country-year extract reshaped to long indicator format for education"/>
    <s v="OK"/>
    <s v="1990s"/>
    <s v="N/A"/>
    <s v="Demographics"/>
  </r>
  <r>
    <s v="GM-02475"/>
    <s v="Kenya"/>
    <x v="2"/>
    <x v="8"/>
    <x v="2"/>
    <s v="GDP per capita"/>
    <s v="Economy"/>
    <s v="SDG 8: Decent Work and Economic Growth"/>
    <n v="1341.9217209999999"/>
    <s v="Source-defined international dollars"/>
    <s v="Kenya|1992"/>
    <s v="Gapminder/Plotly country-year extract reshaped to long indicator format for education"/>
    <s v="OK"/>
    <s v="1990s"/>
    <s v="N/A"/>
    <s v="Economy"/>
  </r>
  <r>
    <s v="GM-02476"/>
    <s v="Kenya"/>
    <x v="2"/>
    <x v="9"/>
    <x v="0"/>
    <s v="Life expectancy at birth"/>
    <s v="Health"/>
    <s v="SDG 3: Good Health and Well-being"/>
    <n v="54.406999999999996"/>
    <s v="Years"/>
    <s v="Kenya|1997"/>
    <s v="Gapminder/Plotly country-year extract reshaped to long indicator format for education"/>
    <s v="OK"/>
    <s v="1990s"/>
    <s v="Low"/>
    <s v="Health"/>
  </r>
  <r>
    <s v="GM-02477"/>
    <s v="Kenya"/>
    <x v="2"/>
    <x v="9"/>
    <x v="1"/>
    <s v="Population, total"/>
    <s v="Demographics"/>
    <s v="SDG 11: Sustainable Cities and Communities"/>
    <n v="28263827"/>
    <s v="People"/>
    <s v="Kenya|1997"/>
    <s v="Gapminder/Plotly country-year extract reshaped to long indicator format for education"/>
    <s v="OK"/>
    <s v="1990s"/>
    <s v="N/A"/>
    <s v="Demographics"/>
  </r>
  <r>
    <s v="GM-02478"/>
    <s v="Kenya"/>
    <x v="2"/>
    <x v="9"/>
    <x v="2"/>
    <s v="GDP per capita"/>
    <s v="Economy"/>
    <s v="SDG 8: Decent Work and Economic Growth"/>
    <n v="1360.485021"/>
    <s v="Source-defined international dollars"/>
    <s v="Kenya|1997"/>
    <s v="Gapminder/Plotly country-year extract reshaped to long indicator format for education"/>
    <s v="OK"/>
    <s v="1990s"/>
    <s v="N/A"/>
    <s v="Economy"/>
  </r>
  <r>
    <s v="GM-02479"/>
    <s v="Kenya"/>
    <x v="2"/>
    <x v="10"/>
    <x v="0"/>
    <s v="Life expectancy at birth"/>
    <s v="Health"/>
    <s v="SDG 3: Good Health and Well-being"/>
    <n v="50.991999999999997"/>
    <s v="Years"/>
    <s v="Kenya|2002"/>
    <s v="Gapminder/Plotly country-year extract reshaped to long indicator format for education"/>
    <s v="OK"/>
    <s v="2000s"/>
    <s v="Low"/>
    <s v="Health"/>
  </r>
  <r>
    <s v="GM-02480"/>
    <s v="Kenya"/>
    <x v="2"/>
    <x v="10"/>
    <x v="1"/>
    <s v="Population, total"/>
    <s v="Demographics"/>
    <s v="SDG 11: Sustainable Cities and Communities"/>
    <n v="31386842"/>
    <s v="People"/>
    <s v="Kenya|2002"/>
    <s v="Gapminder/Plotly country-year extract reshaped to long indicator format for education"/>
    <s v="OK"/>
    <s v="2000s"/>
    <s v="N/A"/>
    <s v="Demographics"/>
  </r>
  <r>
    <s v="GM-02481"/>
    <s v="Kenya"/>
    <x v="2"/>
    <x v="10"/>
    <x v="2"/>
    <s v="GDP per capita"/>
    <s v="Economy"/>
    <s v="SDG 8: Decent Work and Economic Growth"/>
    <n v="1287.5147320000001"/>
    <s v="Source-defined international dollars"/>
    <s v="Kenya|2002"/>
    <s v="Gapminder/Plotly country-year extract reshaped to long indicator format for education"/>
    <s v="OK"/>
    <s v="2000s"/>
    <s v="N/A"/>
    <s v="Economy"/>
  </r>
  <r>
    <s v="GM-02482"/>
    <s v="Kenya"/>
    <x v="2"/>
    <x v="11"/>
    <x v="0"/>
    <s v="Life expectancy at birth"/>
    <s v="Health"/>
    <s v="SDG 3: Good Health and Well-being"/>
    <n v="54.11"/>
    <s v="Years"/>
    <s v="Kenya|2007"/>
    <s v="Gapminder/Plotly country-year extract reshaped to long indicator format for education"/>
    <s v="OK"/>
    <s v="2000s"/>
    <s v="Low"/>
    <s v="Health"/>
  </r>
  <r>
    <s v="GM-02483"/>
    <s v="Kenya"/>
    <x v="2"/>
    <x v="11"/>
    <x v="1"/>
    <s v="Population, total"/>
    <s v="Demographics"/>
    <s v="SDG 11: Sustainable Cities and Communities"/>
    <n v="35610177"/>
    <s v="People"/>
    <s v="Kenya|2007"/>
    <s v="Gapminder/Plotly country-year extract reshaped to long indicator format for education"/>
    <s v="OK"/>
    <s v="2000s"/>
    <s v="N/A"/>
    <s v="Demographics"/>
  </r>
  <r>
    <s v="GM-02484"/>
    <s v="Kenya"/>
    <x v="2"/>
    <x v="11"/>
    <x v="2"/>
    <s v="GDP per capita"/>
    <s v="Economy"/>
    <s v="SDG 8: Decent Work and Economic Growth"/>
    <n v="1463.249282"/>
    <s v="Source-defined international dollars"/>
    <s v="Kenya|2007"/>
    <s v="Gapminder/Plotly country-year extract reshaped to long indicator format for education"/>
    <s v="OK"/>
    <s v="2000s"/>
    <s v="N/A"/>
    <s v="Economy"/>
  </r>
  <r>
    <s v="GM-02485"/>
    <s v="Korea, Dem. Rep."/>
    <x v="0"/>
    <x v="0"/>
    <x v="0"/>
    <s v="Life expectancy at birth"/>
    <s v="Health"/>
    <s v="SDG 3: Good Health and Well-being"/>
    <n v="50.055999999999997"/>
    <s v="Years"/>
    <s v="Korea, Dem. Rep.|1952"/>
    <s v="Gapminder/Plotly country-year extract reshaped to long indicator format for education"/>
    <s v="OK"/>
    <s v="1950s"/>
    <s v="Low"/>
    <s v="Health"/>
  </r>
  <r>
    <s v="GM-02486"/>
    <s v="Korea, Dem. Rep."/>
    <x v="0"/>
    <x v="0"/>
    <x v="1"/>
    <s v="Population, total"/>
    <s v="Demographics"/>
    <s v="SDG 11: Sustainable Cities and Communities"/>
    <n v="8865488"/>
    <s v="People"/>
    <s v="Korea, Dem. Rep.|1952"/>
    <s v="Gapminder/Plotly country-year extract reshaped to long indicator format for education"/>
    <s v="OK"/>
    <s v="1950s"/>
    <s v="N/A"/>
    <s v="Demographics"/>
  </r>
  <r>
    <s v="GM-02487"/>
    <s v="Korea, Dem. Rep."/>
    <x v="0"/>
    <x v="0"/>
    <x v="2"/>
    <s v="GDP per capita"/>
    <s v="Economy"/>
    <s v="SDG 8: Decent Work and Economic Growth"/>
    <n v="1088.2777579999999"/>
    <s v="Source-defined international dollars"/>
    <s v="Korea, Dem. Rep.|1952"/>
    <s v="Gapminder/Plotly country-year extract reshaped to long indicator format for education"/>
    <s v="OK"/>
    <s v="1950s"/>
    <s v="N/A"/>
    <s v="Economy"/>
  </r>
  <r>
    <s v="GM-02488"/>
    <s v="Korea, Dem. Rep."/>
    <x v="0"/>
    <x v="1"/>
    <x v="0"/>
    <s v="Life expectancy at birth"/>
    <s v="Health"/>
    <s v="SDG 3: Good Health and Well-being"/>
    <n v="54.081000000000003"/>
    <s v="Years"/>
    <s v="Korea, Dem. Rep.|1957"/>
    <s v="Gapminder/Plotly country-year extract reshaped to long indicator format for education"/>
    <s v="OK"/>
    <s v="1950s"/>
    <s v="Low"/>
    <s v="Health"/>
  </r>
  <r>
    <s v="GM-02489"/>
    <s v="Korea, Dem. Rep."/>
    <x v="0"/>
    <x v="1"/>
    <x v="1"/>
    <s v="Population, total"/>
    <s v="Demographics"/>
    <s v="SDG 11: Sustainable Cities and Communities"/>
    <n v="9411381"/>
    <s v="People"/>
    <s v="Korea, Dem. Rep.|1957"/>
    <s v="Gapminder/Plotly country-year extract reshaped to long indicator format for education"/>
    <s v="OK"/>
    <s v="1950s"/>
    <s v="N/A"/>
    <s v="Demographics"/>
  </r>
  <r>
    <s v="GM-02490"/>
    <s v="Korea, Dem. Rep."/>
    <x v="0"/>
    <x v="1"/>
    <x v="2"/>
    <s v="GDP per capita"/>
    <s v="Economy"/>
    <s v="SDG 8: Decent Work and Economic Growth"/>
    <n v="1571.1346550000001"/>
    <s v="Source-defined international dollars"/>
    <s v="Korea, Dem. Rep.|1957"/>
    <s v="Gapminder/Plotly country-year extract reshaped to long indicator format for education"/>
    <s v="OK"/>
    <s v="1950s"/>
    <s v="N/A"/>
    <s v="Economy"/>
  </r>
  <r>
    <s v="GM-02491"/>
    <s v="Korea, Dem. Rep."/>
    <x v="0"/>
    <x v="2"/>
    <x v="0"/>
    <s v="Life expectancy at birth"/>
    <s v="Health"/>
    <s v="SDG 3: Good Health and Well-being"/>
    <n v="56.655999999999999"/>
    <s v="Years"/>
    <s v="Korea, Dem. Rep.|1962"/>
    <s v="Gapminder/Plotly country-year extract reshaped to long indicator format for education"/>
    <s v="OK"/>
    <s v="1960s"/>
    <s v="Medium"/>
    <s v="Health"/>
  </r>
  <r>
    <s v="GM-02492"/>
    <s v="Korea, Dem. Rep."/>
    <x v="0"/>
    <x v="2"/>
    <x v="1"/>
    <s v="Population, total"/>
    <s v="Demographics"/>
    <s v="SDG 11: Sustainable Cities and Communities"/>
    <n v="10917494"/>
    <s v="People"/>
    <s v="Korea, Dem. Rep.|1962"/>
    <s v="Gapminder/Plotly country-year extract reshaped to long indicator format for education"/>
    <s v="OK"/>
    <s v="1960s"/>
    <s v="N/A"/>
    <s v="Demographics"/>
  </r>
  <r>
    <s v="GM-02493"/>
    <s v="Korea, Dem. Rep."/>
    <x v="0"/>
    <x v="2"/>
    <x v="2"/>
    <s v="GDP per capita"/>
    <s v="Economy"/>
    <s v="SDG 8: Decent Work and Economic Growth"/>
    <n v="1621.6935980000001"/>
    <s v="Source-defined international dollars"/>
    <s v="Korea, Dem. Rep.|1962"/>
    <s v="Gapminder/Plotly country-year extract reshaped to long indicator format for education"/>
    <s v="OK"/>
    <s v="1960s"/>
    <s v="N/A"/>
    <s v="Economy"/>
  </r>
  <r>
    <s v="GM-02494"/>
    <s v="Korea, Dem. Rep."/>
    <x v="0"/>
    <x v="3"/>
    <x v="0"/>
    <s v="Life expectancy at birth"/>
    <s v="Health"/>
    <s v="SDG 3: Good Health and Well-being"/>
    <n v="59.942"/>
    <s v="Years"/>
    <s v="Korea, Dem. Rep.|1967"/>
    <s v="Gapminder/Plotly country-year extract reshaped to long indicator format for education"/>
    <s v="OK"/>
    <s v="1960s"/>
    <s v="Medium"/>
    <s v="Health"/>
  </r>
  <r>
    <s v="GM-02495"/>
    <s v="Korea, Dem. Rep."/>
    <x v="0"/>
    <x v="3"/>
    <x v="1"/>
    <s v="Population, total"/>
    <s v="Demographics"/>
    <s v="SDG 11: Sustainable Cities and Communities"/>
    <n v="12617009"/>
    <s v="People"/>
    <s v="Korea, Dem. Rep.|1967"/>
    <s v="Gapminder/Plotly country-year extract reshaped to long indicator format for education"/>
    <s v="OK"/>
    <s v="1960s"/>
    <s v="N/A"/>
    <s v="Demographics"/>
  </r>
  <r>
    <s v="GM-02496"/>
    <s v="Korea, Dem. Rep."/>
    <x v="0"/>
    <x v="3"/>
    <x v="2"/>
    <s v="GDP per capita"/>
    <s v="Economy"/>
    <s v="SDG 8: Decent Work and Economic Growth"/>
    <n v="2143.5406090000001"/>
    <s v="Source-defined international dollars"/>
    <s v="Korea, Dem. Rep.|1967"/>
    <s v="Gapminder/Plotly country-year extract reshaped to long indicator format for education"/>
    <s v="OK"/>
    <s v="1960s"/>
    <s v="N/A"/>
    <s v="Economy"/>
  </r>
  <r>
    <s v="GM-02497"/>
    <s v="Korea, Dem. Rep."/>
    <x v="0"/>
    <x v="4"/>
    <x v="0"/>
    <s v="Life expectancy at birth"/>
    <s v="Health"/>
    <s v="SDG 3: Good Health and Well-being"/>
    <n v="63.982999999999997"/>
    <s v="Years"/>
    <s v="Korea, Dem. Rep.|1972"/>
    <s v="Gapminder/Plotly country-year extract reshaped to long indicator format for education"/>
    <s v="OK"/>
    <s v="1970s"/>
    <s v="Medium"/>
    <s v="Health"/>
  </r>
  <r>
    <s v="GM-02498"/>
    <s v="Korea, Dem. Rep."/>
    <x v="0"/>
    <x v="4"/>
    <x v="1"/>
    <s v="Population, total"/>
    <s v="Demographics"/>
    <s v="SDG 11: Sustainable Cities and Communities"/>
    <n v="14781241"/>
    <s v="People"/>
    <s v="Korea, Dem. Rep.|1972"/>
    <s v="Gapminder/Plotly country-year extract reshaped to long indicator format for education"/>
    <s v="OK"/>
    <s v="1970s"/>
    <s v="N/A"/>
    <s v="Demographics"/>
  </r>
  <r>
    <s v="GM-02499"/>
    <s v="Korea, Dem. Rep."/>
    <x v="0"/>
    <x v="4"/>
    <x v="2"/>
    <s v="GDP per capita"/>
    <s v="Economy"/>
    <s v="SDG 8: Decent Work and Economic Growth"/>
    <n v="3701.6215029999998"/>
    <s v="Source-defined international dollars"/>
    <s v="Korea, Dem. Rep.|1972"/>
    <s v="Gapminder/Plotly country-year extract reshaped to long indicator format for education"/>
    <s v="OK"/>
    <s v="1970s"/>
    <s v="N/A"/>
    <s v="Economy"/>
  </r>
  <r>
    <s v="GM-02500"/>
    <s v="Korea, Dem. Rep."/>
    <x v="0"/>
    <x v="5"/>
    <x v="0"/>
    <s v="Life expectancy at birth"/>
    <s v="Health"/>
    <s v="SDG 3: Good Health and Well-being"/>
    <n v="67.158999999999907"/>
    <s v="Years"/>
    <s v="Korea, Dem. Rep.|1977"/>
    <s v="Gapminder/Plotly country-year extract reshaped to long indicator format for education"/>
    <s v="OK"/>
    <s v="1970s"/>
    <s v="Medium"/>
    <s v="Health"/>
  </r>
  <r>
    <s v="GM-02501"/>
    <s v="Korea, Dem. Rep."/>
    <x v="0"/>
    <x v="5"/>
    <x v="1"/>
    <s v="Population, total"/>
    <s v="Demographics"/>
    <s v="SDG 11: Sustainable Cities and Communities"/>
    <n v="16325320"/>
    <s v="People"/>
    <s v="Korea, Dem. Rep.|1977"/>
    <s v="Gapminder/Plotly country-year extract reshaped to long indicator format for education"/>
    <s v="OK"/>
    <s v="1970s"/>
    <s v="N/A"/>
    <s v="Demographics"/>
  </r>
  <r>
    <s v="GM-02502"/>
    <s v="Korea, Dem. Rep."/>
    <x v="0"/>
    <x v="5"/>
    <x v="2"/>
    <s v="GDP per capita"/>
    <s v="Economy"/>
    <s v="SDG 8: Decent Work and Economic Growth"/>
    <n v="4106.3012490000001"/>
    <s v="Source-defined international dollars"/>
    <s v="Korea, Dem. Rep.|1977"/>
    <s v="Gapminder/Plotly country-year extract reshaped to long indicator format for education"/>
    <s v="OK"/>
    <s v="1970s"/>
    <s v="N/A"/>
    <s v="Economy"/>
  </r>
  <r>
    <s v="GM-02503"/>
    <s v="Korea, Dem. Rep."/>
    <x v="0"/>
    <x v="6"/>
    <x v="0"/>
    <s v="Life expectancy at birth"/>
    <s v="Health"/>
    <s v="SDG 3: Good Health and Well-being"/>
    <n v="69.099999999999994"/>
    <s v="Years"/>
    <s v="Korea, Dem. Rep.|1982"/>
    <s v="Gapminder/Plotly country-year extract reshaped to long indicator format for education"/>
    <s v="OK"/>
    <s v="1980s"/>
    <s v="Medium"/>
    <s v="Health"/>
  </r>
  <r>
    <s v="GM-02504"/>
    <s v="Korea, Dem. Rep."/>
    <x v="0"/>
    <x v="6"/>
    <x v="1"/>
    <s v="Population, total"/>
    <s v="Demographics"/>
    <s v="SDG 11: Sustainable Cities and Communities"/>
    <n v="17647518"/>
    <s v="People"/>
    <s v="Korea, Dem. Rep.|1982"/>
    <s v="Gapminder/Plotly country-year extract reshaped to long indicator format for education"/>
    <s v="OK"/>
    <s v="1980s"/>
    <s v="N/A"/>
    <s v="Demographics"/>
  </r>
  <r>
    <s v="GM-02505"/>
    <s v="Korea, Dem. Rep."/>
    <x v="0"/>
    <x v="6"/>
    <x v="2"/>
    <s v="GDP per capita"/>
    <s v="Economy"/>
    <s v="SDG 8: Decent Work and Economic Growth"/>
    <n v="4106.5252929999997"/>
    <s v="Source-defined international dollars"/>
    <s v="Korea, Dem. Rep.|1982"/>
    <s v="Gapminder/Plotly country-year extract reshaped to long indicator format for education"/>
    <s v="OK"/>
    <s v="1980s"/>
    <s v="N/A"/>
    <s v="Economy"/>
  </r>
  <r>
    <s v="GM-02506"/>
    <s v="Korea, Dem. Rep."/>
    <x v="0"/>
    <x v="7"/>
    <x v="0"/>
    <s v="Life expectancy at birth"/>
    <s v="Health"/>
    <s v="SDG 3: Good Health and Well-being"/>
    <n v="70.646999999999906"/>
    <s v="Years"/>
    <s v="Korea, Dem. Rep.|1987"/>
    <s v="Gapminder/Plotly country-year extract reshaped to long indicator format for education"/>
    <s v="OK"/>
    <s v="1980s"/>
    <s v="High"/>
    <s v="Health"/>
  </r>
  <r>
    <s v="GM-02507"/>
    <s v="Korea, Dem. Rep."/>
    <x v="0"/>
    <x v="7"/>
    <x v="1"/>
    <s v="Population, total"/>
    <s v="Demographics"/>
    <s v="SDG 11: Sustainable Cities and Communities"/>
    <n v="19067554"/>
    <s v="People"/>
    <s v="Korea, Dem. Rep.|1987"/>
    <s v="Gapminder/Plotly country-year extract reshaped to long indicator format for education"/>
    <s v="OK"/>
    <s v="1980s"/>
    <s v="N/A"/>
    <s v="Demographics"/>
  </r>
  <r>
    <s v="GM-02508"/>
    <s v="Korea, Dem. Rep."/>
    <x v="0"/>
    <x v="7"/>
    <x v="2"/>
    <s v="GDP per capita"/>
    <s v="Economy"/>
    <s v="SDG 8: Decent Work and Economic Growth"/>
    <n v="4106.4923150000004"/>
    <s v="Source-defined international dollars"/>
    <s v="Korea, Dem. Rep.|1987"/>
    <s v="Gapminder/Plotly country-year extract reshaped to long indicator format for education"/>
    <s v="OK"/>
    <s v="1980s"/>
    <s v="N/A"/>
    <s v="Economy"/>
  </r>
  <r>
    <s v="GM-02509"/>
    <s v="Korea, Dem. Rep."/>
    <x v="0"/>
    <x v="8"/>
    <x v="0"/>
    <s v="Life expectancy at birth"/>
    <s v="Health"/>
    <s v="SDG 3: Good Health and Well-being"/>
    <n v="69.977999999999994"/>
    <s v="Years"/>
    <s v="Korea, Dem. Rep.|1992"/>
    <s v="Gapminder/Plotly country-year extract reshaped to long indicator format for education"/>
    <s v="OK"/>
    <s v="1990s"/>
    <s v="Medium"/>
    <s v="Health"/>
  </r>
  <r>
    <s v="GM-02510"/>
    <s v="Korea, Dem. Rep."/>
    <x v="0"/>
    <x v="8"/>
    <x v="1"/>
    <s v="Population, total"/>
    <s v="Demographics"/>
    <s v="SDG 11: Sustainable Cities and Communities"/>
    <n v="20711375"/>
    <s v="People"/>
    <s v="Korea, Dem. Rep.|1992"/>
    <s v="Gapminder/Plotly country-year extract reshaped to long indicator format for education"/>
    <s v="OK"/>
    <s v="1990s"/>
    <s v="N/A"/>
    <s v="Demographics"/>
  </r>
  <r>
    <s v="GM-02511"/>
    <s v="Korea, Dem. Rep."/>
    <x v="0"/>
    <x v="8"/>
    <x v="2"/>
    <s v="GDP per capita"/>
    <s v="Economy"/>
    <s v="SDG 8: Decent Work and Economic Growth"/>
    <n v="3726.0635069999998"/>
    <s v="Source-defined international dollars"/>
    <s v="Korea, Dem. Rep.|1992"/>
    <s v="Gapminder/Plotly country-year extract reshaped to long indicator format for education"/>
    <s v="OK"/>
    <s v="1990s"/>
    <s v="N/A"/>
    <s v="Economy"/>
  </r>
  <r>
    <s v="GM-02512"/>
    <s v="Korea, Dem. Rep."/>
    <x v="0"/>
    <x v="9"/>
    <x v="0"/>
    <s v="Life expectancy at birth"/>
    <s v="Health"/>
    <s v="SDG 3: Good Health and Well-being"/>
    <n v="67.727000000000004"/>
    <s v="Years"/>
    <s v="Korea, Dem. Rep.|1997"/>
    <s v="Gapminder/Plotly country-year extract reshaped to long indicator format for education"/>
    <s v="OK"/>
    <s v="1990s"/>
    <s v="Medium"/>
    <s v="Health"/>
  </r>
  <r>
    <s v="GM-02513"/>
    <s v="Korea, Dem. Rep."/>
    <x v="0"/>
    <x v="9"/>
    <x v="1"/>
    <s v="Population, total"/>
    <s v="Demographics"/>
    <s v="SDG 11: Sustainable Cities and Communities"/>
    <n v="21585105"/>
    <s v="People"/>
    <s v="Korea, Dem. Rep.|1997"/>
    <s v="Gapminder/Plotly country-year extract reshaped to long indicator format for education"/>
    <s v="OK"/>
    <s v="1990s"/>
    <s v="N/A"/>
    <s v="Demographics"/>
  </r>
  <r>
    <s v="GM-02514"/>
    <s v="Korea, Dem. Rep."/>
    <x v="0"/>
    <x v="9"/>
    <x v="2"/>
    <s v="GDP per capita"/>
    <s v="Economy"/>
    <s v="SDG 8: Decent Work and Economic Growth"/>
    <n v="1690.7568140000001"/>
    <s v="Source-defined international dollars"/>
    <s v="Korea, Dem. Rep.|1997"/>
    <s v="Gapminder/Plotly country-year extract reshaped to long indicator format for education"/>
    <s v="OK"/>
    <s v="1990s"/>
    <s v="N/A"/>
    <s v="Economy"/>
  </r>
  <r>
    <s v="GM-02515"/>
    <s v="Korea, Dem. Rep."/>
    <x v="0"/>
    <x v="10"/>
    <x v="0"/>
    <s v="Life expectancy at birth"/>
    <s v="Health"/>
    <s v="SDG 3: Good Health and Well-being"/>
    <n v="66.661999999999907"/>
    <s v="Years"/>
    <s v="Korea, Dem. Rep.|2002"/>
    <s v="Gapminder/Plotly country-year extract reshaped to long indicator format for education"/>
    <s v="OK"/>
    <s v="2000s"/>
    <s v="Medium"/>
    <s v="Health"/>
  </r>
  <r>
    <s v="GM-02516"/>
    <s v="Korea, Dem. Rep."/>
    <x v="0"/>
    <x v="10"/>
    <x v="1"/>
    <s v="Population, total"/>
    <s v="Demographics"/>
    <s v="SDG 11: Sustainable Cities and Communities"/>
    <n v="22215365"/>
    <s v="People"/>
    <s v="Korea, Dem. Rep.|2002"/>
    <s v="Gapminder/Plotly country-year extract reshaped to long indicator format for education"/>
    <s v="OK"/>
    <s v="2000s"/>
    <s v="N/A"/>
    <s v="Demographics"/>
  </r>
  <r>
    <s v="GM-02517"/>
    <s v="Korea, Dem. Rep."/>
    <x v="0"/>
    <x v="10"/>
    <x v="2"/>
    <s v="GDP per capita"/>
    <s v="Economy"/>
    <s v="SDG 8: Decent Work and Economic Growth"/>
    <n v="1646.758151"/>
    <s v="Source-defined international dollars"/>
    <s v="Korea, Dem. Rep.|2002"/>
    <s v="Gapminder/Plotly country-year extract reshaped to long indicator format for education"/>
    <s v="OK"/>
    <s v="2000s"/>
    <s v="N/A"/>
    <s v="Economy"/>
  </r>
  <r>
    <s v="GM-02518"/>
    <s v="Korea, Dem. Rep."/>
    <x v="0"/>
    <x v="11"/>
    <x v="0"/>
    <s v="Life expectancy at birth"/>
    <s v="Health"/>
    <s v="SDG 3: Good Health and Well-being"/>
    <n v="67.296999999999997"/>
    <s v="Years"/>
    <s v="Korea, Dem. Rep.|2007"/>
    <s v="Gapminder/Plotly country-year extract reshaped to long indicator format for education"/>
    <s v="OK"/>
    <s v="2000s"/>
    <s v="Medium"/>
    <s v="Health"/>
  </r>
  <r>
    <s v="GM-02519"/>
    <s v="Korea, Dem. Rep."/>
    <x v="0"/>
    <x v="11"/>
    <x v="1"/>
    <s v="Population, total"/>
    <s v="Demographics"/>
    <s v="SDG 11: Sustainable Cities and Communities"/>
    <n v="23301725"/>
    <s v="People"/>
    <s v="Korea, Dem. Rep.|2007"/>
    <s v="Gapminder/Plotly country-year extract reshaped to long indicator format for education"/>
    <s v="OK"/>
    <s v="2000s"/>
    <s v="N/A"/>
    <s v="Demographics"/>
  </r>
  <r>
    <s v="GM-02520"/>
    <s v="Korea, Dem. Rep."/>
    <x v="0"/>
    <x v="11"/>
    <x v="2"/>
    <s v="GDP per capita"/>
    <s v="Economy"/>
    <s v="SDG 8: Decent Work and Economic Growth"/>
    <n v="1593.06548"/>
    <s v="Source-defined international dollars"/>
    <s v="Korea, Dem. Rep.|2007"/>
    <s v="Gapminder/Plotly country-year extract reshaped to long indicator format for education"/>
    <s v="OK"/>
    <s v="2000s"/>
    <s v="N/A"/>
    <s v="Economy"/>
  </r>
  <r>
    <s v="GM-02521"/>
    <s v="Korea, Rep."/>
    <x v="0"/>
    <x v="0"/>
    <x v="0"/>
    <s v="Life expectancy at birth"/>
    <s v="Health"/>
    <s v="SDG 3: Good Health and Well-being"/>
    <n v="47.453000000000003"/>
    <s v="Years"/>
    <s v="Korea, Rep.|1952"/>
    <s v="Gapminder/Plotly country-year extract reshaped to long indicator format for education"/>
    <s v="OK"/>
    <s v="1950s"/>
    <s v="Low"/>
    <s v="Health"/>
  </r>
  <r>
    <s v="GM-02522"/>
    <s v="Korea, Rep."/>
    <x v="0"/>
    <x v="0"/>
    <x v="1"/>
    <s v="Population, total"/>
    <s v="Demographics"/>
    <s v="SDG 11: Sustainable Cities and Communities"/>
    <n v="20947571"/>
    <s v="People"/>
    <s v="Korea, Rep.|1952"/>
    <s v="Gapminder/Plotly country-year extract reshaped to long indicator format for education"/>
    <s v="OK"/>
    <s v="1950s"/>
    <s v="N/A"/>
    <s v="Demographics"/>
  </r>
  <r>
    <s v="GM-02523"/>
    <s v="Korea, Rep."/>
    <x v="0"/>
    <x v="0"/>
    <x v="2"/>
    <s v="GDP per capita"/>
    <s v="Economy"/>
    <s v="SDG 8: Decent Work and Economic Growth"/>
    <n v="1030.592226"/>
    <s v="Source-defined international dollars"/>
    <s v="Korea, Rep.|1952"/>
    <s v="Gapminder/Plotly country-year extract reshaped to long indicator format for education"/>
    <s v="OK"/>
    <s v="1950s"/>
    <s v="N/A"/>
    <s v="Economy"/>
  </r>
  <r>
    <s v="GM-02524"/>
    <s v="Korea, Rep."/>
    <x v="0"/>
    <x v="1"/>
    <x v="0"/>
    <s v="Life expectancy at birth"/>
    <s v="Health"/>
    <s v="SDG 3: Good Health and Well-being"/>
    <n v="52.680999999999997"/>
    <s v="Years"/>
    <s v="Korea, Rep.|1957"/>
    <s v="Gapminder/Plotly country-year extract reshaped to long indicator format for education"/>
    <s v="OK"/>
    <s v="1950s"/>
    <s v="Low"/>
    <s v="Health"/>
  </r>
  <r>
    <s v="GM-02525"/>
    <s v="Korea, Rep."/>
    <x v="0"/>
    <x v="1"/>
    <x v="1"/>
    <s v="Population, total"/>
    <s v="Demographics"/>
    <s v="SDG 11: Sustainable Cities and Communities"/>
    <n v="22611552"/>
    <s v="People"/>
    <s v="Korea, Rep.|1957"/>
    <s v="Gapminder/Plotly country-year extract reshaped to long indicator format for education"/>
    <s v="OK"/>
    <s v="1950s"/>
    <s v="N/A"/>
    <s v="Demographics"/>
  </r>
  <r>
    <s v="GM-02526"/>
    <s v="Korea, Rep."/>
    <x v="0"/>
    <x v="1"/>
    <x v="2"/>
    <s v="GDP per capita"/>
    <s v="Economy"/>
    <s v="SDG 8: Decent Work and Economic Growth"/>
    <n v="1487.593537"/>
    <s v="Source-defined international dollars"/>
    <s v="Korea, Rep.|1957"/>
    <s v="Gapminder/Plotly country-year extract reshaped to long indicator format for education"/>
    <s v="OK"/>
    <s v="1950s"/>
    <s v="N/A"/>
    <s v="Economy"/>
  </r>
  <r>
    <s v="GM-02527"/>
    <s v="Korea, Rep."/>
    <x v="0"/>
    <x v="2"/>
    <x v="0"/>
    <s v="Life expectancy at birth"/>
    <s v="Health"/>
    <s v="SDG 3: Good Health and Well-being"/>
    <n v="55.292000000000002"/>
    <s v="Years"/>
    <s v="Korea, Rep.|1962"/>
    <s v="Gapminder/Plotly country-year extract reshaped to long indicator format for education"/>
    <s v="OK"/>
    <s v="1960s"/>
    <s v="Medium"/>
    <s v="Health"/>
  </r>
  <r>
    <s v="GM-02528"/>
    <s v="Korea, Rep."/>
    <x v="0"/>
    <x v="2"/>
    <x v="1"/>
    <s v="Population, total"/>
    <s v="Demographics"/>
    <s v="SDG 11: Sustainable Cities and Communities"/>
    <n v="26420307"/>
    <s v="People"/>
    <s v="Korea, Rep.|1962"/>
    <s v="Gapminder/Plotly country-year extract reshaped to long indicator format for education"/>
    <s v="OK"/>
    <s v="1960s"/>
    <s v="N/A"/>
    <s v="Demographics"/>
  </r>
  <r>
    <s v="GM-02529"/>
    <s v="Korea, Rep."/>
    <x v="0"/>
    <x v="2"/>
    <x v="2"/>
    <s v="GDP per capita"/>
    <s v="Economy"/>
    <s v="SDG 8: Decent Work and Economic Growth"/>
    <n v="1536.3443870000001"/>
    <s v="Source-defined international dollars"/>
    <s v="Korea, Rep.|1962"/>
    <s v="Gapminder/Plotly country-year extract reshaped to long indicator format for education"/>
    <s v="OK"/>
    <s v="1960s"/>
    <s v="N/A"/>
    <s v="Economy"/>
  </r>
  <r>
    <s v="GM-02530"/>
    <s v="Korea, Rep."/>
    <x v="0"/>
    <x v="3"/>
    <x v="0"/>
    <s v="Life expectancy at birth"/>
    <s v="Health"/>
    <s v="SDG 3: Good Health and Well-being"/>
    <n v="57.716000000000001"/>
    <s v="Years"/>
    <s v="Korea, Rep.|1967"/>
    <s v="Gapminder/Plotly country-year extract reshaped to long indicator format for education"/>
    <s v="OK"/>
    <s v="1960s"/>
    <s v="Medium"/>
    <s v="Health"/>
  </r>
  <r>
    <s v="GM-02531"/>
    <s v="Korea, Rep."/>
    <x v="0"/>
    <x v="3"/>
    <x v="1"/>
    <s v="Population, total"/>
    <s v="Demographics"/>
    <s v="SDG 11: Sustainable Cities and Communities"/>
    <n v="30131000"/>
    <s v="People"/>
    <s v="Korea, Rep.|1967"/>
    <s v="Gapminder/Plotly country-year extract reshaped to long indicator format for education"/>
    <s v="OK"/>
    <s v="1960s"/>
    <s v="N/A"/>
    <s v="Demographics"/>
  </r>
  <r>
    <s v="GM-02532"/>
    <s v="Korea, Rep."/>
    <x v="0"/>
    <x v="3"/>
    <x v="2"/>
    <s v="GDP per capita"/>
    <s v="Economy"/>
    <s v="SDG 8: Decent Work and Economic Growth"/>
    <n v="2029.2281419999999"/>
    <s v="Source-defined international dollars"/>
    <s v="Korea, Rep.|1967"/>
    <s v="Gapminder/Plotly country-year extract reshaped to long indicator format for education"/>
    <s v="OK"/>
    <s v="1960s"/>
    <s v="N/A"/>
    <s v="Economy"/>
  </r>
  <r>
    <s v="GM-02533"/>
    <s v="Korea, Rep."/>
    <x v="0"/>
    <x v="4"/>
    <x v="0"/>
    <s v="Life expectancy at birth"/>
    <s v="Health"/>
    <s v="SDG 3: Good Health and Well-being"/>
    <n v="62.612000000000002"/>
    <s v="Years"/>
    <s v="Korea, Rep.|1972"/>
    <s v="Gapminder/Plotly country-year extract reshaped to long indicator format for education"/>
    <s v="OK"/>
    <s v="1970s"/>
    <s v="Medium"/>
    <s v="Health"/>
  </r>
  <r>
    <s v="GM-02534"/>
    <s v="Korea, Rep."/>
    <x v="0"/>
    <x v="4"/>
    <x v="1"/>
    <s v="Population, total"/>
    <s v="Demographics"/>
    <s v="SDG 11: Sustainable Cities and Communities"/>
    <n v="33505000"/>
    <s v="People"/>
    <s v="Korea, Rep.|1972"/>
    <s v="Gapminder/Plotly country-year extract reshaped to long indicator format for education"/>
    <s v="OK"/>
    <s v="1970s"/>
    <s v="N/A"/>
    <s v="Demographics"/>
  </r>
  <r>
    <s v="GM-02535"/>
    <s v="Korea, Rep."/>
    <x v="0"/>
    <x v="4"/>
    <x v="2"/>
    <s v="GDP per capita"/>
    <s v="Economy"/>
    <s v="SDG 8: Decent Work and Economic Growth"/>
    <n v="3030.8766500000002"/>
    <s v="Source-defined international dollars"/>
    <s v="Korea, Rep.|1972"/>
    <s v="Gapminder/Plotly country-year extract reshaped to long indicator format for education"/>
    <s v="OK"/>
    <s v="1970s"/>
    <s v="N/A"/>
    <s v="Economy"/>
  </r>
  <r>
    <s v="GM-02536"/>
    <s v="Korea, Rep."/>
    <x v="0"/>
    <x v="5"/>
    <x v="0"/>
    <s v="Life expectancy at birth"/>
    <s v="Health"/>
    <s v="SDG 3: Good Health and Well-being"/>
    <n v="64.766000000000005"/>
    <s v="Years"/>
    <s v="Korea, Rep.|1977"/>
    <s v="Gapminder/Plotly country-year extract reshaped to long indicator format for education"/>
    <s v="OK"/>
    <s v="1970s"/>
    <s v="Medium"/>
    <s v="Health"/>
  </r>
  <r>
    <s v="GM-02537"/>
    <s v="Korea, Rep."/>
    <x v="0"/>
    <x v="5"/>
    <x v="1"/>
    <s v="Population, total"/>
    <s v="Demographics"/>
    <s v="SDG 11: Sustainable Cities and Communities"/>
    <n v="36436000"/>
    <s v="People"/>
    <s v="Korea, Rep.|1977"/>
    <s v="Gapminder/Plotly country-year extract reshaped to long indicator format for education"/>
    <s v="OK"/>
    <s v="1970s"/>
    <s v="N/A"/>
    <s v="Demographics"/>
  </r>
  <r>
    <s v="GM-02538"/>
    <s v="Korea, Rep."/>
    <x v="0"/>
    <x v="5"/>
    <x v="2"/>
    <s v="GDP per capita"/>
    <s v="Economy"/>
    <s v="SDG 8: Decent Work and Economic Growth"/>
    <n v="4657.22102"/>
    <s v="Source-defined international dollars"/>
    <s v="Korea, Rep.|1977"/>
    <s v="Gapminder/Plotly country-year extract reshaped to long indicator format for education"/>
    <s v="OK"/>
    <s v="1970s"/>
    <s v="N/A"/>
    <s v="Economy"/>
  </r>
  <r>
    <s v="GM-02539"/>
    <s v="Korea, Rep."/>
    <x v="0"/>
    <x v="6"/>
    <x v="0"/>
    <s v="Life expectancy at birth"/>
    <s v="Health"/>
    <s v="SDG 3: Good Health and Well-being"/>
    <n v="67.123000000000005"/>
    <s v="Years"/>
    <s v="Korea, Rep.|1982"/>
    <s v="Gapminder/Plotly country-year extract reshaped to long indicator format for education"/>
    <s v="OK"/>
    <s v="1980s"/>
    <s v="Medium"/>
    <s v="Health"/>
  </r>
  <r>
    <s v="GM-02540"/>
    <s v="Korea, Rep."/>
    <x v="0"/>
    <x v="6"/>
    <x v="1"/>
    <s v="Population, total"/>
    <s v="Demographics"/>
    <s v="SDG 11: Sustainable Cities and Communities"/>
    <n v="39326000"/>
    <s v="People"/>
    <s v="Korea, Rep.|1982"/>
    <s v="Gapminder/Plotly country-year extract reshaped to long indicator format for education"/>
    <s v="OK"/>
    <s v="1980s"/>
    <s v="N/A"/>
    <s v="Demographics"/>
  </r>
  <r>
    <s v="GM-02541"/>
    <s v="Korea, Rep."/>
    <x v="0"/>
    <x v="6"/>
    <x v="2"/>
    <s v="GDP per capita"/>
    <s v="Economy"/>
    <s v="SDG 8: Decent Work and Economic Growth"/>
    <n v="5622.9424639999997"/>
    <s v="Source-defined international dollars"/>
    <s v="Korea, Rep.|1982"/>
    <s v="Gapminder/Plotly country-year extract reshaped to long indicator format for education"/>
    <s v="OK"/>
    <s v="1980s"/>
    <s v="N/A"/>
    <s v="Economy"/>
  </r>
  <r>
    <s v="GM-02542"/>
    <s v="Korea, Rep."/>
    <x v="0"/>
    <x v="7"/>
    <x v="0"/>
    <s v="Life expectancy at birth"/>
    <s v="Health"/>
    <s v="SDG 3: Good Health and Well-being"/>
    <n v="69.81"/>
    <s v="Years"/>
    <s v="Korea, Rep.|1987"/>
    <s v="Gapminder/Plotly country-year extract reshaped to long indicator format for education"/>
    <s v="OK"/>
    <s v="1980s"/>
    <s v="Medium"/>
    <s v="Health"/>
  </r>
  <r>
    <s v="GM-02543"/>
    <s v="Korea, Rep."/>
    <x v="0"/>
    <x v="7"/>
    <x v="1"/>
    <s v="Population, total"/>
    <s v="Demographics"/>
    <s v="SDG 11: Sustainable Cities and Communities"/>
    <n v="41622000"/>
    <s v="People"/>
    <s v="Korea, Rep.|1987"/>
    <s v="Gapminder/Plotly country-year extract reshaped to long indicator format for education"/>
    <s v="OK"/>
    <s v="1980s"/>
    <s v="N/A"/>
    <s v="Demographics"/>
  </r>
  <r>
    <s v="GM-02544"/>
    <s v="Korea, Rep."/>
    <x v="0"/>
    <x v="7"/>
    <x v="2"/>
    <s v="GDP per capita"/>
    <s v="Economy"/>
    <s v="SDG 8: Decent Work and Economic Growth"/>
    <n v="8533.0888049999994"/>
    <s v="Source-defined international dollars"/>
    <s v="Korea, Rep.|1987"/>
    <s v="Gapminder/Plotly country-year extract reshaped to long indicator format for education"/>
    <s v="OK"/>
    <s v="1980s"/>
    <s v="N/A"/>
    <s v="Economy"/>
  </r>
  <r>
    <s v="GM-02545"/>
    <s v="Korea, Rep."/>
    <x v="0"/>
    <x v="8"/>
    <x v="0"/>
    <s v="Life expectancy at birth"/>
    <s v="Health"/>
    <s v="SDG 3: Good Health and Well-being"/>
    <n v="72.244"/>
    <s v="Years"/>
    <s v="Korea, Rep.|1992"/>
    <s v="Gapminder/Plotly country-year extract reshaped to long indicator format for education"/>
    <s v="OK"/>
    <s v="1990s"/>
    <s v="High"/>
    <s v="Health"/>
  </r>
  <r>
    <s v="GM-02546"/>
    <s v="Korea, Rep."/>
    <x v="0"/>
    <x v="8"/>
    <x v="1"/>
    <s v="Population, total"/>
    <s v="Demographics"/>
    <s v="SDG 11: Sustainable Cities and Communities"/>
    <n v="43805450"/>
    <s v="People"/>
    <s v="Korea, Rep.|1992"/>
    <s v="Gapminder/Plotly country-year extract reshaped to long indicator format for education"/>
    <s v="OK"/>
    <s v="1990s"/>
    <s v="N/A"/>
    <s v="Demographics"/>
  </r>
  <r>
    <s v="GM-02547"/>
    <s v="Korea, Rep."/>
    <x v="0"/>
    <x v="8"/>
    <x v="2"/>
    <s v="GDP per capita"/>
    <s v="Economy"/>
    <s v="SDG 8: Decent Work and Economic Growth"/>
    <n v="12104.27872"/>
    <s v="Source-defined international dollars"/>
    <s v="Korea, Rep.|1992"/>
    <s v="Gapminder/Plotly country-year extract reshaped to long indicator format for education"/>
    <s v="OK"/>
    <s v="1990s"/>
    <s v="N/A"/>
    <s v="Economy"/>
  </r>
  <r>
    <s v="GM-02548"/>
    <s v="Korea, Rep."/>
    <x v="0"/>
    <x v="9"/>
    <x v="0"/>
    <s v="Life expectancy at birth"/>
    <s v="Health"/>
    <s v="SDG 3: Good Health and Well-being"/>
    <n v="74.646999999999906"/>
    <s v="Years"/>
    <s v="Korea, Rep.|1997"/>
    <s v="Gapminder/Plotly country-year extract reshaped to long indicator format for education"/>
    <s v="OK"/>
    <s v="1990s"/>
    <s v="High"/>
    <s v="Health"/>
  </r>
  <r>
    <s v="GM-02549"/>
    <s v="Korea, Rep."/>
    <x v="0"/>
    <x v="9"/>
    <x v="1"/>
    <s v="Population, total"/>
    <s v="Demographics"/>
    <s v="SDG 11: Sustainable Cities and Communities"/>
    <n v="46173816"/>
    <s v="People"/>
    <s v="Korea, Rep.|1997"/>
    <s v="Gapminder/Plotly country-year extract reshaped to long indicator format for education"/>
    <s v="OK"/>
    <s v="1990s"/>
    <s v="N/A"/>
    <s v="Demographics"/>
  </r>
  <r>
    <s v="GM-02550"/>
    <s v="Korea, Rep."/>
    <x v="0"/>
    <x v="9"/>
    <x v="2"/>
    <s v="GDP per capita"/>
    <s v="Economy"/>
    <s v="SDG 8: Decent Work and Economic Growth"/>
    <n v="15993.527959999999"/>
    <s v="Source-defined international dollars"/>
    <s v="Korea, Rep.|1997"/>
    <s v="Gapminder/Plotly country-year extract reshaped to long indicator format for education"/>
    <s v="OK"/>
    <s v="1990s"/>
    <s v="N/A"/>
    <s v="Economy"/>
  </r>
  <r>
    <s v="GM-02551"/>
    <s v="Korea, Rep."/>
    <x v="0"/>
    <x v="10"/>
    <x v="0"/>
    <s v="Life expectancy at birth"/>
    <s v="Health"/>
    <s v="SDG 3: Good Health and Well-being"/>
    <n v="77.045000000000002"/>
    <s v="Years"/>
    <s v="Korea, Rep.|2002"/>
    <s v="Gapminder/Plotly country-year extract reshaped to long indicator format for education"/>
    <s v="OK"/>
    <s v="2000s"/>
    <s v="High"/>
    <s v="Health"/>
  </r>
  <r>
    <s v="GM-02552"/>
    <s v="Korea, Rep."/>
    <x v="0"/>
    <x v="10"/>
    <x v="1"/>
    <s v="Population, total"/>
    <s v="Demographics"/>
    <s v="SDG 11: Sustainable Cities and Communities"/>
    <n v="47969150"/>
    <s v="People"/>
    <s v="Korea, Rep.|2002"/>
    <s v="Gapminder/Plotly country-year extract reshaped to long indicator format for education"/>
    <s v="OK"/>
    <s v="2000s"/>
    <s v="N/A"/>
    <s v="Demographics"/>
  </r>
  <r>
    <s v="GM-02553"/>
    <s v="Korea, Rep."/>
    <x v="0"/>
    <x v="10"/>
    <x v="2"/>
    <s v="GDP per capita"/>
    <s v="Economy"/>
    <s v="SDG 8: Decent Work and Economic Growth"/>
    <n v="19233.98818"/>
    <s v="Source-defined international dollars"/>
    <s v="Korea, Rep.|2002"/>
    <s v="Gapminder/Plotly country-year extract reshaped to long indicator format for education"/>
    <s v="OK"/>
    <s v="2000s"/>
    <s v="N/A"/>
    <s v="Economy"/>
  </r>
  <r>
    <s v="GM-02554"/>
    <s v="Korea, Rep."/>
    <x v="0"/>
    <x v="11"/>
    <x v="0"/>
    <s v="Life expectancy at birth"/>
    <s v="Health"/>
    <s v="SDG 3: Good Health and Well-being"/>
    <n v="78.623000000000005"/>
    <s v="Years"/>
    <s v="Korea, Rep.|2007"/>
    <s v="Gapminder/Plotly country-year extract reshaped to long indicator format for education"/>
    <s v="OK"/>
    <s v="2000s"/>
    <s v="High"/>
    <s v="Health"/>
  </r>
  <r>
    <s v="GM-02555"/>
    <s v="Korea, Rep."/>
    <x v="0"/>
    <x v="11"/>
    <x v="1"/>
    <s v="Population, total"/>
    <s v="Demographics"/>
    <s v="SDG 11: Sustainable Cities and Communities"/>
    <n v="49044790"/>
    <s v="People"/>
    <s v="Korea, Rep.|2007"/>
    <s v="Gapminder/Plotly country-year extract reshaped to long indicator format for education"/>
    <s v="OK"/>
    <s v="2000s"/>
    <s v="N/A"/>
    <s v="Demographics"/>
  </r>
  <r>
    <s v="GM-02556"/>
    <s v="Korea, Rep."/>
    <x v="0"/>
    <x v="11"/>
    <x v="2"/>
    <s v="GDP per capita"/>
    <s v="Economy"/>
    <s v="SDG 8: Decent Work and Economic Growth"/>
    <n v="23348.139729999999"/>
    <s v="Source-defined international dollars"/>
    <s v="Korea, Rep.|2007"/>
    <s v="Gapminder/Plotly country-year extract reshaped to long indicator format for education"/>
    <s v="OK"/>
    <s v="2000s"/>
    <s v="N/A"/>
    <s v="Economy"/>
  </r>
  <r>
    <s v="GM-02557"/>
    <s v="Kuwait"/>
    <x v="0"/>
    <x v="0"/>
    <x v="0"/>
    <s v="Life expectancy at birth"/>
    <s v="Health"/>
    <s v="SDG 3: Good Health and Well-being"/>
    <n v="55.564999999999998"/>
    <s v="Years"/>
    <s v="Kuwait|1952"/>
    <s v="Gapminder/Plotly country-year extract reshaped to long indicator format for education"/>
    <s v="OK"/>
    <s v="1950s"/>
    <s v="Medium"/>
    <s v="Health"/>
  </r>
  <r>
    <s v="GM-02558"/>
    <s v="Kuwait"/>
    <x v="0"/>
    <x v="0"/>
    <x v="1"/>
    <s v="Population, total"/>
    <s v="Demographics"/>
    <s v="SDG 11: Sustainable Cities and Communities"/>
    <n v="160000"/>
    <s v="People"/>
    <s v="Kuwait|1952"/>
    <s v="Gapminder/Plotly country-year extract reshaped to long indicator format for education"/>
    <s v="OK"/>
    <s v="1950s"/>
    <s v="N/A"/>
    <s v="Demographics"/>
  </r>
  <r>
    <s v="GM-02559"/>
    <s v="Kuwait"/>
    <x v="0"/>
    <x v="0"/>
    <x v="2"/>
    <s v="GDP per capita"/>
    <s v="Economy"/>
    <s v="SDG 8: Decent Work and Economic Growth"/>
    <n v="108382.3529"/>
    <s v="Source-defined international dollars"/>
    <s v="Kuwait|1952"/>
    <s v="Gapminder/Plotly country-year extract reshaped to long indicator format for education"/>
    <s v="OK"/>
    <s v="1950s"/>
    <s v="N/A"/>
    <s v="Economy"/>
  </r>
  <r>
    <s v="GM-02560"/>
    <s v="Kuwait"/>
    <x v="0"/>
    <x v="1"/>
    <x v="0"/>
    <s v="Life expectancy at birth"/>
    <s v="Health"/>
    <s v="SDG 3: Good Health and Well-being"/>
    <n v="58.033000000000001"/>
    <s v="Years"/>
    <s v="Kuwait|1957"/>
    <s v="Gapminder/Plotly country-year extract reshaped to long indicator format for education"/>
    <s v="OK"/>
    <s v="1950s"/>
    <s v="Medium"/>
    <s v="Health"/>
  </r>
  <r>
    <s v="GM-02561"/>
    <s v="Kuwait"/>
    <x v="0"/>
    <x v="1"/>
    <x v="1"/>
    <s v="Population, total"/>
    <s v="Demographics"/>
    <s v="SDG 11: Sustainable Cities and Communities"/>
    <n v="212846"/>
    <s v="People"/>
    <s v="Kuwait|1957"/>
    <s v="Gapminder/Plotly country-year extract reshaped to long indicator format for education"/>
    <s v="OK"/>
    <s v="1950s"/>
    <s v="N/A"/>
    <s v="Demographics"/>
  </r>
  <r>
    <s v="GM-02562"/>
    <s v="Kuwait"/>
    <x v="0"/>
    <x v="1"/>
    <x v="2"/>
    <s v="GDP per capita"/>
    <s v="Economy"/>
    <s v="SDG 8: Decent Work and Economic Growth"/>
    <n v="113523.1329"/>
    <s v="Source-defined international dollars"/>
    <s v="Kuwait|1957"/>
    <s v="Gapminder/Plotly country-year extract reshaped to long indicator format for education"/>
    <s v="OK"/>
    <s v="1950s"/>
    <s v="N/A"/>
    <s v="Economy"/>
  </r>
  <r>
    <s v="GM-02563"/>
    <s v="Kuwait"/>
    <x v="0"/>
    <x v="2"/>
    <x v="0"/>
    <s v="Life expectancy at birth"/>
    <s v="Health"/>
    <s v="SDG 3: Good Health and Well-being"/>
    <n v="60.47"/>
    <s v="Years"/>
    <s v="Kuwait|1962"/>
    <s v="Gapminder/Plotly country-year extract reshaped to long indicator format for education"/>
    <s v="OK"/>
    <s v="1960s"/>
    <s v="Medium"/>
    <s v="Health"/>
  </r>
  <r>
    <s v="GM-02564"/>
    <s v="Kuwait"/>
    <x v="0"/>
    <x v="2"/>
    <x v="1"/>
    <s v="Population, total"/>
    <s v="Demographics"/>
    <s v="SDG 11: Sustainable Cities and Communities"/>
    <n v="358266"/>
    <s v="People"/>
    <s v="Kuwait|1962"/>
    <s v="Gapminder/Plotly country-year extract reshaped to long indicator format for education"/>
    <s v="OK"/>
    <s v="1960s"/>
    <s v="N/A"/>
    <s v="Demographics"/>
  </r>
  <r>
    <s v="GM-02565"/>
    <s v="Kuwait"/>
    <x v="0"/>
    <x v="2"/>
    <x v="2"/>
    <s v="GDP per capita"/>
    <s v="Economy"/>
    <s v="SDG 8: Decent Work and Economic Growth"/>
    <n v="95458.11176"/>
    <s v="Source-defined international dollars"/>
    <s v="Kuwait|1962"/>
    <s v="Gapminder/Plotly country-year extract reshaped to long indicator format for education"/>
    <s v="OK"/>
    <s v="1960s"/>
    <s v="N/A"/>
    <s v="Economy"/>
  </r>
  <r>
    <s v="GM-02566"/>
    <s v="Kuwait"/>
    <x v="0"/>
    <x v="3"/>
    <x v="0"/>
    <s v="Life expectancy at birth"/>
    <s v="Health"/>
    <s v="SDG 3: Good Health and Well-being"/>
    <n v="64.623999999999995"/>
    <s v="Years"/>
    <s v="Kuwait|1967"/>
    <s v="Gapminder/Plotly country-year extract reshaped to long indicator format for education"/>
    <s v="OK"/>
    <s v="1960s"/>
    <s v="Medium"/>
    <s v="Health"/>
  </r>
  <r>
    <s v="GM-02567"/>
    <s v="Kuwait"/>
    <x v="0"/>
    <x v="3"/>
    <x v="1"/>
    <s v="Population, total"/>
    <s v="Demographics"/>
    <s v="SDG 11: Sustainable Cities and Communities"/>
    <n v="575003"/>
    <s v="People"/>
    <s v="Kuwait|1967"/>
    <s v="Gapminder/Plotly country-year extract reshaped to long indicator format for education"/>
    <s v="OK"/>
    <s v="1960s"/>
    <s v="N/A"/>
    <s v="Demographics"/>
  </r>
  <r>
    <s v="GM-02568"/>
    <s v="Kuwait"/>
    <x v="0"/>
    <x v="3"/>
    <x v="2"/>
    <s v="GDP per capita"/>
    <s v="Economy"/>
    <s v="SDG 8: Decent Work and Economic Growth"/>
    <n v="80894.883260000002"/>
    <s v="Source-defined international dollars"/>
    <s v="Kuwait|1967"/>
    <s v="Gapminder/Plotly country-year extract reshaped to long indicator format for education"/>
    <s v="OK"/>
    <s v="1960s"/>
    <s v="N/A"/>
    <s v="Economy"/>
  </r>
  <r>
    <s v="GM-02569"/>
    <s v="Kuwait"/>
    <x v="0"/>
    <x v="4"/>
    <x v="0"/>
    <s v="Life expectancy at birth"/>
    <s v="Health"/>
    <s v="SDG 3: Good Health and Well-being"/>
    <n v="67.712000000000003"/>
    <s v="Years"/>
    <s v="Kuwait|1972"/>
    <s v="Gapminder/Plotly country-year extract reshaped to long indicator format for education"/>
    <s v="OK"/>
    <s v="1970s"/>
    <s v="Medium"/>
    <s v="Health"/>
  </r>
  <r>
    <s v="GM-02570"/>
    <s v="Kuwait"/>
    <x v="0"/>
    <x v="4"/>
    <x v="1"/>
    <s v="Population, total"/>
    <s v="Demographics"/>
    <s v="SDG 11: Sustainable Cities and Communities"/>
    <n v="841934"/>
    <s v="People"/>
    <s v="Kuwait|1972"/>
    <s v="Gapminder/Plotly country-year extract reshaped to long indicator format for education"/>
    <s v="OK"/>
    <s v="1970s"/>
    <s v="N/A"/>
    <s v="Demographics"/>
  </r>
  <r>
    <s v="GM-02571"/>
    <s v="Kuwait"/>
    <x v="0"/>
    <x v="4"/>
    <x v="2"/>
    <s v="GDP per capita"/>
    <s v="Economy"/>
    <s v="SDG 8: Decent Work and Economic Growth"/>
    <n v="109347.867"/>
    <s v="Source-defined international dollars"/>
    <s v="Kuwait|1972"/>
    <s v="Gapminder/Plotly country-year extract reshaped to long indicator format for education"/>
    <s v="OK"/>
    <s v="1970s"/>
    <s v="N/A"/>
    <s v="Economy"/>
  </r>
  <r>
    <s v="GM-02572"/>
    <s v="Kuwait"/>
    <x v="0"/>
    <x v="5"/>
    <x v="0"/>
    <s v="Life expectancy at birth"/>
    <s v="Health"/>
    <s v="SDG 3: Good Health and Well-being"/>
    <n v="69.343000000000004"/>
    <s v="Years"/>
    <s v="Kuwait|1977"/>
    <s v="Gapminder/Plotly country-year extract reshaped to long indicator format for education"/>
    <s v="OK"/>
    <s v="1970s"/>
    <s v="Medium"/>
    <s v="Health"/>
  </r>
  <r>
    <s v="GM-02573"/>
    <s v="Kuwait"/>
    <x v="0"/>
    <x v="5"/>
    <x v="1"/>
    <s v="Population, total"/>
    <s v="Demographics"/>
    <s v="SDG 11: Sustainable Cities and Communities"/>
    <n v="1140357"/>
    <s v="People"/>
    <s v="Kuwait|1977"/>
    <s v="Gapminder/Plotly country-year extract reshaped to long indicator format for education"/>
    <s v="OK"/>
    <s v="1970s"/>
    <s v="N/A"/>
    <s v="Demographics"/>
  </r>
  <r>
    <s v="GM-02574"/>
    <s v="Kuwait"/>
    <x v="0"/>
    <x v="5"/>
    <x v="2"/>
    <s v="GDP per capita"/>
    <s v="Economy"/>
    <s v="SDG 8: Decent Work and Economic Growth"/>
    <n v="59265.477140000003"/>
    <s v="Source-defined international dollars"/>
    <s v="Kuwait|1977"/>
    <s v="Gapminder/Plotly country-year extract reshaped to long indicator format for education"/>
    <s v="OK"/>
    <s v="1970s"/>
    <s v="N/A"/>
    <s v="Economy"/>
  </r>
  <r>
    <s v="GM-02575"/>
    <s v="Kuwait"/>
    <x v="0"/>
    <x v="6"/>
    <x v="0"/>
    <s v="Life expectancy at birth"/>
    <s v="Health"/>
    <s v="SDG 3: Good Health and Well-being"/>
    <n v="71.308999999999997"/>
    <s v="Years"/>
    <s v="Kuwait|1982"/>
    <s v="Gapminder/Plotly country-year extract reshaped to long indicator format for education"/>
    <s v="OK"/>
    <s v="1980s"/>
    <s v="High"/>
    <s v="Health"/>
  </r>
  <r>
    <s v="GM-02576"/>
    <s v="Kuwait"/>
    <x v="0"/>
    <x v="6"/>
    <x v="1"/>
    <s v="Population, total"/>
    <s v="Demographics"/>
    <s v="SDG 11: Sustainable Cities and Communities"/>
    <n v="1497494"/>
    <s v="People"/>
    <s v="Kuwait|1982"/>
    <s v="Gapminder/Plotly country-year extract reshaped to long indicator format for education"/>
    <s v="OK"/>
    <s v="1980s"/>
    <s v="N/A"/>
    <s v="Demographics"/>
  </r>
  <r>
    <s v="GM-02577"/>
    <s v="Kuwait"/>
    <x v="0"/>
    <x v="6"/>
    <x v="2"/>
    <s v="GDP per capita"/>
    <s v="Economy"/>
    <s v="SDG 8: Decent Work and Economic Growth"/>
    <n v="31354.03573"/>
    <s v="Source-defined international dollars"/>
    <s v="Kuwait|1982"/>
    <s v="Gapminder/Plotly country-year extract reshaped to long indicator format for education"/>
    <s v="OK"/>
    <s v="1980s"/>
    <s v="N/A"/>
    <s v="Economy"/>
  </r>
  <r>
    <s v="GM-02578"/>
    <s v="Kuwait"/>
    <x v="0"/>
    <x v="7"/>
    <x v="0"/>
    <s v="Life expectancy at birth"/>
    <s v="Health"/>
    <s v="SDG 3: Good Health and Well-being"/>
    <n v="74.173999999999893"/>
    <s v="Years"/>
    <s v="Kuwait|1987"/>
    <s v="Gapminder/Plotly country-year extract reshaped to long indicator format for education"/>
    <s v="OK"/>
    <s v="1980s"/>
    <s v="High"/>
    <s v="Health"/>
  </r>
  <r>
    <s v="GM-02579"/>
    <s v="Kuwait"/>
    <x v="0"/>
    <x v="7"/>
    <x v="1"/>
    <s v="Population, total"/>
    <s v="Demographics"/>
    <s v="SDG 11: Sustainable Cities and Communities"/>
    <n v="1891487"/>
    <s v="People"/>
    <s v="Kuwait|1987"/>
    <s v="Gapminder/Plotly country-year extract reshaped to long indicator format for education"/>
    <s v="OK"/>
    <s v="1980s"/>
    <s v="N/A"/>
    <s v="Demographics"/>
  </r>
  <r>
    <s v="GM-02580"/>
    <s v="Kuwait"/>
    <x v="0"/>
    <x v="7"/>
    <x v="2"/>
    <s v="GDP per capita"/>
    <s v="Economy"/>
    <s v="SDG 8: Decent Work and Economic Growth"/>
    <n v="28118.429980000001"/>
    <s v="Source-defined international dollars"/>
    <s v="Kuwait|1987"/>
    <s v="Gapminder/Plotly country-year extract reshaped to long indicator format for education"/>
    <s v="OK"/>
    <s v="1980s"/>
    <s v="N/A"/>
    <s v="Economy"/>
  </r>
  <r>
    <s v="GM-02581"/>
    <s v="Kuwait"/>
    <x v="0"/>
    <x v="8"/>
    <x v="0"/>
    <s v="Life expectancy at birth"/>
    <s v="Health"/>
    <s v="SDG 3: Good Health and Well-being"/>
    <n v="75.19"/>
    <s v="Years"/>
    <s v="Kuwait|1992"/>
    <s v="Gapminder/Plotly country-year extract reshaped to long indicator format for education"/>
    <s v="OK"/>
    <s v="1990s"/>
    <s v="High"/>
    <s v="Health"/>
  </r>
  <r>
    <s v="GM-02582"/>
    <s v="Kuwait"/>
    <x v="0"/>
    <x v="8"/>
    <x v="1"/>
    <s v="Population, total"/>
    <s v="Demographics"/>
    <s v="SDG 11: Sustainable Cities and Communities"/>
    <n v="1418095"/>
    <s v="People"/>
    <s v="Kuwait|1992"/>
    <s v="Gapminder/Plotly country-year extract reshaped to long indicator format for education"/>
    <s v="OK"/>
    <s v="1990s"/>
    <s v="N/A"/>
    <s v="Demographics"/>
  </r>
  <r>
    <s v="GM-02583"/>
    <s v="Kuwait"/>
    <x v="0"/>
    <x v="8"/>
    <x v="2"/>
    <s v="GDP per capita"/>
    <s v="Economy"/>
    <s v="SDG 8: Decent Work and Economic Growth"/>
    <n v="34932.919589999998"/>
    <s v="Source-defined international dollars"/>
    <s v="Kuwait|1992"/>
    <s v="Gapminder/Plotly country-year extract reshaped to long indicator format for education"/>
    <s v="OK"/>
    <s v="1990s"/>
    <s v="N/A"/>
    <s v="Economy"/>
  </r>
  <r>
    <s v="GM-02584"/>
    <s v="Kuwait"/>
    <x v="0"/>
    <x v="9"/>
    <x v="0"/>
    <s v="Life expectancy at birth"/>
    <s v="Health"/>
    <s v="SDG 3: Good Health and Well-being"/>
    <n v="76.156000000000006"/>
    <s v="Years"/>
    <s v="Kuwait|1997"/>
    <s v="Gapminder/Plotly country-year extract reshaped to long indicator format for education"/>
    <s v="OK"/>
    <s v="1990s"/>
    <s v="High"/>
    <s v="Health"/>
  </r>
  <r>
    <s v="GM-02585"/>
    <s v="Kuwait"/>
    <x v="0"/>
    <x v="9"/>
    <x v="1"/>
    <s v="Population, total"/>
    <s v="Demographics"/>
    <s v="SDG 11: Sustainable Cities and Communities"/>
    <n v="1765345"/>
    <s v="People"/>
    <s v="Kuwait|1997"/>
    <s v="Gapminder/Plotly country-year extract reshaped to long indicator format for education"/>
    <s v="OK"/>
    <s v="1990s"/>
    <s v="N/A"/>
    <s v="Demographics"/>
  </r>
  <r>
    <s v="GM-02586"/>
    <s v="Kuwait"/>
    <x v="0"/>
    <x v="9"/>
    <x v="2"/>
    <s v="GDP per capita"/>
    <s v="Economy"/>
    <s v="SDG 8: Decent Work and Economic Growth"/>
    <n v="40300.619960000004"/>
    <s v="Source-defined international dollars"/>
    <s v="Kuwait|1997"/>
    <s v="Gapminder/Plotly country-year extract reshaped to long indicator format for education"/>
    <s v="OK"/>
    <s v="1990s"/>
    <s v="N/A"/>
    <s v="Economy"/>
  </r>
  <r>
    <s v="GM-02587"/>
    <s v="Kuwait"/>
    <x v="0"/>
    <x v="10"/>
    <x v="0"/>
    <s v="Life expectancy at birth"/>
    <s v="Health"/>
    <s v="SDG 3: Good Health and Well-being"/>
    <n v="76.903999999999996"/>
    <s v="Years"/>
    <s v="Kuwait|2002"/>
    <s v="Gapminder/Plotly country-year extract reshaped to long indicator format for education"/>
    <s v="OK"/>
    <s v="2000s"/>
    <s v="High"/>
    <s v="Health"/>
  </r>
  <r>
    <s v="GM-02588"/>
    <s v="Kuwait"/>
    <x v="0"/>
    <x v="10"/>
    <x v="1"/>
    <s v="Population, total"/>
    <s v="Demographics"/>
    <s v="SDG 11: Sustainable Cities and Communities"/>
    <n v="2111561"/>
    <s v="People"/>
    <s v="Kuwait|2002"/>
    <s v="Gapminder/Plotly country-year extract reshaped to long indicator format for education"/>
    <s v="OK"/>
    <s v="2000s"/>
    <s v="N/A"/>
    <s v="Demographics"/>
  </r>
  <r>
    <s v="GM-02589"/>
    <s v="Kuwait"/>
    <x v="0"/>
    <x v="10"/>
    <x v="2"/>
    <s v="GDP per capita"/>
    <s v="Economy"/>
    <s v="SDG 8: Decent Work and Economic Growth"/>
    <n v="35110.105660000001"/>
    <s v="Source-defined international dollars"/>
    <s v="Kuwait|2002"/>
    <s v="Gapminder/Plotly country-year extract reshaped to long indicator format for education"/>
    <s v="OK"/>
    <s v="2000s"/>
    <s v="N/A"/>
    <s v="Economy"/>
  </r>
  <r>
    <s v="GM-02590"/>
    <s v="Kuwait"/>
    <x v="0"/>
    <x v="11"/>
    <x v="0"/>
    <s v="Life expectancy at birth"/>
    <s v="Health"/>
    <s v="SDG 3: Good Health and Well-being"/>
    <n v="77.587999999999994"/>
    <s v="Years"/>
    <s v="Kuwait|2007"/>
    <s v="Gapminder/Plotly country-year extract reshaped to long indicator format for education"/>
    <s v="OK"/>
    <s v="2000s"/>
    <s v="High"/>
    <s v="Health"/>
  </r>
  <r>
    <s v="GM-02591"/>
    <s v="Kuwait"/>
    <x v="0"/>
    <x v="11"/>
    <x v="1"/>
    <s v="Population, total"/>
    <s v="Demographics"/>
    <s v="SDG 11: Sustainable Cities and Communities"/>
    <n v="2505559"/>
    <s v="People"/>
    <s v="Kuwait|2007"/>
    <s v="Gapminder/Plotly country-year extract reshaped to long indicator format for education"/>
    <s v="OK"/>
    <s v="2000s"/>
    <s v="N/A"/>
    <s v="Demographics"/>
  </r>
  <r>
    <s v="GM-02592"/>
    <s v="Kuwait"/>
    <x v="0"/>
    <x v="11"/>
    <x v="2"/>
    <s v="GDP per capita"/>
    <s v="Economy"/>
    <s v="SDG 8: Decent Work and Economic Growth"/>
    <n v="47306.989780000004"/>
    <s v="Source-defined international dollars"/>
    <s v="Kuwait|2007"/>
    <s v="Gapminder/Plotly country-year extract reshaped to long indicator format for education"/>
    <s v="OK"/>
    <s v="2000s"/>
    <s v="N/A"/>
    <s v="Economy"/>
  </r>
  <r>
    <s v="GM-02593"/>
    <s v="Lebanon"/>
    <x v="0"/>
    <x v="0"/>
    <x v="0"/>
    <s v="Life expectancy at birth"/>
    <s v="Health"/>
    <s v="SDG 3: Good Health and Well-being"/>
    <n v="55.927999999999997"/>
    <s v="Years"/>
    <s v="Lebanon|1952"/>
    <s v="Gapminder/Plotly country-year extract reshaped to long indicator format for education"/>
    <s v="OK"/>
    <s v="1950s"/>
    <s v="Medium"/>
    <s v="Health"/>
  </r>
  <r>
    <s v="GM-02594"/>
    <s v="Lebanon"/>
    <x v="0"/>
    <x v="0"/>
    <x v="1"/>
    <s v="Population, total"/>
    <s v="Demographics"/>
    <s v="SDG 11: Sustainable Cities and Communities"/>
    <n v="1439529"/>
    <s v="People"/>
    <s v="Lebanon|1952"/>
    <s v="Gapminder/Plotly country-year extract reshaped to long indicator format for education"/>
    <s v="OK"/>
    <s v="1950s"/>
    <s v="N/A"/>
    <s v="Demographics"/>
  </r>
  <r>
    <s v="GM-02595"/>
    <s v="Lebanon"/>
    <x v="0"/>
    <x v="0"/>
    <x v="2"/>
    <s v="GDP per capita"/>
    <s v="Economy"/>
    <s v="SDG 8: Decent Work and Economic Growth"/>
    <n v="4834.804067"/>
    <s v="Source-defined international dollars"/>
    <s v="Lebanon|1952"/>
    <s v="Gapminder/Plotly country-year extract reshaped to long indicator format for education"/>
    <s v="OK"/>
    <s v="1950s"/>
    <s v="N/A"/>
    <s v="Economy"/>
  </r>
  <r>
    <s v="GM-02596"/>
    <s v="Lebanon"/>
    <x v="0"/>
    <x v="1"/>
    <x v="0"/>
    <s v="Life expectancy at birth"/>
    <s v="Health"/>
    <s v="SDG 3: Good Health and Well-being"/>
    <n v="59.488999999999997"/>
    <s v="Years"/>
    <s v="Lebanon|1957"/>
    <s v="Gapminder/Plotly country-year extract reshaped to long indicator format for education"/>
    <s v="OK"/>
    <s v="1950s"/>
    <s v="Medium"/>
    <s v="Health"/>
  </r>
  <r>
    <s v="GM-02597"/>
    <s v="Lebanon"/>
    <x v="0"/>
    <x v="1"/>
    <x v="1"/>
    <s v="Population, total"/>
    <s v="Demographics"/>
    <s v="SDG 11: Sustainable Cities and Communities"/>
    <n v="1647412"/>
    <s v="People"/>
    <s v="Lebanon|1957"/>
    <s v="Gapminder/Plotly country-year extract reshaped to long indicator format for education"/>
    <s v="OK"/>
    <s v="1950s"/>
    <s v="N/A"/>
    <s v="Demographics"/>
  </r>
  <r>
    <s v="GM-02598"/>
    <s v="Lebanon"/>
    <x v="0"/>
    <x v="1"/>
    <x v="2"/>
    <s v="GDP per capita"/>
    <s v="Economy"/>
    <s v="SDG 8: Decent Work and Economic Growth"/>
    <n v="6089.7869339999997"/>
    <s v="Source-defined international dollars"/>
    <s v="Lebanon|1957"/>
    <s v="Gapminder/Plotly country-year extract reshaped to long indicator format for education"/>
    <s v="OK"/>
    <s v="1950s"/>
    <s v="N/A"/>
    <s v="Economy"/>
  </r>
  <r>
    <s v="GM-02599"/>
    <s v="Lebanon"/>
    <x v="0"/>
    <x v="2"/>
    <x v="0"/>
    <s v="Life expectancy at birth"/>
    <s v="Health"/>
    <s v="SDG 3: Good Health and Well-being"/>
    <n v="62.094000000000001"/>
    <s v="Years"/>
    <s v="Lebanon|1962"/>
    <s v="Gapminder/Plotly country-year extract reshaped to long indicator format for education"/>
    <s v="OK"/>
    <s v="1960s"/>
    <s v="Medium"/>
    <s v="Health"/>
  </r>
  <r>
    <s v="GM-02600"/>
    <s v="Lebanon"/>
    <x v="0"/>
    <x v="2"/>
    <x v="1"/>
    <s v="Population, total"/>
    <s v="Demographics"/>
    <s v="SDG 11: Sustainable Cities and Communities"/>
    <n v="1886848"/>
    <s v="People"/>
    <s v="Lebanon|1962"/>
    <s v="Gapminder/Plotly country-year extract reshaped to long indicator format for education"/>
    <s v="OK"/>
    <s v="1960s"/>
    <s v="N/A"/>
    <s v="Demographics"/>
  </r>
  <r>
    <s v="GM-02601"/>
    <s v="Lebanon"/>
    <x v="0"/>
    <x v="2"/>
    <x v="2"/>
    <s v="GDP per capita"/>
    <s v="Economy"/>
    <s v="SDG 8: Decent Work and Economic Growth"/>
    <n v="5714.5606109999999"/>
    <s v="Source-defined international dollars"/>
    <s v="Lebanon|1962"/>
    <s v="Gapminder/Plotly country-year extract reshaped to long indicator format for education"/>
    <s v="OK"/>
    <s v="1960s"/>
    <s v="N/A"/>
    <s v="Economy"/>
  </r>
  <r>
    <s v="GM-02602"/>
    <s v="Lebanon"/>
    <x v="0"/>
    <x v="3"/>
    <x v="0"/>
    <s v="Life expectancy at birth"/>
    <s v="Health"/>
    <s v="SDG 3: Good Health and Well-being"/>
    <n v="63.87"/>
    <s v="Years"/>
    <s v="Lebanon|1967"/>
    <s v="Gapminder/Plotly country-year extract reshaped to long indicator format for education"/>
    <s v="OK"/>
    <s v="1960s"/>
    <s v="Medium"/>
    <s v="Health"/>
  </r>
  <r>
    <s v="GM-02603"/>
    <s v="Lebanon"/>
    <x v="0"/>
    <x v="3"/>
    <x v="1"/>
    <s v="Population, total"/>
    <s v="Demographics"/>
    <s v="SDG 11: Sustainable Cities and Communities"/>
    <n v="2186894"/>
    <s v="People"/>
    <s v="Lebanon|1967"/>
    <s v="Gapminder/Plotly country-year extract reshaped to long indicator format for education"/>
    <s v="OK"/>
    <s v="1960s"/>
    <s v="N/A"/>
    <s v="Demographics"/>
  </r>
  <r>
    <s v="GM-02604"/>
    <s v="Lebanon"/>
    <x v="0"/>
    <x v="3"/>
    <x v="2"/>
    <s v="GDP per capita"/>
    <s v="Economy"/>
    <s v="SDG 8: Decent Work and Economic Growth"/>
    <n v="6006.9830419999998"/>
    <s v="Source-defined international dollars"/>
    <s v="Lebanon|1967"/>
    <s v="Gapminder/Plotly country-year extract reshaped to long indicator format for education"/>
    <s v="OK"/>
    <s v="1960s"/>
    <s v="N/A"/>
    <s v="Economy"/>
  </r>
  <r>
    <s v="GM-02605"/>
    <s v="Lebanon"/>
    <x v="0"/>
    <x v="4"/>
    <x v="0"/>
    <s v="Life expectancy at birth"/>
    <s v="Health"/>
    <s v="SDG 3: Good Health and Well-being"/>
    <n v="65.421000000000006"/>
    <s v="Years"/>
    <s v="Lebanon|1972"/>
    <s v="Gapminder/Plotly country-year extract reshaped to long indicator format for education"/>
    <s v="OK"/>
    <s v="1970s"/>
    <s v="Medium"/>
    <s v="Health"/>
  </r>
  <r>
    <s v="GM-02606"/>
    <s v="Lebanon"/>
    <x v="0"/>
    <x v="4"/>
    <x v="1"/>
    <s v="Population, total"/>
    <s v="Demographics"/>
    <s v="SDG 11: Sustainable Cities and Communities"/>
    <n v="2680018"/>
    <s v="People"/>
    <s v="Lebanon|1972"/>
    <s v="Gapminder/Plotly country-year extract reshaped to long indicator format for education"/>
    <s v="OK"/>
    <s v="1970s"/>
    <s v="N/A"/>
    <s v="Demographics"/>
  </r>
  <r>
    <s v="GM-02607"/>
    <s v="Lebanon"/>
    <x v="0"/>
    <x v="4"/>
    <x v="2"/>
    <s v="GDP per capita"/>
    <s v="Economy"/>
    <s v="SDG 8: Decent Work and Economic Growth"/>
    <n v="7486.3843409999999"/>
    <s v="Source-defined international dollars"/>
    <s v="Lebanon|1972"/>
    <s v="Gapminder/Plotly country-year extract reshaped to long indicator format for education"/>
    <s v="OK"/>
    <s v="1970s"/>
    <s v="N/A"/>
    <s v="Economy"/>
  </r>
  <r>
    <s v="GM-02608"/>
    <s v="Lebanon"/>
    <x v="0"/>
    <x v="5"/>
    <x v="0"/>
    <s v="Life expectancy at birth"/>
    <s v="Health"/>
    <s v="SDG 3: Good Health and Well-being"/>
    <n v="66.098999999999904"/>
    <s v="Years"/>
    <s v="Lebanon|1977"/>
    <s v="Gapminder/Plotly country-year extract reshaped to long indicator format for education"/>
    <s v="OK"/>
    <s v="1970s"/>
    <s v="Medium"/>
    <s v="Health"/>
  </r>
  <r>
    <s v="GM-02609"/>
    <s v="Lebanon"/>
    <x v="0"/>
    <x v="5"/>
    <x v="1"/>
    <s v="Population, total"/>
    <s v="Demographics"/>
    <s v="SDG 11: Sustainable Cities and Communities"/>
    <n v="3115787"/>
    <s v="People"/>
    <s v="Lebanon|1977"/>
    <s v="Gapminder/Plotly country-year extract reshaped to long indicator format for education"/>
    <s v="OK"/>
    <s v="1970s"/>
    <s v="N/A"/>
    <s v="Demographics"/>
  </r>
  <r>
    <s v="GM-02610"/>
    <s v="Lebanon"/>
    <x v="0"/>
    <x v="5"/>
    <x v="2"/>
    <s v="GDP per capita"/>
    <s v="Economy"/>
    <s v="SDG 8: Decent Work and Economic Growth"/>
    <n v="8659.6968359999992"/>
    <s v="Source-defined international dollars"/>
    <s v="Lebanon|1977"/>
    <s v="Gapminder/Plotly country-year extract reshaped to long indicator format for education"/>
    <s v="OK"/>
    <s v="1970s"/>
    <s v="N/A"/>
    <s v="Economy"/>
  </r>
  <r>
    <s v="GM-02611"/>
    <s v="Lebanon"/>
    <x v="0"/>
    <x v="6"/>
    <x v="0"/>
    <s v="Life expectancy at birth"/>
    <s v="Health"/>
    <s v="SDG 3: Good Health and Well-being"/>
    <n v="66.983000000000004"/>
    <s v="Years"/>
    <s v="Lebanon|1982"/>
    <s v="Gapminder/Plotly country-year extract reshaped to long indicator format for education"/>
    <s v="OK"/>
    <s v="1980s"/>
    <s v="Medium"/>
    <s v="Health"/>
  </r>
  <r>
    <s v="GM-02612"/>
    <s v="Lebanon"/>
    <x v="0"/>
    <x v="6"/>
    <x v="1"/>
    <s v="Population, total"/>
    <s v="Demographics"/>
    <s v="SDG 11: Sustainable Cities and Communities"/>
    <n v="3086876"/>
    <s v="People"/>
    <s v="Lebanon|1982"/>
    <s v="Gapminder/Plotly country-year extract reshaped to long indicator format for education"/>
    <s v="OK"/>
    <s v="1980s"/>
    <s v="N/A"/>
    <s v="Demographics"/>
  </r>
  <r>
    <s v="GM-02613"/>
    <s v="Lebanon"/>
    <x v="0"/>
    <x v="6"/>
    <x v="2"/>
    <s v="GDP per capita"/>
    <s v="Economy"/>
    <s v="SDG 8: Decent Work and Economic Growth"/>
    <n v="7640.5195209999902"/>
    <s v="Source-defined international dollars"/>
    <s v="Lebanon|1982"/>
    <s v="Gapminder/Plotly country-year extract reshaped to long indicator format for education"/>
    <s v="OK"/>
    <s v="1980s"/>
    <s v="N/A"/>
    <s v="Economy"/>
  </r>
  <r>
    <s v="GM-02614"/>
    <s v="Lebanon"/>
    <x v="0"/>
    <x v="7"/>
    <x v="0"/>
    <s v="Life expectancy at birth"/>
    <s v="Health"/>
    <s v="SDG 3: Good Health and Well-being"/>
    <n v="67.926000000000002"/>
    <s v="Years"/>
    <s v="Lebanon|1987"/>
    <s v="Gapminder/Plotly country-year extract reshaped to long indicator format for education"/>
    <s v="OK"/>
    <s v="1980s"/>
    <s v="Medium"/>
    <s v="Health"/>
  </r>
  <r>
    <s v="GM-02615"/>
    <s v="Lebanon"/>
    <x v="0"/>
    <x v="7"/>
    <x v="1"/>
    <s v="Population, total"/>
    <s v="Demographics"/>
    <s v="SDG 11: Sustainable Cities and Communities"/>
    <n v="3089353"/>
    <s v="People"/>
    <s v="Lebanon|1987"/>
    <s v="Gapminder/Plotly country-year extract reshaped to long indicator format for education"/>
    <s v="OK"/>
    <s v="1980s"/>
    <s v="N/A"/>
    <s v="Demographics"/>
  </r>
  <r>
    <s v="GM-02616"/>
    <s v="Lebanon"/>
    <x v="0"/>
    <x v="7"/>
    <x v="2"/>
    <s v="GDP per capita"/>
    <s v="Economy"/>
    <s v="SDG 8: Decent Work and Economic Growth"/>
    <n v="5377.0913289999999"/>
    <s v="Source-defined international dollars"/>
    <s v="Lebanon|1987"/>
    <s v="Gapminder/Plotly country-year extract reshaped to long indicator format for education"/>
    <s v="OK"/>
    <s v="1980s"/>
    <s v="N/A"/>
    <s v="Economy"/>
  </r>
  <r>
    <s v="GM-02617"/>
    <s v="Lebanon"/>
    <x v="0"/>
    <x v="8"/>
    <x v="0"/>
    <s v="Life expectancy at birth"/>
    <s v="Health"/>
    <s v="SDG 3: Good Health and Well-being"/>
    <n v="69.292000000000002"/>
    <s v="Years"/>
    <s v="Lebanon|1992"/>
    <s v="Gapminder/Plotly country-year extract reshaped to long indicator format for education"/>
    <s v="OK"/>
    <s v="1990s"/>
    <s v="Medium"/>
    <s v="Health"/>
  </r>
  <r>
    <s v="GM-02618"/>
    <s v="Lebanon"/>
    <x v="0"/>
    <x v="8"/>
    <x v="1"/>
    <s v="Population, total"/>
    <s v="Demographics"/>
    <s v="SDG 11: Sustainable Cities and Communities"/>
    <n v="3219994"/>
    <s v="People"/>
    <s v="Lebanon|1992"/>
    <s v="Gapminder/Plotly country-year extract reshaped to long indicator format for education"/>
    <s v="OK"/>
    <s v="1990s"/>
    <s v="N/A"/>
    <s v="Demographics"/>
  </r>
  <r>
    <s v="GM-02619"/>
    <s v="Lebanon"/>
    <x v="0"/>
    <x v="8"/>
    <x v="2"/>
    <s v="GDP per capita"/>
    <s v="Economy"/>
    <s v="SDG 8: Decent Work and Economic Growth"/>
    <n v="6890.8068540000004"/>
    <s v="Source-defined international dollars"/>
    <s v="Lebanon|1992"/>
    <s v="Gapminder/Plotly country-year extract reshaped to long indicator format for education"/>
    <s v="OK"/>
    <s v="1990s"/>
    <s v="N/A"/>
    <s v="Economy"/>
  </r>
  <r>
    <s v="GM-02620"/>
    <s v="Lebanon"/>
    <x v="0"/>
    <x v="9"/>
    <x v="0"/>
    <s v="Life expectancy at birth"/>
    <s v="Health"/>
    <s v="SDG 3: Good Health and Well-being"/>
    <n v="70.265000000000001"/>
    <s v="Years"/>
    <s v="Lebanon|1997"/>
    <s v="Gapminder/Plotly country-year extract reshaped to long indicator format for education"/>
    <s v="OK"/>
    <s v="1990s"/>
    <s v="High"/>
    <s v="Health"/>
  </r>
  <r>
    <s v="GM-02621"/>
    <s v="Lebanon"/>
    <x v="0"/>
    <x v="9"/>
    <x v="1"/>
    <s v="Population, total"/>
    <s v="Demographics"/>
    <s v="SDG 11: Sustainable Cities and Communities"/>
    <n v="3430388"/>
    <s v="People"/>
    <s v="Lebanon|1997"/>
    <s v="Gapminder/Plotly country-year extract reshaped to long indicator format for education"/>
    <s v="OK"/>
    <s v="1990s"/>
    <s v="N/A"/>
    <s v="Demographics"/>
  </r>
  <r>
    <s v="GM-02622"/>
    <s v="Lebanon"/>
    <x v="0"/>
    <x v="9"/>
    <x v="2"/>
    <s v="GDP per capita"/>
    <s v="Economy"/>
    <s v="SDG 8: Decent Work and Economic Growth"/>
    <n v="8754.9638500000001"/>
    <s v="Source-defined international dollars"/>
    <s v="Lebanon|1997"/>
    <s v="Gapminder/Plotly country-year extract reshaped to long indicator format for education"/>
    <s v="OK"/>
    <s v="1990s"/>
    <s v="N/A"/>
    <s v="Economy"/>
  </r>
  <r>
    <s v="GM-02623"/>
    <s v="Lebanon"/>
    <x v="0"/>
    <x v="10"/>
    <x v="0"/>
    <s v="Life expectancy at birth"/>
    <s v="Health"/>
    <s v="SDG 3: Good Health and Well-being"/>
    <n v="71.028000000000006"/>
    <s v="Years"/>
    <s v="Lebanon|2002"/>
    <s v="Gapminder/Plotly country-year extract reshaped to long indicator format for education"/>
    <s v="OK"/>
    <s v="2000s"/>
    <s v="High"/>
    <s v="Health"/>
  </r>
  <r>
    <s v="GM-02624"/>
    <s v="Lebanon"/>
    <x v="0"/>
    <x v="10"/>
    <x v="1"/>
    <s v="Population, total"/>
    <s v="Demographics"/>
    <s v="SDG 11: Sustainable Cities and Communities"/>
    <n v="3677780"/>
    <s v="People"/>
    <s v="Lebanon|2002"/>
    <s v="Gapminder/Plotly country-year extract reshaped to long indicator format for education"/>
    <s v="OK"/>
    <s v="2000s"/>
    <s v="N/A"/>
    <s v="Demographics"/>
  </r>
  <r>
    <s v="GM-02625"/>
    <s v="Lebanon"/>
    <x v="0"/>
    <x v="10"/>
    <x v="2"/>
    <s v="GDP per capita"/>
    <s v="Economy"/>
    <s v="SDG 8: Decent Work and Economic Growth"/>
    <n v="9313.9388299999991"/>
    <s v="Source-defined international dollars"/>
    <s v="Lebanon|2002"/>
    <s v="Gapminder/Plotly country-year extract reshaped to long indicator format for education"/>
    <s v="OK"/>
    <s v="2000s"/>
    <s v="N/A"/>
    <s v="Economy"/>
  </r>
  <r>
    <s v="GM-02626"/>
    <s v="Lebanon"/>
    <x v="0"/>
    <x v="11"/>
    <x v="0"/>
    <s v="Life expectancy at birth"/>
    <s v="Health"/>
    <s v="SDG 3: Good Health and Well-being"/>
    <n v="71.992999999999995"/>
    <s v="Years"/>
    <s v="Lebanon|2007"/>
    <s v="Gapminder/Plotly country-year extract reshaped to long indicator format for education"/>
    <s v="OK"/>
    <s v="2000s"/>
    <s v="High"/>
    <s v="Health"/>
  </r>
  <r>
    <s v="GM-02627"/>
    <s v="Lebanon"/>
    <x v="0"/>
    <x v="11"/>
    <x v="1"/>
    <s v="Population, total"/>
    <s v="Demographics"/>
    <s v="SDG 11: Sustainable Cities and Communities"/>
    <n v="3921278"/>
    <s v="People"/>
    <s v="Lebanon|2007"/>
    <s v="Gapminder/Plotly country-year extract reshaped to long indicator format for education"/>
    <s v="OK"/>
    <s v="2000s"/>
    <s v="N/A"/>
    <s v="Demographics"/>
  </r>
  <r>
    <s v="GM-02628"/>
    <s v="Lebanon"/>
    <x v="0"/>
    <x v="11"/>
    <x v="2"/>
    <s v="GDP per capita"/>
    <s v="Economy"/>
    <s v="SDG 8: Decent Work and Economic Growth"/>
    <n v="10461.05868"/>
    <s v="Source-defined international dollars"/>
    <s v="Lebanon|2007"/>
    <s v="Gapminder/Plotly country-year extract reshaped to long indicator format for education"/>
    <s v="OK"/>
    <s v="2000s"/>
    <s v="N/A"/>
    <s v="Economy"/>
  </r>
  <r>
    <s v="GM-02629"/>
    <s v="Lesotho"/>
    <x v="2"/>
    <x v="0"/>
    <x v="0"/>
    <s v="Life expectancy at birth"/>
    <s v="Health"/>
    <s v="SDG 3: Good Health and Well-being"/>
    <n v="42.137999999999998"/>
    <s v="Years"/>
    <s v="Lesotho|1952"/>
    <s v="Gapminder/Plotly country-year extract reshaped to long indicator format for education"/>
    <s v="OK"/>
    <s v="1950s"/>
    <s v="Low"/>
    <s v="Health"/>
  </r>
  <r>
    <s v="GM-02630"/>
    <s v="Lesotho"/>
    <x v="2"/>
    <x v="0"/>
    <x v="1"/>
    <s v="Population, total"/>
    <s v="Demographics"/>
    <s v="SDG 11: Sustainable Cities and Communities"/>
    <n v="748747"/>
    <s v="People"/>
    <s v="Lesotho|1952"/>
    <s v="Gapminder/Plotly country-year extract reshaped to long indicator format for education"/>
    <s v="OK"/>
    <s v="1950s"/>
    <s v="N/A"/>
    <s v="Demographics"/>
  </r>
  <r>
    <s v="GM-02631"/>
    <s v="Lesotho"/>
    <x v="2"/>
    <x v="0"/>
    <x v="2"/>
    <s v="GDP per capita"/>
    <s v="Economy"/>
    <s v="SDG 8: Decent Work and Economic Growth"/>
    <n v="298.8462121"/>
    <s v="Source-defined international dollars"/>
    <s v="Lesotho|1952"/>
    <s v="Gapminder/Plotly country-year extract reshaped to long indicator format for education"/>
    <s v="OK"/>
    <s v="1950s"/>
    <s v="N/A"/>
    <s v="Economy"/>
  </r>
  <r>
    <s v="GM-02632"/>
    <s v="Lesotho"/>
    <x v="2"/>
    <x v="1"/>
    <x v="0"/>
    <s v="Life expectancy at birth"/>
    <s v="Health"/>
    <s v="SDG 3: Good Health and Well-being"/>
    <n v="45.046999999999997"/>
    <s v="Years"/>
    <s v="Lesotho|1957"/>
    <s v="Gapminder/Plotly country-year extract reshaped to long indicator format for education"/>
    <s v="OK"/>
    <s v="1950s"/>
    <s v="Low"/>
    <s v="Health"/>
  </r>
  <r>
    <s v="GM-02633"/>
    <s v="Lesotho"/>
    <x v="2"/>
    <x v="1"/>
    <x v="1"/>
    <s v="Population, total"/>
    <s v="Demographics"/>
    <s v="SDG 11: Sustainable Cities and Communities"/>
    <n v="813338"/>
    <s v="People"/>
    <s v="Lesotho|1957"/>
    <s v="Gapminder/Plotly country-year extract reshaped to long indicator format for education"/>
    <s v="OK"/>
    <s v="1950s"/>
    <s v="N/A"/>
    <s v="Demographics"/>
  </r>
  <r>
    <s v="GM-02634"/>
    <s v="Lesotho"/>
    <x v="2"/>
    <x v="1"/>
    <x v="2"/>
    <s v="GDP per capita"/>
    <s v="Economy"/>
    <s v="SDG 8: Decent Work and Economic Growth"/>
    <n v="335.99711509999997"/>
    <s v="Source-defined international dollars"/>
    <s v="Lesotho|1957"/>
    <s v="Gapminder/Plotly country-year extract reshaped to long indicator format for education"/>
    <s v="OK"/>
    <s v="1950s"/>
    <s v="N/A"/>
    <s v="Economy"/>
  </r>
  <r>
    <s v="GM-02635"/>
    <s v="Lesotho"/>
    <x v="2"/>
    <x v="2"/>
    <x v="0"/>
    <s v="Life expectancy at birth"/>
    <s v="Health"/>
    <s v="SDG 3: Good Health and Well-being"/>
    <n v="47.747"/>
    <s v="Years"/>
    <s v="Lesotho|1962"/>
    <s v="Gapminder/Plotly country-year extract reshaped to long indicator format for education"/>
    <s v="OK"/>
    <s v="1960s"/>
    <s v="Low"/>
    <s v="Health"/>
  </r>
  <r>
    <s v="GM-02636"/>
    <s v="Lesotho"/>
    <x v="2"/>
    <x v="2"/>
    <x v="1"/>
    <s v="Population, total"/>
    <s v="Demographics"/>
    <s v="SDG 11: Sustainable Cities and Communities"/>
    <n v="893143"/>
    <s v="People"/>
    <s v="Lesotho|1962"/>
    <s v="Gapminder/Plotly country-year extract reshaped to long indicator format for education"/>
    <s v="OK"/>
    <s v="1960s"/>
    <s v="N/A"/>
    <s v="Demographics"/>
  </r>
  <r>
    <s v="GM-02637"/>
    <s v="Lesotho"/>
    <x v="2"/>
    <x v="2"/>
    <x v="2"/>
    <s v="GDP per capita"/>
    <s v="Economy"/>
    <s v="SDG 8: Decent Work and Economic Growth"/>
    <n v="411.80062659999999"/>
    <s v="Source-defined international dollars"/>
    <s v="Lesotho|1962"/>
    <s v="Gapminder/Plotly country-year extract reshaped to long indicator format for education"/>
    <s v="OK"/>
    <s v="1960s"/>
    <s v="N/A"/>
    <s v="Economy"/>
  </r>
  <r>
    <s v="GM-02638"/>
    <s v="Lesotho"/>
    <x v="2"/>
    <x v="3"/>
    <x v="0"/>
    <s v="Life expectancy at birth"/>
    <s v="Health"/>
    <s v="SDG 3: Good Health and Well-being"/>
    <n v="48.491999999999997"/>
    <s v="Years"/>
    <s v="Lesotho|1967"/>
    <s v="Gapminder/Plotly country-year extract reshaped to long indicator format for education"/>
    <s v="OK"/>
    <s v="1960s"/>
    <s v="Low"/>
    <s v="Health"/>
  </r>
  <r>
    <s v="GM-02639"/>
    <s v="Lesotho"/>
    <x v="2"/>
    <x v="3"/>
    <x v="1"/>
    <s v="Population, total"/>
    <s v="Demographics"/>
    <s v="SDG 11: Sustainable Cities and Communities"/>
    <n v="996380"/>
    <s v="People"/>
    <s v="Lesotho|1967"/>
    <s v="Gapminder/Plotly country-year extract reshaped to long indicator format for education"/>
    <s v="OK"/>
    <s v="1960s"/>
    <s v="N/A"/>
    <s v="Demographics"/>
  </r>
  <r>
    <s v="GM-02640"/>
    <s v="Lesotho"/>
    <x v="2"/>
    <x v="3"/>
    <x v="2"/>
    <s v="GDP per capita"/>
    <s v="Economy"/>
    <s v="SDG 8: Decent Work and Economic Growth"/>
    <n v="498.6390265"/>
    <s v="Source-defined international dollars"/>
    <s v="Lesotho|1967"/>
    <s v="Gapminder/Plotly country-year extract reshaped to long indicator format for education"/>
    <s v="OK"/>
    <s v="1960s"/>
    <s v="N/A"/>
    <s v="Economy"/>
  </r>
  <r>
    <s v="GM-02641"/>
    <s v="Lesotho"/>
    <x v="2"/>
    <x v="4"/>
    <x v="0"/>
    <s v="Life expectancy at birth"/>
    <s v="Health"/>
    <s v="SDG 3: Good Health and Well-being"/>
    <n v="49.767000000000003"/>
    <s v="Years"/>
    <s v="Lesotho|1972"/>
    <s v="Gapminder/Plotly country-year extract reshaped to long indicator format for education"/>
    <s v="OK"/>
    <s v="1970s"/>
    <s v="Low"/>
    <s v="Health"/>
  </r>
  <r>
    <s v="GM-02642"/>
    <s v="Lesotho"/>
    <x v="2"/>
    <x v="4"/>
    <x v="1"/>
    <s v="Population, total"/>
    <s v="Demographics"/>
    <s v="SDG 11: Sustainable Cities and Communities"/>
    <n v="1116779"/>
    <s v="People"/>
    <s v="Lesotho|1972"/>
    <s v="Gapminder/Plotly country-year extract reshaped to long indicator format for education"/>
    <s v="OK"/>
    <s v="1970s"/>
    <s v="N/A"/>
    <s v="Demographics"/>
  </r>
  <r>
    <s v="GM-02643"/>
    <s v="Lesotho"/>
    <x v="2"/>
    <x v="4"/>
    <x v="2"/>
    <s v="GDP per capita"/>
    <s v="Economy"/>
    <s v="SDG 8: Decent Work and Economic Growth"/>
    <n v="496.58159219999999"/>
    <s v="Source-defined international dollars"/>
    <s v="Lesotho|1972"/>
    <s v="Gapminder/Plotly country-year extract reshaped to long indicator format for education"/>
    <s v="OK"/>
    <s v="1970s"/>
    <s v="N/A"/>
    <s v="Economy"/>
  </r>
  <r>
    <s v="GM-02644"/>
    <s v="Lesotho"/>
    <x v="2"/>
    <x v="5"/>
    <x v="0"/>
    <s v="Life expectancy at birth"/>
    <s v="Health"/>
    <s v="SDG 3: Good Health and Well-being"/>
    <n v="52.207999999999998"/>
    <s v="Years"/>
    <s v="Lesotho|1977"/>
    <s v="Gapminder/Plotly country-year extract reshaped to long indicator format for education"/>
    <s v="OK"/>
    <s v="1970s"/>
    <s v="Low"/>
    <s v="Health"/>
  </r>
  <r>
    <s v="GM-02645"/>
    <s v="Lesotho"/>
    <x v="2"/>
    <x v="5"/>
    <x v="1"/>
    <s v="Population, total"/>
    <s v="Demographics"/>
    <s v="SDG 11: Sustainable Cities and Communities"/>
    <n v="1251524"/>
    <s v="People"/>
    <s v="Lesotho|1977"/>
    <s v="Gapminder/Plotly country-year extract reshaped to long indicator format for education"/>
    <s v="OK"/>
    <s v="1970s"/>
    <s v="N/A"/>
    <s v="Demographics"/>
  </r>
  <r>
    <s v="GM-02646"/>
    <s v="Lesotho"/>
    <x v="2"/>
    <x v="5"/>
    <x v="2"/>
    <s v="GDP per capita"/>
    <s v="Economy"/>
    <s v="SDG 8: Decent Work and Economic Growth"/>
    <n v="745.36954079999998"/>
    <s v="Source-defined international dollars"/>
    <s v="Lesotho|1977"/>
    <s v="Gapminder/Plotly country-year extract reshaped to long indicator format for education"/>
    <s v="OK"/>
    <s v="1970s"/>
    <s v="N/A"/>
    <s v="Economy"/>
  </r>
  <r>
    <s v="GM-02647"/>
    <s v="Lesotho"/>
    <x v="2"/>
    <x v="6"/>
    <x v="0"/>
    <s v="Life expectancy at birth"/>
    <s v="Health"/>
    <s v="SDG 3: Good Health and Well-being"/>
    <n v="55.078000000000003"/>
    <s v="Years"/>
    <s v="Lesotho|1982"/>
    <s v="Gapminder/Plotly country-year extract reshaped to long indicator format for education"/>
    <s v="OK"/>
    <s v="1980s"/>
    <s v="Medium"/>
    <s v="Health"/>
  </r>
  <r>
    <s v="GM-02648"/>
    <s v="Lesotho"/>
    <x v="2"/>
    <x v="6"/>
    <x v="1"/>
    <s v="Population, total"/>
    <s v="Demographics"/>
    <s v="SDG 11: Sustainable Cities and Communities"/>
    <n v="1411807"/>
    <s v="People"/>
    <s v="Lesotho|1982"/>
    <s v="Gapminder/Plotly country-year extract reshaped to long indicator format for education"/>
    <s v="OK"/>
    <s v="1980s"/>
    <s v="N/A"/>
    <s v="Demographics"/>
  </r>
  <r>
    <s v="GM-02649"/>
    <s v="Lesotho"/>
    <x v="2"/>
    <x v="6"/>
    <x v="2"/>
    <s v="GDP per capita"/>
    <s v="Economy"/>
    <s v="SDG 8: Decent Work and Economic Growth"/>
    <n v="797.26310739999997"/>
    <s v="Source-defined international dollars"/>
    <s v="Lesotho|1982"/>
    <s v="Gapminder/Plotly country-year extract reshaped to long indicator format for education"/>
    <s v="OK"/>
    <s v="1980s"/>
    <s v="N/A"/>
    <s v="Economy"/>
  </r>
  <r>
    <s v="GM-02650"/>
    <s v="Lesotho"/>
    <x v="2"/>
    <x v="7"/>
    <x v="0"/>
    <s v="Life expectancy at birth"/>
    <s v="Health"/>
    <s v="SDG 3: Good Health and Well-being"/>
    <n v="57.18"/>
    <s v="Years"/>
    <s v="Lesotho|1987"/>
    <s v="Gapminder/Plotly country-year extract reshaped to long indicator format for education"/>
    <s v="OK"/>
    <s v="1980s"/>
    <s v="Medium"/>
    <s v="Health"/>
  </r>
  <r>
    <s v="GM-02651"/>
    <s v="Lesotho"/>
    <x v="2"/>
    <x v="7"/>
    <x v="1"/>
    <s v="Population, total"/>
    <s v="Demographics"/>
    <s v="SDG 11: Sustainable Cities and Communities"/>
    <n v="1599200"/>
    <s v="People"/>
    <s v="Lesotho|1987"/>
    <s v="Gapminder/Plotly country-year extract reshaped to long indicator format for education"/>
    <s v="OK"/>
    <s v="1980s"/>
    <s v="N/A"/>
    <s v="Demographics"/>
  </r>
  <r>
    <s v="GM-02652"/>
    <s v="Lesotho"/>
    <x v="2"/>
    <x v="7"/>
    <x v="2"/>
    <s v="GDP per capita"/>
    <s v="Economy"/>
    <s v="SDG 8: Decent Work and Economic Growth"/>
    <n v="773.99321409999902"/>
    <s v="Source-defined international dollars"/>
    <s v="Lesotho|1987"/>
    <s v="Gapminder/Plotly country-year extract reshaped to long indicator format for education"/>
    <s v="OK"/>
    <s v="1980s"/>
    <s v="N/A"/>
    <s v="Economy"/>
  </r>
  <r>
    <s v="GM-02653"/>
    <s v="Lesotho"/>
    <x v="2"/>
    <x v="8"/>
    <x v="0"/>
    <s v="Life expectancy at birth"/>
    <s v="Health"/>
    <s v="SDG 3: Good Health and Well-being"/>
    <n v="59.685000000000002"/>
    <s v="Years"/>
    <s v="Lesotho|1992"/>
    <s v="Gapminder/Plotly country-year extract reshaped to long indicator format for education"/>
    <s v="OK"/>
    <s v="1990s"/>
    <s v="Medium"/>
    <s v="Health"/>
  </r>
  <r>
    <s v="GM-02654"/>
    <s v="Lesotho"/>
    <x v="2"/>
    <x v="8"/>
    <x v="1"/>
    <s v="Population, total"/>
    <s v="Demographics"/>
    <s v="SDG 11: Sustainable Cities and Communities"/>
    <n v="1803195"/>
    <s v="People"/>
    <s v="Lesotho|1992"/>
    <s v="Gapminder/Plotly country-year extract reshaped to long indicator format for education"/>
    <s v="OK"/>
    <s v="1990s"/>
    <s v="N/A"/>
    <s v="Demographics"/>
  </r>
  <r>
    <s v="GM-02655"/>
    <s v="Lesotho"/>
    <x v="2"/>
    <x v="8"/>
    <x v="2"/>
    <s v="GDP per capita"/>
    <s v="Economy"/>
    <s v="SDG 8: Decent Work and Economic Growth"/>
    <n v="977.48627250000004"/>
    <s v="Source-defined international dollars"/>
    <s v="Lesotho|1992"/>
    <s v="Gapminder/Plotly country-year extract reshaped to long indicator format for education"/>
    <s v="OK"/>
    <s v="1990s"/>
    <s v="N/A"/>
    <s v="Economy"/>
  </r>
  <r>
    <s v="GM-02656"/>
    <s v="Lesotho"/>
    <x v="2"/>
    <x v="9"/>
    <x v="0"/>
    <s v="Life expectancy at birth"/>
    <s v="Health"/>
    <s v="SDG 3: Good Health and Well-being"/>
    <n v="55.558"/>
    <s v="Years"/>
    <s v="Lesotho|1997"/>
    <s v="Gapminder/Plotly country-year extract reshaped to long indicator format for education"/>
    <s v="OK"/>
    <s v="1990s"/>
    <s v="Medium"/>
    <s v="Health"/>
  </r>
  <r>
    <s v="GM-02657"/>
    <s v="Lesotho"/>
    <x v="2"/>
    <x v="9"/>
    <x v="1"/>
    <s v="Population, total"/>
    <s v="Demographics"/>
    <s v="SDG 11: Sustainable Cities and Communities"/>
    <n v="1982823"/>
    <s v="People"/>
    <s v="Lesotho|1997"/>
    <s v="Gapminder/Plotly country-year extract reshaped to long indicator format for education"/>
    <s v="OK"/>
    <s v="1990s"/>
    <s v="N/A"/>
    <s v="Demographics"/>
  </r>
  <r>
    <s v="GM-02658"/>
    <s v="Lesotho"/>
    <x v="2"/>
    <x v="9"/>
    <x v="2"/>
    <s v="GDP per capita"/>
    <s v="Economy"/>
    <s v="SDG 8: Decent Work and Economic Growth"/>
    <n v="1186.1479939999999"/>
    <s v="Source-defined international dollars"/>
    <s v="Lesotho|1997"/>
    <s v="Gapminder/Plotly country-year extract reshaped to long indicator format for education"/>
    <s v="OK"/>
    <s v="1990s"/>
    <s v="N/A"/>
    <s v="Economy"/>
  </r>
  <r>
    <s v="GM-02659"/>
    <s v="Lesotho"/>
    <x v="2"/>
    <x v="10"/>
    <x v="0"/>
    <s v="Life expectancy at birth"/>
    <s v="Health"/>
    <s v="SDG 3: Good Health and Well-being"/>
    <n v="44.593000000000004"/>
    <s v="Years"/>
    <s v="Lesotho|2002"/>
    <s v="Gapminder/Plotly country-year extract reshaped to long indicator format for education"/>
    <s v="OK"/>
    <s v="2000s"/>
    <s v="Low"/>
    <s v="Health"/>
  </r>
  <r>
    <s v="GM-02660"/>
    <s v="Lesotho"/>
    <x v="2"/>
    <x v="10"/>
    <x v="1"/>
    <s v="Population, total"/>
    <s v="Demographics"/>
    <s v="SDG 11: Sustainable Cities and Communities"/>
    <n v="2046772"/>
    <s v="People"/>
    <s v="Lesotho|2002"/>
    <s v="Gapminder/Plotly country-year extract reshaped to long indicator format for education"/>
    <s v="OK"/>
    <s v="2000s"/>
    <s v="N/A"/>
    <s v="Demographics"/>
  </r>
  <r>
    <s v="GM-02661"/>
    <s v="Lesotho"/>
    <x v="2"/>
    <x v="10"/>
    <x v="2"/>
    <s v="GDP per capita"/>
    <s v="Economy"/>
    <s v="SDG 8: Decent Work and Economic Growth"/>
    <n v="1275.184575"/>
    <s v="Source-defined international dollars"/>
    <s v="Lesotho|2002"/>
    <s v="Gapminder/Plotly country-year extract reshaped to long indicator format for education"/>
    <s v="OK"/>
    <s v="2000s"/>
    <s v="N/A"/>
    <s v="Economy"/>
  </r>
  <r>
    <s v="GM-02662"/>
    <s v="Lesotho"/>
    <x v="2"/>
    <x v="11"/>
    <x v="0"/>
    <s v="Life expectancy at birth"/>
    <s v="Health"/>
    <s v="SDG 3: Good Health and Well-being"/>
    <n v="42.591999999999999"/>
    <s v="Years"/>
    <s v="Lesotho|2007"/>
    <s v="Gapminder/Plotly country-year extract reshaped to long indicator format for education"/>
    <s v="OK"/>
    <s v="2000s"/>
    <s v="Low"/>
    <s v="Health"/>
  </r>
  <r>
    <s v="GM-02663"/>
    <s v="Lesotho"/>
    <x v="2"/>
    <x v="11"/>
    <x v="1"/>
    <s v="Population, total"/>
    <s v="Demographics"/>
    <s v="SDG 11: Sustainable Cities and Communities"/>
    <n v="2012649"/>
    <s v="People"/>
    <s v="Lesotho|2007"/>
    <s v="Gapminder/Plotly country-year extract reshaped to long indicator format for education"/>
    <s v="OK"/>
    <s v="2000s"/>
    <s v="N/A"/>
    <s v="Demographics"/>
  </r>
  <r>
    <s v="GM-02664"/>
    <s v="Lesotho"/>
    <x v="2"/>
    <x v="11"/>
    <x v="2"/>
    <s v="GDP per capita"/>
    <s v="Economy"/>
    <s v="SDG 8: Decent Work and Economic Growth"/>
    <n v="1569.3314419999999"/>
    <s v="Source-defined international dollars"/>
    <s v="Lesotho|2007"/>
    <s v="Gapminder/Plotly country-year extract reshaped to long indicator format for education"/>
    <s v="OK"/>
    <s v="2000s"/>
    <s v="N/A"/>
    <s v="Economy"/>
  </r>
  <r>
    <s v="GM-02665"/>
    <s v="Liberia"/>
    <x v="2"/>
    <x v="0"/>
    <x v="0"/>
    <s v="Life expectancy at birth"/>
    <s v="Health"/>
    <s v="SDG 3: Good Health and Well-being"/>
    <n v="38.479999999999997"/>
    <s v="Years"/>
    <s v="Liberia|1952"/>
    <s v="Gapminder/Plotly country-year extract reshaped to long indicator format for education"/>
    <s v="OK"/>
    <s v="1950s"/>
    <s v="Low"/>
    <s v="Health"/>
  </r>
  <r>
    <s v="GM-02666"/>
    <s v="Liberia"/>
    <x v="2"/>
    <x v="0"/>
    <x v="1"/>
    <s v="Population, total"/>
    <s v="Demographics"/>
    <s v="SDG 11: Sustainable Cities and Communities"/>
    <n v="863308"/>
    <s v="People"/>
    <s v="Liberia|1952"/>
    <s v="Gapminder/Plotly country-year extract reshaped to long indicator format for education"/>
    <s v="OK"/>
    <s v="1950s"/>
    <s v="N/A"/>
    <s v="Demographics"/>
  </r>
  <r>
    <s v="GM-02667"/>
    <s v="Liberia"/>
    <x v="2"/>
    <x v="0"/>
    <x v="2"/>
    <s v="GDP per capita"/>
    <s v="Economy"/>
    <s v="SDG 8: Decent Work and Economic Growth"/>
    <n v="575.57299609999995"/>
    <s v="Source-defined international dollars"/>
    <s v="Liberia|1952"/>
    <s v="Gapminder/Plotly country-year extract reshaped to long indicator format for education"/>
    <s v="OK"/>
    <s v="1950s"/>
    <s v="N/A"/>
    <s v="Economy"/>
  </r>
  <r>
    <s v="GM-02668"/>
    <s v="Liberia"/>
    <x v="2"/>
    <x v="1"/>
    <x v="0"/>
    <s v="Life expectancy at birth"/>
    <s v="Health"/>
    <s v="SDG 3: Good Health and Well-being"/>
    <n v="39.485999999999997"/>
    <s v="Years"/>
    <s v="Liberia|1957"/>
    <s v="Gapminder/Plotly country-year extract reshaped to long indicator format for education"/>
    <s v="OK"/>
    <s v="1950s"/>
    <s v="Low"/>
    <s v="Health"/>
  </r>
  <r>
    <s v="GM-02669"/>
    <s v="Liberia"/>
    <x v="2"/>
    <x v="1"/>
    <x v="1"/>
    <s v="Population, total"/>
    <s v="Demographics"/>
    <s v="SDG 11: Sustainable Cities and Communities"/>
    <n v="975950"/>
    <s v="People"/>
    <s v="Liberia|1957"/>
    <s v="Gapminder/Plotly country-year extract reshaped to long indicator format for education"/>
    <s v="OK"/>
    <s v="1950s"/>
    <s v="N/A"/>
    <s v="Demographics"/>
  </r>
  <r>
    <s v="GM-02670"/>
    <s v="Liberia"/>
    <x v="2"/>
    <x v="1"/>
    <x v="2"/>
    <s v="GDP per capita"/>
    <s v="Economy"/>
    <s v="SDG 8: Decent Work and Economic Growth"/>
    <n v="620.96999010000002"/>
    <s v="Source-defined international dollars"/>
    <s v="Liberia|1957"/>
    <s v="Gapminder/Plotly country-year extract reshaped to long indicator format for education"/>
    <s v="OK"/>
    <s v="1950s"/>
    <s v="N/A"/>
    <s v="Economy"/>
  </r>
  <r>
    <s v="GM-02671"/>
    <s v="Liberia"/>
    <x v="2"/>
    <x v="2"/>
    <x v="0"/>
    <s v="Life expectancy at birth"/>
    <s v="Health"/>
    <s v="SDG 3: Good Health and Well-being"/>
    <n v="40.502000000000002"/>
    <s v="Years"/>
    <s v="Liberia|1962"/>
    <s v="Gapminder/Plotly country-year extract reshaped to long indicator format for education"/>
    <s v="OK"/>
    <s v="1960s"/>
    <s v="Low"/>
    <s v="Health"/>
  </r>
  <r>
    <s v="GM-02672"/>
    <s v="Liberia"/>
    <x v="2"/>
    <x v="2"/>
    <x v="1"/>
    <s v="Population, total"/>
    <s v="Demographics"/>
    <s v="SDG 11: Sustainable Cities and Communities"/>
    <n v="1112796"/>
    <s v="People"/>
    <s v="Liberia|1962"/>
    <s v="Gapminder/Plotly country-year extract reshaped to long indicator format for education"/>
    <s v="OK"/>
    <s v="1960s"/>
    <s v="N/A"/>
    <s v="Demographics"/>
  </r>
  <r>
    <s v="GM-02673"/>
    <s v="Liberia"/>
    <x v="2"/>
    <x v="2"/>
    <x v="2"/>
    <s v="GDP per capita"/>
    <s v="Economy"/>
    <s v="SDG 8: Decent Work and Economic Growth"/>
    <n v="634.19516250000004"/>
    <s v="Source-defined international dollars"/>
    <s v="Liberia|1962"/>
    <s v="Gapminder/Plotly country-year extract reshaped to long indicator format for education"/>
    <s v="OK"/>
    <s v="1960s"/>
    <s v="N/A"/>
    <s v="Economy"/>
  </r>
  <r>
    <s v="GM-02674"/>
    <s v="Liberia"/>
    <x v="2"/>
    <x v="3"/>
    <x v="0"/>
    <s v="Life expectancy at birth"/>
    <s v="Health"/>
    <s v="SDG 3: Good Health and Well-being"/>
    <n v="41.536000000000001"/>
    <s v="Years"/>
    <s v="Liberia|1967"/>
    <s v="Gapminder/Plotly country-year extract reshaped to long indicator format for education"/>
    <s v="OK"/>
    <s v="1960s"/>
    <s v="Low"/>
    <s v="Health"/>
  </r>
  <r>
    <s v="GM-02675"/>
    <s v="Liberia"/>
    <x v="2"/>
    <x v="3"/>
    <x v="1"/>
    <s v="Population, total"/>
    <s v="Demographics"/>
    <s v="SDG 11: Sustainable Cities and Communities"/>
    <n v="1279406"/>
    <s v="People"/>
    <s v="Liberia|1967"/>
    <s v="Gapminder/Plotly country-year extract reshaped to long indicator format for education"/>
    <s v="OK"/>
    <s v="1960s"/>
    <s v="N/A"/>
    <s v="Demographics"/>
  </r>
  <r>
    <s v="GM-02676"/>
    <s v="Liberia"/>
    <x v="2"/>
    <x v="3"/>
    <x v="2"/>
    <s v="GDP per capita"/>
    <s v="Economy"/>
    <s v="SDG 8: Decent Work and Economic Growth"/>
    <n v="713.60364829999901"/>
    <s v="Source-defined international dollars"/>
    <s v="Liberia|1967"/>
    <s v="Gapminder/Plotly country-year extract reshaped to long indicator format for education"/>
    <s v="OK"/>
    <s v="1960s"/>
    <s v="N/A"/>
    <s v="Economy"/>
  </r>
  <r>
    <s v="GM-02677"/>
    <s v="Liberia"/>
    <x v="2"/>
    <x v="4"/>
    <x v="0"/>
    <s v="Life expectancy at birth"/>
    <s v="Health"/>
    <s v="SDG 3: Good Health and Well-being"/>
    <n v="42.613999999999997"/>
    <s v="Years"/>
    <s v="Liberia|1972"/>
    <s v="Gapminder/Plotly country-year extract reshaped to long indicator format for education"/>
    <s v="OK"/>
    <s v="1970s"/>
    <s v="Low"/>
    <s v="Health"/>
  </r>
  <r>
    <s v="GM-02678"/>
    <s v="Liberia"/>
    <x v="2"/>
    <x v="4"/>
    <x v="1"/>
    <s v="Population, total"/>
    <s v="Demographics"/>
    <s v="SDG 11: Sustainable Cities and Communities"/>
    <n v="1482628"/>
    <s v="People"/>
    <s v="Liberia|1972"/>
    <s v="Gapminder/Plotly country-year extract reshaped to long indicator format for education"/>
    <s v="OK"/>
    <s v="1970s"/>
    <s v="N/A"/>
    <s v="Demographics"/>
  </r>
  <r>
    <s v="GM-02679"/>
    <s v="Liberia"/>
    <x v="2"/>
    <x v="4"/>
    <x v="2"/>
    <s v="GDP per capita"/>
    <s v="Economy"/>
    <s v="SDG 8: Decent Work and Economic Growth"/>
    <n v="803.00545350000004"/>
    <s v="Source-defined international dollars"/>
    <s v="Liberia|1972"/>
    <s v="Gapminder/Plotly country-year extract reshaped to long indicator format for education"/>
    <s v="OK"/>
    <s v="1970s"/>
    <s v="N/A"/>
    <s v="Economy"/>
  </r>
  <r>
    <s v="GM-02680"/>
    <s v="Liberia"/>
    <x v="2"/>
    <x v="5"/>
    <x v="0"/>
    <s v="Life expectancy at birth"/>
    <s v="Health"/>
    <s v="SDG 3: Good Health and Well-being"/>
    <n v="43.764000000000003"/>
    <s v="Years"/>
    <s v="Liberia|1977"/>
    <s v="Gapminder/Plotly country-year extract reshaped to long indicator format for education"/>
    <s v="OK"/>
    <s v="1970s"/>
    <s v="Low"/>
    <s v="Health"/>
  </r>
  <r>
    <s v="GM-02681"/>
    <s v="Liberia"/>
    <x v="2"/>
    <x v="5"/>
    <x v="1"/>
    <s v="Population, total"/>
    <s v="Demographics"/>
    <s v="SDG 11: Sustainable Cities and Communities"/>
    <n v="1703617"/>
    <s v="People"/>
    <s v="Liberia|1977"/>
    <s v="Gapminder/Plotly country-year extract reshaped to long indicator format for education"/>
    <s v="OK"/>
    <s v="1970s"/>
    <s v="N/A"/>
    <s v="Demographics"/>
  </r>
  <r>
    <s v="GM-02682"/>
    <s v="Liberia"/>
    <x v="2"/>
    <x v="5"/>
    <x v="2"/>
    <s v="GDP per capita"/>
    <s v="Economy"/>
    <s v="SDG 8: Decent Work and Economic Growth"/>
    <n v="640.32243829999902"/>
    <s v="Source-defined international dollars"/>
    <s v="Liberia|1977"/>
    <s v="Gapminder/Plotly country-year extract reshaped to long indicator format for education"/>
    <s v="OK"/>
    <s v="1970s"/>
    <s v="N/A"/>
    <s v="Economy"/>
  </r>
  <r>
    <s v="GM-02683"/>
    <s v="Liberia"/>
    <x v="2"/>
    <x v="6"/>
    <x v="0"/>
    <s v="Life expectancy at birth"/>
    <s v="Health"/>
    <s v="SDG 3: Good Health and Well-being"/>
    <n v="44.851999999999997"/>
    <s v="Years"/>
    <s v="Liberia|1982"/>
    <s v="Gapminder/Plotly country-year extract reshaped to long indicator format for education"/>
    <s v="OK"/>
    <s v="1980s"/>
    <s v="Low"/>
    <s v="Health"/>
  </r>
  <r>
    <s v="GM-02684"/>
    <s v="Liberia"/>
    <x v="2"/>
    <x v="6"/>
    <x v="1"/>
    <s v="Population, total"/>
    <s v="Demographics"/>
    <s v="SDG 11: Sustainable Cities and Communities"/>
    <n v="1956875"/>
    <s v="People"/>
    <s v="Liberia|1982"/>
    <s v="Gapminder/Plotly country-year extract reshaped to long indicator format for education"/>
    <s v="OK"/>
    <s v="1980s"/>
    <s v="N/A"/>
    <s v="Demographics"/>
  </r>
  <r>
    <s v="GM-02685"/>
    <s v="Liberia"/>
    <x v="2"/>
    <x v="6"/>
    <x v="2"/>
    <s v="GDP per capita"/>
    <s v="Economy"/>
    <s v="SDG 8: Decent Work and Economic Growth"/>
    <n v="572.19956939999997"/>
    <s v="Source-defined international dollars"/>
    <s v="Liberia|1982"/>
    <s v="Gapminder/Plotly country-year extract reshaped to long indicator format for education"/>
    <s v="OK"/>
    <s v="1980s"/>
    <s v="N/A"/>
    <s v="Economy"/>
  </r>
  <r>
    <s v="GM-02686"/>
    <s v="Liberia"/>
    <x v="2"/>
    <x v="7"/>
    <x v="0"/>
    <s v="Life expectancy at birth"/>
    <s v="Health"/>
    <s v="SDG 3: Good Health and Well-being"/>
    <n v="46.027000000000001"/>
    <s v="Years"/>
    <s v="Liberia|1987"/>
    <s v="Gapminder/Plotly country-year extract reshaped to long indicator format for education"/>
    <s v="OK"/>
    <s v="1980s"/>
    <s v="Low"/>
    <s v="Health"/>
  </r>
  <r>
    <s v="GM-02687"/>
    <s v="Liberia"/>
    <x v="2"/>
    <x v="7"/>
    <x v="1"/>
    <s v="Population, total"/>
    <s v="Demographics"/>
    <s v="SDG 11: Sustainable Cities and Communities"/>
    <n v="2269414"/>
    <s v="People"/>
    <s v="Liberia|1987"/>
    <s v="Gapminder/Plotly country-year extract reshaped to long indicator format for education"/>
    <s v="OK"/>
    <s v="1980s"/>
    <s v="N/A"/>
    <s v="Demographics"/>
  </r>
  <r>
    <s v="GM-02688"/>
    <s v="Liberia"/>
    <x v="2"/>
    <x v="7"/>
    <x v="2"/>
    <s v="GDP per capita"/>
    <s v="Economy"/>
    <s v="SDG 8: Decent Work and Economic Growth"/>
    <n v="506.11385730000001"/>
    <s v="Source-defined international dollars"/>
    <s v="Liberia|1987"/>
    <s v="Gapminder/Plotly country-year extract reshaped to long indicator format for education"/>
    <s v="OK"/>
    <s v="1980s"/>
    <s v="N/A"/>
    <s v="Economy"/>
  </r>
  <r>
    <s v="GM-02689"/>
    <s v="Liberia"/>
    <x v="2"/>
    <x v="8"/>
    <x v="0"/>
    <s v="Life expectancy at birth"/>
    <s v="Health"/>
    <s v="SDG 3: Good Health and Well-being"/>
    <n v="40.802"/>
    <s v="Years"/>
    <s v="Liberia|1992"/>
    <s v="Gapminder/Plotly country-year extract reshaped to long indicator format for education"/>
    <s v="OK"/>
    <s v="1990s"/>
    <s v="Low"/>
    <s v="Health"/>
  </r>
  <r>
    <s v="GM-02690"/>
    <s v="Liberia"/>
    <x v="2"/>
    <x v="8"/>
    <x v="1"/>
    <s v="Population, total"/>
    <s v="Demographics"/>
    <s v="SDG 11: Sustainable Cities and Communities"/>
    <n v="1912974"/>
    <s v="People"/>
    <s v="Liberia|1992"/>
    <s v="Gapminder/Plotly country-year extract reshaped to long indicator format for education"/>
    <s v="OK"/>
    <s v="1990s"/>
    <s v="N/A"/>
    <s v="Demographics"/>
  </r>
  <r>
    <s v="GM-02691"/>
    <s v="Liberia"/>
    <x v="2"/>
    <x v="8"/>
    <x v="2"/>
    <s v="GDP per capita"/>
    <s v="Economy"/>
    <s v="SDG 8: Decent Work and Economic Growth"/>
    <n v="636.62291909999999"/>
    <s v="Source-defined international dollars"/>
    <s v="Liberia|1992"/>
    <s v="Gapminder/Plotly country-year extract reshaped to long indicator format for education"/>
    <s v="OK"/>
    <s v="1990s"/>
    <s v="N/A"/>
    <s v="Economy"/>
  </r>
  <r>
    <s v="GM-02692"/>
    <s v="Liberia"/>
    <x v="2"/>
    <x v="9"/>
    <x v="0"/>
    <s v="Life expectancy at birth"/>
    <s v="Health"/>
    <s v="SDG 3: Good Health and Well-being"/>
    <n v="42.220999999999997"/>
    <s v="Years"/>
    <s v="Liberia|1997"/>
    <s v="Gapminder/Plotly country-year extract reshaped to long indicator format for education"/>
    <s v="OK"/>
    <s v="1990s"/>
    <s v="Low"/>
    <s v="Health"/>
  </r>
  <r>
    <s v="GM-02693"/>
    <s v="Liberia"/>
    <x v="2"/>
    <x v="9"/>
    <x v="1"/>
    <s v="Population, total"/>
    <s v="Demographics"/>
    <s v="SDG 11: Sustainable Cities and Communities"/>
    <n v="2200725"/>
    <s v="People"/>
    <s v="Liberia|1997"/>
    <s v="Gapminder/Plotly country-year extract reshaped to long indicator format for education"/>
    <s v="OK"/>
    <s v="1990s"/>
    <s v="N/A"/>
    <s v="Demographics"/>
  </r>
  <r>
    <s v="GM-02694"/>
    <s v="Liberia"/>
    <x v="2"/>
    <x v="9"/>
    <x v="2"/>
    <s v="GDP per capita"/>
    <s v="Economy"/>
    <s v="SDG 8: Decent Work and Economic Growth"/>
    <n v="609.17395079999994"/>
    <s v="Source-defined international dollars"/>
    <s v="Liberia|1997"/>
    <s v="Gapminder/Plotly country-year extract reshaped to long indicator format for education"/>
    <s v="OK"/>
    <s v="1990s"/>
    <s v="N/A"/>
    <s v="Economy"/>
  </r>
  <r>
    <s v="GM-02695"/>
    <s v="Liberia"/>
    <x v="2"/>
    <x v="10"/>
    <x v="0"/>
    <s v="Life expectancy at birth"/>
    <s v="Health"/>
    <s v="SDG 3: Good Health and Well-being"/>
    <n v="43.753"/>
    <s v="Years"/>
    <s v="Liberia|2002"/>
    <s v="Gapminder/Plotly country-year extract reshaped to long indicator format for education"/>
    <s v="OK"/>
    <s v="2000s"/>
    <s v="Low"/>
    <s v="Health"/>
  </r>
  <r>
    <s v="GM-02696"/>
    <s v="Liberia"/>
    <x v="2"/>
    <x v="10"/>
    <x v="1"/>
    <s v="Population, total"/>
    <s v="Demographics"/>
    <s v="SDG 11: Sustainable Cities and Communities"/>
    <n v="2814651"/>
    <s v="People"/>
    <s v="Liberia|2002"/>
    <s v="Gapminder/Plotly country-year extract reshaped to long indicator format for education"/>
    <s v="OK"/>
    <s v="2000s"/>
    <s v="N/A"/>
    <s v="Demographics"/>
  </r>
  <r>
    <s v="GM-02697"/>
    <s v="Liberia"/>
    <x v="2"/>
    <x v="10"/>
    <x v="2"/>
    <s v="GDP per capita"/>
    <s v="Economy"/>
    <s v="SDG 8: Decent Work and Economic Growth"/>
    <n v="531.48236789999999"/>
    <s v="Source-defined international dollars"/>
    <s v="Liberia|2002"/>
    <s v="Gapminder/Plotly country-year extract reshaped to long indicator format for education"/>
    <s v="OK"/>
    <s v="2000s"/>
    <s v="N/A"/>
    <s v="Economy"/>
  </r>
  <r>
    <s v="GM-02698"/>
    <s v="Liberia"/>
    <x v="2"/>
    <x v="11"/>
    <x v="0"/>
    <s v="Life expectancy at birth"/>
    <s v="Health"/>
    <s v="SDG 3: Good Health and Well-being"/>
    <n v="45.677999999999997"/>
    <s v="Years"/>
    <s v="Liberia|2007"/>
    <s v="Gapminder/Plotly country-year extract reshaped to long indicator format for education"/>
    <s v="OK"/>
    <s v="2000s"/>
    <s v="Low"/>
    <s v="Health"/>
  </r>
  <r>
    <s v="GM-02699"/>
    <s v="Liberia"/>
    <x v="2"/>
    <x v="11"/>
    <x v="1"/>
    <s v="Population, total"/>
    <s v="Demographics"/>
    <s v="SDG 11: Sustainable Cities and Communities"/>
    <n v="3193942"/>
    <s v="People"/>
    <s v="Liberia|2007"/>
    <s v="Gapminder/Plotly country-year extract reshaped to long indicator format for education"/>
    <s v="OK"/>
    <s v="2000s"/>
    <s v="N/A"/>
    <s v="Demographics"/>
  </r>
  <r>
    <s v="GM-02700"/>
    <s v="Liberia"/>
    <x v="2"/>
    <x v="11"/>
    <x v="2"/>
    <s v="GDP per capita"/>
    <s v="Economy"/>
    <s v="SDG 8: Decent Work and Economic Growth"/>
    <n v="414.5073415"/>
    <s v="Source-defined international dollars"/>
    <s v="Liberia|2007"/>
    <s v="Gapminder/Plotly country-year extract reshaped to long indicator format for education"/>
    <s v="OK"/>
    <s v="2000s"/>
    <s v="N/A"/>
    <s v="Economy"/>
  </r>
  <r>
    <s v="GM-02701"/>
    <s v="Libya"/>
    <x v="2"/>
    <x v="0"/>
    <x v="0"/>
    <s v="Life expectancy at birth"/>
    <s v="Health"/>
    <s v="SDG 3: Good Health and Well-being"/>
    <n v="42.722999999999999"/>
    <s v="Years"/>
    <s v="Libya|1952"/>
    <s v="Gapminder/Plotly country-year extract reshaped to long indicator format for education"/>
    <s v="OK"/>
    <s v="1950s"/>
    <s v="Low"/>
    <s v="Health"/>
  </r>
  <r>
    <s v="GM-02702"/>
    <s v="Libya"/>
    <x v="2"/>
    <x v="0"/>
    <x v="1"/>
    <s v="Population, total"/>
    <s v="Demographics"/>
    <s v="SDG 11: Sustainable Cities and Communities"/>
    <n v="1019729"/>
    <s v="People"/>
    <s v="Libya|1952"/>
    <s v="Gapminder/Plotly country-year extract reshaped to long indicator format for education"/>
    <s v="OK"/>
    <s v="1950s"/>
    <s v="N/A"/>
    <s v="Demographics"/>
  </r>
  <r>
    <s v="GM-02703"/>
    <s v="Libya"/>
    <x v="2"/>
    <x v="0"/>
    <x v="2"/>
    <s v="GDP per capita"/>
    <s v="Economy"/>
    <s v="SDG 8: Decent Work and Economic Growth"/>
    <n v="2387.5480600000001"/>
    <s v="Source-defined international dollars"/>
    <s v="Libya|1952"/>
    <s v="Gapminder/Plotly country-year extract reshaped to long indicator format for education"/>
    <s v="OK"/>
    <s v="1950s"/>
    <s v="N/A"/>
    <s v="Economy"/>
  </r>
  <r>
    <s v="GM-02704"/>
    <s v="Libya"/>
    <x v="2"/>
    <x v="1"/>
    <x v="0"/>
    <s v="Life expectancy at birth"/>
    <s v="Health"/>
    <s v="SDG 3: Good Health and Well-being"/>
    <n v="45.289000000000001"/>
    <s v="Years"/>
    <s v="Libya|1957"/>
    <s v="Gapminder/Plotly country-year extract reshaped to long indicator format for education"/>
    <s v="OK"/>
    <s v="1950s"/>
    <s v="Low"/>
    <s v="Health"/>
  </r>
  <r>
    <s v="GM-02705"/>
    <s v="Libya"/>
    <x v="2"/>
    <x v="1"/>
    <x v="1"/>
    <s v="Population, total"/>
    <s v="Demographics"/>
    <s v="SDG 11: Sustainable Cities and Communities"/>
    <n v="1201578"/>
    <s v="People"/>
    <s v="Libya|1957"/>
    <s v="Gapminder/Plotly country-year extract reshaped to long indicator format for education"/>
    <s v="OK"/>
    <s v="1950s"/>
    <s v="N/A"/>
    <s v="Demographics"/>
  </r>
  <r>
    <s v="GM-02706"/>
    <s v="Libya"/>
    <x v="2"/>
    <x v="1"/>
    <x v="2"/>
    <s v="GDP per capita"/>
    <s v="Economy"/>
    <s v="SDG 8: Decent Work and Economic Growth"/>
    <n v="3448.2843950000001"/>
    <s v="Source-defined international dollars"/>
    <s v="Libya|1957"/>
    <s v="Gapminder/Plotly country-year extract reshaped to long indicator format for education"/>
    <s v="OK"/>
    <s v="1950s"/>
    <s v="N/A"/>
    <s v="Economy"/>
  </r>
  <r>
    <s v="GM-02707"/>
    <s v="Libya"/>
    <x v="2"/>
    <x v="2"/>
    <x v="0"/>
    <s v="Life expectancy at birth"/>
    <s v="Health"/>
    <s v="SDG 3: Good Health and Well-being"/>
    <n v="47.808"/>
    <s v="Years"/>
    <s v="Libya|1962"/>
    <s v="Gapminder/Plotly country-year extract reshaped to long indicator format for education"/>
    <s v="OK"/>
    <s v="1960s"/>
    <s v="Low"/>
    <s v="Health"/>
  </r>
  <r>
    <s v="GM-02708"/>
    <s v="Libya"/>
    <x v="2"/>
    <x v="2"/>
    <x v="1"/>
    <s v="Population, total"/>
    <s v="Demographics"/>
    <s v="SDG 11: Sustainable Cities and Communities"/>
    <n v="1441863"/>
    <s v="People"/>
    <s v="Libya|1962"/>
    <s v="Gapminder/Plotly country-year extract reshaped to long indicator format for education"/>
    <s v="OK"/>
    <s v="1960s"/>
    <s v="N/A"/>
    <s v="Demographics"/>
  </r>
  <r>
    <s v="GM-02709"/>
    <s v="Libya"/>
    <x v="2"/>
    <x v="2"/>
    <x v="2"/>
    <s v="GDP per capita"/>
    <s v="Economy"/>
    <s v="SDG 8: Decent Work and Economic Growth"/>
    <n v="6757.0308160000004"/>
    <s v="Source-defined international dollars"/>
    <s v="Libya|1962"/>
    <s v="Gapminder/Plotly country-year extract reshaped to long indicator format for education"/>
    <s v="OK"/>
    <s v="1960s"/>
    <s v="N/A"/>
    <s v="Economy"/>
  </r>
  <r>
    <s v="GM-02710"/>
    <s v="Libya"/>
    <x v="2"/>
    <x v="3"/>
    <x v="0"/>
    <s v="Life expectancy at birth"/>
    <s v="Health"/>
    <s v="SDG 3: Good Health and Well-being"/>
    <n v="50.226999999999997"/>
    <s v="Years"/>
    <s v="Libya|1967"/>
    <s v="Gapminder/Plotly country-year extract reshaped to long indicator format for education"/>
    <s v="OK"/>
    <s v="1960s"/>
    <s v="Low"/>
    <s v="Health"/>
  </r>
  <r>
    <s v="GM-02711"/>
    <s v="Libya"/>
    <x v="2"/>
    <x v="3"/>
    <x v="1"/>
    <s v="Population, total"/>
    <s v="Demographics"/>
    <s v="SDG 11: Sustainable Cities and Communities"/>
    <n v="1759224"/>
    <s v="People"/>
    <s v="Libya|1967"/>
    <s v="Gapminder/Plotly country-year extract reshaped to long indicator format for education"/>
    <s v="OK"/>
    <s v="1960s"/>
    <s v="N/A"/>
    <s v="Demographics"/>
  </r>
  <r>
    <s v="GM-02712"/>
    <s v="Libya"/>
    <x v="2"/>
    <x v="3"/>
    <x v="2"/>
    <s v="GDP per capita"/>
    <s v="Economy"/>
    <s v="SDG 8: Decent Work and Economic Growth"/>
    <n v="18772.751690000001"/>
    <s v="Source-defined international dollars"/>
    <s v="Libya|1967"/>
    <s v="Gapminder/Plotly country-year extract reshaped to long indicator format for education"/>
    <s v="OK"/>
    <s v="1960s"/>
    <s v="N/A"/>
    <s v="Economy"/>
  </r>
  <r>
    <s v="GM-02713"/>
    <s v="Libya"/>
    <x v="2"/>
    <x v="4"/>
    <x v="0"/>
    <s v="Life expectancy at birth"/>
    <s v="Health"/>
    <s v="SDG 3: Good Health and Well-being"/>
    <n v="52.773000000000003"/>
    <s v="Years"/>
    <s v="Libya|1972"/>
    <s v="Gapminder/Plotly country-year extract reshaped to long indicator format for education"/>
    <s v="OK"/>
    <s v="1970s"/>
    <s v="Low"/>
    <s v="Health"/>
  </r>
  <r>
    <s v="GM-02714"/>
    <s v="Libya"/>
    <x v="2"/>
    <x v="4"/>
    <x v="1"/>
    <s v="Population, total"/>
    <s v="Demographics"/>
    <s v="SDG 11: Sustainable Cities and Communities"/>
    <n v="2183877"/>
    <s v="People"/>
    <s v="Libya|1972"/>
    <s v="Gapminder/Plotly country-year extract reshaped to long indicator format for education"/>
    <s v="OK"/>
    <s v="1970s"/>
    <s v="N/A"/>
    <s v="Demographics"/>
  </r>
  <r>
    <s v="GM-02715"/>
    <s v="Libya"/>
    <x v="2"/>
    <x v="4"/>
    <x v="2"/>
    <s v="GDP per capita"/>
    <s v="Economy"/>
    <s v="SDG 8: Decent Work and Economic Growth"/>
    <n v="21011.497210000001"/>
    <s v="Source-defined international dollars"/>
    <s v="Libya|1972"/>
    <s v="Gapminder/Plotly country-year extract reshaped to long indicator format for education"/>
    <s v="OK"/>
    <s v="1970s"/>
    <s v="N/A"/>
    <s v="Economy"/>
  </r>
  <r>
    <s v="GM-02716"/>
    <s v="Libya"/>
    <x v="2"/>
    <x v="5"/>
    <x v="0"/>
    <s v="Life expectancy at birth"/>
    <s v="Health"/>
    <s v="SDG 3: Good Health and Well-being"/>
    <n v="57.442"/>
    <s v="Years"/>
    <s v="Libya|1977"/>
    <s v="Gapminder/Plotly country-year extract reshaped to long indicator format for education"/>
    <s v="OK"/>
    <s v="1970s"/>
    <s v="Medium"/>
    <s v="Health"/>
  </r>
  <r>
    <s v="GM-02717"/>
    <s v="Libya"/>
    <x v="2"/>
    <x v="5"/>
    <x v="1"/>
    <s v="Population, total"/>
    <s v="Demographics"/>
    <s v="SDG 11: Sustainable Cities and Communities"/>
    <n v="2721783"/>
    <s v="People"/>
    <s v="Libya|1977"/>
    <s v="Gapminder/Plotly country-year extract reshaped to long indicator format for education"/>
    <s v="OK"/>
    <s v="1970s"/>
    <s v="N/A"/>
    <s v="Demographics"/>
  </r>
  <r>
    <s v="GM-02718"/>
    <s v="Libya"/>
    <x v="2"/>
    <x v="5"/>
    <x v="2"/>
    <s v="GDP per capita"/>
    <s v="Economy"/>
    <s v="SDG 8: Decent Work and Economic Growth"/>
    <n v="21951.211759999998"/>
    <s v="Source-defined international dollars"/>
    <s v="Libya|1977"/>
    <s v="Gapminder/Plotly country-year extract reshaped to long indicator format for education"/>
    <s v="OK"/>
    <s v="1970s"/>
    <s v="N/A"/>
    <s v="Economy"/>
  </r>
  <r>
    <s v="GM-02719"/>
    <s v="Libya"/>
    <x v="2"/>
    <x v="6"/>
    <x v="0"/>
    <s v="Life expectancy at birth"/>
    <s v="Health"/>
    <s v="SDG 3: Good Health and Well-being"/>
    <n v="62.155000000000001"/>
    <s v="Years"/>
    <s v="Libya|1982"/>
    <s v="Gapminder/Plotly country-year extract reshaped to long indicator format for education"/>
    <s v="OK"/>
    <s v="1980s"/>
    <s v="Medium"/>
    <s v="Health"/>
  </r>
  <r>
    <s v="GM-02720"/>
    <s v="Libya"/>
    <x v="2"/>
    <x v="6"/>
    <x v="1"/>
    <s v="Population, total"/>
    <s v="Demographics"/>
    <s v="SDG 11: Sustainable Cities and Communities"/>
    <n v="3344074"/>
    <s v="People"/>
    <s v="Libya|1982"/>
    <s v="Gapminder/Plotly country-year extract reshaped to long indicator format for education"/>
    <s v="OK"/>
    <s v="1980s"/>
    <s v="N/A"/>
    <s v="Demographics"/>
  </r>
  <r>
    <s v="GM-02721"/>
    <s v="Libya"/>
    <x v="2"/>
    <x v="6"/>
    <x v="2"/>
    <s v="GDP per capita"/>
    <s v="Economy"/>
    <s v="SDG 8: Decent Work and Economic Growth"/>
    <n v="17364.275379999999"/>
    <s v="Source-defined international dollars"/>
    <s v="Libya|1982"/>
    <s v="Gapminder/Plotly country-year extract reshaped to long indicator format for education"/>
    <s v="OK"/>
    <s v="1980s"/>
    <s v="N/A"/>
    <s v="Economy"/>
  </r>
  <r>
    <s v="GM-02722"/>
    <s v="Libya"/>
    <x v="2"/>
    <x v="7"/>
    <x v="0"/>
    <s v="Life expectancy at birth"/>
    <s v="Health"/>
    <s v="SDG 3: Good Health and Well-being"/>
    <n v="66.233999999999995"/>
    <s v="Years"/>
    <s v="Libya|1987"/>
    <s v="Gapminder/Plotly country-year extract reshaped to long indicator format for education"/>
    <s v="OK"/>
    <s v="1980s"/>
    <s v="Medium"/>
    <s v="Health"/>
  </r>
  <r>
    <s v="GM-02723"/>
    <s v="Libya"/>
    <x v="2"/>
    <x v="7"/>
    <x v="1"/>
    <s v="Population, total"/>
    <s v="Demographics"/>
    <s v="SDG 11: Sustainable Cities and Communities"/>
    <n v="3799845"/>
    <s v="People"/>
    <s v="Libya|1987"/>
    <s v="Gapminder/Plotly country-year extract reshaped to long indicator format for education"/>
    <s v="OK"/>
    <s v="1980s"/>
    <s v="N/A"/>
    <s v="Demographics"/>
  </r>
  <r>
    <s v="GM-02724"/>
    <s v="Libya"/>
    <x v="2"/>
    <x v="7"/>
    <x v="2"/>
    <s v="GDP per capita"/>
    <s v="Economy"/>
    <s v="SDG 8: Decent Work and Economic Growth"/>
    <n v="11770.5898"/>
    <s v="Source-defined international dollars"/>
    <s v="Libya|1987"/>
    <s v="Gapminder/Plotly country-year extract reshaped to long indicator format for education"/>
    <s v="OK"/>
    <s v="1980s"/>
    <s v="N/A"/>
    <s v="Economy"/>
  </r>
  <r>
    <s v="GM-02725"/>
    <s v="Libya"/>
    <x v="2"/>
    <x v="8"/>
    <x v="0"/>
    <s v="Life expectancy at birth"/>
    <s v="Health"/>
    <s v="SDG 3: Good Health and Well-being"/>
    <n v="68.754999999999995"/>
    <s v="Years"/>
    <s v="Libya|1992"/>
    <s v="Gapminder/Plotly country-year extract reshaped to long indicator format for education"/>
    <s v="OK"/>
    <s v="1990s"/>
    <s v="Medium"/>
    <s v="Health"/>
  </r>
  <r>
    <s v="GM-02726"/>
    <s v="Libya"/>
    <x v="2"/>
    <x v="8"/>
    <x v="1"/>
    <s v="Population, total"/>
    <s v="Demographics"/>
    <s v="SDG 11: Sustainable Cities and Communities"/>
    <n v="4364501"/>
    <s v="People"/>
    <s v="Libya|1992"/>
    <s v="Gapminder/Plotly country-year extract reshaped to long indicator format for education"/>
    <s v="OK"/>
    <s v="1990s"/>
    <s v="N/A"/>
    <s v="Demographics"/>
  </r>
  <r>
    <s v="GM-02727"/>
    <s v="Libya"/>
    <x v="2"/>
    <x v="8"/>
    <x v="2"/>
    <s v="GDP per capita"/>
    <s v="Economy"/>
    <s v="SDG 8: Decent Work and Economic Growth"/>
    <n v="9640.1385009999995"/>
    <s v="Source-defined international dollars"/>
    <s v="Libya|1992"/>
    <s v="Gapminder/Plotly country-year extract reshaped to long indicator format for education"/>
    <s v="OK"/>
    <s v="1990s"/>
    <s v="N/A"/>
    <s v="Economy"/>
  </r>
  <r>
    <s v="GM-02728"/>
    <s v="Libya"/>
    <x v="2"/>
    <x v="9"/>
    <x v="0"/>
    <s v="Life expectancy at birth"/>
    <s v="Health"/>
    <s v="SDG 3: Good Health and Well-being"/>
    <n v="71.555000000000007"/>
    <s v="Years"/>
    <s v="Libya|1997"/>
    <s v="Gapminder/Plotly country-year extract reshaped to long indicator format for education"/>
    <s v="OK"/>
    <s v="1990s"/>
    <s v="High"/>
    <s v="Health"/>
  </r>
  <r>
    <s v="GM-02729"/>
    <s v="Libya"/>
    <x v="2"/>
    <x v="9"/>
    <x v="1"/>
    <s v="Population, total"/>
    <s v="Demographics"/>
    <s v="SDG 11: Sustainable Cities and Communities"/>
    <n v="4759670"/>
    <s v="People"/>
    <s v="Libya|1997"/>
    <s v="Gapminder/Plotly country-year extract reshaped to long indicator format for education"/>
    <s v="OK"/>
    <s v="1990s"/>
    <s v="N/A"/>
    <s v="Demographics"/>
  </r>
  <r>
    <s v="GM-02730"/>
    <s v="Libya"/>
    <x v="2"/>
    <x v="9"/>
    <x v="2"/>
    <s v="GDP per capita"/>
    <s v="Economy"/>
    <s v="SDG 8: Decent Work and Economic Growth"/>
    <n v="9467.4460560000007"/>
    <s v="Source-defined international dollars"/>
    <s v="Libya|1997"/>
    <s v="Gapminder/Plotly country-year extract reshaped to long indicator format for education"/>
    <s v="OK"/>
    <s v="1990s"/>
    <s v="N/A"/>
    <s v="Economy"/>
  </r>
  <r>
    <s v="GM-02731"/>
    <s v="Libya"/>
    <x v="2"/>
    <x v="10"/>
    <x v="0"/>
    <s v="Life expectancy at birth"/>
    <s v="Health"/>
    <s v="SDG 3: Good Health and Well-being"/>
    <n v="72.736999999999995"/>
    <s v="Years"/>
    <s v="Libya|2002"/>
    <s v="Gapminder/Plotly country-year extract reshaped to long indicator format for education"/>
    <s v="OK"/>
    <s v="2000s"/>
    <s v="High"/>
    <s v="Health"/>
  </r>
  <r>
    <s v="GM-02732"/>
    <s v="Libya"/>
    <x v="2"/>
    <x v="10"/>
    <x v="1"/>
    <s v="Population, total"/>
    <s v="Demographics"/>
    <s v="SDG 11: Sustainable Cities and Communities"/>
    <n v="5368585"/>
    <s v="People"/>
    <s v="Libya|2002"/>
    <s v="Gapminder/Plotly country-year extract reshaped to long indicator format for education"/>
    <s v="OK"/>
    <s v="2000s"/>
    <s v="N/A"/>
    <s v="Demographics"/>
  </r>
  <r>
    <s v="GM-02733"/>
    <s v="Libya"/>
    <x v="2"/>
    <x v="10"/>
    <x v="2"/>
    <s v="GDP per capita"/>
    <s v="Economy"/>
    <s v="SDG 8: Decent Work and Economic Growth"/>
    <n v="9534.6774669999995"/>
    <s v="Source-defined international dollars"/>
    <s v="Libya|2002"/>
    <s v="Gapminder/Plotly country-year extract reshaped to long indicator format for education"/>
    <s v="OK"/>
    <s v="2000s"/>
    <s v="N/A"/>
    <s v="Economy"/>
  </r>
  <r>
    <s v="GM-02734"/>
    <s v="Libya"/>
    <x v="2"/>
    <x v="11"/>
    <x v="0"/>
    <s v="Life expectancy at birth"/>
    <s v="Health"/>
    <s v="SDG 3: Good Health and Well-being"/>
    <n v="73.951999999999998"/>
    <s v="Years"/>
    <s v="Libya|2007"/>
    <s v="Gapminder/Plotly country-year extract reshaped to long indicator format for education"/>
    <s v="OK"/>
    <s v="2000s"/>
    <s v="High"/>
    <s v="Health"/>
  </r>
  <r>
    <s v="GM-02735"/>
    <s v="Libya"/>
    <x v="2"/>
    <x v="11"/>
    <x v="1"/>
    <s v="Population, total"/>
    <s v="Demographics"/>
    <s v="SDG 11: Sustainable Cities and Communities"/>
    <n v="6036914"/>
    <s v="People"/>
    <s v="Libya|2007"/>
    <s v="Gapminder/Plotly country-year extract reshaped to long indicator format for education"/>
    <s v="OK"/>
    <s v="2000s"/>
    <s v="N/A"/>
    <s v="Demographics"/>
  </r>
  <r>
    <s v="GM-02736"/>
    <s v="Libya"/>
    <x v="2"/>
    <x v="11"/>
    <x v="2"/>
    <s v="GDP per capita"/>
    <s v="Economy"/>
    <s v="SDG 8: Decent Work and Economic Growth"/>
    <n v="12057.49928"/>
    <s v="Source-defined international dollars"/>
    <s v="Libya|2007"/>
    <s v="Gapminder/Plotly country-year extract reshaped to long indicator format for education"/>
    <s v="OK"/>
    <s v="2000s"/>
    <s v="N/A"/>
    <s v="Economy"/>
  </r>
  <r>
    <s v="GM-02737"/>
    <s v="Madagascar"/>
    <x v="2"/>
    <x v="0"/>
    <x v="0"/>
    <s v="Life expectancy at birth"/>
    <s v="Health"/>
    <s v="SDG 3: Good Health and Well-being"/>
    <n v="36.680999999999997"/>
    <s v="Years"/>
    <s v="Madagascar|1952"/>
    <s v="Gapminder/Plotly country-year extract reshaped to long indicator format for education"/>
    <s v="OK"/>
    <s v="1950s"/>
    <s v="Low"/>
    <s v="Health"/>
  </r>
  <r>
    <s v="GM-02738"/>
    <s v="Madagascar"/>
    <x v="2"/>
    <x v="0"/>
    <x v="1"/>
    <s v="Population, total"/>
    <s v="Demographics"/>
    <s v="SDG 11: Sustainable Cities and Communities"/>
    <n v="4762912"/>
    <s v="People"/>
    <s v="Madagascar|1952"/>
    <s v="Gapminder/Plotly country-year extract reshaped to long indicator format for education"/>
    <s v="OK"/>
    <s v="1950s"/>
    <s v="N/A"/>
    <s v="Demographics"/>
  </r>
  <r>
    <s v="GM-02739"/>
    <s v="Madagascar"/>
    <x v="2"/>
    <x v="0"/>
    <x v="2"/>
    <s v="GDP per capita"/>
    <s v="Economy"/>
    <s v="SDG 8: Decent Work and Economic Growth"/>
    <n v="1443.0117150000001"/>
    <s v="Source-defined international dollars"/>
    <s v="Madagascar|1952"/>
    <s v="Gapminder/Plotly country-year extract reshaped to long indicator format for education"/>
    <s v="OK"/>
    <s v="1950s"/>
    <s v="N/A"/>
    <s v="Economy"/>
  </r>
  <r>
    <s v="GM-02740"/>
    <s v="Madagascar"/>
    <x v="2"/>
    <x v="1"/>
    <x v="0"/>
    <s v="Life expectancy at birth"/>
    <s v="Health"/>
    <s v="SDG 3: Good Health and Well-being"/>
    <n v="38.865000000000002"/>
    <s v="Years"/>
    <s v="Madagascar|1957"/>
    <s v="Gapminder/Plotly country-year extract reshaped to long indicator format for education"/>
    <s v="OK"/>
    <s v="1950s"/>
    <s v="Low"/>
    <s v="Health"/>
  </r>
  <r>
    <s v="GM-02741"/>
    <s v="Madagascar"/>
    <x v="2"/>
    <x v="1"/>
    <x v="1"/>
    <s v="Population, total"/>
    <s v="Demographics"/>
    <s v="SDG 11: Sustainable Cities and Communities"/>
    <n v="5181679"/>
    <s v="People"/>
    <s v="Madagascar|1957"/>
    <s v="Gapminder/Plotly country-year extract reshaped to long indicator format for education"/>
    <s v="OK"/>
    <s v="1950s"/>
    <s v="N/A"/>
    <s v="Demographics"/>
  </r>
  <r>
    <s v="GM-02742"/>
    <s v="Madagascar"/>
    <x v="2"/>
    <x v="1"/>
    <x v="2"/>
    <s v="GDP per capita"/>
    <s v="Economy"/>
    <s v="SDG 8: Decent Work and Economic Growth"/>
    <n v="1589.2027499999999"/>
    <s v="Source-defined international dollars"/>
    <s v="Madagascar|1957"/>
    <s v="Gapminder/Plotly country-year extract reshaped to long indicator format for education"/>
    <s v="OK"/>
    <s v="1950s"/>
    <s v="N/A"/>
    <s v="Economy"/>
  </r>
  <r>
    <s v="GM-02743"/>
    <s v="Madagascar"/>
    <x v="2"/>
    <x v="2"/>
    <x v="0"/>
    <s v="Life expectancy at birth"/>
    <s v="Health"/>
    <s v="SDG 3: Good Health and Well-being"/>
    <n v="40.847999999999999"/>
    <s v="Years"/>
    <s v="Madagascar|1962"/>
    <s v="Gapminder/Plotly country-year extract reshaped to long indicator format for education"/>
    <s v="OK"/>
    <s v="1960s"/>
    <s v="Low"/>
    <s v="Health"/>
  </r>
  <r>
    <s v="GM-02744"/>
    <s v="Madagascar"/>
    <x v="2"/>
    <x v="2"/>
    <x v="1"/>
    <s v="Population, total"/>
    <s v="Demographics"/>
    <s v="SDG 11: Sustainable Cities and Communities"/>
    <n v="5703324"/>
    <s v="People"/>
    <s v="Madagascar|1962"/>
    <s v="Gapminder/Plotly country-year extract reshaped to long indicator format for education"/>
    <s v="OK"/>
    <s v="1960s"/>
    <s v="N/A"/>
    <s v="Demographics"/>
  </r>
  <r>
    <s v="GM-02745"/>
    <s v="Madagascar"/>
    <x v="2"/>
    <x v="2"/>
    <x v="2"/>
    <s v="GDP per capita"/>
    <s v="Economy"/>
    <s v="SDG 8: Decent Work and Economic Growth"/>
    <n v="1643.3871099999999"/>
    <s v="Source-defined international dollars"/>
    <s v="Madagascar|1962"/>
    <s v="Gapminder/Plotly country-year extract reshaped to long indicator format for education"/>
    <s v="OK"/>
    <s v="1960s"/>
    <s v="N/A"/>
    <s v="Economy"/>
  </r>
  <r>
    <s v="GM-02746"/>
    <s v="Madagascar"/>
    <x v="2"/>
    <x v="3"/>
    <x v="0"/>
    <s v="Life expectancy at birth"/>
    <s v="Health"/>
    <s v="SDG 3: Good Health and Well-being"/>
    <n v="42.881"/>
    <s v="Years"/>
    <s v="Madagascar|1967"/>
    <s v="Gapminder/Plotly country-year extract reshaped to long indicator format for education"/>
    <s v="OK"/>
    <s v="1960s"/>
    <s v="Low"/>
    <s v="Health"/>
  </r>
  <r>
    <s v="GM-02747"/>
    <s v="Madagascar"/>
    <x v="2"/>
    <x v="3"/>
    <x v="1"/>
    <s v="Population, total"/>
    <s v="Demographics"/>
    <s v="SDG 11: Sustainable Cities and Communities"/>
    <n v="6334556"/>
    <s v="People"/>
    <s v="Madagascar|1967"/>
    <s v="Gapminder/Plotly country-year extract reshaped to long indicator format for education"/>
    <s v="OK"/>
    <s v="1960s"/>
    <s v="N/A"/>
    <s v="Demographics"/>
  </r>
  <r>
    <s v="GM-02748"/>
    <s v="Madagascar"/>
    <x v="2"/>
    <x v="3"/>
    <x v="2"/>
    <s v="GDP per capita"/>
    <s v="Economy"/>
    <s v="SDG 8: Decent Work and Economic Growth"/>
    <n v="1634.047282"/>
    <s v="Source-defined international dollars"/>
    <s v="Madagascar|1967"/>
    <s v="Gapminder/Plotly country-year extract reshaped to long indicator format for education"/>
    <s v="OK"/>
    <s v="1960s"/>
    <s v="N/A"/>
    <s v="Economy"/>
  </r>
  <r>
    <s v="GM-02749"/>
    <s v="Madagascar"/>
    <x v="2"/>
    <x v="4"/>
    <x v="0"/>
    <s v="Life expectancy at birth"/>
    <s v="Health"/>
    <s v="SDG 3: Good Health and Well-being"/>
    <n v="44.850999999999999"/>
    <s v="Years"/>
    <s v="Madagascar|1972"/>
    <s v="Gapminder/Plotly country-year extract reshaped to long indicator format for education"/>
    <s v="OK"/>
    <s v="1970s"/>
    <s v="Low"/>
    <s v="Health"/>
  </r>
  <r>
    <s v="GM-02750"/>
    <s v="Madagascar"/>
    <x v="2"/>
    <x v="4"/>
    <x v="1"/>
    <s v="Population, total"/>
    <s v="Demographics"/>
    <s v="SDG 11: Sustainable Cities and Communities"/>
    <n v="7082430"/>
    <s v="People"/>
    <s v="Madagascar|1972"/>
    <s v="Gapminder/Plotly country-year extract reshaped to long indicator format for education"/>
    <s v="OK"/>
    <s v="1970s"/>
    <s v="N/A"/>
    <s v="Demographics"/>
  </r>
  <r>
    <s v="GM-02751"/>
    <s v="Madagascar"/>
    <x v="2"/>
    <x v="4"/>
    <x v="2"/>
    <s v="GDP per capita"/>
    <s v="Economy"/>
    <s v="SDG 8: Decent Work and Economic Growth"/>
    <n v="1748.5629819999999"/>
    <s v="Source-defined international dollars"/>
    <s v="Madagascar|1972"/>
    <s v="Gapminder/Plotly country-year extract reshaped to long indicator format for education"/>
    <s v="OK"/>
    <s v="1970s"/>
    <s v="N/A"/>
    <s v="Economy"/>
  </r>
  <r>
    <s v="GM-02752"/>
    <s v="Madagascar"/>
    <x v="2"/>
    <x v="5"/>
    <x v="0"/>
    <s v="Life expectancy at birth"/>
    <s v="Health"/>
    <s v="SDG 3: Good Health and Well-being"/>
    <n v="46.881"/>
    <s v="Years"/>
    <s v="Madagascar|1977"/>
    <s v="Gapminder/Plotly country-year extract reshaped to long indicator format for education"/>
    <s v="OK"/>
    <s v="1970s"/>
    <s v="Low"/>
    <s v="Health"/>
  </r>
  <r>
    <s v="GM-02753"/>
    <s v="Madagascar"/>
    <x v="2"/>
    <x v="5"/>
    <x v="1"/>
    <s v="Population, total"/>
    <s v="Demographics"/>
    <s v="SDG 11: Sustainable Cities and Communities"/>
    <n v="8007166"/>
    <s v="People"/>
    <s v="Madagascar|1977"/>
    <s v="Gapminder/Plotly country-year extract reshaped to long indicator format for education"/>
    <s v="OK"/>
    <s v="1970s"/>
    <s v="N/A"/>
    <s v="Demographics"/>
  </r>
  <r>
    <s v="GM-02754"/>
    <s v="Madagascar"/>
    <x v="2"/>
    <x v="5"/>
    <x v="2"/>
    <s v="GDP per capita"/>
    <s v="Economy"/>
    <s v="SDG 8: Decent Work and Economic Growth"/>
    <n v="1544.228586"/>
    <s v="Source-defined international dollars"/>
    <s v="Madagascar|1977"/>
    <s v="Gapminder/Plotly country-year extract reshaped to long indicator format for education"/>
    <s v="OK"/>
    <s v="1970s"/>
    <s v="N/A"/>
    <s v="Economy"/>
  </r>
  <r>
    <s v="GM-02755"/>
    <s v="Madagascar"/>
    <x v="2"/>
    <x v="6"/>
    <x v="0"/>
    <s v="Life expectancy at birth"/>
    <s v="Health"/>
    <s v="SDG 3: Good Health and Well-being"/>
    <n v="48.969000000000001"/>
    <s v="Years"/>
    <s v="Madagascar|1982"/>
    <s v="Gapminder/Plotly country-year extract reshaped to long indicator format for education"/>
    <s v="OK"/>
    <s v="1980s"/>
    <s v="Low"/>
    <s v="Health"/>
  </r>
  <r>
    <s v="GM-02756"/>
    <s v="Madagascar"/>
    <x v="2"/>
    <x v="6"/>
    <x v="1"/>
    <s v="Population, total"/>
    <s v="Demographics"/>
    <s v="SDG 11: Sustainable Cities and Communities"/>
    <n v="9171477"/>
    <s v="People"/>
    <s v="Madagascar|1982"/>
    <s v="Gapminder/Plotly country-year extract reshaped to long indicator format for education"/>
    <s v="OK"/>
    <s v="1980s"/>
    <s v="N/A"/>
    <s v="Demographics"/>
  </r>
  <r>
    <s v="GM-02757"/>
    <s v="Madagascar"/>
    <x v="2"/>
    <x v="6"/>
    <x v="2"/>
    <s v="GDP per capita"/>
    <s v="Economy"/>
    <s v="SDG 8: Decent Work and Economic Growth"/>
    <n v="1302.8786580000001"/>
    <s v="Source-defined international dollars"/>
    <s v="Madagascar|1982"/>
    <s v="Gapminder/Plotly country-year extract reshaped to long indicator format for education"/>
    <s v="OK"/>
    <s v="1980s"/>
    <s v="N/A"/>
    <s v="Economy"/>
  </r>
  <r>
    <s v="GM-02758"/>
    <s v="Madagascar"/>
    <x v="2"/>
    <x v="7"/>
    <x v="0"/>
    <s v="Life expectancy at birth"/>
    <s v="Health"/>
    <s v="SDG 3: Good Health and Well-being"/>
    <n v="49.35"/>
    <s v="Years"/>
    <s v="Madagascar|1987"/>
    <s v="Gapminder/Plotly country-year extract reshaped to long indicator format for education"/>
    <s v="OK"/>
    <s v="1980s"/>
    <s v="Low"/>
    <s v="Health"/>
  </r>
  <r>
    <s v="GM-02759"/>
    <s v="Madagascar"/>
    <x v="2"/>
    <x v="7"/>
    <x v="1"/>
    <s v="Population, total"/>
    <s v="Demographics"/>
    <s v="SDG 11: Sustainable Cities and Communities"/>
    <n v="10568642"/>
    <s v="People"/>
    <s v="Madagascar|1987"/>
    <s v="Gapminder/Plotly country-year extract reshaped to long indicator format for education"/>
    <s v="OK"/>
    <s v="1980s"/>
    <s v="N/A"/>
    <s v="Demographics"/>
  </r>
  <r>
    <s v="GM-02760"/>
    <s v="Madagascar"/>
    <x v="2"/>
    <x v="7"/>
    <x v="2"/>
    <s v="GDP per capita"/>
    <s v="Economy"/>
    <s v="SDG 8: Decent Work and Economic Growth"/>
    <n v="1155.4419479999999"/>
    <s v="Source-defined international dollars"/>
    <s v="Madagascar|1987"/>
    <s v="Gapminder/Plotly country-year extract reshaped to long indicator format for education"/>
    <s v="OK"/>
    <s v="1980s"/>
    <s v="N/A"/>
    <s v="Economy"/>
  </r>
  <r>
    <s v="GM-02761"/>
    <s v="Madagascar"/>
    <x v="2"/>
    <x v="8"/>
    <x v="0"/>
    <s v="Life expectancy at birth"/>
    <s v="Health"/>
    <s v="SDG 3: Good Health and Well-being"/>
    <n v="52.213999999999999"/>
    <s v="Years"/>
    <s v="Madagascar|1992"/>
    <s v="Gapminder/Plotly country-year extract reshaped to long indicator format for education"/>
    <s v="OK"/>
    <s v="1990s"/>
    <s v="Low"/>
    <s v="Health"/>
  </r>
  <r>
    <s v="GM-02762"/>
    <s v="Madagascar"/>
    <x v="2"/>
    <x v="8"/>
    <x v="1"/>
    <s v="Population, total"/>
    <s v="Demographics"/>
    <s v="SDG 11: Sustainable Cities and Communities"/>
    <n v="12210395"/>
    <s v="People"/>
    <s v="Madagascar|1992"/>
    <s v="Gapminder/Plotly country-year extract reshaped to long indicator format for education"/>
    <s v="OK"/>
    <s v="1990s"/>
    <s v="N/A"/>
    <s v="Demographics"/>
  </r>
  <r>
    <s v="GM-02763"/>
    <s v="Madagascar"/>
    <x v="2"/>
    <x v="8"/>
    <x v="2"/>
    <s v="GDP per capita"/>
    <s v="Economy"/>
    <s v="SDG 8: Decent Work and Economic Growth"/>
    <n v="1040.6761899999999"/>
    <s v="Source-defined international dollars"/>
    <s v="Madagascar|1992"/>
    <s v="Gapminder/Plotly country-year extract reshaped to long indicator format for education"/>
    <s v="OK"/>
    <s v="1990s"/>
    <s v="N/A"/>
    <s v="Economy"/>
  </r>
  <r>
    <s v="GM-02764"/>
    <s v="Madagascar"/>
    <x v="2"/>
    <x v="9"/>
    <x v="0"/>
    <s v="Life expectancy at birth"/>
    <s v="Health"/>
    <s v="SDG 3: Good Health and Well-being"/>
    <n v="54.978000000000002"/>
    <s v="Years"/>
    <s v="Madagascar|1997"/>
    <s v="Gapminder/Plotly country-year extract reshaped to long indicator format for education"/>
    <s v="OK"/>
    <s v="1990s"/>
    <s v="Low"/>
    <s v="Health"/>
  </r>
  <r>
    <s v="GM-02765"/>
    <s v="Madagascar"/>
    <x v="2"/>
    <x v="9"/>
    <x v="1"/>
    <s v="Population, total"/>
    <s v="Demographics"/>
    <s v="SDG 11: Sustainable Cities and Communities"/>
    <n v="14165114"/>
    <s v="People"/>
    <s v="Madagascar|1997"/>
    <s v="Gapminder/Plotly country-year extract reshaped to long indicator format for education"/>
    <s v="OK"/>
    <s v="1990s"/>
    <s v="N/A"/>
    <s v="Demographics"/>
  </r>
  <r>
    <s v="GM-02766"/>
    <s v="Madagascar"/>
    <x v="2"/>
    <x v="9"/>
    <x v="2"/>
    <s v="GDP per capita"/>
    <s v="Economy"/>
    <s v="SDG 8: Decent Work and Economic Growth"/>
    <n v="986.29589559999999"/>
    <s v="Source-defined international dollars"/>
    <s v="Madagascar|1997"/>
    <s v="Gapminder/Plotly country-year extract reshaped to long indicator format for education"/>
    <s v="OK"/>
    <s v="1990s"/>
    <s v="N/A"/>
    <s v="Economy"/>
  </r>
  <r>
    <s v="GM-02767"/>
    <s v="Madagascar"/>
    <x v="2"/>
    <x v="10"/>
    <x v="0"/>
    <s v="Life expectancy at birth"/>
    <s v="Health"/>
    <s v="SDG 3: Good Health and Well-being"/>
    <n v="57.286000000000001"/>
    <s v="Years"/>
    <s v="Madagascar|2002"/>
    <s v="Gapminder/Plotly country-year extract reshaped to long indicator format for education"/>
    <s v="OK"/>
    <s v="2000s"/>
    <s v="Medium"/>
    <s v="Health"/>
  </r>
  <r>
    <s v="GM-02768"/>
    <s v="Madagascar"/>
    <x v="2"/>
    <x v="10"/>
    <x v="1"/>
    <s v="Population, total"/>
    <s v="Demographics"/>
    <s v="SDG 11: Sustainable Cities and Communities"/>
    <n v="16473477"/>
    <s v="People"/>
    <s v="Madagascar|2002"/>
    <s v="Gapminder/Plotly country-year extract reshaped to long indicator format for education"/>
    <s v="OK"/>
    <s v="2000s"/>
    <s v="N/A"/>
    <s v="Demographics"/>
  </r>
  <r>
    <s v="GM-02769"/>
    <s v="Madagascar"/>
    <x v="2"/>
    <x v="10"/>
    <x v="2"/>
    <s v="GDP per capita"/>
    <s v="Economy"/>
    <s v="SDG 8: Decent Work and Economic Growth"/>
    <n v="894.63708220000001"/>
    <s v="Source-defined international dollars"/>
    <s v="Madagascar|2002"/>
    <s v="Gapminder/Plotly country-year extract reshaped to long indicator format for education"/>
    <s v="OK"/>
    <s v="2000s"/>
    <s v="N/A"/>
    <s v="Economy"/>
  </r>
  <r>
    <s v="GM-02770"/>
    <s v="Madagascar"/>
    <x v="2"/>
    <x v="11"/>
    <x v="0"/>
    <s v="Life expectancy at birth"/>
    <s v="Health"/>
    <s v="SDG 3: Good Health and Well-being"/>
    <n v="59.442999999999998"/>
    <s v="Years"/>
    <s v="Madagascar|2007"/>
    <s v="Gapminder/Plotly country-year extract reshaped to long indicator format for education"/>
    <s v="OK"/>
    <s v="2000s"/>
    <s v="Medium"/>
    <s v="Health"/>
  </r>
  <r>
    <s v="GM-02771"/>
    <s v="Madagascar"/>
    <x v="2"/>
    <x v="11"/>
    <x v="1"/>
    <s v="Population, total"/>
    <s v="Demographics"/>
    <s v="SDG 11: Sustainable Cities and Communities"/>
    <n v="19167654"/>
    <s v="People"/>
    <s v="Madagascar|2007"/>
    <s v="Gapminder/Plotly country-year extract reshaped to long indicator format for education"/>
    <s v="OK"/>
    <s v="2000s"/>
    <s v="N/A"/>
    <s v="Demographics"/>
  </r>
  <r>
    <s v="GM-02772"/>
    <s v="Madagascar"/>
    <x v="2"/>
    <x v="11"/>
    <x v="2"/>
    <s v="GDP per capita"/>
    <s v="Economy"/>
    <s v="SDG 8: Decent Work and Economic Growth"/>
    <n v="1044.7701259999999"/>
    <s v="Source-defined international dollars"/>
    <s v="Madagascar|2007"/>
    <s v="Gapminder/Plotly country-year extract reshaped to long indicator format for education"/>
    <s v="OK"/>
    <s v="2000s"/>
    <s v="N/A"/>
    <s v="Economy"/>
  </r>
  <r>
    <s v="GM-02773"/>
    <s v="Malawi"/>
    <x v="2"/>
    <x v="0"/>
    <x v="0"/>
    <s v="Life expectancy at birth"/>
    <s v="Health"/>
    <s v="SDG 3: Good Health and Well-being"/>
    <n v="36.256"/>
    <s v="Years"/>
    <s v="Malawi|1952"/>
    <s v="Gapminder/Plotly country-year extract reshaped to long indicator format for education"/>
    <s v="OK"/>
    <s v="1950s"/>
    <s v="Low"/>
    <s v="Health"/>
  </r>
  <r>
    <s v="GM-02774"/>
    <s v="Malawi"/>
    <x v="2"/>
    <x v="0"/>
    <x v="1"/>
    <s v="Population, total"/>
    <s v="Demographics"/>
    <s v="SDG 11: Sustainable Cities and Communities"/>
    <n v="2917802"/>
    <s v="People"/>
    <s v="Malawi|1952"/>
    <s v="Gapminder/Plotly country-year extract reshaped to long indicator format for education"/>
    <s v="OK"/>
    <s v="1950s"/>
    <s v="N/A"/>
    <s v="Demographics"/>
  </r>
  <r>
    <s v="GM-02775"/>
    <s v="Malawi"/>
    <x v="2"/>
    <x v="0"/>
    <x v="2"/>
    <s v="GDP per capita"/>
    <s v="Economy"/>
    <s v="SDG 8: Decent Work and Economic Growth"/>
    <n v="369.16508019999998"/>
    <s v="Source-defined international dollars"/>
    <s v="Malawi|1952"/>
    <s v="Gapminder/Plotly country-year extract reshaped to long indicator format for education"/>
    <s v="OK"/>
    <s v="1950s"/>
    <s v="N/A"/>
    <s v="Economy"/>
  </r>
  <r>
    <s v="GM-02776"/>
    <s v="Malawi"/>
    <x v="2"/>
    <x v="1"/>
    <x v="0"/>
    <s v="Life expectancy at birth"/>
    <s v="Health"/>
    <s v="SDG 3: Good Health and Well-being"/>
    <n v="37.207000000000001"/>
    <s v="Years"/>
    <s v="Malawi|1957"/>
    <s v="Gapminder/Plotly country-year extract reshaped to long indicator format for education"/>
    <s v="OK"/>
    <s v="1950s"/>
    <s v="Low"/>
    <s v="Health"/>
  </r>
  <r>
    <s v="GM-02777"/>
    <s v="Malawi"/>
    <x v="2"/>
    <x v="1"/>
    <x v="1"/>
    <s v="Population, total"/>
    <s v="Demographics"/>
    <s v="SDG 11: Sustainable Cities and Communities"/>
    <n v="3221238"/>
    <s v="People"/>
    <s v="Malawi|1957"/>
    <s v="Gapminder/Plotly country-year extract reshaped to long indicator format for education"/>
    <s v="OK"/>
    <s v="1950s"/>
    <s v="N/A"/>
    <s v="Demographics"/>
  </r>
  <r>
    <s v="GM-02778"/>
    <s v="Malawi"/>
    <x v="2"/>
    <x v="1"/>
    <x v="2"/>
    <s v="GDP per capita"/>
    <s v="Economy"/>
    <s v="SDG 8: Decent Work and Economic Growth"/>
    <n v="416.36980640000002"/>
    <s v="Source-defined international dollars"/>
    <s v="Malawi|1957"/>
    <s v="Gapminder/Plotly country-year extract reshaped to long indicator format for education"/>
    <s v="OK"/>
    <s v="1950s"/>
    <s v="N/A"/>
    <s v="Economy"/>
  </r>
  <r>
    <s v="GM-02779"/>
    <s v="Malawi"/>
    <x v="2"/>
    <x v="2"/>
    <x v="0"/>
    <s v="Life expectancy at birth"/>
    <s v="Health"/>
    <s v="SDG 3: Good Health and Well-being"/>
    <n v="38.409999999999997"/>
    <s v="Years"/>
    <s v="Malawi|1962"/>
    <s v="Gapminder/Plotly country-year extract reshaped to long indicator format for education"/>
    <s v="OK"/>
    <s v="1960s"/>
    <s v="Low"/>
    <s v="Health"/>
  </r>
  <r>
    <s v="GM-02780"/>
    <s v="Malawi"/>
    <x v="2"/>
    <x v="2"/>
    <x v="1"/>
    <s v="Population, total"/>
    <s v="Demographics"/>
    <s v="SDG 11: Sustainable Cities and Communities"/>
    <n v="3628608"/>
    <s v="People"/>
    <s v="Malawi|1962"/>
    <s v="Gapminder/Plotly country-year extract reshaped to long indicator format for education"/>
    <s v="OK"/>
    <s v="1960s"/>
    <s v="N/A"/>
    <s v="Demographics"/>
  </r>
  <r>
    <s v="GM-02781"/>
    <s v="Malawi"/>
    <x v="2"/>
    <x v="2"/>
    <x v="2"/>
    <s v="GDP per capita"/>
    <s v="Economy"/>
    <s v="SDG 8: Decent Work and Economic Growth"/>
    <n v="427.90108559999999"/>
    <s v="Source-defined international dollars"/>
    <s v="Malawi|1962"/>
    <s v="Gapminder/Plotly country-year extract reshaped to long indicator format for education"/>
    <s v="OK"/>
    <s v="1960s"/>
    <s v="N/A"/>
    <s v="Economy"/>
  </r>
  <r>
    <s v="GM-02782"/>
    <s v="Malawi"/>
    <x v="2"/>
    <x v="3"/>
    <x v="0"/>
    <s v="Life expectancy at birth"/>
    <s v="Health"/>
    <s v="SDG 3: Good Health and Well-being"/>
    <n v="39.487000000000002"/>
    <s v="Years"/>
    <s v="Malawi|1967"/>
    <s v="Gapminder/Plotly country-year extract reshaped to long indicator format for education"/>
    <s v="OK"/>
    <s v="1960s"/>
    <s v="Low"/>
    <s v="Health"/>
  </r>
  <r>
    <s v="GM-02783"/>
    <s v="Malawi"/>
    <x v="2"/>
    <x v="3"/>
    <x v="1"/>
    <s v="Population, total"/>
    <s v="Demographics"/>
    <s v="SDG 11: Sustainable Cities and Communities"/>
    <n v="4147252"/>
    <s v="People"/>
    <s v="Malawi|1967"/>
    <s v="Gapminder/Plotly country-year extract reshaped to long indicator format for education"/>
    <s v="OK"/>
    <s v="1960s"/>
    <s v="N/A"/>
    <s v="Demographics"/>
  </r>
  <r>
    <s v="GM-02784"/>
    <s v="Malawi"/>
    <x v="2"/>
    <x v="3"/>
    <x v="2"/>
    <s v="GDP per capita"/>
    <s v="Economy"/>
    <s v="SDG 8: Decent Work and Economic Growth"/>
    <n v="495.51478059999999"/>
    <s v="Source-defined international dollars"/>
    <s v="Malawi|1967"/>
    <s v="Gapminder/Plotly country-year extract reshaped to long indicator format for education"/>
    <s v="OK"/>
    <s v="1960s"/>
    <s v="N/A"/>
    <s v="Economy"/>
  </r>
  <r>
    <s v="GM-02785"/>
    <s v="Malawi"/>
    <x v="2"/>
    <x v="4"/>
    <x v="0"/>
    <s v="Life expectancy at birth"/>
    <s v="Health"/>
    <s v="SDG 3: Good Health and Well-being"/>
    <n v="41.765999999999998"/>
    <s v="Years"/>
    <s v="Malawi|1972"/>
    <s v="Gapminder/Plotly country-year extract reshaped to long indicator format for education"/>
    <s v="OK"/>
    <s v="1970s"/>
    <s v="Low"/>
    <s v="Health"/>
  </r>
  <r>
    <s v="GM-02786"/>
    <s v="Malawi"/>
    <x v="2"/>
    <x v="4"/>
    <x v="1"/>
    <s v="Population, total"/>
    <s v="Demographics"/>
    <s v="SDG 11: Sustainable Cities and Communities"/>
    <n v="4730997"/>
    <s v="People"/>
    <s v="Malawi|1972"/>
    <s v="Gapminder/Plotly country-year extract reshaped to long indicator format for education"/>
    <s v="OK"/>
    <s v="1970s"/>
    <s v="N/A"/>
    <s v="Demographics"/>
  </r>
  <r>
    <s v="GM-02787"/>
    <s v="Malawi"/>
    <x v="2"/>
    <x v="4"/>
    <x v="2"/>
    <s v="GDP per capita"/>
    <s v="Economy"/>
    <s v="SDG 8: Decent Work and Economic Growth"/>
    <n v="584.62197089999995"/>
    <s v="Source-defined international dollars"/>
    <s v="Malawi|1972"/>
    <s v="Gapminder/Plotly country-year extract reshaped to long indicator format for education"/>
    <s v="OK"/>
    <s v="1970s"/>
    <s v="N/A"/>
    <s v="Economy"/>
  </r>
  <r>
    <s v="GM-02788"/>
    <s v="Malawi"/>
    <x v="2"/>
    <x v="5"/>
    <x v="0"/>
    <s v="Life expectancy at birth"/>
    <s v="Health"/>
    <s v="SDG 3: Good Health and Well-being"/>
    <n v="43.767000000000003"/>
    <s v="Years"/>
    <s v="Malawi|1977"/>
    <s v="Gapminder/Plotly country-year extract reshaped to long indicator format for education"/>
    <s v="OK"/>
    <s v="1970s"/>
    <s v="Low"/>
    <s v="Health"/>
  </r>
  <r>
    <s v="GM-02789"/>
    <s v="Malawi"/>
    <x v="2"/>
    <x v="5"/>
    <x v="1"/>
    <s v="Population, total"/>
    <s v="Demographics"/>
    <s v="SDG 11: Sustainable Cities and Communities"/>
    <n v="5637246"/>
    <s v="People"/>
    <s v="Malawi|1977"/>
    <s v="Gapminder/Plotly country-year extract reshaped to long indicator format for education"/>
    <s v="OK"/>
    <s v="1970s"/>
    <s v="N/A"/>
    <s v="Demographics"/>
  </r>
  <r>
    <s v="GM-02790"/>
    <s v="Malawi"/>
    <x v="2"/>
    <x v="5"/>
    <x v="2"/>
    <s v="GDP per capita"/>
    <s v="Economy"/>
    <s v="SDG 8: Decent Work and Economic Growth"/>
    <n v="663.22367659999998"/>
    <s v="Source-defined international dollars"/>
    <s v="Malawi|1977"/>
    <s v="Gapminder/Plotly country-year extract reshaped to long indicator format for education"/>
    <s v="OK"/>
    <s v="1970s"/>
    <s v="N/A"/>
    <s v="Economy"/>
  </r>
  <r>
    <s v="GM-02791"/>
    <s v="Malawi"/>
    <x v="2"/>
    <x v="6"/>
    <x v="0"/>
    <s v="Life expectancy at birth"/>
    <s v="Health"/>
    <s v="SDG 3: Good Health and Well-being"/>
    <n v="45.642000000000003"/>
    <s v="Years"/>
    <s v="Malawi|1982"/>
    <s v="Gapminder/Plotly country-year extract reshaped to long indicator format for education"/>
    <s v="OK"/>
    <s v="1980s"/>
    <s v="Low"/>
    <s v="Health"/>
  </r>
  <r>
    <s v="GM-02792"/>
    <s v="Malawi"/>
    <x v="2"/>
    <x v="6"/>
    <x v="1"/>
    <s v="Population, total"/>
    <s v="Demographics"/>
    <s v="SDG 11: Sustainable Cities and Communities"/>
    <n v="6502825"/>
    <s v="People"/>
    <s v="Malawi|1982"/>
    <s v="Gapminder/Plotly country-year extract reshaped to long indicator format for education"/>
    <s v="OK"/>
    <s v="1980s"/>
    <s v="N/A"/>
    <s v="Demographics"/>
  </r>
  <r>
    <s v="GM-02793"/>
    <s v="Malawi"/>
    <x v="2"/>
    <x v="6"/>
    <x v="2"/>
    <s v="GDP per capita"/>
    <s v="Economy"/>
    <s v="SDG 8: Decent Work and Economic Growth"/>
    <n v="632.80392089999998"/>
    <s v="Source-defined international dollars"/>
    <s v="Malawi|1982"/>
    <s v="Gapminder/Plotly country-year extract reshaped to long indicator format for education"/>
    <s v="OK"/>
    <s v="1980s"/>
    <s v="N/A"/>
    <s v="Economy"/>
  </r>
  <r>
    <s v="GM-02794"/>
    <s v="Malawi"/>
    <x v="2"/>
    <x v="7"/>
    <x v="0"/>
    <s v="Life expectancy at birth"/>
    <s v="Health"/>
    <s v="SDG 3: Good Health and Well-being"/>
    <n v="47.457000000000001"/>
    <s v="Years"/>
    <s v="Malawi|1987"/>
    <s v="Gapminder/Plotly country-year extract reshaped to long indicator format for education"/>
    <s v="OK"/>
    <s v="1980s"/>
    <s v="Low"/>
    <s v="Health"/>
  </r>
  <r>
    <s v="GM-02795"/>
    <s v="Malawi"/>
    <x v="2"/>
    <x v="7"/>
    <x v="1"/>
    <s v="Population, total"/>
    <s v="Demographics"/>
    <s v="SDG 11: Sustainable Cities and Communities"/>
    <n v="7824747"/>
    <s v="People"/>
    <s v="Malawi|1987"/>
    <s v="Gapminder/Plotly country-year extract reshaped to long indicator format for education"/>
    <s v="OK"/>
    <s v="1980s"/>
    <s v="N/A"/>
    <s v="Demographics"/>
  </r>
  <r>
    <s v="GM-02796"/>
    <s v="Malawi"/>
    <x v="2"/>
    <x v="7"/>
    <x v="2"/>
    <s v="GDP per capita"/>
    <s v="Economy"/>
    <s v="SDG 8: Decent Work and Economic Growth"/>
    <n v="635.517363399999"/>
    <s v="Source-defined international dollars"/>
    <s v="Malawi|1987"/>
    <s v="Gapminder/Plotly country-year extract reshaped to long indicator format for education"/>
    <s v="OK"/>
    <s v="1980s"/>
    <s v="N/A"/>
    <s v="Economy"/>
  </r>
  <r>
    <s v="GM-02797"/>
    <s v="Malawi"/>
    <x v="2"/>
    <x v="8"/>
    <x v="0"/>
    <s v="Life expectancy at birth"/>
    <s v="Health"/>
    <s v="SDG 3: Good Health and Well-being"/>
    <n v="49.42"/>
    <s v="Years"/>
    <s v="Malawi|1992"/>
    <s v="Gapminder/Plotly country-year extract reshaped to long indicator format for education"/>
    <s v="OK"/>
    <s v="1990s"/>
    <s v="Low"/>
    <s v="Health"/>
  </r>
  <r>
    <s v="GM-02798"/>
    <s v="Malawi"/>
    <x v="2"/>
    <x v="8"/>
    <x v="1"/>
    <s v="Population, total"/>
    <s v="Demographics"/>
    <s v="SDG 11: Sustainable Cities and Communities"/>
    <n v="10014249"/>
    <s v="People"/>
    <s v="Malawi|1992"/>
    <s v="Gapminder/Plotly country-year extract reshaped to long indicator format for education"/>
    <s v="OK"/>
    <s v="1990s"/>
    <s v="N/A"/>
    <s v="Demographics"/>
  </r>
  <r>
    <s v="GM-02799"/>
    <s v="Malawi"/>
    <x v="2"/>
    <x v="8"/>
    <x v="2"/>
    <s v="GDP per capita"/>
    <s v="Economy"/>
    <s v="SDG 8: Decent Work and Economic Growth"/>
    <n v="563.20001449999995"/>
    <s v="Source-defined international dollars"/>
    <s v="Malawi|1992"/>
    <s v="Gapminder/Plotly country-year extract reshaped to long indicator format for education"/>
    <s v="OK"/>
    <s v="1990s"/>
    <s v="N/A"/>
    <s v="Economy"/>
  </r>
  <r>
    <s v="GM-02800"/>
    <s v="Malawi"/>
    <x v="2"/>
    <x v="9"/>
    <x v="0"/>
    <s v="Life expectancy at birth"/>
    <s v="Health"/>
    <s v="SDG 3: Good Health and Well-being"/>
    <n v="47.494999999999997"/>
    <s v="Years"/>
    <s v="Malawi|1997"/>
    <s v="Gapminder/Plotly country-year extract reshaped to long indicator format for education"/>
    <s v="OK"/>
    <s v="1990s"/>
    <s v="Low"/>
    <s v="Health"/>
  </r>
  <r>
    <s v="GM-02801"/>
    <s v="Malawi"/>
    <x v="2"/>
    <x v="9"/>
    <x v="1"/>
    <s v="Population, total"/>
    <s v="Demographics"/>
    <s v="SDG 11: Sustainable Cities and Communities"/>
    <n v="10419991"/>
    <s v="People"/>
    <s v="Malawi|1997"/>
    <s v="Gapminder/Plotly country-year extract reshaped to long indicator format for education"/>
    <s v="OK"/>
    <s v="1990s"/>
    <s v="N/A"/>
    <s v="Demographics"/>
  </r>
  <r>
    <s v="GM-02802"/>
    <s v="Malawi"/>
    <x v="2"/>
    <x v="9"/>
    <x v="2"/>
    <s v="GDP per capita"/>
    <s v="Economy"/>
    <s v="SDG 8: Decent Work and Economic Growth"/>
    <n v="692.27581029999897"/>
    <s v="Source-defined international dollars"/>
    <s v="Malawi|1997"/>
    <s v="Gapminder/Plotly country-year extract reshaped to long indicator format for education"/>
    <s v="OK"/>
    <s v="1990s"/>
    <s v="N/A"/>
    <s v="Economy"/>
  </r>
  <r>
    <s v="GM-02803"/>
    <s v="Malawi"/>
    <x v="2"/>
    <x v="10"/>
    <x v="0"/>
    <s v="Life expectancy at birth"/>
    <s v="Health"/>
    <s v="SDG 3: Good Health and Well-being"/>
    <n v="45.008999999999901"/>
    <s v="Years"/>
    <s v="Malawi|2002"/>
    <s v="Gapminder/Plotly country-year extract reshaped to long indicator format for education"/>
    <s v="OK"/>
    <s v="2000s"/>
    <s v="Low"/>
    <s v="Health"/>
  </r>
  <r>
    <s v="GM-02804"/>
    <s v="Malawi"/>
    <x v="2"/>
    <x v="10"/>
    <x v="1"/>
    <s v="Population, total"/>
    <s v="Demographics"/>
    <s v="SDG 11: Sustainable Cities and Communities"/>
    <n v="11824495"/>
    <s v="People"/>
    <s v="Malawi|2002"/>
    <s v="Gapminder/Plotly country-year extract reshaped to long indicator format for education"/>
    <s v="OK"/>
    <s v="2000s"/>
    <s v="N/A"/>
    <s v="Demographics"/>
  </r>
  <r>
    <s v="GM-02805"/>
    <s v="Malawi"/>
    <x v="2"/>
    <x v="10"/>
    <x v="2"/>
    <s v="GDP per capita"/>
    <s v="Economy"/>
    <s v="SDG 8: Decent Work and Economic Growth"/>
    <n v="665.42311859999995"/>
    <s v="Source-defined international dollars"/>
    <s v="Malawi|2002"/>
    <s v="Gapminder/Plotly country-year extract reshaped to long indicator format for education"/>
    <s v="OK"/>
    <s v="2000s"/>
    <s v="N/A"/>
    <s v="Economy"/>
  </r>
  <r>
    <s v="GM-02806"/>
    <s v="Malawi"/>
    <x v="2"/>
    <x v="11"/>
    <x v="0"/>
    <s v="Life expectancy at birth"/>
    <s v="Health"/>
    <s v="SDG 3: Good Health and Well-being"/>
    <n v="48.302999999999997"/>
    <s v="Years"/>
    <s v="Malawi|2007"/>
    <s v="Gapminder/Plotly country-year extract reshaped to long indicator format for education"/>
    <s v="OK"/>
    <s v="2000s"/>
    <s v="Low"/>
    <s v="Health"/>
  </r>
  <r>
    <s v="GM-02807"/>
    <s v="Malawi"/>
    <x v="2"/>
    <x v="11"/>
    <x v="1"/>
    <s v="Population, total"/>
    <s v="Demographics"/>
    <s v="SDG 11: Sustainable Cities and Communities"/>
    <n v="13327079"/>
    <s v="People"/>
    <s v="Malawi|2007"/>
    <s v="Gapminder/Plotly country-year extract reshaped to long indicator format for education"/>
    <s v="OK"/>
    <s v="2000s"/>
    <s v="N/A"/>
    <s v="Demographics"/>
  </r>
  <r>
    <s v="GM-02808"/>
    <s v="Malawi"/>
    <x v="2"/>
    <x v="11"/>
    <x v="2"/>
    <s v="GDP per capita"/>
    <s v="Economy"/>
    <s v="SDG 8: Decent Work and Economic Growth"/>
    <n v="759.34991009999999"/>
    <s v="Source-defined international dollars"/>
    <s v="Malawi|2007"/>
    <s v="Gapminder/Plotly country-year extract reshaped to long indicator format for education"/>
    <s v="OK"/>
    <s v="2000s"/>
    <s v="N/A"/>
    <s v="Economy"/>
  </r>
  <r>
    <s v="GM-02809"/>
    <s v="Malaysia"/>
    <x v="0"/>
    <x v="0"/>
    <x v="0"/>
    <s v="Life expectancy at birth"/>
    <s v="Health"/>
    <s v="SDG 3: Good Health and Well-being"/>
    <n v="48.463000000000001"/>
    <s v="Years"/>
    <s v="Malaysia|1952"/>
    <s v="Gapminder/Plotly country-year extract reshaped to long indicator format for education"/>
    <s v="OK"/>
    <s v="1950s"/>
    <s v="Low"/>
    <s v="Health"/>
  </r>
  <r>
    <s v="GM-02810"/>
    <s v="Malaysia"/>
    <x v="0"/>
    <x v="0"/>
    <x v="1"/>
    <s v="Population, total"/>
    <s v="Demographics"/>
    <s v="SDG 11: Sustainable Cities and Communities"/>
    <n v="6748378"/>
    <s v="People"/>
    <s v="Malaysia|1952"/>
    <s v="Gapminder/Plotly country-year extract reshaped to long indicator format for education"/>
    <s v="OK"/>
    <s v="1950s"/>
    <s v="N/A"/>
    <s v="Demographics"/>
  </r>
  <r>
    <s v="GM-02811"/>
    <s v="Malaysia"/>
    <x v="0"/>
    <x v="0"/>
    <x v="2"/>
    <s v="GDP per capita"/>
    <s v="Economy"/>
    <s v="SDG 8: Decent Work and Economic Growth"/>
    <n v="1831.1328940000001"/>
    <s v="Source-defined international dollars"/>
    <s v="Malaysia|1952"/>
    <s v="Gapminder/Plotly country-year extract reshaped to long indicator format for education"/>
    <s v="OK"/>
    <s v="1950s"/>
    <s v="N/A"/>
    <s v="Economy"/>
  </r>
  <r>
    <s v="GM-02812"/>
    <s v="Malaysia"/>
    <x v="0"/>
    <x v="1"/>
    <x v="0"/>
    <s v="Life expectancy at birth"/>
    <s v="Health"/>
    <s v="SDG 3: Good Health and Well-being"/>
    <n v="52.101999999999997"/>
    <s v="Years"/>
    <s v="Malaysia|1957"/>
    <s v="Gapminder/Plotly country-year extract reshaped to long indicator format for education"/>
    <s v="OK"/>
    <s v="1950s"/>
    <s v="Low"/>
    <s v="Health"/>
  </r>
  <r>
    <s v="GM-02813"/>
    <s v="Malaysia"/>
    <x v="0"/>
    <x v="1"/>
    <x v="1"/>
    <s v="Population, total"/>
    <s v="Demographics"/>
    <s v="SDG 11: Sustainable Cities and Communities"/>
    <n v="7739235"/>
    <s v="People"/>
    <s v="Malaysia|1957"/>
    <s v="Gapminder/Plotly country-year extract reshaped to long indicator format for education"/>
    <s v="OK"/>
    <s v="1950s"/>
    <s v="N/A"/>
    <s v="Demographics"/>
  </r>
  <r>
    <s v="GM-02814"/>
    <s v="Malaysia"/>
    <x v="0"/>
    <x v="1"/>
    <x v="2"/>
    <s v="GDP per capita"/>
    <s v="Economy"/>
    <s v="SDG 8: Decent Work and Economic Growth"/>
    <n v="1810.066992"/>
    <s v="Source-defined international dollars"/>
    <s v="Malaysia|1957"/>
    <s v="Gapminder/Plotly country-year extract reshaped to long indicator format for education"/>
    <s v="OK"/>
    <s v="1950s"/>
    <s v="N/A"/>
    <s v="Economy"/>
  </r>
  <r>
    <s v="GM-02815"/>
    <s v="Malaysia"/>
    <x v="0"/>
    <x v="2"/>
    <x v="0"/>
    <s v="Life expectancy at birth"/>
    <s v="Health"/>
    <s v="SDG 3: Good Health and Well-being"/>
    <n v="55.737000000000002"/>
    <s v="Years"/>
    <s v="Malaysia|1962"/>
    <s v="Gapminder/Plotly country-year extract reshaped to long indicator format for education"/>
    <s v="OK"/>
    <s v="1960s"/>
    <s v="Medium"/>
    <s v="Health"/>
  </r>
  <r>
    <s v="GM-02816"/>
    <s v="Malaysia"/>
    <x v="0"/>
    <x v="2"/>
    <x v="1"/>
    <s v="Population, total"/>
    <s v="Demographics"/>
    <s v="SDG 11: Sustainable Cities and Communities"/>
    <n v="8906385"/>
    <s v="People"/>
    <s v="Malaysia|1962"/>
    <s v="Gapminder/Plotly country-year extract reshaped to long indicator format for education"/>
    <s v="OK"/>
    <s v="1960s"/>
    <s v="N/A"/>
    <s v="Demographics"/>
  </r>
  <r>
    <s v="GM-02817"/>
    <s v="Malaysia"/>
    <x v="0"/>
    <x v="2"/>
    <x v="2"/>
    <s v="GDP per capita"/>
    <s v="Economy"/>
    <s v="SDG 8: Decent Work and Economic Growth"/>
    <n v="2036.8849439999999"/>
    <s v="Source-defined international dollars"/>
    <s v="Malaysia|1962"/>
    <s v="Gapminder/Plotly country-year extract reshaped to long indicator format for education"/>
    <s v="OK"/>
    <s v="1960s"/>
    <s v="N/A"/>
    <s v="Economy"/>
  </r>
  <r>
    <s v="GM-02818"/>
    <s v="Malaysia"/>
    <x v="0"/>
    <x v="3"/>
    <x v="0"/>
    <s v="Life expectancy at birth"/>
    <s v="Health"/>
    <s v="SDG 3: Good Health and Well-being"/>
    <n v="59.371000000000002"/>
    <s v="Years"/>
    <s v="Malaysia|1967"/>
    <s v="Gapminder/Plotly country-year extract reshaped to long indicator format for education"/>
    <s v="OK"/>
    <s v="1960s"/>
    <s v="Medium"/>
    <s v="Health"/>
  </r>
  <r>
    <s v="GM-02819"/>
    <s v="Malaysia"/>
    <x v="0"/>
    <x v="3"/>
    <x v="1"/>
    <s v="Population, total"/>
    <s v="Demographics"/>
    <s v="SDG 11: Sustainable Cities and Communities"/>
    <n v="10154878"/>
    <s v="People"/>
    <s v="Malaysia|1967"/>
    <s v="Gapminder/Plotly country-year extract reshaped to long indicator format for education"/>
    <s v="OK"/>
    <s v="1960s"/>
    <s v="N/A"/>
    <s v="Demographics"/>
  </r>
  <r>
    <s v="GM-02820"/>
    <s v="Malaysia"/>
    <x v="0"/>
    <x v="3"/>
    <x v="2"/>
    <s v="GDP per capita"/>
    <s v="Economy"/>
    <s v="SDG 8: Decent Work and Economic Growth"/>
    <n v="2277.7423960000001"/>
    <s v="Source-defined international dollars"/>
    <s v="Malaysia|1967"/>
    <s v="Gapminder/Plotly country-year extract reshaped to long indicator format for education"/>
    <s v="OK"/>
    <s v="1960s"/>
    <s v="N/A"/>
    <s v="Economy"/>
  </r>
  <r>
    <s v="GM-02821"/>
    <s v="Malaysia"/>
    <x v="0"/>
    <x v="4"/>
    <x v="0"/>
    <s v="Life expectancy at birth"/>
    <s v="Health"/>
    <s v="SDG 3: Good Health and Well-being"/>
    <n v="63.01"/>
    <s v="Years"/>
    <s v="Malaysia|1972"/>
    <s v="Gapminder/Plotly country-year extract reshaped to long indicator format for education"/>
    <s v="OK"/>
    <s v="1970s"/>
    <s v="Medium"/>
    <s v="Health"/>
  </r>
  <r>
    <s v="GM-02822"/>
    <s v="Malaysia"/>
    <x v="0"/>
    <x v="4"/>
    <x v="1"/>
    <s v="Population, total"/>
    <s v="Demographics"/>
    <s v="SDG 11: Sustainable Cities and Communities"/>
    <n v="11441462"/>
    <s v="People"/>
    <s v="Malaysia|1972"/>
    <s v="Gapminder/Plotly country-year extract reshaped to long indicator format for education"/>
    <s v="OK"/>
    <s v="1970s"/>
    <s v="N/A"/>
    <s v="Demographics"/>
  </r>
  <r>
    <s v="GM-02823"/>
    <s v="Malaysia"/>
    <x v="0"/>
    <x v="4"/>
    <x v="2"/>
    <s v="GDP per capita"/>
    <s v="Economy"/>
    <s v="SDG 8: Decent Work and Economic Growth"/>
    <n v="2849.0947799999999"/>
    <s v="Source-defined international dollars"/>
    <s v="Malaysia|1972"/>
    <s v="Gapminder/Plotly country-year extract reshaped to long indicator format for education"/>
    <s v="OK"/>
    <s v="1970s"/>
    <s v="N/A"/>
    <s v="Economy"/>
  </r>
  <r>
    <s v="GM-02824"/>
    <s v="Malaysia"/>
    <x v="0"/>
    <x v="5"/>
    <x v="0"/>
    <s v="Life expectancy at birth"/>
    <s v="Health"/>
    <s v="SDG 3: Good Health and Well-being"/>
    <n v="65.256"/>
    <s v="Years"/>
    <s v="Malaysia|1977"/>
    <s v="Gapminder/Plotly country-year extract reshaped to long indicator format for education"/>
    <s v="OK"/>
    <s v="1970s"/>
    <s v="Medium"/>
    <s v="Health"/>
  </r>
  <r>
    <s v="GM-02825"/>
    <s v="Malaysia"/>
    <x v="0"/>
    <x v="5"/>
    <x v="1"/>
    <s v="Population, total"/>
    <s v="Demographics"/>
    <s v="SDG 11: Sustainable Cities and Communities"/>
    <n v="12845381"/>
    <s v="People"/>
    <s v="Malaysia|1977"/>
    <s v="Gapminder/Plotly country-year extract reshaped to long indicator format for education"/>
    <s v="OK"/>
    <s v="1970s"/>
    <s v="N/A"/>
    <s v="Demographics"/>
  </r>
  <r>
    <s v="GM-02826"/>
    <s v="Malaysia"/>
    <x v="0"/>
    <x v="5"/>
    <x v="2"/>
    <s v="GDP per capita"/>
    <s v="Economy"/>
    <s v="SDG 8: Decent Work and Economic Growth"/>
    <n v="3827.9215709999999"/>
    <s v="Source-defined international dollars"/>
    <s v="Malaysia|1977"/>
    <s v="Gapminder/Plotly country-year extract reshaped to long indicator format for education"/>
    <s v="OK"/>
    <s v="1970s"/>
    <s v="N/A"/>
    <s v="Economy"/>
  </r>
  <r>
    <s v="GM-02827"/>
    <s v="Malaysia"/>
    <x v="0"/>
    <x v="6"/>
    <x v="0"/>
    <s v="Life expectancy at birth"/>
    <s v="Health"/>
    <s v="SDG 3: Good Health and Well-being"/>
    <n v="68"/>
    <s v="Years"/>
    <s v="Malaysia|1982"/>
    <s v="Gapminder/Plotly country-year extract reshaped to long indicator format for education"/>
    <s v="OK"/>
    <s v="1980s"/>
    <s v="Medium"/>
    <s v="Health"/>
  </r>
  <r>
    <s v="GM-02828"/>
    <s v="Malaysia"/>
    <x v="0"/>
    <x v="6"/>
    <x v="1"/>
    <s v="Population, total"/>
    <s v="Demographics"/>
    <s v="SDG 11: Sustainable Cities and Communities"/>
    <n v="14441916"/>
    <s v="People"/>
    <s v="Malaysia|1982"/>
    <s v="Gapminder/Plotly country-year extract reshaped to long indicator format for education"/>
    <s v="OK"/>
    <s v="1980s"/>
    <s v="N/A"/>
    <s v="Demographics"/>
  </r>
  <r>
    <s v="GM-02829"/>
    <s v="Malaysia"/>
    <x v="0"/>
    <x v="6"/>
    <x v="2"/>
    <s v="GDP per capita"/>
    <s v="Economy"/>
    <s v="SDG 8: Decent Work and Economic Growth"/>
    <n v="4920.3559509999995"/>
    <s v="Source-defined international dollars"/>
    <s v="Malaysia|1982"/>
    <s v="Gapminder/Plotly country-year extract reshaped to long indicator format for education"/>
    <s v="OK"/>
    <s v="1980s"/>
    <s v="N/A"/>
    <s v="Economy"/>
  </r>
  <r>
    <s v="GM-02830"/>
    <s v="Malaysia"/>
    <x v="0"/>
    <x v="7"/>
    <x v="0"/>
    <s v="Life expectancy at birth"/>
    <s v="Health"/>
    <s v="SDG 3: Good Health and Well-being"/>
    <n v="69.5"/>
    <s v="Years"/>
    <s v="Malaysia|1987"/>
    <s v="Gapminder/Plotly country-year extract reshaped to long indicator format for education"/>
    <s v="OK"/>
    <s v="1980s"/>
    <s v="Medium"/>
    <s v="Health"/>
  </r>
  <r>
    <s v="GM-02831"/>
    <s v="Malaysia"/>
    <x v="0"/>
    <x v="7"/>
    <x v="1"/>
    <s v="Population, total"/>
    <s v="Demographics"/>
    <s v="SDG 11: Sustainable Cities and Communities"/>
    <n v="16331785"/>
    <s v="People"/>
    <s v="Malaysia|1987"/>
    <s v="Gapminder/Plotly country-year extract reshaped to long indicator format for education"/>
    <s v="OK"/>
    <s v="1980s"/>
    <s v="N/A"/>
    <s v="Demographics"/>
  </r>
  <r>
    <s v="GM-02832"/>
    <s v="Malaysia"/>
    <x v="0"/>
    <x v="7"/>
    <x v="2"/>
    <s v="GDP per capita"/>
    <s v="Economy"/>
    <s v="SDG 8: Decent Work and Economic Growth"/>
    <n v="5249.8026529999997"/>
    <s v="Source-defined international dollars"/>
    <s v="Malaysia|1987"/>
    <s v="Gapminder/Plotly country-year extract reshaped to long indicator format for education"/>
    <s v="OK"/>
    <s v="1980s"/>
    <s v="N/A"/>
    <s v="Economy"/>
  </r>
  <r>
    <s v="GM-02833"/>
    <s v="Malaysia"/>
    <x v="0"/>
    <x v="8"/>
    <x v="0"/>
    <s v="Life expectancy at birth"/>
    <s v="Health"/>
    <s v="SDG 3: Good Health and Well-being"/>
    <n v="70.692999999999998"/>
    <s v="Years"/>
    <s v="Malaysia|1992"/>
    <s v="Gapminder/Plotly country-year extract reshaped to long indicator format for education"/>
    <s v="OK"/>
    <s v="1990s"/>
    <s v="High"/>
    <s v="Health"/>
  </r>
  <r>
    <s v="GM-02834"/>
    <s v="Malaysia"/>
    <x v="0"/>
    <x v="8"/>
    <x v="1"/>
    <s v="Population, total"/>
    <s v="Demographics"/>
    <s v="SDG 11: Sustainable Cities and Communities"/>
    <n v="18319502"/>
    <s v="People"/>
    <s v="Malaysia|1992"/>
    <s v="Gapminder/Plotly country-year extract reshaped to long indicator format for education"/>
    <s v="OK"/>
    <s v="1990s"/>
    <s v="N/A"/>
    <s v="Demographics"/>
  </r>
  <r>
    <s v="GM-02835"/>
    <s v="Malaysia"/>
    <x v="0"/>
    <x v="8"/>
    <x v="2"/>
    <s v="GDP per capita"/>
    <s v="Economy"/>
    <s v="SDG 8: Decent Work and Economic Growth"/>
    <n v="7277.9128019999998"/>
    <s v="Source-defined international dollars"/>
    <s v="Malaysia|1992"/>
    <s v="Gapminder/Plotly country-year extract reshaped to long indicator format for education"/>
    <s v="OK"/>
    <s v="1990s"/>
    <s v="N/A"/>
    <s v="Economy"/>
  </r>
  <r>
    <s v="GM-02836"/>
    <s v="Malaysia"/>
    <x v="0"/>
    <x v="9"/>
    <x v="0"/>
    <s v="Life expectancy at birth"/>
    <s v="Health"/>
    <s v="SDG 3: Good Health and Well-being"/>
    <n v="71.938000000000002"/>
    <s v="Years"/>
    <s v="Malaysia|1997"/>
    <s v="Gapminder/Plotly country-year extract reshaped to long indicator format for education"/>
    <s v="OK"/>
    <s v="1990s"/>
    <s v="High"/>
    <s v="Health"/>
  </r>
  <r>
    <s v="GM-02837"/>
    <s v="Malaysia"/>
    <x v="0"/>
    <x v="9"/>
    <x v="1"/>
    <s v="Population, total"/>
    <s v="Demographics"/>
    <s v="SDG 11: Sustainable Cities and Communities"/>
    <n v="20476091"/>
    <s v="People"/>
    <s v="Malaysia|1997"/>
    <s v="Gapminder/Plotly country-year extract reshaped to long indicator format for education"/>
    <s v="OK"/>
    <s v="1990s"/>
    <s v="N/A"/>
    <s v="Demographics"/>
  </r>
  <r>
    <s v="GM-02838"/>
    <s v="Malaysia"/>
    <x v="0"/>
    <x v="9"/>
    <x v="2"/>
    <s v="GDP per capita"/>
    <s v="Economy"/>
    <s v="SDG 8: Decent Work and Economic Growth"/>
    <n v="10132.90964"/>
    <s v="Source-defined international dollars"/>
    <s v="Malaysia|1997"/>
    <s v="Gapminder/Plotly country-year extract reshaped to long indicator format for education"/>
    <s v="OK"/>
    <s v="1990s"/>
    <s v="N/A"/>
    <s v="Economy"/>
  </r>
  <r>
    <s v="GM-02839"/>
    <s v="Malaysia"/>
    <x v="0"/>
    <x v="10"/>
    <x v="0"/>
    <s v="Life expectancy at birth"/>
    <s v="Health"/>
    <s v="SDG 3: Good Health and Well-being"/>
    <n v="73.043999999999997"/>
    <s v="Years"/>
    <s v="Malaysia|2002"/>
    <s v="Gapminder/Plotly country-year extract reshaped to long indicator format for education"/>
    <s v="OK"/>
    <s v="2000s"/>
    <s v="High"/>
    <s v="Health"/>
  </r>
  <r>
    <s v="GM-02840"/>
    <s v="Malaysia"/>
    <x v="0"/>
    <x v="10"/>
    <x v="1"/>
    <s v="Population, total"/>
    <s v="Demographics"/>
    <s v="SDG 11: Sustainable Cities and Communities"/>
    <n v="22662365"/>
    <s v="People"/>
    <s v="Malaysia|2002"/>
    <s v="Gapminder/Plotly country-year extract reshaped to long indicator format for education"/>
    <s v="OK"/>
    <s v="2000s"/>
    <s v="N/A"/>
    <s v="Demographics"/>
  </r>
  <r>
    <s v="GM-02841"/>
    <s v="Malaysia"/>
    <x v="0"/>
    <x v="10"/>
    <x v="2"/>
    <s v="GDP per capita"/>
    <s v="Economy"/>
    <s v="SDG 8: Decent Work and Economic Growth"/>
    <n v="10206.977940000001"/>
    <s v="Source-defined international dollars"/>
    <s v="Malaysia|2002"/>
    <s v="Gapminder/Plotly country-year extract reshaped to long indicator format for education"/>
    <s v="OK"/>
    <s v="2000s"/>
    <s v="N/A"/>
    <s v="Economy"/>
  </r>
  <r>
    <s v="GM-02842"/>
    <s v="Malaysia"/>
    <x v="0"/>
    <x v="11"/>
    <x v="0"/>
    <s v="Life expectancy at birth"/>
    <s v="Health"/>
    <s v="SDG 3: Good Health and Well-being"/>
    <n v="74.241"/>
    <s v="Years"/>
    <s v="Malaysia|2007"/>
    <s v="Gapminder/Plotly country-year extract reshaped to long indicator format for education"/>
    <s v="OK"/>
    <s v="2000s"/>
    <s v="High"/>
    <s v="Health"/>
  </r>
  <r>
    <s v="GM-02843"/>
    <s v="Malaysia"/>
    <x v="0"/>
    <x v="11"/>
    <x v="1"/>
    <s v="Population, total"/>
    <s v="Demographics"/>
    <s v="SDG 11: Sustainable Cities and Communities"/>
    <n v="24821286"/>
    <s v="People"/>
    <s v="Malaysia|2007"/>
    <s v="Gapminder/Plotly country-year extract reshaped to long indicator format for education"/>
    <s v="OK"/>
    <s v="2000s"/>
    <s v="N/A"/>
    <s v="Demographics"/>
  </r>
  <r>
    <s v="GM-02844"/>
    <s v="Malaysia"/>
    <x v="0"/>
    <x v="11"/>
    <x v="2"/>
    <s v="GDP per capita"/>
    <s v="Economy"/>
    <s v="SDG 8: Decent Work and Economic Growth"/>
    <n v="12451.6558"/>
    <s v="Source-defined international dollars"/>
    <s v="Malaysia|2007"/>
    <s v="Gapminder/Plotly country-year extract reshaped to long indicator format for education"/>
    <s v="OK"/>
    <s v="2000s"/>
    <s v="N/A"/>
    <s v="Economy"/>
  </r>
  <r>
    <s v="GM-02845"/>
    <s v="Mali"/>
    <x v="2"/>
    <x v="0"/>
    <x v="0"/>
    <s v="Life expectancy at birth"/>
    <s v="Health"/>
    <s v="SDG 3: Good Health and Well-being"/>
    <n v="33.685000000000002"/>
    <s v="Years"/>
    <s v="Mali|1952"/>
    <s v="Gapminder/Plotly country-year extract reshaped to long indicator format for education"/>
    <s v="OK"/>
    <s v="1950s"/>
    <s v="Low"/>
    <s v="Health"/>
  </r>
  <r>
    <s v="GM-02846"/>
    <s v="Mali"/>
    <x v="2"/>
    <x v="0"/>
    <x v="1"/>
    <s v="Population, total"/>
    <s v="Demographics"/>
    <s v="SDG 11: Sustainable Cities and Communities"/>
    <n v="3838168"/>
    <s v="People"/>
    <s v="Mali|1952"/>
    <s v="Gapminder/Plotly country-year extract reshaped to long indicator format for education"/>
    <s v="OK"/>
    <s v="1950s"/>
    <s v="N/A"/>
    <s v="Demographics"/>
  </r>
  <r>
    <s v="GM-02847"/>
    <s v="Mali"/>
    <x v="2"/>
    <x v="0"/>
    <x v="2"/>
    <s v="GDP per capita"/>
    <s v="Economy"/>
    <s v="SDG 8: Decent Work and Economic Growth"/>
    <n v="452.33698070000003"/>
    <s v="Source-defined international dollars"/>
    <s v="Mali|1952"/>
    <s v="Gapminder/Plotly country-year extract reshaped to long indicator format for education"/>
    <s v="OK"/>
    <s v="1950s"/>
    <s v="N/A"/>
    <s v="Economy"/>
  </r>
  <r>
    <s v="GM-02848"/>
    <s v="Mali"/>
    <x v="2"/>
    <x v="1"/>
    <x v="0"/>
    <s v="Life expectancy at birth"/>
    <s v="Health"/>
    <s v="SDG 3: Good Health and Well-being"/>
    <n v="35.306999999999903"/>
    <s v="Years"/>
    <s v="Mali|1957"/>
    <s v="Gapminder/Plotly country-year extract reshaped to long indicator format for education"/>
    <s v="OK"/>
    <s v="1950s"/>
    <s v="Low"/>
    <s v="Health"/>
  </r>
  <r>
    <s v="GM-02849"/>
    <s v="Mali"/>
    <x v="2"/>
    <x v="1"/>
    <x v="1"/>
    <s v="Population, total"/>
    <s v="Demographics"/>
    <s v="SDG 11: Sustainable Cities and Communities"/>
    <n v="4241884"/>
    <s v="People"/>
    <s v="Mali|1957"/>
    <s v="Gapminder/Plotly country-year extract reshaped to long indicator format for education"/>
    <s v="OK"/>
    <s v="1950s"/>
    <s v="N/A"/>
    <s v="Demographics"/>
  </r>
  <r>
    <s v="GM-02850"/>
    <s v="Mali"/>
    <x v="2"/>
    <x v="1"/>
    <x v="2"/>
    <s v="GDP per capita"/>
    <s v="Economy"/>
    <s v="SDG 8: Decent Work and Economic Growth"/>
    <n v="490.38218669999998"/>
    <s v="Source-defined international dollars"/>
    <s v="Mali|1957"/>
    <s v="Gapminder/Plotly country-year extract reshaped to long indicator format for education"/>
    <s v="OK"/>
    <s v="1950s"/>
    <s v="N/A"/>
    <s v="Economy"/>
  </r>
  <r>
    <s v="GM-02851"/>
    <s v="Mali"/>
    <x v="2"/>
    <x v="2"/>
    <x v="0"/>
    <s v="Life expectancy at birth"/>
    <s v="Health"/>
    <s v="SDG 3: Good Health and Well-being"/>
    <n v="36.936"/>
    <s v="Years"/>
    <s v="Mali|1962"/>
    <s v="Gapminder/Plotly country-year extract reshaped to long indicator format for education"/>
    <s v="OK"/>
    <s v="1960s"/>
    <s v="Low"/>
    <s v="Health"/>
  </r>
  <r>
    <s v="GM-02852"/>
    <s v="Mali"/>
    <x v="2"/>
    <x v="2"/>
    <x v="1"/>
    <s v="Population, total"/>
    <s v="Demographics"/>
    <s v="SDG 11: Sustainable Cities and Communities"/>
    <n v="4690372"/>
    <s v="People"/>
    <s v="Mali|1962"/>
    <s v="Gapminder/Plotly country-year extract reshaped to long indicator format for education"/>
    <s v="OK"/>
    <s v="1960s"/>
    <s v="N/A"/>
    <s v="Demographics"/>
  </r>
  <r>
    <s v="GM-02853"/>
    <s v="Mali"/>
    <x v="2"/>
    <x v="2"/>
    <x v="2"/>
    <s v="GDP per capita"/>
    <s v="Economy"/>
    <s v="SDG 8: Decent Work and Economic Growth"/>
    <n v="496.17434279999998"/>
    <s v="Source-defined international dollars"/>
    <s v="Mali|1962"/>
    <s v="Gapminder/Plotly country-year extract reshaped to long indicator format for education"/>
    <s v="OK"/>
    <s v="1960s"/>
    <s v="N/A"/>
    <s v="Economy"/>
  </r>
  <r>
    <s v="GM-02854"/>
    <s v="Mali"/>
    <x v="2"/>
    <x v="3"/>
    <x v="0"/>
    <s v="Life expectancy at birth"/>
    <s v="Health"/>
    <s v="SDG 3: Good Health and Well-being"/>
    <n v="38.487000000000002"/>
    <s v="Years"/>
    <s v="Mali|1967"/>
    <s v="Gapminder/Plotly country-year extract reshaped to long indicator format for education"/>
    <s v="OK"/>
    <s v="1960s"/>
    <s v="Low"/>
    <s v="Health"/>
  </r>
  <r>
    <s v="GM-02855"/>
    <s v="Mali"/>
    <x v="2"/>
    <x v="3"/>
    <x v="1"/>
    <s v="Population, total"/>
    <s v="Demographics"/>
    <s v="SDG 11: Sustainable Cities and Communities"/>
    <n v="5212416"/>
    <s v="People"/>
    <s v="Mali|1967"/>
    <s v="Gapminder/Plotly country-year extract reshaped to long indicator format for education"/>
    <s v="OK"/>
    <s v="1960s"/>
    <s v="N/A"/>
    <s v="Demographics"/>
  </r>
  <r>
    <s v="GM-02856"/>
    <s v="Mali"/>
    <x v="2"/>
    <x v="3"/>
    <x v="2"/>
    <s v="GDP per capita"/>
    <s v="Economy"/>
    <s v="SDG 8: Decent Work and Economic Growth"/>
    <n v="545.00988729999995"/>
    <s v="Source-defined international dollars"/>
    <s v="Mali|1967"/>
    <s v="Gapminder/Plotly country-year extract reshaped to long indicator format for education"/>
    <s v="OK"/>
    <s v="1960s"/>
    <s v="N/A"/>
    <s v="Economy"/>
  </r>
  <r>
    <s v="GM-02857"/>
    <s v="Mali"/>
    <x v="2"/>
    <x v="4"/>
    <x v="0"/>
    <s v="Life expectancy at birth"/>
    <s v="Health"/>
    <s v="SDG 3: Good Health and Well-being"/>
    <n v="39.976999999999997"/>
    <s v="Years"/>
    <s v="Mali|1972"/>
    <s v="Gapminder/Plotly country-year extract reshaped to long indicator format for education"/>
    <s v="OK"/>
    <s v="1970s"/>
    <s v="Low"/>
    <s v="Health"/>
  </r>
  <r>
    <s v="GM-02858"/>
    <s v="Mali"/>
    <x v="2"/>
    <x v="4"/>
    <x v="1"/>
    <s v="Population, total"/>
    <s v="Demographics"/>
    <s v="SDG 11: Sustainable Cities and Communities"/>
    <n v="5828158"/>
    <s v="People"/>
    <s v="Mali|1972"/>
    <s v="Gapminder/Plotly country-year extract reshaped to long indicator format for education"/>
    <s v="OK"/>
    <s v="1970s"/>
    <s v="N/A"/>
    <s v="Demographics"/>
  </r>
  <r>
    <s v="GM-02859"/>
    <s v="Mali"/>
    <x v="2"/>
    <x v="4"/>
    <x v="2"/>
    <s v="GDP per capita"/>
    <s v="Economy"/>
    <s v="SDG 8: Decent Work and Economic Growth"/>
    <n v="581.36887609999997"/>
    <s v="Source-defined international dollars"/>
    <s v="Mali|1972"/>
    <s v="Gapminder/Plotly country-year extract reshaped to long indicator format for education"/>
    <s v="OK"/>
    <s v="1970s"/>
    <s v="N/A"/>
    <s v="Economy"/>
  </r>
  <r>
    <s v="GM-02860"/>
    <s v="Mali"/>
    <x v="2"/>
    <x v="5"/>
    <x v="0"/>
    <s v="Life expectancy at birth"/>
    <s v="Health"/>
    <s v="SDG 3: Good Health and Well-being"/>
    <n v="41.713999999999999"/>
    <s v="Years"/>
    <s v="Mali|1977"/>
    <s v="Gapminder/Plotly country-year extract reshaped to long indicator format for education"/>
    <s v="OK"/>
    <s v="1970s"/>
    <s v="Low"/>
    <s v="Health"/>
  </r>
  <r>
    <s v="GM-02861"/>
    <s v="Mali"/>
    <x v="2"/>
    <x v="5"/>
    <x v="1"/>
    <s v="Population, total"/>
    <s v="Demographics"/>
    <s v="SDG 11: Sustainable Cities and Communities"/>
    <n v="6491649"/>
    <s v="People"/>
    <s v="Mali|1977"/>
    <s v="Gapminder/Plotly country-year extract reshaped to long indicator format for education"/>
    <s v="OK"/>
    <s v="1970s"/>
    <s v="N/A"/>
    <s v="Demographics"/>
  </r>
  <r>
    <s v="GM-02862"/>
    <s v="Mali"/>
    <x v="2"/>
    <x v="5"/>
    <x v="2"/>
    <s v="GDP per capita"/>
    <s v="Economy"/>
    <s v="SDG 8: Decent Work and Economic Growth"/>
    <n v="686.3952693"/>
    <s v="Source-defined international dollars"/>
    <s v="Mali|1977"/>
    <s v="Gapminder/Plotly country-year extract reshaped to long indicator format for education"/>
    <s v="OK"/>
    <s v="1970s"/>
    <s v="N/A"/>
    <s v="Economy"/>
  </r>
  <r>
    <s v="GM-02863"/>
    <s v="Mali"/>
    <x v="2"/>
    <x v="6"/>
    <x v="0"/>
    <s v="Life expectancy at birth"/>
    <s v="Health"/>
    <s v="SDG 3: Good Health and Well-being"/>
    <n v="43.915999999999997"/>
    <s v="Years"/>
    <s v="Mali|1982"/>
    <s v="Gapminder/Plotly country-year extract reshaped to long indicator format for education"/>
    <s v="OK"/>
    <s v="1980s"/>
    <s v="Low"/>
    <s v="Health"/>
  </r>
  <r>
    <s v="GM-02864"/>
    <s v="Mali"/>
    <x v="2"/>
    <x v="6"/>
    <x v="1"/>
    <s v="Population, total"/>
    <s v="Demographics"/>
    <s v="SDG 11: Sustainable Cities and Communities"/>
    <n v="6998256"/>
    <s v="People"/>
    <s v="Mali|1982"/>
    <s v="Gapminder/Plotly country-year extract reshaped to long indicator format for education"/>
    <s v="OK"/>
    <s v="1980s"/>
    <s v="N/A"/>
    <s v="Demographics"/>
  </r>
  <r>
    <s v="GM-02865"/>
    <s v="Mali"/>
    <x v="2"/>
    <x v="6"/>
    <x v="2"/>
    <s v="GDP per capita"/>
    <s v="Economy"/>
    <s v="SDG 8: Decent Work and Economic Growth"/>
    <n v="618.01406409999902"/>
    <s v="Source-defined international dollars"/>
    <s v="Mali|1982"/>
    <s v="Gapminder/Plotly country-year extract reshaped to long indicator format for education"/>
    <s v="OK"/>
    <s v="1980s"/>
    <s v="N/A"/>
    <s v="Economy"/>
  </r>
  <r>
    <s v="GM-02866"/>
    <s v="Mali"/>
    <x v="2"/>
    <x v="7"/>
    <x v="0"/>
    <s v="Life expectancy at birth"/>
    <s v="Health"/>
    <s v="SDG 3: Good Health and Well-being"/>
    <n v="46.363999999999997"/>
    <s v="Years"/>
    <s v="Mali|1987"/>
    <s v="Gapminder/Plotly country-year extract reshaped to long indicator format for education"/>
    <s v="OK"/>
    <s v="1980s"/>
    <s v="Low"/>
    <s v="Health"/>
  </r>
  <r>
    <s v="GM-02867"/>
    <s v="Mali"/>
    <x v="2"/>
    <x v="7"/>
    <x v="1"/>
    <s v="Population, total"/>
    <s v="Demographics"/>
    <s v="SDG 11: Sustainable Cities and Communities"/>
    <n v="7634008"/>
    <s v="People"/>
    <s v="Mali|1987"/>
    <s v="Gapminder/Plotly country-year extract reshaped to long indicator format for education"/>
    <s v="OK"/>
    <s v="1980s"/>
    <s v="N/A"/>
    <s v="Demographics"/>
  </r>
  <r>
    <s v="GM-02868"/>
    <s v="Mali"/>
    <x v="2"/>
    <x v="7"/>
    <x v="2"/>
    <s v="GDP per capita"/>
    <s v="Economy"/>
    <s v="SDG 8: Decent Work and Economic Growth"/>
    <n v="684.17155760000003"/>
    <s v="Source-defined international dollars"/>
    <s v="Mali|1987"/>
    <s v="Gapminder/Plotly country-year extract reshaped to long indicator format for education"/>
    <s v="OK"/>
    <s v="1980s"/>
    <s v="N/A"/>
    <s v="Economy"/>
  </r>
  <r>
    <s v="GM-02869"/>
    <s v="Mali"/>
    <x v="2"/>
    <x v="8"/>
    <x v="0"/>
    <s v="Life expectancy at birth"/>
    <s v="Health"/>
    <s v="SDG 3: Good Health and Well-being"/>
    <n v="48.387999999999998"/>
    <s v="Years"/>
    <s v="Mali|1992"/>
    <s v="Gapminder/Plotly country-year extract reshaped to long indicator format for education"/>
    <s v="OK"/>
    <s v="1990s"/>
    <s v="Low"/>
    <s v="Health"/>
  </r>
  <r>
    <s v="GM-02870"/>
    <s v="Mali"/>
    <x v="2"/>
    <x v="8"/>
    <x v="1"/>
    <s v="Population, total"/>
    <s v="Demographics"/>
    <s v="SDG 11: Sustainable Cities and Communities"/>
    <n v="8416215"/>
    <s v="People"/>
    <s v="Mali|1992"/>
    <s v="Gapminder/Plotly country-year extract reshaped to long indicator format for education"/>
    <s v="OK"/>
    <s v="1990s"/>
    <s v="N/A"/>
    <s v="Demographics"/>
  </r>
  <r>
    <s v="GM-02871"/>
    <s v="Mali"/>
    <x v="2"/>
    <x v="8"/>
    <x v="2"/>
    <s v="GDP per capita"/>
    <s v="Economy"/>
    <s v="SDG 8: Decent Work and Economic Growth"/>
    <n v="739.01437499999997"/>
    <s v="Source-defined international dollars"/>
    <s v="Mali|1992"/>
    <s v="Gapminder/Plotly country-year extract reshaped to long indicator format for education"/>
    <s v="OK"/>
    <s v="1990s"/>
    <s v="N/A"/>
    <s v="Economy"/>
  </r>
  <r>
    <s v="GM-02872"/>
    <s v="Mali"/>
    <x v="2"/>
    <x v="9"/>
    <x v="0"/>
    <s v="Life expectancy at birth"/>
    <s v="Health"/>
    <s v="SDG 3: Good Health and Well-being"/>
    <n v="49.902999999999999"/>
    <s v="Years"/>
    <s v="Mali|1997"/>
    <s v="Gapminder/Plotly country-year extract reshaped to long indicator format for education"/>
    <s v="OK"/>
    <s v="1990s"/>
    <s v="Low"/>
    <s v="Health"/>
  </r>
  <r>
    <s v="GM-02873"/>
    <s v="Mali"/>
    <x v="2"/>
    <x v="9"/>
    <x v="1"/>
    <s v="Population, total"/>
    <s v="Demographics"/>
    <s v="SDG 11: Sustainable Cities and Communities"/>
    <n v="9384984"/>
    <s v="People"/>
    <s v="Mali|1997"/>
    <s v="Gapminder/Plotly country-year extract reshaped to long indicator format for education"/>
    <s v="OK"/>
    <s v="1990s"/>
    <s v="N/A"/>
    <s v="Demographics"/>
  </r>
  <r>
    <s v="GM-02874"/>
    <s v="Mali"/>
    <x v="2"/>
    <x v="9"/>
    <x v="2"/>
    <s v="GDP per capita"/>
    <s v="Economy"/>
    <s v="SDG 8: Decent Work and Economic Growth"/>
    <n v="790.25798459999999"/>
    <s v="Source-defined international dollars"/>
    <s v="Mali|1997"/>
    <s v="Gapminder/Plotly country-year extract reshaped to long indicator format for education"/>
    <s v="OK"/>
    <s v="1990s"/>
    <s v="N/A"/>
    <s v="Economy"/>
  </r>
  <r>
    <s v="GM-02875"/>
    <s v="Mali"/>
    <x v="2"/>
    <x v="10"/>
    <x v="0"/>
    <s v="Life expectancy at birth"/>
    <s v="Health"/>
    <s v="SDG 3: Good Health and Well-being"/>
    <n v="51.817999999999998"/>
    <s v="Years"/>
    <s v="Mali|2002"/>
    <s v="Gapminder/Plotly country-year extract reshaped to long indicator format for education"/>
    <s v="OK"/>
    <s v="2000s"/>
    <s v="Low"/>
    <s v="Health"/>
  </r>
  <r>
    <s v="GM-02876"/>
    <s v="Mali"/>
    <x v="2"/>
    <x v="10"/>
    <x v="1"/>
    <s v="Population, total"/>
    <s v="Demographics"/>
    <s v="SDG 11: Sustainable Cities and Communities"/>
    <n v="10580176"/>
    <s v="People"/>
    <s v="Mali|2002"/>
    <s v="Gapminder/Plotly country-year extract reshaped to long indicator format for education"/>
    <s v="OK"/>
    <s v="2000s"/>
    <s v="N/A"/>
    <s v="Demographics"/>
  </r>
  <r>
    <s v="GM-02877"/>
    <s v="Mali"/>
    <x v="2"/>
    <x v="10"/>
    <x v="2"/>
    <s v="GDP per capita"/>
    <s v="Economy"/>
    <s v="SDG 8: Decent Work and Economic Growth"/>
    <n v="951.40975179999998"/>
    <s v="Source-defined international dollars"/>
    <s v="Mali|2002"/>
    <s v="Gapminder/Plotly country-year extract reshaped to long indicator format for education"/>
    <s v="OK"/>
    <s v="2000s"/>
    <s v="N/A"/>
    <s v="Economy"/>
  </r>
  <r>
    <s v="GM-02878"/>
    <s v="Mali"/>
    <x v="2"/>
    <x v="11"/>
    <x v="0"/>
    <s v="Life expectancy at birth"/>
    <s v="Health"/>
    <s v="SDG 3: Good Health and Well-being"/>
    <n v="54.466999999999999"/>
    <s v="Years"/>
    <s v="Mali|2007"/>
    <s v="Gapminder/Plotly country-year extract reshaped to long indicator format for education"/>
    <s v="OK"/>
    <s v="2000s"/>
    <s v="Low"/>
    <s v="Health"/>
  </r>
  <r>
    <s v="GM-02879"/>
    <s v="Mali"/>
    <x v="2"/>
    <x v="11"/>
    <x v="1"/>
    <s v="Population, total"/>
    <s v="Demographics"/>
    <s v="SDG 11: Sustainable Cities and Communities"/>
    <n v="12031795"/>
    <s v="People"/>
    <s v="Mali|2007"/>
    <s v="Gapminder/Plotly country-year extract reshaped to long indicator format for education"/>
    <s v="OK"/>
    <s v="2000s"/>
    <s v="N/A"/>
    <s v="Demographics"/>
  </r>
  <r>
    <s v="GM-02880"/>
    <s v="Mali"/>
    <x v="2"/>
    <x v="11"/>
    <x v="2"/>
    <s v="GDP per capita"/>
    <s v="Economy"/>
    <s v="SDG 8: Decent Work and Economic Growth"/>
    <n v="1042.581557"/>
    <s v="Source-defined international dollars"/>
    <s v="Mali|2007"/>
    <s v="Gapminder/Plotly country-year extract reshaped to long indicator format for education"/>
    <s v="OK"/>
    <s v="2000s"/>
    <s v="N/A"/>
    <s v="Economy"/>
  </r>
  <r>
    <s v="GM-02881"/>
    <s v="Mauritania"/>
    <x v="2"/>
    <x v="0"/>
    <x v="0"/>
    <s v="Life expectancy at birth"/>
    <s v="Health"/>
    <s v="SDG 3: Good Health and Well-being"/>
    <n v="40.542999999999999"/>
    <s v="Years"/>
    <s v="Mauritania|1952"/>
    <s v="Gapminder/Plotly country-year extract reshaped to long indicator format for education"/>
    <s v="OK"/>
    <s v="1950s"/>
    <s v="Low"/>
    <s v="Health"/>
  </r>
  <r>
    <s v="GM-02882"/>
    <s v="Mauritania"/>
    <x v="2"/>
    <x v="0"/>
    <x v="1"/>
    <s v="Population, total"/>
    <s v="Demographics"/>
    <s v="SDG 11: Sustainable Cities and Communities"/>
    <n v="1022556"/>
    <s v="People"/>
    <s v="Mauritania|1952"/>
    <s v="Gapminder/Plotly country-year extract reshaped to long indicator format for education"/>
    <s v="OK"/>
    <s v="1950s"/>
    <s v="N/A"/>
    <s v="Demographics"/>
  </r>
  <r>
    <s v="GM-02883"/>
    <s v="Mauritania"/>
    <x v="2"/>
    <x v="0"/>
    <x v="2"/>
    <s v="GDP per capita"/>
    <s v="Economy"/>
    <s v="SDG 8: Decent Work and Economic Growth"/>
    <n v="743.11590969999997"/>
    <s v="Source-defined international dollars"/>
    <s v="Mauritania|1952"/>
    <s v="Gapminder/Plotly country-year extract reshaped to long indicator format for education"/>
    <s v="OK"/>
    <s v="1950s"/>
    <s v="N/A"/>
    <s v="Economy"/>
  </r>
  <r>
    <s v="GM-02884"/>
    <s v="Mauritania"/>
    <x v="2"/>
    <x v="1"/>
    <x v="0"/>
    <s v="Life expectancy at birth"/>
    <s v="Health"/>
    <s v="SDG 3: Good Health and Well-being"/>
    <n v="42.338000000000001"/>
    <s v="Years"/>
    <s v="Mauritania|1957"/>
    <s v="Gapminder/Plotly country-year extract reshaped to long indicator format for education"/>
    <s v="OK"/>
    <s v="1950s"/>
    <s v="Low"/>
    <s v="Health"/>
  </r>
  <r>
    <s v="GM-02885"/>
    <s v="Mauritania"/>
    <x v="2"/>
    <x v="1"/>
    <x v="1"/>
    <s v="Population, total"/>
    <s v="Demographics"/>
    <s v="SDG 11: Sustainable Cities and Communities"/>
    <n v="1076852"/>
    <s v="People"/>
    <s v="Mauritania|1957"/>
    <s v="Gapminder/Plotly country-year extract reshaped to long indicator format for education"/>
    <s v="OK"/>
    <s v="1950s"/>
    <s v="N/A"/>
    <s v="Demographics"/>
  </r>
  <r>
    <s v="GM-02886"/>
    <s v="Mauritania"/>
    <x v="2"/>
    <x v="1"/>
    <x v="2"/>
    <s v="GDP per capita"/>
    <s v="Economy"/>
    <s v="SDG 8: Decent Work and Economic Growth"/>
    <n v="846.12026130000004"/>
    <s v="Source-defined international dollars"/>
    <s v="Mauritania|1957"/>
    <s v="Gapminder/Plotly country-year extract reshaped to long indicator format for education"/>
    <s v="OK"/>
    <s v="1950s"/>
    <s v="N/A"/>
    <s v="Economy"/>
  </r>
  <r>
    <s v="GM-02887"/>
    <s v="Mauritania"/>
    <x v="2"/>
    <x v="2"/>
    <x v="0"/>
    <s v="Life expectancy at birth"/>
    <s v="Health"/>
    <s v="SDG 3: Good Health and Well-being"/>
    <n v="44.247999999999998"/>
    <s v="Years"/>
    <s v="Mauritania|1962"/>
    <s v="Gapminder/Plotly country-year extract reshaped to long indicator format for education"/>
    <s v="OK"/>
    <s v="1960s"/>
    <s v="Low"/>
    <s v="Health"/>
  </r>
  <r>
    <s v="GM-02888"/>
    <s v="Mauritania"/>
    <x v="2"/>
    <x v="2"/>
    <x v="1"/>
    <s v="Population, total"/>
    <s v="Demographics"/>
    <s v="SDG 11: Sustainable Cities and Communities"/>
    <n v="1146757"/>
    <s v="People"/>
    <s v="Mauritania|1962"/>
    <s v="Gapminder/Plotly country-year extract reshaped to long indicator format for education"/>
    <s v="OK"/>
    <s v="1960s"/>
    <s v="N/A"/>
    <s v="Demographics"/>
  </r>
  <r>
    <s v="GM-02889"/>
    <s v="Mauritania"/>
    <x v="2"/>
    <x v="2"/>
    <x v="2"/>
    <s v="GDP per capita"/>
    <s v="Economy"/>
    <s v="SDG 8: Decent Work and Economic Growth"/>
    <n v="1055.8960360000001"/>
    <s v="Source-defined international dollars"/>
    <s v="Mauritania|1962"/>
    <s v="Gapminder/Plotly country-year extract reshaped to long indicator format for education"/>
    <s v="OK"/>
    <s v="1960s"/>
    <s v="N/A"/>
    <s v="Economy"/>
  </r>
  <r>
    <s v="GM-02890"/>
    <s v="Mauritania"/>
    <x v="2"/>
    <x v="3"/>
    <x v="0"/>
    <s v="Life expectancy at birth"/>
    <s v="Health"/>
    <s v="SDG 3: Good Health and Well-being"/>
    <n v="46.289000000000001"/>
    <s v="Years"/>
    <s v="Mauritania|1967"/>
    <s v="Gapminder/Plotly country-year extract reshaped to long indicator format for education"/>
    <s v="OK"/>
    <s v="1960s"/>
    <s v="Low"/>
    <s v="Health"/>
  </r>
  <r>
    <s v="GM-02891"/>
    <s v="Mauritania"/>
    <x v="2"/>
    <x v="3"/>
    <x v="1"/>
    <s v="Population, total"/>
    <s v="Demographics"/>
    <s v="SDG 11: Sustainable Cities and Communities"/>
    <n v="1230542"/>
    <s v="People"/>
    <s v="Mauritania|1967"/>
    <s v="Gapminder/Plotly country-year extract reshaped to long indicator format for education"/>
    <s v="OK"/>
    <s v="1960s"/>
    <s v="N/A"/>
    <s v="Demographics"/>
  </r>
  <r>
    <s v="GM-02892"/>
    <s v="Mauritania"/>
    <x v="2"/>
    <x v="3"/>
    <x v="2"/>
    <s v="GDP per capita"/>
    <s v="Economy"/>
    <s v="SDG 8: Decent Work and Economic Growth"/>
    <n v="1421.1451930000001"/>
    <s v="Source-defined international dollars"/>
    <s v="Mauritania|1967"/>
    <s v="Gapminder/Plotly country-year extract reshaped to long indicator format for education"/>
    <s v="OK"/>
    <s v="1960s"/>
    <s v="N/A"/>
    <s v="Economy"/>
  </r>
  <r>
    <s v="GM-02893"/>
    <s v="Mauritania"/>
    <x v="2"/>
    <x v="4"/>
    <x v="0"/>
    <s v="Life expectancy at birth"/>
    <s v="Health"/>
    <s v="SDG 3: Good Health and Well-being"/>
    <n v="48.436999999999998"/>
    <s v="Years"/>
    <s v="Mauritania|1972"/>
    <s v="Gapminder/Plotly country-year extract reshaped to long indicator format for education"/>
    <s v="OK"/>
    <s v="1970s"/>
    <s v="Low"/>
    <s v="Health"/>
  </r>
  <r>
    <s v="GM-02894"/>
    <s v="Mauritania"/>
    <x v="2"/>
    <x v="4"/>
    <x v="1"/>
    <s v="Population, total"/>
    <s v="Demographics"/>
    <s v="SDG 11: Sustainable Cities and Communities"/>
    <n v="1332786"/>
    <s v="People"/>
    <s v="Mauritania|1972"/>
    <s v="Gapminder/Plotly country-year extract reshaped to long indicator format for education"/>
    <s v="OK"/>
    <s v="1970s"/>
    <s v="N/A"/>
    <s v="Demographics"/>
  </r>
  <r>
    <s v="GM-02895"/>
    <s v="Mauritania"/>
    <x v="2"/>
    <x v="4"/>
    <x v="2"/>
    <s v="GDP per capita"/>
    <s v="Economy"/>
    <s v="SDG 8: Decent Work and Economic Growth"/>
    <n v="1586.8517810000001"/>
    <s v="Source-defined international dollars"/>
    <s v="Mauritania|1972"/>
    <s v="Gapminder/Plotly country-year extract reshaped to long indicator format for education"/>
    <s v="OK"/>
    <s v="1970s"/>
    <s v="N/A"/>
    <s v="Economy"/>
  </r>
  <r>
    <s v="GM-02896"/>
    <s v="Mauritania"/>
    <x v="2"/>
    <x v="5"/>
    <x v="0"/>
    <s v="Life expectancy at birth"/>
    <s v="Health"/>
    <s v="SDG 3: Good Health and Well-being"/>
    <n v="50.851999999999997"/>
    <s v="Years"/>
    <s v="Mauritania|1977"/>
    <s v="Gapminder/Plotly country-year extract reshaped to long indicator format for education"/>
    <s v="OK"/>
    <s v="1970s"/>
    <s v="Low"/>
    <s v="Health"/>
  </r>
  <r>
    <s v="GM-02897"/>
    <s v="Mauritania"/>
    <x v="2"/>
    <x v="5"/>
    <x v="1"/>
    <s v="Population, total"/>
    <s v="Demographics"/>
    <s v="SDG 11: Sustainable Cities and Communities"/>
    <n v="1456688"/>
    <s v="People"/>
    <s v="Mauritania|1977"/>
    <s v="Gapminder/Plotly country-year extract reshaped to long indicator format for education"/>
    <s v="OK"/>
    <s v="1970s"/>
    <s v="N/A"/>
    <s v="Demographics"/>
  </r>
  <r>
    <s v="GM-02898"/>
    <s v="Mauritania"/>
    <x v="2"/>
    <x v="5"/>
    <x v="2"/>
    <s v="GDP per capita"/>
    <s v="Economy"/>
    <s v="SDG 8: Decent Work and Economic Growth"/>
    <n v="1497.492223"/>
    <s v="Source-defined international dollars"/>
    <s v="Mauritania|1977"/>
    <s v="Gapminder/Plotly country-year extract reshaped to long indicator format for education"/>
    <s v="OK"/>
    <s v="1970s"/>
    <s v="N/A"/>
    <s v="Economy"/>
  </r>
  <r>
    <s v="GM-02899"/>
    <s v="Mauritania"/>
    <x v="2"/>
    <x v="6"/>
    <x v="0"/>
    <s v="Life expectancy at birth"/>
    <s v="Health"/>
    <s v="SDG 3: Good Health and Well-being"/>
    <n v="53.598999999999997"/>
    <s v="Years"/>
    <s v="Mauritania|1982"/>
    <s v="Gapminder/Plotly country-year extract reshaped to long indicator format for education"/>
    <s v="OK"/>
    <s v="1980s"/>
    <s v="Low"/>
    <s v="Health"/>
  </r>
  <r>
    <s v="GM-02900"/>
    <s v="Mauritania"/>
    <x v="2"/>
    <x v="6"/>
    <x v="1"/>
    <s v="Population, total"/>
    <s v="Demographics"/>
    <s v="SDG 11: Sustainable Cities and Communities"/>
    <n v="1622136"/>
    <s v="People"/>
    <s v="Mauritania|1982"/>
    <s v="Gapminder/Plotly country-year extract reshaped to long indicator format for education"/>
    <s v="OK"/>
    <s v="1980s"/>
    <s v="N/A"/>
    <s v="Demographics"/>
  </r>
  <r>
    <s v="GM-02901"/>
    <s v="Mauritania"/>
    <x v="2"/>
    <x v="6"/>
    <x v="2"/>
    <s v="GDP per capita"/>
    <s v="Economy"/>
    <s v="SDG 8: Decent Work and Economic Growth"/>
    <n v="1481.150189"/>
    <s v="Source-defined international dollars"/>
    <s v="Mauritania|1982"/>
    <s v="Gapminder/Plotly country-year extract reshaped to long indicator format for education"/>
    <s v="OK"/>
    <s v="1980s"/>
    <s v="N/A"/>
    <s v="Economy"/>
  </r>
  <r>
    <s v="GM-02902"/>
    <s v="Mauritania"/>
    <x v="2"/>
    <x v="7"/>
    <x v="0"/>
    <s v="Life expectancy at birth"/>
    <s v="Health"/>
    <s v="SDG 3: Good Health and Well-being"/>
    <n v="56.145000000000003"/>
    <s v="Years"/>
    <s v="Mauritania|1987"/>
    <s v="Gapminder/Plotly country-year extract reshaped to long indicator format for education"/>
    <s v="OK"/>
    <s v="1980s"/>
    <s v="Medium"/>
    <s v="Health"/>
  </r>
  <r>
    <s v="GM-02903"/>
    <s v="Mauritania"/>
    <x v="2"/>
    <x v="7"/>
    <x v="1"/>
    <s v="Population, total"/>
    <s v="Demographics"/>
    <s v="SDG 11: Sustainable Cities and Communities"/>
    <n v="1841240"/>
    <s v="People"/>
    <s v="Mauritania|1987"/>
    <s v="Gapminder/Plotly country-year extract reshaped to long indicator format for education"/>
    <s v="OK"/>
    <s v="1980s"/>
    <s v="N/A"/>
    <s v="Demographics"/>
  </r>
  <r>
    <s v="GM-02904"/>
    <s v="Mauritania"/>
    <x v="2"/>
    <x v="7"/>
    <x v="2"/>
    <s v="GDP per capita"/>
    <s v="Economy"/>
    <s v="SDG 8: Decent Work and Economic Growth"/>
    <n v="1421.603576"/>
    <s v="Source-defined international dollars"/>
    <s v="Mauritania|1987"/>
    <s v="Gapminder/Plotly country-year extract reshaped to long indicator format for education"/>
    <s v="OK"/>
    <s v="1980s"/>
    <s v="N/A"/>
    <s v="Economy"/>
  </r>
  <r>
    <s v="GM-02905"/>
    <s v="Mauritania"/>
    <x v="2"/>
    <x v="8"/>
    <x v="0"/>
    <s v="Life expectancy at birth"/>
    <s v="Health"/>
    <s v="SDG 3: Good Health and Well-being"/>
    <n v="58.332999999999998"/>
    <s v="Years"/>
    <s v="Mauritania|1992"/>
    <s v="Gapminder/Plotly country-year extract reshaped to long indicator format for education"/>
    <s v="OK"/>
    <s v="1990s"/>
    <s v="Medium"/>
    <s v="Health"/>
  </r>
  <r>
    <s v="GM-02906"/>
    <s v="Mauritania"/>
    <x v="2"/>
    <x v="8"/>
    <x v="1"/>
    <s v="Population, total"/>
    <s v="Demographics"/>
    <s v="SDG 11: Sustainable Cities and Communities"/>
    <n v="2119465"/>
    <s v="People"/>
    <s v="Mauritania|1992"/>
    <s v="Gapminder/Plotly country-year extract reshaped to long indicator format for education"/>
    <s v="OK"/>
    <s v="1990s"/>
    <s v="N/A"/>
    <s v="Demographics"/>
  </r>
  <r>
    <s v="GM-02907"/>
    <s v="Mauritania"/>
    <x v="2"/>
    <x v="8"/>
    <x v="2"/>
    <s v="GDP per capita"/>
    <s v="Economy"/>
    <s v="SDG 8: Decent Work and Economic Growth"/>
    <n v="1361.369784"/>
    <s v="Source-defined international dollars"/>
    <s v="Mauritania|1992"/>
    <s v="Gapminder/Plotly country-year extract reshaped to long indicator format for education"/>
    <s v="OK"/>
    <s v="1990s"/>
    <s v="N/A"/>
    <s v="Economy"/>
  </r>
  <r>
    <s v="GM-02908"/>
    <s v="Mauritania"/>
    <x v="2"/>
    <x v="9"/>
    <x v="0"/>
    <s v="Life expectancy at birth"/>
    <s v="Health"/>
    <s v="SDG 3: Good Health and Well-being"/>
    <n v="60.43"/>
    <s v="Years"/>
    <s v="Mauritania|1997"/>
    <s v="Gapminder/Plotly country-year extract reshaped to long indicator format for education"/>
    <s v="OK"/>
    <s v="1990s"/>
    <s v="Medium"/>
    <s v="Health"/>
  </r>
  <r>
    <s v="GM-02909"/>
    <s v="Mauritania"/>
    <x v="2"/>
    <x v="9"/>
    <x v="1"/>
    <s v="Population, total"/>
    <s v="Demographics"/>
    <s v="SDG 11: Sustainable Cities and Communities"/>
    <n v="2444741"/>
    <s v="People"/>
    <s v="Mauritania|1997"/>
    <s v="Gapminder/Plotly country-year extract reshaped to long indicator format for education"/>
    <s v="OK"/>
    <s v="1990s"/>
    <s v="N/A"/>
    <s v="Demographics"/>
  </r>
  <r>
    <s v="GM-02910"/>
    <s v="Mauritania"/>
    <x v="2"/>
    <x v="9"/>
    <x v="2"/>
    <s v="GDP per capita"/>
    <s v="Economy"/>
    <s v="SDG 8: Decent Work and Economic Growth"/>
    <n v="1483.1361360000001"/>
    <s v="Source-defined international dollars"/>
    <s v="Mauritania|1997"/>
    <s v="Gapminder/Plotly country-year extract reshaped to long indicator format for education"/>
    <s v="OK"/>
    <s v="1990s"/>
    <s v="N/A"/>
    <s v="Economy"/>
  </r>
  <r>
    <s v="GM-02911"/>
    <s v="Mauritania"/>
    <x v="2"/>
    <x v="10"/>
    <x v="0"/>
    <s v="Life expectancy at birth"/>
    <s v="Health"/>
    <s v="SDG 3: Good Health and Well-being"/>
    <n v="62.247"/>
    <s v="Years"/>
    <s v="Mauritania|2002"/>
    <s v="Gapminder/Plotly country-year extract reshaped to long indicator format for education"/>
    <s v="OK"/>
    <s v="2000s"/>
    <s v="Medium"/>
    <s v="Health"/>
  </r>
  <r>
    <s v="GM-02912"/>
    <s v="Mauritania"/>
    <x v="2"/>
    <x v="10"/>
    <x v="1"/>
    <s v="Population, total"/>
    <s v="Demographics"/>
    <s v="SDG 11: Sustainable Cities and Communities"/>
    <n v="2828858"/>
    <s v="People"/>
    <s v="Mauritania|2002"/>
    <s v="Gapminder/Plotly country-year extract reshaped to long indicator format for education"/>
    <s v="OK"/>
    <s v="2000s"/>
    <s v="N/A"/>
    <s v="Demographics"/>
  </r>
  <r>
    <s v="GM-02913"/>
    <s v="Mauritania"/>
    <x v="2"/>
    <x v="10"/>
    <x v="2"/>
    <s v="GDP per capita"/>
    <s v="Economy"/>
    <s v="SDG 8: Decent Work and Economic Growth"/>
    <n v="1579.0195430000001"/>
    <s v="Source-defined international dollars"/>
    <s v="Mauritania|2002"/>
    <s v="Gapminder/Plotly country-year extract reshaped to long indicator format for education"/>
    <s v="OK"/>
    <s v="2000s"/>
    <s v="N/A"/>
    <s v="Economy"/>
  </r>
  <r>
    <s v="GM-02914"/>
    <s v="Mauritania"/>
    <x v="2"/>
    <x v="11"/>
    <x v="0"/>
    <s v="Life expectancy at birth"/>
    <s v="Health"/>
    <s v="SDG 3: Good Health and Well-being"/>
    <n v="64.164000000000001"/>
    <s v="Years"/>
    <s v="Mauritania|2007"/>
    <s v="Gapminder/Plotly country-year extract reshaped to long indicator format for education"/>
    <s v="OK"/>
    <s v="2000s"/>
    <s v="Medium"/>
    <s v="Health"/>
  </r>
  <r>
    <s v="GM-02915"/>
    <s v="Mauritania"/>
    <x v="2"/>
    <x v="11"/>
    <x v="1"/>
    <s v="Population, total"/>
    <s v="Demographics"/>
    <s v="SDG 11: Sustainable Cities and Communities"/>
    <n v="3270065"/>
    <s v="People"/>
    <s v="Mauritania|2007"/>
    <s v="Gapminder/Plotly country-year extract reshaped to long indicator format for education"/>
    <s v="OK"/>
    <s v="2000s"/>
    <s v="N/A"/>
    <s v="Demographics"/>
  </r>
  <r>
    <s v="GM-02916"/>
    <s v="Mauritania"/>
    <x v="2"/>
    <x v="11"/>
    <x v="2"/>
    <s v="GDP per capita"/>
    <s v="Economy"/>
    <s v="SDG 8: Decent Work and Economic Growth"/>
    <n v="1803.151496"/>
    <s v="Source-defined international dollars"/>
    <s v="Mauritania|2007"/>
    <s v="Gapminder/Plotly country-year extract reshaped to long indicator format for education"/>
    <s v="OK"/>
    <s v="2000s"/>
    <s v="N/A"/>
    <s v="Economy"/>
  </r>
  <r>
    <s v="GM-02917"/>
    <s v="Mauritius"/>
    <x v="2"/>
    <x v="0"/>
    <x v="0"/>
    <s v="Life expectancy at birth"/>
    <s v="Health"/>
    <s v="SDG 3: Good Health and Well-being"/>
    <n v="50.985999999999997"/>
    <s v="Years"/>
    <s v="Mauritius|1952"/>
    <s v="Gapminder/Plotly country-year extract reshaped to long indicator format for education"/>
    <s v="OK"/>
    <s v="1950s"/>
    <s v="Low"/>
    <s v="Health"/>
  </r>
  <r>
    <s v="GM-02918"/>
    <s v="Mauritius"/>
    <x v="2"/>
    <x v="0"/>
    <x v="1"/>
    <s v="Population, total"/>
    <s v="Demographics"/>
    <s v="SDG 11: Sustainable Cities and Communities"/>
    <n v="516556"/>
    <s v="People"/>
    <s v="Mauritius|1952"/>
    <s v="Gapminder/Plotly country-year extract reshaped to long indicator format for education"/>
    <s v="OK"/>
    <s v="1950s"/>
    <s v="N/A"/>
    <s v="Demographics"/>
  </r>
  <r>
    <s v="GM-02919"/>
    <s v="Mauritius"/>
    <x v="2"/>
    <x v="0"/>
    <x v="2"/>
    <s v="GDP per capita"/>
    <s v="Economy"/>
    <s v="SDG 8: Decent Work and Economic Growth"/>
    <n v="1967.9557070000001"/>
    <s v="Source-defined international dollars"/>
    <s v="Mauritius|1952"/>
    <s v="Gapminder/Plotly country-year extract reshaped to long indicator format for education"/>
    <s v="OK"/>
    <s v="1950s"/>
    <s v="N/A"/>
    <s v="Economy"/>
  </r>
  <r>
    <s v="GM-02920"/>
    <s v="Mauritius"/>
    <x v="2"/>
    <x v="1"/>
    <x v="0"/>
    <s v="Life expectancy at birth"/>
    <s v="Health"/>
    <s v="SDG 3: Good Health and Well-being"/>
    <n v="58.088999999999999"/>
    <s v="Years"/>
    <s v="Mauritius|1957"/>
    <s v="Gapminder/Plotly country-year extract reshaped to long indicator format for education"/>
    <s v="OK"/>
    <s v="1950s"/>
    <s v="Medium"/>
    <s v="Health"/>
  </r>
  <r>
    <s v="GM-02921"/>
    <s v="Mauritius"/>
    <x v="2"/>
    <x v="1"/>
    <x v="1"/>
    <s v="Population, total"/>
    <s v="Demographics"/>
    <s v="SDG 11: Sustainable Cities and Communities"/>
    <n v="609816"/>
    <s v="People"/>
    <s v="Mauritius|1957"/>
    <s v="Gapminder/Plotly country-year extract reshaped to long indicator format for education"/>
    <s v="OK"/>
    <s v="1950s"/>
    <s v="N/A"/>
    <s v="Demographics"/>
  </r>
  <r>
    <s v="GM-02922"/>
    <s v="Mauritius"/>
    <x v="2"/>
    <x v="1"/>
    <x v="2"/>
    <s v="GDP per capita"/>
    <s v="Economy"/>
    <s v="SDG 8: Decent Work and Economic Growth"/>
    <n v="2034.0379809999999"/>
    <s v="Source-defined international dollars"/>
    <s v="Mauritius|1957"/>
    <s v="Gapminder/Plotly country-year extract reshaped to long indicator format for education"/>
    <s v="OK"/>
    <s v="1950s"/>
    <s v="N/A"/>
    <s v="Economy"/>
  </r>
  <r>
    <s v="GM-02923"/>
    <s v="Mauritius"/>
    <x v="2"/>
    <x v="2"/>
    <x v="0"/>
    <s v="Life expectancy at birth"/>
    <s v="Health"/>
    <s v="SDG 3: Good Health and Well-being"/>
    <n v="60.246000000000002"/>
    <s v="Years"/>
    <s v="Mauritius|1962"/>
    <s v="Gapminder/Plotly country-year extract reshaped to long indicator format for education"/>
    <s v="OK"/>
    <s v="1960s"/>
    <s v="Medium"/>
    <s v="Health"/>
  </r>
  <r>
    <s v="GM-02924"/>
    <s v="Mauritius"/>
    <x v="2"/>
    <x v="2"/>
    <x v="1"/>
    <s v="Population, total"/>
    <s v="Demographics"/>
    <s v="SDG 11: Sustainable Cities and Communities"/>
    <n v="701016"/>
    <s v="People"/>
    <s v="Mauritius|1962"/>
    <s v="Gapminder/Plotly country-year extract reshaped to long indicator format for education"/>
    <s v="OK"/>
    <s v="1960s"/>
    <s v="N/A"/>
    <s v="Demographics"/>
  </r>
  <r>
    <s v="GM-02925"/>
    <s v="Mauritius"/>
    <x v="2"/>
    <x v="2"/>
    <x v="2"/>
    <s v="GDP per capita"/>
    <s v="Economy"/>
    <s v="SDG 8: Decent Work and Economic Growth"/>
    <n v="2529.0674869999998"/>
    <s v="Source-defined international dollars"/>
    <s v="Mauritius|1962"/>
    <s v="Gapminder/Plotly country-year extract reshaped to long indicator format for education"/>
    <s v="OK"/>
    <s v="1960s"/>
    <s v="N/A"/>
    <s v="Economy"/>
  </r>
  <r>
    <s v="GM-02926"/>
    <s v="Mauritius"/>
    <x v="2"/>
    <x v="3"/>
    <x v="0"/>
    <s v="Life expectancy at birth"/>
    <s v="Health"/>
    <s v="SDG 3: Good Health and Well-being"/>
    <n v="61.557000000000002"/>
    <s v="Years"/>
    <s v="Mauritius|1967"/>
    <s v="Gapminder/Plotly country-year extract reshaped to long indicator format for education"/>
    <s v="OK"/>
    <s v="1960s"/>
    <s v="Medium"/>
    <s v="Health"/>
  </r>
  <r>
    <s v="GM-02927"/>
    <s v="Mauritius"/>
    <x v="2"/>
    <x v="3"/>
    <x v="1"/>
    <s v="Population, total"/>
    <s v="Demographics"/>
    <s v="SDG 11: Sustainable Cities and Communities"/>
    <n v="789309"/>
    <s v="People"/>
    <s v="Mauritius|1967"/>
    <s v="Gapminder/Plotly country-year extract reshaped to long indicator format for education"/>
    <s v="OK"/>
    <s v="1960s"/>
    <s v="N/A"/>
    <s v="Demographics"/>
  </r>
  <r>
    <s v="GM-02928"/>
    <s v="Mauritius"/>
    <x v="2"/>
    <x v="3"/>
    <x v="2"/>
    <s v="GDP per capita"/>
    <s v="Economy"/>
    <s v="SDG 8: Decent Work and Economic Growth"/>
    <n v="2475.3875619999999"/>
    <s v="Source-defined international dollars"/>
    <s v="Mauritius|1967"/>
    <s v="Gapminder/Plotly country-year extract reshaped to long indicator format for education"/>
    <s v="OK"/>
    <s v="1960s"/>
    <s v="N/A"/>
    <s v="Economy"/>
  </r>
  <r>
    <s v="GM-02929"/>
    <s v="Mauritius"/>
    <x v="2"/>
    <x v="4"/>
    <x v="0"/>
    <s v="Life expectancy at birth"/>
    <s v="Health"/>
    <s v="SDG 3: Good Health and Well-being"/>
    <n v="62.944000000000003"/>
    <s v="Years"/>
    <s v="Mauritius|1972"/>
    <s v="Gapminder/Plotly country-year extract reshaped to long indicator format for education"/>
    <s v="OK"/>
    <s v="1970s"/>
    <s v="Medium"/>
    <s v="Health"/>
  </r>
  <r>
    <s v="GM-02930"/>
    <s v="Mauritius"/>
    <x v="2"/>
    <x v="4"/>
    <x v="1"/>
    <s v="Population, total"/>
    <s v="Demographics"/>
    <s v="SDG 11: Sustainable Cities and Communities"/>
    <n v="851334"/>
    <s v="People"/>
    <s v="Mauritius|1972"/>
    <s v="Gapminder/Plotly country-year extract reshaped to long indicator format for education"/>
    <s v="OK"/>
    <s v="1970s"/>
    <s v="N/A"/>
    <s v="Demographics"/>
  </r>
  <r>
    <s v="GM-02931"/>
    <s v="Mauritius"/>
    <x v="2"/>
    <x v="4"/>
    <x v="2"/>
    <s v="GDP per capita"/>
    <s v="Economy"/>
    <s v="SDG 8: Decent Work and Economic Growth"/>
    <n v="2575.4841580000002"/>
    <s v="Source-defined international dollars"/>
    <s v="Mauritius|1972"/>
    <s v="Gapminder/Plotly country-year extract reshaped to long indicator format for education"/>
    <s v="OK"/>
    <s v="1970s"/>
    <s v="N/A"/>
    <s v="Economy"/>
  </r>
  <r>
    <s v="GM-02932"/>
    <s v="Mauritius"/>
    <x v="2"/>
    <x v="5"/>
    <x v="0"/>
    <s v="Life expectancy at birth"/>
    <s v="Health"/>
    <s v="SDG 3: Good Health and Well-being"/>
    <n v="64.930000000000007"/>
    <s v="Years"/>
    <s v="Mauritius|1977"/>
    <s v="Gapminder/Plotly country-year extract reshaped to long indicator format for education"/>
    <s v="OK"/>
    <s v="1970s"/>
    <s v="Medium"/>
    <s v="Health"/>
  </r>
  <r>
    <s v="GM-02933"/>
    <s v="Mauritius"/>
    <x v="2"/>
    <x v="5"/>
    <x v="1"/>
    <s v="Population, total"/>
    <s v="Demographics"/>
    <s v="SDG 11: Sustainable Cities and Communities"/>
    <n v="913025"/>
    <s v="People"/>
    <s v="Mauritius|1977"/>
    <s v="Gapminder/Plotly country-year extract reshaped to long indicator format for education"/>
    <s v="OK"/>
    <s v="1970s"/>
    <s v="N/A"/>
    <s v="Demographics"/>
  </r>
  <r>
    <s v="GM-02934"/>
    <s v="Mauritius"/>
    <x v="2"/>
    <x v="5"/>
    <x v="2"/>
    <s v="GDP per capita"/>
    <s v="Economy"/>
    <s v="SDG 8: Decent Work and Economic Growth"/>
    <n v="3710.9829629999999"/>
    <s v="Source-defined international dollars"/>
    <s v="Mauritius|1977"/>
    <s v="Gapminder/Plotly country-year extract reshaped to long indicator format for education"/>
    <s v="OK"/>
    <s v="1970s"/>
    <s v="N/A"/>
    <s v="Economy"/>
  </r>
  <r>
    <s v="GM-02935"/>
    <s v="Mauritius"/>
    <x v="2"/>
    <x v="6"/>
    <x v="0"/>
    <s v="Life expectancy at birth"/>
    <s v="Health"/>
    <s v="SDG 3: Good Health and Well-being"/>
    <n v="66.710999999999999"/>
    <s v="Years"/>
    <s v="Mauritius|1982"/>
    <s v="Gapminder/Plotly country-year extract reshaped to long indicator format for education"/>
    <s v="OK"/>
    <s v="1980s"/>
    <s v="Medium"/>
    <s v="Health"/>
  </r>
  <r>
    <s v="GM-02936"/>
    <s v="Mauritius"/>
    <x v="2"/>
    <x v="6"/>
    <x v="1"/>
    <s v="Population, total"/>
    <s v="Demographics"/>
    <s v="SDG 11: Sustainable Cities and Communities"/>
    <n v="992040"/>
    <s v="People"/>
    <s v="Mauritius|1982"/>
    <s v="Gapminder/Plotly country-year extract reshaped to long indicator format for education"/>
    <s v="OK"/>
    <s v="1980s"/>
    <s v="N/A"/>
    <s v="Demographics"/>
  </r>
  <r>
    <s v="GM-02937"/>
    <s v="Mauritius"/>
    <x v="2"/>
    <x v="6"/>
    <x v="2"/>
    <s v="GDP per capita"/>
    <s v="Economy"/>
    <s v="SDG 8: Decent Work and Economic Growth"/>
    <n v="3688.0377389999999"/>
    <s v="Source-defined international dollars"/>
    <s v="Mauritius|1982"/>
    <s v="Gapminder/Plotly country-year extract reshaped to long indicator format for education"/>
    <s v="OK"/>
    <s v="1980s"/>
    <s v="N/A"/>
    <s v="Economy"/>
  </r>
  <r>
    <s v="GM-02938"/>
    <s v="Mauritius"/>
    <x v="2"/>
    <x v="7"/>
    <x v="0"/>
    <s v="Life expectancy at birth"/>
    <s v="Health"/>
    <s v="SDG 3: Good Health and Well-being"/>
    <n v="68.739999999999995"/>
    <s v="Years"/>
    <s v="Mauritius|1987"/>
    <s v="Gapminder/Plotly country-year extract reshaped to long indicator format for education"/>
    <s v="OK"/>
    <s v="1980s"/>
    <s v="Medium"/>
    <s v="Health"/>
  </r>
  <r>
    <s v="GM-02939"/>
    <s v="Mauritius"/>
    <x v="2"/>
    <x v="7"/>
    <x v="1"/>
    <s v="Population, total"/>
    <s v="Demographics"/>
    <s v="SDG 11: Sustainable Cities and Communities"/>
    <n v="1042663"/>
    <s v="People"/>
    <s v="Mauritius|1987"/>
    <s v="Gapminder/Plotly country-year extract reshaped to long indicator format for education"/>
    <s v="OK"/>
    <s v="1980s"/>
    <s v="N/A"/>
    <s v="Demographics"/>
  </r>
  <r>
    <s v="GM-02940"/>
    <s v="Mauritius"/>
    <x v="2"/>
    <x v="7"/>
    <x v="2"/>
    <s v="GDP per capita"/>
    <s v="Economy"/>
    <s v="SDG 8: Decent Work and Economic Growth"/>
    <n v="4783.5869030000003"/>
    <s v="Source-defined international dollars"/>
    <s v="Mauritius|1987"/>
    <s v="Gapminder/Plotly country-year extract reshaped to long indicator format for education"/>
    <s v="OK"/>
    <s v="1980s"/>
    <s v="N/A"/>
    <s v="Economy"/>
  </r>
  <r>
    <s v="GM-02941"/>
    <s v="Mauritius"/>
    <x v="2"/>
    <x v="8"/>
    <x v="0"/>
    <s v="Life expectancy at birth"/>
    <s v="Health"/>
    <s v="SDG 3: Good Health and Well-being"/>
    <n v="69.745000000000005"/>
    <s v="Years"/>
    <s v="Mauritius|1992"/>
    <s v="Gapminder/Plotly country-year extract reshaped to long indicator format for education"/>
    <s v="OK"/>
    <s v="1990s"/>
    <s v="Medium"/>
    <s v="Health"/>
  </r>
  <r>
    <s v="GM-02942"/>
    <s v="Mauritius"/>
    <x v="2"/>
    <x v="8"/>
    <x v="1"/>
    <s v="Population, total"/>
    <s v="Demographics"/>
    <s v="SDG 11: Sustainable Cities and Communities"/>
    <n v="1096202"/>
    <s v="People"/>
    <s v="Mauritius|1992"/>
    <s v="Gapminder/Plotly country-year extract reshaped to long indicator format for education"/>
    <s v="OK"/>
    <s v="1990s"/>
    <s v="N/A"/>
    <s v="Demographics"/>
  </r>
  <r>
    <s v="GM-02943"/>
    <s v="Mauritius"/>
    <x v="2"/>
    <x v="8"/>
    <x v="2"/>
    <s v="GDP per capita"/>
    <s v="Economy"/>
    <s v="SDG 8: Decent Work and Economic Growth"/>
    <n v="6058.2538459999996"/>
    <s v="Source-defined international dollars"/>
    <s v="Mauritius|1992"/>
    <s v="Gapminder/Plotly country-year extract reshaped to long indicator format for education"/>
    <s v="OK"/>
    <s v="1990s"/>
    <s v="N/A"/>
    <s v="Economy"/>
  </r>
  <r>
    <s v="GM-02944"/>
    <s v="Mauritius"/>
    <x v="2"/>
    <x v="9"/>
    <x v="0"/>
    <s v="Life expectancy at birth"/>
    <s v="Health"/>
    <s v="SDG 3: Good Health and Well-being"/>
    <n v="70.736000000000004"/>
    <s v="Years"/>
    <s v="Mauritius|1997"/>
    <s v="Gapminder/Plotly country-year extract reshaped to long indicator format for education"/>
    <s v="OK"/>
    <s v="1990s"/>
    <s v="High"/>
    <s v="Health"/>
  </r>
  <r>
    <s v="GM-02945"/>
    <s v="Mauritius"/>
    <x v="2"/>
    <x v="9"/>
    <x v="1"/>
    <s v="Population, total"/>
    <s v="Demographics"/>
    <s v="SDG 11: Sustainable Cities and Communities"/>
    <n v="1149818"/>
    <s v="People"/>
    <s v="Mauritius|1997"/>
    <s v="Gapminder/Plotly country-year extract reshaped to long indicator format for education"/>
    <s v="OK"/>
    <s v="1990s"/>
    <s v="N/A"/>
    <s v="Demographics"/>
  </r>
  <r>
    <s v="GM-02946"/>
    <s v="Mauritius"/>
    <x v="2"/>
    <x v="9"/>
    <x v="2"/>
    <s v="GDP per capita"/>
    <s v="Economy"/>
    <s v="SDG 8: Decent Work and Economic Growth"/>
    <n v="7425.7052949999998"/>
    <s v="Source-defined international dollars"/>
    <s v="Mauritius|1997"/>
    <s v="Gapminder/Plotly country-year extract reshaped to long indicator format for education"/>
    <s v="OK"/>
    <s v="1990s"/>
    <s v="N/A"/>
    <s v="Economy"/>
  </r>
  <r>
    <s v="GM-02947"/>
    <s v="Mauritius"/>
    <x v="2"/>
    <x v="10"/>
    <x v="0"/>
    <s v="Life expectancy at birth"/>
    <s v="Health"/>
    <s v="SDG 3: Good Health and Well-being"/>
    <n v="71.953999999999994"/>
    <s v="Years"/>
    <s v="Mauritius|2002"/>
    <s v="Gapminder/Plotly country-year extract reshaped to long indicator format for education"/>
    <s v="OK"/>
    <s v="2000s"/>
    <s v="High"/>
    <s v="Health"/>
  </r>
  <r>
    <s v="GM-02948"/>
    <s v="Mauritius"/>
    <x v="2"/>
    <x v="10"/>
    <x v="1"/>
    <s v="Population, total"/>
    <s v="Demographics"/>
    <s v="SDG 11: Sustainable Cities and Communities"/>
    <n v="1200206"/>
    <s v="People"/>
    <s v="Mauritius|2002"/>
    <s v="Gapminder/Plotly country-year extract reshaped to long indicator format for education"/>
    <s v="OK"/>
    <s v="2000s"/>
    <s v="N/A"/>
    <s v="Demographics"/>
  </r>
  <r>
    <s v="GM-02949"/>
    <s v="Mauritius"/>
    <x v="2"/>
    <x v="10"/>
    <x v="2"/>
    <s v="GDP per capita"/>
    <s v="Economy"/>
    <s v="SDG 8: Decent Work and Economic Growth"/>
    <n v="9021.8158939999994"/>
    <s v="Source-defined international dollars"/>
    <s v="Mauritius|2002"/>
    <s v="Gapminder/Plotly country-year extract reshaped to long indicator format for education"/>
    <s v="OK"/>
    <s v="2000s"/>
    <s v="N/A"/>
    <s v="Economy"/>
  </r>
  <r>
    <s v="GM-02950"/>
    <s v="Mauritius"/>
    <x v="2"/>
    <x v="11"/>
    <x v="0"/>
    <s v="Life expectancy at birth"/>
    <s v="Health"/>
    <s v="SDG 3: Good Health and Well-being"/>
    <n v="72.801000000000002"/>
    <s v="Years"/>
    <s v="Mauritius|2007"/>
    <s v="Gapminder/Plotly country-year extract reshaped to long indicator format for education"/>
    <s v="OK"/>
    <s v="2000s"/>
    <s v="High"/>
    <s v="Health"/>
  </r>
  <r>
    <s v="GM-02951"/>
    <s v="Mauritius"/>
    <x v="2"/>
    <x v="11"/>
    <x v="1"/>
    <s v="Population, total"/>
    <s v="Demographics"/>
    <s v="SDG 11: Sustainable Cities and Communities"/>
    <n v="1250882"/>
    <s v="People"/>
    <s v="Mauritius|2007"/>
    <s v="Gapminder/Plotly country-year extract reshaped to long indicator format for education"/>
    <s v="OK"/>
    <s v="2000s"/>
    <s v="N/A"/>
    <s v="Demographics"/>
  </r>
  <r>
    <s v="GM-02952"/>
    <s v="Mauritius"/>
    <x v="2"/>
    <x v="11"/>
    <x v="2"/>
    <s v="GDP per capita"/>
    <s v="Economy"/>
    <s v="SDG 8: Decent Work and Economic Growth"/>
    <n v="10956.991120000001"/>
    <s v="Source-defined international dollars"/>
    <s v="Mauritius|2007"/>
    <s v="Gapminder/Plotly country-year extract reshaped to long indicator format for education"/>
    <s v="OK"/>
    <s v="2000s"/>
    <s v="N/A"/>
    <s v="Economy"/>
  </r>
  <r>
    <s v="GM-02953"/>
    <s v="Mexico"/>
    <x v="3"/>
    <x v="0"/>
    <x v="0"/>
    <s v="Life expectancy at birth"/>
    <s v="Health"/>
    <s v="SDG 3: Good Health and Well-being"/>
    <n v="50.789000000000001"/>
    <s v="Years"/>
    <s v="Mexico|1952"/>
    <s v="Gapminder/Plotly country-year extract reshaped to long indicator format for education"/>
    <s v="OK"/>
    <s v="1950s"/>
    <s v="Low"/>
    <s v="Health"/>
  </r>
  <r>
    <s v="GM-02954"/>
    <s v="Mexico"/>
    <x v="3"/>
    <x v="0"/>
    <x v="1"/>
    <s v="Population, total"/>
    <s v="Demographics"/>
    <s v="SDG 11: Sustainable Cities and Communities"/>
    <n v="30144317"/>
    <s v="People"/>
    <s v="Mexico|1952"/>
    <s v="Gapminder/Plotly country-year extract reshaped to long indicator format for education"/>
    <s v="OK"/>
    <s v="1950s"/>
    <s v="N/A"/>
    <s v="Demographics"/>
  </r>
  <r>
    <s v="GM-02955"/>
    <s v="Mexico"/>
    <x v="3"/>
    <x v="0"/>
    <x v="2"/>
    <s v="GDP per capita"/>
    <s v="Economy"/>
    <s v="SDG 8: Decent Work and Economic Growth"/>
    <n v="3478.1255289999999"/>
    <s v="Source-defined international dollars"/>
    <s v="Mexico|1952"/>
    <s v="Gapminder/Plotly country-year extract reshaped to long indicator format for education"/>
    <s v="OK"/>
    <s v="1950s"/>
    <s v="N/A"/>
    <s v="Economy"/>
  </r>
  <r>
    <s v="GM-02956"/>
    <s v="Mexico"/>
    <x v="3"/>
    <x v="1"/>
    <x v="0"/>
    <s v="Life expectancy at birth"/>
    <s v="Health"/>
    <s v="SDG 3: Good Health and Well-being"/>
    <n v="55.19"/>
    <s v="Years"/>
    <s v="Mexico|1957"/>
    <s v="Gapminder/Plotly country-year extract reshaped to long indicator format for education"/>
    <s v="OK"/>
    <s v="1950s"/>
    <s v="Medium"/>
    <s v="Health"/>
  </r>
  <r>
    <s v="GM-02957"/>
    <s v="Mexico"/>
    <x v="3"/>
    <x v="1"/>
    <x v="1"/>
    <s v="Population, total"/>
    <s v="Demographics"/>
    <s v="SDG 11: Sustainable Cities and Communities"/>
    <n v="35015548"/>
    <s v="People"/>
    <s v="Mexico|1957"/>
    <s v="Gapminder/Plotly country-year extract reshaped to long indicator format for education"/>
    <s v="OK"/>
    <s v="1950s"/>
    <s v="N/A"/>
    <s v="Demographics"/>
  </r>
  <r>
    <s v="GM-02958"/>
    <s v="Mexico"/>
    <x v="3"/>
    <x v="1"/>
    <x v="2"/>
    <s v="GDP per capita"/>
    <s v="Economy"/>
    <s v="SDG 8: Decent Work and Economic Growth"/>
    <n v="4131.5466409999999"/>
    <s v="Source-defined international dollars"/>
    <s v="Mexico|1957"/>
    <s v="Gapminder/Plotly country-year extract reshaped to long indicator format for education"/>
    <s v="OK"/>
    <s v="1950s"/>
    <s v="N/A"/>
    <s v="Economy"/>
  </r>
  <r>
    <s v="GM-02959"/>
    <s v="Mexico"/>
    <x v="3"/>
    <x v="2"/>
    <x v="0"/>
    <s v="Life expectancy at birth"/>
    <s v="Health"/>
    <s v="SDG 3: Good Health and Well-being"/>
    <n v="58.298999999999999"/>
    <s v="Years"/>
    <s v="Mexico|1962"/>
    <s v="Gapminder/Plotly country-year extract reshaped to long indicator format for education"/>
    <s v="OK"/>
    <s v="1960s"/>
    <s v="Medium"/>
    <s v="Health"/>
  </r>
  <r>
    <s v="GM-02960"/>
    <s v="Mexico"/>
    <x v="3"/>
    <x v="2"/>
    <x v="1"/>
    <s v="Population, total"/>
    <s v="Demographics"/>
    <s v="SDG 11: Sustainable Cities and Communities"/>
    <n v="41121485"/>
    <s v="People"/>
    <s v="Mexico|1962"/>
    <s v="Gapminder/Plotly country-year extract reshaped to long indicator format for education"/>
    <s v="OK"/>
    <s v="1960s"/>
    <s v="N/A"/>
    <s v="Demographics"/>
  </r>
  <r>
    <s v="GM-02961"/>
    <s v="Mexico"/>
    <x v="3"/>
    <x v="2"/>
    <x v="2"/>
    <s v="GDP per capita"/>
    <s v="Economy"/>
    <s v="SDG 8: Decent Work and Economic Growth"/>
    <n v="4581.6093849999997"/>
    <s v="Source-defined international dollars"/>
    <s v="Mexico|1962"/>
    <s v="Gapminder/Plotly country-year extract reshaped to long indicator format for education"/>
    <s v="OK"/>
    <s v="1960s"/>
    <s v="N/A"/>
    <s v="Economy"/>
  </r>
  <r>
    <s v="GM-02962"/>
    <s v="Mexico"/>
    <x v="3"/>
    <x v="3"/>
    <x v="0"/>
    <s v="Life expectancy at birth"/>
    <s v="Health"/>
    <s v="SDG 3: Good Health and Well-being"/>
    <n v="60.11"/>
    <s v="Years"/>
    <s v="Mexico|1967"/>
    <s v="Gapminder/Plotly country-year extract reshaped to long indicator format for education"/>
    <s v="OK"/>
    <s v="1960s"/>
    <s v="Medium"/>
    <s v="Health"/>
  </r>
  <r>
    <s v="GM-02963"/>
    <s v="Mexico"/>
    <x v="3"/>
    <x v="3"/>
    <x v="1"/>
    <s v="Population, total"/>
    <s v="Demographics"/>
    <s v="SDG 11: Sustainable Cities and Communities"/>
    <n v="47995559"/>
    <s v="People"/>
    <s v="Mexico|1967"/>
    <s v="Gapminder/Plotly country-year extract reshaped to long indicator format for education"/>
    <s v="OK"/>
    <s v="1960s"/>
    <s v="N/A"/>
    <s v="Demographics"/>
  </r>
  <r>
    <s v="GM-02964"/>
    <s v="Mexico"/>
    <x v="3"/>
    <x v="3"/>
    <x v="2"/>
    <s v="GDP per capita"/>
    <s v="Economy"/>
    <s v="SDG 8: Decent Work and Economic Growth"/>
    <n v="5754.7338829999999"/>
    <s v="Source-defined international dollars"/>
    <s v="Mexico|1967"/>
    <s v="Gapminder/Plotly country-year extract reshaped to long indicator format for education"/>
    <s v="OK"/>
    <s v="1960s"/>
    <s v="N/A"/>
    <s v="Economy"/>
  </r>
  <r>
    <s v="GM-02965"/>
    <s v="Mexico"/>
    <x v="3"/>
    <x v="4"/>
    <x v="0"/>
    <s v="Life expectancy at birth"/>
    <s v="Health"/>
    <s v="SDG 3: Good Health and Well-being"/>
    <n v="62.360999999999997"/>
    <s v="Years"/>
    <s v="Mexico|1972"/>
    <s v="Gapminder/Plotly country-year extract reshaped to long indicator format for education"/>
    <s v="OK"/>
    <s v="1970s"/>
    <s v="Medium"/>
    <s v="Health"/>
  </r>
  <r>
    <s v="GM-02966"/>
    <s v="Mexico"/>
    <x v="3"/>
    <x v="4"/>
    <x v="1"/>
    <s v="Population, total"/>
    <s v="Demographics"/>
    <s v="SDG 11: Sustainable Cities and Communities"/>
    <n v="55984294"/>
    <s v="People"/>
    <s v="Mexico|1972"/>
    <s v="Gapminder/Plotly country-year extract reshaped to long indicator format for education"/>
    <s v="OK"/>
    <s v="1970s"/>
    <s v="N/A"/>
    <s v="Demographics"/>
  </r>
  <r>
    <s v="GM-02967"/>
    <s v="Mexico"/>
    <x v="3"/>
    <x v="4"/>
    <x v="2"/>
    <s v="GDP per capita"/>
    <s v="Economy"/>
    <s v="SDG 8: Decent Work and Economic Growth"/>
    <n v="6809.4066899999998"/>
    <s v="Source-defined international dollars"/>
    <s v="Mexico|1972"/>
    <s v="Gapminder/Plotly country-year extract reshaped to long indicator format for education"/>
    <s v="OK"/>
    <s v="1970s"/>
    <s v="N/A"/>
    <s v="Economy"/>
  </r>
  <r>
    <s v="GM-02968"/>
    <s v="Mexico"/>
    <x v="3"/>
    <x v="5"/>
    <x v="0"/>
    <s v="Life expectancy at birth"/>
    <s v="Health"/>
    <s v="SDG 3: Good Health and Well-being"/>
    <n v="65.031999999999996"/>
    <s v="Years"/>
    <s v="Mexico|1977"/>
    <s v="Gapminder/Plotly country-year extract reshaped to long indicator format for education"/>
    <s v="OK"/>
    <s v="1970s"/>
    <s v="Medium"/>
    <s v="Health"/>
  </r>
  <r>
    <s v="GM-02969"/>
    <s v="Mexico"/>
    <x v="3"/>
    <x v="5"/>
    <x v="1"/>
    <s v="Population, total"/>
    <s v="Demographics"/>
    <s v="SDG 11: Sustainable Cities and Communities"/>
    <n v="63759976"/>
    <s v="People"/>
    <s v="Mexico|1977"/>
    <s v="Gapminder/Plotly country-year extract reshaped to long indicator format for education"/>
    <s v="OK"/>
    <s v="1970s"/>
    <s v="N/A"/>
    <s v="Demographics"/>
  </r>
  <r>
    <s v="GM-02970"/>
    <s v="Mexico"/>
    <x v="3"/>
    <x v="5"/>
    <x v="2"/>
    <s v="GDP per capita"/>
    <s v="Economy"/>
    <s v="SDG 8: Decent Work and Economic Growth"/>
    <n v="7674.9291080000003"/>
    <s v="Source-defined international dollars"/>
    <s v="Mexico|1977"/>
    <s v="Gapminder/Plotly country-year extract reshaped to long indicator format for education"/>
    <s v="OK"/>
    <s v="1970s"/>
    <s v="N/A"/>
    <s v="Economy"/>
  </r>
  <r>
    <s v="GM-02971"/>
    <s v="Mexico"/>
    <x v="3"/>
    <x v="6"/>
    <x v="0"/>
    <s v="Life expectancy at birth"/>
    <s v="Health"/>
    <s v="SDG 3: Good Health and Well-being"/>
    <n v="67.405000000000001"/>
    <s v="Years"/>
    <s v="Mexico|1982"/>
    <s v="Gapminder/Plotly country-year extract reshaped to long indicator format for education"/>
    <s v="OK"/>
    <s v="1980s"/>
    <s v="Medium"/>
    <s v="Health"/>
  </r>
  <r>
    <s v="GM-02972"/>
    <s v="Mexico"/>
    <x v="3"/>
    <x v="6"/>
    <x v="1"/>
    <s v="Population, total"/>
    <s v="Demographics"/>
    <s v="SDG 11: Sustainable Cities and Communities"/>
    <n v="71640904"/>
    <s v="People"/>
    <s v="Mexico|1982"/>
    <s v="Gapminder/Plotly country-year extract reshaped to long indicator format for education"/>
    <s v="OK"/>
    <s v="1980s"/>
    <s v="N/A"/>
    <s v="Demographics"/>
  </r>
  <r>
    <s v="GM-02973"/>
    <s v="Mexico"/>
    <x v="3"/>
    <x v="6"/>
    <x v="2"/>
    <s v="GDP per capita"/>
    <s v="Economy"/>
    <s v="SDG 8: Decent Work and Economic Growth"/>
    <n v="9611.1475410000003"/>
    <s v="Source-defined international dollars"/>
    <s v="Mexico|1982"/>
    <s v="Gapminder/Plotly country-year extract reshaped to long indicator format for education"/>
    <s v="OK"/>
    <s v="1980s"/>
    <s v="N/A"/>
    <s v="Economy"/>
  </r>
  <r>
    <s v="GM-02974"/>
    <s v="Mexico"/>
    <x v="3"/>
    <x v="7"/>
    <x v="0"/>
    <s v="Life expectancy at birth"/>
    <s v="Health"/>
    <s v="SDG 3: Good Health and Well-being"/>
    <n v="69.498000000000005"/>
    <s v="Years"/>
    <s v="Mexico|1987"/>
    <s v="Gapminder/Plotly country-year extract reshaped to long indicator format for education"/>
    <s v="OK"/>
    <s v="1980s"/>
    <s v="Medium"/>
    <s v="Health"/>
  </r>
  <r>
    <s v="GM-02975"/>
    <s v="Mexico"/>
    <x v="3"/>
    <x v="7"/>
    <x v="1"/>
    <s v="Population, total"/>
    <s v="Demographics"/>
    <s v="SDG 11: Sustainable Cities and Communities"/>
    <n v="80122492"/>
    <s v="People"/>
    <s v="Mexico|1987"/>
    <s v="Gapminder/Plotly country-year extract reshaped to long indicator format for education"/>
    <s v="OK"/>
    <s v="1980s"/>
    <s v="N/A"/>
    <s v="Demographics"/>
  </r>
  <r>
    <s v="GM-02976"/>
    <s v="Mexico"/>
    <x v="3"/>
    <x v="7"/>
    <x v="2"/>
    <s v="GDP per capita"/>
    <s v="Economy"/>
    <s v="SDG 8: Decent Work and Economic Growth"/>
    <n v="8688.1560030000001"/>
    <s v="Source-defined international dollars"/>
    <s v="Mexico|1987"/>
    <s v="Gapminder/Plotly country-year extract reshaped to long indicator format for education"/>
    <s v="OK"/>
    <s v="1980s"/>
    <s v="N/A"/>
    <s v="Economy"/>
  </r>
  <r>
    <s v="GM-02977"/>
    <s v="Mexico"/>
    <x v="3"/>
    <x v="8"/>
    <x v="0"/>
    <s v="Life expectancy at birth"/>
    <s v="Health"/>
    <s v="SDG 3: Good Health and Well-being"/>
    <n v="71.454999999999998"/>
    <s v="Years"/>
    <s v="Mexico|1992"/>
    <s v="Gapminder/Plotly country-year extract reshaped to long indicator format for education"/>
    <s v="OK"/>
    <s v="1990s"/>
    <s v="High"/>
    <s v="Health"/>
  </r>
  <r>
    <s v="GM-02978"/>
    <s v="Mexico"/>
    <x v="3"/>
    <x v="8"/>
    <x v="1"/>
    <s v="Population, total"/>
    <s v="Demographics"/>
    <s v="SDG 11: Sustainable Cities and Communities"/>
    <n v="88111030"/>
    <s v="People"/>
    <s v="Mexico|1992"/>
    <s v="Gapminder/Plotly country-year extract reshaped to long indicator format for education"/>
    <s v="OK"/>
    <s v="1990s"/>
    <s v="N/A"/>
    <s v="Demographics"/>
  </r>
  <r>
    <s v="GM-02979"/>
    <s v="Mexico"/>
    <x v="3"/>
    <x v="8"/>
    <x v="2"/>
    <s v="GDP per capita"/>
    <s v="Economy"/>
    <s v="SDG 8: Decent Work and Economic Growth"/>
    <n v="9472.3842949999998"/>
    <s v="Source-defined international dollars"/>
    <s v="Mexico|1992"/>
    <s v="Gapminder/Plotly country-year extract reshaped to long indicator format for education"/>
    <s v="OK"/>
    <s v="1990s"/>
    <s v="N/A"/>
    <s v="Economy"/>
  </r>
  <r>
    <s v="GM-02980"/>
    <s v="Mexico"/>
    <x v="3"/>
    <x v="9"/>
    <x v="0"/>
    <s v="Life expectancy at birth"/>
    <s v="Health"/>
    <s v="SDG 3: Good Health and Well-being"/>
    <n v="73.67"/>
    <s v="Years"/>
    <s v="Mexico|1997"/>
    <s v="Gapminder/Plotly country-year extract reshaped to long indicator format for education"/>
    <s v="OK"/>
    <s v="1990s"/>
    <s v="High"/>
    <s v="Health"/>
  </r>
  <r>
    <s v="GM-02981"/>
    <s v="Mexico"/>
    <x v="3"/>
    <x v="9"/>
    <x v="1"/>
    <s v="Population, total"/>
    <s v="Demographics"/>
    <s v="SDG 11: Sustainable Cities and Communities"/>
    <n v="95895146"/>
    <s v="People"/>
    <s v="Mexico|1997"/>
    <s v="Gapminder/Plotly country-year extract reshaped to long indicator format for education"/>
    <s v="OK"/>
    <s v="1990s"/>
    <s v="N/A"/>
    <s v="Demographics"/>
  </r>
  <r>
    <s v="GM-02982"/>
    <s v="Mexico"/>
    <x v="3"/>
    <x v="9"/>
    <x v="2"/>
    <s v="GDP per capita"/>
    <s v="Economy"/>
    <s v="SDG 8: Decent Work and Economic Growth"/>
    <n v="9767.2975299999998"/>
    <s v="Source-defined international dollars"/>
    <s v="Mexico|1997"/>
    <s v="Gapminder/Plotly country-year extract reshaped to long indicator format for education"/>
    <s v="OK"/>
    <s v="1990s"/>
    <s v="N/A"/>
    <s v="Economy"/>
  </r>
  <r>
    <s v="GM-02983"/>
    <s v="Mexico"/>
    <x v="3"/>
    <x v="10"/>
    <x v="0"/>
    <s v="Life expectancy at birth"/>
    <s v="Health"/>
    <s v="SDG 3: Good Health and Well-being"/>
    <n v="74.902000000000001"/>
    <s v="Years"/>
    <s v="Mexico|2002"/>
    <s v="Gapminder/Plotly country-year extract reshaped to long indicator format for education"/>
    <s v="OK"/>
    <s v="2000s"/>
    <s v="High"/>
    <s v="Health"/>
  </r>
  <r>
    <s v="GM-02984"/>
    <s v="Mexico"/>
    <x v="3"/>
    <x v="10"/>
    <x v="1"/>
    <s v="Population, total"/>
    <s v="Demographics"/>
    <s v="SDG 11: Sustainable Cities and Communities"/>
    <n v="102479927"/>
    <s v="People"/>
    <s v="Mexico|2002"/>
    <s v="Gapminder/Plotly country-year extract reshaped to long indicator format for education"/>
    <s v="OK"/>
    <s v="2000s"/>
    <s v="N/A"/>
    <s v="Demographics"/>
  </r>
  <r>
    <s v="GM-02985"/>
    <s v="Mexico"/>
    <x v="3"/>
    <x v="10"/>
    <x v="2"/>
    <s v="GDP per capita"/>
    <s v="Economy"/>
    <s v="SDG 8: Decent Work and Economic Growth"/>
    <n v="10742.44053"/>
    <s v="Source-defined international dollars"/>
    <s v="Mexico|2002"/>
    <s v="Gapminder/Plotly country-year extract reshaped to long indicator format for education"/>
    <s v="OK"/>
    <s v="2000s"/>
    <s v="N/A"/>
    <s v="Economy"/>
  </r>
  <r>
    <s v="GM-02986"/>
    <s v="Mexico"/>
    <x v="3"/>
    <x v="11"/>
    <x v="0"/>
    <s v="Life expectancy at birth"/>
    <s v="Health"/>
    <s v="SDG 3: Good Health and Well-being"/>
    <n v="76.194999999999993"/>
    <s v="Years"/>
    <s v="Mexico|2007"/>
    <s v="Gapminder/Plotly country-year extract reshaped to long indicator format for education"/>
    <s v="OK"/>
    <s v="2000s"/>
    <s v="High"/>
    <s v="Health"/>
  </r>
  <r>
    <s v="GM-02987"/>
    <s v="Mexico"/>
    <x v="3"/>
    <x v="11"/>
    <x v="1"/>
    <s v="Population, total"/>
    <s v="Demographics"/>
    <s v="SDG 11: Sustainable Cities and Communities"/>
    <n v="108700891"/>
    <s v="People"/>
    <s v="Mexico|2007"/>
    <s v="Gapminder/Plotly country-year extract reshaped to long indicator format for education"/>
    <s v="OK"/>
    <s v="2000s"/>
    <s v="N/A"/>
    <s v="Demographics"/>
  </r>
  <r>
    <s v="GM-02988"/>
    <s v="Mexico"/>
    <x v="3"/>
    <x v="11"/>
    <x v="2"/>
    <s v="GDP per capita"/>
    <s v="Economy"/>
    <s v="SDG 8: Decent Work and Economic Growth"/>
    <n v="11977.57496"/>
    <s v="Source-defined international dollars"/>
    <s v="Mexico|2007"/>
    <s v="Gapminder/Plotly country-year extract reshaped to long indicator format for education"/>
    <s v="OK"/>
    <s v="2000s"/>
    <s v="N/A"/>
    <s v="Economy"/>
  </r>
  <r>
    <s v="GM-02989"/>
    <s v="Mongolia"/>
    <x v="0"/>
    <x v="0"/>
    <x v="0"/>
    <s v="Life expectancy at birth"/>
    <s v="Health"/>
    <s v="SDG 3: Good Health and Well-being"/>
    <n v="42.244"/>
    <s v="Years"/>
    <s v="Mongolia|1952"/>
    <s v="Gapminder/Plotly country-year extract reshaped to long indicator format for education"/>
    <s v="OK"/>
    <s v="1950s"/>
    <s v="Low"/>
    <s v="Health"/>
  </r>
  <r>
    <s v="GM-02990"/>
    <s v="Mongolia"/>
    <x v="0"/>
    <x v="0"/>
    <x v="1"/>
    <s v="Population, total"/>
    <s v="Demographics"/>
    <s v="SDG 11: Sustainable Cities and Communities"/>
    <n v="800663"/>
    <s v="People"/>
    <s v="Mongolia|1952"/>
    <s v="Gapminder/Plotly country-year extract reshaped to long indicator format for education"/>
    <s v="OK"/>
    <s v="1950s"/>
    <s v="N/A"/>
    <s v="Demographics"/>
  </r>
  <r>
    <s v="GM-02991"/>
    <s v="Mongolia"/>
    <x v="0"/>
    <x v="0"/>
    <x v="2"/>
    <s v="GDP per capita"/>
    <s v="Economy"/>
    <s v="SDG 8: Decent Work and Economic Growth"/>
    <n v="786.56685749999997"/>
    <s v="Source-defined international dollars"/>
    <s v="Mongolia|1952"/>
    <s v="Gapminder/Plotly country-year extract reshaped to long indicator format for education"/>
    <s v="OK"/>
    <s v="1950s"/>
    <s v="N/A"/>
    <s v="Economy"/>
  </r>
  <r>
    <s v="GM-02992"/>
    <s v="Mongolia"/>
    <x v="0"/>
    <x v="1"/>
    <x v="0"/>
    <s v="Life expectancy at birth"/>
    <s v="Health"/>
    <s v="SDG 3: Good Health and Well-being"/>
    <n v="45.247999999999998"/>
    <s v="Years"/>
    <s v="Mongolia|1957"/>
    <s v="Gapminder/Plotly country-year extract reshaped to long indicator format for education"/>
    <s v="OK"/>
    <s v="1950s"/>
    <s v="Low"/>
    <s v="Health"/>
  </r>
  <r>
    <s v="GM-02993"/>
    <s v="Mongolia"/>
    <x v="0"/>
    <x v="1"/>
    <x v="1"/>
    <s v="Population, total"/>
    <s v="Demographics"/>
    <s v="SDG 11: Sustainable Cities and Communities"/>
    <n v="882134"/>
    <s v="People"/>
    <s v="Mongolia|1957"/>
    <s v="Gapminder/Plotly country-year extract reshaped to long indicator format for education"/>
    <s v="OK"/>
    <s v="1950s"/>
    <s v="N/A"/>
    <s v="Demographics"/>
  </r>
  <r>
    <s v="GM-02994"/>
    <s v="Mongolia"/>
    <x v="0"/>
    <x v="1"/>
    <x v="2"/>
    <s v="GDP per capita"/>
    <s v="Economy"/>
    <s v="SDG 8: Decent Work and Economic Growth"/>
    <n v="912.66260850000003"/>
    <s v="Source-defined international dollars"/>
    <s v="Mongolia|1957"/>
    <s v="Gapminder/Plotly country-year extract reshaped to long indicator format for education"/>
    <s v="OK"/>
    <s v="1950s"/>
    <s v="N/A"/>
    <s v="Economy"/>
  </r>
  <r>
    <s v="GM-02995"/>
    <s v="Mongolia"/>
    <x v="0"/>
    <x v="2"/>
    <x v="0"/>
    <s v="Life expectancy at birth"/>
    <s v="Health"/>
    <s v="SDG 3: Good Health and Well-being"/>
    <n v="48.250999999999998"/>
    <s v="Years"/>
    <s v="Mongolia|1962"/>
    <s v="Gapminder/Plotly country-year extract reshaped to long indicator format for education"/>
    <s v="OK"/>
    <s v="1960s"/>
    <s v="Low"/>
    <s v="Health"/>
  </r>
  <r>
    <s v="GM-02996"/>
    <s v="Mongolia"/>
    <x v="0"/>
    <x v="2"/>
    <x v="1"/>
    <s v="Population, total"/>
    <s v="Demographics"/>
    <s v="SDG 11: Sustainable Cities and Communities"/>
    <n v="1010280"/>
    <s v="People"/>
    <s v="Mongolia|1962"/>
    <s v="Gapminder/Plotly country-year extract reshaped to long indicator format for education"/>
    <s v="OK"/>
    <s v="1960s"/>
    <s v="N/A"/>
    <s v="Demographics"/>
  </r>
  <r>
    <s v="GM-02997"/>
    <s v="Mongolia"/>
    <x v="0"/>
    <x v="2"/>
    <x v="2"/>
    <s v="GDP per capita"/>
    <s v="Economy"/>
    <s v="SDG 8: Decent Work and Economic Growth"/>
    <n v="1056.3539579999999"/>
    <s v="Source-defined international dollars"/>
    <s v="Mongolia|1962"/>
    <s v="Gapminder/Plotly country-year extract reshaped to long indicator format for education"/>
    <s v="OK"/>
    <s v="1960s"/>
    <s v="N/A"/>
    <s v="Economy"/>
  </r>
  <r>
    <s v="GM-02998"/>
    <s v="Mongolia"/>
    <x v="0"/>
    <x v="3"/>
    <x v="0"/>
    <s v="Life expectancy at birth"/>
    <s v="Health"/>
    <s v="SDG 3: Good Health and Well-being"/>
    <n v="51.253"/>
    <s v="Years"/>
    <s v="Mongolia|1967"/>
    <s v="Gapminder/Plotly country-year extract reshaped to long indicator format for education"/>
    <s v="OK"/>
    <s v="1960s"/>
    <s v="Low"/>
    <s v="Health"/>
  </r>
  <r>
    <s v="GM-02999"/>
    <s v="Mongolia"/>
    <x v="0"/>
    <x v="3"/>
    <x v="1"/>
    <s v="Population, total"/>
    <s v="Demographics"/>
    <s v="SDG 11: Sustainable Cities and Communities"/>
    <n v="1149500"/>
    <s v="People"/>
    <s v="Mongolia|1967"/>
    <s v="Gapminder/Plotly country-year extract reshaped to long indicator format for education"/>
    <s v="OK"/>
    <s v="1960s"/>
    <s v="N/A"/>
    <s v="Demographics"/>
  </r>
  <r>
    <s v="GM-03000"/>
    <s v="Mongolia"/>
    <x v="0"/>
    <x v="3"/>
    <x v="2"/>
    <s v="GDP per capita"/>
    <s v="Economy"/>
    <s v="SDG 8: Decent Work and Economic Growth"/>
    <n v="1226.0411300000001"/>
    <s v="Source-defined international dollars"/>
    <s v="Mongolia|1967"/>
    <s v="Gapminder/Plotly country-year extract reshaped to long indicator format for education"/>
    <s v="OK"/>
    <s v="1960s"/>
    <s v="N/A"/>
    <s v="Economy"/>
  </r>
  <r>
    <s v="GM-03001"/>
    <s v="Mongolia"/>
    <x v="0"/>
    <x v="4"/>
    <x v="0"/>
    <s v="Life expectancy at birth"/>
    <s v="Health"/>
    <s v="SDG 3: Good Health and Well-being"/>
    <n v="53.753999999999998"/>
    <s v="Years"/>
    <s v="Mongolia|1972"/>
    <s v="Gapminder/Plotly country-year extract reshaped to long indicator format for education"/>
    <s v="OK"/>
    <s v="1970s"/>
    <s v="Low"/>
    <s v="Health"/>
  </r>
  <r>
    <s v="GM-03002"/>
    <s v="Mongolia"/>
    <x v="0"/>
    <x v="4"/>
    <x v="1"/>
    <s v="Population, total"/>
    <s v="Demographics"/>
    <s v="SDG 11: Sustainable Cities and Communities"/>
    <n v="1320500"/>
    <s v="People"/>
    <s v="Mongolia|1972"/>
    <s v="Gapminder/Plotly country-year extract reshaped to long indicator format for education"/>
    <s v="OK"/>
    <s v="1970s"/>
    <s v="N/A"/>
    <s v="Demographics"/>
  </r>
  <r>
    <s v="GM-03003"/>
    <s v="Mongolia"/>
    <x v="0"/>
    <x v="4"/>
    <x v="2"/>
    <s v="GDP per capita"/>
    <s v="Economy"/>
    <s v="SDG 8: Decent Work and Economic Growth"/>
    <n v="1421.7419749999999"/>
    <s v="Source-defined international dollars"/>
    <s v="Mongolia|1972"/>
    <s v="Gapminder/Plotly country-year extract reshaped to long indicator format for education"/>
    <s v="OK"/>
    <s v="1970s"/>
    <s v="N/A"/>
    <s v="Economy"/>
  </r>
  <r>
    <s v="GM-03004"/>
    <s v="Mongolia"/>
    <x v="0"/>
    <x v="5"/>
    <x v="0"/>
    <s v="Life expectancy at birth"/>
    <s v="Health"/>
    <s v="SDG 3: Good Health and Well-being"/>
    <n v="55.491"/>
    <s v="Years"/>
    <s v="Mongolia|1977"/>
    <s v="Gapminder/Plotly country-year extract reshaped to long indicator format for education"/>
    <s v="OK"/>
    <s v="1970s"/>
    <s v="Medium"/>
    <s v="Health"/>
  </r>
  <r>
    <s v="GM-03005"/>
    <s v="Mongolia"/>
    <x v="0"/>
    <x v="5"/>
    <x v="1"/>
    <s v="Population, total"/>
    <s v="Demographics"/>
    <s v="SDG 11: Sustainable Cities and Communities"/>
    <n v="1528000"/>
    <s v="People"/>
    <s v="Mongolia|1977"/>
    <s v="Gapminder/Plotly country-year extract reshaped to long indicator format for education"/>
    <s v="OK"/>
    <s v="1970s"/>
    <s v="N/A"/>
    <s v="Demographics"/>
  </r>
  <r>
    <s v="GM-03006"/>
    <s v="Mongolia"/>
    <x v="0"/>
    <x v="5"/>
    <x v="2"/>
    <s v="GDP per capita"/>
    <s v="Economy"/>
    <s v="SDG 8: Decent Work and Economic Growth"/>
    <n v="1647.511665"/>
    <s v="Source-defined international dollars"/>
    <s v="Mongolia|1977"/>
    <s v="Gapminder/Plotly country-year extract reshaped to long indicator format for education"/>
    <s v="OK"/>
    <s v="1970s"/>
    <s v="N/A"/>
    <s v="Economy"/>
  </r>
  <r>
    <s v="GM-03007"/>
    <s v="Mongolia"/>
    <x v="0"/>
    <x v="6"/>
    <x v="0"/>
    <s v="Life expectancy at birth"/>
    <s v="Health"/>
    <s v="SDG 3: Good Health and Well-being"/>
    <n v="57.488999999999997"/>
    <s v="Years"/>
    <s v="Mongolia|1982"/>
    <s v="Gapminder/Plotly country-year extract reshaped to long indicator format for education"/>
    <s v="OK"/>
    <s v="1980s"/>
    <s v="Medium"/>
    <s v="Health"/>
  </r>
  <r>
    <s v="GM-03008"/>
    <s v="Mongolia"/>
    <x v="0"/>
    <x v="6"/>
    <x v="1"/>
    <s v="Population, total"/>
    <s v="Demographics"/>
    <s v="SDG 11: Sustainable Cities and Communities"/>
    <n v="1756032"/>
    <s v="People"/>
    <s v="Mongolia|1982"/>
    <s v="Gapminder/Plotly country-year extract reshaped to long indicator format for education"/>
    <s v="OK"/>
    <s v="1980s"/>
    <s v="N/A"/>
    <s v="Demographics"/>
  </r>
  <r>
    <s v="GM-03009"/>
    <s v="Mongolia"/>
    <x v="0"/>
    <x v="6"/>
    <x v="2"/>
    <s v="GDP per capita"/>
    <s v="Economy"/>
    <s v="SDG 8: Decent Work and Economic Growth"/>
    <n v="2000.6031390000001"/>
    <s v="Source-defined international dollars"/>
    <s v="Mongolia|1982"/>
    <s v="Gapminder/Plotly country-year extract reshaped to long indicator format for education"/>
    <s v="OK"/>
    <s v="1980s"/>
    <s v="N/A"/>
    <s v="Economy"/>
  </r>
  <r>
    <s v="GM-03010"/>
    <s v="Mongolia"/>
    <x v="0"/>
    <x v="7"/>
    <x v="0"/>
    <s v="Life expectancy at birth"/>
    <s v="Health"/>
    <s v="SDG 3: Good Health and Well-being"/>
    <n v="60.222000000000001"/>
    <s v="Years"/>
    <s v="Mongolia|1987"/>
    <s v="Gapminder/Plotly country-year extract reshaped to long indicator format for education"/>
    <s v="OK"/>
    <s v="1980s"/>
    <s v="Medium"/>
    <s v="Health"/>
  </r>
  <r>
    <s v="GM-03011"/>
    <s v="Mongolia"/>
    <x v="0"/>
    <x v="7"/>
    <x v="1"/>
    <s v="Population, total"/>
    <s v="Demographics"/>
    <s v="SDG 11: Sustainable Cities and Communities"/>
    <n v="2015133"/>
    <s v="People"/>
    <s v="Mongolia|1987"/>
    <s v="Gapminder/Plotly country-year extract reshaped to long indicator format for education"/>
    <s v="OK"/>
    <s v="1980s"/>
    <s v="N/A"/>
    <s v="Demographics"/>
  </r>
  <r>
    <s v="GM-03012"/>
    <s v="Mongolia"/>
    <x v="0"/>
    <x v="7"/>
    <x v="2"/>
    <s v="GDP per capita"/>
    <s v="Economy"/>
    <s v="SDG 8: Decent Work and Economic Growth"/>
    <n v="2338.008304"/>
    <s v="Source-defined international dollars"/>
    <s v="Mongolia|1987"/>
    <s v="Gapminder/Plotly country-year extract reshaped to long indicator format for education"/>
    <s v="OK"/>
    <s v="1980s"/>
    <s v="N/A"/>
    <s v="Economy"/>
  </r>
  <r>
    <s v="GM-03013"/>
    <s v="Mongolia"/>
    <x v="0"/>
    <x v="8"/>
    <x v="0"/>
    <s v="Life expectancy at birth"/>
    <s v="Health"/>
    <s v="SDG 3: Good Health and Well-being"/>
    <n v="61.271000000000001"/>
    <s v="Years"/>
    <s v="Mongolia|1992"/>
    <s v="Gapminder/Plotly country-year extract reshaped to long indicator format for education"/>
    <s v="OK"/>
    <s v="1990s"/>
    <s v="Medium"/>
    <s v="Health"/>
  </r>
  <r>
    <s v="GM-03014"/>
    <s v="Mongolia"/>
    <x v="0"/>
    <x v="8"/>
    <x v="1"/>
    <s v="Population, total"/>
    <s v="Demographics"/>
    <s v="SDG 11: Sustainable Cities and Communities"/>
    <n v="2312802"/>
    <s v="People"/>
    <s v="Mongolia|1992"/>
    <s v="Gapminder/Plotly country-year extract reshaped to long indicator format for education"/>
    <s v="OK"/>
    <s v="1990s"/>
    <s v="N/A"/>
    <s v="Demographics"/>
  </r>
  <r>
    <s v="GM-03015"/>
    <s v="Mongolia"/>
    <x v="0"/>
    <x v="8"/>
    <x v="2"/>
    <s v="GDP per capita"/>
    <s v="Economy"/>
    <s v="SDG 8: Decent Work and Economic Growth"/>
    <n v="1785.402016"/>
    <s v="Source-defined international dollars"/>
    <s v="Mongolia|1992"/>
    <s v="Gapminder/Plotly country-year extract reshaped to long indicator format for education"/>
    <s v="OK"/>
    <s v="1990s"/>
    <s v="N/A"/>
    <s v="Economy"/>
  </r>
  <r>
    <s v="GM-03016"/>
    <s v="Mongolia"/>
    <x v="0"/>
    <x v="9"/>
    <x v="0"/>
    <s v="Life expectancy at birth"/>
    <s v="Health"/>
    <s v="SDG 3: Good Health and Well-being"/>
    <n v="63.625"/>
    <s v="Years"/>
    <s v="Mongolia|1997"/>
    <s v="Gapminder/Plotly country-year extract reshaped to long indicator format for education"/>
    <s v="OK"/>
    <s v="1990s"/>
    <s v="Medium"/>
    <s v="Health"/>
  </r>
  <r>
    <s v="GM-03017"/>
    <s v="Mongolia"/>
    <x v="0"/>
    <x v="9"/>
    <x v="1"/>
    <s v="Population, total"/>
    <s v="Demographics"/>
    <s v="SDG 11: Sustainable Cities and Communities"/>
    <n v="2494803"/>
    <s v="People"/>
    <s v="Mongolia|1997"/>
    <s v="Gapminder/Plotly country-year extract reshaped to long indicator format for education"/>
    <s v="OK"/>
    <s v="1990s"/>
    <s v="N/A"/>
    <s v="Demographics"/>
  </r>
  <r>
    <s v="GM-03018"/>
    <s v="Mongolia"/>
    <x v="0"/>
    <x v="9"/>
    <x v="2"/>
    <s v="GDP per capita"/>
    <s v="Economy"/>
    <s v="SDG 8: Decent Work and Economic Growth"/>
    <n v="1902.2520999999999"/>
    <s v="Source-defined international dollars"/>
    <s v="Mongolia|1997"/>
    <s v="Gapminder/Plotly country-year extract reshaped to long indicator format for education"/>
    <s v="OK"/>
    <s v="1990s"/>
    <s v="N/A"/>
    <s v="Economy"/>
  </r>
  <r>
    <s v="GM-03019"/>
    <s v="Mongolia"/>
    <x v="0"/>
    <x v="10"/>
    <x v="0"/>
    <s v="Life expectancy at birth"/>
    <s v="Health"/>
    <s v="SDG 3: Good Health and Well-being"/>
    <n v="65.033000000000001"/>
    <s v="Years"/>
    <s v="Mongolia|2002"/>
    <s v="Gapminder/Plotly country-year extract reshaped to long indicator format for education"/>
    <s v="OK"/>
    <s v="2000s"/>
    <s v="Medium"/>
    <s v="Health"/>
  </r>
  <r>
    <s v="GM-03020"/>
    <s v="Mongolia"/>
    <x v="0"/>
    <x v="10"/>
    <x v="1"/>
    <s v="Population, total"/>
    <s v="Demographics"/>
    <s v="SDG 11: Sustainable Cities and Communities"/>
    <n v="2674234"/>
    <s v="People"/>
    <s v="Mongolia|2002"/>
    <s v="Gapminder/Plotly country-year extract reshaped to long indicator format for education"/>
    <s v="OK"/>
    <s v="2000s"/>
    <s v="N/A"/>
    <s v="Demographics"/>
  </r>
  <r>
    <s v="GM-03021"/>
    <s v="Mongolia"/>
    <x v="0"/>
    <x v="10"/>
    <x v="2"/>
    <s v="GDP per capita"/>
    <s v="Economy"/>
    <s v="SDG 8: Decent Work and Economic Growth"/>
    <n v="2140.7393229999998"/>
    <s v="Source-defined international dollars"/>
    <s v="Mongolia|2002"/>
    <s v="Gapminder/Plotly country-year extract reshaped to long indicator format for education"/>
    <s v="OK"/>
    <s v="2000s"/>
    <s v="N/A"/>
    <s v="Economy"/>
  </r>
  <r>
    <s v="GM-03022"/>
    <s v="Mongolia"/>
    <x v="0"/>
    <x v="11"/>
    <x v="0"/>
    <s v="Life expectancy at birth"/>
    <s v="Health"/>
    <s v="SDG 3: Good Health and Well-being"/>
    <n v="66.802999999999997"/>
    <s v="Years"/>
    <s v="Mongolia|2007"/>
    <s v="Gapminder/Plotly country-year extract reshaped to long indicator format for education"/>
    <s v="OK"/>
    <s v="2000s"/>
    <s v="Medium"/>
    <s v="Health"/>
  </r>
  <r>
    <s v="GM-03023"/>
    <s v="Mongolia"/>
    <x v="0"/>
    <x v="11"/>
    <x v="1"/>
    <s v="Population, total"/>
    <s v="Demographics"/>
    <s v="SDG 11: Sustainable Cities and Communities"/>
    <n v="2874127"/>
    <s v="People"/>
    <s v="Mongolia|2007"/>
    <s v="Gapminder/Plotly country-year extract reshaped to long indicator format for education"/>
    <s v="OK"/>
    <s v="2000s"/>
    <s v="N/A"/>
    <s v="Demographics"/>
  </r>
  <r>
    <s v="GM-03024"/>
    <s v="Mongolia"/>
    <x v="0"/>
    <x v="11"/>
    <x v="2"/>
    <s v="GDP per capita"/>
    <s v="Economy"/>
    <s v="SDG 8: Decent Work and Economic Growth"/>
    <n v="3095.7722709999998"/>
    <s v="Source-defined international dollars"/>
    <s v="Mongolia|2007"/>
    <s v="Gapminder/Plotly country-year extract reshaped to long indicator format for education"/>
    <s v="OK"/>
    <s v="2000s"/>
    <s v="N/A"/>
    <s v="Economy"/>
  </r>
  <r>
    <s v="GM-03025"/>
    <s v="Montenegro"/>
    <x v="1"/>
    <x v="0"/>
    <x v="0"/>
    <s v="Life expectancy at birth"/>
    <s v="Health"/>
    <s v="SDG 3: Good Health and Well-being"/>
    <n v="59.164000000000001"/>
    <s v="Years"/>
    <s v="Montenegro|1952"/>
    <s v="Gapminder/Plotly country-year extract reshaped to long indicator format for education"/>
    <s v="OK"/>
    <s v="1950s"/>
    <s v="Medium"/>
    <s v="Health"/>
  </r>
  <r>
    <s v="GM-03026"/>
    <s v="Montenegro"/>
    <x v="1"/>
    <x v="0"/>
    <x v="1"/>
    <s v="Population, total"/>
    <s v="Demographics"/>
    <s v="SDG 11: Sustainable Cities and Communities"/>
    <n v="413834"/>
    <s v="People"/>
    <s v="Montenegro|1952"/>
    <s v="Gapminder/Plotly country-year extract reshaped to long indicator format for education"/>
    <s v="OK"/>
    <s v="1950s"/>
    <s v="N/A"/>
    <s v="Demographics"/>
  </r>
  <r>
    <s v="GM-03027"/>
    <s v="Montenegro"/>
    <x v="1"/>
    <x v="0"/>
    <x v="2"/>
    <s v="GDP per capita"/>
    <s v="Economy"/>
    <s v="SDG 8: Decent Work and Economic Growth"/>
    <n v="2647.5856010000002"/>
    <s v="Source-defined international dollars"/>
    <s v="Montenegro|1952"/>
    <s v="Gapminder/Plotly country-year extract reshaped to long indicator format for education"/>
    <s v="OK"/>
    <s v="1950s"/>
    <s v="N/A"/>
    <s v="Economy"/>
  </r>
  <r>
    <s v="GM-03028"/>
    <s v="Montenegro"/>
    <x v="1"/>
    <x v="1"/>
    <x v="0"/>
    <s v="Life expectancy at birth"/>
    <s v="Health"/>
    <s v="SDG 3: Good Health and Well-being"/>
    <n v="61.448"/>
    <s v="Years"/>
    <s v="Montenegro|1957"/>
    <s v="Gapminder/Plotly country-year extract reshaped to long indicator format for education"/>
    <s v="OK"/>
    <s v="1950s"/>
    <s v="Medium"/>
    <s v="Health"/>
  </r>
  <r>
    <s v="GM-03029"/>
    <s v="Montenegro"/>
    <x v="1"/>
    <x v="1"/>
    <x v="1"/>
    <s v="Population, total"/>
    <s v="Demographics"/>
    <s v="SDG 11: Sustainable Cities and Communities"/>
    <n v="442829"/>
    <s v="People"/>
    <s v="Montenegro|1957"/>
    <s v="Gapminder/Plotly country-year extract reshaped to long indicator format for education"/>
    <s v="OK"/>
    <s v="1950s"/>
    <s v="N/A"/>
    <s v="Demographics"/>
  </r>
  <r>
    <s v="GM-03030"/>
    <s v="Montenegro"/>
    <x v="1"/>
    <x v="1"/>
    <x v="2"/>
    <s v="GDP per capita"/>
    <s v="Economy"/>
    <s v="SDG 8: Decent Work and Economic Growth"/>
    <n v="3682.2599030000001"/>
    <s v="Source-defined international dollars"/>
    <s v="Montenegro|1957"/>
    <s v="Gapminder/Plotly country-year extract reshaped to long indicator format for education"/>
    <s v="OK"/>
    <s v="1950s"/>
    <s v="N/A"/>
    <s v="Economy"/>
  </r>
  <r>
    <s v="GM-03031"/>
    <s v="Montenegro"/>
    <x v="1"/>
    <x v="2"/>
    <x v="0"/>
    <s v="Life expectancy at birth"/>
    <s v="Health"/>
    <s v="SDG 3: Good Health and Well-being"/>
    <n v="63.728000000000002"/>
    <s v="Years"/>
    <s v="Montenegro|1962"/>
    <s v="Gapminder/Plotly country-year extract reshaped to long indicator format for education"/>
    <s v="OK"/>
    <s v="1960s"/>
    <s v="Medium"/>
    <s v="Health"/>
  </r>
  <r>
    <s v="GM-03032"/>
    <s v="Montenegro"/>
    <x v="1"/>
    <x v="2"/>
    <x v="1"/>
    <s v="Population, total"/>
    <s v="Demographics"/>
    <s v="SDG 11: Sustainable Cities and Communities"/>
    <n v="474528"/>
    <s v="People"/>
    <s v="Montenegro|1962"/>
    <s v="Gapminder/Plotly country-year extract reshaped to long indicator format for education"/>
    <s v="OK"/>
    <s v="1960s"/>
    <s v="N/A"/>
    <s v="Demographics"/>
  </r>
  <r>
    <s v="GM-03033"/>
    <s v="Montenegro"/>
    <x v="1"/>
    <x v="2"/>
    <x v="2"/>
    <s v="GDP per capita"/>
    <s v="Economy"/>
    <s v="SDG 8: Decent Work and Economic Growth"/>
    <n v="4649.593785"/>
    <s v="Source-defined international dollars"/>
    <s v="Montenegro|1962"/>
    <s v="Gapminder/Plotly country-year extract reshaped to long indicator format for education"/>
    <s v="OK"/>
    <s v="1960s"/>
    <s v="N/A"/>
    <s v="Economy"/>
  </r>
  <r>
    <s v="GM-03034"/>
    <s v="Montenegro"/>
    <x v="1"/>
    <x v="3"/>
    <x v="0"/>
    <s v="Life expectancy at birth"/>
    <s v="Health"/>
    <s v="SDG 3: Good Health and Well-being"/>
    <n v="67.177999999999997"/>
    <s v="Years"/>
    <s v="Montenegro|1967"/>
    <s v="Gapminder/Plotly country-year extract reshaped to long indicator format for education"/>
    <s v="OK"/>
    <s v="1960s"/>
    <s v="Medium"/>
    <s v="Health"/>
  </r>
  <r>
    <s v="GM-03035"/>
    <s v="Montenegro"/>
    <x v="1"/>
    <x v="3"/>
    <x v="1"/>
    <s v="Population, total"/>
    <s v="Demographics"/>
    <s v="SDG 11: Sustainable Cities and Communities"/>
    <n v="501035"/>
    <s v="People"/>
    <s v="Montenegro|1967"/>
    <s v="Gapminder/Plotly country-year extract reshaped to long indicator format for education"/>
    <s v="OK"/>
    <s v="1960s"/>
    <s v="N/A"/>
    <s v="Demographics"/>
  </r>
  <r>
    <s v="GM-03036"/>
    <s v="Montenegro"/>
    <x v="1"/>
    <x v="3"/>
    <x v="2"/>
    <s v="GDP per capita"/>
    <s v="Economy"/>
    <s v="SDG 8: Decent Work and Economic Growth"/>
    <n v="5907.8509370000002"/>
    <s v="Source-defined international dollars"/>
    <s v="Montenegro|1967"/>
    <s v="Gapminder/Plotly country-year extract reshaped to long indicator format for education"/>
    <s v="OK"/>
    <s v="1960s"/>
    <s v="N/A"/>
    <s v="Economy"/>
  </r>
  <r>
    <s v="GM-03037"/>
    <s v="Montenegro"/>
    <x v="1"/>
    <x v="4"/>
    <x v="0"/>
    <s v="Life expectancy at birth"/>
    <s v="Health"/>
    <s v="SDG 3: Good Health and Well-being"/>
    <n v="70.635999999999996"/>
    <s v="Years"/>
    <s v="Montenegro|1972"/>
    <s v="Gapminder/Plotly country-year extract reshaped to long indicator format for education"/>
    <s v="OK"/>
    <s v="1970s"/>
    <s v="High"/>
    <s v="Health"/>
  </r>
  <r>
    <s v="GM-03038"/>
    <s v="Montenegro"/>
    <x v="1"/>
    <x v="4"/>
    <x v="1"/>
    <s v="Population, total"/>
    <s v="Demographics"/>
    <s v="SDG 11: Sustainable Cities and Communities"/>
    <n v="527678"/>
    <s v="People"/>
    <s v="Montenegro|1972"/>
    <s v="Gapminder/Plotly country-year extract reshaped to long indicator format for education"/>
    <s v="OK"/>
    <s v="1970s"/>
    <s v="N/A"/>
    <s v="Demographics"/>
  </r>
  <r>
    <s v="GM-03039"/>
    <s v="Montenegro"/>
    <x v="1"/>
    <x v="4"/>
    <x v="2"/>
    <s v="GDP per capita"/>
    <s v="Economy"/>
    <s v="SDG 8: Decent Work and Economic Growth"/>
    <n v="7778.4140170000001"/>
    <s v="Source-defined international dollars"/>
    <s v="Montenegro|1972"/>
    <s v="Gapminder/Plotly country-year extract reshaped to long indicator format for education"/>
    <s v="OK"/>
    <s v="1970s"/>
    <s v="N/A"/>
    <s v="Economy"/>
  </r>
  <r>
    <s v="GM-03040"/>
    <s v="Montenegro"/>
    <x v="1"/>
    <x v="5"/>
    <x v="0"/>
    <s v="Life expectancy at birth"/>
    <s v="Health"/>
    <s v="SDG 3: Good Health and Well-being"/>
    <n v="73.066000000000003"/>
    <s v="Years"/>
    <s v="Montenegro|1977"/>
    <s v="Gapminder/Plotly country-year extract reshaped to long indicator format for education"/>
    <s v="OK"/>
    <s v="1970s"/>
    <s v="High"/>
    <s v="Health"/>
  </r>
  <r>
    <s v="GM-03041"/>
    <s v="Montenegro"/>
    <x v="1"/>
    <x v="5"/>
    <x v="1"/>
    <s v="Population, total"/>
    <s v="Demographics"/>
    <s v="SDG 11: Sustainable Cities and Communities"/>
    <n v="560073"/>
    <s v="People"/>
    <s v="Montenegro|1977"/>
    <s v="Gapminder/Plotly country-year extract reshaped to long indicator format for education"/>
    <s v="OK"/>
    <s v="1970s"/>
    <s v="N/A"/>
    <s v="Demographics"/>
  </r>
  <r>
    <s v="GM-03042"/>
    <s v="Montenegro"/>
    <x v="1"/>
    <x v="5"/>
    <x v="2"/>
    <s v="GDP per capita"/>
    <s v="Economy"/>
    <s v="SDG 8: Decent Work and Economic Growth"/>
    <n v="9595.9299050000009"/>
    <s v="Source-defined international dollars"/>
    <s v="Montenegro|1977"/>
    <s v="Gapminder/Plotly country-year extract reshaped to long indicator format for education"/>
    <s v="OK"/>
    <s v="1970s"/>
    <s v="N/A"/>
    <s v="Economy"/>
  </r>
  <r>
    <s v="GM-03043"/>
    <s v="Montenegro"/>
    <x v="1"/>
    <x v="6"/>
    <x v="0"/>
    <s v="Life expectancy at birth"/>
    <s v="Health"/>
    <s v="SDG 3: Good Health and Well-being"/>
    <n v="74.100999999999999"/>
    <s v="Years"/>
    <s v="Montenegro|1982"/>
    <s v="Gapminder/Plotly country-year extract reshaped to long indicator format for education"/>
    <s v="OK"/>
    <s v="1980s"/>
    <s v="High"/>
    <s v="Health"/>
  </r>
  <r>
    <s v="GM-03044"/>
    <s v="Montenegro"/>
    <x v="1"/>
    <x v="6"/>
    <x v="1"/>
    <s v="Population, total"/>
    <s v="Demographics"/>
    <s v="SDG 11: Sustainable Cities and Communities"/>
    <n v="562548"/>
    <s v="People"/>
    <s v="Montenegro|1982"/>
    <s v="Gapminder/Plotly country-year extract reshaped to long indicator format for education"/>
    <s v="OK"/>
    <s v="1980s"/>
    <s v="N/A"/>
    <s v="Demographics"/>
  </r>
  <r>
    <s v="GM-03045"/>
    <s v="Montenegro"/>
    <x v="1"/>
    <x v="6"/>
    <x v="2"/>
    <s v="GDP per capita"/>
    <s v="Economy"/>
    <s v="SDG 8: Decent Work and Economic Growth"/>
    <n v="11222.58762"/>
    <s v="Source-defined international dollars"/>
    <s v="Montenegro|1982"/>
    <s v="Gapminder/Plotly country-year extract reshaped to long indicator format for education"/>
    <s v="OK"/>
    <s v="1980s"/>
    <s v="N/A"/>
    <s v="Economy"/>
  </r>
  <r>
    <s v="GM-03046"/>
    <s v="Montenegro"/>
    <x v="1"/>
    <x v="7"/>
    <x v="0"/>
    <s v="Life expectancy at birth"/>
    <s v="Health"/>
    <s v="SDG 3: Good Health and Well-being"/>
    <n v="74.864999999999995"/>
    <s v="Years"/>
    <s v="Montenegro|1987"/>
    <s v="Gapminder/Plotly country-year extract reshaped to long indicator format for education"/>
    <s v="OK"/>
    <s v="1980s"/>
    <s v="High"/>
    <s v="Health"/>
  </r>
  <r>
    <s v="GM-03047"/>
    <s v="Montenegro"/>
    <x v="1"/>
    <x v="7"/>
    <x v="1"/>
    <s v="Population, total"/>
    <s v="Demographics"/>
    <s v="SDG 11: Sustainable Cities and Communities"/>
    <n v="569473"/>
    <s v="People"/>
    <s v="Montenegro|1987"/>
    <s v="Gapminder/Plotly country-year extract reshaped to long indicator format for education"/>
    <s v="OK"/>
    <s v="1980s"/>
    <s v="N/A"/>
    <s v="Demographics"/>
  </r>
  <r>
    <s v="GM-03048"/>
    <s v="Montenegro"/>
    <x v="1"/>
    <x v="7"/>
    <x v="2"/>
    <s v="GDP per capita"/>
    <s v="Economy"/>
    <s v="SDG 8: Decent Work and Economic Growth"/>
    <n v="11732.51017"/>
    <s v="Source-defined international dollars"/>
    <s v="Montenegro|1987"/>
    <s v="Gapminder/Plotly country-year extract reshaped to long indicator format for education"/>
    <s v="OK"/>
    <s v="1980s"/>
    <s v="N/A"/>
    <s v="Economy"/>
  </r>
  <r>
    <s v="GM-03049"/>
    <s v="Montenegro"/>
    <x v="1"/>
    <x v="8"/>
    <x v="0"/>
    <s v="Life expectancy at birth"/>
    <s v="Health"/>
    <s v="SDG 3: Good Health and Well-being"/>
    <n v="75.435000000000002"/>
    <s v="Years"/>
    <s v="Montenegro|1992"/>
    <s v="Gapminder/Plotly country-year extract reshaped to long indicator format for education"/>
    <s v="OK"/>
    <s v="1990s"/>
    <s v="High"/>
    <s v="Health"/>
  </r>
  <r>
    <s v="GM-03050"/>
    <s v="Montenegro"/>
    <x v="1"/>
    <x v="8"/>
    <x v="1"/>
    <s v="Population, total"/>
    <s v="Demographics"/>
    <s v="SDG 11: Sustainable Cities and Communities"/>
    <n v="621621"/>
    <s v="People"/>
    <s v="Montenegro|1992"/>
    <s v="Gapminder/Plotly country-year extract reshaped to long indicator format for education"/>
    <s v="OK"/>
    <s v="1990s"/>
    <s v="N/A"/>
    <s v="Demographics"/>
  </r>
  <r>
    <s v="GM-03051"/>
    <s v="Montenegro"/>
    <x v="1"/>
    <x v="8"/>
    <x v="2"/>
    <s v="GDP per capita"/>
    <s v="Economy"/>
    <s v="SDG 8: Decent Work and Economic Growth"/>
    <n v="7003.3390369999997"/>
    <s v="Source-defined international dollars"/>
    <s v="Montenegro|1992"/>
    <s v="Gapminder/Plotly country-year extract reshaped to long indicator format for education"/>
    <s v="OK"/>
    <s v="1990s"/>
    <s v="N/A"/>
    <s v="Economy"/>
  </r>
  <r>
    <s v="GM-03052"/>
    <s v="Montenegro"/>
    <x v="1"/>
    <x v="9"/>
    <x v="0"/>
    <s v="Life expectancy at birth"/>
    <s v="Health"/>
    <s v="SDG 3: Good Health and Well-being"/>
    <n v="75.444999999999993"/>
    <s v="Years"/>
    <s v="Montenegro|1997"/>
    <s v="Gapminder/Plotly country-year extract reshaped to long indicator format for education"/>
    <s v="OK"/>
    <s v="1990s"/>
    <s v="High"/>
    <s v="Health"/>
  </r>
  <r>
    <s v="GM-03053"/>
    <s v="Montenegro"/>
    <x v="1"/>
    <x v="9"/>
    <x v="1"/>
    <s v="Population, total"/>
    <s v="Demographics"/>
    <s v="SDG 11: Sustainable Cities and Communities"/>
    <n v="692651"/>
    <s v="People"/>
    <s v="Montenegro|1997"/>
    <s v="Gapminder/Plotly country-year extract reshaped to long indicator format for education"/>
    <s v="OK"/>
    <s v="1990s"/>
    <s v="N/A"/>
    <s v="Demographics"/>
  </r>
  <r>
    <s v="GM-03054"/>
    <s v="Montenegro"/>
    <x v="1"/>
    <x v="9"/>
    <x v="2"/>
    <s v="GDP per capita"/>
    <s v="Economy"/>
    <s v="SDG 8: Decent Work and Economic Growth"/>
    <n v="6465.6133490000002"/>
    <s v="Source-defined international dollars"/>
    <s v="Montenegro|1997"/>
    <s v="Gapminder/Plotly country-year extract reshaped to long indicator format for education"/>
    <s v="OK"/>
    <s v="1990s"/>
    <s v="N/A"/>
    <s v="Economy"/>
  </r>
  <r>
    <s v="GM-03055"/>
    <s v="Montenegro"/>
    <x v="1"/>
    <x v="10"/>
    <x v="0"/>
    <s v="Life expectancy at birth"/>
    <s v="Health"/>
    <s v="SDG 3: Good Health and Well-being"/>
    <n v="73.980999999999995"/>
    <s v="Years"/>
    <s v="Montenegro|2002"/>
    <s v="Gapminder/Plotly country-year extract reshaped to long indicator format for education"/>
    <s v="OK"/>
    <s v="2000s"/>
    <s v="High"/>
    <s v="Health"/>
  </r>
  <r>
    <s v="GM-03056"/>
    <s v="Montenegro"/>
    <x v="1"/>
    <x v="10"/>
    <x v="1"/>
    <s v="Population, total"/>
    <s v="Demographics"/>
    <s v="SDG 11: Sustainable Cities and Communities"/>
    <n v="720230"/>
    <s v="People"/>
    <s v="Montenegro|2002"/>
    <s v="Gapminder/Plotly country-year extract reshaped to long indicator format for education"/>
    <s v="OK"/>
    <s v="2000s"/>
    <s v="N/A"/>
    <s v="Demographics"/>
  </r>
  <r>
    <s v="GM-03057"/>
    <s v="Montenegro"/>
    <x v="1"/>
    <x v="10"/>
    <x v="2"/>
    <s v="GDP per capita"/>
    <s v="Economy"/>
    <s v="SDG 8: Decent Work and Economic Growth"/>
    <n v="6557.1942820000004"/>
    <s v="Source-defined international dollars"/>
    <s v="Montenegro|2002"/>
    <s v="Gapminder/Plotly country-year extract reshaped to long indicator format for education"/>
    <s v="OK"/>
    <s v="2000s"/>
    <s v="N/A"/>
    <s v="Economy"/>
  </r>
  <r>
    <s v="GM-03058"/>
    <s v="Montenegro"/>
    <x v="1"/>
    <x v="11"/>
    <x v="0"/>
    <s v="Life expectancy at birth"/>
    <s v="Health"/>
    <s v="SDG 3: Good Health and Well-being"/>
    <n v="74.543000000000006"/>
    <s v="Years"/>
    <s v="Montenegro|2007"/>
    <s v="Gapminder/Plotly country-year extract reshaped to long indicator format for education"/>
    <s v="OK"/>
    <s v="2000s"/>
    <s v="High"/>
    <s v="Health"/>
  </r>
  <r>
    <s v="GM-03059"/>
    <s v="Montenegro"/>
    <x v="1"/>
    <x v="11"/>
    <x v="1"/>
    <s v="Population, total"/>
    <s v="Demographics"/>
    <s v="SDG 11: Sustainable Cities and Communities"/>
    <n v="684736"/>
    <s v="People"/>
    <s v="Montenegro|2007"/>
    <s v="Gapminder/Plotly country-year extract reshaped to long indicator format for education"/>
    <s v="OK"/>
    <s v="2000s"/>
    <s v="N/A"/>
    <s v="Demographics"/>
  </r>
  <r>
    <s v="GM-03060"/>
    <s v="Montenegro"/>
    <x v="1"/>
    <x v="11"/>
    <x v="2"/>
    <s v="GDP per capita"/>
    <s v="Economy"/>
    <s v="SDG 8: Decent Work and Economic Growth"/>
    <n v="9253.896111"/>
    <s v="Source-defined international dollars"/>
    <s v="Montenegro|2007"/>
    <s v="Gapminder/Plotly country-year extract reshaped to long indicator format for education"/>
    <s v="OK"/>
    <s v="2000s"/>
    <s v="N/A"/>
    <s v="Economy"/>
  </r>
  <r>
    <s v="GM-03061"/>
    <s v="Morocco"/>
    <x v="2"/>
    <x v="0"/>
    <x v="0"/>
    <s v="Life expectancy at birth"/>
    <s v="Health"/>
    <s v="SDG 3: Good Health and Well-being"/>
    <n v="42.872999999999998"/>
    <s v="Years"/>
    <s v="Morocco|1952"/>
    <s v="Gapminder/Plotly country-year extract reshaped to long indicator format for education"/>
    <s v="OK"/>
    <s v="1950s"/>
    <s v="Low"/>
    <s v="Health"/>
  </r>
  <r>
    <s v="GM-03062"/>
    <s v="Morocco"/>
    <x v="2"/>
    <x v="0"/>
    <x v="1"/>
    <s v="Population, total"/>
    <s v="Demographics"/>
    <s v="SDG 11: Sustainable Cities and Communities"/>
    <n v="9939217"/>
    <s v="People"/>
    <s v="Morocco|1952"/>
    <s v="Gapminder/Plotly country-year extract reshaped to long indicator format for education"/>
    <s v="OK"/>
    <s v="1950s"/>
    <s v="N/A"/>
    <s v="Demographics"/>
  </r>
  <r>
    <s v="GM-03063"/>
    <s v="Morocco"/>
    <x v="2"/>
    <x v="0"/>
    <x v="2"/>
    <s v="GDP per capita"/>
    <s v="Economy"/>
    <s v="SDG 8: Decent Work and Economic Growth"/>
    <n v="1688.2035699999999"/>
    <s v="Source-defined international dollars"/>
    <s v="Morocco|1952"/>
    <s v="Gapminder/Plotly country-year extract reshaped to long indicator format for education"/>
    <s v="OK"/>
    <s v="1950s"/>
    <s v="N/A"/>
    <s v="Economy"/>
  </r>
  <r>
    <s v="GM-03064"/>
    <s v="Morocco"/>
    <x v="2"/>
    <x v="1"/>
    <x v="0"/>
    <s v="Life expectancy at birth"/>
    <s v="Health"/>
    <s v="SDG 3: Good Health and Well-being"/>
    <n v="45.423000000000002"/>
    <s v="Years"/>
    <s v="Morocco|1957"/>
    <s v="Gapminder/Plotly country-year extract reshaped to long indicator format for education"/>
    <s v="OK"/>
    <s v="1950s"/>
    <s v="Low"/>
    <s v="Health"/>
  </r>
  <r>
    <s v="GM-03065"/>
    <s v="Morocco"/>
    <x v="2"/>
    <x v="1"/>
    <x v="1"/>
    <s v="Population, total"/>
    <s v="Demographics"/>
    <s v="SDG 11: Sustainable Cities and Communities"/>
    <n v="11406350"/>
    <s v="People"/>
    <s v="Morocco|1957"/>
    <s v="Gapminder/Plotly country-year extract reshaped to long indicator format for education"/>
    <s v="OK"/>
    <s v="1950s"/>
    <s v="N/A"/>
    <s v="Demographics"/>
  </r>
  <r>
    <s v="GM-03066"/>
    <s v="Morocco"/>
    <x v="2"/>
    <x v="1"/>
    <x v="2"/>
    <s v="GDP per capita"/>
    <s v="Economy"/>
    <s v="SDG 8: Decent Work and Economic Growth"/>
    <n v="1642.0023140000001"/>
    <s v="Source-defined international dollars"/>
    <s v="Morocco|1957"/>
    <s v="Gapminder/Plotly country-year extract reshaped to long indicator format for education"/>
    <s v="OK"/>
    <s v="1950s"/>
    <s v="N/A"/>
    <s v="Economy"/>
  </r>
  <r>
    <s v="GM-03067"/>
    <s v="Morocco"/>
    <x v="2"/>
    <x v="2"/>
    <x v="0"/>
    <s v="Life expectancy at birth"/>
    <s v="Health"/>
    <s v="SDG 3: Good Health and Well-being"/>
    <n v="47.923999999999999"/>
    <s v="Years"/>
    <s v="Morocco|1962"/>
    <s v="Gapminder/Plotly country-year extract reshaped to long indicator format for education"/>
    <s v="OK"/>
    <s v="1960s"/>
    <s v="Low"/>
    <s v="Health"/>
  </r>
  <r>
    <s v="GM-03068"/>
    <s v="Morocco"/>
    <x v="2"/>
    <x v="2"/>
    <x v="1"/>
    <s v="Population, total"/>
    <s v="Demographics"/>
    <s v="SDG 11: Sustainable Cities and Communities"/>
    <n v="13056604"/>
    <s v="People"/>
    <s v="Morocco|1962"/>
    <s v="Gapminder/Plotly country-year extract reshaped to long indicator format for education"/>
    <s v="OK"/>
    <s v="1960s"/>
    <s v="N/A"/>
    <s v="Demographics"/>
  </r>
  <r>
    <s v="GM-03069"/>
    <s v="Morocco"/>
    <x v="2"/>
    <x v="2"/>
    <x v="2"/>
    <s v="GDP per capita"/>
    <s v="Economy"/>
    <s v="SDG 8: Decent Work and Economic Growth"/>
    <n v="1566.3534930000001"/>
    <s v="Source-defined international dollars"/>
    <s v="Morocco|1962"/>
    <s v="Gapminder/Plotly country-year extract reshaped to long indicator format for education"/>
    <s v="OK"/>
    <s v="1960s"/>
    <s v="N/A"/>
    <s v="Economy"/>
  </r>
  <r>
    <s v="GM-03070"/>
    <s v="Morocco"/>
    <x v="2"/>
    <x v="3"/>
    <x v="0"/>
    <s v="Life expectancy at birth"/>
    <s v="Health"/>
    <s v="SDG 3: Good Health and Well-being"/>
    <n v="50.335000000000001"/>
    <s v="Years"/>
    <s v="Morocco|1967"/>
    <s v="Gapminder/Plotly country-year extract reshaped to long indicator format for education"/>
    <s v="OK"/>
    <s v="1960s"/>
    <s v="Low"/>
    <s v="Health"/>
  </r>
  <r>
    <s v="GM-03071"/>
    <s v="Morocco"/>
    <x v="2"/>
    <x v="3"/>
    <x v="1"/>
    <s v="Population, total"/>
    <s v="Demographics"/>
    <s v="SDG 11: Sustainable Cities and Communities"/>
    <n v="14770296"/>
    <s v="People"/>
    <s v="Morocco|1967"/>
    <s v="Gapminder/Plotly country-year extract reshaped to long indicator format for education"/>
    <s v="OK"/>
    <s v="1960s"/>
    <s v="N/A"/>
    <s v="Demographics"/>
  </r>
  <r>
    <s v="GM-03072"/>
    <s v="Morocco"/>
    <x v="2"/>
    <x v="3"/>
    <x v="2"/>
    <s v="GDP per capita"/>
    <s v="Economy"/>
    <s v="SDG 8: Decent Work and Economic Growth"/>
    <n v="1711.04477"/>
    <s v="Source-defined international dollars"/>
    <s v="Morocco|1967"/>
    <s v="Gapminder/Plotly country-year extract reshaped to long indicator format for education"/>
    <s v="OK"/>
    <s v="1960s"/>
    <s v="N/A"/>
    <s v="Economy"/>
  </r>
  <r>
    <s v="GM-03073"/>
    <s v="Morocco"/>
    <x v="2"/>
    <x v="4"/>
    <x v="0"/>
    <s v="Life expectancy at birth"/>
    <s v="Health"/>
    <s v="SDG 3: Good Health and Well-being"/>
    <n v="52.862000000000002"/>
    <s v="Years"/>
    <s v="Morocco|1972"/>
    <s v="Gapminder/Plotly country-year extract reshaped to long indicator format for education"/>
    <s v="OK"/>
    <s v="1970s"/>
    <s v="Low"/>
    <s v="Health"/>
  </r>
  <r>
    <s v="GM-03074"/>
    <s v="Morocco"/>
    <x v="2"/>
    <x v="4"/>
    <x v="1"/>
    <s v="Population, total"/>
    <s v="Demographics"/>
    <s v="SDG 11: Sustainable Cities and Communities"/>
    <n v="16660670"/>
    <s v="People"/>
    <s v="Morocco|1972"/>
    <s v="Gapminder/Plotly country-year extract reshaped to long indicator format for education"/>
    <s v="OK"/>
    <s v="1970s"/>
    <s v="N/A"/>
    <s v="Demographics"/>
  </r>
  <r>
    <s v="GM-03075"/>
    <s v="Morocco"/>
    <x v="2"/>
    <x v="4"/>
    <x v="2"/>
    <s v="GDP per capita"/>
    <s v="Economy"/>
    <s v="SDG 8: Decent Work and Economic Growth"/>
    <n v="1930.1949750000001"/>
    <s v="Source-defined international dollars"/>
    <s v="Morocco|1972"/>
    <s v="Gapminder/Plotly country-year extract reshaped to long indicator format for education"/>
    <s v="OK"/>
    <s v="1970s"/>
    <s v="N/A"/>
    <s v="Economy"/>
  </r>
  <r>
    <s v="GM-03076"/>
    <s v="Morocco"/>
    <x v="2"/>
    <x v="5"/>
    <x v="0"/>
    <s v="Life expectancy at birth"/>
    <s v="Health"/>
    <s v="SDG 3: Good Health and Well-being"/>
    <n v="55.73"/>
    <s v="Years"/>
    <s v="Morocco|1977"/>
    <s v="Gapminder/Plotly country-year extract reshaped to long indicator format for education"/>
    <s v="OK"/>
    <s v="1970s"/>
    <s v="Medium"/>
    <s v="Health"/>
  </r>
  <r>
    <s v="GM-03077"/>
    <s v="Morocco"/>
    <x v="2"/>
    <x v="5"/>
    <x v="1"/>
    <s v="Population, total"/>
    <s v="Demographics"/>
    <s v="SDG 11: Sustainable Cities and Communities"/>
    <n v="18396941"/>
    <s v="People"/>
    <s v="Morocco|1977"/>
    <s v="Gapminder/Plotly country-year extract reshaped to long indicator format for education"/>
    <s v="OK"/>
    <s v="1970s"/>
    <s v="N/A"/>
    <s v="Demographics"/>
  </r>
  <r>
    <s v="GM-03078"/>
    <s v="Morocco"/>
    <x v="2"/>
    <x v="5"/>
    <x v="2"/>
    <s v="GDP per capita"/>
    <s v="Economy"/>
    <s v="SDG 8: Decent Work and Economic Growth"/>
    <n v="2370.619976"/>
    <s v="Source-defined international dollars"/>
    <s v="Morocco|1977"/>
    <s v="Gapminder/Plotly country-year extract reshaped to long indicator format for education"/>
    <s v="OK"/>
    <s v="1970s"/>
    <s v="N/A"/>
    <s v="Economy"/>
  </r>
  <r>
    <s v="GM-03079"/>
    <s v="Morocco"/>
    <x v="2"/>
    <x v="6"/>
    <x v="0"/>
    <s v="Life expectancy at birth"/>
    <s v="Health"/>
    <s v="SDG 3: Good Health and Well-being"/>
    <n v="59.65"/>
    <s v="Years"/>
    <s v="Morocco|1982"/>
    <s v="Gapminder/Plotly country-year extract reshaped to long indicator format for education"/>
    <s v="OK"/>
    <s v="1980s"/>
    <s v="Medium"/>
    <s v="Health"/>
  </r>
  <r>
    <s v="GM-03080"/>
    <s v="Morocco"/>
    <x v="2"/>
    <x v="6"/>
    <x v="1"/>
    <s v="Population, total"/>
    <s v="Demographics"/>
    <s v="SDG 11: Sustainable Cities and Communities"/>
    <n v="20198730"/>
    <s v="People"/>
    <s v="Morocco|1982"/>
    <s v="Gapminder/Plotly country-year extract reshaped to long indicator format for education"/>
    <s v="OK"/>
    <s v="1980s"/>
    <s v="N/A"/>
    <s v="Demographics"/>
  </r>
  <r>
    <s v="GM-03081"/>
    <s v="Morocco"/>
    <x v="2"/>
    <x v="6"/>
    <x v="2"/>
    <s v="GDP per capita"/>
    <s v="Economy"/>
    <s v="SDG 8: Decent Work and Economic Growth"/>
    <n v="2702.6203559999999"/>
    <s v="Source-defined international dollars"/>
    <s v="Morocco|1982"/>
    <s v="Gapminder/Plotly country-year extract reshaped to long indicator format for education"/>
    <s v="OK"/>
    <s v="1980s"/>
    <s v="N/A"/>
    <s v="Economy"/>
  </r>
  <r>
    <s v="GM-03082"/>
    <s v="Morocco"/>
    <x v="2"/>
    <x v="7"/>
    <x v="0"/>
    <s v="Life expectancy at birth"/>
    <s v="Health"/>
    <s v="SDG 3: Good Health and Well-being"/>
    <n v="62.677"/>
    <s v="Years"/>
    <s v="Morocco|1987"/>
    <s v="Gapminder/Plotly country-year extract reshaped to long indicator format for education"/>
    <s v="OK"/>
    <s v="1980s"/>
    <s v="Medium"/>
    <s v="Health"/>
  </r>
  <r>
    <s v="GM-03083"/>
    <s v="Morocco"/>
    <x v="2"/>
    <x v="7"/>
    <x v="1"/>
    <s v="Population, total"/>
    <s v="Demographics"/>
    <s v="SDG 11: Sustainable Cities and Communities"/>
    <n v="22987397"/>
    <s v="People"/>
    <s v="Morocco|1987"/>
    <s v="Gapminder/Plotly country-year extract reshaped to long indicator format for education"/>
    <s v="OK"/>
    <s v="1980s"/>
    <s v="N/A"/>
    <s v="Demographics"/>
  </r>
  <r>
    <s v="GM-03084"/>
    <s v="Morocco"/>
    <x v="2"/>
    <x v="7"/>
    <x v="2"/>
    <s v="GDP per capita"/>
    <s v="Economy"/>
    <s v="SDG 8: Decent Work and Economic Growth"/>
    <n v="2755.0469910000002"/>
    <s v="Source-defined international dollars"/>
    <s v="Morocco|1987"/>
    <s v="Gapminder/Plotly country-year extract reshaped to long indicator format for education"/>
    <s v="OK"/>
    <s v="1980s"/>
    <s v="N/A"/>
    <s v="Economy"/>
  </r>
  <r>
    <s v="GM-03085"/>
    <s v="Morocco"/>
    <x v="2"/>
    <x v="8"/>
    <x v="0"/>
    <s v="Life expectancy at birth"/>
    <s v="Health"/>
    <s v="SDG 3: Good Health and Well-being"/>
    <n v="65.393000000000001"/>
    <s v="Years"/>
    <s v="Morocco|1992"/>
    <s v="Gapminder/Plotly country-year extract reshaped to long indicator format for education"/>
    <s v="OK"/>
    <s v="1990s"/>
    <s v="Medium"/>
    <s v="Health"/>
  </r>
  <r>
    <s v="GM-03086"/>
    <s v="Morocco"/>
    <x v="2"/>
    <x v="8"/>
    <x v="1"/>
    <s v="Population, total"/>
    <s v="Demographics"/>
    <s v="SDG 11: Sustainable Cities and Communities"/>
    <n v="25798239"/>
    <s v="People"/>
    <s v="Morocco|1992"/>
    <s v="Gapminder/Plotly country-year extract reshaped to long indicator format for education"/>
    <s v="OK"/>
    <s v="1990s"/>
    <s v="N/A"/>
    <s v="Demographics"/>
  </r>
  <r>
    <s v="GM-03087"/>
    <s v="Morocco"/>
    <x v="2"/>
    <x v="8"/>
    <x v="2"/>
    <s v="GDP per capita"/>
    <s v="Economy"/>
    <s v="SDG 8: Decent Work and Economic Growth"/>
    <n v="2948.0472519999998"/>
    <s v="Source-defined international dollars"/>
    <s v="Morocco|1992"/>
    <s v="Gapminder/Plotly country-year extract reshaped to long indicator format for education"/>
    <s v="OK"/>
    <s v="1990s"/>
    <s v="N/A"/>
    <s v="Economy"/>
  </r>
  <r>
    <s v="GM-03088"/>
    <s v="Morocco"/>
    <x v="2"/>
    <x v="9"/>
    <x v="0"/>
    <s v="Life expectancy at birth"/>
    <s v="Health"/>
    <s v="SDG 3: Good Health and Well-being"/>
    <n v="67.66"/>
    <s v="Years"/>
    <s v="Morocco|1997"/>
    <s v="Gapminder/Plotly country-year extract reshaped to long indicator format for education"/>
    <s v="OK"/>
    <s v="1990s"/>
    <s v="Medium"/>
    <s v="Health"/>
  </r>
  <r>
    <s v="GM-03089"/>
    <s v="Morocco"/>
    <x v="2"/>
    <x v="9"/>
    <x v="1"/>
    <s v="Population, total"/>
    <s v="Demographics"/>
    <s v="SDG 11: Sustainable Cities and Communities"/>
    <n v="28529501"/>
    <s v="People"/>
    <s v="Morocco|1997"/>
    <s v="Gapminder/Plotly country-year extract reshaped to long indicator format for education"/>
    <s v="OK"/>
    <s v="1990s"/>
    <s v="N/A"/>
    <s v="Demographics"/>
  </r>
  <r>
    <s v="GM-03090"/>
    <s v="Morocco"/>
    <x v="2"/>
    <x v="9"/>
    <x v="2"/>
    <s v="GDP per capita"/>
    <s v="Economy"/>
    <s v="SDG 8: Decent Work and Economic Growth"/>
    <n v="2982.101858"/>
    <s v="Source-defined international dollars"/>
    <s v="Morocco|1997"/>
    <s v="Gapminder/Plotly country-year extract reshaped to long indicator format for education"/>
    <s v="OK"/>
    <s v="1990s"/>
    <s v="N/A"/>
    <s v="Economy"/>
  </r>
  <r>
    <s v="GM-03091"/>
    <s v="Morocco"/>
    <x v="2"/>
    <x v="10"/>
    <x v="0"/>
    <s v="Life expectancy at birth"/>
    <s v="Health"/>
    <s v="SDG 3: Good Health and Well-being"/>
    <n v="69.614999999999995"/>
    <s v="Years"/>
    <s v="Morocco|2002"/>
    <s v="Gapminder/Plotly country-year extract reshaped to long indicator format for education"/>
    <s v="OK"/>
    <s v="2000s"/>
    <s v="Medium"/>
    <s v="Health"/>
  </r>
  <r>
    <s v="GM-03092"/>
    <s v="Morocco"/>
    <x v="2"/>
    <x v="10"/>
    <x v="1"/>
    <s v="Population, total"/>
    <s v="Demographics"/>
    <s v="SDG 11: Sustainable Cities and Communities"/>
    <n v="31167783"/>
    <s v="People"/>
    <s v="Morocco|2002"/>
    <s v="Gapminder/Plotly country-year extract reshaped to long indicator format for education"/>
    <s v="OK"/>
    <s v="2000s"/>
    <s v="N/A"/>
    <s v="Demographics"/>
  </r>
  <r>
    <s v="GM-03093"/>
    <s v="Morocco"/>
    <x v="2"/>
    <x v="10"/>
    <x v="2"/>
    <s v="GDP per capita"/>
    <s v="Economy"/>
    <s v="SDG 8: Decent Work and Economic Growth"/>
    <n v="3258.4955839999998"/>
    <s v="Source-defined international dollars"/>
    <s v="Morocco|2002"/>
    <s v="Gapminder/Plotly country-year extract reshaped to long indicator format for education"/>
    <s v="OK"/>
    <s v="2000s"/>
    <s v="N/A"/>
    <s v="Economy"/>
  </r>
  <r>
    <s v="GM-03094"/>
    <s v="Morocco"/>
    <x v="2"/>
    <x v="11"/>
    <x v="0"/>
    <s v="Life expectancy at birth"/>
    <s v="Health"/>
    <s v="SDG 3: Good Health and Well-being"/>
    <n v="71.164000000000001"/>
    <s v="Years"/>
    <s v="Morocco|2007"/>
    <s v="Gapminder/Plotly country-year extract reshaped to long indicator format for education"/>
    <s v="OK"/>
    <s v="2000s"/>
    <s v="High"/>
    <s v="Health"/>
  </r>
  <r>
    <s v="GM-03095"/>
    <s v="Morocco"/>
    <x v="2"/>
    <x v="11"/>
    <x v="1"/>
    <s v="Population, total"/>
    <s v="Demographics"/>
    <s v="SDG 11: Sustainable Cities and Communities"/>
    <n v="33757175"/>
    <s v="People"/>
    <s v="Morocco|2007"/>
    <s v="Gapminder/Plotly country-year extract reshaped to long indicator format for education"/>
    <s v="OK"/>
    <s v="2000s"/>
    <s v="N/A"/>
    <s v="Demographics"/>
  </r>
  <r>
    <s v="GM-03096"/>
    <s v="Morocco"/>
    <x v="2"/>
    <x v="11"/>
    <x v="2"/>
    <s v="GDP per capita"/>
    <s v="Economy"/>
    <s v="SDG 8: Decent Work and Economic Growth"/>
    <n v="3820.1752299999998"/>
    <s v="Source-defined international dollars"/>
    <s v="Morocco|2007"/>
    <s v="Gapminder/Plotly country-year extract reshaped to long indicator format for education"/>
    <s v="OK"/>
    <s v="2000s"/>
    <s v="N/A"/>
    <s v="Economy"/>
  </r>
  <r>
    <s v="GM-03097"/>
    <s v="Mozambique"/>
    <x v="2"/>
    <x v="0"/>
    <x v="0"/>
    <s v="Life expectancy at birth"/>
    <s v="Health"/>
    <s v="SDG 3: Good Health and Well-being"/>
    <n v="31.286000000000001"/>
    <s v="Years"/>
    <s v="Mozambique|1952"/>
    <s v="Gapminder/Plotly country-year extract reshaped to long indicator format for education"/>
    <s v="OK"/>
    <s v="1950s"/>
    <s v="Low"/>
    <s v="Health"/>
  </r>
  <r>
    <s v="GM-03098"/>
    <s v="Mozambique"/>
    <x v="2"/>
    <x v="0"/>
    <x v="1"/>
    <s v="Population, total"/>
    <s v="Demographics"/>
    <s v="SDG 11: Sustainable Cities and Communities"/>
    <n v="6446316"/>
    <s v="People"/>
    <s v="Mozambique|1952"/>
    <s v="Gapminder/Plotly country-year extract reshaped to long indicator format for education"/>
    <s v="OK"/>
    <s v="1950s"/>
    <s v="N/A"/>
    <s v="Demographics"/>
  </r>
  <r>
    <s v="GM-03099"/>
    <s v="Mozambique"/>
    <x v="2"/>
    <x v="0"/>
    <x v="2"/>
    <s v="GDP per capita"/>
    <s v="Economy"/>
    <s v="SDG 8: Decent Work and Economic Growth"/>
    <n v="468.52603809999999"/>
    <s v="Source-defined international dollars"/>
    <s v="Mozambique|1952"/>
    <s v="Gapminder/Plotly country-year extract reshaped to long indicator format for education"/>
    <s v="OK"/>
    <s v="1950s"/>
    <s v="N/A"/>
    <s v="Economy"/>
  </r>
  <r>
    <s v="GM-03100"/>
    <s v="Mozambique"/>
    <x v="2"/>
    <x v="1"/>
    <x v="0"/>
    <s v="Life expectancy at birth"/>
    <s v="Health"/>
    <s v="SDG 3: Good Health and Well-being"/>
    <n v="33.779000000000003"/>
    <s v="Years"/>
    <s v="Mozambique|1957"/>
    <s v="Gapminder/Plotly country-year extract reshaped to long indicator format for education"/>
    <s v="OK"/>
    <s v="1950s"/>
    <s v="Low"/>
    <s v="Health"/>
  </r>
  <r>
    <s v="GM-03101"/>
    <s v="Mozambique"/>
    <x v="2"/>
    <x v="1"/>
    <x v="1"/>
    <s v="Population, total"/>
    <s v="Demographics"/>
    <s v="SDG 11: Sustainable Cities and Communities"/>
    <n v="7038035"/>
    <s v="People"/>
    <s v="Mozambique|1957"/>
    <s v="Gapminder/Plotly country-year extract reshaped to long indicator format for education"/>
    <s v="OK"/>
    <s v="1950s"/>
    <s v="N/A"/>
    <s v="Demographics"/>
  </r>
  <r>
    <s v="GM-03102"/>
    <s v="Mozambique"/>
    <x v="2"/>
    <x v="1"/>
    <x v="2"/>
    <s v="GDP per capita"/>
    <s v="Economy"/>
    <s v="SDG 8: Decent Work and Economic Growth"/>
    <n v="495.58683330000002"/>
    <s v="Source-defined international dollars"/>
    <s v="Mozambique|1957"/>
    <s v="Gapminder/Plotly country-year extract reshaped to long indicator format for education"/>
    <s v="OK"/>
    <s v="1950s"/>
    <s v="N/A"/>
    <s v="Economy"/>
  </r>
  <r>
    <s v="GM-03103"/>
    <s v="Mozambique"/>
    <x v="2"/>
    <x v="2"/>
    <x v="0"/>
    <s v="Life expectancy at birth"/>
    <s v="Health"/>
    <s v="SDG 3: Good Health and Well-being"/>
    <n v="36.161000000000001"/>
    <s v="Years"/>
    <s v="Mozambique|1962"/>
    <s v="Gapminder/Plotly country-year extract reshaped to long indicator format for education"/>
    <s v="OK"/>
    <s v="1960s"/>
    <s v="Low"/>
    <s v="Health"/>
  </r>
  <r>
    <s v="GM-03104"/>
    <s v="Mozambique"/>
    <x v="2"/>
    <x v="2"/>
    <x v="1"/>
    <s v="Population, total"/>
    <s v="Demographics"/>
    <s v="SDG 11: Sustainable Cities and Communities"/>
    <n v="7788944"/>
    <s v="People"/>
    <s v="Mozambique|1962"/>
    <s v="Gapminder/Plotly country-year extract reshaped to long indicator format for education"/>
    <s v="OK"/>
    <s v="1960s"/>
    <s v="N/A"/>
    <s v="Demographics"/>
  </r>
  <r>
    <s v="GM-03105"/>
    <s v="Mozambique"/>
    <x v="2"/>
    <x v="2"/>
    <x v="2"/>
    <s v="GDP per capita"/>
    <s v="Economy"/>
    <s v="SDG 8: Decent Work and Economic Growth"/>
    <n v="556.68635389999997"/>
    <s v="Source-defined international dollars"/>
    <s v="Mozambique|1962"/>
    <s v="Gapminder/Plotly country-year extract reshaped to long indicator format for education"/>
    <s v="OK"/>
    <s v="1960s"/>
    <s v="N/A"/>
    <s v="Economy"/>
  </r>
  <r>
    <s v="GM-03106"/>
    <s v="Mozambique"/>
    <x v="2"/>
    <x v="3"/>
    <x v="0"/>
    <s v="Life expectancy at birth"/>
    <s v="Health"/>
    <s v="SDG 3: Good Health and Well-being"/>
    <n v="38.113"/>
    <s v="Years"/>
    <s v="Mozambique|1967"/>
    <s v="Gapminder/Plotly country-year extract reshaped to long indicator format for education"/>
    <s v="OK"/>
    <s v="1960s"/>
    <s v="Low"/>
    <s v="Health"/>
  </r>
  <r>
    <s v="GM-03107"/>
    <s v="Mozambique"/>
    <x v="2"/>
    <x v="3"/>
    <x v="1"/>
    <s v="Population, total"/>
    <s v="Demographics"/>
    <s v="SDG 11: Sustainable Cities and Communities"/>
    <n v="8680909"/>
    <s v="People"/>
    <s v="Mozambique|1967"/>
    <s v="Gapminder/Plotly country-year extract reshaped to long indicator format for education"/>
    <s v="OK"/>
    <s v="1960s"/>
    <s v="N/A"/>
    <s v="Demographics"/>
  </r>
  <r>
    <s v="GM-03108"/>
    <s v="Mozambique"/>
    <x v="2"/>
    <x v="3"/>
    <x v="2"/>
    <s v="GDP per capita"/>
    <s v="Economy"/>
    <s v="SDG 8: Decent Work and Economic Growth"/>
    <n v="566.66915389999997"/>
    <s v="Source-defined international dollars"/>
    <s v="Mozambique|1967"/>
    <s v="Gapminder/Plotly country-year extract reshaped to long indicator format for education"/>
    <s v="OK"/>
    <s v="1960s"/>
    <s v="N/A"/>
    <s v="Economy"/>
  </r>
  <r>
    <s v="GM-03109"/>
    <s v="Mozambique"/>
    <x v="2"/>
    <x v="4"/>
    <x v="0"/>
    <s v="Life expectancy at birth"/>
    <s v="Health"/>
    <s v="SDG 3: Good Health and Well-being"/>
    <n v="40.328000000000003"/>
    <s v="Years"/>
    <s v="Mozambique|1972"/>
    <s v="Gapminder/Plotly country-year extract reshaped to long indicator format for education"/>
    <s v="OK"/>
    <s v="1970s"/>
    <s v="Low"/>
    <s v="Health"/>
  </r>
  <r>
    <s v="GM-03110"/>
    <s v="Mozambique"/>
    <x v="2"/>
    <x v="4"/>
    <x v="1"/>
    <s v="Population, total"/>
    <s v="Demographics"/>
    <s v="SDG 11: Sustainable Cities and Communities"/>
    <n v="9809596"/>
    <s v="People"/>
    <s v="Mozambique|1972"/>
    <s v="Gapminder/Plotly country-year extract reshaped to long indicator format for education"/>
    <s v="OK"/>
    <s v="1970s"/>
    <s v="N/A"/>
    <s v="Demographics"/>
  </r>
  <r>
    <s v="GM-03111"/>
    <s v="Mozambique"/>
    <x v="2"/>
    <x v="4"/>
    <x v="2"/>
    <s v="GDP per capita"/>
    <s v="Economy"/>
    <s v="SDG 8: Decent Work and Economic Growth"/>
    <n v="724.91780370000004"/>
    <s v="Source-defined international dollars"/>
    <s v="Mozambique|1972"/>
    <s v="Gapminder/Plotly country-year extract reshaped to long indicator format for education"/>
    <s v="OK"/>
    <s v="1970s"/>
    <s v="N/A"/>
    <s v="Economy"/>
  </r>
  <r>
    <s v="GM-03112"/>
    <s v="Mozambique"/>
    <x v="2"/>
    <x v="5"/>
    <x v="0"/>
    <s v="Life expectancy at birth"/>
    <s v="Health"/>
    <s v="SDG 3: Good Health and Well-being"/>
    <n v="42.494999999999997"/>
    <s v="Years"/>
    <s v="Mozambique|1977"/>
    <s v="Gapminder/Plotly country-year extract reshaped to long indicator format for education"/>
    <s v="OK"/>
    <s v="1970s"/>
    <s v="Low"/>
    <s v="Health"/>
  </r>
  <r>
    <s v="GM-03113"/>
    <s v="Mozambique"/>
    <x v="2"/>
    <x v="5"/>
    <x v="1"/>
    <s v="Population, total"/>
    <s v="Demographics"/>
    <s v="SDG 11: Sustainable Cities and Communities"/>
    <n v="11127868"/>
    <s v="People"/>
    <s v="Mozambique|1977"/>
    <s v="Gapminder/Plotly country-year extract reshaped to long indicator format for education"/>
    <s v="OK"/>
    <s v="1970s"/>
    <s v="N/A"/>
    <s v="Demographics"/>
  </r>
  <r>
    <s v="GM-03114"/>
    <s v="Mozambique"/>
    <x v="2"/>
    <x v="5"/>
    <x v="2"/>
    <s v="GDP per capita"/>
    <s v="Economy"/>
    <s v="SDG 8: Decent Work and Economic Growth"/>
    <n v="502.31973340000002"/>
    <s v="Source-defined international dollars"/>
    <s v="Mozambique|1977"/>
    <s v="Gapminder/Plotly country-year extract reshaped to long indicator format for education"/>
    <s v="OK"/>
    <s v="1970s"/>
    <s v="N/A"/>
    <s v="Economy"/>
  </r>
  <r>
    <s v="GM-03115"/>
    <s v="Mozambique"/>
    <x v="2"/>
    <x v="6"/>
    <x v="0"/>
    <s v="Life expectancy at birth"/>
    <s v="Health"/>
    <s v="SDG 3: Good Health and Well-being"/>
    <n v="42.795000000000002"/>
    <s v="Years"/>
    <s v="Mozambique|1982"/>
    <s v="Gapminder/Plotly country-year extract reshaped to long indicator format for education"/>
    <s v="OK"/>
    <s v="1980s"/>
    <s v="Low"/>
    <s v="Health"/>
  </r>
  <r>
    <s v="GM-03116"/>
    <s v="Mozambique"/>
    <x v="2"/>
    <x v="6"/>
    <x v="1"/>
    <s v="Population, total"/>
    <s v="Demographics"/>
    <s v="SDG 11: Sustainable Cities and Communities"/>
    <n v="12587223"/>
    <s v="People"/>
    <s v="Mozambique|1982"/>
    <s v="Gapminder/Plotly country-year extract reshaped to long indicator format for education"/>
    <s v="OK"/>
    <s v="1980s"/>
    <s v="N/A"/>
    <s v="Demographics"/>
  </r>
  <r>
    <s v="GM-03117"/>
    <s v="Mozambique"/>
    <x v="2"/>
    <x v="6"/>
    <x v="2"/>
    <s v="GDP per capita"/>
    <s v="Economy"/>
    <s v="SDG 8: Decent Work and Economic Growth"/>
    <n v="462.21141490000002"/>
    <s v="Source-defined international dollars"/>
    <s v="Mozambique|1982"/>
    <s v="Gapminder/Plotly country-year extract reshaped to long indicator format for education"/>
    <s v="OK"/>
    <s v="1980s"/>
    <s v="N/A"/>
    <s v="Economy"/>
  </r>
  <r>
    <s v="GM-03118"/>
    <s v="Mozambique"/>
    <x v="2"/>
    <x v="7"/>
    <x v="0"/>
    <s v="Life expectancy at birth"/>
    <s v="Health"/>
    <s v="SDG 3: Good Health and Well-being"/>
    <n v="42.860999999999997"/>
    <s v="Years"/>
    <s v="Mozambique|1987"/>
    <s v="Gapminder/Plotly country-year extract reshaped to long indicator format for education"/>
    <s v="OK"/>
    <s v="1980s"/>
    <s v="Low"/>
    <s v="Health"/>
  </r>
  <r>
    <s v="GM-03119"/>
    <s v="Mozambique"/>
    <x v="2"/>
    <x v="7"/>
    <x v="1"/>
    <s v="Population, total"/>
    <s v="Demographics"/>
    <s v="SDG 11: Sustainable Cities and Communities"/>
    <n v="12891952"/>
    <s v="People"/>
    <s v="Mozambique|1987"/>
    <s v="Gapminder/Plotly country-year extract reshaped to long indicator format for education"/>
    <s v="OK"/>
    <s v="1980s"/>
    <s v="N/A"/>
    <s v="Demographics"/>
  </r>
  <r>
    <s v="GM-03120"/>
    <s v="Mozambique"/>
    <x v="2"/>
    <x v="7"/>
    <x v="2"/>
    <s v="GDP per capita"/>
    <s v="Economy"/>
    <s v="SDG 8: Decent Work and Economic Growth"/>
    <n v="389.87618459999999"/>
    <s v="Source-defined international dollars"/>
    <s v="Mozambique|1987"/>
    <s v="Gapminder/Plotly country-year extract reshaped to long indicator format for education"/>
    <s v="OK"/>
    <s v="1980s"/>
    <s v="N/A"/>
    <s v="Economy"/>
  </r>
  <r>
    <s v="GM-03121"/>
    <s v="Mozambique"/>
    <x v="2"/>
    <x v="8"/>
    <x v="0"/>
    <s v="Life expectancy at birth"/>
    <s v="Health"/>
    <s v="SDG 3: Good Health and Well-being"/>
    <n v="44.283999999999999"/>
    <s v="Years"/>
    <s v="Mozambique|1992"/>
    <s v="Gapminder/Plotly country-year extract reshaped to long indicator format for education"/>
    <s v="OK"/>
    <s v="1990s"/>
    <s v="Low"/>
    <s v="Health"/>
  </r>
  <r>
    <s v="GM-03122"/>
    <s v="Mozambique"/>
    <x v="2"/>
    <x v="8"/>
    <x v="1"/>
    <s v="Population, total"/>
    <s v="Demographics"/>
    <s v="SDG 11: Sustainable Cities and Communities"/>
    <n v="13160731"/>
    <s v="People"/>
    <s v="Mozambique|1992"/>
    <s v="Gapminder/Plotly country-year extract reshaped to long indicator format for education"/>
    <s v="OK"/>
    <s v="1990s"/>
    <s v="N/A"/>
    <s v="Demographics"/>
  </r>
  <r>
    <s v="GM-03123"/>
    <s v="Mozambique"/>
    <x v="2"/>
    <x v="8"/>
    <x v="2"/>
    <s v="GDP per capita"/>
    <s v="Economy"/>
    <s v="SDG 8: Decent Work and Economic Growth"/>
    <n v="410.89682390000002"/>
    <s v="Source-defined international dollars"/>
    <s v="Mozambique|1992"/>
    <s v="Gapminder/Plotly country-year extract reshaped to long indicator format for education"/>
    <s v="OK"/>
    <s v="1990s"/>
    <s v="N/A"/>
    <s v="Economy"/>
  </r>
  <r>
    <s v="GM-03124"/>
    <s v="Mozambique"/>
    <x v="2"/>
    <x v="9"/>
    <x v="0"/>
    <s v="Life expectancy at birth"/>
    <s v="Health"/>
    <s v="SDG 3: Good Health and Well-being"/>
    <n v="46.344000000000001"/>
    <s v="Years"/>
    <s v="Mozambique|1997"/>
    <s v="Gapminder/Plotly country-year extract reshaped to long indicator format for education"/>
    <s v="OK"/>
    <s v="1990s"/>
    <s v="Low"/>
    <s v="Health"/>
  </r>
  <r>
    <s v="GM-03125"/>
    <s v="Mozambique"/>
    <x v="2"/>
    <x v="9"/>
    <x v="1"/>
    <s v="Population, total"/>
    <s v="Demographics"/>
    <s v="SDG 11: Sustainable Cities and Communities"/>
    <n v="16603334"/>
    <s v="People"/>
    <s v="Mozambique|1997"/>
    <s v="Gapminder/Plotly country-year extract reshaped to long indicator format for education"/>
    <s v="OK"/>
    <s v="1990s"/>
    <s v="N/A"/>
    <s v="Demographics"/>
  </r>
  <r>
    <s v="GM-03126"/>
    <s v="Mozambique"/>
    <x v="2"/>
    <x v="9"/>
    <x v="2"/>
    <s v="GDP per capita"/>
    <s v="Economy"/>
    <s v="SDG 8: Decent Work and Economic Growth"/>
    <n v="472.3460771"/>
    <s v="Source-defined international dollars"/>
    <s v="Mozambique|1997"/>
    <s v="Gapminder/Plotly country-year extract reshaped to long indicator format for education"/>
    <s v="OK"/>
    <s v="1990s"/>
    <s v="N/A"/>
    <s v="Economy"/>
  </r>
  <r>
    <s v="GM-03127"/>
    <s v="Mozambique"/>
    <x v="2"/>
    <x v="10"/>
    <x v="0"/>
    <s v="Life expectancy at birth"/>
    <s v="Health"/>
    <s v="SDG 3: Good Health and Well-being"/>
    <n v="44.026000000000003"/>
    <s v="Years"/>
    <s v="Mozambique|2002"/>
    <s v="Gapminder/Plotly country-year extract reshaped to long indicator format for education"/>
    <s v="OK"/>
    <s v="2000s"/>
    <s v="Low"/>
    <s v="Health"/>
  </r>
  <r>
    <s v="GM-03128"/>
    <s v="Mozambique"/>
    <x v="2"/>
    <x v="10"/>
    <x v="1"/>
    <s v="Population, total"/>
    <s v="Demographics"/>
    <s v="SDG 11: Sustainable Cities and Communities"/>
    <n v="18473780"/>
    <s v="People"/>
    <s v="Mozambique|2002"/>
    <s v="Gapminder/Plotly country-year extract reshaped to long indicator format for education"/>
    <s v="OK"/>
    <s v="2000s"/>
    <s v="N/A"/>
    <s v="Demographics"/>
  </r>
  <r>
    <s v="GM-03129"/>
    <s v="Mozambique"/>
    <x v="2"/>
    <x v="10"/>
    <x v="2"/>
    <s v="GDP per capita"/>
    <s v="Economy"/>
    <s v="SDG 8: Decent Work and Economic Growth"/>
    <n v="633.61794659999998"/>
    <s v="Source-defined international dollars"/>
    <s v="Mozambique|2002"/>
    <s v="Gapminder/Plotly country-year extract reshaped to long indicator format for education"/>
    <s v="OK"/>
    <s v="2000s"/>
    <s v="N/A"/>
    <s v="Economy"/>
  </r>
  <r>
    <s v="GM-03130"/>
    <s v="Mozambique"/>
    <x v="2"/>
    <x v="11"/>
    <x v="0"/>
    <s v="Life expectancy at birth"/>
    <s v="Health"/>
    <s v="SDG 3: Good Health and Well-being"/>
    <n v="42.082000000000001"/>
    <s v="Years"/>
    <s v="Mozambique|2007"/>
    <s v="Gapminder/Plotly country-year extract reshaped to long indicator format for education"/>
    <s v="OK"/>
    <s v="2000s"/>
    <s v="Low"/>
    <s v="Health"/>
  </r>
  <r>
    <s v="GM-03131"/>
    <s v="Mozambique"/>
    <x v="2"/>
    <x v="11"/>
    <x v="1"/>
    <s v="Population, total"/>
    <s v="Demographics"/>
    <s v="SDG 11: Sustainable Cities and Communities"/>
    <n v="19951656"/>
    <s v="People"/>
    <s v="Mozambique|2007"/>
    <s v="Gapminder/Plotly country-year extract reshaped to long indicator format for education"/>
    <s v="OK"/>
    <s v="2000s"/>
    <s v="N/A"/>
    <s v="Demographics"/>
  </r>
  <r>
    <s v="GM-03132"/>
    <s v="Mozambique"/>
    <x v="2"/>
    <x v="11"/>
    <x v="2"/>
    <s v="GDP per capita"/>
    <s v="Economy"/>
    <s v="SDG 8: Decent Work and Economic Growth"/>
    <n v="823.68562050000003"/>
    <s v="Source-defined international dollars"/>
    <s v="Mozambique|2007"/>
    <s v="Gapminder/Plotly country-year extract reshaped to long indicator format for education"/>
    <s v="OK"/>
    <s v="2000s"/>
    <s v="N/A"/>
    <s v="Economy"/>
  </r>
  <r>
    <s v="GM-03133"/>
    <s v="Myanmar"/>
    <x v="0"/>
    <x v="0"/>
    <x v="0"/>
    <s v="Life expectancy at birth"/>
    <s v="Health"/>
    <s v="SDG 3: Good Health and Well-being"/>
    <n v="36.319000000000003"/>
    <s v="Years"/>
    <s v="Myanmar|1952"/>
    <s v="Gapminder/Plotly country-year extract reshaped to long indicator format for education"/>
    <s v="OK"/>
    <s v="1950s"/>
    <s v="Low"/>
    <s v="Health"/>
  </r>
  <r>
    <s v="GM-03134"/>
    <s v="Myanmar"/>
    <x v="0"/>
    <x v="0"/>
    <x v="1"/>
    <s v="Population, total"/>
    <s v="Demographics"/>
    <s v="SDG 11: Sustainable Cities and Communities"/>
    <n v="20092996"/>
    <s v="People"/>
    <s v="Myanmar|1952"/>
    <s v="Gapminder/Plotly country-year extract reshaped to long indicator format for education"/>
    <s v="OK"/>
    <s v="1950s"/>
    <s v="N/A"/>
    <s v="Demographics"/>
  </r>
  <r>
    <s v="GM-03135"/>
    <s v="Myanmar"/>
    <x v="0"/>
    <x v="0"/>
    <x v="2"/>
    <s v="GDP per capita"/>
    <s v="Economy"/>
    <s v="SDG 8: Decent Work and Economic Growth"/>
    <n v="331"/>
    <s v="Source-defined international dollars"/>
    <s v="Myanmar|1952"/>
    <s v="Gapminder/Plotly country-year extract reshaped to long indicator format for education"/>
    <s v="OK"/>
    <s v="1950s"/>
    <s v="N/A"/>
    <s v="Economy"/>
  </r>
  <r>
    <s v="GM-03136"/>
    <s v="Myanmar"/>
    <x v="0"/>
    <x v="1"/>
    <x v="0"/>
    <s v="Life expectancy at birth"/>
    <s v="Health"/>
    <s v="SDG 3: Good Health and Well-being"/>
    <n v="41.905000000000001"/>
    <s v="Years"/>
    <s v="Myanmar|1957"/>
    <s v="Gapminder/Plotly country-year extract reshaped to long indicator format for education"/>
    <s v="OK"/>
    <s v="1950s"/>
    <s v="Low"/>
    <s v="Health"/>
  </r>
  <r>
    <s v="GM-03137"/>
    <s v="Myanmar"/>
    <x v="0"/>
    <x v="1"/>
    <x v="1"/>
    <s v="Population, total"/>
    <s v="Demographics"/>
    <s v="SDG 11: Sustainable Cities and Communities"/>
    <n v="21731844"/>
    <s v="People"/>
    <s v="Myanmar|1957"/>
    <s v="Gapminder/Plotly country-year extract reshaped to long indicator format for education"/>
    <s v="OK"/>
    <s v="1950s"/>
    <s v="N/A"/>
    <s v="Demographics"/>
  </r>
  <r>
    <s v="GM-03138"/>
    <s v="Myanmar"/>
    <x v="0"/>
    <x v="1"/>
    <x v="2"/>
    <s v="GDP per capita"/>
    <s v="Economy"/>
    <s v="SDG 8: Decent Work and Economic Growth"/>
    <n v="350"/>
    <s v="Source-defined international dollars"/>
    <s v="Myanmar|1957"/>
    <s v="Gapminder/Plotly country-year extract reshaped to long indicator format for education"/>
    <s v="OK"/>
    <s v="1950s"/>
    <s v="N/A"/>
    <s v="Economy"/>
  </r>
  <r>
    <s v="GM-03139"/>
    <s v="Myanmar"/>
    <x v="0"/>
    <x v="2"/>
    <x v="0"/>
    <s v="Life expectancy at birth"/>
    <s v="Health"/>
    <s v="SDG 3: Good Health and Well-being"/>
    <n v="45.107999999999997"/>
    <s v="Years"/>
    <s v="Myanmar|1962"/>
    <s v="Gapminder/Plotly country-year extract reshaped to long indicator format for education"/>
    <s v="OK"/>
    <s v="1960s"/>
    <s v="Low"/>
    <s v="Health"/>
  </r>
  <r>
    <s v="GM-03140"/>
    <s v="Myanmar"/>
    <x v="0"/>
    <x v="2"/>
    <x v="1"/>
    <s v="Population, total"/>
    <s v="Demographics"/>
    <s v="SDG 11: Sustainable Cities and Communities"/>
    <n v="23634436"/>
    <s v="People"/>
    <s v="Myanmar|1962"/>
    <s v="Gapminder/Plotly country-year extract reshaped to long indicator format for education"/>
    <s v="OK"/>
    <s v="1960s"/>
    <s v="N/A"/>
    <s v="Demographics"/>
  </r>
  <r>
    <s v="GM-03141"/>
    <s v="Myanmar"/>
    <x v="0"/>
    <x v="2"/>
    <x v="2"/>
    <s v="GDP per capita"/>
    <s v="Economy"/>
    <s v="SDG 8: Decent Work and Economic Growth"/>
    <n v="388"/>
    <s v="Source-defined international dollars"/>
    <s v="Myanmar|1962"/>
    <s v="Gapminder/Plotly country-year extract reshaped to long indicator format for education"/>
    <s v="OK"/>
    <s v="1960s"/>
    <s v="N/A"/>
    <s v="Economy"/>
  </r>
  <r>
    <s v="GM-03142"/>
    <s v="Myanmar"/>
    <x v="0"/>
    <x v="3"/>
    <x v="0"/>
    <s v="Life expectancy at birth"/>
    <s v="Health"/>
    <s v="SDG 3: Good Health and Well-being"/>
    <n v="49.378999999999998"/>
    <s v="Years"/>
    <s v="Myanmar|1967"/>
    <s v="Gapminder/Plotly country-year extract reshaped to long indicator format for education"/>
    <s v="OK"/>
    <s v="1960s"/>
    <s v="Low"/>
    <s v="Health"/>
  </r>
  <r>
    <s v="GM-03143"/>
    <s v="Myanmar"/>
    <x v="0"/>
    <x v="3"/>
    <x v="1"/>
    <s v="Population, total"/>
    <s v="Demographics"/>
    <s v="SDG 11: Sustainable Cities and Communities"/>
    <n v="25870271"/>
    <s v="People"/>
    <s v="Myanmar|1967"/>
    <s v="Gapminder/Plotly country-year extract reshaped to long indicator format for education"/>
    <s v="OK"/>
    <s v="1960s"/>
    <s v="N/A"/>
    <s v="Demographics"/>
  </r>
  <r>
    <s v="GM-03144"/>
    <s v="Myanmar"/>
    <x v="0"/>
    <x v="3"/>
    <x v="2"/>
    <s v="GDP per capita"/>
    <s v="Economy"/>
    <s v="SDG 8: Decent Work and Economic Growth"/>
    <n v="349"/>
    <s v="Source-defined international dollars"/>
    <s v="Myanmar|1967"/>
    <s v="Gapminder/Plotly country-year extract reshaped to long indicator format for education"/>
    <s v="OK"/>
    <s v="1960s"/>
    <s v="N/A"/>
    <s v="Economy"/>
  </r>
  <r>
    <s v="GM-03145"/>
    <s v="Myanmar"/>
    <x v="0"/>
    <x v="4"/>
    <x v="0"/>
    <s v="Life expectancy at birth"/>
    <s v="Health"/>
    <s v="SDG 3: Good Health and Well-being"/>
    <n v="53.07"/>
    <s v="Years"/>
    <s v="Myanmar|1972"/>
    <s v="Gapminder/Plotly country-year extract reshaped to long indicator format for education"/>
    <s v="OK"/>
    <s v="1970s"/>
    <s v="Low"/>
    <s v="Health"/>
  </r>
  <r>
    <s v="GM-03146"/>
    <s v="Myanmar"/>
    <x v="0"/>
    <x v="4"/>
    <x v="1"/>
    <s v="Population, total"/>
    <s v="Demographics"/>
    <s v="SDG 11: Sustainable Cities and Communities"/>
    <n v="28466390"/>
    <s v="People"/>
    <s v="Myanmar|1972"/>
    <s v="Gapminder/Plotly country-year extract reshaped to long indicator format for education"/>
    <s v="OK"/>
    <s v="1970s"/>
    <s v="N/A"/>
    <s v="Demographics"/>
  </r>
  <r>
    <s v="GM-03147"/>
    <s v="Myanmar"/>
    <x v="0"/>
    <x v="4"/>
    <x v="2"/>
    <s v="GDP per capita"/>
    <s v="Economy"/>
    <s v="SDG 8: Decent Work and Economic Growth"/>
    <n v="357"/>
    <s v="Source-defined international dollars"/>
    <s v="Myanmar|1972"/>
    <s v="Gapminder/Plotly country-year extract reshaped to long indicator format for education"/>
    <s v="OK"/>
    <s v="1970s"/>
    <s v="N/A"/>
    <s v="Economy"/>
  </r>
  <r>
    <s v="GM-03148"/>
    <s v="Myanmar"/>
    <x v="0"/>
    <x v="5"/>
    <x v="0"/>
    <s v="Life expectancy at birth"/>
    <s v="Health"/>
    <s v="SDG 3: Good Health and Well-being"/>
    <n v="56.058999999999997"/>
    <s v="Years"/>
    <s v="Myanmar|1977"/>
    <s v="Gapminder/Plotly country-year extract reshaped to long indicator format for education"/>
    <s v="OK"/>
    <s v="1970s"/>
    <s v="Medium"/>
    <s v="Health"/>
  </r>
  <r>
    <s v="GM-03149"/>
    <s v="Myanmar"/>
    <x v="0"/>
    <x v="5"/>
    <x v="1"/>
    <s v="Population, total"/>
    <s v="Demographics"/>
    <s v="SDG 11: Sustainable Cities and Communities"/>
    <n v="31528087"/>
    <s v="People"/>
    <s v="Myanmar|1977"/>
    <s v="Gapminder/Plotly country-year extract reshaped to long indicator format for education"/>
    <s v="OK"/>
    <s v="1970s"/>
    <s v="N/A"/>
    <s v="Demographics"/>
  </r>
  <r>
    <s v="GM-03150"/>
    <s v="Myanmar"/>
    <x v="0"/>
    <x v="5"/>
    <x v="2"/>
    <s v="GDP per capita"/>
    <s v="Economy"/>
    <s v="SDG 8: Decent Work and Economic Growth"/>
    <n v="371"/>
    <s v="Source-defined international dollars"/>
    <s v="Myanmar|1977"/>
    <s v="Gapminder/Plotly country-year extract reshaped to long indicator format for education"/>
    <s v="OK"/>
    <s v="1970s"/>
    <s v="N/A"/>
    <s v="Economy"/>
  </r>
  <r>
    <s v="GM-03151"/>
    <s v="Myanmar"/>
    <x v="0"/>
    <x v="6"/>
    <x v="0"/>
    <s v="Life expectancy at birth"/>
    <s v="Health"/>
    <s v="SDG 3: Good Health and Well-being"/>
    <n v="58.055999999999997"/>
    <s v="Years"/>
    <s v="Myanmar|1982"/>
    <s v="Gapminder/Plotly country-year extract reshaped to long indicator format for education"/>
    <s v="OK"/>
    <s v="1980s"/>
    <s v="Medium"/>
    <s v="Health"/>
  </r>
  <r>
    <s v="GM-03152"/>
    <s v="Myanmar"/>
    <x v="0"/>
    <x v="6"/>
    <x v="1"/>
    <s v="Population, total"/>
    <s v="Demographics"/>
    <s v="SDG 11: Sustainable Cities and Communities"/>
    <n v="34680442"/>
    <s v="People"/>
    <s v="Myanmar|1982"/>
    <s v="Gapminder/Plotly country-year extract reshaped to long indicator format for education"/>
    <s v="OK"/>
    <s v="1980s"/>
    <s v="N/A"/>
    <s v="Demographics"/>
  </r>
  <r>
    <s v="GM-03153"/>
    <s v="Myanmar"/>
    <x v="0"/>
    <x v="6"/>
    <x v="2"/>
    <s v="GDP per capita"/>
    <s v="Economy"/>
    <s v="SDG 8: Decent Work and Economic Growth"/>
    <n v="424"/>
    <s v="Source-defined international dollars"/>
    <s v="Myanmar|1982"/>
    <s v="Gapminder/Plotly country-year extract reshaped to long indicator format for education"/>
    <s v="OK"/>
    <s v="1980s"/>
    <s v="N/A"/>
    <s v="Economy"/>
  </r>
  <r>
    <s v="GM-03154"/>
    <s v="Myanmar"/>
    <x v="0"/>
    <x v="7"/>
    <x v="0"/>
    <s v="Life expectancy at birth"/>
    <s v="Health"/>
    <s v="SDG 3: Good Health and Well-being"/>
    <n v="58.338999999999999"/>
    <s v="Years"/>
    <s v="Myanmar|1987"/>
    <s v="Gapminder/Plotly country-year extract reshaped to long indicator format for education"/>
    <s v="OK"/>
    <s v="1980s"/>
    <s v="Medium"/>
    <s v="Health"/>
  </r>
  <r>
    <s v="GM-03155"/>
    <s v="Myanmar"/>
    <x v="0"/>
    <x v="7"/>
    <x v="1"/>
    <s v="Population, total"/>
    <s v="Demographics"/>
    <s v="SDG 11: Sustainable Cities and Communities"/>
    <n v="38028578"/>
    <s v="People"/>
    <s v="Myanmar|1987"/>
    <s v="Gapminder/Plotly country-year extract reshaped to long indicator format for education"/>
    <s v="OK"/>
    <s v="1980s"/>
    <s v="N/A"/>
    <s v="Demographics"/>
  </r>
  <r>
    <s v="GM-03156"/>
    <s v="Myanmar"/>
    <x v="0"/>
    <x v="7"/>
    <x v="2"/>
    <s v="GDP per capita"/>
    <s v="Economy"/>
    <s v="SDG 8: Decent Work and Economic Growth"/>
    <n v="385"/>
    <s v="Source-defined international dollars"/>
    <s v="Myanmar|1987"/>
    <s v="Gapminder/Plotly country-year extract reshaped to long indicator format for education"/>
    <s v="OK"/>
    <s v="1980s"/>
    <s v="N/A"/>
    <s v="Economy"/>
  </r>
  <r>
    <s v="GM-03157"/>
    <s v="Myanmar"/>
    <x v="0"/>
    <x v="8"/>
    <x v="0"/>
    <s v="Life expectancy at birth"/>
    <s v="Health"/>
    <s v="SDG 3: Good Health and Well-being"/>
    <n v="59.32"/>
    <s v="Years"/>
    <s v="Myanmar|1992"/>
    <s v="Gapminder/Plotly country-year extract reshaped to long indicator format for education"/>
    <s v="OK"/>
    <s v="1990s"/>
    <s v="Medium"/>
    <s v="Health"/>
  </r>
  <r>
    <s v="GM-03158"/>
    <s v="Myanmar"/>
    <x v="0"/>
    <x v="8"/>
    <x v="1"/>
    <s v="Population, total"/>
    <s v="Demographics"/>
    <s v="SDG 11: Sustainable Cities and Communities"/>
    <n v="40546538"/>
    <s v="People"/>
    <s v="Myanmar|1992"/>
    <s v="Gapminder/Plotly country-year extract reshaped to long indicator format for education"/>
    <s v="OK"/>
    <s v="1990s"/>
    <s v="N/A"/>
    <s v="Demographics"/>
  </r>
  <r>
    <s v="GM-03159"/>
    <s v="Myanmar"/>
    <x v="0"/>
    <x v="8"/>
    <x v="2"/>
    <s v="GDP per capita"/>
    <s v="Economy"/>
    <s v="SDG 8: Decent Work and Economic Growth"/>
    <n v="347"/>
    <s v="Source-defined international dollars"/>
    <s v="Myanmar|1992"/>
    <s v="Gapminder/Plotly country-year extract reshaped to long indicator format for education"/>
    <s v="OK"/>
    <s v="1990s"/>
    <s v="N/A"/>
    <s v="Economy"/>
  </r>
  <r>
    <s v="GM-03160"/>
    <s v="Myanmar"/>
    <x v="0"/>
    <x v="9"/>
    <x v="0"/>
    <s v="Life expectancy at birth"/>
    <s v="Health"/>
    <s v="SDG 3: Good Health and Well-being"/>
    <n v="60.328000000000003"/>
    <s v="Years"/>
    <s v="Myanmar|1997"/>
    <s v="Gapminder/Plotly country-year extract reshaped to long indicator format for education"/>
    <s v="OK"/>
    <s v="1990s"/>
    <s v="Medium"/>
    <s v="Health"/>
  </r>
  <r>
    <s v="GM-03161"/>
    <s v="Myanmar"/>
    <x v="0"/>
    <x v="9"/>
    <x v="1"/>
    <s v="Population, total"/>
    <s v="Demographics"/>
    <s v="SDG 11: Sustainable Cities and Communities"/>
    <n v="43247867"/>
    <s v="People"/>
    <s v="Myanmar|1997"/>
    <s v="Gapminder/Plotly country-year extract reshaped to long indicator format for education"/>
    <s v="OK"/>
    <s v="1990s"/>
    <s v="N/A"/>
    <s v="Demographics"/>
  </r>
  <r>
    <s v="GM-03162"/>
    <s v="Myanmar"/>
    <x v="0"/>
    <x v="9"/>
    <x v="2"/>
    <s v="GDP per capita"/>
    <s v="Economy"/>
    <s v="SDG 8: Decent Work and Economic Growth"/>
    <n v="415"/>
    <s v="Source-defined international dollars"/>
    <s v="Myanmar|1997"/>
    <s v="Gapminder/Plotly country-year extract reshaped to long indicator format for education"/>
    <s v="OK"/>
    <s v="1990s"/>
    <s v="N/A"/>
    <s v="Economy"/>
  </r>
  <r>
    <s v="GM-03163"/>
    <s v="Myanmar"/>
    <x v="0"/>
    <x v="10"/>
    <x v="0"/>
    <s v="Life expectancy at birth"/>
    <s v="Health"/>
    <s v="SDG 3: Good Health and Well-being"/>
    <n v="59.908000000000001"/>
    <s v="Years"/>
    <s v="Myanmar|2002"/>
    <s v="Gapminder/Plotly country-year extract reshaped to long indicator format for education"/>
    <s v="OK"/>
    <s v="2000s"/>
    <s v="Medium"/>
    <s v="Health"/>
  </r>
  <r>
    <s v="GM-03164"/>
    <s v="Myanmar"/>
    <x v="0"/>
    <x v="10"/>
    <x v="1"/>
    <s v="Population, total"/>
    <s v="Demographics"/>
    <s v="SDG 11: Sustainable Cities and Communities"/>
    <n v="45598081"/>
    <s v="People"/>
    <s v="Myanmar|2002"/>
    <s v="Gapminder/Plotly country-year extract reshaped to long indicator format for education"/>
    <s v="OK"/>
    <s v="2000s"/>
    <s v="N/A"/>
    <s v="Demographics"/>
  </r>
  <r>
    <s v="GM-03165"/>
    <s v="Myanmar"/>
    <x v="0"/>
    <x v="10"/>
    <x v="2"/>
    <s v="GDP per capita"/>
    <s v="Economy"/>
    <s v="SDG 8: Decent Work and Economic Growth"/>
    <n v="611"/>
    <s v="Source-defined international dollars"/>
    <s v="Myanmar|2002"/>
    <s v="Gapminder/Plotly country-year extract reshaped to long indicator format for education"/>
    <s v="OK"/>
    <s v="2000s"/>
    <s v="N/A"/>
    <s v="Economy"/>
  </r>
  <r>
    <s v="GM-03166"/>
    <s v="Myanmar"/>
    <x v="0"/>
    <x v="11"/>
    <x v="0"/>
    <s v="Life expectancy at birth"/>
    <s v="Health"/>
    <s v="SDG 3: Good Health and Well-being"/>
    <n v="62.069000000000003"/>
    <s v="Years"/>
    <s v="Myanmar|2007"/>
    <s v="Gapminder/Plotly country-year extract reshaped to long indicator format for education"/>
    <s v="OK"/>
    <s v="2000s"/>
    <s v="Medium"/>
    <s v="Health"/>
  </r>
  <r>
    <s v="GM-03167"/>
    <s v="Myanmar"/>
    <x v="0"/>
    <x v="11"/>
    <x v="1"/>
    <s v="Population, total"/>
    <s v="Demographics"/>
    <s v="SDG 11: Sustainable Cities and Communities"/>
    <n v="47761980"/>
    <s v="People"/>
    <s v="Myanmar|2007"/>
    <s v="Gapminder/Plotly country-year extract reshaped to long indicator format for education"/>
    <s v="OK"/>
    <s v="2000s"/>
    <s v="N/A"/>
    <s v="Demographics"/>
  </r>
  <r>
    <s v="GM-03168"/>
    <s v="Myanmar"/>
    <x v="0"/>
    <x v="11"/>
    <x v="2"/>
    <s v="GDP per capita"/>
    <s v="Economy"/>
    <s v="SDG 8: Decent Work and Economic Growth"/>
    <n v="944"/>
    <s v="Source-defined international dollars"/>
    <s v="Myanmar|2007"/>
    <s v="Gapminder/Plotly country-year extract reshaped to long indicator format for education"/>
    <s v="OK"/>
    <s v="2000s"/>
    <s v="N/A"/>
    <s v="Economy"/>
  </r>
  <r>
    <s v="GM-03169"/>
    <s v="Namibia"/>
    <x v="2"/>
    <x v="0"/>
    <x v="0"/>
    <s v="Life expectancy at birth"/>
    <s v="Health"/>
    <s v="SDG 3: Good Health and Well-being"/>
    <n v="41.725000000000001"/>
    <s v="Years"/>
    <s v="Namibia|1952"/>
    <s v="Gapminder/Plotly country-year extract reshaped to long indicator format for education"/>
    <s v="OK"/>
    <s v="1950s"/>
    <s v="Low"/>
    <s v="Health"/>
  </r>
  <r>
    <s v="GM-03170"/>
    <s v="Namibia"/>
    <x v="2"/>
    <x v="0"/>
    <x v="1"/>
    <s v="Population, total"/>
    <s v="Demographics"/>
    <s v="SDG 11: Sustainable Cities and Communities"/>
    <n v="485831"/>
    <s v="People"/>
    <s v="Namibia|1952"/>
    <s v="Gapminder/Plotly country-year extract reshaped to long indicator format for education"/>
    <s v="OK"/>
    <s v="1950s"/>
    <s v="N/A"/>
    <s v="Demographics"/>
  </r>
  <r>
    <s v="GM-03171"/>
    <s v="Namibia"/>
    <x v="2"/>
    <x v="0"/>
    <x v="2"/>
    <s v="GDP per capita"/>
    <s v="Economy"/>
    <s v="SDG 8: Decent Work and Economic Growth"/>
    <n v="2423.7804430000001"/>
    <s v="Source-defined international dollars"/>
    <s v="Namibia|1952"/>
    <s v="Gapminder/Plotly country-year extract reshaped to long indicator format for education"/>
    <s v="OK"/>
    <s v="1950s"/>
    <s v="N/A"/>
    <s v="Economy"/>
  </r>
  <r>
    <s v="GM-03172"/>
    <s v="Namibia"/>
    <x v="2"/>
    <x v="1"/>
    <x v="0"/>
    <s v="Life expectancy at birth"/>
    <s v="Health"/>
    <s v="SDG 3: Good Health and Well-being"/>
    <n v="45.225999999999999"/>
    <s v="Years"/>
    <s v="Namibia|1957"/>
    <s v="Gapminder/Plotly country-year extract reshaped to long indicator format for education"/>
    <s v="OK"/>
    <s v="1950s"/>
    <s v="Low"/>
    <s v="Health"/>
  </r>
  <r>
    <s v="GM-03173"/>
    <s v="Namibia"/>
    <x v="2"/>
    <x v="1"/>
    <x v="1"/>
    <s v="Population, total"/>
    <s v="Demographics"/>
    <s v="SDG 11: Sustainable Cities and Communities"/>
    <n v="548080"/>
    <s v="People"/>
    <s v="Namibia|1957"/>
    <s v="Gapminder/Plotly country-year extract reshaped to long indicator format for education"/>
    <s v="OK"/>
    <s v="1950s"/>
    <s v="N/A"/>
    <s v="Demographics"/>
  </r>
  <r>
    <s v="GM-03174"/>
    <s v="Namibia"/>
    <x v="2"/>
    <x v="1"/>
    <x v="2"/>
    <s v="GDP per capita"/>
    <s v="Economy"/>
    <s v="SDG 8: Decent Work and Economic Growth"/>
    <n v="2621.4480579999999"/>
    <s v="Source-defined international dollars"/>
    <s v="Namibia|1957"/>
    <s v="Gapminder/Plotly country-year extract reshaped to long indicator format for education"/>
    <s v="OK"/>
    <s v="1950s"/>
    <s v="N/A"/>
    <s v="Economy"/>
  </r>
  <r>
    <s v="GM-03175"/>
    <s v="Namibia"/>
    <x v="2"/>
    <x v="2"/>
    <x v="0"/>
    <s v="Life expectancy at birth"/>
    <s v="Health"/>
    <s v="SDG 3: Good Health and Well-being"/>
    <n v="48.386000000000003"/>
    <s v="Years"/>
    <s v="Namibia|1962"/>
    <s v="Gapminder/Plotly country-year extract reshaped to long indicator format for education"/>
    <s v="OK"/>
    <s v="1960s"/>
    <s v="Low"/>
    <s v="Health"/>
  </r>
  <r>
    <s v="GM-03176"/>
    <s v="Namibia"/>
    <x v="2"/>
    <x v="2"/>
    <x v="1"/>
    <s v="Population, total"/>
    <s v="Demographics"/>
    <s v="SDG 11: Sustainable Cities and Communities"/>
    <n v="621392"/>
    <s v="People"/>
    <s v="Namibia|1962"/>
    <s v="Gapminder/Plotly country-year extract reshaped to long indicator format for education"/>
    <s v="OK"/>
    <s v="1960s"/>
    <s v="N/A"/>
    <s v="Demographics"/>
  </r>
  <r>
    <s v="GM-03177"/>
    <s v="Namibia"/>
    <x v="2"/>
    <x v="2"/>
    <x v="2"/>
    <s v="GDP per capita"/>
    <s v="Economy"/>
    <s v="SDG 8: Decent Work and Economic Growth"/>
    <n v="3173.2155950000001"/>
    <s v="Source-defined international dollars"/>
    <s v="Namibia|1962"/>
    <s v="Gapminder/Plotly country-year extract reshaped to long indicator format for education"/>
    <s v="OK"/>
    <s v="1960s"/>
    <s v="N/A"/>
    <s v="Economy"/>
  </r>
  <r>
    <s v="GM-03178"/>
    <s v="Namibia"/>
    <x v="2"/>
    <x v="3"/>
    <x v="0"/>
    <s v="Life expectancy at birth"/>
    <s v="Health"/>
    <s v="SDG 3: Good Health and Well-being"/>
    <n v="51.158999999999999"/>
    <s v="Years"/>
    <s v="Namibia|1967"/>
    <s v="Gapminder/Plotly country-year extract reshaped to long indicator format for education"/>
    <s v="OK"/>
    <s v="1960s"/>
    <s v="Low"/>
    <s v="Health"/>
  </r>
  <r>
    <s v="GM-03179"/>
    <s v="Namibia"/>
    <x v="2"/>
    <x v="3"/>
    <x v="1"/>
    <s v="Population, total"/>
    <s v="Demographics"/>
    <s v="SDG 11: Sustainable Cities and Communities"/>
    <n v="706640"/>
    <s v="People"/>
    <s v="Namibia|1967"/>
    <s v="Gapminder/Plotly country-year extract reshaped to long indicator format for education"/>
    <s v="OK"/>
    <s v="1960s"/>
    <s v="N/A"/>
    <s v="Demographics"/>
  </r>
  <r>
    <s v="GM-03180"/>
    <s v="Namibia"/>
    <x v="2"/>
    <x v="3"/>
    <x v="2"/>
    <s v="GDP per capita"/>
    <s v="Economy"/>
    <s v="SDG 8: Decent Work and Economic Growth"/>
    <n v="3793.6947530000002"/>
    <s v="Source-defined international dollars"/>
    <s v="Namibia|1967"/>
    <s v="Gapminder/Plotly country-year extract reshaped to long indicator format for education"/>
    <s v="OK"/>
    <s v="1960s"/>
    <s v="N/A"/>
    <s v="Economy"/>
  </r>
  <r>
    <s v="GM-03181"/>
    <s v="Namibia"/>
    <x v="2"/>
    <x v="4"/>
    <x v="0"/>
    <s v="Life expectancy at birth"/>
    <s v="Health"/>
    <s v="SDG 3: Good Health and Well-being"/>
    <n v="53.866999999999997"/>
    <s v="Years"/>
    <s v="Namibia|1972"/>
    <s v="Gapminder/Plotly country-year extract reshaped to long indicator format for education"/>
    <s v="OK"/>
    <s v="1970s"/>
    <s v="Low"/>
    <s v="Health"/>
  </r>
  <r>
    <s v="GM-03182"/>
    <s v="Namibia"/>
    <x v="2"/>
    <x v="4"/>
    <x v="1"/>
    <s v="Population, total"/>
    <s v="Demographics"/>
    <s v="SDG 11: Sustainable Cities and Communities"/>
    <n v="821782"/>
    <s v="People"/>
    <s v="Namibia|1972"/>
    <s v="Gapminder/Plotly country-year extract reshaped to long indicator format for education"/>
    <s v="OK"/>
    <s v="1970s"/>
    <s v="N/A"/>
    <s v="Demographics"/>
  </r>
  <r>
    <s v="GM-03183"/>
    <s v="Namibia"/>
    <x v="2"/>
    <x v="4"/>
    <x v="2"/>
    <s v="GDP per capita"/>
    <s v="Economy"/>
    <s v="SDG 8: Decent Work and Economic Growth"/>
    <n v="3746.0809479999998"/>
    <s v="Source-defined international dollars"/>
    <s v="Namibia|1972"/>
    <s v="Gapminder/Plotly country-year extract reshaped to long indicator format for education"/>
    <s v="OK"/>
    <s v="1970s"/>
    <s v="N/A"/>
    <s v="Economy"/>
  </r>
  <r>
    <s v="GM-03184"/>
    <s v="Namibia"/>
    <x v="2"/>
    <x v="5"/>
    <x v="0"/>
    <s v="Life expectancy at birth"/>
    <s v="Health"/>
    <s v="SDG 3: Good Health and Well-being"/>
    <n v="56.436999999999998"/>
    <s v="Years"/>
    <s v="Namibia|1977"/>
    <s v="Gapminder/Plotly country-year extract reshaped to long indicator format for education"/>
    <s v="OK"/>
    <s v="1970s"/>
    <s v="Medium"/>
    <s v="Health"/>
  </r>
  <r>
    <s v="GM-03185"/>
    <s v="Namibia"/>
    <x v="2"/>
    <x v="5"/>
    <x v="1"/>
    <s v="Population, total"/>
    <s v="Demographics"/>
    <s v="SDG 11: Sustainable Cities and Communities"/>
    <n v="977026"/>
    <s v="People"/>
    <s v="Namibia|1977"/>
    <s v="Gapminder/Plotly country-year extract reshaped to long indicator format for education"/>
    <s v="OK"/>
    <s v="1970s"/>
    <s v="N/A"/>
    <s v="Demographics"/>
  </r>
  <r>
    <s v="GM-03186"/>
    <s v="Namibia"/>
    <x v="2"/>
    <x v="5"/>
    <x v="2"/>
    <s v="GDP per capita"/>
    <s v="Economy"/>
    <s v="SDG 8: Decent Work and Economic Growth"/>
    <n v="3876.4859580000002"/>
    <s v="Source-defined international dollars"/>
    <s v="Namibia|1977"/>
    <s v="Gapminder/Plotly country-year extract reshaped to long indicator format for education"/>
    <s v="OK"/>
    <s v="1970s"/>
    <s v="N/A"/>
    <s v="Economy"/>
  </r>
  <r>
    <s v="GM-03187"/>
    <s v="Namibia"/>
    <x v="2"/>
    <x v="6"/>
    <x v="0"/>
    <s v="Life expectancy at birth"/>
    <s v="Health"/>
    <s v="SDG 3: Good Health and Well-being"/>
    <n v="58.968000000000004"/>
    <s v="Years"/>
    <s v="Namibia|1982"/>
    <s v="Gapminder/Plotly country-year extract reshaped to long indicator format for education"/>
    <s v="OK"/>
    <s v="1980s"/>
    <s v="Medium"/>
    <s v="Health"/>
  </r>
  <r>
    <s v="GM-03188"/>
    <s v="Namibia"/>
    <x v="2"/>
    <x v="6"/>
    <x v="1"/>
    <s v="Population, total"/>
    <s v="Demographics"/>
    <s v="SDG 11: Sustainable Cities and Communities"/>
    <n v="1099010"/>
    <s v="People"/>
    <s v="Namibia|1982"/>
    <s v="Gapminder/Plotly country-year extract reshaped to long indicator format for education"/>
    <s v="OK"/>
    <s v="1980s"/>
    <s v="N/A"/>
    <s v="Demographics"/>
  </r>
  <r>
    <s v="GM-03189"/>
    <s v="Namibia"/>
    <x v="2"/>
    <x v="6"/>
    <x v="2"/>
    <s v="GDP per capita"/>
    <s v="Economy"/>
    <s v="SDG 8: Decent Work and Economic Growth"/>
    <n v="4191.1005109999996"/>
    <s v="Source-defined international dollars"/>
    <s v="Namibia|1982"/>
    <s v="Gapminder/Plotly country-year extract reshaped to long indicator format for education"/>
    <s v="OK"/>
    <s v="1980s"/>
    <s v="N/A"/>
    <s v="Economy"/>
  </r>
  <r>
    <s v="GM-03190"/>
    <s v="Namibia"/>
    <x v="2"/>
    <x v="7"/>
    <x v="0"/>
    <s v="Life expectancy at birth"/>
    <s v="Health"/>
    <s v="SDG 3: Good Health and Well-being"/>
    <n v="60.835000000000001"/>
    <s v="Years"/>
    <s v="Namibia|1987"/>
    <s v="Gapminder/Plotly country-year extract reshaped to long indicator format for education"/>
    <s v="OK"/>
    <s v="1980s"/>
    <s v="Medium"/>
    <s v="Health"/>
  </r>
  <r>
    <s v="GM-03191"/>
    <s v="Namibia"/>
    <x v="2"/>
    <x v="7"/>
    <x v="1"/>
    <s v="Population, total"/>
    <s v="Demographics"/>
    <s v="SDG 11: Sustainable Cities and Communities"/>
    <n v="1278184"/>
    <s v="People"/>
    <s v="Namibia|1987"/>
    <s v="Gapminder/Plotly country-year extract reshaped to long indicator format for education"/>
    <s v="OK"/>
    <s v="1980s"/>
    <s v="N/A"/>
    <s v="Demographics"/>
  </r>
  <r>
    <s v="GM-03192"/>
    <s v="Namibia"/>
    <x v="2"/>
    <x v="7"/>
    <x v="2"/>
    <s v="GDP per capita"/>
    <s v="Economy"/>
    <s v="SDG 8: Decent Work and Economic Growth"/>
    <n v="3693.7313370000002"/>
    <s v="Source-defined international dollars"/>
    <s v="Namibia|1987"/>
    <s v="Gapminder/Plotly country-year extract reshaped to long indicator format for education"/>
    <s v="OK"/>
    <s v="1980s"/>
    <s v="N/A"/>
    <s v="Economy"/>
  </r>
  <r>
    <s v="GM-03193"/>
    <s v="Namibia"/>
    <x v="2"/>
    <x v="8"/>
    <x v="0"/>
    <s v="Life expectancy at birth"/>
    <s v="Health"/>
    <s v="SDG 3: Good Health and Well-being"/>
    <n v="61.999000000000002"/>
    <s v="Years"/>
    <s v="Namibia|1992"/>
    <s v="Gapminder/Plotly country-year extract reshaped to long indicator format for education"/>
    <s v="OK"/>
    <s v="1990s"/>
    <s v="Medium"/>
    <s v="Health"/>
  </r>
  <r>
    <s v="GM-03194"/>
    <s v="Namibia"/>
    <x v="2"/>
    <x v="8"/>
    <x v="1"/>
    <s v="Population, total"/>
    <s v="Demographics"/>
    <s v="SDG 11: Sustainable Cities and Communities"/>
    <n v="1554253"/>
    <s v="People"/>
    <s v="Namibia|1992"/>
    <s v="Gapminder/Plotly country-year extract reshaped to long indicator format for education"/>
    <s v="OK"/>
    <s v="1990s"/>
    <s v="N/A"/>
    <s v="Demographics"/>
  </r>
  <r>
    <s v="GM-03195"/>
    <s v="Namibia"/>
    <x v="2"/>
    <x v="8"/>
    <x v="2"/>
    <s v="GDP per capita"/>
    <s v="Economy"/>
    <s v="SDG 8: Decent Work and Economic Growth"/>
    <n v="3804.5379990000001"/>
    <s v="Source-defined international dollars"/>
    <s v="Namibia|1992"/>
    <s v="Gapminder/Plotly country-year extract reshaped to long indicator format for education"/>
    <s v="OK"/>
    <s v="1990s"/>
    <s v="N/A"/>
    <s v="Economy"/>
  </r>
  <r>
    <s v="GM-03196"/>
    <s v="Namibia"/>
    <x v="2"/>
    <x v="9"/>
    <x v="0"/>
    <s v="Life expectancy at birth"/>
    <s v="Health"/>
    <s v="SDG 3: Good Health and Well-being"/>
    <n v="58.908999999999999"/>
    <s v="Years"/>
    <s v="Namibia|1997"/>
    <s v="Gapminder/Plotly country-year extract reshaped to long indicator format for education"/>
    <s v="OK"/>
    <s v="1990s"/>
    <s v="Medium"/>
    <s v="Health"/>
  </r>
  <r>
    <s v="GM-03197"/>
    <s v="Namibia"/>
    <x v="2"/>
    <x v="9"/>
    <x v="1"/>
    <s v="Population, total"/>
    <s v="Demographics"/>
    <s v="SDG 11: Sustainable Cities and Communities"/>
    <n v="1774766"/>
    <s v="People"/>
    <s v="Namibia|1997"/>
    <s v="Gapminder/Plotly country-year extract reshaped to long indicator format for education"/>
    <s v="OK"/>
    <s v="1990s"/>
    <s v="N/A"/>
    <s v="Demographics"/>
  </r>
  <r>
    <s v="GM-03198"/>
    <s v="Namibia"/>
    <x v="2"/>
    <x v="9"/>
    <x v="2"/>
    <s v="GDP per capita"/>
    <s v="Economy"/>
    <s v="SDG 8: Decent Work and Economic Growth"/>
    <n v="3899.5242600000001"/>
    <s v="Source-defined international dollars"/>
    <s v="Namibia|1997"/>
    <s v="Gapminder/Plotly country-year extract reshaped to long indicator format for education"/>
    <s v="OK"/>
    <s v="1990s"/>
    <s v="N/A"/>
    <s v="Economy"/>
  </r>
  <r>
    <s v="GM-03199"/>
    <s v="Namibia"/>
    <x v="2"/>
    <x v="10"/>
    <x v="0"/>
    <s v="Life expectancy at birth"/>
    <s v="Health"/>
    <s v="SDG 3: Good Health and Well-being"/>
    <n v="51.478999999999999"/>
    <s v="Years"/>
    <s v="Namibia|2002"/>
    <s v="Gapminder/Plotly country-year extract reshaped to long indicator format for education"/>
    <s v="OK"/>
    <s v="2000s"/>
    <s v="Low"/>
    <s v="Health"/>
  </r>
  <r>
    <s v="GM-03200"/>
    <s v="Namibia"/>
    <x v="2"/>
    <x v="10"/>
    <x v="1"/>
    <s v="Population, total"/>
    <s v="Demographics"/>
    <s v="SDG 11: Sustainable Cities and Communities"/>
    <n v="1972153"/>
    <s v="People"/>
    <s v="Namibia|2002"/>
    <s v="Gapminder/Plotly country-year extract reshaped to long indicator format for education"/>
    <s v="OK"/>
    <s v="2000s"/>
    <s v="N/A"/>
    <s v="Demographics"/>
  </r>
  <r>
    <s v="GM-03201"/>
    <s v="Namibia"/>
    <x v="2"/>
    <x v="10"/>
    <x v="2"/>
    <s v="GDP per capita"/>
    <s v="Economy"/>
    <s v="SDG 8: Decent Work and Economic Growth"/>
    <n v="4072.3247510000001"/>
    <s v="Source-defined international dollars"/>
    <s v="Namibia|2002"/>
    <s v="Gapminder/Plotly country-year extract reshaped to long indicator format for education"/>
    <s v="OK"/>
    <s v="2000s"/>
    <s v="N/A"/>
    <s v="Economy"/>
  </r>
  <r>
    <s v="GM-03202"/>
    <s v="Namibia"/>
    <x v="2"/>
    <x v="11"/>
    <x v="0"/>
    <s v="Life expectancy at birth"/>
    <s v="Health"/>
    <s v="SDG 3: Good Health and Well-being"/>
    <n v="52.905999999999999"/>
    <s v="Years"/>
    <s v="Namibia|2007"/>
    <s v="Gapminder/Plotly country-year extract reshaped to long indicator format for education"/>
    <s v="OK"/>
    <s v="2000s"/>
    <s v="Low"/>
    <s v="Health"/>
  </r>
  <r>
    <s v="GM-03203"/>
    <s v="Namibia"/>
    <x v="2"/>
    <x v="11"/>
    <x v="1"/>
    <s v="Population, total"/>
    <s v="Demographics"/>
    <s v="SDG 11: Sustainable Cities and Communities"/>
    <n v="2055080"/>
    <s v="People"/>
    <s v="Namibia|2007"/>
    <s v="Gapminder/Plotly country-year extract reshaped to long indicator format for education"/>
    <s v="OK"/>
    <s v="2000s"/>
    <s v="N/A"/>
    <s v="Demographics"/>
  </r>
  <r>
    <s v="GM-03204"/>
    <s v="Namibia"/>
    <x v="2"/>
    <x v="11"/>
    <x v="2"/>
    <s v="GDP per capita"/>
    <s v="Economy"/>
    <s v="SDG 8: Decent Work and Economic Growth"/>
    <n v="4811.0604290000001"/>
    <s v="Source-defined international dollars"/>
    <s v="Namibia|2007"/>
    <s v="Gapminder/Plotly country-year extract reshaped to long indicator format for education"/>
    <s v="OK"/>
    <s v="2000s"/>
    <s v="N/A"/>
    <s v="Economy"/>
  </r>
  <r>
    <s v="GM-03205"/>
    <s v="Nepal"/>
    <x v="0"/>
    <x v="0"/>
    <x v="0"/>
    <s v="Life expectancy at birth"/>
    <s v="Health"/>
    <s v="SDG 3: Good Health and Well-being"/>
    <n v="36.156999999999996"/>
    <s v="Years"/>
    <s v="Nepal|1952"/>
    <s v="Gapminder/Plotly country-year extract reshaped to long indicator format for education"/>
    <s v="OK"/>
    <s v="1950s"/>
    <s v="Low"/>
    <s v="Health"/>
  </r>
  <r>
    <s v="GM-03206"/>
    <s v="Nepal"/>
    <x v="0"/>
    <x v="0"/>
    <x v="1"/>
    <s v="Population, total"/>
    <s v="Demographics"/>
    <s v="SDG 11: Sustainable Cities and Communities"/>
    <n v="9182536"/>
    <s v="People"/>
    <s v="Nepal|1952"/>
    <s v="Gapminder/Plotly country-year extract reshaped to long indicator format for education"/>
    <s v="OK"/>
    <s v="1950s"/>
    <s v="N/A"/>
    <s v="Demographics"/>
  </r>
  <r>
    <s v="GM-03207"/>
    <s v="Nepal"/>
    <x v="0"/>
    <x v="0"/>
    <x v="2"/>
    <s v="GDP per capita"/>
    <s v="Economy"/>
    <s v="SDG 8: Decent Work and Economic Growth"/>
    <n v="545.86572289999901"/>
    <s v="Source-defined international dollars"/>
    <s v="Nepal|1952"/>
    <s v="Gapminder/Plotly country-year extract reshaped to long indicator format for education"/>
    <s v="OK"/>
    <s v="1950s"/>
    <s v="N/A"/>
    <s v="Economy"/>
  </r>
  <r>
    <s v="GM-03208"/>
    <s v="Nepal"/>
    <x v="0"/>
    <x v="1"/>
    <x v="0"/>
    <s v="Life expectancy at birth"/>
    <s v="Health"/>
    <s v="SDG 3: Good Health and Well-being"/>
    <n v="37.686"/>
    <s v="Years"/>
    <s v="Nepal|1957"/>
    <s v="Gapminder/Plotly country-year extract reshaped to long indicator format for education"/>
    <s v="OK"/>
    <s v="1950s"/>
    <s v="Low"/>
    <s v="Health"/>
  </r>
  <r>
    <s v="GM-03209"/>
    <s v="Nepal"/>
    <x v="0"/>
    <x v="1"/>
    <x v="1"/>
    <s v="Population, total"/>
    <s v="Demographics"/>
    <s v="SDG 11: Sustainable Cities and Communities"/>
    <n v="9682338"/>
    <s v="People"/>
    <s v="Nepal|1957"/>
    <s v="Gapminder/Plotly country-year extract reshaped to long indicator format for education"/>
    <s v="OK"/>
    <s v="1950s"/>
    <s v="N/A"/>
    <s v="Demographics"/>
  </r>
  <r>
    <s v="GM-03210"/>
    <s v="Nepal"/>
    <x v="0"/>
    <x v="1"/>
    <x v="2"/>
    <s v="GDP per capita"/>
    <s v="Economy"/>
    <s v="SDG 8: Decent Work and Economic Growth"/>
    <n v="597.93635579999898"/>
    <s v="Source-defined international dollars"/>
    <s v="Nepal|1957"/>
    <s v="Gapminder/Plotly country-year extract reshaped to long indicator format for education"/>
    <s v="OK"/>
    <s v="1950s"/>
    <s v="N/A"/>
    <s v="Economy"/>
  </r>
  <r>
    <s v="GM-03211"/>
    <s v="Nepal"/>
    <x v="0"/>
    <x v="2"/>
    <x v="0"/>
    <s v="Life expectancy at birth"/>
    <s v="Health"/>
    <s v="SDG 3: Good Health and Well-being"/>
    <n v="39.393000000000001"/>
    <s v="Years"/>
    <s v="Nepal|1962"/>
    <s v="Gapminder/Plotly country-year extract reshaped to long indicator format for education"/>
    <s v="OK"/>
    <s v="1960s"/>
    <s v="Low"/>
    <s v="Health"/>
  </r>
  <r>
    <s v="GM-03212"/>
    <s v="Nepal"/>
    <x v="0"/>
    <x v="2"/>
    <x v="1"/>
    <s v="Population, total"/>
    <s v="Demographics"/>
    <s v="SDG 11: Sustainable Cities and Communities"/>
    <n v="10332057"/>
    <s v="People"/>
    <s v="Nepal|1962"/>
    <s v="Gapminder/Plotly country-year extract reshaped to long indicator format for education"/>
    <s v="OK"/>
    <s v="1960s"/>
    <s v="N/A"/>
    <s v="Demographics"/>
  </r>
  <r>
    <s v="GM-03213"/>
    <s v="Nepal"/>
    <x v="0"/>
    <x v="2"/>
    <x v="2"/>
    <s v="GDP per capita"/>
    <s v="Economy"/>
    <s v="SDG 8: Decent Work and Economic Growth"/>
    <n v="652.39685929999996"/>
    <s v="Source-defined international dollars"/>
    <s v="Nepal|1962"/>
    <s v="Gapminder/Plotly country-year extract reshaped to long indicator format for education"/>
    <s v="OK"/>
    <s v="1960s"/>
    <s v="N/A"/>
    <s v="Economy"/>
  </r>
  <r>
    <s v="GM-03214"/>
    <s v="Nepal"/>
    <x v="0"/>
    <x v="3"/>
    <x v="0"/>
    <s v="Life expectancy at birth"/>
    <s v="Health"/>
    <s v="SDG 3: Good Health and Well-being"/>
    <n v="41.472000000000001"/>
    <s v="Years"/>
    <s v="Nepal|1967"/>
    <s v="Gapminder/Plotly country-year extract reshaped to long indicator format for education"/>
    <s v="OK"/>
    <s v="1960s"/>
    <s v="Low"/>
    <s v="Health"/>
  </r>
  <r>
    <s v="GM-03215"/>
    <s v="Nepal"/>
    <x v="0"/>
    <x v="3"/>
    <x v="1"/>
    <s v="Population, total"/>
    <s v="Demographics"/>
    <s v="SDG 11: Sustainable Cities and Communities"/>
    <n v="11261690"/>
    <s v="People"/>
    <s v="Nepal|1967"/>
    <s v="Gapminder/Plotly country-year extract reshaped to long indicator format for education"/>
    <s v="OK"/>
    <s v="1960s"/>
    <s v="N/A"/>
    <s v="Demographics"/>
  </r>
  <r>
    <s v="GM-03216"/>
    <s v="Nepal"/>
    <x v="0"/>
    <x v="3"/>
    <x v="2"/>
    <s v="GDP per capita"/>
    <s v="Economy"/>
    <s v="SDG 8: Decent Work and Economic Growth"/>
    <n v="676.44222539999998"/>
    <s v="Source-defined international dollars"/>
    <s v="Nepal|1967"/>
    <s v="Gapminder/Plotly country-year extract reshaped to long indicator format for education"/>
    <s v="OK"/>
    <s v="1960s"/>
    <s v="N/A"/>
    <s v="Economy"/>
  </r>
  <r>
    <s v="GM-03217"/>
    <s v="Nepal"/>
    <x v="0"/>
    <x v="4"/>
    <x v="0"/>
    <s v="Life expectancy at birth"/>
    <s v="Health"/>
    <s v="SDG 3: Good Health and Well-being"/>
    <n v="43.970999999999997"/>
    <s v="Years"/>
    <s v="Nepal|1972"/>
    <s v="Gapminder/Plotly country-year extract reshaped to long indicator format for education"/>
    <s v="OK"/>
    <s v="1970s"/>
    <s v="Low"/>
    <s v="Health"/>
  </r>
  <r>
    <s v="GM-03218"/>
    <s v="Nepal"/>
    <x v="0"/>
    <x v="4"/>
    <x v="1"/>
    <s v="Population, total"/>
    <s v="Demographics"/>
    <s v="SDG 11: Sustainable Cities and Communities"/>
    <n v="12412593"/>
    <s v="People"/>
    <s v="Nepal|1972"/>
    <s v="Gapminder/Plotly country-year extract reshaped to long indicator format for education"/>
    <s v="OK"/>
    <s v="1970s"/>
    <s v="N/A"/>
    <s v="Demographics"/>
  </r>
  <r>
    <s v="GM-03219"/>
    <s v="Nepal"/>
    <x v="0"/>
    <x v="4"/>
    <x v="2"/>
    <s v="GDP per capita"/>
    <s v="Economy"/>
    <s v="SDG 8: Decent Work and Economic Growth"/>
    <n v="674.78812960000005"/>
    <s v="Source-defined international dollars"/>
    <s v="Nepal|1972"/>
    <s v="Gapminder/Plotly country-year extract reshaped to long indicator format for education"/>
    <s v="OK"/>
    <s v="1970s"/>
    <s v="N/A"/>
    <s v="Economy"/>
  </r>
  <r>
    <s v="GM-03220"/>
    <s v="Nepal"/>
    <x v="0"/>
    <x v="5"/>
    <x v="0"/>
    <s v="Life expectancy at birth"/>
    <s v="Health"/>
    <s v="SDG 3: Good Health and Well-being"/>
    <n v="46.747999999999998"/>
    <s v="Years"/>
    <s v="Nepal|1977"/>
    <s v="Gapminder/Plotly country-year extract reshaped to long indicator format for education"/>
    <s v="OK"/>
    <s v="1970s"/>
    <s v="Low"/>
    <s v="Health"/>
  </r>
  <r>
    <s v="GM-03221"/>
    <s v="Nepal"/>
    <x v="0"/>
    <x v="5"/>
    <x v="1"/>
    <s v="Population, total"/>
    <s v="Demographics"/>
    <s v="SDG 11: Sustainable Cities and Communities"/>
    <n v="13933198"/>
    <s v="People"/>
    <s v="Nepal|1977"/>
    <s v="Gapminder/Plotly country-year extract reshaped to long indicator format for education"/>
    <s v="OK"/>
    <s v="1970s"/>
    <s v="N/A"/>
    <s v="Demographics"/>
  </r>
  <r>
    <s v="GM-03222"/>
    <s v="Nepal"/>
    <x v="0"/>
    <x v="5"/>
    <x v="2"/>
    <s v="GDP per capita"/>
    <s v="Economy"/>
    <s v="SDG 8: Decent Work and Economic Growth"/>
    <n v="694.11243979999995"/>
    <s v="Source-defined international dollars"/>
    <s v="Nepal|1977"/>
    <s v="Gapminder/Plotly country-year extract reshaped to long indicator format for education"/>
    <s v="OK"/>
    <s v="1970s"/>
    <s v="N/A"/>
    <s v="Economy"/>
  </r>
  <r>
    <s v="GM-03223"/>
    <s v="Nepal"/>
    <x v="0"/>
    <x v="6"/>
    <x v="0"/>
    <s v="Life expectancy at birth"/>
    <s v="Health"/>
    <s v="SDG 3: Good Health and Well-being"/>
    <n v="49.594000000000001"/>
    <s v="Years"/>
    <s v="Nepal|1982"/>
    <s v="Gapminder/Plotly country-year extract reshaped to long indicator format for education"/>
    <s v="OK"/>
    <s v="1980s"/>
    <s v="Low"/>
    <s v="Health"/>
  </r>
  <r>
    <s v="GM-03224"/>
    <s v="Nepal"/>
    <x v="0"/>
    <x v="6"/>
    <x v="1"/>
    <s v="Population, total"/>
    <s v="Demographics"/>
    <s v="SDG 11: Sustainable Cities and Communities"/>
    <n v="15796314"/>
    <s v="People"/>
    <s v="Nepal|1982"/>
    <s v="Gapminder/Plotly country-year extract reshaped to long indicator format for education"/>
    <s v="OK"/>
    <s v="1980s"/>
    <s v="N/A"/>
    <s v="Demographics"/>
  </r>
  <r>
    <s v="GM-03225"/>
    <s v="Nepal"/>
    <x v="0"/>
    <x v="6"/>
    <x v="2"/>
    <s v="GDP per capita"/>
    <s v="Economy"/>
    <s v="SDG 8: Decent Work and Economic Growth"/>
    <n v="718.37309470000002"/>
    <s v="Source-defined international dollars"/>
    <s v="Nepal|1982"/>
    <s v="Gapminder/Plotly country-year extract reshaped to long indicator format for education"/>
    <s v="OK"/>
    <s v="1980s"/>
    <s v="N/A"/>
    <s v="Economy"/>
  </r>
  <r>
    <s v="GM-03226"/>
    <s v="Nepal"/>
    <x v="0"/>
    <x v="7"/>
    <x v="0"/>
    <s v="Life expectancy at birth"/>
    <s v="Health"/>
    <s v="SDG 3: Good Health and Well-being"/>
    <n v="52.536999999999999"/>
    <s v="Years"/>
    <s v="Nepal|1987"/>
    <s v="Gapminder/Plotly country-year extract reshaped to long indicator format for education"/>
    <s v="OK"/>
    <s v="1980s"/>
    <s v="Low"/>
    <s v="Health"/>
  </r>
  <r>
    <s v="GM-03227"/>
    <s v="Nepal"/>
    <x v="0"/>
    <x v="7"/>
    <x v="1"/>
    <s v="Population, total"/>
    <s v="Demographics"/>
    <s v="SDG 11: Sustainable Cities and Communities"/>
    <n v="17917180"/>
    <s v="People"/>
    <s v="Nepal|1987"/>
    <s v="Gapminder/Plotly country-year extract reshaped to long indicator format for education"/>
    <s v="OK"/>
    <s v="1980s"/>
    <s v="N/A"/>
    <s v="Demographics"/>
  </r>
  <r>
    <s v="GM-03228"/>
    <s v="Nepal"/>
    <x v="0"/>
    <x v="7"/>
    <x v="2"/>
    <s v="GDP per capita"/>
    <s v="Economy"/>
    <s v="SDG 8: Decent Work and Economic Growth"/>
    <n v="775.63245010000003"/>
    <s v="Source-defined international dollars"/>
    <s v="Nepal|1987"/>
    <s v="Gapminder/Plotly country-year extract reshaped to long indicator format for education"/>
    <s v="OK"/>
    <s v="1980s"/>
    <s v="N/A"/>
    <s v="Economy"/>
  </r>
  <r>
    <s v="GM-03229"/>
    <s v="Nepal"/>
    <x v="0"/>
    <x v="8"/>
    <x v="0"/>
    <s v="Life expectancy at birth"/>
    <s v="Health"/>
    <s v="SDG 3: Good Health and Well-being"/>
    <n v="55.726999999999997"/>
    <s v="Years"/>
    <s v="Nepal|1992"/>
    <s v="Gapminder/Plotly country-year extract reshaped to long indicator format for education"/>
    <s v="OK"/>
    <s v="1990s"/>
    <s v="Medium"/>
    <s v="Health"/>
  </r>
  <r>
    <s v="GM-03230"/>
    <s v="Nepal"/>
    <x v="0"/>
    <x v="8"/>
    <x v="1"/>
    <s v="Population, total"/>
    <s v="Demographics"/>
    <s v="SDG 11: Sustainable Cities and Communities"/>
    <n v="20326209"/>
    <s v="People"/>
    <s v="Nepal|1992"/>
    <s v="Gapminder/Plotly country-year extract reshaped to long indicator format for education"/>
    <s v="OK"/>
    <s v="1990s"/>
    <s v="N/A"/>
    <s v="Demographics"/>
  </r>
  <r>
    <s v="GM-03231"/>
    <s v="Nepal"/>
    <x v="0"/>
    <x v="8"/>
    <x v="2"/>
    <s v="GDP per capita"/>
    <s v="Economy"/>
    <s v="SDG 8: Decent Work and Economic Growth"/>
    <n v="897.74036039999999"/>
    <s v="Source-defined international dollars"/>
    <s v="Nepal|1992"/>
    <s v="Gapminder/Plotly country-year extract reshaped to long indicator format for education"/>
    <s v="OK"/>
    <s v="1990s"/>
    <s v="N/A"/>
    <s v="Economy"/>
  </r>
  <r>
    <s v="GM-03232"/>
    <s v="Nepal"/>
    <x v="0"/>
    <x v="9"/>
    <x v="0"/>
    <s v="Life expectancy at birth"/>
    <s v="Health"/>
    <s v="SDG 3: Good Health and Well-being"/>
    <n v="59.426000000000002"/>
    <s v="Years"/>
    <s v="Nepal|1997"/>
    <s v="Gapminder/Plotly country-year extract reshaped to long indicator format for education"/>
    <s v="OK"/>
    <s v="1990s"/>
    <s v="Medium"/>
    <s v="Health"/>
  </r>
  <r>
    <s v="GM-03233"/>
    <s v="Nepal"/>
    <x v="0"/>
    <x v="9"/>
    <x v="1"/>
    <s v="Population, total"/>
    <s v="Demographics"/>
    <s v="SDG 11: Sustainable Cities and Communities"/>
    <n v="23001113"/>
    <s v="People"/>
    <s v="Nepal|1997"/>
    <s v="Gapminder/Plotly country-year extract reshaped to long indicator format for education"/>
    <s v="OK"/>
    <s v="1990s"/>
    <s v="N/A"/>
    <s v="Demographics"/>
  </r>
  <r>
    <s v="GM-03234"/>
    <s v="Nepal"/>
    <x v="0"/>
    <x v="9"/>
    <x v="2"/>
    <s v="GDP per capita"/>
    <s v="Economy"/>
    <s v="SDG 8: Decent Work and Economic Growth"/>
    <n v="1010.892138"/>
    <s v="Source-defined international dollars"/>
    <s v="Nepal|1997"/>
    <s v="Gapminder/Plotly country-year extract reshaped to long indicator format for education"/>
    <s v="OK"/>
    <s v="1990s"/>
    <s v="N/A"/>
    <s v="Economy"/>
  </r>
  <r>
    <s v="GM-03235"/>
    <s v="Nepal"/>
    <x v="0"/>
    <x v="10"/>
    <x v="0"/>
    <s v="Life expectancy at birth"/>
    <s v="Health"/>
    <s v="SDG 3: Good Health and Well-being"/>
    <n v="61.34"/>
    <s v="Years"/>
    <s v="Nepal|2002"/>
    <s v="Gapminder/Plotly country-year extract reshaped to long indicator format for education"/>
    <s v="OK"/>
    <s v="2000s"/>
    <s v="Medium"/>
    <s v="Health"/>
  </r>
  <r>
    <s v="GM-03236"/>
    <s v="Nepal"/>
    <x v="0"/>
    <x v="10"/>
    <x v="1"/>
    <s v="Population, total"/>
    <s v="Demographics"/>
    <s v="SDG 11: Sustainable Cities and Communities"/>
    <n v="25873917"/>
    <s v="People"/>
    <s v="Nepal|2002"/>
    <s v="Gapminder/Plotly country-year extract reshaped to long indicator format for education"/>
    <s v="OK"/>
    <s v="2000s"/>
    <s v="N/A"/>
    <s v="Demographics"/>
  </r>
  <r>
    <s v="GM-03237"/>
    <s v="Nepal"/>
    <x v="0"/>
    <x v="10"/>
    <x v="2"/>
    <s v="GDP per capita"/>
    <s v="Economy"/>
    <s v="SDG 8: Decent Work and Economic Growth"/>
    <n v="1057.2063109999999"/>
    <s v="Source-defined international dollars"/>
    <s v="Nepal|2002"/>
    <s v="Gapminder/Plotly country-year extract reshaped to long indicator format for education"/>
    <s v="OK"/>
    <s v="2000s"/>
    <s v="N/A"/>
    <s v="Economy"/>
  </r>
  <r>
    <s v="GM-03238"/>
    <s v="Nepal"/>
    <x v="0"/>
    <x v="11"/>
    <x v="0"/>
    <s v="Life expectancy at birth"/>
    <s v="Health"/>
    <s v="SDG 3: Good Health and Well-being"/>
    <n v="63.784999999999997"/>
    <s v="Years"/>
    <s v="Nepal|2007"/>
    <s v="Gapminder/Plotly country-year extract reshaped to long indicator format for education"/>
    <s v="OK"/>
    <s v="2000s"/>
    <s v="Medium"/>
    <s v="Health"/>
  </r>
  <r>
    <s v="GM-03239"/>
    <s v="Nepal"/>
    <x v="0"/>
    <x v="11"/>
    <x v="1"/>
    <s v="Population, total"/>
    <s v="Demographics"/>
    <s v="SDG 11: Sustainable Cities and Communities"/>
    <n v="28901790"/>
    <s v="People"/>
    <s v="Nepal|2007"/>
    <s v="Gapminder/Plotly country-year extract reshaped to long indicator format for education"/>
    <s v="OK"/>
    <s v="2000s"/>
    <s v="N/A"/>
    <s v="Demographics"/>
  </r>
  <r>
    <s v="GM-03240"/>
    <s v="Nepal"/>
    <x v="0"/>
    <x v="11"/>
    <x v="2"/>
    <s v="GDP per capita"/>
    <s v="Economy"/>
    <s v="SDG 8: Decent Work and Economic Growth"/>
    <n v="1091.359778"/>
    <s v="Source-defined international dollars"/>
    <s v="Nepal|2007"/>
    <s v="Gapminder/Plotly country-year extract reshaped to long indicator format for education"/>
    <s v="OK"/>
    <s v="2000s"/>
    <s v="N/A"/>
    <s v="Economy"/>
  </r>
  <r>
    <s v="GM-03241"/>
    <s v="Netherlands"/>
    <x v="1"/>
    <x v="0"/>
    <x v="0"/>
    <s v="Life expectancy at birth"/>
    <s v="Health"/>
    <s v="SDG 3: Good Health and Well-being"/>
    <n v="72.13"/>
    <s v="Years"/>
    <s v="Netherlands|1952"/>
    <s v="Gapminder/Plotly country-year extract reshaped to long indicator format for education"/>
    <s v="OK"/>
    <s v="1950s"/>
    <s v="High"/>
    <s v="Health"/>
  </r>
  <r>
    <s v="GM-03242"/>
    <s v="Netherlands"/>
    <x v="1"/>
    <x v="0"/>
    <x v="1"/>
    <s v="Population, total"/>
    <s v="Demographics"/>
    <s v="SDG 11: Sustainable Cities and Communities"/>
    <n v="10381988"/>
    <s v="People"/>
    <s v="Netherlands|1952"/>
    <s v="Gapminder/Plotly country-year extract reshaped to long indicator format for education"/>
    <s v="OK"/>
    <s v="1950s"/>
    <s v="N/A"/>
    <s v="Demographics"/>
  </r>
  <r>
    <s v="GM-03243"/>
    <s v="Netherlands"/>
    <x v="1"/>
    <x v="0"/>
    <x v="2"/>
    <s v="GDP per capita"/>
    <s v="Economy"/>
    <s v="SDG 8: Decent Work and Economic Growth"/>
    <n v="8941.5718579999993"/>
    <s v="Source-defined international dollars"/>
    <s v="Netherlands|1952"/>
    <s v="Gapminder/Plotly country-year extract reshaped to long indicator format for education"/>
    <s v="OK"/>
    <s v="1950s"/>
    <s v="N/A"/>
    <s v="Economy"/>
  </r>
  <r>
    <s v="GM-03244"/>
    <s v="Netherlands"/>
    <x v="1"/>
    <x v="1"/>
    <x v="0"/>
    <s v="Life expectancy at birth"/>
    <s v="Health"/>
    <s v="SDG 3: Good Health and Well-being"/>
    <n v="72.989999999999995"/>
    <s v="Years"/>
    <s v="Netherlands|1957"/>
    <s v="Gapminder/Plotly country-year extract reshaped to long indicator format for education"/>
    <s v="OK"/>
    <s v="1950s"/>
    <s v="High"/>
    <s v="Health"/>
  </r>
  <r>
    <s v="GM-03245"/>
    <s v="Netherlands"/>
    <x v="1"/>
    <x v="1"/>
    <x v="1"/>
    <s v="Population, total"/>
    <s v="Demographics"/>
    <s v="SDG 11: Sustainable Cities and Communities"/>
    <n v="11026383"/>
    <s v="People"/>
    <s v="Netherlands|1957"/>
    <s v="Gapminder/Plotly country-year extract reshaped to long indicator format for education"/>
    <s v="OK"/>
    <s v="1950s"/>
    <s v="N/A"/>
    <s v="Demographics"/>
  </r>
  <r>
    <s v="GM-03246"/>
    <s v="Netherlands"/>
    <x v="1"/>
    <x v="1"/>
    <x v="2"/>
    <s v="GDP per capita"/>
    <s v="Economy"/>
    <s v="SDG 8: Decent Work and Economic Growth"/>
    <n v="11276.193439999999"/>
    <s v="Source-defined international dollars"/>
    <s v="Netherlands|1957"/>
    <s v="Gapminder/Plotly country-year extract reshaped to long indicator format for education"/>
    <s v="OK"/>
    <s v="1950s"/>
    <s v="N/A"/>
    <s v="Economy"/>
  </r>
  <r>
    <s v="GM-03247"/>
    <s v="Netherlands"/>
    <x v="1"/>
    <x v="2"/>
    <x v="0"/>
    <s v="Life expectancy at birth"/>
    <s v="Health"/>
    <s v="SDG 3: Good Health and Well-being"/>
    <n v="73.23"/>
    <s v="Years"/>
    <s v="Netherlands|1962"/>
    <s v="Gapminder/Plotly country-year extract reshaped to long indicator format for education"/>
    <s v="OK"/>
    <s v="1960s"/>
    <s v="High"/>
    <s v="Health"/>
  </r>
  <r>
    <s v="GM-03248"/>
    <s v="Netherlands"/>
    <x v="1"/>
    <x v="2"/>
    <x v="1"/>
    <s v="Population, total"/>
    <s v="Demographics"/>
    <s v="SDG 11: Sustainable Cities and Communities"/>
    <n v="11805689"/>
    <s v="People"/>
    <s v="Netherlands|1962"/>
    <s v="Gapminder/Plotly country-year extract reshaped to long indicator format for education"/>
    <s v="OK"/>
    <s v="1960s"/>
    <s v="N/A"/>
    <s v="Demographics"/>
  </r>
  <r>
    <s v="GM-03249"/>
    <s v="Netherlands"/>
    <x v="1"/>
    <x v="2"/>
    <x v="2"/>
    <s v="GDP per capita"/>
    <s v="Economy"/>
    <s v="SDG 8: Decent Work and Economic Growth"/>
    <n v="12790.849560000001"/>
    <s v="Source-defined international dollars"/>
    <s v="Netherlands|1962"/>
    <s v="Gapminder/Plotly country-year extract reshaped to long indicator format for education"/>
    <s v="OK"/>
    <s v="1960s"/>
    <s v="N/A"/>
    <s v="Economy"/>
  </r>
  <r>
    <s v="GM-03250"/>
    <s v="Netherlands"/>
    <x v="1"/>
    <x v="3"/>
    <x v="0"/>
    <s v="Life expectancy at birth"/>
    <s v="Health"/>
    <s v="SDG 3: Good Health and Well-being"/>
    <n v="73.819999999999993"/>
    <s v="Years"/>
    <s v="Netherlands|1967"/>
    <s v="Gapminder/Plotly country-year extract reshaped to long indicator format for education"/>
    <s v="OK"/>
    <s v="1960s"/>
    <s v="High"/>
    <s v="Health"/>
  </r>
  <r>
    <s v="GM-03251"/>
    <s v="Netherlands"/>
    <x v="1"/>
    <x v="3"/>
    <x v="1"/>
    <s v="Population, total"/>
    <s v="Demographics"/>
    <s v="SDG 11: Sustainable Cities and Communities"/>
    <n v="12596822"/>
    <s v="People"/>
    <s v="Netherlands|1967"/>
    <s v="Gapminder/Plotly country-year extract reshaped to long indicator format for education"/>
    <s v="OK"/>
    <s v="1960s"/>
    <s v="N/A"/>
    <s v="Demographics"/>
  </r>
  <r>
    <s v="GM-03252"/>
    <s v="Netherlands"/>
    <x v="1"/>
    <x v="3"/>
    <x v="2"/>
    <s v="GDP per capita"/>
    <s v="Economy"/>
    <s v="SDG 8: Decent Work and Economic Growth"/>
    <n v="15363.25136"/>
    <s v="Source-defined international dollars"/>
    <s v="Netherlands|1967"/>
    <s v="Gapminder/Plotly country-year extract reshaped to long indicator format for education"/>
    <s v="OK"/>
    <s v="1960s"/>
    <s v="N/A"/>
    <s v="Economy"/>
  </r>
  <r>
    <s v="GM-03253"/>
    <s v="Netherlands"/>
    <x v="1"/>
    <x v="4"/>
    <x v="0"/>
    <s v="Life expectancy at birth"/>
    <s v="Health"/>
    <s v="SDG 3: Good Health and Well-being"/>
    <n v="73.75"/>
    <s v="Years"/>
    <s v="Netherlands|1972"/>
    <s v="Gapminder/Plotly country-year extract reshaped to long indicator format for education"/>
    <s v="OK"/>
    <s v="1970s"/>
    <s v="High"/>
    <s v="Health"/>
  </r>
  <r>
    <s v="GM-03254"/>
    <s v="Netherlands"/>
    <x v="1"/>
    <x v="4"/>
    <x v="1"/>
    <s v="Population, total"/>
    <s v="Demographics"/>
    <s v="SDG 11: Sustainable Cities and Communities"/>
    <n v="13329874"/>
    <s v="People"/>
    <s v="Netherlands|1972"/>
    <s v="Gapminder/Plotly country-year extract reshaped to long indicator format for education"/>
    <s v="OK"/>
    <s v="1970s"/>
    <s v="N/A"/>
    <s v="Demographics"/>
  </r>
  <r>
    <s v="GM-03255"/>
    <s v="Netherlands"/>
    <x v="1"/>
    <x v="4"/>
    <x v="2"/>
    <s v="GDP per capita"/>
    <s v="Economy"/>
    <s v="SDG 8: Decent Work and Economic Growth"/>
    <n v="18794.74567"/>
    <s v="Source-defined international dollars"/>
    <s v="Netherlands|1972"/>
    <s v="Gapminder/Plotly country-year extract reshaped to long indicator format for education"/>
    <s v="OK"/>
    <s v="1970s"/>
    <s v="N/A"/>
    <s v="Economy"/>
  </r>
  <r>
    <s v="GM-03256"/>
    <s v="Netherlands"/>
    <x v="1"/>
    <x v="5"/>
    <x v="0"/>
    <s v="Life expectancy at birth"/>
    <s v="Health"/>
    <s v="SDG 3: Good Health and Well-being"/>
    <n v="75.239999999999995"/>
    <s v="Years"/>
    <s v="Netherlands|1977"/>
    <s v="Gapminder/Plotly country-year extract reshaped to long indicator format for education"/>
    <s v="OK"/>
    <s v="1970s"/>
    <s v="High"/>
    <s v="Health"/>
  </r>
  <r>
    <s v="GM-03257"/>
    <s v="Netherlands"/>
    <x v="1"/>
    <x v="5"/>
    <x v="1"/>
    <s v="Population, total"/>
    <s v="Demographics"/>
    <s v="SDG 11: Sustainable Cities and Communities"/>
    <n v="13852989"/>
    <s v="People"/>
    <s v="Netherlands|1977"/>
    <s v="Gapminder/Plotly country-year extract reshaped to long indicator format for education"/>
    <s v="OK"/>
    <s v="1970s"/>
    <s v="N/A"/>
    <s v="Demographics"/>
  </r>
  <r>
    <s v="GM-03258"/>
    <s v="Netherlands"/>
    <x v="1"/>
    <x v="5"/>
    <x v="2"/>
    <s v="GDP per capita"/>
    <s v="Economy"/>
    <s v="SDG 8: Decent Work and Economic Growth"/>
    <n v="21209.0592"/>
    <s v="Source-defined international dollars"/>
    <s v="Netherlands|1977"/>
    <s v="Gapminder/Plotly country-year extract reshaped to long indicator format for education"/>
    <s v="OK"/>
    <s v="1970s"/>
    <s v="N/A"/>
    <s v="Economy"/>
  </r>
  <r>
    <s v="GM-03259"/>
    <s v="Netherlands"/>
    <x v="1"/>
    <x v="6"/>
    <x v="0"/>
    <s v="Life expectancy at birth"/>
    <s v="Health"/>
    <s v="SDG 3: Good Health and Well-being"/>
    <n v="76.05"/>
    <s v="Years"/>
    <s v="Netherlands|1982"/>
    <s v="Gapminder/Plotly country-year extract reshaped to long indicator format for education"/>
    <s v="OK"/>
    <s v="1980s"/>
    <s v="High"/>
    <s v="Health"/>
  </r>
  <r>
    <s v="GM-03260"/>
    <s v="Netherlands"/>
    <x v="1"/>
    <x v="6"/>
    <x v="1"/>
    <s v="Population, total"/>
    <s v="Demographics"/>
    <s v="SDG 11: Sustainable Cities and Communities"/>
    <n v="14310401"/>
    <s v="People"/>
    <s v="Netherlands|1982"/>
    <s v="Gapminder/Plotly country-year extract reshaped to long indicator format for education"/>
    <s v="OK"/>
    <s v="1980s"/>
    <s v="N/A"/>
    <s v="Demographics"/>
  </r>
  <r>
    <s v="GM-03261"/>
    <s v="Netherlands"/>
    <x v="1"/>
    <x v="6"/>
    <x v="2"/>
    <s v="GDP per capita"/>
    <s v="Economy"/>
    <s v="SDG 8: Decent Work and Economic Growth"/>
    <n v="21399.460459999998"/>
    <s v="Source-defined international dollars"/>
    <s v="Netherlands|1982"/>
    <s v="Gapminder/Plotly country-year extract reshaped to long indicator format for education"/>
    <s v="OK"/>
    <s v="1980s"/>
    <s v="N/A"/>
    <s v="Economy"/>
  </r>
  <r>
    <s v="GM-03262"/>
    <s v="Netherlands"/>
    <x v="1"/>
    <x v="7"/>
    <x v="0"/>
    <s v="Life expectancy at birth"/>
    <s v="Health"/>
    <s v="SDG 3: Good Health and Well-being"/>
    <n v="76.83"/>
    <s v="Years"/>
    <s v="Netherlands|1987"/>
    <s v="Gapminder/Plotly country-year extract reshaped to long indicator format for education"/>
    <s v="OK"/>
    <s v="1980s"/>
    <s v="High"/>
    <s v="Health"/>
  </r>
  <r>
    <s v="GM-03263"/>
    <s v="Netherlands"/>
    <x v="1"/>
    <x v="7"/>
    <x v="1"/>
    <s v="Population, total"/>
    <s v="Demographics"/>
    <s v="SDG 11: Sustainable Cities and Communities"/>
    <n v="14665278"/>
    <s v="People"/>
    <s v="Netherlands|1987"/>
    <s v="Gapminder/Plotly country-year extract reshaped to long indicator format for education"/>
    <s v="OK"/>
    <s v="1980s"/>
    <s v="N/A"/>
    <s v="Demographics"/>
  </r>
  <r>
    <s v="GM-03264"/>
    <s v="Netherlands"/>
    <x v="1"/>
    <x v="7"/>
    <x v="2"/>
    <s v="GDP per capita"/>
    <s v="Economy"/>
    <s v="SDG 8: Decent Work and Economic Growth"/>
    <n v="23651.323609999999"/>
    <s v="Source-defined international dollars"/>
    <s v="Netherlands|1987"/>
    <s v="Gapminder/Plotly country-year extract reshaped to long indicator format for education"/>
    <s v="OK"/>
    <s v="1980s"/>
    <s v="N/A"/>
    <s v="Economy"/>
  </r>
  <r>
    <s v="GM-03265"/>
    <s v="Netherlands"/>
    <x v="1"/>
    <x v="8"/>
    <x v="0"/>
    <s v="Life expectancy at birth"/>
    <s v="Health"/>
    <s v="SDG 3: Good Health and Well-being"/>
    <n v="77.42"/>
    <s v="Years"/>
    <s v="Netherlands|1992"/>
    <s v="Gapminder/Plotly country-year extract reshaped to long indicator format for education"/>
    <s v="OK"/>
    <s v="1990s"/>
    <s v="High"/>
    <s v="Health"/>
  </r>
  <r>
    <s v="GM-03266"/>
    <s v="Netherlands"/>
    <x v="1"/>
    <x v="8"/>
    <x v="1"/>
    <s v="Population, total"/>
    <s v="Demographics"/>
    <s v="SDG 11: Sustainable Cities and Communities"/>
    <n v="15174244"/>
    <s v="People"/>
    <s v="Netherlands|1992"/>
    <s v="Gapminder/Plotly country-year extract reshaped to long indicator format for education"/>
    <s v="OK"/>
    <s v="1990s"/>
    <s v="N/A"/>
    <s v="Demographics"/>
  </r>
  <r>
    <s v="GM-03267"/>
    <s v="Netherlands"/>
    <x v="1"/>
    <x v="8"/>
    <x v="2"/>
    <s v="GDP per capita"/>
    <s v="Economy"/>
    <s v="SDG 8: Decent Work and Economic Growth"/>
    <n v="26790.94961"/>
    <s v="Source-defined international dollars"/>
    <s v="Netherlands|1992"/>
    <s v="Gapminder/Plotly country-year extract reshaped to long indicator format for education"/>
    <s v="OK"/>
    <s v="1990s"/>
    <s v="N/A"/>
    <s v="Economy"/>
  </r>
  <r>
    <s v="GM-03268"/>
    <s v="Netherlands"/>
    <x v="1"/>
    <x v="9"/>
    <x v="0"/>
    <s v="Life expectancy at birth"/>
    <s v="Health"/>
    <s v="SDG 3: Good Health and Well-being"/>
    <n v="78.03"/>
    <s v="Years"/>
    <s v="Netherlands|1997"/>
    <s v="Gapminder/Plotly country-year extract reshaped to long indicator format for education"/>
    <s v="OK"/>
    <s v="1990s"/>
    <s v="High"/>
    <s v="Health"/>
  </r>
  <r>
    <s v="GM-03269"/>
    <s v="Netherlands"/>
    <x v="1"/>
    <x v="9"/>
    <x v="1"/>
    <s v="Population, total"/>
    <s v="Demographics"/>
    <s v="SDG 11: Sustainable Cities and Communities"/>
    <n v="15604464"/>
    <s v="People"/>
    <s v="Netherlands|1997"/>
    <s v="Gapminder/Plotly country-year extract reshaped to long indicator format for education"/>
    <s v="OK"/>
    <s v="1990s"/>
    <s v="N/A"/>
    <s v="Demographics"/>
  </r>
  <r>
    <s v="GM-03270"/>
    <s v="Netherlands"/>
    <x v="1"/>
    <x v="9"/>
    <x v="2"/>
    <s v="GDP per capita"/>
    <s v="Economy"/>
    <s v="SDG 8: Decent Work and Economic Growth"/>
    <n v="30246.13063"/>
    <s v="Source-defined international dollars"/>
    <s v="Netherlands|1997"/>
    <s v="Gapminder/Plotly country-year extract reshaped to long indicator format for education"/>
    <s v="OK"/>
    <s v="1990s"/>
    <s v="N/A"/>
    <s v="Economy"/>
  </r>
  <r>
    <s v="GM-03271"/>
    <s v="Netherlands"/>
    <x v="1"/>
    <x v="10"/>
    <x v="0"/>
    <s v="Life expectancy at birth"/>
    <s v="Health"/>
    <s v="SDG 3: Good Health and Well-being"/>
    <n v="78.53"/>
    <s v="Years"/>
    <s v="Netherlands|2002"/>
    <s v="Gapminder/Plotly country-year extract reshaped to long indicator format for education"/>
    <s v="OK"/>
    <s v="2000s"/>
    <s v="High"/>
    <s v="Health"/>
  </r>
  <r>
    <s v="GM-03272"/>
    <s v="Netherlands"/>
    <x v="1"/>
    <x v="10"/>
    <x v="1"/>
    <s v="Population, total"/>
    <s v="Demographics"/>
    <s v="SDG 11: Sustainable Cities and Communities"/>
    <n v="16122830"/>
    <s v="People"/>
    <s v="Netherlands|2002"/>
    <s v="Gapminder/Plotly country-year extract reshaped to long indicator format for education"/>
    <s v="OK"/>
    <s v="2000s"/>
    <s v="N/A"/>
    <s v="Demographics"/>
  </r>
  <r>
    <s v="GM-03273"/>
    <s v="Netherlands"/>
    <x v="1"/>
    <x v="10"/>
    <x v="2"/>
    <s v="GDP per capita"/>
    <s v="Economy"/>
    <s v="SDG 8: Decent Work and Economic Growth"/>
    <n v="33724.75778"/>
    <s v="Source-defined international dollars"/>
    <s v="Netherlands|2002"/>
    <s v="Gapminder/Plotly country-year extract reshaped to long indicator format for education"/>
    <s v="OK"/>
    <s v="2000s"/>
    <s v="N/A"/>
    <s v="Economy"/>
  </r>
  <r>
    <s v="GM-03274"/>
    <s v="Netherlands"/>
    <x v="1"/>
    <x v="11"/>
    <x v="0"/>
    <s v="Life expectancy at birth"/>
    <s v="Health"/>
    <s v="SDG 3: Good Health and Well-being"/>
    <n v="79.762"/>
    <s v="Years"/>
    <s v="Netherlands|2007"/>
    <s v="Gapminder/Plotly country-year extract reshaped to long indicator format for education"/>
    <s v="OK"/>
    <s v="2000s"/>
    <s v="High"/>
    <s v="Health"/>
  </r>
  <r>
    <s v="GM-03275"/>
    <s v="Netherlands"/>
    <x v="1"/>
    <x v="11"/>
    <x v="1"/>
    <s v="Population, total"/>
    <s v="Demographics"/>
    <s v="SDG 11: Sustainable Cities and Communities"/>
    <n v="16570613"/>
    <s v="People"/>
    <s v="Netherlands|2007"/>
    <s v="Gapminder/Plotly country-year extract reshaped to long indicator format for education"/>
    <s v="OK"/>
    <s v="2000s"/>
    <s v="N/A"/>
    <s v="Demographics"/>
  </r>
  <r>
    <s v="GM-03276"/>
    <s v="Netherlands"/>
    <x v="1"/>
    <x v="11"/>
    <x v="2"/>
    <s v="GDP per capita"/>
    <s v="Economy"/>
    <s v="SDG 8: Decent Work and Economic Growth"/>
    <n v="36797.933319999996"/>
    <s v="Source-defined international dollars"/>
    <s v="Netherlands|2007"/>
    <s v="Gapminder/Plotly country-year extract reshaped to long indicator format for education"/>
    <s v="OK"/>
    <s v="2000s"/>
    <s v="N/A"/>
    <s v="Economy"/>
  </r>
  <r>
    <s v="GM-03277"/>
    <s v="New Zealand"/>
    <x v="4"/>
    <x v="0"/>
    <x v="0"/>
    <s v="Life expectancy at birth"/>
    <s v="Health"/>
    <s v="SDG 3: Good Health and Well-being"/>
    <n v="69.39"/>
    <s v="Years"/>
    <s v="New Zealand|1952"/>
    <s v="Gapminder/Plotly country-year extract reshaped to long indicator format for education"/>
    <s v="OK"/>
    <s v="1950s"/>
    <s v="Medium"/>
    <s v="Health"/>
  </r>
  <r>
    <s v="GM-03278"/>
    <s v="New Zealand"/>
    <x v="4"/>
    <x v="0"/>
    <x v="1"/>
    <s v="Population, total"/>
    <s v="Demographics"/>
    <s v="SDG 11: Sustainable Cities and Communities"/>
    <n v="1994794"/>
    <s v="People"/>
    <s v="New Zealand|1952"/>
    <s v="Gapminder/Plotly country-year extract reshaped to long indicator format for education"/>
    <s v="OK"/>
    <s v="1950s"/>
    <s v="N/A"/>
    <s v="Demographics"/>
  </r>
  <r>
    <s v="GM-03279"/>
    <s v="New Zealand"/>
    <x v="4"/>
    <x v="0"/>
    <x v="2"/>
    <s v="GDP per capita"/>
    <s v="Economy"/>
    <s v="SDG 8: Decent Work and Economic Growth"/>
    <n v="10556.57566"/>
    <s v="Source-defined international dollars"/>
    <s v="New Zealand|1952"/>
    <s v="Gapminder/Plotly country-year extract reshaped to long indicator format for education"/>
    <s v="OK"/>
    <s v="1950s"/>
    <s v="N/A"/>
    <s v="Economy"/>
  </r>
  <r>
    <s v="GM-03280"/>
    <s v="New Zealand"/>
    <x v="4"/>
    <x v="1"/>
    <x v="0"/>
    <s v="Life expectancy at birth"/>
    <s v="Health"/>
    <s v="SDG 3: Good Health and Well-being"/>
    <n v="70.260000000000005"/>
    <s v="Years"/>
    <s v="New Zealand|1957"/>
    <s v="Gapminder/Plotly country-year extract reshaped to long indicator format for education"/>
    <s v="OK"/>
    <s v="1950s"/>
    <s v="High"/>
    <s v="Health"/>
  </r>
  <r>
    <s v="GM-03281"/>
    <s v="New Zealand"/>
    <x v="4"/>
    <x v="1"/>
    <x v="1"/>
    <s v="Population, total"/>
    <s v="Demographics"/>
    <s v="SDG 11: Sustainable Cities and Communities"/>
    <n v="2229407"/>
    <s v="People"/>
    <s v="New Zealand|1957"/>
    <s v="Gapminder/Plotly country-year extract reshaped to long indicator format for education"/>
    <s v="OK"/>
    <s v="1950s"/>
    <s v="N/A"/>
    <s v="Demographics"/>
  </r>
  <r>
    <s v="GM-03282"/>
    <s v="New Zealand"/>
    <x v="4"/>
    <x v="1"/>
    <x v="2"/>
    <s v="GDP per capita"/>
    <s v="Economy"/>
    <s v="SDG 8: Decent Work and Economic Growth"/>
    <n v="12247.39532"/>
    <s v="Source-defined international dollars"/>
    <s v="New Zealand|1957"/>
    <s v="Gapminder/Plotly country-year extract reshaped to long indicator format for education"/>
    <s v="OK"/>
    <s v="1950s"/>
    <s v="N/A"/>
    <s v="Economy"/>
  </r>
  <r>
    <s v="GM-03283"/>
    <s v="New Zealand"/>
    <x v="4"/>
    <x v="2"/>
    <x v="0"/>
    <s v="Life expectancy at birth"/>
    <s v="Health"/>
    <s v="SDG 3: Good Health and Well-being"/>
    <n v="71.239999999999995"/>
    <s v="Years"/>
    <s v="New Zealand|1962"/>
    <s v="Gapminder/Plotly country-year extract reshaped to long indicator format for education"/>
    <s v="OK"/>
    <s v="1960s"/>
    <s v="High"/>
    <s v="Health"/>
  </r>
  <r>
    <s v="GM-03284"/>
    <s v="New Zealand"/>
    <x v="4"/>
    <x v="2"/>
    <x v="1"/>
    <s v="Population, total"/>
    <s v="Demographics"/>
    <s v="SDG 11: Sustainable Cities and Communities"/>
    <n v="2488550"/>
    <s v="People"/>
    <s v="New Zealand|1962"/>
    <s v="Gapminder/Plotly country-year extract reshaped to long indicator format for education"/>
    <s v="OK"/>
    <s v="1960s"/>
    <s v="N/A"/>
    <s v="Demographics"/>
  </r>
  <r>
    <s v="GM-03285"/>
    <s v="New Zealand"/>
    <x v="4"/>
    <x v="2"/>
    <x v="2"/>
    <s v="GDP per capita"/>
    <s v="Economy"/>
    <s v="SDG 8: Decent Work and Economic Growth"/>
    <n v="13175.678"/>
    <s v="Source-defined international dollars"/>
    <s v="New Zealand|1962"/>
    <s v="Gapminder/Plotly country-year extract reshaped to long indicator format for education"/>
    <s v="OK"/>
    <s v="1960s"/>
    <s v="N/A"/>
    <s v="Economy"/>
  </r>
  <r>
    <s v="GM-03286"/>
    <s v="New Zealand"/>
    <x v="4"/>
    <x v="3"/>
    <x v="0"/>
    <s v="Life expectancy at birth"/>
    <s v="Health"/>
    <s v="SDG 3: Good Health and Well-being"/>
    <n v="71.52"/>
    <s v="Years"/>
    <s v="New Zealand|1967"/>
    <s v="Gapminder/Plotly country-year extract reshaped to long indicator format for education"/>
    <s v="OK"/>
    <s v="1960s"/>
    <s v="High"/>
    <s v="Health"/>
  </r>
  <r>
    <s v="GM-03287"/>
    <s v="New Zealand"/>
    <x v="4"/>
    <x v="3"/>
    <x v="1"/>
    <s v="Population, total"/>
    <s v="Demographics"/>
    <s v="SDG 11: Sustainable Cities and Communities"/>
    <n v="2728150"/>
    <s v="People"/>
    <s v="New Zealand|1967"/>
    <s v="Gapminder/Plotly country-year extract reshaped to long indicator format for education"/>
    <s v="OK"/>
    <s v="1960s"/>
    <s v="N/A"/>
    <s v="Demographics"/>
  </r>
  <r>
    <s v="GM-03288"/>
    <s v="New Zealand"/>
    <x v="4"/>
    <x v="3"/>
    <x v="2"/>
    <s v="GDP per capita"/>
    <s v="Economy"/>
    <s v="SDG 8: Decent Work and Economic Growth"/>
    <n v="14463.91893"/>
    <s v="Source-defined international dollars"/>
    <s v="New Zealand|1967"/>
    <s v="Gapminder/Plotly country-year extract reshaped to long indicator format for education"/>
    <s v="OK"/>
    <s v="1960s"/>
    <s v="N/A"/>
    <s v="Economy"/>
  </r>
  <r>
    <s v="GM-03289"/>
    <s v="New Zealand"/>
    <x v="4"/>
    <x v="4"/>
    <x v="0"/>
    <s v="Life expectancy at birth"/>
    <s v="Health"/>
    <s v="SDG 3: Good Health and Well-being"/>
    <n v="71.89"/>
    <s v="Years"/>
    <s v="New Zealand|1972"/>
    <s v="Gapminder/Plotly country-year extract reshaped to long indicator format for education"/>
    <s v="OK"/>
    <s v="1970s"/>
    <s v="High"/>
    <s v="Health"/>
  </r>
  <r>
    <s v="GM-03290"/>
    <s v="New Zealand"/>
    <x v="4"/>
    <x v="4"/>
    <x v="1"/>
    <s v="Population, total"/>
    <s v="Demographics"/>
    <s v="SDG 11: Sustainable Cities and Communities"/>
    <n v="2929100"/>
    <s v="People"/>
    <s v="New Zealand|1972"/>
    <s v="Gapminder/Plotly country-year extract reshaped to long indicator format for education"/>
    <s v="OK"/>
    <s v="1970s"/>
    <s v="N/A"/>
    <s v="Demographics"/>
  </r>
  <r>
    <s v="GM-03291"/>
    <s v="New Zealand"/>
    <x v="4"/>
    <x v="4"/>
    <x v="2"/>
    <s v="GDP per capita"/>
    <s v="Economy"/>
    <s v="SDG 8: Decent Work and Economic Growth"/>
    <n v="16046.03728"/>
    <s v="Source-defined international dollars"/>
    <s v="New Zealand|1972"/>
    <s v="Gapminder/Plotly country-year extract reshaped to long indicator format for education"/>
    <s v="OK"/>
    <s v="1970s"/>
    <s v="N/A"/>
    <s v="Economy"/>
  </r>
  <r>
    <s v="GM-03292"/>
    <s v="New Zealand"/>
    <x v="4"/>
    <x v="5"/>
    <x v="0"/>
    <s v="Life expectancy at birth"/>
    <s v="Health"/>
    <s v="SDG 3: Good Health and Well-being"/>
    <n v="72.22"/>
    <s v="Years"/>
    <s v="New Zealand|1977"/>
    <s v="Gapminder/Plotly country-year extract reshaped to long indicator format for education"/>
    <s v="OK"/>
    <s v="1970s"/>
    <s v="High"/>
    <s v="Health"/>
  </r>
  <r>
    <s v="GM-03293"/>
    <s v="New Zealand"/>
    <x v="4"/>
    <x v="5"/>
    <x v="1"/>
    <s v="Population, total"/>
    <s v="Demographics"/>
    <s v="SDG 11: Sustainable Cities and Communities"/>
    <n v="3164900"/>
    <s v="People"/>
    <s v="New Zealand|1977"/>
    <s v="Gapminder/Plotly country-year extract reshaped to long indicator format for education"/>
    <s v="OK"/>
    <s v="1970s"/>
    <s v="N/A"/>
    <s v="Demographics"/>
  </r>
  <r>
    <s v="GM-03294"/>
    <s v="New Zealand"/>
    <x v="4"/>
    <x v="5"/>
    <x v="2"/>
    <s v="GDP per capita"/>
    <s v="Economy"/>
    <s v="SDG 8: Decent Work and Economic Growth"/>
    <n v="16233.717699999999"/>
    <s v="Source-defined international dollars"/>
    <s v="New Zealand|1977"/>
    <s v="Gapminder/Plotly country-year extract reshaped to long indicator format for education"/>
    <s v="OK"/>
    <s v="1970s"/>
    <s v="N/A"/>
    <s v="Economy"/>
  </r>
  <r>
    <s v="GM-03295"/>
    <s v="New Zealand"/>
    <x v="4"/>
    <x v="6"/>
    <x v="0"/>
    <s v="Life expectancy at birth"/>
    <s v="Health"/>
    <s v="SDG 3: Good Health and Well-being"/>
    <n v="73.84"/>
    <s v="Years"/>
    <s v="New Zealand|1982"/>
    <s v="Gapminder/Plotly country-year extract reshaped to long indicator format for education"/>
    <s v="OK"/>
    <s v="1980s"/>
    <s v="High"/>
    <s v="Health"/>
  </r>
  <r>
    <s v="GM-03296"/>
    <s v="New Zealand"/>
    <x v="4"/>
    <x v="6"/>
    <x v="1"/>
    <s v="Population, total"/>
    <s v="Demographics"/>
    <s v="SDG 11: Sustainable Cities and Communities"/>
    <n v="3210650"/>
    <s v="People"/>
    <s v="New Zealand|1982"/>
    <s v="Gapminder/Plotly country-year extract reshaped to long indicator format for education"/>
    <s v="OK"/>
    <s v="1980s"/>
    <s v="N/A"/>
    <s v="Demographics"/>
  </r>
  <r>
    <s v="GM-03297"/>
    <s v="New Zealand"/>
    <x v="4"/>
    <x v="6"/>
    <x v="2"/>
    <s v="GDP per capita"/>
    <s v="Economy"/>
    <s v="SDG 8: Decent Work and Economic Growth"/>
    <n v="17632.410400000001"/>
    <s v="Source-defined international dollars"/>
    <s v="New Zealand|1982"/>
    <s v="Gapminder/Plotly country-year extract reshaped to long indicator format for education"/>
    <s v="OK"/>
    <s v="1980s"/>
    <s v="N/A"/>
    <s v="Economy"/>
  </r>
  <r>
    <s v="GM-03298"/>
    <s v="New Zealand"/>
    <x v="4"/>
    <x v="7"/>
    <x v="0"/>
    <s v="Life expectancy at birth"/>
    <s v="Health"/>
    <s v="SDG 3: Good Health and Well-being"/>
    <n v="74.319999999999993"/>
    <s v="Years"/>
    <s v="New Zealand|1987"/>
    <s v="Gapminder/Plotly country-year extract reshaped to long indicator format for education"/>
    <s v="OK"/>
    <s v="1980s"/>
    <s v="High"/>
    <s v="Health"/>
  </r>
  <r>
    <s v="GM-03299"/>
    <s v="New Zealand"/>
    <x v="4"/>
    <x v="7"/>
    <x v="1"/>
    <s v="Population, total"/>
    <s v="Demographics"/>
    <s v="SDG 11: Sustainable Cities and Communities"/>
    <n v="3317166"/>
    <s v="People"/>
    <s v="New Zealand|1987"/>
    <s v="Gapminder/Plotly country-year extract reshaped to long indicator format for education"/>
    <s v="OK"/>
    <s v="1980s"/>
    <s v="N/A"/>
    <s v="Demographics"/>
  </r>
  <r>
    <s v="GM-03300"/>
    <s v="New Zealand"/>
    <x v="4"/>
    <x v="7"/>
    <x v="2"/>
    <s v="GDP per capita"/>
    <s v="Economy"/>
    <s v="SDG 8: Decent Work and Economic Growth"/>
    <n v="19007.191289999999"/>
    <s v="Source-defined international dollars"/>
    <s v="New Zealand|1987"/>
    <s v="Gapminder/Plotly country-year extract reshaped to long indicator format for education"/>
    <s v="OK"/>
    <s v="1980s"/>
    <s v="N/A"/>
    <s v="Economy"/>
  </r>
  <r>
    <s v="GM-03301"/>
    <s v="New Zealand"/>
    <x v="4"/>
    <x v="8"/>
    <x v="0"/>
    <s v="Life expectancy at birth"/>
    <s v="Health"/>
    <s v="SDG 3: Good Health and Well-being"/>
    <n v="76.33"/>
    <s v="Years"/>
    <s v="New Zealand|1992"/>
    <s v="Gapminder/Plotly country-year extract reshaped to long indicator format for education"/>
    <s v="OK"/>
    <s v="1990s"/>
    <s v="High"/>
    <s v="Health"/>
  </r>
  <r>
    <s v="GM-03302"/>
    <s v="New Zealand"/>
    <x v="4"/>
    <x v="8"/>
    <x v="1"/>
    <s v="Population, total"/>
    <s v="Demographics"/>
    <s v="SDG 11: Sustainable Cities and Communities"/>
    <n v="3437674"/>
    <s v="People"/>
    <s v="New Zealand|1992"/>
    <s v="Gapminder/Plotly country-year extract reshaped to long indicator format for education"/>
    <s v="OK"/>
    <s v="1990s"/>
    <s v="N/A"/>
    <s v="Demographics"/>
  </r>
  <r>
    <s v="GM-03303"/>
    <s v="New Zealand"/>
    <x v="4"/>
    <x v="8"/>
    <x v="2"/>
    <s v="GDP per capita"/>
    <s v="Economy"/>
    <s v="SDG 8: Decent Work and Economic Growth"/>
    <n v="18363.324939999999"/>
    <s v="Source-defined international dollars"/>
    <s v="New Zealand|1992"/>
    <s v="Gapminder/Plotly country-year extract reshaped to long indicator format for education"/>
    <s v="OK"/>
    <s v="1990s"/>
    <s v="N/A"/>
    <s v="Economy"/>
  </r>
  <r>
    <s v="GM-03304"/>
    <s v="New Zealand"/>
    <x v="4"/>
    <x v="9"/>
    <x v="0"/>
    <s v="Life expectancy at birth"/>
    <s v="Health"/>
    <s v="SDG 3: Good Health and Well-being"/>
    <n v="77.55"/>
    <s v="Years"/>
    <s v="New Zealand|1997"/>
    <s v="Gapminder/Plotly country-year extract reshaped to long indicator format for education"/>
    <s v="OK"/>
    <s v="1990s"/>
    <s v="High"/>
    <s v="Health"/>
  </r>
  <r>
    <s v="GM-03305"/>
    <s v="New Zealand"/>
    <x v="4"/>
    <x v="9"/>
    <x v="1"/>
    <s v="Population, total"/>
    <s v="Demographics"/>
    <s v="SDG 11: Sustainable Cities and Communities"/>
    <n v="3676187"/>
    <s v="People"/>
    <s v="New Zealand|1997"/>
    <s v="Gapminder/Plotly country-year extract reshaped to long indicator format for education"/>
    <s v="OK"/>
    <s v="1990s"/>
    <s v="N/A"/>
    <s v="Demographics"/>
  </r>
  <r>
    <s v="GM-03306"/>
    <s v="New Zealand"/>
    <x v="4"/>
    <x v="9"/>
    <x v="2"/>
    <s v="GDP per capita"/>
    <s v="Economy"/>
    <s v="SDG 8: Decent Work and Economic Growth"/>
    <n v="21050.413769999999"/>
    <s v="Source-defined international dollars"/>
    <s v="New Zealand|1997"/>
    <s v="Gapminder/Plotly country-year extract reshaped to long indicator format for education"/>
    <s v="OK"/>
    <s v="1990s"/>
    <s v="N/A"/>
    <s v="Economy"/>
  </r>
  <r>
    <s v="GM-03307"/>
    <s v="New Zealand"/>
    <x v="4"/>
    <x v="10"/>
    <x v="0"/>
    <s v="Life expectancy at birth"/>
    <s v="Health"/>
    <s v="SDG 3: Good Health and Well-being"/>
    <n v="79.11"/>
    <s v="Years"/>
    <s v="New Zealand|2002"/>
    <s v="Gapminder/Plotly country-year extract reshaped to long indicator format for education"/>
    <s v="OK"/>
    <s v="2000s"/>
    <s v="High"/>
    <s v="Health"/>
  </r>
  <r>
    <s v="GM-03308"/>
    <s v="New Zealand"/>
    <x v="4"/>
    <x v="10"/>
    <x v="1"/>
    <s v="Population, total"/>
    <s v="Demographics"/>
    <s v="SDG 11: Sustainable Cities and Communities"/>
    <n v="3908037"/>
    <s v="People"/>
    <s v="New Zealand|2002"/>
    <s v="Gapminder/Plotly country-year extract reshaped to long indicator format for education"/>
    <s v="OK"/>
    <s v="2000s"/>
    <s v="N/A"/>
    <s v="Demographics"/>
  </r>
  <r>
    <s v="GM-03309"/>
    <s v="New Zealand"/>
    <x v="4"/>
    <x v="10"/>
    <x v="2"/>
    <s v="GDP per capita"/>
    <s v="Economy"/>
    <s v="SDG 8: Decent Work and Economic Growth"/>
    <n v="23189.801350000002"/>
    <s v="Source-defined international dollars"/>
    <s v="New Zealand|2002"/>
    <s v="Gapminder/Plotly country-year extract reshaped to long indicator format for education"/>
    <s v="OK"/>
    <s v="2000s"/>
    <s v="N/A"/>
    <s v="Economy"/>
  </r>
  <r>
    <s v="GM-03310"/>
    <s v="New Zealand"/>
    <x v="4"/>
    <x v="11"/>
    <x v="0"/>
    <s v="Life expectancy at birth"/>
    <s v="Health"/>
    <s v="SDG 3: Good Health and Well-being"/>
    <n v="80.203999999999994"/>
    <s v="Years"/>
    <s v="New Zealand|2007"/>
    <s v="Gapminder/Plotly country-year extract reshaped to long indicator format for education"/>
    <s v="OK"/>
    <s v="2000s"/>
    <s v="High"/>
    <s v="Health"/>
  </r>
  <r>
    <s v="GM-03311"/>
    <s v="New Zealand"/>
    <x v="4"/>
    <x v="11"/>
    <x v="1"/>
    <s v="Population, total"/>
    <s v="Demographics"/>
    <s v="SDG 11: Sustainable Cities and Communities"/>
    <n v="4115771"/>
    <s v="People"/>
    <s v="New Zealand|2007"/>
    <s v="Gapminder/Plotly country-year extract reshaped to long indicator format for education"/>
    <s v="OK"/>
    <s v="2000s"/>
    <s v="N/A"/>
    <s v="Demographics"/>
  </r>
  <r>
    <s v="GM-03312"/>
    <s v="New Zealand"/>
    <x v="4"/>
    <x v="11"/>
    <x v="2"/>
    <s v="GDP per capita"/>
    <s v="Economy"/>
    <s v="SDG 8: Decent Work and Economic Growth"/>
    <n v="25185.009109999999"/>
    <s v="Source-defined international dollars"/>
    <s v="New Zealand|2007"/>
    <s v="Gapminder/Plotly country-year extract reshaped to long indicator format for education"/>
    <s v="OK"/>
    <s v="2000s"/>
    <s v="N/A"/>
    <s v="Economy"/>
  </r>
  <r>
    <s v="GM-03313"/>
    <s v="Nicaragua"/>
    <x v="3"/>
    <x v="0"/>
    <x v="0"/>
    <s v="Life expectancy at birth"/>
    <s v="Health"/>
    <s v="SDG 3: Good Health and Well-being"/>
    <n v="42.313999999999901"/>
    <s v="Years"/>
    <s v="Nicaragua|1952"/>
    <s v="Gapminder/Plotly country-year extract reshaped to long indicator format for education"/>
    <s v="OK"/>
    <s v="1950s"/>
    <s v="Low"/>
    <s v="Health"/>
  </r>
  <r>
    <s v="GM-03314"/>
    <s v="Nicaragua"/>
    <x v="3"/>
    <x v="0"/>
    <x v="1"/>
    <s v="Population, total"/>
    <s v="Demographics"/>
    <s v="SDG 11: Sustainable Cities and Communities"/>
    <n v="1165790"/>
    <s v="People"/>
    <s v="Nicaragua|1952"/>
    <s v="Gapminder/Plotly country-year extract reshaped to long indicator format for education"/>
    <s v="OK"/>
    <s v="1950s"/>
    <s v="N/A"/>
    <s v="Demographics"/>
  </r>
  <r>
    <s v="GM-03315"/>
    <s v="Nicaragua"/>
    <x v="3"/>
    <x v="0"/>
    <x v="2"/>
    <s v="GDP per capita"/>
    <s v="Economy"/>
    <s v="SDG 8: Decent Work and Economic Growth"/>
    <n v="3112.3639480000002"/>
    <s v="Source-defined international dollars"/>
    <s v="Nicaragua|1952"/>
    <s v="Gapminder/Plotly country-year extract reshaped to long indicator format for education"/>
    <s v="OK"/>
    <s v="1950s"/>
    <s v="N/A"/>
    <s v="Economy"/>
  </r>
  <r>
    <s v="GM-03316"/>
    <s v="Nicaragua"/>
    <x v="3"/>
    <x v="1"/>
    <x v="0"/>
    <s v="Life expectancy at birth"/>
    <s v="Health"/>
    <s v="SDG 3: Good Health and Well-being"/>
    <n v="45.432000000000002"/>
    <s v="Years"/>
    <s v="Nicaragua|1957"/>
    <s v="Gapminder/Plotly country-year extract reshaped to long indicator format for education"/>
    <s v="OK"/>
    <s v="1950s"/>
    <s v="Low"/>
    <s v="Health"/>
  </r>
  <r>
    <s v="GM-03317"/>
    <s v="Nicaragua"/>
    <x v="3"/>
    <x v="1"/>
    <x v="1"/>
    <s v="Population, total"/>
    <s v="Demographics"/>
    <s v="SDG 11: Sustainable Cities and Communities"/>
    <n v="1358828"/>
    <s v="People"/>
    <s v="Nicaragua|1957"/>
    <s v="Gapminder/Plotly country-year extract reshaped to long indicator format for education"/>
    <s v="OK"/>
    <s v="1950s"/>
    <s v="N/A"/>
    <s v="Demographics"/>
  </r>
  <r>
    <s v="GM-03318"/>
    <s v="Nicaragua"/>
    <x v="3"/>
    <x v="1"/>
    <x v="2"/>
    <s v="GDP per capita"/>
    <s v="Economy"/>
    <s v="SDG 8: Decent Work and Economic Growth"/>
    <n v="3457.415947"/>
    <s v="Source-defined international dollars"/>
    <s v="Nicaragua|1957"/>
    <s v="Gapminder/Plotly country-year extract reshaped to long indicator format for education"/>
    <s v="OK"/>
    <s v="1950s"/>
    <s v="N/A"/>
    <s v="Economy"/>
  </r>
  <r>
    <s v="GM-03319"/>
    <s v="Nicaragua"/>
    <x v="3"/>
    <x v="2"/>
    <x v="0"/>
    <s v="Life expectancy at birth"/>
    <s v="Health"/>
    <s v="SDG 3: Good Health and Well-being"/>
    <n v="48.631999999999998"/>
    <s v="Years"/>
    <s v="Nicaragua|1962"/>
    <s v="Gapminder/Plotly country-year extract reshaped to long indicator format for education"/>
    <s v="OK"/>
    <s v="1960s"/>
    <s v="Low"/>
    <s v="Health"/>
  </r>
  <r>
    <s v="GM-03320"/>
    <s v="Nicaragua"/>
    <x v="3"/>
    <x v="2"/>
    <x v="1"/>
    <s v="Population, total"/>
    <s v="Demographics"/>
    <s v="SDG 11: Sustainable Cities and Communities"/>
    <n v="1590597"/>
    <s v="People"/>
    <s v="Nicaragua|1962"/>
    <s v="Gapminder/Plotly country-year extract reshaped to long indicator format for education"/>
    <s v="OK"/>
    <s v="1960s"/>
    <s v="N/A"/>
    <s v="Demographics"/>
  </r>
  <r>
    <s v="GM-03321"/>
    <s v="Nicaragua"/>
    <x v="3"/>
    <x v="2"/>
    <x v="2"/>
    <s v="GDP per capita"/>
    <s v="Economy"/>
    <s v="SDG 8: Decent Work and Economic Growth"/>
    <n v="3634.3644060000001"/>
    <s v="Source-defined international dollars"/>
    <s v="Nicaragua|1962"/>
    <s v="Gapminder/Plotly country-year extract reshaped to long indicator format for education"/>
    <s v="OK"/>
    <s v="1960s"/>
    <s v="N/A"/>
    <s v="Economy"/>
  </r>
  <r>
    <s v="GM-03322"/>
    <s v="Nicaragua"/>
    <x v="3"/>
    <x v="3"/>
    <x v="0"/>
    <s v="Life expectancy at birth"/>
    <s v="Health"/>
    <s v="SDG 3: Good Health and Well-being"/>
    <n v="51.883999999999901"/>
    <s v="Years"/>
    <s v="Nicaragua|1967"/>
    <s v="Gapminder/Plotly country-year extract reshaped to long indicator format for education"/>
    <s v="OK"/>
    <s v="1960s"/>
    <s v="Low"/>
    <s v="Health"/>
  </r>
  <r>
    <s v="GM-03323"/>
    <s v="Nicaragua"/>
    <x v="3"/>
    <x v="3"/>
    <x v="1"/>
    <s v="Population, total"/>
    <s v="Demographics"/>
    <s v="SDG 11: Sustainable Cities and Communities"/>
    <n v="1865490"/>
    <s v="People"/>
    <s v="Nicaragua|1967"/>
    <s v="Gapminder/Plotly country-year extract reshaped to long indicator format for education"/>
    <s v="OK"/>
    <s v="1960s"/>
    <s v="N/A"/>
    <s v="Demographics"/>
  </r>
  <r>
    <s v="GM-03324"/>
    <s v="Nicaragua"/>
    <x v="3"/>
    <x v="3"/>
    <x v="2"/>
    <s v="GDP per capita"/>
    <s v="Economy"/>
    <s v="SDG 8: Decent Work and Economic Growth"/>
    <n v="4643.3935339999998"/>
    <s v="Source-defined international dollars"/>
    <s v="Nicaragua|1967"/>
    <s v="Gapminder/Plotly country-year extract reshaped to long indicator format for education"/>
    <s v="OK"/>
    <s v="1960s"/>
    <s v="N/A"/>
    <s v="Economy"/>
  </r>
  <r>
    <s v="GM-03325"/>
    <s v="Nicaragua"/>
    <x v="3"/>
    <x v="4"/>
    <x v="0"/>
    <s v="Life expectancy at birth"/>
    <s v="Health"/>
    <s v="SDG 3: Good Health and Well-being"/>
    <n v="55.151000000000003"/>
    <s v="Years"/>
    <s v="Nicaragua|1972"/>
    <s v="Gapminder/Plotly country-year extract reshaped to long indicator format for education"/>
    <s v="OK"/>
    <s v="1970s"/>
    <s v="Medium"/>
    <s v="Health"/>
  </r>
  <r>
    <s v="GM-03326"/>
    <s v="Nicaragua"/>
    <x v="3"/>
    <x v="4"/>
    <x v="1"/>
    <s v="Population, total"/>
    <s v="Demographics"/>
    <s v="SDG 11: Sustainable Cities and Communities"/>
    <n v="2182908"/>
    <s v="People"/>
    <s v="Nicaragua|1972"/>
    <s v="Gapminder/Plotly country-year extract reshaped to long indicator format for education"/>
    <s v="OK"/>
    <s v="1970s"/>
    <s v="N/A"/>
    <s v="Demographics"/>
  </r>
  <r>
    <s v="GM-03327"/>
    <s v="Nicaragua"/>
    <x v="3"/>
    <x v="4"/>
    <x v="2"/>
    <s v="GDP per capita"/>
    <s v="Economy"/>
    <s v="SDG 8: Decent Work and Economic Growth"/>
    <n v="4688.5932670000002"/>
    <s v="Source-defined international dollars"/>
    <s v="Nicaragua|1972"/>
    <s v="Gapminder/Plotly country-year extract reshaped to long indicator format for education"/>
    <s v="OK"/>
    <s v="1970s"/>
    <s v="N/A"/>
    <s v="Economy"/>
  </r>
  <r>
    <s v="GM-03328"/>
    <s v="Nicaragua"/>
    <x v="3"/>
    <x v="5"/>
    <x v="0"/>
    <s v="Life expectancy at birth"/>
    <s v="Health"/>
    <s v="SDG 3: Good Health and Well-being"/>
    <n v="57.47"/>
    <s v="Years"/>
    <s v="Nicaragua|1977"/>
    <s v="Gapminder/Plotly country-year extract reshaped to long indicator format for education"/>
    <s v="OK"/>
    <s v="1970s"/>
    <s v="Medium"/>
    <s v="Health"/>
  </r>
  <r>
    <s v="GM-03329"/>
    <s v="Nicaragua"/>
    <x v="3"/>
    <x v="5"/>
    <x v="1"/>
    <s v="Population, total"/>
    <s v="Demographics"/>
    <s v="SDG 11: Sustainable Cities and Communities"/>
    <n v="2554598"/>
    <s v="People"/>
    <s v="Nicaragua|1977"/>
    <s v="Gapminder/Plotly country-year extract reshaped to long indicator format for education"/>
    <s v="OK"/>
    <s v="1970s"/>
    <s v="N/A"/>
    <s v="Demographics"/>
  </r>
  <r>
    <s v="GM-03330"/>
    <s v="Nicaragua"/>
    <x v="3"/>
    <x v="5"/>
    <x v="2"/>
    <s v="GDP per capita"/>
    <s v="Economy"/>
    <s v="SDG 8: Decent Work and Economic Growth"/>
    <n v="5486.3710890000002"/>
    <s v="Source-defined international dollars"/>
    <s v="Nicaragua|1977"/>
    <s v="Gapminder/Plotly country-year extract reshaped to long indicator format for education"/>
    <s v="OK"/>
    <s v="1970s"/>
    <s v="N/A"/>
    <s v="Economy"/>
  </r>
  <r>
    <s v="GM-03331"/>
    <s v="Nicaragua"/>
    <x v="3"/>
    <x v="6"/>
    <x v="0"/>
    <s v="Life expectancy at birth"/>
    <s v="Health"/>
    <s v="SDG 3: Good Health and Well-being"/>
    <n v="59.298000000000002"/>
    <s v="Years"/>
    <s v="Nicaragua|1982"/>
    <s v="Gapminder/Plotly country-year extract reshaped to long indicator format for education"/>
    <s v="OK"/>
    <s v="1980s"/>
    <s v="Medium"/>
    <s v="Health"/>
  </r>
  <r>
    <s v="GM-03332"/>
    <s v="Nicaragua"/>
    <x v="3"/>
    <x v="6"/>
    <x v="1"/>
    <s v="Population, total"/>
    <s v="Demographics"/>
    <s v="SDG 11: Sustainable Cities and Communities"/>
    <n v="2979423"/>
    <s v="People"/>
    <s v="Nicaragua|1982"/>
    <s v="Gapminder/Plotly country-year extract reshaped to long indicator format for education"/>
    <s v="OK"/>
    <s v="1980s"/>
    <s v="N/A"/>
    <s v="Demographics"/>
  </r>
  <r>
    <s v="GM-03333"/>
    <s v="Nicaragua"/>
    <x v="3"/>
    <x v="6"/>
    <x v="2"/>
    <s v="GDP per capita"/>
    <s v="Economy"/>
    <s v="SDG 8: Decent Work and Economic Growth"/>
    <n v="3470.3381559999998"/>
    <s v="Source-defined international dollars"/>
    <s v="Nicaragua|1982"/>
    <s v="Gapminder/Plotly country-year extract reshaped to long indicator format for education"/>
    <s v="OK"/>
    <s v="1980s"/>
    <s v="N/A"/>
    <s v="Economy"/>
  </r>
  <r>
    <s v="GM-03334"/>
    <s v="Nicaragua"/>
    <x v="3"/>
    <x v="7"/>
    <x v="0"/>
    <s v="Life expectancy at birth"/>
    <s v="Health"/>
    <s v="SDG 3: Good Health and Well-being"/>
    <n v="62.008000000000003"/>
    <s v="Years"/>
    <s v="Nicaragua|1987"/>
    <s v="Gapminder/Plotly country-year extract reshaped to long indicator format for education"/>
    <s v="OK"/>
    <s v="1980s"/>
    <s v="Medium"/>
    <s v="Health"/>
  </r>
  <r>
    <s v="GM-03335"/>
    <s v="Nicaragua"/>
    <x v="3"/>
    <x v="7"/>
    <x v="1"/>
    <s v="Population, total"/>
    <s v="Demographics"/>
    <s v="SDG 11: Sustainable Cities and Communities"/>
    <n v="3344353"/>
    <s v="People"/>
    <s v="Nicaragua|1987"/>
    <s v="Gapminder/Plotly country-year extract reshaped to long indicator format for education"/>
    <s v="OK"/>
    <s v="1980s"/>
    <s v="N/A"/>
    <s v="Demographics"/>
  </r>
  <r>
    <s v="GM-03336"/>
    <s v="Nicaragua"/>
    <x v="3"/>
    <x v="7"/>
    <x v="2"/>
    <s v="GDP per capita"/>
    <s v="Economy"/>
    <s v="SDG 8: Decent Work and Economic Growth"/>
    <n v="2955.984375"/>
    <s v="Source-defined international dollars"/>
    <s v="Nicaragua|1987"/>
    <s v="Gapminder/Plotly country-year extract reshaped to long indicator format for education"/>
    <s v="OK"/>
    <s v="1980s"/>
    <s v="N/A"/>
    <s v="Economy"/>
  </r>
  <r>
    <s v="GM-03337"/>
    <s v="Nicaragua"/>
    <x v="3"/>
    <x v="8"/>
    <x v="0"/>
    <s v="Life expectancy at birth"/>
    <s v="Health"/>
    <s v="SDG 3: Good Health and Well-being"/>
    <n v="65.843000000000004"/>
    <s v="Years"/>
    <s v="Nicaragua|1992"/>
    <s v="Gapminder/Plotly country-year extract reshaped to long indicator format for education"/>
    <s v="OK"/>
    <s v="1990s"/>
    <s v="Medium"/>
    <s v="Health"/>
  </r>
  <r>
    <s v="GM-03338"/>
    <s v="Nicaragua"/>
    <x v="3"/>
    <x v="8"/>
    <x v="1"/>
    <s v="Population, total"/>
    <s v="Demographics"/>
    <s v="SDG 11: Sustainable Cities and Communities"/>
    <n v="4017939"/>
    <s v="People"/>
    <s v="Nicaragua|1992"/>
    <s v="Gapminder/Plotly country-year extract reshaped to long indicator format for education"/>
    <s v="OK"/>
    <s v="1990s"/>
    <s v="N/A"/>
    <s v="Demographics"/>
  </r>
  <r>
    <s v="GM-03339"/>
    <s v="Nicaragua"/>
    <x v="3"/>
    <x v="8"/>
    <x v="2"/>
    <s v="GDP per capita"/>
    <s v="Economy"/>
    <s v="SDG 8: Decent Work and Economic Growth"/>
    <n v="2170.1517239999998"/>
    <s v="Source-defined international dollars"/>
    <s v="Nicaragua|1992"/>
    <s v="Gapminder/Plotly country-year extract reshaped to long indicator format for education"/>
    <s v="OK"/>
    <s v="1990s"/>
    <s v="N/A"/>
    <s v="Economy"/>
  </r>
  <r>
    <s v="GM-03340"/>
    <s v="Nicaragua"/>
    <x v="3"/>
    <x v="9"/>
    <x v="0"/>
    <s v="Life expectancy at birth"/>
    <s v="Health"/>
    <s v="SDG 3: Good Health and Well-being"/>
    <n v="68.426000000000002"/>
    <s v="Years"/>
    <s v="Nicaragua|1997"/>
    <s v="Gapminder/Plotly country-year extract reshaped to long indicator format for education"/>
    <s v="OK"/>
    <s v="1990s"/>
    <s v="Medium"/>
    <s v="Health"/>
  </r>
  <r>
    <s v="GM-03341"/>
    <s v="Nicaragua"/>
    <x v="3"/>
    <x v="9"/>
    <x v="1"/>
    <s v="Population, total"/>
    <s v="Demographics"/>
    <s v="SDG 11: Sustainable Cities and Communities"/>
    <n v="4609572"/>
    <s v="People"/>
    <s v="Nicaragua|1997"/>
    <s v="Gapminder/Plotly country-year extract reshaped to long indicator format for education"/>
    <s v="OK"/>
    <s v="1990s"/>
    <s v="N/A"/>
    <s v="Demographics"/>
  </r>
  <r>
    <s v="GM-03342"/>
    <s v="Nicaragua"/>
    <x v="3"/>
    <x v="9"/>
    <x v="2"/>
    <s v="GDP per capita"/>
    <s v="Economy"/>
    <s v="SDG 8: Decent Work and Economic Growth"/>
    <n v="2253.0230040000001"/>
    <s v="Source-defined international dollars"/>
    <s v="Nicaragua|1997"/>
    <s v="Gapminder/Plotly country-year extract reshaped to long indicator format for education"/>
    <s v="OK"/>
    <s v="1990s"/>
    <s v="N/A"/>
    <s v="Economy"/>
  </r>
  <r>
    <s v="GM-03343"/>
    <s v="Nicaragua"/>
    <x v="3"/>
    <x v="10"/>
    <x v="0"/>
    <s v="Life expectancy at birth"/>
    <s v="Health"/>
    <s v="SDG 3: Good Health and Well-being"/>
    <n v="70.835999999999999"/>
    <s v="Years"/>
    <s v="Nicaragua|2002"/>
    <s v="Gapminder/Plotly country-year extract reshaped to long indicator format for education"/>
    <s v="OK"/>
    <s v="2000s"/>
    <s v="High"/>
    <s v="Health"/>
  </r>
  <r>
    <s v="GM-03344"/>
    <s v="Nicaragua"/>
    <x v="3"/>
    <x v="10"/>
    <x v="1"/>
    <s v="Population, total"/>
    <s v="Demographics"/>
    <s v="SDG 11: Sustainable Cities and Communities"/>
    <n v="5146848"/>
    <s v="People"/>
    <s v="Nicaragua|2002"/>
    <s v="Gapminder/Plotly country-year extract reshaped to long indicator format for education"/>
    <s v="OK"/>
    <s v="2000s"/>
    <s v="N/A"/>
    <s v="Demographics"/>
  </r>
  <r>
    <s v="GM-03345"/>
    <s v="Nicaragua"/>
    <x v="3"/>
    <x v="10"/>
    <x v="2"/>
    <s v="GDP per capita"/>
    <s v="Economy"/>
    <s v="SDG 8: Decent Work and Economic Growth"/>
    <n v="2474.5488190000001"/>
    <s v="Source-defined international dollars"/>
    <s v="Nicaragua|2002"/>
    <s v="Gapminder/Plotly country-year extract reshaped to long indicator format for education"/>
    <s v="OK"/>
    <s v="2000s"/>
    <s v="N/A"/>
    <s v="Economy"/>
  </r>
  <r>
    <s v="GM-03346"/>
    <s v="Nicaragua"/>
    <x v="3"/>
    <x v="11"/>
    <x v="0"/>
    <s v="Life expectancy at birth"/>
    <s v="Health"/>
    <s v="SDG 3: Good Health and Well-being"/>
    <n v="72.899000000000001"/>
    <s v="Years"/>
    <s v="Nicaragua|2007"/>
    <s v="Gapminder/Plotly country-year extract reshaped to long indicator format for education"/>
    <s v="OK"/>
    <s v="2000s"/>
    <s v="High"/>
    <s v="Health"/>
  </r>
  <r>
    <s v="GM-03347"/>
    <s v="Nicaragua"/>
    <x v="3"/>
    <x v="11"/>
    <x v="1"/>
    <s v="Population, total"/>
    <s v="Demographics"/>
    <s v="SDG 11: Sustainable Cities and Communities"/>
    <n v="5675356"/>
    <s v="People"/>
    <s v="Nicaragua|2007"/>
    <s v="Gapminder/Plotly country-year extract reshaped to long indicator format for education"/>
    <s v="OK"/>
    <s v="2000s"/>
    <s v="N/A"/>
    <s v="Demographics"/>
  </r>
  <r>
    <s v="GM-03348"/>
    <s v="Nicaragua"/>
    <x v="3"/>
    <x v="11"/>
    <x v="2"/>
    <s v="GDP per capita"/>
    <s v="Economy"/>
    <s v="SDG 8: Decent Work and Economic Growth"/>
    <n v="2749.3209649999999"/>
    <s v="Source-defined international dollars"/>
    <s v="Nicaragua|2007"/>
    <s v="Gapminder/Plotly country-year extract reshaped to long indicator format for education"/>
    <s v="OK"/>
    <s v="2000s"/>
    <s v="N/A"/>
    <s v="Economy"/>
  </r>
  <r>
    <s v="GM-03349"/>
    <s v="Niger"/>
    <x v="2"/>
    <x v="0"/>
    <x v="0"/>
    <s v="Life expectancy at birth"/>
    <s v="Health"/>
    <s v="SDG 3: Good Health and Well-being"/>
    <n v="37.444000000000003"/>
    <s v="Years"/>
    <s v="Niger|1952"/>
    <s v="Gapminder/Plotly country-year extract reshaped to long indicator format for education"/>
    <s v="OK"/>
    <s v="1950s"/>
    <s v="Low"/>
    <s v="Health"/>
  </r>
  <r>
    <s v="GM-03350"/>
    <s v="Niger"/>
    <x v="2"/>
    <x v="0"/>
    <x v="1"/>
    <s v="Population, total"/>
    <s v="Demographics"/>
    <s v="SDG 11: Sustainable Cities and Communities"/>
    <n v="3379468"/>
    <s v="People"/>
    <s v="Niger|1952"/>
    <s v="Gapminder/Plotly country-year extract reshaped to long indicator format for education"/>
    <s v="OK"/>
    <s v="1950s"/>
    <s v="N/A"/>
    <s v="Demographics"/>
  </r>
  <r>
    <s v="GM-03351"/>
    <s v="Niger"/>
    <x v="2"/>
    <x v="0"/>
    <x v="2"/>
    <s v="GDP per capita"/>
    <s v="Economy"/>
    <s v="SDG 8: Decent Work and Economic Growth"/>
    <n v="761.87937599999998"/>
    <s v="Source-defined international dollars"/>
    <s v="Niger|1952"/>
    <s v="Gapminder/Plotly country-year extract reshaped to long indicator format for education"/>
    <s v="OK"/>
    <s v="1950s"/>
    <s v="N/A"/>
    <s v="Economy"/>
  </r>
  <r>
    <s v="GM-03352"/>
    <s v="Niger"/>
    <x v="2"/>
    <x v="1"/>
    <x v="0"/>
    <s v="Life expectancy at birth"/>
    <s v="Health"/>
    <s v="SDG 3: Good Health and Well-being"/>
    <n v="38.597999999999999"/>
    <s v="Years"/>
    <s v="Niger|1957"/>
    <s v="Gapminder/Plotly country-year extract reshaped to long indicator format for education"/>
    <s v="OK"/>
    <s v="1950s"/>
    <s v="Low"/>
    <s v="Health"/>
  </r>
  <r>
    <s v="GM-03353"/>
    <s v="Niger"/>
    <x v="2"/>
    <x v="1"/>
    <x v="1"/>
    <s v="Population, total"/>
    <s v="Demographics"/>
    <s v="SDG 11: Sustainable Cities and Communities"/>
    <n v="3692184"/>
    <s v="People"/>
    <s v="Niger|1957"/>
    <s v="Gapminder/Plotly country-year extract reshaped to long indicator format for education"/>
    <s v="OK"/>
    <s v="1950s"/>
    <s v="N/A"/>
    <s v="Demographics"/>
  </r>
  <r>
    <s v="GM-03354"/>
    <s v="Niger"/>
    <x v="2"/>
    <x v="1"/>
    <x v="2"/>
    <s v="GDP per capita"/>
    <s v="Economy"/>
    <s v="SDG 8: Decent Work and Economic Growth"/>
    <n v="835.52340249999997"/>
    <s v="Source-defined international dollars"/>
    <s v="Niger|1957"/>
    <s v="Gapminder/Plotly country-year extract reshaped to long indicator format for education"/>
    <s v="OK"/>
    <s v="1950s"/>
    <s v="N/A"/>
    <s v="Economy"/>
  </r>
  <r>
    <s v="GM-03355"/>
    <s v="Niger"/>
    <x v="2"/>
    <x v="2"/>
    <x v="0"/>
    <s v="Life expectancy at birth"/>
    <s v="Health"/>
    <s v="SDG 3: Good Health and Well-being"/>
    <n v="39.487000000000002"/>
    <s v="Years"/>
    <s v="Niger|1962"/>
    <s v="Gapminder/Plotly country-year extract reshaped to long indicator format for education"/>
    <s v="OK"/>
    <s v="1960s"/>
    <s v="Low"/>
    <s v="Health"/>
  </r>
  <r>
    <s v="GM-03356"/>
    <s v="Niger"/>
    <x v="2"/>
    <x v="2"/>
    <x v="1"/>
    <s v="Population, total"/>
    <s v="Demographics"/>
    <s v="SDG 11: Sustainable Cities and Communities"/>
    <n v="4076008"/>
    <s v="People"/>
    <s v="Niger|1962"/>
    <s v="Gapminder/Plotly country-year extract reshaped to long indicator format for education"/>
    <s v="OK"/>
    <s v="1960s"/>
    <s v="N/A"/>
    <s v="Demographics"/>
  </r>
  <r>
    <s v="GM-03357"/>
    <s v="Niger"/>
    <x v="2"/>
    <x v="2"/>
    <x v="2"/>
    <s v="GDP per capita"/>
    <s v="Economy"/>
    <s v="SDG 8: Decent Work and Economic Growth"/>
    <n v="997.76611270000001"/>
    <s v="Source-defined international dollars"/>
    <s v="Niger|1962"/>
    <s v="Gapminder/Plotly country-year extract reshaped to long indicator format for education"/>
    <s v="OK"/>
    <s v="1960s"/>
    <s v="N/A"/>
    <s v="Economy"/>
  </r>
  <r>
    <s v="GM-03358"/>
    <s v="Niger"/>
    <x v="2"/>
    <x v="3"/>
    <x v="0"/>
    <s v="Life expectancy at birth"/>
    <s v="Health"/>
    <s v="SDG 3: Good Health and Well-being"/>
    <n v="40.118000000000002"/>
    <s v="Years"/>
    <s v="Niger|1967"/>
    <s v="Gapminder/Plotly country-year extract reshaped to long indicator format for education"/>
    <s v="OK"/>
    <s v="1960s"/>
    <s v="Low"/>
    <s v="Health"/>
  </r>
  <r>
    <s v="GM-03359"/>
    <s v="Niger"/>
    <x v="2"/>
    <x v="3"/>
    <x v="1"/>
    <s v="Population, total"/>
    <s v="Demographics"/>
    <s v="SDG 11: Sustainable Cities and Communities"/>
    <n v="4534062"/>
    <s v="People"/>
    <s v="Niger|1967"/>
    <s v="Gapminder/Plotly country-year extract reshaped to long indicator format for education"/>
    <s v="OK"/>
    <s v="1960s"/>
    <s v="N/A"/>
    <s v="Demographics"/>
  </r>
  <r>
    <s v="GM-03360"/>
    <s v="Niger"/>
    <x v="2"/>
    <x v="3"/>
    <x v="2"/>
    <s v="GDP per capita"/>
    <s v="Economy"/>
    <s v="SDG 8: Decent Work and Economic Growth"/>
    <n v="1054.3848909999999"/>
    <s v="Source-defined international dollars"/>
    <s v="Niger|1967"/>
    <s v="Gapminder/Plotly country-year extract reshaped to long indicator format for education"/>
    <s v="OK"/>
    <s v="1960s"/>
    <s v="N/A"/>
    <s v="Economy"/>
  </r>
  <r>
    <s v="GM-03361"/>
    <s v="Niger"/>
    <x v="2"/>
    <x v="4"/>
    <x v="0"/>
    <s v="Life expectancy at birth"/>
    <s v="Health"/>
    <s v="SDG 3: Good Health and Well-being"/>
    <n v="40.545999999999999"/>
    <s v="Years"/>
    <s v="Niger|1972"/>
    <s v="Gapminder/Plotly country-year extract reshaped to long indicator format for education"/>
    <s v="OK"/>
    <s v="1970s"/>
    <s v="Low"/>
    <s v="Health"/>
  </r>
  <r>
    <s v="GM-03362"/>
    <s v="Niger"/>
    <x v="2"/>
    <x v="4"/>
    <x v="1"/>
    <s v="Population, total"/>
    <s v="Demographics"/>
    <s v="SDG 11: Sustainable Cities and Communities"/>
    <n v="5060262"/>
    <s v="People"/>
    <s v="Niger|1972"/>
    <s v="Gapminder/Plotly country-year extract reshaped to long indicator format for education"/>
    <s v="OK"/>
    <s v="1970s"/>
    <s v="N/A"/>
    <s v="Demographics"/>
  </r>
  <r>
    <s v="GM-03363"/>
    <s v="Niger"/>
    <x v="2"/>
    <x v="4"/>
    <x v="2"/>
    <s v="GDP per capita"/>
    <s v="Economy"/>
    <s v="SDG 8: Decent Work and Economic Growth"/>
    <n v="954.20923630000004"/>
    <s v="Source-defined international dollars"/>
    <s v="Niger|1972"/>
    <s v="Gapminder/Plotly country-year extract reshaped to long indicator format for education"/>
    <s v="OK"/>
    <s v="1970s"/>
    <s v="N/A"/>
    <s v="Economy"/>
  </r>
  <r>
    <s v="GM-03364"/>
    <s v="Niger"/>
    <x v="2"/>
    <x v="5"/>
    <x v="0"/>
    <s v="Life expectancy at birth"/>
    <s v="Health"/>
    <s v="SDG 3: Good Health and Well-being"/>
    <n v="41.290999999999997"/>
    <s v="Years"/>
    <s v="Niger|1977"/>
    <s v="Gapminder/Plotly country-year extract reshaped to long indicator format for education"/>
    <s v="OK"/>
    <s v="1970s"/>
    <s v="Low"/>
    <s v="Health"/>
  </r>
  <r>
    <s v="GM-03365"/>
    <s v="Niger"/>
    <x v="2"/>
    <x v="5"/>
    <x v="1"/>
    <s v="Population, total"/>
    <s v="Demographics"/>
    <s v="SDG 11: Sustainable Cities and Communities"/>
    <n v="5682086"/>
    <s v="People"/>
    <s v="Niger|1977"/>
    <s v="Gapminder/Plotly country-year extract reshaped to long indicator format for education"/>
    <s v="OK"/>
    <s v="1970s"/>
    <s v="N/A"/>
    <s v="Demographics"/>
  </r>
  <r>
    <s v="GM-03366"/>
    <s v="Niger"/>
    <x v="2"/>
    <x v="5"/>
    <x v="2"/>
    <s v="GDP per capita"/>
    <s v="Economy"/>
    <s v="SDG 8: Decent Work and Economic Growth"/>
    <n v="808.89707279999902"/>
    <s v="Source-defined international dollars"/>
    <s v="Niger|1977"/>
    <s v="Gapminder/Plotly country-year extract reshaped to long indicator format for education"/>
    <s v="OK"/>
    <s v="1970s"/>
    <s v="N/A"/>
    <s v="Economy"/>
  </r>
  <r>
    <s v="GM-03367"/>
    <s v="Niger"/>
    <x v="2"/>
    <x v="6"/>
    <x v="0"/>
    <s v="Life expectancy at birth"/>
    <s v="Health"/>
    <s v="SDG 3: Good Health and Well-being"/>
    <n v="42.597999999999999"/>
    <s v="Years"/>
    <s v="Niger|1982"/>
    <s v="Gapminder/Plotly country-year extract reshaped to long indicator format for education"/>
    <s v="OK"/>
    <s v="1980s"/>
    <s v="Low"/>
    <s v="Health"/>
  </r>
  <r>
    <s v="GM-03368"/>
    <s v="Niger"/>
    <x v="2"/>
    <x v="6"/>
    <x v="1"/>
    <s v="Population, total"/>
    <s v="Demographics"/>
    <s v="SDG 11: Sustainable Cities and Communities"/>
    <n v="6437188"/>
    <s v="People"/>
    <s v="Niger|1982"/>
    <s v="Gapminder/Plotly country-year extract reshaped to long indicator format for education"/>
    <s v="OK"/>
    <s v="1980s"/>
    <s v="N/A"/>
    <s v="Demographics"/>
  </r>
  <r>
    <s v="GM-03369"/>
    <s v="Niger"/>
    <x v="2"/>
    <x v="6"/>
    <x v="2"/>
    <s v="GDP per capita"/>
    <s v="Economy"/>
    <s v="SDG 8: Decent Work and Economic Growth"/>
    <n v="909.72213539999996"/>
    <s v="Source-defined international dollars"/>
    <s v="Niger|1982"/>
    <s v="Gapminder/Plotly country-year extract reshaped to long indicator format for education"/>
    <s v="OK"/>
    <s v="1980s"/>
    <s v="N/A"/>
    <s v="Economy"/>
  </r>
  <r>
    <s v="GM-03370"/>
    <s v="Niger"/>
    <x v="2"/>
    <x v="7"/>
    <x v="0"/>
    <s v="Life expectancy at birth"/>
    <s v="Health"/>
    <s v="SDG 3: Good Health and Well-being"/>
    <n v="44.555"/>
    <s v="Years"/>
    <s v="Niger|1987"/>
    <s v="Gapminder/Plotly country-year extract reshaped to long indicator format for education"/>
    <s v="OK"/>
    <s v="1980s"/>
    <s v="Low"/>
    <s v="Health"/>
  </r>
  <r>
    <s v="GM-03371"/>
    <s v="Niger"/>
    <x v="2"/>
    <x v="7"/>
    <x v="1"/>
    <s v="Population, total"/>
    <s v="Demographics"/>
    <s v="SDG 11: Sustainable Cities and Communities"/>
    <n v="7332638"/>
    <s v="People"/>
    <s v="Niger|1987"/>
    <s v="Gapminder/Plotly country-year extract reshaped to long indicator format for education"/>
    <s v="OK"/>
    <s v="1980s"/>
    <s v="N/A"/>
    <s v="Demographics"/>
  </r>
  <r>
    <s v="GM-03372"/>
    <s v="Niger"/>
    <x v="2"/>
    <x v="7"/>
    <x v="2"/>
    <s v="GDP per capita"/>
    <s v="Economy"/>
    <s v="SDG 8: Decent Work and Economic Growth"/>
    <n v="668.30002279999997"/>
    <s v="Source-defined international dollars"/>
    <s v="Niger|1987"/>
    <s v="Gapminder/Plotly country-year extract reshaped to long indicator format for education"/>
    <s v="OK"/>
    <s v="1980s"/>
    <s v="N/A"/>
    <s v="Economy"/>
  </r>
  <r>
    <s v="GM-03373"/>
    <s v="Niger"/>
    <x v="2"/>
    <x v="8"/>
    <x v="0"/>
    <s v="Life expectancy at birth"/>
    <s v="Health"/>
    <s v="SDG 3: Good Health and Well-being"/>
    <n v="47.390999999999998"/>
    <s v="Years"/>
    <s v="Niger|1992"/>
    <s v="Gapminder/Plotly country-year extract reshaped to long indicator format for education"/>
    <s v="OK"/>
    <s v="1990s"/>
    <s v="Low"/>
    <s v="Health"/>
  </r>
  <r>
    <s v="GM-03374"/>
    <s v="Niger"/>
    <x v="2"/>
    <x v="8"/>
    <x v="1"/>
    <s v="Population, total"/>
    <s v="Demographics"/>
    <s v="SDG 11: Sustainable Cities and Communities"/>
    <n v="8392818"/>
    <s v="People"/>
    <s v="Niger|1992"/>
    <s v="Gapminder/Plotly country-year extract reshaped to long indicator format for education"/>
    <s v="OK"/>
    <s v="1990s"/>
    <s v="N/A"/>
    <s v="Demographics"/>
  </r>
  <r>
    <s v="GM-03375"/>
    <s v="Niger"/>
    <x v="2"/>
    <x v="8"/>
    <x v="2"/>
    <s v="GDP per capita"/>
    <s v="Economy"/>
    <s v="SDG 8: Decent Work and Economic Growth"/>
    <n v="581.182725"/>
    <s v="Source-defined international dollars"/>
    <s v="Niger|1992"/>
    <s v="Gapminder/Plotly country-year extract reshaped to long indicator format for education"/>
    <s v="OK"/>
    <s v="1990s"/>
    <s v="N/A"/>
    <s v="Economy"/>
  </r>
  <r>
    <s v="GM-03376"/>
    <s v="Niger"/>
    <x v="2"/>
    <x v="9"/>
    <x v="0"/>
    <s v="Life expectancy at birth"/>
    <s v="Health"/>
    <s v="SDG 3: Good Health and Well-being"/>
    <n v="51.313000000000002"/>
    <s v="Years"/>
    <s v="Niger|1997"/>
    <s v="Gapminder/Plotly country-year extract reshaped to long indicator format for education"/>
    <s v="OK"/>
    <s v="1990s"/>
    <s v="Low"/>
    <s v="Health"/>
  </r>
  <r>
    <s v="GM-03377"/>
    <s v="Niger"/>
    <x v="2"/>
    <x v="9"/>
    <x v="1"/>
    <s v="Population, total"/>
    <s v="Demographics"/>
    <s v="SDG 11: Sustainable Cities and Communities"/>
    <n v="9666252"/>
    <s v="People"/>
    <s v="Niger|1997"/>
    <s v="Gapminder/Plotly country-year extract reshaped to long indicator format for education"/>
    <s v="OK"/>
    <s v="1990s"/>
    <s v="N/A"/>
    <s v="Demographics"/>
  </r>
  <r>
    <s v="GM-03378"/>
    <s v="Niger"/>
    <x v="2"/>
    <x v="9"/>
    <x v="2"/>
    <s v="GDP per capita"/>
    <s v="Economy"/>
    <s v="SDG 8: Decent Work and Economic Growth"/>
    <n v="580.30520920000004"/>
    <s v="Source-defined international dollars"/>
    <s v="Niger|1997"/>
    <s v="Gapminder/Plotly country-year extract reshaped to long indicator format for education"/>
    <s v="OK"/>
    <s v="1990s"/>
    <s v="N/A"/>
    <s v="Economy"/>
  </r>
  <r>
    <s v="GM-03379"/>
    <s v="Niger"/>
    <x v="2"/>
    <x v="10"/>
    <x v="0"/>
    <s v="Life expectancy at birth"/>
    <s v="Health"/>
    <s v="SDG 3: Good Health and Well-being"/>
    <n v="54.496000000000002"/>
    <s v="Years"/>
    <s v="Niger|2002"/>
    <s v="Gapminder/Plotly country-year extract reshaped to long indicator format for education"/>
    <s v="OK"/>
    <s v="2000s"/>
    <s v="Low"/>
    <s v="Health"/>
  </r>
  <r>
    <s v="GM-03380"/>
    <s v="Niger"/>
    <x v="2"/>
    <x v="10"/>
    <x v="1"/>
    <s v="Population, total"/>
    <s v="Demographics"/>
    <s v="SDG 11: Sustainable Cities and Communities"/>
    <n v="11140655"/>
    <s v="People"/>
    <s v="Niger|2002"/>
    <s v="Gapminder/Plotly country-year extract reshaped to long indicator format for education"/>
    <s v="OK"/>
    <s v="2000s"/>
    <s v="N/A"/>
    <s v="Demographics"/>
  </r>
  <r>
    <s v="GM-03381"/>
    <s v="Niger"/>
    <x v="2"/>
    <x v="10"/>
    <x v="2"/>
    <s v="GDP per capita"/>
    <s v="Economy"/>
    <s v="SDG 8: Decent Work and Economic Growth"/>
    <n v="601.07450119999999"/>
    <s v="Source-defined international dollars"/>
    <s v="Niger|2002"/>
    <s v="Gapminder/Plotly country-year extract reshaped to long indicator format for education"/>
    <s v="OK"/>
    <s v="2000s"/>
    <s v="N/A"/>
    <s v="Economy"/>
  </r>
  <r>
    <s v="GM-03382"/>
    <s v="Niger"/>
    <x v="2"/>
    <x v="11"/>
    <x v="0"/>
    <s v="Life expectancy at birth"/>
    <s v="Health"/>
    <s v="SDG 3: Good Health and Well-being"/>
    <n v="56.866999999999997"/>
    <s v="Years"/>
    <s v="Niger|2007"/>
    <s v="Gapminder/Plotly country-year extract reshaped to long indicator format for education"/>
    <s v="OK"/>
    <s v="2000s"/>
    <s v="Medium"/>
    <s v="Health"/>
  </r>
  <r>
    <s v="GM-03383"/>
    <s v="Niger"/>
    <x v="2"/>
    <x v="11"/>
    <x v="1"/>
    <s v="Population, total"/>
    <s v="Demographics"/>
    <s v="SDG 11: Sustainable Cities and Communities"/>
    <n v="12894865"/>
    <s v="People"/>
    <s v="Niger|2007"/>
    <s v="Gapminder/Plotly country-year extract reshaped to long indicator format for education"/>
    <s v="OK"/>
    <s v="2000s"/>
    <s v="N/A"/>
    <s v="Demographics"/>
  </r>
  <r>
    <s v="GM-03384"/>
    <s v="Niger"/>
    <x v="2"/>
    <x v="11"/>
    <x v="2"/>
    <s v="GDP per capita"/>
    <s v="Economy"/>
    <s v="SDG 8: Decent Work and Economic Growth"/>
    <n v="619.67689239999902"/>
    <s v="Source-defined international dollars"/>
    <s v="Niger|2007"/>
    <s v="Gapminder/Plotly country-year extract reshaped to long indicator format for education"/>
    <s v="OK"/>
    <s v="2000s"/>
    <s v="N/A"/>
    <s v="Economy"/>
  </r>
  <r>
    <s v="GM-03385"/>
    <s v="Nigeria"/>
    <x v="2"/>
    <x v="0"/>
    <x v="0"/>
    <s v="Life expectancy at birth"/>
    <s v="Health"/>
    <s v="SDG 3: Good Health and Well-being"/>
    <n v="36.323999999999998"/>
    <s v="Years"/>
    <s v="Nigeria|1952"/>
    <s v="Gapminder/Plotly country-year extract reshaped to long indicator format for education"/>
    <s v="OK"/>
    <s v="1950s"/>
    <s v="Low"/>
    <s v="Health"/>
  </r>
  <r>
    <s v="GM-03386"/>
    <s v="Nigeria"/>
    <x v="2"/>
    <x v="0"/>
    <x v="1"/>
    <s v="Population, total"/>
    <s v="Demographics"/>
    <s v="SDG 11: Sustainable Cities and Communities"/>
    <n v="33119096"/>
    <s v="People"/>
    <s v="Nigeria|1952"/>
    <s v="Gapminder/Plotly country-year extract reshaped to long indicator format for education"/>
    <s v="OK"/>
    <s v="1950s"/>
    <s v="N/A"/>
    <s v="Demographics"/>
  </r>
  <r>
    <s v="GM-03387"/>
    <s v="Nigeria"/>
    <x v="2"/>
    <x v="0"/>
    <x v="2"/>
    <s v="GDP per capita"/>
    <s v="Economy"/>
    <s v="SDG 8: Decent Work and Economic Growth"/>
    <n v="1077.2818560000001"/>
    <s v="Source-defined international dollars"/>
    <s v="Nigeria|1952"/>
    <s v="Gapminder/Plotly country-year extract reshaped to long indicator format for education"/>
    <s v="OK"/>
    <s v="1950s"/>
    <s v="N/A"/>
    <s v="Economy"/>
  </r>
  <r>
    <s v="GM-03388"/>
    <s v="Nigeria"/>
    <x v="2"/>
    <x v="1"/>
    <x v="0"/>
    <s v="Life expectancy at birth"/>
    <s v="Health"/>
    <s v="SDG 3: Good Health and Well-being"/>
    <n v="37.802"/>
    <s v="Years"/>
    <s v="Nigeria|1957"/>
    <s v="Gapminder/Plotly country-year extract reshaped to long indicator format for education"/>
    <s v="OK"/>
    <s v="1950s"/>
    <s v="Low"/>
    <s v="Health"/>
  </r>
  <r>
    <s v="GM-03389"/>
    <s v="Nigeria"/>
    <x v="2"/>
    <x v="1"/>
    <x v="1"/>
    <s v="Population, total"/>
    <s v="Demographics"/>
    <s v="SDG 11: Sustainable Cities and Communities"/>
    <n v="37173340"/>
    <s v="People"/>
    <s v="Nigeria|1957"/>
    <s v="Gapminder/Plotly country-year extract reshaped to long indicator format for education"/>
    <s v="OK"/>
    <s v="1950s"/>
    <s v="N/A"/>
    <s v="Demographics"/>
  </r>
  <r>
    <s v="GM-03390"/>
    <s v="Nigeria"/>
    <x v="2"/>
    <x v="1"/>
    <x v="2"/>
    <s v="GDP per capita"/>
    <s v="Economy"/>
    <s v="SDG 8: Decent Work and Economic Growth"/>
    <n v="1100.5925629999999"/>
    <s v="Source-defined international dollars"/>
    <s v="Nigeria|1957"/>
    <s v="Gapminder/Plotly country-year extract reshaped to long indicator format for education"/>
    <s v="OK"/>
    <s v="1950s"/>
    <s v="N/A"/>
    <s v="Economy"/>
  </r>
  <r>
    <s v="GM-03391"/>
    <s v="Nigeria"/>
    <x v="2"/>
    <x v="2"/>
    <x v="0"/>
    <s v="Life expectancy at birth"/>
    <s v="Health"/>
    <s v="SDG 3: Good Health and Well-being"/>
    <n v="39.36"/>
    <s v="Years"/>
    <s v="Nigeria|1962"/>
    <s v="Gapminder/Plotly country-year extract reshaped to long indicator format for education"/>
    <s v="OK"/>
    <s v="1960s"/>
    <s v="Low"/>
    <s v="Health"/>
  </r>
  <r>
    <s v="GM-03392"/>
    <s v="Nigeria"/>
    <x v="2"/>
    <x v="2"/>
    <x v="1"/>
    <s v="Population, total"/>
    <s v="Demographics"/>
    <s v="SDG 11: Sustainable Cities and Communities"/>
    <n v="41871351"/>
    <s v="People"/>
    <s v="Nigeria|1962"/>
    <s v="Gapminder/Plotly country-year extract reshaped to long indicator format for education"/>
    <s v="OK"/>
    <s v="1960s"/>
    <s v="N/A"/>
    <s v="Demographics"/>
  </r>
  <r>
    <s v="GM-03393"/>
    <s v="Nigeria"/>
    <x v="2"/>
    <x v="2"/>
    <x v="2"/>
    <s v="GDP per capita"/>
    <s v="Economy"/>
    <s v="SDG 8: Decent Work and Economic Growth"/>
    <n v="1150.9274779999901"/>
    <s v="Source-defined international dollars"/>
    <s v="Nigeria|1962"/>
    <s v="Gapminder/Plotly country-year extract reshaped to long indicator format for education"/>
    <s v="OK"/>
    <s v="1960s"/>
    <s v="N/A"/>
    <s v="Economy"/>
  </r>
  <r>
    <s v="GM-03394"/>
    <s v="Nigeria"/>
    <x v="2"/>
    <x v="3"/>
    <x v="0"/>
    <s v="Life expectancy at birth"/>
    <s v="Health"/>
    <s v="SDG 3: Good Health and Well-being"/>
    <n v="41.04"/>
    <s v="Years"/>
    <s v="Nigeria|1967"/>
    <s v="Gapminder/Plotly country-year extract reshaped to long indicator format for education"/>
    <s v="OK"/>
    <s v="1960s"/>
    <s v="Low"/>
    <s v="Health"/>
  </r>
  <r>
    <s v="GM-03395"/>
    <s v="Nigeria"/>
    <x v="2"/>
    <x v="3"/>
    <x v="1"/>
    <s v="Population, total"/>
    <s v="Demographics"/>
    <s v="SDG 11: Sustainable Cities and Communities"/>
    <n v="47287752"/>
    <s v="People"/>
    <s v="Nigeria|1967"/>
    <s v="Gapminder/Plotly country-year extract reshaped to long indicator format for education"/>
    <s v="OK"/>
    <s v="1960s"/>
    <s v="N/A"/>
    <s v="Demographics"/>
  </r>
  <r>
    <s v="GM-03396"/>
    <s v="Nigeria"/>
    <x v="2"/>
    <x v="3"/>
    <x v="2"/>
    <s v="GDP per capita"/>
    <s v="Economy"/>
    <s v="SDG 8: Decent Work and Economic Growth"/>
    <n v="1014.514104"/>
    <s v="Source-defined international dollars"/>
    <s v="Nigeria|1967"/>
    <s v="Gapminder/Plotly country-year extract reshaped to long indicator format for education"/>
    <s v="OK"/>
    <s v="1960s"/>
    <s v="N/A"/>
    <s v="Economy"/>
  </r>
  <r>
    <s v="GM-03397"/>
    <s v="Nigeria"/>
    <x v="2"/>
    <x v="4"/>
    <x v="0"/>
    <s v="Life expectancy at birth"/>
    <s v="Health"/>
    <s v="SDG 3: Good Health and Well-being"/>
    <n v="42.820999999999998"/>
    <s v="Years"/>
    <s v="Nigeria|1972"/>
    <s v="Gapminder/Plotly country-year extract reshaped to long indicator format for education"/>
    <s v="OK"/>
    <s v="1970s"/>
    <s v="Low"/>
    <s v="Health"/>
  </r>
  <r>
    <s v="GM-03398"/>
    <s v="Nigeria"/>
    <x v="2"/>
    <x v="4"/>
    <x v="1"/>
    <s v="Population, total"/>
    <s v="Demographics"/>
    <s v="SDG 11: Sustainable Cities and Communities"/>
    <n v="53740085"/>
    <s v="People"/>
    <s v="Nigeria|1972"/>
    <s v="Gapminder/Plotly country-year extract reshaped to long indicator format for education"/>
    <s v="OK"/>
    <s v="1970s"/>
    <s v="N/A"/>
    <s v="Demographics"/>
  </r>
  <r>
    <s v="GM-03399"/>
    <s v="Nigeria"/>
    <x v="2"/>
    <x v="4"/>
    <x v="2"/>
    <s v="GDP per capita"/>
    <s v="Economy"/>
    <s v="SDG 8: Decent Work and Economic Growth"/>
    <n v="1698.3888380000001"/>
    <s v="Source-defined international dollars"/>
    <s v="Nigeria|1972"/>
    <s v="Gapminder/Plotly country-year extract reshaped to long indicator format for education"/>
    <s v="OK"/>
    <s v="1970s"/>
    <s v="N/A"/>
    <s v="Economy"/>
  </r>
  <r>
    <s v="GM-03400"/>
    <s v="Nigeria"/>
    <x v="2"/>
    <x v="5"/>
    <x v="0"/>
    <s v="Life expectancy at birth"/>
    <s v="Health"/>
    <s v="SDG 3: Good Health and Well-being"/>
    <n v="44.514000000000003"/>
    <s v="Years"/>
    <s v="Nigeria|1977"/>
    <s v="Gapminder/Plotly country-year extract reshaped to long indicator format for education"/>
    <s v="OK"/>
    <s v="1970s"/>
    <s v="Low"/>
    <s v="Health"/>
  </r>
  <r>
    <s v="GM-03401"/>
    <s v="Nigeria"/>
    <x v="2"/>
    <x v="5"/>
    <x v="1"/>
    <s v="Population, total"/>
    <s v="Demographics"/>
    <s v="SDG 11: Sustainable Cities and Communities"/>
    <n v="62209173"/>
    <s v="People"/>
    <s v="Nigeria|1977"/>
    <s v="Gapminder/Plotly country-year extract reshaped to long indicator format for education"/>
    <s v="OK"/>
    <s v="1970s"/>
    <s v="N/A"/>
    <s v="Demographics"/>
  </r>
  <r>
    <s v="GM-03402"/>
    <s v="Nigeria"/>
    <x v="2"/>
    <x v="5"/>
    <x v="2"/>
    <s v="GDP per capita"/>
    <s v="Economy"/>
    <s v="SDG 8: Decent Work and Economic Growth"/>
    <n v="1981.951806"/>
    <s v="Source-defined international dollars"/>
    <s v="Nigeria|1977"/>
    <s v="Gapminder/Plotly country-year extract reshaped to long indicator format for education"/>
    <s v="OK"/>
    <s v="1970s"/>
    <s v="N/A"/>
    <s v="Economy"/>
  </r>
  <r>
    <s v="GM-03403"/>
    <s v="Nigeria"/>
    <x v="2"/>
    <x v="6"/>
    <x v="0"/>
    <s v="Life expectancy at birth"/>
    <s v="Health"/>
    <s v="SDG 3: Good Health and Well-being"/>
    <n v="45.826000000000001"/>
    <s v="Years"/>
    <s v="Nigeria|1982"/>
    <s v="Gapminder/Plotly country-year extract reshaped to long indicator format for education"/>
    <s v="OK"/>
    <s v="1980s"/>
    <s v="Low"/>
    <s v="Health"/>
  </r>
  <r>
    <s v="GM-03404"/>
    <s v="Nigeria"/>
    <x v="2"/>
    <x v="6"/>
    <x v="1"/>
    <s v="Population, total"/>
    <s v="Demographics"/>
    <s v="SDG 11: Sustainable Cities and Communities"/>
    <n v="73039376"/>
    <s v="People"/>
    <s v="Nigeria|1982"/>
    <s v="Gapminder/Plotly country-year extract reshaped to long indicator format for education"/>
    <s v="OK"/>
    <s v="1980s"/>
    <s v="N/A"/>
    <s v="Demographics"/>
  </r>
  <r>
    <s v="GM-03405"/>
    <s v="Nigeria"/>
    <x v="2"/>
    <x v="6"/>
    <x v="2"/>
    <s v="GDP per capita"/>
    <s v="Economy"/>
    <s v="SDG 8: Decent Work and Economic Growth"/>
    <n v="1576.9737500000001"/>
    <s v="Source-defined international dollars"/>
    <s v="Nigeria|1982"/>
    <s v="Gapminder/Plotly country-year extract reshaped to long indicator format for education"/>
    <s v="OK"/>
    <s v="1980s"/>
    <s v="N/A"/>
    <s v="Economy"/>
  </r>
  <r>
    <s v="GM-03406"/>
    <s v="Nigeria"/>
    <x v="2"/>
    <x v="7"/>
    <x v="0"/>
    <s v="Life expectancy at birth"/>
    <s v="Health"/>
    <s v="SDG 3: Good Health and Well-being"/>
    <n v="46.886000000000003"/>
    <s v="Years"/>
    <s v="Nigeria|1987"/>
    <s v="Gapminder/Plotly country-year extract reshaped to long indicator format for education"/>
    <s v="OK"/>
    <s v="1980s"/>
    <s v="Low"/>
    <s v="Health"/>
  </r>
  <r>
    <s v="GM-03407"/>
    <s v="Nigeria"/>
    <x v="2"/>
    <x v="7"/>
    <x v="1"/>
    <s v="Population, total"/>
    <s v="Demographics"/>
    <s v="SDG 11: Sustainable Cities and Communities"/>
    <n v="81551520"/>
    <s v="People"/>
    <s v="Nigeria|1987"/>
    <s v="Gapminder/Plotly country-year extract reshaped to long indicator format for education"/>
    <s v="OK"/>
    <s v="1980s"/>
    <s v="N/A"/>
    <s v="Demographics"/>
  </r>
  <r>
    <s v="GM-03408"/>
    <s v="Nigeria"/>
    <x v="2"/>
    <x v="7"/>
    <x v="2"/>
    <s v="GDP per capita"/>
    <s v="Economy"/>
    <s v="SDG 8: Decent Work and Economic Growth"/>
    <n v="1385.0295630000001"/>
    <s v="Source-defined international dollars"/>
    <s v="Nigeria|1987"/>
    <s v="Gapminder/Plotly country-year extract reshaped to long indicator format for education"/>
    <s v="OK"/>
    <s v="1980s"/>
    <s v="N/A"/>
    <s v="Economy"/>
  </r>
  <r>
    <s v="GM-03409"/>
    <s v="Nigeria"/>
    <x v="2"/>
    <x v="8"/>
    <x v="0"/>
    <s v="Life expectancy at birth"/>
    <s v="Health"/>
    <s v="SDG 3: Good Health and Well-being"/>
    <n v="47.472000000000001"/>
    <s v="Years"/>
    <s v="Nigeria|1992"/>
    <s v="Gapminder/Plotly country-year extract reshaped to long indicator format for education"/>
    <s v="OK"/>
    <s v="1990s"/>
    <s v="Low"/>
    <s v="Health"/>
  </r>
  <r>
    <s v="GM-03410"/>
    <s v="Nigeria"/>
    <x v="2"/>
    <x v="8"/>
    <x v="1"/>
    <s v="Population, total"/>
    <s v="Demographics"/>
    <s v="SDG 11: Sustainable Cities and Communities"/>
    <n v="93364244"/>
    <s v="People"/>
    <s v="Nigeria|1992"/>
    <s v="Gapminder/Plotly country-year extract reshaped to long indicator format for education"/>
    <s v="OK"/>
    <s v="1990s"/>
    <s v="N/A"/>
    <s v="Demographics"/>
  </r>
  <r>
    <s v="GM-03411"/>
    <s v="Nigeria"/>
    <x v="2"/>
    <x v="8"/>
    <x v="2"/>
    <s v="GDP per capita"/>
    <s v="Economy"/>
    <s v="SDG 8: Decent Work and Economic Growth"/>
    <n v="1619.848217"/>
    <s v="Source-defined international dollars"/>
    <s v="Nigeria|1992"/>
    <s v="Gapminder/Plotly country-year extract reshaped to long indicator format for education"/>
    <s v="OK"/>
    <s v="1990s"/>
    <s v="N/A"/>
    <s v="Economy"/>
  </r>
  <r>
    <s v="GM-03412"/>
    <s v="Nigeria"/>
    <x v="2"/>
    <x v="9"/>
    <x v="0"/>
    <s v="Life expectancy at birth"/>
    <s v="Health"/>
    <s v="SDG 3: Good Health and Well-being"/>
    <n v="47.463999999999999"/>
    <s v="Years"/>
    <s v="Nigeria|1997"/>
    <s v="Gapminder/Plotly country-year extract reshaped to long indicator format for education"/>
    <s v="OK"/>
    <s v="1990s"/>
    <s v="Low"/>
    <s v="Health"/>
  </r>
  <r>
    <s v="GM-03413"/>
    <s v="Nigeria"/>
    <x v="2"/>
    <x v="9"/>
    <x v="1"/>
    <s v="Population, total"/>
    <s v="Demographics"/>
    <s v="SDG 11: Sustainable Cities and Communities"/>
    <n v="106207839"/>
    <s v="People"/>
    <s v="Nigeria|1997"/>
    <s v="Gapminder/Plotly country-year extract reshaped to long indicator format for education"/>
    <s v="OK"/>
    <s v="1990s"/>
    <s v="N/A"/>
    <s v="Demographics"/>
  </r>
  <r>
    <s v="GM-03414"/>
    <s v="Nigeria"/>
    <x v="2"/>
    <x v="9"/>
    <x v="2"/>
    <s v="GDP per capita"/>
    <s v="Economy"/>
    <s v="SDG 8: Decent Work and Economic Growth"/>
    <n v="1624.9412749999999"/>
    <s v="Source-defined international dollars"/>
    <s v="Nigeria|1997"/>
    <s v="Gapminder/Plotly country-year extract reshaped to long indicator format for education"/>
    <s v="OK"/>
    <s v="1990s"/>
    <s v="N/A"/>
    <s v="Economy"/>
  </r>
  <r>
    <s v="GM-03415"/>
    <s v="Nigeria"/>
    <x v="2"/>
    <x v="10"/>
    <x v="0"/>
    <s v="Life expectancy at birth"/>
    <s v="Health"/>
    <s v="SDG 3: Good Health and Well-being"/>
    <n v="46.607999999999997"/>
    <s v="Years"/>
    <s v="Nigeria|2002"/>
    <s v="Gapminder/Plotly country-year extract reshaped to long indicator format for education"/>
    <s v="OK"/>
    <s v="2000s"/>
    <s v="Low"/>
    <s v="Health"/>
  </r>
  <r>
    <s v="GM-03416"/>
    <s v="Nigeria"/>
    <x v="2"/>
    <x v="10"/>
    <x v="1"/>
    <s v="Population, total"/>
    <s v="Demographics"/>
    <s v="SDG 11: Sustainable Cities and Communities"/>
    <n v="119901274"/>
    <s v="People"/>
    <s v="Nigeria|2002"/>
    <s v="Gapminder/Plotly country-year extract reshaped to long indicator format for education"/>
    <s v="OK"/>
    <s v="2000s"/>
    <s v="N/A"/>
    <s v="Demographics"/>
  </r>
  <r>
    <s v="GM-03417"/>
    <s v="Nigeria"/>
    <x v="2"/>
    <x v="10"/>
    <x v="2"/>
    <s v="GDP per capita"/>
    <s v="Economy"/>
    <s v="SDG 8: Decent Work and Economic Growth"/>
    <n v="1615.2863950000001"/>
    <s v="Source-defined international dollars"/>
    <s v="Nigeria|2002"/>
    <s v="Gapminder/Plotly country-year extract reshaped to long indicator format for education"/>
    <s v="OK"/>
    <s v="2000s"/>
    <s v="N/A"/>
    <s v="Economy"/>
  </r>
  <r>
    <s v="GM-03418"/>
    <s v="Nigeria"/>
    <x v="2"/>
    <x v="11"/>
    <x v="0"/>
    <s v="Life expectancy at birth"/>
    <s v="Health"/>
    <s v="SDG 3: Good Health and Well-being"/>
    <n v="46.859000000000002"/>
    <s v="Years"/>
    <s v="Nigeria|2007"/>
    <s v="Gapminder/Plotly country-year extract reshaped to long indicator format for education"/>
    <s v="OK"/>
    <s v="2000s"/>
    <s v="Low"/>
    <s v="Health"/>
  </r>
  <r>
    <s v="GM-03419"/>
    <s v="Nigeria"/>
    <x v="2"/>
    <x v="11"/>
    <x v="1"/>
    <s v="Population, total"/>
    <s v="Demographics"/>
    <s v="SDG 11: Sustainable Cities and Communities"/>
    <n v="135031164"/>
    <s v="People"/>
    <s v="Nigeria|2007"/>
    <s v="Gapminder/Plotly country-year extract reshaped to long indicator format for education"/>
    <s v="OK"/>
    <s v="2000s"/>
    <s v="N/A"/>
    <s v="Demographics"/>
  </r>
  <r>
    <s v="GM-03420"/>
    <s v="Nigeria"/>
    <x v="2"/>
    <x v="11"/>
    <x v="2"/>
    <s v="GDP per capita"/>
    <s v="Economy"/>
    <s v="SDG 8: Decent Work and Economic Growth"/>
    <n v="2013.9773049999999"/>
    <s v="Source-defined international dollars"/>
    <s v="Nigeria|2007"/>
    <s v="Gapminder/Plotly country-year extract reshaped to long indicator format for education"/>
    <s v="OK"/>
    <s v="2000s"/>
    <s v="N/A"/>
    <s v="Economy"/>
  </r>
  <r>
    <s v="GM-03421"/>
    <s v="Norway"/>
    <x v="1"/>
    <x v="0"/>
    <x v="0"/>
    <s v="Life expectancy at birth"/>
    <s v="Health"/>
    <s v="SDG 3: Good Health and Well-being"/>
    <n v="72.67"/>
    <s v="Years"/>
    <s v="Norway|1952"/>
    <s v="Gapminder/Plotly country-year extract reshaped to long indicator format for education"/>
    <s v="OK"/>
    <s v="1950s"/>
    <s v="High"/>
    <s v="Health"/>
  </r>
  <r>
    <s v="GM-03422"/>
    <s v="Norway"/>
    <x v="1"/>
    <x v="0"/>
    <x v="1"/>
    <s v="Population, total"/>
    <s v="Demographics"/>
    <s v="SDG 11: Sustainable Cities and Communities"/>
    <n v="3327728"/>
    <s v="People"/>
    <s v="Norway|1952"/>
    <s v="Gapminder/Plotly country-year extract reshaped to long indicator format for education"/>
    <s v="OK"/>
    <s v="1950s"/>
    <s v="N/A"/>
    <s v="Demographics"/>
  </r>
  <r>
    <s v="GM-03423"/>
    <s v="Norway"/>
    <x v="1"/>
    <x v="0"/>
    <x v="2"/>
    <s v="GDP per capita"/>
    <s v="Economy"/>
    <s v="SDG 8: Decent Work and Economic Growth"/>
    <n v="10095.42172"/>
    <s v="Source-defined international dollars"/>
    <s v="Norway|1952"/>
    <s v="Gapminder/Plotly country-year extract reshaped to long indicator format for education"/>
    <s v="OK"/>
    <s v="1950s"/>
    <s v="N/A"/>
    <s v="Economy"/>
  </r>
  <r>
    <s v="GM-03424"/>
    <s v="Norway"/>
    <x v="1"/>
    <x v="1"/>
    <x v="0"/>
    <s v="Life expectancy at birth"/>
    <s v="Health"/>
    <s v="SDG 3: Good Health and Well-being"/>
    <n v="73.44"/>
    <s v="Years"/>
    <s v="Norway|1957"/>
    <s v="Gapminder/Plotly country-year extract reshaped to long indicator format for education"/>
    <s v="OK"/>
    <s v="1950s"/>
    <s v="High"/>
    <s v="Health"/>
  </r>
  <r>
    <s v="GM-03425"/>
    <s v="Norway"/>
    <x v="1"/>
    <x v="1"/>
    <x v="1"/>
    <s v="Population, total"/>
    <s v="Demographics"/>
    <s v="SDG 11: Sustainable Cities and Communities"/>
    <n v="3491938"/>
    <s v="People"/>
    <s v="Norway|1957"/>
    <s v="Gapminder/Plotly country-year extract reshaped to long indicator format for education"/>
    <s v="OK"/>
    <s v="1950s"/>
    <s v="N/A"/>
    <s v="Demographics"/>
  </r>
  <r>
    <s v="GM-03426"/>
    <s v="Norway"/>
    <x v="1"/>
    <x v="1"/>
    <x v="2"/>
    <s v="GDP per capita"/>
    <s v="Economy"/>
    <s v="SDG 8: Decent Work and Economic Growth"/>
    <n v="11653.973040000001"/>
    <s v="Source-defined international dollars"/>
    <s v="Norway|1957"/>
    <s v="Gapminder/Plotly country-year extract reshaped to long indicator format for education"/>
    <s v="OK"/>
    <s v="1950s"/>
    <s v="N/A"/>
    <s v="Economy"/>
  </r>
  <r>
    <s v="GM-03427"/>
    <s v="Norway"/>
    <x v="1"/>
    <x v="2"/>
    <x v="0"/>
    <s v="Life expectancy at birth"/>
    <s v="Health"/>
    <s v="SDG 3: Good Health and Well-being"/>
    <n v="73.47"/>
    <s v="Years"/>
    <s v="Norway|1962"/>
    <s v="Gapminder/Plotly country-year extract reshaped to long indicator format for education"/>
    <s v="OK"/>
    <s v="1960s"/>
    <s v="High"/>
    <s v="Health"/>
  </r>
  <r>
    <s v="GM-03428"/>
    <s v="Norway"/>
    <x v="1"/>
    <x v="2"/>
    <x v="1"/>
    <s v="Population, total"/>
    <s v="Demographics"/>
    <s v="SDG 11: Sustainable Cities and Communities"/>
    <n v="3638919"/>
    <s v="People"/>
    <s v="Norway|1962"/>
    <s v="Gapminder/Plotly country-year extract reshaped to long indicator format for education"/>
    <s v="OK"/>
    <s v="1960s"/>
    <s v="N/A"/>
    <s v="Demographics"/>
  </r>
  <r>
    <s v="GM-03429"/>
    <s v="Norway"/>
    <x v="1"/>
    <x v="2"/>
    <x v="2"/>
    <s v="GDP per capita"/>
    <s v="Economy"/>
    <s v="SDG 8: Decent Work and Economic Growth"/>
    <n v="13450.40151"/>
    <s v="Source-defined international dollars"/>
    <s v="Norway|1962"/>
    <s v="Gapminder/Plotly country-year extract reshaped to long indicator format for education"/>
    <s v="OK"/>
    <s v="1960s"/>
    <s v="N/A"/>
    <s v="Economy"/>
  </r>
  <r>
    <s v="GM-03430"/>
    <s v="Norway"/>
    <x v="1"/>
    <x v="3"/>
    <x v="0"/>
    <s v="Life expectancy at birth"/>
    <s v="Health"/>
    <s v="SDG 3: Good Health and Well-being"/>
    <n v="74.08"/>
    <s v="Years"/>
    <s v="Norway|1967"/>
    <s v="Gapminder/Plotly country-year extract reshaped to long indicator format for education"/>
    <s v="OK"/>
    <s v="1960s"/>
    <s v="High"/>
    <s v="Health"/>
  </r>
  <r>
    <s v="GM-03431"/>
    <s v="Norway"/>
    <x v="1"/>
    <x v="3"/>
    <x v="1"/>
    <s v="Population, total"/>
    <s v="Demographics"/>
    <s v="SDG 11: Sustainable Cities and Communities"/>
    <n v="3786019"/>
    <s v="People"/>
    <s v="Norway|1967"/>
    <s v="Gapminder/Plotly country-year extract reshaped to long indicator format for education"/>
    <s v="OK"/>
    <s v="1960s"/>
    <s v="N/A"/>
    <s v="Demographics"/>
  </r>
  <r>
    <s v="GM-03432"/>
    <s v="Norway"/>
    <x v="1"/>
    <x v="3"/>
    <x v="2"/>
    <s v="GDP per capita"/>
    <s v="Economy"/>
    <s v="SDG 8: Decent Work and Economic Growth"/>
    <n v="16361.876469999999"/>
    <s v="Source-defined international dollars"/>
    <s v="Norway|1967"/>
    <s v="Gapminder/Plotly country-year extract reshaped to long indicator format for education"/>
    <s v="OK"/>
    <s v="1960s"/>
    <s v="N/A"/>
    <s v="Economy"/>
  </r>
  <r>
    <s v="GM-03433"/>
    <s v="Norway"/>
    <x v="1"/>
    <x v="4"/>
    <x v="0"/>
    <s v="Life expectancy at birth"/>
    <s v="Health"/>
    <s v="SDG 3: Good Health and Well-being"/>
    <n v="74.34"/>
    <s v="Years"/>
    <s v="Norway|1972"/>
    <s v="Gapminder/Plotly country-year extract reshaped to long indicator format for education"/>
    <s v="OK"/>
    <s v="1970s"/>
    <s v="High"/>
    <s v="Health"/>
  </r>
  <r>
    <s v="GM-03434"/>
    <s v="Norway"/>
    <x v="1"/>
    <x v="4"/>
    <x v="1"/>
    <s v="Population, total"/>
    <s v="Demographics"/>
    <s v="SDG 11: Sustainable Cities and Communities"/>
    <n v="3933004"/>
    <s v="People"/>
    <s v="Norway|1972"/>
    <s v="Gapminder/Plotly country-year extract reshaped to long indicator format for education"/>
    <s v="OK"/>
    <s v="1970s"/>
    <s v="N/A"/>
    <s v="Demographics"/>
  </r>
  <r>
    <s v="GM-03435"/>
    <s v="Norway"/>
    <x v="1"/>
    <x v="4"/>
    <x v="2"/>
    <s v="GDP per capita"/>
    <s v="Economy"/>
    <s v="SDG 8: Decent Work and Economic Growth"/>
    <n v="18965.055509999998"/>
    <s v="Source-defined international dollars"/>
    <s v="Norway|1972"/>
    <s v="Gapminder/Plotly country-year extract reshaped to long indicator format for education"/>
    <s v="OK"/>
    <s v="1970s"/>
    <s v="N/A"/>
    <s v="Economy"/>
  </r>
  <r>
    <s v="GM-03436"/>
    <s v="Norway"/>
    <x v="1"/>
    <x v="5"/>
    <x v="0"/>
    <s v="Life expectancy at birth"/>
    <s v="Health"/>
    <s v="SDG 3: Good Health and Well-being"/>
    <n v="75.37"/>
    <s v="Years"/>
    <s v="Norway|1977"/>
    <s v="Gapminder/Plotly country-year extract reshaped to long indicator format for education"/>
    <s v="OK"/>
    <s v="1970s"/>
    <s v="High"/>
    <s v="Health"/>
  </r>
  <r>
    <s v="GM-03437"/>
    <s v="Norway"/>
    <x v="1"/>
    <x v="5"/>
    <x v="1"/>
    <s v="Population, total"/>
    <s v="Demographics"/>
    <s v="SDG 11: Sustainable Cities and Communities"/>
    <n v="4043205"/>
    <s v="People"/>
    <s v="Norway|1977"/>
    <s v="Gapminder/Plotly country-year extract reshaped to long indicator format for education"/>
    <s v="OK"/>
    <s v="1970s"/>
    <s v="N/A"/>
    <s v="Demographics"/>
  </r>
  <r>
    <s v="GM-03438"/>
    <s v="Norway"/>
    <x v="1"/>
    <x v="5"/>
    <x v="2"/>
    <s v="GDP per capita"/>
    <s v="Economy"/>
    <s v="SDG 8: Decent Work and Economic Growth"/>
    <n v="23311.349389999999"/>
    <s v="Source-defined international dollars"/>
    <s v="Norway|1977"/>
    <s v="Gapminder/Plotly country-year extract reshaped to long indicator format for education"/>
    <s v="OK"/>
    <s v="1970s"/>
    <s v="N/A"/>
    <s v="Economy"/>
  </r>
  <r>
    <s v="GM-03439"/>
    <s v="Norway"/>
    <x v="1"/>
    <x v="6"/>
    <x v="0"/>
    <s v="Life expectancy at birth"/>
    <s v="Health"/>
    <s v="SDG 3: Good Health and Well-being"/>
    <n v="75.97"/>
    <s v="Years"/>
    <s v="Norway|1982"/>
    <s v="Gapminder/Plotly country-year extract reshaped to long indicator format for education"/>
    <s v="OK"/>
    <s v="1980s"/>
    <s v="High"/>
    <s v="Health"/>
  </r>
  <r>
    <s v="GM-03440"/>
    <s v="Norway"/>
    <x v="1"/>
    <x v="6"/>
    <x v="1"/>
    <s v="Population, total"/>
    <s v="Demographics"/>
    <s v="SDG 11: Sustainable Cities and Communities"/>
    <n v="4114787"/>
    <s v="People"/>
    <s v="Norway|1982"/>
    <s v="Gapminder/Plotly country-year extract reshaped to long indicator format for education"/>
    <s v="OK"/>
    <s v="1980s"/>
    <s v="N/A"/>
    <s v="Demographics"/>
  </r>
  <r>
    <s v="GM-03441"/>
    <s v="Norway"/>
    <x v="1"/>
    <x v="6"/>
    <x v="2"/>
    <s v="GDP per capita"/>
    <s v="Economy"/>
    <s v="SDG 8: Decent Work and Economic Growth"/>
    <n v="26298.635310000001"/>
    <s v="Source-defined international dollars"/>
    <s v="Norway|1982"/>
    <s v="Gapminder/Plotly country-year extract reshaped to long indicator format for education"/>
    <s v="OK"/>
    <s v="1980s"/>
    <s v="N/A"/>
    <s v="Economy"/>
  </r>
  <r>
    <s v="GM-03442"/>
    <s v="Norway"/>
    <x v="1"/>
    <x v="7"/>
    <x v="0"/>
    <s v="Life expectancy at birth"/>
    <s v="Health"/>
    <s v="SDG 3: Good Health and Well-being"/>
    <n v="75.89"/>
    <s v="Years"/>
    <s v="Norway|1987"/>
    <s v="Gapminder/Plotly country-year extract reshaped to long indicator format for education"/>
    <s v="OK"/>
    <s v="1980s"/>
    <s v="High"/>
    <s v="Health"/>
  </r>
  <r>
    <s v="GM-03443"/>
    <s v="Norway"/>
    <x v="1"/>
    <x v="7"/>
    <x v="1"/>
    <s v="Population, total"/>
    <s v="Demographics"/>
    <s v="SDG 11: Sustainable Cities and Communities"/>
    <n v="4186147"/>
    <s v="People"/>
    <s v="Norway|1987"/>
    <s v="Gapminder/Plotly country-year extract reshaped to long indicator format for education"/>
    <s v="OK"/>
    <s v="1980s"/>
    <s v="N/A"/>
    <s v="Demographics"/>
  </r>
  <r>
    <s v="GM-03444"/>
    <s v="Norway"/>
    <x v="1"/>
    <x v="7"/>
    <x v="2"/>
    <s v="GDP per capita"/>
    <s v="Economy"/>
    <s v="SDG 8: Decent Work and Economic Growth"/>
    <n v="31540.9748"/>
    <s v="Source-defined international dollars"/>
    <s v="Norway|1987"/>
    <s v="Gapminder/Plotly country-year extract reshaped to long indicator format for education"/>
    <s v="OK"/>
    <s v="1980s"/>
    <s v="N/A"/>
    <s v="Economy"/>
  </r>
  <r>
    <s v="GM-03445"/>
    <s v="Norway"/>
    <x v="1"/>
    <x v="8"/>
    <x v="0"/>
    <s v="Life expectancy at birth"/>
    <s v="Health"/>
    <s v="SDG 3: Good Health and Well-being"/>
    <n v="77.319999999999993"/>
    <s v="Years"/>
    <s v="Norway|1992"/>
    <s v="Gapminder/Plotly country-year extract reshaped to long indicator format for education"/>
    <s v="OK"/>
    <s v="1990s"/>
    <s v="High"/>
    <s v="Health"/>
  </r>
  <r>
    <s v="GM-03446"/>
    <s v="Norway"/>
    <x v="1"/>
    <x v="8"/>
    <x v="1"/>
    <s v="Population, total"/>
    <s v="Demographics"/>
    <s v="SDG 11: Sustainable Cities and Communities"/>
    <n v="4286357"/>
    <s v="People"/>
    <s v="Norway|1992"/>
    <s v="Gapminder/Plotly country-year extract reshaped to long indicator format for education"/>
    <s v="OK"/>
    <s v="1990s"/>
    <s v="N/A"/>
    <s v="Demographics"/>
  </r>
  <r>
    <s v="GM-03447"/>
    <s v="Norway"/>
    <x v="1"/>
    <x v="8"/>
    <x v="2"/>
    <s v="GDP per capita"/>
    <s v="Economy"/>
    <s v="SDG 8: Decent Work and Economic Growth"/>
    <n v="33965.66115"/>
    <s v="Source-defined international dollars"/>
    <s v="Norway|1992"/>
    <s v="Gapminder/Plotly country-year extract reshaped to long indicator format for education"/>
    <s v="OK"/>
    <s v="1990s"/>
    <s v="N/A"/>
    <s v="Economy"/>
  </r>
  <r>
    <s v="GM-03448"/>
    <s v="Norway"/>
    <x v="1"/>
    <x v="9"/>
    <x v="0"/>
    <s v="Life expectancy at birth"/>
    <s v="Health"/>
    <s v="SDG 3: Good Health and Well-being"/>
    <n v="78.319999999999993"/>
    <s v="Years"/>
    <s v="Norway|1997"/>
    <s v="Gapminder/Plotly country-year extract reshaped to long indicator format for education"/>
    <s v="OK"/>
    <s v="1990s"/>
    <s v="High"/>
    <s v="Health"/>
  </r>
  <r>
    <s v="GM-03449"/>
    <s v="Norway"/>
    <x v="1"/>
    <x v="9"/>
    <x v="1"/>
    <s v="Population, total"/>
    <s v="Demographics"/>
    <s v="SDG 11: Sustainable Cities and Communities"/>
    <n v="4405672"/>
    <s v="People"/>
    <s v="Norway|1997"/>
    <s v="Gapminder/Plotly country-year extract reshaped to long indicator format for education"/>
    <s v="OK"/>
    <s v="1990s"/>
    <s v="N/A"/>
    <s v="Demographics"/>
  </r>
  <r>
    <s v="GM-03450"/>
    <s v="Norway"/>
    <x v="1"/>
    <x v="9"/>
    <x v="2"/>
    <s v="GDP per capita"/>
    <s v="Economy"/>
    <s v="SDG 8: Decent Work and Economic Growth"/>
    <n v="41283.16433"/>
    <s v="Source-defined international dollars"/>
    <s v="Norway|1997"/>
    <s v="Gapminder/Plotly country-year extract reshaped to long indicator format for education"/>
    <s v="OK"/>
    <s v="1990s"/>
    <s v="N/A"/>
    <s v="Economy"/>
  </r>
  <r>
    <s v="GM-03451"/>
    <s v="Norway"/>
    <x v="1"/>
    <x v="10"/>
    <x v="0"/>
    <s v="Life expectancy at birth"/>
    <s v="Health"/>
    <s v="SDG 3: Good Health and Well-being"/>
    <n v="79.05"/>
    <s v="Years"/>
    <s v="Norway|2002"/>
    <s v="Gapminder/Plotly country-year extract reshaped to long indicator format for education"/>
    <s v="OK"/>
    <s v="2000s"/>
    <s v="High"/>
    <s v="Health"/>
  </r>
  <r>
    <s v="GM-03452"/>
    <s v="Norway"/>
    <x v="1"/>
    <x v="10"/>
    <x v="1"/>
    <s v="Population, total"/>
    <s v="Demographics"/>
    <s v="SDG 11: Sustainable Cities and Communities"/>
    <n v="4535591"/>
    <s v="People"/>
    <s v="Norway|2002"/>
    <s v="Gapminder/Plotly country-year extract reshaped to long indicator format for education"/>
    <s v="OK"/>
    <s v="2000s"/>
    <s v="N/A"/>
    <s v="Demographics"/>
  </r>
  <r>
    <s v="GM-03453"/>
    <s v="Norway"/>
    <x v="1"/>
    <x v="10"/>
    <x v="2"/>
    <s v="GDP per capita"/>
    <s v="Economy"/>
    <s v="SDG 8: Decent Work and Economic Growth"/>
    <n v="44683.975250000003"/>
    <s v="Source-defined international dollars"/>
    <s v="Norway|2002"/>
    <s v="Gapminder/Plotly country-year extract reshaped to long indicator format for education"/>
    <s v="OK"/>
    <s v="2000s"/>
    <s v="N/A"/>
    <s v="Economy"/>
  </r>
  <r>
    <s v="GM-03454"/>
    <s v="Norway"/>
    <x v="1"/>
    <x v="11"/>
    <x v="0"/>
    <s v="Life expectancy at birth"/>
    <s v="Health"/>
    <s v="SDG 3: Good Health and Well-being"/>
    <n v="80.195999999999998"/>
    <s v="Years"/>
    <s v="Norway|2007"/>
    <s v="Gapminder/Plotly country-year extract reshaped to long indicator format for education"/>
    <s v="OK"/>
    <s v="2000s"/>
    <s v="High"/>
    <s v="Health"/>
  </r>
  <r>
    <s v="GM-03455"/>
    <s v="Norway"/>
    <x v="1"/>
    <x v="11"/>
    <x v="1"/>
    <s v="Population, total"/>
    <s v="Demographics"/>
    <s v="SDG 11: Sustainable Cities and Communities"/>
    <n v="4627926"/>
    <s v="People"/>
    <s v="Norway|2007"/>
    <s v="Gapminder/Plotly country-year extract reshaped to long indicator format for education"/>
    <s v="OK"/>
    <s v="2000s"/>
    <s v="N/A"/>
    <s v="Demographics"/>
  </r>
  <r>
    <s v="GM-03456"/>
    <s v="Norway"/>
    <x v="1"/>
    <x v="11"/>
    <x v="2"/>
    <s v="GDP per capita"/>
    <s v="Economy"/>
    <s v="SDG 8: Decent Work and Economic Growth"/>
    <n v="49357.190170000002"/>
    <s v="Source-defined international dollars"/>
    <s v="Norway|2007"/>
    <s v="Gapminder/Plotly country-year extract reshaped to long indicator format for education"/>
    <s v="OK"/>
    <s v="2000s"/>
    <s v="N/A"/>
    <s v="Economy"/>
  </r>
  <r>
    <s v="GM-03457"/>
    <s v="Oman"/>
    <x v="0"/>
    <x v="0"/>
    <x v="0"/>
    <s v="Life expectancy at birth"/>
    <s v="Health"/>
    <s v="SDG 3: Good Health and Well-being"/>
    <n v="37.578000000000003"/>
    <s v="Years"/>
    <s v="Oman|1952"/>
    <s v="Gapminder/Plotly country-year extract reshaped to long indicator format for education"/>
    <s v="OK"/>
    <s v="1950s"/>
    <s v="Low"/>
    <s v="Health"/>
  </r>
  <r>
    <s v="GM-03458"/>
    <s v="Oman"/>
    <x v="0"/>
    <x v="0"/>
    <x v="1"/>
    <s v="Population, total"/>
    <s v="Demographics"/>
    <s v="SDG 11: Sustainable Cities and Communities"/>
    <n v="507833"/>
    <s v="People"/>
    <s v="Oman|1952"/>
    <s v="Gapminder/Plotly country-year extract reshaped to long indicator format for education"/>
    <s v="OK"/>
    <s v="1950s"/>
    <s v="N/A"/>
    <s v="Demographics"/>
  </r>
  <r>
    <s v="GM-03459"/>
    <s v="Oman"/>
    <x v="0"/>
    <x v="0"/>
    <x v="2"/>
    <s v="GDP per capita"/>
    <s v="Economy"/>
    <s v="SDG 8: Decent Work and Economic Growth"/>
    <n v="1828.230307"/>
    <s v="Source-defined international dollars"/>
    <s v="Oman|1952"/>
    <s v="Gapminder/Plotly country-year extract reshaped to long indicator format for education"/>
    <s v="OK"/>
    <s v="1950s"/>
    <s v="N/A"/>
    <s v="Economy"/>
  </r>
  <r>
    <s v="GM-03460"/>
    <s v="Oman"/>
    <x v="0"/>
    <x v="1"/>
    <x v="0"/>
    <s v="Life expectancy at birth"/>
    <s v="Health"/>
    <s v="SDG 3: Good Health and Well-being"/>
    <n v="40.08"/>
    <s v="Years"/>
    <s v="Oman|1957"/>
    <s v="Gapminder/Plotly country-year extract reshaped to long indicator format for education"/>
    <s v="OK"/>
    <s v="1950s"/>
    <s v="Low"/>
    <s v="Health"/>
  </r>
  <r>
    <s v="GM-03461"/>
    <s v="Oman"/>
    <x v="0"/>
    <x v="1"/>
    <x v="1"/>
    <s v="Population, total"/>
    <s v="Demographics"/>
    <s v="SDG 11: Sustainable Cities and Communities"/>
    <n v="561977"/>
    <s v="People"/>
    <s v="Oman|1957"/>
    <s v="Gapminder/Plotly country-year extract reshaped to long indicator format for education"/>
    <s v="OK"/>
    <s v="1950s"/>
    <s v="N/A"/>
    <s v="Demographics"/>
  </r>
  <r>
    <s v="GM-03462"/>
    <s v="Oman"/>
    <x v="0"/>
    <x v="1"/>
    <x v="2"/>
    <s v="GDP per capita"/>
    <s v="Economy"/>
    <s v="SDG 8: Decent Work and Economic Growth"/>
    <n v="2242.7465510000002"/>
    <s v="Source-defined international dollars"/>
    <s v="Oman|1957"/>
    <s v="Gapminder/Plotly country-year extract reshaped to long indicator format for education"/>
    <s v="OK"/>
    <s v="1950s"/>
    <s v="N/A"/>
    <s v="Economy"/>
  </r>
  <r>
    <s v="GM-03463"/>
    <s v="Oman"/>
    <x v="0"/>
    <x v="2"/>
    <x v="0"/>
    <s v="Life expectancy at birth"/>
    <s v="Health"/>
    <s v="SDG 3: Good Health and Well-being"/>
    <n v="43.164999999999999"/>
    <s v="Years"/>
    <s v="Oman|1962"/>
    <s v="Gapminder/Plotly country-year extract reshaped to long indicator format for education"/>
    <s v="OK"/>
    <s v="1960s"/>
    <s v="Low"/>
    <s v="Health"/>
  </r>
  <r>
    <s v="GM-03464"/>
    <s v="Oman"/>
    <x v="0"/>
    <x v="2"/>
    <x v="1"/>
    <s v="Population, total"/>
    <s v="Demographics"/>
    <s v="SDG 11: Sustainable Cities and Communities"/>
    <n v="628164"/>
    <s v="People"/>
    <s v="Oman|1962"/>
    <s v="Gapminder/Plotly country-year extract reshaped to long indicator format for education"/>
    <s v="OK"/>
    <s v="1960s"/>
    <s v="N/A"/>
    <s v="Demographics"/>
  </r>
  <r>
    <s v="GM-03465"/>
    <s v="Oman"/>
    <x v="0"/>
    <x v="2"/>
    <x v="2"/>
    <s v="GDP per capita"/>
    <s v="Economy"/>
    <s v="SDG 8: Decent Work and Economic Growth"/>
    <n v="2924.638113"/>
    <s v="Source-defined international dollars"/>
    <s v="Oman|1962"/>
    <s v="Gapminder/Plotly country-year extract reshaped to long indicator format for education"/>
    <s v="OK"/>
    <s v="1960s"/>
    <s v="N/A"/>
    <s v="Economy"/>
  </r>
  <r>
    <s v="GM-03466"/>
    <s v="Oman"/>
    <x v="0"/>
    <x v="3"/>
    <x v="0"/>
    <s v="Life expectancy at birth"/>
    <s v="Health"/>
    <s v="SDG 3: Good Health and Well-being"/>
    <n v="46.988"/>
    <s v="Years"/>
    <s v="Oman|1967"/>
    <s v="Gapminder/Plotly country-year extract reshaped to long indicator format for education"/>
    <s v="OK"/>
    <s v="1960s"/>
    <s v="Low"/>
    <s v="Health"/>
  </r>
  <r>
    <s v="GM-03467"/>
    <s v="Oman"/>
    <x v="0"/>
    <x v="3"/>
    <x v="1"/>
    <s v="Population, total"/>
    <s v="Demographics"/>
    <s v="SDG 11: Sustainable Cities and Communities"/>
    <n v="714775"/>
    <s v="People"/>
    <s v="Oman|1967"/>
    <s v="Gapminder/Plotly country-year extract reshaped to long indicator format for education"/>
    <s v="OK"/>
    <s v="1960s"/>
    <s v="N/A"/>
    <s v="Demographics"/>
  </r>
  <r>
    <s v="GM-03468"/>
    <s v="Oman"/>
    <x v="0"/>
    <x v="3"/>
    <x v="2"/>
    <s v="GDP per capita"/>
    <s v="Economy"/>
    <s v="SDG 8: Decent Work and Economic Growth"/>
    <n v="4720.9426869999998"/>
    <s v="Source-defined international dollars"/>
    <s v="Oman|1967"/>
    <s v="Gapminder/Plotly country-year extract reshaped to long indicator format for education"/>
    <s v="OK"/>
    <s v="1960s"/>
    <s v="N/A"/>
    <s v="Economy"/>
  </r>
  <r>
    <s v="GM-03469"/>
    <s v="Oman"/>
    <x v="0"/>
    <x v="4"/>
    <x v="0"/>
    <s v="Life expectancy at birth"/>
    <s v="Health"/>
    <s v="SDG 3: Good Health and Well-being"/>
    <n v="52.143000000000001"/>
    <s v="Years"/>
    <s v="Oman|1972"/>
    <s v="Gapminder/Plotly country-year extract reshaped to long indicator format for education"/>
    <s v="OK"/>
    <s v="1970s"/>
    <s v="Low"/>
    <s v="Health"/>
  </r>
  <r>
    <s v="GM-03470"/>
    <s v="Oman"/>
    <x v="0"/>
    <x v="4"/>
    <x v="1"/>
    <s v="Population, total"/>
    <s v="Demographics"/>
    <s v="SDG 11: Sustainable Cities and Communities"/>
    <n v="829050"/>
    <s v="People"/>
    <s v="Oman|1972"/>
    <s v="Gapminder/Plotly country-year extract reshaped to long indicator format for education"/>
    <s v="OK"/>
    <s v="1970s"/>
    <s v="N/A"/>
    <s v="Demographics"/>
  </r>
  <r>
    <s v="GM-03471"/>
    <s v="Oman"/>
    <x v="0"/>
    <x v="4"/>
    <x v="2"/>
    <s v="GDP per capita"/>
    <s v="Economy"/>
    <s v="SDG 8: Decent Work and Economic Growth"/>
    <n v="10618.038549999999"/>
    <s v="Source-defined international dollars"/>
    <s v="Oman|1972"/>
    <s v="Gapminder/Plotly country-year extract reshaped to long indicator format for education"/>
    <s v="OK"/>
    <s v="1970s"/>
    <s v="N/A"/>
    <s v="Economy"/>
  </r>
  <r>
    <s v="GM-03472"/>
    <s v="Oman"/>
    <x v="0"/>
    <x v="5"/>
    <x v="0"/>
    <s v="Life expectancy at birth"/>
    <s v="Health"/>
    <s v="SDG 3: Good Health and Well-being"/>
    <n v="57.366999999999997"/>
    <s v="Years"/>
    <s v="Oman|1977"/>
    <s v="Gapminder/Plotly country-year extract reshaped to long indicator format for education"/>
    <s v="OK"/>
    <s v="1970s"/>
    <s v="Medium"/>
    <s v="Health"/>
  </r>
  <r>
    <s v="GM-03473"/>
    <s v="Oman"/>
    <x v="0"/>
    <x v="5"/>
    <x v="1"/>
    <s v="Population, total"/>
    <s v="Demographics"/>
    <s v="SDG 11: Sustainable Cities and Communities"/>
    <n v="1004533"/>
    <s v="People"/>
    <s v="Oman|1977"/>
    <s v="Gapminder/Plotly country-year extract reshaped to long indicator format for education"/>
    <s v="OK"/>
    <s v="1970s"/>
    <s v="N/A"/>
    <s v="Demographics"/>
  </r>
  <r>
    <s v="GM-03474"/>
    <s v="Oman"/>
    <x v="0"/>
    <x v="5"/>
    <x v="2"/>
    <s v="GDP per capita"/>
    <s v="Economy"/>
    <s v="SDG 8: Decent Work and Economic Growth"/>
    <n v="11848.343919999999"/>
    <s v="Source-defined international dollars"/>
    <s v="Oman|1977"/>
    <s v="Gapminder/Plotly country-year extract reshaped to long indicator format for education"/>
    <s v="OK"/>
    <s v="1970s"/>
    <s v="N/A"/>
    <s v="Economy"/>
  </r>
  <r>
    <s v="GM-03475"/>
    <s v="Oman"/>
    <x v="0"/>
    <x v="6"/>
    <x v="0"/>
    <s v="Life expectancy at birth"/>
    <s v="Health"/>
    <s v="SDG 3: Good Health and Well-being"/>
    <n v="62.728000000000002"/>
    <s v="Years"/>
    <s v="Oman|1982"/>
    <s v="Gapminder/Plotly country-year extract reshaped to long indicator format for education"/>
    <s v="OK"/>
    <s v="1980s"/>
    <s v="Medium"/>
    <s v="Health"/>
  </r>
  <r>
    <s v="GM-03476"/>
    <s v="Oman"/>
    <x v="0"/>
    <x v="6"/>
    <x v="1"/>
    <s v="Population, total"/>
    <s v="Demographics"/>
    <s v="SDG 11: Sustainable Cities and Communities"/>
    <n v="1301048"/>
    <s v="People"/>
    <s v="Oman|1982"/>
    <s v="Gapminder/Plotly country-year extract reshaped to long indicator format for education"/>
    <s v="OK"/>
    <s v="1980s"/>
    <s v="N/A"/>
    <s v="Demographics"/>
  </r>
  <r>
    <s v="GM-03477"/>
    <s v="Oman"/>
    <x v="0"/>
    <x v="6"/>
    <x v="2"/>
    <s v="GDP per capita"/>
    <s v="Economy"/>
    <s v="SDG 8: Decent Work and Economic Growth"/>
    <n v="12954.791010000001"/>
    <s v="Source-defined international dollars"/>
    <s v="Oman|1982"/>
    <s v="Gapminder/Plotly country-year extract reshaped to long indicator format for education"/>
    <s v="OK"/>
    <s v="1980s"/>
    <s v="N/A"/>
    <s v="Economy"/>
  </r>
  <r>
    <s v="GM-03478"/>
    <s v="Oman"/>
    <x v="0"/>
    <x v="7"/>
    <x v="0"/>
    <s v="Life expectancy at birth"/>
    <s v="Health"/>
    <s v="SDG 3: Good Health and Well-being"/>
    <n v="67.733999999999995"/>
    <s v="Years"/>
    <s v="Oman|1987"/>
    <s v="Gapminder/Plotly country-year extract reshaped to long indicator format for education"/>
    <s v="OK"/>
    <s v="1980s"/>
    <s v="Medium"/>
    <s v="Health"/>
  </r>
  <r>
    <s v="GM-03479"/>
    <s v="Oman"/>
    <x v="0"/>
    <x v="7"/>
    <x v="1"/>
    <s v="Population, total"/>
    <s v="Demographics"/>
    <s v="SDG 11: Sustainable Cities and Communities"/>
    <n v="1593882"/>
    <s v="People"/>
    <s v="Oman|1987"/>
    <s v="Gapminder/Plotly country-year extract reshaped to long indicator format for education"/>
    <s v="OK"/>
    <s v="1980s"/>
    <s v="N/A"/>
    <s v="Demographics"/>
  </r>
  <r>
    <s v="GM-03480"/>
    <s v="Oman"/>
    <x v="0"/>
    <x v="7"/>
    <x v="2"/>
    <s v="GDP per capita"/>
    <s v="Economy"/>
    <s v="SDG 8: Decent Work and Economic Growth"/>
    <n v="18115.223129999998"/>
    <s v="Source-defined international dollars"/>
    <s v="Oman|1987"/>
    <s v="Gapminder/Plotly country-year extract reshaped to long indicator format for education"/>
    <s v="OK"/>
    <s v="1980s"/>
    <s v="N/A"/>
    <s v="Economy"/>
  </r>
  <r>
    <s v="GM-03481"/>
    <s v="Oman"/>
    <x v="0"/>
    <x v="8"/>
    <x v="0"/>
    <s v="Life expectancy at birth"/>
    <s v="Health"/>
    <s v="SDG 3: Good Health and Well-being"/>
    <n v="71.197000000000003"/>
    <s v="Years"/>
    <s v="Oman|1992"/>
    <s v="Gapminder/Plotly country-year extract reshaped to long indicator format for education"/>
    <s v="OK"/>
    <s v="1990s"/>
    <s v="High"/>
    <s v="Health"/>
  </r>
  <r>
    <s v="GM-03482"/>
    <s v="Oman"/>
    <x v="0"/>
    <x v="8"/>
    <x v="1"/>
    <s v="Population, total"/>
    <s v="Demographics"/>
    <s v="SDG 11: Sustainable Cities and Communities"/>
    <n v="1915208"/>
    <s v="People"/>
    <s v="Oman|1992"/>
    <s v="Gapminder/Plotly country-year extract reshaped to long indicator format for education"/>
    <s v="OK"/>
    <s v="1990s"/>
    <s v="N/A"/>
    <s v="Demographics"/>
  </r>
  <r>
    <s v="GM-03483"/>
    <s v="Oman"/>
    <x v="0"/>
    <x v="8"/>
    <x v="2"/>
    <s v="GDP per capita"/>
    <s v="Economy"/>
    <s v="SDG 8: Decent Work and Economic Growth"/>
    <n v="18616.706910000001"/>
    <s v="Source-defined international dollars"/>
    <s v="Oman|1992"/>
    <s v="Gapminder/Plotly country-year extract reshaped to long indicator format for education"/>
    <s v="OK"/>
    <s v="1990s"/>
    <s v="N/A"/>
    <s v="Economy"/>
  </r>
  <r>
    <s v="GM-03484"/>
    <s v="Oman"/>
    <x v="0"/>
    <x v="9"/>
    <x v="0"/>
    <s v="Life expectancy at birth"/>
    <s v="Health"/>
    <s v="SDG 3: Good Health and Well-being"/>
    <n v="72.498999999999995"/>
    <s v="Years"/>
    <s v="Oman|1997"/>
    <s v="Gapminder/Plotly country-year extract reshaped to long indicator format for education"/>
    <s v="OK"/>
    <s v="1990s"/>
    <s v="High"/>
    <s v="Health"/>
  </r>
  <r>
    <s v="GM-03485"/>
    <s v="Oman"/>
    <x v="0"/>
    <x v="9"/>
    <x v="1"/>
    <s v="Population, total"/>
    <s v="Demographics"/>
    <s v="SDG 11: Sustainable Cities and Communities"/>
    <n v="2283635"/>
    <s v="People"/>
    <s v="Oman|1997"/>
    <s v="Gapminder/Plotly country-year extract reshaped to long indicator format for education"/>
    <s v="OK"/>
    <s v="1990s"/>
    <s v="N/A"/>
    <s v="Demographics"/>
  </r>
  <r>
    <s v="GM-03486"/>
    <s v="Oman"/>
    <x v="0"/>
    <x v="9"/>
    <x v="2"/>
    <s v="GDP per capita"/>
    <s v="Economy"/>
    <s v="SDG 8: Decent Work and Economic Growth"/>
    <n v="19702.055810000002"/>
    <s v="Source-defined international dollars"/>
    <s v="Oman|1997"/>
    <s v="Gapminder/Plotly country-year extract reshaped to long indicator format for education"/>
    <s v="OK"/>
    <s v="1990s"/>
    <s v="N/A"/>
    <s v="Economy"/>
  </r>
  <r>
    <s v="GM-03487"/>
    <s v="Oman"/>
    <x v="0"/>
    <x v="10"/>
    <x v="0"/>
    <s v="Life expectancy at birth"/>
    <s v="Health"/>
    <s v="SDG 3: Good Health and Well-being"/>
    <n v="74.192999999999998"/>
    <s v="Years"/>
    <s v="Oman|2002"/>
    <s v="Gapminder/Plotly country-year extract reshaped to long indicator format for education"/>
    <s v="OK"/>
    <s v="2000s"/>
    <s v="High"/>
    <s v="Health"/>
  </r>
  <r>
    <s v="GM-03488"/>
    <s v="Oman"/>
    <x v="0"/>
    <x v="10"/>
    <x v="1"/>
    <s v="Population, total"/>
    <s v="Demographics"/>
    <s v="SDG 11: Sustainable Cities and Communities"/>
    <n v="2713462"/>
    <s v="People"/>
    <s v="Oman|2002"/>
    <s v="Gapminder/Plotly country-year extract reshaped to long indicator format for education"/>
    <s v="OK"/>
    <s v="2000s"/>
    <s v="N/A"/>
    <s v="Demographics"/>
  </r>
  <r>
    <s v="GM-03489"/>
    <s v="Oman"/>
    <x v="0"/>
    <x v="10"/>
    <x v="2"/>
    <s v="GDP per capita"/>
    <s v="Economy"/>
    <s v="SDG 8: Decent Work and Economic Growth"/>
    <n v="19774.836869999999"/>
    <s v="Source-defined international dollars"/>
    <s v="Oman|2002"/>
    <s v="Gapminder/Plotly country-year extract reshaped to long indicator format for education"/>
    <s v="OK"/>
    <s v="2000s"/>
    <s v="N/A"/>
    <s v="Economy"/>
  </r>
  <r>
    <s v="GM-03490"/>
    <s v="Oman"/>
    <x v="0"/>
    <x v="11"/>
    <x v="0"/>
    <s v="Life expectancy at birth"/>
    <s v="Health"/>
    <s v="SDG 3: Good Health and Well-being"/>
    <n v="75.64"/>
    <s v="Years"/>
    <s v="Oman|2007"/>
    <s v="Gapminder/Plotly country-year extract reshaped to long indicator format for education"/>
    <s v="OK"/>
    <s v="2000s"/>
    <s v="High"/>
    <s v="Health"/>
  </r>
  <r>
    <s v="GM-03491"/>
    <s v="Oman"/>
    <x v="0"/>
    <x v="11"/>
    <x v="1"/>
    <s v="Population, total"/>
    <s v="Demographics"/>
    <s v="SDG 11: Sustainable Cities and Communities"/>
    <n v="3204897"/>
    <s v="People"/>
    <s v="Oman|2007"/>
    <s v="Gapminder/Plotly country-year extract reshaped to long indicator format for education"/>
    <s v="OK"/>
    <s v="2000s"/>
    <s v="N/A"/>
    <s v="Demographics"/>
  </r>
  <r>
    <s v="GM-03492"/>
    <s v="Oman"/>
    <x v="0"/>
    <x v="11"/>
    <x v="2"/>
    <s v="GDP per capita"/>
    <s v="Economy"/>
    <s v="SDG 8: Decent Work and Economic Growth"/>
    <n v="22316.192869999999"/>
    <s v="Source-defined international dollars"/>
    <s v="Oman|2007"/>
    <s v="Gapminder/Plotly country-year extract reshaped to long indicator format for education"/>
    <s v="OK"/>
    <s v="2000s"/>
    <s v="N/A"/>
    <s v="Economy"/>
  </r>
  <r>
    <s v="GM-03493"/>
    <s v="Pakistan"/>
    <x v="0"/>
    <x v="0"/>
    <x v="0"/>
    <s v="Life expectancy at birth"/>
    <s v="Health"/>
    <s v="SDG 3: Good Health and Well-being"/>
    <n v="43.436"/>
    <s v="Years"/>
    <s v="Pakistan|1952"/>
    <s v="Gapminder/Plotly country-year extract reshaped to long indicator format for education"/>
    <s v="OK"/>
    <s v="1950s"/>
    <s v="Low"/>
    <s v="Health"/>
  </r>
  <r>
    <s v="GM-03494"/>
    <s v="Pakistan"/>
    <x v="0"/>
    <x v="0"/>
    <x v="1"/>
    <s v="Population, total"/>
    <s v="Demographics"/>
    <s v="SDG 11: Sustainable Cities and Communities"/>
    <n v="41346560"/>
    <s v="People"/>
    <s v="Pakistan|1952"/>
    <s v="Gapminder/Plotly country-year extract reshaped to long indicator format for education"/>
    <s v="OK"/>
    <s v="1950s"/>
    <s v="N/A"/>
    <s v="Demographics"/>
  </r>
  <r>
    <s v="GM-03495"/>
    <s v="Pakistan"/>
    <x v="0"/>
    <x v="0"/>
    <x v="2"/>
    <s v="GDP per capita"/>
    <s v="Economy"/>
    <s v="SDG 8: Decent Work and Economic Growth"/>
    <n v="684.597143799999"/>
    <s v="Source-defined international dollars"/>
    <s v="Pakistan|1952"/>
    <s v="Gapminder/Plotly country-year extract reshaped to long indicator format for education"/>
    <s v="OK"/>
    <s v="1950s"/>
    <s v="N/A"/>
    <s v="Economy"/>
  </r>
  <r>
    <s v="GM-03496"/>
    <s v="Pakistan"/>
    <x v="0"/>
    <x v="1"/>
    <x v="0"/>
    <s v="Life expectancy at birth"/>
    <s v="Health"/>
    <s v="SDG 3: Good Health and Well-being"/>
    <n v="45.557000000000002"/>
    <s v="Years"/>
    <s v="Pakistan|1957"/>
    <s v="Gapminder/Plotly country-year extract reshaped to long indicator format for education"/>
    <s v="OK"/>
    <s v="1950s"/>
    <s v="Low"/>
    <s v="Health"/>
  </r>
  <r>
    <s v="GM-03497"/>
    <s v="Pakistan"/>
    <x v="0"/>
    <x v="1"/>
    <x v="1"/>
    <s v="Population, total"/>
    <s v="Demographics"/>
    <s v="SDG 11: Sustainable Cities and Communities"/>
    <n v="46679944"/>
    <s v="People"/>
    <s v="Pakistan|1957"/>
    <s v="Gapminder/Plotly country-year extract reshaped to long indicator format for education"/>
    <s v="OK"/>
    <s v="1950s"/>
    <s v="N/A"/>
    <s v="Demographics"/>
  </r>
  <r>
    <s v="GM-03498"/>
    <s v="Pakistan"/>
    <x v="0"/>
    <x v="1"/>
    <x v="2"/>
    <s v="GDP per capita"/>
    <s v="Economy"/>
    <s v="SDG 8: Decent Work and Economic Growth"/>
    <n v="747.08352920000004"/>
    <s v="Source-defined international dollars"/>
    <s v="Pakistan|1957"/>
    <s v="Gapminder/Plotly country-year extract reshaped to long indicator format for education"/>
    <s v="OK"/>
    <s v="1950s"/>
    <s v="N/A"/>
    <s v="Economy"/>
  </r>
  <r>
    <s v="GM-03499"/>
    <s v="Pakistan"/>
    <x v="0"/>
    <x v="2"/>
    <x v="0"/>
    <s v="Life expectancy at birth"/>
    <s v="Health"/>
    <s v="SDG 3: Good Health and Well-being"/>
    <n v="47.67"/>
    <s v="Years"/>
    <s v="Pakistan|1962"/>
    <s v="Gapminder/Plotly country-year extract reshaped to long indicator format for education"/>
    <s v="OK"/>
    <s v="1960s"/>
    <s v="Low"/>
    <s v="Health"/>
  </r>
  <r>
    <s v="GM-03500"/>
    <s v="Pakistan"/>
    <x v="0"/>
    <x v="2"/>
    <x v="1"/>
    <s v="Population, total"/>
    <s v="Demographics"/>
    <s v="SDG 11: Sustainable Cities and Communities"/>
    <n v="53100671"/>
    <s v="People"/>
    <s v="Pakistan|1962"/>
    <s v="Gapminder/Plotly country-year extract reshaped to long indicator format for education"/>
    <s v="OK"/>
    <s v="1960s"/>
    <s v="N/A"/>
    <s v="Demographics"/>
  </r>
  <r>
    <s v="GM-03501"/>
    <s v="Pakistan"/>
    <x v="0"/>
    <x v="2"/>
    <x v="2"/>
    <s v="GDP per capita"/>
    <s v="Economy"/>
    <s v="SDG 8: Decent Work and Economic Growth"/>
    <n v="803.3427418"/>
    <s v="Source-defined international dollars"/>
    <s v="Pakistan|1962"/>
    <s v="Gapminder/Plotly country-year extract reshaped to long indicator format for education"/>
    <s v="OK"/>
    <s v="1960s"/>
    <s v="N/A"/>
    <s v="Economy"/>
  </r>
  <r>
    <s v="GM-03502"/>
    <s v="Pakistan"/>
    <x v="0"/>
    <x v="3"/>
    <x v="0"/>
    <s v="Life expectancy at birth"/>
    <s v="Health"/>
    <s v="SDG 3: Good Health and Well-being"/>
    <n v="49.8"/>
    <s v="Years"/>
    <s v="Pakistan|1967"/>
    <s v="Gapminder/Plotly country-year extract reshaped to long indicator format for education"/>
    <s v="OK"/>
    <s v="1960s"/>
    <s v="Low"/>
    <s v="Health"/>
  </r>
  <r>
    <s v="GM-03503"/>
    <s v="Pakistan"/>
    <x v="0"/>
    <x v="3"/>
    <x v="1"/>
    <s v="Population, total"/>
    <s v="Demographics"/>
    <s v="SDG 11: Sustainable Cities and Communities"/>
    <n v="60641899"/>
    <s v="People"/>
    <s v="Pakistan|1967"/>
    <s v="Gapminder/Plotly country-year extract reshaped to long indicator format for education"/>
    <s v="OK"/>
    <s v="1960s"/>
    <s v="N/A"/>
    <s v="Demographics"/>
  </r>
  <r>
    <s v="GM-03504"/>
    <s v="Pakistan"/>
    <x v="0"/>
    <x v="3"/>
    <x v="2"/>
    <s v="GDP per capita"/>
    <s v="Economy"/>
    <s v="SDG 8: Decent Work and Economic Growth"/>
    <n v="942.4082588"/>
    <s v="Source-defined international dollars"/>
    <s v="Pakistan|1967"/>
    <s v="Gapminder/Plotly country-year extract reshaped to long indicator format for education"/>
    <s v="OK"/>
    <s v="1960s"/>
    <s v="N/A"/>
    <s v="Economy"/>
  </r>
  <r>
    <s v="GM-03505"/>
    <s v="Pakistan"/>
    <x v="0"/>
    <x v="4"/>
    <x v="0"/>
    <s v="Life expectancy at birth"/>
    <s v="Health"/>
    <s v="SDG 3: Good Health and Well-being"/>
    <n v="51.929000000000002"/>
    <s v="Years"/>
    <s v="Pakistan|1972"/>
    <s v="Gapminder/Plotly country-year extract reshaped to long indicator format for education"/>
    <s v="OK"/>
    <s v="1970s"/>
    <s v="Low"/>
    <s v="Health"/>
  </r>
  <r>
    <s v="GM-03506"/>
    <s v="Pakistan"/>
    <x v="0"/>
    <x v="4"/>
    <x v="1"/>
    <s v="Population, total"/>
    <s v="Demographics"/>
    <s v="SDG 11: Sustainable Cities and Communities"/>
    <n v="69325921"/>
    <s v="People"/>
    <s v="Pakistan|1972"/>
    <s v="Gapminder/Plotly country-year extract reshaped to long indicator format for education"/>
    <s v="OK"/>
    <s v="1970s"/>
    <s v="N/A"/>
    <s v="Demographics"/>
  </r>
  <r>
    <s v="GM-03507"/>
    <s v="Pakistan"/>
    <x v="0"/>
    <x v="4"/>
    <x v="2"/>
    <s v="GDP per capita"/>
    <s v="Economy"/>
    <s v="SDG 8: Decent Work and Economic Growth"/>
    <n v="1049.938981"/>
    <s v="Source-defined international dollars"/>
    <s v="Pakistan|1972"/>
    <s v="Gapminder/Plotly country-year extract reshaped to long indicator format for education"/>
    <s v="OK"/>
    <s v="1970s"/>
    <s v="N/A"/>
    <s v="Economy"/>
  </r>
  <r>
    <s v="GM-03508"/>
    <s v="Pakistan"/>
    <x v="0"/>
    <x v="5"/>
    <x v="0"/>
    <s v="Life expectancy at birth"/>
    <s v="Health"/>
    <s v="SDG 3: Good Health and Well-being"/>
    <n v="54.042999999999999"/>
    <s v="Years"/>
    <s v="Pakistan|1977"/>
    <s v="Gapminder/Plotly country-year extract reshaped to long indicator format for education"/>
    <s v="OK"/>
    <s v="1970s"/>
    <s v="Low"/>
    <s v="Health"/>
  </r>
  <r>
    <s v="GM-03509"/>
    <s v="Pakistan"/>
    <x v="0"/>
    <x v="5"/>
    <x v="1"/>
    <s v="Population, total"/>
    <s v="Demographics"/>
    <s v="SDG 11: Sustainable Cities and Communities"/>
    <n v="78152686"/>
    <s v="People"/>
    <s v="Pakistan|1977"/>
    <s v="Gapminder/Plotly country-year extract reshaped to long indicator format for education"/>
    <s v="OK"/>
    <s v="1970s"/>
    <s v="N/A"/>
    <s v="Demographics"/>
  </r>
  <r>
    <s v="GM-03510"/>
    <s v="Pakistan"/>
    <x v="0"/>
    <x v="5"/>
    <x v="2"/>
    <s v="GDP per capita"/>
    <s v="Economy"/>
    <s v="SDG 8: Decent Work and Economic Growth"/>
    <n v="1175.9211929999999"/>
    <s v="Source-defined international dollars"/>
    <s v="Pakistan|1977"/>
    <s v="Gapminder/Plotly country-year extract reshaped to long indicator format for education"/>
    <s v="OK"/>
    <s v="1970s"/>
    <s v="N/A"/>
    <s v="Economy"/>
  </r>
  <r>
    <s v="GM-03511"/>
    <s v="Pakistan"/>
    <x v="0"/>
    <x v="6"/>
    <x v="0"/>
    <s v="Life expectancy at birth"/>
    <s v="Health"/>
    <s v="SDG 3: Good Health and Well-being"/>
    <n v="56.158000000000001"/>
    <s v="Years"/>
    <s v="Pakistan|1982"/>
    <s v="Gapminder/Plotly country-year extract reshaped to long indicator format for education"/>
    <s v="OK"/>
    <s v="1980s"/>
    <s v="Medium"/>
    <s v="Health"/>
  </r>
  <r>
    <s v="GM-03512"/>
    <s v="Pakistan"/>
    <x v="0"/>
    <x v="6"/>
    <x v="1"/>
    <s v="Population, total"/>
    <s v="Demographics"/>
    <s v="SDG 11: Sustainable Cities and Communities"/>
    <n v="91462088"/>
    <s v="People"/>
    <s v="Pakistan|1982"/>
    <s v="Gapminder/Plotly country-year extract reshaped to long indicator format for education"/>
    <s v="OK"/>
    <s v="1980s"/>
    <s v="N/A"/>
    <s v="Demographics"/>
  </r>
  <r>
    <s v="GM-03513"/>
    <s v="Pakistan"/>
    <x v="0"/>
    <x v="6"/>
    <x v="2"/>
    <s v="GDP per capita"/>
    <s v="Economy"/>
    <s v="SDG 8: Decent Work and Economic Growth"/>
    <n v="1443.429832"/>
    <s v="Source-defined international dollars"/>
    <s v="Pakistan|1982"/>
    <s v="Gapminder/Plotly country-year extract reshaped to long indicator format for education"/>
    <s v="OK"/>
    <s v="1980s"/>
    <s v="N/A"/>
    <s v="Economy"/>
  </r>
  <r>
    <s v="GM-03514"/>
    <s v="Pakistan"/>
    <x v="0"/>
    <x v="7"/>
    <x v="0"/>
    <s v="Life expectancy at birth"/>
    <s v="Health"/>
    <s v="SDG 3: Good Health and Well-being"/>
    <n v="58.244999999999997"/>
    <s v="Years"/>
    <s v="Pakistan|1987"/>
    <s v="Gapminder/Plotly country-year extract reshaped to long indicator format for education"/>
    <s v="OK"/>
    <s v="1980s"/>
    <s v="Medium"/>
    <s v="Health"/>
  </r>
  <r>
    <s v="GM-03515"/>
    <s v="Pakistan"/>
    <x v="0"/>
    <x v="7"/>
    <x v="1"/>
    <s v="Population, total"/>
    <s v="Demographics"/>
    <s v="SDG 11: Sustainable Cities and Communities"/>
    <n v="105186881"/>
    <s v="People"/>
    <s v="Pakistan|1987"/>
    <s v="Gapminder/Plotly country-year extract reshaped to long indicator format for education"/>
    <s v="OK"/>
    <s v="1980s"/>
    <s v="N/A"/>
    <s v="Demographics"/>
  </r>
  <r>
    <s v="GM-03516"/>
    <s v="Pakistan"/>
    <x v="0"/>
    <x v="7"/>
    <x v="2"/>
    <s v="GDP per capita"/>
    <s v="Economy"/>
    <s v="SDG 8: Decent Work and Economic Growth"/>
    <n v="1704.6865829999999"/>
    <s v="Source-defined international dollars"/>
    <s v="Pakistan|1987"/>
    <s v="Gapminder/Plotly country-year extract reshaped to long indicator format for education"/>
    <s v="OK"/>
    <s v="1980s"/>
    <s v="N/A"/>
    <s v="Economy"/>
  </r>
  <r>
    <s v="GM-03517"/>
    <s v="Pakistan"/>
    <x v="0"/>
    <x v="8"/>
    <x v="0"/>
    <s v="Life expectancy at birth"/>
    <s v="Health"/>
    <s v="SDG 3: Good Health and Well-being"/>
    <n v="60.838000000000001"/>
    <s v="Years"/>
    <s v="Pakistan|1992"/>
    <s v="Gapminder/Plotly country-year extract reshaped to long indicator format for education"/>
    <s v="OK"/>
    <s v="1990s"/>
    <s v="Medium"/>
    <s v="Health"/>
  </r>
  <r>
    <s v="GM-03518"/>
    <s v="Pakistan"/>
    <x v="0"/>
    <x v="8"/>
    <x v="1"/>
    <s v="Population, total"/>
    <s v="Demographics"/>
    <s v="SDG 11: Sustainable Cities and Communities"/>
    <n v="120065004"/>
    <s v="People"/>
    <s v="Pakistan|1992"/>
    <s v="Gapminder/Plotly country-year extract reshaped to long indicator format for education"/>
    <s v="OK"/>
    <s v="1990s"/>
    <s v="N/A"/>
    <s v="Demographics"/>
  </r>
  <r>
    <s v="GM-03519"/>
    <s v="Pakistan"/>
    <x v="0"/>
    <x v="8"/>
    <x v="2"/>
    <s v="GDP per capita"/>
    <s v="Economy"/>
    <s v="SDG 8: Decent Work and Economic Growth"/>
    <n v="1971.8294639999999"/>
    <s v="Source-defined international dollars"/>
    <s v="Pakistan|1992"/>
    <s v="Gapminder/Plotly country-year extract reshaped to long indicator format for education"/>
    <s v="OK"/>
    <s v="1990s"/>
    <s v="N/A"/>
    <s v="Economy"/>
  </r>
  <r>
    <s v="GM-03520"/>
    <s v="Pakistan"/>
    <x v="0"/>
    <x v="9"/>
    <x v="0"/>
    <s v="Life expectancy at birth"/>
    <s v="Health"/>
    <s v="SDG 3: Good Health and Well-being"/>
    <n v="61.817999999999998"/>
    <s v="Years"/>
    <s v="Pakistan|1997"/>
    <s v="Gapminder/Plotly country-year extract reshaped to long indicator format for education"/>
    <s v="OK"/>
    <s v="1990s"/>
    <s v="Medium"/>
    <s v="Health"/>
  </r>
  <r>
    <s v="GM-03521"/>
    <s v="Pakistan"/>
    <x v="0"/>
    <x v="9"/>
    <x v="1"/>
    <s v="Population, total"/>
    <s v="Demographics"/>
    <s v="SDG 11: Sustainable Cities and Communities"/>
    <n v="135564834"/>
    <s v="People"/>
    <s v="Pakistan|1997"/>
    <s v="Gapminder/Plotly country-year extract reshaped to long indicator format for education"/>
    <s v="OK"/>
    <s v="1990s"/>
    <s v="N/A"/>
    <s v="Demographics"/>
  </r>
  <r>
    <s v="GM-03522"/>
    <s v="Pakistan"/>
    <x v="0"/>
    <x v="9"/>
    <x v="2"/>
    <s v="GDP per capita"/>
    <s v="Economy"/>
    <s v="SDG 8: Decent Work and Economic Growth"/>
    <n v="2049.3505209999998"/>
    <s v="Source-defined international dollars"/>
    <s v="Pakistan|1997"/>
    <s v="Gapminder/Plotly country-year extract reshaped to long indicator format for education"/>
    <s v="OK"/>
    <s v="1990s"/>
    <s v="N/A"/>
    <s v="Economy"/>
  </r>
  <r>
    <s v="GM-03523"/>
    <s v="Pakistan"/>
    <x v="0"/>
    <x v="10"/>
    <x v="0"/>
    <s v="Life expectancy at birth"/>
    <s v="Health"/>
    <s v="SDG 3: Good Health and Well-being"/>
    <n v="63.61"/>
    <s v="Years"/>
    <s v="Pakistan|2002"/>
    <s v="Gapminder/Plotly country-year extract reshaped to long indicator format for education"/>
    <s v="OK"/>
    <s v="2000s"/>
    <s v="Medium"/>
    <s v="Health"/>
  </r>
  <r>
    <s v="GM-03524"/>
    <s v="Pakistan"/>
    <x v="0"/>
    <x v="10"/>
    <x v="1"/>
    <s v="Population, total"/>
    <s v="Demographics"/>
    <s v="SDG 11: Sustainable Cities and Communities"/>
    <n v="153403524"/>
    <s v="People"/>
    <s v="Pakistan|2002"/>
    <s v="Gapminder/Plotly country-year extract reshaped to long indicator format for education"/>
    <s v="OK"/>
    <s v="2000s"/>
    <s v="N/A"/>
    <s v="Demographics"/>
  </r>
  <r>
    <s v="GM-03525"/>
    <s v="Pakistan"/>
    <x v="0"/>
    <x v="10"/>
    <x v="2"/>
    <s v="GDP per capita"/>
    <s v="Economy"/>
    <s v="SDG 8: Decent Work and Economic Growth"/>
    <n v="2092.7124410000001"/>
    <s v="Source-defined international dollars"/>
    <s v="Pakistan|2002"/>
    <s v="Gapminder/Plotly country-year extract reshaped to long indicator format for education"/>
    <s v="OK"/>
    <s v="2000s"/>
    <s v="N/A"/>
    <s v="Economy"/>
  </r>
  <r>
    <s v="GM-03526"/>
    <s v="Pakistan"/>
    <x v="0"/>
    <x v="11"/>
    <x v="0"/>
    <s v="Life expectancy at birth"/>
    <s v="Health"/>
    <s v="SDG 3: Good Health and Well-being"/>
    <n v="65.483000000000004"/>
    <s v="Years"/>
    <s v="Pakistan|2007"/>
    <s v="Gapminder/Plotly country-year extract reshaped to long indicator format for education"/>
    <s v="OK"/>
    <s v="2000s"/>
    <s v="Medium"/>
    <s v="Health"/>
  </r>
  <r>
    <s v="GM-03527"/>
    <s v="Pakistan"/>
    <x v="0"/>
    <x v="11"/>
    <x v="1"/>
    <s v="Population, total"/>
    <s v="Demographics"/>
    <s v="SDG 11: Sustainable Cities and Communities"/>
    <n v="169270617"/>
    <s v="People"/>
    <s v="Pakistan|2007"/>
    <s v="Gapminder/Plotly country-year extract reshaped to long indicator format for education"/>
    <s v="OK"/>
    <s v="2000s"/>
    <s v="N/A"/>
    <s v="Demographics"/>
  </r>
  <r>
    <s v="GM-03528"/>
    <s v="Pakistan"/>
    <x v="0"/>
    <x v="11"/>
    <x v="2"/>
    <s v="GDP per capita"/>
    <s v="Economy"/>
    <s v="SDG 8: Decent Work and Economic Growth"/>
    <n v="2605.94758"/>
    <s v="Source-defined international dollars"/>
    <s v="Pakistan|2007"/>
    <s v="Gapminder/Plotly country-year extract reshaped to long indicator format for education"/>
    <s v="OK"/>
    <s v="2000s"/>
    <s v="N/A"/>
    <s v="Economy"/>
  </r>
  <r>
    <s v="GM-03529"/>
    <s v="Panama"/>
    <x v="3"/>
    <x v="0"/>
    <x v="0"/>
    <s v="Life expectancy at birth"/>
    <s v="Health"/>
    <s v="SDG 3: Good Health and Well-being"/>
    <n v="55.191000000000003"/>
    <s v="Years"/>
    <s v="Panama|1952"/>
    <s v="Gapminder/Plotly country-year extract reshaped to long indicator format for education"/>
    <s v="OK"/>
    <s v="1950s"/>
    <s v="Medium"/>
    <s v="Health"/>
  </r>
  <r>
    <s v="GM-03530"/>
    <s v="Panama"/>
    <x v="3"/>
    <x v="0"/>
    <x v="1"/>
    <s v="Population, total"/>
    <s v="Demographics"/>
    <s v="SDG 11: Sustainable Cities and Communities"/>
    <n v="940080"/>
    <s v="People"/>
    <s v="Panama|1952"/>
    <s v="Gapminder/Plotly country-year extract reshaped to long indicator format for education"/>
    <s v="OK"/>
    <s v="1950s"/>
    <s v="N/A"/>
    <s v="Demographics"/>
  </r>
  <r>
    <s v="GM-03531"/>
    <s v="Panama"/>
    <x v="3"/>
    <x v="0"/>
    <x v="2"/>
    <s v="GDP per capita"/>
    <s v="Economy"/>
    <s v="SDG 8: Decent Work and Economic Growth"/>
    <n v="2480.3803339999999"/>
    <s v="Source-defined international dollars"/>
    <s v="Panama|1952"/>
    <s v="Gapminder/Plotly country-year extract reshaped to long indicator format for education"/>
    <s v="OK"/>
    <s v="1950s"/>
    <s v="N/A"/>
    <s v="Economy"/>
  </r>
  <r>
    <s v="GM-03532"/>
    <s v="Panama"/>
    <x v="3"/>
    <x v="1"/>
    <x v="0"/>
    <s v="Life expectancy at birth"/>
    <s v="Health"/>
    <s v="SDG 3: Good Health and Well-being"/>
    <n v="59.201000000000001"/>
    <s v="Years"/>
    <s v="Panama|1957"/>
    <s v="Gapminder/Plotly country-year extract reshaped to long indicator format for education"/>
    <s v="OK"/>
    <s v="1950s"/>
    <s v="Medium"/>
    <s v="Health"/>
  </r>
  <r>
    <s v="GM-03533"/>
    <s v="Panama"/>
    <x v="3"/>
    <x v="1"/>
    <x v="1"/>
    <s v="Population, total"/>
    <s v="Demographics"/>
    <s v="SDG 11: Sustainable Cities and Communities"/>
    <n v="1063506"/>
    <s v="People"/>
    <s v="Panama|1957"/>
    <s v="Gapminder/Plotly country-year extract reshaped to long indicator format for education"/>
    <s v="OK"/>
    <s v="1950s"/>
    <s v="N/A"/>
    <s v="Demographics"/>
  </r>
  <r>
    <s v="GM-03534"/>
    <s v="Panama"/>
    <x v="3"/>
    <x v="1"/>
    <x v="2"/>
    <s v="GDP per capita"/>
    <s v="Economy"/>
    <s v="SDG 8: Decent Work and Economic Growth"/>
    <n v="2961.8009050000001"/>
    <s v="Source-defined international dollars"/>
    <s v="Panama|1957"/>
    <s v="Gapminder/Plotly country-year extract reshaped to long indicator format for education"/>
    <s v="OK"/>
    <s v="1950s"/>
    <s v="N/A"/>
    <s v="Economy"/>
  </r>
  <r>
    <s v="GM-03535"/>
    <s v="Panama"/>
    <x v="3"/>
    <x v="2"/>
    <x v="0"/>
    <s v="Life expectancy at birth"/>
    <s v="Health"/>
    <s v="SDG 3: Good Health and Well-being"/>
    <n v="61.817"/>
    <s v="Years"/>
    <s v="Panama|1962"/>
    <s v="Gapminder/Plotly country-year extract reshaped to long indicator format for education"/>
    <s v="OK"/>
    <s v="1960s"/>
    <s v="Medium"/>
    <s v="Health"/>
  </r>
  <r>
    <s v="GM-03536"/>
    <s v="Panama"/>
    <x v="3"/>
    <x v="2"/>
    <x v="1"/>
    <s v="Population, total"/>
    <s v="Demographics"/>
    <s v="SDG 11: Sustainable Cities and Communities"/>
    <n v="1215725"/>
    <s v="People"/>
    <s v="Panama|1962"/>
    <s v="Gapminder/Plotly country-year extract reshaped to long indicator format for education"/>
    <s v="OK"/>
    <s v="1960s"/>
    <s v="N/A"/>
    <s v="Demographics"/>
  </r>
  <r>
    <s v="GM-03537"/>
    <s v="Panama"/>
    <x v="3"/>
    <x v="2"/>
    <x v="2"/>
    <s v="GDP per capita"/>
    <s v="Economy"/>
    <s v="SDG 8: Decent Work and Economic Growth"/>
    <n v="3536.540301"/>
    <s v="Source-defined international dollars"/>
    <s v="Panama|1962"/>
    <s v="Gapminder/Plotly country-year extract reshaped to long indicator format for education"/>
    <s v="OK"/>
    <s v="1960s"/>
    <s v="N/A"/>
    <s v="Economy"/>
  </r>
  <r>
    <s v="GM-03538"/>
    <s v="Panama"/>
    <x v="3"/>
    <x v="3"/>
    <x v="0"/>
    <s v="Life expectancy at birth"/>
    <s v="Health"/>
    <s v="SDG 3: Good Health and Well-being"/>
    <n v="64.070999999999998"/>
    <s v="Years"/>
    <s v="Panama|1967"/>
    <s v="Gapminder/Plotly country-year extract reshaped to long indicator format for education"/>
    <s v="OK"/>
    <s v="1960s"/>
    <s v="Medium"/>
    <s v="Health"/>
  </r>
  <r>
    <s v="GM-03539"/>
    <s v="Panama"/>
    <x v="3"/>
    <x v="3"/>
    <x v="1"/>
    <s v="Population, total"/>
    <s v="Demographics"/>
    <s v="SDG 11: Sustainable Cities and Communities"/>
    <n v="1405486"/>
    <s v="People"/>
    <s v="Panama|1967"/>
    <s v="Gapminder/Plotly country-year extract reshaped to long indicator format for education"/>
    <s v="OK"/>
    <s v="1960s"/>
    <s v="N/A"/>
    <s v="Demographics"/>
  </r>
  <r>
    <s v="GM-03540"/>
    <s v="Panama"/>
    <x v="3"/>
    <x v="3"/>
    <x v="2"/>
    <s v="GDP per capita"/>
    <s v="Economy"/>
    <s v="SDG 8: Decent Work and Economic Growth"/>
    <n v="4421.0090840000003"/>
    <s v="Source-defined international dollars"/>
    <s v="Panama|1967"/>
    <s v="Gapminder/Plotly country-year extract reshaped to long indicator format for education"/>
    <s v="OK"/>
    <s v="1960s"/>
    <s v="N/A"/>
    <s v="Economy"/>
  </r>
  <r>
    <s v="GM-03541"/>
    <s v="Panama"/>
    <x v="3"/>
    <x v="4"/>
    <x v="0"/>
    <s v="Life expectancy at birth"/>
    <s v="Health"/>
    <s v="SDG 3: Good Health and Well-being"/>
    <n v="66.215999999999994"/>
    <s v="Years"/>
    <s v="Panama|1972"/>
    <s v="Gapminder/Plotly country-year extract reshaped to long indicator format for education"/>
    <s v="OK"/>
    <s v="1970s"/>
    <s v="Medium"/>
    <s v="Health"/>
  </r>
  <r>
    <s v="GM-03542"/>
    <s v="Panama"/>
    <x v="3"/>
    <x v="4"/>
    <x v="1"/>
    <s v="Population, total"/>
    <s v="Demographics"/>
    <s v="SDG 11: Sustainable Cities and Communities"/>
    <n v="1616384"/>
    <s v="People"/>
    <s v="Panama|1972"/>
    <s v="Gapminder/Plotly country-year extract reshaped to long indicator format for education"/>
    <s v="OK"/>
    <s v="1970s"/>
    <s v="N/A"/>
    <s v="Demographics"/>
  </r>
  <r>
    <s v="GM-03543"/>
    <s v="Panama"/>
    <x v="3"/>
    <x v="4"/>
    <x v="2"/>
    <s v="GDP per capita"/>
    <s v="Economy"/>
    <s v="SDG 8: Decent Work and Economic Growth"/>
    <n v="5364.2496629999996"/>
    <s v="Source-defined international dollars"/>
    <s v="Panama|1972"/>
    <s v="Gapminder/Plotly country-year extract reshaped to long indicator format for education"/>
    <s v="OK"/>
    <s v="1970s"/>
    <s v="N/A"/>
    <s v="Economy"/>
  </r>
  <r>
    <s v="GM-03544"/>
    <s v="Panama"/>
    <x v="3"/>
    <x v="5"/>
    <x v="0"/>
    <s v="Life expectancy at birth"/>
    <s v="Health"/>
    <s v="SDG 3: Good Health and Well-being"/>
    <n v="68.680999999999997"/>
    <s v="Years"/>
    <s v="Panama|1977"/>
    <s v="Gapminder/Plotly country-year extract reshaped to long indicator format for education"/>
    <s v="OK"/>
    <s v="1970s"/>
    <s v="Medium"/>
    <s v="Health"/>
  </r>
  <r>
    <s v="GM-03545"/>
    <s v="Panama"/>
    <x v="3"/>
    <x v="5"/>
    <x v="1"/>
    <s v="Population, total"/>
    <s v="Demographics"/>
    <s v="SDG 11: Sustainable Cities and Communities"/>
    <n v="1839782"/>
    <s v="People"/>
    <s v="Panama|1977"/>
    <s v="Gapminder/Plotly country-year extract reshaped to long indicator format for education"/>
    <s v="OK"/>
    <s v="1970s"/>
    <s v="N/A"/>
    <s v="Demographics"/>
  </r>
  <r>
    <s v="GM-03546"/>
    <s v="Panama"/>
    <x v="3"/>
    <x v="5"/>
    <x v="2"/>
    <s v="GDP per capita"/>
    <s v="Economy"/>
    <s v="SDG 8: Decent Work and Economic Growth"/>
    <n v="5351.9121439999999"/>
    <s v="Source-defined international dollars"/>
    <s v="Panama|1977"/>
    <s v="Gapminder/Plotly country-year extract reshaped to long indicator format for education"/>
    <s v="OK"/>
    <s v="1970s"/>
    <s v="N/A"/>
    <s v="Economy"/>
  </r>
  <r>
    <s v="GM-03547"/>
    <s v="Panama"/>
    <x v="3"/>
    <x v="6"/>
    <x v="0"/>
    <s v="Life expectancy at birth"/>
    <s v="Health"/>
    <s v="SDG 3: Good Health and Well-being"/>
    <n v="70.471999999999994"/>
    <s v="Years"/>
    <s v="Panama|1982"/>
    <s v="Gapminder/Plotly country-year extract reshaped to long indicator format for education"/>
    <s v="OK"/>
    <s v="1980s"/>
    <s v="High"/>
    <s v="Health"/>
  </r>
  <r>
    <s v="GM-03548"/>
    <s v="Panama"/>
    <x v="3"/>
    <x v="6"/>
    <x v="1"/>
    <s v="Population, total"/>
    <s v="Demographics"/>
    <s v="SDG 11: Sustainable Cities and Communities"/>
    <n v="2036305"/>
    <s v="People"/>
    <s v="Panama|1982"/>
    <s v="Gapminder/Plotly country-year extract reshaped to long indicator format for education"/>
    <s v="OK"/>
    <s v="1980s"/>
    <s v="N/A"/>
    <s v="Demographics"/>
  </r>
  <r>
    <s v="GM-03549"/>
    <s v="Panama"/>
    <x v="3"/>
    <x v="6"/>
    <x v="2"/>
    <s v="GDP per capita"/>
    <s v="Economy"/>
    <s v="SDG 8: Decent Work and Economic Growth"/>
    <n v="7009.6015980000002"/>
    <s v="Source-defined international dollars"/>
    <s v="Panama|1982"/>
    <s v="Gapminder/Plotly country-year extract reshaped to long indicator format for education"/>
    <s v="OK"/>
    <s v="1980s"/>
    <s v="N/A"/>
    <s v="Economy"/>
  </r>
  <r>
    <s v="GM-03550"/>
    <s v="Panama"/>
    <x v="3"/>
    <x v="7"/>
    <x v="0"/>
    <s v="Life expectancy at birth"/>
    <s v="Health"/>
    <s v="SDG 3: Good Health and Well-being"/>
    <n v="71.522999999999996"/>
    <s v="Years"/>
    <s v="Panama|1987"/>
    <s v="Gapminder/Plotly country-year extract reshaped to long indicator format for education"/>
    <s v="OK"/>
    <s v="1980s"/>
    <s v="High"/>
    <s v="Health"/>
  </r>
  <r>
    <s v="GM-03551"/>
    <s v="Panama"/>
    <x v="3"/>
    <x v="7"/>
    <x v="1"/>
    <s v="Population, total"/>
    <s v="Demographics"/>
    <s v="SDG 11: Sustainable Cities and Communities"/>
    <n v="2253639"/>
    <s v="People"/>
    <s v="Panama|1987"/>
    <s v="Gapminder/Plotly country-year extract reshaped to long indicator format for education"/>
    <s v="OK"/>
    <s v="1980s"/>
    <s v="N/A"/>
    <s v="Demographics"/>
  </r>
  <r>
    <s v="GM-03552"/>
    <s v="Panama"/>
    <x v="3"/>
    <x v="7"/>
    <x v="2"/>
    <s v="GDP per capita"/>
    <s v="Economy"/>
    <s v="SDG 8: Decent Work and Economic Growth"/>
    <n v="7034.7791610000004"/>
    <s v="Source-defined international dollars"/>
    <s v="Panama|1987"/>
    <s v="Gapminder/Plotly country-year extract reshaped to long indicator format for education"/>
    <s v="OK"/>
    <s v="1980s"/>
    <s v="N/A"/>
    <s v="Economy"/>
  </r>
  <r>
    <s v="GM-03553"/>
    <s v="Panama"/>
    <x v="3"/>
    <x v="8"/>
    <x v="0"/>
    <s v="Life expectancy at birth"/>
    <s v="Health"/>
    <s v="SDG 3: Good Health and Well-being"/>
    <n v="72.462000000000003"/>
    <s v="Years"/>
    <s v="Panama|1992"/>
    <s v="Gapminder/Plotly country-year extract reshaped to long indicator format for education"/>
    <s v="OK"/>
    <s v="1990s"/>
    <s v="High"/>
    <s v="Health"/>
  </r>
  <r>
    <s v="GM-03554"/>
    <s v="Panama"/>
    <x v="3"/>
    <x v="8"/>
    <x v="1"/>
    <s v="Population, total"/>
    <s v="Demographics"/>
    <s v="SDG 11: Sustainable Cities and Communities"/>
    <n v="2484997"/>
    <s v="People"/>
    <s v="Panama|1992"/>
    <s v="Gapminder/Plotly country-year extract reshaped to long indicator format for education"/>
    <s v="OK"/>
    <s v="1990s"/>
    <s v="N/A"/>
    <s v="Demographics"/>
  </r>
  <r>
    <s v="GM-03555"/>
    <s v="Panama"/>
    <x v="3"/>
    <x v="8"/>
    <x v="2"/>
    <s v="GDP per capita"/>
    <s v="Economy"/>
    <s v="SDG 8: Decent Work and Economic Growth"/>
    <n v="6618.74305"/>
    <s v="Source-defined international dollars"/>
    <s v="Panama|1992"/>
    <s v="Gapminder/Plotly country-year extract reshaped to long indicator format for education"/>
    <s v="OK"/>
    <s v="1990s"/>
    <s v="N/A"/>
    <s v="Economy"/>
  </r>
  <r>
    <s v="GM-03556"/>
    <s v="Panama"/>
    <x v="3"/>
    <x v="9"/>
    <x v="0"/>
    <s v="Life expectancy at birth"/>
    <s v="Health"/>
    <s v="SDG 3: Good Health and Well-being"/>
    <n v="73.738"/>
    <s v="Years"/>
    <s v="Panama|1997"/>
    <s v="Gapminder/Plotly country-year extract reshaped to long indicator format for education"/>
    <s v="OK"/>
    <s v="1990s"/>
    <s v="High"/>
    <s v="Health"/>
  </r>
  <r>
    <s v="GM-03557"/>
    <s v="Panama"/>
    <x v="3"/>
    <x v="9"/>
    <x v="1"/>
    <s v="Population, total"/>
    <s v="Demographics"/>
    <s v="SDG 11: Sustainable Cities and Communities"/>
    <n v="2734531"/>
    <s v="People"/>
    <s v="Panama|1997"/>
    <s v="Gapminder/Plotly country-year extract reshaped to long indicator format for education"/>
    <s v="OK"/>
    <s v="1990s"/>
    <s v="N/A"/>
    <s v="Demographics"/>
  </r>
  <r>
    <s v="GM-03558"/>
    <s v="Panama"/>
    <x v="3"/>
    <x v="9"/>
    <x v="2"/>
    <s v="GDP per capita"/>
    <s v="Economy"/>
    <s v="SDG 8: Decent Work and Economic Growth"/>
    <n v="7113.6922519999998"/>
    <s v="Source-defined international dollars"/>
    <s v="Panama|1997"/>
    <s v="Gapminder/Plotly country-year extract reshaped to long indicator format for education"/>
    <s v="OK"/>
    <s v="1990s"/>
    <s v="N/A"/>
    <s v="Economy"/>
  </r>
  <r>
    <s v="GM-03559"/>
    <s v="Panama"/>
    <x v="3"/>
    <x v="10"/>
    <x v="0"/>
    <s v="Life expectancy at birth"/>
    <s v="Health"/>
    <s v="SDG 3: Good Health and Well-being"/>
    <n v="74.712000000000003"/>
    <s v="Years"/>
    <s v="Panama|2002"/>
    <s v="Gapminder/Plotly country-year extract reshaped to long indicator format for education"/>
    <s v="OK"/>
    <s v="2000s"/>
    <s v="High"/>
    <s v="Health"/>
  </r>
  <r>
    <s v="GM-03560"/>
    <s v="Panama"/>
    <x v="3"/>
    <x v="10"/>
    <x v="1"/>
    <s v="Population, total"/>
    <s v="Demographics"/>
    <s v="SDG 11: Sustainable Cities and Communities"/>
    <n v="2990875"/>
    <s v="People"/>
    <s v="Panama|2002"/>
    <s v="Gapminder/Plotly country-year extract reshaped to long indicator format for education"/>
    <s v="OK"/>
    <s v="2000s"/>
    <s v="N/A"/>
    <s v="Demographics"/>
  </r>
  <r>
    <s v="GM-03561"/>
    <s v="Panama"/>
    <x v="3"/>
    <x v="10"/>
    <x v="2"/>
    <s v="GDP per capita"/>
    <s v="Economy"/>
    <s v="SDG 8: Decent Work and Economic Growth"/>
    <n v="7356.0319339999996"/>
    <s v="Source-defined international dollars"/>
    <s v="Panama|2002"/>
    <s v="Gapminder/Plotly country-year extract reshaped to long indicator format for education"/>
    <s v="OK"/>
    <s v="2000s"/>
    <s v="N/A"/>
    <s v="Economy"/>
  </r>
  <r>
    <s v="GM-03562"/>
    <s v="Panama"/>
    <x v="3"/>
    <x v="11"/>
    <x v="0"/>
    <s v="Life expectancy at birth"/>
    <s v="Health"/>
    <s v="SDG 3: Good Health and Well-being"/>
    <n v="75.536999999999907"/>
    <s v="Years"/>
    <s v="Panama|2007"/>
    <s v="Gapminder/Plotly country-year extract reshaped to long indicator format for education"/>
    <s v="OK"/>
    <s v="2000s"/>
    <s v="High"/>
    <s v="Health"/>
  </r>
  <r>
    <s v="GM-03563"/>
    <s v="Panama"/>
    <x v="3"/>
    <x v="11"/>
    <x v="1"/>
    <s v="Population, total"/>
    <s v="Demographics"/>
    <s v="SDG 11: Sustainable Cities and Communities"/>
    <n v="3242173"/>
    <s v="People"/>
    <s v="Panama|2007"/>
    <s v="Gapminder/Plotly country-year extract reshaped to long indicator format for education"/>
    <s v="OK"/>
    <s v="2000s"/>
    <s v="N/A"/>
    <s v="Demographics"/>
  </r>
  <r>
    <s v="GM-03564"/>
    <s v="Panama"/>
    <x v="3"/>
    <x v="11"/>
    <x v="2"/>
    <s v="GDP per capita"/>
    <s v="Economy"/>
    <s v="SDG 8: Decent Work and Economic Growth"/>
    <n v="9809.1856360000002"/>
    <s v="Source-defined international dollars"/>
    <s v="Panama|2007"/>
    <s v="Gapminder/Plotly country-year extract reshaped to long indicator format for education"/>
    <s v="OK"/>
    <s v="2000s"/>
    <s v="N/A"/>
    <s v="Economy"/>
  </r>
  <r>
    <s v="GM-03565"/>
    <s v="Paraguay"/>
    <x v="3"/>
    <x v="0"/>
    <x v="0"/>
    <s v="Life expectancy at birth"/>
    <s v="Health"/>
    <s v="SDG 3: Good Health and Well-being"/>
    <n v="62.649000000000001"/>
    <s v="Years"/>
    <s v="Paraguay|1952"/>
    <s v="Gapminder/Plotly country-year extract reshaped to long indicator format for education"/>
    <s v="OK"/>
    <s v="1950s"/>
    <s v="Medium"/>
    <s v="Health"/>
  </r>
  <r>
    <s v="GM-03566"/>
    <s v="Paraguay"/>
    <x v="3"/>
    <x v="0"/>
    <x v="1"/>
    <s v="Population, total"/>
    <s v="Demographics"/>
    <s v="SDG 11: Sustainable Cities and Communities"/>
    <n v="1555876"/>
    <s v="People"/>
    <s v="Paraguay|1952"/>
    <s v="Gapminder/Plotly country-year extract reshaped to long indicator format for education"/>
    <s v="OK"/>
    <s v="1950s"/>
    <s v="N/A"/>
    <s v="Demographics"/>
  </r>
  <r>
    <s v="GM-03567"/>
    <s v="Paraguay"/>
    <x v="3"/>
    <x v="0"/>
    <x v="2"/>
    <s v="GDP per capita"/>
    <s v="Economy"/>
    <s v="SDG 8: Decent Work and Economic Growth"/>
    <n v="1952.3087009999999"/>
    <s v="Source-defined international dollars"/>
    <s v="Paraguay|1952"/>
    <s v="Gapminder/Plotly country-year extract reshaped to long indicator format for education"/>
    <s v="OK"/>
    <s v="1950s"/>
    <s v="N/A"/>
    <s v="Economy"/>
  </r>
  <r>
    <s v="GM-03568"/>
    <s v="Paraguay"/>
    <x v="3"/>
    <x v="1"/>
    <x v="0"/>
    <s v="Life expectancy at birth"/>
    <s v="Health"/>
    <s v="SDG 3: Good Health and Well-being"/>
    <n v="63.195999999999998"/>
    <s v="Years"/>
    <s v="Paraguay|1957"/>
    <s v="Gapminder/Plotly country-year extract reshaped to long indicator format for education"/>
    <s v="OK"/>
    <s v="1950s"/>
    <s v="Medium"/>
    <s v="Health"/>
  </r>
  <r>
    <s v="GM-03569"/>
    <s v="Paraguay"/>
    <x v="3"/>
    <x v="1"/>
    <x v="1"/>
    <s v="Population, total"/>
    <s v="Demographics"/>
    <s v="SDG 11: Sustainable Cities and Communities"/>
    <n v="1770902"/>
    <s v="People"/>
    <s v="Paraguay|1957"/>
    <s v="Gapminder/Plotly country-year extract reshaped to long indicator format for education"/>
    <s v="OK"/>
    <s v="1950s"/>
    <s v="N/A"/>
    <s v="Demographics"/>
  </r>
  <r>
    <s v="GM-03570"/>
    <s v="Paraguay"/>
    <x v="3"/>
    <x v="1"/>
    <x v="2"/>
    <s v="GDP per capita"/>
    <s v="Economy"/>
    <s v="SDG 8: Decent Work and Economic Growth"/>
    <n v="2046.154706"/>
    <s v="Source-defined international dollars"/>
    <s v="Paraguay|1957"/>
    <s v="Gapminder/Plotly country-year extract reshaped to long indicator format for education"/>
    <s v="OK"/>
    <s v="1950s"/>
    <s v="N/A"/>
    <s v="Economy"/>
  </r>
  <r>
    <s v="GM-03571"/>
    <s v="Paraguay"/>
    <x v="3"/>
    <x v="2"/>
    <x v="0"/>
    <s v="Life expectancy at birth"/>
    <s v="Health"/>
    <s v="SDG 3: Good Health and Well-being"/>
    <n v="64.361000000000004"/>
    <s v="Years"/>
    <s v="Paraguay|1962"/>
    <s v="Gapminder/Plotly country-year extract reshaped to long indicator format for education"/>
    <s v="OK"/>
    <s v="1960s"/>
    <s v="Medium"/>
    <s v="Health"/>
  </r>
  <r>
    <s v="GM-03572"/>
    <s v="Paraguay"/>
    <x v="3"/>
    <x v="2"/>
    <x v="1"/>
    <s v="Population, total"/>
    <s v="Demographics"/>
    <s v="SDG 11: Sustainable Cities and Communities"/>
    <n v="2009813"/>
    <s v="People"/>
    <s v="Paraguay|1962"/>
    <s v="Gapminder/Plotly country-year extract reshaped to long indicator format for education"/>
    <s v="OK"/>
    <s v="1960s"/>
    <s v="N/A"/>
    <s v="Demographics"/>
  </r>
  <r>
    <s v="GM-03573"/>
    <s v="Paraguay"/>
    <x v="3"/>
    <x v="2"/>
    <x v="2"/>
    <s v="GDP per capita"/>
    <s v="Economy"/>
    <s v="SDG 8: Decent Work and Economic Growth"/>
    <n v="2148.0271459999999"/>
    <s v="Source-defined international dollars"/>
    <s v="Paraguay|1962"/>
    <s v="Gapminder/Plotly country-year extract reshaped to long indicator format for education"/>
    <s v="OK"/>
    <s v="1960s"/>
    <s v="N/A"/>
    <s v="Economy"/>
  </r>
  <r>
    <s v="GM-03574"/>
    <s v="Paraguay"/>
    <x v="3"/>
    <x v="3"/>
    <x v="0"/>
    <s v="Life expectancy at birth"/>
    <s v="Health"/>
    <s v="SDG 3: Good Health and Well-being"/>
    <n v="64.950999999999993"/>
    <s v="Years"/>
    <s v="Paraguay|1967"/>
    <s v="Gapminder/Plotly country-year extract reshaped to long indicator format for education"/>
    <s v="OK"/>
    <s v="1960s"/>
    <s v="Medium"/>
    <s v="Health"/>
  </r>
  <r>
    <s v="GM-03575"/>
    <s v="Paraguay"/>
    <x v="3"/>
    <x v="3"/>
    <x v="1"/>
    <s v="Population, total"/>
    <s v="Demographics"/>
    <s v="SDG 11: Sustainable Cities and Communities"/>
    <n v="2287985"/>
    <s v="People"/>
    <s v="Paraguay|1967"/>
    <s v="Gapminder/Plotly country-year extract reshaped to long indicator format for education"/>
    <s v="OK"/>
    <s v="1960s"/>
    <s v="N/A"/>
    <s v="Demographics"/>
  </r>
  <r>
    <s v="GM-03576"/>
    <s v="Paraguay"/>
    <x v="3"/>
    <x v="3"/>
    <x v="2"/>
    <s v="GDP per capita"/>
    <s v="Economy"/>
    <s v="SDG 8: Decent Work and Economic Growth"/>
    <n v="2299.376311"/>
    <s v="Source-defined international dollars"/>
    <s v="Paraguay|1967"/>
    <s v="Gapminder/Plotly country-year extract reshaped to long indicator format for education"/>
    <s v="OK"/>
    <s v="1960s"/>
    <s v="N/A"/>
    <s v="Economy"/>
  </r>
  <r>
    <s v="GM-03577"/>
    <s v="Paraguay"/>
    <x v="3"/>
    <x v="4"/>
    <x v="0"/>
    <s v="Life expectancy at birth"/>
    <s v="Health"/>
    <s v="SDG 3: Good Health and Well-being"/>
    <n v="65.814999999999998"/>
    <s v="Years"/>
    <s v="Paraguay|1972"/>
    <s v="Gapminder/Plotly country-year extract reshaped to long indicator format for education"/>
    <s v="OK"/>
    <s v="1970s"/>
    <s v="Medium"/>
    <s v="Health"/>
  </r>
  <r>
    <s v="GM-03578"/>
    <s v="Paraguay"/>
    <x v="3"/>
    <x v="4"/>
    <x v="1"/>
    <s v="Population, total"/>
    <s v="Demographics"/>
    <s v="SDG 11: Sustainable Cities and Communities"/>
    <n v="2614104"/>
    <s v="People"/>
    <s v="Paraguay|1972"/>
    <s v="Gapminder/Plotly country-year extract reshaped to long indicator format for education"/>
    <s v="OK"/>
    <s v="1970s"/>
    <s v="N/A"/>
    <s v="Demographics"/>
  </r>
  <r>
    <s v="GM-03579"/>
    <s v="Paraguay"/>
    <x v="3"/>
    <x v="4"/>
    <x v="2"/>
    <s v="GDP per capita"/>
    <s v="Economy"/>
    <s v="SDG 8: Decent Work and Economic Growth"/>
    <n v="2523.3379770000001"/>
    <s v="Source-defined international dollars"/>
    <s v="Paraguay|1972"/>
    <s v="Gapminder/Plotly country-year extract reshaped to long indicator format for education"/>
    <s v="OK"/>
    <s v="1970s"/>
    <s v="N/A"/>
    <s v="Economy"/>
  </r>
  <r>
    <s v="GM-03580"/>
    <s v="Paraguay"/>
    <x v="3"/>
    <x v="5"/>
    <x v="0"/>
    <s v="Life expectancy at birth"/>
    <s v="Health"/>
    <s v="SDG 3: Good Health and Well-being"/>
    <n v="66.352999999999994"/>
    <s v="Years"/>
    <s v="Paraguay|1977"/>
    <s v="Gapminder/Plotly country-year extract reshaped to long indicator format for education"/>
    <s v="OK"/>
    <s v="1970s"/>
    <s v="Medium"/>
    <s v="Health"/>
  </r>
  <r>
    <s v="GM-03581"/>
    <s v="Paraguay"/>
    <x v="3"/>
    <x v="5"/>
    <x v="1"/>
    <s v="Population, total"/>
    <s v="Demographics"/>
    <s v="SDG 11: Sustainable Cities and Communities"/>
    <n v="2984494"/>
    <s v="People"/>
    <s v="Paraguay|1977"/>
    <s v="Gapminder/Plotly country-year extract reshaped to long indicator format for education"/>
    <s v="OK"/>
    <s v="1970s"/>
    <s v="N/A"/>
    <s v="Demographics"/>
  </r>
  <r>
    <s v="GM-03582"/>
    <s v="Paraguay"/>
    <x v="3"/>
    <x v="5"/>
    <x v="2"/>
    <s v="GDP per capita"/>
    <s v="Economy"/>
    <s v="SDG 8: Decent Work and Economic Growth"/>
    <n v="3248.3733109999998"/>
    <s v="Source-defined international dollars"/>
    <s v="Paraguay|1977"/>
    <s v="Gapminder/Plotly country-year extract reshaped to long indicator format for education"/>
    <s v="OK"/>
    <s v="1970s"/>
    <s v="N/A"/>
    <s v="Economy"/>
  </r>
  <r>
    <s v="GM-03583"/>
    <s v="Paraguay"/>
    <x v="3"/>
    <x v="6"/>
    <x v="0"/>
    <s v="Life expectancy at birth"/>
    <s v="Health"/>
    <s v="SDG 3: Good Health and Well-being"/>
    <n v="66.873999999999995"/>
    <s v="Years"/>
    <s v="Paraguay|1982"/>
    <s v="Gapminder/Plotly country-year extract reshaped to long indicator format for education"/>
    <s v="OK"/>
    <s v="1980s"/>
    <s v="Medium"/>
    <s v="Health"/>
  </r>
  <r>
    <s v="GM-03584"/>
    <s v="Paraguay"/>
    <x v="3"/>
    <x v="6"/>
    <x v="1"/>
    <s v="Population, total"/>
    <s v="Demographics"/>
    <s v="SDG 11: Sustainable Cities and Communities"/>
    <n v="3366439"/>
    <s v="People"/>
    <s v="Paraguay|1982"/>
    <s v="Gapminder/Plotly country-year extract reshaped to long indicator format for education"/>
    <s v="OK"/>
    <s v="1980s"/>
    <s v="N/A"/>
    <s v="Demographics"/>
  </r>
  <r>
    <s v="GM-03585"/>
    <s v="Paraguay"/>
    <x v="3"/>
    <x v="6"/>
    <x v="2"/>
    <s v="GDP per capita"/>
    <s v="Economy"/>
    <s v="SDG 8: Decent Work and Economic Growth"/>
    <n v="4258.5036040000005"/>
    <s v="Source-defined international dollars"/>
    <s v="Paraguay|1982"/>
    <s v="Gapminder/Plotly country-year extract reshaped to long indicator format for education"/>
    <s v="OK"/>
    <s v="1980s"/>
    <s v="N/A"/>
    <s v="Economy"/>
  </r>
  <r>
    <s v="GM-03586"/>
    <s v="Paraguay"/>
    <x v="3"/>
    <x v="7"/>
    <x v="0"/>
    <s v="Life expectancy at birth"/>
    <s v="Health"/>
    <s v="SDG 3: Good Health and Well-being"/>
    <n v="67.378"/>
    <s v="Years"/>
    <s v="Paraguay|1987"/>
    <s v="Gapminder/Plotly country-year extract reshaped to long indicator format for education"/>
    <s v="OK"/>
    <s v="1980s"/>
    <s v="Medium"/>
    <s v="Health"/>
  </r>
  <r>
    <s v="GM-03587"/>
    <s v="Paraguay"/>
    <x v="3"/>
    <x v="7"/>
    <x v="1"/>
    <s v="Population, total"/>
    <s v="Demographics"/>
    <s v="SDG 11: Sustainable Cities and Communities"/>
    <n v="3886512"/>
    <s v="People"/>
    <s v="Paraguay|1987"/>
    <s v="Gapminder/Plotly country-year extract reshaped to long indicator format for education"/>
    <s v="OK"/>
    <s v="1980s"/>
    <s v="N/A"/>
    <s v="Demographics"/>
  </r>
  <r>
    <s v="GM-03588"/>
    <s v="Paraguay"/>
    <x v="3"/>
    <x v="7"/>
    <x v="2"/>
    <s v="GDP per capita"/>
    <s v="Economy"/>
    <s v="SDG 8: Decent Work and Economic Growth"/>
    <n v="3998.8756950000002"/>
    <s v="Source-defined international dollars"/>
    <s v="Paraguay|1987"/>
    <s v="Gapminder/Plotly country-year extract reshaped to long indicator format for education"/>
    <s v="OK"/>
    <s v="1980s"/>
    <s v="N/A"/>
    <s v="Economy"/>
  </r>
  <r>
    <s v="GM-03589"/>
    <s v="Paraguay"/>
    <x v="3"/>
    <x v="8"/>
    <x v="0"/>
    <s v="Life expectancy at birth"/>
    <s v="Health"/>
    <s v="SDG 3: Good Health and Well-being"/>
    <n v="68.224999999999994"/>
    <s v="Years"/>
    <s v="Paraguay|1992"/>
    <s v="Gapminder/Plotly country-year extract reshaped to long indicator format for education"/>
    <s v="OK"/>
    <s v="1990s"/>
    <s v="Medium"/>
    <s v="Health"/>
  </r>
  <r>
    <s v="GM-03590"/>
    <s v="Paraguay"/>
    <x v="3"/>
    <x v="8"/>
    <x v="1"/>
    <s v="Population, total"/>
    <s v="Demographics"/>
    <s v="SDG 11: Sustainable Cities and Communities"/>
    <n v="4483945"/>
    <s v="People"/>
    <s v="Paraguay|1992"/>
    <s v="Gapminder/Plotly country-year extract reshaped to long indicator format for education"/>
    <s v="OK"/>
    <s v="1990s"/>
    <s v="N/A"/>
    <s v="Demographics"/>
  </r>
  <r>
    <s v="GM-03591"/>
    <s v="Paraguay"/>
    <x v="3"/>
    <x v="8"/>
    <x v="2"/>
    <s v="GDP per capita"/>
    <s v="Economy"/>
    <s v="SDG 8: Decent Work and Economic Growth"/>
    <n v="4196.4110780000001"/>
    <s v="Source-defined international dollars"/>
    <s v="Paraguay|1992"/>
    <s v="Gapminder/Plotly country-year extract reshaped to long indicator format for education"/>
    <s v="OK"/>
    <s v="1990s"/>
    <s v="N/A"/>
    <s v="Economy"/>
  </r>
  <r>
    <s v="GM-03592"/>
    <s v="Paraguay"/>
    <x v="3"/>
    <x v="9"/>
    <x v="0"/>
    <s v="Life expectancy at birth"/>
    <s v="Health"/>
    <s v="SDG 3: Good Health and Well-being"/>
    <n v="69.400000000000006"/>
    <s v="Years"/>
    <s v="Paraguay|1997"/>
    <s v="Gapminder/Plotly country-year extract reshaped to long indicator format for education"/>
    <s v="OK"/>
    <s v="1990s"/>
    <s v="Medium"/>
    <s v="Health"/>
  </r>
  <r>
    <s v="GM-03593"/>
    <s v="Paraguay"/>
    <x v="3"/>
    <x v="9"/>
    <x v="1"/>
    <s v="Population, total"/>
    <s v="Demographics"/>
    <s v="SDG 11: Sustainable Cities and Communities"/>
    <n v="5154123"/>
    <s v="People"/>
    <s v="Paraguay|1997"/>
    <s v="Gapminder/Plotly country-year extract reshaped to long indicator format for education"/>
    <s v="OK"/>
    <s v="1990s"/>
    <s v="N/A"/>
    <s v="Demographics"/>
  </r>
  <r>
    <s v="GM-03594"/>
    <s v="Paraguay"/>
    <x v="3"/>
    <x v="9"/>
    <x v="2"/>
    <s v="GDP per capita"/>
    <s v="Economy"/>
    <s v="SDG 8: Decent Work and Economic Growth"/>
    <n v="4247.4002609999998"/>
    <s v="Source-defined international dollars"/>
    <s v="Paraguay|1997"/>
    <s v="Gapminder/Plotly country-year extract reshaped to long indicator format for education"/>
    <s v="OK"/>
    <s v="1990s"/>
    <s v="N/A"/>
    <s v="Economy"/>
  </r>
  <r>
    <s v="GM-03595"/>
    <s v="Paraguay"/>
    <x v="3"/>
    <x v="10"/>
    <x v="0"/>
    <s v="Life expectancy at birth"/>
    <s v="Health"/>
    <s v="SDG 3: Good Health and Well-being"/>
    <n v="70.754999999999995"/>
    <s v="Years"/>
    <s v="Paraguay|2002"/>
    <s v="Gapminder/Plotly country-year extract reshaped to long indicator format for education"/>
    <s v="OK"/>
    <s v="2000s"/>
    <s v="High"/>
    <s v="Health"/>
  </r>
  <r>
    <s v="GM-03596"/>
    <s v="Paraguay"/>
    <x v="3"/>
    <x v="10"/>
    <x v="1"/>
    <s v="Population, total"/>
    <s v="Demographics"/>
    <s v="SDG 11: Sustainable Cities and Communities"/>
    <n v="5884491"/>
    <s v="People"/>
    <s v="Paraguay|2002"/>
    <s v="Gapminder/Plotly country-year extract reshaped to long indicator format for education"/>
    <s v="OK"/>
    <s v="2000s"/>
    <s v="N/A"/>
    <s v="Demographics"/>
  </r>
  <r>
    <s v="GM-03597"/>
    <s v="Paraguay"/>
    <x v="3"/>
    <x v="10"/>
    <x v="2"/>
    <s v="GDP per capita"/>
    <s v="Economy"/>
    <s v="SDG 8: Decent Work and Economic Growth"/>
    <n v="3783.6742429999999"/>
    <s v="Source-defined international dollars"/>
    <s v="Paraguay|2002"/>
    <s v="Gapminder/Plotly country-year extract reshaped to long indicator format for education"/>
    <s v="OK"/>
    <s v="2000s"/>
    <s v="N/A"/>
    <s v="Economy"/>
  </r>
  <r>
    <s v="GM-03598"/>
    <s v="Paraguay"/>
    <x v="3"/>
    <x v="11"/>
    <x v="0"/>
    <s v="Life expectancy at birth"/>
    <s v="Health"/>
    <s v="SDG 3: Good Health and Well-being"/>
    <n v="71.751999999999995"/>
    <s v="Years"/>
    <s v="Paraguay|2007"/>
    <s v="Gapminder/Plotly country-year extract reshaped to long indicator format for education"/>
    <s v="OK"/>
    <s v="2000s"/>
    <s v="High"/>
    <s v="Health"/>
  </r>
  <r>
    <s v="GM-03599"/>
    <s v="Paraguay"/>
    <x v="3"/>
    <x v="11"/>
    <x v="1"/>
    <s v="Population, total"/>
    <s v="Demographics"/>
    <s v="SDG 11: Sustainable Cities and Communities"/>
    <n v="6667147"/>
    <s v="People"/>
    <s v="Paraguay|2007"/>
    <s v="Gapminder/Plotly country-year extract reshaped to long indicator format for education"/>
    <s v="OK"/>
    <s v="2000s"/>
    <s v="N/A"/>
    <s v="Demographics"/>
  </r>
  <r>
    <s v="GM-03600"/>
    <s v="Paraguay"/>
    <x v="3"/>
    <x v="11"/>
    <x v="2"/>
    <s v="GDP per capita"/>
    <s v="Economy"/>
    <s v="SDG 8: Decent Work and Economic Growth"/>
    <n v="4172.8384640000004"/>
    <s v="Source-defined international dollars"/>
    <s v="Paraguay|2007"/>
    <s v="Gapminder/Plotly country-year extract reshaped to long indicator format for education"/>
    <s v="OK"/>
    <s v="2000s"/>
    <s v="N/A"/>
    <s v="Economy"/>
  </r>
  <r>
    <s v="GM-03601"/>
    <s v="Peru"/>
    <x v="3"/>
    <x v="0"/>
    <x v="0"/>
    <s v="Life expectancy at birth"/>
    <s v="Health"/>
    <s v="SDG 3: Good Health and Well-being"/>
    <n v="43.902000000000001"/>
    <s v="Years"/>
    <s v="Peru|1952"/>
    <s v="Gapminder/Plotly country-year extract reshaped to long indicator format for education"/>
    <s v="OK"/>
    <s v="1950s"/>
    <s v="Low"/>
    <s v="Health"/>
  </r>
  <r>
    <s v="GM-03602"/>
    <s v="Peru"/>
    <x v="3"/>
    <x v="0"/>
    <x v="1"/>
    <s v="Population, total"/>
    <s v="Demographics"/>
    <s v="SDG 11: Sustainable Cities and Communities"/>
    <n v="8025700"/>
    <s v="People"/>
    <s v="Peru|1952"/>
    <s v="Gapminder/Plotly country-year extract reshaped to long indicator format for education"/>
    <s v="OK"/>
    <s v="1950s"/>
    <s v="N/A"/>
    <s v="Demographics"/>
  </r>
  <r>
    <s v="GM-03603"/>
    <s v="Peru"/>
    <x v="3"/>
    <x v="0"/>
    <x v="2"/>
    <s v="GDP per capita"/>
    <s v="Economy"/>
    <s v="SDG 8: Decent Work and Economic Growth"/>
    <n v="3758.5234369999998"/>
    <s v="Source-defined international dollars"/>
    <s v="Peru|1952"/>
    <s v="Gapminder/Plotly country-year extract reshaped to long indicator format for education"/>
    <s v="OK"/>
    <s v="1950s"/>
    <s v="N/A"/>
    <s v="Economy"/>
  </r>
  <r>
    <s v="GM-03604"/>
    <s v="Peru"/>
    <x v="3"/>
    <x v="1"/>
    <x v="0"/>
    <s v="Life expectancy at birth"/>
    <s v="Health"/>
    <s v="SDG 3: Good Health and Well-being"/>
    <n v="46.262999999999998"/>
    <s v="Years"/>
    <s v="Peru|1957"/>
    <s v="Gapminder/Plotly country-year extract reshaped to long indicator format for education"/>
    <s v="OK"/>
    <s v="1950s"/>
    <s v="Low"/>
    <s v="Health"/>
  </r>
  <r>
    <s v="GM-03605"/>
    <s v="Peru"/>
    <x v="3"/>
    <x v="1"/>
    <x v="1"/>
    <s v="Population, total"/>
    <s v="Demographics"/>
    <s v="SDG 11: Sustainable Cities and Communities"/>
    <n v="9146100"/>
    <s v="People"/>
    <s v="Peru|1957"/>
    <s v="Gapminder/Plotly country-year extract reshaped to long indicator format for education"/>
    <s v="OK"/>
    <s v="1950s"/>
    <s v="N/A"/>
    <s v="Demographics"/>
  </r>
  <r>
    <s v="GM-03606"/>
    <s v="Peru"/>
    <x v="3"/>
    <x v="1"/>
    <x v="2"/>
    <s v="GDP per capita"/>
    <s v="Economy"/>
    <s v="SDG 8: Decent Work and Economic Growth"/>
    <n v="4245.2566979999901"/>
    <s v="Source-defined international dollars"/>
    <s v="Peru|1957"/>
    <s v="Gapminder/Plotly country-year extract reshaped to long indicator format for education"/>
    <s v="OK"/>
    <s v="1950s"/>
    <s v="N/A"/>
    <s v="Economy"/>
  </r>
  <r>
    <s v="GM-03607"/>
    <s v="Peru"/>
    <x v="3"/>
    <x v="2"/>
    <x v="0"/>
    <s v="Life expectancy at birth"/>
    <s v="Health"/>
    <s v="SDG 3: Good Health and Well-being"/>
    <n v="49.095999999999997"/>
    <s v="Years"/>
    <s v="Peru|1962"/>
    <s v="Gapminder/Plotly country-year extract reshaped to long indicator format for education"/>
    <s v="OK"/>
    <s v="1960s"/>
    <s v="Low"/>
    <s v="Health"/>
  </r>
  <r>
    <s v="GM-03608"/>
    <s v="Peru"/>
    <x v="3"/>
    <x v="2"/>
    <x v="1"/>
    <s v="Population, total"/>
    <s v="Demographics"/>
    <s v="SDG 11: Sustainable Cities and Communities"/>
    <n v="10516500"/>
    <s v="People"/>
    <s v="Peru|1962"/>
    <s v="Gapminder/Plotly country-year extract reshaped to long indicator format for education"/>
    <s v="OK"/>
    <s v="1960s"/>
    <s v="N/A"/>
    <s v="Demographics"/>
  </r>
  <r>
    <s v="GM-03609"/>
    <s v="Peru"/>
    <x v="3"/>
    <x v="2"/>
    <x v="2"/>
    <s v="GDP per capita"/>
    <s v="Economy"/>
    <s v="SDG 8: Decent Work and Economic Growth"/>
    <n v="4957.0379819999998"/>
    <s v="Source-defined international dollars"/>
    <s v="Peru|1962"/>
    <s v="Gapminder/Plotly country-year extract reshaped to long indicator format for education"/>
    <s v="OK"/>
    <s v="1960s"/>
    <s v="N/A"/>
    <s v="Economy"/>
  </r>
  <r>
    <s v="GM-03610"/>
    <s v="Peru"/>
    <x v="3"/>
    <x v="3"/>
    <x v="0"/>
    <s v="Life expectancy at birth"/>
    <s v="Health"/>
    <s v="SDG 3: Good Health and Well-being"/>
    <n v="51.445"/>
    <s v="Years"/>
    <s v="Peru|1967"/>
    <s v="Gapminder/Plotly country-year extract reshaped to long indicator format for education"/>
    <s v="OK"/>
    <s v="1960s"/>
    <s v="Low"/>
    <s v="Health"/>
  </r>
  <r>
    <s v="GM-03611"/>
    <s v="Peru"/>
    <x v="3"/>
    <x v="3"/>
    <x v="1"/>
    <s v="Population, total"/>
    <s v="Demographics"/>
    <s v="SDG 11: Sustainable Cities and Communities"/>
    <n v="12132200"/>
    <s v="People"/>
    <s v="Peru|1967"/>
    <s v="Gapminder/Plotly country-year extract reshaped to long indicator format for education"/>
    <s v="OK"/>
    <s v="1960s"/>
    <s v="N/A"/>
    <s v="Demographics"/>
  </r>
  <r>
    <s v="GM-03612"/>
    <s v="Peru"/>
    <x v="3"/>
    <x v="3"/>
    <x v="2"/>
    <s v="GDP per capita"/>
    <s v="Economy"/>
    <s v="SDG 8: Decent Work and Economic Growth"/>
    <n v="5788.0933299999997"/>
    <s v="Source-defined international dollars"/>
    <s v="Peru|1967"/>
    <s v="Gapminder/Plotly country-year extract reshaped to long indicator format for education"/>
    <s v="OK"/>
    <s v="1960s"/>
    <s v="N/A"/>
    <s v="Economy"/>
  </r>
  <r>
    <s v="GM-03613"/>
    <s v="Peru"/>
    <x v="3"/>
    <x v="4"/>
    <x v="0"/>
    <s v="Life expectancy at birth"/>
    <s v="Health"/>
    <s v="SDG 3: Good Health and Well-being"/>
    <n v="55.448"/>
    <s v="Years"/>
    <s v="Peru|1972"/>
    <s v="Gapminder/Plotly country-year extract reshaped to long indicator format for education"/>
    <s v="OK"/>
    <s v="1970s"/>
    <s v="Medium"/>
    <s v="Health"/>
  </r>
  <r>
    <s v="GM-03614"/>
    <s v="Peru"/>
    <x v="3"/>
    <x v="4"/>
    <x v="1"/>
    <s v="Population, total"/>
    <s v="Demographics"/>
    <s v="SDG 11: Sustainable Cities and Communities"/>
    <n v="13954700"/>
    <s v="People"/>
    <s v="Peru|1972"/>
    <s v="Gapminder/Plotly country-year extract reshaped to long indicator format for education"/>
    <s v="OK"/>
    <s v="1970s"/>
    <s v="N/A"/>
    <s v="Demographics"/>
  </r>
  <r>
    <s v="GM-03615"/>
    <s v="Peru"/>
    <x v="3"/>
    <x v="4"/>
    <x v="2"/>
    <s v="GDP per capita"/>
    <s v="Economy"/>
    <s v="SDG 8: Decent Work and Economic Growth"/>
    <n v="5937.8272829999996"/>
    <s v="Source-defined international dollars"/>
    <s v="Peru|1972"/>
    <s v="Gapminder/Plotly country-year extract reshaped to long indicator format for education"/>
    <s v="OK"/>
    <s v="1970s"/>
    <s v="N/A"/>
    <s v="Economy"/>
  </r>
  <r>
    <s v="GM-03616"/>
    <s v="Peru"/>
    <x v="3"/>
    <x v="5"/>
    <x v="0"/>
    <s v="Life expectancy at birth"/>
    <s v="Health"/>
    <s v="SDG 3: Good Health and Well-being"/>
    <n v="58.447000000000003"/>
    <s v="Years"/>
    <s v="Peru|1977"/>
    <s v="Gapminder/Plotly country-year extract reshaped to long indicator format for education"/>
    <s v="OK"/>
    <s v="1970s"/>
    <s v="Medium"/>
    <s v="Health"/>
  </r>
  <r>
    <s v="GM-03617"/>
    <s v="Peru"/>
    <x v="3"/>
    <x v="5"/>
    <x v="1"/>
    <s v="Population, total"/>
    <s v="Demographics"/>
    <s v="SDG 11: Sustainable Cities and Communities"/>
    <n v="15990099"/>
    <s v="People"/>
    <s v="Peru|1977"/>
    <s v="Gapminder/Plotly country-year extract reshaped to long indicator format for education"/>
    <s v="OK"/>
    <s v="1970s"/>
    <s v="N/A"/>
    <s v="Demographics"/>
  </r>
  <r>
    <s v="GM-03618"/>
    <s v="Peru"/>
    <x v="3"/>
    <x v="5"/>
    <x v="2"/>
    <s v="GDP per capita"/>
    <s v="Economy"/>
    <s v="SDG 8: Decent Work and Economic Growth"/>
    <n v="6281.2908549999902"/>
    <s v="Source-defined international dollars"/>
    <s v="Peru|1977"/>
    <s v="Gapminder/Plotly country-year extract reshaped to long indicator format for education"/>
    <s v="OK"/>
    <s v="1970s"/>
    <s v="N/A"/>
    <s v="Economy"/>
  </r>
  <r>
    <s v="GM-03619"/>
    <s v="Peru"/>
    <x v="3"/>
    <x v="6"/>
    <x v="0"/>
    <s v="Life expectancy at birth"/>
    <s v="Health"/>
    <s v="SDG 3: Good Health and Well-being"/>
    <n v="61.405999999999999"/>
    <s v="Years"/>
    <s v="Peru|1982"/>
    <s v="Gapminder/Plotly country-year extract reshaped to long indicator format for education"/>
    <s v="OK"/>
    <s v="1980s"/>
    <s v="Medium"/>
    <s v="Health"/>
  </r>
  <r>
    <s v="GM-03620"/>
    <s v="Peru"/>
    <x v="3"/>
    <x v="6"/>
    <x v="1"/>
    <s v="Population, total"/>
    <s v="Demographics"/>
    <s v="SDG 11: Sustainable Cities and Communities"/>
    <n v="18125129"/>
    <s v="People"/>
    <s v="Peru|1982"/>
    <s v="Gapminder/Plotly country-year extract reshaped to long indicator format for education"/>
    <s v="OK"/>
    <s v="1980s"/>
    <s v="N/A"/>
    <s v="Demographics"/>
  </r>
  <r>
    <s v="GM-03621"/>
    <s v="Peru"/>
    <x v="3"/>
    <x v="6"/>
    <x v="2"/>
    <s v="GDP per capita"/>
    <s v="Economy"/>
    <s v="SDG 8: Decent Work and Economic Growth"/>
    <n v="6434.5017969999999"/>
    <s v="Source-defined international dollars"/>
    <s v="Peru|1982"/>
    <s v="Gapminder/Plotly country-year extract reshaped to long indicator format for education"/>
    <s v="OK"/>
    <s v="1980s"/>
    <s v="N/A"/>
    <s v="Economy"/>
  </r>
  <r>
    <s v="GM-03622"/>
    <s v="Peru"/>
    <x v="3"/>
    <x v="7"/>
    <x v="0"/>
    <s v="Life expectancy at birth"/>
    <s v="Health"/>
    <s v="SDG 3: Good Health and Well-being"/>
    <n v="64.134"/>
    <s v="Years"/>
    <s v="Peru|1987"/>
    <s v="Gapminder/Plotly country-year extract reshaped to long indicator format for education"/>
    <s v="OK"/>
    <s v="1980s"/>
    <s v="Medium"/>
    <s v="Health"/>
  </r>
  <r>
    <s v="GM-03623"/>
    <s v="Peru"/>
    <x v="3"/>
    <x v="7"/>
    <x v="1"/>
    <s v="Population, total"/>
    <s v="Demographics"/>
    <s v="SDG 11: Sustainable Cities and Communities"/>
    <n v="20195924"/>
    <s v="People"/>
    <s v="Peru|1987"/>
    <s v="Gapminder/Plotly country-year extract reshaped to long indicator format for education"/>
    <s v="OK"/>
    <s v="1980s"/>
    <s v="N/A"/>
    <s v="Demographics"/>
  </r>
  <r>
    <s v="GM-03624"/>
    <s v="Peru"/>
    <x v="3"/>
    <x v="7"/>
    <x v="2"/>
    <s v="GDP per capita"/>
    <s v="Economy"/>
    <s v="SDG 8: Decent Work and Economic Growth"/>
    <n v="6360.9434440000005"/>
    <s v="Source-defined international dollars"/>
    <s v="Peru|1987"/>
    <s v="Gapminder/Plotly country-year extract reshaped to long indicator format for education"/>
    <s v="OK"/>
    <s v="1980s"/>
    <s v="N/A"/>
    <s v="Economy"/>
  </r>
  <r>
    <s v="GM-03625"/>
    <s v="Peru"/>
    <x v="3"/>
    <x v="8"/>
    <x v="0"/>
    <s v="Life expectancy at birth"/>
    <s v="Health"/>
    <s v="SDG 3: Good Health and Well-being"/>
    <n v="66.457999999999998"/>
    <s v="Years"/>
    <s v="Peru|1992"/>
    <s v="Gapminder/Plotly country-year extract reshaped to long indicator format for education"/>
    <s v="OK"/>
    <s v="1990s"/>
    <s v="Medium"/>
    <s v="Health"/>
  </r>
  <r>
    <s v="GM-03626"/>
    <s v="Peru"/>
    <x v="3"/>
    <x v="8"/>
    <x v="1"/>
    <s v="Population, total"/>
    <s v="Demographics"/>
    <s v="SDG 11: Sustainable Cities and Communities"/>
    <n v="22430449"/>
    <s v="People"/>
    <s v="Peru|1992"/>
    <s v="Gapminder/Plotly country-year extract reshaped to long indicator format for education"/>
    <s v="OK"/>
    <s v="1990s"/>
    <s v="N/A"/>
    <s v="Demographics"/>
  </r>
  <r>
    <s v="GM-03627"/>
    <s v="Peru"/>
    <x v="3"/>
    <x v="8"/>
    <x v="2"/>
    <s v="GDP per capita"/>
    <s v="Economy"/>
    <s v="SDG 8: Decent Work and Economic Growth"/>
    <n v="4446.3809240000001"/>
    <s v="Source-defined international dollars"/>
    <s v="Peru|1992"/>
    <s v="Gapminder/Plotly country-year extract reshaped to long indicator format for education"/>
    <s v="OK"/>
    <s v="1990s"/>
    <s v="N/A"/>
    <s v="Economy"/>
  </r>
  <r>
    <s v="GM-03628"/>
    <s v="Peru"/>
    <x v="3"/>
    <x v="9"/>
    <x v="0"/>
    <s v="Life expectancy at birth"/>
    <s v="Health"/>
    <s v="SDG 3: Good Health and Well-being"/>
    <n v="68.385999999999996"/>
    <s v="Years"/>
    <s v="Peru|1997"/>
    <s v="Gapminder/Plotly country-year extract reshaped to long indicator format for education"/>
    <s v="OK"/>
    <s v="1990s"/>
    <s v="Medium"/>
    <s v="Health"/>
  </r>
  <r>
    <s v="GM-03629"/>
    <s v="Peru"/>
    <x v="3"/>
    <x v="9"/>
    <x v="1"/>
    <s v="Population, total"/>
    <s v="Demographics"/>
    <s v="SDG 11: Sustainable Cities and Communities"/>
    <n v="24748122"/>
    <s v="People"/>
    <s v="Peru|1997"/>
    <s v="Gapminder/Plotly country-year extract reshaped to long indicator format for education"/>
    <s v="OK"/>
    <s v="1990s"/>
    <s v="N/A"/>
    <s v="Demographics"/>
  </r>
  <r>
    <s v="GM-03630"/>
    <s v="Peru"/>
    <x v="3"/>
    <x v="9"/>
    <x v="2"/>
    <s v="GDP per capita"/>
    <s v="Economy"/>
    <s v="SDG 8: Decent Work and Economic Growth"/>
    <n v="5838.3476570000003"/>
    <s v="Source-defined international dollars"/>
    <s v="Peru|1997"/>
    <s v="Gapminder/Plotly country-year extract reshaped to long indicator format for education"/>
    <s v="OK"/>
    <s v="1990s"/>
    <s v="N/A"/>
    <s v="Economy"/>
  </r>
  <r>
    <s v="GM-03631"/>
    <s v="Peru"/>
    <x v="3"/>
    <x v="10"/>
    <x v="0"/>
    <s v="Life expectancy at birth"/>
    <s v="Health"/>
    <s v="SDG 3: Good Health and Well-being"/>
    <n v="69.906000000000006"/>
    <s v="Years"/>
    <s v="Peru|2002"/>
    <s v="Gapminder/Plotly country-year extract reshaped to long indicator format for education"/>
    <s v="OK"/>
    <s v="2000s"/>
    <s v="Medium"/>
    <s v="Health"/>
  </r>
  <r>
    <s v="GM-03632"/>
    <s v="Peru"/>
    <x v="3"/>
    <x v="10"/>
    <x v="1"/>
    <s v="Population, total"/>
    <s v="Demographics"/>
    <s v="SDG 11: Sustainable Cities and Communities"/>
    <n v="26769436"/>
    <s v="People"/>
    <s v="Peru|2002"/>
    <s v="Gapminder/Plotly country-year extract reshaped to long indicator format for education"/>
    <s v="OK"/>
    <s v="2000s"/>
    <s v="N/A"/>
    <s v="Demographics"/>
  </r>
  <r>
    <s v="GM-03633"/>
    <s v="Peru"/>
    <x v="3"/>
    <x v="10"/>
    <x v="2"/>
    <s v="GDP per capita"/>
    <s v="Economy"/>
    <s v="SDG 8: Decent Work and Economic Growth"/>
    <n v="5909.0200729999997"/>
    <s v="Source-defined international dollars"/>
    <s v="Peru|2002"/>
    <s v="Gapminder/Plotly country-year extract reshaped to long indicator format for education"/>
    <s v="OK"/>
    <s v="2000s"/>
    <s v="N/A"/>
    <s v="Economy"/>
  </r>
  <r>
    <s v="GM-03634"/>
    <s v="Peru"/>
    <x v="3"/>
    <x v="11"/>
    <x v="0"/>
    <s v="Life expectancy at birth"/>
    <s v="Health"/>
    <s v="SDG 3: Good Health and Well-being"/>
    <n v="71.421000000000006"/>
    <s v="Years"/>
    <s v="Peru|2007"/>
    <s v="Gapminder/Plotly country-year extract reshaped to long indicator format for education"/>
    <s v="OK"/>
    <s v="2000s"/>
    <s v="High"/>
    <s v="Health"/>
  </r>
  <r>
    <s v="GM-03635"/>
    <s v="Peru"/>
    <x v="3"/>
    <x v="11"/>
    <x v="1"/>
    <s v="Population, total"/>
    <s v="Demographics"/>
    <s v="SDG 11: Sustainable Cities and Communities"/>
    <n v="28674757"/>
    <s v="People"/>
    <s v="Peru|2007"/>
    <s v="Gapminder/Plotly country-year extract reshaped to long indicator format for education"/>
    <s v="OK"/>
    <s v="2000s"/>
    <s v="N/A"/>
    <s v="Demographics"/>
  </r>
  <r>
    <s v="GM-03636"/>
    <s v="Peru"/>
    <x v="3"/>
    <x v="11"/>
    <x v="2"/>
    <s v="GDP per capita"/>
    <s v="Economy"/>
    <s v="SDG 8: Decent Work and Economic Growth"/>
    <n v="7408.9055609999996"/>
    <s v="Source-defined international dollars"/>
    <s v="Peru|2007"/>
    <s v="Gapminder/Plotly country-year extract reshaped to long indicator format for education"/>
    <s v="OK"/>
    <s v="2000s"/>
    <s v="N/A"/>
    <s v="Economy"/>
  </r>
  <r>
    <s v="GM-03637"/>
    <s v="Philippines"/>
    <x v="0"/>
    <x v="0"/>
    <x v="0"/>
    <s v="Life expectancy at birth"/>
    <s v="Health"/>
    <s v="SDG 3: Good Health and Well-being"/>
    <n v="47.752000000000002"/>
    <s v="Years"/>
    <s v="Philippines|1952"/>
    <s v="Gapminder/Plotly country-year extract reshaped to long indicator format for education"/>
    <s v="OK"/>
    <s v="1950s"/>
    <s v="Low"/>
    <s v="Health"/>
  </r>
  <r>
    <s v="GM-03638"/>
    <s v="Philippines"/>
    <x v="0"/>
    <x v="0"/>
    <x v="1"/>
    <s v="Population, total"/>
    <s v="Demographics"/>
    <s v="SDG 11: Sustainable Cities and Communities"/>
    <n v="22438691"/>
    <s v="People"/>
    <s v="Philippines|1952"/>
    <s v="Gapminder/Plotly country-year extract reshaped to long indicator format for education"/>
    <s v="OK"/>
    <s v="1950s"/>
    <s v="N/A"/>
    <s v="Demographics"/>
  </r>
  <r>
    <s v="GM-03639"/>
    <s v="Philippines"/>
    <x v="0"/>
    <x v="0"/>
    <x v="2"/>
    <s v="GDP per capita"/>
    <s v="Economy"/>
    <s v="SDG 8: Decent Work and Economic Growth"/>
    <n v="1272.880995"/>
    <s v="Source-defined international dollars"/>
    <s v="Philippines|1952"/>
    <s v="Gapminder/Plotly country-year extract reshaped to long indicator format for education"/>
    <s v="OK"/>
    <s v="1950s"/>
    <s v="N/A"/>
    <s v="Economy"/>
  </r>
  <r>
    <s v="GM-03640"/>
    <s v="Philippines"/>
    <x v="0"/>
    <x v="1"/>
    <x v="0"/>
    <s v="Life expectancy at birth"/>
    <s v="Health"/>
    <s v="SDG 3: Good Health and Well-being"/>
    <n v="51.334000000000003"/>
    <s v="Years"/>
    <s v="Philippines|1957"/>
    <s v="Gapminder/Plotly country-year extract reshaped to long indicator format for education"/>
    <s v="OK"/>
    <s v="1950s"/>
    <s v="Low"/>
    <s v="Health"/>
  </r>
  <r>
    <s v="GM-03641"/>
    <s v="Philippines"/>
    <x v="0"/>
    <x v="1"/>
    <x v="1"/>
    <s v="Population, total"/>
    <s v="Demographics"/>
    <s v="SDG 11: Sustainable Cities and Communities"/>
    <n v="26072194"/>
    <s v="People"/>
    <s v="Philippines|1957"/>
    <s v="Gapminder/Plotly country-year extract reshaped to long indicator format for education"/>
    <s v="OK"/>
    <s v="1950s"/>
    <s v="N/A"/>
    <s v="Demographics"/>
  </r>
  <r>
    <s v="GM-03642"/>
    <s v="Philippines"/>
    <x v="0"/>
    <x v="1"/>
    <x v="2"/>
    <s v="GDP per capita"/>
    <s v="Economy"/>
    <s v="SDG 8: Decent Work and Economic Growth"/>
    <n v="1547.9448440000001"/>
    <s v="Source-defined international dollars"/>
    <s v="Philippines|1957"/>
    <s v="Gapminder/Plotly country-year extract reshaped to long indicator format for education"/>
    <s v="OK"/>
    <s v="1950s"/>
    <s v="N/A"/>
    <s v="Economy"/>
  </r>
  <r>
    <s v="GM-03643"/>
    <s v="Philippines"/>
    <x v="0"/>
    <x v="2"/>
    <x v="0"/>
    <s v="Life expectancy at birth"/>
    <s v="Health"/>
    <s v="SDG 3: Good Health and Well-being"/>
    <n v="54.756999999999998"/>
    <s v="Years"/>
    <s v="Philippines|1962"/>
    <s v="Gapminder/Plotly country-year extract reshaped to long indicator format for education"/>
    <s v="OK"/>
    <s v="1960s"/>
    <s v="Low"/>
    <s v="Health"/>
  </r>
  <r>
    <s v="GM-03644"/>
    <s v="Philippines"/>
    <x v="0"/>
    <x v="2"/>
    <x v="1"/>
    <s v="Population, total"/>
    <s v="Demographics"/>
    <s v="SDG 11: Sustainable Cities and Communities"/>
    <n v="30325264"/>
    <s v="People"/>
    <s v="Philippines|1962"/>
    <s v="Gapminder/Plotly country-year extract reshaped to long indicator format for education"/>
    <s v="OK"/>
    <s v="1960s"/>
    <s v="N/A"/>
    <s v="Demographics"/>
  </r>
  <r>
    <s v="GM-03645"/>
    <s v="Philippines"/>
    <x v="0"/>
    <x v="2"/>
    <x v="2"/>
    <s v="GDP per capita"/>
    <s v="Economy"/>
    <s v="SDG 8: Decent Work and Economic Growth"/>
    <n v="1649.5521530000001"/>
    <s v="Source-defined international dollars"/>
    <s v="Philippines|1962"/>
    <s v="Gapminder/Plotly country-year extract reshaped to long indicator format for education"/>
    <s v="OK"/>
    <s v="1960s"/>
    <s v="N/A"/>
    <s v="Economy"/>
  </r>
  <r>
    <s v="GM-03646"/>
    <s v="Philippines"/>
    <x v="0"/>
    <x v="3"/>
    <x v="0"/>
    <s v="Life expectancy at birth"/>
    <s v="Health"/>
    <s v="SDG 3: Good Health and Well-being"/>
    <n v="56.393000000000001"/>
    <s v="Years"/>
    <s v="Philippines|1967"/>
    <s v="Gapminder/Plotly country-year extract reshaped to long indicator format for education"/>
    <s v="OK"/>
    <s v="1960s"/>
    <s v="Medium"/>
    <s v="Health"/>
  </r>
  <r>
    <s v="GM-03647"/>
    <s v="Philippines"/>
    <x v="0"/>
    <x v="3"/>
    <x v="1"/>
    <s v="Population, total"/>
    <s v="Demographics"/>
    <s v="SDG 11: Sustainable Cities and Communities"/>
    <n v="35356600"/>
    <s v="People"/>
    <s v="Philippines|1967"/>
    <s v="Gapminder/Plotly country-year extract reshaped to long indicator format for education"/>
    <s v="OK"/>
    <s v="1960s"/>
    <s v="N/A"/>
    <s v="Demographics"/>
  </r>
  <r>
    <s v="GM-03648"/>
    <s v="Philippines"/>
    <x v="0"/>
    <x v="3"/>
    <x v="2"/>
    <s v="GDP per capita"/>
    <s v="Economy"/>
    <s v="SDG 8: Decent Work and Economic Growth"/>
    <n v="1814.12743"/>
    <s v="Source-defined international dollars"/>
    <s v="Philippines|1967"/>
    <s v="Gapminder/Plotly country-year extract reshaped to long indicator format for education"/>
    <s v="OK"/>
    <s v="1960s"/>
    <s v="N/A"/>
    <s v="Economy"/>
  </r>
  <r>
    <s v="GM-03649"/>
    <s v="Philippines"/>
    <x v="0"/>
    <x v="4"/>
    <x v="0"/>
    <s v="Life expectancy at birth"/>
    <s v="Health"/>
    <s v="SDG 3: Good Health and Well-being"/>
    <n v="58.064999999999998"/>
    <s v="Years"/>
    <s v="Philippines|1972"/>
    <s v="Gapminder/Plotly country-year extract reshaped to long indicator format for education"/>
    <s v="OK"/>
    <s v="1970s"/>
    <s v="Medium"/>
    <s v="Health"/>
  </r>
  <r>
    <s v="GM-03650"/>
    <s v="Philippines"/>
    <x v="0"/>
    <x v="4"/>
    <x v="1"/>
    <s v="Population, total"/>
    <s v="Demographics"/>
    <s v="SDG 11: Sustainable Cities and Communities"/>
    <n v="40850141"/>
    <s v="People"/>
    <s v="Philippines|1972"/>
    <s v="Gapminder/Plotly country-year extract reshaped to long indicator format for education"/>
    <s v="OK"/>
    <s v="1970s"/>
    <s v="N/A"/>
    <s v="Demographics"/>
  </r>
  <r>
    <s v="GM-03651"/>
    <s v="Philippines"/>
    <x v="0"/>
    <x v="4"/>
    <x v="2"/>
    <s v="GDP per capita"/>
    <s v="Economy"/>
    <s v="SDG 8: Decent Work and Economic Growth"/>
    <n v="1989.3740700000001"/>
    <s v="Source-defined international dollars"/>
    <s v="Philippines|1972"/>
    <s v="Gapminder/Plotly country-year extract reshaped to long indicator format for education"/>
    <s v="OK"/>
    <s v="1970s"/>
    <s v="N/A"/>
    <s v="Economy"/>
  </r>
  <r>
    <s v="GM-03652"/>
    <s v="Philippines"/>
    <x v="0"/>
    <x v="5"/>
    <x v="0"/>
    <s v="Life expectancy at birth"/>
    <s v="Health"/>
    <s v="SDG 3: Good Health and Well-being"/>
    <n v="60.06"/>
    <s v="Years"/>
    <s v="Philippines|1977"/>
    <s v="Gapminder/Plotly country-year extract reshaped to long indicator format for education"/>
    <s v="OK"/>
    <s v="1970s"/>
    <s v="Medium"/>
    <s v="Health"/>
  </r>
  <r>
    <s v="GM-03653"/>
    <s v="Philippines"/>
    <x v="0"/>
    <x v="5"/>
    <x v="1"/>
    <s v="Population, total"/>
    <s v="Demographics"/>
    <s v="SDG 11: Sustainable Cities and Communities"/>
    <n v="46850962"/>
    <s v="People"/>
    <s v="Philippines|1977"/>
    <s v="Gapminder/Plotly country-year extract reshaped to long indicator format for education"/>
    <s v="OK"/>
    <s v="1970s"/>
    <s v="N/A"/>
    <s v="Demographics"/>
  </r>
  <r>
    <s v="GM-03654"/>
    <s v="Philippines"/>
    <x v="0"/>
    <x v="5"/>
    <x v="2"/>
    <s v="GDP per capita"/>
    <s v="Economy"/>
    <s v="SDG 8: Decent Work and Economic Growth"/>
    <n v="2373.204287"/>
    <s v="Source-defined international dollars"/>
    <s v="Philippines|1977"/>
    <s v="Gapminder/Plotly country-year extract reshaped to long indicator format for education"/>
    <s v="OK"/>
    <s v="1970s"/>
    <s v="N/A"/>
    <s v="Economy"/>
  </r>
  <r>
    <s v="GM-03655"/>
    <s v="Philippines"/>
    <x v="0"/>
    <x v="6"/>
    <x v="0"/>
    <s v="Life expectancy at birth"/>
    <s v="Health"/>
    <s v="SDG 3: Good Health and Well-being"/>
    <n v="62.082000000000001"/>
    <s v="Years"/>
    <s v="Philippines|1982"/>
    <s v="Gapminder/Plotly country-year extract reshaped to long indicator format for education"/>
    <s v="OK"/>
    <s v="1980s"/>
    <s v="Medium"/>
    <s v="Health"/>
  </r>
  <r>
    <s v="GM-03656"/>
    <s v="Philippines"/>
    <x v="0"/>
    <x v="6"/>
    <x v="1"/>
    <s v="Population, total"/>
    <s v="Demographics"/>
    <s v="SDG 11: Sustainable Cities and Communities"/>
    <n v="53456774"/>
    <s v="People"/>
    <s v="Philippines|1982"/>
    <s v="Gapminder/Plotly country-year extract reshaped to long indicator format for education"/>
    <s v="OK"/>
    <s v="1980s"/>
    <s v="N/A"/>
    <s v="Demographics"/>
  </r>
  <r>
    <s v="GM-03657"/>
    <s v="Philippines"/>
    <x v="0"/>
    <x v="6"/>
    <x v="2"/>
    <s v="GDP per capita"/>
    <s v="Economy"/>
    <s v="SDG 8: Decent Work and Economic Growth"/>
    <n v="2603.2737649999999"/>
    <s v="Source-defined international dollars"/>
    <s v="Philippines|1982"/>
    <s v="Gapminder/Plotly country-year extract reshaped to long indicator format for education"/>
    <s v="OK"/>
    <s v="1980s"/>
    <s v="N/A"/>
    <s v="Economy"/>
  </r>
  <r>
    <s v="GM-03658"/>
    <s v="Philippines"/>
    <x v="0"/>
    <x v="7"/>
    <x v="0"/>
    <s v="Life expectancy at birth"/>
    <s v="Health"/>
    <s v="SDG 3: Good Health and Well-being"/>
    <n v="64.150999999999996"/>
    <s v="Years"/>
    <s v="Philippines|1987"/>
    <s v="Gapminder/Plotly country-year extract reshaped to long indicator format for education"/>
    <s v="OK"/>
    <s v="1980s"/>
    <s v="Medium"/>
    <s v="Health"/>
  </r>
  <r>
    <s v="GM-03659"/>
    <s v="Philippines"/>
    <x v="0"/>
    <x v="7"/>
    <x v="1"/>
    <s v="Population, total"/>
    <s v="Demographics"/>
    <s v="SDG 11: Sustainable Cities and Communities"/>
    <n v="60017788"/>
    <s v="People"/>
    <s v="Philippines|1987"/>
    <s v="Gapminder/Plotly country-year extract reshaped to long indicator format for education"/>
    <s v="OK"/>
    <s v="1980s"/>
    <s v="N/A"/>
    <s v="Demographics"/>
  </r>
  <r>
    <s v="GM-03660"/>
    <s v="Philippines"/>
    <x v="0"/>
    <x v="7"/>
    <x v="2"/>
    <s v="GDP per capita"/>
    <s v="Economy"/>
    <s v="SDG 8: Decent Work and Economic Growth"/>
    <n v="2189.6349949999999"/>
    <s v="Source-defined international dollars"/>
    <s v="Philippines|1987"/>
    <s v="Gapminder/Plotly country-year extract reshaped to long indicator format for education"/>
    <s v="OK"/>
    <s v="1980s"/>
    <s v="N/A"/>
    <s v="Economy"/>
  </r>
  <r>
    <s v="GM-03661"/>
    <s v="Philippines"/>
    <x v="0"/>
    <x v="8"/>
    <x v="0"/>
    <s v="Life expectancy at birth"/>
    <s v="Health"/>
    <s v="SDG 3: Good Health and Well-being"/>
    <n v="66.457999999999998"/>
    <s v="Years"/>
    <s v="Philippines|1992"/>
    <s v="Gapminder/Plotly country-year extract reshaped to long indicator format for education"/>
    <s v="OK"/>
    <s v="1990s"/>
    <s v="Medium"/>
    <s v="Health"/>
  </r>
  <r>
    <s v="GM-03662"/>
    <s v="Philippines"/>
    <x v="0"/>
    <x v="8"/>
    <x v="1"/>
    <s v="Population, total"/>
    <s v="Demographics"/>
    <s v="SDG 11: Sustainable Cities and Communities"/>
    <n v="67185766"/>
    <s v="People"/>
    <s v="Philippines|1992"/>
    <s v="Gapminder/Plotly country-year extract reshaped to long indicator format for education"/>
    <s v="OK"/>
    <s v="1990s"/>
    <s v="N/A"/>
    <s v="Demographics"/>
  </r>
  <r>
    <s v="GM-03663"/>
    <s v="Philippines"/>
    <x v="0"/>
    <x v="8"/>
    <x v="2"/>
    <s v="GDP per capita"/>
    <s v="Economy"/>
    <s v="SDG 8: Decent Work and Economic Growth"/>
    <n v="2279.3240169999999"/>
    <s v="Source-defined international dollars"/>
    <s v="Philippines|1992"/>
    <s v="Gapminder/Plotly country-year extract reshaped to long indicator format for education"/>
    <s v="OK"/>
    <s v="1990s"/>
    <s v="N/A"/>
    <s v="Economy"/>
  </r>
  <r>
    <s v="GM-03664"/>
    <s v="Philippines"/>
    <x v="0"/>
    <x v="9"/>
    <x v="0"/>
    <s v="Life expectancy at birth"/>
    <s v="Health"/>
    <s v="SDG 3: Good Health and Well-being"/>
    <n v="68.563999999999993"/>
    <s v="Years"/>
    <s v="Philippines|1997"/>
    <s v="Gapminder/Plotly country-year extract reshaped to long indicator format for education"/>
    <s v="OK"/>
    <s v="1990s"/>
    <s v="Medium"/>
    <s v="Health"/>
  </r>
  <r>
    <s v="GM-03665"/>
    <s v="Philippines"/>
    <x v="0"/>
    <x v="9"/>
    <x v="1"/>
    <s v="Population, total"/>
    <s v="Demographics"/>
    <s v="SDG 11: Sustainable Cities and Communities"/>
    <n v="75012988"/>
    <s v="People"/>
    <s v="Philippines|1997"/>
    <s v="Gapminder/Plotly country-year extract reshaped to long indicator format for education"/>
    <s v="OK"/>
    <s v="1990s"/>
    <s v="N/A"/>
    <s v="Demographics"/>
  </r>
  <r>
    <s v="GM-03666"/>
    <s v="Philippines"/>
    <x v="0"/>
    <x v="9"/>
    <x v="2"/>
    <s v="GDP per capita"/>
    <s v="Economy"/>
    <s v="SDG 8: Decent Work and Economic Growth"/>
    <n v="2536.5349249999999"/>
    <s v="Source-defined international dollars"/>
    <s v="Philippines|1997"/>
    <s v="Gapminder/Plotly country-year extract reshaped to long indicator format for education"/>
    <s v="OK"/>
    <s v="1990s"/>
    <s v="N/A"/>
    <s v="Economy"/>
  </r>
  <r>
    <s v="GM-03667"/>
    <s v="Philippines"/>
    <x v="0"/>
    <x v="10"/>
    <x v="0"/>
    <s v="Life expectancy at birth"/>
    <s v="Health"/>
    <s v="SDG 3: Good Health and Well-being"/>
    <n v="70.302999999999997"/>
    <s v="Years"/>
    <s v="Philippines|2002"/>
    <s v="Gapminder/Plotly country-year extract reshaped to long indicator format for education"/>
    <s v="OK"/>
    <s v="2000s"/>
    <s v="High"/>
    <s v="Health"/>
  </r>
  <r>
    <s v="GM-03668"/>
    <s v="Philippines"/>
    <x v="0"/>
    <x v="10"/>
    <x v="1"/>
    <s v="Population, total"/>
    <s v="Demographics"/>
    <s v="SDG 11: Sustainable Cities and Communities"/>
    <n v="82995088"/>
    <s v="People"/>
    <s v="Philippines|2002"/>
    <s v="Gapminder/Plotly country-year extract reshaped to long indicator format for education"/>
    <s v="OK"/>
    <s v="2000s"/>
    <s v="N/A"/>
    <s v="Demographics"/>
  </r>
  <r>
    <s v="GM-03669"/>
    <s v="Philippines"/>
    <x v="0"/>
    <x v="10"/>
    <x v="2"/>
    <s v="GDP per capita"/>
    <s v="Economy"/>
    <s v="SDG 8: Decent Work and Economic Growth"/>
    <n v="2650.9210680000001"/>
    <s v="Source-defined international dollars"/>
    <s v="Philippines|2002"/>
    <s v="Gapminder/Plotly country-year extract reshaped to long indicator format for education"/>
    <s v="OK"/>
    <s v="2000s"/>
    <s v="N/A"/>
    <s v="Economy"/>
  </r>
  <r>
    <s v="GM-03670"/>
    <s v="Philippines"/>
    <x v="0"/>
    <x v="11"/>
    <x v="0"/>
    <s v="Life expectancy at birth"/>
    <s v="Health"/>
    <s v="SDG 3: Good Health and Well-being"/>
    <n v="71.688000000000002"/>
    <s v="Years"/>
    <s v="Philippines|2007"/>
    <s v="Gapminder/Plotly country-year extract reshaped to long indicator format for education"/>
    <s v="OK"/>
    <s v="2000s"/>
    <s v="High"/>
    <s v="Health"/>
  </r>
  <r>
    <s v="GM-03671"/>
    <s v="Philippines"/>
    <x v="0"/>
    <x v="11"/>
    <x v="1"/>
    <s v="Population, total"/>
    <s v="Demographics"/>
    <s v="SDG 11: Sustainable Cities and Communities"/>
    <n v="91077287"/>
    <s v="People"/>
    <s v="Philippines|2007"/>
    <s v="Gapminder/Plotly country-year extract reshaped to long indicator format for education"/>
    <s v="OK"/>
    <s v="2000s"/>
    <s v="N/A"/>
    <s v="Demographics"/>
  </r>
  <r>
    <s v="GM-03672"/>
    <s v="Philippines"/>
    <x v="0"/>
    <x v="11"/>
    <x v="2"/>
    <s v="GDP per capita"/>
    <s v="Economy"/>
    <s v="SDG 8: Decent Work and Economic Growth"/>
    <n v="3190.4810160000002"/>
    <s v="Source-defined international dollars"/>
    <s v="Philippines|2007"/>
    <s v="Gapminder/Plotly country-year extract reshaped to long indicator format for education"/>
    <s v="OK"/>
    <s v="2000s"/>
    <s v="N/A"/>
    <s v="Economy"/>
  </r>
  <r>
    <s v="GM-03673"/>
    <s v="Poland"/>
    <x v="1"/>
    <x v="0"/>
    <x v="0"/>
    <s v="Life expectancy at birth"/>
    <s v="Health"/>
    <s v="SDG 3: Good Health and Well-being"/>
    <n v="61.31"/>
    <s v="Years"/>
    <s v="Poland|1952"/>
    <s v="Gapminder/Plotly country-year extract reshaped to long indicator format for education"/>
    <s v="OK"/>
    <s v="1950s"/>
    <s v="Medium"/>
    <s v="Health"/>
  </r>
  <r>
    <s v="GM-03674"/>
    <s v="Poland"/>
    <x v="1"/>
    <x v="0"/>
    <x v="1"/>
    <s v="Population, total"/>
    <s v="Demographics"/>
    <s v="SDG 11: Sustainable Cities and Communities"/>
    <n v="25730551"/>
    <s v="People"/>
    <s v="Poland|1952"/>
    <s v="Gapminder/Plotly country-year extract reshaped to long indicator format for education"/>
    <s v="OK"/>
    <s v="1950s"/>
    <s v="N/A"/>
    <s v="Demographics"/>
  </r>
  <r>
    <s v="GM-03675"/>
    <s v="Poland"/>
    <x v="1"/>
    <x v="0"/>
    <x v="2"/>
    <s v="GDP per capita"/>
    <s v="Economy"/>
    <s v="SDG 8: Decent Work and Economic Growth"/>
    <n v="4029.3296989999999"/>
    <s v="Source-defined international dollars"/>
    <s v="Poland|1952"/>
    <s v="Gapminder/Plotly country-year extract reshaped to long indicator format for education"/>
    <s v="OK"/>
    <s v="1950s"/>
    <s v="N/A"/>
    <s v="Economy"/>
  </r>
  <r>
    <s v="GM-03676"/>
    <s v="Poland"/>
    <x v="1"/>
    <x v="1"/>
    <x v="0"/>
    <s v="Life expectancy at birth"/>
    <s v="Health"/>
    <s v="SDG 3: Good Health and Well-being"/>
    <n v="65.77"/>
    <s v="Years"/>
    <s v="Poland|1957"/>
    <s v="Gapminder/Plotly country-year extract reshaped to long indicator format for education"/>
    <s v="OK"/>
    <s v="1950s"/>
    <s v="Medium"/>
    <s v="Health"/>
  </r>
  <r>
    <s v="GM-03677"/>
    <s v="Poland"/>
    <x v="1"/>
    <x v="1"/>
    <x v="1"/>
    <s v="Population, total"/>
    <s v="Demographics"/>
    <s v="SDG 11: Sustainable Cities and Communities"/>
    <n v="28235346"/>
    <s v="People"/>
    <s v="Poland|1957"/>
    <s v="Gapminder/Plotly country-year extract reshaped to long indicator format for education"/>
    <s v="OK"/>
    <s v="1950s"/>
    <s v="N/A"/>
    <s v="Demographics"/>
  </r>
  <r>
    <s v="GM-03678"/>
    <s v="Poland"/>
    <x v="1"/>
    <x v="1"/>
    <x v="2"/>
    <s v="GDP per capita"/>
    <s v="Economy"/>
    <s v="SDG 8: Decent Work and Economic Growth"/>
    <n v="4734.2530189999998"/>
    <s v="Source-defined international dollars"/>
    <s v="Poland|1957"/>
    <s v="Gapminder/Plotly country-year extract reshaped to long indicator format for education"/>
    <s v="OK"/>
    <s v="1950s"/>
    <s v="N/A"/>
    <s v="Economy"/>
  </r>
  <r>
    <s v="GM-03679"/>
    <s v="Poland"/>
    <x v="1"/>
    <x v="2"/>
    <x v="0"/>
    <s v="Life expectancy at birth"/>
    <s v="Health"/>
    <s v="SDG 3: Good Health and Well-being"/>
    <n v="67.64"/>
    <s v="Years"/>
    <s v="Poland|1962"/>
    <s v="Gapminder/Plotly country-year extract reshaped to long indicator format for education"/>
    <s v="OK"/>
    <s v="1960s"/>
    <s v="Medium"/>
    <s v="Health"/>
  </r>
  <r>
    <s v="GM-03680"/>
    <s v="Poland"/>
    <x v="1"/>
    <x v="2"/>
    <x v="1"/>
    <s v="Population, total"/>
    <s v="Demographics"/>
    <s v="SDG 11: Sustainable Cities and Communities"/>
    <n v="30329617"/>
    <s v="People"/>
    <s v="Poland|1962"/>
    <s v="Gapminder/Plotly country-year extract reshaped to long indicator format for education"/>
    <s v="OK"/>
    <s v="1960s"/>
    <s v="N/A"/>
    <s v="Demographics"/>
  </r>
  <r>
    <s v="GM-03681"/>
    <s v="Poland"/>
    <x v="1"/>
    <x v="2"/>
    <x v="2"/>
    <s v="GDP per capita"/>
    <s v="Economy"/>
    <s v="SDG 8: Decent Work and Economic Growth"/>
    <n v="5338.7521429999997"/>
    <s v="Source-defined international dollars"/>
    <s v="Poland|1962"/>
    <s v="Gapminder/Plotly country-year extract reshaped to long indicator format for education"/>
    <s v="OK"/>
    <s v="1960s"/>
    <s v="N/A"/>
    <s v="Economy"/>
  </r>
  <r>
    <s v="GM-03682"/>
    <s v="Poland"/>
    <x v="1"/>
    <x v="3"/>
    <x v="0"/>
    <s v="Life expectancy at birth"/>
    <s v="Health"/>
    <s v="SDG 3: Good Health and Well-being"/>
    <n v="69.61"/>
    <s v="Years"/>
    <s v="Poland|1967"/>
    <s v="Gapminder/Plotly country-year extract reshaped to long indicator format for education"/>
    <s v="OK"/>
    <s v="1960s"/>
    <s v="Medium"/>
    <s v="Health"/>
  </r>
  <r>
    <s v="GM-03683"/>
    <s v="Poland"/>
    <x v="1"/>
    <x v="3"/>
    <x v="1"/>
    <s v="Population, total"/>
    <s v="Demographics"/>
    <s v="SDG 11: Sustainable Cities and Communities"/>
    <n v="31785378"/>
    <s v="People"/>
    <s v="Poland|1967"/>
    <s v="Gapminder/Plotly country-year extract reshaped to long indicator format for education"/>
    <s v="OK"/>
    <s v="1960s"/>
    <s v="N/A"/>
    <s v="Demographics"/>
  </r>
  <r>
    <s v="GM-03684"/>
    <s v="Poland"/>
    <x v="1"/>
    <x v="3"/>
    <x v="2"/>
    <s v="GDP per capita"/>
    <s v="Economy"/>
    <s v="SDG 8: Decent Work and Economic Growth"/>
    <n v="6557.1527759999999"/>
    <s v="Source-defined international dollars"/>
    <s v="Poland|1967"/>
    <s v="Gapminder/Plotly country-year extract reshaped to long indicator format for education"/>
    <s v="OK"/>
    <s v="1960s"/>
    <s v="N/A"/>
    <s v="Economy"/>
  </r>
  <r>
    <s v="GM-03685"/>
    <s v="Poland"/>
    <x v="1"/>
    <x v="4"/>
    <x v="0"/>
    <s v="Life expectancy at birth"/>
    <s v="Health"/>
    <s v="SDG 3: Good Health and Well-being"/>
    <n v="70.849999999999994"/>
    <s v="Years"/>
    <s v="Poland|1972"/>
    <s v="Gapminder/Plotly country-year extract reshaped to long indicator format for education"/>
    <s v="OK"/>
    <s v="1970s"/>
    <s v="High"/>
    <s v="Health"/>
  </r>
  <r>
    <s v="GM-03686"/>
    <s v="Poland"/>
    <x v="1"/>
    <x v="4"/>
    <x v="1"/>
    <s v="Population, total"/>
    <s v="Demographics"/>
    <s v="SDG 11: Sustainable Cities and Communities"/>
    <n v="33039545"/>
    <s v="People"/>
    <s v="Poland|1972"/>
    <s v="Gapminder/Plotly country-year extract reshaped to long indicator format for education"/>
    <s v="OK"/>
    <s v="1970s"/>
    <s v="N/A"/>
    <s v="Demographics"/>
  </r>
  <r>
    <s v="GM-03687"/>
    <s v="Poland"/>
    <x v="1"/>
    <x v="4"/>
    <x v="2"/>
    <s v="GDP per capita"/>
    <s v="Economy"/>
    <s v="SDG 8: Decent Work and Economic Growth"/>
    <n v="8006.506993"/>
    <s v="Source-defined international dollars"/>
    <s v="Poland|1972"/>
    <s v="Gapminder/Plotly country-year extract reshaped to long indicator format for education"/>
    <s v="OK"/>
    <s v="1970s"/>
    <s v="N/A"/>
    <s v="Economy"/>
  </r>
  <r>
    <s v="GM-03688"/>
    <s v="Poland"/>
    <x v="1"/>
    <x v="5"/>
    <x v="0"/>
    <s v="Life expectancy at birth"/>
    <s v="Health"/>
    <s v="SDG 3: Good Health and Well-being"/>
    <n v="70.67"/>
    <s v="Years"/>
    <s v="Poland|1977"/>
    <s v="Gapminder/Plotly country-year extract reshaped to long indicator format for education"/>
    <s v="OK"/>
    <s v="1970s"/>
    <s v="High"/>
    <s v="Health"/>
  </r>
  <r>
    <s v="GM-03689"/>
    <s v="Poland"/>
    <x v="1"/>
    <x v="5"/>
    <x v="1"/>
    <s v="Population, total"/>
    <s v="Demographics"/>
    <s v="SDG 11: Sustainable Cities and Communities"/>
    <n v="34621254"/>
    <s v="People"/>
    <s v="Poland|1977"/>
    <s v="Gapminder/Plotly country-year extract reshaped to long indicator format for education"/>
    <s v="OK"/>
    <s v="1970s"/>
    <s v="N/A"/>
    <s v="Demographics"/>
  </r>
  <r>
    <s v="GM-03690"/>
    <s v="Poland"/>
    <x v="1"/>
    <x v="5"/>
    <x v="2"/>
    <s v="GDP per capita"/>
    <s v="Economy"/>
    <s v="SDG 8: Decent Work and Economic Growth"/>
    <n v="9508.1414540000005"/>
    <s v="Source-defined international dollars"/>
    <s v="Poland|1977"/>
    <s v="Gapminder/Plotly country-year extract reshaped to long indicator format for education"/>
    <s v="OK"/>
    <s v="1970s"/>
    <s v="N/A"/>
    <s v="Economy"/>
  </r>
  <r>
    <s v="GM-03691"/>
    <s v="Poland"/>
    <x v="1"/>
    <x v="6"/>
    <x v="0"/>
    <s v="Life expectancy at birth"/>
    <s v="Health"/>
    <s v="SDG 3: Good Health and Well-being"/>
    <n v="71.319999999999993"/>
    <s v="Years"/>
    <s v="Poland|1982"/>
    <s v="Gapminder/Plotly country-year extract reshaped to long indicator format for education"/>
    <s v="OK"/>
    <s v="1980s"/>
    <s v="High"/>
    <s v="Health"/>
  </r>
  <r>
    <s v="GM-03692"/>
    <s v="Poland"/>
    <x v="1"/>
    <x v="6"/>
    <x v="1"/>
    <s v="Population, total"/>
    <s v="Demographics"/>
    <s v="SDG 11: Sustainable Cities and Communities"/>
    <n v="36227381"/>
    <s v="People"/>
    <s v="Poland|1982"/>
    <s v="Gapminder/Plotly country-year extract reshaped to long indicator format for education"/>
    <s v="OK"/>
    <s v="1980s"/>
    <s v="N/A"/>
    <s v="Demographics"/>
  </r>
  <r>
    <s v="GM-03693"/>
    <s v="Poland"/>
    <x v="1"/>
    <x v="6"/>
    <x v="2"/>
    <s v="GDP per capita"/>
    <s v="Economy"/>
    <s v="SDG 8: Decent Work and Economic Growth"/>
    <n v="8451.5310040000004"/>
    <s v="Source-defined international dollars"/>
    <s v="Poland|1982"/>
    <s v="Gapminder/Plotly country-year extract reshaped to long indicator format for education"/>
    <s v="OK"/>
    <s v="1980s"/>
    <s v="N/A"/>
    <s v="Economy"/>
  </r>
  <r>
    <s v="GM-03694"/>
    <s v="Poland"/>
    <x v="1"/>
    <x v="7"/>
    <x v="0"/>
    <s v="Life expectancy at birth"/>
    <s v="Health"/>
    <s v="SDG 3: Good Health and Well-being"/>
    <n v="70.98"/>
    <s v="Years"/>
    <s v="Poland|1987"/>
    <s v="Gapminder/Plotly country-year extract reshaped to long indicator format for education"/>
    <s v="OK"/>
    <s v="1980s"/>
    <s v="High"/>
    <s v="Health"/>
  </r>
  <r>
    <s v="GM-03695"/>
    <s v="Poland"/>
    <x v="1"/>
    <x v="7"/>
    <x v="1"/>
    <s v="Population, total"/>
    <s v="Demographics"/>
    <s v="SDG 11: Sustainable Cities and Communities"/>
    <n v="37740710"/>
    <s v="People"/>
    <s v="Poland|1987"/>
    <s v="Gapminder/Plotly country-year extract reshaped to long indicator format for education"/>
    <s v="OK"/>
    <s v="1980s"/>
    <s v="N/A"/>
    <s v="Demographics"/>
  </r>
  <r>
    <s v="GM-03696"/>
    <s v="Poland"/>
    <x v="1"/>
    <x v="7"/>
    <x v="2"/>
    <s v="GDP per capita"/>
    <s v="Economy"/>
    <s v="SDG 8: Decent Work and Economic Growth"/>
    <n v="9082.3511720000006"/>
    <s v="Source-defined international dollars"/>
    <s v="Poland|1987"/>
    <s v="Gapminder/Plotly country-year extract reshaped to long indicator format for education"/>
    <s v="OK"/>
    <s v="1980s"/>
    <s v="N/A"/>
    <s v="Economy"/>
  </r>
  <r>
    <s v="GM-03697"/>
    <s v="Poland"/>
    <x v="1"/>
    <x v="8"/>
    <x v="0"/>
    <s v="Life expectancy at birth"/>
    <s v="Health"/>
    <s v="SDG 3: Good Health and Well-being"/>
    <n v="70.989999999999995"/>
    <s v="Years"/>
    <s v="Poland|1992"/>
    <s v="Gapminder/Plotly country-year extract reshaped to long indicator format for education"/>
    <s v="OK"/>
    <s v="1990s"/>
    <s v="High"/>
    <s v="Health"/>
  </r>
  <r>
    <s v="GM-03698"/>
    <s v="Poland"/>
    <x v="1"/>
    <x v="8"/>
    <x v="1"/>
    <s v="Population, total"/>
    <s v="Demographics"/>
    <s v="SDG 11: Sustainable Cities and Communities"/>
    <n v="38370697"/>
    <s v="People"/>
    <s v="Poland|1992"/>
    <s v="Gapminder/Plotly country-year extract reshaped to long indicator format for education"/>
    <s v="OK"/>
    <s v="1990s"/>
    <s v="N/A"/>
    <s v="Demographics"/>
  </r>
  <r>
    <s v="GM-03699"/>
    <s v="Poland"/>
    <x v="1"/>
    <x v="8"/>
    <x v="2"/>
    <s v="GDP per capita"/>
    <s v="Economy"/>
    <s v="SDG 8: Decent Work and Economic Growth"/>
    <n v="7738.8812470000003"/>
    <s v="Source-defined international dollars"/>
    <s v="Poland|1992"/>
    <s v="Gapminder/Plotly country-year extract reshaped to long indicator format for education"/>
    <s v="OK"/>
    <s v="1990s"/>
    <s v="N/A"/>
    <s v="Economy"/>
  </r>
  <r>
    <s v="GM-03700"/>
    <s v="Poland"/>
    <x v="1"/>
    <x v="9"/>
    <x v="0"/>
    <s v="Life expectancy at birth"/>
    <s v="Health"/>
    <s v="SDG 3: Good Health and Well-being"/>
    <n v="72.75"/>
    <s v="Years"/>
    <s v="Poland|1997"/>
    <s v="Gapminder/Plotly country-year extract reshaped to long indicator format for education"/>
    <s v="OK"/>
    <s v="1990s"/>
    <s v="High"/>
    <s v="Health"/>
  </r>
  <r>
    <s v="GM-03701"/>
    <s v="Poland"/>
    <x v="1"/>
    <x v="9"/>
    <x v="1"/>
    <s v="Population, total"/>
    <s v="Demographics"/>
    <s v="SDG 11: Sustainable Cities and Communities"/>
    <n v="38654957"/>
    <s v="People"/>
    <s v="Poland|1997"/>
    <s v="Gapminder/Plotly country-year extract reshaped to long indicator format for education"/>
    <s v="OK"/>
    <s v="1990s"/>
    <s v="N/A"/>
    <s v="Demographics"/>
  </r>
  <r>
    <s v="GM-03702"/>
    <s v="Poland"/>
    <x v="1"/>
    <x v="9"/>
    <x v="2"/>
    <s v="GDP per capita"/>
    <s v="Economy"/>
    <s v="SDG 8: Decent Work and Economic Growth"/>
    <n v="10159.58368"/>
    <s v="Source-defined international dollars"/>
    <s v="Poland|1997"/>
    <s v="Gapminder/Plotly country-year extract reshaped to long indicator format for education"/>
    <s v="OK"/>
    <s v="1990s"/>
    <s v="N/A"/>
    <s v="Economy"/>
  </r>
  <r>
    <s v="GM-03703"/>
    <s v="Poland"/>
    <x v="1"/>
    <x v="10"/>
    <x v="0"/>
    <s v="Life expectancy at birth"/>
    <s v="Health"/>
    <s v="SDG 3: Good Health and Well-being"/>
    <n v="74.67"/>
    <s v="Years"/>
    <s v="Poland|2002"/>
    <s v="Gapminder/Plotly country-year extract reshaped to long indicator format for education"/>
    <s v="OK"/>
    <s v="2000s"/>
    <s v="High"/>
    <s v="Health"/>
  </r>
  <r>
    <s v="GM-03704"/>
    <s v="Poland"/>
    <x v="1"/>
    <x v="10"/>
    <x v="1"/>
    <s v="Population, total"/>
    <s v="Demographics"/>
    <s v="SDG 11: Sustainable Cities and Communities"/>
    <n v="38625976"/>
    <s v="People"/>
    <s v="Poland|2002"/>
    <s v="Gapminder/Plotly country-year extract reshaped to long indicator format for education"/>
    <s v="OK"/>
    <s v="2000s"/>
    <s v="N/A"/>
    <s v="Demographics"/>
  </r>
  <r>
    <s v="GM-03705"/>
    <s v="Poland"/>
    <x v="1"/>
    <x v="10"/>
    <x v="2"/>
    <s v="GDP per capita"/>
    <s v="Economy"/>
    <s v="SDG 8: Decent Work and Economic Growth"/>
    <n v="12002.239079999999"/>
    <s v="Source-defined international dollars"/>
    <s v="Poland|2002"/>
    <s v="Gapminder/Plotly country-year extract reshaped to long indicator format for education"/>
    <s v="OK"/>
    <s v="2000s"/>
    <s v="N/A"/>
    <s v="Economy"/>
  </r>
  <r>
    <s v="GM-03706"/>
    <s v="Poland"/>
    <x v="1"/>
    <x v="11"/>
    <x v="0"/>
    <s v="Life expectancy at birth"/>
    <s v="Health"/>
    <s v="SDG 3: Good Health and Well-being"/>
    <n v="75.563000000000002"/>
    <s v="Years"/>
    <s v="Poland|2007"/>
    <s v="Gapminder/Plotly country-year extract reshaped to long indicator format for education"/>
    <s v="OK"/>
    <s v="2000s"/>
    <s v="High"/>
    <s v="Health"/>
  </r>
  <r>
    <s v="GM-03707"/>
    <s v="Poland"/>
    <x v="1"/>
    <x v="11"/>
    <x v="1"/>
    <s v="Population, total"/>
    <s v="Demographics"/>
    <s v="SDG 11: Sustainable Cities and Communities"/>
    <n v="38518241"/>
    <s v="People"/>
    <s v="Poland|2007"/>
    <s v="Gapminder/Plotly country-year extract reshaped to long indicator format for education"/>
    <s v="OK"/>
    <s v="2000s"/>
    <s v="N/A"/>
    <s v="Demographics"/>
  </r>
  <r>
    <s v="GM-03708"/>
    <s v="Poland"/>
    <x v="1"/>
    <x v="11"/>
    <x v="2"/>
    <s v="GDP per capita"/>
    <s v="Economy"/>
    <s v="SDG 8: Decent Work and Economic Growth"/>
    <n v="15389.92468"/>
    <s v="Source-defined international dollars"/>
    <s v="Poland|2007"/>
    <s v="Gapminder/Plotly country-year extract reshaped to long indicator format for education"/>
    <s v="OK"/>
    <s v="2000s"/>
    <s v="N/A"/>
    <s v="Economy"/>
  </r>
  <r>
    <s v="GM-03709"/>
    <s v="Portugal"/>
    <x v="1"/>
    <x v="0"/>
    <x v="0"/>
    <s v="Life expectancy at birth"/>
    <s v="Health"/>
    <s v="SDG 3: Good Health and Well-being"/>
    <n v="59.82"/>
    <s v="Years"/>
    <s v="Portugal|1952"/>
    <s v="Gapminder/Plotly country-year extract reshaped to long indicator format for education"/>
    <s v="OK"/>
    <s v="1950s"/>
    <s v="Medium"/>
    <s v="Health"/>
  </r>
  <r>
    <s v="GM-03710"/>
    <s v="Portugal"/>
    <x v="1"/>
    <x v="0"/>
    <x v="1"/>
    <s v="Population, total"/>
    <s v="Demographics"/>
    <s v="SDG 11: Sustainable Cities and Communities"/>
    <n v="8526050"/>
    <s v="People"/>
    <s v="Portugal|1952"/>
    <s v="Gapminder/Plotly country-year extract reshaped to long indicator format for education"/>
    <s v="OK"/>
    <s v="1950s"/>
    <s v="N/A"/>
    <s v="Demographics"/>
  </r>
  <r>
    <s v="GM-03711"/>
    <s v="Portugal"/>
    <x v="1"/>
    <x v="0"/>
    <x v="2"/>
    <s v="GDP per capita"/>
    <s v="Economy"/>
    <s v="SDG 8: Decent Work and Economic Growth"/>
    <n v="3068.3198670000002"/>
    <s v="Source-defined international dollars"/>
    <s v="Portugal|1952"/>
    <s v="Gapminder/Plotly country-year extract reshaped to long indicator format for education"/>
    <s v="OK"/>
    <s v="1950s"/>
    <s v="N/A"/>
    <s v="Economy"/>
  </r>
  <r>
    <s v="GM-03712"/>
    <s v="Portugal"/>
    <x v="1"/>
    <x v="1"/>
    <x v="0"/>
    <s v="Life expectancy at birth"/>
    <s v="Health"/>
    <s v="SDG 3: Good Health and Well-being"/>
    <n v="61.51"/>
    <s v="Years"/>
    <s v="Portugal|1957"/>
    <s v="Gapminder/Plotly country-year extract reshaped to long indicator format for education"/>
    <s v="OK"/>
    <s v="1950s"/>
    <s v="Medium"/>
    <s v="Health"/>
  </r>
  <r>
    <s v="GM-03713"/>
    <s v="Portugal"/>
    <x v="1"/>
    <x v="1"/>
    <x v="1"/>
    <s v="Population, total"/>
    <s v="Demographics"/>
    <s v="SDG 11: Sustainable Cities and Communities"/>
    <n v="8817650"/>
    <s v="People"/>
    <s v="Portugal|1957"/>
    <s v="Gapminder/Plotly country-year extract reshaped to long indicator format for education"/>
    <s v="OK"/>
    <s v="1950s"/>
    <s v="N/A"/>
    <s v="Demographics"/>
  </r>
  <r>
    <s v="GM-03714"/>
    <s v="Portugal"/>
    <x v="1"/>
    <x v="1"/>
    <x v="2"/>
    <s v="GDP per capita"/>
    <s v="Economy"/>
    <s v="SDG 8: Decent Work and Economic Growth"/>
    <n v="3774.571743"/>
    <s v="Source-defined international dollars"/>
    <s v="Portugal|1957"/>
    <s v="Gapminder/Plotly country-year extract reshaped to long indicator format for education"/>
    <s v="OK"/>
    <s v="1950s"/>
    <s v="N/A"/>
    <s v="Economy"/>
  </r>
  <r>
    <s v="GM-03715"/>
    <s v="Portugal"/>
    <x v="1"/>
    <x v="2"/>
    <x v="0"/>
    <s v="Life expectancy at birth"/>
    <s v="Health"/>
    <s v="SDG 3: Good Health and Well-being"/>
    <n v="64.39"/>
    <s v="Years"/>
    <s v="Portugal|1962"/>
    <s v="Gapminder/Plotly country-year extract reshaped to long indicator format for education"/>
    <s v="OK"/>
    <s v="1960s"/>
    <s v="Medium"/>
    <s v="Health"/>
  </r>
  <r>
    <s v="GM-03716"/>
    <s v="Portugal"/>
    <x v="1"/>
    <x v="2"/>
    <x v="1"/>
    <s v="Population, total"/>
    <s v="Demographics"/>
    <s v="SDG 11: Sustainable Cities and Communities"/>
    <n v="9019800"/>
    <s v="People"/>
    <s v="Portugal|1962"/>
    <s v="Gapminder/Plotly country-year extract reshaped to long indicator format for education"/>
    <s v="OK"/>
    <s v="1960s"/>
    <s v="N/A"/>
    <s v="Demographics"/>
  </r>
  <r>
    <s v="GM-03717"/>
    <s v="Portugal"/>
    <x v="1"/>
    <x v="2"/>
    <x v="2"/>
    <s v="GDP per capita"/>
    <s v="Economy"/>
    <s v="SDG 8: Decent Work and Economic Growth"/>
    <n v="4727.9548889999996"/>
    <s v="Source-defined international dollars"/>
    <s v="Portugal|1962"/>
    <s v="Gapminder/Plotly country-year extract reshaped to long indicator format for education"/>
    <s v="OK"/>
    <s v="1960s"/>
    <s v="N/A"/>
    <s v="Economy"/>
  </r>
  <r>
    <s v="GM-03718"/>
    <s v="Portugal"/>
    <x v="1"/>
    <x v="3"/>
    <x v="0"/>
    <s v="Life expectancy at birth"/>
    <s v="Health"/>
    <s v="SDG 3: Good Health and Well-being"/>
    <n v="66.599999999999994"/>
    <s v="Years"/>
    <s v="Portugal|1967"/>
    <s v="Gapminder/Plotly country-year extract reshaped to long indicator format for education"/>
    <s v="OK"/>
    <s v="1960s"/>
    <s v="Medium"/>
    <s v="Health"/>
  </r>
  <r>
    <s v="GM-03719"/>
    <s v="Portugal"/>
    <x v="1"/>
    <x v="3"/>
    <x v="1"/>
    <s v="Population, total"/>
    <s v="Demographics"/>
    <s v="SDG 11: Sustainable Cities and Communities"/>
    <n v="9103000"/>
    <s v="People"/>
    <s v="Portugal|1967"/>
    <s v="Gapminder/Plotly country-year extract reshaped to long indicator format for education"/>
    <s v="OK"/>
    <s v="1960s"/>
    <s v="N/A"/>
    <s v="Demographics"/>
  </r>
  <r>
    <s v="GM-03720"/>
    <s v="Portugal"/>
    <x v="1"/>
    <x v="3"/>
    <x v="2"/>
    <s v="GDP per capita"/>
    <s v="Economy"/>
    <s v="SDG 8: Decent Work and Economic Growth"/>
    <n v="6361.5179930000004"/>
    <s v="Source-defined international dollars"/>
    <s v="Portugal|1967"/>
    <s v="Gapminder/Plotly country-year extract reshaped to long indicator format for education"/>
    <s v="OK"/>
    <s v="1960s"/>
    <s v="N/A"/>
    <s v="Economy"/>
  </r>
  <r>
    <s v="GM-03721"/>
    <s v="Portugal"/>
    <x v="1"/>
    <x v="4"/>
    <x v="0"/>
    <s v="Life expectancy at birth"/>
    <s v="Health"/>
    <s v="SDG 3: Good Health and Well-being"/>
    <n v="69.260000000000005"/>
    <s v="Years"/>
    <s v="Portugal|1972"/>
    <s v="Gapminder/Plotly country-year extract reshaped to long indicator format for education"/>
    <s v="OK"/>
    <s v="1970s"/>
    <s v="Medium"/>
    <s v="Health"/>
  </r>
  <r>
    <s v="GM-03722"/>
    <s v="Portugal"/>
    <x v="1"/>
    <x v="4"/>
    <x v="1"/>
    <s v="Population, total"/>
    <s v="Demographics"/>
    <s v="SDG 11: Sustainable Cities and Communities"/>
    <n v="8970450"/>
    <s v="People"/>
    <s v="Portugal|1972"/>
    <s v="Gapminder/Plotly country-year extract reshaped to long indicator format for education"/>
    <s v="OK"/>
    <s v="1970s"/>
    <s v="N/A"/>
    <s v="Demographics"/>
  </r>
  <r>
    <s v="GM-03723"/>
    <s v="Portugal"/>
    <x v="1"/>
    <x v="4"/>
    <x v="2"/>
    <s v="GDP per capita"/>
    <s v="Economy"/>
    <s v="SDG 8: Decent Work and Economic Growth"/>
    <n v="9022.2474170000005"/>
    <s v="Source-defined international dollars"/>
    <s v="Portugal|1972"/>
    <s v="Gapminder/Plotly country-year extract reshaped to long indicator format for education"/>
    <s v="OK"/>
    <s v="1970s"/>
    <s v="N/A"/>
    <s v="Economy"/>
  </r>
  <r>
    <s v="GM-03724"/>
    <s v="Portugal"/>
    <x v="1"/>
    <x v="5"/>
    <x v="0"/>
    <s v="Life expectancy at birth"/>
    <s v="Health"/>
    <s v="SDG 3: Good Health and Well-being"/>
    <n v="70.41"/>
    <s v="Years"/>
    <s v="Portugal|1977"/>
    <s v="Gapminder/Plotly country-year extract reshaped to long indicator format for education"/>
    <s v="OK"/>
    <s v="1970s"/>
    <s v="High"/>
    <s v="Health"/>
  </r>
  <r>
    <s v="GM-03725"/>
    <s v="Portugal"/>
    <x v="1"/>
    <x v="5"/>
    <x v="1"/>
    <s v="Population, total"/>
    <s v="Demographics"/>
    <s v="SDG 11: Sustainable Cities and Communities"/>
    <n v="9662600"/>
    <s v="People"/>
    <s v="Portugal|1977"/>
    <s v="Gapminder/Plotly country-year extract reshaped to long indicator format for education"/>
    <s v="OK"/>
    <s v="1970s"/>
    <s v="N/A"/>
    <s v="Demographics"/>
  </r>
  <r>
    <s v="GM-03726"/>
    <s v="Portugal"/>
    <x v="1"/>
    <x v="5"/>
    <x v="2"/>
    <s v="GDP per capita"/>
    <s v="Economy"/>
    <s v="SDG 8: Decent Work and Economic Growth"/>
    <n v="10172.485720000001"/>
    <s v="Source-defined international dollars"/>
    <s v="Portugal|1977"/>
    <s v="Gapminder/Plotly country-year extract reshaped to long indicator format for education"/>
    <s v="OK"/>
    <s v="1970s"/>
    <s v="N/A"/>
    <s v="Economy"/>
  </r>
  <r>
    <s v="GM-03727"/>
    <s v="Portugal"/>
    <x v="1"/>
    <x v="6"/>
    <x v="0"/>
    <s v="Life expectancy at birth"/>
    <s v="Health"/>
    <s v="SDG 3: Good Health and Well-being"/>
    <n v="72.77"/>
    <s v="Years"/>
    <s v="Portugal|1982"/>
    <s v="Gapminder/Plotly country-year extract reshaped to long indicator format for education"/>
    <s v="OK"/>
    <s v="1980s"/>
    <s v="High"/>
    <s v="Health"/>
  </r>
  <r>
    <s v="GM-03728"/>
    <s v="Portugal"/>
    <x v="1"/>
    <x v="6"/>
    <x v="1"/>
    <s v="Population, total"/>
    <s v="Demographics"/>
    <s v="SDG 11: Sustainable Cities and Communities"/>
    <n v="9859650"/>
    <s v="People"/>
    <s v="Portugal|1982"/>
    <s v="Gapminder/Plotly country-year extract reshaped to long indicator format for education"/>
    <s v="OK"/>
    <s v="1980s"/>
    <s v="N/A"/>
    <s v="Demographics"/>
  </r>
  <r>
    <s v="GM-03729"/>
    <s v="Portugal"/>
    <x v="1"/>
    <x v="6"/>
    <x v="2"/>
    <s v="GDP per capita"/>
    <s v="Economy"/>
    <s v="SDG 8: Decent Work and Economic Growth"/>
    <n v="11753.842909999999"/>
    <s v="Source-defined international dollars"/>
    <s v="Portugal|1982"/>
    <s v="Gapminder/Plotly country-year extract reshaped to long indicator format for education"/>
    <s v="OK"/>
    <s v="1980s"/>
    <s v="N/A"/>
    <s v="Economy"/>
  </r>
  <r>
    <s v="GM-03730"/>
    <s v="Portugal"/>
    <x v="1"/>
    <x v="7"/>
    <x v="0"/>
    <s v="Life expectancy at birth"/>
    <s v="Health"/>
    <s v="SDG 3: Good Health and Well-being"/>
    <n v="74.06"/>
    <s v="Years"/>
    <s v="Portugal|1987"/>
    <s v="Gapminder/Plotly country-year extract reshaped to long indicator format for education"/>
    <s v="OK"/>
    <s v="1980s"/>
    <s v="High"/>
    <s v="Health"/>
  </r>
  <r>
    <s v="GM-03731"/>
    <s v="Portugal"/>
    <x v="1"/>
    <x v="7"/>
    <x v="1"/>
    <s v="Population, total"/>
    <s v="Demographics"/>
    <s v="SDG 11: Sustainable Cities and Communities"/>
    <n v="9915289"/>
    <s v="People"/>
    <s v="Portugal|1987"/>
    <s v="Gapminder/Plotly country-year extract reshaped to long indicator format for education"/>
    <s v="OK"/>
    <s v="1980s"/>
    <s v="N/A"/>
    <s v="Demographics"/>
  </r>
  <r>
    <s v="GM-03732"/>
    <s v="Portugal"/>
    <x v="1"/>
    <x v="7"/>
    <x v="2"/>
    <s v="GDP per capita"/>
    <s v="Economy"/>
    <s v="SDG 8: Decent Work and Economic Growth"/>
    <n v="13039.30876"/>
    <s v="Source-defined international dollars"/>
    <s v="Portugal|1987"/>
    <s v="Gapminder/Plotly country-year extract reshaped to long indicator format for education"/>
    <s v="OK"/>
    <s v="1980s"/>
    <s v="N/A"/>
    <s v="Economy"/>
  </r>
  <r>
    <s v="GM-03733"/>
    <s v="Portugal"/>
    <x v="1"/>
    <x v="8"/>
    <x v="0"/>
    <s v="Life expectancy at birth"/>
    <s v="Health"/>
    <s v="SDG 3: Good Health and Well-being"/>
    <n v="74.86"/>
    <s v="Years"/>
    <s v="Portugal|1992"/>
    <s v="Gapminder/Plotly country-year extract reshaped to long indicator format for education"/>
    <s v="OK"/>
    <s v="1990s"/>
    <s v="High"/>
    <s v="Health"/>
  </r>
  <r>
    <s v="GM-03734"/>
    <s v="Portugal"/>
    <x v="1"/>
    <x v="8"/>
    <x v="1"/>
    <s v="Population, total"/>
    <s v="Demographics"/>
    <s v="SDG 11: Sustainable Cities and Communities"/>
    <n v="9927680"/>
    <s v="People"/>
    <s v="Portugal|1992"/>
    <s v="Gapminder/Plotly country-year extract reshaped to long indicator format for education"/>
    <s v="OK"/>
    <s v="1990s"/>
    <s v="N/A"/>
    <s v="Demographics"/>
  </r>
  <r>
    <s v="GM-03735"/>
    <s v="Portugal"/>
    <x v="1"/>
    <x v="8"/>
    <x v="2"/>
    <s v="GDP per capita"/>
    <s v="Economy"/>
    <s v="SDG 8: Decent Work and Economic Growth"/>
    <n v="16207.26663"/>
    <s v="Source-defined international dollars"/>
    <s v="Portugal|1992"/>
    <s v="Gapminder/Plotly country-year extract reshaped to long indicator format for education"/>
    <s v="OK"/>
    <s v="1990s"/>
    <s v="N/A"/>
    <s v="Economy"/>
  </r>
  <r>
    <s v="GM-03736"/>
    <s v="Portugal"/>
    <x v="1"/>
    <x v="9"/>
    <x v="0"/>
    <s v="Life expectancy at birth"/>
    <s v="Health"/>
    <s v="SDG 3: Good Health and Well-being"/>
    <n v="75.97"/>
    <s v="Years"/>
    <s v="Portugal|1997"/>
    <s v="Gapminder/Plotly country-year extract reshaped to long indicator format for education"/>
    <s v="OK"/>
    <s v="1990s"/>
    <s v="High"/>
    <s v="Health"/>
  </r>
  <r>
    <s v="GM-03737"/>
    <s v="Portugal"/>
    <x v="1"/>
    <x v="9"/>
    <x v="1"/>
    <s v="Population, total"/>
    <s v="Demographics"/>
    <s v="SDG 11: Sustainable Cities and Communities"/>
    <n v="10156415"/>
    <s v="People"/>
    <s v="Portugal|1997"/>
    <s v="Gapminder/Plotly country-year extract reshaped to long indicator format for education"/>
    <s v="OK"/>
    <s v="1990s"/>
    <s v="N/A"/>
    <s v="Demographics"/>
  </r>
  <r>
    <s v="GM-03738"/>
    <s v="Portugal"/>
    <x v="1"/>
    <x v="9"/>
    <x v="2"/>
    <s v="GDP per capita"/>
    <s v="Economy"/>
    <s v="SDG 8: Decent Work and Economic Growth"/>
    <n v="17641.031559999999"/>
    <s v="Source-defined international dollars"/>
    <s v="Portugal|1997"/>
    <s v="Gapminder/Plotly country-year extract reshaped to long indicator format for education"/>
    <s v="OK"/>
    <s v="1990s"/>
    <s v="N/A"/>
    <s v="Economy"/>
  </r>
  <r>
    <s v="GM-03739"/>
    <s v="Portugal"/>
    <x v="1"/>
    <x v="10"/>
    <x v="0"/>
    <s v="Life expectancy at birth"/>
    <s v="Health"/>
    <s v="SDG 3: Good Health and Well-being"/>
    <n v="77.290000000000006"/>
    <s v="Years"/>
    <s v="Portugal|2002"/>
    <s v="Gapminder/Plotly country-year extract reshaped to long indicator format for education"/>
    <s v="OK"/>
    <s v="2000s"/>
    <s v="High"/>
    <s v="Health"/>
  </r>
  <r>
    <s v="GM-03740"/>
    <s v="Portugal"/>
    <x v="1"/>
    <x v="10"/>
    <x v="1"/>
    <s v="Population, total"/>
    <s v="Demographics"/>
    <s v="SDG 11: Sustainable Cities and Communities"/>
    <n v="10433867"/>
    <s v="People"/>
    <s v="Portugal|2002"/>
    <s v="Gapminder/Plotly country-year extract reshaped to long indicator format for education"/>
    <s v="OK"/>
    <s v="2000s"/>
    <s v="N/A"/>
    <s v="Demographics"/>
  </r>
  <r>
    <s v="GM-03741"/>
    <s v="Portugal"/>
    <x v="1"/>
    <x v="10"/>
    <x v="2"/>
    <s v="GDP per capita"/>
    <s v="Economy"/>
    <s v="SDG 8: Decent Work and Economic Growth"/>
    <n v="19970.907869999999"/>
    <s v="Source-defined international dollars"/>
    <s v="Portugal|2002"/>
    <s v="Gapminder/Plotly country-year extract reshaped to long indicator format for education"/>
    <s v="OK"/>
    <s v="2000s"/>
    <s v="N/A"/>
    <s v="Economy"/>
  </r>
  <r>
    <s v="GM-03742"/>
    <s v="Portugal"/>
    <x v="1"/>
    <x v="11"/>
    <x v="0"/>
    <s v="Life expectancy at birth"/>
    <s v="Health"/>
    <s v="SDG 3: Good Health and Well-being"/>
    <n v="78.097999999999999"/>
    <s v="Years"/>
    <s v="Portugal|2007"/>
    <s v="Gapminder/Plotly country-year extract reshaped to long indicator format for education"/>
    <s v="OK"/>
    <s v="2000s"/>
    <s v="High"/>
    <s v="Health"/>
  </r>
  <r>
    <s v="GM-03743"/>
    <s v="Portugal"/>
    <x v="1"/>
    <x v="11"/>
    <x v="1"/>
    <s v="Population, total"/>
    <s v="Demographics"/>
    <s v="SDG 11: Sustainable Cities and Communities"/>
    <n v="10642836"/>
    <s v="People"/>
    <s v="Portugal|2007"/>
    <s v="Gapminder/Plotly country-year extract reshaped to long indicator format for education"/>
    <s v="OK"/>
    <s v="2000s"/>
    <s v="N/A"/>
    <s v="Demographics"/>
  </r>
  <r>
    <s v="GM-03744"/>
    <s v="Portugal"/>
    <x v="1"/>
    <x v="11"/>
    <x v="2"/>
    <s v="GDP per capita"/>
    <s v="Economy"/>
    <s v="SDG 8: Decent Work and Economic Growth"/>
    <n v="20509.64777"/>
    <s v="Source-defined international dollars"/>
    <s v="Portugal|2007"/>
    <s v="Gapminder/Plotly country-year extract reshaped to long indicator format for education"/>
    <s v="OK"/>
    <s v="2000s"/>
    <s v="N/A"/>
    <s v="Economy"/>
  </r>
  <r>
    <s v="GM-03745"/>
    <s v="Puerto Rico"/>
    <x v="3"/>
    <x v="0"/>
    <x v="0"/>
    <s v="Life expectancy at birth"/>
    <s v="Health"/>
    <s v="SDG 3: Good Health and Well-being"/>
    <n v="64.28"/>
    <s v="Years"/>
    <s v="Puerto Rico|1952"/>
    <s v="Gapminder/Plotly country-year extract reshaped to long indicator format for education"/>
    <s v="OK"/>
    <s v="1950s"/>
    <s v="Medium"/>
    <s v="Health"/>
  </r>
  <r>
    <s v="GM-03746"/>
    <s v="Puerto Rico"/>
    <x v="3"/>
    <x v="0"/>
    <x v="1"/>
    <s v="Population, total"/>
    <s v="Demographics"/>
    <s v="SDG 11: Sustainable Cities and Communities"/>
    <n v="2227000"/>
    <s v="People"/>
    <s v="Puerto Rico|1952"/>
    <s v="Gapminder/Plotly country-year extract reshaped to long indicator format for education"/>
    <s v="OK"/>
    <s v="1950s"/>
    <s v="N/A"/>
    <s v="Demographics"/>
  </r>
  <r>
    <s v="GM-03747"/>
    <s v="Puerto Rico"/>
    <x v="3"/>
    <x v="0"/>
    <x v="2"/>
    <s v="GDP per capita"/>
    <s v="Economy"/>
    <s v="SDG 8: Decent Work and Economic Growth"/>
    <n v="3081.959785"/>
    <s v="Source-defined international dollars"/>
    <s v="Puerto Rico|1952"/>
    <s v="Gapminder/Plotly country-year extract reshaped to long indicator format for education"/>
    <s v="OK"/>
    <s v="1950s"/>
    <s v="N/A"/>
    <s v="Economy"/>
  </r>
  <r>
    <s v="GM-03748"/>
    <s v="Puerto Rico"/>
    <x v="3"/>
    <x v="1"/>
    <x v="0"/>
    <s v="Life expectancy at birth"/>
    <s v="Health"/>
    <s v="SDG 3: Good Health and Well-being"/>
    <n v="68.540000000000006"/>
    <s v="Years"/>
    <s v="Puerto Rico|1957"/>
    <s v="Gapminder/Plotly country-year extract reshaped to long indicator format for education"/>
    <s v="OK"/>
    <s v="1950s"/>
    <s v="Medium"/>
    <s v="Health"/>
  </r>
  <r>
    <s v="GM-03749"/>
    <s v="Puerto Rico"/>
    <x v="3"/>
    <x v="1"/>
    <x v="1"/>
    <s v="Population, total"/>
    <s v="Demographics"/>
    <s v="SDG 11: Sustainable Cities and Communities"/>
    <n v="2260000"/>
    <s v="People"/>
    <s v="Puerto Rico|1957"/>
    <s v="Gapminder/Plotly country-year extract reshaped to long indicator format for education"/>
    <s v="OK"/>
    <s v="1950s"/>
    <s v="N/A"/>
    <s v="Demographics"/>
  </r>
  <r>
    <s v="GM-03750"/>
    <s v="Puerto Rico"/>
    <x v="3"/>
    <x v="1"/>
    <x v="2"/>
    <s v="GDP per capita"/>
    <s v="Economy"/>
    <s v="SDG 8: Decent Work and Economic Growth"/>
    <n v="3907.1561889999998"/>
    <s v="Source-defined international dollars"/>
    <s v="Puerto Rico|1957"/>
    <s v="Gapminder/Plotly country-year extract reshaped to long indicator format for education"/>
    <s v="OK"/>
    <s v="1950s"/>
    <s v="N/A"/>
    <s v="Economy"/>
  </r>
  <r>
    <s v="GM-03751"/>
    <s v="Puerto Rico"/>
    <x v="3"/>
    <x v="2"/>
    <x v="0"/>
    <s v="Life expectancy at birth"/>
    <s v="Health"/>
    <s v="SDG 3: Good Health and Well-being"/>
    <n v="69.62"/>
    <s v="Years"/>
    <s v="Puerto Rico|1962"/>
    <s v="Gapminder/Plotly country-year extract reshaped to long indicator format for education"/>
    <s v="OK"/>
    <s v="1960s"/>
    <s v="Medium"/>
    <s v="Health"/>
  </r>
  <r>
    <s v="GM-03752"/>
    <s v="Puerto Rico"/>
    <x v="3"/>
    <x v="2"/>
    <x v="1"/>
    <s v="Population, total"/>
    <s v="Demographics"/>
    <s v="SDG 11: Sustainable Cities and Communities"/>
    <n v="2448046"/>
    <s v="People"/>
    <s v="Puerto Rico|1962"/>
    <s v="Gapminder/Plotly country-year extract reshaped to long indicator format for education"/>
    <s v="OK"/>
    <s v="1960s"/>
    <s v="N/A"/>
    <s v="Demographics"/>
  </r>
  <r>
    <s v="GM-03753"/>
    <s v="Puerto Rico"/>
    <x v="3"/>
    <x v="2"/>
    <x v="2"/>
    <s v="GDP per capita"/>
    <s v="Economy"/>
    <s v="SDG 8: Decent Work and Economic Growth"/>
    <n v="5108.3446299999996"/>
    <s v="Source-defined international dollars"/>
    <s v="Puerto Rico|1962"/>
    <s v="Gapminder/Plotly country-year extract reshaped to long indicator format for education"/>
    <s v="OK"/>
    <s v="1960s"/>
    <s v="N/A"/>
    <s v="Economy"/>
  </r>
  <r>
    <s v="GM-03754"/>
    <s v="Puerto Rico"/>
    <x v="3"/>
    <x v="3"/>
    <x v="0"/>
    <s v="Life expectancy at birth"/>
    <s v="Health"/>
    <s v="SDG 3: Good Health and Well-being"/>
    <n v="71.099999999999994"/>
    <s v="Years"/>
    <s v="Puerto Rico|1967"/>
    <s v="Gapminder/Plotly country-year extract reshaped to long indicator format for education"/>
    <s v="OK"/>
    <s v="1960s"/>
    <s v="High"/>
    <s v="Health"/>
  </r>
  <r>
    <s v="GM-03755"/>
    <s v="Puerto Rico"/>
    <x v="3"/>
    <x v="3"/>
    <x v="1"/>
    <s v="Population, total"/>
    <s v="Demographics"/>
    <s v="SDG 11: Sustainable Cities and Communities"/>
    <n v="2648961"/>
    <s v="People"/>
    <s v="Puerto Rico|1967"/>
    <s v="Gapminder/Plotly country-year extract reshaped to long indicator format for education"/>
    <s v="OK"/>
    <s v="1960s"/>
    <s v="N/A"/>
    <s v="Demographics"/>
  </r>
  <r>
    <s v="GM-03756"/>
    <s v="Puerto Rico"/>
    <x v="3"/>
    <x v="3"/>
    <x v="2"/>
    <s v="GDP per capita"/>
    <s v="Economy"/>
    <s v="SDG 8: Decent Work and Economic Growth"/>
    <n v="6929.2777139999998"/>
    <s v="Source-defined international dollars"/>
    <s v="Puerto Rico|1967"/>
    <s v="Gapminder/Plotly country-year extract reshaped to long indicator format for education"/>
    <s v="OK"/>
    <s v="1960s"/>
    <s v="N/A"/>
    <s v="Economy"/>
  </r>
  <r>
    <s v="GM-03757"/>
    <s v="Puerto Rico"/>
    <x v="3"/>
    <x v="4"/>
    <x v="0"/>
    <s v="Life expectancy at birth"/>
    <s v="Health"/>
    <s v="SDG 3: Good Health and Well-being"/>
    <n v="72.16"/>
    <s v="Years"/>
    <s v="Puerto Rico|1972"/>
    <s v="Gapminder/Plotly country-year extract reshaped to long indicator format for education"/>
    <s v="OK"/>
    <s v="1970s"/>
    <s v="High"/>
    <s v="Health"/>
  </r>
  <r>
    <s v="GM-03758"/>
    <s v="Puerto Rico"/>
    <x v="3"/>
    <x v="4"/>
    <x v="1"/>
    <s v="Population, total"/>
    <s v="Demographics"/>
    <s v="SDG 11: Sustainable Cities and Communities"/>
    <n v="2847132"/>
    <s v="People"/>
    <s v="Puerto Rico|1972"/>
    <s v="Gapminder/Plotly country-year extract reshaped to long indicator format for education"/>
    <s v="OK"/>
    <s v="1970s"/>
    <s v="N/A"/>
    <s v="Demographics"/>
  </r>
  <r>
    <s v="GM-03759"/>
    <s v="Puerto Rico"/>
    <x v="3"/>
    <x v="4"/>
    <x v="2"/>
    <s v="GDP per capita"/>
    <s v="Economy"/>
    <s v="SDG 8: Decent Work and Economic Growth"/>
    <n v="9123.0417419999994"/>
    <s v="Source-defined international dollars"/>
    <s v="Puerto Rico|1972"/>
    <s v="Gapminder/Plotly country-year extract reshaped to long indicator format for education"/>
    <s v="OK"/>
    <s v="1970s"/>
    <s v="N/A"/>
    <s v="Economy"/>
  </r>
  <r>
    <s v="GM-03760"/>
    <s v="Puerto Rico"/>
    <x v="3"/>
    <x v="5"/>
    <x v="0"/>
    <s v="Life expectancy at birth"/>
    <s v="Health"/>
    <s v="SDG 3: Good Health and Well-being"/>
    <n v="73.44"/>
    <s v="Years"/>
    <s v="Puerto Rico|1977"/>
    <s v="Gapminder/Plotly country-year extract reshaped to long indicator format for education"/>
    <s v="OK"/>
    <s v="1970s"/>
    <s v="High"/>
    <s v="Health"/>
  </r>
  <r>
    <s v="GM-03761"/>
    <s v="Puerto Rico"/>
    <x v="3"/>
    <x v="5"/>
    <x v="1"/>
    <s v="Population, total"/>
    <s v="Demographics"/>
    <s v="SDG 11: Sustainable Cities and Communities"/>
    <n v="3080828"/>
    <s v="People"/>
    <s v="Puerto Rico|1977"/>
    <s v="Gapminder/Plotly country-year extract reshaped to long indicator format for education"/>
    <s v="OK"/>
    <s v="1970s"/>
    <s v="N/A"/>
    <s v="Demographics"/>
  </r>
  <r>
    <s v="GM-03762"/>
    <s v="Puerto Rico"/>
    <x v="3"/>
    <x v="5"/>
    <x v="2"/>
    <s v="GDP per capita"/>
    <s v="Economy"/>
    <s v="SDG 8: Decent Work and Economic Growth"/>
    <n v="9770.5249210000002"/>
    <s v="Source-defined international dollars"/>
    <s v="Puerto Rico|1977"/>
    <s v="Gapminder/Plotly country-year extract reshaped to long indicator format for education"/>
    <s v="OK"/>
    <s v="1970s"/>
    <s v="N/A"/>
    <s v="Economy"/>
  </r>
  <r>
    <s v="GM-03763"/>
    <s v="Puerto Rico"/>
    <x v="3"/>
    <x v="6"/>
    <x v="0"/>
    <s v="Life expectancy at birth"/>
    <s v="Health"/>
    <s v="SDG 3: Good Health and Well-being"/>
    <n v="73.75"/>
    <s v="Years"/>
    <s v="Puerto Rico|1982"/>
    <s v="Gapminder/Plotly country-year extract reshaped to long indicator format for education"/>
    <s v="OK"/>
    <s v="1980s"/>
    <s v="High"/>
    <s v="Health"/>
  </r>
  <r>
    <s v="GM-03764"/>
    <s v="Puerto Rico"/>
    <x v="3"/>
    <x v="6"/>
    <x v="1"/>
    <s v="Population, total"/>
    <s v="Demographics"/>
    <s v="SDG 11: Sustainable Cities and Communities"/>
    <n v="3279001"/>
    <s v="People"/>
    <s v="Puerto Rico|1982"/>
    <s v="Gapminder/Plotly country-year extract reshaped to long indicator format for education"/>
    <s v="OK"/>
    <s v="1980s"/>
    <s v="N/A"/>
    <s v="Demographics"/>
  </r>
  <r>
    <s v="GM-03765"/>
    <s v="Puerto Rico"/>
    <x v="3"/>
    <x v="6"/>
    <x v="2"/>
    <s v="GDP per capita"/>
    <s v="Economy"/>
    <s v="SDG 8: Decent Work and Economic Growth"/>
    <n v="10330.989149999999"/>
    <s v="Source-defined international dollars"/>
    <s v="Puerto Rico|1982"/>
    <s v="Gapminder/Plotly country-year extract reshaped to long indicator format for education"/>
    <s v="OK"/>
    <s v="1980s"/>
    <s v="N/A"/>
    <s v="Economy"/>
  </r>
  <r>
    <s v="GM-03766"/>
    <s v="Puerto Rico"/>
    <x v="3"/>
    <x v="7"/>
    <x v="0"/>
    <s v="Life expectancy at birth"/>
    <s v="Health"/>
    <s v="SDG 3: Good Health and Well-being"/>
    <n v="74.63"/>
    <s v="Years"/>
    <s v="Puerto Rico|1987"/>
    <s v="Gapminder/Plotly country-year extract reshaped to long indicator format for education"/>
    <s v="OK"/>
    <s v="1980s"/>
    <s v="High"/>
    <s v="Health"/>
  </r>
  <r>
    <s v="GM-03767"/>
    <s v="Puerto Rico"/>
    <x v="3"/>
    <x v="7"/>
    <x v="1"/>
    <s v="Population, total"/>
    <s v="Demographics"/>
    <s v="SDG 11: Sustainable Cities and Communities"/>
    <n v="3444468"/>
    <s v="People"/>
    <s v="Puerto Rico|1987"/>
    <s v="Gapminder/Plotly country-year extract reshaped to long indicator format for education"/>
    <s v="OK"/>
    <s v="1980s"/>
    <s v="N/A"/>
    <s v="Demographics"/>
  </r>
  <r>
    <s v="GM-03768"/>
    <s v="Puerto Rico"/>
    <x v="3"/>
    <x v="7"/>
    <x v="2"/>
    <s v="GDP per capita"/>
    <s v="Economy"/>
    <s v="SDG 8: Decent Work and Economic Growth"/>
    <n v="12281.341909999999"/>
    <s v="Source-defined international dollars"/>
    <s v="Puerto Rico|1987"/>
    <s v="Gapminder/Plotly country-year extract reshaped to long indicator format for education"/>
    <s v="OK"/>
    <s v="1980s"/>
    <s v="N/A"/>
    <s v="Economy"/>
  </r>
  <r>
    <s v="GM-03769"/>
    <s v="Puerto Rico"/>
    <x v="3"/>
    <x v="8"/>
    <x v="0"/>
    <s v="Life expectancy at birth"/>
    <s v="Health"/>
    <s v="SDG 3: Good Health and Well-being"/>
    <n v="73.911000000000001"/>
    <s v="Years"/>
    <s v="Puerto Rico|1992"/>
    <s v="Gapminder/Plotly country-year extract reshaped to long indicator format for education"/>
    <s v="OK"/>
    <s v="1990s"/>
    <s v="High"/>
    <s v="Health"/>
  </r>
  <r>
    <s v="GM-03770"/>
    <s v="Puerto Rico"/>
    <x v="3"/>
    <x v="8"/>
    <x v="1"/>
    <s v="Population, total"/>
    <s v="Demographics"/>
    <s v="SDG 11: Sustainable Cities and Communities"/>
    <n v="3585176"/>
    <s v="People"/>
    <s v="Puerto Rico|1992"/>
    <s v="Gapminder/Plotly country-year extract reshaped to long indicator format for education"/>
    <s v="OK"/>
    <s v="1990s"/>
    <s v="N/A"/>
    <s v="Demographics"/>
  </r>
  <r>
    <s v="GM-03771"/>
    <s v="Puerto Rico"/>
    <x v="3"/>
    <x v="8"/>
    <x v="2"/>
    <s v="GDP per capita"/>
    <s v="Economy"/>
    <s v="SDG 8: Decent Work and Economic Growth"/>
    <n v="14641.58711"/>
    <s v="Source-defined international dollars"/>
    <s v="Puerto Rico|1992"/>
    <s v="Gapminder/Plotly country-year extract reshaped to long indicator format for education"/>
    <s v="OK"/>
    <s v="1990s"/>
    <s v="N/A"/>
    <s v="Economy"/>
  </r>
  <r>
    <s v="GM-03772"/>
    <s v="Puerto Rico"/>
    <x v="3"/>
    <x v="9"/>
    <x v="0"/>
    <s v="Life expectancy at birth"/>
    <s v="Health"/>
    <s v="SDG 3: Good Health and Well-being"/>
    <n v="74.917000000000002"/>
    <s v="Years"/>
    <s v="Puerto Rico|1997"/>
    <s v="Gapminder/Plotly country-year extract reshaped to long indicator format for education"/>
    <s v="OK"/>
    <s v="1990s"/>
    <s v="High"/>
    <s v="Health"/>
  </r>
  <r>
    <s v="GM-03773"/>
    <s v="Puerto Rico"/>
    <x v="3"/>
    <x v="9"/>
    <x v="1"/>
    <s v="Population, total"/>
    <s v="Demographics"/>
    <s v="SDG 11: Sustainable Cities and Communities"/>
    <n v="3759430"/>
    <s v="People"/>
    <s v="Puerto Rico|1997"/>
    <s v="Gapminder/Plotly country-year extract reshaped to long indicator format for education"/>
    <s v="OK"/>
    <s v="1990s"/>
    <s v="N/A"/>
    <s v="Demographics"/>
  </r>
  <r>
    <s v="GM-03774"/>
    <s v="Puerto Rico"/>
    <x v="3"/>
    <x v="9"/>
    <x v="2"/>
    <s v="GDP per capita"/>
    <s v="Economy"/>
    <s v="SDG 8: Decent Work and Economic Growth"/>
    <n v="16999.433300000001"/>
    <s v="Source-defined international dollars"/>
    <s v="Puerto Rico|1997"/>
    <s v="Gapminder/Plotly country-year extract reshaped to long indicator format for education"/>
    <s v="OK"/>
    <s v="1990s"/>
    <s v="N/A"/>
    <s v="Economy"/>
  </r>
  <r>
    <s v="GM-03775"/>
    <s v="Puerto Rico"/>
    <x v="3"/>
    <x v="10"/>
    <x v="0"/>
    <s v="Life expectancy at birth"/>
    <s v="Health"/>
    <s v="SDG 3: Good Health and Well-being"/>
    <n v="77.778000000000006"/>
    <s v="Years"/>
    <s v="Puerto Rico|2002"/>
    <s v="Gapminder/Plotly country-year extract reshaped to long indicator format for education"/>
    <s v="OK"/>
    <s v="2000s"/>
    <s v="High"/>
    <s v="Health"/>
  </r>
  <r>
    <s v="GM-03776"/>
    <s v="Puerto Rico"/>
    <x v="3"/>
    <x v="10"/>
    <x v="1"/>
    <s v="Population, total"/>
    <s v="Demographics"/>
    <s v="SDG 11: Sustainable Cities and Communities"/>
    <n v="3859606"/>
    <s v="People"/>
    <s v="Puerto Rico|2002"/>
    <s v="Gapminder/Plotly country-year extract reshaped to long indicator format for education"/>
    <s v="OK"/>
    <s v="2000s"/>
    <s v="N/A"/>
    <s v="Demographics"/>
  </r>
  <r>
    <s v="GM-03777"/>
    <s v="Puerto Rico"/>
    <x v="3"/>
    <x v="10"/>
    <x v="2"/>
    <s v="GDP per capita"/>
    <s v="Economy"/>
    <s v="SDG 8: Decent Work and Economic Growth"/>
    <n v="18855.606179999999"/>
    <s v="Source-defined international dollars"/>
    <s v="Puerto Rico|2002"/>
    <s v="Gapminder/Plotly country-year extract reshaped to long indicator format for education"/>
    <s v="OK"/>
    <s v="2000s"/>
    <s v="N/A"/>
    <s v="Economy"/>
  </r>
  <r>
    <s v="GM-03778"/>
    <s v="Puerto Rico"/>
    <x v="3"/>
    <x v="11"/>
    <x v="0"/>
    <s v="Life expectancy at birth"/>
    <s v="Health"/>
    <s v="SDG 3: Good Health and Well-being"/>
    <n v="78.745999999999995"/>
    <s v="Years"/>
    <s v="Puerto Rico|2007"/>
    <s v="Gapminder/Plotly country-year extract reshaped to long indicator format for education"/>
    <s v="OK"/>
    <s v="2000s"/>
    <s v="High"/>
    <s v="Health"/>
  </r>
  <r>
    <s v="GM-03779"/>
    <s v="Puerto Rico"/>
    <x v="3"/>
    <x v="11"/>
    <x v="1"/>
    <s v="Population, total"/>
    <s v="Demographics"/>
    <s v="SDG 11: Sustainable Cities and Communities"/>
    <n v="3942491"/>
    <s v="People"/>
    <s v="Puerto Rico|2007"/>
    <s v="Gapminder/Plotly country-year extract reshaped to long indicator format for education"/>
    <s v="OK"/>
    <s v="2000s"/>
    <s v="N/A"/>
    <s v="Demographics"/>
  </r>
  <r>
    <s v="GM-03780"/>
    <s v="Puerto Rico"/>
    <x v="3"/>
    <x v="11"/>
    <x v="2"/>
    <s v="GDP per capita"/>
    <s v="Economy"/>
    <s v="SDG 8: Decent Work and Economic Growth"/>
    <n v="19328.709009999999"/>
    <s v="Source-defined international dollars"/>
    <s v="Puerto Rico|2007"/>
    <s v="Gapminder/Plotly country-year extract reshaped to long indicator format for education"/>
    <s v="OK"/>
    <s v="2000s"/>
    <s v="N/A"/>
    <s v="Economy"/>
  </r>
  <r>
    <s v="GM-03781"/>
    <s v="Reunion"/>
    <x v="2"/>
    <x v="0"/>
    <x v="0"/>
    <s v="Life expectancy at birth"/>
    <s v="Health"/>
    <s v="SDG 3: Good Health and Well-being"/>
    <n v="52.723999999999997"/>
    <s v="Years"/>
    <s v="Reunion|1952"/>
    <s v="Gapminder/Plotly country-year extract reshaped to long indicator format for education"/>
    <s v="OK"/>
    <s v="1950s"/>
    <s v="Low"/>
    <s v="Health"/>
  </r>
  <r>
    <s v="GM-03782"/>
    <s v="Reunion"/>
    <x v="2"/>
    <x v="0"/>
    <x v="1"/>
    <s v="Population, total"/>
    <s v="Demographics"/>
    <s v="SDG 11: Sustainable Cities and Communities"/>
    <n v="257700"/>
    <s v="People"/>
    <s v="Reunion|1952"/>
    <s v="Gapminder/Plotly country-year extract reshaped to long indicator format for education"/>
    <s v="OK"/>
    <s v="1950s"/>
    <s v="N/A"/>
    <s v="Demographics"/>
  </r>
  <r>
    <s v="GM-03783"/>
    <s v="Reunion"/>
    <x v="2"/>
    <x v="0"/>
    <x v="2"/>
    <s v="GDP per capita"/>
    <s v="Economy"/>
    <s v="SDG 8: Decent Work and Economic Growth"/>
    <n v="2718.885295"/>
    <s v="Source-defined international dollars"/>
    <s v="Reunion|1952"/>
    <s v="Gapminder/Plotly country-year extract reshaped to long indicator format for education"/>
    <s v="OK"/>
    <s v="1950s"/>
    <s v="N/A"/>
    <s v="Economy"/>
  </r>
  <r>
    <s v="GM-03784"/>
    <s v="Reunion"/>
    <x v="2"/>
    <x v="1"/>
    <x v="0"/>
    <s v="Life expectancy at birth"/>
    <s v="Health"/>
    <s v="SDG 3: Good Health and Well-being"/>
    <n v="55.09"/>
    <s v="Years"/>
    <s v="Reunion|1957"/>
    <s v="Gapminder/Plotly country-year extract reshaped to long indicator format for education"/>
    <s v="OK"/>
    <s v="1950s"/>
    <s v="Medium"/>
    <s v="Health"/>
  </r>
  <r>
    <s v="GM-03785"/>
    <s v="Reunion"/>
    <x v="2"/>
    <x v="1"/>
    <x v="1"/>
    <s v="Population, total"/>
    <s v="Demographics"/>
    <s v="SDG 11: Sustainable Cities and Communities"/>
    <n v="308700"/>
    <s v="People"/>
    <s v="Reunion|1957"/>
    <s v="Gapminder/Plotly country-year extract reshaped to long indicator format for education"/>
    <s v="OK"/>
    <s v="1950s"/>
    <s v="N/A"/>
    <s v="Demographics"/>
  </r>
  <r>
    <s v="GM-03786"/>
    <s v="Reunion"/>
    <x v="2"/>
    <x v="1"/>
    <x v="2"/>
    <s v="GDP per capita"/>
    <s v="Economy"/>
    <s v="SDG 8: Decent Work and Economic Growth"/>
    <n v="2769.4518440000002"/>
    <s v="Source-defined international dollars"/>
    <s v="Reunion|1957"/>
    <s v="Gapminder/Plotly country-year extract reshaped to long indicator format for education"/>
    <s v="OK"/>
    <s v="1950s"/>
    <s v="N/A"/>
    <s v="Economy"/>
  </r>
  <r>
    <s v="GM-03787"/>
    <s v="Reunion"/>
    <x v="2"/>
    <x v="2"/>
    <x v="0"/>
    <s v="Life expectancy at birth"/>
    <s v="Health"/>
    <s v="SDG 3: Good Health and Well-being"/>
    <n v="57.665999999999997"/>
    <s v="Years"/>
    <s v="Reunion|1962"/>
    <s v="Gapminder/Plotly country-year extract reshaped to long indicator format for education"/>
    <s v="OK"/>
    <s v="1960s"/>
    <s v="Medium"/>
    <s v="Health"/>
  </r>
  <r>
    <s v="GM-03788"/>
    <s v="Reunion"/>
    <x v="2"/>
    <x v="2"/>
    <x v="1"/>
    <s v="Population, total"/>
    <s v="Demographics"/>
    <s v="SDG 11: Sustainable Cities and Communities"/>
    <n v="358900"/>
    <s v="People"/>
    <s v="Reunion|1962"/>
    <s v="Gapminder/Plotly country-year extract reshaped to long indicator format for education"/>
    <s v="OK"/>
    <s v="1960s"/>
    <s v="N/A"/>
    <s v="Demographics"/>
  </r>
  <r>
    <s v="GM-03789"/>
    <s v="Reunion"/>
    <x v="2"/>
    <x v="2"/>
    <x v="2"/>
    <s v="GDP per capita"/>
    <s v="Economy"/>
    <s v="SDG 8: Decent Work and Economic Growth"/>
    <n v="3173.72334"/>
    <s v="Source-defined international dollars"/>
    <s v="Reunion|1962"/>
    <s v="Gapminder/Plotly country-year extract reshaped to long indicator format for education"/>
    <s v="OK"/>
    <s v="1960s"/>
    <s v="N/A"/>
    <s v="Economy"/>
  </r>
  <r>
    <s v="GM-03790"/>
    <s v="Reunion"/>
    <x v="2"/>
    <x v="3"/>
    <x v="0"/>
    <s v="Life expectancy at birth"/>
    <s v="Health"/>
    <s v="SDG 3: Good Health and Well-being"/>
    <n v="60.542000000000002"/>
    <s v="Years"/>
    <s v="Reunion|1967"/>
    <s v="Gapminder/Plotly country-year extract reshaped to long indicator format for education"/>
    <s v="OK"/>
    <s v="1960s"/>
    <s v="Medium"/>
    <s v="Health"/>
  </r>
  <r>
    <s v="GM-03791"/>
    <s v="Reunion"/>
    <x v="2"/>
    <x v="3"/>
    <x v="1"/>
    <s v="Population, total"/>
    <s v="Demographics"/>
    <s v="SDG 11: Sustainable Cities and Communities"/>
    <n v="414024"/>
    <s v="People"/>
    <s v="Reunion|1967"/>
    <s v="Gapminder/Plotly country-year extract reshaped to long indicator format for education"/>
    <s v="OK"/>
    <s v="1960s"/>
    <s v="N/A"/>
    <s v="Demographics"/>
  </r>
  <r>
    <s v="GM-03792"/>
    <s v="Reunion"/>
    <x v="2"/>
    <x v="3"/>
    <x v="2"/>
    <s v="GDP per capita"/>
    <s v="Economy"/>
    <s v="SDG 8: Decent Work and Economic Growth"/>
    <n v="4021.1757389999998"/>
    <s v="Source-defined international dollars"/>
    <s v="Reunion|1967"/>
    <s v="Gapminder/Plotly country-year extract reshaped to long indicator format for education"/>
    <s v="OK"/>
    <s v="1960s"/>
    <s v="N/A"/>
    <s v="Economy"/>
  </r>
  <r>
    <s v="GM-03793"/>
    <s v="Reunion"/>
    <x v="2"/>
    <x v="4"/>
    <x v="0"/>
    <s v="Life expectancy at birth"/>
    <s v="Health"/>
    <s v="SDG 3: Good Health and Well-being"/>
    <n v="64.274000000000001"/>
    <s v="Years"/>
    <s v="Reunion|1972"/>
    <s v="Gapminder/Plotly country-year extract reshaped to long indicator format for education"/>
    <s v="OK"/>
    <s v="1970s"/>
    <s v="Medium"/>
    <s v="Health"/>
  </r>
  <r>
    <s v="GM-03794"/>
    <s v="Reunion"/>
    <x v="2"/>
    <x v="4"/>
    <x v="1"/>
    <s v="Population, total"/>
    <s v="Demographics"/>
    <s v="SDG 11: Sustainable Cities and Communities"/>
    <n v="461633"/>
    <s v="People"/>
    <s v="Reunion|1972"/>
    <s v="Gapminder/Plotly country-year extract reshaped to long indicator format for education"/>
    <s v="OK"/>
    <s v="1970s"/>
    <s v="N/A"/>
    <s v="Demographics"/>
  </r>
  <r>
    <s v="GM-03795"/>
    <s v="Reunion"/>
    <x v="2"/>
    <x v="4"/>
    <x v="2"/>
    <s v="GDP per capita"/>
    <s v="Economy"/>
    <s v="SDG 8: Decent Work and Economic Growth"/>
    <n v="5047.658563"/>
    <s v="Source-defined international dollars"/>
    <s v="Reunion|1972"/>
    <s v="Gapminder/Plotly country-year extract reshaped to long indicator format for education"/>
    <s v="OK"/>
    <s v="1970s"/>
    <s v="N/A"/>
    <s v="Economy"/>
  </r>
  <r>
    <s v="GM-03796"/>
    <s v="Reunion"/>
    <x v="2"/>
    <x v="5"/>
    <x v="0"/>
    <s v="Life expectancy at birth"/>
    <s v="Health"/>
    <s v="SDG 3: Good Health and Well-being"/>
    <n v="67.063999999999993"/>
    <s v="Years"/>
    <s v="Reunion|1977"/>
    <s v="Gapminder/Plotly country-year extract reshaped to long indicator format for education"/>
    <s v="OK"/>
    <s v="1970s"/>
    <s v="Medium"/>
    <s v="Health"/>
  </r>
  <r>
    <s v="GM-03797"/>
    <s v="Reunion"/>
    <x v="2"/>
    <x v="5"/>
    <x v="1"/>
    <s v="Population, total"/>
    <s v="Demographics"/>
    <s v="SDG 11: Sustainable Cities and Communities"/>
    <n v="492095"/>
    <s v="People"/>
    <s v="Reunion|1977"/>
    <s v="Gapminder/Plotly country-year extract reshaped to long indicator format for education"/>
    <s v="OK"/>
    <s v="1970s"/>
    <s v="N/A"/>
    <s v="Demographics"/>
  </r>
  <r>
    <s v="GM-03798"/>
    <s v="Reunion"/>
    <x v="2"/>
    <x v="5"/>
    <x v="2"/>
    <s v="GDP per capita"/>
    <s v="Economy"/>
    <s v="SDG 8: Decent Work and Economic Growth"/>
    <n v="4319.804067"/>
    <s v="Source-defined international dollars"/>
    <s v="Reunion|1977"/>
    <s v="Gapminder/Plotly country-year extract reshaped to long indicator format for education"/>
    <s v="OK"/>
    <s v="1970s"/>
    <s v="N/A"/>
    <s v="Economy"/>
  </r>
  <r>
    <s v="GM-03799"/>
    <s v="Reunion"/>
    <x v="2"/>
    <x v="6"/>
    <x v="0"/>
    <s v="Life expectancy at birth"/>
    <s v="Health"/>
    <s v="SDG 3: Good Health and Well-being"/>
    <n v="69.885000000000005"/>
    <s v="Years"/>
    <s v="Reunion|1982"/>
    <s v="Gapminder/Plotly country-year extract reshaped to long indicator format for education"/>
    <s v="OK"/>
    <s v="1980s"/>
    <s v="Medium"/>
    <s v="Health"/>
  </r>
  <r>
    <s v="GM-03800"/>
    <s v="Reunion"/>
    <x v="2"/>
    <x v="6"/>
    <x v="1"/>
    <s v="Population, total"/>
    <s v="Demographics"/>
    <s v="SDG 11: Sustainable Cities and Communities"/>
    <n v="517810"/>
    <s v="People"/>
    <s v="Reunion|1982"/>
    <s v="Gapminder/Plotly country-year extract reshaped to long indicator format for education"/>
    <s v="OK"/>
    <s v="1980s"/>
    <s v="N/A"/>
    <s v="Demographics"/>
  </r>
  <r>
    <s v="GM-03801"/>
    <s v="Reunion"/>
    <x v="2"/>
    <x v="6"/>
    <x v="2"/>
    <s v="GDP per capita"/>
    <s v="Economy"/>
    <s v="SDG 8: Decent Work and Economic Growth"/>
    <n v="5267.2193530000004"/>
    <s v="Source-defined international dollars"/>
    <s v="Reunion|1982"/>
    <s v="Gapminder/Plotly country-year extract reshaped to long indicator format for education"/>
    <s v="OK"/>
    <s v="1980s"/>
    <s v="N/A"/>
    <s v="Economy"/>
  </r>
  <r>
    <s v="GM-03802"/>
    <s v="Reunion"/>
    <x v="2"/>
    <x v="7"/>
    <x v="0"/>
    <s v="Life expectancy at birth"/>
    <s v="Health"/>
    <s v="SDG 3: Good Health and Well-being"/>
    <n v="71.912999999999997"/>
    <s v="Years"/>
    <s v="Reunion|1987"/>
    <s v="Gapminder/Plotly country-year extract reshaped to long indicator format for education"/>
    <s v="OK"/>
    <s v="1980s"/>
    <s v="High"/>
    <s v="Health"/>
  </r>
  <r>
    <s v="GM-03803"/>
    <s v="Reunion"/>
    <x v="2"/>
    <x v="7"/>
    <x v="1"/>
    <s v="Population, total"/>
    <s v="Demographics"/>
    <s v="SDG 11: Sustainable Cities and Communities"/>
    <n v="562035"/>
    <s v="People"/>
    <s v="Reunion|1987"/>
    <s v="Gapminder/Plotly country-year extract reshaped to long indicator format for education"/>
    <s v="OK"/>
    <s v="1980s"/>
    <s v="N/A"/>
    <s v="Demographics"/>
  </r>
  <r>
    <s v="GM-03804"/>
    <s v="Reunion"/>
    <x v="2"/>
    <x v="7"/>
    <x v="2"/>
    <s v="GDP per capita"/>
    <s v="Economy"/>
    <s v="SDG 8: Decent Work and Economic Growth"/>
    <n v="5303.3774880000001"/>
    <s v="Source-defined international dollars"/>
    <s v="Reunion|1987"/>
    <s v="Gapminder/Plotly country-year extract reshaped to long indicator format for education"/>
    <s v="OK"/>
    <s v="1980s"/>
    <s v="N/A"/>
    <s v="Economy"/>
  </r>
  <r>
    <s v="GM-03805"/>
    <s v="Reunion"/>
    <x v="2"/>
    <x v="8"/>
    <x v="0"/>
    <s v="Life expectancy at birth"/>
    <s v="Health"/>
    <s v="SDG 3: Good Health and Well-being"/>
    <n v="73.614999999999995"/>
    <s v="Years"/>
    <s v="Reunion|1992"/>
    <s v="Gapminder/Plotly country-year extract reshaped to long indicator format for education"/>
    <s v="OK"/>
    <s v="1990s"/>
    <s v="High"/>
    <s v="Health"/>
  </r>
  <r>
    <s v="GM-03806"/>
    <s v="Reunion"/>
    <x v="2"/>
    <x v="8"/>
    <x v="1"/>
    <s v="Population, total"/>
    <s v="Demographics"/>
    <s v="SDG 11: Sustainable Cities and Communities"/>
    <n v="622191"/>
    <s v="People"/>
    <s v="Reunion|1992"/>
    <s v="Gapminder/Plotly country-year extract reshaped to long indicator format for education"/>
    <s v="OK"/>
    <s v="1990s"/>
    <s v="N/A"/>
    <s v="Demographics"/>
  </r>
  <r>
    <s v="GM-03807"/>
    <s v="Reunion"/>
    <x v="2"/>
    <x v="8"/>
    <x v="2"/>
    <s v="GDP per capita"/>
    <s v="Economy"/>
    <s v="SDG 8: Decent Work and Economic Growth"/>
    <n v="6101.2558230000004"/>
    <s v="Source-defined international dollars"/>
    <s v="Reunion|1992"/>
    <s v="Gapminder/Plotly country-year extract reshaped to long indicator format for education"/>
    <s v="OK"/>
    <s v="1990s"/>
    <s v="N/A"/>
    <s v="Economy"/>
  </r>
  <r>
    <s v="GM-03808"/>
    <s v="Reunion"/>
    <x v="2"/>
    <x v="9"/>
    <x v="0"/>
    <s v="Life expectancy at birth"/>
    <s v="Health"/>
    <s v="SDG 3: Good Health and Well-being"/>
    <n v="74.771999999999906"/>
    <s v="Years"/>
    <s v="Reunion|1997"/>
    <s v="Gapminder/Plotly country-year extract reshaped to long indicator format for education"/>
    <s v="OK"/>
    <s v="1990s"/>
    <s v="High"/>
    <s v="Health"/>
  </r>
  <r>
    <s v="GM-03809"/>
    <s v="Reunion"/>
    <x v="2"/>
    <x v="9"/>
    <x v="1"/>
    <s v="Population, total"/>
    <s v="Demographics"/>
    <s v="SDG 11: Sustainable Cities and Communities"/>
    <n v="684810"/>
    <s v="People"/>
    <s v="Reunion|1997"/>
    <s v="Gapminder/Plotly country-year extract reshaped to long indicator format for education"/>
    <s v="OK"/>
    <s v="1990s"/>
    <s v="N/A"/>
    <s v="Demographics"/>
  </r>
  <r>
    <s v="GM-03810"/>
    <s v="Reunion"/>
    <x v="2"/>
    <x v="9"/>
    <x v="2"/>
    <s v="GDP per capita"/>
    <s v="Economy"/>
    <s v="SDG 8: Decent Work and Economic Growth"/>
    <n v="6071.9414109999998"/>
    <s v="Source-defined international dollars"/>
    <s v="Reunion|1997"/>
    <s v="Gapminder/Plotly country-year extract reshaped to long indicator format for education"/>
    <s v="OK"/>
    <s v="1990s"/>
    <s v="N/A"/>
    <s v="Economy"/>
  </r>
  <r>
    <s v="GM-03811"/>
    <s v="Reunion"/>
    <x v="2"/>
    <x v="10"/>
    <x v="0"/>
    <s v="Life expectancy at birth"/>
    <s v="Health"/>
    <s v="SDG 3: Good Health and Well-being"/>
    <n v="75.744"/>
    <s v="Years"/>
    <s v="Reunion|2002"/>
    <s v="Gapminder/Plotly country-year extract reshaped to long indicator format for education"/>
    <s v="OK"/>
    <s v="2000s"/>
    <s v="High"/>
    <s v="Health"/>
  </r>
  <r>
    <s v="GM-03812"/>
    <s v="Reunion"/>
    <x v="2"/>
    <x v="10"/>
    <x v="1"/>
    <s v="Population, total"/>
    <s v="Demographics"/>
    <s v="SDG 11: Sustainable Cities and Communities"/>
    <n v="743981"/>
    <s v="People"/>
    <s v="Reunion|2002"/>
    <s v="Gapminder/Plotly country-year extract reshaped to long indicator format for education"/>
    <s v="OK"/>
    <s v="2000s"/>
    <s v="N/A"/>
    <s v="Demographics"/>
  </r>
  <r>
    <s v="GM-03813"/>
    <s v="Reunion"/>
    <x v="2"/>
    <x v="10"/>
    <x v="2"/>
    <s v="GDP per capita"/>
    <s v="Economy"/>
    <s v="SDG 8: Decent Work and Economic Growth"/>
    <n v="6316.1652000000004"/>
    <s v="Source-defined international dollars"/>
    <s v="Reunion|2002"/>
    <s v="Gapminder/Plotly country-year extract reshaped to long indicator format for education"/>
    <s v="OK"/>
    <s v="2000s"/>
    <s v="N/A"/>
    <s v="Economy"/>
  </r>
  <r>
    <s v="GM-03814"/>
    <s v="Reunion"/>
    <x v="2"/>
    <x v="11"/>
    <x v="0"/>
    <s v="Life expectancy at birth"/>
    <s v="Health"/>
    <s v="SDG 3: Good Health and Well-being"/>
    <n v="76.441999999999993"/>
    <s v="Years"/>
    <s v="Reunion|2007"/>
    <s v="Gapminder/Plotly country-year extract reshaped to long indicator format for education"/>
    <s v="OK"/>
    <s v="2000s"/>
    <s v="High"/>
    <s v="Health"/>
  </r>
  <r>
    <s v="GM-03815"/>
    <s v="Reunion"/>
    <x v="2"/>
    <x v="11"/>
    <x v="1"/>
    <s v="Population, total"/>
    <s v="Demographics"/>
    <s v="SDG 11: Sustainable Cities and Communities"/>
    <n v="798094"/>
    <s v="People"/>
    <s v="Reunion|2007"/>
    <s v="Gapminder/Plotly country-year extract reshaped to long indicator format for education"/>
    <s v="OK"/>
    <s v="2000s"/>
    <s v="N/A"/>
    <s v="Demographics"/>
  </r>
  <r>
    <s v="GM-03816"/>
    <s v="Reunion"/>
    <x v="2"/>
    <x v="11"/>
    <x v="2"/>
    <s v="GDP per capita"/>
    <s v="Economy"/>
    <s v="SDG 8: Decent Work and Economic Growth"/>
    <n v="7670.122558"/>
    <s v="Source-defined international dollars"/>
    <s v="Reunion|2007"/>
    <s v="Gapminder/Plotly country-year extract reshaped to long indicator format for education"/>
    <s v="OK"/>
    <s v="2000s"/>
    <s v="N/A"/>
    <s v="Economy"/>
  </r>
  <r>
    <s v="GM-03817"/>
    <s v="Romania"/>
    <x v="1"/>
    <x v="0"/>
    <x v="0"/>
    <s v="Life expectancy at birth"/>
    <s v="Health"/>
    <s v="SDG 3: Good Health and Well-being"/>
    <n v="61.05"/>
    <s v="Years"/>
    <s v="Romania|1952"/>
    <s v="Gapminder/Plotly country-year extract reshaped to long indicator format for education"/>
    <s v="OK"/>
    <s v="1950s"/>
    <s v="Medium"/>
    <s v="Health"/>
  </r>
  <r>
    <s v="GM-03818"/>
    <s v="Romania"/>
    <x v="1"/>
    <x v="0"/>
    <x v="1"/>
    <s v="Population, total"/>
    <s v="Demographics"/>
    <s v="SDG 11: Sustainable Cities and Communities"/>
    <n v="16630000"/>
    <s v="People"/>
    <s v="Romania|1952"/>
    <s v="Gapminder/Plotly country-year extract reshaped to long indicator format for education"/>
    <s v="OK"/>
    <s v="1950s"/>
    <s v="N/A"/>
    <s v="Demographics"/>
  </r>
  <r>
    <s v="GM-03819"/>
    <s v="Romania"/>
    <x v="1"/>
    <x v="0"/>
    <x v="2"/>
    <s v="GDP per capita"/>
    <s v="Economy"/>
    <s v="SDG 8: Decent Work and Economic Growth"/>
    <n v="3144.613186"/>
    <s v="Source-defined international dollars"/>
    <s v="Romania|1952"/>
    <s v="Gapminder/Plotly country-year extract reshaped to long indicator format for education"/>
    <s v="OK"/>
    <s v="1950s"/>
    <s v="N/A"/>
    <s v="Economy"/>
  </r>
  <r>
    <s v="GM-03820"/>
    <s v="Romania"/>
    <x v="1"/>
    <x v="1"/>
    <x v="0"/>
    <s v="Life expectancy at birth"/>
    <s v="Health"/>
    <s v="SDG 3: Good Health and Well-being"/>
    <n v="64.099999999999994"/>
    <s v="Years"/>
    <s v="Romania|1957"/>
    <s v="Gapminder/Plotly country-year extract reshaped to long indicator format for education"/>
    <s v="OK"/>
    <s v="1950s"/>
    <s v="Medium"/>
    <s v="Health"/>
  </r>
  <r>
    <s v="GM-03821"/>
    <s v="Romania"/>
    <x v="1"/>
    <x v="1"/>
    <x v="1"/>
    <s v="Population, total"/>
    <s v="Demographics"/>
    <s v="SDG 11: Sustainable Cities and Communities"/>
    <n v="17829327"/>
    <s v="People"/>
    <s v="Romania|1957"/>
    <s v="Gapminder/Plotly country-year extract reshaped to long indicator format for education"/>
    <s v="OK"/>
    <s v="1950s"/>
    <s v="N/A"/>
    <s v="Demographics"/>
  </r>
  <r>
    <s v="GM-03822"/>
    <s v="Romania"/>
    <x v="1"/>
    <x v="1"/>
    <x v="2"/>
    <s v="GDP per capita"/>
    <s v="Economy"/>
    <s v="SDG 8: Decent Work and Economic Growth"/>
    <n v="3943.3702250000001"/>
    <s v="Source-defined international dollars"/>
    <s v="Romania|1957"/>
    <s v="Gapminder/Plotly country-year extract reshaped to long indicator format for education"/>
    <s v="OK"/>
    <s v="1950s"/>
    <s v="N/A"/>
    <s v="Economy"/>
  </r>
  <r>
    <s v="GM-03823"/>
    <s v="Romania"/>
    <x v="1"/>
    <x v="2"/>
    <x v="0"/>
    <s v="Life expectancy at birth"/>
    <s v="Health"/>
    <s v="SDG 3: Good Health and Well-being"/>
    <n v="66.8"/>
    <s v="Years"/>
    <s v="Romania|1962"/>
    <s v="Gapminder/Plotly country-year extract reshaped to long indicator format for education"/>
    <s v="OK"/>
    <s v="1960s"/>
    <s v="Medium"/>
    <s v="Health"/>
  </r>
  <r>
    <s v="GM-03824"/>
    <s v="Romania"/>
    <x v="1"/>
    <x v="2"/>
    <x v="1"/>
    <s v="Population, total"/>
    <s v="Demographics"/>
    <s v="SDG 11: Sustainable Cities and Communities"/>
    <n v="18680721"/>
    <s v="People"/>
    <s v="Romania|1962"/>
    <s v="Gapminder/Plotly country-year extract reshaped to long indicator format for education"/>
    <s v="OK"/>
    <s v="1960s"/>
    <s v="N/A"/>
    <s v="Demographics"/>
  </r>
  <r>
    <s v="GM-03825"/>
    <s v="Romania"/>
    <x v="1"/>
    <x v="2"/>
    <x v="2"/>
    <s v="GDP per capita"/>
    <s v="Economy"/>
    <s v="SDG 8: Decent Work and Economic Growth"/>
    <n v="4734.9975860000004"/>
    <s v="Source-defined international dollars"/>
    <s v="Romania|1962"/>
    <s v="Gapminder/Plotly country-year extract reshaped to long indicator format for education"/>
    <s v="OK"/>
    <s v="1960s"/>
    <s v="N/A"/>
    <s v="Economy"/>
  </r>
  <r>
    <s v="GM-03826"/>
    <s v="Romania"/>
    <x v="1"/>
    <x v="3"/>
    <x v="0"/>
    <s v="Life expectancy at birth"/>
    <s v="Health"/>
    <s v="SDG 3: Good Health and Well-being"/>
    <n v="66.8"/>
    <s v="Years"/>
    <s v="Romania|1967"/>
    <s v="Gapminder/Plotly country-year extract reshaped to long indicator format for education"/>
    <s v="OK"/>
    <s v="1960s"/>
    <s v="Medium"/>
    <s v="Health"/>
  </r>
  <r>
    <s v="GM-03827"/>
    <s v="Romania"/>
    <x v="1"/>
    <x v="3"/>
    <x v="1"/>
    <s v="Population, total"/>
    <s v="Demographics"/>
    <s v="SDG 11: Sustainable Cities and Communities"/>
    <n v="19284814"/>
    <s v="People"/>
    <s v="Romania|1967"/>
    <s v="Gapminder/Plotly country-year extract reshaped to long indicator format for education"/>
    <s v="OK"/>
    <s v="1960s"/>
    <s v="N/A"/>
    <s v="Demographics"/>
  </r>
  <r>
    <s v="GM-03828"/>
    <s v="Romania"/>
    <x v="1"/>
    <x v="3"/>
    <x v="2"/>
    <s v="GDP per capita"/>
    <s v="Economy"/>
    <s v="SDG 8: Decent Work and Economic Growth"/>
    <n v="6470.8665449999999"/>
    <s v="Source-defined international dollars"/>
    <s v="Romania|1967"/>
    <s v="Gapminder/Plotly country-year extract reshaped to long indicator format for education"/>
    <s v="OK"/>
    <s v="1960s"/>
    <s v="N/A"/>
    <s v="Economy"/>
  </r>
  <r>
    <s v="GM-03829"/>
    <s v="Romania"/>
    <x v="1"/>
    <x v="4"/>
    <x v="0"/>
    <s v="Life expectancy at birth"/>
    <s v="Health"/>
    <s v="SDG 3: Good Health and Well-being"/>
    <n v="69.209999999999994"/>
    <s v="Years"/>
    <s v="Romania|1972"/>
    <s v="Gapminder/Plotly country-year extract reshaped to long indicator format for education"/>
    <s v="OK"/>
    <s v="1970s"/>
    <s v="Medium"/>
    <s v="Health"/>
  </r>
  <r>
    <s v="GM-03830"/>
    <s v="Romania"/>
    <x v="1"/>
    <x v="4"/>
    <x v="1"/>
    <s v="Population, total"/>
    <s v="Demographics"/>
    <s v="SDG 11: Sustainable Cities and Communities"/>
    <n v="20662648"/>
    <s v="People"/>
    <s v="Romania|1972"/>
    <s v="Gapminder/Plotly country-year extract reshaped to long indicator format for education"/>
    <s v="OK"/>
    <s v="1970s"/>
    <s v="N/A"/>
    <s v="Demographics"/>
  </r>
  <r>
    <s v="GM-03831"/>
    <s v="Romania"/>
    <x v="1"/>
    <x v="4"/>
    <x v="2"/>
    <s v="GDP per capita"/>
    <s v="Economy"/>
    <s v="SDG 8: Decent Work and Economic Growth"/>
    <n v="8011.4144019999903"/>
    <s v="Source-defined international dollars"/>
    <s v="Romania|1972"/>
    <s v="Gapminder/Plotly country-year extract reshaped to long indicator format for education"/>
    <s v="OK"/>
    <s v="1970s"/>
    <s v="N/A"/>
    <s v="Economy"/>
  </r>
  <r>
    <s v="GM-03832"/>
    <s v="Romania"/>
    <x v="1"/>
    <x v="5"/>
    <x v="0"/>
    <s v="Life expectancy at birth"/>
    <s v="Health"/>
    <s v="SDG 3: Good Health and Well-being"/>
    <n v="69.459999999999994"/>
    <s v="Years"/>
    <s v="Romania|1977"/>
    <s v="Gapminder/Plotly country-year extract reshaped to long indicator format for education"/>
    <s v="OK"/>
    <s v="1970s"/>
    <s v="Medium"/>
    <s v="Health"/>
  </r>
  <r>
    <s v="GM-03833"/>
    <s v="Romania"/>
    <x v="1"/>
    <x v="5"/>
    <x v="1"/>
    <s v="Population, total"/>
    <s v="Demographics"/>
    <s v="SDG 11: Sustainable Cities and Communities"/>
    <n v="21658597"/>
    <s v="People"/>
    <s v="Romania|1977"/>
    <s v="Gapminder/Plotly country-year extract reshaped to long indicator format for education"/>
    <s v="OK"/>
    <s v="1970s"/>
    <s v="N/A"/>
    <s v="Demographics"/>
  </r>
  <r>
    <s v="GM-03834"/>
    <s v="Romania"/>
    <x v="1"/>
    <x v="5"/>
    <x v="2"/>
    <s v="GDP per capita"/>
    <s v="Economy"/>
    <s v="SDG 8: Decent Work and Economic Growth"/>
    <n v="9356.3972400000002"/>
    <s v="Source-defined international dollars"/>
    <s v="Romania|1977"/>
    <s v="Gapminder/Plotly country-year extract reshaped to long indicator format for education"/>
    <s v="OK"/>
    <s v="1970s"/>
    <s v="N/A"/>
    <s v="Economy"/>
  </r>
  <r>
    <s v="GM-03835"/>
    <s v="Romania"/>
    <x v="1"/>
    <x v="6"/>
    <x v="0"/>
    <s v="Life expectancy at birth"/>
    <s v="Health"/>
    <s v="SDG 3: Good Health and Well-being"/>
    <n v="69.66"/>
    <s v="Years"/>
    <s v="Romania|1982"/>
    <s v="Gapminder/Plotly country-year extract reshaped to long indicator format for education"/>
    <s v="OK"/>
    <s v="1980s"/>
    <s v="Medium"/>
    <s v="Health"/>
  </r>
  <r>
    <s v="GM-03836"/>
    <s v="Romania"/>
    <x v="1"/>
    <x v="6"/>
    <x v="1"/>
    <s v="Population, total"/>
    <s v="Demographics"/>
    <s v="SDG 11: Sustainable Cities and Communities"/>
    <n v="22356726"/>
    <s v="People"/>
    <s v="Romania|1982"/>
    <s v="Gapminder/Plotly country-year extract reshaped to long indicator format for education"/>
    <s v="OK"/>
    <s v="1980s"/>
    <s v="N/A"/>
    <s v="Demographics"/>
  </r>
  <r>
    <s v="GM-03837"/>
    <s v="Romania"/>
    <x v="1"/>
    <x v="6"/>
    <x v="2"/>
    <s v="GDP per capita"/>
    <s v="Economy"/>
    <s v="SDG 8: Decent Work and Economic Growth"/>
    <n v="9605.3140530000001"/>
    <s v="Source-defined international dollars"/>
    <s v="Romania|1982"/>
    <s v="Gapminder/Plotly country-year extract reshaped to long indicator format for education"/>
    <s v="OK"/>
    <s v="1980s"/>
    <s v="N/A"/>
    <s v="Economy"/>
  </r>
  <r>
    <s v="GM-03838"/>
    <s v="Romania"/>
    <x v="1"/>
    <x v="7"/>
    <x v="0"/>
    <s v="Life expectancy at birth"/>
    <s v="Health"/>
    <s v="SDG 3: Good Health and Well-being"/>
    <n v="69.53"/>
    <s v="Years"/>
    <s v="Romania|1987"/>
    <s v="Gapminder/Plotly country-year extract reshaped to long indicator format for education"/>
    <s v="OK"/>
    <s v="1980s"/>
    <s v="Medium"/>
    <s v="Health"/>
  </r>
  <r>
    <s v="GM-03839"/>
    <s v="Romania"/>
    <x v="1"/>
    <x v="7"/>
    <x v="1"/>
    <s v="Population, total"/>
    <s v="Demographics"/>
    <s v="SDG 11: Sustainable Cities and Communities"/>
    <n v="22686371"/>
    <s v="People"/>
    <s v="Romania|1987"/>
    <s v="Gapminder/Plotly country-year extract reshaped to long indicator format for education"/>
    <s v="OK"/>
    <s v="1980s"/>
    <s v="N/A"/>
    <s v="Demographics"/>
  </r>
  <r>
    <s v="GM-03840"/>
    <s v="Romania"/>
    <x v="1"/>
    <x v="7"/>
    <x v="2"/>
    <s v="GDP per capita"/>
    <s v="Economy"/>
    <s v="SDG 8: Decent Work and Economic Growth"/>
    <n v="9696.2732950000009"/>
    <s v="Source-defined international dollars"/>
    <s v="Romania|1987"/>
    <s v="Gapminder/Plotly country-year extract reshaped to long indicator format for education"/>
    <s v="OK"/>
    <s v="1980s"/>
    <s v="N/A"/>
    <s v="Economy"/>
  </r>
  <r>
    <s v="GM-03841"/>
    <s v="Romania"/>
    <x v="1"/>
    <x v="8"/>
    <x v="0"/>
    <s v="Life expectancy at birth"/>
    <s v="Health"/>
    <s v="SDG 3: Good Health and Well-being"/>
    <n v="69.36"/>
    <s v="Years"/>
    <s v="Romania|1992"/>
    <s v="Gapminder/Plotly country-year extract reshaped to long indicator format for education"/>
    <s v="OK"/>
    <s v="1990s"/>
    <s v="Medium"/>
    <s v="Health"/>
  </r>
  <r>
    <s v="GM-03842"/>
    <s v="Romania"/>
    <x v="1"/>
    <x v="8"/>
    <x v="1"/>
    <s v="Population, total"/>
    <s v="Demographics"/>
    <s v="SDG 11: Sustainable Cities and Communities"/>
    <n v="22797027"/>
    <s v="People"/>
    <s v="Romania|1992"/>
    <s v="Gapminder/Plotly country-year extract reshaped to long indicator format for education"/>
    <s v="OK"/>
    <s v="1990s"/>
    <s v="N/A"/>
    <s v="Demographics"/>
  </r>
  <r>
    <s v="GM-03843"/>
    <s v="Romania"/>
    <x v="1"/>
    <x v="8"/>
    <x v="2"/>
    <s v="GDP per capita"/>
    <s v="Economy"/>
    <s v="SDG 8: Decent Work and Economic Growth"/>
    <n v="6598.4099029999998"/>
    <s v="Source-defined international dollars"/>
    <s v="Romania|1992"/>
    <s v="Gapminder/Plotly country-year extract reshaped to long indicator format for education"/>
    <s v="OK"/>
    <s v="1990s"/>
    <s v="N/A"/>
    <s v="Economy"/>
  </r>
  <r>
    <s v="GM-03844"/>
    <s v="Romania"/>
    <x v="1"/>
    <x v="9"/>
    <x v="0"/>
    <s v="Life expectancy at birth"/>
    <s v="Health"/>
    <s v="SDG 3: Good Health and Well-being"/>
    <n v="69.72"/>
    <s v="Years"/>
    <s v="Romania|1997"/>
    <s v="Gapminder/Plotly country-year extract reshaped to long indicator format for education"/>
    <s v="OK"/>
    <s v="1990s"/>
    <s v="Medium"/>
    <s v="Health"/>
  </r>
  <r>
    <s v="GM-03845"/>
    <s v="Romania"/>
    <x v="1"/>
    <x v="9"/>
    <x v="1"/>
    <s v="Population, total"/>
    <s v="Demographics"/>
    <s v="SDG 11: Sustainable Cities and Communities"/>
    <n v="22562458"/>
    <s v="People"/>
    <s v="Romania|1997"/>
    <s v="Gapminder/Plotly country-year extract reshaped to long indicator format for education"/>
    <s v="OK"/>
    <s v="1990s"/>
    <s v="N/A"/>
    <s v="Demographics"/>
  </r>
  <r>
    <s v="GM-03846"/>
    <s v="Romania"/>
    <x v="1"/>
    <x v="9"/>
    <x v="2"/>
    <s v="GDP per capita"/>
    <s v="Economy"/>
    <s v="SDG 8: Decent Work and Economic Growth"/>
    <n v="7346.5475569999899"/>
    <s v="Source-defined international dollars"/>
    <s v="Romania|1997"/>
    <s v="Gapminder/Plotly country-year extract reshaped to long indicator format for education"/>
    <s v="OK"/>
    <s v="1990s"/>
    <s v="N/A"/>
    <s v="Economy"/>
  </r>
  <r>
    <s v="GM-03847"/>
    <s v="Romania"/>
    <x v="1"/>
    <x v="10"/>
    <x v="0"/>
    <s v="Life expectancy at birth"/>
    <s v="Health"/>
    <s v="SDG 3: Good Health and Well-being"/>
    <n v="71.322000000000003"/>
    <s v="Years"/>
    <s v="Romania|2002"/>
    <s v="Gapminder/Plotly country-year extract reshaped to long indicator format for education"/>
    <s v="OK"/>
    <s v="2000s"/>
    <s v="High"/>
    <s v="Health"/>
  </r>
  <r>
    <s v="GM-03848"/>
    <s v="Romania"/>
    <x v="1"/>
    <x v="10"/>
    <x v="1"/>
    <s v="Population, total"/>
    <s v="Demographics"/>
    <s v="SDG 11: Sustainable Cities and Communities"/>
    <n v="22404337"/>
    <s v="People"/>
    <s v="Romania|2002"/>
    <s v="Gapminder/Plotly country-year extract reshaped to long indicator format for education"/>
    <s v="OK"/>
    <s v="2000s"/>
    <s v="N/A"/>
    <s v="Demographics"/>
  </r>
  <r>
    <s v="GM-03849"/>
    <s v="Romania"/>
    <x v="1"/>
    <x v="10"/>
    <x v="2"/>
    <s v="GDP per capita"/>
    <s v="Economy"/>
    <s v="SDG 8: Decent Work and Economic Growth"/>
    <n v="7885.3600809999998"/>
    <s v="Source-defined international dollars"/>
    <s v="Romania|2002"/>
    <s v="Gapminder/Plotly country-year extract reshaped to long indicator format for education"/>
    <s v="OK"/>
    <s v="2000s"/>
    <s v="N/A"/>
    <s v="Economy"/>
  </r>
  <r>
    <s v="GM-03850"/>
    <s v="Romania"/>
    <x v="1"/>
    <x v="11"/>
    <x v="0"/>
    <s v="Life expectancy at birth"/>
    <s v="Health"/>
    <s v="SDG 3: Good Health and Well-being"/>
    <n v="72.475999999999999"/>
    <s v="Years"/>
    <s v="Romania|2007"/>
    <s v="Gapminder/Plotly country-year extract reshaped to long indicator format for education"/>
    <s v="OK"/>
    <s v="2000s"/>
    <s v="High"/>
    <s v="Health"/>
  </r>
  <r>
    <s v="GM-03851"/>
    <s v="Romania"/>
    <x v="1"/>
    <x v="11"/>
    <x v="1"/>
    <s v="Population, total"/>
    <s v="Demographics"/>
    <s v="SDG 11: Sustainable Cities and Communities"/>
    <n v="22276056"/>
    <s v="People"/>
    <s v="Romania|2007"/>
    <s v="Gapminder/Plotly country-year extract reshaped to long indicator format for education"/>
    <s v="OK"/>
    <s v="2000s"/>
    <s v="N/A"/>
    <s v="Demographics"/>
  </r>
  <r>
    <s v="GM-03852"/>
    <s v="Romania"/>
    <x v="1"/>
    <x v="11"/>
    <x v="2"/>
    <s v="GDP per capita"/>
    <s v="Economy"/>
    <s v="SDG 8: Decent Work and Economic Growth"/>
    <n v="10808.47561"/>
    <s v="Source-defined international dollars"/>
    <s v="Romania|2007"/>
    <s v="Gapminder/Plotly country-year extract reshaped to long indicator format for education"/>
    <s v="OK"/>
    <s v="2000s"/>
    <s v="N/A"/>
    <s v="Economy"/>
  </r>
  <r>
    <s v="GM-03853"/>
    <s v="Rwanda"/>
    <x v="2"/>
    <x v="0"/>
    <x v="0"/>
    <s v="Life expectancy at birth"/>
    <s v="Health"/>
    <s v="SDG 3: Good Health and Well-being"/>
    <n v="40"/>
    <s v="Years"/>
    <s v="Rwanda|1952"/>
    <s v="Gapminder/Plotly country-year extract reshaped to long indicator format for education"/>
    <s v="OK"/>
    <s v="1950s"/>
    <s v="Low"/>
    <s v="Health"/>
  </r>
  <r>
    <s v="GM-03854"/>
    <s v="Rwanda"/>
    <x v="2"/>
    <x v="0"/>
    <x v="1"/>
    <s v="Population, total"/>
    <s v="Demographics"/>
    <s v="SDG 11: Sustainable Cities and Communities"/>
    <n v="2534927"/>
    <s v="People"/>
    <s v="Rwanda|1952"/>
    <s v="Gapminder/Plotly country-year extract reshaped to long indicator format for education"/>
    <s v="OK"/>
    <s v="1950s"/>
    <s v="N/A"/>
    <s v="Demographics"/>
  </r>
  <r>
    <s v="GM-03855"/>
    <s v="Rwanda"/>
    <x v="2"/>
    <x v="0"/>
    <x v="2"/>
    <s v="GDP per capita"/>
    <s v="Economy"/>
    <s v="SDG 8: Decent Work and Economic Growth"/>
    <n v="493.32387519999997"/>
    <s v="Source-defined international dollars"/>
    <s v="Rwanda|1952"/>
    <s v="Gapminder/Plotly country-year extract reshaped to long indicator format for education"/>
    <s v="OK"/>
    <s v="1950s"/>
    <s v="N/A"/>
    <s v="Economy"/>
  </r>
  <r>
    <s v="GM-03856"/>
    <s v="Rwanda"/>
    <x v="2"/>
    <x v="1"/>
    <x v="0"/>
    <s v="Life expectancy at birth"/>
    <s v="Health"/>
    <s v="SDG 3: Good Health and Well-being"/>
    <n v="41.5"/>
    <s v="Years"/>
    <s v="Rwanda|1957"/>
    <s v="Gapminder/Plotly country-year extract reshaped to long indicator format for education"/>
    <s v="OK"/>
    <s v="1950s"/>
    <s v="Low"/>
    <s v="Health"/>
  </r>
  <r>
    <s v="GM-03857"/>
    <s v="Rwanda"/>
    <x v="2"/>
    <x v="1"/>
    <x v="1"/>
    <s v="Population, total"/>
    <s v="Demographics"/>
    <s v="SDG 11: Sustainable Cities and Communities"/>
    <n v="2822082"/>
    <s v="People"/>
    <s v="Rwanda|1957"/>
    <s v="Gapminder/Plotly country-year extract reshaped to long indicator format for education"/>
    <s v="OK"/>
    <s v="1950s"/>
    <s v="N/A"/>
    <s v="Demographics"/>
  </r>
  <r>
    <s v="GM-03858"/>
    <s v="Rwanda"/>
    <x v="2"/>
    <x v="1"/>
    <x v="2"/>
    <s v="GDP per capita"/>
    <s v="Economy"/>
    <s v="SDG 8: Decent Work and Economic Growth"/>
    <n v="540.28939829999899"/>
    <s v="Source-defined international dollars"/>
    <s v="Rwanda|1957"/>
    <s v="Gapminder/Plotly country-year extract reshaped to long indicator format for education"/>
    <s v="OK"/>
    <s v="1950s"/>
    <s v="N/A"/>
    <s v="Economy"/>
  </r>
  <r>
    <s v="GM-03859"/>
    <s v="Rwanda"/>
    <x v="2"/>
    <x v="2"/>
    <x v="0"/>
    <s v="Life expectancy at birth"/>
    <s v="Health"/>
    <s v="SDG 3: Good Health and Well-being"/>
    <n v="43"/>
    <s v="Years"/>
    <s v="Rwanda|1962"/>
    <s v="Gapminder/Plotly country-year extract reshaped to long indicator format for education"/>
    <s v="OK"/>
    <s v="1960s"/>
    <s v="Low"/>
    <s v="Health"/>
  </r>
  <r>
    <s v="GM-03860"/>
    <s v="Rwanda"/>
    <x v="2"/>
    <x v="2"/>
    <x v="1"/>
    <s v="Population, total"/>
    <s v="Demographics"/>
    <s v="SDG 11: Sustainable Cities and Communities"/>
    <n v="3051242"/>
    <s v="People"/>
    <s v="Rwanda|1962"/>
    <s v="Gapminder/Plotly country-year extract reshaped to long indicator format for education"/>
    <s v="OK"/>
    <s v="1960s"/>
    <s v="N/A"/>
    <s v="Demographics"/>
  </r>
  <r>
    <s v="GM-03861"/>
    <s v="Rwanda"/>
    <x v="2"/>
    <x v="2"/>
    <x v="2"/>
    <s v="GDP per capita"/>
    <s v="Economy"/>
    <s v="SDG 8: Decent Work and Economic Growth"/>
    <n v="597.47307269999999"/>
    <s v="Source-defined international dollars"/>
    <s v="Rwanda|1962"/>
    <s v="Gapminder/Plotly country-year extract reshaped to long indicator format for education"/>
    <s v="OK"/>
    <s v="1960s"/>
    <s v="N/A"/>
    <s v="Economy"/>
  </r>
  <r>
    <s v="GM-03862"/>
    <s v="Rwanda"/>
    <x v="2"/>
    <x v="3"/>
    <x v="0"/>
    <s v="Life expectancy at birth"/>
    <s v="Health"/>
    <s v="SDG 3: Good Health and Well-being"/>
    <n v="44.1"/>
    <s v="Years"/>
    <s v="Rwanda|1967"/>
    <s v="Gapminder/Plotly country-year extract reshaped to long indicator format for education"/>
    <s v="OK"/>
    <s v="1960s"/>
    <s v="Low"/>
    <s v="Health"/>
  </r>
  <r>
    <s v="GM-03863"/>
    <s v="Rwanda"/>
    <x v="2"/>
    <x v="3"/>
    <x v="1"/>
    <s v="Population, total"/>
    <s v="Demographics"/>
    <s v="SDG 11: Sustainable Cities and Communities"/>
    <n v="3451079"/>
    <s v="People"/>
    <s v="Rwanda|1967"/>
    <s v="Gapminder/Plotly country-year extract reshaped to long indicator format for education"/>
    <s v="OK"/>
    <s v="1960s"/>
    <s v="N/A"/>
    <s v="Demographics"/>
  </r>
  <r>
    <s v="GM-03864"/>
    <s v="Rwanda"/>
    <x v="2"/>
    <x v="3"/>
    <x v="2"/>
    <s v="GDP per capita"/>
    <s v="Economy"/>
    <s v="SDG 8: Decent Work and Economic Growth"/>
    <n v="510.96371420000003"/>
    <s v="Source-defined international dollars"/>
    <s v="Rwanda|1967"/>
    <s v="Gapminder/Plotly country-year extract reshaped to long indicator format for education"/>
    <s v="OK"/>
    <s v="1960s"/>
    <s v="N/A"/>
    <s v="Economy"/>
  </r>
  <r>
    <s v="GM-03865"/>
    <s v="Rwanda"/>
    <x v="2"/>
    <x v="4"/>
    <x v="0"/>
    <s v="Life expectancy at birth"/>
    <s v="Health"/>
    <s v="SDG 3: Good Health and Well-being"/>
    <n v="44.6"/>
    <s v="Years"/>
    <s v="Rwanda|1972"/>
    <s v="Gapminder/Plotly country-year extract reshaped to long indicator format for education"/>
    <s v="OK"/>
    <s v="1970s"/>
    <s v="Low"/>
    <s v="Health"/>
  </r>
  <r>
    <s v="GM-03866"/>
    <s v="Rwanda"/>
    <x v="2"/>
    <x v="4"/>
    <x v="1"/>
    <s v="Population, total"/>
    <s v="Demographics"/>
    <s v="SDG 11: Sustainable Cities and Communities"/>
    <n v="3992121"/>
    <s v="People"/>
    <s v="Rwanda|1972"/>
    <s v="Gapminder/Plotly country-year extract reshaped to long indicator format for education"/>
    <s v="OK"/>
    <s v="1970s"/>
    <s v="N/A"/>
    <s v="Demographics"/>
  </r>
  <r>
    <s v="GM-03867"/>
    <s v="Rwanda"/>
    <x v="2"/>
    <x v="4"/>
    <x v="2"/>
    <s v="GDP per capita"/>
    <s v="Economy"/>
    <s v="SDG 8: Decent Work and Economic Growth"/>
    <n v="590.580663799999"/>
    <s v="Source-defined international dollars"/>
    <s v="Rwanda|1972"/>
    <s v="Gapminder/Plotly country-year extract reshaped to long indicator format for education"/>
    <s v="OK"/>
    <s v="1970s"/>
    <s v="N/A"/>
    <s v="Economy"/>
  </r>
  <r>
    <s v="GM-03868"/>
    <s v="Rwanda"/>
    <x v="2"/>
    <x v="5"/>
    <x v="0"/>
    <s v="Life expectancy at birth"/>
    <s v="Health"/>
    <s v="SDG 3: Good Health and Well-being"/>
    <n v="45"/>
    <s v="Years"/>
    <s v="Rwanda|1977"/>
    <s v="Gapminder/Plotly country-year extract reshaped to long indicator format for education"/>
    <s v="OK"/>
    <s v="1970s"/>
    <s v="Low"/>
    <s v="Health"/>
  </r>
  <r>
    <s v="GM-03869"/>
    <s v="Rwanda"/>
    <x v="2"/>
    <x v="5"/>
    <x v="1"/>
    <s v="Population, total"/>
    <s v="Demographics"/>
    <s v="SDG 11: Sustainable Cities and Communities"/>
    <n v="4657072"/>
    <s v="People"/>
    <s v="Rwanda|1977"/>
    <s v="Gapminder/Plotly country-year extract reshaped to long indicator format for education"/>
    <s v="OK"/>
    <s v="1970s"/>
    <s v="N/A"/>
    <s v="Demographics"/>
  </r>
  <r>
    <s v="GM-03870"/>
    <s v="Rwanda"/>
    <x v="2"/>
    <x v="5"/>
    <x v="2"/>
    <s v="GDP per capita"/>
    <s v="Economy"/>
    <s v="SDG 8: Decent Work and Economic Growth"/>
    <n v="670.08060109999997"/>
    <s v="Source-defined international dollars"/>
    <s v="Rwanda|1977"/>
    <s v="Gapminder/Plotly country-year extract reshaped to long indicator format for education"/>
    <s v="OK"/>
    <s v="1970s"/>
    <s v="N/A"/>
    <s v="Economy"/>
  </r>
  <r>
    <s v="GM-03871"/>
    <s v="Rwanda"/>
    <x v="2"/>
    <x v="6"/>
    <x v="0"/>
    <s v="Life expectancy at birth"/>
    <s v="Health"/>
    <s v="SDG 3: Good Health and Well-being"/>
    <n v="46.218000000000004"/>
    <s v="Years"/>
    <s v="Rwanda|1982"/>
    <s v="Gapminder/Plotly country-year extract reshaped to long indicator format for education"/>
    <s v="OK"/>
    <s v="1980s"/>
    <s v="Low"/>
    <s v="Health"/>
  </r>
  <r>
    <s v="GM-03872"/>
    <s v="Rwanda"/>
    <x v="2"/>
    <x v="6"/>
    <x v="1"/>
    <s v="Population, total"/>
    <s v="Demographics"/>
    <s v="SDG 11: Sustainable Cities and Communities"/>
    <n v="5507565"/>
    <s v="People"/>
    <s v="Rwanda|1982"/>
    <s v="Gapminder/Plotly country-year extract reshaped to long indicator format for education"/>
    <s v="OK"/>
    <s v="1980s"/>
    <s v="N/A"/>
    <s v="Demographics"/>
  </r>
  <r>
    <s v="GM-03873"/>
    <s v="Rwanda"/>
    <x v="2"/>
    <x v="6"/>
    <x v="2"/>
    <s v="GDP per capita"/>
    <s v="Economy"/>
    <s v="SDG 8: Decent Work and Economic Growth"/>
    <n v="881.5706467"/>
    <s v="Source-defined international dollars"/>
    <s v="Rwanda|1982"/>
    <s v="Gapminder/Plotly country-year extract reshaped to long indicator format for education"/>
    <s v="OK"/>
    <s v="1980s"/>
    <s v="N/A"/>
    <s v="Economy"/>
  </r>
  <r>
    <s v="GM-03874"/>
    <s v="Rwanda"/>
    <x v="2"/>
    <x v="7"/>
    <x v="0"/>
    <s v="Life expectancy at birth"/>
    <s v="Health"/>
    <s v="SDG 3: Good Health and Well-being"/>
    <n v="44.02"/>
    <s v="Years"/>
    <s v="Rwanda|1987"/>
    <s v="Gapminder/Plotly country-year extract reshaped to long indicator format for education"/>
    <s v="OK"/>
    <s v="1980s"/>
    <s v="Low"/>
    <s v="Health"/>
  </r>
  <r>
    <s v="GM-03875"/>
    <s v="Rwanda"/>
    <x v="2"/>
    <x v="7"/>
    <x v="1"/>
    <s v="Population, total"/>
    <s v="Demographics"/>
    <s v="SDG 11: Sustainable Cities and Communities"/>
    <n v="6349365"/>
    <s v="People"/>
    <s v="Rwanda|1987"/>
    <s v="Gapminder/Plotly country-year extract reshaped to long indicator format for education"/>
    <s v="OK"/>
    <s v="1980s"/>
    <s v="N/A"/>
    <s v="Demographics"/>
  </r>
  <r>
    <s v="GM-03876"/>
    <s v="Rwanda"/>
    <x v="2"/>
    <x v="7"/>
    <x v="2"/>
    <s v="GDP per capita"/>
    <s v="Economy"/>
    <s v="SDG 8: Decent Work and Economic Growth"/>
    <n v="847.99121700000001"/>
    <s v="Source-defined international dollars"/>
    <s v="Rwanda|1987"/>
    <s v="Gapminder/Plotly country-year extract reshaped to long indicator format for education"/>
    <s v="OK"/>
    <s v="1980s"/>
    <s v="N/A"/>
    <s v="Economy"/>
  </r>
  <r>
    <s v="GM-03877"/>
    <s v="Rwanda"/>
    <x v="2"/>
    <x v="8"/>
    <x v="0"/>
    <s v="Life expectancy at birth"/>
    <s v="Health"/>
    <s v="SDG 3: Good Health and Well-being"/>
    <n v="23.599"/>
    <s v="Years"/>
    <s v="Rwanda|1992"/>
    <s v="Gapminder/Plotly country-year extract reshaped to long indicator format for education"/>
    <s v="OK"/>
    <s v="1990s"/>
    <s v="Low"/>
    <s v="Health"/>
  </r>
  <r>
    <s v="GM-03878"/>
    <s v="Rwanda"/>
    <x v="2"/>
    <x v="8"/>
    <x v="1"/>
    <s v="Population, total"/>
    <s v="Demographics"/>
    <s v="SDG 11: Sustainable Cities and Communities"/>
    <n v="7290203"/>
    <s v="People"/>
    <s v="Rwanda|1992"/>
    <s v="Gapminder/Plotly country-year extract reshaped to long indicator format for education"/>
    <s v="OK"/>
    <s v="1990s"/>
    <s v="N/A"/>
    <s v="Demographics"/>
  </r>
  <r>
    <s v="GM-03879"/>
    <s v="Rwanda"/>
    <x v="2"/>
    <x v="8"/>
    <x v="2"/>
    <s v="GDP per capita"/>
    <s v="Economy"/>
    <s v="SDG 8: Decent Work and Economic Growth"/>
    <n v="737.06859489999999"/>
    <s v="Source-defined international dollars"/>
    <s v="Rwanda|1992"/>
    <s v="Gapminder/Plotly country-year extract reshaped to long indicator format for education"/>
    <s v="OK"/>
    <s v="1990s"/>
    <s v="N/A"/>
    <s v="Economy"/>
  </r>
  <r>
    <s v="GM-03880"/>
    <s v="Rwanda"/>
    <x v="2"/>
    <x v="9"/>
    <x v="0"/>
    <s v="Life expectancy at birth"/>
    <s v="Health"/>
    <s v="SDG 3: Good Health and Well-being"/>
    <n v="36.087000000000003"/>
    <s v="Years"/>
    <s v="Rwanda|1997"/>
    <s v="Gapminder/Plotly country-year extract reshaped to long indicator format for education"/>
    <s v="OK"/>
    <s v="1990s"/>
    <s v="Low"/>
    <s v="Health"/>
  </r>
  <r>
    <s v="GM-03881"/>
    <s v="Rwanda"/>
    <x v="2"/>
    <x v="9"/>
    <x v="1"/>
    <s v="Population, total"/>
    <s v="Demographics"/>
    <s v="SDG 11: Sustainable Cities and Communities"/>
    <n v="7212583"/>
    <s v="People"/>
    <s v="Rwanda|1997"/>
    <s v="Gapminder/Plotly country-year extract reshaped to long indicator format for education"/>
    <s v="OK"/>
    <s v="1990s"/>
    <s v="N/A"/>
    <s v="Demographics"/>
  </r>
  <r>
    <s v="GM-03882"/>
    <s v="Rwanda"/>
    <x v="2"/>
    <x v="9"/>
    <x v="2"/>
    <s v="GDP per capita"/>
    <s v="Economy"/>
    <s v="SDG 8: Decent Work and Economic Growth"/>
    <n v="589.94450510000001"/>
    <s v="Source-defined international dollars"/>
    <s v="Rwanda|1997"/>
    <s v="Gapminder/Plotly country-year extract reshaped to long indicator format for education"/>
    <s v="OK"/>
    <s v="1990s"/>
    <s v="N/A"/>
    <s v="Economy"/>
  </r>
  <r>
    <s v="GM-03883"/>
    <s v="Rwanda"/>
    <x v="2"/>
    <x v="10"/>
    <x v="0"/>
    <s v="Life expectancy at birth"/>
    <s v="Health"/>
    <s v="SDG 3: Good Health and Well-being"/>
    <n v="43.412999999999997"/>
    <s v="Years"/>
    <s v="Rwanda|2002"/>
    <s v="Gapminder/Plotly country-year extract reshaped to long indicator format for education"/>
    <s v="OK"/>
    <s v="2000s"/>
    <s v="Low"/>
    <s v="Health"/>
  </r>
  <r>
    <s v="GM-03884"/>
    <s v="Rwanda"/>
    <x v="2"/>
    <x v="10"/>
    <x v="1"/>
    <s v="Population, total"/>
    <s v="Demographics"/>
    <s v="SDG 11: Sustainable Cities and Communities"/>
    <n v="7852401"/>
    <s v="People"/>
    <s v="Rwanda|2002"/>
    <s v="Gapminder/Plotly country-year extract reshaped to long indicator format for education"/>
    <s v="OK"/>
    <s v="2000s"/>
    <s v="N/A"/>
    <s v="Demographics"/>
  </r>
  <r>
    <s v="GM-03885"/>
    <s v="Rwanda"/>
    <x v="2"/>
    <x v="10"/>
    <x v="2"/>
    <s v="GDP per capita"/>
    <s v="Economy"/>
    <s v="SDG 8: Decent Work and Economic Growth"/>
    <n v="785.65376479999895"/>
    <s v="Source-defined international dollars"/>
    <s v="Rwanda|2002"/>
    <s v="Gapminder/Plotly country-year extract reshaped to long indicator format for education"/>
    <s v="OK"/>
    <s v="2000s"/>
    <s v="N/A"/>
    <s v="Economy"/>
  </r>
  <r>
    <s v="GM-03886"/>
    <s v="Rwanda"/>
    <x v="2"/>
    <x v="11"/>
    <x v="0"/>
    <s v="Life expectancy at birth"/>
    <s v="Health"/>
    <s v="SDG 3: Good Health and Well-being"/>
    <n v="46.241999999999997"/>
    <s v="Years"/>
    <s v="Rwanda|2007"/>
    <s v="Gapminder/Plotly country-year extract reshaped to long indicator format for education"/>
    <s v="OK"/>
    <s v="2000s"/>
    <s v="Low"/>
    <s v="Health"/>
  </r>
  <r>
    <s v="GM-03887"/>
    <s v="Rwanda"/>
    <x v="2"/>
    <x v="11"/>
    <x v="1"/>
    <s v="Population, total"/>
    <s v="Demographics"/>
    <s v="SDG 11: Sustainable Cities and Communities"/>
    <n v="8860588"/>
    <s v="People"/>
    <s v="Rwanda|2007"/>
    <s v="Gapminder/Plotly country-year extract reshaped to long indicator format for education"/>
    <s v="OK"/>
    <s v="2000s"/>
    <s v="N/A"/>
    <s v="Demographics"/>
  </r>
  <r>
    <s v="GM-03888"/>
    <s v="Rwanda"/>
    <x v="2"/>
    <x v="11"/>
    <x v="2"/>
    <s v="GDP per capita"/>
    <s v="Economy"/>
    <s v="SDG 8: Decent Work and Economic Growth"/>
    <n v="863.08846389999997"/>
    <s v="Source-defined international dollars"/>
    <s v="Rwanda|2007"/>
    <s v="Gapminder/Plotly country-year extract reshaped to long indicator format for education"/>
    <s v="OK"/>
    <s v="2000s"/>
    <s v="N/A"/>
    <s v="Economy"/>
  </r>
  <r>
    <s v="GM-03889"/>
    <s v="Sao Tome and Principe"/>
    <x v="2"/>
    <x v="0"/>
    <x v="0"/>
    <s v="Life expectancy at birth"/>
    <s v="Health"/>
    <s v="SDG 3: Good Health and Well-being"/>
    <n v="46.470999999999997"/>
    <s v="Years"/>
    <s v="Sao Tome and Principe|1952"/>
    <s v="Gapminder/Plotly country-year extract reshaped to long indicator format for education"/>
    <s v="OK"/>
    <s v="1950s"/>
    <s v="Low"/>
    <s v="Health"/>
  </r>
  <r>
    <s v="GM-03890"/>
    <s v="Sao Tome and Principe"/>
    <x v="2"/>
    <x v="0"/>
    <x v="1"/>
    <s v="Population, total"/>
    <s v="Demographics"/>
    <s v="SDG 11: Sustainable Cities and Communities"/>
    <n v="60011"/>
    <s v="People"/>
    <s v="Sao Tome and Principe|1952"/>
    <s v="Gapminder/Plotly country-year extract reshaped to long indicator format for education"/>
    <s v="OK"/>
    <s v="1950s"/>
    <s v="N/A"/>
    <s v="Demographics"/>
  </r>
  <r>
    <s v="GM-03891"/>
    <s v="Sao Tome and Principe"/>
    <x v="2"/>
    <x v="0"/>
    <x v="2"/>
    <s v="GDP per capita"/>
    <s v="Economy"/>
    <s v="SDG 8: Decent Work and Economic Growth"/>
    <n v="879.58358550000003"/>
    <s v="Source-defined international dollars"/>
    <s v="Sao Tome and Principe|1952"/>
    <s v="Gapminder/Plotly country-year extract reshaped to long indicator format for education"/>
    <s v="OK"/>
    <s v="1950s"/>
    <s v="N/A"/>
    <s v="Economy"/>
  </r>
  <r>
    <s v="GM-03892"/>
    <s v="Sao Tome and Principe"/>
    <x v="2"/>
    <x v="1"/>
    <x v="0"/>
    <s v="Life expectancy at birth"/>
    <s v="Health"/>
    <s v="SDG 3: Good Health and Well-being"/>
    <n v="48.945"/>
    <s v="Years"/>
    <s v="Sao Tome and Principe|1957"/>
    <s v="Gapminder/Plotly country-year extract reshaped to long indicator format for education"/>
    <s v="OK"/>
    <s v="1950s"/>
    <s v="Low"/>
    <s v="Health"/>
  </r>
  <r>
    <s v="GM-03893"/>
    <s v="Sao Tome and Principe"/>
    <x v="2"/>
    <x v="1"/>
    <x v="1"/>
    <s v="Population, total"/>
    <s v="Demographics"/>
    <s v="SDG 11: Sustainable Cities and Communities"/>
    <n v="61325"/>
    <s v="People"/>
    <s v="Sao Tome and Principe|1957"/>
    <s v="Gapminder/Plotly country-year extract reshaped to long indicator format for education"/>
    <s v="OK"/>
    <s v="1950s"/>
    <s v="N/A"/>
    <s v="Demographics"/>
  </r>
  <r>
    <s v="GM-03894"/>
    <s v="Sao Tome and Principe"/>
    <x v="2"/>
    <x v="1"/>
    <x v="2"/>
    <s v="GDP per capita"/>
    <s v="Economy"/>
    <s v="SDG 8: Decent Work and Economic Growth"/>
    <n v="860.73690260000001"/>
    <s v="Source-defined international dollars"/>
    <s v="Sao Tome and Principe|1957"/>
    <s v="Gapminder/Plotly country-year extract reshaped to long indicator format for education"/>
    <s v="OK"/>
    <s v="1950s"/>
    <s v="N/A"/>
    <s v="Economy"/>
  </r>
  <r>
    <s v="GM-03895"/>
    <s v="Sao Tome and Principe"/>
    <x v="2"/>
    <x v="2"/>
    <x v="0"/>
    <s v="Life expectancy at birth"/>
    <s v="Health"/>
    <s v="SDG 3: Good Health and Well-being"/>
    <n v="51.893000000000001"/>
    <s v="Years"/>
    <s v="Sao Tome and Principe|1962"/>
    <s v="Gapminder/Plotly country-year extract reshaped to long indicator format for education"/>
    <s v="OK"/>
    <s v="1960s"/>
    <s v="Low"/>
    <s v="Health"/>
  </r>
  <r>
    <s v="GM-03896"/>
    <s v="Sao Tome and Principe"/>
    <x v="2"/>
    <x v="2"/>
    <x v="1"/>
    <s v="Population, total"/>
    <s v="Demographics"/>
    <s v="SDG 11: Sustainable Cities and Communities"/>
    <n v="65345"/>
    <s v="People"/>
    <s v="Sao Tome and Principe|1962"/>
    <s v="Gapminder/Plotly country-year extract reshaped to long indicator format for education"/>
    <s v="OK"/>
    <s v="1960s"/>
    <s v="N/A"/>
    <s v="Demographics"/>
  </r>
  <r>
    <s v="GM-03897"/>
    <s v="Sao Tome and Principe"/>
    <x v="2"/>
    <x v="2"/>
    <x v="2"/>
    <s v="GDP per capita"/>
    <s v="Economy"/>
    <s v="SDG 8: Decent Work and Economic Growth"/>
    <n v="1071.551119"/>
    <s v="Source-defined international dollars"/>
    <s v="Sao Tome and Principe|1962"/>
    <s v="Gapminder/Plotly country-year extract reshaped to long indicator format for education"/>
    <s v="OK"/>
    <s v="1960s"/>
    <s v="N/A"/>
    <s v="Economy"/>
  </r>
  <r>
    <s v="GM-03898"/>
    <s v="Sao Tome and Principe"/>
    <x v="2"/>
    <x v="3"/>
    <x v="0"/>
    <s v="Life expectancy at birth"/>
    <s v="Health"/>
    <s v="SDG 3: Good Health and Well-being"/>
    <n v="54.424999999999997"/>
    <s v="Years"/>
    <s v="Sao Tome and Principe|1967"/>
    <s v="Gapminder/Plotly country-year extract reshaped to long indicator format for education"/>
    <s v="OK"/>
    <s v="1960s"/>
    <s v="Low"/>
    <s v="Health"/>
  </r>
  <r>
    <s v="GM-03899"/>
    <s v="Sao Tome and Principe"/>
    <x v="2"/>
    <x v="3"/>
    <x v="1"/>
    <s v="Population, total"/>
    <s v="Demographics"/>
    <s v="SDG 11: Sustainable Cities and Communities"/>
    <n v="70787"/>
    <s v="People"/>
    <s v="Sao Tome and Principe|1967"/>
    <s v="Gapminder/Plotly country-year extract reshaped to long indicator format for education"/>
    <s v="OK"/>
    <s v="1960s"/>
    <s v="N/A"/>
    <s v="Demographics"/>
  </r>
  <r>
    <s v="GM-03900"/>
    <s v="Sao Tome and Principe"/>
    <x v="2"/>
    <x v="3"/>
    <x v="2"/>
    <s v="GDP per capita"/>
    <s v="Economy"/>
    <s v="SDG 8: Decent Work and Economic Growth"/>
    <n v="1384.8405929999999"/>
    <s v="Source-defined international dollars"/>
    <s v="Sao Tome and Principe|1967"/>
    <s v="Gapminder/Plotly country-year extract reshaped to long indicator format for education"/>
    <s v="OK"/>
    <s v="1960s"/>
    <s v="N/A"/>
    <s v="Economy"/>
  </r>
  <r>
    <s v="GM-03901"/>
    <s v="Sao Tome and Principe"/>
    <x v="2"/>
    <x v="4"/>
    <x v="0"/>
    <s v="Life expectancy at birth"/>
    <s v="Health"/>
    <s v="SDG 3: Good Health and Well-being"/>
    <n v="56.48"/>
    <s v="Years"/>
    <s v="Sao Tome and Principe|1972"/>
    <s v="Gapminder/Plotly country-year extract reshaped to long indicator format for education"/>
    <s v="OK"/>
    <s v="1970s"/>
    <s v="Medium"/>
    <s v="Health"/>
  </r>
  <r>
    <s v="GM-03902"/>
    <s v="Sao Tome and Principe"/>
    <x v="2"/>
    <x v="4"/>
    <x v="1"/>
    <s v="Population, total"/>
    <s v="Demographics"/>
    <s v="SDG 11: Sustainable Cities and Communities"/>
    <n v="76595"/>
    <s v="People"/>
    <s v="Sao Tome and Principe|1972"/>
    <s v="Gapminder/Plotly country-year extract reshaped to long indicator format for education"/>
    <s v="OK"/>
    <s v="1970s"/>
    <s v="N/A"/>
    <s v="Demographics"/>
  </r>
  <r>
    <s v="GM-03903"/>
    <s v="Sao Tome and Principe"/>
    <x v="2"/>
    <x v="4"/>
    <x v="2"/>
    <s v="GDP per capita"/>
    <s v="Economy"/>
    <s v="SDG 8: Decent Work and Economic Growth"/>
    <n v="1532.9852539999999"/>
    <s v="Source-defined international dollars"/>
    <s v="Sao Tome and Principe|1972"/>
    <s v="Gapminder/Plotly country-year extract reshaped to long indicator format for education"/>
    <s v="OK"/>
    <s v="1970s"/>
    <s v="N/A"/>
    <s v="Economy"/>
  </r>
  <r>
    <s v="GM-03904"/>
    <s v="Sao Tome and Principe"/>
    <x v="2"/>
    <x v="5"/>
    <x v="0"/>
    <s v="Life expectancy at birth"/>
    <s v="Health"/>
    <s v="SDG 3: Good Health and Well-being"/>
    <n v="58.55"/>
    <s v="Years"/>
    <s v="Sao Tome and Principe|1977"/>
    <s v="Gapminder/Plotly country-year extract reshaped to long indicator format for education"/>
    <s v="OK"/>
    <s v="1970s"/>
    <s v="Medium"/>
    <s v="Health"/>
  </r>
  <r>
    <s v="GM-03905"/>
    <s v="Sao Tome and Principe"/>
    <x v="2"/>
    <x v="5"/>
    <x v="1"/>
    <s v="Population, total"/>
    <s v="Demographics"/>
    <s v="SDG 11: Sustainable Cities and Communities"/>
    <n v="86796"/>
    <s v="People"/>
    <s v="Sao Tome and Principe|1977"/>
    <s v="Gapminder/Plotly country-year extract reshaped to long indicator format for education"/>
    <s v="OK"/>
    <s v="1970s"/>
    <s v="N/A"/>
    <s v="Demographics"/>
  </r>
  <r>
    <s v="GM-03906"/>
    <s v="Sao Tome and Principe"/>
    <x v="2"/>
    <x v="5"/>
    <x v="2"/>
    <s v="GDP per capita"/>
    <s v="Economy"/>
    <s v="SDG 8: Decent Work and Economic Growth"/>
    <n v="1737.561657"/>
    <s v="Source-defined international dollars"/>
    <s v="Sao Tome and Principe|1977"/>
    <s v="Gapminder/Plotly country-year extract reshaped to long indicator format for education"/>
    <s v="OK"/>
    <s v="1970s"/>
    <s v="N/A"/>
    <s v="Economy"/>
  </r>
  <r>
    <s v="GM-03907"/>
    <s v="Sao Tome and Principe"/>
    <x v="2"/>
    <x v="6"/>
    <x v="0"/>
    <s v="Life expectancy at birth"/>
    <s v="Health"/>
    <s v="SDG 3: Good Health and Well-being"/>
    <n v="60.350999999999999"/>
    <s v="Years"/>
    <s v="Sao Tome and Principe|1982"/>
    <s v="Gapminder/Plotly country-year extract reshaped to long indicator format for education"/>
    <s v="OK"/>
    <s v="1980s"/>
    <s v="Medium"/>
    <s v="Health"/>
  </r>
  <r>
    <s v="GM-03908"/>
    <s v="Sao Tome and Principe"/>
    <x v="2"/>
    <x v="6"/>
    <x v="1"/>
    <s v="Population, total"/>
    <s v="Demographics"/>
    <s v="SDG 11: Sustainable Cities and Communities"/>
    <n v="98593"/>
    <s v="People"/>
    <s v="Sao Tome and Principe|1982"/>
    <s v="Gapminder/Plotly country-year extract reshaped to long indicator format for education"/>
    <s v="OK"/>
    <s v="1980s"/>
    <s v="N/A"/>
    <s v="Demographics"/>
  </r>
  <r>
    <s v="GM-03909"/>
    <s v="Sao Tome and Principe"/>
    <x v="2"/>
    <x v="6"/>
    <x v="2"/>
    <s v="GDP per capita"/>
    <s v="Economy"/>
    <s v="SDG 8: Decent Work and Economic Growth"/>
    <n v="1890.2181169999999"/>
    <s v="Source-defined international dollars"/>
    <s v="Sao Tome and Principe|1982"/>
    <s v="Gapminder/Plotly country-year extract reshaped to long indicator format for education"/>
    <s v="OK"/>
    <s v="1980s"/>
    <s v="N/A"/>
    <s v="Economy"/>
  </r>
  <r>
    <s v="GM-03910"/>
    <s v="Sao Tome and Principe"/>
    <x v="2"/>
    <x v="7"/>
    <x v="0"/>
    <s v="Life expectancy at birth"/>
    <s v="Health"/>
    <s v="SDG 3: Good Health and Well-being"/>
    <n v="61.728000000000002"/>
    <s v="Years"/>
    <s v="Sao Tome and Principe|1987"/>
    <s v="Gapminder/Plotly country-year extract reshaped to long indicator format for education"/>
    <s v="OK"/>
    <s v="1980s"/>
    <s v="Medium"/>
    <s v="Health"/>
  </r>
  <r>
    <s v="GM-03911"/>
    <s v="Sao Tome and Principe"/>
    <x v="2"/>
    <x v="7"/>
    <x v="1"/>
    <s v="Population, total"/>
    <s v="Demographics"/>
    <s v="SDG 11: Sustainable Cities and Communities"/>
    <n v="110812"/>
    <s v="People"/>
    <s v="Sao Tome and Principe|1987"/>
    <s v="Gapminder/Plotly country-year extract reshaped to long indicator format for education"/>
    <s v="OK"/>
    <s v="1980s"/>
    <s v="N/A"/>
    <s v="Demographics"/>
  </r>
  <r>
    <s v="GM-03912"/>
    <s v="Sao Tome and Principe"/>
    <x v="2"/>
    <x v="7"/>
    <x v="2"/>
    <s v="GDP per capita"/>
    <s v="Economy"/>
    <s v="SDG 8: Decent Work and Economic Growth"/>
    <n v="1516.525457"/>
    <s v="Source-defined international dollars"/>
    <s v="Sao Tome and Principe|1987"/>
    <s v="Gapminder/Plotly country-year extract reshaped to long indicator format for education"/>
    <s v="OK"/>
    <s v="1980s"/>
    <s v="N/A"/>
    <s v="Economy"/>
  </r>
  <r>
    <s v="GM-03913"/>
    <s v="Sao Tome and Principe"/>
    <x v="2"/>
    <x v="8"/>
    <x v="0"/>
    <s v="Life expectancy at birth"/>
    <s v="Health"/>
    <s v="SDG 3: Good Health and Well-being"/>
    <n v="62.741999999999997"/>
    <s v="Years"/>
    <s v="Sao Tome and Principe|1992"/>
    <s v="Gapminder/Plotly country-year extract reshaped to long indicator format for education"/>
    <s v="OK"/>
    <s v="1990s"/>
    <s v="Medium"/>
    <s v="Health"/>
  </r>
  <r>
    <s v="GM-03914"/>
    <s v="Sao Tome and Principe"/>
    <x v="2"/>
    <x v="8"/>
    <x v="1"/>
    <s v="Population, total"/>
    <s v="Demographics"/>
    <s v="SDG 11: Sustainable Cities and Communities"/>
    <n v="125911"/>
    <s v="People"/>
    <s v="Sao Tome and Principe|1992"/>
    <s v="Gapminder/Plotly country-year extract reshaped to long indicator format for education"/>
    <s v="OK"/>
    <s v="1990s"/>
    <s v="N/A"/>
    <s v="Demographics"/>
  </r>
  <r>
    <s v="GM-03915"/>
    <s v="Sao Tome and Principe"/>
    <x v="2"/>
    <x v="8"/>
    <x v="2"/>
    <s v="GDP per capita"/>
    <s v="Economy"/>
    <s v="SDG 8: Decent Work and Economic Growth"/>
    <n v="1428.777814"/>
    <s v="Source-defined international dollars"/>
    <s v="Sao Tome and Principe|1992"/>
    <s v="Gapminder/Plotly country-year extract reshaped to long indicator format for education"/>
    <s v="OK"/>
    <s v="1990s"/>
    <s v="N/A"/>
    <s v="Economy"/>
  </r>
  <r>
    <s v="GM-03916"/>
    <s v="Sao Tome and Principe"/>
    <x v="2"/>
    <x v="9"/>
    <x v="0"/>
    <s v="Life expectancy at birth"/>
    <s v="Health"/>
    <s v="SDG 3: Good Health and Well-being"/>
    <n v="63.305999999999997"/>
    <s v="Years"/>
    <s v="Sao Tome and Principe|1997"/>
    <s v="Gapminder/Plotly country-year extract reshaped to long indicator format for education"/>
    <s v="OK"/>
    <s v="1990s"/>
    <s v="Medium"/>
    <s v="Health"/>
  </r>
  <r>
    <s v="GM-03917"/>
    <s v="Sao Tome and Principe"/>
    <x v="2"/>
    <x v="9"/>
    <x v="1"/>
    <s v="Population, total"/>
    <s v="Demographics"/>
    <s v="SDG 11: Sustainable Cities and Communities"/>
    <n v="145608"/>
    <s v="People"/>
    <s v="Sao Tome and Principe|1997"/>
    <s v="Gapminder/Plotly country-year extract reshaped to long indicator format for education"/>
    <s v="OK"/>
    <s v="1990s"/>
    <s v="N/A"/>
    <s v="Demographics"/>
  </r>
  <r>
    <s v="GM-03918"/>
    <s v="Sao Tome and Principe"/>
    <x v="2"/>
    <x v="9"/>
    <x v="2"/>
    <s v="GDP per capita"/>
    <s v="Economy"/>
    <s v="SDG 8: Decent Work and Economic Growth"/>
    <n v="1339.0760359999999"/>
    <s v="Source-defined international dollars"/>
    <s v="Sao Tome and Principe|1997"/>
    <s v="Gapminder/Plotly country-year extract reshaped to long indicator format for education"/>
    <s v="OK"/>
    <s v="1990s"/>
    <s v="N/A"/>
    <s v="Economy"/>
  </r>
  <r>
    <s v="GM-03919"/>
    <s v="Sao Tome and Principe"/>
    <x v="2"/>
    <x v="10"/>
    <x v="0"/>
    <s v="Life expectancy at birth"/>
    <s v="Health"/>
    <s v="SDG 3: Good Health and Well-being"/>
    <n v="64.337000000000003"/>
    <s v="Years"/>
    <s v="Sao Tome and Principe|2002"/>
    <s v="Gapminder/Plotly country-year extract reshaped to long indicator format for education"/>
    <s v="OK"/>
    <s v="2000s"/>
    <s v="Medium"/>
    <s v="Health"/>
  </r>
  <r>
    <s v="GM-03920"/>
    <s v="Sao Tome and Principe"/>
    <x v="2"/>
    <x v="10"/>
    <x v="1"/>
    <s v="Population, total"/>
    <s v="Demographics"/>
    <s v="SDG 11: Sustainable Cities and Communities"/>
    <n v="170372"/>
    <s v="People"/>
    <s v="Sao Tome and Principe|2002"/>
    <s v="Gapminder/Plotly country-year extract reshaped to long indicator format for education"/>
    <s v="OK"/>
    <s v="2000s"/>
    <s v="N/A"/>
    <s v="Demographics"/>
  </r>
  <r>
    <s v="GM-03921"/>
    <s v="Sao Tome and Principe"/>
    <x v="2"/>
    <x v="10"/>
    <x v="2"/>
    <s v="GDP per capita"/>
    <s v="Economy"/>
    <s v="SDG 8: Decent Work and Economic Growth"/>
    <n v="1353.09239"/>
    <s v="Source-defined international dollars"/>
    <s v="Sao Tome and Principe|2002"/>
    <s v="Gapminder/Plotly country-year extract reshaped to long indicator format for education"/>
    <s v="OK"/>
    <s v="2000s"/>
    <s v="N/A"/>
    <s v="Economy"/>
  </r>
  <r>
    <s v="GM-03922"/>
    <s v="Sao Tome and Principe"/>
    <x v="2"/>
    <x v="11"/>
    <x v="0"/>
    <s v="Life expectancy at birth"/>
    <s v="Health"/>
    <s v="SDG 3: Good Health and Well-being"/>
    <n v="65.528000000000006"/>
    <s v="Years"/>
    <s v="Sao Tome and Principe|2007"/>
    <s v="Gapminder/Plotly country-year extract reshaped to long indicator format for education"/>
    <s v="OK"/>
    <s v="2000s"/>
    <s v="Medium"/>
    <s v="Health"/>
  </r>
  <r>
    <s v="GM-03923"/>
    <s v="Sao Tome and Principe"/>
    <x v="2"/>
    <x v="11"/>
    <x v="1"/>
    <s v="Population, total"/>
    <s v="Demographics"/>
    <s v="SDG 11: Sustainable Cities and Communities"/>
    <n v="199579"/>
    <s v="People"/>
    <s v="Sao Tome and Principe|2007"/>
    <s v="Gapminder/Plotly country-year extract reshaped to long indicator format for education"/>
    <s v="OK"/>
    <s v="2000s"/>
    <s v="N/A"/>
    <s v="Demographics"/>
  </r>
  <r>
    <s v="GM-03924"/>
    <s v="Sao Tome and Principe"/>
    <x v="2"/>
    <x v="11"/>
    <x v="2"/>
    <s v="GDP per capita"/>
    <s v="Economy"/>
    <s v="SDG 8: Decent Work and Economic Growth"/>
    <n v="1598.4350890000001"/>
    <s v="Source-defined international dollars"/>
    <s v="Sao Tome and Principe|2007"/>
    <s v="Gapminder/Plotly country-year extract reshaped to long indicator format for education"/>
    <s v="OK"/>
    <s v="2000s"/>
    <s v="N/A"/>
    <s v="Economy"/>
  </r>
  <r>
    <s v="GM-03925"/>
    <s v="Saudi Arabia"/>
    <x v="0"/>
    <x v="0"/>
    <x v="0"/>
    <s v="Life expectancy at birth"/>
    <s v="Health"/>
    <s v="SDG 3: Good Health and Well-being"/>
    <n v="39.875"/>
    <s v="Years"/>
    <s v="Saudi Arabia|1952"/>
    <s v="Gapminder/Plotly country-year extract reshaped to long indicator format for education"/>
    <s v="OK"/>
    <s v="1950s"/>
    <s v="Low"/>
    <s v="Health"/>
  </r>
  <r>
    <s v="GM-03926"/>
    <s v="Saudi Arabia"/>
    <x v="0"/>
    <x v="0"/>
    <x v="1"/>
    <s v="Population, total"/>
    <s v="Demographics"/>
    <s v="SDG 11: Sustainable Cities and Communities"/>
    <n v="4005677"/>
    <s v="People"/>
    <s v="Saudi Arabia|1952"/>
    <s v="Gapminder/Plotly country-year extract reshaped to long indicator format for education"/>
    <s v="OK"/>
    <s v="1950s"/>
    <s v="N/A"/>
    <s v="Demographics"/>
  </r>
  <r>
    <s v="GM-03927"/>
    <s v="Saudi Arabia"/>
    <x v="0"/>
    <x v="0"/>
    <x v="2"/>
    <s v="GDP per capita"/>
    <s v="Economy"/>
    <s v="SDG 8: Decent Work and Economic Growth"/>
    <n v="6459.5548230000004"/>
    <s v="Source-defined international dollars"/>
    <s v="Saudi Arabia|1952"/>
    <s v="Gapminder/Plotly country-year extract reshaped to long indicator format for education"/>
    <s v="OK"/>
    <s v="1950s"/>
    <s v="N/A"/>
    <s v="Economy"/>
  </r>
  <r>
    <s v="GM-03928"/>
    <s v="Saudi Arabia"/>
    <x v="0"/>
    <x v="1"/>
    <x v="0"/>
    <s v="Life expectancy at birth"/>
    <s v="Health"/>
    <s v="SDG 3: Good Health and Well-being"/>
    <n v="42.868000000000002"/>
    <s v="Years"/>
    <s v="Saudi Arabia|1957"/>
    <s v="Gapminder/Plotly country-year extract reshaped to long indicator format for education"/>
    <s v="OK"/>
    <s v="1950s"/>
    <s v="Low"/>
    <s v="Health"/>
  </r>
  <r>
    <s v="GM-03929"/>
    <s v="Saudi Arabia"/>
    <x v="0"/>
    <x v="1"/>
    <x v="1"/>
    <s v="Population, total"/>
    <s v="Demographics"/>
    <s v="SDG 11: Sustainable Cities and Communities"/>
    <n v="4419650"/>
    <s v="People"/>
    <s v="Saudi Arabia|1957"/>
    <s v="Gapminder/Plotly country-year extract reshaped to long indicator format for education"/>
    <s v="OK"/>
    <s v="1950s"/>
    <s v="N/A"/>
    <s v="Demographics"/>
  </r>
  <r>
    <s v="GM-03930"/>
    <s v="Saudi Arabia"/>
    <x v="0"/>
    <x v="1"/>
    <x v="2"/>
    <s v="GDP per capita"/>
    <s v="Economy"/>
    <s v="SDG 8: Decent Work and Economic Growth"/>
    <n v="8157.5912479999997"/>
    <s v="Source-defined international dollars"/>
    <s v="Saudi Arabia|1957"/>
    <s v="Gapminder/Plotly country-year extract reshaped to long indicator format for education"/>
    <s v="OK"/>
    <s v="1950s"/>
    <s v="N/A"/>
    <s v="Economy"/>
  </r>
  <r>
    <s v="GM-03931"/>
    <s v="Saudi Arabia"/>
    <x v="0"/>
    <x v="2"/>
    <x v="0"/>
    <s v="Life expectancy at birth"/>
    <s v="Health"/>
    <s v="SDG 3: Good Health and Well-being"/>
    <n v="45.914000000000001"/>
    <s v="Years"/>
    <s v="Saudi Arabia|1962"/>
    <s v="Gapminder/Plotly country-year extract reshaped to long indicator format for education"/>
    <s v="OK"/>
    <s v="1960s"/>
    <s v="Low"/>
    <s v="Health"/>
  </r>
  <r>
    <s v="GM-03932"/>
    <s v="Saudi Arabia"/>
    <x v="0"/>
    <x v="2"/>
    <x v="1"/>
    <s v="Population, total"/>
    <s v="Demographics"/>
    <s v="SDG 11: Sustainable Cities and Communities"/>
    <n v="4943029"/>
    <s v="People"/>
    <s v="Saudi Arabia|1962"/>
    <s v="Gapminder/Plotly country-year extract reshaped to long indicator format for education"/>
    <s v="OK"/>
    <s v="1960s"/>
    <s v="N/A"/>
    <s v="Demographics"/>
  </r>
  <r>
    <s v="GM-03933"/>
    <s v="Saudi Arabia"/>
    <x v="0"/>
    <x v="2"/>
    <x v="2"/>
    <s v="GDP per capita"/>
    <s v="Economy"/>
    <s v="SDG 8: Decent Work and Economic Growth"/>
    <n v="11626.419749999999"/>
    <s v="Source-defined international dollars"/>
    <s v="Saudi Arabia|1962"/>
    <s v="Gapminder/Plotly country-year extract reshaped to long indicator format for education"/>
    <s v="OK"/>
    <s v="1960s"/>
    <s v="N/A"/>
    <s v="Economy"/>
  </r>
  <r>
    <s v="GM-03934"/>
    <s v="Saudi Arabia"/>
    <x v="0"/>
    <x v="3"/>
    <x v="0"/>
    <s v="Life expectancy at birth"/>
    <s v="Health"/>
    <s v="SDG 3: Good Health and Well-being"/>
    <n v="49.901000000000003"/>
    <s v="Years"/>
    <s v="Saudi Arabia|1967"/>
    <s v="Gapminder/Plotly country-year extract reshaped to long indicator format for education"/>
    <s v="OK"/>
    <s v="1960s"/>
    <s v="Low"/>
    <s v="Health"/>
  </r>
  <r>
    <s v="GM-03935"/>
    <s v="Saudi Arabia"/>
    <x v="0"/>
    <x v="3"/>
    <x v="1"/>
    <s v="Population, total"/>
    <s v="Demographics"/>
    <s v="SDG 11: Sustainable Cities and Communities"/>
    <n v="5618198"/>
    <s v="People"/>
    <s v="Saudi Arabia|1967"/>
    <s v="Gapminder/Plotly country-year extract reshaped to long indicator format for education"/>
    <s v="OK"/>
    <s v="1960s"/>
    <s v="N/A"/>
    <s v="Demographics"/>
  </r>
  <r>
    <s v="GM-03936"/>
    <s v="Saudi Arabia"/>
    <x v="0"/>
    <x v="3"/>
    <x v="2"/>
    <s v="GDP per capita"/>
    <s v="Economy"/>
    <s v="SDG 8: Decent Work and Economic Growth"/>
    <n v="16903.048859999999"/>
    <s v="Source-defined international dollars"/>
    <s v="Saudi Arabia|1967"/>
    <s v="Gapminder/Plotly country-year extract reshaped to long indicator format for education"/>
    <s v="OK"/>
    <s v="1960s"/>
    <s v="N/A"/>
    <s v="Economy"/>
  </r>
  <r>
    <s v="GM-03937"/>
    <s v="Saudi Arabia"/>
    <x v="0"/>
    <x v="4"/>
    <x v="0"/>
    <s v="Life expectancy at birth"/>
    <s v="Health"/>
    <s v="SDG 3: Good Health and Well-being"/>
    <n v="53.886000000000003"/>
    <s v="Years"/>
    <s v="Saudi Arabia|1972"/>
    <s v="Gapminder/Plotly country-year extract reshaped to long indicator format for education"/>
    <s v="OK"/>
    <s v="1970s"/>
    <s v="Low"/>
    <s v="Health"/>
  </r>
  <r>
    <s v="GM-03938"/>
    <s v="Saudi Arabia"/>
    <x v="0"/>
    <x v="4"/>
    <x v="1"/>
    <s v="Population, total"/>
    <s v="Demographics"/>
    <s v="SDG 11: Sustainable Cities and Communities"/>
    <n v="6472756"/>
    <s v="People"/>
    <s v="Saudi Arabia|1972"/>
    <s v="Gapminder/Plotly country-year extract reshaped to long indicator format for education"/>
    <s v="OK"/>
    <s v="1970s"/>
    <s v="N/A"/>
    <s v="Demographics"/>
  </r>
  <r>
    <s v="GM-03939"/>
    <s v="Saudi Arabia"/>
    <x v="0"/>
    <x v="4"/>
    <x v="2"/>
    <s v="GDP per capita"/>
    <s v="Economy"/>
    <s v="SDG 8: Decent Work and Economic Growth"/>
    <n v="24837.428650000002"/>
    <s v="Source-defined international dollars"/>
    <s v="Saudi Arabia|1972"/>
    <s v="Gapminder/Plotly country-year extract reshaped to long indicator format for education"/>
    <s v="OK"/>
    <s v="1970s"/>
    <s v="N/A"/>
    <s v="Economy"/>
  </r>
  <r>
    <s v="GM-03940"/>
    <s v="Saudi Arabia"/>
    <x v="0"/>
    <x v="5"/>
    <x v="0"/>
    <s v="Life expectancy at birth"/>
    <s v="Health"/>
    <s v="SDG 3: Good Health and Well-being"/>
    <n v="58.69"/>
    <s v="Years"/>
    <s v="Saudi Arabia|1977"/>
    <s v="Gapminder/Plotly country-year extract reshaped to long indicator format for education"/>
    <s v="OK"/>
    <s v="1970s"/>
    <s v="Medium"/>
    <s v="Health"/>
  </r>
  <r>
    <s v="GM-03941"/>
    <s v="Saudi Arabia"/>
    <x v="0"/>
    <x v="5"/>
    <x v="1"/>
    <s v="Population, total"/>
    <s v="Demographics"/>
    <s v="SDG 11: Sustainable Cities and Communities"/>
    <n v="8128505"/>
    <s v="People"/>
    <s v="Saudi Arabia|1977"/>
    <s v="Gapminder/Plotly country-year extract reshaped to long indicator format for education"/>
    <s v="OK"/>
    <s v="1970s"/>
    <s v="N/A"/>
    <s v="Demographics"/>
  </r>
  <r>
    <s v="GM-03942"/>
    <s v="Saudi Arabia"/>
    <x v="0"/>
    <x v="5"/>
    <x v="2"/>
    <s v="GDP per capita"/>
    <s v="Economy"/>
    <s v="SDG 8: Decent Work and Economic Growth"/>
    <n v="34167.762600000002"/>
    <s v="Source-defined international dollars"/>
    <s v="Saudi Arabia|1977"/>
    <s v="Gapminder/Plotly country-year extract reshaped to long indicator format for education"/>
    <s v="OK"/>
    <s v="1970s"/>
    <s v="N/A"/>
    <s v="Economy"/>
  </r>
  <r>
    <s v="GM-03943"/>
    <s v="Saudi Arabia"/>
    <x v="0"/>
    <x v="6"/>
    <x v="0"/>
    <s v="Life expectancy at birth"/>
    <s v="Health"/>
    <s v="SDG 3: Good Health and Well-being"/>
    <n v="63.012"/>
    <s v="Years"/>
    <s v="Saudi Arabia|1982"/>
    <s v="Gapminder/Plotly country-year extract reshaped to long indicator format for education"/>
    <s v="OK"/>
    <s v="1980s"/>
    <s v="Medium"/>
    <s v="Health"/>
  </r>
  <r>
    <s v="GM-03944"/>
    <s v="Saudi Arabia"/>
    <x v="0"/>
    <x v="6"/>
    <x v="1"/>
    <s v="Population, total"/>
    <s v="Demographics"/>
    <s v="SDG 11: Sustainable Cities and Communities"/>
    <n v="11254672"/>
    <s v="People"/>
    <s v="Saudi Arabia|1982"/>
    <s v="Gapminder/Plotly country-year extract reshaped to long indicator format for education"/>
    <s v="OK"/>
    <s v="1980s"/>
    <s v="N/A"/>
    <s v="Demographics"/>
  </r>
  <r>
    <s v="GM-03945"/>
    <s v="Saudi Arabia"/>
    <x v="0"/>
    <x v="6"/>
    <x v="2"/>
    <s v="GDP per capita"/>
    <s v="Economy"/>
    <s v="SDG 8: Decent Work and Economic Growth"/>
    <n v="33693.17525"/>
    <s v="Source-defined international dollars"/>
    <s v="Saudi Arabia|1982"/>
    <s v="Gapminder/Plotly country-year extract reshaped to long indicator format for education"/>
    <s v="OK"/>
    <s v="1980s"/>
    <s v="N/A"/>
    <s v="Economy"/>
  </r>
  <r>
    <s v="GM-03946"/>
    <s v="Saudi Arabia"/>
    <x v="0"/>
    <x v="7"/>
    <x v="0"/>
    <s v="Life expectancy at birth"/>
    <s v="Health"/>
    <s v="SDG 3: Good Health and Well-being"/>
    <n v="66.295000000000002"/>
    <s v="Years"/>
    <s v="Saudi Arabia|1987"/>
    <s v="Gapminder/Plotly country-year extract reshaped to long indicator format for education"/>
    <s v="OK"/>
    <s v="1980s"/>
    <s v="Medium"/>
    <s v="Health"/>
  </r>
  <r>
    <s v="GM-03947"/>
    <s v="Saudi Arabia"/>
    <x v="0"/>
    <x v="7"/>
    <x v="1"/>
    <s v="Population, total"/>
    <s v="Demographics"/>
    <s v="SDG 11: Sustainable Cities and Communities"/>
    <n v="14619745"/>
    <s v="People"/>
    <s v="Saudi Arabia|1987"/>
    <s v="Gapminder/Plotly country-year extract reshaped to long indicator format for education"/>
    <s v="OK"/>
    <s v="1980s"/>
    <s v="N/A"/>
    <s v="Demographics"/>
  </r>
  <r>
    <s v="GM-03948"/>
    <s v="Saudi Arabia"/>
    <x v="0"/>
    <x v="7"/>
    <x v="2"/>
    <s v="GDP per capita"/>
    <s v="Economy"/>
    <s v="SDG 8: Decent Work and Economic Growth"/>
    <n v="21198.26136"/>
    <s v="Source-defined international dollars"/>
    <s v="Saudi Arabia|1987"/>
    <s v="Gapminder/Plotly country-year extract reshaped to long indicator format for education"/>
    <s v="OK"/>
    <s v="1980s"/>
    <s v="N/A"/>
    <s v="Economy"/>
  </r>
  <r>
    <s v="GM-03949"/>
    <s v="Saudi Arabia"/>
    <x v="0"/>
    <x v="8"/>
    <x v="0"/>
    <s v="Life expectancy at birth"/>
    <s v="Health"/>
    <s v="SDG 3: Good Health and Well-being"/>
    <n v="68.768000000000001"/>
    <s v="Years"/>
    <s v="Saudi Arabia|1992"/>
    <s v="Gapminder/Plotly country-year extract reshaped to long indicator format for education"/>
    <s v="OK"/>
    <s v="1990s"/>
    <s v="Medium"/>
    <s v="Health"/>
  </r>
  <r>
    <s v="GM-03950"/>
    <s v="Saudi Arabia"/>
    <x v="0"/>
    <x v="8"/>
    <x v="1"/>
    <s v="Population, total"/>
    <s v="Demographics"/>
    <s v="SDG 11: Sustainable Cities and Communities"/>
    <n v="16945857"/>
    <s v="People"/>
    <s v="Saudi Arabia|1992"/>
    <s v="Gapminder/Plotly country-year extract reshaped to long indicator format for education"/>
    <s v="OK"/>
    <s v="1990s"/>
    <s v="N/A"/>
    <s v="Demographics"/>
  </r>
  <r>
    <s v="GM-03951"/>
    <s v="Saudi Arabia"/>
    <x v="0"/>
    <x v="8"/>
    <x v="2"/>
    <s v="GDP per capita"/>
    <s v="Economy"/>
    <s v="SDG 8: Decent Work and Economic Growth"/>
    <n v="24841.617770000001"/>
    <s v="Source-defined international dollars"/>
    <s v="Saudi Arabia|1992"/>
    <s v="Gapminder/Plotly country-year extract reshaped to long indicator format for education"/>
    <s v="OK"/>
    <s v="1990s"/>
    <s v="N/A"/>
    <s v="Economy"/>
  </r>
  <r>
    <s v="GM-03952"/>
    <s v="Saudi Arabia"/>
    <x v="0"/>
    <x v="9"/>
    <x v="0"/>
    <s v="Life expectancy at birth"/>
    <s v="Health"/>
    <s v="SDG 3: Good Health and Well-being"/>
    <n v="70.533000000000001"/>
    <s v="Years"/>
    <s v="Saudi Arabia|1997"/>
    <s v="Gapminder/Plotly country-year extract reshaped to long indicator format for education"/>
    <s v="OK"/>
    <s v="1990s"/>
    <s v="High"/>
    <s v="Health"/>
  </r>
  <r>
    <s v="GM-03953"/>
    <s v="Saudi Arabia"/>
    <x v="0"/>
    <x v="9"/>
    <x v="1"/>
    <s v="Population, total"/>
    <s v="Demographics"/>
    <s v="SDG 11: Sustainable Cities and Communities"/>
    <n v="21229759"/>
    <s v="People"/>
    <s v="Saudi Arabia|1997"/>
    <s v="Gapminder/Plotly country-year extract reshaped to long indicator format for education"/>
    <s v="OK"/>
    <s v="1990s"/>
    <s v="N/A"/>
    <s v="Demographics"/>
  </r>
  <r>
    <s v="GM-03954"/>
    <s v="Saudi Arabia"/>
    <x v="0"/>
    <x v="9"/>
    <x v="2"/>
    <s v="GDP per capita"/>
    <s v="Economy"/>
    <s v="SDG 8: Decent Work and Economic Growth"/>
    <n v="20586.690190000001"/>
    <s v="Source-defined international dollars"/>
    <s v="Saudi Arabia|1997"/>
    <s v="Gapminder/Plotly country-year extract reshaped to long indicator format for education"/>
    <s v="OK"/>
    <s v="1990s"/>
    <s v="N/A"/>
    <s v="Economy"/>
  </r>
  <r>
    <s v="GM-03955"/>
    <s v="Saudi Arabia"/>
    <x v="0"/>
    <x v="10"/>
    <x v="0"/>
    <s v="Life expectancy at birth"/>
    <s v="Health"/>
    <s v="SDG 3: Good Health and Well-being"/>
    <n v="71.626000000000005"/>
    <s v="Years"/>
    <s v="Saudi Arabia|2002"/>
    <s v="Gapminder/Plotly country-year extract reshaped to long indicator format for education"/>
    <s v="OK"/>
    <s v="2000s"/>
    <s v="High"/>
    <s v="Health"/>
  </r>
  <r>
    <s v="GM-03956"/>
    <s v="Saudi Arabia"/>
    <x v="0"/>
    <x v="10"/>
    <x v="1"/>
    <s v="Population, total"/>
    <s v="Demographics"/>
    <s v="SDG 11: Sustainable Cities and Communities"/>
    <n v="24501530"/>
    <s v="People"/>
    <s v="Saudi Arabia|2002"/>
    <s v="Gapminder/Plotly country-year extract reshaped to long indicator format for education"/>
    <s v="OK"/>
    <s v="2000s"/>
    <s v="N/A"/>
    <s v="Demographics"/>
  </r>
  <r>
    <s v="GM-03957"/>
    <s v="Saudi Arabia"/>
    <x v="0"/>
    <x v="10"/>
    <x v="2"/>
    <s v="GDP per capita"/>
    <s v="Economy"/>
    <s v="SDG 8: Decent Work and Economic Growth"/>
    <n v="19014.54118"/>
    <s v="Source-defined international dollars"/>
    <s v="Saudi Arabia|2002"/>
    <s v="Gapminder/Plotly country-year extract reshaped to long indicator format for education"/>
    <s v="OK"/>
    <s v="2000s"/>
    <s v="N/A"/>
    <s v="Economy"/>
  </r>
  <r>
    <s v="GM-03958"/>
    <s v="Saudi Arabia"/>
    <x v="0"/>
    <x v="11"/>
    <x v="0"/>
    <s v="Life expectancy at birth"/>
    <s v="Health"/>
    <s v="SDG 3: Good Health and Well-being"/>
    <n v="72.777000000000001"/>
    <s v="Years"/>
    <s v="Saudi Arabia|2007"/>
    <s v="Gapminder/Plotly country-year extract reshaped to long indicator format for education"/>
    <s v="OK"/>
    <s v="2000s"/>
    <s v="High"/>
    <s v="Health"/>
  </r>
  <r>
    <s v="GM-03959"/>
    <s v="Saudi Arabia"/>
    <x v="0"/>
    <x v="11"/>
    <x v="1"/>
    <s v="Population, total"/>
    <s v="Demographics"/>
    <s v="SDG 11: Sustainable Cities and Communities"/>
    <n v="27601038"/>
    <s v="People"/>
    <s v="Saudi Arabia|2007"/>
    <s v="Gapminder/Plotly country-year extract reshaped to long indicator format for education"/>
    <s v="OK"/>
    <s v="2000s"/>
    <s v="N/A"/>
    <s v="Demographics"/>
  </r>
  <r>
    <s v="GM-03960"/>
    <s v="Saudi Arabia"/>
    <x v="0"/>
    <x v="11"/>
    <x v="2"/>
    <s v="GDP per capita"/>
    <s v="Economy"/>
    <s v="SDG 8: Decent Work and Economic Growth"/>
    <n v="21654.83194"/>
    <s v="Source-defined international dollars"/>
    <s v="Saudi Arabia|2007"/>
    <s v="Gapminder/Plotly country-year extract reshaped to long indicator format for education"/>
    <s v="OK"/>
    <s v="2000s"/>
    <s v="N/A"/>
    <s v="Economy"/>
  </r>
  <r>
    <s v="GM-03961"/>
    <s v="Senegal"/>
    <x v="2"/>
    <x v="0"/>
    <x v="0"/>
    <s v="Life expectancy at birth"/>
    <s v="Health"/>
    <s v="SDG 3: Good Health and Well-being"/>
    <n v="37.277999999999999"/>
    <s v="Years"/>
    <s v="Senegal|1952"/>
    <s v="Gapminder/Plotly country-year extract reshaped to long indicator format for education"/>
    <s v="OK"/>
    <s v="1950s"/>
    <s v="Low"/>
    <s v="Health"/>
  </r>
  <r>
    <s v="GM-03962"/>
    <s v="Senegal"/>
    <x v="2"/>
    <x v="0"/>
    <x v="1"/>
    <s v="Population, total"/>
    <s v="Demographics"/>
    <s v="SDG 11: Sustainable Cities and Communities"/>
    <n v="2755589"/>
    <s v="People"/>
    <s v="Senegal|1952"/>
    <s v="Gapminder/Plotly country-year extract reshaped to long indicator format for education"/>
    <s v="OK"/>
    <s v="1950s"/>
    <s v="N/A"/>
    <s v="Demographics"/>
  </r>
  <r>
    <s v="GM-03963"/>
    <s v="Senegal"/>
    <x v="2"/>
    <x v="0"/>
    <x v="2"/>
    <s v="GDP per capita"/>
    <s v="Economy"/>
    <s v="SDG 8: Decent Work and Economic Growth"/>
    <n v="1450.3569829999999"/>
    <s v="Source-defined international dollars"/>
    <s v="Senegal|1952"/>
    <s v="Gapminder/Plotly country-year extract reshaped to long indicator format for education"/>
    <s v="OK"/>
    <s v="1950s"/>
    <s v="N/A"/>
    <s v="Economy"/>
  </r>
  <r>
    <s v="GM-03964"/>
    <s v="Senegal"/>
    <x v="2"/>
    <x v="1"/>
    <x v="0"/>
    <s v="Life expectancy at birth"/>
    <s v="Health"/>
    <s v="SDG 3: Good Health and Well-being"/>
    <n v="39.329000000000001"/>
    <s v="Years"/>
    <s v="Senegal|1957"/>
    <s v="Gapminder/Plotly country-year extract reshaped to long indicator format for education"/>
    <s v="OK"/>
    <s v="1950s"/>
    <s v="Low"/>
    <s v="Health"/>
  </r>
  <r>
    <s v="GM-03965"/>
    <s v="Senegal"/>
    <x v="2"/>
    <x v="1"/>
    <x v="1"/>
    <s v="Population, total"/>
    <s v="Demographics"/>
    <s v="SDG 11: Sustainable Cities and Communities"/>
    <n v="3054547"/>
    <s v="People"/>
    <s v="Senegal|1957"/>
    <s v="Gapminder/Plotly country-year extract reshaped to long indicator format for education"/>
    <s v="OK"/>
    <s v="1950s"/>
    <s v="N/A"/>
    <s v="Demographics"/>
  </r>
  <r>
    <s v="GM-03966"/>
    <s v="Senegal"/>
    <x v="2"/>
    <x v="1"/>
    <x v="2"/>
    <s v="GDP per capita"/>
    <s v="Economy"/>
    <s v="SDG 8: Decent Work and Economic Growth"/>
    <n v="1567.653006"/>
    <s v="Source-defined international dollars"/>
    <s v="Senegal|1957"/>
    <s v="Gapminder/Plotly country-year extract reshaped to long indicator format for education"/>
    <s v="OK"/>
    <s v="1950s"/>
    <s v="N/A"/>
    <s v="Economy"/>
  </r>
  <r>
    <s v="GM-03967"/>
    <s v="Senegal"/>
    <x v="2"/>
    <x v="2"/>
    <x v="0"/>
    <s v="Life expectancy at birth"/>
    <s v="Health"/>
    <s v="SDG 3: Good Health and Well-being"/>
    <n v="41.453999999999901"/>
    <s v="Years"/>
    <s v="Senegal|1962"/>
    <s v="Gapminder/Plotly country-year extract reshaped to long indicator format for education"/>
    <s v="OK"/>
    <s v="1960s"/>
    <s v="Low"/>
    <s v="Health"/>
  </r>
  <r>
    <s v="GM-03968"/>
    <s v="Senegal"/>
    <x v="2"/>
    <x v="2"/>
    <x v="1"/>
    <s v="Population, total"/>
    <s v="Demographics"/>
    <s v="SDG 11: Sustainable Cities and Communities"/>
    <n v="3430243"/>
    <s v="People"/>
    <s v="Senegal|1962"/>
    <s v="Gapminder/Plotly country-year extract reshaped to long indicator format for education"/>
    <s v="OK"/>
    <s v="1960s"/>
    <s v="N/A"/>
    <s v="Demographics"/>
  </r>
  <r>
    <s v="GM-03969"/>
    <s v="Senegal"/>
    <x v="2"/>
    <x v="2"/>
    <x v="2"/>
    <s v="GDP per capita"/>
    <s v="Economy"/>
    <s v="SDG 8: Decent Work and Economic Growth"/>
    <n v="1654.9887229999999"/>
    <s v="Source-defined international dollars"/>
    <s v="Senegal|1962"/>
    <s v="Gapminder/Plotly country-year extract reshaped to long indicator format for education"/>
    <s v="OK"/>
    <s v="1960s"/>
    <s v="N/A"/>
    <s v="Economy"/>
  </r>
  <r>
    <s v="GM-03970"/>
    <s v="Senegal"/>
    <x v="2"/>
    <x v="3"/>
    <x v="0"/>
    <s v="Life expectancy at birth"/>
    <s v="Health"/>
    <s v="SDG 3: Good Health and Well-being"/>
    <n v="43.563000000000002"/>
    <s v="Years"/>
    <s v="Senegal|1967"/>
    <s v="Gapminder/Plotly country-year extract reshaped to long indicator format for education"/>
    <s v="OK"/>
    <s v="1960s"/>
    <s v="Low"/>
    <s v="Health"/>
  </r>
  <r>
    <s v="GM-03971"/>
    <s v="Senegal"/>
    <x v="2"/>
    <x v="3"/>
    <x v="1"/>
    <s v="Population, total"/>
    <s v="Demographics"/>
    <s v="SDG 11: Sustainable Cities and Communities"/>
    <n v="3965841"/>
    <s v="People"/>
    <s v="Senegal|1967"/>
    <s v="Gapminder/Plotly country-year extract reshaped to long indicator format for education"/>
    <s v="OK"/>
    <s v="1960s"/>
    <s v="N/A"/>
    <s v="Demographics"/>
  </r>
  <r>
    <s v="GM-03972"/>
    <s v="Senegal"/>
    <x v="2"/>
    <x v="3"/>
    <x v="2"/>
    <s v="GDP per capita"/>
    <s v="Economy"/>
    <s v="SDG 8: Decent Work and Economic Growth"/>
    <n v="1612.404632"/>
    <s v="Source-defined international dollars"/>
    <s v="Senegal|1967"/>
    <s v="Gapminder/Plotly country-year extract reshaped to long indicator format for education"/>
    <s v="OK"/>
    <s v="1960s"/>
    <s v="N/A"/>
    <s v="Economy"/>
  </r>
  <r>
    <s v="GM-03973"/>
    <s v="Senegal"/>
    <x v="2"/>
    <x v="4"/>
    <x v="0"/>
    <s v="Life expectancy at birth"/>
    <s v="Health"/>
    <s v="SDG 3: Good Health and Well-being"/>
    <n v="45.814999999999998"/>
    <s v="Years"/>
    <s v="Senegal|1972"/>
    <s v="Gapminder/Plotly country-year extract reshaped to long indicator format for education"/>
    <s v="OK"/>
    <s v="1970s"/>
    <s v="Low"/>
    <s v="Health"/>
  </r>
  <r>
    <s v="GM-03974"/>
    <s v="Senegal"/>
    <x v="2"/>
    <x v="4"/>
    <x v="1"/>
    <s v="Population, total"/>
    <s v="Demographics"/>
    <s v="SDG 11: Sustainable Cities and Communities"/>
    <n v="4588696"/>
    <s v="People"/>
    <s v="Senegal|1972"/>
    <s v="Gapminder/Plotly country-year extract reshaped to long indicator format for education"/>
    <s v="OK"/>
    <s v="1970s"/>
    <s v="N/A"/>
    <s v="Demographics"/>
  </r>
  <r>
    <s v="GM-03975"/>
    <s v="Senegal"/>
    <x v="2"/>
    <x v="4"/>
    <x v="2"/>
    <s v="GDP per capita"/>
    <s v="Economy"/>
    <s v="SDG 8: Decent Work and Economic Growth"/>
    <n v="1597.7120560000001"/>
    <s v="Source-defined international dollars"/>
    <s v="Senegal|1972"/>
    <s v="Gapminder/Plotly country-year extract reshaped to long indicator format for education"/>
    <s v="OK"/>
    <s v="1970s"/>
    <s v="N/A"/>
    <s v="Economy"/>
  </r>
  <r>
    <s v="GM-03976"/>
    <s v="Senegal"/>
    <x v="2"/>
    <x v="5"/>
    <x v="0"/>
    <s v="Life expectancy at birth"/>
    <s v="Health"/>
    <s v="SDG 3: Good Health and Well-being"/>
    <n v="48.878999999999998"/>
    <s v="Years"/>
    <s v="Senegal|1977"/>
    <s v="Gapminder/Plotly country-year extract reshaped to long indicator format for education"/>
    <s v="OK"/>
    <s v="1970s"/>
    <s v="Low"/>
    <s v="Health"/>
  </r>
  <r>
    <s v="GM-03977"/>
    <s v="Senegal"/>
    <x v="2"/>
    <x v="5"/>
    <x v="1"/>
    <s v="Population, total"/>
    <s v="Demographics"/>
    <s v="SDG 11: Sustainable Cities and Communities"/>
    <n v="5260855"/>
    <s v="People"/>
    <s v="Senegal|1977"/>
    <s v="Gapminder/Plotly country-year extract reshaped to long indicator format for education"/>
    <s v="OK"/>
    <s v="1970s"/>
    <s v="N/A"/>
    <s v="Demographics"/>
  </r>
  <r>
    <s v="GM-03978"/>
    <s v="Senegal"/>
    <x v="2"/>
    <x v="5"/>
    <x v="2"/>
    <s v="GDP per capita"/>
    <s v="Economy"/>
    <s v="SDG 8: Decent Work and Economic Growth"/>
    <n v="1561.7691159999999"/>
    <s v="Source-defined international dollars"/>
    <s v="Senegal|1977"/>
    <s v="Gapminder/Plotly country-year extract reshaped to long indicator format for education"/>
    <s v="OK"/>
    <s v="1970s"/>
    <s v="N/A"/>
    <s v="Economy"/>
  </r>
  <r>
    <s v="GM-03979"/>
    <s v="Senegal"/>
    <x v="2"/>
    <x v="6"/>
    <x v="0"/>
    <s v="Life expectancy at birth"/>
    <s v="Health"/>
    <s v="SDG 3: Good Health and Well-being"/>
    <n v="52.378999999999998"/>
    <s v="Years"/>
    <s v="Senegal|1982"/>
    <s v="Gapminder/Plotly country-year extract reshaped to long indicator format for education"/>
    <s v="OK"/>
    <s v="1980s"/>
    <s v="Low"/>
    <s v="Health"/>
  </r>
  <r>
    <s v="GM-03980"/>
    <s v="Senegal"/>
    <x v="2"/>
    <x v="6"/>
    <x v="1"/>
    <s v="Population, total"/>
    <s v="Demographics"/>
    <s v="SDG 11: Sustainable Cities and Communities"/>
    <n v="6147783"/>
    <s v="People"/>
    <s v="Senegal|1982"/>
    <s v="Gapminder/Plotly country-year extract reshaped to long indicator format for education"/>
    <s v="OK"/>
    <s v="1980s"/>
    <s v="N/A"/>
    <s v="Demographics"/>
  </r>
  <r>
    <s v="GM-03981"/>
    <s v="Senegal"/>
    <x v="2"/>
    <x v="6"/>
    <x v="2"/>
    <s v="GDP per capita"/>
    <s v="Economy"/>
    <s v="SDG 8: Decent Work and Economic Growth"/>
    <n v="1518.4799840000001"/>
    <s v="Source-defined international dollars"/>
    <s v="Senegal|1982"/>
    <s v="Gapminder/Plotly country-year extract reshaped to long indicator format for education"/>
    <s v="OK"/>
    <s v="1980s"/>
    <s v="N/A"/>
    <s v="Economy"/>
  </r>
  <r>
    <s v="GM-03982"/>
    <s v="Senegal"/>
    <x v="2"/>
    <x v="7"/>
    <x v="0"/>
    <s v="Life expectancy at birth"/>
    <s v="Health"/>
    <s v="SDG 3: Good Health and Well-being"/>
    <n v="55.768999999999998"/>
    <s v="Years"/>
    <s v="Senegal|1987"/>
    <s v="Gapminder/Plotly country-year extract reshaped to long indicator format for education"/>
    <s v="OK"/>
    <s v="1980s"/>
    <s v="Medium"/>
    <s v="Health"/>
  </r>
  <r>
    <s v="GM-03983"/>
    <s v="Senegal"/>
    <x v="2"/>
    <x v="7"/>
    <x v="1"/>
    <s v="Population, total"/>
    <s v="Demographics"/>
    <s v="SDG 11: Sustainable Cities and Communities"/>
    <n v="7171347"/>
    <s v="People"/>
    <s v="Senegal|1987"/>
    <s v="Gapminder/Plotly country-year extract reshaped to long indicator format for education"/>
    <s v="OK"/>
    <s v="1980s"/>
    <s v="N/A"/>
    <s v="Demographics"/>
  </r>
  <r>
    <s v="GM-03984"/>
    <s v="Senegal"/>
    <x v="2"/>
    <x v="7"/>
    <x v="2"/>
    <s v="GDP per capita"/>
    <s v="Economy"/>
    <s v="SDG 8: Decent Work and Economic Growth"/>
    <n v="1441.72072"/>
    <s v="Source-defined international dollars"/>
    <s v="Senegal|1987"/>
    <s v="Gapminder/Plotly country-year extract reshaped to long indicator format for education"/>
    <s v="OK"/>
    <s v="1980s"/>
    <s v="N/A"/>
    <s v="Economy"/>
  </r>
  <r>
    <s v="GM-03985"/>
    <s v="Senegal"/>
    <x v="2"/>
    <x v="8"/>
    <x v="0"/>
    <s v="Life expectancy at birth"/>
    <s v="Health"/>
    <s v="SDG 3: Good Health and Well-being"/>
    <n v="58.195999999999998"/>
    <s v="Years"/>
    <s v="Senegal|1992"/>
    <s v="Gapminder/Plotly country-year extract reshaped to long indicator format for education"/>
    <s v="OK"/>
    <s v="1990s"/>
    <s v="Medium"/>
    <s v="Health"/>
  </r>
  <r>
    <s v="GM-03986"/>
    <s v="Senegal"/>
    <x v="2"/>
    <x v="8"/>
    <x v="1"/>
    <s v="Population, total"/>
    <s v="Demographics"/>
    <s v="SDG 11: Sustainable Cities and Communities"/>
    <n v="8307920"/>
    <s v="People"/>
    <s v="Senegal|1992"/>
    <s v="Gapminder/Plotly country-year extract reshaped to long indicator format for education"/>
    <s v="OK"/>
    <s v="1990s"/>
    <s v="N/A"/>
    <s v="Demographics"/>
  </r>
  <r>
    <s v="GM-03987"/>
    <s v="Senegal"/>
    <x v="2"/>
    <x v="8"/>
    <x v="2"/>
    <s v="GDP per capita"/>
    <s v="Economy"/>
    <s v="SDG 8: Decent Work and Economic Growth"/>
    <n v="1367.899369"/>
    <s v="Source-defined international dollars"/>
    <s v="Senegal|1992"/>
    <s v="Gapminder/Plotly country-year extract reshaped to long indicator format for education"/>
    <s v="OK"/>
    <s v="1990s"/>
    <s v="N/A"/>
    <s v="Economy"/>
  </r>
  <r>
    <s v="GM-03988"/>
    <s v="Senegal"/>
    <x v="2"/>
    <x v="9"/>
    <x v="0"/>
    <s v="Life expectancy at birth"/>
    <s v="Health"/>
    <s v="SDG 3: Good Health and Well-being"/>
    <n v="60.186999999999998"/>
    <s v="Years"/>
    <s v="Senegal|1997"/>
    <s v="Gapminder/Plotly country-year extract reshaped to long indicator format for education"/>
    <s v="OK"/>
    <s v="1990s"/>
    <s v="Medium"/>
    <s v="Health"/>
  </r>
  <r>
    <s v="GM-03989"/>
    <s v="Senegal"/>
    <x v="2"/>
    <x v="9"/>
    <x v="1"/>
    <s v="Population, total"/>
    <s v="Demographics"/>
    <s v="SDG 11: Sustainable Cities and Communities"/>
    <n v="9535314"/>
    <s v="People"/>
    <s v="Senegal|1997"/>
    <s v="Gapminder/Plotly country-year extract reshaped to long indicator format for education"/>
    <s v="OK"/>
    <s v="1990s"/>
    <s v="N/A"/>
    <s v="Demographics"/>
  </r>
  <r>
    <s v="GM-03990"/>
    <s v="Senegal"/>
    <x v="2"/>
    <x v="9"/>
    <x v="2"/>
    <s v="GDP per capita"/>
    <s v="Economy"/>
    <s v="SDG 8: Decent Work and Economic Growth"/>
    <n v="1392.3683470000001"/>
    <s v="Source-defined international dollars"/>
    <s v="Senegal|1997"/>
    <s v="Gapminder/Plotly country-year extract reshaped to long indicator format for education"/>
    <s v="OK"/>
    <s v="1990s"/>
    <s v="N/A"/>
    <s v="Economy"/>
  </r>
  <r>
    <s v="GM-03991"/>
    <s v="Senegal"/>
    <x v="2"/>
    <x v="10"/>
    <x v="0"/>
    <s v="Life expectancy at birth"/>
    <s v="Health"/>
    <s v="SDG 3: Good Health and Well-being"/>
    <n v="61.6"/>
    <s v="Years"/>
    <s v="Senegal|2002"/>
    <s v="Gapminder/Plotly country-year extract reshaped to long indicator format for education"/>
    <s v="OK"/>
    <s v="2000s"/>
    <s v="Medium"/>
    <s v="Health"/>
  </r>
  <r>
    <s v="GM-03992"/>
    <s v="Senegal"/>
    <x v="2"/>
    <x v="10"/>
    <x v="1"/>
    <s v="Population, total"/>
    <s v="Demographics"/>
    <s v="SDG 11: Sustainable Cities and Communities"/>
    <n v="10870037"/>
    <s v="People"/>
    <s v="Senegal|2002"/>
    <s v="Gapminder/Plotly country-year extract reshaped to long indicator format for education"/>
    <s v="OK"/>
    <s v="2000s"/>
    <s v="N/A"/>
    <s v="Demographics"/>
  </r>
  <r>
    <s v="GM-03993"/>
    <s v="Senegal"/>
    <x v="2"/>
    <x v="10"/>
    <x v="2"/>
    <s v="GDP per capita"/>
    <s v="Economy"/>
    <s v="SDG 8: Decent Work and Economic Growth"/>
    <n v="1519.635262"/>
    <s v="Source-defined international dollars"/>
    <s v="Senegal|2002"/>
    <s v="Gapminder/Plotly country-year extract reshaped to long indicator format for education"/>
    <s v="OK"/>
    <s v="2000s"/>
    <s v="N/A"/>
    <s v="Economy"/>
  </r>
  <r>
    <s v="GM-03994"/>
    <s v="Senegal"/>
    <x v="2"/>
    <x v="11"/>
    <x v="0"/>
    <s v="Life expectancy at birth"/>
    <s v="Health"/>
    <s v="SDG 3: Good Health and Well-being"/>
    <n v="63.061999999999998"/>
    <s v="Years"/>
    <s v="Senegal|2007"/>
    <s v="Gapminder/Plotly country-year extract reshaped to long indicator format for education"/>
    <s v="OK"/>
    <s v="2000s"/>
    <s v="Medium"/>
    <s v="Health"/>
  </r>
  <r>
    <s v="GM-03995"/>
    <s v="Senegal"/>
    <x v="2"/>
    <x v="11"/>
    <x v="1"/>
    <s v="Population, total"/>
    <s v="Demographics"/>
    <s v="SDG 11: Sustainable Cities and Communities"/>
    <n v="12267493"/>
    <s v="People"/>
    <s v="Senegal|2007"/>
    <s v="Gapminder/Plotly country-year extract reshaped to long indicator format for education"/>
    <s v="OK"/>
    <s v="2000s"/>
    <s v="N/A"/>
    <s v="Demographics"/>
  </r>
  <r>
    <s v="GM-03996"/>
    <s v="Senegal"/>
    <x v="2"/>
    <x v="11"/>
    <x v="2"/>
    <s v="GDP per capita"/>
    <s v="Economy"/>
    <s v="SDG 8: Decent Work and Economic Growth"/>
    <n v="1712.4721360000001"/>
    <s v="Source-defined international dollars"/>
    <s v="Senegal|2007"/>
    <s v="Gapminder/Plotly country-year extract reshaped to long indicator format for education"/>
    <s v="OK"/>
    <s v="2000s"/>
    <s v="N/A"/>
    <s v="Economy"/>
  </r>
  <r>
    <s v="GM-03997"/>
    <s v="Serbia"/>
    <x v="1"/>
    <x v="0"/>
    <x v="0"/>
    <s v="Life expectancy at birth"/>
    <s v="Health"/>
    <s v="SDG 3: Good Health and Well-being"/>
    <n v="57.996000000000002"/>
    <s v="Years"/>
    <s v="Serbia|1952"/>
    <s v="Gapminder/Plotly country-year extract reshaped to long indicator format for education"/>
    <s v="OK"/>
    <s v="1950s"/>
    <s v="Medium"/>
    <s v="Health"/>
  </r>
  <r>
    <s v="GM-03998"/>
    <s v="Serbia"/>
    <x v="1"/>
    <x v="0"/>
    <x v="1"/>
    <s v="Population, total"/>
    <s v="Demographics"/>
    <s v="SDG 11: Sustainable Cities and Communities"/>
    <n v="6860147"/>
    <s v="People"/>
    <s v="Serbia|1952"/>
    <s v="Gapminder/Plotly country-year extract reshaped to long indicator format for education"/>
    <s v="OK"/>
    <s v="1950s"/>
    <s v="N/A"/>
    <s v="Demographics"/>
  </r>
  <r>
    <s v="GM-03999"/>
    <s v="Serbia"/>
    <x v="1"/>
    <x v="0"/>
    <x v="2"/>
    <s v="GDP per capita"/>
    <s v="Economy"/>
    <s v="SDG 8: Decent Work and Economic Growth"/>
    <n v="3581.4594480000001"/>
    <s v="Source-defined international dollars"/>
    <s v="Serbia|1952"/>
    <s v="Gapminder/Plotly country-year extract reshaped to long indicator format for education"/>
    <s v="OK"/>
    <s v="1950s"/>
    <s v="N/A"/>
    <s v="Economy"/>
  </r>
  <r>
    <s v="GM-04000"/>
    <s v="Serbia"/>
    <x v="1"/>
    <x v="1"/>
    <x v="0"/>
    <s v="Life expectancy at birth"/>
    <s v="Health"/>
    <s v="SDG 3: Good Health and Well-being"/>
    <n v="61.685000000000002"/>
    <s v="Years"/>
    <s v="Serbia|1957"/>
    <s v="Gapminder/Plotly country-year extract reshaped to long indicator format for education"/>
    <s v="OK"/>
    <s v="1950s"/>
    <s v="Medium"/>
    <s v="Health"/>
  </r>
  <r>
    <s v="GM-04001"/>
    <s v="Serbia"/>
    <x v="1"/>
    <x v="1"/>
    <x v="1"/>
    <s v="Population, total"/>
    <s v="Demographics"/>
    <s v="SDG 11: Sustainable Cities and Communities"/>
    <n v="7271135"/>
    <s v="People"/>
    <s v="Serbia|1957"/>
    <s v="Gapminder/Plotly country-year extract reshaped to long indicator format for education"/>
    <s v="OK"/>
    <s v="1950s"/>
    <s v="N/A"/>
    <s v="Demographics"/>
  </r>
  <r>
    <s v="GM-04002"/>
    <s v="Serbia"/>
    <x v="1"/>
    <x v="1"/>
    <x v="2"/>
    <s v="GDP per capita"/>
    <s v="Economy"/>
    <s v="SDG 8: Decent Work and Economic Growth"/>
    <n v="4981.0908909999998"/>
    <s v="Source-defined international dollars"/>
    <s v="Serbia|1957"/>
    <s v="Gapminder/Plotly country-year extract reshaped to long indicator format for education"/>
    <s v="OK"/>
    <s v="1950s"/>
    <s v="N/A"/>
    <s v="Economy"/>
  </r>
  <r>
    <s v="GM-04003"/>
    <s v="Serbia"/>
    <x v="1"/>
    <x v="2"/>
    <x v="0"/>
    <s v="Life expectancy at birth"/>
    <s v="Health"/>
    <s v="SDG 3: Good Health and Well-being"/>
    <n v="64.531000000000006"/>
    <s v="Years"/>
    <s v="Serbia|1962"/>
    <s v="Gapminder/Plotly country-year extract reshaped to long indicator format for education"/>
    <s v="OK"/>
    <s v="1960s"/>
    <s v="Medium"/>
    <s v="Health"/>
  </r>
  <r>
    <s v="GM-04004"/>
    <s v="Serbia"/>
    <x v="1"/>
    <x v="2"/>
    <x v="1"/>
    <s v="Population, total"/>
    <s v="Demographics"/>
    <s v="SDG 11: Sustainable Cities and Communities"/>
    <n v="7616060"/>
    <s v="People"/>
    <s v="Serbia|1962"/>
    <s v="Gapminder/Plotly country-year extract reshaped to long indicator format for education"/>
    <s v="OK"/>
    <s v="1960s"/>
    <s v="N/A"/>
    <s v="Demographics"/>
  </r>
  <r>
    <s v="GM-04005"/>
    <s v="Serbia"/>
    <x v="1"/>
    <x v="2"/>
    <x v="2"/>
    <s v="GDP per capita"/>
    <s v="Economy"/>
    <s v="SDG 8: Decent Work and Economic Growth"/>
    <n v="6289.6291570000003"/>
    <s v="Source-defined international dollars"/>
    <s v="Serbia|1962"/>
    <s v="Gapminder/Plotly country-year extract reshaped to long indicator format for education"/>
    <s v="OK"/>
    <s v="1960s"/>
    <s v="N/A"/>
    <s v="Economy"/>
  </r>
  <r>
    <s v="GM-04006"/>
    <s v="Serbia"/>
    <x v="1"/>
    <x v="3"/>
    <x v="0"/>
    <s v="Life expectancy at birth"/>
    <s v="Health"/>
    <s v="SDG 3: Good Health and Well-being"/>
    <n v="66.914000000000001"/>
    <s v="Years"/>
    <s v="Serbia|1967"/>
    <s v="Gapminder/Plotly country-year extract reshaped to long indicator format for education"/>
    <s v="OK"/>
    <s v="1960s"/>
    <s v="Medium"/>
    <s v="Health"/>
  </r>
  <r>
    <s v="GM-04007"/>
    <s v="Serbia"/>
    <x v="1"/>
    <x v="3"/>
    <x v="1"/>
    <s v="Population, total"/>
    <s v="Demographics"/>
    <s v="SDG 11: Sustainable Cities and Communities"/>
    <n v="7971222"/>
    <s v="People"/>
    <s v="Serbia|1967"/>
    <s v="Gapminder/Plotly country-year extract reshaped to long indicator format for education"/>
    <s v="OK"/>
    <s v="1960s"/>
    <s v="N/A"/>
    <s v="Demographics"/>
  </r>
  <r>
    <s v="GM-04008"/>
    <s v="Serbia"/>
    <x v="1"/>
    <x v="3"/>
    <x v="2"/>
    <s v="GDP per capita"/>
    <s v="Economy"/>
    <s v="SDG 8: Decent Work and Economic Growth"/>
    <n v="7991.7070659999999"/>
    <s v="Source-defined international dollars"/>
    <s v="Serbia|1967"/>
    <s v="Gapminder/Plotly country-year extract reshaped to long indicator format for education"/>
    <s v="OK"/>
    <s v="1960s"/>
    <s v="N/A"/>
    <s v="Economy"/>
  </r>
  <r>
    <s v="GM-04009"/>
    <s v="Serbia"/>
    <x v="1"/>
    <x v="4"/>
    <x v="0"/>
    <s v="Life expectancy at birth"/>
    <s v="Health"/>
    <s v="SDG 3: Good Health and Well-being"/>
    <n v="68.7"/>
    <s v="Years"/>
    <s v="Serbia|1972"/>
    <s v="Gapminder/Plotly country-year extract reshaped to long indicator format for education"/>
    <s v="OK"/>
    <s v="1970s"/>
    <s v="Medium"/>
    <s v="Health"/>
  </r>
  <r>
    <s v="GM-04010"/>
    <s v="Serbia"/>
    <x v="1"/>
    <x v="4"/>
    <x v="1"/>
    <s v="Population, total"/>
    <s v="Demographics"/>
    <s v="SDG 11: Sustainable Cities and Communities"/>
    <n v="8313288"/>
    <s v="People"/>
    <s v="Serbia|1972"/>
    <s v="Gapminder/Plotly country-year extract reshaped to long indicator format for education"/>
    <s v="OK"/>
    <s v="1970s"/>
    <s v="N/A"/>
    <s v="Demographics"/>
  </r>
  <r>
    <s v="GM-04011"/>
    <s v="Serbia"/>
    <x v="1"/>
    <x v="4"/>
    <x v="2"/>
    <s v="GDP per capita"/>
    <s v="Economy"/>
    <s v="SDG 8: Decent Work and Economic Growth"/>
    <n v="10522.067489999999"/>
    <s v="Source-defined international dollars"/>
    <s v="Serbia|1972"/>
    <s v="Gapminder/Plotly country-year extract reshaped to long indicator format for education"/>
    <s v="OK"/>
    <s v="1970s"/>
    <s v="N/A"/>
    <s v="Economy"/>
  </r>
  <r>
    <s v="GM-04012"/>
    <s v="Serbia"/>
    <x v="1"/>
    <x v="5"/>
    <x v="0"/>
    <s v="Life expectancy at birth"/>
    <s v="Health"/>
    <s v="SDG 3: Good Health and Well-being"/>
    <n v="70.3"/>
    <s v="Years"/>
    <s v="Serbia|1977"/>
    <s v="Gapminder/Plotly country-year extract reshaped to long indicator format for education"/>
    <s v="OK"/>
    <s v="1970s"/>
    <s v="High"/>
    <s v="Health"/>
  </r>
  <r>
    <s v="GM-04013"/>
    <s v="Serbia"/>
    <x v="1"/>
    <x v="5"/>
    <x v="1"/>
    <s v="Population, total"/>
    <s v="Demographics"/>
    <s v="SDG 11: Sustainable Cities and Communities"/>
    <n v="8686367"/>
    <s v="People"/>
    <s v="Serbia|1977"/>
    <s v="Gapminder/Plotly country-year extract reshaped to long indicator format for education"/>
    <s v="OK"/>
    <s v="1970s"/>
    <s v="N/A"/>
    <s v="Demographics"/>
  </r>
  <r>
    <s v="GM-04014"/>
    <s v="Serbia"/>
    <x v="1"/>
    <x v="5"/>
    <x v="2"/>
    <s v="GDP per capita"/>
    <s v="Economy"/>
    <s v="SDG 8: Decent Work and Economic Growth"/>
    <n v="12980.66956"/>
    <s v="Source-defined international dollars"/>
    <s v="Serbia|1977"/>
    <s v="Gapminder/Plotly country-year extract reshaped to long indicator format for education"/>
    <s v="OK"/>
    <s v="1970s"/>
    <s v="N/A"/>
    <s v="Economy"/>
  </r>
  <r>
    <s v="GM-04015"/>
    <s v="Serbia"/>
    <x v="1"/>
    <x v="6"/>
    <x v="0"/>
    <s v="Life expectancy at birth"/>
    <s v="Health"/>
    <s v="SDG 3: Good Health and Well-being"/>
    <n v="70.161999999999907"/>
    <s v="Years"/>
    <s v="Serbia|1982"/>
    <s v="Gapminder/Plotly country-year extract reshaped to long indicator format for education"/>
    <s v="OK"/>
    <s v="1980s"/>
    <s v="High"/>
    <s v="Health"/>
  </r>
  <r>
    <s v="GM-04016"/>
    <s v="Serbia"/>
    <x v="1"/>
    <x v="6"/>
    <x v="1"/>
    <s v="Population, total"/>
    <s v="Demographics"/>
    <s v="SDG 11: Sustainable Cities and Communities"/>
    <n v="9032824"/>
    <s v="People"/>
    <s v="Serbia|1982"/>
    <s v="Gapminder/Plotly country-year extract reshaped to long indicator format for education"/>
    <s v="OK"/>
    <s v="1980s"/>
    <s v="N/A"/>
    <s v="Demographics"/>
  </r>
  <r>
    <s v="GM-04017"/>
    <s v="Serbia"/>
    <x v="1"/>
    <x v="6"/>
    <x v="2"/>
    <s v="GDP per capita"/>
    <s v="Economy"/>
    <s v="SDG 8: Decent Work and Economic Growth"/>
    <n v="15181.092699999999"/>
    <s v="Source-defined international dollars"/>
    <s v="Serbia|1982"/>
    <s v="Gapminder/Plotly country-year extract reshaped to long indicator format for education"/>
    <s v="OK"/>
    <s v="1980s"/>
    <s v="N/A"/>
    <s v="Economy"/>
  </r>
  <r>
    <s v="GM-04018"/>
    <s v="Serbia"/>
    <x v="1"/>
    <x v="7"/>
    <x v="0"/>
    <s v="Life expectancy at birth"/>
    <s v="Health"/>
    <s v="SDG 3: Good Health and Well-being"/>
    <n v="71.218000000000004"/>
    <s v="Years"/>
    <s v="Serbia|1987"/>
    <s v="Gapminder/Plotly country-year extract reshaped to long indicator format for education"/>
    <s v="OK"/>
    <s v="1980s"/>
    <s v="High"/>
    <s v="Health"/>
  </r>
  <r>
    <s v="GM-04019"/>
    <s v="Serbia"/>
    <x v="1"/>
    <x v="7"/>
    <x v="1"/>
    <s v="Population, total"/>
    <s v="Demographics"/>
    <s v="SDG 11: Sustainable Cities and Communities"/>
    <n v="9230783"/>
    <s v="People"/>
    <s v="Serbia|1987"/>
    <s v="Gapminder/Plotly country-year extract reshaped to long indicator format for education"/>
    <s v="OK"/>
    <s v="1980s"/>
    <s v="N/A"/>
    <s v="Demographics"/>
  </r>
  <r>
    <s v="GM-04020"/>
    <s v="Serbia"/>
    <x v="1"/>
    <x v="7"/>
    <x v="2"/>
    <s v="GDP per capita"/>
    <s v="Economy"/>
    <s v="SDG 8: Decent Work and Economic Growth"/>
    <n v="15870.87851"/>
    <s v="Source-defined international dollars"/>
    <s v="Serbia|1987"/>
    <s v="Gapminder/Plotly country-year extract reshaped to long indicator format for education"/>
    <s v="OK"/>
    <s v="1980s"/>
    <s v="N/A"/>
    <s v="Economy"/>
  </r>
  <r>
    <s v="GM-04021"/>
    <s v="Serbia"/>
    <x v="1"/>
    <x v="8"/>
    <x v="0"/>
    <s v="Life expectancy at birth"/>
    <s v="Health"/>
    <s v="SDG 3: Good Health and Well-being"/>
    <n v="71.658999999999907"/>
    <s v="Years"/>
    <s v="Serbia|1992"/>
    <s v="Gapminder/Plotly country-year extract reshaped to long indicator format for education"/>
    <s v="OK"/>
    <s v="1990s"/>
    <s v="High"/>
    <s v="Health"/>
  </r>
  <r>
    <s v="GM-04022"/>
    <s v="Serbia"/>
    <x v="1"/>
    <x v="8"/>
    <x v="1"/>
    <s v="Population, total"/>
    <s v="Demographics"/>
    <s v="SDG 11: Sustainable Cities and Communities"/>
    <n v="9826397"/>
    <s v="People"/>
    <s v="Serbia|1992"/>
    <s v="Gapminder/Plotly country-year extract reshaped to long indicator format for education"/>
    <s v="OK"/>
    <s v="1990s"/>
    <s v="N/A"/>
    <s v="Demographics"/>
  </r>
  <r>
    <s v="GM-04023"/>
    <s v="Serbia"/>
    <x v="1"/>
    <x v="8"/>
    <x v="2"/>
    <s v="GDP per capita"/>
    <s v="Economy"/>
    <s v="SDG 8: Decent Work and Economic Growth"/>
    <n v="9325.0682379999998"/>
    <s v="Source-defined international dollars"/>
    <s v="Serbia|1992"/>
    <s v="Gapminder/Plotly country-year extract reshaped to long indicator format for education"/>
    <s v="OK"/>
    <s v="1990s"/>
    <s v="N/A"/>
    <s v="Economy"/>
  </r>
  <r>
    <s v="GM-04024"/>
    <s v="Serbia"/>
    <x v="1"/>
    <x v="9"/>
    <x v="0"/>
    <s v="Life expectancy at birth"/>
    <s v="Health"/>
    <s v="SDG 3: Good Health and Well-being"/>
    <n v="72.231999999999999"/>
    <s v="Years"/>
    <s v="Serbia|1997"/>
    <s v="Gapminder/Plotly country-year extract reshaped to long indicator format for education"/>
    <s v="OK"/>
    <s v="1990s"/>
    <s v="High"/>
    <s v="Health"/>
  </r>
  <r>
    <s v="GM-04025"/>
    <s v="Serbia"/>
    <x v="1"/>
    <x v="9"/>
    <x v="1"/>
    <s v="Population, total"/>
    <s v="Demographics"/>
    <s v="SDG 11: Sustainable Cities and Communities"/>
    <n v="10336594"/>
    <s v="People"/>
    <s v="Serbia|1997"/>
    <s v="Gapminder/Plotly country-year extract reshaped to long indicator format for education"/>
    <s v="OK"/>
    <s v="1990s"/>
    <s v="N/A"/>
    <s v="Demographics"/>
  </r>
  <r>
    <s v="GM-04026"/>
    <s v="Serbia"/>
    <x v="1"/>
    <x v="9"/>
    <x v="2"/>
    <s v="GDP per capita"/>
    <s v="Economy"/>
    <s v="SDG 8: Decent Work and Economic Growth"/>
    <n v="7914.3203039999999"/>
    <s v="Source-defined international dollars"/>
    <s v="Serbia|1997"/>
    <s v="Gapminder/Plotly country-year extract reshaped to long indicator format for education"/>
    <s v="OK"/>
    <s v="1990s"/>
    <s v="N/A"/>
    <s v="Economy"/>
  </r>
  <r>
    <s v="GM-04027"/>
    <s v="Serbia"/>
    <x v="1"/>
    <x v="10"/>
    <x v="0"/>
    <s v="Life expectancy at birth"/>
    <s v="Health"/>
    <s v="SDG 3: Good Health and Well-being"/>
    <n v="73.212999999999994"/>
    <s v="Years"/>
    <s v="Serbia|2002"/>
    <s v="Gapminder/Plotly country-year extract reshaped to long indicator format for education"/>
    <s v="OK"/>
    <s v="2000s"/>
    <s v="High"/>
    <s v="Health"/>
  </r>
  <r>
    <s v="GM-04028"/>
    <s v="Serbia"/>
    <x v="1"/>
    <x v="10"/>
    <x v="1"/>
    <s v="Population, total"/>
    <s v="Demographics"/>
    <s v="SDG 11: Sustainable Cities and Communities"/>
    <n v="10111559"/>
    <s v="People"/>
    <s v="Serbia|2002"/>
    <s v="Gapminder/Plotly country-year extract reshaped to long indicator format for education"/>
    <s v="OK"/>
    <s v="2000s"/>
    <s v="N/A"/>
    <s v="Demographics"/>
  </r>
  <r>
    <s v="GM-04029"/>
    <s v="Serbia"/>
    <x v="1"/>
    <x v="10"/>
    <x v="2"/>
    <s v="GDP per capita"/>
    <s v="Economy"/>
    <s v="SDG 8: Decent Work and Economic Growth"/>
    <n v="7236.0752510000002"/>
    <s v="Source-defined international dollars"/>
    <s v="Serbia|2002"/>
    <s v="Gapminder/Plotly country-year extract reshaped to long indicator format for education"/>
    <s v="OK"/>
    <s v="2000s"/>
    <s v="N/A"/>
    <s v="Economy"/>
  </r>
  <r>
    <s v="GM-04030"/>
    <s v="Serbia"/>
    <x v="1"/>
    <x v="11"/>
    <x v="0"/>
    <s v="Life expectancy at birth"/>
    <s v="Health"/>
    <s v="SDG 3: Good Health and Well-being"/>
    <n v="74.001999999999995"/>
    <s v="Years"/>
    <s v="Serbia|2007"/>
    <s v="Gapminder/Plotly country-year extract reshaped to long indicator format for education"/>
    <s v="OK"/>
    <s v="2000s"/>
    <s v="High"/>
    <s v="Health"/>
  </r>
  <r>
    <s v="GM-04031"/>
    <s v="Serbia"/>
    <x v="1"/>
    <x v="11"/>
    <x v="1"/>
    <s v="Population, total"/>
    <s v="Demographics"/>
    <s v="SDG 11: Sustainable Cities and Communities"/>
    <n v="10150265"/>
    <s v="People"/>
    <s v="Serbia|2007"/>
    <s v="Gapminder/Plotly country-year extract reshaped to long indicator format for education"/>
    <s v="OK"/>
    <s v="2000s"/>
    <s v="N/A"/>
    <s v="Demographics"/>
  </r>
  <r>
    <s v="GM-04032"/>
    <s v="Serbia"/>
    <x v="1"/>
    <x v="11"/>
    <x v="2"/>
    <s v="GDP per capita"/>
    <s v="Economy"/>
    <s v="SDG 8: Decent Work and Economic Growth"/>
    <n v="9786.5347139999994"/>
    <s v="Source-defined international dollars"/>
    <s v="Serbia|2007"/>
    <s v="Gapminder/Plotly country-year extract reshaped to long indicator format for education"/>
    <s v="OK"/>
    <s v="2000s"/>
    <s v="N/A"/>
    <s v="Economy"/>
  </r>
  <r>
    <s v="GM-04033"/>
    <s v="Sierra Leone"/>
    <x v="2"/>
    <x v="0"/>
    <x v="0"/>
    <s v="Life expectancy at birth"/>
    <s v="Health"/>
    <s v="SDG 3: Good Health and Well-being"/>
    <n v="30.331"/>
    <s v="Years"/>
    <s v="Sierra Leone|1952"/>
    <s v="Gapminder/Plotly country-year extract reshaped to long indicator format for education"/>
    <s v="OK"/>
    <s v="1950s"/>
    <s v="Low"/>
    <s v="Health"/>
  </r>
  <r>
    <s v="GM-04034"/>
    <s v="Sierra Leone"/>
    <x v="2"/>
    <x v="0"/>
    <x v="1"/>
    <s v="Population, total"/>
    <s v="Demographics"/>
    <s v="SDG 11: Sustainable Cities and Communities"/>
    <n v="2143249"/>
    <s v="People"/>
    <s v="Sierra Leone|1952"/>
    <s v="Gapminder/Plotly country-year extract reshaped to long indicator format for education"/>
    <s v="OK"/>
    <s v="1950s"/>
    <s v="N/A"/>
    <s v="Demographics"/>
  </r>
  <r>
    <s v="GM-04035"/>
    <s v="Sierra Leone"/>
    <x v="2"/>
    <x v="0"/>
    <x v="2"/>
    <s v="GDP per capita"/>
    <s v="Economy"/>
    <s v="SDG 8: Decent Work and Economic Growth"/>
    <n v="879.78773579999995"/>
    <s v="Source-defined international dollars"/>
    <s v="Sierra Leone|1952"/>
    <s v="Gapminder/Plotly country-year extract reshaped to long indicator format for education"/>
    <s v="OK"/>
    <s v="1950s"/>
    <s v="N/A"/>
    <s v="Economy"/>
  </r>
  <r>
    <s v="GM-04036"/>
    <s v="Sierra Leone"/>
    <x v="2"/>
    <x v="1"/>
    <x v="0"/>
    <s v="Life expectancy at birth"/>
    <s v="Health"/>
    <s v="SDG 3: Good Health and Well-being"/>
    <n v="31.57"/>
    <s v="Years"/>
    <s v="Sierra Leone|1957"/>
    <s v="Gapminder/Plotly country-year extract reshaped to long indicator format for education"/>
    <s v="OK"/>
    <s v="1950s"/>
    <s v="Low"/>
    <s v="Health"/>
  </r>
  <r>
    <s v="GM-04037"/>
    <s v="Sierra Leone"/>
    <x v="2"/>
    <x v="1"/>
    <x v="1"/>
    <s v="Population, total"/>
    <s v="Demographics"/>
    <s v="SDG 11: Sustainable Cities and Communities"/>
    <n v="2295678"/>
    <s v="People"/>
    <s v="Sierra Leone|1957"/>
    <s v="Gapminder/Plotly country-year extract reshaped to long indicator format for education"/>
    <s v="OK"/>
    <s v="1950s"/>
    <s v="N/A"/>
    <s v="Demographics"/>
  </r>
  <r>
    <s v="GM-04038"/>
    <s v="Sierra Leone"/>
    <x v="2"/>
    <x v="1"/>
    <x v="2"/>
    <s v="GDP per capita"/>
    <s v="Economy"/>
    <s v="SDG 8: Decent Work and Economic Growth"/>
    <n v="1004.484437"/>
    <s v="Source-defined international dollars"/>
    <s v="Sierra Leone|1957"/>
    <s v="Gapminder/Plotly country-year extract reshaped to long indicator format for education"/>
    <s v="OK"/>
    <s v="1950s"/>
    <s v="N/A"/>
    <s v="Economy"/>
  </r>
  <r>
    <s v="GM-04039"/>
    <s v="Sierra Leone"/>
    <x v="2"/>
    <x v="2"/>
    <x v="0"/>
    <s v="Life expectancy at birth"/>
    <s v="Health"/>
    <s v="SDG 3: Good Health and Well-being"/>
    <n v="32.767000000000003"/>
    <s v="Years"/>
    <s v="Sierra Leone|1962"/>
    <s v="Gapminder/Plotly country-year extract reshaped to long indicator format for education"/>
    <s v="OK"/>
    <s v="1960s"/>
    <s v="Low"/>
    <s v="Health"/>
  </r>
  <r>
    <s v="GM-04040"/>
    <s v="Sierra Leone"/>
    <x v="2"/>
    <x v="2"/>
    <x v="1"/>
    <s v="Population, total"/>
    <s v="Demographics"/>
    <s v="SDG 11: Sustainable Cities and Communities"/>
    <n v="2467895"/>
    <s v="People"/>
    <s v="Sierra Leone|1962"/>
    <s v="Gapminder/Plotly country-year extract reshaped to long indicator format for education"/>
    <s v="OK"/>
    <s v="1960s"/>
    <s v="N/A"/>
    <s v="Demographics"/>
  </r>
  <r>
    <s v="GM-04041"/>
    <s v="Sierra Leone"/>
    <x v="2"/>
    <x v="2"/>
    <x v="2"/>
    <s v="GDP per capita"/>
    <s v="Economy"/>
    <s v="SDG 8: Decent Work and Economic Growth"/>
    <n v="1116.6398769999901"/>
    <s v="Source-defined international dollars"/>
    <s v="Sierra Leone|1962"/>
    <s v="Gapminder/Plotly country-year extract reshaped to long indicator format for education"/>
    <s v="OK"/>
    <s v="1960s"/>
    <s v="N/A"/>
    <s v="Economy"/>
  </r>
  <r>
    <s v="GM-04042"/>
    <s v="Sierra Leone"/>
    <x v="2"/>
    <x v="3"/>
    <x v="0"/>
    <s v="Life expectancy at birth"/>
    <s v="Health"/>
    <s v="SDG 3: Good Health and Well-being"/>
    <n v="34.113"/>
    <s v="Years"/>
    <s v="Sierra Leone|1967"/>
    <s v="Gapminder/Plotly country-year extract reshaped to long indicator format for education"/>
    <s v="OK"/>
    <s v="1960s"/>
    <s v="Low"/>
    <s v="Health"/>
  </r>
  <r>
    <s v="GM-04043"/>
    <s v="Sierra Leone"/>
    <x v="2"/>
    <x v="3"/>
    <x v="1"/>
    <s v="Population, total"/>
    <s v="Demographics"/>
    <s v="SDG 11: Sustainable Cities and Communities"/>
    <n v="2662190"/>
    <s v="People"/>
    <s v="Sierra Leone|1967"/>
    <s v="Gapminder/Plotly country-year extract reshaped to long indicator format for education"/>
    <s v="OK"/>
    <s v="1960s"/>
    <s v="N/A"/>
    <s v="Demographics"/>
  </r>
  <r>
    <s v="GM-04044"/>
    <s v="Sierra Leone"/>
    <x v="2"/>
    <x v="3"/>
    <x v="2"/>
    <s v="GDP per capita"/>
    <s v="Economy"/>
    <s v="SDG 8: Decent Work and Economic Growth"/>
    <n v="1206.043465"/>
    <s v="Source-defined international dollars"/>
    <s v="Sierra Leone|1967"/>
    <s v="Gapminder/Plotly country-year extract reshaped to long indicator format for education"/>
    <s v="OK"/>
    <s v="1960s"/>
    <s v="N/A"/>
    <s v="Economy"/>
  </r>
  <r>
    <s v="GM-04045"/>
    <s v="Sierra Leone"/>
    <x v="2"/>
    <x v="4"/>
    <x v="0"/>
    <s v="Life expectancy at birth"/>
    <s v="Health"/>
    <s v="SDG 3: Good Health and Well-being"/>
    <n v="35.4"/>
    <s v="Years"/>
    <s v="Sierra Leone|1972"/>
    <s v="Gapminder/Plotly country-year extract reshaped to long indicator format for education"/>
    <s v="OK"/>
    <s v="1970s"/>
    <s v="Low"/>
    <s v="Health"/>
  </r>
  <r>
    <s v="GM-04046"/>
    <s v="Sierra Leone"/>
    <x v="2"/>
    <x v="4"/>
    <x v="1"/>
    <s v="Population, total"/>
    <s v="Demographics"/>
    <s v="SDG 11: Sustainable Cities and Communities"/>
    <n v="2879013"/>
    <s v="People"/>
    <s v="Sierra Leone|1972"/>
    <s v="Gapminder/Plotly country-year extract reshaped to long indicator format for education"/>
    <s v="OK"/>
    <s v="1970s"/>
    <s v="N/A"/>
    <s v="Demographics"/>
  </r>
  <r>
    <s v="GM-04047"/>
    <s v="Sierra Leone"/>
    <x v="2"/>
    <x v="4"/>
    <x v="2"/>
    <s v="GDP per capita"/>
    <s v="Economy"/>
    <s v="SDG 8: Decent Work and Economic Growth"/>
    <n v="1353.7597619999999"/>
    <s v="Source-defined international dollars"/>
    <s v="Sierra Leone|1972"/>
    <s v="Gapminder/Plotly country-year extract reshaped to long indicator format for education"/>
    <s v="OK"/>
    <s v="1970s"/>
    <s v="N/A"/>
    <s v="Economy"/>
  </r>
  <r>
    <s v="GM-04048"/>
    <s v="Sierra Leone"/>
    <x v="2"/>
    <x v="5"/>
    <x v="0"/>
    <s v="Life expectancy at birth"/>
    <s v="Health"/>
    <s v="SDG 3: Good Health and Well-being"/>
    <n v="36.787999999999997"/>
    <s v="Years"/>
    <s v="Sierra Leone|1977"/>
    <s v="Gapminder/Plotly country-year extract reshaped to long indicator format for education"/>
    <s v="OK"/>
    <s v="1970s"/>
    <s v="Low"/>
    <s v="Health"/>
  </r>
  <r>
    <s v="GM-04049"/>
    <s v="Sierra Leone"/>
    <x v="2"/>
    <x v="5"/>
    <x v="1"/>
    <s v="Population, total"/>
    <s v="Demographics"/>
    <s v="SDG 11: Sustainable Cities and Communities"/>
    <n v="3140897"/>
    <s v="People"/>
    <s v="Sierra Leone|1977"/>
    <s v="Gapminder/Plotly country-year extract reshaped to long indicator format for education"/>
    <s v="OK"/>
    <s v="1970s"/>
    <s v="N/A"/>
    <s v="Demographics"/>
  </r>
  <r>
    <s v="GM-04050"/>
    <s v="Sierra Leone"/>
    <x v="2"/>
    <x v="5"/>
    <x v="2"/>
    <s v="GDP per capita"/>
    <s v="Economy"/>
    <s v="SDG 8: Decent Work and Economic Growth"/>
    <n v="1348.285159"/>
    <s v="Source-defined international dollars"/>
    <s v="Sierra Leone|1977"/>
    <s v="Gapminder/Plotly country-year extract reshaped to long indicator format for education"/>
    <s v="OK"/>
    <s v="1970s"/>
    <s v="N/A"/>
    <s v="Economy"/>
  </r>
  <r>
    <s v="GM-04051"/>
    <s v="Sierra Leone"/>
    <x v="2"/>
    <x v="6"/>
    <x v="0"/>
    <s v="Life expectancy at birth"/>
    <s v="Health"/>
    <s v="SDG 3: Good Health and Well-being"/>
    <n v="38.445"/>
    <s v="Years"/>
    <s v="Sierra Leone|1982"/>
    <s v="Gapminder/Plotly country-year extract reshaped to long indicator format for education"/>
    <s v="OK"/>
    <s v="1980s"/>
    <s v="Low"/>
    <s v="Health"/>
  </r>
  <r>
    <s v="GM-04052"/>
    <s v="Sierra Leone"/>
    <x v="2"/>
    <x v="6"/>
    <x v="1"/>
    <s v="Population, total"/>
    <s v="Demographics"/>
    <s v="SDG 11: Sustainable Cities and Communities"/>
    <n v="3464522"/>
    <s v="People"/>
    <s v="Sierra Leone|1982"/>
    <s v="Gapminder/Plotly country-year extract reshaped to long indicator format for education"/>
    <s v="OK"/>
    <s v="1980s"/>
    <s v="N/A"/>
    <s v="Demographics"/>
  </r>
  <r>
    <s v="GM-04053"/>
    <s v="Sierra Leone"/>
    <x v="2"/>
    <x v="6"/>
    <x v="2"/>
    <s v="GDP per capita"/>
    <s v="Economy"/>
    <s v="SDG 8: Decent Work and Economic Growth"/>
    <n v="1465.0107840000001"/>
    <s v="Source-defined international dollars"/>
    <s v="Sierra Leone|1982"/>
    <s v="Gapminder/Plotly country-year extract reshaped to long indicator format for education"/>
    <s v="OK"/>
    <s v="1980s"/>
    <s v="N/A"/>
    <s v="Economy"/>
  </r>
  <r>
    <s v="GM-04054"/>
    <s v="Sierra Leone"/>
    <x v="2"/>
    <x v="7"/>
    <x v="0"/>
    <s v="Life expectancy at birth"/>
    <s v="Health"/>
    <s v="SDG 3: Good Health and Well-being"/>
    <n v="40.006"/>
    <s v="Years"/>
    <s v="Sierra Leone|1987"/>
    <s v="Gapminder/Plotly country-year extract reshaped to long indicator format for education"/>
    <s v="OK"/>
    <s v="1980s"/>
    <s v="Low"/>
    <s v="Health"/>
  </r>
  <r>
    <s v="GM-04055"/>
    <s v="Sierra Leone"/>
    <x v="2"/>
    <x v="7"/>
    <x v="1"/>
    <s v="Population, total"/>
    <s v="Demographics"/>
    <s v="SDG 11: Sustainable Cities and Communities"/>
    <n v="3868905"/>
    <s v="People"/>
    <s v="Sierra Leone|1987"/>
    <s v="Gapminder/Plotly country-year extract reshaped to long indicator format for education"/>
    <s v="OK"/>
    <s v="1980s"/>
    <s v="N/A"/>
    <s v="Demographics"/>
  </r>
  <r>
    <s v="GM-04056"/>
    <s v="Sierra Leone"/>
    <x v="2"/>
    <x v="7"/>
    <x v="2"/>
    <s v="GDP per capita"/>
    <s v="Economy"/>
    <s v="SDG 8: Decent Work and Economic Growth"/>
    <n v="1294.4477879999999"/>
    <s v="Source-defined international dollars"/>
    <s v="Sierra Leone|1987"/>
    <s v="Gapminder/Plotly country-year extract reshaped to long indicator format for education"/>
    <s v="OK"/>
    <s v="1980s"/>
    <s v="N/A"/>
    <s v="Economy"/>
  </r>
  <r>
    <s v="GM-04057"/>
    <s v="Sierra Leone"/>
    <x v="2"/>
    <x v="8"/>
    <x v="0"/>
    <s v="Life expectancy at birth"/>
    <s v="Health"/>
    <s v="SDG 3: Good Health and Well-being"/>
    <n v="38.332999999999998"/>
    <s v="Years"/>
    <s v="Sierra Leone|1992"/>
    <s v="Gapminder/Plotly country-year extract reshaped to long indicator format for education"/>
    <s v="OK"/>
    <s v="1990s"/>
    <s v="Low"/>
    <s v="Health"/>
  </r>
  <r>
    <s v="GM-04058"/>
    <s v="Sierra Leone"/>
    <x v="2"/>
    <x v="8"/>
    <x v="1"/>
    <s v="Population, total"/>
    <s v="Demographics"/>
    <s v="SDG 11: Sustainable Cities and Communities"/>
    <n v="4260884"/>
    <s v="People"/>
    <s v="Sierra Leone|1992"/>
    <s v="Gapminder/Plotly country-year extract reshaped to long indicator format for education"/>
    <s v="OK"/>
    <s v="1990s"/>
    <s v="N/A"/>
    <s v="Demographics"/>
  </r>
  <r>
    <s v="GM-04059"/>
    <s v="Sierra Leone"/>
    <x v="2"/>
    <x v="8"/>
    <x v="2"/>
    <s v="GDP per capita"/>
    <s v="Economy"/>
    <s v="SDG 8: Decent Work and Economic Growth"/>
    <n v="1068.6962779999999"/>
    <s v="Source-defined international dollars"/>
    <s v="Sierra Leone|1992"/>
    <s v="Gapminder/Plotly country-year extract reshaped to long indicator format for education"/>
    <s v="OK"/>
    <s v="1990s"/>
    <s v="N/A"/>
    <s v="Economy"/>
  </r>
  <r>
    <s v="GM-04060"/>
    <s v="Sierra Leone"/>
    <x v="2"/>
    <x v="9"/>
    <x v="0"/>
    <s v="Life expectancy at birth"/>
    <s v="Health"/>
    <s v="SDG 3: Good Health and Well-being"/>
    <n v="39.896999999999998"/>
    <s v="Years"/>
    <s v="Sierra Leone|1997"/>
    <s v="Gapminder/Plotly country-year extract reshaped to long indicator format for education"/>
    <s v="OK"/>
    <s v="1990s"/>
    <s v="Low"/>
    <s v="Health"/>
  </r>
  <r>
    <s v="GM-04061"/>
    <s v="Sierra Leone"/>
    <x v="2"/>
    <x v="9"/>
    <x v="1"/>
    <s v="Population, total"/>
    <s v="Demographics"/>
    <s v="SDG 11: Sustainable Cities and Communities"/>
    <n v="4578212"/>
    <s v="People"/>
    <s v="Sierra Leone|1997"/>
    <s v="Gapminder/Plotly country-year extract reshaped to long indicator format for education"/>
    <s v="OK"/>
    <s v="1990s"/>
    <s v="N/A"/>
    <s v="Demographics"/>
  </r>
  <r>
    <s v="GM-04062"/>
    <s v="Sierra Leone"/>
    <x v="2"/>
    <x v="9"/>
    <x v="2"/>
    <s v="GDP per capita"/>
    <s v="Economy"/>
    <s v="SDG 8: Decent Work and Economic Growth"/>
    <n v="574.64815759999999"/>
    <s v="Source-defined international dollars"/>
    <s v="Sierra Leone|1997"/>
    <s v="Gapminder/Plotly country-year extract reshaped to long indicator format for education"/>
    <s v="OK"/>
    <s v="1990s"/>
    <s v="N/A"/>
    <s v="Economy"/>
  </r>
  <r>
    <s v="GM-04063"/>
    <s v="Sierra Leone"/>
    <x v="2"/>
    <x v="10"/>
    <x v="0"/>
    <s v="Life expectancy at birth"/>
    <s v="Health"/>
    <s v="SDG 3: Good Health and Well-being"/>
    <n v="41.012"/>
    <s v="Years"/>
    <s v="Sierra Leone|2002"/>
    <s v="Gapminder/Plotly country-year extract reshaped to long indicator format for education"/>
    <s v="OK"/>
    <s v="2000s"/>
    <s v="Low"/>
    <s v="Health"/>
  </r>
  <r>
    <s v="GM-04064"/>
    <s v="Sierra Leone"/>
    <x v="2"/>
    <x v="10"/>
    <x v="1"/>
    <s v="Population, total"/>
    <s v="Demographics"/>
    <s v="SDG 11: Sustainable Cities and Communities"/>
    <n v="5359092"/>
    <s v="People"/>
    <s v="Sierra Leone|2002"/>
    <s v="Gapminder/Plotly country-year extract reshaped to long indicator format for education"/>
    <s v="OK"/>
    <s v="2000s"/>
    <s v="N/A"/>
    <s v="Demographics"/>
  </r>
  <r>
    <s v="GM-04065"/>
    <s v="Sierra Leone"/>
    <x v="2"/>
    <x v="10"/>
    <x v="2"/>
    <s v="GDP per capita"/>
    <s v="Economy"/>
    <s v="SDG 8: Decent Work and Economic Growth"/>
    <n v="699.48971299999903"/>
    <s v="Source-defined international dollars"/>
    <s v="Sierra Leone|2002"/>
    <s v="Gapminder/Plotly country-year extract reshaped to long indicator format for education"/>
    <s v="OK"/>
    <s v="2000s"/>
    <s v="N/A"/>
    <s v="Economy"/>
  </r>
  <r>
    <s v="GM-04066"/>
    <s v="Sierra Leone"/>
    <x v="2"/>
    <x v="11"/>
    <x v="0"/>
    <s v="Life expectancy at birth"/>
    <s v="Health"/>
    <s v="SDG 3: Good Health and Well-being"/>
    <n v="42.567999999999998"/>
    <s v="Years"/>
    <s v="Sierra Leone|2007"/>
    <s v="Gapminder/Plotly country-year extract reshaped to long indicator format for education"/>
    <s v="OK"/>
    <s v="2000s"/>
    <s v="Low"/>
    <s v="Health"/>
  </r>
  <r>
    <s v="GM-04067"/>
    <s v="Sierra Leone"/>
    <x v="2"/>
    <x v="11"/>
    <x v="1"/>
    <s v="Population, total"/>
    <s v="Demographics"/>
    <s v="SDG 11: Sustainable Cities and Communities"/>
    <n v="6144562"/>
    <s v="People"/>
    <s v="Sierra Leone|2007"/>
    <s v="Gapminder/Plotly country-year extract reshaped to long indicator format for education"/>
    <s v="OK"/>
    <s v="2000s"/>
    <s v="N/A"/>
    <s v="Demographics"/>
  </r>
  <r>
    <s v="GM-04068"/>
    <s v="Sierra Leone"/>
    <x v="2"/>
    <x v="11"/>
    <x v="2"/>
    <s v="GDP per capita"/>
    <s v="Economy"/>
    <s v="SDG 8: Decent Work and Economic Growth"/>
    <n v="862.54075609999995"/>
    <s v="Source-defined international dollars"/>
    <s v="Sierra Leone|2007"/>
    <s v="Gapminder/Plotly country-year extract reshaped to long indicator format for education"/>
    <s v="OK"/>
    <s v="2000s"/>
    <s v="N/A"/>
    <s v="Economy"/>
  </r>
  <r>
    <s v="GM-04069"/>
    <s v="Singapore"/>
    <x v="0"/>
    <x v="0"/>
    <x v="0"/>
    <s v="Life expectancy at birth"/>
    <s v="Health"/>
    <s v="SDG 3: Good Health and Well-being"/>
    <n v="60.396000000000001"/>
    <s v="Years"/>
    <s v="Singapore|1952"/>
    <s v="Gapminder/Plotly country-year extract reshaped to long indicator format for education"/>
    <s v="OK"/>
    <s v="1950s"/>
    <s v="Medium"/>
    <s v="Health"/>
  </r>
  <r>
    <s v="GM-04070"/>
    <s v="Singapore"/>
    <x v="0"/>
    <x v="0"/>
    <x v="1"/>
    <s v="Population, total"/>
    <s v="Demographics"/>
    <s v="SDG 11: Sustainable Cities and Communities"/>
    <n v="1127000"/>
    <s v="People"/>
    <s v="Singapore|1952"/>
    <s v="Gapminder/Plotly country-year extract reshaped to long indicator format for education"/>
    <s v="OK"/>
    <s v="1950s"/>
    <s v="N/A"/>
    <s v="Demographics"/>
  </r>
  <r>
    <s v="GM-04071"/>
    <s v="Singapore"/>
    <x v="0"/>
    <x v="0"/>
    <x v="2"/>
    <s v="GDP per capita"/>
    <s v="Economy"/>
    <s v="SDG 8: Decent Work and Economic Growth"/>
    <n v="2315.1382269999999"/>
    <s v="Source-defined international dollars"/>
    <s v="Singapore|1952"/>
    <s v="Gapminder/Plotly country-year extract reshaped to long indicator format for education"/>
    <s v="OK"/>
    <s v="1950s"/>
    <s v="N/A"/>
    <s v="Economy"/>
  </r>
  <r>
    <s v="GM-04072"/>
    <s v="Singapore"/>
    <x v="0"/>
    <x v="1"/>
    <x v="0"/>
    <s v="Life expectancy at birth"/>
    <s v="Health"/>
    <s v="SDG 3: Good Health and Well-being"/>
    <n v="63.179000000000002"/>
    <s v="Years"/>
    <s v="Singapore|1957"/>
    <s v="Gapminder/Plotly country-year extract reshaped to long indicator format for education"/>
    <s v="OK"/>
    <s v="1950s"/>
    <s v="Medium"/>
    <s v="Health"/>
  </r>
  <r>
    <s v="GM-04073"/>
    <s v="Singapore"/>
    <x v="0"/>
    <x v="1"/>
    <x v="1"/>
    <s v="Population, total"/>
    <s v="Demographics"/>
    <s v="SDG 11: Sustainable Cities and Communities"/>
    <n v="1445929"/>
    <s v="People"/>
    <s v="Singapore|1957"/>
    <s v="Gapminder/Plotly country-year extract reshaped to long indicator format for education"/>
    <s v="OK"/>
    <s v="1950s"/>
    <s v="N/A"/>
    <s v="Demographics"/>
  </r>
  <r>
    <s v="GM-04074"/>
    <s v="Singapore"/>
    <x v="0"/>
    <x v="1"/>
    <x v="2"/>
    <s v="GDP per capita"/>
    <s v="Economy"/>
    <s v="SDG 8: Decent Work and Economic Growth"/>
    <n v="2843.104409"/>
    <s v="Source-defined international dollars"/>
    <s v="Singapore|1957"/>
    <s v="Gapminder/Plotly country-year extract reshaped to long indicator format for education"/>
    <s v="OK"/>
    <s v="1950s"/>
    <s v="N/A"/>
    <s v="Economy"/>
  </r>
  <r>
    <s v="GM-04075"/>
    <s v="Singapore"/>
    <x v="0"/>
    <x v="2"/>
    <x v="0"/>
    <s v="Life expectancy at birth"/>
    <s v="Health"/>
    <s v="SDG 3: Good Health and Well-being"/>
    <n v="65.798000000000002"/>
    <s v="Years"/>
    <s v="Singapore|1962"/>
    <s v="Gapminder/Plotly country-year extract reshaped to long indicator format for education"/>
    <s v="OK"/>
    <s v="1960s"/>
    <s v="Medium"/>
    <s v="Health"/>
  </r>
  <r>
    <s v="GM-04076"/>
    <s v="Singapore"/>
    <x v="0"/>
    <x v="2"/>
    <x v="1"/>
    <s v="Population, total"/>
    <s v="Demographics"/>
    <s v="SDG 11: Sustainable Cities and Communities"/>
    <n v="1750200"/>
    <s v="People"/>
    <s v="Singapore|1962"/>
    <s v="Gapminder/Plotly country-year extract reshaped to long indicator format for education"/>
    <s v="OK"/>
    <s v="1960s"/>
    <s v="N/A"/>
    <s v="Demographics"/>
  </r>
  <r>
    <s v="GM-04077"/>
    <s v="Singapore"/>
    <x v="0"/>
    <x v="2"/>
    <x v="2"/>
    <s v="GDP per capita"/>
    <s v="Economy"/>
    <s v="SDG 8: Decent Work and Economic Growth"/>
    <n v="3674.735572"/>
    <s v="Source-defined international dollars"/>
    <s v="Singapore|1962"/>
    <s v="Gapminder/Plotly country-year extract reshaped to long indicator format for education"/>
    <s v="OK"/>
    <s v="1960s"/>
    <s v="N/A"/>
    <s v="Economy"/>
  </r>
  <r>
    <s v="GM-04078"/>
    <s v="Singapore"/>
    <x v="0"/>
    <x v="3"/>
    <x v="0"/>
    <s v="Life expectancy at birth"/>
    <s v="Health"/>
    <s v="SDG 3: Good Health and Well-being"/>
    <n v="67.945999999999998"/>
    <s v="Years"/>
    <s v="Singapore|1967"/>
    <s v="Gapminder/Plotly country-year extract reshaped to long indicator format for education"/>
    <s v="OK"/>
    <s v="1960s"/>
    <s v="Medium"/>
    <s v="Health"/>
  </r>
  <r>
    <s v="GM-04079"/>
    <s v="Singapore"/>
    <x v="0"/>
    <x v="3"/>
    <x v="1"/>
    <s v="Population, total"/>
    <s v="Demographics"/>
    <s v="SDG 11: Sustainable Cities and Communities"/>
    <n v="1977600"/>
    <s v="People"/>
    <s v="Singapore|1967"/>
    <s v="Gapminder/Plotly country-year extract reshaped to long indicator format for education"/>
    <s v="OK"/>
    <s v="1960s"/>
    <s v="N/A"/>
    <s v="Demographics"/>
  </r>
  <r>
    <s v="GM-04080"/>
    <s v="Singapore"/>
    <x v="0"/>
    <x v="3"/>
    <x v="2"/>
    <s v="GDP per capita"/>
    <s v="Economy"/>
    <s v="SDG 8: Decent Work and Economic Growth"/>
    <n v="4977.4185399999997"/>
    <s v="Source-defined international dollars"/>
    <s v="Singapore|1967"/>
    <s v="Gapminder/Plotly country-year extract reshaped to long indicator format for education"/>
    <s v="OK"/>
    <s v="1960s"/>
    <s v="N/A"/>
    <s v="Economy"/>
  </r>
  <r>
    <s v="GM-04081"/>
    <s v="Singapore"/>
    <x v="0"/>
    <x v="4"/>
    <x v="0"/>
    <s v="Life expectancy at birth"/>
    <s v="Health"/>
    <s v="SDG 3: Good Health and Well-being"/>
    <n v="69.521000000000001"/>
    <s v="Years"/>
    <s v="Singapore|1972"/>
    <s v="Gapminder/Plotly country-year extract reshaped to long indicator format for education"/>
    <s v="OK"/>
    <s v="1970s"/>
    <s v="Medium"/>
    <s v="Health"/>
  </r>
  <r>
    <s v="GM-04082"/>
    <s v="Singapore"/>
    <x v="0"/>
    <x v="4"/>
    <x v="1"/>
    <s v="Population, total"/>
    <s v="Demographics"/>
    <s v="SDG 11: Sustainable Cities and Communities"/>
    <n v="2152400"/>
    <s v="People"/>
    <s v="Singapore|1972"/>
    <s v="Gapminder/Plotly country-year extract reshaped to long indicator format for education"/>
    <s v="OK"/>
    <s v="1970s"/>
    <s v="N/A"/>
    <s v="Demographics"/>
  </r>
  <r>
    <s v="GM-04083"/>
    <s v="Singapore"/>
    <x v="0"/>
    <x v="4"/>
    <x v="2"/>
    <s v="GDP per capita"/>
    <s v="Economy"/>
    <s v="SDG 8: Decent Work and Economic Growth"/>
    <n v="8597.7562020000005"/>
    <s v="Source-defined international dollars"/>
    <s v="Singapore|1972"/>
    <s v="Gapminder/Plotly country-year extract reshaped to long indicator format for education"/>
    <s v="OK"/>
    <s v="1970s"/>
    <s v="N/A"/>
    <s v="Economy"/>
  </r>
  <r>
    <s v="GM-04084"/>
    <s v="Singapore"/>
    <x v="0"/>
    <x v="5"/>
    <x v="0"/>
    <s v="Life expectancy at birth"/>
    <s v="Health"/>
    <s v="SDG 3: Good Health and Well-being"/>
    <n v="70.795000000000002"/>
    <s v="Years"/>
    <s v="Singapore|1977"/>
    <s v="Gapminder/Plotly country-year extract reshaped to long indicator format for education"/>
    <s v="OK"/>
    <s v="1970s"/>
    <s v="High"/>
    <s v="Health"/>
  </r>
  <r>
    <s v="GM-04085"/>
    <s v="Singapore"/>
    <x v="0"/>
    <x v="5"/>
    <x v="1"/>
    <s v="Population, total"/>
    <s v="Demographics"/>
    <s v="SDG 11: Sustainable Cities and Communities"/>
    <n v="2325300"/>
    <s v="People"/>
    <s v="Singapore|1977"/>
    <s v="Gapminder/Plotly country-year extract reshaped to long indicator format for education"/>
    <s v="OK"/>
    <s v="1970s"/>
    <s v="N/A"/>
    <s v="Demographics"/>
  </r>
  <r>
    <s v="GM-04086"/>
    <s v="Singapore"/>
    <x v="0"/>
    <x v="5"/>
    <x v="2"/>
    <s v="GDP per capita"/>
    <s v="Economy"/>
    <s v="SDG 8: Decent Work and Economic Growth"/>
    <n v="11210.089480000001"/>
    <s v="Source-defined international dollars"/>
    <s v="Singapore|1977"/>
    <s v="Gapminder/Plotly country-year extract reshaped to long indicator format for education"/>
    <s v="OK"/>
    <s v="1970s"/>
    <s v="N/A"/>
    <s v="Economy"/>
  </r>
  <r>
    <s v="GM-04087"/>
    <s v="Singapore"/>
    <x v="0"/>
    <x v="6"/>
    <x v="0"/>
    <s v="Life expectancy at birth"/>
    <s v="Health"/>
    <s v="SDG 3: Good Health and Well-being"/>
    <n v="71.760000000000005"/>
    <s v="Years"/>
    <s v="Singapore|1982"/>
    <s v="Gapminder/Plotly country-year extract reshaped to long indicator format for education"/>
    <s v="OK"/>
    <s v="1980s"/>
    <s v="High"/>
    <s v="Health"/>
  </r>
  <r>
    <s v="GM-04088"/>
    <s v="Singapore"/>
    <x v="0"/>
    <x v="6"/>
    <x v="1"/>
    <s v="Population, total"/>
    <s v="Demographics"/>
    <s v="SDG 11: Sustainable Cities and Communities"/>
    <n v="2651869"/>
    <s v="People"/>
    <s v="Singapore|1982"/>
    <s v="Gapminder/Plotly country-year extract reshaped to long indicator format for education"/>
    <s v="OK"/>
    <s v="1980s"/>
    <s v="N/A"/>
    <s v="Demographics"/>
  </r>
  <r>
    <s v="GM-04089"/>
    <s v="Singapore"/>
    <x v="0"/>
    <x v="6"/>
    <x v="2"/>
    <s v="GDP per capita"/>
    <s v="Economy"/>
    <s v="SDG 8: Decent Work and Economic Growth"/>
    <n v="15169.161120000001"/>
    <s v="Source-defined international dollars"/>
    <s v="Singapore|1982"/>
    <s v="Gapminder/Plotly country-year extract reshaped to long indicator format for education"/>
    <s v="OK"/>
    <s v="1980s"/>
    <s v="N/A"/>
    <s v="Economy"/>
  </r>
  <r>
    <s v="GM-04090"/>
    <s v="Singapore"/>
    <x v="0"/>
    <x v="7"/>
    <x v="0"/>
    <s v="Life expectancy at birth"/>
    <s v="Health"/>
    <s v="SDG 3: Good Health and Well-being"/>
    <n v="73.56"/>
    <s v="Years"/>
    <s v="Singapore|1987"/>
    <s v="Gapminder/Plotly country-year extract reshaped to long indicator format for education"/>
    <s v="OK"/>
    <s v="1980s"/>
    <s v="High"/>
    <s v="Health"/>
  </r>
  <r>
    <s v="GM-04091"/>
    <s v="Singapore"/>
    <x v="0"/>
    <x v="7"/>
    <x v="1"/>
    <s v="Population, total"/>
    <s v="Demographics"/>
    <s v="SDG 11: Sustainable Cities and Communities"/>
    <n v="2794552"/>
    <s v="People"/>
    <s v="Singapore|1987"/>
    <s v="Gapminder/Plotly country-year extract reshaped to long indicator format for education"/>
    <s v="OK"/>
    <s v="1980s"/>
    <s v="N/A"/>
    <s v="Demographics"/>
  </r>
  <r>
    <s v="GM-04092"/>
    <s v="Singapore"/>
    <x v="0"/>
    <x v="7"/>
    <x v="2"/>
    <s v="GDP per capita"/>
    <s v="Economy"/>
    <s v="SDG 8: Decent Work and Economic Growth"/>
    <n v="18861.53081"/>
    <s v="Source-defined international dollars"/>
    <s v="Singapore|1987"/>
    <s v="Gapminder/Plotly country-year extract reshaped to long indicator format for education"/>
    <s v="OK"/>
    <s v="1980s"/>
    <s v="N/A"/>
    <s v="Economy"/>
  </r>
  <r>
    <s v="GM-04093"/>
    <s v="Singapore"/>
    <x v="0"/>
    <x v="8"/>
    <x v="0"/>
    <s v="Life expectancy at birth"/>
    <s v="Health"/>
    <s v="SDG 3: Good Health and Well-being"/>
    <n v="75.787999999999997"/>
    <s v="Years"/>
    <s v="Singapore|1992"/>
    <s v="Gapminder/Plotly country-year extract reshaped to long indicator format for education"/>
    <s v="OK"/>
    <s v="1990s"/>
    <s v="High"/>
    <s v="Health"/>
  </r>
  <r>
    <s v="GM-04094"/>
    <s v="Singapore"/>
    <x v="0"/>
    <x v="8"/>
    <x v="1"/>
    <s v="Population, total"/>
    <s v="Demographics"/>
    <s v="SDG 11: Sustainable Cities and Communities"/>
    <n v="3235865"/>
    <s v="People"/>
    <s v="Singapore|1992"/>
    <s v="Gapminder/Plotly country-year extract reshaped to long indicator format for education"/>
    <s v="OK"/>
    <s v="1990s"/>
    <s v="N/A"/>
    <s v="Demographics"/>
  </r>
  <r>
    <s v="GM-04095"/>
    <s v="Singapore"/>
    <x v="0"/>
    <x v="8"/>
    <x v="2"/>
    <s v="GDP per capita"/>
    <s v="Economy"/>
    <s v="SDG 8: Decent Work and Economic Growth"/>
    <n v="24769.891199999998"/>
    <s v="Source-defined international dollars"/>
    <s v="Singapore|1992"/>
    <s v="Gapminder/Plotly country-year extract reshaped to long indicator format for education"/>
    <s v="OK"/>
    <s v="1990s"/>
    <s v="N/A"/>
    <s v="Economy"/>
  </r>
  <r>
    <s v="GM-04096"/>
    <s v="Singapore"/>
    <x v="0"/>
    <x v="9"/>
    <x v="0"/>
    <s v="Life expectancy at birth"/>
    <s v="Health"/>
    <s v="SDG 3: Good Health and Well-being"/>
    <n v="77.158000000000001"/>
    <s v="Years"/>
    <s v="Singapore|1997"/>
    <s v="Gapminder/Plotly country-year extract reshaped to long indicator format for education"/>
    <s v="OK"/>
    <s v="1990s"/>
    <s v="High"/>
    <s v="Health"/>
  </r>
  <r>
    <s v="GM-04097"/>
    <s v="Singapore"/>
    <x v="0"/>
    <x v="9"/>
    <x v="1"/>
    <s v="Population, total"/>
    <s v="Demographics"/>
    <s v="SDG 11: Sustainable Cities and Communities"/>
    <n v="3802309"/>
    <s v="People"/>
    <s v="Singapore|1997"/>
    <s v="Gapminder/Plotly country-year extract reshaped to long indicator format for education"/>
    <s v="OK"/>
    <s v="1990s"/>
    <s v="N/A"/>
    <s v="Demographics"/>
  </r>
  <r>
    <s v="GM-04098"/>
    <s v="Singapore"/>
    <x v="0"/>
    <x v="9"/>
    <x v="2"/>
    <s v="GDP per capita"/>
    <s v="Economy"/>
    <s v="SDG 8: Decent Work and Economic Growth"/>
    <n v="33519.476600000002"/>
    <s v="Source-defined international dollars"/>
    <s v="Singapore|1997"/>
    <s v="Gapminder/Plotly country-year extract reshaped to long indicator format for education"/>
    <s v="OK"/>
    <s v="1990s"/>
    <s v="N/A"/>
    <s v="Economy"/>
  </r>
  <r>
    <s v="GM-04099"/>
    <s v="Singapore"/>
    <x v="0"/>
    <x v="10"/>
    <x v="0"/>
    <s v="Life expectancy at birth"/>
    <s v="Health"/>
    <s v="SDG 3: Good Health and Well-being"/>
    <n v="78.77"/>
    <s v="Years"/>
    <s v="Singapore|2002"/>
    <s v="Gapminder/Plotly country-year extract reshaped to long indicator format for education"/>
    <s v="OK"/>
    <s v="2000s"/>
    <s v="High"/>
    <s v="Health"/>
  </r>
  <r>
    <s v="GM-04100"/>
    <s v="Singapore"/>
    <x v="0"/>
    <x v="10"/>
    <x v="1"/>
    <s v="Population, total"/>
    <s v="Demographics"/>
    <s v="SDG 11: Sustainable Cities and Communities"/>
    <n v="4197776"/>
    <s v="People"/>
    <s v="Singapore|2002"/>
    <s v="Gapminder/Plotly country-year extract reshaped to long indicator format for education"/>
    <s v="OK"/>
    <s v="2000s"/>
    <s v="N/A"/>
    <s v="Demographics"/>
  </r>
  <r>
    <s v="GM-04101"/>
    <s v="Singapore"/>
    <x v="0"/>
    <x v="10"/>
    <x v="2"/>
    <s v="GDP per capita"/>
    <s v="Economy"/>
    <s v="SDG 8: Decent Work and Economic Growth"/>
    <n v="36023.1054"/>
    <s v="Source-defined international dollars"/>
    <s v="Singapore|2002"/>
    <s v="Gapminder/Plotly country-year extract reshaped to long indicator format for education"/>
    <s v="OK"/>
    <s v="2000s"/>
    <s v="N/A"/>
    <s v="Economy"/>
  </r>
  <r>
    <s v="GM-04102"/>
    <s v="Singapore"/>
    <x v="0"/>
    <x v="11"/>
    <x v="0"/>
    <s v="Life expectancy at birth"/>
    <s v="Health"/>
    <s v="SDG 3: Good Health and Well-being"/>
    <n v="79.971999999999994"/>
    <s v="Years"/>
    <s v="Singapore|2007"/>
    <s v="Gapminder/Plotly country-year extract reshaped to long indicator format for education"/>
    <s v="OK"/>
    <s v="2000s"/>
    <s v="High"/>
    <s v="Health"/>
  </r>
  <r>
    <s v="GM-04103"/>
    <s v="Singapore"/>
    <x v="0"/>
    <x v="11"/>
    <x v="1"/>
    <s v="Population, total"/>
    <s v="Demographics"/>
    <s v="SDG 11: Sustainable Cities and Communities"/>
    <n v="4553009"/>
    <s v="People"/>
    <s v="Singapore|2007"/>
    <s v="Gapminder/Plotly country-year extract reshaped to long indicator format for education"/>
    <s v="OK"/>
    <s v="2000s"/>
    <s v="N/A"/>
    <s v="Demographics"/>
  </r>
  <r>
    <s v="GM-04104"/>
    <s v="Singapore"/>
    <x v="0"/>
    <x v="11"/>
    <x v="2"/>
    <s v="GDP per capita"/>
    <s v="Economy"/>
    <s v="SDG 8: Decent Work and Economic Growth"/>
    <n v="47143.179640000002"/>
    <s v="Source-defined international dollars"/>
    <s v="Singapore|2007"/>
    <s v="Gapminder/Plotly country-year extract reshaped to long indicator format for education"/>
    <s v="OK"/>
    <s v="2000s"/>
    <s v="N/A"/>
    <s v="Economy"/>
  </r>
  <r>
    <s v="GM-04105"/>
    <s v="Slovak Republic"/>
    <x v="1"/>
    <x v="0"/>
    <x v="0"/>
    <s v="Life expectancy at birth"/>
    <s v="Health"/>
    <s v="SDG 3: Good Health and Well-being"/>
    <n v="64.36"/>
    <s v="Years"/>
    <s v="Slovak Republic|1952"/>
    <s v="Gapminder/Plotly country-year extract reshaped to long indicator format for education"/>
    <s v="OK"/>
    <s v="1950s"/>
    <s v="Medium"/>
    <s v="Health"/>
  </r>
  <r>
    <s v="GM-04106"/>
    <s v="Slovak Republic"/>
    <x v="1"/>
    <x v="0"/>
    <x v="1"/>
    <s v="Population, total"/>
    <s v="Demographics"/>
    <s v="SDG 11: Sustainable Cities and Communities"/>
    <n v="3558137"/>
    <s v="People"/>
    <s v="Slovak Republic|1952"/>
    <s v="Gapminder/Plotly country-year extract reshaped to long indicator format for education"/>
    <s v="OK"/>
    <s v="1950s"/>
    <s v="N/A"/>
    <s v="Demographics"/>
  </r>
  <r>
    <s v="GM-04107"/>
    <s v="Slovak Republic"/>
    <x v="1"/>
    <x v="0"/>
    <x v="2"/>
    <s v="GDP per capita"/>
    <s v="Economy"/>
    <s v="SDG 8: Decent Work and Economic Growth"/>
    <n v="5074.6591040000003"/>
    <s v="Source-defined international dollars"/>
    <s v="Slovak Republic|1952"/>
    <s v="Gapminder/Plotly country-year extract reshaped to long indicator format for education"/>
    <s v="OK"/>
    <s v="1950s"/>
    <s v="N/A"/>
    <s v="Economy"/>
  </r>
  <r>
    <s v="GM-04108"/>
    <s v="Slovak Republic"/>
    <x v="1"/>
    <x v="1"/>
    <x v="0"/>
    <s v="Life expectancy at birth"/>
    <s v="Health"/>
    <s v="SDG 3: Good Health and Well-being"/>
    <n v="67.45"/>
    <s v="Years"/>
    <s v="Slovak Republic|1957"/>
    <s v="Gapminder/Plotly country-year extract reshaped to long indicator format for education"/>
    <s v="OK"/>
    <s v="1950s"/>
    <s v="Medium"/>
    <s v="Health"/>
  </r>
  <r>
    <s v="GM-04109"/>
    <s v="Slovak Republic"/>
    <x v="1"/>
    <x v="1"/>
    <x v="1"/>
    <s v="Population, total"/>
    <s v="Demographics"/>
    <s v="SDG 11: Sustainable Cities and Communities"/>
    <n v="3844277"/>
    <s v="People"/>
    <s v="Slovak Republic|1957"/>
    <s v="Gapminder/Plotly country-year extract reshaped to long indicator format for education"/>
    <s v="OK"/>
    <s v="1950s"/>
    <s v="N/A"/>
    <s v="Demographics"/>
  </r>
  <r>
    <s v="GM-04110"/>
    <s v="Slovak Republic"/>
    <x v="1"/>
    <x v="1"/>
    <x v="2"/>
    <s v="GDP per capita"/>
    <s v="Economy"/>
    <s v="SDG 8: Decent Work and Economic Growth"/>
    <n v="6093.2629800000004"/>
    <s v="Source-defined international dollars"/>
    <s v="Slovak Republic|1957"/>
    <s v="Gapminder/Plotly country-year extract reshaped to long indicator format for education"/>
    <s v="OK"/>
    <s v="1950s"/>
    <s v="N/A"/>
    <s v="Economy"/>
  </r>
  <r>
    <s v="GM-04111"/>
    <s v="Slovak Republic"/>
    <x v="1"/>
    <x v="2"/>
    <x v="0"/>
    <s v="Life expectancy at birth"/>
    <s v="Health"/>
    <s v="SDG 3: Good Health and Well-being"/>
    <n v="70.33"/>
    <s v="Years"/>
    <s v="Slovak Republic|1962"/>
    <s v="Gapminder/Plotly country-year extract reshaped to long indicator format for education"/>
    <s v="OK"/>
    <s v="1960s"/>
    <s v="High"/>
    <s v="Health"/>
  </r>
  <r>
    <s v="GM-04112"/>
    <s v="Slovak Republic"/>
    <x v="1"/>
    <x v="2"/>
    <x v="1"/>
    <s v="Population, total"/>
    <s v="Demographics"/>
    <s v="SDG 11: Sustainable Cities and Communities"/>
    <n v="4237384"/>
    <s v="People"/>
    <s v="Slovak Republic|1962"/>
    <s v="Gapminder/Plotly country-year extract reshaped to long indicator format for education"/>
    <s v="OK"/>
    <s v="1960s"/>
    <s v="N/A"/>
    <s v="Demographics"/>
  </r>
  <r>
    <s v="GM-04113"/>
    <s v="Slovak Republic"/>
    <x v="1"/>
    <x v="2"/>
    <x v="2"/>
    <s v="GDP per capita"/>
    <s v="Economy"/>
    <s v="SDG 8: Decent Work and Economic Growth"/>
    <n v="7481.1075979999996"/>
    <s v="Source-defined international dollars"/>
    <s v="Slovak Republic|1962"/>
    <s v="Gapminder/Plotly country-year extract reshaped to long indicator format for education"/>
    <s v="OK"/>
    <s v="1960s"/>
    <s v="N/A"/>
    <s v="Economy"/>
  </r>
  <r>
    <s v="GM-04114"/>
    <s v="Slovak Republic"/>
    <x v="1"/>
    <x v="3"/>
    <x v="0"/>
    <s v="Life expectancy at birth"/>
    <s v="Health"/>
    <s v="SDG 3: Good Health and Well-being"/>
    <n v="70.98"/>
    <s v="Years"/>
    <s v="Slovak Republic|1967"/>
    <s v="Gapminder/Plotly country-year extract reshaped to long indicator format for education"/>
    <s v="OK"/>
    <s v="1960s"/>
    <s v="High"/>
    <s v="Health"/>
  </r>
  <r>
    <s v="GM-04115"/>
    <s v="Slovak Republic"/>
    <x v="1"/>
    <x v="3"/>
    <x v="1"/>
    <s v="Population, total"/>
    <s v="Demographics"/>
    <s v="SDG 11: Sustainable Cities and Communities"/>
    <n v="4442238"/>
    <s v="People"/>
    <s v="Slovak Republic|1967"/>
    <s v="Gapminder/Plotly country-year extract reshaped to long indicator format for education"/>
    <s v="OK"/>
    <s v="1960s"/>
    <s v="N/A"/>
    <s v="Demographics"/>
  </r>
  <r>
    <s v="GM-04116"/>
    <s v="Slovak Republic"/>
    <x v="1"/>
    <x v="3"/>
    <x v="2"/>
    <s v="GDP per capita"/>
    <s v="Economy"/>
    <s v="SDG 8: Decent Work and Economic Growth"/>
    <n v="8412.9023969999998"/>
    <s v="Source-defined international dollars"/>
    <s v="Slovak Republic|1967"/>
    <s v="Gapminder/Plotly country-year extract reshaped to long indicator format for education"/>
    <s v="OK"/>
    <s v="1960s"/>
    <s v="N/A"/>
    <s v="Economy"/>
  </r>
  <r>
    <s v="GM-04117"/>
    <s v="Slovak Republic"/>
    <x v="1"/>
    <x v="4"/>
    <x v="0"/>
    <s v="Life expectancy at birth"/>
    <s v="Health"/>
    <s v="SDG 3: Good Health and Well-being"/>
    <n v="70.349999999999994"/>
    <s v="Years"/>
    <s v="Slovak Republic|1972"/>
    <s v="Gapminder/Plotly country-year extract reshaped to long indicator format for education"/>
    <s v="OK"/>
    <s v="1970s"/>
    <s v="High"/>
    <s v="Health"/>
  </r>
  <r>
    <s v="GM-04118"/>
    <s v="Slovak Republic"/>
    <x v="1"/>
    <x v="4"/>
    <x v="1"/>
    <s v="Population, total"/>
    <s v="Demographics"/>
    <s v="SDG 11: Sustainable Cities and Communities"/>
    <n v="4593433"/>
    <s v="People"/>
    <s v="Slovak Republic|1972"/>
    <s v="Gapminder/Plotly country-year extract reshaped to long indicator format for education"/>
    <s v="OK"/>
    <s v="1970s"/>
    <s v="N/A"/>
    <s v="Demographics"/>
  </r>
  <r>
    <s v="GM-04119"/>
    <s v="Slovak Republic"/>
    <x v="1"/>
    <x v="4"/>
    <x v="2"/>
    <s v="GDP per capita"/>
    <s v="Economy"/>
    <s v="SDG 8: Decent Work and Economic Growth"/>
    <n v="9674.1676260000004"/>
    <s v="Source-defined international dollars"/>
    <s v="Slovak Republic|1972"/>
    <s v="Gapminder/Plotly country-year extract reshaped to long indicator format for education"/>
    <s v="OK"/>
    <s v="1970s"/>
    <s v="N/A"/>
    <s v="Economy"/>
  </r>
  <r>
    <s v="GM-04120"/>
    <s v="Slovak Republic"/>
    <x v="1"/>
    <x v="5"/>
    <x v="0"/>
    <s v="Life expectancy at birth"/>
    <s v="Health"/>
    <s v="SDG 3: Good Health and Well-being"/>
    <n v="70.45"/>
    <s v="Years"/>
    <s v="Slovak Republic|1977"/>
    <s v="Gapminder/Plotly country-year extract reshaped to long indicator format for education"/>
    <s v="OK"/>
    <s v="1970s"/>
    <s v="High"/>
    <s v="Health"/>
  </r>
  <r>
    <s v="GM-04121"/>
    <s v="Slovak Republic"/>
    <x v="1"/>
    <x v="5"/>
    <x v="1"/>
    <s v="Population, total"/>
    <s v="Demographics"/>
    <s v="SDG 11: Sustainable Cities and Communities"/>
    <n v="4827803"/>
    <s v="People"/>
    <s v="Slovak Republic|1977"/>
    <s v="Gapminder/Plotly country-year extract reshaped to long indicator format for education"/>
    <s v="OK"/>
    <s v="1970s"/>
    <s v="N/A"/>
    <s v="Demographics"/>
  </r>
  <r>
    <s v="GM-04122"/>
    <s v="Slovak Republic"/>
    <x v="1"/>
    <x v="5"/>
    <x v="2"/>
    <s v="GDP per capita"/>
    <s v="Economy"/>
    <s v="SDG 8: Decent Work and Economic Growth"/>
    <n v="10922.66404"/>
    <s v="Source-defined international dollars"/>
    <s v="Slovak Republic|1977"/>
    <s v="Gapminder/Plotly country-year extract reshaped to long indicator format for education"/>
    <s v="OK"/>
    <s v="1970s"/>
    <s v="N/A"/>
    <s v="Economy"/>
  </r>
  <r>
    <s v="GM-04123"/>
    <s v="Slovak Republic"/>
    <x v="1"/>
    <x v="6"/>
    <x v="0"/>
    <s v="Life expectancy at birth"/>
    <s v="Health"/>
    <s v="SDG 3: Good Health and Well-being"/>
    <n v="70.8"/>
    <s v="Years"/>
    <s v="Slovak Republic|1982"/>
    <s v="Gapminder/Plotly country-year extract reshaped to long indicator format for education"/>
    <s v="OK"/>
    <s v="1980s"/>
    <s v="High"/>
    <s v="Health"/>
  </r>
  <r>
    <s v="GM-04124"/>
    <s v="Slovak Republic"/>
    <x v="1"/>
    <x v="6"/>
    <x v="1"/>
    <s v="Population, total"/>
    <s v="Demographics"/>
    <s v="SDG 11: Sustainable Cities and Communities"/>
    <n v="5048043"/>
    <s v="People"/>
    <s v="Slovak Republic|1982"/>
    <s v="Gapminder/Plotly country-year extract reshaped to long indicator format for education"/>
    <s v="OK"/>
    <s v="1980s"/>
    <s v="N/A"/>
    <s v="Demographics"/>
  </r>
  <r>
    <s v="GM-04125"/>
    <s v="Slovak Republic"/>
    <x v="1"/>
    <x v="6"/>
    <x v="2"/>
    <s v="GDP per capita"/>
    <s v="Economy"/>
    <s v="SDG 8: Decent Work and Economic Growth"/>
    <n v="11348.54585"/>
    <s v="Source-defined international dollars"/>
    <s v="Slovak Republic|1982"/>
    <s v="Gapminder/Plotly country-year extract reshaped to long indicator format for education"/>
    <s v="OK"/>
    <s v="1980s"/>
    <s v="N/A"/>
    <s v="Economy"/>
  </r>
  <r>
    <s v="GM-04126"/>
    <s v="Slovak Republic"/>
    <x v="1"/>
    <x v="7"/>
    <x v="0"/>
    <s v="Life expectancy at birth"/>
    <s v="Health"/>
    <s v="SDG 3: Good Health and Well-being"/>
    <n v="71.08"/>
    <s v="Years"/>
    <s v="Slovak Republic|1987"/>
    <s v="Gapminder/Plotly country-year extract reshaped to long indicator format for education"/>
    <s v="OK"/>
    <s v="1980s"/>
    <s v="High"/>
    <s v="Health"/>
  </r>
  <r>
    <s v="GM-04127"/>
    <s v="Slovak Republic"/>
    <x v="1"/>
    <x v="7"/>
    <x v="1"/>
    <s v="Population, total"/>
    <s v="Demographics"/>
    <s v="SDG 11: Sustainable Cities and Communities"/>
    <n v="5199318"/>
    <s v="People"/>
    <s v="Slovak Republic|1987"/>
    <s v="Gapminder/Plotly country-year extract reshaped to long indicator format for education"/>
    <s v="OK"/>
    <s v="1980s"/>
    <s v="N/A"/>
    <s v="Demographics"/>
  </r>
  <r>
    <s v="GM-04128"/>
    <s v="Slovak Republic"/>
    <x v="1"/>
    <x v="7"/>
    <x v="2"/>
    <s v="GDP per capita"/>
    <s v="Economy"/>
    <s v="SDG 8: Decent Work and Economic Growth"/>
    <n v="12037.26758"/>
    <s v="Source-defined international dollars"/>
    <s v="Slovak Republic|1987"/>
    <s v="Gapminder/Plotly country-year extract reshaped to long indicator format for education"/>
    <s v="OK"/>
    <s v="1980s"/>
    <s v="N/A"/>
    <s v="Economy"/>
  </r>
  <r>
    <s v="GM-04129"/>
    <s v="Slovak Republic"/>
    <x v="1"/>
    <x v="8"/>
    <x v="0"/>
    <s v="Life expectancy at birth"/>
    <s v="Health"/>
    <s v="SDG 3: Good Health and Well-being"/>
    <n v="71.38"/>
    <s v="Years"/>
    <s v="Slovak Republic|1992"/>
    <s v="Gapminder/Plotly country-year extract reshaped to long indicator format for education"/>
    <s v="OK"/>
    <s v="1990s"/>
    <s v="High"/>
    <s v="Health"/>
  </r>
  <r>
    <s v="GM-04130"/>
    <s v="Slovak Republic"/>
    <x v="1"/>
    <x v="8"/>
    <x v="1"/>
    <s v="Population, total"/>
    <s v="Demographics"/>
    <s v="SDG 11: Sustainable Cities and Communities"/>
    <n v="5302888"/>
    <s v="People"/>
    <s v="Slovak Republic|1992"/>
    <s v="Gapminder/Plotly country-year extract reshaped to long indicator format for education"/>
    <s v="OK"/>
    <s v="1990s"/>
    <s v="N/A"/>
    <s v="Demographics"/>
  </r>
  <r>
    <s v="GM-04131"/>
    <s v="Slovak Republic"/>
    <x v="1"/>
    <x v="8"/>
    <x v="2"/>
    <s v="GDP per capita"/>
    <s v="Economy"/>
    <s v="SDG 8: Decent Work and Economic Growth"/>
    <n v="9498.4677229999998"/>
    <s v="Source-defined international dollars"/>
    <s v="Slovak Republic|1992"/>
    <s v="Gapminder/Plotly country-year extract reshaped to long indicator format for education"/>
    <s v="OK"/>
    <s v="1990s"/>
    <s v="N/A"/>
    <s v="Economy"/>
  </r>
  <r>
    <s v="GM-04132"/>
    <s v="Slovak Republic"/>
    <x v="1"/>
    <x v="9"/>
    <x v="0"/>
    <s v="Life expectancy at birth"/>
    <s v="Health"/>
    <s v="SDG 3: Good Health and Well-being"/>
    <n v="72.709999999999994"/>
    <s v="Years"/>
    <s v="Slovak Republic|1997"/>
    <s v="Gapminder/Plotly country-year extract reshaped to long indicator format for education"/>
    <s v="OK"/>
    <s v="1990s"/>
    <s v="High"/>
    <s v="Health"/>
  </r>
  <r>
    <s v="GM-04133"/>
    <s v="Slovak Republic"/>
    <x v="1"/>
    <x v="9"/>
    <x v="1"/>
    <s v="Population, total"/>
    <s v="Demographics"/>
    <s v="SDG 11: Sustainable Cities and Communities"/>
    <n v="5383010"/>
    <s v="People"/>
    <s v="Slovak Republic|1997"/>
    <s v="Gapminder/Plotly country-year extract reshaped to long indicator format for education"/>
    <s v="OK"/>
    <s v="1990s"/>
    <s v="N/A"/>
    <s v="Demographics"/>
  </r>
  <r>
    <s v="GM-04134"/>
    <s v="Slovak Republic"/>
    <x v="1"/>
    <x v="9"/>
    <x v="2"/>
    <s v="GDP per capita"/>
    <s v="Economy"/>
    <s v="SDG 8: Decent Work and Economic Growth"/>
    <n v="12126.23065"/>
    <s v="Source-defined international dollars"/>
    <s v="Slovak Republic|1997"/>
    <s v="Gapminder/Plotly country-year extract reshaped to long indicator format for education"/>
    <s v="OK"/>
    <s v="1990s"/>
    <s v="N/A"/>
    <s v="Economy"/>
  </r>
  <r>
    <s v="GM-04135"/>
    <s v="Slovak Republic"/>
    <x v="1"/>
    <x v="10"/>
    <x v="0"/>
    <s v="Life expectancy at birth"/>
    <s v="Health"/>
    <s v="SDG 3: Good Health and Well-being"/>
    <n v="73.8"/>
    <s v="Years"/>
    <s v="Slovak Republic|2002"/>
    <s v="Gapminder/Plotly country-year extract reshaped to long indicator format for education"/>
    <s v="OK"/>
    <s v="2000s"/>
    <s v="High"/>
    <s v="Health"/>
  </r>
  <r>
    <s v="GM-04136"/>
    <s v="Slovak Republic"/>
    <x v="1"/>
    <x v="10"/>
    <x v="1"/>
    <s v="Population, total"/>
    <s v="Demographics"/>
    <s v="SDG 11: Sustainable Cities and Communities"/>
    <n v="5410052"/>
    <s v="People"/>
    <s v="Slovak Republic|2002"/>
    <s v="Gapminder/Plotly country-year extract reshaped to long indicator format for education"/>
    <s v="OK"/>
    <s v="2000s"/>
    <s v="N/A"/>
    <s v="Demographics"/>
  </r>
  <r>
    <s v="GM-04137"/>
    <s v="Slovak Republic"/>
    <x v="1"/>
    <x v="10"/>
    <x v="2"/>
    <s v="GDP per capita"/>
    <s v="Economy"/>
    <s v="SDG 8: Decent Work and Economic Growth"/>
    <n v="13638.7783699999"/>
    <s v="Source-defined international dollars"/>
    <s v="Slovak Republic|2002"/>
    <s v="Gapminder/Plotly country-year extract reshaped to long indicator format for education"/>
    <s v="OK"/>
    <s v="2000s"/>
    <s v="N/A"/>
    <s v="Economy"/>
  </r>
  <r>
    <s v="GM-04138"/>
    <s v="Slovak Republic"/>
    <x v="1"/>
    <x v="11"/>
    <x v="0"/>
    <s v="Life expectancy at birth"/>
    <s v="Health"/>
    <s v="SDG 3: Good Health and Well-being"/>
    <n v="74.662999999999997"/>
    <s v="Years"/>
    <s v="Slovak Republic|2007"/>
    <s v="Gapminder/Plotly country-year extract reshaped to long indicator format for education"/>
    <s v="OK"/>
    <s v="2000s"/>
    <s v="High"/>
    <s v="Health"/>
  </r>
  <r>
    <s v="GM-04139"/>
    <s v="Slovak Republic"/>
    <x v="1"/>
    <x v="11"/>
    <x v="1"/>
    <s v="Population, total"/>
    <s v="Demographics"/>
    <s v="SDG 11: Sustainable Cities and Communities"/>
    <n v="5447502"/>
    <s v="People"/>
    <s v="Slovak Republic|2007"/>
    <s v="Gapminder/Plotly country-year extract reshaped to long indicator format for education"/>
    <s v="OK"/>
    <s v="2000s"/>
    <s v="N/A"/>
    <s v="Demographics"/>
  </r>
  <r>
    <s v="GM-04140"/>
    <s v="Slovak Republic"/>
    <x v="1"/>
    <x v="11"/>
    <x v="2"/>
    <s v="GDP per capita"/>
    <s v="Economy"/>
    <s v="SDG 8: Decent Work and Economic Growth"/>
    <n v="18678.314350000001"/>
    <s v="Source-defined international dollars"/>
    <s v="Slovak Republic|2007"/>
    <s v="Gapminder/Plotly country-year extract reshaped to long indicator format for education"/>
    <s v="OK"/>
    <s v="2000s"/>
    <s v="N/A"/>
    <s v="Economy"/>
  </r>
  <r>
    <s v="GM-04141"/>
    <s v="Slovenia"/>
    <x v="1"/>
    <x v="0"/>
    <x v="0"/>
    <s v="Life expectancy at birth"/>
    <s v="Health"/>
    <s v="SDG 3: Good Health and Well-being"/>
    <n v="65.569999999999993"/>
    <s v="Years"/>
    <s v="Slovenia|1952"/>
    <s v="Gapminder/Plotly country-year extract reshaped to long indicator format for education"/>
    <s v="OK"/>
    <s v="1950s"/>
    <s v="Medium"/>
    <s v="Health"/>
  </r>
  <r>
    <s v="GM-04142"/>
    <s v="Slovenia"/>
    <x v="1"/>
    <x v="0"/>
    <x v="1"/>
    <s v="Population, total"/>
    <s v="Demographics"/>
    <s v="SDG 11: Sustainable Cities and Communities"/>
    <n v="1489518"/>
    <s v="People"/>
    <s v="Slovenia|1952"/>
    <s v="Gapminder/Plotly country-year extract reshaped to long indicator format for education"/>
    <s v="OK"/>
    <s v="1950s"/>
    <s v="N/A"/>
    <s v="Demographics"/>
  </r>
  <r>
    <s v="GM-04143"/>
    <s v="Slovenia"/>
    <x v="1"/>
    <x v="0"/>
    <x v="2"/>
    <s v="GDP per capita"/>
    <s v="Economy"/>
    <s v="SDG 8: Decent Work and Economic Growth"/>
    <n v="4215.041741"/>
    <s v="Source-defined international dollars"/>
    <s v="Slovenia|1952"/>
    <s v="Gapminder/Plotly country-year extract reshaped to long indicator format for education"/>
    <s v="OK"/>
    <s v="1950s"/>
    <s v="N/A"/>
    <s v="Economy"/>
  </r>
  <r>
    <s v="GM-04144"/>
    <s v="Slovenia"/>
    <x v="1"/>
    <x v="1"/>
    <x v="0"/>
    <s v="Life expectancy at birth"/>
    <s v="Health"/>
    <s v="SDG 3: Good Health and Well-being"/>
    <n v="67.849999999999994"/>
    <s v="Years"/>
    <s v="Slovenia|1957"/>
    <s v="Gapminder/Plotly country-year extract reshaped to long indicator format for education"/>
    <s v="OK"/>
    <s v="1950s"/>
    <s v="Medium"/>
    <s v="Health"/>
  </r>
  <r>
    <s v="GM-04145"/>
    <s v="Slovenia"/>
    <x v="1"/>
    <x v="1"/>
    <x v="1"/>
    <s v="Population, total"/>
    <s v="Demographics"/>
    <s v="SDG 11: Sustainable Cities and Communities"/>
    <n v="1533070"/>
    <s v="People"/>
    <s v="Slovenia|1957"/>
    <s v="Gapminder/Plotly country-year extract reshaped to long indicator format for education"/>
    <s v="OK"/>
    <s v="1950s"/>
    <s v="N/A"/>
    <s v="Demographics"/>
  </r>
  <r>
    <s v="GM-04146"/>
    <s v="Slovenia"/>
    <x v="1"/>
    <x v="1"/>
    <x v="2"/>
    <s v="GDP per capita"/>
    <s v="Economy"/>
    <s v="SDG 8: Decent Work and Economic Growth"/>
    <n v="5862.276629"/>
    <s v="Source-defined international dollars"/>
    <s v="Slovenia|1957"/>
    <s v="Gapminder/Plotly country-year extract reshaped to long indicator format for education"/>
    <s v="OK"/>
    <s v="1950s"/>
    <s v="N/A"/>
    <s v="Economy"/>
  </r>
  <r>
    <s v="GM-04147"/>
    <s v="Slovenia"/>
    <x v="1"/>
    <x v="2"/>
    <x v="0"/>
    <s v="Life expectancy at birth"/>
    <s v="Health"/>
    <s v="SDG 3: Good Health and Well-being"/>
    <n v="69.150000000000006"/>
    <s v="Years"/>
    <s v="Slovenia|1962"/>
    <s v="Gapminder/Plotly country-year extract reshaped to long indicator format for education"/>
    <s v="OK"/>
    <s v="1960s"/>
    <s v="Medium"/>
    <s v="Health"/>
  </r>
  <r>
    <s v="GM-04148"/>
    <s v="Slovenia"/>
    <x v="1"/>
    <x v="2"/>
    <x v="1"/>
    <s v="Population, total"/>
    <s v="Demographics"/>
    <s v="SDG 11: Sustainable Cities and Communities"/>
    <n v="1582962"/>
    <s v="People"/>
    <s v="Slovenia|1962"/>
    <s v="Gapminder/Plotly country-year extract reshaped to long indicator format for education"/>
    <s v="OK"/>
    <s v="1960s"/>
    <s v="N/A"/>
    <s v="Demographics"/>
  </r>
  <r>
    <s v="GM-04149"/>
    <s v="Slovenia"/>
    <x v="1"/>
    <x v="2"/>
    <x v="2"/>
    <s v="GDP per capita"/>
    <s v="Economy"/>
    <s v="SDG 8: Decent Work and Economic Growth"/>
    <n v="7402.3033949999999"/>
    <s v="Source-defined international dollars"/>
    <s v="Slovenia|1962"/>
    <s v="Gapminder/Plotly country-year extract reshaped to long indicator format for education"/>
    <s v="OK"/>
    <s v="1960s"/>
    <s v="N/A"/>
    <s v="Economy"/>
  </r>
  <r>
    <s v="GM-04150"/>
    <s v="Slovenia"/>
    <x v="1"/>
    <x v="3"/>
    <x v="0"/>
    <s v="Life expectancy at birth"/>
    <s v="Health"/>
    <s v="SDG 3: Good Health and Well-being"/>
    <n v="69.180000000000007"/>
    <s v="Years"/>
    <s v="Slovenia|1967"/>
    <s v="Gapminder/Plotly country-year extract reshaped to long indicator format for education"/>
    <s v="OK"/>
    <s v="1960s"/>
    <s v="Medium"/>
    <s v="Health"/>
  </r>
  <r>
    <s v="GM-04151"/>
    <s v="Slovenia"/>
    <x v="1"/>
    <x v="3"/>
    <x v="1"/>
    <s v="Population, total"/>
    <s v="Demographics"/>
    <s v="SDG 11: Sustainable Cities and Communities"/>
    <n v="1646912"/>
    <s v="People"/>
    <s v="Slovenia|1967"/>
    <s v="Gapminder/Plotly country-year extract reshaped to long indicator format for education"/>
    <s v="OK"/>
    <s v="1960s"/>
    <s v="N/A"/>
    <s v="Demographics"/>
  </r>
  <r>
    <s v="GM-04152"/>
    <s v="Slovenia"/>
    <x v="1"/>
    <x v="3"/>
    <x v="2"/>
    <s v="GDP per capita"/>
    <s v="Economy"/>
    <s v="SDG 8: Decent Work and Economic Growth"/>
    <n v="9405.4893969999994"/>
    <s v="Source-defined international dollars"/>
    <s v="Slovenia|1967"/>
    <s v="Gapminder/Plotly country-year extract reshaped to long indicator format for education"/>
    <s v="OK"/>
    <s v="1960s"/>
    <s v="N/A"/>
    <s v="Economy"/>
  </r>
  <r>
    <s v="GM-04153"/>
    <s v="Slovenia"/>
    <x v="1"/>
    <x v="4"/>
    <x v="0"/>
    <s v="Life expectancy at birth"/>
    <s v="Health"/>
    <s v="SDG 3: Good Health and Well-being"/>
    <n v="69.819999999999993"/>
    <s v="Years"/>
    <s v="Slovenia|1972"/>
    <s v="Gapminder/Plotly country-year extract reshaped to long indicator format for education"/>
    <s v="OK"/>
    <s v="1970s"/>
    <s v="Medium"/>
    <s v="Health"/>
  </r>
  <r>
    <s v="GM-04154"/>
    <s v="Slovenia"/>
    <x v="1"/>
    <x v="4"/>
    <x v="1"/>
    <s v="Population, total"/>
    <s v="Demographics"/>
    <s v="SDG 11: Sustainable Cities and Communities"/>
    <n v="1694510"/>
    <s v="People"/>
    <s v="Slovenia|1972"/>
    <s v="Gapminder/Plotly country-year extract reshaped to long indicator format for education"/>
    <s v="OK"/>
    <s v="1970s"/>
    <s v="N/A"/>
    <s v="Demographics"/>
  </r>
  <r>
    <s v="GM-04155"/>
    <s v="Slovenia"/>
    <x v="1"/>
    <x v="4"/>
    <x v="2"/>
    <s v="GDP per capita"/>
    <s v="Economy"/>
    <s v="SDG 8: Decent Work and Economic Growth"/>
    <n v="12383.486199999999"/>
    <s v="Source-defined international dollars"/>
    <s v="Slovenia|1972"/>
    <s v="Gapminder/Plotly country-year extract reshaped to long indicator format for education"/>
    <s v="OK"/>
    <s v="1970s"/>
    <s v="N/A"/>
    <s v="Economy"/>
  </r>
  <r>
    <s v="GM-04156"/>
    <s v="Slovenia"/>
    <x v="1"/>
    <x v="5"/>
    <x v="0"/>
    <s v="Life expectancy at birth"/>
    <s v="Health"/>
    <s v="SDG 3: Good Health and Well-being"/>
    <n v="70.97"/>
    <s v="Years"/>
    <s v="Slovenia|1977"/>
    <s v="Gapminder/Plotly country-year extract reshaped to long indicator format for education"/>
    <s v="OK"/>
    <s v="1970s"/>
    <s v="High"/>
    <s v="Health"/>
  </r>
  <r>
    <s v="GM-04157"/>
    <s v="Slovenia"/>
    <x v="1"/>
    <x v="5"/>
    <x v="1"/>
    <s v="Population, total"/>
    <s v="Demographics"/>
    <s v="SDG 11: Sustainable Cities and Communities"/>
    <n v="1746919"/>
    <s v="People"/>
    <s v="Slovenia|1977"/>
    <s v="Gapminder/Plotly country-year extract reshaped to long indicator format for education"/>
    <s v="OK"/>
    <s v="1970s"/>
    <s v="N/A"/>
    <s v="Demographics"/>
  </r>
  <r>
    <s v="GM-04158"/>
    <s v="Slovenia"/>
    <x v="1"/>
    <x v="5"/>
    <x v="2"/>
    <s v="GDP per capita"/>
    <s v="Economy"/>
    <s v="SDG 8: Decent Work and Economic Growth"/>
    <n v="15277.0301699999"/>
    <s v="Source-defined international dollars"/>
    <s v="Slovenia|1977"/>
    <s v="Gapminder/Plotly country-year extract reshaped to long indicator format for education"/>
    <s v="OK"/>
    <s v="1970s"/>
    <s v="N/A"/>
    <s v="Economy"/>
  </r>
  <r>
    <s v="GM-04159"/>
    <s v="Slovenia"/>
    <x v="1"/>
    <x v="6"/>
    <x v="0"/>
    <s v="Life expectancy at birth"/>
    <s v="Health"/>
    <s v="SDG 3: Good Health and Well-being"/>
    <n v="71.063000000000002"/>
    <s v="Years"/>
    <s v="Slovenia|1982"/>
    <s v="Gapminder/Plotly country-year extract reshaped to long indicator format for education"/>
    <s v="OK"/>
    <s v="1980s"/>
    <s v="High"/>
    <s v="Health"/>
  </r>
  <r>
    <s v="GM-04160"/>
    <s v="Slovenia"/>
    <x v="1"/>
    <x v="6"/>
    <x v="1"/>
    <s v="Population, total"/>
    <s v="Demographics"/>
    <s v="SDG 11: Sustainable Cities and Communities"/>
    <n v="1861252"/>
    <s v="People"/>
    <s v="Slovenia|1982"/>
    <s v="Gapminder/Plotly country-year extract reshaped to long indicator format for education"/>
    <s v="OK"/>
    <s v="1980s"/>
    <s v="N/A"/>
    <s v="Demographics"/>
  </r>
  <r>
    <s v="GM-04161"/>
    <s v="Slovenia"/>
    <x v="1"/>
    <x v="6"/>
    <x v="2"/>
    <s v="GDP per capita"/>
    <s v="Economy"/>
    <s v="SDG 8: Decent Work and Economic Growth"/>
    <n v="17866.721750000001"/>
    <s v="Source-defined international dollars"/>
    <s v="Slovenia|1982"/>
    <s v="Gapminder/Plotly country-year extract reshaped to long indicator format for education"/>
    <s v="OK"/>
    <s v="1980s"/>
    <s v="N/A"/>
    <s v="Economy"/>
  </r>
  <r>
    <s v="GM-04162"/>
    <s v="Slovenia"/>
    <x v="1"/>
    <x v="7"/>
    <x v="0"/>
    <s v="Life expectancy at birth"/>
    <s v="Health"/>
    <s v="SDG 3: Good Health and Well-being"/>
    <n v="72.25"/>
    <s v="Years"/>
    <s v="Slovenia|1987"/>
    <s v="Gapminder/Plotly country-year extract reshaped to long indicator format for education"/>
    <s v="OK"/>
    <s v="1980s"/>
    <s v="High"/>
    <s v="Health"/>
  </r>
  <r>
    <s v="GM-04163"/>
    <s v="Slovenia"/>
    <x v="1"/>
    <x v="7"/>
    <x v="1"/>
    <s v="Population, total"/>
    <s v="Demographics"/>
    <s v="SDG 11: Sustainable Cities and Communities"/>
    <n v="1945870"/>
    <s v="People"/>
    <s v="Slovenia|1987"/>
    <s v="Gapminder/Plotly country-year extract reshaped to long indicator format for education"/>
    <s v="OK"/>
    <s v="1980s"/>
    <s v="N/A"/>
    <s v="Demographics"/>
  </r>
  <r>
    <s v="GM-04164"/>
    <s v="Slovenia"/>
    <x v="1"/>
    <x v="7"/>
    <x v="2"/>
    <s v="GDP per capita"/>
    <s v="Economy"/>
    <s v="SDG 8: Decent Work and Economic Growth"/>
    <n v="18678.534919999998"/>
    <s v="Source-defined international dollars"/>
    <s v="Slovenia|1987"/>
    <s v="Gapminder/Plotly country-year extract reshaped to long indicator format for education"/>
    <s v="OK"/>
    <s v="1980s"/>
    <s v="N/A"/>
    <s v="Economy"/>
  </r>
  <r>
    <s v="GM-04165"/>
    <s v="Slovenia"/>
    <x v="1"/>
    <x v="8"/>
    <x v="0"/>
    <s v="Life expectancy at birth"/>
    <s v="Health"/>
    <s v="SDG 3: Good Health and Well-being"/>
    <n v="73.64"/>
    <s v="Years"/>
    <s v="Slovenia|1992"/>
    <s v="Gapminder/Plotly country-year extract reshaped to long indicator format for education"/>
    <s v="OK"/>
    <s v="1990s"/>
    <s v="High"/>
    <s v="Health"/>
  </r>
  <r>
    <s v="GM-04166"/>
    <s v="Slovenia"/>
    <x v="1"/>
    <x v="8"/>
    <x v="1"/>
    <s v="Population, total"/>
    <s v="Demographics"/>
    <s v="SDG 11: Sustainable Cities and Communities"/>
    <n v="1999210"/>
    <s v="People"/>
    <s v="Slovenia|1992"/>
    <s v="Gapminder/Plotly country-year extract reshaped to long indicator format for education"/>
    <s v="OK"/>
    <s v="1990s"/>
    <s v="N/A"/>
    <s v="Demographics"/>
  </r>
  <r>
    <s v="GM-04167"/>
    <s v="Slovenia"/>
    <x v="1"/>
    <x v="8"/>
    <x v="2"/>
    <s v="GDP per capita"/>
    <s v="Economy"/>
    <s v="SDG 8: Decent Work and Economic Growth"/>
    <n v="14214.71681"/>
    <s v="Source-defined international dollars"/>
    <s v="Slovenia|1992"/>
    <s v="Gapminder/Plotly country-year extract reshaped to long indicator format for education"/>
    <s v="OK"/>
    <s v="1990s"/>
    <s v="N/A"/>
    <s v="Economy"/>
  </r>
  <r>
    <s v="GM-04168"/>
    <s v="Slovenia"/>
    <x v="1"/>
    <x v="9"/>
    <x v="0"/>
    <s v="Life expectancy at birth"/>
    <s v="Health"/>
    <s v="SDG 3: Good Health and Well-being"/>
    <n v="75.13"/>
    <s v="Years"/>
    <s v="Slovenia|1997"/>
    <s v="Gapminder/Plotly country-year extract reshaped to long indicator format for education"/>
    <s v="OK"/>
    <s v="1990s"/>
    <s v="High"/>
    <s v="Health"/>
  </r>
  <r>
    <s v="GM-04169"/>
    <s v="Slovenia"/>
    <x v="1"/>
    <x v="9"/>
    <x v="1"/>
    <s v="Population, total"/>
    <s v="Demographics"/>
    <s v="SDG 11: Sustainable Cities and Communities"/>
    <n v="2011612"/>
    <s v="People"/>
    <s v="Slovenia|1997"/>
    <s v="Gapminder/Plotly country-year extract reshaped to long indicator format for education"/>
    <s v="OK"/>
    <s v="1990s"/>
    <s v="N/A"/>
    <s v="Demographics"/>
  </r>
  <r>
    <s v="GM-04170"/>
    <s v="Slovenia"/>
    <x v="1"/>
    <x v="9"/>
    <x v="2"/>
    <s v="GDP per capita"/>
    <s v="Economy"/>
    <s v="SDG 8: Decent Work and Economic Growth"/>
    <n v="17161.107349999998"/>
    <s v="Source-defined international dollars"/>
    <s v="Slovenia|1997"/>
    <s v="Gapminder/Plotly country-year extract reshaped to long indicator format for education"/>
    <s v="OK"/>
    <s v="1990s"/>
    <s v="N/A"/>
    <s v="Economy"/>
  </r>
  <r>
    <s v="GM-04171"/>
    <s v="Slovenia"/>
    <x v="1"/>
    <x v="10"/>
    <x v="0"/>
    <s v="Life expectancy at birth"/>
    <s v="Health"/>
    <s v="SDG 3: Good Health and Well-being"/>
    <n v="76.66"/>
    <s v="Years"/>
    <s v="Slovenia|2002"/>
    <s v="Gapminder/Plotly country-year extract reshaped to long indicator format for education"/>
    <s v="OK"/>
    <s v="2000s"/>
    <s v="High"/>
    <s v="Health"/>
  </r>
  <r>
    <s v="GM-04172"/>
    <s v="Slovenia"/>
    <x v="1"/>
    <x v="10"/>
    <x v="1"/>
    <s v="Population, total"/>
    <s v="Demographics"/>
    <s v="SDG 11: Sustainable Cities and Communities"/>
    <n v="2011497"/>
    <s v="People"/>
    <s v="Slovenia|2002"/>
    <s v="Gapminder/Plotly country-year extract reshaped to long indicator format for education"/>
    <s v="OK"/>
    <s v="2000s"/>
    <s v="N/A"/>
    <s v="Demographics"/>
  </r>
  <r>
    <s v="GM-04173"/>
    <s v="Slovenia"/>
    <x v="1"/>
    <x v="10"/>
    <x v="2"/>
    <s v="GDP per capita"/>
    <s v="Economy"/>
    <s v="SDG 8: Decent Work and Economic Growth"/>
    <n v="20660.019359999998"/>
    <s v="Source-defined international dollars"/>
    <s v="Slovenia|2002"/>
    <s v="Gapminder/Plotly country-year extract reshaped to long indicator format for education"/>
    <s v="OK"/>
    <s v="2000s"/>
    <s v="N/A"/>
    <s v="Economy"/>
  </r>
  <r>
    <s v="GM-04174"/>
    <s v="Slovenia"/>
    <x v="1"/>
    <x v="11"/>
    <x v="0"/>
    <s v="Life expectancy at birth"/>
    <s v="Health"/>
    <s v="SDG 3: Good Health and Well-being"/>
    <n v="77.926000000000002"/>
    <s v="Years"/>
    <s v="Slovenia|2007"/>
    <s v="Gapminder/Plotly country-year extract reshaped to long indicator format for education"/>
    <s v="OK"/>
    <s v="2000s"/>
    <s v="High"/>
    <s v="Health"/>
  </r>
  <r>
    <s v="GM-04175"/>
    <s v="Slovenia"/>
    <x v="1"/>
    <x v="11"/>
    <x v="1"/>
    <s v="Population, total"/>
    <s v="Demographics"/>
    <s v="SDG 11: Sustainable Cities and Communities"/>
    <n v="2009245"/>
    <s v="People"/>
    <s v="Slovenia|2007"/>
    <s v="Gapminder/Plotly country-year extract reshaped to long indicator format for education"/>
    <s v="OK"/>
    <s v="2000s"/>
    <s v="N/A"/>
    <s v="Demographics"/>
  </r>
  <r>
    <s v="GM-04176"/>
    <s v="Slovenia"/>
    <x v="1"/>
    <x v="11"/>
    <x v="2"/>
    <s v="GDP per capita"/>
    <s v="Economy"/>
    <s v="SDG 8: Decent Work and Economic Growth"/>
    <n v="25768.257590000001"/>
    <s v="Source-defined international dollars"/>
    <s v="Slovenia|2007"/>
    <s v="Gapminder/Plotly country-year extract reshaped to long indicator format for education"/>
    <s v="OK"/>
    <s v="2000s"/>
    <s v="N/A"/>
    <s v="Economy"/>
  </r>
  <r>
    <s v="GM-04177"/>
    <s v="Somalia"/>
    <x v="2"/>
    <x v="0"/>
    <x v="0"/>
    <s v="Life expectancy at birth"/>
    <s v="Health"/>
    <s v="SDG 3: Good Health and Well-being"/>
    <n v="32.978000000000002"/>
    <s v="Years"/>
    <s v="Somalia|1952"/>
    <s v="Gapminder/Plotly country-year extract reshaped to long indicator format for education"/>
    <s v="OK"/>
    <s v="1950s"/>
    <s v="Low"/>
    <s v="Health"/>
  </r>
  <r>
    <s v="GM-04178"/>
    <s v="Somalia"/>
    <x v="2"/>
    <x v="0"/>
    <x v="1"/>
    <s v="Population, total"/>
    <s v="Demographics"/>
    <s v="SDG 11: Sustainable Cities and Communities"/>
    <n v="2526994"/>
    <s v="People"/>
    <s v="Somalia|1952"/>
    <s v="Gapminder/Plotly country-year extract reshaped to long indicator format for education"/>
    <s v="OK"/>
    <s v="1950s"/>
    <s v="N/A"/>
    <s v="Demographics"/>
  </r>
  <r>
    <s v="GM-04179"/>
    <s v="Somalia"/>
    <x v="2"/>
    <x v="0"/>
    <x v="2"/>
    <s v="GDP per capita"/>
    <s v="Economy"/>
    <s v="SDG 8: Decent Work and Economic Growth"/>
    <n v="1135.7498419999999"/>
    <s v="Source-defined international dollars"/>
    <s v="Somalia|1952"/>
    <s v="Gapminder/Plotly country-year extract reshaped to long indicator format for education"/>
    <s v="OK"/>
    <s v="1950s"/>
    <s v="N/A"/>
    <s v="Economy"/>
  </r>
  <r>
    <s v="GM-04180"/>
    <s v="Somalia"/>
    <x v="2"/>
    <x v="1"/>
    <x v="0"/>
    <s v="Life expectancy at birth"/>
    <s v="Health"/>
    <s v="SDG 3: Good Health and Well-being"/>
    <n v="34.976999999999997"/>
    <s v="Years"/>
    <s v="Somalia|1957"/>
    <s v="Gapminder/Plotly country-year extract reshaped to long indicator format for education"/>
    <s v="OK"/>
    <s v="1950s"/>
    <s v="Low"/>
    <s v="Health"/>
  </r>
  <r>
    <s v="GM-04181"/>
    <s v="Somalia"/>
    <x v="2"/>
    <x v="1"/>
    <x v="1"/>
    <s v="Population, total"/>
    <s v="Demographics"/>
    <s v="SDG 11: Sustainable Cities and Communities"/>
    <n v="2780415"/>
    <s v="People"/>
    <s v="Somalia|1957"/>
    <s v="Gapminder/Plotly country-year extract reshaped to long indicator format for education"/>
    <s v="OK"/>
    <s v="1950s"/>
    <s v="N/A"/>
    <s v="Demographics"/>
  </r>
  <r>
    <s v="GM-04182"/>
    <s v="Somalia"/>
    <x v="2"/>
    <x v="1"/>
    <x v="2"/>
    <s v="GDP per capita"/>
    <s v="Economy"/>
    <s v="SDG 8: Decent Work and Economic Growth"/>
    <n v="1258.1474129999999"/>
    <s v="Source-defined international dollars"/>
    <s v="Somalia|1957"/>
    <s v="Gapminder/Plotly country-year extract reshaped to long indicator format for education"/>
    <s v="OK"/>
    <s v="1950s"/>
    <s v="N/A"/>
    <s v="Economy"/>
  </r>
  <r>
    <s v="GM-04183"/>
    <s v="Somalia"/>
    <x v="2"/>
    <x v="2"/>
    <x v="0"/>
    <s v="Life expectancy at birth"/>
    <s v="Health"/>
    <s v="SDG 3: Good Health and Well-being"/>
    <n v="36.981000000000002"/>
    <s v="Years"/>
    <s v="Somalia|1962"/>
    <s v="Gapminder/Plotly country-year extract reshaped to long indicator format for education"/>
    <s v="OK"/>
    <s v="1960s"/>
    <s v="Low"/>
    <s v="Health"/>
  </r>
  <r>
    <s v="GM-04184"/>
    <s v="Somalia"/>
    <x v="2"/>
    <x v="2"/>
    <x v="1"/>
    <s v="Population, total"/>
    <s v="Demographics"/>
    <s v="SDG 11: Sustainable Cities and Communities"/>
    <n v="3080153"/>
    <s v="People"/>
    <s v="Somalia|1962"/>
    <s v="Gapminder/Plotly country-year extract reshaped to long indicator format for education"/>
    <s v="OK"/>
    <s v="1960s"/>
    <s v="N/A"/>
    <s v="Demographics"/>
  </r>
  <r>
    <s v="GM-04185"/>
    <s v="Somalia"/>
    <x v="2"/>
    <x v="2"/>
    <x v="2"/>
    <s v="GDP per capita"/>
    <s v="Economy"/>
    <s v="SDG 8: Decent Work and Economic Growth"/>
    <n v="1369.4883359999999"/>
    <s v="Source-defined international dollars"/>
    <s v="Somalia|1962"/>
    <s v="Gapminder/Plotly country-year extract reshaped to long indicator format for education"/>
    <s v="OK"/>
    <s v="1960s"/>
    <s v="N/A"/>
    <s v="Economy"/>
  </r>
  <r>
    <s v="GM-04186"/>
    <s v="Somalia"/>
    <x v="2"/>
    <x v="3"/>
    <x v="0"/>
    <s v="Life expectancy at birth"/>
    <s v="Health"/>
    <s v="SDG 3: Good Health and Well-being"/>
    <n v="38.976999999999997"/>
    <s v="Years"/>
    <s v="Somalia|1967"/>
    <s v="Gapminder/Plotly country-year extract reshaped to long indicator format for education"/>
    <s v="OK"/>
    <s v="1960s"/>
    <s v="Low"/>
    <s v="Health"/>
  </r>
  <r>
    <s v="GM-04187"/>
    <s v="Somalia"/>
    <x v="2"/>
    <x v="3"/>
    <x v="1"/>
    <s v="Population, total"/>
    <s v="Demographics"/>
    <s v="SDG 11: Sustainable Cities and Communities"/>
    <n v="3428839"/>
    <s v="People"/>
    <s v="Somalia|1967"/>
    <s v="Gapminder/Plotly country-year extract reshaped to long indicator format for education"/>
    <s v="OK"/>
    <s v="1960s"/>
    <s v="N/A"/>
    <s v="Demographics"/>
  </r>
  <r>
    <s v="GM-04188"/>
    <s v="Somalia"/>
    <x v="2"/>
    <x v="3"/>
    <x v="2"/>
    <s v="GDP per capita"/>
    <s v="Economy"/>
    <s v="SDG 8: Decent Work and Economic Growth"/>
    <n v="1284.7331799999999"/>
    <s v="Source-defined international dollars"/>
    <s v="Somalia|1967"/>
    <s v="Gapminder/Plotly country-year extract reshaped to long indicator format for education"/>
    <s v="OK"/>
    <s v="1960s"/>
    <s v="N/A"/>
    <s v="Economy"/>
  </r>
  <r>
    <s v="GM-04189"/>
    <s v="Somalia"/>
    <x v="2"/>
    <x v="4"/>
    <x v="0"/>
    <s v="Life expectancy at birth"/>
    <s v="Health"/>
    <s v="SDG 3: Good Health and Well-being"/>
    <n v="40.972999999999999"/>
    <s v="Years"/>
    <s v="Somalia|1972"/>
    <s v="Gapminder/Plotly country-year extract reshaped to long indicator format for education"/>
    <s v="OK"/>
    <s v="1970s"/>
    <s v="Low"/>
    <s v="Health"/>
  </r>
  <r>
    <s v="GM-04190"/>
    <s v="Somalia"/>
    <x v="2"/>
    <x v="4"/>
    <x v="1"/>
    <s v="Population, total"/>
    <s v="Demographics"/>
    <s v="SDG 11: Sustainable Cities and Communities"/>
    <n v="3840161"/>
    <s v="People"/>
    <s v="Somalia|1972"/>
    <s v="Gapminder/Plotly country-year extract reshaped to long indicator format for education"/>
    <s v="OK"/>
    <s v="1970s"/>
    <s v="N/A"/>
    <s v="Demographics"/>
  </r>
  <r>
    <s v="GM-04191"/>
    <s v="Somalia"/>
    <x v="2"/>
    <x v="4"/>
    <x v="2"/>
    <s v="GDP per capita"/>
    <s v="Economy"/>
    <s v="SDG 8: Decent Work and Economic Growth"/>
    <n v="1254.576127"/>
    <s v="Source-defined international dollars"/>
    <s v="Somalia|1972"/>
    <s v="Gapminder/Plotly country-year extract reshaped to long indicator format for education"/>
    <s v="OK"/>
    <s v="1970s"/>
    <s v="N/A"/>
    <s v="Economy"/>
  </r>
  <r>
    <s v="GM-04192"/>
    <s v="Somalia"/>
    <x v="2"/>
    <x v="5"/>
    <x v="0"/>
    <s v="Life expectancy at birth"/>
    <s v="Health"/>
    <s v="SDG 3: Good Health and Well-being"/>
    <n v="41.973999999999997"/>
    <s v="Years"/>
    <s v="Somalia|1977"/>
    <s v="Gapminder/Plotly country-year extract reshaped to long indicator format for education"/>
    <s v="OK"/>
    <s v="1970s"/>
    <s v="Low"/>
    <s v="Health"/>
  </r>
  <r>
    <s v="GM-04193"/>
    <s v="Somalia"/>
    <x v="2"/>
    <x v="5"/>
    <x v="1"/>
    <s v="Population, total"/>
    <s v="Demographics"/>
    <s v="SDG 11: Sustainable Cities and Communities"/>
    <n v="4353666"/>
    <s v="People"/>
    <s v="Somalia|1977"/>
    <s v="Gapminder/Plotly country-year extract reshaped to long indicator format for education"/>
    <s v="OK"/>
    <s v="1970s"/>
    <s v="N/A"/>
    <s v="Demographics"/>
  </r>
  <r>
    <s v="GM-04194"/>
    <s v="Somalia"/>
    <x v="2"/>
    <x v="5"/>
    <x v="2"/>
    <s v="GDP per capita"/>
    <s v="Economy"/>
    <s v="SDG 8: Decent Work and Economic Growth"/>
    <n v="1450.9925129999999"/>
    <s v="Source-defined international dollars"/>
    <s v="Somalia|1977"/>
    <s v="Gapminder/Plotly country-year extract reshaped to long indicator format for education"/>
    <s v="OK"/>
    <s v="1970s"/>
    <s v="N/A"/>
    <s v="Economy"/>
  </r>
  <r>
    <s v="GM-04195"/>
    <s v="Somalia"/>
    <x v="2"/>
    <x v="6"/>
    <x v="0"/>
    <s v="Life expectancy at birth"/>
    <s v="Health"/>
    <s v="SDG 3: Good Health and Well-being"/>
    <n v="42.954999999999998"/>
    <s v="Years"/>
    <s v="Somalia|1982"/>
    <s v="Gapminder/Plotly country-year extract reshaped to long indicator format for education"/>
    <s v="OK"/>
    <s v="1980s"/>
    <s v="Low"/>
    <s v="Health"/>
  </r>
  <r>
    <s v="GM-04196"/>
    <s v="Somalia"/>
    <x v="2"/>
    <x v="6"/>
    <x v="1"/>
    <s v="Population, total"/>
    <s v="Demographics"/>
    <s v="SDG 11: Sustainable Cities and Communities"/>
    <n v="5828892"/>
    <s v="People"/>
    <s v="Somalia|1982"/>
    <s v="Gapminder/Plotly country-year extract reshaped to long indicator format for education"/>
    <s v="OK"/>
    <s v="1980s"/>
    <s v="N/A"/>
    <s v="Demographics"/>
  </r>
  <r>
    <s v="GM-04197"/>
    <s v="Somalia"/>
    <x v="2"/>
    <x v="6"/>
    <x v="2"/>
    <s v="GDP per capita"/>
    <s v="Economy"/>
    <s v="SDG 8: Decent Work and Economic Growth"/>
    <n v="1176.8070310000001"/>
    <s v="Source-defined international dollars"/>
    <s v="Somalia|1982"/>
    <s v="Gapminder/Plotly country-year extract reshaped to long indicator format for education"/>
    <s v="OK"/>
    <s v="1980s"/>
    <s v="N/A"/>
    <s v="Economy"/>
  </r>
  <r>
    <s v="GM-04198"/>
    <s v="Somalia"/>
    <x v="2"/>
    <x v="7"/>
    <x v="0"/>
    <s v="Life expectancy at birth"/>
    <s v="Health"/>
    <s v="SDG 3: Good Health and Well-being"/>
    <n v="44.500999999999998"/>
    <s v="Years"/>
    <s v="Somalia|1987"/>
    <s v="Gapminder/Plotly country-year extract reshaped to long indicator format for education"/>
    <s v="OK"/>
    <s v="1980s"/>
    <s v="Low"/>
    <s v="Health"/>
  </r>
  <r>
    <s v="GM-04199"/>
    <s v="Somalia"/>
    <x v="2"/>
    <x v="7"/>
    <x v="1"/>
    <s v="Population, total"/>
    <s v="Demographics"/>
    <s v="SDG 11: Sustainable Cities and Communities"/>
    <n v="6921858"/>
    <s v="People"/>
    <s v="Somalia|1987"/>
    <s v="Gapminder/Plotly country-year extract reshaped to long indicator format for education"/>
    <s v="OK"/>
    <s v="1980s"/>
    <s v="N/A"/>
    <s v="Demographics"/>
  </r>
  <r>
    <s v="GM-04200"/>
    <s v="Somalia"/>
    <x v="2"/>
    <x v="7"/>
    <x v="2"/>
    <s v="GDP per capita"/>
    <s v="Economy"/>
    <s v="SDG 8: Decent Work and Economic Growth"/>
    <n v="1093.2449630000001"/>
    <s v="Source-defined international dollars"/>
    <s v="Somalia|1987"/>
    <s v="Gapminder/Plotly country-year extract reshaped to long indicator format for education"/>
    <s v="OK"/>
    <s v="1980s"/>
    <s v="N/A"/>
    <s v="Economy"/>
  </r>
  <r>
    <s v="GM-04201"/>
    <s v="Somalia"/>
    <x v="2"/>
    <x v="8"/>
    <x v="0"/>
    <s v="Life expectancy at birth"/>
    <s v="Health"/>
    <s v="SDG 3: Good Health and Well-being"/>
    <n v="39.658000000000001"/>
    <s v="Years"/>
    <s v="Somalia|1992"/>
    <s v="Gapminder/Plotly country-year extract reshaped to long indicator format for education"/>
    <s v="OK"/>
    <s v="1990s"/>
    <s v="Low"/>
    <s v="Health"/>
  </r>
  <r>
    <s v="GM-04202"/>
    <s v="Somalia"/>
    <x v="2"/>
    <x v="8"/>
    <x v="1"/>
    <s v="Population, total"/>
    <s v="Demographics"/>
    <s v="SDG 11: Sustainable Cities and Communities"/>
    <n v="6099799"/>
    <s v="People"/>
    <s v="Somalia|1992"/>
    <s v="Gapminder/Plotly country-year extract reshaped to long indicator format for education"/>
    <s v="OK"/>
    <s v="1990s"/>
    <s v="N/A"/>
    <s v="Demographics"/>
  </r>
  <r>
    <s v="GM-04203"/>
    <s v="Somalia"/>
    <x v="2"/>
    <x v="8"/>
    <x v="2"/>
    <s v="GDP per capita"/>
    <s v="Economy"/>
    <s v="SDG 8: Decent Work and Economic Growth"/>
    <n v="926.96029639999995"/>
    <s v="Source-defined international dollars"/>
    <s v="Somalia|1992"/>
    <s v="Gapminder/Plotly country-year extract reshaped to long indicator format for education"/>
    <s v="OK"/>
    <s v="1990s"/>
    <s v="N/A"/>
    <s v="Economy"/>
  </r>
  <r>
    <s v="GM-04204"/>
    <s v="Somalia"/>
    <x v="2"/>
    <x v="9"/>
    <x v="0"/>
    <s v="Life expectancy at birth"/>
    <s v="Health"/>
    <s v="SDG 3: Good Health and Well-being"/>
    <n v="43.795000000000002"/>
    <s v="Years"/>
    <s v="Somalia|1997"/>
    <s v="Gapminder/Plotly country-year extract reshaped to long indicator format for education"/>
    <s v="OK"/>
    <s v="1990s"/>
    <s v="Low"/>
    <s v="Health"/>
  </r>
  <r>
    <s v="GM-04205"/>
    <s v="Somalia"/>
    <x v="2"/>
    <x v="9"/>
    <x v="1"/>
    <s v="Population, total"/>
    <s v="Demographics"/>
    <s v="SDG 11: Sustainable Cities and Communities"/>
    <n v="6633514"/>
    <s v="People"/>
    <s v="Somalia|1997"/>
    <s v="Gapminder/Plotly country-year extract reshaped to long indicator format for education"/>
    <s v="OK"/>
    <s v="1990s"/>
    <s v="N/A"/>
    <s v="Demographics"/>
  </r>
  <r>
    <s v="GM-04206"/>
    <s v="Somalia"/>
    <x v="2"/>
    <x v="9"/>
    <x v="2"/>
    <s v="GDP per capita"/>
    <s v="Economy"/>
    <s v="SDG 8: Decent Work and Economic Growth"/>
    <n v="930.59642840000004"/>
    <s v="Source-defined international dollars"/>
    <s v="Somalia|1997"/>
    <s v="Gapminder/Plotly country-year extract reshaped to long indicator format for education"/>
    <s v="OK"/>
    <s v="1990s"/>
    <s v="N/A"/>
    <s v="Economy"/>
  </r>
  <r>
    <s v="GM-04207"/>
    <s v="Somalia"/>
    <x v="2"/>
    <x v="10"/>
    <x v="0"/>
    <s v="Life expectancy at birth"/>
    <s v="Health"/>
    <s v="SDG 3: Good Health and Well-being"/>
    <n v="45.936"/>
    <s v="Years"/>
    <s v="Somalia|2002"/>
    <s v="Gapminder/Plotly country-year extract reshaped to long indicator format for education"/>
    <s v="OK"/>
    <s v="2000s"/>
    <s v="Low"/>
    <s v="Health"/>
  </r>
  <r>
    <s v="GM-04208"/>
    <s v="Somalia"/>
    <x v="2"/>
    <x v="10"/>
    <x v="1"/>
    <s v="Population, total"/>
    <s v="Demographics"/>
    <s v="SDG 11: Sustainable Cities and Communities"/>
    <n v="7753310"/>
    <s v="People"/>
    <s v="Somalia|2002"/>
    <s v="Gapminder/Plotly country-year extract reshaped to long indicator format for education"/>
    <s v="OK"/>
    <s v="2000s"/>
    <s v="N/A"/>
    <s v="Demographics"/>
  </r>
  <r>
    <s v="GM-04209"/>
    <s v="Somalia"/>
    <x v="2"/>
    <x v="10"/>
    <x v="2"/>
    <s v="GDP per capita"/>
    <s v="Economy"/>
    <s v="SDG 8: Decent Work and Economic Growth"/>
    <n v="882.08182179999994"/>
    <s v="Source-defined international dollars"/>
    <s v="Somalia|2002"/>
    <s v="Gapminder/Plotly country-year extract reshaped to long indicator format for education"/>
    <s v="OK"/>
    <s v="2000s"/>
    <s v="N/A"/>
    <s v="Economy"/>
  </r>
  <r>
    <s v="GM-04210"/>
    <s v="Somalia"/>
    <x v="2"/>
    <x v="11"/>
    <x v="0"/>
    <s v="Life expectancy at birth"/>
    <s v="Health"/>
    <s v="SDG 3: Good Health and Well-being"/>
    <n v="48.158999999999999"/>
    <s v="Years"/>
    <s v="Somalia|2007"/>
    <s v="Gapminder/Plotly country-year extract reshaped to long indicator format for education"/>
    <s v="OK"/>
    <s v="2000s"/>
    <s v="Low"/>
    <s v="Health"/>
  </r>
  <r>
    <s v="GM-04211"/>
    <s v="Somalia"/>
    <x v="2"/>
    <x v="11"/>
    <x v="1"/>
    <s v="Population, total"/>
    <s v="Demographics"/>
    <s v="SDG 11: Sustainable Cities and Communities"/>
    <n v="9118773"/>
    <s v="People"/>
    <s v="Somalia|2007"/>
    <s v="Gapminder/Plotly country-year extract reshaped to long indicator format for education"/>
    <s v="OK"/>
    <s v="2000s"/>
    <s v="N/A"/>
    <s v="Demographics"/>
  </r>
  <r>
    <s v="GM-04212"/>
    <s v="Somalia"/>
    <x v="2"/>
    <x v="11"/>
    <x v="2"/>
    <s v="GDP per capita"/>
    <s v="Economy"/>
    <s v="SDG 8: Decent Work and Economic Growth"/>
    <n v="926.14106830000003"/>
    <s v="Source-defined international dollars"/>
    <s v="Somalia|2007"/>
    <s v="Gapminder/Plotly country-year extract reshaped to long indicator format for education"/>
    <s v="OK"/>
    <s v="2000s"/>
    <s v="N/A"/>
    <s v="Economy"/>
  </r>
  <r>
    <s v="GM-04213"/>
    <s v="South Africa"/>
    <x v="2"/>
    <x v="0"/>
    <x v="0"/>
    <s v="Life expectancy at birth"/>
    <s v="Health"/>
    <s v="SDG 3: Good Health and Well-being"/>
    <n v="45.008999999999901"/>
    <s v="Years"/>
    <s v="South Africa|1952"/>
    <s v="Gapminder/Plotly country-year extract reshaped to long indicator format for education"/>
    <s v="OK"/>
    <s v="1950s"/>
    <s v="Low"/>
    <s v="Health"/>
  </r>
  <r>
    <s v="GM-04214"/>
    <s v="South Africa"/>
    <x v="2"/>
    <x v="0"/>
    <x v="1"/>
    <s v="Population, total"/>
    <s v="Demographics"/>
    <s v="SDG 11: Sustainable Cities and Communities"/>
    <n v="14264935"/>
    <s v="People"/>
    <s v="South Africa|1952"/>
    <s v="Gapminder/Plotly country-year extract reshaped to long indicator format for education"/>
    <s v="OK"/>
    <s v="1950s"/>
    <s v="N/A"/>
    <s v="Demographics"/>
  </r>
  <r>
    <s v="GM-04215"/>
    <s v="South Africa"/>
    <x v="2"/>
    <x v="0"/>
    <x v="2"/>
    <s v="GDP per capita"/>
    <s v="Economy"/>
    <s v="SDG 8: Decent Work and Economic Growth"/>
    <n v="4725.2955309999998"/>
    <s v="Source-defined international dollars"/>
    <s v="South Africa|1952"/>
    <s v="Gapminder/Plotly country-year extract reshaped to long indicator format for education"/>
    <s v="OK"/>
    <s v="1950s"/>
    <s v="N/A"/>
    <s v="Economy"/>
  </r>
  <r>
    <s v="GM-04216"/>
    <s v="South Africa"/>
    <x v="2"/>
    <x v="1"/>
    <x v="0"/>
    <s v="Life expectancy at birth"/>
    <s v="Health"/>
    <s v="SDG 3: Good Health and Well-being"/>
    <n v="47.984999999999999"/>
    <s v="Years"/>
    <s v="South Africa|1957"/>
    <s v="Gapminder/Plotly country-year extract reshaped to long indicator format for education"/>
    <s v="OK"/>
    <s v="1950s"/>
    <s v="Low"/>
    <s v="Health"/>
  </r>
  <r>
    <s v="GM-04217"/>
    <s v="South Africa"/>
    <x v="2"/>
    <x v="1"/>
    <x v="1"/>
    <s v="Population, total"/>
    <s v="Demographics"/>
    <s v="SDG 11: Sustainable Cities and Communities"/>
    <n v="16151549"/>
    <s v="People"/>
    <s v="South Africa|1957"/>
    <s v="Gapminder/Plotly country-year extract reshaped to long indicator format for education"/>
    <s v="OK"/>
    <s v="1950s"/>
    <s v="N/A"/>
    <s v="Demographics"/>
  </r>
  <r>
    <s v="GM-04218"/>
    <s v="South Africa"/>
    <x v="2"/>
    <x v="1"/>
    <x v="2"/>
    <s v="GDP per capita"/>
    <s v="Economy"/>
    <s v="SDG 8: Decent Work and Economic Growth"/>
    <n v="5487.1042189999998"/>
    <s v="Source-defined international dollars"/>
    <s v="South Africa|1957"/>
    <s v="Gapminder/Plotly country-year extract reshaped to long indicator format for education"/>
    <s v="OK"/>
    <s v="1950s"/>
    <s v="N/A"/>
    <s v="Economy"/>
  </r>
  <r>
    <s v="GM-04219"/>
    <s v="South Africa"/>
    <x v="2"/>
    <x v="2"/>
    <x v="0"/>
    <s v="Life expectancy at birth"/>
    <s v="Health"/>
    <s v="SDG 3: Good Health and Well-being"/>
    <n v="49.951000000000001"/>
    <s v="Years"/>
    <s v="South Africa|1962"/>
    <s v="Gapminder/Plotly country-year extract reshaped to long indicator format for education"/>
    <s v="OK"/>
    <s v="1960s"/>
    <s v="Low"/>
    <s v="Health"/>
  </r>
  <r>
    <s v="GM-04220"/>
    <s v="South Africa"/>
    <x v="2"/>
    <x v="2"/>
    <x v="1"/>
    <s v="Population, total"/>
    <s v="Demographics"/>
    <s v="SDG 11: Sustainable Cities and Communities"/>
    <n v="18356657"/>
    <s v="People"/>
    <s v="South Africa|1962"/>
    <s v="Gapminder/Plotly country-year extract reshaped to long indicator format for education"/>
    <s v="OK"/>
    <s v="1960s"/>
    <s v="N/A"/>
    <s v="Demographics"/>
  </r>
  <r>
    <s v="GM-04221"/>
    <s v="South Africa"/>
    <x v="2"/>
    <x v="2"/>
    <x v="2"/>
    <s v="GDP per capita"/>
    <s v="Economy"/>
    <s v="SDG 8: Decent Work and Economic Growth"/>
    <n v="5768.7297170000002"/>
    <s v="Source-defined international dollars"/>
    <s v="South Africa|1962"/>
    <s v="Gapminder/Plotly country-year extract reshaped to long indicator format for education"/>
    <s v="OK"/>
    <s v="1960s"/>
    <s v="N/A"/>
    <s v="Economy"/>
  </r>
  <r>
    <s v="GM-04222"/>
    <s v="South Africa"/>
    <x v="2"/>
    <x v="3"/>
    <x v="0"/>
    <s v="Life expectancy at birth"/>
    <s v="Health"/>
    <s v="SDG 3: Good Health and Well-being"/>
    <n v="51.927"/>
    <s v="Years"/>
    <s v="South Africa|1967"/>
    <s v="Gapminder/Plotly country-year extract reshaped to long indicator format for education"/>
    <s v="OK"/>
    <s v="1960s"/>
    <s v="Low"/>
    <s v="Health"/>
  </r>
  <r>
    <s v="GM-04223"/>
    <s v="South Africa"/>
    <x v="2"/>
    <x v="3"/>
    <x v="1"/>
    <s v="Population, total"/>
    <s v="Demographics"/>
    <s v="SDG 11: Sustainable Cities and Communities"/>
    <n v="20997321"/>
    <s v="People"/>
    <s v="South Africa|1967"/>
    <s v="Gapminder/Plotly country-year extract reshaped to long indicator format for education"/>
    <s v="OK"/>
    <s v="1960s"/>
    <s v="N/A"/>
    <s v="Demographics"/>
  </r>
  <r>
    <s v="GM-04224"/>
    <s v="South Africa"/>
    <x v="2"/>
    <x v="3"/>
    <x v="2"/>
    <s v="GDP per capita"/>
    <s v="Economy"/>
    <s v="SDG 8: Decent Work and Economic Growth"/>
    <n v="7114.4779709999902"/>
    <s v="Source-defined international dollars"/>
    <s v="South Africa|1967"/>
    <s v="Gapminder/Plotly country-year extract reshaped to long indicator format for education"/>
    <s v="OK"/>
    <s v="1960s"/>
    <s v="N/A"/>
    <s v="Economy"/>
  </r>
  <r>
    <s v="GM-04225"/>
    <s v="South Africa"/>
    <x v="2"/>
    <x v="4"/>
    <x v="0"/>
    <s v="Life expectancy at birth"/>
    <s v="Health"/>
    <s v="SDG 3: Good Health and Well-being"/>
    <n v="53.695999999999998"/>
    <s v="Years"/>
    <s v="South Africa|1972"/>
    <s v="Gapminder/Plotly country-year extract reshaped to long indicator format for education"/>
    <s v="OK"/>
    <s v="1970s"/>
    <s v="Low"/>
    <s v="Health"/>
  </r>
  <r>
    <s v="GM-04226"/>
    <s v="South Africa"/>
    <x v="2"/>
    <x v="4"/>
    <x v="1"/>
    <s v="Population, total"/>
    <s v="Demographics"/>
    <s v="SDG 11: Sustainable Cities and Communities"/>
    <n v="23935810"/>
    <s v="People"/>
    <s v="South Africa|1972"/>
    <s v="Gapminder/Plotly country-year extract reshaped to long indicator format for education"/>
    <s v="OK"/>
    <s v="1970s"/>
    <s v="N/A"/>
    <s v="Demographics"/>
  </r>
  <r>
    <s v="GM-04227"/>
    <s v="South Africa"/>
    <x v="2"/>
    <x v="4"/>
    <x v="2"/>
    <s v="GDP per capita"/>
    <s v="Economy"/>
    <s v="SDG 8: Decent Work and Economic Growth"/>
    <n v="7765.9626360000002"/>
    <s v="Source-defined international dollars"/>
    <s v="South Africa|1972"/>
    <s v="Gapminder/Plotly country-year extract reshaped to long indicator format for education"/>
    <s v="OK"/>
    <s v="1970s"/>
    <s v="N/A"/>
    <s v="Economy"/>
  </r>
  <r>
    <s v="GM-04228"/>
    <s v="South Africa"/>
    <x v="2"/>
    <x v="5"/>
    <x v="0"/>
    <s v="Life expectancy at birth"/>
    <s v="Health"/>
    <s v="SDG 3: Good Health and Well-being"/>
    <n v="55.527000000000001"/>
    <s v="Years"/>
    <s v="South Africa|1977"/>
    <s v="Gapminder/Plotly country-year extract reshaped to long indicator format for education"/>
    <s v="OK"/>
    <s v="1970s"/>
    <s v="Medium"/>
    <s v="Health"/>
  </r>
  <r>
    <s v="GM-04229"/>
    <s v="South Africa"/>
    <x v="2"/>
    <x v="5"/>
    <x v="1"/>
    <s v="Population, total"/>
    <s v="Demographics"/>
    <s v="SDG 11: Sustainable Cities and Communities"/>
    <n v="27129932"/>
    <s v="People"/>
    <s v="South Africa|1977"/>
    <s v="Gapminder/Plotly country-year extract reshaped to long indicator format for education"/>
    <s v="OK"/>
    <s v="1970s"/>
    <s v="N/A"/>
    <s v="Demographics"/>
  </r>
  <r>
    <s v="GM-04230"/>
    <s v="South Africa"/>
    <x v="2"/>
    <x v="5"/>
    <x v="2"/>
    <s v="GDP per capita"/>
    <s v="Economy"/>
    <s v="SDG 8: Decent Work and Economic Growth"/>
    <n v="8028.6514390000002"/>
    <s v="Source-defined international dollars"/>
    <s v="South Africa|1977"/>
    <s v="Gapminder/Plotly country-year extract reshaped to long indicator format for education"/>
    <s v="OK"/>
    <s v="1970s"/>
    <s v="N/A"/>
    <s v="Economy"/>
  </r>
  <r>
    <s v="GM-04231"/>
    <s v="South Africa"/>
    <x v="2"/>
    <x v="6"/>
    <x v="0"/>
    <s v="Life expectancy at birth"/>
    <s v="Health"/>
    <s v="SDG 3: Good Health and Well-being"/>
    <n v="58.161000000000001"/>
    <s v="Years"/>
    <s v="South Africa|1982"/>
    <s v="Gapminder/Plotly country-year extract reshaped to long indicator format for education"/>
    <s v="OK"/>
    <s v="1980s"/>
    <s v="Medium"/>
    <s v="Health"/>
  </r>
  <r>
    <s v="GM-04232"/>
    <s v="South Africa"/>
    <x v="2"/>
    <x v="6"/>
    <x v="1"/>
    <s v="Population, total"/>
    <s v="Demographics"/>
    <s v="SDG 11: Sustainable Cities and Communities"/>
    <n v="31140029"/>
    <s v="People"/>
    <s v="South Africa|1982"/>
    <s v="Gapminder/Plotly country-year extract reshaped to long indicator format for education"/>
    <s v="OK"/>
    <s v="1980s"/>
    <s v="N/A"/>
    <s v="Demographics"/>
  </r>
  <r>
    <s v="GM-04233"/>
    <s v="South Africa"/>
    <x v="2"/>
    <x v="6"/>
    <x v="2"/>
    <s v="GDP per capita"/>
    <s v="Economy"/>
    <s v="SDG 8: Decent Work and Economic Growth"/>
    <n v="8568.2662280000004"/>
    <s v="Source-defined international dollars"/>
    <s v="South Africa|1982"/>
    <s v="Gapminder/Plotly country-year extract reshaped to long indicator format for education"/>
    <s v="OK"/>
    <s v="1980s"/>
    <s v="N/A"/>
    <s v="Economy"/>
  </r>
  <r>
    <s v="GM-04234"/>
    <s v="South Africa"/>
    <x v="2"/>
    <x v="7"/>
    <x v="0"/>
    <s v="Life expectancy at birth"/>
    <s v="Health"/>
    <s v="SDG 3: Good Health and Well-being"/>
    <n v="60.834000000000003"/>
    <s v="Years"/>
    <s v="South Africa|1987"/>
    <s v="Gapminder/Plotly country-year extract reshaped to long indicator format for education"/>
    <s v="OK"/>
    <s v="1980s"/>
    <s v="Medium"/>
    <s v="Health"/>
  </r>
  <r>
    <s v="GM-04235"/>
    <s v="South Africa"/>
    <x v="2"/>
    <x v="7"/>
    <x v="1"/>
    <s v="Population, total"/>
    <s v="Demographics"/>
    <s v="SDG 11: Sustainable Cities and Communities"/>
    <n v="35933379"/>
    <s v="People"/>
    <s v="South Africa|1987"/>
    <s v="Gapminder/Plotly country-year extract reshaped to long indicator format for education"/>
    <s v="OK"/>
    <s v="1980s"/>
    <s v="N/A"/>
    <s v="Demographics"/>
  </r>
  <r>
    <s v="GM-04236"/>
    <s v="South Africa"/>
    <x v="2"/>
    <x v="7"/>
    <x v="2"/>
    <s v="GDP per capita"/>
    <s v="Economy"/>
    <s v="SDG 8: Decent Work and Economic Growth"/>
    <n v="7825.8233980000005"/>
    <s v="Source-defined international dollars"/>
    <s v="South Africa|1987"/>
    <s v="Gapminder/Plotly country-year extract reshaped to long indicator format for education"/>
    <s v="OK"/>
    <s v="1980s"/>
    <s v="N/A"/>
    <s v="Economy"/>
  </r>
  <r>
    <s v="GM-04237"/>
    <s v="South Africa"/>
    <x v="2"/>
    <x v="8"/>
    <x v="0"/>
    <s v="Life expectancy at birth"/>
    <s v="Health"/>
    <s v="SDG 3: Good Health and Well-being"/>
    <n v="61.887999999999998"/>
    <s v="Years"/>
    <s v="South Africa|1992"/>
    <s v="Gapminder/Plotly country-year extract reshaped to long indicator format for education"/>
    <s v="OK"/>
    <s v="1990s"/>
    <s v="Medium"/>
    <s v="Health"/>
  </r>
  <r>
    <s v="GM-04238"/>
    <s v="South Africa"/>
    <x v="2"/>
    <x v="8"/>
    <x v="1"/>
    <s v="Population, total"/>
    <s v="Demographics"/>
    <s v="SDG 11: Sustainable Cities and Communities"/>
    <n v="39964159"/>
    <s v="People"/>
    <s v="South Africa|1992"/>
    <s v="Gapminder/Plotly country-year extract reshaped to long indicator format for education"/>
    <s v="OK"/>
    <s v="1990s"/>
    <s v="N/A"/>
    <s v="Demographics"/>
  </r>
  <r>
    <s v="GM-04239"/>
    <s v="South Africa"/>
    <x v="2"/>
    <x v="8"/>
    <x v="2"/>
    <s v="GDP per capita"/>
    <s v="Economy"/>
    <s v="SDG 8: Decent Work and Economic Growth"/>
    <n v="7225.0692579999904"/>
    <s v="Source-defined international dollars"/>
    <s v="South Africa|1992"/>
    <s v="Gapminder/Plotly country-year extract reshaped to long indicator format for education"/>
    <s v="OK"/>
    <s v="1990s"/>
    <s v="N/A"/>
    <s v="Economy"/>
  </r>
  <r>
    <s v="GM-04240"/>
    <s v="South Africa"/>
    <x v="2"/>
    <x v="9"/>
    <x v="0"/>
    <s v="Life expectancy at birth"/>
    <s v="Health"/>
    <s v="SDG 3: Good Health and Well-being"/>
    <n v="60.235999999999997"/>
    <s v="Years"/>
    <s v="South Africa|1997"/>
    <s v="Gapminder/Plotly country-year extract reshaped to long indicator format for education"/>
    <s v="OK"/>
    <s v="1990s"/>
    <s v="Medium"/>
    <s v="Health"/>
  </r>
  <r>
    <s v="GM-04241"/>
    <s v="South Africa"/>
    <x v="2"/>
    <x v="9"/>
    <x v="1"/>
    <s v="Population, total"/>
    <s v="Demographics"/>
    <s v="SDG 11: Sustainable Cities and Communities"/>
    <n v="42835005"/>
    <s v="People"/>
    <s v="South Africa|1997"/>
    <s v="Gapminder/Plotly country-year extract reshaped to long indicator format for education"/>
    <s v="OK"/>
    <s v="1990s"/>
    <s v="N/A"/>
    <s v="Demographics"/>
  </r>
  <r>
    <s v="GM-04242"/>
    <s v="South Africa"/>
    <x v="2"/>
    <x v="9"/>
    <x v="2"/>
    <s v="GDP per capita"/>
    <s v="Economy"/>
    <s v="SDG 8: Decent Work and Economic Growth"/>
    <n v="7479.1882439999999"/>
    <s v="Source-defined international dollars"/>
    <s v="South Africa|1997"/>
    <s v="Gapminder/Plotly country-year extract reshaped to long indicator format for education"/>
    <s v="OK"/>
    <s v="1990s"/>
    <s v="N/A"/>
    <s v="Economy"/>
  </r>
  <r>
    <s v="GM-04243"/>
    <s v="South Africa"/>
    <x v="2"/>
    <x v="10"/>
    <x v="0"/>
    <s v="Life expectancy at birth"/>
    <s v="Health"/>
    <s v="SDG 3: Good Health and Well-being"/>
    <n v="53.365000000000002"/>
    <s v="Years"/>
    <s v="South Africa|2002"/>
    <s v="Gapminder/Plotly country-year extract reshaped to long indicator format for education"/>
    <s v="OK"/>
    <s v="2000s"/>
    <s v="Low"/>
    <s v="Health"/>
  </r>
  <r>
    <s v="GM-04244"/>
    <s v="South Africa"/>
    <x v="2"/>
    <x v="10"/>
    <x v="1"/>
    <s v="Population, total"/>
    <s v="Demographics"/>
    <s v="SDG 11: Sustainable Cities and Communities"/>
    <n v="44433622"/>
    <s v="People"/>
    <s v="South Africa|2002"/>
    <s v="Gapminder/Plotly country-year extract reshaped to long indicator format for education"/>
    <s v="OK"/>
    <s v="2000s"/>
    <s v="N/A"/>
    <s v="Demographics"/>
  </r>
  <r>
    <s v="GM-04245"/>
    <s v="South Africa"/>
    <x v="2"/>
    <x v="10"/>
    <x v="2"/>
    <s v="GDP per capita"/>
    <s v="Economy"/>
    <s v="SDG 8: Decent Work and Economic Growth"/>
    <n v="7710.9464440000002"/>
    <s v="Source-defined international dollars"/>
    <s v="South Africa|2002"/>
    <s v="Gapminder/Plotly country-year extract reshaped to long indicator format for education"/>
    <s v="OK"/>
    <s v="2000s"/>
    <s v="N/A"/>
    <s v="Economy"/>
  </r>
  <r>
    <s v="GM-04246"/>
    <s v="South Africa"/>
    <x v="2"/>
    <x v="11"/>
    <x v="0"/>
    <s v="Life expectancy at birth"/>
    <s v="Health"/>
    <s v="SDG 3: Good Health and Well-being"/>
    <n v="49.338999999999999"/>
    <s v="Years"/>
    <s v="South Africa|2007"/>
    <s v="Gapminder/Plotly country-year extract reshaped to long indicator format for education"/>
    <s v="OK"/>
    <s v="2000s"/>
    <s v="Low"/>
    <s v="Health"/>
  </r>
  <r>
    <s v="GM-04247"/>
    <s v="South Africa"/>
    <x v="2"/>
    <x v="11"/>
    <x v="1"/>
    <s v="Population, total"/>
    <s v="Demographics"/>
    <s v="SDG 11: Sustainable Cities and Communities"/>
    <n v="43997828"/>
    <s v="People"/>
    <s v="South Africa|2007"/>
    <s v="Gapminder/Plotly country-year extract reshaped to long indicator format for education"/>
    <s v="OK"/>
    <s v="2000s"/>
    <s v="N/A"/>
    <s v="Demographics"/>
  </r>
  <r>
    <s v="GM-04248"/>
    <s v="South Africa"/>
    <x v="2"/>
    <x v="11"/>
    <x v="2"/>
    <s v="GDP per capita"/>
    <s v="Economy"/>
    <s v="SDG 8: Decent Work and Economic Growth"/>
    <n v="9269.6578079999999"/>
    <s v="Source-defined international dollars"/>
    <s v="South Africa|2007"/>
    <s v="Gapminder/Plotly country-year extract reshaped to long indicator format for education"/>
    <s v="OK"/>
    <s v="2000s"/>
    <s v="N/A"/>
    <s v="Economy"/>
  </r>
  <r>
    <s v="GM-04249"/>
    <s v="Spain"/>
    <x v="1"/>
    <x v="0"/>
    <x v="0"/>
    <s v="Life expectancy at birth"/>
    <s v="Health"/>
    <s v="SDG 3: Good Health and Well-being"/>
    <n v="64.94"/>
    <s v="Years"/>
    <s v="Spain|1952"/>
    <s v="Gapminder/Plotly country-year extract reshaped to long indicator format for education"/>
    <s v="OK"/>
    <s v="1950s"/>
    <s v="Medium"/>
    <s v="Health"/>
  </r>
  <r>
    <s v="GM-04250"/>
    <s v="Spain"/>
    <x v="1"/>
    <x v="0"/>
    <x v="1"/>
    <s v="Population, total"/>
    <s v="Demographics"/>
    <s v="SDG 11: Sustainable Cities and Communities"/>
    <n v="28549870"/>
    <s v="People"/>
    <s v="Spain|1952"/>
    <s v="Gapminder/Plotly country-year extract reshaped to long indicator format for education"/>
    <s v="OK"/>
    <s v="1950s"/>
    <s v="N/A"/>
    <s v="Demographics"/>
  </r>
  <r>
    <s v="GM-04251"/>
    <s v="Spain"/>
    <x v="1"/>
    <x v="0"/>
    <x v="2"/>
    <s v="GDP per capita"/>
    <s v="Economy"/>
    <s v="SDG 8: Decent Work and Economic Growth"/>
    <n v="3834.0347419999998"/>
    <s v="Source-defined international dollars"/>
    <s v="Spain|1952"/>
    <s v="Gapminder/Plotly country-year extract reshaped to long indicator format for education"/>
    <s v="OK"/>
    <s v="1950s"/>
    <s v="N/A"/>
    <s v="Economy"/>
  </r>
  <r>
    <s v="GM-04252"/>
    <s v="Spain"/>
    <x v="1"/>
    <x v="1"/>
    <x v="0"/>
    <s v="Life expectancy at birth"/>
    <s v="Health"/>
    <s v="SDG 3: Good Health and Well-being"/>
    <n v="66.66"/>
    <s v="Years"/>
    <s v="Spain|1957"/>
    <s v="Gapminder/Plotly country-year extract reshaped to long indicator format for education"/>
    <s v="OK"/>
    <s v="1950s"/>
    <s v="Medium"/>
    <s v="Health"/>
  </r>
  <r>
    <s v="GM-04253"/>
    <s v="Spain"/>
    <x v="1"/>
    <x v="1"/>
    <x v="1"/>
    <s v="Population, total"/>
    <s v="Demographics"/>
    <s v="SDG 11: Sustainable Cities and Communities"/>
    <n v="29841614"/>
    <s v="People"/>
    <s v="Spain|1957"/>
    <s v="Gapminder/Plotly country-year extract reshaped to long indicator format for education"/>
    <s v="OK"/>
    <s v="1950s"/>
    <s v="N/A"/>
    <s v="Demographics"/>
  </r>
  <r>
    <s v="GM-04254"/>
    <s v="Spain"/>
    <x v="1"/>
    <x v="1"/>
    <x v="2"/>
    <s v="GDP per capita"/>
    <s v="Economy"/>
    <s v="SDG 8: Decent Work and Economic Growth"/>
    <n v="4564.8024100000002"/>
    <s v="Source-defined international dollars"/>
    <s v="Spain|1957"/>
    <s v="Gapminder/Plotly country-year extract reshaped to long indicator format for education"/>
    <s v="OK"/>
    <s v="1950s"/>
    <s v="N/A"/>
    <s v="Economy"/>
  </r>
  <r>
    <s v="GM-04255"/>
    <s v="Spain"/>
    <x v="1"/>
    <x v="2"/>
    <x v="0"/>
    <s v="Life expectancy at birth"/>
    <s v="Health"/>
    <s v="SDG 3: Good Health and Well-being"/>
    <n v="69.69"/>
    <s v="Years"/>
    <s v="Spain|1962"/>
    <s v="Gapminder/Plotly country-year extract reshaped to long indicator format for education"/>
    <s v="OK"/>
    <s v="1960s"/>
    <s v="Medium"/>
    <s v="Health"/>
  </r>
  <r>
    <s v="GM-04256"/>
    <s v="Spain"/>
    <x v="1"/>
    <x v="2"/>
    <x v="1"/>
    <s v="Population, total"/>
    <s v="Demographics"/>
    <s v="SDG 11: Sustainable Cities and Communities"/>
    <n v="31158061"/>
    <s v="People"/>
    <s v="Spain|1962"/>
    <s v="Gapminder/Plotly country-year extract reshaped to long indicator format for education"/>
    <s v="OK"/>
    <s v="1960s"/>
    <s v="N/A"/>
    <s v="Demographics"/>
  </r>
  <r>
    <s v="GM-04257"/>
    <s v="Spain"/>
    <x v="1"/>
    <x v="2"/>
    <x v="2"/>
    <s v="GDP per capita"/>
    <s v="Economy"/>
    <s v="SDG 8: Decent Work and Economic Growth"/>
    <n v="5693.843879"/>
    <s v="Source-defined international dollars"/>
    <s v="Spain|1962"/>
    <s v="Gapminder/Plotly country-year extract reshaped to long indicator format for education"/>
    <s v="OK"/>
    <s v="1960s"/>
    <s v="N/A"/>
    <s v="Economy"/>
  </r>
  <r>
    <s v="GM-04258"/>
    <s v="Spain"/>
    <x v="1"/>
    <x v="3"/>
    <x v="0"/>
    <s v="Life expectancy at birth"/>
    <s v="Health"/>
    <s v="SDG 3: Good Health and Well-being"/>
    <n v="71.44"/>
    <s v="Years"/>
    <s v="Spain|1967"/>
    <s v="Gapminder/Plotly country-year extract reshaped to long indicator format for education"/>
    <s v="OK"/>
    <s v="1960s"/>
    <s v="High"/>
    <s v="Health"/>
  </r>
  <r>
    <s v="GM-04259"/>
    <s v="Spain"/>
    <x v="1"/>
    <x v="3"/>
    <x v="1"/>
    <s v="Population, total"/>
    <s v="Demographics"/>
    <s v="SDG 11: Sustainable Cities and Communities"/>
    <n v="32850275"/>
    <s v="People"/>
    <s v="Spain|1967"/>
    <s v="Gapminder/Plotly country-year extract reshaped to long indicator format for education"/>
    <s v="OK"/>
    <s v="1960s"/>
    <s v="N/A"/>
    <s v="Demographics"/>
  </r>
  <r>
    <s v="GM-04260"/>
    <s v="Spain"/>
    <x v="1"/>
    <x v="3"/>
    <x v="2"/>
    <s v="GDP per capita"/>
    <s v="Economy"/>
    <s v="SDG 8: Decent Work and Economic Growth"/>
    <n v="7993.5122940000001"/>
    <s v="Source-defined international dollars"/>
    <s v="Spain|1967"/>
    <s v="Gapminder/Plotly country-year extract reshaped to long indicator format for education"/>
    <s v="OK"/>
    <s v="1960s"/>
    <s v="N/A"/>
    <s v="Economy"/>
  </r>
  <r>
    <s v="GM-04261"/>
    <s v="Spain"/>
    <x v="1"/>
    <x v="4"/>
    <x v="0"/>
    <s v="Life expectancy at birth"/>
    <s v="Health"/>
    <s v="SDG 3: Good Health and Well-being"/>
    <n v="73.06"/>
    <s v="Years"/>
    <s v="Spain|1972"/>
    <s v="Gapminder/Plotly country-year extract reshaped to long indicator format for education"/>
    <s v="OK"/>
    <s v="1970s"/>
    <s v="High"/>
    <s v="Health"/>
  </r>
  <r>
    <s v="GM-04262"/>
    <s v="Spain"/>
    <x v="1"/>
    <x v="4"/>
    <x v="1"/>
    <s v="Population, total"/>
    <s v="Demographics"/>
    <s v="SDG 11: Sustainable Cities and Communities"/>
    <n v="34513161"/>
    <s v="People"/>
    <s v="Spain|1972"/>
    <s v="Gapminder/Plotly country-year extract reshaped to long indicator format for education"/>
    <s v="OK"/>
    <s v="1970s"/>
    <s v="N/A"/>
    <s v="Demographics"/>
  </r>
  <r>
    <s v="GM-04263"/>
    <s v="Spain"/>
    <x v="1"/>
    <x v="4"/>
    <x v="2"/>
    <s v="GDP per capita"/>
    <s v="Economy"/>
    <s v="SDG 8: Decent Work and Economic Growth"/>
    <n v="10638.75131"/>
    <s v="Source-defined international dollars"/>
    <s v="Spain|1972"/>
    <s v="Gapminder/Plotly country-year extract reshaped to long indicator format for education"/>
    <s v="OK"/>
    <s v="1970s"/>
    <s v="N/A"/>
    <s v="Economy"/>
  </r>
  <r>
    <s v="GM-04264"/>
    <s v="Spain"/>
    <x v="1"/>
    <x v="5"/>
    <x v="0"/>
    <s v="Life expectancy at birth"/>
    <s v="Health"/>
    <s v="SDG 3: Good Health and Well-being"/>
    <n v="74.39"/>
    <s v="Years"/>
    <s v="Spain|1977"/>
    <s v="Gapminder/Plotly country-year extract reshaped to long indicator format for education"/>
    <s v="OK"/>
    <s v="1970s"/>
    <s v="High"/>
    <s v="Health"/>
  </r>
  <r>
    <s v="GM-04265"/>
    <s v="Spain"/>
    <x v="1"/>
    <x v="5"/>
    <x v="1"/>
    <s v="Population, total"/>
    <s v="Demographics"/>
    <s v="SDG 11: Sustainable Cities and Communities"/>
    <n v="36439000"/>
    <s v="People"/>
    <s v="Spain|1977"/>
    <s v="Gapminder/Plotly country-year extract reshaped to long indicator format for education"/>
    <s v="OK"/>
    <s v="1970s"/>
    <s v="N/A"/>
    <s v="Demographics"/>
  </r>
  <r>
    <s v="GM-04266"/>
    <s v="Spain"/>
    <x v="1"/>
    <x v="5"/>
    <x v="2"/>
    <s v="GDP per capita"/>
    <s v="Economy"/>
    <s v="SDG 8: Decent Work and Economic Growth"/>
    <n v="13236.92117"/>
    <s v="Source-defined international dollars"/>
    <s v="Spain|1977"/>
    <s v="Gapminder/Plotly country-year extract reshaped to long indicator format for education"/>
    <s v="OK"/>
    <s v="1970s"/>
    <s v="N/A"/>
    <s v="Economy"/>
  </r>
  <r>
    <s v="GM-04267"/>
    <s v="Spain"/>
    <x v="1"/>
    <x v="6"/>
    <x v="0"/>
    <s v="Life expectancy at birth"/>
    <s v="Health"/>
    <s v="SDG 3: Good Health and Well-being"/>
    <n v="76.3"/>
    <s v="Years"/>
    <s v="Spain|1982"/>
    <s v="Gapminder/Plotly country-year extract reshaped to long indicator format for education"/>
    <s v="OK"/>
    <s v="1980s"/>
    <s v="High"/>
    <s v="Health"/>
  </r>
  <r>
    <s v="GM-04268"/>
    <s v="Spain"/>
    <x v="1"/>
    <x v="6"/>
    <x v="1"/>
    <s v="Population, total"/>
    <s v="Demographics"/>
    <s v="SDG 11: Sustainable Cities and Communities"/>
    <n v="37983310"/>
    <s v="People"/>
    <s v="Spain|1982"/>
    <s v="Gapminder/Plotly country-year extract reshaped to long indicator format for education"/>
    <s v="OK"/>
    <s v="1980s"/>
    <s v="N/A"/>
    <s v="Demographics"/>
  </r>
  <r>
    <s v="GM-04269"/>
    <s v="Spain"/>
    <x v="1"/>
    <x v="6"/>
    <x v="2"/>
    <s v="GDP per capita"/>
    <s v="Economy"/>
    <s v="SDG 8: Decent Work and Economic Growth"/>
    <n v="13926.169970000001"/>
    <s v="Source-defined international dollars"/>
    <s v="Spain|1982"/>
    <s v="Gapminder/Plotly country-year extract reshaped to long indicator format for education"/>
    <s v="OK"/>
    <s v="1980s"/>
    <s v="N/A"/>
    <s v="Economy"/>
  </r>
  <r>
    <s v="GM-04270"/>
    <s v="Spain"/>
    <x v="1"/>
    <x v="7"/>
    <x v="0"/>
    <s v="Life expectancy at birth"/>
    <s v="Health"/>
    <s v="SDG 3: Good Health and Well-being"/>
    <n v="76.900000000000006"/>
    <s v="Years"/>
    <s v="Spain|1987"/>
    <s v="Gapminder/Plotly country-year extract reshaped to long indicator format for education"/>
    <s v="OK"/>
    <s v="1980s"/>
    <s v="High"/>
    <s v="Health"/>
  </r>
  <r>
    <s v="GM-04271"/>
    <s v="Spain"/>
    <x v="1"/>
    <x v="7"/>
    <x v="1"/>
    <s v="Population, total"/>
    <s v="Demographics"/>
    <s v="SDG 11: Sustainable Cities and Communities"/>
    <n v="38880702"/>
    <s v="People"/>
    <s v="Spain|1987"/>
    <s v="Gapminder/Plotly country-year extract reshaped to long indicator format for education"/>
    <s v="OK"/>
    <s v="1980s"/>
    <s v="N/A"/>
    <s v="Demographics"/>
  </r>
  <r>
    <s v="GM-04272"/>
    <s v="Spain"/>
    <x v="1"/>
    <x v="7"/>
    <x v="2"/>
    <s v="GDP per capita"/>
    <s v="Economy"/>
    <s v="SDG 8: Decent Work and Economic Growth"/>
    <n v="15764.983130000001"/>
    <s v="Source-defined international dollars"/>
    <s v="Spain|1987"/>
    <s v="Gapminder/Plotly country-year extract reshaped to long indicator format for education"/>
    <s v="OK"/>
    <s v="1980s"/>
    <s v="N/A"/>
    <s v="Economy"/>
  </r>
  <r>
    <s v="GM-04273"/>
    <s v="Spain"/>
    <x v="1"/>
    <x v="8"/>
    <x v="0"/>
    <s v="Life expectancy at birth"/>
    <s v="Health"/>
    <s v="SDG 3: Good Health and Well-being"/>
    <n v="77.569999999999993"/>
    <s v="Years"/>
    <s v="Spain|1992"/>
    <s v="Gapminder/Plotly country-year extract reshaped to long indicator format for education"/>
    <s v="OK"/>
    <s v="1990s"/>
    <s v="High"/>
    <s v="Health"/>
  </r>
  <r>
    <s v="GM-04274"/>
    <s v="Spain"/>
    <x v="1"/>
    <x v="8"/>
    <x v="1"/>
    <s v="Population, total"/>
    <s v="Demographics"/>
    <s v="SDG 11: Sustainable Cities and Communities"/>
    <n v="39549438"/>
    <s v="People"/>
    <s v="Spain|1992"/>
    <s v="Gapminder/Plotly country-year extract reshaped to long indicator format for education"/>
    <s v="OK"/>
    <s v="1990s"/>
    <s v="N/A"/>
    <s v="Demographics"/>
  </r>
  <r>
    <s v="GM-04275"/>
    <s v="Spain"/>
    <x v="1"/>
    <x v="8"/>
    <x v="2"/>
    <s v="GDP per capita"/>
    <s v="Economy"/>
    <s v="SDG 8: Decent Work and Economic Growth"/>
    <n v="18603.06452"/>
    <s v="Source-defined international dollars"/>
    <s v="Spain|1992"/>
    <s v="Gapminder/Plotly country-year extract reshaped to long indicator format for education"/>
    <s v="OK"/>
    <s v="1990s"/>
    <s v="N/A"/>
    <s v="Economy"/>
  </r>
  <r>
    <s v="GM-04276"/>
    <s v="Spain"/>
    <x v="1"/>
    <x v="9"/>
    <x v="0"/>
    <s v="Life expectancy at birth"/>
    <s v="Health"/>
    <s v="SDG 3: Good Health and Well-being"/>
    <n v="78.77"/>
    <s v="Years"/>
    <s v="Spain|1997"/>
    <s v="Gapminder/Plotly country-year extract reshaped to long indicator format for education"/>
    <s v="OK"/>
    <s v="1990s"/>
    <s v="High"/>
    <s v="Health"/>
  </r>
  <r>
    <s v="GM-04277"/>
    <s v="Spain"/>
    <x v="1"/>
    <x v="9"/>
    <x v="1"/>
    <s v="Population, total"/>
    <s v="Demographics"/>
    <s v="SDG 11: Sustainable Cities and Communities"/>
    <n v="39855442"/>
    <s v="People"/>
    <s v="Spain|1997"/>
    <s v="Gapminder/Plotly country-year extract reshaped to long indicator format for education"/>
    <s v="OK"/>
    <s v="1990s"/>
    <s v="N/A"/>
    <s v="Demographics"/>
  </r>
  <r>
    <s v="GM-04278"/>
    <s v="Spain"/>
    <x v="1"/>
    <x v="9"/>
    <x v="2"/>
    <s v="GDP per capita"/>
    <s v="Economy"/>
    <s v="SDG 8: Decent Work and Economic Growth"/>
    <n v="20445.29896"/>
    <s v="Source-defined international dollars"/>
    <s v="Spain|1997"/>
    <s v="Gapminder/Plotly country-year extract reshaped to long indicator format for education"/>
    <s v="OK"/>
    <s v="1990s"/>
    <s v="N/A"/>
    <s v="Economy"/>
  </r>
  <r>
    <s v="GM-04279"/>
    <s v="Spain"/>
    <x v="1"/>
    <x v="10"/>
    <x v="0"/>
    <s v="Life expectancy at birth"/>
    <s v="Health"/>
    <s v="SDG 3: Good Health and Well-being"/>
    <n v="79.78"/>
    <s v="Years"/>
    <s v="Spain|2002"/>
    <s v="Gapminder/Plotly country-year extract reshaped to long indicator format for education"/>
    <s v="OK"/>
    <s v="2000s"/>
    <s v="High"/>
    <s v="Health"/>
  </r>
  <r>
    <s v="GM-04280"/>
    <s v="Spain"/>
    <x v="1"/>
    <x v="10"/>
    <x v="1"/>
    <s v="Population, total"/>
    <s v="Demographics"/>
    <s v="SDG 11: Sustainable Cities and Communities"/>
    <n v="40152517"/>
    <s v="People"/>
    <s v="Spain|2002"/>
    <s v="Gapminder/Plotly country-year extract reshaped to long indicator format for education"/>
    <s v="OK"/>
    <s v="2000s"/>
    <s v="N/A"/>
    <s v="Demographics"/>
  </r>
  <r>
    <s v="GM-04281"/>
    <s v="Spain"/>
    <x v="1"/>
    <x v="10"/>
    <x v="2"/>
    <s v="GDP per capita"/>
    <s v="Economy"/>
    <s v="SDG 8: Decent Work and Economic Growth"/>
    <n v="24835.471659999999"/>
    <s v="Source-defined international dollars"/>
    <s v="Spain|2002"/>
    <s v="Gapminder/Plotly country-year extract reshaped to long indicator format for education"/>
    <s v="OK"/>
    <s v="2000s"/>
    <s v="N/A"/>
    <s v="Economy"/>
  </r>
  <r>
    <s v="GM-04282"/>
    <s v="Spain"/>
    <x v="1"/>
    <x v="11"/>
    <x v="0"/>
    <s v="Life expectancy at birth"/>
    <s v="Health"/>
    <s v="SDG 3: Good Health and Well-being"/>
    <n v="80.941000000000003"/>
    <s v="Years"/>
    <s v="Spain|2007"/>
    <s v="Gapminder/Plotly country-year extract reshaped to long indicator format for education"/>
    <s v="OK"/>
    <s v="2000s"/>
    <s v="High"/>
    <s v="Health"/>
  </r>
  <r>
    <s v="GM-04283"/>
    <s v="Spain"/>
    <x v="1"/>
    <x v="11"/>
    <x v="1"/>
    <s v="Population, total"/>
    <s v="Demographics"/>
    <s v="SDG 11: Sustainable Cities and Communities"/>
    <n v="40448191"/>
    <s v="People"/>
    <s v="Spain|2007"/>
    <s v="Gapminder/Plotly country-year extract reshaped to long indicator format for education"/>
    <s v="OK"/>
    <s v="2000s"/>
    <s v="N/A"/>
    <s v="Demographics"/>
  </r>
  <r>
    <s v="GM-04284"/>
    <s v="Spain"/>
    <x v="1"/>
    <x v="11"/>
    <x v="2"/>
    <s v="GDP per capita"/>
    <s v="Economy"/>
    <s v="SDG 8: Decent Work and Economic Growth"/>
    <n v="28821.063699999999"/>
    <s v="Source-defined international dollars"/>
    <s v="Spain|2007"/>
    <s v="Gapminder/Plotly country-year extract reshaped to long indicator format for education"/>
    <s v="OK"/>
    <s v="2000s"/>
    <s v="N/A"/>
    <s v="Economy"/>
  </r>
  <r>
    <s v="GM-04285"/>
    <s v="Sri Lanka"/>
    <x v="0"/>
    <x v="0"/>
    <x v="0"/>
    <s v="Life expectancy at birth"/>
    <s v="Health"/>
    <s v="SDG 3: Good Health and Well-being"/>
    <n v="57.593000000000004"/>
    <s v="Years"/>
    <s v="Sri Lanka|1952"/>
    <s v="Gapminder/Plotly country-year extract reshaped to long indicator format for education"/>
    <s v="OK"/>
    <s v="1950s"/>
    <s v="Medium"/>
    <s v="Health"/>
  </r>
  <r>
    <s v="GM-04286"/>
    <s v="Sri Lanka"/>
    <x v="0"/>
    <x v="0"/>
    <x v="1"/>
    <s v="Population, total"/>
    <s v="Demographics"/>
    <s v="SDG 11: Sustainable Cities and Communities"/>
    <n v="7982342"/>
    <s v="People"/>
    <s v="Sri Lanka|1952"/>
    <s v="Gapminder/Plotly country-year extract reshaped to long indicator format for education"/>
    <s v="OK"/>
    <s v="1950s"/>
    <s v="N/A"/>
    <s v="Demographics"/>
  </r>
  <r>
    <s v="GM-04287"/>
    <s v="Sri Lanka"/>
    <x v="0"/>
    <x v="0"/>
    <x v="2"/>
    <s v="GDP per capita"/>
    <s v="Economy"/>
    <s v="SDG 8: Decent Work and Economic Growth"/>
    <n v="1083.5320300000001"/>
    <s v="Source-defined international dollars"/>
    <s v="Sri Lanka|1952"/>
    <s v="Gapminder/Plotly country-year extract reshaped to long indicator format for education"/>
    <s v="OK"/>
    <s v="1950s"/>
    <s v="N/A"/>
    <s v="Economy"/>
  </r>
  <r>
    <s v="GM-04288"/>
    <s v="Sri Lanka"/>
    <x v="0"/>
    <x v="1"/>
    <x v="0"/>
    <s v="Life expectancy at birth"/>
    <s v="Health"/>
    <s v="SDG 3: Good Health and Well-being"/>
    <n v="61.456000000000003"/>
    <s v="Years"/>
    <s v="Sri Lanka|1957"/>
    <s v="Gapminder/Plotly country-year extract reshaped to long indicator format for education"/>
    <s v="OK"/>
    <s v="1950s"/>
    <s v="Medium"/>
    <s v="Health"/>
  </r>
  <r>
    <s v="GM-04289"/>
    <s v="Sri Lanka"/>
    <x v="0"/>
    <x v="1"/>
    <x v="1"/>
    <s v="Population, total"/>
    <s v="Demographics"/>
    <s v="SDG 11: Sustainable Cities and Communities"/>
    <n v="9128546"/>
    <s v="People"/>
    <s v="Sri Lanka|1957"/>
    <s v="Gapminder/Plotly country-year extract reshaped to long indicator format for education"/>
    <s v="OK"/>
    <s v="1950s"/>
    <s v="N/A"/>
    <s v="Demographics"/>
  </r>
  <r>
    <s v="GM-04290"/>
    <s v="Sri Lanka"/>
    <x v="0"/>
    <x v="1"/>
    <x v="2"/>
    <s v="GDP per capita"/>
    <s v="Economy"/>
    <s v="SDG 8: Decent Work and Economic Growth"/>
    <n v="1072.5466019999999"/>
    <s v="Source-defined international dollars"/>
    <s v="Sri Lanka|1957"/>
    <s v="Gapminder/Plotly country-year extract reshaped to long indicator format for education"/>
    <s v="OK"/>
    <s v="1950s"/>
    <s v="N/A"/>
    <s v="Economy"/>
  </r>
  <r>
    <s v="GM-04291"/>
    <s v="Sri Lanka"/>
    <x v="0"/>
    <x v="2"/>
    <x v="0"/>
    <s v="Life expectancy at birth"/>
    <s v="Health"/>
    <s v="SDG 3: Good Health and Well-being"/>
    <n v="62.192"/>
    <s v="Years"/>
    <s v="Sri Lanka|1962"/>
    <s v="Gapminder/Plotly country-year extract reshaped to long indicator format for education"/>
    <s v="OK"/>
    <s v="1960s"/>
    <s v="Medium"/>
    <s v="Health"/>
  </r>
  <r>
    <s v="GM-04292"/>
    <s v="Sri Lanka"/>
    <x v="0"/>
    <x v="2"/>
    <x v="1"/>
    <s v="Population, total"/>
    <s v="Demographics"/>
    <s v="SDG 11: Sustainable Cities and Communities"/>
    <n v="10421936"/>
    <s v="People"/>
    <s v="Sri Lanka|1962"/>
    <s v="Gapminder/Plotly country-year extract reshaped to long indicator format for education"/>
    <s v="OK"/>
    <s v="1960s"/>
    <s v="N/A"/>
    <s v="Demographics"/>
  </r>
  <r>
    <s v="GM-04293"/>
    <s v="Sri Lanka"/>
    <x v="0"/>
    <x v="2"/>
    <x v="2"/>
    <s v="GDP per capita"/>
    <s v="Economy"/>
    <s v="SDG 8: Decent Work and Economic Growth"/>
    <n v="1074.4719600000001"/>
    <s v="Source-defined international dollars"/>
    <s v="Sri Lanka|1962"/>
    <s v="Gapminder/Plotly country-year extract reshaped to long indicator format for education"/>
    <s v="OK"/>
    <s v="1960s"/>
    <s v="N/A"/>
    <s v="Economy"/>
  </r>
  <r>
    <s v="GM-04294"/>
    <s v="Sri Lanka"/>
    <x v="0"/>
    <x v="3"/>
    <x v="0"/>
    <s v="Life expectancy at birth"/>
    <s v="Health"/>
    <s v="SDG 3: Good Health and Well-being"/>
    <n v="64.266000000000005"/>
    <s v="Years"/>
    <s v="Sri Lanka|1967"/>
    <s v="Gapminder/Plotly country-year extract reshaped to long indicator format for education"/>
    <s v="OK"/>
    <s v="1960s"/>
    <s v="Medium"/>
    <s v="Health"/>
  </r>
  <r>
    <s v="GM-04295"/>
    <s v="Sri Lanka"/>
    <x v="0"/>
    <x v="3"/>
    <x v="1"/>
    <s v="Population, total"/>
    <s v="Demographics"/>
    <s v="SDG 11: Sustainable Cities and Communities"/>
    <n v="11737396"/>
    <s v="People"/>
    <s v="Sri Lanka|1967"/>
    <s v="Gapminder/Plotly country-year extract reshaped to long indicator format for education"/>
    <s v="OK"/>
    <s v="1960s"/>
    <s v="N/A"/>
    <s v="Demographics"/>
  </r>
  <r>
    <s v="GM-04296"/>
    <s v="Sri Lanka"/>
    <x v="0"/>
    <x v="3"/>
    <x v="2"/>
    <s v="GDP per capita"/>
    <s v="Economy"/>
    <s v="SDG 8: Decent Work and Economic Growth"/>
    <n v="1135.514326"/>
    <s v="Source-defined international dollars"/>
    <s v="Sri Lanka|1967"/>
    <s v="Gapminder/Plotly country-year extract reshaped to long indicator format for education"/>
    <s v="OK"/>
    <s v="1960s"/>
    <s v="N/A"/>
    <s v="Economy"/>
  </r>
  <r>
    <s v="GM-04297"/>
    <s v="Sri Lanka"/>
    <x v="0"/>
    <x v="4"/>
    <x v="0"/>
    <s v="Life expectancy at birth"/>
    <s v="Health"/>
    <s v="SDG 3: Good Health and Well-being"/>
    <n v="65.042000000000002"/>
    <s v="Years"/>
    <s v="Sri Lanka|1972"/>
    <s v="Gapminder/Plotly country-year extract reshaped to long indicator format for education"/>
    <s v="OK"/>
    <s v="1970s"/>
    <s v="Medium"/>
    <s v="Health"/>
  </r>
  <r>
    <s v="GM-04298"/>
    <s v="Sri Lanka"/>
    <x v="0"/>
    <x v="4"/>
    <x v="1"/>
    <s v="Population, total"/>
    <s v="Demographics"/>
    <s v="SDG 11: Sustainable Cities and Communities"/>
    <n v="13016733"/>
    <s v="People"/>
    <s v="Sri Lanka|1972"/>
    <s v="Gapminder/Plotly country-year extract reshaped to long indicator format for education"/>
    <s v="OK"/>
    <s v="1970s"/>
    <s v="N/A"/>
    <s v="Demographics"/>
  </r>
  <r>
    <s v="GM-04299"/>
    <s v="Sri Lanka"/>
    <x v="0"/>
    <x v="4"/>
    <x v="2"/>
    <s v="GDP per capita"/>
    <s v="Economy"/>
    <s v="SDG 8: Decent Work and Economic Growth"/>
    <n v="1213.39553"/>
    <s v="Source-defined international dollars"/>
    <s v="Sri Lanka|1972"/>
    <s v="Gapminder/Plotly country-year extract reshaped to long indicator format for education"/>
    <s v="OK"/>
    <s v="1970s"/>
    <s v="N/A"/>
    <s v="Economy"/>
  </r>
  <r>
    <s v="GM-04300"/>
    <s v="Sri Lanka"/>
    <x v="0"/>
    <x v="5"/>
    <x v="0"/>
    <s v="Life expectancy at birth"/>
    <s v="Health"/>
    <s v="SDG 3: Good Health and Well-being"/>
    <n v="65.948999999999998"/>
    <s v="Years"/>
    <s v="Sri Lanka|1977"/>
    <s v="Gapminder/Plotly country-year extract reshaped to long indicator format for education"/>
    <s v="OK"/>
    <s v="1970s"/>
    <s v="Medium"/>
    <s v="Health"/>
  </r>
  <r>
    <s v="GM-04301"/>
    <s v="Sri Lanka"/>
    <x v="0"/>
    <x v="5"/>
    <x v="1"/>
    <s v="Population, total"/>
    <s v="Demographics"/>
    <s v="SDG 11: Sustainable Cities and Communities"/>
    <n v="14116836"/>
    <s v="People"/>
    <s v="Sri Lanka|1977"/>
    <s v="Gapminder/Plotly country-year extract reshaped to long indicator format for education"/>
    <s v="OK"/>
    <s v="1970s"/>
    <s v="N/A"/>
    <s v="Demographics"/>
  </r>
  <r>
    <s v="GM-04302"/>
    <s v="Sri Lanka"/>
    <x v="0"/>
    <x v="5"/>
    <x v="2"/>
    <s v="GDP per capita"/>
    <s v="Economy"/>
    <s v="SDG 8: Decent Work and Economic Growth"/>
    <n v="1348.7756509999999"/>
    <s v="Source-defined international dollars"/>
    <s v="Sri Lanka|1977"/>
    <s v="Gapminder/Plotly country-year extract reshaped to long indicator format for education"/>
    <s v="OK"/>
    <s v="1970s"/>
    <s v="N/A"/>
    <s v="Economy"/>
  </r>
  <r>
    <s v="GM-04303"/>
    <s v="Sri Lanka"/>
    <x v="0"/>
    <x v="6"/>
    <x v="0"/>
    <s v="Life expectancy at birth"/>
    <s v="Health"/>
    <s v="SDG 3: Good Health and Well-being"/>
    <n v="68.757000000000005"/>
    <s v="Years"/>
    <s v="Sri Lanka|1982"/>
    <s v="Gapminder/Plotly country-year extract reshaped to long indicator format for education"/>
    <s v="OK"/>
    <s v="1980s"/>
    <s v="Medium"/>
    <s v="Health"/>
  </r>
  <r>
    <s v="GM-04304"/>
    <s v="Sri Lanka"/>
    <x v="0"/>
    <x v="6"/>
    <x v="1"/>
    <s v="Population, total"/>
    <s v="Demographics"/>
    <s v="SDG 11: Sustainable Cities and Communities"/>
    <n v="15410151"/>
    <s v="People"/>
    <s v="Sri Lanka|1982"/>
    <s v="Gapminder/Plotly country-year extract reshaped to long indicator format for education"/>
    <s v="OK"/>
    <s v="1980s"/>
    <s v="N/A"/>
    <s v="Demographics"/>
  </r>
  <r>
    <s v="GM-04305"/>
    <s v="Sri Lanka"/>
    <x v="0"/>
    <x v="6"/>
    <x v="2"/>
    <s v="GDP per capita"/>
    <s v="Economy"/>
    <s v="SDG 8: Decent Work and Economic Growth"/>
    <n v="1648.0797889999999"/>
    <s v="Source-defined international dollars"/>
    <s v="Sri Lanka|1982"/>
    <s v="Gapminder/Plotly country-year extract reshaped to long indicator format for education"/>
    <s v="OK"/>
    <s v="1980s"/>
    <s v="N/A"/>
    <s v="Economy"/>
  </r>
  <r>
    <s v="GM-04306"/>
    <s v="Sri Lanka"/>
    <x v="0"/>
    <x v="7"/>
    <x v="0"/>
    <s v="Life expectancy at birth"/>
    <s v="Health"/>
    <s v="SDG 3: Good Health and Well-being"/>
    <n v="69.010999999999996"/>
    <s v="Years"/>
    <s v="Sri Lanka|1987"/>
    <s v="Gapminder/Plotly country-year extract reshaped to long indicator format for education"/>
    <s v="OK"/>
    <s v="1980s"/>
    <s v="Medium"/>
    <s v="Health"/>
  </r>
  <r>
    <s v="GM-04307"/>
    <s v="Sri Lanka"/>
    <x v="0"/>
    <x v="7"/>
    <x v="1"/>
    <s v="Population, total"/>
    <s v="Demographics"/>
    <s v="SDG 11: Sustainable Cities and Communities"/>
    <n v="16495304"/>
    <s v="People"/>
    <s v="Sri Lanka|1987"/>
    <s v="Gapminder/Plotly country-year extract reshaped to long indicator format for education"/>
    <s v="OK"/>
    <s v="1980s"/>
    <s v="N/A"/>
    <s v="Demographics"/>
  </r>
  <r>
    <s v="GM-04308"/>
    <s v="Sri Lanka"/>
    <x v="0"/>
    <x v="7"/>
    <x v="2"/>
    <s v="GDP per capita"/>
    <s v="Economy"/>
    <s v="SDG 8: Decent Work and Economic Growth"/>
    <n v="1876.7668269999999"/>
    <s v="Source-defined international dollars"/>
    <s v="Sri Lanka|1987"/>
    <s v="Gapminder/Plotly country-year extract reshaped to long indicator format for education"/>
    <s v="OK"/>
    <s v="1980s"/>
    <s v="N/A"/>
    <s v="Economy"/>
  </r>
  <r>
    <s v="GM-04309"/>
    <s v="Sri Lanka"/>
    <x v="0"/>
    <x v="8"/>
    <x v="0"/>
    <s v="Life expectancy at birth"/>
    <s v="Health"/>
    <s v="SDG 3: Good Health and Well-being"/>
    <n v="70.378999999999905"/>
    <s v="Years"/>
    <s v="Sri Lanka|1992"/>
    <s v="Gapminder/Plotly country-year extract reshaped to long indicator format for education"/>
    <s v="OK"/>
    <s v="1990s"/>
    <s v="High"/>
    <s v="Health"/>
  </r>
  <r>
    <s v="GM-04310"/>
    <s v="Sri Lanka"/>
    <x v="0"/>
    <x v="8"/>
    <x v="1"/>
    <s v="Population, total"/>
    <s v="Demographics"/>
    <s v="SDG 11: Sustainable Cities and Communities"/>
    <n v="17587060"/>
    <s v="People"/>
    <s v="Sri Lanka|1992"/>
    <s v="Gapminder/Plotly country-year extract reshaped to long indicator format for education"/>
    <s v="OK"/>
    <s v="1990s"/>
    <s v="N/A"/>
    <s v="Demographics"/>
  </r>
  <r>
    <s v="GM-04311"/>
    <s v="Sri Lanka"/>
    <x v="0"/>
    <x v="8"/>
    <x v="2"/>
    <s v="GDP per capita"/>
    <s v="Economy"/>
    <s v="SDG 8: Decent Work and Economic Growth"/>
    <n v="2153.7392220000002"/>
    <s v="Source-defined international dollars"/>
    <s v="Sri Lanka|1992"/>
    <s v="Gapminder/Plotly country-year extract reshaped to long indicator format for education"/>
    <s v="OK"/>
    <s v="1990s"/>
    <s v="N/A"/>
    <s v="Economy"/>
  </r>
  <r>
    <s v="GM-04312"/>
    <s v="Sri Lanka"/>
    <x v="0"/>
    <x v="9"/>
    <x v="0"/>
    <s v="Life expectancy at birth"/>
    <s v="Health"/>
    <s v="SDG 3: Good Health and Well-being"/>
    <n v="70.456999999999994"/>
    <s v="Years"/>
    <s v="Sri Lanka|1997"/>
    <s v="Gapminder/Plotly country-year extract reshaped to long indicator format for education"/>
    <s v="OK"/>
    <s v="1990s"/>
    <s v="High"/>
    <s v="Health"/>
  </r>
  <r>
    <s v="GM-04313"/>
    <s v="Sri Lanka"/>
    <x v="0"/>
    <x v="9"/>
    <x v="1"/>
    <s v="Population, total"/>
    <s v="Demographics"/>
    <s v="SDG 11: Sustainable Cities and Communities"/>
    <n v="18698655"/>
    <s v="People"/>
    <s v="Sri Lanka|1997"/>
    <s v="Gapminder/Plotly country-year extract reshaped to long indicator format for education"/>
    <s v="OK"/>
    <s v="1990s"/>
    <s v="N/A"/>
    <s v="Demographics"/>
  </r>
  <r>
    <s v="GM-04314"/>
    <s v="Sri Lanka"/>
    <x v="0"/>
    <x v="9"/>
    <x v="2"/>
    <s v="GDP per capita"/>
    <s v="Economy"/>
    <s v="SDG 8: Decent Work and Economic Growth"/>
    <n v="2664.477257"/>
    <s v="Source-defined international dollars"/>
    <s v="Sri Lanka|1997"/>
    <s v="Gapminder/Plotly country-year extract reshaped to long indicator format for education"/>
    <s v="OK"/>
    <s v="1990s"/>
    <s v="N/A"/>
    <s v="Economy"/>
  </r>
  <r>
    <s v="GM-04315"/>
    <s v="Sri Lanka"/>
    <x v="0"/>
    <x v="10"/>
    <x v="0"/>
    <s v="Life expectancy at birth"/>
    <s v="Health"/>
    <s v="SDG 3: Good Health and Well-being"/>
    <n v="70.814999999999998"/>
    <s v="Years"/>
    <s v="Sri Lanka|2002"/>
    <s v="Gapminder/Plotly country-year extract reshaped to long indicator format for education"/>
    <s v="OK"/>
    <s v="2000s"/>
    <s v="High"/>
    <s v="Health"/>
  </r>
  <r>
    <s v="GM-04316"/>
    <s v="Sri Lanka"/>
    <x v="0"/>
    <x v="10"/>
    <x v="1"/>
    <s v="Population, total"/>
    <s v="Demographics"/>
    <s v="SDG 11: Sustainable Cities and Communities"/>
    <n v="19576783"/>
    <s v="People"/>
    <s v="Sri Lanka|2002"/>
    <s v="Gapminder/Plotly country-year extract reshaped to long indicator format for education"/>
    <s v="OK"/>
    <s v="2000s"/>
    <s v="N/A"/>
    <s v="Demographics"/>
  </r>
  <r>
    <s v="GM-04317"/>
    <s v="Sri Lanka"/>
    <x v="0"/>
    <x v="10"/>
    <x v="2"/>
    <s v="GDP per capita"/>
    <s v="Economy"/>
    <s v="SDG 8: Decent Work and Economic Growth"/>
    <n v="3015.3788330000002"/>
    <s v="Source-defined international dollars"/>
    <s v="Sri Lanka|2002"/>
    <s v="Gapminder/Plotly country-year extract reshaped to long indicator format for education"/>
    <s v="OK"/>
    <s v="2000s"/>
    <s v="N/A"/>
    <s v="Economy"/>
  </r>
  <r>
    <s v="GM-04318"/>
    <s v="Sri Lanka"/>
    <x v="0"/>
    <x v="11"/>
    <x v="0"/>
    <s v="Life expectancy at birth"/>
    <s v="Health"/>
    <s v="SDG 3: Good Health and Well-being"/>
    <n v="72.396000000000001"/>
    <s v="Years"/>
    <s v="Sri Lanka|2007"/>
    <s v="Gapminder/Plotly country-year extract reshaped to long indicator format for education"/>
    <s v="OK"/>
    <s v="2000s"/>
    <s v="High"/>
    <s v="Health"/>
  </r>
  <r>
    <s v="GM-04319"/>
    <s v="Sri Lanka"/>
    <x v="0"/>
    <x v="11"/>
    <x v="1"/>
    <s v="Population, total"/>
    <s v="Demographics"/>
    <s v="SDG 11: Sustainable Cities and Communities"/>
    <n v="20378239"/>
    <s v="People"/>
    <s v="Sri Lanka|2007"/>
    <s v="Gapminder/Plotly country-year extract reshaped to long indicator format for education"/>
    <s v="OK"/>
    <s v="2000s"/>
    <s v="N/A"/>
    <s v="Demographics"/>
  </r>
  <r>
    <s v="GM-04320"/>
    <s v="Sri Lanka"/>
    <x v="0"/>
    <x v="11"/>
    <x v="2"/>
    <s v="GDP per capita"/>
    <s v="Economy"/>
    <s v="SDG 8: Decent Work and Economic Growth"/>
    <n v="3970.0954069999998"/>
    <s v="Source-defined international dollars"/>
    <s v="Sri Lanka|2007"/>
    <s v="Gapminder/Plotly country-year extract reshaped to long indicator format for education"/>
    <s v="OK"/>
    <s v="2000s"/>
    <s v="N/A"/>
    <s v="Economy"/>
  </r>
  <r>
    <s v="GM-04321"/>
    <s v="Sudan"/>
    <x v="2"/>
    <x v="0"/>
    <x v="0"/>
    <s v="Life expectancy at birth"/>
    <s v="Health"/>
    <s v="SDG 3: Good Health and Well-being"/>
    <n v="38.634999999999998"/>
    <s v="Years"/>
    <s v="Sudan|1952"/>
    <s v="Gapminder/Plotly country-year extract reshaped to long indicator format for education"/>
    <s v="OK"/>
    <s v="1950s"/>
    <s v="Low"/>
    <s v="Health"/>
  </r>
  <r>
    <s v="GM-04322"/>
    <s v="Sudan"/>
    <x v="2"/>
    <x v="0"/>
    <x v="1"/>
    <s v="Population, total"/>
    <s v="Demographics"/>
    <s v="SDG 11: Sustainable Cities and Communities"/>
    <n v="8504667"/>
    <s v="People"/>
    <s v="Sudan|1952"/>
    <s v="Gapminder/Plotly country-year extract reshaped to long indicator format for education"/>
    <s v="OK"/>
    <s v="1950s"/>
    <s v="N/A"/>
    <s v="Demographics"/>
  </r>
  <r>
    <s v="GM-04323"/>
    <s v="Sudan"/>
    <x v="2"/>
    <x v="0"/>
    <x v="2"/>
    <s v="GDP per capita"/>
    <s v="Economy"/>
    <s v="SDG 8: Decent Work and Economic Growth"/>
    <n v="1615.991129"/>
    <s v="Source-defined international dollars"/>
    <s v="Sudan|1952"/>
    <s v="Gapminder/Plotly country-year extract reshaped to long indicator format for education"/>
    <s v="OK"/>
    <s v="1950s"/>
    <s v="N/A"/>
    <s v="Economy"/>
  </r>
  <r>
    <s v="GM-04324"/>
    <s v="Sudan"/>
    <x v="2"/>
    <x v="1"/>
    <x v="0"/>
    <s v="Life expectancy at birth"/>
    <s v="Health"/>
    <s v="SDG 3: Good Health and Well-being"/>
    <n v="39.624000000000002"/>
    <s v="Years"/>
    <s v="Sudan|1957"/>
    <s v="Gapminder/Plotly country-year extract reshaped to long indicator format for education"/>
    <s v="OK"/>
    <s v="1950s"/>
    <s v="Low"/>
    <s v="Health"/>
  </r>
  <r>
    <s v="GM-04325"/>
    <s v="Sudan"/>
    <x v="2"/>
    <x v="1"/>
    <x v="1"/>
    <s v="Population, total"/>
    <s v="Demographics"/>
    <s v="SDG 11: Sustainable Cities and Communities"/>
    <n v="9753392"/>
    <s v="People"/>
    <s v="Sudan|1957"/>
    <s v="Gapminder/Plotly country-year extract reshaped to long indicator format for education"/>
    <s v="OK"/>
    <s v="1950s"/>
    <s v="N/A"/>
    <s v="Demographics"/>
  </r>
  <r>
    <s v="GM-04326"/>
    <s v="Sudan"/>
    <x v="2"/>
    <x v="1"/>
    <x v="2"/>
    <s v="GDP per capita"/>
    <s v="Economy"/>
    <s v="SDG 8: Decent Work and Economic Growth"/>
    <n v="1770.33707399999"/>
    <s v="Source-defined international dollars"/>
    <s v="Sudan|1957"/>
    <s v="Gapminder/Plotly country-year extract reshaped to long indicator format for education"/>
    <s v="OK"/>
    <s v="1950s"/>
    <s v="N/A"/>
    <s v="Economy"/>
  </r>
  <r>
    <s v="GM-04327"/>
    <s v="Sudan"/>
    <x v="2"/>
    <x v="2"/>
    <x v="0"/>
    <s v="Life expectancy at birth"/>
    <s v="Health"/>
    <s v="SDG 3: Good Health and Well-being"/>
    <n v="40.869999999999997"/>
    <s v="Years"/>
    <s v="Sudan|1962"/>
    <s v="Gapminder/Plotly country-year extract reshaped to long indicator format for education"/>
    <s v="OK"/>
    <s v="1960s"/>
    <s v="Low"/>
    <s v="Health"/>
  </r>
  <r>
    <s v="GM-04328"/>
    <s v="Sudan"/>
    <x v="2"/>
    <x v="2"/>
    <x v="1"/>
    <s v="Population, total"/>
    <s v="Demographics"/>
    <s v="SDG 11: Sustainable Cities and Communities"/>
    <n v="11183227"/>
    <s v="People"/>
    <s v="Sudan|1962"/>
    <s v="Gapminder/Plotly country-year extract reshaped to long indicator format for education"/>
    <s v="OK"/>
    <s v="1960s"/>
    <s v="N/A"/>
    <s v="Demographics"/>
  </r>
  <r>
    <s v="GM-04329"/>
    <s v="Sudan"/>
    <x v="2"/>
    <x v="2"/>
    <x v="2"/>
    <s v="GDP per capita"/>
    <s v="Economy"/>
    <s v="SDG 8: Decent Work and Economic Growth"/>
    <n v="1959.5937670000001"/>
    <s v="Source-defined international dollars"/>
    <s v="Sudan|1962"/>
    <s v="Gapminder/Plotly country-year extract reshaped to long indicator format for education"/>
    <s v="OK"/>
    <s v="1960s"/>
    <s v="N/A"/>
    <s v="Economy"/>
  </r>
  <r>
    <s v="GM-04330"/>
    <s v="Sudan"/>
    <x v="2"/>
    <x v="3"/>
    <x v="0"/>
    <s v="Life expectancy at birth"/>
    <s v="Health"/>
    <s v="SDG 3: Good Health and Well-being"/>
    <n v="42.857999999999997"/>
    <s v="Years"/>
    <s v="Sudan|1967"/>
    <s v="Gapminder/Plotly country-year extract reshaped to long indicator format for education"/>
    <s v="OK"/>
    <s v="1960s"/>
    <s v="Low"/>
    <s v="Health"/>
  </r>
  <r>
    <s v="GM-04331"/>
    <s v="Sudan"/>
    <x v="2"/>
    <x v="3"/>
    <x v="1"/>
    <s v="Population, total"/>
    <s v="Demographics"/>
    <s v="SDG 11: Sustainable Cities and Communities"/>
    <n v="12716129"/>
    <s v="People"/>
    <s v="Sudan|1967"/>
    <s v="Gapminder/Plotly country-year extract reshaped to long indicator format for education"/>
    <s v="OK"/>
    <s v="1960s"/>
    <s v="N/A"/>
    <s v="Demographics"/>
  </r>
  <r>
    <s v="GM-04332"/>
    <s v="Sudan"/>
    <x v="2"/>
    <x v="3"/>
    <x v="2"/>
    <s v="GDP per capita"/>
    <s v="Economy"/>
    <s v="SDG 8: Decent Work and Economic Growth"/>
    <n v="1687.9976409999999"/>
    <s v="Source-defined international dollars"/>
    <s v="Sudan|1967"/>
    <s v="Gapminder/Plotly country-year extract reshaped to long indicator format for education"/>
    <s v="OK"/>
    <s v="1960s"/>
    <s v="N/A"/>
    <s v="Economy"/>
  </r>
  <r>
    <s v="GM-04333"/>
    <s v="Sudan"/>
    <x v="2"/>
    <x v="4"/>
    <x v="0"/>
    <s v="Life expectancy at birth"/>
    <s v="Health"/>
    <s v="SDG 3: Good Health and Well-being"/>
    <n v="45.082999999999998"/>
    <s v="Years"/>
    <s v="Sudan|1972"/>
    <s v="Gapminder/Plotly country-year extract reshaped to long indicator format for education"/>
    <s v="OK"/>
    <s v="1970s"/>
    <s v="Low"/>
    <s v="Health"/>
  </r>
  <r>
    <s v="GM-04334"/>
    <s v="Sudan"/>
    <x v="2"/>
    <x v="4"/>
    <x v="1"/>
    <s v="Population, total"/>
    <s v="Demographics"/>
    <s v="SDG 11: Sustainable Cities and Communities"/>
    <n v="14597019"/>
    <s v="People"/>
    <s v="Sudan|1972"/>
    <s v="Gapminder/Plotly country-year extract reshaped to long indicator format for education"/>
    <s v="OK"/>
    <s v="1970s"/>
    <s v="N/A"/>
    <s v="Demographics"/>
  </r>
  <r>
    <s v="GM-04335"/>
    <s v="Sudan"/>
    <x v="2"/>
    <x v="4"/>
    <x v="2"/>
    <s v="GDP per capita"/>
    <s v="Economy"/>
    <s v="SDG 8: Decent Work and Economic Growth"/>
    <n v="1659.652775"/>
    <s v="Source-defined international dollars"/>
    <s v="Sudan|1972"/>
    <s v="Gapminder/Plotly country-year extract reshaped to long indicator format for education"/>
    <s v="OK"/>
    <s v="1970s"/>
    <s v="N/A"/>
    <s v="Economy"/>
  </r>
  <r>
    <s v="GM-04336"/>
    <s v="Sudan"/>
    <x v="2"/>
    <x v="5"/>
    <x v="0"/>
    <s v="Life expectancy at birth"/>
    <s v="Health"/>
    <s v="SDG 3: Good Health and Well-being"/>
    <n v="47.8"/>
    <s v="Years"/>
    <s v="Sudan|1977"/>
    <s v="Gapminder/Plotly country-year extract reshaped to long indicator format for education"/>
    <s v="OK"/>
    <s v="1970s"/>
    <s v="Low"/>
    <s v="Health"/>
  </r>
  <r>
    <s v="GM-04337"/>
    <s v="Sudan"/>
    <x v="2"/>
    <x v="5"/>
    <x v="1"/>
    <s v="Population, total"/>
    <s v="Demographics"/>
    <s v="SDG 11: Sustainable Cities and Communities"/>
    <n v="17104986"/>
    <s v="People"/>
    <s v="Sudan|1977"/>
    <s v="Gapminder/Plotly country-year extract reshaped to long indicator format for education"/>
    <s v="OK"/>
    <s v="1970s"/>
    <s v="N/A"/>
    <s v="Demographics"/>
  </r>
  <r>
    <s v="GM-04338"/>
    <s v="Sudan"/>
    <x v="2"/>
    <x v="5"/>
    <x v="2"/>
    <s v="GDP per capita"/>
    <s v="Economy"/>
    <s v="SDG 8: Decent Work and Economic Growth"/>
    <n v="2202.9884229999998"/>
    <s v="Source-defined international dollars"/>
    <s v="Sudan|1977"/>
    <s v="Gapminder/Plotly country-year extract reshaped to long indicator format for education"/>
    <s v="OK"/>
    <s v="1970s"/>
    <s v="N/A"/>
    <s v="Economy"/>
  </r>
  <r>
    <s v="GM-04339"/>
    <s v="Sudan"/>
    <x v="2"/>
    <x v="6"/>
    <x v="0"/>
    <s v="Life expectancy at birth"/>
    <s v="Health"/>
    <s v="SDG 3: Good Health and Well-being"/>
    <n v="50.338000000000001"/>
    <s v="Years"/>
    <s v="Sudan|1982"/>
    <s v="Gapminder/Plotly country-year extract reshaped to long indicator format for education"/>
    <s v="OK"/>
    <s v="1980s"/>
    <s v="Low"/>
    <s v="Health"/>
  </r>
  <r>
    <s v="GM-04340"/>
    <s v="Sudan"/>
    <x v="2"/>
    <x v="6"/>
    <x v="1"/>
    <s v="Population, total"/>
    <s v="Demographics"/>
    <s v="SDG 11: Sustainable Cities and Communities"/>
    <n v="20367053"/>
    <s v="People"/>
    <s v="Sudan|1982"/>
    <s v="Gapminder/Plotly country-year extract reshaped to long indicator format for education"/>
    <s v="OK"/>
    <s v="1980s"/>
    <s v="N/A"/>
    <s v="Demographics"/>
  </r>
  <r>
    <s v="GM-04341"/>
    <s v="Sudan"/>
    <x v="2"/>
    <x v="6"/>
    <x v="2"/>
    <s v="GDP per capita"/>
    <s v="Economy"/>
    <s v="SDG 8: Decent Work and Economic Growth"/>
    <n v="1895.544073"/>
    <s v="Source-defined international dollars"/>
    <s v="Sudan|1982"/>
    <s v="Gapminder/Plotly country-year extract reshaped to long indicator format for education"/>
    <s v="OK"/>
    <s v="1980s"/>
    <s v="N/A"/>
    <s v="Economy"/>
  </r>
  <r>
    <s v="GM-04342"/>
    <s v="Sudan"/>
    <x v="2"/>
    <x v="7"/>
    <x v="0"/>
    <s v="Life expectancy at birth"/>
    <s v="Health"/>
    <s v="SDG 3: Good Health and Well-being"/>
    <n v="51.744"/>
    <s v="Years"/>
    <s v="Sudan|1987"/>
    <s v="Gapminder/Plotly country-year extract reshaped to long indicator format for education"/>
    <s v="OK"/>
    <s v="1980s"/>
    <s v="Low"/>
    <s v="Health"/>
  </r>
  <r>
    <s v="GM-04343"/>
    <s v="Sudan"/>
    <x v="2"/>
    <x v="7"/>
    <x v="1"/>
    <s v="Population, total"/>
    <s v="Demographics"/>
    <s v="SDG 11: Sustainable Cities and Communities"/>
    <n v="24725960"/>
    <s v="People"/>
    <s v="Sudan|1987"/>
    <s v="Gapminder/Plotly country-year extract reshaped to long indicator format for education"/>
    <s v="OK"/>
    <s v="1980s"/>
    <s v="N/A"/>
    <s v="Demographics"/>
  </r>
  <r>
    <s v="GM-04344"/>
    <s v="Sudan"/>
    <x v="2"/>
    <x v="7"/>
    <x v="2"/>
    <s v="GDP per capita"/>
    <s v="Economy"/>
    <s v="SDG 8: Decent Work and Economic Growth"/>
    <n v="1507.8191589999999"/>
    <s v="Source-defined international dollars"/>
    <s v="Sudan|1987"/>
    <s v="Gapminder/Plotly country-year extract reshaped to long indicator format for education"/>
    <s v="OK"/>
    <s v="1980s"/>
    <s v="N/A"/>
    <s v="Economy"/>
  </r>
  <r>
    <s v="GM-04345"/>
    <s v="Sudan"/>
    <x v="2"/>
    <x v="8"/>
    <x v="0"/>
    <s v="Life expectancy at birth"/>
    <s v="Health"/>
    <s v="SDG 3: Good Health and Well-being"/>
    <n v="53.555999999999997"/>
    <s v="Years"/>
    <s v="Sudan|1992"/>
    <s v="Gapminder/Plotly country-year extract reshaped to long indicator format for education"/>
    <s v="OK"/>
    <s v="1990s"/>
    <s v="Low"/>
    <s v="Health"/>
  </r>
  <r>
    <s v="GM-04346"/>
    <s v="Sudan"/>
    <x v="2"/>
    <x v="8"/>
    <x v="1"/>
    <s v="Population, total"/>
    <s v="Demographics"/>
    <s v="SDG 11: Sustainable Cities and Communities"/>
    <n v="28227588"/>
    <s v="People"/>
    <s v="Sudan|1992"/>
    <s v="Gapminder/Plotly country-year extract reshaped to long indicator format for education"/>
    <s v="OK"/>
    <s v="1990s"/>
    <s v="N/A"/>
    <s v="Demographics"/>
  </r>
  <r>
    <s v="GM-04347"/>
    <s v="Sudan"/>
    <x v="2"/>
    <x v="8"/>
    <x v="2"/>
    <s v="GDP per capita"/>
    <s v="Economy"/>
    <s v="SDG 8: Decent Work and Economic Growth"/>
    <n v="1492.1970429999999"/>
    <s v="Source-defined international dollars"/>
    <s v="Sudan|1992"/>
    <s v="Gapminder/Plotly country-year extract reshaped to long indicator format for education"/>
    <s v="OK"/>
    <s v="1990s"/>
    <s v="N/A"/>
    <s v="Economy"/>
  </r>
  <r>
    <s v="GM-04348"/>
    <s v="Sudan"/>
    <x v="2"/>
    <x v="9"/>
    <x v="0"/>
    <s v="Life expectancy at birth"/>
    <s v="Health"/>
    <s v="SDG 3: Good Health and Well-being"/>
    <n v="55.372999999999998"/>
    <s v="Years"/>
    <s v="Sudan|1997"/>
    <s v="Gapminder/Plotly country-year extract reshaped to long indicator format for education"/>
    <s v="OK"/>
    <s v="1990s"/>
    <s v="Medium"/>
    <s v="Health"/>
  </r>
  <r>
    <s v="GM-04349"/>
    <s v="Sudan"/>
    <x v="2"/>
    <x v="9"/>
    <x v="1"/>
    <s v="Population, total"/>
    <s v="Demographics"/>
    <s v="SDG 11: Sustainable Cities and Communities"/>
    <n v="32160729"/>
    <s v="People"/>
    <s v="Sudan|1997"/>
    <s v="Gapminder/Plotly country-year extract reshaped to long indicator format for education"/>
    <s v="OK"/>
    <s v="1990s"/>
    <s v="N/A"/>
    <s v="Demographics"/>
  </r>
  <r>
    <s v="GM-04350"/>
    <s v="Sudan"/>
    <x v="2"/>
    <x v="9"/>
    <x v="2"/>
    <s v="GDP per capita"/>
    <s v="Economy"/>
    <s v="SDG 8: Decent Work and Economic Growth"/>
    <n v="1632.2107639999999"/>
    <s v="Source-defined international dollars"/>
    <s v="Sudan|1997"/>
    <s v="Gapminder/Plotly country-year extract reshaped to long indicator format for education"/>
    <s v="OK"/>
    <s v="1990s"/>
    <s v="N/A"/>
    <s v="Economy"/>
  </r>
  <r>
    <s v="GM-04351"/>
    <s v="Sudan"/>
    <x v="2"/>
    <x v="10"/>
    <x v="0"/>
    <s v="Life expectancy at birth"/>
    <s v="Health"/>
    <s v="SDG 3: Good Health and Well-being"/>
    <n v="56.369"/>
    <s v="Years"/>
    <s v="Sudan|2002"/>
    <s v="Gapminder/Plotly country-year extract reshaped to long indicator format for education"/>
    <s v="OK"/>
    <s v="2000s"/>
    <s v="Medium"/>
    <s v="Health"/>
  </r>
  <r>
    <s v="GM-04352"/>
    <s v="Sudan"/>
    <x v="2"/>
    <x v="10"/>
    <x v="1"/>
    <s v="Population, total"/>
    <s v="Demographics"/>
    <s v="SDG 11: Sustainable Cities and Communities"/>
    <n v="37090298"/>
    <s v="People"/>
    <s v="Sudan|2002"/>
    <s v="Gapminder/Plotly country-year extract reshaped to long indicator format for education"/>
    <s v="OK"/>
    <s v="2000s"/>
    <s v="N/A"/>
    <s v="Demographics"/>
  </r>
  <r>
    <s v="GM-04353"/>
    <s v="Sudan"/>
    <x v="2"/>
    <x v="10"/>
    <x v="2"/>
    <s v="GDP per capita"/>
    <s v="Economy"/>
    <s v="SDG 8: Decent Work and Economic Growth"/>
    <n v="1993.398314"/>
    <s v="Source-defined international dollars"/>
    <s v="Sudan|2002"/>
    <s v="Gapminder/Plotly country-year extract reshaped to long indicator format for education"/>
    <s v="OK"/>
    <s v="2000s"/>
    <s v="N/A"/>
    <s v="Economy"/>
  </r>
  <r>
    <s v="GM-04354"/>
    <s v="Sudan"/>
    <x v="2"/>
    <x v="11"/>
    <x v="0"/>
    <s v="Life expectancy at birth"/>
    <s v="Health"/>
    <s v="SDG 3: Good Health and Well-being"/>
    <n v="58.555999999999997"/>
    <s v="Years"/>
    <s v="Sudan|2007"/>
    <s v="Gapminder/Plotly country-year extract reshaped to long indicator format for education"/>
    <s v="OK"/>
    <s v="2000s"/>
    <s v="Medium"/>
    <s v="Health"/>
  </r>
  <r>
    <s v="GM-04355"/>
    <s v="Sudan"/>
    <x v="2"/>
    <x v="11"/>
    <x v="1"/>
    <s v="Population, total"/>
    <s v="Demographics"/>
    <s v="SDG 11: Sustainable Cities and Communities"/>
    <n v="42292929"/>
    <s v="People"/>
    <s v="Sudan|2007"/>
    <s v="Gapminder/Plotly country-year extract reshaped to long indicator format for education"/>
    <s v="OK"/>
    <s v="2000s"/>
    <s v="N/A"/>
    <s v="Demographics"/>
  </r>
  <r>
    <s v="GM-04356"/>
    <s v="Sudan"/>
    <x v="2"/>
    <x v="11"/>
    <x v="2"/>
    <s v="GDP per capita"/>
    <s v="Economy"/>
    <s v="SDG 8: Decent Work and Economic Growth"/>
    <n v="2602.3949950000001"/>
    <s v="Source-defined international dollars"/>
    <s v="Sudan|2007"/>
    <s v="Gapminder/Plotly country-year extract reshaped to long indicator format for education"/>
    <s v="OK"/>
    <s v="2000s"/>
    <s v="N/A"/>
    <s v="Economy"/>
  </r>
  <r>
    <s v="GM-04357"/>
    <s v="Swaziland"/>
    <x v="2"/>
    <x v="0"/>
    <x v="0"/>
    <s v="Life expectancy at birth"/>
    <s v="Health"/>
    <s v="SDG 3: Good Health and Well-being"/>
    <n v="41.406999999999996"/>
    <s v="Years"/>
    <s v="Swaziland|1952"/>
    <s v="Gapminder/Plotly country-year extract reshaped to long indicator format for education"/>
    <s v="OK"/>
    <s v="1950s"/>
    <s v="Low"/>
    <s v="Health"/>
  </r>
  <r>
    <s v="GM-04358"/>
    <s v="Swaziland"/>
    <x v="2"/>
    <x v="0"/>
    <x v="1"/>
    <s v="Population, total"/>
    <s v="Demographics"/>
    <s v="SDG 11: Sustainable Cities and Communities"/>
    <n v="290243"/>
    <s v="People"/>
    <s v="Swaziland|1952"/>
    <s v="Gapminder/Plotly country-year extract reshaped to long indicator format for education"/>
    <s v="OK"/>
    <s v="1950s"/>
    <s v="N/A"/>
    <s v="Demographics"/>
  </r>
  <r>
    <s v="GM-04359"/>
    <s v="Swaziland"/>
    <x v="2"/>
    <x v="0"/>
    <x v="2"/>
    <s v="GDP per capita"/>
    <s v="Economy"/>
    <s v="SDG 8: Decent Work and Economic Growth"/>
    <n v="1148.376626"/>
    <s v="Source-defined international dollars"/>
    <s v="Swaziland|1952"/>
    <s v="Gapminder/Plotly country-year extract reshaped to long indicator format for education"/>
    <s v="OK"/>
    <s v="1950s"/>
    <s v="N/A"/>
    <s v="Economy"/>
  </r>
  <r>
    <s v="GM-04360"/>
    <s v="Swaziland"/>
    <x v="2"/>
    <x v="1"/>
    <x v="0"/>
    <s v="Life expectancy at birth"/>
    <s v="Health"/>
    <s v="SDG 3: Good Health and Well-being"/>
    <n v="43.423999999999999"/>
    <s v="Years"/>
    <s v="Swaziland|1957"/>
    <s v="Gapminder/Plotly country-year extract reshaped to long indicator format for education"/>
    <s v="OK"/>
    <s v="1950s"/>
    <s v="Low"/>
    <s v="Health"/>
  </r>
  <r>
    <s v="GM-04361"/>
    <s v="Swaziland"/>
    <x v="2"/>
    <x v="1"/>
    <x v="1"/>
    <s v="Population, total"/>
    <s v="Demographics"/>
    <s v="SDG 11: Sustainable Cities and Communities"/>
    <n v="326741"/>
    <s v="People"/>
    <s v="Swaziland|1957"/>
    <s v="Gapminder/Plotly country-year extract reshaped to long indicator format for education"/>
    <s v="OK"/>
    <s v="1950s"/>
    <s v="N/A"/>
    <s v="Demographics"/>
  </r>
  <r>
    <s v="GM-04362"/>
    <s v="Swaziland"/>
    <x v="2"/>
    <x v="1"/>
    <x v="2"/>
    <s v="GDP per capita"/>
    <s v="Economy"/>
    <s v="SDG 8: Decent Work and Economic Growth"/>
    <n v="1244.7083640000001"/>
    <s v="Source-defined international dollars"/>
    <s v="Swaziland|1957"/>
    <s v="Gapminder/Plotly country-year extract reshaped to long indicator format for education"/>
    <s v="OK"/>
    <s v="1950s"/>
    <s v="N/A"/>
    <s v="Economy"/>
  </r>
  <r>
    <s v="GM-04363"/>
    <s v="Swaziland"/>
    <x v="2"/>
    <x v="2"/>
    <x v="0"/>
    <s v="Life expectancy at birth"/>
    <s v="Health"/>
    <s v="SDG 3: Good Health and Well-being"/>
    <n v="44.991999999999997"/>
    <s v="Years"/>
    <s v="Swaziland|1962"/>
    <s v="Gapminder/Plotly country-year extract reshaped to long indicator format for education"/>
    <s v="OK"/>
    <s v="1960s"/>
    <s v="Low"/>
    <s v="Health"/>
  </r>
  <r>
    <s v="GM-04364"/>
    <s v="Swaziland"/>
    <x v="2"/>
    <x v="2"/>
    <x v="1"/>
    <s v="Population, total"/>
    <s v="Demographics"/>
    <s v="SDG 11: Sustainable Cities and Communities"/>
    <n v="370006"/>
    <s v="People"/>
    <s v="Swaziland|1962"/>
    <s v="Gapminder/Plotly country-year extract reshaped to long indicator format for education"/>
    <s v="OK"/>
    <s v="1960s"/>
    <s v="N/A"/>
    <s v="Demographics"/>
  </r>
  <r>
    <s v="GM-04365"/>
    <s v="Swaziland"/>
    <x v="2"/>
    <x v="2"/>
    <x v="2"/>
    <s v="GDP per capita"/>
    <s v="Economy"/>
    <s v="SDG 8: Decent Work and Economic Growth"/>
    <n v="1856.182125"/>
    <s v="Source-defined international dollars"/>
    <s v="Swaziland|1962"/>
    <s v="Gapminder/Plotly country-year extract reshaped to long indicator format for education"/>
    <s v="OK"/>
    <s v="1960s"/>
    <s v="N/A"/>
    <s v="Economy"/>
  </r>
  <r>
    <s v="GM-04366"/>
    <s v="Swaziland"/>
    <x v="2"/>
    <x v="3"/>
    <x v="0"/>
    <s v="Life expectancy at birth"/>
    <s v="Health"/>
    <s v="SDG 3: Good Health and Well-being"/>
    <n v="46.633000000000003"/>
    <s v="Years"/>
    <s v="Swaziland|1967"/>
    <s v="Gapminder/Plotly country-year extract reshaped to long indicator format for education"/>
    <s v="OK"/>
    <s v="1960s"/>
    <s v="Low"/>
    <s v="Health"/>
  </r>
  <r>
    <s v="GM-04367"/>
    <s v="Swaziland"/>
    <x v="2"/>
    <x v="3"/>
    <x v="1"/>
    <s v="Population, total"/>
    <s v="Demographics"/>
    <s v="SDG 11: Sustainable Cities and Communities"/>
    <n v="420690"/>
    <s v="People"/>
    <s v="Swaziland|1967"/>
    <s v="Gapminder/Plotly country-year extract reshaped to long indicator format for education"/>
    <s v="OK"/>
    <s v="1960s"/>
    <s v="N/A"/>
    <s v="Demographics"/>
  </r>
  <r>
    <s v="GM-04368"/>
    <s v="Swaziland"/>
    <x v="2"/>
    <x v="3"/>
    <x v="2"/>
    <s v="GDP per capita"/>
    <s v="Economy"/>
    <s v="SDG 8: Decent Work and Economic Growth"/>
    <n v="2613.1016650000001"/>
    <s v="Source-defined international dollars"/>
    <s v="Swaziland|1967"/>
    <s v="Gapminder/Plotly country-year extract reshaped to long indicator format for education"/>
    <s v="OK"/>
    <s v="1960s"/>
    <s v="N/A"/>
    <s v="Economy"/>
  </r>
  <r>
    <s v="GM-04369"/>
    <s v="Swaziland"/>
    <x v="2"/>
    <x v="4"/>
    <x v="0"/>
    <s v="Life expectancy at birth"/>
    <s v="Health"/>
    <s v="SDG 3: Good Health and Well-being"/>
    <n v="49.552"/>
    <s v="Years"/>
    <s v="Swaziland|1972"/>
    <s v="Gapminder/Plotly country-year extract reshaped to long indicator format for education"/>
    <s v="OK"/>
    <s v="1970s"/>
    <s v="Low"/>
    <s v="Health"/>
  </r>
  <r>
    <s v="GM-04370"/>
    <s v="Swaziland"/>
    <x v="2"/>
    <x v="4"/>
    <x v="1"/>
    <s v="Population, total"/>
    <s v="Demographics"/>
    <s v="SDG 11: Sustainable Cities and Communities"/>
    <n v="480105"/>
    <s v="People"/>
    <s v="Swaziland|1972"/>
    <s v="Gapminder/Plotly country-year extract reshaped to long indicator format for education"/>
    <s v="OK"/>
    <s v="1970s"/>
    <s v="N/A"/>
    <s v="Demographics"/>
  </r>
  <r>
    <s v="GM-04371"/>
    <s v="Swaziland"/>
    <x v="2"/>
    <x v="4"/>
    <x v="2"/>
    <s v="GDP per capita"/>
    <s v="Economy"/>
    <s v="SDG 8: Decent Work and Economic Growth"/>
    <n v="3364.8366249999999"/>
    <s v="Source-defined international dollars"/>
    <s v="Swaziland|1972"/>
    <s v="Gapminder/Plotly country-year extract reshaped to long indicator format for education"/>
    <s v="OK"/>
    <s v="1970s"/>
    <s v="N/A"/>
    <s v="Economy"/>
  </r>
  <r>
    <s v="GM-04372"/>
    <s v="Swaziland"/>
    <x v="2"/>
    <x v="5"/>
    <x v="0"/>
    <s v="Life expectancy at birth"/>
    <s v="Health"/>
    <s v="SDG 3: Good Health and Well-being"/>
    <n v="52.536999999999999"/>
    <s v="Years"/>
    <s v="Swaziland|1977"/>
    <s v="Gapminder/Plotly country-year extract reshaped to long indicator format for education"/>
    <s v="OK"/>
    <s v="1970s"/>
    <s v="Low"/>
    <s v="Health"/>
  </r>
  <r>
    <s v="GM-04373"/>
    <s v="Swaziland"/>
    <x v="2"/>
    <x v="5"/>
    <x v="1"/>
    <s v="Population, total"/>
    <s v="Demographics"/>
    <s v="SDG 11: Sustainable Cities and Communities"/>
    <n v="551425"/>
    <s v="People"/>
    <s v="Swaziland|1977"/>
    <s v="Gapminder/Plotly country-year extract reshaped to long indicator format for education"/>
    <s v="OK"/>
    <s v="1970s"/>
    <s v="N/A"/>
    <s v="Demographics"/>
  </r>
  <r>
    <s v="GM-04374"/>
    <s v="Swaziland"/>
    <x v="2"/>
    <x v="5"/>
    <x v="2"/>
    <s v="GDP per capita"/>
    <s v="Economy"/>
    <s v="SDG 8: Decent Work and Economic Growth"/>
    <n v="3781.4106179999999"/>
    <s v="Source-defined international dollars"/>
    <s v="Swaziland|1977"/>
    <s v="Gapminder/Plotly country-year extract reshaped to long indicator format for education"/>
    <s v="OK"/>
    <s v="1970s"/>
    <s v="N/A"/>
    <s v="Economy"/>
  </r>
  <r>
    <s v="GM-04375"/>
    <s v="Swaziland"/>
    <x v="2"/>
    <x v="6"/>
    <x v="0"/>
    <s v="Life expectancy at birth"/>
    <s v="Health"/>
    <s v="SDG 3: Good Health and Well-being"/>
    <n v="55.561"/>
    <s v="Years"/>
    <s v="Swaziland|1982"/>
    <s v="Gapminder/Plotly country-year extract reshaped to long indicator format for education"/>
    <s v="OK"/>
    <s v="1980s"/>
    <s v="Medium"/>
    <s v="Health"/>
  </r>
  <r>
    <s v="GM-04376"/>
    <s v="Swaziland"/>
    <x v="2"/>
    <x v="6"/>
    <x v="1"/>
    <s v="Population, total"/>
    <s v="Demographics"/>
    <s v="SDG 11: Sustainable Cities and Communities"/>
    <n v="649901"/>
    <s v="People"/>
    <s v="Swaziland|1982"/>
    <s v="Gapminder/Plotly country-year extract reshaped to long indicator format for education"/>
    <s v="OK"/>
    <s v="1980s"/>
    <s v="N/A"/>
    <s v="Demographics"/>
  </r>
  <r>
    <s v="GM-04377"/>
    <s v="Swaziland"/>
    <x v="2"/>
    <x v="6"/>
    <x v="2"/>
    <s v="GDP per capita"/>
    <s v="Economy"/>
    <s v="SDG 8: Decent Work and Economic Growth"/>
    <n v="3895.3840180000002"/>
    <s v="Source-defined international dollars"/>
    <s v="Swaziland|1982"/>
    <s v="Gapminder/Plotly country-year extract reshaped to long indicator format for education"/>
    <s v="OK"/>
    <s v="1980s"/>
    <s v="N/A"/>
    <s v="Economy"/>
  </r>
  <r>
    <s v="GM-04378"/>
    <s v="Swaziland"/>
    <x v="2"/>
    <x v="7"/>
    <x v="0"/>
    <s v="Life expectancy at birth"/>
    <s v="Health"/>
    <s v="SDG 3: Good Health and Well-being"/>
    <n v="57.677999999999997"/>
    <s v="Years"/>
    <s v="Swaziland|1987"/>
    <s v="Gapminder/Plotly country-year extract reshaped to long indicator format for education"/>
    <s v="OK"/>
    <s v="1980s"/>
    <s v="Medium"/>
    <s v="Health"/>
  </r>
  <r>
    <s v="GM-04379"/>
    <s v="Swaziland"/>
    <x v="2"/>
    <x v="7"/>
    <x v="1"/>
    <s v="Population, total"/>
    <s v="Demographics"/>
    <s v="SDG 11: Sustainable Cities and Communities"/>
    <n v="779348"/>
    <s v="People"/>
    <s v="Swaziland|1987"/>
    <s v="Gapminder/Plotly country-year extract reshaped to long indicator format for education"/>
    <s v="OK"/>
    <s v="1980s"/>
    <s v="N/A"/>
    <s v="Demographics"/>
  </r>
  <r>
    <s v="GM-04380"/>
    <s v="Swaziland"/>
    <x v="2"/>
    <x v="7"/>
    <x v="2"/>
    <s v="GDP per capita"/>
    <s v="Economy"/>
    <s v="SDG 8: Decent Work and Economic Growth"/>
    <n v="3984.8398120000002"/>
    <s v="Source-defined international dollars"/>
    <s v="Swaziland|1987"/>
    <s v="Gapminder/Plotly country-year extract reshaped to long indicator format for education"/>
    <s v="OK"/>
    <s v="1980s"/>
    <s v="N/A"/>
    <s v="Economy"/>
  </r>
  <r>
    <s v="GM-04381"/>
    <s v="Swaziland"/>
    <x v="2"/>
    <x v="8"/>
    <x v="0"/>
    <s v="Life expectancy at birth"/>
    <s v="Health"/>
    <s v="SDG 3: Good Health and Well-being"/>
    <n v="58.473999999999997"/>
    <s v="Years"/>
    <s v="Swaziland|1992"/>
    <s v="Gapminder/Plotly country-year extract reshaped to long indicator format for education"/>
    <s v="OK"/>
    <s v="1990s"/>
    <s v="Medium"/>
    <s v="Health"/>
  </r>
  <r>
    <s v="GM-04382"/>
    <s v="Swaziland"/>
    <x v="2"/>
    <x v="8"/>
    <x v="1"/>
    <s v="Population, total"/>
    <s v="Demographics"/>
    <s v="SDG 11: Sustainable Cities and Communities"/>
    <n v="962344"/>
    <s v="People"/>
    <s v="Swaziland|1992"/>
    <s v="Gapminder/Plotly country-year extract reshaped to long indicator format for education"/>
    <s v="OK"/>
    <s v="1990s"/>
    <s v="N/A"/>
    <s v="Demographics"/>
  </r>
  <r>
    <s v="GM-04383"/>
    <s v="Swaziland"/>
    <x v="2"/>
    <x v="8"/>
    <x v="2"/>
    <s v="GDP per capita"/>
    <s v="Economy"/>
    <s v="SDG 8: Decent Work and Economic Growth"/>
    <n v="3553.0223999999998"/>
    <s v="Source-defined international dollars"/>
    <s v="Swaziland|1992"/>
    <s v="Gapminder/Plotly country-year extract reshaped to long indicator format for education"/>
    <s v="OK"/>
    <s v="1990s"/>
    <s v="N/A"/>
    <s v="Economy"/>
  </r>
  <r>
    <s v="GM-04384"/>
    <s v="Swaziland"/>
    <x v="2"/>
    <x v="9"/>
    <x v="0"/>
    <s v="Life expectancy at birth"/>
    <s v="Health"/>
    <s v="SDG 3: Good Health and Well-being"/>
    <n v="54.289000000000001"/>
    <s v="Years"/>
    <s v="Swaziland|1997"/>
    <s v="Gapminder/Plotly country-year extract reshaped to long indicator format for education"/>
    <s v="OK"/>
    <s v="1990s"/>
    <s v="Low"/>
    <s v="Health"/>
  </r>
  <r>
    <s v="GM-04385"/>
    <s v="Swaziland"/>
    <x v="2"/>
    <x v="9"/>
    <x v="1"/>
    <s v="Population, total"/>
    <s v="Demographics"/>
    <s v="SDG 11: Sustainable Cities and Communities"/>
    <n v="1054486"/>
    <s v="People"/>
    <s v="Swaziland|1997"/>
    <s v="Gapminder/Plotly country-year extract reshaped to long indicator format for education"/>
    <s v="OK"/>
    <s v="1990s"/>
    <s v="N/A"/>
    <s v="Demographics"/>
  </r>
  <r>
    <s v="GM-04386"/>
    <s v="Swaziland"/>
    <x v="2"/>
    <x v="9"/>
    <x v="2"/>
    <s v="GDP per capita"/>
    <s v="Economy"/>
    <s v="SDG 8: Decent Work and Economic Growth"/>
    <n v="3876.7684599999998"/>
    <s v="Source-defined international dollars"/>
    <s v="Swaziland|1997"/>
    <s v="Gapminder/Plotly country-year extract reshaped to long indicator format for education"/>
    <s v="OK"/>
    <s v="1990s"/>
    <s v="N/A"/>
    <s v="Economy"/>
  </r>
  <r>
    <s v="GM-04387"/>
    <s v="Swaziland"/>
    <x v="2"/>
    <x v="10"/>
    <x v="0"/>
    <s v="Life expectancy at birth"/>
    <s v="Health"/>
    <s v="SDG 3: Good Health and Well-being"/>
    <n v="43.869"/>
    <s v="Years"/>
    <s v="Swaziland|2002"/>
    <s v="Gapminder/Plotly country-year extract reshaped to long indicator format for education"/>
    <s v="OK"/>
    <s v="2000s"/>
    <s v="Low"/>
    <s v="Health"/>
  </r>
  <r>
    <s v="GM-04388"/>
    <s v="Swaziland"/>
    <x v="2"/>
    <x v="10"/>
    <x v="1"/>
    <s v="Population, total"/>
    <s v="Demographics"/>
    <s v="SDG 11: Sustainable Cities and Communities"/>
    <n v="1130269"/>
    <s v="People"/>
    <s v="Swaziland|2002"/>
    <s v="Gapminder/Plotly country-year extract reshaped to long indicator format for education"/>
    <s v="OK"/>
    <s v="2000s"/>
    <s v="N/A"/>
    <s v="Demographics"/>
  </r>
  <r>
    <s v="GM-04389"/>
    <s v="Swaziland"/>
    <x v="2"/>
    <x v="10"/>
    <x v="2"/>
    <s v="GDP per capita"/>
    <s v="Economy"/>
    <s v="SDG 8: Decent Work and Economic Growth"/>
    <n v="4128.116943"/>
    <s v="Source-defined international dollars"/>
    <s v="Swaziland|2002"/>
    <s v="Gapminder/Plotly country-year extract reshaped to long indicator format for education"/>
    <s v="OK"/>
    <s v="2000s"/>
    <s v="N/A"/>
    <s v="Economy"/>
  </r>
  <r>
    <s v="GM-04390"/>
    <s v="Swaziland"/>
    <x v="2"/>
    <x v="11"/>
    <x v="0"/>
    <s v="Life expectancy at birth"/>
    <s v="Health"/>
    <s v="SDG 3: Good Health and Well-being"/>
    <n v="39.613"/>
    <s v="Years"/>
    <s v="Swaziland|2007"/>
    <s v="Gapminder/Plotly country-year extract reshaped to long indicator format for education"/>
    <s v="OK"/>
    <s v="2000s"/>
    <s v="Low"/>
    <s v="Health"/>
  </r>
  <r>
    <s v="GM-04391"/>
    <s v="Swaziland"/>
    <x v="2"/>
    <x v="11"/>
    <x v="1"/>
    <s v="Population, total"/>
    <s v="Demographics"/>
    <s v="SDG 11: Sustainable Cities and Communities"/>
    <n v="1133066"/>
    <s v="People"/>
    <s v="Swaziland|2007"/>
    <s v="Gapminder/Plotly country-year extract reshaped to long indicator format for education"/>
    <s v="OK"/>
    <s v="2000s"/>
    <s v="N/A"/>
    <s v="Demographics"/>
  </r>
  <r>
    <s v="GM-04392"/>
    <s v="Swaziland"/>
    <x v="2"/>
    <x v="11"/>
    <x v="2"/>
    <s v="GDP per capita"/>
    <s v="Economy"/>
    <s v="SDG 8: Decent Work and Economic Growth"/>
    <n v="4513.4806429999999"/>
    <s v="Source-defined international dollars"/>
    <s v="Swaziland|2007"/>
    <s v="Gapminder/Plotly country-year extract reshaped to long indicator format for education"/>
    <s v="OK"/>
    <s v="2000s"/>
    <s v="N/A"/>
    <s v="Economy"/>
  </r>
  <r>
    <s v="GM-04393"/>
    <s v="Sweden"/>
    <x v="1"/>
    <x v="0"/>
    <x v="0"/>
    <s v="Life expectancy at birth"/>
    <s v="Health"/>
    <s v="SDG 3: Good Health and Well-being"/>
    <n v="71.86"/>
    <s v="Years"/>
    <s v="Sweden|1952"/>
    <s v="Gapminder/Plotly country-year extract reshaped to long indicator format for education"/>
    <s v="OK"/>
    <s v="1950s"/>
    <s v="High"/>
    <s v="Health"/>
  </r>
  <r>
    <s v="GM-04394"/>
    <s v="Sweden"/>
    <x v="1"/>
    <x v="0"/>
    <x v="1"/>
    <s v="Population, total"/>
    <s v="Demographics"/>
    <s v="SDG 11: Sustainable Cities and Communities"/>
    <n v="7124673"/>
    <s v="People"/>
    <s v="Sweden|1952"/>
    <s v="Gapminder/Plotly country-year extract reshaped to long indicator format for education"/>
    <s v="OK"/>
    <s v="1950s"/>
    <s v="N/A"/>
    <s v="Demographics"/>
  </r>
  <r>
    <s v="GM-04395"/>
    <s v="Sweden"/>
    <x v="1"/>
    <x v="0"/>
    <x v="2"/>
    <s v="GDP per capita"/>
    <s v="Economy"/>
    <s v="SDG 8: Decent Work and Economic Growth"/>
    <n v="8527.8446619999995"/>
    <s v="Source-defined international dollars"/>
    <s v="Sweden|1952"/>
    <s v="Gapminder/Plotly country-year extract reshaped to long indicator format for education"/>
    <s v="OK"/>
    <s v="1950s"/>
    <s v="N/A"/>
    <s v="Economy"/>
  </r>
  <r>
    <s v="GM-04396"/>
    <s v="Sweden"/>
    <x v="1"/>
    <x v="1"/>
    <x v="0"/>
    <s v="Life expectancy at birth"/>
    <s v="Health"/>
    <s v="SDG 3: Good Health and Well-being"/>
    <n v="72.489999999999995"/>
    <s v="Years"/>
    <s v="Sweden|1957"/>
    <s v="Gapminder/Plotly country-year extract reshaped to long indicator format for education"/>
    <s v="OK"/>
    <s v="1950s"/>
    <s v="High"/>
    <s v="Health"/>
  </r>
  <r>
    <s v="GM-04397"/>
    <s v="Sweden"/>
    <x v="1"/>
    <x v="1"/>
    <x v="1"/>
    <s v="Population, total"/>
    <s v="Demographics"/>
    <s v="SDG 11: Sustainable Cities and Communities"/>
    <n v="7363802"/>
    <s v="People"/>
    <s v="Sweden|1957"/>
    <s v="Gapminder/Plotly country-year extract reshaped to long indicator format for education"/>
    <s v="OK"/>
    <s v="1950s"/>
    <s v="N/A"/>
    <s v="Demographics"/>
  </r>
  <r>
    <s v="GM-04398"/>
    <s v="Sweden"/>
    <x v="1"/>
    <x v="1"/>
    <x v="2"/>
    <s v="GDP per capita"/>
    <s v="Economy"/>
    <s v="SDG 8: Decent Work and Economic Growth"/>
    <n v="9911.8782260000007"/>
    <s v="Source-defined international dollars"/>
    <s v="Sweden|1957"/>
    <s v="Gapminder/Plotly country-year extract reshaped to long indicator format for education"/>
    <s v="OK"/>
    <s v="1950s"/>
    <s v="N/A"/>
    <s v="Economy"/>
  </r>
  <r>
    <s v="GM-04399"/>
    <s v="Sweden"/>
    <x v="1"/>
    <x v="2"/>
    <x v="0"/>
    <s v="Life expectancy at birth"/>
    <s v="Health"/>
    <s v="SDG 3: Good Health and Well-being"/>
    <n v="73.37"/>
    <s v="Years"/>
    <s v="Sweden|1962"/>
    <s v="Gapminder/Plotly country-year extract reshaped to long indicator format for education"/>
    <s v="OK"/>
    <s v="1960s"/>
    <s v="High"/>
    <s v="Health"/>
  </r>
  <r>
    <s v="GM-04400"/>
    <s v="Sweden"/>
    <x v="1"/>
    <x v="2"/>
    <x v="1"/>
    <s v="Population, total"/>
    <s v="Demographics"/>
    <s v="SDG 11: Sustainable Cities and Communities"/>
    <n v="7561588"/>
    <s v="People"/>
    <s v="Sweden|1962"/>
    <s v="Gapminder/Plotly country-year extract reshaped to long indicator format for education"/>
    <s v="OK"/>
    <s v="1960s"/>
    <s v="N/A"/>
    <s v="Demographics"/>
  </r>
  <r>
    <s v="GM-04401"/>
    <s v="Sweden"/>
    <x v="1"/>
    <x v="2"/>
    <x v="2"/>
    <s v="GDP per capita"/>
    <s v="Economy"/>
    <s v="SDG 8: Decent Work and Economic Growth"/>
    <n v="12329.441919999999"/>
    <s v="Source-defined international dollars"/>
    <s v="Sweden|1962"/>
    <s v="Gapminder/Plotly country-year extract reshaped to long indicator format for education"/>
    <s v="OK"/>
    <s v="1960s"/>
    <s v="N/A"/>
    <s v="Economy"/>
  </r>
  <r>
    <s v="GM-04402"/>
    <s v="Sweden"/>
    <x v="1"/>
    <x v="3"/>
    <x v="0"/>
    <s v="Life expectancy at birth"/>
    <s v="Health"/>
    <s v="SDG 3: Good Health and Well-being"/>
    <n v="74.16"/>
    <s v="Years"/>
    <s v="Sweden|1967"/>
    <s v="Gapminder/Plotly country-year extract reshaped to long indicator format for education"/>
    <s v="OK"/>
    <s v="1960s"/>
    <s v="High"/>
    <s v="Health"/>
  </r>
  <r>
    <s v="GM-04403"/>
    <s v="Sweden"/>
    <x v="1"/>
    <x v="3"/>
    <x v="1"/>
    <s v="Population, total"/>
    <s v="Demographics"/>
    <s v="SDG 11: Sustainable Cities and Communities"/>
    <n v="7867931"/>
    <s v="People"/>
    <s v="Sweden|1967"/>
    <s v="Gapminder/Plotly country-year extract reshaped to long indicator format for education"/>
    <s v="OK"/>
    <s v="1960s"/>
    <s v="N/A"/>
    <s v="Demographics"/>
  </r>
  <r>
    <s v="GM-04404"/>
    <s v="Sweden"/>
    <x v="1"/>
    <x v="3"/>
    <x v="2"/>
    <s v="GDP per capita"/>
    <s v="Economy"/>
    <s v="SDG 8: Decent Work and Economic Growth"/>
    <n v="15258.296969999999"/>
    <s v="Source-defined international dollars"/>
    <s v="Sweden|1967"/>
    <s v="Gapminder/Plotly country-year extract reshaped to long indicator format for education"/>
    <s v="OK"/>
    <s v="1960s"/>
    <s v="N/A"/>
    <s v="Economy"/>
  </r>
  <r>
    <s v="GM-04405"/>
    <s v="Sweden"/>
    <x v="1"/>
    <x v="4"/>
    <x v="0"/>
    <s v="Life expectancy at birth"/>
    <s v="Health"/>
    <s v="SDG 3: Good Health and Well-being"/>
    <n v="74.72"/>
    <s v="Years"/>
    <s v="Sweden|1972"/>
    <s v="Gapminder/Plotly country-year extract reshaped to long indicator format for education"/>
    <s v="OK"/>
    <s v="1970s"/>
    <s v="High"/>
    <s v="Health"/>
  </r>
  <r>
    <s v="GM-04406"/>
    <s v="Sweden"/>
    <x v="1"/>
    <x v="4"/>
    <x v="1"/>
    <s v="Population, total"/>
    <s v="Demographics"/>
    <s v="SDG 11: Sustainable Cities and Communities"/>
    <n v="8122293"/>
    <s v="People"/>
    <s v="Sweden|1972"/>
    <s v="Gapminder/Plotly country-year extract reshaped to long indicator format for education"/>
    <s v="OK"/>
    <s v="1970s"/>
    <s v="N/A"/>
    <s v="Demographics"/>
  </r>
  <r>
    <s v="GM-04407"/>
    <s v="Sweden"/>
    <x v="1"/>
    <x v="4"/>
    <x v="2"/>
    <s v="GDP per capita"/>
    <s v="Economy"/>
    <s v="SDG 8: Decent Work and Economic Growth"/>
    <n v="17832.02464"/>
    <s v="Source-defined international dollars"/>
    <s v="Sweden|1972"/>
    <s v="Gapminder/Plotly country-year extract reshaped to long indicator format for education"/>
    <s v="OK"/>
    <s v="1970s"/>
    <s v="N/A"/>
    <s v="Economy"/>
  </r>
  <r>
    <s v="GM-04408"/>
    <s v="Sweden"/>
    <x v="1"/>
    <x v="5"/>
    <x v="0"/>
    <s v="Life expectancy at birth"/>
    <s v="Health"/>
    <s v="SDG 3: Good Health and Well-being"/>
    <n v="75.44"/>
    <s v="Years"/>
    <s v="Sweden|1977"/>
    <s v="Gapminder/Plotly country-year extract reshaped to long indicator format for education"/>
    <s v="OK"/>
    <s v="1970s"/>
    <s v="High"/>
    <s v="Health"/>
  </r>
  <r>
    <s v="GM-04409"/>
    <s v="Sweden"/>
    <x v="1"/>
    <x v="5"/>
    <x v="1"/>
    <s v="Population, total"/>
    <s v="Demographics"/>
    <s v="SDG 11: Sustainable Cities and Communities"/>
    <n v="8251648"/>
    <s v="People"/>
    <s v="Sweden|1977"/>
    <s v="Gapminder/Plotly country-year extract reshaped to long indicator format for education"/>
    <s v="OK"/>
    <s v="1970s"/>
    <s v="N/A"/>
    <s v="Demographics"/>
  </r>
  <r>
    <s v="GM-04410"/>
    <s v="Sweden"/>
    <x v="1"/>
    <x v="5"/>
    <x v="2"/>
    <s v="GDP per capita"/>
    <s v="Economy"/>
    <s v="SDG 8: Decent Work and Economic Growth"/>
    <n v="18855.725210000001"/>
    <s v="Source-defined international dollars"/>
    <s v="Sweden|1977"/>
    <s v="Gapminder/Plotly country-year extract reshaped to long indicator format for education"/>
    <s v="OK"/>
    <s v="1970s"/>
    <s v="N/A"/>
    <s v="Economy"/>
  </r>
  <r>
    <s v="GM-04411"/>
    <s v="Sweden"/>
    <x v="1"/>
    <x v="6"/>
    <x v="0"/>
    <s v="Life expectancy at birth"/>
    <s v="Health"/>
    <s v="SDG 3: Good Health and Well-being"/>
    <n v="76.42"/>
    <s v="Years"/>
    <s v="Sweden|1982"/>
    <s v="Gapminder/Plotly country-year extract reshaped to long indicator format for education"/>
    <s v="OK"/>
    <s v="1980s"/>
    <s v="High"/>
    <s v="Health"/>
  </r>
  <r>
    <s v="GM-04412"/>
    <s v="Sweden"/>
    <x v="1"/>
    <x v="6"/>
    <x v="1"/>
    <s v="Population, total"/>
    <s v="Demographics"/>
    <s v="SDG 11: Sustainable Cities and Communities"/>
    <n v="8325260"/>
    <s v="People"/>
    <s v="Sweden|1982"/>
    <s v="Gapminder/Plotly country-year extract reshaped to long indicator format for education"/>
    <s v="OK"/>
    <s v="1980s"/>
    <s v="N/A"/>
    <s v="Demographics"/>
  </r>
  <r>
    <s v="GM-04413"/>
    <s v="Sweden"/>
    <x v="1"/>
    <x v="6"/>
    <x v="2"/>
    <s v="GDP per capita"/>
    <s v="Economy"/>
    <s v="SDG 8: Decent Work and Economic Growth"/>
    <n v="20667.381249999999"/>
    <s v="Source-defined international dollars"/>
    <s v="Sweden|1982"/>
    <s v="Gapminder/Plotly country-year extract reshaped to long indicator format for education"/>
    <s v="OK"/>
    <s v="1980s"/>
    <s v="N/A"/>
    <s v="Economy"/>
  </r>
  <r>
    <s v="GM-04414"/>
    <s v="Sweden"/>
    <x v="1"/>
    <x v="7"/>
    <x v="0"/>
    <s v="Life expectancy at birth"/>
    <s v="Health"/>
    <s v="SDG 3: Good Health and Well-being"/>
    <n v="77.19"/>
    <s v="Years"/>
    <s v="Sweden|1987"/>
    <s v="Gapminder/Plotly country-year extract reshaped to long indicator format for education"/>
    <s v="OK"/>
    <s v="1980s"/>
    <s v="High"/>
    <s v="Health"/>
  </r>
  <r>
    <s v="GM-04415"/>
    <s v="Sweden"/>
    <x v="1"/>
    <x v="7"/>
    <x v="1"/>
    <s v="Population, total"/>
    <s v="Demographics"/>
    <s v="SDG 11: Sustainable Cities and Communities"/>
    <n v="8421403"/>
    <s v="People"/>
    <s v="Sweden|1987"/>
    <s v="Gapminder/Plotly country-year extract reshaped to long indicator format for education"/>
    <s v="OK"/>
    <s v="1980s"/>
    <s v="N/A"/>
    <s v="Demographics"/>
  </r>
  <r>
    <s v="GM-04416"/>
    <s v="Sweden"/>
    <x v="1"/>
    <x v="7"/>
    <x v="2"/>
    <s v="GDP per capita"/>
    <s v="Economy"/>
    <s v="SDG 8: Decent Work and Economic Growth"/>
    <n v="23586.929270000001"/>
    <s v="Source-defined international dollars"/>
    <s v="Sweden|1987"/>
    <s v="Gapminder/Plotly country-year extract reshaped to long indicator format for education"/>
    <s v="OK"/>
    <s v="1980s"/>
    <s v="N/A"/>
    <s v="Economy"/>
  </r>
  <r>
    <s v="GM-04417"/>
    <s v="Sweden"/>
    <x v="1"/>
    <x v="8"/>
    <x v="0"/>
    <s v="Life expectancy at birth"/>
    <s v="Health"/>
    <s v="SDG 3: Good Health and Well-being"/>
    <n v="78.16"/>
    <s v="Years"/>
    <s v="Sweden|1992"/>
    <s v="Gapminder/Plotly country-year extract reshaped to long indicator format for education"/>
    <s v="OK"/>
    <s v="1990s"/>
    <s v="High"/>
    <s v="Health"/>
  </r>
  <r>
    <s v="GM-04418"/>
    <s v="Sweden"/>
    <x v="1"/>
    <x v="8"/>
    <x v="1"/>
    <s v="Population, total"/>
    <s v="Demographics"/>
    <s v="SDG 11: Sustainable Cities and Communities"/>
    <n v="8718867"/>
    <s v="People"/>
    <s v="Sweden|1992"/>
    <s v="Gapminder/Plotly country-year extract reshaped to long indicator format for education"/>
    <s v="OK"/>
    <s v="1990s"/>
    <s v="N/A"/>
    <s v="Demographics"/>
  </r>
  <r>
    <s v="GM-04419"/>
    <s v="Sweden"/>
    <x v="1"/>
    <x v="8"/>
    <x v="2"/>
    <s v="GDP per capita"/>
    <s v="Economy"/>
    <s v="SDG 8: Decent Work and Economic Growth"/>
    <n v="23880.01683"/>
    <s v="Source-defined international dollars"/>
    <s v="Sweden|1992"/>
    <s v="Gapminder/Plotly country-year extract reshaped to long indicator format for education"/>
    <s v="OK"/>
    <s v="1990s"/>
    <s v="N/A"/>
    <s v="Economy"/>
  </r>
  <r>
    <s v="GM-04420"/>
    <s v="Sweden"/>
    <x v="1"/>
    <x v="9"/>
    <x v="0"/>
    <s v="Life expectancy at birth"/>
    <s v="Health"/>
    <s v="SDG 3: Good Health and Well-being"/>
    <n v="79.39"/>
    <s v="Years"/>
    <s v="Sweden|1997"/>
    <s v="Gapminder/Plotly country-year extract reshaped to long indicator format for education"/>
    <s v="OK"/>
    <s v="1990s"/>
    <s v="High"/>
    <s v="Health"/>
  </r>
  <r>
    <s v="GM-04421"/>
    <s v="Sweden"/>
    <x v="1"/>
    <x v="9"/>
    <x v="1"/>
    <s v="Population, total"/>
    <s v="Demographics"/>
    <s v="SDG 11: Sustainable Cities and Communities"/>
    <n v="8897619"/>
    <s v="People"/>
    <s v="Sweden|1997"/>
    <s v="Gapminder/Plotly country-year extract reshaped to long indicator format for education"/>
    <s v="OK"/>
    <s v="1990s"/>
    <s v="N/A"/>
    <s v="Demographics"/>
  </r>
  <r>
    <s v="GM-04422"/>
    <s v="Sweden"/>
    <x v="1"/>
    <x v="9"/>
    <x v="2"/>
    <s v="GDP per capita"/>
    <s v="Economy"/>
    <s v="SDG 8: Decent Work and Economic Growth"/>
    <n v="25266.594990000001"/>
    <s v="Source-defined international dollars"/>
    <s v="Sweden|1997"/>
    <s v="Gapminder/Plotly country-year extract reshaped to long indicator format for education"/>
    <s v="OK"/>
    <s v="1990s"/>
    <s v="N/A"/>
    <s v="Economy"/>
  </r>
  <r>
    <s v="GM-04423"/>
    <s v="Sweden"/>
    <x v="1"/>
    <x v="10"/>
    <x v="0"/>
    <s v="Life expectancy at birth"/>
    <s v="Health"/>
    <s v="SDG 3: Good Health and Well-being"/>
    <n v="80.040000000000006"/>
    <s v="Years"/>
    <s v="Sweden|2002"/>
    <s v="Gapminder/Plotly country-year extract reshaped to long indicator format for education"/>
    <s v="OK"/>
    <s v="2000s"/>
    <s v="High"/>
    <s v="Health"/>
  </r>
  <r>
    <s v="GM-04424"/>
    <s v="Sweden"/>
    <x v="1"/>
    <x v="10"/>
    <x v="1"/>
    <s v="Population, total"/>
    <s v="Demographics"/>
    <s v="SDG 11: Sustainable Cities and Communities"/>
    <n v="8954175"/>
    <s v="People"/>
    <s v="Sweden|2002"/>
    <s v="Gapminder/Plotly country-year extract reshaped to long indicator format for education"/>
    <s v="OK"/>
    <s v="2000s"/>
    <s v="N/A"/>
    <s v="Demographics"/>
  </r>
  <r>
    <s v="GM-04425"/>
    <s v="Sweden"/>
    <x v="1"/>
    <x v="10"/>
    <x v="2"/>
    <s v="GDP per capita"/>
    <s v="Economy"/>
    <s v="SDG 8: Decent Work and Economic Growth"/>
    <n v="29341.630929999999"/>
    <s v="Source-defined international dollars"/>
    <s v="Sweden|2002"/>
    <s v="Gapminder/Plotly country-year extract reshaped to long indicator format for education"/>
    <s v="OK"/>
    <s v="2000s"/>
    <s v="N/A"/>
    <s v="Economy"/>
  </r>
  <r>
    <s v="GM-04426"/>
    <s v="Sweden"/>
    <x v="1"/>
    <x v="11"/>
    <x v="0"/>
    <s v="Life expectancy at birth"/>
    <s v="Health"/>
    <s v="SDG 3: Good Health and Well-being"/>
    <n v="80.884"/>
    <s v="Years"/>
    <s v="Sweden|2007"/>
    <s v="Gapminder/Plotly country-year extract reshaped to long indicator format for education"/>
    <s v="OK"/>
    <s v="2000s"/>
    <s v="High"/>
    <s v="Health"/>
  </r>
  <r>
    <s v="GM-04427"/>
    <s v="Sweden"/>
    <x v="1"/>
    <x v="11"/>
    <x v="1"/>
    <s v="Population, total"/>
    <s v="Demographics"/>
    <s v="SDG 11: Sustainable Cities and Communities"/>
    <n v="9031088"/>
    <s v="People"/>
    <s v="Sweden|2007"/>
    <s v="Gapminder/Plotly country-year extract reshaped to long indicator format for education"/>
    <s v="OK"/>
    <s v="2000s"/>
    <s v="N/A"/>
    <s v="Demographics"/>
  </r>
  <r>
    <s v="GM-04428"/>
    <s v="Sweden"/>
    <x v="1"/>
    <x v="11"/>
    <x v="2"/>
    <s v="GDP per capita"/>
    <s v="Economy"/>
    <s v="SDG 8: Decent Work and Economic Growth"/>
    <n v="33859.748350000002"/>
    <s v="Source-defined international dollars"/>
    <s v="Sweden|2007"/>
    <s v="Gapminder/Plotly country-year extract reshaped to long indicator format for education"/>
    <s v="OK"/>
    <s v="2000s"/>
    <s v="N/A"/>
    <s v="Economy"/>
  </r>
  <r>
    <s v="GM-04429"/>
    <s v="Switzerland"/>
    <x v="1"/>
    <x v="0"/>
    <x v="0"/>
    <s v="Life expectancy at birth"/>
    <s v="Health"/>
    <s v="SDG 3: Good Health and Well-being"/>
    <n v="69.62"/>
    <s v="Years"/>
    <s v="Switzerland|1952"/>
    <s v="Gapminder/Plotly country-year extract reshaped to long indicator format for education"/>
    <s v="OK"/>
    <s v="1950s"/>
    <s v="Medium"/>
    <s v="Health"/>
  </r>
  <r>
    <s v="GM-04430"/>
    <s v="Switzerland"/>
    <x v="1"/>
    <x v="0"/>
    <x v="1"/>
    <s v="Population, total"/>
    <s v="Demographics"/>
    <s v="SDG 11: Sustainable Cities and Communities"/>
    <n v="4815000"/>
    <s v="People"/>
    <s v="Switzerland|1952"/>
    <s v="Gapminder/Plotly country-year extract reshaped to long indicator format for education"/>
    <s v="OK"/>
    <s v="1950s"/>
    <s v="N/A"/>
    <s v="Demographics"/>
  </r>
  <r>
    <s v="GM-04431"/>
    <s v="Switzerland"/>
    <x v="1"/>
    <x v="0"/>
    <x v="2"/>
    <s v="GDP per capita"/>
    <s v="Economy"/>
    <s v="SDG 8: Decent Work and Economic Growth"/>
    <n v="14734.232749999999"/>
    <s v="Source-defined international dollars"/>
    <s v="Switzerland|1952"/>
    <s v="Gapminder/Plotly country-year extract reshaped to long indicator format for education"/>
    <s v="OK"/>
    <s v="1950s"/>
    <s v="N/A"/>
    <s v="Economy"/>
  </r>
  <r>
    <s v="GM-04432"/>
    <s v="Switzerland"/>
    <x v="1"/>
    <x v="1"/>
    <x v="0"/>
    <s v="Life expectancy at birth"/>
    <s v="Health"/>
    <s v="SDG 3: Good Health and Well-being"/>
    <n v="70.56"/>
    <s v="Years"/>
    <s v="Switzerland|1957"/>
    <s v="Gapminder/Plotly country-year extract reshaped to long indicator format for education"/>
    <s v="OK"/>
    <s v="1950s"/>
    <s v="High"/>
    <s v="Health"/>
  </r>
  <r>
    <s v="GM-04433"/>
    <s v="Switzerland"/>
    <x v="1"/>
    <x v="1"/>
    <x v="1"/>
    <s v="Population, total"/>
    <s v="Demographics"/>
    <s v="SDG 11: Sustainable Cities and Communities"/>
    <n v="5126000"/>
    <s v="People"/>
    <s v="Switzerland|1957"/>
    <s v="Gapminder/Plotly country-year extract reshaped to long indicator format for education"/>
    <s v="OK"/>
    <s v="1950s"/>
    <s v="N/A"/>
    <s v="Demographics"/>
  </r>
  <r>
    <s v="GM-04434"/>
    <s v="Switzerland"/>
    <x v="1"/>
    <x v="1"/>
    <x v="2"/>
    <s v="GDP per capita"/>
    <s v="Economy"/>
    <s v="SDG 8: Decent Work and Economic Growth"/>
    <n v="17909.489730000001"/>
    <s v="Source-defined international dollars"/>
    <s v="Switzerland|1957"/>
    <s v="Gapminder/Plotly country-year extract reshaped to long indicator format for education"/>
    <s v="OK"/>
    <s v="1950s"/>
    <s v="N/A"/>
    <s v="Economy"/>
  </r>
  <r>
    <s v="GM-04435"/>
    <s v="Switzerland"/>
    <x v="1"/>
    <x v="2"/>
    <x v="0"/>
    <s v="Life expectancy at birth"/>
    <s v="Health"/>
    <s v="SDG 3: Good Health and Well-being"/>
    <n v="71.319999999999993"/>
    <s v="Years"/>
    <s v="Switzerland|1962"/>
    <s v="Gapminder/Plotly country-year extract reshaped to long indicator format for education"/>
    <s v="OK"/>
    <s v="1960s"/>
    <s v="High"/>
    <s v="Health"/>
  </r>
  <r>
    <s v="GM-04436"/>
    <s v="Switzerland"/>
    <x v="1"/>
    <x v="2"/>
    <x v="1"/>
    <s v="Population, total"/>
    <s v="Demographics"/>
    <s v="SDG 11: Sustainable Cities and Communities"/>
    <n v="5666000"/>
    <s v="People"/>
    <s v="Switzerland|1962"/>
    <s v="Gapminder/Plotly country-year extract reshaped to long indicator format for education"/>
    <s v="OK"/>
    <s v="1960s"/>
    <s v="N/A"/>
    <s v="Demographics"/>
  </r>
  <r>
    <s v="GM-04437"/>
    <s v="Switzerland"/>
    <x v="1"/>
    <x v="2"/>
    <x v="2"/>
    <s v="GDP per capita"/>
    <s v="Economy"/>
    <s v="SDG 8: Decent Work and Economic Growth"/>
    <n v="20431.092700000001"/>
    <s v="Source-defined international dollars"/>
    <s v="Switzerland|1962"/>
    <s v="Gapminder/Plotly country-year extract reshaped to long indicator format for education"/>
    <s v="OK"/>
    <s v="1960s"/>
    <s v="N/A"/>
    <s v="Economy"/>
  </r>
  <r>
    <s v="GM-04438"/>
    <s v="Switzerland"/>
    <x v="1"/>
    <x v="3"/>
    <x v="0"/>
    <s v="Life expectancy at birth"/>
    <s v="Health"/>
    <s v="SDG 3: Good Health and Well-being"/>
    <n v="72.77"/>
    <s v="Years"/>
    <s v="Switzerland|1967"/>
    <s v="Gapminder/Plotly country-year extract reshaped to long indicator format for education"/>
    <s v="OK"/>
    <s v="1960s"/>
    <s v="High"/>
    <s v="Health"/>
  </r>
  <r>
    <s v="GM-04439"/>
    <s v="Switzerland"/>
    <x v="1"/>
    <x v="3"/>
    <x v="1"/>
    <s v="Population, total"/>
    <s v="Demographics"/>
    <s v="SDG 11: Sustainable Cities and Communities"/>
    <n v="6063000"/>
    <s v="People"/>
    <s v="Switzerland|1967"/>
    <s v="Gapminder/Plotly country-year extract reshaped to long indicator format for education"/>
    <s v="OK"/>
    <s v="1960s"/>
    <s v="N/A"/>
    <s v="Demographics"/>
  </r>
  <r>
    <s v="GM-04440"/>
    <s v="Switzerland"/>
    <x v="1"/>
    <x v="3"/>
    <x v="2"/>
    <s v="GDP per capita"/>
    <s v="Economy"/>
    <s v="SDG 8: Decent Work and Economic Growth"/>
    <n v="22966.144319999999"/>
    <s v="Source-defined international dollars"/>
    <s v="Switzerland|1967"/>
    <s v="Gapminder/Plotly country-year extract reshaped to long indicator format for education"/>
    <s v="OK"/>
    <s v="1960s"/>
    <s v="N/A"/>
    <s v="Economy"/>
  </r>
  <r>
    <s v="GM-04441"/>
    <s v="Switzerland"/>
    <x v="1"/>
    <x v="4"/>
    <x v="0"/>
    <s v="Life expectancy at birth"/>
    <s v="Health"/>
    <s v="SDG 3: Good Health and Well-being"/>
    <n v="73.78"/>
    <s v="Years"/>
    <s v="Switzerland|1972"/>
    <s v="Gapminder/Plotly country-year extract reshaped to long indicator format for education"/>
    <s v="OK"/>
    <s v="1970s"/>
    <s v="High"/>
    <s v="Health"/>
  </r>
  <r>
    <s v="GM-04442"/>
    <s v="Switzerland"/>
    <x v="1"/>
    <x v="4"/>
    <x v="1"/>
    <s v="Population, total"/>
    <s v="Demographics"/>
    <s v="SDG 11: Sustainable Cities and Communities"/>
    <n v="6401400"/>
    <s v="People"/>
    <s v="Switzerland|1972"/>
    <s v="Gapminder/Plotly country-year extract reshaped to long indicator format for education"/>
    <s v="OK"/>
    <s v="1970s"/>
    <s v="N/A"/>
    <s v="Demographics"/>
  </r>
  <r>
    <s v="GM-04443"/>
    <s v="Switzerland"/>
    <x v="1"/>
    <x v="4"/>
    <x v="2"/>
    <s v="GDP per capita"/>
    <s v="Economy"/>
    <s v="SDG 8: Decent Work and Economic Growth"/>
    <n v="27195.11304"/>
    <s v="Source-defined international dollars"/>
    <s v="Switzerland|1972"/>
    <s v="Gapminder/Plotly country-year extract reshaped to long indicator format for education"/>
    <s v="OK"/>
    <s v="1970s"/>
    <s v="N/A"/>
    <s v="Economy"/>
  </r>
  <r>
    <s v="GM-04444"/>
    <s v="Switzerland"/>
    <x v="1"/>
    <x v="5"/>
    <x v="0"/>
    <s v="Life expectancy at birth"/>
    <s v="Health"/>
    <s v="SDG 3: Good Health and Well-being"/>
    <n v="75.39"/>
    <s v="Years"/>
    <s v="Switzerland|1977"/>
    <s v="Gapminder/Plotly country-year extract reshaped to long indicator format for education"/>
    <s v="OK"/>
    <s v="1970s"/>
    <s v="High"/>
    <s v="Health"/>
  </r>
  <r>
    <s v="GM-04445"/>
    <s v="Switzerland"/>
    <x v="1"/>
    <x v="5"/>
    <x v="1"/>
    <s v="Population, total"/>
    <s v="Demographics"/>
    <s v="SDG 11: Sustainable Cities and Communities"/>
    <n v="6316424"/>
    <s v="People"/>
    <s v="Switzerland|1977"/>
    <s v="Gapminder/Plotly country-year extract reshaped to long indicator format for education"/>
    <s v="OK"/>
    <s v="1970s"/>
    <s v="N/A"/>
    <s v="Demographics"/>
  </r>
  <r>
    <s v="GM-04446"/>
    <s v="Switzerland"/>
    <x v="1"/>
    <x v="5"/>
    <x v="2"/>
    <s v="GDP per capita"/>
    <s v="Economy"/>
    <s v="SDG 8: Decent Work and Economic Growth"/>
    <n v="26982.290519999999"/>
    <s v="Source-defined international dollars"/>
    <s v="Switzerland|1977"/>
    <s v="Gapminder/Plotly country-year extract reshaped to long indicator format for education"/>
    <s v="OK"/>
    <s v="1970s"/>
    <s v="N/A"/>
    <s v="Economy"/>
  </r>
  <r>
    <s v="GM-04447"/>
    <s v="Switzerland"/>
    <x v="1"/>
    <x v="6"/>
    <x v="0"/>
    <s v="Life expectancy at birth"/>
    <s v="Health"/>
    <s v="SDG 3: Good Health and Well-being"/>
    <n v="76.209999999999994"/>
    <s v="Years"/>
    <s v="Switzerland|1982"/>
    <s v="Gapminder/Plotly country-year extract reshaped to long indicator format for education"/>
    <s v="OK"/>
    <s v="1980s"/>
    <s v="High"/>
    <s v="Health"/>
  </r>
  <r>
    <s v="GM-04448"/>
    <s v="Switzerland"/>
    <x v="1"/>
    <x v="6"/>
    <x v="1"/>
    <s v="Population, total"/>
    <s v="Demographics"/>
    <s v="SDG 11: Sustainable Cities and Communities"/>
    <n v="6468126"/>
    <s v="People"/>
    <s v="Switzerland|1982"/>
    <s v="Gapminder/Plotly country-year extract reshaped to long indicator format for education"/>
    <s v="OK"/>
    <s v="1980s"/>
    <s v="N/A"/>
    <s v="Demographics"/>
  </r>
  <r>
    <s v="GM-04449"/>
    <s v="Switzerland"/>
    <x v="1"/>
    <x v="6"/>
    <x v="2"/>
    <s v="GDP per capita"/>
    <s v="Economy"/>
    <s v="SDG 8: Decent Work and Economic Growth"/>
    <n v="28397.715120000001"/>
    <s v="Source-defined international dollars"/>
    <s v="Switzerland|1982"/>
    <s v="Gapminder/Plotly country-year extract reshaped to long indicator format for education"/>
    <s v="OK"/>
    <s v="1980s"/>
    <s v="N/A"/>
    <s v="Economy"/>
  </r>
  <r>
    <s v="GM-04450"/>
    <s v="Switzerland"/>
    <x v="1"/>
    <x v="7"/>
    <x v="0"/>
    <s v="Life expectancy at birth"/>
    <s v="Health"/>
    <s v="SDG 3: Good Health and Well-being"/>
    <n v="77.41"/>
    <s v="Years"/>
    <s v="Switzerland|1987"/>
    <s v="Gapminder/Plotly country-year extract reshaped to long indicator format for education"/>
    <s v="OK"/>
    <s v="1980s"/>
    <s v="High"/>
    <s v="Health"/>
  </r>
  <r>
    <s v="GM-04451"/>
    <s v="Switzerland"/>
    <x v="1"/>
    <x v="7"/>
    <x v="1"/>
    <s v="Population, total"/>
    <s v="Demographics"/>
    <s v="SDG 11: Sustainable Cities and Communities"/>
    <n v="6649942"/>
    <s v="People"/>
    <s v="Switzerland|1987"/>
    <s v="Gapminder/Plotly country-year extract reshaped to long indicator format for education"/>
    <s v="OK"/>
    <s v="1980s"/>
    <s v="N/A"/>
    <s v="Demographics"/>
  </r>
  <r>
    <s v="GM-04452"/>
    <s v="Switzerland"/>
    <x v="1"/>
    <x v="7"/>
    <x v="2"/>
    <s v="GDP per capita"/>
    <s v="Economy"/>
    <s v="SDG 8: Decent Work and Economic Growth"/>
    <n v="30281.704590000001"/>
    <s v="Source-defined international dollars"/>
    <s v="Switzerland|1987"/>
    <s v="Gapminder/Plotly country-year extract reshaped to long indicator format for education"/>
    <s v="OK"/>
    <s v="1980s"/>
    <s v="N/A"/>
    <s v="Economy"/>
  </r>
  <r>
    <s v="GM-04453"/>
    <s v="Switzerland"/>
    <x v="1"/>
    <x v="8"/>
    <x v="0"/>
    <s v="Life expectancy at birth"/>
    <s v="Health"/>
    <s v="SDG 3: Good Health and Well-being"/>
    <n v="78.03"/>
    <s v="Years"/>
    <s v="Switzerland|1992"/>
    <s v="Gapminder/Plotly country-year extract reshaped to long indicator format for education"/>
    <s v="OK"/>
    <s v="1990s"/>
    <s v="High"/>
    <s v="Health"/>
  </r>
  <r>
    <s v="GM-04454"/>
    <s v="Switzerland"/>
    <x v="1"/>
    <x v="8"/>
    <x v="1"/>
    <s v="Population, total"/>
    <s v="Demographics"/>
    <s v="SDG 11: Sustainable Cities and Communities"/>
    <n v="6995447"/>
    <s v="People"/>
    <s v="Switzerland|1992"/>
    <s v="Gapminder/Plotly country-year extract reshaped to long indicator format for education"/>
    <s v="OK"/>
    <s v="1990s"/>
    <s v="N/A"/>
    <s v="Demographics"/>
  </r>
  <r>
    <s v="GM-04455"/>
    <s v="Switzerland"/>
    <x v="1"/>
    <x v="8"/>
    <x v="2"/>
    <s v="GDP per capita"/>
    <s v="Economy"/>
    <s v="SDG 8: Decent Work and Economic Growth"/>
    <n v="31871.530299999999"/>
    <s v="Source-defined international dollars"/>
    <s v="Switzerland|1992"/>
    <s v="Gapminder/Plotly country-year extract reshaped to long indicator format for education"/>
    <s v="OK"/>
    <s v="1990s"/>
    <s v="N/A"/>
    <s v="Economy"/>
  </r>
  <r>
    <s v="GM-04456"/>
    <s v="Switzerland"/>
    <x v="1"/>
    <x v="9"/>
    <x v="0"/>
    <s v="Life expectancy at birth"/>
    <s v="Health"/>
    <s v="SDG 3: Good Health and Well-being"/>
    <n v="79.37"/>
    <s v="Years"/>
    <s v="Switzerland|1997"/>
    <s v="Gapminder/Plotly country-year extract reshaped to long indicator format for education"/>
    <s v="OK"/>
    <s v="1990s"/>
    <s v="High"/>
    <s v="Health"/>
  </r>
  <r>
    <s v="GM-04457"/>
    <s v="Switzerland"/>
    <x v="1"/>
    <x v="9"/>
    <x v="1"/>
    <s v="Population, total"/>
    <s v="Demographics"/>
    <s v="SDG 11: Sustainable Cities and Communities"/>
    <n v="7193761"/>
    <s v="People"/>
    <s v="Switzerland|1997"/>
    <s v="Gapminder/Plotly country-year extract reshaped to long indicator format for education"/>
    <s v="OK"/>
    <s v="1990s"/>
    <s v="N/A"/>
    <s v="Demographics"/>
  </r>
  <r>
    <s v="GM-04458"/>
    <s v="Switzerland"/>
    <x v="1"/>
    <x v="9"/>
    <x v="2"/>
    <s v="GDP per capita"/>
    <s v="Economy"/>
    <s v="SDG 8: Decent Work and Economic Growth"/>
    <n v="32135.32301"/>
    <s v="Source-defined international dollars"/>
    <s v="Switzerland|1997"/>
    <s v="Gapminder/Plotly country-year extract reshaped to long indicator format for education"/>
    <s v="OK"/>
    <s v="1990s"/>
    <s v="N/A"/>
    <s v="Economy"/>
  </r>
  <r>
    <s v="GM-04459"/>
    <s v="Switzerland"/>
    <x v="1"/>
    <x v="10"/>
    <x v="0"/>
    <s v="Life expectancy at birth"/>
    <s v="Health"/>
    <s v="SDG 3: Good Health and Well-being"/>
    <n v="80.62"/>
    <s v="Years"/>
    <s v="Switzerland|2002"/>
    <s v="Gapminder/Plotly country-year extract reshaped to long indicator format for education"/>
    <s v="OK"/>
    <s v="2000s"/>
    <s v="High"/>
    <s v="Health"/>
  </r>
  <r>
    <s v="GM-04460"/>
    <s v="Switzerland"/>
    <x v="1"/>
    <x v="10"/>
    <x v="1"/>
    <s v="Population, total"/>
    <s v="Demographics"/>
    <s v="SDG 11: Sustainable Cities and Communities"/>
    <n v="7361757"/>
    <s v="People"/>
    <s v="Switzerland|2002"/>
    <s v="Gapminder/Plotly country-year extract reshaped to long indicator format for education"/>
    <s v="OK"/>
    <s v="2000s"/>
    <s v="N/A"/>
    <s v="Demographics"/>
  </r>
  <r>
    <s v="GM-04461"/>
    <s v="Switzerland"/>
    <x v="1"/>
    <x v="10"/>
    <x v="2"/>
    <s v="GDP per capita"/>
    <s v="Economy"/>
    <s v="SDG 8: Decent Work and Economic Growth"/>
    <n v="34480.957710000002"/>
    <s v="Source-defined international dollars"/>
    <s v="Switzerland|2002"/>
    <s v="Gapminder/Plotly country-year extract reshaped to long indicator format for education"/>
    <s v="OK"/>
    <s v="2000s"/>
    <s v="N/A"/>
    <s v="Economy"/>
  </r>
  <r>
    <s v="GM-04462"/>
    <s v="Switzerland"/>
    <x v="1"/>
    <x v="11"/>
    <x v="0"/>
    <s v="Life expectancy at birth"/>
    <s v="Health"/>
    <s v="SDG 3: Good Health and Well-being"/>
    <n v="81.700999999999993"/>
    <s v="Years"/>
    <s v="Switzerland|2007"/>
    <s v="Gapminder/Plotly country-year extract reshaped to long indicator format for education"/>
    <s v="OK"/>
    <s v="2000s"/>
    <s v="High"/>
    <s v="Health"/>
  </r>
  <r>
    <s v="GM-04463"/>
    <s v="Switzerland"/>
    <x v="1"/>
    <x v="11"/>
    <x v="1"/>
    <s v="Population, total"/>
    <s v="Demographics"/>
    <s v="SDG 11: Sustainable Cities and Communities"/>
    <n v="7554661"/>
    <s v="People"/>
    <s v="Switzerland|2007"/>
    <s v="Gapminder/Plotly country-year extract reshaped to long indicator format for education"/>
    <s v="OK"/>
    <s v="2000s"/>
    <s v="N/A"/>
    <s v="Demographics"/>
  </r>
  <r>
    <s v="GM-04464"/>
    <s v="Switzerland"/>
    <x v="1"/>
    <x v="11"/>
    <x v="2"/>
    <s v="GDP per capita"/>
    <s v="Economy"/>
    <s v="SDG 8: Decent Work and Economic Growth"/>
    <n v="37506.419070000004"/>
    <s v="Source-defined international dollars"/>
    <s v="Switzerland|2007"/>
    <s v="Gapminder/Plotly country-year extract reshaped to long indicator format for education"/>
    <s v="OK"/>
    <s v="2000s"/>
    <s v="N/A"/>
    <s v="Economy"/>
  </r>
  <r>
    <s v="GM-04465"/>
    <s v="Syria"/>
    <x v="0"/>
    <x v="0"/>
    <x v="0"/>
    <s v="Life expectancy at birth"/>
    <s v="Health"/>
    <s v="SDG 3: Good Health and Well-being"/>
    <n v="45.883000000000003"/>
    <s v="Years"/>
    <s v="Syria|1952"/>
    <s v="Gapminder/Plotly country-year extract reshaped to long indicator format for education"/>
    <s v="OK"/>
    <s v="1950s"/>
    <s v="Low"/>
    <s v="Health"/>
  </r>
  <r>
    <s v="GM-04466"/>
    <s v="Syria"/>
    <x v="0"/>
    <x v="0"/>
    <x v="1"/>
    <s v="Population, total"/>
    <s v="Demographics"/>
    <s v="SDG 11: Sustainable Cities and Communities"/>
    <n v="3661549"/>
    <s v="People"/>
    <s v="Syria|1952"/>
    <s v="Gapminder/Plotly country-year extract reshaped to long indicator format for education"/>
    <s v="OK"/>
    <s v="1950s"/>
    <s v="N/A"/>
    <s v="Demographics"/>
  </r>
  <r>
    <s v="GM-04467"/>
    <s v="Syria"/>
    <x v="0"/>
    <x v="0"/>
    <x v="2"/>
    <s v="GDP per capita"/>
    <s v="Economy"/>
    <s v="SDG 8: Decent Work and Economic Growth"/>
    <n v="1643.4853539999999"/>
    <s v="Source-defined international dollars"/>
    <s v="Syria|1952"/>
    <s v="Gapminder/Plotly country-year extract reshaped to long indicator format for education"/>
    <s v="OK"/>
    <s v="1950s"/>
    <s v="N/A"/>
    <s v="Economy"/>
  </r>
  <r>
    <s v="GM-04468"/>
    <s v="Syria"/>
    <x v="0"/>
    <x v="1"/>
    <x v="0"/>
    <s v="Life expectancy at birth"/>
    <s v="Health"/>
    <s v="SDG 3: Good Health and Well-being"/>
    <n v="48.283999999999999"/>
    <s v="Years"/>
    <s v="Syria|1957"/>
    <s v="Gapminder/Plotly country-year extract reshaped to long indicator format for education"/>
    <s v="OK"/>
    <s v="1950s"/>
    <s v="Low"/>
    <s v="Health"/>
  </r>
  <r>
    <s v="GM-04469"/>
    <s v="Syria"/>
    <x v="0"/>
    <x v="1"/>
    <x v="1"/>
    <s v="Population, total"/>
    <s v="Demographics"/>
    <s v="SDG 11: Sustainable Cities and Communities"/>
    <n v="4149908"/>
    <s v="People"/>
    <s v="Syria|1957"/>
    <s v="Gapminder/Plotly country-year extract reshaped to long indicator format for education"/>
    <s v="OK"/>
    <s v="1950s"/>
    <s v="N/A"/>
    <s v="Demographics"/>
  </r>
  <r>
    <s v="GM-04470"/>
    <s v="Syria"/>
    <x v="0"/>
    <x v="1"/>
    <x v="2"/>
    <s v="GDP per capita"/>
    <s v="Economy"/>
    <s v="SDG 8: Decent Work and Economic Growth"/>
    <n v="2117.2348929999998"/>
    <s v="Source-defined international dollars"/>
    <s v="Syria|1957"/>
    <s v="Gapminder/Plotly country-year extract reshaped to long indicator format for education"/>
    <s v="OK"/>
    <s v="1950s"/>
    <s v="N/A"/>
    <s v="Economy"/>
  </r>
  <r>
    <s v="GM-04471"/>
    <s v="Syria"/>
    <x v="0"/>
    <x v="2"/>
    <x v="0"/>
    <s v="Life expectancy at birth"/>
    <s v="Health"/>
    <s v="SDG 3: Good Health and Well-being"/>
    <n v="50.305"/>
    <s v="Years"/>
    <s v="Syria|1962"/>
    <s v="Gapminder/Plotly country-year extract reshaped to long indicator format for education"/>
    <s v="OK"/>
    <s v="1960s"/>
    <s v="Low"/>
    <s v="Health"/>
  </r>
  <r>
    <s v="GM-04472"/>
    <s v="Syria"/>
    <x v="0"/>
    <x v="2"/>
    <x v="1"/>
    <s v="Population, total"/>
    <s v="Demographics"/>
    <s v="SDG 11: Sustainable Cities and Communities"/>
    <n v="4834621"/>
    <s v="People"/>
    <s v="Syria|1962"/>
    <s v="Gapminder/Plotly country-year extract reshaped to long indicator format for education"/>
    <s v="OK"/>
    <s v="1960s"/>
    <s v="N/A"/>
    <s v="Demographics"/>
  </r>
  <r>
    <s v="GM-04473"/>
    <s v="Syria"/>
    <x v="0"/>
    <x v="2"/>
    <x v="2"/>
    <s v="GDP per capita"/>
    <s v="Economy"/>
    <s v="SDG 8: Decent Work and Economic Growth"/>
    <n v="2193.0371329999998"/>
    <s v="Source-defined international dollars"/>
    <s v="Syria|1962"/>
    <s v="Gapminder/Plotly country-year extract reshaped to long indicator format for education"/>
    <s v="OK"/>
    <s v="1960s"/>
    <s v="N/A"/>
    <s v="Economy"/>
  </r>
  <r>
    <s v="GM-04474"/>
    <s v="Syria"/>
    <x v="0"/>
    <x v="3"/>
    <x v="0"/>
    <s v="Life expectancy at birth"/>
    <s v="Health"/>
    <s v="SDG 3: Good Health and Well-being"/>
    <n v="53.655000000000001"/>
    <s v="Years"/>
    <s v="Syria|1967"/>
    <s v="Gapminder/Plotly country-year extract reshaped to long indicator format for education"/>
    <s v="OK"/>
    <s v="1960s"/>
    <s v="Low"/>
    <s v="Health"/>
  </r>
  <r>
    <s v="GM-04475"/>
    <s v="Syria"/>
    <x v="0"/>
    <x v="3"/>
    <x v="1"/>
    <s v="Population, total"/>
    <s v="Demographics"/>
    <s v="SDG 11: Sustainable Cities and Communities"/>
    <n v="5680812"/>
    <s v="People"/>
    <s v="Syria|1967"/>
    <s v="Gapminder/Plotly country-year extract reshaped to long indicator format for education"/>
    <s v="OK"/>
    <s v="1960s"/>
    <s v="N/A"/>
    <s v="Demographics"/>
  </r>
  <r>
    <s v="GM-04476"/>
    <s v="Syria"/>
    <x v="0"/>
    <x v="3"/>
    <x v="2"/>
    <s v="GDP per capita"/>
    <s v="Economy"/>
    <s v="SDG 8: Decent Work and Economic Growth"/>
    <n v="1881.923632"/>
    <s v="Source-defined international dollars"/>
    <s v="Syria|1967"/>
    <s v="Gapminder/Plotly country-year extract reshaped to long indicator format for education"/>
    <s v="OK"/>
    <s v="1960s"/>
    <s v="N/A"/>
    <s v="Economy"/>
  </r>
  <r>
    <s v="GM-04477"/>
    <s v="Syria"/>
    <x v="0"/>
    <x v="4"/>
    <x v="0"/>
    <s v="Life expectancy at birth"/>
    <s v="Health"/>
    <s v="SDG 3: Good Health and Well-being"/>
    <n v="57.295999999999999"/>
    <s v="Years"/>
    <s v="Syria|1972"/>
    <s v="Gapminder/Plotly country-year extract reshaped to long indicator format for education"/>
    <s v="OK"/>
    <s v="1970s"/>
    <s v="Medium"/>
    <s v="Health"/>
  </r>
  <r>
    <s v="GM-04478"/>
    <s v="Syria"/>
    <x v="0"/>
    <x v="4"/>
    <x v="1"/>
    <s v="Population, total"/>
    <s v="Demographics"/>
    <s v="SDG 11: Sustainable Cities and Communities"/>
    <n v="6701172"/>
    <s v="People"/>
    <s v="Syria|1972"/>
    <s v="Gapminder/Plotly country-year extract reshaped to long indicator format for education"/>
    <s v="OK"/>
    <s v="1970s"/>
    <s v="N/A"/>
    <s v="Demographics"/>
  </r>
  <r>
    <s v="GM-04479"/>
    <s v="Syria"/>
    <x v="0"/>
    <x v="4"/>
    <x v="2"/>
    <s v="GDP per capita"/>
    <s v="Economy"/>
    <s v="SDG 8: Decent Work and Economic Growth"/>
    <n v="2571.423014"/>
    <s v="Source-defined international dollars"/>
    <s v="Syria|1972"/>
    <s v="Gapminder/Plotly country-year extract reshaped to long indicator format for education"/>
    <s v="OK"/>
    <s v="1970s"/>
    <s v="N/A"/>
    <s v="Economy"/>
  </r>
  <r>
    <s v="GM-04480"/>
    <s v="Syria"/>
    <x v="0"/>
    <x v="5"/>
    <x v="0"/>
    <s v="Life expectancy at birth"/>
    <s v="Health"/>
    <s v="SDG 3: Good Health and Well-being"/>
    <n v="61.195"/>
    <s v="Years"/>
    <s v="Syria|1977"/>
    <s v="Gapminder/Plotly country-year extract reshaped to long indicator format for education"/>
    <s v="OK"/>
    <s v="1970s"/>
    <s v="Medium"/>
    <s v="Health"/>
  </r>
  <r>
    <s v="GM-04481"/>
    <s v="Syria"/>
    <x v="0"/>
    <x v="5"/>
    <x v="1"/>
    <s v="Population, total"/>
    <s v="Demographics"/>
    <s v="SDG 11: Sustainable Cities and Communities"/>
    <n v="7932503"/>
    <s v="People"/>
    <s v="Syria|1977"/>
    <s v="Gapminder/Plotly country-year extract reshaped to long indicator format for education"/>
    <s v="OK"/>
    <s v="1970s"/>
    <s v="N/A"/>
    <s v="Demographics"/>
  </r>
  <r>
    <s v="GM-04482"/>
    <s v="Syria"/>
    <x v="0"/>
    <x v="5"/>
    <x v="2"/>
    <s v="GDP per capita"/>
    <s v="Economy"/>
    <s v="SDG 8: Decent Work and Economic Growth"/>
    <n v="3195.484582"/>
    <s v="Source-defined international dollars"/>
    <s v="Syria|1977"/>
    <s v="Gapminder/Plotly country-year extract reshaped to long indicator format for education"/>
    <s v="OK"/>
    <s v="1970s"/>
    <s v="N/A"/>
    <s v="Economy"/>
  </r>
  <r>
    <s v="GM-04483"/>
    <s v="Syria"/>
    <x v="0"/>
    <x v="6"/>
    <x v="0"/>
    <s v="Life expectancy at birth"/>
    <s v="Health"/>
    <s v="SDG 3: Good Health and Well-being"/>
    <n v="64.59"/>
    <s v="Years"/>
    <s v="Syria|1982"/>
    <s v="Gapminder/Plotly country-year extract reshaped to long indicator format for education"/>
    <s v="OK"/>
    <s v="1980s"/>
    <s v="Medium"/>
    <s v="Health"/>
  </r>
  <r>
    <s v="GM-04484"/>
    <s v="Syria"/>
    <x v="0"/>
    <x v="6"/>
    <x v="1"/>
    <s v="Population, total"/>
    <s v="Demographics"/>
    <s v="SDG 11: Sustainable Cities and Communities"/>
    <n v="9410494"/>
    <s v="People"/>
    <s v="Syria|1982"/>
    <s v="Gapminder/Plotly country-year extract reshaped to long indicator format for education"/>
    <s v="OK"/>
    <s v="1980s"/>
    <s v="N/A"/>
    <s v="Demographics"/>
  </r>
  <r>
    <s v="GM-04485"/>
    <s v="Syria"/>
    <x v="0"/>
    <x v="6"/>
    <x v="2"/>
    <s v="GDP per capita"/>
    <s v="Economy"/>
    <s v="SDG 8: Decent Work and Economic Growth"/>
    <n v="3761.8377150000001"/>
    <s v="Source-defined international dollars"/>
    <s v="Syria|1982"/>
    <s v="Gapminder/Plotly country-year extract reshaped to long indicator format for education"/>
    <s v="OK"/>
    <s v="1980s"/>
    <s v="N/A"/>
    <s v="Economy"/>
  </r>
  <r>
    <s v="GM-04486"/>
    <s v="Syria"/>
    <x v="0"/>
    <x v="7"/>
    <x v="0"/>
    <s v="Life expectancy at birth"/>
    <s v="Health"/>
    <s v="SDG 3: Good Health and Well-being"/>
    <n v="66.973999999999904"/>
    <s v="Years"/>
    <s v="Syria|1987"/>
    <s v="Gapminder/Plotly country-year extract reshaped to long indicator format for education"/>
    <s v="OK"/>
    <s v="1980s"/>
    <s v="Medium"/>
    <s v="Health"/>
  </r>
  <r>
    <s v="GM-04487"/>
    <s v="Syria"/>
    <x v="0"/>
    <x v="7"/>
    <x v="1"/>
    <s v="Population, total"/>
    <s v="Demographics"/>
    <s v="SDG 11: Sustainable Cities and Communities"/>
    <n v="11242847"/>
    <s v="People"/>
    <s v="Syria|1987"/>
    <s v="Gapminder/Plotly country-year extract reshaped to long indicator format for education"/>
    <s v="OK"/>
    <s v="1980s"/>
    <s v="N/A"/>
    <s v="Demographics"/>
  </r>
  <r>
    <s v="GM-04488"/>
    <s v="Syria"/>
    <x v="0"/>
    <x v="7"/>
    <x v="2"/>
    <s v="GDP per capita"/>
    <s v="Economy"/>
    <s v="SDG 8: Decent Work and Economic Growth"/>
    <n v="3116.774285"/>
    <s v="Source-defined international dollars"/>
    <s v="Syria|1987"/>
    <s v="Gapminder/Plotly country-year extract reshaped to long indicator format for education"/>
    <s v="OK"/>
    <s v="1980s"/>
    <s v="N/A"/>
    <s v="Economy"/>
  </r>
  <r>
    <s v="GM-04489"/>
    <s v="Syria"/>
    <x v="0"/>
    <x v="8"/>
    <x v="0"/>
    <s v="Life expectancy at birth"/>
    <s v="Health"/>
    <s v="SDG 3: Good Health and Well-being"/>
    <n v="69.248999999999995"/>
    <s v="Years"/>
    <s v="Syria|1992"/>
    <s v="Gapminder/Plotly country-year extract reshaped to long indicator format for education"/>
    <s v="OK"/>
    <s v="1990s"/>
    <s v="Medium"/>
    <s v="Health"/>
  </r>
  <r>
    <s v="GM-04490"/>
    <s v="Syria"/>
    <x v="0"/>
    <x v="8"/>
    <x v="1"/>
    <s v="Population, total"/>
    <s v="Demographics"/>
    <s v="SDG 11: Sustainable Cities and Communities"/>
    <n v="13219062"/>
    <s v="People"/>
    <s v="Syria|1992"/>
    <s v="Gapminder/Plotly country-year extract reshaped to long indicator format for education"/>
    <s v="OK"/>
    <s v="1990s"/>
    <s v="N/A"/>
    <s v="Demographics"/>
  </r>
  <r>
    <s v="GM-04491"/>
    <s v="Syria"/>
    <x v="0"/>
    <x v="8"/>
    <x v="2"/>
    <s v="GDP per capita"/>
    <s v="Economy"/>
    <s v="SDG 8: Decent Work and Economic Growth"/>
    <n v="3340.5427679999998"/>
    <s v="Source-defined international dollars"/>
    <s v="Syria|1992"/>
    <s v="Gapminder/Plotly country-year extract reshaped to long indicator format for education"/>
    <s v="OK"/>
    <s v="1990s"/>
    <s v="N/A"/>
    <s v="Economy"/>
  </r>
  <r>
    <s v="GM-04492"/>
    <s v="Syria"/>
    <x v="0"/>
    <x v="9"/>
    <x v="0"/>
    <s v="Life expectancy at birth"/>
    <s v="Health"/>
    <s v="SDG 3: Good Health and Well-being"/>
    <n v="71.527000000000001"/>
    <s v="Years"/>
    <s v="Syria|1997"/>
    <s v="Gapminder/Plotly country-year extract reshaped to long indicator format for education"/>
    <s v="OK"/>
    <s v="1990s"/>
    <s v="High"/>
    <s v="Health"/>
  </r>
  <r>
    <s v="GM-04493"/>
    <s v="Syria"/>
    <x v="0"/>
    <x v="9"/>
    <x v="1"/>
    <s v="Population, total"/>
    <s v="Demographics"/>
    <s v="SDG 11: Sustainable Cities and Communities"/>
    <n v="15081016"/>
    <s v="People"/>
    <s v="Syria|1997"/>
    <s v="Gapminder/Plotly country-year extract reshaped to long indicator format for education"/>
    <s v="OK"/>
    <s v="1990s"/>
    <s v="N/A"/>
    <s v="Demographics"/>
  </r>
  <r>
    <s v="GM-04494"/>
    <s v="Syria"/>
    <x v="0"/>
    <x v="9"/>
    <x v="2"/>
    <s v="GDP per capita"/>
    <s v="Economy"/>
    <s v="SDG 8: Decent Work and Economic Growth"/>
    <n v="4014.2389720000001"/>
    <s v="Source-defined international dollars"/>
    <s v="Syria|1997"/>
    <s v="Gapminder/Plotly country-year extract reshaped to long indicator format for education"/>
    <s v="OK"/>
    <s v="1990s"/>
    <s v="N/A"/>
    <s v="Economy"/>
  </r>
  <r>
    <s v="GM-04495"/>
    <s v="Syria"/>
    <x v="0"/>
    <x v="10"/>
    <x v="0"/>
    <s v="Life expectancy at birth"/>
    <s v="Health"/>
    <s v="SDG 3: Good Health and Well-being"/>
    <n v="73.052999999999997"/>
    <s v="Years"/>
    <s v="Syria|2002"/>
    <s v="Gapminder/Plotly country-year extract reshaped to long indicator format for education"/>
    <s v="OK"/>
    <s v="2000s"/>
    <s v="High"/>
    <s v="Health"/>
  </r>
  <r>
    <s v="GM-04496"/>
    <s v="Syria"/>
    <x v="0"/>
    <x v="10"/>
    <x v="1"/>
    <s v="Population, total"/>
    <s v="Demographics"/>
    <s v="SDG 11: Sustainable Cities and Communities"/>
    <n v="17155814"/>
    <s v="People"/>
    <s v="Syria|2002"/>
    <s v="Gapminder/Plotly country-year extract reshaped to long indicator format for education"/>
    <s v="OK"/>
    <s v="2000s"/>
    <s v="N/A"/>
    <s v="Demographics"/>
  </r>
  <r>
    <s v="GM-04497"/>
    <s v="Syria"/>
    <x v="0"/>
    <x v="10"/>
    <x v="2"/>
    <s v="GDP per capita"/>
    <s v="Economy"/>
    <s v="SDG 8: Decent Work and Economic Growth"/>
    <n v="4090.9253309999999"/>
    <s v="Source-defined international dollars"/>
    <s v="Syria|2002"/>
    <s v="Gapminder/Plotly country-year extract reshaped to long indicator format for education"/>
    <s v="OK"/>
    <s v="2000s"/>
    <s v="N/A"/>
    <s v="Economy"/>
  </r>
  <r>
    <s v="GM-04498"/>
    <s v="Syria"/>
    <x v="0"/>
    <x v="11"/>
    <x v="0"/>
    <s v="Life expectancy at birth"/>
    <s v="Health"/>
    <s v="SDG 3: Good Health and Well-being"/>
    <n v="74.143000000000001"/>
    <s v="Years"/>
    <s v="Syria|2007"/>
    <s v="Gapminder/Plotly country-year extract reshaped to long indicator format for education"/>
    <s v="OK"/>
    <s v="2000s"/>
    <s v="High"/>
    <s v="Health"/>
  </r>
  <r>
    <s v="GM-04499"/>
    <s v="Syria"/>
    <x v="0"/>
    <x v="11"/>
    <x v="1"/>
    <s v="Population, total"/>
    <s v="Demographics"/>
    <s v="SDG 11: Sustainable Cities and Communities"/>
    <n v="19314747"/>
    <s v="People"/>
    <s v="Syria|2007"/>
    <s v="Gapminder/Plotly country-year extract reshaped to long indicator format for education"/>
    <s v="OK"/>
    <s v="2000s"/>
    <s v="N/A"/>
    <s v="Demographics"/>
  </r>
  <r>
    <s v="GM-04500"/>
    <s v="Syria"/>
    <x v="0"/>
    <x v="11"/>
    <x v="2"/>
    <s v="GDP per capita"/>
    <s v="Economy"/>
    <s v="SDG 8: Decent Work and Economic Growth"/>
    <n v="4184.5480889999999"/>
    <s v="Source-defined international dollars"/>
    <s v="Syria|2007"/>
    <s v="Gapminder/Plotly country-year extract reshaped to long indicator format for education"/>
    <s v="OK"/>
    <s v="2000s"/>
    <s v="N/A"/>
    <s v="Economy"/>
  </r>
  <r>
    <s v="GM-04501"/>
    <s v="Taiwan"/>
    <x v="0"/>
    <x v="0"/>
    <x v="0"/>
    <s v="Life expectancy at birth"/>
    <s v="Health"/>
    <s v="SDG 3: Good Health and Well-being"/>
    <n v="58.5"/>
    <s v="Years"/>
    <s v="Taiwan|1952"/>
    <s v="Gapminder/Plotly country-year extract reshaped to long indicator format for education"/>
    <s v="OK"/>
    <s v="1950s"/>
    <s v="Medium"/>
    <s v="Health"/>
  </r>
  <r>
    <s v="GM-04502"/>
    <s v="Taiwan"/>
    <x v="0"/>
    <x v="0"/>
    <x v="1"/>
    <s v="Population, total"/>
    <s v="Demographics"/>
    <s v="SDG 11: Sustainable Cities and Communities"/>
    <n v="8550362"/>
    <s v="People"/>
    <s v="Taiwan|1952"/>
    <s v="Gapminder/Plotly country-year extract reshaped to long indicator format for education"/>
    <s v="OK"/>
    <s v="1950s"/>
    <s v="N/A"/>
    <s v="Demographics"/>
  </r>
  <r>
    <s v="GM-04503"/>
    <s v="Taiwan"/>
    <x v="0"/>
    <x v="0"/>
    <x v="2"/>
    <s v="GDP per capita"/>
    <s v="Economy"/>
    <s v="SDG 8: Decent Work and Economic Growth"/>
    <n v="1206.947913"/>
    <s v="Source-defined international dollars"/>
    <s v="Taiwan|1952"/>
    <s v="Gapminder/Plotly country-year extract reshaped to long indicator format for education"/>
    <s v="OK"/>
    <s v="1950s"/>
    <s v="N/A"/>
    <s v="Economy"/>
  </r>
  <r>
    <s v="GM-04504"/>
    <s v="Taiwan"/>
    <x v="0"/>
    <x v="1"/>
    <x v="0"/>
    <s v="Life expectancy at birth"/>
    <s v="Health"/>
    <s v="SDG 3: Good Health and Well-being"/>
    <n v="62.4"/>
    <s v="Years"/>
    <s v="Taiwan|1957"/>
    <s v="Gapminder/Plotly country-year extract reshaped to long indicator format for education"/>
    <s v="OK"/>
    <s v="1950s"/>
    <s v="Medium"/>
    <s v="Health"/>
  </r>
  <r>
    <s v="GM-04505"/>
    <s v="Taiwan"/>
    <x v="0"/>
    <x v="1"/>
    <x v="1"/>
    <s v="Population, total"/>
    <s v="Demographics"/>
    <s v="SDG 11: Sustainable Cities and Communities"/>
    <n v="10164215"/>
    <s v="People"/>
    <s v="Taiwan|1957"/>
    <s v="Gapminder/Plotly country-year extract reshaped to long indicator format for education"/>
    <s v="OK"/>
    <s v="1950s"/>
    <s v="N/A"/>
    <s v="Demographics"/>
  </r>
  <r>
    <s v="GM-04506"/>
    <s v="Taiwan"/>
    <x v="0"/>
    <x v="1"/>
    <x v="2"/>
    <s v="GDP per capita"/>
    <s v="Economy"/>
    <s v="SDG 8: Decent Work and Economic Growth"/>
    <n v="1507.8612900000001"/>
    <s v="Source-defined international dollars"/>
    <s v="Taiwan|1957"/>
    <s v="Gapminder/Plotly country-year extract reshaped to long indicator format for education"/>
    <s v="OK"/>
    <s v="1950s"/>
    <s v="N/A"/>
    <s v="Economy"/>
  </r>
  <r>
    <s v="GM-04507"/>
    <s v="Taiwan"/>
    <x v="0"/>
    <x v="2"/>
    <x v="0"/>
    <s v="Life expectancy at birth"/>
    <s v="Health"/>
    <s v="SDG 3: Good Health and Well-being"/>
    <n v="65.2"/>
    <s v="Years"/>
    <s v="Taiwan|1962"/>
    <s v="Gapminder/Plotly country-year extract reshaped to long indicator format for education"/>
    <s v="OK"/>
    <s v="1960s"/>
    <s v="Medium"/>
    <s v="Health"/>
  </r>
  <r>
    <s v="GM-04508"/>
    <s v="Taiwan"/>
    <x v="0"/>
    <x v="2"/>
    <x v="1"/>
    <s v="Population, total"/>
    <s v="Demographics"/>
    <s v="SDG 11: Sustainable Cities and Communities"/>
    <n v="11918938"/>
    <s v="People"/>
    <s v="Taiwan|1962"/>
    <s v="Gapminder/Plotly country-year extract reshaped to long indicator format for education"/>
    <s v="OK"/>
    <s v="1960s"/>
    <s v="N/A"/>
    <s v="Demographics"/>
  </r>
  <r>
    <s v="GM-04509"/>
    <s v="Taiwan"/>
    <x v="0"/>
    <x v="2"/>
    <x v="2"/>
    <s v="GDP per capita"/>
    <s v="Economy"/>
    <s v="SDG 8: Decent Work and Economic Growth"/>
    <n v="1822.8790280000001"/>
    <s v="Source-defined international dollars"/>
    <s v="Taiwan|1962"/>
    <s v="Gapminder/Plotly country-year extract reshaped to long indicator format for education"/>
    <s v="OK"/>
    <s v="1960s"/>
    <s v="N/A"/>
    <s v="Economy"/>
  </r>
  <r>
    <s v="GM-04510"/>
    <s v="Taiwan"/>
    <x v="0"/>
    <x v="3"/>
    <x v="0"/>
    <s v="Life expectancy at birth"/>
    <s v="Health"/>
    <s v="SDG 3: Good Health and Well-being"/>
    <n v="67.5"/>
    <s v="Years"/>
    <s v="Taiwan|1967"/>
    <s v="Gapminder/Plotly country-year extract reshaped to long indicator format for education"/>
    <s v="OK"/>
    <s v="1960s"/>
    <s v="Medium"/>
    <s v="Health"/>
  </r>
  <r>
    <s v="GM-04511"/>
    <s v="Taiwan"/>
    <x v="0"/>
    <x v="3"/>
    <x v="1"/>
    <s v="Population, total"/>
    <s v="Demographics"/>
    <s v="SDG 11: Sustainable Cities and Communities"/>
    <n v="13648692"/>
    <s v="People"/>
    <s v="Taiwan|1967"/>
    <s v="Gapminder/Plotly country-year extract reshaped to long indicator format for education"/>
    <s v="OK"/>
    <s v="1960s"/>
    <s v="N/A"/>
    <s v="Demographics"/>
  </r>
  <r>
    <s v="GM-04512"/>
    <s v="Taiwan"/>
    <x v="0"/>
    <x v="3"/>
    <x v="2"/>
    <s v="GDP per capita"/>
    <s v="Economy"/>
    <s v="SDG 8: Decent Work and Economic Growth"/>
    <n v="2643.8586810000002"/>
    <s v="Source-defined international dollars"/>
    <s v="Taiwan|1967"/>
    <s v="Gapminder/Plotly country-year extract reshaped to long indicator format for education"/>
    <s v="OK"/>
    <s v="1960s"/>
    <s v="N/A"/>
    <s v="Economy"/>
  </r>
  <r>
    <s v="GM-04513"/>
    <s v="Taiwan"/>
    <x v="0"/>
    <x v="4"/>
    <x v="0"/>
    <s v="Life expectancy at birth"/>
    <s v="Health"/>
    <s v="SDG 3: Good Health and Well-being"/>
    <n v="69.39"/>
    <s v="Years"/>
    <s v="Taiwan|1972"/>
    <s v="Gapminder/Plotly country-year extract reshaped to long indicator format for education"/>
    <s v="OK"/>
    <s v="1970s"/>
    <s v="Medium"/>
    <s v="Health"/>
  </r>
  <r>
    <s v="GM-04514"/>
    <s v="Taiwan"/>
    <x v="0"/>
    <x v="4"/>
    <x v="1"/>
    <s v="Population, total"/>
    <s v="Demographics"/>
    <s v="SDG 11: Sustainable Cities and Communities"/>
    <n v="15226039"/>
    <s v="People"/>
    <s v="Taiwan|1972"/>
    <s v="Gapminder/Plotly country-year extract reshaped to long indicator format for education"/>
    <s v="OK"/>
    <s v="1970s"/>
    <s v="N/A"/>
    <s v="Demographics"/>
  </r>
  <r>
    <s v="GM-04515"/>
    <s v="Taiwan"/>
    <x v="0"/>
    <x v="4"/>
    <x v="2"/>
    <s v="GDP per capita"/>
    <s v="Economy"/>
    <s v="SDG 8: Decent Work and Economic Growth"/>
    <n v="4062.523897"/>
    <s v="Source-defined international dollars"/>
    <s v="Taiwan|1972"/>
    <s v="Gapminder/Plotly country-year extract reshaped to long indicator format for education"/>
    <s v="OK"/>
    <s v="1970s"/>
    <s v="N/A"/>
    <s v="Economy"/>
  </r>
  <r>
    <s v="GM-04516"/>
    <s v="Taiwan"/>
    <x v="0"/>
    <x v="5"/>
    <x v="0"/>
    <s v="Life expectancy at birth"/>
    <s v="Health"/>
    <s v="SDG 3: Good Health and Well-being"/>
    <n v="70.59"/>
    <s v="Years"/>
    <s v="Taiwan|1977"/>
    <s v="Gapminder/Plotly country-year extract reshaped to long indicator format for education"/>
    <s v="OK"/>
    <s v="1970s"/>
    <s v="High"/>
    <s v="Health"/>
  </r>
  <r>
    <s v="GM-04517"/>
    <s v="Taiwan"/>
    <x v="0"/>
    <x v="5"/>
    <x v="1"/>
    <s v="Population, total"/>
    <s v="Demographics"/>
    <s v="SDG 11: Sustainable Cities and Communities"/>
    <n v="16785196"/>
    <s v="People"/>
    <s v="Taiwan|1977"/>
    <s v="Gapminder/Plotly country-year extract reshaped to long indicator format for education"/>
    <s v="OK"/>
    <s v="1970s"/>
    <s v="N/A"/>
    <s v="Demographics"/>
  </r>
  <r>
    <s v="GM-04518"/>
    <s v="Taiwan"/>
    <x v="0"/>
    <x v="5"/>
    <x v="2"/>
    <s v="GDP per capita"/>
    <s v="Economy"/>
    <s v="SDG 8: Decent Work and Economic Growth"/>
    <n v="5596.5198259999997"/>
    <s v="Source-defined international dollars"/>
    <s v="Taiwan|1977"/>
    <s v="Gapminder/Plotly country-year extract reshaped to long indicator format for education"/>
    <s v="OK"/>
    <s v="1970s"/>
    <s v="N/A"/>
    <s v="Economy"/>
  </r>
  <r>
    <s v="GM-04519"/>
    <s v="Taiwan"/>
    <x v="0"/>
    <x v="6"/>
    <x v="0"/>
    <s v="Life expectancy at birth"/>
    <s v="Health"/>
    <s v="SDG 3: Good Health and Well-being"/>
    <n v="72.16"/>
    <s v="Years"/>
    <s v="Taiwan|1982"/>
    <s v="Gapminder/Plotly country-year extract reshaped to long indicator format for education"/>
    <s v="OK"/>
    <s v="1980s"/>
    <s v="High"/>
    <s v="Health"/>
  </r>
  <r>
    <s v="GM-04520"/>
    <s v="Taiwan"/>
    <x v="0"/>
    <x v="6"/>
    <x v="1"/>
    <s v="Population, total"/>
    <s v="Demographics"/>
    <s v="SDG 11: Sustainable Cities and Communities"/>
    <n v="18501390"/>
    <s v="People"/>
    <s v="Taiwan|1982"/>
    <s v="Gapminder/Plotly country-year extract reshaped to long indicator format for education"/>
    <s v="OK"/>
    <s v="1980s"/>
    <s v="N/A"/>
    <s v="Demographics"/>
  </r>
  <r>
    <s v="GM-04521"/>
    <s v="Taiwan"/>
    <x v="0"/>
    <x v="6"/>
    <x v="2"/>
    <s v="GDP per capita"/>
    <s v="Economy"/>
    <s v="SDG 8: Decent Work and Economic Growth"/>
    <n v="7426.3547739999904"/>
    <s v="Source-defined international dollars"/>
    <s v="Taiwan|1982"/>
    <s v="Gapminder/Plotly country-year extract reshaped to long indicator format for education"/>
    <s v="OK"/>
    <s v="1980s"/>
    <s v="N/A"/>
    <s v="Economy"/>
  </r>
  <r>
    <s v="GM-04522"/>
    <s v="Taiwan"/>
    <x v="0"/>
    <x v="7"/>
    <x v="0"/>
    <s v="Life expectancy at birth"/>
    <s v="Health"/>
    <s v="SDG 3: Good Health and Well-being"/>
    <n v="73.400000000000006"/>
    <s v="Years"/>
    <s v="Taiwan|1987"/>
    <s v="Gapminder/Plotly country-year extract reshaped to long indicator format for education"/>
    <s v="OK"/>
    <s v="1980s"/>
    <s v="High"/>
    <s v="Health"/>
  </r>
  <r>
    <s v="GM-04523"/>
    <s v="Taiwan"/>
    <x v="0"/>
    <x v="7"/>
    <x v="1"/>
    <s v="Population, total"/>
    <s v="Demographics"/>
    <s v="SDG 11: Sustainable Cities and Communities"/>
    <n v="19757799"/>
    <s v="People"/>
    <s v="Taiwan|1987"/>
    <s v="Gapminder/Plotly country-year extract reshaped to long indicator format for education"/>
    <s v="OK"/>
    <s v="1980s"/>
    <s v="N/A"/>
    <s v="Demographics"/>
  </r>
  <r>
    <s v="GM-04524"/>
    <s v="Taiwan"/>
    <x v="0"/>
    <x v="7"/>
    <x v="2"/>
    <s v="GDP per capita"/>
    <s v="Economy"/>
    <s v="SDG 8: Decent Work and Economic Growth"/>
    <n v="11054.561750000001"/>
    <s v="Source-defined international dollars"/>
    <s v="Taiwan|1987"/>
    <s v="Gapminder/Plotly country-year extract reshaped to long indicator format for education"/>
    <s v="OK"/>
    <s v="1980s"/>
    <s v="N/A"/>
    <s v="Economy"/>
  </r>
  <r>
    <s v="GM-04525"/>
    <s v="Taiwan"/>
    <x v="0"/>
    <x v="8"/>
    <x v="0"/>
    <s v="Life expectancy at birth"/>
    <s v="Health"/>
    <s v="SDG 3: Good Health and Well-being"/>
    <n v="74.260000000000005"/>
    <s v="Years"/>
    <s v="Taiwan|1992"/>
    <s v="Gapminder/Plotly country-year extract reshaped to long indicator format for education"/>
    <s v="OK"/>
    <s v="1990s"/>
    <s v="High"/>
    <s v="Health"/>
  </r>
  <r>
    <s v="GM-04526"/>
    <s v="Taiwan"/>
    <x v="0"/>
    <x v="8"/>
    <x v="1"/>
    <s v="Population, total"/>
    <s v="Demographics"/>
    <s v="SDG 11: Sustainable Cities and Communities"/>
    <n v="20686918"/>
    <s v="People"/>
    <s v="Taiwan|1992"/>
    <s v="Gapminder/Plotly country-year extract reshaped to long indicator format for education"/>
    <s v="OK"/>
    <s v="1990s"/>
    <s v="N/A"/>
    <s v="Demographics"/>
  </r>
  <r>
    <s v="GM-04527"/>
    <s v="Taiwan"/>
    <x v="0"/>
    <x v="8"/>
    <x v="2"/>
    <s v="GDP per capita"/>
    <s v="Economy"/>
    <s v="SDG 8: Decent Work and Economic Growth"/>
    <n v="15215.6579"/>
    <s v="Source-defined international dollars"/>
    <s v="Taiwan|1992"/>
    <s v="Gapminder/Plotly country-year extract reshaped to long indicator format for education"/>
    <s v="OK"/>
    <s v="1990s"/>
    <s v="N/A"/>
    <s v="Economy"/>
  </r>
  <r>
    <s v="GM-04528"/>
    <s v="Taiwan"/>
    <x v="0"/>
    <x v="9"/>
    <x v="0"/>
    <s v="Life expectancy at birth"/>
    <s v="Health"/>
    <s v="SDG 3: Good Health and Well-being"/>
    <n v="75.25"/>
    <s v="Years"/>
    <s v="Taiwan|1997"/>
    <s v="Gapminder/Plotly country-year extract reshaped to long indicator format for education"/>
    <s v="OK"/>
    <s v="1990s"/>
    <s v="High"/>
    <s v="Health"/>
  </r>
  <r>
    <s v="GM-04529"/>
    <s v="Taiwan"/>
    <x v="0"/>
    <x v="9"/>
    <x v="1"/>
    <s v="Population, total"/>
    <s v="Demographics"/>
    <s v="SDG 11: Sustainable Cities and Communities"/>
    <n v="21628605"/>
    <s v="People"/>
    <s v="Taiwan|1997"/>
    <s v="Gapminder/Plotly country-year extract reshaped to long indicator format for education"/>
    <s v="OK"/>
    <s v="1990s"/>
    <s v="N/A"/>
    <s v="Demographics"/>
  </r>
  <r>
    <s v="GM-04530"/>
    <s v="Taiwan"/>
    <x v="0"/>
    <x v="9"/>
    <x v="2"/>
    <s v="GDP per capita"/>
    <s v="Economy"/>
    <s v="SDG 8: Decent Work and Economic Growth"/>
    <n v="20206.82098"/>
    <s v="Source-defined international dollars"/>
    <s v="Taiwan|1997"/>
    <s v="Gapminder/Plotly country-year extract reshaped to long indicator format for education"/>
    <s v="OK"/>
    <s v="1990s"/>
    <s v="N/A"/>
    <s v="Economy"/>
  </r>
  <r>
    <s v="GM-04531"/>
    <s v="Taiwan"/>
    <x v="0"/>
    <x v="10"/>
    <x v="0"/>
    <s v="Life expectancy at birth"/>
    <s v="Health"/>
    <s v="SDG 3: Good Health and Well-being"/>
    <n v="76.989999999999995"/>
    <s v="Years"/>
    <s v="Taiwan|2002"/>
    <s v="Gapminder/Plotly country-year extract reshaped to long indicator format for education"/>
    <s v="OK"/>
    <s v="2000s"/>
    <s v="High"/>
    <s v="Health"/>
  </r>
  <r>
    <s v="GM-04532"/>
    <s v="Taiwan"/>
    <x v="0"/>
    <x v="10"/>
    <x v="1"/>
    <s v="Population, total"/>
    <s v="Demographics"/>
    <s v="SDG 11: Sustainable Cities and Communities"/>
    <n v="22454239"/>
    <s v="People"/>
    <s v="Taiwan|2002"/>
    <s v="Gapminder/Plotly country-year extract reshaped to long indicator format for education"/>
    <s v="OK"/>
    <s v="2000s"/>
    <s v="N/A"/>
    <s v="Demographics"/>
  </r>
  <r>
    <s v="GM-04533"/>
    <s v="Taiwan"/>
    <x v="0"/>
    <x v="10"/>
    <x v="2"/>
    <s v="GDP per capita"/>
    <s v="Economy"/>
    <s v="SDG 8: Decent Work and Economic Growth"/>
    <n v="23235.423289999999"/>
    <s v="Source-defined international dollars"/>
    <s v="Taiwan|2002"/>
    <s v="Gapminder/Plotly country-year extract reshaped to long indicator format for education"/>
    <s v="OK"/>
    <s v="2000s"/>
    <s v="N/A"/>
    <s v="Economy"/>
  </r>
  <r>
    <s v="GM-04534"/>
    <s v="Taiwan"/>
    <x v="0"/>
    <x v="11"/>
    <x v="0"/>
    <s v="Life expectancy at birth"/>
    <s v="Health"/>
    <s v="SDG 3: Good Health and Well-being"/>
    <n v="78.400000000000006"/>
    <s v="Years"/>
    <s v="Taiwan|2007"/>
    <s v="Gapminder/Plotly country-year extract reshaped to long indicator format for education"/>
    <s v="OK"/>
    <s v="2000s"/>
    <s v="High"/>
    <s v="Health"/>
  </r>
  <r>
    <s v="GM-04535"/>
    <s v="Taiwan"/>
    <x v="0"/>
    <x v="11"/>
    <x v="1"/>
    <s v="Population, total"/>
    <s v="Demographics"/>
    <s v="SDG 11: Sustainable Cities and Communities"/>
    <n v="23174294"/>
    <s v="People"/>
    <s v="Taiwan|2007"/>
    <s v="Gapminder/Plotly country-year extract reshaped to long indicator format for education"/>
    <s v="OK"/>
    <s v="2000s"/>
    <s v="N/A"/>
    <s v="Demographics"/>
  </r>
  <r>
    <s v="GM-04536"/>
    <s v="Taiwan"/>
    <x v="0"/>
    <x v="11"/>
    <x v="2"/>
    <s v="GDP per capita"/>
    <s v="Economy"/>
    <s v="SDG 8: Decent Work and Economic Growth"/>
    <n v="28718.276839999999"/>
    <s v="Source-defined international dollars"/>
    <s v="Taiwan|2007"/>
    <s v="Gapminder/Plotly country-year extract reshaped to long indicator format for education"/>
    <s v="OK"/>
    <s v="2000s"/>
    <s v="N/A"/>
    <s v="Economy"/>
  </r>
  <r>
    <s v="GM-04537"/>
    <s v="Tanzania"/>
    <x v="2"/>
    <x v="0"/>
    <x v="0"/>
    <s v="Life expectancy at birth"/>
    <s v="Health"/>
    <s v="SDG 3: Good Health and Well-being"/>
    <n v="41.215000000000003"/>
    <s v="Years"/>
    <s v="Tanzania|1952"/>
    <s v="Gapminder/Plotly country-year extract reshaped to long indicator format for education"/>
    <s v="OK"/>
    <s v="1950s"/>
    <s v="Low"/>
    <s v="Health"/>
  </r>
  <r>
    <s v="GM-04538"/>
    <s v="Tanzania"/>
    <x v="2"/>
    <x v="0"/>
    <x v="1"/>
    <s v="Population, total"/>
    <s v="Demographics"/>
    <s v="SDG 11: Sustainable Cities and Communities"/>
    <n v="8322925"/>
    <s v="People"/>
    <s v="Tanzania|1952"/>
    <s v="Gapminder/Plotly country-year extract reshaped to long indicator format for education"/>
    <s v="OK"/>
    <s v="1950s"/>
    <s v="N/A"/>
    <s v="Demographics"/>
  </r>
  <r>
    <s v="GM-04539"/>
    <s v="Tanzania"/>
    <x v="2"/>
    <x v="0"/>
    <x v="2"/>
    <s v="GDP per capita"/>
    <s v="Economy"/>
    <s v="SDG 8: Decent Work and Economic Growth"/>
    <n v="716.65007209999999"/>
    <s v="Source-defined international dollars"/>
    <s v="Tanzania|1952"/>
    <s v="Gapminder/Plotly country-year extract reshaped to long indicator format for education"/>
    <s v="OK"/>
    <s v="1950s"/>
    <s v="N/A"/>
    <s v="Economy"/>
  </r>
  <r>
    <s v="GM-04540"/>
    <s v="Tanzania"/>
    <x v="2"/>
    <x v="1"/>
    <x v="0"/>
    <s v="Life expectancy at birth"/>
    <s v="Health"/>
    <s v="SDG 3: Good Health and Well-being"/>
    <n v="42.973999999999997"/>
    <s v="Years"/>
    <s v="Tanzania|1957"/>
    <s v="Gapminder/Plotly country-year extract reshaped to long indicator format for education"/>
    <s v="OK"/>
    <s v="1950s"/>
    <s v="Low"/>
    <s v="Health"/>
  </r>
  <r>
    <s v="GM-04541"/>
    <s v="Tanzania"/>
    <x v="2"/>
    <x v="1"/>
    <x v="1"/>
    <s v="Population, total"/>
    <s v="Demographics"/>
    <s v="SDG 11: Sustainable Cities and Communities"/>
    <n v="9452826"/>
    <s v="People"/>
    <s v="Tanzania|1957"/>
    <s v="Gapminder/Plotly country-year extract reshaped to long indicator format for education"/>
    <s v="OK"/>
    <s v="1950s"/>
    <s v="N/A"/>
    <s v="Demographics"/>
  </r>
  <r>
    <s v="GM-04542"/>
    <s v="Tanzania"/>
    <x v="2"/>
    <x v="1"/>
    <x v="2"/>
    <s v="GDP per capita"/>
    <s v="Economy"/>
    <s v="SDG 8: Decent Work and Economic Growth"/>
    <n v="698.53560730000004"/>
    <s v="Source-defined international dollars"/>
    <s v="Tanzania|1957"/>
    <s v="Gapminder/Plotly country-year extract reshaped to long indicator format for education"/>
    <s v="OK"/>
    <s v="1950s"/>
    <s v="N/A"/>
    <s v="Economy"/>
  </r>
  <r>
    <s v="GM-04543"/>
    <s v="Tanzania"/>
    <x v="2"/>
    <x v="2"/>
    <x v="0"/>
    <s v="Life expectancy at birth"/>
    <s v="Health"/>
    <s v="SDG 3: Good Health and Well-being"/>
    <n v="44.246000000000002"/>
    <s v="Years"/>
    <s v="Tanzania|1962"/>
    <s v="Gapminder/Plotly country-year extract reshaped to long indicator format for education"/>
    <s v="OK"/>
    <s v="1960s"/>
    <s v="Low"/>
    <s v="Health"/>
  </r>
  <r>
    <s v="GM-04544"/>
    <s v="Tanzania"/>
    <x v="2"/>
    <x v="2"/>
    <x v="1"/>
    <s v="Population, total"/>
    <s v="Demographics"/>
    <s v="SDG 11: Sustainable Cities and Communities"/>
    <n v="10863958"/>
    <s v="People"/>
    <s v="Tanzania|1962"/>
    <s v="Gapminder/Plotly country-year extract reshaped to long indicator format for education"/>
    <s v="OK"/>
    <s v="1960s"/>
    <s v="N/A"/>
    <s v="Demographics"/>
  </r>
  <r>
    <s v="GM-04545"/>
    <s v="Tanzania"/>
    <x v="2"/>
    <x v="2"/>
    <x v="2"/>
    <s v="GDP per capita"/>
    <s v="Economy"/>
    <s v="SDG 8: Decent Work and Economic Growth"/>
    <n v="722.00380729999995"/>
    <s v="Source-defined international dollars"/>
    <s v="Tanzania|1962"/>
    <s v="Gapminder/Plotly country-year extract reshaped to long indicator format for education"/>
    <s v="OK"/>
    <s v="1960s"/>
    <s v="N/A"/>
    <s v="Economy"/>
  </r>
  <r>
    <s v="GM-04546"/>
    <s v="Tanzania"/>
    <x v="2"/>
    <x v="3"/>
    <x v="0"/>
    <s v="Life expectancy at birth"/>
    <s v="Health"/>
    <s v="SDG 3: Good Health and Well-being"/>
    <n v="45.756999999999998"/>
    <s v="Years"/>
    <s v="Tanzania|1967"/>
    <s v="Gapminder/Plotly country-year extract reshaped to long indicator format for education"/>
    <s v="OK"/>
    <s v="1960s"/>
    <s v="Low"/>
    <s v="Health"/>
  </r>
  <r>
    <s v="GM-04547"/>
    <s v="Tanzania"/>
    <x v="2"/>
    <x v="3"/>
    <x v="1"/>
    <s v="Population, total"/>
    <s v="Demographics"/>
    <s v="SDG 11: Sustainable Cities and Communities"/>
    <n v="12607312"/>
    <s v="People"/>
    <s v="Tanzania|1967"/>
    <s v="Gapminder/Plotly country-year extract reshaped to long indicator format for education"/>
    <s v="OK"/>
    <s v="1960s"/>
    <s v="N/A"/>
    <s v="Demographics"/>
  </r>
  <r>
    <s v="GM-04548"/>
    <s v="Tanzania"/>
    <x v="2"/>
    <x v="3"/>
    <x v="2"/>
    <s v="GDP per capita"/>
    <s v="Economy"/>
    <s v="SDG 8: Decent Work and Economic Growth"/>
    <n v="848.21865749999995"/>
    <s v="Source-defined international dollars"/>
    <s v="Tanzania|1967"/>
    <s v="Gapminder/Plotly country-year extract reshaped to long indicator format for education"/>
    <s v="OK"/>
    <s v="1960s"/>
    <s v="N/A"/>
    <s v="Economy"/>
  </r>
  <r>
    <s v="GM-04549"/>
    <s v="Tanzania"/>
    <x v="2"/>
    <x v="4"/>
    <x v="0"/>
    <s v="Life expectancy at birth"/>
    <s v="Health"/>
    <s v="SDG 3: Good Health and Well-being"/>
    <n v="47.62"/>
    <s v="Years"/>
    <s v="Tanzania|1972"/>
    <s v="Gapminder/Plotly country-year extract reshaped to long indicator format for education"/>
    <s v="OK"/>
    <s v="1970s"/>
    <s v="Low"/>
    <s v="Health"/>
  </r>
  <r>
    <s v="GM-04550"/>
    <s v="Tanzania"/>
    <x v="2"/>
    <x v="4"/>
    <x v="1"/>
    <s v="Population, total"/>
    <s v="Demographics"/>
    <s v="SDG 11: Sustainable Cities and Communities"/>
    <n v="14706593"/>
    <s v="People"/>
    <s v="Tanzania|1972"/>
    <s v="Gapminder/Plotly country-year extract reshaped to long indicator format for education"/>
    <s v="OK"/>
    <s v="1970s"/>
    <s v="N/A"/>
    <s v="Demographics"/>
  </r>
  <r>
    <s v="GM-04551"/>
    <s v="Tanzania"/>
    <x v="2"/>
    <x v="4"/>
    <x v="2"/>
    <s v="GDP per capita"/>
    <s v="Economy"/>
    <s v="SDG 8: Decent Work and Economic Growth"/>
    <n v="915.98505920000002"/>
    <s v="Source-defined international dollars"/>
    <s v="Tanzania|1972"/>
    <s v="Gapminder/Plotly country-year extract reshaped to long indicator format for education"/>
    <s v="OK"/>
    <s v="1970s"/>
    <s v="N/A"/>
    <s v="Economy"/>
  </r>
  <r>
    <s v="GM-04552"/>
    <s v="Tanzania"/>
    <x v="2"/>
    <x v="5"/>
    <x v="0"/>
    <s v="Life expectancy at birth"/>
    <s v="Health"/>
    <s v="SDG 3: Good Health and Well-being"/>
    <n v="49.918999999999997"/>
    <s v="Years"/>
    <s v="Tanzania|1977"/>
    <s v="Gapminder/Plotly country-year extract reshaped to long indicator format for education"/>
    <s v="OK"/>
    <s v="1970s"/>
    <s v="Low"/>
    <s v="Health"/>
  </r>
  <r>
    <s v="GM-04553"/>
    <s v="Tanzania"/>
    <x v="2"/>
    <x v="5"/>
    <x v="1"/>
    <s v="Population, total"/>
    <s v="Demographics"/>
    <s v="SDG 11: Sustainable Cities and Communities"/>
    <n v="17129565"/>
    <s v="People"/>
    <s v="Tanzania|1977"/>
    <s v="Gapminder/Plotly country-year extract reshaped to long indicator format for education"/>
    <s v="OK"/>
    <s v="1970s"/>
    <s v="N/A"/>
    <s v="Demographics"/>
  </r>
  <r>
    <s v="GM-04554"/>
    <s v="Tanzania"/>
    <x v="2"/>
    <x v="5"/>
    <x v="2"/>
    <s v="GDP per capita"/>
    <s v="Economy"/>
    <s v="SDG 8: Decent Work and Economic Growth"/>
    <n v="962.49229319999995"/>
    <s v="Source-defined international dollars"/>
    <s v="Tanzania|1977"/>
    <s v="Gapminder/Plotly country-year extract reshaped to long indicator format for education"/>
    <s v="OK"/>
    <s v="1970s"/>
    <s v="N/A"/>
    <s v="Economy"/>
  </r>
  <r>
    <s v="GM-04555"/>
    <s v="Tanzania"/>
    <x v="2"/>
    <x v="6"/>
    <x v="0"/>
    <s v="Life expectancy at birth"/>
    <s v="Health"/>
    <s v="SDG 3: Good Health and Well-being"/>
    <n v="50.607999999999997"/>
    <s v="Years"/>
    <s v="Tanzania|1982"/>
    <s v="Gapminder/Plotly country-year extract reshaped to long indicator format for education"/>
    <s v="OK"/>
    <s v="1980s"/>
    <s v="Low"/>
    <s v="Health"/>
  </r>
  <r>
    <s v="GM-04556"/>
    <s v="Tanzania"/>
    <x v="2"/>
    <x v="6"/>
    <x v="1"/>
    <s v="Population, total"/>
    <s v="Demographics"/>
    <s v="SDG 11: Sustainable Cities and Communities"/>
    <n v="19844382"/>
    <s v="People"/>
    <s v="Tanzania|1982"/>
    <s v="Gapminder/Plotly country-year extract reshaped to long indicator format for education"/>
    <s v="OK"/>
    <s v="1980s"/>
    <s v="N/A"/>
    <s v="Demographics"/>
  </r>
  <r>
    <s v="GM-04557"/>
    <s v="Tanzania"/>
    <x v="2"/>
    <x v="6"/>
    <x v="2"/>
    <s v="GDP per capita"/>
    <s v="Economy"/>
    <s v="SDG 8: Decent Work and Economic Growth"/>
    <n v="874.24260690000006"/>
    <s v="Source-defined international dollars"/>
    <s v="Tanzania|1982"/>
    <s v="Gapminder/Plotly country-year extract reshaped to long indicator format for education"/>
    <s v="OK"/>
    <s v="1980s"/>
    <s v="N/A"/>
    <s v="Economy"/>
  </r>
  <r>
    <s v="GM-04558"/>
    <s v="Tanzania"/>
    <x v="2"/>
    <x v="7"/>
    <x v="0"/>
    <s v="Life expectancy at birth"/>
    <s v="Health"/>
    <s v="SDG 3: Good Health and Well-being"/>
    <n v="51.534999999999997"/>
    <s v="Years"/>
    <s v="Tanzania|1987"/>
    <s v="Gapminder/Plotly country-year extract reshaped to long indicator format for education"/>
    <s v="OK"/>
    <s v="1980s"/>
    <s v="Low"/>
    <s v="Health"/>
  </r>
  <r>
    <s v="GM-04559"/>
    <s v="Tanzania"/>
    <x v="2"/>
    <x v="7"/>
    <x v="1"/>
    <s v="Population, total"/>
    <s v="Demographics"/>
    <s v="SDG 11: Sustainable Cities and Communities"/>
    <n v="23040630"/>
    <s v="People"/>
    <s v="Tanzania|1987"/>
    <s v="Gapminder/Plotly country-year extract reshaped to long indicator format for education"/>
    <s v="OK"/>
    <s v="1980s"/>
    <s v="N/A"/>
    <s v="Demographics"/>
  </r>
  <r>
    <s v="GM-04560"/>
    <s v="Tanzania"/>
    <x v="2"/>
    <x v="7"/>
    <x v="2"/>
    <s v="GDP per capita"/>
    <s v="Economy"/>
    <s v="SDG 8: Decent Work and Economic Growth"/>
    <n v="831.82207940000001"/>
    <s v="Source-defined international dollars"/>
    <s v="Tanzania|1987"/>
    <s v="Gapminder/Plotly country-year extract reshaped to long indicator format for education"/>
    <s v="OK"/>
    <s v="1980s"/>
    <s v="N/A"/>
    <s v="Economy"/>
  </r>
  <r>
    <s v="GM-04561"/>
    <s v="Tanzania"/>
    <x v="2"/>
    <x v="8"/>
    <x v="0"/>
    <s v="Life expectancy at birth"/>
    <s v="Health"/>
    <s v="SDG 3: Good Health and Well-being"/>
    <n v="50.44"/>
    <s v="Years"/>
    <s v="Tanzania|1992"/>
    <s v="Gapminder/Plotly country-year extract reshaped to long indicator format for education"/>
    <s v="OK"/>
    <s v="1990s"/>
    <s v="Low"/>
    <s v="Health"/>
  </r>
  <r>
    <s v="GM-04562"/>
    <s v="Tanzania"/>
    <x v="2"/>
    <x v="8"/>
    <x v="1"/>
    <s v="Population, total"/>
    <s v="Demographics"/>
    <s v="SDG 11: Sustainable Cities and Communities"/>
    <n v="26605473"/>
    <s v="People"/>
    <s v="Tanzania|1992"/>
    <s v="Gapminder/Plotly country-year extract reshaped to long indicator format for education"/>
    <s v="OK"/>
    <s v="1990s"/>
    <s v="N/A"/>
    <s v="Demographics"/>
  </r>
  <r>
    <s v="GM-04563"/>
    <s v="Tanzania"/>
    <x v="2"/>
    <x v="8"/>
    <x v="2"/>
    <s v="GDP per capita"/>
    <s v="Economy"/>
    <s v="SDG 8: Decent Work and Economic Growth"/>
    <n v="825.68245400000001"/>
    <s v="Source-defined international dollars"/>
    <s v="Tanzania|1992"/>
    <s v="Gapminder/Plotly country-year extract reshaped to long indicator format for education"/>
    <s v="OK"/>
    <s v="1990s"/>
    <s v="N/A"/>
    <s v="Economy"/>
  </r>
  <r>
    <s v="GM-04564"/>
    <s v="Tanzania"/>
    <x v="2"/>
    <x v="9"/>
    <x v="0"/>
    <s v="Life expectancy at birth"/>
    <s v="Health"/>
    <s v="SDG 3: Good Health and Well-being"/>
    <n v="48.466000000000001"/>
    <s v="Years"/>
    <s v="Tanzania|1997"/>
    <s v="Gapminder/Plotly country-year extract reshaped to long indicator format for education"/>
    <s v="OK"/>
    <s v="1990s"/>
    <s v="Low"/>
    <s v="Health"/>
  </r>
  <r>
    <s v="GM-04565"/>
    <s v="Tanzania"/>
    <x v="2"/>
    <x v="9"/>
    <x v="1"/>
    <s v="Population, total"/>
    <s v="Demographics"/>
    <s v="SDG 11: Sustainable Cities and Communities"/>
    <n v="30686889"/>
    <s v="People"/>
    <s v="Tanzania|1997"/>
    <s v="Gapminder/Plotly country-year extract reshaped to long indicator format for education"/>
    <s v="OK"/>
    <s v="1990s"/>
    <s v="N/A"/>
    <s v="Demographics"/>
  </r>
  <r>
    <s v="GM-04566"/>
    <s v="Tanzania"/>
    <x v="2"/>
    <x v="9"/>
    <x v="2"/>
    <s v="GDP per capita"/>
    <s v="Economy"/>
    <s v="SDG 8: Decent Work and Economic Growth"/>
    <n v="789.18622310000001"/>
    <s v="Source-defined international dollars"/>
    <s v="Tanzania|1997"/>
    <s v="Gapminder/Plotly country-year extract reshaped to long indicator format for education"/>
    <s v="OK"/>
    <s v="1990s"/>
    <s v="N/A"/>
    <s v="Economy"/>
  </r>
  <r>
    <s v="GM-04567"/>
    <s v="Tanzania"/>
    <x v="2"/>
    <x v="10"/>
    <x v="0"/>
    <s v="Life expectancy at birth"/>
    <s v="Health"/>
    <s v="SDG 3: Good Health and Well-being"/>
    <n v="49.651000000000003"/>
    <s v="Years"/>
    <s v="Tanzania|2002"/>
    <s v="Gapminder/Plotly country-year extract reshaped to long indicator format for education"/>
    <s v="OK"/>
    <s v="2000s"/>
    <s v="Low"/>
    <s v="Health"/>
  </r>
  <r>
    <s v="GM-04568"/>
    <s v="Tanzania"/>
    <x v="2"/>
    <x v="10"/>
    <x v="1"/>
    <s v="Population, total"/>
    <s v="Demographics"/>
    <s v="SDG 11: Sustainable Cities and Communities"/>
    <n v="34593779"/>
    <s v="People"/>
    <s v="Tanzania|2002"/>
    <s v="Gapminder/Plotly country-year extract reshaped to long indicator format for education"/>
    <s v="OK"/>
    <s v="2000s"/>
    <s v="N/A"/>
    <s v="Demographics"/>
  </r>
  <r>
    <s v="GM-04569"/>
    <s v="Tanzania"/>
    <x v="2"/>
    <x v="10"/>
    <x v="2"/>
    <s v="GDP per capita"/>
    <s v="Economy"/>
    <s v="SDG 8: Decent Work and Economic Growth"/>
    <n v="899.07421109999996"/>
    <s v="Source-defined international dollars"/>
    <s v="Tanzania|2002"/>
    <s v="Gapminder/Plotly country-year extract reshaped to long indicator format for education"/>
    <s v="OK"/>
    <s v="2000s"/>
    <s v="N/A"/>
    <s v="Economy"/>
  </r>
  <r>
    <s v="GM-04570"/>
    <s v="Tanzania"/>
    <x v="2"/>
    <x v="11"/>
    <x v="0"/>
    <s v="Life expectancy at birth"/>
    <s v="Health"/>
    <s v="SDG 3: Good Health and Well-being"/>
    <n v="52.517000000000003"/>
    <s v="Years"/>
    <s v="Tanzania|2007"/>
    <s v="Gapminder/Plotly country-year extract reshaped to long indicator format for education"/>
    <s v="OK"/>
    <s v="2000s"/>
    <s v="Low"/>
    <s v="Health"/>
  </r>
  <r>
    <s v="GM-04571"/>
    <s v="Tanzania"/>
    <x v="2"/>
    <x v="11"/>
    <x v="1"/>
    <s v="Population, total"/>
    <s v="Demographics"/>
    <s v="SDG 11: Sustainable Cities and Communities"/>
    <n v="38139640"/>
    <s v="People"/>
    <s v="Tanzania|2007"/>
    <s v="Gapminder/Plotly country-year extract reshaped to long indicator format for education"/>
    <s v="OK"/>
    <s v="2000s"/>
    <s v="N/A"/>
    <s v="Demographics"/>
  </r>
  <r>
    <s v="GM-04572"/>
    <s v="Tanzania"/>
    <x v="2"/>
    <x v="11"/>
    <x v="2"/>
    <s v="GDP per capita"/>
    <s v="Economy"/>
    <s v="SDG 8: Decent Work and Economic Growth"/>
    <n v="1107.482182"/>
    <s v="Source-defined international dollars"/>
    <s v="Tanzania|2007"/>
    <s v="Gapminder/Plotly country-year extract reshaped to long indicator format for education"/>
    <s v="OK"/>
    <s v="2000s"/>
    <s v="N/A"/>
    <s v="Economy"/>
  </r>
  <r>
    <s v="GM-04573"/>
    <s v="Thailand"/>
    <x v="0"/>
    <x v="0"/>
    <x v="0"/>
    <s v="Life expectancy at birth"/>
    <s v="Health"/>
    <s v="SDG 3: Good Health and Well-being"/>
    <n v="50.847999999999999"/>
    <s v="Years"/>
    <s v="Thailand|1952"/>
    <s v="Gapminder/Plotly country-year extract reshaped to long indicator format for education"/>
    <s v="OK"/>
    <s v="1950s"/>
    <s v="Low"/>
    <s v="Health"/>
  </r>
  <r>
    <s v="GM-04574"/>
    <s v="Thailand"/>
    <x v="0"/>
    <x v="0"/>
    <x v="1"/>
    <s v="Population, total"/>
    <s v="Demographics"/>
    <s v="SDG 11: Sustainable Cities and Communities"/>
    <n v="21289402"/>
    <s v="People"/>
    <s v="Thailand|1952"/>
    <s v="Gapminder/Plotly country-year extract reshaped to long indicator format for education"/>
    <s v="OK"/>
    <s v="1950s"/>
    <s v="N/A"/>
    <s v="Demographics"/>
  </r>
  <r>
    <s v="GM-04575"/>
    <s v="Thailand"/>
    <x v="0"/>
    <x v="0"/>
    <x v="2"/>
    <s v="GDP per capita"/>
    <s v="Economy"/>
    <s v="SDG 8: Decent Work and Economic Growth"/>
    <n v="757.79741769999998"/>
    <s v="Source-defined international dollars"/>
    <s v="Thailand|1952"/>
    <s v="Gapminder/Plotly country-year extract reshaped to long indicator format for education"/>
    <s v="OK"/>
    <s v="1950s"/>
    <s v="N/A"/>
    <s v="Economy"/>
  </r>
  <r>
    <s v="GM-04576"/>
    <s v="Thailand"/>
    <x v="0"/>
    <x v="1"/>
    <x v="0"/>
    <s v="Life expectancy at birth"/>
    <s v="Health"/>
    <s v="SDG 3: Good Health and Well-being"/>
    <n v="53.63"/>
    <s v="Years"/>
    <s v="Thailand|1957"/>
    <s v="Gapminder/Plotly country-year extract reshaped to long indicator format for education"/>
    <s v="OK"/>
    <s v="1950s"/>
    <s v="Low"/>
    <s v="Health"/>
  </r>
  <r>
    <s v="GM-04577"/>
    <s v="Thailand"/>
    <x v="0"/>
    <x v="1"/>
    <x v="1"/>
    <s v="Population, total"/>
    <s v="Demographics"/>
    <s v="SDG 11: Sustainable Cities and Communities"/>
    <n v="25041917"/>
    <s v="People"/>
    <s v="Thailand|1957"/>
    <s v="Gapminder/Plotly country-year extract reshaped to long indicator format for education"/>
    <s v="OK"/>
    <s v="1950s"/>
    <s v="N/A"/>
    <s v="Demographics"/>
  </r>
  <r>
    <s v="GM-04578"/>
    <s v="Thailand"/>
    <x v="0"/>
    <x v="1"/>
    <x v="2"/>
    <s v="GDP per capita"/>
    <s v="Economy"/>
    <s v="SDG 8: Decent Work and Economic Growth"/>
    <n v="793.57741479999902"/>
    <s v="Source-defined international dollars"/>
    <s v="Thailand|1957"/>
    <s v="Gapminder/Plotly country-year extract reshaped to long indicator format for education"/>
    <s v="OK"/>
    <s v="1950s"/>
    <s v="N/A"/>
    <s v="Economy"/>
  </r>
  <r>
    <s v="GM-04579"/>
    <s v="Thailand"/>
    <x v="0"/>
    <x v="2"/>
    <x v="0"/>
    <s v="Life expectancy at birth"/>
    <s v="Health"/>
    <s v="SDG 3: Good Health and Well-being"/>
    <n v="56.061"/>
    <s v="Years"/>
    <s v="Thailand|1962"/>
    <s v="Gapminder/Plotly country-year extract reshaped to long indicator format for education"/>
    <s v="OK"/>
    <s v="1960s"/>
    <s v="Medium"/>
    <s v="Health"/>
  </r>
  <r>
    <s v="GM-04580"/>
    <s v="Thailand"/>
    <x v="0"/>
    <x v="2"/>
    <x v="1"/>
    <s v="Population, total"/>
    <s v="Demographics"/>
    <s v="SDG 11: Sustainable Cities and Communities"/>
    <n v="29263397"/>
    <s v="People"/>
    <s v="Thailand|1962"/>
    <s v="Gapminder/Plotly country-year extract reshaped to long indicator format for education"/>
    <s v="OK"/>
    <s v="1960s"/>
    <s v="N/A"/>
    <s v="Demographics"/>
  </r>
  <r>
    <s v="GM-04581"/>
    <s v="Thailand"/>
    <x v="0"/>
    <x v="2"/>
    <x v="2"/>
    <s v="GDP per capita"/>
    <s v="Economy"/>
    <s v="SDG 8: Decent Work and Economic Growth"/>
    <n v="1002.199172"/>
    <s v="Source-defined international dollars"/>
    <s v="Thailand|1962"/>
    <s v="Gapminder/Plotly country-year extract reshaped to long indicator format for education"/>
    <s v="OK"/>
    <s v="1960s"/>
    <s v="N/A"/>
    <s v="Economy"/>
  </r>
  <r>
    <s v="GM-04582"/>
    <s v="Thailand"/>
    <x v="0"/>
    <x v="3"/>
    <x v="0"/>
    <s v="Life expectancy at birth"/>
    <s v="Health"/>
    <s v="SDG 3: Good Health and Well-being"/>
    <n v="58.284999999999997"/>
    <s v="Years"/>
    <s v="Thailand|1967"/>
    <s v="Gapminder/Plotly country-year extract reshaped to long indicator format for education"/>
    <s v="OK"/>
    <s v="1960s"/>
    <s v="Medium"/>
    <s v="Health"/>
  </r>
  <r>
    <s v="GM-04583"/>
    <s v="Thailand"/>
    <x v="0"/>
    <x v="3"/>
    <x v="1"/>
    <s v="Population, total"/>
    <s v="Demographics"/>
    <s v="SDG 11: Sustainable Cities and Communities"/>
    <n v="34024249"/>
    <s v="People"/>
    <s v="Thailand|1967"/>
    <s v="Gapminder/Plotly country-year extract reshaped to long indicator format for education"/>
    <s v="OK"/>
    <s v="1960s"/>
    <s v="N/A"/>
    <s v="Demographics"/>
  </r>
  <r>
    <s v="GM-04584"/>
    <s v="Thailand"/>
    <x v="0"/>
    <x v="3"/>
    <x v="2"/>
    <s v="GDP per capita"/>
    <s v="Economy"/>
    <s v="SDG 8: Decent Work and Economic Growth"/>
    <n v="1295.46066"/>
    <s v="Source-defined international dollars"/>
    <s v="Thailand|1967"/>
    <s v="Gapminder/Plotly country-year extract reshaped to long indicator format for education"/>
    <s v="OK"/>
    <s v="1960s"/>
    <s v="N/A"/>
    <s v="Economy"/>
  </r>
  <r>
    <s v="GM-04585"/>
    <s v="Thailand"/>
    <x v="0"/>
    <x v="4"/>
    <x v="0"/>
    <s v="Life expectancy at birth"/>
    <s v="Health"/>
    <s v="SDG 3: Good Health and Well-being"/>
    <n v="60.405000000000001"/>
    <s v="Years"/>
    <s v="Thailand|1972"/>
    <s v="Gapminder/Plotly country-year extract reshaped to long indicator format for education"/>
    <s v="OK"/>
    <s v="1970s"/>
    <s v="Medium"/>
    <s v="Health"/>
  </r>
  <r>
    <s v="GM-04586"/>
    <s v="Thailand"/>
    <x v="0"/>
    <x v="4"/>
    <x v="1"/>
    <s v="Population, total"/>
    <s v="Demographics"/>
    <s v="SDG 11: Sustainable Cities and Communities"/>
    <n v="39276153"/>
    <s v="People"/>
    <s v="Thailand|1972"/>
    <s v="Gapminder/Plotly country-year extract reshaped to long indicator format for education"/>
    <s v="OK"/>
    <s v="1970s"/>
    <s v="N/A"/>
    <s v="Demographics"/>
  </r>
  <r>
    <s v="GM-04587"/>
    <s v="Thailand"/>
    <x v="0"/>
    <x v="4"/>
    <x v="2"/>
    <s v="GDP per capita"/>
    <s v="Economy"/>
    <s v="SDG 8: Decent Work and Economic Growth"/>
    <n v="1524.3589360000001"/>
    <s v="Source-defined international dollars"/>
    <s v="Thailand|1972"/>
    <s v="Gapminder/Plotly country-year extract reshaped to long indicator format for education"/>
    <s v="OK"/>
    <s v="1970s"/>
    <s v="N/A"/>
    <s v="Economy"/>
  </r>
  <r>
    <s v="GM-04588"/>
    <s v="Thailand"/>
    <x v="0"/>
    <x v="5"/>
    <x v="0"/>
    <s v="Life expectancy at birth"/>
    <s v="Health"/>
    <s v="SDG 3: Good Health and Well-being"/>
    <n v="62.494"/>
    <s v="Years"/>
    <s v="Thailand|1977"/>
    <s v="Gapminder/Plotly country-year extract reshaped to long indicator format for education"/>
    <s v="OK"/>
    <s v="1970s"/>
    <s v="Medium"/>
    <s v="Health"/>
  </r>
  <r>
    <s v="GM-04589"/>
    <s v="Thailand"/>
    <x v="0"/>
    <x v="5"/>
    <x v="1"/>
    <s v="Population, total"/>
    <s v="Demographics"/>
    <s v="SDG 11: Sustainable Cities and Communities"/>
    <n v="44148285"/>
    <s v="People"/>
    <s v="Thailand|1977"/>
    <s v="Gapminder/Plotly country-year extract reshaped to long indicator format for education"/>
    <s v="OK"/>
    <s v="1970s"/>
    <s v="N/A"/>
    <s v="Demographics"/>
  </r>
  <r>
    <s v="GM-04590"/>
    <s v="Thailand"/>
    <x v="0"/>
    <x v="5"/>
    <x v="2"/>
    <s v="GDP per capita"/>
    <s v="Economy"/>
    <s v="SDG 8: Decent Work and Economic Growth"/>
    <n v="1961.224635"/>
    <s v="Source-defined international dollars"/>
    <s v="Thailand|1977"/>
    <s v="Gapminder/Plotly country-year extract reshaped to long indicator format for education"/>
    <s v="OK"/>
    <s v="1970s"/>
    <s v="N/A"/>
    <s v="Economy"/>
  </r>
  <r>
    <s v="GM-04591"/>
    <s v="Thailand"/>
    <x v="0"/>
    <x v="6"/>
    <x v="0"/>
    <s v="Life expectancy at birth"/>
    <s v="Health"/>
    <s v="SDG 3: Good Health and Well-being"/>
    <n v="64.596999999999994"/>
    <s v="Years"/>
    <s v="Thailand|1982"/>
    <s v="Gapminder/Plotly country-year extract reshaped to long indicator format for education"/>
    <s v="OK"/>
    <s v="1980s"/>
    <s v="Medium"/>
    <s v="Health"/>
  </r>
  <r>
    <s v="GM-04592"/>
    <s v="Thailand"/>
    <x v="0"/>
    <x v="6"/>
    <x v="1"/>
    <s v="Population, total"/>
    <s v="Demographics"/>
    <s v="SDG 11: Sustainable Cities and Communities"/>
    <n v="48827160"/>
    <s v="People"/>
    <s v="Thailand|1982"/>
    <s v="Gapminder/Plotly country-year extract reshaped to long indicator format for education"/>
    <s v="OK"/>
    <s v="1980s"/>
    <s v="N/A"/>
    <s v="Demographics"/>
  </r>
  <r>
    <s v="GM-04593"/>
    <s v="Thailand"/>
    <x v="0"/>
    <x v="6"/>
    <x v="2"/>
    <s v="GDP per capita"/>
    <s v="Economy"/>
    <s v="SDG 8: Decent Work and Economic Growth"/>
    <n v="2393.2197809999998"/>
    <s v="Source-defined international dollars"/>
    <s v="Thailand|1982"/>
    <s v="Gapminder/Plotly country-year extract reshaped to long indicator format for education"/>
    <s v="OK"/>
    <s v="1980s"/>
    <s v="N/A"/>
    <s v="Economy"/>
  </r>
  <r>
    <s v="GM-04594"/>
    <s v="Thailand"/>
    <x v="0"/>
    <x v="7"/>
    <x v="0"/>
    <s v="Life expectancy at birth"/>
    <s v="Health"/>
    <s v="SDG 3: Good Health and Well-being"/>
    <n v="66.084000000000003"/>
    <s v="Years"/>
    <s v="Thailand|1987"/>
    <s v="Gapminder/Plotly country-year extract reshaped to long indicator format for education"/>
    <s v="OK"/>
    <s v="1980s"/>
    <s v="Medium"/>
    <s v="Health"/>
  </r>
  <r>
    <s v="GM-04595"/>
    <s v="Thailand"/>
    <x v="0"/>
    <x v="7"/>
    <x v="1"/>
    <s v="Population, total"/>
    <s v="Demographics"/>
    <s v="SDG 11: Sustainable Cities and Communities"/>
    <n v="52910342"/>
    <s v="People"/>
    <s v="Thailand|1987"/>
    <s v="Gapminder/Plotly country-year extract reshaped to long indicator format for education"/>
    <s v="OK"/>
    <s v="1980s"/>
    <s v="N/A"/>
    <s v="Demographics"/>
  </r>
  <r>
    <s v="GM-04596"/>
    <s v="Thailand"/>
    <x v="0"/>
    <x v="7"/>
    <x v="2"/>
    <s v="GDP per capita"/>
    <s v="Economy"/>
    <s v="SDG 8: Decent Work and Economic Growth"/>
    <n v="2982.653773"/>
    <s v="Source-defined international dollars"/>
    <s v="Thailand|1987"/>
    <s v="Gapminder/Plotly country-year extract reshaped to long indicator format for education"/>
    <s v="OK"/>
    <s v="1980s"/>
    <s v="N/A"/>
    <s v="Economy"/>
  </r>
  <r>
    <s v="GM-04597"/>
    <s v="Thailand"/>
    <x v="0"/>
    <x v="8"/>
    <x v="0"/>
    <s v="Life expectancy at birth"/>
    <s v="Health"/>
    <s v="SDG 3: Good Health and Well-being"/>
    <n v="67.298000000000002"/>
    <s v="Years"/>
    <s v="Thailand|1992"/>
    <s v="Gapminder/Plotly country-year extract reshaped to long indicator format for education"/>
    <s v="OK"/>
    <s v="1990s"/>
    <s v="Medium"/>
    <s v="Health"/>
  </r>
  <r>
    <s v="GM-04598"/>
    <s v="Thailand"/>
    <x v="0"/>
    <x v="8"/>
    <x v="1"/>
    <s v="Population, total"/>
    <s v="Demographics"/>
    <s v="SDG 11: Sustainable Cities and Communities"/>
    <n v="56667095"/>
    <s v="People"/>
    <s v="Thailand|1992"/>
    <s v="Gapminder/Plotly country-year extract reshaped to long indicator format for education"/>
    <s v="OK"/>
    <s v="1990s"/>
    <s v="N/A"/>
    <s v="Demographics"/>
  </r>
  <r>
    <s v="GM-04599"/>
    <s v="Thailand"/>
    <x v="0"/>
    <x v="8"/>
    <x v="2"/>
    <s v="GDP per capita"/>
    <s v="Economy"/>
    <s v="SDG 8: Decent Work and Economic Growth"/>
    <n v="4616.8965449999996"/>
    <s v="Source-defined international dollars"/>
    <s v="Thailand|1992"/>
    <s v="Gapminder/Plotly country-year extract reshaped to long indicator format for education"/>
    <s v="OK"/>
    <s v="1990s"/>
    <s v="N/A"/>
    <s v="Economy"/>
  </r>
  <r>
    <s v="GM-04600"/>
    <s v="Thailand"/>
    <x v="0"/>
    <x v="9"/>
    <x v="0"/>
    <s v="Life expectancy at birth"/>
    <s v="Health"/>
    <s v="SDG 3: Good Health and Well-being"/>
    <n v="67.521000000000001"/>
    <s v="Years"/>
    <s v="Thailand|1997"/>
    <s v="Gapminder/Plotly country-year extract reshaped to long indicator format for education"/>
    <s v="OK"/>
    <s v="1990s"/>
    <s v="Medium"/>
    <s v="Health"/>
  </r>
  <r>
    <s v="GM-04601"/>
    <s v="Thailand"/>
    <x v="0"/>
    <x v="9"/>
    <x v="1"/>
    <s v="Population, total"/>
    <s v="Demographics"/>
    <s v="SDG 11: Sustainable Cities and Communities"/>
    <n v="60216677"/>
    <s v="People"/>
    <s v="Thailand|1997"/>
    <s v="Gapminder/Plotly country-year extract reshaped to long indicator format for education"/>
    <s v="OK"/>
    <s v="1990s"/>
    <s v="N/A"/>
    <s v="Demographics"/>
  </r>
  <r>
    <s v="GM-04602"/>
    <s v="Thailand"/>
    <x v="0"/>
    <x v="9"/>
    <x v="2"/>
    <s v="GDP per capita"/>
    <s v="Economy"/>
    <s v="SDG 8: Decent Work and Economic Growth"/>
    <n v="5852.625497"/>
    <s v="Source-defined international dollars"/>
    <s v="Thailand|1997"/>
    <s v="Gapminder/Plotly country-year extract reshaped to long indicator format for education"/>
    <s v="OK"/>
    <s v="1990s"/>
    <s v="N/A"/>
    <s v="Economy"/>
  </r>
  <r>
    <s v="GM-04603"/>
    <s v="Thailand"/>
    <x v="0"/>
    <x v="10"/>
    <x v="0"/>
    <s v="Life expectancy at birth"/>
    <s v="Health"/>
    <s v="SDG 3: Good Health and Well-being"/>
    <n v="68.563999999999993"/>
    <s v="Years"/>
    <s v="Thailand|2002"/>
    <s v="Gapminder/Plotly country-year extract reshaped to long indicator format for education"/>
    <s v="OK"/>
    <s v="2000s"/>
    <s v="Medium"/>
    <s v="Health"/>
  </r>
  <r>
    <s v="GM-04604"/>
    <s v="Thailand"/>
    <x v="0"/>
    <x v="10"/>
    <x v="1"/>
    <s v="Population, total"/>
    <s v="Demographics"/>
    <s v="SDG 11: Sustainable Cities and Communities"/>
    <n v="62806748"/>
    <s v="People"/>
    <s v="Thailand|2002"/>
    <s v="Gapminder/Plotly country-year extract reshaped to long indicator format for education"/>
    <s v="OK"/>
    <s v="2000s"/>
    <s v="N/A"/>
    <s v="Demographics"/>
  </r>
  <r>
    <s v="GM-04605"/>
    <s v="Thailand"/>
    <x v="0"/>
    <x v="10"/>
    <x v="2"/>
    <s v="GDP per capita"/>
    <s v="Economy"/>
    <s v="SDG 8: Decent Work and Economic Growth"/>
    <n v="5913.1875289999998"/>
    <s v="Source-defined international dollars"/>
    <s v="Thailand|2002"/>
    <s v="Gapminder/Plotly country-year extract reshaped to long indicator format for education"/>
    <s v="OK"/>
    <s v="2000s"/>
    <s v="N/A"/>
    <s v="Economy"/>
  </r>
  <r>
    <s v="GM-04606"/>
    <s v="Thailand"/>
    <x v="0"/>
    <x v="11"/>
    <x v="0"/>
    <s v="Life expectancy at birth"/>
    <s v="Health"/>
    <s v="SDG 3: Good Health and Well-being"/>
    <n v="70.616"/>
    <s v="Years"/>
    <s v="Thailand|2007"/>
    <s v="Gapminder/Plotly country-year extract reshaped to long indicator format for education"/>
    <s v="OK"/>
    <s v="2000s"/>
    <s v="High"/>
    <s v="Health"/>
  </r>
  <r>
    <s v="GM-04607"/>
    <s v="Thailand"/>
    <x v="0"/>
    <x v="11"/>
    <x v="1"/>
    <s v="Population, total"/>
    <s v="Demographics"/>
    <s v="SDG 11: Sustainable Cities and Communities"/>
    <n v="65068149"/>
    <s v="People"/>
    <s v="Thailand|2007"/>
    <s v="Gapminder/Plotly country-year extract reshaped to long indicator format for education"/>
    <s v="OK"/>
    <s v="2000s"/>
    <s v="N/A"/>
    <s v="Demographics"/>
  </r>
  <r>
    <s v="GM-04608"/>
    <s v="Thailand"/>
    <x v="0"/>
    <x v="11"/>
    <x v="2"/>
    <s v="GDP per capita"/>
    <s v="Economy"/>
    <s v="SDG 8: Decent Work and Economic Growth"/>
    <n v="7458.3963269999904"/>
    <s v="Source-defined international dollars"/>
    <s v="Thailand|2007"/>
    <s v="Gapminder/Plotly country-year extract reshaped to long indicator format for education"/>
    <s v="OK"/>
    <s v="2000s"/>
    <s v="N/A"/>
    <s v="Economy"/>
  </r>
  <r>
    <s v="GM-04609"/>
    <s v="Togo"/>
    <x v="2"/>
    <x v="0"/>
    <x v="0"/>
    <s v="Life expectancy at birth"/>
    <s v="Health"/>
    <s v="SDG 3: Good Health and Well-being"/>
    <n v="38.595999999999997"/>
    <s v="Years"/>
    <s v="Togo|1952"/>
    <s v="Gapminder/Plotly country-year extract reshaped to long indicator format for education"/>
    <s v="OK"/>
    <s v="1950s"/>
    <s v="Low"/>
    <s v="Health"/>
  </r>
  <r>
    <s v="GM-04610"/>
    <s v="Togo"/>
    <x v="2"/>
    <x v="0"/>
    <x v="1"/>
    <s v="Population, total"/>
    <s v="Demographics"/>
    <s v="SDG 11: Sustainable Cities and Communities"/>
    <n v="1219113"/>
    <s v="People"/>
    <s v="Togo|1952"/>
    <s v="Gapminder/Plotly country-year extract reshaped to long indicator format for education"/>
    <s v="OK"/>
    <s v="1950s"/>
    <s v="N/A"/>
    <s v="Demographics"/>
  </r>
  <r>
    <s v="GM-04611"/>
    <s v="Togo"/>
    <x v="2"/>
    <x v="0"/>
    <x v="2"/>
    <s v="GDP per capita"/>
    <s v="Economy"/>
    <s v="SDG 8: Decent Work and Economic Growth"/>
    <n v="859.80865670000003"/>
    <s v="Source-defined international dollars"/>
    <s v="Togo|1952"/>
    <s v="Gapminder/Plotly country-year extract reshaped to long indicator format for education"/>
    <s v="OK"/>
    <s v="1950s"/>
    <s v="N/A"/>
    <s v="Economy"/>
  </r>
  <r>
    <s v="GM-04612"/>
    <s v="Togo"/>
    <x v="2"/>
    <x v="1"/>
    <x v="0"/>
    <s v="Life expectancy at birth"/>
    <s v="Health"/>
    <s v="SDG 3: Good Health and Well-being"/>
    <n v="41.207999999999998"/>
    <s v="Years"/>
    <s v="Togo|1957"/>
    <s v="Gapminder/Plotly country-year extract reshaped to long indicator format for education"/>
    <s v="OK"/>
    <s v="1950s"/>
    <s v="Low"/>
    <s v="Health"/>
  </r>
  <r>
    <s v="GM-04613"/>
    <s v="Togo"/>
    <x v="2"/>
    <x v="1"/>
    <x v="1"/>
    <s v="Population, total"/>
    <s v="Demographics"/>
    <s v="SDG 11: Sustainable Cities and Communities"/>
    <n v="1357445"/>
    <s v="People"/>
    <s v="Togo|1957"/>
    <s v="Gapminder/Plotly country-year extract reshaped to long indicator format for education"/>
    <s v="OK"/>
    <s v="1950s"/>
    <s v="N/A"/>
    <s v="Demographics"/>
  </r>
  <r>
    <s v="GM-04614"/>
    <s v="Togo"/>
    <x v="2"/>
    <x v="1"/>
    <x v="2"/>
    <s v="GDP per capita"/>
    <s v="Economy"/>
    <s v="SDG 8: Decent Work and Economic Growth"/>
    <n v="925.90832020000005"/>
    <s v="Source-defined international dollars"/>
    <s v="Togo|1957"/>
    <s v="Gapminder/Plotly country-year extract reshaped to long indicator format for education"/>
    <s v="OK"/>
    <s v="1950s"/>
    <s v="N/A"/>
    <s v="Economy"/>
  </r>
  <r>
    <s v="GM-04615"/>
    <s v="Togo"/>
    <x v="2"/>
    <x v="2"/>
    <x v="0"/>
    <s v="Life expectancy at birth"/>
    <s v="Health"/>
    <s v="SDG 3: Good Health and Well-being"/>
    <n v="43.921999999999997"/>
    <s v="Years"/>
    <s v="Togo|1962"/>
    <s v="Gapminder/Plotly country-year extract reshaped to long indicator format for education"/>
    <s v="OK"/>
    <s v="1960s"/>
    <s v="Low"/>
    <s v="Health"/>
  </r>
  <r>
    <s v="GM-04616"/>
    <s v="Togo"/>
    <x v="2"/>
    <x v="2"/>
    <x v="1"/>
    <s v="Population, total"/>
    <s v="Demographics"/>
    <s v="SDG 11: Sustainable Cities and Communities"/>
    <n v="1528098"/>
    <s v="People"/>
    <s v="Togo|1962"/>
    <s v="Gapminder/Plotly country-year extract reshaped to long indicator format for education"/>
    <s v="OK"/>
    <s v="1960s"/>
    <s v="N/A"/>
    <s v="Demographics"/>
  </r>
  <r>
    <s v="GM-04617"/>
    <s v="Togo"/>
    <x v="2"/>
    <x v="2"/>
    <x v="2"/>
    <s v="GDP per capita"/>
    <s v="Economy"/>
    <s v="SDG 8: Decent Work and Economic Growth"/>
    <n v="1067.5348100000001"/>
    <s v="Source-defined international dollars"/>
    <s v="Togo|1962"/>
    <s v="Gapminder/Plotly country-year extract reshaped to long indicator format for education"/>
    <s v="OK"/>
    <s v="1960s"/>
    <s v="N/A"/>
    <s v="Economy"/>
  </r>
  <r>
    <s v="GM-04618"/>
    <s v="Togo"/>
    <x v="2"/>
    <x v="3"/>
    <x v="0"/>
    <s v="Life expectancy at birth"/>
    <s v="Health"/>
    <s v="SDG 3: Good Health and Well-being"/>
    <n v="46.768999999999998"/>
    <s v="Years"/>
    <s v="Togo|1967"/>
    <s v="Gapminder/Plotly country-year extract reshaped to long indicator format for education"/>
    <s v="OK"/>
    <s v="1960s"/>
    <s v="Low"/>
    <s v="Health"/>
  </r>
  <r>
    <s v="GM-04619"/>
    <s v="Togo"/>
    <x v="2"/>
    <x v="3"/>
    <x v="1"/>
    <s v="Population, total"/>
    <s v="Demographics"/>
    <s v="SDG 11: Sustainable Cities and Communities"/>
    <n v="1735550"/>
    <s v="People"/>
    <s v="Togo|1967"/>
    <s v="Gapminder/Plotly country-year extract reshaped to long indicator format for education"/>
    <s v="OK"/>
    <s v="1960s"/>
    <s v="N/A"/>
    <s v="Demographics"/>
  </r>
  <r>
    <s v="GM-04620"/>
    <s v="Togo"/>
    <x v="2"/>
    <x v="3"/>
    <x v="2"/>
    <s v="GDP per capita"/>
    <s v="Economy"/>
    <s v="SDG 8: Decent Work and Economic Growth"/>
    <n v="1477.5967599999999"/>
    <s v="Source-defined international dollars"/>
    <s v="Togo|1967"/>
    <s v="Gapminder/Plotly country-year extract reshaped to long indicator format for education"/>
    <s v="OK"/>
    <s v="1960s"/>
    <s v="N/A"/>
    <s v="Economy"/>
  </r>
  <r>
    <s v="GM-04621"/>
    <s v="Togo"/>
    <x v="2"/>
    <x v="4"/>
    <x v="0"/>
    <s v="Life expectancy at birth"/>
    <s v="Health"/>
    <s v="SDG 3: Good Health and Well-being"/>
    <n v="49.758999999999901"/>
    <s v="Years"/>
    <s v="Togo|1972"/>
    <s v="Gapminder/Plotly country-year extract reshaped to long indicator format for education"/>
    <s v="OK"/>
    <s v="1970s"/>
    <s v="Low"/>
    <s v="Health"/>
  </r>
  <r>
    <s v="GM-04622"/>
    <s v="Togo"/>
    <x v="2"/>
    <x v="4"/>
    <x v="1"/>
    <s v="Population, total"/>
    <s v="Demographics"/>
    <s v="SDG 11: Sustainable Cities and Communities"/>
    <n v="2056351"/>
    <s v="People"/>
    <s v="Togo|1972"/>
    <s v="Gapminder/Plotly country-year extract reshaped to long indicator format for education"/>
    <s v="OK"/>
    <s v="1970s"/>
    <s v="N/A"/>
    <s v="Demographics"/>
  </r>
  <r>
    <s v="GM-04623"/>
    <s v="Togo"/>
    <x v="2"/>
    <x v="4"/>
    <x v="2"/>
    <s v="GDP per capita"/>
    <s v="Economy"/>
    <s v="SDG 8: Decent Work and Economic Growth"/>
    <n v="1649.6601880000001"/>
    <s v="Source-defined international dollars"/>
    <s v="Togo|1972"/>
    <s v="Gapminder/Plotly country-year extract reshaped to long indicator format for education"/>
    <s v="OK"/>
    <s v="1970s"/>
    <s v="N/A"/>
    <s v="Economy"/>
  </r>
  <r>
    <s v="GM-04624"/>
    <s v="Togo"/>
    <x v="2"/>
    <x v="5"/>
    <x v="0"/>
    <s v="Life expectancy at birth"/>
    <s v="Health"/>
    <s v="SDG 3: Good Health and Well-being"/>
    <n v="52.887"/>
    <s v="Years"/>
    <s v="Togo|1977"/>
    <s v="Gapminder/Plotly country-year extract reshaped to long indicator format for education"/>
    <s v="OK"/>
    <s v="1970s"/>
    <s v="Low"/>
    <s v="Health"/>
  </r>
  <r>
    <s v="GM-04625"/>
    <s v="Togo"/>
    <x v="2"/>
    <x v="5"/>
    <x v="1"/>
    <s v="Population, total"/>
    <s v="Demographics"/>
    <s v="SDG 11: Sustainable Cities and Communities"/>
    <n v="2308582"/>
    <s v="People"/>
    <s v="Togo|1977"/>
    <s v="Gapminder/Plotly country-year extract reshaped to long indicator format for education"/>
    <s v="OK"/>
    <s v="1970s"/>
    <s v="N/A"/>
    <s v="Demographics"/>
  </r>
  <r>
    <s v="GM-04626"/>
    <s v="Togo"/>
    <x v="2"/>
    <x v="5"/>
    <x v="2"/>
    <s v="GDP per capita"/>
    <s v="Economy"/>
    <s v="SDG 8: Decent Work and Economic Growth"/>
    <n v="1532.776998"/>
    <s v="Source-defined international dollars"/>
    <s v="Togo|1977"/>
    <s v="Gapminder/Plotly country-year extract reshaped to long indicator format for education"/>
    <s v="OK"/>
    <s v="1970s"/>
    <s v="N/A"/>
    <s v="Economy"/>
  </r>
  <r>
    <s v="GM-04627"/>
    <s v="Togo"/>
    <x v="2"/>
    <x v="6"/>
    <x v="0"/>
    <s v="Life expectancy at birth"/>
    <s v="Health"/>
    <s v="SDG 3: Good Health and Well-being"/>
    <n v="55.470999999999997"/>
    <s v="Years"/>
    <s v="Togo|1982"/>
    <s v="Gapminder/Plotly country-year extract reshaped to long indicator format for education"/>
    <s v="OK"/>
    <s v="1980s"/>
    <s v="Medium"/>
    <s v="Health"/>
  </r>
  <r>
    <s v="GM-04628"/>
    <s v="Togo"/>
    <x v="2"/>
    <x v="6"/>
    <x v="1"/>
    <s v="Population, total"/>
    <s v="Demographics"/>
    <s v="SDG 11: Sustainable Cities and Communities"/>
    <n v="2644765"/>
    <s v="People"/>
    <s v="Togo|1982"/>
    <s v="Gapminder/Plotly country-year extract reshaped to long indicator format for education"/>
    <s v="OK"/>
    <s v="1980s"/>
    <s v="N/A"/>
    <s v="Demographics"/>
  </r>
  <r>
    <s v="GM-04629"/>
    <s v="Togo"/>
    <x v="2"/>
    <x v="6"/>
    <x v="2"/>
    <s v="GDP per capita"/>
    <s v="Economy"/>
    <s v="SDG 8: Decent Work and Economic Growth"/>
    <n v="1344.577953"/>
    <s v="Source-defined international dollars"/>
    <s v="Togo|1982"/>
    <s v="Gapminder/Plotly country-year extract reshaped to long indicator format for education"/>
    <s v="OK"/>
    <s v="1980s"/>
    <s v="N/A"/>
    <s v="Economy"/>
  </r>
  <r>
    <s v="GM-04630"/>
    <s v="Togo"/>
    <x v="2"/>
    <x v="7"/>
    <x v="0"/>
    <s v="Life expectancy at birth"/>
    <s v="Health"/>
    <s v="SDG 3: Good Health and Well-being"/>
    <n v="56.941000000000003"/>
    <s v="Years"/>
    <s v="Togo|1987"/>
    <s v="Gapminder/Plotly country-year extract reshaped to long indicator format for education"/>
    <s v="OK"/>
    <s v="1980s"/>
    <s v="Medium"/>
    <s v="Health"/>
  </r>
  <r>
    <s v="GM-04631"/>
    <s v="Togo"/>
    <x v="2"/>
    <x v="7"/>
    <x v="1"/>
    <s v="Population, total"/>
    <s v="Demographics"/>
    <s v="SDG 11: Sustainable Cities and Communities"/>
    <n v="3154264"/>
    <s v="People"/>
    <s v="Togo|1987"/>
    <s v="Gapminder/Plotly country-year extract reshaped to long indicator format for education"/>
    <s v="OK"/>
    <s v="1980s"/>
    <s v="N/A"/>
    <s v="Demographics"/>
  </r>
  <r>
    <s v="GM-04632"/>
    <s v="Togo"/>
    <x v="2"/>
    <x v="7"/>
    <x v="2"/>
    <s v="GDP per capita"/>
    <s v="Economy"/>
    <s v="SDG 8: Decent Work and Economic Growth"/>
    <n v="1202.2013609999999"/>
    <s v="Source-defined international dollars"/>
    <s v="Togo|1987"/>
    <s v="Gapminder/Plotly country-year extract reshaped to long indicator format for education"/>
    <s v="OK"/>
    <s v="1980s"/>
    <s v="N/A"/>
    <s v="Economy"/>
  </r>
  <r>
    <s v="GM-04633"/>
    <s v="Togo"/>
    <x v="2"/>
    <x v="8"/>
    <x v="0"/>
    <s v="Life expectancy at birth"/>
    <s v="Health"/>
    <s v="SDG 3: Good Health and Well-being"/>
    <n v="58.061"/>
    <s v="Years"/>
    <s v="Togo|1992"/>
    <s v="Gapminder/Plotly country-year extract reshaped to long indicator format for education"/>
    <s v="OK"/>
    <s v="1990s"/>
    <s v="Medium"/>
    <s v="Health"/>
  </r>
  <r>
    <s v="GM-04634"/>
    <s v="Togo"/>
    <x v="2"/>
    <x v="8"/>
    <x v="1"/>
    <s v="Population, total"/>
    <s v="Demographics"/>
    <s v="SDG 11: Sustainable Cities and Communities"/>
    <n v="3747553"/>
    <s v="People"/>
    <s v="Togo|1992"/>
    <s v="Gapminder/Plotly country-year extract reshaped to long indicator format for education"/>
    <s v="OK"/>
    <s v="1990s"/>
    <s v="N/A"/>
    <s v="Demographics"/>
  </r>
  <r>
    <s v="GM-04635"/>
    <s v="Togo"/>
    <x v="2"/>
    <x v="8"/>
    <x v="2"/>
    <s v="GDP per capita"/>
    <s v="Economy"/>
    <s v="SDG 8: Decent Work and Economic Growth"/>
    <n v="1034.298904"/>
    <s v="Source-defined international dollars"/>
    <s v="Togo|1992"/>
    <s v="Gapminder/Plotly country-year extract reshaped to long indicator format for education"/>
    <s v="OK"/>
    <s v="1990s"/>
    <s v="N/A"/>
    <s v="Economy"/>
  </r>
  <r>
    <s v="GM-04636"/>
    <s v="Togo"/>
    <x v="2"/>
    <x v="9"/>
    <x v="0"/>
    <s v="Life expectancy at birth"/>
    <s v="Health"/>
    <s v="SDG 3: Good Health and Well-being"/>
    <n v="58.39"/>
    <s v="Years"/>
    <s v="Togo|1997"/>
    <s v="Gapminder/Plotly country-year extract reshaped to long indicator format for education"/>
    <s v="OK"/>
    <s v="1990s"/>
    <s v="Medium"/>
    <s v="Health"/>
  </r>
  <r>
    <s v="GM-04637"/>
    <s v="Togo"/>
    <x v="2"/>
    <x v="9"/>
    <x v="1"/>
    <s v="Population, total"/>
    <s v="Demographics"/>
    <s v="SDG 11: Sustainable Cities and Communities"/>
    <n v="4320890"/>
    <s v="People"/>
    <s v="Togo|1997"/>
    <s v="Gapminder/Plotly country-year extract reshaped to long indicator format for education"/>
    <s v="OK"/>
    <s v="1990s"/>
    <s v="N/A"/>
    <s v="Demographics"/>
  </r>
  <r>
    <s v="GM-04638"/>
    <s v="Togo"/>
    <x v="2"/>
    <x v="9"/>
    <x v="2"/>
    <s v="GDP per capita"/>
    <s v="Economy"/>
    <s v="SDG 8: Decent Work and Economic Growth"/>
    <n v="982.28692430000001"/>
    <s v="Source-defined international dollars"/>
    <s v="Togo|1997"/>
    <s v="Gapminder/Plotly country-year extract reshaped to long indicator format for education"/>
    <s v="OK"/>
    <s v="1990s"/>
    <s v="N/A"/>
    <s v="Economy"/>
  </r>
  <r>
    <s v="GM-04639"/>
    <s v="Togo"/>
    <x v="2"/>
    <x v="10"/>
    <x v="0"/>
    <s v="Life expectancy at birth"/>
    <s v="Health"/>
    <s v="SDG 3: Good Health and Well-being"/>
    <n v="57.561"/>
    <s v="Years"/>
    <s v="Togo|2002"/>
    <s v="Gapminder/Plotly country-year extract reshaped to long indicator format for education"/>
    <s v="OK"/>
    <s v="2000s"/>
    <s v="Medium"/>
    <s v="Health"/>
  </r>
  <r>
    <s v="GM-04640"/>
    <s v="Togo"/>
    <x v="2"/>
    <x v="10"/>
    <x v="1"/>
    <s v="Population, total"/>
    <s v="Demographics"/>
    <s v="SDG 11: Sustainable Cities and Communities"/>
    <n v="4977378"/>
    <s v="People"/>
    <s v="Togo|2002"/>
    <s v="Gapminder/Plotly country-year extract reshaped to long indicator format for education"/>
    <s v="OK"/>
    <s v="2000s"/>
    <s v="N/A"/>
    <s v="Demographics"/>
  </r>
  <r>
    <s v="GM-04641"/>
    <s v="Togo"/>
    <x v="2"/>
    <x v="10"/>
    <x v="2"/>
    <s v="GDP per capita"/>
    <s v="Economy"/>
    <s v="SDG 8: Decent Work and Economic Growth"/>
    <n v="886.22057649999999"/>
    <s v="Source-defined international dollars"/>
    <s v="Togo|2002"/>
    <s v="Gapminder/Plotly country-year extract reshaped to long indicator format for education"/>
    <s v="OK"/>
    <s v="2000s"/>
    <s v="N/A"/>
    <s v="Economy"/>
  </r>
  <r>
    <s v="GM-04642"/>
    <s v="Togo"/>
    <x v="2"/>
    <x v="11"/>
    <x v="0"/>
    <s v="Life expectancy at birth"/>
    <s v="Health"/>
    <s v="SDG 3: Good Health and Well-being"/>
    <n v="58.42"/>
    <s v="Years"/>
    <s v="Togo|2007"/>
    <s v="Gapminder/Plotly country-year extract reshaped to long indicator format for education"/>
    <s v="OK"/>
    <s v="2000s"/>
    <s v="Medium"/>
    <s v="Health"/>
  </r>
  <r>
    <s v="GM-04643"/>
    <s v="Togo"/>
    <x v="2"/>
    <x v="11"/>
    <x v="1"/>
    <s v="Population, total"/>
    <s v="Demographics"/>
    <s v="SDG 11: Sustainable Cities and Communities"/>
    <n v="5701579"/>
    <s v="People"/>
    <s v="Togo|2007"/>
    <s v="Gapminder/Plotly country-year extract reshaped to long indicator format for education"/>
    <s v="OK"/>
    <s v="2000s"/>
    <s v="N/A"/>
    <s v="Demographics"/>
  </r>
  <r>
    <s v="GM-04644"/>
    <s v="Togo"/>
    <x v="2"/>
    <x v="11"/>
    <x v="2"/>
    <s v="GDP per capita"/>
    <s v="Economy"/>
    <s v="SDG 8: Decent Work and Economic Growth"/>
    <n v="882.96994379999899"/>
    <s v="Source-defined international dollars"/>
    <s v="Togo|2007"/>
    <s v="Gapminder/Plotly country-year extract reshaped to long indicator format for education"/>
    <s v="OK"/>
    <s v="2000s"/>
    <s v="N/A"/>
    <s v="Economy"/>
  </r>
  <r>
    <s v="GM-04645"/>
    <s v="Trinidad and Tobago"/>
    <x v="3"/>
    <x v="0"/>
    <x v="0"/>
    <s v="Life expectancy at birth"/>
    <s v="Health"/>
    <s v="SDG 3: Good Health and Well-being"/>
    <n v="59.1"/>
    <s v="Years"/>
    <s v="Trinidad and Tobago|1952"/>
    <s v="Gapminder/Plotly country-year extract reshaped to long indicator format for education"/>
    <s v="OK"/>
    <s v="1950s"/>
    <s v="Medium"/>
    <s v="Health"/>
  </r>
  <r>
    <s v="GM-04646"/>
    <s v="Trinidad and Tobago"/>
    <x v="3"/>
    <x v="0"/>
    <x v="1"/>
    <s v="Population, total"/>
    <s v="Demographics"/>
    <s v="SDG 11: Sustainable Cities and Communities"/>
    <n v="662850"/>
    <s v="People"/>
    <s v="Trinidad and Tobago|1952"/>
    <s v="Gapminder/Plotly country-year extract reshaped to long indicator format for education"/>
    <s v="OK"/>
    <s v="1950s"/>
    <s v="N/A"/>
    <s v="Demographics"/>
  </r>
  <r>
    <s v="GM-04647"/>
    <s v="Trinidad and Tobago"/>
    <x v="3"/>
    <x v="0"/>
    <x v="2"/>
    <s v="GDP per capita"/>
    <s v="Economy"/>
    <s v="SDG 8: Decent Work and Economic Growth"/>
    <n v="3023.2719280000001"/>
    <s v="Source-defined international dollars"/>
    <s v="Trinidad and Tobago|1952"/>
    <s v="Gapminder/Plotly country-year extract reshaped to long indicator format for education"/>
    <s v="OK"/>
    <s v="1950s"/>
    <s v="N/A"/>
    <s v="Economy"/>
  </r>
  <r>
    <s v="GM-04648"/>
    <s v="Trinidad and Tobago"/>
    <x v="3"/>
    <x v="1"/>
    <x v="0"/>
    <s v="Life expectancy at birth"/>
    <s v="Health"/>
    <s v="SDG 3: Good Health and Well-being"/>
    <n v="61.8"/>
    <s v="Years"/>
    <s v="Trinidad and Tobago|1957"/>
    <s v="Gapminder/Plotly country-year extract reshaped to long indicator format for education"/>
    <s v="OK"/>
    <s v="1950s"/>
    <s v="Medium"/>
    <s v="Health"/>
  </r>
  <r>
    <s v="GM-04649"/>
    <s v="Trinidad and Tobago"/>
    <x v="3"/>
    <x v="1"/>
    <x v="1"/>
    <s v="Population, total"/>
    <s v="Demographics"/>
    <s v="SDG 11: Sustainable Cities and Communities"/>
    <n v="764900"/>
    <s v="People"/>
    <s v="Trinidad and Tobago|1957"/>
    <s v="Gapminder/Plotly country-year extract reshaped to long indicator format for education"/>
    <s v="OK"/>
    <s v="1950s"/>
    <s v="N/A"/>
    <s v="Demographics"/>
  </r>
  <r>
    <s v="GM-04650"/>
    <s v="Trinidad and Tobago"/>
    <x v="3"/>
    <x v="1"/>
    <x v="2"/>
    <s v="GDP per capita"/>
    <s v="Economy"/>
    <s v="SDG 8: Decent Work and Economic Growth"/>
    <n v="4100.3933999999999"/>
    <s v="Source-defined international dollars"/>
    <s v="Trinidad and Tobago|1957"/>
    <s v="Gapminder/Plotly country-year extract reshaped to long indicator format for education"/>
    <s v="OK"/>
    <s v="1950s"/>
    <s v="N/A"/>
    <s v="Economy"/>
  </r>
  <r>
    <s v="GM-04651"/>
    <s v="Trinidad and Tobago"/>
    <x v="3"/>
    <x v="2"/>
    <x v="0"/>
    <s v="Life expectancy at birth"/>
    <s v="Health"/>
    <s v="SDG 3: Good Health and Well-being"/>
    <n v="64.900000000000006"/>
    <s v="Years"/>
    <s v="Trinidad and Tobago|1962"/>
    <s v="Gapminder/Plotly country-year extract reshaped to long indicator format for education"/>
    <s v="OK"/>
    <s v="1960s"/>
    <s v="Medium"/>
    <s v="Health"/>
  </r>
  <r>
    <s v="GM-04652"/>
    <s v="Trinidad and Tobago"/>
    <x v="3"/>
    <x v="2"/>
    <x v="1"/>
    <s v="Population, total"/>
    <s v="Demographics"/>
    <s v="SDG 11: Sustainable Cities and Communities"/>
    <n v="887498"/>
    <s v="People"/>
    <s v="Trinidad and Tobago|1962"/>
    <s v="Gapminder/Plotly country-year extract reshaped to long indicator format for education"/>
    <s v="OK"/>
    <s v="1960s"/>
    <s v="N/A"/>
    <s v="Demographics"/>
  </r>
  <r>
    <s v="GM-04653"/>
    <s v="Trinidad and Tobago"/>
    <x v="3"/>
    <x v="2"/>
    <x v="2"/>
    <s v="GDP per capita"/>
    <s v="Economy"/>
    <s v="SDG 8: Decent Work and Economic Growth"/>
    <n v="4997.5239709999996"/>
    <s v="Source-defined international dollars"/>
    <s v="Trinidad and Tobago|1962"/>
    <s v="Gapminder/Plotly country-year extract reshaped to long indicator format for education"/>
    <s v="OK"/>
    <s v="1960s"/>
    <s v="N/A"/>
    <s v="Economy"/>
  </r>
  <r>
    <s v="GM-04654"/>
    <s v="Trinidad and Tobago"/>
    <x v="3"/>
    <x v="3"/>
    <x v="0"/>
    <s v="Life expectancy at birth"/>
    <s v="Health"/>
    <s v="SDG 3: Good Health and Well-being"/>
    <n v="65.400000000000006"/>
    <s v="Years"/>
    <s v="Trinidad and Tobago|1967"/>
    <s v="Gapminder/Plotly country-year extract reshaped to long indicator format for education"/>
    <s v="OK"/>
    <s v="1960s"/>
    <s v="Medium"/>
    <s v="Health"/>
  </r>
  <r>
    <s v="GM-04655"/>
    <s v="Trinidad and Tobago"/>
    <x v="3"/>
    <x v="3"/>
    <x v="1"/>
    <s v="Population, total"/>
    <s v="Demographics"/>
    <s v="SDG 11: Sustainable Cities and Communities"/>
    <n v="960155"/>
    <s v="People"/>
    <s v="Trinidad and Tobago|1967"/>
    <s v="Gapminder/Plotly country-year extract reshaped to long indicator format for education"/>
    <s v="OK"/>
    <s v="1960s"/>
    <s v="N/A"/>
    <s v="Demographics"/>
  </r>
  <r>
    <s v="GM-04656"/>
    <s v="Trinidad and Tobago"/>
    <x v="3"/>
    <x v="3"/>
    <x v="2"/>
    <s v="GDP per capita"/>
    <s v="Economy"/>
    <s v="SDG 8: Decent Work and Economic Growth"/>
    <n v="5621.3684720000001"/>
    <s v="Source-defined international dollars"/>
    <s v="Trinidad and Tobago|1967"/>
    <s v="Gapminder/Plotly country-year extract reshaped to long indicator format for education"/>
    <s v="OK"/>
    <s v="1960s"/>
    <s v="N/A"/>
    <s v="Economy"/>
  </r>
  <r>
    <s v="GM-04657"/>
    <s v="Trinidad and Tobago"/>
    <x v="3"/>
    <x v="4"/>
    <x v="0"/>
    <s v="Life expectancy at birth"/>
    <s v="Health"/>
    <s v="SDG 3: Good Health and Well-being"/>
    <n v="65.900000000000006"/>
    <s v="Years"/>
    <s v="Trinidad and Tobago|1972"/>
    <s v="Gapminder/Plotly country-year extract reshaped to long indicator format for education"/>
    <s v="OK"/>
    <s v="1970s"/>
    <s v="Medium"/>
    <s v="Health"/>
  </r>
  <r>
    <s v="GM-04658"/>
    <s v="Trinidad and Tobago"/>
    <x v="3"/>
    <x v="4"/>
    <x v="1"/>
    <s v="Population, total"/>
    <s v="Demographics"/>
    <s v="SDG 11: Sustainable Cities and Communities"/>
    <n v="975199"/>
    <s v="People"/>
    <s v="Trinidad and Tobago|1972"/>
    <s v="Gapminder/Plotly country-year extract reshaped to long indicator format for education"/>
    <s v="OK"/>
    <s v="1970s"/>
    <s v="N/A"/>
    <s v="Demographics"/>
  </r>
  <r>
    <s v="GM-04659"/>
    <s v="Trinidad and Tobago"/>
    <x v="3"/>
    <x v="4"/>
    <x v="2"/>
    <s v="GDP per capita"/>
    <s v="Economy"/>
    <s v="SDG 8: Decent Work and Economic Growth"/>
    <n v="6619.5514189999903"/>
    <s v="Source-defined international dollars"/>
    <s v="Trinidad and Tobago|1972"/>
    <s v="Gapminder/Plotly country-year extract reshaped to long indicator format for education"/>
    <s v="OK"/>
    <s v="1970s"/>
    <s v="N/A"/>
    <s v="Economy"/>
  </r>
  <r>
    <s v="GM-04660"/>
    <s v="Trinidad and Tobago"/>
    <x v="3"/>
    <x v="5"/>
    <x v="0"/>
    <s v="Life expectancy at birth"/>
    <s v="Health"/>
    <s v="SDG 3: Good Health and Well-being"/>
    <n v="68.3"/>
    <s v="Years"/>
    <s v="Trinidad and Tobago|1977"/>
    <s v="Gapminder/Plotly country-year extract reshaped to long indicator format for education"/>
    <s v="OK"/>
    <s v="1970s"/>
    <s v="Medium"/>
    <s v="Health"/>
  </r>
  <r>
    <s v="GM-04661"/>
    <s v="Trinidad and Tobago"/>
    <x v="3"/>
    <x v="5"/>
    <x v="1"/>
    <s v="Population, total"/>
    <s v="Demographics"/>
    <s v="SDG 11: Sustainable Cities and Communities"/>
    <n v="1039009"/>
    <s v="People"/>
    <s v="Trinidad and Tobago|1977"/>
    <s v="Gapminder/Plotly country-year extract reshaped to long indicator format for education"/>
    <s v="OK"/>
    <s v="1970s"/>
    <s v="N/A"/>
    <s v="Demographics"/>
  </r>
  <r>
    <s v="GM-04662"/>
    <s v="Trinidad and Tobago"/>
    <x v="3"/>
    <x v="5"/>
    <x v="2"/>
    <s v="GDP per capita"/>
    <s v="Economy"/>
    <s v="SDG 8: Decent Work and Economic Growth"/>
    <n v="7899.5542089999999"/>
    <s v="Source-defined international dollars"/>
    <s v="Trinidad and Tobago|1977"/>
    <s v="Gapminder/Plotly country-year extract reshaped to long indicator format for education"/>
    <s v="OK"/>
    <s v="1970s"/>
    <s v="N/A"/>
    <s v="Economy"/>
  </r>
  <r>
    <s v="GM-04663"/>
    <s v="Trinidad and Tobago"/>
    <x v="3"/>
    <x v="6"/>
    <x v="0"/>
    <s v="Life expectancy at birth"/>
    <s v="Health"/>
    <s v="SDG 3: Good Health and Well-being"/>
    <n v="68.831999999999994"/>
    <s v="Years"/>
    <s v="Trinidad and Tobago|1982"/>
    <s v="Gapminder/Plotly country-year extract reshaped to long indicator format for education"/>
    <s v="OK"/>
    <s v="1980s"/>
    <s v="Medium"/>
    <s v="Health"/>
  </r>
  <r>
    <s v="GM-04664"/>
    <s v="Trinidad and Tobago"/>
    <x v="3"/>
    <x v="6"/>
    <x v="1"/>
    <s v="Population, total"/>
    <s v="Demographics"/>
    <s v="SDG 11: Sustainable Cities and Communities"/>
    <n v="1116479"/>
    <s v="People"/>
    <s v="Trinidad and Tobago|1982"/>
    <s v="Gapminder/Plotly country-year extract reshaped to long indicator format for education"/>
    <s v="OK"/>
    <s v="1980s"/>
    <s v="N/A"/>
    <s v="Demographics"/>
  </r>
  <r>
    <s v="GM-04665"/>
    <s v="Trinidad and Tobago"/>
    <x v="3"/>
    <x v="6"/>
    <x v="2"/>
    <s v="GDP per capita"/>
    <s v="Economy"/>
    <s v="SDG 8: Decent Work and Economic Growth"/>
    <n v="9119.5286070000002"/>
    <s v="Source-defined international dollars"/>
    <s v="Trinidad and Tobago|1982"/>
    <s v="Gapminder/Plotly country-year extract reshaped to long indicator format for education"/>
    <s v="OK"/>
    <s v="1980s"/>
    <s v="N/A"/>
    <s v="Economy"/>
  </r>
  <r>
    <s v="GM-04666"/>
    <s v="Trinidad and Tobago"/>
    <x v="3"/>
    <x v="7"/>
    <x v="0"/>
    <s v="Life expectancy at birth"/>
    <s v="Health"/>
    <s v="SDG 3: Good Health and Well-being"/>
    <n v="69.581999999999994"/>
    <s v="Years"/>
    <s v="Trinidad and Tobago|1987"/>
    <s v="Gapminder/Plotly country-year extract reshaped to long indicator format for education"/>
    <s v="OK"/>
    <s v="1980s"/>
    <s v="Medium"/>
    <s v="Health"/>
  </r>
  <r>
    <s v="GM-04667"/>
    <s v="Trinidad and Tobago"/>
    <x v="3"/>
    <x v="7"/>
    <x v="1"/>
    <s v="Population, total"/>
    <s v="Demographics"/>
    <s v="SDG 11: Sustainable Cities and Communities"/>
    <n v="1191336"/>
    <s v="People"/>
    <s v="Trinidad and Tobago|1987"/>
    <s v="Gapminder/Plotly country-year extract reshaped to long indicator format for education"/>
    <s v="OK"/>
    <s v="1980s"/>
    <s v="N/A"/>
    <s v="Demographics"/>
  </r>
  <r>
    <s v="GM-04668"/>
    <s v="Trinidad and Tobago"/>
    <x v="3"/>
    <x v="7"/>
    <x v="2"/>
    <s v="GDP per capita"/>
    <s v="Economy"/>
    <s v="SDG 8: Decent Work and Economic Growth"/>
    <n v="7388.5978230000001"/>
    <s v="Source-defined international dollars"/>
    <s v="Trinidad and Tobago|1987"/>
    <s v="Gapminder/Plotly country-year extract reshaped to long indicator format for education"/>
    <s v="OK"/>
    <s v="1980s"/>
    <s v="N/A"/>
    <s v="Economy"/>
  </r>
  <r>
    <s v="GM-04669"/>
    <s v="Trinidad and Tobago"/>
    <x v="3"/>
    <x v="8"/>
    <x v="0"/>
    <s v="Life expectancy at birth"/>
    <s v="Health"/>
    <s v="SDG 3: Good Health and Well-being"/>
    <n v="69.861999999999995"/>
    <s v="Years"/>
    <s v="Trinidad and Tobago|1992"/>
    <s v="Gapminder/Plotly country-year extract reshaped to long indicator format for education"/>
    <s v="OK"/>
    <s v="1990s"/>
    <s v="Medium"/>
    <s v="Health"/>
  </r>
  <r>
    <s v="GM-04670"/>
    <s v="Trinidad and Tobago"/>
    <x v="3"/>
    <x v="8"/>
    <x v="1"/>
    <s v="Population, total"/>
    <s v="Demographics"/>
    <s v="SDG 11: Sustainable Cities and Communities"/>
    <n v="1183669"/>
    <s v="People"/>
    <s v="Trinidad and Tobago|1992"/>
    <s v="Gapminder/Plotly country-year extract reshaped to long indicator format for education"/>
    <s v="OK"/>
    <s v="1990s"/>
    <s v="N/A"/>
    <s v="Demographics"/>
  </r>
  <r>
    <s v="GM-04671"/>
    <s v="Trinidad and Tobago"/>
    <x v="3"/>
    <x v="8"/>
    <x v="2"/>
    <s v="GDP per capita"/>
    <s v="Economy"/>
    <s v="SDG 8: Decent Work and Economic Growth"/>
    <n v="7370.9909319999997"/>
    <s v="Source-defined international dollars"/>
    <s v="Trinidad and Tobago|1992"/>
    <s v="Gapminder/Plotly country-year extract reshaped to long indicator format for education"/>
    <s v="OK"/>
    <s v="1990s"/>
    <s v="N/A"/>
    <s v="Economy"/>
  </r>
  <r>
    <s v="GM-04672"/>
    <s v="Trinidad and Tobago"/>
    <x v="3"/>
    <x v="9"/>
    <x v="0"/>
    <s v="Life expectancy at birth"/>
    <s v="Health"/>
    <s v="SDG 3: Good Health and Well-being"/>
    <n v="69.465000000000003"/>
    <s v="Years"/>
    <s v="Trinidad and Tobago|1997"/>
    <s v="Gapminder/Plotly country-year extract reshaped to long indicator format for education"/>
    <s v="OK"/>
    <s v="1990s"/>
    <s v="Medium"/>
    <s v="Health"/>
  </r>
  <r>
    <s v="GM-04673"/>
    <s v="Trinidad and Tobago"/>
    <x v="3"/>
    <x v="9"/>
    <x v="1"/>
    <s v="Population, total"/>
    <s v="Demographics"/>
    <s v="SDG 11: Sustainable Cities and Communities"/>
    <n v="1138101"/>
    <s v="People"/>
    <s v="Trinidad and Tobago|1997"/>
    <s v="Gapminder/Plotly country-year extract reshaped to long indicator format for education"/>
    <s v="OK"/>
    <s v="1990s"/>
    <s v="N/A"/>
    <s v="Demographics"/>
  </r>
  <r>
    <s v="GM-04674"/>
    <s v="Trinidad and Tobago"/>
    <x v="3"/>
    <x v="9"/>
    <x v="2"/>
    <s v="GDP per capita"/>
    <s v="Economy"/>
    <s v="SDG 8: Decent Work and Economic Growth"/>
    <n v="8792.5731259999993"/>
    <s v="Source-defined international dollars"/>
    <s v="Trinidad and Tobago|1997"/>
    <s v="Gapminder/Plotly country-year extract reshaped to long indicator format for education"/>
    <s v="OK"/>
    <s v="1990s"/>
    <s v="N/A"/>
    <s v="Economy"/>
  </r>
  <r>
    <s v="GM-04675"/>
    <s v="Trinidad and Tobago"/>
    <x v="3"/>
    <x v="10"/>
    <x v="0"/>
    <s v="Life expectancy at birth"/>
    <s v="Health"/>
    <s v="SDG 3: Good Health and Well-being"/>
    <n v="68.975999999999999"/>
    <s v="Years"/>
    <s v="Trinidad and Tobago|2002"/>
    <s v="Gapminder/Plotly country-year extract reshaped to long indicator format for education"/>
    <s v="OK"/>
    <s v="2000s"/>
    <s v="Medium"/>
    <s v="Health"/>
  </r>
  <r>
    <s v="GM-04676"/>
    <s v="Trinidad and Tobago"/>
    <x v="3"/>
    <x v="10"/>
    <x v="1"/>
    <s v="Population, total"/>
    <s v="Demographics"/>
    <s v="SDG 11: Sustainable Cities and Communities"/>
    <n v="1101832"/>
    <s v="People"/>
    <s v="Trinidad and Tobago|2002"/>
    <s v="Gapminder/Plotly country-year extract reshaped to long indicator format for education"/>
    <s v="OK"/>
    <s v="2000s"/>
    <s v="N/A"/>
    <s v="Demographics"/>
  </r>
  <r>
    <s v="GM-04677"/>
    <s v="Trinidad and Tobago"/>
    <x v="3"/>
    <x v="10"/>
    <x v="2"/>
    <s v="GDP per capita"/>
    <s v="Economy"/>
    <s v="SDG 8: Decent Work and Economic Growth"/>
    <n v="11460.60023"/>
    <s v="Source-defined international dollars"/>
    <s v="Trinidad and Tobago|2002"/>
    <s v="Gapminder/Plotly country-year extract reshaped to long indicator format for education"/>
    <s v="OK"/>
    <s v="2000s"/>
    <s v="N/A"/>
    <s v="Economy"/>
  </r>
  <r>
    <s v="GM-04678"/>
    <s v="Trinidad and Tobago"/>
    <x v="3"/>
    <x v="11"/>
    <x v="0"/>
    <s v="Life expectancy at birth"/>
    <s v="Health"/>
    <s v="SDG 3: Good Health and Well-being"/>
    <n v="69.819000000000003"/>
    <s v="Years"/>
    <s v="Trinidad and Tobago|2007"/>
    <s v="Gapminder/Plotly country-year extract reshaped to long indicator format for education"/>
    <s v="OK"/>
    <s v="2000s"/>
    <s v="Medium"/>
    <s v="Health"/>
  </r>
  <r>
    <s v="GM-04679"/>
    <s v="Trinidad and Tobago"/>
    <x v="3"/>
    <x v="11"/>
    <x v="1"/>
    <s v="Population, total"/>
    <s v="Demographics"/>
    <s v="SDG 11: Sustainable Cities and Communities"/>
    <n v="1056608"/>
    <s v="People"/>
    <s v="Trinidad and Tobago|2007"/>
    <s v="Gapminder/Plotly country-year extract reshaped to long indicator format for education"/>
    <s v="OK"/>
    <s v="2000s"/>
    <s v="N/A"/>
    <s v="Demographics"/>
  </r>
  <r>
    <s v="GM-04680"/>
    <s v="Trinidad and Tobago"/>
    <x v="3"/>
    <x v="11"/>
    <x v="2"/>
    <s v="GDP per capita"/>
    <s v="Economy"/>
    <s v="SDG 8: Decent Work and Economic Growth"/>
    <n v="18008.509239999999"/>
    <s v="Source-defined international dollars"/>
    <s v="Trinidad and Tobago|2007"/>
    <s v="Gapminder/Plotly country-year extract reshaped to long indicator format for education"/>
    <s v="OK"/>
    <s v="2000s"/>
    <s v="N/A"/>
    <s v="Economy"/>
  </r>
  <r>
    <s v="GM-04681"/>
    <s v="Tunisia"/>
    <x v="2"/>
    <x v="0"/>
    <x v="0"/>
    <s v="Life expectancy at birth"/>
    <s v="Health"/>
    <s v="SDG 3: Good Health and Well-being"/>
    <n v="44.6"/>
    <s v="Years"/>
    <s v="Tunisia|1952"/>
    <s v="Gapminder/Plotly country-year extract reshaped to long indicator format for education"/>
    <s v="OK"/>
    <s v="1950s"/>
    <s v="Low"/>
    <s v="Health"/>
  </r>
  <r>
    <s v="GM-04682"/>
    <s v="Tunisia"/>
    <x v="2"/>
    <x v="0"/>
    <x v="1"/>
    <s v="Population, total"/>
    <s v="Demographics"/>
    <s v="SDG 11: Sustainable Cities and Communities"/>
    <n v="3647735"/>
    <s v="People"/>
    <s v="Tunisia|1952"/>
    <s v="Gapminder/Plotly country-year extract reshaped to long indicator format for education"/>
    <s v="OK"/>
    <s v="1950s"/>
    <s v="N/A"/>
    <s v="Demographics"/>
  </r>
  <r>
    <s v="GM-04683"/>
    <s v="Tunisia"/>
    <x v="2"/>
    <x v="0"/>
    <x v="2"/>
    <s v="GDP per capita"/>
    <s v="Economy"/>
    <s v="SDG 8: Decent Work and Economic Growth"/>
    <n v="1468.475631"/>
    <s v="Source-defined international dollars"/>
    <s v="Tunisia|1952"/>
    <s v="Gapminder/Plotly country-year extract reshaped to long indicator format for education"/>
    <s v="OK"/>
    <s v="1950s"/>
    <s v="N/A"/>
    <s v="Economy"/>
  </r>
  <r>
    <s v="GM-04684"/>
    <s v="Tunisia"/>
    <x v="2"/>
    <x v="1"/>
    <x v="0"/>
    <s v="Life expectancy at birth"/>
    <s v="Health"/>
    <s v="SDG 3: Good Health and Well-being"/>
    <n v="47.1"/>
    <s v="Years"/>
    <s v="Tunisia|1957"/>
    <s v="Gapminder/Plotly country-year extract reshaped to long indicator format for education"/>
    <s v="OK"/>
    <s v="1950s"/>
    <s v="Low"/>
    <s v="Health"/>
  </r>
  <r>
    <s v="GM-04685"/>
    <s v="Tunisia"/>
    <x v="2"/>
    <x v="1"/>
    <x v="1"/>
    <s v="Population, total"/>
    <s v="Demographics"/>
    <s v="SDG 11: Sustainable Cities and Communities"/>
    <n v="3950849"/>
    <s v="People"/>
    <s v="Tunisia|1957"/>
    <s v="Gapminder/Plotly country-year extract reshaped to long indicator format for education"/>
    <s v="OK"/>
    <s v="1950s"/>
    <s v="N/A"/>
    <s v="Demographics"/>
  </r>
  <r>
    <s v="GM-04686"/>
    <s v="Tunisia"/>
    <x v="2"/>
    <x v="1"/>
    <x v="2"/>
    <s v="GDP per capita"/>
    <s v="Economy"/>
    <s v="SDG 8: Decent Work and Economic Growth"/>
    <n v="1395.2324679999999"/>
    <s v="Source-defined international dollars"/>
    <s v="Tunisia|1957"/>
    <s v="Gapminder/Plotly country-year extract reshaped to long indicator format for education"/>
    <s v="OK"/>
    <s v="1950s"/>
    <s v="N/A"/>
    <s v="Economy"/>
  </r>
  <r>
    <s v="GM-04687"/>
    <s v="Tunisia"/>
    <x v="2"/>
    <x v="2"/>
    <x v="0"/>
    <s v="Life expectancy at birth"/>
    <s v="Health"/>
    <s v="SDG 3: Good Health and Well-being"/>
    <n v="49.578999999999901"/>
    <s v="Years"/>
    <s v="Tunisia|1962"/>
    <s v="Gapminder/Plotly country-year extract reshaped to long indicator format for education"/>
    <s v="OK"/>
    <s v="1960s"/>
    <s v="Low"/>
    <s v="Health"/>
  </r>
  <r>
    <s v="GM-04688"/>
    <s v="Tunisia"/>
    <x v="2"/>
    <x v="2"/>
    <x v="1"/>
    <s v="Population, total"/>
    <s v="Demographics"/>
    <s v="SDG 11: Sustainable Cities and Communities"/>
    <n v="4286552"/>
    <s v="People"/>
    <s v="Tunisia|1962"/>
    <s v="Gapminder/Plotly country-year extract reshaped to long indicator format for education"/>
    <s v="OK"/>
    <s v="1960s"/>
    <s v="N/A"/>
    <s v="Demographics"/>
  </r>
  <r>
    <s v="GM-04689"/>
    <s v="Tunisia"/>
    <x v="2"/>
    <x v="2"/>
    <x v="2"/>
    <s v="GDP per capita"/>
    <s v="Economy"/>
    <s v="SDG 8: Decent Work and Economic Growth"/>
    <n v="1660.30321"/>
    <s v="Source-defined international dollars"/>
    <s v="Tunisia|1962"/>
    <s v="Gapminder/Plotly country-year extract reshaped to long indicator format for education"/>
    <s v="OK"/>
    <s v="1960s"/>
    <s v="N/A"/>
    <s v="Economy"/>
  </r>
  <r>
    <s v="GM-04690"/>
    <s v="Tunisia"/>
    <x v="2"/>
    <x v="3"/>
    <x v="0"/>
    <s v="Life expectancy at birth"/>
    <s v="Health"/>
    <s v="SDG 3: Good Health and Well-being"/>
    <n v="52.052999999999997"/>
    <s v="Years"/>
    <s v="Tunisia|1967"/>
    <s v="Gapminder/Plotly country-year extract reshaped to long indicator format for education"/>
    <s v="OK"/>
    <s v="1960s"/>
    <s v="Low"/>
    <s v="Health"/>
  </r>
  <r>
    <s v="GM-04691"/>
    <s v="Tunisia"/>
    <x v="2"/>
    <x v="3"/>
    <x v="1"/>
    <s v="Population, total"/>
    <s v="Demographics"/>
    <s v="SDG 11: Sustainable Cities and Communities"/>
    <n v="4786986"/>
    <s v="People"/>
    <s v="Tunisia|1967"/>
    <s v="Gapminder/Plotly country-year extract reshaped to long indicator format for education"/>
    <s v="OK"/>
    <s v="1960s"/>
    <s v="N/A"/>
    <s v="Demographics"/>
  </r>
  <r>
    <s v="GM-04692"/>
    <s v="Tunisia"/>
    <x v="2"/>
    <x v="3"/>
    <x v="2"/>
    <s v="GDP per capita"/>
    <s v="Economy"/>
    <s v="SDG 8: Decent Work and Economic Growth"/>
    <n v="1932.360167"/>
    <s v="Source-defined international dollars"/>
    <s v="Tunisia|1967"/>
    <s v="Gapminder/Plotly country-year extract reshaped to long indicator format for education"/>
    <s v="OK"/>
    <s v="1960s"/>
    <s v="N/A"/>
    <s v="Economy"/>
  </r>
  <r>
    <s v="GM-04693"/>
    <s v="Tunisia"/>
    <x v="2"/>
    <x v="4"/>
    <x v="0"/>
    <s v="Life expectancy at birth"/>
    <s v="Health"/>
    <s v="SDG 3: Good Health and Well-being"/>
    <n v="55.601999999999997"/>
    <s v="Years"/>
    <s v="Tunisia|1972"/>
    <s v="Gapminder/Plotly country-year extract reshaped to long indicator format for education"/>
    <s v="OK"/>
    <s v="1970s"/>
    <s v="Medium"/>
    <s v="Health"/>
  </r>
  <r>
    <s v="GM-04694"/>
    <s v="Tunisia"/>
    <x v="2"/>
    <x v="4"/>
    <x v="1"/>
    <s v="Population, total"/>
    <s v="Demographics"/>
    <s v="SDG 11: Sustainable Cities and Communities"/>
    <n v="5303507"/>
    <s v="People"/>
    <s v="Tunisia|1972"/>
    <s v="Gapminder/Plotly country-year extract reshaped to long indicator format for education"/>
    <s v="OK"/>
    <s v="1970s"/>
    <s v="N/A"/>
    <s v="Demographics"/>
  </r>
  <r>
    <s v="GM-04695"/>
    <s v="Tunisia"/>
    <x v="2"/>
    <x v="4"/>
    <x v="2"/>
    <s v="GDP per capita"/>
    <s v="Economy"/>
    <s v="SDG 8: Decent Work and Economic Growth"/>
    <n v="2753.2859939999998"/>
    <s v="Source-defined international dollars"/>
    <s v="Tunisia|1972"/>
    <s v="Gapminder/Plotly country-year extract reshaped to long indicator format for education"/>
    <s v="OK"/>
    <s v="1970s"/>
    <s v="N/A"/>
    <s v="Economy"/>
  </r>
  <r>
    <s v="GM-04696"/>
    <s v="Tunisia"/>
    <x v="2"/>
    <x v="5"/>
    <x v="0"/>
    <s v="Life expectancy at birth"/>
    <s v="Health"/>
    <s v="SDG 3: Good Health and Well-being"/>
    <n v="59.837000000000003"/>
    <s v="Years"/>
    <s v="Tunisia|1977"/>
    <s v="Gapminder/Plotly country-year extract reshaped to long indicator format for education"/>
    <s v="OK"/>
    <s v="1970s"/>
    <s v="Medium"/>
    <s v="Health"/>
  </r>
  <r>
    <s v="GM-04697"/>
    <s v="Tunisia"/>
    <x v="2"/>
    <x v="5"/>
    <x v="1"/>
    <s v="Population, total"/>
    <s v="Demographics"/>
    <s v="SDG 11: Sustainable Cities and Communities"/>
    <n v="6005061"/>
    <s v="People"/>
    <s v="Tunisia|1977"/>
    <s v="Gapminder/Plotly country-year extract reshaped to long indicator format for education"/>
    <s v="OK"/>
    <s v="1970s"/>
    <s v="N/A"/>
    <s v="Demographics"/>
  </r>
  <r>
    <s v="GM-04698"/>
    <s v="Tunisia"/>
    <x v="2"/>
    <x v="5"/>
    <x v="2"/>
    <s v="GDP per capita"/>
    <s v="Economy"/>
    <s v="SDG 8: Decent Work and Economic Growth"/>
    <n v="3120.8768110000001"/>
    <s v="Source-defined international dollars"/>
    <s v="Tunisia|1977"/>
    <s v="Gapminder/Plotly country-year extract reshaped to long indicator format for education"/>
    <s v="OK"/>
    <s v="1970s"/>
    <s v="N/A"/>
    <s v="Economy"/>
  </r>
  <r>
    <s v="GM-04699"/>
    <s v="Tunisia"/>
    <x v="2"/>
    <x v="6"/>
    <x v="0"/>
    <s v="Life expectancy at birth"/>
    <s v="Health"/>
    <s v="SDG 3: Good Health and Well-being"/>
    <n v="64.048000000000002"/>
    <s v="Years"/>
    <s v="Tunisia|1982"/>
    <s v="Gapminder/Plotly country-year extract reshaped to long indicator format for education"/>
    <s v="OK"/>
    <s v="1980s"/>
    <s v="Medium"/>
    <s v="Health"/>
  </r>
  <r>
    <s v="GM-04700"/>
    <s v="Tunisia"/>
    <x v="2"/>
    <x v="6"/>
    <x v="1"/>
    <s v="Population, total"/>
    <s v="Demographics"/>
    <s v="SDG 11: Sustainable Cities and Communities"/>
    <n v="6734098"/>
    <s v="People"/>
    <s v="Tunisia|1982"/>
    <s v="Gapminder/Plotly country-year extract reshaped to long indicator format for education"/>
    <s v="OK"/>
    <s v="1980s"/>
    <s v="N/A"/>
    <s v="Demographics"/>
  </r>
  <r>
    <s v="GM-04701"/>
    <s v="Tunisia"/>
    <x v="2"/>
    <x v="6"/>
    <x v="2"/>
    <s v="GDP per capita"/>
    <s v="Economy"/>
    <s v="SDG 8: Decent Work and Economic Growth"/>
    <n v="3560.233174"/>
    <s v="Source-defined international dollars"/>
    <s v="Tunisia|1982"/>
    <s v="Gapminder/Plotly country-year extract reshaped to long indicator format for education"/>
    <s v="OK"/>
    <s v="1980s"/>
    <s v="N/A"/>
    <s v="Economy"/>
  </r>
  <r>
    <s v="GM-04702"/>
    <s v="Tunisia"/>
    <x v="2"/>
    <x v="7"/>
    <x v="0"/>
    <s v="Life expectancy at birth"/>
    <s v="Health"/>
    <s v="SDG 3: Good Health and Well-being"/>
    <n v="66.893999999999906"/>
    <s v="Years"/>
    <s v="Tunisia|1987"/>
    <s v="Gapminder/Plotly country-year extract reshaped to long indicator format for education"/>
    <s v="OK"/>
    <s v="1980s"/>
    <s v="Medium"/>
    <s v="Health"/>
  </r>
  <r>
    <s v="GM-04703"/>
    <s v="Tunisia"/>
    <x v="2"/>
    <x v="7"/>
    <x v="1"/>
    <s v="Population, total"/>
    <s v="Demographics"/>
    <s v="SDG 11: Sustainable Cities and Communities"/>
    <n v="7724976"/>
    <s v="People"/>
    <s v="Tunisia|1987"/>
    <s v="Gapminder/Plotly country-year extract reshaped to long indicator format for education"/>
    <s v="OK"/>
    <s v="1980s"/>
    <s v="N/A"/>
    <s v="Demographics"/>
  </r>
  <r>
    <s v="GM-04704"/>
    <s v="Tunisia"/>
    <x v="2"/>
    <x v="7"/>
    <x v="2"/>
    <s v="GDP per capita"/>
    <s v="Economy"/>
    <s v="SDG 8: Decent Work and Economic Growth"/>
    <n v="3810.419296"/>
    <s v="Source-defined international dollars"/>
    <s v="Tunisia|1987"/>
    <s v="Gapminder/Plotly country-year extract reshaped to long indicator format for education"/>
    <s v="OK"/>
    <s v="1980s"/>
    <s v="N/A"/>
    <s v="Economy"/>
  </r>
  <r>
    <s v="GM-04705"/>
    <s v="Tunisia"/>
    <x v="2"/>
    <x v="8"/>
    <x v="0"/>
    <s v="Life expectancy at birth"/>
    <s v="Health"/>
    <s v="SDG 3: Good Health and Well-being"/>
    <n v="70.001000000000005"/>
    <s v="Years"/>
    <s v="Tunisia|1992"/>
    <s v="Gapminder/Plotly country-year extract reshaped to long indicator format for education"/>
    <s v="OK"/>
    <s v="1990s"/>
    <s v="High"/>
    <s v="Health"/>
  </r>
  <r>
    <s v="GM-04706"/>
    <s v="Tunisia"/>
    <x v="2"/>
    <x v="8"/>
    <x v="1"/>
    <s v="Population, total"/>
    <s v="Demographics"/>
    <s v="SDG 11: Sustainable Cities and Communities"/>
    <n v="8523077"/>
    <s v="People"/>
    <s v="Tunisia|1992"/>
    <s v="Gapminder/Plotly country-year extract reshaped to long indicator format for education"/>
    <s v="OK"/>
    <s v="1990s"/>
    <s v="N/A"/>
    <s v="Demographics"/>
  </r>
  <r>
    <s v="GM-04707"/>
    <s v="Tunisia"/>
    <x v="2"/>
    <x v="8"/>
    <x v="2"/>
    <s v="GDP per capita"/>
    <s v="Economy"/>
    <s v="SDG 8: Decent Work and Economic Growth"/>
    <n v="4332.7201640000003"/>
    <s v="Source-defined international dollars"/>
    <s v="Tunisia|1992"/>
    <s v="Gapminder/Plotly country-year extract reshaped to long indicator format for education"/>
    <s v="OK"/>
    <s v="1990s"/>
    <s v="N/A"/>
    <s v="Economy"/>
  </r>
  <r>
    <s v="GM-04708"/>
    <s v="Tunisia"/>
    <x v="2"/>
    <x v="9"/>
    <x v="0"/>
    <s v="Life expectancy at birth"/>
    <s v="Health"/>
    <s v="SDG 3: Good Health and Well-being"/>
    <n v="71.972999999999999"/>
    <s v="Years"/>
    <s v="Tunisia|1997"/>
    <s v="Gapminder/Plotly country-year extract reshaped to long indicator format for education"/>
    <s v="OK"/>
    <s v="1990s"/>
    <s v="High"/>
    <s v="Health"/>
  </r>
  <r>
    <s v="GM-04709"/>
    <s v="Tunisia"/>
    <x v="2"/>
    <x v="9"/>
    <x v="1"/>
    <s v="Population, total"/>
    <s v="Demographics"/>
    <s v="SDG 11: Sustainable Cities and Communities"/>
    <n v="9231669"/>
    <s v="People"/>
    <s v="Tunisia|1997"/>
    <s v="Gapminder/Plotly country-year extract reshaped to long indicator format for education"/>
    <s v="OK"/>
    <s v="1990s"/>
    <s v="N/A"/>
    <s v="Demographics"/>
  </r>
  <r>
    <s v="GM-04710"/>
    <s v="Tunisia"/>
    <x v="2"/>
    <x v="9"/>
    <x v="2"/>
    <s v="GDP per capita"/>
    <s v="Economy"/>
    <s v="SDG 8: Decent Work and Economic Growth"/>
    <n v="4876.7986140000003"/>
    <s v="Source-defined international dollars"/>
    <s v="Tunisia|1997"/>
    <s v="Gapminder/Plotly country-year extract reshaped to long indicator format for education"/>
    <s v="OK"/>
    <s v="1990s"/>
    <s v="N/A"/>
    <s v="Economy"/>
  </r>
  <r>
    <s v="GM-04711"/>
    <s v="Tunisia"/>
    <x v="2"/>
    <x v="10"/>
    <x v="0"/>
    <s v="Life expectancy at birth"/>
    <s v="Health"/>
    <s v="SDG 3: Good Health and Well-being"/>
    <n v="73.042000000000002"/>
    <s v="Years"/>
    <s v="Tunisia|2002"/>
    <s v="Gapminder/Plotly country-year extract reshaped to long indicator format for education"/>
    <s v="OK"/>
    <s v="2000s"/>
    <s v="High"/>
    <s v="Health"/>
  </r>
  <r>
    <s v="GM-04712"/>
    <s v="Tunisia"/>
    <x v="2"/>
    <x v="10"/>
    <x v="1"/>
    <s v="Population, total"/>
    <s v="Demographics"/>
    <s v="SDG 11: Sustainable Cities and Communities"/>
    <n v="9770575"/>
    <s v="People"/>
    <s v="Tunisia|2002"/>
    <s v="Gapminder/Plotly country-year extract reshaped to long indicator format for education"/>
    <s v="OK"/>
    <s v="2000s"/>
    <s v="N/A"/>
    <s v="Demographics"/>
  </r>
  <r>
    <s v="GM-04713"/>
    <s v="Tunisia"/>
    <x v="2"/>
    <x v="10"/>
    <x v="2"/>
    <s v="GDP per capita"/>
    <s v="Economy"/>
    <s v="SDG 8: Decent Work and Economic Growth"/>
    <n v="5722.8956549999903"/>
    <s v="Source-defined international dollars"/>
    <s v="Tunisia|2002"/>
    <s v="Gapminder/Plotly country-year extract reshaped to long indicator format for education"/>
    <s v="OK"/>
    <s v="2000s"/>
    <s v="N/A"/>
    <s v="Economy"/>
  </r>
  <r>
    <s v="GM-04714"/>
    <s v="Tunisia"/>
    <x v="2"/>
    <x v="11"/>
    <x v="0"/>
    <s v="Life expectancy at birth"/>
    <s v="Health"/>
    <s v="SDG 3: Good Health and Well-being"/>
    <n v="73.923000000000002"/>
    <s v="Years"/>
    <s v="Tunisia|2007"/>
    <s v="Gapminder/Plotly country-year extract reshaped to long indicator format for education"/>
    <s v="OK"/>
    <s v="2000s"/>
    <s v="High"/>
    <s v="Health"/>
  </r>
  <r>
    <s v="GM-04715"/>
    <s v="Tunisia"/>
    <x v="2"/>
    <x v="11"/>
    <x v="1"/>
    <s v="Population, total"/>
    <s v="Demographics"/>
    <s v="SDG 11: Sustainable Cities and Communities"/>
    <n v="10276158"/>
    <s v="People"/>
    <s v="Tunisia|2007"/>
    <s v="Gapminder/Plotly country-year extract reshaped to long indicator format for education"/>
    <s v="OK"/>
    <s v="2000s"/>
    <s v="N/A"/>
    <s v="Demographics"/>
  </r>
  <r>
    <s v="GM-04716"/>
    <s v="Tunisia"/>
    <x v="2"/>
    <x v="11"/>
    <x v="2"/>
    <s v="GDP per capita"/>
    <s v="Economy"/>
    <s v="SDG 8: Decent Work and Economic Growth"/>
    <n v="7092.9230250000001"/>
    <s v="Source-defined international dollars"/>
    <s v="Tunisia|2007"/>
    <s v="Gapminder/Plotly country-year extract reshaped to long indicator format for education"/>
    <s v="OK"/>
    <s v="2000s"/>
    <s v="N/A"/>
    <s v="Economy"/>
  </r>
  <r>
    <s v="GM-04717"/>
    <s v="Turkey"/>
    <x v="1"/>
    <x v="0"/>
    <x v="0"/>
    <s v="Life expectancy at birth"/>
    <s v="Health"/>
    <s v="SDG 3: Good Health and Well-being"/>
    <n v="43.585000000000001"/>
    <s v="Years"/>
    <s v="Turkey|1952"/>
    <s v="Gapminder/Plotly country-year extract reshaped to long indicator format for education"/>
    <s v="OK"/>
    <s v="1950s"/>
    <s v="Low"/>
    <s v="Health"/>
  </r>
  <r>
    <s v="GM-04718"/>
    <s v="Turkey"/>
    <x v="1"/>
    <x v="0"/>
    <x v="1"/>
    <s v="Population, total"/>
    <s v="Demographics"/>
    <s v="SDG 11: Sustainable Cities and Communities"/>
    <n v="22235677"/>
    <s v="People"/>
    <s v="Turkey|1952"/>
    <s v="Gapminder/Plotly country-year extract reshaped to long indicator format for education"/>
    <s v="OK"/>
    <s v="1950s"/>
    <s v="N/A"/>
    <s v="Demographics"/>
  </r>
  <r>
    <s v="GM-04719"/>
    <s v="Turkey"/>
    <x v="1"/>
    <x v="0"/>
    <x v="2"/>
    <s v="GDP per capita"/>
    <s v="Economy"/>
    <s v="SDG 8: Decent Work and Economic Growth"/>
    <n v="1969.1009799999999"/>
    <s v="Source-defined international dollars"/>
    <s v="Turkey|1952"/>
    <s v="Gapminder/Plotly country-year extract reshaped to long indicator format for education"/>
    <s v="OK"/>
    <s v="1950s"/>
    <s v="N/A"/>
    <s v="Economy"/>
  </r>
  <r>
    <s v="GM-04720"/>
    <s v="Turkey"/>
    <x v="1"/>
    <x v="1"/>
    <x v="0"/>
    <s v="Life expectancy at birth"/>
    <s v="Health"/>
    <s v="SDG 3: Good Health and Well-being"/>
    <n v="48.078999999999901"/>
    <s v="Years"/>
    <s v="Turkey|1957"/>
    <s v="Gapminder/Plotly country-year extract reshaped to long indicator format for education"/>
    <s v="OK"/>
    <s v="1950s"/>
    <s v="Low"/>
    <s v="Health"/>
  </r>
  <r>
    <s v="GM-04721"/>
    <s v="Turkey"/>
    <x v="1"/>
    <x v="1"/>
    <x v="1"/>
    <s v="Population, total"/>
    <s v="Demographics"/>
    <s v="SDG 11: Sustainable Cities and Communities"/>
    <n v="25670939"/>
    <s v="People"/>
    <s v="Turkey|1957"/>
    <s v="Gapminder/Plotly country-year extract reshaped to long indicator format for education"/>
    <s v="OK"/>
    <s v="1950s"/>
    <s v="N/A"/>
    <s v="Demographics"/>
  </r>
  <r>
    <s v="GM-04722"/>
    <s v="Turkey"/>
    <x v="1"/>
    <x v="1"/>
    <x v="2"/>
    <s v="GDP per capita"/>
    <s v="Economy"/>
    <s v="SDG 8: Decent Work and Economic Growth"/>
    <n v="2218.7542570000001"/>
    <s v="Source-defined international dollars"/>
    <s v="Turkey|1957"/>
    <s v="Gapminder/Plotly country-year extract reshaped to long indicator format for education"/>
    <s v="OK"/>
    <s v="1950s"/>
    <s v="N/A"/>
    <s v="Economy"/>
  </r>
  <r>
    <s v="GM-04723"/>
    <s v="Turkey"/>
    <x v="1"/>
    <x v="2"/>
    <x v="0"/>
    <s v="Life expectancy at birth"/>
    <s v="Health"/>
    <s v="SDG 3: Good Health and Well-being"/>
    <n v="52.097999999999999"/>
    <s v="Years"/>
    <s v="Turkey|1962"/>
    <s v="Gapminder/Plotly country-year extract reshaped to long indicator format for education"/>
    <s v="OK"/>
    <s v="1960s"/>
    <s v="Low"/>
    <s v="Health"/>
  </r>
  <r>
    <s v="GM-04724"/>
    <s v="Turkey"/>
    <x v="1"/>
    <x v="2"/>
    <x v="1"/>
    <s v="Population, total"/>
    <s v="Demographics"/>
    <s v="SDG 11: Sustainable Cities and Communities"/>
    <n v="29788695"/>
    <s v="People"/>
    <s v="Turkey|1962"/>
    <s v="Gapminder/Plotly country-year extract reshaped to long indicator format for education"/>
    <s v="OK"/>
    <s v="1960s"/>
    <s v="N/A"/>
    <s v="Demographics"/>
  </r>
  <r>
    <s v="GM-04725"/>
    <s v="Turkey"/>
    <x v="1"/>
    <x v="2"/>
    <x v="2"/>
    <s v="GDP per capita"/>
    <s v="Economy"/>
    <s v="SDG 8: Decent Work and Economic Growth"/>
    <n v="2322.8699080000001"/>
    <s v="Source-defined international dollars"/>
    <s v="Turkey|1962"/>
    <s v="Gapminder/Plotly country-year extract reshaped to long indicator format for education"/>
    <s v="OK"/>
    <s v="1960s"/>
    <s v="N/A"/>
    <s v="Economy"/>
  </r>
  <r>
    <s v="GM-04726"/>
    <s v="Turkey"/>
    <x v="1"/>
    <x v="3"/>
    <x v="0"/>
    <s v="Life expectancy at birth"/>
    <s v="Health"/>
    <s v="SDG 3: Good Health and Well-being"/>
    <n v="54.335999999999999"/>
    <s v="Years"/>
    <s v="Turkey|1967"/>
    <s v="Gapminder/Plotly country-year extract reshaped to long indicator format for education"/>
    <s v="OK"/>
    <s v="1960s"/>
    <s v="Low"/>
    <s v="Health"/>
  </r>
  <r>
    <s v="GM-04727"/>
    <s v="Turkey"/>
    <x v="1"/>
    <x v="3"/>
    <x v="1"/>
    <s v="Population, total"/>
    <s v="Demographics"/>
    <s v="SDG 11: Sustainable Cities and Communities"/>
    <n v="33411317"/>
    <s v="People"/>
    <s v="Turkey|1967"/>
    <s v="Gapminder/Plotly country-year extract reshaped to long indicator format for education"/>
    <s v="OK"/>
    <s v="1960s"/>
    <s v="N/A"/>
    <s v="Demographics"/>
  </r>
  <r>
    <s v="GM-04728"/>
    <s v="Turkey"/>
    <x v="1"/>
    <x v="3"/>
    <x v="2"/>
    <s v="GDP per capita"/>
    <s v="Economy"/>
    <s v="SDG 8: Decent Work and Economic Growth"/>
    <n v="2826.3563869999998"/>
    <s v="Source-defined international dollars"/>
    <s v="Turkey|1967"/>
    <s v="Gapminder/Plotly country-year extract reshaped to long indicator format for education"/>
    <s v="OK"/>
    <s v="1960s"/>
    <s v="N/A"/>
    <s v="Economy"/>
  </r>
  <r>
    <s v="GM-04729"/>
    <s v="Turkey"/>
    <x v="1"/>
    <x v="4"/>
    <x v="0"/>
    <s v="Life expectancy at birth"/>
    <s v="Health"/>
    <s v="SDG 3: Good Health and Well-being"/>
    <n v="57.005000000000003"/>
    <s v="Years"/>
    <s v="Turkey|1972"/>
    <s v="Gapminder/Plotly country-year extract reshaped to long indicator format for education"/>
    <s v="OK"/>
    <s v="1970s"/>
    <s v="Medium"/>
    <s v="Health"/>
  </r>
  <r>
    <s v="GM-04730"/>
    <s v="Turkey"/>
    <x v="1"/>
    <x v="4"/>
    <x v="1"/>
    <s v="Population, total"/>
    <s v="Demographics"/>
    <s v="SDG 11: Sustainable Cities and Communities"/>
    <n v="37492953"/>
    <s v="People"/>
    <s v="Turkey|1972"/>
    <s v="Gapminder/Plotly country-year extract reshaped to long indicator format for education"/>
    <s v="OK"/>
    <s v="1970s"/>
    <s v="N/A"/>
    <s v="Demographics"/>
  </r>
  <r>
    <s v="GM-04731"/>
    <s v="Turkey"/>
    <x v="1"/>
    <x v="4"/>
    <x v="2"/>
    <s v="GDP per capita"/>
    <s v="Economy"/>
    <s v="SDG 8: Decent Work and Economic Growth"/>
    <n v="3450.6963799999999"/>
    <s v="Source-defined international dollars"/>
    <s v="Turkey|1972"/>
    <s v="Gapminder/Plotly country-year extract reshaped to long indicator format for education"/>
    <s v="OK"/>
    <s v="1970s"/>
    <s v="N/A"/>
    <s v="Economy"/>
  </r>
  <r>
    <s v="GM-04732"/>
    <s v="Turkey"/>
    <x v="1"/>
    <x v="5"/>
    <x v="0"/>
    <s v="Life expectancy at birth"/>
    <s v="Health"/>
    <s v="SDG 3: Good Health and Well-being"/>
    <n v="59.506999999999998"/>
    <s v="Years"/>
    <s v="Turkey|1977"/>
    <s v="Gapminder/Plotly country-year extract reshaped to long indicator format for education"/>
    <s v="OK"/>
    <s v="1970s"/>
    <s v="Medium"/>
    <s v="Health"/>
  </r>
  <r>
    <s v="GM-04733"/>
    <s v="Turkey"/>
    <x v="1"/>
    <x v="5"/>
    <x v="1"/>
    <s v="Population, total"/>
    <s v="Demographics"/>
    <s v="SDG 11: Sustainable Cities and Communities"/>
    <n v="42404033"/>
    <s v="People"/>
    <s v="Turkey|1977"/>
    <s v="Gapminder/Plotly country-year extract reshaped to long indicator format for education"/>
    <s v="OK"/>
    <s v="1970s"/>
    <s v="N/A"/>
    <s v="Demographics"/>
  </r>
  <r>
    <s v="GM-04734"/>
    <s v="Turkey"/>
    <x v="1"/>
    <x v="5"/>
    <x v="2"/>
    <s v="GDP per capita"/>
    <s v="Economy"/>
    <s v="SDG 8: Decent Work and Economic Growth"/>
    <n v="4269.1223259999997"/>
    <s v="Source-defined international dollars"/>
    <s v="Turkey|1977"/>
    <s v="Gapminder/Plotly country-year extract reshaped to long indicator format for education"/>
    <s v="OK"/>
    <s v="1970s"/>
    <s v="N/A"/>
    <s v="Economy"/>
  </r>
  <r>
    <s v="GM-04735"/>
    <s v="Turkey"/>
    <x v="1"/>
    <x v="6"/>
    <x v="0"/>
    <s v="Life expectancy at birth"/>
    <s v="Health"/>
    <s v="SDG 3: Good Health and Well-being"/>
    <n v="61.036000000000001"/>
    <s v="Years"/>
    <s v="Turkey|1982"/>
    <s v="Gapminder/Plotly country-year extract reshaped to long indicator format for education"/>
    <s v="OK"/>
    <s v="1980s"/>
    <s v="Medium"/>
    <s v="Health"/>
  </r>
  <r>
    <s v="GM-04736"/>
    <s v="Turkey"/>
    <x v="1"/>
    <x v="6"/>
    <x v="1"/>
    <s v="Population, total"/>
    <s v="Demographics"/>
    <s v="SDG 11: Sustainable Cities and Communities"/>
    <n v="47328791"/>
    <s v="People"/>
    <s v="Turkey|1982"/>
    <s v="Gapminder/Plotly country-year extract reshaped to long indicator format for education"/>
    <s v="OK"/>
    <s v="1980s"/>
    <s v="N/A"/>
    <s v="Demographics"/>
  </r>
  <r>
    <s v="GM-04737"/>
    <s v="Turkey"/>
    <x v="1"/>
    <x v="6"/>
    <x v="2"/>
    <s v="GDP per capita"/>
    <s v="Economy"/>
    <s v="SDG 8: Decent Work and Economic Growth"/>
    <n v="4241.3563439999998"/>
    <s v="Source-defined international dollars"/>
    <s v="Turkey|1982"/>
    <s v="Gapminder/Plotly country-year extract reshaped to long indicator format for education"/>
    <s v="OK"/>
    <s v="1980s"/>
    <s v="N/A"/>
    <s v="Economy"/>
  </r>
  <r>
    <s v="GM-04738"/>
    <s v="Turkey"/>
    <x v="1"/>
    <x v="7"/>
    <x v="0"/>
    <s v="Life expectancy at birth"/>
    <s v="Health"/>
    <s v="SDG 3: Good Health and Well-being"/>
    <n v="63.107999999999997"/>
    <s v="Years"/>
    <s v="Turkey|1987"/>
    <s v="Gapminder/Plotly country-year extract reshaped to long indicator format for education"/>
    <s v="OK"/>
    <s v="1980s"/>
    <s v="Medium"/>
    <s v="Health"/>
  </r>
  <r>
    <s v="GM-04739"/>
    <s v="Turkey"/>
    <x v="1"/>
    <x v="7"/>
    <x v="1"/>
    <s v="Population, total"/>
    <s v="Demographics"/>
    <s v="SDG 11: Sustainable Cities and Communities"/>
    <n v="52881328"/>
    <s v="People"/>
    <s v="Turkey|1987"/>
    <s v="Gapminder/Plotly country-year extract reshaped to long indicator format for education"/>
    <s v="OK"/>
    <s v="1980s"/>
    <s v="N/A"/>
    <s v="Demographics"/>
  </r>
  <r>
    <s v="GM-04740"/>
    <s v="Turkey"/>
    <x v="1"/>
    <x v="7"/>
    <x v="2"/>
    <s v="GDP per capita"/>
    <s v="Economy"/>
    <s v="SDG 8: Decent Work and Economic Growth"/>
    <n v="5089.043686"/>
    <s v="Source-defined international dollars"/>
    <s v="Turkey|1987"/>
    <s v="Gapminder/Plotly country-year extract reshaped to long indicator format for education"/>
    <s v="OK"/>
    <s v="1980s"/>
    <s v="N/A"/>
    <s v="Economy"/>
  </r>
  <r>
    <s v="GM-04741"/>
    <s v="Turkey"/>
    <x v="1"/>
    <x v="8"/>
    <x v="0"/>
    <s v="Life expectancy at birth"/>
    <s v="Health"/>
    <s v="SDG 3: Good Health and Well-being"/>
    <n v="66.146000000000001"/>
    <s v="Years"/>
    <s v="Turkey|1992"/>
    <s v="Gapminder/Plotly country-year extract reshaped to long indicator format for education"/>
    <s v="OK"/>
    <s v="1990s"/>
    <s v="Medium"/>
    <s v="Health"/>
  </r>
  <r>
    <s v="GM-04742"/>
    <s v="Turkey"/>
    <x v="1"/>
    <x v="8"/>
    <x v="1"/>
    <s v="Population, total"/>
    <s v="Demographics"/>
    <s v="SDG 11: Sustainable Cities and Communities"/>
    <n v="58179144"/>
    <s v="People"/>
    <s v="Turkey|1992"/>
    <s v="Gapminder/Plotly country-year extract reshaped to long indicator format for education"/>
    <s v="OK"/>
    <s v="1990s"/>
    <s v="N/A"/>
    <s v="Demographics"/>
  </r>
  <r>
    <s v="GM-04743"/>
    <s v="Turkey"/>
    <x v="1"/>
    <x v="8"/>
    <x v="2"/>
    <s v="GDP per capita"/>
    <s v="Economy"/>
    <s v="SDG 8: Decent Work and Economic Growth"/>
    <n v="5678.3482709999998"/>
    <s v="Source-defined international dollars"/>
    <s v="Turkey|1992"/>
    <s v="Gapminder/Plotly country-year extract reshaped to long indicator format for education"/>
    <s v="OK"/>
    <s v="1990s"/>
    <s v="N/A"/>
    <s v="Economy"/>
  </r>
  <r>
    <s v="GM-04744"/>
    <s v="Turkey"/>
    <x v="1"/>
    <x v="9"/>
    <x v="0"/>
    <s v="Life expectancy at birth"/>
    <s v="Health"/>
    <s v="SDG 3: Good Health and Well-being"/>
    <n v="68.834999999999994"/>
    <s v="Years"/>
    <s v="Turkey|1997"/>
    <s v="Gapminder/Plotly country-year extract reshaped to long indicator format for education"/>
    <s v="OK"/>
    <s v="1990s"/>
    <s v="Medium"/>
    <s v="Health"/>
  </r>
  <r>
    <s v="GM-04745"/>
    <s v="Turkey"/>
    <x v="1"/>
    <x v="9"/>
    <x v="1"/>
    <s v="Population, total"/>
    <s v="Demographics"/>
    <s v="SDG 11: Sustainable Cities and Communities"/>
    <n v="63047647"/>
    <s v="People"/>
    <s v="Turkey|1997"/>
    <s v="Gapminder/Plotly country-year extract reshaped to long indicator format for education"/>
    <s v="OK"/>
    <s v="1990s"/>
    <s v="N/A"/>
    <s v="Demographics"/>
  </r>
  <r>
    <s v="GM-04746"/>
    <s v="Turkey"/>
    <x v="1"/>
    <x v="9"/>
    <x v="2"/>
    <s v="GDP per capita"/>
    <s v="Economy"/>
    <s v="SDG 8: Decent Work and Economic Growth"/>
    <n v="6601.4299149999997"/>
    <s v="Source-defined international dollars"/>
    <s v="Turkey|1997"/>
    <s v="Gapminder/Plotly country-year extract reshaped to long indicator format for education"/>
    <s v="OK"/>
    <s v="1990s"/>
    <s v="N/A"/>
    <s v="Economy"/>
  </r>
  <r>
    <s v="GM-04747"/>
    <s v="Turkey"/>
    <x v="1"/>
    <x v="10"/>
    <x v="0"/>
    <s v="Life expectancy at birth"/>
    <s v="Health"/>
    <s v="SDG 3: Good Health and Well-being"/>
    <n v="70.844999999999999"/>
    <s v="Years"/>
    <s v="Turkey|2002"/>
    <s v="Gapminder/Plotly country-year extract reshaped to long indicator format for education"/>
    <s v="OK"/>
    <s v="2000s"/>
    <s v="High"/>
    <s v="Health"/>
  </r>
  <r>
    <s v="GM-04748"/>
    <s v="Turkey"/>
    <x v="1"/>
    <x v="10"/>
    <x v="1"/>
    <s v="Population, total"/>
    <s v="Demographics"/>
    <s v="SDG 11: Sustainable Cities and Communities"/>
    <n v="67308928"/>
    <s v="People"/>
    <s v="Turkey|2002"/>
    <s v="Gapminder/Plotly country-year extract reshaped to long indicator format for education"/>
    <s v="OK"/>
    <s v="2000s"/>
    <s v="N/A"/>
    <s v="Demographics"/>
  </r>
  <r>
    <s v="GM-04749"/>
    <s v="Turkey"/>
    <x v="1"/>
    <x v="10"/>
    <x v="2"/>
    <s v="GDP per capita"/>
    <s v="Economy"/>
    <s v="SDG 8: Decent Work and Economic Growth"/>
    <n v="6508.0857180000003"/>
    <s v="Source-defined international dollars"/>
    <s v="Turkey|2002"/>
    <s v="Gapminder/Plotly country-year extract reshaped to long indicator format for education"/>
    <s v="OK"/>
    <s v="2000s"/>
    <s v="N/A"/>
    <s v="Economy"/>
  </r>
  <r>
    <s v="GM-04750"/>
    <s v="Turkey"/>
    <x v="1"/>
    <x v="11"/>
    <x v="0"/>
    <s v="Life expectancy at birth"/>
    <s v="Health"/>
    <s v="SDG 3: Good Health and Well-being"/>
    <n v="71.777000000000001"/>
    <s v="Years"/>
    <s v="Turkey|2007"/>
    <s v="Gapminder/Plotly country-year extract reshaped to long indicator format for education"/>
    <s v="OK"/>
    <s v="2000s"/>
    <s v="High"/>
    <s v="Health"/>
  </r>
  <r>
    <s v="GM-04751"/>
    <s v="Turkey"/>
    <x v="1"/>
    <x v="11"/>
    <x v="1"/>
    <s v="Population, total"/>
    <s v="Demographics"/>
    <s v="SDG 11: Sustainable Cities and Communities"/>
    <n v="71158647"/>
    <s v="People"/>
    <s v="Turkey|2007"/>
    <s v="Gapminder/Plotly country-year extract reshaped to long indicator format for education"/>
    <s v="OK"/>
    <s v="2000s"/>
    <s v="N/A"/>
    <s v="Demographics"/>
  </r>
  <r>
    <s v="GM-04752"/>
    <s v="Turkey"/>
    <x v="1"/>
    <x v="11"/>
    <x v="2"/>
    <s v="GDP per capita"/>
    <s v="Economy"/>
    <s v="SDG 8: Decent Work and Economic Growth"/>
    <n v="8458.2763840000007"/>
    <s v="Source-defined international dollars"/>
    <s v="Turkey|2007"/>
    <s v="Gapminder/Plotly country-year extract reshaped to long indicator format for education"/>
    <s v="OK"/>
    <s v="2000s"/>
    <s v="N/A"/>
    <s v="Economy"/>
  </r>
  <r>
    <s v="GM-04753"/>
    <s v="Uganda"/>
    <x v="2"/>
    <x v="0"/>
    <x v="0"/>
    <s v="Life expectancy at birth"/>
    <s v="Health"/>
    <s v="SDG 3: Good Health and Well-being"/>
    <n v="39.978000000000002"/>
    <s v="Years"/>
    <s v="Uganda|1952"/>
    <s v="Gapminder/Plotly country-year extract reshaped to long indicator format for education"/>
    <s v="OK"/>
    <s v="1950s"/>
    <s v="Low"/>
    <s v="Health"/>
  </r>
  <r>
    <s v="GM-04754"/>
    <s v="Uganda"/>
    <x v="2"/>
    <x v="0"/>
    <x v="1"/>
    <s v="Population, total"/>
    <s v="Demographics"/>
    <s v="SDG 11: Sustainable Cities and Communities"/>
    <n v="5824797"/>
    <s v="People"/>
    <s v="Uganda|1952"/>
    <s v="Gapminder/Plotly country-year extract reshaped to long indicator format for education"/>
    <s v="OK"/>
    <s v="1950s"/>
    <s v="N/A"/>
    <s v="Demographics"/>
  </r>
  <r>
    <s v="GM-04755"/>
    <s v="Uganda"/>
    <x v="2"/>
    <x v="0"/>
    <x v="2"/>
    <s v="GDP per capita"/>
    <s v="Economy"/>
    <s v="SDG 8: Decent Work and Economic Growth"/>
    <n v="734.75348399999996"/>
    <s v="Source-defined international dollars"/>
    <s v="Uganda|1952"/>
    <s v="Gapminder/Plotly country-year extract reshaped to long indicator format for education"/>
    <s v="OK"/>
    <s v="1950s"/>
    <s v="N/A"/>
    <s v="Economy"/>
  </r>
  <r>
    <s v="GM-04756"/>
    <s v="Uganda"/>
    <x v="2"/>
    <x v="1"/>
    <x v="0"/>
    <s v="Life expectancy at birth"/>
    <s v="Health"/>
    <s v="SDG 3: Good Health and Well-being"/>
    <n v="42.570999999999998"/>
    <s v="Years"/>
    <s v="Uganda|1957"/>
    <s v="Gapminder/Plotly country-year extract reshaped to long indicator format for education"/>
    <s v="OK"/>
    <s v="1950s"/>
    <s v="Low"/>
    <s v="Health"/>
  </r>
  <r>
    <s v="GM-04757"/>
    <s v="Uganda"/>
    <x v="2"/>
    <x v="1"/>
    <x v="1"/>
    <s v="Population, total"/>
    <s v="Demographics"/>
    <s v="SDG 11: Sustainable Cities and Communities"/>
    <n v="6675501"/>
    <s v="People"/>
    <s v="Uganda|1957"/>
    <s v="Gapminder/Plotly country-year extract reshaped to long indicator format for education"/>
    <s v="OK"/>
    <s v="1950s"/>
    <s v="N/A"/>
    <s v="Demographics"/>
  </r>
  <r>
    <s v="GM-04758"/>
    <s v="Uganda"/>
    <x v="2"/>
    <x v="1"/>
    <x v="2"/>
    <s v="GDP per capita"/>
    <s v="Economy"/>
    <s v="SDG 8: Decent Work and Economic Growth"/>
    <n v="774.37106919999997"/>
    <s v="Source-defined international dollars"/>
    <s v="Uganda|1957"/>
    <s v="Gapminder/Plotly country-year extract reshaped to long indicator format for education"/>
    <s v="OK"/>
    <s v="1950s"/>
    <s v="N/A"/>
    <s v="Economy"/>
  </r>
  <r>
    <s v="GM-04759"/>
    <s v="Uganda"/>
    <x v="2"/>
    <x v="2"/>
    <x v="0"/>
    <s v="Life expectancy at birth"/>
    <s v="Health"/>
    <s v="SDG 3: Good Health and Well-being"/>
    <n v="45.344000000000001"/>
    <s v="Years"/>
    <s v="Uganda|1962"/>
    <s v="Gapminder/Plotly country-year extract reshaped to long indicator format for education"/>
    <s v="OK"/>
    <s v="1960s"/>
    <s v="Low"/>
    <s v="Health"/>
  </r>
  <r>
    <s v="GM-04760"/>
    <s v="Uganda"/>
    <x v="2"/>
    <x v="2"/>
    <x v="1"/>
    <s v="Population, total"/>
    <s v="Demographics"/>
    <s v="SDG 11: Sustainable Cities and Communities"/>
    <n v="7688797"/>
    <s v="People"/>
    <s v="Uganda|1962"/>
    <s v="Gapminder/Plotly country-year extract reshaped to long indicator format for education"/>
    <s v="OK"/>
    <s v="1960s"/>
    <s v="N/A"/>
    <s v="Demographics"/>
  </r>
  <r>
    <s v="GM-04761"/>
    <s v="Uganda"/>
    <x v="2"/>
    <x v="2"/>
    <x v="2"/>
    <s v="GDP per capita"/>
    <s v="Economy"/>
    <s v="SDG 8: Decent Work and Economic Growth"/>
    <n v="767.27173979999895"/>
    <s v="Source-defined international dollars"/>
    <s v="Uganda|1962"/>
    <s v="Gapminder/Plotly country-year extract reshaped to long indicator format for education"/>
    <s v="OK"/>
    <s v="1960s"/>
    <s v="N/A"/>
    <s v="Economy"/>
  </r>
  <r>
    <s v="GM-04762"/>
    <s v="Uganda"/>
    <x v="2"/>
    <x v="3"/>
    <x v="0"/>
    <s v="Life expectancy at birth"/>
    <s v="Health"/>
    <s v="SDG 3: Good Health and Well-being"/>
    <n v="48.051000000000002"/>
    <s v="Years"/>
    <s v="Uganda|1967"/>
    <s v="Gapminder/Plotly country-year extract reshaped to long indicator format for education"/>
    <s v="OK"/>
    <s v="1960s"/>
    <s v="Low"/>
    <s v="Health"/>
  </r>
  <r>
    <s v="GM-04763"/>
    <s v="Uganda"/>
    <x v="2"/>
    <x v="3"/>
    <x v="1"/>
    <s v="Population, total"/>
    <s v="Demographics"/>
    <s v="SDG 11: Sustainable Cities and Communities"/>
    <n v="8900294"/>
    <s v="People"/>
    <s v="Uganda|1967"/>
    <s v="Gapminder/Plotly country-year extract reshaped to long indicator format for education"/>
    <s v="OK"/>
    <s v="1960s"/>
    <s v="N/A"/>
    <s v="Demographics"/>
  </r>
  <r>
    <s v="GM-04764"/>
    <s v="Uganda"/>
    <x v="2"/>
    <x v="3"/>
    <x v="2"/>
    <s v="GDP per capita"/>
    <s v="Economy"/>
    <s v="SDG 8: Decent Work and Economic Growth"/>
    <n v="908.91852170000004"/>
    <s v="Source-defined international dollars"/>
    <s v="Uganda|1967"/>
    <s v="Gapminder/Plotly country-year extract reshaped to long indicator format for education"/>
    <s v="OK"/>
    <s v="1960s"/>
    <s v="N/A"/>
    <s v="Economy"/>
  </r>
  <r>
    <s v="GM-04765"/>
    <s v="Uganda"/>
    <x v="2"/>
    <x v="4"/>
    <x v="0"/>
    <s v="Life expectancy at birth"/>
    <s v="Health"/>
    <s v="SDG 3: Good Health and Well-being"/>
    <n v="51.015999999999998"/>
    <s v="Years"/>
    <s v="Uganda|1972"/>
    <s v="Gapminder/Plotly country-year extract reshaped to long indicator format for education"/>
    <s v="OK"/>
    <s v="1970s"/>
    <s v="Low"/>
    <s v="Health"/>
  </r>
  <r>
    <s v="GM-04766"/>
    <s v="Uganda"/>
    <x v="2"/>
    <x v="4"/>
    <x v="1"/>
    <s v="Population, total"/>
    <s v="Demographics"/>
    <s v="SDG 11: Sustainable Cities and Communities"/>
    <n v="10190285"/>
    <s v="People"/>
    <s v="Uganda|1972"/>
    <s v="Gapminder/Plotly country-year extract reshaped to long indicator format for education"/>
    <s v="OK"/>
    <s v="1970s"/>
    <s v="N/A"/>
    <s v="Demographics"/>
  </r>
  <r>
    <s v="GM-04767"/>
    <s v="Uganda"/>
    <x v="2"/>
    <x v="4"/>
    <x v="2"/>
    <s v="GDP per capita"/>
    <s v="Economy"/>
    <s v="SDG 8: Decent Work and Economic Growth"/>
    <n v="950.73586899999998"/>
    <s v="Source-defined international dollars"/>
    <s v="Uganda|1972"/>
    <s v="Gapminder/Plotly country-year extract reshaped to long indicator format for education"/>
    <s v="OK"/>
    <s v="1970s"/>
    <s v="N/A"/>
    <s v="Economy"/>
  </r>
  <r>
    <s v="GM-04768"/>
    <s v="Uganda"/>
    <x v="2"/>
    <x v="5"/>
    <x v="0"/>
    <s v="Life expectancy at birth"/>
    <s v="Health"/>
    <s v="SDG 3: Good Health and Well-being"/>
    <n v="50.35"/>
    <s v="Years"/>
    <s v="Uganda|1977"/>
    <s v="Gapminder/Plotly country-year extract reshaped to long indicator format for education"/>
    <s v="OK"/>
    <s v="1970s"/>
    <s v="Low"/>
    <s v="Health"/>
  </r>
  <r>
    <s v="GM-04769"/>
    <s v="Uganda"/>
    <x v="2"/>
    <x v="5"/>
    <x v="1"/>
    <s v="Population, total"/>
    <s v="Demographics"/>
    <s v="SDG 11: Sustainable Cities and Communities"/>
    <n v="11457758"/>
    <s v="People"/>
    <s v="Uganda|1977"/>
    <s v="Gapminder/Plotly country-year extract reshaped to long indicator format for education"/>
    <s v="OK"/>
    <s v="1970s"/>
    <s v="N/A"/>
    <s v="Demographics"/>
  </r>
  <r>
    <s v="GM-04770"/>
    <s v="Uganda"/>
    <x v="2"/>
    <x v="5"/>
    <x v="2"/>
    <s v="GDP per capita"/>
    <s v="Economy"/>
    <s v="SDG 8: Decent Work and Economic Growth"/>
    <n v="843.73313719999999"/>
    <s v="Source-defined international dollars"/>
    <s v="Uganda|1977"/>
    <s v="Gapminder/Plotly country-year extract reshaped to long indicator format for education"/>
    <s v="OK"/>
    <s v="1970s"/>
    <s v="N/A"/>
    <s v="Economy"/>
  </r>
  <r>
    <s v="GM-04771"/>
    <s v="Uganda"/>
    <x v="2"/>
    <x v="6"/>
    <x v="0"/>
    <s v="Life expectancy at birth"/>
    <s v="Health"/>
    <s v="SDG 3: Good Health and Well-being"/>
    <n v="49.848999999999997"/>
    <s v="Years"/>
    <s v="Uganda|1982"/>
    <s v="Gapminder/Plotly country-year extract reshaped to long indicator format for education"/>
    <s v="OK"/>
    <s v="1980s"/>
    <s v="Low"/>
    <s v="Health"/>
  </r>
  <r>
    <s v="GM-04772"/>
    <s v="Uganda"/>
    <x v="2"/>
    <x v="6"/>
    <x v="1"/>
    <s v="Population, total"/>
    <s v="Demographics"/>
    <s v="SDG 11: Sustainable Cities and Communities"/>
    <n v="12939400"/>
    <s v="People"/>
    <s v="Uganda|1982"/>
    <s v="Gapminder/Plotly country-year extract reshaped to long indicator format for education"/>
    <s v="OK"/>
    <s v="1980s"/>
    <s v="N/A"/>
    <s v="Demographics"/>
  </r>
  <r>
    <s v="GM-04773"/>
    <s v="Uganda"/>
    <x v="2"/>
    <x v="6"/>
    <x v="2"/>
    <s v="GDP per capita"/>
    <s v="Economy"/>
    <s v="SDG 8: Decent Work and Economic Growth"/>
    <n v="682.266226799999"/>
    <s v="Source-defined international dollars"/>
    <s v="Uganda|1982"/>
    <s v="Gapminder/Plotly country-year extract reshaped to long indicator format for education"/>
    <s v="OK"/>
    <s v="1980s"/>
    <s v="N/A"/>
    <s v="Economy"/>
  </r>
  <r>
    <s v="GM-04774"/>
    <s v="Uganda"/>
    <x v="2"/>
    <x v="7"/>
    <x v="0"/>
    <s v="Life expectancy at birth"/>
    <s v="Health"/>
    <s v="SDG 3: Good Health and Well-being"/>
    <n v="51.508999999999901"/>
    <s v="Years"/>
    <s v="Uganda|1987"/>
    <s v="Gapminder/Plotly country-year extract reshaped to long indicator format for education"/>
    <s v="OK"/>
    <s v="1980s"/>
    <s v="Low"/>
    <s v="Health"/>
  </r>
  <r>
    <s v="GM-04775"/>
    <s v="Uganda"/>
    <x v="2"/>
    <x v="7"/>
    <x v="1"/>
    <s v="Population, total"/>
    <s v="Demographics"/>
    <s v="SDG 11: Sustainable Cities and Communities"/>
    <n v="15283050"/>
    <s v="People"/>
    <s v="Uganda|1987"/>
    <s v="Gapminder/Plotly country-year extract reshaped to long indicator format for education"/>
    <s v="OK"/>
    <s v="1980s"/>
    <s v="N/A"/>
    <s v="Demographics"/>
  </r>
  <r>
    <s v="GM-04776"/>
    <s v="Uganda"/>
    <x v="2"/>
    <x v="7"/>
    <x v="2"/>
    <s v="GDP per capita"/>
    <s v="Economy"/>
    <s v="SDG 8: Decent Work and Economic Growth"/>
    <n v="617.72440649999999"/>
    <s v="Source-defined international dollars"/>
    <s v="Uganda|1987"/>
    <s v="Gapminder/Plotly country-year extract reshaped to long indicator format for education"/>
    <s v="OK"/>
    <s v="1980s"/>
    <s v="N/A"/>
    <s v="Economy"/>
  </r>
  <r>
    <s v="GM-04777"/>
    <s v="Uganda"/>
    <x v="2"/>
    <x v="8"/>
    <x v="0"/>
    <s v="Life expectancy at birth"/>
    <s v="Health"/>
    <s v="SDG 3: Good Health and Well-being"/>
    <n v="48.825000000000003"/>
    <s v="Years"/>
    <s v="Uganda|1992"/>
    <s v="Gapminder/Plotly country-year extract reshaped to long indicator format for education"/>
    <s v="OK"/>
    <s v="1990s"/>
    <s v="Low"/>
    <s v="Health"/>
  </r>
  <r>
    <s v="GM-04778"/>
    <s v="Uganda"/>
    <x v="2"/>
    <x v="8"/>
    <x v="1"/>
    <s v="Population, total"/>
    <s v="Demographics"/>
    <s v="SDG 11: Sustainable Cities and Communities"/>
    <n v="18252190"/>
    <s v="People"/>
    <s v="Uganda|1992"/>
    <s v="Gapminder/Plotly country-year extract reshaped to long indicator format for education"/>
    <s v="OK"/>
    <s v="1990s"/>
    <s v="N/A"/>
    <s v="Demographics"/>
  </r>
  <r>
    <s v="GM-04779"/>
    <s v="Uganda"/>
    <x v="2"/>
    <x v="8"/>
    <x v="2"/>
    <s v="GDP per capita"/>
    <s v="Economy"/>
    <s v="SDG 8: Decent Work and Economic Growth"/>
    <n v="644.170796899999"/>
    <s v="Source-defined international dollars"/>
    <s v="Uganda|1992"/>
    <s v="Gapminder/Plotly country-year extract reshaped to long indicator format for education"/>
    <s v="OK"/>
    <s v="1990s"/>
    <s v="N/A"/>
    <s v="Economy"/>
  </r>
  <r>
    <s v="GM-04780"/>
    <s v="Uganda"/>
    <x v="2"/>
    <x v="9"/>
    <x v="0"/>
    <s v="Life expectancy at birth"/>
    <s v="Health"/>
    <s v="SDG 3: Good Health and Well-being"/>
    <n v="44.578000000000003"/>
    <s v="Years"/>
    <s v="Uganda|1997"/>
    <s v="Gapminder/Plotly country-year extract reshaped to long indicator format for education"/>
    <s v="OK"/>
    <s v="1990s"/>
    <s v="Low"/>
    <s v="Health"/>
  </r>
  <r>
    <s v="GM-04781"/>
    <s v="Uganda"/>
    <x v="2"/>
    <x v="9"/>
    <x v="1"/>
    <s v="Population, total"/>
    <s v="Demographics"/>
    <s v="SDG 11: Sustainable Cities and Communities"/>
    <n v="21210254"/>
    <s v="People"/>
    <s v="Uganda|1997"/>
    <s v="Gapminder/Plotly country-year extract reshaped to long indicator format for education"/>
    <s v="OK"/>
    <s v="1990s"/>
    <s v="N/A"/>
    <s v="Demographics"/>
  </r>
  <r>
    <s v="GM-04782"/>
    <s v="Uganda"/>
    <x v="2"/>
    <x v="9"/>
    <x v="2"/>
    <s v="GDP per capita"/>
    <s v="Economy"/>
    <s v="SDG 8: Decent Work and Economic Growth"/>
    <n v="816.55908099999999"/>
    <s v="Source-defined international dollars"/>
    <s v="Uganda|1997"/>
    <s v="Gapminder/Plotly country-year extract reshaped to long indicator format for education"/>
    <s v="OK"/>
    <s v="1990s"/>
    <s v="N/A"/>
    <s v="Economy"/>
  </r>
  <r>
    <s v="GM-04783"/>
    <s v="Uganda"/>
    <x v="2"/>
    <x v="10"/>
    <x v="0"/>
    <s v="Life expectancy at birth"/>
    <s v="Health"/>
    <s v="SDG 3: Good Health and Well-being"/>
    <n v="47.813000000000002"/>
    <s v="Years"/>
    <s v="Uganda|2002"/>
    <s v="Gapminder/Plotly country-year extract reshaped to long indicator format for education"/>
    <s v="OK"/>
    <s v="2000s"/>
    <s v="Low"/>
    <s v="Health"/>
  </r>
  <r>
    <s v="GM-04784"/>
    <s v="Uganda"/>
    <x v="2"/>
    <x v="10"/>
    <x v="1"/>
    <s v="Population, total"/>
    <s v="Demographics"/>
    <s v="SDG 11: Sustainable Cities and Communities"/>
    <n v="24739869"/>
    <s v="People"/>
    <s v="Uganda|2002"/>
    <s v="Gapminder/Plotly country-year extract reshaped to long indicator format for education"/>
    <s v="OK"/>
    <s v="2000s"/>
    <s v="N/A"/>
    <s v="Demographics"/>
  </r>
  <r>
    <s v="GM-04785"/>
    <s v="Uganda"/>
    <x v="2"/>
    <x v="10"/>
    <x v="2"/>
    <s v="GDP per capita"/>
    <s v="Economy"/>
    <s v="SDG 8: Decent Work and Economic Growth"/>
    <n v="927.72100179999995"/>
    <s v="Source-defined international dollars"/>
    <s v="Uganda|2002"/>
    <s v="Gapminder/Plotly country-year extract reshaped to long indicator format for education"/>
    <s v="OK"/>
    <s v="2000s"/>
    <s v="N/A"/>
    <s v="Economy"/>
  </r>
  <r>
    <s v="GM-04786"/>
    <s v="Uganda"/>
    <x v="2"/>
    <x v="11"/>
    <x v="0"/>
    <s v="Life expectancy at birth"/>
    <s v="Health"/>
    <s v="SDG 3: Good Health and Well-being"/>
    <n v="51.542000000000002"/>
    <s v="Years"/>
    <s v="Uganda|2007"/>
    <s v="Gapminder/Plotly country-year extract reshaped to long indicator format for education"/>
    <s v="OK"/>
    <s v="2000s"/>
    <s v="Low"/>
    <s v="Health"/>
  </r>
  <r>
    <s v="GM-04787"/>
    <s v="Uganda"/>
    <x v="2"/>
    <x v="11"/>
    <x v="1"/>
    <s v="Population, total"/>
    <s v="Demographics"/>
    <s v="SDG 11: Sustainable Cities and Communities"/>
    <n v="29170398"/>
    <s v="People"/>
    <s v="Uganda|2007"/>
    <s v="Gapminder/Plotly country-year extract reshaped to long indicator format for education"/>
    <s v="OK"/>
    <s v="2000s"/>
    <s v="N/A"/>
    <s v="Demographics"/>
  </r>
  <r>
    <s v="GM-04788"/>
    <s v="Uganda"/>
    <x v="2"/>
    <x v="11"/>
    <x v="2"/>
    <s v="GDP per capita"/>
    <s v="Economy"/>
    <s v="SDG 8: Decent Work and Economic Growth"/>
    <n v="1056.3801209999999"/>
    <s v="Source-defined international dollars"/>
    <s v="Uganda|2007"/>
    <s v="Gapminder/Plotly country-year extract reshaped to long indicator format for education"/>
    <s v="OK"/>
    <s v="2000s"/>
    <s v="N/A"/>
    <s v="Economy"/>
  </r>
  <r>
    <s v="GM-04789"/>
    <s v="United Kingdom"/>
    <x v="1"/>
    <x v="0"/>
    <x v="0"/>
    <s v="Life expectancy at birth"/>
    <s v="Health"/>
    <s v="SDG 3: Good Health and Well-being"/>
    <n v="69.180000000000007"/>
    <s v="Years"/>
    <s v="United Kingdom|1952"/>
    <s v="Gapminder/Plotly country-year extract reshaped to long indicator format for education"/>
    <s v="OK"/>
    <s v="1950s"/>
    <s v="Medium"/>
    <s v="Health"/>
  </r>
  <r>
    <s v="GM-04790"/>
    <s v="United Kingdom"/>
    <x v="1"/>
    <x v="0"/>
    <x v="1"/>
    <s v="Population, total"/>
    <s v="Demographics"/>
    <s v="SDG 11: Sustainable Cities and Communities"/>
    <n v="50430000"/>
    <s v="People"/>
    <s v="United Kingdom|1952"/>
    <s v="Gapminder/Plotly country-year extract reshaped to long indicator format for education"/>
    <s v="OK"/>
    <s v="1950s"/>
    <s v="N/A"/>
    <s v="Demographics"/>
  </r>
  <r>
    <s v="GM-04791"/>
    <s v="United Kingdom"/>
    <x v="1"/>
    <x v="0"/>
    <x v="2"/>
    <s v="GDP per capita"/>
    <s v="Economy"/>
    <s v="SDG 8: Decent Work and Economic Growth"/>
    <n v="9979.5084869999991"/>
    <s v="Source-defined international dollars"/>
    <s v="United Kingdom|1952"/>
    <s v="Gapminder/Plotly country-year extract reshaped to long indicator format for education"/>
    <s v="OK"/>
    <s v="1950s"/>
    <s v="N/A"/>
    <s v="Economy"/>
  </r>
  <r>
    <s v="GM-04792"/>
    <s v="United Kingdom"/>
    <x v="1"/>
    <x v="1"/>
    <x v="0"/>
    <s v="Life expectancy at birth"/>
    <s v="Health"/>
    <s v="SDG 3: Good Health and Well-being"/>
    <n v="70.42"/>
    <s v="Years"/>
    <s v="United Kingdom|1957"/>
    <s v="Gapminder/Plotly country-year extract reshaped to long indicator format for education"/>
    <s v="OK"/>
    <s v="1950s"/>
    <s v="High"/>
    <s v="Health"/>
  </r>
  <r>
    <s v="GM-04793"/>
    <s v="United Kingdom"/>
    <x v="1"/>
    <x v="1"/>
    <x v="1"/>
    <s v="Population, total"/>
    <s v="Demographics"/>
    <s v="SDG 11: Sustainable Cities and Communities"/>
    <n v="51430000"/>
    <s v="People"/>
    <s v="United Kingdom|1957"/>
    <s v="Gapminder/Plotly country-year extract reshaped to long indicator format for education"/>
    <s v="OK"/>
    <s v="1950s"/>
    <s v="N/A"/>
    <s v="Demographics"/>
  </r>
  <r>
    <s v="GM-04794"/>
    <s v="United Kingdom"/>
    <x v="1"/>
    <x v="1"/>
    <x v="2"/>
    <s v="GDP per capita"/>
    <s v="Economy"/>
    <s v="SDG 8: Decent Work and Economic Growth"/>
    <n v="11283.177949999999"/>
    <s v="Source-defined international dollars"/>
    <s v="United Kingdom|1957"/>
    <s v="Gapminder/Plotly country-year extract reshaped to long indicator format for education"/>
    <s v="OK"/>
    <s v="1950s"/>
    <s v="N/A"/>
    <s v="Economy"/>
  </r>
  <r>
    <s v="GM-04795"/>
    <s v="United Kingdom"/>
    <x v="1"/>
    <x v="2"/>
    <x v="0"/>
    <s v="Life expectancy at birth"/>
    <s v="Health"/>
    <s v="SDG 3: Good Health and Well-being"/>
    <n v="70.760000000000005"/>
    <s v="Years"/>
    <s v="United Kingdom|1962"/>
    <s v="Gapminder/Plotly country-year extract reshaped to long indicator format for education"/>
    <s v="OK"/>
    <s v="1960s"/>
    <s v="High"/>
    <s v="Health"/>
  </r>
  <r>
    <s v="GM-04796"/>
    <s v="United Kingdom"/>
    <x v="1"/>
    <x v="2"/>
    <x v="1"/>
    <s v="Population, total"/>
    <s v="Demographics"/>
    <s v="SDG 11: Sustainable Cities and Communities"/>
    <n v="53292000"/>
    <s v="People"/>
    <s v="United Kingdom|1962"/>
    <s v="Gapminder/Plotly country-year extract reshaped to long indicator format for education"/>
    <s v="OK"/>
    <s v="1960s"/>
    <s v="N/A"/>
    <s v="Demographics"/>
  </r>
  <r>
    <s v="GM-04797"/>
    <s v="United Kingdom"/>
    <x v="1"/>
    <x v="2"/>
    <x v="2"/>
    <s v="GDP per capita"/>
    <s v="Economy"/>
    <s v="SDG 8: Decent Work and Economic Growth"/>
    <n v="12477.17707"/>
    <s v="Source-defined international dollars"/>
    <s v="United Kingdom|1962"/>
    <s v="Gapminder/Plotly country-year extract reshaped to long indicator format for education"/>
    <s v="OK"/>
    <s v="1960s"/>
    <s v="N/A"/>
    <s v="Economy"/>
  </r>
  <r>
    <s v="GM-04798"/>
    <s v="United Kingdom"/>
    <x v="1"/>
    <x v="3"/>
    <x v="0"/>
    <s v="Life expectancy at birth"/>
    <s v="Health"/>
    <s v="SDG 3: Good Health and Well-being"/>
    <n v="71.36"/>
    <s v="Years"/>
    <s v="United Kingdom|1967"/>
    <s v="Gapminder/Plotly country-year extract reshaped to long indicator format for education"/>
    <s v="OK"/>
    <s v="1960s"/>
    <s v="High"/>
    <s v="Health"/>
  </r>
  <r>
    <s v="GM-04799"/>
    <s v="United Kingdom"/>
    <x v="1"/>
    <x v="3"/>
    <x v="1"/>
    <s v="Population, total"/>
    <s v="Demographics"/>
    <s v="SDG 11: Sustainable Cities and Communities"/>
    <n v="54959000"/>
    <s v="People"/>
    <s v="United Kingdom|1967"/>
    <s v="Gapminder/Plotly country-year extract reshaped to long indicator format for education"/>
    <s v="OK"/>
    <s v="1960s"/>
    <s v="N/A"/>
    <s v="Demographics"/>
  </r>
  <r>
    <s v="GM-04800"/>
    <s v="United Kingdom"/>
    <x v="1"/>
    <x v="3"/>
    <x v="2"/>
    <s v="GDP per capita"/>
    <s v="Economy"/>
    <s v="SDG 8: Decent Work and Economic Growth"/>
    <n v="14142.85089"/>
    <s v="Source-defined international dollars"/>
    <s v="United Kingdom|1967"/>
    <s v="Gapminder/Plotly country-year extract reshaped to long indicator format for education"/>
    <s v="OK"/>
    <s v="1960s"/>
    <s v="N/A"/>
    <s v="Economy"/>
  </r>
  <r>
    <s v="GM-04801"/>
    <s v="United Kingdom"/>
    <x v="1"/>
    <x v="4"/>
    <x v="0"/>
    <s v="Life expectancy at birth"/>
    <s v="Health"/>
    <s v="SDG 3: Good Health and Well-being"/>
    <n v="72.010000000000005"/>
    <s v="Years"/>
    <s v="United Kingdom|1972"/>
    <s v="Gapminder/Plotly country-year extract reshaped to long indicator format for education"/>
    <s v="OK"/>
    <s v="1970s"/>
    <s v="High"/>
    <s v="Health"/>
  </r>
  <r>
    <s v="GM-04802"/>
    <s v="United Kingdom"/>
    <x v="1"/>
    <x v="4"/>
    <x v="1"/>
    <s v="Population, total"/>
    <s v="Demographics"/>
    <s v="SDG 11: Sustainable Cities and Communities"/>
    <n v="56079000"/>
    <s v="People"/>
    <s v="United Kingdom|1972"/>
    <s v="Gapminder/Plotly country-year extract reshaped to long indicator format for education"/>
    <s v="OK"/>
    <s v="1970s"/>
    <s v="N/A"/>
    <s v="Demographics"/>
  </r>
  <r>
    <s v="GM-04803"/>
    <s v="United Kingdom"/>
    <x v="1"/>
    <x v="4"/>
    <x v="2"/>
    <s v="GDP per capita"/>
    <s v="Economy"/>
    <s v="SDG 8: Decent Work and Economic Growth"/>
    <n v="15895.116410000001"/>
    <s v="Source-defined international dollars"/>
    <s v="United Kingdom|1972"/>
    <s v="Gapminder/Plotly country-year extract reshaped to long indicator format for education"/>
    <s v="OK"/>
    <s v="1970s"/>
    <s v="N/A"/>
    <s v="Economy"/>
  </r>
  <r>
    <s v="GM-04804"/>
    <s v="United Kingdom"/>
    <x v="1"/>
    <x v="5"/>
    <x v="0"/>
    <s v="Life expectancy at birth"/>
    <s v="Health"/>
    <s v="SDG 3: Good Health and Well-being"/>
    <n v="72.760000000000005"/>
    <s v="Years"/>
    <s v="United Kingdom|1977"/>
    <s v="Gapminder/Plotly country-year extract reshaped to long indicator format for education"/>
    <s v="OK"/>
    <s v="1970s"/>
    <s v="High"/>
    <s v="Health"/>
  </r>
  <r>
    <s v="GM-04805"/>
    <s v="United Kingdom"/>
    <x v="1"/>
    <x v="5"/>
    <x v="1"/>
    <s v="Population, total"/>
    <s v="Demographics"/>
    <s v="SDG 11: Sustainable Cities and Communities"/>
    <n v="56179000"/>
    <s v="People"/>
    <s v="United Kingdom|1977"/>
    <s v="Gapminder/Plotly country-year extract reshaped to long indicator format for education"/>
    <s v="OK"/>
    <s v="1970s"/>
    <s v="N/A"/>
    <s v="Demographics"/>
  </r>
  <r>
    <s v="GM-04806"/>
    <s v="United Kingdom"/>
    <x v="1"/>
    <x v="5"/>
    <x v="2"/>
    <s v="GDP per capita"/>
    <s v="Economy"/>
    <s v="SDG 8: Decent Work and Economic Growth"/>
    <n v="17428.748459999999"/>
    <s v="Source-defined international dollars"/>
    <s v="United Kingdom|1977"/>
    <s v="Gapminder/Plotly country-year extract reshaped to long indicator format for education"/>
    <s v="OK"/>
    <s v="1970s"/>
    <s v="N/A"/>
    <s v="Economy"/>
  </r>
  <r>
    <s v="GM-04807"/>
    <s v="United Kingdom"/>
    <x v="1"/>
    <x v="6"/>
    <x v="0"/>
    <s v="Life expectancy at birth"/>
    <s v="Health"/>
    <s v="SDG 3: Good Health and Well-being"/>
    <n v="74.040000000000006"/>
    <s v="Years"/>
    <s v="United Kingdom|1982"/>
    <s v="Gapminder/Plotly country-year extract reshaped to long indicator format for education"/>
    <s v="OK"/>
    <s v="1980s"/>
    <s v="High"/>
    <s v="Health"/>
  </r>
  <r>
    <s v="GM-04808"/>
    <s v="United Kingdom"/>
    <x v="1"/>
    <x v="6"/>
    <x v="1"/>
    <s v="Population, total"/>
    <s v="Demographics"/>
    <s v="SDG 11: Sustainable Cities and Communities"/>
    <n v="56339704"/>
    <s v="People"/>
    <s v="United Kingdom|1982"/>
    <s v="Gapminder/Plotly country-year extract reshaped to long indicator format for education"/>
    <s v="OK"/>
    <s v="1980s"/>
    <s v="N/A"/>
    <s v="Demographics"/>
  </r>
  <r>
    <s v="GM-04809"/>
    <s v="United Kingdom"/>
    <x v="1"/>
    <x v="6"/>
    <x v="2"/>
    <s v="GDP per capita"/>
    <s v="Economy"/>
    <s v="SDG 8: Decent Work and Economic Growth"/>
    <n v="18232.42452"/>
    <s v="Source-defined international dollars"/>
    <s v="United Kingdom|1982"/>
    <s v="Gapminder/Plotly country-year extract reshaped to long indicator format for education"/>
    <s v="OK"/>
    <s v="1980s"/>
    <s v="N/A"/>
    <s v="Economy"/>
  </r>
  <r>
    <s v="GM-04810"/>
    <s v="United Kingdom"/>
    <x v="1"/>
    <x v="7"/>
    <x v="0"/>
    <s v="Life expectancy at birth"/>
    <s v="Health"/>
    <s v="SDG 3: Good Health and Well-being"/>
    <n v="75.007000000000005"/>
    <s v="Years"/>
    <s v="United Kingdom|1987"/>
    <s v="Gapminder/Plotly country-year extract reshaped to long indicator format for education"/>
    <s v="OK"/>
    <s v="1980s"/>
    <s v="High"/>
    <s v="Health"/>
  </r>
  <r>
    <s v="GM-04811"/>
    <s v="United Kingdom"/>
    <x v="1"/>
    <x v="7"/>
    <x v="1"/>
    <s v="Population, total"/>
    <s v="Demographics"/>
    <s v="SDG 11: Sustainable Cities and Communities"/>
    <n v="56981620"/>
    <s v="People"/>
    <s v="United Kingdom|1987"/>
    <s v="Gapminder/Plotly country-year extract reshaped to long indicator format for education"/>
    <s v="OK"/>
    <s v="1980s"/>
    <s v="N/A"/>
    <s v="Demographics"/>
  </r>
  <r>
    <s v="GM-04812"/>
    <s v="United Kingdom"/>
    <x v="1"/>
    <x v="7"/>
    <x v="2"/>
    <s v="GDP per capita"/>
    <s v="Economy"/>
    <s v="SDG 8: Decent Work and Economic Growth"/>
    <n v="21664.787670000002"/>
    <s v="Source-defined international dollars"/>
    <s v="United Kingdom|1987"/>
    <s v="Gapminder/Plotly country-year extract reshaped to long indicator format for education"/>
    <s v="OK"/>
    <s v="1980s"/>
    <s v="N/A"/>
    <s v="Economy"/>
  </r>
  <r>
    <s v="GM-04813"/>
    <s v="United Kingdom"/>
    <x v="1"/>
    <x v="8"/>
    <x v="0"/>
    <s v="Life expectancy at birth"/>
    <s v="Health"/>
    <s v="SDG 3: Good Health and Well-being"/>
    <n v="76.42"/>
    <s v="Years"/>
    <s v="United Kingdom|1992"/>
    <s v="Gapminder/Plotly country-year extract reshaped to long indicator format for education"/>
    <s v="OK"/>
    <s v="1990s"/>
    <s v="High"/>
    <s v="Health"/>
  </r>
  <r>
    <s v="GM-04814"/>
    <s v="United Kingdom"/>
    <x v="1"/>
    <x v="8"/>
    <x v="1"/>
    <s v="Population, total"/>
    <s v="Demographics"/>
    <s v="SDG 11: Sustainable Cities and Communities"/>
    <n v="57866349"/>
    <s v="People"/>
    <s v="United Kingdom|1992"/>
    <s v="Gapminder/Plotly country-year extract reshaped to long indicator format for education"/>
    <s v="OK"/>
    <s v="1990s"/>
    <s v="N/A"/>
    <s v="Demographics"/>
  </r>
  <r>
    <s v="GM-04815"/>
    <s v="United Kingdom"/>
    <x v="1"/>
    <x v="8"/>
    <x v="2"/>
    <s v="GDP per capita"/>
    <s v="Economy"/>
    <s v="SDG 8: Decent Work and Economic Growth"/>
    <n v="22705.092540000001"/>
    <s v="Source-defined international dollars"/>
    <s v="United Kingdom|1992"/>
    <s v="Gapminder/Plotly country-year extract reshaped to long indicator format for education"/>
    <s v="OK"/>
    <s v="1990s"/>
    <s v="N/A"/>
    <s v="Economy"/>
  </r>
  <r>
    <s v="GM-04816"/>
    <s v="United Kingdom"/>
    <x v="1"/>
    <x v="9"/>
    <x v="0"/>
    <s v="Life expectancy at birth"/>
    <s v="Health"/>
    <s v="SDG 3: Good Health and Well-being"/>
    <n v="77.218000000000004"/>
    <s v="Years"/>
    <s v="United Kingdom|1997"/>
    <s v="Gapminder/Plotly country-year extract reshaped to long indicator format for education"/>
    <s v="OK"/>
    <s v="1990s"/>
    <s v="High"/>
    <s v="Health"/>
  </r>
  <r>
    <s v="GM-04817"/>
    <s v="United Kingdom"/>
    <x v="1"/>
    <x v="9"/>
    <x v="1"/>
    <s v="Population, total"/>
    <s v="Demographics"/>
    <s v="SDG 11: Sustainable Cities and Communities"/>
    <n v="58808266"/>
    <s v="People"/>
    <s v="United Kingdom|1997"/>
    <s v="Gapminder/Plotly country-year extract reshaped to long indicator format for education"/>
    <s v="OK"/>
    <s v="1990s"/>
    <s v="N/A"/>
    <s v="Demographics"/>
  </r>
  <r>
    <s v="GM-04818"/>
    <s v="United Kingdom"/>
    <x v="1"/>
    <x v="9"/>
    <x v="2"/>
    <s v="GDP per capita"/>
    <s v="Economy"/>
    <s v="SDG 8: Decent Work and Economic Growth"/>
    <n v="26074.531360000001"/>
    <s v="Source-defined international dollars"/>
    <s v="United Kingdom|1997"/>
    <s v="Gapminder/Plotly country-year extract reshaped to long indicator format for education"/>
    <s v="OK"/>
    <s v="1990s"/>
    <s v="N/A"/>
    <s v="Economy"/>
  </r>
  <r>
    <s v="GM-04819"/>
    <s v="United Kingdom"/>
    <x v="1"/>
    <x v="10"/>
    <x v="0"/>
    <s v="Life expectancy at birth"/>
    <s v="Health"/>
    <s v="SDG 3: Good Health and Well-being"/>
    <n v="78.471000000000004"/>
    <s v="Years"/>
    <s v="United Kingdom|2002"/>
    <s v="Gapminder/Plotly country-year extract reshaped to long indicator format for education"/>
    <s v="OK"/>
    <s v="2000s"/>
    <s v="High"/>
    <s v="Health"/>
  </r>
  <r>
    <s v="GM-04820"/>
    <s v="United Kingdom"/>
    <x v="1"/>
    <x v="10"/>
    <x v="1"/>
    <s v="Population, total"/>
    <s v="Demographics"/>
    <s v="SDG 11: Sustainable Cities and Communities"/>
    <n v="59912431"/>
    <s v="People"/>
    <s v="United Kingdom|2002"/>
    <s v="Gapminder/Plotly country-year extract reshaped to long indicator format for education"/>
    <s v="OK"/>
    <s v="2000s"/>
    <s v="N/A"/>
    <s v="Demographics"/>
  </r>
  <r>
    <s v="GM-04821"/>
    <s v="United Kingdom"/>
    <x v="1"/>
    <x v="10"/>
    <x v="2"/>
    <s v="GDP per capita"/>
    <s v="Economy"/>
    <s v="SDG 8: Decent Work and Economic Growth"/>
    <n v="29478.999189999999"/>
    <s v="Source-defined international dollars"/>
    <s v="United Kingdom|2002"/>
    <s v="Gapminder/Plotly country-year extract reshaped to long indicator format for education"/>
    <s v="OK"/>
    <s v="2000s"/>
    <s v="N/A"/>
    <s v="Economy"/>
  </r>
  <r>
    <s v="GM-04822"/>
    <s v="United Kingdom"/>
    <x v="1"/>
    <x v="11"/>
    <x v="0"/>
    <s v="Life expectancy at birth"/>
    <s v="Health"/>
    <s v="SDG 3: Good Health and Well-being"/>
    <n v="79.424999999999997"/>
    <s v="Years"/>
    <s v="United Kingdom|2007"/>
    <s v="Gapminder/Plotly country-year extract reshaped to long indicator format for education"/>
    <s v="OK"/>
    <s v="2000s"/>
    <s v="High"/>
    <s v="Health"/>
  </r>
  <r>
    <s v="GM-04823"/>
    <s v="United Kingdom"/>
    <x v="1"/>
    <x v="11"/>
    <x v="1"/>
    <s v="Population, total"/>
    <s v="Demographics"/>
    <s v="SDG 11: Sustainable Cities and Communities"/>
    <n v="60776238"/>
    <s v="People"/>
    <s v="United Kingdom|2007"/>
    <s v="Gapminder/Plotly country-year extract reshaped to long indicator format for education"/>
    <s v="OK"/>
    <s v="2000s"/>
    <s v="N/A"/>
    <s v="Demographics"/>
  </r>
  <r>
    <s v="GM-04824"/>
    <s v="United Kingdom"/>
    <x v="1"/>
    <x v="11"/>
    <x v="2"/>
    <s v="GDP per capita"/>
    <s v="Economy"/>
    <s v="SDG 8: Decent Work and Economic Growth"/>
    <n v="33203.261279999999"/>
    <s v="Source-defined international dollars"/>
    <s v="United Kingdom|2007"/>
    <s v="Gapminder/Plotly country-year extract reshaped to long indicator format for education"/>
    <s v="OK"/>
    <s v="2000s"/>
    <s v="N/A"/>
    <s v="Economy"/>
  </r>
  <r>
    <s v="GM-04825"/>
    <s v="United States"/>
    <x v="3"/>
    <x v="0"/>
    <x v="0"/>
    <s v="Life expectancy at birth"/>
    <s v="Health"/>
    <s v="SDG 3: Good Health and Well-being"/>
    <n v="68.44"/>
    <s v="Years"/>
    <s v="United States|1952"/>
    <s v="Gapminder/Plotly country-year extract reshaped to long indicator format for education"/>
    <s v="OK"/>
    <s v="1950s"/>
    <s v="Medium"/>
    <s v="Health"/>
  </r>
  <r>
    <s v="GM-04826"/>
    <s v="United States"/>
    <x v="3"/>
    <x v="0"/>
    <x v="1"/>
    <s v="Population, total"/>
    <s v="Demographics"/>
    <s v="SDG 11: Sustainable Cities and Communities"/>
    <n v="157553000"/>
    <s v="People"/>
    <s v="United States|1952"/>
    <s v="Gapminder/Plotly country-year extract reshaped to long indicator format for education"/>
    <s v="OK"/>
    <s v="1950s"/>
    <s v="N/A"/>
    <s v="Demographics"/>
  </r>
  <r>
    <s v="GM-04827"/>
    <s v="United States"/>
    <x v="3"/>
    <x v="0"/>
    <x v="2"/>
    <s v="GDP per capita"/>
    <s v="Economy"/>
    <s v="SDG 8: Decent Work and Economic Growth"/>
    <n v="13990.48208"/>
    <s v="Source-defined international dollars"/>
    <s v="United States|1952"/>
    <s v="Gapminder/Plotly country-year extract reshaped to long indicator format for education"/>
    <s v="OK"/>
    <s v="1950s"/>
    <s v="N/A"/>
    <s v="Economy"/>
  </r>
  <r>
    <s v="GM-04828"/>
    <s v="United States"/>
    <x v="3"/>
    <x v="1"/>
    <x v="0"/>
    <s v="Life expectancy at birth"/>
    <s v="Health"/>
    <s v="SDG 3: Good Health and Well-being"/>
    <n v="69.489999999999995"/>
    <s v="Years"/>
    <s v="United States|1957"/>
    <s v="Gapminder/Plotly country-year extract reshaped to long indicator format for education"/>
    <s v="OK"/>
    <s v="1950s"/>
    <s v="Medium"/>
    <s v="Health"/>
  </r>
  <r>
    <s v="GM-04829"/>
    <s v="United States"/>
    <x v="3"/>
    <x v="1"/>
    <x v="1"/>
    <s v="Population, total"/>
    <s v="Demographics"/>
    <s v="SDG 11: Sustainable Cities and Communities"/>
    <n v="171984000"/>
    <s v="People"/>
    <s v="United States|1957"/>
    <s v="Gapminder/Plotly country-year extract reshaped to long indicator format for education"/>
    <s v="OK"/>
    <s v="1950s"/>
    <s v="N/A"/>
    <s v="Demographics"/>
  </r>
  <r>
    <s v="GM-04830"/>
    <s v="United States"/>
    <x v="3"/>
    <x v="1"/>
    <x v="2"/>
    <s v="GDP per capita"/>
    <s v="Economy"/>
    <s v="SDG 8: Decent Work and Economic Growth"/>
    <n v="14847.127119999999"/>
    <s v="Source-defined international dollars"/>
    <s v="United States|1957"/>
    <s v="Gapminder/Plotly country-year extract reshaped to long indicator format for education"/>
    <s v="OK"/>
    <s v="1950s"/>
    <s v="N/A"/>
    <s v="Economy"/>
  </r>
  <r>
    <s v="GM-04831"/>
    <s v="United States"/>
    <x v="3"/>
    <x v="2"/>
    <x v="0"/>
    <s v="Life expectancy at birth"/>
    <s v="Health"/>
    <s v="SDG 3: Good Health and Well-being"/>
    <n v="70.209999999999994"/>
    <s v="Years"/>
    <s v="United States|1962"/>
    <s v="Gapminder/Plotly country-year extract reshaped to long indicator format for education"/>
    <s v="OK"/>
    <s v="1960s"/>
    <s v="High"/>
    <s v="Health"/>
  </r>
  <r>
    <s v="GM-04832"/>
    <s v="United States"/>
    <x v="3"/>
    <x v="2"/>
    <x v="1"/>
    <s v="Population, total"/>
    <s v="Demographics"/>
    <s v="SDG 11: Sustainable Cities and Communities"/>
    <n v="186538000"/>
    <s v="People"/>
    <s v="United States|1962"/>
    <s v="Gapminder/Plotly country-year extract reshaped to long indicator format for education"/>
    <s v="OK"/>
    <s v="1960s"/>
    <s v="N/A"/>
    <s v="Demographics"/>
  </r>
  <r>
    <s v="GM-04833"/>
    <s v="United States"/>
    <x v="3"/>
    <x v="2"/>
    <x v="2"/>
    <s v="GDP per capita"/>
    <s v="Economy"/>
    <s v="SDG 8: Decent Work and Economic Growth"/>
    <n v="16173.145860000001"/>
    <s v="Source-defined international dollars"/>
    <s v="United States|1962"/>
    <s v="Gapminder/Plotly country-year extract reshaped to long indicator format for education"/>
    <s v="OK"/>
    <s v="1960s"/>
    <s v="N/A"/>
    <s v="Economy"/>
  </r>
  <r>
    <s v="GM-04834"/>
    <s v="United States"/>
    <x v="3"/>
    <x v="3"/>
    <x v="0"/>
    <s v="Life expectancy at birth"/>
    <s v="Health"/>
    <s v="SDG 3: Good Health and Well-being"/>
    <n v="70.760000000000005"/>
    <s v="Years"/>
    <s v="United States|1967"/>
    <s v="Gapminder/Plotly country-year extract reshaped to long indicator format for education"/>
    <s v="OK"/>
    <s v="1960s"/>
    <s v="High"/>
    <s v="Health"/>
  </r>
  <r>
    <s v="GM-04835"/>
    <s v="United States"/>
    <x v="3"/>
    <x v="3"/>
    <x v="1"/>
    <s v="Population, total"/>
    <s v="Demographics"/>
    <s v="SDG 11: Sustainable Cities and Communities"/>
    <n v="198712000"/>
    <s v="People"/>
    <s v="United States|1967"/>
    <s v="Gapminder/Plotly country-year extract reshaped to long indicator format for education"/>
    <s v="OK"/>
    <s v="1960s"/>
    <s v="N/A"/>
    <s v="Demographics"/>
  </r>
  <r>
    <s v="GM-04836"/>
    <s v="United States"/>
    <x v="3"/>
    <x v="3"/>
    <x v="2"/>
    <s v="GDP per capita"/>
    <s v="Economy"/>
    <s v="SDG 8: Decent Work and Economic Growth"/>
    <n v="19530.365570000002"/>
    <s v="Source-defined international dollars"/>
    <s v="United States|1967"/>
    <s v="Gapminder/Plotly country-year extract reshaped to long indicator format for education"/>
    <s v="OK"/>
    <s v="1960s"/>
    <s v="N/A"/>
    <s v="Economy"/>
  </r>
  <r>
    <s v="GM-04837"/>
    <s v="United States"/>
    <x v="3"/>
    <x v="4"/>
    <x v="0"/>
    <s v="Life expectancy at birth"/>
    <s v="Health"/>
    <s v="SDG 3: Good Health and Well-being"/>
    <n v="71.34"/>
    <s v="Years"/>
    <s v="United States|1972"/>
    <s v="Gapminder/Plotly country-year extract reshaped to long indicator format for education"/>
    <s v="OK"/>
    <s v="1970s"/>
    <s v="High"/>
    <s v="Health"/>
  </r>
  <r>
    <s v="GM-04838"/>
    <s v="United States"/>
    <x v="3"/>
    <x v="4"/>
    <x v="1"/>
    <s v="Population, total"/>
    <s v="Demographics"/>
    <s v="SDG 11: Sustainable Cities and Communities"/>
    <n v="209896000"/>
    <s v="People"/>
    <s v="United States|1972"/>
    <s v="Gapminder/Plotly country-year extract reshaped to long indicator format for education"/>
    <s v="OK"/>
    <s v="1970s"/>
    <s v="N/A"/>
    <s v="Demographics"/>
  </r>
  <r>
    <s v="GM-04839"/>
    <s v="United States"/>
    <x v="3"/>
    <x v="4"/>
    <x v="2"/>
    <s v="GDP per capita"/>
    <s v="Economy"/>
    <s v="SDG 8: Decent Work and Economic Growth"/>
    <n v="21806.035940000002"/>
    <s v="Source-defined international dollars"/>
    <s v="United States|1972"/>
    <s v="Gapminder/Plotly country-year extract reshaped to long indicator format for education"/>
    <s v="OK"/>
    <s v="1970s"/>
    <s v="N/A"/>
    <s v="Economy"/>
  </r>
  <r>
    <s v="GM-04840"/>
    <s v="United States"/>
    <x v="3"/>
    <x v="5"/>
    <x v="0"/>
    <s v="Life expectancy at birth"/>
    <s v="Health"/>
    <s v="SDG 3: Good Health and Well-being"/>
    <n v="73.38"/>
    <s v="Years"/>
    <s v="United States|1977"/>
    <s v="Gapminder/Plotly country-year extract reshaped to long indicator format for education"/>
    <s v="OK"/>
    <s v="1970s"/>
    <s v="High"/>
    <s v="Health"/>
  </r>
  <r>
    <s v="GM-04841"/>
    <s v="United States"/>
    <x v="3"/>
    <x v="5"/>
    <x v="1"/>
    <s v="Population, total"/>
    <s v="Demographics"/>
    <s v="SDG 11: Sustainable Cities and Communities"/>
    <n v="220239000"/>
    <s v="People"/>
    <s v="United States|1977"/>
    <s v="Gapminder/Plotly country-year extract reshaped to long indicator format for education"/>
    <s v="OK"/>
    <s v="1970s"/>
    <s v="N/A"/>
    <s v="Demographics"/>
  </r>
  <r>
    <s v="GM-04842"/>
    <s v="United States"/>
    <x v="3"/>
    <x v="5"/>
    <x v="2"/>
    <s v="GDP per capita"/>
    <s v="Economy"/>
    <s v="SDG 8: Decent Work and Economic Growth"/>
    <n v="24072.632130000002"/>
    <s v="Source-defined international dollars"/>
    <s v="United States|1977"/>
    <s v="Gapminder/Plotly country-year extract reshaped to long indicator format for education"/>
    <s v="OK"/>
    <s v="1970s"/>
    <s v="N/A"/>
    <s v="Economy"/>
  </r>
  <r>
    <s v="GM-04843"/>
    <s v="United States"/>
    <x v="3"/>
    <x v="6"/>
    <x v="0"/>
    <s v="Life expectancy at birth"/>
    <s v="Health"/>
    <s v="SDG 3: Good Health and Well-being"/>
    <n v="74.650000000000006"/>
    <s v="Years"/>
    <s v="United States|1982"/>
    <s v="Gapminder/Plotly country-year extract reshaped to long indicator format for education"/>
    <s v="OK"/>
    <s v="1980s"/>
    <s v="High"/>
    <s v="Health"/>
  </r>
  <r>
    <s v="GM-04844"/>
    <s v="United States"/>
    <x v="3"/>
    <x v="6"/>
    <x v="1"/>
    <s v="Population, total"/>
    <s v="Demographics"/>
    <s v="SDG 11: Sustainable Cities and Communities"/>
    <n v="232187835"/>
    <s v="People"/>
    <s v="United States|1982"/>
    <s v="Gapminder/Plotly country-year extract reshaped to long indicator format for education"/>
    <s v="OK"/>
    <s v="1980s"/>
    <s v="N/A"/>
    <s v="Demographics"/>
  </r>
  <r>
    <s v="GM-04845"/>
    <s v="United States"/>
    <x v="3"/>
    <x v="6"/>
    <x v="2"/>
    <s v="GDP per capita"/>
    <s v="Economy"/>
    <s v="SDG 8: Decent Work and Economic Growth"/>
    <n v="25009.559140000001"/>
    <s v="Source-defined international dollars"/>
    <s v="United States|1982"/>
    <s v="Gapminder/Plotly country-year extract reshaped to long indicator format for education"/>
    <s v="OK"/>
    <s v="1980s"/>
    <s v="N/A"/>
    <s v="Economy"/>
  </r>
  <r>
    <s v="GM-04846"/>
    <s v="United States"/>
    <x v="3"/>
    <x v="7"/>
    <x v="0"/>
    <s v="Life expectancy at birth"/>
    <s v="Health"/>
    <s v="SDG 3: Good Health and Well-being"/>
    <n v="75.02"/>
    <s v="Years"/>
    <s v="United States|1987"/>
    <s v="Gapminder/Plotly country-year extract reshaped to long indicator format for education"/>
    <s v="OK"/>
    <s v="1980s"/>
    <s v="High"/>
    <s v="Health"/>
  </r>
  <r>
    <s v="GM-04847"/>
    <s v="United States"/>
    <x v="3"/>
    <x v="7"/>
    <x v="1"/>
    <s v="Population, total"/>
    <s v="Demographics"/>
    <s v="SDG 11: Sustainable Cities and Communities"/>
    <n v="242803533"/>
    <s v="People"/>
    <s v="United States|1987"/>
    <s v="Gapminder/Plotly country-year extract reshaped to long indicator format for education"/>
    <s v="OK"/>
    <s v="1980s"/>
    <s v="N/A"/>
    <s v="Demographics"/>
  </r>
  <r>
    <s v="GM-04848"/>
    <s v="United States"/>
    <x v="3"/>
    <x v="7"/>
    <x v="2"/>
    <s v="GDP per capita"/>
    <s v="Economy"/>
    <s v="SDG 8: Decent Work and Economic Growth"/>
    <n v="29884.350409999999"/>
    <s v="Source-defined international dollars"/>
    <s v="United States|1987"/>
    <s v="Gapminder/Plotly country-year extract reshaped to long indicator format for education"/>
    <s v="OK"/>
    <s v="1980s"/>
    <s v="N/A"/>
    <s v="Economy"/>
  </r>
  <r>
    <s v="GM-04849"/>
    <s v="United States"/>
    <x v="3"/>
    <x v="8"/>
    <x v="0"/>
    <s v="Life expectancy at birth"/>
    <s v="Health"/>
    <s v="SDG 3: Good Health and Well-being"/>
    <n v="76.09"/>
    <s v="Years"/>
    <s v="United States|1992"/>
    <s v="Gapminder/Plotly country-year extract reshaped to long indicator format for education"/>
    <s v="OK"/>
    <s v="1990s"/>
    <s v="High"/>
    <s v="Health"/>
  </r>
  <r>
    <s v="GM-04850"/>
    <s v="United States"/>
    <x v="3"/>
    <x v="8"/>
    <x v="1"/>
    <s v="Population, total"/>
    <s v="Demographics"/>
    <s v="SDG 11: Sustainable Cities and Communities"/>
    <n v="256894189"/>
    <s v="People"/>
    <s v="United States|1992"/>
    <s v="Gapminder/Plotly country-year extract reshaped to long indicator format for education"/>
    <s v="OK"/>
    <s v="1990s"/>
    <s v="N/A"/>
    <s v="Demographics"/>
  </r>
  <r>
    <s v="GM-04851"/>
    <s v="United States"/>
    <x v="3"/>
    <x v="8"/>
    <x v="2"/>
    <s v="GDP per capita"/>
    <s v="Economy"/>
    <s v="SDG 8: Decent Work and Economic Growth"/>
    <n v="32003.932239999998"/>
    <s v="Source-defined international dollars"/>
    <s v="United States|1992"/>
    <s v="Gapminder/Plotly country-year extract reshaped to long indicator format for education"/>
    <s v="OK"/>
    <s v="1990s"/>
    <s v="N/A"/>
    <s v="Economy"/>
  </r>
  <r>
    <s v="GM-04852"/>
    <s v="United States"/>
    <x v="3"/>
    <x v="9"/>
    <x v="0"/>
    <s v="Life expectancy at birth"/>
    <s v="Health"/>
    <s v="SDG 3: Good Health and Well-being"/>
    <n v="76.81"/>
    <s v="Years"/>
    <s v="United States|1997"/>
    <s v="Gapminder/Plotly country-year extract reshaped to long indicator format for education"/>
    <s v="OK"/>
    <s v="1990s"/>
    <s v="High"/>
    <s v="Health"/>
  </r>
  <r>
    <s v="GM-04853"/>
    <s v="United States"/>
    <x v="3"/>
    <x v="9"/>
    <x v="1"/>
    <s v="Population, total"/>
    <s v="Demographics"/>
    <s v="SDG 11: Sustainable Cities and Communities"/>
    <n v="272911760"/>
    <s v="People"/>
    <s v="United States|1997"/>
    <s v="Gapminder/Plotly country-year extract reshaped to long indicator format for education"/>
    <s v="OK"/>
    <s v="1990s"/>
    <s v="N/A"/>
    <s v="Demographics"/>
  </r>
  <r>
    <s v="GM-04854"/>
    <s v="United States"/>
    <x v="3"/>
    <x v="9"/>
    <x v="2"/>
    <s v="GDP per capita"/>
    <s v="Economy"/>
    <s v="SDG 8: Decent Work and Economic Growth"/>
    <n v="35767.43303"/>
    <s v="Source-defined international dollars"/>
    <s v="United States|1997"/>
    <s v="Gapminder/Plotly country-year extract reshaped to long indicator format for education"/>
    <s v="OK"/>
    <s v="1990s"/>
    <s v="N/A"/>
    <s v="Economy"/>
  </r>
  <r>
    <s v="GM-04855"/>
    <s v="United States"/>
    <x v="3"/>
    <x v="10"/>
    <x v="0"/>
    <s v="Life expectancy at birth"/>
    <s v="Health"/>
    <s v="SDG 3: Good Health and Well-being"/>
    <n v="77.31"/>
    <s v="Years"/>
    <s v="United States|2002"/>
    <s v="Gapminder/Plotly country-year extract reshaped to long indicator format for education"/>
    <s v="OK"/>
    <s v="2000s"/>
    <s v="High"/>
    <s v="Health"/>
  </r>
  <r>
    <s v="GM-04856"/>
    <s v="United States"/>
    <x v="3"/>
    <x v="10"/>
    <x v="1"/>
    <s v="Population, total"/>
    <s v="Demographics"/>
    <s v="SDG 11: Sustainable Cities and Communities"/>
    <n v="287675526"/>
    <s v="People"/>
    <s v="United States|2002"/>
    <s v="Gapminder/Plotly country-year extract reshaped to long indicator format for education"/>
    <s v="OK"/>
    <s v="2000s"/>
    <s v="N/A"/>
    <s v="Demographics"/>
  </r>
  <r>
    <s v="GM-04857"/>
    <s v="United States"/>
    <x v="3"/>
    <x v="10"/>
    <x v="2"/>
    <s v="GDP per capita"/>
    <s v="Economy"/>
    <s v="SDG 8: Decent Work and Economic Growth"/>
    <n v="39097.099549999999"/>
    <s v="Source-defined international dollars"/>
    <s v="United States|2002"/>
    <s v="Gapminder/Plotly country-year extract reshaped to long indicator format for education"/>
    <s v="OK"/>
    <s v="2000s"/>
    <s v="N/A"/>
    <s v="Economy"/>
  </r>
  <r>
    <s v="GM-04858"/>
    <s v="United States"/>
    <x v="3"/>
    <x v="11"/>
    <x v="0"/>
    <s v="Life expectancy at birth"/>
    <s v="Health"/>
    <s v="SDG 3: Good Health and Well-being"/>
    <n v="78.242000000000004"/>
    <s v="Years"/>
    <s v="United States|2007"/>
    <s v="Gapminder/Plotly country-year extract reshaped to long indicator format for education"/>
    <s v="OK"/>
    <s v="2000s"/>
    <s v="High"/>
    <s v="Health"/>
  </r>
  <r>
    <s v="GM-04859"/>
    <s v="United States"/>
    <x v="3"/>
    <x v="11"/>
    <x v="1"/>
    <s v="Population, total"/>
    <s v="Demographics"/>
    <s v="SDG 11: Sustainable Cities and Communities"/>
    <n v="301139947"/>
    <s v="People"/>
    <s v="United States|2007"/>
    <s v="Gapminder/Plotly country-year extract reshaped to long indicator format for education"/>
    <s v="OK"/>
    <s v="2000s"/>
    <s v="N/A"/>
    <s v="Demographics"/>
  </r>
  <r>
    <s v="GM-04860"/>
    <s v="United States"/>
    <x v="3"/>
    <x v="11"/>
    <x v="2"/>
    <s v="GDP per capita"/>
    <s v="Economy"/>
    <s v="SDG 8: Decent Work and Economic Growth"/>
    <n v="42951.65309"/>
    <s v="Source-defined international dollars"/>
    <s v="United States|2007"/>
    <s v="Gapminder/Plotly country-year extract reshaped to long indicator format for education"/>
    <s v="OK"/>
    <s v="2000s"/>
    <s v="N/A"/>
    <s v="Economy"/>
  </r>
  <r>
    <s v="GM-04861"/>
    <s v="Uruguay"/>
    <x v="3"/>
    <x v="0"/>
    <x v="0"/>
    <s v="Life expectancy at birth"/>
    <s v="Health"/>
    <s v="SDG 3: Good Health and Well-being"/>
    <n v="66.070999999999998"/>
    <s v="Years"/>
    <s v="Uruguay|1952"/>
    <s v="Gapminder/Plotly country-year extract reshaped to long indicator format for education"/>
    <s v="OK"/>
    <s v="1950s"/>
    <s v="Medium"/>
    <s v="Health"/>
  </r>
  <r>
    <s v="GM-04862"/>
    <s v="Uruguay"/>
    <x v="3"/>
    <x v="0"/>
    <x v="1"/>
    <s v="Population, total"/>
    <s v="Demographics"/>
    <s v="SDG 11: Sustainable Cities and Communities"/>
    <n v="2252965"/>
    <s v="People"/>
    <s v="Uruguay|1952"/>
    <s v="Gapminder/Plotly country-year extract reshaped to long indicator format for education"/>
    <s v="OK"/>
    <s v="1950s"/>
    <s v="N/A"/>
    <s v="Demographics"/>
  </r>
  <r>
    <s v="GM-04863"/>
    <s v="Uruguay"/>
    <x v="3"/>
    <x v="0"/>
    <x v="2"/>
    <s v="GDP per capita"/>
    <s v="Economy"/>
    <s v="SDG 8: Decent Work and Economic Growth"/>
    <n v="5716.7667439999996"/>
    <s v="Source-defined international dollars"/>
    <s v="Uruguay|1952"/>
    <s v="Gapminder/Plotly country-year extract reshaped to long indicator format for education"/>
    <s v="OK"/>
    <s v="1950s"/>
    <s v="N/A"/>
    <s v="Economy"/>
  </r>
  <r>
    <s v="GM-04864"/>
    <s v="Uruguay"/>
    <x v="3"/>
    <x v="1"/>
    <x v="0"/>
    <s v="Life expectancy at birth"/>
    <s v="Health"/>
    <s v="SDG 3: Good Health and Well-being"/>
    <n v="67.043999999999997"/>
    <s v="Years"/>
    <s v="Uruguay|1957"/>
    <s v="Gapminder/Plotly country-year extract reshaped to long indicator format for education"/>
    <s v="OK"/>
    <s v="1950s"/>
    <s v="Medium"/>
    <s v="Health"/>
  </r>
  <r>
    <s v="GM-04865"/>
    <s v="Uruguay"/>
    <x v="3"/>
    <x v="1"/>
    <x v="1"/>
    <s v="Population, total"/>
    <s v="Demographics"/>
    <s v="SDG 11: Sustainable Cities and Communities"/>
    <n v="2424959"/>
    <s v="People"/>
    <s v="Uruguay|1957"/>
    <s v="Gapminder/Plotly country-year extract reshaped to long indicator format for education"/>
    <s v="OK"/>
    <s v="1950s"/>
    <s v="N/A"/>
    <s v="Demographics"/>
  </r>
  <r>
    <s v="GM-04866"/>
    <s v="Uruguay"/>
    <x v="3"/>
    <x v="1"/>
    <x v="2"/>
    <s v="GDP per capita"/>
    <s v="Economy"/>
    <s v="SDG 8: Decent Work and Economic Growth"/>
    <n v="6150.7729689999996"/>
    <s v="Source-defined international dollars"/>
    <s v="Uruguay|1957"/>
    <s v="Gapminder/Plotly country-year extract reshaped to long indicator format for education"/>
    <s v="OK"/>
    <s v="1950s"/>
    <s v="N/A"/>
    <s v="Economy"/>
  </r>
  <r>
    <s v="GM-04867"/>
    <s v="Uruguay"/>
    <x v="3"/>
    <x v="2"/>
    <x v="0"/>
    <s v="Life expectancy at birth"/>
    <s v="Health"/>
    <s v="SDG 3: Good Health and Well-being"/>
    <n v="68.253"/>
    <s v="Years"/>
    <s v="Uruguay|1962"/>
    <s v="Gapminder/Plotly country-year extract reshaped to long indicator format for education"/>
    <s v="OK"/>
    <s v="1960s"/>
    <s v="Medium"/>
    <s v="Health"/>
  </r>
  <r>
    <s v="GM-04868"/>
    <s v="Uruguay"/>
    <x v="3"/>
    <x v="2"/>
    <x v="1"/>
    <s v="Population, total"/>
    <s v="Demographics"/>
    <s v="SDG 11: Sustainable Cities and Communities"/>
    <n v="2598466"/>
    <s v="People"/>
    <s v="Uruguay|1962"/>
    <s v="Gapminder/Plotly country-year extract reshaped to long indicator format for education"/>
    <s v="OK"/>
    <s v="1960s"/>
    <s v="N/A"/>
    <s v="Demographics"/>
  </r>
  <r>
    <s v="GM-04869"/>
    <s v="Uruguay"/>
    <x v="3"/>
    <x v="2"/>
    <x v="2"/>
    <s v="GDP per capita"/>
    <s v="Economy"/>
    <s v="SDG 8: Decent Work and Economic Growth"/>
    <n v="5603.3577169999999"/>
    <s v="Source-defined international dollars"/>
    <s v="Uruguay|1962"/>
    <s v="Gapminder/Plotly country-year extract reshaped to long indicator format for education"/>
    <s v="OK"/>
    <s v="1960s"/>
    <s v="N/A"/>
    <s v="Economy"/>
  </r>
  <r>
    <s v="GM-04870"/>
    <s v="Uruguay"/>
    <x v="3"/>
    <x v="3"/>
    <x v="0"/>
    <s v="Life expectancy at birth"/>
    <s v="Health"/>
    <s v="SDG 3: Good Health and Well-being"/>
    <n v="68.468000000000004"/>
    <s v="Years"/>
    <s v="Uruguay|1967"/>
    <s v="Gapminder/Plotly country-year extract reshaped to long indicator format for education"/>
    <s v="OK"/>
    <s v="1960s"/>
    <s v="Medium"/>
    <s v="Health"/>
  </r>
  <r>
    <s v="GM-04871"/>
    <s v="Uruguay"/>
    <x v="3"/>
    <x v="3"/>
    <x v="1"/>
    <s v="Population, total"/>
    <s v="Demographics"/>
    <s v="SDG 11: Sustainable Cities and Communities"/>
    <n v="2748579"/>
    <s v="People"/>
    <s v="Uruguay|1967"/>
    <s v="Gapminder/Plotly country-year extract reshaped to long indicator format for education"/>
    <s v="OK"/>
    <s v="1960s"/>
    <s v="N/A"/>
    <s v="Demographics"/>
  </r>
  <r>
    <s v="GM-04872"/>
    <s v="Uruguay"/>
    <x v="3"/>
    <x v="3"/>
    <x v="2"/>
    <s v="GDP per capita"/>
    <s v="Economy"/>
    <s v="SDG 8: Decent Work and Economic Growth"/>
    <n v="5444.6196200000004"/>
    <s v="Source-defined international dollars"/>
    <s v="Uruguay|1967"/>
    <s v="Gapminder/Plotly country-year extract reshaped to long indicator format for education"/>
    <s v="OK"/>
    <s v="1960s"/>
    <s v="N/A"/>
    <s v="Economy"/>
  </r>
  <r>
    <s v="GM-04873"/>
    <s v="Uruguay"/>
    <x v="3"/>
    <x v="4"/>
    <x v="0"/>
    <s v="Life expectancy at birth"/>
    <s v="Health"/>
    <s v="SDG 3: Good Health and Well-being"/>
    <n v="68.673000000000002"/>
    <s v="Years"/>
    <s v="Uruguay|1972"/>
    <s v="Gapminder/Plotly country-year extract reshaped to long indicator format for education"/>
    <s v="OK"/>
    <s v="1970s"/>
    <s v="Medium"/>
    <s v="Health"/>
  </r>
  <r>
    <s v="GM-04874"/>
    <s v="Uruguay"/>
    <x v="3"/>
    <x v="4"/>
    <x v="1"/>
    <s v="Population, total"/>
    <s v="Demographics"/>
    <s v="SDG 11: Sustainable Cities and Communities"/>
    <n v="2829526"/>
    <s v="People"/>
    <s v="Uruguay|1972"/>
    <s v="Gapminder/Plotly country-year extract reshaped to long indicator format for education"/>
    <s v="OK"/>
    <s v="1970s"/>
    <s v="N/A"/>
    <s v="Demographics"/>
  </r>
  <r>
    <s v="GM-04875"/>
    <s v="Uruguay"/>
    <x v="3"/>
    <x v="4"/>
    <x v="2"/>
    <s v="GDP per capita"/>
    <s v="Economy"/>
    <s v="SDG 8: Decent Work and Economic Growth"/>
    <n v="5703.4088979999997"/>
    <s v="Source-defined international dollars"/>
    <s v="Uruguay|1972"/>
    <s v="Gapminder/Plotly country-year extract reshaped to long indicator format for education"/>
    <s v="OK"/>
    <s v="1970s"/>
    <s v="N/A"/>
    <s v="Economy"/>
  </r>
  <r>
    <s v="GM-04876"/>
    <s v="Uruguay"/>
    <x v="3"/>
    <x v="5"/>
    <x v="0"/>
    <s v="Life expectancy at birth"/>
    <s v="Health"/>
    <s v="SDG 3: Good Health and Well-being"/>
    <n v="69.480999999999995"/>
    <s v="Years"/>
    <s v="Uruguay|1977"/>
    <s v="Gapminder/Plotly country-year extract reshaped to long indicator format for education"/>
    <s v="OK"/>
    <s v="1970s"/>
    <s v="Medium"/>
    <s v="Health"/>
  </r>
  <r>
    <s v="GM-04877"/>
    <s v="Uruguay"/>
    <x v="3"/>
    <x v="5"/>
    <x v="1"/>
    <s v="Population, total"/>
    <s v="Demographics"/>
    <s v="SDG 11: Sustainable Cities and Communities"/>
    <n v="2873520"/>
    <s v="People"/>
    <s v="Uruguay|1977"/>
    <s v="Gapminder/Plotly country-year extract reshaped to long indicator format for education"/>
    <s v="OK"/>
    <s v="1970s"/>
    <s v="N/A"/>
    <s v="Demographics"/>
  </r>
  <r>
    <s v="GM-04878"/>
    <s v="Uruguay"/>
    <x v="3"/>
    <x v="5"/>
    <x v="2"/>
    <s v="GDP per capita"/>
    <s v="Economy"/>
    <s v="SDG 8: Decent Work and Economic Growth"/>
    <n v="6504.3396629999997"/>
    <s v="Source-defined international dollars"/>
    <s v="Uruguay|1977"/>
    <s v="Gapminder/Plotly country-year extract reshaped to long indicator format for education"/>
    <s v="OK"/>
    <s v="1970s"/>
    <s v="N/A"/>
    <s v="Economy"/>
  </r>
  <r>
    <s v="GM-04879"/>
    <s v="Uruguay"/>
    <x v="3"/>
    <x v="6"/>
    <x v="0"/>
    <s v="Life expectancy at birth"/>
    <s v="Health"/>
    <s v="SDG 3: Good Health and Well-being"/>
    <n v="70.805000000000007"/>
    <s v="Years"/>
    <s v="Uruguay|1982"/>
    <s v="Gapminder/Plotly country-year extract reshaped to long indicator format for education"/>
    <s v="OK"/>
    <s v="1980s"/>
    <s v="High"/>
    <s v="Health"/>
  </r>
  <r>
    <s v="GM-04880"/>
    <s v="Uruguay"/>
    <x v="3"/>
    <x v="6"/>
    <x v="1"/>
    <s v="Population, total"/>
    <s v="Demographics"/>
    <s v="SDG 11: Sustainable Cities and Communities"/>
    <n v="2953997"/>
    <s v="People"/>
    <s v="Uruguay|1982"/>
    <s v="Gapminder/Plotly country-year extract reshaped to long indicator format for education"/>
    <s v="OK"/>
    <s v="1980s"/>
    <s v="N/A"/>
    <s v="Demographics"/>
  </r>
  <r>
    <s v="GM-04881"/>
    <s v="Uruguay"/>
    <x v="3"/>
    <x v="6"/>
    <x v="2"/>
    <s v="GDP per capita"/>
    <s v="Economy"/>
    <s v="SDG 8: Decent Work and Economic Growth"/>
    <n v="6920.2230509999999"/>
    <s v="Source-defined international dollars"/>
    <s v="Uruguay|1982"/>
    <s v="Gapminder/Plotly country-year extract reshaped to long indicator format for education"/>
    <s v="OK"/>
    <s v="1980s"/>
    <s v="N/A"/>
    <s v="Economy"/>
  </r>
  <r>
    <s v="GM-04882"/>
    <s v="Uruguay"/>
    <x v="3"/>
    <x v="7"/>
    <x v="0"/>
    <s v="Life expectancy at birth"/>
    <s v="Health"/>
    <s v="SDG 3: Good Health and Well-being"/>
    <n v="71.918000000000006"/>
    <s v="Years"/>
    <s v="Uruguay|1987"/>
    <s v="Gapminder/Plotly country-year extract reshaped to long indicator format for education"/>
    <s v="OK"/>
    <s v="1980s"/>
    <s v="High"/>
    <s v="Health"/>
  </r>
  <r>
    <s v="GM-04883"/>
    <s v="Uruguay"/>
    <x v="3"/>
    <x v="7"/>
    <x v="1"/>
    <s v="Population, total"/>
    <s v="Demographics"/>
    <s v="SDG 11: Sustainable Cities and Communities"/>
    <n v="3045153"/>
    <s v="People"/>
    <s v="Uruguay|1987"/>
    <s v="Gapminder/Plotly country-year extract reshaped to long indicator format for education"/>
    <s v="OK"/>
    <s v="1980s"/>
    <s v="N/A"/>
    <s v="Demographics"/>
  </r>
  <r>
    <s v="GM-04884"/>
    <s v="Uruguay"/>
    <x v="3"/>
    <x v="7"/>
    <x v="2"/>
    <s v="GDP per capita"/>
    <s v="Economy"/>
    <s v="SDG 8: Decent Work and Economic Growth"/>
    <n v="7452.3989689999999"/>
    <s v="Source-defined international dollars"/>
    <s v="Uruguay|1987"/>
    <s v="Gapminder/Plotly country-year extract reshaped to long indicator format for education"/>
    <s v="OK"/>
    <s v="1980s"/>
    <s v="N/A"/>
    <s v="Economy"/>
  </r>
  <r>
    <s v="GM-04885"/>
    <s v="Uruguay"/>
    <x v="3"/>
    <x v="8"/>
    <x v="0"/>
    <s v="Life expectancy at birth"/>
    <s v="Health"/>
    <s v="SDG 3: Good Health and Well-being"/>
    <n v="72.751999999999995"/>
    <s v="Years"/>
    <s v="Uruguay|1992"/>
    <s v="Gapminder/Plotly country-year extract reshaped to long indicator format for education"/>
    <s v="OK"/>
    <s v="1990s"/>
    <s v="High"/>
    <s v="Health"/>
  </r>
  <r>
    <s v="GM-04886"/>
    <s v="Uruguay"/>
    <x v="3"/>
    <x v="8"/>
    <x v="1"/>
    <s v="Population, total"/>
    <s v="Demographics"/>
    <s v="SDG 11: Sustainable Cities and Communities"/>
    <n v="3149262"/>
    <s v="People"/>
    <s v="Uruguay|1992"/>
    <s v="Gapminder/Plotly country-year extract reshaped to long indicator format for education"/>
    <s v="OK"/>
    <s v="1990s"/>
    <s v="N/A"/>
    <s v="Demographics"/>
  </r>
  <r>
    <s v="GM-04887"/>
    <s v="Uruguay"/>
    <x v="3"/>
    <x v="8"/>
    <x v="2"/>
    <s v="GDP per capita"/>
    <s v="Economy"/>
    <s v="SDG 8: Decent Work and Economic Growth"/>
    <n v="8137.0047750000003"/>
    <s v="Source-defined international dollars"/>
    <s v="Uruguay|1992"/>
    <s v="Gapminder/Plotly country-year extract reshaped to long indicator format for education"/>
    <s v="OK"/>
    <s v="1990s"/>
    <s v="N/A"/>
    <s v="Economy"/>
  </r>
  <r>
    <s v="GM-04888"/>
    <s v="Uruguay"/>
    <x v="3"/>
    <x v="9"/>
    <x v="0"/>
    <s v="Life expectancy at birth"/>
    <s v="Health"/>
    <s v="SDG 3: Good Health and Well-being"/>
    <n v="74.222999999999999"/>
    <s v="Years"/>
    <s v="Uruguay|1997"/>
    <s v="Gapminder/Plotly country-year extract reshaped to long indicator format for education"/>
    <s v="OK"/>
    <s v="1990s"/>
    <s v="High"/>
    <s v="Health"/>
  </r>
  <r>
    <s v="GM-04889"/>
    <s v="Uruguay"/>
    <x v="3"/>
    <x v="9"/>
    <x v="1"/>
    <s v="Population, total"/>
    <s v="Demographics"/>
    <s v="SDG 11: Sustainable Cities and Communities"/>
    <n v="3262838"/>
    <s v="People"/>
    <s v="Uruguay|1997"/>
    <s v="Gapminder/Plotly country-year extract reshaped to long indicator format for education"/>
    <s v="OK"/>
    <s v="1990s"/>
    <s v="N/A"/>
    <s v="Demographics"/>
  </r>
  <r>
    <s v="GM-04890"/>
    <s v="Uruguay"/>
    <x v="3"/>
    <x v="9"/>
    <x v="2"/>
    <s v="GDP per capita"/>
    <s v="Economy"/>
    <s v="SDG 8: Decent Work and Economic Growth"/>
    <n v="9230.2407079999994"/>
    <s v="Source-defined international dollars"/>
    <s v="Uruguay|1997"/>
    <s v="Gapminder/Plotly country-year extract reshaped to long indicator format for education"/>
    <s v="OK"/>
    <s v="1990s"/>
    <s v="N/A"/>
    <s v="Economy"/>
  </r>
  <r>
    <s v="GM-04891"/>
    <s v="Uruguay"/>
    <x v="3"/>
    <x v="10"/>
    <x v="0"/>
    <s v="Life expectancy at birth"/>
    <s v="Health"/>
    <s v="SDG 3: Good Health and Well-being"/>
    <n v="75.307000000000002"/>
    <s v="Years"/>
    <s v="Uruguay|2002"/>
    <s v="Gapminder/Plotly country-year extract reshaped to long indicator format for education"/>
    <s v="OK"/>
    <s v="2000s"/>
    <s v="High"/>
    <s v="Health"/>
  </r>
  <r>
    <s v="GM-04892"/>
    <s v="Uruguay"/>
    <x v="3"/>
    <x v="10"/>
    <x v="1"/>
    <s v="Population, total"/>
    <s v="Demographics"/>
    <s v="SDG 11: Sustainable Cities and Communities"/>
    <n v="3363085"/>
    <s v="People"/>
    <s v="Uruguay|2002"/>
    <s v="Gapminder/Plotly country-year extract reshaped to long indicator format for education"/>
    <s v="OK"/>
    <s v="2000s"/>
    <s v="N/A"/>
    <s v="Demographics"/>
  </r>
  <r>
    <s v="GM-04893"/>
    <s v="Uruguay"/>
    <x v="3"/>
    <x v="10"/>
    <x v="2"/>
    <s v="GDP per capita"/>
    <s v="Economy"/>
    <s v="SDG 8: Decent Work and Economic Growth"/>
    <n v="7727.0020039999999"/>
    <s v="Source-defined international dollars"/>
    <s v="Uruguay|2002"/>
    <s v="Gapminder/Plotly country-year extract reshaped to long indicator format for education"/>
    <s v="OK"/>
    <s v="2000s"/>
    <s v="N/A"/>
    <s v="Economy"/>
  </r>
  <r>
    <s v="GM-04894"/>
    <s v="Uruguay"/>
    <x v="3"/>
    <x v="11"/>
    <x v="0"/>
    <s v="Life expectancy at birth"/>
    <s v="Health"/>
    <s v="SDG 3: Good Health and Well-being"/>
    <n v="76.384"/>
    <s v="Years"/>
    <s v="Uruguay|2007"/>
    <s v="Gapminder/Plotly country-year extract reshaped to long indicator format for education"/>
    <s v="OK"/>
    <s v="2000s"/>
    <s v="High"/>
    <s v="Health"/>
  </r>
  <r>
    <s v="GM-04895"/>
    <s v="Uruguay"/>
    <x v="3"/>
    <x v="11"/>
    <x v="1"/>
    <s v="Population, total"/>
    <s v="Demographics"/>
    <s v="SDG 11: Sustainable Cities and Communities"/>
    <n v="3447496"/>
    <s v="People"/>
    <s v="Uruguay|2007"/>
    <s v="Gapminder/Plotly country-year extract reshaped to long indicator format for education"/>
    <s v="OK"/>
    <s v="2000s"/>
    <s v="N/A"/>
    <s v="Demographics"/>
  </r>
  <r>
    <s v="GM-04896"/>
    <s v="Uruguay"/>
    <x v="3"/>
    <x v="11"/>
    <x v="2"/>
    <s v="GDP per capita"/>
    <s v="Economy"/>
    <s v="SDG 8: Decent Work and Economic Growth"/>
    <n v="10611.46299"/>
    <s v="Source-defined international dollars"/>
    <s v="Uruguay|2007"/>
    <s v="Gapminder/Plotly country-year extract reshaped to long indicator format for education"/>
    <s v="OK"/>
    <s v="2000s"/>
    <s v="N/A"/>
    <s v="Economy"/>
  </r>
  <r>
    <s v="GM-04897"/>
    <s v="Venezuela"/>
    <x v="3"/>
    <x v="0"/>
    <x v="0"/>
    <s v="Life expectancy at birth"/>
    <s v="Health"/>
    <s v="SDG 3: Good Health and Well-being"/>
    <n v="55.088000000000001"/>
    <s v="Years"/>
    <s v="Venezuela|1952"/>
    <s v="Gapminder/Plotly country-year extract reshaped to long indicator format for education"/>
    <s v="OK"/>
    <s v="1950s"/>
    <s v="Medium"/>
    <s v="Health"/>
  </r>
  <r>
    <s v="GM-04898"/>
    <s v="Venezuela"/>
    <x v="3"/>
    <x v="0"/>
    <x v="1"/>
    <s v="Population, total"/>
    <s v="Demographics"/>
    <s v="SDG 11: Sustainable Cities and Communities"/>
    <n v="5439568"/>
    <s v="People"/>
    <s v="Venezuela|1952"/>
    <s v="Gapminder/Plotly country-year extract reshaped to long indicator format for education"/>
    <s v="OK"/>
    <s v="1950s"/>
    <s v="N/A"/>
    <s v="Demographics"/>
  </r>
  <r>
    <s v="GM-04899"/>
    <s v="Venezuela"/>
    <x v="3"/>
    <x v="0"/>
    <x v="2"/>
    <s v="GDP per capita"/>
    <s v="Economy"/>
    <s v="SDG 8: Decent Work and Economic Growth"/>
    <n v="7689.7997610000002"/>
    <s v="Source-defined international dollars"/>
    <s v="Venezuela|1952"/>
    <s v="Gapminder/Plotly country-year extract reshaped to long indicator format for education"/>
    <s v="OK"/>
    <s v="1950s"/>
    <s v="N/A"/>
    <s v="Economy"/>
  </r>
  <r>
    <s v="GM-04900"/>
    <s v="Venezuela"/>
    <x v="3"/>
    <x v="1"/>
    <x v="0"/>
    <s v="Life expectancy at birth"/>
    <s v="Health"/>
    <s v="SDG 3: Good Health and Well-being"/>
    <n v="57.906999999999996"/>
    <s v="Years"/>
    <s v="Venezuela|1957"/>
    <s v="Gapminder/Plotly country-year extract reshaped to long indicator format for education"/>
    <s v="OK"/>
    <s v="1950s"/>
    <s v="Medium"/>
    <s v="Health"/>
  </r>
  <r>
    <s v="GM-04901"/>
    <s v="Venezuela"/>
    <x v="3"/>
    <x v="1"/>
    <x v="1"/>
    <s v="Population, total"/>
    <s v="Demographics"/>
    <s v="SDG 11: Sustainable Cities and Communities"/>
    <n v="6702668"/>
    <s v="People"/>
    <s v="Venezuela|1957"/>
    <s v="Gapminder/Plotly country-year extract reshaped to long indicator format for education"/>
    <s v="OK"/>
    <s v="1950s"/>
    <s v="N/A"/>
    <s v="Demographics"/>
  </r>
  <r>
    <s v="GM-04902"/>
    <s v="Venezuela"/>
    <x v="3"/>
    <x v="1"/>
    <x v="2"/>
    <s v="GDP per capita"/>
    <s v="Economy"/>
    <s v="SDG 8: Decent Work and Economic Growth"/>
    <n v="9802.4665260000002"/>
    <s v="Source-defined international dollars"/>
    <s v="Venezuela|1957"/>
    <s v="Gapminder/Plotly country-year extract reshaped to long indicator format for education"/>
    <s v="OK"/>
    <s v="1950s"/>
    <s v="N/A"/>
    <s v="Economy"/>
  </r>
  <r>
    <s v="GM-04903"/>
    <s v="Venezuela"/>
    <x v="3"/>
    <x v="2"/>
    <x v="0"/>
    <s v="Life expectancy at birth"/>
    <s v="Health"/>
    <s v="SDG 3: Good Health and Well-being"/>
    <n v="60.77"/>
    <s v="Years"/>
    <s v="Venezuela|1962"/>
    <s v="Gapminder/Plotly country-year extract reshaped to long indicator format for education"/>
    <s v="OK"/>
    <s v="1960s"/>
    <s v="Medium"/>
    <s v="Health"/>
  </r>
  <r>
    <s v="GM-04904"/>
    <s v="Venezuela"/>
    <x v="3"/>
    <x v="2"/>
    <x v="1"/>
    <s v="Population, total"/>
    <s v="Demographics"/>
    <s v="SDG 11: Sustainable Cities and Communities"/>
    <n v="8143375"/>
    <s v="People"/>
    <s v="Venezuela|1962"/>
    <s v="Gapminder/Plotly country-year extract reshaped to long indicator format for education"/>
    <s v="OK"/>
    <s v="1960s"/>
    <s v="N/A"/>
    <s v="Demographics"/>
  </r>
  <r>
    <s v="GM-04905"/>
    <s v="Venezuela"/>
    <x v="3"/>
    <x v="2"/>
    <x v="2"/>
    <s v="GDP per capita"/>
    <s v="Economy"/>
    <s v="SDG 8: Decent Work and Economic Growth"/>
    <n v="8422.9741649999996"/>
    <s v="Source-defined international dollars"/>
    <s v="Venezuela|1962"/>
    <s v="Gapminder/Plotly country-year extract reshaped to long indicator format for education"/>
    <s v="OK"/>
    <s v="1960s"/>
    <s v="N/A"/>
    <s v="Economy"/>
  </r>
  <r>
    <s v="GM-04906"/>
    <s v="Venezuela"/>
    <x v="3"/>
    <x v="3"/>
    <x v="0"/>
    <s v="Life expectancy at birth"/>
    <s v="Health"/>
    <s v="SDG 3: Good Health and Well-being"/>
    <n v="63.478999999999999"/>
    <s v="Years"/>
    <s v="Venezuela|1967"/>
    <s v="Gapminder/Plotly country-year extract reshaped to long indicator format for education"/>
    <s v="OK"/>
    <s v="1960s"/>
    <s v="Medium"/>
    <s v="Health"/>
  </r>
  <r>
    <s v="GM-04907"/>
    <s v="Venezuela"/>
    <x v="3"/>
    <x v="3"/>
    <x v="1"/>
    <s v="Population, total"/>
    <s v="Demographics"/>
    <s v="SDG 11: Sustainable Cities and Communities"/>
    <n v="9709552"/>
    <s v="People"/>
    <s v="Venezuela|1967"/>
    <s v="Gapminder/Plotly country-year extract reshaped to long indicator format for education"/>
    <s v="OK"/>
    <s v="1960s"/>
    <s v="N/A"/>
    <s v="Demographics"/>
  </r>
  <r>
    <s v="GM-04908"/>
    <s v="Venezuela"/>
    <x v="3"/>
    <x v="3"/>
    <x v="2"/>
    <s v="GDP per capita"/>
    <s v="Economy"/>
    <s v="SDG 8: Decent Work and Economic Growth"/>
    <n v="9541.4741880000001"/>
    <s v="Source-defined international dollars"/>
    <s v="Venezuela|1967"/>
    <s v="Gapminder/Plotly country-year extract reshaped to long indicator format for education"/>
    <s v="OK"/>
    <s v="1960s"/>
    <s v="N/A"/>
    <s v="Economy"/>
  </r>
  <r>
    <s v="GM-04909"/>
    <s v="Venezuela"/>
    <x v="3"/>
    <x v="4"/>
    <x v="0"/>
    <s v="Life expectancy at birth"/>
    <s v="Health"/>
    <s v="SDG 3: Good Health and Well-being"/>
    <n v="65.712000000000003"/>
    <s v="Years"/>
    <s v="Venezuela|1972"/>
    <s v="Gapminder/Plotly country-year extract reshaped to long indicator format for education"/>
    <s v="OK"/>
    <s v="1970s"/>
    <s v="Medium"/>
    <s v="Health"/>
  </r>
  <r>
    <s v="GM-04910"/>
    <s v="Venezuela"/>
    <x v="3"/>
    <x v="4"/>
    <x v="1"/>
    <s v="Population, total"/>
    <s v="Demographics"/>
    <s v="SDG 11: Sustainable Cities and Communities"/>
    <n v="11515649"/>
    <s v="People"/>
    <s v="Venezuela|1972"/>
    <s v="Gapminder/Plotly country-year extract reshaped to long indicator format for education"/>
    <s v="OK"/>
    <s v="1970s"/>
    <s v="N/A"/>
    <s v="Demographics"/>
  </r>
  <r>
    <s v="GM-04911"/>
    <s v="Venezuela"/>
    <x v="3"/>
    <x v="4"/>
    <x v="2"/>
    <s v="GDP per capita"/>
    <s v="Economy"/>
    <s v="SDG 8: Decent Work and Economic Growth"/>
    <n v="10505.25966"/>
    <s v="Source-defined international dollars"/>
    <s v="Venezuela|1972"/>
    <s v="Gapminder/Plotly country-year extract reshaped to long indicator format for education"/>
    <s v="OK"/>
    <s v="1970s"/>
    <s v="N/A"/>
    <s v="Economy"/>
  </r>
  <r>
    <s v="GM-04912"/>
    <s v="Venezuela"/>
    <x v="3"/>
    <x v="5"/>
    <x v="0"/>
    <s v="Life expectancy at birth"/>
    <s v="Health"/>
    <s v="SDG 3: Good Health and Well-being"/>
    <n v="67.456000000000003"/>
    <s v="Years"/>
    <s v="Venezuela|1977"/>
    <s v="Gapminder/Plotly country-year extract reshaped to long indicator format for education"/>
    <s v="OK"/>
    <s v="1970s"/>
    <s v="Medium"/>
    <s v="Health"/>
  </r>
  <r>
    <s v="GM-04913"/>
    <s v="Venezuela"/>
    <x v="3"/>
    <x v="5"/>
    <x v="1"/>
    <s v="Population, total"/>
    <s v="Demographics"/>
    <s v="SDG 11: Sustainable Cities and Communities"/>
    <n v="13503563"/>
    <s v="People"/>
    <s v="Venezuela|1977"/>
    <s v="Gapminder/Plotly country-year extract reshaped to long indicator format for education"/>
    <s v="OK"/>
    <s v="1970s"/>
    <s v="N/A"/>
    <s v="Demographics"/>
  </r>
  <r>
    <s v="GM-04914"/>
    <s v="Venezuela"/>
    <x v="3"/>
    <x v="5"/>
    <x v="2"/>
    <s v="GDP per capita"/>
    <s v="Economy"/>
    <s v="SDG 8: Decent Work and Economic Growth"/>
    <n v="13143.95095"/>
    <s v="Source-defined international dollars"/>
    <s v="Venezuela|1977"/>
    <s v="Gapminder/Plotly country-year extract reshaped to long indicator format for education"/>
    <s v="OK"/>
    <s v="1970s"/>
    <s v="N/A"/>
    <s v="Economy"/>
  </r>
  <r>
    <s v="GM-04915"/>
    <s v="Venezuela"/>
    <x v="3"/>
    <x v="6"/>
    <x v="0"/>
    <s v="Life expectancy at birth"/>
    <s v="Health"/>
    <s v="SDG 3: Good Health and Well-being"/>
    <n v="68.557000000000002"/>
    <s v="Years"/>
    <s v="Venezuela|1982"/>
    <s v="Gapminder/Plotly country-year extract reshaped to long indicator format for education"/>
    <s v="OK"/>
    <s v="1980s"/>
    <s v="Medium"/>
    <s v="Health"/>
  </r>
  <r>
    <s v="GM-04916"/>
    <s v="Venezuela"/>
    <x v="3"/>
    <x v="6"/>
    <x v="1"/>
    <s v="Population, total"/>
    <s v="Demographics"/>
    <s v="SDG 11: Sustainable Cities and Communities"/>
    <n v="15620766"/>
    <s v="People"/>
    <s v="Venezuela|1982"/>
    <s v="Gapminder/Plotly country-year extract reshaped to long indicator format for education"/>
    <s v="OK"/>
    <s v="1980s"/>
    <s v="N/A"/>
    <s v="Demographics"/>
  </r>
  <r>
    <s v="GM-04917"/>
    <s v="Venezuela"/>
    <x v="3"/>
    <x v="6"/>
    <x v="2"/>
    <s v="GDP per capita"/>
    <s v="Economy"/>
    <s v="SDG 8: Decent Work and Economic Growth"/>
    <n v="11152.410110000001"/>
    <s v="Source-defined international dollars"/>
    <s v="Venezuela|1982"/>
    <s v="Gapminder/Plotly country-year extract reshaped to long indicator format for education"/>
    <s v="OK"/>
    <s v="1980s"/>
    <s v="N/A"/>
    <s v="Economy"/>
  </r>
  <r>
    <s v="GM-04918"/>
    <s v="Venezuela"/>
    <x v="3"/>
    <x v="7"/>
    <x v="0"/>
    <s v="Life expectancy at birth"/>
    <s v="Health"/>
    <s v="SDG 3: Good Health and Well-being"/>
    <n v="70.19"/>
    <s v="Years"/>
    <s v="Venezuela|1987"/>
    <s v="Gapminder/Plotly country-year extract reshaped to long indicator format for education"/>
    <s v="OK"/>
    <s v="1980s"/>
    <s v="High"/>
    <s v="Health"/>
  </r>
  <r>
    <s v="GM-04919"/>
    <s v="Venezuela"/>
    <x v="3"/>
    <x v="7"/>
    <x v="1"/>
    <s v="Population, total"/>
    <s v="Demographics"/>
    <s v="SDG 11: Sustainable Cities and Communities"/>
    <n v="17910182"/>
    <s v="People"/>
    <s v="Venezuela|1987"/>
    <s v="Gapminder/Plotly country-year extract reshaped to long indicator format for education"/>
    <s v="OK"/>
    <s v="1980s"/>
    <s v="N/A"/>
    <s v="Demographics"/>
  </r>
  <r>
    <s v="GM-04920"/>
    <s v="Venezuela"/>
    <x v="3"/>
    <x v="7"/>
    <x v="2"/>
    <s v="GDP per capita"/>
    <s v="Economy"/>
    <s v="SDG 8: Decent Work and Economic Growth"/>
    <n v="9883.584648"/>
    <s v="Source-defined international dollars"/>
    <s v="Venezuela|1987"/>
    <s v="Gapminder/Plotly country-year extract reshaped to long indicator format for education"/>
    <s v="OK"/>
    <s v="1980s"/>
    <s v="N/A"/>
    <s v="Economy"/>
  </r>
  <r>
    <s v="GM-04921"/>
    <s v="Venezuela"/>
    <x v="3"/>
    <x v="8"/>
    <x v="0"/>
    <s v="Life expectancy at birth"/>
    <s v="Health"/>
    <s v="SDG 3: Good Health and Well-being"/>
    <n v="71.150000000000006"/>
    <s v="Years"/>
    <s v="Venezuela|1992"/>
    <s v="Gapminder/Plotly country-year extract reshaped to long indicator format for education"/>
    <s v="OK"/>
    <s v="1990s"/>
    <s v="High"/>
    <s v="Health"/>
  </r>
  <r>
    <s v="GM-04922"/>
    <s v="Venezuela"/>
    <x v="3"/>
    <x v="8"/>
    <x v="1"/>
    <s v="Population, total"/>
    <s v="Demographics"/>
    <s v="SDG 11: Sustainable Cities and Communities"/>
    <n v="20265563"/>
    <s v="People"/>
    <s v="Venezuela|1992"/>
    <s v="Gapminder/Plotly country-year extract reshaped to long indicator format for education"/>
    <s v="OK"/>
    <s v="1990s"/>
    <s v="N/A"/>
    <s v="Demographics"/>
  </r>
  <r>
    <s v="GM-04923"/>
    <s v="Venezuela"/>
    <x v="3"/>
    <x v="8"/>
    <x v="2"/>
    <s v="GDP per capita"/>
    <s v="Economy"/>
    <s v="SDG 8: Decent Work and Economic Growth"/>
    <n v="10733.926310000001"/>
    <s v="Source-defined international dollars"/>
    <s v="Venezuela|1992"/>
    <s v="Gapminder/Plotly country-year extract reshaped to long indicator format for education"/>
    <s v="OK"/>
    <s v="1990s"/>
    <s v="N/A"/>
    <s v="Economy"/>
  </r>
  <r>
    <s v="GM-04924"/>
    <s v="Venezuela"/>
    <x v="3"/>
    <x v="9"/>
    <x v="0"/>
    <s v="Life expectancy at birth"/>
    <s v="Health"/>
    <s v="SDG 3: Good Health and Well-being"/>
    <n v="72.146000000000001"/>
    <s v="Years"/>
    <s v="Venezuela|1997"/>
    <s v="Gapminder/Plotly country-year extract reshaped to long indicator format for education"/>
    <s v="OK"/>
    <s v="1990s"/>
    <s v="High"/>
    <s v="Health"/>
  </r>
  <r>
    <s v="GM-04925"/>
    <s v="Venezuela"/>
    <x v="3"/>
    <x v="9"/>
    <x v="1"/>
    <s v="Population, total"/>
    <s v="Demographics"/>
    <s v="SDG 11: Sustainable Cities and Communities"/>
    <n v="22374398"/>
    <s v="People"/>
    <s v="Venezuela|1997"/>
    <s v="Gapminder/Plotly country-year extract reshaped to long indicator format for education"/>
    <s v="OK"/>
    <s v="1990s"/>
    <s v="N/A"/>
    <s v="Demographics"/>
  </r>
  <r>
    <s v="GM-04926"/>
    <s v="Venezuela"/>
    <x v="3"/>
    <x v="9"/>
    <x v="2"/>
    <s v="GDP per capita"/>
    <s v="Economy"/>
    <s v="SDG 8: Decent Work and Economic Growth"/>
    <n v="10165.49518"/>
    <s v="Source-defined international dollars"/>
    <s v="Venezuela|1997"/>
    <s v="Gapminder/Plotly country-year extract reshaped to long indicator format for education"/>
    <s v="OK"/>
    <s v="1990s"/>
    <s v="N/A"/>
    <s v="Economy"/>
  </r>
  <r>
    <s v="GM-04927"/>
    <s v="Venezuela"/>
    <x v="3"/>
    <x v="10"/>
    <x v="0"/>
    <s v="Life expectancy at birth"/>
    <s v="Health"/>
    <s v="SDG 3: Good Health and Well-being"/>
    <n v="72.766000000000005"/>
    <s v="Years"/>
    <s v="Venezuela|2002"/>
    <s v="Gapminder/Plotly country-year extract reshaped to long indicator format for education"/>
    <s v="OK"/>
    <s v="2000s"/>
    <s v="High"/>
    <s v="Health"/>
  </r>
  <r>
    <s v="GM-04928"/>
    <s v="Venezuela"/>
    <x v="3"/>
    <x v="10"/>
    <x v="1"/>
    <s v="Population, total"/>
    <s v="Demographics"/>
    <s v="SDG 11: Sustainable Cities and Communities"/>
    <n v="24287670"/>
    <s v="People"/>
    <s v="Venezuela|2002"/>
    <s v="Gapminder/Plotly country-year extract reshaped to long indicator format for education"/>
    <s v="OK"/>
    <s v="2000s"/>
    <s v="N/A"/>
    <s v="Demographics"/>
  </r>
  <r>
    <s v="GM-04929"/>
    <s v="Venezuela"/>
    <x v="3"/>
    <x v="10"/>
    <x v="2"/>
    <s v="GDP per capita"/>
    <s v="Economy"/>
    <s v="SDG 8: Decent Work and Economic Growth"/>
    <n v="8605.0478309999999"/>
    <s v="Source-defined international dollars"/>
    <s v="Venezuela|2002"/>
    <s v="Gapminder/Plotly country-year extract reshaped to long indicator format for education"/>
    <s v="OK"/>
    <s v="2000s"/>
    <s v="N/A"/>
    <s v="Economy"/>
  </r>
  <r>
    <s v="GM-04930"/>
    <s v="Venezuela"/>
    <x v="3"/>
    <x v="11"/>
    <x v="0"/>
    <s v="Life expectancy at birth"/>
    <s v="Health"/>
    <s v="SDG 3: Good Health and Well-being"/>
    <n v="73.747"/>
    <s v="Years"/>
    <s v="Venezuela|2007"/>
    <s v="Gapminder/Plotly country-year extract reshaped to long indicator format for education"/>
    <s v="OK"/>
    <s v="2000s"/>
    <s v="High"/>
    <s v="Health"/>
  </r>
  <r>
    <s v="GM-04931"/>
    <s v="Venezuela"/>
    <x v="3"/>
    <x v="11"/>
    <x v="1"/>
    <s v="Population, total"/>
    <s v="Demographics"/>
    <s v="SDG 11: Sustainable Cities and Communities"/>
    <n v="26084662"/>
    <s v="People"/>
    <s v="Venezuela|2007"/>
    <s v="Gapminder/Plotly country-year extract reshaped to long indicator format for education"/>
    <s v="OK"/>
    <s v="2000s"/>
    <s v="N/A"/>
    <s v="Demographics"/>
  </r>
  <r>
    <s v="GM-04932"/>
    <s v="Venezuela"/>
    <x v="3"/>
    <x v="11"/>
    <x v="2"/>
    <s v="GDP per capita"/>
    <s v="Economy"/>
    <s v="SDG 8: Decent Work and Economic Growth"/>
    <n v="11415.805689999999"/>
    <s v="Source-defined international dollars"/>
    <s v="Venezuela|2007"/>
    <s v="Gapminder/Plotly country-year extract reshaped to long indicator format for education"/>
    <s v="OK"/>
    <s v="2000s"/>
    <s v="N/A"/>
    <s v="Economy"/>
  </r>
  <r>
    <s v="GM-04933"/>
    <s v="Vietnam"/>
    <x v="0"/>
    <x v="0"/>
    <x v="0"/>
    <s v="Life expectancy at birth"/>
    <s v="Health"/>
    <s v="SDG 3: Good Health and Well-being"/>
    <n v="40.411999999999999"/>
    <s v="Years"/>
    <s v="Vietnam|1952"/>
    <s v="Gapminder/Plotly country-year extract reshaped to long indicator format for education"/>
    <s v="OK"/>
    <s v="1950s"/>
    <s v="Low"/>
    <s v="Health"/>
  </r>
  <r>
    <s v="GM-04934"/>
    <s v="Vietnam"/>
    <x v="0"/>
    <x v="0"/>
    <x v="1"/>
    <s v="Population, total"/>
    <s v="Demographics"/>
    <s v="SDG 11: Sustainable Cities and Communities"/>
    <n v="26246839"/>
    <s v="People"/>
    <s v="Vietnam|1952"/>
    <s v="Gapminder/Plotly country-year extract reshaped to long indicator format for education"/>
    <s v="OK"/>
    <s v="1950s"/>
    <s v="N/A"/>
    <s v="Demographics"/>
  </r>
  <r>
    <s v="GM-04935"/>
    <s v="Vietnam"/>
    <x v="0"/>
    <x v="0"/>
    <x v="2"/>
    <s v="GDP per capita"/>
    <s v="Economy"/>
    <s v="SDG 8: Decent Work and Economic Growth"/>
    <n v="605.06649170000003"/>
    <s v="Source-defined international dollars"/>
    <s v="Vietnam|1952"/>
    <s v="Gapminder/Plotly country-year extract reshaped to long indicator format for education"/>
    <s v="OK"/>
    <s v="1950s"/>
    <s v="N/A"/>
    <s v="Economy"/>
  </r>
  <r>
    <s v="GM-04936"/>
    <s v="Vietnam"/>
    <x v="0"/>
    <x v="1"/>
    <x v="0"/>
    <s v="Life expectancy at birth"/>
    <s v="Health"/>
    <s v="SDG 3: Good Health and Well-being"/>
    <n v="42.887"/>
    <s v="Years"/>
    <s v="Vietnam|1957"/>
    <s v="Gapminder/Plotly country-year extract reshaped to long indicator format for education"/>
    <s v="OK"/>
    <s v="1950s"/>
    <s v="Low"/>
    <s v="Health"/>
  </r>
  <r>
    <s v="GM-04937"/>
    <s v="Vietnam"/>
    <x v="0"/>
    <x v="1"/>
    <x v="1"/>
    <s v="Population, total"/>
    <s v="Demographics"/>
    <s v="SDG 11: Sustainable Cities and Communities"/>
    <n v="28998543"/>
    <s v="People"/>
    <s v="Vietnam|1957"/>
    <s v="Gapminder/Plotly country-year extract reshaped to long indicator format for education"/>
    <s v="OK"/>
    <s v="1950s"/>
    <s v="N/A"/>
    <s v="Demographics"/>
  </r>
  <r>
    <s v="GM-04938"/>
    <s v="Vietnam"/>
    <x v="0"/>
    <x v="1"/>
    <x v="2"/>
    <s v="GDP per capita"/>
    <s v="Economy"/>
    <s v="SDG 8: Decent Work and Economic Growth"/>
    <n v="676.28544779999902"/>
    <s v="Source-defined international dollars"/>
    <s v="Vietnam|1957"/>
    <s v="Gapminder/Plotly country-year extract reshaped to long indicator format for education"/>
    <s v="OK"/>
    <s v="1950s"/>
    <s v="N/A"/>
    <s v="Economy"/>
  </r>
  <r>
    <s v="GM-04939"/>
    <s v="Vietnam"/>
    <x v="0"/>
    <x v="2"/>
    <x v="0"/>
    <s v="Life expectancy at birth"/>
    <s v="Health"/>
    <s v="SDG 3: Good Health and Well-being"/>
    <n v="45.363"/>
    <s v="Years"/>
    <s v="Vietnam|1962"/>
    <s v="Gapminder/Plotly country-year extract reshaped to long indicator format for education"/>
    <s v="OK"/>
    <s v="1960s"/>
    <s v="Low"/>
    <s v="Health"/>
  </r>
  <r>
    <s v="GM-04940"/>
    <s v="Vietnam"/>
    <x v="0"/>
    <x v="2"/>
    <x v="1"/>
    <s v="Population, total"/>
    <s v="Demographics"/>
    <s v="SDG 11: Sustainable Cities and Communities"/>
    <n v="33796140"/>
    <s v="People"/>
    <s v="Vietnam|1962"/>
    <s v="Gapminder/Plotly country-year extract reshaped to long indicator format for education"/>
    <s v="OK"/>
    <s v="1960s"/>
    <s v="N/A"/>
    <s v="Demographics"/>
  </r>
  <r>
    <s v="GM-04941"/>
    <s v="Vietnam"/>
    <x v="0"/>
    <x v="2"/>
    <x v="2"/>
    <s v="GDP per capita"/>
    <s v="Economy"/>
    <s v="SDG 8: Decent Work and Economic Growth"/>
    <n v="772.04916019999996"/>
    <s v="Source-defined international dollars"/>
    <s v="Vietnam|1962"/>
    <s v="Gapminder/Plotly country-year extract reshaped to long indicator format for education"/>
    <s v="OK"/>
    <s v="1960s"/>
    <s v="N/A"/>
    <s v="Economy"/>
  </r>
  <r>
    <s v="GM-04942"/>
    <s v="Vietnam"/>
    <x v="0"/>
    <x v="3"/>
    <x v="0"/>
    <s v="Life expectancy at birth"/>
    <s v="Health"/>
    <s v="SDG 3: Good Health and Well-being"/>
    <n v="47.838000000000001"/>
    <s v="Years"/>
    <s v="Vietnam|1967"/>
    <s v="Gapminder/Plotly country-year extract reshaped to long indicator format for education"/>
    <s v="OK"/>
    <s v="1960s"/>
    <s v="Low"/>
    <s v="Health"/>
  </r>
  <r>
    <s v="GM-04943"/>
    <s v="Vietnam"/>
    <x v="0"/>
    <x v="3"/>
    <x v="1"/>
    <s v="Population, total"/>
    <s v="Demographics"/>
    <s v="SDG 11: Sustainable Cities and Communities"/>
    <n v="39463910"/>
    <s v="People"/>
    <s v="Vietnam|1967"/>
    <s v="Gapminder/Plotly country-year extract reshaped to long indicator format for education"/>
    <s v="OK"/>
    <s v="1960s"/>
    <s v="N/A"/>
    <s v="Demographics"/>
  </r>
  <r>
    <s v="GM-04944"/>
    <s v="Vietnam"/>
    <x v="0"/>
    <x v="3"/>
    <x v="2"/>
    <s v="GDP per capita"/>
    <s v="Economy"/>
    <s v="SDG 8: Decent Work and Economic Growth"/>
    <n v="637.12328869999999"/>
    <s v="Source-defined international dollars"/>
    <s v="Vietnam|1967"/>
    <s v="Gapminder/Plotly country-year extract reshaped to long indicator format for education"/>
    <s v="OK"/>
    <s v="1960s"/>
    <s v="N/A"/>
    <s v="Economy"/>
  </r>
  <r>
    <s v="GM-04945"/>
    <s v="Vietnam"/>
    <x v="0"/>
    <x v="4"/>
    <x v="0"/>
    <s v="Life expectancy at birth"/>
    <s v="Health"/>
    <s v="SDG 3: Good Health and Well-being"/>
    <n v="50.253999999999998"/>
    <s v="Years"/>
    <s v="Vietnam|1972"/>
    <s v="Gapminder/Plotly country-year extract reshaped to long indicator format for education"/>
    <s v="OK"/>
    <s v="1970s"/>
    <s v="Low"/>
    <s v="Health"/>
  </r>
  <r>
    <s v="GM-04946"/>
    <s v="Vietnam"/>
    <x v="0"/>
    <x v="4"/>
    <x v="1"/>
    <s v="Population, total"/>
    <s v="Demographics"/>
    <s v="SDG 11: Sustainable Cities and Communities"/>
    <n v="44655014"/>
    <s v="People"/>
    <s v="Vietnam|1972"/>
    <s v="Gapminder/Plotly country-year extract reshaped to long indicator format for education"/>
    <s v="OK"/>
    <s v="1970s"/>
    <s v="N/A"/>
    <s v="Demographics"/>
  </r>
  <r>
    <s v="GM-04947"/>
    <s v="Vietnam"/>
    <x v="0"/>
    <x v="4"/>
    <x v="2"/>
    <s v="GDP per capita"/>
    <s v="Economy"/>
    <s v="SDG 8: Decent Work and Economic Growth"/>
    <n v="699.50164410000002"/>
    <s v="Source-defined international dollars"/>
    <s v="Vietnam|1972"/>
    <s v="Gapminder/Plotly country-year extract reshaped to long indicator format for education"/>
    <s v="OK"/>
    <s v="1970s"/>
    <s v="N/A"/>
    <s v="Economy"/>
  </r>
  <r>
    <s v="GM-04948"/>
    <s v="Vietnam"/>
    <x v="0"/>
    <x v="5"/>
    <x v="0"/>
    <s v="Life expectancy at birth"/>
    <s v="Health"/>
    <s v="SDG 3: Good Health and Well-being"/>
    <n v="55.764000000000003"/>
    <s v="Years"/>
    <s v="Vietnam|1977"/>
    <s v="Gapminder/Plotly country-year extract reshaped to long indicator format for education"/>
    <s v="OK"/>
    <s v="1970s"/>
    <s v="Medium"/>
    <s v="Health"/>
  </r>
  <r>
    <s v="GM-04949"/>
    <s v="Vietnam"/>
    <x v="0"/>
    <x v="5"/>
    <x v="1"/>
    <s v="Population, total"/>
    <s v="Demographics"/>
    <s v="SDG 11: Sustainable Cities and Communities"/>
    <n v="50533506"/>
    <s v="People"/>
    <s v="Vietnam|1977"/>
    <s v="Gapminder/Plotly country-year extract reshaped to long indicator format for education"/>
    <s v="OK"/>
    <s v="1970s"/>
    <s v="N/A"/>
    <s v="Demographics"/>
  </r>
  <r>
    <s v="GM-04950"/>
    <s v="Vietnam"/>
    <x v="0"/>
    <x v="5"/>
    <x v="2"/>
    <s v="GDP per capita"/>
    <s v="Economy"/>
    <s v="SDG 8: Decent Work and Economic Growth"/>
    <n v="713.53711959999998"/>
    <s v="Source-defined international dollars"/>
    <s v="Vietnam|1977"/>
    <s v="Gapminder/Plotly country-year extract reshaped to long indicator format for education"/>
    <s v="OK"/>
    <s v="1970s"/>
    <s v="N/A"/>
    <s v="Economy"/>
  </r>
  <r>
    <s v="GM-04951"/>
    <s v="Vietnam"/>
    <x v="0"/>
    <x v="6"/>
    <x v="0"/>
    <s v="Life expectancy at birth"/>
    <s v="Health"/>
    <s v="SDG 3: Good Health and Well-being"/>
    <n v="58.816000000000003"/>
    <s v="Years"/>
    <s v="Vietnam|1982"/>
    <s v="Gapminder/Plotly country-year extract reshaped to long indicator format for education"/>
    <s v="OK"/>
    <s v="1980s"/>
    <s v="Medium"/>
    <s v="Health"/>
  </r>
  <r>
    <s v="GM-04952"/>
    <s v="Vietnam"/>
    <x v="0"/>
    <x v="6"/>
    <x v="1"/>
    <s v="Population, total"/>
    <s v="Demographics"/>
    <s v="SDG 11: Sustainable Cities and Communities"/>
    <n v="56142181"/>
    <s v="People"/>
    <s v="Vietnam|1982"/>
    <s v="Gapminder/Plotly country-year extract reshaped to long indicator format for education"/>
    <s v="OK"/>
    <s v="1980s"/>
    <s v="N/A"/>
    <s v="Demographics"/>
  </r>
  <r>
    <s v="GM-04953"/>
    <s v="Vietnam"/>
    <x v="0"/>
    <x v="6"/>
    <x v="2"/>
    <s v="GDP per capita"/>
    <s v="Economy"/>
    <s v="SDG 8: Decent Work and Economic Growth"/>
    <n v="707.23578629999997"/>
    <s v="Source-defined international dollars"/>
    <s v="Vietnam|1982"/>
    <s v="Gapminder/Plotly country-year extract reshaped to long indicator format for education"/>
    <s v="OK"/>
    <s v="1980s"/>
    <s v="N/A"/>
    <s v="Economy"/>
  </r>
  <r>
    <s v="GM-04954"/>
    <s v="Vietnam"/>
    <x v="0"/>
    <x v="7"/>
    <x v="0"/>
    <s v="Life expectancy at birth"/>
    <s v="Health"/>
    <s v="SDG 3: Good Health and Well-being"/>
    <n v="62.82"/>
    <s v="Years"/>
    <s v="Vietnam|1987"/>
    <s v="Gapminder/Plotly country-year extract reshaped to long indicator format for education"/>
    <s v="OK"/>
    <s v="1980s"/>
    <s v="Medium"/>
    <s v="Health"/>
  </r>
  <r>
    <s v="GM-04955"/>
    <s v="Vietnam"/>
    <x v="0"/>
    <x v="7"/>
    <x v="1"/>
    <s v="Population, total"/>
    <s v="Demographics"/>
    <s v="SDG 11: Sustainable Cities and Communities"/>
    <n v="62826491"/>
    <s v="People"/>
    <s v="Vietnam|1987"/>
    <s v="Gapminder/Plotly country-year extract reshaped to long indicator format for education"/>
    <s v="OK"/>
    <s v="1980s"/>
    <s v="N/A"/>
    <s v="Demographics"/>
  </r>
  <r>
    <s v="GM-04956"/>
    <s v="Vietnam"/>
    <x v="0"/>
    <x v="7"/>
    <x v="2"/>
    <s v="GDP per capita"/>
    <s v="Economy"/>
    <s v="SDG 8: Decent Work and Economic Growth"/>
    <n v="820.79944490000003"/>
    <s v="Source-defined international dollars"/>
    <s v="Vietnam|1987"/>
    <s v="Gapminder/Plotly country-year extract reshaped to long indicator format for education"/>
    <s v="OK"/>
    <s v="1980s"/>
    <s v="N/A"/>
    <s v="Economy"/>
  </r>
  <r>
    <s v="GM-04957"/>
    <s v="Vietnam"/>
    <x v="0"/>
    <x v="8"/>
    <x v="0"/>
    <s v="Life expectancy at birth"/>
    <s v="Health"/>
    <s v="SDG 3: Good Health and Well-being"/>
    <n v="67.661999999999907"/>
    <s v="Years"/>
    <s v="Vietnam|1992"/>
    <s v="Gapminder/Plotly country-year extract reshaped to long indicator format for education"/>
    <s v="OK"/>
    <s v="1990s"/>
    <s v="Medium"/>
    <s v="Health"/>
  </r>
  <r>
    <s v="GM-04958"/>
    <s v="Vietnam"/>
    <x v="0"/>
    <x v="8"/>
    <x v="1"/>
    <s v="Population, total"/>
    <s v="Demographics"/>
    <s v="SDG 11: Sustainable Cities and Communities"/>
    <n v="69940728"/>
    <s v="People"/>
    <s v="Vietnam|1992"/>
    <s v="Gapminder/Plotly country-year extract reshaped to long indicator format for education"/>
    <s v="OK"/>
    <s v="1990s"/>
    <s v="N/A"/>
    <s v="Demographics"/>
  </r>
  <r>
    <s v="GM-04959"/>
    <s v="Vietnam"/>
    <x v="0"/>
    <x v="8"/>
    <x v="2"/>
    <s v="GDP per capita"/>
    <s v="Economy"/>
    <s v="SDG 8: Decent Work and Economic Growth"/>
    <n v="989.02314869999998"/>
    <s v="Source-defined international dollars"/>
    <s v="Vietnam|1992"/>
    <s v="Gapminder/Plotly country-year extract reshaped to long indicator format for education"/>
    <s v="OK"/>
    <s v="1990s"/>
    <s v="N/A"/>
    <s v="Economy"/>
  </r>
  <r>
    <s v="GM-04960"/>
    <s v="Vietnam"/>
    <x v="0"/>
    <x v="9"/>
    <x v="0"/>
    <s v="Life expectancy at birth"/>
    <s v="Health"/>
    <s v="SDG 3: Good Health and Well-being"/>
    <n v="70.671999999999997"/>
    <s v="Years"/>
    <s v="Vietnam|1997"/>
    <s v="Gapminder/Plotly country-year extract reshaped to long indicator format for education"/>
    <s v="OK"/>
    <s v="1990s"/>
    <s v="High"/>
    <s v="Health"/>
  </r>
  <r>
    <s v="GM-04961"/>
    <s v="Vietnam"/>
    <x v="0"/>
    <x v="9"/>
    <x v="1"/>
    <s v="Population, total"/>
    <s v="Demographics"/>
    <s v="SDG 11: Sustainable Cities and Communities"/>
    <n v="76048996"/>
    <s v="People"/>
    <s v="Vietnam|1997"/>
    <s v="Gapminder/Plotly country-year extract reshaped to long indicator format for education"/>
    <s v="OK"/>
    <s v="1990s"/>
    <s v="N/A"/>
    <s v="Demographics"/>
  </r>
  <r>
    <s v="GM-04962"/>
    <s v="Vietnam"/>
    <x v="0"/>
    <x v="9"/>
    <x v="2"/>
    <s v="GDP per capita"/>
    <s v="Economy"/>
    <s v="SDG 8: Decent Work and Economic Growth"/>
    <n v="1385.8967689999999"/>
    <s v="Source-defined international dollars"/>
    <s v="Vietnam|1997"/>
    <s v="Gapminder/Plotly country-year extract reshaped to long indicator format for education"/>
    <s v="OK"/>
    <s v="1990s"/>
    <s v="N/A"/>
    <s v="Economy"/>
  </r>
  <r>
    <s v="GM-04963"/>
    <s v="Vietnam"/>
    <x v="0"/>
    <x v="10"/>
    <x v="0"/>
    <s v="Life expectancy at birth"/>
    <s v="Health"/>
    <s v="SDG 3: Good Health and Well-being"/>
    <n v="73.016999999999996"/>
    <s v="Years"/>
    <s v="Vietnam|2002"/>
    <s v="Gapminder/Plotly country-year extract reshaped to long indicator format for education"/>
    <s v="OK"/>
    <s v="2000s"/>
    <s v="High"/>
    <s v="Health"/>
  </r>
  <r>
    <s v="GM-04964"/>
    <s v="Vietnam"/>
    <x v="0"/>
    <x v="10"/>
    <x v="1"/>
    <s v="Population, total"/>
    <s v="Demographics"/>
    <s v="SDG 11: Sustainable Cities and Communities"/>
    <n v="80908147"/>
    <s v="People"/>
    <s v="Vietnam|2002"/>
    <s v="Gapminder/Plotly country-year extract reshaped to long indicator format for education"/>
    <s v="OK"/>
    <s v="2000s"/>
    <s v="N/A"/>
    <s v="Demographics"/>
  </r>
  <r>
    <s v="GM-04965"/>
    <s v="Vietnam"/>
    <x v="0"/>
    <x v="10"/>
    <x v="2"/>
    <s v="GDP per capita"/>
    <s v="Economy"/>
    <s v="SDG 8: Decent Work and Economic Growth"/>
    <n v="1764.4566769999999"/>
    <s v="Source-defined international dollars"/>
    <s v="Vietnam|2002"/>
    <s v="Gapminder/Plotly country-year extract reshaped to long indicator format for education"/>
    <s v="OK"/>
    <s v="2000s"/>
    <s v="N/A"/>
    <s v="Economy"/>
  </r>
  <r>
    <s v="GM-04966"/>
    <s v="Vietnam"/>
    <x v="0"/>
    <x v="11"/>
    <x v="0"/>
    <s v="Life expectancy at birth"/>
    <s v="Health"/>
    <s v="SDG 3: Good Health and Well-being"/>
    <n v="74.248999999999995"/>
    <s v="Years"/>
    <s v="Vietnam|2007"/>
    <s v="Gapminder/Plotly country-year extract reshaped to long indicator format for education"/>
    <s v="OK"/>
    <s v="2000s"/>
    <s v="High"/>
    <s v="Health"/>
  </r>
  <r>
    <s v="GM-04967"/>
    <s v="Vietnam"/>
    <x v="0"/>
    <x v="11"/>
    <x v="1"/>
    <s v="Population, total"/>
    <s v="Demographics"/>
    <s v="SDG 11: Sustainable Cities and Communities"/>
    <n v="85262356"/>
    <s v="People"/>
    <s v="Vietnam|2007"/>
    <s v="Gapminder/Plotly country-year extract reshaped to long indicator format for education"/>
    <s v="OK"/>
    <s v="2000s"/>
    <s v="N/A"/>
    <s v="Demographics"/>
  </r>
  <r>
    <s v="GM-04968"/>
    <s v="Vietnam"/>
    <x v="0"/>
    <x v="11"/>
    <x v="2"/>
    <s v="GDP per capita"/>
    <s v="Economy"/>
    <s v="SDG 8: Decent Work and Economic Growth"/>
    <n v="2441.5764039999999"/>
    <s v="Source-defined international dollars"/>
    <s v="Vietnam|2007"/>
    <s v="Gapminder/Plotly country-year extract reshaped to long indicator format for education"/>
    <s v="OK"/>
    <s v="2000s"/>
    <s v="N/A"/>
    <s v="Economy"/>
  </r>
  <r>
    <s v="GM-04969"/>
    <s v="West Bank and Gaza"/>
    <x v="0"/>
    <x v="0"/>
    <x v="0"/>
    <s v="Life expectancy at birth"/>
    <s v="Health"/>
    <s v="SDG 3: Good Health and Well-being"/>
    <n v="43.16"/>
    <s v="Years"/>
    <s v="West Bank and Gaza|1952"/>
    <s v="Gapminder/Plotly country-year extract reshaped to long indicator format for education"/>
    <s v="OK"/>
    <s v="1950s"/>
    <s v="Low"/>
    <s v="Health"/>
  </r>
  <r>
    <s v="GM-04970"/>
    <s v="West Bank and Gaza"/>
    <x v="0"/>
    <x v="0"/>
    <x v="1"/>
    <s v="Population, total"/>
    <s v="Demographics"/>
    <s v="SDG 11: Sustainable Cities and Communities"/>
    <n v="1030585"/>
    <s v="People"/>
    <s v="West Bank and Gaza|1952"/>
    <s v="Gapminder/Plotly country-year extract reshaped to long indicator format for education"/>
    <s v="OK"/>
    <s v="1950s"/>
    <s v="N/A"/>
    <s v="Demographics"/>
  </r>
  <r>
    <s v="GM-04971"/>
    <s v="West Bank and Gaza"/>
    <x v="0"/>
    <x v="0"/>
    <x v="2"/>
    <s v="GDP per capita"/>
    <s v="Economy"/>
    <s v="SDG 8: Decent Work and Economic Growth"/>
    <n v="1515.5923289999901"/>
    <s v="Source-defined international dollars"/>
    <s v="West Bank and Gaza|1952"/>
    <s v="Gapminder/Plotly country-year extract reshaped to long indicator format for education"/>
    <s v="OK"/>
    <s v="1950s"/>
    <s v="N/A"/>
    <s v="Economy"/>
  </r>
  <r>
    <s v="GM-04972"/>
    <s v="West Bank and Gaza"/>
    <x v="0"/>
    <x v="1"/>
    <x v="0"/>
    <s v="Life expectancy at birth"/>
    <s v="Health"/>
    <s v="SDG 3: Good Health and Well-being"/>
    <n v="45.670999999999999"/>
    <s v="Years"/>
    <s v="West Bank and Gaza|1957"/>
    <s v="Gapminder/Plotly country-year extract reshaped to long indicator format for education"/>
    <s v="OK"/>
    <s v="1950s"/>
    <s v="Low"/>
    <s v="Health"/>
  </r>
  <r>
    <s v="GM-04973"/>
    <s v="West Bank and Gaza"/>
    <x v="0"/>
    <x v="1"/>
    <x v="1"/>
    <s v="Population, total"/>
    <s v="Demographics"/>
    <s v="SDG 11: Sustainable Cities and Communities"/>
    <n v="1070439"/>
    <s v="People"/>
    <s v="West Bank and Gaza|1957"/>
    <s v="Gapminder/Plotly country-year extract reshaped to long indicator format for education"/>
    <s v="OK"/>
    <s v="1950s"/>
    <s v="N/A"/>
    <s v="Demographics"/>
  </r>
  <r>
    <s v="GM-04974"/>
    <s v="West Bank and Gaza"/>
    <x v="0"/>
    <x v="1"/>
    <x v="2"/>
    <s v="GDP per capita"/>
    <s v="Economy"/>
    <s v="SDG 8: Decent Work and Economic Growth"/>
    <n v="1827.067742"/>
    <s v="Source-defined international dollars"/>
    <s v="West Bank and Gaza|1957"/>
    <s v="Gapminder/Plotly country-year extract reshaped to long indicator format for education"/>
    <s v="OK"/>
    <s v="1950s"/>
    <s v="N/A"/>
    <s v="Economy"/>
  </r>
  <r>
    <s v="GM-04975"/>
    <s v="West Bank and Gaza"/>
    <x v="0"/>
    <x v="2"/>
    <x v="0"/>
    <s v="Life expectancy at birth"/>
    <s v="Health"/>
    <s v="SDG 3: Good Health and Well-being"/>
    <n v="48.127000000000002"/>
    <s v="Years"/>
    <s v="West Bank and Gaza|1962"/>
    <s v="Gapminder/Plotly country-year extract reshaped to long indicator format for education"/>
    <s v="OK"/>
    <s v="1960s"/>
    <s v="Low"/>
    <s v="Health"/>
  </r>
  <r>
    <s v="GM-04976"/>
    <s v="West Bank and Gaza"/>
    <x v="0"/>
    <x v="2"/>
    <x v="1"/>
    <s v="Population, total"/>
    <s v="Demographics"/>
    <s v="SDG 11: Sustainable Cities and Communities"/>
    <n v="1133134"/>
    <s v="People"/>
    <s v="West Bank and Gaza|1962"/>
    <s v="Gapminder/Plotly country-year extract reshaped to long indicator format for education"/>
    <s v="OK"/>
    <s v="1960s"/>
    <s v="N/A"/>
    <s v="Demographics"/>
  </r>
  <r>
    <s v="GM-04977"/>
    <s v="West Bank and Gaza"/>
    <x v="0"/>
    <x v="2"/>
    <x v="2"/>
    <s v="GDP per capita"/>
    <s v="Economy"/>
    <s v="SDG 8: Decent Work and Economic Growth"/>
    <n v="2198.9563119999998"/>
    <s v="Source-defined international dollars"/>
    <s v="West Bank and Gaza|1962"/>
    <s v="Gapminder/Plotly country-year extract reshaped to long indicator format for education"/>
    <s v="OK"/>
    <s v="1960s"/>
    <s v="N/A"/>
    <s v="Economy"/>
  </r>
  <r>
    <s v="GM-04978"/>
    <s v="West Bank and Gaza"/>
    <x v="0"/>
    <x v="3"/>
    <x v="0"/>
    <s v="Life expectancy at birth"/>
    <s v="Health"/>
    <s v="SDG 3: Good Health and Well-being"/>
    <n v="51.631"/>
    <s v="Years"/>
    <s v="West Bank and Gaza|1967"/>
    <s v="Gapminder/Plotly country-year extract reshaped to long indicator format for education"/>
    <s v="OK"/>
    <s v="1960s"/>
    <s v="Low"/>
    <s v="Health"/>
  </r>
  <r>
    <s v="GM-04979"/>
    <s v="West Bank and Gaza"/>
    <x v="0"/>
    <x v="3"/>
    <x v="1"/>
    <s v="Population, total"/>
    <s v="Demographics"/>
    <s v="SDG 11: Sustainable Cities and Communities"/>
    <n v="1142636"/>
    <s v="People"/>
    <s v="West Bank and Gaza|1967"/>
    <s v="Gapminder/Plotly country-year extract reshaped to long indicator format for education"/>
    <s v="OK"/>
    <s v="1960s"/>
    <s v="N/A"/>
    <s v="Demographics"/>
  </r>
  <r>
    <s v="GM-04980"/>
    <s v="West Bank and Gaza"/>
    <x v="0"/>
    <x v="3"/>
    <x v="2"/>
    <s v="GDP per capita"/>
    <s v="Economy"/>
    <s v="SDG 8: Decent Work and Economic Growth"/>
    <n v="2649.7150069999998"/>
    <s v="Source-defined international dollars"/>
    <s v="West Bank and Gaza|1967"/>
    <s v="Gapminder/Plotly country-year extract reshaped to long indicator format for education"/>
    <s v="OK"/>
    <s v="1960s"/>
    <s v="N/A"/>
    <s v="Economy"/>
  </r>
  <r>
    <s v="GM-04981"/>
    <s v="West Bank and Gaza"/>
    <x v="0"/>
    <x v="4"/>
    <x v="0"/>
    <s v="Life expectancy at birth"/>
    <s v="Health"/>
    <s v="SDG 3: Good Health and Well-being"/>
    <n v="56.531999999999996"/>
    <s v="Years"/>
    <s v="West Bank and Gaza|1972"/>
    <s v="Gapminder/Plotly country-year extract reshaped to long indicator format for education"/>
    <s v="OK"/>
    <s v="1970s"/>
    <s v="Medium"/>
    <s v="Health"/>
  </r>
  <r>
    <s v="GM-04982"/>
    <s v="West Bank and Gaza"/>
    <x v="0"/>
    <x v="4"/>
    <x v="1"/>
    <s v="Population, total"/>
    <s v="Demographics"/>
    <s v="SDG 11: Sustainable Cities and Communities"/>
    <n v="1089572"/>
    <s v="People"/>
    <s v="West Bank and Gaza|1972"/>
    <s v="Gapminder/Plotly country-year extract reshaped to long indicator format for education"/>
    <s v="OK"/>
    <s v="1970s"/>
    <s v="N/A"/>
    <s v="Demographics"/>
  </r>
  <r>
    <s v="GM-04983"/>
    <s v="West Bank and Gaza"/>
    <x v="0"/>
    <x v="4"/>
    <x v="2"/>
    <s v="GDP per capita"/>
    <s v="Economy"/>
    <s v="SDG 8: Decent Work and Economic Growth"/>
    <n v="3133.4092770000002"/>
    <s v="Source-defined international dollars"/>
    <s v="West Bank and Gaza|1972"/>
    <s v="Gapminder/Plotly country-year extract reshaped to long indicator format for education"/>
    <s v="OK"/>
    <s v="1970s"/>
    <s v="N/A"/>
    <s v="Economy"/>
  </r>
  <r>
    <s v="GM-04984"/>
    <s v="West Bank and Gaza"/>
    <x v="0"/>
    <x v="5"/>
    <x v="0"/>
    <s v="Life expectancy at birth"/>
    <s v="Health"/>
    <s v="SDG 3: Good Health and Well-being"/>
    <n v="60.765000000000001"/>
    <s v="Years"/>
    <s v="West Bank and Gaza|1977"/>
    <s v="Gapminder/Plotly country-year extract reshaped to long indicator format for education"/>
    <s v="OK"/>
    <s v="1970s"/>
    <s v="Medium"/>
    <s v="Health"/>
  </r>
  <r>
    <s v="GM-04985"/>
    <s v="West Bank and Gaza"/>
    <x v="0"/>
    <x v="5"/>
    <x v="1"/>
    <s v="Population, total"/>
    <s v="Demographics"/>
    <s v="SDG 11: Sustainable Cities and Communities"/>
    <n v="1261091"/>
    <s v="People"/>
    <s v="West Bank and Gaza|1977"/>
    <s v="Gapminder/Plotly country-year extract reshaped to long indicator format for education"/>
    <s v="OK"/>
    <s v="1970s"/>
    <s v="N/A"/>
    <s v="Demographics"/>
  </r>
  <r>
    <s v="GM-04986"/>
    <s v="West Bank and Gaza"/>
    <x v="0"/>
    <x v="5"/>
    <x v="2"/>
    <s v="GDP per capita"/>
    <s v="Economy"/>
    <s v="SDG 8: Decent Work and Economic Growth"/>
    <n v="3682.831494"/>
    <s v="Source-defined international dollars"/>
    <s v="West Bank and Gaza|1977"/>
    <s v="Gapminder/Plotly country-year extract reshaped to long indicator format for education"/>
    <s v="OK"/>
    <s v="1970s"/>
    <s v="N/A"/>
    <s v="Economy"/>
  </r>
  <r>
    <s v="GM-04987"/>
    <s v="West Bank and Gaza"/>
    <x v="0"/>
    <x v="6"/>
    <x v="0"/>
    <s v="Life expectancy at birth"/>
    <s v="Health"/>
    <s v="SDG 3: Good Health and Well-being"/>
    <n v="64.406000000000006"/>
    <s v="Years"/>
    <s v="West Bank and Gaza|1982"/>
    <s v="Gapminder/Plotly country-year extract reshaped to long indicator format for education"/>
    <s v="OK"/>
    <s v="1980s"/>
    <s v="Medium"/>
    <s v="Health"/>
  </r>
  <r>
    <s v="GM-04988"/>
    <s v="West Bank and Gaza"/>
    <x v="0"/>
    <x v="6"/>
    <x v="1"/>
    <s v="Population, total"/>
    <s v="Demographics"/>
    <s v="SDG 11: Sustainable Cities and Communities"/>
    <n v="1425876"/>
    <s v="People"/>
    <s v="West Bank and Gaza|1982"/>
    <s v="Gapminder/Plotly country-year extract reshaped to long indicator format for education"/>
    <s v="OK"/>
    <s v="1980s"/>
    <s v="N/A"/>
    <s v="Demographics"/>
  </r>
  <r>
    <s v="GM-04989"/>
    <s v="West Bank and Gaza"/>
    <x v="0"/>
    <x v="6"/>
    <x v="2"/>
    <s v="GDP per capita"/>
    <s v="Economy"/>
    <s v="SDG 8: Decent Work and Economic Growth"/>
    <n v="4336.0320819999997"/>
    <s v="Source-defined international dollars"/>
    <s v="West Bank and Gaza|1982"/>
    <s v="Gapminder/Plotly country-year extract reshaped to long indicator format for education"/>
    <s v="OK"/>
    <s v="1980s"/>
    <s v="N/A"/>
    <s v="Economy"/>
  </r>
  <r>
    <s v="GM-04990"/>
    <s v="West Bank and Gaza"/>
    <x v="0"/>
    <x v="7"/>
    <x v="0"/>
    <s v="Life expectancy at birth"/>
    <s v="Health"/>
    <s v="SDG 3: Good Health and Well-being"/>
    <n v="67.046000000000006"/>
    <s v="Years"/>
    <s v="West Bank and Gaza|1987"/>
    <s v="Gapminder/Plotly country-year extract reshaped to long indicator format for education"/>
    <s v="OK"/>
    <s v="1980s"/>
    <s v="Medium"/>
    <s v="Health"/>
  </r>
  <r>
    <s v="GM-04991"/>
    <s v="West Bank and Gaza"/>
    <x v="0"/>
    <x v="7"/>
    <x v="1"/>
    <s v="Population, total"/>
    <s v="Demographics"/>
    <s v="SDG 11: Sustainable Cities and Communities"/>
    <n v="1691210"/>
    <s v="People"/>
    <s v="West Bank and Gaza|1987"/>
    <s v="Gapminder/Plotly country-year extract reshaped to long indicator format for education"/>
    <s v="OK"/>
    <s v="1980s"/>
    <s v="N/A"/>
    <s v="Demographics"/>
  </r>
  <r>
    <s v="GM-04992"/>
    <s v="West Bank and Gaza"/>
    <x v="0"/>
    <x v="7"/>
    <x v="2"/>
    <s v="GDP per capita"/>
    <s v="Economy"/>
    <s v="SDG 8: Decent Work and Economic Growth"/>
    <n v="5107.1973840000001"/>
    <s v="Source-defined international dollars"/>
    <s v="West Bank and Gaza|1987"/>
    <s v="Gapminder/Plotly country-year extract reshaped to long indicator format for education"/>
    <s v="OK"/>
    <s v="1980s"/>
    <s v="N/A"/>
    <s v="Economy"/>
  </r>
  <r>
    <s v="GM-04993"/>
    <s v="West Bank and Gaza"/>
    <x v="0"/>
    <x v="8"/>
    <x v="0"/>
    <s v="Life expectancy at birth"/>
    <s v="Health"/>
    <s v="SDG 3: Good Health and Well-being"/>
    <n v="69.718000000000004"/>
    <s v="Years"/>
    <s v="West Bank and Gaza|1992"/>
    <s v="Gapminder/Plotly country-year extract reshaped to long indicator format for education"/>
    <s v="OK"/>
    <s v="1990s"/>
    <s v="Medium"/>
    <s v="Health"/>
  </r>
  <r>
    <s v="GM-04994"/>
    <s v="West Bank and Gaza"/>
    <x v="0"/>
    <x v="8"/>
    <x v="1"/>
    <s v="Population, total"/>
    <s v="Demographics"/>
    <s v="SDG 11: Sustainable Cities and Communities"/>
    <n v="2104779"/>
    <s v="People"/>
    <s v="West Bank and Gaza|1992"/>
    <s v="Gapminder/Plotly country-year extract reshaped to long indicator format for education"/>
    <s v="OK"/>
    <s v="1990s"/>
    <s v="N/A"/>
    <s v="Demographics"/>
  </r>
  <r>
    <s v="GM-04995"/>
    <s v="West Bank and Gaza"/>
    <x v="0"/>
    <x v="8"/>
    <x v="2"/>
    <s v="GDP per capita"/>
    <s v="Economy"/>
    <s v="SDG 8: Decent Work and Economic Growth"/>
    <n v="6017.6547559999999"/>
    <s v="Source-defined international dollars"/>
    <s v="West Bank and Gaza|1992"/>
    <s v="Gapminder/Plotly country-year extract reshaped to long indicator format for education"/>
    <s v="OK"/>
    <s v="1990s"/>
    <s v="N/A"/>
    <s v="Economy"/>
  </r>
  <r>
    <s v="GM-04996"/>
    <s v="West Bank and Gaza"/>
    <x v="0"/>
    <x v="9"/>
    <x v="0"/>
    <s v="Life expectancy at birth"/>
    <s v="Health"/>
    <s v="SDG 3: Good Health and Well-being"/>
    <n v="71.096000000000004"/>
    <s v="Years"/>
    <s v="West Bank and Gaza|1997"/>
    <s v="Gapminder/Plotly country-year extract reshaped to long indicator format for education"/>
    <s v="OK"/>
    <s v="1990s"/>
    <s v="High"/>
    <s v="Health"/>
  </r>
  <r>
    <s v="GM-04997"/>
    <s v="West Bank and Gaza"/>
    <x v="0"/>
    <x v="9"/>
    <x v="1"/>
    <s v="Population, total"/>
    <s v="Demographics"/>
    <s v="SDG 11: Sustainable Cities and Communities"/>
    <n v="2826046"/>
    <s v="People"/>
    <s v="West Bank and Gaza|1997"/>
    <s v="Gapminder/Plotly country-year extract reshaped to long indicator format for education"/>
    <s v="OK"/>
    <s v="1990s"/>
    <s v="N/A"/>
    <s v="Demographics"/>
  </r>
  <r>
    <s v="GM-04998"/>
    <s v="West Bank and Gaza"/>
    <x v="0"/>
    <x v="9"/>
    <x v="2"/>
    <s v="GDP per capita"/>
    <s v="Economy"/>
    <s v="SDG 8: Decent Work and Economic Growth"/>
    <n v="7110.6676189999998"/>
    <s v="Source-defined international dollars"/>
    <s v="West Bank and Gaza|1997"/>
    <s v="Gapminder/Plotly country-year extract reshaped to long indicator format for education"/>
    <s v="OK"/>
    <s v="1990s"/>
    <s v="N/A"/>
    <s v="Economy"/>
  </r>
  <r>
    <s v="GM-04999"/>
    <s v="West Bank and Gaza"/>
    <x v="0"/>
    <x v="10"/>
    <x v="0"/>
    <s v="Life expectancy at birth"/>
    <s v="Health"/>
    <s v="SDG 3: Good Health and Well-being"/>
    <n v="72.37"/>
    <s v="Years"/>
    <s v="West Bank and Gaza|2002"/>
    <s v="Gapminder/Plotly country-year extract reshaped to long indicator format for education"/>
    <s v="OK"/>
    <s v="2000s"/>
    <s v="High"/>
    <s v="Health"/>
  </r>
  <r>
    <s v="GM-05000"/>
    <s v="West Bank and Gaza"/>
    <x v="0"/>
    <x v="10"/>
    <x v="1"/>
    <s v="Population, total"/>
    <s v="Demographics"/>
    <s v="SDG 11: Sustainable Cities and Communities"/>
    <n v="3389578"/>
    <s v="People"/>
    <s v="West Bank and Gaza|2002"/>
    <s v="Gapminder/Plotly country-year extract reshaped to long indicator format for education"/>
    <s v="OK"/>
    <s v="2000s"/>
    <s v="N/A"/>
    <s v="Demographics"/>
  </r>
  <r>
    <s v="GM-05001"/>
    <s v="West Bank and Gaza"/>
    <x v="0"/>
    <x v="10"/>
    <x v="2"/>
    <s v="GDP per capita"/>
    <s v="Economy"/>
    <s v="SDG 8: Decent Work and Economic Growth"/>
    <n v="4515.4875750000001"/>
    <s v="Source-defined international dollars"/>
    <s v="West Bank and Gaza|2002"/>
    <s v="Gapminder/Plotly country-year extract reshaped to long indicator format for education"/>
    <s v="OK"/>
    <s v="2000s"/>
    <s v="N/A"/>
    <s v="Economy"/>
  </r>
  <r>
    <s v="GM-05002"/>
    <s v="West Bank and Gaza"/>
    <x v="0"/>
    <x v="11"/>
    <x v="0"/>
    <s v="Life expectancy at birth"/>
    <s v="Health"/>
    <s v="SDG 3: Good Health and Well-being"/>
    <n v="73.421999999999997"/>
    <s v="Years"/>
    <s v="West Bank and Gaza|2007"/>
    <s v="Gapminder/Plotly country-year extract reshaped to long indicator format for education"/>
    <s v="OK"/>
    <s v="2000s"/>
    <s v="High"/>
    <s v="Health"/>
  </r>
  <r>
    <s v="GM-05003"/>
    <s v="West Bank and Gaza"/>
    <x v="0"/>
    <x v="11"/>
    <x v="1"/>
    <s v="Population, total"/>
    <s v="Demographics"/>
    <s v="SDG 11: Sustainable Cities and Communities"/>
    <n v="4018332"/>
    <s v="People"/>
    <s v="West Bank and Gaza|2007"/>
    <s v="Gapminder/Plotly country-year extract reshaped to long indicator format for education"/>
    <s v="OK"/>
    <s v="2000s"/>
    <s v="N/A"/>
    <s v="Demographics"/>
  </r>
  <r>
    <s v="GM-05004"/>
    <s v="West Bank and Gaza"/>
    <x v="0"/>
    <x v="11"/>
    <x v="2"/>
    <s v="GDP per capita"/>
    <s v="Economy"/>
    <s v="SDG 8: Decent Work and Economic Growth"/>
    <n v="3025.3497980000002"/>
    <s v="Source-defined international dollars"/>
    <s v="West Bank and Gaza|2007"/>
    <s v="Gapminder/Plotly country-year extract reshaped to long indicator format for education"/>
    <s v="OK"/>
    <s v="2000s"/>
    <s v="N/A"/>
    <s v="Economy"/>
  </r>
  <r>
    <s v="GM-05005"/>
    <s v="Yemen, Rep."/>
    <x v="0"/>
    <x v="0"/>
    <x v="0"/>
    <s v="Life expectancy at birth"/>
    <s v="Health"/>
    <s v="SDG 3: Good Health and Well-being"/>
    <n v="32.548000000000002"/>
    <s v="Years"/>
    <s v="Yemen, Rep.|1952"/>
    <s v="Gapminder/Plotly country-year extract reshaped to long indicator format for education"/>
    <s v="OK"/>
    <s v="1950s"/>
    <s v="Low"/>
    <s v="Health"/>
  </r>
  <r>
    <s v="GM-05006"/>
    <s v="Yemen, Rep."/>
    <x v="0"/>
    <x v="0"/>
    <x v="1"/>
    <s v="Population, total"/>
    <s v="Demographics"/>
    <s v="SDG 11: Sustainable Cities and Communities"/>
    <n v="4963829"/>
    <s v="People"/>
    <s v="Yemen, Rep.|1952"/>
    <s v="Gapminder/Plotly country-year extract reshaped to long indicator format for education"/>
    <s v="OK"/>
    <s v="1950s"/>
    <s v="N/A"/>
    <s v="Demographics"/>
  </r>
  <r>
    <s v="GM-05007"/>
    <s v="Yemen, Rep."/>
    <x v="0"/>
    <x v="0"/>
    <x v="2"/>
    <s v="GDP per capita"/>
    <s v="Economy"/>
    <s v="SDG 8: Decent Work and Economic Growth"/>
    <n v="781.71757609999997"/>
    <s v="Source-defined international dollars"/>
    <s v="Yemen, Rep.|1952"/>
    <s v="Gapminder/Plotly country-year extract reshaped to long indicator format for education"/>
    <s v="OK"/>
    <s v="1950s"/>
    <s v="N/A"/>
    <s v="Economy"/>
  </r>
  <r>
    <s v="GM-05008"/>
    <s v="Yemen, Rep."/>
    <x v="0"/>
    <x v="1"/>
    <x v="0"/>
    <s v="Life expectancy at birth"/>
    <s v="Health"/>
    <s v="SDG 3: Good Health and Well-being"/>
    <n v="33.97"/>
    <s v="Years"/>
    <s v="Yemen, Rep.|1957"/>
    <s v="Gapminder/Plotly country-year extract reshaped to long indicator format for education"/>
    <s v="OK"/>
    <s v="1950s"/>
    <s v="Low"/>
    <s v="Health"/>
  </r>
  <r>
    <s v="GM-05009"/>
    <s v="Yemen, Rep."/>
    <x v="0"/>
    <x v="1"/>
    <x v="1"/>
    <s v="Population, total"/>
    <s v="Demographics"/>
    <s v="SDG 11: Sustainable Cities and Communities"/>
    <n v="5498090"/>
    <s v="People"/>
    <s v="Yemen, Rep.|1957"/>
    <s v="Gapminder/Plotly country-year extract reshaped to long indicator format for education"/>
    <s v="OK"/>
    <s v="1950s"/>
    <s v="N/A"/>
    <s v="Demographics"/>
  </r>
  <r>
    <s v="GM-05010"/>
    <s v="Yemen, Rep."/>
    <x v="0"/>
    <x v="1"/>
    <x v="2"/>
    <s v="GDP per capita"/>
    <s v="Economy"/>
    <s v="SDG 8: Decent Work and Economic Growth"/>
    <n v="804.83045470000002"/>
    <s v="Source-defined international dollars"/>
    <s v="Yemen, Rep.|1957"/>
    <s v="Gapminder/Plotly country-year extract reshaped to long indicator format for education"/>
    <s v="OK"/>
    <s v="1950s"/>
    <s v="N/A"/>
    <s v="Economy"/>
  </r>
  <r>
    <s v="GM-05011"/>
    <s v="Yemen, Rep."/>
    <x v="0"/>
    <x v="2"/>
    <x v="0"/>
    <s v="Life expectancy at birth"/>
    <s v="Health"/>
    <s v="SDG 3: Good Health and Well-being"/>
    <n v="35.18"/>
    <s v="Years"/>
    <s v="Yemen, Rep.|1962"/>
    <s v="Gapminder/Plotly country-year extract reshaped to long indicator format for education"/>
    <s v="OK"/>
    <s v="1960s"/>
    <s v="Low"/>
    <s v="Health"/>
  </r>
  <r>
    <s v="GM-05012"/>
    <s v="Yemen, Rep."/>
    <x v="0"/>
    <x v="2"/>
    <x v="1"/>
    <s v="Population, total"/>
    <s v="Demographics"/>
    <s v="SDG 11: Sustainable Cities and Communities"/>
    <n v="6120081"/>
    <s v="People"/>
    <s v="Yemen, Rep.|1962"/>
    <s v="Gapminder/Plotly country-year extract reshaped to long indicator format for education"/>
    <s v="OK"/>
    <s v="1960s"/>
    <s v="N/A"/>
    <s v="Demographics"/>
  </r>
  <r>
    <s v="GM-05013"/>
    <s v="Yemen, Rep."/>
    <x v="0"/>
    <x v="2"/>
    <x v="2"/>
    <s v="GDP per capita"/>
    <s v="Economy"/>
    <s v="SDG 8: Decent Work and Economic Growth"/>
    <n v="825.62320060000002"/>
    <s v="Source-defined international dollars"/>
    <s v="Yemen, Rep.|1962"/>
    <s v="Gapminder/Plotly country-year extract reshaped to long indicator format for education"/>
    <s v="OK"/>
    <s v="1960s"/>
    <s v="N/A"/>
    <s v="Economy"/>
  </r>
  <r>
    <s v="GM-05014"/>
    <s v="Yemen, Rep."/>
    <x v="0"/>
    <x v="3"/>
    <x v="0"/>
    <s v="Life expectancy at birth"/>
    <s v="Health"/>
    <s v="SDG 3: Good Health and Well-being"/>
    <n v="36.984000000000002"/>
    <s v="Years"/>
    <s v="Yemen, Rep.|1967"/>
    <s v="Gapminder/Plotly country-year extract reshaped to long indicator format for education"/>
    <s v="OK"/>
    <s v="1960s"/>
    <s v="Low"/>
    <s v="Health"/>
  </r>
  <r>
    <s v="GM-05015"/>
    <s v="Yemen, Rep."/>
    <x v="0"/>
    <x v="3"/>
    <x v="1"/>
    <s v="Population, total"/>
    <s v="Demographics"/>
    <s v="SDG 11: Sustainable Cities and Communities"/>
    <n v="6740785"/>
    <s v="People"/>
    <s v="Yemen, Rep.|1967"/>
    <s v="Gapminder/Plotly country-year extract reshaped to long indicator format for education"/>
    <s v="OK"/>
    <s v="1960s"/>
    <s v="N/A"/>
    <s v="Demographics"/>
  </r>
  <r>
    <s v="GM-05016"/>
    <s v="Yemen, Rep."/>
    <x v="0"/>
    <x v="3"/>
    <x v="2"/>
    <s v="GDP per capita"/>
    <s v="Economy"/>
    <s v="SDG 8: Decent Work and Economic Growth"/>
    <n v="862.44214629999999"/>
    <s v="Source-defined international dollars"/>
    <s v="Yemen, Rep.|1967"/>
    <s v="Gapminder/Plotly country-year extract reshaped to long indicator format for education"/>
    <s v="OK"/>
    <s v="1960s"/>
    <s v="N/A"/>
    <s v="Economy"/>
  </r>
  <r>
    <s v="GM-05017"/>
    <s v="Yemen, Rep."/>
    <x v="0"/>
    <x v="4"/>
    <x v="0"/>
    <s v="Life expectancy at birth"/>
    <s v="Health"/>
    <s v="SDG 3: Good Health and Well-being"/>
    <n v="39.847999999999999"/>
    <s v="Years"/>
    <s v="Yemen, Rep.|1972"/>
    <s v="Gapminder/Plotly country-year extract reshaped to long indicator format for education"/>
    <s v="OK"/>
    <s v="1970s"/>
    <s v="Low"/>
    <s v="Health"/>
  </r>
  <r>
    <s v="GM-05018"/>
    <s v="Yemen, Rep."/>
    <x v="0"/>
    <x v="4"/>
    <x v="1"/>
    <s v="Population, total"/>
    <s v="Demographics"/>
    <s v="SDG 11: Sustainable Cities and Communities"/>
    <n v="7407075"/>
    <s v="People"/>
    <s v="Yemen, Rep.|1972"/>
    <s v="Gapminder/Plotly country-year extract reshaped to long indicator format for education"/>
    <s v="OK"/>
    <s v="1970s"/>
    <s v="N/A"/>
    <s v="Demographics"/>
  </r>
  <r>
    <s v="GM-05019"/>
    <s v="Yemen, Rep."/>
    <x v="0"/>
    <x v="4"/>
    <x v="2"/>
    <s v="GDP per capita"/>
    <s v="Economy"/>
    <s v="SDG 8: Decent Work and Economic Growth"/>
    <n v="1265.0470310000001"/>
    <s v="Source-defined international dollars"/>
    <s v="Yemen, Rep.|1972"/>
    <s v="Gapminder/Plotly country-year extract reshaped to long indicator format for education"/>
    <s v="OK"/>
    <s v="1970s"/>
    <s v="N/A"/>
    <s v="Economy"/>
  </r>
  <r>
    <s v="GM-05020"/>
    <s v="Yemen, Rep."/>
    <x v="0"/>
    <x v="5"/>
    <x v="0"/>
    <s v="Life expectancy at birth"/>
    <s v="Health"/>
    <s v="SDG 3: Good Health and Well-being"/>
    <n v="44.174999999999997"/>
    <s v="Years"/>
    <s v="Yemen, Rep.|1977"/>
    <s v="Gapminder/Plotly country-year extract reshaped to long indicator format for education"/>
    <s v="OK"/>
    <s v="1970s"/>
    <s v="Low"/>
    <s v="Health"/>
  </r>
  <r>
    <s v="GM-05021"/>
    <s v="Yemen, Rep."/>
    <x v="0"/>
    <x v="5"/>
    <x v="1"/>
    <s v="Population, total"/>
    <s v="Demographics"/>
    <s v="SDG 11: Sustainable Cities and Communities"/>
    <n v="8403990"/>
    <s v="People"/>
    <s v="Yemen, Rep.|1977"/>
    <s v="Gapminder/Plotly country-year extract reshaped to long indicator format for education"/>
    <s v="OK"/>
    <s v="1970s"/>
    <s v="N/A"/>
    <s v="Demographics"/>
  </r>
  <r>
    <s v="GM-05022"/>
    <s v="Yemen, Rep."/>
    <x v="0"/>
    <x v="5"/>
    <x v="2"/>
    <s v="GDP per capita"/>
    <s v="Economy"/>
    <s v="SDG 8: Decent Work and Economic Growth"/>
    <n v="1829.765177"/>
    <s v="Source-defined international dollars"/>
    <s v="Yemen, Rep.|1977"/>
    <s v="Gapminder/Plotly country-year extract reshaped to long indicator format for education"/>
    <s v="OK"/>
    <s v="1970s"/>
    <s v="N/A"/>
    <s v="Economy"/>
  </r>
  <r>
    <s v="GM-05023"/>
    <s v="Yemen, Rep."/>
    <x v="0"/>
    <x v="6"/>
    <x v="0"/>
    <s v="Life expectancy at birth"/>
    <s v="Health"/>
    <s v="SDG 3: Good Health and Well-being"/>
    <n v="49.113"/>
    <s v="Years"/>
    <s v="Yemen, Rep.|1982"/>
    <s v="Gapminder/Plotly country-year extract reshaped to long indicator format for education"/>
    <s v="OK"/>
    <s v="1980s"/>
    <s v="Low"/>
    <s v="Health"/>
  </r>
  <r>
    <s v="GM-05024"/>
    <s v="Yemen, Rep."/>
    <x v="0"/>
    <x v="6"/>
    <x v="1"/>
    <s v="Population, total"/>
    <s v="Demographics"/>
    <s v="SDG 11: Sustainable Cities and Communities"/>
    <n v="9657618"/>
    <s v="People"/>
    <s v="Yemen, Rep.|1982"/>
    <s v="Gapminder/Plotly country-year extract reshaped to long indicator format for education"/>
    <s v="OK"/>
    <s v="1980s"/>
    <s v="N/A"/>
    <s v="Demographics"/>
  </r>
  <r>
    <s v="GM-05025"/>
    <s v="Yemen, Rep."/>
    <x v="0"/>
    <x v="6"/>
    <x v="2"/>
    <s v="GDP per capita"/>
    <s v="Economy"/>
    <s v="SDG 8: Decent Work and Economic Growth"/>
    <n v="1977.55701"/>
    <s v="Source-defined international dollars"/>
    <s v="Yemen, Rep.|1982"/>
    <s v="Gapminder/Plotly country-year extract reshaped to long indicator format for education"/>
    <s v="OK"/>
    <s v="1980s"/>
    <s v="N/A"/>
    <s v="Economy"/>
  </r>
  <r>
    <s v="GM-05026"/>
    <s v="Yemen, Rep."/>
    <x v="0"/>
    <x v="7"/>
    <x v="0"/>
    <s v="Life expectancy at birth"/>
    <s v="Health"/>
    <s v="SDG 3: Good Health and Well-being"/>
    <n v="52.921999999999997"/>
    <s v="Years"/>
    <s v="Yemen, Rep.|1987"/>
    <s v="Gapminder/Plotly country-year extract reshaped to long indicator format for education"/>
    <s v="OK"/>
    <s v="1980s"/>
    <s v="Low"/>
    <s v="Health"/>
  </r>
  <r>
    <s v="GM-05027"/>
    <s v="Yemen, Rep."/>
    <x v="0"/>
    <x v="7"/>
    <x v="1"/>
    <s v="Population, total"/>
    <s v="Demographics"/>
    <s v="SDG 11: Sustainable Cities and Communities"/>
    <n v="11219340"/>
    <s v="People"/>
    <s v="Yemen, Rep.|1987"/>
    <s v="Gapminder/Plotly country-year extract reshaped to long indicator format for education"/>
    <s v="OK"/>
    <s v="1980s"/>
    <s v="N/A"/>
    <s v="Demographics"/>
  </r>
  <r>
    <s v="GM-05028"/>
    <s v="Yemen, Rep."/>
    <x v="0"/>
    <x v="7"/>
    <x v="2"/>
    <s v="GDP per capita"/>
    <s v="Economy"/>
    <s v="SDG 8: Decent Work and Economic Growth"/>
    <n v="1971.741538"/>
    <s v="Source-defined international dollars"/>
    <s v="Yemen, Rep.|1987"/>
    <s v="Gapminder/Plotly country-year extract reshaped to long indicator format for education"/>
    <s v="OK"/>
    <s v="1980s"/>
    <s v="N/A"/>
    <s v="Economy"/>
  </r>
  <r>
    <s v="GM-05029"/>
    <s v="Yemen, Rep."/>
    <x v="0"/>
    <x v="8"/>
    <x v="0"/>
    <s v="Life expectancy at birth"/>
    <s v="Health"/>
    <s v="SDG 3: Good Health and Well-being"/>
    <n v="55.598999999999997"/>
    <s v="Years"/>
    <s v="Yemen, Rep.|1992"/>
    <s v="Gapminder/Plotly country-year extract reshaped to long indicator format for education"/>
    <s v="OK"/>
    <s v="1990s"/>
    <s v="Medium"/>
    <s v="Health"/>
  </r>
  <r>
    <s v="GM-05030"/>
    <s v="Yemen, Rep."/>
    <x v="0"/>
    <x v="8"/>
    <x v="1"/>
    <s v="Population, total"/>
    <s v="Demographics"/>
    <s v="SDG 11: Sustainable Cities and Communities"/>
    <n v="13367997"/>
    <s v="People"/>
    <s v="Yemen, Rep.|1992"/>
    <s v="Gapminder/Plotly country-year extract reshaped to long indicator format for education"/>
    <s v="OK"/>
    <s v="1990s"/>
    <s v="N/A"/>
    <s v="Demographics"/>
  </r>
  <r>
    <s v="GM-05031"/>
    <s v="Yemen, Rep."/>
    <x v="0"/>
    <x v="8"/>
    <x v="2"/>
    <s v="GDP per capita"/>
    <s v="Economy"/>
    <s v="SDG 8: Decent Work and Economic Growth"/>
    <n v="1879.4966730000001"/>
    <s v="Source-defined international dollars"/>
    <s v="Yemen, Rep.|1992"/>
    <s v="Gapminder/Plotly country-year extract reshaped to long indicator format for education"/>
    <s v="OK"/>
    <s v="1990s"/>
    <s v="N/A"/>
    <s v="Economy"/>
  </r>
  <r>
    <s v="GM-05032"/>
    <s v="Yemen, Rep."/>
    <x v="0"/>
    <x v="9"/>
    <x v="0"/>
    <s v="Life expectancy at birth"/>
    <s v="Health"/>
    <s v="SDG 3: Good Health and Well-being"/>
    <n v="58.02"/>
    <s v="Years"/>
    <s v="Yemen, Rep.|1997"/>
    <s v="Gapminder/Plotly country-year extract reshaped to long indicator format for education"/>
    <s v="OK"/>
    <s v="1990s"/>
    <s v="Medium"/>
    <s v="Health"/>
  </r>
  <r>
    <s v="GM-05033"/>
    <s v="Yemen, Rep."/>
    <x v="0"/>
    <x v="9"/>
    <x v="1"/>
    <s v="Population, total"/>
    <s v="Demographics"/>
    <s v="SDG 11: Sustainable Cities and Communities"/>
    <n v="15826497"/>
    <s v="People"/>
    <s v="Yemen, Rep.|1997"/>
    <s v="Gapminder/Plotly country-year extract reshaped to long indicator format for education"/>
    <s v="OK"/>
    <s v="1990s"/>
    <s v="N/A"/>
    <s v="Demographics"/>
  </r>
  <r>
    <s v="GM-05034"/>
    <s v="Yemen, Rep."/>
    <x v="0"/>
    <x v="9"/>
    <x v="2"/>
    <s v="GDP per capita"/>
    <s v="Economy"/>
    <s v="SDG 8: Decent Work and Economic Growth"/>
    <n v="2117.4845260000002"/>
    <s v="Source-defined international dollars"/>
    <s v="Yemen, Rep.|1997"/>
    <s v="Gapminder/Plotly country-year extract reshaped to long indicator format for education"/>
    <s v="OK"/>
    <s v="1990s"/>
    <s v="N/A"/>
    <s v="Economy"/>
  </r>
  <r>
    <s v="GM-05035"/>
    <s v="Yemen, Rep."/>
    <x v="0"/>
    <x v="10"/>
    <x v="0"/>
    <s v="Life expectancy at birth"/>
    <s v="Health"/>
    <s v="SDG 3: Good Health and Well-being"/>
    <n v="60.308"/>
    <s v="Years"/>
    <s v="Yemen, Rep.|2002"/>
    <s v="Gapminder/Plotly country-year extract reshaped to long indicator format for education"/>
    <s v="OK"/>
    <s v="2000s"/>
    <s v="Medium"/>
    <s v="Health"/>
  </r>
  <r>
    <s v="GM-05036"/>
    <s v="Yemen, Rep."/>
    <x v="0"/>
    <x v="10"/>
    <x v="1"/>
    <s v="Population, total"/>
    <s v="Demographics"/>
    <s v="SDG 11: Sustainable Cities and Communities"/>
    <n v="18701257"/>
    <s v="People"/>
    <s v="Yemen, Rep.|2002"/>
    <s v="Gapminder/Plotly country-year extract reshaped to long indicator format for education"/>
    <s v="OK"/>
    <s v="2000s"/>
    <s v="N/A"/>
    <s v="Demographics"/>
  </r>
  <r>
    <s v="GM-05037"/>
    <s v="Yemen, Rep."/>
    <x v="0"/>
    <x v="10"/>
    <x v="2"/>
    <s v="GDP per capita"/>
    <s v="Economy"/>
    <s v="SDG 8: Decent Work and Economic Growth"/>
    <n v="2234.820827"/>
    <s v="Source-defined international dollars"/>
    <s v="Yemen, Rep.|2002"/>
    <s v="Gapminder/Plotly country-year extract reshaped to long indicator format for education"/>
    <s v="OK"/>
    <s v="2000s"/>
    <s v="N/A"/>
    <s v="Economy"/>
  </r>
  <r>
    <s v="GM-05038"/>
    <s v="Yemen, Rep."/>
    <x v="0"/>
    <x v="11"/>
    <x v="0"/>
    <s v="Life expectancy at birth"/>
    <s v="Health"/>
    <s v="SDG 3: Good Health and Well-being"/>
    <n v="62.698"/>
    <s v="Years"/>
    <s v="Yemen, Rep.|2007"/>
    <s v="Gapminder/Plotly country-year extract reshaped to long indicator format for education"/>
    <s v="OK"/>
    <s v="2000s"/>
    <s v="Medium"/>
    <s v="Health"/>
  </r>
  <r>
    <s v="GM-05039"/>
    <s v="Yemen, Rep."/>
    <x v="0"/>
    <x v="11"/>
    <x v="1"/>
    <s v="Population, total"/>
    <s v="Demographics"/>
    <s v="SDG 11: Sustainable Cities and Communities"/>
    <n v="22211743"/>
    <s v="People"/>
    <s v="Yemen, Rep.|2007"/>
    <s v="Gapminder/Plotly country-year extract reshaped to long indicator format for education"/>
    <s v="OK"/>
    <s v="2000s"/>
    <s v="N/A"/>
    <s v="Demographics"/>
  </r>
  <r>
    <s v="GM-05040"/>
    <s v="Yemen, Rep."/>
    <x v="0"/>
    <x v="11"/>
    <x v="2"/>
    <s v="GDP per capita"/>
    <s v="Economy"/>
    <s v="SDG 8: Decent Work and Economic Growth"/>
    <n v="2280.769906"/>
    <s v="Source-defined international dollars"/>
    <s v="Yemen, Rep.|2007"/>
    <s v="Gapminder/Plotly country-year extract reshaped to long indicator format for education"/>
    <s v="OK"/>
    <s v="2000s"/>
    <s v="N/A"/>
    <s v="Economy"/>
  </r>
  <r>
    <s v="GM-05041"/>
    <s v="Zambia"/>
    <x v="2"/>
    <x v="0"/>
    <x v="0"/>
    <s v="Life expectancy at birth"/>
    <s v="Health"/>
    <s v="SDG 3: Good Health and Well-being"/>
    <n v="42.037999999999997"/>
    <s v="Years"/>
    <s v="Zambia|1952"/>
    <s v="Gapminder/Plotly country-year extract reshaped to long indicator format for education"/>
    <s v="OK"/>
    <s v="1950s"/>
    <s v="Low"/>
    <s v="Health"/>
  </r>
  <r>
    <s v="GM-05042"/>
    <s v="Zambia"/>
    <x v="2"/>
    <x v="0"/>
    <x v="1"/>
    <s v="Population, total"/>
    <s v="Demographics"/>
    <s v="SDG 11: Sustainable Cities and Communities"/>
    <n v="2672000"/>
    <s v="People"/>
    <s v="Zambia|1952"/>
    <s v="Gapminder/Plotly country-year extract reshaped to long indicator format for education"/>
    <s v="OK"/>
    <s v="1950s"/>
    <s v="N/A"/>
    <s v="Demographics"/>
  </r>
  <r>
    <s v="GM-05043"/>
    <s v="Zambia"/>
    <x v="2"/>
    <x v="0"/>
    <x v="2"/>
    <s v="GDP per capita"/>
    <s v="Economy"/>
    <s v="SDG 8: Decent Work and Economic Growth"/>
    <n v="1147.388831"/>
    <s v="Source-defined international dollars"/>
    <s v="Zambia|1952"/>
    <s v="Gapminder/Plotly country-year extract reshaped to long indicator format for education"/>
    <s v="OK"/>
    <s v="1950s"/>
    <s v="N/A"/>
    <s v="Economy"/>
  </r>
  <r>
    <s v="GM-05044"/>
    <s v="Zambia"/>
    <x v="2"/>
    <x v="1"/>
    <x v="0"/>
    <s v="Life expectancy at birth"/>
    <s v="Health"/>
    <s v="SDG 3: Good Health and Well-being"/>
    <n v="44.076999999999998"/>
    <s v="Years"/>
    <s v="Zambia|1957"/>
    <s v="Gapminder/Plotly country-year extract reshaped to long indicator format for education"/>
    <s v="OK"/>
    <s v="1950s"/>
    <s v="Low"/>
    <s v="Health"/>
  </r>
  <r>
    <s v="GM-05045"/>
    <s v="Zambia"/>
    <x v="2"/>
    <x v="1"/>
    <x v="1"/>
    <s v="Population, total"/>
    <s v="Demographics"/>
    <s v="SDG 11: Sustainable Cities and Communities"/>
    <n v="3016000"/>
    <s v="People"/>
    <s v="Zambia|1957"/>
    <s v="Gapminder/Plotly country-year extract reshaped to long indicator format for education"/>
    <s v="OK"/>
    <s v="1950s"/>
    <s v="N/A"/>
    <s v="Demographics"/>
  </r>
  <r>
    <s v="GM-05046"/>
    <s v="Zambia"/>
    <x v="2"/>
    <x v="1"/>
    <x v="2"/>
    <s v="GDP per capita"/>
    <s v="Economy"/>
    <s v="SDG 8: Decent Work and Economic Growth"/>
    <n v="1311.956766"/>
    <s v="Source-defined international dollars"/>
    <s v="Zambia|1957"/>
    <s v="Gapminder/Plotly country-year extract reshaped to long indicator format for education"/>
    <s v="OK"/>
    <s v="1950s"/>
    <s v="N/A"/>
    <s v="Economy"/>
  </r>
  <r>
    <s v="GM-05047"/>
    <s v="Zambia"/>
    <x v="2"/>
    <x v="2"/>
    <x v="0"/>
    <s v="Life expectancy at birth"/>
    <s v="Health"/>
    <s v="SDG 3: Good Health and Well-being"/>
    <n v="46.023000000000003"/>
    <s v="Years"/>
    <s v="Zambia|1962"/>
    <s v="Gapminder/Plotly country-year extract reshaped to long indicator format for education"/>
    <s v="OK"/>
    <s v="1960s"/>
    <s v="Low"/>
    <s v="Health"/>
  </r>
  <r>
    <s v="GM-05048"/>
    <s v="Zambia"/>
    <x v="2"/>
    <x v="2"/>
    <x v="1"/>
    <s v="Population, total"/>
    <s v="Demographics"/>
    <s v="SDG 11: Sustainable Cities and Communities"/>
    <n v="3421000"/>
    <s v="People"/>
    <s v="Zambia|1962"/>
    <s v="Gapminder/Plotly country-year extract reshaped to long indicator format for education"/>
    <s v="OK"/>
    <s v="1960s"/>
    <s v="N/A"/>
    <s v="Demographics"/>
  </r>
  <r>
    <s v="GM-05049"/>
    <s v="Zambia"/>
    <x v="2"/>
    <x v="2"/>
    <x v="2"/>
    <s v="GDP per capita"/>
    <s v="Economy"/>
    <s v="SDG 8: Decent Work and Economic Growth"/>
    <n v="1452.725766"/>
    <s v="Source-defined international dollars"/>
    <s v="Zambia|1962"/>
    <s v="Gapminder/Plotly country-year extract reshaped to long indicator format for education"/>
    <s v="OK"/>
    <s v="1960s"/>
    <s v="N/A"/>
    <s v="Economy"/>
  </r>
  <r>
    <s v="GM-05050"/>
    <s v="Zambia"/>
    <x v="2"/>
    <x v="3"/>
    <x v="0"/>
    <s v="Life expectancy at birth"/>
    <s v="Health"/>
    <s v="SDG 3: Good Health and Well-being"/>
    <n v="47.768000000000001"/>
    <s v="Years"/>
    <s v="Zambia|1967"/>
    <s v="Gapminder/Plotly country-year extract reshaped to long indicator format for education"/>
    <s v="OK"/>
    <s v="1960s"/>
    <s v="Low"/>
    <s v="Health"/>
  </r>
  <r>
    <s v="GM-05051"/>
    <s v="Zambia"/>
    <x v="2"/>
    <x v="3"/>
    <x v="1"/>
    <s v="Population, total"/>
    <s v="Demographics"/>
    <s v="SDG 11: Sustainable Cities and Communities"/>
    <n v="3900000"/>
    <s v="People"/>
    <s v="Zambia|1967"/>
    <s v="Gapminder/Plotly country-year extract reshaped to long indicator format for education"/>
    <s v="OK"/>
    <s v="1960s"/>
    <s v="N/A"/>
    <s v="Demographics"/>
  </r>
  <r>
    <s v="GM-05052"/>
    <s v="Zambia"/>
    <x v="2"/>
    <x v="3"/>
    <x v="2"/>
    <s v="GDP per capita"/>
    <s v="Economy"/>
    <s v="SDG 8: Decent Work and Economic Growth"/>
    <n v="1777.0773180000001"/>
    <s v="Source-defined international dollars"/>
    <s v="Zambia|1967"/>
    <s v="Gapminder/Plotly country-year extract reshaped to long indicator format for education"/>
    <s v="OK"/>
    <s v="1960s"/>
    <s v="N/A"/>
    <s v="Economy"/>
  </r>
  <r>
    <s v="GM-05053"/>
    <s v="Zambia"/>
    <x v="2"/>
    <x v="4"/>
    <x v="0"/>
    <s v="Life expectancy at birth"/>
    <s v="Health"/>
    <s v="SDG 3: Good Health and Well-being"/>
    <n v="50.106999999999999"/>
    <s v="Years"/>
    <s v="Zambia|1972"/>
    <s v="Gapminder/Plotly country-year extract reshaped to long indicator format for education"/>
    <s v="OK"/>
    <s v="1970s"/>
    <s v="Low"/>
    <s v="Health"/>
  </r>
  <r>
    <s v="GM-05054"/>
    <s v="Zambia"/>
    <x v="2"/>
    <x v="4"/>
    <x v="1"/>
    <s v="Population, total"/>
    <s v="Demographics"/>
    <s v="SDG 11: Sustainable Cities and Communities"/>
    <n v="4506497"/>
    <s v="People"/>
    <s v="Zambia|1972"/>
    <s v="Gapminder/Plotly country-year extract reshaped to long indicator format for education"/>
    <s v="OK"/>
    <s v="1970s"/>
    <s v="N/A"/>
    <s v="Demographics"/>
  </r>
  <r>
    <s v="GM-05055"/>
    <s v="Zambia"/>
    <x v="2"/>
    <x v="4"/>
    <x v="2"/>
    <s v="GDP per capita"/>
    <s v="Economy"/>
    <s v="SDG 8: Decent Work and Economic Growth"/>
    <n v="1773.4982649999999"/>
    <s v="Source-defined international dollars"/>
    <s v="Zambia|1972"/>
    <s v="Gapminder/Plotly country-year extract reshaped to long indicator format for education"/>
    <s v="OK"/>
    <s v="1970s"/>
    <s v="N/A"/>
    <s v="Economy"/>
  </r>
  <r>
    <s v="GM-05056"/>
    <s v="Zambia"/>
    <x v="2"/>
    <x v="5"/>
    <x v="0"/>
    <s v="Life expectancy at birth"/>
    <s v="Health"/>
    <s v="SDG 3: Good Health and Well-being"/>
    <n v="51.386000000000003"/>
    <s v="Years"/>
    <s v="Zambia|1977"/>
    <s v="Gapminder/Plotly country-year extract reshaped to long indicator format for education"/>
    <s v="OK"/>
    <s v="1970s"/>
    <s v="Low"/>
    <s v="Health"/>
  </r>
  <r>
    <s v="GM-05057"/>
    <s v="Zambia"/>
    <x v="2"/>
    <x v="5"/>
    <x v="1"/>
    <s v="Population, total"/>
    <s v="Demographics"/>
    <s v="SDG 11: Sustainable Cities and Communities"/>
    <n v="5216550"/>
    <s v="People"/>
    <s v="Zambia|1977"/>
    <s v="Gapminder/Plotly country-year extract reshaped to long indicator format for education"/>
    <s v="OK"/>
    <s v="1970s"/>
    <s v="N/A"/>
    <s v="Demographics"/>
  </r>
  <r>
    <s v="GM-05058"/>
    <s v="Zambia"/>
    <x v="2"/>
    <x v="5"/>
    <x v="2"/>
    <s v="GDP per capita"/>
    <s v="Economy"/>
    <s v="SDG 8: Decent Work and Economic Growth"/>
    <n v="1588.6882989999999"/>
    <s v="Source-defined international dollars"/>
    <s v="Zambia|1977"/>
    <s v="Gapminder/Plotly country-year extract reshaped to long indicator format for education"/>
    <s v="OK"/>
    <s v="1970s"/>
    <s v="N/A"/>
    <s v="Economy"/>
  </r>
  <r>
    <s v="GM-05059"/>
    <s v="Zambia"/>
    <x v="2"/>
    <x v="6"/>
    <x v="0"/>
    <s v="Life expectancy at birth"/>
    <s v="Health"/>
    <s v="SDG 3: Good Health and Well-being"/>
    <n v="51.820999999999998"/>
    <s v="Years"/>
    <s v="Zambia|1982"/>
    <s v="Gapminder/Plotly country-year extract reshaped to long indicator format for education"/>
    <s v="OK"/>
    <s v="1980s"/>
    <s v="Low"/>
    <s v="Health"/>
  </r>
  <r>
    <s v="GM-05060"/>
    <s v="Zambia"/>
    <x v="2"/>
    <x v="6"/>
    <x v="1"/>
    <s v="Population, total"/>
    <s v="Demographics"/>
    <s v="SDG 11: Sustainable Cities and Communities"/>
    <n v="6100407"/>
    <s v="People"/>
    <s v="Zambia|1982"/>
    <s v="Gapminder/Plotly country-year extract reshaped to long indicator format for education"/>
    <s v="OK"/>
    <s v="1980s"/>
    <s v="N/A"/>
    <s v="Demographics"/>
  </r>
  <r>
    <s v="GM-05061"/>
    <s v="Zambia"/>
    <x v="2"/>
    <x v="6"/>
    <x v="2"/>
    <s v="GDP per capita"/>
    <s v="Economy"/>
    <s v="SDG 8: Decent Work and Economic Growth"/>
    <n v="1408.6785649999999"/>
    <s v="Source-defined international dollars"/>
    <s v="Zambia|1982"/>
    <s v="Gapminder/Plotly country-year extract reshaped to long indicator format for education"/>
    <s v="OK"/>
    <s v="1980s"/>
    <s v="N/A"/>
    <s v="Economy"/>
  </r>
  <r>
    <s v="GM-05062"/>
    <s v="Zambia"/>
    <x v="2"/>
    <x v="7"/>
    <x v="0"/>
    <s v="Life expectancy at birth"/>
    <s v="Health"/>
    <s v="SDG 3: Good Health and Well-being"/>
    <n v="50.820999999999998"/>
    <s v="Years"/>
    <s v="Zambia|1987"/>
    <s v="Gapminder/Plotly country-year extract reshaped to long indicator format for education"/>
    <s v="OK"/>
    <s v="1980s"/>
    <s v="Low"/>
    <s v="Health"/>
  </r>
  <r>
    <s v="GM-05063"/>
    <s v="Zambia"/>
    <x v="2"/>
    <x v="7"/>
    <x v="1"/>
    <s v="Population, total"/>
    <s v="Demographics"/>
    <s v="SDG 11: Sustainable Cities and Communities"/>
    <n v="7272406"/>
    <s v="People"/>
    <s v="Zambia|1987"/>
    <s v="Gapminder/Plotly country-year extract reshaped to long indicator format for education"/>
    <s v="OK"/>
    <s v="1980s"/>
    <s v="N/A"/>
    <s v="Demographics"/>
  </r>
  <r>
    <s v="GM-05064"/>
    <s v="Zambia"/>
    <x v="2"/>
    <x v="7"/>
    <x v="2"/>
    <s v="GDP per capita"/>
    <s v="Economy"/>
    <s v="SDG 8: Decent Work and Economic Growth"/>
    <n v="1213.315116"/>
    <s v="Source-defined international dollars"/>
    <s v="Zambia|1987"/>
    <s v="Gapminder/Plotly country-year extract reshaped to long indicator format for education"/>
    <s v="OK"/>
    <s v="1980s"/>
    <s v="N/A"/>
    <s v="Economy"/>
  </r>
  <r>
    <s v="GM-05065"/>
    <s v="Zambia"/>
    <x v="2"/>
    <x v="8"/>
    <x v="0"/>
    <s v="Life expectancy at birth"/>
    <s v="Health"/>
    <s v="SDG 3: Good Health and Well-being"/>
    <n v="46.1"/>
    <s v="Years"/>
    <s v="Zambia|1992"/>
    <s v="Gapminder/Plotly country-year extract reshaped to long indicator format for education"/>
    <s v="OK"/>
    <s v="1990s"/>
    <s v="Low"/>
    <s v="Health"/>
  </r>
  <r>
    <s v="GM-05066"/>
    <s v="Zambia"/>
    <x v="2"/>
    <x v="8"/>
    <x v="1"/>
    <s v="Population, total"/>
    <s v="Demographics"/>
    <s v="SDG 11: Sustainable Cities and Communities"/>
    <n v="8381163"/>
    <s v="People"/>
    <s v="Zambia|1992"/>
    <s v="Gapminder/Plotly country-year extract reshaped to long indicator format for education"/>
    <s v="OK"/>
    <s v="1990s"/>
    <s v="N/A"/>
    <s v="Demographics"/>
  </r>
  <r>
    <s v="GM-05067"/>
    <s v="Zambia"/>
    <x v="2"/>
    <x v="8"/>
    <x v="2"/>
    <s v="GDP per capita"/>
    <s v="Economy"/>
    <s v="SDG 8: Decent Work and Economic Growth"/>
    <n v="1210.8846329999999"/>
    <s v="Source-defined international dollars"/>
    <s v="Zambia|1992"/>
    <s v="Gapminder/Plotly country-year extract reshaped to long indicator format for education"/>
    <s v="OK"/>
    <s v="1990s"/>
    <s v="N/A"/>
    <s v="Economy"/>
  </r>
  <r>
    <s v="GM-05068"/>
    <s v="Zambia"/>
    <x v="2"/>
    <x v="9"/>
    <x v="0"/>
    <s v="Life expectancy at birth"/>
    <s v="Health"/>
    <s v="SDG 3: Good Health and Well-being"/>
    <n v="40.238"/>
    <s v="Years"/>
    <s v="Zambia|1997"/>
    <s v="Gapminder/Plotly country-year extract reshaped to long indicator format for education"/>
    <s v="OK"/>
    <s v="1990s"/>
    <s v="Low"/>
    <s v="Health"/>
  </r>
  <r>
    <s v="GM-05069"/>
    <s v="Zambia"/>
    <x v="2"/>
    <x v="9"/>
    <x v="1"/>
    <s v="Population, total"/>
    <s v="Demographics"/>
    <s v="SDG 11: Sustainable Cities and Communities"/>
    <n v="9417789"/>
    <s v="People"/>
    <s v="Zambia|1997"/>
    <s v="Gapminder/Plotly country-year extract reshaped to long indicator format for education"/>
    <s v="OK"/>
    <s v="1990s"/>
    <s v="N/A"/>
    <s v="Demographics"/>
  </r>
  <r>
    <s v="GM-05070"/>
    <s v="Zambia"/>
    <x v="2"/>
    <x v="9"/>
    <x v="2"/>
    <s v="GDP per capita"/>
    <s v="Economy"/>
    <s v="SDG 8: Decent Work and Economic Growth"/>
    <n v="1071.353818"/>
    <s v="Source-defined international dollars"/>
    <s v="Zambia|1997"/>
    <s v="Gapminder/Plotly country-year extract reshaped to long indicator format for education"/>
    <s v="OK"/>
    <s v="1990s"/>
    <s v="N/A"/>
    <s v="Economy"/>
  </r>
  <r>
    <s v="GM-05071"/>
    <s v="Zambia"/>
    <x v="2"/>
    <x v="10"/>
    <x v="0"/>
    <s v="Life expectancy at birth"/>
    <s v="Health"/>
    <s v="SDG 3: Good Health and Well-being"/>
    <n v="39.192999999999998"/>
    <s v="Years"/>
    <s v="Zambia|2002"/>
    <s v="Gapminder/Plotly country-year extract reshaped to long indicator format for education"/>
    <s v="OK"/>
    <s v="2000s"/>
    <s v="Low"/>
    <s v="Health"/>
  </r>
  <r>
    <s v="GM-05072"/>
    <s v="Zambia"/>
    <x v="2"/>
    <x v="10"/>
    <x v="1"/>
    <s v="Population, total"/>
    <s v="Demographics"/>
    <s v="SDG 11: Sustainable Cities and Communities"/>
    <n v="10595811"/>
    <s v="People"/>
    <s v="Zambia|2002"/>
    <s v="Gapminder/Plotly country-year extract reshaped to long indicator format for education"/>
    <s v="OK"/>
    <s v="2000s"/>
    <s v="N/A"/>
    <s v="Demographics"/>
  </r>
  <r>
    <s v="GM-05073"/>
    <s v="Zambia"/>
    <x v="2"/>
    <x v="10"/>
    <x v="2"/>
    <s v="GDP per capita"/>
    <s v="Economy"/>
    <s v="SDG 8: Decent Work and Economic Growth"/>
    <n v="1071.613938"/>
    <s v="Source-defined international dollars"/>
    <s v="Zambia|2002"/>
    <s v="Gapminder/Plotly country-year extract reshaped to long indicator format for education"/>
    <s v="OK"/>
    <s v="2000s"/>
    <s v="N/A"/>
    <s v="Economy"/>
  </r>
  <r>
    <s v="GM-05074"/>
    <s v="Zambia"/>
    <x v="2"/>
    <x v="11"/>
    <x v="0"/>
    <s v="Life expectancy at birth"/>
    <s v="Health"/>
    <s v="SDG 3: Good Health and Well-being"/>
    <n v="42.383999999999901"/>
    <s v="Years"/>
    <s v="Zambia|2007"/>
    <s v="Gapminder/Plotly country-year extract reshaped to long indicator format for education"/>
    <s v="OK"/>
    <s v="2000s"/>
    <s v="Low"/>
    <s v="Health"/>
  </r>
  <r>
    <s v="GM-05075"/>
    <s v="Zambia"/>
    <x v="2"/>
    <x v="11"/>
    <x v="1"/>
    <s v="Population, total"/>
    <s v="Demographics"/>
    <s v="SDG 11: Sustainable Cities and Communities"/>
    <n v="11746035"/>
    <s v="People"/>
    <s v="Zambia|2007"/>
    <s v="Gapminder/Plotly country-year extract reshaped to long indicator format for education"/>
    <s v="OK"/>
    <s v="2000s"/>
    <s v="N/A"/>
    <s v="Demographics"/>
  </r>
  <r>
    <s v="GM-05076"/>
    <s v="Zambia"/>
    <x v="2"/>
    <x v="11"/>
    <x v="2"/>
    <s v="GDP per capita"/>
    <s v="Economy"/>
    <s v="SDG 8: Decent Work and Economic Growth"/>
    <n v="1271.211593"/>
    <s v="Source-defined international dollars"/>
    <s v="Zambia|2007"/>
    <s v="Gapminder/Plotly country-year extract reshaped to long indicator format for education"/>
    <s v="OK"/>
    <s v="2000s"/>
    <s v="N/A"/>
    <s v="Economy"/>
  </r>
  <r>
    <s v="GM-05077"/>
    <s v="Zimbabwe"/>
    <x v="2"/>
    <x v="0"/>
    <x v="0"/>
    <s v="Life expectancy at birth"/>
    <s v="Health"/>
    <s v="SDG 3: Good Health and Well-being"/>
    <n v="48.451000000000001"/>
    <s v="Years"/>
    <s v="Zimbabwe|1952"/>
    <s v="Gapminder/Plotly country-year extract reshaped to long indicator format for education"/>
    <s v="OK"/>
    <s v="1950s"/>
    <s v="Low"/>
    <s v="Health"/>
  </r>
  <r>
    <s v="GM-05078"/>
    <s v="Zimbabwe"/>
    <x v="2"/>
    <x v="0"/>
    <x v="1"/>
    <s v="Population, total"/>
    <s v="Demographics"/>
    <s v="SDG 11: Sustainable Cities and Communities"/>
    <n v="3080907"/>
    <s v="People"/>
    <s v="Zimbabwe|1952"/>
    <s v="Gapminder/Plotly country-year extract reshaped to long indicator format for education"/>
    <s v="OK"/>
    <s v="1950s"/>
    <s v="N/A"/>
    <s v="Demographics"/>
  </r>
  <r>
    <s v="GM-05079"/>
    <s v="Zimbabwe"/>
    <x v="2"/>
    <x v="0"/>
    <x v="2"/>
    <s v="GDP per capita"/>
    <s v="Economy"/>
    <s v="SDG 8: Decent Work and Economic Growth"/>
    <n v="406.88411480000002"/>
    <s v="Source-defined international dollars"/>
    <s v="Zimbabwe|1952"/>
    <s v="Gapminder/Plotly country-year extract reshaped to long indicator format for education"/>
    <s v="OK"/>
    <s v="1950s"/>
    <s v="N/A"/>
    <s v="Economy"/>
  </r>
  <r>
    <s v="GM-05080"/>
    <s v="Zimbabwe"/>
    <x v="2"/>
    <x v="1"/>
    <x v="0"/>
    <s v="Life expectancy at birth"/>
    <s v="Health"/>
    <s v="SDG 3: Good Health and Well-being"/>
    <n v="50.469000000000001"/>
    <s v="Years"/>
    <s v="Zimbabwe|1957"/>
    <s v="Gapminder/Plotly country-year extract reshaped to long indicator format for education"/>
    <s v="OK"/>
    <s v="1950s"/>
    <s v="Low"/>
    <s v="Health"/>
  </r>
  <r>
    <s v="GM-05081"/>
    <s v="Zimbabwe"/>
    <x v="2"/>
    <x v="1"/>
    <x v="1"/>
    <s v="Population, total"/>
    <s v="Demographics"/>
    <s v="SDG 11: Sustainable Cities and Communities"/>
    <n v="3646340"/>
    <s v="People"/>
    <s v="Zimbabwe|1957"/>
    <s v="Gapminder/Plotly country-year extract reshaped to long indicator format for education"/>
    <s v="OK"/>
    <s v="1950s"/>
    <s v="N/A"/>
    <s v="Demographics"/>
  </r>
  <r>
    <s v="GM-05082"/>
    <s v="Zimbabwe"/>
    <x v="2"/>
    <x v="1"/>
    <x v="2"/>
    <s v="GDP per capita"/>
    <s v="Economy"/>
    <s v="SDG 8: Decent Work and Economic Growth"/>
    <n v="518.76426809999998"/>
    <s v="Source-defined international dollars"/>
    <s v="Zimbabwe|1957"/>
    <s v="Gapminder/Plotly country-year extract reshaped to long indicator format for education"/>
    <s v="OK"/>
    <s v="1950s"/>
    <s v="N/A"/>
    <s v="Economy"/>
  </r>
  <r>
    <s v="GM-05083"/>
    <s v="Zimbabwe"/>
    <x v="2"/>
    <x v="2"/>
    <x v="0"/>
    <s v="Life expectancy at birth"/>
    <s v="Health"/>
    <s v="SDG 3: Good Health and Well-being"/>
    <n v="52.357999999999997"/>
    <s v="Years"/>
    <s v="Zimbabwe|1962"/>
    <s v="Gapminder/Plotly country-year extract reshaped to long indicator format for education"/>
    <s v="OK"/>
    <s v="1960s"/>
    <s v="Low"/>
    <s v="Health"/>
  </r>
  <r>
    <s v="GM-05084"/>
    <s v="Zimbabwe"/>
    <x v="2"/>
    <x v="2"/>
    <x v="1"/>
    <s v="Population, total"/>
    <s v="Demographics"/>
    <s v="SDG 11: Sustainable Cities and Communities"/>
    <n v="4277736"/>
    <s v="People"/>
    <s v="Zimbabwe|1962"/>
    <s v="Gapminder/Plotly country-year extract reshaped to long indicator format for education"/>
    <s v="OK"/>
    <s v="1960s"/>
    <s v="N/A"/>
    <s v="Demographics"/>
  </r>
  <r>
    <s v="GM-05085"/>
    <s v="Zimbabwe"/>
    <x v="2"/>
    <x v="2"/>
    <x v="2"/>
    <s v="GDP per capita"/>
    <s v="Economy"/>
    <s v="SDG 8: Decent Work and Economic Growth"/>
    <n v="527.2721818"/>
    <s v="Source-defined international dollars"/>
    <s v="Zimbabwe|1962"/>
    <s v="Gapminder/Plotly country-year extract reshaped to long indicator format for education"/>
    <s v="OK"/>
    <s v="1960s"/>
    <s v="N/A"/>
    <s v="Economy"/>
  </r>
  <r>
    <s v="GM-05086"/>
    <s v="Zimbabwe"/>
    <x v="2"/>
    <x v="3"/>
    <x v="0"/>
    <s v="Life expectancy at birth"/>
    <s v="Health"/>
    <s v="SDG 3: Good Health and Well-being"/>
    <n v="53.994999999999997"/>
    <s v="Years"/>
    <s v="Zimbabwe|1967"/>
    <s v="Gapminder/Plotly country-year extract reshaped to long indicator format for education"/>
    <s v="OK"/>
    <s v="1960s"/>
    <s v="Low"/>
    <s v="Health"/>
  </r>
  <r>
    <s v="GM-05087"/>
    <s v="Zimbabwe"/>
    <x v="2"/>
    <x v="3"/>
    <x v="1"/>
    <s v="Population, total"/>
    <s v="Demographics"/>
    <s v="SDG 11: Sustainable Cities and Communities"/>
    <n v="4995432"/>
    <s v="People"/>
    <s v="Zimbabwe|1967"/>
    <s v="Gapminder/Plotly country-year extract reshaped to long indicator format for education"/>
    <s v="OK"/>
    <s v="1960s"/>
    <s v="N/A"/>
    <s v="Demographics"/>
  </r>
  <r>
    <s v="GM-05088"/>
    <s v="Zimbabwe"/>
    <x v="2"/>
    <x v="3"/>
    <x v="2"/>
    <s v="GDP per capita"/>
    <s v="Economy"/>
    <s v="SDG 8: Decent Work and Economic Growth"/>
    <n v="569.79507120000005"/>
    <s v="Source-defined international dollars"/>
    <s v="Zimbabwe|1967"/>
    <s v="Gapminder/Plotly country-year extract reshaped to long indicator format for education"/>
    <s v="OK"/>
    <s v="1960s"/>
    <s v="N/A"/>
    <s v="Economy"/>
  </r>
  <r>
    <s v="GM-05089"/>
    <s v="Zimbabwe"/>
    <x v="2"/>
    <x v="4"/>
    <x v="0"/>
    <s v="Life expectancy at birth"/>
    <s v="Health"/>
    <s v="SDG 3: Good Health and Well-being"/>
    <n v="55.634999999999998"/>
    <s v="Years"/>
    <s v="Zimbabwe|1972"/>
    <s v="Gapminder/Plotly country-year extract reshaped to long indicator format for education"/>
    <s v="OK"/>
    <s v="1970s"/>
    <s v="Medium"/>
    <s v="Health"/>
  </r>
  <r>
    <s v="GM-05090"/>
    <s v="Zimbabwe"/>
    <x v="2"/>
    <x v="4"/>
    <x v="1"/>
    <s v="Population, total"/>
    <s v="Demographics"/>
    <s v="SDG 11: Sustainable Cities and Communities"/>
    <n v="5861135"/>
    <s v="People"/>
    <s v="Zimbabwe|1972"/>
    <s v="Gapminder/Plotly country-year extract reshaped to long indicator format for education"/>
    <s v="OK"/>
    <s v="1970s"/>
    <s v="N/A"/>
    <s v="Demographics"/>
  </r>
  <r>
    <s v="GM-05091"/>
    <s v="Zimbabwe"/>
    <x v="2"/>
    <x v="4"/>
    <x v="2"/>
    <s v="GDP per capita"/>
    <s v="Economy"/>
    <s v="SDG 8: Decent Work and Economic Growth"/>
    <n v="799.36217579999902"/>
    <s v="Source-defined international dollars"/>
    <s v="Zimbabwe|1972"/>
    <s v="Gapminder/Plotly country-year extract reshaped to long indicator format for education"/>
    <s v="OK"/>
    <s v="1970s"/>
    <s v="N/A"/>
    <s v="Economy"/>
  </r>
  <r>
    <s v="GM-05092"/>
    <s v="Zimbabwe"/>
    <x v="2"/>
    <x v="5"/>
    <x v="0"/>
    <s v="Life expectancy at birth"/>
    <s v="Health"/>
    <s v="SDG 3: Good Health and Well-being"/>
    <n v="57.673999999999999"/>
    <s v="Years"/>
    <s v="Zimbabwe|1977"/>
    <s v="Gapminder/Plotly country-year extract reshaped to long indicator format for education"/>
    <s v="OK"/>
    <s v="1970s"/>
    <s v="Medium"/>
    <s v="Health"/>
  </r>
  <r>
    <s v="GM-05093"/>
    <s v="Zimbabwe"/>
    <x v="2"/>
    <x v="5"/>
    <x v="1"/>
    <s v="Population, total"/>
    <s v="Demographics"/>
    <s v="SDG 11: Sustainable Cities and Communities"/>
    <n v="6642107"/>
    <s v="People"/>
    <s v="Zimbabwe|1977"/>
    <s v="Gapminder/Plotly country-year extract reshaped to long indicator format for education"/>
    <s v="OK"/>
    <s v="1970s"/>
    <s v="N/A"/>
    <s v="Demographics"/>
  </r>
  <r>
    <s v="GM-05094"/>
    <s v="Zimbabwe"/>
    <x v="2"/>
    <x v="5"/>
    <x v="2"/>
    <s v="GDP per capita"/>
    <s v="Economy"/>
    <s v="SDG 8: Decent Work and Economic Growth"/>
    <n v="685.58768210000005"/>
    <s v="Source-defined international dollars"/>
    <s v="Zimbabwe|1977"/>
    <s v="Gapminder/Plotly country-year extract reshaped to long indicator format for education"/>
    <s v="OK"/>
    <s v="1970s"/>
    <s v="N/A"/>
    <s v="Economy"/>
  </r>
  <r>
    <s v="GM-05095"/>
    <s v="Zimbabwe"/>
    <x v="2"/>
    <x v="6"/>
    <x v="0"/>
    <s v="Life expectancy at birth"/>
    <s v="Health"/>
    <s v="SDG 3: Good Health and Well-being"/>
    <n v="60.363"/>
    <s v="Years"/>
    <s v="Zimbabwe|1982"/>
    <s v="Gapminder/Plotly country-year extract reshaped to long indicator format for education"/>
    <s v="OK"/>
    <s v="1980s"/>
    <s v="Medium"/>
    <s v="Health"/>
  </r>
  <r>
    <s v="GM-05096"/>
    <s v="Zimbabwe"/>
    <x v="2"/>
    <x v="6"/>
    <x v="1"/>
    <s v="Population, total"/>
    <s v="Demographics"/>
    <s v="SDG 11: Sustainable Cities and Communities"/>
    <n v="7636524"/>
    <s v="People"/>
    <s v="Zimbabwe|1982"/>
    <s v="Gapminder/Plotly country-year extract reshaped to long indicator format for education"/>
    <s v="OK"/>
    <s v="1980s"/>
    <s v="N/A"/>
    <s v="Demographics"/>
  </r>
  <r>
    <s v="GM-05097"/>
    <s v="Zimbabwe"/>
    <x v="2"/>
    <x v="6"/>
    <x v="2"/>
    <s v="GDP per capita"/>
    <s v="Economy"/>
    <s v="SDG 8: Decent Work and Economic Growth"/>
    <n v="788.85504109999999"/>
    <s v="Source-defined international dollars"/>
    <s v="Zimbabwe|1982"/>
    <s v="Gapminder/Plotly country-year extract reshaped to long indicator format for education"/>
    <s v="OK"/>
    <s v="1980s"/>
    <s v="N/A"/>
    <s v="Economy"/>
  </r>
  <r>
    <s v="GM-05098"/>
    <s v="Zimbabwe"/>
    <x v="2"/>
    <x v="7"/>
    <x v="0"/>
    <s v="Life expectancy at birth"/>
    <s v="Health"/>
    <s v="SDG 3: Good Health and Well-being"/>
    <n v="62.350999999999999"/>
    <s v="Years"/>
    <s v="Zimbabwe|1987"/>
    <s v="Gapminder/Plotly country-year extract reshaped to long indicator format for education"/>
    <s v="OK"/>
    <s v="1980s"/>
    <s v="Medium"/>
    <s v="Health"/>
  </r>
  <r>
    <s v="GM-05099"/>
    <s v="Zimbabwe"/>
    <x v="2"/>
    <x v="7"/>
    <x v="1"/>
    <s v="Population, total"/>
    <s v="Demographics"/>
    <s v="SDG 11: Sustainable Cities and Communities"/>
    <n v="9216418"/>
    <s v="People"/>
    <s v="Zimbabwe|1987"/>
    <s v="Gapminder/Plotly country-year extract reshaped to long indicator format for education"/>
    <s v="OK"/>
    <s v="1980s"/>
    <s v="N/A"/>
    <s v="Demographics"/>
  </r>
  <r>
    <s v="GM-05100"/>
    <s v="Zimbabwe"/>
    <x v="2"/>
    <x v="7"/>
    <x v="2"/>
    <s v="GDP per capita"/>
    <s v="Economy"/>
    <s v="SDG 8: Decent Work and Economic Growth"/>
    <n v="706.15730589999998"/>
    <s v="Source-defined international dollars"/>
    <s v="Zimbabwe|1987"/>
    <s v="Gapminder/Plotly country-year extract reshaped to long indicator format for education"/>
    <s v="OK"/>
    <s v="1980s"/>
    <s v="N/A"/>
    <s v="Economy"/>
  </r>
  <r>
    <s v="GM-05101"/>
    <s v="Zimbabwe"/>
    <x v="2"/>
    <x v="8"/>
    <x v="0"/>
    <s v="Life expectancy at birth"/>
    <s v="Health"/>
    <s v="SDG 3: Good Health and Well-being"/>
    <n v="60.377000000000002"/>
    <s v="Years"/>
    <s v="Zimbabwe|1992"/>
    <s v="Gapminder/Plotly country-year extract reshaped to long indicator format for education"/>
    <s v="OK"/>
    <s v="1990s"/>
    <s v="Medium"/>
    <s v="Health"/>
  </r>
  <r>
    <s v="GM-05102"/>
    <s v="Zimbabwe"/>
    <x v="2"/>
    <x v="8"/>
    <x v="1"/>
    <s v="Population, total"/>
    <s v="Demographics"/>
    <s v="SDG 11: Sustainable Cities and Communities"/>
    <n v="10704340"/>
    <s v="People"/>
    <s v="Zimbabwe|1992"/>
    <s v="Gapminder/Plotly country-year extract reshaped to long indicator format for education"/>
    <s v="OK"/>
    <s v="1990s"/>
    <s v="N/A"/>
    <s v="Demographics"/>
  </r>
  <r>
    <s v="GM-05103"/>
    <s v="Zimbabwe"/>
    <x v="2"/>
    <x v="8"/>
    <x v="2"/>
    <s v="GDP per capita"/>
    <s v="Economy"/>
    <s v="SDG 8: Decent Work and Economic Growth"/>
    <n v="693.42078560000004"/>
    <s v="Source-defined international dollars"/>
    <s v="Zimbabwe|1992"/>
    <s v="Gapminder/Plotly country-year extract reshaped to long indicator format for education"/>
    <s v="OK"/>
    <s v="1990s"/>
    <s v="N/A"/>
    <s v="Economy"/>
  </r>
  <r>
    <s v="GM-05104"/>
    <s v="Zimbabwe"/>
    <x v="2"/>
    <x v="9"/>
    <x v="0"/>
    <s v="Life expectancy at birth"/>
    <s v="Health"/>
    <s v="SDG 3: Good Health and Well-being"/>
    <n v="46.808999999999997"/>
    <s v="Years"/>
    <s v="Zimbabwe|1997"/>
    <s v="Gapminder/Plotly country-year extract reshaped to long indicator format for education"/>
    <s v="OK"/>
    <s v="1990s"/>
    <s v="Low"/>
    <s v="Health"/>
  </r>
  <r>
    <s v="GM-05105"/>
    <s v="Zimbabwe"/>
    <x v="2"/>
    <x v="9"/>
    <x v="1"/>
    <s v="Population, total"/>
    <s v="Demographics"/>
    <s v="SDG 11: Sustainable Cities and Communities"/>
    <n v="11404948"/>
    <s v="People"/>
    <s v="Zimbabwe|1997"/>
    <s v="Gapminder/Plotly country-year extract reshaped to long indicator format for education"/>
    <s v="OK"/>
    <s v="1990s"/>
    <s v="N/A"/>
    <s v="Demographics"/>
  </r>
  <r>
    <s v="GM-05106"/>
    <s v="Zimbabwe"/>
    <x v="2"/>
    <x v="9"/>
    <x v="2"/>
    <s v="GDP per capita"/>
    <s v="Economy"/>
    <s v="SDG 8: Decent Work and Economic Growth"/>
    <n v="792.44996029999902"/>
    <s v="Source-defined international dollars"/>
    <s v="Zimbabwe|1997"/>
    <s v="Gapminder/Plotly country-year extract reshaped to long indicator format for education"/>
    <s v="OK"/>
    <s v="1990s"/>
    <s v="N/A"/>
    <s v="Economy"/>
  </r>
  <r>
    <s v="GM-05107"/>
    <s v="Zimbabwe"/>
    <x v="2"/>
    <x v="10"/>
    <x v="0"/>
    <s v="Life expectancy at birth"/>
    <s v="Health"/>
    <s v="SDG 3: Good Health and Well-being"/>
    <n v="39.988999999999997"/>
    <s v="Years"/>
    <s v="Zimbabwe|2002"/>
    <s v="Gapminder/Plotly country-year extract reshaped to long indicator format for education"/>
    <s v="OK"/>
    <s v="2000s"/>
    <s v="Low"/>
    <s v="Health"/>
  </r>
  <r>
    <s v="GM-05108"/>
    <s v="Zimbabwe"/>
    <x v="2"/>
    <x v="10"/>
    <x v="1"/>
    <s v="Population, total"/>
    <s v="Demographics"/>
    <s v="SDG 11: Sustainable Cities and Communities"/>
    <n v="11926563"/>
    <s v="People"/>
    <s v="Zimbabwe|2002"/>
    <s v="Gapminder/Plotly country-year extract reshaped to long indicator format for education"/>
    <s v="OK"/>
    <s v="2000s"/>
    <s v="N/A"/>
    <s v="Demographics"/>
  </r>
  <r>
    <s v="GM-05109"/>
    <s v="Zimbabwe"/>
    <x v="2"/>
    <x v="10"/>
    <x v="2"/>
    <s v="GDP per capita"/>
    <s v="Economy"/>
    <s v="SDG 8: Decent Work and Economic Growth"/>
    <n v="672.03862270000002"/>
    <s v="Source-defined international dollars"/>
    <s v="Zimbabwe|2002"/>
    <s v="Gapminder/Plotly country-year extract reshaped to long indicator format for education"/>
    <s v="OK"/>
    <s v="2000s"/>
    <s v="N/A"/>
    <s v="Economy"/>
  </r>
  <r>
    <s v="GM-05110"/>
    <s v="Zimbabwe"/>
    <x v="2"/>
    <x v="11"/>
    <x v="0"/>
    <s v="Life expectancy at birth"/>
    <s v="Health"/>
    <s v="SDG 3: Good Health and Well-being"/>
    <n v="43.487000000000002"/>
    <s v="Years"/>
    <s v="Zimbabwe|2007"/>
    <s v="Gapminder/Plotly country-year extract reshaped to long indicator format for education"/>
    <s v="OK"/>
    <s v="2000s"/>
    <s v="Low"/>
    <s v="Health"/>
  </r>
  <r>
    <s v="GM-05111"/>
    <s v="Zimbabwe"/>
    <x v="2"/>
    <x v="11"/>
    <x v="1"/>
    <s v="Population, total"/>
    <s v="Demographics"/>
    <s v="SDG 11: Sustainable Cities and Communities"/>
    <n v="12311143"/>
    <s v="People"/>
    <s v="Zimbabwe|2007"/>
    <s v="Gapminder/Plotly country-year extract reshaped to long indicator format for education"/>
    <s v="OK"/>
    <s v="2000s"/>
    <s v="N/A"/>
    <s v="Demographics"/>
  </r>
  <r>
    <s v="GM-05112"/>
    <s v="Zimbabwe"/>
    <x v="2"/>
    <x v="11"/>
    <x v="2"/>
    <s v="GDP per capita"/>
    <s v="Economy"/>
    <s v="SDG 8: Decent Work and Economic Growth"/>
    <n v="469.70929810000001"/>
    <s v="Source-defined international dollars"/>
    <s v="Zimbabwe|2007"/>
    <s v="Gapminder/Plotly country-year extract reshaped to long indicator format for education"/>
    <s v="OK"/>
    <s v="2000s"/>
    <s v="N/A"/>
    <s v="Econom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A0C306-2708-4F95-803F-C306C97601FE}" name="PivotTable1"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3:G17" firstHeaderRow="1" firstDataRow="2" firstDataCol="1" rowPageCount="1" colPageCount="1"/>
  <pivotFields count="16">
    <pivotField compact="0" outline="0" showAll="0"/>
    <pivotField compact="0" outline="0" showAll="0"/>
    <pivotField axis="axisCol" compact="0" outline="0" showAll="0">
      <items count="6">
        <item x="2"/>
        <item x="3"/>
        <item x="0"/>
        <item x="1"/>
        <item x="4"/>
        <item t="default"/>
      </items>
    </pivotField>
    <pivotField axis="axisRow" compact="0" outline="0" showAll="0">
      <items count="13">
        <item x="0"/>
        <item x="1"/>
        <item x="2"/>
        <item x="3"/>
        <item x="4"/>
        <item x="5"/>
        <item x="6"/>
        <item x="7"/>
        <item x="8"/>
        <item x="9"/>
        <item x="10"/>
        <item x="11"/>
        <item t="default"/>
      </items>
    </pivotField>
    <pivotField axis="axisPage" compact="0" outline="0" showAll="0">
      <items count="4">
        <item h="1" x="2"/>
        <item x="0"/>
        <item h="1" x="1"/>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13">
    <i>
      <x/>
    </i>
    <i>
      <x v="1"/>
    </i>
    <i>
      <x v="2"/>
    </i>
    <i>
      <x v="3"/>
    </i>
    <i>
      <x v="4"/>
    </i>
    <i>
      <x v="5"/>
    </i>
    <i>
      <x v="6"/>
    </i>
    <i>
      <x v="7"/>
    </i>
    <i>
      <x v="8"/>
    </i>
    <i>
      <x v="9"/>
    </i>
    <i>
      <x v="10"/>
    </i>
    <i>
      <x v="11"/>
    </i>
    <i t="grand">
      <x/>
    </i>
  </rowItems>
  <colFields count="1">
    <field x="2"/>
  </colFields>
  <colItems count="6">
    <i>
      <x/>
    </i>
    <i>
      <x v="1"/>
    </i>
    <i>
      <x v="2"/>
    </i>
    <i>
      <x v="3"/>
    </i>
    <i>
      <x v="4"/>
    </i>
    <i t="grand">
      <x/>
    </i>
  </colItems>
  <pageFields count="1">
    <pageField fld="4" item="1" hier="-1"/>
  </pageFields>
  <dataFields count="1">
    <dataField name="Average of Value" fld="8" subtotal="average" baseField="0" baseItem="0" numFmtId="2"/>
  </dataFields>
  <formats count="21">
    <format dxfId="50">
      <pivotArea type="all" dataOnly="0" outline="0" fieldPosition="0"/>
    </format>
    <format dxfId="51">
      <pivotArea outline="0" collapsedLevelsAreSubtotals="1" fieldPosition="0"/>
    </format>
    <format dxfId="52">
      <pivotArea type="origin" dataOnly="0" labelOnly="1" outline="0" fieldPosition="0"/>
    </format>
    <format dxfId="53">
      <pivotArea field="3" type="button" dataOnly="0" labelOnly="1" outline="0" axis="axisRow" fieldPosition="0"/>
    </format>
    <format dxfId="54">
      <pivotArea type="topRight" dataOnly="0" labelOnly="1" outline="0" fieldPosition="0"/>
    </format>
    <format dxfId="55">
      <pivotArea field="2" type="button" dataOnly="0" labelOnly="1" outline="0" axis="axisCol" fieldPosition="0"/>
    </format>
    <format dxfId="56">
      <pivotArea dataOnly="0" labelOnly="1" outline="0" fieldPosition="0">
        <references count="1">
          <reference field="2" count="0"/>
        </references>
      </pivotArea>
    </format>
    <format dxfId="57">
      <pivotArea dataOnly="0" labelOnly="1" grandRow="1" outline="0" fieldPosition="0"/>
    </format>
    <format dxfId="58">
      <pivotArea dataOnly="0" labelOnly="1" grandCol="1" outline="0" fieldPosition="0"/>
    </format>
    <format dxfId="59">
      <pivotArea dataOnly="0" labelOnly="1" outline="0" fieldPosition="0">
        <references count="1">
          <reference field="3" count="1">
            <x v="0"/>
          </reference>
        </references>
      </pivotArea>
    </format>
    <format dxfId="60">
      <pivotArea dataOnly="0" labelOnly="1" outline="0" fieldPosition="0">
        <references count="1">
          <reference field="3" count="1">
            <x v="1"/>
          </reference>
        </references>
      </pivotArea>
    </format>
    <format dxfId="61">
      <pivotArea dataOnly="0" labelOnly="1" outline="0" fieldPosition="0">
        <references count="1">
          <reference field="3" count="1">
            <x v="2"/>
          </reference>
        </references>
      </pivotArea>
    </format>
    <format dxfId="62">
      <pivotArea dataOnly="0" labelOnly="1" outline="0" fieldPosition="0">
        <references count="1">
          <reference field="3" count="1">
            <x v="3"/>
          </reference>
        </references>
      </pivotArea>
    </format>
    <format dxfId="63">
      <pivotArea dataOnly="0" labelOnly="1" outline="0" fieldPosition="0">
        <references count="1">
          <reference field="3" count="1">
            <x v="4"/>
          </reference>
        </references>
      </pivotArea>
    </format>
    <format dxfId="64">
      <pivotArea dataOnly="0" labelOnly="1" outline="0" fieldPosition="0">
        <references count="1">
          <reference field="3" count="1">
            <x v="5"/>
          </reference>
        </references>
      </pivotArea>
    </format>
    <format dxfId="65">
      <pivotArea dataOnly="0" labelOnly="1" outline="0" fieldPosition="0">
        <references count="1">
          <reference field="3" count="1">
            <x v="6"/>
          </reference>
        </references>
      </pivotArea>
    </format>
    <format dxfId="66">
      <pivotArea dataOnly="0" labelOnly="1" outline="0" fieldPosition="0">
        <references count="1">
          <reference field="3" count="1">
            <x v="7"/>
          </reference>
        </references>
      </pivotArea>
    </format>
    <format dxfId="67">
      <pivotArea dataOnly="0" labelOnly="1" outline="0" fieldPosition="0">
        <references count="1">
          <reference field="3" count="1">
            <x v="8"/>
          </reference>
        </references>
      </pivotArea>
    </format>
    <format dxfId="68">
      <pivotArea dataOnly="0" labelOnly="1" outline="0" fieldPosition="0">
        <references count="1">
          <reference field="3" count="1">
            <x v="9"/>
          </reference>
        </references>
      </pivotArea>
    </format>
    <format dxfId="69">
      <pivotArea dataOnly="0" labelOnly="1" outline="0" fieldPosition="0">
        <references count="1">
          <reference field="3" count="1">
            <x v="10"/>
          </reference>
        </references>
      </pivotArea>
    </format>
    <format dxfId="70">
      <pivotArea dataOnly="0" labelOnly="1" outline="0" fieldPosition="0">
        <references count="1">
          <reference field="3" count="1">
            <x v="11"/>
          </reference>
        </references>
      </pivotArea>
    </format>
  </formats>
  <chartFormats count="56">
    <chartFormat chart="0" format="12" series="1">
      <pivotArea type="data" outline="0" fieldPosition="0">
        <references count="1">
          <reference field="4294967294" count="1" selected="0">
            <x v="0"/>
          </reference>
        </references>
      </pivotArea>
    </chartFormat>
    <chartFormat chart="0" format="13" series="1">
      <pivotArea type="data" outline="0" fieldPosition="0">
        <references count="2">
          <reference field="4294967294" count="1" selected="0">
            <x v="0"/>
          </reference>
          <reference field="2" count="1" selected="0">
            <x v="1"/>
          </reference>
        </references>
      </pivotArea>
    </chartFormat>
    <chartFormat chart="0" format="14" series="1">
      <pivotArea type="data" outline="0" fieldPosition="0">
        <references count="2">
          <reference field="4294967294" count="1" selected="0">
            <x v="0"/>
          </reference>
          <reference field="2" count="1" selected="0">
            <x v="2"/>
          </reference>
        </references>
      </pivotArea>
    </chartFormat>
    <chartFormat chart="0" format="15" series="1">
      <pivotArea type="data" outline="0" fieldPosition="0">
        <references count="2">
          <reference field="4294967294" count="1" selected="0">
            <x v="0"/>
          </reference>
          <reference field="2" count="1" selected="0">
            <x v="3"/>
          </reference>
        </references>
      </pivotArea>
    </chartFormat>
    <chartFormat chart="0" format="16" series="1">
      <pivotArea type="data" outline="0" fieldPosition="0">
        <references count="2">
          <reference field="4294967294" count="1" selected="0">
            <x v="0"/>
          </reference>
          <reference field="2" count="1" selected="0">
            <x v="4"/>
          </reference>
        </references>
      </pivotArea>
    </chartFormat>
    <chartFormat chart="0" format="17" series="1">
      <pivotArea type="data" outline="0" fieldPosition="0">
        <references count="2">
          <reference field="4294967294" count="1" selected="0">
            <x v="0"/>
          </reference>
          <reference field="2" count="1" selected="0">
            <x v="0"/>
          </reference>
        </references>
      </pivotArea>
    </chartFormat>
    <chartFormat chart="3" format="18" series="1">
      <pivotArea type="data" outline="0" fieldPosition="0">
        <references count="2">
          <reference field="4294967294" count="1" selected="0">
            <x v="0"/>
          </reference>
          <reference field="2" count="1" selected="0">
            <x v="0"/>
          </reference>
        </references>
      </pivotArea>
    </chartFormat>
    <chartFormat chart="3" format="19" series="1">
      <pivotArea type="data" outline="0" fieldPosition="0">
        <references count="2">
          <reference field="4294967294" count="1" selected="0">
            <x v="0"/>
          </reference>
          <reference field="2" count="1" selected="0">
            <x v="1"/>
          </reference>
        </references>
      </pivotArea>
    </chartFormat>
    <chartFormat chart="3" format="20" series="1">
      <pivotArea type="data" outline="0" fieldPosition="0">
        <references count="2">
          <reference field="4294967294" count="1" selected="0">
            <x v="0"/>
          </reference>
          <reference field="2" count="1" selected="0">
            <x v="2"/>
          </reference>
        </references>
      </pivotArea>
    </chartFormat>
    <chartFormat chart="3" format="21" series="1">
      <pivotArea type="data" outline="0" fieldPosition="0">
        <references count="2">
          <reference field="4294967294" count="1" selected="0">
            <x v="0"/>
          </reference>
          <reference field="2" count="1" selected="0">
            <x v="3"/>
          </reference>
        </references>
      </pivotArea>
    </chartFormat>
    <chartFormat chart="3" format="22" series="1">
      <pivotArea type="data" outline="0" fieldPosition="0">
        <references count="2">
          <reference field="4294967294" count="1" selected="0">
            <x v="0"/>
          </reference>
          <reference field="2" count="1" selected="0">
            <x v="4"/>
          </reference>
        </references>
      </pivotArea>
    </chartFormat>
    <chartFormat chart="4" format="23" series="1">
      <pivotArea type="data" outline="0" fieldPosition="0">
        <references count="2">
          <reference field="4294967294" count="1" selected="0">
            <x v="0"/>
          </reference>
          <reference field="2" count="1" selected="0">
            <x v="0"/>
          </reference>
        </references>
      </pivotArea>
    </chartFormat>
    <chartFormat chart="4" format="24" series="1">
      <pivotArea type="data" outline="0" fieldPosition="0">
        <references count="2">
          <reference field="4294967294" count="1" selected="0">
            <x v="0"/>
          </reference>
          <reference field="2" count="1" selected="0">
            <x v="1"/>
          </reference>
        </references>
      </pivotArea>
    </chartFormat>
    <chartFormat chart="4" format="25" series="1">
      <pivotArea type="data" outline="0" fieldPosition="0">
        <references count="2">
          <reference field="4294967294" count="1" selected="0">
            <x v="0"/>
          </reference>
          <reference field="2" count="1" selected="0">
            <x v="2"/>
          </reference>
        </references>
      </pivotArea>
    </chartFormat>
    <chartFormat chart="4" format="26" series="1">
      <pivotArea type="data" outline="0" fieldPosition="0">
        <references count="2">
          <reference field="4294967294" count="1" selected="0">
            <x v="0"/>
          </reference>
          <reference field="2" count="1" selected="0">
            <x v="3"/>
          </reference>
        </references>
      </pivotArea>
    </chartFormat>
    <chartFormat chart="4" format="27" series="1">
      <pivotArea type="data" outline="0" fieldPosition="0">
        <references count="2">
          <reference field="4294967294" count="1" selected="0">
            <x v="0"/>
          </reference>
          <reference field="2" count="1" selected="0">
            <x v="4"/>
          </reference>
        </references>
      </pivotArea>
    </chartFormat>
    <chartFormat chart="5" format="28" series="1">
      <pivotArea type="data" outline="0" fieldPosition="0">
        <references count="2">
          <reference field="4294967294" count="1" selected="0">
            <x v="0"/>
          </reference>
          <reference field="2" count="1" selected="0">
            <x v="0"/>
          </reference>
        </references>
      </pivotArea>
    </chartFormat>
    <chartFormat chart="5" format="29" series="1">
      <pivotArea type="data" outline="0" fieldPosition="0">
        <references count="2">
          <reference field="4294967294" count="1" selected="0">
            <x v="0"/>
          </reference>
          <reference field="2" count="1" selected="0">
            <x v="1"/>
          </reference>
        </references>
      </pivotArea>
    </chartFormat>
    <chartFormat chart="5" format="30" series="1">
      <pivotArea type="data" outline="0" fieldPosition="0">
        <references count="2">
          <reference field="4294967294" count="1" selected="0">
            <x v="0"/>
          </reference>
          <reference field="2" count="1" selected="0">
            <x v="2"/>
          </reference>
        </references>
      </pivotArea>
    </chartFormat>
    <chartFormat chart="5" format="31" series="1">
      <pivotArea type="data" outline="0" fieldPosition="0">
        <references count="2">
          <reference field="4294967294" count="1" selected="0">
            <x v="0"/>
          </reference>
          <reference field="2" count="1" selected="0">
            <x v="3"/>
          </reference>
        </references>
      </pivotArea>
    </chartFormat>
    <chartFormat chart="5" format="32" series="1">
      <pivotArea type="data" outline="0" fieldPosition="0">
        <references count="2">
          <reference field="4294967294" count="1" selected="0">
            <x v="0"/>
          </reference>
          <reference field="2" count="1" selected="0">
            <x v="4"/>
          </reference>
        </references>
      </pivotArea>
    </chartFormat>
    <chartFormat chart="6" format="33" series="1">
      <pivotArea type="data" outline="0" fieldPosition="0">
        <references count="2">
          <reference field="4294967294" count="1" selected="0">
            <x v="0"/>
          </reference>
          <reference field="2" count="1" selected="0">
            <x v="0"/>
          </reference>
        </references>
      </pivotArea>
    </chartFormat>
    <chartFormat chart="6" format="34" series="1">
      <pivotArea type="data" outline="0" fieldPosition="0">
        <references count="2">
          <reference field="4294967294" count="1" selected="0">
            <x v="0"/>
          </reference>
          <reference field="2" count="1" selected="0">
            <x v="1"/>
          </reference>
        </references>
      </pivotArea>
    </chartFormat>
    <chartFormat chart="6" format="35" series="1">
      <pivotArea type="data" outline="0" fieldPosition="0">
        <references count="2">
          <reference field="4294967294" count="1" selected="0">
            <x v="0"/>
          </reference>
          <reference field="2" count="1" selected="0">
            <x v="2"/>
          </reference>
        </references>
      </pivotArea>
    </chartFormat>
    <chartFormat chart="6" format="36" series="1">
      <pivotArea type="data" outline="0" fieldPosition="0">
        <references count="2">
          <reference field="4294967294" count="1" selected="0">
            <x v="0"/>
          </reference>
          <reference field="2" count="1" selected="0">
            <x v="3"/>
          </reference>
        </references>
      </pivotArea>
    </chartFormat>
    <chartFormat chart="6" format="37" series="1">
      <pivotArea type="data" outline="0" fieldPosition="0">
        <references count="2">
          <reference field="4294967294" count="1" selected="0">
            <x v="0"/>
          </reference>
          <reference field="2" count="1" selected="0">
            <x v="4"/>
          </reference>
        </references>
      </pivotArea>
    </chartFormat>
    <chartFormat chart="7" format="38" series="1">
      <pivotArea type="data" outline="0" fieldPosition="0">
        <references count="2">
          <reference field="4294967294" count="1" selected="0">
            <x v="0"/>
          </reference>
          <reference field="2" count="1" selected="0">
            <x v="0"/>
          </reference>
        </references>
      </pivotArea>
    </chartFormat>
    <chartFormat chart="7" format="39" series="1">
      <pivotArea type="data" outline="0" fieldPosition="0">
        <references count="2">
          <reference field="4294967294" count="1" selected="0">
            <x v="0"/>
          </reference>
          <reference field="2" count="1" selected="0">
            <x v="1"/>
          </reference>
        </references>
      </pivotArea>
    </chartFormat>
    <chartFormat chart="7" format="40" series="1">
      <pivotArea type="data" outline="0" fieldPosition="0">
        <references count="2">
          <reference field="4294967294" count="1" selected="0">
            <x v="0"/>
          </reference>
          <reference field="2" count="1" selected="0">
            <x v="2"/>
          </reference>
        </references>
      </pivotArea>
    </chartFormat>
    <chartFormat chart="7" format="41" series="1">
      <pivotArea type="data" outline="0" fieldPosition="0">
        <references count="2">
          <reference field="4294967294" count="1" selected="0">
            <x v="0"/>
          </reference>
          <reference field="2" count="1" selected="0">
            <x v="3"/>
          </reference>
        </references>
      </pivotArea>
    </chartFormat>
    <chartFormat chart="7" format="42" series="1">
      <pivotArea type="data" outline="0" fieldPosition="0">
        <references count="2">
          <reference field="4294967294" count="1" selected="0">
            <x v="0"/>
          </reference>
          <reference field="2" count="1" selected="0">
            <x v="4"/>
          </reference>
        </references>
      </pivotArea>
    </chartFormat>
    <chartFormat chart="8" format="43" series="1">
      <pivotArea type="data" outline="0" fieldPosition="0">
        <references count="2">
          <reference field="4294967294" count="1" selected="0">
            <x v="0"/>
          </reference>
          <reference field="2" count="1" selected="0">
            <x v="0"/>
          </reference>
        </references>
      </pivotArea>
    </chartFormat>
    <chartFormat chart="8" format="44" series="1">
      <pivotArea type="data" outline="0" fieldPosition="0">
        <references count="2">
          <reference field="4294967294" count="1" selected="0">
            <x v="0"/>
          </reference>
          <reference field="2" count="1" selected="0">
            <x v="1"/>
          </reference>
        </references>
      </pivotArea>
    </chartFormat>
    <chartFormat chart="8" format="45" series="1">
      <pivotArea type="data" outline="0" fieldPosition="0">
        <references count="2">
          <reference field="4294967294" count="1" selected="0">
            <x v="0"/>
          </reference>
          <reference field="2" count="1" selected="0">
            <x v="2"/>
          </reference>
        </references>
      </pivotArea>
    </chartFormat>
    <chartFormat chart="8" format="46" series="1">
      <pivotArea type="data" outline="0" fieldPosition="0">
        <references count="2">
          <reference field="4294967294" count="1" selected="0">
            <x v="0"/>
          </reference>
          <reference field="2" count="1" selected="0">
            <x v="3"/>
          </reference>
        </references>
      </pivotArea>
    </chartFormat>
    <chartFormat chart="8" format="47" series="1">
      <pivotArea type="data" outline="0" fieldPosition="0">
        <references count="2">
          <reference field="4294967294" count="1" selected="0">
            <x v="0"/>
          </reference>
          <reference field="2" count="1" selected="0">
            <x v="4"/>
          </reference>
        </references>
      </pivotArea>
    </chartFormat>
    <chartFormat chart="9" format="38" series="1">
      <pivotArea type="data" outline="0" fieldPosition="0">
        <references count="2">
          <reference field="4294967294" count="1" selected="0">
            <x v="0"/>
          </reference>
          <reference field="2" count="1" selected="0">
            <x v="0"/>
          </reference>
        </references>
      </pivotArea>
    </chartFormat>
    <chartFormat chart="9" format="39" series="1">
      <pivotArea type="data" outline="0" fieldPosition="0">
        <references count="2">
          <reference field="4294967294" count="1" selected="0">
            <x v="0"/>
          </reference>
          <reference field="2" count="1" selected="0">
            <x v="1"/>
          </reference>
        </references>
      </pivotArea>
    </chartFormat>
    <chartFormat chart="9" format="40" series="1">
      <pivotArea type="data" outline="0" fieldPosition="0">
        <references count="2">
          <reference field="4294967294" count="1" selected="0">
            <x v="0"/>
          </reference>
          <reference field="2" count="1" selected="0">
            <x v="2"/>
          </reference>
        </references>
      </pivotArea>
    </chartFormat>
    <chartFormat chart="9" format="41" series="1">
      <pivotArea type="data" outline="0" fieldPosition="0">
        <references count="2">
          <reference field="4294967294" count="1" selected="0">
            <x v="0"/>
          </reference>
          <reference field="2" count="1" selected="0">
            <x v="3"/>
          </reference>
        </references>
      </pivotArea>
    </chartFormat>
    <chartFormat chart="9" format="42" series="1">
      <pivotArea type="data" outline="0" fieldPosition="0">
        <references count="2">
          <reference field="4294967294" count="1" selected="0">
            <x v="0"/>
          </reference>
          <reference field="2" count="1" selected="0">
            <x v="4"/>
          </reference>
        </references>
      </pivotArea>
    </chartFormat>
    <chartFormat chart="10" format="43" series="1">
      <pivotArea type="data" outline="0" fieldPosition="0">
        <references count="2">
          <reference field="4294967294" count="1" selected="0">
            <x v="0"/>
          </reference>
          <reference field="2" count="1" selected="0">
            <x v="0"/>
          </reference>
        </references>
      </pivotArea>
    </chartFormat>
    <chartFormat chart="10" format="44" series="1">
      <pivotArea type="data" outline="0" fieldPosition="0">
        <references count="2">
          <reference field="4294967294" count="1" selected="0">
            <x v="0"/>
          </reference>
          <reference field="2" count="1" selected="0">
            <x v="1"/>
          </reference>
        </references>
      </pivotArea>
    </chartFormat>
    <chartFormat chart="10" format="45" series="1">
      <pivotArea type="data" outline="0" fieldPosition="0">
        <references count="2">
          <reference field="4294967294" count="1" selected="0">
            <x v="0"/>
          </reference>
          <reference field="2" count="1" selected="0">
            <x v="2"/>
          </reference>
        </references>
      </pivotArea>
    </chartFormat>
    <chartFormat chart="10" format="46" series="1">
      <pivotArea type="data" outline="0" fieldPosition="0">
        <references count="2">
          <reference field="4294967294" count="1" selected="0">
            <x v="0"/>
          </reference>
          <reference field="2" count="1" selected="0">
            <x v="3"/>
          </reference>
        </references>
      </pivotArea>
    </chartFormat>
    <chartFormat chart="10" format="47" series="1">
      <pivotArea type="data" outline="0" fieldPosition="0">
        <references count="2">
          <reference field="4294967294" count="1" selected="0">
            <x v="0"/>
          </reference>
          <reference field="2" count="1" selected="0">
            <x v="4"/>
          </reference>
        </references>
      </pivotArea>
    </chartFormat>
    <chartFormat chart="11" format="48" series="1">
      <pivotArea type="data" outline="0" fieldPosition="0">
        <references count="2">
          <reference field="4294967294" count="1" selected="0">
            <x v="0"/>
          </reference>
          <reference field="2" count="1" selected="0">
            <x v="0"/>
          </reference>
        </references>
      </pivotArea>
    </chartFormat>
    <chartFormat chart="11" format="49" series="1">
      <pivotArea type="data" outline="0" fieldPosition="0">
        <references count="2">
          <reference field="4294967294" count="1" selected="0">
            <x v="0"/>
          </reference>
          <reference field="2" count="1" selected="0">
            <x v="1"/>
          </reference>
        </references>
      </pivotArea>
    </chartFormat>
    <chartFormat chart="11" format="50" series="1">
      <pivotArea type="data" outline="0" fieldPosition="0">
        <references count="2">
          <reference field="4294967294" count="1" selected="0">
            <x v="0"/>
          </reference>
          <reference field="2" count="1" selected="0">
            <x v="2"/>
          </reference>
        </references>
      </pivotArea>
    </chartFormat>
    <chartFormat chart="11" format="51" series="1">
      <pivotArea type="data" outline="0" fieldPosition="0">
        <references count="2">
          <reference field="4294967294" count="1" selected="0">
            <x v="0"/>
          </reference>
          <reference field="2" count="1" selected="0">
            <x v="3"/>
          </reference>
        </references>
      </pivotArea>
    </chartFormat>
    <chartFormat chart="11" format="52" series="1">
      <pivotArea type="data" outline="0" fieldPosition="0">
        <references count="2">
          <reference field="4294967294" count="1" selected="0">
            <x v="0"/>
          </reference>
          <reference field="2" count="1" selected="0">
            <x v="4"/>
          </reference>
        </references>
      </pivotArea>
    </chartFormat>
    <chartFormat chart="12" format="53" series="1">
      <pivotArea type="data" outline="0" fieldPosition="0">
        <references count="2">
          <reference field="4294967294" count="1" selected="0">
            <x v="0"/>
          </reference>
          <reference field="2" count="1" selected="0">
            <x v="0"/>
          </reference>
        </references>
      </pivotArea>
    </chartFormat>
    <chartFormat chart="12" format="54" series="1">
      <pivotArea type="data" outline="0" fieldPosition="0">
        <references count="2">
          <reference field="4294967294" count="1" selected="0">
            <x v="0"/>
          </reference>
          <reference field="2" count="1" selected="0">
            <x v="1"/>
          </reference>
        </references>
      </pivotArea>
    </chartFormat>
    <chartFormat chart="12" format="55" series="1">
      <pivotArea type="data" outline="0" fieldPosition="0">
        <references count="2">
          <reference field="4294967294" count="1" selected="0">
            <x v="0"/>
          </reference>
          <reference field="2" count="1" selected="0">
            <x v="2"/>
          </reference>
        </references>
      </pivotArea>
    </chartFormat>
    <chartFormat chart="12" format="56" series="1">
      <pivotArea type="data" outline="0" fieldPosition="0">
        <references count="2">
          <reference field="4294967294" count="1" selected="0">
            <x v="0"/>
          </reference>
          <reference field="2" count="1" selected="0">
            <x v="3"/>
          </reference>
        </references>
      </pivotArea>
    </chartFormat>
    <chartFormat chart="12" format="57"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66944F-0C58-442F-8980-9A774B8AD22D}" name="PivotTable3"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34:G48" firstHeaderRow="1" firstDataRow="2" firstDataCol="1" rowPageCount="1" colPageCount="1"/>
  <pivotFields count="16">
    <pivotField compact="0" outline="0" showAll="0"/>
    <pivotField compact="0" outline="0" showAll="0"/>
    <pivotField axis="axisCol" compact="0" outline="0" showAll="0">
      <items count="6">
        <item x="2"/>
        <item x="3"/>
        <item x="0"/>
        <item x="1"/>
        <item x="4"/>
        <item t="default"/>
      </items>
    </pivotField>
    <pivotField axis="axisRow" compact="0" outline="0" showAll="0">
      <items count="13">
        <item x="0"/>
        <item x="1"/>
        <item x="2"/>
        <item x="3"/>
        <item x="4"/>
        <item x="5"/>
        <item x="6"/>
        <item x="7"/>
        <item x="8"/>
        <item x="9"/>
        <item x="10"/>
        <item x="11"/>
        <item t="default"/>
      </items>
    </pivotField>
    <pivotField axis="axisPage" compact="0" outline="0" showAll="0">
      <items count="4">
        <item x="2"/>
        <item h="1" x="0"/>
        <item h="1" x="1"/>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13">
    <i>
      <x/>
    </i>
    <i>
      <x v="1"/>
    </i>
    <i>
      <x v="2"/>
    </i>
    <i>
      <x v="3"/>
    </i>
    <i>
      <x v="4"/>
    </i>
    <i>
      <x v="5"/>
    </i>
    <i>
      <x v="6"/>
    </i>
    <i>
      <x v="7"/>
    </i>
    <i>
      <x v="8"/>
    </i>
    <i>
      <x v="9"/>
    </i>
    <i>
      <x v="10"/>
    </i>
    <i>
      <x v="11"/>
    </i>
    <i t="grand">
      <x/>
    </i>
  </rowItems>
  <colFields count="1">
    <field x="2"/>
  </colFields>
  <colItems count="6">
    <i>
      <x/>
    </i>
    <i>
      <x v="1"/>
    </i>
    <i>
      <x v="2"/>
    </i>
    <i>
      <x v="3"/>
    </i>
    <i>
      <x v="4"/>
    </i>
    <i t="grand">
      <x/>
    </i>
  </colItems>
  <pageFields count="1">
    <pageField fld="4" item="0" hier="-1"/>
  </pageFields>
  <dataFields count="1">
    <dataField name="Average of Value" fld="8" subtotal="average" baseField="0" baseItem="0" numFmtId="4"/>
  </dataFields>
  <formats count="22">
    <format dxfId="28">
      <pivotArea type="all" dataOnly="0" outline="0" fieldPosition="0"/>
    </format>
    <format dxfId="29">
      <pivotArea outline="0" collapsedLevelsAreSubtotals="1" fieldPosition="0"/>
    </format>
    <format dxfId="30">
      <pivotArea type="origin" dataOnly="0" labelOnly="1" outline="0" fieldPosition="0"/>
    </format>
    <format dxfId="31">
      <pivotArea field="3" type="button" dataOnly="0" labelOnly="1" outline="0" axis="axisRow" fieldPosition="0"/>
    </format>
    <format dxfId="32">
      <pivotArea type="topRight" dataOnly="0" labelOnly="1" outline="0" fieldPosition="0"/>
    </format>
    <format dxfId="33">
      <pivotArea field="2" type="button" dataOnly="0" labelOnly="1" outline="0" axis="axisCol" fieldPosition="0"/>
    </format>
    <format dxfId="34">
      <pivotArea dataOnly="0" labelOnly="1" outline="0" fieldPosition="0">
        <references count="1">
          <reference field="2" count="0"/>
        </references>
      </pivotArea>
    </format>
    <format dxfId="35">
      <pivotArea dataOnly="0" labelOnly="1" grandRow="1" outline="0" fieldPosition="0"/>
    </format>
    <format dxfId="36">
      <pivotArea dataOnly="0" labelOnly="1" outline="0" fieldPosition="0">
        <references count="1">
          <reference field="3" count="0"/>
        </references>
      </pivotArea>
    </format>
    <format dxfId="37">
      <pivotArea dataOnly="0" labelOnly="1" grandCol="1" outline="0" fieldPosition="0"/>
    </format>
    <format dxfId="38">
      <pivotArea dataOnly="0" labelOnly="1" outline="0" fieldPosition="0">
        <references count="1">
          <reference field="3" count="1">
            <x v="0"/>
          </reference>
        </references>
      </pivotArea>
    </format>
    <format dxfId="39">
      <pivotArea dataOnly="0" labelOnly="1" outline="0" fieldPosition="0">
        <references count="1">
          <reference field="3" count="1">
            <x v="2"/>
          </reference>
        </references>
      </pivotArea>
    </format>
    <format dxfId="40">
      <pivotArea dataOnly="0" labelOnly="1" outline="0" fieldPosition="0">
        <references count="1">
          <reference field="3" count="1">
            <x v="1"/>
          </reference>
        </references>
      </pivotArea>
    </format>
    <format dxfId="41">
      <pivotArea dataOnly="0" labelOnly="1" outline="0" fieldPosition="0">
        <references count="1">
          <reference field="3" count="1">
            <x v="3"/>
          </reference>
        </references>
      </pivotArea>
    </format>
    <format dxfId="42">
      <pivotArea dataOnly="0" labelOnly="1" outline="0" fieldPosition="0">
        <references count="1">
          <reference field="3" count="1">
            <x v="4"/>
          </reference>
        </references>
      </pivotArea>
    </format>
    <format dxfId="43">
      <pivotArea dataOnly="0" labelOnly="1" outline="0" fieldPosition="0">
        <references count="1">
          <reference field="3" count="1">
            <x v="5"/>
          </reference>
        </references>
      </pivotArea>
    </format>
    <format dxfId="44">
      <pivotArea dataOnly="0" labelOnly="1" outline="0" fieldPosition="0">
        <references count="1">
          <reference field="3" count="1">
            <x v="6"/>
          </reference>
        </references>
      </pivotArea>
    </format>
    <format dxfId="45">
      <pivotArea dataOnly="0" labelOnly="1" outline="0" fieldPosition="0">
        <references count="1">
          <reference field="3" count="1">
            <x v="7"/>
          </reference>
        </references>
      </pivotArea>
    </format>
    <format dxfId="46">
      <pivotArea dataOnly="0" labelOnly="1" outline="0" fieldPosition="0">
        <references count="1">
          <reference field="3" count="1">
            <x v="8"/>
          </reference>
        </references>
      </pivotArea>
    </format>
    <format dxfId="47">
      <pivotArea dataOnly="0" labelOnly="1" outline="0" fieldPosition="0">
        <references count="1">
          <reference field="3" count="1">
            <x v="9"/>
          </reference>
        </references>
      </pivotArea>
    </format>
    <format dxfId="48">
      <pivotArea dataOnly="0" labelOnly="1" outline="0" fieldPosition="0">
        <references count="1">
          <reference field="3" count="1">
            <x v="10"/>
          </reference>
        </references>
      </pivotArea>
    </format>
    <format dxfId="49">
      <pivotArea dataOnly="0" labelOnly="1" outline="0" fieldPosition="0">
        <references count="1">
          <reference field="3" count="1">
            <x v="11"/>
          </reference>
        </references>
      </pivotArea>
    </format>
  </formats>
  <chartFormats count="5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 chart="0" format="8" series="1">
      <pivotArea type="data" outline="0" fieldPosition="0">
        <references count="2">
          <reference field="4294967294" count="1" selected="0">
            <x v="0"/>
          </reference>
          <reference field="3" count="1" selected="0">
            <x v="8"/>
          </reference>
        </references>
      </pivotArea>
    </chartFormat>
    <chartFormat chart="0" format="9" series="1">
      <pivotArea type="data" outline="0" fieldPosition="0">
        <references count="2">
          <reference field="4294967294" count="1" selected="0">
            <x v="0"/>
          </reference>
          <reference field="3" count="1" selected="0">
            <x v="9"/>
          </reference>
        </references>
      </pivotArea>
    </chartFormat>
    <chartFormat chart="0" format="10" series="1">
      <pivotArea type="data" outline="0" fieldPosition="0">
        <references count="2">
          <reference field="4294967294" count="1" selected="0">
            <x v="0"/>
          </reference>
          <reference field="3" count="1" selected="0">
            <x v="10"/>
          </reference>
        </references>
      </pivotArea>
    </chartFormat>
    <chartFormat chart="0" format="11" series="1">
      <pivotArea type="data" outline="0" fieldPosition="0">
        <references count="2">
          <reference field="4294967294" count="1" selected="0">
            <x v="0"/>
          </reference>
          <reference field="3" count="1" selected="0">
            <x v="11"/>
          </reference>
        </references>
      </pivotArea>
    </chartFormat>
    <chartFormat chart="0" format="12" series="1">
      <pivotArea type="data" outline="0" fieldPosition="0">
        <references count="1">
          <reference field="4294967294" count="1" selected="0">
            <x v="0"/>
          </reference>
        </references>
      </pivotArea>
    </chartFormat>
    <chartFormat chart="0" format="13" series="1">
      <pivotArea type="data" outline="0" fieldPosition="0">
        <references count="2">
          <reference field="4294967294" count="1" selected="0">
            <x v="0"/>
          </reference>
          <reference field="2" count="1" selected="0">
            <x v="1"/>
          </reference>
        </references>
      </pivotArea>
    </chartFormat>
    <chartFormat chart="0" format="14" series="1">
      <pivotArea type="data" outline="0" fieldPosition="0">
        <references count="2">
          <reference field="4294967294" count="1" selected="0">
            <x v="0"/>
          </reference>
          <reference field="2" count="1" selected="0">
            <x v="2"/>
          </reference>
        </references>
      </pivotArea>
    </chartFormat>
    <chartFormat chart="0" format="15" series="1">
      <pivotArea type="data" outline="0" fieldPosition="0">
        <references count="2">
          <reference field="4294967294" count="1" selected="0">
            <x v="0"/>
          </reference>
          <reference field="2" count="1" selected="0">
            <x v="3"/>
          </reference>
        </references>
      </pivotArea>
    </chartFormat>
    <chartFormat chart="0" format="16" series="1">
      <pivotArea type="data" outline="0" fieldPosition="0">
        <references count="2">
          <reference field="4294967294" count="1" selected="0">
            <x v="0"/>
          </reference>
          <reference field="2" count="1" selected="0">
            <x v="4"/>
          </reference>
        </references>
      </pivotArea>
    </chartFormat>
    <chartFormat chart="0" format="17" series="1">
      <pivotArea type="data" outline="0" fieldPosition="0">
        <references count="2">
          <reference field="4294967294" count="1" selected="0">
            <x v="0"/>
          </reference>
          <reference field="2" count="1" selected="0">
            <x v="0"/>
          </reference>
        </references>
      </pivotArea>
    </chartFormat>
    <chartFormat chart="1" format="18" series="1">
      <pivotArea type="data" outline="0" fieldPosition="0">
        <references count="2">
          <reference field="4294967294" count="1" selected="0">
            <x v="0"/>
          </reference>
          <reference field="2" count="1" selected="0">
            <x v="0"/>
          </reference>
        </references>
      </pivotArea>
    </chartFormat>
    <chartFormat chart="1" format="19" series="1">
      <pivotArea type="data" outline="0" fieldPosition="0">
        <references count="2">
          <reference field="4294967294" count="1" selected="0">
            <x v="0"/>
          </reference>
          <reference field="2" count="1" selected="0">
            <x v="1"/>
          </reference>
        </references>
      </pivotArea>
    </chartFormat>
    <chartFormat chart="1" format="20" series="1">
      <pivotArea type="data" outline="0" fieldPosition="0">
        <references count="2">
          <reference field="4294967294" count="1" selected="0">
            <x v="0"/>
          </reference>
          <reference field="2" count="1" selected="0">
            <x v="2"/>
          </reference>
        </references>
      </pivotArea>
    </chartFormat>
    <chartFormat chart="1" format="21" series="1">
      <pivotArea type="data" outline="0" fieldPosition="0">
        <references count="2">
          <reference field="4294967294" count="1" selected="0">
            <x v="0"/>
          </reference>
          <reference field="2" count="1" selected="0">
            <x v="3"/>
          </reference>
        </references>
      </pivotArea>
    </chartFormat>
    <chartFormat chart="1" format="22" series="1">
      <pivotArea type="data" outline="0" fieldPosition="0">
        <references count="2">
          <reference field="4294967294" count="1" selected="0">
            <x v="0"/>
          </reference>
          <reference field="2" count="1" selected="0">
            <x v="4"/>
          </reference>
        </references>
      </pivotArea>
    </chartFormat>
    <chartFormat chart="2" format="23" series="1">
      <pivotArea type="data" outline="0" fieldPosition="0">
        <references count="2">
          <reference field="4294967294" count="1" selected="0">
            <x v="0"/>
          </reference>
          <reference field="2" count="1" selected="0">
            <x v="0"/>
          </reference>
        </references>
      </pivotArea>
    </chartFormat>
    <chartFormat chart="2" format="24" series="1">
      <pivotArea type="data" outline="0" fieldPosition="0">
        <references count="2">
          <reference field="4294967294" count="1" selected="0">
            <x v="0"/>
          </reference>
          <reference field="2" count="1" selected="0">
            <x v="1"/>
          </reference>
        </references>
      </pivotArea>
    </chartFormat>
    <chartFormat chart="2" format="25" series="1">
      <pivotArea type="data" outline="0" fieldPosition="0">
        <references count="2">
          <reference field="4294967294" count="1" selected="0">
            <x v="0"/>
          </reference>
          <reference field="2" count="1" selected="0">
            <x v="2"/>
          </reference>
        </references>
      </pivotArea>
    </chartFormat>
    <chartFormat chart="2" format="26" series="1">
      <pivotArea type="data" outline="0" fieldPosition="0">
        <references count="2">
          <reference field="4294967294" count="1" selected="0">
            <x v="0"/>
          </reference>
          <reference field="2" count="1" selected="0">
            <x v="3"/>
          </reference>
        </references>
      </pivotArea>
    </chartFormat>
    <chartFormat chart="2" format="27" series="1">
      <pivotArea type="data" outline="0" fieldPosition="0">
        <references count="2">
          <reference field="4294967294" count="1" selected="0">
            <x v="0"/>
          </reference>
          <reference field="2" count="1" selected="0">
            <x v="4"/>
          </reference>
        </references>
      </pivotArea>
    </chartFormat>
    <chartFormat chart="3" format="28" series="1">
      <pivotArea type="data" outline="0" fieldPosition="0">
        <references count="2">
          <reference field="4294967294" count="1" selected="0">
            <x v="0"/>
          </reference>
          <reference field="2" count="1" selected="0">
            <x v="0"/>
          </reference>
        </references>
      </pivotArea>
    </chartFormat>
    <chartFormat chart="3" format="29" series="1">
      <pivotArea type="data" outline="0" fieldPosition="0">
        <references count="2">
          <reference field="4294967294" count="1" selected="0">
            <x v="0"/>
          </reference>
          <reference field="2" count="1" selected="0">
            <x v="1"/>
          </reference>
        </references>
      </pivotArea>
    </chartFormat>
    <chartFormat chart="3" format="30" series="1">
      <pivotArea type="data" outline="0" fieldPosition="0">
        <references count="2">
          <reference field="4294967294" count="1" selected="0">
            <x v="0"/>
          </reference>
          <reference field="2" count="1" selected="0">
            <x v="2"/>
          </reference>
        </references>
      </pivotArea>
    </chartFormat>
    <chartFormat chart="3" format="31" series="1">
      <pivotArea type="data" outline="0" fieldPosition="0">
        <references count="2">
          <reference field="4294967294" count="1" selected="0">
            <x v="0"/>
          </reference>
          <reference field="2" count="1" selected="0">
            <x v="3"/>
          </reference>
        </references>
      </pivotArea>
    </chartFormat>
    <chartFormat chart="3" format="32" series="1">
      <pivotArea type="data" outline="0" fieldPosition="0">
        <references count="2">
          <reference field="4294967294" count="1" selected="0">
            <x v="0"/>
          </reference>
          <reference field="2" count="1" selected="0">
            <x v="4"/>
          </reference>
        </references>
      </pivotArea>
    </chartFormat>
    <chartFormat chart="4" format="33" series="1">
      <pivotArea type="data" outline="0" fieldPosition="0">
        <references count="2">
          <reference field="4294967294" count="1" selected="0">
            <x v="0"/>
          </reference>
          <reference field="2" count="1" selected="0">
            <x v="0"/>
          </reference>
        </references>
      </pivotArea>
    </chartFormat>
    <chartFormat chart="4" format="34" series="1">
      <pivotArea type="data" outline="0" fieldPosition="0">
        <references count="2">
          <reference field="4294967294" count="1" selected="0">
            <x v="0"/>
          </reference>
          <reference field="2" count="1" selected="0">
            <x v="1"/>
          </reference>
        </references>
      </pivotArea>
    </chartFormat>
    <chartFormat chart="4" format="35" series="1">
      <pivotArea type="data" outline="0" fieldPosition="0">
        <references count="2">
          <reference field="4294967294" count="1" selected="0">
            <x v="0"/>
          </reference>
          <reference field="2" count="1" selected="0">
            <x v="2"/>
          </reference>
        </references>
      </pivotArea>
    </chartFormat>
    <chartFormat chart="4" format="36" series="1">
      <pivotArea type="data" outline="0" fieldPosition="0">
        <references count="2">
          <reference field="4294967294" count="1" selected="0">
            <x v="0"/>
          </reference>
          <reference field="2" count="1" selected="0">
            <x v="3"/>
          </reference>
        </references>
      </pivotArea>
    </chartFormat>
    <chartFormat chart="4" format="37" series="1">
      <pivotArea type="data" outline="0" fieldPosition="0">
        <references count="2">
          <reference field="4294967294" count="1" selected="0">
            <x v="0"/>
          </reference>
          <reference field="2" count="1" selected="0">
            <x v="4"/>
          </reference>
        </references>
      </pivotArea>
    </chartFormat>
    <chartFormat chart="5" format="38" series="1">
      <pivotArea type="data" outline="0" fieldPosition="0">
        <references count="2">
          <reference field="4294967294" count="1" selected="0">
            <x v="0"/>
          </reference>
          <reference field="2" count="1" selected="0">
            <x v="0"/>
          </reference>
        </references>
      </pivotArea>
    </chartFormat>
    <chartFormat chart="5" format="39" series="1">
      <pivotArea type="data" outline="0" fieldPosition="0">
        <references count="2">
          <reference field="4294967294" count="1" selected="0">
            <x v="0"/>
          </reference>
          <reference field="2" count="1" selected="0">
            <x v="1"/>
          </reference>
        </references>
      </pivotArea>
    </chartFormat>
    <chartFormat chart="5" format="40" series="1">
      <pivotArea type="data" outline="0" fieldPosition="0">
        <references count="2">
          <reference field="4294967294" count="1" selected="0">
            <x v="0"/>
          </reference>
          <reference field="2" count="1" selected="0">
            <x v="2"/>
          </reference>
        </references>
      </pivotArea>
    </chartFormat>
    <chartFormat chart="5" format="41" series="1">
      <pivotArea type="data" outline="0" fieldPosition="0">
        <references count="2">
          <reference field="4294967294" count="1" selected="0">
            <x v="0"/>
          </reference>
          <reference field="2" count="1" selected="0">
            <x v="3"/>
          </reference>
        </references>
      </pivotArea>
    </chartFormat>
    <chartFormat chart="5" format="42" series="1">
      <pivotArea type="data" outline="0" fieldPosition="0">
        <references count="2">
          <reference field="4294967294" count="1" selected="0">
            <x v="0"/>
          </reference>
          <reference field="2" count="1" selected="0">
            <x v="4"/>
          </reference>
        </references>
      </pivotArea>
    </chartFormat>
    <chartFormat chart="6" format="43" series="1">
      <pivotArea type="data" outline="0" fieldPosition="0">
        <references count="2">
          <reference field="4294967294" count="1" selected="0">
            <x v="0"/>
          </reference>
          <reference field="2" count="1" selected="0">
            <x v="0"/>
          </reference>
        </references>
      </pivotArea>
    </chartFormat>
    <chartFormat chart="6" format="44" series="1">
      <pivotArea type="data" outline="0" fieldPosition="0">
        <references count="2">
          <reference field="4294967294" count="1" selected="0">
            <x v="0"/>
          </reference>
          <reference field="2" count="1" selected="0">
            <x v="1"/>
          </reference>
        </references>
      </pivotArea>
    </chartFormat>
    <chartFormat chart="6" format="45" series="1">
      <pivotArea type="data" outline="0" fieldPosition="0">
        <references count="2">
          <reference field="4294967294" count="1" selected="0">
            <x v="0"/>
          </reference>
          <reference field="2" count="1" selected="0">
            <x v="2"/>
          </reference>
        </references>
      </pivotArea>
    </chartFormat>
    <chartFormat chart="6" format="46" series="1">
      <pivotArea type="data" outline="0" fieldPosition="0">
        <references count="2">
          <reference field="4294967294" count="1" selected="0">
            <x v="0"/>
          </reference>
          <reference field="2" count="1" selected="0">
            <x v="3"/>
          </reference>
        </references>
      </pivotArea>
    </chartFormat>
    <chartFormat chart="6" format="47" series="1">
      <pivotArea type="data" outline="0" fieldPosition="0">
        <references count="2">
          <reference field="4294967294" count="1" selected="0">
            <x v="0"/>
          </reference>
          <reference field="2" count="1" selected="0">
            <x v="4"/>
          </reference>
        </references>
      </pivotArea>
    </chartFormat>
    <chartFormat chart="7" format="48" series="1">
      <pivotArea type="data" outline="0" fieldPosition="0">
        <references count="2">
          <reference field="4294967294" count="1" selected="0">
            <x v="0"/>
          </reference>
          <reference field="2" count="1" selected="0">
            <x v="0"/>
          </reference>
        </references>
      </pivotArea>
    </chartFormat>
    <chartFormat chart="7" format="49" series="1">
      <pivotArea type="data" outline="0" fieldPosition="0">
        <references count="2">
          <reference field="4294967294" count="1" selected="0">
            <x v="0"/>
          </reference>
          <reference field="2" count="1" selected="0">
            <x v="1"/>
          </reference>
        </references>
      </pivotArea>
    </chartFormat>
    <chartFormat chart="7" format="50" series="1">
      <pivotArea type="data" outline="0" fieldPosition="0">
        <references count="2">
          <reference field="4294967294" count="1" selected="0">
            <x v="0"/>
          </reference>
          <reference field="2" count="1" selected="0">
            <x v="2"/>
          </reference>
        </references>
      </pivotArea>
    </chartFormat>
    <chartFormat chart="7" format="51" series="1">
      <pivotArea type="data" outline="0" fieldPosition="0">
        <references count="2">
          <reference field="4294967294" count="1" selected="0">
            <x v="0"/>
          </reference>
          <reference field="2" count="1" selected="0">
            <x v="3"/>
          </reference>
        </references>
      </pivotArea>
    </chartFormat>
    <chartFormat chart="7" format="52" series="1">
      <pivotArea type="data" outline="0" fieldPosition="0">
        <references count="2">
          <reference field="4294967294" count="1" selected="0">
            <x v="0"/>
          </reference>
          <reference field="2" count="1" selected="0">
            <x v="4"/>
          </reference>
        </references>
      </pivotArea>
    </chartFormat>
    <chartFormat chart="8" format="53" series="1">
      <pivotArea type="data" outline="0" fieldPosition="0">
        <references count="2">
          <reference field="4294967294" count="1" selected="0">
            <x v="0"/>
          </reference>
          <reference field="2" count="1" selected="0">
            <x v="0"/>
          </reference>
        </references>
      </pivotArea>
    </chartFormat>
    <chartFormat chart="8" format="54" series="1">
      <pivotArea type="data" outline="0" fieldPosition="0">
        <references count="2">
          <reference field="4294967294" count="1" selected="0">
            <x v="0"/>
          </reference>
          <reference field="2" count="1" selected="0">
            <x v="1"/>
          </reference>
        </references>
      </pivotArea>
    </chartFormat>
    <chartFormat chart="8" format="55" series="1">
      <pivotArea type="data" outline="0" fieldPosition="0">
        <references count="2">
          <reference field="4294967294" count="1" selected="0">
            <x v="0"/>
          </reference>
          <reference field="2" count="1" selected="0">
            <x v="2"/>
          </reference>
        </references>
      </pivotArea>
    </chartFormat>
    <chartFormat chart="8" format="56" series="1">
      <pivotArea type="data" outline="0" fieldPosition="0">
        <references count="2">
          <reference field="4294967294" count="1" selected="0">
            <x v="0"/>
          </reference>
          <reference field="2" count="1" selected="0">
            <x v="3"/>
          </reference>
        </references>
      </pivotArea>
    </chartFormat>
    <chartFormat chart="8" format="57"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8F5AEC-18E2-40D2-BA2A-A5B76A085995}" name="PivotTable2"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22:B28" firstHeaderRow="1" firstDataRow="1" firstDataCol="1" rowPageCount="2" colPageCount="1"/>
  <pivotFields count="16">
    <pivotField compact="0" outline="0" showAll="0"/>
    <pivotField compact="0" outline="0" showAll="0"/>
    <pivotField axis="axisRow" compact="0" outline="0" showAll="0">
      <items count="6">
        <item x="2"/>
        <item x="3"/>
        <item x="0"/>
        <item x="1"/>
        <item x="4"/>
        <item t="default"/>
      </items>
    </pivotField>
    <pivotField axis="axisPage" compact="0" outline="0" showAll="0">
      <items count="13">
        <item h="1" x="0"/>
        <item h="1" x="1"/>
        <item h="1" x="2"/>
        <item h="1" x="3"/>
        <item h="1" x="4"/>
        <item h="1" x="5"/>
        <item h="1" x="6"/>
        <item h="1" x="7"/>
        <item h="1" x="8"/>
        <item h="1" x="9"/>
        <item h="1" x="10"/>
        <item x="11"/>
        <item t="default"/>
      </items>
    </pivotField>
    <pivotField axis="axisPage" compact="0" outline="0" showAll="0">
      <items count="4">
        <item h="1" x="2"/>
        <item h="1" x="0"/>
        <item x="1"/>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6">
    <i>
      <x/>
    </i>
    <i>
      <x v="1"/>
    </i>
    <i>
      <x v="2"/>
    </i>
    <i>
      <x v="3"/>
    </i>
    <i>
      <x v="4"/>
    </i>
    <i t="grand">
      <x/>
    </i>
  </rowItems>
  <colItems count="1">
    <i/>
  </colItems>
  <pageFields count="2">
    <pageField fld="4" item="2" hier="-1"/>
    <pageField fld="3" item="11" hier="-1"/>
  </pageFields>
  <dataFields count="1">
    <dataField name="Sum of Value" fld="8" baseField="0" baseItem="0" numFmtId="3"/>
  </dataFields>
  <formats count="22">
    <format dxfId="6">
      <pivotArea type="all" dataOnly="0" outline="0" fieldPosition="0"/>
    </format>
    <format dxfId="7">
      <pivotArea outline="0" collapsedLevelsAreSubtotals="1" fieldPosition="0"/>
    </format>
    <format dxfId="8">
      <pivotArea type="origin" dataOnly="0" labelOnly="1" outline="0" fieldPosition="0"/>
    </format>
    <format dxfId="9">
      <pivotArea field="3" type="button" dataOnly="0" labelOnly="1" outline="0" axis="axisPage" fieldPosition="1"/>
    </format>
    <format dxfId="10">
      <pivotArea type="topRight" dataOnly="0" labelOnly="1" outline="0" fieldPosition="0"/>
    </format>
    <format dxfId="11">
      <pivotArea field="2" type="button" dataOnly="0" labelOnly="1" outline="0" axis="axisRow" fieldPosition="0"/>
    </format>
    <format dxfId="12">
      <pivotArea dataOnly="0" labelOnly="1" outline="0" fieldPosition="0">
        <references count="1">
          <reference field="2" count="0"/>
        </references>
      </pivotArea>
    </format>
    <format dxfId="13">
      <pivotArea dataOnly="0" labelOnly="1" grandRow="1" outline="0" fieldPosition="0"/>
    </format>
    <format dxfId="14">
      <pivotArea dataOnly="0" labelOnly="1" outline="0" fieldPosition="0">
        <references count="1">
          <reference field="3" count="0"/>
        </references>
      </pivotArea>
    </format>
    <format dxfId="15">
      <pivotArea dataOnly="0" labelOnly="1" grandCol="1" outline="0" fieldPosition="0"/>
    </format>
    <format dxfId="16">
      <pivotArea dataOnly="0" labelOnly="1" outline="0" fieldPosition="0">
        <references count="1">
          <reference field="3" count="1">
            <x v="0"/>
          </reference>
        </references>
      </pivotArea>
    </format>
    <format dxfId="17">
      <pivotArea dataOnly="0" labelOnly="1" outline="0" fieldPosition="0">
        <references count="1">
          <reference field="3" count="1">
            <x v="1"/>
          </reference>
        </references>
      </pivotArea>
    </format>
    <format dxfId="18">
      <pivotArea dataOnly="0" labelOnly="1" outline="0" fieldPosition="0">
        <references count="1">
          <reference field="3" count="1">
            <x v="2"/>
          </reference>
        </references>
      </pivotArea>
    </format>
    <format dxfId="19">
      <pivotArea dataOnly="0" labelOnly="1" outline="0" fieldPosition="0">
        <references count="1">
          <reference field="3" count="1">
            <x v="3"/>
          </reference>
        </references>
      </pivotArea>
    </format>
    <format dxfId="20">
      <pivotArea dataOnly="0" labelOnly="1" outline="0" fieldPosition="0">
        <references count="1">
          <reference field="3" count="1">
            <x v="4"/>
          </reference>
        </references>
      </pivotArea>
    </format>
    <format dxfId="21">
      <pivotArea dataOnly="0" labelOnly="1" outline="0" fieldPosition="0">
        <references count="1">
          <reference field="3" count="1">
            <x v="5"/>
          </reference>
        </references>
      </pivotArea>
    </format>
    <format dxfId="22">
      <pivotArea dataOnly="0" labelOnly="1" outline="0" fieldPosition="0">
        <references count="1">
          <reference field="3" count="1">
            <x v="6"/>
          </reference>
        </references>
      </pivotArea>
    </format>
    <format dxfId="23">
      <pivotArea dataOnly="0" labelOnly="1" outline="0" fieldPosition="0">
        <references count="1">
          <reference field="3" count="1">
            <x v="8"/>
          </reference>
        </references>
      </pivotArea>
    </format>
    <format dxfId="24">
      <pivotArea dataOnly="0" labelOnly="1" outline="0" fieldPosition="0">
        <references count="1">
          <reference field="3" count="1">
            <x v="7"/>
          </reference>
        </references>
      </pivotArea>
    </format>
    <format dxfId="25">
      <pivotArea dataOnly="0" labelOnly="1" outline="0" fieldPosition="0">
        <references count="1">
          <reference field="3" count="1">
            <x v="9"/>
          </reference>
        </references>
      </pivotArea>
    </format>
    <format dxfId="26">
      <pivotArea dataOnly="0" labelOnly="1" outline="0" fieldPosition="0">
        <references count="1">
          <reference field="3" count="1">
            <x v="10"/>
          </reference>
        </references>
      </pivotArea>
    </format>
    <format dxfId="27">
      <pivotArea dataOnly="0" labelOnly="1" outline="0" fieldPosition="0">
        <references count="1">
          <reference field="3" count="1">
            <x v="11"/>
          </reference>
        </references>
      </pivotArea>
    </format>
  </format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2B172B-ADD4-4D4D-9160-2C920C2E9BB6}" name="Table1" displayName="Table1" ref="A1:L5113" totalsRowShown="0">
  <autoFilter ref="A1:L5113" xr:uid="{072B172B-ADD4-4D4D-9160-2C920C2E9BB6}"/>
  <tableColumns count="12">
    <tableColumn id="1" xr3:uid="{2FD30AF5-5EDA-4C8A-939E-A083BC72F8A9}" name="Observation_ID"/>
    <tableColumn id="2" xr3:uid="{FC240E82-42C0-4F8C-9CCD-477D5E17F974}" name="Country"/>
    <tableColumn id="3" xr3:uid="{D1B42B42-BF35-4D3F-8372-C61C009B4AB6}" name="Continent"/>
    <tableColumn id="4" xr3:uid="{8C8270F9-C7FA-4732-8562-A6CD54FF8E1D}" name="Year"/>
    <tableColumn id="5" xr3:uid="{CAF70C57-13CD-4C47-A50E-753644C5598B}" name="Indicator_Code"/>
    <tableColumn id="6" xr3:uid="{2FDDCA39-7679-4337-B52B-0B524BF03FA1}" name="Indicator_Name"/>
    <tableColumn id="7" xr3:uid="{0B1ED91C-4DA3-4B6D-BFDD-75384D7B1AF0}" name="Development_Dimension"/>
    <tableColumn id="8" xr3:uid="{0163E123-3E6A-40ED-9FC5-6C35C73D4D54}" name="SDG_Link"/>
    <tableColumn id="9" xr3:uid="{D2B85093-2B0D-4CC2-9886-C33DCEB94166}" name="Value"/>
    <tableColumn id="10" xr3:uid="{8694896D-007E-4AB0-AE29-6984543E2FD1}" name="Unit"/>
    <tableColumn id="11" xr3:uid="{F9A9FB7E-FC42-4434-8526-2E1D01A541CB}" name="Country_Year_Key"/>
    <tableColumn id="12" xr3:uid="{7D23F538-633C-41D8-9BEC-63BB4D540D54}" name="Source_No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EAD607-59AB-453E-839A-B268B9108017}" name="Table13" displayName="Table13" ref="A1:P5113" totalsRowShown="0">
  <autoFilter ref="A1:P5113" xr:uid="{17EAD607-59AB-453E-839A-B268B9108017}"/>
  <tableColumns count="16">
    <tableColumn id="1" xr3:uid="{68D1A624-FBAB-4908-A7E0-DE3F3E47B1E3}" name="Observation_ID"/>
    <tableColumn id="2" xr3:uid="{E387C456-2B81-482C-99D7-5C5F88393A40}" name="Country"/>
    <tableColumn id="3" xr3:uid="{A6AB0B5D-CE5B-40BA-8006-F935C49356F4}" name="Continent"/>
    <tableColumn id="4" xr3:uid="{F1D56A7F-23D8-4563-A4BC-48CB52FA79BA}" name="Year"/>
    <tableColumn id="5" xr3:uid="{A4899DA5-21F1-4C95-8707-C87F84B87352}" name="Indicator_Code"/>
    <tableColumn id="6" xr3:uid="{5D3BFD03-0487-49DF-A28F-F737AF88B1CB}" name="Indicator_Name"/>
    <tableColumn id="7" xr3:uid="{5637BB5E-EB8F-4159-8580-11646FBFA07A}" name="Development_Dimension"/>
    <tableColumn id="8" xr3:uid="{C4F7E2D6-10E4-4466-89C8-24FFA358F8A9}" name="SDG_Link"/>
    <tableColumn id="9" xr3:uid="{80999FA7-3AFA-4403-8787-51B329B7B96C}" name="Value"/>
    <tableColumn id="10" xr3:uid="{C5DB20A2-A0CC-43E3-BA38-523ED473F08C}" name="Unit"/>
    <tableColumn id="11" xr3:uid="{7714A86D-8254-4C2C-BB67-ED6261F275B9}" name="Country_Year_Key"/>
    <tableColumn id="12" xr3:uid="{B16EB7CA-F895-4CFC-ADAB-8FD030139B65}" name="Source_Note"/>
    <tableColumn id="13" xr3:uid="{7A466FC6-E903-474A-A98B-410C6586DDB6}" name="Value_Check" dataDxfId="3">
      <calculatedColumnFormula>IF(AND(ISNUMBER(I2),I2&gt;=0),"OK","Review")</calculatedColumnFormula>
    </tableColumn>
    <tableColumn id="14" xr3:uid="{F49DB61E-2A8B-420D-BAC4-EF002C5BBD8F}" name="Decade" dataDxfId="2">
      <calculatedColumnFormula>FLOOR(D2,10)&amp;"s"</calculatedColumnFormula>
    </tableColumn>
    <tableColumn id="15" xr3:uid="{43944E4E-A3BE-4CDC-8658-EBB4F0A23EAE}" name="Value_Band" dataDxfId="1">
      <calculatedColumnFormula>IF(E2="LIFE_EXP",IF(I2&gt;=70,"High",IF(I2&gt;=55,"Medium","Low")),"N/A")</calculatedColumnFormula>
    </tableColumn>
    <tableColumn id="16" xr3:uid="{237F471E-F7C9-458F-8643-0FFBA58B3884}" name="Dimension_Lookup" dataDxfId="0">
      <calculatedColumnFormula>VLOOKUP(E2,calculated_fields!$F$4:$G$6,2,FALSE)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113"/>
  <sheetViews>
    <sheetView workbookViewId="0"/>
  </sheetViews>
  <sheetFormatPr defaultRowHeight="15"/>
  <cols>
    <col min="1" max="1" width="17.42578125" bestFit="1" customWidth="1"/>
    <col min="2" max="2" width="22.5703125" bestFit="1" customWidth="1"/>
    <col min="3" max="3" width="12.28515625" bestFit="1" customWidth="1"/>
    <col min="4" max="4" width="7.42578125" bestFit="1" customWidth="1"/>
    <col min="5" max="5" width="17.140625" bestFit="1" customWidth="1"/>
    <col min="6" max="6" width="22.140625" bestFit="1" customWidth="1"/>
    <col min="7" max="7" width="26.5703125" bestFit="1" customWidth="1"/>
    <col min="8" max="8" width="40.85546875" bestFit="1" customWidth="1"/>
    <col min="9" max="9" width="12.5703125" bestFit="1" customWidth="1"/>
    <col min="10" max="10" width="34.140625" bestFit="1" customWidth="1"/>
    <col min="11" max="11" width="28" bestFit="1" customWidth="1"/>
    <col min="12" max="12" width="30.7109375" bestFit="1"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v>1952</v>
      </c>
      <c r="E2" t="s">
        <v>15</v>
      </c>
      <c r="F2" t="s">
        <v>16</v>
      </c>
      <c r="G2" t="s">
        <v>17</v>
      </c>
      <c r="H2" t="s">
        <v>18</v>
      </c>
      <c r="I2">
        <v>28.800999999999998</v>
      </c>
      <c r="J2" t="s">
        <v>19</v>
      </c>
      <c r="K2" t="s">
        <v>20</v>
      </c>
      <c r="L2" t="s">
        <v>21</v>
      </c>
    </row>
    <row r="3" spans="1:12">
      <c r="A3" t="s">
        <v>22</v>
      </c>
      <c r="B3" t="s">
        <v>13</v>
      </c>
      <c r="C3" t="s">
        <v>14</v>
      </c>
      <c r="D3">
        <v>1952</v>
      </c>
      <c r="E3" t="s">
        <v>23</v>
      </c>
      <c r="F3" t="s">
        <v>24</v>
      </c>
      <c r="G3" t="s">
        <v>25</v>
      </c>
      <c r="H3" t="s">
        <v>26</v>
      </c>
      <c r="I3">
        <v>8425333</v>
      </c>
      <c r="J3" t="s">
        <v>27</v>
      </c>
      <c r="K3" t="s">
        <v>20</v>
      </c>
      <c r="L3" t="s">
        <v>21</v>
      </c>
    </row>
    <row r="4" spans="1:12">
      <c r="A4" t="s">
        <v>28</v>
      </c>
      <c r="B4" t="s">
        <v>13</v>
      </c>
      <c r="C4" t="s">
        <v>14</v>
      </c>
      <c r="D4">
        <v>1952</v>
      </c>
      <c r="E4" t="s">
        <v>29</v>
      </c>
      <c r="F4" t="s">
        <v>30</v>
      </c>
      <c r="G4" t="s">
        <v>31</v>
      </c>
      <c r="H4" t="s">
        <v>32</v>
      </c>
      <c r="I4">
        <v>779.44531449999999</v>
      </c>
      <c r="J4" t="s">
        <v>33</v>
      </c>
      <c r="K4" t="s">
        <v>20</v>
      </c>
      <c r="L4" t="s">
        <v>21</v>
      </c>
    </row>
    <row r="5" spans="1:12">
      <c r="A5" t="s">
        <v>34</v>
      </c>
      <c r="B5" t="s">
        <v>13</v>
      </c>
      <c r="C5" t="s">
        <v>14</v>
      </c>
      <c r="D5">
        <v>1957</v>
      </c>
      <c r="E5" t="s">
        <v>15</v>
      </c>
      <c r="F5" t="s">
        <v>16</v>
      </c>
      <c r="G5" t="s">
        <v>17</v>
      </c>
      <c r="H5" t="s">
        <v>18</v>
      </c>
      <c r="I5">
        <v>30.332000000000001</v>
      </c>
      <c r="J5" t="s">
        <v>19</v>
      </c>
      <c r="K5" t="s">
        <v>35</v>
      </c>
      <c r="L5" t="s">
        <v>21</v>
      </c>
    </row>
    <row r="6" spans="1:12">
      <c r="A6" t="s">
        <v>36</v>
      </c>
      <c r="B6" t="s">
        <v>13</v>
      </c>
      <c r="C6" t="s">
        <v>14</v>
      </c>
      <c r="D6">
        <v>1957</v>
      </c>
      <c r="E6" t="s">
        <v>23</v>
      </c>
      <c r="F6" t="s">
        <v>24</v>
      </c>
      <c r="G6" t="s">
        <v>25</v>
      </c>
      <c r="H6" t="s">
        <v>26</v>
      </c>
      <c r="I6">
        <v>9240934</v>
      </c>
      <c r="J6" t="s">
        <v>27</v>
      </c>
      <c r="K6" t="s">
        <v>35</v>
      </c>
      <c r="L6" t="s">
        <v>21</v>
      </c>
    </row>
    <row r="7" spans="1:12">
      <c r="A7" t="s">
        <v>37</v>
      </c>
      <c r="B7" t="s">
        <v>13</v>
      </c>
      <c r="C7" t="s">
        <v>14</v>
      </c>
      <c r="D7">
        <v>1957</v>
      </c>
      <c r="E7" t="s">
        <v>29</v>
      </c>
      <c r="F7" t="s">
        <v>30</v>
      </c>
      <c r="G7" t="s">
        <v>31</v>
      </c>
      <c r="H7" t="s">
        <v>32</v>
      </c>
      <c r="I7">
        <v>820.85302960000001</v>
      </c>
      <c r="J7" t="s">
        <v>33</v>
      </c>
      <c r="K7" t="s">
        <v>35</v>
      </c>
      <c r="L7" t="s">
        <v>21</v>
      </c>
    </row>
    <row r="8" spans="1:12">
      <c r="A8" t="s">
        <v>38</v>
      </c>
      <c r="B8" t="s">
        <v>13</v>
      </c>
      <c r="C8" t="s">
        <v>14</v>
      </c>
      <c r="D8">
        <v>1962</v>
      </c>
      <c r="E8" t="s">
        <v>15</v>
      </c>
      <c r="F8" t="s">
        <v>16</v>
      </c>
      <c r="G8" t="s">
        <v>17</v>
      </c>
      <c r="H8" t="s">
        <v>18</v>
      </c>
      <c r="I8">
        <v>31.997</v>
      </c>
      <c r="J8" t="s">
        <v>19</v>
      </c>
      <c r="K8" t="s">
        <v>39</v>
      </c>
      <c r="L8" t="s">
        <v>21</v>
      </c>
    </row>
    <row r="9" spans="1:12">
      <c r="A9" t="s">
        <v>40</v>
      </c>
      <c r="B9" t="s">
        <v>13</v>
      </c>
      <c r="C9" t="s">
        <v>14</v>
      </c>
      <c r="D9">
        <v>1962</v>
      </c>
      <c r="E9" t="s">
        <v>23</v>
      </c>
      <c r="F9" t="s">
        <v>24</v>
      </c>
      <c r="G9" t="s">
        <v>25</v>
      </c>
      <c r="H9" t="s">
        <v>26</v>
      </c>
      <c r="I9">
        <v>10267083</v>
      </c>
      <c r="J9" t="s">
        <v>27</v>
      </c>
      <c r="K9" t="s">
        <v>39</v>
      </c>
      <c r="L9" t="s">
        <v>21</v>
      </c>
    </row>
    <row r="10" spans="1:12">
      <c r="A10" t="s">
        <v>41</v>
      </c>
      <c r="B10" t="s">
        <v>13</v>
      </c>
      <c r="C10" t="s">
        <v>14</v>
      </c>
      <c r="D10">
        <v>1962</v>
      </c>
      <c r="E10" t="s">
        <v>29</v>
      </c>
      <c r="F10" t="s">
        <v>30</v>
      </c>
      <c r="G10" t="s">
        <v>31</v>
      </c>
      <c r="H10" t="s">
        <v>32</v>
      </c>
      <c r="I10">
        <v>853.10070999999903</v>
      </c>
      <c r="J10" t="s">
        <v>33</v>
      </c>
      <c r="K10" t="s">
        <v>39</v>
      </c>
      <c r="L10" t="s">
        <v>21</v>
      </c>
    </row>
    <row r="11" spans="1:12">
      <c r="A11" t="s">
        <v>42</v>
      </c>
      <c r="B11" t="s">
        <v>13</v>
      </c>
      <c r="C11" t="s">
        <v>14</v>
      </c>
      <c r="D11">
        <v>1967</v>
      </c>
      <c r="E11" t="s">
        <v>15</v>
      </c>
      <c r="F11" t="s">
        <v>16</v>
      </c>
      <c r="G11" t="s">
        <v>17</v>
      </c>
      <c r="H11" t="s">
        <v>18</v>
      </c>
      <c r="I11">
        <v>34.020000000000003</v>
      </c>
      <c r="J11" t="s">
        <v>19</v>
      </c>
      <c r="K11" t="s">
        <v>43</v>
      </c>
      <c r="L11" t="s">
        <v>21</v>
      </c>
    </row>
    <row r="12" spans="1:12">
      <c r="A12" t="s">
        <v>44</v>
      </c>
      <c r="B12" t="s">
        <v>13</v>
      </c>
      <c r="C12" t="s">
        <v>14</v>
      </c>
      <c r="D12">
        <v>1967</v>
      </c>
      <c r="E12" t="s">
        <v>23</v>
      </c>
      <c r="F12" t="s">
        <v>24</v>
      </c>
      <c r="G12" t="s">
        <v>25</v>
      </c>
      <c r="H12" t="s">
        <v>26</v>
      </c>
      <c r="I12">
        <v>11537966</v>
      </c>
      <c r="J12" t="s">
        <v>27</v>
      </c>
      <c r="K12" t="s">
        <v>43</v>
      </c>
      <c r="L12" t="s">
        <v>21</v>
      </c>
    </row>
    <row r="13" spans="1:12">
      <c r="A13" t="s">
        <v>45</v>
      </c>
      <c r="B13" t="s">
        <v>13</v>
      </c>
      <c r="C13" t="s">
        <v>14</v>
      </c>
      <c r="D13">
        <v>1967</v>
      </c>
      <c r="E13" t="s">
        <v>29</v>
      </c>
      <c r="F13" t="s">
        <v>30</v>
      </c>
      <c r="G13" t="s">
        <v>31</v>
      </c>
      <c r="H13" t="s">
        <v>32</v>
      </c>
      <c r="I13">
        <v>836.19713820000004</v>
      </c>
      <c r="J13" t="s">
        <v>33</v>
      </c>
      <c r="K13" t="s">
        <v>43</v>
      </c>
      <c r="L13" t="s">
        <v>21</v>
      </c>
    </row>
    <row r="14" spans="1:12">
      <c r="A14" t="s">
        <v>46</v>
      </c>
      <c r="B14" t="s">
        <v>13</v>
      </c>
      <c r="C14" t="s">
        <v>14</v>
      </c>
      <c r="D14">
        <v>1972</v>
      </c>
      <c r="E14" t="s">
        <v>15</v>
      </c>
      <c r="F14" t="s">
        <v>16</v>
      </c>
      <c r="G14" t="s">
        <v>17</v>
      </c>
      <c r="H14" t="s">
        <v>18</v>
      </c>
      <c r="I14">
        <v>36.088000000000001</v>
      </c>
      <c r="J14" t="s">
        <v>19</v>
      </c>
      <c r="K14" t="s">
        <v>47</v>
      </c>
      <c r="L14" t="s">
        <v>21</v>
      </c>
    </row>
    <row r="15" spans="1:12">
      <c r="A15" t="s">
        <v>48</v>
      </c>
      <c r="B15" t="s">
        <v>13</v>
      </c>
      <c r="C15" t="s">
        <v>14</v>
      </c>
      <c r="D15">
        <v>1972</v>
      </c>
      <c r="E15" t="s">
        <v>23</v>
      </c>
      <c r="F15" t="s">
        <v>24</v>
      </c>
      <c r="G15" t="s">
        <v>25</v>
      </c>
      <c r="H15" t="s">
        <v>26</v>
      </c>
      <c r="I15">
        <v>13079460</v>
      </c>
      <c r="J15" t="s">
        <v>27</v>
      </c>
      <c r="K15" t="s">
        <v>47</v>
      </c>
      <c r="L15" t="s">
        <v>21</v>
      </c>
    </row>
    <row r="16" spans="1:12">
      <c r="A16" t="s">
        <v>49</v>
      </c>
      <c r="B16" t="s">
        <v>13</v>
      </c>
      <c r="C16" t="s">
        <v>14</v>
      </c>
      <c r="D16">
        <v>1972</v>
      </c>
      <c r="E16" t="s">
        <v>29</v>
      </c>
      <c r="F16" t="s">
        <v>30</v>
      </c>
      <c r="G16" t="s">
        <v>31</v>
      </c>
      <c r="H16" t="s">
        <v>32</v>
      </c>
      <c r="I16">
        <v>739.981105799999</v>
      </c>
      <c r="J16" t="s">
        <v>33</v>
      </c>
      <c r="K16" t="s">
        <v>47</v>
      </c>
      <c r="L16" t="s">
        <v>21</v>
      </c>
    </row>
    <row r="17" spans="1:12">
      <c r="A17" t="s">
        <v>50</v>
      </c>
      <c r="B17" t="s">
        <v>13</v>
      </c>
      <c r="C17" t="s">
        <v>14</v>
      </c>
      <c r="D17">
        <v>1977</v>
      </c>
      <c r="E17" t="s">
        <v>15</v>
      </c>
      <c r="F17" t="s">
        <v>16</v>
      </c>
      <c r="G17" t="s">
        <v>17</v>
      </c>
      <c r="H17" t="s">
        <v>18</v>
      </c>
      <c r="I17">
        <v>38.438000000000002</v>
      </c>
      <c r="J17" t="s">
        <v>19</v>
      </c>
      <c r="K17" t="s">
        <v>51</v>
      </c>
      <c r="L17" t="s">
        <v>21</v>
      </c>
    </row>
    <row r="18" spans="1:12">
      <c r="A18" t="s">
        <v>52</v>
      </c>
      <c r="B18" t="s">
        <v>13</v>
      </c>
      <c r="C18" t="s">
        <v>14</v>
      </c>
      <c r="D18">
        <v>1977</v>
      </c>
      <c r="E18" t="s">
        <v>23</v>
      </c>
      <c r="F18" t="s">
        <v>24</v>
      </c>
      <c r="G18" t="s">
        <v>25</v>
      </c>
      <c r="H18" t="s">
        <v>26</v>
      </c>
      <c r="I18">
        <v>14880372</v>
      </c>
      <c r="J18" t="s">
        <v>27</v>
      </c>
      <c r="K18" t="s">
        <v>51</v>
      </c>
      <c r="L18" t="s">
        <v>21</v>
      </c>
    </row>
    <row r="19" spans="1:12">
      <c r="A19" t="s">
        <v>53</v>
      </c>
      <c r="B19" t="s">
        <v>13</v>
      </c>
      <c r="C19" t="s">
        <v>14</v>
      </c>
      <c r="D19">
        <v>1977</v>
      </c>
      <c r="E19" t="s">
        <v>29</v>
      </c>
      <c r="F19" t="s">
        <v>30</v>
      </c>
      <c r="G19" t="s">
        <v>31</v>
      </c>
      <c r="H19" t="s">
        <v>32</v>
      </c>
      <c r="I19">
        <v>786.11335999999994</v>
      </c>
      <c r="J19" t="s">
        <v>33</v>
      </c>
      <c r="K19" t="s">
        <v>51</v>
      </c>
      <c r="L19" t="s">
        <v>21</v>
      </c>
    </row>
    <row r="20" spans="1:12">
      <c r="A20" t="s">
        <v>54</v>
      </c>
      <c r="B20" t="s">
        <v>13</v>
      </c>
      <c r="C20" t="s">
        <v>14</v>
      </c>
      <c r="D20">
        <v>1982</v>
      </c>
      <c r="E20" t="s">
        <v>15</v>
      </c>
      <c r="F20" t="s">
        <v>16</v>
      </c>
      <c r="G20" t="s">
        <v>17</v>
      </c>
      <c r="H20" t="s">
        <v>18</v>
      </c>
      <c r="I20">
        <v>39.853999999999999</v>
      </c>
      <c r="J20" t="s">
        <v>19</v>
      </c>
      <c r="K20" t="s">
        <v>55</v>
      </c>
      <c r="L20" t="s">
        <v>21</v>
      </c>
    </row>
    <row r="21" spans="1:12">
      <c r="A21" t="s">
        <v>56</v>
      </c>
      <c r="B21" t="s">
        <v>13</v>
      </c>
      <c r="C21" t="s">
        <v>14</v>
      </c>
      <c r="D21">
        <v>1982</v>
      </c>
      <c r="E21" t="s">
        <v>23</v>
      </c>
      <c r="F21" t="s">
        <v>24</v>
      </c>
      <c r="G21" t="s">
        <v>25</v>
      </c>
      <c r="H21" t="s">
        <v>26</v>
      </c>
      <c r="I21">
        <v>12881816</v>
      </c>
      <c r="J21" t="s">
        <v>27</v>
      </c>
      <c r="K21" t="s">
        <v>55</v>
      </c>
      <c r="L21" t="s">
        <v>21</v>
      </c>
    </row>
    <row r="22" spans="1:12">
      <c r="A22" t="s">
        <v>57</v>
      </c>
      <c r="B22" t="s">
        <v>13</v>
      </c>
      <c r="C22" t="s">
        <v>14</v>
      </c>
      <c r="D22">
        <v>1982</v>
      </c>
      <c r="E22" t="s">
        <v>29</v>
      </c>
      <c r="F22" t="s">
        <v>30</v>
      </c>
      <c r="G22" t="s">
        <v>31</v>
      </c>
      <c r="H22" t="s">
        <v>32</v>
      </c>
      <c r="I22">
        <v>978.01143879999995</v>
      </c>
      <c r="J22" t="s">
        <v>33</v>
      </c>
      <c r="K22" t="s">
        <v>55</v>
      </c>
      <c r="L22" t="s">
        <v>21</v>
      </c>
    </row>
    <row r="23" spans="1:12">
      <c r="A23" t="s">
        <v>58</v>
      </c>
      <c r="B23" t="s">
        <v>13</v>
      </c>
      <c r="C23" t="s">
        <v>14</v>
      </c>
      <c r="D23">
        <v>1987</v>
      </c>
      <c r="E23" t="s">
        <v>15</v>
      </c>
      <c r="F23" t="s">
        <v>16</v>
      </c>
      <c r="G23" t="s">
        <v>17</v>
      </c>
      <c r="H23" t="s">
        <v>18</v>
      </c>
      <c r="I23">
        <v>40.822000000000003</v>
      </c>
      <c r="J23" t="s">
        <v>19</v>
      </c>
      <c r="K23" t="s">
        <v>59</v>
      </c>
      <c r="L23" t="s">
        <v>21</v>
      </c>
    </row>
    <row r="24" spans="1:12">
      <c r="A24" t="s">
        <v>60</v>
      </c>
      <c r="B24" t="s">
        <v>13</v>
      </c>
      <c r="C24" t="s">
        <v>14</v>
      </c>
      <c r="D24">
        <v>1987</v>
      </c>
      <c r="E24" t="s">
        <v>23</v>
      </c>
      <c r="F24" t="s">
        <v>24</v>
      </c>
      <c r="G24" t="s">
        <v>25</v>
      </c>
      <c r="H24" t="s">
        <v>26</v>
      </c>
      <c r="I24">
        <v>13867957</v>
      </c>
      <c r="J24" t="s">
        <v>27</v>
      </c>
      <c r="K24" t="s">
        <v>59</v>
      </c>
      <c r="L24" t="s">
        <v>21</v>
      </c>
    </row>
    <row r="25" spans="1:12">
      <c r="A25" t="s">
        <v>61</v>
      </c>
      <c r="B25" t="s">
        <v>13</v>
      </c>
      <c r="C25" t="s">
        <v>14</v>
      </c>
      <c r="D25">
        <v>1987</v>
      </c>
      <c r="E25" t="s">
        <v>29</v>
      </c>
      <c r="F25" t="s">
        <v>30</v>
      </c>
      <c r="G25" t="s">
        <v>31</v>
      </c>
      <c r="H25" t="s">
        <v>32</v>
      </c>
      <c r="I25">
        <v>852.39594479999903</v>
      </c>
      <c r="J25" t="s">
        <v>33</v>
      </c>
      <c r="K25" t="s">
        <v>59</v>
      </c>
      <c r="L25" t="s">
        <v>21</v>
      </c>
    </row>
    <row r="26" spans="1:12">
      <c r="A26" t="s">
        <v>62</v>
      </c>
      <c r="B26" t="s">
        <v>13</v>
      </c>
      <c r="C26" t="s">
        <v>14</v>
      </c>
      <c r="D26">
        <v>1992</v>
      </c>
      <c r="E26" t="s">
        <v>15</v>
      </c>
      <c r="F26" t="s">
        <v>16</v>
      </c>
      <c r="G26" t="s">
        <v>17</v>
      </c>
      <c r="H26" t="s">
        <v>18</v>
      </c>
      <c r="I26">
        <v>41.673999999999999</v>
      </c>
      <c r="J26" t="s">
        <v>19</v>
      </c>
      <c r="K26" t="s">
        <v>63</v>
      </c>
      <c r="L26" t="s">
        <v>21</v>
      </c>
    </row>
    <row r="27" spans="1:12">
      <c r="A27" t="s">
        <v>64</v>
      </c>
      <c r="B27" t="s">
        <v>13</v>
      </c>
      <c r="C27" t="s">
        <v>14</v>
      </c>
      <c r="D27">
        <v>1992</v>
      </c>
      <c r="E27" t="s">
        <v>23</v>
      </c>
      <c r="F27" t="s">
        <v>24</v>
      </c>
      <c r="G27" t="s">
        <v>25</v>
      </c>
      <c r="H27" t="s">
        <v>26</v>
      </c>
      <c r="I27">
        <v>16317921</v>
      </c>
      <c r="J27" t="s">
        <v>27</v>
      </c>
      <c r="K27" t="s">
        <v>63</v>
      </c>
      <c r="L27" t="s">
        <v>21</v>
      </c>
    </row>
    <row r="28" spans="1:12">
      <c r="A28" t="s">
        <v>65</v>
      </c>
      <c r="B28" t="s">
        <v>13</v>
      </c>
      <c r="C28" t="s">
        <v>14</v>
      </c>
      <c r="D28">
        <v>1992</v>
      </c>
      <c r="E28" t="s">
        <v>29</v>
      </c>
      <c r="F28" t="s">
        <v>30</v>
      </c>
      <c r="G28" t="s">
        <v>31</v>
      </c>
      <c r="H28" t="s">
        <v>32</v>
      </c>
      <c r="I28">
        <v>649.34139519999997</v>
      </c>
      <c r="J28" t="s">
        <v>33</v>
      </c>
      <c r="K28" t="s">
        <v>63</v>
      </c>
      <c r="L28" t="s">
        <v>21</v>
      </c>
    </row>
    <row r="29" spans="1:12">
      <c r="A29" t="s">
        <v>66</v>
      </c>
      <c r="B29" t="s">
        <v>13</v>
      </c>
      <c r="C29" t="s">
        <v>14</v>
      </c>
      <c r="D29">
        <v>1997</v>
      </c>
      <c r="E29" t="s">
        <v>15</v>
      </c>
      <c r="F29" t="s">
        <v>16</v>
      </c>
      <c r="G29" t="s">
        <v>17</v>
      </c>
      <c r="H29" t="s">
        <v>18</v>
      </c>
      <c r="I29">
        <v>41.762999999999998</v>
      </c>
      <c r="J29" t="s">
        <v>19</v>
      </c>
      <c r="K29" t="s">
        <v>67</v>
      </c>
      <c r="L29" t="s">
        <v>21</v>
      </c>
    </row>
    <row r="30" spans="1:12">
      <c r="A30" t="s">
        <v>68</v>
      </c>
      <c r="B30" t="s">
        <v>13</v>
      </c>
      <c r="C30" t="s">
        <v>14</v>
      </c>
      <c r="D30">
        <v>1997</v>
      </c>
      <c r="E30" t="s">
        <v>23</v>
      </c>
      <c r="F30" t="s">
        <v>24</v>
      </c>
      <c r="G30" t="s">
        <v>25</v>
      </c>
      <c r="H30" t="s">
        <v>26</v>
      </c>
      <c r="I30">
        <v>22227415</v>
      </c>
      <c r="J30" t="s">
        <v>27</v>
      </c>
      <c r="K30" t="s">
        <v>67</v>
      </c>
      <c r="L30" t="s">
        <v>21</v>
      </c>
    </row>
    <row r="31" spans="1:12">
      <c r="A31" t="s">
        <v>69</v>
      </c>
      <c r="B31" t="s">
        <v>13</v>
      </c>
      <c r="C31" t="s">
        <v>14</v>
      </c>
      <c r="D31">
        <v>1997</v>
      </c>
      <c r="E31" t="s">
        <v>29</v>
      </c>
      <c r="F31" t="s">
        <v>30</v>
      </c>
      <c r="G31" t="s">
        <v>31</v>
      </c>
      <c r="H31" t="s">
        <v>32</v>
      </c>
      <c r="I31">
        <v>635.34135100000003</v>
      </c>
      <c r="J31" t="s">
        <v>33</v>
      </c>
      <c r="K31" t="s">
        <v>67</v>
      </c>
      <c r="L31" t="s">
        <v>21</v>
      </c>
    </row>
    <row r="32" spans="1:12">
      <c r="A32" t="s">
        <v>70</v>
      </c>
      <c r="B32" t="s">
        <v>13</v>
      </c>
      <c r="C32" t="s">
        <v>14</v>
      </c>
      <c r="D32">
        <v>2002</v>
      </c>
      <c r="E32" t="s">
        <v>15</v>
      </c>
      <c r="F32" t="s">
        <v>16</v>
      </c>
      <c r="G32" t="s">
        <v>17</v>
      </c>
      <c r="H32" t="s">
        <v>18</v>
      </c>
      <c r="I32">
        <v>42.128999999999998</v>
      </c>
      <c r="J32" t="s">
        <v>19</v>
      </c>
      <c r="K32" t="s">
        <v>71</v>
      </c>
      <c r="L32" t="s">
        <v>21</v>
      </c>
    </row>
    <row r="33" spans="1:12">
      <c r="A33" t="s">
        <v>72</v>
      </c>
      <c r="B33" t="s">
        <v>13</v>
      </c>
      <c r="C33" t="s">
        <v>14</v>
      </c>
      <c r="D33">
        <v>2002</v>
      </c>
      <c r="E33" t="s">
        <v>23</v>
      </c>
      <c r="F33" t="s">
        <v>24</v>
      </c>
      <c r="G33" t="s">
        <v>25</v>
      </c>
      <c r="H33" t="s">
        <v>26</v>
      </c>
      <c r="I33">
        <v>25268405</v>
      </c>
      <c r="J33" t="s">
        <v>27</v>
      </c>
      <c r="K33" t="s">
        <v>71</v>
      </c>
      <c r="L33" t="s">
        <v>21</v>
      </c>
    </row>
    <row r="34" spans="1:12">
      <c r="A34" t="s">
        <v>73</v>
      </c>
      <c r="B34" t="s">
        <v>13</v>
      </c>
      <c r="C34" t="s">
        <v>14</v>
      </c>
      <c r="D34">
        <v>2002</v>
      </c>
      <c r="E34" t="s">
        <v>29</v>
      </c>
      <c r="F34" t="s">
        <v>30</v>
      </c>
      <c r="G34" t="s">
        <v>31</v>
      </c>
      <c r="H34" t="s">
        <v>32</v>
      </c>
      <c r="I34">
        <v>726.73405479999997</v>
      </c>
      <c r="J34" t="s">
        <v>33</v>
      </c>
      <c r="K34" t="s">
        <v>71</v>
      </c>
      <c r="L34" t="s">
        <v>21</v>
      </c>
    </row>
    <row r="35" spans="1:12">
      <c r="A35" t="s">
        <v>74</v>
      </c>
      <c r="B35" t="s">
        <v>13</v>
      </c>
      <c r="C35" t="s">
        <v>14</v>
      </c>
      <c r="D35">
        <v>2007</v>
      </c>
      <c r="E35" t="s">
        <v>15</v>
      </c>
      <c r="F35" t="s">
        <v>16</v>
      </c>
      <c r="G35" t="s">
        <v>17</v>
      </c>
      <c r="H35" t="s">
        <v>18</v>
      </c>
      <c r="I35">
        <v>43.828000000000003</v>
      </c>
      <c r="J35" t="s">
        <v>19</v>
      </c>
      <c r="K35" t="s">
        <v>75</v>
      </c>
      <c r="L35" t="s">
        <v>21</v>
      </c>
    </row>
    <row r="36" spans="1:12">
      <c r="A36" t="s">
        <v>76</v>
      </c>
      <c r="B36" t="s">
        <v>13</v>
      </c>
      <c r="C36" t="s">
        <v>14</v>
      </c>
      <c r="D36">
        <v>2007</v>
      </c>
      <c r="E36" t="s">
        <v>23</v>
      </c>
      <c r="F36" t="s">
        <v>24</v>
      </c>
      <c r="G36" t="s">
        <v>25</v>
      </c>
      <c r="H36" t="s">
        <v>26</v>
      </c>
      <c r="I36">
        <v>31889923</v>
      </c>
      <c r="J36" t="s">
        <v>27</v>
      </c>
      <c r="K36" t="s">
        <v>75</v>
      </c>
      <c r="L36" t="s">
        <v>21</v>
      </c>
    </row>
    <row r="37" spans="1:12">
      <c r="A37" t="s">
        <v>77</v>
      </c>
      <c r="B37" t="s">
        <v>13</v>
      </c>
      <c r="C37" t="s">
        <v>14</v>
      </c>
      <c r="D37">
        <v>2007</v>
      </c>
      <c r="E37" t="s">
        <v>29</v>
      </c>
      <c r="F37" t="s">
        <v>30</v>
      </c>
      <c r="G37" t="s">
        <v>31</v>
      </c>
      <c r="H37" t="s">
        <v>32</v>
      </c>
      <c r="I37">
        <v>974.58033839999996</v>
      </c>
      <c r="J37" t="s">
        <v>33</v>
      </c>
      <c r="K37" t="s">
        <v>75</v>
      </c>
      <c r="L37" t="s">
        <v>21</v>
      </c>
    </row>
    <row r="38" spans="1:12">
      <c r="A38" t="s">
        <v>78</v>
      </c>
      <c r="B38" t="s">
        <v>79</v>
      </c>
      <c r="C38" t="s">
        <v>80</v>
      </c>
      <c r="D38">
        <v>1952</v>
      </c>
      <c r="E38" t="s">
        <v>15</v>
      </c>
      <c r="F38" t="s">
        <v>16</v>
      </c>
      <c r="G38" t="s">
        <v>17</v>
      </c>
      <c r="H38" t="s">
        <v>18</v>
      </c>
      <c r="I38">
        <v>55.23</v>
      </c>
      <c r="J38" t="s">
        <v>19</v>
      </c>
      <c r="K38" t="s">
        <v>81</v>
      </c>
      <c r="L38" t="s">
        <v>21</v>
      </c>
    </row>
    <row r="39" spans="1:12">
      <c r="A39" t="s">
        <v>82</v>
      </c>
      <c r="B39" t="s">
        <v>79</v>
      </c>
      <c r="C39" t="s">
        <v>80</v>
      </c>
      <c r="D39">
        <v>1952</v>
      </c>
      <c r="E39" t="s">
        <v>23</v>
      </c>
      <c r="F39" t="s">
        <v>24</v>
      </c>
      <c r="G39" t="s">
        <v>25</v>
      </c>
      <c r="H39" t="s">
        <v>26</v>
      </c>
      <c r="I39">
        <v>1282697</v>
      </c>
      <c r="J39" t="s">
        <v>27</v>
      </c>
      <c r="K39" t="s">
        <v>81</v>
      </c>
      <c r="L39" t="s">
        <v>21</v>
      </c>
    </row>
    <row r="40" spans="1:12">
      <c r="A40" t="s">
        <v>83</v>
      </c>
      <c r="B40" t="s">
        <v>79</v>
      </c>
      <c r="C40" t="s">
        <v>80</v>
      </c>
      <c r="D40">
        <v>1952</v>
      </c>
      <c r="E40" t="s">
        <v>29</v>
      </c>
      <c r="F40" t="s">
        <v>30</v>
      </c>
      <c r="G40" t="s">
        <v>31</v>
      </c>
      <c r="H40" t="s">
        <v>32</v>
      </c>
      <c r="I40">
        <v>1601.0561359999999</v>
      </c>
      <c r="J40" t="s">
        <v>33</v>
      </c>
      <c r="K40" t="s">
        <v>81</v>
      </c>
      <c r="L40" t="s">
        <v>21</v>
      </c>
    </row>
    <row r="41" spans="1:12">
      <c r="A41" t="s">
        <v>84</v>
      </c>
      <c r="B41" t="s">
        <v>79</v>
      </c>
      <c r="C41" t="s">
        <v>80</v>
      </c>
      <c r="D41">
        <v>1957</v>
      </c>
      <c r="E41" t="s">
        <v>15</v>
      </c>
      <c r="F41" t="s">
        <v>16</v>
      </c>
      <c r="G41" t="s">
        <v>17</v>
      </c>
      <c r="H41" t="s">
        <v>18</v>
      </c>
      <c r="I41">
        <v>59.28</v>
      </c>
      <c r="J41" t="s">
        <v>19</v>
      </c>
      <c r="K41" t="s">
        <v>85</v>
      </c>
      <c r="L41" t="s">
        <v>21</v>
      </c>
    </row>
    <row r="42" spans="1:12">
      <c r="A42" t="s">
        <v>86</v>
      </c>
      <c r="B42" t="s">
        <v>79</v>
      </c>
      <c r="C42" t="s">
        <v>80</v>
      </c>
      <c r="D42">
        <v>1957</v>
      </c>
      <c r="E42" t="s">
        <v>23</v>
      </c>
      <c r="F42" t="s">
        <v>24</v>
      </c>
      <c r="G42" t="s">
        <v>25</v>
      </c>
      <c r="H42" t="s">
        <v>26</v>
      </c>
      <c r="I42">
        <v>1476505</v>
      </c>
      <c r="J42" t="s">
        <v>27</v>
      </c>
      <c r="K42" t="s">
        <v>85</v>
      </c>
      <c r="L42" t="s">
        <v>21</v>
      </c>
    </row>
    <row r="43" spans="1:12">
      <c r="A43" t="s">
        <v>87</v>
      </c>
      <c r="B43" t="s">
        <v>79</v>
      </c>
      <c r="C43" t="s">
        <v>80</v>
      </c>
      <c r="D43">
        <v>1957</v>
      </c>
      <c r="E43" t="s">
        <v>29</v>
      </c>
      <c r="F43" t="s">
        <v>30</v>
      </c>
      <c r="G43" t="s">
        <v>31</v>
      </c>
      <c r="H43" t="s">
        <v>32</v>
      </c>
      <c r="I43">
        <v>1942.2842439999999</v>
      </c>
      <c r="J43" t="s">
        <v>33</v>
      </c>
      <c r="K43" t="s">
        <v>85</v>
      </c>
      <c r="L43" t="s">
        <v>21</v>
      </c>
    </row>
    <row r="44" spans="1:12">
      <c r="A44" t="s">
        <v>88</v>
      </c>
      <c r="B44" t="s">
        <v>79</v>
      </c>
      <c r="C44" t="s">
        <v>80</v>
      </c>
      <c r="D44">
        <v>1962</v>
      </c>
      <c r="E44" t="s">
        <v>15</v>
      </c>
      <c r="F44" t="s">
        <v>16</v>
      </c>
      <c r="G44" t="s">
        <v>17</v>
      </c>
      <c r="H44" t="s">
        <v>18</v>
      </c>
      <c r="I44">
        <v>64.819999999999993</v>
      </c>
      <c r="J44" t="s">
        <v>19</v>
      </c>
      <c r="K44" t="s">
        <v>89</v>
      </c>
      <c r="L44" t="s">
        <v>21</v>
      </c>
    </row>
    <row r="45" spans="1:12">
      <c r="A45" t="s">
        <v>90</v>
      </c>
      <c r="B45" t="s">
        <v>79</v>
      </c>
      <c r="C45" t="s">
        <v>80</v>
      </c>
      <c r="D45">
        <v>1962</v>
      </c>
      <c r="E45" t="s">
        <v>23</v>
      </c>
      <c r="F45" t="s">
        <v>24</v>
      </c>
      <c r="G45" t="s">
        <v>25</v>
      </c>
      <c r="H45" t="s">
        <v>26</v>
      </c>
      <c r="I45">
        <v>1728137</v>
      </c>
      <c r="J45" t="s">
        <v>27</v>
      </c>
      <c r="K45" t="s">
        <v>89</v>
      </c>
      <c r="L45" t="s">
        <v>21</v>
      </c>
    </row>
    <row r="46" spans="1:12">
      <c r="A46" t="s">
        <v>91</v>
      </c>
      <c r="B46" t="s">
        <v>79</v>
      </c>
      <c r="C46" t="s">
        <v>80</v>
      </c>
      <c r="D46">
        <v>1962</v>
      </c>
      <c r="E46" t="s">
        <v>29</v>
      </c>
      <c r="F46" t="s">
        <v>30</v>
      </c>
      <c r="G46" t="s">
        <v>31</v>
      </c>
      <c r="H46" t="s">
        <v>32</v>
      </c>
      <c r="I46">
        <v>2312.888958</v>
      </c>
      <c r="J46" t="s">
        <v>33</v>
      </c>
      <c r="K46" t="s">
        <v>89</v>
      </c>
      <c r="L46" t="s">
        <v>21</v>
      </c>
    </row>
    <row r="47" spans="1:12">
      <c r="A47" t="s">
        <v>92</v>
      </c>
      <c r="B47" t="s">
        <v>79</v>
      </c>
      <c r="C47" t="s">
        <v>80</v>
      </c>
      <c r="D47">
        <v>1967</v>
      </c>
      <c r="E47" t="s">
        <v>15</v>
      </c>
      <c r="F47" t="s">
        <v>16</v>
      </c>
      <c r="G47" t="s">
        <v>17</v>
      </c>
      <c r="H47" t="s">
        <v>18</v>
      </c>
      <c r="I47">
        <v>66.22</v>
      </c>
      <c r="J47" t="s">
        <v>19</v>
      </c>
      <c r="K47" t="s">
        <v>93</v>
      </c>
      <c r="L47" t="s">
        <v>21</v>
      </c>
    </row>
    <row r="48" spans="1:12">
      <c r="A48" t="s">
        <v>94</v>
      </c>
      <c r="B48" t="s">
        <v>79</v>
      </c>
      <c r="C48" t="s">
        <v>80</v>
      </c>
      <c r="D48">
        <v>1967</v>
      </c>
      <c r="E48" t="s">
        <v>23</v>
      </c>
      <c r="F48" t="s">
        <v>24</v>
      </c>
      <c r="G48" t="s">
        <v>25</v>
      </c>
      <c r="H48" t="s">
        <v>26</v>
      </c>
      <c r="I48">
        <v>1984060</v>
      </c>
      <c r="J48" t="s">
        <v>27</v>
      </c>
      <c r="K48" t="s">
        <v>93</v>
      </c>
      <c r="L48" t="s">
        <v>21</v>
      </c>
    </row>
    <row r="49" spans="1:12">
      <c r="A49" t="s">
        <v>95</v>
      </c>
      <c r="B49" t="s">
        <v>79</v>
      </c>
      <c r="C49" t="s">
        <v>80</v>
      </c>
      <c r="D49">
        <v>1967</v>
      </c>
      <c r="E49" t="s">
        <v>29</v>
      </c>
      <c r="F49" t="s">
        <v>30</v>
      </c>
      <c r="G49" t="s">
        <v>31</v>
      </c>
      <c r="H49" t="s">
        <v>32</v>
      </c>
      <c r="I49">
        <v>2760.1969309999999</v>
      </c>
      <c r="J49" t="s">
        <v>33</v>
      </c>
      <c r="K49" t="s">
        <v>93</v>
      </c>
      <c r="L49" t="s">
        <v>21</v>
      </c>
    </row>
    <row r="50" spans="1:12">
      <c r="A50" t="s">
        <v>96</v>
      </c>
      <c r="B50" t="s">
        <v>79</v>
      </c>
      <c r="C50" t="s">
        <v>80</v>
      </c>
      <c r="D50">
        <v>1972</v>
      </c>
      <c r="E50" t="s">
        <v>15</v>
      </c>
      <c r="F50" t="s">
        <v>16</v>
      </c>
      <c r="G50" t="s">
        <v>17</v>
      </c>
      <c r="H50" t="s">
        <v>18</v>
      </c>
      <c r="I50">
        <v>67.69</v>
      </c>
      <c r="J50" t="s">
        <v>19</v>
      </c>
      <c r="K50" t="s">
        <v>97</v>
      </c>
      <c r="L50" t="s">
        <v>21</v>
      </c>
    </row>
    <row r="51" spans="1:12">
      <c r="A51" t="s">
        <v>98</v>
      </c>
      <c r="B51" t="s">
        <v>79</v>
      </c>
      <c r="C51" t="s">
        <v>80</v>
      </c>
      <c r="D51">
        <v>1972</v>
      </c>
      <c r="E51" t="s">
        <v>23</v>
      </c>
      <c r="F51" t="s">
        <v>24</v>
      </c>
      <c r="G51" t="s">
        <v>25</v>
      </c>
      <c r="H51" t="s">
        <v>26</v>
      </c>
      <c r="I51">
        <v>2263554</v>
      </c>
      <c r="J51" t="s">
        <v>27</v>
      </c>
      <c r="K51" t="s">
        <v>97</v>
      </c>
      <c r="L51" t="s">
        <v>21</v>
      </c>
    </row>
    <row r="52" spans="1:12">
      <c r="A52" t="s">
        <v>99</v>
      </c>
      <c r="B52" t="s">
        <v>79</v>
      </c>
      <c r="C52" t="s">
        <v>80</v>
      </c>
      <c r="D52">
        <v>1972</v>
      </c>
      <c r="E52" t="s">
        <v>29</v>
      </c>
      <c r="F52" t="s">
        <v>30</v>
      </c>
      <c r="G52" t="s">
        <v>31</v>
      </c>
      <c r="H52" t="s">
        <v>32</v>
      </c>
      <c r="I52">
        <v>3313.422188</v>
      </c>
      <c r="J52" t="s">
        <v>33</v>
      </c>
      <c r="K52" t="s">
        <v>97</v>
      </c>
      <c r="L52" t="s">
        <v>21</v>
      </c>
    </row>
    <row r="53" spans="1:12">
      <c r="A53" t="s">
        <v>100</v>
      </c>
      <c r="B53" t="s">
        <v>79</v>
      </c>
      <c r="C53" t="s">
        <v>80</v>
      </c>
      <c r="D53">
        <v>1977</v>
      </c>
      <c r="E53" t="s">
        <v>15</v>
      </c>
      <c r="F53" t="s">
        <v>16</v>
      </c>
      <c r="G53" t="s">
        <v>17</v>
      </c>
      <c r="H53" t="s">
        <v>18</v>
      </c>
      <c r="I53">
        <v>68.930000000000007</v>
      </c>
      <c r="J53" t="s">
        <v>19</v>
      </c>
      <c r="K53" t="s">
        <v>101</v>
      </c>
      <c r="L53" t="s">
        <v>21</v>
      </c>
    </row>
    <row r="54" spans="1:12">
      <c r="A54" t="s">
        <v>102</v>
      </c>
      <c r="B54" t="s">
        <v>79</v>
      </c>
      <c r="C54" t="s">
        <v>80</v>
      </c>
      <c r="D54">
        <v>1977</v>
      </c>
      <c r="E54" t="s">
        <v>23</v>
      </c>
      <c r="F54" t="s">
        <v>24</v>
      </c>
      <c r="G54" t="s">
        <v>25</v>
      </c>
      <c r="H54" t="s">
        <v>26</v>
      </c>
      <c r="I54">
        <v>2509048</v>
      </c>
      <c r="J54" t="s">
        <v>27</v>
      </c>
      <c r="K54" t="s">
        <v>101</v>
      </c>
      <c r="L54" t="s">
        <v>21</v>
      </c>
    </row>
    <row r="55" spans="1:12">
      <c r="A55" t="s">
        <v>103</v>
      </c>
      <c r="B55" t="s">
        <v>79</v>
      </c>
      <c r="C55" t="s">
        <v>80</v>
      </c>
      <c r="D55">
        <v>1977</v>
      </c>
      <c r="E55" t="s">
        <v>29</v>
      </c>
      <c r="F55" t="s">
        <v>30</v>
      </c>
      <c r="G55" t="s">
        <v>31</v>
      </c>
      <c r="H55" t="s">
        <v>32</v>
      </c>
      <c r="I55">
        <v>3533.0039099999999</v>
      </c>
      <c r="J55" t="s">
        <v>33</v>
      </c>
      <c r="K55" t="s">
        <v>101</v>
      </c>
      <c r="L55" t="s">
        <v>21</v>
      </c>
    </row>
    <row r="56" spans="1:12">
      <c r="A56" t="s">
        <v>104</v>
      </c>
      <c r="B56" t="s">
        <v>79</v>
      </c>
      <c r="C56" t="s">
        <v>80</v>
      </c>
      <c r="D56">
        <v>1982</v>
      </c>
      <c r="E56" t="s">
        <v>15</v>
      </c>
      <c r="F56" t="s">
        <v>16</v>
      </c>
      <c r="G56" t="s">
        <v>17</v>
      </c>
      <c r="H56" t="s">
        <v>18</v>
      </c>
      <c r="I56">
        <v>70.42</v>
      </c>
      <c r="J56" t="s">
        <v>19</v>
      </c>
      <c r="K56" t="s">
        <v>105</v>
      </c>
      <c r="L56" t="s">
        <v>21</v>
      </c>
    </row>
    <row r="57" spans="1:12">
      <c r="A57" t="s">
        <v>106</v>
      </c>
      <c r="B57" t="s">
        <v>79</v>
      </c>
      <c r="C57" t="s">
        <v>80</v>
      </c>
      <c r="D57">
        <v>1982</v>
      </c>
      <c r="E57" t="s">
        <v>23</v>
      </c>
      <c r="F57" t="s">
        <v>24</v>
      </c>
      <c r="G57" t="s">
        <v>25</v>
      </c>
      <c r="H57" t="s">
        <v>26</v>
      </c>
      <c r="I57">
        <v>2780097</v>
      </c>
      <c r="J57" t="s">
        <v>27</v>
      </c>
      <c r="K57" t="s">
        <v>105</v>
      </c>
      <c r="L57" t="s">
        <v>21</v>
      </c>
    </row>
    <row r="58" spans="1:12">
      <c r="A58" t="s">
        <v>107</v>
      </c>
      <c r="B58" t="s">
        <v>79</v>
      </c>
      <c r="C58" t="s">
        <v>80</v>
      </c>
      <c r="D58">
        <v>1982</v>
      </c>
      <c r="E58" t="s">
        <v>29</v>
      </c>
      <c r="F58" t="s">
        <v>30</v>
      </c>
      <c r="G58" t="s">
        <v>31</v>
      </c>
      <c r="H58" t="s">
        <v>32</v>
      </c>
      <c r="I58">
        <v>3630.8807219999999</v>
      </c>
      <c r="J58" t="s">
        <v>33</v>
      </c>
      <c r="K58" t="s">
        <v>105</v>
      </c>
      <c r="L58" t="s">
        <v>21</v>
      </c>
    </row>
    <row r="59" spans="1:12">
      <c r="A59" t="s">
        <v>108</v>
      </c>
      <c r="B59" t="s">
        <v>79</v>
      </c>
      <c r="C59" t="s">
        <v>80</v>
      </c>
      <c r="D59">
        <v>1987</v>
      </c>
      <c r="E59" t="s">
        <v>15</v>
      </c>
      <c r="F59" t="s">
        <v>16</v>
      </c>
      <c r="G59" t="s">
        <v>17</v>
      </c>
      <c r="H59" t="s">
        <v>18</v>
      </c>
      <c r="I59">
        <v>72</v>
      </c>
      <c r="J59" t="s">
        <v>19</v>
      </c>
      <c r="K59" t="s">
        <v>109</v>
      </c>
      <c r="L59" t="s">
        <v>21</v>
      </c>
    </row>
    <row r="60" spans="1:12">
      <c r="A60" t="s">
        <v>110</v>
      </c>
      <c r="B60" t="s">
        <v>79</v>
      </c>
      <c r="C60" t="s">
        <v>80</v>
      </c>
      <c r="D60">
        <v>1987</v>
      </c>
      <c r="E60" t="s">
        <v>23</v>
      </c>
      <c r="F60" t="s">
        <v>24</v>
      </c>
      <c r="G60" t="s">
        <v>25</v>
      </c>
      <c r="H60" t="s">
        <v>26</v>
      </c>
      <c r="I60">
        <v>3075321</v>
      </c>
      <c r="J60" t="s">
        <v>27</v>
      </c>
      <c r="K60" t="s">
        <v>109</v>
      </c>
      <c r="L60" t="s">
        <v>21</v>
      </c>
    </row>
    <row r="61" spans="1:12">
      <c r="A61" t="s">
        <v>111</v>
      </c>
      <c r="B61" t="s">
        <v>79</v>
      </c>
      <c r="C61" t="s">
        <v>80</v>
      </c>
      <c r="D61">
        <v>1987</v>
      </c>
      <c r="E61" t="s">
        <v>29</v>
      </c>
      <c r="F61" t="s">
        <v>30</v>
      </c>
      <c r="G61" t="s">
        <v>31</v>
      </c>
      <c r="H61" t="s">
        <v>32</v>
      </c>
      <c r="I61">
        <v>3738.9327349999999</v>
      </c>
      <c r="J61" t="s">
        <v>33</v>
      </c>
      <c r="K61" t="s">
        <v>109</v>
      </c>
      <c r="L61" t="s">
        <v>21</v>
      </c>
    </row>
    <row r="62" spans="1:12">
      <c r="A62" t="s">
        <v>112</v>
      </c>
      <c r="B62" t="s">
        <v>79</v>
      </c>
      <c r="C62" t="s">
        <v>80</v>
      </c>
      <c r="D62">
        <v>1992</v>
      </c>
      <c r="E62" t="s">
        <v>15</v>
      </c>
      <c r="F62" t="s">
        <v>16</v>
      </c>
      <c r="G62" t="s">
        <v>17</v>
      </c>
      <c r="H62" t="s">
        <v>18</v>
      </c>
      <c r="I62">
        <v>71.581000000000003</v>
      </c>
      <c r="J62" t="s">
        <v>19</v>
      </c>
      <c r="K62" t="s">
        <v>113</v>
      </c>
      <c r="L62" t="s">
        <v>21</v>
      </c>
    </row>
    <row r="63" spans="1:12">
      <c r="A63" t="s">
        <v>114</v>
      </c>
      <c r="B63" t="s">
        <v>79</v>
      </c>
      <c r="C63" t="s">
        <v>80</v>
      </c>
      <c r="D63">
        <v>1992</v>
      </c>
      <c r="E63" t="s">
        <v>23</v>
      </c>
      <c r="F63" t="s">
        <v>24</v>
      </c>
      <c r="G63" t="s">
        <v>25</v>
      </c>
      <c r="H63" t="s">
        <v>26</v>
      </c>
      <c r="I63">
        <v>3326498</v>
      </c>
      <c r="J63" t="s">
        <v>27</v>
      </c>
      <c r="K63" t="s">
        <v>113</v>
      </c>
      <c r="L63" t="s">
        <v>21</v>
      </c>
    </row>
    <row r="64" spans="1:12">
      <c r="A64" t="s">
        <v>115</v>
      </c>
      <c r="B64" t="s">
        <v>79</v>
      </c>
      <c r="C64" t="s">
        <v>80</v>
      </c>
      <c r="D64">
        <v>1992</v>
      </c>
      <c r="E64" t="s">
        <v>29</v>
      </c>
      <c r="F64" t="s">
        <v>30</v>
      </c>
      <c r="G64" t="s">
        <v>31</v>
      </c>
      <c r="H64" t="s">
        <v>32</v>
      </c>
      <c r="I64">
        <v>2497.4379009999998</v>
      </c>
      <c r="J64" t="s">
        <v>33</v>
      </c>
      <c r="K64" t="s">
        <v>113</v>
      </c>
      <c r="L64" t="s">
        <v>21</v>
      </c>
    </row>
    <row r="65" spans="1:12">
      <c r="A65" t="s">
        <v>116</v>
      </c>
      <c r="B65" t="s">
        <v>79</v>
      </c>
      <c r="C65" t="s">
        <v>80</v>
      </c>
      <c r="D65">
        <v>1997</v>
      </c>
      <c r="E65" t="s">
        <v>15</v>
      </c>
      <c r="F65" t="s">
        <v>16</v>
      </c>
      <c r="G65" t="s">
        <v>17</v>
      </c>
      <c r="H65" t="s">
        <v>18</v>
      </c>
      <c r="I65">
        <v>72.95</v>
      </c>
      <c r="J65" t="s">
        <v>19</v>
      </c>
      <c r="K65" t="s">
        <v>117</v>
      </c>
      <c r="L65" t="s">
        <v>21</v>
      </c>
    </row>
    <row r="66" spans="1:12">
      <c r="A66" t="s">
        <v>118</v>
      </c>
      <c r="B66" t="s">
        <v>79</v>
      </c>
      <c r="C66" t="s">
        <v>80</v>
      </c>
      <c r="D66">
        <v>1997</v>
      </c>
      <c r="E66" t="s">
        <v>23</v>
      </c>
      <c r="F66" t="s">
        <v>24</v>
      </c>
      <c r="G66" t="s">
        <v>25</v>
      </c>
      <c r="H66" t="s">
        <v>26</v>
      </c>
      <c r="I66">
        <v>3428038</v>
      </c>
      <c r="J66" t="s">
        <v>27</v>
      </c>
      <c r="K66" t="s">
        <v>117</v>
      </c>
      <c r="L66" t="s">
        <v>21</v>
      </c>
    </row>
    <row r="67" spans="1:12">
      <c r="A67" t="s">
        <v>119</v>
      </c>
      <c r="B67" t="s">
        <v>79</v>
      </c>
      <c r="C67" t="s">
        <v>80</v>
      </c>
      <c r="D67">
        <v>1997</v>
      </c>
      <c r="E67" t="s">
        <v>29</v>
      </c>
      <c r="F67" t="s">
        <v>30</v>
      </c>
      <c r="G67" t="s">
        <v>31</v>
      </c>
      <c r="H67" t="s">
        <v>32</v>
      </c>
      <c r="I67">
        <v>3193.0546039999999</v>
      </c>
      <c r="J67" t="s">
        <v>33</v>
      </c>
      <c r="K67" t="s">
        <v>117</v>
      </c>
      <c r="L67" t="s">
        <v>21</v>
      </c>
    </row>
    <row r="68" spans="1:12">
      <c r="A68" t="s">
        <v>120</v>
      </c>
      <c r="B68" t="s">
        <v>79</v>
      </c>
      <c r="C68" t="s">
        <v>80</v>
      </c>
      <c r="D68">
        <v>2002</v>
      </c>
      <c r="E68" t="s">
        <v>15</v>
      </c>
      <c r="F68" t="s">
        <v>16</v>
      </c>
      <c r="G68" t="s">
        <v>17</v>
      </c>
      <c r="H68" t="s">
        <v>18</v>
      </c>
      <c r="I68">
        <v>75.650999999999996</v>
      </c>
      <c r="J68" t="s">
        <v>19</v>
      </c>
      <c r="K68" t="s">
        <v>121</v>
      </c>
      <c r="L68" t="s">
        <v>21</v>
      </c>
    </row>
    <row r="69" spans="1:12">
      <c r="A69" t="s">
        <v>122</v>
      </c>
      <c r="B69" t="s">
        <v>79</v>
      </c>
      <c r="C69" t="s">
        <v>80</v>
      </c>
      <c r="D69">
        <v>2002</v>
      </c>
      <c r="E69" t="s">
        <v>23</v>
      </c>
      <c r="F69" t="s">
        <v>24</v>
      </c>
      <c r="G69" t="s">
        <v>25</v>
      </c>
      <c r="H69" t="s">
        <v>26</v>
      </c>
      <c r="I69">
        <v>3508512</v>
      </c>
      <c r="J69" t="s">
        <v>27</v>
      </c>
      <c r="K69" t="s">
        <v>121</v>
      </c>
      <c r="L69" t="s">
        <v>21</v>
      </c>
    </row>
    <row r="70" spans="1:12">
      <c r="A70" t="s">
        <v>123</v>
      </c>
      <c r="B70" t="s">
        <v>79</v>
      </c>
      <c r="C70" t="s">
        <v>80</v>
      </c>
      <c r="D70">
        <v>2002</v>
      </c>
      <c r="E70" t="s">
        <v>29</v>
      </c>
      <c r="F70" t="s">
        <v>30</v>
      </c>
      <c r="G70" t="s">
        <v>31</v>
      </c>
      <c r="H70" t="s">
        <v>32</v>
      </c>
      <c r="I70">
        <v>4604.2117369999996</v>
      </c>
      <c r="J70" t="s">
        <v>33</v>
      </c>
      <c r="K70" t="s">
        <v>121</v>
      </c>
      <c r="L70" t="s">
        <v>21</v>
      </c>
    </row>
    <row r="71" spans="1:12">
      <c r="A71" t="s">
        <v>124</v>
      </c>
      <c r="B71" t="s">
        <v>79</v>
      </c>
      <c r="C71" t="s">
        <v>80</v>
      </c>
      <c r="D71">
        <v>2007</v>
      </c>
      <c r="E71" t="s">
        <v>15</v>
      </c>
      <c r="F71" t="s">
        <v>16</v>
      </c>
      <c r="G71" t="s">
        <v>17</v>
      </c>
      <c r="H71" t="s">
        <v>18</v>
      </c>
      <c r="I71">
        <v>76.423000000000002</v>
      </c>
      <c r="J71" t="s">
        <v>19</v>
      </c>
      <c r="K71" t="s">
        <v>125</v>
      </c>
      <c r="L71" t="s">
        <v>21</v>
      </c>
    </row>
    <row r="72" spans="1:12">
      <c r="A72" t="s">
        <v>126</v>
      </c>
      <c r="B72" t="s">
        <v>79</v>
      </c>
      <c r="C72" t="s">
        <v>80</v>
      </c>
      <c r="D72">
        <v>2007</v>
      </c>
      <c r="E72" t="s">
        <v>23</v>
      </c>
      <c r="F72" t="s">
        <v>24</v>
      </c>
      <c r="G72" t="s">
        <v>25</v>
      </c>
      <c r="H72" t="s">
        <v>26</v>
      </c>
      <c r="I72">
        <v>3600523</v>
      </c>
      <c r="J72" t="s">
        <v>27</v>
      </c>
      <c r="K72" t="s">
        <v>125</v>
      </c>
      <c r="L72" t="s">
        <v>21</v>
      </c>
    </row>
    <row r="73" spans="1:12">
      <c r="A73" t="s">
        <v>127</v>
      </c>
      <c r="B73" t="s">
        <v>79</v>
      </c>
      <c r="C73" t="s">
        <v>80</v>
      </c>
      <c r="D73">
        <v>2007</v>
      </c>
      <c r="E73" t="s">
        <v>29</v>
      </c>
      <c r="F73" t="s">
        <v>30</v>
      </c>
      <c r="G73" t="s">
        <v>31</v>
      </c>
      <c r="H73" t="s">
        <v>32</v>
      </c>
      <c r="I73">
        <v>5937.0295259999903</v>
      </c>
      <c r="J73" t="s">
        <v>33</v>
      </c>
      <c r="K73" t="s">
        <v>125</v>
      </c>
      <c r="L73" t="s">
        <v>21</v>
      </c>
    </row>
    <row r="74" spans="1:12">
      <c r="A74" t="s">
        <v>128</v>
      </c>
      <c r="B74" t="s">
        <v>129</v>
      </c>
      <c r="C74" t="s">
        <v>130</v>
      </c>
      <c r="D74">
        <v>1952</v>
      </c>
      <c r="E74" t="s">
        <v>15</v>
      </c>
      <c r="F74" t="s">
        <v>16</v>
      </c>
      <c r="G74" t="s">
        <v>17</v>
      </c>
      <c r="H74" t="s">
        <v>18</v>
      </c>
      <c r="I74">
        <v>43.076999999999998</v>
      </c>
      <c r="J74" t="s">
        <v>19</v>
      </c>
      <c r="K74" t="s">
        <v>131</v>
      </c>
      <c r="L74" t="s">
        <v>21</v>
      </c>
    </row>
    <row r="75" spans="1:12">
      <c r="A75" t="s">
        <v>132</v>
      </c>
      <c r="B75" t="s">
        <v>129</v>
      </c>
      <c r="C75" t="s">
        <v>130</v>
      </c>
      <c r="D75">
        <v>1952</v>
      </c>
      <c r="E75" t="s">
        <v>23</v>
      </c>
      <c r="F75" t="s">
        <v>24</v>
      </c>
      <c r="G75" t="s">
        <v>25</v>
      </c>
      <c r="H75" t="s">
        <v>26</v>
      </c>
      <c r="I75">
        <v>9279525</v>
      </c>
      <c r="J75" t="s">
        <v>27</v>
      </c>
      <c r="K75" t="s">
        <v>131</v>
      </c>
      <c r="L75" t="s">
        <v>21</v>
      </c>
    </row>
    <row r="76" spans="1:12">
      <c r="A76" t="s">
        <v>133</v>
      </c>
      <c r="B76" t="s">
        <v>129</v>
      </c>
      <c r="C76" t="s">
        <v>130</v>
      </c>
      <c r="D76">
        <v>1952</v>
      </c>
      <c r="E76" t="s">
        <v>29</v>
      </c>
      <c r="F76" t="s">
        <v>30</v>
      </c>
      <c r="G76" t="s">
        <v>31</v>
      </c>
      <c r="H76" t="s">
        <v>32</v>
      </c>
      <c r="I76">
        <v>2449.0081850000001</v>
      </c>
      <c r="J76" t="s">
        <v>33</v>
      </c>
      <c r="K76" t="s">
        <v>131</v>
      </c>
      <c r="L76" t="s">
        <v>21</v>
      </c>
    </row>
    <row r="77" spans="1:12">
      <c r="A77" t="s">
        <v>134</v>
      </c>
      <c r="B77" t="s">
        <v>129</v>
      </c>
      <c r="C77" t="s">
        <v>130</v>
      </c>
      <c r="D77">
        <v>1957</v>
      </c>
      <c r="E77" t="s">
        <v>15</v>
      </c>
      <c r="F77" t="s">
        <v>16</v>
      </c>
      <c r="G77" t="s">
        <v>17</v>
      </c>
      <c r="H77" t="s">
        <v>18</v>
      </c>
      <c r="I77">
        <v>45.685000000000002</v>
      </c>
      <c r="J77" t="s">
        <v>19</v>
      </c>
      <c r="K77" t="s">
        <v>135</v>
      </c>
      <c r="L77" t="s">
        <v>21</v>
      </c>
    </row>
    <row r="78" spans="1:12">
      <c r="A78" t="s">
        <v>136</v>
      </c>
      <c r="B78" t="s">
        <v>129</v>
      </c>
      <c r="C78" t="s">
        <v>130</v>
      </c>
      <c r="D78">
        <v>1957</v>
      </c>
      <c r="E78" t="s">
        <v>23</v>
      </c>
      <c r="F78" t="s">
        <v>24</v>
      </c>
      <c r="G78" t="s">
        <v>25</v>
      </c>
      <c r="H78" t="s">
        <v>26</v>
      </c>
      <c r="I78">
        <v>10270856</v>
      </c>
      <c r="J78" t="s">
        <v>27</v>
      </c>
      <c r="K78" t="s">
        <v>135</v>
      </c>
      <c r="L78" t="s">
        <v>21</v>
      </c>
    </row>
    <row r="79" spans="1:12">
      <c r="A79" t="s">
        <v>137</v>
      </c>
      <c r="B79" t="s">
        <v>129</v>
      </c>
      <c r="C79" t="s">
        <v>130</v>
      </c>
      <c r="D79">
        <v>1957</v>
      </c>
      <c r="E79" t="s">
        <v>29</v>
      </c>
      <c r="F79" t="s">
        <v>30</v>
      </c>
      <c r="G79" t="s">
        <v>31</v>
      </c>
      <c r="H79" t="s">
        <v>32</v>
      </c>
      <c r="I79">
        <v>3013.9760230000002</v>
      </c>
      <c r="J79" t="s">
        <v>33</v>
      </c>
      <c r="K79" t="s">
        <v>135</v>
      </c>
      <c r="L79" t="s">
        <v>21</v>
      </c>
    </row>
    <row r="80" spans="1:12">
      <c r="A80" t="s">
        <v>138</v>
      </c>
      <c r="B80" t="s">
        <v>129</v>
      </c>
      <c r="C80" t="s">
        <v>130</v>
      </c>
      <c r="D80">
        <v>1962</v>
      </c>
      <c r="E80" t="s">
        <v>15</v>
      </c>
      <c r="F80" t="s">
        <v>16</v>
      </c>
      <c r="G80" t="s">
        <v>17</v>
      </c>
      <c r="H80" t="s">
        <v>18</v>
      </c>
      <c r="I80">
        <v>48.302999999999997</v>
      </c>
      <c r="J80" t="s">
        <v>19</v>
      </c>
      <c r="K80" t="s">
        <v>139</v>
      </c>
      <c r="L80" t="s">
        <v>21</v>
      </c>
    </row>
    <row r="81" spans="1:12">
      <c r="A81" t="s">
        <v>140</v>
      </c>
      <c r="B81" t="s">
        <v>129</v>
      </c>
      <c r="C81" t="s">
        <v>130</v>
      </c>
      <c r="D81">
        <v>1962</v>
      </c>
      <c r="E81" t="s">
        <v>23</v>
      </c>
      <c r="F81" t="s">
        <v>24</v>
      </c>
      <c r="G81" t="s">
        <v>25</v>
      </c>
      <c r="H81" t="s">
        <v>26</v>
      </c>
      <c r="I81">
        <v>11000948</v>
      </c>
      <c r="J81" t="s">
        <v>27</v>
      </c>
      <c r="K81" t="s">
        <v>139</v>
      </c>
      <c r="L81" t="s">
        <v>21</v>
      </c>
    </row>
    <row r="82" spans="1:12">
      <c r="A82" t="s">
        <v>141</v>
      </c>
      <c r="B82" t="s">
        <v>129</v>
      </c>
      <c r="C82" t="s">
        <v>130</v>
      </c>
      <c r="D82">
        <v>1962</v>
      </c>
      <c r="E82" t="s">
        <v>29</v>
      </c>
      <c r="F82" t="s">
        <v>30</v>
      </c>
      <c r="G82" t="s">
        <v>31</v>
      </c>
      <c r="H82" t="s">
        <v>32</v>
      </c>
      <c r="I82">
        <v>2550.8168799999999</v>
      </c>
      <c r="J82" t="s">
        <v>33</v>
      </c>
      <c r="K82" t="s">
        <v>139</v>
      </c>
      <c r="L82" t="s">
        <v>21</v>
      </c>
    </row>
    <row r="83" spans="1:12">
      <c r="A83" t="s">
        <v>142</v>
      </c>
      <c r="B83" t="s">
        <v>129</v>
      </c>
      <c r="C83" t="s">
        <v>130</v>
      </c>
      <c r="D83">
        <v>1967</v>
      </c>
      <c r="E83" t="s">
        <v>15</v>
      </c>
      <c r="F83" t="s">
        <v>16</v>
      </c>
      <c r="G83" t="s">
        <v>17</v>
      </c>
      <c r="H83" t="s">
        <v>18</v>
      </c>
      <c r="I83">
        <v>51.406999999999996</v>
      </c>
      <c r="J83" t="s">
        <v>19</v>
      </c>
      <c r="K83" t="s">
        <v>143</v>
      </c>
      <c r="L83" t="s">
        <v>21</v>
      </c>
    </row>
    <row r="84" spans="1:12">
      <c r="A84" t="s">
        <v>144</v>
      </c>
      <c r="B84" t="s">
        <v>129</v>
      </c>
      <c r="C84" t="s">
        <v>130</v>
      </c>
      <c r="D84">
        <v>1967</v>
      </c>
      <c r="E84" t="s">
        <v>23</v>
      </c>
      <c r="F84" t="s">
        <v>24</v>
      </c>
      <c r="G84" t="s">
        <v>25</v>
      </c>
      <c r="H84" t="s">
        <v>26</v>
      </c>
      <c r="I84">
        <v>12760499</v>
      </c>
      <c r="J84" t="s">
        <v>27</v>
      </c>
      <c r="K84" t="s">
        <v>143</v>
      </c>
      <c r="L84" t="s">
        <v>21</v>
      </c>
    </row>
    <row r="85" spans="1:12">
      <c r="A85" t="s">
        <v>145</v>
      </c>
      <c r="B85" t="s">
        <v>129</v>
      </c>
      <c r="C85" t="s">
        <v>130</v>
      </c>
      <c r="D85">
        <v>1967</v>
      </c>
      <c r="E85" t="s">
        <v>29</v>
      </c>
      <c r="F85" t="s">
        <v>30</v>
      </c>
      <c r="G85" t="s">
        <v>31</v>
      </c>
      <c r="H85" t="s">
        <v>32</v>
      </c>
      <c r="I85">
        <v>3246.991771</v>
      </c>
      <c r="J85" t="s">
        <v>33</v>
      </c>
      <c r="K85" t="s">
        <v>143</v>
      </c>
      <c r="L85" t="s">
        <v>21</v>
      </c>
    </row>
    <row r="86" spans="1:12">
      <c r="A86" t="s">
        <v>146</v>
      </c>
      <c r="B86" t="s">
        <v>129</v>
      </c>
      <c r="C86" t="s">
        <v>130</v>
      </c>
      <c r="D86">
        <v>1972</v>
      </c>
      <c r="E86" t="s">
        <v>15</v>
      </c>
      <c r="F86" t="s">
        <v>16</v>
      </c>
      <c r="G86" t="s">
        <v>17</v>
      </c>
      <c r="H86" t="s">
        <v>18</v>
      </c>
      <c r="I86">
        <v>54.518000000000001</v>
      </c>
      <c r="J86" t="s">
        <v>19</v>
      </c>
      <c r="K86" t="s">
        <v>147</v>
      </c>
      <c r="L86" t="s">
        <v>21</v>
      </c>
    </row>
    <row r="87" spans="1:12">
      <c r="A87" t="s">
        <v>148</v>
      </c>
      <c r="B87" t="s">
        <v>129</v>
      </c>
      <c r="C87" t="s">
        <v>130</v>
      </c>
      <c r="D87">
        <v>1972</v>
      </c>
      <c r="E87" t="s">
        <v>23</v>
      </c>
      <c r="F87" t="s">
        <v>24</v>
      </c>
      <c r="G87" t="s">
        <v>25</v>
      </c>
      <c r="H87" t="s">
        <v>26</v>
      </c>
      <c r="I87">
        <v>14760787</v>
      </c>
      <c r="J87" t="s">
        <v>27</v>
      </c>
      <c r="K87" t="s">
        <v>147</v>
      </c>
      <c r="L87" t="s">
        <v>21</v>
      </c>
    </row>
    <row r="88" spans="1:12">
      <c r="A88" t="s">
        <v>149</v>
      </c>
      <c r="B88" t="s">
        <v>129</v>
      </c>
      <c r="C88" t="s">
        <v>130</v>
      </c>
      <c r="D88">
        <v>1972</v>
      </c>
      <c r="E88" t="s">
        <v>29</v>
      </c>
      <c r="F88" t="s">
        <v>30</v>
      </c>
      <c r="G88" t="s">
        <v>31</v>
      </c>
      <c r="H88" t="s">
        <v>32</v>
      </c>
      <c r="I88">
        <v>4182.6637659999997</v>
      </c>
      <c r="J88" t="s">
        <v>33</v>
      </c>
      <c r="K88" t="s">
        <v>147</v>
      </c>
      <c r="L88" t="s">
        <v>21</v>
      </c>
    </row>
    <row r="89" spans="1:12">
      <c r="A89" t="s">
        <v>150</v>
      </c>
      <c r="B89" t="s">
        <v>129</v>
      </c>
      <c r="C89" t="s">
        <v>130</v>
      </c>
      <c r="D89">
        <v>1977</v>
      </c>
      <c r="E89" t="s">
        <v>15</v>
      </c>
      <c r="F89" t="s">
        <v>16</v>
      </c>
      <c r="G89" t="s">
        <v>17</v>
      </c>
      <c r="H89" t="s">
        <v>18</v>
      </c>
      <c r="I89">
        <v>58.014000000000003</v>
      </c>
      <c r="J89" t="s">
        <v>19</v>
      </c>
      <c r="K89" t="s">
        <v>151</v>
      </c>
      <c r="L89" t="s">
        <v>21</v>
      </c>
    </row>
    <row r="90" spans="1:12">
      <c r="A90" t="s">
        <v>152</v>
      </c>
      <c r="B90" t="s">
        <v>129</v>
      </c>
      <c r="C90" t="s">
        <v>130</v>
      </c>
      <c r="D90">
        <v>1977</v>
      </c>
      <c r="E90" t="s">
        <v>23</v>
      </c>
      <c r="F90" t="s">
        <v>24</v>
      </c>
      <c r="G90" t="s">
        <v>25</v>
      </c>
      <c r="H90" t="s">
        <v>26</v>
      </c>
      <c r="I90">
        <v>17152804</v>
      </c>
      <c r="J90" t="s">
        <v>27</v>
      </c>
      <c r="K90" t="s">
        <v>151</v>
      </c>
      <c r="L90" t="s">
        <v>21</v>
      </c>
    </row>
    <row r="91" spans="1:12">
      <c r="A91" t="s">
        <v>153</v>
      </c>
      <c r="B91" t="s">
        <v>129</v>
      </c>
      <c r="C91" t="s">
        <v>130</v>
      </c>
      <c r="D91">
        <v>1977</v>
      </c>
      <c r="E91" t="s">
        <v>29</v>
      </c>
      <c r="F91" t="s">
        <v>30</v>
      </c>
      <c r="G91" t="s">
        <v>31</v>
      </c>
      <c r="H91" t="s">
        <v>32</v>
      </c>
      <c r="I91">
        <v>4910.4167559999996</v>
      </c>
      <c r="J91" t="s">
        <v>33</v>
      </c>
      <c r="K91" t="s">
        <v>151</v>
      </c>
      <c r="L91" t="s">
        <v>21</v>
      </c>
    </row>
    <row r="92" spans="1:12">
      <c r="A92" t="s">
        <v>154</v>
      </c>
      <c r="B92" t="s">
        <v>129</v>
      </c>
      <c r="C92" t="s">
        <v>130</v>
      </c>
      <c r="D92">
        <v>1982</v>
      </c>
      <c r="E92" t="s">
        <v>15</v>
      </c>
      <c r="F92" t="s">
        <v>16</v>
      </c>
      <c r="G92" t="s">
        <v>17</v>
      </c>
      <c r="H92" t="s">
        <v>18</v>
      </c>
      <c r="I92">
        <v>61.368000000000002</v>
      </c>
      <c r="J92" t="s">
        <v>19</v>
      </c>
      <c r="K92" t="s">
        <v>155</v>
      </c>
      <c r="L92" t="s">
        <v>21</v>
      </c>
    </row>
    <row r="93" spans="1:12">
      <c r="A93" t="s">
        <v>156</v>
      </c>
      <c r="B93" t="s">
        <v>129</v>
      </c>
      <c r="C93" t="s">
        <v>130</v>
      </c>
      <c r="D93">
        <v>1982</v>
      </c>
      <c r="E93" t="s">
        <v>23</v>
      </c>
      <c r="F93" t="s">
        <v>24</v>
      </c>
      <c r="G93" t="s">
        <v>25</v>
      </c>
      <c r="H93" t="s">
        <v>26</v>
      </c>
      <c r="I93">
        <v>20033753</v>
      </c>
      <c r="J93" t="s">
        <v>27</v>
      </c>
      <c r="K93" t="s">
        <v>155</v>
      </c>
      <c r="L93" t="s">
        <v>21</v>
      </c>
    </row>
    <row r="94" spans="1:12">
      <c r="A94" t="s">
        <v>157</v>
      </c>
      <c r="B94" t="s">
        <v>129</v>
      </c>
      <c r="C94" t="s">
        <v>130</v>
      </c>
      <c r="D94">
        <v>1982</v>
      </c>
      <c r="E94" t="s">
        <v>29</v>
      </c>
      <c r="F94" t="s">
        <v>30</v>
      </c>
      <c r="G94" t="s">
        <v>31</v>
      </c>
      <c r="H94" t="s">
        <v>32</v>
      </c>
      <c r="I94">
        <v>5745.1602130000001</v>
      </c>
      <c r="J94" t="s">
        <v>33</v>
      </c>
      <c r="K94" t="s">
        <v>155</v>
      </c>
      <c r="L94" t="s">
        <v>21</v>
      </c>
    </row>
    <row r="95" spans="1:12">
      <c r="A95" t="s">
        <v>158</v>
      </c>
      <c r="B95" t="s">
        <v>129</v>
      </c>
      <c r="C95" t="s">
        <v>130</v>
      </c>
      <c r="D95">
        <v>1987</v>
      </c>
      <c r="E95" t="s">
        <v>15</v>
      </c>
      <c r="F95" t="s">
        <v>16</v>
      </c>
      <c r="G95" t="s">
        <v>17</v>
      </c>
      <c r="H95" t="s">
        <v>18</v>
      </c>
      <c r="I95">
        <v>65.798999999999893</v>
      </c>
      <c r="J95" t="s">
        <v>19</v>
      </c>
      <c r="K95" t="s">
        <v>159</v>
      </c>
      <c r="L95" t="s">
        <v>21</v>
      </c>
    </row>
    <row r="96" spans="1:12">
      <c r="A96" t="s">
        <v>160</v>
      </c>
      <c r="B96" t="s">
        <v>129</v>
      </c>
      <c r="C96" t="s">
        <v>130</v>
      </c>
      <c r="D96">
        <v>1987</v>
      </c>
      <c r="E96" t="s">
        <v>23</v>
      </c>
      <c r="F96" t="s">
        <v>24</v>
      </c>
      <c r="G96" t="s">
        <v>25</v>
      </c>
      <c r="H96" t="s">
        <v>26</v>
      </c>
      <c r="I96">
        <v>23254956</v>
      </c>
      <c r="J96" t="s">
        <v>27</v>
      </c>
      <c r="K96" t="s">
        <v>159</v>
      </c>
      <c r="L96" t="s">
        <v>21</v>
      </c>
    </row>
    <row r="97" spans="1:12">
      <c r="A97" t="s">
        <v>161</v>
      </c>
      <c r="B97" t="s">
        <v>129</v>
      </c>
      <c r="C97" t="s">
        <v>130</v>
      </c>
      <c r="D97">
        <v>1987</v>
      </c>
      <c r="E97" t="s">
        <v>29</v>
      </c>
      <c r="F97" t="s">
        <v>30</v>
      </c>
      <c r="G97" t="s">
        <v>31</v>
      </c>
      <c r="H97" t="s">
        <v>32</v>
      </c>
      <c r="I97">
        <v>5681.3585389999998</v>
      </c>
      <c r="J97" t="s">
        <v>33</v>
      </c>
      <c r="K97" t="s">
        <v>159</v>
      </c>
      <c r="L97" t="s">
        <v>21</v>
      </c>
    </row>
    <row r="98" spans="1:12">
      <c r="A98" t="s">
        <v>162</v>
      </c>
      <c r="B98" t="s">
        <v>129</v>
      </c>
      <c r="C98" t="s">
        <v>130</v>
      </c>
      <c r="D98">
        <v>1992</v>
      </c>
      <c r="E98" t="s">
        <v>15</v>
      </c>
      <c r="F98" t="s">
        <v>16</v>
      </c>
      <c r="G98" t="s">
        <v>17</v>
      </c>
      <c r="H98" t="s">
        <v>18</v>
      </c>
      <c r="I98">
        <v>67.744</v>
      </c>
      <c r="J98" t="s">
        <v>19</v>
      </c>
      <c r="K98" t="s">
        <v>163</v>
      </c>
      <c r="L98" t="s">
        <v>21</v>
      </c>
    </row>
    <row r="99" spans="1:12">
      <c r="A99" t="s">
        <v>164</v>
      </c>
      <c r="B99" t="s">
        <v>129</v>
      </c>
      <c r="C99" t="s">
        <v>130</v>
      </c>
      <c r="D99">
        <v>1992</v>
      </c>
      <c r="E99" t="s">
        <v>23</v>
      </c>
      <c r="F99" t="s">
        <v>24</v>
      </c>
      <c r="G99" t="s">
        <v>25</v>
      </c>
      <c r="H99" t="s">
        <v>26</v>
      </c>
      <c r="I99">
        <v>26298373</v>
      </c>
      <c r="J99" t="s">
        <v>27</v>
      </c>
      <c r="K99" t="s">
        <v>163</v>
      </c>
      <c r="L99" t="s">
        <v>21</v>
      </c>
    </row>
    <row r="100" spans="1:12">
      <c r="A100" t="s">
        <v>165</v>
      </c>
      <c r="B100" t="s">
        <v>129</v>
      </c>
      <c r="C100" t="s">
        <v>130</v>
      </c>
      <c r="D100">
        <v>1992</v>
      </c>
      <c r="E100" t="s">
        <v>29</v>
      </c>
      <c r="F100" t="s">
        <v>30</v>
      </c>
      <c r="G100" t="s">
        <v>31</v>
      </c>
      <c r="H100" t="s">
        <v>32</v>
      </c>
      <c r="I100">
        <v>5023.2166470000002</v>
      </c>
      <c r="J100" t="s">
        <v>33</v>
      </c>
      <c r="K100" t="s">
        <v>163</v>
      </c>
      <c r="L100" t="s">
        <v>21</v>
      </c>
    </row>
    <row r="101" spans="1:12">
      <c r="A101" t="s">
        <v>166</v>
      </c>
      <c r="B101" t="s">
        <v>129</v>
      </c>
      <c r="C101" t="s">
        <v>130</v>
      </c>
      <c r="D101">
        <v>1997</v>
      </c>
      <c r="E101" t="s">
        <v>15</v>
      </c>
      <c r="F101" t="s">
        <v>16</v>
      </c>
      <c r="G101" t="s">
        <v>17</v>
      </c>
      <c r="H101" t="s">
        <v>18</v>
      </c>
      <c r="I101">
        <v>69.152000000000001</v>
      </c>
      <c r="J101" t="s">
        <v>19</v>
      </c>
      <c r="K101" t="s">
        <v>167</v>
      </c>
      <c r="L101" t="s">
        <v>21</v>
      </c>
    </row>
    <row r="102" spans="1:12">
      <c r="A102" t="s">
        <v>168</v>
      </c>
      <c r="B102" t="s">
        <v>129</v>
      </c>
      <c r="C102" t="s">
        <v>130</v>
      </c>
      <c r="D102">
        <v>1997</v>
      </c>
      <c r="E102" t="s">
        <v>23</v>
      </c>
      <c r="F102" t="s">
        <v>24</v>
      </c>
      <c r="G102" t="s">
        <v>25</v>
      </c>
      <c r="H102" t="s">
        <v>26</v>
      </c>
      <c r="I102">
        <v>29072015</v>
      </c>
      <c r="J102" t="s">
        <v>27</v>
      </c>
      <c r="K102" t="s">
        <v>167</v>
      </c>
      <c r="L102" t="s">
        <v>21</v>
      </c>
    </row>
    <row r="103" spans="1:12">
      <c r="A103" t="s">
        <v>169</v>
      </c>
      <c r="B103" t="s">
        <v>129</v>
      </c>
      <c r="C103" t="s">
        <v>130</v>
      </c>
      <c r="D103">
        <v>1997</v>
      </c>
      <c r="E103" t="s">
        <v>29</v>
      </c>
      <c r="F103" t="s">
        <v>30</v>
      </c>
      <c r="G103" t="s">
        <v>31</v>
      </c>
      <c r="H103" t="s">
        <v>32</v>
      </c>
      <c r="I103">
        <v>4797.2950510000001</v>
      </c>
      <c r="J103" t="s">
        <v>33</v>
      </c>
      <c r="K103" t="s">
        <v>167</v>
      </c>
      <c r="L103" t="s">
        <v>21</v>
      </c>
    </row>
    <row r="104" spans="1:12">
      <c r="A104" t="s">
        <v>170</v>
      </c>
      <c r="B104" t="s">
        <v>129</v>
      </c>
      <c r="C104" t="s">
        <v>130</v>
      </c>
      <c r="D104">
        <v>2002</v>
      </c>
      <c r="E104" t="s">
        <v>15</v>
      </c>
      <c r="F104" t="s">
        <v>16</v>
      </c>
      <c r="G104" t="s">
        <v>17</v>
      </c>
      <c r="H104" t="s">
        <v>18</v>
      </c>
      <c r="I104">
        <v>70.994</v>
      </c>
      <c r="J104" t="s">
        <v>19</v>
      </c>
      <c r="K104" t="s">
        <v>171</v>
      </c>
      <c r="L104" t="s">
        <v>21</v>
      </c>
    </row>
    <row r="105" spans="1:12">
      <c r="A105" t="s">
        <v>172</v>
      </c>
      <c r="B105" t="s">
        <v>129</v>
      </c>
      <c r="C105" t="s">
        <v>130</v>
      </c>
      <c r="D105">
        <v>2002</v>
      </c>
      <c r="E105" t="s">
        <v>23</v>
      </c>
      <c r="F105" t="s">
        <v>24</v>
      </c>
      <c r="G105" t="s">
        <v>25</v>
      </c>
      <c r="H105" t="s">
        <v>26</v>
      </c>
      <c r="I105">
        <v>31287142</v>
      </c>
      <c r="J105" t="s">
        <v>27</v>
      </c>
      <c r="K105" t="s">
        <v>171</v>
      </c>
      <c r="L105" t="s">
        <v>21</v>
      </c>
    </row>
    <row r="106" spans="1:12">
      <c r="A106" t="s">
        <v>173</v>
      </c>
      <c r="B106" t="s">
        <v>129</v>
      </c>
      <c r="C106" t="s">
        <v>130</v>
      </c>
      <c r="D106">
        <v>2002</v>
      </c>
      <c r="E106" t="s">
        <v>29</v>
      </c>
      <c r="F106" t="s">
        <v>30</v>
      </c>
      <c r="G106" t="s">
        <v>31</v>
      </c>
      <c r="H106" t="s">
        <v>32</v>
      </c>
      <c r="I106">
        <v>5288.0403820000001</v>
      </c>
      <c r="J106" t="s">
        <v>33</v>
      </c>
      <c r="K106" t="s">
        <v>171</v>
      </c>
      <c r="L106" t="s">
        <v>21</v>
      </c>
    </row>
    <row r="107" spans="1:12">
      <c r="A107" t="s">
        <v>174</v>
      </c>
      <c r="B107" t="s">
        <v>129</v>
      </c>
      <c r="C107" t="s">
        <v>130</v>
      </c>
      <c r="D107">
        <v>2007</v>
      </c>
      <c r="E107" t="s">
        <v>15</v>
      </c>
      <c r="F107" t="s">
        <v>16</v>
      </c>
      <c r="G107" t="s">
        <v>17</v>
      </c>
      <c r="H107" t="s">
        <v>18</v>
      </c>
      <c r="I107">
        <v>72.301000000000002</v>
      </c>
      <c r="J107" t="s">
        <v>19</v>
      </c>
      <c r="K107" t="s">
        <v>175</v>
      </c>
      <c r="L107" t="s">
        <v>21</v>
      </c>
    </row>
    <row r="108" spans="1:12">
      <c r="A108" t="s">
        <v>176</v>
      </c>
      <c r="B108" t="s">
        <v>129</v>
      </c>
      <c r="C108" t="s">
        <v>130</v>
      </c>
      <c r="D108">
        <v>2007</v>
      </c>
      <c r="E108" t="s">
        <v>23</v>
      </c>
      <c r="F108" t="s">
        <v>24</v>
      </c>
      <c r="G108" t="s">
        <v>25</v>
      </c>
      <c r="H108" t="s">
        <v>26</v>
      </c>
      <c r="I108">
        <v>33333216</v>
      </c>
      <c r="J108" t="s">
        <v>27</v>
      </c>
      <c r="K108" t="s">
        <v>175</v>
      </c>
      <c r="L108" t="s">
        <v>21</v>
      </c>
    </row>
    <row r="109" spans="1:12">
      <c r="A109" t="s">
        <v>177</v>
      </c>
      <c r="B109" t="s">
        <v>129</v>
      </c>
      <c r="C109" t="s">
        <v>130</v>
      </c>
      <c r="D109">
        <v>2007</v>
      </c>
      <c r="E109" t="s">
        <v>29</v>
      </c>
      <c r="F109" t="s">
        <v>30</v>
      </c>
      <c r="G109" t="s">
        <v>31</v>
      </c>
      <c r="H109" t="s">
        <v>32</v>
      </c>
      <c r="I109">
        <v>6223.3674650000003</v>
      </c>
      <c r="J109" t="s">
        <v>33</v>
      </c>
      <c r="K109" t="s">
        <v>175</v>
      </c>
      <c r="L109" t="s">
        <v>21</v>
      </c>
    </row>
    <row r="110" spans="1:12">
      <c r="A110" t="s">
        <v>178</v>
      </c>
      <c r="B110" t="s">
        <v>179</v>
      </c>
      <c r="C110" t="s">
        <v>130</v>
      </c>
      <c r="D110">
        <v>1952</v>
      </c>
      <c r="E110" t="s">
        <v>15</v>
      </c>
      <c r="F110" t="s">
        <v>16</v>
      </c>
      <c r="G110" t="s">
        <v>17</v>
      </c>
      <c r="H110" t="s">
        <v>18</v>
      </c>
      <c r="I110">
        <v>30.015000000000001</v>
      </c>
      <c r="J110" t="s">
        <v>19</v>
      </c>
      <c r="K110" t="s">
        <v>180</v>
      </c>
      <c r="L110" t="s">
        <v>21</v>
      </c>
    </row>
    <row r="111" spans="1:12">
      <c r="A111" t="s">
        <v>181</v>
      </c>
      <c r="B111" t="s">
        <v>179</v>
      </c>
      <c r="C111" t="s">
        <v>130</v>
      </c>
      <c r="D111">
        <v>1952</v>
      </c>
      <c r="E111" t="s">
        <v>23</v>
      </c>
      <c r="F111" t="s">
        <v>24</v>
      </c>
      <c r="G111" t="s">
        <v>25</v>
      </c>
      <c r="H111" t="s">
        <v>26</v>
      </c>
      <c r="I111">
        <v>4232095</v>
      </c>
      <c r="J111" t="s">
        <v>27</v>
      </c>
      <c r="K111" t="s">
        <v>180</v>
      </c>
      <c r="L111" t="s">
        <v>21</v>
      </c>
    </row>
    <row r="112" spans="1:12">
      <c r="A112" t="s">
        <v>182</v>
      </c>
      <c r="B112" t="s">
        <v>179</v>
      </c>
      <c r="C112" t="s">
        <v>130</v>
      </c>
      <c r="D112">
        <v>1952</v>
      </c>
      <c r="E112" t="s">
        <v>29</v>
      </c>
      <c r="F112" t="s">
        <v>30</v>
      </c>
      <c r="G112" t="s">
        <v>31</v>
      </c>
      <c r="H112" t="s">
        <v>32</v>
      </c>
      <c r="I112">
        <v>3520.6102729999998</v>
      </c>
      <c r="J112" t="s">
        <v>33</v>
      </c>
      <c r="K112" t="s">
        <v>180</v>
      </c>
      <c r="L112" t="s">
        <v>21</v>
      </c>
    </row>
    <row r="113" spans="1:12">
      <c r="A113" t="s">
        <v>183</v>
      </c>
      <c r="B113" t="s">
        <v>179</v>
      </c>
      <c r="C113" t="s">
        <v>130</v>
      </c>
      <c r="D113">
        <v>1957</v>
      </c>
      <c r="E113" t="s">
        <v>15</v>
      </c>
      <c r="F113" t="s">
        <v>16</v>
      </c>
      <c r="G113" t="s">
        <v>17</v>
      </c>
      <c r="H113" t="s">
        <v>18</v>
      </c>
      <c r="I113">
        <v>31.998999999999999</v>
      </c>
      <c r="J113" t="s">
        <v>19</v>
      </c>
      <c r="K113" t="s">
        <v>184</v>
      </c>
      <c r="L113" t="s">
        <v>21</v>
      </c>
    </row>
    <row r="114" spans="1:12">
      <c r="A114" t="s">
        <v>185</v>
      </c>
      <c r="B114" t="s">
        <v>179</v>
      </c>
      <c r="C114" t="s">
        <v>130</v>
      </c>
      <c r="D114">
        <v>1957</v>
      </c>
      <c r="E114" t="s">
        <v>23</v>
      </c>
      <c r="F114" t="s">
        <v>24</v>
      </c>
      <c r="G114" t="s">
        <v>25</v>
      </c>
      <c r="H114" t="s">
        <v>26</v>
      </c>
      <c r="I114">
        <v>4561361</v>
      </c>
      <c r="J114" t="s">
        <v>27</v>
      </c>
      <c r="K114" t="s">
        <v>184</v>
      </c>
      <c r="L114" t="s">
        <v>21</v>
      </c>
    </row>
    <row r="115" spans="1:12">
      <c r="A115" t="s">
        <v>186</v>
      </c>
      <c r="B115" t="s">
        <v>179</v>
      </c>
      <c r="C115" t="s">
        <v>130</v>
      </c>
      <c r="D115">
        <v>1957</v>
      </c>
      <c r="E115" t="s">
        <v>29</v>
      </c>
      <c r="F115" t="s">
        <v>30</v>
      </c>
      <c r="G115" t="s">
        <v>31</v>
      </c>
      <c r="H115" t="s">
        <v>32</v>
      </c>
      <c r="I115">
        <v>3827.9404650000001</v>
      </c>
      <c r="J115" t="s">
        <v>33</v>
      </c>
      <c r="K115" t="s">
        <v>184</v>
      </c>
      <c r="L115" t="s">
        <v>21</v>
      </c>
    </row>
    <row r="116" spans="1:12">
      <c r="A116" t="s">
        <v>187</v>
      </c>
      <c r="B116" t="s">
        <v>179</v>
      </c>
      <c r="C116" t="s">
        <v>130</v>
      </c>
      <c r="D116">
        <v>1962</v>
      </c>
      <c r="E116" t="s">
        <v>15</v>
      </c>
      <c r="F116" t="s">
        <v>16</v>
      </c>
      <c r="G116" t="s">
        <v>17</v>
      </c>
      <c r="H116" t="s">
        <v>18</v>
      </c>
      <c r="I116">
        <v>34</v>
      </c>
      <c r="J116" t="s">
        <v>19</v>
      </c>
      <c r="K116" t="s">
        <v>188</v>
      </c>
      <c r="L116" t="s">
        <v>21</v>
      </c>
    </row>
    <row r="117" spans="1:12">
      <c r="A117" t="s">
        <v>189</v>
      </c>
      <c r="B117" t="s">
        <v>179</v>
      </c>
      <c r="C117" t="s">
        <v>130</v>
      </c>
      <c r="D117">
        <v>1962</v>
      </c>
      <c r="E117" t="s">
        <v>23</v>
      </c>
      <c r="F117" t="s">
        <v>24</v>
      </c>
      <c r="G117" t="s">
        <v>25</v>
      </c>
      <c r="H117" t="s">
        <v>26</v>
      </c>
      <c r="I117">
        <v>4826015</v>
      </c>
      <c r="J117" t="s">
        <v>27</v>
      </c>
      <c r="K117" t="s">
        <v>188</v>
      </c>
      <c r="L117" t="s">
        <v>21</v>
      </c>
    </row>
    <row r="118" spans="1:12">
      <c r="A118" t="s">
        <v>190</v>
      </c>
      <c r="B118" t="s">
        <v>179</v>
      </c>
      <c r="C118" t="s">
        <v>130</v>
      </c>
      <c r="D118">
        <v>1962</v>
      </c>
      <c r="E118" t="s">
        <v>29</v>
      </c>
      <c r="F118" t="s">
        <v>30</v>
      </c>
      <c r="G118" t="s">
        <v>31</v>
      </c>
      <c r="H118" t="s">
        <v>32</v>
      </c>
      <c r="I118">
        <v>4269.276742</v>
      </c>
      <c r="J118" t="s">
        <v>33</v>
      </c>
      <c r="K118" t="s">
        <v>188</v>
      </c>
      <c r="L118" t="s">
        <v>21</v>
      </c>
    </row>
    <row r="119" spans="1:12">
      <c r="A119" t="s">
        <v>191</v>
      </c>
      <c r="B119" t="s">
        <v>179</v>
      </c>
      <c r="C119" t="s">
        <v>130</v>
      </c>
      <c r="D119">
        <v>1967</v>
      </c>
      <c r="E119" t="s">
        <v>15</v>
      </c>
      <c r="F119" t="s">
        <v>16</v>
      </c>
      <c r="G119" t="s">
        <v>17</v>
      </c>
      <c r="H119" t="s">
        <v>18</v>
      </c>
      <c r="I119">
        <v>35.984999999999999</v>
      </c>
      <c r="J119" t="s">
        <v>19</v>
      </c>
      <c r="K119" t="s">
        <v>192</v>
      </c>
      <c r="L119" t="s">
        <v>21</v>
      </c>
    </row>
    <row r="120" spans="1:12">
      <c r="A120" t="s">
        <v>193</v>
      </c>
      <c r="B120" t="s">
        <v>179</v>
      </c>
      <c r="C120" t="s">
        <v>130</v>
      </c>
      <c r="D120">
        <v>1967</v>
      </c>
      <c r="E120" t="s">
        <v>23</v>
      </c>
      <c r="F120" t="s">
        <v>24</v>
      </c>
      <c r="G120" t="s">
        <v>25</v>
      </c>
      <c r="H120" t="s">
        <v>26</v>
      </c>
      <c r="I120">
        <v>5247469</v>
      </c>
      <c r="J120" t="s">
        <v>27</v>
      </c>
      <c r="K120" t="s">
        <v>192</v>
      </c>
      <c r="L120" t="s">
        <v>21</v>
      </c>
    </row>
    <row r="121" spans="1:12">
      <c r="A121" t="s">
        <v>194</v>
      </c>
      <c r="B121" t="s">
        <v>179</v>
      </c>
      <c r="C121" t="s">
        <v>130</v>
      </c>
      <c r="D121">
        <v>1967</v>
      </c>
      <c r="E121" t="s">
        <v>29</v>
      </c>
      <c r="F121" t="s">
        <v>30</v>
      </c>
      <c r="G121" t="s">
        <v>31</v>
      </c>
      <c r="H121" t="s">
        <v>32</v>
      </c>
      <c r="I121">
        <v>5522.7763750000004</v>
      </c>
      <c r="J121" t="s">
        <v>33</v>
      </c>
      <c r="K121" t="s">
        <v>192</v>
      </c>
      <c r="L121" t="s">
        <v>21</v>
      </c>
    </row>
    <row r="122" spans="1:12">
      <c r="A122" t="s">
        <v>195</v>
      </c>
      <c r="B122" t="s">
        <v>179</v>
      </c>
      <c r="C122" t="s">
        <v>130</v>
      </c>
      <c r="D122">
        <v>1972</v>
      </c>
      <c r="E122" t="s">
        <v>15</v>
      </c>
      <c r="F122" t="s">
        <v>16</v>
      </c>
      <c r="G122" t="s">
        <v>17</v>
      </c>
      <c r="H122" t="s">
        <v>18</v>
      </c>
      <c r="I122">
        <v>37.927999999999997</v>
      </c>
      <c r="J122" t="s">
        <v>19</v>
      </c>
      <c r="K122" t="s">
        <v>196</v>
      </c>
      <c r="L122" t="s">
        <v>21</v>
      </c>
    </row>
    <row r="123" spans="1:12">
      <c r="A123" t="s">
        <v>197</v>
      </c>
      <c r="B123" t="s">
        <v>179</v>
      </c>
      <c r="C123" t="s">
        <v>130</v>
      </c>
      <c r="D123">
        <v>1972</v>
      </c>
      <c r="E123" t="s">
        <v>23</v>
      </c>
      <c r="F123" t="s">
        <v>24</v>
      </c>
      <c r="G123" t="s">
        <v>25</v>
      </c>
      <c r="H123" t="s">
        <v>26</v>
      </c>
      <c r="I123">
        <v>5894858</v>
      </c>
      <c r="J123" t="s">
        <v>27</v>
      </c>
      <c r="K123" t="s">
        <v>196</v>
      </c>
      <c r="L123" t="s">
        <v>21</v>
      </c>
    </row>
    <row r="124" spans="1:12">
      <c r="A124" t="s">
        <v>198</v>
      </c>
      <c r="B124" t="s">
        <v>179</v>
      </c>
      <c r="C124" t="s">
        <v>130</v>
      </c>
      <c r="D124">
        <v>1972</v>
      </c>
      <c r="E124" t="s">
        <v>29</v>
      </c>
      <c r="F124" t="s">
        <v>30</v>
      </c>
      <c r="G124" t="s">
        <v>31</v>
      </c>
      <c r="H124" t="s">
        <v>32</v>
      </c>
      <c r="I124">
        <v>5473.2880049999903</v>
      </c>
      <c r="J124" t="s">
        <v>33</v>
      </c>
      <c r="K124" t="s">
        <v>196</v>
      </c>
      <c r="L124" t="s">
        <v>21</v>
      </c>
    </row>
    <row r="125" spans="1:12">
      <c r="A125" t="s">
        <v>199</v>
      </c>
      <c r="B125" t="s">
        <v>179</v>
      </c>
      <c r="C125" t="s">
        <v>130</v>
      </c>
      <c r="D125">
        <v>1977</v>
      </c>
      <c r="E125" t="s">
        <v>15</v>
      </c>
      <c r="F125" t="s">
        <v>16</v>
      </c>
      <c r="G125" t="s">
        <v>17</v>
      </c>
      <c r="H125" t="s">
        <v>18</v>
      </c>
      <c r="I125">
        <v>39.482999999999997</v>
      </c>
      <c r="J125" t="s">
        <v>19</v>
      </c>
      <c r="K125" t="s">
        <v>200</v>
      </c>
      <c r="L125" t="s">
        <v>21</v>
      </c>
    </row>
    <row r="126" spans="1:12">
      <c r="A126" t="s">
        <v>201</v>
      </c>
      <c r="B126" t="s">
        <v>179</v>
      </c>
      <c r="C126" t="s">
        <v>130</v>
      </c>
      <c r="D126">
        <v>1977</v>
      </c>
      <c r="E126" t="s">
        <v>23</v>
      </c>
      <c r="F126" t="s">
        <v>24</v>
      </c>
      <c r="G126" t="s">
        <v>25</v>
      </c>
      <c r="H126" t="s">
        <v>26</v>
      </c>
      <c r="I126">
        <v>6162675</v>
      </c>
      <c r="J126" t="s">
        <v>27</v>
      </c>
      <c r="K126" t="s">
        <v>200</v>
      </c>
      <c r="L126" t="s">
        <v>21</v>
      </c>
    </row>
    <row r="127" spans="1:12">
      <c r="A127" t="s">
        <v>202</v>
      </c>
      <c r="B127" t="s">
        <v>179</v>
      </c>
      <c r="C127" t="s">
        <v>130</v>
      </c>
      <c r="D127">
        <v>1977</v>
      </c>
      <c r="E127" t="s">
        <v>29</v>
      </c>
      <c r="F127" t="s">
        <v>30</v>
      </c>
      <c r="G127" t="s">
        <v>31</v>
      </c>
      <c r="H127" t="s">
        <v>32</v>
      </c>
      <c r="I127">
        <v>3008.6473550000001</v>
      </c>
      <c r="J127" t="s">
        <v>33</v>
      </c>
      <c r="K127" t="s">
        <v>200</v>
      </c>
      <c r="L127" t="s">
        <v>21</v>
      </c>
    </row>
    <row r="128" spans="1:12">
      <c r="A128" t="s">
        <v>203</v>
      </c>
      <c r="B128" t="s">
        <v>179</v>
      </c>
      <c r="C128" t="s">
        <v>130</v>
      </c>
      <c r="D128">
        <v>1982</v>
      </c>
      <c r="E128" t="s">
        <v>15</v>
      </c>
      <c r="F128" t="s">
        <v>16</v>
      </c>
      <c r="G128" t="s">
        <v>17</v>
      </c>
      <c r="H128" t="s">
        <v>18</v>
      </c>
      <c r="I128">
        <v>39.942</v>
      </c>
      <c r="J128" t="s">
        <v>19</v>
      </c>
      <c r="K128" t="s">
        <v>204</v>
      </c>
      <c r="L128" t="s">
        <v>21</v>
      </c>
    </row>
    <row r="129" spans="1:12">
      <c r="A129" t="s">
        <v>205</v>
      </c>
      <c r="B129" t="s">
        <v>179</v>
      </c>
      <c r="C129" t="s">
        <v>130</v>
      </c>
      <c r="D129">
        <v>1982</v>
      </c>
      <c r="E129" t="s">
        <v>23</v>
      </c>
      <c r="F129" t="s">
        <v>24</v>
      </c>
      <c r="G129" t="s">
        <v>25</v>
      </c>
      <c r="H129" t="s">
        <v>26</v>
      </c>
      <c r="I129">
        <v>7016384</v>
      </c>
      <c r="J129" t="s">
        <v>27</v>
      </c>
      <c r="K129" t="s">
        <v>204</v>
      </c>
      <c r="L129" t="s">
        <v>21</v>
      </c>
    </row>
    <row r="130" spans="1:12">
      <c r="A130" t="s">
        <v>206</v>
      </c>
      <c r="B130" t="s">
        <v>179</v>
      </c>
      <c r="C130" t="s">
        <v>130</v>
      </c>
      <c r="D130">
        <v>1982</v>
      </c>
      <c r="E130" t="s">
        <v>29</v>
      </c>
      <c r="F130" t="s">
        <v>30</v>
      </c>
      <c r="G130" t="s">
        <v>31</v>
      </c>
      <c r="H130" t="s">
        <v>32</v>
      </c>
      <c r="I130">
        <v>2756.9536720000001</v>
      </c>
      <c r="J130" t="s">
        <v>33</v>
      </c>
      <c r="K130" t="s">
        <v>204</v>
      </c>
      <c r="L130" t="s">
        <v>21</v>
      </c>
    </row>
    <row r="131" spans="1:12">
      <c r="A131" t="s">
        <v>207</v>
      </c>
      <c r="B131" t="s">
        <v>179</v>
      </c>
      <c r="C131" t="s">
        <v>130</v>
      </c>
      <c r="D131">
        <v>1987</v>
      </c>
      <c r="E131" t="s">
        <v>15</v>
      </c>
      <c r="F131" t="s">
        <v>16</v>
      </c>
      <c r="G131" t="s">
        <v>17</v>
      </c>
      <c r="H131" t="s">
        <v>18</v>
      </c>
      <c r="I131">
        <v>39.905999999999999</v>
      </c>
      <c r="J131" t="s">
        <v>19</v>
      </c>
      <c r="K131" t="s">
        <v>208</v>
      </c>
      <c r="L131" t="s">
        <v>21</v>
      </c>
    </row>
    <row r="132" spans="1:12">
      <c r="A132" t="s">
        <v>209</v>
      </c>
      <c r="B132" t="s">
        <v>179</v>
      </c>
      <c r="C132" t="s">
        <v>130</v>
      </c>
      <c r="D132">
        <v>1987</v>
      </c>
      <c r="E132" t="s">
        <v>23</v>
      </c>
      <c r="F132" t="s">
        <v>24</v>
      </c>
      <c r="G132" t="s">
        <v>25</v>
      </c>
      <c r="H132" t="s">
        <v>26</v>
      </c>
      <c r="I132">
        <v>7874230</v>
      </c>
      <c r="J132" t="s">
        <v>27</v>
      </c>
      <c r="K132" t="s">
        <v>208</v>
      </c>
      <c r="L132" t="s">
        <v>21</v>
      </c>
    </row>
    <row r="133" spans="1:12">
      <c r="A133" t="s">
        <v>210</v>
      </c>
      <c r="B133" t="s">
        <v>179</v>
      </c>
      <c r="C133" t="s">
        <v>130</v>
      </c>
      <c r="D133">
        <v>1987</v>
      </c>
      <c r="E133" t="s">
        <v>29</v>
      </c>
      <c r="F133" t="s">
        <v>30</v>
      </c>
      <c r="G133" t="s">
        <v>31</v>
      </c>
      <c r="H133" t="s">
        <v>32</v>
      </c>
      <c r="I133">
        <v>2430.2083109999999</v>
      </c>
      <c r="J133" t="s">
        <v>33</v>
      </c>
      <c r="K133" t="s">
        <v>208</v>
      </c>
      <c r="L133" t="s">
        <v>21</v>
      </c>
    </row>
    <row r="134" spans="1:12">
      <c r="A134" t="s">
        <v>211</v>
      </c>
      <c r="B134" t="s">
        <v>179</v>
      </c>
      <c r="C134" t="s">
        <v>130</v>
      </c>
      <c r="D134">
        <v>1992</v>
      </c>
      <c r="E134" t="s">
        <v>15</v>
      </c>
      <c r="F134" t="s">
        <v>16</v>
      </c>
      <c r="G134" t="s">
        <v>17</v>
      </c>
      <c r="H134" t="s">
        <v>18</v>
      </c>
      <c r="I134">
        <v>40.646999999999998</v>
      </c>
      <c r="J134" t="s">
        <v>19</v>
      </c>
      <c r="K134" t="s">
        <v>212</v>
      </c>
      <c r="L134" t="s">
        <v>21</v>
      </c>
    </row>
    <row r="135" spans="1:12">
      <c r="A135" t="s">
        <v>213</v>
      </c>
      <c r="B135" t="s">
        <v>179</v>
      </c>
      <c r="C135" t="s">
        <v>130</v>
      </c>
      <c r="D135">
        <v>1992</v>
      </c>
      <c r="E135" t="s">
        <v>23</v>
      </c>
      <c r="F135" t="s">
        <v>24</v>
      </c>
      <c r="G135" t="s">
        <v>25</v>
      </c>
      <c r="H135" t="s">
        <v>26</v>
      </c>
      <c r="I135">
        <v>8735988</v>
      </c>
      <c r="J135" t="s">
        <v>27</v>
      </c>
      <c r="K135" t="s">
        <v>212</v>
      </c>
      <c r="L135" t="s">
        <v>21</v>
      </c>
    </row>
    <row r="136" spans="1:12">
      <c r="A136" t="s">
        <v>214</v>
      </c>
      <c r="B136" t="s">
        <v>179</v>
      </c>
      <c r="C136" t="s">
        <v>130</v>
      </c>
      <c r="D136">
        <v>1992</v>
      </c>
      <c r="E136" t="s">
        <v>29</v>
      </c>
      <c r="F136" t="s">
        <v>30</v>
      </c>
      <c r="G136" t="s">
        <v>31</v>
      </c>
      <c r="H136" t="s">
        <v>32</v>
      </c>
      <c r="I136">
        <v>2627.8456849999998</v>
      </c>
      <c r="J136" t="s">
        <v>33</v>
      </c>
      <c r="K136" t="s">
        <v>212</v>
      </c>
      <c r="L136" t="s">
        <v>21</v>
      </c>
    </row>
    <row r="137" spans="1:12">
      <c r="A137" t="s">
        <v>215</v>
      </c>
      <c r="B137" t="s">
        <v>179</v>
      </c>
      <c r="C137" t="s">
        <v>130</v>
      </c>
      <c r="D137">
        <v>1997</v>
      </c>
      <c r="E137" t="s">
        <v>15</v>
      </c>
      <c r="F137" t="s">
        <v>16</v>
      </c>
      <c r="G137" t="s">
        <v>17</v>
      </c>
      <c r="H137" t="s">
        <v>18</v>
      </c>
      <c r="I137">
        <v>40.963000000000001</v>
      </c>
      <c r="J137" t="s">
        <v>19</v>
      </c>
      <c r="K137" t="s">
        <v>216</v>
      </c>
      <c r="L137" t="s">
        <v>21</v>
      </c>
    </row>
    <row r="138" spans="1:12">
      <c r="A138" t="s">
        <v>217</v>
      </c>
      <c r="B138" t="s">
        <v>179</v>
      </c>
      <c r="C138" t="s">
        <v>130</v>
      </c>
      <c r="D138">
        <v>1997</v>
      </c>
      <c r="E138" t="s">
        <v>23</v>
      </c>
      <c r="F138" t="s">
        <v>24</v>
      </c>
      <c r="G138" t="s">
        <v>25</v>
      </c>
      <c r="H138" t="s">
        <v>26</v>
      </c>
      <c r="I138">
        <v>9875024</v>
      </c>
      <c r="J138" t="s">
        <v>27</v>
      </c>
      <c r="K138" t="s">
        <v>216</v>
      </c>
      <c r="L138" t="s">
        <v>21</v>
      </c>
    </row>
    <row r="139" spans="1:12">
      <c r="A139" t="s">
        <v>218</v>
      </c>
      <c r="B139" t="s">
        <v>179</v>
      </c>
      <c r="C139" t="s">
        <v>130</v>
      </c>
      <c r="D139">
        <v>1997</v>
      </c>
      <c r="E139" t="s">
        <v>29</v>
      </c>
      <c r="F139" t="s">
        <v>30</v>
      </c>
      <c r="G139" t="s">
        <v>31</v>
      </c>
      <c r="H139" t="s">
        <v>32</v>
      </c>
      <c r="I139">
        <v>2277.1408839999999</v>
      </c>
      <c r="J139" t="s">
        <v>33</v>
      </c>
      <c r="K139" t="s">
        <v>216</v>
      </c>
      <c r="L139" t="s">
        <v>21</v>
      </c>
    </row>
    <row r="140" spans="1:12">
      <c r="A140" t="s">
        <v>219</v>
      </c>
      <c r="B140" t="s">
        <v>179</v>
      </c>
      <c r="C140" t="s">
        <v>130</v>
      </c>
      <c r="D140">
        <v>2002</v>
      </c>
      <c r="E140" t="s">
        <v>15</v>
      </c>
      <c r="F140" t="s">
        <v>16</v>
      </c>
      <c r="G140" t="s">
        <v>17</v>
      </c>
      <c r="H140" t="s">
        <v>18</v>
      </c>
      <c r="I140">
        <v>41.003</v>
      </c>
      <c r="J140" t="s">
        <v>19</v>
      </c>
      <c r="K140" t="s">
        <v>220</v>
      </c>
      <c r="L140" t="s">
        <v>21</v>
      </c>
    </row>
    <row r="141" spans="1:12">
      <c r="A141" t="s">
        <v>221</v>
      </c>
      <c r="B141" t="s">
        <v>179</v>
      </c>
      <c r="C141" t="s">
        <v>130</v>
      </c>
      <c r="D141">
        <v>2002</v>
      </c>
      <c r="E141" t="s">
        <v>23</v>
      </c>
      <c r="F141" t="s">
        <v>24</v>
      </c>
      <c r="G141" t="s">
        <v>25</v>
      </c>
      <c r="H141" t="s">
        <v>26</v>
      </c>
      <c r="I141">
        <v>10866106</v>
      </c>
      <c r="J141" t="s">
        <v>27</v>
      </c>
      <c r="K141" t="s">
        <v>220</v>
      </c>
      <c r="L141" t="s">
        <v>21</v>
      </c>
    </row>
    <row r="142" spans="1:12">
      <c r="A142" t="s">
        <v>222</v>
      </c>
      <c r="B142" t="s">
        <v>179</v>
      </c>
      <c r="C142" t="s">
        <v>130</v>
      </c>
      <c r="D142">
        <v>2002</v>
      </c>
      <c r="E142" t="s">
        <v>29</v>
      </c>
      <c r="F142" t="s">
        <v>30</v>
      </c>
      <c r="G142" t="s">
        <v>31</v>
      </c>
      <c r="H142" t="s">
        <v>32</v>
      </c>
      <c r="I142">
        <v>2773.2873119999999</v>
      </c>
      <c r="J142" t="s">
        <v>33</v>
      </c>
      <c r="K142" t="s">
        <v>220</v>
      </c>
      <c r="L142" t="s">
        <v>21</v>
      </c>
    </row>
    <row r="143" spans="1:12">
      <c r="A143" t="s">
        <v>223</v>
      </c>
      <c r="B143" t="s">
        <v>179</v>
      </c>
      <c r="C143" t="s">
        <v>130</v>
      </c>
      <c r="D143">
        <v>2007</v>
      </c>
      <c r="E143" t="s">
        <v>15</v>
      </c>
      <c r="F143" t="s">
        <v>16</v>
      </c>
      <c r="G143" t="s">
        <v>17</v>
      </c>
      <c r="H143" t="s">
        <v>18</v>
      </c>
      <c r="I143">
        <v>42.731000000000002</v>
      </c>
      <c r="J143" t="s">
        <v>19</v>
      </c>
      <c r="K143" t="s">
        <v>224</v>
      </c>
      <c r="L143" t="s">
        <v>21</v>
      </c>
    </row>
    <row r="144" spans="1:12">
      <c r="A144" t="s">
        <v>225</v>
      </c>
      <c r="B144" t="s">
        <v>179</v>
      </c>
      <c r="C144" t="s">
        <v>130</v>
      </c>
      <c r="D144">
        <v>2007</v>
      </c>
      <c r="E144" t="s">
        <v>23</v>
      </c>
      <c r="F144" t="s">
        <v>24</v>
      </c>
      <c r="G144" t="s">
        <v>25</v>
      </c>
      <c r="H144" t="s">
        <v>26</v>
      </c>
      <c r="I144">
        <v>12420476</v>
      </c>
      <c r="J144" t="s">
        <v>27</v>
      </c>
      <c r="K144" t="s">
        <v>224</v>
      </c>
      <c r="L144" t="s">
        <v>21</v>
      </c>
    </row>
    <row r="145" spans="1:12">
      <c r="A145" t="s">
        <v>226</v>
      </c>
      <c r="B145" t="s">
        <v>179</v>
      </c>
      <c r="C145" t="s">
        <v>130</v>
      </c>
      <c r="D145">
        <v>2007</v>
      </c>
      <c r="E145" t="s">
        <v>29</v>
      </c>
      <c r="F145" t="s">
        <v>30</v>
      </c>
      <c r="G145" t="s">
        <v>31</v>
      </c>
      <c r="H145" t="s">
        <v>32</v>
      </c>
      <c r="I145">
        <v>4797.2312670000001</v>
      </c>
      <c r="J145" t="s">
        <v>33</v>
      </c>
      <c r="K145" t="s">
        <v>224</v>
      </c>
      <c r="L145" t="s">
        <v>21</v>
      </c>
    </row>
    <row r="146" spans="1:12">
      <c r="A146" t="s">
        <v>227</v>
      </c>
      <c r="B146" t="s">
        <v>228</v>
      </c>
      <c r="C146" t="s">
        <v>229</v>
      </c>
      <c r="D146">
        <v>1952</v>
      </c>
      <c r="E146" t="s">
        <v>15</v>
      </c>
      <c r="F146" t="s">
        <v>16</v>
      </c>
      <c r="G146" t="s">
        <v>17</v>
      </c>
      <c r="H146" t="s">
        <v>18</v>
      </c>
      <c r="I146">
        <v>62.484999999999999</v>
      </c>
      <c r="J146" t="s">
        <v>19</v>
      </c>
      <c r="K146" t="s">
        <v>230</v>
      </c>
      <c r="L146" t="s">
        <v>21</v>
      </c>
    </row>
    <row r="147" spans="1:12">
      <c r="A147" t="s">
        <v>231</v>
      </c>
      <c r="B147" t="s">
        <v>228</v>
      </c>
      <c r="C147" t="s">
        <v>229</v>
      </c>
      <c r="D147">
        <v>1952</v>
      </c>
      <c r="E147" t="s">
        <v>23</v>
      </c>
      <c r="F147" t="s">
        <v>24</v>
      </c>
      <c r="G147" t="s">
        <v>25</v>
      </c>
      <c r="H147" t="s">
        <v>26</v>
      </c>
      <c r="I147">
        <v>17876956</v>
      </c>
      <c r="J147" t="s">
        <v>27</v>
      </c>
      <c r="K147" t="s">
        <v>230</v>
      </c>
      <c r="L147" t="s">
        <v>21</v>
      </c>
    </row>
    <row r="148" spans="1:12">
      <c r="A148" t="s">
        <v>232</v>
      </c>
      <c r="B148" t="s">
        <v>228</v>
      </c>
      <c r="C148" t="s">
        <v>229</v>
      </c>
      <c r="D148">
        <v>1952</v>
      </c>
      <c r="E148" t="s">
        <v>29</v>
      </c>
      <c r="F148" t="s">
        <v>30</v>
      </c>
      <c r="G148" t="s">
        <v>31</v>
      </c>
      <c r="H148" t="s">
        <v>32</v>
      </c>
      <c r="I148">
        <v>5911.3150530000003</v>
      </c>
      <c r="J148" t="s">
        <v>33</v>
      </c>
      <c r="K148" t="s">
        <v>230</v>
      </c>
      <c r="L148" t="s">
        <v>21</v>
      </c>
    </row>
    <row r="149" spans="1:12">
      <c r="A149" t="s">
        <v>233</v>
      </c>
      <c r="B149" t="s">
        <v>228</v>
      </c>
      <c r="C149" t="s">
        <v>229</v>
      </c>
      <c r="D149">
        <v>1957</v>
      </c>
      <c r="E149" t="s">
        <v>15</v>
      </c>
      <c r="F149" t="s">
        <v>16</v>
      </c>
      <c r="G149" t="s">
        <v>17</v>
      </c>
      <c r="H149" t="s">
        <v>18</v>
      </c>
      <c r="I149">
        <v>64.399000000000001</v>
      </c>
      <c r="J149" t="s">
        <v>19</v>
      </c>
      <c r="K149" t="s">
        <v>234</v>
      </c>
      <c r="L149" t="s">
        <v>21</v>
      </c>
    </row>
    <row r="150" spans="1:12">
      <c r="A150" t="s">
        <v>235</v>
      </c>
      <c r="B150" t="s">
        <v>228</v>
      </c>
      <c r="C150" t="s">
        <v>229</v>
      </c>
      <c r="D150">
        <v>1957</v>
      </c>
      <c r="E150" t="s">
        <v>23</v>
      </c>
      <c r="F150" t="s">
        <v>24</v>
      </c>
      <c r="G150" t="s">
        <v>25</v>
      </c>
      <c r="H150" t="s">
        <v>26</v>
      </c>
      <c r="I150">
        <v>19610538</v>
      </c>
      <c r="J150" t="s">
        <v>27</v>
      </c>
      <c r="K150" t="s">
        <v>234</v>
      </c>
      <c r="L150" t="s">
        <v>21</v>
      </c>
    </row>
    <row r="151" spans="1:12">
      <c r="A151" t="s">
        <v>236</v>
      </c>
      <c r="B151" t="s">
        <v>228</v>
      </c>
      <c r="C151" t="s">
        <v>229</v>
      </c>
      <c r="D151">
        <v>1957</v>
      </c>
      <c r="E151" t="s">
        <v>29</v>
      </c>
      <c r="F151" t="s">
        <v>30</v>
      </c>
      <c r="G151" t="s">
        <v>31</v>
      </c>
      <c r="H151" t="s">
        <v>32</v>
      </c>
      <c r="I151">
        <v>6856.8562119999997</v>
      </c>
      <c r="J151" t="s">
        <v>33</v>
      </c>
      <c r="K151" t="s">
        <v>234</v>
      </c>
      <c r="L151" t="s">
        <v>21</v>
      </c>
    </row>
    <row r="152" spans="1:12">
      <c r="A152" t="s">
        <v>237</v>
      </c>
      <c r="B152" t="s">
        <v>228</v>
      </c>
      <c r="C152" t="s">
        <v>229</v>
      </c>
      <c r="D152">
        <v>1962</v>
      </c>
      <c r="E152" t="s">
        <v>15</v>
      </c>
      <c r="F152" t="s">
        <v>16</v>
      </c>
      <c r="G152" t="s">
        <v>17</v>
      </c>
      <c r="H152" t="s">
        <v>18</v>
      </c>
      <c r="I152">
        <v>65.141999999999996</v>
      </c>
      <c r="J152" t="s">
        <v>19</v>
      </c>
      <c r="K152" t="s">
        <v>238</v>
      </c>
      <c r="L152" t="s">
        <v>21</v>
      </c>
    </row>
    <row r="153" spans="1:12">
      <c r="A153" t="s">
        <v>239</v>
      </c>
      <c r="B153" t="s">
        <v>228</v>
      </c>
      <c r="C153" t="s">
        <v>229</v>
      </c>
      <c r="D153">
        <v>1962</v>
      </c>
      <c r="E153" t="s">
        <v>23</v>
      </c>
      <c r="F153" t="s">
        <v>24</v>
      </c>
      <c r="G153" t="s">
        <v>25</v>
      </c>
      <c r="H153" t="s">
        <v>26</v>
      </c>
      <c r="I153">
        <v>21283783</v>
      </c>
      <c r="J153" t="s">
        <v>27</v>
      </c>
      <c r="K153" t="s">
        <v>238</v>
      </c>
      <c r="L153" t="s">
        <v>21</v>
      </c>
    </row>
    <row r="154" spans="1:12">
      <c r="A154" t="s">
        <v>240</v>
      </c>
      <c r="B154" t="s">
        <v>228</v>
      </c>
      <c r="C154" t="s">
        <v>229</v>
      </c>
      <c r="D154">
        <v>1962</v>
      </c>
      <c r="E154" t="s">
        <v>29</v>
      </c>
      <c r="F154" t="s">
        <v>30</v>
      </c>
      <c r="G154" t="s">
        <v>31</v>
      </c>
      <c r="H154" t="s">
        <v>32</v>
      </c>
      <c r="I154">
        <v>7133.1660229999998</v>
      </c>
      <c r="J154" t="s">
        <v>33</v>
      </c>
      <c r="K154" t="s">
        <v>238</v>
      </c>
      <c r="L154" t="s">
        <v>21</v>
      </c>
    </row>
    <row r="155" spans="1:12">
      <c r="A155" t="s">
        <v>241</v>
      </c>
      <c r="B155" t="s">
        <v>228</v>
      </c>
      <c r="C155" t="s">
        <v>229</v>
      </c>
      <c r="D155">
        <v>1967</v>
      </c>
      <c r="E155" t="s">
        <v>15</v>
      </c>
      <c r="F155" t="s">
        <v>16</v>
      </c>
      <c r="G155" t="s">
        <v>17</v>
      </c>
      <c r="H155" t="s">
        <v>18</v>
      </c>
      <c r="I155">
        <v>65.634</v>
      </c>
      <c r="J155" t="s">
        <v>19</v>
      </c>
      <c r="K155" t="s">
        <v>242</v>
      </c>
      <c r="L155" t="s">
        <v>21</v>
      </c>
    </row>
    <row r="156" spans="1:12">
      <c r="A156" t="s">
        <v>243</v>
      </c>
      <c r="B156" t="s">
        <v>228</v>
      </c>
      <c r="C156" t="s">
        <v>229</v>
      </c>
      <c r="D156">
        <v>1967</v>
      </c>
      <c r="E156" t="s">
        <v>23</v>
      </c>
      <c r="F156" t="s">
        <v>24</v>
      </c>
      <c r="G156" t="s">
        <v>25</v>
      </c>
      <c r="H156" t="s">
        <v>26</v>
      </c>
      <c r="I156">
        <v>22934225</v>
      </c>
      <c r="J156" t="s">
        <v>27</v>
      </c>
      <c r="K156" t="s">
        <v>242</v>
      </c>
      <c r="L156" t="s">
        <v>21</v>
      </c>
    </row>
    <row r="157" spans="1:12">
      <c r="A157" t="s">
        <v>244</v>
      </c>
      <c r="B157" t="s">
        <v>228</v>
      </c>
      <c r="C157" t="s">
        <v>229</v>
      </c>
      <c r="D157">
        <v>1967</v>
      </c>
      <c r="E157" t="s">
        <v>29</v>
      </c>
      <c r="F157" t="s">
        <v>30</v>
      </c>
      <c r="G157" t="s">
        <v>31</v>
      </c>
      <c r="H157" t="s">
        <v>32</v>
      </c>
      <c r="I157">
        <v>8052.9530209999903</v>
      </c>
      <c r="J157" t="s">
        <v>33</v>
      </c>
      <c r="K157" t="s">
        <v>242</v>
      </c>
      <c r="L157" t="s">
        <v>21</v>
      </c>
    </row>
    <row r="158" spans="1:12">
      <c r="A158" t="s">
        <v>245</v>
      </c>
      <c r="B158" t="s">
        <v>228</v>
      </c>
      <c r="C158" t="s">
        <v>229</v>
      </c>
      <c r="D158">
        <v>1972</v>
      </c>
      <c r="E158" t="s">
        <v>15</v>
      </c>
      <c r="F158" t="s">
        <v>16</v>
      </c>
      <c r="G158" t="s">
        <v>17</v>
      </c>
      <c r="H158" t="s">
        <v>18</v>
      </c>
      <c r="I158">
        <v>67.064999999999998</v>
      </c>
      <c r="J158" t="s">
        <v>19</v>
      </c>
      <c r="K158" t="s">
        <v>246</v>
      </c>
      <c r="L158" t="s">
        <v>21</v>
      </c>
    </row>
    <row r="159" spans="1:12">
      <c r="A159" t="s">
        <v>247</v>
      </c>
      <c r="B159" t="s">
        <v>228</v>
      </c>
      <c r="C159" t="s">
        <v>229</v>
      </c>
      <c r="D159">
        <v>1972</v>
      </c>
      <c r="E159" t="s">
        <v>23</v>
      </c>
      <c r="F159" t="s">
        <v>24</v>
      </c>
      <c r="G159" t="s">
        <v>25</v>
      </c>
      <c r="H159" t="s">
        <v>26</v>
      </c>
      <c r="I159">
        <v>24779799</v>
      </c>
      <c r="J159" t="s">
        <v>27</v>
      </c>
      <c r="K159" t="s">
        <v>246</v>
      </c>
      <c r="L159" t="s">
        <v>21</v>
      </c>
    </row>
    <row r="160" spans="1:12">
      <c r="A160" t="s">
        <v>248</v>
      </c>
      <c r="B160" t="s">
        <v>228</v>
      </c>
      <c r="C160" t="s">
        <v>229</v>
      </c>
      <c r="D160">
        <v>1972</v>
      </c>
      <c r="E160" t="s">
        <v>29</v>
      </c>
      <c r="F160" t="s">
        <v>30</v>
      </c>
      <c r="G160" t="s">
        <v>31</v>
      </c>
      <c r="H160" t="s">
        <v>32</v>
      </c>
      <c r="I160">
        <v>9443.0385260000003</v>
      </c>
      <c r="J160" t="s">
        <v>33</v>
      </c>
      <c r="K160" t="s">
        <v>246</v>
      </c>
      <c r="L160" t="s">
        <v>21</v>
      </c>
    </row>
    <row r="161" spans="1:12">
      <c r="A161" t="s">
        <v>249</v>
      </c>
      <c r="B161" t="s">
        <v>228</v>
      </c>
      <c r="C161" t="s">
        <v>229</v>
      </c>
      <c r="D161">
        <v>1977</v>
      </c>
      <c r="E161" t="s">
        <v>15</v>
      </c>
      <c r="F161" t="s">
        <v>16</v>
      </c>
      <c r="G161" t="s">
        <v>17</v>
      </c>
      <c r="H161" t="s">
        <v>18</v>
      </c>
      <c r="I161">
        <v>68.480999999999995</v>
      </c>
      <c r="J161" t="s">
        <v>19</v>
      </c>
      <c r="K161" t="s">
        <v>250</v>
      </c>
      <c r="L161" t="s">
        <v>21</v>
      </c>
    </row>
    <row r="162" spans="1:12">
      <c r="A162" t="s">
        <v>251</v>
      </c>
      <c r="B162" t="s">
        <v>228</v>
      </c>
      <c r="C162" t="s">
        <v>229</v>
      </c>
      <c r="D162">
        <v>1977</v>
      </c>
      <c r="E162" t="s">
        <v>23</v>
      </c>
      <c r="F162" t="s">
        <v>24</v>
      </c>
      <c r="G162" t="s">
        <v>25</v>
      </c>
      <c r="H162" t="s">
        <v>26</v>
      </c>
      <c r="I162">
        <v>26983828</v>
      </c>
      <c r="J162" t="s">
        <v>27</v>
      </c>
      <c r="K162" t="s">
        <v>250</v>
      </c>
      <c r="L162" t="s">
        <v>21</v>
      </c>
    </row>
    <row r="163" spans="1:12">
      <c r="A163" t="s">
        <v>252</v>
      </c>
      <c r="B163" t="s">
        <v>228</v>
      </c>
      <c r="C163" t="s">
        <v>229</v>
      </c>
      <c r="D163">
        <v>1977</v>
      </c>
      <c r="E163" t="s">
        <v>29</v>
      </c>
      <c r="F163" t="s">
        <v>30</v>
      </c>
      <c r="G163" t="s">
        <v>31</v>
      </c>
      <c r="H163" t="s">
        <v>32</v>
      </c>
      <c r="I163">
        <v>10079.026739999999</v>
      </c>
      <c r="J163" t="s">
        <v>33</v>
      </c>
      <c r="K163" t="s">
        <v>250</v>
      </c>
      <c r="L163" t="s">
        <v>21</v>
      </c>
    </row>
    <row r="164" spans="1:12">
      <c r="A164" t="s">
        <v>253</v>
      </c>
      <c r="B164" t="s">
        <v>228</v>
      </c>
      <c r="C164" t="s">
        <v>229</v>
      </c>
      <c r="D164">
        <v>1982</v>
      </c>
      <c r="E164" t="s">
        <v>15</v>
      </c>
      <c r="F164" t="s">
        <v>16</v>
      </c>
      <c r="G164" t="s">
        <v>17</v>
      </c>
      <c r="H164" t="s">
        <v>18</v>
      </c>
      <c r="I164">
        <v>69.941999999999993</v>
      </c>
      <c r="J164" t="s">
        <v>19</v>
      </c>
      <c r="K164" t="s">
        <v>254</v>
      </c>
      <c r="L164" t="s">
        <v>21</v>
      </c>
    </row>
    <row r="165" spans="1:12">
      <c r="A165" t="s">
        <v>255</v>
      </c>
      <c r="B165" t="s">
        <v>228</v>
      </c>
      <c r="C165" t="s">
        <v>229</v>
      </c>
      <c r="D165">
        <v>1982</v>
      </c>
      <c r="E165" t="s">
        <v>23</v>
      </c>
      <c r="F165" t="s">
        <v>24</v>
      </c>
      <c r="G165" t="s">
        <v>25</v>
      </c>
      <c r="H165" t="s">
        <v>26</v>
      </c>
      <c r="I165">
        <v>29341374</v>
      </c>
      <c r="J165" t="s">
        <v>27</v>
      </c>
      <c r="K165" t="s">
        <v>254</v>
      </c>
      <c r="L165" t="s">
        <v>21</v>
      </c>
    </row>
    <row r="166" spans="1:12">
      <c r="A166" t="s">
        <v>256</v>
      </c>
      <c r="B166" t="s">
        <v>228</v>
      </c>
      <c r="C166" t="s">
        <v>229</v>
      </c>
      <c r="D166">
        <v>1982</v>
      </c>
      <c r="E166" t="s">
        <v>29</v>
      </c>
      <c r="F166" t="s">
        <v>30</v>
      </c>
      <c r="G166" t="s">
        <v>31</v>
      </c>
      <c r="H166" t="s">
        <v>32</v>
      </c>
      <c r="I166">
        <v>8997.8974120000003</v>
      </c>
      <c r="J166" t="s">
        <v>33</v>
      </c>
      <c r="K166" t="s">
        <v>254</v>
      </c>
      <c r="L166" t="s">
        <v>21</v>
      </c>
    </row>
    <row r="167" spans="1:12">
      <c r="A167" t="s">
        <v>257</v>
      </c>
      <c r="B167" t="s">
        <v>228</v>
      </c>
      <c r="C167" t="s">
        <v>229</v>
      </c>
      <c r="D167">
        <v>1987</v>
      </c>
      <c r="E167" t="s">
        <v>15</v>
      </c>
      <c r="F167" t="s">
        <v>16</v>
      </c>
      <c r="G167" t="s">
        <v>17</v>
      </c>
      <c r="H167" t="s">
        <v>18</v>
      </c>
      <c r="I167">
        <v>70.774000000000001</v>
      </c>
      <c r="J167" t="s">
        <v>19</v>
      </c>
      <c r="K167" t="s">
        <v>258</v>
      </c>
      <c r="L167" t="s">
        <v>21</v>
      </c>
    </row>
    <row r="168" spans="1:12">
      <c r="A168" t="s">
        <v>259</v>
      </c>
      <c r="B168" t="s">
        <v>228</v>
      </c>
      <c r="C168" t="s">
        <v>229</v>
      </c>
      <c r="D168">
        <v>1987</v>
      </c>
      <c r="E168" t="s">
        <v>23</v>
      </c>
      <c r="F168" t="s">
        <v>24</v>
      </c>
      <c r="G168" t="s">
        <v>25</v>
      </c>
      <c r="H168" t="s">
        <v>26</v>
      </c>
      <c r="I168">
        <v>31620918</v>
      </c>
      <c r="J168" t="s">
        <v>27</v>
      </c>
      <c r="K168" t="s">
        <v>258</v>
      </c>
      <c r="L168" t="s">
        <v>21</v>
      </c>
    </row>
    <row r="169" spans="1:12">
      <c r="A169" t="s">
        <v>260</v>
      </c>
      <c r="B169" t="s">
        <v>228</v>
      </c>
      <c r="C169" t="s">
        <v>229</v>
      </c>
      <c r="D169">
        <v>1987</v>
      </c>
      <c r="E169" t="s">
        <v>29</v>
      </c>
      <c r="F169" t="s">
        <v>30</v>
      </c>
      <c r="G169" t="s">
        <v>31</v>
      </c>
      <c r="H169" t="s">
        <v>32</v>
      </c>
      <c r="I169">
        <v>9139.6713889999992</v>
      </c>
      <c r="J169" t="s">
        <v>33</v>
      </c>
      <c r="K169" t="s">
        <v>258</v>
      </c>
      <c r="L169" t="s">
        <v>21</v>
      </c>
    </row>
    <row r="170" spans="1:12">
      <c r="A170" t="s">
        <v>261</v>
      </c>
      <c r="B170" t="s">
        <v>228</v>
      </c>
      <c r="C170" t="s">
        <v>229</v>
      </c>
      <c r="D170">
        <v>1992</v>
      </c>
      <c r="E170" t="s">
        <v>15</v>
      </c>
      <c r="F170" t="s">
        <v>16</v>
      </c>
      <c r="G170" t="s">
        <v>17</v>
      </c>
      <c r="H170" t="s">
        <v>18</v>
      </c>
      <c r="I170">
        <v>71.867999999999995</v>
      </c>
      <c r="J170" t="s">
        <v>19</v>
      </c>
      <c r="K170" t="s">
        <v>262</v>
      </c>
      <c r="L170" t="s">
        <v>21</v>
      </c>
    </row>
    <row r="171" spans="1:12">
      <c r="A171" t="s">
        <v>263</v>
      </c>
      <c r="B171" t="s">
        <v>228</v>
      </c>
      <c r="C171" t="s">
        <v>229</v>
      </c>
      <c r="D171">
        <v>1992</v>
      </c>
      <c r="E171" t="s">
        <v>23</v>
      </c>
      <c r="F171" t="s">
        <v>24</v>
      </c>
      <c r="G171" t="s">
        <v>25</v>
      </c>
      <c r="H171" t="s">
        <v>26</v>
      </c>
      <c r="I171">
        <v>33958947</v>
      </c>
      <c r="J171" t="s">
        <v>27</v>
      </c>
      <c r="K171" t="s">
        <v>262</v>
      </c>
      <c r="L171" t="s">
        <v>21</v>
      </c>
    </row>
    <row r="172" spans="1:12">
      <c r="A172" t="s">
        <v>264</v>
      </c>
      <c r="B172" t="s">
        <v>228</v>
      </c>
      <c r="C172" t="s">
        <v>229</v>
      </c>
      <c r="D172">
        <v>1992</v>
      </c>
      <c r="E172" t="s">
        <v>29</v>
      </c>
      <c r="F172" t="s">
        <v>30</v>
      </c>
      <c r="G172" t="s">
        <v>31</v>
      </c>
      <c r="H172" t="s">
        <v>32</v>
      </c>
      <c r="I172">
        <v>9308.4187099999999</v>
      </c>
      <c r="J172" t="s">
        <v>33</v>
      </c>
      <c r="K172" t="s">
        <v>262</v>
      </c>
      <c r="L172" t="s">
        <v>21</v>
      </c>
    </row>
    <row r="173" spans="1:12">
      <c r="A173" t="s">
        <v>265</v>
      </c>
      <c r="B173" t="s">
        <v>228</v>
      </c>
      <c r="C173" t="s">
        <v>229</v>
      </c>
      <c r="D173">
        <v>1997</v>
      </c>
      <c r="E173" t="s">
        <v>15</v>
      </c>
      <c r="F173" t="s">
        <v>16</v>
      </c>
      <c r="G173" t="s">
        <v>17</v>
      </c>
      <c r="H173" t="s">
        <v>18</v>
      </c>
      <c r="I173">
        <v>73.275000000000006</v>
      </c>
      <c r="J173" t="s">
        <v>19</v>
      </c>
      <c r="K173" t="s">
        <v>266</v>
      </c>
      <c r="L173" t="s">
        <v>21</v>
      </c>
    </row>
    <row r="174" spans="1:12">
      <c r="A174" t="s">
        <v>267</v>
      </c>
      <c r="B174" t="s">
        <v>228</v>
      </c>
      <c r="C174" t="s">
        <v>229</v>
      </c>
      <c r="D174">
        <v>1997</v>
      </c>
      <c r="E174" t="s">
        <v>23</v>
      </c>
      <c r="F174" t="s">
        <v>24</v>
      </c>
      <c r="G174" t="s">
        <v>25</v>
      </c>
      <c r="H174" t="s">
        <v>26</v>
      </c>
      <c r="I174">
        <v>36203463</v>
      </c>
      <c r="J174" t="s">
        <v>27</v>
      </c>
      <c r="K174" t="s">
        <v>266</v>
      </c>
      <c r="L174" t="s">
        <v>21</v>
      </c>
    </row>
    <row r="175" spans="1:12">
      <c r="A175" t="s">
        <v>268</v>
      </c>
      <c r="B175" t="s">
        <v>228</v>
      </c>
      <c r="C175" t="s">
        <v>229</v>
      </c>
      <c r="D175">
        <v>1997</v>
      </c>
      <c r="E175" t="s">
        <v>29</v>
      </c>
      <c r="F175" t="s">
        <v>30</v>
      </c>
      <c r="G175" t="s">
        <v>31</v>
      </c>
      <c r="H175" t="s">
        <v>32</v>
      </c>
      <c r="I175">
        <v>10967.281950000001</v>
      </c>
      <c r="J175" t="s">
        <v>33</v>
      </c>
      <c r="K175" t="s">
        <v>266</v>
      </c>
      <c r="L175" t="s">
        <v>21</v>
      </c>
    </row>
    <row r="176" spans="1:12">
      <c r="A176" t="s">
        <v>269</v>
      </c>
      <c r="B176" t="s">
        <v>228</v>
      </c>
      <c r="C176" t="s">
        <v>229</v>
      </c>
      <c r="D176">
        <v>2002</v>
      </c>
      <c r="E176" t="s">
        <v>15</v>
      </c>
      <c r="F176" t="s">
        <v>16</v>
      </c>
      <c r="G176" t="s">
        <v>17</v>
      </c>
      <c r="H176" t="s">
        <v>18</v>
      </c>
      <c r="I176">
        <v>74.34</v>
      </c>
      <c r="J176" t="s">
        <v>19</v>
      </c>
      <c r="K176" t="s">
        <v>270</v>
      </c>
      <c r="L176" t="s">
        <v>21</v>
      </c>
    </row>
    <row r="177" spans="1:12">
      <c r="A177" t="s">
        <v>271</v>
      </c>
      <c r="B177" t="s">
        <v>228</v>
      </c>
      <c r="C177" t="s">
        <v>229</v>
      </c>
      <c r="D177">
        <v>2002</v>
      </c>
      <c r="E177" t="s">
        <v>23</v>
      </c>
      <c r="F177" t="s">
        <v>24</v>
      </c>
      <c r="G177" t="s">
        <v>25</v>
      </c>
      <c r="H177" t="s">
        <v>26</v>
      </c>
      <c r="I177">
        <v>38331121</v>
      </c>
      <c r="J177" t="s">
        <v>27</v>
      </c>
      <c r="K177" t="s">
        <v>270</v>
      </c>
      <c r="L177" t="s">
        <v>21</v>
      </c>
    </row>
    <row r="178" spans="1:12">
      <c r="A178" t="s">
        <v>272</v>
      </c>
      <c r="B178" t="s">
        <v>228</v>
      </c>
      <c r="C178" t="s">
        <v>229</v>
      </c>
      <c r="D178">
        <v>2002</v>
      </c>
      <c r="E178" t="s">
        <v>29</v>
      </c>
      <c r="F178" t="s">
        <v>30</v>
      </c>
      <c r="G178" t="s">
        <v>31</v>
      </c>
      <c r="H178" t="s">
        <v>32</v>
      </c>
      <c r="I178">
        <v>8797.6407159999999</v>
      </c>
      <c r="J178" t="s">
        <v>33</v>
      </c>
      <c r="K178" t="s">
        <v>270</v>
      </c>
      <c r="L178" t="s">
        <v>21</v>
      </c>
    </row>
    <row r="179" spans="1:12">
      <c r="A179" t="s">
        <v>273</v>
      </c>
      <c r="B179" t="s">
        <v>228</v>
      </c>
      <c r="C179" t="s">
        <v>229</v>
      </c>
      <c r="D179">
        <v>2007</v>
      </c>
      <c r="E179" t="s">
        <v>15</v>
      </c>
      <c r="F179" t="s">
        <v>16</v>
      </c>
      <c r="G179" t="s">
        <v>17</v>
      </c>
      <c r="H179" t="s">
        <v>18</v>
      </c>
      <c r="I179">
        <v>75.319999999999993</v>
      </c>
      <c r="J179" t="s">
        <v>19</v>
      </c>
      <c r="K179" t="s">
        <v>274</v>
      </c>
      <c r="L179" t="s">
        <v>21</v>
      </c>
    </row>
    <row r="180" spans="1:12">
      <c r="A180" t="s">
        <v>275</v>
      </c>
      <c r="B180" t="s">
        <v>228</v>
      </c>
      <c r="C180" t="s">
        <v>229</v>
      </c>
      <c r="D180">
        <v>2007</v>
      </c>
      <c r="E180" t="s">
        <v>23</v>
      </c>
      <c r="F180" t="s">
        <v>24</v>
      </c>
      <c r="G180" t="s">
        <v>25</v>
      </c>
      <c r="H180" t="s">
        <v>26</v>
      </c>
      <c r="I180">
        <v>40301927</v>
      </c>
      <c r="J180" t="s">
        <v>27</v>
      </c>
      <c r="K180" t="s">
        <v>274</v>
      </c>
      <c r="L180" t="s">
        <v>21</v>
      </c>
    </row>
    <row r="181" spans="1:12">
      <c r="A181" t="s">
        <v>276</v>
      </c>
      <c r="B181" t="s">
        <v>228</v>
      </c>
      <c r="C181" t="s">
        <v>229</v>
      </c>
      <c r="D181">
        <v>2007</v>
      </c>
      <c r="E181" t="s">
        <v>29</v>
      </c>
      <c r="F181" t="s">
        <v>30</v>
      </c>
      <c r="G181" t="s">
        <v>31</v>
      </c>
      <c r="H181" t="s">
        <v>32</v>
      </c>
      <c r="I181">
        <v>12779.379639999999</v>
      </c>
      <c r="J181" t="s">
        <v>33</v>
      </c>
      <c r="K181" t="s">
        <v>274</v>
      </c>
      <c r="L181" t="s">
        <v>21</v>
      </c>
    </row>
    <row r="182" spans="1:12">
      <c r="A182" t="s">
        <v>277</v>
      </c>
      <c r="B182" t="s">
        <v>278</v>
      </c>
      <c r="C182" t="s">
        <v>279</v>
      </c>
      <c r="D182">
        <v>1952</v>
      </c>
      <c r="E182" t="s">
        <v>15</v>
      </c>
      <c r="F182" t="s">
        <v>16</v>
      </c>
      <c r="G182" t="s">
        <v>17</v>
      </c>
      <c r="H182" t="s">
        <v>18</v>
      </c>
      <c r="I182">
        <v>69.12</v>
      </c>
      <c r="J182" t="s">
        <v>19</v>
      </c>
      <c r="K182" t="s">
        <v>280</v>
      </c>
      <c r="L182" t="s">
        <v>21</v>
      </c>
    </row>
    <row r="183" spans="1:12">
      <c r="A183" t="s">
        <v>281</v>
      </c>
      <c r="B183" t="s">
        <v>278</v>
      </c>
      <c r="C183" t="s">
        <v>279</v>
      </c>
      <c r="D183">
        <v>1952</v>
      </c>
      <c r="E183" t="s">
        <v>23</v>
      </c>
      <c r="F183" t="s">
        <v>24</v>
      </c>
      <c r="G183" t="s">
        <v>25</v>
      </c>
      <c r="H183" t="s">
        <v>26</v>
      </c>
      <c r="I183">
        <v>8691212</v>
      </c>
      <c r="J183" t="s">
        <v>27</v>
      </c>
      <c r="K183" t="s">
        <v>280</v>
      </c>
      <c r="L183" t="s">
        <v>21</v>
      </c>
    </row>
    <row r="184" spans="1:12">
      <c r="A184" t="s">
        <v>282</v>
      </c>
      <c r="B184" t="s">
        <v>278</v>
      </c>
      <c r="C184" t="s">
        <v>279</v>
      </c>
      <c r="D184">
        <v>1952</v>
      </c>
      <c r="E184" t="s">
        <v>29</v>
      </c>
      <c r="F184" t="s">
        <v>30</v>
      </c>
      <c r="G184" t="s">
        <v>31</v>
      </c>
      <c r="H184" t="s">
        <v>32</v>
      </c>
      <c r="I184">
        <v>10039.59564</v>
      </c>
      <c r="J184" t="s">
        <v>33</v>
      </c>
      <c r="K184" t="s">
        <v>280</v>
      </c>
      <c r="L184" t="s">
        <v>21</v>
      </c>
    </row>
    <row r="185" spans="1:12">
      <c r="A185" t="s">
        <v>283</v>
      </c>
      <c r="B185" t="s">
        <v>278</v>
      </c>
      <c r="C185" t="s">
        <v>279</v>
      </c>
      <c r="D185">
        <v>1957</v>
      </c>
      <c r="E185" t="s">
        <v>15</v>
      </c>
      <c r="F185" t="s">
        <v>16</v>
      </c>
      <c r="G185" t="s">
        <v>17</v>
      </c>
      <c r="H185" t="s">
        <v>18</v>
      </c>
      <c r="I185">
        <v>70.33</v>
      </c>
      <c r="J185" t="s">
        <v>19</v>
      </c>
      <c r="K185" t="s">
        <v>284</v>
      </c>
      <c r="L185" t="s">
        <v>21</v>
      </c>
    </row>
    <row r="186" spans="1:12">
      <c r="A186" t="s">
        <v>285</v>
      </c>
      <c r="B186" t="s">
        <v>278</v>
      </c>
      <c r="C186" t="s">
        <v>279</v>
      </c>
      <c r="D186">
        <v>1957</v>
      </c>
      <c r="E186" t="s">
        <v>23</v>
      </c>
      <c r="F186" t="s">
        <v>24</v>
      </c>
      <c r="G186" t="s">
        <v>25</v>
      </c>
      <c r="H186" t="s">
        <v>26</v>
      </c>
      <c r="I186">
        <v>9712569</v>
      </c>
      <c r="J186" t="s">
        <v>27</v>
      </c>
      <c r="K186" t="s">
        <v>284</v>
      </c>
      <c r="L186" t="s">
        <v>21</v>
      </c>
    </row>
    <row r="187" spans="1:12">
      <c r="A187" t="s">
        <v>286</v>
      </c>
      <c r="B187" t="s">
        <v>278</v>
      </c>
      <c r="C187" t="s">
        <v>279</v>
      </c>
      <c r="D187">
        <v>1957</v>
      </c>
      <c r="E187" t="s">
        <v>29</v>
      </c>
      <c r="F187" t="s">
        <v>30</v>
      </c>
      <c r="G187" t="s">
        <v>31</v>
      </c>
      <c r="H187" t="s">
        <v>32</v>
      </c>
      <c r="I187">
        <v>10949.649590000001</v>
      </c>
      <c r="J187" t="s">
        <v>33</v>
      </c>
      <c r="K187" t="s">
        <v>284</v>
      </c>
      <c r="L187" t="s">
        <v>21</v>
      </c>
    </row>
    <row r="188" spans="1:12">
      <c r="A188" t="s">
        <v>287</v>
      </c>
      <c r="B188" t="s">
        <v>278</v>
      </c>
      <c r="C188" t="s">
        <v>279</v>
      </c>
      <c r="D188">
        <v>1962</v>
      </c>
      <c r="E188" t="s">
        <v>15</v>
      </c>
      <c r="F188" t="s">
        <v>16</v>
      </c>
      <c r="G188" t="s">
        <v>17</v>
      </c>
      <c r="H188" t="s">
        <v>18</v>
      </c>
      <c r="I188">
        <v>70.930000000000007</v>
      </c>
      <c r="J188" t="s">
        <v>19</v>
      </c>
      <c r="K188" t="s">
        <v>288</v>
      </c>
      <c r="L188" t="s">
        <v>21</v>
      </c>
    </row>
    <row r="189" spans="1:12">
      <c r="A189" t="s">
        <v>289</v>
      </c>
      <c r="B189" t="s">
        <v>278</v>
      </c>
      <c r="C189" t="s">
        <v>279</v>
      </c>
      <c r="D189">
        <v>1962</v>
      </c>
      <c r="E189" t="s">
        <v>23</v>
      </c>
      <c r="F189" t="s">
        <v>24</v>
      </c>
      <c r="G189" t="s">
        <v>25</v>
      </c>
      <c r="H189" t="s">
        <v>26</v>
      </c>
      <c r="I189">
        <v>10794968</v>
      </c>
      <c r="J189" t="s">
        <v>27</v>
      </c>
      <c r="K189" t="s">
        <v>288</v>
      </c>
      <c r="L189" t="s">
        <v>21</v>
      </c>
    </row>
    <row r="190" spans="1:12">
      <c r="A190" t="s">
        <v>290</v>
      </c>
      <c r="B190" t="s">
        <v>278</v>
      </c>
      <c r="C190" t="s">
        <v>279</v>
      </c>
      <c r="D190">
        <v>1962</v>
      </c>
      <c r="E190" t="s">
        <v>29</v>
      </c>
      <c r="F190" t="s">
        <v>30</v>
      </c>
      <c r="G190" t="s">
        <v>31</v>
      </c>
      <c r="H190" t="s">
        <v>32</v>
      </c>
      <c r="I190">
        <v>12217.226860000001</v>
      </c>
      <c r="J190" t="s">
        <v>33</v>
      </c>
      <c r="K190" t="s">
        <v>288</v>
      </c>
      <c r="L190" t="s">
        <v>21</v>
      </c>
    </row>
    <row r="191" spans="1:12">
      <c r="A191" t="s">
        <v>291</v>
      </c>
      <c r="B191" t="s">
        <v>278</v>
      </c>
      <c r="C191" t="s">
        <v>279</v>
      </c>
      <c r="D191">
        <v>1967</v>
      </c>
      <c r="E191" t="s">
        <v>15</v>
      </c>
      <c r="F191" t="s">
        <v>16</v>
      </c>
      <c r="G191" t="s">
        <v>17</v>
      </c>
      <c r="H191" t="s">
        <v>18</v>
      </c>
      <c r="I191">
        <v>71.099999999999994</v>
      </c>
      <c r="J191" t="s">
        <v>19</v>
      </c>
      <c r="K191" t="s">
        <v>292</v>
      </c>
      <c r="L191" t="s">
        <v>21</v>
      </c>
    </row>
    <row r="192" spans="1:12">
      <c r="A192" t="s">
        <v>293</v>
      </c>
      <c r="B192" t="s">
        <v>278</v>
      </c>
      <c r="C192" t="s">
        <v>279</v>
      </c>
      <c r="D192">
        <v>1967</v>
      </c>
      <c r="E192" t="s">
        <v>23</v>
      </c>
      <c r="F192" t="s">
        <v>24</v>
      </c>
      <c r="G192" t="s">
        <v>25</v>
      </c>
      <c r="H192" t="s">
        <v>26</v>
      </c>
      <c r="I192">
        <v>11872264</v>
      </c>
      <c r="J192" t="s">
        <v>27</v>
      </c>
      <c r="K192" t="s">
        <v>292</v>
      </c>
      <c r="L192" t="s">
        <v>21</v>
      </c>
    </row>
    <row r="193" spans="1:12">
      <c r="A193" t="s">
        <v>294</v>
      </c>
      <c r="B193" t="s">
        <v>278</v>
      </c>
      <c r="C193" t="s">
        <v>279</v>
      </c>
      <c r="D193">
        <v>1967</v>
      </c>
      <c r="E193" t="s">
        <v>29</v>
      </c>
      <c r="F193" t="s">
        <v>30</v>
      </c>
      <c r="G193" t="s">
        <v>31</v>
      </c>
      <c r="H193" t="s">
        <v>32</v>
      </c>
      <c r="I193">
        <v>14526.12465</v>
      </c>
      <c r="J193" t="s">
        <v>33</v>
      </c>
      <c r="K193" t="s">
        <v>292</v>
      </c>
      <c r="L193" t="s">
        <v>21</v>
      </c>
    </row>
    <row r="194" spans="1:12">
      <c r="A194" t="s">
        <v>295</v>
      </c>
      <c r="B194" t="s">
        <v>278</v>
      </c>
      <c r="C194" t="s">
        <v>279</v>
      </c>
      <c r="D194">
        <v>1972</v>
      </c>
      <c r="E194" t="s">
        <v>15</v>
      </c>
      <c r="F194" t="s">
        <v>16</v>
      </c>
      <c r="G194" t="s">
        <v>17</v>
      </c>
      <c r="H194" t="s">
        <v>18</v>
      </c>
      <c r="I194">
        <v>71.930000000000007</v>
      </c>
      <c r="J194" t="s">
        <v>19</v>
      </c>
      <c r="K194" t="s">
        <v>296</v>
      </c>
      <c r="L194" t="s">
        <v>21</v>
      </c>
    </row>
    <row r="195" spans="1:12">
      <c r="A195" t="s">
        <v>297</v>
      </c>
      <c r="B195" t="s">
        <v>278</v>
      </c>
      <c r="C195" t="s">
        <v>279</v>
      </c>
      <c r="D195">
        <v>1972</v>
      </c>
      <c r="E195" t="s">
        <v>23</v>
      </c>
      <c r="F195" t="s">
        <v>24</v>
      </c>
      <c r="G195" t="s">
        <v>25</v>
      </c>
      <c r="H195" t="s">
        <v>26</v>
      </c>
      <c r="I195">
        <v>13177000</v>
      </c>
      <c r="J195" t="s">
        <v>27</v>
      </c>
      <c r="K195" t="s">
        <v>296</v>
      </c>
      <c r="L195" t="s">
        <v>21</v>
      </c>
    </row>
    <row r="196" spans="1:12">
      <c r="A196" t="s">
        <v>298</v>
      </c>
      <c r="B196" t="s">
        <v>278</v>
      </c>
      <c r="C196" t="s">
        <v>279</v>
      </c>
      <c r="D196">
        <v>1972</v>
      </c>
      <c r="E196" t="s">
        <v>29</v>
      </c>
      <c r="F196" t="s">
        <v>30</v>
      </c>
      <c r="G196" t="s">
        <v>31</v>
      </c>
      <c r="H196" t="s">
        <v>32</v>
      </c>
      <c r="I196">
        <v>16788.62948</v>
      </c>
      <c r="J196" t="s">
        <v>33</v>
      </c>
      <c r="K196" t="s">
        <v>296</v>
      </c>
      <c r="L196" t="s">
        <v>21</v>
      </c>
    </row>
    <row r="197" spans="1:12">
      <c r="A197" t="s">
        <v>299</v>
      </c>
      <c r="B197" t="s">
        <v>278</v>
      </c>
      <c r="C197" t="s">
        <v>279</v>
      </c>
      <c r="D197">
        <v>1977</v>
      </c>
      <c r="E197" t="s">
        <v>15</v>
      </c>
      <c r="F197" t="s">
        <v>16</v>
      </c>
      <c r="G197" t="s">
        <v>17</v>
      </c>
      <c r="H197" t="s">
        <v>18</v>
      </c>
      <c r="I197">
        <v>73.489999999999995</v>
      </c>
      <c r="J197" t="s">
        <v>19</v>
      </c>
      <c r="K197" t="s">
        <v>300</v>
      </c>
      <c r="L197" t="s">
        <v>21</v>
      </c>
    </row>
    <row r="198" spans="1:12">
      <c r="A198" t="s">
        <v>301</v>
      </c>
      <c r="B198" t="s">
        <v>278</v>
      </c>
      <c r="C198" t="s">
        <v>279</v>
      </c>
      <c r="D198">
        <v>1977</v>
      </c>
      <c r="E198" t="s">
        <v>23</v>
      </c>
      <c r="F198" t="s">
        <v>24</v>
      </c>
      <c r="G198" t="s">
        <v>25</v>
      </c>
      <c r="H198" t="s">
        <v>26</v>
      </c>
      <c r="I198">
        <v>14074100</v>
      </c>
      <c r="J198" t="s">
        <v>27</v>
      </c>
      <c r="K198" t="s">
        <v>300</v>
      </c>
      <c r="L198" t="s">
        <v>21</v>
      </c>
    </row>
    <row r="199" spans="1:12">
      <c r="A199" t="s">
        <v>302</v>
      </c>
      <c r="B199" t="s">
        <v>278</v>
      </c>
      <c r="C199" t="s">
        <v>279</v>
      </c>
      <c r="D199">
        <v>1977</v>
      </c>
      <c r="E199" t="s">
        <v>29</v>
      </c>
      <c r="F199" t="s">
        <v>30</v>
      </c>
      <c r="G199" t="s">
        <v>31</v>
      </c>
      <c r="H199" t="s">
        <v>32</v>
      </c>
      <c r="I199">
        <v>18334.197510000002</v>
      </c>
      <c r="J199" t="s">
        <v>33</v>
      </c>
      <c r="K199" t="s">
        <v>300</v>
      </c>
      <c r="L199" t="s">
        <v>21</v>
      </c>
    </row>
    <row r="200" spans="1:12">
      <c r="A200" t="s">
        <v>303</v>
      </c>
      <c r="B200" t="s">
        <v>278</v>
      </c>
      <c r="C200" t="s">
        <v>279</v>
      </c>
      <c r="D200">
        <v>1982</v>
      </c>
      <c r="E200" t="s">
        <v>15</v>
      </c>
      <c r="F200" t="s">
        <v>16</v>
      </c>
      <c r="G200" t="s">
        <v>17</v>
      </c>
      <c r="H200" t="s">
        <v>18</v>
      </c>
      <c r="I200">
        <v>74.739999999999995</v>
      </c>
      <c r="J200" t="s">
        <v>19</v>
      </c>
      <c r="K200" t="s">
        <v>304</v>
      </c>
      <c r="L200" t="s">
        <v>21</v>
      </c>
    </row>
    <row r="201" spans="1:12">
      <c r="A201" t="s">
        <v>305</v>
      </c>
      <c r="B201" t="s">
        <v>278</v>
      </c>
      <c r="C201" t="s">
        <v>279</v>
      </c>
      <c r="D201">
        <v>1982</v>
      </c>
      <c r="E201" t="s">
        <v>23</v>
      </c>
      <c r="F201" t="s">
        <v>24</v>
      </c>
      <c r="G201" t="s">
        <v>25</v>
      </c>
      <c r="H201" t="s">
        <v>26</v>
      </c>
      <c r="I201">
        <v>15184200</v>
      </c>
      <c r="J201" t="s">
        <v>27</v>
      </c>
      <c r="K201" t="s">
        <v>304</v>
      </c>
      <c r="L201" t="s">
        <v>21</v>
      </c>
    </row>
    <row r="202" spans="1:12">
      <c r="A202" t="s">
        <v>306</v>
      </c>
      <c r="B202" t="s">
        <v>278</v>
      </c>
      <c r="C202" t="s">
        <v>279</v>
      </c>
      <c r="D202">
        <v>1982</v>
      </c>
      <c r="E202" t="s">
        <v>29</v>
      </c>
      <c r="F202" t="s">
        <v>30</v>
      </c>
      <c r="G202" t="s">
        <v>31</v>
      </c>
      <c r="H202" t="s">
        <v>32</v>
      </c>
      <c r="I202">
        <v>19477.009279999998</v>
      </c>
      <c r="J202" t="s">
        <v>33</v>
      </c>
      <c r="K202" t="s">
        <v>304</v>
      </c>
      <c r="L202" t="s">
        <v>21</v>
      </c>
    </row>
    <row r="203" spans="1:12">
      <c r="A203" t="s">
        <v>307</v>
      </c>
      <c r="B203" t="s">
        <v>278</v>
      </c>
      <c r="C203" t="s">
        <v>279</v>
      </c>
      <c r="D203">
        <v>1987</v>
      </c>
      <c r="E203" t="s">
        <v>15</v>
      </c>
      <c r="F203" t="s">
        <v>16</v>
      </c>
      <c r="G203" t="s">
        <v>17</v>
      </c>
      <c r="H203" t="s">
        <v>18</v>
      </c>
      <c r="I203">
        <v>76.319999999999993</v>
      </c>
      <c r="J203" t="s">
        <v>19</v>
      </c>
      <c r="K203" t="s">
        <v>308</v>
      </c>
      <c r="L203" t="s">
        <v>21</v>
      </c>
    </row>
    <row r="204" spans="1:12">
      <c r="A204" t="s">
        <v>309</v>
      </c>
      <c r="B204" t="s">
        <v>278</v>
      </c>
      <c r="C204" t="s">
        <v>279</v>
      </c>
      <c r="D204">
        <v>1987</v>
      </c>
      <c r="E204" t="s">
        <v>23</v>
      </c>
      <c r="F204" t="s">
        <v>24</v>
      </c>
      <c r="G204" t="s">
        <v>25</v>
      </c>
      <c r="H204" t="s">
        <v>26</v>
      </c>
      <c r="I204">
        <v>16257249</v>
      </c>
      <c r="J204" t="s">
        <v>27</v>
      </c>
      <c r="K204" t="s">
        <v>308</v>
      </c>
      <c r="L204" t="s">
        <v>21</v>
      </c>
    </row>
    <row r="205" spans="1:12">
      <c r="A205" t="s">
        <v>310</v>
      </c>
      <c r="B205" t="s">
        <v>278</v>
      </c>
      <c r="C205" t="s">
        <v>279</v>
      </c>
      <c r="D205">
        <v>1987</v>
      </c>
      <c r="E205" t="s">
        <v>29</v>
      </c>
      <c r="F205" t="s">
        <v>30</v>
      </c>
      <c r="G205" t="s">
        <v>31</v>
      </c>
      <c r="H205" t="s">
        <v>32</v>
      </c>
      <c r="I205">
        <v>21888.889029999998</v>
      </c>
      <c r="J205" t="s">
        <v>33</v>
      </c>
      <c r="K205" t="s">
        <v>308</v>
      </c>
      <c r="L205" t="s">
        <v>21</v>
      </c>
    </row>
    <row r="206" spans="1:12">
      <c r="A206" t="s">
        <v>311</v>
      </c>
      <c r="B206" t="s">
        <v>278</v>
      </c>
      <c r="C206" t="s">
        <v>279</v>
      </c>
      <c r="D206">
        <v>1992</v>
      </c>
      <c r="E206" t="s">
        <v>15</v>
      </c>
      <c r="F206" t="s">
        <v>16</v>
      </c>
      <c r="G206" t="s">
        <v>17</v>
      </c>
      <c r="H206" t="s">
        <v>18</v>
      </c>
      <c r="I206">
        <v>77.56</v>
      </c>
      <c r="J206" t="s">
        <v>19</v>
      </c>
      <c r="K206" t="s">
        <v>312</v>
      </c>
      <c r="L206" t="s">
        <v>21</v>
      </c>
    </row>
    <row r="207" spans="1:12">
      <c r="A207" t="s">
        <v>313</v>
      </c>
      <c r="B207" t="s">
        <v>278</v>
      </c>
      <c r="C207" t="s">
        <v>279</v>
      </c>
      <c r="D207">
        <v>1992</v>
      </c>
      <c r="E207" t="s">
        <v>23</v>
      </c>
      <c r="F207" t="s">
        <v>24</v>
      </c>
      <c r="G207" t="s">
        <v>25</v>
      </c>
      <c r="H207" t="s">
        <v>26</v>
      </c>
      <c r="I207">
        <v>17481977</v>
      </c>
      <c r="J207" t="s">
        <v>27</v>
      </c>
      <c r="K207" t="s">
        <v>312</v>
      </c>
      <c r="L207" t="s">
        <v>21</v>
      </c>
    </row>
    <row r="208" spans="1:12">
      <c r="A208" t="s">
        <v>314</v>
      </c>
      <c r="B208" t="s">
        <v>278</v>
      </c>
      <c r="C208" t="s">
        <v>279</v>
      </c>
      <c r="D208">
        <v>1992</v>
      </c>
      <c r="E208" t="s">
        <v>29</v>
      </c>
      <c r="F208" t="s">
        <v>30</v>
      </c>
      <c r="G208" t="s">
        <v>31</v>
      </c>
      <c r="H208" t="s">
        <v>32</v>
      </c>
      <c r="I208">
        <v>23424.76683</v>
      </c>
      <c r="J208" t="s">
        <v>33</v>
      </c>
      <c r="K208" t="s">
        <v>312</v>
      </c>
      <c r="L208" t="s">
        <v>21</v>
      </c>
    </row>
    <row r="209" spans="1:12">
      <c r="A209" t="s">
        <v>315</v>
      </c>
      <c r="B209" t="s">
        <v>278</v>
      </c>
      <c r="C209" t="s">
        <v>279</v>
      </c>
      <c r="D209">
        <v>1997</v>
      </c>
      <c r="E209" t="s">
        <v>15</v>
      </c>
      <c r="F209" t="s">
        <v>16</v>
      </c>
      <c r="G209" t="s">
        <v>17</v>
      </c>
      <c r="H209" t="s">
        <v>18</v>
      </c>
      <c r="I209">
        <v>78.83</v>
      </c>
      <c r="J209" t="s">
        <v>19</v>
      </c>
      <c r="K209" t="s">
        <v>316</v>
      </c>
      <c r="L209" t="s">
        <v>21</v>
      </c>
    </row>
    <row r="210" spans="1:12">
      <c r="A210" t="s">
        <v>317</v>
      </c>
      <c r="B210" t="s">
        <v>278</v>
      </c>
      <c r="C210" t="s">
        <v>279</v>
      </c>
      <c r="D210">
        <v>1997</v>
      </c>
      <c r="E210" t="s">
        <v>23</v>
      </c>
      <c r="F210" t="s">
        <v>24</v>
      </c>
      <c r="G210" t="s">
        <v>25</v>
      </c>
      <c r="H210" t="s">
        <v>26</v>
      </c>
      <c r="I210">
        <v>18565243</v>
      </c>
      <c r="J210" t="s">
        <v>27</v>
      </c>
      <c r="K210" t="s">
        <v>316</v>
      </c>
      <c r="L210" t="s">
        <v>21</v>
      </c>
    </row>
    <row r="211" spans="1:12">
      <c r="A211" t="s">
        <v>318</v>
      </c>
      <c r="B211" t="s">
        <v>278</v>
      </c>
      <c r="C211" t="s">
        <v>279</v>
      </c>
      <c r="D211">
        <v>1997</v>
      </c>
      <c r="E211" t="s">
        <v>29</v>
      </c>
      <c r="F211" t="s">
        <v>30</v>
      </c>
      <c r="G211" t="s">
        <v>31</v>
      </c>
      <c r="H211" t="s">
        <v>32</v>
      </c>
      <c r="I211">
        <v>26997.936570000002</v>
      </c>
      <c r="J211" t="s">
        <v>33</v>
      </c>
      <c r="K211" t="s">
        <v>316</v>
      </c>
      <c r="L211" t="s">
        <v>21</v>
      </c>
    </row>
    <row r="212" spans="1:12">
      <c r="A212" t="s">
        <v>319</v>
      </c>
      <c r="B212" t="s">
        <v>278</v>
      </c>
      <c r="C212" t="s">
        <v>279</v>
      </c>
      <c r="D212">
        <v>2002</v>
      </c>
      <c r="E212" t="s">
        <v>15</v>
      </c>
      <c r="F212" t="s">
        <v>16</v>
      </c>
      <c r="G212" t="s">
        <v>17</v>
      </c>
      <c r="H212" t="s">
        <v>18</v>
      </c>
      <c r="I212">
        <v>80.37</v>
      </c>
      <c r="J212" t="s">
        <v>19</v>
      </c>
      <c r="K212" t="s">
        <v>320</v>
      </c>
      <c r="L212" t="s">
        <v>21</v>
      </c>
    </row>
    <row r="213" spans="1:12">
      <c r="A213" t="s">
        <v>321</v>
      </c>
      <c r="B213" t="s">
        <v>278</v>
      </c>
      <c r="C213" t="s">
        <v>279</v>
      </c>
      <c r="D213">
        <v>2002</v>
      </c>
      <c r="E213" t="s">
        <v>23</v>
      </c>
      <c r="F213" t="s">
        <v>24</v>
      </c>
      <c r="G213" t="s">
        <v>25</v>
      </c>
      <c r="H213" t="s">
        <v>26</v>
      </c>
      <c r="I213">
        <v>19546792</v>
      </c>
      <c r="J213" t="s">
        <v>27</v>
      </c>
      <c r="K213" t="s">
        <v>320</v>
      </c>
      <c r="L213" t="s">
        <v>21</v>
      </c>
    </row>
    <row r="214" spans="1:12">
      <c r="A214" t="s">
        <v>322</v>
      </c>
      <c r="B214" t="s">
        <v>278</v>
      </c>
      <c r="C214" t="s">
        <v>279</v>
      </c>
      <c r="D214">
        <v>2002</v>
      </c>
      <c r="E214" t="s">
        <v>29</v>
      </c>
      <c r="F214" t="s">
        <v>30</v>
      </c>
      <c r="G214" t="s">
        <v>31</v>
      </c>
      <c r="H214" t="s">
        <v>32</v>
      </c>
      <c r="I214">
        <v>30687.754730000001</v>
      </c>
      <c r="J214" t="s">
        <v>33</v>
      </c>
      <c r="K214" t="s">
        <v>320</v>
      </c>
      <c r="L214" t="s">
        <v>21</v>
      </c>
    </row>
    <row r="215" spans="1:12">
      <c r="A215" t="s">
        <v>323</v>
      </c>
      <c r="B215" t="s">
        <v>278</v>
      </c>
      <c r="C215" t="s">
        <v>279</v>
      </c>
      <c r="D215">
        <v>2007</v>
      </c>
      <c r="E215" t="s">
        <v>15</v>
      </c>
      <c r="F215" t="s">
        <v>16</v>
      </c>
      <c r="G215" t="s">
        <v>17</v>
      </c>
      <c r="H215" t="s">
        <v>18</v>
      </c>
      <c r="I215">
        <v>81.234999999999999</v>
      </c>
      <c r="J215" t="s">
        <v>19</v>
      </c>
      <c r="K215" t="s">
        <v>324</v>
      </c>
      <c r="L215" t="s">
        <v>21</v>
      </c>
    </row>
    <row r="216" spans="1:12">
      <c r="A216" t="s">
        <v>325</v>
      </c>
      <c r="B216" t="s">
        <v>278</v>
      </c>
      <c r="C216" t="s">
        <v>279</v>
      </c>
      <c r="D216">
        <v>2007</v>
      </c>
      <c r="E216" t="s">
        <v>23</v>
      </c>
      <c r="F216" t="s">
        <v>24</v>
      </c>
      <c r="G216" t="s">
        <v>25</v>
      </c>
      <c r="H216" t="s">
        <v>26</v>
      </c>
      <c r="I216">
        <v>20434176</v>
      </c>
      <c r="J216" t="s">
        <v>27</v>
      </c>
      <c r="K216" t="s">
        <v>324</v>
      </c>
      <c r="L216" t="s">
        <v>21</v>
      </c>
    </row>
    <row r="217" spans="1:12">
      <c r="A217" t="s">
        <v>326</v>
      </c>
      <c r="B217" t="s">
        <v>278</v>
      </c>
      <c r="C217" t="s">
        <v>279</v>
      </c>
      <c r="D217">
        <v>2007</v>
      </c>
      <c r="E217" t="s">
        <v>29</v>
      </c>
      <c r="F217" t="s">
        <v>30</v>
      </c>
      <c r="G217" t="s">
        <v>31</v>
      </c>
      <c r="H217" t="s">
        <v>32</v>
      </c>
      <c r="I217">
        <v>34435.3674399999</v>
      </c>
      <c r="J217" t="s">
        <v>33</v>
      </c>
      <c r="K217" t="s">
        <v>324</v>
      </c>
      <c r="L217" t="s">
        <v>21</v>
      </c>
    </row>
    <row r="218" spans="1:12">
      <c r="A218" t="s">
        <v>327</v>
      </c>
      <c r="B218" t="s">
        <v>328</v>
      </c>
      <c r="C218" t="s">
        <v>80</v>
      </c>
      <c r="D218">
        <v>1952</v>
      </c>
      <c r="E218" t="s">
        <v>15</v>
      </c>
      <c r="F218" t="s">
        <v>16</v>
      </c>
      <c r="G218" t="s">
        <v>17</v>
      </c>
      <c r="H218" t="s">
        <v>18</v>
      </c>
      <c r="I218">
        <v>66.8</v>
      </c>
      <c r="J218" t="s">
        <v>19</v>
      </c>
      <c r="K218" t="s">
        <v>329</v>
      </c>
      <c r="L218" t="s">
        <v>21</v>
      </c>
    </row>
    <row r="219" spans="1:12">
      <c r="A219" t="s">
        <v>330</v>
      </c>
      <c r="B219" t="s">
        <v>328</v>
      </c>
      <c r="C219" t="s">
        <v>80</v>
      </c>
      <c r="D219">
        <v>1952</v>
      </c>
      <c r="E219" t="s">
        <v>23</v>
      </c>
      <c r="F219" t="s">
        <v>24</v>
      </c>
      <c r="G219" t="s">
        <v>25</v>
      </c>
      <c r="H219" t="s">
        <v>26</v>
      </c>
      <c r="I219">
        <v>6927772</v>
      </c>
      <c r="J219" t="s">
        <v>27</v>
      </c>
      <c r="K219" t="s">
        <v>329</v>
      </c>
      <c r="L219" t="s">
        <v>21</v>
      </c>
    </row>
    <row r="220" spans="1:12">
      <c r="A220" t="s">
        <v>331</v>
      </c>
      <c r="B220" t="s">
        <v>328</v>
      </c>
      <c r="C220" t="s">
        <v>80</v>
      </c>
      <c r="D220">
        <v>1952</v>
      </c>
      <c r="E220" t="s">
        <v>29</v>
      </c>
      <c r="F220" t="s">
        <v>30</v>
      </c>
      <c r="G220" t="s">
        <v>31</v>
      </c>
      <c r="H220" t="s">
        <v>32</v>
      </c>
      <c r="I220">
        <v>6137.0764920000001</v>
      </c>
      <c r="J220" t="s">
        <v>33</v>
      </c>
      <c r="K220" t="s">
        <v>329</v>
      </c>
      <c r="L220" t="s">
        <v>21</v>
      </c>
    </row>
    <row r="221" spans="1:12">
      <c r="A221" t="s">
        <v>332</v>
      </c>
      <c r="B221" t="s">
        <v>328</v>
      </c>
      <c r="C221" t="s">
        <v>80</v>
      </c>
      <c r="D221">
        <v>1957</v>
      </c>
      <c r="E221" t="s">
        <v>15</v>
      </c>
      <c r="F221" t="s">
        <v>16</v>
      </c>
      <c r="G221" t="s">
        <v>17</v>
      </c>
      <c r="H221" t="s">
        <v>18</v>
      </c>
      <c r="I221">
        <v>67.48</v>
      </c>
      <c r="J221" t="s">
        <v>19</v>
      </c>
      <c r="K221" t="s">
        <v>333</v>
      </c>
      <c r="L221" t="s">
        <v>21</v>
      </c>
    </row>
    <row r="222" spans="1:12">
      <c r="A222" t="s">
        <v>334</v>
      </c>
      <c r="B222" t="s">
        <v>328</v>
      </c>
      <c r="C222" t="s">
        <v>80</v>
      </c>
      <c r="D222">
        <v>1957</v>
      </c>
      <c r="E222" t="s">
        <v>23</v>
      </c>
      <c r="F222" t="s">
        <v>24</v>
      </c>
      <c r="G222" t="s">
        <v>25</v>
      </c>
      <c r="H222" t="s">
        <v>26</v>
      </c>
      <c r="I222">
        <v>6965860</v>
      </c>
      <c r="J222" t="s">
        <v>27</v>
      </c>
      <c r="K222" t="s">
        <v>333</v>
      </c>
      <c r="L222" t="s">
        <v>21</v>
      </c>
    </row>
    <row r="223" spans="1:12">
      <c r="A223" t="s">
        <v>335</v>
      </c>
      <c r="B223" t="s">
        <v>328</v>
      </c>
      <c r="C223" t="s">
        <v>80</v>
      </c>
      <c r="D223">
        <v>1957</v>
      </c>
      <c r="E223" t="s">
        <v>29</v>
      </c>
      <c r="F223" t="s">
        <v>30</v>
      </c>
      <c r="G223" t="s">
        <v>31</v>
      </c>
      <c r="H223" t="s">
        <v>32</v>
      </c>
      <c r="I223">
        <v>8842.5980299999992</v>
      </c>
      <c r="J223" t="s">
        <v>33</v>
      </c>
      <c r="K223" t="s">
        <v>333</v>
      </c>
      <c r="L223" t="s">
        <v>21</v>
      </c>
    </row>
    <row r="224" spans="1:12">
      <c r="A224" t="s">
        <v>336</v>
      </c>
      <c r="B224" t="s">
        <v>328</v>
      </c>
      <c r="C224" t="s">
        <v>80</v>
      </c>
      <c r="D224">
        <v>1962</v>
      </c>
      <c r="E224" t="s">
        <v>15</v>
      </c>
      <c r="F224" t="s">
        <v>16</v>
      </c>
      <c r="G224" t="s">
        <v>17</v>
      </c>
      <c r="H224" t="s">
        <v>18</v>
      </c>
      <c r="I224">
        <v>69.540000000000006</v>
      </c>
      <c r="J224" t="s">
        <v>19</v>
      </c>
      <c r="K224" t="s">
        <v>337</v>
      </c>
      <c r="L224" t="s">
        <v>21</v>
      </c>
    </row>
    <row r="225" spans="1:12">
      <c r="A225" t="s">
        <v>338</v>
      </c>
      <c r="B225" t="s">
        <v>328</v>
      </c>
      <c r="C225" t="s">
        <v>80</v>
      </c>
      <c r="D225">
        <v>1962</v>
      </c>
      <c r="E225" t="s">
        <v>23</v>
      </c>
      <c r="F225" t="s">
        <v>24</v>
      </c>
      <c r="G225" t="s">
        <v>25</v>
      </c>
      <c r="H225" t="s">
        <v>26</v>
      </c>
      <c r="I225">
        <v>7129864</v>
      </c>
      <c r="J225" t="s">
        <v>27</v>
      </c>
      <c r="K225" t="s">
        <v>337</v>
      </c>
      <c r="L225" t="s">
        <v>21</v>
      </c>
    </row>
    <row r="226" spans="1:12">
      <c r="A226" t="s">
        <v>339</v>
      </c>
      <c r="B226" t="s">
        <v>328</v>
      </c>
      <c r="C226" t="s">
        <v>80</v>
      </c>
      <c r="D226">
        <v>1962</v>
      </c>
      <c r="E226" t="s">
        <v>29</v>
      </c>
      <c r="F226" t="s">
        <v>30</v>
      </c>
      <c r="G226" t="s">
        <v>31</v>
      </c>
      <c r="H226" t="s">
        <v>32</v>
      </c>
      <c r="I226">
        <v>10750.72111</v>
      </c>
      <c r="J226" t="s">
        <v>33</v>
      </c>
      <c r="K226" t="s">
        <v>337</v>
      </c>
      <c r="L226" t="s">
        <v>21</v>
      </c>
    </row>
    <row r="227" spans="1:12">
      <c r="A227" t="s">
        <v>340</v>
      </c>
      <c r="B227" t="s">
        <v>328</v>
      </c>
      <c r="C227" t="s">
        <v>80</v>
      </c>
      <c r="D227">
        <v>1967</v>
      </c>
      <c r="E227" t="s">
        <v>15</v>
      </c>
      <c r="F227" t="s">
        <v>16</v>
      </c>
      <c r="G227" t="s">
        <v>17</v>
      </c>
      <c r="H227" t="s">
        <v>18</v>
      </c>
      <c r="I227">
        <v>70.14</v>
      </c>
      <c r="J227" t="s">
        <v>19</v>
      </c>
      <c r="K227" t="s">
        <v>341</v>
      </c>
      <c r="L227" t="s">
        <v>21</v>
      </c>
    </row>
    <row r="228" spans="1:12">
      <c r="A228" t="s">
        <v>342</v>
      </c>
      <c r="B228" t="s">
        <v>328</v>
      </c>
      <c r="C228" t="s">
        <v>80</v>
      </c>
      <c r="D228">
        <v>1967</v>
      </c>
      <c r="E228" t="s">
        <v>23</v>
      </c>
      <c r="F228" t="s">
        <v>24</v>
      </c>
      <c r="G228" t="s">
        <v>25</v>
      </c>
      <c r="H228" t="s">
        <v>26</v>
      </c>
      <c r="I228">
        <v>7376998</v>
      </c>
      <c r="J228" t="s">
        <v>27</v>
      </c>
      <c r="K228" t="s">
        <v>341</v>
      </c>
      <c r="L228" t="s">
        <v>21</v>
      </c>
    </row>
    <row r="229" spans="1:12">
      <c r="A229" t="s">
        <v>343</v>
      </c>
      <c r="B229" t="s">
        <v>328</v>
      </c>
      <c r="C229" t="s">
        <v>80</v>
      </c>
      <c r="D229">
        <v>1967</v>
      </c>
      <c r="E229" t="s">
        <v>29</v>
      </c>
      <c r="F229" t="s">
        <v>30</v>
      </c>
      <c r="G229" t="s">
        <v>31</v>
      </c>
      <c r="H229" t="s">
        <v>32</v>
      </c>
      <c r="I229">
        <v>12834.6024</v>
      </c>
      <c r="J229" t="s">
        <v>33</v>
      </c>
      <c r="K229" t="s">
        <v>341</v>
      </c>
      <c r="L229" t="s">
        <v>21</v>
      </c>
    </row>
    <row r="230" spans="1:12">
      <c r="A230" t="s">
        <v>344</v>
      </c>
      <c r="B230" t="s">
        <v>328</v>
      </c>
      <c r="C230" t="s">
        <v>80</v>
      </c>
      <c r="D230">
        <v>1972</v>
      </c>
      <c r="E230" t="s">
        <v>15</v>
      </c>
      <c r="F230" t="s">
        <v>16</v>
      </c>
      <c r="G230" t="s">
        <v>17</v>
      </c>
      <c r="H230" t="s">
        <v>18</v>
      </c>
      <c r="I230">
        <v>70.63</v>
      </c>
      <c r="J230" t="s">
        <v>19</v>
      </c>
      <c r="K230" t="s">
        <v>345</v>
      </c>
      <c r="L230" t="s">
        <v>21</v>
      </c>
    </row>
    <row r="231" spans="1:12">
      <c r="A231" t="s">
        <v>346</v>
      </c>
      <c r="B231" t="s">
        <v>328</v>
      </c>
      <c r="C231" t="s">
        <v>80</v>
      </c>
      <c r="D231">
        <v>1972</v>
      </c>
      <c r="E231" t="s">
        <v>23</v>
      </c>
      <c r="F231" t="s">
        <v>24</v>
      </c>
      <c r="G231" t="s">
        <v>25</v>
      </c>
      <c r="H231" t="s">
        <v>26</v>
      </c>
      <c r="I231">
        <v>7544201</v>
      </c>
      <c r="J231" t="s">
        <v>27</v>
      </c>
      <c r="K231" t="s">
        <v>345</v>
      </c>
      <c r="L231" t="s">
        <v>21</v>
      </c>
    </row>
    <row r="232" spans="1:12">
      <c r="A232" t="s">
        <v>347</v>
      </c>
      <c r="B232" t="s">
        <v>328</v>
      </c>
      <c r="C232" t="s">
        <v>80</v>
      </c>
      <c r="D232">
        <v>1972</v>
      </c>
      <c r="E232" t="s">
        <v>29</v>
      </c>
      <c r="F232" t="s">
        <v>30</v>
      </c>
      <c r="G232" t="s">
        <v>31</v>
      </c>
      <c r="H232" t="s">
        <v>32</v>
      </c>
      <c r="I232">
        <v>16661.625599999999</v>
      </c>
      <c r="J232" t="s">
        <v>33</v>
      </c>
      <c r="K232" t="s">
        <v>345</v>
      </c>
      <c r="L232" t="s">
        <v>21</v>
      </c>
    </row>
    <row r="233" spans="1:12">
      <c r="A233" t="s">
        <v>348</v>
      </c>
      <c r="B233" t="s">
        <v>328</v>
      </c>
      <c r="C233" t="s">
        <v>80</v>
      </c>
      <c r="D233">
        <v>1977</v>
      </c>
      <c r="E233" t="s">
        <v>15</v>
      </c>
      <c r="F233" t="s">
        <v>16</v>
      </c>
      <c r="G233" t="s">
        <v>17</v>
      </c>
      <c r="H233" t="s">
        <v>18</v>
      </c>
      <c r="I233">
        <v>72.17</v>
      </c>
      <c r="J233" t="s">
        <v>19</v>
      </c>
      <c r="K233" t="s">
        <v>349</v>
      </c>
      <c r="L233" t="s">
        <v>21</v>
      </c>
    </row>
    <row r="234" spans="1:12">
      <c r="A234" t="s">
        <v>350</v>
      </c>
      <c r="B234" t="s">
        <v>328</v>
      </c>
      <c r="C234" t="s">
        <v>80</v>
      </c>
      <c r="D234">
        <v>1977</v>
      </c>
      <c r="E234" t="s">
        <v>23</v>
      </c>
      <c r="F234" t="s">
        <v>24</v>
      </c>
      <c r="G234" t="s">
        <v>25</v>
      </c>
      <c r="H234" t="s">
        <v>26</v>
      </c>
      <c r="I234">
        <v>7568430</v>
      </c>
      <c r="J234" t="s">
        <v>27</v>
      </c>
      <c r="K234" t="s">
        <v>349</v>
      </c>
      <c r="L234" t="s">
        <v>21</v>
      </c>
    </row>
    <row r="235" spans="1:12">
      <c r="A235" t="s">
        <v>351</v>
      </c>
      <c r="B235" t="s">
        <v>328</v>
      </c>
      <c r="C235" t="s">
        <v>80</v>
      </c>
      <c r="D235">
        <v>1977</v>
      </c>
      <c r="E235" t="s">
        <v>29</v>
      </c>
      <c r="F235" t="s">
        <v>30</v>
      </c>
      <c r="G235" t="s">
        <v>31</v>
      </c>
      <c r="H235" t="s">
        <v>32</v>
      </c>
      <c r="I235">
        <v>19749.422299999998</v>
      </c>
      <c r="J235" t="s">
        <v>33</v>
      </c>
      <c r="K235" t="s">
        <v>349</v>
      </c>
      <c r="L235" t="s">
        <v>21</v>
      </c>
    </row>
    <row r="236" spans="1:12">
      <c r="A236" t="s">
        <v>352</v>
      </c>
      <c r="B236" t="s">
        <v>328</v>
      </c>
      <c r="C236" t="s">
        <v>80</v>
      </c>
      <c r="D236">
        <v>1982</v>
      </c>
      <c r="E236" t="s">
        <v>15</v>
      </c>
      <c r="F236" t="s">
        <v>16</v>
      </c>
      <c r="G236" t="s">
        <v>17</v>
      </c>
      <c r="H236" t="s">
        <v>18</v>
      </c>
      <c r="I236">
        <v>73.180000000000007</v>
      </c>
      <c r="J236" t="s">
        <v>19</v>
      </c>
      <c r="K236" t="s">
        <v>353</v>
      </c>
      <c r="L236" t="s">
        <v>21</v>
      </c>
    </row>
    <row r="237" spans="1:12">
      <c r="A237" t="s">
        <v>354</v>
      </c>
      <c r="B237" t="s">
        <v>328</v>
      </c>
      <c r="C237" t="s">
        <v>80</v>
      </c>
      <c r="D237">
        <v>1982</v>
      </c>
      <c r="E237" t="s">
        <v>23</v>
      </c>
      <c r="F237" t="s">
        <v>24</v>
      </c>
      <c r="G237" t="s">
        <v>25</v>
      </c>
      <c r="H237" t="s">
        <v>26</v>
      </c>
      <c r="I237">
        <v>7574613</v>
      </c>
      <c r="J237" t="s">
        <v>27</v>
      </c>
      <c r="K237" t="s">
        <v>353</v>
      </c>
      <c r="L237" t="s">
        <v>21</v>
      </c>
    </row>
    <row r="238" spans="1:12">
      <c r="A238" t="s">
        <v>355</v>
      </c>
      <c r="B238" t="s">
        <v>328</v>
      </c>
      <c r="C238" t="s">
        <v>80</v>
      </c>
      <c r="D238">
        <v>1982</v>
      </c>
      <c r="E238" t="s">
        <v>29</v>
      </c>
      <c r="F238" t="s">
        <v>30</v>
      </c>
      <c r="G238" t="s">
        <v>31</v>
      </c>
      <c r="H238" t="s">
        <v>32</v>
      </c>
      <c r="I238">
        <v>21597.083620000001</v>
      </c>
      <c r="J238" t="s">
        <v>33</v>
      </c>
      <c r="K238" t="s">
        <v>353</v>
      </c>
      <c r="L238" t="s">
        <v>21</v>
      </c>
    </row>
    <row r="239" spans="1:12">
      <c r="A239" t="s">
        <v>356</v>
      </c>
      <c r="B239" t="s">
        <v>328</v>
      </c>
      <c r="C239" t="s">
        <v>80</v>
      </c>
      <c r="D239">
        <v>1987</v>
      </c>
      <c r="E239" t="s">
        <v>15</v>
      </c>
      <c r="F239" t="s">
        <v>16</v>
      </c>
      <c r="G239" t="s">
        <v>17</v>
      </c>
      <c r="H239" t="s">
        <v>18</v>
      </c>
      <c r="I239">
        <v>74.94</v>
      </c>
      <c r="J239" t="s">
        <v>19</v>
      </c>
      <c r="K239" t="s">
        <v>357</v>
      </c>
      <c r="L239" t="s">
        <v>21</v>
      </c>
    </row>
    <row r="240" spans="1:12">
      <c r="A240" t="s">
        <v>358</v>
      </c>
      <c r="B240" t="s">
        <v>328</v>
      </c>
      <c r="C240" t="s">
        <v>80</v>
      </c>
      <c r="D240">
        <v>1987</v>
      </c>
      <c r="E240" t="s">
        <v>23</v>
      </c>
      <c r="F240" t="s">
        <v>24</v>
      </c>
      <c r="G240" t="s">
        <v>25</v>
      </c>
      <c r="H240" t="s">
        <v>26</v>
      </c>
      <c r="I240">
        <v>7578903</v>
      </c>
      <c r="J240" t="s">
        <v>27</v>
      </c>
      <c r="K240" t="s">
        <v>357</v>
      </c>
      <c r="L240" t="s">
        <v>21</v>
      </c>
    </row>
    <row r="241" spans="1:12">
      <c r="A241" t="s">
        <v>359</v>
      </c>
      <c r="B241" t="s">
        <v>328</v>
      </c>
      <c r="C241" t="s">
        <v>80</v>
      </c>
      <c r="D241">
        <v>1987</v>
      </c>
      <c r="E241" t="s">
        <v>29</v>
      </c>
      <c r="F241" t="s">
        <v>30</v>
      </c>
      <c r="G241" t="s">
        <v>31</v>
      </c>
      <c r="H241" t="s">
        <v>32</v>
      </c>
      <c r="I241">
        <v>23687.826069999999</v>
      </c>
      <c r="J241" t="s">
        <v>33</v>
      </c>
      <c r="K241" t="s">
        <v>357</v>
      </c>
      <c r="L241" t="s">
        <v>21</v>
      </c>
    </row>
    <row r="242" spans="1:12">
      <c r="A242" t="s">
        <v>360</v>
      </c>
      <c r="B242" t="s">
        <v>328</v>
      </c>
      <c r="C242" t="s">
        <v>80</v>
      </c>
      <c r="D242">
        <v>1992</v>
      </c>
      <c r="E242" t="s">
        <v>15</v>
      </c>
      <c r="F242" t="s">
        <v>16</v>
      </c>
      <c r="G242" t="s">
        <v>17</v>
      </c>
      <c r="H242" t="s">
        <v>18</v>
      </c>
      <c r="I242">
        <v>76.040000000000006</v>
      </c>
      <c r="J242" t="s">
        <v>19</v>
      </c>
      <c r="K242" t="s">
        <v>361</v>
      </c>
      <c r="L242" t="s">
        <v>21</v>
      </c>
    </row>
    <row r="243" spans="1:12">
      <c r="A243" t="s">
        <v>362</v>
      </c>
      <c r="B243" t="s">
        <v>328</v>
      </c>
      <c r="C243" t="s">
        <v>80</v>
      </c>
      <c r="D243">
        <v>1992</v>
      </c>
      <c r="E243" t="s">
        <v>23</v>
      </c>
      <c r="F243" t="s">
        <v>24</v>
      </c>
      <c r="G243" t="s">
        <v>25</v>
      </c>
      <c r="H243" t="s">
        <v>26</v>
      </c>
      <c r="I243">
        <v>7914969</v>
      </c>
      <c r="J243" t="s">
        <v>27</v>
      </c>
      <c r="K243" t="s">
        <v>361</v>
      </c>
      <c r="L243" t="s">
        <v>21</v>
      </c>
    </row>
    <row r="244" spans="1:12">
      <c r="A244" t="s">
        <v>363</v>
      </c>
      <c r="B244" t="s">
        <v>328</v>
      </c>
      <c r="C244" t="s">
        <v>80</v>
      </c>
      <c r="D244">
        <v>1992</v>
      </c>
      <c r="E244" t="s">
        <v>29</v>
      </c>
      <c r="F244" t="s">
        <v>30</v>
      </c>
      <c r="G244" t="s">
        <v>31</v>
      </c>
      <c r="H244" t="s">
        <v>32</v>
      </c>
      <c r="I244">
        <v>27042.018680000001</v>
      </c>
      <c r="J244" t="s">
        <v>33</v>
      </c>
      <c r="K244" t="s">
        <v>361</v>
      </c>
      <c r="L244" t="s">
        <v>21</v>
      </c>
    </row>
    <row r="245" spans="1:12">
      <c r="A245" t="s">
        <v>364</v>
      </c>
      <c r="B245" t="s">
        <v>328</v>
      </c>
      <c r="C245" t="s">
        <v>80</v>
      </c>
      <c r="D245">
        <v>1997</v>
      </c>
      <c r="E245" t="s">
        <v>15</v>
      </c>
      <c r="F245" t="s">
        <v>16</v>
      </c>
      <c r="G245" t="s">
        <v>17</v>
      </c>
      <c r="H245" t="s">
        <v>18</v>
      </c>
      <c r="I245">
        <v>77.510000000000005</v>
      </c>
      <c r="J245" t="s">
        <v>19</v>
      </c>
      <c r="K245" t="s">
        <v>365</v>
      </c>
      <c r="L245" t="s">
        <v>21</v>
      </c>
    </row>
    <row r="246" spans="1:12">
      <c r="A246" t="s">
        <v>366</v>
      </c>
      <c r="B246" t="s">
        <v>328</v>
      </c>
      <c r="C246" t="s">
        <v>80</v>
      </c>
      <c r="D246">
        <v>1997</v>
      </c>
      <c r="E246" t="s">
        <v>23</v>
      </c>
      <c r="F246" t="s">
        <v>24</v>
      </c>
      <c r="G246" t="s">
        <v>25</v>
      </c>
      <c r="H246" t="s">
        <v>26</v>
      </c>
      <c r="I246">
        <v>8069876</v>
      </c>
      <c r="J246" t="s">
        <v>27</v>
      </c>
      <c r="K246" t="s">
        <v>365</v>
      </c>
      <c r="L246" t="s">
        <v>21</v>
      </c>
    </row>
    <row r="247" spans="1:12">
      <c r="A247" t="s">
        <v>367</v>
      </c>
      <c r="B247" t="s">
        <v>328</v>
      </c>
      <c r="C247" t="s">
        <v>80</v>
      </c>
      <c r="D247">
        <v>1997</v>
      </c>
      <c r="E247" t="s">
        <v>29</v>
      </c>
      <c r="F247" t="s">
        <v>30</v>
      </c>
      <c r="G247" t="s">
        <v>31</v>
      </c>
      <c r="H247" t="s">
        <v>32</v>
      </c>
      <c r="I247">
        <v>29095.92066</v>
      </c>
      <c r="J247" t="s">
        <v>33</v>
      </c>
      <c r="K247" t="s">
        <v>365</v>
      </c>
      <c r="L247" t="s">
        <v>21</v>
      </c>
    </row>
    <row r="248" spans="1:12">
      <c r="A248" t="s">
        <v>368</v>
      </c>
      <c r="B248" t="s">
        <v>328</v>
      </c>
      <c r="C248" t="s">
        <v>80</v>
      </c>
      <c r="D248">
        <v>2002</v>
      </c>
      <c r="E248" t="s">
        <v>15</v>
      </c>
      <c r="F248" t="s">
        <v>16</v>
      </c>
      <c r="G248" t="s">
        <v>17</v>
      </c>
      <c r="H248" t="s">
        <v>18</v>
      </c>
      <c r="I248">
        <v>78.98</v>
      </c>
      <c r="J248" t="s">
        <v>19</v>
      </c>
      <c r="K248" t="s">
        <v>369</v>
      </c>
      <c r="L248" t="s">
        <v>21</v>
      </c>
    </row>
    <row r="249" spans="1:12">
      <c r="A249" t="s">
        <v>370</v>
      </c>
      <c r="B249" t="s">
        <v>328</v>
      </c>
      <c r="C249" t="s">
        <v>80</v>
      </c>
      <c r="D249">
        <v>2002</v>
      </c>
      <c r="E249" t="s">
        <v>23</v>
      </c>
      <c r="F249" t="s">
        <v>24</v>
      </c>
      <c r="G249" t="s">
        <v>25</v>
      </c>
      <c r="H249" t="s">
        <v>26</v>
      </c>
      <c r="I249">
        <v>8148312</v>
      </c>
      <c r="J249" t="s">
        <v>27</v>
      </c>
      <c r="K249" t="s">
        <v>369</v>
      </c>
      <c r="L249" t="s">
        <v>21</v>
      </c>
    </row>
    <row r="250" spans="1:12">
      <c r="A250" t="s">
        <v>371</v>
      </c>
      <c r="B250" t="s">
        <v>328</v>
      </c>
      <c r="C250" t="s">
        <v>80</v>
      </c>
      <c r="D250">
        <v>2002</v>
      </c>
      <c r="E250" t="s">
        <v>29</v>
      </c>
      <c r="F250" t="s">
        <v>30</v>
      </c>
      <c r="G250" t="s">
        <v>31</v>
      </c>
      <c r="H250" t="s">
        <v>32</v>
      </c>
      <c r="I250">
        <v>32417.607690000001</v>
      </c>
      <c r="J250" t="s">
        <v>33</v>
      </c>
      <c r="K250" t="s">
        <v>369</v>
      </c>
      <c r="L250" t="s">
        <v>21</v>
      </c>
    </row>
    <row r="251" spans="1:12">
      <c r="A251" t="s">
        <v>372</v>
      </c>
      <c r="B251" t="s">
        <v>328</v>
      </c>
      <c r="C251" t="s">
        <v>80</v>
      </c>
      <c r="D251">
        <v>2007</v>
      </c>
      <c r="E251" t="s">
        <v>15</v>
      </c>
      <c r="F251" t="s">
        <v>16</v>
      </c>
      <c r="G251" t="s">
        <v>17</v>
      </c>
      <c r="H251" t="s">
        <v>18</v>
      </c>
      <c r="I251">
        <v>79.828999999999994</v>
      </c>
      <c r="J251" t="s">
        <v>19</v>
      </c>
      <c r="K251" t="s">
        <v>373</v>
      </c>
      <c r="L251" t="s">
        <v>21</v>
      </c>
    </row>
    <row r="252" spans="1:12">
      <c r="A252" t="s">
        <v>374</v>
      </c>
      <c r="B252" t="s">
        <v>328</v>
      </c>
      <c r="C252" t="s">
        <v>80</v>
      </c>
      <c r="D252">
        <v>2007</v>
      </c>
      <c r="E252" t="s">
        <v>23</v>
      </c>
      <c r="F252" t="s">
        <v>24</v>
      </c>
      <c r="G252" t="s">
        <v>25</v>
      </c>
      <c r="H252" t="s">
        <v>26</v>
      </c>
      <c r="I252">
        <v>8199783</v>
      </c>
      <c r="J252" t="s">
        <v>27</v>
      </c>
      <c r="K252" t="s">
        <v>373</v>
      </c>
      <c r="L252" t="s">
        <v>21</v>
      </c>
    </row>
    <row r="253" spans="1:12">
      <c r="A253" t="s">
        <v>375</v>
      </c>
      <c r="B253" t="s">
        <v>328</v>
      </c>
      <c r="C253" t="s">
        <v>80</v>
      </c>
      <c r="D253">
        <v>2007</v>
      </c>
      <c r="E253" t="s">
        <v>29</v>
      </c>
      <c r="F253" t="s">
        <v>30</v>
      </c>
      <c r="G253" t="s">
        <v>31</v>
      </c>
      <c r="H253" t="s">
        <v>32</v>
      </c>
      <c r="I253">
        <v>36126.492700000003</v>
      </c>
      <c r="J253" t="s">
        <v>33</v>
      </c>
      <c r="K253" t="s">
        <v>373</v>
      </c>
      <c r="L253" t="s">
        <v>21</v>
      </c>
    </row>
    <row r="254" spans="1:12">
      <c r="A254" t="s">
        <v>376</v>
      </c>
      <c r="B254" t="s">
        <v>377</v>
      </c>
      <c r="C254" t="s">
        <v>14</v>
      </c>
      <c r="D254">
        <v>1952</v>
      </c>
      <c r="E254" t="s">
        <v>15</v>
      </c>
      <c r="F254" t="s">
        <v>16</v>
      </c>
      <c r="G254" t="s">
        <v>17</v>
      </c>
      <c r="H254" t="s">
        <v>18</v>
      </c>
      <c r="I254">
        <v>50.938999999999901</v>
      </c>
      <c r="J254" t="s">
        <v>19</v>
      </c>
      <c r="K254" t="s">
        <v>378</v>
      </c>
      <c r="L254" t="s">
        <v>21</v>
      </c>
    </row>
    <row r="255" spans="1:12">
      <c r="A255" t="s">
        <v>379</v>
      </c>
      <c r="B255" t="s">
        <v>377</v>
      </c>
      <c r="C255" t="s">
        <v>14</v>
      </c>
      <c r="D255">
        <v>1952</v>
      </c>
      <c r="E255" t="s">
        <v>23</v>
      </c>
      <c r="F255" t="s">
        <v>24</v>
      </c>
      <c r="G255" t="s">
        <v>25</v>
      </c>
      <c r="H255" t="s">
        <v>26</v>
      </c>
      <c r="I255">
        <v>120447</v>
      </c>
      <c r="J255" t="s">
        <v>27</v>
      </c>
      <c r="K255" t="s">
        <v>378</v>
      </c>
      <c r="L255" t="s">
        <v>21</v>
      </c>
    </row>
    <row r="256" spans="1:12">
      <c r="A256" t="s">
        <v>380</v>
      </c>
      <c r="B256" t="s">
        <v>377</v>
      </c>
      <c r="C256" t="s">
        <v>14</v>
      </c>
      <c r="D256">
        <v>1952</v>
      </c>
      <c r="E256" t="s">
        <v>29</v>
      </c>
      <c r="F256" t="s">
        <v>30</v>
      </c>
      <c r="G256" t="s">
        <v>31</v>
      </c>
      <c r="H256" t="s">
        <v>32</v>
      </c>
      <c r="I256">
        <v>9867.0847649999996</v>
      </c>
      <c r="J256" t="s">
        <v>33</v>
      </c>
      <c r="K256" t="s">
        <v>378</v>
      </c>
      <c r="L256" t="s">
        <v>21</v>
      </c>
    </row>
    <row r="257" spans="1:12">
      <c r="A257" t="s">
        <v>381</v>
      </c>
      <c r="B257" t="s">
        <v>377</v>
      </c>
      <c r="C257" t="s">
        <v>14</v>
      </c>
      <c r="D257">
        <v>1957</v>
      </c>
      <c r="E257" t="s">
        <v>15</v>
      </c>
      <c r="F257" t="s">
        <v>16</v>
      </c>
      <c r="G257" t="s">
        <v>17</v>
      </c>
      <c r="H257" t="s">
        <v>18</v>
      </c>
      <c r="I257">
        <v>53.832000000000001</v>
      </c>
      <c r="J257" t="s">
        <v>19</v>
      </c>
      <c r="K257" t="s">
        <v>382</v>
      </c>
      <c r="L257" t="s">
        <v>21</v>
      </c>
    </row>
    <row r="258" spans="1:12">
      <c r="A258" t="s">
        <v>383</v>
      </c>
      <c r="B258" t="s">
        <v>377</v>
      </c>
      <c r="C258" t="s">
        <v>14</v>
      </c>
      <c r="D258">
        <v>1957</v>
      </c>
      <c r="E258" t="s">
        <v>23</v>
      </c>
      <c r="F258" t="s">
        <v>24</v>
      </c>
      <c r="G258" t="s">
        <v>25</v>
      </c>
      <c r="H258" t="s">
        <v>26</v>
      </c>
      <c r="I258">
        <v>138655</v>
      </c>
      <c r="J258" t="s">
        <v>27</v>
      </c>
      <c r="K258" t="s">
        <v>382</v>
      </c>
      <c r="L258" t="s">
        <v>21</v>
      </c>
    </row>
    <row r="259" spans="1:12">
      <c r="A259" t="s">
        <v>384</v>
      </c>
      <c r="B259" t="s">
        <v>377</v>
      </c>
      <c r="C259" t="s">
        <v>14</v>
      </c>
      <c r="D259">
        <v>1957</v>
      </c>
      <c r="E259" t="s">
        <v>29</v>
      </c>
      <c r="F259" t="s">
        <v>30</v>
      </c>
      <c r="G259" t="s">
        <v>31</v>
      </c>
      <c r="H259" t="s">
        <v>32</v>
      </c>
      <c r="I259">
        <v>11635.79945</v>
      </c>
      <c r="J259" t="s">
        <v>33</v>
      </c>
      <c r="K259" t="s">
        <v>382</v>
      </c>
      <c r="L259" t="s">
        <v>21</v>
      </c>
    </row>
    <row r="260" spans="1:12">
      <c r="A260" t="s">
        <v>385</v>
      </c>
      <c r="B260" t="s">
        <v>377</v>
      </c>
      <c r="C260" t="s">
        <v>14</v>
      </c>
      <c r="D260">
        <v>1962</v>
      </c>
      <c r="E260" t="s">
        <v>15</v>
      </c>
      <c r="F260" t="s">
        <v>16</v>
      </c>
      <c r="G260" t="s">
        <v>17</v>
      </c>
      <c r="H260" t="s">
        <v>18</v>
      </c>
      <c r="I260">
        <v>56.923000000000002</v>
      </c>
      <c r="J260" t="s">
        <v>19</v>
      </c>
      <c r="K260" t="s">
        <v>386</v>
      </c>
      <c r="L260" t="s">
        <v>21</v>
      </c>
    </row>
    <row r="261" spans="1:12">
      <c r="A261" t="s">
        <v>387</v>
      </c>
      <c r="B261" t="s">
        <v>377</v>
      </c>
      <c r="C261" t="s">
        <v>14</v>
      </c>
      <c r="D261">
        <v>1962</v>
      </c>
      <c r="E261" t="s">
        <v>23</v>
      </c>
      <c r="F261" t="s">
        <v>24</v>
      </c>
      <c r="G261" t="s">
        <v>25</v>
      </c>
      <c r="H261" t="s">
        <v>26</v>
      </c>
      <c r="I261">
        <v>171863</v>
      </c>
      <c r="J261" t="s">
        <v>27</v>
      </c>
      <c r="K261" t="s">
        <v>386</v>
      </c>
      <c r="L261" t="s">
        <v>21</v>
      </c>
    </row>
    <row r="262" spans="1:12">
      <c r="A262" t="s">
        <v>388</v>
      </c>
      <c r="B262" t="s">
        <v>377</v>
      </c>
      <c r="C262" t="s">
        <v>14</v>
      </c>
      <c r="D262">
        <v>1962</v>
      </c>
      <c r="E262" t="s">
        <v>29</v>
      </c>
      <c r="F262" t="s">
        <v>30</v>
      </c>
      <c r="G262" t="s">
        <v>31</v>
      </c>
      <c r="H262" t="s">
        <v>32</v>
      </c>
      <c r="I262">
        <v>12753.27514</v>
      </c>
      <c r="J262" t="s">
        <v>33</v>
      </c>
      <c r="K262" t="s">
        <v>386</v>
      </c>
      <c r="L262" t="s">
        <v>21</v>
      </c>
    </row>
    <row r="263" spans="1:12">
      <c r="A263" t="s">
        <v>389</v>
      </c>
      <c r="B263" t="s">
        <v>377</v>
      </c>
      <c r="C263" t="s">
        <v>14</v>
      </c>
      <c r="D263">
        <v>1967</v>
      </c>
      <c r="E263" t="s">
        <v>15</v>
      </c>
      <c r="F263" t="s">
        <v>16</v>
      </c>
      <c r="G263" t="s">
        <v>17</v>
      </c>
      <c r="H263" t="s">
        <v>18</v>
      </c>
      <c r="I263">
        <v>59.923000000000002</v>
      </c>
      <c r="J263" t="s">
        <v>19</v>
      </c>
      <c r="K263" t="s">
        <v>390</v>
      </c>
      <c r="L263" t="s">
        <v>21</v>
      </c>
    </row>
    <row r="264" spans="1:12">
      <c r="A264" t="s">
        <v>391</v>
      </c>
      <c r="B264" t="s">
        <v>377</v>
      </c>
      <c r="C264" t="s">
        <v>14</v>
      </c>
      <c r="D264">
        <v>1967</v>
      </c>
      <c r="E264" t="s">
        <v>23</v>
      </c>
      <c r="F264" t="s">
        <v>24</v>
      </c>
      <c r="G264" t="s">
        <v>25</v>
      </c>
      <c r="H264" t="s">
        <v>26</v>
      </c>
      <c r="I264">
        <v>202182</v>
      </c>
      <c r="J264" t="s">
        <v>27</v>
      </c>
      <c r="K264" t="s">
        <v>390</v>
      </c>
      <c r="L264" t="s">
        <v>21</v>
      </c>
    </row>
    <row r="265" spans="1:12">
      <c r="A265" t="s">
        <v>392</v>
      </c>
      <c r="B265" t="s">
        <v>377</v>
      </c>
      <c r="C265" t="s">
        <v>14</v>
      </c>
      <c r="D265">
        <v>1967</v>
      </c>
      <c r="E265" t="s">
        <v>29</v>
      </c>
      <c r="F265" t="s">
        <v>30</v>
      </c>
      <c r="G265" t="s">
        <v>31</v>
      </c>
      <c r="H265" t="s">
        <v>32</v>
      </c>
      <c r="I265">
        <v>14804.672699999999</v>
      </c>
      <c r="J265" t="s">
        <v>33</v>
      </c>
      <c r="K265" t="s">
        <v>390</v>
      </c>
      <c r="L265" t="s">
        <v>21</v>
      </c>
    </row>
    <row r="266" spans="1:12">
      <c r="A266" t="s">
        <v>393</v>
      </c>
      <c r="B266" t="s">
        <v>377</v>
      </c>
      <c r="C266" t="s">
        <v>14</v>
      </c>
      <c r="D266">
        <v>1972</v>
      </c>
      <c r="E266" t="s">
        <v>15</v>
      </c>
      <c r="F266" t="s">
        <v>16</v>
      </c>
      <c r="G266" t="s">
        <v>17</v>
      </c>
      <c r="H266" t="s">
        <v>18</v>
      </c>
      <c r="I266">
        <v>63.3</v>
      </c>
      <c r="J266" t="s">
        <v>19</v>
      </c>
      <c r="K266" t="s">
        <v>394</v>
      </c>
      <c r="L266" t="s">
        <v>21</v>
      </c>
    </row>
    <row r="267" spans="1:12">
      <c r="A267" t="s">
        <v>395</v>
      </c>
      <c r="B267" t="s">
        <v>377</v>
      </c>
      <c r="C267" t="s">
        <v>14</v>
      </c>
      <c r="D267">
        <v>1972</v>
      </c>
      <c r="E267" t="s">
        <v>23</v>
      </c>
      <c r="F267" t="s">
        <v>24</v>
      </c>
      <c r="G267" t="s">
        <v>25</v>
      </c>
      <c r="H267" t="s">
        <v>26</v>
      </c>
      <c r="I267">
        <v>230800</v>
      </c>
      <c r="J267" t="s">
        <v>27</v>
      </c>
      <c r="K267" t="s">
        <v>394</v>
      </c>
      <c r="L267" t="s">
        <v>21</v>
      </c>
    </row>
    <row r="268" spans="1:12">
      <c r="A268" t="s">
        <v>396</v>
      </c>
      <c r="B268" t="s">
        <v>377</v>
      </c>
      <c r="C268" t="s">
        <v>14</v>
      </c>
      <c r="D268">
        <v>1972</v>
      </c>
      <c r="E268" t="s">
        <v>29</v>
      </c>
      <c r="F268" t="s">
        <v>30</v>
      </c>
      <c r="G268" t="s">
        <v>31</v>
      </c>
      <c r="H268" t="s">
        <v>32</v>
      </c>
      <c r="I268">
        <v>18268.658390000001</v>
      </c>
      <c r="J268" t="s">
        <v>33</v>
      </c>
      <c r="K268" t="s">
        <v>394</v>
      </c>
      <c r="L268" t="s">
        <v>21</v>
      </c>
    </row>
    <row r="269" spans="1:12">
      <c r="A269" t="s">
        <v>397</v>
      </c>
      <c r="B269" t="s">
        <v>377</v>
      </c>
      <c r="C269" t="s">
        <v>14</v>
      </c>
      <c r="D269">
        <v>1977</v>
      </c>
      <c r="E269" t="s">
        <v>15</v>
      </c>
      <c r="F269" t="s">
        <v>16</v>
      </c>
      <c r="G269" t="s">
        <v>17</v>
      </c>
      <c r="H269" t="s">
        <v>18</v>
      </c>
      <c r="I269">
        <v>65.593000000000004</v>
      </c>
      <c r="J269" t="s">
        <v>19</v>
      </c>
      <c r="K269" t="s">
        <v>398</v>
      </c>
      <c r="L269" t="s">
        <v>21</v>
      </c>
    </row>
    <row r="270" spans="1:12">
      <c r="A270" t="s">
        <v>399</v>
      </c>
      <c r="B270" t="s">
        <v>377</v>
      </c>
      <c r="C270" t="s">
        <v>14</v>
      </c>
      <c r="D270">
        <v>1977</v>
      </c>
      <c r="E270" t="s">
        <v>23</v>
      </c>
      <c r="F270" t="s">
        <v>24</v>
      </c>
      <c r="G270" t="s">
        <v>25</v>
      </c>
      <c r="H270" t="s">
        <v>26</v>
      </c>
      <c r="I270">
        <v>297410</v>
      </c>
      <c r="J270" t="s">
        <v>27</v>
      </c>
      <c r="K270" t="s">
        <v>398</v>
      </c>
      <c r="L270" t="s">
        <v>21</v>
      </c>
    </row>
    <row r="271" spans="1:12">
      <c r="A271" t="s">
        <v>400</v>
      </c>
      <c r="B271" t="s">
        <v>377</v>
      </c>
      <c r="C271" t="s">
        <v>14</v>
      </c>
      <c r="D271">
        <v>1977</v>
      </c>
      <c r="E271" t="s">
        <v>29</v>
      </c>
      <c r="F271" t="s">
        <v>30</v>
      </c>
      <c r="G271" t="s">
        <v>31</v>
      </c>
      <c r="H271" t="s">
        <v>32</v>
      </c>
      <c r="I271">
        <v>19340.10196</v>
      </c>
      <c r="J271" t="s">
        <v>33</v>
      </c>
      <c r="K271" t="s">
        <v>398</v>
      </c>
      <c r="L271" t="s">
        <v>21</v>
      </c>
    </row>
    <row r="272" spans="1:12">
      <c r="A272" t="s">
        <v>401</v>
      </c>
      <c r="B272" t="s">
        <v>377</v>
      </c>
      <c r="C272" t="s">
        <v>14</v>
      </c>
      <c r="D272">
        <v>1982</v>
      </c>
      <c r="E272" t="s">
        <v>15</v>
      </c>
      <c r="F272" t="s">
        <v>16</v>
      </c>
      <c r="G272" t="s">
        <v>17</v>
      </c>
      <c r="H272" t="s">
        <v>18</v>
      </c>
      <c r="I272">
        <v>69.051999999999893</v>
      </c>
      <c r="J272" t="s">
        <v>19</v>
      </c>
      <c r="K272" t="s">
        <v>402</v>
      </c>
      <c r="L272" t="s">
        <v>21</v>
      </c>
    </row>
    <row r="273" spans="1:12">
      <c r="A273" t="s">
        <v>403</v>
      </c>
      <c r="B273" t="s">
        <v>377</v>
      </c>
      <c r="C273" t="s">
        <v>14</v>
      </c>
      <c r="D273">
        <v>1982</v>
      </c>
      <c r="E273" t="s">
        <v>23</v>
      </c>
      <c r="F273" t="s">
        <v>24</v>
      </c>
      <c r="G273" t="s">
        <v>25</v>
      </c>
      <c r="H273" t="s">
        <v>26</v>
      </c>
      <c r="I273">
        <v>377967</v>
      </c>
      <c r="J273" t="s">
        <v>27</v>
      </c>
      <c r="K273" t="s">
        <v>402</v>
      </c>
      <c r="L273" t="s">
        <v>21</v>
      </c>
    </row>
    <row r="274" spans="1:12">
      <c r="A274" t="s">
        <v>404</v>
      </c>
      <c r="B274" t="s">
        <v>377</v>
      </c>
      <c r="C274" t="s">
        <v>14</v>
      </c>
      <c r="D274">
        <v>1982</v>
      </c>
      <c r="E274" t="s">
        <v>29</v>
      </c>
      <c r="F274" t="s">
        <v>30</v>
      </c>
      <c r="G274" t="s">
        <v>31</v>
      </c>
      <c r="H274" t="s">
        <v>32</v>
      </c>
      <c r="I274">
        <v>19211.14731</v>
      </c>
      <c r="J274" t="s">
        <v>33</v>
      </c>
      <c r="K274" t="s">
        <v>402</v>
      </c>
      <c r="L274" t="s">
        <v>21</v>
      </c>
    </row>
    <row r="275" spans="1:12">
      <c r="A275" t="s">
        <v>405</v>
      </c>
      <c r="B275" t="s">
        <v>377</v>
      </c>
      <c r="C275" t="s">
        <v>14</v>
      </c>
      <c r="D275">
        <v>1987</v>
      </c>
      <c r="E275" t="s">
        <v>15</v>
      </c>
      <c r="F275" t="s">
        <v>16</v>
      </c>
      <c r="G275" t="s">
        <v>17</v>
      </c>
      <c r="H275" t="s">
        <v>18</v>
      </c>
      <c r="I275">
        <v>70.75</v>
      </c>
      <c r="J275" t="s">
        <v>19</v>
      </c>
      <c r="K275" t="s">
        <v>406</v>
      </c>
      <c r="L275" t="s">
        <v>21</v>
      </c>
    </row>
    <row r="276" spans="1:12">
      <c r="A276" t="s">
        <v>407</v>
      </c>
      <c r="B276" t="s">
        <v>377</v>
      </c>
      <c r="C276" t="s">
        <v>14</v>
      </c>
      <c r="D276">
        <v>1987</v>
      </c>
      <c r="E276" t="s">
        <v>23</v>
      </c>
      <c r="F276" t="s">
        <v>24</v>
      </c>
      <c r="G276" t="s">
        <v>25</v>
      </c>
      <c r="H276" t="s">
        <v>26</v>
      </c>
      <c r="I276">
        <v>454612</v>
      </c>
      <c r="J276" t="s">
        <v>27</v>
      </c>
      <c r="K276" t="s">
        <v>406</v>
      </c>
      <c r="L276" t="s">
        <v>21</v>
      </c>
    </row>
    <row r="277" spans="1:12">
      <c r="A277" t="s">
        <v>408</v>
      </c>
      <c r="B277" t="s">
        <v>377</v>
      </c>
      <c r="C277" t="s">
        <v>14</v>
      </c>
      <c r="D277">
        <v>1987</v>
      </c>
      <c r="E277" t="s">
        <v>29</v>
      </c>
      <c r="F277" t="s">
        <v>30</v>
      </c>
      <c r="G277" t="s">
        <v>31</v>
      </c>
      <c r="H277" t="s">
        <v>32</v>
      </c>
      <c r="I277">
        <v>18524.02406</v>
      </c>
      <c r="J277" t="s">
        <v>33</v>
      </c>
      <c r="K277" t="s">
        <v>406</v>
      </c>
      <c r="L277" t="s">
        <v>21</v>
      </c>
    </row>
    <row r="278" spans="1:12">
      <c r="A278" t="s">
        <v>409</v>
      </c>
      <c r="B278" t="s">
        <v>377</v>
      </c>
      <c r="C278" t="s">
        <v>14</v>
      </c>
      <c r="D278">
        <v>1992</v>
      </c>
      <c r="E278" t="s">
        <v>15</v>
      </c>
      <c r="F278" t="s">
        <v>16</v>
      </c>
      <c r="G278" t="s">
        <v>17</v>
      </c>
      <c r="H278" t="s">
        <v>18</v>
      </c>
      <c r="I278">
        <v>72.600999999999999</v>
      </c>
      <c r="J278" t="s">
        <v>19</v>
      </c>
      <c r="K278" t="s">
        <v>410</v>
      </c>
      <c r="L278" t="s">
        <v>21</v>
      </c>
    </row>
    <row r="279" spans="1:12">
      <c r="A279" t="s">
        <v>411</v>
      </c>
      <c r="B279" t="s">
        <v>377</v>
      </c>
      <c r="C279" t="s">
        <v>14</v>
      </c>
      <c r="D279">
        <v>1992</v>
      </c>
      <c r="E279" t="s">
        <v>23</v>
      </c>
      <c r="F279" t="s">
        <v>24</v>
      </c>
      <c r="G279" t="s">
        <v>25</v>
      </c>
      <c r="H279" t="s">
        <v>26</v>
      </c>
      <c r="I279">
        <v>529491</v>
      </c>
      <c r="J279" t="s">
        <v>27</v>
      </c>
      <c r="K279" t="s">
        <v>410</v>
      </c>
      <c r="L279" t="s">
        <v>21</v>
      </c>
    </row>
    <row r="280" spans="1:12">
      <c r="A280" t="s">
        <v>412</v>
      </c>
      <c r="B280" t="s">
        <v>377</v>
      </c>
      <c r="C280" t="s">
        <v>14</v>
      </c>
      <c r="D280">
        <v>1992</v>
      </c>
      <c r="E280" t="s">
        <v>29</v>
      </c>
      <c r="F280" t="s">
        <v>30</v>
      </c>
      <c r="G280" t="s">
        <v>31</v>
      </c>
      <c r="H280" t="s">
        <v>32</v>
      </c>
      <c r="I280">
        <v>19035.579170000001</v>
      </c>
      <c r="J280" t="s">
        <v>33</v>
      </c>
      <c r="K280" t="s">
        <v>410</v>
      </c>
      <c r="L280" t="s">
        <v>21</v>
      </c>
    </row>
    <row r="281" spans="1:12">
      <c r="A281" t="s">
        <v>413</v>
      </c>
      <c r="B281" t="s">
        <v>377</v>
      </c>
      <c r="C281" t="s">
        <v>14</v>
      </c>
      <c r="D281">
        <v>1997</v>
      </c>
      <c r="E281" t="s">
        <v>15</v>
      </c>
      <c r="F281" t="s">
        <v>16</v>
      </c>
      <c r="G281" t="s">
        <v>17</v>
      </c>
      <c r="H281" t="s">
        <v>18</v>
      </c>
      <c r="I281">
        <v>73.924999999999997</v>
      </c>
      <c r="J281" t="s">
        <v>19</v>
      </c>
      <c r="K281" t="s">
        <v>414</v>
      </c>
      <c r="L281" t="s">
        <v>21</v>
      </c>
    </row>
    <row r="282" spans="1:12">
      <c r="A282" t="s">
        <v>415</v>
      </c>
      <c r="B282" t="s">
        <v>377</v>
      </c>
      <c r="C282" t="s">
        <v>14</v>
      </c>
      <c r="D282">
        <v>1997</v>
      </c>
      <c r="E282" t="s">
        <v>23</v>
      </c>
      <c r="F282" t="s">
        <v>24</v>
      </c>
      <c r="G282" t="s">
        <v>25</v>
      </c>
      <c r="H282" t="s">
        <v>26</v>
      </c>
      <c r="I282">
        <v>598561</v>
      </c>
      <c r="J282" t="s">
        <v>27</v>
      </c>
      <c r="K282" t="s">
        <v>414</v>
      </c>
      <c r="L282" t="s">
        <v>21</v>
      </c>
    </row>
    <row r="283" spans="1:12">
      <c r="A283" t="s">
        <v>416</v>
      </c>
      <c r="B283" t="s">
        <v>377</v>
      </c>
      <c r="C283" t="s">
        <v>14</v>
      </c>
      <c r="D283">
        <v>1997</v>
      </c>
      <c r="E283" t="s">
        <v>29</v>
      </c>
      <c r="F283" t="s">
        <v>30</v>
      </c>
      <c r="G283" t="s">
        <v>31</v>
      </c>
      <c r="H283" t="s">
        <v>32</v>
      </c>
      <c r="I283">
        <v>20292.016790000001</v>
      </c>
      <c r="J283" t="s">
        <v>33</v>
      </c>
      <c r="K283" t="s">
        <v>414</v>
      </c>
      <c r="L283" t="s">
        <v>21</v>
      </c>
    </row>
    <row r="284" spans="1:12">
      <c r="A284" t="s">
        <v>417</v>
      </c>
      <c r="B284" t="s">
        <v>377</v>
      </c>
      <c r="C284" t="s">
        <v>14</v>
      </c>
      <c r="D284">
        <v>2002</v>
      </c>
      <c r="E284" t="s">
        <v>15</v>
      </c>
      <c r="F284" t="s">
        <v>16</v>
      </c>
      <c r="G284" t="s">
        <v>17</v>
      </c>
      <c r="H284" t="s">
        <v>18</v>
      </c>
      <c r="I284">
        <v>74.795000000000002</v>
      </c>
      <c r="J284" t="s">
        <v>19</v>
      </c>
      <c r="K284" t="s">
        <v>418</v>
      </c>
      <c r="L284" t="s">
        <v>21</v>
      </c>
    </row>
    <row r="285" spans="1:12">
      <c r="A285" t="s">
        <v>419</v>
      </c>
      <c r="B285" t="s">
        <v>377</v>
      </c>
      <c r="C285" t="s">
        <v>14</v>
      </c>
      <c r="D285">
        <v>2002</v>
      </c>
      <c r="E285" t="s">
        <v>23</v>
      </c>
      <c r="F285" t="s">
        <v>24</v>
      </c>
      <c r="G285" t="s">
        <v>25</v>
      </c>
      <c r="H285" t="s">
        <v>26</v>
      </c>
      <c r="I285">
        <v>656397</v>
      </c>
      <c r="J285" t="s">
        <v>27</v>
      </c>
      <c r="K285" t="s">
        <v>418</v>
      </c>
      <c r="L285" t="s">
        <v>21</v>
      </c>
    </row>
    <row r="286" spans="1:12">
      <c r="A286" t="s">
        <v>420</v>
      </c>
      <c r="B286" t="s">
        <v>377</v>
      </c>
      <c r="C286" t="s">
        <v>14</v>
      </c>
      <c r="D286">
        <v>2002</v>
      </c>
      <c r="E286" t="s">
        <v>29</v>
      </c>
      <c r="F286" t="s">
        <v>30</v>
      </c>
      <c r="G286" t="s">
        <v>31</v>
      </c>
      <c r="H286" t="s">
        <v>32</v>
      </c>
      <c r="I286">
        <v>23403.559270000002</v>
      </c>
      <c r="J286" t="s">
        <v>33</v>
      </c>
      <c r="K286" t="s">
        <v>418</v>
      </c>
      <c r="L286" t="s">
        <v>21</v>
      </c>
    </row>
    <row r="287" spans="1:12">
      <c r="A287" t="s">
        <v>421</v>
      </c>
      <c r="B287" t="s">
        <v>377</v>
      </c>
      <c r="C287" t="s">
        <v>14</v>
      </c>
      <c r="D287">
        <v>2007</v>
      </c>
      <c r="E287" t="s">
        <v>15</v>
      </c>
      <c r="F287" t="s">
        <v>16</v>
      </c>
      <c r="G287" t="s">
        <v>17</v>
      </c>
      <c r="H287" t="s">
        <v>18</v>
      </c>
      <c r="I287">
        <v>75.635000000000005</v>
      </c>
      <c r="J287" t="s">
        <v>19</v>
      </c>
      <c r="K287" t="s">
        <v>422</v>
      </c>
      <c r="L287" t="s">
        <v>21</v>
      </c>
    </row>
    <row r="288" spans="1:12">
      <c r="A288" t="s">
        <v>423</v>
      </c>
      <c r="B288" t="s">
        <v>377</v>
      </c>
      <c r="C288" t="s">
        <v>14</v>
      </c>
      <c r="D288">
        <v>2007</v>
      </c>
      <c r="E288" t="s">
        <v>23</v>
      </c>
      <c r="F288" t="s">
        <v>24</v>
      </c>
      <c r="G288" t="s">
        <v>25</v>
      </c>
      <c r="H288" t="s">
        <v>26</v>
      </c>
      <c r="I288">
        <v>708573</v>
      </c>
      <c r="J288" t="s">
        <v>27</v>
      </c>
      <c r="K288" t="s">
        <v>422</v>
      </c>
      <c r="L288" t="s">
        <v>21</v>
      </c>
    </row>
    <row r="289" spans="1:12">
      <c r="A289" t="s">
        <v>424</v>
      </c>
      <c r="B289" t="s">
        <v>377</v>
      </c>
      <c r="C289" t="s">
        <v>14</v>
      </c>
      <c r="D289">
        <v>2007</v>
      </c>
      <c r="E289" t="s">
        <v>29</v>
      </c>
      <c r="F289" t="s">
        <v>30</v>
      </c>
      <c r="G289" t="s">
        <v>31</v>
      </c>
      <c r="H289" t="s">
        <v>32</v>
      </c>
      <c r="I289">
        <v>29796.048340000001</v>
      </c>
      <c r="J289" t="s">
        <v>33</v>
      </c>
      <c r="K289" t="s">
        <v>422</v>
      </c>
      <c r="L289" t="s">
        <v>21</v>
      </c>
    </row>
    <row r="290" spans="1:12">
      <c r="A290" t="s">
        <v>425</v>
      </c>
      <c r="B290" t="s">
        <v>426</v>
      </c>
      <c r="C290" t="s">
        <v>14</v>
      </c>
      <c r="D290">
        <v>1952</v>
      </c>
      <c r="E290" t="s">
        <v>15</v>
      </c>
      <c r="F290" t="s">
        <v>16</v>
      </c>
      <c r="G290" t="s">
        <v>17</v>
      </c>
      <c r="H290" t="s">
        <v>18</v>
      </c>
      <c r="I290">
        <v>37.484000000000002</v>
      </c>
      <c r="J290" t="s">
        <v>19</v>
      </c>
      <c r="K290" t="s">
        <v>427</v>
      </c>
      <c r="L290" t="s">
        <v>21</v>
      </c>
    </row>
    <row r="291" spans="1:12">
      <c r="A291" t="s">
        <v>428</v>
      </c>
      <c r="B291" t="s">
        <v>426</v>
      </c>
      <c r="C291" t="s">
        <v>14</v>
      </c>
      <c r="D291">
        <v>1952</v>
      </c>
      <c r="E291" t="s">
        <v>23</v>
      </c>
      <c r="F291" t="s">
        <v>24</v>
      </c>
      <c r="G291" t="s">
        <v>25</v>
      </c>
      <c r="H291" t="s">
        <v>26</v>
      </c>
      <c r="I291">
        <v>46886859</v>
      </c>
      <c r="J291" t="s">
        <v>27</v>
      </c>
      <c r="K291" t="s">
        <v>427</v>
      </c>
      <c r="L291" t="s">
        <v>21</v>
      </c>
    </row>
    <row r="292" spans="1:12">
      <c r="A292" t="s">
        <v>429</v>
      </c>
      <c r="B292" t="s">
        <v>426</v>
      </c>
      <c r="C292" t="s">
        <v>14</v>
      </c>
      <c r="D292">
        <v>1952</v>
      </c>
      <c r="E292" t="s">
        <v>29</v>
      </c>
      <c r="F292" t="s">
        <v>30</v>
      </c>
      <c r="G292" t="s">
        <v>31</v>
      </c>
      <c r="H292" t="s">
        <v>32</v>
      </c>
      <c r="I292">
        <v>684.24417159999996</v>
      </c>
      <c r="J292" t="s">
        <v>33</v>
      </c>
      <c r="K292" t="s">
        <v>427</v>
      </c>
      <c r="L292" t="s">
        <v>21</v>
      </c>
    </row>
    <row r="293" spans="1:12">
      <c r="A293" t="s">
        <v>430</v>
      </c>
      <c r="B293" t="s">
        <v>426</v>
      </c>
      <c r="C293" t="s">
        <v>14</v>
      </c>
      <c r="D293">
        <v>1957</v>
      </c>
      <c r="E293" t="s">
        <v>15</v>
      </c>
      <c r="F293" t="s">
        <v>16</v>
      </c>
      <c r="G293" t="s">
        <v>17</v>
      </c>
      <c r="H293" t="s">
        <v>18</v>
      </c>
      <c r="I293">
        <v>39.347999999999999</v>
      </c>
      <c r="J293" t="s">
        <v>19</v>
      </c>
      <c r="K293" t="s">
        <v>431</v>
      </c>
      <c r="L293" t="s">
        <v>21</v>
      </c>
    </row>
    <row r="294" spans="1:12">
      <c r="A294" t="s">
        <v>432</v>
      </c>
      <c r="B294" t="s">
        <v>426</v>
      </c>
      <c r="C294" t="s">
        <v>14</v>
      </c>
      <c r="D294">
        <v>1957</v>
      </c>
      <c r="E294" t="s">
        <v>23</v>
      </c>
      <c r="F294" t="s">
        <v>24</v>
      </c>
      <c r="G294" t="s">
        <v>25</v>
      </c>
      <c r="H294" t="s">
        <v>26</v>
      </c>
      <c r="I294">
        <v>51365468</v>
      </c>
      <c r="J294" t="s">
        <v>27</v>
      </c>
      <c r="K294" t="s">
        <v>431</v>
      </c>
      <c r="L294" t="s">
        <v>21</v>
      </c>
    </row>
    <row r="295" spans="1:12">
      <c r="A295" t="s">
        <v>433</v>
      </c>
      <c r="B295" t="s">
        <v>426</v>
      </c>
      <c r="C295" t="s">
        <v>14</v>
      </c>
      <c r="D295">
        <v>1957</v>
      </c>
      <c r="E295" t="s">
        <v>29</v>
      </c>
      <c r="F295" t="s">
        <v>30</v>
      </c>
      <c r="G295" t="s">
        <v>31</v>
      </c>
      <c r="H295" t="s">
        <v>32</v>
      </c>
      <c r="I295">
        <v>661.63745770000003</v>
      </c>
      <c r="J295" t="s">
        <v>33</v>
      </c>
      <c r="K295" t="s">
        <v>431</v>
      </c>
      <c r="L295" t="s">
        <v>21</v>
      </c>
    </row>
    <row r="296" spans="1:12">
      <c r="A296" t="s">
        <v>434</v>
      </c>
      <c r="B296" t="s">
        <v>426</v>
      </c>
      <c r="C296" t="s">
        <v>14</v>
      </c>
      <c r="D296">
        <v>1962</v>
      </c>
      <c r="E296" t="s">
        <v>15</v>
      </c>
      <c r="F296" t="s">
        <v>16</v>
      </c>
      <c r="G296" t="s">
        <v>17</v>
      </c>
      <c r="H296" t="s">
        <v>18</v>
      </c>
      <c r="I296">
        <v>41.216000000000001</v>
      </c>
      <c r="J296" t="s">
        <v>19</v>
      </c>
      <c r="K296" t="s">
        <v>435</v>
      </c>
      <c r="L296" t="s">
        <v>21</v>
      </c>
    </row>
    <row r="297" spans="1:12">
      <c r="A297" t="s">
        <v>436</v>
      </c>
      <c r="B297" t="s">
        <v>426</v>
      </c>
      <c r="C297" t="s">
        <v>14</v>
      </c>
      <c r="D297">
        <v>1962</v>
      </c>
      <c r="E297" t="s">
        <v>23</v>
      </c>
      <c r="F297" t="s">
        <v>24</v>
      </c>
      <c r="G297" t="s">
        <v>25</v>
      </c>
      <c r="H297" t="s">
        <v>26</v>
      </c>
      <c r="I297">
        <v>56839289</v>
      </c>
      <c r="J297" t="s">
        <v>27</v>
      </c>
      <c r="K297" t="s">
        <v>435</v>
      </c>
      <c r="L297" t="s">
        <v>21</v>
      </c>
    </row>
    <row r="298" spans="1:12">
      <c r="A298" t="s">
        <v>437</v>
      </c>
      <c r="B298" t="s">
        <v>426</v>
      </c>
      <c r="C298" t="s">
        <v>14</v>
      </c>
      <c r="D298">
        <v>1962</v>
      </c>
      <c r="E298" t="s">
        <v>29</v>
      </c>
      <c r="F298" t="s">
        <v>30</v>
      </c>
      <c r="G298" t="s">
        <v>31</v>
      </c>
      <c r="H298" t="s">
        <v>32</v>
      </c>
      <c r="I298">
        <v>686.34155379999902</v>
      </c>
      <c r="J298" t="s">
        <v>33</v>
      </c>
      <c r="K298" t="s">
        <v>435</v>
      </c>
      <c r="L298" t="s">
        <v>21</v>
      </c>
    </row>
    <row r="299" spans="1:12">
      <c r="A299" t="s">
        <v>438</v>
      </c>
      <c r="B299" t="s">
        <v>426</v>
      </c>
      <c r="C299" t="s">
        <v>14</v>
      </c>
      <c r="D299">
        <v>1967</v>
      </c>
      <c r="E299" t="s">
        <v>15</v>
      </c>
      <c r="F299" t="s">
        <v>16</v>
      </c>
      <c r="G299" t="s">
        <v>17</v>
      </c>
      <c r="H299" t="s">
        <v>18</v>
      </c>
      <c r="I299">
        <v>43.453000000000003</v>
      </c>
      <c r="J299" t="s">
        <v>19</v>
      </c>
      <c r="K299" t="s">
        <v>439</v>
      </c>
      <c r="L299" t="s">
        <v>21</v>
      </c>
    </row>
    <row r="300" spans="1:12">
      <c r="A300" t="s">
        <v>440</v>
      </c>
      <c r="B300" t="s">
        <v>426</v>
      </c>
      <c r="C300" t="s">
        <v>14</v>
      </c>
      <c r="D300">
        <v>1967</v>
      </c>
      <c r="E300" t="s">
        <v>23</v>
      </c>
      <c r="F300" t="s">
        <v>24</v>
      </c>
      <c r="G300" t="s">
        <v>25</v>
      </c>
      <c r="H300" t="s">
        <v>26</v>
      </c>
      <c r="I300">
        <v>62821884</v>
      </c>
      <c r="J300" t="s">
        <v>27</v>
      </c>
      <c r="K300" t="s">
        <v>439</v>
      </c>
      <c r="L300" t="s">
        <v>21</v>
      </c>
    </row>
    <row r="301" spans="1:12">
      <c r="A301" t="s">
        <v>441</v>
      </c>
      <c r="B301" t="s">
        <v>426</v>
      </c>
      <c r="C301" t="s">
        <v>14</v>
      </c>
      <c r="D301">
        <v>1967</v>
      </c>
      <c r="E301" t="s">
        <v>29</v>
      </c>
      <c r="F301" t="s">
        <v>30</v>
      </c>
      <c r="G301" t="s">
        <v>31</v>
      </c>
      <c r="H301" t="s">
        <v>32</v>
      </c>
      <c r="I301">
        <v>721.18608619999998</v>
      </c>
      <c r="J301" t="s">
        <v>33</v>
      </c>
      <c r="K301" t="s">
        <v>439</v>
      </c>
      <c r="L301" t="s">
        <v>21</v>
      </c>
    </row>
    <row r="302" spans="1:12">
      <c r="A302" t="s">
        <v>442</v>
      </c>
      <c r="B302" t="s">
        <v>426</v>
      </c>
      <c r="C302" t="s">
        <v>14</v>
      </c>
      <c r="D302">
        <v>1972</v>
      </c>
      <c r="E302" t="s">
        <v>15</v>
      </c>
      <c r="F302" t="s">
        <v>16</v>
      </c>
      <c r="G302" t="s">
        <v>17</v>
      </c>
      <c r="H302" t="s">
        <v>18</v>
      </c>
      <c r="I302">
        <v>45.252000000000002</v>
      </c>
      <c r="J302" t="s">
        <v>19</v>
      </c>
      <c r="K302" t="s">
        <v>443</v>
      </c>
      <c r="L302" t="s">
        <v>21</v>
      </c>
    </row>
    <row r="303" spans="1:12">
      <c r="A303" t="s">
        <v>444</v>
      </c>
      <c r="B303" t="s">
        <v>426</v>
      </c>
      <c r="C303" t="s">
        <v>14</v>
      </c>
      <c r="D303">
        <v>1972</v>
      </c>
      <c r="E303" t="s">
        <v>23</v>
      </c>
      <c r="F303" t="s">
        <v>24</v>
      </c>
      <c r="G303" t="s">
        <v>25</v>
      </c>
      <c r="H303" t="s">
        <v>26</v>
      </c>
      <c r="I303">
        <v>70759295</v>
      </c>
      <c r="J303" t="s">
        <v>27</v>
      </c>
      <c r="K303" t="s">
        <v>443</v>
      </c>
      <c r="L303" t="s">
        <v>21</v>
      </c>
    </row>
    <row r="304" spans="1:12">
      <c r="A304" t="s">
        <v>445</v>
      </c>
      <c r="B304" t="s">
        <v>426</v>
      </c>
      <c r="C304" t="s">
        <v>14</v>
      </c>
      <c r="D304">
        <v>1972</v>
      </c>
      <c r="E304" t="s">
        <v>29</v>
      </c>
      <c r="F304" t="s">
        <v>30</v>
      </c>
      <c r="G304" t="s">
        <v>31</v>
      </c>
      <c r="H304" t="s">
        <v>32</v>
      </c>
      <c r="I304">
        <v>630.23362650000001</v>
      </c>
      <c r="J304" t="s">
        <v>33</v>
      </c>
      <c r="K304" t="s">
        <v>443</v>
      </c>
      <c r="L304" t="s">
        <v>21</v>
      </c>
    </row>
    <row r="305" spans="1:12">
      <c r="A305" t="s">
        <v>446</v>
      </c>
      <c r="B305" t="s">
        <v>426</v>
      </c>
      <c r="C305" t="s">
        <v>14</v>
      </c>
      <c r="D305">
        <v>1977</v>
      </c>
      <c r="E305" t="s">
        <v>15</v>
      </c>
      <c r="F305" t="s">
        <v>16</v>
      </c>
      <c r="G305" t="s">
        <v>17</v>
      </c>
      <c r="H305" t="s">
        <v>18</v>
      </c>
      <c r="I305">
        <v>46.923000000000002</v>
      </c>
      <c r="J305" t="s">
        <v>19</v>
      </c>
      <c r="K305" t="s">
        <v>447</v>
      </c>
      <c r="L305" t="s">
        <v>21</v>
      </c>
    </row>
    <row r="306" spans="1:12">
      <c r="A306" t="s">
        <v>448</v>
      </c>
      <c r="B306" t="s">
        <v>426</v>
      </c>
      <c r="C306" t="s">
        <v>14</v>
      </c>
      <c r="D306">
        <v>1977</v>
      </c>
      <c r="E306" t="s">
        <v>23</v>
      </c>
      <c r="F306" t="s">
        <v>24</v>
      </c>
      <c r="G306" t="s">
        <v>25</v>
      </c>
      <c r="H306" t="s">
        <v>26</v>
      </c>
      <c r="I306">
        <v>80428306</v>
      </c>
      <c r="J306" t="s">
        <v>27</v>
      </c>
      <c r="K306" t="s">
        <v>447</v>
      </c>
      <c r="L306" t="s">
        <v>21</v>
      </c>
    </row>
    <row r="307" spans="1:12">
      <c r="A307" t="s">
        <v>449</v>
      </c>
      <c r="B307" t="s">
        <v>426</v>
      </c>
      <c r="C307" t="s">
        <v>14</v>
      </c>
      <c r="D307">
        <v>1977</v>
      </c>
      <c r="E307" t="s">
        <v>29</v>
      </c>
      <c r="F307" t="s">
        <v>30</v>
      </c>
      <c r="G307" t="s">
        <v>31</v>
      </c>
      <c r="H307" t="s">
        <v>32</v>
      </c>
      <c r="I307">
        <v>659.87723219999998</v>
      </c>
      <c r="J307" t="s">
        <v>33</v>
      </c>
      <c r="K307" t="s">
        <v>447</v>
      </c>
      <c r="L307" t="s">
        <v>21</v>
      </c>
    </row>
    <row r="308" spans="1:12">
      <c r="A308" t="s">
        <v>450</v>
      </c>
      <c r="B308" t="s">
        <v>426</v>
      </c>
      <c r="C308" t="s">
        <v>14</v>
      </c>
      <c r="D308">
        <v>1982</v>
      </c>
      <c r="E308" t="s">
        <v>15</v>
      </c>
      <c r="F308" t="s">
        <v>16</v>
      </c>
      <c r="G308" t="s">
        <v>17</v>
      </c>
      <c r="H308" t="s">
        <v>18</v>
      </c>
      <c r="I308">
        <v>50.008999999999901</v>
      </c>
      <c r="J308" t="s">
        <v>19</v>
      </c>
      <c r="K308" t="s">
        <v>451</v>
      </c>
      <c r="L308" t="s">
        <v>21</v>
      </c>
    </row>
    <row r="309" spans="1:12">
      <c r="A309" t="s">
        <v>452</v>
      </c>
      <c r="B309" t="s">
        <v>426</v>
      </c>
      <c r="C309" t="s">
        <v>14</v>
      </c>
      <c r="D309">
        <v>1982</v>
      </c>
      <c r="E309" t="s">
        <v>23</v>
      </c>
      <c r="F309" t="s">
        <v>24</v>
      </c>
      <c r="G309" t="s">
        <v>25</v>
      </c>
      <c r="H309" t="s">
        <v>26</v>
      </c>
      <c r="I309">
        <v>93074406</v>
      </c>
      <c r="J309" t="s">
        <v>27</v>
      </c>
      <c r="K309" t="s">
        <v>451</v>
      </c>
      <c r="L309" t="s">
        <v>21</v>
      </c>
    </row>
    <row r="310" spans="1:12">
      <c r="A310" t="s">
        <v>453</v>
      </c>
      <c r="B310" t="s">
        <v>426</v>
      </c>
      <c r="C310" t="s">
        <v>14</v>
      </c>
      <c r="D310">
        <v>1982</v>
      </c>
      <c r="E310" t="s">
        <v>29</v>
      </c>
      <c r="F310" t="s">
        <v>30</v>
      </c>
      <c r="G310" t="s">
        <v>31</v>
      </c>
      <c r="H310" t="s">
        <v>32</v>
      </c>
      <c r="I310">
        <v>676.98186559999999</v>
      </c>
      <c r="J310" t="s">
        <v>33</v>
      </c>
      <c r="K310" t="s">
        <v>451</v>
      </c>
      <c r="L310" t="s">
        <v>21</v>
      </c>
    </row>
    <row r="311" spans="1:12">
      <c r="A311" t="s">
        <v>454</v>
      </c>
      <c r="B311" t="s">
        <v>426</v>
      </c>
      <c r="C311" t="s">
        <v>14</v>
      </c>
      <c r="D311">
        <v>1987</v>
      </c>
      <c r="E311" t="s">
        <v>15</v>
      </c>
      <c r="F311" t="s">
        <v>16</v>
      </c>
      <c r="G311" t="s">
        <v>17</v>
      </c>
      <c r="H311" t="s">
        <v>18</v>
      </c>
      <c r="I311">
        <v>52.819000000000003</v>
      </c>
      <c r="J311" t="s">
        <v>19</v>
      </c>
      <c r="K311" t="s">
        <v>455</v>
      </c>
      <c r="L311" t="s">
        <v>21</v>
      </c>
    </row>
    <row r="312" spans="1:12">
      <c r="A312" t="s">
        <v>456</v>
      </c>
      <c r="B312" t="s">
        <v>426</v>
      </c>
      <c r="C312" t="s">
        <v>14</v>
      </c>
      <c r="D312">
        <v>1987</v>
      </c>
      <c r="E312" t="s">
        <v>23</v>
      </c>
      <c r="F312" t="s">
        <v>24</v>
      </c>
      <c r="G312" t="s">
        <v>25</v>
      </c>
      <c r="H312" t="s">
        <v>26</v>
      </c>
      <c r="I312">
        <v>103764241</v>
      </c>
      <c r="J312" t="s">
        <v>27</v>
      </c>
      <c r="K312" t="s">
        <v>455</v>
      </c>
      <c r="L312" t="s">
        <v>21</v>
      </c>
    </row>
    <row r="313" spans="1:12">
      <c r="A313" t="s">
        <v>457</v>
      </c>
      <c r="B313" t="s">
        <v>426</v>
      </c>
      <c r="C313" t="s">
        <v>14</v>
      </c>
      <c r="D313">
        <v>1987</v>
      </c>
      <c r="E313" t="s">
        <v>29</v>
      </c>
      <c r="F313" t="s">
        <v>30</v>
      </c>
      <c r="G313" t="s">
        <v>31</v>
      </c>
      <c r="H313" t="s">
        <v>32</v>
      </c>
      <c r="I313">
        <v>751.97940349999999</v>
      </c>
      <c r="J313" t="s">
        <v>33</v>
      </c>
      <c r="K313" t="s">
        <v>455</v>
      </c>
      <c r="L313" t="s">
        <v>21</v>
      </c>
    </row>
    <row r="314" spans="1:12">
      <c r="A314" t="s">
        <v>458</v>
      </c>
      <c r="B314" t="s">
        <v>426</v>
      </c>
      <c r="C314" t="s">
        <v>14</v>
      </c>
      <c r="D314">
        <v>1992</v>
      </c>
      <c r="E314" t="s">
        <v>15</v>
      </c>
      <c r="F314" t="s">
        <v>16</v>
      </c>
      <c r="G314" t="s">
        <v>17</v>
      </c>
      <c r="H314" t="s">
        <v>18</v>
      </c>
      <c r="I314">
        <v>56.018000000000001</v>
      </c>
      <c r="J314" t="s">
        <v>19</v>
      </c>
      <c r="K314" t="s">
        <v>459</v>
      </c>
      <c r="L314" t="s">
        <v>21</v>
      </c>
    </row>
    <row r="315" spans="1:12">
      <c r="A315" t="s">
        <v>460</v>
      </c>
      <c r="B315" t="s">
        <v>426</v>
      </c>
      <c r="C315" t="s">
        <v>14</v>
      </c>
      <c r="D315">
        <v>1992</v>
      </c>
      <c r="E315" t="s">
        <v>23</v>
      </c>
      <c r="F315" t="s">
        <v>24</v>
      </c>
      <c r="G315" t="s">
        <v>25</v>
      </c>
      <c r="H315" t="s">
        <v>26</v>
      </c>
      <c r="I315">
        <v>113704579</v>
      </c>
      <c r="J315" t="s">
        <v>27</v>
      </c>
      <c r="K315" t="s">
        <v>459</v>
      </c>
      <c r="L315" t="s">
        <v>21</v>
      </c>
    </row>
    <row r="316" spans="1:12">
      <c r="A316" t="s">
        <v>461</v>
      </c>
      <c r="B316" t="s">
        <v>426</v>
      </c>
      <c r="C316" t="s">
        <v>14</v>
      </c>
      <c r="D316">
        <v>1992</v>
      </c>
      <c r="E316" t="s">
        <v>29</v>
      </c>
      <c r="F316" t="s">
        <v>30</v>
      </c>
      <c r="G316" t="s">
        <v>31</v>
      </c>
      <c r="H316" t="s">
        <v>32</v>
      </c>
      <c r="I316">
        <v>837.81016429999897</v>
      </c>
      <c r="J316" t="s">
        <v>33</v>
      </c>
      <c r="K316" t="s">
        <v>459</v>
      </c>
      <c r="L316" t="s">
        <v>21</v>
      </c>
    </row>
    <row r="317" spans="1:12">
      <c r="A317" t="s">
        <v>462</v>
      </c>
      <c r="B317" t="s">
        <v>426</v>
      </c>
      <c r="C317" t="s">
        <v>14</v>
      </c>
      <c r="D317">
        <v>1997</v>
      </c>
      <c r="E317" t="s">
        <v>15</v>
      </c>
      <c r="F317" t="s">
        <v>16</v>
      </c>
      <c r="G317" t="s">
        <v>17</v>
      </c>
      <c r="H317" t="s">
        <v>18</v>
      </c>
      <c r="I317">
        <v>59.411999999999999</v>
      </c>
      <c r="J317" t="s">
        <v>19</v>
      </c>
      <c r="K317" t="s">
        <v>463</v>
      </c>
      <c r="L317" t="s">
        <v>21</v>
      </c>
    </row>
    <row r="318" spans="1:12">
      <c r="A318" t="s">
        <v>464</v>
      </c>
      <c r="B318" t="s">
        <v>426</v>
      </c>
      <c r="C318" t="s">
        <v>14</v>
      </c>
      <c r="D318">
        <v>1997</v>
      </c>
      <c r="E318" t="s">
        <v>23</v>
      </c>
      <c r="F318" t="s">
        <v>24</v>
      </c>
      <c r="G318" t="s">
        <v>25</v>
      </c>
      <c r="H318" t="s">
        <v>26</v>
      </c>
      <c r="I318">
        <v>123315288</v>
      </c>
      <c r="J318" t="s">
        <v>27</v>
      </c>
      <c r="K318" t="s">
        <v>463</v>
      </c>
      <c r="L318" t="s">
        <v>21</v>
      </c>
    </row>
    <row r="319" spans="1:12">
      <c r="A319" t="s">
        <v>465</v>
      </c>
      <c r="B319" t="s">
        <v>426</v>
      </c>
      <c r="C319" t="s">
        <v>14</v>
      </c>
      <c r="D319">
        <v>1997</v>
      </c>
      <c r="E319" t="s">
        <v>29</v>
      </c>
      <c r="F319" t="s">
        <v>30</v>
      </c>
      <c r="G319" t="s">
        <v>31</v>
      </c>
      <c r="H319" t="s">
        <v>32</v>
      </c>
      <c r="I319">
        <v>972.77003520000005</v>
      </c>
      <c r="J319" t="s">
        <v>33</v>
      </c>
      <c r="K319" t="s">
        <v>463</v>
      </c>
      <c r="L319" t="s">
        <v>21</v>
      </c>
    </row>
    <row r="320" spans="1:12">
      <c r="A320" t="s">
        <v>466</v>
      </c>
      <c r="B320" t="s">
        <v>426</v>
      </c>
      <c r="C320" t="s">
        <v>14</v>
      </c>
      <c r="D320">
        <v>2002</v>
      </c>
      <c r="E320" t="s">
        <v>15</v>
      </c>
      <c r="F320" t="s">
        <v>16</v>
      </c>
      <c r="G320" t="s">
        <v>17</v>
      </c>
      <c r="H320" t="s">
        <v>18</v>
      </c>
      <c r="I320">
        <v>62.012999999999998</v>
      </c>
      <c r="J320" t="s">
        <v>19</v>
      </c>
      <c r="K320" t="s">
        <v>467</v>
      </c>
      <c r="L320" t="s">
        <v>21</v>
      </c>
    </row>
    <row r="321" spans="1:12">
      <c r="A321" t="s">
        <v>468</v>
      </c>
      <c r="B321" t="s">
        <v>426</v>
      </c>
      <c r="C321" t="s">
        <v>14</v>
      </c>
      <c r="D321">
        <v>2002</v>
      </c>
      <c r="E321" t="s">
        <v>23</v>
      </c>
      <c r="F321" t="s">
        <v>24</v>
      </c>
      <c r="G321" t="s">
        <v>25</v>
      </c>
      <c r="H321" t="s">
        <v>26</v>
      </c>
      <c r="I321">
        <v>135656790</v>
      </c>
      <c r="J321" t="s">
        <v>27</v>
      </c>
      <c r="K321" t="s">
        <v>467</v>
      </c>
      <c r="L321" t="s">
        <v>21</v>
      </c>
    </row>
    <row r="322" spans="1:12">
      <c r="A322" t="s">
        <v>469</v>
      </c>
      <c r="B322" t="s">
        <v>426</v>
      </c>
      <c r="C322" t="s">
        <v>14</v>
      </c>
      <c r="D322">
        <v>2002</v>
      </c>
      <c r="E322" t="s">
        <v>29</v>
      </c>
      <c r="F322" t="s">
        <v>30</v>
      </c>
      <c r="G322" t="s">
        <v>31</v>
      </c>
      <c r="H322" t="s">
        <v>32</v>
      </c>
      <c r="I322">
        <v>1136.3904299999999</v>
      </c>
      <c r="J322" t="s">
        <v>33</v>
      </c>
      <c r="K322" t="s">
        <v>467</v>
      </c>
      <c r="L322" t="s">
        <v>21</v>
      </c>
    </row>
    <row r="323" spans="1:12">
      <c r="A323" t="s">
        <v>470</v>
      </c>
      <c r="B323" t="s">
        <v>426</v>
      </c>
      <c r="C323" t="s">
        <v>14</v>
      </c>
      <c r="D323">
        <v>2007</v>
      </c>
      <c r="E323" t="s">
        <v>15</v>
      </c>
      <c r="F323" t="s">
        <v>16</v>
      </c>
      <c r="G323" t="s">
        <v>17</v>
      </c>
      <c r="H323" t="s">
        <v>18</v>
      </c>
      <c r="I323">
        <v>64.061999999999998</v>
      </c>
      <c r="J323" t="s">
        <v>19</v>
      </c>
      <c r="K323" t="s">
        <v>471</v>
      </c>
      <c r="L323" t="s">
        <v>21</v>
      </c>
    </row>
    <row r="324" spans="1:12">
      <c r="A324" t="s">
        <v>472</v>
      </c>
      <c r="B324" t="s">
        <v>426</v>
      </c>
      <c r="C324" t="s">
        <v>14</v>
      </c>
      <c r="D324">
        <v>2007</v>
      </c>
      <c r="E324" t="s">
        <v>23</v>
      </c>
      <c r="F324" t="s">
        <v>24</v>
      </c>
      <c r="G324" t="s">
        <v>25</v>
      </c>
      <c r="H324" t="s">
        <v>26</v>
      </c>
      <c r="I324">
        <v>150448339</v>
      </c>
      <c r="J324" t="s">
        <v>27</v>
      </c>
      <c r="K324" t="s">
        <v>471</v>
      </c>
      <c r="L324" t="s">
        <v>21</v>
      </c>
    </row>
    <row r="325" spans="1:12">
      <c r="A325" t="s">
        <v>473</v>
      </c>
      <c r="B325" t="s">
        <v>426</v>
      </c>
      <c r="C325" t="s">
        <v>14</v>
      </c>
      <c r="D325">
        <v>2007</v>
      </c>
      <c r="E325" t="s">
        <v>29</v>
      </c>
      <c r="F325" t="s">
        <v>30</v>
      </c>
      <c r="G325" t="s">
        <v>31</v>
      </c>
      <c r="H325" t="s">
        <v>32</v>
      </c>
      <c r="I325">
        <v>1391.253792</v>
      </c>
      <c r="J325" t="s">
        <v>33</v>
      </c>
      <c r="K325" t="s">
        <v>471</v>
      </c>
      <c r="L325" t="s">
        <v>21</v>
      </c>
    </row>
    <row r="326" spans="1:12">
      <c r="A326" t="s">
        <v>474</v>
      </c>
      <c r="B326" t="s">
        <v>475</v>
      </c>
      <c r="C326" t="s">
        <v>80</v>
      </c>
      <c r="D326">
        <v>1952</v>
      </c>
      <c r="E326" t="s">
        <v>15</v>
      </c>
      <c r="F326" t="s">
        <v>16</v>
      </c>
      <c r="G326" t="s">
        <v>17</v>
      </c>
      <c r="H326" t="s">
        <v>18</v>
      </c>
      <c r="I326">
        <v>68</v>
      </c>
      <c r="J326" t="s">
        <v>19</v>
      </c>
      <c r="K326" t="s">
        <v>476</v>
      </c>
      <c r="L326" t="s">
        <v>21</v>
      </c>
    </row>
    <row r="327" spans="1:12">
      <c r="A327" t="s">
        <v>477</v>
      </c>
      <c r="B327" t="s">
        <v>475</v>
      </c>
      <c r="C327" t="s">
        <v>80</v>
      </c>
      <c r="D327">
        <v>1952</v>
      </c>
      <c r="E327" t="s">
        <v>23</v>
      </c>
      <c r="F327" t="s">
        <v>24</v>
      </c>
      <c r="G327" t="s">
        <v>25</v>
      </c>
      <c r="H327" t="s">
        <v>26</v>
      </c>
      <c r="I327">
        <v>8730405</v>
      </c>
      <c r="J327" t="s">
        <v>27</v>
      </c>
      <c r="K327" t="s">
        <v>476</v>
      </c>
      <c r="L327" t="s">
        <v>21</v>
      </c>
    </row>
    <row r="328" spans="1:12">
      <c r="A328" t="s">
        <v>478</v>
      </c>
      <c r="B328" t="s">
        <v>475</v>
      </c>
      <c r="C328" t="s">
        <v>80</v>
      </c>
      <c r="D328">
        <v>1952</v>
      </c>
      <c r="E328" t="s">
        <v>29</v>
      </c>
      <c r="F328" t="s">
        <v>30</v>
      </c>
      <c r="G328" t="s">
        <v>31</v>
      </c>
      <c r="H328" t="s">
        <v>32</v>
      </c>
      <c r="I328">
        <v>8343.1051269999898</v>
      </c>
      <c r="J328" t="s">
        <v>33</v>
      </c>
      <c r="K328" t="s">
        <v>476</v>
      </c>
      <c r="L328" t="s">
        <v>21</v>
      </c>
    </row>
    <row r="329" spans="1:12">
      <c r="A329" t="s">
        <v>479</v>
      </c>
      <c r="B329" t="s">
        <v>475</v>
      </c>
      <c r="C329" t="s">
        <v>80</v>
      </c>
      <c r="D329">
        <v>1957</v>
      </c>
      <c r="E329" t="s">
        <v>15</v>
      </c>
      <c r="F329" t="s">
        <v>16</v>
      </c>
      <c r="G329" t="s">
        <v>17</v>
      </c>
      <c r="H329" t="s">
        <v>18</v>
      </c>
      <c r="I329">
        <v>69.239999999999995</v>
      </c>
      <c r="J329" t="s">
        <v>19</v>
      </c>
      <c r="K329" t="s">
        <v>480</v>
      </c>
      <c r="L329" t="s">
        <v>21</v>
      </c>
    </row>
    <row r="330" spans="1:12">
      <c r="A330" t="s">
        <v>481</v>
      </c>
      <c r="B330" t="s">
        <v>475</v>
      </c>
      <c r="C330" t="s">
        <v>80</v>
      </c>
      <c r="D330">
        <v>1957</v>
      </c>
      <c r="E330" t="s">
        <v>23</v>
      </c>
      <c r="F330" t="s">
        <v>24</v>
      </c>
      <c r="G330" t="s">
        <v>25</v>
      </c>
      <c r="H330" t="s">
        <v>26</v>
      </c>
      <c r="I330">
        <v>8989111</v>
      </c>
      <c r="J330" t="s">
        <v>27</v>
      </c>
      <c r="K330" t="s">
        <v>480</v>
      </c>
      <c r="L330" t="s">
        <v>21</v>
      </c>
    </row>
    <row r="331" spans="1:12">
      <c r="A331" t="s">
        <v>482</v>
      </c>
      <c r="B331" t="s">
        <v>475</v>
      </c>
      <c r="C331" t="s">
        <v>80</v>
      </c>
      <c r="D331">
        <v>1957</v>
      </c>
      <c r="E331" t="s">
        <v>29</v>
      </c>
      <c r="F331" t="s">
        <v>30</v>
      </c>
      <c r="G331" t="s">
        <v>31</v>
      </c>
      <c r="H331" t="s">
        <v>32</v>
      </c>
      <c r="I331">
        <v>9714.9606230000009</v>
      </c>
      <c r="J331" t="s">
        <v>33</v>
      </c>
      <c r="K331" t="s">
        <v>480</v>
      </c>
      <c r="L331" t="s">
        <v>21</v>
      </c>
    </row>
    <row r="332" spans="1:12">
      <c r="A332" t="s">
        <v>483</v>
      </c>
      <c r="B332" t="s">
        <v>475</v>
      </c>
      <c r="C332" t="s">
        <v>80</v>
      </c>
      <c r="D332">
        <v>1962</v>
      </c>
      <c r="E332" t="s">
        <v>15</v>
      </c>
      <c r="F332" t="s">
        <v>16</v>
      </c>
      <c r="G332" t="s">
        <v>17</v>
      </c>
      <c r="H332" t="s">
        <v>18</v>
      </c>
      <c r="I332">
        <v>70.25</v>
      </c>
      <c r="J332" t="s">
        <v>19</v>
      </c>
      <c r="K332" t="s">
        <v>484</v>
      </c>
      <c r="L332" t="s">
        <v>21</v>
      </c>
    </row>
    <row r="333" spans="1:12">
      <c r="A333" t="s">
        <v>485</v>
      </c>
      <c r="B333" t="s">
        <v>475</v>
      </c>
      <c r="C333" t="s">
        <v>80</v>
      </c>
      <c r="D333">
        <v>1962</v>
      </c>
      <c r="E333" t="s">
        <v>23</v>
      </c>
      <c r="F333" t="s">
        <v>24</v>
      </c>
      <c r="G333" t="s">
        <v>25</v>
      </c>
      <c r="H333" t="s">
        <v>26</v>
      </c>
      <c r="I333">
        <v>9218400</v>
      </c>
      <c r="J333" t="s">
        <v>27</v>
      </c>
      <c r="K333" t="s">
        <v>484</v>
      </c>
      <c r="L333" t="s">
        <v>21</v>
      </c>
    </row>
    <row r="334" spans="1:12">
      <c r="A334" t="s">
        <v>486</v>
      </c>
      <c r="B334" t="s">
        <v>475</v>
      </c>
      <c r="C334" t="s">
        <v>80</v>
      </c>
      <c r="D334">
        <v>1962</v>
      </c>
      <c r="E334" t="s">
        <v>29</v>
      </c>
      <c r="F334" t="s">
        <v>30</v>
      </c>
      <c r="G334" t="s">
        <v>31</v>
      </c>
      <c r="H334" t="s">
        <v>32</v>
      </c>
      <c r="I334">
        <v>10991.206759999999</v>
      </c>
      <c r="J334" t="s">
        <v>33</v>
      </c>
      <c r="K334" t="s">
        <v>484</v>
      </c>
      <c r="L334" t="s">
        <v>21</v>
      </c>
    </row>
    <row r="335" spans="1:12">
      <c r="A335" t="s">
        <v>487</v>
      </c>
      <c r="B335" t="s">
        <v>475</v>
      </c>
      <c r="C335" t="s">
        <v>80</v>
      </c>
      <c r="D335">
        <v>1967</v>
      </c>
      <c r="E335" t="s">
        <v>15</v>
      </c>
      <c r="F335" t="s">
        <v>16</v>
      </c>
      <c r="G335" t="s">
        <v>17</v>
      </c>
      <c r="H335" t="s">
        <v>18</v>
      </c>
      <c r="I335">
        <v>70.94</v>
      </c>
      <c r="J335" t="s">
        <v>19</v>
      </c>
      <c r="K335" t="s">
        <v>488</v>
      </c>
      <c r="L335" t="s">
        <v>21</v>
      </c>
    </row>
    <row r="336" spans="1:12">
      <c r="A336" t="s">
        <v>489</v>
      </c>
      <c r="B336" t="s">
        <v>475</v>
      </c>
      <c r="C336" t="s">
        <v>80</v>
      </c>
      <c r="D336">
        <v>1967</v>
      </c>
      <c r="E336" t="s">
        <v>23</v>
      </c>
      <c r="F336" t="s">
        <v>24</v>
      </c>
      <c r="G336" t="s">
        <v>25</v>
      </c>
      <c r="H336" t="s">
        <v>26</v>
      </c>
      <c r="I336">
        <v>9556500</v>
      </c>
      <c r="J336" t="s">
        <v>27</v>
      </c>
      <c r="K336" t="s">
        <v>488</v>
      </c>
      <c r="L336" t="s">
        <v>21</v>
      </c>
    </row>
    <row r="337" spans="1:12">
      <c r="A337" t="s">
        <v>490</v>
      </c>
      <c r="B337" t="s">
        <v>475</v>
      </c>
      <c r="C337" t="s">
        <v>80</v>
      </c>
      <c r="D337">
        <v>1967</v>
      </c>
      <c r="E337" t="s">
        <v>29</v>
      </c>
      <c r="F337" t="s">
        <v>30</v>
      </c>
      <c r="G337" t="s">
        <v>31</v>
      </c>
      <c r="H337" t="s">
        <v>32</v>
      </c>
      <c r="I337">
        <v>13149.04119</v>
      </c>
      <c r="J337" t="s">
        <v>33</v>
      </c>
      <c r="K337" t="s">
        <v>488</v>
      </c>
      <c r="L337" t="s">
        <v>21</v>
      </c>
    </row>
    <row r="338" spans="1:12">
      <c r="A338" t="s">
        <v>491</v>
      </c>
      <c r="B338" t="s">
        <v>475</v>
      </c>
      <c r="C338" t="s">
        <v>80</v>
      </c>
      <c r="D338">
        <v>1972</v>
      </c>
      <c r="E338" t="s">
        <v>15</v>
      </c>
      <c r="F338" t="s">
        <v>16</v>
      </c>
      <c r="G338" t="s">
        <v>17</v>
      </c>
      <c r="H338" t="s">
        <v>18</v>
      </c>
      <c r="I338">
        <v>71.44</v>
      </c>
      <c r="J338" t="s">
        <v>19</v>
      </c>
      <c r="K338" t="s">
        <v>492</v>
      </c>
      <c r="L338" t="s">
        <v>21</v>
      </c>
    </row>
    <row r="339" spans="1:12">
      <c r="A339" t="s">
        <v>493</v>
      </c>
      <c r="B339" t="s">
        <v>475</v>
      </c>
      <c r="C339" t="s">
        <v>80</v>
      </c>
      <c r="D339">
        <v>1972</v>
      </c>
      <c r="E339" t="s">
        <v>23</v>
      </c>
      <c r="F339" t="s">
        <v>24</v>
      </c>
      <c r="G339" t="s">
        <v>25</v>
      </c>
      <c r="H339" t="s">
        <v>26</v>
      </c>
      <c r="I339">
        <v>9709100</v>
      </c>
      <c r="J339" t="s">
        <v>27</v>
      </c>
      <c r="K339" t="s">
        <v>492</v>
      </c>
      <c r="L339" t="s">
        <v>21</v>
      </c>
    </row>
    <row r="340" spans="1:12">
      <c r="A340" t="s">
        <v>494</v>
      </c>
      <c r="B340" t="s">
        <v>475</v>
      </c>
      <c r="C340" t="s">
        <v>80</v>
      </c>
      <c r="D340">
        <v>1972</v>
      </c>
      <c r="E340" t="s">
        <v>29</v>
      </c>
      <c r="F340" t="s">
        <v>30</v>
      </c>
      <c r="G340" t="s">
        <v>31</v>
      </c>
      <c r="H340" t="s">
        <v>32</v>
      </c>
      <c r="I340">
        <v>16672.14356</v>
      </c>
      <c r="J340" t="s">
        <v>33</v>
      </c>
      <c r="K340" t="s">
        <v>492</v>
      </c>
      <c r="L340" t="s">
        <v>21</v>
      </c>
    </row>
    <row r="341" spans="1:12">
      <c r="A341" t="s">
        <v>495</v>
      </c>
      <c r="B341" t="s">
        <v>475</v>
      </c>
      <c r="C341" t="s">
        <v>80</v>
      </c>
      <c r="D341">
        <v>1977</v>
      </c>
      <c r="E341" t="s">
        <v>15</v>
      </c>
      <c r="F341" t="s">
        <v>16</v>
      </c>
      <c r="G341" t="s">
        <v>17</v>
      </c>
      <c r="H341" t="s">
        <v>18</v>
      </c>
      <c r="I341">
        <v>72.8</v>
      </c>
      <c r="J341" t="s">
        <v>19</v>
      </c>
      <c r="K341" t="s">
        <v>496</v>
      </c>
      <c r="L341" t="s">
        <v>21</v>
      </c>
    </row>
    <row r="342" spans="1:12">
      <c r="A342" t="s">
        <v>497</v>
      </c>
      <c r="B342" t="s">
        <v>475</v>
      </c>
      <c r="C342" t="s">
        <v>80</v>
      </c>
      <c r="D342">
        <v>1977</v>
      </c>
      <c r="E342" t="s">
        <v>23</v>
      </c>
      <c r="F342" t="s">
        <v>24</v>
      </c>
      <c r="G342" t="s">
        <v>25</v>
      </c>
      <c r="H342" t="s">
        <v>26</v>
      </c>
      <c r="I342">
        <v>9821800</v>
      </c>
      <c r="J342" t="s">
        <v>27</v>
      </c>
      <c r="K342" t="s">
        <v>496</v>
      </c>
      <c r="L342" t="s">
        <v>21</v>
      </c>
    </row>
    <row r="343" spans="1:12">
      <c r="A343" t="s">
        <v>498</v>
      </c>
      <c r="B343" t="s">
        <v>475</v>
      </c>
      <c r="C343" t="s">
        <v>80</v>
      </c>
      <c r="D343">
        <v>1977</v>
      </c>
      <c r="E343" t="s">
        <v>29</v>
      </c>
      <c r="F343" t="s">
        <v>30</v>
      </c>
      <c r="G343" t="s">
        <v>31</v>
      </c>
      <c r="H343" t="s">
        <v>32</v>
      </c>
      <c r="I343">
        <v>19117.974480000001</v>
      </c>
      <c r="J343" t="s">
        <v>33</v>
      </c>
      <c r="K343" t="s">
        <v>496</v>
      </c>
      <c r="L343" t="s">
        <v>21</v>
      </c>
    </row>
    <row r="344" spans="1:12">
      <c r="A344" t="s">
        <v>499</v>
      </c>
      <c r="B344" t="s">
        <v>475</v>
      </c>
      <c r="C344" t="s">
        <v>80</v>
      </c>
      <c r="D344">
        <v>1982</v>
      </c>
      <c r="E344" t="s">
        <v>15</v>
      </c>
      <c r="F344" t="s">
        <v>16</v>
      </c>
      <c r="G344" t="s">
        <v>17</v>
      </c>
      <c r="H344" t="s">
        <v>18</v>
      </c>
      <c r="I344">
        <v>73.930000000000007</v>
      </c>
      <c r="J344" t="s">
        <v>19</v>
      </c>
      <c r="K344" t="s">
        <v>500</v>
      </c>
      <c r="L344" t="s">
        <v>21</v>
      </c>
    </row>
    <row r="345" spans="1:12">
      <c r="A345" t="s">
        <v>501</v>
      </c>
      <c r="B345" t="s">
        <v>475</v>
      </c>
      <c r="C345" t="s">
        <v>80</v>
      </c>
      <c r="D345">
        <v>1982</v>
      </c>
      <c r="E345" t="s">
        <v>23</v>
      </c>
      <c r="F345" t="s">
        <v>24</v>
      </c>
      <c r="G345" t="s">
        <v>25</v>
      </c>
      <c r="H345" t="s">
        <v>26</v>
      </c>
      <c r="I345">
        <v>9856303</v>
      </c>
      <c r="J345" t="s">
        <v>27</v>
      </c>
      <c r="K345" t="s">
        <v>500</v>
      </c>
      <c r="L345" t="s">
        <v>21</v>
      </c>
    </row>
    <row r="346" spans="1:12">
      <c r="A346" t="s">
        <v>502</v>
      </c>
      <c r="B346" t="s">
        <v>475</v>
      </c>
      <c r="C346" t="s">
        <v>80</v>
      </c>
      <c r="D346">
        <v>1982</v>
      </c>
      <c r="E346" t="s">
        <v>29</v>
      </c>
      <c r="F346" t="s">
        <v>30</v>
      </c>
      <c r="G346" t="s">
        <v>31</v>
      </c>
      <c r="H346" t="s">
        <v>32</v>
      </c>
      <c r="I346">
        <v>20979.845890000001</v>
      </c>
      <c r="J346" t="s">
        <v>33</v>
      </c>
      <c r="K346" t="s">
        <v>500</v>
      </c>
      <c r="L346" t="s">
        <v>21</v>
      </c>
    </row>
    <row r="347" spans="1:12">
      <c r="A347" t="s">
        <v>503</v>
      </c>
      <c r="B347" t="s">
        <v>475</v>
      </c>
      <c r="C347" t="s">
        <v>80</v>
      </c>
      <c r="D347">
        <v>1987</v>
      </c>
      <c r="E347" t="s">
        <v>15</v>
      </c>
      <c r="F347" t="s">
        <v>16</v>
      </c>
      <c r="G347" t="s">
        <v>17</v>
      </c>
      <c r="H347" t="s">
        <v>18</v>
      </c>
      <c r="I347">
        <v>75.349999999999994</v>
      </c>
      <c r="J347" t="s">
        <v>19</v>
      </c>
      <c r="K347" t="s">
        <v>504</v>
      </c>
      <c r="L347" t="s">
        <v>21</v>
      </c>
    </row>
    <row r="348" spans="1:12">
      <c r="A348" t="s">
        <v>505</v>
      </c>
      <c r="B348" t="s">
        <v>475</v>
      </c>
      <c r="C348" t="s">
        <v>80</v>
      </c>
      <c r="D348">
        <v>1987</v>
      </c>
      <c r="E348" t="s">
        <v>23</v>
      </c>
      <c r="F348" t="s">
        <v>24</v>
      </c>
      <c r="G348" t="s">
        <v>25</v>
      </c>
      <c r="H348" t="s">
        <v>26</v>
      </c>
      <c r="I348">
        <v>9870200</v>
      </c>
      <c r="J348" t="s">
        <v>27</v>
      </c>
      <c r="K348" t="s">
        <v>504</v>
      </c>
      <c r="L348" t="s">
        <v>21</v>
      </c>
    </row>
    <row r="349" spans="1:12">
      <c r="A349" t="s">
        <v>506</v>
      </c>
      <c r="B349" t="s">
        <v>475</v>
      </c>
      <c r="C349" t="s">
        <v>80</v>
      </c>
      <c r="D349">
        <v>1987</v>
      </c>
      <c r="E349" t="s">
        <v>29</v>
      </c>
      <c r="F349" t="s">
        <v>30</v>
      </c>
      <c r="G349" t="s">
        <v>31</v>
      </c>
      <c r="H349" t="s">
        <v>32</v>
      </c>
      <c r="I349">
        <v>22525.56308</v>
      </c>
      <c r="J349" t="s">
        <v>33</v>
      </c>
      <c r="K349" t="s">
        <v>504</v>
      </c>
      <c r="L349" t="s">
        <v>21</v>
      </c>
    </row>
    <row r="350" spans="1:12">
      <c r="A350" t="s">
        <v>507</v>
      </c>
      <c r="B350" t="s">
        <v>475</v>
      </c>
      <c r="C350" t="s">
        <v>80</v>
      </c>
      <c r="D350">
        <v>1992</v>
      </c>
      <c r="E350" t="s">
        <v>15</v>
      </c>
      <c r="F350" t="s">
        <v>16</v>
      </c>
      <c r="G350" t="s">
        <v>17</v>
      </c>
      <c r="H350" t="s">
        <v>18</v>
      </c>
      <c r="I350">
        <v>76.459999999999994</v>
      </c>
      <c r="J350" t="s">
        <v>19</v>
      </c>
      <c r="K350" t="s">
        <v>508</v>
      </c>
      <c r="L350" t="s">
        <v>21</v>
      </c>
    </row>
    <row r="351" spans="1:12">
      <c r="A351" t="s">
        <v>509</v>
      </c>
      <c r="B351" t="s">
        <v>475</v>
      </c>
      <c r="C351" t="s">
        <v>80</v>
      </c>
      <c r="D351">
        <v>1992</v>
      </c>
      <c r="E351" t="s">
        <v>23</v>
      </c>
      <c r="F351" t="s">
        <v>24</v>
      </c>
      <c r="G351" t="s">
        <v>25</v>
      </c>
      <c r="H351" t="s">
        <v>26</v>
      </c>
      <c r="I351">
        <v>10045622</v>
      </c>
      <c r="J351" t="s">
        <v>27</v>
      </c>
      <c r="K351" t="s">
        <v>508</v>
      </c>
      <c r="L351" t="s">
        <v>21</v>
      </c>
    </row>
    <row r="352" spans="1:12">
      <c r="A352" t="s">
        <v>510</v>
      </c>
      <c r="B352" t="s">
        <v>475</v>
      </c>
      <c r="C352" t="s">
        <v>80</v>
      </c>
      <c r="D352">
        <v>1992</v>
      </c>
      <c r="E352" t="s">
        <v>29</v>
      </c>
      <c r="F352" t="s">
        <v>30</v>
      </c>
      <c r="G352" t="s">
        <v>31</v>
      </c>
      <c r="H352" t="s">
        <v>32</v>
      </c>
      <c r="I352">
        <v>25575.57069</v>
      </c>
      <c r="J352" t="s">
        <v>33</v>
      </c>
      <c r="K352" t="s">
        <v>508</v>
      </c>
      <c r="L352" t="s">
        <v>21</v>
      </c>
    </row>
    <row r="353" spans="1:12">
      <c r="A353" t="s">
        <v>511</v>
      </c>
      <c r="B353" t="s">
        <v>475</v>
      </c>
      <c r="C353" t="s">
        <v>80</v>
      </c>
      <c r="D353">
        <v>1997</v>
      </c>
      <c r="E353" t="s">
        <v>15</v>
      </c>
      <c r="F353" t="s">
        <v>16</v>
      </c>
      <c r="G353" t="s">
        <v>17</v>
      </c>
      <c r="H353" t="s">
        <v>18</v>
      </c>
      <c r="I353">
        <v>77.53</v>
      </c>
      <c r="J353" t="s">
        <v>19</v>
      </c>
      <c r="K353" t="s">
        <v>512</v>
      </c>
      <c r="L353" t="s">
        <v>21</v>
      </c>
    </row>
    <row r="354" spans="1:12">
      <c r="A354" t="s">
        <v>513</v>
      </c>
      <c r="B354" t="s">
        <v>475</v>
      </c>
      <c r="C354" t="s">
        <v>80</v>
      </c>
      <c r="D354">
        <v>1997</v>
      </c>
      <c r="E354" t="s">
        <v>23</v>
      </c>
      <c r="F354" t="s">
        <v>24</v>
      </c>
      <c r="G354" t="s">
        <v>25</v>
      </c>
      <c r="H354" t="s">
        <v>26</v>
      </c>
      <c r="I354">
        <v>10199787</v>
      </c>
      <c r="J354" t="s">
        <v>27</v>
      </c>
      <c r="K354" t="s">
        <v>512</v>
      </c>
      <c r="L354" t="s">
        <v>21</v>
      </c>
    </row>
    <row r="355" spans="1:12">
      <c r="A355" t="s">
        <v>514</v>
      </c>
      <c r="B355" t="s">
        <v>475</v>
      </c>
      <c r="C355" t="s">
        <v>80</v>
      </c>
      <c r="D355">
        <v>1997</v>
      </c>
      <c r="E355" t="s">
        <v>29</v>
      </c>
      <c r="F355" t="s">
        <v>30</v>
      </c>
      <c r="G355" t="s">
        <v>31</v>
      </c>
      <c r="H355" t="s">
        <v>32</v>
      </c>
      <c r="I355">
        <v>27561.196629999999</v>
      </c>
      <c r="J355" t="s">
        <v>33</v>
      </c>
      <c r="K355" t="s">
        <v>512</v>
      </c>
      <c r="L355" t="s">
        <v>21</v>
      </c>
    </row>
    <row r="356" spans="1:12">
      <c r="A356" t="s">
        <v>515</v>
      </c>
      <c r="B356" t="s">
        <v>475</v>
      </c>
      <c r="C356" t="s">
        <v>80</v>
      </c>
      <c r="D356">
        <v>2002</v>
      </c>
      <c r="E356" t="s">
        <v>15</v>
      </c>
      <c r="F356" t="s">
        <v>16</v>
      </c>
      <c r="G356" t="s">
        <v>17</v>
      </c>
      <c r="H356" t="s">
        <v>18</v>
      </c>
      <c r="I356">
        <v>78.319999999999993</v>
      </c>
      <c r="J356" t="s">
        <v>19</v>
      </c>
      <c r="K356" t="s">
        <v>516</v>
      </c>
      <c r="L356" t="s">
        <v>21</v>
      </c>
    </row>
    <row r="357" spans="1:12">
      <c r="A357" t="s">
        <v>517</v>
      </c>
      <c r="B357" t="s">
        <v>475</v>
      </c>
      <c r="C357" t="s">
        <v>80</v>
      </c>
      <c r="D357">
        <v>2002</v>
      </c>
      <c r="E357" t="s">
        <v>23</v>
      </c>
      <c r="F357" t="s">
        <v>24</v>
      </c>
      <c r="G357" t="s">
        <v>25</v>
      </c>
      <c r="H357" t="s">
        <v>26</v>
      </c>
      <c r="I357">
        <v>10311970</v>
      </c>
      <c r="J357" t="s">
        <v>27</v>
      </c>
      <c r="K357" t="s">
        <v>516</v>
      </c>
      <c r="L357" t="s">
        <v>21</v>
      </c>
    </row>
    <row r="358" spans="1:12">
      <c r="A358" t="s">
        <v>518</v>
      </c>
      <c r="B358" t="s">
        <v>475</v>
      </c>
      <c r="C358" t="s">
        <v>80</v>
      </c>
      <c r="D358">
        <v>2002</v>
      </c>
      <c r="E358" t="s">
        <v>29</v>
      </c>
      <c r="F358" t="s">
        <v>30</v>
      </c>
      <c r="G358" t="s">
        <v>31</v>
      </c>
      <c r="H358" t="s">
        <v>32</v>
      </c>
      <c r="I358">
        <v>30485.883750000001</v>
      </c>
      <c r="J358" t="s">
        <v>33</v>
      </c>
      <c r="K358" t="s">
        <v>516</v>
      </c>
      <c r="L358" t="s">
        <v>21</v>
      </c>
    </row>
    <row r="359" spans="1:12">
      <c r="A359" t="s">
        <v>519</v>
      </c>
      <c r="B359" t="s">
        <v>475</v>
      </c>
      <c r="C359" t="s">
        <v>80</v>
      </c>
      <c r="D359">
        <v>2007</v>
      </c>
      <c r="E359" t="s">
        <v>15</v>
      </c>
      <c r="F359" t="s">
        <v>16</v>
      </c>
      <c r="G359" t="s">
        <v>17</v>
      </c>
      <c r="H359" t="s">
        <v>18</v>
      </c>
      <c r="I359">
        <v>79.441000000000003</v>
      </c>
      <c r="J359" t="s">
        <v>19</v>
      </c>
      <c r="K359" t="s">
        <v>520</v>
      </c>
      <c r="L359" t="s">
        <v>21</v>
      </c>
    </row>
    <row r="360" spans="1:12">
      <c r="A360" t="s">
        <v>521</v>
      </c>
      <c r="B360" t="s">
        <v>475</v>
      </c>
      <c r="C360" t="s">
        <v>80</v>
      </c>
      <c r="D360">
        <v>2007</v>
      </c>
      <c r="E360" t="s">
        <v>23</v>
      </c>
      <c r="F360" t="s">
        <v>24</v>
      </c>
      <c r="G360" t="s">
        <v>25</v>
      </c>
      <c r="H360" t="s">
        <v>26</v>
      </c>
      <c r="I360">
        <v>10392226</v>
      </c>
      <c r="J360" t="s">
        <v>27</v>
      </c>
      <c r="K360" t="s">
        <v>520</v>
      </c>
      <c r="L360" t="s">
        <v>21</v>
      </c>
    </row>
    <row r="361" spans="1:12">
      <c r="A361" t="s">
        <v>522</v>
      </c>
      <c r="B361" t="s">
        <v>475</v>
      </c>
      <c r="C361" t="s">
        <v>80</v>
      </c>
      <c r="D361">
        <v>2007</v>
      </c>
      <c r="E361" t="s">
        <v>29</v>
      </c>
      <c r="F361" t="s">
        <v>30</v>
      </c>
      <c r="G361" t="s">
        <v>31</v>
      </c>
      <c r="H361" t="s">
        <v>32</v>
      </c>
      <c r="I361">
        <v>33692.605080000001</v>
      </c>
      <c r="J361" t="s">
        <v>33</v>
      </c>
      <c r="K361" t="s">
        <v>520</v>
      </c>
      <c r="L361" t="s">
        <v>21</v>
      </c>
    </row>
    <row r="362" spans="1:12">
      <c r="A362" t="s">
        <v>523</v>
      </c>
      <c r="B362" t="s">
        <v>524</v>
      </c>
      <c r="C362" t="s">
        <v>130</v>
      </c>
      <c r="D362">
        <v>1952</v>
      </c>
      <c r="E362" t="s">
        <v>15</v>
      </c>
      <c r="F362" t="s">
        <v>16</v>
      </c>
      <c r="G362" t="s">
        <v>17</v>
      </c>
      <c r="H362" t="s">
        <v>18</v>
      </c>
      <c r="I362">
        <v>38.222999999999999</v>
      </c>
      <c r="J362" t="s">
        <v>19</v>
      </c>
      <c r="K362" t="s">
        <v>525</v>
      </c>
      <c r="L362" t="s">
        <v>21</v>
      </c>
    </row>
    <row r="363" spans="1:12">
      <c r="A363" t="s">
        <v>526</v>
      </c>
      <c r="B363" t="s">
        <v>524</v>
      </c>
      <c r="C363" t="s">
        <v>130</v>
      </c>
      <c r="D363">
        <v>1952</v>
      </c>
      <c r="E363" t="s">
        <v>23</v>
      </c>
      <c r="F363" t="s">
        <v>24</v>
      </c>
      <c r="G363" t="s">
        <v>25</v>
      </c>
      <c r="H363" t="s">
        <v>26</v>
      </c>
      <c r="I363">
        <v>1738315</v>
      </c>
      <c r="J363" t="s">
        <v>27</v>
      </c>
      <c r="K363" t="s">
        <v>525</v>
      </c>
      <c r="L363" t="s">
        <v>21</v>
      </c>
    </row>
    <row r="364" spans="1:12">
      <c r="A364" t="s">
        <v>527</v>
      </c>
      <c r="B364" t="s">
        <v>524</v>
      </c>
      <c r="C364" t="s">
        <v>130</v>
      </c>
      <c r="D364">
        <v>1952</v>
      </c>
      <c r="E364" t="s">
        <v>29</v>
      </c>
      <c r="F364" t="s">
        <v>30</v>
      </c>
      <c r="G364" t="s">
        <v>31</v>
      </c>
      <c r="H364" t="s">
        <v>32</v>
      </c>
      <c r="I364">
        <v>1062.7521999999999</v>
      </c>
      <c r="J364" t="s">
        <v>33</v>
      </c>
      <c r="K364" t="s">
        <v>525</v>
      </c>
      <c r="L364" t="s">
        <v>21</v>
      </c>
    </row>
    <row r="365" spans="1:12">
      <c r="A365" t="s">
        <v>528</v>
      </c>
      <c r="B365" t="s">
        <v>524</v>
      </c>
      <c r="C365" t="s">
        <v>130</v>
      </c>
      <c r="D365">
        <v>1957</v>
      </c>
      <c r="E365" t="s">
        <v>15</v>
      </c>
      <c r="F365" t="s">
        <v>16</v>
      </c>
      <c r="G365" t="s">
        <v>17</v>
      </c>
      <c r="H365" t="s">
        <v>18</v>
      </c>
      <c r="I365">
        <v>40.357999999999997</v>
      </c>
      <c r="J365" t="s">
        <v>19</v>
      </c>
      <c r="K365" t="s">
        <v>529</v>
      </c>
      <c r="L365" t="s">
        <v>21</v>
      </c>
    </row>
    <row r="366" spans="1:12">
      <c r="A366" t="s">
        <v>530</v>
      </c>
      <c r="B366" t="s">
        <v>524</v>
      </c>
      <c r="C366" t="s">
        <v>130</v>
      </c>
      <c r="D366">
        <v>1957</v>
      </c>
      <c r="E366" t="s">
        <v>23</v>
      </c>
      <c r="F366" t="s">
        <v>24</v>
      </c>
      <c r="G366" t="s">
        <v>25</v>
      </c>
      <c r="H366" t="s">
        <v>26</v>
      </c>
      <c r="I366">
        <v>1925173</v>
      </c>
      <c r="J366" t="s">
        <v>27</v>
      </c>
      <c r="K366" t="s">
        <v>529</v>
      </c>
      <c r="L366" t="s">
        <v>21</v>
      </c>
    </row>
    <row r="367" spans="1:12">
      <c r="A367" t="s">
        <v>531</v>
      </c>
      <c r="B367" t="s">
        <v>524</v>
      </c>
      <c r="C367" t="s">
        <v>130</v>
      </c>
      <c r="D367">
        <v>1957</v>
      </c>
      <c r="E367" t="s">
        <v>29</v>
      </c>
      <c r="F367" t="s">
        <v>30</v>
      </c>
      <c r="G367" t="s">
        <v>31</v>
      </c>
      <c r="H367" t="s">
        <v>32</v>
      </c>
      <c r="I367">
        <v>959.60108049999997</v>
      </c>
      <c r="J367" t="s">
        <v>33</v>
      </c>
      <c r="K367" t="s">
        <v>529</v>
      </c>
      <c r="L367" t="s">
        <v>21</v>
      </c>
    </row>
    <row r="368" spans="1:12">
      <c r="A368" t="s">
        <v>532</v>
      </c>
      <c r="B368" t="s">
        <v>524</v>
      </c>
      <c r="C368" t="s">
        <v>130</v>
      </c>
      <c r="D368">
        <v>1962</v>
      </c>
      <c r="E368" t="s">
        <v>15</v>
      </c>
      <c r="F368" t="s">
        <v>16</v>
      </c>
      <c r="G368" t="s">
        <v>17</v>
      </c>
      <c r="H368" t="s">
        <v>18</v>
      </c>
      <c r="I368">
        <v>42.618000000000002</v>
      </c>
      <c r="J368" t="s">
        <v>19</v>
      </c>
      <c r="K368" t="s">
        <v>533</v>
      </c>
      <c r="L368" t="s">
        <v>21</v>
      </c>
    </row>
    <row r="369" spans="1:12">
      <c r="A369" t="s">
        <v>534</v>
      </c>
      <c r="B369" t="s">
        <v>524</v>
      </c>
      <c r="C369" t="s">
        <v>130</v>
      </c>
      <c r="D369">
        <v>1962</v>
      </c>
      <c r="E369" t="s">
        <v>23</v>
      </c>
      <c r="F369" t="s">
        <v>24</v>
      </c>
      <c r="G369" t="s">
        <v>25</v>
      </c>
      <c r="H369" t="s">
        <v>26</v>
      </c>
      <c r="I369">
        <v>2151895</v>
      </c>
      <c r="J369" t="s">
        <v>27</v>
      </c>
      <c r="K369" t="s">
        <v>533</v>
      </c>
      <c r="L369" t="s">
        <v>21</v>
      </c>
    </row>
    <row r="370" spans="1:12">
      <c r="A370" t="s">
        <v>535</v>
      </c>
      <c r="B370" t="s">
        <v>524</v>
      </c>
      <c r="C370" t="s">
        <v>130</v>
      </c>
      <c r="D370">
        <v>1962</v>
      </c>
      <c r="E370" t="s">
        <v>29</v>
      </c>
      <c r="F370" t="s">
        <v>30</v>
      </c>
      <c r="G370" t="s">
        <v>31</v>
      </c>
      <c r="H370" t="s">
        <v>32</v>
      </c>
      <c r="I370">
        <v>949.49906410000006</v>
      </c>
      <c r="J370" t="s">
        <v>33</v>
      </c>
      <c r="K370" t="s">
        <v>533</v>
      </c>
      <c r="L370" t="s">
        <v>21</v>
      </c>
    </row>
    <row r="371" spans="1:12">
      <c r="A371" t="s">
        <v>536</v>
      </c>
      <c r="B371" t="s">
        <v>524</v>
      </c>
      <c r="C371" t="s">
        <v>130</v>
      </c>
      <c r="D371">
        <v>1967</v>
      </c>
      <c r="E371" t="s">
        <v>15</v>
      </c>
      <c r="F371" t="s">
        <v>16</v>
      </c>
      <c r="G371" t="s">
        <v>17</v>
      </c>
      <c r="H371" t="s">
        <v>18</v>
      </c>
      <c r="I371">
        <v>44.884999999999998</v>
      </c>
      <c r="J371" t="s">
        <v>19</v>
      </c>
      <c r="K371" t="s">
        <v>537</v>
      </c>
      <c r="L371" t="s">
        <v>21</v>
      </c>
    </row>
    <row r="372" spans="1:12">
      <c r="A372" t="s">
        <v>538</v>
      </c>
      <c r="B372" t="s">
        <v>524</v>
      </c>
      <c r="C372" t="s">
        <v>130</v>
      </c>
      <c r="D372">
        <v>1967</v>
      </c>
      <c r="E372" t="s">
        <v>23</v>
      </c>
      <c r="F372" t="s">
        <v>24</v>
      </c>
      <c r="G372" t="s">
        <v>25</v>
      </c>
      <c r="H372" t="s">
        <v>26</v>
      </c>
      <c r="I372">
        <v>2427334</v>
      </c>
      <c r="J372" t="s">
        <v>27</v>
      </c>
      <c r="K372" t="s">
        <v>537</v>
      </c>
      <c r="L372" t="s">
        <v>21</v>
      </c>
    </row>
    <row r="373" spans="1:12">
      <c r="A373" t="s">
        <v>539</v>
      </c>
      <c r="B373" t="s">
        <v>524</v>
      </c>
      <c r="C373" t="s">
        <v>130</v>
      </c>
      <c r="D373">
        <v>1967</v>
      </c>
      <c r="E373" t="s">
        <v>29</v>
      </c>
      <c r="F373" t="s">
        <v>30</v>
      </c>
      <c r="G373" t="s">
        <v>31</v>
      </c>
      <c r="H373" t="s">
        <v>32</v>
      </c>
      <c r="I373">
        <v>1035.8314109999999</v>
      </c>
      <c r="J373" t="s">
        <v>33</v>
      </c>
      <c r="K373" t="s">
        <v>537</v>
      </c>
      <c r="L373" t="s">
        <v>21</v>
      </c>
    </row>
    <row r="374" spans="1:12">
      <c r="A374" t="s">
        <v>540</v>
      </c>
      <c r="B374" t="s">
        <v>524</v>
      </c>
      <c r="C374" t="s">
        <v>130</v>
      </c>
      <c r="D374">
        <v>1972</v>
      </c>
      <c r="E374" t="s">
        <v>15</v>
      </c>
      <c r="F374" t="s">
        <v>16</v>
      </c>
      <c r="G374" t="s">
        <v>17</v>
      </c>
      <c r="H374" t="s">
        <v>18</v>
      </c>
      <c r="I374">
        <v>47.014000000000003</v>
      </c>
      <c r="J374" t="s">
        <v>19</v>
      </c>
      <c r="K374" t="s">
        <v>541</v>
      </c>
      <c r="L374" t="s">
        <v>21</v>
      </c>
    </row>
    <row r="375" spans="1:12">
      <c r="A375" t="s">
        <v>542</v>
      </c>
      <c r="B375" t="s">
        <v>524</v>
      </c>
      <c r="C375" t="s">
        <v>130</v>
      </c>
      <c r="D375">
        <v>1972</v>
      </c>
      <c r="E375" t="s">
        <v>23</v>
      </c>
      <c r="F375" t="s">
        <v>24</v>
      </c>
      <c r="G375" t="s">
        <v>25</v>
      </c>
      <c r="H375" t="s">
        <v>26</v>
      </c>
      <c r="I375">
        <v>2761407</v>
      </c>
      <c r="J375" t="s">
        <v>27</v>
      </c>
      <c r="K375" t="s">
        <v>541</v>
      </c>
      <c r="L375" t="s">
        <v>21</v>
      </c>
    </row>
    <row r="376" spans="1:12">
      <c r="A376" t="s">
        <v>543</v>
      </c>
      <c r="B376" t="s">
        <v>524</v>
      </c>
      <c r="C376" t="s">
        <v>130</v>
      </c>
      <c r="D376">
        <v>1972</v>
      </c>
      <c r="E376" t="s">
        <v>29</v>
      </c>
      <c r="F376" t="s">
        <v>30</v>
      </c>
      <c r="G376" t="s">
        <v>31</v>
      </c>
      <c r="H376" t="s">
        <v>32</v>
      </c>
      <c r="I376">
        <v>1085.796879</v>
      </c>
      <c r="J376" t="s">
        <v>33</v>
      </c>
      <c r="K376" t="s">
        <v>541</v>
      </c>
      <c r="L376" t="s">
        <v>21</v>
      </c>
    </row>
    <row r="377" spans="1:12">
      <c r="A377" t="s">
        <v>544</v>
      </c>
      <c r="B377" t="s">
        <v>524</v>
      </c>
      <c r="C377" t="s">
        <v>130</v>
      </c>
      <c r="D377">
        <v>1977</v>
      </c>
      <c r="E377" t="s">
        <v>15</v>
      </c>
      <c r="F377" t="s">
        <v>16</v>
      </c>
      <c r="G377" t="s">
        <v>17</v>
      </c>
      <c r="H377" t="s">
        <v>18</v>
      </c>
      <c r="I377">
        <v>49.19</v>
      </c>
      <c r="J377" t="s">
        <v>19</v>
      </c>
      <c r="K377" t="s">
        <v>545</v>
      </c>
      <c r="L377" t="s">
        <v>21</v>
      </c>
    </row>
    <row r="378" spans="1:12">
      <c r="A378" t="s">
        <v>546</v>
      </c>
      <c r="B378" t="s">
        <v>524</v>
      </c>
      <c r="C378" t="s">
        <v>130</v>
      </c>
      <c r="D378">
        <v>1977</v>
      </c>
      <c r="E378" t="s">
        <v>23</v>
      </c>
      <c r="F378" t="s">
        <v>24</v>
      </c>
      <c r="G378" t="s">
        <v>25</v>
      </c>
      <c r="H378" t="s">
        <v>26</v>
      </c>
      <c r="I378">
        <v>3168267</v>
      </c>
      <c r="J378" t="s">
        <v>27</v>
      </c>
      <c r="K378" t="s">
        <v>545</v>
      </c>
      <c r="L378" t="s">
        <v>21</v>
      </c>
    </row>
    <row r="379" spans="1:12">
      <c r="A379" t="s">
        <v>547</v>
      </c>
      <c r="B379" t="s">
        <v>524</v>
      </c>
      <c r="C379" t="s">
        <v>130</v>
      </c>
      <c r="D379">
        <v>1977</v>
      </c>
      <c r="E379" t="s">
        <v>29</v>
      </c>
      <c r="F379" t="s">
        <v>30</v>
      </c>
      <c r="G379" t="s">
        <v>31</v>
      </c>
      <c r="H379" t="s">
        <v>32</v>
      </c>
      <c r="I379">
        <v>1029.161251</v>
      </c>
      <c r="J379" t="s">
        <v>33</v>
      </c>
      <c r="K379" t="s">
        <v>545</v>
      </c>
      <c r="L379" t="s">
        <v>21</v>
      </c>
    </row>
    <row r="380" spans="1:12">
      <c r="A380" t="s">
        <v>548</v>
      </c>
      <c r="B380" t="s">
        <v>524</v>
      </c>
      <c r="C380" t="s">
        <v>130</v>
      </c>
      <c r="D380">
        <v>1982</v>
      </c>
      <c r="E380" t="s">
        <v>15</v>
      </c>
      <c r="F380" t="s">
        <v>16</v>
      </c>
      <c r="G380" t="s">
        <v>17</v>
      </c>
      <c r="H380" t="s">
        <v>18</v>
      </c>
      <c r="I380">
        <v>50.904000000000003</v>
      </c>
      <c r="J380" t="s">
        <v>19</v>
      </c>
      <c r="K380" t="s">
        <v>549</v>
      </c>
      <c r="L380" t="s">
        <v>21</v>
      </c>
    </row>
    <row r="381" spans="1:12">
      <c r="A381" t="s">
        <v>550</v>
      </c>
      <c r="B381" t="s">
        <v>524</v>
      </c>
      <c r="C381" t="s">
        <v>130</v>
      </c>
      <c r="D381">
        <v>1982</v>
      </c>
      <c r="E381" t="s">
        <v>23</v>
      </c>
      <c r="F381" t="s">
        <v>24</v>
      </c>
      <c r="G381" t="s">
        <v>25</v>
      </c>
      <c r="H381" t="s">
        <v>26</v>
      </c>
      <c r="I381">
        <v>3641603</v>
      </c>
      <c r="J381" t="s">
        <v>27</v>
      </c>
      <c r="K381" t="s">
        <v>549</v>
      </c>
      <c r="L381" t="s">
        <v>21</v>
      </c>
    </row>
    <row r="382" spans="1:12">
      <c r="A382" t="s">
        <v>551</v>
      </c>
      <c r="B382" t="s">
        <v>524</v>
      </c>
      <c r="C382" t="s">
        <v>130</v>
      </c>
      <c r="D382">
        <v>1982</v>
      </c>
      <c r="E382" t="s">
        <v>29</v>
      </c>
      <c r="F382" t="s">
        <v>30</v>
      </c>
      <c r="G382" t="s">
        <v>31</v>
      </c>
      <c r="H382" t="s">
        <v>32</v>
      </c>
      <c r="I382">
        <v>1277.897616</v>
      </c>
      <c r="J382" t="s">
        <v>33</v>
      </c>
      <c r="K382" t="s">
        <v>549</v>
      </c>
      <c r="L382" t="s">
        <v>21</v>
      </c>
    </row>
    <row r="383" spans="1:12">
      <c r="A383" t="s">
        <v>552</v>
      </c>
      <c r="B383" t="s">
        <v>524</v>
      </c>
      <c r="C383" t="s">
        <v>130</v>
      </c>
      <c r="D383">
        <v>1987</v>
      </c>
      <c r="E383" t="s">
        <v>15</v>
      </c>
      <c r="F383" t="s">
        <v>16</v>
      </c>
      <c r="G383" t="s">
        <v>17</v>
      </c>
      <c r="H383" t="s">
        <v>18</v>
      </c>
      <c r="I383">
        <v>52.337000000000003</v>
      </c>
      <c r="J383" t="s">
        <v>19</v>
      </c>
      <c r="K383" t="s">
        <v>553</v>
      </c>
      <c r="L383" t="s">
        <v>21</v>
      </c>
    </row>
    <row r="384" spans="1:12">
      <c r="A384" t="s">
        <v>554</v>
      </c>
      <c r="B384" t="s">
        <v>524</v>
      </c>
      <c r="C384" t="s">
        <v>130</v>
      </c>
      <c r="D384">
        <v>1987</v>
      </c>
      <c r="E384" t="s">
        <v>23</v>
      </c>
      <c r="F384" t="s">
        <v>24</v>
      </c>
      <c r="G384" t="s">
        <v>25</v>
      </c>
      <c r="H384" t="s">
        <v>26</v>
      </c>
      <c r="I384">
        <v>4243788</v>
      </c>
      <c r="J384" t="s">
        <v>27</v>
      </c>
      <c r="K384" t="s">
        <v>553</v>
      </c>
      <c r="L384" t="s">
        <v>21</v>
      </c>
    </row>
    <row r="385" spans="1:12">
      <c r="A385" t="s">
        <v>555</v>
      </c>
      <c r="B385" t="s">
        <v>524</v>
      </c>
      <c r="C385" t="s">
        <v>130</v>
      </c>
      <c r="D385">
        <v>1987</v>
      </c>
      <c r="E385" t="s">
        <v>29</v>
      </c>
      <c r="F385" t="s">
        <v>30</v>
      </c>
      <c r="G385" t="s">
        <v>31</v>
      </c>
      <c r="H385" t="s">
        <v>32</v>
      </c>
      <c r="I385">
        <v>1225.85601</v>
      </c>
      <c r="J385" t="s">
        <v>33</v>
      </c>
      <c r="K385" t="s">
        <v>553</v>
      </c>
      <c r="L385" t="s">
        <v>21</v>
      </c>
    </row>
    <row r="386" spans="1:12">
      <c r="A386" t="s">
        <v>556</v>
      </c>
      <c r="B386" t="s">
        <v>524</v>
      </c>
      <c r="C386" t="s">
        <v>130</v>
      </c>
      <c r="D386">
        <v>1992</v>
      </c>
      <c r="E386" t="s">
        <v>15</v>
      </c>
      <c r="F386" t="s">
        <v>16</v>
      </c>
      <c r="G386" t="s">
        <v>17</v>
      </c>
      <c r="H386" t="s">
        <v>18</v>
      </c>
      <c r="I386">
        <v>53.918999999999997</v>
      </c>
      <c r="J386" t="s">
        <v>19</v>
      </c>
      <c r="K386" t="s">
        <v>557</v>
      </c>
      <c r="L386" t="s">
        <v>21</v>
      </c>
    </row>
    <row r="387" spans="1:12">
      <c r="A387" t="s">
        <v>558</v>
      </c>
      <c r="B387" t="s">
        <v>524</v>
      </c>
      <c r="C387" t="s">
        <v>130</v>
      </c>
      <c r="D387">
        <v>1992</v>
      </c>
      <c r="E387" t="s">
        <v>23</v>
      </c>
      <c r="F387" t="s">
        <v>24</v>
      </c>
      <c r="G387" t="s">
        <v>25</v>
      </c>
      <c r="H387" t="s">
        <v>26</v>
      </c>
      <c r="I387">
        <v>4981671</v>
      </c>
      <c r="J387" t="s">
        <v>27</v>
      </c>
      <c r="K387" t="s">
        <v>557</v>
      </c>
      <c r="L387" t="s">
        <v>21</v>
      </c>
    </row>
    <row r="388" spans="1:12">
      <c r="A388" t="s">
        <v>559</v>
      </c>
      <c r="B388" t="s">
        <v>524</v>
      </c>
      <c r="C388" t="s">
        <v>130</v>
      </c>
      <c r="D388">
        <v>1992</v>
      </c>
      <c r="E388" t="s">
        <v>29</v>
      </c>
      <c r="F388" t="s">
        <v>30</v>
      </c>
      <c r="G388" t="s">
        <v>31</v>
      </c>
      <c r="H388" t="s">
        <v>32</v>
      </c>
      <c r="I388">
        <v>1191.2076810000001</v>
      </c>
      <c r="J388" t="s">
        <v>33</v>
      </c>
      <c r="K388" t="s">
        <v>557</v>
      </c>
      <c r="L388" t="s">
        <v>21</v>
      </c>
    </row>
    <row r="389" spans="1:12">
      <c r="A389" t="s">
        <v>560</v>
      </c>
      <c r="B389" t="s">
        <v>524</v>
      </c>
      <c r="C389" t="s">
        <v>130</v>
      </c>
      <c r="D389">
        <v>1997</v>
      </c>
      <c r="E389" t="s">
        <v>15</v>
      </c>
      <c r="F389" t="s">
        <v>16</v>
      </c>
      <c r="G389" t="s">
        <v>17</v>
      </c>
      <c r="H389" t="s">
        <v>18</v>
      </c>
      <c r="I389">
        <v>54.777000000000001</v>
      </c>
      <c r="J389" t="s">
        <v>19</v>
      </c>
      <c r="K389" t="s">
        <v>561</v>
      </c>
      <c r="L389" t="s">
        <v>21</v>
      </c>
    </row>
    <row r="390" spans="1:12">
      <c r="A390" t="s">
        <v>562</v>
      </c>
      <c r="B390" t="s">
        <v>524</v>
      </c>
      <c r="C390" t="s">
        <v>130</v>
      </c>
      <c r="D390">
        <v>1997</v>
      </c>
      <c r="E390" t="s">
        <v>23</v>
      </c>
      <c r="F390" t="s">
        <v>24</v>
      </c>
      <c r="G390" t="s">
        <v>25</v>
      </c>
      <c r="H390" t="s">
        <v>26</v>
      </c>
      <c r="I390">
        <v>6066080</v>
      </c>
      <c r="J390" t="s">
        <v>27</v>
      </c>
      <c r="K390" t="s">
        <v>561</v>
      </c>
      <c r="L390" t="s">
        <v>21</v>
      </c>
    </row>
    <row r="391" spans="1:12">
      <c r="A391" t="s">
        <v>563</v>
      </c>
      <c r="B391" t="s">
        <v>524</v>
      </c>
      <c r="C391" t="s">
        <v>130</v>
      </c>
      <c r="D391">
        <v>1997</v>
      </c>
      <c r="E391" t="s">
        <v>29</v>
      </c>
      <c r="F391" t="s">
        <v>30</v>
      </c>
      <c r="G391" t="s">
        <v>31</v>
      </c>
      <c r="H391" t="s">
        <v>32</v>
      </c>
      <c r="I391">
        <v>1232.9752920000001</v>
      </c>
      <c r="J391" t="s">
        <v>33</v>
      </c>
      <c r="K391" t="s">
        <v>561</v>
      </c>
      <c r="L391" t="s">
        <v>21</v>
      </c>
    </row>
    <row r="392" spans="1:12">
      <c r="A392" t="s">
        <v>564</v>
      </c>
      <c r="B392" t="s">
        <v>524</v>
      </c>
      <c r="C392" t="s">
        <v>130</v>
      </c>
      <c r="D392">
        <v>2002</v>
      </c>
      <c r="E392" t="s">
        <v>15</v>
      </c>
      <c r="F392" t="s">
        <v>16</v>
      </c>
      <c r="G392" t="s">
        <v>17</v>
      </c>
      <c r="H392" t="s">
        <v>18</v>
      </c>
      <c r="I392">
        <v>54.405999999999999</v>
      </c>
      <c r="J392" t="s">
        <v>19</v>
      </c>
      <c r="K392" t="s">
        <v>565</v>
      </c>
      <c r="L392" t="s">
        <v>21</v>
      </c>
    </row>
    <row r="393" spans="1:12">
      <c r="A393" t="s">
        <v>566</v>
      </c>
      <c r="B393" t="s">
        <v>524</v>
      </c>
      <c r="C393" t="s">
        <v>130</v>
      </c>
      <c r="D393">
        <v>2002</v>
      </c>
      <c r="E393" t="s">
        <v>23</v>
      </c>
      <c r="F393" t="s">
        <v>24</v>
      </c>
      <c r="G393" t="s">
        <v>25</v>
      </c>
      <c r="H393" t="s">
        <v>26</v>
      </c>
      <c r="I393">
        <v>7026113</v>
      </c>
      <c r="J393" t="s">
        <v>27</v>
      </c>
      <c r="K393" t="s">
        <v>565</v>
      </c>
      <c r="L393" t="s">
        <v>21</v>
      </c>
    </row>
    <row r="394" spans="1:12">
      <c r="A394" t="s">
        <v>567</v>
      </c>
      <c r="B394" t="s">
        <v>524</v>
      </c>
      <c r="C394" t="s">
        <v>130</v>
      </c>
      <c r="D394">
        <v>2002</v>
      </c>
      <c r="E394" t="s">
        <v>29</v>
      </c>
      <c r="F394" t="s">
        <v>30</v>
      </c>
      <c r="G394" t="s">
        <v>31</v>
      </c>
      <c r="H394" t="s">
        <v>32</v>
      </c>
      <c r="I394">
        <v>1372.877931</v>
      </c>
      <c r="J394" t="s">
        <v>33</v>
      </c>
      <c r="K394" t="s">
        <v>565</v>
      </c>
      <c r="L394" t="s">
        <v>21</v>
      </c>
    </row>
    <row r="395" spans="1:12">
      <c r="A395" t="s">
        <v>568</v>
      </c>
      <c r="B395" t="s">
        <v>524</v>
      </c>
      <c r="C395" t="s">
        <v>130</v>
      </c>
      <c r="D395">
        <v>2007</v>
      </c>
      <c r="E395" t="s">
        <v>15</v>
      </c>
      <c r="F395" t="s">
        <v>16</v>
      </c>
      <c r="G395" t="s">
        <v>17</v>
      </c>
      <c r="H395" t="s">
        <v>18</v>
      </c>
      <c r="I395">
        <v>56.728000000000002</v>
      </c>
      <c r="J395" t="s">
        <v>19</v>
      </c>
      <c r="K395" t="s">
        <v>569</v>
      </c>
      <c r="L395" t="s">
        <v>21</v>
      </c>
    </row>
    <row r="396" spans="1:12">
      <c r="A396" t="s">
        <v>570</v>
      </c>
      <c r="B396" t="s">
        <v>524</v>
      </c>
      <c r="C396" t="s">
        <v>130</v>
      </c>
      <c r="D396">
        <v>2007</v>
      </c>
      <c r="E396" t="s">
        <v>23</v>
      </c>
      <c r="F396" t="s">
        <v>24</v>
      </c>
      <c r="G396" t="s">
        <v>25</v>
      </c>
      <c r="H396" t="s">
        <v>26</v>
      </c>
      <c r="I396">
        <v>8078314</v>
      </c>
      <c r="J396" t="s">
        <v>27</v>
      </c>
      <c r="K396" t="s">
        <v>569</v>
      </c>
      <c r="L396" t="s">
        <v>21</v>
      </c>
    </row>
    <row r="397" spans="1:12">
      <c r="A397" t="s">
        <v>571</v>
      </c>
      <c r="B397" t="s">
        <v>524</v>
      </c>
      <c r="C397" t="s">
        <v>130</v>
      </c>
      <c r="D397">
        <v>2007</v>
      </c>
      <c r="E397" t="s">
        <v>29</v>
      </c>
      <c r="F397" t="s">
        <v>30</v>
      </c>
      <c r="G397" t="s">
        <v>31</v>
      </c>
      <c r="H397" t="s">
        <v>32</v>
      </c>
      <c r="I397">
        <v>1441.2848730000001</v>
      </c>
      <c r="J397" t="s">
        <v>33</v>
      </c>
      <c r="K397" t="s">
        <v>569</v>
      </c>
      <c r="L397" t="s">
        <v>21</v>
      </c>
    </row>
    <row r="398" spans="1:12">
      <c r="A398" t="s">
        <v>572</v>
      </c>
      <c r="B398" t="s">
        <v>573</v>
      </c>
      <c r="C398" t="s">
        <v>229</v>
      </c>
      <c r="D398">
        <v>1952</v>
      </c>
      <c r="E398" t="s">
        <v>15</v>
      </c>
      <c r="F398" t="s">
        <v>16</v>
      </c>
      <c r="G398" t="s">
        <v>17</v>
      </c>
      <c r="H398" t="s">
        <v>18</v>
      </c>
      <c r="I398">
        <v>40.414000000000001</v>
      </c>
      <c r="J398" t="s">
        <v>19</v>
      </c>
      <c r="K398" t="s">
        <v>574</v>
      </c>
      <c r="L398" t="s">
        <v>21</v>
      </c>
    </row>
    <row r="399" spans="1:12">
      <c r="A399" t="s">
        <v>575</v>
      </c>
      <c r="B399" t="s">
        <v>573</v>
      </c>
      <c r="C399" t="s">
        <v>229</v>
      </c>
      <c r="D399">
        <v>1952</v>
      </c>
      <c r="E399" t="s">
        <v>23</v>
      </c>
      <c r="F399" t="s">
        <v>24</v>
      </c>
      <c r="G399" t="s">
        <v>25</v>
      </c>
      <c r="H399" t="s">
        <v>26</v>
      </c>
      <c r="I399">
        <v>2883315</v>
      </c>
      <c r="J399" t="s">
        <v>27</v>
      </c>
      <c r="K399" t="s">
        <v>574</v>
      </c>
      <c r="L399" t="s">
        <v>21</v>
      </c>
    </row>
    <row r="400" spans="1:12">
      <c r="A400" t="s">
        <v>576</v>
      </c>
      <c r="B400" t="s">
        <v>573</v>
      </c>
      <c r="C400" t="s">
        <v>229</v>
      </c>
      <c r="D400">
        <v>1952</v>
      </c>
      <c r="E400" t="s">
        <v>29</v>
      </c>
      <c r="F400" t="s">
        <v>30</v>
      </c>
      <c r="G400" t="s">
        <v>31</v>
      </c>
      <c r="H400" t="s">
        <v>32</v>
      </c>
      <c r="I400">
        <v>2677.3263470000002</v>
      </c>
      <c r="J400" t="s">
        <v>33</v>
      </c>
      <c r="K400" t="s">
        <v>574</v>
      </c>
      <c r="L400" t="s">
        <v>21</v>
      </c>
    </row>
    <row r="401" spans="1:12">
      <c r="A401" t="s">
        <v>577</v>
      </c>
      <c r="B401" t="s">
        <v>573</v>
      </c>
      <c r="C401" t="s">
        <v>229</v>
      </c>
      <c r="D401">
        <v>1957</v>
      </c>
      <c r="E401" t="s">
        <v>15</v>
      </c>
      <c r="F401" t="s">
        <v>16</v>
      </c>
      <c r="G401" t="s">
        <v>17</v>
      </c>
      <c r="H401" t="s">
        <v>18</v>
      </c>
      <c r="I401">
        <v>41.89</v>
      </c>
      <c r="J401" t="s">
        <v>19</v>
      </c>
      <c r="K401" t="s">
        <v>578</v>
      </c>
      <c r="L401" t="s">
        <v>21</v>
      </c>
    </row>
    <row r="402" spans="1:12">
      <c r="A402" t="s">
        <v>579</v>
      </c>
      <c r="B402" t="s">
        <v>573</v>
      </c>
      <c r="C402" t="s">
        <v>229</v>
      </c>
      <c r="D402">
        <v>1957</v>
      </c>
      <c r="E402" t="s">
        <v>23</v>
      </c>
      <c r="F402" t="s">
        <v>24</v>
      </c>
      <c r="G402" t="s">
        <v>25</v>
      </c>
      <c r="H402" t="s">
        <v>26</v>
      </c>
      <c r="I402">
        <v>3211738</v>
      </c>
      <c r="J402" t="s">
        <v>27</v>
      </c>
      <c r="K402" t="s">
        <v>578</v>
      </c>
      <c r="L402" t="s">
        <v>21</v>
      </c>
    </row>
    <row r="403" spans="1:12">
      <c r="A403" t="s">
        <v>580</v>
      </c>
      <c r="B403" t="s">
        <v>573</v>
      </c>
      <c r="C403" t="s">
        <v>229</v>
      </c>
      <c r="D403">
        <v>1957</v>
      </c>
      <c r="E403" t="s">
        <v>29</v>
      </c>
      <c r="F403" t="s">
        <v>30</v>
      </c>
      <c r="G403" t="s">
        <v>31</v>
      </c>
      <c r="H403" t="s">
        <v>32</v>
      </c>
      <c r="I403">
        <v>2127.686326</v>
      </c>
      <c r="J403" t="s">
        <v>33</v>
      </c>
      <c r="K403" t="s">
        <v>578</v>
      </c>
      <c r="L403" t="s">
        <v>21</v>
      </c>
    </row>
    <row r="404" spans="1:12">
      <c r="A404" t="s">
        <v>581</v>
      </c>
      <c r="B404" t="s">
        <v>573</v>
      </c>
      <c r="C404" t="s">
        <v>229</v>
      </c>
      <c r="D404">
        <v>1962</v>
      </c>
      <c r="E404" t="s">
        <v>15</v>
      </c>
      <c r="F404" t="s">
        <v>16</v>
      </c>
      <c r="G404" t="s">
        <v>17</v>
      </c>
      <c r="H404" t="s">
        <v>18</v>
      </c>
      <c r="I404">
        <v>43.427999999999997</v>
      </c>
      <c r="J404" t="s">
        <v>19</v>
      </c>
      <c r="K404" t="s">
        <v>582</v>
      </c>
      <c r="L404" t="s">
        <v>21</v>
      </c>
    </row>
    <row r="405" spans="1:12">
      <c r="A405" t="s">
        <v>583</v>
      </c>
      <c r="B405" t="s">
        <v>573</v>
      </c>
      <c r="C405" t="s">
        <v>229</v>
      </c>
      <c r="D405">
        <v>1962</v>
      </c>
      <c r="E405" t="s">
        <v>23</v>
      </c>
      <c r="F405" t="s">
        <v>24</v>
      </c>
      <c r="G405" t="s">
        <v>25</v>
      </c>
      <c r="H405" t="s">
        <v>26</v>
      </c>
      <c r="I405">
        <v>3593918</v>
      </c>
      <c r="J405" t="s">
        <v>27</v>
      </c>
      <c r="K405" t="s">
        <v>582</v>
      </c>
      <c r="L405" t="s">
        <v>21</v>
      </c>
    </row>
    <row r="406" spans="1:12">
      <c r="A406" t="s">
        <v>584</v>
      </c>
      <c r="B406" t="s">
        <v>573</v>
      </c>
      <c r="C406" t="s">
        <v>229</v>
      </c>
      <c r="D406">
        <v>1962</v>
      </c>
      <c r="E406" t="s">
        <v>29</v>
      </c>
      <c r="F406" t="s">
        <v>30</v>
      </c>
      <c r="G406" t="s">
        <v>31</v>
      </c>
      <c r="H406" t="s">
        <v>32</v>
      </c>
      <c r="I406">
        <v>2180.972546</v>
      </c>
      <c r="J406" t="s">
        <v>33</v>
      </c>
      <c r="K406" t="s">
        <v>582</v>
      </c>
      <c r="L406" t="s">
        <v>21</v>
      </c>
    </row>
    <row r="407" spans="1:12">
      <c r="A407" t="s">
        <v>585</v>
      </c>
      <c r="B407" t="s">
        <v>573</v>
      </c>
      <c r="C407" t="s">
        <v>229</v>
      </c>
      <c r="D407">
        <v>1967</v>
      </c>
      <c r="E407" t="s">
        <v>15</v>
      </c>
      <c r="F407" t="s">
        <v>16</v>
      </c>
      <c r="G407" t="s">
        <v>17</v>
      </c>
      <c r="H407" t="s">
        <v>18</v>
      </c>
      <c r="I407">
        <v>45.031999999999996</v>
      </c>
      <c r="J407" t="s">
        <v>19</v>
      </c>
      <c r="K407" t="s">
        <v>586</v>
      </c>
      <c r="L407" t="s">
        <v>21</v>
      </c>
    </row>
    <row r="408" spans="1:12">
      <c r="A408" t="s">
        <v>587</v>
      </c>
      <c r="B408" t="s">
        <v>573</v>
      </c>
      <c r="C408" t="s">
        <v>229</v>
      </c>
      <c r="D408">
        <v>1967</v>
      </c>
      <c r="E408" t="s">
        <v>23</v>
      </c>
      <c r="F408" t="s">
        <v>24</v>
      </c>
      <c r="G408" t="s">
        <v>25</v>
      </c>
      <c r="H408" t="s">
        <v>26</v>
      </c>
      <c r="I408">
        <v>4040665</v>
      </c>
      <c r="J408" t="s">
        <v>27</v>
      </c>
      <c r="K408" t="s">
        <v>586</v>
      </c>
      <c r="L408" t="s">
        <v>21</v>
      </c>
    </row>
    <row r="409" spans="1:12">
      <c r="A409" t="s">
        <v>588</v>
      </c>
      <c r="B409" t="s">
        <v>573</v>
      </c>
      <c r="C409" t="s">
        <v>229</v>
      </c>
      <c r="D409">
        <v>1967</v>
      </c>
      <c r="E409" t="s">
        <v>29</v>
      </c>
      <c r="F409" t="s">
        <v>30</v>
      </c>
      <c r="G409" t="s">
        <v>31</v>
      </c>
      <c r="H409" t="s">
        <v>32</v>
      </c>
      <c r="I409">
        <v>2586.8860530000002</v>
      </c>
      <c r="J409" t="s">
        <v>33</v>
      </c>
      <c r="K409" t="s">
        <v>586</v>
      </c>
      <c r="L409" t="s">
        <v>21</v>
      </c>
    </row>
    <row r="410" spans="1:12">
      <c r="A410" t="s">
        <v>589</v>
      </c>
      <c r="B410" t="s">
        <v>573</v>
      </c>
      <c r="C410" t="s">
        <v>229</v>
      </c>
      <c r="D410">
        <v>1972</v>
      </c>
      <c r="E410" t="s">
        <v>15</v>
      </c>
      <c r="F410" t="s">
        <v>16</v>
      </c>
      <c r="G410" t="s">
        <v>17</v>
      </c>
      <c r="H410" t="s">
        <v>18</v>
      </c>
      <c r="I410">
        <v>46.713999999999999</v>
      </c>
      <c r="J410" t="s">
        <v>19</v>
      </c>
      <c r="K410" t="s">
        <v>590</v>
      </c>
      <c r="L410" t="s">
        <v>21</v>
      </c>
    </row>
    <row r="411" spans="1:12">
      <c r="A411" t="s">
        <v>591</v>
      </c>
      <c r="B411" t="s">
        <v>573</v>
      </c>
      <c r="C411" t="s">
        <v>229</v>
      </c>
      <c r="D411">
        <v>1972</v>
      </c>
      <c r="E411" t="s">
        <v>23</v>
      </c>
      <c r="F411" t="s">
        <v>24</v>
      </c>
      <c r="G411" t="s">
        <v>25</v>
      </c>
      <c r="H411" t="s">
        <v>26</v>
      </c>
      <c r="I411">
        <v>4565872</v>
      </c>
      <c r="J411" t="s">
        <v>27</v>
      </c>
      <c r="K411" t="s">
        <v>590</v>
      </c>
      <c r="L411" t="s">
        <v>21</v>
      </c>
    </row>
    <row r="412" spans="1:12">
      <c r="A412" t="s">
        <v>592</v>
      </c>
      <c r="B412" t="s">
        <v>573</v>
      </c>
      <c r="C412" t="s">
        <v>229</v>
      </c>
      <c r="D412">
        <v>1972</v>
      </c>
      <c r="E412" t="s">
        <v>29</v>
      </c>
      <c r="F412" t="s">
        <v>30</v>
      </c>
      <c r="G412" t="s">
        <v>31</v>
      </c>
      <c r="H412" t="s">
        <v>32</v>
      </c>
      <c r="I412">
        <v>2980.3313389999998</v>
      </c>
      <c r="J412" t="s">
        <v>33</v>
      </c>
      <c r="K412" t="s">
        <v>590</v>
      </c>
      <c r="L412" t="s">
        <v>21</v>
      </c>
    </row>
    <row r="413" spans="1:12">
      <c r="A413" t="s">
        <v>593</v>
      </c>
      <c r="B413" t="s">
        <v>573</v>
      </c>
      <c r="C413" t="s">
        <v>229</v>
      </c>
      <c r="D413">
        <v>1977</v>
      </c>
      <c r="E413" t="s">
        <v>15</v>
      </c>
      <c r="F413" t="s">
        <v>16</v>
      </c>
      <c r="G413" t="s">
        <v>17</v>
      </c>
      <c r="H413" t="s">
        <v>18</v>
      </c>
      <c r="I413">
        <v>50.023000000000003</v>
      </c>
      <c r="J413" t="s">
        <v>19</v>
      </c>
      <c r="K413" t="s">
        <v>594</v>
      </c>
      <c r="L413" t="s">
        <v>21</v>
      </c>
    </row>
    <row r="414" spans="1:12">
      <c r="A414" t="s">
        <v>595</v>
      </c>
      <c r="B414" t="s">
        <v>573</v>
      </c>
      <c r="C414" t="s">
        <v>229</v>
      </c>
      <c r="D414">
        <v>1977</v>
      </c>
      <c r="E414" t="s">
        <v>23</v>
      </c>
      <c r="F414" t="s">
        <v>24</v>
      </c>
      <c r="G414" t="s">
        <v>25</v>
      </c>
      <c r="H414" t="s">
        <v>26</v>
      </c>
      <c r="I414">
        <v>5079716</v>
      </c>
      <c r="J414" t="s">
        <v>27</v>
      </c>
      <c r="K414" t="s">
        <v>594</v>
      </c>
      <c r="L414" t="s">
        <v>21</v>
      </c>
    </row>
    <row r="415" spans="1:12">
      <c r="A415" t="s">
        <v>596</v>
      </c>
      <c r="B415" t="s">
        <v>573</v>
      </c>
      <c r="C415" t="s">
        <v>229</v>
      </c>
      <c r="D415">
        <v>1977</v>
      </c>
      <c r="E415" t="s">
        <v>29</v>
      </c>
      <c r="F415" t="s">
        <v>30</v>
      </c>
      <c r="G415" t="s">
        <v>31</v>
      </c>
      <c r="H415" t="s">
        <v>32</v>
      </c>
      <c r="I415">
        <v>3548.0978319999999</v>
      </c>
      <c r="J415" t="s">
        <v>33</v>
      </c>
      <c r="K415" t="s">
        <v>594</v>
      </c>
      <c r="L415" t="s">
        <v>21</v>
      </c>
    </row>
    <row r="416" spans="1:12">
      <c r="A416" t="s">
        <v>597</v>
      </c>
      <c r="B416" t="s">
        <v>573</v>
      </c>
      <c r="C416" t="s">
        <v>229</v>
      </c>
      <c r="D416">
        <v>1982</v>
      </c>
      <c r="E416" t="s">
        <v>15</v>
      </c>
      <c r="F416" t="s">
        <v>16</v>
      </c>
      <c r="G416" t="s">
        <v>17</v>
      </c>
      <c r="H416" t="s">
        <v>18</v>
      </c>
      <c r="I416">
        <v>53.859000000000002</v>
      </c>
      <c r="J416" t="s">
        <v>19</v>
      </c>
      <c r="K416" t="s">
        <v>598</v>
      </c>
      <c r="L416" t="s">
        <v>21</v>
      </c>
    </row>
    <row r="417" spans="1:12">
      <c r="A417" t="s">
        <v>599</v>
      </c>
      <c r="B417" t="s">
        <v>573</v>
      </c>
      <c r="C417" t="s">
        <v>229</v>
      </c>
      <c r="D417">
        <v>1982</v>
      </c>
      <c r="E417" t="s">
        <v>23</v>
      </c>
      <c r="F417" t="s">
        <v>24</v>
      </c>
      <c r="G417" t="s">
        <v>25</v>
      </c>
      <c r="H417" t="s">
        <v>26</v>
      </c>
      <c r="I417">
        <v>5642224</v>
      </c>
      <c r="J417" t="s">
        <v>27</v>
      </c>
      <c r="K417" t="s">
        <v>598</v>
      </c>
      <c r="L417" t="s">
        <v>21</v>
      </c>
    </row>
    <row r="418" spans="1:12">
      <c r="A418" t="s">
        <v>600</v>
      </c>
      <c r="B418" t="s">
        <v>573</v>
      </c>
      <c r="C418" t="s">
        <v>229</v>
      </c>
      <c r="D418">
        <v>1982</v>
      </c>
      <c r="E418" t="s">
        <v>29</v>
      </c>
      <c r="F418" t="s">
        <v>30</v>
      </c>
      <c r="G418" t="s">
        <v>31</v>
      </c>
      <c r="H418" t="s">
        <v>32</v>
      </c>
      <c r="I418">
        <v>3156.510452</v>
      </c>
      <c r="J418" t="s">
        <v>33</v>
      </c>
      <c r="K418" t="s">
        <v>598</v>
      </c>
      <c r="L418" t="s">
        <v>21</v>
      </c>
    </row>
    <row r="419" spans="1:12">
      <c r="A419" t="s">
        <v>601</v>
      </c>
      <c r="B419" t="s">
        <v>573</v>
      </c>
      <c r="C419" t="s">
        <v>229</v>
      </c>
      <c r="D419">
        <v>1987</v>
      </c>
      <c r="E419" t="s">
        <v>15</v>
      </c>
      <c r="F419" t="s">
        <v>16</v>
      </c>
      <c r="G419" t="s">
        <v>17</v>
      </c>
      <c r="H419" t="s">
        <v>18</v>
      </c>
      <c r="I419">
        <v>57.250999999999998</v>
      </c>
      <c r="J419" t="s">
        <v>19</v>
      </c>
      <c r="K419" t="s">
        <v>602</v>
      </c>
      <c r="L419" t="s">
        <v>21</v>
      </c>
    </row>
    <row r="420" spans="1:12">
      <c r="A420" t="s">
        <v>603</v>
      </c>
      <c r="B420" t="s">
        <v>573</v>
      </c>
      <c r="C420" t="s">
        <v>229</v>
      </c>
      <c r="D420">
        <v>1987</v>
      </c>
      <c r="E420" t="s">
        <v>23</v>
      </c>
      <c r="F420" t="s">
        <v>24</v>
      </c>
      <c r="G420" t="s">
        <v>25</v>
      </c>
      <c r="H420" t="s">
        <v>26</v>
      </c>
      <c r="I420">
        <v>6156369</v>
      </c>
      <c r="J420" t="s">
        <v>27</v>
      </c>
      <c r="K420" t="s">
        <v>602</v>
      </c>
      <c r="L420" t="s">
        <v>21</v>
      </c>
    </row>
    <row r="421" spans="1:12">
      <c r="A421" t="s">
        <v>604</v>
      </c>
      <c r="B421" t="s">
        <v>573</v>
      </c>
      <c r="C421" t="s">
        <v>229</v>
      </c>
      <c r="D421">
        <v>1987</v>
      </c>
      <c r="E421" t="s">
        <v>29</v>
      </c>
      <c r="F421" t="s">
        <v>30</v>
      </c>
      <c r="G421" t="s">
        <v>31</v>
      </c>
      <c r="H421" t="s">
        <v>32</v>
      </c>
      <c r="I421">
        <v>2753.6914900000002</v>
      </c>
      <c r="J421" t="s">
        <v>33</v>
      </c>
      <c r="K421" t="s">
        <v>602</v>
      </c>
      <c r="L421" t="s">
        <v>21</v>
      </c>
    </row>
    <row r="422" spans="1:12">
      <c r="A422" t="s">
        <v>605</v>
      </c>
      <c r="B422" t="s">
        <v>573</v>
      </c>
      <c r="C422" t="s">
        <v>229</v>
      </c>
      <c r="D422">
        <v>1992</v>
      </c>
      <c r="E422" t="s">
        <v>15</v>
      </c>
      <c r="F422" t="s">
        <v>16</v>
      </c>
      <c r="G422" t="s">
        <v>17</v>
      </c>
      <c r="H422" t="s">
        <v>18</v>
      </c>
      <c r="I422">
        <v>59.957000000000001</v>
      </c>
      <c r="J422" t="s">
        <v>19</v>
      </c>
      <c r="K422" t="s">
        <v>606</v>
      </c>
      <c r="L422" t="s">
        <v>21</v>
      </c>
    </row>
    <row r="423" spans="1:12">
      <c r="A423" t="s">
        <v>607</v>
      </c>
      <c r="B423" t="s">
        <v>573</v>
      </c>
      <c r="C423" t="s">
        <v>229</v>
      </c>
      <c r="D423">
        <v>1992</v>
      </c>
      <c r="E423" t="s">
        <v>23</v>
      </c>
      <c r="F423" t="s">
        <v>24</v>
      </c>
      <c r="G423" t="s">
        <v>25</v>
      </c>
      <c r="H423" t="s">
        <v>26</v>
      </c>
      <c r="I423">
        <v>6893451</v>
      </c>
      <c r="J423" t="s">
        <v>27</v>
      </c>
      <c r="K423" t="s">
        <v>606</v>
      </c>
      <c r="L423" t="s">
        <v>21</v>
      </c>
    </row>
    <row r="424" spans="1:12">
      <c r="A424" t="s">
        <v>608</v>
      </c>
      <c r="B424" t="s">
        <v>573</v>
      </c>
      <c r="C424" t="s">
        <v>229</v>
      </c>
      <c r="D424">
        <v>1992</v>
      </c>
      <c r="E424" t="s">
        <v>29</v>
      </c>
      <c r="F424" t="s">
        <v>30</v>
      </c>
      <c r="G424" t="s">
        <v>31</v>
      </c>
      <c r="H424" t="s">
        <v>32</v>
      </c>
      <c r="I424">
        <v>2961.6996939999999</v>
      </c>
      <c r="J424" t="s">
        <v>33</v>
      </c>
      <c r="K424" t="s">
        <v>606</v>
      </c>
      <c r="L424" t="s">
        <v>21</v>
      </c>
    </row>
    <row r="425" spans="1:12">
      <c r="A425" t="s">
        <v>609</v>
      </c>
      <c r="B425" t="s">
        <v>573</v>
      </c>
      <c r="C425" t="s">
        <v>229</v>
      </c>
      <c r="D425">
        <v>1997</v>
      </c>
      <c r="E425" t="s">
        <v>15</v>
      </c>
      <c r="F425" t="s">
        <v>16</v>
      </c>
      <c r="G425" t="s">
        <v>17</v>
      </c>
      <c r="H425" t="s">
        <v>18</v>
      </c>
      <c r="I425">
        <v>62.05</v>
      </c>
      <c r="J425" t="s">
        <v>19</v>
      </c>
      <c r="K425" t="s">
        <v>610</v>
      </c>
      <c r="L425" t="s">
        <v>21</v>
      </c>
    </row>
    <row r="426" spans="1:12">
      <c r="A426" t="s">
        <v>611</v>
      </c>
      <c r="B426" t="s">
        <v>573</v>
      </c>
      <c r="C426" t="s">
        <v>229</v>
      </c>
      <c r="D426">
        <v>1997</v>
      </c>
      <c r="E426" t="s">
        <v>23</v>
      </c>
      <c r="F426" t="s">
        <v>24</v>
      </c>
      <c r="G426" t="s">
        <v>25</v>
      </c>
      <c r="H426" t="s">
        <v>26</v>
      </c>
      <c r="I426">
        <v>7693188</v>
      </c>
      <c r="J426" t="s">
        <v>27</v>
      </c>
      <c r="K426" t="s">
        <v>610</v>
      </c>
      <c r="L426" t="s">
        <v>21</v>
      </c>
    </row>
    <row r="427" spans="1:12">
      <c r="A427" t="s">
        <v>612</v>
      </c>
      <c r="B427" t="s">
        <v>573</v>
      </c>
      <c r="C427" t="s">
        <v>229</v>
      </c>
      <c r="D427">
        <v>1997</v>
      </c>
      <c r="E427" t="s">
        <v>29</v>
      </c>
      <c r="F427" t="s">
        <v>30</v>
      </c>
      <c r="G427" t="s">
        <v>31</v>
      </c>
      <c r="H427" t="s">
        <v>32</v>
      </c>
      <c r="I427">
        <v>3326.1431910000001</v>
      </c>
      <c r="J427" t="s">
        <v>33</v>
      </c>
      <c r="K427" t="s">
        <v>610</v>
      </c>
      <c r="L427" t="s">
        <v>21</v>
      </c>
    </row>
    <row r="428" spans="1:12">
      <c r="A428" t="s">
        <v>613</v>
      </c>
      <c r="B428" t="s">
        <v>573</v>
      </c>
      <c r="C428" t="s">
        <v>229</v>
      </c>
      <c r="D428">
        <v>2002</v>
      </c>
      <c r="E428" t="s">
        <v>15</v>
      </c>
      <c r="F428" t="s">
        <v>16</v>
      </c>
      <c r="G428" t="s">
        <v>17</v>
      </c>
      <c r="H428" t="s">
        <v>18</v>
      </c>
      <c r="I428">
        <v>63.883000000000003</v>
      </c>
      <c r="J428" t="s">
        <v>19</v>
      </c>
      <c r="K428" t="s">
        <v>614</v>
      </c>
      <c r="L428" t="s">
        <v>21</v>
      </c>
    </row>
    <row r="429" spans="1:12">
      <c r="A429" t="s">
        <v>615</v>
      </c>
      <c r="B429" t="s">
        <v>573</v>
      </c>
      <c r="C429" t="s">
        <v>229</v>
      </c>
      <c r="D429">
        <v>2002</v>
      </c>
      <c r="E429" t="s">
        <v>23</v>
      </c>
      <c r="F429" t="s">
        <v>24</v>
      </c>
      <c r="G429" t="s">
        <v>25</v>
      </c>
      <c r="H429" t="s">
        <v>26</v>
      </c>
      <c r="I429">
        <v>8445134</v>
      </c>
      <c r="J429" t="s">
        <v>27</v>
      </c>
      <c r="K429" t="s">
        <v>614</v>
      </c>
      <c r="L429" t="s">
        <v>21</v>
      </c>
    </row>
    <row r="430" spans="1:12">
      <c r="A430" t="s">
        <v>616</v>
      </c>
      <c r="B430" t="s">
        <v>573</v>
      </c>
      <c r="C430" t="s">
        <v>229</v>
      </c>
      <c r="D430">
        <v>2002</v>
      </c>
      <c r="E430" t="s">
        <v>29</v>
      </c>
      <c r="F430" t="s">
        <v>30</v>
      </c>
      <c r="G430" t="s">
        <v>31</v>
      </c>
      <c r="H430" t="s">
        <v>32</v>
      </c>
      <c r="I430">
        <v>3413.26269</v>
      </c>
      <c r="J430" t="s">
        <v>33</v>
      </c>
      <c r="K430" t="s">
        <v>614</v>
      </c>
      <c r="L430" t="s">
        <v>21</v>
      </c>
    </row>
    <row r="431" spans="1:12">
      <c r="A431" t="s">
        <v>617</v>
      </c>
      <c r="B431" t="s">
        <v>573</v>
      </c>
      <c r="C431" t="s">
        <v>229</v>
      </c>
      <c r="D431">
        <v>2007</v>
      </c>
      <c r="E431" t="s">
        <v>15</v>
      </c>
      <c r="F431" t="s">
        <v>16</v>
      </c>
      <c r="G431" t="s">
        <v>17</v>
      </c>
      <c r="H431" t="s">
        <v>18</v>
      </c>
      <c r="I431">
        <v>65.554000000000002</v>
      </c>
      <c r="J431" t="s">
        <v>19</v>
      </c>
      <c r="K431" t="s">
        <v>618</v>
      </c>
      <c r="L431" t="s">
        <v>21</v>
      </c>
    </row>
    <row r="432" spans="1:12">
      <c r="A432" t="s">
        <v>619</v>
      </c>
      <c r="B432" t="s">
        <v>573</v>
      </c>
      <c r="C432" t="s">
        <v>229</v>
      </c>
      <c r="D432">
        <v>2007</v>
      </c>
      <c r="E432" t="s">
        <v>23</v>
      </c>
      <c r="F432" t="s">
        <v>24</v>
      </c>
      <c r="G432" t="s">
        <v>25</v>
      </c>
      <c r="H432" t="s">
        <v>26</v>
      </c>
      <c r="I432">
        <v>9119152</v>
      </c>
      <c r="J432" t="s">
        <v>27</v>
      </c>
      <c r="K432" t="s">
        <v>618</v>
      </c>
      <c r="L432" t="s">
        <v>21</v>
      </c>
    </row>
    <row r="433" spans="1:12">
      <c r="A433" t="s">
        <v>620</v>
      </c>
      <c r="B433" t="s">
        <v>573</v>
      </c>
      <c r="C433" t="s">
        <v>229</v>
      </c>
      <c r="D433">
        <v>2007</v>
      </c>
      <c r="E433" t="s">
        <v>29</v>
      </c>
      <c r="F433" t="s">
        <v>30</v>
      </c>
      <c r="G433" t="s">
        <v>31</v>
      </c>
      <c r="H433" t="s">
        <v>32</v>
      </c>
      <c r="I433">
        <v>3822.137084</v>
      </c>
      <c r="J433" t="s">
        <v>33</v>
      </c>
      <c r="K433" t="s">
        <v>618</v>
      </c>
      <c r="L433" t="s">
        <v>21</v>
      </c>
    </row>
    <row r="434" spans="1:12">
      <c r="A434" t="s">
        <v>621</v>
      </c>
      <c r="B434" t="s">
        <v>622</v>
      </c>
      <c r="C434" t="s">
        <v>80</v>
      </c>
      <c r="D434">
        <v>1952</v>
      </c>
      <c r="E434" t="s">
        <v>15</v>
      </c>
      <c r="F434" t="s">
        <v>16</v>
      </c>
      <c r="G434" t="s">
        <v>17</v>
      </c>
      <c r="H434" t="s">
        <v>18</v>
      </c>
      <c r="I434">
        <v>53.82</v>
      </c>
      <c r="J434" t="s">
        <v>19</v>
      </c>
      <c r="K434" t="s">
        <v>623</v>
      </c>
      <c r="L434" t="s">
        <v>21</v>
      </c>
    </row>
    <row r="435" spans="1:12">
      <c r="A435" t="s">
        <v>624</v>
      </c>
      <c r="B435" t="s">
        <v>622</v>
      </c>
      <c r="C435" t="s">
        <v>80</v>
      </c>
      <c r="D435">
        <v>1952</v>
      </c>
      <c r="E435" t="s">
        <v>23</v>
      </c>
      <c r="F435" t="s">
        <v>24</v>
      </c>
      <c r="G435" t="s">
        <v>25</v>
      </c>
      <c r="H435" t="s">
        <v>26</v>
      </c>
      <c r="I435">
        <v>2791000</v>
      </c>
      <c r="J435" t="s">
        <v>27</v>
      </c>
      <c r="K435" t="s">
        <v>623</v>
      </c>
      <c r="L435" t="s">
        <v>21</v>
      </c>
    </row>
    <row r="436" spans="1:12">
      <c r="A436" t="s">
        <v>625</v>
      </c>
      <c r="B436" t="s">
        <v>622</v>
      </c>
      <c r="C436" t="s">
        <v>80</v>
      </c>
      <c r="D436">
        <v>1952</v>
      </c>
      <c r="E436" t="s">
        <v>29</v>
      </c>
      <c r="F436" t="s">
        <v>30</v>
      </c>
      <c r="G436" t="s">
        <v>31</v>
      </c>
      <c r="H436" t="s">
        <v>32</v>
      </c>
      <c r="I436">
        <v>973.53319480000005</v>
      </c>
      <c r="J436" t="s">
        <v>33</v>
      </c>
      <c r="K436" t="s">
        <v>623</v>
      </c>
      <c r="L436" t="s">
        <v>21</v>
      </c>
    </row>
    <row r="437" spans="1:12">
      <c r="A437" t="s">
        <v>626</v>
      </c>
      <c r="B437" t="s">
        <v>622</v>
      </c>
      <c r="C437" t="s">
        <v>80</v>
      </c>
      <c r="D437">
        <v>1957</v>
      </c>
      <c r="E437" t="s">
        <v>15</v>
      </c>
      <c r="F437" t="s">
        <v>16</v>
      </c>
      <c r="G437" t="s">
        <v>17</v>
      </c>
      <c r="H437" t="s">
        <v>18</v>
      </c>
      <c r="I437">
        <v>58.45</v>
      </c>
      <c r="J437" t="s">
        <v>19</v>
      </c>
      <c r="K437" t="s">
        <v>627</v>
      </c>
      <c r="L437" t="s">
        <v>21</v>
      </c>
    </row>
    <row r="438" spans="1:12">
      <c r="A438" t="s">
        <v>628</v>
      </c>
      <c r="B438" t="s">
        <v>622</v>
      </c>
      <c r="C438" t="s">
        <v>80</v>
      </c>
      <c r="D438">
        <v>1957</v>
      </c>
      <c r="E438" t="s">
        <v>23</v>
      </c>
      <c r="F438" t="s">
        <v>24</v>
      </c>
      <c r="G438" t="s">
        <v>25</v>
      </c>
      <c r="H438" t="s">
        <v>26</v>
      </c>
      <c r="I438">
        <v>3076000</v>
      </c>
      <c r="J438" t="s">
        <v>27</v>
      </c>
      <c r="K438" t="s">
        <v>627</v>
      </c>
      <c r="L438" t="s">
        <v>21</v>
      </c>
    </row>
    <row r="439" spans="1:12">
      <c r="A439" t="s">
        <v>629</v>
      </c>
      <c r="B439" t="s">
        <v>622</v>
      </c>
      <c r="C439" t="s">
        <v>80</v>
      </c>
      <c r="D439">
        <v>1957</v>
      </c>
      <c r="E439" t="s">
        <v>29</v>
      </c>
      <c r="F439" t="s">
        <v>30</v>
      </c>
      <c r="G439" t="s">
        <v>31</v>
      </c>
      <c r="H439" t="s">
        <v>32</v>
      </c>
      <c r="I439">
        <v>1353.989176</v>
      </c>
      <c r="J439" t="s">
        <v>33</v>
      </c>
      <c r="K439" t="s">
        <v>627</v>
      </c>
      <c r="L439" t="s">
        <v>21</v>
      </c>
    </row>
    <row r="440" spans="1:12">
      <c r="A440" t="s">
        <v>630</v>
      </c>
      <c r="B440" t="s">
        <v>622</v>
      </c>
      <c r="C440" t="s">
        <v>80</v>
      </c>
      <c r="D440">
        <v>1962</v>
      </c>
      <c r="E440" t="s">
        <v>15</v>
      </c>
      <c r="F440" t="s">
        <v>16</v>
      </c>
      <c r="G440" t="s">
        <v>17</v>
      </c>
      <c r="H440" t="s">
        <v>18</v>
      </c>
      <c r="I440">
        <v>61.93</v>
      </c>
      <c r="J440" t="s">
        <v>19</v>
      </c>
      <c r="K440" t="s">
        <v>631</v>
      </c>
      <c r="L440" t="s">
        <v>21</v>
      </c>
    </row>
    <row r="441" spans="1:12">
      <c r="A441" t="s">
        <v>632</v>
      </c>
      <c r="B441" t="s">
        <v>622</v>
      </c>
      <c r="C441" t="s">
        <v>80</v>
      </c>
      <c r="D441">
        <v>1962</v>
      </c>
      <c r="E441" t="s">
        <v>23</v>
      </c>
      <c r="F441" t="s">
        <v>24</v>
      </c>
      <c r="G441" t="s">
        <v>25</v>
      </c>
      <c r="H441" t="s">
        <v>26</v>
      </c>
      <c r="I441">
        <v>3349000</v>
      </c>
      <c r="J441" t="s">
        <v>27</v>
      </c>
      <c r="K441" t="s">
        <v>631</v>
      </c>
      <c r="L441" t="s">
        <v>21</v>
      </c>
    </row>
    <row r="442" spans="1:12">
      <c r="A442" t="s">
        <v>633</v>
      </c>
      <c r="B442" t="s">
        <v>622</v>
      </c>
      <c r="C442" t="s">
        <v>80</v>
      </c>
      <c r="D442">
        <v>1962</v>
      </c>
      <c r="E442" t="s">
        <v>29</v>
      </c>
      <c r="F442" t="s">
        <v>30</v>
      </c>
      <c r="G442" t="s">
        <v>31</v>
      </c>
      <c r="H442" t="s">
        <v>32</v>
      </c>
      <c r="I442">
        <v>1709.683679</v>
      </c>
      <c r="J442" t="s">
        <v>33</v>
      </c>
      <c r="K442" t="s">
        <v>631</v>
      </c>
      <c r="L442" t="s">
        <v>21</v>
      </c>
    </row>
    <row r="443" spans="1:12">
      <c r="A443" t="s">
        <v>634</v>
      </c>
      <c r="B443" t="s">
        <v>622</v>
      </c>
      <c r="C443" t="s">
        <v>80</v>
      </c>
      <c r="D443">
        <v>1967</v>
      </c>
      <c r="E443" t="s">
        <v>15</v>
      </c>
      <c r="F443" t="s">
        <v>16</v>
      </c>
      <c r="G443" t="s">
        <v>17</v>
      </c>
      <c r="H443" t="s">
        <v>18</v>
      </c>
      <c r="I443">
        <v>64.790000000000006</v>
      </c>
      <c r="J443" t="s">
        <v>19</v>
      </c>
      <c r="K443" t="s">
        <v>635</v>
      </c>
      <c r="L443" t="s">
        <v>21</v>
      </c>
    </row>
    <row r="444" spans="1:12">
      <c r="A444" t="s">
        <v>636</v>
      </c>
      <c r="B444" t="s">
        <v>622</v>
      </c>
      <c r="C444" t="s">
        <v>80</v>
      </c>
      <c r="D444">
        <v>1967</v>
      </c>
      <c r="E444" t="s">
        <v>23</v>
      </c>
      <c r="F444" t="s">
        <v>24</v>
      </c>
      <c r="G444" t="s">
        <v>25</v>
      </c>
      <c r="H444" t="s">
        <v>26</v>
      </c>
      <c r="I444">
        <v>3585000</v>
      </c>
      <c r="J444" t="s">
        <v>27</v>
      </c>
      <c r="K444" t="s">
        <v>635</v>
      </c>
      <c r="L444" t="s">
        <v>21</v>
      </c>
    </row>
    <row r="445" spans="1:12">
      <c r="A445" t="s">
        <v>637</v>
      </c>
      <c r="B445" t="s">
        <v>622</v>
      </c>
      <c r="C445" t="s">
        <v>80</v>
      </c>
      <c r="D445">
        <v>1967</v>
      </c>
      <c r="E445" t="s">
        <v>29</v>
      </c>
      <c r="F445" t="s">
        <v>30</v>
      </c>
      <c r="G445" t="s">
        <v>31</v>
      </c>
      <c r="H445" t="s">
        <v>32</v>
      </c>
      <c r="I445">
        <v>2172.3524229999998</v>
      </c>
      <c r="J445" t="s">
        <v>33</v>
      </c>
      <c r="K445" t="s">
        <v>635</v>
      </c>
      <c r="L445" t="s">
        <v>21</v>
      </c>
    </row>
    <row r="446" spans="1:12">
      <c r="A446" t="s">
        <v>638</v>
      </c>
      <c r="B446" t="s">
        <v>622</v>
      </c>
      <c r="C446" t="s">
        <v>80</v>
      </c>
      <c r="D446">
        <v>1972</v>
      </c>
      <c r="E446" t="s">
        <v>15</v>
      </c>
      <c r="F446" t="s">
        <v>16</v>
      </c>
      <c r="G446" t="s">
        <v>17</v>
      </c>
      <c r="H446" t="s">
        <v>18</v>
      </c>
      <c r="I446">
        <v>67.45</v>
      </c>
      <c r="J446" t="s">
        <v>19</v>
      </c>
      <c r="K446" t="s">
        <v>639</v>
      </c>
      <c r="L446" t="s">
        <v>21</v>
      </c>
    </row>
    <row r="447" spans="1:12">
      <c r="A447" t="s">
        <v>640</v>
      </c>
      <c r="B447" t="s">
        <v>622</v>
      </c>
      <c r="C447" t="s">
        <v>80</v>
      </c>
      <c r="D447">
        <v>1972</v>
      </c>
      <c r="E447" t="s">
        <v>23</v>
      </c>
      <c r="F447" t="s">
        <v>24</v>
      </c>
      <c r="G447" t="s">
        <v>25</v>
      </c>
      <c r="H447" t="s">
        <v>26</v>
      </c>
      <c r="I447">
        <v>3819000</v>
      </c>
      <c r="J447" t="s">
        <v>27</v>
      </c>
      <c r="K447" t="s">
        <v>639</v>
      </c>
      <c r="L447" t="s">
        <v>21</v>
      </c>
    </row>
    <row r="448" spans="1:12">
      <c r="A448" t="s">
        <v>641</v>
      </c>
      <c r="B448" t="s">
        <v>622</v>
      </c>
      <c r="C448" t="s">
        <v>80</v>
      </c>
      <c r="D448">
        <v>1972</v>
      </c>
      <c r="E448" t="s">
        <v>29</v>
      </c>
      <c r="F448" t="s">
        <v>30</v>
      </c>
      <c r="G448" t="s">
        <v>31</v>
      </c>
      <c r="H448" t="s">
        <v>32</v>
      </c>
      <c r="I448">
        <v>2860.16975</v>
      </c>
      <c r="J448" t="s">
        <v>33</v>
      </c>
      <c r="K448" t="s">
        <v>639</v>
      </c>
      <c r="L448" t="s">
        <v>21</v>
      </c>
    </row>
    <row r="449" spans="1:12">
      <c r="A449" t="s">
        <v>642</v>
      </c>
      <c r="B449" t="s">
        <v>622</v>
      </c>
      <c r="C449" t="s">
        <v>80</v>
      </c>
      <c r="D449">
        <v>1977</v>
      </c>
      <c r="E449" t="s">
        <v>15</v>
      </c>
      <c r="F449" t="s">
        <v>16</v>
      </c>
      <c r="G449" t="s">
        <v>17</v>
      </c>
      <c r="H449" t="s">
        <v>18</v>
      </c>
      <c r="I449">
        <v>69.86</v>
      </c>
      <c r="J449" t="s">
        <v>19</v>
      </c>
      <c r="K449" t="s">
        <v>643</v>
      </c>
      <c r="L449" t="s">
        <v>21</v>
      </c>
    </row>
    <row r="450" spans="1:12">
      <c r="A450" t="s">
        <v>644</v>
      </c>
      <c r="B450" t="s">
        <v>622</v>
      </c>
      <c r="C450" t="s">
        <v>80</v>
      </c>
      <c r="D450">
        <v>1977</v>
      </c>
      <c r="E450" t="s">
        <v>23</v>
      </c>
      <c r="F450" t="s">
        <v>24</v>
      </c>
      <c r="G450" t="s">
        <v>25</v>
      </c>
      <c r="H450" t="s">
        <v>26</v>
      </c>
      <c r="I450">
        <v>4086000</v>
      </c>
      <c r="J450" t="s">
        <v>27</v>
      </c>
      <c r="K450" t="s">
        <v>643</v>
      </c>
      <c r="L450" t="s">
        <v>21</v>
      </c>
    </row>
    <row r="451" spans="1:12">
      <c r="A451" t="s">
        <v>645</v>
      </c>
      <c r="B451" t="s">
        <v>622</v>
      </c>
      <c r="C451" t="s">
        <v>80</v>
      </c>
      <c r="D451">
        <v>1977</v>
      </c>
      <c r="E451" t="s">
        <v>29</v>
      </c>
      <c r="F451" t="s">
        <v>30</v>
      </c>
      <c r="G451" t="s">
        <v>31</v>
      </c>
      <c r="H451" t="s">
        <v>32</v>
      </c>
      <c r="I451">
        <v>3528.4813049999998</v>
      </c>
      <c r="J451" t="s">
        <v>33</v>
      </c>
      <c r="K451" t="s">
        <v>643</v>
      </c>
      <c r="L451" t="s">
        <v>21</v>
      </c>
    </row>
    <row r="452" spans="1:12">
      <c r="A452" t="s">
        <v>646</v>
      </c>
      <c r="B452" t="s">
        <v>622</v>
      </c>
      <c r="C452" t="s">
        <v>80</v>
      </c>
      <c r="D452">
        <v>1982</v>
      </c>
      <c r="E452" t="s">
        <v>15</v>
      </c>
      <c r="F452" t="s">
        <v>16</v>
      </c>
      <c r="G452" t="s">
        <v>17</v>
      </c>
      <c r="H452" t="s">
        <v>18</v>
      </c>
      <c r="I452">
        <v>70.69</v>
      </c>
      <c r="J452" t="s">
        <v>19</v>
      </c>
      <c r="K452" t="s">
        <v>647</v>
      </c>
      <c r="L452" t="s">
        <v>21</v>
      </c>
    </row>
    <row r="453" spans="1:12">
      <c r="A453" t="s">
        <v>648</v>
      </c>
      <c r="B453" t="s">
        <v>622</v>
      </c>
      <c r="C453" t="s">
        <v>80</v>
      </c>
      <c r="D453">
        <v>1982</v>
      </c>
      <c r="E453" t="s">
        <v>23</v>
      </c>
      <c r="F453" t="s">
        <v>24</v>
      </c>
      <c r="G453" t="s">
        <v>25</v>
      </c>
      <c r="H453" t="s">
        <v>26</v>
      </c>
      <c r="I453">
        <v>4172693</v>
      </c>
      <c r="J453" t="s">
        <v>27</v>
      </c>
      <c r="K453" t="s">
        <v>647</v>
      </c>
      <c r="L453" t="s">
        <v>21</v>
      </c>
    </row>
    <row r="454" spans="1:12">
      <c r="A454" t="s">
        <v>649</v>
      </c>
      <c r="B454" t="s">
        <v>622</v>
      </c>
      <c r="C454" t="s">
        <v>80</v>
      </c>
      <c r="D454">
        <v>1982</v>
      </c>
      <c r="E454" t="s">
        <v>29</v>
      </c>
      <c r="F454" t="s">
        <v>30</v>
      </c>
      <c r="G454" t="s">
        <v>31</v>
      </c>
      <c r="H454" t="s">
        <v>32</v>
      </c>
      <c r="I454">
        <v>4126.6131569999998</v>
      </c>
      <c r="J454" t="s">
        <v>33</v>
      </c>
      <c r="K454" t="s">
        <v>647</v>
      </c>
      <c r="L454" t="s">
        <v>21</v>
      </c>
    </row>
    <row r="455" spans="1:12">
      <c r="A455" t="s">
        <v>650</v>
      </c>
      <c r="B455" t="s">
        <v>622</v>
      </c>
      <c r="C455" t="s">
        <v>80</v>
      </c>
      <c r="D455">
        <v>1987</v>
      </c>
      <c r="E455" t="s">
        <v>15</v>
      </c>
      <c r="F455" t="s">
        <v>16</v>
      </c>
      <c r="G455" t="s">
        <v>17</v>
      </c>
      <c r="H455" t="s">
        <v>18</v>
      </c>
      <c r="I455">
        <v>71.14</v>
      </c>
      <c r="J455" t="s">
        <v>19</v>
      </c>
      <c r="K455" t="s">
        <v>651</v>
      </c>
      <c r="L455" t="s">
        <v>21</v>
      </c>
    </row>
    <row r="456" spans="1:12">
      <c r="A456" t="s">
        <v>652</v>
      </c>
      <c r="B456" t="s">
        <v>622</v>
      </c>
      <c r="C456" t="s">
        <v>80</v>
      </c>
      <c r="D456">
        <v>1987</v>
      </c>
      <c r="E456" t="s">
        <v>23</v>
      </c>
      <c r="F456" t="s">
        <v>24</v>
      </c>
      <c r="G456" t="s">
        <v>25</v>
      </c>
      <c r="H456" t="s">
        <v>26</v>
      </c>
      <c r="I456">
        <v>4338977</v>
      </c>
      <c r="J456" t="s">
        <v>27</v>
      </c>
      <c r="K456" t="s">
        <v>651</v>
      </c>
      <c r="L456" t="s">
        <v>21</v>
      </c>
    </row>
    <row r="457" spans="1:12">
      <c r="A457" t="s">
        <v>653</v>
      </c>
      <c r="B457" t="s">
        <v>622</v>
      </c>
      <c r="C457" t="s">
        <v>80</v>
      </c>
      <c r="D457">
        <v>1987</v>
      </c>
      <c r="E457" t="s">
        <v>29</v>
      </c>
      <c r="F457" t="s">
        <v>30</v>
      </c>
      <c r="G457" t="s">
        <v>31</v>
      </c>
      <c r="H457" t="s">
        <v>32</v>
      </c>
      <c r="I457">
        <v>4314.1147570000003</v>
      </c>
      <c r="J457" t="s">
        <v>33</v>
      </c>
      <c r="K457" t="s">
        <v>651</v>
      </c>
      <c r="L457" t="s">
        <v>21</v>
      </c>
    </row>
    <row r="458" spans="1:12">
      <c r="A458" t="s">
        <v>654</v>
      </c>
      <c r="B458" t="s">
        <v>622</v>
      </c>
      <c r="C458" t="s">
        <v>80</v>
      </c>
      <c r="D458">
        <v>1992</v>
      </c>
      <c r="E458" t="s">
        <v>15</v>
      </c>
      <c r="F458" t="s">
        <v>16</v>
      </c>
      <c r="G458" t="s">
        <v>17</v>
      </c>
      <c r="H458" t="s">
        <v>18</v>
      </c>
      <c r="I458">
        <v>72.177999999999997</v>
      </c>
      <c r="J458" t="s">
        <v>19</v>
      </c>
      <c r="K458" t="s">
        <v>655</v>
      </c>
      <c r="L458" t="s">
        <v>21</v>
      </c>
    </row>
    <row r="459" spans="1:12">
      <c r="A459" t="s">
        <v>656</v>
      </c>
      <c r="B459" t="s">
        <v>622</v>
      </c>
      <c r="C459" t="s">
        <v>80</v>
      </c>
      <c r="D459">
        <v>1992</v>
      </c>
      <c r="E459" t="s">
        <v>23</v>
      </c>
      <c r="F459" t="s">
        <v>24</v>
      </c>
      <c r="G459" t="s">
        <v>25</v>
      </c>
      <c r="H459" t="s">
        <v>26</v>
      </c>
      <c r="I459">
        <v>4256013</v>
      </c>
      <c r="J459" t="s">
        <v>27</v>
      </c>
      <c r="K459" t="s">
        <v>655</v>
      </c>
      <c r="L459" t="s">
        <v>21</v>
      </c>
    </row>
    <row r="460" spans="1:12">
      <c r="A460" t="s">
        <v>657</v>
      </c>
      <c r="B460" t="s">
        <v>622</v>
      </c>
      <c r="C460" t="s">
        <v>80</v>
      </c>
      <c r="D460">
        <v>1992</v>
      </c>
      <c r="E460" t="s">
        <v>29</v>
      </c>
      <c r="F460" t="s">
        <v>30</v>
      </c>
      <c r="G460" t="s">
        <v>31</v>
      </c>
      <c r="H460" t="s">
        <v>32</v>
      </c>
      <c r="I460">
        <v>2546.7814450000001</v>
      </c>
      <c r="J460" t="s">
        <v>33</v>
      </c>
      <c r="K460" t="s">
        <v>655</v>
      </c>
      <c r="L460" t="s">
        <v>21</v>
      </c>
    </row>
    <row r="461" spans="1:12">
      <c r="A461" t="s">
        <v>658</v>
      </c>
      <c r="B461" t="s">
        <v>622</v>
      </c>
      <c r="C461" t="s">
        <v>80</v>
      </c>
      <c r="D461">
        <v>1997</v>
      </c>
      <c r="E461" t="s">
        <v>15</v>
      </c>
      <c r="F461" t="s">
        <v>16</v>
      </c>
      <c r="G461" t="s">
        <v>17</v>
      </c>
      <c r="H461" t="s">
        <v>18</v>
      </c>
      <c r="I461">
        <v>73.244</v>
      </c>
      <c r="J461" t="s">
        <v>19</v>
      </c>
      <c r="K461" t="s">
        <v>659</v>
      </c>
      <c r="L461" t="s">
        <v>21</v>
      </c>
    </row>
    <row r="462" spans="1:12">
      <c r="A462" t="s">
        <v>660</v>
      </c>
      <c r="B462" t="s">
        <v>622</v>
      </c>
      <c r="C462" t="s">
        <v>80</v>
      </c>
      <c r="D462">
        <v>1997</v>
      </c>
      <c r="E462" t="s">
        <v>23</v>
      </c>
      <c r="F462" t="s">
        <v>24</v>
      </c>
      <c r="G462" t="s">
        <v>25</v>
      </c>
      <c r="H462" t="s">
        <v>26</v>
      </c>
      <c r="I462">
        <v>3607000</v>
      </c>
      <c r="J462" t="s">
        <v>27</v>
      </c>
      <c r="K462" t="s">
        <v>659</v>
      </c>
      <c r="L462" t="s">
        <v>21</v>
      </c>
    </row>
    <row r="463" spans="1:12">
      <c r="A463" t="s">
        <v>661</v>
      </c>
      <c r="B463" t="s">
        <v>622</v>
      </c>
      <c r="C463" t="s">
        <v>80</v>
      </c>
      <c r="D463">
        <v>1997</v>
      </c>
      <c r="E463" t="s">
        <v>29</v>
      </c>
      <c r="F463" t="s">
        <v>30</v>
      </c>
      <c r="G463" t="s">
        <v>31</v>
      </c>
      <c r="H463" t="s">
        <v>32</v>
      </c>
      <c r="I463">
        <v>4766.355904</v>
      </c>
      <c r="J463" t="s">
        <v>33</v>
      </c>
      <c r="K463" t="s">
        <v>659</v>
      </c>
      <c r="L463" t="s">
        <v>21</v>
      </c>
    </row>
    <row r="464" spans="1:12">
      <c r="A464" t="s">
        <v>662</v>
      </c>
      <c r="B464" t="s">
        <v>622</v>
      </c>
      <c r="C464" t="s">
        <v>80</v>
      </c>
      <c r="D464">
        <v>2002</v>
      </c>
      <c r="E464" t="s">
        <v>15</v>
      </c>
      <c r="F464" t="s">
        <v>16</v>
      </c>
      <c r="G464" t="s">
        <v>17</v>
      </c>
      <c r="H464" t="s">
        <v>18</v>
      </c>
      <c r="I464">
        <v>74.09</v>
      </c>
      <c r="J464" t="s">
        <v>19</v>
      </c>
      <c r="K464" t="s">
        <v>663</v>
      </c>
      <c r="L464" t="s">
        <v>21</v>
      </c>
    </row>
    <row r="465" spans="1:12">
      <c r="A465" t="s">
        <v>664</v>
      </c>
      <c r="B465" t="s">
        <v>622</v>
      </c>
      <c r="C465" t="s">
        <v>80</v>
      </c>
      <c r="D465">
        <v>2002</v>
      </c>
      <c r="E465" t="s">
        <v>23</v>
      </c>
      <c r="F465" t="s">
        <v>24</v>
      </c>
      <c r="G465" t="s">
        <v>25</v>
      </c>
      <c r="H465" t="s">
        <v>26</v>
      </c>
      <c r="I465">
        <v>4165416</v>
      </c>
      <c r="J465" t="s">
        <v>27</v>
      </c>
      <c r="K465" t="s">
        <v>663</v>
      </c>
      <c r="L465" t="s">
        <v>21</v>
      </c>
    </row>
    <row r="466" spans="1:12">
      <c r="A466" t="s">
        <v>665</v>
      </c>
      <c r="B466" t="s">
        <v>622</v>
      </c>
      <c r="C466" t="s">
        <v>80</v>
      </c>
      <c r="D466">
        <v>2002</v>
      </c>
      <c r="E466" t="s">
        <v>29</v>
      </c>
      <c r="F466" t="s">
        <v>30</v>
      </c>
      <c r="G466" t="s">
        <v>31</v>
      </c>
      <c r="H466" t="s">
        <v>32</v>
      </c>
      <c r="I466">
        <v>6018.9752390000003</v>
      </c>
      <c r="J466" t="s">
        <v>33</v>
      </c>
      <c r="K466" t="s">
        <v>663</v>
      </c>
      <c r="L466" t="s">
        <v>21</v>
      </c>
    </row>
    <row r="467" spans="1:12">
      <c r="A467" t="s">
        <v>666</v>
      </c>
      <c r="B467" t="s">
        <v>622</v>
      </c>
      <c r="C467" t="s">
        <v>80</v>
      </c>
      <c r="D467">
        <v>2007</v>
      </c>
      <c r="E467" t="s">
        <v>15</v>
      </c>
      <c r="F467" t="s">
        <v>16</v>
      </c>
      <c r="G467" t="s">
        <v>17</v>
      </c>
      <c r="H467" t="s">
        <v>18</v>
      </c>
      <c r="I467">
        <v>74.852000000000004</v>
      </c>
      <c r="J467" t="s">
        <v>19</v>
      </c>
      <c r="K467" t="s">
        <v>667</v>
      </c>
      <c r="L467" t="s">
        <v>21</v>
      </c>
    </row>
    <row r="468" spans="1:12">
      <c r="A468" t="s">
        <v>668</v>
      </c>
      <c r="B468" t="s">
        <v>622</v>
      </c>
      <c r="C468" t="s">
        <v>80</v>
      </c>
      <c r="D468">
        <v>2007</v>
      </c>
      <c r="E468" t="s">
        <v>23</v>
      </c>
      <c r="F468" t="s">
        <v>24</v>
      </c>
      <c r="G468" t="s">
        <v>25</v>
      </c>
      <c r="H468" t="s">
        <v>26</v>
      </c>
      <c r="I468">
        <v>4552198</v>
      </c>
      <c r="J468" t="s">
        <v>27</v>
      </c>
      <c r="K468" t="s">
        <v>667</v>
      </c>
      <c r="L468" t="s">
        <v>21</v>
      </c>
    </row>
    <row r="469" spans="1:12">
      <c r="A469" t="s">
        <v>669</v>
      </c>
      <c r="B469" t="s">
        <v>622</v>
      </c>
      <c r="C469" t="s">
        <v>80</v>
      </c>
      <c r="D469">
        <v>2007</v>
      </c>
      <c r="E469" t="s">
        <v>29</v>
      </c>
      <c r="F469" t="s">
        <v>30</v>
      </c>
      <c r="G469" t="s">
        <v>31</v>
      </c>
      <c r="H469" t="s">
        <v>32</v>
      </c>
      <c r="I469">
        <v>7446.2988029999997</v>
      </c>
      <c r="J469" t="s">
        <v>33</v>
      </c>
      <c r="K469" t="s">
        <v>667</v>
      </c>
      <c r="L469" t="s">
        <v>21</v>
      </c>
    </row>
    <row r="470" spans="1:12">
      <c r="A470" t="s">
        <v>670</v>
      </c>
      <c r="B470" t="s">
        <v>671</v>
      </c>
      <c r="C470" t="s">
        <v>130</v>
      </c>
      <c r="D470">
        <v>1952</v>
      </c>
      <c r="E470" t="s">
        <v>15</v>
      </c>
      <c r="F470" t="s">
        <v>16</v>
      </c>
      <c r="G470" t="s">
        <v>17</v>
      </c>
      <c r="H470" t="s">
        <v>18</v>
      </c>
      <c r="I470">
        <v>47.622</v>
      </c>
      <c r="J470" t="s">
        <v>19</v>
      </c>
      <c r="K470" t="s">
        <v>672</v>
      </c>
      <c r="L470" t="s">
        <v>21</v>
      </c>
    </row>
    <row r="471" spans="1:12">
      <c r="A471" t="s">
        <v>673</v>
      </c>
      <c r="B471" t="s">
        <v>671</v>
      </c>
      <c r="C471" t="s">
        <v>130</v>
      </c>
      <c r="D471">
        <v>1952</v>
      </c>
      <c r="E471" t="s">
        <v>23</v>
      </c>
      <c r="F471" t="s">
        <v>24</v>
      </c>
      <c r="G471" t="s">
        <v>25</v>
      </c>
      <c r="H471" t="s">
        <v>26</v>
      </c>
      <c r="I471">
        <v>442308</v>
      </c>
      <c r="J471" t="s">
        <v>27</v>
      </c>
      <c r="K471" t="s">
        <v>672</v>
      </c>
      <c r="L471" t="s">
        <v>21</v>
      </c>
    </row>
    <row r="472" spans="1:12">
      <c r="A472" t="s">
        <v>674</v>
      </c>
      <c r="B472" t="s">
        <v>671</v>
      </c>
      <c r="C472" t="s">
        <v>130</v>
      </c>
      <c r="D472">
        <v>1952</v>
      </c>
      <c r="E472" t="s">
        <v>29</v>
      </c>
      <c r="F472" t="s">
        <v>30</v>
      </c>
      <c r="G472" t="s">
        <v>31</v>
      </c>
      <c r="H472" t="s">
        <v>32</v>
      </c>
      <c r="I472">
        <v>851.24114069999996</v>
      </c>
      <c r="J472" t="s">
        <v>33</v>
      </c>
      <c r="K472" t="s">
        <v>672</v>
      </c>
      <c r="L472" t="s">
        <v>21</v>
      </c>
    </row>
    <row r="473" spans="1:12">
      <c r="A473" t="s">
        <v>675</v>
      </c>
      <c r="B473" t="s">
        <v>671</v>
      </c>
      <c r="C473" t="s">
        <v>130</v>
      </c>
      <c r="D473">
        <v>1957</v>
      </c>
      <c r="E473" t="s">
        <v>15</v>
      </c>
      <c r="F473" t="s">
        <v>16</v>
      </c>
      <c r="G473" t="s">
        <v>17</v>
      </c>
      <c r="H473" t="s">
        <v>18</v>
      </c>
      <c r="I473">
        <v>49.618000000000002</v>
      </c>
      <c r="J473" t="s">
        <v>19</v>
      </c>
      <c r="K473" t="s">
        <v>676</v>
      </c>
      <c r="L473" t="s">
        <v>21</v>
      </c>
    </row>
    <row r="474" spans="1:12">
      <c r="A474" t="s">
        <v>677</v>
      </c>
      <c r="B474" t="s">
        <v>671</v>
      </c>
      <c r="C474" t="s">
        <v>130</v>
      </c>
      <c r="D474">
        <v>1957</v>
      </c>
      <c r="E474" t="s">
        <v>23</v>
      </c>
      <c r="F474" t="s">
        <v>24</v>
      </c>
      <c r="G474" t="s">
        <v>25</v>
      </c>
      <c r="H474" t="s">
        <v>26</v>
      </c>
      <c r="I474">
        <v>474639</v>
      </c>
      <c r="J474" t="s">
        <v>27</v>
      </c>
      <c r="K474" t="s">
        <v>676</v>
      </c>
      <c r="L474" t="s">
        <v>21</v>
      </c>
    </row>
    <row r="475" spans="1:12">
      <c r="A475" t="s">
        <v>678</v>
      </c>
      <c r="B475" t="s">
        <v>671</v>
      </c>
      <c r="C475" t="s">
        <v>130</v>
      </c>
      <c r="D475">
        <v>1957</v>
      </c>
      <c r="E475" t="s">
        <v>29</v>
      </c>
      <c r="F475" t="s">
        <v>30</v>
      </c>
      <c r="G475" t="s">
        <v>31</v>
      </c>
      <c r="H475" t="s">
        <v>32</v>
      </c>
      <c r="I475">
        <v>918.23253490000002</v>
      </c>
      <c r="J475" t="s">
        <v>33</v>
      </c>
      <c r="K475" t="s">
        <v>676</v>
      </c>
      <c r="L475" t="s">
        <v>21</v>
      </c>
    </row>
    <row r="476" spans="1:12">
      <c r="A476" t="s">
        <v>679</v>
      </c>
      <c r="B476" t="s">
        <v>671</v>
      </c>
      <c r="C476" t="s">
        <v>130</v>
      </c>
      <c r="D476">
        <v>1962</v>
      </c>
      <c r="E476" t="s">
        <v>15</v>
      </c>
      <c r="F476" t="s">
        <v>16</v>
      </c>
      <c r="G476" t="s">
        <v>17</v>
      </c>
      <c r="H476" t="s">
        <v>18</v>
      </c>
      <c r="I476">
        <v>51.52</v>
      </c>
      <c r="J476" t="s">
        <v>19</v>
      </c>
      <c r="K476" t="s">
        <v>680</v>
      </c>
      <c r="L476" t="s">
        <v>21</v>
      </c>
    </row>
    <row r="477" spans="1:12">
      <c r="A477" t="s">
        <v>681</v>
      </c>
      <c r="B477" t="s">
        <v>671</v>
      </c>
      <c r="C477" t="s">
        <v>130</v>
      </c>
      <c r="D477">
        <v>1962</v>
      </c>
      <c r="E477" t="s">
        <v>23</v>
      </c>
      <c r="F477" t="s">
        <v>24</v>
      </c>
      <c r="G477" t="s">
        <v>25</v>
      </c>
      <c r="H477" t="s">
        <v>26</v>
      </c>
      <c r="I477">
        <v>512764</v>
      </c>
      <c r="J477" t="s">
        <v>27</v>
      </c>
      <c r="K477" t="s">
        <v>680</v>
      </c>
      <c r="L477" t="s">
        <v>21</v>
      </c>
    </row>
    <row r="478" spans="1:12">
      <c r="A478" t="s">
        <v>682</v>
      </c>
      <c r="B478" t="s">
        <v>671</v>
      </c>
      <c r="C478" t="s">
        <v>130</v>
      </c>
      <c r="D478">
        <v>1962</v>
      </c>
      <c r="E478" t="s">
        <v>29</v>
      </c>
      <c r="F478" t="s">
        <v>30</v>
      </c>
      <c r="G478" t="s">
        <v>31</v>
      </c>
      <c r="H478" t="s">
        <v>32</v>
      </c>
      <c r="I478">
        <v>983.65397640000003</v>
      </c>
      <c r="J478" t="s">
        <v>33</v>
      </c>
      <c r="K478" t="s">
        <v>680</v>
      </c>
      <c r="L478" t="s">
        <v>21</v>
      </c>
    </row>
    <row r="479" spans="1:12">
      <c r="A479" t="s">
        <v>683</v>
      </c>
      <c r="B479" t="s">
        <v>671</v>
      </c>
      <c r="C479" t="s">
        <v>130</v>
      </c>
      <c r="D479">
        <v>1967</v>
      </c>
      <c r="E479" t="s">
        <v>15</v>
      </c>
      <c r="F479" t="s">
        <v>16</v>
      </c>
      <c r="G479" t="s">
        <v>17</v>
      </c>
      <c r="H479" t="s">
        <v>18</v>
      </c>
      <c r="I479">
        <v>53.298000000000002</v>
      </c>
      <c r="J479" t="s">
        <v>19</v>
      </c>
      <c r="K479" t="s">
        <v>684</v>
      </c>
      <c r="L479" t="s">
        <v>21</v>
      </c>
    </row>
    <row r="480" spans="1:12">
      <c r="A480" t="s">
        <v>685</v>
      </c>
      <c r="B480" t="s">
        <v>671</v>
      </c>
      <c r="C480" t="s">
        <v>130</v>
      </c>
      <c r="D480">
        <v>1967</v>
      </c>
      <c r="E480" t="s">
        <v>23</v>
      </c>
      <c r="F480" t="s">
        <v>24</v>
      </c>
      <c r="G480" t="s">
        <v>25</v>
      </c>
      <c r="H480" t="s">
        <v>26</v>
      </c>
      <c r="I480">
        <v>553541</v>
      </c>
      <c r="J480" t="s">
        <v>27</v>
      </c>
      <c r="K480" t="s">
        <v>684</v>
      </c>
      <c r="L480" t="s">
        <v>21</v>
      </c>
    </row>
    <row r="481" spans="1:12">
      <c r="A481" t="s">
        <v>686</v>
      </c>
      <c r="B481" t="s">
        <v>671</v>
      </c>
      <c r="C481" t="s">
        <v>130</v>
      </c>
      <c r="D481">
        <v>1967</v>
      </c>
      <c r="E481" t="s">
        <v>29</v>
      </c>
      <c r="F481" t="s">
        <v>30</v>
      </c>
      <c r="G481" t="s">
        <v>31</v>
      </c>
      <c r="H481" t="s">
        <v>32</v>
      </c>
      <c r="I481">
        <v>1214.709294</v>
      </c>
      <c r="J481" t="s">
        <v>33</v>
      </c>
      <c r="K481" t="s">
        <v>684</v>
      </c>
      <c r="L481" t="s">
        <v>21</v>
      </c>
    </row>
    <row r="482" spans="1:12">
      <c r="A482" t="s">
        <v>687</v>
      </c>
      <c r="B482" t="s">
        <v>671</v>
      </c>
      <c r="C482" t="s">
        <v>130</v>
      </c>
      <c r="D482">
        <v>1972</v>
      </c>
      <c r="E482" t="s">
        <v>15</v>
      </c>
      <c r="F482" t="s">
        <v>16</v>
      </c>
      <c r="G482" t="s">
        <v>17</v>
      </c>
      <c r="H482" t="s">
        <v>18</v>
      </c>
      <c r="I482">
        <v>56.024000000000001</v>
      </c>
      <c r="J482" t="s">
        <v>19</v>
      </c>
      <c r="K482" t="s">
        <v>688</v>
      </c>
      <c r="L482" t="s">
        <v>21</v>
      </c>
    </row>
    <row r="483" spans="1:12">
      <c r="A483" t="s">
        <v>689</v>
      </c>
      <c r="B483" t="s">
        <v>671</v>
      </c>
      <c r="C483" t="s">
        <v>130</v>
      </c>
      <c r="D483">
        <v>1972</v>
      </c>
      <c r="E483" t="s">
        <v>23</v>
      </c>
      <c r="F483" t="s">
        <v>24</v>
      </c>
      <c r="G483" t="s">
        <v>25</v>
      </c>
      <c r="H483" t="s">
        <v>26</v>
      </c>
      <c r="I483">
        <v>619351</v>
      </c>
      <c r="J483" t="s">
        <v>27</v>
      </c>
      <c r="K483" t="s">
        <v>688</v>
      </c>
      <c r="L483" t="s">
        <v>21</v>
      </c>
    </row>
    <row r="484" spans="1:12">
      <c r="A484" t="s">
        <v>690</v>
      </c>
      <c r="B484" t="s">
        <v>671</v>
      </c>
      <c r="C484" t="s">
        <v>130</v>
      </c>
      <c r="D484">
        <v>1972</v>
      </c>
      <c r="E484" t="s">
        <v>29</v>
      </c>
      <c r="F484" t="s">
        <v>30</v>
      </c>
      <c r="G484" t="s">
        <v>31</v>
      </c>
      <c r="H484" t="s">
        <v>32</v>
      </c>
      <c r="I484">
        <v>2263.6111139999998</v>
      </c>
      <c r="J484" t="s">
        <v>33</v>
      </c>
      <c r="K484" t="s">
        <v>688</v>
      </c>
      <c r="L484" t="s">
        <v>21</v>
      </c>
    </row>
    <row r="485" spans="1:12">
      <c r="A485" t="s">
        <v>691</v>
      </c>
      <c r="B485" t="s">
        <v>671</v>
      </c>
      <c r="C485" t="s">
        <v>130</v>
      </c>
      <c r="D485">
        <v>1977</v>
      </c>
      <c r="E485" t="s">
        <v>15</v>
      </c>
      <c r="F485" t="s">
        <v>16</v>
      </c>
      <c r="G485" t="s">
        <v>17</v>
      </c>
      <c r="H485" t="s">
        <v>18</v>
      </c>
      <c r="I485">
        <v>59.319000000000003</v>
      </c>
      <c r="J485" t="s">
        <v>19</v>
      </c>
      <c r="K485" t="s">
        <v>692</v>
      </c>
      <c r="L485" t="s">
        <v>21</v>
      </c>
    </row>
    <row r="486" spans="1:12">
      <c r="A486" t="s">
        <v>693</v>
      </c>
      <c r="B486" t="s">
        <v>671</v>
      </c>
      <c r="C486" t="s">
        <v>130</v>
      </c>
      <c r="D486">
        <v>1977</v>
      </c>
      <c r="E486" t="s">
        <v>23</v>
      </c>
      <c r="F486" t="s">
        <v>24</v>
      </c>
      <c r="G486" t="s">
        <v>25</v>
      </c>
      <c r="H486" t="s">
        <v>26</v>
      </c>
      <c r="I486">
        <v>781472</v>
      </c>
      <c r="J486" t="s">
        <v>27</v>
      </c>
      <c r="K486" t="s">
        <v>692</v>
      </c>
      <c r="L486" t="s">
        <v>21</v>
      </c>
    </row>
    <row r="487" spans="1:12">
      <c r="A487" t="s">
        <v>694</v>
      </c>
      <c r="B487" t="s">
        <v>671</v>
      </c>
      <c r="C487" t="s">
        <v>130</v>
      </c>
      <c r="D487">
        <v>1977</v>
      </c>
      <c r="E487" t="s">
        <v>29</v>
      </c>
      <c r="F487" t="s">
        <v>30</v>
      </c>
      <c r="G487" t="s">
        <v>31</v>
      </c>
      <c r="H487" t="s">
        <v>32</v>
      </c>
      <c r="I487">
        <v>3214.857818</v>
      </c>
      <c r="J487" t="s">
        <v>33</v>
      </c>
      <c r="K487" t="s">
        <v>692</v>
      </c>
      <c r="L487" t="s">
        <v>21</v>
      </c>
    </row>
    <row r="488" spans="1:12">
      <c r="A488" t="s">
        <v>695</v>
      </c>
      <c r="B488" t="s">
        <v>671</v>
      </c>
      <c r="C488" t="s">
        <v>130</v>
      </c>
      <c r="D488">
        <v>1982</v>
      </c>
      <c r="E488" t="s">
        <v>15</v>
      </c>
      <c r="F488" t="s">
        <v>16</v>
      </c>
      <c r="G488" t="s">
        <v>17</v>
      </c>
      <c r="H488" t="s">
        <v>18</v>
      </c>
      <c r="I488">
        <v>61.484000000000002</v>
      </c>
      <c r="J488" t="s">
        <v>19</v>
      </c>
      <c r="K488" t="s">
        <v>696</v>
      </c>
      <c r="L488" t="s">
        <v>21</v>
      </c>
    </row>
    <row r="489" spans="1:12">
      <c r="A489" t="s">
        <v>697</v>
      </c>
      <c r="B489" t="s">
        <v>671</v>
      </c>
      <c r="C489" t="s">
        <v>130</v>
      </c>
      <c r="D489">
        <v>1982</v>
      </c>
      <c r="E489" t="s">
        <v>23</v>
      </c>
      <c r="F489" t="s">
        <v>24</v>
      </c>
      <c r="G489" t="s">
        <v>25</v>
      </c>
      <c r="H489" t="s">
        <v>26</v>
      </c>
      <c r="I489">
        <v>970347</v>
      </c>
      <c r="J489" t="s">
        <v>27</v>
      </c>
      <c r="K489" t="s">
        <v>696</v>
      </c>
      <c r="L489" t="s">
        <v>21</v>
      </c>
    </row>
    <row r="490" spans="1:12">
      <c r="A490" t="s">
        <v>698</v>
      </c>
      <c r="B490" t="s">
        <v>671</v>
      </c>
      <c r="C490" t="s">
        <v>130</v>
      </c>
      <c r="D490">
        <v>1982</v>
      </c>
      <c r="E490" t="s">
        <v>29</v>
      </c>
      <c r="F490" t="s">
        <v>30</v>
      </c>
      <c r="G490" t="s">
        <v>31</v>
      </c>
      <c r="H490" t="s">
        <v>32</v>
      </c>
      <c r="I490">
        <v>4551.1421499999997</v>
      </c>
      <c r="J490" t="s">
        <v>33</v>
      </c>
      <c r="K490" t="s">
        <v>696</v>
      </c>
      <c r="L490" t="s">
        <v>21</v>
      </c>
    </row>
    <row r="491" spans="1:12">
      <c r="A491" t="s">
        <v>699</v>
      </c>
      <c r="B491" t="s">
        <v>671</v>
      </c>
      <c r="C491" t="s">
        <v>130</v>
      </c>
      <c r="D491">
        <v>1987</v>
      </c>
      <c r="E491" t="s">
        <v>15</v>
      </c>
      <c r="F491" t="s">
        <v>16</v>
      </c>
      <c r="G491" t="s">
        <v>17</v>
      </c>
      <c r="H491" t="s">
        <v>18</v>
      </c>
      <c r="I491">
        <v>63.622</v>
      </c>
      <c r="J491" t="s">
        <v>19</v>
      </c>
      <c r="K491" t="s">
        <v>700</v>
      </c>
      <c r="L491" t="s">
        <v>21</v>
      </c>
    </row>
    <row r="492" spans="1:12">
      <c r="A492" t="s">
        <v>701</v>
      </c>
      <c r="B492" t="s">
        <v>671</v>
      </c>
      <c r="C492" t="s">
        <v>130</v>
      </c>
      <c r="D492">
        <v>1987</v>
      </c>
      <c r="E492" t="s">
        <v>23</v>
      </c>
      <c r="F492" t="s">
        <v>24</v>
      </c>
      <c r="G492" t="s">
        <v>25</v>
      </c>
      <c r="H492" t="s">
        <v>26</v>
      </c>
      <c r="I492">
        <v>1151184</v>
      </c>
      <c r="J492" t="s">
        <v>27</v>
      </c>
      <c r="K492" t="s">
        <v>700</v>
      </c>
      <c r="L492" t="s">
        <v>21</v>
      </c>
    </row>
    <row r="493" spans="1:12">
      <c r="A493" t="s">
        <v>702</v>
      </c>
      <c r="B493" t="s">
        <v>671</v>
      </c>
      <c r="C493" t="s">
        <v>130</v>
      </c>
      <c r="D493">
        <v>1987</v>
      </c>
      <c r="E493" t="s">
        <v>29</v>
      </c>
      <c r="F493" t="s">
        <v>30</v>
      </c>
      <c r="G493" t="s">
        <v>31</v>
      </c>
      <c r="H493" t="s">
        <v>32</v>
      </c>
      <c r="I493">
        <v>6205.8838500000002</v>
      </c>
      <c r="J493" t="s">
        <v>33</v>
      </c>
      <c r="K493" t="s">
        <v>700</v>
      </c>
      <c r="L493" t="s">
        <v>21</v>
      </c>
    </row>
    <row r="494" spans="1:12">
      <c r="A494" t="s">
        <v>703</v>
      </c>
      <c r="B494" t="s">
        <v>671</v>
      </c>
      <c r="C494" t="s">
        <v>130</v>
      </c>
      <c r="D494">
        <v>1992</v>
      </c>
      <c r="E494" t="s">
        <v>15</v>
      </c>
      <c r="F494" t="s">
        <v>16</v>
      </c>
      <c r="G494" t="s">
        <v>17</v>
      </c>
      <c r="H494" t="s">
        <v>18</v>
      </c>
      <c r="I494">
        <v>62.744999999999997</v>
      </c>
      <c r="J494" t="s">
        <v>19</v>
      </c>
      <c r="K494" t="s">
        <v>704</v>
      </c>
      <c r="L494" t="s">
        <v>21</v>
      </c>
    </row>
    <row r="495" spans="1:12">
      <c r="A495" t="s">
        <v>705</v>
      </c>
      <c r="B495" t="s">
        <v>671</v>
      </c>
      <c r="C495" t="s">
        <v>130</v>
      </c>
      <c r="D495">
        <v>1992</v>
      </c>
      <c r="E495" t="s">
        <v>23</v>
      </c>
      <c r="F495" t="s">
        <v>24</v>
      </c>
      <c r="G495" t="s">
        <v>25</v>
      </c>
      <c r="H495" t="s">
        <v>26</v>
      </c>
      <c r="I495">
        <v>1342614</v>
      </c>
      <c r="J495" t="s">
        <v>27</v>
      </c>
      <c r="K495" t="s">
        <v>704</v>
      </c>
      <c r="L495" t="s">
        <v>21</v>
      </c>
    </row>
    <row r="496" spans="1:12">
      <c r="A496" t="s">
        <v>706</v>
      </c>
      <c r="B496" t="s">
        <v>671</v>
      </c>
      <c r="C496" t="s">
        <v>130</v>
      </c>
      <c r="D496">
        <v>1992</v>
      </c>
      <c r="E496" t="s">
        <v>29</v>
      </c>
      <c r="F496" t="s">
        <v>30</v>
      </c>
      <c r="G496" t="s">
        <v>31</v>
      </c>
      <c r="H496" t="s">
        <v>32</v>
      </c>
      <c r="I496">
        <v>7954.111645</v>
      </c>
      <c r="J496" t="s">
        <v>33</v>
      </c>
      <c r="K496" t="s">
        <v>704</v>
      </c>
      <c r="L496" t="s">
        <v>21</v>
      </c>
    </row>
    <row r="497" spans="1:12">
      <c r="A497" t="s">
        <v>707</v>
      </c>
      <c r="B497" t="s">
        <v>671</v>
      </c>
      <c r="C497" t="s">
        <v>130</v>
      </c>
      <c r="D497">
        <v>1997</v>
      </c>
      <c r="E497" t="s">
        <v>15</v>
      </c>
      <c r="F497" t="s">
        <v>16</v>
      </c>
      <c r="G497" t="s">
        <v>17</v>
      </c>
      <c r="H497" t="s">
        <v>18</v>
      </c>
      <c r="I497">
        <v>52.555999999999997</v>
      </c>
      <c r="J497" t="s">
        <v>19</v>
      </c>
      <c r="K497" t="s">
        <v>708</v>
      </c>
      <c r="L497" t="s">
        <v>21</v>
      </c>
    </row>
    <row r="498" spans="1:12">
      <c r="A498" t="s">
        <v>709</v>
      </c>
      <c r="B498" t="s">
        <v>671</v>
      </c>
      <c r="C498" t="s">
        <v>130</v>
      </c>
      <c r="D498">
        <v>1997</v>
      </c>
      <c r="E498" t="s">
        <v>23</v>
      </c>
      <c r="F498" t="s">
        <v>24</v>
      </c>
      <c r="G498" t="s">
        <v>25</v>
      </c>
      <c r="H498" t="s">
        <v>26</v>
      </c>
      <c r="I498">
        <v>1536536</v>
      </c>
      <c r="J498" t="s">
        <v>27</v>
      </c>
      <c r="K498" t="s">
        <v>708</v>
      </c>
      <c r="L498" t="s">
        <v>21</v>
      </c>
    </row>
    <row r="499" spans="1:12">
      <c r="A499" t="s">
        <v>710</v>
      </c>
      <c r="B499" t="s">
        <v>671</v>
      </c>
      <c r="C499" t="s">
        <v>130</v>
      </c>
      <c r="D499">
        <v>1997</v>
      </c>
      <c r="E499" t="s">
        <v>29</v>
      </c>
      <c r="F499" t="s">
        <v>30</v>
      </c>
      <c r="G499" t="s">
        <v>31</v>
      </c>
      <c r="H499" t="s">
        <v>32</v>
      </c>
      <c r="I499">
        <v>8647.1423130000003</v>
      </c>
      <c r="J499" t="s">
        <v>33</v>
      </c>
      <c r="K499" t="s">
        <v>708</v>
      </c>
      <c r="L499" t="s">
        <v>21</v>
      </c>
    </row>
    <row r="500" spans="1:12">
      <c r="A500" t="s">
        <v>711</v>
      </c>
      <c r="B500" t="s">
        <v>671</v>
      </c>
      <c r="C500" t="s">
        <v>130</v>
      </c>
      <c r="D500">
        <v>2002</v>
      </c>
      <c r="E500" t="s">
        <v>15</v>
      </c>
      <c r="F500" t="s">
        <v>16</v>
      </c>
      <c r="G500" t="s">
        <v>17</v>
      </c>
      <c r="H500" t="s">
        <v>18</v>
      </c>
      <c r="I500">
        <v>46.633999999999901</v>
      </c>
      <c r="J500" t="s">
        <v>19</v>
      </c>
      <c r="K500" t="s">
        <v>712</v>
      </c>
      <c r="L500" t="s">
        <v>21</v>
      </c>
    </row>
    <row r="501" spans="1:12">
      <c r="A501" t="s">
        <v>713</v>
      </c>
      <c r="B501" t="s">
        <v>671</v>
      </c>
      <c r="C501" t="s">
        <v>130</v>
      </c>
      <c r="D501">
        <v>2002</v>
      </c>
      <c r="E501" t="s">
        <v>23</v>
      </c>
      <c r="F501" t="s">
        <v>24</v>
      </c>
      <c r="G501" t="s">
        <v>25</v>
      </c>
      <c r="H501" t="s">
        <v>26</v>
      </c>
      <c r="I501">
        <v>1630347</v>
      </c>
      <c r="J501" t="s">
        <v>27</v>
      </c>
      <c r="K501" t="s">
        <v>712</v>
      </c>
      <c r="L501" t="s">
        <v>21</v>
      </c>
    </row>
    <row r="502" spans="1:12">
      <c r="A502" t="s">
        <v>714</v>
      </c>
      <c r="B502" t="s">
        <v>671</v>
      </c>
      <c r="C502" t="s">
        <v>130</v>
      </c>
      <c r="D502">
        <v>2002</v>
      </c>
      <c r="E502" t="s">
        <v>29</v>
      </c>
      <c r="F502" t="s">
        <v>30</v>
      </c>
      <c r="G502" t="s">
        <v>31</v>
      </c>
      <c r="H502" t="s">
        <v>32</v>
      </c>
      <c r="I502">
        <v>11003.605079999999</v>
      </c>
      <c r="J502" t="s">
        <v>33</v>
      </c>
      <c r="K502" t="s">
        <v>712</v>
      </c>
      <c r="L502" t="s">
        <v>21</v>
      </c>
    </row>
    <row r="503" spans="1:12">
      <c r="A503" t="s">
        <v>715</v>
      </c>
      <c r="B503" t="s">
        <v>671</v>
      </c>
      <c r="C503" t="s">
        <v>130</v>
      </c>
      <c r="D503">
        <v>2007</v>
      </c>
      <c r="E503" t="s">
        <v>15</v>
      </c>
      <c r="F503" t="s">
        <v>16</v>
      </c>
      <c r="G503" t="s">
        <v>17</v>
      </c>
      <c r="H503" t="s">
        <v>18</v>
      </c>
      <c r="I503">
        <v>50.728000000000002</v>
      </c>
      <c r="J503" t="s">
        <v>19</v>
      </c>
      <c r="K503" t="s">
        <v>716</v>
      </c>
      <c r="L503" t="s">
        <v>21</v>
      </c>
    </row>
    <row r="504" spans="1:12">
      <c r="A504" t="s">
        <v>717</v>
      </c>
      <c r="B504" t="s">
        <v>671</v>
      </c>
      <c r="C504" t="s">
        <v>130</v>
      </c>
      <c r="D504">
        <v>2007</v>
      </c>
      <c r="E504" t="s">
        <v>23</v>
      </c>
      <c r="F504" t="s">
        <v>24</v>
      </c>
      <c r="G504" t="s">
        <v>25</v>
      </c>
      <c r="H504" t="s">
        <v>26</v>
      </c>
      <c r="I504">
        <v>1639131</v>
      </c>
      <c r="J504" t="s">
        <v>27</v>
      </c>
      <c r="K504" t="s">
        <v>716</v>
      </c>
      <c r="L504" t="s">
        <v>21</v>
      </c>
    </row>
    <row r="505" spans="1:12">
      <c r="A505" t="s">
        <v>718</v>
      </c>
      <c r="B505" t="s">
        <v>671</v>
      </c>
      <c r="C505" t="s">
        <v>130</v>
      </c>
      <c r="D505">
        <v>2007</v>
      </c>
      <c r="E505" t="s">
        <v>29</v>
      </c>
      <c r="F505" t="s">
        <v>30</v>
      </c>
      <c r="G505" t="s">
        <v>31</v>
      </c>
      <c r="H505" t="s">
        <v>32</v>
      </c>
      <c r="I505">
        <v>12569.851769999999</v>
      </c>
      <c r="J505" t="s">
        <v>33</v>
      </c>
      <c r="K505" t="s">
        <v>716</v>
      </c>
      <c r="L505" t="s">
        <v>21</v>
      </c>
    </row>
    <row r="506" spans="1:12">
      <c r="A506" t="s">
        <v>719</v>
      </c>
      <c r="B506" t="s">
        <v>720</v>
      </c>
      <c r="C506" t="s">
        <v>229</v>
      </c>
      <c r="D506">
        <v>1952</v>
      </c>
      <c r="E506" t="s">
        <v>15</v>
      </c>
      <c r="F506" t="s">
        <v>16</v>
      </c>
      <c r="G506" t="s">
        <v>17</v>
      </c>
      <c r="H506" t="s">
        <v>18</v>
      </c>
      <c r="I506">
        <v>50.917000000000002</v>
      </c>
      <c r="J506" t="s">
        <v>19</v>
      </c>
      <c r="K506" t="s">
        <v>721</v>
      </c>
      <c r="L506" t="s">
        <v>21</v>
      </c>
    </row>
    <row r="507" spans="1:12">
      <c r="A507" t="s">
        <v>722</v>
      </c>
      <c r="B507" t="s">
        <v>720</v>
      </c>
      <c r="C507" t="s">
        <v>229</v>
      </c>
      <c r="D507">
        <v>1952</v>
      </c>
      <c r="E507" t="s">
        <v>23</v>
      </c>
      <c r="F507" t="s">
        <v>24</v>
      </c>
      <c r="G507" t="s">
        <v>25</v>
      </c>
      <c r="H507" t="s">
        <v>26</v>
      </c>
      <c r="I507">
        <v>56602560</v>
      </c>
      <c r="J507" t="s">
        <v>27</v>
      </c>
      <c r="K507" t="s">
        <v>721</v>
      </c>
      <c r="L507" t="s">
        <v>21</v>
      </c>
    </row>
    <row r="508" spans="1:12">
      <c r="A508" t="s">
        <v>723</v>
      </c>
      <c r="B508" t="s">
        <v>720</v>
      </c>
      <c r="C508" t="s">
        <v>229</v>
      </c>
      <c r="D508">
        <v>1952</v>
      </c>
      <c r="E508" t="s">
        <v>29</v>
      </c>
      <c r="F508" t="s">
        <v>30</v>
      </c>
      <c r="G508" t="s">
        <v>31</v>
      </c>
      <c r="H508" t="s">
        <v>32</v>
      </c>
      <c r="I508">
        <v>2108.9443550000001</v>
      </c>
      <c r="J508" t="s">
        <v>33</v>
      </c>
      <c r="K508" t="s">
        <v>721</v>
      </c>
      <c r="L508" t="s">
        <v>21</v>
      </c>
    </row>
    <row r="509" spans="1:12">
      <c r="A509" t="s">
        <v>724</v>
      </c>
      <c r="B509" t="s">
        <v>720</v>
      </c>
      <c r="C509" t="s">
        <v>229</v>
      </c>
      <c r="D509">
        <v>1957</v>
      </c>
      <c r="E509" t="s">
        <v>15</v>
      </c>
      <c r="F509" t="s">
        <v>16</v>
      </c>
      <c r="G509" t="s">
        <v>17</v>
      </c>
      <c r="H509" t="s">
        <v>18</v>
      </c>
      <c r="I509">
        <v>53.284999999999997</v>
      </c>
      <c r="J509" t="s">
        <v>19</v>
      </c>
      <c r="K509" t="s">
        <v>725</v>
      </c>
      <c r="L509" t="s">
        <v>21</v>
      </c>
    </row>
    <row r="510" spans="1:12">
      <c r="A510" t="s">
        <v>726</v>
      </c>
      <c r="B510" t="s">
        <v>720</v>
      </c>
      <c r="C510" t="s">
        <v>229</v>
      </c>
      <c r="D510">
        <v>1957</v>
      </c>
      <c r="E510" t="s">
        <v>23</v>
      </c>
      <c r="F510" t="s">
        <v>24</v>
      </c>
      <c r="G510" t="s">
        <v>25</v>
      </c>
      <c r="H510" t="s">
        <v>26</v>
      </c>
      <c r="I510">
        <v>65551171</v>
      </c>
      <c r="J510" t="s">
        <v>27</v>
      </c>
      <c r="K510" t="s">
        <v>725</v>
      </c>
      <c r="L510" t="s">
        <v>21</v>
      </c>
    </row>
    <row r="511" spans="1:12">
      <c r="A511" t="s">
        <v>727</v>
      </c>
      <c r="B511" t="s">
        <v>720</v>
      </c>
      <c r="C511" t="s">
        <v>229</v>
      </c>
      <c r="D511">
        <v>1957</v>
      </c>
      <c r="E511" t="s">
        <v>29</v>
      </c>
      <c r="F511" t="s">
        <v>30</v>
      </c>
      <c r="G511" t="s">
        <v>31</v>
      </c>
      <c r="H511" t="s">
        <v>32</v>
      </c>
      <c r="I511">
        <v>2487.3659889999999</v>
      </c>
      <c r="J511" t="s">
        <v>33</v>
      </c>
      <c r="K511" t="s">
        <v>725</v>
      </c>
      <c r="L511" t="s">
        <v>21</v>
      </c>
    </row>
    <row r="512" spans="1:12">
      <c r="A512" t="s">
        <v>728</v>
      </c>
      <c r="B512" t="s">
        <v>720</v>
      </c>
      <c r="C512" t="s">
        <v>229</v>
      </c>
      <c r="D512">
        <v>1962</v>
      </c>
      <c r="E512" t="s">
        <v>15</v>
      </c>
      <c r="F512" t="s">
        <v>16</v>
      </c>
      <c r="G512" t="s">
        <v>17</v>
      </c>
      <c r="H512" t="s">
        <v>18</v>
      </c>
      <c r="I512">
        <v>55.664999999999999</v>
      </c>
      <c r="J512" t="s">
        <v>19</v>
      </c>
      <c r="K512" t="s">
        <v>729</v>
      </c>
      <c r="L512" t="s">
        <v>21</v>
      </c>
    </row>
    <row r="513" spans="1:12">
      <c r="A513" t="s">
        <v>730</v>
      </c>
      <c r="B513" t="s">
        <v>720</v>
      </c>
      <c r="C513" t="s">
        <v>229</v>
      </c>
      <c r="D513">
        <v>1962</v>
      </c>
      <c r="E513" t="s">
        <v>23</v>
      </c>
      <c r="F513" t="s">
        <v>24</v>
      </c>
      <c r="G513" t="s">
        <v>25</v>
      </c>
      <c r="H513" t="s">
        <v>26</v>
      </c>
      <c r="I513">
        <v>76039390</v>
      </c>
      <c r="J513" t="s">
        <v>27</v>
      </c>
      <c r="K513" t="s">
        <v>729</v>
      </c>
      <c r="L513" t="s">
        <v>21</v>
      </c>
    </row>
    <row r="514" spans="1:12">
      <c r="A514" t="s">
        <v>731</v>
      </c>
      <c r="B514" t="s">
        <v>720</v>
      </c>
      <c r="C514" t="s">
        <v>229</v>
      </c>
      <c r="D514">
        <v>1962</v>
      </c>
      <c r="E514" t="s">
        <v>29</v>
      </c>
      <c r="F514" t="s">
        <v>30</v>
      </c>
      <c r="G514" t="s">
        <v>31</v>
      </c>
      <c r="H514" t="s">
        <v>32</v>
      </c>
      <c r="I514">
        <v>3336.5858020000001</v>
      </c>
      <c r="J514" t="s">
        <v>33</v>
      </c>
      <c r="K514" t="s">
        <v>729</v>
      </c>
      <c r="L514" t="s">
        <v>21</v>
      </c>
    </row>
    <row r="515" spans="1:12">
      <c r="A515" t="s">
        <v>732</v>
      </c>
      <c r="B515" t="s">
        <v>720</v>
      </c>
      <c r="C515" t="s">
        <v>229</v>
      </c>
      <c r="D515">
        <v>1967</v>
      </c>
      <c r="E515" t="s">
        <v>15</v>
      </c>
      <c r="F515" t="s">
        <v>16</v>
      </c>
      <c r="G515" t="s">
        <v>17</v>
      </c>
      <c r="H515" t="s">
        <v>18</v>
      </c>
      <c r="I515">
        <v>57.631999999999998</v>
      </c>
      <c r="J515" t="s">
        <v>19</v>
      </c>
      <c r="K515" t="s">
        <v>733</v>
      </c>
      <c r="L515" t="s">
        <v>21</v>
      </c>
    </row>
    <row r="516" spans="1:12">
      <c r="A516" t="s">
        <v>734</v>
      </c>
      <c r="B516" t="s">
        <v>720</v>
      </c>
      <c r="C516" t="s">
        <v>229</v>
      </c>
      <c r="D516">
        <v>1967</v>
      </c>
      <c r="E516" t="s">
        <v>23</v>
      </c>
      <c r="F516" t="s">
        <v>24</v>
      </c>
      <c r="G516" t="s">
        <v>25</v>
      </c>
      <c r="H516" t="s">
        <v>26</v>
      </c>
      <c r="I516">
        <v>88049823</v>
      </c>
      <c r="J516" t="s">
        <v>27</v>
      </c>
      <c r="K516" t="s">
        <v>733</v>
      </c>
      <c r="L516" t="s">
        <v>21</v>
      </c>
    </row>
    <row r="517" spans="1:12">
      <c r="A517" t="s">
        <v>735</v>
      </c>
      <c r="B517" t="s">
        <v>720</v>
      </c>
      <c r="C517" t="s">
        <v>229</v>
      </c>
      <c r="D517">
        <v>1967</v>
      </c>
      <c r="E517" t="s">
        <v>29</v>
      </c>
      <c r="F517" t="s">
        <v>30</v>
      </c>
      <c r="G517" t="s">
        <v>31</v>
      </c>
      <c r="H517" t="s">
        <v>32</v>
      </c>
      <c r="I517">
        <v>3429.8643569999999</v>
      </c>
      <c r="J517" t="s">
        <v>33</v>
      </c>
      <c r="K517" t="s">
        <v>733</v>
      </c>
      <c r="L517" t="s">
        <v>21</v>
      </c>
    </row>
    <row r="518" spans="1:12">
      <c r="A518" t="s">
        <v>736</v>
      </c>
      <c r="B518" t="s">
        <v>720</v>
      </c>
      <c r="C518" t="s">
        <v>229</v>
      </c>
      <c r="D518">
        <v>1972</v>
      </c>
      <c r="E518" t="s">
        <v>15</v>
      </c>
      <c r="F518" t="s">
        <v>16</v>
      </c>
      <c r="G518" t="s">
        <v>17</v>
      </c>
      <c r="H518" t="s">
        <v>18</v>
      </c>
      <c r="I518">
        <v>59.503999999999998</v>
      </c>
      <c r="J518" t="s">
        <v>19</v>
      </c>
      <c r="K518" t="s">
        <v>737</v>
      </c>
      <c r="L518" t="s">
        <v>21</v>
      </c>
    </row>
    <row r="519" spans="1:12">
      <c r="A519" t="s">
        <v>738</v>
      </c>
      <c r="B519" t="s">
        <v>720</v>
      </c>
      <c r="C519" t="s">
        <v>229</v>
      </c>
      <c r="D519">
        <v>1972</v>
      </c>
      <c r="E519" t="s">
        <v>23</v>
      </c>
      <c r="F519" t="s">
        <v>24</v>
      </c>
      <c r="G519" t="s">
        <v>25</v>
      </c>
      <c r="H519" t="s">
        <v>26</v>
      </c>
      <c r="I519">
        <v>100840058</v>
      </c>
      <c r="J519" t="s">
        <v>27</v>
      </c>
      <c r="K519" t="s">
        <v>737</v>
      </c>
      <c r="L519" t="s">
        <v>21</v>
      </c>
    </row>
    <row r="520" spans="1:12">
      <c r="A520" t="s">
        <v>739</v>
      </c>
      <c r="B520" t="s">
        <v>720</v>
      </c>
      <c r="C520" t="s">
        <v>229</v>
      </c>
      <c r="D520">
        <v>1972</v>
      </c>
      <c r="E520" t="s">
        <v>29</v>
      </c>
      <c r="F520" t="s">
        <v>30</v>
      </c>
      <c r="G520" t="s">
        <v>31</v>
      </c>
      <c r="H520" t="s">
        <v>32</v>
      </c>
      <c r="I520">
        <v>4985.7114670000001</v>
      </c>
      <c r="J520" t="s">
        <v>33</v>
      </c>
      <c r="K520" t="s">
        <v>737</v>
      </c>
      <c r="L520" t="s">
        <v>21</v>
      </c>
    </row>
    <row r="521" spans="1:12">
      <c r="A521" t="s">
        <v>740</v>
      </c>
      <c r="B521" t="s">
        <v>720</v>
      </c>
      <c r="C521" t="s">
        <v>229</v>
      </c>
      <c r="D521">
        <v>1977</v>
      </c>
      <c r="E521" t="s">
        <v>15</v>
      </c>
      <c r="F521" t="s">
        <v>16</v>
      </c>
      <c r="G521" t="s">
        <v>17</v>
      </c>
      <c r="H521" t="s">
        <v>18</v>
      </c>
      <c r="I521">
        <v>61.488999999999997</v>
      </c>
      <c r="J521" t="s">
        <v>19</v>
      </c>
      <c r="K521" t="s">
        <v>741</v>
      </c>
      <c r="L521" t="s">
        <v>21</v>
      </c>
    </row>
    <row r="522" spans="1:12">
      <c r="A522" t="s">
        <v>742</v>
      </c>
      <c r="B522" t="s">
        <v>720</v>
      </c>
      <c r="C522" t="s">
        <v>229</v>
      </c>
      <c r="D522">
        <v>1977</v>
      </c>
      <c r="E522" t="s">
        <v>23</v>
      </c>
      <c r="F522" t="s">
        <v>24</v>
      </c>
      <c r="G522" t="s">
        <v>25</v>
      </c>
      <c r="H522" t="s">
        <v>26</v>
      </c>
      <c r="I522">
        <v>114313951</v>
      </c>
      <c r="J522" t="s">
        <v>27</v>
      </c>
      <c r="K522" t="s">
        <v>741</v>
      </c>
      <c r="L522" t="s">
        <v>21</v>
      </c>
    </row>
    <row r="523" spans="1:12">
      <c r="A523" t="s">
        <v>743</v>
      </c>
      <c r="B523" t="s">
        <v>720</v>
      </c>
      <c r="C523" t="s">
        <v>229</v>
      </c>
      <c r="D523">
        <v>1977</v>
      </c>
      <c r="E523" t="s">
        <v>29</v>
      </c>
      <c r="F523" t="s">
        <v>30</v>
      </c>
      <c r="G523" t="s">
        <v>31</v>
      </c>
      <c r="H523" t="s">
        <v>32</v>
      </c>
      <c r="I523">
        <v>6660.1186539999999</v>
      </c>
      <c r="J523" t="s">
        <v>33</v>
      </c>
      <c r="K523" t="s">
        <v>741</v>
      </c>
      <c r="L523" t="s">
        <v>21</v>
      </c>
    </row>
    <row r="524" spans="1:12">
      <c r="A524" t="s">
        <v>744</v>
      </c>
      <c r="B524" t="s">
        <v>720</v>
      </c>
      <c r="C524" t="s">
        <v>229</v>
      </c>
      <c r="D524">
        <v>1982</v>
      </c>
      <c r="E524" t="s">
        <v>15</v>
      </c>
      <c r="F524" t="s">
        <v>16</v>
      </c>
      <c r="G524" t="s">
        <v>17</v>
      </c>
      <c r="H524" t="s">
        <v>18</v>
      </c>
      <c r="I524">
        <v>63.335999999999999</v>
      </c>
      <c r="J524" t="s">
        <v>19</v>
      </c>
      <c r="K524" t="s">
        <v>745</v>
      </c>
      <c r="L524" t="s">
        <v>21</v>
      </c>
    </row>
    <row r="525" spans="1:12">
      <c r="A525" t="s">
        <v>746</v>
      </c>
      <c r="B525" t="s">
        <v>720</v>
      </c>
      <c r="C525" t="s">
        <v>229</v>
      </c>
      <c r="D525">
        <v>1982</v>
      </c>
      <c r="E525" t="s">
        <v>23</v>
      </c>
      <c r="F525" t="s">
        <v>24</v>
      </c>
      <c r="G525" t="s">
        <v>25</v>
      </c>
      <c r="H525" t="s">
        <v>26</v>
      </c>
      <c r="I525">
        <v>128962939</v>
      </c>
      <c r="J525" t="s">
        <v>27</v>
      </c>
      <c r="K525" t="s">
        <v>745</v>
      </c>
      <c r="L525" t="s">
        <v>21</v>
      </c>
    </row>
    <row r="526" spans="1:12">
      <c r="A526" t="s">
        <v>747</v>
      </c>
      <c r="B526" t="s">
        <v>720</v>
      </c>
      <c r="C526" t="s">
        <v>229</v>
      </c>
      <c r="D526">
        <v>1982</v>
      </c>
      <c r="E526" t="s">
        <v>29</v>
      </c>
      <c r="F526" t="s">
        <v>30</v>
      </c>
      <c r="G526" t="s">
        <v>31</v>
      </c>
      <c r="H526" t="s">
        <v>32</v>
      </c>
      <c r="I526">
        <v>7030.8358779999999</v>
      </c>
      <c r="J526" t="s">
        <v>33</v>
      </c>
      <c r="K526" t="s">
        <v>745</v>
      </c>
      <c r="L526" t="s">
        <v>21</v>
      </c>
    </row>
    <row r="527" spans="1:12">
      <c r="A527" t="s">
        <v>748</v>
      </c>
      <c r="B527" t="s">
        <v>720</v>
      </c>
      <c r="C527" t="s">
        <v>229</v>
      </c>
      <c r="D527">
        <v>1987</v>
      </c>
      <c r="E527" t="s">
        <v>15</v>
      </c>
      <c r="F527" t="s">
        <v>16</v>
      </c>
      <c r="G527" t="s">
        <v>17</v>
      </c>
      <c r="H527" t="s">
        <v>18</v>
      </c>
      <c r="I527">
        <v>65.204999999999998</v>
      </c>
      <c r="J527" t="s">
        <v>19</v>
      </c>
      <c r="K527" t="s">
        <v>749</v>
      </c>
      <c r="L527" t="s">
        <v>21</v>
      </c>
    </row>
    <row r="528" spans="1:12">
      <c r="A528" t="s">
        <v>750</v>
      </c>
      <c r="B528" t="s">
        <v>720</v>
      </c>
      <c r="C528" t="s">
        <v>229</v>
      </c>
      <c r="D528">
        <v>1987</v>
      </c>
      <c r="E528" t="s">
        <v>23</v>
      </c>
      <c r="F528" t="s">
        <v>24</v>
      </c>
      <c r="G528" t="s">
        <v>25</v>
      </c>
      <c r="H528" t="s">
        <v>26</v>
      </c>
      <c r="I528">
        <v>142938076</v>
      </c>
      <c r="J528" t="s">
        <v>27</v>
      </c>
      <c r="K528" t="s">
        <v>749</v>
      </c>
      <c r="L528" t="s">
        <v>21</v>
      </c>
    </row>
    <row r="529" spans="1:12">
      <c r="A529" t="s">
        <v>751</v>
      </c>
      <c r="B529" t="s">
        <v>720</v>
      </c>
      <c r="C529" t="s">
        <v>229</v>
      </c>
      <c r="D529">
        <v>1987</v>
      </c>
      <c r="E529" t="s">
        <v>29</v>
      </c>
      <c r="F529" t="s">
        <v>30</v>
      </c>
      <c r="G529" t="s">
        <v>31</v>
      </c>
      <c r="H529" t="s">
        <v>32</v>
      </c>
      <c r="I529">
        <v>7807.0958179999998</v>
      </c>
      <c r="J529" t="s">
        <v>33</v>
      </c>
      <c r="K529" t="s">
        <v>749</v>
      </c>
      <c r="L529" t="s">
        <v>21</v>
      </c>
    </row>
    <row r="530" spans="1:12">
      <c r="A530" t="s">
        <v>752</v>
      </c>
      <c r="B530" t="s">
        <v>720</v>
      </c>
      <c r="C530" t="s">
        <v>229</v>
      </c>
      <c r="D530">
        <v>1992</v>
      </c>
      <c r="E530" t="s">
        <v>15</v>
      </c>
      <c r="F530" t="s">
        <v>16</v>
      </c>
      <c r="G530" t="s">
        <v>17</v>
      </c>
      <c r="H530" t="s">
        <v>18</v>
      </c>
      <c r="I530">
        <v>67.057000000000002</v>
      </c>
      <c r="J530" t="s">
        <v>19</v>
      </c>
      <c r="K530" t="s">
        <v>753</v>
      </c>
      <c r="L530" t="s">
        <v>21</v>
      </c>
    </row>
    <row r="531" spans="1:12">
      <c r="A531" t="s">
        <v>754</v>
      </c>
      <c r="B531" t="s">
        <v>720</v>
      </c>
      <c r="C531" t="s">
        <v>229</v>
      </c>
      <c r="D531">
        <v>1992</v>
      </c>
      <c r="E531" t="s">
        <v>23</v>
      </c>
      <c r="F531" t="s">
        <v>24</v>
      </c>
      <c r="G531" t="s">
        <v>25</v>
      </c>
      <c r="H531" t="s">
        <v>26</v>
      </c>
      <c r="I531">
        <v>155975974</v>
      </c>
      <c r="J531" t="s">
        <v>27</v>
      </c>
      <c r="K531" t="s">
        <v>753</v>
      </c>
      <c r="L531" t="s">
        <v>21</v>
      </c>
    </row>
    <row r="532" spans="1:12">
      <c r="A532" t="s">
        <v>755</v>
      </c>
      <c r="B532" t="s">
        <v>720</v>
      </c>
      <c r="C532" t="s">
        <v>229</v>
      </c>
      <c r="D532">
        <v>1992</v>
      </c>
      <c r="E532" t="s">
        <v>29</v>
      </c>
      <c r="F532" t="s">
        <v>30</v>
      </c>
      <c r="G532" t="s">
        <v>31</v>
      </c>
      <c r="H532" t="s">
        <v>32</v>
      </c>
      <c r="I532">
        <v>6950.2830209999902</v>
      </c>
      <c r="J532" t="s">
        <v>33</v>
      </c>
      <c r="K532" t="s">
        <v>753</v>
      </c>
      <c r="L532" t="s">
        <v>21</v>
      </c>
    </row>
    <row r="533" spans="1:12">
      <c r="A533" t="s">
        <v>756</v>
      </c>
      <c r="B533" t="s">
        <v>720</v>
      </c>
      <c r="C533" t="s">
        <v>229</v>
      </c>
      <c r="D533">
        <v>1997</v>
      </c>
      <c r="E533" t="s">
        <v>15</v>
      </c>
      <c r="F533" t="s">
        <v>16</v>
      </c>
      <c r="G533" t="s">
        <v>17</v>
      </c>
      <c r="H533" t="s">
        <v>18</v>
      </c>
      <c r="I533">
        <v>69.388000000000005</v>
      </c>
      <c r="J533" t="s">
        <v>19</v>
      </c>
      <c r="K533" t="s">
        <v>757</v>
      </c>
      <c r="L533" t="s">
        <v>21</v>
      </c>
    </row>
    <row r="534" spans="1:12">
      <c r="A534" t="s">
        <v>758</v>
      </c>
      <c r="B534" t="s">
        <v>720</v>
      </c>
      <c r="C534" t="s">
        <v>229</v>
      </c>
      <c r="D534">
        <v>1997</v>
      </c>
      <c r="E534" t="s">
        <v>23</v>
      </c>
      <c r="F534" t="s">
        <v>24</v>
      </c>
      <c r="G534" t="s">
        <v>25</v>
      </c>
      <c r="H534" t="s">
        <v>26</v>
      </c>
      <c r="I534">
        <v>168546719</v>
      </c>
      <c r="J534" t="s">
        <v>27</v>
      </c>
      <c r="K534" t="s">
        <v>757</v>
      </c>
      <c r="L534" t="s">
        <v>21</v>
      </c>
    </row>
    <row r="535" spans="1:12">
      <c r="A535" t="s">
        <v>759</v>
      </c>
      <c r="B535" t="s">
        <v>720</v>
      </c>
      <c r="C535" t="s">
        <v>229</v>
      </c>
      <c r="D535">
        <v>1997</v>
      </c>
      <c r="E535" t="s">
        <v>29</v>
      </c>
      <c r="F535" t="s">
        <v>30</v>
      </c>
      <c r="G535" t="s">
        <v>31</v>
      </c>
      <c r="H535" t="s">
        <v>32</v>
      </c>
      <c r="I535">
        <v>7957.9808239999902</v>
      </c>
      <c r="J535" t="s">
        <v>33</v>
      </c>
      <c r="K535" t="s">
        <v>757</v>
      </c>
      <c r="L535" t="s">
        <v>21</v>
      </c>
    </row>
    <row r="536" spans="1:12">
      <c r="A536" t="s">
        <v>760</v>
      </c>
      <c r="B536" t="s">
        <v>720</v>
      </c>
      <c r="C536" t="s">
        <v>229</v>
      </c>
      <c r="D536">
        <v>2002</v>
      </c>
      <c r="E536" t="s">
        <v>15</v>
      </c>
      <c r="F536" t="s">
        <v>16</v>
      </c>
      <c r="G536" t="s">
        <v>17</v>
      </c>
      <c r="H536" t="s">
        <v>18</v>
      </c>
      <c r="I536">
        <v>71.006</v>
      </c>
      <c r="J536" t="s">
        <v>19</v>
      </c>
      <c r="K536" t="s">
        <v>761</v>
      </c>
      <c r="L536" t="s">
        <v>21</v>
      </c>
    </row>
    <row r="537" spans="1:12">
      <c r="A537" t="s">
        <v>762</v>
      </c>
      <c r="B537" t="s">
        <v>720</v>
      </c>
      <c r="C537" t="s">
        <v>229</v>
      </c>
      <c r="D537">
        <v>2002</v>
      </c>
      <c r="E537" t="s">
        <v>23</v>
      </c>
      <c r="F537" t="s">
        <v>24</v>
      </c>
      <c r="G537" t="s">
        <v>25</v>
      </c>
      <c r="H537" t="s">
        <v>26</v>
      </c>
      <c r="I537">
        <v>179914212</v>
      </c>
      <c r="J537" t="s">
        <v>27</v>
      </c>
      <c r="K537" t="s">
        <v>761</v>
      </c>
      <c r="L537" t="s">
        <v>21</v>
      </c>
    </row>
    <row r="538" spans="1:12">
      <c r="A538" t="s">
        <v>763</v>
      </c>
      <c r="B538" t="s">
        <v>720</v>
      </c>
      <c r="C538" t="s">
        <v>229</v>
      </c>
      <c r="D538">
        <v>2002</v>
      </c>
      <c r="E538" t="s">
        <v>29</v>
      </c>
      <c r="F538" t="s">
        <v>30</v>
      </c>
      <c r="G538" t="s">
        <v>31</v>
      </c>
      <c r="H538" t="s">
        <v>32</v>
      </c>
      <c r="I538">
        <v>8131.2128430000002</v>
      </c>
      <c r="J538" t="s">
        <v>33</v>
      </c>
      <c r="K538" t="s">
        <v>761</v>
      </c>
      <c r="L538" t="s">
        <v>21</v>
      </c>
    </row>
    <row r="539" spans="1:12">
      <c r="A539" t="s">
        <v>764</v>
      </c>
      <c r="B539" t="s">
        <v>720</v>
      </c>
      <c r="C539" t="s">
        <v>229</v>
      </c>
      <c r="D539">
        <v>2007</v>
      </c>
      <c r="E539" t="s">
        <v>15</v>
      </c>
      <c r="F539" t="s">
        <v>16</v>
      </c>
      <c r="G539" t="s">
        <v>17</v>
      </c>
      <c r="H539" t="s">
        <v>18</v>
      </c>
      <c r="I539">
        <v>72.39</v>
      </c>
      <c r="J539" t="s">
        <v>19</v>
      </c>
      <c r="K539" t="s">
        <v>765</v>
      </c>
      <c r="L539" t="s">
        <v>21</v>
      </c>
    </row>
    <row r="540" spans="1:12">
      <c r="A540" t="s">
        <v>766</v>
      </c>
      <c r="B540" t="s">
        <v>720</v>
      </c>
      <c r="C540" t="s">
        <v>229</v>
      </c>
      <c r="D540">
        <v>2007</v>
      </c>
      <c r="E540" t="s">
        <v>23</v>
      </c>
      <c r="F540" t="s">
        <v>24</v>
      </c>
      <c r="G540" t="s">
        <v>25</v>
      </c>
      <c r="H540" t="s">
        <v>26</v>
      </c>
      <c r="I540">
        <v>190010647</v>
      </c>
      <c r="J540" t="s">
        <v>27</v>
      </c>
      <c r="K540" t="s">
        <v>765</v>
      </c>
      <c r="L540" t="s">
        <v>21</v>
      </c>
    </row>
    <row r="541" spans="1:12">
      <c r="A541" t="s">
        <v>767</v>
      </c>
      <c r="B541" t="s">
        <v>720</v>
      </c>
      <c r="C541" t="s">
        <v>229</v>
      </c>
      <c r="D541">
        <v>2007</v>
      </c>
      <c r="E541" t="s">
        <v>29</v>
      </c>
      <c r="F541" t="s">
        <v>30</v>
      </c>
      <c r="G541" t="s">
        <v>31</v>
      </c>
      <c r="H541" t="s">
        <v>32</v>
      </c>
      <c r="I541">
        <v>9065.8008250000003</v>
      </c>
      <c r="J541" t="s">
        <v>33</v>
      </c>
      <c r="K541" t="s">
        <v>765</v>
      </c>
      <c r="L541" t="s">
        <v>21</v>
      </c>
    </row>
    <row r="542" spans="1:12">
      <c r="A542" t="s">
        <v>768</v>
      </c>
      <c r="B542" t="s">
        <v>769</v>
      </c>
      <c r="C542" t="s">
        <v>80</v>
      </c>
      <c r="D542">
        <v>1952</v>
      </c>
      <c r="E542" t="s">
        <v>15</v>
      </c>
      <c r="F542" t="s">
        <v>16</v>
      </c>
      <c r="G542" t="s">
        <v>17</v>
      </c>
      <c r="H542" t="s">
        <v>18</v>
      </c>
      <c r="I542">
        <v>59.6</v>
      </c>
      <c r="J542" t="s">
        <v>19</v>
      </c>
      <c r="K542" t="s">
        <v>770</v>
      </c>
      <c r="L542" t="s">
        <v>21</v>
      </c>
    </row>
    <row r="543" spans="1:12">
      <c r="A543" t="s">
        <v>771</v>
      </c>
      <c r="B543" t="s">
        <v>769</v>
      </c>
      <c r="C543" t="s">
        <v>80</v>
      </c>
      <c r="D543">
        <v>1952</v>
      </c>
      <c r="E543" t="s">
        <v>23</v>
      </c>
      <c r="F543" t="s">
        <v>24</v>
      </c>
      <c r="G543" t="s">
        <v>25</v>
      </c>
      <c r="H543" t="s">
        <v>26</v>
      </c>
      <c r="I543">
        <v>7274900</v>
      </c>
      <c r="J543" t="s">
        <v>27</v>
      </c>
      <c r="K543" t="s">
        <v>770</v>
      </c>
      <c r="L543" t="s">
        <v>21</v>
      </c>
    </row>
    <row r="544" spans="1:12">
      <c r="A544" t="s">
        <v>772</v>
      </c>
      <c r="B544" t="s">
        <v>769</v>
      </c>
      <c r="C544" t="s">
        <v>80</v>
      </c>
      <c r="D544">
        <v>1952</v>
      </c>
      <c r="E544" t="s">
        <v>29</v>
      </c>
      <c r="F544" t="s">
        <v>30</v>
      </c>
      <c r="G544" t="s">
        <v>31</v>
      </c>
      <c r="H544" t="s">
        <v>32</v>
      </c>
      <c r="I544">
        <v>2444.2866479999998</v>
      </c>
      <c r="J544" t="s">
        <v>33</v>
      </c>
      <c r="K544" t="s">
        <v>770</v>
      </c>
      <c r="L544" t="s">
        <v>21</v>
      </c>
    </row>
    <row r="545" spans="1:12">
      <c r="A545" t="s">
        <v>773</v>
      </c>
      <c r="B545" t="s">
        <v>769</v>
      </c>
      <c r="C545" t="s">
        <v>80</v>
      </c>
      <c r="D545">
        <v>1957</v>
      </c>
      <c r="E545" t="s">
        <v>15</v>
      </c>
      <c r="F545" t="s">
        <v>16</v>
      </c>
      <c r="G545" t="s">
        <v>17</v>
      </c>
      <c r="H545" t="s">
        <v>18</v>
      </c>
      <c r="I545">
        <v>66.61</v>
      </c>
      <c r="J545" t="s">
        <v>19</v>
      </c>
      <c r="K545" t="s">
        <v>774</v>
      </c>
      <c r="L545" t="s">
        <v>21</v>
      </c>
    </row>
    <row r="546" spans="1:12">
      <c r="A546" t="s">
        <v>775</v>
      </c>
      <c r="B546" t="s">
        <v>769</v>
      </c>
      <c r="C546" t="s">
        <v>80</v>
      </c>
      <c r="D546">
        <v>1957</v>
      </c>
      <c r="E546" t="s">
        <v>23</v>
      </c>
      <c r="F546" t="s">
        <v>24</v>
      </c>
      <c r="G546" t="s">
        <v>25</v>
      </c>
      <c r="H546" t="s">
        <v>26</v>
      </c>
      <c r="I546">
        <v>7651254</v>
      </c>
      <c r="J546" t="s">
        <v>27</v>
      </c>
      <c r="K546" t="s">
        <v>774</v>
      </c>
      <c r="L546" t="s">
        <v>21</v>
      </c>
    </row>
    <row r="547" spans="1:12">
      <c r="A547" t="s">
        <v>776</v>
      </c>
      <c r="B547" t="s">
        <v>769</v>
      </c>
      <c r="C547" t="s">
        <v>80</v>
      </c>
      <c r="D547">
        <v>1957</v>
      </c>
      <c r="E547" t="s">
        <v>29</v>
      </c>
      <c r="F547" t="s">
        <v>30</v>
      </c>
      <c r="G547" t="s">
        <v>31</v>
      </c>
      <c r="H547" t="s">
        <v>32</v>
      </c>
      <c r="I547">
        <v>3008.6707270000002</v>
      </c>
      <c r="J547" t="s">
        <v>33</v>
      </c>
      <c r="K547" t="s">
        <v>774</v>
      </c>
      <c r="L547" t="s">
        <v>21</v>
      </c>
    </row>
    <row r="548" spans="1:12">
      <c r="A548" t="s">
        <v>777</v>
      </c>
      <c r="B548" t="s">
        <v>769</v>
      </c>
      <c r="C548" t="s">
        <v>80</v>
      </c>
      <c r="D548">
        <v>1962</v>
      </c>
      <c r="E548" t="s">
        <v>15</v>
      </c>
      <c r="F548" t="s">
        <v>16</v>
      </c>
      <c r="G548" t="s">
        <v>17</v>
      </c>
      <c r="H548" t="s">
        <v>18</v>
      </c>
      <c r="I548">
        <v>69.510000000000005</v>
      </c>
      <c r="J548" t="s">
        <v>19</v>
      </c>
      <c r="K548" t="s">
        <v>778</v>
      </c>
      <c r="L548" t="s">
        <v>21</v>
      </c>
    </row>
    <row r="549" spans="1:12">
      <c r="A549" t="s">
        <v>779</v>
      </c>
      <c r="B549" t="s">
        <v>769</v>
      </c>
      <c r="C549" t="s">
        <v>80</v>
      </c>
      <c r="D549">
        <v>1962</v>
      </c>
      <c r="E549" t="s">
        <v>23</v>
      </c>
      <c r="F549" t="s">
        <v>24</v>
      </c>
      <c r="G549" t="s">
        <v>25</v>
      </c>
      <c r="H549" t="s">
        <v>26</v>
      </c>
      <c r="I549">
        <v>8012946</v>
      </c>
      <c r="J549" t="s">
        <v>27</v>
      </c>
      <c r="K549" t="s">
        <v>778</v>
      </c>
      <c r="L549" t="s">
        <v>21</v>
      </c>
    </row>
    <row r="550" spans="1:12">
      <c r="A550" t="s">
        <v>780</v>
      </c>
      <c r="B550" t="s">
        <v>769</v>
      </c>
      <c r="C550" t="s">
        <v>80</v>
      </c>
      <c r="D550">
        <v>1962</v>
      </c>
      <c r="E550" t="s">
        <v>29</v>
      </c>
      <c r="F550" t="s">
        <v>30</v>
      </c>
      <c r="G550" t="s">
        <v>31</v>
      </c>
      <c r="H550" t="s">
        <v>32</v>
      </c>
      <c r="I550">
        <v>4254.3378389999998</v>
      </c>
      <c r="J550" t="s">
        <v>33</v>
      </c>
      <c r="K550" t="s">
        <v>778</v>
      </c>
      <c r="L550" t="s">
        <v>21</v>
      </c>
    </row>
    <row r="551" spans="1:12">
      <c r="A551" t="s">
        <v>781</v>
      </c>
      <c r="B551" t="s">
        <v>769</v>
      </c>
      <c r="C551" t="s">
        <v>80</v>
      </c>
      <c r="D551">
        <v>1967</v>
      </c>
      <c r="E551" t="s">
        <v>15</v>
      </c>
      <c r="F551" t="s">
        <v>16</v>
      </c>
      <c r="G551" t="s">
        <v>17</v>
      </c>
      <c r="H551" t="s">
        <v>18</v>
      </c>
      <c r="I551">
        <v>70.42</v>
      </c>
      <c r="J551" t="s">
        <v>19</v>
      </c>
      <c r="K551" t="s">
        <v>782</v>
      </c>
      <c r="L551" t="s">
        <v>21</v>
      </c>
    </row>
    <row r="552" spans="1:12">
      <c r="A552" t="s">
        <v>783</v>
      </c>
      <c r="B552" t="s">
        <v>769</v>
      </c>
      <c r="C552" t="s">
        <v>80</v>
      </c>
      <c r="D552">
        <v>1967</v>
      </c>
      <c r="E552" t="s">
        <v>23</v>
      </c>
      <c r="F552" t="s">
        <v>24</v>
      </c>
      <c r="G552" t="s">
        <v>25</v>
      </c>
      <c r="H552" t="s">
        <v>26</v>
      </c>
      <c r="I552">
        <v>8310226</v>
      </c>
      <c r="J552" t="s">
        <v>27</v>
      </c>
      <c r="K552" t="s">
        <v>782</v>
      </c>
      <c r="L552" t="s">
        <v>21</v>
      </c>
    </row>
    <row r="553" spans="1:12">
      <c r="A553" t="s">
        <v>784</v>
      </c>
      <c r="B553" t="s">
        <v>769</v>
      </c>
      <c r="C553" t="s">
        <v>80</v>
      </c>
      <c r="D553">
        <v>1967</v>
      </c>
      <c r="E553" t="s">
        <v>29</v>
      </c>
      <c r="F553" t="s">
        <v>30</v>
      </c>
      <c r="G553" t="s">
        <v>31</v>
      </c>
      <c r="H553" t="s">
        <v>32</v>
      </c>
      <c r="I553">
        <v>5577.0028000000002</v>
      </c>
      <c r="J553" t="s">
        <v>33</v>
      </c>
      <c r="K553" t="s">
        <v>782</v>
      </c>
      <c r="L553" t="s">
        <v>21</v>
      </c>
    </row>
    <row r="554" spans="1:12">
      <c r="A554" t="s">
        <v>785</v>
      </c>
      <c r="B554" t="s">
        <v>769</v>
      </c>
      <c r="C554" t="s">
        <v>80</v>
      </c>
      <c r="D554">
        <v>1972</v>
      </c>
      <c r="E554" t="s">
        <v>15</v>
      </c>
      <c r="F554" t="s">
        <v>16</v>
      </c>
      <c r="G554" t="s">
        <v>17</v>
      </c>
      <c r="H554" t="s">
        <v>18</v>
      </c>
      <c r="I554">
        <v>70.900000000000006</v>
      </c>
      <c r="J554" t="s">
        <v>19</v>
      </c>
      <c r="K554" t="s">
        <v>786</v>
      </c>
      <c r="L554" t="s">
        <v>21</v>
      </c>
    </row>
    <row r="555" spans="1:12">
      <c r="A555" t="s">
        <v>787</v>
      </c>
      <c r="B555" t="s">
        <v>769</v>
      </c>
      <c r="C555" t="s">
        <v>80</v>
      </c>
      <c r="D555">
        <v>1972</v>
      </c>
      <c r="E555" t="s">
        <v>23</v>
      </c>
      <c r="F555" t="s">
        <v>24</v>
      </c>
      <c r="G555" t="s">
        <v>25</v>
      </c>
      <c r="H555" t="s">
        <v>26</v>
      </c>
      <c r="I555">
        <v>8576200</v>
      </c>
      <c r="J555" t="s">
        <v>27</v>
      </c>
      <c r="K555" t="s">
        <v>786</v>
      </c>
      <c r="L555" t="s">
        <v>21</v>
      </c>
    </row>
    <row r="556" spans="1:12">
      <c r="A556" t="s">
        <v>788</v>
      </c>
      <c r="B556" t="s">
        <v>769</v>
      </c>
      <c r="C556" t="s">
        <v>80</v>
      </c>
      <c r="D556">
        <v>1972</v>
      </c>
      <c r="E556" t="s">
        <v>29</v>
      </c>
      <c r="F556" t="s">
        <v>30</v>
      </c>
      <c r="G556" t="s">
        <v>31</v>
      </c>
      <c r="H556" t="s">
        <v>32</v>
      </c>
      <c r="I556">
        <v>6597.4943979999998</v>
      </c>
      <c r="J556" t="s">
        <v>33</v>
      </c>
      <c r="K556" t="s">
        <v>786</v>
      </c>
      <c r="L556" t="s">
        <v>21</v>
      </c>
    </row>
    <row r="557" spans="1:12">
      <c r="A557" t="s">
        <v>789</v>
      </c>
      <c r="B557" t="s">
        <v>769</v>
      </c>
      <c r="C557" t="s">
        <v>80</v>
      </c>
      <c r="D557">
        <v>1977</v>
      </c>
      <c r="E557" t="s">
        <v>15</v>
      </c>
      <c r="F557" t="s">
        <v>16</v>
      </c>
      <c r="G557" t="s">
        <v>17</v>
      </c>
      <c r="H557" t="s">
        <v>18</v>
      </c>
      <c r="I557">
        <v>70.81</v>
      </c>
      <c r="J557" t="s">
        <v>19</v>
      </c>
      <c r="K557" t="s">
        <v>790</v>
      </c>
      <c r="L557" t="s">
        <v>21</v>
      </c>
    </row>
    <row r="558" spans="1:12">
      <c r="A558" t="s">
        <v>791</v>
      </c>
      <c r="B558" t="s">
        <v>769</v>
      </c>
      <c r="C558" t="s">
        <v>80</v>
      </c>
      <c r="D558">
        <v>1977</v>
      </c>
      <c r="E558" t="s">
        <v>23</v>
      </c>
      <c r="F558" t="s">
        <v>24</v>
      </c>
      <c r="G558" t="s">
        <v>25</v>
      </c>
      <c r="H558" t="s">
        <v>26</v>
      </c>
      <c r="I558">
        <v>8797022</v>
      </c>
      <c r="J558" t="s">
        <v>27</v>
      </c>
      <c r="K558" t="s">
        <v>790</v>
      </c>
      <c r="L558" t="s">
        <v>21</v>
      </c>
    </row>
    <row r="559" spans="1:12">
      <c r="A559" t="s">
        <v>792</v>
      </c>
      <c r="B559" t="s">
        <v>769</v>
      </c>
      <c r="C559" t="s">
        <v>80</v>
      </c>
      <c r="D559">
        <v>1977</v>
      </c>
      <c r="E559" t="s">
        <v>29</v>
      </c>
      <c r="F559" t="s">
        <v>30</v>
      </c>
      <c r="G559" t="s">
        <v>31</v>
      </c>
      <c r="H559" t="s">
        <v>32</v>
      </c>
      <c r="I559">
        <v>7612.2404379999998</v>
      </c>
      <c r="J559" t="s">
        <v>33</v>
      </c>
      <c r="K559" t="s">
        <v>790</v>
      </c>
      <c r="L559" t="s">
        <v>21</v>
      </c>
    </row>
    <row r="560" spans="1:12">
      <c r="A560" t="s">
        <v>793</v>
      </c>
      <c r="B560" t="s">
        <v>769</v>
      </c>
      <c r="C560" t="s">
        <v>80</v>
      </c>
      <c r="D560">
        <v>1982</v>
      </c>
      <c r="E560" t="s">
        <v>15</v>
      </c>
      <c r="F560" t="s">
        <v>16</v>
      </c>
      <c r="G560" t="s">
        <v>17</v>
      </c>
      <c r="H560" t="s">
        <v>18</v>
      </c>
      <c r="I560">
        <v>71.08</v>
      </c>
      <c r="J560" t="s">
        <v>19</v>
      </c>
      <c r="K560" t="s">
        <v>794</v>
      </c>
      <c r="L560" t="s">
        <v>21</v>
      </c>
    </row>
    <row r="561" spans="1:12">
      <c r="A561" t="s">
        <v>795</v>
      </c>
      <c r="B561" t="s">
        <v>769</v>
      </c>
      <c r="C561" t="s">
        <v>80</v>
      </c>
      <c r="D561">
        <v>1982</v>
      </c>
      <c r="E561" t="s">
        <v>23</v>
      </c>
      <c r="F561" t="s">
        <v>24</v>
      </c>
      <c r="G561" t="s">
        <v>25</v>
      </c>
      <c r="H561" t="s">
        <v>26</v>
      </c>
      <c r="I561">
        <v>8892098</v>
      </c>
      <c r="J561" t="s">
        <v>27</v>
      </c>
      <c r="K561" t="s">
        <v>794</v>
      </c>
      <c r="L561" t="s">
        <v>21</v>
      </c>
    </row>
    <row r="562" spans="1:12">
      <c r="A562" t="s">
        <v>796</v>
      </c>
      <c r="B562" t="s">
        <v>769</v>
      </c>
      <c r="C562" t="s">
        <v>80</v>
      </c>
      <c r="D562">
        <v>1982</v>
      </c>
      <c r="E562" t="s">
        <v>29</v>
      </c>
      <c r="F562" t="s">
        <v>30</v>
      </c>
      <c r="G562" t="s">
        <v>31</v>
      </c>
      <c r="H562" t="s">
        <v>32</v>
      </c>
      <c r="I562">
        <v>8224.1916469999996</v>
      </c>
      <c r="J562" t="s">
        <v>33</v>
      </c>
      <c r="K562" t="s">
        <v>794</v>
      </c>
      <c r="L562" t="s">
        <v>21</v>
      </c>
    </row>
    <row r="563" spans="1:12">
      <c r="A563" t="s">
        <v>797</v>
      </c>
      <c r="B563" t="s">
        <v>769</v>
      </c>
      <c r="C563" t="s">
        <v>80</v>
      </c>
      <c r="D563">
        <v>1987</v>
      </c>
      <c r="E563" t="s">
        <v>15</v>
      </c>
      <c r="F563" t="s">
        <v>16</v>
      </c>
      <c r="G563" t="s">
        <v>17</v>
      </c>
      <c r="H563" t="s">
        <v>18</v>
      </c>
      <c r="I563">
        <v>71.34</v>
      </c>
      <c r="J563" t="s">
        <v>19</v>
      </c>
      <c r="K563" t="s">
        <v>798</v>
      </c>
      <c r="L563" t="s">
        <v>21</v>
      </c>
    </row>
    <row r="564" spans="1:12">
      <c r="A564" t="s">
        <v>799</v>
      </c>
      <c r="B564" t="s">
        <v>769</v>
      </c>
      <c r="C564" t="s">
        <v>80</v>
      </c>
      <c r="D564">
        <v>1987</v>
      </c>
      <c r="E564" t="s">
        <v>23</v>
      </c>
      <c r="F564" t="s">
        <v>24</v>
      </c>
      <c r="G564" t="s">
        <v>25</v>
      </c>
      <c r="H564" t="s">
        <v>26</v>
      </c>
      <c r="I564">
        <v>8971958</v>
      </c>
      <c r="J564" t="s">
        <v>27</v>
      </c>
      <c r="K564" t="s">
        <v>798</v>
      </c>
      <c r="L564" t="s">
        <v>21</v>
      </c>
    </row>
    <row r="565" spans="1:12">
      <c r="A565" t="s">
        <v>800</v>
      </c>
      <c r="B565" t="s">
        <v>769</v>
      </c>
      <c r="C565" t="s">
        <v>80</v>
      </c>
      <c r="D565">
        <v>1987</v>
      </c>
      <c r="E565" t="s">
        <v>29</v>
      </c>
      <c r="F565" t="s">
        <v>30</v>
      </c>
      <c r="G565" t="s">
        <v>31</v>
      </c>
      <c r="H565" t="s">
        <v>32</v>
      </c>
      <c r="I565">
        <v>8239.854824</v>
      </c>
      <c r="J565" t="s">
        <v>33</v>
      </c>
      <c r="K565" t="s">
        <v>798</v>
      </c>
      <c r="L565" t="s">
        <v>21</v>
      </c>
    </row>
    <row r="566" spans="1:12">
      <c r="A566" t="s">
        <v>801</v>
      </c>
      <c r="B566" t="s">
        <v>769</v>
      </c>
      <c r="C566" t="s">
        <v>80</v>
      </c>
      <c r="D566">
        <v>1992</v>
      </c>
      <c r="E566" t="s">
        <v>15</v>
      </c>
      <c r="F566" t="s">
        <v>16</v>
      </c>
      <c r="G566" t="s">
        <v>17</v>
      </c>
      <c r="H566" t="s">
        <v>18</v>
      </c>
      <c r="I566">
        <v>71.19</v>
      </c>
      <c r="J566" t="s">
        <v>19</v>
      </c>
      <c r="K566" t="s">
        <v>802</v>
      </c>
      <c r="L566" t="s">
        <v>21</v>
      </c>
    </row>
    <row r="567" spans="1:12">
      <c r="A567" t="s">
        <v>803</v>
      </c>
      <c r="B567" t="s">
        <v>769</v>
      </c>
      <c r="C567" t="s">
        <v>80</v>
      </c>
      <c r="D567">
        <v>1992</v>
      </c>
      <c r="E567" t="s">
        <v>23</v>
      </c>
      <c r="F567" t="s">
        <v>24</v>
      </c>
      <c r="G567" t="s">
        <v>25</v>
      </c>
      <c r="H567" t="s">
        <v>26</v>
      </c>
      <c r="I567">
        <v>8658506</v>
      </c>
      <c r="J567" t="s">
        <v>27</v>
      </c>
      <c r="K567" t="s">
        <v>802</v>
      </c>
      <c r="L567" t="s">
        <v>21</v>
      </c>
    </row>
    <row r="568" spans="1:12">
      <c r="A568" t="s">
        <v>804</v>
      </c>
      <c r="B568" t="s">
        <v>769</v>
      </c>
      <c r="C568" t="s">
        <v>80</v>
      </c>
      <c r="D568">
        <v>1992</v>
      </c>
      <c r="E568" t="s">
        <v>29</v>
      </c>
      <c r="F568" t="s">
        <v>30</v>
      </c>
      <c r="G568" t="s">
        <v>31</v>
      </c>
      <c r="H568" t="s">
        <v>32</v>
      </c>
      <c r="I568">
        <v>6302.6234379999996</v>
      </c>
      <c r="J568" t="s">
        <v>33</v>
      </c>
      <c r="K568" t="s">
        <v>802</v>
      </c>
      <c r="L568" t="s">
        <v>21</v>
      </c>
    </row>
    <row r="569" spans="1:12">
      <c r="A569" t="s">
        <v>805</v>
      </c>
      <c r="B569" t="s">
        <v>769</v>
      </c>
      <c r="C569" t="s">
        <v>80</v>
      </c>
      <c r="D569">
        <v>1997</v>
      </c>
      <c r="E569" t="s">
        <v>15</v>
      </c>
      <c r="F569" t="s">
        <v>16</v>
      </c>
      <c r="G569" t="s">
        <v>17</v>
      </c>
      <c r="H569" t="s">
        <v>18</v>
      </c>
      <c r="I569">
        <v>70.319999999999993</v>
      </c>
      <c r="J569" t="s">
        <v>19</v>
      </c>
      <c r="K569" t="s">
        <v>806</v>
      </c>
      <c r="L569" t="s">
        <v>21</v>
      </c>
    </row>
    <row r="570" spans="1:12">
      <c r="A570" t="s">
        <v>807</v>
      </c>
      <c r="B570" t="s">
        <v>769</v>
      </c>
      <c r="C570" t="s">
        <v>80</v>
      </c>
      <c r="D570">
        <v>1997</v>
      </c>
      <c r="E570" t="s">
        <v>23</v>
      </c>
      <c r="F570" t="s">
        <v>24</v>
      </c>
      <c r="G570" t="s">
        <v>25</v>
      </c>
      <c r="H570" t="s">
        <v>26</v>
      </c>
      <c r="I570">
        <v>8066057</v>
      </c>
      <c r="J570" t="s">
        <v>27</v>
      </c>
      <c r="K570" t="s">
        <v>806</v>
      </c>
      <c r="L570" t="s">
        <v>21</v>
      </c>
    </row>
    <row r="571" spans="1:12">
      <c r="A571" t="s">
        <v>808</v>
      </c>
      <c r="B571" t="s">
        <v>769</v>
      </c>
      <c r="C571" t="s">
        <v>80</v>
      </c>
      <c r="D571">
        <v>1997</v>
      </c>
      <c r="E571" t="s">
        <v>29</v>
      </c>
      <c r="F571" t="s">
        <v>30</v>
      </c>
      <c r="G571" t="s">
        <v>31</v>
      </c>
      <c r="H571" t="s">
        <v>32</v>
      </c>
      <c r="I571">
        <v>5970.3887599999998</v>
      </c>
      <c r="J571" t="s">
        <v>33</v>
      </c>
      <c r="K571" t="s">
        <v>806</v>
      </c>
      <c r="L571" t="s">
        <v>21</v>
      </c>
    </row>
    <row r="572" spans="1:12">
      <c r="A572" t="s">
        <v>809</v>
      </c>
      <c r="B572" t="s">
        <v>769</v>
      </c>
      <c r="C572" t="s">
        <v>80</v>
      </c>
      <c r="D572">
        <v>2002</v>
      </c>
      <c r="E572" t="s">
        <v>15</v>
      </c>
      <c r="F572" t="s">
        <v>16</v>
      </c>
      <c r="G572" t="s">
        <v>17</v>
      </c>
      <c r="H572" t="s">
        <v>18</v>
      </c>
      <c r="I572">
        <v>72.14</v>
      </c>
      <c r="J572" t="s">
        <v>19</v>
      </c>
      <c r="K572" t="s">
        <v>810</v>
      </c>
      <c r="L572" t="s">
        <v>21</v>
      </c>
    </row>
    <row r="573" spans="1:12">
      <c r="A573" t="s">
        <v>811</v>
      </c>
      <c r="B573" t="s">
        <v>769</v>
      </c>
      <c r="C573" t="s">
        <v>80</v>
      </c>
      <c r="D573">
        <v>2002</v>
      </c>
      <c r="E573" t="s">
        <v>23</v>
      </c>
      <c r="F573" t="s">
        <v>24</v>
      </c>
      <c r="G573" t="s">
        <v>25</v>
      </c>
      <c r="H573" t="s">
        <v>26</v>
      </c>
      <c r="I573">
        <v>7661799</v>
      </c>
      <c r="J573" t="s">
        <v>27</v>
      </c>
      <c r="K573" t="s">
        <v>810</v>
      </c>
      <c r="L573" t="s">
        <v>21</v>
      </c>
    </row>
    <row r="574" spans="1:12">
      <c r="A574" t="s">
        <v>812</v>
      </c>
      <c r="B574" t="s">
        <v>769</v>
      </c>
      <c r="C574" t="s">
        <v>80</v>
      </c>
      <c r="D574">
        <v>2002</v>
      </c>
      <c r="E574" t="s">
        <v>29</v>
      </c>
      <c r="F574" t="s">
        <v>30</v>
      </c>
      <c r="G574" t="s">
        <v>31</v>
      </c>
      <c r="H574" t="s">
        <v>32</v>
      </c>
      <c r="I574">
        <v>7696.7777249999999</v>
      </c>
      <c r="J574" t="s">
        <v>33</v>
      </c>
      <c r="K574" t="s">
        <v>810</v>
      </c>
      <c r="L574" t="s">
        <v>21</v>
      </c>
    </row>
    <row r="575" spans="1:12">
      <c r="A575" t="s">
        <v>813</v>
      </c>
      <c r="B575" t="s">
        <v>769</v>
      </c>
      <c r="C575" t="s">
        <v>80</v>
      </c>
      <c r="D575">
        <v>2007</v>
      </c>
      <c r="E575" t="s">
        <v>15</v>
      </c>
      <c r="F575" t="s">
        <v>16</v>
      </c>
      <c r="G575" t="s">
        <v>17</v>
      </c>
      <c r="H575" t="s">
        <v>18</v>
      </c>
      <c r="I575">
        <v>73.004999999999995</v>
      </c>
      <c r="J575" t="s">
        <v>19</v>
      </c>
      <c r="K575" t="s">
        <v>814</v>
      </c>
      <c r="L575" t="s">
        <v>21</v>
      </c>
    </row>
    <row r="576" spans="1:12">
      <c r="A576" t="s">
        <v>815</v>
      </c>
      <c r="B576" t="s">
        <v>769</v>
      </c>
      <c r="C576" t="s">
        <v>80</v>
      </c>
      <c r="D576">
        <v>2007</v>
      </c>
      <c r="E576" t="s">
        <v>23</v>
      </c>
      <c r="F576" t="s">
        <v>24</v>
      </c>
      <c r="G576" t="s">
        <v>25</v>
      </c>
      <c r="H576" t="s">
        <v>26</v>
      </c>
      <c r="I576">
        <v>7322858</v>
      </c>
      <c r="J576" t="s">
        <v>27</v>
      </c>
      <c r="K576" t="s">
        <v>814</v>
      </c>
      <c r="L576" t="s">
        <v>21</v>
      </c>
    </row>
    <row r="577" spans="1:12">
      <c r="A577" t="s">
        <v>816</v>
      </c>
      <c r="B577" t="s">
        <v>769</v>
      </c>
      <c r="C577" t="s">
        <v>80</v>
      </c>
      <c r="D577">
        <v>2007</v>
      </c>
      <c r="E577" t="s">
        <v>29</v>
      </c>
      <c r="F577" t="s">
        <v>30</v>
      </c>
      <c r="G577" t="s">
        <v>31</v>
      </c>
      <c r="H577" t="s">
        <v>32</v>
      </c>
      <c r="I577">
        <v>10680.792820000001</v>
      </c>
      <c r="J577" t="s">
        <v>33</v>
      </c>
      <c r="K577" t="s">
        <v>814</v>
      </c>
      <c r="L577" t="s">
        <v>21</v>
      </c>
    </row>
    <row r="578" spans="1:12">
      <c r="A578" t="s">
        <v>817</v>
      </c>
      <c r="B578" t="s">
        <v>818</v>
      </c>
      <c r="C578" t="s">
        <v>130</v>
      </c>
      <c r="D578">
        <v>1952</v>
      </c>
      <c r="E578" t="s">
        <v>15</v>
      </c>
      <c r="F578" t="s">
        <v>16</v>
      </c>
      <c r="G578" t="s">
        <v>17</v>
      </c>
      <c r="H578" t="s">
        <v>18</v>
      </c>
      <c r="I578">
        <v>31.975000000000001</v>
      </c>
      <c r="J578" t="s">
        <v>19</v>
      </c>
      <c r="K578" t="s">
        <v>819</v>
      </c>
      <c r="L578" t="s">
        <v>21</v>
      </c>
    </row>
    <row r="579" spans="1:12">
      <c r="A579" t="s">
        <v>820</v>
      </c>
      <c r="B579" t="s">
        <v>818</v>
      </c>
      <c r="C579" t="s">
        <v>130</v>
      </c>
      <c r="D579">
        <v>1952</v>
      </c>
      <c r="E579" t="s">
        <v>23</v>
      </c>
      <c r="F579" t="s">
        <v>24</v>
      </c>
      <c r="G579" t="s">
        <v>25</v>
      </c>
      <c r="H579" t="s">
        <v>26</v>
      </c>
      <c r="I579">
        <v>4469979</v>
      </c>
      <c r="J579" t="s">
        <v>27</v>
      </c>
      <c r="K579" t="s">
        <v>819</v>
      </c>
      <c r="L579" t="s">
        <v>21</v>
      </c>
    </row>
    <row r="580" spans="1:12">
      <c r="A580" t="s">
        <v>821</v>
      </c>
      <c r="B580" t="s">
        <v>818</v>
      </c>
      <c r="C580" t="s">
        <v>130</v>
      </c>
      <c r="D580">
        <v>1952</v>
      </c>
      <c r="E580" t="s">
        <v>29</v>
      </c>
      <c r="F580" t="s">
        <v>30</v>
      </c>
      <c r="G580" t="s">
        <v>31</v>
      </c>
      <c r="H580" t="s">
        <v>32</v>
      </c>
      <c r="I580">
        <v>543.25524129999997</v>
      </c>
      <c r="J580" t="s">
        <v>33</v>
      </c>
      <c r="K580" t="s">
        <v>819</v>
      </c>
      <c r="L580" t="s">
        <v>21</v>
      </c>
    </row>
    <row r="581" spans="1:12">
      <c r="A581" t="s">
        <v>822</v>
      </c>
      <c r="B581" t="s">
        <v>818</v>
      </c>
      <c r="C581" t="s">
        <v>130</v>
      </c>
      <c r="D581">
        <v>1957</v>
      </c>
      <c r="E581" t="s">
        <v>15</v>
      </c>
      <c r="F581" t="s">
        <v>16</v>
      </c>
      <c r="G581" t="s">
        <v>17</v>
      </c>
      <c r="H581" t="s">
        <v>18</v>
      </c>
      <c r="I581">
        <v>34.905999999999999</v>
      </c>
      <c r="J581" t="s">
        <v>19</v>
      </c>
      <c r="K581" t="s">
        <v>823</v>
      </c>
      <c r="L581" t="s">
        <v>21</v>
      </c>
    </row>
    <row r="582" spans="1:12">
      <c r="A582" t="s">
        <v>824</v>
      </c>
      <c r="B582" t="s">
        <v>818</v>
      </c>
      <c r="C582" t="s">
        <v>130</v>
      </c>
      <c r="D582">
        <v>1957</v>
      </c>
      <c r="E582" t="s">
        <v>23</v>
      </c>
      <c r="F582" t="s">
        <v>24</v>
      </c>
      <c r="G582" t="s">
        <v>25</v>
      </c>
      <c r="H582" t="s">
        <v>26</v>
      </c>
      <c r="I582">
        <v>4713416</v>
      </c>
      <c r="J582" t="s">
        <v>27</v>
      </c>
      <c r="K582" t="s">
        <v>823</v>
      </c>
      <c r="L582" t="s">
        <v>21</v>
      </c>
    </row>
    <row r="583" spans="1:12">
      <c r="A583" t="s">
        <v>825</v>
      </c>
      <c r="B583" t="s">
        <v>818</v>
      </c>
      <c r="C583" t="s">
        <v>130</v>
      </c>
      <c r="D583">
        <v>1957</v>
      </c>
      <c r="E583" t="s">
        <v>29</v>
      </c>
      <c r="F583" t="s">
        <v>30</v>
      </c>
      <c r="G583" t="s">
        <v>31</v>
      </c>
      <c r="H583" t="s">
        <v>32</v>
      </c>
      <c r="I583">
        <v>617.183464799999</v>
      </c>
      <c r="J583" t="s">
        <v>33</v>
      </c>
      <c r="K583" t="s">
        <v>823</v>
      </c>
      <c r="L583" t="s">
        <v>21</v>
      </c>
    </row>
    <row r="584" spans="1:12">
      <c r="A584" t="s">
        <v>826</v>
      </c>
      <c r="B584" t="s">
        <v>818</v>
      </c>
      <c r="C584" t="s">
        <v>130</v>
      </c>
      <c r="D584">
        <v>1962</v>
      </c>
      <c r="E584" t="s">
        <v>15</v>
      </c>
      <c r="F584" t="s">
        <v>16</v>
      </c>
      <c r="G584" t="s">
        <v>17</v>
      </c>
      <c r="H584" t="s">
        <v>18</v>
      </c>
      <c r="I584">
        <v>37.814</v>
      </c>
      <c r="J584" t="s">
        <v>19</v>
      </c>
      <c r="K584" t="s">
        <v>827</v>
      </c>
      <c r="L584" t="s">
        <v>21</v>
      </c>
    </row>
    <row r="585" spans="1:12">
      <c r="A585" t="s">
        <v>828</v>
      </c>
      <c r="B585" t="s">
        <v>818</v>
      </c>
      <c r="C585" t="s">
        <v>130</v>
      </c>
      <c r="D585">
        <v>1962</v>
      </c>
      <c r="E585" t="s">
        <v>23</v>
      </c>
      <c r="F585" t="s">
        <v>24</v>
      </c>
      <c r="G585" t="s">
        <v>25</v>
      </c>
      <c r="H585" t="s">
        <v>26</v>
      </c>
      <c r="I585">
        <v>4919632</v>
      </c>
      <c r="J585" t="s">
        <v>27</v>
      </c>
      <c r="K585" t="s">
        <v>827</v>
      </c>
      <c r="L585" t="s">
        <v>21</v>
      </c>
    </row>
    <row r="586" spans="1:12">
      <c r="A586" t="s">
        <v>829</v>
      </c>
      <c r="B586" t="s">
        <v>818</v>
      </c>
      <c r="C586" t="s">
        <v>130</v>
      </c>
      <c r="D586">
        <v>1962</v>
      </c>
      <c r="E586" t="s">
        <v>29</v>
      </c>
      <c r="F586" t="s">
        <v>30</v>
      </c>
      <c r="G586" t="s">
        <v>31</v>
      </c>
      <c r="H586" t="s">
        <v>32</v>
      </c>
      <c r="I586">
        <v>722.51202060000003</v>
      </c>
      <c r="J586" t="s">
        <v>33</v>
      </c>
      <c r="K586" t="s">
        <v>827</v>
      </c>
      <c r="L586" t="s">
        <v>21</v>
      </c>
    </row>
    <row r="587" spans="1:12">
      <c r="A587" t="s">
        <v>830</v>
      </c>
      <c r="B587" t="s">
        <v>818</v>
      </c>
      <c r="C587" t="s">
        <v>130</v>
      </c>
      <c r="D587">
        <v>1967</v>
      </c>
      <c r="E587" t="s">
        <v>15</v>
      </c>
      <c r="F587" t="s">
        <v>16</v>
      </c>
      <c r="G587" t="s">
        <v>17</v>
      </c>
      <c r="H587" t="s">
        <v>18</v>
      </c>
      <c r="I587">
        <v>40.697000000000003</v>
      </c>
      <c r="J587" t="s">
        <v>19</v>
      </c>
      <c r="K587" t="s">
        <v>831</v>
      </c>
      <c r="L587" t="s">
        <v>21</v>
      </c>
    </row>
    <row r="588" spans="1:12">
      <c r="A588" t="s">
        <v>832</v>
      </c>
      <c r="B588" t="s">
        <v>818</v>
      </c>
      <c r="C588" t="s">
        <v>130</v>
      </c>
      <c r="D588">
        <v>1967</v>
      </c>
      <c r="E588" t="s">
        <v>23</v>
      </c>
      <c r="F588" t="s">
        <v>24</v>
      </c>
      <c r="G588" t="s">
        <v>25</v>
      </c>
      <c r="H588" t="s">
        <v>26</v>
      </c>
      <c r="I588">
        <v>5127935</v>
      </c>
      <c r="J588" t="s">
        <v>27</v>
      </c>
      <c r="K588" t="s">
        <v>831</v>
      </c>
      <c r="L588" t="s">
        <v>21</v>
      </c>
    </row>
    <row r="589" spans="1:12">
      <c r="A589" t="s">
        <v>833</v>
      </c>
      <c r="B589" t="s">
        <v>818</v>
      </c>
      <c r="C589" t="s">
        <v>130</v>
      </c>
      <c r="D589">
        <v>1967</v>
      </c>
      <c r="E589" t="s">
        <v>29</v>
      </c>
      <c r="F589" t="s">
        <v>30</v>
      </c>
      <c r="G589" t="s">
        <v>31</v>
      </c>
      <c r="H589" t="s">
        <v>32</v>
      </c>
      <c r="I589">
        <v>794.82655969999996</v>
      </c>
      <c r="J589" t="s">
        <v>33</v>
      </c>
      <c r="K589" t="s">
        <v>831</v>
      </c>
      <c r="L589" t="s">
        <v>21</v>
      </c>
    </row>
    <row r="590" spans="1:12">
      <c r="A590" t="s">
        <v>834</v>
      </c>
      <c r="B590" t="s">
        <v>818</v>
      </c>
      <c r="C590" t="s">
        <v>130</v>
      </c>
      <c r="D590">
        <v>1972</v>
      </c>
      <c r="E590" t="s">
        <v>15</v>
      </c>
      <c r="F590" t="s">
        <v>16</v>
      </c>
      <c r="G590" t="s">
        <v>17</v>
      </c>
      <c r="H590" t="s">
        <v>18</v>
      </c>
      <c r="I590">
        <v>43.591000000000001</v>
      </c>
      <c r="J590" t="s">
        <v>19</v>
      </c>
      <c r="K590" t="s">
        <v>835</v>
      </c>
      <c r="L590" t="s">
        <v>21</v>
      </c>
    </row>
    <row r="591" spans="1:12">
      <c r="A591" t="s">
        <v>836</v>
      </c>
      <c r="B591" t="s">
        <v>818</v>
      </c>
      <c r="C591" t="s">
        <v>130</v>
      </c>
      <c r="D591">
        <v>1972</v>
      </c>
      <c r="E591" t="s">
        <v>23</v>
      </c>
      <c r="F591" t="s">
        <v>24</v>
      </c>
      <c r="G591" t="s">
        <v>25</v>
      </c>
      <c r="H591" t="s">
        <v>26</v>
      </c>
      <c r="I591">
        <v>5433886</v>
      </c>
      <c r="J591" t="s">
        <v>27</v>
      </c>
      <c r="K591" t="s">
        <v>835</v>
      </c>
      <c r="L591" t="s">
        <v>21</v>
      </c>
    </row>
    <row r="592" spans="1:12">
      <c r="A592" t="s">
        <v>837</v>
      </c>
      <c r="B592" t="s">
        <v>818</v>
      </c>
      <c r="C592" t="s">
        <v>130</v>
      </c>
      <c r="D592">
        <v>1972</v>
      </c>
      <c r="E592" t="s">
        <v>29</v>
      </c>
      <c r="F592" t="s">
        <v>30</v>
      </c>
      <c r="G592" t="s">
        <v>31</v>
      </c>
      <c r="H592" t="s">
        <v>32</v>
      </c>
      <c r="I592">
        <v>854.73597629999995</v>
      </c>
      <c r="J592" t="s">
        <v>33</v>
      </c>
      <c r="K592" t="s">
        <v>835</v>
      </c>
      <c r="L592" t="s">
        <v>21</v>
      </c>
    </row>
    <row r="593" spans="1:12">
      <c r="A593" t="s">
        <v>838</v>
      </c>
      <c r="B593" t="s">
        <v>818</v>
      </c>
      <c r="C593" t="s">
        <v>130</v>
      </c>
      <c r="D593">
        <v>1977</v>
      </c>
      <c r="E593" t="s">
        <v>15</v>
      </c>
      <c r="F593" t="s">
        <v>16</v>
      </c>
      <c r="G593" t="s">
        <v>17</v>
      </c>
      <c r="H593" t="s">
        <v>18</v>
      </c>
      <c r="I593">
        <v>46.137</v>
      </c>
      <c r="J593" t="s">
        <v>19</v>
      </c>
      <c r="K593" t="s">
        <v>839</v>
      </c>
      <c r="L593" t="s">
        <v>21</v>
      </c>
    </row>
    <row r="594" spans="1:12">
      <c r="A594" t="s">
        <v>840</v>
      </c>
      <c r="B594" t="s">
        <v>818</v>
      </c>
      <c r="C594" t="s">
        <v>130</v>
      </c>
      <c r="D594">
        <v>1977</v>
      </c>
      <c r="E594" t="s">
        <v>23</v>
      </c>
      <c r="F594" t="s">
        <v>24</v>
      </c>
      <c r="G594" t="s">
        <v>25</v>
      </c>
      <c r="H594" t="s">
        <v>26</v>
      </c>
      <c r="I594">
        <v>5889574</v>
      </c>
      <c r="J594" t="s">
        <v>27</v>
      </c>
      <c r="K594" t="s">
        <v>839</v>
      </c>
      <c r="L594" t="s">
        <v>21</v>
      </c>
    </row>
    <row r="595" spans="1:12">
      <c r="A595" t="s">
        <v>841</v>
      </c>
      <c r="B595" t="s">
        <v>818</v>
      </c>
      <c r="C595" t="s">
        <v>130</v>
      </c>
      <c r="D595">
        <v>1977</v>
      </c>
      <c r="E595" t="s">
        <v>29</v>
      </c>
      <c r="F595" t="s">
        <v>30</v>
      </c>
      <c r="G595" t="s">
        <v>31</v>
      </c>
      <c r="H595" t="s">
        <v>32</v>
      </c>
      <c r="I595">
        <v>743.38703680000003</v>
      </c>
      <c r="J595" t="s">
        <v>33</v>
      </c>
      <c r="K595" t="s">
        <v>839</v>
      </c>
      <c r="L595" t="s">
        <v>21</v>
      </c>
    </row>
    <row r="596" spans="1:12">
      <c r="A596" t="s">
        <v>842</v>
      </c>
      <c r="B596" t="s">
        <v>818</v>
      </c>
      <c r="C596" t="s">
        <v>130</v>
      </c>
      <c r="D596">
        <v>1982</v>
      </c>
      <c r="E596" t="s">
        <v>15</v>
      </c>
      <c r="F596" t="s">
        <v>16</v>
      </c>
      <c r="G596" t="s">
        <v>17</v>
      </c>
      <c r="H596" t="s">
        <v>18</v>
      </c>
      <c r="I596">
        <v>48.122</v>
      </c>
      <c r="J596" t="s">
        <v>19</v>
      </c>
      <c r="K596" t="s">
        <v>843</v>
      </c>
      <c r="L596" t="s">
        <v>21</v>
      </c>
    </row>
    <row r="597" spans="1:12">
      <c r="A597" t="s">
        <v>844</v>
      </c>
      <c r="B597" t="s">
        <v>818</v>
      </c>
      <c r="C597" t="s">
        <v>130</v>
      </c>
      <c r="D597">
        <v>1982</v>
      </c>
      <c r="E597" t="s">
        <v>23</v>
      </c>
      <c r="F597" t="s">
        <v>24</v>
      </c>
      <c r="G597" t="s">
        <v>25</v>
      </c>
      <c r="H597" t="s">
        <v>26</v>
      </c>
      <c r="I597">
        <v>6634596</v>
      </c>
      <c r="J597" t="s">
        <v>27</v>
      </c>
      <c r="K597" t="s">
        <v>843</v>
      </c>
      <c r="L597" t="s">
        <v>21</v>
      </c>
    </row>
    <row r="598" spans="1:12">
      <c r="A598" t="s">
        <v>845</v>
      </c>
      <c r="B598" t="s">
        <v>818</v>
      </c>
      <c r="C598" t="s">
        <v>130</v>
      </c>
      <c r="D598">
        <v>1982</v>
      </c>
      <c r="E598" t="s">
        <v>29</v>
      </c>
      <c r="F598" t="s">
        <v>30</v>
      </c>
      <c r="G598" t="s">
        <v>31</v>
      </c>
      <c r="H598" t="s">
        <v>32</v>
      </c>
      <c r="I598">
        <v>807.19858550000004</v>
      </c>
      <c r="J598" t="s">
        <v>33</v>
      </c>
      <c r="K598" t="s">
        <v>843</v>
      </c>
      <c r="L598" t="s">
        <v>21</v>
      </c>
    </row>
    <row r="599" spans="1:12">
      <c r="A599" t="s">
        <v>846</v>
      </c>
      <c r="B599" t="s">
        <v>818</v>
      </c>
      <c r="C599" t="s">
        <v>130</v>
      </c>
      <c r="D599">
        <v>1987</v>
      </c>
      <c r="E599" t="s">
        <v>15</v>
      </c>
      <c r="F599" t="s">
        <v>16</v>
      </c>
      <c r="G599" t="s">
        <v>17</v>
      </c>
      <c r="H599" t="s">
        <v>18</v>
      </c>
      <c r="I599">
        <v>49.557000000000002</v>
      </c>
      <c r="J599" t="s">
        <v>19</v>
      </c>
      <c r="K599" t="s">
        <v>847</v>
      </c>
      <c r="L599" t="s">
        <v>21</v>
      </c>
    </row>
    <row r="600" spans="1:12">
      <c r="A600" t="s">
        <v>848</v>
      </c>
      <c r="B600" t="s">
        <v>818</v>
      </c>
      <c r="C600" t="s">
        <v>130</v>
      </c>
      <c r="D600">
        <v>1987</v>
      </c>
      <c r="E600" t="s">
        <v>23</v>
      </c>
      <c r="F600" t="s">
        <v>24</v>
      </c>
      <c r="G600" t="s">
        <v>25</v>
      </c>
      <c r="H600" t="s">
        <v>26</v>
      </c>
      <c r="I600">
        <v>7586551</v>
      </c>
      <c r="J600" t="s">
        <v>27</v>
      </c>
      <c r="K600" t="s">
        <v>847</v>
      </c>
      <c r="L600" t="s">
        <v>21</v>
      </c>
    </row>
    <row r="601" spans="1:12">
      <c r="A601" t="s">
        <v>849</v>
      </c>
      <c r="B601" t="s">
        <v>818</v>
      </c>
      <c r="C601" t="s">
        <v>130</v>
      </c>
      <c r="D601">
        <v>1987</v>
      </c>
      <c r="E601" t="s">
        <v>29</v>
      </c>
      <c r="F601" t="s">
        <v>30</v>
      </c>
      <c r="G601" t="s">
        <v>31</v>
      </c>
      <c r="H601" t="s">
        <v>32</v>
      </c>
      <c r="I601">
        <v>912.06314169999996</v>
      </c>
      <c r="J601" t="s">
        <v>33</v>
      </c>
      <c r="K601" t="s">
        <v>847</v>
      </c>
      <c r="L601" t="s">
        <v>21</v>
      </c>
    </row>
    <row r="602" spans="1:12">
      <c r="A602" t="s">
        <v>850</v>
      </c>
      <c r="B602" t="s">
        <v>818</v>
      </c>
      <c r="C602" t="s">
        <v>130</v>
      </c>
      <c r="D602">
        <v>1992</v>
      </c>
      <c r="E602" t="s">
        <v>15</v>
      </c>
      <c r="F602" t="s">
        <v>16</v>
      </c>
      <c r="G602" t="s">
        <v>17</v>
      </c>
      <c r="H602" t="s">
        <v>18</v>
      </c>
      <c r="I602">
        <v>50.26</v>
      </c>
      <c r="J602" t="s">
        <v>19</v>
      </c>
      <c r="K602" t="s">
        <v>851</v>
      </c>
      <c r="L602" t="s">
        <v>21</v>
      </c>
    </row>
    <row r="603" spans="1:12">
      <c r="A603" t="s">
        <v>852</v>
      </c>
      <c r="B603" t="s">
        <v>818</v>
      </c>
      <c r="C603" t="s">
        <v>130</v>
      </c>
      <c r="D603">
        <v>1992</v>
      </c>
      <c r="E603" t="s">
        <v>23</v>
      </c>
      <c r="F603" t="s">
        <v>24</v>
      </c>
      <c r="G603" t="s">
        <v>25</v>
      </c>
      <c r="H603" t="s">
        <v>26</v>
      </c>
      <c r="I603">
        <v>8878303</v>
      </c>
      <c r="J603" t="s">
        <v>27</v>
      </c>
      <c r="K603" t="s">
        <v>851</v>
      </c>
      <c r="L603" t="s">
        <v>21</v>
      </c>
    </row>
    <row r="604" spans="1:12">
      <c r="A604" t="s">
        <v>853</v>
      </c>
      <c r="B604" t="s">
        <v>818</v>
      </c>
      <c r="C604" t="s">
        <v>130</v>
      </c>
      <c r="D604">
        <v>1992</v>
      </c>
      <c r="E604" t="s">
        <v>29</v>
      </c>
      <c r="F604" t="s">
        <v>30</v>
      </c>
      <c r="G604" t="s">
        <v>31</v>
      </c>
      <c r="H604" t="s">
        <v>32</v>
      </c>
      <c r="I604">
        <v>931.75277310000001</v>
      </c>
      <c r="J604" t="s">
        <v>33</v>
      </c>
      <c r="K604" t="s">
        <v>851</v>
      </c>
      <c r="L604" t="s">
        <v>21</v>
      </c>
    </row>
    <row r="605" spans="1:12">
      <c r="A605" t="s">
        <v>854</v>
      </c>
      <c r="B605" t="s">
        <v>818</v>
      </c>
      <c r="C605" t="s">
        <v>130</v>
      </c>
      <c r="D605">
        <v>1997</v>
      </c>
      <c r="E605" t="s">
        <v>15</v>
      </c>
      <c r="F605" t="s">
        <v>16</v>
      </c>
      <c r="G605" t="s">
        <v>17</v>
      </c>
      <c r="H605" t="s">
        <v>18</v>
      </c>
      <c r="I605">
        <v>50.323999999999998</v>
      </c>
      <c r="J605" t="s">
        <v>19</v>
      </c>
      <c r="K605" t="s">
        <v>855</v>
      </c>
      <c r="L605" t="s">
        <v>21</v>
      </c>
    </row>
    <row r="606" spans="1:12">
      <c r="A606" t="s">
        <v>856</v>
      </c>
      <c r="B606" t="s">
        <v>818</v>
      </c>
      <c r="C606" t="s">
        <v>130</v>
      </c>
      <c r="D606">
        <v>1997</v>
      </c>
      <c r="E606" t="s">
        <v>23</v>
      </c>
      <c r="F606" t="s">
        <v>24</v>
      </c>
      <c r="G606" t="s">
        <v>25</v>
      </c>
      <c r="H606" t="s">
        <v>26</v>
      </c>
      <c r="I606">
        <v>10352843</v>
      </c>
      <c r="J606" t="s">
        <v>27</v>
      </c>
      <c r="K606" t="s">
        <v>855</v>
      </c>
      <c r="L606" t="s">
        <v>21</v>
      </c>
    </row>
    <row r="607" spans="1:12">
      <c r="A607" t="s">
        <v>857</v>
      </c>
      <c r="B607" t="s">
        <v>818</v>
      </c>
      <c r="C607" t="s">
        <v>130</v>
      </c>
      <c r="D607">
        <v>1997</v>
      </c>
      <c r="E607" t="s">
        <v>29</v>
      </c>
      <c r="F607" t="s">
        <v>30</v>
      </c>
      <c r="G607" t="s">
        <v>31</v>
      </c>
      <c r="H607" t="s">
        <v>32</v>
      </c>
      <c r="I607">
        <v>946.29496180000001</v>
      </c>
      <c r="J607" t="s">
        <v>33</v>
      </c>
      <c r="K607" t="s">
        <v>855</v>
      </c>
      <c r="L607" t="s">
        <v>21</v>
      </c>
    </row>
    <row r="608" spans="1:12">
      <c r="A608" t="s">
        <v>858</v>
      </c>
      <c r="B608" t="s">
        <v>818</v>
      </c>
      <c r="C608" t="s">
        <v>130</v>
      </c>
      <c r="D608">
        <v>2002</v>
      </c>
      <c r="E608" t="s">
        <v>15</v>
      </c>
      <c r="F608" t="s">
        <v>16</v>
      </c>
      <c r="G608" t="s">
        <v>17</v>
      </c>
      <c r="H608" t="s">
        <v>18</v>
      </c>
      <c r="I608">
        <v>50.65</v>
      </c>
      <c r="J608" t="s">
        <v>19</v>
      </c>
      <c r="K608" t="s">
        <v>859</v>
      </c>
      <c r="L608" t="s">
        <v>21</v>
      </c>
    </row>
    <row r="609" spans="1:12">
      <c r="A609" t="s">
        <v>860</v>
      </c>
      <c r="B609" t="s">
        <v>818</v>
      </c>
      <c r="C609" t="s">
        <v>130</v>
      </c>
      <c r="D609">
        <v>2002</v>
      </c>
      <c r="E609" t="s">
        <v>23</v>
      </c>
      <c r="F609" t="s">
        <v>24</v>
      </c>
      <c r="G609" t="s">
        <v>25</v>
      </c>
      <c r="H609" t="s">
        <v>26</v>
      </c>
      <c r="I609">
        <v>12251209</v>
      </c>
      <c r="J609" t="s">
        <v>27</v>
      </c>
      <c r="K609" t="s">
        <v>859</v>
      </c>
      <c r="L609" t="s">
        <v>21</v>
      </c>
    </row>
    <row r="610" spans="1:12">
      <c r="A610" t="s">
        <v>861</v>
      </c>
      <c r="B610" t="s">
        <v>818</v>
      </c>
      <c r="C610" t="s">
        <v>130</v>
      </c>
      <c r="D610">
        <v>2002</v>
      </c>
      <c r="E610" t="s">
        <v>29</v>
      </c>
      <c r="F610" t="s">
        <v>30</v>
      </c>
      <c r="G610" t="s">
        <v>31</v>
      </c>
      <c r="H610" t="s">
        <v>32</v>
      </c>
      <c r="I610">
        <v>1037.645221</v>
      </c>
      <c r="J610" t="s">
        <v>33</v>
      </c>
      <c r="K610" t="s">
        <v>859</v>
      </c>
      <c r="L610" t="s">
        <v>21</v>
      </c>
    </row>
    <row r="611" spans="1:12">
      <c r="A611" t="s">
        <v>862</v>
      </c>
      <c r="B611" t="s">
        <v>818</v>
      </c>
      <c r="C611" t="s">
        <v>130</v>
      </c>
      <c r="D611">
        <v>2007</v>
      </c>
      <c r="E611" t="s">
        <v>15</v>
      </c>
      <c r="F611" t="s">
        <v>16</v>
      </c>
      <c r="G611" t="s">
        <v>17</v>
      </c>
      <c r="H611" t="s">
        <v>18</v>
      </c>
      <c r="I611">
        <v>52.295000000000002</v>
      </c>
      <c r="J611" t="s">
        <v>19</v>
      </c>
      <c r="K611" t="s">
        <v>863</v>
      </c>
      <c r="L611" t="s">
        <v>21</v>
      </c>
    </row>
    <row r="612" spans="1:12">
      <c r="A612" t="s">
        <v>864</v>
      </c>
      <c r="B612" t="s">
        <v>818</v>
      </c>
      <c r="C612" t="s">
        <v>130</v>
      </c>
      <c r="D612">
        <v>2007</v>
      </c>
      <c r="E612" t="s">
        <v>23</v>
      </c>
      <c r="F612" t="s">
        <v>24</v>
      </c>
      <c r="G612" t="s">
        <v>25</v>
      </c>
      <c r="H612" t="s">
        <v>26</v>
      </c>
      <c r="I612">
        <v>14326203</v>
      </c>
      <c r="J612" t="s">
        <v>27</v>
      </c>
      <c r="K612" t="s">
        <v>863</v>
      </c>
      <c r="L612" t="s">
        <v>21</v>
      </c>
    </row>
    <row r="613" spans="1:12">
      <c r="A613" t="s">
        <v>865</v>
      </c>
      <c r="B613" t="s">
        <v>818</v>
      </c>
      <c r="C613" t="s">
        <v>130</v>
      </c>
      <c r="D613">
        <v>2007</v>
      </c>
      <c r="E613" t="s">
        <v>29</v>
      </c>
      <c r="F613" t="s">
        <v>30</v>
      </c>
      <c r="G613" t="s">
        <v>31</v>
      </c>
      <c r="H613" t="s">
        <v>32</v>
      </c>
      <c r="I613">
        <v>1217.0329939999999</v>
      </c>
      <c r="J613" t="s">
        <v>33</v>
      </c>
      <c r="K613" t="s">
        <v>863</v>
      </c>
      <c r="L613" t="s">
        <v>21</v>
      </c>
    </row>
    <row r="614" spans="1:12">
      <c r="A614" t="s">
        <v>866</v>
      </c>
      <c r="B614" t="s">
        <v>867</v>
      </c>
      <c r="C614" t="s">
        <v>130</v>
      </c>
      <c r="D614">
        <v>1952</v>
      </c>
      <c r="E614" t="s">
        <v>15</v>
      </c>
      <c r="F614" t="s">
        <v>16</v>
      </c>
      <c r="G614" t="s">
        <v>17</v>
      </c>
      <c r="H614" t="s">
        <v>18</v>
      </c>
      <c r="I614">
        <v>39.030999999999999</v>
      </c>
      <c r="J614" t="s">
        <v>19</v>
      </c>
      <c r="K614" t="s">
        <v>868</v>
      </c>
      <c r="L614" t="s">
        <v>21</v>
      </c>
    </row>
    <row r="615" spans="1:12">
      <c r="A615" t="s">
        <v>869</v>
      </c>
      <c r="B615" t="s">
        <v>867</v>
      </c>
      <c r="C615" t="s">
        <v>130</v>
      </c>
      <c r="D615">
        <v>1952</v>
      </c>
      <c r="E615" t="s">
        <v>23</v>
      </c>
      <c r="F615" t="s">
        <v>24</v>
      </c>
      <c r="G615" t="s">
        <v>25</v>
      </c>
      <c r="H615" t="s">
        <v>26</v>
      </c>
      <c r="I615">
        <v>2445618</v>
      </c>
      <c r="J615" t="s">
        <v>27</v>
      </c>
      <c r="K615" t="s">
        <v>868</v>
      </c>
      <c r="L615" t="s">
        <v>21</v>
      </c>
    </row>
    <row r="616" spans="1:12">
      <c r="A616" t="s">
        <v>870</v>
      </c>
      <c r="B616" t="s">
        <v>867</v>
      </c>
      <c r="C616" t="s">
        <v>130</v>
      </c>
      <c r="D616">
        <v>1952</v>
      </c>
      <c r="E616" t="s">
        <v>29</v>
      </c>
      <c r="F616" t="s">
        <v>30</v>
      </c>
      <c r="G616" t="s">
        <v>31</v>
      </c>
      <c r="H616" t="s">
        <v>32</v>
      </c>
      <c r="I616">
        <v>339.29645870000002</v>
      </c>
      <c r="J616" t="s">
        <v>33</v>
      </c>
      <c r="K616" t="s">
        <v>868</v>
      </c>
      <c r="L616" t="s">
        <v>21</v>
      </c>
    </row>
    <row r="617" spans="1:12">
      <c r="A617" t="s">
        <v>871</v>
      </c>
      <c r="B617" t="s">
        <v>867</v>
      </c>
      <c r="C617" t="s">
        <v>130</v>
      </c>
      <c r="D617">
        <v>1957</v>
      </c>
      <c r="E617" t="s">
        <v>15</v>
      </c>
      <c r="F617" t="s">
        <v>16</v>
      </c>
      <c r="G617" t="s">
        <v>17</v>
      </c>
      <c r="H617" t="s">
        <v>18</v>
      </c>
      <c r="I617">
        <v>40.533000000000001</v>
      </c>
      <c r="J617" t="s">
        <v>19</v>
      </c>
      <c r="K617" t="s">
        <v>872</v>
      </c>
      <c r="L617" t="s">
        <v>21</v>
      </c>
    </row>
    <row r="618" spans="1:12">
      <c r="A618" t="s">
        <v>873</v>
      </c>
      <c r="B618" t="s">
        <v>867</v>
      </c>
      <c r="C618" t="s">
        <v>130</v>
      </c>
      <c r="D618">
        <v>1957</v>
      </c>
      <c r="E618" t="s">
        <v>23</v>
      </c>
      <c r="F618" t="s">
        <v>24</v>
      </c>
      <c r="G618" t="s">
        <v>25</v>
      </c>
      <c r="H618" t="s">
        <v>26</v>
      </c>
      <c r="I618">
        <v>2667518</v>
      </c>
      <c r="J618" t="s">
        <v>27</v>
      </c>
      <c r="K618" t="s">
        <v>872</v>
      </c>
      <c r="L618" t="s">
        <v>21</v>
      </c>
    </row>
    <row r="619" spans="1:12">
      <c r="A619" t="s">
        <v>874</v>
      </c>
      <c r="B619" t="s">
        <v>867</v>
      </c>
      <c r="C619" t="s">
        <v>130</v>
      </c>
      <c r="D619">
        <v>1957</v>
      </c>
      <c r="E619" t="s">
        <v>29</v>
      </c>
      <c r="F619" t="s">
        <v>30</v>
      </c>
      <c r="G619" t="s">
        <v>31</v>
      </c>
      <c r="H619" t="s">
        <v>32</v>
      </c>
      <c r="I619">
        <v>379.56462809999999</v>
      </c>
      <c r="J619" t="s">
        <v>33</v>
      </c>
      <c r="K619" t="s">
        <v>872</v>
      </c>
      <c r="L619" t="s">
        <v>21</v>
      </c>
    </row>
    <row r="620" spans="1:12">
      <c r="A620" t="s">
        <v>875</v>
      </c>
      <c r="B620" t="s">
        <v>867</v>
      </c>
      <c r="C620" t="s">
        <v>130</v>
      </c>
      <c r="D620">
        <v>1962</v>
      </c>
      <c r="E620" t="s">
        <v>15</v>
      </c>
      <c r="F620" t="s">
        <v>16</v>
      </c>
      <c r="G620" t="s">
        <v>17</v>
      </c>
      <c r="H620" t="s">
        <v>18</v>
      </c>
      <c r="I620">
        <v>42.045000000000002</v>
      </c>
      <c r="J620" t="s">
        <v>19</v>
      </c>
      <c r="K620" t="s">
        <v>876</v>
      </c>
      <c r="L620" t="s">
        <v>21</v>
      </c>
    </row>
    <row r="621" spans="1:12">
      <c r="A621" t="s">
        <v>877</v>
      </c>
      <c r="B621" t="s">
        <v>867</v>
      </c>
      <c r="C621" t="s">
        <v>130</v>
      </c>
      <c r="D621">
        <v>1962</v>
      </c>
      <c r="E621" t="s">
        <v>23</v>
      </c>
      <c r="F621" t="s">
        <v>24</v>
      </c>
      <c r="G621" t="s">
        <v>25</v>
      </c>
      <c r="H621" t="s">
        <v>26</v>
      </c>
      <c r="I621">
        <v>2961915</v>
      </c>
      <c r="J621" t="s">
        <v>27</v>
      </c>
      <c r="K621" t="s">
        <v>876</v>
      </c>
      <c r="L621" t="s">
        <v>21</v>
      </c>
    </row>
    <row r="622" spans="1:12">
      <c r="A622" t="s">
        <v>878</v>
      </c>
      <c r="B622" t="s">
        <v>867</v>
      </c>
      <c r="C622" t="s">
        <v>130</v>
      </c>
      <c r="D622">
        <v>1962</v>
      </c>
      <c r="E622" t="s">
        <v>29</v>
      </c>
      <c r="F622" t="s">
        <v>30</v>
      </c>
      <c r="G622" t="s">
        <v>31</v>
      </c>
      <c r="H622" t="s">
        <v>32</v>
      </c>
      <c r="I622">
        <v>355.20322729999998</v>
      </c>
      <c r="J622" t="s">
        <v>33</v>
      </c>
      <c r="K622" t="s">
        <v>876</v>
      </c>
      <c r="L622" t="s">
        <v>21</v>
      </c>
    </row>
    <row r="623" spans="1:12">
      <c r="A623" t="s">
        <v>879</v>
      </c>
      <c r="B623" t="s">
        <v>867</v>
      </c>
      <c r="C623" t="s">
        <v>130</v>
      </c>
      <c r="D623">
        <v>1967</v>
      </c>
      <c r="E623" t="s">
        <v>15</v>
      </c>
      <c r="F623" t="s">
        <v>16</v>
      </c>
      <c r="G623" t="s">
        <v>17</v>
      </c>
      <c r="H623" t="s">
        <v>18</v>
      </c>
      <c r="I623">
        <v>43.548000000000002</v>
      </c>
      <c r="J623" t="s">
        <v>19</v>
      </c>
      <c r="K623" t="s">
        <v>880</v>
      </c>
      <c r="L623" t="s">
        <v>21</v>
      </c>
    </row>
    <row r="624" spans="1:12">
      <c r="A624" t="s">
        <v>881</v>
      </c>
      <c r="B624" t="s">
        <v>867</v>
      </c>
      <c r="C624" t="s">
        <v>130</v>
      </c>
      <c r="D624">
        <v>1967</v>
      </c>
      <c r="E624" t="s">
        <v>23</v>
      </c>
      <c r="F624" t="s">
        <v>24</v>
      </c>
      <c r="G624" t="s">
        <v>25</v>
      </c>
      <c r="H624" t="s">
        <v>26</v>
      </c>
      <c r="I624">
        <v>3330989</v>
      </c>
      <c r="J624" t="s">
        <v>27</v>
      </c>
      <c r="K624" t="s">
        <v>880</v>
      </c>
      <c r="L624" t="s">
        <v>21</v>
      </c>
    </row>
    <row r="625" spans="1:12">
      <c r="A625" t="s">
        <v>882</v>
      </c>
      <c r="B625" t="s">
        <v>867</v>
      </c>
      <c r="C625" t="s">
        <v>130</v>
      </c>
      <c r="D625">
        <v>1967</v>
      </c>
      <c r="E625" t="s">
        <v>29</v>
      </c>
      <c r="F625" t="s">
        <v>30</v>
      </c>
      <c r="G625" t="s">
        <v>31</v>
      </c>
      <c r="H625" t="s">
        <v>32</v>
      </c>
      <c r="I625">
        <v>412.97751360000001</v>
      </c>
      <c r="J625" t="s">
        <v>33</v>
      </c>
      <c r="K625" t="s">
        <v>880</v>
      </c>
      <c r="L625" t="s">
        <v>21</v>
      </c>
    </row>
    <row r="626" spans="1:12">
      <c r="A626" t="s">
        <v>883</v>
      </c>
      <c r="B626" t="s">
        <v>867</v>
      </c>
      <c r="C626" t="s">
        <v>130</v>
      </c>
      <c r="D626">
        <v>1972</v>
      </c>
      <c r="E626" t="s">
        <v>15</v>
      </c>
      <c r="F626" t="s">
        <v>16</v>
      </c>
      <c r="G626" t="s">
        <v>17</v>
      </c>
      <c r="H626" t="s">
        <v>18</v>
      </c>
      <c r="I626">
        <v>44.057000000000002</v>
      </c>
      <c r="J626" t="s">
        <v>19</v>
      </c>
      <c r="K626" t="s">
        <v>884</v>
      </c>
      <c r="L626" t="s">
        <v>21</v>
      </c>
    </row>
    <row r="627" spans="1:12">
      <c r="A627" t="s">
        <v>885</v>
      </c>
      <c r="B627" t="s">
        <v>867</v>
      </c>
      <c r="C627" t="s">
        <v>130</v>
      </c>
      <c r="D627">
        <v>1972</v>
      </c>
      <c r="E627" t="s">
        <v>23</v>
      </c>
      <c r="F627" t="s">
        <v>24</v>
      </c>
      <c r="G627" t="s">
        <v>25</v>
      </c>
      <c r="H627" t="s">
        <v>26</v>
      </c>
      <c r="I627">
        <v>3529983</v>
      </c>
      <c r="J627" t="s">
        <v>27</v>
      </c>
      <c r="K627" t="s">
        <v>884</v>
      </c>
      <c r="L627" t="s">
        <v>21</v>
      </c>
    </row>
    <row r="628" spans="1:12">
      <c r="A628" t="s">
        <v>886</v>
      </c>
      <c r="B628" t="s">
        <v>867</v>
      </c>
      <c r="C628" t="s">
        <v>130</v>
      </c>
      <c r="D628">
        <v>1972</v>
      </c>
      <c r="E628" t="s">
        <v>29</v>
      </c>
      <c r="F628" t="s">
        <v>30</v>
      </c>
      <c r="G628" t="s">
        <v>31</v>
      </c>
      <c r="H628" t="s">
        <v>32</v>
      </c>
      <c r="I628">
        <v>464.0995039</v>
      </c>
      <c r="J628" t="s">
        <v>33</v>
      </c>
      <c r="K628" t="s">
        <v>884</v>
      </c>
      <c r="L628" t="s">
        <v>21</v>
      </c>
    </row>
    <row r="629" spans="1:12">
      <c r="A629" t="s">
        <v>887</v>
      </c>
      <c r="B629" t="s">
        <v>867</v>
      </c>
      <c r="C629" t="s">
        <v>130</v>
      </c>
      <c r="D629">
        <v>1977</v>
      </c>
      <c r="E629" t="s">
        <v>15</v>
      </c>
      <c r="F629" t="s">
        <v>16</v>
      </c>
      <c r="G629" t="s">
        <v>17</v>
      </c>
      <c r="H629" t="s">
        <v>18</v>
      </c>
      <c r="I629">
        <v>45.91</v>
      </c>
      <c r="J629" t="s">
        <v>19</v>
      </c>
      <c r="K629" t="s">
        <v>888</v>
      </c>
      <c r="L629" t="s">
        <v>21</v>
      </c>
    </row>
    <row r="630" spans="1:12">
      <c r="A630" t="s">
        <v>889</v>
      </c>
      <c r="B630" t="s">
        <v>867</v>
      </c>
      <c r="C630" t="s">
        <v>130</v>
      </c>
      <c r="D630">
        <v>1977</v>
      </c>
      <c r="E630" t="s">
        <v>23</v>
      </c>
      <c r="F630" t="s">
        <v>24</v>
      </c>
      <c r="G630" t="s">
        <v>25</v>
      </c>
      <c r="H630" t="s">
        <v>26</v>
      </c>
      <c r="I630">
        <v>3834415</v>
      </c>
      <c r="J630" t="s">
        <v>27</v>
      </c>
      <c r="K630" t="s">
        <v>888</v>
      </c>
      <c r="L630" t="s">
        <v>21</v>
      </c>
    </row>
    <row r="631" spans="1:12">
      <c r="A631" t="s">
        <v>890</v>
      </c>
      <c r="B631" t="s">
        <v>867</v>
      </c>
      <c r="C631" t="s">
        <v>130</v>
      </c>
      <c r="D631">
        <v>1977</v>
      </c>
      <c r="E631" t="s">
        <v>29</v>
      </c>
      <c r="F631" t="s">
        <v>30</v>
      </c>
      <c r="G631" t="s">
        <v>31</v>
      </c>
      <c r="H631" t="s">
        <v>32</v>
      </c>
      <c r="I631">
        <v>556.10326510000004</v>
      </c>
      <c r="J631" t="s">
        <v>33</v>
      </c>
      <c r="K631" t="s">
        <v>888</v>
      </c>
      <c r="L631" t="s">
        <v>21</v>
      </c>
    </row>
    <row r="632" spans="1:12">
      <c r="A632" t="s">
        <v>891</v>
      </c>
      <c r="B632" t="s">
        <v>867</v>
      </c>
      <c r="C632" t="s">
        <v>130</v>
      </c>
      <c r="D632">
        <v>1982</v>
      </c>
      <c r="E632" t="s">
        <v>15</v>
      </c>
      <c r="F632" t="s">
        <v>16</v>
      </c>
      <c r="G632" t="s">
        <v>17</v>
      </c>
      <c r="H632" t="s">
        <v>18</v>
      </c>
      <c r="I632">
        <v>47.470999999999997</v>
      </c>
      <c r="J632" t="s">
        <v>19</v>
      </c>
      <c r="K632" t="s">
        <v>892</v>
      </c>
      <c r="L632" t="s">
        <v>21</v>
      </c>
    </row>
    <row r="633" spans="1:12">
      <c r="A633" t="s">
        <v>893</v>
      </c>
      <c r="B633" t="s">
        <v>867</v>
      </c>
      <c r="C633" t="s">
        <v>130</v>
      </c>
      <c r="D633">
        <v>1982</v>
      </c>
      <c r="E633" t="s">
        <v>23</v>
      </c>
      <c r="F633" t="s">
        <v>24</v>
      </c>
      <c r="G633" t="s">
        <v>25</v>
      </c>
      <c r="H633" t="s">
        <v>26</v>
      </c>
      <c r="I633">
        <v>4580410</v>
      </c>
      <c r="J633" t="s">
        <v>27</v>
      </c>
      <c r="K633" t="s">
        <v>892</v>
      </c>
      <c r="L633" t="s">
        <v>21</v>
      </c>
    </row>
    <row r="634" spans="1:12">
      <c r="A634" t="s">
        <v>894</v>
      </c>
      <c r="B634" t="s">
        <v>867</v>
      </c>
      <c r="C634" t="s">
        <v>130</v>
      </c>
      <c r="D634">
        <v>1982</v>
      </c>
      <c r="E634" t="s">
        <v>29</v>
      </c>
      <c r="F634" t="s">
        <v>30</v>
      </c>
      <c r="G634" t="s">
        <v>31</v>
      </c>
      <c r="H634" t="s">
        <v>32</v>
      </c>
      <c r="I634">
        <v>559.60323099999903</v>
      </c>
      <c r="J634" t="s">
        <v>33</v>
      </c>
      <c r="K634" t="s">
        <v>892</v>
      </c>
      <c r="L634" t="s">
        <v>21</v>
      </c>
    </row>
    <row r="635" spans="1:12">
      <c r="A635" t="s">
        <v>895</v>
      </c>
      <c r="B635" t="s">
        <v>867</v>
      </c>
      <c r="C635" t="s">
        <v>130</v>
      </c>
      <c r="D635">
        <v>1987</v>
      </c>
      <c r="E635" t="s">
        <v>15</v>
      </c>
      <c r="F635" t="s">
        <v>16</v>
      </c>
      <c r="G635" t="s">
        <v>17</v>
      </c>
      <c r="H635" t="s">
        <v>18</v>
      </c>
      <c r="I635">
        <v>48.210999999999999</v>
      </c>
      <c r="J635" t="s">
        <v>19</v>
      </c>
      <c r="K635" t="s">
        <v>896</v>
      </c>
      <c r="L635" t="s">
        <v>21</v>
      </c>
    </row>
    <row r="636" spans="1:12">
      <c r="A636" t="s">
        <v>897</v>
      </c>
      <c r="B636" t="s">
        <v>867</v>
      </c>
      <c r="C636" t="s">
        <v>130</v>
      </c>
      <c r="D636">
        <v>1987</v>
      </c>
      <c r="E636" t="s">
        <v>23</v>
      </c>
      <c r="F636" t="s">
        <v>24</v>
      </c>
      <c r="G636" t="s">
        <v>25</v>
      </c>
      <c r="H636" t="s">
        <v>26</v>
      </c>
      <c r="I636">
        <v>5126023</v>
      </c>
      <c r="J636" t="s">
        <v>27</v>
      </c>
      <c r="K636" t="s">
        <v>896</v>
      </c>
      <c r="L636" t="s">
        <v>21</v>
      </c>
    </row>
    <row r="637" spans="1:12">
      <c r="A637" t="s">
        <v>898</v>
      </c>
      <c r="B637" t="s">
        <v>867</v>
      </c>
      <c r="C637" t="s">
        <v>130</v>
      </c>
      <c r="D637">
        <v>1987</v>
      </c>
      <c r="E637" t="s">
        <v>29</v>
      </c>
      <c r="F637" t="s">
        <v>30</v>
      </c>
      <c r="G637" t="s">
        <v>31</v>
      </c>
      <c r="H637" t="s">
        <v>32</v>
      </c>
      <c r="I637">
        <v>621.81881889999897</v>
      </c>
      <c r="J637" t="s">
        <v>33</v>
      </c>
      <c r="K637" t="s">
        <v>896</v>
      </c>
      <c r="L637" t="s">
        <v>21</v>
      </c>
    </row>
    <row r="638" spans="1:12">
      <c r="A638" t="s">
        <v>899</v>
      </c>
      <c r="B638" t="s">
        <v>867</v>
      </c>
      <c r="C638" t="s">
        <v>130</v>
      </c>
      <c r="D638">
        <v>1992</v>
      </c>
      <c r="E638" t="s">
        <v>15</v>
      </c>
      <c r="F638" t="s">
        <v>16</v>
      </c>
      <c r="G638" t="s">
        <v>17</v>
      </c>
      <c r="H638" t="s">
        <v>18</v>
      </c>
      <c r="I638">
        <v>44.735999999999997</v>
      </c>
      <c r="J638" t="s">
        <v>19</v>
      </c>
      <c r="K638" t="s">
        <v>900</v>
      </c>
      <c r="L638" t="s">
        <v>21</v>
      </c>
    </row>
    <row r="639" spans="1:12">
      <c r="A639" t="s">
        <v>901</v>
      </c>
      <c r="B639" t="s">
        <v>867</v>
      </c>
      <c r="C639" t="s">
        <v>130</v>
      </c>
      <c r="D639">
        <v>1992</v>
      </c>
      <c r="E639" t="s">
        <v>23</v>
      </c>
      <c r="F639" t="s">
        <v>24</v>
      </c>
      <c r="G639" t="s">
        <v>25</v>
      </c>
      <c r="H639" t="s">
        <v>26</v>
      </c>
      <c r="I639">
        <v>5809236</v>
      </c>
      <c r="J639" t="s">
        <v>27</v>
      </c>
      <c r="K639" t="s">
        <v>900</v>
      </c>
      <c r="L639" t="s">
        <v>21</v>
      </c>
    </row>
    <row r="640" spans="1:12">
      <c r="A640" t="s">
        <v>902</v>
      </c>
      <c r="B640" t="s">
        <v>867</v>
      </c>
      <c r="C640" t="s">
        <v>130</v>
      </c>
      <c r="D640">
        <v>1992</v>
      </c>
      <c r="E640" t="s">
        <v>29</v>
      </c>
      <c r="F640" t="s">
        <v>30</v>
      </c>
      <c r="G640" t="s">
        <v>31</v>
      </c>
      <c r="H640" t="s">
        <v>32</v>
      </c>
      <c r="I640">
        <v>631.69987779999997</v>
      </c>
      <c r="J640" t="s">
        <v>33</v>
      </c>
      <c r="K640" t="s">
        <v>900</v>
      </c>
      <c r="L640" t="s">
        <v>21</v>
      </c>
    </row>
    <row r="641" spans="1:12">
      <c r="A641" t="s">
        <v>903</v>
      </c>
      <c r="B641" t="s">
        <v>867</v>
      </c>
      <c r="C641" t="s">
        <v>130</v>
      </c>
      <c r="D641">
        <v>1997</v>
      </c>
      <c r="E641" t="s">
        <v>15</v>
      </c>
      <c r="F641" t="s">
        <v>16</v>
      </c>
      <c r="G641" t="s">
        <v>17</v>
      </c>
      <c r="H641" t="s">
        <v>18</v>
      </c>
      <c r="I641">
        <v>45.326000000000001</v>
      </c>
      <c r="J641" t="s">
        <v>19</v>
      </c>
      <c r="K641" t="s">
        <v>904</v>
      </c>
      <c r="L641" t="s">
        <v>21</v>
      </c>
    </row>
    <row r="642" spans="1:12">
      <c r="A642" t="s">
        <v>905</v>
      </c>
      <c r="B642" t="s">
        <v>867</v>
      </c>
      <c r="C642" t="s">
        <v>130</v>
      </c>
      <c r="D642">
        <v>1997</v>
      </c>
      <c r="E642" t="s">
        <v>23</v>
      </c>
      <c r="F642" t="s">
        <v>24</v>
      </c>
      <c r="G642" t="s">
        <v>25</v>
      </c>
      <c r="H642" t="s">
        <v>26</v>
      </c>
      <c r="I642">
        <v>6121610</v>
      </c>
      <c r="J642" t="s">
        <v>27</v>
      </c>
      <c r="K642" t="s">
        <v>904</v>
      </c>
      <c r="L642" t="s">
        <v>21</v>
      </c>
    </row>
    <row r="643" spans="1:12">
      <c r="A643" t="s">
        <v>906</v>
      </c>
      <c r="B643" t="s">
        <v>867</v>
      </c>
      <c r="C643" t="s">
        <v>130</v>
      </c>
      <c r="D643">
        <v>1997</v>
      </c>
      <c r="E643" t="s">
        <v>29</v>
      </c>
      <c r="F643" t="s">
        <v>30</v>
      </c>
      <c r="G643" t="s">
        <v>31</v>
      </c>
      <c r="H643" t="s">
        <v>32</v>
      </c>
      <c r="I643">
        <v>463.11514779999999</v>
      </c>
      <c r="J643" t="s">
        <v>33</v>
      </c>
      <c r="K643" t="s">
        <v>904</v>
      </c>
      <c r="L643" t="s">
        <v>21</v>
      </c>
    </row>
    <row r="644" spans="1:12">
      <c r="A644" t="s">
        <v>907</v>
      </c>
      <c r="B644" t="s">
        <v>867</v>
      </c>
      <c r="C644" t="s">
        <v>130</v>
      </c>
      <c r="D644">
        <v>2002</v>
      </c>
      <c r="E644" t="s">
        <v>15</v>
      </c>
      <c r="F644" t="s">
        <v>16</v>
      </c>
      <c r="G644" t="s">
        <v>17</v>
      </c>
      <c r="H644" t="s">
        <v>18</v>
      </c>
      <c r="I644">
        <v>47.36</v>
      </c>
      <c r="J644" t="s">
        <v>19</v>
      </c>
      <c r="K644" t="s">
        <v>908</v>
      </c>
      <c r="L644" t="s">
        <v>21</v>
      </c>
    </row>
    <row r="645" spans="1:12">
      <c r="A645" t="s">
        <v>909</v>
      </c>
      <c r="B645" t="s">
        <v>867</v>
      </c>
      <c r="C645" t="s">
        <v>130</v>
      </c>
      <c r="D645">
        <v>2002</v>
      </c>
      <c r="E645" t="s">
        <v>23</v>
      </c>
      <c r="F645" t="s">
        <v>24</v>
      </c>
      <c r="G645" t="s">
        <v>25</v>
      </c>
      <c r="H645" t="s">
        <v>26</v>
      </c>
      <c r="I645">
        <v>7021078</v>
      </c>
      <c r="J645" t="s">
        <v>27</v>
      </c>
      <c r="K645" t="s">
        <v>908</v>
      </c>
      <c r="L645" t="s">
        <v>21</v>
      </c>
    </row>
    <row r="646" spans="1:12">
      <c r="A646" t="s">
        <v>910</v>
      </c>
      <c r="B646" t="s">
        <v>867</v>
      </c>
      <c r="C646" t="s">
        <v>130</v>
      </c>
      <c r="D646">
        <v>2002</v>
      </c>
      <c r="E646" t="s">
        <v>29</v>
      </c>
      <c r="F646" t="s">
        <v>30</v>
      </c>
      <c r="G646" t="s">
        <v>31</v>
      </c>
      <c r="H646" t="s">
        <v>32</v>
      </c>
      <c r="I646">
        <v>446.4035126</v>
      </c>
      <c r="J646" t="s">
        <v>33</v>
      </c>
      <c r="K646" t="s">
        <v>908</v>
      </c>
      <c r="L646" t="s">
        <v>21</v>
      </c>
    </row>
    <row r="647" spans="1:12">
      <c r="A647" t="s">
        <v>911</v>
      </c>
      <c r="B647" t="s">
        <v>867</v>
      </c>
      <c r="C647" t="s">
        <v>130</v>
      </c>
      <c r="D647">
        <v>2007</v>
      </c>
      <c r="E647" t="s">
        <v>15</v>
      </c>
      <c r="F647" t="s">
        <v>16</v>
      </c>
      <c r="G647" t="s">
        <v>17</v>
      </c>
      <c r="H647" t="s">
        <v>18</v>
      </c>
      <c r="I647">
        <v>49.58</v>
      </c>
      <c r="J647" t="s">
        <v>19</v>
      </c>
      <c r="K647" t="s">
        <v>912</v>
      </c>
      <c r="L647" t="s">
        <v>21</v>
      </c>
    </row>
    <row r="648" spans="1:12">
      <c r="A648" t="s">
        <v>913</v>
      </c>
      <c r="B648" t="s">
        <v>867</v>
      </c>
      <c r="C648" t="s">
        <v>130</v>
      </c>
      <c r="D648">
        <v>2007</v>
      </c>
      <c r="E648" t="s">
        <v>23</v>
      </c>
      <c r="F648" t="s">
        <v>24</v>
      </c>
      <c r="G648" t="s">
        <v>25</v>
      </c>
      <c r="H648" t="s">
        <v>26</v>
      </c>
      <c r="I648">
        <v>8390505</v>
      </c>
      <c r="J648" t="s">
        <v>27</v>
      </c>
      <c r="K648" t="s">
        <v>912</v>
      </c>
      <c r="L648" t="s">
        <v>21</v>
      </c>
    </row>
    <row r="649" spans="1:12">
      <c r="A649" t="s">
        <v>914</v>
      </c>
      <c r="B649" t="s">
        <v>867</v>
      </c>
      <c r="C649" t="s">
        <v>130</v>
      </c>
      <c r="D649">
        <v>2007</v>
      </c>
      <c r="E649" t="s">
        <v>29</v>
      </c>
      <c r="F649" t="s">
        <v>30</v>
      </c>
      <c r="G649" t="s">
        <v>31</v>
      </c>
      <c r="H649" t="s">
        <v>32</v>
      </c>
      <c r="I649">
        <v>430.07069159999998</v>
      </c>
      <c r="J649" t="s">
        <v>33</v>
      </c>
      <c r="K649" t="s">
        <v>912</v>
      </c>
      <c r="L649" t="s">
        <v>21</v>
      </c>
    </row>
    <row r="650" spans="1:12">
      <c r="A650" t="s">
        <v>915</v>
      </c>
      <c r="B650" t="s">
        <v>916</v>
      </c>
      <c r="C650" t="s">
        <v>14</v>
      </c>
      <c r="D650">
        <v>1952</v>
      </c>
      <c r="E650" t="s">
        <v>15</v>
      </c>
      <c r="F650" t="s">
        <v>16</v>
      </c>
      <c r="G650" t="s">
        <v>17</v>
      </c>
      <c r="H650" t="s">
        <v>18</v>
      </c>
      <c r="I650">
        <v>39.417000000000002</v>
      </c>
      <c r="J650" t="s">
        <v>19</v>
      </c>
      <c r="K650" t="s">
        <v>917</v>
      </c>
      <c r="L650" t="s">
        <v>21</v>
      </c>
    </row>
    <row r="651" spans="1:12">
      <c r="A651" t="s">
        <v>918</v>
      </c>
      <c r="B651" t="s">
        <v>916</v>
      </c>
      <c r="C651" t="s">
        <v>14</v>
      </c>
      <c r="D651">
        <v>1952</v>
      </c>
      <c r="E651" t="s">
        <v>23</v>
      </c>
      <c r="F651" t="s">
        <v>24</v>
      </c>
      <c r="G651" t="s">
        <v>25</v>
      </c>
      <c r="H651" t="s">
        <v>26</v>
      </c>
      <c r="I651">
        <v>4693836</v>
      </c>
      <c r="J651" t="s">
        <v>27</v>
      </c>
      <c r="K651" t="s">
        <v>917</v>
      </c>
      <c r="L651" t="s">
        <v>21</v>
      </c>
    </row>
    <row r="652" spans="1:12">
      <c r="A652" t="s">
        <v>919</v>
      </c>
      <c r="B652" t="s">
        <v>916</v>
      </c>
      <c r="C652" t="s">
        <v>14</v>
      </c>
      <c r="D652">
        <v>1952</v>
      </c>
      <c r="E652" t="s">
        <v>29</v>
      </c>
      <c r="F652" t="s">
        <v>30</v>
      </c>
      <c r="G652" t="s">
        <v>31</v>
      </c>
      <c r="H652" t="s">
        <v>32</v>
      </c>
      <c r="I652">
        <v>368.46928559999998</v>
      </c>
      <c r="J652" t="s">
        <v>33</v>
      </c>
      <c r="K652" t="s">
        <v>917</v>
      </c>
      <c r="L652" t="s">
        <v>21</v>
      </c>
    </row>
    <row r="653" spans="1:12">
      <c r="A653" t="s">
        <v>920</v>
      </c>
      <c r="B653" t="s">
        <v>916</v>
      </c>
      <c r="C653" t="s">
        <v>14</v>
      </c>
      <c r="D653">
        <v>1957</v>
      </c>
      <c r="E653" t="s">
        <v>15</v>
      </c>
      <c r="F653" t="s">
        <v>16</v>
      </c>
      <c r="G653" t="s">
        <v>17</v>
      </c>
      <c r="H653" t="s">
        <v>18</v>
      </c>
      <c r="I653">
        <v>41.366</v>
      </c>
      <c r="J653" t="s">
        <v>19</v>
      </c>
      <c r="K653" t="s">
        <v>921</v>
      </c>
      <c r="L653" t="s">
        <v>21</v>
      </c>
    </row>
    <row r="654" spans="1:12">
      <c r="A654" t="s">
        <v>922</v>
      </c>
      <c r="B654" t="s">
        <v>916</v>
      </c>
      <c r="C654" t="s">
        <v>14</v>
      </c>
      <c r="D654">
        <v>1957</v>
      </c>
      <c r="E654" t="s">
        <v>23</v>
      </c>
      <c r="F654" t="s">
        <v>24</v>
      </c>
      <c r="G654" t="s">
        <v>25</v>
      </c>
      <c r="H654" t="s">
        <v>26</v>
      </c>
      <c r="I654">
        <v>5322536</v>
      </c>
      <c r="J654" t="s">
        <v>27</v>
      </c>
      <c r="K654" t="s">
        <v>921</v>
      </c>
      <c r="L654" t="s">
        <v>21</v>
      </c>
    </row>
    <row r="655" spans="1:12">
      <c r="A655" t="s">
        <v>923</v>
      </c>
      <c r="B655" t="s">
        <v>916</v>
      </c>
      <c r="C655" t="s">
        <v>14</v>
      </c>
      <c r="D655">
        <v>1957</v>
      </c>
      <c r="E655" t="s">
        <v>29</v>
      </c>
      <c r="F655" t="s">
        <v>30</v>
      </c>
      <c r="G655" t="s">
        <v>31</v>
      </c>
      <c r="H655" t="s">
        <v>32</v>
      </c>
      <c r="I655">
        <v>434.03833639999999</v>
      </c>
      <c r="J655" t="s">
        <v>33</v>
      </c>
      <c r="K655" t="s">
        <v>921</v>
      </c>
      <c r="L655" t="s">
        <v>21</v>
      </c>
    </row>
    <row r="656" spans="1:12">
      <c r="A656" t="s">
        <v>924</v>
      </c>
      <c r="B656" t="s">
        <v>916</v>
      </c>
      <c r="C656" t="s">
        <v>14</v>
      </c>
      <c r="D656">
        <v>1962</v>
      </c>
      <c r="E656" t="s">
        <v>15</v>
      </c>
      <c r="F656" t="s">
        <v>16</v>
      </c>
      <c r="G656" t="s">
        <v>17</v>
      </c>
      <c r="H656" t="s">
        <v>18</v>
      </c>
      <c r="I656">
        <v>43.414999999999999</v>
      </c>
      <c r="J656" t="s">
        <v>19</v>
      </c>
      <c r="K656" t="s">
        <v>925</v>
      </c>
      <c r="L656" t="s">
        <v>21</v>
      </c>
    </row>
    <row r="657" spans="1:12">
      <c r="A657" t="s">
        <v>926</v>
      </c>
      <c r="B657" t="s">
        <v>916</v>
      </c>
      <c r="C657" t="s">
        <v>14</v>
      </c>
      <c r="D657">
        <v>1962</v>
      </c>
      <c r="E657" t="s">
        <v>23</v>
      </c>
      <c r="F657" t="s">
        <v>24</v>
      </c>
      <c r="G657" t="s">
        <v>25</v>
      </c>
      <c r="H657" t="s">
        <v>26</v>
      </c>
      <c r="I657">
        <v>6083619</v>
      </c>
      <c r="J657" t="s">
        <v>27</v>
      </c>
      <c r="K657" t="s">
        <v>925</v>
      </c>
      <c r="L657" t="s">
        <v>21</v>
      </c>
    </row>
    <row r="658" spans="1:12">
      <c r="A658" t="s">
        <v>927</v>
      </c>
      <c r="B658" t="s">
        <v>916</v>
      </c>
      <c r="C658" t="s">
        <v>14</v>
      </c>
      <c r="D658">
        <v>1962</v>
      </c>
      <c r="E658" t="s">
        <v>29</v>
      </c>
      <c r="F658" t="s">
        <v>30</v>
      </c>
      <c r="G658" t="s">
        <v>31</v>
      </c>
      <c r="H658" t="s">
        <v>32</v>
      </c>
      <c r="I658">
        <v>496.91364759999999</v>
      </c>
      <c r="J658" t="s">
        <v>33</v>
      </c>
      <c r="K658" t="s">
        <v>925</v>
      </c>
      <c r="L658" t="s">
        <v>21</v>
      </c>
    </row>
    <row r="659" spans="1:12">
      <c r="A659" t="s">
        <v>928</v>
      </c>
      <c r="B659" t="s">
        <v>916</v>
      </c>
      <c r="C659" t="s">
        <v>14</v>
      </c>
      <c r="D659">
        <v>1967</v>
      </c>
      <c r="E659" t="s">
        <v>15</v>
      </c>
      <c r="F659" t="s">
        <v>16</v>
      </c>
      <c r="G659" t="s">
        <v>17</v>
      </c>
      <c r="H659" t="s">
        <v>18</v>
      </c>
      <c r="I659">
        <v>45.414999999999999</v>
      </c>
      <c r="J659" t="s">
        <v>19</v>
      </c>
      <c r="K659" t="s">
        <v>929</v>
      </c>
      <c r="L659" t="s">
        <v>21</v>
      </c>
    </row>
    <row r="660" spans="1:12">
      <c r="A660" t="s">
        <v>930</v>
      </c>
      <c r="B660" t="s">
        <v>916</v>
      </c>
      <c r="C660" t="s">
        <v>14</v>
      </c>
      <c r="D660">
        <v>1967</v>
      </c>
      <c r="E660" t="s">
        <v>23</v>
      </c>
      <c r="F660" t="s">
        <v>24</v>
      </c>
      <c r="G660" t="s">
        <v>25</v>
      </c>
      <c r="H660" t="s">
        <v>26</v>
      </c>
      <c r="I660">
        <v>6960067</v>
      </c>
      <c r="J660" t="s">
        <v>27</v>
      </c>
      <c r="K660" t="s">
        <v>929</v>
      </c>
      <c r="L660" t="s">
        <v>21</v>
      </c>
    </row>
    <row r="661" spans="1:12">
      <c r="A661" t="s">
        <v>931</v>
      </c>
      <c r="B661" t="s">
        <v>916</v>
      </c>
      <c r="C661" t="s">
        <v>14</v>
      </c>
      <c r="D661">
        <v>1967</v>
      </c>
      <c r="E661" t="s">
        <v>29</v>
      </c>
      <c r="F661" t="s">
        <v>30</v>
      </c>
      <c r="G661" t="s">
        <v>31</v>
      </c>
      <c r="H661" t="s">
        <v>32</v>
      </c>
      <c r="I661">
        <v>523.43231419999995</v>
      </c>
      <c r="J661" t="s">
        <v>33</v>
      </c>
      <c r="K661" t="s">
        <v>929</v>
      </c>
      <c r="L661" t="s">
        <v>21</v>
      </c>
    </row>
    <row r="662" spans="1:12">
      <c r="A662" t="s">
        <v>932</v>
      </c>
      <c r="B662" t="s">
        <v>916</v>
      </c>
      <c r="C662" t="s">
        <v>14</v>
      </c>
      <c r="D662">
        <v>1972</v>
      </c>
      <c r="E662" t="s">
        <v>15</v>
      </c>
      <c r="F662" t="s">
        <v>16</v>
      </c>
      <c r="G662" t="s">
        <v>17</v>
      </c>
      <c r="H662" t="s">
        <v>18</v>
      </c>
      <c r="I662">
        <v>40.317</v>
      </c>
      <c r="J662" t="s">
        <v>19</v>
      </c>
      <c r="K662" t="s">
        <v>933</v>
      </c>
      <c r="L662" t="s">
        <v>21</v>
      </c>
    </row>
    <row r="663" spans="1:12">
      <c r="A663" t="s">
        <v>934</v>
      </c>
      <c r="B663" t="s">
        <v>916</v>
      </c>
      <c r="C663" t="s">
        <v>14</v>
      </c>
      <c r="D663">
        <v>1972</v>
      </c>
      <c r="E663" t="s">
        <v>23</v>
      </c>
      <c r="F663" t="s">
        <v>24</v>
      </c>
      <c r="G663" t="s">
        <v>25</v>
      </c>
      <c r="H663" t="s">
        <v>26</v>
      </c>
      <c r="I663">
        <v>7450606</v>
      </c>
      <c r="J663" t="s">
        <v>27</v>
      </c>
      <c r="K663" t="s">
        <v>933</v>
      </c>
      <c r="L663" t="s">
        <v>21</v>
      </c>
    </row>
    <row r="664" spans="1:12">
      <c r="A664" t="s">
        <v>935</v>
      </c>
      <c r="B664" t="s">
        <v>916</v>
      </c>
      <c r="C664" t="s">
        <v>14</v>
      </c>
      <c r="D664">
        <v>1972</v>
      </c>
      <c r="E664" t="s">
        <v>29</v>
      </c>
      <c r="F664" t="s">
        <v>30</v>
      </c>
      <c r="G664" t="s">
        <v>31</v>
      </c>
      <c r="H664" t="s">
        <v>32</v>
      </c>
      <c r="I664">
        <v>421.6240257</v>
      </c>
      <c r="J664" t="s">
        <v>33</v>
      </c>
      <c r="K664" t="s">
        <v>933</v>
      </c>
      <c r="L664" t="s">
        <v>21</v>
      </c>
    </row>
    <row r="665" spans="1:12">
      <c r="A665" t="s">
        <v>936</v>
      </c>
      <c r="B665" t="s">
        <v>916</v>
      </c>
      <c r="C665" t="s">
        <v>14</v>
      </c>
      <c r="D665">
        <v>1977</v>
      </c>
      <c r="E665" t="s">
        <v>15</v>
      </c>
      <c r="F665" t="s">
        <v>16</v>
      </c>
      <c r="G665" t="s">
        <v>17</v>
      </c>
      <c r="H665" t="s">
        <v>18</v>
      </c>
      <c r="I665">
        <v>31.22</v>
      </c>
      <c r="J665" t="s">
        <v>19</v>
      </c>
      <c r="K665" t="s">
        <v>937</v>
      </c>
      <c r="L665" t="s">
        <v>21</v>
      </c>
    </row>
    <row r="666" spans="1:12">
      <c r="A666" t="s">
        <v>938</v>
      </c>
      <c r="B666" t="s">
        <v>916</v>
      </c>
      <c r="C666" t="s">
        <v>14</v>
      </c>
      <c r="D666">
        <v>1977</v>
      </c>
      <c r="E666" t="s">
        <v>23</v>
      </c>
      <c r="F666" t="s">
        <v>24</v>
      </c>
      <c r="G666" t="s">
        <v>25</v>
      </c>
      <c r="H666" t="s">
        <v>26</v>
      </c>
      <c r="I666">
        <v>6978607</v>
      </c>
      <c r="J666" t="s">
        <v>27</v>
      </c>
      <c r="K666" t="s">
        <v>937</v>
      </c>
      <c r="L666" t="s">
        <v>21</v>
      </c>
    </row>
    <row r="667" spans="1:12">
      <c r="A667" t="s">
        <v>939</v>
      </c>
      <c r="B667" t="s">
        <v>916</v>
      </c>
      <c r="C667" t="s">
        <v>14</v>
      </c>
      <c r="D667">
        <v>1977</v>
      </c>
      <c r="E667" t="s">
        <v>29</v>
      </c>
      <c r="F667" t="s">
        <v>30</v>
      </c>
      <c r="G667" t="s">
        <v>31</v>
      </c>
      <c r="H667" t="s">
        <v>32</v>
      </c>
      <c r="I667">
        <v>524.97218319999899</v>
      </c>
      <c r="J667" t="s">
        <v>33</v>
      </c>
      <c r="K667" t="s">
        <v>937</v>
      </c>
      <c r="L667" t="s">
        <v>21</v>
      </c>
    </row>
    <row r="668" spans="1:12">
      <c r="A668" t="s">
        <v>940</v>
      </c>
      <c r="B668" t="s">
        <v>916</v>
      </c>
      <c r="C668" t="s">
        <v>14</v>
      </c>
      <c r="D668">
        <v>1982</v>
      </c>
      <c r="E668" t="s">
        <v>15</v>
      </c>
      <c r="F668" t="s">
        <v>16</v>
      </c>
      <c r="G668" t="s">
        <v>17</v>
      </c>
      <c r="H668" t="s">
        <v>18</v>
      </c>
      <c r="I668">
        <v>50.957000000000001</v>
      </c>
      <c r="J668" t="s">
        <v>19</v>
      </c>
      <c r="K668" t="s">
        <v>941</v>
      </c>
      <c r="L668" t="s">
        <v>21</v>
      </c>
    </row>
    <row r="669" spans="1:12">
      <c r="A669" t="s">
        <v>942</v>
      </c>
      <c r="B669" t="s">
        <v>916</v>
      </c>
      <c r="C669" t="s">
        <v>14</v>
      </c>
      <c r="D669">
        <v>1982</v>
      </c>
      <c r="E669" t="s">
        <v>23</v>
      </c>
      <c r="F669" t="s">
        <v>24</v>
      </c>
      <c r="G669" t="s">
        <v>25</v>
      </c>
      <c r="H669" t="s">
        <v>26</v>
      </c>
      <c r="I669">
        <v>7272485</v>
      </c>
      <c r="J669" t="s">
        <v>27</v>
      </c>
      <c r="K669" t="s">
        <v>941</v>
      </c>
      <c r="L669" t="s">
        <v>21</v>
      </c>
    </row>
    <row r="670" spans="1:12">
      <c r="A670" t="s">
        <v>943</v>
      </c>
      <c r="B670" t="s">
        <v>916</v>
      </c>
      <c r="C670" t="s">
        <v>14</v>
      </c>
      <c r="D670">
        <v>1982</v>
      </c>
      <c r="E670" t="s">
        <v>29</v>
      </c>
      <c r="F670" t="s">
        <v>30</v>
      </c>
      <c r="G670" t="s">
        <v>31</v>
      </c>
      <c r="H670" t="s">
        <v>32</v>
      </c>
      <c r="I670">
        <v>624.47547840000004</v>
      </c>
      <c r="J670" t="s">
        <v>33</v>
      </c>
      <c r="K670" t="s">
        <v>941</v>
      </c>
      <c r="L670" t="s">
        <v>21</v>
      </c>
    </row>
    <row r="671" spans="1:12">
      <c r="A671" t="s">
        <v>944</v>
      </c>
      <c r="B671" t="s">
        <v>916</v>
      </c>
      <c r="C671" t="s">
        <v>14</v>
      </c>
      <c r="D671">
        <v>1987</v>
      </c>
      <c r="E671" t="s">
        <v>15</v>
      </c>
      <c r="F671" t="s">
        <v>16</v>
      </c>
      <c r="G671" t="s">
        <v>17</v>
      </c>
      <c r="H671" t="s">
        <v>18</v>
      </c>
      <c r="I671">
        <v>53.914000000000001</v>
      </c>
      <c r="J671" t="s">
        <v>19</v>
      </c>
      <c r="K671" t="s">
        <v>945</v>
      </c>
      <c r="L671" t="s">
        <v>21</v>
      </c>
    </row>
    <row r="672" spans="1:12">
      <c r="A672" t="s">
        <v>946</v>
      </c>
      <c r="B672" t="s">
        <v>916</v>
      </c>
      <c r="C672" t="s">
        <v>14</v>
      </c>
      <c r="D672">
        <v>1987</v>
      </c>
      <c r="E672" t="s">
        <v>23</v>
      </c>
      <c r="F672" t="s">
        <v>24</v>
      </c>
      <c r="G672" t="s">
        <v>25</v>
      </c>
      <c r="H672" t="s">
        <v>26</v>
      </c>
      <c r="I672">
        <v>8371791</v>
      </c>
      <c r="J672" t="s">
        <v>27</v>
      </c>
      <c r="K672" t="s">
        <v>945</v>
      </c>
      <c r="L672" t="s">
        <v>21</v>
      </c>
    </row>
    <row r="673" spans="1:12">
      <c r="A673" t="s">
        <v>947</v>
      </c>
      <c r="B673" t="s">
        <v>916</v>
      </c>
      <c r="C673" t="s">
        <v>14</v>
      </c>
      <c r="D673">
        <v>1987</v>
      </c>
      <c r="E673" t="s">
        <v>29</v>
      </c>
      <c r="F673" t="s">
        <v>30</v>
      </c>
      <c r="G673" t="s">
        <v>31</v>
      </c>
      <c r="H673" t="s">
        <v>32</v>
      </c>
      <c r="I673">
        <v>683.89557319999994</v>
      </c>
      <c r="J673" t="s">
        <v>33</v>
      </c>
      <c r="K673" t="s">
        <v>945</v>
      </c>
      <c r="L673" t="s">
        <v>21</v>
      </c>
    </row>
    <row r="674" spans="1:12">
      <c r="A674" t="s">
        <v>948</v>
      </c>
      <c r="B674" t="s">
        <v>916</v>
      </c>
      <c r="C674" t="s">
        <v>14</v>
      </c>
      <c r="D674">
        <v>1992</v>
      </c>
      <c r="E674" t="s">
        <v>15</v>
      </c>
      <c r="F674" t="s">
        <v>16</v>
      </c>
      <c r="G674" t="s">
        <v>17</v>
      </c>
      <c r="H674" t="s">
        <v>18</v>
      </c>
      <c r="I674">
        <v>55.802999999999997</v>
      </c>
      <c r="J674" t="s">
        <v>19</v>
      </c>
      <c r="K674" t="s">
        <v>949</v>
      </c>
      <c r="L674" t="s">
        <v>21</v>
      </c>
    </row>
    <row r="675" spans="1:12">
      <c r="A675" t="s">
        <v>950</v>
      </c>
      <c r="B675" t="s">
        <v>916</v>
      </c>
      <c r="C675" t="s">
        <v>14</v>
      </c>
      <c r="D675">
        <v>1992</v>
      </c>
      <c r="E675" t="s">
        <v>23</v>
      </c>
      <c r="F675" t="s">
        <v>24</v>
      </c>
      <c r="G675" t="s">
        <v>25</v>
      </c>
      <c r="H675" t="s">
        <v>26</v>
      </c>
      <c r="I675">
        <v>10150094</v>
      </c>
      <c r="J675" t="s">
        <v>27</v>
      </c>
      <c r="K675" t="s">
        <v>949</v>
      </c>
      <c r="L675" t="s">
        <v>21</v>
      </c>
    </row>
    <row r="676" spans="1:12">
      <c r="A676" t="s">
        <v>951</v>
      </c>
      <c r="B676" t="s">
        <v>916</v>
      </c>
      <c r="C676" t="s">
        <v>14</v>
      </c>
      <c r="D676">
        <v>1992</v>
      </c>
      <c r="E676" t="s">
        <v>29</v>
      </c>
      <c r="F676" t="s">
        <v>30</v>
      </c>
      <c r="G676" t="s">
        <v>31</v>
      </c>
      <c r="H676" t="s">
        <v>32</v>
      </c>
      <c r="I676">
        <v>682.30317549999995</v>
      </c>
      <c r="J676" t="s">
        <v>33</v>
      </c>
      <c r="K676" t="s">
        <v>949</v>
      </c>
      <c r="L676" t="s">
        <v>21</v>
      </c>
    </row>
    <row r="677" spans="1:12">
      <c r="A677" t="s">
        <v>952</v>
      </c>
      <c r="B677" t="s">
        <v>916</v>
      </c>
      <c r="C677" t="s">
        <v>14</v>
      </c>
      <c r="D677">
        <v>1997</v>
      </c>
      <c r="E677" t="s">
        <v>15</v>
      </c>
      <c r="F677" t="s">
        <v>16</v>
      </c>
      <c r="G677" t="s">
        <v>17</v>
      </c>
      <c r="H677" t="s">
        <v>18</v>
      </c>
      <c r="I677">
        <v>56.533999999999999</v>
      </c>
      <c r="J677" t="s">
        <v>19</v>
      </c>
      <c r="K677" t="s">
        <v>953</v>
      </c>
      <c r="L677" t="s">
        <v>21</v>
      </c>
    </row>
    <row r="678" spans="1:12">
      <c r="A678" t="s">
        <v>954</v>
      </c>
      <c r="B678" t="s">
        <v>916</v>
      </c>
      <c r="C678" t="s">
        <v>14</v>
      </c>
      <c r="D678">
        <v>1997</v>
      </c>
      <c r="E678" t="s">
        <v>23</v>
      </c>
      <c r="F678" t="s">
        <v>24</v>
      </c>
      <c r="G678" t="s">
        <v>25</v>
      </c>
      <c r="H678" t="s">
        <v>26</v>
      </c>
      <c r="I678">
        <v>11782962</v>
      </c>
      <c r="J678" t="s">
        <v>27</v>
      </c>
      <c r="K678" t="s">
        <v>953</v>
      </c>
      <c r="L678" t="s">
        <v>21</v>
      </c>
    </row>
    <row r="679" spans="1:12">
      <c r="A679" t="s">
        <v>955</v>
      </c>
      <c r="B679" t="s">
        <v>916</v>
      </c>
      <c r="C679" t="s">
        <v>14</v>
      </c>
      <c r="D679">
        <v>1997</v>
      </c>
      <c r="E679" t="s">
        <v>29</v>
      </c>
      <c r="F679" t="s">
        <v>30</v>
      </c>
      <c r="G679" t="s">
        <v>31</v>
      </c>
      <c r="H679" t="s">
        <v>32</v>
      </c>
      <c r="I679">
        <v>734.28516999999999</v>
      </c>
      <c r="J679" t="s">
        <v>33</v>
      </c>
      <c r="K679" t="s">
        <v>953</v>
      </c>
      <c r="L679" t="s">
        <v>21</v>
      </c>
    </row>
    <row r="680" spans="1:12">
      <c r="A680" t="s">
        <v>956</v>
      </c>
      <c r="B680" t="s">
        <v>916</v>
      </c>
      <c r="C680" t="s">
        <v>14</v>
      </c>
      <c r="D680">
        <v>2002</v>
      </c>
      <c r="E680" t="s">
        <v>15</v>
      </c>
      <c r="F680" t="s">
        <v>16</v>
      </c>
      <c r="G680" t="s">
        <v>17</v>
      </c>
      <c r="H680" t="s">
        <v>18</v>
      </c>
      <c r="I680">
        <v>56.752000000000002</v>
      </c>
      <c r="J680" t="s">
        <v>19</v>
      </c>
      <c r="K680" t="s">
        <v>957</v>
      </c>
      <c r="L680" t="s">
        <v>21</v>
      </c>
    </row>
    <row r="681" spans="1:12">
      <c r="A681" t="s">
        <v>958</v>
      </c>
      <c r="B681" t="s">
        <v>916</v>
      </c>
      <c r="C681" t="s">
        <v>14</v>
      </c>
      <c r="D681">
        <v>2002</v>
      </c>
      <c r="E681" t="s">
        <v>23</v>
      </c>
      <c r="F681" t="s">
        <v>24</v>
      </c>
      <c r="G681" t="s">
        <v>25</v>
      </c>
      <c r="H681" t="s">
        <v>26</v>
      </c>
      <c r="I681">
        <v>12926707</v>
      </c>
      <c r="J681" t="s">
        <v>27</v>
      </c>
      <c r="K681" t="s">
        <v>957</v>
      </c>
      <c r="L681" t="s">
        <v>21</v>
      </c>
    </row>
    <row r="682" spans="1:12">
      <c r="A682" t="s">
        <v>959</v>
      </c>
      <c r="B682" t="s">
        <v>916</v>
      </c>
      <c r="C682" t="s">
        <v>14</v>
      </c>
      <c r="D682">
        <v>2002</v>
      </c>
      <c r="E682" t="s">
        <v>29</v>
      </c>
      <c r="F682" t="s">
        <v>30</v>
      </c>
      <c r="G682" t="s">
        <v>31</v>
      </c>
      <c r="H682" t="s">
        <v>32</v>
      </c>
      <c r="I682">
        <v>896.22601529999895</v>
      </c>
      <c r="J682" t="s">
        <v>33</v>
      </c>
      <c r="K682" t="s">
        <v>957</v>
      </c>
      <c r="L682" t="s">
        <v>21</v>
      </c>
    </row>
    <row r="683" spans="1:12">
      <c r="A683" t="s">
        <v>960</v>
      </c>
      <c r="B683" t="s">
        <v>916</v>
      </c>
      <c r="C683" t="s">
        <v>14</v>
      </c>
      <c r="D683">
        <v>2007</v>
      </c>
      <c r="E683" t="s">
        <v>15</v>
      </c>
      <c r="F683" t="s">
        <v>16</v>
      </c>
      <c r="G683" t="s">
        <v>17</v>
      </c>
      <c r="H683" t="s">
        <v>18</v>
      </c>
      <c r="I683">
        <v>59.722999999999999</v>
      </c>
      <c r="J683" t="s">
        <v>19</v>
      </c>
      <c r="K683" t="s">
        <v>961</v>
      </c>
      <c r="L683" t="s">
        <v>21</v>
      </c>
    </row>
    <row r="684" spans="1:12">
      <c r="A684" t="s">
        <v>962</v>
      </c>
      <c r="B684" t="s">
        <v>916</v>
      </c>
      <c r="C684" t="s">
        <v>14</v>
      </c>
      <c r="D684">
        <v>2007</v>
      </c>
      <c r="E684" t="s">
        <v>23</v>
      </c>
      <c r="F684" t="s">
        <v>24</v>
      </c>
      <c r="G684" t="s">
        <v>25</v>
      </c>
      <c r="H684" t="s">
        <v>26</v>
      </c>
      <c r="I684">
        <v>14131858</v>
      </c>
      <c r="J684" t="s">
        <v>27</v>
      </c>
      <c r="K684" t="s">
        <v>961</v>
      </c>
      <c r="L684" t="s">
        <v>21</v>
      </c>
    </row>
    <row r="685" spans="1:12">
      <c r="A685" t="s">
        <v>963</v>
      </c>
      <c r="B685" t="s">
        <v>916</v>
      </c>
      <c r="C685" t="s">
        <v>14</v>
      </c>
      <c r="D685">
        <v>2007</v>
      </c>
      <c r="E685" t="s">
        <v>29</v>
      </c>
      <c r="F685" t="s">
        <v>30</v>
      </c>
      <c r="G685" t="s">
        <v>31</v>
      </c>
      <c r="H685" t="s">
        <v>32</v>
      </c>
      <c r="I685">
        <v>1713.7786860000001</v>
      </c>
      <c r="J685" t="s">
        <v>33</v>
      </c>
      <c r="K685" t="s">
        <v>961</v>
      </c>
      <c r="L685" t="s">
        <v>21</v>
      </c>
    </row>
    <row r="686" spans="1:12">
      <c r="A686" t="s">
        <v>964</v>
      </c>
      <c r="B686" t="s">
        <v>965</v>
      </c>
      <c r="C686" t="s">
        <v>130</v>
      </c>
      <c r="D686">
        <v>1952</v>
      </c>
      <c r="E686" t="s">
        <v>15</v>
      </c>
      <c r="F686" t="s">
        <v>16</v>
      </c>
      <c r="G686" t="s">
        <v>17</v>
      </c>
      <c r="H686" t="s">
        <v>18</v>
      </c>
      <c r="I686">
        <v>38.523000000000003</v>
      </c>
      <c r="J686" t="s">
        <v>19</v>
      </c>
      <c r="K686" t="s">
        <v>966</v>
      </c>
      <c r="L686" t="s">
        <v>21</v>
      </c>
    </row>
    <row r="687" spans="1:12">
      <c r="A687" t="s">
        <v>967</v>
      </c>
      <c r="B687" t="s">
        <v>965</v>
      </c>
      <c r="C687" t="s">
        <v>130</v>
      </c>
      <c r="D687">
        <v>1952</v>
      </c>
      <c r="E687" t="s">
        <v>23</v>
      </c>
      <c r="F687" t="s">
        <v>24</v>
      </c>
      <c r="G687" t="s">
        <v>25</v>
      </c>
      <c r="H687" t="s">
        <v>26</v>
      </c>
      <c r="I687">
        <v>5009067</v>
      </c>
      <c r="J687" t="s">
        <v>27</v>
      </c>
      <c r="K687" t="s">
        <v>966</v>
      </c>
      <c r="L687" t="s">
        <v>21</v>
      </c>
    </row>
    <row r="688" spans="1:12">
      <c r="A688" t="s">
        <v>968</v>
      </c>
      <c r="B688" t="s">
        <v>965</v>
      </c>
      <c r="C688" t="s">
        <v>130</v>
      </c>
      <c r="D688">
        <v>1952</v>
      </c>
      <c r="E688" t="s">
        <v>29</v>
      </c>
      <c r="F688" t="s">
        <v>30</v>
      </c>
      <c r="G688" t="s">
        <v>31</v>
      </c>
      <c r="H688" t="s">
        <v>32</v>
      </c>
      <c r="I688">
        <v>1172.667655</v>
      </c>
      <c r="J688" t="s">
        <v>33</v>
      </c>
      <c r="K688" t="s">
        <v>966</v>
      </c>
      <c r="L688" t="s">
        <v>21</v>
      </c>
    </row>
    <row r="689" spans="1:12">
      <c r="A689" t="s">
        <v>969</v>
      </c>
      <c r="B689" t="s">
        <v>965</v>
      </c>
      <c r="C689" t="s">
        <v>130</v>
      </c>
      <c r="D689">
        <v>1957</v>
      </c>
      <c r="E689" t="s">
        <v>15</v>
      </c>
      <c r="F689" t="s">
        <v>16</v>
      </c>
      <c r="G689" t="s">
        <v>17</v>
      </c>
      <c r="H689" t="s">
        <v>18</v>
      </c>
      <c r="I689">
        <v>40.427999999999997</v>
      </c>
      <c r="J689" t="s">
        <v>19</v>
      </c>
      <c r="K689" t="s">
        <v>970</v>
      </c>
      <c r="L689" t="s">
        <v>21</v>
      </c>
    </row>
    <row r="690" spans="1:12">
      <c r="A690" t="s">
        <v>971</v>
      </c>
      <c r="B690" t="s">
        <v>965</v>
      </c>
      <c r="C690" t="s">
        <v>130</v>
      </c>
      <c r="D690">
        <v>1957</v>
      </c>
      <c r="E690" t="s">
        <v>23</v>
      </c>
      <c r="F690" t="s">
        <v>24</v>
      </c>
      <c r="G690" t="s">
        <v>25</v>
      </c>
      <c r="H690" t="s">
        <v>26</v>
      </c>
      <c r="I690">
        <v>5359923</v>
      </c>
      <c r="J690" t="s">
        <v>27</v>
      </c>
      <c r="K690" t="s">
        <v>970</v>
      </c>
      <c r="L690" t="s">
        <v>21</v>
      </c>
    </row>
    <row r="691" spans="1:12">
      <c r="A691" t="s">
        <v>972</v>
      </c>
      <c r="B691" t="s">
        <v>965</v>
      </c>
      <c r="C691" t="s">
        <v>130</v>
      </c>
      <c r="D691">
        <v>1957</v>
      </c>
      <c r="E691" t="s">
        <v>29</v>
      </c>
      <c r="F691" t="s">
        <v>30</v>
      </c>
      <c r="G691" t="s">
        <v>31</v>
      </c>
      <c r="H691" t="s">
        <v>32</v>
      </c>
      <c r="I691">
        <v>1313.0480990000001</v>
      </c>
      <c r="J691" t="s">
        <v>33</v>
      </c>
      <c r="K691" t="s">
        <v>970</v>
      </c>
      <c r="L691" t="s">
        <v>21</v>
      </c>
    </row>
    <row r="692" spans="1:12">
      <c r="A692" t="s">
        <v>973</v>
      </c>
      <c r="B692" t="s">
        <v>965</v>
      </c>
      <c r="C692" t="s">
        <v>130</v>
      </c>
      <c r="D692">
        <v>1962</v>
      </c>
      <c r="E692" t="s">
        <v>15</v>
      </c>
      <c r="F692" t="s">
        <v>16</v>
      </c>
      <c r="G692" t="s">
        <v>17</v>
      </c>
      <c r="H692" t="s">
        <v>18</v>
      </c>
      <c r="I692">
        <v>42.643000000000001</v>
      </c>
      <c r="J692" t="s">
        <v>19</v>
      </c>
      <c r="K692" t="s">
        <v>974</v>
      </c>
      <c r="L692" t="s">
        <v>21</v>
      </c>
    </row>
    <row r="693" spans="1:12">
      <c r="A693" t="s">
        <v>975</v>
      </c>
      <c r="B693" t="s">
        <v>965</v>
      </c>
      <c r="C693" t="s">
        <v>130</v>
      </c>
      <c r="D693">
        <v>1962</v>
      </c>
      <c r="E693" t="s">
        <v>23</v>
      </c>
      <c r="F693" t="s">
        <v>24</v>
      </c>
      <c r="G693" t="s">
        <v>25</v>
      </c>
      <c r="H693" t="s">
        <v>26</v>
      </c>
      <c r="I693">
        <v>5793633</v>
      </c>
      <c r="J693" t="s">
        <v>27</v>
      </c>
      <c r="K693" t="s">
        <v>974</v>
      </c>
      <c r="L693" t="s">
        <v>21</v>
      </c>
    </row>
    <row r="694" spans="1:12">
      <c r="A694" t="s">
        <v>976</v>
      </c>
      <c r="B694" t="s">
        <v>965</v>
      </c>
      <c r="C694" t="s">
        <v>130</v>
      </c>
      <c r="D694">
        <v>1962</v>
      </c>
      <c r="E694" t="s">
        <v>29</v>
      </c>
      <c r="F694" t="s">
        <v>30</v>
      </c>
      <c r="G694" t="s">
        <v>31</v>
      </c>
      <c r="H694" t="s">
        <v>32</v>
      </c>
      <c r="I694">
        <v>1399.6074410000001</v>
      </c>
      <c r="J694" t="s">
        <v>33</v>
      </c>
      <c r="K694" t="s">
        <v>974</v>
      </c>
      <c r="L694" t="s">
        <v>21</v>
      </c>
    </row>
    <row r="695" spans="1:12">
      <c r="A695" t="s">
        <v>977</v>
      </c>
      <c r="B695" t="s">
        <v>965</v>
      </c>
      <c r="C695" t="s">
        <v>130</v>
      </c>
      <c r="D695">
        <v>1967</v>
      </c>
      <c r="E695" t="s">
        <v>15</v>
      </c>
      <c r="F695" t="s">
        <v>16</v>
      </c>
      <c r="G695" t="s">
        <v>17</v>
      </c>
      <c r="H695" t="s">
        <v>18</v>
      </c>
      <c r="I695">
        <v>44.798999999999999</v>
      </c>
      <c r="J695" t="s">
        <v>19</v>
      </c>
      <c r="K695" t="s">
        <v>978</v>
      </c>
      <c r="L695" t="s">
        <v>21</v>
      </c>
    </row>
    <row r="696" spans="1:12">
      <c r="A696" t="s">
        <v>979</v>
      </c>
      <c r="B696" t="s">
        <v>965</v>
      </c>
      <c r="C696" t="s">
        <v>130</v>
      </c>
      <c r="D696">
        <v>1967</v>
      </c>
      <c r="E696" t="s">
        <v>23</v>
      </c>
      <c r="F696" t="s">
        <v>24</v>
      </c>
      <c r="G696" t="s">
        <v>25</v>
      </c>
      <c r="H696" t="s">
        <v>26</v>
      </c>
      <c r="I696">
        <v>6335506</v>
      </c>
      <c r="J696" t="s">
        <v>27</v>
      </c>
      <c r="K696" t="s">
        <v>978</v>
      </c>
      <c r="L696" t="s">
        <v>21</v>
      </c>
    </row>
    <row r="697" spans="1:12">
      <c r="A697" t="s">
        <v>980</v>
      </c>
      <c r="B697" t="s">
        <v>965</v>
      </c>
      <c r="C697" t="s">
        <v>130</v>
      </c>
      <c r="D697">
        <v>1967</v>
      </c>
      <c r="E697" t="s">
        <v>29</v>
      </c>
      <c r="F697" t="s">
        <v>30</v>
      </c>
      <c r="G697" t="s">
        <v>31</v>
      </c>
      <c r="H697" t="s">
        <v>32</v>
      </c>
      <c r="I697">
        <v>1508.4531480000001</v>
      </c>
      <c r="J697" t="s">
        <v>33</v>
      </c>
      <c r="K697" t="s">
        <v>978</v>
      </c>
      <c r="L697" t="s">
        <v>21</v>
      </c>
    </row>
    <row r="698" spans="1:12">
      <c r="A698" t="s">
        <v>981</v>
      </c>
      <c r="B698" t="s">
        <v>965</v>
      </c>
      <c r="C698" t="s">
        <v>130</v>
      </c>
      <c r="D698">
        <v>1972</v>
      </c>
      <c r="E698" t="s">
        <v>15</v>
      </c>
      <c r="F698" t="s">
        <v>16</v>
      </c>
      <c r="G698" t="s">
        <v>17</v>
      </c>
      <c r="H698" t="s">
        <v>18</v>
      </c>
      <c r="I698">
        <v>47.048999999999999</v>
      </c>
      <c r="J698" t="s">
        <v>19</v>
      </c>
      <c r="K698" t="s">
        <v>982</v>
      </c>
      <c r="L698" t="s">
        <v>21</v>
      </c>
    </row>
    <row r="699" spans="1:12">
      <c r="A699" t="s">
        <v>983</v>
      </c>
      <c r="B699" t="s">
        <v>965</v>
      </c>
      <c r="C699" t="s">
        <v>130</v>
      </c>
      <c r="D699">
        <v>1972</v>
      </c>
      <c r="E699" t="s">
        <v>23</v>
      </c>
      <c r="F699" t="s">
        <v>24</v>
      </c>
      <c r="G699" t="s">
        <v>25</v>
      </c>
      <c r="H699" t="s">
        <v>26</v>
      </c>
      <c r="I699">
        <v>7021028</v>
      </c>
      <c r="J699" t="s">
        <v>27</v>
      </c>
      <c r="K699" t="s">
        <v>982</v>
      </c>
      <c r="L699" t="s">
        <v>21</v>
      </c>
    </row>
    <row r="700" spans="1:12">
      <c r="A700" t="s">
        <v>984</v>
      </c>
      <c r="B700" t="s">
        <v>965</v>
      </c>
      <c r="C700" t="s">
        <v>130</v>
      </c>
      <c r="D700">
        <v>1972</v>
      </c>
      <c r="E700" t="s">
        <v>29</v>
      </c>
      <c r="F700" t="s">
        <v>30</v>
      </c>
      <c r="G700" t="s">
        <v>31</v>
      </c>
      <c r="H700" t="s">
        <v>32</v>
      </c>
      <c r="I700">
        <v>1684.146528</v>
      </c>
      <c r="J700" t="s">
        <v>33</v>
      </c>
      <c r="K700" t="s">
        <v>982</v>
      </c>
      <c r="L700" t="s">
        <v>21</v>
      </c>
    </row>
    <row r="701" spans="1:12">
      <c r="A701" t="s">
        <v>985</v>
      </c>
      <c r="B701" t="s">
        <v>965</v>
      </c>
      <c r="C701" t="s">
        <v>130</v>
      </c>
      <c r="D701">
        <v>1977</v>
      </c>
      <c r="E701" t="s">
        <v>15</v>
      </c>
      <c r="F701" t="s">
        <v>16</v>
      </c>
      <c r="G701" t="s">
        <v>17</v>
      </c>
      <c r="H701" t="s">
        <v>18</v>
      </c>
      <c r="I701">
        <v>49.354999999999997</v>
      </c>
      <c r="J701" t="s">
        <v>19</v>
      </c>
      <c r="K701" t="s">
        <v>986</v>
      </c>
      <c r="L701" t="s">
        <v>21</v>
      </c>
    </row>
    <row r="702" spans="1:12">
      <c r="A702" t="s">
        <v>987</v>
      </c>
      <c r="B702" t="s">
        <v>965</v>
      </c>
      <c r="C702" t="s">
        <v>130</v>
      </c>
      <c r="D702">
        <v>1977</v>
      </c>
      <c r="E702" t="s">
        <v>23</v>
      </c>
      <c r="F702" t="s">
        <v>24</v>
      </c>
      <c r="G702" t="s">
        <v>25</v>
      </c>
      <c r="H702" t="s">
        <v>26</v>
      </c>
      <c r="I702">
        <v>7959865</v>
      </c>
      <c r="J702" t="s">
        <v>27</v>
      </c>
      <c r="K702" t="s">
        <v>986</v>
      </c>
      <c r="L702" t="s">
        <v>21</v>
      </c>
    </row>
    <row r="703" spans="1:12">
      <c r="A703" t="s">
        <v>988</v>
      </c>
      <c r="B703" t="s">
        <v>965</v>
      </c>
      <c r="C703" t="s">
        <v>130</v>
      </c>
      <c r="D703">
        <v>1977</v>
      </c>
      <c r="E703" t="s">
        <v>29</v>
      </c>
      <c r="F703" t="s">
        <v>30</v>
      </c>
      <c r="G703" t="s">
        <v>31</v>
      </c>
      <c r="H703" t="s">
        <v>32</v>
      </c>
      <c r="I703">
        <v>1783.432873</v>
      </c>
      <c r="J703" t="s">
        <v>33</v>
      </c>
      <c r="K703" t="s">
        <v>986</v>
      </c>
      <c r="L703" t="s">
        <v>21</v>
      </c>
    </row>
    <row r="704" spans="1:12">
      <c r="A704" t="s">
        <v>989</v>
      </c>
      <c r="B704" t="s">
        <v>965</v>
      </c>
      <c r="C704" t="s">
        <v>130</v>
      </c>
      <c r="D704">
        <v>1982</v>
      </c>
      <c r="E704" t="s">
        <v>15</v>
      </c>
      <c r="F704" t="s">
        <v>16</v>
      </c>
      <c r="G704" t="s">
        <v>17</v>
      </c>
      <c r="H704" t="s">
        <v>18</v>
      </c>
      <c r="I704">
        <v>52.960999999999999</v>
      </c>
      <c r="J704" t="s">
        <v>19</v>
      </c>
      <c r="K704" t="s">
        <v>990</v>
      </c>
      <c r="L704" t="s">
        <v>21</v>
      </c>
    </row>
    <row r="705" spans="1:12">
      <c r="A705" t="s">
        <v>991</v>
      </c>
      <c r="B705" t="s">
        <v>965</v>
      </c>
      <c r="C705" t="s">
        <v>130</v>
      </c>
      <c r="D705">
        <v>1982</v>
      </c>
      <c r="E705" t="s">
        <v>23</v>
      </c>
      <c r="F705" t="s">
        <v>24</v>
      </c>
      <c r="G705" t="s">
        <v>25</v>
      </c>
      <c r="H705" t="s">
        <v>26</v>
      </c>
      <c r="I705">
        <v>9250831</v>
      </c>
      <c r="J705" t="s">
        <v>27</v>
      </c>
      <c r="K705" t="s">
        <v>990</v>
      </c>
      <c r="L705" t="s">
        <v>21</v>
      </c>
    </row>
    <row r="706" spans="1:12">
      <c r="A706" t="s">
        <v>992</v>
      </c>
      <c r="B706" t="s">
        <v>965</v>
      </c>
      <c r="C706" t="s">
        <v>130</v>
      </c>
      <c r="D706">
        <v>1982</v>
      </c>
      <c r="E706" t="s">
        <v>29</v>
      </c>
      <c r="F706" t="s">
        <v>30</v>
      </c>
      <c r="G706" t="s">
        <v>31</v>
      </c>
      <c r="H706" t="s">
        <v>32</v>
      </c>
      <c r="I706">
        <v>2367.9832820000001</v>
      </c>
      <c r="J706" t="s">
        <v>33</v>
      </c>
      <c r="K706" t="s">
        <v>990</v>
      </c>
      <c r="L706" t="s">
        <v>21</v>
      </c>
    </row>
    <row r="707" spans="1:12">
      <c r="A707" t="s">
        <v>993</v>
      </c>
      <c r="B707" t="s">
        <v>965</v>
      </c>
      <c r="C707" t="s">
        <v>130</v>
      </c>
      <c r="D707">
        <v>1987</v>
      </c>
      <c r="E707" t="s">
        <v>15</v>
      </c>
      <c r="F707" t="s">
        <v>16</v>
      </c>
      <c r="G707" t="s">
        <v>17</v>
      </c>
      <c r="H707" t="s">
        <v>18</v>
      </c>
      <c r="I707">
        <v>54.984999999999999</v>
      </c>
      <c r="J707" t="s">
        <v>19</v>
      </c>
      <c r="K707" t="s">
        <v>994</v>
      </c>
      <c r="L707" t="s">
        <v>21</v>
      </c>
    </row>
    <row r="708" spans="1:12">
      <c r="A708" t="s">
        <v>995</v>
      </c>
      <c r="B708" t="s">
        <v>965</v>
      </c>
      <c r="C708" t="s">
        <v>130</v>
      </c>
      <c r="D708">
        <v>1987</v>
      </c>
      <c r="E708" t="s">
        <v>23</v>
      </c>
      <c r="F708" t="s">
        <v>24</v>
      </c>
      <c r="G708" t="s">
        <v>25</v>
      </c>
      <c r="H708" t="s">
        <v>26</v>
      </c>
      <c r="I708">
        <v>10780667</v>
      </c>
      <c r="J708" t="s">
        <v>27</v>
      </c>
      <c r="K708" t="s">
        <v>994</v>
      </c>
      <c r="L708" t="s">
        <v>21</v>
      </c>
    </row>
    <row r="709" spans="1:12">
      <c r="A709" t="s">
        <v>996</v>
      </c>
      <c r="B709" t="s">
        <v>965</v>
      </c>
      <c r="C709" t="s">
        <v>130</v>
      </c>
      <c r="D709">
        <v>1987</v>
      </c>
      <c r="E709" t="s">
        <v>29</v>
      </c>
      <c r="F709" t="s">
        <v>30</v>
      </c>
      <c r="G709" t="s">
        <v>31</v>
      </c>
      <c r="H709" t="s">
        <v>32</v>
      </c>
      <c r="I709">
        <v>2602.6642059999999</v>
      </c>
      <c r="J709" t="s">
        <v>33</v>
      </c>
      <c r="K709" t="s">
        <v>994</v>
      </c>
      <c r="L709" t="s">
        <v>21</v>
      </c>
    </row>
    <row r="710" spans="1:12">
      <c r="A710" t="s">
        <v>997</v>
      </c>
      <c r="B710" t="s">
        <v>965</v>
      </c>
      <c r="C710" t="s">
        <v>130</v>
      </c>
      <c r="D710">
        <v>1992</v>
      </c>
      <c r="E710" t="s">
        <v>15</v>
      </c>
      <c r="F710" t="s">
        <v>16</v>
      </c>
      <c r="G710" t="s">
        <v>17</v>
      </c>
      <c r="H710" t="s">
        <v>18</v>
      </c>
      <c r="I710">
        <v>54.313999999999901</v>
      </c>
      <c r="J710" t="s">
        <v>19</v>
      </c>
      <c r="K710" t="s">
        <v>998</v>
      </c>
      <c r="L710" t="s">
        <v>21</v>
      </c>
    </row>
    <row r="711" spans="1:12">
      <c r="A711" t="s">
        <v>999</v>
      </c>
      <c r="B711" t="s">
        <v>965</v>
      </c>
      <c r="C711" t="s">
        <v>130</v>
      </c>
      <c r="D711">
        <v>1992</v>
      </c>
      <c r="E711" t="s">
        <v>23</v>
      </c>
      <c r="F711" t="s">
        <v>24</v>
      </c>
      <c r="G711" t="s">
        <v>25</v>
      </c>
      <c r="H711" t="s">
        <v>26</v>
      </c>
      <c r="I711">
        <v>12467171</v>
      </c>
      <c r="J711" t="s">
        <v>27</v>
      </c>
      <c r="K711" t="s">
        <v>998</v>
      </c>
      <c r="L711" t="s">
        <v>21</v>
      </c>
    </row>
    <row r="712" spans="1:12">
      <c r="A712" t="s">
        <v>1000</v>
      </c>
      <c r="B712" t="s">
        <v>965</v>
      </c>
      <c r="C712" t="s">
        <v>130</v>
      </c>
      <c r="D712">
        <v>1992</v>
      </c>
      <c r="E712" t="s">
        <v>29</v>
      </c>
      <c r="F712" t="s">
        <v>30</v>
      </c>
      <c r="G712" t="s">
        <v>31</v>
      </c>
      <c r="H712" t="s">
        <v>32</v>
      </c>
      <c r="I712">
        <v>1793.163278</v>
      </c>
      <c r="J712" t="s">
        <v>33</v>
      </c>
      <c r="K712" t="s">
        <v>998</v>
      </c>
      <c r="L712" t="s">
        <v>21</v>
      </c>
    </row>
    <row r="713" spans="1:12">
      <c r="A713" t="s">
        <v>1001</v>
      </c>
      <c r="B713" t="s">
        <v>965</v>
      </c>
      <c r="C713" t="s">
        <v>130</v>
      </c>
      <c r="D713">
        <v>1997</v>
      </c>
      <c r="E713" t="s">
        <v>15</v>
      </c>
      <c r="F713" t="s">
        <v>16</v>
      </c>
      <c r="G713" t="s">
        <v>17</v>
      </c>
      <c r="H713" t="s">
        <v>18</v>
      </c>
      <c r="I713">
        <v>52.198999999999998</v>
      </c>
      <c r="J713" t="s">
        <v>19</v>
      </c>
      <c r="K713" t="s">
        <v>1002</v>
      </c>
      <c r="L713" t="s">
        <v>21</v>
      </c>
    </row>
    <row r="714" spans="1:12">
      <c r="A714" t="s">
        <v>1003</v>
      </c>
      <c r="B714" t="s">
        <v>965</v>
      </c>
      <c r="C714" t="s">
        <v>130</v>
      </c>
      <c r="D714">
        <v>1997</v>
      </c>
      <c r="E714" t="s">
        <v>23</v>
      </c>
      <c r="F714" t="s">
        <v>24</v>
      </c>
      <c r="G714" t="s">
        <v>25</v>
      </c>
      <c r="H714" t="s">
        <v>26</v>
      </c>
      <c r="I714">
        <v>14195809</v>
      </c>
      <c r="J714" t="s">
        <v>27</v>
      </c>
      <c r="K714" t="s">
        <v>1002</v>
      </c>
      <c r="L714" t="s">
        <v>21</v>
      </c>
    </row>
    <row r="715" spans="1:12">
      <c r="A715" t="s">
        <v>1004</v>
      </c>
      <c r="B715" t="s">
        <v>965</v>
      </c>
      <c r="C715" t="s">
        <v>130</v>
      </c>
      <c r="D715">
        <v>1997</v>
      </c>
      <c r="E715" t="s">
        <v>29</v>
      </c>
      <c r="F715" t="s">
        <v>30</v>
      </c>
      <c r="G715" t="s">
        <v>31</v>
      </c>
      <c r="H715" t="s">
        <v>32</v>
      </c>
      <c r="I715">
        <v>1694.3374690000001</v>
      </c>
      <c r="J715" t="s">
        <v>33</v>
      </c>
      <c r="K715" t="s">
        <v>1002</v>
      </c>
      <c r="L715" t="s">
        <v>21</v>
      </c>
    </row>
    <row r="716" spans="1:12">
      <c r="A716" t="s">
        <v>1005</v>
      </c>
      <c r="B716" t="s">
        <v>965</v>
      </c>
      <c r="C716" t="s">
        <v>130</v>
      </c>
      <c r="D716">
        <v>2002</v>
      </c>
      <c r="E716" t="s">
        <v>15</v>
      </c>
      <c r="F716" t="s">
        <v>16</v>
      </c>
      <c r="G716" t="s">
        <v>17</v>
      </c>
      <c r="H716" t="s">
        <v>18</v>
      </c>
      <c r="I716">
        <v>49.856000000000002</v>
      </c>
      <c r="J716" t="s">
        <v>19</v>
      </c>
      <c r="K716" t="s">
        <v>1006</v>
      </c>
      <c r="L716" t="s">
        <v>21</v>
      </c>
    </row>
    <row r="717" spans="1:12">
      <c r="A717" t="s">
        <v>1007</v>
      </c>
      <c r="B717" t="s">
        <v>965</v>
      </c>
      <c r="C717" t="s">
        <v>130</v>
      </c>
      <c r="D717">
        <v>2002</v>
      </c>
      <c r="E717" t="s">
        <v>23</v>
      </c>
      <c r="F717" t="s">
        <v>24</v>
      </c>
      <c r="G717" t="s">
        <v>25</v>
      </c>
      <c r="H717" t="s">
        <v>26</v>
      </c>
      <c r="I717">
        <v>15929988</v>
      </c>
      <c r="J717" t="s">
        <v>27</v>
      </c>
      <c r="K717" t="s">
        <v>1006</v>
      </c>
      <c r="L717" t="s">
        <v>21</v>
      </c>
    </row>
    <row r="718" spans="1:12">
      <c r="A718" t="s">
        <v>1008</v>
      </c>
      <c r="B718" t="s">
        <v>965</v>
      </c>
      <c r="C718" t="s">
        <v>130</v>
      </c>
      <c r="D718">
        <v>2002</v>
      </c>
      <c r="E718" t="s">
        <v>29</v>
      </c>
      <c r="F718" t="s">
        <v>30</v>
      </c>
      <c r="G718" t="s">
        <v>31</v>
      </c>
      <c r="H718" t="s">
        <v>32</v>
      </c>
      <c r="I718">
        <v>1934.0114490000001</v>
      </c>
      <c r="J718" t="s">
        <v>33</v>
      </c>
      <c r="K718" t="s">
        <v>1006</v>
      </c>
      <c r="L718" t="s">
        <v>21</v>
      </c>
    </row>
    <row r="719" spans="1:12">
      <c r="A719" t="s">
        <v>1009</v>
      </c>
      <c r="B719" t="s">
        <v>965</v>
      </c>
      <c r="C719" t="s">
        <v>130</v>
      </c>
      <c r="D719">
        <v>2007</v>
      </c>
      <c r="E719" t="s">
        <v>15</v>
      </c>
      <c r="F719" t="s">
        <v>16</v>
      </c>
      <c r="G719" t="s">
        <v>17</v>
      </c>
      <c r="H719" t="s">
        <v>18</v>
      </c>
      <c r="I719">
        <v>50.43</v>
      </c>
      <c r="J719" t="s">
        <v>19</v>
      </c>
      <c r="K719" t="s">
        <v>1010</v>
      </c>
      <c r="L719" t="s">
        <v>21</v>
      </c>
    </row>
    <row r="720" spans="1:12">
      <c r="A720" t="s">
        <v>1011</v>
      </c>
      <c r="B720" t="s">
        <v>965</v>
      </c>
      <c r="C720" t="s">
        <v>130</v>
      </c>
      <c r="D720">
        <v>2007</v>
      </c>
      <c r="E720" t="s">
        <v>23</v>
      </c>
      <c r="F720" t="s">
        <v>24</v>
      </c>
      <c r="G720" t="s">
        <v>25</v>
      </c>
      <c r="H720" t="s">
        <v>26</v>
      </c>
      <c r="I720">
        <v>17696293</v>
      </c>
      <c r="J720" t="s">
        <v>27</v>
      </c>
      <c r="K720" t="s">
        <v>1010</v>
      </c>
      <c r="L720" t="s">
        <v>21</v>
      </c>
    </row>
    <row r="721" spans="1:12">
      <c r="A721" t="s">
        <v>1012</v>
      </c>
      <c r="B721" t="s">
        <v>965</v>
      </c>
      <c r="C721" t="s">
        <v>130</v>
      </c>
      <c r="D721">
        <v>2007</v>
      </c>
      <c r="E721" t="s">
        <v>29</v>
      </c>
      <c r="F721" t="s">
        <v>30</v>
      </c>
      <c r="G721" t="s">
        <v>31</v>
      </c>
      <c r="H721" t="s">
        <v>32</v>
      </c>
      <c r="I721">
        <v>2042.0952400000001</v>
      </c>
      <c r="J721" t="s">
        <v>33</v>
      </c>
      <c r="K721" t="s">
        <v>1010</v>
      </c>
      <c r="L721" t="s">
        <v>21</v>
      </c>
    </row>
    <row r="722" spans="1:12">
      <c r="A722" t="s">
        <v>1013</v>
      </c>
      <c r="B722" t="s">
        <v>1014</v>
      </c>
      <c r="C722" t="s">
        <v>229</v>
      </c>
      <c r="D722">
        <v>1952</v>
      </c>
      <c r="E722" t="s">
        <v>15</v>
      </c>
      <c r="F722" t="s">
        <v>16</v>
      </c>
      <c r="G722" t="s">
        <v>17</v>
      </c>
      <c r="H722" t="s">
        <v>18</v>
      </c>
      <c r="I722">
        <v>68.75</v>
      </c>
      <c r="J722" t="s">
        <v>19</v>
      </c>
      <c r="K722" t="s">
        <v>1015</v>
      </c>
      <c r="L722" t="s">
        <v>21</v>
      </c>
    </row>
    <row r="723" spans="1:12">
      <c r="A723" t="s">
        <v>1016</v>
      </c>
      <c r="B723" t="s">
        <v>1014</v>
      </c>
      <c r="C723" t="s">
        <v>229</v>
      </c>
      <c r="D723">
        <v>1952</v>
      </c>
      <c r="E723" t="s">
        <v>23</v>
      </c>
      <c r="F723" t="s">
        <v>24</v>
      </c>
      <c r="G723" t="s">
        <v>25</v>
      </c>
      <c r="H723" t="s">
        <v>26</v>
      </c>
      <c r="I723">
        <v>14785584</v>
      </c>
      <c r="J723" t="s">
        <v>27</v>
      </c>
      <c r="K723" t="s">
        <v>1015</v>
      </c>
      <c r="L723" t="s">
        <v>21</v>
      </c>
    </row>
    <row r="724" spans="1:12">
      <c r="A724" t="s">
        <v>1017</v>
      </c>
      <c r="B724" t="s">
        <v>1014</v>
      </c>
      <c r="C724" t="s">
        <v>229</v>
      </c>
      <c r="D724">
        <v>1952</v>
      </c>
      <c r="E724" t="s">
        <v>29</v>
      </c>
      <c r="F724" t="s">
        <v>30</v>
      </c>
      <c r="G724" t="s">
        <v>31</v>
      </c>
      <c r="H724" t="s">
        <v>32</v>
      </c>
      <c r="I724">
        <v>11367.161120000001</v>
      </c>
      <c r="J724" t="s">
        <v>33</v>
      </c>
      <c r="K724" t="s">
        <v>1015</v>
      </c>
      <c r="L724" t="s">
        <v>21</v>
      </c>
    </row>
    <row r="725" spans="1:12">
      <c r="A725" t="s">
        <v>1018</v>
      </c>
      <c r="B725" t="s">
        <v>1014</v>
      </c>
      <c r="C725" t="s">
        <v>229</v>
      </c>
      <c r="D725">
        <v>1957</v>
      </c>
      <c r="E725" t="s">
        <v>15</v>
      </c>
      <c r="F725" t="s">
        <v>16</v>
      </c>
      <c r="G725" t="s">
        <v>17</v>
      </c>
      <c r="H725" t="s">
        <v>18</v>
      </c>
      <c r="I725">
        <v>69.959999999999994</v>
      </c>
      <c r="J725" t="s">
        <v>19</v>
      </c>
      <c r="K725" t="s">
        <v>1019</v>
      </c>
      <c r="L725" t="s">
        <v>21</v>
      </c>
    </row>
    <row r="726" spans="1:12">
      <c r="A726" t="s">
        <v>1020</v>
      </c>
      <c r="B726" t="s">
        <v>1014</v>
      </c>
      <c r="C726" t="s">
        <v>229</v>
      </c>
      <c r="D726">
        <v>1957</v>
      </c>
      <c r="E726" t="s">
        <v>23</v>
      </c>
      <c r="F726" t="s">
        <v>24</v>
      </c>
      <c r="G726" t="s">
        <v>25</v>
      </c>
      <c r="H726" t="s">
        <v>26</v>
      </c>
      <c r="I726">
        <v>17010154</v>
      </c>
      <c r="J726" t="s">
        <v>27</v>
      </c>
      <c r="K726" t="s">
        <v>1019</v>
      </c>
      <c r="L726" t="s">
        <v>21</v>
      </c>
    </row>
    <row r="727" spans="1:12">
      <c r="A727" t="s">
        <v>1021</v>
      </c>
      <c r="B727" t="s">
        <v>1014</v>
      </c>
      <c r="C727" t="s">
        <v>229</v>
      </c>
      <c r="D727">
        <v>1957</v>
      </c>
      <c r="E727" t="s">
        <v>29</v>
      </c>
      <c r="F727" t="s">
        <v>30</v>
      </c>
      <c r="G727" t="s">
        <v>31</v>
      </c>
      <c r="H727" t="s">
        <v>32</v>
      </c>
      <c r="I727">
        <v>12489.950059999999</v>
      </c>
      <c r="J727" t="s">
        <v>33</v>
      </c>
      <c r="K727" t="s">
        <v>1019</v>
      </c>
      <c r="L727" t="s">
        <v>21</v>
      </c>
    </row>
    <row r="728" spans="1:12">
      <c r="A728" t="s">
        <v>1022</v>
      </c>
      <c r="B728" t="s">
        <v>1014</v>
      </c>
      <c r="C728" t="s">
        <v>229</v>
      </c>
      <c r="D728">
        <v>1962</v>
      </c>
      <c r="E728" t="s">
        <v>15</v>
      </c>
      <c r="F728" t="s">
        <v>16</v>
      </c>
      <c r="G728" t="s">
        <v>17</v>
      </c>
      <c r="H728" t="s">
        <v>18</v>
      </c>
      <c r="I728">
        <v>71.3</v>
      </c>
      <c r="J728" t="s">
        <v>19</v>
      </c>
      <c r="K728" t="s">
        <v>1023</v>
      </c>
      <c r="L728" t="s">
        <v>21</v>
      </c>
    </row>
    <row r="729" spans="1:12">
      <c r="A729" t="s">
        <v>1024</v>
      </c>
      <c r="B729" t="s">
        <v>1014</v>
      </c>
      <c r="C729" t="s">
        <v>229</v>
      </c>
      <c r="D729">
        <v>1962</v>
      </c>
      <c r="E729" t="s">
        <v>23</v>
      </c>
      <c r="F729" t="s">
        <v>24</v>
      </c>
      <c r="G729" t="s">
        <v>25</v>
      </c>
      <c r="H729" t="s">
        <v>26</v>
      </c>
      <c r="I729">
        <v>18985849</v>
      </c>
      <c r="J729" t="s">
        <v>27</v>
      </c>
      <c r="K729" t="s">
        <v>1023</v>
      </c>
      <c r="L729" t="s">
        <v>21</v>
      </c>
    </row>
    <row r="730" spans="1:12">
      <c r="A730" t="s">
        <v>1025</v>
      </c>
      <c r="B730" t="s">
        <v>1014</v>
      </c>
      <c r="C730" t="s">
        <v>229</v>
      </c>
      <c r="D730">
        <v>1962</v>
      </c>
      <c r="E730" t="s">
        <v>29</v>
      </c>
      <c r="F730" t="s">
        <v>30</v>
      </c>
      <c r="G730" t="s">
        <v>31</v>
      </c>
      <c r="H730" t="s">
        <v>32</v>
      </c>
      <c r="I730">
        <v>13462.485549999999</v>
      </c>
      <c r="J730" t="s">
        <v>33</v>
      </c>
      <c r="K730" t="s">
        <v>1023</v>
      </c>
      <c r="L730" t="s">
        <v>21</v>
      </c>
    </row>
    <row r="731" spans="1:12">
      <c r="A731" t="s">
        <v>1026</v>
      </c>
      <c r="B731" t="s">
        <v>1014</v>
      </c>
      <c r="C731" t="s">
        <v>229</v>
      </c>
      <c r="D731">
        <v>1967</v>
      </c>
      <c r="E731" t="s">
        <v>15</v>
      </c>
      <c r="F731" t="s">
        <v>16</v>
      </c>
      <c r="G731" t="s">
        <v>17</v>
      </c>
      <c r="H731" t="s">
        <v>18</v>
      </c>
      <c r="I731">
        <v>72.13</v>
      </c>
      <c r="J731" t="s">
        <v>19</v>
      </c>
      <c r="K731" t="s">
        <v>1027</v>
      </c>
      <c r="L731" t="s">
        <v>21</v>
      </c>
    </row>
    <row r="732" spans="1:12">
      <c r="A732" t="s">
        <v>1028</v>
      </c>
      <c r="B732" t="s">
        <v>1014</v>
      </c>
      <c r="C732" t="s">
        <v>229</v>
      </c>
      <c r="D732">
        <v>1967</v>
      </c>
      <c r="E732" t="s">
        <v>23</v>
      </c>
      <c r="F732" t="s">
        <v>24</v>
      </c>
      <c r="G732" t="s">
        <v>25</v>
      </c>
      <c r="H732" t="s">
        <v>26</v>
      </c>
      <c r="I732">
        <v>20819767</v>
      </c>
      <c r="J732" t="s">
        <v>27</v>
      </c>
      <c r="K732" t="s">
        <v>1027</v>
      </c>
      <c r="L732" t="s">
        <v>21</v>
      </c>
    </row>
    <row r="733" spans="1:12">
      <c r="A733" t="s">
        <v>1029</v>
      </c>
      <c r="B733" t="s">
        <v>1014</v>
      </c>
      <c r="C733" t="s">
        <v>229</v>
      </c>
      <c r="D733">
        <v>1967</v>
      </c>
      <c r="E733" t="s">
        <v>29</v>
      </c>
      <c r="F733" t="s">
        <v>30</v>
      </c>
      <c r="G733" t="s">
        <v>31</v>
      </c>
      <c r="H733" t="s">
        <v>32</v>
      </c>
      <c r="I733">
        <v>16076.588030000001</v>
      </c>
      <c r="J733" t="s">
        <v>33</v>
      </c>
      <c r="K733" t="s">
        <v>1027</v>
      </c>
      <c r="L733" t="s">
        <v>21</v>
      </c>
    </row>
    <row r="734" spans="1:12">
      <c r="A734" t="s">
        <v>1030</v>
      </c>
      <c r="B734" t="s">
        <v>1014</v>
      </c>
      <c r="C734" t="s">
        <v>229</v>
      </c>
      <c r="D734">
        <v>1972</v>
      </c>
      <c r="E734" t="s">
        <v>15</v>
      </c>
      <c r="F734" t="s">
        <v>16</v>
      </c>
      <c r="G734" t="s">
        <v>17</v>
      </c>
      <c r="H734" t="s">
        <v>18</v>
      </c>
      <c r="I734">
        <v>72.88</v>
      </c>
      <c r="J734" t="s">
        <v>19</v>
      </c>
      <c r="K734" t="s">
        <v>1031</v>
      </c>
      <c r="L734" t="s">
        <v>21</v>
      </c>
    </row>
    <row r="735" spans="1:12">
      <c r="A735" t="s">
        <v>1032</v>
      </c>
      <c r="B735" t="s">
        <v>1014</v>
      </c>
      <c r="C735" t="s">
        <v>229</v>
      </c>
      <c r="D735">
        <v>1972</v>
      </c>
      <c r="E735" t="s">
        <v>23</v>
      </c>
      <c r="F735" t="s">
        <v>24</v>
      </c>
      <c r="G735" t="s">
        <v>25</v>
      </c>
      <c r="H735" t="s">
        <v>26</v>
      </c>
      <c r="I735">
        <v>22284500</v>
      </c>
      <c r="J735" t="s">
        <v>27</v>
      </c>
      <c r="K735" t="s">
        <v>1031</v>
      </c>
      <c r="L735" t="s">
        <v>21</v>
      </c>
    </row>
    <row r="736" spans="1:12">
      <c r="A736" t="s">
        <v>1033</v>
      </c>
      <c r="B736" t="s">
        <v>1014</v>
      </c>
      <c r="C736" t="s">
        <v>229</v>
      </c>
      <c r="D736">
        <v>1972</v>
      </c>
      <c r="E736" t="s">
        <v>29</v>
      </c>
      <c r="F736" t="s">
        <v>30</v>
      </c>
      <c r="G736" t="s">
        <v>31</v>
      </c>
      <c r="H736" t="s">
        <v>32</v>
      </c>
      <c r="I736">
        <v>18970.57086</v>
      </c>
      <c r="J736" t="s">
        <v>33</v>
      </c>
      <c r="K736" t="s">
        <v>1031</v>
      </c>
      <c r="L736" t="s">
        <v>21</v>
      </c>
    </row>
    <row r="737" spans="1:12">
      <c r="A737" t="s">
        <v>1034</v>
      </c>
      <c r="B737" t="s">
        <v>1014</v>
      </c>
      <c r="C737" t="s">
        <v>229</v>
      </c>
      <c r="D737">
        <v>1977</v>
      </c>
      <c r="E737" t="s">
        <v>15</v>
      </c>
      <c r="F737" t="s">
        <v>16</v>
      </c>
      <c r="G737" t="s">
        <v>17</v>
      </c>
      <c r="H737" t="s">
        <v>18</v>
      </c>
      <c r="I737">
        <v>74.209999999999994</v>
      </c>
      <c r="J737" t="s">
        <v>19</v>
      </c>
      <c r="K737" t="s">
        <v>1035</v>
      </c>
      <c r="L737" t="s">
        <v>21</v>
      </c>
    </row>
    <row r="738" spans="1:12">
      <c r="A738" t="s">
        <v>1036</v>
      </c>
      <c r="B738" t="s">
        <v>1014</v>
      </c>
      <c r="C738" t="s">
        <v>229</v>
      </c>
      <c r="D738">
        <v>1977</v>
      </c>
      <c r="E738" t="s">
        <v>23</v>
      </c>
      <c r="F738" t="s">
        <v>24</v>
      </c>
      <c r="G738" t="s">
        <v>25</v>
      </c>
      <c r="H738" t="s">
        <v>26</v>
      </c>
      <c r="I738">
        <v>23796400</v>
      </c>
      <c r="J738" t="s">
        <v>27</v>
      </c>
      <c r="K738" t="s">
        <v>1035</v>
      </c>
      <c r="L738" t="s">
        <v>21</v>
      </c>
    </row>
    <row r="739" spans="1:12">
      <c r="A739" t="s">
        <v>1037</v>
      </c>
      <c r="B739" t="s">
        <v>1014</v>
      </c>
      <c r="C739" t="s">
        <v>229</v>
      </c>
      <c r="D739">
        <v>1977</v>
      </c>
      <c r="E739" t="s">
        <v>29</v>
      </c>
      <c r="F739" t="s">
        <v>30</v>
      </c>
      <c r="G739" t="s">
        <v>31</v>
      </c>
      <c r="H739" t="s">
        <v>32</v>
      </c>
      <c r="I739">
        <v>22090.88306</v>
      </c>
      <c r="J739" t="s">
        <v>33</v>
      </c>
      <c r="K739" t="s">
        <v>1035</v>
      </c>
      <c r="L739" t="s">
        <v>21</v>
      </c>
    </row>
    <row r="740" spans="1:12">
      <c r="A740" t="s">
        <v>1038</v>
      </c>
      <c r="B740" t="s">
        <v>1014</v>
      </c>
      <c r="C740" t="s">
        <v>229</v>
      </c>
      <c r="D740">
        <v>1982</v>
      </c>
      <c r="E740" t="s">
        <v>15</v>
      </c>
      <c r="F740" t="s">
        <v>16</v>
      </c>
      <c r="G740" t="s">
        <v>17</v>
      </c>
      <c r="H740" t="s">
        <v>18</v>
      </c>
      <c r="I740">
        <v>75.760000000000005</v>
      </c>
      <c r="J740" t="s">
        <v>19</v>
      </c>
      <c r="K740" t="s">
        <v>1039</v>
      </c>
      <c r="L740" t="s">
        <v>21</v>
      </c>
    </row>
    <row r="741" spans="1:12">
      <c r="A741" t="s">
        <v>1040</v>
      </c>
      <c r="B741" t="s">
        <v>1014</v>
      </c>
      <c r="C741" t="s">
        <v>229</v>
      </c>
      <c r="D741">
        <v>1982</v>
      </c>
      <c r="E741" t="s">
        <v>23</v>
      </c>
      <c r="F741" t="s">
        <v>24</v>
      </c>
      <c r="G741" t="s">
        <v>25</v>
      </c>
      <c r="H741" t="s">
        <v>26</v>
      </c>
      <c r="I741">
        <v>25201900</v>
      </c>
      <c r="J741" t="s">
        <v>27</v>
      </c>
      <c r="K741" t="s">
        <v>1039</v>
      </c>
      <c r="L741" t="s">
        <v>21</v>
      </c>
    </row>
    <row r="742" spans="1:12">
      <c r="A742" t="s">
        <v>1041</v>
      </c>
      <c r="B742" t="s">
        <v>1014</v>
      </c>
      <c r="C742" t="s">
        <v>229</v>
      </c>
      <c r="D742">
        <v>1982</v>
      </c>
      <c r="E742" t="s">
        <v>29</v>
      </c>
      <c r="F742" t="s">
        <v>30</v>
      </c>
      <c r="G742" t="s">
        <v>31</v>
      </c>
      <c r="H742" t="s">
        <v>32</v>
      </c>
      <c r="I742">
        <v>22898.792140000001</v>
      </c>
      <c r="J742" t="s">
        <v>33</v>
      </c>
      <c r="K742" t="s">
        <v>1039</v>
      </c>
      <c r="L742" t="s">
        <v>21</v>
      </c>
    </row>
    <row r="743" spans="1:12">
      <c r="A743" t="s">
        <v>1042</v>
      </c>
      <c r="B743" t="s">
        <v>1014</v>
      </c>
      <c r="C743" t="s">
        <v>229</v>
      </c>
      <c r="D743">
        <v>1987</v>
      </c>
      <c r="E743" t="s">
        <v>15</v>
      </c>
      <c r="F743" t="s">
        <v>16</v>
      </c>
      <c r="G743" t="s">
        <v>17</v>
      </c>
      <c r="H743" t="s">
        <v>18</v>
      </c>
      <c r="I743">
        <v>76.86</v>
      </c>
      <c r="J743" t="s">
        <v>19</v>
      </c>
      <c r="K743" t="s">
        <v>1043</v>
      </c>
      <c r="L743" t="s">
        <v>21</v>
      </c>
    </row>
    <row r="744" spans="1:12">
      <c r="A744" t="s">
        <v>1044</v>
      </c>
      <c r="B744" t="s">
        <v>1014</v>
      </c>
      <c r="C744" t="s">
        <v>229</v>
      </c>
      <c r="D744">
        <v>1987</v>
      </c>
      <c r="E744" t="s">
        <v>23</v>
      </c>
      <c r="F744" t="s">
        <v>24</v>
      </c>
      <c r="G744" t="s">
        <v>25</v>
      </c>
      <c r="H744" t="s">
        <v>26</v>
      </c>
      <c r="I744">
        <v>26549700</v>
      </c>
      <c r="J744" t="s">
        <v>27</v>
      </c>
      <c r="K744" t="s">
        <v>1043</v>
      </c>
      <c r="L744" t="s">
        <v>21</v>
      </c>
    </row>
    <row r="745" spans="1:12">
      <c r="A745" t="s">
        <v>1045</v>
      </c>
      <c r="B745" t="s">
        <v>1014</v>
      </c>
      <c r="C745" t="s">
        <v>229</v>
      </c>
      <c r="D745">
        <v>1987</v>
      </c>
      <c r="E745" t="s">
        <v>29</v>
      </c>
      <c r="F745" t="s">
        <v>30</v>
      </c>
      <c r="G745" t="s">
        <v>31</v>
      </c>
      <c r="H745" t="s">
        <v>32</v>
      </c>
      <c r="I745">
        <v>26626.515029999999</v>
      </c>
      <c r="J745" t="s">
        <v>33</v>
      </c>
      <c r="K745" t="s">
        <v>1043</v>
      </c>
      <c r="L745" t="s">
        <v>21</v>
      </c>
    </row>
    <row r="746" spans="1:12">
      <c r="A746" t="s">
        <v>1046</v>
      </c>
      <c r="B746" t="s">
        <v>1014</v>
      </c>
      <c r="C746" t="s">
        <v>229</v>
      </c>
      <c r="D746">
        <v>1992</v>
      </c>
      <c r="E746" t="s">
        <v>15</v>
      </c>
      <c r="F746" t="s">
        <v>16</v>
      </c>
      <c r="G746" t="s">
        <v>17</v>
      </c>
      <c r="H746" t="s">
        <v>18</v>
      </c>
      <c r="I746">
        <v>77.95</v>
      </c>
      <c r="J746" t="s">
        <v>19</v>
      </c>
      <c r="K746" t="s">
        <v>1047</v>
      </c>
      <c r="L746" t="s">
        <v>21</v>
      </c>
    </row>
    <row r="747" spans="1:12">
      <c r="A747" t="s">
        <v>1048</v>
      </c>
      <c r="B747" t="s">
        <v>1014</v>
      </c>
      <c r="C747" t="s">
        <v>229</v>
      </c>
      <c r="D747">
        <v>1992</v>
      </c>
      <c r="E747" t="s">
        <v>23</v>
      </c>
      <c r="F747" t="s">
        <v>24</v>
      </c>
      <c r="G747" t="s">
        <v>25</v>
      </c>
      <c r="H747" t="s">
        <v>26</v>
      </c>
      <c r="I747">
        <v>28523502</v>
      </c>
      <c r="J747" t="s">
        <v>27</v>
      </c>
      <c r="K747" t="s">
        <v>1047</v>
      </c>
      <c r="L747" t="s">
        <v>21</v>
      </c>
    </row>
    <row r="748" spans="1:12">
      <c r="A748" t="s">
        <v>1049</v>
      </c>
      <c r="B748" t="s">
        <v>1014</v>
      </c>
      <c r="C748" t="s">
        <v>229</v>
      </c>
      <c r="D748">
        <v>1992</v>
      </c>
      <c r="E748" t="s">
        <v>29</v>
      </c>
      <c r="F748" t="s">
        <v>30</v>
      </c>
      <c r="G748" t="s">
        <v>31</v>
      </c>
      <c r="H748" t="s">
        <v>32</v>
      </c>
      <c r="I748">
        <v>26342.884259999999</v>
      </c>
      <c r="J748" t="s">
        <v>33</v>
      </c>
      <c r="K748" t="s">
        <v>1047</v>
      </c>
      <c r="L748" t="s">
        <v>21</v>
      </c>
    </row>
    <row r="749" spans="1:12">
      <c r="A749" t="s">
        <v>1050</v>
      </c>
      <c r="B749" t="s">
        <v>1014</v>
      </c>
      <c r="C749" t="s">
        <v>229</v>
      </c>
      <c r="D749">
        <v>1997</v>
      </c>
      <c r="E749" t="s">
        <v>15</v>
      </c>
      <c r="F749" t="s">
        <v>16</v>
      </c>
      <c r="G749" t="s">
        <v>17</v>
      </c>
      <c r="H749" t="s">
        <v>18</v>
      </c>
      <c r="I749">
        <v>78.61</v>
      </c>
      <c r="J749" t="s">
        <v>19</v>
      </c>
      <c r="K749" t="s">
        <v>1051</v>
      </c>
      <c r="L749" t="s">
        <v>21</v>
      </c>
    </row>
    <row r="750" spans="1:12">
      <c r="A750" t="s">
        <v>1052</v>
      </c>
      <c r="B750" t="s">
        <v>1014</v>
      </c>
      <c r="C750" t="s">
        <v>229</v>
      </c>
      <c r="D750">
        <v>1997</v>
      </c>
      <c r="E750" t="s">
        <v>23</v>
      </c>
      <c r="F750" t="s">
        <v>24</v>
      </c>
      <c r="G750" t="s">
        <v>25</v>
      </c>
      <c r="H750" t="s">
        <v>26</v>
      </c>
      <c r="I750">
        <v>30305843</v>
      </c>
      <c r="J750" t="s">
        <v>27</v>
      </c>
      <c r="K750" t="s">
        <v>1051</v>
      </c>
      <c r="L750" t="s">
        <v>21</v>
      </c>
    </row>
    <row r="751" spans="1:12">
      <c r="A751" t="s">
        <v>1053</v>
      </c>
      <c r="B751" t="s">
        <v>1014</v>
      </c>
      <c r="C751" t="s">
        <v>229</v>
      </c>
      <c r="D751">
        <v>1997</v>
      </c>
      <c r="E751" t="s">
        <v>29</v>
      </c>
      <c r="F751" t="s">
        <v>30</v>
      </c>
      <c r="G751" t="s">
        <v>31</v>
      </c>
      <c r="H751" t="s">
        <v>32</v>
      </c>
      <c r="I751">
        <v>28954.925889999999</v>
      </c>
      <c r="J751" t="s">
        <v>33</v>
      </c>
      <c r="K751" t="s">
        <v>1051</v>
      </c>
      <c r="L751" t="s">
        <v>21</v>
      </c>
    </row>
    <row r="752" spans="1:12">
      <c r="A752" t="s">
        <v>1054</v>
      </c>
      <c r="B752" t="s">
        <v>1014</v>
      </c>
      <c r="C752" t="s">
        <v>229</v>
      </c>
      <c r="D752">
        <v>2002</v>
      </c>
      <c r="E752" t="s">
        <v>15</v>
      </c>
      <c r="F752" t="s">
        <v>16</v>
      </c>
      <c r="G752" t="s">
        <v>17</v>
      </c>
      <c r="H752" t="s">
        <v>18</v>
      </c>
      <c r="I752">
        <v>79.77</v>
      </c>
      <c r="J752" t="s">
        <v>19</v>
      </c>
      <c r="K752" t="s">
        <v>1055</v>
      </c>
      <c r="L752" t="s">
        <v>21</v>
      </c>
    </row>
    <row r="753" spans="1:12">
      <c r="A753" t="s">
        <v>1056</v>
      </c>
      <c r="B753" t="s">
        <v>1014</v>
      </c>
      <c r="C753" t="s">
        <v>229</v>
      </c>
      <c r="D753">
        <v>2002</v>
      </c>
      <c r="E753" t="s">
        <v>23</v>
      </c>
      <c r="F753" t="s">
        <v>24</v>
      </c>
      <c r="G753" t="s">
        <v>25</v>
      </c>
      <c r="H753" t="s">
        <v>26</v>
      </c>
      <c r="I753">
        <v>31902268</v>
      </c>
      <c r="J753" t="s">
        <v>27</v>
      </c>
      <c r="K753" t="s">
        <v>1055</v>
      </c>
      <c r="L753" t="s">
        <v>21</v>
      </c>
    </row>
    <row r="754" spans="1:12">
      <c r="A754" t="s">
        <v>1057</v>
      </c>
      <c r="B754" t="s">
        <v>1014</v>
      </c>
      <c r="C754" t="s">
        <v>229</v>
      </c>
      <c r="D754">
        <v>2002</v>
      </c>
      <c r="E754" t="s">
        <v>29</v>
      </c>
      <c r="F754" t="s">
        <v>30</v>
      </c>
      <c r="G754" t="s">
        <v>31</v>
      </c>
      <c r="H754" t="s">
        <v>32</v>
      </c>
      <c r="I754">
        <v>33328.965069999998</v>
      </c>
      <c r="J754" t="s">
        <v>33</v>
      </c>
      <c r="K754" t="s">
        <v>1055</v>
      </c>
      <c r="L754" t="s">
        <v>21</v>
      </c>
    </row>
    <row r="755" spans="1:12">
      <c r="A755" t="s">
        <v>1058</v>
      </c>
      <c r="B755" t="s">
        <v>1014</v>
      </c>
      <c r="C755" t="s">
        <v>229</v>
      </c>
      <c r="D755">
        <v>2007</v>
      </c>
      <c r="E755" t="s">
        <v>15</v>
      </c>
      <c r="F755" t="s">
        <v>16</v>
      </c>
      <c r="G755" t="s">
        <v>17</v>
      </c>
      <c r="H755" t="s">
        <v>18</v>
      </c>
      <c r="I755">
        <v>80.653000000000006</v>
      </c>
      <c r="J755" t="s">
        <v>19</v>
      </c>
      <c r="K755" t="s">
        <v>1059</v>
      </c>
      <c r="L755" t="s">
        <v>21</v>
      </c>
    </row>
    <row r="756" spans="1:12">
      <c r="A756" t="s">
        <v>1060</v>
      </c>
      <c r="B756" t="s">
        <v>1014</v>
      </c>
      <c r="C756" t="s">
        <v>229</v>
      </c>
      <c r="D756">
        <v>2007</v>
      </c>
      <c r="E756" t="s">
        <v>23</v>
      </c>
      <c r="F756" t="s">
        <v>24</v>
      </c>
      <c r="G756" t="s">
        <v>25</v>
      </c>
      <c r="H756" t="s">
        <v>26</v>
      </c>
      <c r="I756">
        <v>33390141</v>
      </c>
      <c r="J756" t="s">
        <v>27</v>
      </c>
      <c r="K756" t="s">
        <v>1059</v>
      </c>
      <c r="L756" t="s">
        <v>21</v>
      </c>
    </row>
    <row r="757" spans="1:12">
      <c r="A757" t="s">
        <v>1061</v>
      </c>
      <c r="B757" t="s">
        <v>1014</v>
      </c>
      <c r="C757" t="s">
        <v>229</v>
      </c>
      <c r="D757">
        <v>2007</v>
      </c>
      <c r="E757" t="s">
        <v>29</v>
      </c>
      <c r="F757" t="s">
        <v>30</v>
      </c>
      <c r="G757" t="s">
        <v>31</v>
      </c>
      <c r="H757" t="s">
        <v>32</v>
      </c>
      <c r="I757">
        <v>36319.235009999997</v>
      </c>
      <c r="J757" t="s">
        <v>33</v>
      </c>
      <c r="K757" t="s">
        <v>1059</v>
      </c>
      <c r="L757" t="s">
        <v>21</v>
      </c>
    </row>
    <row r="758" spans="1:12">
      <c r="A758" t="s">
        <v>1062</v>
      </c>
      <c r="B758" t="s">
        <v>1063</v>
      </c>
      <c r="C758" t="s">
        <v>130</v>
      </c>
      <c r="D758">
        <v>1952</v>
      </c>
      <c r="E758" t="s">
        <v>15</v>
      </c>
      <c r="F758" t="s">
        <v>16</v>
      </c>
      <c r="G758" t="s">
        <v>17</v>
      </c>
      <c r="H758" t="s">
        <v>18</v>
      </c>
      <c r="I758">
        <v>35.463000000000001</v>
      </c>
      <c r="J758" t="s">
        <v>19</v>
      </c>
      <c r="K758" t="s">
        <v>1064</v>
      </c>
      <c r="L758" t="s">
        <v>21</v>
      </c>
    </row>
    <row r="759" spans="1:12">
      <c r="A759" t="s">
        <v>1065</v>
      </c>
      <c r="B759" t="s">
        <v>1063</v>
      </c>
      <c r="C759" t="s">
        <v>130</v>
      </c>
      <c r="D759">
        <v>1952</v>
      </c>
      <c r="E759" t="s">
        <v>23</v>
      </c>
      <c r="F759" t="s">
        <v>24</v>
      </c>
      <c r="G759" t="s">
        <v>25</v>
      </c>
      <c r="H759" t="s">
        <v>26</v>
      </c>
      <c r="I759">
        <v>1291695</v>
      </c>
      <c r="J759" t="s">
        <v>27</v>
      </c>
      <c r="K759" t="s">
        <v>1064</v>
      </c>
      <c r="L759" t="s">
        <v>21</v>
      </c>
    </row>
    <row r="760" spans="1:12">
      <c r="A760" t="s">
        <v>1066</v>
      </c>
      <c r="B760" t="s">
        <v>1063</v>
      </c>
      <c r="C760" t="s">
        <v>130</v>
      </c>
      <c r="D760">
        <v>1952</v>
      </c>
      <c r="E760" t="s">
        <v>29</v>
      </c>
      <c r="F760" t="s">
        <v>30</v>
      </c>
      <c r="G760" t="s">
        <v>31</v>
      </c>
      <c r="H760" t="s">
        <v>32</v>
      </c>
      <c r="I760">
        <v>1071.3107130000001</v>
      </c>
      <c r="J760" t="s">
        <v>33</v>
      </c>
      <c r="K760" t="s">
        <v>1064</v>
      </c>
      <c r="L760" t="s">
        <v>21</v>
      </c>
    </row>
    <row r="761" spans="1:12">
      <c r="A761" t="s">
        <v>1067</v>
      </c>
      <c r="B761" t="s">
        <v>1063</v>
      </c>
      <c r="C761" t="s">
        <v>130</v>
      </c>
      <c r="D761">
        <v>1957</v>
      </c>
      <c r="E761" t="s">
        <v>15</v>
      </c>
      <c r="F761" t="s">
        <v>16</v>
      </c>
      <c r="G761" t="s">
        <v>17</v>
      </c>
      <c r="H761" t="s">
        <v>18</v>
      </c>
      <c r="I761">
        <v>37.463999999999999</v>
      </c>
      <c r="J761" t="s">
        <v>19</v>
      </c>
      <c r="K761" t="s">
        <v>1068</v>
      </c>
      <c r="L761" t="s">
        <v>21</v>
      </c>
    </row>
    <row r="762" spans="1:12">
      <c r="A762" t="s">
        <v>1069</v>
      </c>
      <c r="B762" t="s">
        <v>1063</v>
      </c>
      <c r="C762" t="s">
        <v>130</v>
      </c>
      <c r="D762">
        <v>1957</v>
      </c>
      <c r="E762" t="s">
        <v>23</v>
      </c>
      <c r="F762" t="s">
        <v>24</v>
      </c>
      <c r="G762" t="s">
        <v>25</v>
      </c>
      <c r="H762" t="s">
        <v>26</v>
      </c>
      <c r="I762">
        <v>1392284</v>
      </c>
      <c r="J762" t="s">
        <v>27</v>
      </c>
      <c r="K762" t="s">
        <v>1068</v>
      </c>
      <c r="L762" t="s">
        <v>21</v>
      </c>
    </row>
    <row r="763" spans="1:12">
      <c r="A763" t="s">
        <v>1070</v>
      </c>
      <c r="B763" t="s">
        <v>1063</v>
      </c>
      <c r="C763" t="s">
        <v>130</v>
      </c>
      <c r="D763">
        <v>1957</v>
      </c>
      <c r="E763" t="s">
        <v>29</v>
      </c>
      <c r="F763" t="s">
        <v>30</v>
      </c>
      <c r="G763" t="s">
        <v>31</v>
      </c>
      <c r="H763" t="s">
        <v>32</v>
      </c>
      <c r="I763">
        <v>1190.8443279999999</v>
      </c>
      <c r="J763" t="s">
        <v>33</v>
      </c>
      <c r="K763" t="s">
        <v>1068</v>
      </c>
      <c r="L763" t="s">
        <v>21</v>
      </c>
    </row>
    <row r="764" spans="1:12">
      <c r="A764" t="s">
        <v>1071</v>
      </c>
      <c r="B764" t="s">
        <v>1063</v>
      </c>
      <c r="C764" t="s">
        <v>130</v>
      </c>
      <c r="D764">
        <v>1962</v>
      </c>
      <c r="E764" t="s">
        <v>15</v>
      </c>
      <c r="F764" t="s">
        <v>16</v>
      </c>
      <c r="G764" t="s">
        <v>17</v>
      </c>
      <c r="H764" t="s">
        <v>18</v>
      </c>
      <c r="I764">
        <v>39.475000000000001</v>
      </c>
      <c r="J764" t="s">
        <v>19</v>
      </c>
      <c r="K764" t="s">
        <v>1072</v>
      </c>
      <c r="L764" t="s">
        <v>21</v>
      </c>
    </row>
    <row r="765" spans="1:12">
      <c r="A765" t="s">
        <v>1073</v>
      </c>
      <c r="B765" t="s">
        <v>1063</v>
      </c>
      <c r="C765" t="s">
        <v>130</v>
      </c>
      <c r="D765">
        <v>1962</v>
      </c>
      <c r="E765" t="s">
        <v>23</v>
      </c>
      <c r="F765" t="s">
        <v>24</v>
      </c>
      <c r="G765" t="s">
        <v>25</v>
      </c>
      <c r="H765" t="s">
        <v>26</v>
      </c>
      <c r="I765">
        <v>1523478</v>
      </c>
      <c r="J765" t="s">
        <v>27</v>
      </c>
      <c r="K765" t="s">
        <v>1072</v>
      </c>
      <c r="L765" t="s">
        <v>21</v>
      </c>
    </row>
    <row r="766" spans="1:12">
      <c r="A766" t="s">
        <v>1074</v>
      </c>
      <c r="B766" t="s">
        <v>1063</v>
      </c>
      <c r="C766" t="s">
        <v>130</v>
      </c>
      <c r="D766">
        <v>1962</v>
      </c>
      <c r="E766" t="s">
        <v>29</v>
      </c>
      <c r="F766" t="s">
        <v>30</v>
      </c>
      <c r="G766" t="s">
        <v>31</v>
      </c>
      <c r="H766" t="s">
        <v>32</v>
      </c>
      <c r="I766">
        <v>1193.068753</v>
      </c>
      <c r="J766" t="s">
        <v>33</v>
      </c>
      <c r="K766" t="s">
        <v>1072</v>
      </c>
      <c r="L766" t="s">
        <v>21</v>
      </c>
    </row>
    <row r="767" spans="1:12">
      <c r="A767" t="s">
        <v>1075</v>
      </c>
      <c r="B767" t="s">
        <v>1063</v>
      </c>
      <c r="C767" t="s">
        <v>130</v>
      </c>
      <c r="D767">
        <v>1967</v>
      </c>
      <c r="E767" t="s">
        <v>15</v>
      </c>
      <c r="F767" t="s">
        <v>16</v>
      </c>
      <c r="G767" t="s">
        <v>17</v>
      </c>
      <c r="H767" t="s">
        <v>18</v>
      </c>
      <c r="I767">
        <v>41.478000000000002</v>
      </c>
      <c r="J767" t="s">
        <v>19</v>
      </c>
      <c r="K767" t="s">
        <v>1076</v>
      </c>
      <c r="L767" t="s">
        <v>21</v>
      </c>
    </row>
    <row r="768" spans="1:12">
      <c r="A768" t="s">
        <v>1077</v>
      </c>
      <c r="B768" t="s">
        <v>1063</v>
      </c>
      <c r="C768" t="s">
        <v>130</v>
      </c>
      <c r="D768">
        <v>1967</v>
      </c>
      <c r="E768" t="s">
        <v>23</v>
      </c>
      <c r="F768" t="s">
        <v>24</v>
      </c>
      <c r="G768" t="s">
        <v>25</v>
      </c>
      <c r="H768" t="s">
        <v>26</v>
      </c>
      <c r="I768">
        <v>1733638</v>
      </c>
      <c r="J768" t="s">
        <v>27</v>
      </c>
      <c r="K768" t="s">
        <v>1076</v>
      </c>
      <c r="L768" t="s">
        <v>21</v>
      </c>
    </row>
    <row r="769" spans="1:12">
      <c r="A769" t="s">
        <v>1078</v>
      </c>
      <c r="B769" t="s">
        <v>1063</v>
      </c>
      <c r="C769" t="s">
        <v>130</v>
      </c>
      <c r="D769">
        <v>1967</v>
      </c>
      <c r="E769" t="s">
        <v>29</v>
      </c>
      <c r="F769" t="s">
        <v>30</v>
      </c>
      <c r="G769" t="s">
        <v>31</v>
      </c>
      <c r="H769" t="s">
        <v>32</v>
      </c>
      <c r="I769">
        <v>1136.056615</v>
      </c>
      <c r="J769" t="s">
        <v>33</v>
      </c>
      <c r="K769" t="s">
        <v>1076</v>
      </c>
      <c r="L769" t="s">
        <v>21</v>
      </c>
    </row>
    <row r="770" spans="1:12">
      <c r="A770" t="s">
        <v>1079</v>
      </c>
      <c r="B770" t="s">
        <v>1063</v>
      </c>
      <c r="C770" t="s">
        <v>130</v>
      </c>
      <c r="D770">
        <v>1972</v>
      </c>
      <c r="E770" t="s">
        <v>15</v>
      </c>
      <c r="F770" t="s">
        <v>16</v>
      </c>
      <c r="G770" t="s">
        <v>17</v>
      </c>
      <c r="H770" t="s">
        <v>18</v>
      </c>
      <c r="I770">
        <v>43.457000000000001</v>
      </c>
      <c r="J770" t="s">
        <v>19</v>
      </c>
      <c r="K770" t="s">
        <v>1080</v>
      </c>
      <c r="L770" t="s">
        <v>21</v>
      </c>
    </row>
    <row r="771" spans="1:12">
      <c r="A771" t="s">
        <v>1081</v>
      </c>
      <c r="B771" t="s">
        <v>1063</v>
      </c>
      <c r="C771" t="s">
        <v>130</v>
      </c>
      <c r="D771">
        <v>1972</v>
      </c>
      <c r="E771" t="s">
        <v>23</v>
      </c>
      <c r="F771" t="s">
        <v>24</v>
      </c>
      <c r="G771" t="s">
        <v>25</v>
      </c>
      <c r="H771" t="s">
        <v>26</v>
      </c>
      <c r="I771">
        <v>1927260</v>
      </c>
      <c r="J771" t="s">
        <v>27</v>
      </c>
      <c r="K771" t="s">
        <v>1080</v>
      </c>
      <c r="L771" t="s">
        <v>21</v>
      </c>
    </row>
    <row r="772" spans="1:12">
      <c r="A772" t="s">
        <v>1082</v>
      </c>
      <c r="B772" t="s">
        <v>1063</v>
      </c>
      <c r="C772" t="s">
        <v>130</v>
      </c>
      <c r="D772">
        <v>1972</v>
      </c>
      <c r="E772" t="s">
        <v>29</v>
      </c>
      <c r="F772" t="s">
        <v>30</v>
      </c>
      <c r="G772" t="s">
        <v>31</v>
      </c>
      <c r="H772" t="s">
        <v>32</v>
      </c>
      <c r="I772">
        <v>1070.013275</v>
      </c>
      <c r="J772" t="s">
        <v>33</v>
      </c>
      <c r="K772" t="s">
        <v>1080</v>
      </c>
      <c r="L772" t="s">
        <v>21</v>
      </c>
    </row>
    <row r="773" spans="1:12">
      <c r="A773" t="s">
        <v>1083</v>
      </c>
      <c r="B773" t="s">
        <v>1063</v>
      </c>
      <c r="C773" t="s">
        <v>130</v>
      </c>
      <c r="D773">
        <v>1977</v>
      </c>
      <c r="E773" t="s">
        <v>15</v>
      </c>
      <c r="F773" t="s">
        <v>16</v>
      </c>
      <c r="G773" t="s">
        <v>17</v>
      </c>
      <c r="H773" t="s">
        <v>18</v>
      </c>
      <c r="I773">
        <v>46.774999999999999</v>
      </c>
      <c r="J773" t="s">
        <v>19</v>
      </c>
      <c r="K773" t="s">
        <v>1084</v>
      </c>
      <c r="L773" t="s">
        <v>21</v>
      </c>
    </row>
    <row r="774" spans="1:12">
      <c r="A774" t="s">
        <v>1085</v>
      </c>
      <c r="B774" t="s">
        <v>1063</v>
      </c>
      <c r="C774" t="s">
        <v>130</v>
      </c>
      <c r="D774">
        <v>1977</v>
      </c>
      <c r="E774" t="s">
        <v>23</v>
      </c>
      <c r="F774" t="s">
        <v>24</v>
      </c>
      <c r="G774" t="s">
        <v>25</v>
      </c>
      <c r="H774" t="s">
        <v>26</v>
      </c>
      <c r="I774">
        <v>2167533</v>
      </c>
      <c r="J774" t="s">
        <v>27</v>
      </c>
      <c r="K774" t="s">
        <v>1084</v>
      </c>
      <c r="L774" t="s">
        <v>21</v>
      </c>
    </row>
    <row r="775" spans="1:12">
      <c r="A775" t="s">
        <v>1086</v>
      </c>
      <c r="B775" t="s">
        <v>1063</v>
      </c>
      <c r="C775" t="s">
        <v>130</v>
      </c>
      <c r="D775">
        <v>1977</v>
      </c>
      <c r="E775" t="s">
        <v>29</v>
      </c>
      <c r="F775" t="s">
        <v>30</v>
      </c>
      <c r="G775" t="s">
        <v>31</v>
      </c>
      <c r="H775" t="s">
        <v>32</v>
      </c>
      <c r="I775">
        <v>1109.3743380000001</v>
      </c>
      <c r="J775" t="s">
        <v>33</v>
      </c>
      <c r="K775" t="s">
        <v>1084</v>
      </c>
      <c r="L775" t="s">
        <v>21</v>
      </c>
    </row>
    <row r="776" spans="1:12">
      <c r="A776" t="s">
        <v>1087</v>
      </c>
      <c r="B776" t="s">
        <v>1063</v>
      </c>
      <c r="C776" t="s">
        <v>130</v>
      </c>
      <c r="D776">
        <v>1982</v>
      </c>
      <c r="E776" t="s">
        <v>15</v>
      </c>
      <c r="F776" t="s">
        <v>16</v>
      </c>
      <c r="G776" t="s">
        <v>17</v>
      </c>
      <c r="H776" t="s">
        <v>18</v>
      </c>
      <c r="I776">
        <v>48.295000000000002</v>
      </c>
      <c r="J776" t="s">
        <v>19</v>
      </c>
      <c r="K776" t="s">
        <v>1088</v>
      </c>
      <c r="L776" t="s">
        <v>21</v>
      </c>
    </row>
    <row r="777" spans="1:12">
      <c r="A777" t="s">
        <v>1089</v>
      </c>
      <c r="B777" t="s">
        <v>1063</v>
      </c>
      <c r="C777" t="s">
        <v>130</v>
      </c>
      <c r="D777">
        <v>1982</v>
      </c>
      <c r="E777" t="s">
        <v>23</v>
      </c>
      <c r="F777" t="s">
        <v>24</v>
      </c>
      <c r="G777" t="s">
        <v>25</v>
      </c>
      <c r="H777" t="s">
        <v>26</v>
      </c>
      <c r="I777">
        <v>2476971</v>
      </c>
      <c r="J777" t="s">
        <v>27</v>
      </c>
      <c r="K777" t="s">
        <v>1088</v>
      </c>
      <c r="L777" t="s">
        <v>21</v>
      </c>
    </row>
    <row r="778" spans="1:12">
      <c r="A778" t="s">
        <v>1090</v>
      </c>
      <c r="B778" t="s">
        <v>1063</v>
      </c>
      <c r="C778" t="s">
        <v>130</v>
      </c>
      <c r="D778">
        <v>1982</v>
      </c>
      <c r="E778" t="s">
        <v>29</v>
      </c>
      <c r="F778" t="s">
        <v>30</v>
      </c>
      <c r="G778" t="s">
        <v>31</v>
      </c>
      <c r="H778" t="s">
        <v>32</v>
      </c>
      <c r="I778">
        <v>956.75299070000005</v>
      </c>
      <c r="J778" t="s">
        <v>33</v>
      </c>
      <c r="K778" t="s">
        <v>1088</v>
      </c>
      <c r="L778" t="s">
        <v>21</v>
      </c>
    </row>
    <row r="779" spans="1:12">
      <c r="A779" t="s">
        <v>1091</v>
      </c>
      <c r="B779" t="s">
        <v>1063</v>
      </c>
      <c r="C779" t="s">
        <v>130</v>
      </c>
      <c r="D779">
        <v>1987</v>
      </c>
      <c r="E779" t="s">
        <v>15</v>
      </c>
      <c r="F779" t="s">
        <v>16</v>
      </c>
      <c r="G779" t="s">
        <v>17</v>
      </c>
      <c r="H779" t="s">
        <v>18</v>
      </c>
      <c r="I779">
        <v>50.484999999999999</v>
      </c>
      <c r="J779" t="s">
        <v>19</v>
      </c>
      <c r="K779" t="s">
        <v>1092</v>
      </c>
      <c r="L779" t="s">
        <v>21</v>
      </c>
    </row>
    <row r="780" spans="1:12">
      <c r="A780" t="s">
        <v>1093</v>
      </c>
      <c r="B780" t="s">
        <v>1063</v>
      </c>
      <c r="C780" t="s">
        <v>130</v>
      </c>
      <c r="D780">
        <v>1987</v>
      </c>
      <c r="E780" t="s">
        <v>23</v>
      </c>
      <c r="F780" t="s">
        <v>24</v>
      </c>
      <c r="G780" t="s">
        <v>25</v>
      </c>
      <c r="H780" t="s">
        <v>26</v>
      </c>
      <c r="I780">
        <v>2840009</v>
      </c>
      <c r="J780" t="s">
        <v>27</v>
      </c>
      <c r="K780" t="s">
        <v>1092</v>
      </c>
      <c r="L780" t="s">
        <v>21</v>
      </c>
    </row>
    <row r="781" spans="1:12">
      <c r="A781" t="s">
        <v>1094</v>
      </c>
      <c r="B781" t="s">
        <v>1063</v>
      </c>
      <c r="C781" t="s">
        <v>130</v>
      </c>
      <c r="D781">
        <v>1987</v>
      </c>
      <c r="E781" t="s">
        <v>29</v>
      </c>
      <c r="F781" t="s">
        <v>30</v>
      </c>
      <c r="G781" t="s">
        <v>31</v>
      </c>
      <c r="H781" t="s">
        <v>32</v>
      </c>
      <c r="I781">
        <v>844.87635039999998</v>
      </c>
      <c r="J781" t="s">
        <v>33</v>
      </c>
      <c r="K781" t="s">
        <v>1092</v>
      </c>
      <c r="L781" t="s">
        <v>21</v>
      </c>
    </row>
    <row r="782" spans="1:12">
      <c r="A782" t="s">
        <v>1095</v>
      </c>
      <c r="B782" t="s">
        <v>1063</v>
      </c>
      <c r="C782" t="s">
        <v>130</v>
      </c>
      <c r="D782">
        <v>1992</v>
      </c>
      <c r="E782" t="s">
        <v>15</v>
      </c>
      <c r="F782" t="s">
        <v>16</v>
      </c>
      <c r="G782" t="s">
        <v>17</v>
      </c>
      <c r="H782" t="s">
        <v>18</v>
      </c>
      <c r="I782">
        <v>49.396000000000001</v>
      </c>
      <c r="J782" t="s">
        <v>19</v>
      </c>
      <c r="K782" t="s">
        <v>1096</v>
      </c>
      <c r="L782" t="s">
        <v>21</v>
      </c>
    </row>
    <row r="783" spans="1:12">
      <c r="A783" t="s">
        <v>1097</v>
      </c>
      <c r="B783" t="s">
        <v>1063</v>
      </c>
      <c r="C783" t="s">
        <v>130</v>
      </c>
      <c r="D783">
        <v>1992</v>
      </c>
      <c r="E783" t="s">
        <v>23</v>
      </c>
      <c r="F783" t="s">
        <v>24</v>
      </c>
      <c r="G783" t="s">
        <v>25</v>
      </c>
      <c r="H783" t="s">
        <v>26</v>
      </c>
      <c r="I783">
        <v>3265124</v>
      </c>
      <c r="J783" t="s">
        <v>27</v>
      </c>
      <c r="K783" t="s">
        <v>1096</v>
      </c>
      <c r="L783" t="s">
        <v>21</v>
      </c>
    </row>
    <row r="784" spans="1:12">
      <c r="A784" t="s">
        <v>1098</v>
      </c>
      <c r="B784" t="s">
        <v>1063</v>
      </c>
      <c r="C784" t="s">
        <v>130</v>
      </c>
      <c r="D784">
        <v>1992</v>
      </c>
      <c r="E784" t="s">
        <v>29</v>
      </c>
      <c r="F784" t="s">
        <v>30</v>
      </c>
      <c r="G784" t="s">
        <v>31</v>
      </c>
      <c r="H784" t="s">
        <v>32</v>
      </c>
      <c r="I784">
        <v>747.90552520000006</v>
      </c>
      <c r="J784" t="s">
        <v>33</v>
      </c>
      <c r="K784" t="s">
        <v>1096</v>
      </c>
      <c r="L784" t="s">
        <v>21</v>
      </c>
    </row>
    <row r="785" spans="1:12">
      <c r="A785" t="s">
        <v>1099</v>
      </c>
      <c r="B785" t="s">
        <v>1063</v>
      </c>
      <c r="C785" t="s">
        <v>130</v>
      </c>
      <c r="D785">
        <v>1997</v>
      </c>
      <c r="E785" t="s">
        <v>15</v>
      </c>
      <c r="F785" t="s">
        <v>16</v>
      </c>
      <c r="G785" t="s">
        <v>17</v>
      </c>
      <c r="H785" t="s">
        <v>18</v>
      </c>
      <c r="I785">
        <v>46.066000000000003</v>
      </c>
      <c r="J785" t="s">
        <v>19</v>
      </c>
      <c r="K785" t="s">
        <v>1100</v>
      </c>
      <c r="L785" t="s">
        <v>21</v>
      </c>
    </row>
    <row r="786" spans="1:12">
      <c r="A786" t="s">
        <v>1101</v>
      </c>
      <c r="B786" t="s">
        <v>1063</v>
      </c>
      <c r="C786" t="s">
        <v>130</v>
      </c>
      <c r="D786">
        <v>1997</v>
      </c>
      <c r="E786" t="s">
        <v>23</v>
      </c>
      <c r="F786" t="s">
        <v>24</v>
      </c>
      <c r="G786" t="s">
        <v>25</v>
      </c>
      <c r="H786" t="s">
        <v>26</v>
      </c>
      <c r="I786">
        <v>3696513</v>
      </c>
      <c r="J786" t="s">
        <v>27</v>
      </c>
      <c r="K786" t="s">
        <v>1100</v>
      </c>
      <c r="L786" t="s">
        <v>21</v>
      </c>
    </row>
    <row r="787" spans="1:12">
      <c r="A787" t="s">
        <v>1102</v>
      </c>
      <c r="B787" t="s">
        <v>1063</v>
      </c>
      <c r="C787" t="s">
        <v>130</v>
      </c>
      <c r="D787">
        <v>1997</v>
      </c>
      <c r="E787" t="s">
        <v>29</v>
      </c>
      <c r="F787" t="s">
        <v>30</v>
      </c>
      <c r="G787" t="s">
        <v>31</v>
      </c>
      <c r="H787" t="s">
        <v>32</v>
      </c>
      <c r="I787">
        <v>740.50633170000003</v>
      </c>
      <c r="J787" t="s">
        <v>33</v>
      </c>
      <c r="K787" t="s">
        <v>1100</v>
      </c>
      <c r="L787" t="s">
        <v>21</v>
      </c>
    </row>
    <row r="788" spans="1:12">
      <c r="A788" t="s">
        <v>1103</v>
      </c>
      <c r="B788" t="s">
        <v>1063</v>
      </c>
      <c r="C788" t="s">
        <v>130</v>
      </c>
      <c r="D788">
        <v>2002</v>
      </c>
      <c r="E788" t="s">
        <v>15</v>
      </c>
      <c r="F788" t="s">
        <v>16</v>
      </c>
      <c r="G788" t="s">
        <v>17</v>
      </c>
      <c r="H788" t="s">
        <v>18</v>
      </c>
      <c r="I788">
        <v>43.308</v>
      </c>
      <c r="J788" t="s">
        <v>19</v>
      </c>
      <c r="K788" t="s">
        <v>1104</v>
      </c>
      <c r="L788" t="s">
        <v>21</v>
      </c>
    </row>
    <row r="789" spans="1:12">
      <c r="A789" t="s">
        <v>1105</v>
      </c>
      <c r="B789" t="s">
        <v>1063</v>
      </c>
      <c r="C789" t="s">
        <v>130</v>
      </c>
      <c r="D789">
        <v>2002</v>
      </c>
      <c r="E789" t="s">
        <v>23</v>
      </c>
      <c r="F789" t="s">
        <v>24</v>
      </c>
      <c r="G789" t="s">
        <v>25</v>
      </c>
      <c r="H789" t="s">
        <v>26</v>
      </c>
      <c r="I789">
        <v>4048013</v>
      </c>
      <c r="J789" t="s">
        <v>27</v>
      </c>
      <c r="K789" t="s">
        <v>1104</v>
      </c>
      <c r="L789" t="s">
        <v>21</v>
      </c>
    </row>
    <row r="790" spans="1:12">
      <c r="A790" t="s">
        <v>1106</v>
      </c>
      <c r="B790" t="s">
        <v>1063</v>
      </c>
      <c r="C790" t="s">
        <v>130</v>
      </c>
      <c r="D790">
        <v>2002</v>
      </c>
      <c r="E790" t="s">
        <v>29</v>
      </c>
      <c r="F790" t="s">
        <v>30</v>
      </c>
      <c r="G790" t="s">
        <v>31</v>
      </c>
      <c r="H790" t="s">
        <v>32</v>
      </c>
      <c r="I790">
        <v>738.69060679999996</v>
      </c>
      <c r="J790" t="s">
        <v>33</v>
      </c>
      <c r="K790" t="s">
        <v>1104</v>
      </c>
      <c r="L790" t="s">
        <v>21</v>
      </c>
    </row>
    <row r="791" spans="1:12">
      <c r="A791" t="s">
        <v>1107</v>
      </c>
      <c r="B791" t="s">
        <v>1063</v>
      </c>
      <c r="C791" t="s">
        <v>130</v>
      </c>
      <c r="D791">
        <v>2007</v>
      </c>
      <c r="E791" t="s">
        <v>15</v>
      </c>
      <c r="F791" t="s">
        <v>16</v>
      </c>
      <c r="G791" t="s">
        <v>17</v>
      </c>
      <c r="H791" t="s">
        <v>18</v>
      </c>
      <c r="I791">
        <v>44.741</v>
      </c>
      <c r="J791" t="s">
        <v>19</v>
      </c>
      <c r="K791" t="s">
        <v>1108</v>
      </c>
      <c r="L791" t="s">
        <v>21</v>
      </c>
    </row>
    <row r="792" spans="1:12">
      <c r="A792" t="s">
        <v>1109</v>
      </c>
      <c r="B792" t="s">
        <v>1063</v>
      </c>
      <c r="C792" t="s">
        <v>130</v>
      </c>
      <c r="D792">
        <v>2007</v>
      </c>
      <c r="E792" t="s">
        <v>23</v>
      </c>
      <c r="F792" t="s">
        <v>24</v>
      </c>
      <c r="G792" t="s">
        <v>25</v>
      </c>
      <c r="H792" t="s">
        <v>26</v>
      </c>
      <c r="I792">
        <v>4369038</v>
      </c>
      <c r="J792" t="s">
        <v>27</v>
      </c>
      <c r="K792" t="s">
        <v>1108</v>
      </c>
      <c r="L792" t="s">
        <v>21</v>
      </c>
    </row>
    <row r="793" spans="1:12">
      <c r="A793" t="s">
        <v>1110</v>
      </c>
      <c r="B793" t="s">
        <v>1063</v>
      </c>
      <c r="C793" t="s">
        <v>130</v>
      </c>
      <c r="D793">
        <v>2007</v>
      </c>
      <c r="E793" t="s">
        <v>29</v>
      </c>
      <c r="F793" t="s">
        <v>30</v>
      </c>
      <c r="G793" t="s">
        <v>31</v>
      </c>
      <c r="H793" t="s">
        <v>32</v>
      </c>
      <c r="I793">
        <v>706.01653699999997</v>
      </c>
      <c r="J793" t="s">
        <v>33</v>
      </c>
      <c r="K793" t="s">
        <v>1108</v>
      </c>
      <c r="L793" t="s">
        <v>21</v>
      </c>
    </row>
    <row r="794" spans="1:12">
      <c r="A794" t="s">
        <v>1111</v>
      </c>
      <c r="B794" t="s">
        <v>1112</v>
      </c>
      <c r="C794" t="s">
        <v>130</v>
      </c>
      <c r="D794">
        <v>1952</v>
      </c>
      <c r="E794" t="s">
        <v>15</v>
      </c>
      <c r="F794" t="s">
        <v>16</v>
      </c>
      <c r="G794" t="s">
        <v>17</v>
      </c>
      <c r="H794" t="s">
        <v>18</v>
      </c>
      <c r="I794">
        <v>38.091999999999999</v>
      </c>
      <c r="J794" t="s">
        <v>19</v>
      </c>
      <c r="K794" t="s">
        <v>1113</v>
      </c>
      <c r="L794" t="s">
        <v>21</v>
      </c>
    </row>
    <row r="795" spans="1:12">
      <c r="A795" t="s">
        <v>1114</v>
      </c>
      <c r="B795" t="s">
        <v>1112</v>
      </c>
      <c r="C795" t="s">
        <v>130</v>
      </c>
      <c r="D795">
        <v>1952</v>
      </c>
      <c r="E795" t="s">
        <v>23</v>
      </c>
      <c r="F795" t="s">
        <v>24</v>
      </c>
      <c r="G795" t="s">
        <v>25</v>
      </c>
      <c r="H795" t="s">
        <v>26</v>
      </c>
      <c r="I795">
        <v>2682462</v>
      </c>
      <c r="J795" t="s">
        <v>27</v>
      </c>
      <c r="K795" t="s">
        <v>1113</v>
      </c>
      <c r="L795" t="s">
        <v>21</v>
      </c>
    </row>
    <row r="796" spans="1:12">
      <c r="A796" t="s">
        <v>1115</v>
      </c>
      <c r="B796" t="s">
        <v>1112</v>
      </c>
      <c r="C796" t="s">
        <v>130</v>
      </c>
      <c r="D796">
        <v>1952</v>
      </c>
      <c r="E796" t="s">
        <v>29</v>
      </c>
      <c r="F796" t="s">
        <v>30</v>
      </c>
      <c r="G796" t="s">
        <v>31</v>
      </c>
      <c r="H796" t="s">
        <v>32</v>
      </c>
      <c r="I796">
        <v>1178.665927</v>
      </c>
      <c r="J796" t="s">
        <v>33</v>
      </c>
      <c r="K796" t="s">
        <v>1113</v>
      </c>
      <c r="L796" t="s">
        <v>21</v>
      </c>
    </row>
    <row r="797" spans="1:12">
      <c r="A797" t="s">
        <v>1116</v>
      </c>
      <c r="B797" t="s">
        <v>1112</v>
      </c>
      <c r="C797" t="s">
        <v>130</v>
      </c>
      <c r="D797">
        <v>1957</v>
      </c>
      <c r="E797" t="s">
        <v>15</v>
      </c>
      <c r="F797" t="s">
        <v>16</v>
      </c>
      <c r="G797" t="s">
        <v>17</v>
      </c>
      <c r="H797" t="s">
        <v>18</v>
      </c>
      <c r="I797">
        <v>39.881</v>
      </c>
      <c r="J797" t="s">
        <v>19</v>
      </c>
      <c r="K797" t="s">
        <v>1117</v>
      </c>
      <c r="L797" t="s">
        <v>21</v>
      </c>
    </row>
    <row r="798" spans="1:12">
      <c r="A798" t="s">
        <v>1118</v>
      </c>
      <c r="B798" t="s">
        <v>1112</v>
      </c>
      <c r="C798" t="s">
        <v>130</v>
      </c>
      <c r="D798">
        <v>1957</v>
      </c>
      <c r="E798" t="s">
        <v>23</v>
      </c>
      <c r="F798" t="s">
        <v>24</v>
      </c>
      <c r="G798" t="s">
        <v>25</v>
      </c>
      <c r="H798" t="s">
        <v>26</v>
      </c>
      <c r="I798">
        <v>2894855</v>
      </c>
      <c r="J798" t="s">
        <v>27</v>
      </c>
      <c r="K798" t="s">
        <v>1117</v>
      </c>
      <c r="L798" t="s">
        <v>21</v>
      </c>
    </row>
    <row r="799" spans="1:12">
      <c r="A799" t="s">
        <v>1119</v>
      </c>
      <c r="B799" t="s">
        <v>1112</v>
      </c>
      <c r="C799" t="s">
        <v>130</v>
      </c>
      <c r="D799">
        <v>1957</v>
      </c>
      <c r="E799" t="s">
        <v>29</v>
      </c>
      <c r="F799" t="s">
        <v>30</v>
      </c>
      <c r="G799" t="s">
        <v>31</v>
      </c>
      <c r="H799" t="s">
        <v>32</v>
      </c>
      <c r="I799">
        <v>1308.4955769999999</v>
      </c>
      <c r="J799" t="s">
        <v>33</v>
      </c>
      <c r="K799" t="s">
        <v>1117</v>
      </c>
      <c r="L799" t="s">
        <v>21</v>
      </c>
    </row>
    <row r="800" spans="1:12">
      <c r="A800" t="s">
        <v>1120</v>
      </c>
      <c r="B800" t="s">
        <v>1112</v>
      </c>
      <c r="C800" t="s">
        <v>130</v>
      </c>
      <c r="D800">
        <v>1962</v>
      </c>
      <c r="E800" t="s">
        <v>15</v>
      </c>
      <c r="F800" t="s">
        <v>16</v>
      </c>
      <c r="G800" t="s">
        <v>17</v>
      </c>
      <c r="H800" t="s">
        <v>18</v>
      </c>
      <c r="I800">
        <v>41.716000000000001</v>
      </c>
      <c r="J800" t="s">
        <v>19</v>
      </c>
      <c r="K800" t="s">
        <v>1121</v>
      </c>
      <c r="L800" t="s">
        <v>21</v>
      </c>
    </row>
    <row r="801" spans="1:12">
      <c r="A801" t="s">
        <v>1122</v>
      </c>
      <c r="B801" t="s">
        <v>1112</v>
      </c>
      <c r="C801" t="s">
        <v>130</v>
      </c>
      <c r="D801">
        <v>1962</v>
      </c>
      <c r="E801" t="s">
        <v>23</v>
      </c>
      <c r="F801" t="s">
        <v>24</v>
      </c>
      <c r="G801" t="s">
        <v>25</v>
      </c>
      <c r="H801" t="s">
        <v>26</v>
      </c>
      <c r="I801">
        <v>3150417</v>
      </c>
      <c r="J801" t="s">
        <v>27</v>
      </c>
      <c r="K801" t="s">
        <v>1121</v>
      </c>
      <c r="L801" t="s">
        <v>21</v>
      </c>
    </row>
    <row r="802" spans="1:12">
      <c r="A802" t="s">
        <v>1123</v>
      </c>
      <c r="B802" t="s">
        <v>1112</v>
      </c>
      <c r="C802" t="s">
        <v>130</v>
      </c>
      <c r="D802">
        <v>1962</v>
      </c>
      <c r="E802" t="s">
        <v>29</v>
      </c>
      <c r="F802" t="s">
        <v>30</v>
      </c>
      <c r="G802" t="s">
        <v>31</v>
      </c>
      <c r="H802" t="s">
        <v>32</v>
      </c>
      <c r="I802">
        <v>1389.817618</v>
      </c>
      <c r="J802" t="s">
        <v>33</v>
      </c>
      <c r="K802" t="s">
        <v>1121</v>
      </c>
      <c r="L802" t="s">
        <v>21</v>
      </c>
    </row>
    <row r="803" spans="1:12">
      <c r="A803" t="s">
        <v>1124</v>
      </c>
      <c r="B803" t="s">
        <v>1112</v>
      </c>
      <c r="C803" t="s">
        <v>130</v>
      </c>
      <c r="D803">
        <v>1967</v>
      </c>
      <c r="E803" t="s">
        <v>15</v>
      </c>
      <c r="F803" t="s">
        <v>16</v>
      </c>
      <c r="G803" t="s">
        <v>17</v>
      </c>
      <c r="H803" t="s">
        <v>18</v>
      </c>
      <c r="I803">
        <v>43.600999999999999</v>
      </c>
      <c r="J803" t="s">
        <v>19</v>
      </c>
      <c r="K803" t="s">
        <v>1125</v>
      </c>
      <c r="L803" t="s">
        <v>21</v>
      </c>
    </row>
    <row r="804" spans="1:12">
      <c r="A804" t="s">
        <v>1126</v>
      </c>
      <c r="B804" t="s">
        <v>1112</v>
      </c>
      <c r="C804" t="s">
        <v>130</v>
      </c>
      <c r="D804">
        <v>1967</v>
      </c>
      <c r="E804" t="s">
        <v>23</v>
      </c>
      <c r="F804" t="s">
        <v>24</v>
      </c>
      <c r="G804" t="s">
        <v>25</v>
      </c>
      <c r="H804" t="s">
        <v>26</v>
      </c>
      <c r="I804">
        <v>3495967</v>
      </c>
      <c r="J804" t="s">
        <v>27</v>
      </c>
      <c r="K804" t="s">
        <v>1125</v>
      </c>
      <c r="L804" t="s">
        <v>21</v>
      </c>
    </row>
    <row r="805" spans="1:12">
      <c r="A805" t="s">
        <v>1127</v>
      </c>
      <c r="B805" t="s">
        <v>1112</v>
      </c>
      <c r="C805" t="s">
        <v>130</v>
      </c>
      <c r="D805">
        <v>1967</v>
      </c>
      <c r="E805" t="s">
        <v>29</v>
      </c>
      <c r="F805" t="s">
        <v>30</v>
      </c>
      <c r="G805" t="s">
        <v>31</v>
      </c>
      <c r="H805" t="s">
        <v>32</v>
      </c>
      <c r="I805">
        <v>1196.810565</v>
      </c>
      <c r="J805" t="s">
        <v>33</v>
      </c>
      <c r="K805" t="s">
        <v>1125</v>
      </c>
      <c r="L805" t="s">
        <v>21</v>
      </c>
    </row>
    <row r="806" spans="1:12">
      <c r="A806" t="s">
        <v>1128</v>
      </c>
      <c r="B806" t="s">
        <v>1112</v>
      </c>
      <c r="C806" t="s">
        <v>130</v>
      </c>
      <c r="D806">
        <v>1972</v>
      </c>
      <c r="E806" t="s">
        <v>15</v>
      </c>
      <c r="F806" t="s">
        <v>16</v>
      </c>
      <c r="G806" t="s">
        <v>17</v>
      </c>
      <c r="H806" t="s">
        <v>18</v>
      </c>
      <c r="I806">
        <v>45.569000000000003</v>
      </c>
      <c r="J806" t="s">
        <v>19</v>
      </c>
      <c r="K806" t="s">
        <v>1129</v>
      </c>
      <c r="L806" t="s">
        <v>21</v>
      </c>
    </row>
    <row r="807" spans="1:12">
      <c r="A807" t="s">
        <v>1130</v>
      </c>
      <c r="B807" t="s">
        <v>1112</v>
      </c>
      <c r="C807" t="s">
        <v>130</v>
      </c>
      <c r="D807">
        <v>1972</v>
      </c>
      <c r="E807" t="s">
        <v>23</v>
      </c>
      <c r="F807" t="s">
        <v>24</v>
      </c>
      <c r="G807" t="s">
        <v>25</v>
      </c>
      <c r="H807" t="s">
        <v>26</v>
      </c>
      <c r="I807">
        <v>3899068</v>
      </c>
      <c r="J807" t="s">
        <v>27</v>
      </c>
      <c r="K807" t="s">
        <v>1129</v>
      </c>
      <c r="L807" t="s">
        <v>21</v>
      </c>
    </row>
    <row r="808" spans="1:12">
      <c r="A808" t="s">
        <v>1131</v>
      </c>
      <c r="B808" t="s">
        <v>1112</v>
      </c>
      <c r="C808" t="s">
        <v>130</v>
      </c>
      <c r="D808">
        <v>1972</v>
      </c>
      <c r="E808" t="s">
        <v>29</v>
      </c>
      <c r="F808" t="s">
        <v>30</v>
      </c>
      <c r="G808" t="s">
        <v>31</v>
      </c>
      <c r="H808" t="s">
        <v>32</v>
      </c>
      <c r="I808">
        <v>1104.103987</v>
      </c>
      <c r="J808" t="s">
        <v>33</v>
      </c>
      <c r="K808" t="s">
        <v>1129</v>
      </c>
      <c r="L808" t="s">
        <v>21</v>
      </c>
    </row>
    <row r="809" spans="1:12">
      <c r="A809" t="s">
        <v>1132</v>
      </c>
      <c r="B809" t="s">
        <v>1112</v>
      </c>
      <c r="C809" t="s">
        <v>130</v>
      </c>
      <c r="D809">
        <v>1977</v>
      </c>
      <c r="E809" t="s">
        <v>15</v>
      </c>
      <c r="F809" t="s">
        <v>16</v>
      </c>
      <c r="G809" t="s">
        <v>17</v>
      </c>
      <c r="H809" t="s">
        <v>18</v>
      </c>
      <c r="I809">
        <v>47.383000000000003</v>
      </c>
      <c r="J809" t="s">
        <v>19</v>
      </c>
      <c r="K809" t="s">
        <v>1133</v>
      </c>
      <c r="L809" t="s">
        <v>21</v>
      </c>
    </row>
    <row r="810" spans="1:12">
      <c r="A810" t="s">
        <v>1134</v>
      </c>
      <c r="B810" t="s">
        <v>1112</v>
      </c>
      <c r="C810" t="s">
        <v>130</v>
      </c>
      <c r="D810">
        <v>1977</v>
      </c>
      <c r="E810" t="s">
        <v>23</v>
      </c>
      <c r="F810" t="s">
        <v>24</v>
      </c>
      <c r="G810" t="s">
        <v>25</v>
      </c>
      <c r="H810" t="s">
        <v>26</v>
      </c>
      <c r="I810">
        <v>4388260</v>
      </c>
      <c r="J810" t="s">
        <v>27</v>
      </c>
      <c r="K810" t="s">
        <v>1133</v>
      </c>
      <c r="L810" t="s">
        <v>21</v>
      </c>
    </row>
    <row r="811" spans="1:12">
      <c r="A811" t="s">
        <v>1135</v>
      </c>
      <c r="B811" t="s">
        <v>1112</v>
      </c>
      <c r="C811" t="s">
        <v>130</v>
      </c>
      <c r="D811">
        <v>1977</v>
      </c>
      <c r="E811" t="s">
        <v>29</v>
      </c>
      <c r="F811" t="s">
        <v>30</v>
      </c>
      <c r="G811" t="s">
        <v>31</v>
      </c>
      <c r="H811" t="s">
        <v>32</v>
      </c>
      <c r="I811">
        <v>1133.98495</v>
      </c>
      <c r="J811" t="s">
        <v>33</v>
      </c>
      <c r="K811" t="s">
        <v>1133</v>
      </c>
      <c r="L811" t="s">
        <v>21</v>
      </c>
    </row>
    <row r="812" spans="1:12">
      <c r="A812" t="s">
        <v>1136</v>
      </c>
      <c r="B812" t="s">
        <v>1112</v>
      </c>
      <c r="C812" t="s">
        <v>130</v>
      </c>
      <c r="D812">
        <v>1982</v>
      </c>
      <c r="E812" t="s">
        <v>15</v>
      </c>
      <c r="F812" t="s">
        <v>16</v>
      </c>
      <c r="G812" t="s">
        <v>17</v>
      </c>
      <c r="H812" t="s">
        <v>18</v>
      </c>
      <c r="I812">
        <v>49.517000000000003</v>
      </c>
      <c r="J812" t="s">
        <v>19</v>
      </c>
      <c r="K812" t="s">
        <v>1137</v>
      </c>
      <c r="L812" t="s">
        <v>21</v>
      </c>
    </row>
    <row r="813" spans="1:12">
      <c r="A813" t="s">
        <v>1138</v>
      </c>
      <c r="B813" t="s">
        <v>1112</v>
      </c>
      <c r="C813" t="s">
        <v>130</v>
      </c>
      <c r="D813">
        <v>1982</v>
      </c>
      <c r="E813" t="s">
        <v>23</v>
      </c>
      <c r="F813" t="s">
        <v>24</v>
      </c>
      <c r="G813" t="s">
        <v>25</v>
      </c>
      <c r="H813" t="s">
        <v>26</v>
      </c>
      <c r="I813">
        <v>4875118</v>
      </c>
      <c r="J813" t="s">
        <v>27</v>
      </c>
      <c r="K813" t="s">
        <v>1137</v>
      </c>
      <c r="L813" t="s">
        <v>21</v>
      </c>
    </row>
    <row r="814" spans="1:12">
      <c r="A814" t="s">
        <v>1139</v>
      </c>
      <c r="B814" t="s">
        <v>1112</v>
      </c>
      <c r="C814" t="s">
        <v>130</v>
      </c>
      <c r="D814">
        <v>1982</v>
      </c>
      <c r="E814" t="s">
        <v>29</v>
      </c>
      <c r="F814" t="s">
        <v>30</v>
      </c>
      <c r="G814" t="s">
        <v>31</v>
      </c>
      <c r="H814" t="s">
        <v>32</v>
      </c>
      <c r="I814">
        <v>797.90810060000001</v>
      </c>
      <c r="J814" t="s">
        <v>33</v>
      </c>
      <c r="K814" t="s">
        <v>1137</v>
      </c>
      <c r="L814" t="s">
        <v>21</v>
      </c>
    </row>
    <row r="815" spans="1:12">
      <c r="A815" t="s">
        <v>1140</v>
      </c>
      <c r="B815" t="s">
        <v>1112</v>
      </c>
      <c r="C815" t="s">
        <v>130</v>
      </c>
      <c r="D815">
        <v>1987</v>
      </c>
      <c r="E815" t="s">
        <v>15</v>
      </c>
      <c r="F815" t="s">
        <v>16</v>
      </c>
      <c r="G815" t="s">
        <v>17</v>
      </c>
      <c r="H815" t="s">
        <v>18</v>
      </c>
      <c r="I815">
        <v>51.051000000000002</v>
      </c>
      <c r="J815" t="s">
        <v>19</v>
      </c>
      <c r="K815" t="s">
        <v>1141</v>
      </c>
      <c r="L815" t="s">
        <v>21</v>
      </c>
    </row>
    <row r="816" spans="1:12">
      <c r="A816" t="s">
        <v>1142</v>
      </c>
      <c r="B816" t="s">
        <v>1112</v>
      </c>
      <c r="C816" t="s">
        <v>130</v>
      </c>
      <c r="D816">
        <v>1987</v>
      </c>
      <c r="E816" t="s">
        <v>23</v>
      </c>
      <c r="F816" t="s">
        <v>24</v>
      </c>
      <c r="G816" t="s">
        <v>25</v>
      </c>
      <c r="H816" t="s">
        <v>26</v>
      </c>
      <c r="I816">
        <v>5498955</v>
      </c>
      <c r="J816" t="s">
        <v>27</v>
      </c>
      <c r="K816" t="s">
        <v>1141</v>
      </c>
      <c r="L816" t="s">
        <v>21</v>
      </c>
    </row>
    <row r="817" spans="1:12">
      <c r="A817" t="s">
        <v>1143</v>
      </c>
      <c r="B817" t="s">
        <v>1112</v>
      </c>
      <c r="C817" t="s">
        <v>130</v>
      </c>
      <c r="D817">
        <v>1987</v>
      </c>
      <c r="E817" t="s">
        <v>29</v>
      </c>
      <c r="F817" t="s">
        <v>30</v>
      </c>
      <c r="G817" t="s">
        <v>31</v>
      </c>
      <c r="H817" t="s">
        <v>32</v>
      </c>
      <c r="I817">
        <v>952.38612899999998</v>
      </c>
      <c r="J817" t="s">
        <v>33</v>
      </c>
      <c r="K817" t="s">
        <v>1141</v>
      </c>
      <c r="L817" t="s">
        <v>21</v>
      </c>
    </row>
    <row r="818" spans="1:12">
      <c r="A818" t="s">
        <v>1144</v>
      </c>
      <c r="B818" t="s">
        <v>1112</v>
      </c>
      <c r="C818" t="s">
        <v>130</v>
      </c>
      <c r="D818">
        <v>1992</v>
      </c>
      <c r="E818" t="s">
        <v>15</v>
      </c>
      <c r="F818" t="s">
        <v>16</v>
      </c>
      <c r="G818" t="s">
        <v>17</v>
      </c>
      <c r="H818" t="s">
        <v>18</v>
      </c>
      <c r="I818">
        <v>51.723999999999997</v>
      </c>
      <c r="J818" t="s">
        <v>19</v>
      </c>
      <c r="K818" t="s">
        <v>1145</v>
      </c>
      <c r="L818" t="s">
        <v>21</v>
      </c>
    </row>
    <row r="819" spans="1:12">
      <c r="A819" t="s">
        <v>1146</v>
      </c>
      <c r="B819" t="s">
        <v>1112</v>
      </c>
      <c r="C819" t="s">
        <v>130</v>
      </c>
      <c r="D819">
        <v>1992</v>
      </c>
      <c r="E819" t="s">
        <v>23</v>
      </c>
      <c r="F819" t="s">
        <v>24</v>
      </c>
      <c r="G819" t="s">
        <v>25</v>
      </c>
      <c r="H819" t="s">
        <v>26</v>
      </c>
      <c r="I819">
        <v>6429417</v>
      </c>
      <c r="J819" t="s">
        <v>27</v>
      </c>
      <c r="K819" t="s">
        <v>1145</v>
      </c>
      <c r="L819" t="s">
        <v>21</v>
      </c>
    </row>
    <row r="820" spans="1:12">
      <c r="A820" t="s">
        <v>1147</v>
      </c>
      <c r="B820" t="s">
        <v>1112</v>
      </c>
      <c r="C820" t="s">
        <v>130</v>
      </c>
      <c r="D820">
        <v>1992</v>
      </c>
      <c r="E820" t="s">
        <v>29</v>
      </c>
      <c r="F820" t="s">
        <v>30</v>
      </c>
      <c r="G820" t="s">
        <v>31</v>
      </c>
      <c r="H820" t="s">
        <v>32</v>
      </c>
      <c r="I820">
        <v>1058.0643</v>
      </c>
      <c r="J820" t="s">
        <v>33</v>
      </c>
      <c r="K820" t="s">
        <v>1145</v>
      </c>
      <c r="L820" t="s">
        <v>21</v>
      </c>
    </row>
    <row r="821" spans="1:12">
      <c r="A821" t="s">
        <v>1148</v>
      </c>
      <c r="B821" t="s">
        <v>1112</v>
      </c>
      <c r="C821" t="s">
        <v>130</v>
      </c>
      <c r="D821">
        <v>1997</v>
      </c>
      <c r="E821" t="s">
        <v>15</v>
      </c>
      <c r="F821" t="s">
        <v>16</v>
      </c>
      <c r="G821" t="s">
        <v>17</v>
      </c>
      <c r="H821" t="s">
        <v>18</v>
      </c>
      <c r="I821">
        <v>51.573</v>
      </c>
      <c r="J821" t="s">
        <v>19</v>
      </c>
      <c r="K821" t="s">
        <v>1149</v>
      </c>
      <c r="L821" t="s">
        <v>21</v>
      </c>
    </row>
    <row r="822" spans="1:12">
      <c r="A822" t="s">
        <v>1150</v>
      </c>
      <c r="B822" t="s">
        <v>1112</v>
      </c>
      <c r="C822" t="s">
        <v>130</v>
      </c>
      <c r="D822">
        <v>1997</v>
      </c>
      <c r="E822" t="s">
        <v>23</v>
      </c>
      <c r="F822" t="s">
        <v>24</v>
      </c>
      <c r="G822" t="s">
        <v>25</v>
      </c>
      <c r="H822" t="s">
        <v>26</v>
      </c>
      <c r="I822">
        <v>7562011</v>
      </c>
      <c r="J822" t="s">
        <v>27</v>
      </c>
      <c r="K822" t="s">
        <v>1149</v>
      </c>
      <c r="L822" t="s">
        <v>21</v>
      </c>
    </row>
    <row r="823" spans="1:12">
      <c r="A823" t="s">
        <v>1151</v>
      </c>
      <c r="B823" t="s">
        <v>1112</v>
      </c>
      <c r="C823" t="s">
        <v>130</v>
      </c>
      <c r="D823">
        <v>1997</v>
      </c>
      <c r="E823" t="s">
        <v>29</v>
      </c>
      <c r="F823" t="s">
        <v>30</v>
      </c>
      <c r="G823" t="s">
        <v>31</v>
      </c>
      <c r="H823" t="s">
        <v>32</v>
      </c>
      <c r="I823">
        <v>1004.961353</v>
      </c>
      <c r="J823" t="s">
        <v>33</v>
      </c>
      <c r="K823" t="s">
        <v>1149</v>
      </c>
      <c r="L823" t="s">
        <v>21</v>
      </c>
    </row>
    <row r="824" spans="1:12">
      <c r="A824" t="s">
        <v>1152</v>
      </c>
      <c r="B824" t="s">
        <v>1112</v>
      </c>
      <c r="C824" t="s">
        <v>130</v>
      </c>
      <c r="D824">
        <v>2002</v>
      </c>
      <c r="E824" t="s">
        <v>15</v>
      </c>
      <c r="F824" t="s">
        <v>16</v>
      </c>
      <c r="G824" t="s">
        <v>17</v>
      </c>
      <c r="H824" t="s">
        <v>18</v>
      </c>
      <c r="I824">
        <v>50.524999999999999</v>
      </c>
      <c r="J824" t="s">
        <v>19</v>
      </c>
      <c r="K824" t="s">
        <v>1153</v>
      </c>
      <c r="L824" t="s">
        <v>21</v>
      </c>
    </row>
    <row r="825" spans="1:12">
      <c r="A825" t="s">
        <v>1154</v>
      </c>
      <c r="B825" t="s">
        <v>1112</v>
      </c>
      <c r="C825" t="s">
        <v>130</v>
      </c>
      <c r="D825">
        <v>2002</v>
      </c>
      <c r="E825" t="s">
        <v>23</v>
      </c>
      <c r="F825" t="s">
        <v>24</v>
      </c>
      <c r="G825" t="s">
        <v>25</v>
      </c>
      <c r="H825" t="s">
        <v>26</v>
      </c>
      <c r="I825">
        <v>8835739</v>
      </c>
      <c r="J825" t="s">
        <v>27</v>
      </c>
      <c r="K825" t="s">
        <v>1153</v>
      </c>
      <c r="L825" t="s">
        <v>21</v>
      </c>
    </row>
    <row r="826" spans="1:12">
      <c r="A826" t="s">
        <v>1155</v>
      </c>
      <c r="B826" t="s">
        <v>1112</v>
      </c>
      <c r="C826" t="s">
        <v>130</v>
      </c>
      <c r="D826">
        <v>2002</v>
      </c>
      <c r="E826" t="s">
        <v>29</v>
      </c>
      <c r="F826" t="s">
        <v>30</v>
      </c>
      <c r="G826" t="s">
        <v>31</v>
      </c>
      <c r="H826" t="s">
        <v>32</v>
      </c>
      <c r="I826">
        <v>1156.1818599999999</v>
      </c>
      <c r="J826" t="s">
        <v>33</v>
      </c>
      <c r="K826" t="s">
        <v>1153</v>
      </c>
      <c r="L826" t="s">
        <v>21</v>
      </c>
    </row>
    <row r="827" spans="1:12">
      <c r="A827" t="s">
        <v>1156</v>
      </c>
      <c r="B827" t="s">
        <v>1112</v>
      </c>
      <c r="C827" t="s">
        <v>130</v>
      </c>
      <c r="D827">
        <v>2007</v>
      </c>
      <c r="E827" t="s">
        <v>15</v>
      </c>
      <c r="F827" t="s">
        <v>16</v>
      </c>
      <c r="G827" t="s">
        <v>17</v>
      </c>
      <c r="H827" t="s">
        <v>18</v>
      </c>
      <c r="I827">
        <v>50.651000000000003</v>
      </c>
      <c r="J827" t="s">
        <v>19</v>
      </c>
      <c r="K827" t="s">
        <v>1157</v>
      </c>
      <c r="L827" t="s">
        <v>21</v>
      </c>
    </row>
    <row r="828" spans="1:12">
      <c r="A828" t="s">
        <v>1158</v>
      </c>
      <c r="B828" t="s">
        <v>1112</v>
      </c>
      <c r="C828" t="s">
        <v>130</v>
      </c>
      <c r="D828">
        <v>2007</v>
      </c>
      <c r="E828" t="s">
        <v>23</v>
      </c>
      <c r="F828" t="s">
        <v>24</v>
      </c>
      <c r="G828" t="s">
        <v>25</v>
      </c>
      <c r="H828" t="s">
        <v>26</v>
      </c>
      <c r="I828">
        <v>10238807</v>
      </c>
      <c r="J828" t="s">
        <v>27</v>
      </c>
      <c r="K828" t="s">
        <v>1157</v>
      </c>
      <c r="L828" t="s">
        <v>21</v>
      </c>
    </row>
    <row r="829" spans="1:12">
      <c r="A829" t="s">
        <v>1159</v>
      </c>
      <c r="B829" t="s">
        <v>1112</v>
      </c>
      <c r="C829" t="s">
        <v>130</v>
      </c>
      <c r="D829">
        <v>2007</v>
      </c>
      <c r="E829" t="s">
        <v>29</v>
      </c>
      <c r="F829" t="s">
        <v>30</v>
      </c>
      <c r="G829" t="s">
        <v>31</v>
      </c>
      <c r="H829" t="s">
        <v>32</v>
      </c>
      <c r="I829">
        <v>1704.0637240000001</v>
      </c>
      <c r="J829" t="s">
        <v>33</v>
      </c>
      <c r="K829" t="s">
        <v>1157</v>
      </c>
      <c r="L829" t="s">
        <v>21</v>
      </c>
    </row>
    <row r="830" spans="1:12">
      <c r="A830" t="s">
        <v>1160</v>
      </c>
      <c r="B830" t="s">
        <v>1161</v>
      </c>
      <c r="C830" t="s">
        <v>229</v>
      </c>
      <c r="D830">
        <v>1952</v>
      </c>
      <c r="E830" t="s">
        <v>15</v>
      </c>
      <c r="F830" t="s">
        <v>16</v>
      </c>
      <c r="G830" t="s">
        <v>17</v>
      </c>
      <c r="H830" t="s">
        <v>18</v>
      </c>
      <c r="I830">
        <v>54.744999999999997</v>
      </c>
      <c r="J830" t="s">
        <v>19</v>
      </c>
      <c r="K830" t="s">
        <v>1162</v>
      </c>
      <c r="L830" t="s">
        <v>21</v>
      </c>
    </row>
    <row r="831" spans="1:12">
      <c r="A831" t="s">
        <v>1163</v>
      </c>
      <c r="B831" t="s">
        <v>1161</v>
      </c>
      <c r="C831" t="s">
        <v>229</v>
      </c>
      <c r="D831">
        <v>1952</v>
      </c>
      <c r="E831" t="s">
        <v>23</v>
      </c>
      <c r="F831" t="s">
        <v>24</v>
      </c>
      <c r="G831" t="s">
        <v>25</v>
      </c>
      <c r="H831" t="s">
        <v>26</v>
      </c>
      <c r="I831">
        <v>6377619</v>
      </c>
      <c r="J831" t="s">
        <v>27</v>
      </c>
      <c r="K831" t="s">
        <v>1162</v>
      </c>
      <c r="L831" t="s">
        <v>21</v>
      </c>
    </row>
    <row r="832" spans="1:12">
      <c r="A832" t="s">
        <v>1164</v>
      </c>
      <c r="B832" t="s">
        <v>1161</v>
      </c>
      <c r="C832" t="s">
        <v>229</v>
      </c>
      <c r="D832">
        <v>1952</v>
      </c>
      <c r="E832" t="s">
        <v>29</v>
      </c>
      <c r="F832" t="s">
        <v>30</v>
      </c>
      <c r="G832" t="s">
        <v>31</v>
      </c>
      <c r="H832" t="s">
        <v>32</v>
      </c>
      <c r="I832">
        <v>3939.9787889999998</v>
      </c>
      <c r="J832" t="s">
        <v>33</v>
      </c>
      <c r="K832" t="s">
        <v>1162</v>
      </c>
      <c r="L832" t="s">
        <v>21</v>
      </c>
    </row>
    <row r="833" spans="1:12">
      <c r="A833" t="s">
        <v>1165</v>
      </c>
      <c r="B833" t="s">
        <v>1161</v>
      </c>
      <c r="C833" t="s">
        <v>229</v>
      </c>
      <c r="D833">
        <v>1957</v>
      </c>
      <c r="E833" t="s">
        <v>15</v>
      </c>
      <c r="F833" t="s">
        <v>16</v>
      </c>
      <c r="G833" t="s">
        <v>17</v>
      </c>
      <c r="H833" t="s">
        <v>18</v>
      </c>
      <c r="I833">
        <v>56.073999999999998</v>
      </c>
      <c r="J833" t="s">
        <v>19</v>
      </c>
      <c r="K833" t="s">
        <v>1166</v>
      </c>
      <c r="L833" t="s">
        <v>21</v>
      </c>
    </row>
    <row r="834" spans="1:12">
      <c r="A834" t="s">
        <v>1167</v>
      </c>
      <c r="B834" t="s">
        <v>1161</v>
      </c>
      <c r="C834" t="s">
        <v>229</v>
      </c>
      <c r="D834">
        <v>1957</v>
      </c>
      <c r="E834" t="s">
        <v>23</v>
      </c>
      <c r="F834" t="s">
        <v>24</v>
      </c>
      <c r="G834" t="s">
        <v>25</v>
      </c>
      <c r="H834" t="s">
        <v>26</v>
      </c>
      <c r="I834">
        <v>7048426</v>
      </c>
      <c r="J834" t="s">
        <v>27</v>
      </c>
      <c r="K834" t="s">
        <v>1166</v>
      </c>
      <c r="L834" t="s">
        <v>21</v>
      </c>
    </row>
    <row r="835" spans="1:12">
      <c r="A835" t="s">
        <v>1168</v>
      </c>
      <c r="B835" t="s">
        <v>1161</v>
      </c>
      <c r="C835" t="s">
        <v>229</v>
      </c>
      <c r="D835">
        <v>1957</v>
      </c>
      <c r="E835" t="s">
        <v>29</v>
      </c>
      <c r="F835" t="s">
        <v>30</v>
      </c>
      <c r="G835" t="s">
        <v>31</v>
      </c>
      <c r="H835" t="s">
        <v>32</v>
      </c>
      <c r="I835">
        <v>4315.6227230000004</v>
      </c>
      <c r="J835" t="s">
        <v>33</v>
      </c>
      <c r="K835" t="s">
        <v>1166</v>
      </c>
      <c r="L835" t="s">
        <v>21</v>
      </c>
    </row>
    <row r="836" spans="1:12">
      <c r="A836" t="s">
        <v>1169</v>
      </c>
      <c r="B836" t="s">
        <v>1161</v>
      </c>
      <c r="C836" t="s">
        <v>229</v>
      </c>
      <c r="D836">
        <v>1962</v>
      </c>
      <c r="E836" t="s">
        <v>15</v>
      </c>
      <c r="F836" t="s">
        <v>16</v>
      </c>
      <c r="G836" t="s">
        <v>17</v>
      </c>
      <c r="H836" t="s">
        <v>18</v>
      </c>
      <c r="I836">
        <v>57.923999999999999</v>
      </c>
      <c r="J836" t="s">
        <v>19</v>
      </c>
      <c r="K836" t="s">
        <v>1170</v>
      </c>
      <c r="L836" t="s">
        <v>21</v>
      </c>
    </row>
    <row r="837" spans="1:12">
      <c r="A837" t="s">
        <v>1171</v>
      </c>
      <c r="B837" t="s">
        <v>1161</v>
      </c>
      <c r="C837" t="s">
        <v>229</v>
      </c>
      <c r="D837">
        <v>1962</v>
      </c>
      <c r="E837" t="s">
        <v>23</v>
      </c>
      <c r="F837" t="s">
        <v>24</v>
      </c>
      <c r="G837" t="s">
        <v>25</v>
      </c>
      <c r="H837" t="s">
        <v>26</v>
      </c>
      <c r="I837">
        <v>7961258</v>
      </c>
      <c r="J837" t="s">
        <v>27</v>
      </c>
      <c r="K837" t="s">
        <v>1170</v>
      </c>
      <c r="L837" t="s">
        <v>21</v>
      </c>
    </row>
    <row r="838" spans="1:12">
      <c r="A838" t="s">
        <v>1172</v>
      </c>
      <c r="B838" t="s">
        <v>1161</v>
      </c>
      <c r="C838" t="s">
        <v>229</v>
      </c>
      <c r="D838">
        <v>1962</v>
      </c>
      <c r="E838" t="s">
        <v>29</v>
      </c>
      <c r="F838" t="s">
        <v>30</v>
      </c>
      <c r="G838" t="s">
        <v>31</v>
      </c>
      <c r="H838" t="s">
        <v>32</v>
      </c>
      <c r="I838">
        <v>4519.0943310000002</v>
      </c>
      <c r="J838" t="s">
        <v>33</v>
      </c>
      <c r="K838" t="s">
        <v>1170</v>
      </c>
      <c r="L838" t="s">
        <v>21</v>
      </c>
    </row>
    <row r="839" spans="1:12">
      <c r="A839" t="s">
        <v>1173</v>
      </c>
      <c r="B839" t="s">
        <v>1161</v>
      </c>
      <c r="C839" t="s">
        <v>229</v>
      </c>
      <c r="D839">
        <v>1967</v>
      </c>
      <c r="E839" t="s">
        <v>15</v>
      </c>
      <c r="F839" t="s">
        <v>16</v>
      </c>
      <c r="G839" t="s">
        <v>17</v>
      </c>
      <c r="H839" t="s">
        <v>18</v>
      </c>
      <c r="I839">
        <v>60.523000000000003</v>
      </c>
      <c r="J839" t="s">
        <v>19</v>
      </c>
      <c r="K839" t="s">
        <v>1174</v>
      </c>
      <c r="L839" t="s">
        <v>21</v>
      </c>
    </row>
    <row r="840" spans="1:12">
      <c r="A840" t="s">
        <v>1175</v>
      </c>
      <c r="B840" t="s">
        <v>1161</v>
      </c>
      <c r="C840" t="s">
        <v>229</v>
      </c>
      <c r="D840">
        <v>1967</v>
      </c>
      <c r="E840" t="s">
        <v>23</v>
      </c>
      <c r="F840" t="s">
        <v>24</v>
      </c>
      <c r="G840" t="s">
        <v>25</v>
      </c>
      <c r="H840" t="s">
        <v>26</v>
      </c>
      <c r="I840">
        <v>8858908</v>
      </c>
      <c r="J840" t="s">
        <v>27</v>
      </c>
      <c r="K840" t="s">
        <v>1174</v>
      </c>
      <c r="L840" t="s">
        <v>21</v>
      </c>
    </row>
    <row r="841" spans="1:12">
      <c r="A841" t="s">
        <v>1176</v>
      </c>
      <c r="B841" t="s">
        <v>1161</v>
      </c>
      <c r="C841" t="s">
        <v>229</v>
      </c>
      <c r="D841">
        <v>1967</v>
      </c>
      <c r="E841" t="s">
        <v>29</v>
      </c>
      <c r="F841" t="s">
        <v>30</v>
      </c>
      <c r="G841" t="s">
        <v>31</v>
      </c>
      <c r="H841" t="s">
        <v>32</v>
      </c>
      <c r="I841">
        <v>5106.654313</v>
      </c>
      <c r="J841" t="s">
        <v>33</v>
      </c>
      <c r="K841" t="s">
        <v>1174</v>
      </c>
      <c r="L841" t="s">
        <v>21</v>
      </c>
    </row>
    <row r="842" spans="1:12">
      <c r="A842" t="s">
        <v>1177</v>
      </c>
      <c r="B842" t="s">
        <v>1161</v>
      </c>
      <c r="C842" t="s">
        <v>229</v>
      </c>
      <c r="D842">
        <v>1972</v>
      </c>
      <c r="E842" t="s">
        <v>15</v>
      </c>
      <c r="F842" t="s">
        <v>16</v>
      </c>
      <c r="G842" t="s">
        <v>17</v>
      </c>
      <c r="H842" t="s">
        <v>18</v>
      </c>
      <c r="I842">
        <v>63.441000000000003</v>
      </c>
      <c r="J842" t="s">
        <v>19</v>
      </c>
      <c r="K842" t="s">
        <v>1178</v>
      </c>
      <c r="L842" t="s">
        <v>21</v>
      </c>
    </row>
    <row r="843" spans="1:12">
      <c r="A843" t="s">
        <v>1179</v>
      </c>
      <c r="B843" t="s">
        <v>1161</v>
      </c>
      <c r="C843" t="s">
        <v>229</v>
      </c>
      <c r="D843">
        <v>1972</v>
      </c>
      <c r="E843" t="s">
        <v>23</v>
      </c>
      <c r="F843" t="s">
        <v>24</v>
      </c>
      <c r="G843" t="s">
        <v>25</v>
      </c>
      <c r="H843" t="s">
        <v>26</v>
      </c>
      <c r="I843">
        <v>9717524</v>
      </c>
      <c r="J843" t="s">
        <v>27</v>
      </c>
      <c r="K843" t="s">
        <v>1178</v>
      </c>
      <c r="L843" t="s">
        <v>21</v>
      </c>
    </row>
    <row r="844" spans="1:12">
      <c r="A844" t="s">
        <v>1180</v>
      </c>
      <c r="B844" t="s">
        <v>1161</v>
      </c>
      <c r="C844" t="s">
        <v>229</v>
      </c>
      <c r="D844">
        <v>1972</v>
      </c>
      <c r="E844" t="s">
        <v>29</v>
      </c>
      <c r="F844" t="s">
        <v>30</v>
      </c>
      <c r="G844" t="s">
        <v>31</v>
      </c>
      <c r="H844" t="s">
        <v>32</v>
      </c>
      <c r="I844">
        <v>5494.024437</v>
      </c>
      <c r="J844" t="s">
        <v>33</v>
      </c>
      <c r="K844" t="s">
        <v>1178</v>
      </c>
      <c r="L844" t="s">
        <v>21</v>
      </c>
    </row>
    <row r="845" spans="1:12">
      <c r="A845" t="s">
        <v>1181</v>
      </c>
      <c r="B845" t="s">
        <v>1161</v>
      </c>
      <c r="C845" t="s">
        <v>229</v>
      </c>
      <c r="D845">
        <v>1977</v>
      </c>
      <c r="E845" t="s">
        <v>15</v>
      </c>
      <c r="F845" t="s">
        <v>16</v>
      </c>
      <c r="G845" t="s">
        <v>17</v>
      </c>
      <c r="H845" t="s">
        <v>18</v>
      </c>
      <c r="I845">
        <v>67.051999999999893</v>
      </c>
      <c r="J845" t="s">
        <v>19</v>
      </c>
      <c r="K845" t="s">
        <v>1182</v>
      </c>
      <c r="L845" t="s">
        <v>21</v>
      </c>
    </row>
    <row r="846" spans="1:12">
      <c r="A846" t="s">
        <v>1183</v>
      </c>
      <c r="B846" t="s">
        <v>1161</v>
      </c>
      <c r="C846" t="s">
        <v>229</v>
      </c>
      <c r="D846">
        <v>1977</v>
      </c>
      <c r="E846" t="s">
        <v>23</v>
      </c>
      <c r="F846" t="s">
        <v>24</v>
      </c>
      <c r="G846" t="s">
        <v>25</v>
      </c>
      <c r="H846" t="s">
        <v>26</v>
      </c>
      <c r="I846">
        <v>10599793</v>
      </c>
      <c r="J846" t="s">
        <v>27</v>
      </c>
      <c r="K846" t="s">
        <v>1182</v>
      </c>
      <c r="L846" t="s">
        <v>21</v>
      </c>
    </row>
    <row r="847" spans="1:12">
      <c r="A847" t="s">
        <v>1184</v>
      </c>
      <c r="B847" t="s">
        <v>1161</v>
      </c>
      <c r="C847" t="s">
        <v>229</v>
      </c>
      <c r="D847">
        <v>1977</v>
      </c>
      <c r="E847" t="s">
        <v>29</v>
      </c>
      <c r="F847" t="s">
        <v>30</v>
      </c>
      <c r="G847" t="s">
        <v>31</v>
      </c>
      <c r="H847" t="s">
        <v>32</v>
      </c>
      <c r="I847">
        <v>4756.7638360000001</v>
      </c>
      <c r="J847" t="s">
        <v>33</v>
      </c>
      <c r="K847" t="s">
        <v>1182</v>
      </c>
      <c r="L847" t="s">
        <v>21</v>
      </c>
    </row>
    <row r="848" spans="1:12">
      <c r="A848" t="s">
        <v>1185</v>
      </c>
      <c r="B848" t="s">
        <v>1161</v>
      </c>
      <c r="C848" t="s">
        <v>229</v>
      </c>
      <c r="D848">
        <v>1982</v>
      </c>
      <c r="E848" t="s">
        <v>15</v>
      </c>
      <c r="F848" t="s">
        <v>16</v>
      </c>
      <c r="G848" t="s">
        <v>17</v>
      </c>
      <c r="H848" t="s">
        <v>18</v>
      </c>
      <c r="I848">
        <v>70.564999999999998</v>
      </c>
      <c r="J848" t="s">
        <v>19</v>
      </c>
      <c r="K848" t="s">
        <v>1186</v>
      </c>
      <c r="L848" t="s">
        <v>21</v>
      </c>
    </row>
    <row r="849" spans="1:12">
      <c r="A849" t="s">
        <v>1187</v>
      </c>
      <c r="B849" t="s">
        <v>1161</v>
      </c>
      <c r="C849" t="s">
        <v>229</v>
      </c>
      <c r="D849">
        <v>1982</v>
      </c>
      <c r="E849" t="s">
        <v>23</v>
      </c>
      <c r="F849" t="s">
        <v>24</v>
      </c>
      <c r="G849" t="s">
        <v>25</v>
      </c>
      <c r="H849" t="s">
        <v>26</v>
      </c>
      <c r="I849">
        <v>11487112</v>
      </c>
      <c r="J849" t="s">
        <v>27</v>
      </c>
      <c r="K849" t="s">
        <v>1186</v>
      </c>
      <c r="L849" t="s">
        <v>21</v>
      </c>
    </row>
    <row r="850" spans="1:12">
      <c r="A850" t="s">
        <v>1188</v>
      </c>
      <c r="B850" t="s">
        <v>1161</v>
      </c>
      <c r="C850" t="s">
        <v>229</v>
      </c>
      <c r="D850">
        <v>1982</v>
      </c>
      <c r="E850" t="s">
        <v>29</v>
      </c>
      <c r="F850" t="s">
        <v>30</v>
      </c>
      <c r="G850" t="s">
        <v>31</v>
      </c>
      <c r="H850" t="s">
        <v>32</v>
      </c>
      <c r="I850">
        <v>5095.6657379999997</v>
      </c>
      <c r="J850" t="s">
        <v>33</v>
      </c>
      <c r="K850" t="s">
        <v>1186</v>
      </c>
      <c r="L850" t="s">
        <v>21</v>
      </c>
    </row>
    <row r="851" spans="1:12">
      <c r="A851" t="s">
        <v>1189</v>
      </c>
      <c r="B851" t="s">
        <v>1161</v>
      </c>
      <c r="C851" t="s">
        <v>229</v>
      </c>
      <c r="D851">
        <v>1987</v>
      </c>
      <c r="E851" t="s">
        <v>15</v>
      </c>
      <c r="F851" t="s">
        <v>16</v>
      </c>
      <c r="G851" t="s">
        <v>17</v>
      </c>
      <c r="H851" t="s">
        <v>18</v>
      </c>
      <c r="I851">
        <v>72.492000000000004</v>
      </c>
      <c r="J851" t="s">
        <v>19</v>
      </c>
      <c r="K851" t="s">
        <v>1190</v>
      </c>
      <c r="L851" t="s">
        <v>21</v>
      </c>
    </row>
    <row r="852" spans="1:12">
      <c r="A852" t="s">
        <v>1191</v>
      </c>
      <c r="B852" t="s">
        <v>1161</v>
      </c>
      <c r="C852" t="s">
        <v>229</v>
      </c>
      <c r="D852">
        <v>1987</v>
      </c>
      <c r="E852" t="s">
        <v>23</v>
      </c>
      <c r="F852" t="s">
        <v>24</v>
      </c>
      <c r="G852" t="s">
        <v>25</v>
      </c>
      <c r="H852" t="s">
        <v>26</v>
      </c>
      <c r="I852">
        <v>12463354</v>
      </c>
      <c r="J852" t="s">
        <v>27</v>
      </c>
      <c r="K852" t="s">
        <v>1190</v>
      </c>
      <c r="L852" t="s">
        <v>21</v>
      </c>
    </row>
    <row r="853" spans="1:12">
      <c r="A853" t="s">
        <v>1192</v>
      </c>
      <c r="B853" t="s">
        <v>1161</v>
      </c>
      <c r="C853" t="s">
        <v>229</v>
      </c>
      <c r="D853">
        <v>1987</v>
      </c>
      <c r="E853" t="s">
        <v>29</v>
      </c>
      <c r="F853" t="s">
        <v>30</v>
      </c>
      <c r="G853" t="s">
        <v>31</v>
      </c>
      <c r="H853" t="s">
        <v>32</v>
      </c>
      <c r="I853">
        <v>5547.0637539999998</v>
      </c>
      <c r="J853" t="s">
        <v>33</v>
      </c>
      <c r="K853" t="s">
        <v>1190</v>
      </c>
      <c r="L853" t="s">
        <v>21</v>
      </c>
    </row>
    <row r="854" spans="1:12">
      <c r="A854" t="s">
        <v>1193</v>
      </c>
      <c r="B854" t="s">
        <v>1161</v>
      </c>
      <c r="C854" t="s">
        <v>229</v>
      </c>
      <c r="D854">
        <v>1992</v>
      </c>
      <c r="E854" t="s">
        <v>15</v>
      </c>
      <c r="F854" t="s">
        <v>16</v>
      </c>
      <c r="G854" t="s">
        <v>17</v>
      </c>
      <c r="H854" t="s">
        <v>18</v>
      </c>
      <c r="I854">
        <v>74.126000000000005</v>
      </c>
      <c r="J854" t="s">
        <v>19</v>
      </c>
      <c r="K854" t="s">
        <v>1194</v>
      </c>
      <c r="L854" t="s">
        <v>21</v>
      </c>
    </row>
    <row r="855" spans="1:12">
      <c r="A855" t="s">
        <v>1195</v>
      </c>
      <c r="B855" t="s">
        <v>1161</v>
      </c>
      <c r="C855" t="s">
        <v>229</v>
      </c>
      <c r="D855">
        <v>1992</v>
      </c>
      <c r="E855" t="s">
        <v>23</v>
      </c>
      <c r="F855" t="s">
        <v>24</v>
      </c>
      <c r="G855" t="s">
        <v>25</v>
      </c>
      <c r="H855" t="s">
        <v>26</v>
      </c>
      <c r="I855">
        <v>13572994</v>
      </c>
      <c r="J855" t="s">
        <v>27</v>
      </c>
      <c r="K855" t="s">
        <v>1194</v>
      </c>
      <c r="L855" t="s">
        <v>21</v>
      </c>
    </row>
    <row r="856" spans="1:12">
      <c r="A856" t="s">
        <v>1196</v>
      </c>
      <c r="B856" t="s">
        <v>1161</v>
      </c>
      <c r="C856" t="s">
        <v>229</v>
      </c>
      <c r="D856">
        <v>1992</v>
      </c>
      <c r="E856" t="s">
        <v>29</v>
      </c>
      <c r="F856" t="s">
        <v>30</v>
      </c>
      <c r="G856" t="s">
        <v>31</v>
      </c>
      <c r="H856" t="s">
        <v>32</v>
      </c>
      <c r="I856">
        <v>7596.1259639999998</v>
      </c>
      <c r="J856" t="s">
        <v>33</v>
      </c>
      <c r="K856" t="s">
        <v>1194</v>
      </c>
      <c r="L856" t="s">
        <v>21</v>
      </c>
    </row>
    <row r="857" spans="1:12">
      <c r="A857" t="s">
        <v>1197</v>
      </c>
      <c r="B857" t="s">
        <v>1161</v>
      </c>
      <c r="C857" t="s">
        <v>229</v>
      </c>
      <c r="D857">
        <v>1997</v>
      </c>
      <c r="E857" t="s">
        <v>15</v>
      </c>
      <c r="F857" t="s">
        <v>16</v>
      </c>
      <c r="G857" t="s">
        <v>17</v>
      </c>
      <c r="H857" t="s">
        <v>18</v>
      </c>
      <c r="I857">
        <v>75.816000000000003</v>
      </c>
      <c r="J857" t="s">
        <v>19</v>
      </c>
      <c r="K857" t="s">
        <v>1198</v>
      </c>
      <c r="L857" t="s">
        <v>21</v>
      </c>
    </row>
    <row r="858" spans="1:12">
      <c r="A858" t="s">
        <v>1199</v>
      </c>
      <c r="B858" t="s">
        <v>1161</v>
      </c>
      <c r="C858" t="s">
        <v>229</v>
      </c>
      <c r="D858">
        <v>1997</v>
      </c>
      <c r="E858" t="s">
        <v>23</v>
      </c>
      <c r="F858" t="s">
        <v>24</v>
      </c>
      <c r="G858" t="s">
        <v>25</v>
      </c>
      <c r="H858" t="s">
        <v>26</v>
      </c>
      <c r="I858">
        <v>14599929</v>
      </c>
      <c r="J858" t="s">
        <v>27</v>
      </c>
      <c r="K858" t="s">
        <v>1198</v>
      </c>
      <c r="L858" t="s">
        <v>21</v>
      </c>
    </row>
    <row r="859" spans="1:12">
      <c r="A859" t="s">
        <v>1200</v>
      </c>
      <c r="B859" t="s">
        <v>1161</v>
      </c>
      <c r="C859" t="s">
        <v>229</v>
      </c>
      <c r="D859">
        <v>1997</v>
      </c>
      <c r="E859" t="s">
        <v>29</v>
      </c>
      <c r="F859" t="s">
        <v>30</v>
      </c>
      <c r="G859" t="s">
        <v>31</v>
      </c>
      <c r="H859" t="s">
        <v>32</v>
      </c>
      <c r="I859">
        <v>10118.053180000001</v>
      </c>
      <c r="J859" t="s">
        <v>33</v>
      </c>
      <c r="K859" t="s">
        <v>1198</v>
      </c>
      <c r="L859" t="s">
        <v>21</v>
      </c>
    </row>
    <row r="860" spans="1:12">
      <c r="A860" t="s">
        <v>1201</v>
      </c>
      <c r="B860" t="s">
        <v>1161</v>
      </c>
      <c r="C860" t="s">
        <v>229</v>
      </c>
      <c r="D860">
        <v>2002</v>
      </c>
      <c r="E860" t="s">
        <v>15</v>
      </c>
      <c r="F860" t="s">
        <v>16</v>
      </c>
      <c r="G860" t="s">
        <v>17</v>
      </c>
      <c r="H860" t="s">
        <v>18</v>
      </c>
      <c r="I860">
        <v>77.86</v>
      </c>
      <c r="J860" t="s">
        <v>19</v>
      </c>
      <c r="K860" t="s">
        <v>1202</v>
      </c>
      <c r="L860" t="s">
        <v>21</v>
      </c>
    </row>
    <row r="861" spans="1:12">
      <c r="A861" t="s">
        <v>1203</v>
      </c>
      <c r="B861" t="s">
        <v>1161</v>
      </c>
      <c r="C861" t="s">
        <v>229</v>
      </c>
      <c r="D861">
        <v>2002</v>
      </c>
      <c r="E861" t="s">
        <v>23</v>
      </c>
      <c r="F861" t="s">
        <v>24</v>
      </c>
      <c r="G861" t="s">
        <v>25</v>
      </c>
      <c r="H861" t="s">
        <v>26</v>
      </c>
      <c r="I861">
        <v>15497046</v>
      </c>
      <c r="J861" t="s">
        <v>27</v>
      </c>
      <c r="K861" t="s">
        <v>1202</v>
      </c>
      <c r="L861" t="s">
        <v>21</v>
      </c>
    </row>
    <row r="862" spans="1:12">
      <c r="A862" t="s">
        <v>1204</v>
      </c>
      <c r="B862" t="s">
        <v>1161</v>
      </c>
      <c r="C862" t="s">
        <v>229</v>
      </c>
      <c r="D862">
        <v>2002</v>
      </c>
      <c r="E862" t="s">
        <v>29</v>
      </c>
      <c r="F862" t="s">
        <v>30</v>
      </c>
      <c r="G862" t="s">
        <v>31</v>
      </c>
      <c r="H862" t="s">
        <v>32</v>
      </c>
      <c r="I862">
        <v>10778.78385</v>
      </c>
      <c r="J862" t="s">
        <v>33</v>
      </c>
      <c r="K862" t="s">
        <v>1202</v>
      </c>
      <c r="L862" t="s">
        <v>21</v>
      </c>
    </row>
    <row r="863" spans="1:12">
      <c r="A863" t="s">
        <v>1205</v>
      </c>
      <c r="B863" t="s">
        <v>1161</v>
      </c>
      <c r="C863" t="s">
        <v>229</v>
      </c>
      <c r="D863">
        <v>2007</v>
      </c>
      <c r="E863" t="s">
        <v>15</v>
      </c>
      <c r="F863" t="s">
        <v>16</v>
      </c>
      <c r="G863" t="s">
        <v>17</v>
      </c>
      <c r="H863" t="s">
        <v>18</v>
      </c>
      <c r="I863">
        <v>78.552999999999997</v>
      </c>
      <c r="J863" t="s">
        <v>19</v>
      </c>
      <c r="K863" t="s">
        <v>1206</v>
      </c>
      <c r="L863" t="s">
        <v>21</v>
      </c>
    </row>
    <row r="864" spans="1:12">
      <c r="A864" t="s">
        <v>1207</v>
      </c>
      <c r="B864" t="s">
        <v>1161</v>
      </c>
      <c r="C864" t="s">
        <v>229</v>
      </c>
      <c r="D864">
        <v>2007</v>
      </c>
      <c r="E864" t="s">
        <v>23</v>
      </c>
      <c r="F864" t="s">
        <v>24</v>
      </c>
      <c r="G864" t="s">
        <v>25</v>
      </c>
      <c r="H864" t="s">
        <v>26</v>
      </c>
      <c r="I864">
        <v>16284741</v>
      </c>
      <c r="J864" t="s">
        <v>27</v>
      </c>
      <c r="K864" t="s">
        <v>1206</v>
      </c>
      <c r="L864" t="s">
        <v>21</v>
      </c>
    </row>
    <row r="865" spans="1:12">
      <c r="A865" t="s">
        <v>1208</v>
      </c>
      <c r="B865" t="s">
        <v>1161</v>
      </c>
      <c r="C865" t="s">
        <v>229</v>
      </c>
      <c r="D865">
        <v>2007</v>
      </c>
      <c r="E865" t="s">
        <v>29</v>
      </c>
      <c r="F865" t="s">
        <v>30</v>
      </c>
      <c r="G865" t="s">
        <v>31</v>
      </c>
      <c r="H865" t="s">
        <v>32</v>
      </c>
      <c r="I865">
        <v>13171.638849999999</v>
      </c>
      <c r="J865" t="s">
        <v>33</v>
      </c>
      <c r="K865" t="s">
        <v>1206</v>
      </c>
      <c r="L865" t="s">
        <v>21</v>
      </c>
    </row>
    <row r="866" spans="1:12">
      <c r="A866" t="s">
        <v>1209</v>
      </c>
      <c r="B866" t="s">
        <v>1210</v>
      </c>
      <c r="C866" t="s">
        <v>14</v>
      </c>
      <c r="D866">
        <v>1952</v>
      </c>
      <c r="E866" t="s">
        <v>15</v>
      </c>
      <c r="F866" t="s">
        <v>16</v>
      </c>
      <c r="G866" t="s">
        <v>17</v>
      </c>
      <c r="H866" t="s">
        <v>18</v>
      </c>
      <c r="I866">
        <v>44</v>
      </c>
      <c r="J866" t="s">
        <v>19</v>
      </c>
      <c r="K866" t="s">
        <v>1211</v>
      </c>
      <c r="L866" t="s">
        <v>21</v>
      </c>
    </row>
    <row r="867" spans="1:12">
      <c r="A867" t="s">
        <v>1212</v>
      </c>
      <c r="B867" t="s">
        <v>1210</v>
      </c>
      <c r="C867" t="s">
        <v>14</v>
      </c>
      <c r="D867">
        <v>1952</v>
      </c>
      <c r="E867" t="s">
        <v>23</v>
      </c>
      <c r="F867" t="s">
        <v>24</v>
      </c>
      <c r="G867" t="s">
        <v>25</v>
      </c>
      <c r="H867" t="s">
        <v>26</v>
      </c>
      <c r="I867">
        <v>556263527</v>
      </c>
      <c r="J867" t="s">
        <v>27</v>
      </c>
      <c r="K867" t="s">
        <v>1211</v>
      </c>
      <c r="L867" t="s">
        <v>21</v>
      </c>
    </row>
    <row r="868" spans="1:12">
      <c r="A868" t="s">
        <v>1213</v>
      </c>
      <c r="B868" t="s">
        <v>1210</v>
      </c>
      <c r="C868" t="s">
        <v>14</v>
      </c>
      <c r="D868">
        <v>1952</v>
      </c>
      <c r="E868" t="s">
        <v>29</v>
      </c>
      <c r="F868" t="s">
        <v>30</v>
      </c>
      <c r="G868" t="s">
        <v>31</v>
      </c>
      <c r="H868" t="s">
        <v>32</v>
      </c>
      <c r="I868">
        <v>400.44861100000003</v>
      </c>
      <c r="J868" t="s">
        <v>33</v>
      </c>
      <c r="K868" t="s">
        <v>1211</v>
      </c>
      <c r="L868" t="s">
        <v>21</v>
      </c>
    </row>
    <row r="869" spans="1:12">
      <c r="A869" t="s">
        <v>1214</v>
      </c>
      <c r="B869" t="s">
        <v>1210</v>
      </c>
      <c r="C869" t="s">
        <v>14</v>
      </c>
      <c r="D869">
        <v>1957</v>
      </c>
      <c r="E869" t="s">
        <v>15</v>
      </c>
      <c r="F869" t="s">
        <v>16</v>
      </c>
      <c r="G869" t="s">
        <v>17</v>
      </c>
      <c r="H869" t="s">
        <v>18</v>
      </c>
      <c r="I869">
        <v>50.548960000000001</v>
      </c>
      <c r="J869" t="s">
        <v>19</v>
      </c>
      <c r="K869" t="s">
        <v>1215</v>
      </c>
      <c r="L869" t="s">
        <v>21</v>
      </c>
    </row>
    <row r="870" spans="1:12">
      <c r="A870" t="s">
        <v>1216</v>
      </c>
      <c r="B870" t="s">
        <v>1210</v>
      </c>
      <c r="C870" t="s">
        <v>14</v>
      </c>
      <c r="D870">
        <v>1957</v>
      </c>
      <c r="E870" t="s">
        <v>23</v>
      </c>
      <c r="F870" t="s">
        <v>24</v>
      </c>
      <c r="G870" t="s">
        <v>25</v>
      </c>
      <c r="H870" t="s">
        <v>26</v>
      </c>
      <c r="I870">
        <v>637408000</v>
      </c>
      <c r="J870" t="s">
        <v>27</v>
      </c>
      <c r="K870" t="s">
        <v>1215</v>
      </c>
      <c r="L870" t="s">
        <v>21</v>
      </c>
    </row>
    <row r="871" spans="1:12">
      <c r="A871" t="s">
        <v>1217</v>
      </c>
      <c r="B871" t="s">
        <v>1210</v>
      </c>
      <c r="C871" t="s">
        <v>14</v>
      </c>
      <c r="D871">
        <v>1957</v>
      </c>
      <c r="E871" t="s">
        <v>29</v>
      </c>
      <c r="F871" t="s">
        <v>30</v>
      </c>
      <c r="G871" t="s">
        <v>31</v>
      </c>
      <c r="H871" t="s">
        <v>32</v>
      </c>
      <c r="I871">
        <v>575.9870009</v>
      </c>
      <c r="J871" t="s">
        <v>33</v>
      </c>
      <c r="K871" t="s">
        <v>1215</v>
      </c>
      <c r="L871" t="s">
        <v>21</v>
      </c>
    </row>
    <row r="872" spans="1:12">
      <c r="A872" t="s">
        <v>1218</v>
      </c>
      <c r="B872" t="s">
        <v>1210</v>
      </c>
      <c r="C872" t="s">
        <v>14</v>
      </c>
      <c r="D872">
        <v>1962</v>
      </c>
      <c r="E872" t="s">
        <v>15</v>
      </c>
      <c r="F872" t="s">
        <v>16</v>
      </c>
      <c r="G872" t="s">
        <v>17</v>
      </c>
      <c r="H872" t="s">
        <v>18</v>
      </c>
      <c r="I872">
        <v>44.501359999999998</v>
      </c>
      <c r="J872" t="s">
        <v>19</v>
      </c>
      <c r="K872" t="s">
        <v>1219</v>
      </c>
      <c r="L872" t="s">
        <v>21</v>
      </c>
    </row>
    <row r="873" spans="1:12">
      <c r="A873" t="s">
        <v>1220</v>
      </c>
      <c r="B873" t="s">
        <v>1210</v>
      </c>
      <c r="C873" t="s">
        <v>14</v>
      </c>
      <c r="D873">
        <v>1962</v>
      </c>
      <c r="E873" t="s">
        <v>23</v>
      </c>
      <c r="F873" t="s">
        <v>24</v>
      </c>
      <c r="G873" t="s">
        <v>25</v>
      </c>
      <c r="H873" t="s">
        <v>26</v>
      </c>
      <c r="I873">
        <v>665770000</v>
      </c>
      <c r="J873" t="s">
        <v>27</v>
      </c>
      <c r="K873" t="s">
        <v>1219</v>
      </c>
      <c r="L873" t="s">
        <v>21</v>
      </c>
    </row>
    <row r="874" spans="1:12">
      <c r="A874" t="s">
        <v>1221</v>
      </c>
      <c r="B874" t="s">
        <v>1210</v>
      </c>
      <c r="C874" t="s">
        <v>14</v>
      </c>
      <c r="D874">
        <v>1962</v>
      </c>
      <c r="E874" t="s">
        <v>29</v>
      </c>
      <c r="F874" t="s">
        <v>30</v>
      </c>
      <c r="G874" t="s">
        <v>31</v>
      </c>
      <c r="H874" t="s">
        <v>32</v>
      </c>
      <c r="I874">
        <v>487.6740183</v>
      </c>
      <c r="J874" t="s">
        <v>33</v>
      </c>
      <c r="K874" t="s">
        <v>1219</v>
      </c>
      <c r="L874" t="s">
        <v>21</v>
      </c>
    </row>
    <row r="875" spans="1:12">
      <c r="A875" t="s">
        <v>1222</v>
      </c>
      <c r="B875" t="s">
        <v>1210</v>
      </c>
      <c r="C875" t="s">
        <v>14</v>
      </c>
      <c r="D875">
        <v>1967</v>
      </c>
      <c r="E875" t="s">
        <v>15</v>
      </c>
      <c r="F875" t="s">
        <v>16</v>
      </c>
      <c r="G875" t="s">
        <v>17</v>
      </c>
      <c r="H875" t="s">
        <v>18</v>
      </c>
      <c r="I875">
        <v>58.381120000000003</v>
      </c>
      <c r="J875" t="s">
        <v>19</v>
      </c>
      <c r="K875" t="s">
        <v>1223</v>
      </c>
      <c r="L875" t="s">
        <v>21</v>
      </c>
    </row>
    <row r="876" spans="1:12">
      <c r="A876" t="s">
        <v>1224</v>
      </c>
      <c r="B876" t="s">
        <v>1210</v>
      </c>
      <c r="C876" t="s">
        <v>14</v>
      </c>
      <c r="D876">
        <v>1967</v>
      </c>
      <c r="E876" t="s">
        <v>23</v>
      </c>
      <c r="F876" t="s">
        <v>24</v>
      </c>
      <c r="G876" t="s">
        <v>25</v>
      </c>
      <c r="H876" t="s">
        <v>26</v>
      </c>
      <c r="I876">
        <v>754550000</v>
      </c>
      <c r="J876" t="s">
        <v>27</v>
      </c>
      <c r="K876" t="s">
        <v>1223</v>
      </c>
      <c r="L876" t="s">
        <v>21</v>
      </c>
    </row>
    <row r="877" spans="1:12">
      <c r="A877" t="s">
        <v>1225</v>
      </c>
      <c r="B877" t="s">
        <v>1210</v>
      </c>
      <c r="C877" t="s">
        <v>14</v>
      </c>
      <c r="D877">
        <v>1967</v>
      </c>
      <c r="E877" t="s">
        <v>29</v>
      </c>
      <c r="F877" t="s">
        <v>30</v>
      </c>
      <c r="G877" t="s">
        <v>31</v>
      </c>
      <c r="H877" t="s">
        <v>32</v>
      </c>
      <c r="I877">
        <v>612.70569339999997</v>
      </c>
      <c r="J877" t="s">
        <v>33</v>
      </c>
      <c r="K877" t="s">
        <v>1223</v>
      </c>
      <c r="L877" t="s">
        <v>21</v>
      </c>
    </row>
    <row r="878" spans="1:12">
      <c r="A878" t="s">
        <v>1226</v>
      </c>
      <c r="B878" t="s">
        <v>1210</v>
      </c>
      <c r="C878" t="s">
        <v>14</v>
      </c>
      <c r="D878">
        <v>1972</v>
      </c>
      <c r="E878" t="s">
        <v>15</v>
      </c>
      <c r="F878" t="s">
        <v>16</v>
      </c>
      <c r="G878" t="s">
        <v>17</v>
      </c>
      <c r="H878" t="s">
        <v>18</v>
      </c>
      <c r="I878">
        <v>63.118879999999997</v>
      </c>
      <c r="J878" t="s">
        <v>19</v>
      </c>
      <c r="K878" t="s">
        <v>1227</v>
      </c>
      <c r="L878" t="s">
        <v>21</v>
      </c>
    </row>
    <row r="879" spans="1:12">
      <c r="A879" t="s">
        <v>1228</v>
      </c>
      <c r="B879" t="s">
        <v>1210</v>
      </c>
      <c r="C879" t="s">
        <v>14</v>
      </c>
      <c r="D879">
        <v>1972</v>
      </c>
      <c r="E879" t="s">
        <v>23</v>
      </c>
      <c r="F879" t="s">
        <v>24</v>
      </c>
      <c r="G879" t="s">
        <v>25</v>
      </c>
      <c r="H879" t="s">
        <v>26</v>
      </c>
      <c r="I879">
        <v>862030000</v>
      </c>
      <c r="J879" t="s">
        <v>27</v>
      </c>
      <c r="K879" t="s">
        <v>1227</v>
      </c>
      <c r="L879" t="s">
        <v>21</v>
      </c>
    </row>
    <row r="880" spans="1:12">
      <c r="A880" t="s">
        <v>1229</v>
      </c>
      <c r="B880" t="s">
        <v>1210</v>
      </c>
      <c r="C880" t="s">
        <v>14</v>
      </c>
      <c r="D880">
        <v>1972</v>
      </c>
      <c r="E880" t="s">
        <v>29</v>
      </c>
      <c r="F880" t="s">
        <v>30</v>
      </c>
      <c r="G880" t="s">
        <v>31</v>
      </c>
      <c r="H880" t="s">
        <v>32</v>
      </c>
      <c r="I880">
        <v>676.90009210000005</v>
      </c>
      <c r="J880" t="s">
        <v>33</v>
      </c>
      <c r="K880" t="s">
        <v>1227</v>
      </c>
      <c r="L880" t="s">
        <v>21</v>
      </c>
    </row>
    <row r="881" spans="1:12">
      <c r="A881" t="s">
        <v>1230</v>
      </c>
      <c r="B881" t="s">
        <v>1210</v>
      </c>
      <c r="C881" t="s">
        <v>14</v>
      </c>
      <c r="D881">
        <v>1977</v>
      </c>
      <c r="E881" t="s">
        <v>15</v>
      </c>
      <c r="F881" t="s">
        <v>16</v>
      </c>
      <c r="G881" t="s">
        <v>17</v>
      </c>
      <c r="H881" t="s">
        <v>18</v>
      </c>
      <c r="I881">
        <v>63.967359999999999</v>
      </c>
      <c r="J881" t="s">
        <v>19</v>
      </c>
      <c r="K881" t="s">
        <v>1231</v>
      </c>
      <c r="L881" t="s">
        <v>21</v>
      </c>
    </row>
    <row r="882" spans="1:12">
      <c r="A882" t="s">
        <v>1232</v>
      </c>
      <c r="B882" t="s">
        <v>1210</v>
      </c>
      <c r="C882" t="s">
        <v>14</v>
      </c>
      <c r="D882">
        <v>1977</v>
      </c>
      <c r="E882" t="s">
        <v>23</v>
      </c>
      <c r="F882" t="s">
        <v>24</v>
      </c>
      <c r="G882" t="s">
        <v>25</v>
      </c>
      <c r="H882" t="s">
        <v>26</v>
      </c>
      <c r="I882">
        <v>943455000</v>
      </c>
      <c r="J882" t="s">
        <v>27</v>
      </c>
      <c r="K882" t="s">
        <v>1231</v>
      </c>
      <c r="L882" t="s">
        <v>21</v>
      </c>
    </row>
    <row r="883" spans="1:12">
      <c r="A883" t="s">
        <v>1233</v>
      </c>
      <c r="B883" t="s">
        <v>1210</v>
      </c>
      <c r="C883" t="s">
        <v>14</v>
      </c>
      <c r="D883">
        <v>1977</v>
      </c>
      <c r="E883" t="s">
        <v>29</v>
      </c>
      <c r="F883" t="s">
        <v>30</v>
      </c>
      <c r="G883" t="s">
        <v>31</v>
      </c>
      <c r="H883" t="s">
        <v>32</v>
      </c>
      <c r="I883">
        <v>741.23746989999995</v>
      </c>
      <c r="J883" t="s">
        <v>33</v>
      </c>
      <c r="K883" t="s">
        <v>1231</v>
      </c>
      <c r="L883" t="s">
        <v>21</v>
      </c>
    </row>
    <row r="884" spans="1:12">
      <c r="A884" t="s">
        <v>1234</v>
      </c>
      <c r="B884" t="s">
        <v>1210</v>
      </c>
      <c r="C884" t="s">
        <v>14</v>
      </c>
      <c r="D884">
        <v>1982</v>
      </c>
      <c r="E884" t="s">
        <v>15</v>
      </c>
      <c r="F884" t="s">
        <v>16</v>
      </c>
      <c r="G884" t="s">
        <v>17</v>
      </c>
      <c r="H884" t="s">
        <v>18</v>
      </c>
      <c r="I884">
        <v>65.525000000000006</v>
      </c>
      <c r="J884" t="s">
        <v>19</v>
      </c>
      <c r="K884" t="s">
        <v>1235</v>
      </c>
      <c r="L884" t="s">
        <v>21</v>
      </c>
    </row>
    <row r="885" spans="1:12">
      <c r="A885" t="s">
        <v>1236</v>
      </c>
      <c r="B885" t="s">
        <v>1210</v>
      </c>
      <c r="C885" t="s">
        <v>14</v>
      </c>
      <c r="D885">
        <v>1982</v>
      </c>
      <c r="E885" t="s">
        <v>23</v>
      </c>
      <c r="F885" t="s">
        <v>24</v>
      </c>
      <c r="G885" t="s">
        <v>25</v>
      </c>
      <c r="H885" t="s">
        <v>26</v>
      </c>
      <c r="I885">
        <v>1000281000</v>
      </c>
      <c r="J885" t="s">
        <v>27</v>
      </c>
      <c r="K885" t="s">
        <v>1235</v>
      </c>
      <c r="L885" t="s">
        <v>21</v>
      </c>
    </row>
    <row r="886" spans="1:12">
      <c r="A886" t="s">
        <v>1237</v>
      </c>
      <c r="B886" t="s">
        <v>1210</v>
      </c>
      <c r="C886" t="s">
        <v>14</v>
      </c>
      <c r="D886">
        <v>1982</v>
      </c>
      <c r="E886" t="s">
        <v>29</v>
      </c>
      <c r="F886" t="s">
        <v>30</v>
      </c>
      <c r="G886" t="s">
        <v>31</v>
      </c>
      <c r="H886" t="s">
        <v>32</v>
      </c>
      <c r="I886">
        <v>962.42138050000005</v>
      </c>
      <c r="J886" t="s">
        <v>33</v>
      </c>
      <c r="K886" t="s">
        <v>1235</v>
      </c>
      <c r="L886" t="s">
        <v>21</v>
      </c>
    </row>
    <row r="887" spans="1:12">
      <c r="A887" t="s">
        <v>1238</v>
      </c>
      <c r="B887" t="s">
        <v>1210</v>
      </c>
      <c r="C887" t="s">
        <v>14</v>
      </c>
      <c r="D887">
        <v>1987</v>
      </c>
      <c r="E887" t="s">
        <v>15</v>
      </c>
      <c r="F887" t="s">
        <v>16</v>
      </c>
      <c r="G887" t="s">
        <v>17</v>
      </c>
      <c r="H887" t="s">
        <v>18</v>
      </c>
      <c r="I887">
        <v>67.274000000000001</v>
      </c>
      <c r="J887" t="s">
        <v>19</v>
      </c>
      <c r="K887" t="s">
        <v>1239</v>
      </c>
      <c r="L887" t="s">
        <v>21</v>
      </c>
    </row>
    <row r="888" spans="1:12">
      <c r="A888" t="s">
        <v>1240</v>
      </c>
      <c r="B888" t="s">
        <v>1210</v>
      </c>
      <c r="C888" t="s">
        <v>14</v>
      </c>
      <c r="D888">
        <v>1987</v>
      </c>
      <c r="E888" t="s">
        <v>23</v>
      </c>
      <c r="F888" t="s">
        <v>24</v>
      </c>
      <c r="G888" t="s">
        <v>25</v>
      </c>
      <c r="H888" t="s">
        <v>26</v>
      </c>
      <c r="I888">
        <v>1084035000</v>
      </c>
      <c r="J888" t="s">
        <v>27</v>
      </c>
      <c r="K888" t="s">
        <v>1239</v>
      </c>
      <c r="L888" t="s">
        <v>21</v>
      </c>
    </row>
    <row r="889" spans="1:12">
      <c r="A889" t="s">
        <v>1241</v>
      </c>
      <c r="B889" t="s">
        <v>1210</v>
      </c>
      <c r="C889" t="s">
        <v>14</v>
      </c>
      <c r="D889">
        <v>1987</v>
      </c>
      <c r="E889" t="s">
        <v>29</v>
      </c>
      <c r="F889" t="s">
        <v>30</v>
      </c>
      <c r="G889" t="s">
        <v>31</v>
      </c>
      <c r="H889" t="s">
        <v>32</v>
      </c>
      <c r="I889">
        <v>1378.904018</v>
      </c>
      <c r="J889" t="s">
        <v>33</v>
      </c>
      <c r="K889" t="s">
        <v>1239</v>
      </c>
      <c r="L889" t="s">
        <v>21</v>
      </c>
    </row>
    <row r="890" spans="1:12">
      <c r="A890" t="s">
        <v>1242</v>
      </c>
      <c r="B890" t="s">
        <v>1210</v>
      </c>
      <c r="C890" t="s">
        <v>14</v>
      </c>
      <c r="D890">
        <v>1992</v>
      </c>
      <c r="E890" t="s">
        <v>15</v>
      </c>
      <c r="F890" t="s">
        <v>16</v>
      </c>
      <c r="G890" t="s">
        <v>17</v>
      </c>
      <c r="H890" t="s">
        <v>18</v>
      </c>
      <c r="I890">
        <v>68.69</v>
      </c>
      <c r="J890" t="s">
        <v>19</v>
      </c>
      <c r="K890" t="s">
        <v>1243</v>
      </c>
      <c r="L890" t="s">
        <v>21</v>
      </c>
    </row>
    <row r="891" spans="1:12">
      <c r="A891" t="s">
        <v>1244</v>
      </c>
      <c r="B891" t="s">
        <v>1210</v>
      </c>
      <c r="C891" t="s">
        <v>14</v>
      </c>
      <c r="D891">
        <v>1992</v>
      </c>
      <c r="E891" t="s">
        <v>23</v>
      </c>
      <c r="F891" t="s">
        <v>24</v>
      </c>
      <c r="G891" t="s">
        <v>25</v>
      </c>
      <c r="H891" t="s">
        <v>26</v>
      </c>
      <c r="I891">
        <v>1164970000</v>
      </c>
      <c r="J891" t="s">
        <v>27</v>
      </c>
      <c r="K891" t="s">
        <v>1243</v>
      </c>
      <c r="L891" t="s">
        <v>21</v>
      </c>
    </row>
    <row r="892" spans="1:12">
      <c r="A892" t="s">
        <v>1245</v>
      </c>
      <c r="B892" t="s">
        <v>1210</v>
      </c>
      <c r="C892" t="s">
        <v>14</v>
      </c>
      <c r="D892">
        <v>1992</v>
      </c>
      <c r="E892" t="s">
        <v>29</v>
      </c>
      <c r="F892" t="s">
        <v>30</v>
      </c>
      <c r="G892" t="s">
        <v>31</v>
      </c>
      <c r="H892" t="s">
        <v>32</v>
      </c>
      <c r="I892">
        <v>1655.7841579999999</v>
      </c>
      <c r="J892" t="s">
        <v>33</v>
      </c>
      <c r="K892" t="s">
        <v>1243</v>
      </c>
      <c r="L892" t="s">
        <v>21</v>
      </c>
    </row>
    <row r="893" spans="1:12">
      <c r="A893" t="s">
        <v>1246</v>
      </c>
      <c r="B893" t="s">
        <v>1210</v>
      </c>
      <c r="C893" t="s">
        <v>14</v>
      </c>
      <c r="D893">
        <v>1997</v>
      </c>
      <c r="E893" t="s">
        <v>15</v>
      </c>
      <c r="F893" t="s">
        <v>16</v>
      </c>
      <c r="G893" t="s">
        <v>17</v>
      </c>
      <c r="H893" t="s">
        <v>18</v>
      </c>
      <c r="I893">
        <v>70.426000000000002</v>
      </c>
      <c r="J893" t="s">
        <v>19</v>
      </c>
      <c r="K893" t="s">
        <v>1247</v>
      </c>
      <c r="L893" t="s">
        <v>21</v>
      </c>
    </row>
    <row r="894" spans="1:12">
      <c r="A894" t="s">
        <v>1248</v>
      </c>
      <c r="B894" t="s">
        <v>1210</v>
      </c>
      <c r="C894" t="s">
        <v>14</v>
      </c>
      <c r="D894">
        <v>1997</v>
      </c>
      <c r="E894" t="s">
        <v>23</v>
      </c>
      <c r="F894" t="s">
        <v>24</v>
      </c>
      <c r="G894" t="s">
        <v>25</v>
      </c>
      <c r="H894" t="s">
        <v>26</v>
      </c>
      <c r="I894">
        <v>1230075000</v>
      </c>
      <c r="J894" t="s">
        <v>27</v>
      </c>
      <c r="K894" t="s">
        <v>1247</v>
      </c>
      <c r="L894" t="s">
        <v>21</v>
      </c>
    </row>
    <row r="895" spans="1:12">
      <c r="A895" t="s">
        <v>1249</v>
      </c>
      <c r="B895" t="s">
        <v>1210</v>
      </c>
      <c r="C895" t="s">
        <v>14</v>
      </c>
      <c r="D895">
        <v>1997</v>
      </c>
      <c r="E895" t="s">
        <v>29</v>
      </c>
      <c r="F895" t="s">
        <v>30</v>
      </c>
      <c r="G895" t="s">
        <v>31</v>
      </c>
      <c r="H895" t="s">
        <v>32</v>
      </c>
      <c r="I895">
        <v>2289.234136</v>
      </c>
      <c r="J895" t="s">
        <v>33</v>
      </c>
      <c r="K895" t="s">
        <v>1247</v>
      </c>
      <c r="L895" t="s">
        <v>21</v>
      </c>
    </row>
    <row r="896" spans="1:12">
      <c r="A896" t="s">
        <v>1250</v>
      </c>
      <c r="B896" t="s">
        <v>1210</v>
      </c>
      <c r="C896" t="s">
        <v>14</v>
      </c>
      <c r="D896">
        <v>2002</v>
      </c>
      <c r="E896" t="s">
        <v>15</v>
      </c>
      <c r="F896" t="s">
        <v>16</v>
      </c>
      <c r="G896" t="s">
        <v>17</v>
      </c>
      <c r="H896" t="s">
        <v>18</v>
      </c>
      <c r="I896">
        <v>72.028000000000006</v>
      </c>
      <c r="J896" t="s">
        <v>19</v>
      </c>
      <c r="K896" t="s">
        <v>1251</v>
      </c>
      <c r="L896" t="s">
        <v>21</v>
      </c>
    </row>
    <row r="897" spans="1:12">
      <c r="A897" t="s">
        <v>1252</v>
      </c>
      <c r="B897" t="s">
        <v>1210</v>
      </c>
      <c r="C897" t="s">
        <v>14</v>
      </c>
      <c r="D897">
        <v>2002</v>
      </c>
      <c r="E897" t="s">
        <v>23</v>
      </c>
      <c r="F897" t="s">
        <v>24</v>
      </c>
      <c r="G897" t="s">
        <v>25</v>
      </c>
      <c r="H897" t="s">
        <v>26</v>
      </c>
      <c r="I897">
        <v>1280400000</v>
      </c>
      <c r="J897" t="s">
        <v>27</v>
      </c>
      <c r="K897" t="s">
        <v>1251</v>
      </c>
      <c r="L897" t="s">
        <v>21</v>
      </c>
    </row>
    <row r="898" spans="1:12">
      <c r="A898" t="s">
        <v>1253</v>
      </c>
      <c r="B898" t="s">
        <v>1210</v>
      </c>
      <c r="C898" t="s">
        <v>14</v>
      </c>
      <c r="D898">
        <v>2002</v>
      </c>
      <c r="E898" t="s">
        <v>29</v>
      </c>
      <c r="F898" t="s">
        <v>30</v>
      </c>
      <c r="G898" t="s">
        <v>31</v>
      </c>
      <c r="H898" t="s">
        <v>32</v>
      </c>
      <c r="I898">
        <v>3119.2808960000002</v>
      </c>
      <c r="J898" t="s">
        <v>33</v>
      </c>
      <c r="K898" t="s">
        <v>1251</v>
      </c>
      <c r="L898" t="s">
        <v>21</v>
      </c>
    </row>
    <row r="899" spans="1:12">
      <c r="A899" t="s">
        <v>1254</v>
      </c>
      <c r="B899" t="s">
        <v>1210</v>
      </c>
      <c r="C899" t="s">
        <v>14</v>
      </c>
      <c r="D899">
        <v>2007</v>
      </c>
      <c r="E899" t="s">
        <v>15</v>
      </c>
      <c r="F899" t="s">
        <v>16</v>
      </c>
      <c r="G899" t="s">
        <v>17</v>
      </c>
      <c r="H899" t="s">
        <v>18</v>
      </c>
      <c r="I899">
        <v>72.960999999999999</v>
      </c>
      <c r="J899" t="s">
        <v>19</v>
      </c>
      <c r="K899" t="s">
        <v>1255</v>
      </c>
      <c r="L899" t="s">
        <v>21</v>
      </c>
    </row>
    <row r="900" spans="1:12">
      <c r="A900" t="s">
        <v>1256</v>
      </c>
      <c r="B900" t="s">
        <v>1210</v>
      </c>
      <c r="C900" t="s">
        <v>14</v>
      </c>
      <c r="D900">
        <v>2007</v>
      </c>
      <c r="E900" t="s">
        <v>23</v>
      </c>
      <c r="F900" t="s">
        <v>24</v>
      </c>
      <c r="G900" t="s">
        <v>25</v>
      </c>
      <c r="H900" t="s">
        <v>26</v>
      </c>
      <c r="I900">
        <v>1318683096</v>
      </c>
      <c r="J900" t="s">
        <v>27</v>
      </c>
      <c r="K900" t="s">
        <v>1255</v>
      </c>
      <c r="L900" t="s">
        <v>21</v>
      </c>
    </row>
    <row r="901" spans="1:12">
      <c r="A901" t="s">
        <v>1257</v>
      </c>
      <c r="B901" t="s">
        <v>1210</v>
      </c>
      <c r="C901" t="s">
        <v>14</v>
      </c>
      <c r="D901">
        <v>2007</v>
      </c>
      <c r="E901" t="s">
        <v>29</v>
      </c>
      <c r="F901" t="s">
        <v>30</v>
      </c>
      <c r="G901" t="s">
        <v>31</v>
      </c>
      <c r="H901" t="s">
        <v>32</v>
      </c>
      <c r="I901">
        <v>4959.1148540000004</v>
      </c>
      <c r="J901" t="s">
        <v>33</v>
      </c>
      <c r="K901" t="s">
        <v>1255</v>
      </c>
      <c r="L901" t="s">
        <v>21</v>
      </c>
    </row>
    <row r="902" spans="1:12">
      <c r="A902" t="s">
        <v>1258</v>
      </c>
      <c r="B902" t="s">
        <v>1259</v>
      </c>
      <c r="C902" t="s">
        <v>229</v>
      </c>
      <c r="D902">
        <v>1952</v>
      </c>
      <c r="E902" t="s">
        <v>15</v>
      </c>
      <c r="F902" t="s">
        <v>16</v>
      </c>
      <c r="G902" t="s">
        <v>17</v>
      </c>
      <c r="H902" t="s">
        <v>18</v>
      </c>
      <c r="I902">
        <v>50.643000000000001</v>
      </c>
      <c r="J902" t="s">
        <v>19</v>
      </c>
      <c r="K902" t="s">
        <v>1260</v>
      </c>
      <c r="L902" t="s">
        <v>21</v>
      </c>
    </row>
    <row r="903" spans="1:12">
      <c r="A903" t="s">
        <v>1261</v>
      </c>
      <c r="B903" t="s">
        <v>1259</v>
      </c>
      <c r="C903" t="s">
        <v>229</v>
      </c>
      <c r="D903">
        <v>1952</v>
      </c>
      <c r="E903" t="s">
        <v>23</v>
      </c>
      <c r="F903" t="s">
        <v>24</v>
      </c>
      <c r="G903" t="s">
        <v>25</v>
      </c>
      <c r="H903" t="s">
        <v>26</v>
      </c>
      <c r="I903">
        <v>12350771</v>
      </c>
      <c r="J903" t="s">
        <v>27</v>
      </c>
      <c r="K903" t="s">
        <v>1260</v>
      </c>
      <c r="L903" t="s">
        <v>21</v>
      </c>
    </row>
    <row r="904" spans="1:12">
      <c r="A904" t="s">
        <v>1262</v>
      </c>
      <c r="B904" t="s">
        <v>1259</v>
      </c>
      <c r="C904" t="s">
        <v>229</v>
      </c>
      <c r="D904">
        <v>1952</v>
      </c>
      <c r="E904" t="s">
        <v>29</v>
      </c>
      <c r="F904" t="s">
        <v>30</v>
      </c>
      <c r="G904" t="s">
        <v>31</v>
      </c>
      <c r="H904" t="s">
        <v>32</v>
      </c>
      <c r="I904">
        <v>2144.115096</v>
      </c>
      <c r="J904" t="s">
        <v>33</v>
      </c>
      <c r="K904" t="s">
        <v>1260</v>
      </c>
      <c r="L904" t="s">
        <v>21</v>
      </c>
    </row>
    <row r="905" spans="1:12">
      <c r="A905" t="s">
        <v>1263</v>
      </c>
      <c r="B905" t="s">
        <v>1259</v>
      </c>
      <c r="C905" t="s">
        <v>229</v>
      </c>
      <c r="D905">
        <v>1957</v>
      </c>
      <c r="E905" t="s">
        <v>15</v>
      </c>
      <c r="F905" t="s">
        <v>16</v>
      </c>
      <c r="G905" t="s">
        <v>17</v>
      </c>
      <c r="H905" t="s">
        <v>18</v>
      </c>
      <c r="I905">
        <v>55.118000000000002</v>
      </c>
      <c r="J905" t="s">
        <v>19</v>
      </c>
      <c r="K905" t="s">
        <v>1264</v>
      </c>
      <c r="L905" t="s">
        <v>21</v>
      </c>
    </row>
    <row r="906" spans="1:12">
      <c r="A906" t="s">
        <v>1265</v>
      </c>
      <c r="B906" t="s">
        <v>1259</v>
      </c>
      <c r="C906" t="s">
        <v>229</v>
      </c>
      <c r="D906">
        <v>1957</v>
      </c>
      <c r="E906" t="s">
        <v>23</v>
      </c>
      <c r="F906" t="s">
        <v>24</v>
      </c>
      <c r="G906" t="s">
        <v>25</v>
      </c>
      <c r="H906" t="s">
        <v>26</v>
      </c>
      <c r="I906">
        <v>14485993</v>
      </c>
      <c r="J906" t="s">
        <v>27</v>
      </c>
      <c r="K906" t="s">
        <v>1264</v>
      </c>
      <c r="L906" t="s">
        <v>21</v>
      </c>
    </row>
    <row r="907" spans="1:12">
      <c r="A907" t="s">
        <v>1266</v>
      </c>
      <c r="B907" t="s">
        <v>1259</v>
      </c>
      <c r="C907" t="s">
        <v>229</v>
      </c>
      <c r="D907">
        <v>1957</v>
      </c>
      <c r="E907" t="s">
        <v>29</v>
      </c>
      <c r="F907" t="s">
        <v>30</v>
      </c>
      <c r="G907" t="s">
        <v>31</v>
      </c>
      <c r="H907" t="s">
        <v>32</v>
      </c>
      <c r="I907">
        <v>2323.8055810000001</v>
      </c>
      <c r="J907" t="s">
        <v>33</v>
      </c>
      <c r="K907" t="s">
        <v>1264</v>
      </c>
      <c r="L907" t="s">
        <v>21</v>
      </c>
    </row>
    <row r="908" spans="1:12">
      <c r="A908" t="s">
        <v>1267</v>
      </c>
      <c r="B908" t="s">
        <v>1259</v>
      </c>
      <c r="C908" t="s">
        <v>229</v>
      </c>
      <c r="D908">
        <v>1962</v>
      </c>
      <c r="E908" t="s">
        <v>15</v>
      </c>
      <c r="F908" t="s">
        <v>16</v>
      </c>
      <c r="G908" t="s">
        <v>17</v>
      </c>
      <c r="H908" t="s">
        <v>18</v>
      </c>
      <c r="I908">
        <v>57.863</v>
      </c>
      <c r="J908" t="s">
        <v>19</v>
      </c>
      <c r="K908" t="s">
        <v>1268</v>
      </c>
      <c r="L908" t="s">
        <v>21</v>
      </c>
    </row>
    <row r="909" spans="1:12">
      <c r="A909" t="s">
        <v>1269</v>
      </c>
      <c r="B909" t="s">
        <v>1259</v>
      </c>
      <c r="C909" t="s">
        <v>229</v>
      </c>
      <c r="D909">
        <v>1962</v>
      </c>
      <c r="E909" t="s">
        <v>23</v>
      </c>
      <c r="F909" t="s">
        <v>24</v>
      </c>
      <c r="G909" t="s">
        <v>25</v>
      </c>
      <c r="H909" t="s">
        <v>26</v>
      </c>
      <c r="I909">
        <v>17009885</v>
      </c>
      <c r="J909" t="s">
        <v>27</v>
      </c>
      <c r="K909" t="s">
        <v>1268</v>
      </c>
      <c r="L909" t="s">
        <v>21</v>
      </c>
    </row>
    <row r="910" spans="1:12">
      <c r="A910" t="s">
        <v>1270</v>
      </c>
      <c r="B910" t="s">
        <v>1259</v>
      </c>
      <c r="C910" t="s">
        <v>229</v>
      </c>
      <c r="D910">
        <v>1962</v>
      </c>
      <c r="E910" t="s">
        <v>29</v>
      </c>
      <c r="F910" t="s">
        <v>30</v>
      </c>
      <c r="G910" t="s">
        <v>31</v>
      </c>
      <c r="H910" t="s">
        <v>32</v>
      </c>
      <c r="I910">
        <v>2492.3511090000002</v>
      </c>
      <c r="J910" t="s">
        <v>33</v>
      </c>
      <c r="K910" t="s">
        <v>1268</v>
      </c>
      <c r="L910" t="s">
        <v>21</v>
      </c>
    </row>
    <row r="911" spans="1:12">
      <c r="A911" t="s">
        <v>1271</v>
      </c>
      <c r="B911" t="s">
        <v>1259</v>
      </c>
      <c r="C911" t="s">
        <v>229</v>
      </c>
      <c r="D911">
        <v>1967</v>
      </c>
      <c r="E911" t="s">
        <v>15</v>
      </c>
      <c r="F911" t="s">
        <v>16</v>
      </c>
      <c r="G911" t="s">
        <v>17</v>
      </c>
      <c r="H911" t="s">
        <v>18</v>
      </c>
      <c r="I911">
        <v>59.963000000000001</v>
      </c>
      <c r="J911" t="s">
        <v>19</v>
      </c>
      <c r="K911" t="s">
        <v>1272</v>
      </c>
      <c r="L911" t="s">
        <v>21</v>
      </c>
    </row>
    <row r="912" spans="1:12">
      <c r="A912" t="s">
        <v>1273</v>
      </c>
      <c r="B912" t="s">
        <v>1259</v>
      </c>
      <c r="C912" t="s">
        <v>229</v>
      </c>
      <c r="D912">
        <v>1967</v>
      </c>
      <c r="E912" t="s">
        <v>23</v>
      </c>
      <c r="F912" t="s">
        <v>24</v>
      </c>
      <c r="G912" t="s">
        <v>25</v>
      </c>
      <c r="H912" t="s">
        <v>26</v>
      </c>
      <c r="I912">
        <v>19764027</v>
      </c>
      <c r="J912" t="s">
        <v>27</v>
      </c>
      <c r="K912" t="s">
        <v>1272</v>
      </c>
      <c r="L912" t="s">
        <v>21</v>
      </c>
    </row>
    <row r="913" spans="1:12">
      <c r="A913" t="s">
        <v>1274</v>
      </c>
      <c r="B913" t="s">
        <v>1259</v>
      </c>
      <c r="C913" t="s">
        <v>229</v>
      </c>
      <c r="D913">
        <v>1967</v>
      </c>
      <c r="E913" t="s">
        <v>29</v>
      </c>
      <c r="F913" t="s">
        <v>30</v>
      </c>
      <c r="G913" t="s">
        <v>31</v>
      </c>
      <c r="H913" t="s">
        <v>32</v>
      </c>
      <c r="I913">
        <v>2678.7298390000001</v>
      </c>
      <c r="J913" t="s">
        <v>33</v>
      </c>
      <c r="K913" t="s">
        <v>1272</v>
      </c>
      <c r="L913" t="s">
        <v>21</v>
      </c>
    </row>
    <row r="914" spans="1:12">
      <c r="A914" t="s">
        <v>1275</v>
      </c>
      <c r="B914" t="s">
        <v>1259</v>
      </c>
      <c r="C914" t="s">
        <v>229</v>
      </c>
      <c r="D914">
        <v>1972</v>
      </c>
      <c r="E914" t="s">
        <v>15</v>
      </c>
      <c r="F914" t="s">
        <v>16</v>
      </c>
      <c r="G914" t="s">
        <v>17</v>
      </c>
      <c r="H914" t="s">
        <v>18</v>
      </c>
      <c r="I914">
        <v>61.622999999999998</v>
      </c>
      <c r="J914" t="s">
        <v>19</v>
      </c>
      <c r="K914" t="s">
        <v>1276</v>
      </c>
      <c r="L914" t="s">
        <v>21</v>
      </c>
    </row>
    <row r="915" spans="1:12">
      <c r="A915" t="s">
        <v>1277</v>
      </c>
      <c r="B915" t="s">
        <v>1259</v>
      </c>
      <c r="C915" t="s">
        <v>229</v>
      </c>
      <c r="D915">
        <v>1972</v>
      </c>
      <c r="E915" t="s">
        <v>23</v>
      </c>
      <c r="F915" t="s">
        <v>24</v>
      </c>
      <c r="G915" t="s">
        <v>25</v>
      </c>
      <c r="H915" t="s">
        <v>26</v>
      </c>
      <c r="I915">
        <v>22542890</v>
      </c>
      <c r="J915" t="s">
        <v>27</v>
      </c>
      <c r="K915" t="s">
        <v>1276</v>
      </c>
      <c r="L915" t="s">
        <v>21</v>
      </c>
    </row>
    <row r="916" spans="1:12">
      <c r="A916" t="s">
        <v>1278</v>
      </c>
      <c r="B916" t="s">
        <v>1259</v>
      </c>
      <c r="C916" t="s">
        <v>229</v>
      </c>
      <c r="D916">
        <v>1972</v>
      </c>
      <c r="E916" t="s">
        <v>29</v>
      </c>
      <c r="F916" t="s">
        <v>30</v>
      </c>
      <c r="G916" t="s">
        <v>31</v>
      </c>
      <c r="H916" t="s">
        <v>32</v>
      </c>
      <c r="I916">
        <v>3264.6600410000001</v>
      </c>
      <c r="J916" t="s">
        <v>33</v>
      </c>
      <c r="K916" t="s">
        <v>1276</v>
      </c>
      <c r="L916" t="s">
        <v>21</v>
      </c>
    </row>
    <row r="917" spans="1:12">
      <c r="A917" t="s">
        <v>1279</v>
      </c>
      <c r="B917" t="s">
        <v>1259</v>
      </c>
      <c r="C917" t="s">
        <v>229</v>
      </c>
      <c r="D917">
        <v>1977</v>
      </c>
      <c r="E917" t="s">
        <v>15</v>
      </c>
      <c r="F917" t="s">
        <v>16</v>
      </c>
      <c r="G917" t="s">
        <v>17</v>
      </c>
      <c r="H917" t="s">
        <v>18</v>
      </c>
      <c r="I917">
        <v>63.837000000000003</v>
      </c>
      <c r="J917" t="s">
        <v>19</v>
      </c>
      <c r="K917" t="s">
        <v>1280</v>
      </c>
      <c r="L917" t="s">
        <v>21</v>
      </c>
    </row>
    <row r="918" spans="1:12">
      <c r="A918" t="s">
        <v>1281</v>
      </c>
      <c r="B918" t="s">
        <v>1259</v>
      </c>
      <c r="C918" t="s">
        <v>229</v>
      </c>
      <c r="D918">
        <v>1977</v>
      </c>
      <c r="E918" t="s">
        <v>23</v>
      </c>
      <c r="F918" t="s">
        <v>24</v>
      </c>
      <c r="G918" t="s">
        <v>25</v>
      </c>
      <c r="H918" t="s">
        <v>26</v>
      </c>
      <c r="I918">
        <v>25094412</v>
      </c>
      <c r="J918" t="s">
        <v>27</v>
      </c>
      <c r="K918" t="s">
        <v>1280</v>
      </c>
      <c r="L918" t="s">
        <v>21</v>
      </c>
    </row>
    <row r="919" spans="1:12">
      <c r="A919" t="s">
        <v>1282</v>
      </c>
      <c r="B919" t="s">
        <v>1259</v>
      </c>
      <c r="C919" t="s">
        <v>229</v>
      </c>
      <c r="D919">
        <v>1977</v>
      </c>
      <c r="E919" t="s">
        <v>29</v>
      </c>
      <c r="F919" t="s">
        <v>30</v>
      </c>
      <c r="G919" t="s">
        <v>31</v>
      </c>
      <c r="H919" t="s">
        <v>32</v>
      </c>
      <c r="I919">
        <v>3815.8078700000001</v>
      </c>
      <c r="J919" t="s">
        <v>33</v>
      </c>
      <c r="K919" t="s">
        <v>1280</v>
      </c>
      <c r="L919" t="s">
        <v>21</v>
      </c>
    </row>
    <row r="920" spans="1:12">
      <c r="A920" t="s">
        <v>1283</v>
      </c>
      <c r="B920" t="s">
        <v>1259</v>
      </c>
      <c r="C920" t="s">
        <v>229</v>
      </c>
      <c r="D920">
        <v>1982</v>
      </c>
      <c r="E920" t="s">
        <v>15</v>
      </c>
      <c r="F920" t="s">
        <v>16</v>
      </c>
      <c r="G920" t="s">
        <v>17</v>
      </c>
      <c r="H920" t="s">
        <v>18</v>
      </c>
      <c r="I920">
        <v>66.653000000000006</v>
      </c>
      <c r="J920" t="s">
        <v>19</v>
      </c>
      <c r="K920" t="s">
        <v>1284</v>
      </c>
      <c r="L920" t="s">
        <v>21</v>
      </c>
    </row>
    <row r="921" spans="1:12">
      <c r="A921" t="s">
        <v>1285</v>
      </c>
      <c r="B921" t="s">
        <v>1259</v>
      </c>
      <c r="C921" t="s">
        <v>229</v>
      </c>
      <c r="D921">
        <v>1982</v>
      </c>
      <c r="E921" t="s">
        <v>23</v>
      </c>
      <c r="F921" t="s">
        <v>24</v>
      </c>
      <c r="G921" t="s">
        <v>25</v>
      </c>
      <c r="H921" t="s">
        <v>26</v>
      </c>
      <c r="I921">
        <v>27764644</v>
      </c>
      <c r="J921" t="s">
        <v>27</v>
      </c>
      <c r="K921" t="s">
        <v>1284</v>
      </c>
      <c r="L921" t="s">
        <v>21</v>
      </c>
    </row>
    <row r="922" spans="1:12">
      <c r="A922" t="s">
        <v>1286</v>
      </c>
      <c r="B922" t="s">
        <v>1259</v>
      </c>
      <c r="C922" t="s">
        <v>229</v>
      </c>
      <c r="D922">
        <v>1982</v>
      </c>
      <c r="E922" t="s">
        <v>29</v>
      </c>
      <c r="F922" t="s">
        <v>30</v>
      </c>
      <c r="G922" t="s">
        <v>31</v>
      </c>
      <c r="H922" t="s">
        <v>32</v>
      </c>
      <c r="I922">
        <v>4397.5756590000001</v>
      </c>
      <c r="J922" t="s">
        <v>33</v>
      </c>
      <c r="K922" t="s">
        <v>1284</v>
      </c>
      <c r="L922" t="s">
        <v>21</v>
      </c>
    </row>
    <row r="923" spans="1:12">
      <c r="A923" t="s">
        <v>1287</v>
      </c>
      <c r="B923" t="s">
        <v>1259</v>
      </c>
      <c r="C923" t="s">
        <v>229</v>
      </c>
      <c r="D923">
        <v>1987</v>
      </c>
      <c r="E923" t="s">
        <v>15</v>
      </c>
      <c r="F923" t="s">
        <v>16</v>
      </c>
      <c r="G923" t="s">
        <v>17</v>
      </c>
      <c r="H923" t="s">
        <v>18</v>
      </c>
      <c r="I923">
        <v>67.768000000000001</v>
      </c>
      <c r="J923" t="s">
        <v>19</v>
      </c>
      <c r="K923" t="s">
        <v>1288</v>
      </c>
      <c r="L923" t="s">
        <v>21</v>
      </c>
    </row>
    <row r="924" spans="1:12">
      <c r="A924" t="s">
        <v>1289</v>
      </c>
      <c r="B924" t="s">
        <v>1259</v>
      </c>
      <c r="C924" t="s">
        <v>229</v>
      </c>
      <c r="D924">
        <v>1987</v>
      </c>
      <c r="E924" t="s">
        <v>23</v>
      </c>
      <c r="F924" t="s">
        <v>24</v>
      </c>
      <c r="G924" t="s">
        <v>25</v>
      </c>
      <c r="H924" t="s">
        <v>26</v>
      </c>
      <c r="I924">
        <v>30964245</v>
      </c>
      <c r="J924" t="s">
        <v>27</v>
      </c>
      <c r="K924" t="s">
        <v>1288</v>
      </c>
      <c r="L924" t="s">
        <v>21</v>
      </c>
    </row>
    <row r="925" spans="1:12">
      <c r="A925" t="s">
        <v>1290</v>
      </c>
      <c r="B925" t="s">
        <v>1259</v>
      </c>
      <c r="C925" t="s">
        <v>229</v>
      </c>
      <c r="D925">
        <v>1987</v>
      </c>
      <c r="E925" t="s">
        <v>29</v>
      </c>
      <c r="F925" t="s">
        <v>30</v>
      </c>
      <c r="G925" t="s">
        <v>31</v>
      </c>
      <c r="H925" t="s">
        <v>32</v>
      </c>
      <c r="I925">
        <v>4903.2191000000003</v>
      </c>
      <c r="J925" t="s">
        <v>33</v>
      </c>
      <c r="K925" t="s">
        <v>1288</v>
      </c>
      <c r="L925" t="s">
        <v>21</v>
      </c>
    </row>
    <row r="926" spans="1:12">
      <c r="A926" t="s">
        <v>1291</v>
      </c>
      <c r="B926" t="s">
        <v>1259</v>
      </c>
      <c r="C926" t="s">
        <v>229</v>
      </c>
      <c r="D926">
        <v>1992</v>
      </c>
      <c r="E926" t="s">
        <v>15</v>
      </c>
      <c r="F926" t="s">
        <v>16</v>
      </c>
      <c r="G926" t="s">
        <v>17</v>
      </c>
      <c r="H926" t="s">
        <v>18</v>
      </c>
      <c r="I926">
        <v>68.421000000000006</v>
      </c>
      <c r="J926" t="s">
        <v>19</v>
      </c>
      <c r="K926" t="s">
        <v>1292</v>
      </c>
      <c r="L926" t="s">
        <v>21</v>
      </c>
    </row>
    <row r="927" spans="1:12">
      <c r="A927" t="s">
        <v>1293</v>
      </c>
      <c r="B927" t="s">
        <v>1259</v>
      </c>
      <c r="C927" t="s">
        <v>229</v>
      </c>
      <c r="D927">
        <v>1992</v>
      </c>
      <c r="E927" t="s">
        <v>23</v>
      </c>
      <c r="F927" t="s">
        <v>24</v>
      </c>
      <c r="G927" t="s">
        <v>25</v>
      </c>
      <c r="H927" t="s">
        <v>26</v>
      </c>
      <c r="I927">
        <v>34202721</v>
      </c>
      <c r="J927" t="s">
        <v>27</v>
      </c>
      <c r="K927" t="s">
        <v>1292</v>
      </c>
      <c r="L927" t="s">
        <v>21</v>
      </c>
    </row>
    <row r="928" spans="1:12">
      <c r="A928" t="s">
        <v>1294</v>
      </c>
      <c r="B928" t="s">
        <v>1259</v>
      </c>
      <c r="C928" t="s">
        <v>229</v>
      </c>
      <c r="D928">
        <v>1992</v>
      </c>
      <c r="E928" t="s">
        <v>29</v>
      </c>
      <c r="F928" t="s">
        <v>30</v>
      </c>
      <c r="G928" t="s">
        <v>31</v>
      </c>
      <c r="H928" t="s">
        <v>32</v>
      </c>
      <c r="I928">
        <v>5444.6486169999998</v>
      </c>
      <c r="J928" t="s">
        <v>33</v>
      </c>
      <c r="K928" t="s">
        <v>1292</v>
      </c>
      <c r="L928" t="s">
        <v>21</v>
      </c>
    </row>
    <row r="929" spans="1:12">
      <c r="A929" t="s">
        <v>1295</v>
      </c>
      <c r="B929" t="s">
        <v>1259</v>
      </c>
      <c r="C929" t="s">
        <v>229</v>
      </c>
      <c r="D929">
        <v>1997</v>
      </c>
      <c r="E929" t="s">
        <v>15</v>
      </c>
      <c r="F929" t="s">
        <v>16</v>
      </c>
      <c r="G929" t="s">
        <v>17</v>
      </c>
      <c r="H929" t="s">
        <v>18</v>
      </c>
      <c r="I929">
        <v>70.313000000000002</v>
      </c>
      <c r="J929" t="s">
        <v>19</v>
      </c>
      <c r="K929" t="s">
        <v>1296</v>
      </c>
      <c r="L929" t="s">
        <v>21</v>
      </c>
    </row>
    <row r="930" spans="1:12">
      <c r="A930" t="s">
        <v>1297</v>
      </c>
      <c r="B930" t="s">
        <v>1259</v>
      </c>
      <c r="C930" t="s">
        <v>229</v>
      </c>
      <c r="D930">
        <v>1997</v>
      </c>
      <c r="E930" t="s">
        <v>23</v>
      </c>
      <c r="F930" t="s">
        <v>24</v>
      </c>
      <c r="G930" t="s">
        <v>25</v>
      </c>
      <c r="H930" t="s">
        <v>26</v>
      </c>
      <c r="I930">
        <v>37657830</v>
      </c>
      <c r="J930" t="s">
        <v>27</v>
      </c>
      <c r="K930" t="s">
        <v>1296</v>
      </c>
      <c r="L930" t="s">
        <v>21</v>
      </c>
    </row>
    <row r="931" spans="1:12">
      <c r="A931" t="s">
        <v>1298</v>
      </c>
      <c r="B931" t="s">
        <v>1259</v>
      </c>
      <c r="C931" t="s">
        <v>229</v>
      </c>
      <c r="D931">
        <v>1997</v>
      </c>
      <c r="E931" t="s">
        <v>29</v>
      </c>
      <c r="F931" t="s">
        <v>30</v>
      </c>
      <c r="G931" t="s">
        <v>31</v>
      </c>
      <c r="H931" t="s">
        <v>32</v>
      </c>
      <c r="I931">
        <v>6117.3617459999996</v>
      </c>
      <c r="J931" t="s">
        <v>33</v>
      </c>
      <c r="K931" t="s">
        <v>1296</v>
      </c>
      <c r="L931" t="s">
        <v>21</v>
      </c>
    </row>
    <row r="932" spans="1:12">
      <c r="A932" t="s">
        <v>1299</v>
      </c>
      <c r="B932" t="s">
        <v>1259</v>
      </c>
      <c r="C932" t="s">
        <v>229</v>
      </c>
      <c r="D932">
        <v>2002</v>
      </c>
      <c r="E932" t="s">
        <v>15</v>
      </c>
      <c r="F932" t="s">
        <v>16</v>
      </c>
      <c r="G932" t="s">
        <v>17</v>
      </c>
      <c r="H932" t="s">
        <v>18</v>
      </c>
      <c r="I932">
        <v>71.682000000000002</v>
      </c>
      <c r="J932" t="s">
        <v>19</v>
      </c>
      <c r="K932" t="s">
        <v>1300</v>
      </c>
      <c r="L932" t="s">
        <v>21</v>
      </c>
    </row>
    <row r="933" spans="1:12">
      <c r="A933" t="s">
        <v>1301</v>
      </c>
      <c r="B933" t="s">
        <v>1259</v>
      </c>
      <c r="C933" t="s">
        <v>229</v>
      </c>
      <c r="D933">
        <v>2002</v>
      </c>
      <c r="E933" t="s">
        <v>23</v>
      </c>
      <c r="F933" t="s">
        <v>24</v>
      </c>
      <c r="G933" t="s">
        <v>25</v>
      </c>
      <c r="H933" t="s">
        <v>26</v>
      </c>
      <c r="I933">
        <v>41008227</v>
      </c>
      <c r="J933" t="s">
        <v>27</v>
      </c>
      <c r="K933" t="s">
        <v>1300</v>
      </c>
      <c r="L933" t="s">
        <v>21</v>
      </c>
    </row>
    <row r="934" spans="1:12">
      <c r="A934" t="s">
        <v>1302</v>
      </c>
      <c r="B934" t="s">
        <v>1259</v>
      </c>
      <c r="C934" t="s">
        <v>229</v>
      </c>
      <c r="D934">
        <v>2002</v>
      </c>
      <c r="E934" t="s">
        <v>29</v>
      </c>
      <c r="F934" t="s">
        <v>30</v>
      </c>
      <c r="G934" t="s">
        <v>31</v>
      </c>
      <c r="H934" t="s">
        <v>32</v>
      </c>
      <c r="I934">
        <v>5755.2599620000001</v>
      </c>
      <c r="J934" t="s">
        <v>33</v>
      </c>
      <c r="K934" t="s">
        <v>1300</v>
      </c>
      <c r="L934" t="s">
        <v>21</v>
      </c>
    </row>
    <row r="935" spans="1:12">
      <c r="A935" t="s">
        <v>1303</v>
      </c>
      <c r="B935" t="s">
        <v>1259</v>
      </c>
      <c r="C935" t="s">
        <v>229</v>
      </c>
      <c r="D935">
        <v>2007</v>
      </c>
      <c r="E935" t="s">
        <v>15</v>
      </c>
      <c r="F935" t="s">
        <v>16</v>
      </c>
      <c r="G935" t="s">
        <v>17</v>
      </c>
      <c r="H935" t="s">
        <v>18</v>
      </c>
      <c r="I935">
        <v>72.888999999999996</v>
      </c>
      <c r="J935" t="s">
        <v>19</v>
      </c>
      <c r="K935" t="s">
        <v>1304</v>
      </c>
      <c r="L935" t="s">
        <v>21</v>
      </c>
    </row>
    <row r="936" spans="1:12">
      <c r="A936" t="s">
        <v>1305</v>
      </c>
      <c r="B936" t="s">
        <v>1259</v>
      </c>
      <c r="C936" t="s">
        <v>229</v>
      </c>
      <c r="D936">
        <v>2007</v>
      </c>
      <c r="E936" t="s">
        <v>23</v>
      </c>
      <c r="F936" t="s">
        <v>24</v>
      </c>
      <c r="G936" t="s">
        <v>25</v>
      </c>
      <c r="H936" t="s">
        <v>26</v>
      </c>
      <c r="I936">
        <v>44227550</v>
      </c>
      <c r="J936" t="s">
        <v>27</v>
      </c>
      <c r="K936" t="s">
        <v>1304</v>
      </c>
      <c r="L936" t="s">
        <v>21</v>
      </c>
    </row>
    <row r="937" spans="1:12">
      <c r="A937" t="s">
        <v>1306</v>
      </c>
      <c r="B937" t="s">
        <v>1259</v>
      </c>
      <c r="C937" t="s">
        <v>229</v>
      </c>
      <c r="D937">
        <v>2007</v>
      </c>
      <c r="E937" t="s">
        <v>29</v>
      </c>
      <c r="F937" t="s">
        <v>30</v>
      </c>
      <c r="G937" t="s">
        <v>31</v>
      </c>
      <c r="H937" t="s">
        <v>32</v>
      </c>
      <c r="I937">
        <v>7006.5804189999999</v>
      </c>
      <c r="J937" t="s">
        <v>33</v>
      </c>
      <c r="K937" t="s">
        <v>1304</v>
      </c>
      <c r="L937" t="s">
        <v>21</v>
      </c>
    </row>
    <row r="938" spans="1:12">
      <c r="A938" t="s">
        <v>1307</v>
      </c>
      <c r="B938" t="s">
        <v>1308</v>
      </c>
      <c r="C938" t="s">
        <v>130</v>
      </c>
      <c r="D938">
        <v>1952</v>
      </c>
      <c r="E938" t="s">
        <v>15</v>
      </c>
      <c r="F938" t="s">
        <v>16</v>
      </c>
      <c r="G938" t="s">
        <v>17</v>
      </c>
      <c r="H938" t="s">
        <v>18</v>
      </c>
      <c r="I938">
        <v>40.715000000000003</v>
      </c>
      <c r="J938" t="s">
        <v>19</v>
      </c>
      <c r="K938" t="s">
        <v>1309</v>
      </c>
      <c r="L938" t="s">
        <v>21</v>
      </c>
    </row>
    <row r="939" spans="1:12">
      <c r="A939" t="s">
        <v>1310</v>
      </c>
      <c r="B939" t="s">
        <v>1308</v>
      </c>
      <c r="C939" t="s">
        <v>130</v>
      </c>
      <c r="D939">
        <v>1952</v>
      </c>
      <c r="E939" t="s">
        <v>23</v>
      </c>
      <c r="F939" t="s">
        <v>24</v>
      </c>
      <c r="G939" t="s">
        <v>25</v>
      </c>
      <c r="H939" t="s">
        <v>26</v>
      </c>
      <c r="I939">
        <v>153936</v>
      </c>
      <c r="J939" t="s">
        <v>27</v>
      </c>
      <c r="K939" t="s">
        <v>1309</v>
      </c>
      <c r="L939" t="s">
        <v>21</v>
      </c>
    </row>
    <row r="940" spans="1:12">
      <c r="A940" t="s">
        <v>1311</v>
      </c>
      <c r="B940" t="s">
        <v>1308</v>
      </c>
      <c r="C940" t="s">
        <v>130</v>
      </c>
      <c r="D940">
        <v>1952</v>
      </c>
      <c r="E940" t="s">
        <v>29</v>
      </c>
      <c r="F940" t="s">
        <v>30</v>
      </c>
      <c r="G940" t="s">
        <v>31</v>
      </c>
      <c r="H940" t="s">
        <v>32</v>
      </c>
      <c r="I940">
        <v>1102.9909359999999</v>
      </c>
      <c r="J940" t="s">
        <v>33</v>
      </c>
      <c r="K940" t="s">
        <v>1309</v>
      </c>
      <c r="L940" t="s">
        <v>21</v>
      </c>
    </row>
    <row r="941" spans="1:12">
      <c r="A941" t="s">
        <v>1312</v>
      </c>
      <c r="B941" t="s">
        <v>1308</v>
      </c>
      <c r="C941" t="s">
        <v>130</v>
      </c>
      <c r="D941">
        <v>1957</v>
      </c>
      <c r="E941" t="s">
        <v>15</v>
      </c>
      <c r="F941" t="s">
        <v>16</v>
      </c>
      <c r="G941" t="s">
        <v>17</v>
      </c>
      <c r="H941" t="s">
        <v>18</v>
      </c>
      <c r="I941">
        <v>42.46</v>
      </c>
      <c r="J941" t="s">
        <v>19</v>
      </c>
      <c r="K941" t="s">
        <v>1313</v>
      </c>
      <c r="L941" t="s">
        <v>21</v>
      </c>
    </row>
    <row r="942" spans="1:12">
      <c r="A942" t="s">
        <v>1314</v>
      </c>
      <c r="B942" t="s">
        <v>1308</v>
      </c>
      <c r="C942" t="s">
        <v>130</v>
      </c>
      <c r="D942">
        <v>1957</v>
      </c>
      <c r="E942" t="s">
        <v>23</v>
      </c>
      <c r="F942" t="s">
        <v>24</v>
      </c>
      <c r="G942" t="s">
        <v>25</v>
      </c>
      <c r="H942" t="s">
        <v>26</v>
      </c>
      <c r="I942">
        <v>170928</v>
      </c>
      <c r="J942" t="s">
        <v>27</v>
      </c>
      <c r="K942" t="s">
        <v>1313</v>
      </c>
      <c r="L942" t="s">
        <v>21</v>
      </c>
    </row>
    <row r="943" spans="1:12">
      <c r="A943" t="s">
        <v>1315</v>
      </c>
      <c r="B943" t="s">
        <v>1308</v>
      </c>
      <c r="C943" t="s">
        <v>130</v>
      </c>
      <c r="D943">
        <v>1957</v>
      </c>
      <c r="E943" t="s">
        <v>29</v>
      </c>
      <c r="F943" t="s">
        <v>30</v>
      </c>
      <c r="G943" t="s">
        <v>31</v>
      </c>
      <c r="H943" t="s">
        <v>32</v>
      </c>
      <c r="I943">
        <v>1211.1485479999999</v>
      </c>
      <c r="J943" t="s">
        <v>33</v>
      </c>
      <c r="K943" t="s">
        <v>1313</v>
      </c>
      <c r="L943" t="s">
        <v>21</v>
      </c>
    </row>
    <row r="944" spans="1:12">
      <c r="A944" t="s">
        <v>1316</v>
      </c>
      <c r="B944" t="s">
        <v>1308</v>
      </c>
      <c r="C944" t="s">
        <v>130</v>
      </c>
      <c r="D944">
        <v>1962</v>
      </c>
      <c r="E944" t="s">
        <v>15</v>
      </c>
      <c r="F944" t="s">
        <v>16</v>
      </c>
      <c r="G944" t="s">
        <v>17</v>
      </c>
      <c r="H944" t="s">
        <v>18</v>
      </c>
      <c r="I944">
        <v>44.466999999999999</v>
      </c>
      <c r="J944" t="s">
        <v>19</v>
      </c>
      <c r="K944" t="s">
        <v>1317</v>
      </c>
      <c r="L944" t="s">
        <v>21</v>
      </c>
    </row>
    <row r="945" spans="1:12">
      <c r="A945" t="s">
        <v>1318</v>
      </c>
      <c r="B945" t="s">
        <v>1308</v>
      </c>
      <c r="C945" t="s">
        <v>130</v>
      </c>
      <c r="D945">
        <v>1962</v>
      </c>
      <c r="E945" t="s">
        <v>23</v>
      </c>
      <c r="F945" t="s">
        <v>24</v>
      </c>
      <c r="G945" t="s">
        <v>25</v>
      </c>
      <c r="H945" t="s">
        <v>26</v>
      </c>
      <c r="I945">
        <v>191689</v>
      </c>
      <c r="J945" t="s">
        <v>27</v>
      </c>
      <c r="K945" t="s">
        <v>1317</v>
      </c>
      <c r="L945" t="s">
        <v>21</v>
      </c>
    </row>
    <row r="946" spans="1:12">
      <c r="A946" t="s">
        <v>1319</v>
      </c>
      <c r="B946" t="s">
        <v>1308</v>
      </c>
      <c r="C946" t="s">
        <v>130</v>
      </c>
      <c r="D946">
        <v>1962</v>
      </c>
      <c r="E946" t="s">
        <v>29</v>
      </c>
      <c r="F946" t="s">
        <v>30</v>
      </c>
      <c r="G946" t="s">
        <v>31</v>
      </c>
      <c r="H946" t="s">
        <v>32</v>
      </c>
      <c r="I946">
        <v>1406.6482779999999</v>
      </c>
      <c r="J946" t="s">
        <v>33</v>
      </c>
      <c r="K946" t="s">
        <v>1317</v>
      </c>
      <c r="L946" t="s">
        <v>21</v>
      </c>
    </row>
    <row r="947" spans="1:12">
      <c r="A947" t="s">
        <v>1320</v>
      </c>
      <c r="B947" t="s">
        <v>1308</v>
      </c>
      <c r="C947" t="s">
        <v>130</v>
      </c>
      <c r="D947">
        <v>1967</v>
      </c>
      <c r="E947" t="s">
        <v>15</v>
      </c>
      <c r="F947" t="s">
        <v>16</v>
      </c>
      <c r="G947" t="s">
        <v>17</v>
      </c>
      <c r="H947" t="s">
        <v>18</v>
      </c>
      <c r="I947">
        <v>46.472000000000001</v>
      </c>
      <c r="J947" t="s">
        <v>19</v>
      </c>
      <c r="K947" t="s">
        <v>1321</v>
      </c>
      <c r="L947" t="s">
        <v>21</v>
      </c>
    </row>
    <row r="948" spans="1:12">
      <c r="A948" t="s">
        <v>1322</v>
      </c>
      <c r="B948" t="s">
        <v>1308</v>
      </c>
      <c r="C948" t="s">
        <v>130</v>
      </c>
      <c r="D948">
        <v>1967</v>
      </c>
      <c r="E948" t="s">
        <v>23</v>
      </c>
      <c r="F948" t="s">
        <v>24</v>
      </c>
      <c r="G948" t="s">
        <v>25</v>
      </c>
      <c r="H948" t="s">
        <v>26</v>
      </c>
      <c r="I948">
        <v>217378</v>
      </c>
      <c r="J948" t="s">
        <v>27</v>
      </c>
      <c r="K948" t="s">
        <v>1321</v>
      </c>
      <c r="L948" t="s">
        <v>21</v>
      </c>
    </row>
    <row r="949" spans="1:12">
      <c r="A949" t="s">
        <v>1323</v>
      </c>
      <c r="B949" t="s">
        <v>1308</v>
      </c>
      <c r="C949" t="s">
        <v>130</v>
      </c>
      <c r="D949">
        <v>1967</v>
      </c>
      <c r="E949" t="s">
        <v>29</v>
      </c>
      <c r="F949" t="s">
        <v>30</v>
      </c>
      <c r="G949" t="s">
        <v>31</v>
      </c>
      <c r="H949" t="s">
        <v>32</v>
      </c>
      <c r="I949">
        <v>1876.0296430000001</v>
      </c>
      <c r="J949" t="s">
        <v>33</v>
      </c>
      <c r="K949" t="s">
        <v>1321</v>
      </c>
      <c r="L949" t="s">
        <v>21</v>
      </c>
    </row>
    <row r="950" spans="1:12">
      <c r="A950" t="s">
        <v>1324</v>
      </c>
      <c r="B950" t="s">
        <v>1308</v>
      </c>
      <c r="C950" t="s">
        <v>130</v>
      </c>
      <c r="D950">
        <v>1972</v>
      </c>
      <c r="E950" t="s">
        <v>15</v>
      </c>
      <c r="F950" t="s">
        <v>16</v>
      </c>
      <c r="G950" t="s">
        <v>17</v>
      </c>
      <c r="H950" t="s">
        <v>18</v>
      </c>
      <c r="I950">
        <v>48.944000000000003</v>
      </c>
      <c r="J950" t="s">
        <v>19</v>
      </c>
      <c r="K950" t="s">
        <v>1325</v>
      </c>
      <c r="L950" t="s">
        <v>21</v>
      </c>
    </row>
    <row r="951" spans="1:12">
      <c r="A951" t="s">
        <v>1326</v>
      </c>
      <c r="B951" t="s">
        <v>1308</v>
      </c>
      <c r="C951" t="s">
        <v>130</v>
      </c>
      <c r="D951">
        <v>1972</v>
      </c>
      <c r="E951" t="s">
        <v>23</v>
      </c>
      <c r="F951" t="s">
        <v>24</v>
      </c>
      <c r="G951" t="s">
        <v>25</v>
      </c>
      <c r="H951" t="s">
        <v>26</v>
      </c>
      <c r="I951">
        <v>250027</v>
      </c>
      <c r="J951" t="s">
        <v>27</v>
      </c>
      <c r="K951" t="s">
        <v>1325</v>
      </c>
      <c r="L951" t="s">
        <v>21</v>
      </c>
    </row>
    <row r="952" spans="1:12">
      <c r="A952" t="s">
        <v>1327</v>
      </c>
      <c r="B952" t="s">
        <v>1308</v>
      </c>
      <c r="C952" t="s">
        <v>130</v>
      </c>
      <c r="D952">
        <v>1972</v>
      </c>
      <c r="E952" t="s">
        <v>29</v>
      </c>
      <c r="F952" t="s">
        <v>30</v>
      </c>
      <c r="G952" t="s">
        <v>31</v>
      </c>
      <c r="H952" t="s">
        <v>32</v>
      </c>
      <c r="I952">
        <v>1937.577675</v>
      </c>
      <c r="J952" t="s">
        <v>33</v>
      </c>
      <c r="K952" t="s">
        <v>1325</v>
      </c>
      <c r="L952" t="s">
        <v>21</v>
      </c>
    </row>
    <row r="953" spans="1:12">
      <c r="A953" t="s">
        <v>1328</v>
      </c>
      <c r="B953" t="s">
        <v>1308</v>
      </c>
      <c r="C953" t="s">
        <v>130</v>
      </c>
      <c r="D953">
        <v>1977</v>
      </c>
      <c r="E953" t="s">
        <v>15</v>
      </c>
      <c r="F953" t="s">
        <v>16</v>
      </c>
      <c r="G953" t="s">
        <v>17</v>
      </c>
      <c r="H953" t="s">
        <v>18</v>
      </c>
      <c r="I953">
        <v>50.938999999999901</v>
      </c>
      <c r="J953" t="s">
        <v>19</v>
      </c>
      <c r="K953" t="s">
        <v>1329</v>
      </c>
      <c r="L953" t="s">
        <v>21</v>
      </c>
    </row>
    <row r="954" spans="1:12">
      <c r="A954" t="s">
        <v>1330</v>
      </c>
      <c r="B954" t="s">
        <v>1308</v>
      </c>
      <c r="C954" t="s">
        <v>130</v>
      </c>
      <c r="D954">
        <v>1977</v>
      </c>
      <c r="E954" t="s">
        <v>23</v>
      </c>
      <c r="F954" t="s">
        <v>24</v>
      </c>
      <c r="G954" t="s">
        <v>25</v>
      </c>
      <c r="H954" t="s">
        <v>26</v>
      </c>
      <c r="I954">
        <v>304739</v>
      </c>
      <c r="J954" t="s">
        <v>27</v>
      </c>
      <c r="K954" t="s">
        <v>1329</v>
      </c>
      <c r="L954" t="s">
        <v>21</v>
      </c>
    </row>
    <row r="955" spans="1:12">
      <c r="A955" t="s">
        <v>1331</v>
      </c>
      <c r="B955" t="s">
        <v>1308</v>
      </c>
      <c r="C955" t="s">
        <v>130</v>
      </c>
      <c r="D955">
        <v>1977</v>
      </c>
      <c r="E955" t="s">
        <v>29</v>
      </c>
      <c r="F955" t="s">
        <v>30</v>
      </c>
      <c r="G955" t="s">
        <v>31</v>
      </c>
      <c r="H955" t="s">
        <v>32</v>
      </c>
      <c r="I955">
        <v>1172.6030470000001</v>
      </c>
      <c r="J955" t="s">
        <v>33</v>
      </c>
      <c r="K955" t="s">
        <v>1329</v>
      </c>
      <c r="L955" t="s">
        <v>21</v>
      </c>
    </row>
    <row r="956" spans="1:12">
      <c r="A956" t="s">
        <v>1332</v>
      </c>
      <c r="B956" t="s">
        <v>1308</v>
      </c>
      <c r="C956" t="s">
        <v>130</v>
      </c>
      <c r="D956">
        <v>1982</v>
      </c>
      <c r="E956" t="s">
        <v>15</v>
      </c>
      <c r="F956" t="s">
        <v>16</v>
      </c>
      <c r="G956" t="s">
        <v>17</v>
      </c>
      <c r="H956" t="s">
        <v>18</v>
      </c>
      <c r="I956">
        <v>52.933</v>
      </c>
      <c r="J956" t="s">
        <v>19</v>
      </c>
      <c r="K956" t="s">
        <v>1333</v>
      </c>
      <c r="L956" t="s">
        <v>21</v>
      </c>
    </row>
    <row r="957" spans="1:12">
      <c r="A957" t="s">
        <v>1334</v>
      </c>
      <c r="B957" t="s">
        <v>1308</v>
      </c>
      <c r="C957" t="s">
        <v>130</v>
      </c>
      <c r="D957">
        <v>1982</v>
      </c>
      <c r="E957" t="s">
        <v>23</v>
      </c>
      <c r="F957" t="s">
        <v>24</v>
      </c>
      <c r="G957" t="s">
        <v>25</v>
      </c>
      <c r="H957" t="s">
        <v>26</v>
      </c>
      <c r="I957">
        <v>348643</v>
      </c>
      <c r="J957" t="s">
        <v>27</v>
      </c>
      <c r="K957" t="s">
        <v>1333</v>
      </c>
      <c r="L957" t="s">
        <v>21</v>
      </c>
    </row>
    <row r="958" spans="1:12">
      <c r="A958" t="s">
        <v>1335</v>
      </c>
      <c r="B958" t="s">
        <v>1308</v>
      </c>
      <c r="C958" t="s">
        <v>130</v>
      </c>
      <c r="D958">
        <v>1982</v>
      </c>
      <c r="E958" t="s">
        <v>29</v>
      </c>
      <c r="F958" t="s">
        <v>30</v>
      </c>
      <c r="G958" t="s">
        <v>31</v>
      </c>
      <c r="H958" t="s">
        <v>32</v>
      </c>
      <c r="I958">
        <v>1267.100083</v>
      </c>
      <c r="J958" t="s">
        <v>33</v>
      </c>
      <c r="K958" t="s">
        <v>1333</v>
      </c>
      <c r="L958" t="s">
        <v>21</v>
      </c>
    </row>
    <row r="959" spans="1:12">
      <c r="A959" t="s">
        <v>1336</v>
      </c>
      <c r="B959" t="s">
        <v>1308</v>
      </c>
      <c r="C959" t="s">
        <v>130</v>
      </c>
      <c r="D959">
        <v>1987</v>
      </c>
      <c r="E959" t="s">
        <v>15</v>
      </c>
      <c r="F959" t="s">
        <v>16</v>
      </c>
      <c r="G959" t="s">
        <v>17</v>
      </c>
      <c r="H959" t="s">
        <v>18</v>
      </c>
      <c r="I959">
        <v>54.926000000000002</v>
      </c>
      <c r="J959" t="s">
        <v>19</v>
      </c>
      <c r="K959" t="s">
        <v>1337</v>
      </c>
      <c r="L959" t="s">
        <v>21</v>
      </c>
    </row>
    <row r="960" spans="1:12">
      <c r="A960" t="s">
        <v>1338</v>
      </c>
      <c r="B960" t="s">
        <v>1308</v>
      </c>
      <c r="C960" t="s">
        <v>130</v>
      </c>
      <c r="D960">
        <v>1987</v>
      </c>
      <c r="E960" t="s">
        <v>23</v>
      </c>
      <c r="F960" t="s">
        <v>24</v>
      </c>
      <c r="G960" t="s">
        <v>25</v>
      </c>
      <c r="H960" t="s">
        <v>26</v>
      </c>
      <c r="I960">
        <v>395114</v>
      </c>
      <c r="J960" t="s">
        <v>27</v>
      </c>
      <c r="K960" t="s">
        <v>1337</v>
      </c>
      <c r="L960" t="s">
        <v>21</v>
      </c>
    </row>
    <row r="961" spans="1:12">
      <c r="A961" t="s">
        <v>1339</v>
      </c>
      <c r="B961" t="s">
        <v>1308</v>
      </c>
      <c r="C961" t="s">
        <v>130</v>
      </c>
      <c r="D961">
        <v>1987</v>
      </c>
      <c r="E961" t="s">
        <v>29</v>
      </c>
      <c r="F961" t="s">
        <v>30</v>
      </c>
      <c r="G961" t="s">
        <v>31</v>
      </c>
      <c r="H961" t="s">
        <v>32</v>
      </c>
      <c r="I961">
        <v>1315.980812</v>
      </c>
      <c r="J961" t="s">
        <v>33</v>
      </c>
      <c r="K961" t="s">
        <v>1337</v>
      </c>
      <c r="L961" t="s">
        <v>21</v>
      </c>
    </row>
    <row r="962" spans="1:12">
      <c r="A962" t="s">
        <v>1340</v>
      </c>
      <c r="B962" t="s">
        <v>1308</v>
      </c>
      <c r="C962" t="s">
        <v>130</v>
      </c>
      <c r="D962">
        <v>1992</v>
      </c>
      <c r="E962" t="s">
        <v>15</v>
      </c>
      <c r="F962" t="s">
        <v>16</v>
      </c>
      <c r="G962" t="s">
        <v>17</v>
      </c>
      <c r="H962" t="s">
        <v>18</v>
      </c>
      <c r="I962">
        <v>57.938999999999901</v>
      </c>
      <c r="J962" t="s">
        <v>19</v>
      </c>
      <c r="K962" t="s">
        <v>1341</v>
      </c>
      <c r="L962" t="s">
        <v>21</v>
      </c>
    </row>
    <row r="963" spans="1:12">
      <c r="A963" t="s">
        <v>1342</v>
      </c>
      <c r="B963" t="s">
        <v>1308</v>
      </c>
      <c r="C963" t="s">
        <v>130</v>
      </c>
      <c r="D963">
        <v>1992</v>
      </c>
      <c r="E963" t="s">
        <v>23</v>
      </c>
      <c r="F963" t="s">
        <v>24</v>
      </c>
      <c r="G963" t="s">
        <v>25</v>
      </c>
      <c r="H963" t="s">
        <v>26</v>
      </c>
      <c r="I963">
        <v>454429</v>
      </c>
      <c r="J963" t="s">
        <v>27</v>
      </c>
      <c r="K963" t="s">
        <v>1341</v>
      </c>
      <c r="L963" t="s">
        <v>21</v>
      </c>
    </row>
    <row r="964" spans="1:12">
      <c r="A964" t="s">
        <v>1343</v>
      </c>
      <c r="B964" t="s">
        <v>1308</v>
      </c>
      <c r="C964" t="s">
        <v>130</v>
      </c>
      <c r="D964">
        <v>1992</v>
      </c>
      <c r="E964" t="s">
        <v>29</v>
      </c>
      <c r="F964" t="s">
        <v>30</v>
      </c>
      <c r="G964" t="s">
        <v>31</v>
      </c>
      <c r="H964" t="s">
        <v>32</v>
      </c>
      <c r="I964">
        <v>1246.9073699999999</v>
      </c>
      <c r="J964" t="s">
        <v>33</v>
      </c>
      <c r="K964" t="s">
        <v>1341</v>
      </c>
      <c r="L964" t="s">
        <v>21</v>
      </c>
    </row>
    <row r="965" spans="1:12">
      <c r="A965" t="s">
        <v>1344</v>
      </c>
      <c r="B965" t="s">
        <v>1308</v>
      </c>
      <c r="C965" t="s">
        <v>130</v>
      </c>
      <c r="D965">
        <v>1997</v>
      </c>
      <c r="E965" t="s">
        <v>15</v>
      </c>
      <c r="F965" t="s">
        <v>16</v>
      </c>
      <c r="G965" t="s">
        <v>17</v>
      </c>
      <c r="H965" t="s">
        <v>18</v>
      </c>
      <c r="I965">
        <v>60.66</v>
      </c>
      <c r="J965" t="s">
        <v>19</v>
      </c>
      <c r="K965" t="s">
        <v>1345</v>
      </c>
      <c r="L965" t="s">
        <v>21</v>
      </c>
    </row>
    <row r="966" spans="1:12">
      <c r="A966" t="s">
        <v>1346</v>
      </c>
      <c r="B966" t="s">
        <v>1308</v>
      </c>
      <c r="C966" t="s">
        <v>130</v>
      </c>
      <c r="D966">
        <v>1997</v>
      </c>
      <c r="E966" t="s">
        <v>23</v>
      </c>
      <c r="F966" t="s">
        <v>24</v>
      </c>
      <c r="G966" t="s">
        <v>25</v>
      </c>
      <c r="H966" t="s">
        <v>26</v>
      </c>
      <c r="I966">
        <v>527982</v>
      </c>
      <c r="J966" t="s">
        <v>27</v>
      </c>
      <c r="K966" t="s">
        <v>1345</v>
      </c>
      <c r="L966" t="s">
        <v>21</v>
      </c>
    </row>
    <row r="967" spans="1:12">
      <c r="A967" t="s">
        <v>1347</v>
      </c>
      <c r="B967" t="s">
        <v>1308</v>
      </c>
      <c r="C967" t="s">
        <v>130</v>
      </c>
      <c r="D967">
        <v>1997</v>
      </c>
      <c r="E967" t="s">
        <v>29</v>
      </c>
      <c r="F967" t="s">
        <v>30</v>
      </c>
      <c r="G967" t="s">
        <v>31</v>
      </c>
      <c r="H967" t="s">
        <v>32</v>
      </c>
      <c r="I967">
        <v>1173.6182349999999</v>
      </c>
      <c r="J967" t="s">
        <v>33</v>
      </c>
      <c r="K967" t="s">
        <v>1345</v>
      </c>
      <c r="L967" t="s">
        <v>21</v>
      </c>
    </row>
    <row r="968" spans="1:12">
      <c r="A968" t="s">
        <v>1348</v>
      </c>
      <c r="B968" t="s">
        <v>1308</v>
      </c>
      <c r="C968" t="s">
        <v>130</v>
      </c>
      <c r="D968">
        <v>2002</v>
      </c>
      <c r="E968" t="s">
        <v>15</v>
      </c>
      <c r="F968" t="s">
        <v>16</v>
      </c>
      <c r="G968" t="s">
        <v>17</v>
      </c>
      <c r="H968" t="s">
        <v>18</v>
      </c>
      <c r="I968">
        <v>62.973999999999997</v>
      </c>
      <c r="J968" t="s">
        <v>19</v>
      </c>
      <c r="K968" t="s">
        <v>1349</v>
      </c>
      <c r="L968" t="s">
        <v>21</v>
      </c>
    </row>
    <row r="969" spans="1:12">
      <c r="A969" t="s">
        <v>1350</v>
      </c>
      <c r="B969" t="s">
        <v>1308</v>
      </c>
      <c r="C969" t="s">
        <v>130</v>
      </c>
      <c r="D969">
        <v>2002</v>
      </c>
      <c r="E969" t="s">
        <v>23</v>
      </c>
      <c r="F969" t="s">
        <v>24</v>
      </c>
      <c r="G969" t="s">
        <v>25</v>
      </c>
      <c r="H969" t="s">
        <v>26</v>
      </c>
      <c r="I969">
        <v>614382</v>
      </c>
      <c r="J969" t="s">
        <v>27</v>
      </c>
      <c r="K969" t="s">
        <v>1349</v>
      </c>
      <c r="L969" t="s">
        <v>21</v>
      </c>
    </row>
    <row r="970" spans="1:12">
      <c r="A970" t="s">
        <v>1351</v>
      </c>
      <c r="B970" t="s">
        <v>1308</v>
      </c>
      <c r="C970" t="s">
        <v>130</v>
      </c>
      <c r="D970">
        <v>2002</v>
      </c>
      <c r="E970" t="s">
        <v>29</v>
      </c>
      <c r="F970" t="s">
        <v>30</v>
      </c>
      <c r="G970" t="s">
        <v>31</v>
      </c>
      <c r="H970" t="s">
        <v>32</v>
      </c>
      <c r="I970">
        <v>1075.8115580000001</v>
      </c>
      <c r="J970" t="s">
        <v>33</v>
      </c>
      <c r="K970" t="s">
        <v>1349</v>
      </c>
      <c r="L970" t="s">
        <v>21</v>
      </c>
    </row>
    <row r="971" spans="1:12">
      <c r="A971" t="s">
        <v>1352</v>
      </c>
      <c r="B971" t="s">
        <v>1308</v>
      </c>
      <c r="C971" t="s">
        <v>130</v>
      </c>
      <c r="D971">
        <v>2007</v>
      </c>
      <c r="E971" t="s">
        <v>15</v>
      </c>
      <c r="F971" t="s">
        <v>16</v>
      </c>
      <c r="G971" t="s">
        <v>17</v>
      </c>
      <c r="H971" t="s">
        <v>18</v>
      </c>
      <c r="I971">
        <v>65.152000000000001</v>
      </c>
      <c r="J971" t="s">
        <v>19</v>
      </c>
      <c r="K971" t="s">
        <v>1353</v>
      </c>
      <c r="L971" t="s">
        <v>21</v>
      </c>
    </row>
    <row r="972" spans="1:12">
      <c r="A972" t="s">
        <v>1354</v>
      </c>
      <c r="B972" t="s">
        <v>1308</v>
      </c>
      <c r="C972" t="s">
        <v>130</v>
      </c>
      <c r="D972">
        <v>2007</v>
      </c>
      <c r="E972" t="s">
        <v>23</v>
      </c>
      <c r="F972" t="s">
        <v>24</v>
      </c>
      <c r="G972" t="s">
        <v>25</v>
      </c>
      <c r="H972" t="s">
        <v>26</v>
      </c>
      <c r="I972">
        <v>710960</v>
      </c>
      <c r="J972" t="s">
        <v>27</v>
      </c>
      <c r="K972" t="s">
        <v>1353</v>
      </c>
      <c r="L972" t="s">
        <v>21</v>
      </c>
    </row>
    <row r="973" spans="1:12">
      <c r="A973" t="s">
        <v>1355</v>
      </c>
      <c r="B973" t="s">
        <v>1308</v>
      </c>
      <c r="C973" t="s">
        <v>130</v>
      </c>
      <c r="D973">
        <v>2007</v>
      </c>
      <c r="E973" t="s">
        <v>29</v>
      </c>
      <c r="F973" t="s">
        <v>30</v>
      </c>
      <c r="G973" t="s">
        <v>31</v>
      </c>
      <c r="H973" t="s">
        <v>32</v>
      </c>
      <c r="I973">
        <v>986.14787920000003</v>
      </c>
      <c r="J973" t="s">
        <v>33</v>
      </c>
      <c r="K973" t="s">
        <v>1353</v>
      </c>
      <c r="L973" t="s">
        <v>21</v>
      </c>
    </row>
    <row r="974" spans="1:12">
      <c r="A974" t="s">
        <v>1356</v>
      </c>
      <c r="B974" t="s">
        <v>1357</v>
      </c>
      <c r="C974" t="s">
        <v>130</v>
      </c>
      <c r="D974">
        <v>1952</v>
      </c>
      <c r="E974" t="s">
        <v>15</v>
      </c>
      <c r="F974" t="s">
        <v>16</v>
      </c>
      <c r="G974" t="s">
        <v>17</v>
      </c>
      <c r="H974" t="s">
        <v>18</v>
      </c>
      <c r="I974">
        <v>39.143000000000001</v>
      </c>
      <c r="J974" t="s">
        <v>19</v>
      </c>
      <c r="K974" t="s">
        <v>1358</v>
      </c>
      <c r="L974" t="s">
        <v>21</v>
      </c>
    </row>
    <row r="975" spans="1:12">
      <c r="A975" t="s">
        <v>1359</v>
      </c>
      <c r="B975" t="s">
        <v>1357</v>
      </c>
      <c r="C975" t="s">
        <v>130</v>
      </c>
      <c r="D975">
        <v>1952</v>
      </c>
      <c r="E975" t="s">
        <v>23</v>
      </c>
      <c r="F975" t="s">
        <v>24</v>
      </c>
      <c r="G975" t="s">
        <v>25</v>
      </c>
      <c r="H975" t="s">
        <v>26</v>
      </c>
      <c r="I975">
        <v>14100005</v>
      </c>
      <c r="J975" t="s">
        <v>27</v>
      </c>
      <c r="K975" t="s">
        <v>1358</v>
      </c>
      <c r="L975" t="s">
        <v>21</v>
      </c>
    </row>
    <row r="976" spans="1:12">
      <c r="A976" t="s">
        <v>1360</v>
      </c>
      <c r="B976" t="s">
        <v>1357</v>
      </c>
      <c r="C976" t="s">
        <v>130</v>
      </c>
      <c r="D976">
        <v>1952</v>
      </c>
      <c r="E976" t="s">
        <v>29</v>
      </c>
      <c r="F976" t="s">
        <v>30</v>
      </c>
      <c r="G976" t="s">
        <v>31</v>
      </c>
      <c r="H976" t="s">
        <v>32</v>
      </c>
      <c r="I976">
        <v>780.54232569999999</v>
      </c>
      <c r="J976" t="s">
        <v>33</v>
      </c>
      <c r="K976" t="s">
        <v>1358</v>
      </c>
      <c r="L976" t="s">
        <v>21</v>
      </c>
    </row>
    <row r="977" spans="1:12">
      <c r="A977" t="s">
        <v>1361</v>
      </c>
      <c r="B977" t="s">
        <v>1357</v>
      </c>
      <c r="C977" t="s">
        <v>130</v>
      </c>
      <c r="D977">
        <v>1957</v>
      </c>
      <c r="E977" t="s">
        <v>15</v>
      </c>
      <c r="F977" t="s">
        <v>16</v>
      </c>
      <c r="G977" t="s">
        <v>17</v>
      </c>
      <c r="H977" t="s">
        <v>18</v>
      </c>
      <c r="I977">
        <v>40.652000000000001</v>
      </c>
      <c r="J977" t="s">
        <v>19</v>
      </c>
      <c r="K977" t="s">
        <v>1362</v>
      </c>
      <c r="L977" t="s">
        <v>21</v>
      </c>
    </row>
    <row r="978" spans="1:12">
      <c r="A978" t="s">
        <v>1363</v>
      </c>
      <c r="B978" t="s">
        <v>1357</v>
      </c>
      <c r="C978" t="s">
        <v>130</v>
      </c>
      <c r="D978">
        <v>1957</v>
      </c>
      <c r="E978" t="s">
        <v>23</v>
      </c>
      <c r="F978" t="s">
        <v>24</v>
      </c>
      <c r="G978" t="s">
        <v>25</v>
      </c>
      <c r="H978" t="s">
        <v>26</v>
      </c>
      <c r="I978">
        <v>15577932</v>
      </c>
      <c r="J978" t="s">
        <v>27</v>
      </c>
      <c r="K978" t="s">
        <v>1362</v>
      </c>
      <c r="L978" t="s">
        <v>21</v>
      </c>
    </row>
    <row r="979" spans="1:12">
      <c r="A979" t="s">
        <v>1364</v>
      </c>
      <c r="B979" t="s">
        <v>1357</v>
      </c>
      <c r="C979" t="s">
        <v>130</v>
      </c>
      <c r="D979">
        <v>1957</v>
      </c>
      <c r="E979" t="s">
        <v>29</v>
      </c>
      <c r="F979" t="s">
        <v>30</v>
      </c>
      <c r="G979" t="s">
        <v>31</v>
      </c>
      <c r="H979" t="s">
        <v>32</v>
      </c>
      <c r="I979">
        <v>905.86023030000001</v>
      </c>
      <c r="J979" t="s">
        <v>33</v>
      </c>
      <c r="K979" t="s">
        <v>1362</v>
      </c>
      <c r="L979" t="s">
        <v>21</v>
      </c>
    </row>
    <row r="980" spans="1:12">
      <c r="A980" t="s">
        <v>1365</v>
      </c>
      <c r="B980" t="s">
        <v>1357</v>
      </c>
      <c r="C980" t="s">
        <v>130</v>
      </c>
      <c r="D980">
        <v>1962</v>
      </c>
      <c r="E980" t="s">
        <v>15</v>
      </c>
      <c r="F980" t="s">
        <v>16</v>
      </c>
      <c r="G980" t="s">
        <v>17</v>
      </c>
      <c r="H980" t="s">
        <v>18</v>
      </c>
      <c r="I980">
        <v>42.122</v>
      </c>
      <c r="J980" t="s">
        <v>19</v>
      </c>
      <c r="K980" t="s">
        <v>1366</v>
      </c>
      <c r="L980" t="s">
        <v>21</v>
      </c>
    </row>
    <row r="981" spans="1:12">
      <c r="A981" t="s">
        <v>1367</v>
      </c>
      <c r="B981" t="s">
        <v>1357</v>
      </c>
      <c r="C981" t="s">
        <v>130</v>
      </c>
      <c r="D981">
        <v>1962</v>
      </c>
      <c r="E981" t="s">
        <v>23</v>
      </c>
      <c r="F981" t="s">
        <v>24</v>
      </c>
      <c r="G981" t="s">
        <v>25</v>
      </c>
      <c r="H981" t="s">
        <v>26</v>
      </c>
      <c r="I981">
        <v>17486434</v>
      </c>
      <c r="J981" t="s">
        <v>27</v>
      </c>
      <c r="K981" t="s">
        <v>1366</v>
      </c>
      <c r="L981" t="s">
        <v>21</v>
      </c>
    </row>
    <row r="982" spans="1:12">
      <c r="A982" t="s">
        <v>1368</v>
      </c>
      <c r="B982" t="s">
        <v>1357</v>
      </c>
      <c r="C982" t="s">
        <v>130</v>
      </c>
      <c r="D982">
        <v>1962</v>
      </c>
      <c r="E982" t="s">
        <v>29</v>
      </c>
      <c r="F982" t="s">
        <v>30</v>
      </c>
      <c r="G982" t="s">
        <v>31</v>
      </c>
      <c r="H982" t="s">
        <v>32</v>
      </c>
      <c r="I982">
        <v>896.31463350000001</v>
      </c>
      <c r="J982" t="s">
        <v>33</v>
      </c>
      <c r="K982" t="s">
        <v>1366</v>
      </c>
      <c r="L982" t="s">
        <v>21</v>
      </c>
    </row>
    <row r="983" spans="1:12">
      <c r="A983" t="s">
        <v>1369</v>
      </c>
      <c r="B983" t="s">
        <v>1357</v>
      </c>
      <c r="C983" t="s">
        <v>130</v>
      </c>
      <c r="D983">
        <v>1967</v>
      </c>
      <c r="E983" t="s">
        <v>15</v>
      </c>
      <c r="F983" t="s">
        <v>16</v>
      </c>
      <c r="G983" t="s">
        <v>17</v>
      </c>
      <c r="H983" t="s">
        <v>18</v>
      </c>
      <c r="I983">
        <v>44.055999999999997</v>
      </c>
      <c r="J983" t="s">
        <v>19</v>
      </c>
      <c r="K983" t="s">
        <v>1370</v>
      </c>
      <c r="L983" t="s">
        <v>21</v>
      </c>
    </row>
    <row r="984" spans="1:12">
      <c r="A984" t="s">
        <v>1371</v>
      </c>
      <c r="B984" t="s">
        <v>1357</v>
      </c>
      <c r="C984" t="s">
        <v>130</v>
      </c>
      <c r="D984">
        <v>1967</v>
      </c>
      <c r="E984" t="s">
        <v>23</v>
      </c>
      <c r="F984" t="s">
        <v>24</v>
      </c>
      <c r="G984" t="s">
        <v>25</v>
      </c>
      <c r="H984" t="s">
        <v>26</v>
      </c>
      <c r="I984">
        <v>19941073</v>
      </c>
      <c r="J984" t="s">
        <v>27</v>
      </c>
      <c r="K984" t="s">
        <v>1370</v>
      </c>
      <c r="L984" t="s">
        <v>21</v>
      </c>
    </row>
    <row r="985" spans="1:12">
      <c r="A985" t="s">
        <v>1372</v>
      </c>
      <c r="B985" t="s">
        <v>1357</v>
      </c>
      <c r="C985" t="s">
        <v>130</v>
      </c>
      <c r="D985">
        <v>1967</v>
      </c>
      <c r="E985" t="s">
        <v>29</v>
      </c>
      <c r="F985" t="s">
        <v>30</v>
      </c>
      <c r="G985" t="s">
        <v>31</v>
      </c>
      <c r="H985" t="s">
        <v>32</v>
      </c>
      <c r="I985">
        <v>861.59324240000001</v>
      </c>
      <c r="J985" t="s">
        <v>33</v>
      </c>
      <c r="K985" t="s">
        <v>1370</v>
      </c>
      <c r="L985" t="s">
        <v>21</v>
      </c>
    </row>
    <row r="986" spans="1:12">
      <c r="A986" t="s">
        <v>1373</v>
      </c>
      <c r="B986" t="s">
        <v>1357</v>
      </c>
      <c r="C986" t="s">
        <v>130</v>
      </c>
      <c r="D986">
        <v>1972</v>
      </c>
      <c r="E986" t="s">
        <v>15</v>
      </c>
      <c r="F986" t="s">
        <v>16</v>
      </c>
      <c r="G986" t="s">
        <v>17</v>
      </c>
      <c r="H986" t="s">
        <v>18</v>
      </c>
      <c r="I986">
        <v>45.988999999999997</v>
      </c>
      <c r="J986" t="s">
        <v>19</v>
      </c>
      <c r="K986" t="s">
        <v>1374</v>
      </c>
      <c r="L986" t="s">
        <v>21</v>
      </c>
    </row>
    <row r="987" spans="1:12">
      <c r="A987" t="s">
        <v>1375</v>
      </c>
      <c r="B987" t="s">
        <v>1357</v>
      </c>
      <c r="C987" t="s">
        <v>130</v>
      </c>
      <c r="D987">
        <v>1972</v>
      </c>
      <c r="E987" t="s">
        <v>23</v>
      </c>
      <c r="F987" t="s">
        <v>24</v>
      </c>
      <c r="G987" t="s">
        <v>25</v>
      </c>
      <c r="H987" t="s">
        <v>26</v>
      </c>
      <c r="I987">
        <v>23007669</v>
      </c>
      <c r="J987" t="s">
        <v>27</v>
      </c>
      <c r="K987" t="s">
        <v>1374</v>
      </c>
      <c r="L987" t="s">
        <v>21</v>
      </c>
    </row>
    <row r="988" spans="1:12">
      <c r="A988" t="s">
        <v>1376</v>
      </c>
      <c r="B988" t="s">
        <v>1357</v>
      </c>
      <c r="C988" t="s">
        <v>130</v>
      </c>
      <c r="D988">
        <v>1972</v>
      </c>
      <c r="E988" t="s">
        <v>29</v>
      </c>
      <c r="F988" t="s">
        <v>30</v>
      </c>
      <c r="G988" t="s">
        <v>31</v>
      </c>
      <c r="H988" t="s">
        <v>32</v>
      </c>
      <c r="I988">
        <v>904.89606849999996</v>
      </c>
      <c r="J988" t="s">
        <v>33</v>
      </c>
      <c r="K988" t="s">
        <v>1374</v>
      </c>
      <c r="L988" t="s">
        <v>21</v>
      </c>
    </row>
    <row r="989" spans="1:12">
      <c r="A989" t="s">
        <v>1377</v>
      </c>
      <c r="B989" t="s">
        <v>1357</v>
      </c>
      <c r="C989" t="s">
        <v>130</v>
      </c>
      <c r="D989">
        <v>1977</v>
      </c>
      <c r="E989" t="s">
        <v>15</v>
      </c>
      <c r="F989" t="s">
        <v>16</v>
      </c>
      <c r="G989" t="s">
        <v>17</v>
      </c>
      <c r="H989" t="s">
        <v>18</v>
      </c>
      <c r="I989">
        <v>47.804000000000002</v>
      </c>
      <c r="J989" t="s">
        <v>19</v>
      </c>
      <c r="K989" t="s">
        <v>1378</v>
      </c>
      <c r="L989" t="s">
        <v>21</v>
      </c>
    </row>
    <row r="990" spans="1:12">
      <c r="A990" t="s">
        <v>1379</v>
      </c>
      <c r="B990" t="s">
        <v>1357</v>
      </c>
      <c r="C990" t="s">
        <v>130</v>
      </c>
      <c r="D990">
        <v>1977</v>
      </c>
      <c r="E990" t="s">
        <v>23</v>
      </c>
      <c r="F990" t="s">
        <v>24</v>
      </c>
      <c r="G990" t="s">
        <v>25</v>
      </c>
      <c r="H990" t="s">
        <v>26</v>
      </c>
      <c r="I990">
        <v>26480870</v>
      </c>
      <c r="J990" t="s">
        <v>27</v>
      </c>
      <c r="K990" t="s">
        <v>1378</v>
      </c>
      <c r="L990" t="s">
        <v>21</v>
      </c>
    </row>
    <row r="991" spans="1:12">
      <c r="A991" t="s">
        <v>1380</v>
      </c>
      <c r="B991" t="s">
        <v>1357</v>
      </c>
      <c r="C991" t="s">
        <v>130</v>
      </c>
      <c r="D991">
        <v>1977</v>
      </c>
      <c r="E991" t="s">
        <v>29</v>
      </c>
      <c r="F991" t="s">
        <v>30</v>
      </c>
      <c r="G991" t="s">
        <v>31</v>
      </c>
      <c r="H991" t="s">
        <v>32</v>
      </c>
      <c r="I991">
        <v>795.75728200000003</v>
      </c>
      <c r="J991" t="s">
        <v>33</v>
      </c>
      <c r="K991" t="s">
        <v>1378</v>
      </c>
      <c r="L991" t="s">
        <v>21</v>
      </c>
    </row>
    <row r="992" spans="1:12">
      <c r="A992" t="s">
        <v>1381</v>
      </c>
      <c r="B992" t="s">
        <v>1357</v>
      </c>
      <c r="C992" t="s">
        <v>130</v>
      </c>
      <c r="D992">
        <v>1982</v>
      </c>
      <c r="E992" t="s">
        <v>15</v>
      </c>
      <c r="F992" t="s">
        <v>16</v>
      </c>
      <c r="G992" t="s">
        <v>17</v>
      </c>
      <c r="H992" t="s">
        <v>18</v>
      </c>
      <c r="I992">
        <v>47.783999999999999</v>
      </c>
      <c r="J992" t="s">
        <v>19</v>
      </c>
      <c r="K992" t="s">
        <v>1382</v>
      </c>
      <c r="L992" t="s">
        <v>21</v>
      </c>
    </row>
    <row r="993" spans="1:12">
      <c r="A993" t="s">
        <v>1383</v>
      </c>
      <c r="B993" t="s">
        <v>1357</v>
      </c>
      <c r="C993" t="s">
        <v>130</v>
      </c>
      <c r="D993">
        <v>1982</v>
      </c>
      <c r="E993" t="s">
        <v>23</v>
      </c>
      <c r="F993" t="s">
        <v>24</v>
      </c>
      <c r="G993" t="s">
        <v>25</v>
      </c>
      <c r="H993" t="s">
        <v>26</v>
      </c>
      <c r="I993">
        <v>30646495</v>
      </c>
      <c r="J993" t="s">
        <v>27</v>
      </c>
      <c r="K993" t="s">
        <v>1382</v>
      </c>
      <c r="L993" t="s">
        <v>21</v>
      </c>
    </row>
    <row r="994" spans="1:12">
      <c r="A994" t="s">
        <v>1384</v>
      </c>
      <c r="B994" t="s">
        <v>1357</v>
      </c>
      <c r="C994" t="s">
        <v>130</v>
      </c>
      <c r="D994">
        <v>1982</v>
      </c>
      <c r="E994" t="s">
        <v>29</v>
      </c>
      <c r="F994" t="s">
        <v>30</v>
      </c>
      <c r="G994" t="s">
        <v>31</v>
      </c>
      <c r="H994" t="s">
        <v>32</v>
      </c>
      <c r="I994">
        <v>673.74781810000002</v>
      </c>
      <c r="J994" t="s">
        <v>33</v>
      </c>
      <c r="K994" t="s">
        <v>1382</v>
      </c>
      <c r="L994" t="s">
        <v>21</v>
      </c>
    </row>
    <row r="995" spans="1:12">
      <c r="A995" t="s">
        <v>1385</v>
      </c>
      <c r="B995" t="s">
        <v>1357</v>
      </c>
      <c r="C995" t="s">
        <v>130</v>
      </c>
      <c r="D995">
        <v>1987</v>
      </c>
      <c r="E995" t="s">
        <v>15</v>
      </c>
      <c r="F995" t="s">
        <v>16</v>
      </c>
      <c r="G995" t="s">
        <v>17</v>
      </c>
      <c r="H995" t="s">
        <v>18</v>
      </c>
      <c r="I995">
        <v>47.411999999999999</v>
      </c>
      <c r="J995" t="s">
        <v>19</v>
      </c>
      <c r="K995" t="s">
        <v>1386</v>
      </c>
      <c r="L995" t="s">
        <v>21</v>
      </c>
    </row>
    <row r="996" spans="1:12">
      <c r="A996" t="s">
        <v>1387</v>
      </c>
      <c r="B996" t="s">
        <v>1357</v>
      </c>
      <c r="C996" t="s">
        <v>130</v>
      </c>
      <c r="D996">
        <v>1987</v>
      </c>
      <c r="E996" t="s">
        <v>23</v>
      </c>
      <c r="F996" t="s">
        <v>24</v>
      </c>
      <c r="G996" t="s">
        <v>25</v>
      </c>
      <c r="H996" t="s">
        <v>26</v>
      </c>
      <c r="I996">
        <v>35481645</v>
      </c>
      <c r="J996" t="s">
        <v>27</v>
      </c>
      <c r="K996" t="s">
        <v>1386</v>
      </c>
      <c r="L996" t="s">
        <v>21</v>
      </c>
    </row>
    <row r="997" spans="1:12">
      <c r="A997" t="s">
        <v>1388</v>
      </c>
      <c r="B997" t="s">
        <v>1357</v>
      </c>
      <c r="C997" t="s">
        <v>130</v>
      </c>
      <c r="D997">
        <v>1987</v>
      </c>
      <c r="E997" t="s">
        <v>29</v>
      </c>
      <c r="F997" t="s">
        <v>30</v>
      </c>
      <c r="G997" t="s">
        <v>31</v>
      </c>
      <c r="H997" t="s">
        <v>32</v>
      </c>
      <c r="I997">
        <v>672.774812</v>
      </c>
      <c r="J997" t="s">
        <v>33</v>
      </c>
      <c r="K997" t="s">
        <v>1386</v>
      </c>
      <c r="L997" t="s">
        <v>21</v>
      </c>
    </row>
    <row r="998" spans="1:12">
      <c r="A998" t="s">
        <v>1389</v>
      </c>
      <c r="B998" t="s">
        <v>1357</v>
      </c>
      <c r="C998" t="s">
        <v>130</v>
      </c>
      <c r="D998">
        <v>1992</v>
      </c>
      <c r="E998" t="s">
        <v>15</v>
      </c>
      <c r="F998" t="s">
        <v>16</v>
      </c>
      <c r="G998" t="s">
        <v>17</v>
      </c>
      <c r="H998" t="s">
        <v>18</v>
      </c>
      <c r="I998">
        <v>45.548000000000002</v>
      </c>
      <c r="J998" t="s">
        <v>19</v>
      </c>
      <c r="K998" t="s">
        <v>1390</v>
      </c>
      <c r="L998" t="s">
        <v>21</v>
      </c>
    </row>
    <row r="999" spans="1:12">
      <c r="A999" t="s">
        <v>1391</v>
      </c>
      <c r="B999" t="s">
        <v>1357</v>
      </c>
      <c r="C999" t="s">
        <v>130</v>
      </c>
      <c r="D999">
        <v>1992</v>
      </c>
      <c r="E999" t="s">
        <v>23</v>
      </c>
      <c r="F999" t="s">
        <v>24</v>
      </c>
      <c r="G999" t="s">
        <v>25</v>
      </c>
      <c r="H999" t="s">
        <v>26</v>
      </c>
      <c r="I999">
        <v>41672143</v>
      </c>
      <c r="J999" t="s">
        <v>27</v>
      </c>
      <c r="K999" t="s">
        <v>1390</v>
      </c>
      <c r="L999" t="s">
        <v>21</v>
      </c>
    </row>
    <row r="1000" spans="1:12">
      <c r="A1000" t="s">
        <v>1392</v>
      </c>
      <c r="B1000" t="s">
        <v>1357</v>
      </c>
      <c r="C1000" t="s">
        <v>130</v>
      </c>
      <c r="D1000">
        <v>1992</v>
      </c>
      <c r="E1000" t="s">
        <v>29</v>
      </c>
      <c r="F1000" t="s">
        <v>30</v>
      </c>
      <c r="G1000" t="s">
        <v>31</v>
      </c>
      <c r="H1000" t="s">
        <v>32</v>
      </c>
      <c r="I1000">
        <v>457.71918069999998</v>
      </c>
      <c r="J1000" t="s">
        <v>33</v>
      </c>
      <c r="K1000" t="s">
        <v>1390</v>
      </c>
      <c r="L1000" t="s">
        <v>21</v>
      </c>
    </row>
    <row r="1001" spans="1:12">
      <c r="A1001" t="s">
        <v>1393</v>
      </c>
      <c r="B1001" t="s">
        <v>1357</v>
      </c>
      <c r="C1001" t="s">
        <v>130</v>
      </c>
      <c r="D1001">
        <v>1997</v>
      </c>
      <c r="E1001" t="s">
        <v>15</v>
      </c>
      <c r="F1001" t="s">
        <v>16</v>
      </c>
      <c r="G1001" t="s">
        <v>17</v>
      </c>
      <c r="H1001" t="s">
        <v>18</v>
      </c>
      <c r="I1001">
        <v>42.587000000000003</v>
      </c>
      <c r="J1001" t="s">
        <v>19</v>
      </c>
      <c r="K1001" t="s">
        <v>1394</v>
      </c>
      <c r="L1001" t="s">
        <v>21</v>
      </c>
    </row>
    <row r="1002" spans="1:12">
      <c r="A1002" t="s">
        <v>1395</v>
      </c>
      <c r="B1002" t="s">
        <v>1357</v>
      </c>
      <c r="C1002" t="s">
        <v>130</v>
      </c>
      <c r="D1002">
        <v>1997</v>
      </c>
      <c r="E1002" t="s">
        <v>23</v>
      </c>
      <c r="F1002" t="s">
        <v>24</v>
      </c>
      <c r="G1002" t="s">
        <v>25</v>
      </c>
      <c r="H1002" t="s">
        <v>26</v>
      </c>
      <c r="I1002">
        <v>47798986</v>
      </c>
      <c r="J1002" t="s">
        <v>27</v>
      </c>
      <c r="K1002" t="s">
        <v>1394</v>
      </c>
      <c r="L1002" t="s">
        <v>21</v>
      </c>
    </row>
    <row r="1003" spans="1:12">
      <c r="A1003" t="s">
        <v>1396</v>
      </c>
      <c r="B1003" t="s">
        <v>1357</v>
      </c>
      <c r="C1003" t="s">
        <v>130</v>
      </c>
      <c r="D1003">
        <v>1997</v>
      </c>
      <c r="E1003" t="s">
        <v>29</v>
      </c>
      <c r="F1003" t="s">
        <v>30</v>
      </c>
      <c r="G1003" t="s">
        <v>31</v>
      </c>
      <c r="H1003" t="s">
        <v>32</v>
      </c>
      <c r="I1003">
        <v>312.188423</v>
      </c>
      <c r="J1003" t="s">
        <v>33</v>
      </c>
      <c r="K1003" t="s">
        <v>1394</v>
      </c>
      <c r="L1003" t="s">
        <v>21</v>
      </c>
    </row>
    <row r="1004" spans="1:12">
      <c r="A1004" t="s">
        <v>1397</v>
      </c>
      <c r="B1004" t="s">
        <v>1357</v>
      </c>
      <c r="C1004" t="s">
        <v>130</v>
      </c>
      <c r="D1004">
        <v>2002</v>
      </c>
      <c r="E1004" t="s">
        <v>15</v>
      </c>
      <c r="F1004" t="s">
        <v>16</v>
      </c>
      <c r="G1004" t="s">
        <v>17</v>
      </c>
      <c r="H1004" t="s">
        <v>18</v>
      </c>
      <c r="I1004">
        <v>44.966000000000001</v>
      </c>
      <c r="J1004" t="s">
        <v>19</v>
      </c>
      <c r="K1004" t="s">
        <v>1398</v>
      </c>
      <c r="L1004" t="s">
        <v>21</v>
      </c>
    </row>
    <row r="1005" spans="1:12">
      <c r="A1005" t="s">
        <v>1399</v>
      </c>
      <c r="B1005" t="s">
        <v>1357</v>
      </c>
      <c r="C1005" t="s">
        <v>130</v>
      </c>
      <c r="D1005">
        <v>2002</v>
      </c>
      <c r="E1005" t="s">
        <v>23</v>
      </c>
      <c r="F1005" t="s">
        <v>24</v>
      </c>
      <c r="G1005" t="s">
        <v>25</v>
      </c>
      <c r="H1005" t="s">
        <v>26</v>
      </c>
      <c r="I1005">
        <v>55379852</v>
      </c>
      <c r="J1005" t="s">
        <v>27</v>
      </c>
      <c r="K1005" t="s">
        <v>1398</v>
      </c>
      <c r="L1005" t="s">
        <v>21</v>
      </c>
    </row>
    <row r="1006" spans="1:12">
      <c r="A1006" t="s">
        <v>1400</v>
      </c>
      <c r="B1006" t="s">
        <v>1357</v>
      </c>
      <c r="C1006" t="s">
        <v>130</v>
      </c>
      <c r="D1006">
        <v>2002</v>
      </c>
      <c r="E1006" t="s">
        <v>29</v>
      </c>
      <c r="F1006" t="s">
        <v>30</v>
      </c>
      <c r="G1006" t="s">
        <v>31</v>
      </c>
      <c r="H1006" t="s">
        <v>32</v>
      </c>
      <c r="I1006">
        <v>241.1658765</v>
      </c>
      <c r="J1006" t="s">
        <v>33</v>
      </c>
      <c r="K1006" t="s">
        <v>1398</v>
      </c>
      <c r="L1006" t="s">
        <v>21</v>
      </c>
    </row>
    <row r="1007" spans="1:12">
      <c r="A1007" t="s">
        <v>1401</v>
      </c>
      <c r="B1007" t="s">
        <v>1357</v>
      </c>
      <c r="C1007" t="s">
        <v>130</v>
      </c>
      <c r="D1007">
        <v>2007</v>
      </c>
      <c r="E1007" t="s">
        <v>15</v>
      </c>
      <c r="F1007" t="s">
        <v>16</v>
      </c>
      <c r="G1007" t="s">
        <v>17</v>
      </c>
      <c r="H1007" t="s">
        <v>18</v>
      </c>
      <c r="I1007">
        <v>46.462000000000003</v>
      </c>
      <c r="J1007" t="s">
        <v>19</v>
      </c>
      <c r="K1007" t="s">
        <v>1402</v>
      </c>
      <c r="L1007" t="s">
        <v>21</v>
      </c>
    </row>
    <row r="1008" spans="1:12">
      <c r="A1008" t="s">
        <v>1403</v>
      </c>
      <c r="B1008" t="s">
        <v>1357</v>
      </c>
      <c r="C1008" t="s">
        <v>130</v>
      </c>
      <c r="D1008">
        <v>2007</v>
      </c>
      <c r="E1008" t="s">
        <v>23</v>
      </c>
      <c r="F1008" t="s">
        <v>24</v>
      </c>
      <c r="G1008" t="s">
        <v>25</v>
      </c>
      <c r="H1008" t="s">
        <v>26</v>
      </c>
      <c r="I1008">
        <v>64606759</v>
      </c>
      <c r="J1008" t="s">
        <v>27</v>
      </c>
      <c r="K1008" t="s">
        <v>1402</v>
      </c>
      <c r="L1008" t="s">
        <v>21</v>
      </c>
    </row>
    <row r="1009" spans="1:12">
      <c r="A1009" t="s">
        <v>1404</v>
      </c>
      <c r="B1009" t="s">
        <v>1357</v>
      </c>
      <c r="C1009" t="s">
        <v>130</v>
      </c>
      <c r="D1009">
        <v>2007</v>
      </c>
      <c r="E1009" t="s">
        <v>29</v>
      </c>
      <c r="F1009" t="s">
        <v>30</v>
      </c>
      <c r="G1009" t="s">
        <v>31</v>
      </c>
      <c r="H1009" t="s">
        <v>32</v>
      </c>
      <c r="I1009">
        <v>277.55185870000003</v>
      </c>
      <c r="J1009" t="s">
        <v>33</v>
      </c>
      <c r="K1009" t="s">
        <v>1402</v>
      </c>
      <c r="L1009" t="s">
        <v>21</v>
      </c>
    </row>
    <row r="1010" spans="1:12">
      <c r="A1010" t="s">
        <v>1405</v>
      </c>
      <c r="B1010" t="s">
        <v>1406</v>
      </c>
      <c r="C1010" t="s">
        <v>130</v>
      </c>
      <c r="D1010">
        <v>1952</v>
      </c>
      <c r="E1010" t="s">
        <v>15</v>
      </c>
      <c r="F1010" t="s">
        <v>16</v>
      </c>
      <c r="G1010" t="s">
        <v>17</v>
      </c>
      <c r="H1010" t="s">
        <v>18</v>
      </c>
      <c r="I1010">
        <v>42.110999999999997</v>
      </c>
      <c r="J1010" t="s">
        <v>19</v>
      </c>
      <c r="K1010" t="s">
        <v>1407</v>
      </c>
      <c r="L1010" t="s">
        <v>21</v>
      </c>
    </row>
    <row r="1011" spans="1:12">
      <c r="A1011" t="s">
        <v>1408</v>
      </c>
      <c r="B1011" t="s">
        <v>1406</v>
      </c>
      <c r="C1011" t="s">
        <v>130</v>
      </c>
      <c r="D1011">
        <v>1952</v>
      </c>
      <c r="E1011" t="s">
        <v>23</v>
      </c>
      <c r="F1011" t="s">
        <v>24</v>
      </c>
      <c r="G1011" t="s">
        <v>25</v>
      </c>
      <c r="H1011" t="s">
        <v>26</v>
      </c>
      <c r="I1011">
        <v>854885</v>
      </c>
      <c r="J1011" t="s">
        <v>27</v>
      </c>
      <c r="K1011" t="s">
        <v>1407</v>
      </c>
      <c r="L1011" t="s">
        <v>21</v>
      </c>
    </row>
    <row r="1012" spans="1:12">
      <c r="A1012" t="s">
        <v>1409</v>
      </c>
      <c r="B1012" t="s">
        <v>1406</v>
      </c>
      <c r="C1012" t="s">
        <v>130</v>
      </c>
      <c r="D1012">
        <v>1952</v>
      </c>
      <c r="E1012" t="s">
        <v>29</v>
      </c>
      <c r="F1012" t="s">
        <v>30</v>
      </c>
      <c r="G1012" t="s">
        <v>31</v>
      </c>
      <c r="H1012" t="s">
        <v>32</v>
      </c>
      <c r="I1012">
        <v>2125.6214180000002</v>
      </c>
      <c r="J1012" t="s">
        <v>33</v>
      </c>
      <c r="K1012" t="s">
        <v>1407</v>
      </c>
      <c r="L1012" t="s">
        <v>21</v>
      </c>
    </row>
    <row r="1013" spans="1:12">
      <c r="A1013" t="s">
        <v>1410</v>
      </c>
      <c r="B1013" t="s">
        <v>1406</v>
      </c>
      <c r="C1013" t="s">
        <v>130</v>
      </c>
      <c r="D1013">
        <v>1957</v>
      </c>
      <c r="E1013" t="s">
        <v>15</v>
      </c>
      <c r="F1013" t="s">
        <v>16</v>
      </c>
      <c r="G1013" t="s">
        <v>17</v>
      </c>
      <c r="H1013" t="s">
        <v>18</v>
      </c>
      <c r="I1013">
        <v>45.052999999999997</v>
      </c>
      <c r="J1013" t="s">
        <v>19</v>
      </c>
      <c r="K1013" t="s">
        <v>1411</v>
      </c>
      <c r="L1013" t="s">
        <v>21</v>
      </c>
    </row>
    <row r="1014" spans="1:12">
      <c r="A1014" t="s">
        <v>1412</v>
      </c>
      <c r="B1014" t="s">
        <v>1406</v>
      </c>
      <c r="C1014" t="s">
        <v>130</v>
      </c>
      <c r="D1014">
        <v>1957</v>
      </c>
      <c r="E1014" t="s">
        <v>23</v>
      </c>
      <c r="F1014" t="s">
        <v>24</v>
      </c>
      <c r="G1014" t="s">
        <v>25</v>
      </c>
      <c r="H1014" t="s">
        <v>26</v>
      </c>
      <c r="I1014">
        <v>940458</v>
      </c>
      <c r="J1014" t="s">
        <v>27</v>
      </c>
      <c r="K1014" t="s">
        <v>1411</v>
      </c>
      <c r="L1014" t="s">
        <v>21</v>
      </c>
    </row>
    <row r="1015" spans="1:12">
      <c r="A1015" t="s">
        <v>1413</v>
      </c>
      <c r="B1015" t="s">
        <v>1406</v>
      </c>
      <c r="C1015" t="s">
        <v>130</v>
      </c>
      <c r="D1015">
        <v>1957</v>
      </c>
      <c r="E1015" t="s">
        <v>29</v>
      </c>
      <c r="F1015" t="s">
        <v>30</v>
      </c>
      <c r="G1015" t="s">
        <v>31</v>
      </c>
      <c r="H1015" t="s">
        <v>32</v>
      </c>
      <c r="I1015">
        <v>2315.056572</v>
      </c>
      <c r="J1015" t="s">
        <v>33</v>
      </c>
      <c r="K1015" t="s">
        <v>1411</v>
      </c>
      <c r="L1015" t="s">
        <v>21</v>
      </c>
    </row>
    <row r="1016" spans="1:12">
      <c r="A1016" t="s">
        <v>1414</v>
      </c>
      <c r="B1016" t="s">
        <v>1406</v>
      </c>
      <c r="C1016" t="s">
        <v>130</v>
      </c>
      <c r="D1016">
        <v>1962</v>
      </c>
      <c r="E1016" t="s">
        <v>15</v>
      </c>
      <c r="F1016" t="s">
        <v>16</v>
      </c>
      <c r="G1016" t="s">
        <v>17</v>
      </c>
      <c r="H1016" t="s">
        <v>18</v>
      </c>
      <c r="I1016">
        <v>48.435000000000002</v>
      </c>
      <c r="J1016" t="s">
        <v>19</v>
      </c>
      <c r="K1016" t="s">
        <v>1415</v>
      </c>
      <c r="L1016" t="s">
        <v>21</v>
      </c>
    </row>
    <row r="1017" spans="1:12">
      <c r="A1017" t="s">
        <v>1416</v>
      </c>
      <c r="B1017" t="s">
        <v>1406</v>
      </c>
      <c r="C1017" t="s">
        <v>130</v>
      </c>
      <c r="D1017">
        <v>1962</v>
      </c>
      <c r="E1017" t="s">
        <v>23</v>
      </c>
      <c r="F1017" t="s">
        <v>24</v>
      </c>
      <c r="G1017" t="s">
        <v>25</v>
      </c>
      <c r="H1017" t="s">
        <v>26</v>
      </c>
      <c r="I1017">
        <v>1047924</v>
      </c>
      <c r="J1017" t="s">
        <v>27</v>
      </c>
      <c r="K1017" t="s">
        <v>1415</v>
      </c>
      <c r="L1017" t="s">
        <v>21</v>
      </c>
    </row>
    <row r="1018" spans="1:12">
      <c r="A1018" t="s">
        <v>1417</v>
      </c>
      <c r="B1018" t="s">
        <v>1406</v>
      </c>
      <c r="C1018" t="s">
        <v>130</v>
      </c>
      <c r="D1018">
        <v>1962</v>
      </c>
      <c r="E1018" t="s">
        <v>29</v>
      </c>
      <c r="F1018" t="s">
        <v>30</v>
      </c>
      <c r="G1018" t="s">
        <v>31</v>
      </c>
      <c r="H1018" t="s">
        <v>32</v>
      </c>
      <c r="I1018">
        <v>2464.7831569999998</v>
      </c>
      <c r="J1018" t="s">
        <v>33</v>
      </c>
      <c r="K1018" t="s">
        <v>1415</v>
      </c>
      <c r="L1018" t="s">
        <v>21</v>
      </c>
    </row>
    <row r="1019" spans="1:12">
      <c r="A1019" t="s">
        <v>1418</v>
      </c>
      <c r="B1019" t="s">
        <v>1406</v>
      </c>
      <c r="C1019" t="s">
        <v>130</v>
      </c>
      <c r="D1019">
        <v>1967</v>
      </c>
      <c r="E1019" t="s">
        <v>15</v>
      </c>
      <c r="F1019" t="s">
        <v>16</v>
      </c>
      <c r="G1019" t="s">
        <v>17</v>
      </c>
      <c r="H1019" t="s">
        <v>18</v>
      </c>
      <c r="I1019">
        <v>52.04</v>
      </c>
      <c r="J1019" t="s">
        <v>19</v>
      </c>
      <c r="K1019" t="s">
        <v>1419</v>
      </c>
      <c r="L1019" t="s">
        <v>21</v>
      </c>
    </row>
    <row r="1020" spans="1:12">
      <c r="A1020" t="s">
        <v>1420</v>
      </c>
      <c r="B1020" t="s">
        <v>1406</v>
      </c>
      <c r="C1020" t="s">
        <v>130</v>
      </c>
      <c r="D1020">
        <v>1967</v>
      </c>
      <c r="E1020" t="s">
        <v>23</v>
      </c>
      <c r="F1020" t="s">
        <v>24</v>
      </c>
      <c r="G1020" t="s">
        <v>25</v>
      </c>
      <c r="H1020" t="s">
        <v>26</v>
      </c>
      <c r="I1020">
        <v>1179760</v>
      </c>
      <c r="J1020" t="s">
        <v>27</v>
      </c>
      <c r="K1020" t="s">
        <v>1419</v>
      </c>
      <c r="L1020" t="s">
        <v>21</v>
      </c>
    </row>
    <row r="1021" spans="1:12">
      <c r="A1021" t="s">
        <v>1421</v>
      </c>
      <c r="B1021" t="s">
        <v>1406</v>
      </c>
      <c r="C1021" t="s">
        <v>130</v>
      </c>
      <c r="D1021">
        <v>1967</v>
      </c>
      <c r="E1021" t="s">
        <v>29</v>
      </c>
      <c r="F1021" t="s">
        <v>30</v>
      </c>
      <c r="G1021" t="s">
        <v>31</v>
      </c>
      <c r="H1021" t="s">
        <v>32</v>
      </c>
      <c r="I1021">
        <v>2677.9396419999998</v>
      </c>
      <c r="J1021" t="s">
        <v>33</v>
      </c>
      <c r="K1021" t="s">
        <v>1419</v>
      </c>
      <c r="L1021" t="s">
        <v>21</v>
      </c>
    </row>
    <row r="1022" spans="1:12">
      <c r="A1022" t="s">
        <v>1422</v>
      </c>
      <c r="B1022" t="s">
        <v>1406</v>
      </c>
      <c r="C1022" t="s">
        <v>130</v>
      </c>
      <c r="D1022">
        <v>1972</v>
      </c>
      <c r="E1022" t="s">
        <v>15</v>
      </c>
      <c r="F1022" t="s">
        <v>16</v>
      </c>
      <c r="G1022" t="s">
        <v>17</v>
      </c>
      <c r="H1022" t="s">
        <v>18</v>
      </c>
      <c r="I1022">
        <v>54.906999999999996</v>
      </c>
      <c r="J1022" t="s">
        <v>19</v>
      </c>
      <c r="K1022" t="s">
        <v>1423</v>
      </c>
      <c r="L1022" t="s">
        <v>21</v>
      </c>
    </row>
    <row r="1023" spans="1:12">
      <c r="A1023" t="s">
        <v>1424</v>
      </c>
      <c r="B1023" t="s">
        <v>1406</v>
      </c>
      <c r="C1023" t="s">
        <v>130</v>
      </c>
      <c r="D1023">
        <v>1972</v>
      </c>
      <c r="E1023" t="s">
        <v>23</v>
      </c>
      <c r="F1023" t="s">
        <v>24</v>
      </c>
      <c r="G1023" t="s">
        <v>25</v>
      </c>
      <c r="H1023" t="s">
        <v>26</v>
      </c>
      <c r="I1023">
        <v>1340458</v>
      </c>
      <c r="J1023" t="s">
        <v>27</v>
      </c>
      <c r="K1023" t="s">
        <v>1423</v>
      </c>
      <c r="L1023" t="s">
        <v>21</v>
      </c>
    </row>
    <row r="1024" spans="1:12">
      <c r="A1024" t="s">
        <v>1425</v>
      </c>
      <c r="B1024" t="s">
        <v>1406</v>
      </c>
      <c r="C1024" t="s">
        <v>130</v>
      </c>
      <c r="D1024">
        <v>1972</v>
      </c>
      <c r="E1024" t="s">
        <v>29</v>
      </c>
      <c r="F1024" t="s">
        <v>30</v>
      </c>
      <c r="G1024" t="s">
        <v>31</v>
      </c>
      <c r="H1024" t="s">
        <v>32</v>
      </c>
      <c r="I1024">
        <v>3213.1526829999998</v>
      </c>
      <c r="J1024" t="s">
        <v>33</v>
      </c>
      <c r="K1024" t="s">
        <v>1423</v>
      </c>
      <c r="L1024" t="s">
        <v>21</v>
      </c>
    </row>
    <row r="1025" spans="1:12">
      <c r="A1025" t="s">
        <v>1426</v>
      </c>
      <c r="B1025" t="s">
        <v>1406</v>
      </c>
      <c r="C1025" t="s">
        <v>130</v>
      </c>
      <c r="D1025">
        <v>1977</v>
      </c>
      <c r="E1025" t="s">
        <v>15</v>
      </c>
      <c r="F1025" t="s">
        <v>16</v>
      </c>
      <c r="G1025" t="s">
        <v>17</v>
      </c>
      <c r="H1025" t="s">
        <v>18</v>
      </c>
      <c r="I1025">
        <v>55.625</v>
      </c>
      <c r="J1025" t="s">
        <v>19</v>
      </c>
      <c r="K1025" t="s">
        <v>1427</v>
      </c>
      <c r="L1025" t="s">
        <v>21</v>
      </c>
    </row>
    <row r="1026" spans="1:12">
      <c r="A1026" t="s">
        <v>1428</v>
      </c>
      <c r="B1026" t="s">
        <v>1406</v>
      </c>
      <c r="C1026" t="s">
        <v>130</v>
      </c>
      <c r="D1026">
        <v>1977</v>
      </c>
      <c r="E1026" t="s">
        <v>23</v>
      </c>
      <c r="F1026" t="s">
        <v>24</v>
      </c>
      <c r="G1026" t="s">
        <v>25</v>
      </c>
      <c r="H1026" t="s">
        <v>26</v>
      </c>
      <c r="I1026">
        <v>1536769</v>
      </c>
      <c r="J1026" t="s">
        <v>27</v>
      </c>
      <c r="K1026" t="s">
        <v>1427</v>
      </c>
      <c r="L1026" t="s">
        <v>21</v>
      </c>
    </row>
    <row r="1027" spans="1:12">
      <c r="A1027" t="s">
        <v>1429</v>
      </c>
      <c r="B1027" t="s">
        <v>1406</v>
      </c>
      <c r="C1027" t="s">
        <v>130</v>
      </c>
      <c r="D1027">
        <v>1977</v>
      </c>
      <c r="E1027" t="s">
        <v>29</v>
      </c>
      <c r="F1027" t="s">
        <v>30</v>
      </c>
      <c r="G1027" t="s">
        <v>31</v>
      </c>
      <c r="H1027" t="s">
        <v>32</v>
      </c>
      <c r="I1027">
        <v>3259.1789779999999</v>
      </c>
      <c r="J1027" t="s">
        <v>33</v>
      </c>
      <c r="K1027" t="s">
        <v>1427</v>
      </c>
      <c r="L1027" t="s">
        <v>21</v>
      </c>
    </row>
    <row r="1028" spans="1:12">
      <c r="A1028" t="s">
        <v>1430</v>
      </c>
      <c r="B1028" t="s">
        <v>1406</v>
      </c>
      <c r="C1028" t="s">
        <v>130</v>
      </c>
      <c r="D1028">
        <v>1982</v>
      </c>
      <c r="E1028" t="s">
        <v>15</v>
      </c>
      <c r="F1028" t="s">
        <v>16</v>
      </c>
      <c r="G1028" t="s">
        <v>17</v>
      </c>
      <c r="H1028" t="s">
        <v>18</v>
      </c>
      <c r="I1028">
        <v>56.695</v>
      </c>
      <c r="J1028" t="s">
        <v>19</v>
      </c>
      <c r="K1028" t="s">
        <v>1431</v>
      </c>
      <c r="L1028" t="s">
        <v>21</v>
      </c>
    </row>
    <row r="1029" spans="1:12">
      <c r="A1029" t="s">
        <v>1432</v>
      </c>
      <c r="B1029" t="s">
        <v>1406</v>
      </c>
      <c r="C1029" t="s">
        <v>130</v>
      </c>
      <c r="D1029">
        <v>1982</v>
      </c>
      <c r="E1029" t="s">
        <v>23</v>
      </c>
      <c r="F1029" t="s">
        <v>24</v>
      </c>
      <c r="G1029" t="s">
        <v>25</v>
      </c>
      <c r="H1029" t="s">
        <v>26</v>
      </c>
      <c r="I1029">
        <v>1774735</v>
      </c>
      <c r="J1029" t="s">
        <v>27</v>
      </c>
      <c r="K1029" t="s">
        <v>1431</v>
      </c>
      <c r="L1029" t="s">
        <v>21</v>
      </c>
    </row>
    <row r="1030" spans="1:12">
      <c r="A1030" t="s">
        <v>1433</v>
      </c>
      <c r="B1030" t="s">
        <v>1406</v>
      </c>
      <c r="C1030" t="s">
        <v>130</v>
      </c>
      <c r="D1030">
        <v>1982</v>
      </c>
      <c r="E1030" t="s">
        <v>29</v>
      </c>
      <c r="F1030" t="s">
        <v>30</v>
      </c>
      <c r="G1030" t="s">
        <v>31</v>
      </c>
      <c r="H1030" t="s">
        <v>32</v>
      </c>
      <c r="I1030">
        <v>4879.5075219999999</v>
      </c>
      <c r="J1030" t="s">
        <v>33</v>
      </c>
      <c r="K1030" t="s">
        <v>1431</v>
      </c>
      <c r="L1030" t="s">
        <v>21</v>
      </c>
    </row>
    <row r="1031" spans="1:12">
      <c r="A1031" t="s">
        <v>1434</v>
      </c>
      <c r="B1031" t="s">
        <v>1406</v>
      </c>
      <c r="C1031" t="s">
        <v>130</v>
      </c>
      <c r="D1031">
        <v>1987</v>
      </c>
      <c r="E1031" t="s">
        <v>15</v>
      </c>
      <c r="F1031" t="s">
        <v>16</v>
      </c>
      <c r="G1031" t="s">
        <v>17</v>
      </c>
      <c r="H1031" t="s">
        <v>18</v>
      </c>
      <c r="I1031">
        <v>57.47</v>
      </c>
      <c r="J1031" t="s">
        <v>19</v>
      </c>
      <c r="K1031" t="s">
        <v>1435</v>
      </c>
      <c r="L1031" t="s">
        <v>21</v>
      </c>
    </row>
    <row r="1032" spans="1:12">
      <c r="A1032" t="s">
        <v>1436</v>
      </c>
      <c r="B1032" t="s">
        <v>1406</v>
      </c>
      <c r="C1032" t="s">
        <v>130</v>
      </c>
      <c r="D1032">
        <v>1987</v>
      </c>
      <c r="E1032" t="s">
        <v>23</v>
      </c>
      <c r="F1032" t="s">
        <v>24</v>
      </c>
      <c r="G1032" t="s">
        <v>25</v>
      </c>
      <c r="H1032" t="s">
        <v>26</v>
      </c>
      <c r="I1032">
        <v>2064095</v>
      </c>
      <c r="J1032" t="s">
        <v>27</v>
      </c>
      <c r="K1032" t="s">
        <v>1435</v>
      </c>
      <c r="L1032" t="s">
        <v>21</v>
      </c>
    </row>
    <row r="1033" spans="1:12">
      <c r="A1033" t="s">
        <v>1437</v>
      </c>
      <c r="B1033" t="s">
        <v>1406</v>
      </c>
      <c r="C1033" t="s">
        <v>130</v>
      </c>
      <c r="D1033">
        <v>1987</v>
      </c>
      <c r="E1033" t="s">
        <v>29</v>
      </c>
      <c r="F1033" t="s">
        <v>30</v>
      </c>
      <c r="G1033" t="s">
        <v>31</v>
      </c>
      <c r="H1033" t="s">
        <v>32</v>
      </c>
      <c r="I1033">
        <v>4201.1949369999902</v>
      </c>
      <c r="J1033" t="s">
        <v>33</v>
      </c>
      <c r="K1033" t="s">
        <v>1435</v>
      </c>
      <c r="L1033" t="s">
        <v>21</v>
      </c>
    </row>
    <row r="1034" spans="1:12">
      <c r="A1034" t="s">
        <v>1438</v>
      </c>
      <c r="B1034" t="s">
        <v>1406</v>
      </c>
      <c r="C1034" t="s">
        <v>130</v>
      </c>
      <c r="D1034">
        <v>1992</v>
      </c>
      <c r="E1034" t="s">
        <v>15</v>
      </c>
      <c r="F1034" t="s">
        <v>16</v>
      </c>
      <c r="G1034" t="s">
        <v>17</v>
      </c>
      <c r="H1034" t="s">
        <v>18</v>
      </c>
      <c r="I1034">
        <v>56.433</v>
      </c>
      <c r="J1034" t="s">
        <v>19</v>
      </c>
      <c r="K1034" t="s">
        <v>1439</v>
      </c>
      <c r="L1034" t="s">
        <v>21</v>
      </c>
    </row>
    <row r="1035" spans="1:12">
      <c r="A1035" t="s">
        <v>1440</v>
      </c>
      <c r="B1035" t="s">
        <v>1406</v>
      </c>
      <c r="C1035" t="s">
        <v>130</v>
      </c>
      <c r="D1035">
        <v>1992</v>
      </c>
      <c r="E1035" t="s">
        <v>23</v>
      </c>
      <c r="F1035" t="s">
        <v>24</v>
      </c>
      <c r="G1035" t="s">
        <v>25</v>
      </c>
      <c r="H1035" t="s">
        <v>26</v>
      </c>
      <c r="I1035">
        <v>2409073</v>
      </c>
      <c r="J1035" t="s">
        <v>27</v>
      </c>
      <c r="K1035" t="s">
        <v>1439</v>
      </c>
      <c r="L1035" t="s">
        <v>21</v>
      </c>
    </row>
    <row r="1036" spans="1:12">
      <c r="A1036" t="s">
        <v>1441</v>
      </c>
      <c r="B1036" t="s">
        <v>1406</v>
      </c>
      <c r="C1036" t="s">
        <v>130</v>
      </c>
      <c r="D1036">
        <v>1992</v>
      </c>
      <c r="E1036" t="s">
        <v>29</v>
      </c>
      <c r="F1036" t="s">
        <v>30</v>
      </c>
      <c r="G1036" t="s">
        <v>31</v>
      </c>
      <c r="H1036" t="s">
        <v>32</v>
      </c>
      <c r="I1036">
        <v>4016.2395289999999</v>
      </c>
      <c r="J1036" t="s">
        <v>33</v>
      </c>
      <c r="K1036" t="s">
        <v>1439</v>
      </c>
      <c r="L1036" t="s">
        <v>21</v>
      </c>
    </row>
    <row r="1037" spans="1:12">
      <c r="A1037" t="s">
        <v>1442</v>
      </c>
      <c r="B1037" t="s">
        <v>1406</v>
      </c>
      <c r="C1037" t="s">
        <v>130</v>
      </c>
      <c r="D1037">
        <v>1997</v>
      </c>
      <c r="E1037" t="s">
        <v>15</v>
      </c>
      <c r="F1037" t="s">
        <v>16</v>
      </c>
      <c r="G1037" t="s">
        <v>17</v>
      </c>
      <c r="H1037" t="s">
        <v>18</v>
      </c>
      <c r="I1037">
        <v>52.962000000000003</v>
      </c>
      <c r="J1037" t="s">
        <v>19</v>
      </c>
      <c r="K1037" t="s">
        <v>1443</v>
      </c>
      <c r="L1037" t="s">
        <v>21</v>
      </c>
    </row>
    <row r="1038" spans="1:12">
      <c r="A1038" t="s">
        <v>1444</v>
      </c>
      <c r="B1038" t="s">
        <v>1406</v>
      </c>
      <c r="C1038" t="s">
        <v>130</v>
      </c>
      <c r="D1038">
        <v>1997</v>
      </c>
      <c r="E1038" t="s">
        <v>23</v>
      </c>
      <c r="F1038" t="s">
        <v>24</v>
      </c>
      <c r="G1038" t="s">
        <v>25</v>
      </c>
      <c r="H1038" t="s">
        <v>26</v>
      </c>
      <c r="I1038">
        <v>2800947</v>
      </c>
      <c r="J1038" t="s">
        <v>27</v>
      </c>
      <c r="K1038" t="s">
        <v>1443</v>
      </c>
      <c r="L1038" t="s">
        <v>21</v>
      </c>
    </row>
    <row r="1039" spans="1:12">
      <c r="A1039" t="s">
        <v>1445</v>
      </c>
      <c r="B1039" t="s">
        <v>1406</v>
      </c>
      <c r="C1039" t="s">
        <v>130</v>
      </c>
      <c r="D1039">
        <v>1997</v>
      </c>
      <c r="E1039" t="s">
        <v>29</v>
      </c>
      <c r="F1039" t="s">
        <v>30</v>
      </c>
      <c r="G1039" t="s">
        <v>31</v>
      </c>
      <c r="H1039" t="s">
        <v>32</v>
      </c>
      <c r="I1039">
        <v>3484.1643760000002</v>
      </c>
      <c r="J1039" t="s">
        <v>33</v>
      </c>
      <c r="K1039" t="s">
        <v>1443</v>
      </c>
      <c r="L1039" t="s">
        <v>21</v>
      </c>
    </row>
    <row r="1040" spans="1:12">
      <c r="A1040" t="s">
        <v>1446</v>
      </c>
      <c r="B1040" t="s">
        <v>1406</v>
      </c>
      <c r="C1040" t="s">
        <v>130</v>
      </c>
      <c r="D1040">
        <v>2002</v>
      </c>
      <c r="E1040" t="s">
        <v>15</v>
      </c>
      <c r="F1040" t="s">
        <v>16</v>
      </c>
      <c r="G1040" t="s">
        <v>17</v>
      </c>
      <c r="H1040" t="s">
        <v>18</v>
      </c>
      <c r="I1040">
        <v>52.97</v>
      </c>
      <c r="J1040" t="s">
        <v>19</v>
      </c>
      <c r="K1040" t="s">
        <v>1447</v>
      </c>
      <c r="L1040" t="s">
        <v>21</v>
      </c>
    </row>
    <row r="1041" spans="1:12">
      <c r="A1041" t="s">
        <v>1448</v>
      </c>
      <c r="B1041" t="s">
        <v>1406</v>
      </c>
      <c r="C1041" t="s">
        <v>130</v>
      </c>
      <c r="D1041">
        <v>2002</v>
      </c>
      <c r="E1041" t="s">
        <v>23</v>
      </c>
      <c r="F1041" t="s">
        <v>24</v>
      </c>
      <c r="G1041" t="s">
        <v>25</v>
      </c>
      <c r="H1041" t="s">
        <v>26</v>
      </c>
      <c r="I1041">
        <v>3328795</v>
      </c>
      <c r="J1041" t="s">
        <v>27</v>
      </c>
      <c r="K1041" t="s">
        <v>1447</v>
      </c>
      <c r="L1041" t="s">
        <v>21</v>
      </c>
    </row>
    <row r="1042" spans="1:12">
      <c r="A1042" t="s">
        <v>1449</v>
      </c>
      <c r="B1042" t="s">
        <v>1406</v>
      </c>
      <c r="C1042" t="s">
        <v>130</v>
      </c>
      <c r="D1042">
        <v>2002</v>
      </c>
      <c r="E1042" t="s">
        <v>29</v>
      </c>
      <c r="F1042" t="s">
        <v>30</v>
      </c>
      <c r="G1042" t="s">
        <v>31</v>
      </c>
      <c r="H1042" t="s">
        <v>32</v>
      </c>
      <c r="I1042">
        <v>3484.0619700000002</v>
      </c>
      <c r="J1042" t="s">
        <v>33</v>
      </c>
      <c r="K1042" t="s">
        <v>1447</v>
      </c>
      <c r="L1042" t="s">
        <v>21</v>
      </c>
    </row>
    <row r="1043" spans="1:12">
      <c r="A1043" t="s">
        <v>1450</v>
      </c>
      <c r="B1043" t="s">
        <v>1406</v>
      </c>
      <c r="C1043" t="s">
        <v>130</v>
      </c>
      <c r="D1043">
        <v>2007</v>
      </c>
      <c r="E1043" t="s">
        <v>15</v>
      </c>
      <c r="F1043" t="s">
        <v>16</v>
      </c>
      <c r="G1043" t="s">
        <v>17</v>
      </c>
      <c r="H1043" t="s">
        <v>18</v>
      </c>
      <c r="I1043">
        <v>55.322000000000003</v>
      </c>
      <c r="J1043" t="s">
        <v>19</v>
      </c>
      <c r="K1043" t="s">
        <v>1451</v>
      </c>
      <c r="L1043" t="s">
        <v>21</v>
      </c>
    </row>
    <row r="1044" spans="1:12">
      <c r="A1044" t="s">
        <v>1452</v>
      </c>
      <c r="B1044" t="s">
        <v>1406</v>
      </c>
      <c r="C1044" t="s">
        <v>130</v>
      </c>
      <c r="D1044">
        <v>2007</v>
      </c>
      <c r="E1044" t="s">
        <v>23</v>
      </c>
      <c r="F1044" t="s">
        <v>24</v>
      </c>
      <c r="G1044" t="s">
        <v>25</v>
      </c>
      <c r="H1044" t="s">
        <v>26</v>
      </c>
      <c r="I1044">
        <v>3800610</v>
      </c>
      <c r="J1044" t="s">
        <v>27</v>
      </c>
      <c r="K1044" t="s">
        <v>1451</v>
      </c>
      <c r="L1044" t="s">
        <v>21</v>
      </c>
    </row>
    <row r="1045" spans="1:12">
      <c r="A1045" t="s">
        <v>1453</v>
      </c>
      <c r="B1045" t="s">
        <v>1406</v>
      </c>
      <c r="C1045" t="s">
        <v>130</v>
      </c>
      <c r="D1045">
        <v>2007</v>
      </c>
      <c r="E1045" t="s">
        <v>29</v>
      </c>
      <c r="F1045" t="s">
        <v>30</v>
      </c>
      <c r="G1045" t="s">
        <v>31</v>
      </c>
      <c r="H1045" t="s">
        <v>32</v>
      </c>
      <c r="I1045">
        <v>3632.5577979999998</v>
      </c>
      <c r="J1045" t="s">
        <v>33</v>
      </c>
      <c r="K1045" t="s">
        <v>1451</v>
      </c>
      <c r="L1045" t="s">
        <v>21</v>
      </c>
    </row>
    <row r="1046" spans="1:12">
      <c r="A1046" t="s">
        <v>1454</v>
      </c>
      <c r="B1046" t="s">
        <v>1455</v>
      </c>
      <c r="C1046" t="s">
        <v>229</v>
      </c>
      <c r="D1046">
        <v>1952</v>
      </c>
      <c r="E1046" t="s">
        <v>15</v>
      </c>
      <c r="F1046" t="s">
        <v>16</v>
      </c>
      <c r="G1046" t="s">
        <v>17</v>
      </c>
      <c r="H1046" t="s">
        <v>18</v>
      </c>
      <c r="I1046">
        <v>57.206000000000003</v>
      </c>
      <c r="J1046" t="s">
        <v>19</v>
      </c>
      <c r="K1046" t="s">
        <v>1456</v>
      </c>
      <c r="L1046" t="s">
        <v>21</v>
      </c>
    </row>
    <row r="1047" spans="1:12">
      <c r="A1047" t="s">
        <v>1457</v>
      </c>
      <c r="B1047" t="s">
        <v>1455</v>
      </c>
      <c r="C1047" t="s">
        <v>229</v>
      </c>
      <c r="D1047">
        <v>1952</v>
      </c>
      <c r="E1047" t="s">
        <v>23</v>
      </c>
      <c r="F1047" t="s">
        <v>24</v>
      </c>
      <c r="G1047" t="s">
        <v>25</v>
      </c>
      <c r="H1047" t="s">
        <v>26</v>
      </c>
      <c r="I1047">
        <v>926317</v>
      </c>
      <c r="J1047" t="s">
        <v>27</v>
      </c>
      <c r="K1047" t="s">
        <v>1456</v>
      </c>
      <c r="L1047" t="s">
        <v>21</v>
      </c>
    </row>
    <row r="1048" spans="1:12">
      <c r="A1048" t="s">
        <v>1458</v>
      </c>
      <c r="B1048" t="s">
        <v>1455</v>
      </c>
      <c r="C1048" t="s">
        <v>229</v>
      </c>
      <c r="D1048">
        <v>1952</v>
      </c>
      <c r="E1048" t="s">
        <v>29</v>
      </c>
      <c r="F1048" t="s">
        <v>30</v>
      </c>
      <c r="G1048" t="s">
        <v>31</v>
      </c>
      <c r="H1048" t="s">
        <v>32</v>
      </c>
      <c r="I1048">
        <v>2627.0094709999998</v>
      </c>
      <c r="J1048" t="s">
        <v>33</v>
      </c>
      <c r="K1048" t="s">
        <v>1456</v>
      </c>
      <c r="L1048" t="s">
        <v>21</v>
      </c>
    </row>
    <row r="1049" spans="1:12">
      <c r="A1049" t="s">
        <v>1459</v>
      </c>
      <c r="B1049" t="s">
        <v>1455</v>
      </c>
      <c r="C1049" t="s">
        <v>229</v>
      </c>
      <c r="D1049">
        <v>1957</v>
      </c>
      <c r="E1049" t="s">
        <v>15</v>
      </c>
      <c r="F1049" t="s">
        <v>16</v>
      </c>
      <c r="G1049" t="s">
        <v>17</v>
      </c>
      <c r="H1049" t="s">
        <v>18</v>
      </c>
      <c r="I1049">
        <v>60.026000000000003</v>
      </c>
      <c r="J1049" t="s">
        <v>19</v>
      </c>
      <c r="K1049" t="s">
        <v>1460</v>
      </c>
      <c r="L1049" t="s">
        <v>21</v>
      </c>
    </row>
    <row r="1050" spans="1:12">
      <c r="A1050" t="s">
        <v>1461</v>
      </c>
      <c r="B1050" t="s">
        <v>1455</v>
      </c>
      <c r="C1050" t="s">
        <v>229</v>
      </c>
      <c r="D1050">
        <v>1957</v>
      </c>
      <c r="E1050" t="s">
        <v>23</v>
      </c>
      <c r="F1050" t="s">
        <v>24</v>
      </c>
      <c r="G1050" t="s">
        <v>25</v>
      </c>
      <c r="H1050" t="s">
        <v>26</v>
      </c>
      <c r="I1050">
        <v>1112300</v>
      </c>
      <c r="J1050" t="s">
        <v>27</v>
      </c>
      <c r="K1050" t="s">
        <v>1460</v>
      </c>
      <c r="L1050" t="s">
        <v>21</v>
      </c>
    </row>
    <row r="1051" spans="1:12">
      <c r="A1051" t="s">
        <v>1462</v>
      </c>
      <c r="B1051" t="s">
        <v>1455</v>
      </c>
      <c r="C1051" t="s">
        <v>229</v>
      </c>
      <c r="D1051">
        <v>1957</v>
      </c>
      <c r="E1051" t="s">
        <v>29</v>
      </c>
      <c r="F1051" t="s">
        <v>30</v>
      </c>
      <c r="G1051" t="s">
        <v>31</v>
      </c>
      <c r="H1051" t="s">
        <v>32</v>
      </c>
      <c r="I1051">
        <v>2990.0108019999998</v>
      </c>
      <c r="J1051" t="s">
        <v>33</v>
      </c>
      <c r="K1051" t="s">
        <v>1460</v>
      </c>
      <c r="L1051" t="s">
        <v>21</v>
      </c>
    </row>
    <row r="1052" spans="1:12">
      <c r="A1052" t="s">
        <v>1463</v>
      </c>
      <c r="B1052" t="s">
        <v>1455</v>
      </c>
      <c r="C1052" t="s">
        <v>229</v>
      </c>
      <c r="D1052">
        <v>1962</v>
      </c>
      <c r="E1052" t="s">
        <v>15</v>
      </c>
      <c r="F1052" t="s">
        <v>16</v>
      </c>
      <c r="G1052" t="s">
        <v>17</v>
      </c>
      <c r="H1052" t="s">
        <v>18</v>
      </c>
      <c r="I1052">
        <v>62.841999999999999</v>
      </c>
      <c r="J1052" t="s">
        <v>19</v>
      </c>
      <c r="K1052" t="s">
        <v>1464</v>
      </c>
      <c r="L1052" t="s">
        <v>21</v>
      </c>
    </row>
    <row r="1053" spans="1:12">
      <c r="A1053" t="s">
        <v>1465</v>
      </c>
      <c r="B1053" t="s">
        <v>1455</v>
      </c>
      <c r="C1053" t="s">
        <v>229</v>
      </c>
      <c r="D1053">
        <v>1962</v>
      </c>
      <c r="E1053" t="s">
        <v>23</v>
      </c>
      <c r="F1053" t="s">
        <v>24</v>
      </c>
      <c r="G1053" t="s">
        <v>25</v>
      </c>
      <c r="H1053" t="s">
        <v>26</v>
      </c>
      <c r="I1053">
        <v>1345187</v>
      </c>
      <c r="J1053" t="s">
        <v>27</v>
      </c>
      <c r="K1053" t="s">
        <v>1464</v>
      </c>
      <c r="L1053" t="s">
        <v>21</v>
      </c>
    </row>
    <row r="1054" spans="1:12">
      <c r="A1054" t="s">
        <v>1466</v>
      </c>
      <c r="B1054" t="s">
        <v>1455</v>
      </c>
      <c r="C1054" t="s">
        <v>229</v>
      </c>
      <c r="D1054">
        <v>1962</v>
      </c>
      <c r="E1054" t="s">
        <v>29</v>
      </c>
      <c r="F1054" t="s">
        <v>30</v>
      </c>
      <c r="G1054" t="s">
        <v>31</v>
      </c>
      <c r="H1054" t="s">
        <v>32</v>
      </c>
      <c r="I1054">
        <v>3460.9370250000002</v>
      </c>
      <c r="J1054" t="s">
        <v>33</v>
      </c>
      <c r="K1054" t="s">
        <v>1464</v>
      </c>
      <c r="L1054" t="s">
        <v>21</v>
      </c>
    </row>
    <row r="1055" spans="1:12">
      <c r="A1055" t="s">
        <v>1467</v>
      </c>
      <c r="B1055" t="s">
        <v>1455</v>
      </c>
      <c r="C1055" t="s">
        <v>229</v>
      </c>
      <c r="D1055">
        <v>1967</v>
      </c>
      <c r="E1055" t="s">
        <v>15</v>
      </c>
      <c r="F1055" t="s">
        <v>16</v>
      </c>
      <c r="G1055" t="s">
        <v>17</v>
      </c>
      <c r="H1055" t="s">
        <v>18</v>
      </c>
      <c r="I1055">
        <v>65.423999999999893</v>
      </c>
      <c r="J1055" t="s">
        <v>19</v>
      </c>
      <c r="K1055" t="s">
        <v>1468</v>
      </c>
      <c r="L1055" t="s">
        <v>21</v>
      </c>
    </row>
    <row r="1056" spans="1:12">
      <c r="A1056" t="s">
        <v>1469</v>
      </c>
      <c r="B1056" t="s">
        <v>1455</v>
      </c>
      <c r="C1056" t="s">
        <v>229</v>
      </c>
      <c r="D1056">
        <v>1967</v>
      </c>
      <c r="E1056" t="s">
        <v>23</v>
      </c>
      <c r="F1056" t="s">
        <v>24</v>
      </c>
      <c r="G1056" t="s">
        <v>25</v>
      </c>
      <c r="H1056" t="s">
        <v>26</v>
      </c>
      <c r="I1056">
        <v>1588717</v>
      </c>
      <c r="J1056" t="s">
        <v>27</v>
      </c>
      <c r="K1056" t="s">
        <v>1468</v>
      </c>
      <c r="L1056" t="s">
        <v>21</v>
      </c>
    </row>
    <row r="1057" spans="1:12">
      <c r="A1057" t="s">
        <v>1470</v>
      </c>
      <c r="B1057" t="s">
        <v>1455</v>
      </c>
      <c r="C1057" t="s">
        <v>229</v>
      </c>
      <c r="D1057">
        <v>1967</v>
      </c>
      <c r="E1057" t="s">
        <v>29</v>
      </c>
      <c r="F1057" t="s">
        <v>30</v>
      </c>
      <c r="G1057" t="s">
        <v>31</v>
      </c>
      <c r="H1057" t="s">
        <v>32</v>
      </c>
      <c r="I1057">
        <v>4161.7278340000003</v>
      </c>
      <c r="J1057" t="s">
        <v>33</v>
      </c>
      <c r="K1057" t="s">
        <v>1468</v>
      </c>
      <c r="L1057" t="s">
        <v>21</v>
      </c>
    </row>
    <row r="1058" spans="1:12">
      <c r="A1058" t="s">
        <v>1471</v>
      </c>
      <c r="B1058" t="s">
        <v>1455</v>
      </c>
      <c r="C1058" t="s">
        <v>229</v>
      </c>
      <c r="D1058">
        <v>1972</v>
      </c>
      <c r="E1058" t="s">
        <v>15</v>
      </c>
      <c r="F1058" t="s">
        <v>16</v>
      </c>
      <c r="G1058" t="s">
        <v>17</v>
      </c>
      <c r="H1058" t="s">
        <v>18</v>
      </c>
      <c r="I1058">
        <v>67.848999999999904</v>
      </c>
      <c r="J1058" t="s">
        <v>19</v>
      </c>
      <c r="K1058" t="s">
        <v>1472</v>
      </c>
      <c r="L1058" t="s">
        <v>21</v>
      </c>
    </row>
    <row r="1059" spans="1:12">
      <c r="A1059" t="s">
        <v>1473</v>
      </c>
      <c r="B1059" t="s">
        <v>1455</v>
      </c>
      <c r="C1059" t="s">
        <v>229</v>
      </c>
      <c r="D1059">
        <v>1972</v>
      </c>
      <c r="E1059" t="s">
        <v>23</v>
      </c>
      <c r="F1059" t="s">
        <v>24</v>
      </c>
      <c r="G1059" t="s">
        <v>25</v>
      </c>
      <c r="H1059" t="s">
        <v>26</v>
      </c>
      <c r="I1059">
        <v>1834796</v>
      </c>
      <c r="J1059" t="s">
        <v>27</v>
      </c>
      <c r="K1059" t="s">
        <v>1472</v>
      </c>
      <c r="L1059" t="s">
        <v>21</v>
      </c>
    </row>
    <row r="1060" spans="1:12">
      <c r="A1060" t="s">
        <v>1474</v>
      </c>
      <c r="B1060" t="s">
        <v>1455</v>
      </c>
      <c r="C1060" t="s">
        <v>229</v>
      </c>
      <c r="D1060">
        <v>1972</v>
      </c>
      <c r="E1060" t="s">
        <v>29</v>
      </c>
      <c r="F1060" t="s">
        <v>30</v>
      </c>
      <c r="G1060" t="s">
        <v>31</v>
      </c>
      <c r="H1060" t="s">
        <v>32</v>
      </c>
      <c r="I1060">
        <v>5118.1469390000002</v>
      </c>
      <c r="J1060" t="s">
        <v>33</v>
      </c>
      <c r="K1060" t="s">
        <v>1472</v>
      </c>
      <c r="L1060" t="s">
        <v>21</v>
      </c>
    </row>
    <row r="1061" spans="1:12">
      <c r="A1061" t="s">
        <v>1475</v>
      </c>
      <c r="B1061" t="s">
        <v>1455</v>
      </c>
      <c r="C1061" t="s">
        <v>229</v>
      </c>
      <c r="D1061">
        <v>1977</v>
      </c>
      <c r="E1061" t="s">
        <v>15</v>
      </c>
      <c r="F1061" t="s">
        <v>16</v>
      </c>
      <c r="G1061" t="s">
        <v>17</v>
      </c>
      <c r="H1061" t="s">
        <v>18</v>
      </c>
      <c r="I1061">
        <v>70.75</v>
      </c>
      <c r="J1061" t="s">
        <v>19</v>
      </c>
      <c r="K1061" t="s">
        <v>1476</v>
      </c>
      <c r="L1061" t="s">
        <v>21</v>
      </c>
    </row>
    <row r="1062" spans="1:12">
      <c r="A1062" t="s">
        <v>1477</v>
      </c>
      <c r="B1062" t="s">
        <v>1455</v>
      </c>
      <c r="C1062" t="s">
        <v>229</v>
      </c>
      <c r="D1062">
        <v>1977</v>
      </c>
      <c r="E1062" t="s">
        <v>23</v>
      </c>
      <c r="F1062" t="s">
        <v>24</v>
      </c>
      <c r="G1062" t="s">
        <v>25</v>
      </c>
      <c r="H1062" t="s">
        <v>26</v>
      </c>
      <c r="I1062">
        <v>2108457</v>
      </c>
      <c r="J1062" t="s">
        <v>27</v>
      </c>
      <c r="K1062" t="s">
        <v>1476</v>
      </c>
      <c r="L1062" t="s">
        <v>21</v>
      </c>
    </row>
    <row r="1063" spans="1:12">
      <c r="A1063" t="s">
        <v>1478</v>
      </c>
      <c r="B1063" t="s">
        <v>1455</v>
      </c>
      <c r="C1063" t="s">
        <v>229</v>
      </c>
      <c r="D1063">
        <v>1977</v>
      </c>
      <c r="E1063" t="s">
        <v>29</v>
      </c>
      <c r="F1063" t="s">
        <v>30</v>
      </c>
      <c r="G1063" t="s">
        <v>31</v>
      </c>
      <c r="H1063" t="s">
        <v>32</v>
      </c>
      <c r="I1063">
        <v>5926.8769670000001</v>
      </c>
      <c r="J1063" t="s">
        <v>33</v>
      </c>
      <c r="K1063" t="s">
        <v>1476</v>
      </c>
      <c r="L1063" t="s">
        <v>21</v>
      </c>
    </row>
    <row r="1064" spans="1:12">
      <c r="A1064" t="s">
        <v>1479</v>
      </c>
      <c r="B1064" t="s">
        <v>1455</v>
      </c>
      <c r="C1064" t="s">
        <v>229</v>
      </c>
      <c r="D1064">
        <v>1982</v>
      </c>
      <c r="E1064" t="s">
        <v>15</v>
      </c>
      <c r="F1064" t="s">
        <v>16</v>
      </c>
      <c r="G1064" t="s">
        <v>17</v>
      </c>
      <c r="H1064" t="s">
        <v>18</v>
      </c>
      <c r="I1064">
        <v>73.45</v>
      </c>
      <c r="J1064" t="s">
        <v>19</v>
      </c>
      <c r="K1064" t="s">
        <v>1480</v>
      </c>
      <c r="L1064" t="s">
        <v>21</v>
      </c>
    </row>
    <row r="1065" spans="1:12">
      <c r="A1065" t="s">
        <v>1481</v>
      </c>
      <c r="B1065" t="s">
        <v>1455</v>
      </c>
      <c r="C1065" t="s">
        <v>229</v>
      </c>
      <c r="D1065">
        <v>1982</v>
      </c>
      <c r="E1065" t="s">
        <v>23</v>
      </c>
      <c r="F1065" t="s">
        <v>24</v>
      </c>
      <c r="G1065" t="s">
        <v>25</v>
      </c>
      <c r="H1065" t="s">
        <v>26</v>
      </c>
      <c r="I1065">
        <v>2424367</v>
      </c>
      <c r="J1065" t="s">
        <v>27</v>
      </c>
      <c r="K1065" t="s">
        <v>1480</v>
      </c>
      <c r="L1065" t="s">
        <v>21</v>
      </c>
    </row>
    <row r="1066" spans="1:12">
      <c r="A1066" t="s">
        <v>1482</v>
      </c>
      <c r="B1066" t="s">
        <v>1455</v>
      </c>
      <c r="C1066" t="s">
        <v>229</v>
      </c>
      <c r="D1066">
        <v>1982</v>
      </c>
      <c r="E1066" t="s">
        <v>29</v>
      </c>
      <c r="F1066" t="s">
        <v>30</v>
      </c>
      <c r="G1066" t="s">
        <v>31</v>
      </c>
      <c r="H1066" t="s">
        <v>32</v>
      </c>
      <c r="I1066">
        <v>5262.734751</v>
      </c>
      <c r="J1066" t="s">
        <v>33</v>
      </c>
      <c r="K1066" t="s">
        <v>1480</v>
      </c>
      <c r="L1066" t="s">
        <v>21</v>
      </c>
    </row>
    <row r="1067" spans="1:12">
      <c r="A1067" t="s">
        <v>1483</v>
      </c>
      <c r="B1067" t="s">
        <v>1455</v>
      </c>
      <c r="C1067" t="s">
        <v>229</v>
      </c>
      <c r="D1067">
        <v>1987</v>
      </c>
      <c r="E1067" t="s">
        <v>15</v>
      </c>
      <c r="F1067" t="s">
        <v>16</v>
      </c>
      <c r="G1067" t="s">
        <v>17</v>
      </c>
      <c r="H1067" t="s">
        <v>18</v>
      </c>
      <c r="I1067">
        <v>74.751999999999995</v>
      </c>
      <c r="J1067" t="s">
        <v>19</v>
      </c>
      <c r="K1067" t="s">
        <v>1484</v>
      </c>
      <c r="L1067" t="s">
        <v>21</v>
      </c>
    </row>
    <row r="1068" spans="1:12">
      <c r="A1068" t="s">
        <v>1485</v>
      </c>
      <c r="B1068" t="s">
        <v>1455</v>
      </c>
      <c r="C1068" t="s">
        <v>229</v>
      </c>
      <c r="D1068">
        <v>1987</v>
      </c>
      <c r="E1068" t="s">
        <v>23</v>
      </c>
      <c r="F1068" t="s">
        <v>24</v>
      </c>
      <c r="G1068" t="s">
        <v>25</v>
      </c>
      <c r="H1068" t="s">
        <v>26</v>
      </c>
      <c r="I1068">
        <v>2799811</v>
      </c>
      <c r="J1068" t="s">
        <v>27</v>
      </c>
      <c r="K1068" t="s">
        <v>1484</v>
      </c>
      <c r="L1068" t="s">
        <v>21</v>
      </c>
    </row>
    <row r="1069" spans="1:12">
      <c r="A1069" t="s">
        <v>1486</v>
      </c>
      <c r="B1069" t="s">
        <v>1455</v>
      </c>
      <c r="C1069" t="s">
        <v>229</v>
      </c>
      <c r="D1069">
        <v>1987</v>
      </c>
      <c r="E1069" t="s">
        <v>29</v>
      </c>
      <c r="F1069" t="s">
        <v>30</v>
      </c>
      <c r="G1069" t="s">
        <v>31</v>
      </c>
      <c r="H1069" t="s">
        <v>32</v>
      </c>
      <c r="I1069">
        <v>5629.9153180000003</v>
      </c>
      <c r="J1069" t="s">
        <v>33</v>
      </c>
      <c r="K1069" t="s">
        <v>1484</v>
      </c>
      <c r="L1069" t="s">
        <v>21</v>
      </c>
    </row>
    <row r="1070" spans="1:12">
      <c r="A1070" t="s">
        <v>1487</v>
      </c>
      <c r="B1070" t="s">
        <v>1455</v>
      </c>
      <c r="C1070" t="s">
        <v>229</v>
      </c>
      <c r="D1070">
        <v>1992</v>
      </c>
      <c r="E1070" t="s">
        <v>15</v>
      </c>
      <c r="F1070" t="s">
        <v>16</v>
      </c>
      <c r="G1070" t="s">
        <v>17</v>
      </c>
      <c r="H1070" t="s">
        <v>18</v>
      </c>
      <c r="I1070">
        <v>75.712999999999994</v>
      </c>
      <c r="J1070" t="s">
        <v>19</v>
      </c>
      <c r="K1070" t="s">
        <v>1488</v>
      </c>
      <c r="L1070" t="s">
        <v>21</v>
      </c>
    </row>
    <row r="1071" spans="1:12">
      <c r="A1071" t="s">
        <v>1489</v>
      </c>
      <c r="B1071" t="s">
        <v>1455</v>
      </c>
      <c r="C1071" t="s">
        <v>229</v>
      </c>
      <c r="D1071">
        <v>1992</v>
      </c>
      <c r="E1071" t="s">
        <v>23</v>
      </c>
      <c r="F1071" t="s">
        <v>24</v>
      </c>
      <c r="G1071" t="s">
        <v>25</v>
      </c>
      <c r="H1071" t="s">
        <v>26</v>
      </c>
      <c r="I1071">
        <v>3173216</v>
      </c>
      <c r="J1071" t="s">
        <v>27</v>
      </c>
      <c r="K1071" t="s">
        <v>1488</v>
      </c>
      <c r="L1071" t="s">
        <v>21</v>
      </c>
    </row>
    <row r="1072" spans="1:12">
      <c r="A1072" t="s">
        <v>1490</v>
      </c>
      <c r="B1072" t="s">
        <v>1455</v>
      </c>
      <c r="C1072" t="s">
        <v>229</v>
      </c>
      <c r="D1072">
        <v>1992</v>
      </c>
      <c r="E1072" t="s">
        <v>29</v>
      </c>
      <c r="F1072" t="s">
        <v>30</v>
      </c>
      <c r="G1072" t="s">
        <v>31</v>
      </c>
      <c r="H1072" t="s">
        <v>32</v>
      </c>
      <c r="I1072">
        <v>6160.4163170000002</v>
      </c>
      <c r="J1072" t="s">
        <v>33</v>
      </c>
      <c r="K1072" t="s">
        <v>1488</v>
      </c>
      <c r="L1072" t="s">
        <v>21</v>
      </c>
    </row>
    <row r="1073" spans="1:12">
      <c r="A1073" t="s">
        <v>1491</v>
      </c>
      <c r="B1073" t="s">
        <v>1455</v>
      </c>
      <c r="C1073" t="s">
        <v>229</v>
      </c>
      <c r="D1073">
        <v>1997</v>
      </c>
      <c r="E1073" t="s">
        <v>15</v>
      </c>
      <c r="F1073" t="s">
        <v>16</v>
      </c>
      <c r="G1073" t="s">
        <v>17</v>
      </c>
      <c r="H1073" t="s">
        <v>18</v>
      </c>
      <c r="I1073">
        <v>77.260000000000005</v>
      </c>
      <c r="J1073" t="s">
        <v>19</v>
      </c>
      <c r="K1073" t="s">
        <v>1492</v>
      </c>
      <c r="L1073" t="s">
        <v>21</v>
      </c>
    </row>
    <row r="1074" spans="1:12">
      <c r="A1074" t="s">
        <v>1493</v>
      </c>
      <c r="B1074" t="s">
        <v>1455</v>
      </c>
      <c r="C1074" t="s">
        <v>229</v>
      </c>
      <c r="D1074">
        <v>1997</v>
      </c>
      <c r="E1074" t="s">
        <v>23</v>
      </c>
      <c r="F1074" t="s">
        <v>24</v>
      </c>
      <c r="G1074" t="s">
        <v>25</v>
      </c>
      <c r="H1074" t="s">
        <v>26</v>
      </c>
      <c r="I1074">
        <v>3518107</v>
      </c>
      <c r="J1074" t="s">
        <v>27</v>
      </c>
      <c r="K1074" t="s">
        <v>1492</v>
      </c>
      <c r="L1074" t="s">
        <v>21</v>
      </c>
    </row>
    <row r="1075" spans="1:12">
      <c r="A1075" t="s">
        <v>1494</v>
      </c>
      <c r="B1075" t="s">
        <v>1455</v>
      </c>
      <c r="C1075" t="s">
        <v>229</v>
      </c>
      <c r="D1075">
        <v>1997</v>
      </c>
      <c r="E1075" t="s">
        <v>29</v>
      </c>
      <c r="F1075" t="s">
        <v>30</v>
      </c>
      <c r="G1075" t="s">
        <v>31</v>
      </c>
      <c r="H1075" t="s">
        <v>32</v>
      </c>
      <c r="I1075">
        <v>6677.045314</v>
      </c>
      <c r="J1075" t="s">
        <v>33</v>
      </c>
      <c r="K1075" t="s">
        <v>1492</v>
      </c>
      <c r="L1075" t="s">
        <v>21</v>
      </c>
    </row>
    <row r="1076" spans="1:12">
      <c r="A1076" t="s">
        <v>1495</v>
      </c>
      <c r="B1076" t="s">
        <v>1455</v>
      </c>
      <c r="C1076" t="s">
        <v>229</v>
      </c>
      <c r="D1076">
        <v>2002</v>
      </c>
      <c r="E1076" t="s">
        <v>15</v>
      </c>
      <c r="F1076" t="s">
        <v>16</v>
      </c>
      <c r="G1076" t="s">
        <v>17</v>
      </c>
      <c r="H1076" t="s">
        <v>18</v>
      </c>
      <c r="I1076">
        <v>78.123000000000005</v>
      </c>
      <c r="J1076" t="s">
        <v>19</v>
      </c>
      <c r="K1076" t="s">
        <v>1496</v>
      </c>
      <c r="L1076" t="s">
        <v>21</v>
      </c>
    </row>
    <row r="1077" spans="1:12">
      <c r="A1077" t="s">
        <v>1497</v>
      </c>
      <c r="B1077" t="s">
        <v>1455</v>
      </c>
      <c r="C1077" t="s">
        <v>229</v>
      </c>
      <c r="D1077">
        <v>2002</v>
      </c>
      <c r="E1077" t="s">
        <v>23</v>
      </c>
      <c r="F1077" t="s">
        <v>24</v>
      </c>
      <c r="G1077" t="s">
        <v>25</v>
      </c>
      <c r="H1077" t="s">
        <v>26</v>
      </c>
      <c r="I1077">
        <v>3834934</v>
      </c>
      <c r="J1077" t="s">
        <v>27</v>
      </c>
      <c r="K1077" t="s">
        <v>1496</v>
      </c>
      <c r="L1077" t="s">
        <v>21</v>
      </c>
    </row>
    <row r="1078" spans="1:12">
      <c r="A1078" t="s">
        <v>1498</v>
      </c>
      <c r="B1078" t="s">
        <v>1455</v>
      </c>
      <c r="C1078" t="s">
        <v>229</v>
      </c>
      <c r="D1078">
        <v>2002</v>
      </c>
      <c r="E1078" t="s">
        <v>29</v>
      </c>
      <c r="F1078" t="s">
        <v>30</v>
      </c>
      <c r="G1078" t="s">
        <v>31</v>
      </c>
      <c r="H1078" t="s">
        <v>32</v>
      </c>
      <c r="I1078">
        <v>7723.4471949999997</v>
      </c>
      <c r="J1078" t="s">
        <v>33</v>
      </c>
      <c r="K1078" t="s">
        <v>1496</v>
      </c>
      <c r="L1078" t="s">
        <v>21</v>
      </c>
    </row>
    <row r="1079" spans="1:12">
      <c r="A1079" t="s">
        <v>1499</v>
      </c>
      <c r="B1079" t="s">
        <v>1455</v>
      </c>
      <c r="C1079" t="s">
        <v>229</v>
      </c>
      <c r="D1079">
        <v>2007</v>
      </c>
      <c r="E1079" t="s">
        <v>15</v>
      </c>
      <c r="F1079" t="s">
        <v>16</v>
      </c>
      <c r="G1079" t="s">
        <v>17</v>
      </c>
      <c r="H1079" t="s">
        <v>18</v>
      </c>
      <c r="I1079">
        <v>78.781999999999996</v>
      </c>
      <c r="J1079" t="s">
        <v>19</v>
      </c>
      <c r="K1079" t="s">
        <v>1500</v>
      </c>
      <c r="L1079" t="s">
        <v>21</v>
      </c>
    </row>
    <row r="1080" spans="1:12">
      <c r="A1080" t="s">
        <v>1501</v>
      </c>
      <c r="B1080" t="s">
        <v>1455</v>
      </c>
      <c r="C1080" t="s">
        <v>229</v>
      </c>
      <c r="D1080">
        <v>2007</v>
      </c>
      <c r="E1080" t="s">
        <v>23</v>
      </c>
      <c r="F1080" t="s">
        <v>24</v>
      </c>
      <c r="G1080" t="s">
        <v>25</v>
      </c>
      <c r="H1080" t="s">
        <v>26</v>
      </c>
      <c r="I1080">
        <v>4133884</v>
      </c>
      <c r="J1080" t="s">
        <v>27</v>
      </c>
      <c r="K1080" t="s">
        <v>1500</v>
      </c>
      <c r="L1080" t="s">
        <v>21</v>
      </c>
    </row>
    <row r="1081" spans="1:12">
      <c r="A1081" t="s">
        <v>1502</v>
      </c>
      <c r="B1081" t="s">
        <v>1455</v>
      </c>
      <c r="C1081" t="s">
        <v>229</v>
      </c>
      <c r="D1081">
        <v>2007</v>
      </c>
      <c r="E1081" t="s">
        <v>29</v>
      </c>
      <c r="F1081" t="s">
        <v>30</v>
      </c>
      <c r="G1081" t="s">
        <v>31</v>
      </c>
      <c r="H1081" t="s">
        <v>32</v>
      </c>
      <c r="I1081">
        <v>9645.06142</v>
      </c>
      <c r="J1081" t="s">
        <v>33</v>
      </c>
      <c r="K1081" t="s">
        <v>1500</v>
      </c>
      <c r="L1081" t="s">
        <v>21</v>
      </c>
    </row>
    <row r="1082" spans="1:12">
      <c r="A1082" t="s">
        <v>1503</v>
      </c>
      <c r="B1082" t="s">
        <v>1504</v>
      </c>
      <c r="C1082" t="s">
        <v>130</v>
      </c>
      <c r="D1082">
        <v>1952</v>
      </c>
      <c r="E1082" t="s">
        <v>15</v>
      </c>
      <c r="F1082" t="s">
        <v>16</v>
      </c>
      <c r="G1082" t="s">
        <v>17</v>
      </c>
      <c r="H1082" t="s">
        <v>18</v>
      </c>
      <c r="I1082">
        <v>40.476999999999997</v>
      </c>
      <c r="J1082" t="s">
        <v>19</v>
      </c>
      <c r="K1082" t="s">
        <v>1505</v>
      </c>
      <c r="L1082" t="s">
        <v>21</v>
      </c>
    </row>
    <row r="1083" spans="1:12">
      <c r="A1083" t="s">
        <v>1506</v>
      </c>
      <c r="B1083" t="s">
        <v>1504</v>
      </c>
      <c r="C1083" t="s">
        <v>130</v>
      </c>
      <c r="D1083">
        <v>1952</v>
      </c>
      <c r="E1083" t="s">
        <v>23</v>
      </c>
      <c r="F1083" t="s">
        <v>24</v>
      </c>
      <c r="G1083" t="s">
        <v>25</v>
      </c>
      <c r="H1083" t="s">
        <v>26</v>
      </c>
      <c r="I1083">
        <v>2977019</v>
      </c>
      <c r="J1083" t="s">
        <v>27</v>
      </c>
      <c r="K1083" t="s">
        <v>1505</v>
      </c>
      <c r="L1083" t="s">
        <v>21</v>
      </c>
    </row>
    <row r="1084" spans="1:12">
      <c r="A1084" t="s">
        <v>1507</v>
      </c>
      <c r="B1084" t="s">
        <v>1504</v>
      </c>
      <c r="C1084" t="s">
        <v>130</v>
      </c>
      <c r="D1084">
        <v>1952</v>
      </c>
      <c r="E1084" t="s">
        <v>29</v>
      </c>
      <c r="F1084" t="s">
        <v>30</v>
      </c>
      <c r="G1084" t="s">
        <v>31</v>
      </c>
      <c r="H1084" t="s">
        <v>32</v>
      </c>
      <c r="I1084">
        <v>1388.594732</v>
      </c>
      <c r="J1084" t="s">
        <v>33</v>
      </c>
      <c r="K1084" t="s">
        <v>1505</v>
      </c>
      <c r="L1084" t="s">
        <v>21</v>
      </c>
    </row>
    <row r="1085" spans="1:12">
      <c r="A1085" t="s">
        <v>1508</v>
      </c>
      <c r="B1085" t="s">
        <v>1504</v>
      </c>
      <c r="C1085" t="s">
        <v>130</v>
      </c>
      <c r="D1085">
        <v>1957</v>
      </c>
      <c r="E1085" t="s">
        <v>15</v>
      </c>
      <c r="F1085" t="s">
        <v>16</v>
      </c>
      <c r="G1085" t="s">
        <v>17</v>
      </c>
      <c r="H1085" t="s">
        <v>18</v>
      </c>
      <c r="I1085">
        <v>42.469000000000001</v>
      </c>
      <c r="J1085" t="s">
        <v>19</v>
      </c>
      <c r="K1085" t="s">
        <v>1509</v>
      </c>
      <c r="L1085" t="s">
        <v>21</v>
      </c>
    </row>
    <row r="1086" spans="1:12">
      <c r="A1086" t="s">
        <v>1510</v>
      </c>
      <c r="B1086" t="s">
        <v>1504</v>
      </c>
      <c r="C1086" t="s">
        <v>130</v>
      </c>
      <c r="D1086">
        <v>1957</v>
      </c>
      <c r="E1086" t="s">
        <v>23</v>
      </c>
      <c r="F1086" t="s">
        <v>24</v>
      </c>
      <c r="G1086" t="s">
        <v>25</v>
      </c>
      <c r="H1086" t="s">
        <v>26</v>
      </c>
      <c r="I1086">
        <v>3300000</v>
      </c>
      <c r="J1086" t="s">
        <v>27</v>
      </c>
      <c r="K1086" t="s">
        <v>1509</v>
      </c>
      <c r="L1086" t="s">
        <v>21</v>
      </c>
    </row>
    <row r="1087" spans="1:12">
      <c r="A1087" t="s">
        <v>1511</v>
      </c>
      <c r="B1087" t="s">
        <v>1504</v>
      </c>
      <c r="C1087" t="s">
        <v>130</v>
      </c>
      <c r="D1087">
        <v>1957</v>
      </c>
      <c r="E1087" t="s">
        <v>29</v>
      </c>
      <c r="F1087" t="s">
        <v>30</v>
      </c>
      <c r="G1087" t="s">
        <v>31</v>
      </c>
      <c r="H1087" t="s">
        <v>32</v>
      </c>
      <c r="I1087">
        <v>1500.895925</v>
      </c>
      <c r="J1087" t="s">
        <v>33</v>
      </c>
      <c r="K1087" t="s">
        <v>1509</v>
      </c>
      <c r="L1087" t="s">
        <v>21</v>
      </c>
    </row>
    <row r="1088" spans="1:12">
      <c r="A1088" t="s">
        <v>1512</v>
      </c>
      <c r="B1088" t="s">
        <v>1504</v>
      </c>
      <c r="C1088" t="s">
        <v>130</v>
      </c>
      <c r="D1088">
        <v>1962</v>
      </c>
      <c r="E1088" t="s">
        <v>15</v>
      </c>
      <c r="F1088" t="s">
        <v>16</v>
      </c>
      <c r="G1088" t="s">
        <v>17</v>
      </c>
      <c r="H1088" t="s">
        <v>18</v>
      </c>
      <c r="I1088">
        <v>44.93</v>
      </c>
      <c r="J1088" t="s">
        <v>19</v>
      </c>
      <c r="K1088" t="s">
        <v>1513</v>
      </c>
      <c r="L1088" t="s">
        <v>21</v>
      </c>
    </row>
    <row r="1089" spans="1:12">
      <c r="A1089" t="s">
        <v>1514</v>
      </c>
      <c r="B1089" t="s">
        <v>1504</v>
      </c>
      <c r="C1089" t="s">
        <v>130</v>
      </c>
      <c r="D1089">
        <v>1962</v>
      </c>
      <c r="E1089" t="s">
        <v>23</v>
      </c>
      <c r="F1089" t="s">
        <v>24</v>
      </c>
      <c r="G1089" t="s">
        <v>25</v>
      </c>
      <c r="H1089" t="s">
        <v>26</v>
      </c>
      <c r="I1089">
        <v>3832408</v>
      </c>
      <c r="J1089" t="s">
        <v>27</v>
      </c>
      <c r="K1089" t="s">
        <v>1513</v>
      </c>
      <c r="L1089" t="s">
        <v>21</v>
      </c>
    </row>
    <row r="1090" spans="1:12">
      <c r="A1090" t="s">
        <v>1515</v>
      </c>
      <c r="B1090" t="s">
        <v>1504</v>
      </c>
      <c r="C1090" t="s">
        <v>130</v>
      </c>
      <c r="D1090">
        <v>1962</v>
      </c>
      <c r="E1090" t="s">
        <v>29</v>
      </c>
      <c r="F1090" t="s">
        <v>30</v>
      </c>
      <c r="G1090" t="s">
        <v>31</v>
      </c>
      <c r="H1090" t="s">
        <v>32</v>
      </c>
      <c r="I1090">
        <v>1728.869428</v>
      </c>
      <c r="J1090" t="s">
        <v>33</v>
      </c>
      <c r="K1090" t="s">
        <v>1513</v>
      </c>
      <c r="L1090" t="s">
        <v>21</v>
      </c>
    </row>
    <row r="1091" spans="1:12">
      <c r="A1091" t="s">
        <v>1516</v>
      </c>
      <c r="B1091" t="s">
        <v>1504</v>
      </c>
      <c r="C1091" t="s">
        <v>130</v>
      </c>
      <c r="D1091">
        <v>1967</v>
      </c>
      <c r="E1091" t="s">
        <v>15</v>
      </c>
      <c r="F1091" t="s">
        <v>16</v>
      </c>
      <c r="G1091" t="s">
        <v>17</v>
      </c>
      <c r="H1091" t="s">
        <v>18</v>
      </c>
      <c r="I1091">
        <v>47.35</v>
      </c>
      <c r="J1091" t="s">
        <v>19</v>
      </c>
      <c r="K1091" t="s">
        <v>1517</v>
      </c>
      <c r="L1091" t="s">
        <v>21</v>
      </c>
    </row>
    <row r="1092" spans="1:12">
      <c r="A1092" t="s">
        <v>1518</v>
      </c>
      <c r="B1092" t="s">
        <v>1504</v>
      </c>
      <c r="C1092" t="s">
        <v>130</v>
      </c>
      <c r="D1092">
        <v>1967</v>
      </c>
      <c r="E1092" t="s">
        <v>23</v>
      </c>
      <c r="F1092" t="s">
        <v>24</v>
      </c>
      <c r="G1092" t="s">
        <v>25</v>
      </c>
      <c r="H1092" t="s">
        <v>26</v>
      </c>
      <c r="I1092">
        <v>4744870</v>
      </c>
      <c r="J1092" t="s">
        <v>27</v>
      </c>
      <c r="K1092" t="s">
        <v>1517</v>
      </c>
      <c r="L1092" t="s">
        <v>21</v>
      </c>
    </row>
    <row r="1093" spans="1:12">
      <c r="A1093" t="s">
        <v>1519</v>
      </c>
      <c r="B1093" t="s">
        <v>1504</v>
      </c>
      <c r="C1093" t="s">
        <v>130</v>
      </c>
      <c r="D1093">
        <v>1967</v>
      </c>
      <c r="E1093" t="s">
        <v>29</v>
      </c>
      <c r="F1093" t="s">
        <v>30</v>
      </c>
      <c r="G1093" t="s">
        <v>31</v>
      </c>
      <c r="H1093" t="s">
        <v>32</v>
      </c>
      <c r="I1093">
        <v>2052.0504729999998</v>
      </c>
      <c r="J1093" t="s">
        <v>33</v>
      </c>
      <c r="K1093" t="s">
        <v>1517</v>
      </c>
      <c r="L1093" t="s">
        <v>21</v>
      </c>
    </row>
    <row r="1094" spans="1:12">
      <c r="A1094" t="s">
        <v>1520</v>
      </c>
      <c r="B1094" t="s">
        <v>1504</v>
      </c>
      <c r="C1094" t="s">
        <v>130</v>
      </c>
      <c r="D1094">
        <v>1972</v>
      </c>
      <c r="E1094" t="s">
        <v>15</v>
      </c>
      <c r="F1094" t="s">
        <v>16</v>
      </c>
      <c r="G1094" t="s">
        <v>17</v>
      </c>
      <c r="H1094" t="s">
        <v>18</v>
      </c>
      <c r="I1094">
        <v>49.801000000000002</v>
      </c>
      <c r="J1094" t="s">
        <v>19</v>
      </c>
      <c r="K1094" t="s">
        <v>1521</v>
      </c>
      <c r="L1094" t="s">
        <v>21</v>
      </c>
    </row>
    <row r="1095" spans="1:12">
      <c r="A1095" t="s">
        <v>1522</v>
      </c>
      <c r="B1095" t="s">
        <v>1504</v>
      </c>
      <c r="C1095" t="s">
        <v>130</v>
      </c>
      <c r="D1095">
        <v>1972</v>
      </c>
      <c r="E1095" t="s">
        <v>23</v>
      </c>
      <c r="F1095" t="s">
        <v>24</v>
      </c>
      <c r="G1095" t="s">
        <v>25</v>
      </c>
      <c r="H1095" t="s">
        <v>26</v>
      </c>
      <c r="I1095">
        <v>6071696</v>
      </c>
      <c r="J1095" t="s">
        <v>27</v>
      </c>
      <c r="K1095" t="s">
        <v>1521</v>
      </c>
      <c r="L1095" t="s">
        <v>21</v>
      </c>
    </row>
    <row r="1096" spans="1:12">
      <c r="A1096" t="s">
        <v>1523</v>
      </c>
      <c r="B1096" t="s">
        <v>1504</v>
      </c>
      <c r="C1096" t="s">
        <v>130</v>
      </c>
      <c r="D1096">
        <v>1972</v>
      </c>
      <c r="E1096" t="s">
        <v>29</v>
      </c>
      <c r="F1096" t="s">
        <v>30</v>
      </c>
      <c r="G1096" t="s">
        <v>31</v>
      </c>
      <c r="H1096" t="s">
        <v>32</v>
      </c>
      <c r="I1096">
        <v>2378.2011109999999</v>
      </c>
      <c r="J1096" t="s">
        <v>33</v>
      </c>
      <c r="K1096" t="s">
        <v>1521</v>
      </c>
      <c r="L1096" t="s">
        <v>21</v>
      </c>
    </row>
    <row r="1097" spans="1:12">
      <c r="A1097" t="s">
        <v>1524</v>
      </c>
      <c r="B1097" t="s">
        <v>1504</v>
      </c>
      <c r="C1097" t="s">
        <v>130</v>
      </c>
      <c r="D1097">
        <v>1977</v>
      </c>
      <c r="E1097" t="s">
        <v>15</v>
      </c>
      <c r="F1097" t="s">
        <v>16</v>
      </c>
      <c r="G1097" t="s">
        <v>17</v>
      </c>
      <c r="H1097" t="s">
        <v>18</v>
      </c>
      <c r="I1097">
        <v>52.374000000000002</v>
      </c>
      <c r="J1097" t="s">
        <v>19</v>
      </c>
      <c r="K1097" t="s">
        <v>1525</v>
      </c>
      <c r="L1097" t="s">
        <v>21</v>
      </c>
    </row>
    <row r="1098" spans="1:12">
      <c r="A1098" t="s">
        <v>1526</v>
      </c>
      <c r="B1098" t="s">
        <v>1504</v>
      </c>
      <c r="C1098" t="s">
        <v>130</v>
      </c>
      <c r="D1098">
        <v>1977</v>
      </c>
      <c r="E1098" t="s">
        <v>23</v>
      </c>
      <c r="F1098" t="s">
        <v>24</v>
      </c>
      <c r="G1098" t="s">
        <v>25</v>
      </c>
      <c r="H1098" t="s">
        <v>26</v>
      </c>
      <c r="I1098">
        <v>7459574</v>
      </c>
      <c r="J1098" t="s">
        <v>27</v>
      </c>
      <c r="K1098" t="s">
        <v>1525</v>
      </c>
      <c r="L1098" t="s">
        <v>21</v>
      </c>
    </row>
    <row r="1099" spans="1:12">
      <c r="A1099" t="s">
        <v>1527</v>
      </c>
      <c r="B1099" t="s">
        <v>1504</v>
      </c>
      <c r="C1099" t="s">
        <v>130</v>
      </c>
      <c r="D1099">
        <v>1977</v>
      </c>
      <c r="E1099" t="s">
        <v>29</v>
      </c>
      <c r="F1099" t="s">
        <v>30</v>
      </c>
      <c r="G1099" t="s">
        <v>31</v>
      </c>
      <c r="H1099" t="s">
        <v>32</v>
      </c>
      <c r="I1099">
        <v>2517.736547</v>
      </c>
      <c r="J1099" t="s">
        <v>33</v>
      </c>
      <c r="K1099" t="s">
        <v>1525</v>
      </c>
      <c r="L1099" t="s">
        <v>21</v>
      </c>
    </row>
    <row r="1100" spans="1:12">
      <c r="A1100" t="s">
        <v>1528</v>
      </c>
      <c r="B1100" t="s">
        <v>1504</v>
      </c>
      <c r="C1100" t="s">
        <v>130</v>
      </c>
      <c r="D1100">
        <v>1982</v>
      </c>
      <c r="E1100" t="s">
        <v>15</v>
      </c>
      <c r="F1100" t="s">
        <v>16</v>
      </c>
      <c r="G1100" t="s">
        <v>17</v>
      </c>
      <c r="H1100" t="s">
        <v>18</v>
      </c>
      <c r="I1100">
        <v>53.982999999999997</v>
      </c>
      <c r="J1100" t="s">
        <v>19</v>
      </c>
      <c r="K1100" t="s">
        <v>1529</v>
      </c>
      <c r="L1100" t="s">
        <v>21</v>
      </c>
    </row>
    <row r="1101" spans="1:12">
      <c r="A1101" t="s">
        <v>1530</v>
      </c>
      <c r="B1101" t="s">
        <v>1504</v>
      </c>
      <c r="C1101" t="s">
        <v>130</v>
      </c>
      <c r="D1101">
        <v>1982</v>
      </c>
      <c r="E1101" t="s">
        <v>23</v>
      </c>
      <c r="F1101" t="s">
        <v>24</v>
      </c>
      <c r="G1101" t="s">
        <v>25</v>
      </c>
      <c r="H1101" t="s">
        <v>26</v>
      </c>
      <c r="I1101">
        <v>9025951</v>
      </c>
      <c r="J1101" t="s">
        <v>27</v>
      </c>
      <c r="K1101" t="s">
        <v>1529</v>
      </c>
      <c r="L1101" t="s">
        <v>21</v>
      </c>
    </row>
    <row r="1102" spans="1:12">
      <c r="A1102" t="s">
        <v>1531</v>
      </c>
      <c r="B1102" t="s">
        <v>1504</v>
      </c>
      <c r="C1102" t="s">
        <v>130</v>
      </c>
      <c r="D1102">
        <v>1982</v>
      </c>
      <c r="E1102" t="s">
        <v>29</v>
      </c>
      <c r="F1102" t="s">
        <v>30</v>
      </c>
      <c r="G1102" t="s">
        <v>31</v>
      </c>
      <c r="H1102" t="s">
        <v>32</v>
      </c>
      <c r="I1102">
        <v>2602.710169</v>
      </c>
      <c r="J1102" t="s">
        <v>33</v>
      </c>
      <c r="K1102" t="s">
        <v>1529</v>
      </c>
      <c r="L1102" t="s">
        <v>21</v>
      </c>
    </row>
    <row r="1103" spans="1:12">
      <c r="A1103" t="s">
        <v>1532</v>
      </c>
      <c r="B1103" t="s">
        <v>1504</v>
      </c>
      <c r="C1103" t="s">
        <v>130</v>
      </c>
      <c r="D1103">
        <v>1987</v>
      </c>
      <c r="E1103" t="s">
        <v>15</v>
      </c>
      <c r="F1103" t="s">
        <v>16</v>
      </c>
      <c r="G1103" t="s">
        <v>17</v>
      </c>
      <c r="H1103" t="s">
        <v>18</v>
      </c>
      <c r="I1103">
        <v>54.655000000000001</v>
      </c>
      <c r="J1103" t="s">
        <v>19</v>
      </c>
      <c r="K1103" t="s">
        <v>1533</v>
      </c>
      <c r="L1103" t="s">
        <v>21</v>
      </c>
    </row>
    <row r="1104" spans="1:12">
      <c r="A1104" t="s">
        <v>1534</v>
      </c>
      <c r="B1104" t="s">
        <v>1504</v>
      </c>
      <c r="C1104" t="s">
        <v>130</v>
      </c>
      <c r="D1104">
        <v>1987</v>
      </c>
      <c r="E1104" t="s">
        <v>23</v>
      </c>
      <c r="F1104" t="s">
        <v>24</v>
      </c>
      <c r="G1104" t="s">
        <v>25</v>
      </c>
      <c r="H1104" t="s">
        <v>26</v>
      </c>
      <c r="I1104">
        <v>10761098</v>
      </c>
      <c r="J1104" t="s">
        <v>27</v>
      </c>
      <c r="K1104" t="s">
        <v>1533</v>
      </c>
      <c r="L1104" t="s">
        <v>21</v>
      </c>
    </row>
    <row r="1105" spans="1:12">
      <c r="A1105" t="s">
        <v>1535</v>
      </c>
      <c r="B1105" t="s">
        <v>1504</v>
      </c>
      <c r="C1105" t="s">
        <v>130</v>
      </c>
      <c r="D1105">
        <v>1987</v>
      </c>
      <c r="E1105" t="s">
        <v>29</v>
      </c>
      <c r="F1105" t="s">
        <v>30</v>
      </c>
      <c r="G1105" t="s">
        <v>31</v>
      </c>
      <c r="H1105" t="s">
        <v>32</v>
      </c>
      <c r="I1105">
        <v>2156.9560689999998</v>
      </c>
      <c r="J1105" t="s">
        <v>33</v>
      </c>
      <c r="K1105" t="s">
        <v>1533</v>
      </c>
      <c r="L1105" t="s">
        <v>21</v>
      </c>
    </row>
    <row r="1106" spans="1:12">
      <c r="A1106" t="s">
        <v>1536</v>
      </c>
      <c r="B1106" t="s">
        <v>1504</v>
      </c>
      <c r="C1106" t="s">
        <v>130</v>
      </c>
      <c r="D1106">
        <v>1992</v>
      </c>
      <c r="E1106" t="s">
        <v>15</v>
      </c>
      <c r="F1106" t="s">
        <v>16</v>
      </c>
      <c r="G1106" t="s">
        <v>17</v>
      </c>
      <c r="H1106" t="s">
        <v>18</v>
      </c>
      <c r="I1106">
        <v>52.043999999999997</v>
      </c>
      <c r="J1106" t="s">
        <v>19</v>
      </c>
      <c r="K1106" t="s">
        <v>1537</v>
      </c>
      <c r="L1106" t="s">
        <v>21</v>
      </c>
    </row>
    <row r="1107" spans="1:12">
      <c r="A1107" t="s">
        <v>1538</v>
      </c>
      <c r="B1107" t="s">
        <v>1504</v>
      </c>
      <c r="C1107" t="s">
        <v>130</v>
      </c>
      <c r="D1107">
        <v>1992</v>
      </c>
      <c r="E1107" t="s">
        <v>23</v>
      </c>
      <c r="F1107" t="s">
        <v>24</v>
      </c>
      <c r="G1107" t="s">
        <v>25</v>
      </c>
      <c r="H1107" t="s">
        <v>26</v>
      </c>
      <c r="I1107">
        <v>12772596</v>
      </c>
      <c r="J1107" t="s">
        <v>27</v>
      </c>
      <c r="K1107" t="s">
        <v>1537</v>
      </c>
      <c r="L1107" t="s">
        <v>21</v>
      </c>
    </row>
    <row r="1108" spans="1:12">
      <c r="A1108" t="s">
        <v>1539</v>
      </c>
      <c r="B1108" t="s">
        <v>1504</v>
      </c>
      <c r="C1108" t="s">
        <v>130</v>
      </c>
      <c r="D1108">
        <v>1992</v>
      </c>
      <c r="E1108" t="s">
        <v>29</v>
      </c>
      <c r="F1108" t="s">
        <v>30</v>
      </c>
      <c r="G1108" t="s">
        <v>31</v>
      </c>
      <c r="H1108" t="s">
        <v>32</v>
      </c>
      <c r="I1108">
        <v>1648.073791</v>
      </c>
      <c r="J1108" t="s">
        <v>33</v>
      </c>
      <c r="K1108" t="s">
        <v>1537</v>
      </c>
      <c r="L1108" t="s">
        <v>21</v>
      </c>
    </row>
    <row r="1109" spans="1:12">
      <c r="A1109" t="s">
        <v>1540</v>
      </c>
      <c r="B1109" t="s">
        <v>1504</v>
      </c>
      <c r="C1109" t="s">
        <v>130</v>
      </c>
      <c r="D1109">
        <v>1997</v>
      </c>
      <c r="E1109" t="s">
        <v>15</v>
      </c>
      <c r="F1109" t="s">
        <v>16</v>
      </c>
      <c r="G1109" t="s">
        <v>17</v>
      </c>
      <c r="H1109" t="s">
        <v>18</v>
      </c>
      <c r="I1109">
        <v>47.991</v>
      </c>
      <c r="J1109" t="s">
        <v>19</v>
      </c>
      <c r="K1109" t="s">
        <v>1541</v>
      </c>
      <c r="L1109" t="s">
        <v>21</v>
      </c>
    </row>
    <row r="1110" spans="1:12">
      <c r="A1110" t="s">
        <v>1542</v>
      </c>
      <c r="B1110" t="s">
        <v>1504</v>
      </c>
      <c r="C1110" t="s">
        <v>130</v>
      </c>
      <c r="D1110">
        <v>1997</v>
      </c>
      <c r="E1110" t="s">
        <v>23</v>
      </c>
      <c r="F1110" t="s">
        <v>24</v>
      </c>
      <c r="G1110" t="s">
        <v>25</v>
      </c>
      <c r="H1110" t="s">
        <v>26</v>
      </c>
      <c r="I1110">
        <v>14625967</v>
      </c>
      <c r="J1110" t="s">
        <v>27</v>
      </c>
      <c r="K1110" t="s">
        <v>1541</v>
      </c>
      <c r="L1110" t="s">
        <v>21</v>
      </c>
    </row>
    <row r="1111" spans="1:12">
      <c r="A1111" t="s">
        <v>1543</v>
      </c>
      <c r="B1111" t="s">
        <v>1504</v>
      </c>
      <c r="C1111" t="s">
        <v>130</v>
      </c>
      <c r="D1111">
        <v>1997</v>
      </c>
      <c r="E1111" t="s">
        <v>29</v>
      </c>
      <c r="F1111" t="s">
        <v>30</v>
      </c>
      <c r="G1111" t="s">
        <v>31</v>
      </c>
      <c r="H1111" t="s">
        <v>32</v>
      </c>
      <c r="I1111">
        <v>1786.2654070000001</v>
      </c>
      <c r="J1111" t="s">
        <v>33</v>
      </c>
      <c r="K1111" t="s">
        <v>1541</v>
      </c>
      <c r="L1111" t="s">
        <v>21</v>
      </c>
    </row>
    <row r="1112" spans="1:12">
      <c r="A1112" t="s">
        <v>1544</v>
      </c>
      <c r="B1112" t="s">
        <v>1504</v>
      </c>
      <c r="C1112" t="s">
        <v>130</v>
      </c>
      <c r="D1112">
        <v>2002</v>
      </c>
      <c r="E1112" t="s">
        <v>15</v>
      </c>
      <c r="F1112" t="s">
        <v>16</v>
      </c>
      <c r="G1112" t="s">
        <v>17</v>
      </c>
      <c r="H1112" t="s">
        <v>18</v>
      </c>
      <c r="I1112">
        <v>46.832000000000001</v>
      </c>
      <c r="J1112" t="s">
        <v>19</v>
      </c>
      <c r="K1112" t="s">
        <v>1545</v>
      </c>
      <c r="L1112" t="s">
        <v>21</v>
      </c>
    </row>
    <row r="1113" spans="1:12">
      <c r="A1113" t="s">
        <v>1546</v>
      </c>
      <c r="B1113" t="s">
        <v>1504</v>
      </c>
      <c r="C1113" t="s">
        <v>130</v>
      </c>
      <c r="D1113">
        <v>2002</v>
      </c>
      <c r="E1113" t="s">
        <v>23</v>
      </c>
      <c r="F1113" t="s">
        <v>24</v>
      </c>
      <c r="G1113" t="s">
        <v>25</v>
      </c>
      <c r="H1113" t="s">
        <v>26</v>
      </c>
      <c r="I1113">
        <v>16252726</v>
      </c>
      <c r="J1113" t="s">
        <v>27</v>
      </c>
      <c r="K1113" t="s">
        <v>1545</v>
      </c>
      <c r="L1113" t="s">
        <v>21</v>
      </c>
    </row>
    <row r="1114" spans="1:12">
      <c r="A1114" t="s">
        <v>1547</v>
      </c>
      <c r="B1114" t="s">
        <v>1504</v>
      </c>
      <c r="C1114" t="s">
        <v>130</v>
      </c>
      <c r="D1114">
        <v>2002</v>
      </c>
      <c r="E1114" t="s">
        <v>29</v>
      </c>
      <c r="F1114" t="s">
        <v>30</v>
      </c>
      <c r="G1114" t="s">
        <v>31</v>
      </c>
      <c r="H1114" t="s">
        <v>32</v>
      </c>
      <c r="I1114">
        <v>1648.800823</v>
      </c>
      <c r="J1114" t="s">
        <v>33</v>
      </c>
      <c r="K1114" t="s">
        <v>1545</v>
      </c>
      <c r="L1114" t="s">
        <v>21</v>
      </c>
    </row>
    <row r="1115" spans="1:12">
      <c r="A1115" t="s">
        <v>1548</v>
      </c>
      <c r="B1115" t="s">
        <v>1504</v>
      </c>
      <c r="C1115" t="s">
        <v>130</v>
      </c>
      <c r="D1115">
        <v>2007</v>
      </c>
      <c r="E1115" t="s">
        <v>15</v>
      </c>
      <c r="F1115" t="s">
        <v>16</v>
      </c>
      <c r="G1115" t="s">
        <v>17</v>
      </c>
      <c r="H1115" t="s">
        <v>18</v>
      </c>
      <c r="I1115">
        <v>48.328000000000003</v>
      </c>
      <c r="J1115" t="s">
        <v>19</v>
      </c>
      <c r="K1115" t="s">
        <v>1549</v>
      </c>
      <c r="L1115" t="s">
        <v>21</v>
      </c>
    </row>
    <row r="1116" spans="1:12">
      <c r="A1116" t="s">
        <v>1550</v>
      </c>
      <c r="B1116" t="s">
        <v>1504</v>
      </c>
      <c r="C1116" t="s">
        <v>130</v>
      </c>
      <c r="D1116">
        <v>2007</v>
      </c>
      <c r="E1116" t="s">
        <v>23</v>
      </c>
      <c r="F1116" t="s">
        <v>24</v>
      </c>
      <c r="G1116" t="s">
        <v>25</v>
      </c>
      <c r="H1116" t="s">
        <v>26</v>
      </c>
      <c r="I1116">
        <v>18013409</v>
      </c>
      <c r="J1116" t="s">
        <v>27</v>
      </c>
      <c r="K1116" t="s">
        <v>1549</v>
      </c>
      <c r="L1116" t="s">
        <v>21</v>
      </c>
    </row>
    <row r="1117" spans="1:12">
      <c r="A1117" t="s">
        <v>1551</v>
      </c>
      <c r="B1117" t="s">
        <v>1504</v>
      </c>
      <c r="C1117" t="s">
        <v>130</v>
      </c>
      <c r="D1117">
        <v>2007</v>
      </c>
      <c r="E1117" t="s">
        <v>29</v>
      </c>
      <c r="F1117" t="s">
        <v>30</v>
      </c>
      <c r="G1117" t="s">
        <v>31</v>
      </c>
      <c r="H1117" t="s">
        <v>32</v>
      </c>
      <c r="I1117">
        <v>1544.7501119999999</v>
      </c>
      <c r="J1117" t="s">
        <v>33</v>
      </c>
      <c r="K1117" t="s">
        <v>1549</v>
      </c>
      <c r="L1117" t="s">
        <v>21</v>
      </c>
    </row>
    <row r="1118" spans="1:12">
      <c r="A1118" t="s">
        <v>1552</v>
      </c>
      <c r="B1118" t="s">
        <v>1553</v>
      </c>
      <c r="C1118" t="s">
        <v>80</v>
      </c>
      <c r="D1118">
        <v>1952</v>
      </c>
      <c r="E1118" t="s">
        <v>15</v>
      </c>
      <c r="F1118" t="s">
        <v>16</v>
      </c>
      <c r="G1118" t="s">
        <v>17</v>
      </c>
      <c r="H1118" t="s">
        <v>18</v>
      </c>
      <c r="I1118">
        <v>61.21</v>
      </c>
      <c r="J1118" t="s">
        <v>19</v>
      </c>
      <c r="K1118" t="s">
        <v>1554</v>
      </c>
      <c r="L1118" t="s">
        <v>21</v>
      </c>
    </row>
    <row r="1119" spans="1:12">
      <c r="A1119" t="s">
        <v>1555</v>
      </c>
      <c r="B1119" t="s">
        <v>1553</v>
      </c>
      <c r="C1119" t="s">
        <v>80</v>
      </c>
      <c r="D1119">
        <v>1952</v>
      </c>
      <c r="E1119" t="s">
        <v>23</v>
      </c>
      <c r="F1119" t="s">
        <v>24</v>
      </c>
      <c r="G1119" t="s">
        <v>25</v>
      </c>
      <c r="H1119" t="s">
        <v>26</v>
      </c>
      <c r="I1119">
        <v>3882229</v>
      </c>
      <c r="J1119" t="s">
        <v>27</v>
      </c>
      <c r="K1119" t="s">
        <v>1554</v>
      </c>
      <c r="L1119" t="s">
        <v>21</v>
      </c>
    </row>
    <row r="1120" spans="1:12">
      <c r="A1120" t="s">
        <v>1556</v>
      </c>
      <c r="B1120" t="s">
        <v>1553</v>
      </c>
      <c r="C1120" t="s">
        <v>80</v>
      </c>
      <c r="D1120">
        <v>1952</v>
      </c>
      <c r="E1120" t="s">
        <v>29</v>
      </c>
      <c r="F1120" t="s">
        <v>30</v>
      </c>
      <c r="G1120" t="s">
        <v>31</v>
      </c>
      <c r="H1120" t="s">
        <v>32</v>
      </c>
      <c r="I1120">
        <v>3119.2365199999999</v>
      </c>
      <c r="J1120" t="s">
        <v>33</v>
      </c>
      <c r="K1120" t="s">
        <v>1554</v>
      </c>
      <c r="L1120" t="s">
        <v>21</v>
      </c>
    </row>
    <row r="1121" spans="1:12">
      <c r="A1121" t="s">
        <v>1557</v>
      </c>
      <c r="B1121" t="s">
        <v>1553</v>
      </c>
      <c r="C1121" t="s">
        <v>80</v>
      </c>
      <c r="D1121">
        <v>1957</v>
      </c>
      <c r="E1121" t="s">
        <v>15</v>
      </c>
      <c r="F1121" t="s">
        <v>16</v>
      </c>
      <c r="G1121" t="s">
        <v>17</v>
      </c>
      <c r="H1121" t="s">
        <v>18</v>
      </c>
      <c r="I1121">
        <v>64.77</v>
      </c>
      <c r="J1121" t="s">
        <v>19</v>
      </c>
      <c r="K1121" t="s">
        <v>1558</v>
      </c>
      <c r="L1121" t="s">
        <v>21</v>
      </c>
    </row>
    <row r="1122" spans="1:12">
      <c r="A1122" t="s">
        <v>1559</v>
      </c>
      <c r="B1122" t="s">
        <v>1553</v>
      </c>
      <c r="C1122" t="s">
        <v>80</v>
      </c>
      <c r="D1122">
        <v>1957</v>
      </c>
      <c r="E1122" t="s">
        <v>23</v>
      </c>
      <c r="F1122" t="s">
        <v>24</v>
      </c>
      <c r="G1122" t="s">
        <v>25</v>
      </c>
      <c r="H1122" t="s">
        <v>26</v>
      </c>
      <c r="I1122">
        <v>3991242</v>
      </c>
      <c r="J1122" t="s">
        <v>27</v>
      </c>
      <c r="K1122" t="s">
        <v>1558</v>
      </c>
      <c r="L1122" t="s">
        <v>21</v>
      </c>
    </row>
    <row r="1123" spans="1:12">
      <c r="A1123" t="s">
        <v>1560</v>
      </c>
      <c r="B1123" t="s">
        <v>1553</v>
      </c>
      <c r="C1123" t="s">
        <v>80</v>
      </c>
      <c r="D1123">
        <v>1957</v>
      </c>
      <c r="E1123" t="s">
        <v>29</v>
      </c>
      <c r="F1123" t="s">
        <v>30</v>
      </c>
      <c r="G1123" t="s">
        <v>31</v>
      </c>
      <c r="H1123" t="s">
        <v>32</v>
      </c>
      <c r="I1123">
        <v>4338.2316170000004</v>
      </c>
      <c r="J1123" t="s">
        <v>33</v>
      </c>
      <c r="K1123" t="s">
        <v>1558</v>
      </c>
      <c r="L1123" t="s">
        <v>21</v>
      </c>
    </row>
    <row r="1124" spans="1:12">
      <c r="A1124" t="s">
        <v>1561</v>
      </c>
      <c r="B1124" t="s">
        <v>1553</v>
      </c>
      <c r="C1124" t="s">
        <v>80</v>
      </c>
      <c r="D1124">
        <v>1962</v>
      </c>
      <c r="E1124" t="s">
        <v>15</v>
      </c>
      <c r="F1124" t="s">
        <v>16</v>
      </c>
      <c r="G1124" t="s">
        <v>17</v>
      </c>
      <c r="H1124" t="s">
        <v>18</v>
      </c>
      <c r="I1124">
        <v>67.13</v>
      </c>
      <c r="J1124" t="s">
        <v>19</v>
      </c>
      <c r="K1124" t="s">
        <v>1562</v>
      </c>
      <c r="L1124" t="s">
        <v>21</v>
      </c>
    </row>
    <row r="1125" spans="1:12">
      <c r="A1125" t="s">
        <v>1563</v>
      </c>
      <c r="B1125" t="s">
        <v>1553</v>
      </c>
      <c r="C1125" t="s">
        <v>80</v>
      </c>
      <c r="D1125">
        <v>1962</v>
      </c>
      <c r="E1125" t="s">
        <v>23</v>
      </c>
      <c r="F1125" t="s">
        <v>24</v>
      </c>
      <c r="G1125" t="s">
        <v>25</v>
      </c>
      <c r="H1125" t="s">
        <v>26</v>
      </c>
      <c r="I1125">
        <v>4076557</v>
      </c>
      <c r="J1125" t="s">
        <v>27</v>
      </c>
      <c r="K1125" t="s">
        <v>1562</v>
      </c>
      <c r="L1125" t="s">
        <v>21</v>
      </c>
    </row>
    <row r="1126" spans="1:12">
      <c r="A1126" t="s">
        <v>1564</v>
      </c>
      <c r="B1126" t="s">
        <v>1553</v>
      </c>
      <c r="C1126" t="s">
        <v>80</v>
      </c>
      <c r="D1126">
        <v>1962</v>
      </c>
      <c r="E1126" t="s">
        <v>29</v>
      </c>
      <c r="F1126" t="s">
        <v>30</v>
      </c>
      <c r="G1126" t="s">
        <v>31</v>
      </c>
      <c r="H1126" t="s">
        <v>32</v>
      </c>
      <c r="I1126">
        <v>5477.8900180000001</v>
      </c>
      <c r="J1126" t="s">
        <v>33</v>
      </c>
      <c r="K1126" t="s">
        <v>1562</v>
      </c>
      <c r="L1126" t="s">
        <v>21</v>
      </c>
    </row>
    <row r="1127" spans="1:12">
      <c r="A1127" t="s">
        <v>1565</v>
      </c>
      <c r="B1127" t="s">
        <v>1553</v>
      </c>
      <c r="C1127" t="s">
        <v>80</v>
      </c>
      <c r="D1127">
        <v>1967</v>
      </c>
      <c r="E1127" t="s">
        <v>15</v>
      </c>
      <c r="F1127" t="s">
        <v>16</v>
      </c>
      <c r="G1127" t="s">
        <v>17</v>
      </c>
      <c r="H1127" t="s">
        <v>18</v>
      </c>
      <c r="I1127">
        <v>68.5</v>
      </c>
      <c r="J1127" t="s">
        <v>19</v>
      </c>
      <c r="K1127" t="s">
        <v>1566</v>
      </c>
      <c r="L1127" t="s">
        <v>21</v>
      </c>
    </row>
    <row r="1128" spans="1:12">
      <c r="A1128" t="s">
        <v>1567</v>
      </c>
      <c r="B1128" t="s">
        <v>1553</v>
      </c>
      <c r="C1128" t="s">
        <v>80</v>
      </c>
      <c r="D1128">
        <v>1967</v>
      </c>
      <c r="E1128" t="s">
        <v>23</v>
      </c>
      <c r="F1128" t="s">
        <v>24</v>
      </c>
      <c r="G1128" t="s">
        <v>25</v>
      </c>
      <c r="H1128" t="s">
        <v>26</v>
      </c>
      <c r="I1128">
        <v>4174366</v>
      </c>
      <c r="J1128" t="s">
        <v>27</v>
      </c>
      <c r="K1128" t="s">
        <v>1566</v>
      </c>
      <c r="L1128" t="s">
        <v>21</v>
      </c>
    </row>
    <row r="1129" spans="1:12">
      <c r="A1129" t="s">
        <v>1568</v>
      </c>
      <c r="B1129" t="s">
        <v>1553</v>
      </c>
      <c r="C1129" t="s">
        <v>80</v>
      </c>
      <c r="D1129">
        <v>1967</v>
      </c>
      <c r="E1129" t="s">
        <v>29</v>
      </c>
      <c r="F1129" t="s">
        <v>30</v>
      </c>
      <c r="G1129" t="s">
        <v>31</v>
      </c>
      <c r="H1129" t="s">
        <v>32</v>
      </c>
      <c r="I1129">
        <v>6960.297861</v>
      </c>
      <c r="J1129" t="s">
        <v>33</v>
      </c>
      <c r="K1129" t="s">
        <v>1566</v>
      </c>
      <c r="L1129" t="s">
        <v>21</v>
      </c>
    </row>
    <row r="1130" spans="1:12">
      <c r="A1130" t="s">
        <v>1569</v>
      </c>
      <c r="B1130" t="s">
        <v>1553</v>
      </c>
      <c r="C1130" t="s">
        <v>80</v>
      </c>
      <c r="D1130">
        <v>1972</v>
      </c>
      <c r="E1130" t="s">
        <v>15</v>
      </c>
      <c r="F1130" t="s">
        <v>16</v>
      </c>
      <c r="G1130" t="s">
        <v>17</v>
      </c>
      <c r="H1130" t="s">
        <v>18</v>
      </c>
      <c r="I1130">
        <v>69.61</v>
      </c>
      <c r="J1130" t="s">
        <v>19</v>
      </c>
      <c r="K1130" t="s">
        <v>1570</v>
      </c>
      <c r="L1130" t="s">
        <v>21</v>
      </c>
    </row>
    <row r="1131" spans="1:12">
      <c r="A1131" t="s">
        <v>1571</v>
      </c>
      <c r="B1131" t="s">
        <v>1553</v>
      </c>
      <c r="C1131" t="s">
        <v>80</v>
      </c>
      <c r="D1131">
        <v>1972</v>
      </c>
      <c r="E1131" t="s">
        <v>23</v>
      </c>
      <c r="F1131" t="s">
        <v>24</v>
      </c>
      <c r="G1131" t="s">
        <v>25</v>
      </c>
      <c r="H1131" t="s">
        <v>26</v>
      </c>
      <c r="I1131">
        <v>4225310</v>
      </c>
      <c r="J1131" t="s">
        <v>27</v>
      </c>
      <c r="K1131" t="s">
        <v>1570</v>
      </c>
      <c r="L1131" t="s">
        <v>21</v>
      </c>
    </row>
    <row r="1132" spans="1:12">
      <c r="A1132" t="s">
        <v>1572</v>
      </c>
      <c r="B1132" t="s">
        <v>1553</v>
      </c>
      <c r="C1132" t="s">
        <v>80</v>
      </c>
      <c r="D1132">
        <v>1972</v>
      </c>
      <c r="E1132" t="s">
        <v>29</v>
      </c>
      <c r="F1132" t="s">
        <v>30</v>
      </c>
      <c r="G1132" t="s">
        <v>31</v>
      </c>
      <c r="H1132" t="s">
        <v>32</v>
      </c>
      <c r="I1132">
        <v>9164.0901269999995</v>
      </c>
      <c r="J1132" t="s">
        <v>33</v>
      </c>
      <c r="K1132" t="s">
        <v>1570</v>
      </c>
      <c r="L1132" t="s">
        <v>21</v>
      </c>
    </row>
    <row r="1133" spans="1:12">
      <c r="A1133" t="s">
        <v>1573</v>
      </c>
      <c r="B1133" t="s">
        <v>1553</v>
      </c>
      <c r="C1133" t="s">
        <v>80</v>
      </c>
      <c r="D1133">
        <v>1977</v>
      </c>
      <c r="E1133" t="s">
        <v>15</v>
      </c>
      <c r="F1133" t="s">
        <v>16</v>
      </c>
      <c r="G1133" t="s">
        <v>17</v>
      </c>
      <c r="H1133" t="s">
        <v>18</v>
      </c>
      <c r="I1133">
        <v>70.64</v>
      </c>
      <c r="J1133" t="s">
        <v>19</v>
      </c>
      <c r="K1133" t="s">
        <v>1574</v>
      </c>
      <c r="L1133" t="s">
        <v>21</v>
      </c>
    </row>
    <row r="1134" spans="1:12">
      <c r="A1134" t="s">
        <v>1575</v>
      </c>
      <c r="B1134" t="s">
        <v>1553</v>
      </c>
      <c r="C1134" t="s">
        <v>80</v>
      </c>
      <c r="D1134">
        <v>1977</v>
      </c>
      <c r="E1134" t="s">
        <v>23</v>
      </c>
      <c r="F1134" t="s">
        <v>24</v>
      </c>
      <c r="G1134" t="s">
        <v>25</v>
      </c>
      <c r="H1134" t="s">
        <v>26</v>
      </c>
      <c r="I1134">
        <v>4318673</v>
      </c>
      <c r="J1134" t="s">
        <v>27</v>
      </c>
      <c r="K1134" t="s">
        <v>1574</v>
      </c>
      <c r="L1134" t="s">
        <v>21</v>
      </c>
    </row>
    <row r="1135" spans="1:12">
      <c r="A1135" t="s">
        <v>1576</v>
      </c>
      <c r="B1135" t="s">
        <v>1553</v>
      </c>
      <c r="C1135" t="s">
        <v>80</v>
      </c>
      <c r="D1135">
        <v>1977</v>
      </c>
      <c r="E1135" t="s">
        <v>29</v>
      </c>
      <c r="F1135" t="s">
        <v>30</v>
      </c>
      <c r="G1135" t="s">
        <v>31</v>
      </c>
      <c r="H1135" t="s">
        <v>32</v>
      </c>
      <c r="I1135">
        <v>11305.38517</v>
      </c>
      <c r="J1135" t="s">
        <v>33</v>
      </c>
      <c r="K1135" t="s">
        <v>1574</v>
      </c>
      <c r="L1135" t="s">
        <v>21</v>
      </c>
    </row>
    <row r="1136" spans="1:12">
      <c r="A1136" t="s">
        <v>1577</v>
      </c>
      <c r="B1136" t="s">
        <v>1553</v>
      </c>
      <c r="C1136" t="s">
        <v>80</v>
      </c>
      <c r="D1136">
        <v>1982</v>
      </c>
      <c r="E1136" t="s">
        <v>15</v>
      </c>
      <c r="F1136" t="s">
        <v>16</v>
      </c>
      <c r="G1136" t="s">
        <v>17</v>
      </c>
      <c r="H1136" t="s">
        <v>18</v>
      </c>
      <c r="I1136">
        <v>70.459999999999994</v>
      </c>
      <c r="J1136" t="s">
        <v>19</v>
      </c>
      <c r="K1136" t="s">
        <v>1578</v>
      </c>
      <c r="L1136" t="s">
        <v>21</v>
      </c>
    </row>
    <row r="1137" spans="1:12">
      <c r="A1137" t="s">
        <v>1579</v>
      </c>
      <c r="B1137" t="s">
        <v>1553</v>
      </c>
      <c r="C1137" t="s">
        <v>80</v>
      </c>
      <c r="D1137">
        <v>1982</v>
      </c>
      <c r="E1137" t="s">
        <v>23</v>
      </c>
      <c r="F1137" t="s">
        <v>24</v>
      </c>
      <c r="G1137" t="s">
        <v>25</v>
      </c>
      <c r="H1137" t="s">
        <v>26</v>
      </c>
      <c r="I1137">
        <v>4413368</v>
      </c>
      <c r="J1137" t="s">
        <v>27</v>
      </c>
      <c r="K1137" t="s">
        <v>1578</v>
      </c>
      <c r="L1137" t="s">
        <v>21</v>
      </c>
    </row>
    <row r="1138" spans="1:12">
      <c r="A1138" t="s">
        <v>1580</v>
      </c>
      <c r="B1138" t="s">
        <v>1553</v>
      </c>
      <c r="C1138" t="s">
        <v>80</v>
      </c>
      <c r="D1138">
        <v>1982</v>
      </c>
      <c r="E1138" t="s">
        <v>29</v>
      </c>
      <c r="F1138" t="s">
        <v>30</v>
      </c>
      <c r="G1138" t="s">
        <v>31</v>
      </c>
      <c r="H1138" t="s">
        <v>32</v>
      </c>
      <c r="I1138">
        <v>13221.821840000001</v>
      </c>
      <c r="J1138" t="s">
        <v>33</v>
      </c>
      <c r="K1138" t="s">
        <v>1578</v>
      </c>
      <c r="L1138" t="s">
        <v>21</v>
      </c>
    </row>
    <row r="1139" spans="1:12">
      <c r="A1139" t="s">
        <v>1581</v>
      </c>
      <c r="B1139" t="s">
        <v>1553</v>
      </c>
      <c r="C1139" t="s">
        <v>80</v>
      </c>
      <c r="D1139">
        <v>1987</v>
      </c>
      <c r="E1139" t="s">
        <v>15</v>
      </c>
      <c r="F1139" t="s">
        <v>16</v>
      </c>
      <c r="G1139" t="s">
        <v>17</v>
      </c>
      <c r="H1139" t="s">
        <v>18</v>
      </c>
      <c r="I1139">
        <v>71.52</v>
      </c>
      <c r="J1139" t="s">
        <v>19</v>
      </c>
      <c r="K1139" t="s">
        <v>1582</v>
      </c>
      <c r="L1139" t="s">
        <v>21</v>
      </c>
    </row>
    <row r="1140" spans="1:12">
      <c r="A1140" t="s">
        <v>1583</v>
      </c>
      <c r="B1140" t="s">
        <v>1553</v>
      </c>
      <c r="C1140" t="s">
        <v>80</v>
      </c>
      <c r="D1140">
        <v>1987</v>
      </c>
      <c r="E1140" t="s">
        <v>23</v>
      </c>
      <c r="F1140" t="s">
        <v>24</v>
      </c>
      <c r="G1140" t="s">
        <v>25</v>
      </c>
      <c r="H1140" t="s">
        <v>26</v>
      </c>
      <c r="I1140">
        <v>4484310</v>
      </c>
      <c r="J1140" t="s">
        <v>27</v>
      </c>
      <c r="K1140" t="s">
        <v>1582</v>
      </c>
      <c r="L1140" t="s">
        <v>21</v>
      </c>
    </row>
    <row r="1141" spans="1:12">
      <c r="A1141" t="s">
        <v>1584</v>
      </c>
      <c r="B1141" t="s">
        <v>1553</v>
      </c>
      <c r="C1141" t="s">
        <v>80</v>
      </c>
      <c r="D1141">
        <v>1987</v>
      </c>
      <c r="E1141" t="s">
        <v>29</v>
      </c>
      <c r="F1141" t="s">
        <v>30</v>
      </c>
      <c r="G1141" t="s">
        <v>31</v>
      </c>
      <c r="H1141" t="s">
        <v>32</v>
      </c>
      <c r="I1141">
        <v>13822.58394</v>
      </c>
      <c r="J1141" t="s">
        <v>33</v>
      </c>
      <c r="K1141" t="s">
        <v>1582</v>
      </c>
      <c r="L1141" t="s">
        <v>21</v>
      </c>
    </row>
    <row r="1142" spans="1:12">
      <c r="A1142" t="s">
        <v>1585</v>
      </c>
      <c r="B1142" t="s">
        <v>1553</v>
      </c>
      <c r="C1142" t="s">
        <v>80</v>
      </c>
      <c r="D1142">
        <v>1992</v>
      </c>
      <c r="E1142" t="s">
        <v>15</v>
      </c>
      <c r="F1142" t="s">
        <v>16</v>
      </c>
      <c r="G1142" t="s">
        <v>17</v>
      </c>
      <c r="H1142" t="s">
        <v>18</v>
      </c>
      <c r="I1142">
        <v>72.527000000000001</v>
      </c>
      <c r="J1142" t="s">
        <v>19</v>
      </c>
      <c r="K1142" t="s">
        <v>1586</v>
      </c>
      <c r="L1142" t="s">
        <v>21</v>
      </c>
    </row>
    <row r="1143" spans="1:12">
      <c r="A1143" t="s">
        <v>1587</v>
      </c>
      <c r="B1143" t="s">
        <v>1553</v>
      </c>
      <c r="C1143" t="s">
        <v>80</v>
      </c>
      <c r="D1143">
        <v>1992</v>
      </c>
      <c r="E1143" t="s">
        <v>23</v>
      </c>
      <c r="F1143" t="s">
        <v>24</v>
      </c>
      <c r="G1143" t="s">
        <v>25</v>
      </c>
      <c r="H1143" t="s">
        <v>26</v>
      </c>
      <c r="I1143">
        <v>4494013</v>
      </c>
      <c r="J1143" t="s">
        <v>27</v>
      </c>
      <c r="K1143" t="s">
        <v>1586</v>
      </c>
      <c r="L1143" t="s">
        <v>21</v>
      </c>
    </row>
    <row r="1144" spans="1:12">
      <c r="A1144" t="s">
        <v>1588</v>
      </c>
      <c r="B1144" t="s">
        <v>1553</v>
      </c>
      <c r="C1144" t="s">
        <v>80</v>
      </c>
      <c r="D1144">
        <v>1992</v>
      </c>
      <c r="E1144" t="s">
        <v>29</v>
      </c>
      <c r="F1144" t="s">
        <v>30</v>
      </c>
      <c r="G1144" t="s">
        <v>31</v>
      </c>
      <c r="H1144" t="s">
        <v>32</v>
      </c>
      <c r="I1144">
        <v>8447.7948730000007</v>
      </c>
      <c r="J1144" t="s">
        <v>33</v>
      </c>
      <c r="K1144" t="s">
        <v>1586</v>
      </c>
      <c r="L1144" t="s">
        <v>21</v>
      </c>
    </row>
    <row r="1145" spans="1:12">
      <c r="A1145" t="s">
        <v>1589</v>
      </c>
      <c r="B1145" t="s">
        <v>1553</v>
      </c>
      <c r="C1145" t="s">
        <v>80</v>
      </c>
      <c r="D1145">
        <v>1997</v>
      </c>
      <c r="E1145" t="s">
        <v>15</v>
      </c>
      <c r="F1145" t="s">
        <v>16</v>
      </c>
      <c r="G1145" t="s">
        <v>17</v>
      </c>
      <c r="H1145" t="s">
        <v>18</v>
      </c>
      <c r="I1145">
        <v>73.680000000000007</v>
      </c>
      <c r="J1145" t="s">
        <v>19</v>
      </c>
      <c r="K1145" t="s">
        <v>1590</v>
      </c>
      <c r="L1145" t="s">
        <v>21</v>
      </c>
    </row>
    <row r="1146" spans="1:12">
      <c r="A1146" t="s">
        <v>1591</v>
      </c>
      <c r="B1146" t="s">
        <v>1553</v>
      </c>
      <c r="C1146" t="s">
        <v>80</v>
      </c>
      <c r="D1146">
        <v>1997</v>
      </c>
      <c r="E1146" t="s">
        <v>23</v>
      </c>
      <c r="F1146" t="s">
        <v>24</v>
      </c>
      <c r="G1146" t="s">
        <v>25</v>
      </c>
      <c r="H1146" t="s">
        <v>26</v>
      </c>
      <c r="I1146">
        <v>4444595</v>
      </c>
      <c r="J1146" t="s">
        <v>27</v>
      </c>
      <c r="K1146" t="s">
        <v>1590</v>
      </c>
      <c r="L1146" t="s">
        <v>21</v>
      </c>
    </row>
    <row r="1147" spans="1:12">
      <c r="A1147" t="s">
        <v>1592</v>
      </c>
      <c r="B1147" t="s">
        <v>1553</v>
      </c>
      <c r="C1147" t="s">
        <v>80</v>
      </c>
      <c r="D1147">
        <v>1997</v>
      </c>
      <c r="E1147" t="s">
        <v>29</v>
      </c>
      <c r="F1147" t="s">
        <v>30</v>
      </c>
      <c r="G1147" t="s">
        <v>31</v>
      </c>
      <c r="H1147" t="s">
        <v>32</v>
      </c>
      <c r="I1147">
        <v>9875.6045150000009</v>
      </c>
      <c r="J1147" t="s">
        <v>33</v>
      </c>
      <c r="K1147" t="s">
        <v>1590</v>
      </c>
      <c r="L1147" t="s">
        <v>21</v>
      </c>
    </row>
    <row r="1148" spans="1:12">
      <c r="A1148" t="s">
        <v>1593</v>
      </c>
      <c r="B1148" t="s">
        <v>1553</v>
      </c>
      <c r="C1148" t="s">
        <v>80</v>
      </c>
      <c r="D1148">
        <v>2002</v>
      </c>
      <c r="E1148" t="s">
        <v>15</v>
      </c>
      <c r="F1148" t="s">
        <v>16</v>
      </c>
      <c r="G1148" t="s">
        <v>17</v>
      </c>
      <c r="H1148" t="s">
        <v>18</v>
      </c>
      <c r="I1148">
        <v>74.876000000000005</v>
      </c>
      <c r="J1148" t="s">
        <v>19</v>
      </c>
      <c r="K1148" t="s">
        <v>1594</v>
      </c>
      <c r="L1148" t="s">
        <v>21</v>
      </c>
    </row>
    <row r="1149" spans="1:12">
      <c r="A1149" t="s">
        <v>1595</v>
      </c>
      <c r="B1149" t="s">
        <v>1553</v>
      </c>
      <c r="C1149" t="s">
        <v>80</v>
      </c>
      <c r="D1149">
        <v>2002</v>
      </c>
      <c r="E1149" t="s">
        <v>23</v>
      </c>
      <c r="F1149" t="s">
        <v>24</v>
      </c>
      <c r="G1149" t="s">
        <v>25</v>
      </c>
      <c r="H1149" t="s">
        <v>26</v>
      </c>
      <c r="I1149">
        <v>4481020</v>
      </c>
      <c r="J1149" t="s">
        <v>27</v>
      </c>
      <c r="K1149" t="s">
        <v>1594</v>
      </c>
      <c r="L1149" t="s">
        <v>21</v>
      </c>
    </row>
    <row r="1150" spans="1:12">
      <c r="A1150" t="s">
        <v>1596</v>
      </c>
      <c r="B1150" t="s">
        <v>1553</v>
      </c>
      <c r="C1150" t="s">
        <v>80</v>
      </c>
      <c r="D1150">
        <v>2002</v>
      </c>
      <c r="E1150" t="s">
        <v>29</v>
      </c>
      <c r="F1150" t="s">
        <v>30</v>
      </c>
      <c r="G1150" t="s">
        <v>31</v>
      </c>
      <c r="H1150" t="s">
        <v>32</v>
      </c>
      <c r="I1150">
        <v>11628.38895</v>
      </c>
      <c r="J1150" t="s">
        <v>33</v>
      </c>
      <c r="K1150" t="s">
        <v>1594</v>
      </c>
      <c r="L1150" t="s">
        <v>21</v>
      </c>
    </row>
    <row r="1151" spans="1:12">
      <c r="A1151" t="s">
        <v>1597</v>
      </c>
      <c r="B1151" t="s">
        <v>1553</v>
      </c>
      <c r="C1151" t="s">
        <v>80</v>
      </c>
      <c r="D1151">
        <v>2007</v>
      </c>
      <c r="E1151" t="s">
        <v>15</v>
      </c>
      <c r="F1151" t="s">
        <v>16</v>
      </c>
      <c r="G1151" t="s">
        <v>17</v>
      </c>
      <c r="H1151" t="s">
        <v>18</v>
      </c>
      <c r="I1151">
        <v>75.748000000000005</v>
      </c>
      <c r="J1151" t="s">
        <v>19</v>
      </c>
      <c r="K1151" t="s">
        <v>1598</v>
      </c>
      <c r="L1151" t="s">
        <v>21</v>
      </c>
    </row>
    <row r="1152" spans="1:12">
      <c r="A1152" t="s">
        <v>1599</v>
      </c>
      <c r="B1152" t="s">
        <v>1553</v>
      </c>
      <c r="C1152" t="s">
        <v>80</v>
      </c>
      <c r="D1152">
        <v>2007</v>
      </c>
      <c r="E1152" t="s">
        <v>23</v>
      </c>
      <c r="F1152" t="s">
        <v>24</v>
      </c>
      <c r="G1152" t="s">
        <v>25</v>
      </c>
      <c r="H1152" t="s">
        <v>26</v>
      </c>
      <c r="I1152">
        <v>4493312</v>
      </c>
      <c r="J1152" t="s">
        <v>27</v>
      </c>
      <c r="K1152" t="s">
        <v>1598</v>
      </c>
      <c r="L1152" t="s">
        <v>21</v>
      </c>
    </row>
    <row r="1153" spans="1:12">
      <c r="A1153" t="s">
        <v>1600</v>
      </c>
      <c r="B1153" t="s">
        <v>1553</v>
      </c>
      <c r="C1153" t="s">
        <v>80</v>
      </c>
      <c r="D1153">
        <v>2007</v>
      </c>
      <c r="E1153" t="s">
        <v>29</v>
      </c>
      <c r="F1153" t="s">
        <v>30</v>
      </c>
      <c r="G1153" t="s">
        <v>31</v>
      </c>
      <c r="H1153" t="s">
        <v>32</v>
      </c>
      <c r="I1153">
        <v>14619.2227199999</v>
      </c>
      <c r="J1153" t="s">
        <v>33</v>
      </c>
      <c r="K1153" t="s">
        <v>1598</v>
      </c>
      <c r="L1153" t="s">
        <v>21</v>
      </c>
    </row>
    <row r="1154" spans="1:12">
      <c r="A1154" t="s">
        <v>1601</v>
      </c>
      <c r="B1154" t="s">
        <v>1602</v>
      </c>
      <c r="C1154" t="s">
        <v>229</v>
      </c>
      <c r="D1154">
        <v>1952</v>
      </c>
      <c r="E1154" t="s">
        <v>15</v>
      </c>
      <c r="F1154" t="s">
        <v>16</v>
      </c>
      <c r="G1154" t="s">
        <v>17</v>
      </c>
      <c r="H1154" t="s">
        <v>18</v>
      </c>
      <c r="I1154">
        <v>59.420999999999999</v>
      </c>
      <c r="J1154" t="s">
        <v>19</v>
      </c>
      <c r="K1154" t="s">
        <v>1603</v>
      </c>
      <c r="L1154" t="s">
        <v>21</v>
      </c>
    </row>
    <row r="1155" spans="1:12">
      <c r="A1155" t="s">
        <v>1604</v>
      </c>
      <c r="B1155" t="s">
        <v>1602</v>
      </c>
      <c r="C1155" t="s">
        <v>229</v>
      </c>
      <c r="D1155">
        <v>1952</v>
      </c>
      <c r="E1155" t="s">
        <v>23</v>
      </c>
      <c r="F1155" t="s">
        <v>24</v>
      </c>
      <c r="G1155" t="s">
        <v>25</v>
      </c>
      <c r="H1155" t="s">
        <v>26</v>
      </c>
      <c r="I1155">
        <v>6007797</v>
      </c>
      <c r="J1155" t="s">
        <v>27</v>
      </c>
      <c r="K1155" t="s">
        <v>1603</v>
      </c>
      <c r="L1155" t="s">
        <v>21</v>
      </c>
    </row>
    <row r="1156" spans="1:12">
      <c r="A1156" t="s">
        <v>1605</v>
      </c>
      <c r="B1156" t="s">
        <v>1602</v>
      </c>
      <c r="C1156" t="s">
        <v>229</v>
      </c>
      <c r="D1156">
        <v>1952</v>
      </c>
      <c r="E1156" t="s">
        <v>29</v>
      </c>
      <c r="F1156" t="s">
        <v>30</v>
      </c>
      <c r="G1156" t="s">
        <v>31</v>
      </c>
      <c r="H1156" t="s">
        <v>32</v>
      </c>
      <c r="I1156">
        <v>5586.5387799999999</v>
      </c>
      <c r="J1156" t="s">
        <v>33</v>
      </c>
      <c r="K1156" t="s">
        <v>1603</v>
      </c>
      <c r="L1156" t="s">
        <v>21</v>
      </c>
    </row>
    <row r="1157" spans="1:12">
      <c r="A1157" t="s">
        <v>1606</v>
      </c>
      <c r="B1157" t="s">
        <v>1602</v>
      </c>
      <c r="C1157" t="s">
        <v>229</v>
      </c>
      <c r="D1157">
        <v>1957</v>
      </c>
      <c r="E1157" t="s">
        <v>15</v>
      </c>
      <c r="F1157" t="s">
        <v>16</v>
      </c>
      <c r="G1157" t="s">
        <v>17</v>
      </c>
      <c r="H1157" t="s">
        <v>18</v>
      </c>
      <c r="I1157">
        <v>62.325000000000003</v>
      </c>
      <c r="J1157" t="s">
        <v>19</v>
      </c>
      <c r="K1157" t="s">
        <v>1607</v>
      </c>
      <c r="L1157" t="s">
        <v>21</v>
      </c>
    </row>
    <row r="1158" spans="1:12">
      <c r="A1158" t="s">
        <v>1608</v>
      </c>
      <c r="B1158" t="s">
        <v>1602</v>
      </c>
      <c r="C1158" t="s">
        <v>229</v>
      </c>
      <c r="D1158">
        <v>1957</v>
      </c>
      <c r="E1158" t="s">
        <v>23</v>
      </c>
      <c r="F1158" t="s">
        <v>24</v>
      </c>
      <c r="G1158" t="s">
        <v>25</v>
      </c>
      <c r="H1158" t="s">
        <v>26</v>
      </c>
      <c r="I1158">
        <v>6640752</v>
      </c>
      <c r="J1158" t="s">
        <v>27</v>
      </c>
      <c r="K1158" t="s">
        <v>1607</v>
      </c>
      <c r="L1158" t="s">
        <v>21</v>
      </c>
    </row>
    <row r="1159" spans="1:12">
      <c r="A1159" t="s">
        <v>1609</v>
      </c>
      <c r="B1159" t="s">
        <v>1602</v>
      </c>
      <c r="C1159" t="s">
        <v>229</v>
      </c>
      <c r="D1159">
        <v>1957</v>
      </c>
      <c r="E1159" t="s">
        <v>29</v>
      </c>
      <c r="F1159" t="s">
        <v>30</v>
      </c>
      <c r="G1159" t="s">
        <v>31</v>
      </c>
      <c r="H1159" t="s">
        <v>32</v>
      </c>
      <c r="I1159">
        <v>6092.1743589999996</v>
      </c>
      <c r="J1159" t="s">
        <v>33</v>
      </c>
      <c r="K1159" t="s">
        <v>1607</v>
      </c>
      <c r="L1159" t="s">
        <v>21</v>
      </c>
    </row>
    <row r="1160" spans="1:12">
      <c r="A1160" t="s">
        <v>1610</v>
      </c>
      <c r="B1160" t="s">
        <v>1602</v>
      </c>
      <c r="C1160" t="s">
        <v>229</v>
      </c>
      <c r="D1160">
        <v>1962</v>
      </c>
      <c r="E1160" t="s">
        <v>15</v>
      </c>
      <c r="F1160" t="s">
        <v>16</v>
      </c>
      <c r="G1160" t="s">
        <v>17</v>
      </c>
      <c r="H1160" t="s">
        <v>18</v>
      </c>
      <c r="I1160">
        <v>65.245999999999995</v>
      </c>
      <c r="J1160" t="s">
        <v>19</v>
      </c>
      <c r="K1160" t="s">
        <v>1611</v>
      </c>
      <c r="L1160" t="s">
        <v>21</v>
      </c>
    </row>
    <row r="1161" spans="1:12">
      <c r="A1161" t="s">
        <v>1612</v>
      </c>
      <c r="B1161" t="s">
        <v>1602</v>
      </c>
      <c r="C1161" t="s">
        <v>229</v>
      </c>
      <c r="D1161">
        <v>1962</v>
      </c>
      <c r="E1161" t="s">
        <v>23</v>
      </c>
      <c r="F1161" t="s">
        <v>24</v>
      </c>
      <c r="G1161" t="s">
        <v>25</v>
      </c>
      <c r="H1161" t="s">
        <v>26</v>
      </c>
      <c r="I1161">
        <v>7254373</v>
      </c>
      <c r="J1161" t="s">
        <v>27</v>
      </c>
      <c r="K1161" t="s">
        <v>1611</v>
      </c>
      <c r="L1161" t="s">
        <v>21</v>
      </c>
    </row>
    <row r="1162" spans="1:12">
      <c r="A1162" t="s">
        <v>1613</v>
      </c>
      <c r="B1162" t="s">
        <v>1602</v>
      </c>
      <c r="C1162" t="s">
        <v>229</v>
      </c>
      <c r="D1162">
        <v>1962</v>
      </c>
      <c r="E1162" t="s">
        <v>29</v>
      </c>
      <c r="F1162" t="s">
        <v>30</v>
      </c>
      <c r="G1162" t="s">
        <v>31</v>
      </c>
      <c r="H1162" t="s">
        <v>32</v>
      </c>
      <c r="I1162">
        <v>5180.7559099999999</v>
      </c>
      <c r="J1162" t="s">
        <v>33</v>
      </c>
      <c r="K1162" t="s">
        <v>1611</v>
      </c>
      <c r="L1162" t="s">
        <v>21</v>
      </c>
    </row>
    <row r="1163" spans="1:12">
      <c r="A1163" t="s">
        <v>1614</v>
      </c>
      <c r="B1163" t="s">
        <v>1602</v>
      </c>
      <c r="C1163" t="s">
        <v>229</v>
      </c>
      <c r="D1163">
        <v>1967</v>
      </c>
      <c r="E1163" t="s">
        <v>15</v>
      </c>
      <c r="F1163" t="s">
        <v>16</v>
      </c>
      <c r="G1163" t="s">
        <v>17</v>
      </c>
      <c r="H1163" t="s">
        <v>18</v>
      </c>
      <c r="I1163">
        <v>68.290000000000006</v>
      </c>
      <c r="J1163" t="s">
        <v>19</v>
      </c>
      <c r="K1163" t="s">
        <v>1615</v>
      </c>
      <c r="L1163" t="s">
        <v>21</v>
      </c>
    </row>
    <row r="1164" spans="1:12">
      <c r="A1164" t="s">
        <v>1616</v>
      </c>
      <c r="B1164" t="s">
        <v>1602</v>
      </c>
      <c r="C1164" t="s">
        <v>229</v>
      </c>
      <c r="D1164">
        <v>1967</v>
      </c>
      <c r="E1164" t="s">
        <v>23</v>
      </c>
      <c r="F1164" t="s">
        <v>24</v>
      </c>
      <c r="G1164" t="s">
        <v>25</v>
      </c>
      <c r="H1164" t="s">
        <v>26</v>
      </c>
      <c r="I1164">
        <v>8139332</v>
      </c>
      <c r="J1164" t="s">
        <v>27</v>
      </c>
      <c r="K1164" t="s">
        <v>1615</v>
      </c>
      <c r="L1164" t="s">
        <v>21</v>
      </c>
    </row>
    <row r="1165" spans="1:12">
      <c r="A1165" t="s">
        <v>1617</v>
      </c>
      <c r="B1165" t="s">
        <v>1602</v>
      </c>
      <c r="C1165" t="s">
        <v>229</v>
      </c>
      <c r="D1165">
        <v>1967</v>
      </c>
      <c r="E1165" t="s">
        <v>29</v>
      </c>
      <c r="F1165" t="s">
        <v>30</v>
      </c>
      <c r="G1165" t="s">
        <v>31</v>
      </c>
      <c r="H1165" t="s">
        <v>32</v>
      </c>
      <c r="I1165">
        <v>5690.2680149999997</v>
      </c>
      <c r="J1165" t="s">
        <v>33</v>
      </c>
      <c r="K1165" t="s">
        <v>1615</v>
      </c>
      <c r="L1165" t="s">
        <v>21</v>
      </c>
    </row>
    <row r="1166" spans="1:12">
      <c r="A1166" t="s">
        <v>1618</v>
      </c>
      <c r="B1166" t="s">
        <v>1602</v>
      </c>
      <c r="C1166" t="s">
        <v>229</v>
      </c>
      <c r="D1166">
        <v>1972</v>
      </c>
      <c r="E1166" t="s">
        <v>15</v>
      </c>
      <c r="F1166" t="s">
        <v>16</v>
      </c>
      <c r="G1166" t="s">
        <v>17</v>
      </c>
      <c r="H1166" t="s">
        <v>18</v>
      </c>
      <c r="I1166">
        <v>70.722999999999999</v>
      </c>
      <c r="J1166" t="s">
        <v>19</v>
      </c>
      <c r="K1166" t="s">
        <v>1619</v>
      </c>
      <c r="L1166" t="s">
        <v>21</v>
      </c>
    </row>
    <row r="1167" spans="1:12">
      <c r="A1167" t="s">
        <v>1620</v>
      </c>
      <c r="B1167" t="s">
        <v>1602</v>
      </c>
      <c r="C1167" t="s">
        <v>229</v>
      </c>
      <c r="D1167">
        <v>1972</v>
      </c>
      <c r="E1167" t="s">
        <v>23</v>
      </c>
      <c r="F1167" t="s">
        <v>24</v>
      </c>
      <c r="G1167" t="s">
        <v>25</v>
      </c>
      <c r="H1167" t="s">
        <v>26</v>
      </c>
      <c r="I1167">
        <v>8831348</v>
      </c>
      <c r="J1167" t="s">
        <v>27</v>
      </c>
      <c r="K1167" t="s">
        <v>1619</v>
      </c>
      <c r="L1167" t="s">
        <v>21</v>
      </c>
    </row>
    <row r="1168" spans="1:12">
      <c r="A1168" t="s">
        <v>1621</v>
      </c>
      <c r="B1168" t="s">
        <v>1602</v>
      </c>
      <c r="C1168" t="s">
        <v>229</v>
      </c>
      <c r="D1168">
        <v>1972</v>
      </c>
      <c r="E1168" t="s">
        <v>29</v>
      </c>
      <c r="F1168" t="s">
        <v>30</v>
      </c>
      <c r="G1168" t="s">
        <v>31</v>
      </c>
      <c r="H1168" t="s">
        <v>32</v>
      </c>
      <c r="I1168">
        <v>5305.445256</v>
      </c>
      <c r="J1168" t="s">
        <v>33</v>
      </c>
      <c r="K1168" t="s">
        <v>1619</v>
      </c>
      <c r="L1168" t="s">
        <v>21</v>
      </c>
    </row>
    <row r="1169" spans="1:12">
      <c r="A1169" t="s">
        <v>1622</v>
      </c>
      <c r="B1169" t="s">
        <v>1602</v>
      </c>
      <c r="C1169" t="s">
        <v>229</v>
      </c>
      <c r="D1169">
        <v>1977</v>
      </c>
      <c r="E1169" t="s">
        <v>15</v>
      </c>
      <c r="F1169" t="s">
        <v>16</v>
      </c>
      <c r="G1169" t="s">
        <v>17</v>
      </c>
      <c r="H1169" t="s">
        <v>18</v>
      </c>
      <c r="I1169">
        <v>72.649000000000001</v>
      </c>
      <c r="J1169" t="s">
        <v>19</v>
      </c>
      <c r="K1169" t="s">
        <v>1623</v>
      </c>
      <c r="L1169" t="s">
        <v>21</v>
      </c>
    </row>
    <row r="1170" spans="1:12">
      <c r="A1170" t="s">
        <v>1624</v>
      </c>
      <c r="B1170" t="s">
        <v>1602</v>
      </c>
      <c r="C1170" t="s">
        <v>229</v>
      </c>
      <c r="D1170">
        <v>1977</v>
      </c>
      <c r="E1170" t="s">
        <v>23</v>
      </c>
      <c r="F1170" t="s">
        <v>24</v>
      </c>
      <c r="G1170" t="s">
        <v>25</v>
      </c>
      <c r="H1170" t="s">
        <v>26</v>
      </c>
      <c r="I1170">
        <v>9537988</v>
      </c>
      <c r="J1170" t="s">
        <v>27</v>
      </c>
      <c r="K1170" t="s">
        <v>1623</v>
      </c>
      <c r="L1170" t="s">
        <v>21</v>
      </c>
    </row>
    <row r="1171" spans="1:12">
      <c r="A1171" t="s">
        <v>1625</v>
      </c>
      <c r="B1171" t="s">
        <v>1602</v>
      </c>
      <c r="C1171" t="s">
        <v>229</v>
      </c>
      <c r="D1171">
        <v>1977</v>
      </c>
      <c r="E1171" t="s">
        <v>29</v>
      </c>
      <c r="F1171" t="s">
        <v>30</v>
      </c>
      <c r="G1171" t="s">
        <v>31</v>
      </c>
      <c r="H1171" t="s">
        <v>32</v>
      </c>
      <c r="I1171">
        <v>6380.4949659999902</v>
      </c>
      <c r="J1171" t="s">
        <v>33</v>
      </c>
      <c r="K1171" t="s">
        <v>1623</v>
      </c>
      <c r="L1171" t="s">
        <v>21</v>
      </c>
    </row>
    <row r="1172" spans="1:12">
      <c r="A1172" t="s">
        <v>1626</v>
      </c>
      <c r="B1172" t="s">
        <v>1602</v>
      </c>
      <c r="C1172" t="s">
        <v>229</v>
      </c>
      <c r="D1172">
        <v>1982</v>
      </c>
      <c r="E1172" t="s">
        <v>15</v>
      </c>
      <c r="F1172" t="s">
        <v>16</v>
      </c>
      <c r="G1172" t="s">
        <v>17</v>
      </c>
      <c r="H1172" t="s">
        <v>18</v>
      </c>
      <c r="I1172">
        <v>73.716999999999999</v>
      </c>
      <c r="J1172" t="s">
        <v>19</v>
      </c>
      <c r="K1172" t="s">
        <v>1627</v>
      </c>
      <c r="L1172" t="s">
        <v>21</v>
      </c>
    </row>
    <row r="1173" spans="1:12">
      <c r="A1173" t="s">
        <v>1628</v>
      </c>
      <c r="B1173" t="s">
        <v>1602</v>
      </c>
      <c r="C1173" t="s">
        <v>229</v>
      </c>
      <c r="D1173">
        <v>1982</v>
      </c>
      <c r="E1173" t="s">
        <v>23</v>
      </c>
      <c r="F1173" t="s">
        <v>24</v>
      </c>
      <c r="G1173" t="s">
        <v>25</v>
      </c>
      <c r="H1173" t="s">
        <v>26</v>
      </c>
      <c r="I1173">
        <v>9789224</v>
      </c>
      <c r="J1173" t="s">
        <v>27</v>
      </c>
      <c r="K1173" t="s">
        <v>1627</v>
      </c>
      <c r="L1173" t="s">
        <v>21</v>
      </c>
    </row>
    <row r="1174" spans="1:12">
      <c r="A1174" t="s">
        <v>1629</v>
      </c>
      <c r="B1174" t="s">
        <v>1602</v>
      </c>
      <c r="C1174" t="s">
        <v>229</v>
      </c>
      <c r="D1174">
        <v>1982</v>
      </c>
      <c r="E1174" t="s">
        <v>29</v>
      </c>
      <c r="F1174" t="s">
        <v>30</v>
      </c>
      <c r="G1174" t="s">
        <v>31</v>
      </c>
      <c r="H1174" t="s">
        <v>32</v>
      </c>
      <c r="I1174">
        <v>7316.9181069999904</v>
      </c>
      <c r="J1174" t="s">
        <v>33</v>
      </c>
      <c r="K1174" t="s">
        <v>1627</v>
      </c>
      <c r="L1174" t="s">
        <v>21</v>
      </c>
    </row>
    <row r="1175" spans="1:12">
      <c r="A1175" t="s">
        <v>1630</v>
      </c>
      <c r="B1175" t="s">
        <v>1602</v>
      </c>
      <c r="C1175" t="s">
        <v>229</v>
      </c>
      <c r="D1175">
        <v>1987</v>
      </c>
      <c r="E1175" t="s">
        <v>15</v>
      </c>
      <c r="F1175" t="s">
        <v>16</v>
      </c>
      <c r="G1175" t="s">
        <v>17</v>
      </c>
      <c r="H1175" t="s">
        <v>18</v>
      </c>
      <c r="I1175">
        <v>74.173999999999893</v>
      </c>
      <c r="J1175" t="s">
        <v>19</v>
      </c>
      <c r="K1175" t="s">
        <v>1631</v>
      </c>
      <c r="L1175" t="s">
        <v>21</v>
      </c>
    </row>
    <row r="1176" spans="1:12">
      <c r="A1176" t="s">
        <v>1632</v>
      </c>
      <c r="B1176" t="s">
        <v>1602</v>
      </c>
      <c r="C1176" t="s">
        <v>229</v>
      </c>
      <c r="D1176">
        <v>1987</v>
      </c>
      <c r="E1176" t="s">
        <v>23</v>
      </c>
      <c r="F1176" t="s">
        <v>24</v>
      </c>
      <c r="G1176" t="s">
        <v>25</v>
      </c>
      <c r="H1176" t="s">
        <v>26</v>
      </c>
      <c r="I1176">
        <v>10239839</v>
      </c>
      <c r="J1176" t="s">
        <v>27</v>
      </c>
      <c r="K1176" t="s">
        <v>1631</v>
      </c>
      <c r="L1176" t="s">
        <v>21</v>
      </c>
    </row>
    <row r="1177" spans="1:12">
      <c r="A1177" t="s">
        <v>1633</v>
      </c>
      <c r="B1177" t="s">
        <v>1602</v>
      </c>
      <c r="C1177" t="s">
        <v>229</v>
      </c>
      <c r="D1177">
        <v>1987</v>
      </c>
      <c r="E1177" t="s">
        <v>29</v>
      </c>
      <c r="F1177" t="s">
        <v>30</v>
      </c>
      <c r="G1177" t="s">
        <v>31</v>
      </c>
      <c r="H1177" t="s">
        <v>32</v>
      </c>
      <c r="I1177">
        <v>7532.92476299999</v>
      </c>
      <c r="J1177" t="s">
        <v>33</v>
      </c>
      <c r="K1177" t="s">
        <v>1631</v>
      </c>
      <c r="L1177" t="s">
        <v>21</v>
      </c>
    </row>
    <row r="1178" spans="1:12">
      <c r="A1178" t="s">
        <v>1634</v>
      </c>
      <c r="B1178" t="s">
        <v>1602</v>
      </c>
      <c r="C1178" t="s">
        <v>229</v>
      </c>
      <c r="D1178">
        <v>1992</v>
      </c>
      <c r="E1178" t="s">
        <v>15</v>
      </c>
      <c r="F1178" t="s">
        <v>16</v>
      </c>
      <c r="G1178" t="s">
        <v>17</v>
      </c>
      <c r="H1178" t="s">
        <v>18</v>
      </c>
      <c r="I1178">
        <v>74.414000000000001</v>
      </c>
      <c r="J1178" t="s">
        <v>19</v>
      </c>
      <c r="K1178" t="s">
        <v>1635</v>
      </c>
      <c r="L1178" t="s">
        <v>21</v>
      </c>
    </row>
    <row r="1179" spans="1:12">
      <c r="A1179" t="s">
        <v>1636</v>
      </c>
      <c r="B1179" t="s">
        <v>1602</v>
      </c>
      <c r="C1179" t="s">
        <v>229</v>
      </c>
      <c r="D1179">
        <v>1992</v>
      </c>
      <c r="E1179" t="s">
        <v>23</v>
      </c>
      <c r="F1179" t="s">
        <v>24</v>
      </c>
      <c r="G1179" t="s">
        <v>25</v>
      </c>
      <c r="H1179" t="s">
        <v>26</v>
      </c>
      <c r="I1179">
        <v>10723260</v>
      </c>
      <c r="J1179" t="s">
        <v>27</v>
      </c>
      <c r="K1179" t="s">
        <v>1635</v>
      </c>
      <c r="L1179" t="s">
        <v>21</v>
      </c>
    </row>
    <row r="1180" spans="1:12">
      <c r="A1180" t="s">
        <v>1637</v>
      </c>
      <c r="B1180" t="s">
        <v>1602</v>
      </c>
      <c r="C1180" t="s">
        <v>229</v>
      </c>
      <c r="D1180">
        <v>1992</v>
      </c>
      <c r="E1180" t="s">
        <v>29</v>
      </c>
      <c r="F1180" t="s">
        <v>30</v>
      </c>
      <c r="G1180" t="s">
        <v>31</v>
      </c>
      <c r="H1180" t="s">
        <v>32</v>
      </c>
      <c r="I1180">
        <v>5592.8439630000003</v>
      </c>
      <c r="J1180" t="s">
        <v>33</v>
      </c>
      <c r="K1180" t="s">
        <v>1635</v>
      </c>
      <c r="L1180" t="s">
        <v>21</v>
      </c>
    </row>
    <row r="1181" spans="1:12">
      <c r="A1181" t="s">
        <v>1638</v>
      </c>
      <c r="B1181" t="s">
        <v>1602</v>
      </c>
      <c r="C1181" t="s">
        <v>229</v>
      </c>
      <c r="D1181">
        <v>1997</v>
      </c>
      <c r="E1181" t="s">
        <v>15</v>
      </c>
      <c r="F1181" t="s">
        <v>16</v>
      </c>
      <c r="G1181" t="s">
        <v>17</v>
      </c>
      <c r="H1181" t="s">
        <v>18</v>
      </c>
      <c r="I1181">
        <v>76.150999999999996</v>
      </c>
      <c r="J1181" t="s">
        <v>19</v>
      </c>
      <c r="K1181" t="s">
        <v>1639</v>
      </c>
      <c r="L1181" t="s">
        <v>21</v>
      </c>
    </row>
    <row r="1182" spans="1:12">
      <c r="A1182" t="s">
        <v>1640</v>
      </c>
      <c r="B1182" t="s">
        <v>1602</v>
      </c>
      <c r="C1182" t="s">
        <v>229</v>
      </c>
      <c r="D1182">
        <v>1997</v>
      </c>
      <c r="E1182" t="s">
        <v>23</v>
      </c>
      <c r="F1182" t="s">
        <v>24</v>
      </c>
      <c r="G1182" t="s">
        <v>25</v>
      </c>
      <c r="H1182" t="s">
        <v>26</v>
      </c>
      <c r="I1182">
        <v>10983007</v>
      </c>
      <c r="J1182" t="s">
        <v>27</v>
      </c>
      <c r="K1182" t="s">
        <v>1639</v>
      </c>
      <c r="L1182" t="s">
        <v>21</v>
      </c>
    </row>
    <row r="1183" spans="1:12">
      <c r="A1183" t="s">
        <v>1641</v>
      </c>
      <c r="B1183" t="s">
        <v>1602</v>
      </c>
      <c r="C1183" t="s">
        <v>229</v>
      </c>
      <c r="D1183">
        <v>1997</v>
      </c>
      <c r="E1183" t="s">
        <v>29</v>
      </c>
      <c r="F1183" t="s">
        <v>30</v>
      </c>
      <c r="G1183" t="s">
        <v>31</v>
      </c>
      <c r="H1183" t="s">
        <v>32</v>
      </c>
      <c r="I1183">
        <v>5431.9904150000002</v>
      </c>
      <c r="J1183" t="s">
        <v>33</v>
      </c>
      <c r="K1183" t="s">
        <v>1639</v>
      </c>
      <c r="L1183" t="s">
        <v>21</v>
      </c>
    </row>
    <row r="1184" spans="1:12">
      <c r="A1184" t="s">
        <v>1642</v>
      </c>
      <c r="B1184" t="s">
        <v>1602</v>
      </c>
      <c r="C1184" t="s">
        <v>229</v>
      </c>
      <c r="D1184">
        <v>2002</v>
      </c>
      <c r="E1184" t="s">
        <v>15</v>
      </c>
      <c r="F1184" t="s">
        <v>16</v>
      </c>
      <c r="G1184" t="s">
        <v>17</v>
      </c>
      <c r="H1184" t="s">
        <v>18</v>
      </c>
      <c r="I1184">
        <v>77.158000000000001</v>
      </c>
      <c r="J1184" t="s">
        <v>19</v>
      </c>
      <c r="K1184" t="s">
        <v>1643</v>
      </c>
      <c r="L1184" t="s">
        <v>21</v>
      </c>
    </row>
    <row r="1185" spans="1:12">
      <c r="A1185" t="s">
        <v>1644</v>
      </c>
      <c r="B1185" t="s">
        <v>1602</v>
      </c>
      <c r="C1185" t="s">
        <v>229</v>
      </c>
      <c r="D1185">
        <v>2002</v>
      </c>
      <c r="E1185" t="s">
        <v>23</v>
      </c>
      <c r="F1185" t="s">
        <v>24</v>
      </c>
      <c r="G1185" t="s">
        <v>25</v>
      </c>
      <c r="H1185" t="s">
        <v>26</v>
      </c>
      <c r="I1185">
        <v>11226999</v>
      </c>
      <c r="J1185" t="s">
        <v>27</v>
      </c>
      <c r="K1185" t="s">
        <v>1643</v>
      </c>
      <c r="L1185" t="s">
        <v>21</v>
      </c>
    </row>
    <row r="1186" spans="1:12">
      <c r="A1186" t="s">
        <v>1645</v>
      </c>
      <c r="B1186" t="s">
        <v>1602</v>
      </c>
      <c r="C1186" t="s">
        <v>229</v>
      </c>
      <c r="D1186">
        <v>2002</v>
      </c>
      <c r="E1186" t="s">
        <v>29</v>
      </c>
      <c r="F1186" t="s">
        <v>30</v>
      </c>
      <c r="G1186" t="s">
        <v>31</v>
      </c>
      <c r="H1186" t="s">
        <v>32</v>
      </c>
      <c r="I1186">
        <v>6340.6466829999999</v>
      </c>
      <c r="J1186" t="s">
        <v>33</v>
      </c>
      <c r="K1186" t="s">
        <v>1643</v>
      </c>
      <c r="L1186" t="s">
        <v>21</v>
      </c>
    </row>
    <row r="1187" spans="1:12">
      <c r="A1187" t="s">
        <v>1646</v>
      </c>
      <c r="B1187" t="s">
        <v>1602</v>
      </c>
      <c r="C1187" t="s">
        <v>229</v>
      </c>
      <c r="D1187">
        <v>2007</v>
      </c>
      <c r="E1187" t="s">
        <v>15</v>
      </c>
      <c r="F1187" t="s">
        <v>16</v>
      </c>
      <c r="G1187" t="s">
        <v>17</v>
      </c>
      <c r="H1187" t="s">
        <v>18</v>
      </c>
      <c r="I1187">
        <v>78.272999999999996</v>
      </c>
      <c r="J1187" t="s">
        <v>19</v>
      </c>
      <c r="K1187" t="s">
        <v>1647</v>
      </c>
      <c r="L1187" t="s">
        <v>21</v>
      </c>
    </row>
    <row r="1188" spans="1:12">
      <c r="A1188" t="s">
        <v>1648</v>
      </c>
      <c r="B1188" t="s">
        <v>1602</v>
      </c>
      <c r="C1188" t="s">
        <v>229</v>
      </c>
      <c r="D1188">
        <v>2007</v>
      </c>
      <c r="E1188" t="s">
        <v>23</v>
      </c>
      <c r="F1188" t="s">
        <v>24</v>
      </c>
      <c r="G1188" t="s">
        <v>25</v>
      </c>
      <c r="H1188" t="s">
        <v>26</v>
      </c>
      <c r="I1188">
        <v>11416987</v>
      </c>
      <c r="J1188" t="s">
        <v>27</v>
      </c>
      <c r="K1188" t="s">
        <v>1647</v>
      </c>
      <c r="L1188" t="s">
        <v>21</v>
      </c>
    </row>
    <row r="1189" spans="1:12">
      <c r="A1189" t="s">
        <v>1649</v>
      </c>
      <c r="B1189" t="s">
        <v>1602</v>
      </c>
      <c r="C1189" t="s">
        <v>229</v>
      </c>
      <c r="D1189">
        <v>2007</v>
      </c>
      <c r="E1189" t="s">
        <v>29</v>
      </c>
      <c r="F1189" t="s">
        <v>30</v>
      </c>
      <c r="G1189" t="s">
        <v>31</v>
      </c>
      <c r="H1189" t="s">
        <v>32</v>
      </c>
      <c r="I1189">
        <v>8948.1029230000004</v>
      </c>
      <c r="J1189" t="s">
        <v>33</v>
      </c>
      <c r="K1189" t="s">
        <v>1647</v>
      </c>
      <c r="L1189" t="s">
        <v>21</v>
      </c>
    </row>
    <row r="1190" spans="1:12">
      <c r="A1190" t="s">
        <v>1650</v>
      </c>
      <c r="B1190" t="s">
        <v>1651</v>
      </c>
      <c r="C1190" t="s">
        <v>80</v>
      </c>
      <c r="D1190">
        <v>1952</v>
      </c>
      <c r="E1190" t="s">
        <v>15</v>
      </c>
      <c r="F1190" t="s">
        <v>16</v>
      </c>
      <c r="G1190" t="s">
        <v>17</v>
      </c>
      <c r="H1190" t="s">
        <v>18</v>
      </c>
      <c r="I1190">
        <v>66.87</v>
      </c>
      <c r="J1190" t="s">
        <v>19</v>
      </c>
      <c r="K1190" t="s">
        <v>1652</v>
      </c>
      <c r="L1190" t="s">
        <v>21</v>
      </c>
    </row>
    <row r="1191" spans="1:12">
      <c r="A1191" t="s">
        <v>1653</v>
      </c>
      <c r="B1191" t="s">
        <v>1651</v>
      </c>
      <c r="C1191" t="s">
        <v>80</v>
      </c>
      <c r="D1191">
        <v>1952</v>
      </c>
      <c r="E1191" t="s">
        <v>23</v>
      </c>
      <c r="F1191" t="s">
        <v>24</v>
      </c>
      <c r="G1191" t="s">
        <v>25</v>
      </c>
      <c r="H1191" t="s">
        <v>26</v>
      </c>
      <c r="I1191">
        <v>9125183</v>
      </c>
      <c r="J1191" t="s">
        <v>27</v>
      </c>
      <c r="K1191" t="s">
        <v>1652</v>
      </c>
      <c r="L1191" t="s">
        <v>21</v>
      </c>
    </row>
    <row r="1192" spans="1:12">
      <c r="A1192" t="s">
        <v>1654</v>
      </c>
      <c r="B1192" t="s">
        <v>1651</v>
      </c>
      <c r="C1192" t="s">
        <v>80</v>
      </c>
      <c r="D1192">
        <v>1952</v>
      </c>
      <c r="E1192" t="s">
        <v>29</v>
      </c>
      <c r="F1192" t="s">
        <v>30</v>
      </c>
      <c r="G1192" t="s">
        <v>31</v>
      </c>
      <c r="H1192" t="s">
        <v>32</v>
      </c>
      <c r="I1192">
        <v>6876.1402500000004</v>
      </c>
      <c r="J1192" t="s">
        <v>33</v>
      </c>
      <c r="K1192" t="s">
        <v>1652</v>
      </c>
      <c r="L1192" t="s">
        <v>21</v>
      </c>
    </row>
    <row r="1193" spans="1:12">
      <c r="A1193" t="s">
        <v>1655</v>
      </c>
      <c r="B1193" t="s">
        <v>1651</v>
      </c>
      <c r="C1193" t="s">
        <v>80</v>
      </c>
      <c r="D1193">
        <v>1957</v>
      </c>
      <c r="E1193" t="s">
        <v>15</v>
      </c>
      <c r="F1193" t="s">
        <v>16</v>
      </c>
      <c r="G1193" t="s">
        <v>17</v>
      </c>
      <c r="H1193" t="s">
        <v>18</v>
      </c>
      <c r="I1193">
        <v>69.03</v>
      </c>
      <c r="J1193" t="s">
        <v>19</v>
      </c>
      <c r="K1193" t="s">
        <v>1656</v>
      </c>
      <c r="L1193" t="s">
        <v>21</v>
      </c>
    </row>
    <row r="1194" spans="1:12">
      <c r="A1194" t="s">
        <v>1657</v>
      </c>
      <c r="B1194" t="s">
        <v>1651</v>
      </c>
      <c r="C1194" t="s">
        <v>80</v>
      </c>
      <c r="D1194">
        <v>1957</v>
      </c>
      <c r="E1194" t="s">
        <v>23</v>
      </c>
      <c r="F1194" t="s">
        <v>24</v>
      </c>
      <c r="G1194" t="s">
        <v>25</v>
      </c>
      <c r="H1194" t="s">
        <v>26</v>
      </c>
      <c r="I1194">
        <v>9513758</v>
      </c>
      <c r="J1194" t="s">
        <v>27</v>
      </c>
      <c r="K1194" t="s">
        <v>1656</v>
      </c>
      <c r="L1194" t="s">
        <v>21</v>
      </c>
    </row>
    <row r="1195" spans="1:12">
      <c r="A1195" t="s">
        <v>1658</v>
      </c>
      <c r="B1195" t="s">
        <v>1651</v>
      </c>
      <c r="C1195" t="s">
        <v>80</v>
      </c>
      <c r="D1195">
        <v>1957</v>
      </c>
      <c r="E1195" t="s">
        <v>29</v>
      </c>
      <c r="F1195" t="s">
        <v>30</v>
      </c>
      <c r="G1195" t="s">
        <v>31</v>
      </c>
      <c r="H1195" t="s">
        <v>32</v>
      </c>
      <c r="I1195">
        <v>8256.3439180000005</v>
      </c>
      <c r="J1195" t="s">
        <v>33</v>
      </c>
      <c r="K1195" t="s">
        <v>1656</v>
      </c>
      <c r="L1195" t="s">
        <v>21</v>
      </c>
    </row>
    <row r="1196" spans="1:12">
      <c r="A1196" t="s">
        <v>1659</v>
      </c>
      <c r="B1196" t="s">
        <v>1651</v>
      </c>
      <c r="C1196" t="s">
        <v>80</v>
      </c>
      <c r="D1196">
        <v>1962</v>
      </c>
      <c r="E1196" t="s">
        <v>15</v>
      </c>
      <c r="F1196" t="s">
        <v>16</v>
      </c>
      <c r="G1196" t="s">
        <v>17</v>
      </c>
      <c r="H1196" t="s">
        <v>18</v>
      </c>
      <c r="I1196">
        <v>69.900000000000006</v>
      </c>
      <c r="J1196" t="s">
        <v>19</v>
      </c>
      <c r="K1196" t="s">
        <v>1660</v>
      </c>
      <c r="L1196" t="s">
        <v>21</v>
      </c>
    </row>
    <row r="1197" spans="1:12">
      <c r="A1197" t="s">
        <v>1661</v>
      </c>
      <c r="B1197" t="s">
        <v>1651</v>
      </c>
      <c r="C1197" t="s">
        <v>80</v>
      </c>
      <c r="D1197">
        <v>1962</v>
      </c>
      <c r="E1197" t="s">
        <v>23</v>
      </c>
      <c r="F1197" t="s">
        <v>24</v>
      </c>
      <c r="G1197" t="s">
        <v>25</v>
      </c>
      <c r="H1197" t="s">
        <v>26</v>
      </c>
      <c r="I1197">
        <v>9620282</v>
      </c>
      <c r="J1197" t="s">
        <v>27</v>
      </c>
      <c r="K1197" t="s">
        <v>1660</v>
      </c>
      <c r="L1197" t="s">
        <v>21</v>
      </c>
    </row>
    <row r="1198" spans="1:12">
      <c r="A1198" t="s">
        <v>1662</v>
      </c>
      <c r="B1198" t="s">
        <v>1651</v>
      </c>
      <c r="C1198" t="s">
        <v>80</v>
      </c>
      <c r="D1198">
        <v>1962</v>
      </c>
      <c r="E1198" t="s">
        <v>29</v>
      </c>
      <c r="F1198" t="s">
        <v>30</v>
      </c>
      <c r="G1198" t="s">
        <v>31</v>
      </c>
      <c r="H1198" t="s">
        <v>32</v>
      </c>
      <c r="I1198">
        <v>10136.867130000001</v>
      </c>
      <c r="J1198" t="s">
        <v>33</v>
      </c>
      <c r="K1198" t="s">
        <v>1660</v>
      </c>
      <c r="L1198" t="s">
        <v>21</v>
      </c>
    </row>
    <row r="1199" spans="1:12">
      <c r="A1199" t="s">
        <v>1663</v>
      </c>
      <c r="B1199" t="s">
        <v>1651</v>
      </c>
      <c r="C1199" t="s">
        <v>80</v>
      </c>
      <c r="D1199">
        <v>1967</v>
      </c>
      <c r="E1199" t="s">
        <v>15</v>
      </c>
      <c r="F1199" t="s">
        <v>16</v>
      </c>
      <c r="G1199" t="s">
        <v>17</v>
      </c>
      <c r="H1199" t="s">
        <v>18</v>
      </c>
      <c r="I1199">
        <v>70.38</v>
      </c>
      <c r="J1199" t="s">
        <v>19</v>
      </c>
      <c r="K1199" t="s">
        <v>1664</v>
      </c>
      <c r="L1199" t="s">
        <v>21</v>
      </c>
    </row>
    <row r="1200" spans="1:12">
      <c r="A1200" t="s">
        <v>1665</v>
      </c>
      <c r="B1200" t="s">
        <v>1651</v>
      </c>
      <c r="C1200" t="s">
        <v>80</v>
      </c>
      <c r="D1200">
        <v>1967</v>
      </c>
      <c r="E1200" t="s">
        <v>23</v>
      </c>
      <c r="F1200" t="s">
        <v>24</v>
      </c>
      <c r="G1200" t="s">
        <v>25</v>
      </c>
      <c r="H1200" t="s">
        <v>26</v>
      </c>
      <c r="I1200">
        <v>9835109</v>
      </c>
      <c r="J1200" t="s">
        <v>27</v>
      </c>
      <c r="K1200" t="s">
        <v>1664</v>
      </c>
      <c r="L1200" t="s">
        <v>21</v>
      </c>
    </row>
    <row r="1201" spans="1:12">
      <c r="A1201" t="s">
        <v>1666</v>
      </c>
      <c r="B1201" t="s">
        <v>1651</v>
      </c>
      <c r="C1201" t="s">
        <v>80</v>
      </c>
      <c r="D1201">
        <v>1967</v>
      </c>
      <c r="E1201" t="s">
        <v>29</v>
      </c>
      <c r="F1201" t="s">
        <v>30</v>
      </c>
      <c r="G1201" t="s">
        <v>31</v>
      </c>
      <c r="H1201" t="s">
        <v>32</v>
      </c>
      <c r="I1201">
        <v>11399.444890000001</v>
      </c>
      <c r="J1201" t="s">
        <v>33</v>
      </c>
      <c r="K1201" t="s">
        <v>1664</v>
      </c>
      <c r="L1201" t="s">
        <v>21</v>
      </c>
    </row>
    <row r="1202" spans="1:12">
      <c r="A1202" t="s">
        <v>1667</v>
      </c>
      <c r="B1202" t="s">
        <v>1651</v>
      </c>
      <c r="C1202" t="s">
        <v>80</v>
      </c>
      <c r="D1202">
        <v>1972</v>
      </c>
      <c r="E1202" t="s">
        <v>15</v>
      </c>
      <c r="F1202" t="s">
        <v>16</v>
      </c>
      <c r="G1202" t="s">
        <v>17</v>
      </c>
      <c r="H1202" t="s">
        <v>18</v>
      </c>
      <c r="I1202">
        <v>70.290000000000006</v>
      </c>
      <c r="J1202" t="s">
        <v>19</v>
      </c>
      <c r="K1202" t="s">
        <v>1668</v>
      </c>
      <c r="L1202" t="s">
        <v>21</v>
      </c>
    </row>
    <row r="1203" spans="1:12">
      <c r="A1203" t="s">
        <v>1669</v>
      </c>
      <c r="B1203" t="s">
        <v>1651</v>
      </c>
      <c r="C1203" t="s">
        <v>80</v>
      </c>
      <c r="D1203">
        <v>1972</v>
      </c>
      <c r="E1203" t="s">
        <v>23</v>
      </c>
      <c r="F1203" t="s">
        <v>24</v>
      </c>
      <c r="G1203" t="s">
        <v>25</v>
      </c>
      <c r="H1203" t="s">
        <v>26</v>
      </c>
      <c r="I1203">
        <v>9862158</v>
      </c>
      <c r="J1203" t="s">
        <v>27</v>
      </c>
      <c r="K1203" t="s">
        <v>1668</v>
      </c>
      <c r="L1203" t="s">
        <v>21</v>
      </c>
    </row>
    <row r="1204" spans="1:12">
      <c r="A1204" t="s">
        <v>1670</v>
      </c>
      <c r="B1204" t="s">
        <v>1651</v>
      </c>
      <c r="C1204" t="s">
        <v>80</v>
      </c>
      <c r="D1204">
        <v>1972</v>
      </c>
      <c r="E1204" t="s">
        <v>29</v>
      </c>
      <c r="F1204" t="s">
        <v>30</v>
      </c>
      <c r="G1204" t="s">
        <v>31</v>
      </c>
      <c r="H1204" t="s">
        <v>32</v>
      </c>
      <c r="I1204">
        <v>13108.453600000001</v>
      </c>
      <c r="J1204" t="s">
        <v>33</v>
      </c>
      <c r="K1204" t="s">
        <v>1668</v>
      </c>
      <c r="L1204" t="s">
        <v>21</v>
      </c>
    </row>
    <row r="1205" spans="1:12">
      <c r="A1205" t="s">
        <v>1671</v>
      </c>
      <c r="B1205" t="s">
        <v>1651</v>
      </c>
      <c r="C1205" t="s">
        <v>80</v>
      </c>
      <c r="D1205">
        <v>1977</v>
      </c>
      <c r="E1205" t="s">
        <v>15</v>
      </c>
      <c r="F1205" t="s">
        <v>16</v>
      </c>
      <c r="G1205" t="s">
        <v>17</v>
      </c>
      <c r="H1205" t="s">
        <v>18</v>
      </c>
      <c r="I1205">
        <v>70.709999999999994</v>
      </c>
      <c r="J1205" t="s">
        <v>19</v>
      </c>
      <c r="K1205" t="s">
        <v>1672</v>
      </c>
      <c r="L1205" t="s">
        <v>21</v>
      </c>
    </row>
    <row r="1206" spans="1:12">
      <c r="A1206" t="s">
        <v>1673</v>
      </c>
      <c r="B1206" t="s">
        <v>1651</v>
      </c>
      <c r="C1206" t="s">
        <v>80</v>
      </c>
      <c r="D1206">
        <v>1977</v>
      </c>
      <c r="E1206" t="s">
        <v>23</v>
      </c>
      <c r="F1206" t="s">
        <v>24</v>
      </c>
      <c r="G1206" t="s">
        <v>25</v>
      </c>
      <c r="H1206" t="s">
        <v>26</v>
      </c>
      <c r="I1206">
        <v>10161915</v>
      </c>
      <c r="J1206" t="s">
        <v>27</v>
      </c>
      <c r="K1206" t="s">
        <v>1672</v>
      </c>
      <c r="L1206" t="s">
        <v>21</v>
      </c>
    </row>
    <row r="1207" spans="1:12">
      <c r="A1207" t="s">
        <v>1674</v>
      </c>
      <c r="B1207" t="s">
        <v>1651</v>
      </c>
      <c r="C1207" t="s">
        <v>80</v>
      </c>
      <c r="D1207">
        <v>1977</v>
      </c>
      <c r="E1207" t="s">
        <v>29</v>
      </c>
      <c r="F1207" t="s">
        <v>30</v>
      </c>
      <c r="G1207" t="s">
        <v>31</v>
      </c>
      <c r="H1207" t="s">
        <v>32</v>
      </c>
      <c r="I1207">
        <v>14800.160620000001</v>
      </c>
      <c r="J1207" t="s">
        <v>33</v>
      </c>
      <c r="K1207" t="s">
        <v>1672</v>
      </c>
      <c r="L1207" t="s">
        <v>21</v>
      </c>
    </row>
    <row r="1208" spans="1:12">
      <c r="A1208" t="s">
        <v>1675</v>
      </c>
      <c r="B1208" t="s">
        <v>1651</v>
      </c>
      <c r="C1208" t="s">
        <v>80</v>
      </c>
      <c r="D1208">
        <v>1982</v>
      </c>
      <c r="E1208" t="s">
        <v>15</v>
      </c>
      <c r="F1208" t="s">
        <v>16</v>
      </c>
      <c r="G1208" t="s">
        <v>17</v>
      </c>
      <c r="H1208" t="s">
        <v>18</v>
      </c>
      <c r="I1208">
        <v>70.959999999999994</v>
      </c>
      <c r="J1208" t="s">
        <v>19</v>
      </c>
      <c r="K1208" t="s">
        <v>1676</v>
      </c>
      <c r="L1208" t="s">
        <v>21</v>
      </c>
    </row>
    <row r="1209" spans="1:12">
      <c r="A1209" t="s">
        <v>1677</v>
      </c>
      <c r="B1209" t="s">
        <v>1651</v>
      </c>
      <c r="C1209" t="s">
        <v>80</v>
      </c>
      <c r="D1209">
        <v>1982</v>
      </c>
      <c r="E1209" t="s">
        <v>23</v>
      </c>
      <c r="F1209" t="s">
        <v>24</v>
      </c>
      <c r="G1209" t="s">
        <v>25</v>
      </c>
      <c r="H1209" t="s">
        <v>26</v>
      </c>
      <c r="I1209">
        <v>10303704</v>
      </c>
      <c r="J1209" t="s">
        <v>27</v>
      </c>
      <c r="K1209" t="s">
        <v>1676</v>
      </c>
      <c r="L1209" t="s">
        <v>21</v>
      </c>
    </row>
    <row r="1210" spans="1:12">
      <c r="A1210" t="s">
        <v>1678</v>
      </c>
      <c r="B1210" t="s">
        <v>1651</v>
      </c>
      <c r="C1210" t="s">
        <v>80</v>
      </c>
      <c r="D1210">
        <v>1982</v>
      </c>
      <c r="E1210" t="s">
        <v>29</v>
      </c>
      <c r="F1210" t="s">
        <v>30</v>
      </c>
      <c r="G1210" t="s">
        <v>31</v>
      </c>
      <c r="H1210" t="s">
        <v>32</v>
      </c>
      <c r="I1210">
        <v>15377.22855</v>
      </c>
      <c r="J1210" t="s">
        <v>33</v>
      </c>
      <c r="K1210" t="s">
        <v>1676</v>
      </c>
      <c r="L1210" t="s">
        <v>21</v>
      </c>
    </row>
    <row r="1211" spans="1:12">
      <c r="A1211" t="s">
        <v>1679</v>
      </c>
      <c r="B1211" t="s">
        <v>1651</v>
      </c>
      <c r="C1211" t="s">
        <v>80</v>
      </c>
      <c r="D1211">
        <v>1987</v>
      </c>
      <c r="E1211" t="s">
        <v>15</v>
      </c>
      <c r="F1211" t="s">
        <v>16</v>
      </c>
      <c r="G1211" t="s">
        <v>17</v>
      </c>
      <c r="H1211" t="s">
        <v>18</v>
      </c>
      <c r="I1211">
        <v>71.58</v>
      </c>
      <c r="J1211" t="s">
        <v>19</v>
      </c>
      <c r="K1211" t="s">
        <v>1680</v>
      </c>
      <c r="L1211" t="s">
        <v>21</v>
      </c>
    </row>
    <row r="1212" spans="1:12">
      <c r="A1212" t="s">
        <v>1681</v>
      </c>
      <c r="B1212" t="s">
        <v>1651</v>
      </c>
      <c r="C1212" t="s">
        <v>80</v>
      </c>
      <c r="D1212">
        <v>1987</v>
      </c>
      <c r="E1212" t="s">
        <v>23</v>
      </c>
      <c r="F1212" t="s">
        <v>24</v>
      </c>
      <c r="G1212" t="s">
        <v>25</v>
      </c>
      <c r="H1212" t="s">
        <v>26</v>
      </c>
      <c r="I1212">
        <v>10311597</v>
      </c>
      <c r="J1212" t="s">
        <v>27</v>
      </c>
      <c r="K1212" t="s">
        <v>1680</v>
      </c>
      <c r="L1212" t="s">
        <v>21</v>
      </c>
    </row>
    <row r="1213" spans="1:12">
      <c r="A1213" t="s">
        <v>1682</v>
      </c>
      <c r="B1213" t="s">
        <v>1651</v>
      </c>
      <c r="C1213" t="s">
        <v>80</v>
      </c>
      <c r="D1213">
        <v>1987</v>
      </c>
      <c r="E1213" t="s">
        <v>29</v>
      </c>
      <c r="F1213" t="s">
        <v>30</v>
      </c>
      <c r="G1213" t="s">
        <v>31</v>
      </c>
      <c r="H1213" t="s">
        <v>32</v>
      </c>
      <c r="I1213">
        <v>16310.4434</v>
      </c>
      <c r="J1213" t="s">
        <v>33</v>
      </c>
      <c r="K1213" t="s">
        <v>1680</v>
      </c>
      <c r="L1213" t="s">
        <v>21</v>
      </c>
    </row>
    <row r="1214" spans="1:12">
      <c r="A1214" t="s">
        <v>1683</v>
      </c>
      <c r="B1214" t="s">
        <v>1651</v>
      </c>
      <c r="C1214" t="s">
        <v>80</v>
      </c>
      <c r="D1214">
        <v>1992</v>
      </c>
      <c r="E1214" t="s">
        <v>15</v>
      </c>
      <c r="F1214" t="s">
        <v>16</v>
      </c>
      <c r="G1214" t="s">
        <v>17</v>
      </c>
      <c r="H1214" t="s">
        <v>18</v>
      </c>
      <c r="I1214">
        <v>72.400000000000006</v>
      </c>
      <c r="J1214" t="s">
        <v>19</v>
      </c>
      <c r="K1214" t="s">
        <v>1684</v>
      </c>
      <c r="L1214" t="s">
        <v>21</v>
      </c>
    </row>
    <row r="1215" spans="1:12">
      <c r="A1215" t="s">
        <v>1685</v>
      </c>
      <c r="B1215" t="s">
        <v>1651</v>
      </c>
      <c r="C1215" t="s">
        <v>80</v>
      </c>
      <c r="D1215">
        <v>1992</v>
      </c>
      <c r="E1215" t="s">
        <v>23</v>
      </c>
      <c r="F1215" t="s">
        <v>24</v>
      </c>
      <c r="G1215" t="s">
        <v>25</v>
      </c>
      <c r="H1215" t="s">
        <v>26</v>
      </c>
      <c r="I1215">
        <v>10315702</v>
      </c>
      <c r="J1215" t="s">
        <v>27</v>
      </c>
      <c r="K1215" t="s">
        <v>1684</v>
      </c>
      <c r="L1215" t="s">
        <v>21</v>
      </c>
    </row>
    <row r="1216" spans="1:12">
      <c r="A1216" t="s">
        <v>1686</v>
      </c>
      <c r="B1216" t="s">
        <v>1651</v>
      </c>
      <c r="C1216" t="s">
        <v>80</v>
      </c>
      <c r="D1216">
        <v>1992</v>
      </c>
      <c r="E1216" t="s">
        <v>29</v>
      </c>
      <c r="F1216" t="s">
        <v>30</v>
      </c>
      <c r="G1216" t="s">
        <v>31</v>
      </c>
      <c r="H1216" t="s">
        <v>32</v>
      </c>
      <c r="I1216">
        <v>14297.021220000001</v>
      </c>
      <c r="J1216" t="s">
        <v>33</v>
      </c>
      <c r="K1216" t="s">
        <v>1684</v>
      </c>
      <c r="L1216" t="s">
        <v>21</v>
      </c>
    </row>
    <row r="1217" spans="1:12">
      <c r="A1217" t="s">
        <v>1687</v>
      </c>
      <c r="B1217" t="s">
        <v>1651</v>
      </c>
      <c r="C1217" t="s">
        <v>80</v>
      </c>
      <c r="D1217">
        <v>1997</v>
      </c>
      <c r="E1217" t="s">
        <v>15</v>
      </c>
      <c r="F1217" t="s">
        <v>16</v>
      </c>
      <c r="G1217" t="s">
        <v>17</v>
      </c>
      <c r="H1217" t="s">
        <v>18</v>
      </c>
      <c r="I1217">
        <v>74.010000000000005</v>
      </c>
      <c r="J1217" t="s">
        <v>19</v>
      </c>
      <c r="K1217" t="s">
        <v>1688</v>
      </c>
      <c r="L1217" t="s">
        <v>21</v>
      </c>
    </row>
    <row r="1218" spans="1:12">
      <c r="A1218" t="s">
        <v>1689</v>
      </c>
      <c r="B1218" t="s">
        <v>1651</v>
      </c>
      <c r="C1218" t="s">
        <v>80</v>
      </c>
      <c r="D1218">
        <v>1997</v>
      </c>
      <c r="E1218" t="s">
        <v>23</v>
      </c>
      <c r="F1218" t="s">
        <v>24</v>
      </c>
      <c r="G1218" t="s">
        <v>25</v>
      </c>
      <c r="H1218" t="s">
        <v>26</v>
      </c>
      <c r="I1218">
        <v>10300707</v>
      </c>
      <c r="J1218" t="s">
        <v>27</v>
      </c>
      <c r="K1218" t="s">
        <v>1688</v>
      </c>
      <c r="L1218" t="s">
        <v>21</v>
      </c>
    </row>
    <row r="1219" spans="1:12">
      <c r="A1219" t="s">
        <v>1690</v>
      </c>
      <c r="B1219" t="s">
        <v>1651</v>
      </c>
      <c r="C1219" t="s">
        <v>80</v>
      </c>
      <c r="D1219">
        <v>1997</v>
      </c>
      <c r="E1219" t="s">
        <v>29</v>
      </c>
      <c r="F1219" t="s">
        <v>30</v>
      </c>
      <c r="G1219" t="s">
        <v>31</v>
      </c>
      <c r="H1219" t="s">
        <v>32</v>
      </c>
      <c r="I1219">
        <v>16048.51424</v>
      </c>
      <c r="J1219" t="s">
        <v>33</v>
      </c>
      <c r="K1219" t="s">
        <v>1688</v>
      </c>
      <c r="L1219" t="s">
        <v>21</v>
      </c>
    </row>
    <row r="1220" spans="1:12">
      <c r="A1220" t="s">
        <v>1691</v>
      </c>
      <c r="B1220" t="s">
        <v>1651</v>
      </c>
      <c r="C1220" t="s">
        <v>80</v>
      </c>
      <c r="D1220">
        <v>2002</v>
      </c>
      <c r="E1220" t="s">
        <v>15</v>
      </c>
      <c r="F1220" t="s">
        <v>16</v>
      </c>
      <c r="G1220" t="s">
        <v>17</v>
      </c>
      <c r="H1220" t="s">
        <v>18</v>
      </c>
      <c r="I1220">
        <v>75.510000000000005</v>
      </c>
      <c r="J1220" t="s">
        <v>19</v>
      </c>
      <c r="K1220" t="s">
        <v>1692</v>
      </c>
      <c r="L1220" t="s">
        <v>21</v>
      </c>
    </row>
    <row r="1221" spans="1:12">
      <c r="A1221" t="s">
        <v>1693</v>
      </c>
      <c r="B1221" t="s">
        <v>1651</v>
      </c>
      <c r="C1221" t="s">
        <v>80</v>
      </c>
      <c r="D1221">
        <v>2002</v>
      </c>
      <c r="E1221" t="s">
        <v>23</v>
      </c>
      <c r="F1221" t="s">
        <v>24</v>
      </c>
      <c r="G1221" t="s">
        <v>25</v>
      </c>
      <c r="H1221" t="s">
        <v>26</v>
      </c>
      <c r="I1221">
        <v>10256295</v>
      </c>
      <c r="J1221" t="s">
        <v>27</v>
      </c>
      <c r="K1221" t="s">
        <v>1692</v>
      </c>
      <c r="L1221" t="s">
        <v>21</v>
      </c>
    </row>
    <row r="1222" spans="1:12">
      <c r="A1222" t="s">
        <v>1694</v>
      </c>
      <c r="B1222" t="s">
        <v>1651</v>
      </c>
      <c r="C1222" t="s">
        <v>80</v>
      </c>
      <c r="D1222">
        <v>2002</v>
      </c>
      <c r="E1222" t="s">
        <v>29</v>
      </c>
      <c r="F1222" t="s">
        <v>30</v>
      </c>
      <c r="G1222" t="s">
        <v>31</v>
      </c>
      <c r="H1222" t="s">
        <v>32</v>
      </c>
      <c r="I1222">
        <v>17596.210219999899</v>
      </c>
      <c r="J1222" t="s">
        <v>33</v>
      </c>
      <c r="K1222" t="s">
        <v>1692</v>
      </c>
      <c r="L1222" t="s">
        <v>21</v>
      </c>
    </row>
    <row r="1223" spans="1:12">
      <c r="A1223" t="s">
        <v>1695</v>
      </c>
      <c r="B1223" t="s">
        <v>1651</v>
      </c>
      <c r="C1223" t="s">
        <v>80</v>
      </c>
      <c r="D1223">
        <v>2007</v>
      </c>
      <c r="E1223" t="s">
        <v>15</v>
      </c>
      <c r="F1223" t="s">
        <v>16</v>
      </c>
      <c r="G1223" t="s">
        <v>17</v>
      </c>
      <c r="H1223" t="s">
        <v>18</v>
      </c>
      <c r="I1223">
        <v>76.486000000000004</v>
      </c>
      <c r="J1223" t="s">
        <v>19</v>
      </c>
      <c r="K1223" t="s">
        <v>1696</v>
      </c>
      <c r="L1223" t="s">
        <v>21</v>
      </c>
    </row>
    <row r="1224" spans="1:12">
      <c r="A1224" t="s">
        <v>1697</v>
      </c>
      <c r="B1224" t="s">
        <v>1651</v>
      </c>
      <c r="C1224" t="s">
        <v>80</v>
      </c>
      <c r="D1224">
        <v>2007</v>
      </c>
      <c r="E1224" t="s">
        <v>23</v>
      </c>
      <c r="F1224" t="s">
        <v>24</v>
      </c>
      <c r="G1224" t="s">
        <v>25</v>
      </c>
      <c r="H1224" t="s">
        <v>26</v>
      </c>
      <c r="I1224">
        <v>10228744</v>
      </c>
      <c r="J1224" t="s">
        <v>27</v>
      </c>
      <c r="K1224" t="s">
        <v>1696</v>
      </c>
      <c r="L1224" t="s">
        <v>21</v>
      </c>
    </row>
    <row r="1225" spans="1:12">
      <c r="A1225" t="s">
        <v>1698</v>
      </c>
      <c r="B1225" t="s">
        <v>1651</v>
      </c>
      <c r="C1225" t="s">
        <v>80</v>
      </c>
      <c r="D1225">
        <v>2007</v>
      </c>
      <c r="E1225" t="s">
        <v>29</v>
      </c>
      <c r="F1225" t="s">
        <v>30</v>
      </c>
      <c r="G1225" t="s">
        <v>31</v>
      </c>
      <c r="H1225" t="s">
        <v>32</v>
      </c>
      <c r="I1225">
        <v>22833.308509999999</v>
      </c>
      <c r="J1225" t="s">
        <v>33</v>
      </c>
      <c r="K1225" t="s">
        <v>1696</v>
      </c>
      <c r="L1225" t="s">
        <v>21</v>
      </c>
    </row>
    <row r="1226" spans="1:12">
      <c r="A1226" t="s">
        <v>1699</v>
      </c>
      <c r="B1226" t="s">
        <v>1700</v>
      </c>
      <c r="C1226" t="s">
        <v>80</v>
      </c>
      <c r="D1226">
        <v>1952</v>
      </c>
      <c r="E1226" t="s">
        <v>15</v>
      </c>
      <c r="F1226" t="s">
        <v>16</v>
      </c>
      <c r="G1226" t="s">
        <v>17</v>
      </c>
      <c r="H1226" t="s">
        <v>18</v>
      </c>
      <c r="I1226">
        <v>70.78</v>
      </c>
      <c r="J1226" t="s">
        <v>19</v>
      </c>
      <c r="K1226" t="s">
        <v>1701</v>
      </c>
      <c r="L1226" t="s">
        <v>21</v>
      </c>
    </row>
    <row r="1227" spans="1:12">
      <c r="A1227" t="s">
        <v>1702</v>
      </c>
      <c r="B1227" t="s">
        <v>1700</v>
      </c>
      <c r="C1227" t="s">
        <v>80</v>
      </c>
      <c r="D1227">
        <v>1952</v>
      </c>
      <c r="E1227" t="s">
        <v>23</v>
      </c>
      <c r="F1227" t="s">
        <v>24</v>
      </c>
      <c r="G1227" t="s">
        <v>25</v>
      </c>
      <c r="H1227" t="s">
        <v>26</v>
      </c>
      <c r="I1227">
        <v>4334000</v>
      </c>
      <c r="J1227" t="s">
        <v>27</v>
      </c>
      <c r="K1227" t="s">
        <v>1701</v>
      </c>
      <c r="L1227" t="s">
        <v>21</v>
      </c>
    </row>
    <row r="1228" spans="1:12">
      <c r="A1228" t="s">
        <v>1703</v>
      </c>
      <c r="B1228" t="s">
        <v>1700</v>
      </c>
      <c r="C1228" t="s">
        <v>80</v>
      </c>
      <c r="D1228">
        <v>1952</v>
      </c>
      <c r="E1228" t="s">
        <v>29</v>
      </c>
      <c r="F1228" t="s">
        <v>30</v>
      </c>
      <c r="G1228" t="s">
        <v>31</v>
      </c>
      <c r="H1228" t="s">
        <v>32</v>
      </c>
      <c r="I1228">
        <v>9692.3852449999995</v>
      </c>
      <c r="J1228" t="s">
        <v>33</v>
      </c>
      <c r="K1228" t="s">
        <v>1701</v>
      </c>
      <c r="L1228" t="s">
        <v>21</v>
      </c>
    </row>
    <row r="1229" spans="1:12">
      <c r="A1229" t="s">
        <v>1704</v>
      </c>
      <c r="B1229" t="s">
        <v>1700</v>
      </c>
      <c r="C1229" t="s">
        <v>80</v>
      </c>
      <c r="D1229">
        <v>1957</v>
      </c>
      <c r="E1229" t="s">
        <v>15</v>
      </c>
      <c r="F1229" t="s">
        <v>16</v>
      </c>
      <c r="G1229" t="s">
        <v>17</v>
      </c>
      <c r="H1229" t="s">
        <v>18</v>
      </c>
      <c r="I1229">
        <v>71.81</v>
      </c>
      <c r="J1229" t="s">
        <v>19</v>
      </c>
      <c r="K1229" t="s">
        <v>1705</v>
      </c>
      <c r="L1229" t="s">
        <v>21</v>
      </c>
    </row>
    <row r="1230" spans="1:12">
      <c r="A1230" t="s">
        <v>1706</v>
      </c>
      <c r="B1230" t="s">
        <v>1700</v>
      </c>
      <c r="C1230" t="s">
        <v>80</v>
      </c>
      <c r="D1230">
        <v>1957</v>
      </c>
      <c r="E1230" t="s">
        <v>23</v>
      </c>
      <c r="F1230" t="s">
        <v>24</v>
      </c>
      <c r="G1230" t="s">
        <v>25</v>
      </c>
      <c r="H1230" t="s">
        <v>26</v>
      </c>
      <c r="I1230">
        <v>4487831</v>
      </c>
      <c r="J1230" t="s">
        <v>27</v>
      </c>
      <c r="K1230" t="s">
        <v>1705</v>
      </c>
      <c r="L1230" t="s">
        <v>21</v>
      </c>
    </row>
    <row r="1231" spans="1:12">
      <c r="A1231" t="s">
        <v>1707</v>
      </c>
      <c r="B1231" t="s">
        <v>1700</v>
      </c>
      <c r="C1231" t="s">
        <v>80</v>
      </c>
      <c r="D1231">
        <v>1957</v>
      </c>
      <c r="E1231" t="s">
        <v>29</v>
      </c>
      <c r="F1231" t="s">
        <v>30</v>
      </c>
      <c r="G1231" t="s">
        <v>31</v>
      </c>
      <c r="H1231" t="s">
        <v>32</v>
      </c>
      <c r="I1231">
        <v>11099.65935</v>
      </c>
      <c r="J1231" t="s">
        <v>33</v>
      </c>
      <c r="K1231" t="s">
        <v>1705</v>
      </c>
      <c r="L1231" t="s">
        <v>21</v>
      </c>
    </row>
    <row r="1232" spans="1:12">
      <c r="A1232" t="s">
        <v>1708</v>
      </c>
      <c r="B1232" t="s">
        <v>1700</v>
      </c>
      <c r="C1232" t="s">
        <v>80</v>
      </c>
      <c r="D1232">
        <v>1962</v>
      </c>
      <c r="E1232" t="s">
        <v>15</v>
      </c>
      <c r="F1232" t="s">
        <v>16</v>
      </c>
      <c r="G1232" t="s">
        <v>17</v>
      </c>
      <c r="H1232" t="s">
        <v>18</v>
      </c>
      <c r="I1232">
        <v>72.349999999999994</v>
      </c>
      <c r="J1232" t="s">
        <v>19</v>
      </c>
      <c r="K1232" t="s">
        <v>1709</v>
      </c>
      <c r="L1232" t="s">
        <v>21</v>
      </c>
    </row>
    <row r="1233" spans="1:12">
      <c r="A1233" t="s">
        <v>1710</v>
      </c>
      <c r="B1233" t="s">
        <v>1700</v>
      </c>
      <c r="C1233" t="s">
        <v>80</v>
      </c>
      <c r="D1233">
        <v>1962</v>
      </c>
      <c r="E1233" t="s">
        <v>23</v>
      </c>
      <c r="F1233" t="s">
        <v>24</v>
      </c>
      <c r="G1233" t="s">
        <v>25</v>
      </c>
      <c r="H1233" t="s">
        <v>26</v>
      </c>
      <c r="I1233">
        <v>4646899</v>
      </c>
      <c r="J1233" t="s">
        <v>27</v>
      </c>
      <c r="K1233" t="s">
        <v>1709</v>
      </c>
      <c r="L1233" t="s">
        <v>21</v>
      </c>
    </row>
    <row r="1234" spans="1:12">
      <c r="A1234" t="s">
        <v>1711</v>
      </c>
      <c r="B1234" t="s">
        <v>1700</v>
      </c>
      <c r="C1234" t="s">
        <v>80</v>
      </c>
      <c r="D1234">
        <v>1962</v>
      </c>
      <c r="E1234" t="s">
        <v>29</v>
      </c>
      <c r="F1234" t="s">
        <v>30</v>
      </c>
      <c r="G1234" t="s">
        <v>31</v>
      </c>
      <c r="H1234" t="s">
        <v>32</v>
      </c>
      <c r="I1234">
        <v>13583.31351</v>
      </c>
      <c r="J1234" t="s">
        <v>33</v>
      </c>
      <c r="K1234" t="s">
        <v>1709</v>
      </c>
      <c r="L1234" t="s">
        <v>21</v>
      </c>
    </row>
    <row r="1235" spans="1:12">
      <c r="A1235" t="s">
        <v>1712</v>
      </c>
      <c r="B1235" t="s">
        <v>1700</v>
      </c>
      <c r="C1235" t="s">
        <v>80</v>
      </c>
      <c r="D1235">
        <v>1967</v>
      </c>
      <c r="E1235" t="s">
        <v>15</v>
      </c>
      <c r="F1235" t="s">
        <v>16</v>
      </c>
      <c r="G1235" t="s">
        <v>17</v>
      </c>
      <c r="H1235" t="s">
        <v>18</v>
      </c>
      <c r="I1235">
        <v>72.959999999999994</v>
      </c>
      <c r="J1235" t="s">
        <v>19</v>
      </c>
      <c r="K1235" t="s">
        <v>1713</v>
      </c>
      <c r="L1235" t="s">
        <v>21</v>
      </c>
    </row>
    <row r="1236" spans="1:12">
      <c r="A1236" t="s">
        <v>1714</v>
      </c>
      <c r="B1236" t="s">
        <v>1700</v>
      </c>
      <c r="C1236" t="s">
        <v>80</v>
      </c>
      <c r="D1236">
        <v>1967</v>
      </c>
      <c r="E1236" t="s">
        <v>23</v>
      </c>
      <c r="F1236" t="s">
        <v>24</v>
      </c>
      <c r="G1236" t="s">
        <v>25</v>
      </c>
      <c r="H1236" t="s">
        <v>26</v>
      </c>
      <c r="I1236">
        <v>4838800</v>
      </c>
      <c r="J1236" t="s">
        <v>27</v>
      </c>
      <c r="K1236" t="s">
        <v>1713</v>
      </c>
      <c r="L1236" t="s">
        <v>21</v>
      </c>
    </row>
    <row r="1237" spans="1:12">
      <c r="A1237" t="s">
        <v>1715</v>
      </c>
      <c r="B1237" t="s">
        <v>1700</v>
      </c>
      <c r="C1237" t="s">
        <v>80</v>
      </c>
      <c r="D1237">
        <v>1967</v>
      </c>
      <c r="E1237" t="s">
        <v>29</v>
      </c>
      <c r="F1237" t="s">
        <v>30</v>
      </c>
      <c r="G1237" t="s">
        <v>31</v>
      </c>
      <c r="H1237" t="s">
        <v>32</v>
      </c>
      <c r="I1237">
        <v>15937.211230000001</v>
      </c>
      <c r="J1237" t="s">
        <v>33</v>
      </c>
      <c r="K1237" t="s">
        <v>1713</v>
      </c>
      <c r="L1237" t="s">
        <v>21</v>
      </c>
    </row>
    <row r="1238" spans="1:12">
      <c r="A1238" t="s">
        <v>1716</v>
      </c>
      <c r="B1238" t="s">
        <v>1700</v>
      </c>
      <c r="C1238" t="s">
        <v>80</v>
      </c>
      <c r="D1238">
        <v>1972</v>
      </c>
      <c r="E1238" t="s">
        <v>15</v>
      </c>
      <c r="F1238" t="s">
        <v>16</v>
      </c>
      <c r="G1238" t="s">
        <v>17</v>
      </c>
      <c r="H1238" t="s">
        <v>18</v>
      </c>
      <c r="I1238">
        <v>73.47</v>
      </c>
      <c r="J1238" t="s">
        <v>19</v>
      </c>
      <c r="K1238" t="s">
        <v>1717</v>
      </c>
      <c r="L1238" t="s">
        <v>21</v>
      </c>
    </row>
    <row r="1239" spans="1:12">
      <c r="A1239" t="s">
        <v>1718</v>
      </c>
      <c r="B1239" t="s">
        <v>1700</v>
      </c>
      <c r="C1239" t="s">
        <v>80</v>
      </c>
      <c r="D1239">
        <v>1972</v>
      </c>
      <c r="E1239" t="s">
        <v>23</v>
      </c>
      <c r="F1239" t="s">
        <v>24</v>
      </c>
      <c r="G1239" t="s">
        <v>25</v>
      </c>
      <c r="H1239" t="s">
        <v>26</v>
      </c>
      <c r="I1239">
        <v>4991596</v>
      </c>
      <c r="J1239" t="s">
        <v>27</v>
      </c>
      <c r="K1239" t="s">
        <v>1717</v>
      </c>
      <c r="L1239" t="s">
        <v>21</v>
      </c>
    </row>
    <row r="1240" spans="1:12">
      <c r="A1240" t="s">
        <v>1719</v>
      </c>
      <c r="B1240" t="s">
        <v>1700</v>
      </c>
      <c r="C1240" t="s">
        <v>80</v>
      </c>
      <c r="D1240">
        <v>1972</v>
      </c>
      <c r="E1240" t="s">
        <v>29</v>
      </c>
      <c r="F1240" t="s">
        <v>30</v>
      </c>
      <c r="G1240" t="s">
        <v>31</v>
      </c>
      <c r="H1240" t="s">
        <v>32</v>
      </c>
      <c r="I1240">
        <v>18866.20721</v>
      </c>
      <c r="J1240" t="s">
        <v>33</v>
      </c>
      <c r="K1240" t="s">
        <v>1717</v>
      </c>
      <c r="L1240" t="s">
        <v>21</v>
      </c>
    </row>
    <row r="1241" spans="1:12">
      <c r="A1241" t="s">
        <v>1720</v>
      </c>
      <c r="B1241" t="s">
        <v>1700</v>
      </c>
      <c r="C1241" t="s">
        <v>80</v>
      </c>
      <c r="D1241">
        <v>1977</v>
      </c>
      <c r="E1241" t="s">
        <v>15</v>
      </c>
      <c r="F1241" t="s">
        <v>16</v>
      </c>
      <c r="G1241" t="s">
        <v>17</v>
      </c>
      <c r="H1241" t="s">
        <v>18</v>
      </c>
      <c r="I1241">
        <v>74.69</v>
      </c>
      <c r="J1241" t="s">
        <v>19</v>
      </c>
      <c r="K1241" t="s">
        <v>1721</v>
      </c>
      <c r="L1241" t="s">
        <v>21</v>
      </c>
    </row>
    <row r="1242" spans="1:12">
      <c r="A1242" t="s">
        <v>1722</v>
      </c>
      <c r="B1242" t="s">
        <v>1700</v>
      </c>
      <c r="C1242" t="s">
        <v>80</v>
      </c>
      <c r="D1242">
        <v>1977</v>
      </c>
      <c r="E1242" t="s">
        <v>23</v>
      </c>
      <c r="F1242" t="s">
        <v>24</v>
      </c>
      <c r="G1242" t="s">
        <v>25</v>
      </c>
      <c r="H1242" t="s">
        <v>26</v>
      </c>
      <c r="I1242">
        <v>5088419</v>
      </c>
      <c r="J1242" t="s">
        <v>27</v>
      </c>
      <c r="K1242" t="s">
        <v>1721</v>
      </c>
      <c r="L1242" t="s">
        <v>21</v>
      </c>
    </row>
    <row r="1243" spans="1:12">
      <c r="A1243" t="s">
        <v>1723</v>
      </c>
      <c r="B1243" t="s">
        <v>1700</v>
      </c>
      <c r="C1243" t="s">
        <v>80</v>
      </c>
      <c r="D1243">
        <v>1977</v>
      </c>
      <c r="E1243" t="s">
        <v>29</v>
      </c>
      <c r="F1243" t="s">
        <v>30</v>
      </c>
      <c r="G1243" t="s">
        <v>31</v>
      </c>
      <c r="H1243" t="s">
        <v>32</v>
      </c>
      <c r="I1243">
        <v>20422.9015</v>
      </c>
      <c r="J1243" t="s">
        <v>33</v>
      </c>
      <c r="K1243" t="s">
        <v>1721</v>
      </c>
      <c r="L1243" t="s">
        <v>21</v>
      </c>
    </row>
    <row r="1244" spans="1:12">
      <c r="A1244" t="s">
        <v>1724</v>
      </c>
      <c r="B1244" t="s">
        <v>1700</v>
      </c>
      <c r="C1244" t="s">
        <v>80</v>
      </c>
      <c r="D1244">
        <v>1982</v>
      </c>
      <c r="E1244" t="s">
        <v>15</v>
      </c>
      <c r="F1244" t="s">
        <v>16</v>
      </c>
      <c r="G1244" t="s">
        <v>17</v>
      </c>
      <c r="H1244" t="s">
        <v>18</v>
      </c>
      <c r="I1244">
        <v>74.63</v>
      </c>
      <c r="J1244" t="s">
        <v>19</v>
      </c>
      <c r="K1244" t="s">
        <v>1725</v>
      </c>
      <c r="L1244" t="s">
        <v>21</v>
      </c>
    </row>
    <row r="1245" spans="1:12">
      <c r="A1245" t="s">
        <v>1726</v>
      </c>
      <c r="B1245" t="s">
        <v>1700</v>
      </c>
      <c r="C1245" t="s">
        <v>80</v>
      </c>
      <c r="D1245">
        <v>1982</v>
      </c>
      <c r="E1245" t="s">
        <v>23</v>
      </c>
      <c r="F1245" t="s">
        <v>24</v>
      </c>
      <c r="G1245" t="s">
        <v>25</v>
      </c>
      <c r="H1245" t="s">
        <v>26</v>
      </c>
      <c r="I1245">
        <v>5117810</v>
      </c>
      <c r="J1245" t="s">
        <v>27</v>
      </c>
      <c r="K1245" t="s">
        <v>1725</v>
      </c>
      <c r="L1245" t="s">
        <v>21</v>
      </c>
    </row>
    <row r="1246" spans="1:12">
      <c r="A1246" t="s">
        <v>1727</v>
      </c>
      <c r="B1246" t="s">
        <v>1700</v>
      </c>
      <c r="C1246" t="s">
        <v>80</v>
      </c>
      <c r="D1246">
        <v>1982</v>
      </c>
      <c r="E1246" t="s">
        <v>29</v>
      </c>
      <c r="F1246" t="s">
        <v>30</v>
      </c>
      <c r="G1246" t="s">
        <v>31</v>
      </c>
      <c r="H1246" t="s">
        <v>32</v>
      </c>
      <c r="I1246">
        <v>21688.04048</v>
      </c>
      <c r="J1246" t="s">
        <v>33</v>
      </c>
      <c r="K1246" t="s">
        <v>1725</v>
      </c>
      <c r="L1246" t="s">
        <v>21</v>
      </c>
    </row>
    <row r="1247" spans="1:12">
      <c r="A1247" t="s">
        <v>1728</v>
      </c>
      <c r="B1247" t="s">
        <v>1700</v>
      </c>
      <c r="C1247" t="s">
        <v>80</v>
      </c>
      <c r="D1247">
        <v>1987</v>
      </c>
      <c r="E1247" t="s">
        <v>15</v>
      </c>
      <c r="F1247" t="s">
        <v>16</v>
      </c>
      <c r="G1247" t="s">
        <v>17</v>
      </c>
      <c r="H1247" t="s">
        <v>18</v>
      </c>
      <c r="I1247">
        <v>74.8</v>
      </c>
      <c r="J1247" t="s">
        <v>19</v>
      </c>
      <c r="K1247" t="s">
        <v>1729</v>
      </c>
      <c r="L1247" t="s">
        <v>21</v>
      </c>
    </row>
    <row r="1248" spans="1:12">
      <c r="A1248" t="s">
        <v>1730</v>
      </c>
      <c r="B1248" t="s">
        <v>1700</v>
      </c>
      <c r="C1248" t="s">
        <v>80</v>
      </c>
      <c r="D1248">
        <v>1987</v>
      </c>
      <c r="E1248" t="s">
        <v>23</v>
      </c>
      <c r="F1248" t="s">
        <v>24</v>
      </c>
      <c r="G1248" t="s">
        <v>25</v>
      </c>
      <c r="H1248" t="s">
        <v>26</v>
      </c>
      <c r="I1248">
        <v>5127024</v>
      </c>
      <c r="J1248" t="s">
        <v>27</v>
      </c>
      <c r="K1248" t="s">
        <v>1729</v>
      </c>
      <c r="L1248" t="s">
        <v>21</v>
      </c>
    </row>
    <row r="1249" spans="1:12">
      <c r="A1249" t="s">
        <v>1731</v>
      </c>
      <c r="B1249" t="s">
        <v>1700</v>
      </c>
      <c r="C1249" t="s">
        <v>80</v>
      </c>
      <c r="D1249">
        <v>1987</v>
      </c>
      <c r="E1249" t="s">
        <v>29</v>
      </c>
      <c r="F1249" t="s">
        <v>30</v>
      </c>
      <c r="G1249" t="s">
        <v>31</v>
      </c>
      <c r="H1249" t="s">
        <v>32</v>
      </c>
      <c r="I1249">
        <v>25116.175810000001</v>
      </c>
      <c r="J1249" t="s">
        <v>33</v>
      </c>
      <c r="K1249" t="s">
        <v>1729</v>
      </c>
      <c r="L1249" t="s">
        <v>21</v>
      </c>
    </row>
    <row r="1250" spans="1:12">
      <c r="A1250" t="s">
        <v>1732</v>
      </c>
      <c r="B1250" t="s">
        <v>1700</v>
      </c>
      <c r="C1250" t="s">
        <v>80</v>
      </c>
      <c r="D1250">
        <v>1992</v>
      </c>
      <c r="E1250" t="s">
        <v>15</v>
      </c>
      <c r="F1250" t="s">
        <v>16</v>
      </c>
      <c r="G1250" t="s">
        <v>17</v>
      </c>
      <c r="H1250" t="s">
        <v>18</v>
      </c>
      <c r="I1250">
        <v>75.33</v>
      </c>
      <c r="J1250" t="s">
        <v>19</v>
      </c>
      <c r="K1250" t="s">
        <v>1733</v>
      </c>
      <c r="L1250" t="s">
        <v>21</v>
      </c>
    </row>
    <row r="1251" spans="1:12">
      <c r="A1251" t="s">
        <v>1734</v>
      </c>
      <c r="B1251" t="s">
        <v>1700</v>
      </c>
      <c r="C1251" t="s">
        <v>80</v>
      </c>
      <c r="D1251">
        <v>1992</v>
      </c>
      <c r="E1251" t="s">
        <v>23</v>
      </c>
      <c r="F1251" t="s">
        <v>24</v>
      </c>
      <c r="G1251" t="s">
        <v>25</v>
      </c>
      <c r="H1251" t="s">
        <v>26</v>
      </c>
      <c r="I1251">
        <v>5171393</v>
      </c>
      <c r="J1251" t="s">
        <v>27</v>
      </c>
      <c r="K1251" t="s">
        <v>1733</v>
      </c>
      <c r="L1251" t="s">
        <v>21</v>
      </c>
    </row>
    <row r="1252" spans="1:12">
      <c r="A1252" t="s">
        <v>1735</v>
      </c>
      <c r="B1252" t="s">
        <v>1700</v>
      </c>
      <c r="C1252" t="s">
        <v>80</v>
      </c>
      <c r="D1252">
        <v>1992</v>
      </c>
      <c r="E1252" t="s">
        <v>29</v>
      </c>
      <c r="F1252" t="s">
        <v>30</v>
      </c>
      <c r="G1252" t="s">
        <v>31</v>
      </c>
      <c r="H1252" t="s">
        <v>32</v>
      </c>
      <c r="I1252">
        <v>26406.739850000002</v>
      </c>
      <c r="J1252" t="s">
        <v>33</v>
      </c>
      <c r="K1252" t="s">
        <v>1733</v>
      </c>
      <c r="L1252" t="s">
        <v>21</v>
      </c>
    </row>
    <row r="1253" spans="1:12">
      <c r="A1253" t="s">
        <v>1736</v>
      </c>
      <c r="B1253" t="s">
        <v>1700</v>
      </c>
      <c r="C1253" t="s">
        <v>80</v>
      </c>
      <c r="D1253">
        <v>1997</v>
      </c>
      <c r="E1253" t="s">
        <v>15</v>
      </c>
      <c r="F1253" t="s">
        <v>16</v>
      </c>
      <c r="G1253" t="s">
        <v>17</v>
      </c>
      <c r="H1253" t="s">
        <v>18</v>
      </c>
      <c r="I1253">
        <v>76.11</v>
      </c>
      <c r="J1253" t="s">
        <v>19</v>
      </c>
      <c r="K1253" t="s">
        <v>1737</v>
      </c>
      <c r="L1253" t="s">
        <v>21</v>
      </c>
    </row>
    <row r="1254" spans="1:12">
      <c r="A1254" t="s">
        <v>1738</v>
      </c>
      <c r="B1254" t="s">
        <v>1700</v>
      </c>
      <c r="C1254" t="s">
        <v>80</v>
      </c>
      <c r="D1254">
        <v>1997</v>
      </c>
      <c r="E1254" t="s">
        <v>23</v>
      </c>
      <c r="F1254" t="s">
        <v>24</v>
      </c>
      <c r="G1254" t="s">
        <v>25</v>
      </c>
      <c r="H1254" t="s">
        <v>26</v>
      </c>
      <c r="I1254">
        <v>5283663</v>
      </c>
      <c r="J1254" t="s">
        <v>27</v>
      </c>
      <c r="K1254" t="s">
        <v>1737</v>
      </c>
      <c r="L1254" t="s">
        <v>21</v>
      </c>
    </row>
    <row r="1255" spans="1:12">
      <c r="A1255" t="s">
        <v>1739</v>
      </c>
      <c r="B1255" t="s">
        <v>1700</v>
      </c>
      <c r="C1255" t="s">
        <v>80</v>
      </c>
      <c r="D1255">
        <v>1997</v>
      </c>
      <c r="E1255" t="s">
        <v>29</v>
      </c>
      <c r="F1255" t="s">
        <v>30</v>
      </c>
      <c r="G1255" t="s">
        <v>31</v>
      </c>
      <c r="H1255" t="s">
        <v>32</v>
      </c>
      <c r="I1255">
        <v>29804.345669999999</v>
      </c>
      <c r="J1255" t="s">
        <v>33</v>
      </c>
      <c r="K1255" t="s">
        <v>1737</v>
      </c>
      <c r="L1255" t="s">
        <v>21</v>
      </c>
    </row>
    <row r="1256" spans="1:12">
      <c r="A1256" t="s">
        <v>1740</v>
      </c>
      <c r="B1256" t="s">
        <v>1700</v>
      </c>
      <c r="C1256" t="s">
        <v>80</v>
      </c>
      <c r="D1256">
        <v>2002</v>
      </c>
      <c r="E1256" t="s">
        <v>15</v>
      </c>
      <c r="F1256" t="s">
        <v>16</v>
      </c>
      <c r="G1256" t="s">
        <v>17</v>
      </c>
      <c r="H1256" t="s">
        <v>18</v>
      </c>
      <c r="I1256">
        <v>77.180000000000007</v>
      </c>
      <c r="J1256" t="s">
        <v>19</v>
      </c>
      <c r="K1256" t="s">
        <v>1741</v>
      </c>
      <c r="L1256" t="s">
        <v>21</v>
      </c>
    </row>
    <row r="1257" spans="1:12">
      <c r="A1257" t="s">
        <v>1742</v>
      </c>
      <c r="B1257" t="s">
        <v>1700</v>
      </c>
      <c r="C1257" t="s">
        <v>80</v>
      </c>
      <c r="D1257">
        <v>2002</v>
      </c>
      <c r="E1257" t="s">
        <v>23</v>
      </c>
      <c r="F1257" t="s">
        <v>24</v>
      </c>
      <c r="G1257" t="s">
        <v>25</v>
      </c>
      <c r="H1257" t="s">
        <v>26</v>
      </c>
      <c r="I1257">
        <v>5374693</v>
      </c>
      <c r="J1257" t="s">
        <v>27</v>
      </c>
      <c r="K1257" t="s">
        <v>1741</v>
      </c>
      <c r="L1257" t="s">
        <v>21</v>
      </c>
    </row>
    <row r="1258" spans="1:12">
      <c r="A1258" t="s">
        <v>1743</v>
      </c>
      <c r="B1258" t="s">
        <v>1700</v>
      </c>
      <c r="C1258" t="s">
        <v>80</v>
      </c>
      <c r="D1258">
        <v>2002</v>
      </c>
      <c r="E1258" t="s">
        <v>29</v>
      </c>
      <c r="F1258" t="s">
        <v>30</v>
      </c>
      <c r="G1258" t="s">
        <v>31</v>
      </c>
      <c r="H1258" t="s">
        <v>32</v>
      </c>
      <c r="I1258">
        <v>32166.500059999998</v>
      </c>
      <c r="J1258" t="s">
        <v>33</v>
      </c>
      <c r="K1258" t="s">
        <v>1741</v>
      </c>
      <c r="L1258" t="s">
        <v>21</v>
      </c>
    </row>
    <row r="1259" spans="1:12">
      <c r="A1259" t="s">
        <v>1744</v>
      </c>
      <c r="B1259" t="s">
        <v>1700</v>
      </c>
      <c r="C1259" t="s">
        <v>80</v>
      </c>
      <c r="D1259">
        <v>2007</v>
      </c>
      <c r="E1259" t="s">
        <v>15</v>
      </c>
      <c r="F1259" t="s">
        <v>16</v>
      </c>
      <c r="G1259" t="s">
        <v>17</v>
      </c>
      <c r="H1259" t="s">
        <v>18</v>
      </c>
      <c r="I1259">
        <v>78.331999999999994</v>
      </c>
      <c r="J1259" t="s">
        <v>19</v>
      </c>
      <c r="K1259" t="s">
        <v>1745</v>
      </c>
      <c r="L1259" t="s">
        <v>21</v>
      </c>
    </row>
    <row r="1260" spans="1:12">
      <c r="A1260" t="s">
        <v>1746</v>
      </c>
      <c r="B1260" t="s">
        <v>1700</v>
      </c>
      <c r="C1260" t="s">
        <v>80</v>
      </c>
      <c r="D1260">
        <v>2007</v>
      </c>
      <c r="E1260" t="s">
        <v>23</v>
      </c>
      <c r="F1260" t="s">
        <v>24</v>
      </c>
      <c r="G1260" t="s">
        <v>25</v>
      </c>
      <c r="H1260" t="s">
        <v>26</v>
      </c>
      <c r="I1260">
        <v>5468120</v>
      </c>
      <c r="J1260" t="s">
        <v>27</v>
      </c>
      <c r="K1260" t="s">
        <v>1745</v>
      </c>
      <c r="L1260" t="s">
        <v>21</v>
      </c>
    </row>
    <row r="1261" spans="1:12">
      <c r="A1261" t="s">
        <v>1747</v>
      </c>
      <c r="B1261" t="s">
        <v>1700</v>
      </c>
      <c r="C1261" t="s">
        <v>80</v>
      </c>
      <c r="D1261">
        <v>2007</v>
      </c>
      <c r="E1261" t="s">
        <v>29</v>
      </c>
      <c r="F1261" t="s">
        <v>30</v>
      </c>
      <c r="G1261" t="s">
        <v>31</v>
      </c>
      <c r="H1261" t="s">
        <v>32</v>
      </c>
      <c r="I1261">
        <v>35278.418740000001</v>
      </c>
      <c r="J1261" t="s">
        <v>33</v>
      </c>
      <c r="K1261" t="s">
        <v>1745</v>
      </c>
      <c r="L1261" t="s">
        <v>21</v>
      </c>
    </row>
    <row r="1262" spans="1:12">
      <c r="A1262" t="s">
        <v>1748</v>
      </c>
      <c r="B1262" t="s">
        <v>1749</v>
      </c>
      <c r="C1262" t="s">
        <v>130</v>
      </c>
      <c r="D1262">
        <v>1952</v>
      </c>
      <c r="E1262" t="s">
        <v>15</v>
      </c>
      <c r="F1262" t="s">
        <v>16</v>
      </c>
      <c r="G1262" t="s">
        <v>17</v>
      </c>
      <c r="H1262" t="s">
        <v>18</v>
      </c>
      <c r="I1262">
        <v>34.811999999999998</v>
      </c>
      <c r="J1262" t="s">
        <v>19</v>
      </c>
      <c r="K1262" t="s">
        <v>1750</v>
      </c>
      <c r="L1262" t="s">
        <v>21</v>
      </c>
    </row>
    <row r="1263" spans="1:12">
      <c r="A1263" t="s">
        <v>1751</v>
      </c>
      <c r="B1263" t="s">
        <v>1749</v>
      </c>
      <c r="C1263" t="s">
        <v>130</v>
      </c>
      <c r="D1263">
        <v>1952</v>
      </c>
      <c r="E1263" t="s">
        <v>23</v>
      </c>
      <c r="F1263" t="s">
        <v>24</v>
      </c>
      <c r="G1263" t="s">
        <v>25</v>
      </c>
      <c r="H1263" t="s">
        <v>26</v>
      </c>
      <c r="I1263">
        <v>63149</v>
      </c>
      <c r="J1263" t="s">
        <v>27</v>
      </c>
      <c r="K1263" t="s">
        <v>1750</v>
      </c>
      <c r="L1263" t="s">
        <v>21</v>
      </c>
    </row>
    <row r="1264" spans="1:12">
      <c r="A1264" t="s">
        <v>1752</v>
      </c>
      <c r="B1264" t="s">
        <v>1749</v>
      </c>
      <c r="C1264" t="s">
        <v>130</v>
      </c>
      <c r="D1264">
        <v>1952</v>
      </c>
      <c r="E1264" t="s">
        <v>29</v>
      </c>
      <c r="F1264" t="s">
        <v>30</v>
      </c>
      <c r="G1264" t="s">
        <v>31</v>
      </c>
      <c r="H1264" t="s">
        <v>32</v>
      </c>
      <c r="I1264">
        <v>2669.5294749999998</v>
      </c>
      <c r="J1264" t="s">
        <v>33</v>
      </c>
      <c r="K1264" t="s">
        <v>1750</v>
      </c>
      <c r="L1264" t="s">
        <v>21</v>
      </c>
    </row>
    <row r="1265" spans="1:12">
      <c r="A1265" t="s">
        <v>1753</v>
      </c>
      <c r="B1265" t="s">
        <v>1749</v>
      </c>
      <c r="C1265" t="s">
        <v>130</v>
      </c>
      <c r="D1265">
        <v>1957</v>
      </c>
      <c r="E1265" t="s">
        <v>15</v>
      </c>
      <c r="F1265" t="s">
        <v>16</v>
      </c>
      <c r="G1265" t="s">
        <v>17</v>
      </c>
      <c r="H1265" t="s">
        <v>18</v>
      </c>
      <c r="I1265">
        <v>37.328000000000003</v>
      </c>
      <c r="J1265" t="s">
        <v>19</v>
      </c>
      <c r="K1265" t="s">
        <v>1754</v>
      </c>
      <c r="L1265" t="s">
        <v>21</v>
      </c>
    </row>
    <row r="1266" spans="1:12">
      <c r="A1266" t="s">
        <v>1755</v>
      </c>
      <c r="B1266" t="s">
        <v>1749</v>
      </c>
      <c r="C1266" t="s">
        <v>130</v>
      </c>
      <c r="D1266">
        <v>1957</v>
      </c>
      <c r="E1266" t="s">
        <v>23</v>
      </c>
      <c r="F1266" t="s">
        <v>24</v>
      </c>
      <c r="G1266" t="s">
        <v>25</v>
      </c>
      <c r="H1266" t="s">
        <v>26</v>
      </c>
      <c r="I1266">
        <v>71851</v>
      </c>
      <c r="J1266" t="s">
        <v>27</v>
      </c>
      <c r="K1266" t="s">
        <v>1754</v>
      </c>
      <c r="L1266" t="s">
        <v>21</v>
      </c>
    </row>
    <row r="1267" spans="1:12">
      <c r="A1267" t="s">
        <v>1756</v>
      </c>
      <c r="B1267" t="s">
        <v>1749</v>
      </c>
      <c r="C1267" t="s">
        <v>130</v>
      </c>
      <c r="D1267">
        <v>1957</v>
      </c>
      <c r="E1267" t="s">
        <v>29</v>
      </c>
      <c r="F1267" t="s">
        <v>30</v>
      </c>
      <c r="G1267" t="s">
        <v>31</v>
      </c>
      <c r="H1267" t="s">
        <v>32</v>
      </c>
      <c r="I1267">
        <v>2864.9690759999999</v>
      </c>
      <c r="J1267" t="s">
        <v>33</v>
      </c>
      <c r="K1267" t="s">
        <v>1754</v>
      </c>
      <c r="L1267" t="s">
        <v>21</v>
      </c>
    </row>
    <row r="1268" spans="1:12">
      <c r="A1268" t="s">
        <v>1757</v>
      </c>
      <c r="B1268" t="s">
        <v>1749</v>
      </c>
      <c r="C1268" t="s">
        <v>130</v>
      </c>
      <c r="D1268">
        <v>1962</v>
      </c>
      <c r="E1268" t="s">
        <v>15</v>
      </c>
      <c r="F1268" t="s">
        <v>16</v>
      </c>
      <c r="G1268" t="s">
        <v>17</v>
      </c>
      <c r="H1268" t="s">
        <v>18</v>
      </c>
      <c r="I1268">
        <v>39.692999999999998</v>
      </c>
      <c r="J1268" t="s">
        <v>19</v>
      </c>
      <c r="K1268" t="s">
        <v>1758</v>
      </c>
      <c r="L1268" t="s">
        <v>21</v>
      </c>
    </row>
    <row r="1269" spans="1:12">
      <c r="A1269" t="s">
        <v>1759</v>
      </c>
      <c r="B1269" t="s">
        <v>1749</v>
      </c>
      <c r="C1269" t="s">
        <v>130</v>
      </c>
      <c r="D1269">
        <v>1962</v>
      </c>
      <c r="E1269" t="s">
        <v>23</v>
      </c>
      <c r="F1269" t="s">
        <v>24</v>
      </c>
      <c r="G1269" t="s">
        <v>25</v>
      </c>
      <c r="H1269" t="s">
        <v>26</v>
      </c>
      <c r="I1269">
        <v>89898</v>
      </c>
      <c r="J1269" t="s">
        <v>27</v>
      </c>
      <c r="K1269" t="s">
        <v>1758</v>
      </c>
      <c r="L1269" t="s">
        <v>21</v>
      </c>
    </row>
    <row r="1270" spans="1:12">
      <c r="A1270" t="s">
        <v>1760</v>
      </c>
      <c r="B1270" t="s">
        <v>1749</v>
      </c>
      <c r="C1270" t="s">
        <v>130</v>
      </c>
      <c r="D1270">
        <v>1962</v>
      </c>
      <c r="E1270" t="s">
        <v>29</v>
      </c>
      <c r="F1270" t="s">
        <v>30</v>
      </c>
      <c r="G1270" t="s">
        <v>31</v>
      </c>
      <c r="H1270" t="s">
        <v>32</v>
      </c>
      <c r="I1270">
        <v>3020.9892629999999</v>
      </c>
      <c r="J1270" t="s">
        <v>33</v>
      </c>
      <c r="K1270" t="s">
        <v>1758</v>
      </c>
      <c r="L1270" t="s">
        <v>21</v>
      </c>
    </row>
    <row r="1271" spans="1:12">
      <c r="A1271" t="s">
        <v>1761</v>
      </c>
      <c r="B1271" t="s">
        <v>1749</v>
      </c>
      <c r="C1271" t="s">
        <v>130</v>
      </c>
      <c r="D1271">
        <v>1967</v>
      </c>
      <c r="E1271" t="s">
        <v>15</v>
      </c>
      <c r="F1271" t="s">
        <v>16</v>
      </c>
      <c r="G1271" t="s">
        <v>17</v>
      </c>
      <c r="H1271" t="s">
        <v>18</v>
      </c>
      <c r="I1271">
        <v>42.073999999999998</v>
      </c>
      <c r="J1271" t="s">
        <v>19</v>
      </c>
      <c r="K1271" t="s">
        <v>1762</v>
      </c>
      <c r="L1271" t="s">
        <v>21</v>
      </c>
    </row>
    <row r="1272" spans="1:12">
      <c r="A1272" t="s">
        <v>1763</v>
      </c>
      <c r="B1272" t="s">
        <v>1749</v>
      </c>
      <c r="C1272" t="s">
        <v>130</v>
      </c>
      <c r="D1272">
        <v>1967</v>
      </c>
      <c r="E1272" t="s">
        <v>23</v>
      </c>
      <c r="F1272" t="s">
        <v>24</v>
      </c>
      <c r="G1272" t="s">
        <v>25</v>
      </c>
      <c r="H1272" t="s">
        <v>26</v>
      </c>
      <c r="I1272">
        <v>127617</v>
      </c>
      <c r="J1272" t="s">
        <v>27</v>
      </c>
      <c r="K1272" t="s">
        <v>1762</v>
      </c>
      <c r="L1272" t="s">
        <v>21</v>
      </c>
    </row>
    <row r="1273" spans="1:12">
      <c r="A1273" t="s">
        <v>1764</v>
      </c>
      <c r="B1273" t="s">
        <v>1749</v>
      </c>
      <c r="C1273" t="s">
        <v>130</v>
      </c>
      <c r="D1273">
        <v>1967</v>
      </c>
      <c r="E1273" t="s">
        <v>29</v>
      </c>
      <c r="F1273" t="s">
        <v>30</v>
      </c>
      <c r="G1273" t="s">
        <v>31</v>
      </c>
      <c r="H1273" t="s">
        <v>32</v>
      </c>
      <c r="I1273">
        <v>3020.0505130000001</v>
      </c>
      <c r="J1273" t="s">
        <v>33</v>
      </c>
      <c r="K1273" t="s">
        <v>1762</v>
      </c>
      <c r="L1273" t="s">
        <v>21</v>
      </c>
    </row>
    <row r="1274" spans="1:12">
      <c r="A1274" t="s">
        <v>1765</v>
      </c>
      <c r="B1274" t="s">
        <v>1749</v>
      </c>
      <c r="C1274" t="s">
        <v>130</v>
      </c>
      <c r="D1274">
        <v>1972</v>
      </c>
      <c r="E1274" t="s">
        <v>15</v>
      </c>
      <c r="F1274" t="s">
        <v>16</v>
      </c>
      <c r="G1274" t="s">
        <v>17</v>
      </c>
      <c r="H1274" t="s">
        <v>18</v>
      </c>
      <c r="I1274">
        <v>44.366</v>
      </c>
      <c r="J1274" t="s">
        <v>19</v>
      </c>
      <c r="K1274" t="s">
        <v>1766</v>
      </c>
      <c r="L1274" t="s">
        <v>21</v>
      </c>
    </row>
    <row r="1275" spans="1:12">
      <c r="A1275" t="s">
        <v>1767</v>
      </c>
      <c r="B1275" t="s">
        <v>1749</v>
      </c>
      <c r="C1275" t="s">
        <v>130</v>
      </c>
      <c r="D1275">
        <v>1972</v>
      </c>
      <c r="E1275" t="s">
        <v>23</v>
      </c>
      <c r="F1275" t="s">
        <v>24</v>
      </c>
      <c r="G1275" t="s">
        <v>25</v>
      </c>
      <c r="H1275" t="s">
        <v>26</v>
      </c>
      <c r="I1275">
        <v>178848</v>
      </c>
      <c r="J1275" t="s">
        <v>27</v>
      </c>
      <c r="K1275" t="s">
        <v>1766</v>
      </c>
      <c r="L1275" t="s">
        <v>21</v>
      </c>
    </row>
    <row r="1276" spans="1:12">
      <c r="A1276" t="s">
        <v>1768</v>
      </c>
      <c r="B1276" t="s">
        <v>1749</v>
      </c>
      <c r="C1276" t="s">
        <v>130</v>
      </c>
      <c r="D1276">
        <v>1972</v>
      </c>
      <c r="E1276" t="s">
        <v>29</v>
      </c>
      <c r="F1276" t="s">
        <v>30</v>
      </c>
      <c r="G1276" t="s">
        <v>31</v>
      </c>
      <c r="H1276" t="s">
        <v>32</v>
      </c>
      <c r="I1276">
        <v>3694.212352</v>
      </c>
      <c r="J1276" t="s">
        <v>33</v>
      </c>
      <c r="K1276" t="s">
        <v>1766</v>
      </c>
      <c r="L1276" t="s">
        <v>21</v>
      </c>
    </row>
    <row r="1277" spans="1:12">
      <c r="A1277" t="s">
        <v>1769</v>
      </c>
      <c r="B1277" t="s">
        <v>1749</v>
      </c>
      <c r="C1277" t="s">
        <v>130</v>
      </c>
      <c r="D1277">
        <v>1977</v>
      </c>
      <c r="E1277" t="s">
        <v>15</v>
      </c>
      <c r="F1277" t="s">
        <v>16</v>
      </c>
      <c r="G1277" t="s">
        <v>17</v>
      </c>
      <c r="H1277" t="s">
        <v>18</v>
      </c>
      <c r="I1277">
        <v>46.518999999999998</v>
      </c>
      <c r="J1277" t="s">
        <v>19</v>
      </c>
      <c r="K1277" t="s">
        <v>1770</v>
      </c>
      <c r="L1277" t="s">
        <v>21</v>
      </c>
    </row>
    <row r="1278" spans="1:12">
      <c r="A1278" t="s">
        <v>1771</v>
      </c>
      <c r="B1278" t="s">
        <v>1749</v>
      </c>
      <c r="C1278" t="s">
        <v>130</v>
      </c>
      <c r="D1278">
        <v>1977</v>
      </c>
      <c r="E1278" t="s">
        <v>23</v>
      </c>
      <c r="F1278" t="s">
        <v>24</v>
      </c>
      <c r="G1278" t="s">
        <v>25</v>
      </c>
      <c r="H1278" t="s">
        <v>26</v>
      </c>
      <c r="I1278">
        <v>228694</v>
      </c>
      <c r="J1278" t="s">
        <v>27</v>
      </c>
      <c r="K1278" t="s">
        <v>1770</v>
      </c>
      <c r="L1278" t="s">
        <v>21</v>
      </c>
    </row>
    <row r="1279" spans="1:12">
      <c r="A1279" t="s">
        <v>1772</v>
      </c>
      <c r="B1279" t="s">
        <v>1749</v>
      </c>
      <c r="C1279" t="s">
        <v>130</v>
      </c>
      <c r="D1279">
        <v>1977</v>
      </c>
      <c r="E1279" t="s">
        <v>29</v>
      </c>
      <c r="F1279" t="s">
        <v>30</v>
      </c>
      <c r="G1279" t="s">
        <v>31</v>
      </c>
      <c r="H1279" t="s">
        <v>32</v>
      </c>
      <c r="I1279">
        <v>3081.7610220000001</v>
      </c>
      <c r="J1279" t="s">
        <v>33</v>
      </c>
      <c r="K1279" t="s">
        <v>1770</v>
      </c>
      <c r="L1279" t="s">
        <v>21</v>
      </c>
    </row>
    <row r="1280" spans="1:12">
      <c r="A1280" t="s">
        <v>1773</v>
      </c>
      <c r="B1280" t="s">
        <v>1749</v>
      </c>
      <c r="C1280" t="s">
        <v>130</v>
      </c>
      <c r="D1280">
        <v>1982</v>
      </c>
      <c r="E1280" t="s">
        <v>15</v>
      </c>
      <c r="F1280" t="s">
        <v>16</v>
      </c>
      <c r="G1280" t="s">
        <v>17</v>
      </c>
      <c r="H1280" t="s">
        <v>18</v>
      </c>
      <c r="I1280">
        <v>48.811999999999998</v>
      </c>
      <c r="J1280" t="s">
        <v>19</v>
      </c>
      <c r="K1280" t="s">
        <v>1774</v>
      </c>
      <c r="L1280" t="s">
        <v>21</v>
      </c>
    </row>
    <row r="1281" spans="1:12">
      <c r="A1281" t="s">
        <v>1775</v>
      </c>
      <c r="B1281" t="s">
        <v>1749</v>
      </c>
      <c r="C1281" t="s">
        <v>130</v>
      </c>
      <c r="D1281">
        <v>1982</v>
      </c>
      <c r="E1281" t="s">
        <v>23</v>
      </c>
      <c r="F1281" t="s">
        <v>24</v>
      </c>
      <c r="G1281" t="s">
        <v>25</v>
      </c>
      <c r="H1281" t="s">
        <v>26</v>
      </c>
      <c r="I1281">
        <v>305991</v>
      </c>
      <c r="J1281" t="s">
        <v>27</v>
      </c>
      <c r="K1281" t="s">
        <v>1774</v>
      </c>
      <c r="L1281" t="s">
        <v>21</v>
      </c>
    </row>
    <row r="1282" spans="1:12">
      <c r="A1282" t="s">
        <v>1776</v>
      </c>
      <c r="B1282" t="s">
        <v>1749</v>
      </c>
      <c r="C1282" t="s">
        <v>130</v>
      </c>
      <c r="D1282">
        <v>1982</v>
      </c>
      <c r="E1282" t="s">
        <v>29</v>
      </c>
      <c r="F1282" t="s">
        <v>30</v>
      </c>
      <c r="G1282" t="s">
        <v>31</v>
      </c>
      <c r="H1282" t="s">
        <v>32</v>
      </c>
      <c r="I1282">
        <v>2879.4680669999998</v>
      </c>
      <c r="J1282" t="s">
        <v>33</v>
      </c>
      <c r="K1282" t="s">
        <v>1774</v>
      </c>
      <c r="L1282" t="s">
        <v>21</v>
      </c>
    </row>
    <row r="1283" spans="1:12">
      <c r="A1283" t="s">
        <v>1777</v>
      </c>
      <c r="B1283" t="s">
        <v>1749</v>
      </c>
      <c r="C1283" t="s">
        <v>130</v>
      </c>
      <c r="D1283">
        <v>1987</v>
      </c>
      <c r="E1283" t="s">
        <v>15</v>
      </c>
      <c r="F1283" t="s">
        <v>16</v>
      </c>
      <c r="G1283" t="s">
        <v>17</v>
      </c>
      <c r="H1283" t="s">
        <v>18</v>
      </c>
      <c r="I1283">
        <v>50.04</v>
      </c>
      <c r="J1283" t="s">
        <v>19</v>
      </c>
      <c r="K1283" t="s">
        <v>1778</v>
      </c>
      <c r="L1283" t="s">
        <v>21</v>
      </c>
    </row>
    <row r="1284" spans="1:12">
      <c r="A1284" t="s">
        <v>1779</v>
      </c>
      <c r="B1284" t="s">
        <v>1749</v>
      </c>
      <c r="C1284" t="s">
        <v>130</v>
      </c>
      <c r="D1284">
        <v>1987</v>
      </c>
      <c r="E1284" t="s">
        <v>23</v>
      </c>
      <c r="F1284" t="s">
        <v>24</v>
      </c>
      <c r="G1284" t="s">
        <v>25</v>
      </c>
      <c r="H1284" t="s">
        <v>26</v>
      </c>
      <c r="I1284">
        <v>311025</v>
      </c>
      <c r="J1284" t="s">
        <v>27</v>
      </c>
      <c r="K1284" t="s">
        <v>1778</v>
      </c>
      <c r="L1284" t="s">
        <v>21</v>
      </c>
    </row>
    <row r="1285" spans="1:12">
      <c r="A1285" t="s">
        <v>1780</v>
      </c>
      <c r="B1285" t="s">
        <v>1749</v>
      </c>
      <c r="C1285" t="s">
        <v>130</v>
      </c>
      <c r="D1285">
        <v>1987</v>
      </c>
      <c r="E1285" t="s">
        <v>29</v>
      </c>
      <c r="F1285" t="s">
        <v>30</v>
      </c>
      <c r="G1285" t="s">
        <v>31</v>
      </c>
      <c r="H1285" t="s">
        <v>32</v>
      </c>
      <c r="I1285">
        <v>2880.1025679999998</v>
      </c>
      <c r="J1285" t="s">
        <v>33</v>
      </c>
      <c r="K1285" t="s">
        <v>1778</v>
      </c>
      <c r="L1285" t="s">
        <v>21</v>
      </c>
    </row>
    <row r="1286" spans="1:12">
      <c r="A1286" t="s">
        <v>1781</v>
      </c>
      <c r="B1286" t="s">
        <v>1749</v>
      </c>
      <c r="C1286" t="s">
        <v>130</v>
      </c>
      <c r="D1286">
        <v>1992</v>
      </c>
      <c r="E1286" t="s">
        <v>15</v>
      </c>
      <c r="F1286" t="s">
        <v>16</v>
      </c>
      <c r="G1286" t="s">
        <v>17</v>
      </c>
      <c r="H1286" t="s">
        <v>18</v>
      </c>
      <c r="I1286">
        <v>51.603999999999999</v>
      </c>
      <c r="J1286" t="s">
        <v>19</v>
      </c>
      <c r="K1286" t="s">
        <v>1782</v>
      </c>
      <c r="L1286" t="s">
        <v>21</v>
      </c>
    </row>
    <row r="1287" spans="1:12">
      <c r="A1287" t="s">
        <v>1783</v>
      </c>
      <c r="B1287" t="s">
        <v>1749</v>
      </c>
      <c r="C1287" t="s">
        <v>130</v>
      </c>
      <c r="D1287">
        <v>1992</v>
      </c>
      <c r="E1287" t="s">
        <v>23</v>
      </c>
      <c r="F1287" t="s">
        <v>24</v>
      </c>
      <c r="G1287" t="s">
        <v>25</v>
      </c>
      <c r="H1287" t="s">
        <v>26</v>
      </c>
      <c r="I1287">
        <v>384156</v>
      </c>
      <c r="J1287" t="s">
        <v>27</v>
      </c>
      <c r="K1287" t="s">
        <v>1782</v>
      </c>
      <c r="L1287" t="s">
        <v>21</v>
      </c>
    </row>
    <row r="1288" spans="1:12">
      <c r="A1288" t="s">
        <v>1784</v>
      </c>
      <c r="B1288" t="s">
        <v>1749</v>
      </c>
      <c r="C1288" t="s">
        <v>130</v>
      </c>
      <c r="D1288">
        <v>1992</v>
      </c>
      <c r="E1288" t="s">
        <v>29</v>
      </c>
      <c r="F1288" t="s">
        <v>30</v>
      </c>
      <c r="G1288" t="s">
        <v>31</v>
      </c>
      <c r="H1288" t="s">
        <v>32</v>
      </c>
      <c r="I1288">
        <v>2377.1561919999999</v>
      </c>
      <c r="J1288" t="s">
        <v>33</v>
      </c>
      <c r="K1288" t="s">
        <v>1782</v>
      </c>
      <c r="L1288" t="s">
        <v>21</v>
      </c>
    </row>
    <row r="1289" spans="1:12">
      <c r="A1289" t="s">
        <v>1785</v>
      </c>
      <c r="B1289" t="s">
        <v>1749</v>
      </c>
      <c r="C1289" t="s">
        <v>130</v>
      </c>
      <c r="D1289">
        <v>1997</v>
      </c>
      <c r="E1289" t="s">
        <v>15</v>
      </c>
      <c r="F1289" t="s">
        <v>16</v>
      </c>
      <c r="G1289" t="s">
        <v>17</v>
      </c>
      <c r="H1289" t="s">
        <v>18</v>
      </c>
      <c r="I1289">
        <v>53.156999999999996</v>
      </c>
      <c r="J1289" t="s">
        <v>19</v>
      </c>
      <c r="K1289" t="s">
        <v>1786</v>
      </c>
      <c r="L1289" t="s">
        <v>21</v>
      </c>
    </row>
    <row r="1290" spans="1:12">
      <c r="A1290" t="s">
        <v>1787</v>
      </c>
      <c r="B1290" t="s">
        <v>1749</v>
      </c>
      <c r="C1290" t="s">
        <v>130</v>
      </c>
      <c r="D1290">
        <v>1997</v>
      </c>
      <c r="E1290" t="s">
        <v>23</v>
      </c>
      <c r="F1290" t="s">
        <v>24</v>
      </c>
      <c r="G1290" t="s">
        <v>25</v>
      </c>
      <c r="H1290" t="s">
        <v>26</v>
      </c>
      <c r="I1290">
        <v>417908</v>
      </c>
      <c r="J1290" t="s">
        <v>27</v>
      </c>
      <c r="K1290" t="s">
        <v>1786</v>
      </c>
      <c r="L1290" t="s">
        <v>21</v>
      </c>
    </row>
    <row r="1291" spans="1:12">
      <c r="A1291" t="s">
        <v>1788</v>
      </c>
      <c r="B1291" t="s">
        <v>1749</v>
      </c>
      <c r="C1291" t="s">
        <v>130</v>
      </c>
      <c r="D1291">
        <v>1997</v>
      </c>
      <c r="E1291" t="s">
        <v>29</v>
      </c>
      <c r="F1291" t="s">
        <v>30</v>
      </c>
      <c r="G1291" t="s">
        <v>31</v>
      </c>
      <c r="H1291" t="s">
        <v>32</v>
      </c>
      <c r="I1291">
        <v>1895.0169840000001</v>
      </c>
      <c r="J1291" t="s">
        <v>33</v>
      </c>
      <c r="K1291" t="s">
        <v>1786</v>
      </c>
      <c r="L1291" t="s">
        <v>21</v>
      </c>
    </row>
    <row r="1292" spans="1:12">
      <c r="A1292" t="s">
        <v>1789</v>
      </c>
      <c r="B1292" t="s">
        <v>1749</v>
      </c>
      <c r="C1292" t="s">
        <v>130</v>
      </c>
      <c r="D1292">
        <v>2002</v>
      </c>
      <c r="E1292" t="s">
        <v>15</v>
      </c>
      <c r="F1292" t="s">
        <v>16</v>
      </c>
      <c r="G1292" t="s">
        <v>17</v>
      </c>
      <c r="H1292" t="s">
        <v>18</v>
      </c>
      <c r="I1292">
        <v>53.372999999999998</v>
      </c>
      <c r="J1292" t="s">
        <v>19</v>
      </c>
      <c r="K1292" t="s">
        <v>1790</v>
      </c>
      <c r="L1292" t="s">
        <v>21</v>
      </c>
    </row>
    <row r="1293" spans="1:12">
      <c r="A1293" t="s">
        <v>1791</v>
      </c>
      <c r="B1293" t="s">
        <v>1749</v>
      </c>
      <c r="C1293" t="s">
        <v>130</v>
      </c>
      <c r="D1293">
        <v>2002</v>
      </c>
      <c r="E1293" t="s">
        <v>23</v>
      </c>
      <c r="F1293" t="s">
        <v>24</v>
      </c>
      <c r="G1293" t="s">
        <v>25</v>
      </c>
      <c r="H1293" t="s">
        <v>26</v>
      </c>
      <c r="I1293">
        <v>447416</v>
      </c>
      <c r="J1293" t="s">
        <v>27</v>
      </c>
      <c r="K1293" t="s">
        <v>1790</v>
      </c>
      <c r="L1293" t="s">
        <v>21</v>
      </c>
    </row>
    <row r="1294" spans="1:12">
      <c r="A1294" t="s">
        <v>1792</v>
      </c>
      <c r="B1294" t="s">
        <v>1749</v>
      </c>
      <c r="C1294" t="s">
        <v>130</v>
      </c>
      <c r="D1294">
        <v>2002</v>
      </c>
      <c r="E1294" t="s">
        <v>29</v>
      </c>
      <c r="F1294" t="s">
        <v>30</v>
      </c>
      <c r="G1294" t="s">
        <v>31</v>
      </c>
      <c r="H1294" t="s">
        <v>32</v>
      </c>
      <c r="I1294">
        <v>1908.260867</v>
      </c>
      <c r="J1294" t="s">
        <v>33</v>
      </c>
      <c r="K1294" t="s">
        <v>1790</v>
      </c>
      <c r="L1294" t="s">
        <v>21</v>
      </c>
    </row>
    <row r="1295" spans="1:12">
      <c r="A1295" t="s">
        <v>1793</v>
      </c>
      <c r="B1295" t="s">
        <v>1749</v>
      </c>
      <c r="C1295" t="s">
        <v>130</v>
      </c>
      <c r="D1295">
        <v>2007</v>
      </c>
      <c r="E1295" t="s">
        <v>15</v>
      </c>
      <c r="F1295" t="s">
        <v>16</v>
      </c>
      <c r="G1295" t="s">
        <v>17</v>
      </c>
      <c r="H1295" t="s">
        <v>18</v>
      </c>
      <c r="I1295">
        <v>54.790999999999997</v>
      </c>
      <c r="J1295" t="s">
        <v>19</v>
      </c>
      <c r="K1295" t="s">
        <v>1794</v>
      </c>
      <c r="L1295" t="s">
        <v>21</v>
      </c>
    </row>
    <row r="1296" spans="1:12">
      <c r="A1296" t="s">
        <v>1795</v>
      </c>
      <c r="B1296" t="s">
        <v>1749</v>
      </c>
      <c r="C1296" t="s">
        <v>130</v>
      </c>
      <c r="D1296">
        <v>2007</v>
      </c>
      <c r="E1296" t="s">
        <v>23</v>
      </c>
      <c r="F1296" t="s">
        <v>24</v>
      </c>
      <c r="G1296" t="s">
        <v>25</v>
      </c>
      <c r="H1296" t="s">
        <v>26</v>
      </c>
      <c r="I1296">
        <v>496374</v>
      </c>
      <c r="J1296" t="s">
        <v>27</v>
      </c>
      <c r="K1296" t="s">
        <v>1794</v>
      </c>
      <c r="L1296" t="s">
        <v>21</v>
      </c>
    </row>
    <row r="1297" spans="1:12">
      <c r="A1297" t="s">
        <v>1796</v>
      </c>
      <c r="B1297" t="s">
        <v>1749</v>
      </c>
      <c r="C1297" t="s">
        <v>130</v>
      </c>
      <c r="D1297">
        <v>2007</v>
      </c>
      <c r="E1297" t="s">
        <v>29</v>
      </c>
      <c r="F1297" t="s">
        <v>30</v>
      </c>
      <c r="G1297" t="s">
        <v>31</v>
      </c>
      <c r="H1297" t="s">
        <v>32</v>
      </c>
      <c r="I1297">
        <v>2082.4815669999998</v>
      </c>
      <c r="J1297" t="s">
        <v>33</v>
      </c>
      <c r="K1297" t="s">
        <v>1794</v>
      </c>
      <c r="L1297" t="s">
        <v>21</v>
      </c>
    </row>
    <row r="1298" spans="1:12">
      <c r="A1298" t="s">
        <v>1797</v>
      </c>
      <c r="B1298" t="s">
        <v>1798</v>
      </c>
      <c r="C1298" t="s">
        <v>229</v>
      </c>
      <c r="D1298">
        <v>1952</v>
      </c>
      <c r="E1298" t="s">
        <v>15</v>
      </c>
      <c r="F1298" t="s">
        <v>16</v>
      </c>
      <c r="G1298" t="s">
        <v>17</v>
      </c>
      <c r="H1298" t="s">
        <v>18</v>
      </c>
      <c r="I1298">
        <v>45.927999999999997</v>
      </c>
      <c r="J1298" t="s">
        <v>19</v>
      </c>
      <c r="K1298" t="s">
        <v>1799</v>
      </c>
      <c r="L1298" t="s">
        <v>21</v>
      </c>
    </row>
    <row r="1299" spans="1:12">
      <c r="A1299" t="s">
        <v>1800</v>
      </c>
      <c r="B1299" t="s">
        <v>1798</v>
      </c>
      <c r="C1299" t="s">
        <v>229</v>
      </c>
      <c r="D1299">
        <v>1952</v>
      </c>
      <c r="E1299" t="s">
        <v>23</v>
      </c>
      <c r="F1299" t="s">
        <v>24</v>
      </c>
      <c r="G1299" t="s">
        <v>25</v>
      </c>
      <c r="H1299" t="s">
        <v>26</v>
      </c>
      <c r="I1299">
        <v>2491346</v>
      </c>
      <c r="J1299" t="s">
        <v>27</v>
      </c>
      <c r="K1299" t="s">
        <v>1799</v>
      </c>
      <c r="L1299" t="s">
        <v>21</v>
      </c>
    </row>
    <row r="1300" spans="1:12">
      <c r="A1300" t="s">
        <v>1801</v>
      </c>
      <c r="B1300" t="s">
        <v>1798</v>
      </c>
      <c r="C1300" t="s">
        <v>229</v>
      </c>
      <c r="D1300">
        <v>1952</v>
      </c>
      <c r="E1300" t="s">
        <v>29</v>
      </c>
      <c r="F1300" t="s">
        <v>30</v>
      </c>
      <c r="G1300" t="s">
        <v>31</v>
      </c>
      <c r="H1300" t="s">
        <v>32</v>
      </c>
      <c r="I1300">
        <v>1397.7171370000001</v>
      </c>
      <c r="J1300" t="s">
        <v>33</v>
      </c>
      <c r="K1300" t="s">
        <v>1799</v>
      </c>
      <c r="L1300" t="s">
        <v>21</v>
      </c>
    </row>
    <row r="1301" spans="1:12">
      <c r="A1301" t="s">
        <v>1802</v>
      </c>
      <c r="B1301" t="s">
        <v>1798</v>
      </c>
      <c r="C1301" t="s">
        <v>229</v>
      </c>
      <c r="D1301">
        <v>1957</v>
      </c>
      <c r="E1301" t="s">
        <v>15</v>
      </c>
      <c r="F1301" t="s">
        <v>16</v>
      </c>
      <c r="G1301" t="s">
        <v>17</v>
      </c>
      <c r="H1301" t="s">
        <v>18</v>
      </c>
      <c r="I1301">
        <v>49.828000000000003</v>
      </c>
      <c r="J1301" t="s">
        <v>19</v>
      </c>
      <c r="K1301" t="s">
        <v>1803</v>
      </c>
      <c r="L1301" t="s">
        <v>21</v>
      </c>
    </row>
    <row r="1302" spans="1:12">
      <c r="A1302" t="s">
        <v>1804</v>
      </c>
      <c r="B1302" t="s">
        <v>1798</v>
      </c>
      <c r="C1302" t="s">
        <v>229</v>
      </c>
      <c r="D1302">
        <v>1957</v>
      </c>
      <c r="E1302" t="s">
        <v>23</v>
      </c>
      <c r="F1302" t="s">
        <v>24</v>
      </c>
      <c r="G1302" t="s">
        <v>25</v>
      </c>
      <c r="H1302" t="s">
        <v>26</v>
      </c>
      <c r="I1302">
        <v>2923186</v>
      </c>
      <c r="J1302" t="s">
        <v>27</v>
      </c>
      <c r="K1302" t="s">
        <v>1803</v>
      </c>
      <c r="L1302" t="s">
        <v>21</v>
      </c>
    </row>
    <row r="1303" spans="1:12">
      <c r="A1303" t="s">
        <v>1805</v>
      </c>
      <c r="B1303" t="s">
        <v>1798</v>
      </c>
      <c r="C1303" t="s">
        <v>229</v>
      </c>
      <c r="D1303">
        <v>1957</v>
      </c>
      <c r="E1303" t="s">
        <v>29</v>
      </c>
      <c r="F1303" t="s">
        <v>30</v>
      </c>
      <c r="G1303" t="s">
        <v>31</v>
      </c>
      <c r="H1303" t="s">
        <v>32</v>
      </c>
      <c r="I1303">
        <v>1544.4029949999999</v>
      </c>
      <c r="J1303" t="s">
        <v>33</v>
      </c>
      <c r="K1303" t="s">
        <v>1803</v>
      </c>
      <c r="L1303" t="s">
        <v>21</v>
      </c>
    </row>
    <row r="1304" spans="1:12">
      <c r="A1304" t="s">
        <v>1806</v>
      </c>
      <c r="B1304" t="s">
        <v>1798</v>
      </c>
      <c r="C1304" t="s">
        <v>229</v>
      </c>
      <c r="D1304">
        <v>1962</v>
      </c>
      <c r="E1304" t="s">
        <v>15</v>
      </c>
      <c r="F1304" t="s">
        <v>16</v>
      </c>
      <c r="G1304" t="s">
        <v>17</v>
      </c>
      <c r="H1304" t="s">
        <v>18</v>
      </c>
      <c r="I1304">
        <v>53.459000000000003</v>
      </c>
      <c r="J1304" t="s">
        <v>19</v>
      </c>
      <c r="K1304" t="s">
        <v>1807</v>
      </c>
      <c r="L1304" t="s">
        <v>21</v>
      </c>
    </row>
    <row r="1305" spans="1:12">
      <c r="A1305" t="s">
        <v>1808</v>
      </c>
      <c r="B1305" t="s">
        <v>1798</v>
      </c>
      <c r="C1305" t="s">
        <v>229</v>
      </c>
      <c r="D1305">
        <v>1962</v>
      </c>
      <c r="E1305" t="s">
        <v>23</v>
      </c>
      <c r="F1305" t="s">
        <v>24</v>
      </c>
      <c r="G1305" t="s">
        <v>25</v>
      </c>
      <c r="H1305" t="s">
        <v>26</v>
      </c>
      <c r="I1305">
        <v>3453434</v>
      </c>
      <c r="J1305" t="s">
        <v>27</v>
      </c>
      <c r="K1305" t="s">
        <v>1807</v>
      </c>
      <c r="L1305" t="s">
        <v>21</v>
      </c>
    </row>
    <row r="1306" spans="1:12">
      <c r="A1306" t="s">
        <v>1809</v>
      </c>
      <c r="B1306" t="s">
        <v>1798</v>
      </c>
      <c r="C1306" t="s">
        <v>229</v>
      </c>
      <c r="D1306">
        <v>1962</v>
      </c>
      <c r="E1306" t="s">
        <v>29</v>
      </c>
      <c r="F1306" t="s">
        <v>30</v>
      </c>
      <c r="G1306" t="s">
        <v>31</v>
      </c>
      <c r="H1306" t="s">
        <v>32</v>
      </c>
      <c r="I1306">
        <v>1662.1373590000001</v>
      </c>
      <c r="J1306" t="s">
        <v>33</v>
      </c>
      <c r="K1306" t="s">
        <v>1807</v>
      </c>
      <c r="L1306" t="s">
        <v>21</v>
      </c>
    </row>
    <row r="1307" spans="1:12">
      <c r="A1307" t="s">
        <v>1810</v>
      </c>
      <c r="B1307" t="s">
        <v>1798</v>
      </c>
      <c r="C1307" t="s">
        <v>229</v>
      </c>
      <c r="D1307">
        <v>1967</v>
      </c>
      <c r="E1307" t="s">
        <v>15</v>
      </c>
      <c r="F1307" t="s">
        <v>16</v>
      </c>
      <c r="G1307" t="s">
        <v>17</v>
      </c>
      <c r="H1307" t="s">
        <v>18</v>
      </c>
      <c r="I1307">
        <v>56.750999999999998</v>
      </c>
      <c r="J1307" t="s">
        <v>19</v>
      </c>
      <c r="K1307" t="s">
        <v>1811</v>
      </c>
      <c r="L1307" t="s">
        <v>21</v>
      </c>
    </row>
    <row r="1308" spans="1:12">
      <c r="A1308" t="s">
        <v>1812</v>
      </c>
      <c r="B1308" t="s">
        <v>1798</v>
      </c>
      <c r="C1308" t="s">
        <v>229</v>
      </c>
      <c r="D1308">
        <v>1967</v>
      </c>
      <c r="E1308" t="s">
        <v>23</v>
      </c>
      <c r="F1308" t="s">
        <v>24</v>
      </c>
      <c r="G1308" t="s">
        <v>25</v>
      </c>
      <c r="H1308" t="s">
        <v>26</v>
      </c>
      <c r="I1308">
        <v>4049146</v>
      </c>
      <c r="J1308" t="s">
        <v>27</v>
      </c>
      <c r="K1308" t="s">
        <v>1811</v>
      </c>
      <c r="L1308" t="s">
        <v>21</v>
      </c>
    </row>
    <row r="1309" spans="1:12">
      <c r="A1309" t="s">
        <v>1813</v>
      </c>
      <c r="B1309" t="s">
        <v>1798</v>
      </c>
      <c r="C1309" t="s">
        <v>229</v>
      </c>
      <c r="D1309">
        <v>1967</v>
      </c>
      <c r="E1309" t="s">
        <v>29</v>
      </c>
      <c r="F1309" t="s">
        <v>30</v>
      </c>
      <c r="G1309" t="s">
        <v>31</v>
      </c>
      <c r="H1309" t="s">
        <v>32</v>
      </c>
      <c r="I1309">
        <v>1653.7230029999901</v>
      </c>
      <c r="J1309" t="s">
        <v>33</v>
      </c>
      <c r="K1309" t="s">
        <v>1811</v>
      </c>
      <c r="L1309" t="s">
        <v>21</v>
      </c>
    </row>
    <row r="1310" spans="1:12">
      <c r="A1310" t="s">
        <v>1814</v>
      </c>
      <c r="B1310" t="s">
        <v>1798</v>
      </c>
      <c r="C1310" t="s">
        <v>229</v>
      </c>
      <c r="D1310">
        <v>1972</v>
      </c>
      <c r="E1310" t="s">
        <v>15</v>
      </c>
      <c r="F1310" t="s">
        <v>16</v>
      </c>
      <c r="G1310" t="s">
        <v>17</v>
      </c>
      <c r="H1310" t="s">
        <v>18</v>
      </c>
      <c r="I1310">
        <v>59.631</v>
      </c>
      <c r="J1310" t="s">
        <v>19</v>
      </c>
      <c r="K1310" t="s">
        <v>1815</v>
      </c>
      <c r="L1310" t="s">
        <v>21</v>
      </c>
    </row>
    <row r="1311" spans="1:12">
      <c r="A1311" t="s">
        <v>1816</v>
      </c>
      <c r="B1311" t="s">
        <v>1798</v>
      </c>
      <c r="C1311" t="s">
        <v>229</v>
      </c>
      <c r="D1311">
        <v>1972</v>
      </c>
      <c r="E1311" t="s">
        <v>23</v>
      </c>
      <c r="F1311" t="s">
        <v>24</v>
      </c>
      <c r="G1311" t="s">
        <v>25</v>
      </c>
      <c r="H1311" t="s">
        <v>26</v>
      </c>
      <c r="I1311">
        <v>4671329</v>
      </c>
      <c r="J1311" t="s">
        <v>27</v>
      </c>
      <c r="K1311" t="s">
        <v>1815</v>
      </c>
      <c r="L1311" t="s">
        <v>21</v>
      </c>
    </row>
    <row r="1312" spans="1:12">
      <c r="A1312" t="s">
        <v>1817</v>
      </c>
      <c r="B1312" t="s">
        <v>1798</v>
      </c>
      <c r="C1312" t="s">
        <v>229</v>
      </c>
      <c r="D1312">
        <v>1972</v>
      </c>
      <c r="E1312" t="s">
        <v>29</v>
      </c>
      <c r="F1312" t="s">
        <v>30</v>
      </c>
      <c r="G1312" t="s">
        <v>31</v>
      </c>
      <c r="H1312" t="s">
        <v>32</v>
      </c>
      <c r="I1312">
        <v>2189.874499</v>
      </c>
      <c r="J1312" t="s">
        <v>33</v>
      </c>
      <c r="K1312" t="s">
        <v>1815</v>
      </c>
      <c r="L1312" t="s">
        <v>21</v>
      </c>
    </row>
    <row r="1313" spans="1:12">
      <c r="A1313" t="s">
        <v>1818</v>
      </c>
      <c r="B1313" t="s">
        <v>1798</v>
      </c>
      <c r="C1313" t="s">
        <v>229</v>
      </c>
      <c r="D1313">
        <v>1977</v>
      </c>
      <c r="E1313" t="s">
        <v>15</v>
      </c>
      <c r="F1313" t="s">
        <v>16</v>
      </c>
      <c r="G1313" t="s">
        <v>17</v>
      </c>
      <c r="H1313" t="s">
        <v>18</v>
      </c>
      <c r="I1313">
        <v>61.787999999999997</v>
      </c>
      <c r="J1313" t="s">
        <v>19</v>
      </c>
      <c r="K1313" t="s">
        <v>1819</v>
      </c>
      <c r="L1313" t="s">
        <v>21</v>
      </c>
    </row>
    <row r="1314" spans="1:12">
      <c r="A1314" t="s">
        <v>1820</v>
      </c>
      <c r="B1314" t="s">
        <v>1798</v>
      </c>
      <c r="C1314" t="s">
        <v>229</v>
      </c>
      <c r="D1314">
        <v>1977</v>
      </c>
      <c r="E1314" t="s">
        <v>23</v>
      </c>
      <c r="F1314" t="s">
        <v>24</v>
      </c>
      <c r="G1314" t="s">
        <v>25</v>
      </c>
      <c r="H1314" t="s">
        <v>26</v>
      </c>
      <c r="I1314">
        <v>5302800</v>
      </c>
      <c r="J1314" t="s">
        <v>27</v>
      </c>
      <c r="K1314" t="s">
        <v>1819</v>
      </c>
      <c r="L1314" t="s">
        <v>21</v>
      </c>
    </row>
    <row r="1315" spans="1:12">
      <c r="A1315" t="s">
        <v>1821</v>
      </c>
      <c r="B1315" t="s">
        <v>1798</v>
      </c>
      <c r="C1315" t="s">
        <v>229</v>
      </c>
      <c r="D1315">
        <v>1977</v>
      </c>
      <c r="E1315" t="s">
        <v>29</v>
      </c>
      <c r="F1315" t="s">
        <v>30</v>
      </c>
      <c r="G1315" t="s">
        <v>31</v>
      </c>
      <c r="H1315" t="s">
        <v>32</v>
      </c>
      <c r="I1315">
        <v>2681.9888999999998</v>
      </c>
      <c r="J1315" t="s">
        <v>33</v>
      </c>
      <c r="K1315" t="s">
        <v>1819</v>
      </c>
      <c r="L1315" t="s">
        <v>21</v>
      </c>
    </row>
    <row r="1316" spans="1:12">
      <c r="A1316" t="s">
        <v>1822</v>
      </c>
      <c r="B1316" t="s">
        <v>1798</v>
      </c>
      <c r="C1316" t="s">
        <v>229</v>
      </c>
      <c r="D1316">
        <v>1982</v>
      </c>
      <c r="E1316" t="s">
        <v>15</v>
      </c>
      <c r="F1316" t="s">
        <v>16</v>
      </c>
      <c r="G1316" t="s">
        <v>17</v>
      </c>
      <c r="H1316" t="s">
        <v>18</v>
      </c>
      <c r="I1316">
        <v>63.726999999999997</v>
      </c>
      <c r="J1316" t="s">
        <v>19</v>
      </c>
      <c r="K1316" t="s">
        <v>1823</v>
      </c>
      <c r="L1316" t="s">
        <v>21</v>
      </c>
    </row>
    <row r="1317" spans="1:12">
      <c r="A1317" t="s">
        <v>1824</v>
      </c>
      <c r="B1317" t="s">
        <v>1798</v>
      </c>
      <c r="C1317" t="s">
        <v>229</v>
      </c>
      <c r="D1317">
        <v>1982</v>
      </c>
      <c r="E1317" t="s">
        <v>23</v>
      </c>
      <c r="F1317" t="s">
        <v>24</v>
      </c>
      <c r="G1317" t="s">
        <v>25</v>
      </c>
      <c r="H1317" t="s">
        <v>26</v>
      </c>
      <c r="I1317">
        <v>5968349</v>
      </c>
      <c r="J1317" t="s">
        <v>27</v>
      </c>
      <c r="K1317" t="s">
        <v>1823</v>
      </c>
      <c r="L1317" t="s">
        <v>21</v>
      </c>
    </row>
    <row r="1318" spans="1:12">
      <c r="A1318" t="s">
        <v>1825</v>
      </c>
      <c r="B1318" t="s">
        <v>1798</v>
      </c>
      <c r="C1318" t="s">
        <v>229</v>
      </c>
      <c r="D1318">
        <v>1982</v>
      </c>
      <c r="E1318" t="s">
        <v>29</v>
      </c>
      <c r="F1318" t="s">
        <v>30</v>
      </c>
      <c r="G1318" t="s">
        <v>31</v>
      </c>
      <c r="H1318" t="s">
        <v>32</v>
      </c>
      <c r="I1318">
        <v>2861.0923859999998</v>
      </c>
      <c r="J1318" t="s">
        <v>33</v>
      </c>
      <c r="K1318" t="s">
        <v>1823</v>
      </c>
      <c r="L1318" t="s">
        <v>21</v>
      </c>
    </row>
    <row r="1319" spans="1:12">
      <c r="A1319" t="s">
        <v>1826</v>
      </c>
      <c r="B1319" t="s">
        <v>1798</v>
      </c>
      <c r="C1319" t="s">
        <v>229</v>
      </c>
      <c r="D1319">
        <v>1987</v>
      </c>
      <c r="E1319" t="s">
        <v>15</v>
      </c>
      <c r="F1319" t="s">
        <v>16</v>
      </c>
      <c r="G1319" t="s">
        <v>17</v>
      </c>
      <c r="H1319" t="s">
        <v>18</v>
      </c>
      <c r="I1319">
        <v>66.046000000000006</v>
      </c>
      <c r="J1319" t="s">
        <v>19</v>
      </c>
      <c r="K1319" t="s">
        <v>1827</v>
      </c>
      <c r="L1319" t="s">
        <v>21</v>
      </c>
    </row>
    <row r="1320" spans="1:12">
      <c r="A1320" t="s">
        <v>1828</v>
      </c>
      <c r="B1320" t="s">
        <v>1798</v>
      </c>
      <c r="C1320" t="s">
        <v>229</v>
      </c>
      <c r="D1320">
        <v>1987</v>
      </c>
      <c r="E1320" t="s">
        <v>23</v>
      </c>
      <c r="F1320" t="s">
        <v>24</v>
      </c>
      <c r="G1320" t="s">
        <v>25</v>
      </c>
      <c r="H1320" t="s">
        <v>26</v>
      </c>
      <c r="I1320">
        <v>6655297</v>
      </c>
      <c r="J1320" t="s">
        <v>27</v>
      </c>
      <c r="K1320" t="s">
        <v>1827</v>
      </c>
      <c r="L1320" t="s">
        <v>21</v>
      </c>
    </row>
    <row r="1321" spans="1:12">
      <c r="A1321" t="s">
        <v>1829</v>
      </c>
      <c r="B1321" t="s">
        <v>1798</v>
      </c>
      <c r="C1321" t="s">
        <v>229</v>
      </c>
      <c r="D1321">
        <v>1987</v>
      </c>
      <c r="E1321" t="s">
        <v>29</v>
      </c>
      <c r="F1321" t="s">
        <v>30</v>
      </c>
      <c r="G1321" t="s">
        <v>31</v>
      </c>
      <c r="H1321" t="s">
        <v>32</v>
      </c>
      <c r="I1321">
        <v>2899.8421750000002</v>
      </c>
      <c r="J1321" t="s">
        <v>33</v>
      </c>
      <c r="K1321" t="s">
        <v>1827</v>
      </c>
      <c r="L1321" t="s">
        <v>21</v>
      </c>
    </row>
    <row r="1322" spans="1:12">
      <c r="A1322" t="s">
        <v>1830</v>
      </c>
      <c r="B1322" t="s">
        <v>1798</v>
      </c>
      <c r="C1322" t="s">
        <v>229</v>
      </c>
      <c r="D1322">
        <v>1992</v>
      </c>
      <c r="E1322" t="s">
        <v>15</v>
      </c>
      <c r="F1322" t="s">
        <v>16</v>
      </c>
      <c r="G1322" t="s">
        <v>17</v>
      </c>
      <c r="H1322" t="s">
        <v>18</v>
      </c>
      <c r="I1322">
        <v>68.456999999999994</v>
      </c>
      <c r="J1322" t="s">
        <v>19</v>
      </c>
      <c r="K1322" t="s">
        <v>1831</v>
      </c>
      <c r="L1322" t="s">
        <v>21</v>
      </c>
    </row>
    <row r="1323" spans="1:12">
      <c r="A1323" t="s">
        <v>1832</v>
      </c>
      <c r="B1323" t="s">
        <v>1798</v>
      </c>
      <c r="C1323" t="s">
        <v>229</v>
      </c>
      <c r="D1323">
        <v>1992</v>
      </c>
      <c r="E1323" t="s">
        <v>23</v>
      </c>
      <c r="F1323" t="s">
        <v>24</v>
      </c>
      <c r="G1323" t="s">
        <v>25</v>
      </c>
      <c r="H1323" t="s">
        <v>26</v>
      </c>
      <c r="I1323">
        <v>7351181</v>
      </c>
      <c r="J1323" t="s">
        <v>27</v>
      </c>
      <c r="K1323" t="s">
        <v>1831</v>
      </c>
      <c r="L1323" t="s">
        <v>21</v>
      </c>
    </row>
    <row r="1324" spans="1:12">
      <c r="A1324" t="s">
        <v>1833</v>
      </c>
      <c r="B1324" t="s">
        <v>1798</v>
      </c>
      <c r="C1324" t="s">
        <v>229</v>
      </c>
      <c r="D1324">
        <v>1992</v>
      </c>
      <c r="E1324" t="s">
        <v>29</v>
      </c>
      <c r="F1324" t="s">
        <v>30</v>
      </c>
      <c r="G1324" t="s">
        <v>31</v>
      </c>
      <c r="H1324" t="s">
        <v>32</v>
      </c>
      <c r="I1324">
        <v>3044.2142140000001</v>
      </c>
      <c r="J1324" t="s">
        <v>33</v>
      </c>
      <c r="K1324" t="s">
        <v>1831</v>
      </c>
      <c r="L1324" t="s">
        <v>21</v>
      </c>
    </row>
    <row r="1325" spans="1:12">
      <c r="A1325" t="s">
        <v>1834</v>
      </c>
      <c r="B1325" t="s">
        <v>1798</v>
      </c>
      <c r="C1325" t="s">
        <v>229</v>
      </c>
      <c r="D1325">
        <v>1997</v>
      </c>
      <c r="E1325" t="s">
        <v>15</v>
      </c>
      <c r="F1325" t="s">
        <v>16</v>
      </c>
      <c r="G1325" t="s">
        <v>17</v>
      </c>
      <c r="H1325" t="s">
        <v>18</v>
      </c>
      <c r="I1325">
        <v>69.956999999999994</v>
      </c>
      <c r="J1325" t="s">
        <v>19</v>
      </c>
      <c r="K1325" t="s">
        <v>1835</v>
      </c>
      <c r="L1325" t="s">
        <v>21</v>
      </c>
    </row>
    <row r="1326" spans="1:12">
      <c r="A1326" t="s">
        <v>1836</v>
      </c>
      <c r="B1326" t="s">
        <v>1798</v>
      </c>
      <c r="C1326" t="s">
        <v>229</v>
      </c>
      <c r="D1326">
        <v>1997</v>
      </c>
      <c r="E1326" t="s">
        <v>23</v>
      </c>
      <c r="F1326" t="s">
        <v>24</v>
      </c>
      <c r="G1326" t="s">
        <v>25</v>
      </c>
      <c r="H1326" t="s">
        <v>26</v>
      </c>
      <c r="I1326">
        <v>7992357</v>
      </c>
      <c r="J1326" t="s">
        <v>27</v>
      </c>
      <c r="K1326" t="s">
        <v>1835</v>
      </c>
      <c r="L1326" t="s">
        <v>21</v>
      </c>
    </row>
    <row r="1327" spans="1:12">
      <c r="A1327" t="s">
        <v>1837</v>
      </c>
      <c r="B1327" t="s">
        <v>1798</v>
      </c>
      <c r="C1327" t="s">
        <v>229</v>
      </c>
      <c r="D1327">
        <v>1997</v>
      </c>
      <c r="E1327" t="s">
        <v>29</v>
      </c>
      <c r="F1327" t="s">
        <v>30</v>
      </c>
      <c r="G1327" t="s">
        <v>31</v>
      </c>
      <c r="H1327" t="s">
        <v>32</v>
      </c>
      <c r="I1327">
        <v>3614.1012850000002</v>
      </c>
      <c r="J1327" t="s">
        <v>33</v>
      </c>
      <c r="K1327" t="s">
        <v>1835</v>
      </c>
      <c r="L1327" t="s">
        <v>21</v>
      </c>
    </row>
    <row r="1328" spans="1:12">
      <c r="A1328" t="s">
        <v>1838</v>
      </c>
      <c r="B1328" t="s">
        <v>1798</v>
      </c>
      <c r="C1328" t="s">
        <v>229</v>
      </c>
      <c r="D1328">
        <v>2002</v>
      </c>
      <c r="E1328" t="s">
        <v>15</v>
      </c>
      <c r="F1328" t="s">
        <v>16</v>
      </c>
      <c r="G1328" t="s">
        <v>17</v>
      </c>
      <c r="H1328" t="s">
        <v>18</v>
      </c>
      <c r="I1328">
        <v>70.846999999999994</v>
      </c>
      <c r="J1328" t="s">
        <v>19</v>
      </c>
      <c r="K1328" t="s">
        <v>1839</v>
      </c>
      <c r="L1328" t="s">
        <v>21</v>
      </c>
    </row>
    <row r="1329" spans="1:12">
      <c r="A1329" t="s">
        <v>1840</v>
      </c>
      <c r="B1329" t="s">
        <v>1798</v>
      </c>
      <c r="C1329" t="s">
        <v>229</v>
      </c>
      <c r="D1329">
        <v>2002</v>
      </c>
      <c r="E1329" t="s">
        <v>23</v>
      </c>
      <c r="F1329" t="s">
        <v>24</v>
      </c>
      <c r="G1329" t="s">
        <v>25</v>
      </c>
      <c r="H1329" t="s">
        <v>26</v>
      </c>
      <c r="I1329">
        <v>8650322</v>
      </c>
      <c r="J1329" t="s">
        <v>27</v>
      </c>
      <c r="K1329" t="s">
        <v>1839</v>
      </c>
      <c r="L1329" t="s">
        <v>21</v>
      </c>
    </row>
    <row r="1330" spans="1:12">
      <c r="A1330" t="s">
        <v>1841</v>
      </c>
      <c r="B1330" t="s">
        <v>1798</v>
      </c>
      <c r="C1330" t="s">
        <v>229</v>
      </c>
      <c r="D1330">
        <v>2002</v>
      </c>
      <c r="E1330" t="s">
        <v>29</v>
      </c>
      <c r="F1330" t="s">
        <v>30</v>
      </c>
      <c r="G1330" t="s">
        <v>31</v>
      </c>
      <c r="H1330" t="s">
        <v>32</v>
      </c>
      <c r="I1330">
        <v>4563.8081540000003</v>
      </c>
      <c r="J1330" t="s">
        <v>33</v>
      </c>
      <c r="K1330" t="s">
        <v>1839</v>
      </c>
      <c r="L1330" t="s">
        <v>21</v>
      </c>
    </row>
    <row r="1331" spans="1:12">
      <c r="A1331" t="s">
        <v>1842</v>
      </c>
      <c r="B1331" t="s">
        <v>1798</v>
      </c>
      <c r="C1331" t="s">
        <v>229</v>
      </c>
      <c r="D1331">
        <v>2007</v>
      </c>
      <c r="E1331" t="s">
        <v>15</v>
      </c>
      <c r="F1331" t="s">
        <v>16</v>
      </c>
      <c r="G1331" t="s">
        <v>17</v>
      </c>
      <c r="H1331" t="s">
        <v>18</v>
      </c>
      <c r="I1331">
        <v>72.234999999999999</v>
      </c>
      <c r="J1331" t="s">
        <v>19</v>
      </c>
      <c r="K1331" t="s">
        <v>1843</v>
      </c>
      <c r="L1331" t="s">
        <v>21</v>
      </c>
    </row>
    <row r="1332" spans="1:12">
      <c r="A1332" t="s">
        <v>1844</v>
      </c>
      <c r="B1332" t="s">
        <v>1798</v>
      </c>
      <c r="C1332" t="s">
        <v>229</v>
      </c>
      <c r="D1332">
        <v>2007</v>
      </c>
      <c r="E1332" t="s">
        <v>23</v>
      </c>
      <c r="F1332" t="s">
        <v>24</v>
      </c>
      <c r="G1332" t="s">
        <v>25</v>
      </c>
      <c r="H1332" t="s">
        <v>26</v>
      </c>
      <c r="I1332">
        <v>9319622</v>
      </c>
      <c r="J1332" t="s">
        <v>27</v>
      </c>
      <c r="K1332" t="s">
        <v>1843</v>
      </c>
      <c r="L1332" t="s">
        <v>21</v>
      </c>
    </row>
    <row r="1333" spans="1:12">
      <c r="A1333" t="s">
        <v>1845</v>
      </c>
      <c r="B1333" t="s">
        <v>1798</v>
      </c>
      <c r="C1333" t="s">
        <v>229</v>
      </c>
      <c r="D1333">
        <v>2007</v>
      </c>
      <c r="E1333" t="s">
        <v>29</v>
      </c>
      <c r="F1333" t="s">
        <v>30</v>
      </c>
      <c r="G1333" t="s">
        <v>31</v>
      </c>
      <c r="H1333" t="s">
        <v>32</v>
      </c>
      <c r="I1333">
        <v>6025.3747519999997</v>
      </c>
      <c r="J1333" t="s">
        <v>33</v>
      </c>
      <c r="K1333" t="s">
        <v>1843</v>
      </c>
      <c r="L1333" t="s">
        <v>21</v>
      </c>
    </row>
    <row r="1334" spans="1:12">
      <c r="A1334" t="s">
        <v>1846</v>
      </c>
      <c r="B1334" t="s">
        <v>1847</v>
      </c>
      <c r="C1334" t="s">
        <v>229</v>
      </c>
      <c r="D1334">
        <v>1952</v>
      </c>
      <c r="E1334" t="s">
        <v>15</v>
      </c>
      <c r="F1334" t="s">
        <v>16</v>
      </c>
      <c r="G1334" t="s">
        <v>17</v>
      </c>
      <c r="H1334" t="s">
        <v>18</v>
      </c>
      <c r="I1334">
        <v>48.356999999999999</v>
      </c>
      <c r="J1334" t="s">
        <v>19</v>
      </c>
      <c r="K1334" t="s">
        <v>1848</v>
      </c>
      <c r="L1334" t="s">
        <v>21</v>
      </c>
    </row>
    <row r="1335" spans="1:12">
      <c r="A1335" t="s">
        <v>1849</v>
      </c>
      <c r="B1335" t="s">
        <v>1847</v>
      </c>
      <c r="C1335" t="s">
        <v>229</v>
      </c>
      <c r="D1335">
        <v>1952</v>
      </c>
      <c r="E1335" t="s">
        <v>23</v>
      </c>
      <c r="F1335" t="s">
        <v>24</v>
      </c>
      <c r="G1335" t="s">
        <v>25</v>
      </c>
      <c r="H1335" t="s">
        <v>26</v>
      </c>
      <c r="I1335">
        <v>3548753</v>
      </c>
      <c r="J1335" t="s">
        <v>27</v>
      </c>
      <c r="K1335" t="s">
        <v>1848</v>
      </c>
      <c r="L1335" t="s">
        <v>21</v>
      </c>
    </row>
    <row r="1336" spans="1:12">
      <c r="A1336" t="s">
        <v>1850</v>
      </c>
      <c r="B1336" t="s">
        <v>1847</v>
      </c>
      <c r="C1336" t="s">
        <v>229</v>
      </c>
      <c r="D1336">
        <v>1952</v>
      </c>
      <c r="E1336" t="s">
        <v>29</v>
      </c>
      <c r="F1336" t="s">
        <v>30</v>
      </c>
      <c r="G1336" t="s">
        <v>31</v>
      </c>
      <c r="H1336" t="s">
        <v>32</v>
      </c>
      <c r="I1336">
        <v>3522.110717</v>
      </c>
      <c r="J1336" t="s">
        <v>33</v>
      </c>
      <c r="K1336" t="s">
        <v>1848</v>
      </c>
      <c r="L1336" t="s">
        <v>21</v>
      </c>
    </row>
    <row r="1337" spans="1:12">
      <c r="A1337" t="s">
        <v>1851</v>
      </c>
      <c r="B1337" t="s">
        <v>1847</v>
      </c>
      <c r="C1337" t="s">
        <v>229</v>
      </c>
      <c r="D1337">
        <v>1957</v>
      </c>
      <c r="E1337" t="s">
        <v>15</v>
      </c>
      <c r="F1337" t="s">
        <v>16</v>
      </c>
      <c r="G1337" t="s">
        <v>17</v>
      </c>
      <c r="H1337" t="s">
        <v>18</v>
      </c>
      <c r="I1337">
        <v>51.356000000000002</v>
      </c>
      <c r="J1337" t="s">
        <v>19</v>
      </c>
      <c r="K1337" t="s">
        <v>1852</v>
      </c>
      <c r="L1337" t="s">
        <v>21</v>
      </c>
    </row>
    <row r="1338" spans="1:12">
      <c r="A1338" t="s">
        <v>1853</v>
      </c>
      <c r="B1338" t="s">
        <v>1847</v>
      </c>
      <c r="C1338" t="s">
        <v>229</v>
      </c>
      <c r="D1338">
        <v>1957</v>
      </c>
      <c r="E1338" t="s">
        <v>23</v>
      </c>
      <c r="F1338" t="s">
        <v>24</v>
      </c>
      <c r="G1338" t="s">
        <v>25</v>
      </c>
      <c r="H1338" t="s">
        <v>26</v>
      </c>
      <c r="I1338">
        <v>4058385</v>
      </c>
      <c r="J1338" t="s">
        <v>27</v>
      </c>
      <c r="K1338" t="s">
        <v>1852</v>
      </c>
      <c r="L1338" t="s">
        <v>21</v>
      </c>
    </row>
    <row r="1339" spans="1:12">
      <c r="A1339" t="s">
        <v>1854</v>
      </c>
      <c r="B1339" t="s">
        <v>1847</v>
      </c>
      <c r="C1339" t="s">
        <v>229</v>
      </c>
      <c r="D1339">
        <v>1957</v>
      </c>
      <c r="E1339" t="s">
        <v>29</v>
      </c>
      <c r="F1339" t="s">
        <v>30</v>
      </c>
      <c r="G1339" t="s">
        <v>31</v>
      </c>
      <c r="H1339" t="s">
        <v>32</v>
      </c>
      <c r="I1339">
        <v>3780.5466510000001</v>
      </c>
      <c r="J1339" t="s">
        <v>33</v>
      </c>
      <c r="K1339" t="s">
        <v>1852</v>
      </c>
      <c r="L1339" t="s">
        <v>21</v>
      </c>
    </row>
    <row r="1340" spans="1:12">
      <c r="A1340" t="s">
        <v>1855</v>
      </c>
      <c r="B1340" t="s">
        <v>1847</v>
      </c>
      <c r="C1340" t="s">
        <v>229</v>
      </c>
      <c r="D1340">
        <v>1962</v>
      </c>
      <c r="E1340" t="s">
        <v>15</v>
      </c>
      <c r="F1340" t="s">
        <v>16</v>
      </c>
      <c r="G1340" t="s">
        <v>17</v>
      </c>
      <c r="H1340" t="s">
        <v>18</v>
      </c>
      <c r="I1340">
        <v>54.64</v>
      </c>
      <c r="J1340" t="s">
        <v>19</v>
      </c>
      <c r="K1340" t="s">
        <v>1856</v>
      </c>
      <c r="L1340" t="s">
        <v>21</v>
      </c>
    </row>
    <row r="1341" spans="1:12">
      <c r="A1341" t="s">
        <v>1857</v>
      </c>
      <c r="B1341" t="s">
        <v>1847</v>
      </c>
      <c r="C1341" t="s">
        <v>229</v>
      </c>
      <c r="D1341">
        <v>1962</v>
      </c>
      <c r="E1341" t="s">
        <v>23</v>
      </c>
      <c r="F1341" t="s">
        <v>24</v>
      </c>
      <c r="G1341" t="s">
        <v>25</v>
      </c>
      <c r="H1341" t="s">
        <v>26</v>
      </c>
      <c r="I1341">
        <v>4681707</v>
      </c>
      <c r="J1341" t="s">
        <v>27</v>
      </c>
      <c r="K1341" t="s">
        <v>1856</v>
      </c>
      <c r="L1341" t="s">
        <v>21</v>
      </c>
    </row>
    <row r="1342" spans="1:12">
      <c r="A1342" t="s">
        <v>1858</v>
      </c>
      <c r="B1342" t="s">
        <v>1847</v>
      </c>
      <c r="C1342" t="s">
        <v>229</v>
      </c>
      <c r="D1342">
        <v>1962</v>
      </c>
      <c r="E1342" t="s">
        <v>29</v>
      </c>
      <c r="F1342" t="s">
        <v>30</v>
      </c>
      <c r="G1342" t="s">
        <v>31</v>
      </c>
      <c r="H1342" t="s">
        <v>32</v>
      </c>
      <c r="I1342">
        <v>4086.1140780000001</v>
      </c>
      <c r="J1342" t="s">
        <v>33</v>
      </c>
      <c r="K1342" t="s">
        <v>1856</v>
      </c>
      <c r="L1342" t="s">
        <v>21</v>
      </c>
    </row>
    <row r="1343" spans="1:12">
      <c r="A1343" t="s">
        <v>1859</v>
      </c>
      <c r="B1343" t="s">
        <v>1847</v>
      </c>
      <c r="C1343" t="s">
        <v>229</v>
      </c>
      <c r="D1343">
        <v>1967</v>
      </c>
      <c r="E1343" t="s">
        <v>15</v>
      </c>
      <c r="F1343" t="s">
        <v>16</v>
      </c>
      <c r="G1343" t="s">
        <v>17</v>
      </c>
      <c r="H1343" t="s">
        <v>18</v>
      </c>
      <c r="I1343">
        <v>56.677999999999997</v>
      </c>
      <c r="J1343" t="s">
        <v>19</v>
      </c>
      <c r="K1343" t="s">
        <v>1860</v>
      </c>
      <c r="L1343" t="s">
        <v>21</v>
      </c>
    </row>
    <row r="1344" spans="1:12">
      <c r="A1344" t="s">
        <v>1861</v>
      </c>
      <c r="B1344" t="s">
        <v>1847</v>
      </c>
      <c r="C1344" t="s">
        <v>229</v>
      </c>
      <c r="D1344">
        <v>1967</v>
      </c>
      <c r="E1344" t="s">
        <v>23</v>
      </c>
      <c r="F1344" t="s">
        <v>24</v>
      </c>
      <c r="G1344" t="s">
        <v>25</v>
      </c>
      <c r="H1344" t="s">
        <v>26</v>
      </c>
      <c r="I1344">
        <v>5432424</v>
      </c>
      <c r="J1344" t="s">
        <v>27</v>
      </c>
      <c r="K1344" t="s">
        <v>1860</v>
      </c>
      <c r="L1344" t="s">
        <v>21</v>
      </c>
    </row>
    <row r="1345" spans="1:12">
      <c r="A1345" t="s">
        <v>1862</v>
      </c>
      <c r="B1345" t="s">
        <v>1847</v>
      </c>
      <c r="C1345" t="s">
        <v>229</v>
      </c>
      <c r="D1345">
        <v>1967</v>
      </c>
      <c r="E1345" t="s">
        <v>29</v>
      </c>
      <c r="F1345" t="s">
        <v>30</v>
      </c>
      <c r="G1345" t="s">
        <v>31</v>
      </c>
      <c r="H1345" t="s">
        <v>32</v>
      </c>
      <c r="I1345">
        <v>4579.0742149999996</v>
      </c>
      <c r="J1345" t="s">
        <v>33</v>
      </c>
      <c r="K1345" t="s">
        <v>1860</v>
      </c>
      <c r="L1345" t="s">
        <v>21</v>
      </c>
    </row>
    <row r="1346" spans="1:12">
      <c r="A1346" t="s">
        <v>1863</v>
      </c>
      <c r="B1346" t="s">
        <v>1847</v>
      </c>
      <c r="C1346" t="s">
        <v>229</v>
      </c>
      <c r="D1346">
        <v>1972</v>
      </c>
      <c r="E1346" t="s">
        <v>15</v>
      </c>
      <c r="F1346" t="s">
        <v>16</v>
      </c>
      <c r="G1346" t="s">
        <v>17</v>
      </c>
      <c r="H1346" t="s">
        <v>18</v>
      </c>
      <c r="I1346">
        <v>58.795999999999999</v>
      </c>
      <c r="J1346" t="s">
        <v>19</v>
      </c>
      <c r="K1346" t="s">
        <v>1864</v>
      </c>
      <c r="L1346" t="s">
        <v>21</v>
      </c>
    </row>
    <row r="1347" spans="1:12">
      <c r="A1347" t="s">
        <v>1865</v>
      </c>
      <c r="B1347" t="s">
        <v>1847</v>
      </c>
      <c r="C1347" t="s">
        <v>229</v>
      </c>
      <c r="D1347">
        <v>1972</v>
      </c>
      <c r="E1347" t="s">
        <v>23</v>
      </c>
      <c r="F1347" t="s">
        <v>24</v>
      </c>
      <c r="G1347" t="s">
        <v>25</v>
      </c>
      <c r="H1347" t="s">
        <v>26</v>
      </c>
      <c r="I1347">
        <v>6298651</v>
      </c>
      <c r="J1347" t="s">
        <v>27</v>
      </c>
      <c r="K1347" t="s">
        <v>1864</v>
      </c>
      <c r="L1347" t="s">
        <v>21</v>
      </c>
    </row>
    <row r="1348" spans="1:12">
      <c r="A1348" t="s">
        <v>1866</v>
      </c>
      <c r="B1348" t="s">
        <v>1847</v>
      </c>
      <c r="C1348" t="s">
        <v>229</v>
      </c>
      <c r="D1348">
        <v>1972</v>
      </c>
      <c r="E1348" t="s">
        <v>29</v>
      </c>
      <c r="F1348" t="s">
        <v>30</v>
      </c>
      <c r="G1348" t="s">
        <v>31</v>
      </c>
      <c r="H1348" t="s">
        <v>32</v>
      </c>
      <c r="I1348">
        <v>5280.9947099999999</v>
      </c>
      <c r="J1348" t="s">
        <v>33</v>
      </c>
      <c r="K1348" t="s">
        <v>1864</v>
      </c>
      <c r="L1348" t="s">
        <v>21</v>
      </c>
    </row>
    <row r="1349" spans="1:12">
      <c r="A1349" t="s">
        <v>1867</v>
      </c>
      <c r="B1349" t="s">
        <v>1847</v>
      </c>
      <c r="C1349" t="s">
        <v>229</v>
      </c>
      <c r="D1349">
        <v>1977</v>
      </c>
      <c r="E1349" t="s">
        <v>15</v>
      </c>
      <c r="F1349" t="s">
        <v>16</v>
      </c>
      <c r="G1349" t="s">
        <v>17</v>
      </c>
      <c r="H1349" t="s">
        <v>18</v>
      </c>
      <c r="I1349">
        <v>61.31</v>
      </c>
      <c r="J1349" t="s">
        <v>19</v>
      </c>
      <c r="K1349" t="s">
        <v>1868</v>
      </c>
      <c r="L1349" t="s">
        <v>21</v>
      </c>
    </row>
    <row r="1350" spans="1:12">
      <c r="A1350" t="s">
        <v>1869</v>
      </c>
      <c r="B1350" t="s">
        <v>1847</v>
      </c>
      <c r="C1350" t="s">
        <v>229</v>
      </c>
      <c r="D1350">
        <v>1977</v>
      </c>
      <c r="E1350" t="s">
        <v>23</v>
      </c>
      <c r="F1350" t="s">
        <v>24</v>
      </c>
      <c r="G1350" t="s">
        <v>25</v>
      </c>
      <c r="H1350" t="s">
        <v>26</v>
      </c>
      <c r="I1350">
        <v>7278866</v>
      </c>
      <c r="J1350" t="s">
        <v>27</v>
      </c>
      <c r="K1350" t="s">
        <v>1868</v>
      </c>
      <c r="L1350" t="s">
        <v>21</v>
      </c>
    </row>
    <row r="1351" spans="1:12">
      <c r="A1351" t="s">
        <v>1870</v>
      </c>
      <c r="B1351" t="s">
        <v>1847</v>
      </c>
      <c r="C1351" t="s">
        <v>229</v>
      </c>
      <c r="D1351">
        <v>1977</v>
      </c>
      <c r="E1351" t="s">
        <v>29</v>
      </c>
      <c r="F1351" t="s">
        <v>30</v>
      </c>
      <c r="G1351" t="s">
        <v>31</v>
      </c>
      <c r="H1351" t="s">
        <v>32</v>
      </c>
      <c r="I1351">
        <v>6679.6232600000003</v>
      </c>
      <c r="J1351" t="s">
        <v>33</v>
      </c>
      <c r="K1351" t="s">
        <v>1868</v>
      </c>
      <c r="L1351" t="s">
        <v>21</v>
      </c>
    </row>
    <row r="1352" spans="1:12">
      <c r="A1352" t="s">
        <v>1871</v>
      </c>
      <c r="B1352" t="s">
        <v>1847</v>
      </c>
      <c r="C1352" t="s">
        <v>229</v>
      </c>
      <c r="D1352">
        <v>1982</v>
      </c>
      <c r="E1352" t="s">
        <v>15</v>
      </c>
      <c r="F1352" t="s">
        <v>16</v>
      </c>
      <c r="G1352" t="s">
        <v>17</v>
      </c>
      <c r="H1352" t="s">
        <v>18</v>
      </c>
      <c r="I1352">
        <v>64.341999999999999</v>
      </c>
      <c r="J1352" t="s">
        <v>19</v>
      </c>
      <c r="K1352" t="s">
        <v>1872</v>
      </c>
      <c r="L1352" t="s">
        <v>21</v>
      </c>
    </row>
    <row r="1353" spans="1:12">
      <c r="A1353" t="s">
        <v>1873</v>
      </c>
      <c r="B1353" t="s">
        <v>1847</v>
      </c>
      <c r="C1353" t="s">
        <v>229</v>
      </c>
      <c r="D1353">
        <v>1982</v>
      </c>
      <c r="E1353" t="s">
        <v>23</v>
      </c>
      <c r="F1353" t="s">
        <v>24</v>
      </c>
      <c r="G1353" t="s">
        <v>25</v>
      </c>
      <c r="H1353" t="s">
        <v>26</v>
      </c>
      <c r="I1353">
        <v>8365850</v>
      </c>
      <c r="J1353" t="s">
        <v>27</v>
      </c>
      <c r="K1353" t="s">
        <v>1872</v>
      </c>
      <c r="L1353" t="s">
        <v>21</v>
      </c>
    </row>
    <row r="1354" spans="1:12">
      <c r="A1354" t="s">
        <v>1874</v>
      </c>
      <c r="B1354" t="s">
        <v>1847</v>
      </c>
      <c r="C1354" t="s">
        <v>229</v>
      </c>
      <c r="D1354">
        <v>1982</v>
      </c>
      <c r="E1354" t="s">
        <v>29</v>
      </c>
      <c r="F1354" t="s">
        <v>30</v>
      </c>
      <c r="G1354" t="s">
        <v>31</v>
      </c>
      <c r="H1354" t="s">
        <v>32</v>
      </c>
      <c r="I1354">
        <v>7213.7912669999996</v>
      </c>
      <c r="J1354" t="s">
        <v>33</v>
      </c>
      <c r="K1354" t="s">
        <v>1872</v>
      </c>
      <c r="L1354" t="s">
        <v>21</v>
      </c>
    </row>
    <row r="1355" spans="1:12">
      <c r="A1355" t="s">
        <v>1875</v>
      </c>
      <c r="B1355" t="s">
        <v>1847</v>
      </c>
      <c r="C1355" t="s">
        <v>229</v>
      </c>
      <c r="D1355">
        <v>1987</v>
      </c>
      <c r="E1355" t="s">
        <v>15</v>
      </c>
      <c r="F1355" t="s">
        <v>16</v>
      </c>
      <c r="G1355" t="s">
        <v>17</v>
      </c>
      <c r="H1355" t="s">
        <v>18</v>
      </c>
      <c r="I1355">
        <v>67.230999999999995</v>
      </c>
      <c r="J1355" t="s">
        <v>19</v>
      </c>
      <c r="K1355" t="s">
        <v>1876</v>
      </c>
      <c r="L1355" t="s">
        <v>21</v>
      </c>
    </row>
    <row r="1356" spans="1:12">
      <c r="A1356" t="s">
        <v>1877</v>
      </c>
      <c r="B1356" t="s">
        <v>1847</v>
      </c>
      <c r="C1356" t="s">
        <v>229</v>
      </c>
      <c r="D1356">
        <v>1987</v>
      </c>
      <c r="E1356" t="s">
        <v>23</v>
      </c>
      <c r="F1356" t="s">
        <v>24</v>
      </c>
      <c r="G1356" t="s">
        <v>25</v>
      </c>
      <c r="H1356" t="s">
        <v>26</v>
      </c>
      <c r="I1356">
        <v>9545158</v>
      </c>
      <c r="J1356" t="s">
        <v>27</v>
      </c>
      <c r="K1356" t="s">
        <v>1876</v>
      </c>
      <c r="L1356" t="s">
        <v>21</v>
      </c>
    </row>
    <row r="1357" spans="1:12">
      <c r="A1357" t="s">
        <v>1878</v>
      </c>
      <c r="B1357" t="s">
        <v>1847</v>
      </c>
      <c r="C1357" t="s">
        <v>229</v>
      </c>
      <c r="D1357">
        <v>1987</v>
      </c>
      <c r="E1357" t="s">
        <v>29</v>
      </c>
      <c r="F1357" t="s">
        <v>30</v>
      </c>
      <c r="G1357" t="s">
        <v>31</v>
      </c>
      <c r="H1357" t="s">
        <v>32</v>
      </c>
      <c r="I1357">
        <v>6481.7769930000004</v>
      </c>
      <c r="J1357" t="s">
        <v>33</v>
      </c>
      <c r="K1357" t="s">
        <v>1876</v>
      </c>
      <c r="L1357" t="s">
        <v>21</v>
      </c>
    </row>
    <row r="1358" spans="1:12">
      <c r="A1358" t="s">
        <v>1879</v>
      </c>
      <c r="B1358" t="s">
        <v>1847</v>
      </c>
      <c r="C1358" t="s">
        <v>229</v>
      </c>
      <c r="D1358">
        <v>1992</v>
      </c>
      <c r="E1358" t="s">
        <v>15</v>
      </c>
      <c r="F1358" t="s">
        <v>16</v>
      </c>
      <c r="G1358" t="s">
        <v>17</v>
      </c>
      <c r="H1358" t="s">
        <v>18</v>
      </c>
      <c r="I1358">
        <v>69.613</v>
      </c>
      <c r="J1358" t="s">
        <v>19</v>
      </c>
      <c r="K1358" t="s">
        <v>1880</v>
      </c>
      <c r="L1358" t="s">
        <v>21</v>
      </c>
    </row>
    <row r="1359" spans="1:12">
      <c r="A1359" t="s">
        <v>1881</v>
      </c>
      <c r="B1359" t="s">
        <v>1847</v>
      </c>
      <c r="C1359" t="s">
        <v>229</v>
      </c>
      <c r="D1359">
        <v>1992</v>
      </c>
      <c r="E1359" t="s">
        <v>23</v>
      </c>
      <c r="F1359" t="s">
        <v>24</v>
      </c>
      <c r="G1359" t="s">
        <v>25</v>
      </c>
      <c r="H1359" t="s">
        <v>26</v>
      </c>
      <c r="I1359">
        <v>10748394</v>
      </c>
      <c r="J1359" t="s">
        <v>27</v>
      </c>
      <c r="K1359" t="s">
        <v>1880</v>
      </c>
      <c r="L1359" t="s">
        <v>21</v>
      </c>
    </row>
    <row r="1360" spans="1:12">
      <c r="A1360" t="s">
        <v>1882</v>
      </c>
      <c r="B1360" t="s">
        <v>1847</v>
      </c>
      <c r="C1360" t="s">
        <v>229</v>
      </c>
      <c r="D1360">
        <v>1992</v>
      </c>
      <c r="E1360" t="s">
        <v>29</v>
      </c>
      <c r="F1360" t="s">
        <v>30</v>
      </c>
      <c r="G1360" t="s">
        <v>31</v>
      </c>
      <c r="H1360" t="s">
        <v>32</v>
      </c>
      <c r="I1360">
        <v>7103.7025949999997</v>
      </c>
      <c r="J1360" t="s">
        <v>33</v>
      </c>
      <c r="K1360" t="s">
        <v>1880</v>
      </c>
      <c r="L1360" t="s">
        <v>21</v>
      </c>
    </row>
    <row r="1361" spans="1:12">
      <c r="A1361" t="s">
        <v>1883</v>
      </c>
      <c r="B1361" t="s">
        <v>1847</v>
      </c>
      <c r="C1361" t="s">
        <v>229</v>
      </c>
      <c r="D1361">
        <v>1997</v>
      </c>
      <c r="E1361" t="s">
        <v>15</v>
      </c>
      <c r="F1361" t="s">
        <v>16</v>
      </c>
      <c r="G1361" t="s">
        <v>17</v>
      </c>
      <c r="H1361" t="s">
        <v>18</v>
      </c>
      <c r="I1361">
        <v>72.311999999999998</v>
      </c>
      <c r="J1361" t="s">
        <v>19</v>
      </c>
      <c r="K1361" t="s">
        <v>1884</v>
      </c>
      <c r="L1361" t="s">
        <v>21</v>
      </c>
    </row>
    <row r="1362" spans="1:12">
      <c r="A1362" t="s">
        <v>1885</v>
      </c>
      <c r="B1362" t="s">
        <v>1847</v>
      </c>
      <c r="C1362" t="s">
        <v>229</v>
      </c>
      <c r="D1362">
        <v>1997</v>
      </c>
      <c r="E1362" t="s">
        <v>23</v>
      </c>
      <c r="F1362" t="s">
        <v>24</v>
      </c>
      <c r="G1362" t="s">
        <v>25</v>
      </c>
      <c r="H1362" t="s">
        <v>26</v>
      </c>
      <c r="I1362">
        <v>11911819</v>
      </c>
      <c r="J1362" t="s">
        <v>27</v>
      </c>
      <c r="K1362" t="s">
        <v>1884</v>
      </c>
      <c r="L1362" t="s">
        <v>21</v>
      </c>
    </row>
    <row r="1363" spans="1:12">
      <c r="A1363" t="s">
        <v>1886</v>
      </c>
      <c r="B1363" t="s">
        <v>1847</v>
      </c>
      <c r="C1363" t="s">
        <v>229</v>
      </c>
      <c r="D1363">
        <v>1997</v>
      </c>
      <c r="E1363" t="s">
        <v>29</v>
      </c>
      <c r="F1363" t="s">
        <v>30</v>
      </c>
      <c r="G1363" t="s">
        <v>31</v>
      </c>
      <c r="H1363" t="s">
        <v>32</v>
      </c>
      <c r="I1363">
        <v>7429.4558769999903</v>
      </c>
      <c r="J1363" t="s">
        <v>33</v>
      </c>
      <c r="K1363" t="s">
        <v>1884</v>
      </c>
      <c r="L1363" t="s">
        <v>21</v>
      </c>
    </row>
    <row r="1364" spans="1:12">
      <c r="A1364" t="s">
        <v>1887</v>
      </c>
      <c r="B1364" t="s">
        <v>1847</v>
      </c>
      <c r="C1364" t="s">
        <v>229</v>
      </c>
      <c r="D1364">
        <v>2002</v>
      </c>
      <c r="E1364" t="s">
        <v>15</v>
      </c>
      <c r="F1364" t="s">
        <v>16</v>
      </c>
      <c r="G1364" t="s">
        <v>17</v>
      </c>
      <c r="H1364" t="s">
        <v>18</v>
      </c>
      <c r="I1364">
        <v>74.173000000000002</v>
      </c>
      <c r="J1364" t="s">
        <v>19</v>
      </c>
      <c r="K1364" t="s">
        <v>1888</v>
      </c>
      <c r="L1364" t="s">
        <v>21</v>
      </c>
    </row>
    <row r="1365" spans="1:12">
      <c r="A1365" t="s">
        <v>1889</v>
      </c>
      <c r="B1365" t="s">
        <v>1847</v>
      </c>
      <c r="C1365" t="s">
        <v>229</v>
      </c>
      <c r="D1365">
        <v>2002</v>
      </c>
      <c r="E1365" t="s">
        <v>23</v>
      </c>
      <c r="F1365" t="s">
        <v>24</v>
      </c>
      <c r="G1365" t="s">
        <v>25</v>
      </c>
      <c r="H1365" t="s">
        <v>26</v>
      </c>
      <c r="I1365">
        <v>12921234</v>
      </c>
      <c r="J1365" t="s">
        <v>27</v>
      </c>
      <c r="K1365" t="s">
        <v>1888</v>
      </c>
      <c r="L1365" t="s">
        <v>21</v>
      </c>
    </row>
    <row r="1366" spans="1:12">
      <c r="A1366" t="s">
        <v>1890</v>
      </c>
      <c r="B1366" t="s">
        <v>1847</v>
      </c>
      <c r="C1366" t="s">
        <v>229</v>
      </c>
      <c r="D1366">
        <v>2002</v>
      </c>
      <c r="E1366" t="s">
        <v>29</v>
      </c>
      <c r="F1366" t="s">
        <v>30</v>
      </c>
      <c r="G1366" t="s">
        <v>31</v>
      </c>
      <c r="H1366" t="s">
        <v>32</v>
      </c>
      <c r="I1366">
        <v>5773.0445120000004</v>
      </c>
      <c r="J1366" t="s">
        <v>33</v>
      </c>
      <c r="K1366" t="s">
        <v>1888</v>
      </c>
      <c r="L1366" t="s">
        <v>21</v>
      </c>
    </row>
    <row r="1367" spans="1:12">
      <c r="A1367" t="s">
        <v>1891</v>
      </c>
      <c r="B1367" t="s">
        <v>1847</v>
      </c>
      <c r="C1367" t="s">
        <v>229</v>
      </c>
      <c r="D1367">
        <v>2007</v>
      </c>
      <c r="E1367" t="s">
        <v>15</v>
      </c>
      <c r="F1367" t="s">
        <v>16</v>
      </c>
      <c r="G1367" t="s">
        <v>17</v>
      </c>
      <c r="H1367" t="s">
        <v>18</v>
      </c>
      <c r="I1367">
        <v>74.994</v>
      </c>
      <c r="J1367" t="s">
        <v>19</v>
      </c>
      <c r="K1367" t="s">
        <v>1892</v>
      </c>
      <c r="L1367" t="s">
        <v>21</v>
      </c>
    </row>
    <row r="1368" spans="1:12">
      <c r="A1368" t="s">
        <v>1893</v>
      </c>
      <c r="B1368" t="s">
        <v>1847</v>
      </c>
      <c r="C1368" t="s">
        <v>229</v>
      </c>
      <c r="D1368">
        <v>2007</v>
      </c>
      <c r="E1368" t="s">
        <v>23</v>
      </c>
      <c r="F1368" t="s">
        <v>24</v>
      </c>
      <c r="G1368" t="s">
        <v>25</v>
      </c>
      <c r="H1368" t="s">
        <v>26</v>
      </c>
      <c r="I1368">
        <v>13755680</v>
      </c>
      <c r="J1368" t="s">
        <v>27</v>
      </c>
      <c r="K1368" t="s">
        <v>1892</v>
      </c>
      <c r="L1368" t="s">
        <v>21</v>
      </c>
    </row>
    <row r="1369" spans="1:12">
      <c r="A1369" t="s">
        <v>1894</v>
      </c>
      <c r="B1369" t="s">
        <v>1847</v>
      </c>
      <c r="C1369" t="s">
        <v>229</v>
      </c>
      <c r="D1369">
        <v>2007</v>
      </c>
      <c r="E1369" t="s">
        <v>29</v>
      </c>
      <c r="F1369" t="s">
        <v>30</v>
      </c>
      <c r="G1369" t="s">
        <v>31</v>
      </c>
      <c r="H1369" t="s">
        <v>32</v>
      </c>
      <c r="I1369">
        <v>6873.262326</v>
      </c>
      <c r="J1369" t="s">
        <v>33</v>
      </c>
      <c r="K1369" t="s">
        <v>1892</v>
      </c>
      <c r="L1369" t="s">
        <v>21</v>
      </c>
    </row>
    <row r="1370" spans="1:12">
      <c r="A1370" t="s">
        <v>1895</v>
      </c>
      <c r="B1370" t="s">
        <v>1896</v>
      </c>
      <c r="C1370" t="s">
        <v>130</v>
      </c>
      <c r="D1370">
        <v>1952</v>
      </c>
      <c r="E1370" t="s">
        <v>15</v>
      </c>
      <c r="F1370" t="s">
        <v>16</v>
      </c>
      <c r="G1370" t="s">
        <v>17</v>
      </c>
      <c r="H1370" t="s">
        <v>18</v>
      </c>
      <c r="I1370">
        <v>41.893000000000001</v>
      </c>
      <c r="J1370" t="s">
        <v>19</v>
      </c>
      <c r="K1370" t="s">
        <v>1897</v>
      </c>
      <c r="L1370" t="s">
        <v>21</v>
      </c>
    </row>
    <row r="1371" spans="1:12">
      <c r="A1371" t="s">
        <v>1898</v>
      </c>
      <c r="B1371" t="s">
        <v>1896</v>
      </c>
      <c r="C1371" t="s">
        <v>130</v>
      </c>
      <c r="D1371">
        <v>1952</v>
      </c>
      <c r="E1371" t="s">
        <v>23</v>
      </c>
      <c r="F1371" t="s">
        <v>24</v>
      </c>
      <c r="G1371" t="s">
        <v>25</v>
      </c>
      <c r="H1371" t="s">
        <v>26</v>
      </c>
      <c r="I1371">
        <v>22223309</v>
      </c>
      <c r="J1371" t="s">
        <v>27</v>
      </c>
      <c r="K1371" t="s">
        <v>1897</v>
      </c>
      <c r="L1371" t="s">
        <v>21</v>
      </c>
    </row>
    <row r="1372" spans="1:12">
      <c r="A1372" t="s">
        <v>1899</v>
      </c>
      <c r="B1372" t="s">
        <v>1896</v>
      </c>
      <c r="C1372" t="s">
        <v>130</v>
      </c>
      <c r="D1372">
        <v>1952</v>
      </c>
      <c r="E1372" t="s">
        <v>29</v>
      </c>
      <c r="F1372" t="s">
        <v>30</v>
      </c>
      <c r="G1372" t="s">
        <v>31</v>
      </c>
      <c r="H1372" t="s">
        <v>32</v>
      </c>
      <c r="I1372">
        <v>1418.822445</v>
      </c>
      <c r="J1372" t="s">
        <v>33</v>
      </c>
      <c r="K1372" t="s">
        <v>1897</v>
      </c>
      <c r="L1372" t="s">
        <v>21</v>
      </c>
    </row>
    <row r="1373" spans="1:12">
      <c r="A1373" t="s">
        <v>1900</v>
      </c>
      <c r="B1373" t="s">
        <v>1896</v>
      </c>
      <c r="C1373" t="s">
        <v>130</v>
      </c>
      <c r="D1373">
        <v>1957</v>
      </c>
      <c r="E1373" t="s">
        <v>15</v>
      </c>
      <c r="F1373" t="s">
        <v>16</v>
      </c>
      <c r="G1373" t="s">
        <v>17</v>
      </c>
      <c r="H1373" t="s">
        <v>18</v>
      </c>
      <c r="I1373">
        <v>44.444000000000003</v>
      </c>
      <c r="J1373" t="s">
        <v>19</v>
      </c>
      <c r="K1373" t="s">
        <v>1901</v>
      </c>
      <c r="L1373" t="s">
        <v>21</v>
      </c>
    </row>
    <row r="1374" spans="1:12">
      <c r="A1374" t="s">
        <v>1902</v>
      </c>
      <c r="B1374" t="s">
        <v>1896</v>
      </c>
      <c r="C1374" t="s">
        <v>130</v>
      </c>
      <c r="D1374">
        <v>1957</v>
      </c>
      <c r="E1374" t="s">
        <v>23</v>
      </c>
      <c r="F1374" t="s">
        <v>24</v>
      </c>
      <c r="G1374" t="s">
        <v>25</v>
      </c>
      <c r="H1374" t="s">
        <v>26</v>
      </c>
      <c r="I1374">
        <v>25009741</v>
      </c>
      <c r="J1374" t="s">
        <v>27</v>
      </c>
      <c r="K1374" t="s">
        <v>1901</v>
      </c>
      <c r="L1374" t="s">
        <v>21</v>
      </c>
    </row>
    <row r="1375" spans="1:12">
      <c r="A1375" t="s">
        <v>1903</v>
      </c>
      <c r="B1375" t="s">
        <v>1896</v>
      </c>
      <c r="C1375" t="s">
        <v>130</v>
      </c>
      <c r="D1375">
        <v>1957</v>
      </c>
      <c r="E1375" t="s">
        <v>29</v>
      </c>
      <c r="F1375" t="s">
        <v>30</v>
      </c>
      <c r="G1375" t="s">
        <v>31</v>
      </c>
      <c r="H1375" t="s">
        <v>32</v>
      </c>
      <c r="I1375">
        <v>1458.915272</v>
      </c>
      <c r="J1375" t="s">
        <v>33</v>
      </c>
      <c r="K1375" t="s">
        <v>1901</v>
      </c>
      <c r="L1375" t="s">
        <v>21</v>
      </c>
    </row>
    <row r="1376" spans="1:12">
      <c r="A1376" t="s">
        <v>1904</v>
      </c>
      <c r="B1376" t="s">
        <v>1896</v>
      </c>
      <c r="C1376" t="s">
        <v>130</v>
      </c>
      <c r="D1376">
        <v>1962</v>
      </c>
      <c r="E1376" t="s">
        <v>15</v>
      </c>
      <c r="F1376" t="s">
        <v>16</v>
      </c>
      <c r="G1376" t="s">
        <v>17</v>
      </c>
      <c r="H1376" t="s">
        <v>18</v>
      </c>
      <c r="I1376">
        <v>46.991999999999997</v>
      </c>
      <c r="J1376" t="s">
        <v>19</v>
      </c>
      <c r="K1376" t="s">
        <v>1905</v>
      </c>
      <c r="L1376" t="s">
        <v>21</v>
      </c>
    </row>
    <row r="1377" spans="1:12">
      <c r="A1377" t="s">
        <v>1906</v>
      </c>
      <c r="B1377" t="s">
        <v>1896</v>
      </c>
      <c r="C1377" t="s">
        <v>130</v>
      </c>
      <c r="D1377">
        <v>1962</v>
      </c>
      <c r="E1377" t="s">
        <v>23</v>
      </c>
      <c r="F1377" t="s">
        <v>24</v>
      </c>
      <c r="G1377" t="s">
        <v>25</v>
      </c>
      <c r="H1377" t="s">
        <v>26</v>
      </c>
      <c r="I1377">
        <v>28173309</v>
      </c>
      <c r="J1377" t="s">
        <v>27</v>
      </c>
      <c r="K1377" t="s">
        <v>1905</v>
      </c>
      <c r="L1377" t="s">
        <v>21</v>
      </c>
    </row>
    <row r="1378" spans="1:12">
      <c r="A1378" t="s">
        <v>1907</v>
      </c>
      <c r="B1378" t="s">
        <v>1896</v>
      </c>
      <c r="C1378" t="s">
        <v>130</v>
      </c>
      <c r="D1378">
        <v>1962</v>
      </c>
      <c r="E1378" t="s">
        <v>29</v>
      </c>
      <c r="F1378" t="s">
        <v>30</v>
      </c>
      <c r="G1378" t="s">
        <v>31</v>
      </c>
      <c r="H1378" t="s">
        <v>32</v>
      </c>
      <c r="I1378">
        <v>1693.335853</v>
      </c>
      <c r="J1378" t="s">
        <v>33</v>
      </c>
      <c r="K1378" t="s">
        <v>1905</v>
      </c>
      <c r="L1378" t="s">
        <v>21</v>
      </c>
    </row>
    <row r="1379" spans="1:12">
      <c r="A1379" t="s">
        <v>1908</v>
      </c>
      <c r="B1379" t="s">
        <v>1896</v>
      </c>
      <c r="C1379" t="s">
        <v>130</v>
      </c>
      <c r="D1379">
        <v>1967</v>
      </c>
      <c r="E1379" t="s">
        <v>15</v>
      </c>
      <c r="F1379" t="s">
        <v>16</v>
      </c>
      <c r="G1379" t="s">
        <v>17</v>
      </c>
      <c r="H1379" t="s">
        <v>18</v>
      </c>
      <c r="I1379">
        <v>49.292999999999999</v>
      </c>
      <c r="J1379" t="s">
        <v>19</v>
      </c>
      <c r="K1379" t="s">
        <v>1909</v>
      </c>
      <c r="L1379" t="s">
        <v>21</v>
      </c>
    </row>
    <row r="1380" spans="1:12">
      <c r="A1380" t="s">
        <v>1910</v>
      </c>
      <c r="B1380" t="s">
        <v>1896</v>
      </c>
      <c r="C1380" t="s">
        <v>130</v>
      </c>
      <c r="D1380">
        <v>1967</v>
      </c>
      <c r="E1380" t="s">
        <v>23</v>
      </c>
      <c r="F1380" t="s">
        <v>24</v>
      </c>
      <c r="G1380" t="s">
        <v>25</v>
      </c>
      <c r="H1380" t="s">
        <v>26</v>
      </c>
      <c r="I1380">
        <v>31681188</v>
      </c>
      <c r="J1380" t="s">
        <v>27</v>
      </c>
      <c r="K1380" t="s">
        <v>1909</v>
      </c>
      <c r="L1380" t="s">
        <v>21</v>
      </c>
    </row>
    <row r="1381" spans="1:12">
      <c r="A1381" t="s">
        <v>1911</v>
      </c>
      <c r="B1381" t="s">
        <v>1896</v>
      </c>
      <c r="C1381" t="s">
        <v>130</v>
      </c>
      <c r="D1381">
        <v>1967</v>
      </c>
      <c r="E1381" t="s">
        <v>29</v>
      </c>
      <c r="F1381" t="s">
        <v>30</v>
      </c>
      <c r="G1381" t="s">
        <v>31</v>
      </c>
      <c r="H1381" t="s">
        <v>32</v>
      </c>
      <c r="I1381">
        <v>1814.8807280000001</v>
      </c>
      <c r="J1381" t="s">
        <v>33</v>
      </c>
      <c r="K1381" t="s">
        <v>1909</v>
      </c>
      <c r="L1381" t="s">
        <v>21</v>
      </c>
    </row>
    <row r="1382" spans="1:12">
      <c r="A1382" t="s">
        <v>1912</v>
      </c>
      <c r="B1382" t="s">
        <v>1896</v>
      </c>
      <c r="C1382" t="s">
        <v>130</v>
      </c>
      <c r="D1382">
        <v>1972</v>
      </c>
      <c r="E1382" t="s">
        <v>15</v>
      </c>
      <c r="F1382" t="s">
        <v>16</v>
      </c>
      <c r="G1382" t="s">
        <v>17</v>
      </c>
      <c r="H1382" t="s">
        <v>18</v>
      </c>
      <c r="I1382">
        <v>51.137</v>
      </c>
      <c r="J1382" t="s">
        <v>19</v>
      </c>
      <c r="K1382" t="s">
        <v>1913</v>
      </c>
      <c r="L1382" t="s">
        <v>21</v>
      </c>
    </row>
    <row r="1383" spans="1:12">
      <c r="A1383" t="s">
        <v>1914</v>
      </c>
      <c r="B1383" t="s">
        <v>1896</v>
      </c>
      <c r="C1383" t="s">
        <v>130</v>
      </c>
      <c r="D1383">
        <v>1972</v>
      </c>
      <c r="E1383" t="s">
        <v>23</v>
      </c>
      <c r="F1383" t="s">
        <v>24</v>
      </c>
      <c r="G1383" t="s">
        <v>25</v>
      </c>
      <c r="H1383" t="s">
        <v>26</v>
      </c>
      <c r="I1383">
        <v>34807417</v>
      </c>
      <c r="J1383" t="s">
        <v>27</v>
      </c>
      <c r="K1383" t="s">
        <v>1913</v>
      </c>
      <c r="L1383" t="s">
        <v>21</v>
      </c>
    </row>
    <row r="1384" spans="1:12">
      <c r="A1384" t="s">
        <v>1915</v>
      </c>
      <c r="B1384" t="s">
        <v>1896</v>
      </c>
      <c r="C1384" t="s">
        <v>130</v>
      </c>
      <c r="D1384">
        <v>1972</v>
      </c>
      <c r="E1384" t="s">
        <v>29</v>
      </c>
      <c r="F1384" t="s">
        <v>30</v>
      </c>
      <c r="G1384" t="s">
        <v>31</v>
      </c>
      <c r="H1384" t="s">
        <v>32</v>
      </c>
      <c r="I1384">
        <v>2024.008147</v>
      </c>
      <c r="J1384" t="s">
        <v>33</v>
      </c>
      <c r="K1384" t="s">
        <v>1913</v>
      </c>
      <c r="L1384" t="s">
        <v>21</v>
      </c>
    </row>
    <row r="1385" spans="1:12">
      <c r="A1385" t="s">
        <v>1916</v>
      </c>
      <c r="B1385" t="s">
        <v>1896</v>
      </c>
      <c r="C1385" t="s">
        <v>130</v>
      </c>
      <c r="D1385">
        <v>1977</v>
      </c>
      <c r="E1385" t="s">
        <v>15</v>
      </c>
      <c r="F1385" t="s">
        <v>16</v>
      </c>
      <c r="G1385" t="s">
        <v>17</v>
      </c>
      <c r="H1385" t="s">
        <v>18</v>
      </c>
      <c r="I1385">
        <v>53.319000000000003</v>
      </c>
      <c r="J1385" t="s">
        <v>19</v>
      </c>
      <c r="K1385" t="s">
        <v>1917</v>
      </c>
      <c r="L1385" t="s">
        <v>21</v>
      </c>
    </row>
    <row r="1386" spans="1:12">
      <c r="A1386" t="s">
        <v>1918</v>
      </c>
      <c r="B1386" t="s">
        <v>1896</v>
      </c>
      <c r="C1386" t="s">
        <v>130</v>
      </c>
      <c r="D1386">
        <v>1977</v>
      </c>
      <c r="E1386" t="s">
        <v>23</v>
      </c>
      <c r="F1386" t="s">
        <v>24</v>
      </c>
      <c r="G1386" t="s">
        <v>25</v>
      </c>
      <c r="H1386" t="s">
        <v>26</v>
      </c>
      <c r="I1386">
        <v>38783863</v>
      </c>
      <c r="J1386" t="s">
        <v>27</v>
      </c>
      <c r="K1386" t="s">
        <v>1917</v>
      </c>
      <c r="L1386" t="s">
        <v>21</v>
      </c>
    </row>
    <row r="1387" spans="1:12">
      <c r="A1387" t="s">
        <v>1919</v>
      </c>
      <c r="B1387" t="s">
        <v>1896</v>
      </c>
      <c r="C1387" t="s">
        <v>130</v>
      </c>
      <c r="D1387">
        <v>1977</v>
      </c>
      <c r="E1387" t="s">
        <v>29</v>
      </c>
      <c r="F1387" t="s">
        <v>30</v>
      </c>
      <c r="G1387" t="s">
        <v>31</v>
      </c>
      <c r="H1387" t="s">
        <v>32</v>
      </c>
      <c r="I1387">
        <v>2785.4935820000001</v>
      </c>
      <c r="J1387" t="s">
        <v>33</v>
      </c>
      <c r="K1387" t="s">
        <v>1917</v>
      </c>
      <c r="L1387" t="s">
        <v>21</v>
      </c>
    </row>
    <row r="1388" spans="1:12">
      <c r="A1388" t="s">
        <v>1920</v>
      </c>
      <c r="B1388" t="s">
        <v>1896</v>
      </c>
      <c r="C1388" t="s">
        <v>130</v>
      </c>
      <c r="D1388">
        <v>1982</v>
      </c>
      <c r="E1388" t="s">
        <v>15</v>
      </c>
      <c r="F1388" t="s">
        <v>16</v>
      </c>
      <c r="G1388" t="s">
        <v>17</v>
      </c>
      <c r="H1388" t="s">
        <v>18</v>
      </c>
      <c r="I1388">
        <v>56.006</v>
      </c>
      <c r="J1388" t="s">
        <v>19</v>
      </c>
      <c r="K1388" t="s">
        <v>1921</v>
      </c>
      <c r="L1388" t="s">
        <v>21</v>
      </c>
    </row>
    <row r="1389" spans="1:12">
      <c r="A1389" t="s">
        <v>1922</v>
      </c>
      <c r="B1389" t="s">
        <v>1896</v>
      </c>
      <c r="C1389" t="s">
        <v>130</v>
      </c>
      <c r="D1389">
        <v>1982</v>
      </c>
      <c r="E1389" t="s">
        <v>23</v>
      </c>
      <c r="F1389" t="s">
        <v>24</v>
      </c>
      <c r="G1389" t="s">
        <v>25</v>
      </c>
      <c r="H1389" t="s">
        <v>26</v>
      </c>
      <c r="I1389">
        <v>45681811</v>
      </c>
      <c r="J1389" t="s">
        <v>27</v>
      </c>
      <c r="K1389" t="s">
        <v>1921</v>
      </c>
      <c r="L1389" t="s">
        <v>21</v>
      </c>
    </row>
    <row r="1390" spans="1:12">
      <c r="A1390" t="s">
        <v>1923</v>
      </c>
      <c r="B1390" t="s">
        <v>1896</v>
      </c>
      <c r="C1390" t="s">
        <v>130</v>
      </c>
      <c r="D1390">
        <v>1982</v>
      </c>
      <c r="E1390" t="s">
        <v>29</v>
      </c>
      <c r="F1390" t="s">
        <v>30</v>
      </c>
      <c r="G1390" t="s">
        <v>31</v>
      </c>
      <c r="H1390" t="s">
        <v>32</v>
      </c>
      <c r="I1390">
        <v>3503.729636</v>
      </c>
      <c r="J1390" t="s">
        <v>33</v>
      </c>
      <c r="K1390" t="s">
        <v>1921</v>
      </c>
      <c r="L1390" t="s">
        <v>21</v>
      </c>
    </row>
    <row r="1391" spans="1:12">
      <c r="A1391" t="s">
        <v>1924</v>
      </c>
      <c r="B1391" t="s">
        <v>1896</v>
      </c>
      <c r="C1391" t="s">
        <v>130</v>
      </c>
      <c r="D1391">
        <v>1987</v>
      </c>
      <c r="E1391" t="s">
        <v>15</v>
      </c>
      <c r="F1391" t="s">
        <v>16</v>
      </c>
      <c r="G1391" t="s">
        <v>17</v>
      </c>
      <c r="H1391" t="s">
        <v>18</v>
      </c>
      <c r="I1391">
        <v>59.796999999999997</v>
      </c>
      <c r="J1391" t="s">
        <v>19</v>
      </c>
      <c r="K1391" t="s">
        <v>1925</v>
      </c>
      <c r="L1391" t="s">
        <v>21</v>
      </c>
    </row>
    <row r="1392" spans="1:12">
      <c r="A1392" t="s">
        <v>1926</v>
      </c>
      <c r="B1392" t="s">
        <v>1896</v>
      </c>
      <c r="C1392" t="s">
        <v>130</v>
      </c>
      <c r="D1392">
        <v>1987</v>
      </c>
      <c r="E1392" t="s">
        <v>23</v>
      </c>
      <c r="F1392" t="s">
        <v>24</v>
      </c>
      <c r="G1392" t="s">
        <v>25</v>
      </c>
      <c r="H1392" t="s">
        <v>26</v>
      </c>
      <c r="I1392">
        <v>52799062</v>
      </c>
      <c r="J1392" t="s">
        <v>27</v>
      </c>
      <c r="K1392" t="s">
        <v>1925</v>
      </c>
      <c r="L1392" t="s">
        <v>21</v>
      </c>
    </row>
    <row r="1393" spans="1:12">
      <c r="A1393" t="s">
        <v>1927</v>
      </c>
      <c r="B1393" t="s">
        <v>1896</v>
      </c>
      <c r="C1393" t="s">
        <v>130</v>
      </c>
      <c r="D1393">
        <v>1987</v>
      </c>
      <c r="E1393" t="s">
        <v>29</v>
      </c>
      <c r="F1393" t="s">
        <v>30</v>
      </c>
      <c r="G1393" t="s">
        <v>31</v>
      </c>
      <c r="H1393" t="s">
        <v>32</v>
      </c>
      <c r="I1393">
        <v>3885.4607099999998</v>
      </c>
      <c r="J1393" t="s">
        <v>33</v>
      </c>
      <c r="K1393" t="s">
        <v>1925</v>
      </c>
      <c r="L1393" t="s">
        <v>21</v>
      </c>
    </row>
    <row r="1394" spans="1:12">
      <c r="A1394" t="s">
        <v>1928</v>
      </c>
      <c r="B1394" t="s">
        <v>1896</v>
      </c>
      <c r="C1394" t="s">
        <v>130</v>
      </c>
      <c r="D1394">
        <v>1992</v>
      </c>
      <c r="E1394" t="s">
        <v>15</v>
      </c>
      <c r="F1394" t="s">
        <v>16</v>
      </c>
      <c r="G1394" t="s">
        <v>17</v>
      </c>
      <c r="H1394" t="s">
        <v>18</v>
      </c>
      <c r="I1394">
        <v>63.673999999999999</v>
      </c>
      <c r="J1394" t="s">
        <v>19</v>
      </c>
      <c r="K1394" t="s">
        <v>1929</v>
      </c>
      <c r="L1394" t="s">
        <v>21</v>
      </c>
    </row>
    <row r="1395" spans="1:12">
      <c r="A1395" t="s">
        <v>1930</v>
      </c>
      <c r="B1395" t="s">
        <v>1896</v>
      </c>
      <c r="C1395" t="s">
        <v>130</v>
      </c>
      <c r="D1395">
        <v>1992</v>
      </c>
      <c r="E1395" t="s">
        <v>23</v>
      </c>
      <c r="F1395" t="s">
        <v>24</v>
      </c>
      <c r="G1395" t="s">
        <v>25</v>
      </c>
      <c r="H1395" t="s">
        <v>26</v>
      </c>
      <c r="I1395">
        <v>59402198</v>
      </c>
      <c r="J1395" t="s">
        <v>27</v>
      </c>
      <c r="K1395" t="s">
        <v>1929</v>
      </c>
      <c r="L1395" t="s">
        <v>21</v>
      </c>
    </row>
    <row r="1396" spans="1:12">
      <c r="A1396" t="s">
        <v>1931</v>
      </c>
      <c r="B1396" t="s">
        <v>1896</v>
      </c>
      <c r="C1396" t="s">
        <v>130</v>
      </c>
      <c r="D1396">
        <v>1992</v>
      </c>
      <c r="E1396" t="s">
        <v>29</v>
      </c>
      <c r="F1396" t="s">
        <v>30</v>
      </c>
      <c r="G1396" t="s">
        <v>31</v>
      </c>
      <c r="H1396" t="s">
        <v>32</v>
      </c>
      <c r="I1396">
        <v>3794.7551950000002</v>
      </c>
      <c r="J1396" t="s">
        <v>33</v>
      </c>
      <c r="K1396" t="s">
        <v>1929</v>
      </c>
      <c r="L1396" t="s">
        <v>21</v>
      </c>
    </row>
    <row r="1397" spans="1:12">
      <c r="A1397" t="s">
        <v>1932</v>
      </c>
      <c r="B1397" t="s">
        <v>1896</v>
      </c>
      <c r="C1397" t="s">
        <v>130</v>
      </c>
      <c r="D1397">
        <v>1997</v>
      </c>
      <c r="E1397" t="s">
        <v>15</v>
      </c>
      <c r="F1397" t="s">
        <v>16</v>
      </c>
      <c r="G1397" t="s">
        <v>17</v>
      </c>
      <c r="H1397" t="s">
        <v>18</v>
      </c>
      <c r="I1397">
        <v>67.216999999999999</v>
      </c>
      <c r="J1397" t="s">
        <v>19</v>
      </c>
      <c r="K1397" t="s">
        <v>1933</v>
      </c>
      <c r="L1397" t="s">
        <v>21</v>
      </c>
    </row>
    <row r="1398" spans="1:12">
      <c r="A1398" t="s">
        <v>1934</v>
      </c>
      <c r="B1398" t="s">
        <v>1896</v>
      </c>
      <c r="C1398" t="s">
        <v>130</v>
      </c>
      <c r="D1398">
        <v>1997</v>
      </c>
      <c r="E1398" t="s">
        <v>23</v>
      </c>
      <c r="F1398" t="s">
        <v>24</v>
      </c>
      <c r="G1398" t="s">
        <v>25</v>
      </c>
      <c r="H1398" t="s">
        <v>26</v>
      </c>
      <c r="I1398">
        <v>66134291</v>
      </c>
      <c r="J1398" t="s">
        <v>27</v>
      </c>
      <c r="K1398" t="s">
        <v>1933</v>
      </c>
      <c r="L1398" t="s">
        <v>21</v>
      </c>
    </row>
    <row r="1399" spans="1:12">
      <c r="A1399" t="s">
        <v>1935</v>
      </c>
      <c r="B1399" t="s">
        <v>1896</v>
      </c>
      <c r="C1399" t="s">
        <v>130</v>
      </c>
      <c r="D1399">
        <v>1997</v>
      </c>
      <c r="E1399" t="s">
        <v>29</v>
      </c>
      <c r="F1399" t="s">
        <v>30</v>
      </c>
      <c r="G1399" t="s">
        <v>31</v>
      </c>
      <c r="H1399" t="s">
        <v>32</v>
      </c>
      <c r="I1399">
        <v>4173.1817970000002</v>
      </c>
      <c r="J1399" t="s">
        <v>33</v>
      </c>
      <c r="K1399" t="s">
        <v>1933</v>
      </c>
      <c r="L1399" t="s">
        <v>21</v>
      </c>
    </row>
    <row r="1400" spans="1:12">
      <c r="A1400" t="s">
        <v>1936</v>
      </c>
      <c r="B1400" t="s">
        <v>1896</v>
      </c>
      <c r="C1400" t="s">
        <v>130</v>
      </c>
      <c r="D1400">
        <v>2002</v>
      </c>
      <c r="E1400" t="s">
        <v>15</v>
      </c>
      <c r="F1400" t="s">
        <v>16</v>
      </c>
      <c r="G1400" t="s">
        <v>17</v>
      </c>
      <c r="H1400" t="s">
        <v>18</v>
      </c>
      <c r="I1400">
        <v>69.805999999999997</v>
      </c>
      <c r="J1400" t="s">
        <v>19</v>
      </c>
      <c r="K1400" t="s">
        <v>1937</v>
      </c>
      <c r="L1400" t="s">
        <v>21</v>
      </c>
    </row>
    <row r="1401" spans="1:12">
      <c r="A1401" t="s">
        <v>1938</v>
      </c>
      <c r="B1401" t="s">
        <v>1896</v>
      </c>
      <c r="C1401" t="s">
        <v>130</v>
      </c>
      <c r="D1401">
        <v>2002</v>
      </c>
      <c r="E1401" t="s">
        <v>23</v>
      </c>
      <c r="F1401" t="s">
        <v>24</v>
      </c>
      <c r="G1401" t="s">
        <v>25</v>
      </c>
      <c r="H1401" t="s">
        <v>26</v>
      </c>
      <c r="I1401">
        <v>73312559</v>
      </c>
      <c r="J1401" t="s">
        <v>27</v>
      </c>
      <c r="K1401" t="s">
        <v>1937</v>
      </c>
      <c r="L1401" t="s">
        <v>21</v>
      </c>
    </row>
    <row r="1402" spans="1:12">
      <c r="A1402" t="s">
        <v>1939</v>
      </c>
      <c r="B1402" t="s">
        <v>1896</v>
      </c>
      <c r="C1402" t="s">
        <v>130</v>
      </c>
      <c r="D1402">
        <v>2002</v>
      </c>
      <c r="E1402" t="s">
        <v>29</v>
      </c>
      <c r="F1402" t="s">
        <v>30</v>
      </c>
      <c r="G1402" t="s">
        <v>31</v>
      </c>
      <c r="H1402" t="s">
        <v>32</v>
      </c>
      <c r="I1402">
        <v>4754.6044140000004</v>
      </c>
      <c r="J1402" t="s">
        <v>33</v>
      </c>
      <c r="K1402" t="s">
        <v>1937</v>
      </c>
      <c r="L1402" t="s">
        <v>21</v>
      </c>
    </row>
    <row r="1403" spans="1:12">
      <c r="A1403" t="s">
        <v>1940</v>
      </c>
      <c r="B1403" t="s">
        <v>1896</v>
      </c>
      <c r="C1403" t="s">
        <v>130</v>
      </c>
      <c r="D1403">
        <v>2007</v>
      </c>
      <c r="E1403" t="s">
        <v>15</v>
      </c>
      <c r="F1403" t="s">
        <v>16</v>
      </c>
      <c r="G1403" t="s">
        <v>17</v>
      </c>
      <c r="H1403" t="s">
        <v>18</v>
      </c>
      <c r="I1403">
        <v>71.337999999999994</v>
      </c>
      <c r="J1403" t="s">
        <v>19</v>
      </c>
      <c r="K1403" t="s">
        <v>1941</v>
      </c>
      <c r="L1403" t="s">
        <v>21</v>
      </c>
    </row>
    <row r="1404" spans="1:12">
      <c r="A1404" t="s">
        <v>1942</v>
      </c>
      <c r="B1404" t="s">
        <v>1896</v>
      </c>
      <c r="C1404" t="s">
        <v>130</v>
      </c>
      <c r="D1404">
        <v>2007</v>
      </c>
      <c r="E1404" t="s">
        <v>23</v>
      </c>
      <c r="F1404" t="s">
        <v>24</v>
      </c>
      <c r="G1404" t="s">
        <v>25</v>
      </c>
      <c r="H1404" t="s">
        <v>26</v>
      </c>
      <c r="I1404">
        <v>80264543</v>
      </c>
      <c r="J1404" t="s">
        <v>27</v>
      </c>
      <c r="K1404" t="s">
        <v>1941</v>
      </c>
      <c r="L1404" t="s">
        <v>21</v>
      </c>
    </row>
    <row r="1405" spans="1:12">
      <c r="A1405" t="s">
        <v>1943</v>
      </c>
      <c r="B1405" t="s">
        <v>1896</v>
      </c>
      <c r="C1405" t="s">
        <v>130</v>
      </c>
      <c r="D1405">
        <v>2007</v>
      </c>
      <c r="E1405" t="s">
        <v>29</v>
      </c>
      <c r="F1405" t="s">
        <v>30</v>
      </c>
      <c r="G1405" t="s">
        <v>31</v>
      </c>
      <c r="H1405" t="s">
        <v>32</v>
      </c>
      <c r="I1405">
        <v>5581.1809979999998</v>
      </c>
      <c r="J1405" t="s">
        <v>33</v>
      </c>
      <c r="K1405" t="s">
        <v>1941</v>
      </c>
      <c r="L1405" t="s">
        <v>21</v>
      </c>
    </row>
    <row r="1406" spans="1:12">
      <c r="A1406" t="s">
        <v>1944</v>
      </c>
      <c r="B1406" t="s">
        <v>1945</v>
      </c>
      <c r="C1406" t="s">
        <v>229</v>
      </c>
      <c r="D1406">
        <v>1952</v>
      </c>
      <c r="E1406" t="s">
        <v>15</v>
      </c>
      <c r="F1406" t="s">
        <v>16</v>
      </c>
      <c r="G1406" t="s">
        <v>17</v>
      </c>
      <c r="H1406" t="s">
        <v>18</v>
      </c>
      <c r="I1406">
        <v>45.262</v>
      </c>
      <c r="J1406" t="s">
        <v>19</v>
      </c>
      <c r="K1406" t="s">
        <v>1946</v>
      </c>
      <c r="L1406" t="s">
        <v>21</v>
      </c>
    </row>
    <row r="1407" spans="1:12">
      <c r="A1407" t="s">
        <v>1947</v>
      </c>
      <c r="B1407" t="s">
        <v>1945</v>
      </c>
      <c r="C1407" t="s">
        <v>229</v>
      </c>
      <c r="D1407">
        <v>1952</v>
      </c>
      <c r="E1407" t="s">
        <v>23</v>
      </c>
      <c r="F1407" t="s">
        <v>24</v>
      </c>
      <c r="G1407" t="s">
        <v>25</v>
      </c>
      <c r="H1407" t="s">
        <v>26</v>
      </c>
      <c r="I1407">
        <v>2042865</v>
      </c>
      <c r="J1407" t="s">
        <v>27</v>
      </c>
      <c r="K1407" t="s">
        <v>1946</v>
      </c>
      <c r="L1407" t="s">
        <v>21</v>
      </c>
    </row>
    <row r="1408" spans="1:12">
      <c r="A1408" t="s">
        <v>1948</v>
      </c>
      <c r="B1408" t="s">
        <v>1945</v>
      </c>
      <c r="C1408" t="s">
        <v>229</v>
      </c>
      <c r="D1408">
        <v>1952</v>
      </c>
      <c r="E1408" t="s">
        <v>29</v>
      </c>
      <c r="F1408" t="s">
        <v>30</v>
      </c>
      <c r="G1408" t="s">
        <v>31</v>
      </c>
      <c r="H1408" t="s">
        <v>32</v>
      </c>
      <c r="I1408">
        <v>3048.3029000000001</v>
      </c>
      <c r="J1408" t="s">
        <v>33</v>
      </c>
      <c r="K1408" t="s">
        <v>1946</v>
      </c>
      <c r="L1408" t="s">
        <v>21</v>
      </c>
    </row>
    <row r="1409" spans="1:12">
      <c r="A1409" t="s">
        <v>1949</v>
      </c>
      <c r="B1409" t="s">
        <v>1945</v>
      </c>
      <c r="C1409" t="s">
        <v>229</v>
      </c>
      <c r="D1409">
        <v>1957</v>
      </c>
      <c r="E1409" t="s">
        <v>15</v>
      </c>
      <c r="F1409" t="s">
        <v>16</v>
      </c>
      <c r="G1409" t="s">
        <v>17</v>
      </c>
      <c r="H1409" t="s">
        <v>18</v>
      </c>
      <c r="I1409">
        <v>48.57</v>
      </c>
      <c r="J1409" t="s">
        <v>19</v>
      </c>
      <c r="K1409" t="s">
        <v>1950</v>
      </c>
      <c r="L1409" t="s">
        <v>21</v>
      </c>
    </row>
    <row r="1410" spans="1:12">
      <c r="A1410" t="s">
        <v>1951</v>
      </c>
      <c r="B1410" t="s">
        <v>1945</v>
      </c>
      <c r="C1410" t="s">
        <v>229</v>
      </c>
      <c r="D1410">
        <v>1957</v>
      </c>
      <c r="E1410" t="s">
        <v>23</v>
      </c>
      <c r="F1410" t="s">
        <v>24</v>
      </c>
      <c r="G1410" t="s">
        <v>25</v>
      </c>
      <c r="H1410" t="s">
        <v>26</v>
      </c>
      <c r="I1410">
        <v>2355805</v>
      </c>
      <c r="J1410" t="s">
        <v>27</v>
      </c>
      <c r="K1410" t="s">
        <v>1950</v>
      </c>
      <c r="L1410" t="s">
        <v>21</v>
      </c>
    </row>
    <row r="1411" spans="1:12">
      <c r="A1411" t="s">
        <v>1952</v>
      </c>
      <c r="B1411" t="s">
        <v>1945</v>
      </c>
      <c r="C1411" t="s">
        <v>229</v>
      </c>
      <c r="D1411">
        <v>1957</v>
      </c>
      <c r="E1411" t="s">
        <v>29</v>
      </c>
      <c r="F1411" t="s">
        <v>30</v>
      </c>
      <c r="G1411" t="s">
        <v>31</v>
      </c>
      <c r="H1411" t="s">
        <v>32</v>
      </c>
      <c r="I1411">
        <v>3421.5232179999998</v>
      </c>
      <c r="J1411" t="s">
        <v>33</v>
      </c>
      <c r="K1411" t="s">
        <v>1950</v>
      </c>
      <c r="L1411" t="s">
        <v>21</v>
      </c>
    </row>
    <row r="1412" spans="1:12">
      <c r="A1412" t="s">
        <v>1953</v>
      </c>
      <c r="B1412" t="s">
        <v>1945</v>
      </c>
      <c r="C1412" t="s">
        <v>229</v>
      </c>
      <c r="D1412">
        <v>1962</v>
      </c>
      <c r="E1412" t="s">
        <v>15</v>
      </c>
      <c r="F1412" t="s">
        <v>16</v>
      </c>
      <c r="G1412" t="s">
        <v>17</v>
      </c>
      <c r="H1412" t="s">
        <v>18</v>
      </c>
      <c r="I1412">
        <v>52.307000000000002</v>
      </c>
      <c r="J1412" t="s">
        <v>19</v>
      </c>
      <c r="K1412" t="s">
        <v>1954</v>
      </c>
      <c r="L1412" t="s">
        <v>21</v>
      </c>
    </row>
    <row r="1413" spans="1:12">
      <c r="A1413" t="s">
        <v>1955</v>
      </c>
      <c r="B1413" t="s">
        <v>1945</v>
      </c>
      <c r="C1413" t="s">
        <v>229</v>
      </c>
      <c r="D1413">
        <v>1962</v>
      </c>
      <c r="E1413" t="s">
        <v>23</v>
      </c>
      <c r="F1413" t="s">
        <v>24</v>
      </c>
      <c r="G1413" t="s">
        <v>25</v>
      </c>
      <c r="H1413" t="s">
        <v>26</v>
      </c>
      <c r="I1413">
        <v>2747687</v>
      </c>
      <c r="J1413" t="s">
        <v>27</v>
      </c>
      <c r="K1413" t="s">
        <v>1954</v>
      </c>
      <c r="L1413" t="s">
        <v>21</v>
      </c>
    </row>
    <row r="1414" spans="1:12">
      <c r="A1414" t="s">
        <v>1956</v>
      </c>
      <c r="B1414" t="s">
        <v>1945</v>
      </c>
      <c r="C1414" t="s">
        <v>229</v>
      </c>
      <c r="D1414">
        <v>1962</v>
      </c>
      <c r="E1414" t="s">
        <v>29</v>
      </c>
      <c r="F1414" t="s">
        <v>30</v>
      </c>
      <c r="G1414" t="s">
        <v>31</v>
      </c>
      <c r="H1414" t="s">
        <v>32</v>
      </c>
      <c r="I1414">
        <v>3776.8036269999998</v>
      </c>
      <c r="J1414" t="s">
        <v>33</v>
      </c>
      <c r="K1414" t="s">
        <v>1954</v>
      </c>
      <c r="L1414" t="s">
        <v>21</v>
      </c>
    </row>
    <row r="1415" spans="1:12">
      <c r="A1415" t="s">
        <v>1957</v>
      </c>
      <c r="B1415" t="s">
        <v>1945</v>
      </c>
      <c r="C1415" t="s">
        <v>229</v>
      </c>
      <c r="D1415">
        <v>1967</v>
      </c>
      <c r="E1415" t="s">
        <v>15</v>
      </c>
      <c r="F1415" t="s">
        <v>16</v>
      </c>
      <c r="G1415" t="s">
        <v>17</v>
      </c>
      <c r="H1415" t="s">
        <v>18</v>
      </c>
      <c r="I1415">
        <v>55.854999999999997</v>
      </c>
      <c r="J1415" t="s">
        <v>19</v>
      </c>
      <c r="K1415" t="s">
        <v>1958</v>
      </c>
      <c r="L1415" t="s">
        <v>21</v>
      </c>
    </row>
    <row r="1416" spans="1:12">
      <c r="A1416" t="s">
        <v>1959</v>
      </c>
      <c r="B1416" t="s">
        <v>1945</v>
      </c>
      <c r="C1416" t="s">
        <v>229</v>
      </c>
      <c r="D1416">
        <v>1967</v>
      </c>
      <c r="E1416" t="s">
        <v>23</v>
      </c>
      <c r="F1416" t="s">
        <v>24</v>
      </c>
      <c r="G1416" t="s">
        <v>25</v>
      </c>
      <c r="H1416" t="s">
        <v>26</v>
      </c>
      <c r="I1416">
        <v>3232927</v>
      </c>
      <c r="J1416" t="s">
        <v>27</v>
      </c>
      <c r="K1416" t="s">
        <v>1958</v>
      </c>
      <c r="L1416" t="s">
        <v>21</v>
      </c>
    </row>
    <row r="1417" spans="1:12">
      <c r="A1417" t="s">
        <v>1960</v>
      </c>
      <c r="B1417" t="s">
        <v>1945</v>
      </c>
      <c r="C1417" t="s">
        <v>229</v>
      </c>
      <c r="D1417">
        <v>1967</v>
      </c>
      <c r="E1417" t="s">
        <v>29</v>
      </c>
      <c r="F1417" t="s">
        <v>30</v>
      </c>
      <c r="G1417" t="s">
        <v>31</v>
      </c>
      <c r="H1417" t="s">
        <v>32</v>
      </c>
      <c r="I1417">
        <v>4358.5953929999996</v>
      </c>
      <c r="J1417" t="s">
        <v>33</v>
      </c>
      <c r="K1417" t="s">
        <v>1958</v>
      </c>
      <c r="L1417" t="s">
        <v>21</v>
      </c>
    </row>
    <row r="1418" spans="1:12">
      <c r="A1418" t="s">
        <v>1961</v>
      </c>
      <c r="B1418" t="s">
        <v>1945</v>
      </c>
      <c r="C1418" t="s">
        <v>229</v>
      </c>
      <c r="D1418">
        <v>1972</v>
      </c>
      <c r="E1418" t="s">
        <v>15</v>
      </c>
      <c r="F1418" t="s">
        <v>16</v>
      </c>
      <c r="G1418" t="s">
        <v>17</v>
      </c>
      <c r="H1418" t="s">
        <v>18</v>
      </c>
      <c r="I1418">
        <v>58.207000000000001</v>
      </c>
      <c r="J1418" t="s">
        <v>19</v>
      </c>
      <c r="K1418" t="s">
        <v>1962</v>
      </c>
      <c r="L1418" t="s">
        <v>21</v>
      </c>
    </row>
    <row r="1419" spans="1:12">
      <c r="A1419" t="s">
        <v>1963</v>
      </c>
      <c r="B1419" t="s">
        <v>1945</v>
      </c>
      <c r="C1419" t="s">
        <v>229</v>
      </c>
      <c r="D1419">
        <v>1972</v>
      </c>
      <c r="E1419" t="s">
        <v>23</v>
      </c>
      <c r="F1419" t="s">
        <v>24</v>
      </c>
      <c r="G1419" t="s">
        <v>25</v>
      </c>
      <c r="H1419" t="s">
        <v>26</v>
      </c>
      <c r="I1419">
        <v>3790903</v>
      </c>
      <c r="J1419" t="s">
        <v>27</v>
      </c>
      <c r="K1419" t="s">
        <v>1962</v>
      </c>
      <c r="L1419" t="s">
        <v>21</v>
      </c>
    </row>
    <row r="1420" spans="1:12">
      <c r="A1420" t="s">
        <v>1964</v>
      </c>
      <c r="B1420" t="s">
        <v>1945</v>
      </c>
      <c r="C1420" t="s">
        <v>229</v>
      </c>
      <c r="D1420">
        <v>1972</v>
      </c>
      <c r="E1420" t="s">
        <v>29</v>
      </c>
      <c r="F1420" t="s">
        <v>30</v>
      </c>
      <c r="G1420" t="s">
        <v>31</v>
      </c>
      <c r="H1420" t="s">
        <v>32</v>
      </c>
      <c r="I1420">
        <v>4520.2460080000001</v>
      </c>
      <c r="J1420" t="s">
        <v>33</v>
      </c>
      <c r="K1420" t="s">
        <v>1962</v>
      </c>
      <c r="L1420" t="s">
        <v>21</v>
      </c>
    </row>
    <row r="1421" spans="1:12">
      <c r="A1421" t="s">
        <v>1965</v>
      </c>
      <c r="B1421" t="s">
        <v>1945</v>
      </c>
      <c r="C1421" t="s">
        <v>229</v>
      </c>
      <c r="D1421">
        <v>1977</v>
      </c>
      <c r="E1421" t="s">
        <v>15</v>
      </c>
      <c r="F1421" t="s">
        <v>16</v>
      </c>
      <c r="G1421" t="s">
        <v>17</v>
      </c>
      <c r="H1421" t="s">
        <v>18</v>
      </c>
      <c r="I1421">
        <v>56.695999999999998</v>
      </c>
      <c r="J1421" t="s">
        <v>19</v>
      </c>
      <c r="K1421" t="s">
        <v>1966</v>
      </c>
      <c r="L1421" t="s">
        <v>21</v>
      </c>
    </row>
    <row r="1422" spans="1:12">
      <c r="A1422" t="s">
        <v>1967</v>
      </c>
      <c r="B1422" t="s">
        <v>1945</v>
      </c>
      <c r="C1422" t="s">
        <v>229</v>
      </c>
      <c r="D1422">
        <v>1977</v>
      </c>
      <c r="E1422" t="s">
        <v>23</v>
      </c>
      <c r="F1422" t="s">
        <v>24</v>
      </c>
      <c r="G1422" t="s">
        <v>25</v>
      </c>
      <c r="H1422" t="s">
        <v>26</v>
      </c>
      <c r="I1422">
        <v>4282586</v>
      </c>
      <c r="J1422" t="s">
        <v>27</v>
      </c>
      <c r="K1422" t="s">
        <v>1966</v>
      </c>
      <c r="L1422" t="s">
        <v>21</v>
      </c>
    </row>
    <row r="1423" spans="1:12">
      <c r="A1423" t="s">
        <v>1968</v>
      </c>
      <c r="B1423" t="s">
        <v>1945</v>
      </c>
      <c r="C1423" t="s">
        <v>229</v>
      </c>
      <c r="D1423">
        <v>1977</v>
      </c>
      <c r="E1423" t="s">
        <v>29</v>
      </c>
      <c r="F1423" t="s">
        <v>30</v>
      </c>
      <c r="G1423" t="s">
        <v>31</v>
      </c>
      <c r="H1423" t="s">
        <v>32</v>
      </c>
      <c r="I1423">
        <v>5138.9223739999998</v>
      </c>
      <c r="J1423" t="s">
        <v>33</v>
      </c>
      <c r="K1423" t="s">
        <v>1966</v>
      </c>
      <c r="L1423" t="s">
        <v>21</v>
      </c>
    </row>
    <row r="1424" spans="1:12">
      <c r="A1424" t="s">
        <v>1969</v>
      </c>
      <c r="B1424" t="s">
        <v>1945</v>
      </c>
      <c r="C1424" t="s">
        <v>229</v>
      </c>
      <c r="D1424">
        <v>1982</v>
      </c>
      <c r="E1424" t="s">
        <v>15</v>
      </c>
      <c r="F1424" t="s">
        <v>16</v>
      </c>
      <c r="G1424" t="s">
        <v>17</v>
      </c>
      <c r="H1424" t="s">
        <v>18</v>
      </c>
      <c r="I1424">
        <v>56.603999999999999</v>
      </c>
      <c r="J1424" t="s">
        <v>19</v>
      </c>
      <c r="K1424" t="s">
        <v>1970</v>
      </c>
      <c r="L1424" t="s">
        <v>21</v>
      </c>
    </row>
    <row r="1425" spans="1:12">
      <c r="A1425" t="s">
        <v>1971</v>
      </c>
      <c r="B1425" t="s">
        <v>1945</v>
      </c>
      <c r="C1425" t="s">
        <v>229</v>
      </c>
      <c r="D1425">
        <v>1982</v>
      </c>
      <c r="E1425" t="s">
        <v>23</v>
      </c>
      <c r="F1425" t="s">
        <v>24</v>
      </c>
      <c r="G1425" t="s">
        <v>25</v>
      </c>
      <c r="H1425" t="s">
        <v>26</v>
      </c>
      <c r="I1425">
        <v>4474873</v>
      </c>
      <c r="J1425" t="s">
        <v>27</v>
      </c>
      <c r="K1425" t="s">
        <v>1970</v>
      </c>
      <c r="L1425" t="s">
        <v>21</v>
      </c>
    </row>
    <row r="1426" spans="1:12">
      <c r="A1426" t="s">
        <v>1972</v>
      </c>
      <c r="B1426" t="s">
        <v>1945</v>
      </c>
      <c r="C1426" t="s">
        <v>229</v>
      </c>
      <c r="D1426">
        <v>1982</v>
      </c>
      <c r="E1426" t="s">
        <v>29</v>
      </c>
      <c r="F1426" t="s">
        <v>30</v>
      </c>
      <c r="G1426" t="s">
        <v>31</v>
      </c>
      <c r="H1426" t="s">
        <v>32</v>
      </c>
      <c r="I1426">
        <v>4098.3441750000002</v>
      </c>
      <c r="J1426" t="s">
        <v>33</v>
      </c>
      <c r="K1426" t="s">
        <v>1970</v>
      </c>
      <c r="L1426" t="s">
        <v>21</v>
      </c>
    </row>
    <row r="1427" spans="1:12">
      <c r="A1427" t="s">
        <v>1973</v>
      </c>
      <c r="B1427" t="s">
        <v>1945</v>
      </c>
      <c r="C1427" t="s">
        <v>229</v>
      </c>
      <c r="D1427">
        <v>1987</v>
      </c>
      <c r="E1427" t="s">
        <v>15</v>
      </c>
      <c r="F1427" t="s">
        <v>16</v>
      </c>
      <c r="G1427" t="s">
        <v>17</v>
      </c>
      <c r="H1427" t="s">
        <v>18</v>
      </c>
      <c r="I1427">
        <v>63.154000000000003</v>
      </c>
      <c r="J1427" t="s">
        <v>19</v>
      </c>
      <c r="K1427" t="s">
        <v>1974</v>
      </c>
      <c r="L1427" t="s">
        <v>21</v>
      </c>
    </row>
    <row r="1428" spans="1:12">
      <c r="A1428" t="s">
        <v>1975</v>
      </c>
      <c r="B1428" t="s">
        <v>1945</v>
      </c>
      <c r="C1428" t="s">
        <v>229</v>
      </c>
      <c r="D1428">
        <v>1987</v>
      </c>
      <c r="E1428" t="s">
        <v>23</v>
      </c>
      <c r="F1428" t="s">
        <v>24</v>
      </c>
      <c r="G1428" t="s">
        <v>25</v>
      </c>
      <c r="H1428" t="s">
        <v>26</v>
      </c>
      <c r="I1428">
        <v>4842194</v>
      </c>
      <c r="J1428" t="s">
        <v>27</v>
      </c>
      <c r="K1428" t="s">
        <v>1974</v>
      </c>
      <c r="L1428" t="s">
        <v>21</v>
      </c>
    </row>
    <row r="1429" spans="1:12">
      <c r="A1429" t="s">
        <v>1976</v>
      </c>
      <c r="B1429" t="s">
        <v>1945</v>
      </c>
      <c r="C1429" t="s">
        <v>229</v>
      </c>
      <c r="D1429">
        <v>1987</v>
      </c>
      <c r="E1429" t="s">
        <v>29</v>
      </c>
      <c r="F1429" t="s">
        <v>30</v>
      </c>
      <c r="G1429" t="s">
        <v>31</v>
      </c>
      <c r="H1429" t="s">
        <v>32</v>
      </c>
      <c r="I1429">
        <v>4140.4420970000001</v>
      </c>
      <c r="J1429" t="s">
        <v>33</v>
      </c>
      <c r="K1429" t="s">
        <v>1974</v>
      </c>
      <c r="L1429" t="s">
        <v>21</v>
      </c>
    </row>
    <row r="1430" spans="1:12">
      <c r="A1430" t="s">
        <v>1977</v>
      </c>
      <c r="B1430" t="s">
        <v>1945</v>
      </c>
      <c r="C1430" t="s">
        <v>229</v>
      </c>
      <c r="D1430">
        <v>1992</v>
      </c>
      <c r="E1430" t="s">
        <v>15</v>
      </c>
      <c r="F1430" t="s">
        <v>16</v>
      </c>
      <c r="G1430" t="s">
        <v>17</v>
      </c>
      <c r="H1430" t="s">
        <v>18</v>
      </c>
      <c r="I1430">
        <v>66.798000000000002</v>
      </c>
      <c r="J1430" t="s">
        <v>19</v>
      </c>
      <c r="K1430" t="s">
        <v>1978</v>
      </c>
      <c r="L1430" t="s">
        <v>21</v>
      </c>
    </row>
    <row r="1431" spans="1:12">
      <c r="A1431" t="s">
        <v>1979</v>
      </c>
      <c r="B1431" t="s">
        <v>1945</v>
      </c>
      <c r="C1431" t="s">
        <v>229</v>
      </c>
      <c r="D1431">
        <v>1992</v>
      </c>
      <c r="E1431" t="s">
        <v>23</v>
      </c>
      <c r="F1431" t="s">
        <v>24</v>
      </c>
      <c r="G1431" t="s">
        <v>25</v>
      </c>
      <c r="H1431" t="s">
        <v>26</v>
      </c>
      <c r="I1431">
        <v>5274649</v>
      </c>
      <c r="J1431" t="s">
        <v>27</v>
      </c>
      <c r="K1431" t="s">
        <v>1978</v>
      </c>
      <c r="L1431" t="s">
        <v>21</v>
      </c>
    </row>
    <row r="1432" spans="1:12">
      <c r="A1432" t="s">
        <v>1980</v>
      </c>
      <c r="B1432" t="s">
        <v>1945</v>
      </c>
      <c r="C1432" t="s">
        <v>229</v>
      </c>
      <c r="D1432">
        <v>1992</v>
      </c>
      <c r="E1432" t="s">
        <v>29</v>
      </c>
      <c r="F1432" t="s">
        <v>30</v>
      </c>
      <c r="G1432" t="s">
        <v>31</v>
      </c>
      <c r="H1432" t="s">
        <v>32</v>
      </c>
      <c r="I1432">
        <v>4444.2317000000003</v>
      </c>
      <c r="J1432" t="s">
        <v>33</v>
      </c>
      <c r="K1432" t="s">
        <v>1978</v>
      </c>
      <c r="L1432" t="s">
        <v>21</v>
      </c>
    </row>
    <row r="1433" spans="1:12">
      <c r="A1433" t="s">
        <v>1981</v>
      </c>
      <c r="B1433" t="s">
        <v>1945</v>
      </c>
      <c r="C1433" t="s">
        <v>229</v>
      </c>
      <c r="D1433">
        <v>1997</v>
      </c>
      <c r="E1433" t="s">
        <v>15</v>
      </c>
      <c r="F1433" t="s">
        <v>16</v>
      </c>
      <c r="G1433" t="s">
        <v>17</v>
      </c>
      <c r="H1433" t="s">
        <v>18</v>
      </c>
      <c r="I1433">
        <v>69.534999999999997</v>
      </c>
      <c r="J1433" t="s">
        <v>19</v>
      </c>
      <c r="K1433" t="s">
        <v>1982</v>
      </c>
      <c r="L1433" t="s">
        <v>21</v>
      </c>
    </row>
    <row r="1434" spans="1:12">
      <c r="A1434" t="s">
        <v>1983</v>
      </c>
      <c r="B1434" t="s">
        <v>1945</v>
      </c>
      <c r="C1434" t="s">
        <v>229</v>
      </c>
      <c r="D1434">
        <v>1997</v>
      </c>
      <c r="E1434" t="s">
        <v>23</v>
      </c>
      <c r="F1434" t="s">
        <v>24</v>
      </c>
      <c r="G1434" t="s">
        <v>25</v>
      </c>
      <c r="H1434" t="s">
        <v>26</v>
      </c>
      <c r="I1434">
        <v>5783439</v>
      </c>
      <c r="J1434" t="s">
        <v>27</v>
      </c>
      <c r="K1434" t="s">
        <v>1982</v>
      </c>
      <c r="L1434" t="s">
        <v>21</v>
      </c>
    </row>
    <row r="1435" spans="1:12">
      <c r="A1435" t="s">
        <v>1984</v>
      </c>
      <c r="B1435" t="s">
        <v>1945</v>
      </c>
      <c r="C1435" t="s">
        <v>229</v>
      </c>
      <c r="D1435">
        <v>1997</v>
      </c>
      <c r="E1435" t="s">
        <v>29</v>
      </c>
      <c r="F1435" t="s">
        <v>30</v>
      </c>
      <c r="G1435" t="s">
        <v>31</v>
      </c>
      <c r="H1435" t="s">
        <v>32</v>
      </c>
      <c r="I1435">
        <v>5154.8254960000004</v>
      </c>
      <c r="J1435" t="s">
        <v>33</v>
      </c>
      <c r="K1435" t="s">
        <v>1982</v>
      </c>
      <c r="L1435" t="s">
        <v>21</v>
      </c>
    </row>
    <row r="1436" spans="1:12">
      <c r="A1436" t="s">
        <v>1985</v>
      </c>
      <c r="B1436" t="s">
        <v>1945</v>
      </c>
      <c r="C1436" t="s">
        <v>229</v>
      </c>
      <c r="D1436">
        <v>2002</v>
      </c>
      <c r="E1436" t="s">
        <v>15</v>
      </c>
      <c r="F1436" t="s">
        <v>16</v>
      </c>
      <c r="G1436" t="s">
        <v>17</v>
      </c>
      <c r="H1436" t="s">
        <v>18</v>
      </c>
      <c r="I1436">
        <v>70.733999999999995</v>
      </c>
      <c r="J1436" t="s">
        <v>19</v>
      </c>
      <c r="K1436" t="s">
        <v>1986</v>
      </c>
      <c r="L1436" t="s">
        <v>21</v>
      </c>
    </row>
    <row r="1437" spans="1:12">
      <c r="A1437" t="s">
        <v>1987</v>
      </c>
      <c r="B1437" t="s">
        <v>1945</v>
      </c>
      <c r="C1437" t="s">
        <v>229</v>
      </c>
      <c r="D1437">
        <v>2002</v>
      </c>
      <c r="E1437" t="s">
        <v>23</v>
      </c>
      <c r="F1437" t="s">
        <v>24</v>
      </c>
      <c r="G1437" t="s">
        <v>25</v>
      </c>
      <c r="H1437" t="s">
        <v>26</v>
      </c>
      <c r="I1437">
        <v>6353681</v>
      </c>
      <c r="J1437" t="s">
        <v>27</v>
      </c>
      <c r="K1437" t="s">
        <v>1986</v>
      </c>
      <c r="L1437" t="s">
        <v>21</v>
      </c>
    </row>
    <row r="1438" spans="1:12">
      <c r="A1438" t="s">
        <v>1988</v>
      </c>
      <c r="B1438" t="s">
        <v>1945</v>
      </c>
      <c r="C1438" t="s">
        <v>229</v>
      </c>
      <c r="D1438">
        <v>2002</v>
      </c>
      <c r="E1438" t="s">
        <v>29</v>
      </c>
      <c r="F1438" t="s">
        <v>30</v>
      </c>
      <c r="G1438" t="s">
        <v>31</v>
      </c>
      <c r="H1438" t="s">
        <v>32</v>
      </c>
      <c r="I1438">
        <v>5351.5686659999901</v>
      </c>
      <c r="J1438" t="s">
        <v>33</v>
      </c>
      <c r="K1438" t="s">
        <v>1986</v>
      </c>
      <c r="L1438" t="s">
        <v>21</v>
      </c>
    </row>
    <row r="1439" spans="1:12">
      <c r="A1439" t="s">
        <v>1989</v>
      </c>
      <c r="B1439" t="s">
        <v>1945</v>
      </c>
      <c r="C1439" t="s">
        <v>229</v>
      </c>
      <c r="D1439">
        <v>2007</v>
      </c>
      <c r="E1439" t="s">
        <v>15</v>
      </c>
      <c r="F1439" t="s">
        <v>16</v>
      </c>
      <c r="G1439" t="s">
        <v>17</v>
      </c>
      <c r="H1439" t="s">
        <v>18</v>
      </c>
      <c r="I1439">
        <v>71.878</v>
      </c>
      <c r="J1439" t="s">
        <v>19</v>
      </c>
      <c r="K1439" t="s">
        <v>1990</v>
      </c>
      <c r="L1439" t="s">
        <v>21</v>
      </c>
    </row>
    <row r="1440" spans="1:12">
      <c r="A1440" t="s">
        <v>1991</v>
      </c>
      <c r="B1440" t="s">
        <v>1945</v>
      </c>
      <c r="C1440" t="s">
        <v>229</v>
      </c>
      <c r="D1440">
        <v>2007</v>
      </c>
      <c r="E1440" t="s">
        <v>23</v>
      </c>
      <c r="F1440" t="s">
        <v>24</v>
      </c>
      <c r="G1440" t="s">
        <v>25</v>
      </c>
      <c r="H1440" t="s">
        <v>26</v>
      </c>
      <c r="I1440">
        <v>6939688</v>
      </c>
      <c r="J1440" t="s">
        <v>27</v>
      </c>
      <c r="K1440" t="s">
        <v>1990</v>
      </c>
      <c r="L1440" t="s">
        <v>21</v>
      </c>
    </row>
    <row r="1441" spans="1:12">
      <c r="A1441" t="s">
        <v>1992</v>
      </c>
      <c r="B1441" t="s">
        <v>1945</v>
      </c>
      <c r="C1441" t="s">
        <v>229</v>
      </c>
      <c r="D1441">
        <v>2007</v>
      </c>
      <c r="E1441" t="s">
        <v>29</v>
      </c>
      <c r="F1441" t="s">
        <v>30</v>
      </c>
      <c r="G1441" t="s">
        <v>31</v>
      </c>
      <c r="H1441" t="s">
        <v>32</v>
      </c>
      <c r="I1441">
        <v>5728.3535140000004</v>
      </c>
      <c r="J1441" t="s">
        <v>33</v>
      </c>
      <c r="K1441" t="s">
        <v>1990</v>
      </c>
      <c r="L1441" t="s">
        <v>21</v>
      </c>
    </row>
    <row r="1442" spans="1:12">
      <c r="A1442" t="s">
        <v>1993</v>
      </c>
      <c r="B1442" t="s">
        <v>1994</v>
      </c>
      <c r="C1442" t="s">
        <v>130</v>
      </c>
      <c r="D1442">
        <v>1952</v>
      </c>
      <c r="E1442" t="s">
        <v>15</v>
      </c>
      <c r="F1442" t="s">
        <v>16</v>
      </c>
      <c r="G1442" t="s">
        <v>17</v>
      </c>
      <c r="H1442" t="s">
        <v>18</v>
      </c>
      <c r="I1442">
        <v>34.481999999999999</v>
      </c>
      <c r="J1442" t="s">
        <v>19</v>
      </c>
      <c r="K1442" t="s">
        <v>1995</v>
      </c>
      <c r="L1442" t="s">
        <v>21</v>
      </c>
    </row>
    <row r="1443" spans="1:12">
      <c r="A1443" t="s">
        <v>1996</v>
      </c>
      <c r="B1443" t="s">
        <v>1994</v>
      </c>
      <c r="C1443" t="s">
        <v>130</v>
      </c>
      <c r="D1443">
        <v>1952</v>
      </c>
      <c r="E1443" t="s">
        <v>23</v>
      </c>
      <c r="F1443" t="s">
        <v>24</v>
      </c>
      <c r="G1443" t="s">
        <v>25</v>
      </c>
      <c r="H1443" t="s">
        <v>26</v>
      </c>
      <c r="I1443">
        <v>216964</v>
      </c>
      <c r="J1443" t="s">
        <v>27</v>
      </c>
      <c r="K1443" t="s">
        <v>1995</v>
      </c>
      <c r="L1443" t="s">
        <v>21</v>
      </c>
    </row>
    <row r="1444" spans="1:12">
      <c r="A1444" t="s">
        <v>1997</v>
      </c>
      <c r="B1444" t="s">
        <v>1994</v>
      </c>
      <c r="C1444" t="s">
        <v>130</v>
      </c>
      <c r="D1444">
        <v>1952</v>
      </c>
      <c r="E1444" t="s">
        <v>29</v>
      </c>
      <c r="F1444" t="s">
        <v>30</v>
      </c>
      <c r="G1444" t="s">
        <v>31</v>
      </c>
      <c r="H1444" t="s">
        <v>32</v>
      </c>
      <c r="I1444">
        <v>375.64312310000003</v>
      </c>
      <c r="J1444" t="s">
        <v>33</v>
      </c>
      <c r="K1444" t="s">
        <v>1995</v>
      </c>
      <c r="L1444" t="s">
        <v>21</v>
      </c>
    </row>
    <row r="1445" spans="1:12">
      <c r="A1445" t="s">
        <v>1998</v>
      </c>
      <c r="B1445" t="s">
        <v>1994</v>
      </c>
      <c r="C1445" t="s">
        <v>130</v>
      </c>
      <c r="D1445">
        <v>1957</v>
      </c>
      <c r="E1445" t="s">
        <v>15</v>
      </c>
      <c r="F1445" t="s">
        <v>16</v>
      </c>
      <c r="G1445" t="s">
        <v>17</v>
      </c>
      <c r="H1445" t="s">
        <v>18</v>
      </c>
      <c r="I1445">
        <v>35.982999999999997</v>
      </c>
      <c r="J1445" t="s">
        <v>19</v>
      </c>
      <c r="K1445" t="s">
        <v>1999</v>
      </c>
      <c r="L1445" t="s">
        <v>21</v>
      </c>
    </row>
    <row r="1446" spans="1:12">
      <c r="A1446" t="s">
        <v>2000</v>
      </c>
      <c r="B1446" t="s">
        <v>1994</v>
      </c>
      <c r="C1446" t="s">
        <v>130</v>
      </c>
      <c r="D1446">
        <v>1957</v>
      </c>
      <c r="E1446" t="s">
        <v>23</v>
      </c>
      <c r="F1446" t="s">
        <v>24</v>
      </c>
      <c r="G1446" t="s">
        <v>25</v>
      </c>
      <c r="H1446" t="s">
        <v>26</v>
      </c>
      <c r="I1446">
        <v>232922</v>
      </c>
      <c r="J1446" t="s">
        <v>27</v>
      </c>
      <c r="K1446" t="s">
        <v>1999</v>
      </c>
      <c r="L1446" t="s">
        <v>21</v>
      </c>
    </row>
    <row r="1447" spans="1:12">
      <c r="A1447" t="s">
        <v>2001</v>
      </c>
      <c r="B1447" t="s">
        <v>1994</v>
      </c>
      <c r="C1447" t="s">
        <v>130</v>
      </c>
      <c r="D1447">
        <v>1957</v>
      </c>
      <c r="E1447" t="s">
        <v>29</v>
      </c>
      <c r="F1447" t="s">
        <v>30</v>
      </c>
      <c r="G1447" t="s">
        <v>31</v>
      </c>
      <c r="H1447" t="s">
        <v>32</v>
      </c>
      <c r="I1447">
        <v>426.09640810000002</v>
      </c>
      <c r="J1447" t="s">
        <v>33</v>
      </c>
      <c r="K1447" t="s">
        <v>1999</v>
      </c>
      <c r="L1447" t="s">
        <v>21</v>
      </c>
    </row>
    <row r="1448" spans="1:12">
      <c r="A1448" t="s">
        <v>2002</v>
      </c>
      <c r="B1448" t="s">
        <v>1994</v>
      </c>
      <c r="C1448" t="s">
        <v>130</v>
      </c>
      <c r="D1448">
        <v>1962</v>
      </c>
      <c r="E1448" t="s">
        <v>15</v>
      </c>
      <c r="F1448" t="s">
        <v>16</v>
      </c>
      <c r="G1448" t="s">
        <v>17</v>
      </c>
      <c r="H1448" t="s">
        <v>18</v>
      </c>
      <c r="I1448">
        <v>37.484999999999999</v>
      </c>
      <c r="J1448" t="s">
        <v>19</v>
      </c>
      <c r="K1448" t="s">
        <v>2003</v>
      </c>
      <c r="L1448" t="s">
        <v>21</v>
      </c>
    </row>
    <row r="1449" spans="1:12">
      <c r="A1449" t="s">
        <v>2004</v>
      </c>
      <c r="B1449" t="s">
        <v>1994</v>
      </c>
      <c r="C1449" t="s">
        <v>130</v>
      </c>
      <c r="D1449">
        <v>1962</v>
      </c>
      <c r="E1449" t="s">
        <v>23</v>
      </c>
      <c r="F1449" t="s">
        <v>24</v>
      </c>
      <c r="G1449" t="s">
        <v>25</v>
      </c>
      <c r="H1449" t="s">
        <v>26</v>
      </c>
      <c r="I1449">
        <v>249220</v>
      </c>
      <c r="J1449" t="s">
        <v>27</v>
      </c>
      <c r="K1449" t="s">
        <v>2003</v>
      </c>
      <c r="L1449" t="s">
        <v>21</v>
      </c>
    </row>
    <row r="1450" spans="1:12">
      <c r="A1450" t="s">
        <v>2005</v>
      </c>
      <c r="B1450" t="s">
        <v>1994</v>
      </c>
      <c r="C1450" t="s">
        <v>130</v>
      </c>
      <c r="D1450">
        <v>1962</v>
      </c>
      <c r="E1450" t="s">
        <v>29</v>
      </c>
      <c r="F1450" t="s">
        <v>30</v>
      </c>
      <c r="G1450" t="s">
        <v>31</v>
      </c>
      <c r="H1450" t="s">
        <v>32</v>
      </c>
      <c r="I1450">
        <v>582.84197139999901</v>
      </c>
      <c r="J1450" t="s">
        <v>33</v>
      </c>
      <c r="K1450" t="s">
        <v>2003</v>
      </c>
      <c r="L1450" t="s">
        <v>21</v>
      </c>
    </row>
    <row r="1451" spans="1:12">
      <c r="A1451" t="s">
        <v>2006</v>
      </c>
      <c r="B1451" t="s">
        <v>1994</v>
      </c>
      <c r="C1451" t="s">
        <v>130</v>
      </c>
      <c r="D1451">
        <v>1967</v>
      </c>
      <c r="E1451" t="s">
        <v>15</v>
      </c>
      <c r="F1451" t="s">
        <v>16</v>
      </c>
      <c r="G1451" t="s">
        <v>17</v>
      </c>
      <c r="H1451" t="s">
        <v>18</v>
      </c>
      <c r="I1451">
        <v>38.987000000000002</v>
      </c>
      <c r="J1451" t="s">
        <v>19</v>
      </c>
      <c r="K1451" t="s">
        <v>2007</v>
      </c>
      <c r="L1451" t="s">
        <v>21</v>
      </c>
    </row>
    <row r="1452" spans="1:12">
      <c r="A1452" t="s">
        <v>2008</v>
      </c>
      <c r="B1452" t="s">
        <v>1994</v>
      </c>
      <c r="C1452" t="s">
        <v>130</v>
      </c>
      <c r="D1452">
        <v>1967</v>
      </c>
      <c r="E1452" t="s">
        <v>23</v>
      </c>
      <c r="F1452" t="s">
        <v>24</v>
      </c>
      <c r="G1452" t="s">
        <v>25</v>
      </c>
      <c r="H1452" t="s">
        <v>26</v>
      </c>
      <c r="I1452">
        <v>259864</v>
      </c>
      <c r="J1452" t="s">
        <v>27</v>
      </c>
      <c r="K1452" t="s">
        <v>2007</v>
      </c>
      <c r="L1452" t="s">
        <v>21</v>
      </c>
    </row>
    <row r="1453" spans="1:12">
      <c r="A1453" t="s">
        <v>2009</v>
      </c>
      <c r="B1453" t="s">
        <v>1994</v>
      </c>
      <c r="C1453" t="s">
        <v>130</v>
      </c>
      <c r="D1453">
        <v>1967</v>
      </c>
      <c r="E1453" t="s">
        <v>29</v>
      </c>
      <c r="F1453" t="s">
        <v>30</v>
      </c>
      <c r="G1453" t="s">
        <v>31</v>
      </c>
      <c r="H1453" t="s">
        <v>32</v>
      </c>
      <c r="I1453">
        <v>915.59600250000005</v>
      </c>
      <c r="J1453" t="s">
        <v>33</v>
      </c>
      <c r="K1453" t="s">
        <v>2007</v>
      </c>
      <c r="L1453" t="s">
        <v>21</v>
      </c>
    </row>
    <row r="1454" spans="1:12">
      <c r="A1454" t="s">
        <v>2010</v>
      </c>
      <c r="B1454" t="s">
        <v>1994</v>
      </c>
      <c r="C1454" t="s">
        <v>130</v>
      </c>
      <c r="D1454">
        <v>1972</v>
      </c>
      <c r="E1454" t="s">
        <v>15</v>
      </c>
      <c r="F1454" t="s">
        <v>16</v>
      </c>
      <c r="G1454" t="s">
        <v>17</v>
      </c>
      <c r="H1454" t="s">
        <v>18</v>
      </c>
      <c r="I1454">
        <v>40.515999999999998</v>
      </c>
      <c r="J1454" t="s">
        <v>19</v>
      </c>
      <c r="K1454" t="s">
        <v>2011</v>
      </c>
      <c r="L1454" t="s">
        <v>21</v>
      </c>
    </row>
    <row r="1455" spans="1:12">
      <c r="A1455" t="s">
        <v>2012</v>
      </c>
      <c r="B1455" t="s">
        <v>1994</v>
      </c>
      <c r="C1455" t="s">
        <v>130</v>
      </c>
      <c r="D1455">
        <v>1972</v>
      </c>
      <c r="E1455" t="s">
        <v>23</v>
      </c>
      <c r="F1455" t="s">
        <v>24</v>
      </c>
      <c r="G1455" t="s">
        <v>25</v>
      </c>
      <c r="H1455" t="s">
        <v>26</v>
      </c>
      <c r="I1455">
        <v>277603</v>
      </c>
      <c r="J1455" t="s">
        <v>27</v>
      </c>
      <c r="K1455" t="s">
        <v>2011</v>
      </c>
      <c r="L1455" t="s">
        <v>21</v>
      </c>
    </row>
    <row r="1456" spans="1:12">
      <c r="A1456" t="s">
        <v>2013</v>
      </c>
      <c r="B1456" t="s">
        <v>1994</v>
      </c>
      <c r="C1456" t="s">
        <v>130</v>
      </c>
      <c r="D1456">
        <v>1972</v>
      </c>
      <c r="E1456" t="s">
        <v>29</v>
      </c>
      <c r="F1456" t="s">
        <v>30</v>
      </c>
      <c r="G1456" t="s">
        <v>31</v>
      </c>
      <c r="H1456" t="s">
        <v>32</v>
      </c>
      <c r="I1456">
        <v>672.41225710000003</v>
      </c>
      <c r="J1456" t="s">
        <v>33</v>
      </c>
      <c r="K1456" t="s">
        <v>2011</v>
      </c>
      <c r="L1456" t="s">
        <v>21</v>
      </c>
    </row>
    <row r="1457" spans="1:12">
      <c r="A1457" t="s">
        <v>2014</v>
      </c>
      <c r="B1457" t="s">
        <v>1994</v>
      </c>
      <c r="C1457" t="s">
        <v>130</v>
      </c>
      <c r="D1457">
        <v>1977</v>
      </c>
      <c r="E1457" t="s">
        <v>15</v>
      </c>
      <c r="F1457" t="s">
        <v>16</v>
      </c>
      <c r="G1457" t="s">
        <v>17</v>
      </c>
      <c r="H1457" t="s">
        <v>18</v>
      </c>
      <c r="I1457">
        <v>42.024000000000001</v>
      </c>
      <c r="J1457" t="s">
        <v>19</v>
      </c>
      <c r="K1457" t="s">
        <v>2015</v>
      </c>
      <c r="L1457" t="s">
        <v>21</v>
      </c>
    </row>
    <row r="1458" spans="1:12">
      <c r="A1458" t="s">
        <v>2016</v>
      </c>
      <c r="B1458" t="s">
        <v>1994</v>
      </c>
      <c r="C1458" t="s">
        <v>130</v>
      </c>
      <c r="D1458">
        <v>1977</v>
      </c>
      <c r="E1458" t="s">
        <v>23</v>
      </c>
      <c r="F1458" t="s">
        <v>24</v>
      </c>
      <c r="G1458" t="s">
        <v>25</v>
      </c>
      <c r="H1458" t="s">
        <v>26</v>
      </c>
      <c r="I1458">
        <v>192675</v>
      </c>
      <c r="J1458" t="s">
        <v>27</v>
      </c>
      <c r="K1458" t="s">
        <v>2015</v>
      </c>
      <c r="L1458" t="s">
        <v>21</v>
      </c>
    </row>
    <row r="1459" spans="1:12">
      <c r="A1459" t="s">
        <v>2017</v>
      </c>
      <c r="B1459" t="s">
        <v>1994</v>
      </c>
      <c r="C1459" t="s">
        <v>130</v>
      </c>
      <c r="D1459">
        <v>1977</v>
      </c>
      <c r="E1459" t="s">
        <v>29</v>
      </c>
      <c r="F1459" t="s">
        <v>30</v>
      </c>
      <c r="G1459" t="s">
        <v>31</v>
      </c>
      <c r="H1459" t="s">
        <v>32</v>
      </c>
      <c r="I1459">
        <v>958.5668124</v>
      </c>
      <c r="J1459" t="s">
        <v>33</v>
      </c>
      <c r="K1459" t="s">
        <v>2015</v>
      </c>
      <c r="L1459" t="s">
        <v>21</v>
      </c>
    </row>
    <row r="1460" spans="1:12">
      <c r="A1460" t="s">
        <v>2018</v>
      </c>
      <c r="B1460" t="s">
        <v>1994</v>
      </c>
      <c r="C1460" t="s">
        <v>130</v>
      </c>
      <c r="D1460">
        <v>1982</v>
      </c>
      <c r="E1460" t="s">
        <v>15</v>
      </c>
      <c r="F1460" t="s">
        <v>16</v>
      </c>
      <c r="G1460" t="s">
        <v>17</v>
      </c>
      <c r="H1460" t="s">
        <v>18</v>
      </c>
      <c r="I1460">
        <v>43.661999999999999</v>
      </c>
      <c r="J1460" t="s">
        <v>19</v>
      </c>
      <c r="K1460" t="s">
        <v>2019</v>
      </c>
      <c r="L1460" t="s">
        <v>21</v>
      </c>
    </row>
    <row r="1461" spans="1:12">
      <c r="A1461" t="s">
        <v>2020</v>
      </c>
      <c r="B1461" t="s">
        <v>1994</v>
      </c>
      <c r="C1461" t="s">
        <v>130</v>
      </c>
      <c r="D1461">
        <v>1982</v>
      </c>
      <c r="E1461" t="s">
        <v>23</v>
      </c>
      <c r="F1461" t="s">
        <v>24</v>
      </c>
      <c r="G1461" t="s">
        <v>25</v>
      </c>
      <c r="H1461" t="s">
        <v>26</v>
      </c>
      <c r="I1461">
        <v>285483</v>
      </c>
      <c r="J1461" t="s">
        <v>27</v>
      </c>
      <c r="K1461" t="s">
        <v>2019</v>
      </c>
      <c r="L1461" t="s">
        <v>21</v>
      </c>
    </row>
    <row r="1462" spans="1:12">
      <c r="A1462" t="s">
        <v>2021</v>
      </c>
      <c r="B1462" t="s">
        <v>1994</v>
      </c>
      <c r="C1462" t="s">
        <v>130</v>
      </c>
      <c r="D1462">
        <v>1982</v>
      </c>
      <c r="E1462" t="s">
        <v>29</v>
      </c>
      <c r="F1462" t="s">
        <v>30</v>
      </c>
      <c r="G1462" t="s">
        <v>31</v>
      </c>
      <c r="H1462" t="s">
        <v>32</v>
      </c>
      <c r="I1462">
        <v>927.82534269999996</v>
      </c>
      <c r="J1462" t="s">
        <v>33</v>
      </c>
      <c r="K1462" t="s">
        <v>2019</v>
      </c>
      <c r="L1462" t="s">
        <v>21</v>
      </c>
    </row>
    <row r="1463" spans="1:12">
      <c r="A1463" t="s">
        <v>2022</v>
      </c>
      <c r="B1463" t="s">
        <v>1994</v>
      </c>
      <c r="C1463" t="s">
        <v>130</v>
      </c>
      <c r="D1463">
        <v>1987</v>
      </c>
      <c r="E1463" t="s">
        <v>15</v>
      </c>
      <c r="F1463" t="s">
        <v>16</v>
      </c>
      <c r="G1463" t="s">
        <v>17</v>
      </c>
      <c r="H1463" t="s">
        <v>18</v>
      </c>
      <c r="I1463">
        <v>45.664000000000001</v>
      </c>
      <c r="J1463" t="s">
        <v>19</v>
      </c>
      <c r="K1463" t="s">
        <v>2023</v>
      </c>
      <c r="L1463" t="s">
        <v>21</v>
      </c>
    </row>
    <row r="1464" spans="1:12">
      <c r="A1464" t="s">
        <v>2024</v>
      </c>
      <c r="B1464" t="s">
        <v>1994</v>
      </c>
      <c r="C1464" t="s">
        <v>130</v>
      </c>
      <c r="D1464">
        <v>1987</v>
      </c>
      <c r="E1464" t="s">
        <v>23</v>
      </c>
      <c r="F1464" t="s">
        <v>24</v>
      </c>
      <c r="G1464" t="s">
        <v>25</v>
      </c>
      <c r="H1464" t="s">
        <v>26</v>
      </c>
      <c r="I1464">
        <v>341244</v>
      </c>
      <c r="J1464" t="s">
        <v>27</v>
      </c>
      <c r="K1464" t="s">
        <v>2023</v>
      </c>
      <c r="L1464" t="s">
        <v>21</v>
      </c>
    </row>
    <row r="1465" spans="1:12">
      <c r="A1465" t="s">
        <v>2025</v>
      </c>
      <c r="B1465" t="s">
        <v>1994</v>
      </c>
      <c r="C1465" t="s">
        <v>130</v>
      </c>
      <c r="D1465">
        <v>1987</v>
      </c>
      <c r="E1465" t="s">
        <v>29</v>
      </c>
      <c r="F1465" t="s">
        <v>30</v>
      </c>
      <c r="G1465" t="s">
        <v>31</v>
      </c>
      <c r="H1465" t="s">
        <v>32</v>
      </c>
      <c r="I1465">
        <v>966.89681489999998</v>
      </c>
      <c r="J1465" t="s">
        <v>33</v>
      </c>
      <c r="K1465" t="s">
        <v>2023</v>
      </c>
      <c r="L1465" t="s">
        <v>21</v>
      </c>
    </row>
    <row r="1466" spans="1:12">
      <c r="A1466" t="s">
        <v>2026</v>
      </c>
      <c r="B1466" t="s">
        <v>1994</v>
      </c>
      <c r="C1466" t="s">
        <v>130</v>
      </c>
      <c r="D1466">
        <v>1992</v>
      </c>
      <c r="E1466" t="s">
        <v>15</v>
      </c>
      <c r="F1466" t="s">
        <v>16</v>
      </c>
      <c r="G1466" t="s">
        <v>17</v>
      </c>
      <c r="H1466" t="s">
        <v>18</v>
      </c>
      <c r="I1466">
        <v>47.545000000000002</v>
      </c>
      <c r="J1466" t="s">
        <v>19</v>
      </c>
      <c r="K1466" t="s">
        <v>2027</v>
      </c>
      <c r="L1466" t="s">
        <v>21</v>
      </c>
    </row>
    <row r="1467" spans="1:12">
      <c r="A1467" t="s">
        <v>2028</v>
      </c>
      <c r="B1467" t="s">
        <v>1994</v>
      </c>
      <c r="C1467" t="s">
        <v>130</v>
      </c>
      <c r="D1467">
        <v>1992</v>
      </c>
      <c r="E1467" t="s">
        <v>23</v>
      </c>
      <c r="F1467" t="s">
        <v>24</v>
      </c>
      <c r="G1467" t="s">
        <v>25</v>
      </c>
      <c r="H1467" t="s">
        <v>26</v>
      </c>
      <c r="I1467">
        <v>387838</v>
      </c>
      <c r="J1467" t="s">
        <v>27</v>
      </c>
      <c r="K1467" t="s">
        <v>2027</v>
      </c>
      <c r="L1467" t="s">
        <v>21</v>
      </c>
    </row>
    <row r="1468" spans="1:12">
      <c r="A1468" t="s">
        <v>2029</v>
      </c>
      <c r="B1468" t="s">
        <v>1994</v>
      </c>
      <c r="C1468" t="s">
        <v>130</v>
      </c>
      <c r="D1468">
        <v>1992</v>
      </c>
      <c r="E1468" t="s">
        <v>29</v>
      </c>
      <c r="F1468" t="s">
        <v>30</v>
      </c>
      <c r="G1468" t="s">
        <v>31</v>
      </c>
      <c r="H1468" t="s">
        <v>32</v>
      </c>
      <c r="I1468">
        <v>1132.055034</v>
      </c>
      <c r="J1468" t="s">
        <v>33</v>
      </c>
      <c r="K1468" t="s">
        <v>2027</v>
      </c>
      <c r="L1468" t="s">
        <v>21</v>
      </c>
    </row>
    <row r="1469" spans="1:12">
      <c r="A1469" t="s">
        <v>2030</v>
      </c>
      <c r="B1469" t="s">
        <v>1994</v>
      </c>
      <c r="C1469" t="s">
        <v>130</v>
      </c>
      <c r="D1469">
        <v>1997</v>
      </c>
      <c r="E1469" t="s">
        <v>15</v>
      </c>
      <c r="F1469" t="s">
        <v>16</v>
      </c>
      <c r="G1469" t="s">
        <v>17</v>
      </c>
      <c r="H1469" t="s">
        <v>18</v>
      </c>
      <c r="I1469">
        <v>48.244999999999997</v>
      </c>
      <c r="J1469" t="s">
        <v>19</v>
      </c>
      <c r="K1469" t="s">
        <v>2031</v>
      </c>
      <c r="L1469" t="s">
        <v>21</v>
      </c>
    </row>
    <row r="1470" spans="1:12">
      <c r="A1470" t="s">
        <v>2032</v>
      </c>
      <c r="B1470" t="s">
        <v>1994</v>
      </c>
      <c r="C1470" t="s">
        <v>130</v>
      </c>
      <c r="D1470">
        <v>1997</v>
      </c>
      <c r="E1470" t="s">
        <v>23</v>
      </c>
      <c r="F1470" t="s">
        <v>24</v>
      </c>
      <c r="G1470" t="s">
        <v>25</v>
      </c>
      <c r="H1470" t="s">
        <v>26</v>
      </c>
      <c r="I1470">
        <v>439971</v>
      </c>
      <c r="J1470" t="s">
        <v>27</v>
      </c>
      <c r="K1470" t="s">
        <v>2031</v>
      </c>
      <c r="L1470" t="s">
        <v>21</v>
      </c>
    </row>
    <row r="1471" spans="1:12">
      <c r="A1471" t="s">
        <v>2033</v>
      </c>
      <c r="B1471" t="s">
        <v>1994</v>
      </c>
      <c r="C1471" t="s">
        <v>130</v>
      </c>
      <c r="D1471">
        <v>1997</v>
      </c>
      <c r="E1471" t="s">
        <v>29</v>
      </c>
      <c r="F1471" t="s">
        <v>30</v>
      </c>
      <c r="G1471" t="s">
        <v>31</v>
      </c>
      <c r="H1471" t="s">
        <v>32</v>
      </c>
      <c r="I1471">
        <v>2814.480755</v>
      </c>
      <c r="J1471" t="s">
        <v>33</v>
      </c>
      <c r="K1471" t="s">
        <v>2031</v>
      </c>
      <c r="L1471" t="s">
        <v>21</v>
      </c>
    </row>
    <row r="1472" spans="1:12">
      <c r="A1472" t="s">
        <v>2034</v>
      </c>
      <c r="B1472" t="s">
        <v>1994</v>
      </c>
      <c r="C1472" t="s">
        <v>130</v>
      </c>
      <c r="D1472">
        <v>2002</v>
      </c>
      <c r="E1472" t="s">
        <v>15</v>
      </c>
      <c r="F1472" t="s">
        <v>16</v>
      </c>
      <c r="G1472" t="s">
        <v>17</v>
      </c>
      <c r="H1472" t="s">
        <v>18</v>
      </c>
      <c r="I1472">
        <v>49.347999999999999</v>
      </c>
      <c r="J1472" t="s">
        <v>19</v>
      </c>
      <c r="K1472" t="s">
        <v>2035</v>
      </c>
      <c r="L1472" t="s">
        <v>21</v>
      </c>
    </row>
    <row r="1473" spans="1:12">
      <c r="A1473" t="s">
        <v>2036</v>
      </c>
      <c r="B1473" t="s">
        <v>1994</v>
      </c>
      <c r="C1473" t="s">
        <v>130</v>
      </c>
      <c r="D1473">
        <v>2002</v>
      </c>
      <c r="E1473" t="s">
        <v>23</v>
      </c>
      <c r="F1473" t="s">
        <v>24</v>
      </c>
      <c r="G1473" t="s">
        <v>25</v>
      </c>
      <c r="H1473" t="s">
        <v>26</v>
      </c>
      <c r="I1473">
        <v>495627</v>
      </c>
      <c r="J1473" t="s">
        <v>27</v>
      </c>
      <c r="K1473" t="s">
        <v>2035</v>
      </c>
      <c r="L1473" t="s">
        <v>21</v>
      </c>
    </row>
    <row r="1474" spans="1:12">
      <c r="A1474" t="s">
        <v>2037</v>
      </c>
      <c r="B1474" t="s">
        <v>1994</v>
      </c>
      <c r="C1474" t="s">
        <v>130</v>
      </c>
      <c r="D1474">
        <v>2002</v>
      </c>
      <c r="E1474" t="s">
        <v>29</v>
      </c>
      <c r="F1474" t="s">
        <v>30</v>
      </c>
      <c r="G1474" t="s">
        <v>31</v>
      </c>
      <c r="H1474" t="s">
        <v>32</v>
      </c>
      <c r="I1474">
        <v>7703.4958999999999</v>
      </c>
      <c r="J1474" t="s">
        <v>33</v>
      </c>
      <c r="K1474" t="s">
        <v>2035</v>
      </c>
      <c r="L1474" t="s">
        <v>21</v>
      </c>
    </row>
    <row r="1475" spans="1:12">
      <c r="A1475" t="s">
        <v>2038</v>
      </c>
      <c r="B1475" t="s">
        <v>1994</v>
      </c>
      <c r="C1475" t="s">
        <v>130</v>
      </c>
      <c r="D1475">
        <v>2007</v>
      </c>
      <c r="E1475" t="s">
        <v>15</v>
      </c>
      <c r="F1475" t="s">
        <v>16</v>
      </c>
      <c r="G1475" t="s">
        <v>17</v>
      </c>
      <c r="H1475" t="s">
        <v>18</v>
      </c>
      <c r="I1475">
        <v>51.578999999999901</v>
      </c>
      <c r="J1475" t="s">
        <v>19</v>
      </c>
      <c r="K1475" t="s">
        <v>2039</v>
      </c>
      <c r="L1475" t="s">
        <v>21</v>
      </c>
    </row>
    <row r="1476" spans="1:12">
      <c r="A1476" t="s">
        <v>2040</v>
      </c>
      <c r="B1476" t="s">
        <v>1994</v>
      </c>
      <c r="C1476" t="s">
        <v>130</v>
      </c>
      <c r="D1476">
        <v>2007</v>
      </c>
      <c r="E1476" t="s">
        <v>23</v>
      </c>
      <c r="F1476" t="s">
        <v>24</v>
      </c>
      <c r="G1476" t="s">
        <v>25</v>
      </c>
      <c r="H1476" t="s">
        <v>26</v>
      </c>
      <c r="I1476">
        <v>551201</v>
      </c>
      <c r="J1476" t="s">
        <v>27</v>
      </c>
      <c r="K1476" t="s">
        <v>2039</v>
      </c>
      <c r="L1476" t="s">
        <v>21</v>
      </c>
    </row>
    <row r="1477" spans="1:12">
      <c r="A1477" t="s">
        <v>2041</v>
      </c>
      <c r="B1477" t="s">
        <v>1994</v>
      </c>
      <c r="C1477" t="s">
        <v>130</v>
      </c>
      <c r="D1477">
        <v>2007</v>
      </c>
      <c r="E1477" t="s">
        <v>29</v>
      </c>
      <c r="F1477" t="s">
        <v>30</v>
      </c>
      <c r="G1477" t="s">
        <v>31</v>
      </c>
      <c r="H1477" t="s">
        <v>32</v>
      </c>
      <c r="I1477">
        <v>12154.089749999999</v>
      </c>
      <c r="J1477" t="s">
        <v>33</v>
      </c>
      <c r="K1477" t="s">
        <v>2039</v>
      </c>
      <c r="L1477" t="s">
        <v>21</v>
      </c>
    </row>
    <row r="1478" spans="1:12">
      <c r="A1478" t="s">
        <v>2042</v>
      </c>
      <c r="B1478" t="s">
        <v>2043</v>
      </c>
      <c r="C1478" t="s">
        <v>130</v>
      </c>
      <c r="D1478">
        <v>1952</v>
      </c>
      <c r="E1478" t="s">
        <v>15</v>
      </c>
      <c r="F1478" t="s">
        <v>16</v>
      </c>
      <c r="G1478" t="s">
        <v>17</v>
      </c>
      <c r="H1478" t="s">
        <v>18</v>
      </c>
      <c r="I1478">
        <v>35.927999999999997</v>
      </c>
      <c r="J1478" t="s">
        <v>19</v>
      </c>
      <c r="K1478" t="s">
        <v>2044</v>
      </c>
      <c r="L1478" t="s">
        <v>21</v>
      </c>
    </row>
    <row r="1479" spans="1:12">
      <c r="A1479" t="s">
        <v>2045</v>
      </c>
      <c r="B1479" t="s">
        <v>2043</v>
      </c>
      <c r="C1479" t="s">
        <v>130</v>
      </c>
      <c r="D1479">
        <v>1952</v>
      </c>
      <c r="E1479" t="s">
        <v>23</v>
      </c>
      <c r="F1479" t="s">
        <v>24</v>
      </c>
      <c r="G1479" t="s">
        <v>25</v>
      </c>
      <c r="H1479" t="s">
        <v>26</v>
      </c>
      <c r="I1479">
        <v>1438760</v>
      </c>
      <c r="J1479" t="s">
        <v>27</v>
      </c>
      <c r="K1479" t="s">
        <v>2044</v>
      </c>
      <c r="L1479" t="s">
        <v>21</v>
      </c>
    </row>
    <row r="1480" spans="1:12">
      <c r="A1480" t="s">
        <v>2046</v>
      </c>
      <c r="B1480" t="s">
        <v>2043</v>
      </c>
      <c r="C1480" t="s">
        <v>130</v>
      </c>
      <c r="D1480">
        <v>1952</v>
      </c>
      <c r="E1480" t="s">
        <v>29</v>
      </c>
      <c r="F1480" t="s">
        <v>30</v>
      </c>
      <c r="G1480" t="s">
        <v>31</v>
      </c>
      <c r="H1480" t="s">
        <v>32</v>
      </c>
      <c r="I1480">
        <v>328.94055709999998</v>
      </c>
      <c r="J1480" t="s">
        <v>33</v>
      </c>
      <c r="K1480" t="s">
        <v>2044</v>
      </c>
      <c r="L1480" t="s">
        <v>21</v>
      </c>
    </row>
    <row r="1481" spans="1:12">
      <c r="A1481" t="s">
        <v>2047</v>
      </c>
      <c r="B1481" t="s">
        <v>2043</v>
      </c>
      <c r="C1481" t="s">
        <v>130</v>
      </c>
      <c r="D1481">
        <v>1957</v>
      </c>
      <c r="E1481" t="s">
        <v>15</v>
      </c>
      <c r="F1481" t="s">
        <v>16</v>
      </c>
      <c r="G1481" t="s">
        <v>17</v>
      </c>
      <c r="H1481" t="s">
        <v>18</v>
      </c>
      <c r="I1481">
        <v>38.046999999999997</v>
      </c>
      <c r="J1481" t="s">
        <v>19</v>
      </c>
      <c r="K1481" t="s">
        <v>2048</v>
      </c>
      <c r="L1481" t="s">
        <v>21</v>
      </c>
    </row>
    <row r="1482" spans="1:12">
      <c r="A1482" t="s">
        <v>2049</v>
      </c>
      <c r="B1482" t="s">
        <v>2043</v>
      </c>
      <c r="C1482" t="s">
        <v>130</v>
      </c>
      <c r="D1482">
        <v>1957</v>
      </c>
      <c r="E1482" t="s">
        <v>23</v>
      </c>
      <c r="F1482" t="s">
        <v>24</v>
      </c>
      <c r="G1482" t="s">
        <v>25</v>
      </c>
      <c r="H1482" t="s">
        <v>26</v>
      </c>
      <c r="I1482">
        <v>1542611</v>
      </c>
      <c r="J1482" t="s">
        <v>27</v>
      </c>
      <c r="K1482" t="s">
        <v>2048</v>
      </c>
      <c r="L1482" t="s">
        <v>21</v>
      </c>
    </row>
    <row r="1483" spans="1:12">
      <c r="A1483" t="s">
        <v>2050</v>
      </c>
      <c r="B1483" t="s">
        <v>2043</v>
      </c>
      <c r="C1483" t="s">
        <v>130</v>
      </c>
      <c r="D1483">
        <v>1957</v>
      </c>
      <c r="E1483" t="s">
        <v>29</v>
      </c>
      <c r="F1483" t="s">
        <v>30</v>
      </c>
      <c r="G1483" t="s">
        <v>31</v>
      </c>
      <c r="H1483" t="s">
        <v>32</v>
      </c>
      <c r="I1483">
        <v>344.16188590000002</v>
      </c>
      <c r="J1483" t="s">
        <v>33</v>
      </c>
      <c r="K1483" t="s">
        <v>2048</v>
      </c>
      <c r="L1483" t="s">
        <v>21</v>
      </c>
    </row>
    <row r="1484" spans="1:12">
      <c r="A1484" t="s">
        <v>2051</v>
      </c>
      <c r="B1484" t="s">
        <v>2043</v>
      </c>
      <c r="C1484" t="s">
        <v>130</v>
      </c>
      <c r="D1484">
        <v>1962</v>
      </c>
      <c r="E1484" t="s">
        <v>15</v>
      </c>
      <c r="F1484" t="s">
        <v>16</v>
      </c>
      <c r="G1484" t="s">
        <v>17</v>
      </c>
      <c r="H1484" t="s">
        <v>18</v>
      </c>
      <c r="I1484">
        <v>40.158000000000001</v>
      </c>
      <c r="J1484" t="s">
        <v>19</v>
      </c>
      <c r="K1484" t="s">
        <v>2052</v>
      </c>
      <c r="L1484" t="s">
        <v>21</v>
      </c>
    </row>
    <row r="1485" spans="1:12">
      <c r="A1485" t="s">
        <v>2053</v>
      </c>
      <c r="B1485" t="s">
        <v>2043</v>
      </c>
      <c r="C1485" t="s">
        <v>130</v>
      </c>
      <c r="D1485">
        <v>1962</v>
      </c>
      <c r="E1485" t="s">
        <v>23</v>
      </c>
      <c r="F1485" t="s">
        <v>24</v>
      </c>
      <c r="G1485" t="s">
        <v>25</v>
      </c>
      <c r="H1485" t="s">
        <v>26</v>
      </c>
      <c r="I1485">
        <v>1666618</v>
      </c>
      <c r="J1485" t="s">
        <v>27</v>
      </c>
      <c r="K1485" t="s">
        <v>2052</v>
      </c>
      <c r="L1485" t="s">
        <v>21</v>
      </c>
    </row>
    <row r="1486" spans="1:12">
      <c r="A1486" t="s">
        <v>2054</v>
      </c>
      <c r="B1486" t="s">
        <v>2043</v>
      </c>
      <c r="C1486" t="s">
        <v>130</v>
      </c>
      <c r="D1486">
        <v>1962</v>
      </c>
      <c r="E1486" t="s">
        <v>29</v>
      </c>
      <c r="F1486" t="s">
        <v>30</v>
      </c>
      <c r="G1486" t="s">
        <v>31</v>
      </c>
      <c r="H1486" t="s">
        <v>32</v>
      </c>
      <c r="I1486">
        <v>380.99584329999999</v>
      </c>
      <c r="J1486" t="s">
        <v>33</v>
      </c>
      <c r="K1486" t="s">
        <v>2052</v>
      </c>
      <c r="L1486" t="s">
        <v>21</v>
      </c>
    </row>
    <row r="1487" spans="1:12">
      <c r="A1487" t="s">
        <v>2055</v>
      </c>
      <c r="B1487" t="s">
        <v>2043</v>
      </c>
      <c r="C1487" t="s">
        <v>130</v>
      </c>
      <c r="D1487">
        <v>1967</v>
      </c>
      <c r="E1487" t="s">
        <v>15</v>
      </c>
      <c r="F1487" t="s">
        <v>16</v>
      </c>
      <c r="G1487" t="s">
        <v>17</v>
      </c>
      <c r="H1487" t="s">
        <v>18</v>
      </c>
      <c r="I1487">
        <v>42.188999999999901</v>
      </c>
      <c r="J1487" t="s">
        <v>19</v>
      </c>
      <c r="K1487" t="s">
        <v>2056</v>
      </c>
      <c r="L1487" t="s">
        <v>21</v>
      </c>
    </row>
    <row r="1488" spans="1:12">
      <c r="A1488" t="s">
        <v>2057</v>
      </c>
      <c r="B1488" t="s">
        <v>2043</v>
      </c>
      <c r="C1488" t="s">
        <v>130</v>
      </c>
      <c r="D1488">
        <v>1967</v>
      </c>
      <c r="E1488" t="s">
        <v>23</v>
      </c>
      <c r="F1488" t="s">
        <v>24</v>
      </c>
      <c r="G1488" t="s">
        <v>25</v>
      </c>
      <c r="H1488" t="s">
        <v>26</v>
      </c>
      <c r="I1488">
        <v>1820319</v>
      </c>
      <c r="J1488" t="s">
        <v>27</v>
      </c>
      <c r="K1488" t="s">
        <v>2056</v>
      </c>
      <c r="L1488" t="s">
        <v>21</v>
      </c>
    </row>
    <row r="1489" spans="1:12">
      <c r="A1489" t="s">
        <v>2058</v>
      </c>
      <c r="B1489" t="s">
        <v>2043</v>
      </c>
      <c r="C1489" t="s">
        <v>130</v>
      </c>
      <c r="D1489">
        <v>1967</v>
      </c>
      <c r="E1489" t="s">
        <v>29</v>
      </c>
      <c r="F1489" t="s">
        <v>30</v>
      </c>
      <c r="G1489" t="s">
        <v>31</v>
      </c>
      <c r="H1489" t="s">
        <v>32</v>
      </c>
      <c r="I1489">
        <v>468.79496990000001</v>
      </c>
      <c r="J1489" t="s">
        <v>33</v>
      </c>
      <c r="K1489" t="s">
        <v>2056</v>
      </c>
      <c r="L1489" t="s">
        <v>21</v>
      </c>
    </row>
    <row r="1490" spans="1:12">
      <c r="A1490" t="s">
        <v>2059</v>
      </c>
      <c r="B1490" t="s">
        <v>2043</v>
      </c>
      <c r="C1490" t="s">
        <v>130</v>
      </c>
      <c r="D1490">
        <v>1972</v>
      </c>
      <c r="E1490" t="s">
        <v>15</v>
      </c>
      <c r="F1490" t="s">
        <v>16</v>
      </c>
      <c r="G1490" t="s">
        <v>17</v>
      </c>
      <c r="H1490" t="s">
        <v>18</v>
      </c>
      <c r="I1490">
        <v>44.142000000000003</v>
      </c>
      <c r="J1490" t="s">
        <v>19</v>
      </c>
      <c r="K1490" t="s">
        <v>2060</v>
      </c>
      <c r="L1490" t="s">
        <v>21</v>
      </c>
    </row>
    <row r="1491" spans="1:12">
      <c r="A1491" t="s">
        <v>2061</v>
      </c>
      <c r="B1491" t="s">
        <v>2043</v>
      </c>
      <c r="C1491" t="s">
        <v>130</v>
      </c>
      <c r="D1491">
        <v>1972</v>
      </c>
      <c r="E1491" t="s">
        <v>23</v>
      </c>
      <c r="F1491" t="s">
        <v>24</v>
      </c>
      <c r="G1491" t="s">
        <v>25</v>
      </c>
      <c r="H1491" t="s">
        <v>26</v>
      </c>
      <c r="I1491">
        <v>2260187</v>
      </c>
      <c r="J1491" t="s">
        <v>27</v>
      </c>
      <c r="K1491" t="s">
        <v>2060</v>
      </c>
      <c r="L1491" t="s">
        <v>21</v>
      </c>
    </row>
    <row r="1492" spans="1:12">
      <c r="A1492" t="s">
        <v>2062</v>
      </c>
      <c r="B1492" t="s">
        <v>2043</v>
      </c>
      <c r="C1492" t="s">
        <v>130</v>
      </c>
      <c r="D1492">
        <v>1972</v>
      </c>
      <c r="E1492" t="s">
        <v>29</v>
      </c>
      <c r="F1492" t="s">
        <v>30</v>
      </c>
      <c r="G1492" t="s">
        <v>31</v>
      </c>
      <c r="H1492" t="s">
        <v>32</v>
      </c>
      <c r="I1492">
        <v>514.32420819999902</v>
      </c>
      <c r="J1492" t="s">
        <v>33</v>
      </c>
      <c r="K1492" t="s">
        <v>2060</v>
      </c>
      <c r="L1492" t="s">
        <v>21</v>
      </c>
    </row>
    <row r="1493" spans="1:12">
      <c r="A1493" t="s">
        <v>2063</v>
      </c>
      <c r="B1493" t="s">
        <v>2043</v>
      </c>
      <c r="C1493" t="s">
        <v>130</v>
      </c>
      <c r="D1493">
        <v>1977</v>
      </c>
      <c r="E1493" t="s">
        <v>15</v>
      </c>
      <c r="F1493" t="s">
        <v>16</v>
      </c>
      <c r="G1493" t="s">
        <v>17</v>
      </c>
      <c r="H1493" t="s">
        <v>18</v>
      </c>
      <c r="I1493">
        <v>44.534999999999997</v>
      </c>
      <c r="J1493" t="s">
        <v>19</v>
      </c>
      <c r="K1493" t="s">
        <v>2064</v>
      </c>
      <c r="L1493" t="s">
        <v>21</v>
      </c>
    </row>
    <row r="1494" spans="1:12">
      <c r="A1494" t="s">
        <v>2065</v>
      </c>
      <c r="B1494" t="s">
        <v>2043</v>
      </c>
      <c r="C1494" t="s">
        <v>130</v>
      </c>
      <c r="D1494">
        <v>1977</v>
      </c>
      <c r="E1494" t="s">
        <v>23</v>
      </c>
      <c r="F1494" t="s">
        <v>24</v>
      </c>
      <c r="G1494" t="s">
        <v>25</v>
      </c>
      <c r="H1494" t="s">
        <v>26</v>
      </c>
      <c r="I1494">
        <v>2512642</v>
      </c>
      <c r="J1494" t="s">
        <v>27</v>
      </c>
      <c r="K1494" t="s">
        <v>2064</v>
      </c>
      <c r="L1494" t="s">
        <v>21</v>
      </c>
    </row>
    <row r="1495" spans="1:12">
      <c r="A1495" t="s">
        <v>2066</v>
      </c>
      <c r="B1495" t="s">
        <v>2043</v>
      </c>
      <c r="C1495" t="s">
        <v>130</v>
      </c>
      <c r="D1495">
        <v>1977</v>
      </c>
      <c r="E1495" t="s">
        <v>29</v>
      </c>
      <c r="F1495" t="s">
        <v>30</v>
      </c>
      <c r="G1495" t="s">
        <v>31</v>
      </c>
      <c r="H1495" t="s">
        <v>32</v>
      </c>
      <c r="I1495">
        <v>505.75380769999998</v>
      </c>
      <c r="J1495" t="s">
        <v>33</v>
      </c>
      <c r="K1495" t="s">
        <v>2064</v>
      </c>
      <c r="L1495" t="s">
        <v>21</v>
      </c>
    </row>
    <row r="1496" spans="1:12">
      <c r="A1496" t="s">
        <v>2067</v>
      </c>
      <c r="B1496" t="s">
        <v>2043</v>
      </c>
      <c r="C1496" t="s">
        <v>130</v>
      </c>
      <c r="D1496">
        <v>1982</v>
      </c>
      <c r="E1496" t="s">
        <v>15</v>
      </c>
      <c r="F1496" t="s">
        <v>16</v>
      </c>
      <c r="G1496" t="s">
        <v>17</v>
      </c>
      <c r="H1496" t="s">
        <v>18</v>
      </c>
      <c r="I1496">
        <v>43.89</v>
      </c>
      <c r="J1496" t="s">
        <v>19</v>
      </c>
      <c r="K1496" t="s">
        <v>2068</v>
      </c>
      <c r="L1496" t="s">
        <v>21</v>
      </c>
    </row>
    <row r="1497" spans="1:12">
      <c r="A1497" t="s">
        <v>2069</v>
      </c>
      <c r="B1497" t="s">
        <v>2043</v>
      </c>
      <c r="C1497" t="s">
        <v>130</v>
      </c>
      <c r="D1497">
        <v>1982</v>
      </c>
      <c r="E1497" t="s">
        <v>23</v>
      </c>
      <c r="F1497" t="s">
        <v>24</v>
      </c>
      <c r="G1497" t="s">
        <v>25</v>
      </c>
      <c r="H1497" t="s">
        <v>26</v>
      </c>
      <c r="I1497">
        <v>2637297</v>
      </c>
      <c r="J1497" t="s">
        <v>27</v>
      </c>
      <c r="K1497" t="s">
        <v>2068</v>
      </c>
      <c r="L1497" t="s">
        <v>21</v>
      </c>
    </row>
    <row r="1498" spans="1:12">
      <c r="A1498" t="s">
        <v>2070</v>
      </c>
      <c r="B1498" t="s">
        <v>2043</v>
      </c>
      <c r="C1498" t="s">
        <v>130</v>
      </c>
      <c r="D1498">
        <v>1982</v>
      </c>
      <c r="E1498" t="s">
        <v>29</v>
      </c>
      <c r="F1498" t="s">
        <v>30</v>
      </c>
      <c r="G1498" t="s">
        <v>31</v>
      </c>
      <c r="H1498" t="s">
        <v>32</v>
      </c>
      <c r="I1498">
        <v>524.87584930000003</v>
      </c>
      <c r="J1498" t="s">
        <v>33</v>
      </c>
      <c r="K1498" t="s">
        <v>2068</v>
      </c>
      <c r="L1498" t="s">
        <v>21</v>
      </c>
    </row>
    <row r="1499" spans="1:12">
      <c r="A1499" t="s">
        <v>2071</v>
      </c>
      <c r="B1499" t="s">
        <v>2043</v>
      </c>
      <c r="C1499" t="s">
        <v>130</v>
      </c>
      <c r="D1499">
        <v>1987</v>
      </c>
      <c r="E1499" t="s">
        <v>15</v>
      </c>
      <c r="F1499" t="s">
        <v>16</v>
      </c>
      <c r="G1499" t="s">
        <v>17</v>
      </c>
      <c r="H1499" t="s">
        <v>18</v>
      </c>
      <c r="I1499">
        <v>46.453000000000003</v>
      </c>
      <c r="J1499" t="s">
        <v>19</v>
      </c>
      <c r="K1499" t="s">
        <v>2072</v>
      </c>
      <c r="L1499" t="s">
        <v>21</v>
      </c>
    </row>
    <row r="1500" spans="1:12">
      <c r="A1500" t="s">
        <v>2073</v>
      </c>
      <c r="B1500" t="s">
        <v>2043</v>
      </c>
      <c r="C1500" t="s">
        <v>130</v>
      </c>
      <c r="D1500">
        <v>1987</v>
      </c>
      <c r="E1500" t="s">
        <v>23</v>
      </c>
      <c r="F1500" t="s">
        <v>24</v>
      </c>
      <c r="G1500" t="s">
        <v>25</v>
      </c>
      <c r="H1500" t="s">
        <v>26</v>
      </c>
      <c r="I1500">
        <v>2915959</v>
      </c>
      <c r="J1500" t="s">
        <v>27</v>
      </c>
      <c r="K1500" t="s">
        <v>2072</v>
      </c>
      <c r="L1500" t="s">
        <v>21</v>
      </c>
    </row>
    <row r="1501" spans="1:12">
      <c r="A1501" t="s">
        <v>2074</v>
      </c>
      <c r="B1501" t="s">
        <v>2043</v>
      </c>
      <c r="C1501" t="s">
        <v>130</v>
      </c>
      <c r="D1501">
        <v>1987</v>
      </c>
      <c r="E1501" t="s">
        <v>29</v>
      </c>
      <c r="F1501" t="s">
        <v>30</v>
      </c>
      <c r="G1501" t="s">
        <v>31</v>
      </c>
      <c r="H1501" t="s">
        <v>32</v>
      </c>
      <c r="I1501">
        <v>521.13413330000003</v>
      </c>
      <c r="J1501" t="s">
        <v>33</v>
      </c>
      <c r="K1501" t="s">
        <v>2072</v>
      </c>
      <c r="L1501" t="s">
        <v>21</v>
      </c>
    </row>
    <row r="1502" spans="1:12">
      <c r="A1502" t="s">
        <v>2075</v>
      </c>
      <c r="B1502" t="s">
        <v>2043</v>
      </c>
      <c r="C1502" t="s">
        <v>130</v>
      </c>
      <c r="D1502">
        <v>1992</v>
      </c>
      <c r="E1502" t="s">
        <v>15</v>
      </c>
      <c r="F1502" t="s">
        <v>16</v>
      </c>
      <c r="G1502" t="s">
        <v>17</v>
      </c>
      <c r="H1502" t="s">
        <v>18</v>
      </c>
      <c r="I1502">
        <v>49.991</v>
      </c>
      <c r="J1502" t="s">
        <v>19</v>
      </c>
      <c r="K1502" t="s">
        <v>2076</v>
      </c>
      <c r="L1502" t="s">
        <v>21</v>
      </c>
    </row>
    <row r="1503" spans="1:12">
      <c r="A1503" t="s">
        <v>2077</v>
      </c>
      <c r="B1503" t="s">
        <v>2043</v>
      </c>
      <c r="C1503" t="s">
        <v>130</v>
      </c>
      <c r="D1503">
        <v>1992</v>
      </c>
      <c r="E1503" t="s">
        <v>23</v>
      </c>
      <c r="F1503" t="s">
        <v>24</v>
      </c>
      <c r="G1503" t="s">
        <v>25</v>
      </c>
      <c r="H1503" t="s">
        <v>26</v>
      </c>
      <c r="I1503">
        <v>3668440</v>
      </c>
      <c r="J1503" t="s">
        <v>27</v>
      </c>
      <c r="K1503" t="s">
        <v>2076</v>
      </c>
      <c r="L1503" t="s">
        <v>21</v>
      </c>
    </row>
    <row r="1504" spans="1:12">
      <c r="A1504" t="s">
        <v>2078</v>
      </c>
      <c r="B1504" t="s">
        <v>2043</v>
      </c>
      <c r="C1504" t="s">
        <v>130</v>
      </c>
      <c r="D1504">
        <v>1992</v>
      </c>
      <c r="E1504" t="s">
        <v>29</v>
      </c>
      <c r="F1504" t="s">
        <v>30</v>
      </c>
      <c r="G1504" t="s">
        <v>31</v>
      </c>
      <c r="H1504" t="s">
        <v>32</v>
      </c>
      <c r="I1504">
        <v>582.85851019999996</v>
      </c>
      <c r="J1504" t="s">
        <v>33</v>
      </c>
      <c r="K1504" t="s">
        <v>2076</v>
      </c>
      <c r="L1504" t="s">
        <v>21</v>
      </c>
    </row>
    <row r="1505" spans="1:12">
      <c r="A1505" t="s">
        <v>2079</v>
      </c>
      <c r="B1505" t="s">
        <v>2043</v>
      </c>
      <c r="C1505" t="s">
        <v>130</v>
      </c>
      <c r="D1505">
        <v>1997</v>
      </c>
      <c r="E1505" t="s">
        <v>15</v>
      </c>
      <c r="F1505" t="s">
        <v>16</v>
      </c>
      <c r="G1505" t="s">
        <v>17</v>
      </c>
      <c r="H1505" t="s">
        <v>18</v>
      </c>
      <c r="I1505">
        <v>53.378</v>
      </c>
      <c r="J1505" t="s">
        <v>19</v>
      </c>
      <c r="K1505" t="s">
        <v>2080</v>
      </c>
      <c r="L1505" t="s">
        <v>21</v>
      </c>
    </row>
    <row r="1506" spans="1:12">
      <c r="A1506" t="s">
        <v>2081</v>
      </c>
      <c r="B1506" t="s">
        <v>2043</v>
      </c>
      <c r="C1506" t="s">
        <v>130</v>
      </c>
      <c r="D1506">
        <v>1997</v>
      </c>
      <c r="E1506" t="s">
        <v>23</v>
      </c>
      <c r="F1506" t="s">
        <v>24</v>
      </c>
      <c r="G1506" t="s">
        <v>25</v>
      </c>
      <c r="H1506" t="s">
        <v>26</v>
      </c>
      <c r="I1506">
        <v>4058319</v>
      </c>
      <c r="J1506" t="s">
        <v>27</v>
      </c>
      <c r="K1506" t="s">
        <v>2080</v>
      </c>
      <c r="L1506" t="s">
        <v>21</v>
      </c>
    </row>
    <row r="1507" spans="1:12">
      <c r="A1507" t="s">
        <v>2082</v>
      </c>
      <c r="B1507" t="s">
        <v>2043</v>
      </c>
      <c r="C1507" t="s">
        <v>130</v>
      </c>
      <c r="D1507">
        <v>1997</v>
      </c>
      <c r="E1507" t="s">
        <v>29</v>
      </c>
      <c r="F1507" t="s">
        <v>30</v>
      </c>
      <c r="G1507" t="s">
        <v>31</v>
      </c>
      <c r="H1507" t="s">
        <v>32</v>
      </c>
      <c r="I1507">
        <v>913.47078999999997</v>
      </c>
      <c r="J1507" t="s">
        <v>33</v>
      </c>
      <c r="K1507" t="s">
        <v>2080</v>
      </c>
      <c r="L1507" t="s">
        <v>21</v>
      </c>
    </row>
    <row r="1508" spans="1:12">
      <c r="A1508" t="s">
        <v>2083</v>
      </c>
      <c r="B1508" t="s">
        <v>2043</v>
      </c>
      <c r="C1508" t="s">
        <v>130</v>
      </c>
      <c r="D1508">
        <v>2002</v>
      </c>
      <c r="E1508" t="s">
        <v>15</v>
      </c>
      <c r="F1508" t="s">
        <v>16</v>
      </c>
      <c r="G1508" t="s">
        <v>17</v>
      </c>
      <c r="H1508" t="s">
        <v>18</v>
      </c>
      <c r="I1508">
        <v>55.24</v>
      </c>
      <c r="J1508" t="s">
        <v>19</v>
      </c>
      <c r="K1508" t="s">
        <v>2084</v>
      </c>
      <c r="L1508" t="s">
        <v>21</v>
      </c>
    </row>
    <row r="1509" spans="1:12">
      <c r="A1509" t="s">
        <v>2085</v>
      </c>
      <c r="B1509" t="s">
        <v>2043</v>
      </c>
      <c r="C1509" t="s">
        <v>130</v>
      </c>
      <c r="D1509">
        <v>2002</v>
      </c>
      <c r="E1509" t="s">
        <v>23</v>
      </c>
      <c r="F1509" t="s">
        <v>24</v>
      </c>
      <c r="G1509" t="s">
        <v>25</v>
      </c>
      <c r="H1509" t="s">
        <v>26</v>
      </c>
      <c r="I1509">
        <v>4414865</v>
      </c>
      <c r="J1509" t="s">
        <v>27</v>
      </c>
      <c r="K1509" t="s">
        <v>2084</v>
      </c>
      <c r="L1509" t="s">
        <v>21</v>
      </c>
    </row>
    <row r="1510" spans="1:12">
      <c r="A1510" t="s">
        <v>2086</v>
      </c>
      <c r="B1510" t="s">
        <v>2043</v>
      </c>
      <c r="C1510" t="s">
        <v>130</v>
      </c>
      <c r="D1510">
        <v>2002</v>
      </c>
      <c r="E1510" t="s">
        <v>29</v>
      </c>
      <c r="F1510" t="s">
        <v>30</v>
      </c>
      <c r="G1510" t="s">
        <v>31</v>
      </c>
      <c r="H1510" t="s">
        <v>32</v>
      </c>
      <c r="I1510">
        <v>765.35000149999996</v>
      </c>
      <c r="J1510" t="s">
        <v>33</v>
      </c>
      <c r="K1510" t="s">
        <v>2084</v>
      </c>
      <c r="L1510" t="s">
        <v>21</v>
      </c>
    </row>
    <row r="1511" spans="1:12">
      <c r="A1511" t="s">
        <v>2087</v>
      </c>
      <c r="B1511" t="s">
        <v>2043</v>
      </c>
      <c r="C1511" t="s">
        <v>130</v>
      </c>
      <c r="D1511">
        <v>2007</v>
      </c>
      <c r="E1511" t="s">
        <v>15</v>
      </c>
      <c r="F1511" t="s">
        <v>16</v>
      </c>
      <c r="G1511" t="s">
        <v>17</v>
      </c>
      <c r="H1511" t="s">
        <v>18</v>
      </c>
      <c r="I1511">
        <v>58.04</v>
      </c>
      <c r="J1511" t="s">
        <v>19</v>
      </c>
      <c r="K1511" t="s">
        <v>2088</v>
      </c>
      <c r="L1511" t="s">
        <v>21</v>
      </c>
    </row>
    <row r="1512" spans="1:12">
      <c r="A1512" t="s">
        <v>2089</v>
      </c>
      <c r="B1512" t="s">
        <v>2043</v>
      </c>
      <c r="C1512" t="s">
        <v>130</v>
      </c>
      <c r="D1512">
        <v>2007</v>
      </c>
      <c r="E1512" t="s">
        <v>23</v>
      </c>
      <c r="F1512" t="s">
        <v>24</v>
      </c>
      <c r="G1512" t="s">
        <v>25</v>
      </c>
      <c r="H1512" t="s">
        <v>26</v>
      </c>
      <c r="I1512">
        <v>4906585</v>
      </c>
      <c r="J1512" t="s">
        <v>27</v>
      </c>
      <c r="K1512" t="s">
        <v>2088</v>
      </c>
      <c r="L1512" t="s">
        <v>21</v>
      </c>
    </row>
    <row r="1513" spans="1:12">
      <c r="A1513" t="s">
        <v>2090</v>
      </c>
      <c r="B1513" t="s">
        <v>2043</v>
      </c>
      <c r="C1513" t="s">
        <v>130</v>
      </c>
      <c r="D1513">
        <v>2007</v>
      </c>
      <c r="E1513" t="s">
        <v>29</v>
      </c>
      <c r="F1513" t="s">
        <v>30</v>
      </c>
      <c r="G1513" t="s">
        <v>31</v>
      </c>
      <c r="H1513" t="s">
        <v>32</v>
      </c>
      <c r="I1513">
        <v>641.36952359999998</v>
      </c>
      <c r="J1513" t="s">
        <v>33</v>
      </c>
      <c r="K1513" t="s">
        <v>2088</v>
      </c>
      <c r="L1513" t="s">
        <v>21</v>
      </c>
    </row>
    <row r="1514" spans="1:12">
      <c r="A1514" t="s">
        <v>2091</v>
      </c>
      <c r="B1514" t="s">
        <v>2092</v>
      </c>
      <c r="C1514" t="s">
        <v>130</v>
      </c>
      <c r="D1514">
        <v>1952</v>
      </c>
      <c r="E1514" t="s">
        <v>15</v>
      </c>
      <c r="F1514" t="s">
        <v>16</v>
      </c>
      <c r="G1514" t="s">
        <v>17</v>
      </c>
      <c r="H1514" t="s">
        <v>18</v>
      </c>
      <c r="I1514">
        <v>34.078000000000003</v>
      </c>
      <c r="J1514" t="s">
        <v>19</v>
      </c>
      <c r="K1514" t="s">
        <v>2093</v>
      </c>
      <c r="L1514" t="s">
        <v>21</v>
      </c>
    </row>
    <row r="1515" spans="1:12">
      <c r="A1515" t="s">
        <v>2094</v>
      </c>
      <c r="B1515" t="s">
        <v>2092</v>
      </c>
      <c r="C1515" t="s">
        <v>130</v>
      </c>
      <c r="D1515">
        <v>1952</v>
      </c>
      <c r="E1515" t="s">
        <v>23</v>
      </c>
      <c r="F1515" t="s">
        <v>24</v>
      </c>
      <c r="G1515" t="s">
        <v>25</v>
      </c>
      <c r="H1515" t="s">
        <v>26</v>
      </c>
      <c r="I1515">
        <v>20860941</v>
      </c>
      <c r="J1515" t="s">
        <v>27</v>
      </c>
      <c r="K1515" t="s">
        <v>2093</v>
      </c>
      <c r="L1515" t="s">
        <v>21</v>
      </c>
    </row>
    <row r="1516" spans="1:12">
      <c r="A1516" t="s">
        <v>2095</v>
      </c>
      <c r="B1516" t="s">
        <v>2092</v>
      </c>
      <c r="C1516" t="s">
        <v>130</v>
      </c>
      <c r="D1516">
        <v>1952</v>
      </c>
      <c r="E1516" t="s">
        <v>29</v>
      </c>
      <c r="F1516" t="s">
        <v>30</v>
      </c>
      <c r="G1516" t="s">
        <v>31</v>
      </c>
      <c r="H1516" t="s">
        <v>32</v>
      </c>
      <c r="I1516">
        <v>362.14627960000001</v>
      </c>
      <c r="J1516" t="s">
        <v>33</v>
      </c>
      <c r="K1516" t="s">
        <v>2093</v>
      </c>
      <c r="L1516" t="s">
        <v>21</v>
      </c>
    </row>
    <row r="1517" spans="1:12">
      <c r="A1517" t="s">
        <v>2096</v>
      </c>
      <c r="B1517" t="s">
        <v>2092</v>
      </c>
      <c r="C1517" t="s">
        <v>130</v>
      </c>
      <c r="D1517">
        <v>1957</v>
      </c>
      <c r="E1517" t="s">
        <v>15</v>
      </c>
      <c r="F1517" t="s">
        <v>16</v>
      </c>
      <c r="G1517" t="s">
        <v>17</v>
      </c>
      <c r="H1517" t="s">
        <v>18</v>
      </c>
      <c r="I1517">
        <v>36.667000000000002</v>
      </c>
      <c r="J1517" t="s">
        <v>19</v>
      </c>
      <c r="K1517" t="s">
        <v>2097</v>
      </c>
      <c r="L1517" t="s">
        <v>21</v>
      </c>
    </row>
    <row r="1518" spans="1:12">
      <c r="A1518" t="s">
        <v>2098</v>
      </c>
      <c r="B1518" t="s">
        <v>2092</v>
      </c>
      <c r="C1518" t="s">
        <v>130</v>
      </c>
      <c r="D1518">
        <v>1957</v>
      </c>
      <c r="E1518" t="s">
        <v>23</v>
      </c>
      <c r="F1518" t="s">
        <v>24</v>
      </c>
      <c r="G1518" t="s">
        <v>25</v>
      </c>
      <c r="H1518" t="s">
        <v>26</v>
      </c>
      <c r="I1518">
        <v>22815614</v>
      </c>
      <c r="J1518" t="s">
        <v>27</v>
      </c>
      <c r="K1518" t="s">
        <v>2097</v>
      </c>
      <c r="L1518" t="s">
        <v>21</v>
      </c>
    </row>
    <row r="1519" spans="1:12">
      <c r="A1519" t="s">
        <v>2099</v>
      </c>
      <c r="B1519" t="s">
        <v>2092</v>
      </c>
      <c r="C1519" t="s">
        <v>130</v>
      </c>
      <c r="D1519">
        <v>1957</v>
      </c>
      <c r="E1519" t="s">
        <v>29</v>
      </c>
      <c r="F1519" t="s">
        <v>30</v>
      </c>
      <c r="G1519" t="s">
        <v>31</v>
      </c>
      <c r="H1519" t="s">
        <v>32</v>
      </c>
      <c r="I1519">
        <v>378.90416320000003</v>
      </c>
      <c r="J1519" t="s">
        <v>33</v>
      </c>
      <c r="K1519" t="s">
        <v>2097</v>
      </c>
      <c r="L1519" t="s">
        <v>21</v>
      </c>
    </row>
    <row r="1520" spans="1:12">
      <c r="A1520" t="s">
        <v>2100</v>
      </c>
      <c r="B1520" t="s">
        <v>2092</v>
      </c>
      <c r="C1520" t="s">
        <v>130</v>
      </c>
      <c r="D1520">
        <v>1962</v>
      </c>
      <c r="E1520" t="s">
        <v>15</v>
      </c>
      <c r="F1520" t="s">
        <v>16</v>
      </c>
      <c r="G1520" t="s">
        <v>17</v>
      </c>
      <c r="H1520" t="s">
        <v>18</v>
      </c>
      <c r="I1520">
        <v>40.058999999999997</v>
      </c>
      <c r="J1520" t="s">
        <v>19</v>
      </c>
      <c r="K1520" t="s">
        <v>2101</v>
      </c>
      <c r="L1520" t="s">
        <v>21</v>
      </c>
    </row>
    <row r="1521" spans="1:12">
      <c r="A1521" t="s">
        <v>2102</v>
      </c>
      <c r="B1521" t="s">
        <v>2092</v>
      </c>
      <c r="C1521" t="s">
        <v>130</v>
      </c>
      <c r="D1521">
        <v>1962</v>
      </c>
      <c r="E1521" t="s">
        <v>23</v>
      </c>
      <c r="F1521" t="s">
        <v>24</v>
      </c>
      <c r="G1521" t="s">
        <v>25</v>
      </c>
      <c r="H1521" t="s">
        <v>26</v>
      </c>
      <c r="I1521">
        <v>25145372</v>
      </c>
      <c r="J1521" t="s">
        <v>27</v>
      </c>
      <c r="K1521" t="s">
        <v>2101</v>
      </c>
      <c r="L1521" t="s">
        <v>21</v>
      </c>
    </row>
    <row r="1522" spans="1:12">
      <c r="A1522" t="s">
        <v>2103</v>
      </c>
      <c r="B1522" t="s">
        <v>2092</v>
      </c>
      <c r="C1522" t="s">
        <v>130</v>
      </c>
      <c r="D1522">
        <v>1962</v>
      </c>
      <c r="E1522" t="s">
        <v>29</v>
      </c>
      <c r="F1522" t="s">
        <v>30</v>
      </c>
      <c r="G1522" t="s">
        <v>31</v>
      </c>
      <c r="H1522" t="s">
        <v>32</v>
      </c>
      <c r="I1522">
        <v>419.45641610000001</v>
      </c>
      <c r="J1522" t="s">
        <v>33</v>
      </c>
      <c r="K1522" t="s">
        <v>2101</v>
      </c>
      <c r="L1522" t="s">
        <v>21</v>
      </c>
    </row>
    <row r="1523" spans="1:12">
      <c r="A1523" t="s">
        <v>2104</v>
      </c>
      <c r="B1523" t="s">
        <v>2092</v>
      </c>
      <c r="C1523" t="s">
        <v>130</v>
      </c>
      <c r="D1523">
        <v>1967</v>
      </c>
      <c r="E1523" t="s">
        <v>15</v>
      </c>
      <c r="F1523" t="s">
        <v>16</v>
      </c>
      <c r="G1523" t="s">
        <v>17</v>
      </c>
      <c r="H1523" t="s">
        <v>18</v>
      </c>
      <c r="I1523">
        <v>42.115000000000002</v>
      </c>
      <c r="J1523" t="s">
        <v>19</v>
      </c>
      <c r="K1523" t="s">
        <v>2105</v>
      </c>
      <c r="L1523" t="s">
        <v>21</v>
      </c>
    </row>
    <row r="1524" spans="1:12">
      <c r="A1524" t="s">
        <v>2106</v>
      </c>
      <c r="B1524" t="s">
        <v>2092</v>
      </c>
      <c r="C1524" t="s">
        <v>130</v>
      </c>
      <c r="D1524">
        <v>1967</v>
      </c>
      <c r="E1524" t="s">
        <v>23</v>
      </c>
      <c r="F1524" t="s">
        <v>24</v>
      </c>
      <c r="G1524" t="s">
        <v>25</v>
      </c>
      <c r="H1524" t="s">
        <v>26</v>
      </c>
      <c r="I1524">
        <v>27860297</v>
      </c>
      <c r="J1524" t="s">
        <v>27</v>
      </c>
      <c r="K1524" t="s">
        <v>2105</v>
      </c>
      <c r="L1524" t="s">
        <v>21</v>
      </c>
    </row>
    <row r="1525" spans="1:12">
      <c r="A1525" t="s">
        <v>2107</v>
      </c>
      <c r="B1525" t="s">
        <v>2092</v>
      </c>
      <c r="C1525" t="s">
        <v>130</v>
      </c>
      <c r="D1525">
        <v>1967</v>
      </c>
      <c r="E1525" t="s">
        <v>29</v>
      </c>
      <c r="F1525" t="s">
        <v>30</v>
      </c>
      <c r="G1525" t="s">
        <v>31</v>
      </c>
      <c r="H1525" t="s">
        <v>32</v>
      </c>
      <c r="I1525">
        <v>516.11864379999997</v>
      </c>
      <c r="J1525" t="s">
        <v>33</v>
      </c>
      <c r="K1525" t="s">
        <v>2105</v>
      </c>
      <c r="L1525" t="s">
        <v>21</v>
      </c>
    </row>
    <row r="1526" spans="1:12">
      <c r="A1526" t="s">
        <v>2108</v>
      </c>
      <c r="B1526" t="s">
        <v>2092</v>
      </c>
      <c r="C1526" t="s">
        <v>130</v>
      </c>
      <c r="D1526">
        <v>1972</v>
      </c>
      <c r="E1526" t="s">
        <v>15</v>
      </c>
      <c r="F1526" t="s">
        <v>16</v>
      </c>
      <c r="G1526" t="s">
        <v>17</v>
      </c>
      <c r="H1526" t="s">
        <v>18</v>
      </c>
      <c r="I1526">
        <v>43.515000000000001</v>
      </c>
      <c r="J1526" t="s">
        <v>19</v>
      </c>
      <c r="K1526" t="s">
        <v>2109</v>
      </c>
      <c r="L1526" t="s">
        <v>21</v>
      </c>
    </row>
    <row r="1527" spans="1:12">
      <c r="A1527" t="s">
        <v>2110</v>
      </c>
      <c r="B1527" t="s">
        <v>2092</v>
      </c>
      <c r="C1527" t="s">
        <v>130</v>
      </c>
      <c r="D1527">
        <v>1972</v>
      </c>
      <c r="E1527" t="s">
        <v>23</v>
      </c>
      <c r="F1527" t="s">
        <v>24</v>
      </c>
      <c r="G1527" t="s">
        <v>25</v>
      </c>
      <c r="H1527" t="s">
        <v>26</v>
      </c>
      <c r="I1527">
        <v>30770372</v>
      </c>
      <c r="J1527" t="s">
        <v>27</v>
      </c>
      <c r="K1527" t="s">
        <v>2109</v>
      </c>
      <c r="L1527" t="s">
        <v>21</v>
      </c>
    </row>
    <row r="1528" spans="1:12">
      <c r="A1528" t="s">
        <v>2111</v>
      </c>
      <c r="B1528" t="s">
        <v>2092</v>
      </c>
      <c r="C1528" t="s">
        <v>130</v>
      </c>
      <c r="D1528">
        <v>1972</v>
      </c>
      <c r="E1528" t="s">
        <v>29</v>
      </c>
      <c r="F1528" t="s">
        <v>30</v>
      </c>
      <c r="G1528" t="s">
        <v>31</v>
      </c>
      <c r="H1528" t="s">
        <v>32</v>
      </c>
      <c r="I1528">
        <v>566.24394419999999</v>
      </c>
      <c r="J1528" t="s">
        <v>33</v>
      </c>
      <c r="K1528" t="s">
        <v>2109</v>
      </c>
      <c r="L1528" t="s">
        <v>21</v>
      </c>
    </row>
    <row r="1529" spans="1:12">
      <c r="A1529" t="s">
        <v>2112</v>
      </c>
      <c r="B1529" t="s">
        <v>2092</v>
      </c>
      <c r="C1529" t="s">
        <v>130</v>
      </c>
      <c r="D1529">
        <v>1977</v>
      </c>
      <c r="E1529" t="s">
        <v>15</v>
      </c>
      <c r="F1529" t="s">
        <v>16</v>
      </c>
      <c r="G1529" t="s">
        <v>17</v>
      </c>
      <c r="H1529" t="s">
        <v>18</v>
      </c>
      <c r="I1529">
        <v>44.51</v>
      </c>
      <c r="J1529" t="s">
        <v>19</v>
      </c>
      <c r="K1529" t="s">
        <v>2113</v>
      </c>
      <c r="L1529" t="s">
        <v>21</v>
      </c>
    </row>
    <row r="1530" spans="1:12">
      <c r="A1530" t="s">
        <v>2114</v>
      </c>
      <c r="B1530" t="s">
        <v>2092</v>
      </c>
      <c r="C1530" t="s">
        <v>130</v>
      </c>
      <c r="D1530">
        <v>1977</v>
      </c>
      <c r="E1530" t="s">
        <v>23</v>
      </c>
      <c r="F1530" t="s">
        <v>24</v>
      </c>
      <c r="G1530" t="s">
        <v>25</v>
      </c>
      <c r="H1530" t="s">
        <v>26</v>
      </c>
      <c r="I1530">
        <v>34617799</v>
      </c>
      <c r="J1530" t="s">
        <v>27</v>
      </c>
      <c r="K1530" t="s">
        <v>2113</v>
      </c>
      <c r="L1530" t="s">
        <v>21</v>
      </c>
    </row>
    <row r="1531" spans="1:12">
      <c r="A1531" t="s">
        <v>2115</v>
      </c>
      <c r="B1531" t="s">
        <v>2092</v>
      </c>
      <c r="C1531" t="s">
        <v>130</v>
      </c>
      <c r="D1531">
        <v>1977</v>
      </c>
      <c r="E1531" t="s">
        <v>29</v>
      </c>
      <c r="F1531" t="s">
        <v>30</v>
      </c>
      <c r="G1531" t="s">
        <v>31</v>
      </c>
      <c r="H1531" t="s">
        <v>32</v>
      </c>
      <c r="I1531">
        <v>556.80838340000003</v>
      </c>
      <c r="J1531" t="s">
        <v>33</v>
      </c>
      <c r="K1531" t="s">
        <v>2113</v>
      </c>
      <c r="L1531" t="s">
        <v>21</v>
      </c>
    </row>
    <row r="1532" spans="1:12">
      <c r="A1532" t="s">
        <v>2116</v>
      </c>
      <c r="B1532" t="s">
        <v>2092</v>
      </c>
      <c r="C1532" t="s">
        <v>130</v>
      </c>
      <c r="D1532">
        <v>1982</v>
      </c>
      <c r="E1532" t="s">
        <v>15</v>
      </c>
      <c r="F1532" t="s">
        <v>16</v>
      </c>
      <c r="G1532" t="s">
        <v>17</v>
      </c>
      <c r="H1532" t="s">
        <v>18</v>
      </c>
      <c r="I1532">
        <v>44.915999999999997</v>
      </c>
      <c r="J1532" t="s">
        <v>19</v>
      </c>
      <c r="K1532" t="s">
        <v>2117</v>
      </c>
      <c r="L1532" t="s">
        <v>21</v>
      </c>
    </row>
    <row r="1533" spans="1:12">
      <c r="A1533" t="s">
        <v>2118</v>
      </c>
      <c r="B1533" t="s">
        <v>2092</v>
      </c>
      <c r="C1533" t="s">
        <v>130</v>
      </c>
      <c r="D1533">
        <v>1982</v>
      </c>
      <c r="E1533" t="s">
        <v>23</v>
      </c>
      <c r="F1533" t="s">
        <v>24</v>
      </c>
      <c r="G1533" t="s">
        <v>25</v>
      </c>
      <c r="H1533" t="s">
        <v>26</v>
      </c>
      <c r="I1533">
        <v>38111756</v>
      </c>
      <c r="J1533" t="s">
        <v>27</v>
      </c>
      <c r="K1533" t="s">
        <v>2117</v>
      </c>
      <c r="L1533" t="s">
        <v>21</v>
      </c>
    </row>
    <row r="1534" spans="1:12">
      <c r="A1534" t="s">
        <v>2119</v>
      </c>
      <c r="B1534" t="s">
        <v>2092</v>
      </c>
      <c r="C1534" t="s">
        <v>130</v>
      </c>
      <c r="D1534">
        <v>1982</v>
      </c>
      <c r="E1534" t="s">
        <v>29</v>
      </c>
      <c r="F1534" t="s">
        <v>30</v>
      </c>
      <c r="G1534" t="s">
        <v>31</v>
      </c>
      <c r="H1534" t="s">
        <v>32</v>
      </c>
      <c r="I1534">
        <v>577.86074710000003</v>
      </c>
      <c r="J1534" t="s">
        <v>33</v>
      </c>
      <c r="K1534" t="s">
        <v>2117</v>
      </c>
      <c r="L1534" t="s">
        <v>21</v>
      </c>
    </row>
    <row r="1535" spans="1:12">
      <c r="A1535" t="s">
        <v>2120</v>
      </c>
      <c r="B1535" t="s">
        <v>2092</v>
      </c>
      <c r="C1535" t="s">
        <v>130</v>
      </c>
      <c r="D1535">
        <v>1987</v>
      </c>
      <c r="E1535" t="s">
        <v>15</v>
      </c>
      <c r="F1535" t="s">
        <v>16</v>
      </c>
      <c r="G1535" t="s">
        <v>17</v>
      </c>
      <c r="H1535" t="s">
        <v>18</v>
      </c>
      <c r="I1535">
        <v>46.683999999999997</v>
      </c>
      <c r="J1535" t="s">
        <v>19</v>
      </c>
      <c r="K1535" t="s">
        <v>2121</v>
      </c>
      <c r="L1535" t="s">
        <v>21</v>
      </c>
    </row>
    <row r="1536" spans="1:12">
      <c r="A1536" t="s">
        <v>2122</v>
      </c>
      <c r="B1536" t="s">
        <v>2092</v>
      </c>
      <c r="C1536" t="s">
        <v>130</v>
      </c>
      <c r="D1536">
        <v>1987</v>
      </c>
      <c r="E1536" t="s">
        <v>23</v>
      </c>
      <c r="F1536" t="s">
        <v>24</v>
      </c>
      <c r="G1536" t="s">
        <v>25</v>
      </c>
      <c r="H1536" t="s">
        <v>26</v>
      </c>
      <c r="I1536">
        <v>42999530</v>
      </c>
      <c r="J1536" t="s">
        <v>27</v>
      </c>
      <c r="K1536" t="s">
        <v>2121</v>
      </c>
      <c r="L1536" t="s">
        <v>21</v>
      </c>
    </row>
    <row r="1537" spans="1:12">
      <c r="A1537" t="s">
        <v>2123</v>
      </c>
      <c r="B1537" t="s">
        <v>2092</v>
      </c>
      <c r="C1537" t="s">
        <v>130</v>
      </c>
      <c r="D1537">
        <v>1987</v>
      </c>
      <c r="E1537" t="s">
        <v>29</v>
      </c>
      <c r="F1537" t="s">
        <v>30</v>
      </c>
      <c r="G1537" t="s">
        <v>31</v>
      </c>
      <c r="H1537" t="s">
        <v>32</v>
      </c>
      <c r="I1537">
        <v>573.74131420000003</v>
      </c>
      <c r="J1537" t="s">
        <v>33</v>
      </c>
      <c r="K1537" t="s">
        <v>2121</v>
      </c>
      <c r="L1537" t="s">
        <v>21</v>
      </c>
    </row>
    <row r="1538" spans="1:12">
      <c r="A1538" t="s">
        <v>2124</v>
      </c>
      <c r="B1538" t="s">
        <v>2092</v>
      </c>
      <c r="C1538" t="s">
        <v>130</v>
      </c>
      <c r="D1538">
        <v>1992</v>
      </c>
      <c r="E1538" t="s">
        <v>15</v>
      </c>
      <c r="F1538" t="s">
        <v>16</v>
      </c>
      <c r="G1538" t="s">
        <v>17</v>
      </c>
      <c r="H1538" t="s">
        <v>18</v>
      </c>
      <c r="I1538">
        <v>48.091000000000001</v>
      </c>
      <c r="J1538" t="s">
        <v>19</v>
      </c>
      <c r="K1538" t="s">
        <v>2125</v>
      </c>
      <c r="L1538" t="s">
        <v>21</v>
      </c>
    </row>
    <row r="1539" spans="1:12">
      <c r="A1539" t="s">
        <v>2126</v>
      </c>
      <c r="B1539" t="s">
        <v>2092</v>
      </c>
      <c r="C1539" t="s">
        <v>130</v>
      </c>
      <c r="D1539">
        <v>1992</v>
      </c>
      <c r="E1539" t="s">
        <v>23</v>
      </c>
      <c r="F1539" t="s">
        <v>24</v>
      </c>
      <c r="G1539" t="s">
        <v>25</v>
      </c>
      <c r="H1539" t="s">
        <v>26</v>
      </c>
      <c r="I1539">
        <v>52088559</v>
      </c>
      <c r="J1539" t="s">
        <v>27</v>
      </c>
      <c r="K1539" t="s">
        <v>2125</v>
      </c>
      <c r="L1539" t="s">
        <v>21</v>
      </c>
    </row>
    <row r="1540" spans="1:12">
      <c r="A1540" t="s">
        <v>2127</v>
      </c>
      <c r="B1540" t="s">
        <v>2092</v>
      </c>
      <c r="C1540" t="s">
        <v>130</v>
      </c>
      <c r="D1540">
        <v>1992</v>
      </c>
      <c r="E1540" t="s">
        <v>29</v>
      </c>
      <c r="F1540" t="s">
        <v>30</v>
      </c>
      <c r="G1540" t="s">
        <v>31</v>
      </c>
      <c r="H1540" t="s">
        <v>32</v>
      </c>
      <c r="I1540">
        <v>421.35346529999998</v>
      </c>
      <c r="J1540" t="s">
        <v>33</v>
      </c>
      <c r="K1540" t="s">
        <v>2125</v>
      </c>
      <c r="L1540" t="s">
        <v>21</v>
      </c>
    </row>
    <row r="1541" spans="1:12">
      <c r="A1541" t="s">
        <v>2128</v>
      </c>
      <c r="B1541" t="s">
        <v>2092</v>
      </c>
      <c r="C1541" t="s">
        <v>130</v>
      </c>
      <c r="D1541">
        <v>1997</v>
      </c>
      <c r="E1541" t="s">
        <v>15</v>
      </c>
      <c r="F1541" t="s">
        <v>16</v>
      </c>
      <c r="G1541" t="s">
        <v>17</v>
      </c>
      <c r="H1541" t="s">
        <v>18</v>
      </c>
      <c r="I1541">
        <v>49.402000000000001</v>
      </c>
      <c r="J1541" t="s">
        <v>19</v>
      </c>
      <c r="K1541" t="s">
        <v>2129</v>
      </c>
      <c r="L1541" t="s">
        <v>21</v>
      </c>
    </row>
    <row r="1542" spans="1:12">
      <c r="A1542" t="s">
        <v>2130</v>
      </c>
      <c r="B1542" t="s">
        <v>2092</v>
      </c>
      <c r="C1542" t="s">
        <v>130</v>
      </c>
      <c r="D1542">
        <v>1997</v>
      </c>
      <c r="E1542" t="s">
        <v>23</v>
      </c>
      <c r="F1542" t="s">
        <v>24</v>
      </c>
      <c r="G1542" t="s">
        <v>25</v>
      </c>
      <c r="H1542" t="s">
        <v>26</v>
      </c>
      <c r="I1542">
        <v>59861301</v>
      </c>
      <c r="J1542" t="s">
        <v>27</v>
      </c>
      <c r="K1542" t="s">
        <v>2129</v>
      </c>
      <c r="L1542" t="s">
        <v>21</v>
      </c>
    </row>
    <row r="1543" spans="1:12">
      <c r="A1543" t="s">
        <v>2131</v>
      </c>
      <c r="B1543" t="s">
        <v>2092</v>
      </c>
      <c r="C1543" t="s">
        <v>130</v>
      </c>
      <c r="D1543">
        <v>1997</v>
      </c>
      <c r="E1543" t="s">
        <v>29</v>
      </c>
      <c r="F1543" t="s">
        <v>30</v>
      </c>
      <c r="G1543" t="s">
        <v>31</v>
      </c>
      <c r="H1543" t="s">
        <v>32</v>
      </c>
      <c r="I1543">
        <v>515.88940130000003</v>
      </c>
      <c r="J1543" t="s">
        <v>33</v>
      </c>
      <c r="K1543" t="s">
        <v>2129</v>
      </c>
      <c r="L1543" t="s">
        <v>21</v>
      </c>
    </row>
    <row r="1544" spans="1:12">
      <c r="A1544" t="s">
        <v>2132</v>
      </c>
      <c r="B1544" t="s">
        <v>2092</v>
      </c>
      <c r="C1544" t="s">
        <v>130</v>
      </c>
      <c r="D1544">
        <v>2002</v>
      </c>
      <c r="E1544" t="s">
        <v>15</v>
      </c>
      <c r="F1544" t="s">
        <v>16</v>
      </c>
      <c r="G1544" t="s">
        <v>17</v>
      </c>
      <c r="H1544" t="s">
        <v>18</v>
      </c>
      <c r="I1544">
        <v>50.725000000000001</v>
      </c>
      <c r="J1544" t="s">
        <v>19</v>
      </c>
      <c r="K1544" t="s">
        <v>2133</v>
      </c>
      <c r="L1544" t="s">
        <v>21</v>
      </c>
    </row>
    <row r="1545" spans="1:12">
      <c r="A1545" t="s">
        <v>2134</v>
      </c>
      <c r="B1545" t="s">
        <v>2092</v>
      </c>
      <c r="C1545" t="s">
        <v>130</v>
      </c>
      <c r="D1545">
        <v>2002</v>
      </c>
      <c r="E1545" t="s">
        <v>23</v>
      </c>
      <c r="F1545" t="s">
        <v>24</v>
      </c>
      <c r="G1545" t="s">
        <v>25</v>
      </c>
      <c r="H1545" t="s">
        <v>26</v>
      </c>
      <c r="I1545">
        <v>67946797</v>
      </c>
      <c r="J1545" t="s">
        <v>27</v>
      </c>
      <c r="K1545" t="s">
        <v>2133</v>
      </c>
      <c r="L1545" t="s">
        <v>21</v>
      </c>
    </row>
    <row r="1546" spans="1:12">
      <c r="A1546" t="s">
        <v>2135</v>
      </c>
      <c r="B1546" t="s">
        <v>2092</v>
      </c>
      <c r="C1546" t="s">
        <v>130</v>
      </c>
      <c r="D1546">
        <v>2002</v>
      </c>
      <c r="E1546" t="s">
        <v>29</v>
      </c>
      <c r="F1546" t="s">
        <v>30</v>
      </c>
      <c r="G1546" t="s">
        <v>31</v>
      </c>
      <c r="H1546" t="s">
        <v>32</v>
      </c>
      <c r="I1546">
        <v>530.05353190000005</v>
      </c>
      <c r="J1546" t="s">
        <v>33</v>
      </c>
      <c r="K1546" t="s">
        <v>2133</v>
      </c>
      <c r="L1546" t="s">
        <v>21</v>
      </c>
    </row>
    <row r="1547" spans="1:12">
      <c r="A1547" t="s">
        <v>2136</v>
      </c>
      <c r="B1547" t="s">
        <v>2092</v>
      </c>
      <c r="C1547" t="s">
        <v>130</v>
      </c>
      <c r="D1547">
        <v>2007</v>
      </c>
      <c r="E1547" t="s">
        <v>15</v>
      </c>
      <c r="F1547" t="s">
        <v>16</v>
      </c>
      <c r="G1547" t="s">
        <v>17</v>
      </c>
      <c r="H1547" t="s">
        <v>18</v>
      </c>
      <c r="I1547">
        <v>52.947000000000003</v>
      </c>
      <c r="J1547" t="s">
        <v>19</v>
      </c>
      <c r="K1547" t="s">
        <v>2137</v>
      </c>
      <c r="L1547" t="s">
        <v>21</v>
      </c>
    </row>
    <row r="1548" spans="1:12">
      <c r="A1548" t="s">
        <v>2138</v>
      </c>
      <c r="B1548" t="s">
        <v>2092</v>
      </c>
      <c r="C1548" t="s">
        <v>130</v>
      </c>
      <c r="D1548">
        <v>2007</v>
      </c>
      <c r="E1548" t="s">
        <v>23</v>
      </c>
      <c r="F1548" t="s">
        <v>24</v>
      </c>
      <c r="G1548" t="s">
        <v>25</v>
      </c>
      <c r="H1548" t="s">
        <v>26</v>
      </c>
      <c r="I1548">
        <v>76511887</v>
      </c>
      <c r="J1548" t="s">
        <v>27</v>
      </c>
      <c r="K1548" t="s">
        <v>2137</v>
      </c>
      <c r="L1548" t="s">
        <v>21</v>
      </c>
    </row>
    <row r="1549" spans="1:12">
      <c r="A1549" t="s">
        <v>2139</v>
      </c>
      <c r="B1549" t="s">
        <v>2092</v>
      </c>
      <c r="C1549" t="s">
        <v>130</v>
      </c>
      <c r="D1549">
        <v>2007</v>
      </c>
      <c r="E1549" t="s">
        <v>29</v>
      </c>
      <c r="F1549" t="s">
        <v>30</v>
      </c>
      <c r="G1549" t="s">
        <v>31</v>
      </c>
      <c r="H1549" t="s">
        <v>32</v>
      </c>
      <c r="I1549">
        <v>690.80557590000001</v>
      </c>
      <c r="J1549" t="s">
        <v>33</v>
      </c>
      <c r="K1549" t="s">
        <v>2137</v>
      </c>
      <c r="L1549" t="s">
        <v>21</v>
      </c>
    </row>
    <row r="1550" spans="1:12">
      <c r="A1550" t="s">
        <v>2140</v>
      </c>
      <c r="B1550" t="s">
        <v>2141</v>
      </c>
      <c r="C1550" t="s">
        <v>80</v>
      </c>
      <c r="D1550">
        <v>1952</v>
      </c>
      <c r="E1550" t="s">
        <v>15</v>
      </c>
      <c r="F1550" t="s">
        <v>16</v>
      </c>
      <c r="G1550" t="s">
        <v>17</v>
      </c>
      <c r="H1550" t="s">
        <v>18</v>
      </c>
      <c r="I1550">
        <v>66.55</v>
      </c>
      <c r="J1550" t="s">
        <v>19</v>
      </c>
      <c r="K1550" t="s">
        <v>2142</v>
      </c>
      <c r="L1550" t="s">
        <v>21</v>
      </c>
    </row>
    <row r="1551" spans="1:12">
      <c r="A1551" t="s">
        <v>2143</v>
      </c>
      <c r="B1551" t="s">
        <v>2141</v>
      </c>
      <c r="C1551" t="s">
        <v>80</v>
      </c>
      <c r="D1551">
        <v>1952</v>
      </c>
      <c r="E1551" t="s">
        <v>23</v>
      </c>
      <c r="F1551" t="s">
        <v>24</v>
      </c>
      <c r="G1551" t="s">
        <v>25</v>
      </c>
      <c r="H1551" t="s">
        <v>26</v>
      </c>
      <c r="I1551">
        <v>4090500</v>
      </c>
      <c r="J1551" t="s">
        <v>27</v>
      </c>
      <c r="K1551" t="s">
        <v>2142</v>
      </c>
      <c r="L1551" t="s">
        <v>21</v>
      </c>
    </row>
    <row r="1552" spans="1:12">
      <c r="A1552" t="s">
        <v>2144</v>
      </c>
      <c r="B1552" t="s">
        <v>2141</v>
      </c>
      <c r="C1552" t="s">
        <v>80</v>
      </c>
      <c r="D1552">
        <v>1952</v>
      </c>
      <c r="E1552" t="s">
        <v>29</v>
      </c>
      <c r="F1552" t="s">
        <v>30</v>
      </c>
      <c r="G1552" t="s">
        <v>31</v>
      </c>
      <c r="H1552" t="s">
        <v>32</v>
      </c>
      <c r="I1552">
        <v>6424.5190709999997</v>
      </c>
      <c r="J1552" t="s">
        <v>33</v>
      </c>
      <c r="K1552" t="s">
        <v>2142</v>
      </c>
      <c r="L1552" t="s">
        <v>21</v>
      </c>
    </row>
    <row r="1553" spans="1:12">
      <c r="A1553" t="s">
        <v>2145</v>
      </c>
      <c r="B1553" t="s">
        <v>2141</v>
      </c>
      <c r="C1553" t="s">
        <v>80</v>
      </c>
      <c r="D1553">
        <v>1957</v>
      </c>
      <c r="E1553" t="s">
        <v>15</v>
      </c>
      <c r="F1553" t="s">
        <v>16</v>
      </c>
      <c r="G1553" t="s">
        <v>17</v>
      </c>
      <c r="H1553" t="s">
        <v>18</v>
      </c>
      <c r="I1553">
        <v>67.489999999999995</v>
      </c>
      <c r="J1553" t="s">
        <v>19</v>
      </c>
      <c r="K1553" t="s">
        <v>2146</v>
      </c>
      <c r="L1553" t="s">
        <v>21</v>
      </c>
    </row>
    <row r="1554" spans="1:12">
      <c r="A1554" t="s">
        <v>2147</v>
      </c>
      <c r="B1554" t="s">
        <v>2141</v>
      </c>
      <c r="C1554" t="s">
        <v>80</v>
      </c>
      <c r="D1554">
        <v>1957</v>
      </c>
      <c r="E1554" t="s">
        <v>23</v>
      </c>
      <c r="F1554" t="s">
        <v>24</v>
      </c>
      <c r="G1554" t="s">
        <v>25</v>
      </c>
      <c r="H1554" t="s">
        <v>26</v>
      </c>
      <c r="I1554">
        <v>4324000</v>
      </c>
      <c r="J1554" t="s">
        <v>27</v>
      </c>
      <c r="K1554" t="s">
        <v>2146</v>
      </c>
      <c r="L1554" t="s">
        <v>21</v>
      </c>
    </row>
    <row r="1555" spans="1:12">
      <c r="A1555" t="s">
        <v>2148</v>
      </c>
      <c r="B1555" t="s">
        <v>2141</v>
      </c>
      <c r="C1555" t="s">
        <v>80</v>
      </c>
      <c r="D1555">
        <v>1957</v>
      </c>
      <c r="E1555" t="s">
        <v>29</v>
      </c>
      <c r="F1555" t="s">
        <v>30</v>
      </c>
      <c r="G1555" t="s">
        <v>31</v>
      </c>
      <c r="H1555" t="s">
        <v>32</v>
      </c>
      <c r="I1555">
        <v>7545.4153859999997</v>
      </c>
      <c r="J1555" t="s">
        <v>33</v>
      </c>
      <c r="K1555" t="s">
        <v>2146</v>
      </c>
      <c r="L1555" t="s">
        <v>21</v>
      </c>
    </row>
    <row r="1556" spans="1:12">
      <c r="A1556" t="s">
        <v>2149</v>
      </c>
      <c r="B1556" t="s">
        <v>2141</v>
      </c>
      <c r="C1556" t="s">
        <v>80</v>
      </c>
      <c r="D1556">
        <v>1962</v>
      </c>
      <c r="E1556" t="s">
        <v>15</v>
      </c>
      <c r="F1556" t="s">
        <v>16</v>
      </c>
      <c r="G1556" t="s">
        <v>17</v>
      </c>
      <c r="H1556" t="s">
        <v>18</v>
      </c>
      <c r="I1556">
        <v>68.75</v>
      </c>
      <c r="J1556" t="s">
        <v>19</v>
      </c>
      <c r="K1556" t="s">
        <v>2150</v>
      </c>
      <c r="L1556" t="s">
        <v>21</v>
      </c>
    </row>
    <row r="1557" spans="1:12">
      <c r="A1557" t="s">
        <v>2151</v>
      </c>
      <c r="B1557" t="s">
        <v>2141</v>
      </c>
      <c r="C1557" t="s">
        <v>80</v>
      </c>
      <c r="D1557">
        <v>1962</v>
      </c>
      <c r="E1557" t="s">
        <v>23</v>
      </c>
      <c r="F1557" t="s">
        <v>24</v>
      </c>
      <c r="G1557" t="s">
        <v>25</v>
      </c>
      <c r="H1557" t="s">
        <v>26</v>
      </c>
      <c r="I1557">
        <v>4491443</v>
      </c>
      <c r="J1557" t="s">
        <v>27</v>
      </c>
      <c r="K1557" t="s">
        <v>2150</v>
      </c>
      <c r="L1557" t="s">
        <v>21</v>
      </c>
    </row>
    <row r="1558" spans="1:12">
      <c r="A1558" t="s">
        <v>2152</v>
      </c>
      <c r="B1558" t="s">
        <v>2141</v>
      </c>
      <c r="C1558" t="s">
        <v>80</v>
      </c>
      <c r="D1558">
        <v>1962</v>
      </c>
      <c r="E1558" t="s">
        <v>29</v>
      </c>
      <c r="F1558" t="s">
        <v>30</v>
      </c>
      <c r="G1558" t="s">
        <v>31</v>
      </c>
      <c r="H1558" t="s">
        <v>32</v>
      </c>
      <c r="I1558">
        <v>9371.8425609999995</v>
      </c>
      <c r="J1558" t="s">
        <v>33</v>
      </c>
      <c r="K1558" t="s">
        <v>2150</v>
      </c>
      <c r="L1558" t="s">
        <v>21</v>
      </c>
    </row>
    <row r="1559" spans="1:12">
      <c r="A1559" t="s">
        <v>2153</v>
      </c>
      <c r="B1559" t="s">
        <v>2141</v>
      </c>
      <c r="C1559" t="s">
        <v>80</v>
      </c>
      <c r="D1559">
        <v>1967</v>
      </c>
      <c r="E1559" t="s">
        <v>15</v>
      </c>
      <c r="F1559" t="s">
        <v>16</v>
      </c>
      <c r="G1559" t="s">
        <v>17</v>
      </c>
      <c r="H1559" t="s">
        <v>18</v>
      </c>
      <c r="I1559">
        <v>69.83</v>
      </c>
      <c r="J1559" t="s">
        <v>19</v>
      </c>
      <c r="K1559" t="s">
        <v>2154</v>
      </c>
      <c r="L1559" t="s">
        <v>21</v>
      </c>
    </row>
    <row r="1560" spans="1:12">
      <c r="A1560" t="s">
        <v>2155</v>
      </c>
      <c r="B1560" t="s">
        <v>2141</v>
      </c>
      <c r="C1560" t="s">
        <v>80</v>
      </c>
      <c r="D1560">
        <v>1967</v>
      </c>
      <c r="E1560" t="s">
        <v>23</v>
      </c>
      <c r="F1560" t="s">
        <v>24</v>
      </c>
      <c r="G1560" t="s">
        <v>25</v>
      </c>
      <c r="H1560" t="s">
        <v>26</v>
      </c>
      <c r="I1560">
        <v>4605744</v>
      </c>
      <c r="J1560" t="s">
        <v>27</v>
      </c>
      <c r="K1560" t="s">
        <v>2154</v>
      </c>
      <c r="L1560" t="s">
        <v>21</v>
      </c>
    </row>
    <row r="1561" spans="1:12">
      <c r="A1561" t="s">
        <v>2156</v>
      </c>
      <c r="B1561" t="s">
        <v>2141</v>
      </c>
      <c r="C1561" t="s">
        <v>80</v>
      </c>
      <c r="D1561">
        <v>1967</v>
      </c>
      <c r="E1561" t="s">
        <v>29</v>
      </c>
      <c r="F1561" t="s">
        <v>30</v>
      </c>
      <c r="G1561" t="s">
        <v>31</v>
      </c>
      <c r="H1561" t="s">
        <v>32</v>
      </c>
      <c r="I1561">
        <v>10921.636259999999</v>
      </c>
      <c r="J1561" t="s">
        <v>33</v>
      </c>
      <c r="K1561" t="s">
        <v>2154</v>
      </c>
      <c r="L1561" t="s">
        <v>21</v>
      </c>
    </row>
    <row r="1562" spans="1:12">
      <c r="A1562" t="s">
        <v>2157</v>
      </c>
      <c r="B1562" t="s">
        <v>2141</v>
      </c>
      <c r="C1562" t="s">
        <v>80</v>
      </c>
      <c r="D1562">
        <v>1972</v>
      </c>
      <c r="E1562" t="s">
        <v>15</v>
      </c>
      <c r="F1562" t="s">
        <v>16</v>
      </c>
      <c r="G1562" t="s">
        <v>17</v>
      </c>
      <c r="H1562" t="s">
        <v>18</v>
      </c>
      <c r="I1562">
        <v>70.87</v>
      </c>
      <c r="J1562" t="s">
        <v>19</v>
      </c>
      <c r="K1562" t="s">
        <v>2158</v>
      </c>
      <c r="L1562" t="s">
        <v>21</v>
      </c>
    </row>
    <row r="1563" spans="1:12">
      <c r="A1563" t="s">
        <v>2159</v>
      </c>
      <c r="B1563" t="s">
        <v>2141</v>
      </c>
      <c r="C1563" t="s">
        <v>80</v>
      </c>
      <c r="D1563">
        <v>1972</v>
      </c>
      <c r="E1563" t="s">
        <v>23</v>
      </c>
      <c r="F1563" t="s">
        <v>24</v>
      </c>
      <c r="G1563" t="s">
        <v>25</v>
      </c>
      <c r="H1563" t="s">
        <v>26</v>
      </c>
      <c r="I1563">
        <v>4639657</v>
      </c>
      <c r="J1563" t="s">
        <v>27</v>
      </c>
      <c r="K1563" t="s">
        <v>2158</v>
      </c>
      <c r="L1563" t="s">
        <v>21</v>
      </c>
    </row>
    <row r="1564" spans="1:12">
      <c r="A1564" t="s">
        <v>2160</v>
      </c>
      <c r="B1564" t="s">
        <v>2141</v>
      </c>
      <c r="C1564" t="s">
        <v>80</v>
      </c>
      <c r="D1564">
        <v>1972</v>
      </c>
      <c r="E1564" t="s">
        <v>29</v>
      </c>
      <c r="F1564" t="s">
        <v>30</v>
      </c>
      <c r="G1564" t="s">
        <v>31</v>
      </c>
      <c r="H1564" t="s">
        <v>32</v>
      </c>
      <c r="I1564">
        <v>14358.875899999999</v>
      </c>
      <c r="J1564" t="s">
        <v>33</v>
      </c>
      <c r="K1564" t="s">
        <v>2158</v>
      </c>
      <c r="L1564" t="s">
        <v>21</v>
      </c>
    </row>
    <row r="1565" spans="1:12">
      <c r="A1565" t="s">
        <v>2161</v>
      </c>
      <c r="B1565" t="s">
        <v>2141</v>
      </c>
      <c r="C1565" t="s">
        <v>80</v>
      </c>
      <c r="D1565">
        <v>1977</v>
      </c>
      <c r="E1565" t="s">
        <v>15</v>
      </c>
      <c r="F1565" t="s">
        <v>16</v>
      </c>
      <c r="G1565" t="s">
        <v>17</v>
      </c>
      <c r="H1565" t="s">
        <v>18</v>
      </c>
      <c r="I1565">
        <v>72.52</v>
      </c>
      <c r="J1565" t="s">
        <v>19</v>
      </c>
      <c r="K1565" t="s">
        <v>2162</v>
      </c>
      <c r="L1565" t="s">
        <v>21</v>
      </c>
    </row>
    <row r="1566" spans="1:12">
      <c r="A1566" t="s">
        <v>2163</v>
      </c>
      <c r="B1566" t="s">
        <v>2141</v>
      </c>
      <c r="C1566" t="s">
        <v>80</v>
      </c>
      <c r="D1566">
        <v>1977</v>
      </c>
      <c r="E1566" t="s">
        <v>23</v>
      </c>
      <c r="F1566" t="s">
        <v>24</v>
      </c>
      <c r="G1566" t="s">
        <v>25</v>
      </c>
      <c r="H1566" t="s">
        <v>26</v>
      </c>
      <c r="I1566">
        <v>4738902</v>
      </c>
      <c r="J1566" t="s">
        <v>27</v>
      </c>
      <c r="K1566" t="s">
        <v>2162</v>
      </c>
      <c r="L1566" t="s">
        <v>21</v>
      </c>
    </row>
    <row r="1567" spans="1:12">
      <c r="A1567" t="s">
        <v>2164</v>
      </c>
      <c r="B1567" t="s">
        <v>2141</v>
      </c>
      <c r="C1567" t="s">
        <v>80</v>
      </c>
      <c r="D1567">
        <v>1977</v>
      </c>
      <c r="E1567" t="s">
        <v>29</v>
      </c>
      <c r="F1567" t="s">
        <v>30</v>
      </c>
      <c r="G1567" t="s">
        <v>31</v>
      </c>
      <c r="H1567" t="s">
        <v>32</v>
      </c>
      <c r="I1567">
        <v>15605.42283</v>
      </c>
      <c r="J1567" t="s">
        <v>33</v>
      </c>
      <c r="K1567" t="s">
        <v>2162</v>
      </c>
      <c r="L1567" t="s">
        <v>21</v>
      </c>
    </row>
    <row r="1568" spans="1:12">
      <c r="A1568" t="s">
        <v>2165</v>
      </c>
      <c r="B1568" t="s">
        <v>2141</v>
      </c>
      <c r="C1568" t="s">
        <v>80</v>
      </c>
      <c r="D1568">
        <v>1982</v>
      </c>
      <c r="E1568" t="s">
        <v>15</v>
      </c>
      <c r="F1568" t="s">
        <v>16</v>
      </c>
      <c r="G1568" t="s">
        <v>17</v>
      </c>
      <c r="H1568" t="s">
        <v>18</v>
      </c>
      <c r="I1568">
        <v>74.55</v>
      </c>
      <c r="J1568" t="s">
        <v>19</v>
      </c>
      <c r="K1568" t="s">
        <v>2166</v>
      </c>
      <c r="L1568" t="s">
        <v>21</v>
      </c>
    </row>
    <row r="1569" spans="1:12">
      <c r="A1569" t="s">
        <v>2167</v>
      </c>
      <c r="B1569" t="s">
        <v>2141</v>
      </c>
      <c r="C1569" t="s">
        <v>80</v>
      </c>
      <c r="D1569">
        <v>1982</v>
      </c>
      <c r="E1569" t="s">
        <v>23</v>
      </c>
      <c r="F1569" t="s">
        <v>24</v>
      </c>
      <c r="G1569" t="s">
        <v>25</v>
      </c>
      <c r="H1569" t="s">
        <v>26</v>
      </c>
      <c r="I1569">
        <v>4826933</v>
      </c>
      <c r="J1569" t="s">
        <v>27</v>
      </c>
      <c r="K1569" t="s">
        <v>2166</v>
      </c>
      <c r="L1569" t="s">
        <v>21</v>
      </c>
    </row>
    <row r="1570" spans="1:12">
      <c r="A1570" t="s">
        <v>2168</v>
      </c>
      <c r="B1570" t="s">
        <v>2141</v>
      </c>
      <c r="C1570" t="s">
        <v>80</v>
      </c>
      <c r="D1570">
        <v>1982</v>
      </c>
      <c r="E1570" t="s">
        <v>29</v>
      </c>
      <c r="F1570" t="s">
        <v>30</v>
      </c>
      <c r="G1570" t="s">
        <v>31</v>
      </c>
      <c r="H1570" t="s">
        <v>32</v>
      </c>
      <c r="I1570">
        <v>18533.157609999998</v>
      </c>
      <c r="J1570" t="s">
        <v>33</v>
      </c>
      <c r="K1570" t="s">
        <v>2166</v>
      </c>
      <c r="L1570" t="s">
        <v>21</v>
      </c>
    </row>
    <row r="1571" spans="1:12">
      <c r="A1571" t="s">
        <v>2169</v>
      </c>
      <c r="B1571" t="s">
        <v>2141</v>
      </c>
      <c r="C1571" t="s">
        <v>80</v>
      </c>
      <c r="D1571">
        <v>1987</v>
      </c>
      <c r="E1571" t="s">
        <v>15</v>
      </c>
      <c r="F1571" t="s">
        <v>16</v>
      </c>
      <c r="G1571" t="s">
        <v>17</v>
      </c>
      <c r="H1571" t="s">
        <v>18</v>
      </c>
      <c r="I1571">
        <v>74.83</v>
      </c>
      <c r="J1571" t="s">
        <v>19</v>
      </c>
      <c r="K1571" t="s">
        <v>2170</v>
      </c>
      <c r="L1571" t="s">
        <v>21</v>
      </c>
    </row>
    <row r="1572" spans="1:12">
      <c r="A1572" t="s">
        <v>2171</v>
      </c>
      <c r="B1572" t="s">
        <v>2141</v>
      </c>
      <c r="C1572" t="s">
        <v>80</v>
      </c>
      <c r="D1572">
        <v>1987</v>
      </c>
      <c r="E1572" t="s">
        <v>23</v>
      </c>
      <c r="F1572" t="s">
        <v>24</v>
      </c>
      <c r="G1572" t="s">
        <v>25</v>
      </c>
      <c r="H1572" t="s">
        <v>26</v>
      </c>
      <c r="I1572">
        <v>4931729</v>
      </c>
      <c r="J1572" t="s">
        <v>27</v>
      </c>
      <c r="K1572" t="s">
        <v>2170</v>
      </c>
      <c r="L1572" t="s">
        <v>21</v>
      </c>
    </row>
    <row r="1573" spans="1:12">
      <c r="A1573" t="s">
        <v>2172</v>
      </c>
      <c r="B1573" t="s">
        <v>2141</v>
      </c>
      <c r="C1573" t="s">
        <v>80</v>
      </c>
      <c r="D1573">
        <v>1987</v>
      </c>
      <c r="E1573" t="s">
        <v>29</v>
      </c>
      <c r="F1573" t="s">
        <v>30</v>
      </c>
      <c r="G1573" t="s">
        <v>31</v>
      </c>
      <c r="H1573" t="s">
        <v>32</v>
      </c>
      <c r="I1573">
        <v>21141.01223</v>
      </c>
      <c r="J1573" t="s">
        <v>33</v>
      </c>
      <c r="K1573" t="s">
        <v>2170</v>
      </c>
      <c r="L1573" t="s">
        <v>21</v>
      </c>
    </row>
    <row r="1574" spans="1:12">
      <c r="A1574" t="s">
        <v>2173</v>
      </c>
      <c r="B1574" t="s">
        <v>2141</v>
      </c>
      <c r="C1574" t="s">
        <v>80</v>
      </c>
      <c r="D1574">
        <v>1992</v>
      </c>
      <c r="E1574" t="s">
        <v>15</v>
      </c>
      <c r="F1574" t="s">
        <v>16</v>
      </c>
      <c r="G1574" t="s">
        <v>17</v>
      </c>
      <c r="H1574" t="s">
        <v>18</v>
      </c>
      <c r="I1574">
        <v>75.7</v>
      </c>
      <c r="J1574" t="s">
        <v>19</v>
      </c>
      <c r="K1574" t="s">
        <v>2174</v>
      </c>
      <c r="L1574" t="s">
        <v>21</v>
      </c>
    </row>
    <row r="1575" spans="1:12">
      <c r="A1575" t="s">
        <v>2175</v>
      </c>
      <c r="B1575" t="s">
        <v>2141</v>
      </c>
      <c r="C1575" t="s">
        <v>80</v>
      </c>
      <c r="D1575">
        <v>1992</v>
      </c>
      <c r="E1575" t="s">
        <v>23</v>
      </c>
      <c r="F1575" t="s">
        <v>24</v>
      </c>
      <c r="G1575" t="s">
        <v>25</v>
      </c>
      <c r="H1575" t="s">
        <v>26</v>
      </c>
      <c r="I1575">
        <v>5041039</v>
      </c>
      <c r="J1575" t="s">
        <v>27</v>
      </c>
      <c r="K1575" t="s">
        <v>2174</v>
      </c>
      <c r="L1575" t="s">
        <v>21</v>
      </c>
    </row>
    <row r="1576" spans="1:12">
      <c r="A1576" t="s">
        <v>2176</v>
      </c>
      <c r="B1576" t="s">
        <v>2141</v>
      </c>
      <c r="C1576" t="s">
        <v>80</v>
      </c>
      <c r="D1576">
        <v>1992</v>
      </c>
      <c r="E1576" t="s">
        <v>29</v>
      </c>
      <c r="F1576" t="s">
        <v>30</v>
      </c>
      <c r="G1576" t="s">
        <v>31</v>
      </c>
      <c r="H1576" t="s">
        <v>32</v>
      </c>
      <c r="I1576">
        <v>20647.164990000001</v>
      </c>
      <c r="J1576" t="s">
        <v>33</v>
      </c>
      <c r="K1576" t="s">
        <v>2174</v>
      </c>
      <c r="L1576" t="s">
        <v>21</v>
      </c>
    </row>
    <row r="1577" spans="1:12">
      <c r="A1577" t="s">
        <v>2177</v>
      </c>
      <c r="B1577" t="s">
        <v>2141</v>
      </c>
      <c r="C1577" t="s">
        <v>80</v>
      </c>
      <c r="D1577">
        <v>1997</v>
      </c>
      <c r="E1577" t="s">
        <v>15</v>
      </c>
      <c r="F1577" t="s">
        <v>16</v>
      </c>
      <c r="G1577" t="s">
        <v>17</v>
      </c>
      <c r="H1577" t="s">
        <v>18</v>
      </c>
      <c r="I1577">
        <v>77.13</v>
      </c>
      <c r="J1577" t="s">
        <v>19</v>
      </c>
      <c r="K1577" t="s">
        <v>2178</v>
      </c>
      <c r="L1577" t="s">
        <v>21</v>
      </c>
    </row>
    <row r="1578" spans="1:12">
      <c r="A1578" t="s">
        <v>2179</v>
      </c>
      <c r="B1578" t="s">
        <v>2141</v>
      </c>
      <c r="C1578" t="s">
        <v>80</v>
      </c>
      <c r="D1578">
        <v>1997</v>
      </c>
      <c r="E1578" t="s">
        <v>23</v>
      </c>
      <c r="F1578" t="s">
        <v>24</v>
      </c>
      <c r="G1578" t="s">
        <v>25</v>
      </c>
      <c r="H1578" t="s">
        <v>26</v>
      </c>
      <c r="I1578">
        <v>5134406</v>
      </c>
      <c r="J1578" t="s">
        <v>27</v>
      </c>
      <c r="K1578" t="s">
        <v>2178</v>
      </c>
      <c r="L1578" t="s">
        <v>21</v>
      </c>
    </row>
    <row r="1579" spans="1:12">
      <c r="A1579" t="s">
        <v>2180</v>
      </c>
      <c r="B1579" t="s">
        <v>2141</v>
      </c>
      <c r="C1579" t="s">
        <v>80</v>
      </c>
      <c r="D1579">
        <v>1997</v>
      </c>
      <c r="E1579" t="s">
        <v>29</v>
      </c>
      <c r="F1579" t="s">
        <v>30</v>
      </c>
      <c r="G1579" t="s">
        <v>31</v>
      </c>
      <c r="H1579" t="s">
        <v>32</v>
      </c>
      <c r="I1579">
        <v>23723.950199999999</v>
      </c>
      <c r="J1579" t="s">
        <v>33</v>
      </c>
      <c r="K1579" t="s">
        <v>2178</v>
      </c>
      <c r="L1579" t="s">
        <v>21</v>
      </c>
    </row>
    <row r="1580" spans="1:12">
      <c r="A1580" t="s">
        <v>2181</v>
      </c>
      <c r="B1580" t="s">
        <v>2141</v>
      </c>
      <c r="C1580" t="s">
        <v>80</v>
      </c>
      <c r="D1580">
        <v>2002</v>
      </c>
      <c r="E1580" t="s">
        <v>15</v>
      </c>
      <c r="F1580" t="s">
        <v>16</v>
      </c>
      <c r="G1580" t="s">
        <v>17</v>
      </c>
      <c r="H1580" t="s">
        <v>18</v>
      </c>
      <c r="I1580">
        <v>78.37</v>
      </c>
      <c r="J1580" t="s">
        <v>19</v>
      </c>
      <c r="K1580" t="s">
        <v>2182</v>
      </c>
      <c r="L1580" t="s">
        <v>21</v>
      </c>
    </row>
    <row r="1581" spans="1:12">
      <c r="A1581" t="s">
        <v>2183</v>
      </c>
      <c r="B1581" t="s">
        <v>2141</v>
      </c>
      <c r="C1581" t="s">
        <v>80</v>
      </c>
      <c r="D1581">
        <v>2002</v>
      </c>
      <c r="E1581" t="s">
        <v>23</v>
      </c>
      <c r="F1581" t="s">
        <v>24</v>
      </c>
      <c r="G1581" t="s">
        <v>25</v>
      </c>
      <c r="H1581" t="s">
        <v>26</v>
      </c>
      <c r="I1581">
        <v>5193039</v>
      </c>
      <c r="J1581" t="s">
        <v>27</v>
      </c>
      <c r="K1581" t="s">
        <v>2182</v>
      </c>
      <c r="L1581" t="s">
        <v>21</v>
      </c>
    </row>
    <row r="1582" spans="1:12">
      <c r="A1582" t="s">
        <v>2184</v>
      </c>
      <c r="B1582" t="s">
        <v>2141</v>
      </c>
      <c r="C1582" t="s">
        <v>80</v>
      </c>
      <c r="D1582">
        <v>2002</v>
      </c>
      <c r="E1582" t="s">
        <v>29</v>
      </c>
      <c r="F1582" t="s">
        <v>30</v>
      </c>
      <c r="G1582" t="s">
        <v>31</v>
      </c>
      <c r="H1582" t="s">
        <v>32</v>
      </c>
      <c r="I1582">
        <v>28204.59057</v>
      </c>
      <c r="J1582" t="s">
        <v>33</v>
      </c>
      <c r="K1582" t="s">
        <v>2182</v>
      </c>
      <c r="L1582" t="s">
        <v>21</v>
      </c>
    </row>
    <row r="1583" spans="1:12">
      <c r="A1583" t="s">
        <v>2185</v>
      </c>
      <c r="B1583" t="s">
        <v>2141</v>
      </c>
      <c r="C1583" t="s">
        <v>80</v>
      </c>
      <c r="D1583">
        <v>2007</v>
      </c>
      <c r="E1583" t="s">
        <v>15</v>
      </c>
      <c r="F1583" t="s">
        <v>16</v>
      </c>
      <c r="G1583" t="s">
        <v>17</v>
      </c>
      <c r="H1583" t="s">
        <v>18</v>
      </c>
      <c r="I1583">
        <v>79.313000000000002</v>
      </c>
      <c r="J1583" t="s">
        <v>19</v>
      </c>
      <c r="K1583" t="s">
        <v>2186</v>
      </c>
      <c r="L1583" t="s">
        <v>21</v>
      </c>
    </row>
    <row r="1584" spans="1:12">
      <c r="A1584" t="s">
        <v>2187</v>
      </c>
      <c r="B1584" t="s">
        <v>2141</v>
      </c>
      <c r="C1584" t="s">
        <v>80</v>
      </c>
      <c r="D1584">
        <v>2007</v>
      </c>
      <c r="E1584" t="s">
        <v>23</v>
      </c>
      <c r="F1584" t="s">
        <v>24</v>
      </c>
      <c r="G1584" t="s">
        <v>25</v>
      </c>
      <c r="H1584" t="s">
        <v>26</v>
      </c>
      <c r="I1584">
        <v>5238460</v>
      </c>
      <c r="J1584" t="s">
        <v>27</v>
      </c>
      <c r="K1584" t="s">
        <v>2186</v>
      </c>
      <c r="L1584" t="s">
        <v>21</v>
      </c>
    </row>
    <row r="1585" spans="1:12">
      <c r="A1585" t="s">
        <v>2188</v>
      </c>
      <c r="B1585" t="s">
        <v>2141</v>
      </c>
      <c r="C1585" t="s">
        <v>80</v>
      </c>
      <c r="D1585">
        <v>2007</v>
      </c>
      <c r="E1585" t="s">
        <v>29</v>
      </c>
      <c r="F1585" t="s">
        <v>30</v>
      </c>
      <c r="G1585" t="s">
        <v>31</v>
      </c>
      <c r="H1585" t="s">
        <v>32</v>
      </c>
      <c r="I1585">
        <v>33207.0844</v>
      </c>
      <c r="J1585" t="s">
        <v>33</v>
      </c>
      <c r="K1585" t="s">
        <v>2186</v>
      </c>
      <c r="L1585" t="s">
        <v>21</v>
      </c>
    </row>
    <row r="1586" spans="1:12">
      <c r="A1586" t="s">
        <v>2189</v>
      </c>
      <c r="B1586" t="s">
        <v>2190</v>
      </c>
      <c r="C1586" t="s">
        <v>80</v>
      </c>
      <c r="D1586">
        <v>1952</v>
      </c>
      <c r="E1586" t="s">
        <v>15</v>
      </c>
      <c r="F1586" t="s">
        <v>16</v>
      </c>
      <c r="G1586" t="s">
        <v>17</v>
      </c>
      <c r="H1586" t="s">
        <v>18</v>
      </c>
      <c r="I1586">
        <v>67.41</v>
      </c>
      <c r="J1586" t="s">
        <v>19</v>
      </c>
      <c r="K1586" t="s">
        <v>2191</v>
      </c>
      <c r="L1586" t="s">
        <v>21</v>
      </c>
    </row>
    <row r="1587" spans="1:12">
      <c r="A1587" t="s">
        <v>2192</v>
      </c>
      <c r="B1587" t="s">
        <v>2190</v>
      </c>
      <c r="C1587" t="s">
        <v>80</v>
      </c>
      <c r="D1587">
        <v>1952</v>
      </c>
      <c r="E1587" t="s">
        <v>23</v>
      </c>
      <c r="F1587" t="s">
        <v>24</v>
      </c>
      <c r="G1587" t="s">
        <v>25</v>
      </c>
      <c r="H1587" t="s">
        <v>26</v>
      </c>
      <c r="I1587">
        <v>42459667</v>
      </c>
      <c r="J1587" t="s">
        <v>27</v>
      </c>
      <c r="K1587" t="s">
        <v>2191</v>
      </c>
      <c r="L1587" t="s">
        <v>21</v>
      </c>
    </row>
    <row r="1588" spans="1:12">
      <c r="A1588" t="s">
        <v>2193</v>
      </c>
      <c r="B1588" t="s">
        <v>2190</v>
      </c>
      <c r="C1588" t="s">
        <v>80</v>
      </c>
      <c r="D1588">
        <v>1952</v>
      </c>
      <c r="E1588" t="s">
        <v>29</v>
      </c>
      <c r="F1588" t="s">
        <v>30</v>
      </c>
      <c r="G1588" t="s">
        <v>31</v>
      </c>
      <c r="H1588" t="s">
        <v>32</v>
      </c>
      <c r="I1588">
        <v>7029.8093269999999</v>
      </c>
      <c r="J1588" t="s">
        <v>33</v>
      </c>
      <c r="K1588" t="s">
        <v>2191</v>
      </c>
      <c r="L1588" t="s">
        <v>21</v>
      </c>
    </row>
    <row r="1589" spans="1:12">
      <c r="A1589" t="s">
        <v>2194</v>
      </c>
      <c r="B1589" t="s">
        <v>2190</v>
      </c>
      <c r="C1589" t="s">
        <v>80</v>
      </c>
      <c r="D1589">
        <v>1957</v>
      </c>
      <c r="E1589" t="s">
        <v>15</v>
      </c>
      <c r="F1589" t="s">
        <v>16</v>
      </c>
      <c r="G1589" t="s">
        <v>17</v>
      </c>
      <c r="H1589" t="s">
        <v>18</v>
      </c>
      <c r="I1589">
        <v>68.930000000000007</v>
      </c>
      <c r="J1589" t="s">
        <v>19</v>
      </c>
      <c r="K1589" t="s">
        <v>2195</v>
      </c>
      <c r="L1589" t="s">
        <v>21</v>
      </c>
    </row>
    <row r="1590" spans="1:12">
      <c r="A1590" t="s">
        <v>2196</v>
      </c>
      <c r="B1590" t="s">
        <v>2190</v>
      </c>
      <c r="C1590" t="s">
        <v>80</v>
      </c>
      <c r="D1590">
        <v>1957</v>
      </c>
      <c r="E1590" t="s">
        <v>23</v>
      </c>
      <c r="F1590" t="s">
        <v>24</v>
      </c>
      <c r="G1590" t="s">
        <v>25</v>
      </c>
      <c r="H1590" t="s">
        <v>26</v>
      </c>
      <c r="I1590">
        <v>44310863</v>
      </c>
      <c r="J1590" t="s">
        <v>27</v>
      </c>
      <c r="K1590" t="s">
        <v>2195</v>
      </c>
      <c r="L1590" t="s">
        <v>21</v>
      </c>
    </row>
    <row r="1591" spans="1:12">
      <c r="A1591" t="s">
        <v>2197</v>
      </c>
      <c r="B1591" t="s">
        <v>2190</v>
      </c>
      <c r="C1591" t="s">
        <v>80</v>
      </c>
      <c r="D1591">
        <v>1957</v>
      </c>
      <c r="E1591" t="s">
        <v>29</v>
      </c>
      <c r="F1591" t="s">
        <v>30</v>
      </c>
      <c r="G1591" t="s">
        <v>31</v>
      </c>
      <c r="H1591" t="s">
        <v>32</v>
      </c>
      <c r="I1591">
        <v>8662.8348979999992</v>
      </c>
      <c r="J1591" t="s">
        <v>33</v>
      </c>
      <c r="K1591" t="s">
        <v>2195</v>
      </c>
      <c r="L1591" t="s">
        <v>21</v>
      </c>
    </row>
    <row r="1592" spans="1:12">
      <c r="A1592" t="s">
        <v>2198</v>
      </c>
      <c r="B1592" t="s">
        <v>2190</v>
      </c>
      <c r="C1592" t="s">
        <v>80</v>
      </c>
      <c r="D1592">
        <v>1962</v>
      </c>
      <c r="E1592" t="s">
        <v>15</v>
      </c>
      <c r="F1592" t="s">
        <v>16</v>
      </c>
      <c r="G1592" t="s">
        <v>17</v>
      </c>
      <c r="H1592" t="s">
        <v>18</v>
      </c>
      <c r="I1592">
        <v>70.510000000000005</v>
      </c>
      <c r="J1592" t="s">
        <v>19</v>
      </c>
      <c r="K1592" t="s">
        <v>2199</v>
      </c>
      <c r="L1592" t="s">
        <v>21</v>
      </c>
    </row>
    <row r="1593" spans="1:12">
      <c r="A1593" t="s">
        <v>2200</v>
      </c>
      <c r="B1593" t="s">
        <v>2190</v>
      </c>
      <c r="C1593" t="s">
        <v>80</v>
      </c>
      <c r="D1593">
        <v>1962</v>
      </c>
      <c r="E1593" t="s">
        <v>23</v>
      </c>
      <c r="F1593" t="s">
        <v>24</v>
      </c>
      <c r="G1593" t="s">
        <v>25</v>
      </c>
      <c r="H1593" t="s">
        <v>26</v>
      </c>
      <c r="I1593">
        <v>47124000</v>
      </c>
      <c r="J1593" t="s">
        <v>27</v>
      </c>
      <c r="K1593" t="s">
        <v>2199</v>
      </c>
      <c r="L1593" t="s">
        <v>21</v>
      </c>
    </row>
    <row r="1594" spans="1:12">
      <c r="A1594" t="s">
        <v>2201</v>
      </c>
      <c r="B1594" t="s">
        <v>2190</v>
      </c>
      <c r="C1594" t="s">
        <v>80</v>
      </c>
      <c r="D1594">
        <v>1962</v>
      </c>
      <c r="E1594" t="s">
        <v>29</v>
      </c>
      <c r="F1594" t="s">
        <v>30</v>
      </c>
      <c r="G1594" t="s">
        <v>31</v>
      </c>
      <c r="H1594" t="s">
        <v>32</v>
      </c>
      <c r="I1594">
        <v>10560.48553</v>
      </c>
      <c r="J1594" t="s">
        <v>33</v>
      </c>
      <c r="K1594" t="s">
        <v>2199</v>
      </c>
      <c r="L1594" t="s">
        <v>21</v>
      </c>
    </row>
    <row r="1595" spans="1:12">
      <c r="A1595" t="s">
        <v>2202</v>
      </c>
      <c r="B1595" t="s">
        <v>2190</v>
      </c>
      <c r="C1595" t="s">
        <v>80</v>
      </c>
      <c r="D1595">
        <v>1967</v>
      </c>
      <c r="E1595" t="s">
        <v>15</v>
      </c>
      <c r="F1595" t="s">
        <v>16</v>
      </c>
      <c r="G1595" t="s">
        <v>17</v>
      </c>
      <c r="H1595" t="s">
        <v>18</v>
      </c>
      <c r="I1595">
        <v>71.55</v>
      </c>
      <c r="J1595" t="s">
        <v>19</v>
      </c>
      <c r="K1595" t="s">
        <v>2203</v>
      </c>
      <c r="L1595" t="s">
        <v>21</v>
      </c>
    </row>
    <row r="1596" spans="1:12">
      <c r="A1596" t="s">
        <v>2204</v>
      </c>
      <c r="B1596" t="s">
        <v>2190</v>
      </c>
      <c r="C1596" t="s">
        <v>80</v>
      </c>
      <c r="D1596">
        <v>1967</v>
      </c>
      <c r="E1596" t="s">
        <v>23</v>
      </c>
      <c r="F1596" t="s">
        <v>24</v>
      </c>
      <c r="G1596" t="s">
        <v>25</v>
      </c>
      <c r="H1596" t="s">
        <v>26</v>
      </c>
      <c r="I1596">
        <v>49569000</v>
      </c>
      <c r="J1596" t="s">
        <v>27</v>
      </c>
      <c r="K1596" t="s">
        <v>2203</v>
      </c>
      <c r="L1596" t="s">
        <v>21</v>
      </c>
    </row>
    <row r="1597" spans="1:12">
      <c r="A1597" t="s">
        <v>2205</v>
      </c>
      <c r="B1597" t="s">
        <v>2190</v>
      </c>
      <c r="C1597" t="s">
        <v>80</v>
      </c>
      <c r="D1597">
        <v>1967</v>
      </c>
      <c r="E1597" t="s">
        <v>29</v>
      </c>
      <c r="F1597" t="s">
        <v>30</v>
      </c>
      <c r="G1597" t="s">
        <v>31</v>
      </c>
      <c r="H1597" t="s">
        <v>32</v>
      </c>
      <c r="I1597">
        <v>12999.917659999999</v>
      </c>
      <c r="J1597" t="s">
        <v>33</v>
      </c>
      <c r="K1597" t="s">
        <v>2203</v>
      </c>
      <c r="L1597" t="s">
        <v>21</v>
      </c>
    </row>
    <row r="1598" spans="1:12">
      <c r="A1598" t="s">
        <v>2206</v>
      </c>
      <c r="B1598" t="s">
        <v>2190</v>
      </c>
      <c r="C1598" t="s">
        <v>80</v>
      </c>
      <c r="D1598">
        <v>1972</v>
      </c>
      <c r="E1598" t="s">
        <v>15</v>
      </c>
      <c r="F1598" t="s">
        <v>16</v>
      </c>
      <c r="G1598" t="s">
        <v>17</v>
      </c>
      <c r="H1598" t="s">
        <v>18</v>
      </c>
      <c r="I1598">
        <v>72.38</v>
      </c>
      <c r="J1598" t="s">
        <v>19</v>
      </c>
      <c r="K1598" t="s">
        <v>2207</v>
      </c>
      <c r="L1598" t="s">
        <v>21</v>
      </c>
    </row>
    <row r="1599" spans="1:12">
      <c r="A1599" t="s">
        <v>2208</v>
      </c>
      <c r="B1599" t="s">
        <v>2190</v>
      </c>
      <c r="C1599" t="s">
        <v>80</v>
      </c>
      <c r="D1599">
        <v>1972</v>
      </c>
      <c r="E1599" t="s">
        <v>23</v>
      </c>
      <c r="F1599" t="s">
        <v>24</v>
      </c>
      <c r="G1599" t="s">
        <v>25</v>
      </c>
      <c r="H1599" t="s">
        <v>26</v>
      </c>
      <c r="I1599">
        <v>51732000</v>
      </c>
      <c r="J1599" t="s">
        <v>27</v>
      </c>
      <c r="K1599" t="s">
        <v>2207</v>
      </c>
      <c r="L1599" t="s">
        <v>21</v>
      </c>
    </row>
    <row r="1600" spans="1:12">
      <c r="A1600" t="s">
        <v>2209</v>
      </c>
      <c r="B1600" t="s">
        <v>2190</v>
      </c>
      <c r="C1600" t="s">
        <v>80</v>
      </c>
      <c r="D1600">
        <v>1972</v>
      </c>
      <c r="E1600" t="s">
        <v>29</v>
      </c>
      <c r="F1600" t="s">
        <v>30</v>
      </c>
      <c r="G1600" t="s">
        <v>31</v>
      </c>
      <c r="H1600" t="s">
        <v>32</v>
      </c>
      <c r="I1600">
        <v>16107.191709999999</v>
      </c>
      <c r="J1600" t="s">
        <v>33</v>
      </c>
      <c r="K1600" t="s">
        <v>2207</v>
      </c>
      <c r="L1600" t="s">
        <v>21</v>
      </c>
    </row>
    <row r="1601" spans="1:12">
      <c r="A1601" t="s">
        <v>2210</v>
      </c>
      <c r="B1601" t="s">
        <v>2190</v>
      </c>
      <c r="C1601" t="s">
        <v>80</v>
      </c>
      <c r="D1601">
        <v>1977</v>
      </c>
      <c r="E1601" t="s">
        <v>15</v>
      </c>
      <c r="F1601" t="s">
        <v>16</v>
      </c>
      <c r="G1601" t="s">
        <v>17</v>
      </c>
      <c r="H1601" t="s">
        <v>18</v>
      </c>
      <c r="I1601">
        <v>73.83</v>
      </c>
      <c r="J1601" t="s">
        <v>19</v>
      </c>
      <c r="K1601" t="s">
        <v>2211</v>
      </c>
      <c r="L1601" t="s">
        <v>21</v>
      </c>
    </row>
    <row r="1602" spans="1:12">
      <c r="A1602" t="s">
        <v>2212</v>
      </c>
      <c r="B1602" t="s">
        <v>2190</v>
      </c>
      <c r="C1602" t="s">
        <v>80</v>
      </c>
      <c r="D1602">
        <v>1977</v>
      </c>
      <c r="E1602" t="s">
        <v>23</v>
      </c>
      <c r="F1602" t="s">
        <v>24</v>
      </c>
      <c r="G1602" t="s">
        <v>25</v>
      </c>
      <c r="H1602" t="s">
        <v>26</v>
      </c>
      <c r="I1602">
        <v>53165019</v>
      </c>
      <c r="J1602" t="s">
        <v>27</v>
      </c>
      <c r="K1602" t="s">
        <v>2211</v>
      </c>
      <c r="L1602" t="s">
        <v>21</v>
      </c>
    </row>
    <row r="1603" spans="1:12">
      <c r="A1603" t="s">
        <v>2213</v>
      </c>
      <c r="B1603" t="s">
        <v>2190</v>
      </c>
      <c r="C1603" t="s">
        <v>80</v>
      </c>
      <c r="D1603">
        <v>1977</v>
      </c>
      <c r="E1603" t="s">
        <v>29</v>
      </c>
      <c r="F1603" t="s">
        <v>30</v>
      </c>
      <c r="G1603" t="s">
        <v>31</v>
      </c>
      <c r="H1603" t="s">
        <v>32</v>
      </c>
      <c r="I1603">
        <v>18292.635139999999</v>
      </c>
      <c r="J1603" t="s">
        <v>33</v>
      </c>
      <c r="K1603" t="s">
        <v>2211</v>
      </c>
      <c r="L1603" t="s">
        <v>21</v>
      </c>
    </row>
    <row r="1604" spans="1:12">
      <c r="A1604" t="s">
        <v>2214</v>
      </c>
      <c r="B1604" t="s">
        <v>2190</v>
      </c>
      <c r="C1604" t="s">
        <v>80</v>
      </c>
      <c r="D1604">
        <v>1982</v>
      </c>
      <c r="E1604" t="s">
        <v>15</v>
      </c>
      <c r="F1604" t="s">
        <v>16</v>
      </c>
      <c r="G1604" t="s">
        <v>17</v>
      </c>
      <c r="H1604" t="s">
        <v>18</v>
      </c>
      <c r="I1604">
        <v>74.89</v>
      </c>
      <c r="J1604" t="s">
        <v>19</v>
      </c>
      <c r="K1604" t="s">
        <v>2215</v>
      </c>
      <c r="L1604" t="s">
        <v>21</v>
      </c>
    </row>
    <row r="1605" spans="1:12">
      <c r="A1605" t="s">
        <v>2216</v>
      </c>
      <c r="B1605" t="s">
        <v>2190</v>
      </c>
      <c r="C1605" t="s">
        <v>80</v>
      </c>
      <c r="D1605">
        <v>1982</v>
      </c>
      <c r="E1605" t="s">
        <v>23</v>
      </c>
      <c r="F1605" t="s">
        <v>24</v>
      </c>
      <c r="G1605" t="s">
        <v>25</v>
      </c>
      <c r="H1605" t="s">
        <v>26</v>
      </c>
      <c r="I1605">
        <v>54433565</v>
      </c>
      <c r="J1605" t="s">
        <v>27</v>
      </c>
      <c r="K1605" t="s">
        <v>2215</v>
      </c>
      <c r="L1605" t="s">
        <v>21</v>
      </c>
    </row>
    <row r="1606" spans="1:12">
      <c r="A1606" t="s">
        <v>2217</v>
      </c>
      <c r="B1606" t="s">
        <v>2190</v>
      </c>
      <c r="C1606" t="s">
        <v>80</v>
      </c>
      <c r="D1606">
        <v>1982</v>
      </c>
      <c r="E1606" t="s">
        <v>29</v>
      </c>
      <c r="F1606" t="s">
        <v>30</v>
      </c>
      <c r="G1606" t="s">
        <v>31</v>
      </c>
      <c r="H1606" t="s">
        <v>32</v>
      </c>
      <c r="I1606">
        <v>20293.89746</v>
      </c>
      <c r="J1606" t="s">
        <v>33</v>
      </c>
      <c r="K1606" t="s">
        <v>2215</v>
      </c>
      <c r="L1606" t="s">
        <v>21</v>
      </c>
    </row>
    <row r="1607" spans="1:12">
      <c r="A1607" t="s">
        <v>2218</v>
      </c>
      <c r="B1607" t="s">
        <v>2190</v>
      </c>
      <c r="C1607" t="s">
        <v>80</v>
      </c>
      <c r="D1607">
        <v>1987</v>
      </c>
      <c r="E1607" t="s">
        <v>15</v>
      </c>
      <c r="F1607" t="s">
        <v>16</v>
      </c>
      <c r="G1607" t="s">
        <v>17</v>
      </c>
      <c r="H1607" t="s">
        <v>18</v>
      </c>
      <c r="I1607">
        <v>76.34</v>
      </c>
      <c r="J1607" t="s">
        <v>19</v>
      </c>
      <c r="K1607" t="s">
        <v>2219</v>
      </c>
      <c r="L1607" t="s">
        <v>21</v>
      </c>
    </row>
    <row r="1608" spans="1:12">
      <c r="A1608" t="s">
        <v>2220</v>
      </c>
      <c r="B1608" t="s">
        <v>2190</v>
      </c>
      <c r="C1608" t="s">
        <v>80</v>
      </c>
      <c r="D1608">
        <v>1987</v>
      </c>
      <c r="E1608" t="s">
        <v>23</v>
      </c>
      <c r="F1608" t="s">
        <v>24</v>
      </c>
      <c r="G1608" t="s">
        <v>25</v>
      </c>
      <c r="H1608" t="s">
        <v>26</v>
      </c>
      <c r="I1608">
        <v>55630100</v>
      </c>
      <c r="J1608" t="s">
        <v>27</v>
      </c>
      <c r="K1608" t="s">
        <v>2219</v>
      </c>
      <c r="L1608" t="s">
        <v>21</v>
      </c>
    </row>
    <row r="1609" spans="1:12">
      <c r="A1609" t="s">
        <v>2221</v>
      </c>
      <c r="B1609" t="s">
        <v>2190</v>
      </c>
      <c r="C1609" t="s">
        <v>80</v>
      </c>
      <c r="D1609">
        <v>1987</v>
      </c>
      <c r="E1609" t="s">
        <v>29</v>
      </c>
      <c r="F1609" t="s">
        <v>30</v>
      </c>
      <c r="G1609" t="s">
        <v>31</v>
      </c>
      <c r="H1609" t="s">
        <v>32</v>
      </c>
      <c r="I1609">
        <v>22066.442139999999</v>
      </c>
      <c r="J1609" t="s">
        <v>33</v>
      </c>
      <c r="K1609" t="s">
        <v>2219</v>
      </c>
      <c r="L1609" t="s">
        <v>21</v>
      </c>
    </row>
    <row r="1610" spans="1:12">
      <c r="A1610" t="s">
        <v>2222</v>
      </c>
      <c r="B1610" t="s">
        <v>2190</v>
      </c>
      <c r="C1610" t="s">
        <v>80</v>
      </c>
      <c r="D1610">
        <v>1992</v>
      </c>
      <c r="E1610" t="s">
        <v>15</v>
      </c>
      <c r="F1610" t="s">
        <v>16</v>
      </c>
      <c r="G1610" t="s">
        <v>17</v>
      </c>
      <c r="H1610" t="s">
        <v>18</v>
      </c>
      <c r="I1610">
        <v>77.459999999999994</v>
      </c>
      <c r="J1610" t="s">
        <v>19</v>
      </c>
      <c r="K1610" t="s">
        <v>2223</v>
      </c>
      <c r="L1610" t="s">
        <v>21</v>
      </c>
    </row>
    <row r="1611" spans="1:12">
      <c r="A1611" t="s">
        <v>2224</v>
      </c>
      <c r="B1611" t="s">
        <v>2190</v>
      </c>
      <c r="C1611" t="s">
        <v>80</v>
      </c>
      <c r="D1611">
        <v>1992</v>
      </c>
      <c r="E1611" t="s">
        <v>23</v>
      </c>
      <c r="F1611" t="s">
        <v>24</v>
      </c>
      <c r="G1611" t="s">
        <v>25</v>
      </c>
      <c r="H1611" t="s">
        <v>26</v>
      </c>
      <c r="I1611">
        <v>57374179</v>
      </c>
      <c r="J1611" t="s">
        <v>27</v>
      </c>
      <c r="K1611" t="s">
        <v>2223</v>
      </c>
      <c r="L1611" t="s">
        <v>21</v>
      </c>
    </row>
    <row r="1612" spans="1:12">
      <c r="A1612" t="s">
        <v>2225</v>
      </c>
      <c r="B1612" t="s">
        <v>2190</v>
      </c>
      <c r="C1612" t="s">
        <v>80</v>
      </c>
      <c r="D1612">
        <v>1992</v>
      </c>
      <c r="E1612" t="s">
        <v>29</v>
      </c>
      <c r="F1612" t="s">
        <v>30</v>
      </c>
      <c r="G1612" t="s">
        <v>31</v>
      </c>
      <c r="H1612" t="s">
        <v>32</v>
      </c>
      <c r="I1612">
        <v>24703.796149999998</v>
      </c>
      <c r="J1612" t="s">
        <v>33</v>
      </c>
      <c r="K1612" t="s">
        <v>2223</v>
      </c>
      <c r="L1612" t="s">
        <v>21</v>
      </c>
    </row>
    <row r="1613" spans="1:12">
      <c r="A1613" t="s">
        <v>2226</v>
      </c>
      <c r="B1613" t="s">
        <v>2190</v>
      </c>
      <c r="C1613" t="s">
        <v>80</v>
      </c>
      <c r="D1613">
        <v>1997</v>
      </c>
      <c r="E1613" t="s">
        <v>15</v>
      </c>
      <c r="F1613" t="s">
        <v>16</v>
      </c>
      <c r="G1613" t="s">
        <v>17</v>
      </c>
      <c r="H1613" t="s">
        <v>18</v>
      </c>
      <c r="I1613">
        <v>78.64</v>
      </c>
      <c r="J1613" t="s">
        <v>19</v>
      </c>
      <c r="K1613" t="s">
        <v>2227</v>
      </c>
      <c r="L1613" t="s">
        <v>21</v>
      </c>
    </row>
    <row r="1614" spans="1:12">
      <c r="A1614" t="s">
        <v>2228</v>
      </c>
      <c r="B1614" t="s">
        <v>2190</v>
      </c>
      <c r="C1614" t="s">
        <v>80</v>
      </c>
      <c r="D1614">
        <v>1997</v>
      </c>
      <c r="E1614" t="s">
        <v>23</v>
      </c>
      <c r="F1614" t="s">
        <v>24</v>
      </c>
      <c r="G1614" t="s">
        <v>25</v>
      </c>
      <c r="H1614" t="s">
        <v>26</v>
      </c>
      <c r="I1614">
        <v>58623428</v>
      </c>
      <c r="J1614" t="s">
        <v>27</v>
      </c>
      <c r="K1614" t="s">
        <v>2227</v>
      </c>
      <c r="L1614" t="s">
        <v>21</v>
      </c>
    </row>
    <row r="1615" spans="1:12">
      <c r="A1615" t="s">
        <v>2229</v>
      </c>
      <c r="B1615" t="s">
        <v>2190</v>
      </c>
      <c r="C1615" t="s">
        <v>80</v>
      </c>
      <c r="D1615">
        <v>1997</v>
      </c>
      <c r="E1615" t="s">
        <v>29</v>
      </c>
      <c r="F1615" t="s">
        <v>30</v>
      </c>
      <c r="G1615" t="s">
        <v>31</v>
      </c>
      <c r="H1615" t="s">
        <v>32</v>
      </c>
      <c r="I1615">
        <v>25889.78487</v>
      </c>
      <c r="J1615" t="s">
        <v>33</v>
      </c>
      <c r="K1615" t="s">
        <v>2227</v>
      </c>
      <c r="L1615" t="s">
        <v>21</v>
      </c>
    </row>
    <row r="1616" spans="1:12">
      <c r="A1616" t="s">
        <v>2230</v>
      </c>
      <c r="B1616" t="s">
        <v>2190</v>
      </c>
      <c r="C1616" t="s">
        <v>80</v>
      </c>
      <c r="D1616">
        <v>2002</v>
      </c>
      <c r="E1616" t="s">
        <v>15</v>
      </c>
      <c r="F1616" t="s">
        <v>16</v>
      </c>
      <c r="G1616" t="s">
        <v>17</v>
      </c>
      <c r="H1616" t="s">
        <v>18</v>
      </c>
      <c r="I1616">
        <v>79.59</v>
      </c>
      <c r="J1616" t="s">
        <v>19</v>
      </c>
      <c r="K1616" t="s">
        <v>2231</v>
      </c>
      <c r="L1616" t="s">
        <v>21</v>
      </c>
    </row>
    <row r="1617" spans="1:12">
      <c r="A1617" t="s">
        <v>2232</v>
      </c>
      <c r="B1617" t="s">
        <v>2190</v>
      </c>
      <c r="C1617" t="s">
        <v>80</v>
      </c>
      <c r="D1617">
        <v>2002</v>
      </c>
      <c r="E1617" t="s">
        <v>23</v>
      </c>
      <c r="F1617" t="s">
        <v>24</v>
      </c>
      <c r="G1617" t="s">
        <v>25</v>
      </c>
      <c r="H1617" t="s">
        <v>26</v>
      </c>
      <c r="I1617">
        <v>59925035</v>
      </c>
      <c r="J1617" t="s">
        <v>27</v>
      </c>
      <c r="K1617" t="s">
        <v>2231</v>
      </c>
      <c r="L1617" t="s">
        <v>21</v>
      </c>
    </row>
    <row r="1618" spans="1:12">
      <c r="A1618" t="s">
        <v>2233</v>
      </c>
      <c r="B1618" t="s">
        <v>2190</v>
      </c>
      <c r="C1618" t="s">
        <v>80</v>
      </c>
      <c r="D1618">
        <v>2002</v>
      </c>
      <c r="E1618" t="s">
        <v>29</v>
      </c>
      <c r="F1618" t="s">
        <v>30</v>
      </c>
      <c r="G1618" t="s">
        <v>31</v>
      </c>
      <c r="H1618" t="s">
        <v>32</v>
      </c>
      <c r="I1618">
        <v>28926.032340000002</v>
      </c>
      <c r="J1618" t="s">
        <v>33</v>
      </c>
      <c r="K1618" t="s">
        <v>2231</v>
      </c>
      <c r="L1618" t="s">
        <v>21</v>
      </c>
    </row>
    <row r="1619" spans="1:12">
      <c r="A1619" t="s">
        <v>2234</v>
      </c>
      <c r="B1619" t="s">
        <v>2190</v>
      </c>
      <c r="C1619" t="s">
        <v>80</v>
      </c>
      <c r="D1619">
        <v>2007</v>
      </c>
      <c r="E1619" t="s">
        <v>15</v>
      </c>
      <c r="F1619" t="s">
        <v>16</v>
      </c>
      <c r="G1619" t="s">
        <v>17</v>
      </c>
      <c r="H1619" t="s">
        <v>18</v>
      </c>
      <c r="I1619">
        <v>80.656999999999996</v>
      </c>
      <c r="J1619" t="s">
        <v>19</v>
      </c>
      <c r="K1619" t="s">
        <v>2235</v>
      </c>
      <c r="L1619" t="s">
        <v>21</v>
      </c>
    </row>
    <row r="1620" spans="1:12">
      <c r="A1620" t="s">
        <v>2236</v>
      </c>
      <c r="B1620" t="s">
        <v>2190</v>
      </c>
      <c r="C1620" t="s">
        <v>80</v>
      </c>
      <c r="D1620">
        <v>2007</v>
      </c>
      <c r="E1620" t="s">
        <v>23</v>
      </c>
      <c r="F1620" t="s">
        <v>24</v>
      </c>
      <c r="G1620" t="s">
        <v>25</v>
      </c>
      <c r="H1620" t="s">
        <v>26</v>
      </c>
      <c r="I1620">
        <v>61083916</v>
      </c>
      <c r="J1620" t="s">
        <v>27</v>
      </c>
      <c r="K1620" t="s">
        <v>2235</v>
      </c>
      <c r="L1620" t="s">
        <v>21</v>
      </c>
    </row>
    <row r="1621" spans="1:12">
      <c r="A1621" t="s">
        <v>2237</v>
      </c>
      <c r="B1621" t="s">
        <v>2190</v>
      </c>
      <c r="C1621" t="s">
        <v>80</v>
      </c>
      <c r="D1621">
        <v>2007</v>
      </c>
      <c r="E1621" t="s">
        <v>29</v>
      </c>
      <c r="F1621" t="s">
        <v>30</v>
      </c>
      <c r="G1621" t="s">
        <v>31</v>
      </c>
      <c r="H1621" t="s">
        <v>32</v>
      </c>
      <c r="I1621">
        <v>30470.0167</v>
      </c>
      <c r="J1621" t="s">
        <v>33</v>
      </c>
      <c r="K1621" t="s">
        <v>2235</v>
      </c>
      <c r="L1621" t="s">
        <v>21</v>
      </c>
    </row>
    <row r="1622" spans="1:12">
      <c r="A1622" t="s">
        <v>2238</v>
      </c>
      <c r="B1622" t="s">
        <v>2239</v>
      </c>
      <c r="C1622" t="s">
        <v>130</v>
      </c>
      <c r="D1622">
        <v>1952</v>
      </c>
      <c r="E1622" t="s">
        <v>15</v>
      </c>
      <c r="F1622" t="s">
        <v>16</v>
      </c>
      <c r="G1622" t="s">
        <v>17</v>
      </c>
      <c r="H1622" t="s">
        <v>18</v>
      </c>
      <c r="I1622">
        <v>37.003</v>
      </c>
      <c r="J1622" t="s">
        <v>19</v>
      </c>
      <c r="K1622" t="s">
        <v>2240</v>
      </c>
      <c r="L1622" t="s">
        <v>21</v>
      </c>
    </row>
    <row r="1623" spans="1:12">
      <c r="A1623" t="s">
        <v>2241</v>
      </c>
      <c r="B1623" t="s">
        <v>2239</v>
      </c>
      <c r="C1623" t="s">
        <v>130</v>
      </c>
      <c r="D1623">
        <v>1952</v>
      </c>
      <c r="E1623" t="s">
        <v>23</v>
      </c>
      <c r="F1623" t="s">
        <v>24</v>
      </c>
      <c r="G1623" t="s">
        <v>25</v>
      </c>
      <c r="H1623" t="s">
        <v>26</v>
      </c>
      <c r="I1623">
        <v>420702</v>
      </c>
      <c r="J1623" t="s">
        <v>27</v>
      </c>
      <c r="K1623" t="s">
        <v>2240</v>
      </c>
      <c r="L1623" t="s">
        <v>21</v>
      </c>
    </row>
    <row r="1624" spans="1:12">
      <c r="A1624" t="s">
        <v>2242</v>
      </c>
      <c r="B1624" t="s">
        <v>2239</v>
      </c>
      <c r="C1624" t="s">
        <v>130</v>
      </c>
      <c r="D1624">
        <v>1952</v>
      </c>
      <c r="E1624" t="s">
        <v>29</v>
      </c>
      <c r="F1624" t="s">
        <v>30</v>
      </c>
      <c r="G1624" t="s">
        <v>31</v>
      </c>
      <c r="H1624" t="s">
        <v>32</v>
      </c>
      <c r="I1624">
        <v>4293.4764750000004</v>
      </c>
      <c r="J1624" t="s">
        <v>33</v>
      </c>
      <c r="K1624" t="s">
        <v>2240</v>
      </c>
      <c r="L1624" t="s">
        <v>21</v>
      </c>
    </row>
    <row r="1625" spans="1:12">
      <c r="A1625" t="s">
        <v>2243</v>
      </c>
      <c r="B1625" t="s">
        <v>2239</v>
      </c>
      <c r="C1625" t="s">
        <v>130</v>
      </c>
      <c r="D1625">
        <v>1957</v>
      </c>
      <c r="E1625" t="s">
        <v>15</v>
      </c>
      <c r="F1625" t="s">
        <v>16</v>
      </c>
      <c r="G1625" t="s">
        <v>17</v>
      </c>
      <c r="H1625" t="s">
        <v>18</v>
      </c>
      <c r="I1625">
        <v>38.999000000000002</v>
      </c>
      <c r="J1625" t="s">
        <v>19</v>
      </c>
      <c r="K1625" t="s">
        <v>2244</v>
      </c>
      <c r="L1625" t="s">
        <v>21</v>
      </c>
    </row>
    <row r="1626" spans="1:12">
      <c r="A1626" t="s">
        <v>2245</v>
      </c>
      <c r="B1626" t="s">
        <v>2239</v>
      </c>
      <c r="C1626" t="s">
        <v>130</v>
      </c>
      <c r="D1626">
        <v>1957</v>
      </c>
      <c r="E1626" t="s">
        <v>23</v>
      </c>
      <c r="F1626" t="s">
        <v>24</v>
      </c>
      <c r="G1626" t="s">
        <v>25</v>
      </c>
      <c r="H1626" t="s">
        <v>26</v>
      </c>
      <c r="I1626">
        <v>434904</v>
      </c>
      <c r="J1626" t="s">
        <v>27</v>
      </c>
      <c r="K1626" t="s">
        <v>2244</v>
      </c>
      <c r="L1626" t="s">
        <v>21</v>
      </c>
    </row>
    <row r="1627" spans="1:12">
      <c r="A1627" t="s">
        <v>2246</v>
      </c>
      <c r="B1627" t="s">
        <v>2239</v>
      </c>
      <c r="C1627" t="s">
        <v>130</v>
      </c>
      <c r="D1627">
        <v>1957</v>
      </c>
      <c r="E1627" t="s">
        <v>29</v>
      </c>
      <c r="F1627" t="s">
        <v>30</v>
      </c>
      <c r="G1627" t="s">
        <v>31</v>
      </c>
      <c r="H1627" t="s">
        <v>32</v>
      </c>
      <c r="I1627">
        <v>4976.1980990000002</v>
      </c>
      <c r="J1627" t="s">
        <v>33</v>
      </c>
      <c r="K1627" t="s">
        <v>2244</v>
      </c>
      <c r="L1627" t="s">
        <v>21</v>
      </c>
    </row>
    <row r="1628" spans="1:12">
      <c r="A1628" t="s">
        <v>2247</v>
      </c>
      <c r="B1628" t="s">
        <v>2239</v>
      </c>
      <c r="C1628" t="s">
        <v>130</v>
      </c>
      <c r="D1628">
        <v>1962</v>
      </c>
      <c r="E1628" t="s">
        <v>15</v>
      </c>
      <c r="F1628" t="s">
        <v>16</v>
      </c>
      <c r="G1628" t="s">
        <v>17</v>
      </c>
      <c r="H1628" t="s">
        <v>18</v>
      </c>
      <c r="I1628">
        <v>40.488999999999997</v>
      </c>
      <c r="J1628" t="s">
        <v>19</v>
      </c>
      <c r="K1628" t="s">
        <v>2248</v>
      </c>
      <c r="L1628" t="s">
        <v>21</v>
      </c>
    </row>
    <row r="1629" spans="1:12">
      <c r="A1629" t="s">
        <v>2249</v>
      </c>
      <c r="B1629" t="s">
        <v>2239</v>
      </c>
      <c r="C1629" t="s">
        <v>130</v>
      </c>
      <c r="D1629">
        <v>1962</v>
      </c>
      <c r="E1629" t="s">
        <v>23</v>
      </c>
      <c r="F1629" t="s">
        <v>24</v>
      </c>
      <c r="G1629" t="s">
        <v>25</v>
      </c>
      <c r="H1629" t="s">
        <v>26</v>
      </c>
      <c r="I1629">
        <v>455661</v>
      </c>
      <c r="J1629" t="s">
        <v>27</v>
      </c>
      <c r="K1629" t="s">
        <v>2248</v>
      </c>
      <c r="L1629" t="s">
        <v>21</v>
      </c>
    </row>
    <row r="1630" spans="1:12">
      <c r="A1630" t="s">
        <v>2250</v>
      </c>
      <c r="B1630" t="s">
        <v>2239</v>
      </c>
      <c r="C1630" t="s">
        <v>130</v>
      </c>
      <c r="D1630">
        <v>1962</v>
      </c>
      <c r="E1630" t="s">
        <v>29</v>
      </c>
      <c r="F1630" t="s">
        <v>30</v>
      </c>
      <c r="G1630" t="s">
        <v>31</v>
      </c>
      <c r="H1630" t="s">
        <v>32</v>
      </c>
      <c r="I1630">
        <v>6631.4592220000004</v>
      </c>
      <c r="J1630" t="s">
        <v>33</v>
      </c>
      <c r="K1630" t="s">
        <v>2248</v>
      </c>
      <c r="L1630" t="s">
        <v>21</v>
      </c>
    </row>
    <row r="1631" spans="1:12">
      <c r="A1631" t="s">
        <v>2251</v>
      </c>
      <c r="B1631" t="s">
        <v>2239</v>
      </c>
      <c r="C1631" t="s">
        <v>130</v>
      </c>
      <c r="D1631">
        <v>1967</v>
      </c>
      <c r="E1631" t="s">
        <v>15</v>
      </c>
      <c r="F1631" t="s">
        <v>16</v>
      </c>
      <c r="G1631" t="s">
        <v>17</v>
      </c>
      <c r="H1631" t="s">
        <v>18</v>
      </c>
      <c r="I1631">
        <v>44.597999999999999</v>
      </c>
      <c r="J1631" t="s">
        <v>19</v>
      </c>
      <c r="K1631" t="s">
        <v>2252</v>
      </c>
      <c r="L1631" t="s">
        <v>21</v>
      </c>
    </row>
    <row r="1632" spans="1:12">
      <c r="A1632" t="s">
        <v>2253</v>
      </c>
      <c r="B1632" t="s">
        <v>2239</v>
      </c>
      <c r="C1632" t="s">
        <v>130</v>
      </c>
      <c r="D1632">
        <v>1967</v>
      </c>
      <c r="E1632" t="s">
        <v>23</v>
      </c>
      <c r="F1632" t="s">
        <v>24</v>
      </c>
      <c r="G1632" t="s">
        <v>25</v>
      </c>
      <c r="H1632" t="s">
        <v>26</v>
      </c>
      <c r="I1632">
        <v>489004</v>
      </c>
      <c r="J1632" t="s">
        <v>27</v>
      </c>
      <c r="K1632" t="s">
        <v>2252</v>
      </c>
      <c r="L1632" t="s">
        <v>21</v>
      </c>
    </row>
    <row r="1633" spans="1:12">
      <c r="A1633" t="s">
        <v>2254</v>
      </c>
      <c r="B1633" t="s">
        <v>2239</v>
      </c>
      <c r="C1633" t="s">
        <v>130</v>
      </c>
      <c r="D1633">
        <v>1967</v>
      </c>
      <c r="E1633" t="s">
        <v>29</v>
      </c>
      <c r="F1633" t="s">
        <v>30</v>
      </c>
      <c r="G1633" t="s">
        <v>31</v>
      </c>
      <c r="H1633" t="s">
        <v>32</v>
      </c>
      <c r="I1633">
        <v>8358.7619869999999</v>
      </c>
      <c r="J1633" t="s">
        <v>33</v>
      </c>
      <c r="K1633" t="s">
        <v>2252</v>
      </c>
      <c r="L1633" t="s">
        <v>21</v>
      </c>
    </row>
    <row r="1634" spans="1:12">
      <c r="A1634" t="s">
        <v>2255</v>
      </c>
      <c r="B1634" t="s">
        <v>2239</v>
      </c>
      <c r="C1634" t="s">
        <v>130</v>
      </c>
      <c r="D1634">
        <v>1972</v>
      </c>
      <c r="E1634" t="s">
        <v>15</v>
      </c>
      <c r="F1634" t="s">
        <v>16</v>
      </c>
      <c r="G1634" t="s">
        <v>17</v>
      </c>
      <c r="H1634" t="s">
        <v>18</v>
      </c>
      <c r="I1634">
        <v>48.69</v>
      </c>
      <c r="J1634" t="s">
        <v>19</v>
      </c>
      <c r="K1634" t="s">
        <v>2256</v>
      </c>
      <c r="L1634" t="s">
        <v>21</v>
      </c>
    </row>
    <row r="1635" spans="1:12">
      <c r="A1635" t="s">
        <v>2257</v>
      </c>
      <c r="B1635" t="s">
        <v>2239</v>
      </c>
      <c r="C1635" t="s">
        <v>130</v>
      </c>
      <c r="D1635">
        <v>1972</v>
      </c>
      <c r="E1635" t="s">
        <v>23</v>
      </c>
      <c r="F1635" t="s">
        <v>24</v>
      </c>
      <c r="G1635" t="s">
        <v>25</v>
      </c>
      <c r="H1635" t="s">
        <v>26</v>
      </c>
      <c r="I1635">
        <v>537977</v>
      </c>
      <c r="J1635" t="s">
        <v>27</v>
      </c>
      <c r="K1635" t="s">
        <v>2256</v>
      </c>
      <c r="L1635" t="s">
        <v>21</v>
      </c>
    </row>
    <row r="1636" spans="1:12">
      <c r="A1636" t="s">
        <v>2258</v>
      </c>
      <c r="B1636" t="s">
        <v>2239</v>
      </c>
      <c r="C1636" t="s">
        <v>130</v>
      </c>
      <c r="D1636">
        <v>1972</v>
      </c>
      <c r="E1636" t="s">
        <v>29</v>
      </c>
      <c r="F1636" t="s">
        <v>30</v>
      </c>
      <c r="G1636" t="s">
        <v>31</v>
      </c>
      <c r="H1636" t="s">
        <v>32</v>
      </c>
      <c r="I1636">
        <v>11401.948410000001</v>
      </c>
      <c r="J1636" t="s">
        <v>33</v>
      </c>
      <c r="K1636" t="s">
        <v>2256</v>
      </c>
      <c r="L1636" t="s">
        <v>21</v>
      </c>
    </row>
    <row r="1637" spans="1:12">
      <c r="A1637" t="s">
        <v>2259</v>
      </c>
      <c r="B1637" t="s">
        <v>2239</v>
      </c>
      <c r="C1637" t="s">
        <v>130</v>
      </c>
      <c r="D1637">
        <v>1977</v>
      </c>
      <c r="E1637" t="s">
        <v>15</v>
      </c>
      <c r="F1637" t="s">
        <v>16</v>
      </c>
      <c r="G1637" t="s">
        <v>17</v>
      </c>
      <c r="H1637" t="s">
        <v>18</v>
      </c>
      <c r="I1637">
        <v>52.79</v>
      </c>
      <c r="J1637" t="s">
        <v>19</v>
      </c>
      <c r="K1637" t="s">
        <v>2260</v>
      </c>
      <c r="L1637" t="s">
        <v>21</v>
      </c>
    </row>
    <row r="1638" spans="1:12">
      <c r="A1638" t="s">
        <v>2261</v>
      </c>
      <c r="B1638" t="s">
        <v>2239</v>
      </c>
      <c r="C1638" t="s">
        <v>130</v>
      </c>
      <c r="D1638">
        <v>1977</v>
      </c>
      <c r="E1638" t="s">
        <v>23</v>
      </c>
      <c r="F1638" t="s">
        <v>24</v>
      </c>
      <c r="G1638" t="s">
        <v>25</v>
      </c>
      <c r="H1638" t="s">
        <v>26</v>
      </c>
      <c r="I1638">
        <v>706367</v>
      </c>
      <c r="J1638" t="s">
        <v>27</v>
      </c>
      <c r="K1638" t="s">
        <v>2260</v>
      </c>
      <c r="L1638" t="s">
        <v>21</v>
      </c>
    </row>
    <row r="1639" spans="1:12">
      <c r="A1639" t="s">
        <v>2262</v>
      </c>
      <c r="B1639" t="s">
        <v>2239</v>
      </c>
      <c r="C1639" t="s">
        <v>130</v>
      </c>
      <c r="D1639">
        <v>1977</v>
      </c>
      <c r="E1639" t="s">
        <v>29</v>
      </c>
      <c r="F1639" t="s">
        <v>30</v>
      </c>
      <c r="G1639" t="s">
        <v>31</v>
      </c>
      <c r="H1639" t="s">
        <v>32</v>
      </c>
      <c r="I1639">
        <v>21745.573280000001</v>
      </c>
      <c r="J1639" t="s">
        <v>33</v>
      </c>
      <c r="K1639" t="s">
        <v>2260</v>
      </c>
      <c r="L1639" t="s">
        <v>21</v>
      </c>
    </row>
    <row r="1640" spans="1:12">
      <c r="A1640" t="s">
        <v>2263</v>
      </c>
      <c r="B1640" t="s">
        <v>2239</v>
      </c>
      <c r="C1640" t="s">
        <v>130</v>
      </c>
      <c r="D1640">
        <v>1982</v>
      </c>
      <c r="E1640" t="s">
        <v>15</v>
      </c>
      <c r="F1640" t="s">
        <v>16</v>
      </c>
      <c r="G1640" t="s">
        <v>17</v>
      </c>
      <c r="H1640" t="s">
        <v>18</v>
      </c>
      <c r="I1640">
        <v>56.563999999999901</v>
      </c>
      <c r="J1640" t="s">
        <v>19</v>
      </c>
      <c r="K1640" t="s">
        <v>2264</v>
      </c>
      <c r="L1640" t="s">
        <v>21</v>
      </c>
    </row>
    <row r="1641" spans="1:12">
      <c r="A1641" t="s">
        <v>2265</v>
      </c>
      <c r="B1641" t="s">
        <v>2239</v>
      </c>
      <c r="C1641" t="s">
        <v>130</v>
      </c>
      <c r="D1641">
        <v>1982</v>
      </c>
      <c r="E1641" t="s">
        <v>23</v>
      </c>
      <c r="F1641" t="s">
        <v>24</v>
      </c>
      <c r="G1641" t="s">
        <v>25</v>
      </c>
      <c r="H1641" t="s">
        <v>26</v>
      </c>
      <c r="I1641">
        <v>753874</v>
      </c>
      <c r="J1641" t="s">
        <v>27</v>
      </c>
      <c r="K1641" t="s">
        <v>2264</v>
      </c>
      <c r="L1641" t="s">
        <v>21</v>
      </c>
    </row>
    <row r="1642" spans="1:12">
      <c r="A1642" t="s">
        <v>2266</v>
      </c>
      <c r="B1642" t="s">
        <v>2239</v>
      </c>
      <c r="C1642" t="s">
        <v>130</v>
      </c>
      <c r="D1642">
        <v>1982</v>
      </c>
      <c r="E1642" t="s">
        <v>29</v>
      </c>
      <c r="F1642" t="s">
        <v>30</v>
      </c>
      <c r="G1642" t="s">
        <v>31</v>
      </c>
      <c r="H1642" t="s">
        <v>32</v>
      </c>
      <c r="I1642">
        <v>15113.361940000001</v>
      </c>
      <c r="J1642" t="s">
        <v>33</v>
      </c>
      <c r="K1642" t="s">
        <v>2264</v>
      </c>
      <c r="L1642" t="s">
        <v>21</v>
      </c>
    </row>
    <row r="1643" spans="1:12">
      <c r="A1643" t="s">
        <v>2267</v>
      </c>
      <c r="B1643" t="s">
        <v>2239</v>
      </c>
      <c r="C1643" t="s">
        <v>130</v>
      </c>
      <c r="D1643">
        <v>1987</v>
      </c>
      <c r="E1643" t="s">
        <v>15</v>
      </c>
      <c r="F1643" t="s">
        <v>16</v>
      </c>
      <c r="G1643" t="s">
        <v>17</v>
      </c>
      <c r="H1643" t="s">
        <v>18</v>
      </c>
      <c r="I1643">
        <v>60.19</v>
      </c>
      <c r="J1643" t="s">
        <v>19</v>
      </c>
      <c r="K1643" t="s">
        <v>2268</v>
      </c>
      <c r="L1643" t="s">
        <v>21</v>
      </c>
    </row>
    <row r="1644" spans="1:12">
      <c r="A1644" t="s">
        <v>2269</v>
      </c>
      <c r="B1644" t="s">
        <v>2239</v>
      </c>
      <c r="C1644" t="s">
        <v>130</v>
      </c>
      <c r="D1644">
        <v>1987</v>
      </c>
      <c r="E1644" t="s">
        <v>23</v>
      </c>
      <c r="F1644" t="s">
        <v>24</v>
      </c>
      <c r="G1644" t="s">
        <v>25</v>
      </c>
      <c r="H1644" t="s">
        <v>26</v>
      </c>
      <c r="I1644">
        <v>880397</v>
      </c>
      <c r="J1644" t="s">
        <v>27</v>
      </c>
      <c r="K1644" t="s">
        <v>2268</v>
      </c>
      <c r="L1644" t="s">
        <v>21</v>
      </c>
    </row>
    <row r="1645" spans="1:12">
      <c r="A1645" t="s">
        <v>2270</v>
      </c>
      <c r="B1645" t="s">
        <v>2239</v>
      </c>
      <c r="C1645" t="s">
        <v>130</v>
      </c>
      <c r="D1645">
        <v>1987</v>
      </c>
      <c r="E1645" t="s">
        <v>29</v>
      </c>
      <c r="F1645" t="s">
        <v>30</v>
      </c>
      <c r="G1645" t="s">
        <v>31</v>
      </c>
      <c r="H1645" t="s">
        <v>32</v>
      </c>
      <c r="I1645">
        <v>11864.408439999999</v>
      </c>
      <c r="J1645" t="s">
        <v>33</v>
      </c>
      <c r="K1645" t="s">
        <v>2268</v>
      </c>
      <c r="L1645" t="s">
        <v>21</v>
      </c>
    </row>
    <row r="1646" spans="1:12">
      <c r="A1646" t="s">
        <v>2271</v>
      </c>
      <c r="B1646" t="s">
        <v>2239</v>
      </c>
      <c r="C1646" t="s">
        <v>130</v>
      </c>
      <c r="D1646">
        <v>1992</v>
      </c>
      <c r="E1646" t="s">
        <v>15</v>
      </c>
      <c r="F1646" t="s">
        <v>16</v>
      </c>
      <c r="G1646" t="s">
        <v>17</v>
      </c>
      <c r="H1646" t="s">
        <v>18</v>
      </c>
      <c r="I1646">
        <v>61.366</v>
      </c>
      <c r="J1646" t="s">
        <v>19</v>
      </c>
      <c r="K1646" t="s">
        <v>2272</v>
      </c>
      <c r="L1646" t="s">
        <v>21</v>
      </c>
    </row>
    <row r="1647" spans="1:12">
      <c r="A1647" t="s">
        <v>2273</v>
      </c>
      <c r="B1647" t="s">
        <v>2239</v>
      </c>
      <c r="C1647" t="s">
        <v>130</v>
      </c>
      <c r="D1647">
        <v>1992</v>
      </c>
      <c r="E1647" t="s">
        <v>23</v>
      </c>
      <c r="F1647" t="s">
        <v>24</v>
      </c>
      <c r="G1647" t="s">
        <v>25</v>
      </c>
      <c r="H1647" t="s">
        <v>26</v>
      </c>
      <c r="I1647">
        <v>985739</v>
      </c>
      <c r="J1647" t="s">
        <v>27</v>
      </c>
      <c r="K1647" t="s">
        <v>2272</v>
      </c>
      <c r="L1647" t="s">
        <v>21</v>
      </c>
    </row>
    <row r="1648" spans="1:12">
      <c r="A1648" t="s">
        <v>2274</v>
      </c>
      <c r="B1648" t="s">
        <v>2239</v>
      </c>
      <c r="C1648" t="s">
        <v>130</v>
      </c>
      <c r="D1648">
        <v>1992</v>
      </c>
      <c r="E1648" t="s">
        <v>29</v>
      </c>
      <c r="F1648" t="s">
        <v>30</v>
      </c>
      <c r="G1648" t="s">
        <v>31</v>
      </c>
      <c r="H1648" t="s">
        <v>32</v>
      </c>
      <c r="I1648">
        <v>13522.157520000001</v>
      </c>
      <c r="J1648" t="s">
        <v>33</v>
      </c>
      <c r="K1648" t="s">
        <v>2272</v>
      </c>
      <c r="L1648" t="s">
        <v>21</v>
      </c>
    </row>
    <row r="1649" spans="1:12">
      <c r="A1649" t="s">
        <v>2275</v>
      </c>
      <c r="B1649" t="s">
        <v>2239</v>
      </c>
      <c r="C1649" t="s">
        <v>130</v>
      </c>
      <c r="D1649">
        <v>1997</v>
      </c>
      <c r="E1649" t="s">
        <v>15</v>
      </c>
      <c r="F1649" t="s">
        <v>16</v>
      </c>
      <c r="G1649" t="s">
        <v>17</v>
      </c>
      <c r="H1649" t="s">
        <v>18</v>
      </c>
      <c r="I1649">
        <v>60.460999999999999</v>
      </c>
      <c r="J1649" t="s">
        <v>19</v>
      </c>
      <c r="K1649" t="s">
        <v>2276</v>
      </c>
      <c r="L1649" t="s">
        <v>21</v>
      </c>
    </row>
    <row r="1650" spans="1:12">
      <c r="A1650" t="s">
        <v>2277</v>
      </c>
      <c r="B1650" t="s">
        <v>2239</v>
      </c>
      <c r="C1650" t="s">
        <v>130</v>
      </c>
      <c r="D1650">
        <v>1997</v>
      </c>
      <c r="E1650" t="s">
        <v>23</v>
      </c>
      <c r="F1650" t="s">
        <v>24</v>
      </c>
      <c r="G1650" t="s">
        <v>25</v>
      </c>
      <c r="H1650" t="s">
        <v>26</v>
      </c>
      <c r="I1650">
        <v>1126189</v>
      </c>
      <c r="J1650" t="s">
        <v>27</v>
      </c>
      <c r="K1650" t="s">
        <v>2276</v>
      </c>
      <c r="L1650" t="s">
        <v>21</v>
      </c>
    </row>
    <row r="1651" spans="1:12">
      <c r="A1651" t="s">
        <v>2278</v>
      </c>
      <c r="B1651" t="s">
        <v>2239</v>
      </c>
      <c r="C1651" t="s">
        <v>130</v>
      </c>
      <c r="D1651">
        <v>1997</v>
      </c>
      <c r="E1651" t="s">
        <v>29</v>
      </c>
      <c r="F1651" t="s">
        <v>30</v>
      </c>
      <c r="G1651" t="s">
        <v>31</v>
      </c>
      <c r="H1651" t="s">
        <v>32</v>
      </c>
      <c r="I1651">
        <v>14722.84188</v>
      </c>
      <c r="J1651" t="s">
        <v>33</v>
      </c>
      <c r="K1651" t="s">
        <v>2276</v>
      </c>
      <c r="L1651" t="s">
        <v>21</v>
      </c>
    </row>
    <row r="1652" spans="1:12">
      <c r="A1652" t="s">
        <v>2279</v>
      </c>
      <c r="B1652" t="s">
        <v>2239</v>
      </c>
      <c r="C1652" t="s">
        <v>130</v>
      </c>
      <c r="D1652">
        <v>2002</v>
      </c>
      <c r="E1652" t="s">
        <v>15</v>
      </c>
      <c r="F1652" t="s">
        <v>16</v>
      </c>
      <c r="G1652" t="s">
        <v>17</v>
      </c>
      <c r="H1652" t="s">
        <v>18</v>
      </c>
      <c r="I1652">
        <v>56.761000000000003</v>
      </c>
      <c r="J1652" t="s">
        <v>19</v>
      </c>
      <c r="K1652" t="s">
        <v>2280</v>
      </c>
      <c r="L1652" t="s">
        <v>21</v>
      </c>
    </row>
    <row r="1653" spans="1:12">
      <c r="A1653" t="s">
        <v>2281</v>
      </c>
      <c r="B1653" t="s">
        <v>2239</v>
      </c>
      <c r="C1653" t="s">
        <v>130</v>
      </c>
      <c r="D1653">
        <v>2002</v>
      </c>
      <c r="E1653" t="s">
        <v>23</v>
      </c>
      <c r="F1653" t="s">
        <v>24</v>
      </c>
      <c r="G1653" t="s">
        <v>25</v>
      </c>
      <c r="H1653" t="s">
        <v>26</v>
      </c>
      <c r="I1653">
        <v>1299304</v>
      </c>
      <c r="J1653" t="s">
        <v>27</v>
      </c>
      <c r="K1653" t="s">
        <v>2280</v>
      </c>
      <c r="L1653" t="s">
        <v>21</v>
      </c>
    </row>
    <row r="1654" spans="1:12">
      <c r="A1654" t="s">
        <v>2282</v>
      </c>
      <c r="B1654" t="s">
        <v>2239</v>
      </c>
      <c r="C1654" t="s">
        <v>130</v>
      </c>
      <c r="D1654">
        <v>2002</v>
      </c>
      <c r="E1654" t="s">
        <v>29</v>
      </c>
      <c r="F1654" t="s">
        <v>30</v>
      </c>
      <c r="G1654" t="s">
        <v>31</v>
      </c>
      <c r="H1654" t="s">
        <v>32</v>
      </c>
      <c r="I1654">
        <v>12521.71392</v>
      </c>
      <c r="J1654" t="s">
        <v>33</v>
      </c>
      <c r="K1654" t="s">
        <v>2280</v>
      </c>
      <c r="L1654" t="s">
        <v>21</v>
      </c>
    </row>
    <row r="1655" spans="1:12">
      <c r="A1655" t="s">
        <v>2283</v>
      </c>
      <c r="B1655" t="s">
        <v>2239</v>
      </c>
      <c r="C1655" t="s">
        <v>130</v>
      </c>
      <c r="D1655">
        <v>2007</v>
      </c>
      <c r="E1655" t="s">
        <v>15</v>
      </c>
      <c r="F1655" t="s">
        <v>16</v>
      </c>
      <c r="G1655" t="s">
        <v>17</v>
      </c>
      <c r="H1655" t="s">
        <v>18</v>
      </c>
      <c r="I1655">
        <v>56.734999999999999</v>
      </c>
      <c r="J1655" t="s">
        <v>19</v>
      </c>
      <c r="K1655" t="s">
        <v>2284</v>
      </c>
      <c r="L1655" t="s">
        <v>21</v>
      </c>
    </row>
    <row r="1656" spans="1:12">
      <c r="A1656" t="s">
        <v>2285</v>
      </c>
      <c r="B1656" t="s">
        <v>2239</v>
      </c>
      <c r="C1656" t="s">
        <v>130</v>
      </c>
      <c r="D1656">
        <v>2007</v>
      </c>
      <c r="E1656" t="s">
        <v>23</v>
      </c>
      <c r="F1656" t="s">
        <v>24</v>
      </c>
      <c r="G1656" t="s">
        <v>25</v>
      </c>
      <c r="H1656" t="s">
        <v>26</v>
      </c>
      <c r="I1656">
        <v>1454867</v>
      </c>
      <c r="J1656" t="s">
        <v>27</v>
      </c>
      <c r="K1656" t="s">
        <v>2284</v>
      </c>
      <c r="L1656" t="s">
        <v>21</v>
      </c>
    </row>
    <row r="1657" spans="1:12">
      <c r="A1657" t="s">
        <v>2286</v>
      </c>
      <c r="B1657" t="s">
        <v>2239</v>
      </c>
      <c r="C1657" t="s">
        <v>130</v>
      </c>
      <c r="D1657">
        <v>2007</v>
      </c>
      <c r="E1657" t="s">
        <v>29</v>
      </c>
      <c r="F1657" t="s">
        <v>30</v>
      </c>
      <c r="G1657" t="s">
        <v>31</v>
      </c>
      <c r="H1657" t="s">
        <v>32</v>
      </c>
      <c r="I1657">
        <v>13206.48452</v>
      </c>
      <c r="J1657" t="s">
        <v>33</v>
      </c>
      <c r="K1657" t="s">
        <v>2284</v>
      </c>
      <c r="L1657" t="s">
        <v>21</v>
      </c>
    </row>
    <row r="1658" spans="1:12">
      <c r="A1658" t="s">
        <v>2287</v>
      </c>
      <c r="B1658" t="s">
        <v>2288</v>
      </c>
      <c r="C1658" t="s">
        <v>130</v>
      </c>
      <c r="D1658">
        <v>1952</v>
      </c>
      <c r="E1658" t="s">
        <v>15</v>
      </c>
      <c r="F1658" t="s">
        <v>16</v>
      </c>
      <c r="G1658" t="s">
        <v>17</v>
      </c>
      <c r="H1658" t="s">
        <v>18</v>
      </c>
      <c r="I1658">
        <v>30</v>
      </c>
      <c r="J1658" t="s">
        <v>19</v>
      </c>
      <c r="K1658" t="s">
        <v>2289</v>
      </c>
      <c r="L1658" t="s">
        <v>21</v>
      </c>
    </row>
    <row r="1659" spans="1:12">
      <c r="A1659" t="s">
        <v>2290</v>
      </c>
      <c r="B1659" t="s">
        <v>2288</v>
      </c>
      <c r="C1659" t="s">
        <v>130</v>
      </c>
      <c r="D1659">
        <v>1952</v>
      </c>
      <c r="E1659" t="s">
        <v>23</v>
      </c>
      <c r="F1659" t="s">
        <v>24</v>
      </c>
      <c r="G1659" t="s">
        <v>25</v>
      </c>
      <c r="H1659" t="s">
        <v>26</v>
      </c>
      <c r="I1659">
        <v>284320</v>
      </c>
      <c r="J1659" t="s">
        <v>27</v>
      </c>
      <c r="K1659" t="s">
        <v>2289</v>
      </c>
      <c r="L1659" t="s">
        <v>21</v>
      </c>
    </row>
    <row r="1660" spans="1:12">
      <c r="A1660" t="s">
        <v>2291</v>
      </c>
      <c r="B1660" t="s">
        <v>2288</v>
      </c>
      <c r="C1660" t="s">
        <v>130</v>
      </c>
      <c r="D1660">
        <v>1952</v>
      </c>
      <c r="E1660" t="s">
        <v>29</v>
      </c>
      <c r="F1660" t="s">
        <v>30</v>
      </c>
      <c r="G1660" t="s">
        <v>31</v>
      </c>
      <c r="H1660" t="s">
        <v>32</v>
      </c>
      <c r="I1660">
        <v>485.23065910000003</v>
      </c>
      <c r="J1660" t="s">
        <v>33</v>
      </c>
      <c r="K1660" t="s">
        <v>2289</v>
      </c>
      <c r="L1660" t="s">
        <v>21</v>
      </c>
    </row>
    <row r="1661" spans="1:12">
      <c r="A1661" t="s">
        <v>2292</v>
      </c>
      <c r="B1661" t="s">
        <v>2288</v>
      </c>
      <c r="C1661" t="s">
        <v>130</v>
      </c>
      <c r="D1661">
        <v>1957</v>
      </c>
      <c r="E1661" t="s">
        <v>15</v>
      </c>
      <c r="F1661" t="s">
        <v>16</v>
      </c>
      <c r="G1661" t="s">
        <v>17</v>
      </c>
      <c r="H1661" t="s">
        <v>18</v>
      </c>
      <c r="I1661">
        <v>32.064999999999998</v>
      </c>
      <c r="J1661" t="s">
        <v>19</v>
      </c>
      <c r="K1661" t="s">
        <v>2293</v>
      </c>
      <c r="L1661" t="s">
        <v>21</v>
      </c>
    </row>
    <row r="1662" spans="1:12">
      <c r="A1662" t="s">
        <v>2294</v>
      </c>
      <c r="B1662" t="s">
        <v>2288</v>
      </c>
      <c r="C1662" t="s">
        <v>130</v>
      </c>
      <c r="D1662">
        <v>1957</v>
      </c>
      <c r="E1662" t="s">
        <v>23</v>
      </c>
      <c r="F1662" t="s">
        <v>24</v>
      </c>
      <c r="G1662" t="s">
        <v>25</v>
      </c>
      <c r="H1662" t="s">
        <v>26</v>
      </c>
      <c r="I1662">
        <v>323150</v>
      </c>
      <c r="J1662" t="s">
        <v>27</v>
      </c>
      <c r="K1662" t="s">
        <v>2293</v>
      </c>
      <c r="L1662" t="s">
        <v>21</v>
      </c>
    </row>
    <row r="1663" spans="1:12">
      <c r="A1663" t="s">
        <v>2295</v>
      </c>
      <c r="B1663" t="s">
        <v>2288</v>
      </c>
      <c r="C1663" t="s">
        <v>130</v>
      </c>
      <c r="D1663">
        <v>1957</v>
      </c>
      <c r="E1663" t="s">
        <v>29</v>
      </c>
      <c r="F1663" t="s">
        <v>30</v>
      </c>
      <c r="G1663" t="s">
        <v>31</v>
      </c>
      <c r="H1663" t="s">
        <v>32</v>
      </c>
      <c r="I1663">
        <v>520.92671110000003</v>
      </c>
      <c r="J1663" t="s">
        <v>33</v>
      </c>
      <c r="K1663" t="s">
        <v>2293</v>
      </c>
      <c r="L1663" t="s">
        <v>21</v>
      </c>
    </row>
    <row r="1664" spans="1:12">
      <c r="A1664" t="s">
        <v>2296</v>
      </c>
      <c r="B1664" t="s">
        <v>2288</v>
      </c>
      <c r="C1664" t="s">
        <v>130</v>
      </c>
      <c r="D1664">
        <v>1962</v>
      </c>
      <c r="E1664" t="s">
        <v>15</v>
      </c>
      <c r="F1664" t="s">
        <v>16</v>
      </c>
      <c r="G1664" t="s">
        <v>17</v>
      </c>
      <c r="H1664" t="s">
        <v>18</v>
      </c>
      <c r="I1664">
        <v>33.896000000000001</v>
      </c>
      <c r="J1664" t="s">
        <v>19</v>
      </c>
      <c r="K1664" t="s">
        <v>2297</v>
      </c>
      <c r="L1664" t="s">
        <v>21</v>
      </c>
    </row>
    <row r="1665" spans="1:12">
      <c r="A1665" t="s">
        <v>2298</v>
      </c>
      <c r="B1665" t="s">
        <v>2288</v>
      </c>
      <c r="C1665" t="s">
        <v>130</v>
      </c>
      <c r="D1665">
        <v>1962</v>
      </c>
      <c r="E1665" t="s">
        <v>23</v>
      </c>
      <c r="F1665" t="s">
        <v>24</v>
      </c>
      <c r="G1665" t="s">
        <v>25</v>
      </c>
      <c r="H1665" t="s">
        <v>26</v>
      </c>
      <c r="I1665">
        <v>374020</v>
      </c>
      <c r="J1665" t="s">
        <v>27</v>
      </c>
      <c r="K1665" t="s">
        <v>2297</v>
      </c>
      <c r="L1665" t="s">
        <v>21</v>
      </c>
    </row>
    <row r="1666" spans="1:12">
      <c r="A1666" t="s">
        <v>2299</v>
      </c>
      <c r="B1666" t="s">
        <v>2288</v>
      </c>
      <c r="C1666" t="s">
        <v>130</v>
      </c>
      <c r="D1666">
        <v>1962</v>
      </c>
      <c r="E1666" t="s">
        <v>29</v>
      </c>
      <c r="F1666" t="s">
        <v>30</v>
      </c>
      <c r="G1666" t="s">
        <v>31</v>
      </c>
      <c r="H1666" t="s">
        <v>32</v>
      </c>
      <c r="I1666">
        <v>599.65027599999996</v>
      </c>
      <c r="J1666" t="s">
        <v>33</v>
      </c>
      <c r="K1666" t="s">
        <v>2297</v>
      </c>
      <c r="L1666" t="s">
        <v>21</v>
      </c>
    </row>
    <row r="1667" spans="1:12">
      <c r="A1667" t="s">
        <v>2300</v>
      </c>
      <c r="B1667" t="s">
        <v>2288</v>
      </c>
      <c r="C1667" t="s">
        <v>130</v>
      </c>
      <c r="D1667">
        <v>1967</v>
      </c>
      <c r="E1667" t="s">
        <v>15</v>
      </c>
      <c r="F1667" t="s">
        <v>16</v>
      </c>
      <c r="G1667" t="s">
        <v>17</v>
      </c>
      <c r="H1667" t="s">
        <v>18</v>
      </c>
      <c r="I1667">
        <v>35.856999999999999</v>
      </c>
      <c r="J1667" t="s">
        <v>19</v>
      </c>
      <c r="K1667" t="s">
        <v>2301</v>
      </c>
      <c r="L1667" t="s">
        <v>21</v>
      </c>
    </row>
    <row r="1668" spans="1:12">
      <c r="A1668" t="s">
        <v>2302</v>
      </c>
      <c r="B1668" t="s">
        <v>2288</v>
      </c>
      <c r="C1668" t="s">
        <v>130</v>
      </c>
      <c r="D1668">
        <v>1967</v>
      </c>
      <c r="E1668" t="s">
        <v>23</v>
      </c>
      <c r="F1668" t="s">
        <v>24</v>
      </c>
      <c r="G1668" t="s">
        <v>25</v>
      </c>
      <c r="H1668" t="s">
        <v>26</v>
      </c>
      <c r="I1668">
        <v>439593</v>
      </c>
      <c r="J1668" t="s">
        <v>27</v>
      </c>
      <c r="K1668" t="s">
        <v>2301</v>
      </c>
      <c r="L1668" t="s">
        <v>21</v>
      </c>
    </row>
    <row r="1669" spans="1:12">
      <c r="A1669" t="s">
        <v>2303</v>
      </c>
      <c r="B1669" t="s">
        <v>2288</v>
      </c>
      <c r="C1669" t="s">
        <v>130</v>
      </c>
      <c r="D1669">
        <v>1967</v>
      </c>
      <c r="E1669" t="s">
        <v>29</v>
      </c>
      <c r="F1669" t="s">
        <v>30</v>
      </c>
      <c r="G1669" t="s">
        <v>31</v>
      </c>
      <c r="H1669" t="s">
        <v>32</v>
      </c>
      <c r="I1669">
        <v>734.78291239999999</v>
      </c>
      <c r="J1669" t="s">
        <v>33</v>
      </c>
      <c r="K1669" t="s">
        <v>2301</v>
      </c>
      <c r="L1669" t="s">
        <v>21</v>
      </c>
    </row>
    <row r="1670" spans="1:12">
      <c r="A1670" t="s">
        <v>2304</v>
      </c>
      <c r="B1670" t="s">
        <v>2288</v>
      </c>
      <c r="C1670" t="s">
        <v>130</v>
      </c>
      <c r="D1670">
        <v>1972</v>
      </c>
      <c r="E1670" t="s">
        <v>15</v>
      </c>
      <c r="F1670" t="s">
        <v>16</v>
      </c>
      <c r="G1670" t="s">
        <v>17</v>
      </c>
      <c r="H1670" t="s">
        <v>18</v>
      </c>
      <c r="I1670">
        <v>38.308</v>
      </c>
      <c r="J1670" t="s">
        <v>19</v>
      </c>
      <c r="K1670" t="s">
        <v>2305</v>
      </c>
      <c r="L1670" t="s">
        <v>21</v>
      </c>
    </row>
    <row r="1671" spans="1:12">
      <c r="A1671" t="s">
        <v>2306</v>
      </c>
      <c r="B1671" t="s">
        <v>2288</v>
      </c>
      <c r="C1671" t="s">
        <v>130</v>
      </c>
      <c r="D1671">
        <v>1972</v>
      </c>
      <c r="E1671" t="s">
        <v>23</v>
      </c>
      <c r="F1671" t="s">
        <v>24</v>
      </c>
      <c r="G1671" t="s">
        <v>25</v>
      </c>
      <c r="H1671" t="s">
        <v>26</v>
      </c>
      <c r="I1671">
        <v>517101</v>
      </c>
      <c r="J1671" t="s">
        <v>27</v>
      </c>
      <c r="K1671" t="s">
        <v>2305</v>
      </c>
      <c r="L1671" t="s">
        <v>21</v>
      </c>
    </row>
    <row r="1672" spans="1:12">
      <c r="A1672" t="s">
        <v>2307</v>
      </c>
      <c r="B1672" t="s">
        <v>2288</v>
      </c>
      <c r="C1672" t="s">
        <v>130</v>
      </c>
      <c r="D1672">
        <v>1972</v>
      </c>
      <c r="E1672" t="s">
        <v>29</v>
      </c>
      <c r="F1672" t="s">
        <v>30</v>
      </c>
      <c r="G1672" t="s">
        <v>31</v>
      </c>
      <c r="H1672" t="s">
        <v>32</v>
      </c>
      <c r="I1672">
        <v>756.08683629999996</v>
      </c>
      <c r="J1672" t="s">
        <v>33</v>
      </c>
      <c r="K1672" t="s">
        <v>2305</v>
      </c>
      <c r="L1672" t="s">
        <v>21</v>
      </c>
    </row>
    <row r="1673" spans="1:12">
      <c r="A1673" t="s">
        <v>2308</v>
      </c>
      <c r="B1673" t="s">
        <v>2288</v>
      </c>
      <c r="C1673" t="s">
        <v>130</v>
      </c>
      <c r="D1673">
        <v>1977</v>
      </c>
      <c r="E1673" t="s">
        <v>15</v>
      </c>
      <c r="F1673" t="s">
        <v>16</v>
      </c>
      <c r="G1673" t="s">
        <v>17</v>
      </c>
      <c r="H1673" t="s">
        <v>18</v>
      </c>
      <c r="I1673">
        <v>41.841999999999999</v>
      </c>
      <c r="J1673" t="s">
        <v>19</v>
      </c>
      <c r="K1673" t="s">
        <v>2309</v>
      </c>
      <c r="L1673" t="s">
        <v>21</v>
      </c>
    </row>
    <row r="1674" spans="1:12">
      <c r="A1674" t="s">
        <v>2310</v>
      </c>
      <c r="B1674" t="s">
        <v>2288</v>
      </c>
      <c r="C1674" t="s">
        <v>130</v>
      </c>
      <c r="D1674">
        <v>1977</v>
      </c>
      <c r="E1674" t="s">
        <v>23</v>
      </c>
      <c r="F1674" t="s">
        <v>24</v>
      </c>
      <c r="G1674" t="s">
        <v>25</v>
      </c>
      <c r="H1674" t="s">
        <v>26</v>
      </c>
      <c r="I1674">
        <v>608274</v>
      </c>
      <c r="J1674" t="s">
        <v>27</v>
      </c>
      <c r="K1674" t="s">
        <v>2309</v>
      </c>
      <c r="L1674" t="s">
        <v>21</v>
      </c>
    </row>
    <row r="1675" spans="1:12">
      <c r="A1675" t="s">
        <v>2311</v>
      </c>
      <c r="B1675" t="s">
        <v>2288</v>
      </c>
      <c r="C1675" t="s">
        <v>130</v>
      </c>
      <c r="D1675">
        <v>1977</v>
      </c>
      <c r="E1675" t="s">
        <v>29</v>
      </c>
      <c r="F1675" t="s">
        <v>30</v>
      </c>
      <c r="G1675" t="s">
        <v>31</v>
      </c>
      <c r="H1675" t="s">
        <v>32</v>
      </c>
      <c r="I1675">
        <v>884.75525070000003</v>
      </c>
      <c r="J1675" t="s">
        <v>33</v>
      </c>
      <c r="K1675" t="s">
        <v>2309</v>
      </c>
      <c r="L1675" t="s">
        <v>21</v>
      </c>
    </row>
    <row r="1676" spans="1:12">
      <c r="A1676" t="s">
        <v>2312</v>
      </c>
      <c r="B1676" t="s">
        <v>2288</v>
      </c>
      <c r="C1676" t="s">
        <v>130</v>
      </c>
      <c r="D1676">
        <v>1982</v>
      </c>
      <c r="E1676" t="s">
        <v>15</v>
      </c>
      <c r="F1676" t="s">
        <v>16</v>
      </c>
      <c r="G1676" t="s">
        <v>17</v>
      </c>
      <c r="H1676" t="s">
        <v>18</v>
      </c>
      <c r="I1676">
        <v>45.58</v>
      </c>
      <c r="J1676" t="s">
        <v>19</v>
      </c>
      <c r="K1676" t="s">
        <v>2313</v>
      </c>
      <c r="L1676" t="s">
        <v>21</v>
      </c>
    </row>
    <row r="1677" spans="1:12">
      <c r="A1677" t="s">
        <v>2314</v>
      </c>
      <c r="B1677" t="s">
        <v>2288</v>
      </c>
      <c r="C1677" t="s">
        <v>130</v>
      </c>
      <c r="D1677">
        <v>1982</v>
      </c>
      <c r="E1677" t="s">
        <v>23</v>
      </c>
      <c r="F1677" t="s">
        <v>24</v>
      </c>
      <c r="G1677" t="s">
        <v>25</v>
      </c>
      <c r="H1677" t="s">
        <v>26</v>
      </c>
      <c r="I1677">
        <v>715523</v>
      </c>
      <c r="J1677" t="s">
        <v>27</v>
      </c>
      <c r="K1677" t="s">
        <v>2313</v>
      </c>
      <c r="L1677" t="s">
        <v>21</v>
      </c>
    </row>
    <row r="1678" spans="1:12">
      <c r="A1678" t="s">
        <v>2315</v>
      </c>
      <c r="B1678" t="s">
        <v>2288</v>
      </c>
      <c r="C1678" t="s">
        <v>130</v>
      </c>
      <c r="D1678">
        <v>1982</v>
      </c>
      <c r="E1678" t="s">
        <v>29</v>
      </c>
      <c r="F1678" t="s">
        <v>30</v>
      </c>
      <c r="G1678" t="s">
        <v>31</v>
      </c>
      <c r="H1678" t="s">
        <v>32</v>
      </c>
      <c r="I1678">
        <v>835.80961079999895</v>
      </c>
      <c r="J1678" t="s">
        <v>33</v>
      </c>
      <c r="K1678" t="s">
        <v>2313</v>
      </c>
      <c r="L1678" t="s">
        <v>21</v>
      </c>
    </row>
    <row r="1679" spans="1:12">
      <c r="A1679" t="s">
        <v>2316</v>
      </c>
      <c r="B1679" t="s">
        <v>2288</v>
      </c>
      <c r="C1679" t="s">
        <v>130</v>
      </c>
      <c r="D1679">
        <v>1987</v>
      </c>
      <c r="E1679" t="s">
        <v>15</v>
      </c>
      <c r="F1679" t="s">
        <v>16</v>
      </c>
      <c r="G1679" t="s">
        <v>17</v>
      </c>
      <c r="H1679" t="s">
        <v>18</v>
      </c>
      <c r="I1679">
        <v>49.265000000000001</v>
      </c>
      <c r="J1679" t="s">
        <v>19</v>
      </c>
      <c r="K1679" t="s">
        <v>2317</v>
      </c>
      <c r="L1679" t="s">
        <v>21</v>
      </c>
    </row>
    <row r="1680" spans="1:12">
      <c r="A1680" t="s">
        <v>2318</v>
      </c>
      <c r="B1680" t="s">
        <v>2288</v>
      </c>
      <c r="C1680" t="s">
        <v>130</v>
      </c>
      <c r="D1680">
        <v>1987</v>
      </c>
      <c r="E1680" t="s">
        <v>23</v>
      </c>
      <c r="F1680" t="s">
        <v>24</v>
      </c>
      <c r="G1680" t="s">
        <v>25</v>
      </c>
      <c r="H1680" t="s">
        <v>26</v>
      </c>
      <c r="I1680">
        <v>848406</v>
      </c>
      <c r="J1680" t="s">
        <v>27</v>
      </c>
      <c r="K1680" t="s">
        <v>2317</v>
      </c>
      <c r="L1680" t="s">
        <v>21</v>
      </c>
    </row>
    <row r="1681" spans="1:12">
      <c r="A1681" t="s">
        <v>2319</v>
      </c>
      <c r="B1681" t="s">
        <v>2288</v>
      </c>
      <c r="C1681" t="s">
        <v>130</v>
      </c>
      <c r="D1681">
        <v>1987</v>
      </c>
      <c r="E1681" t="s">
        <v>29</v>
      </c>
      <c r="F1681" t="s">
        <v>30</v>
      </c>
      <c r="G1681" t="s">
        <v>31</v>
      </c>
      <c r="H1681" t="s">
        <v>32</v>
      </c>
      <c r="I1681">
        <v>611.65886109999997</v>
      </c>
      <c r="J1681" t="s">
        <v>33</v>
      </c>
      <c r="K1681" t="s">
        <v>2317</v>
      </c>
      <c r="L1681" t="s">
        <v>21</v>
      </c>
    </row>
    <row r="1682" spans="1:12">
      <c r="A1682" t="s">
        <v>2320</v>
      </c>
      <c r="B1682" t="s">
        <v>2288</v>
      </c>
      <c r="C1682" t="s">
        <v>130</v>
      </c>
      <c r="D1682">
        <v>1992</v>
      </c>
      <c r="E1682" t="s">
        <v>15</v>
      </c>
      <c r="F1682" t="s">
        <v>16</v>
      </c>
      <c r="G1682" t="s">
        <v>17</v>
      </c>
      <c r="H1682" t="s">
        <v>18</v>
      </c>
      <c r="I1682">
        <v>52.643999999999998</v>
      </c>
      <c r="J1682" t="s">
        <v>19</v>
      </c>
      <c r="K1682" t="s">
        <v>2321</v>
      </c>
      <c r="L1682" t="s">
        <v>21</v>
      </c>
    </row>
    <row r="1683" spans="1:12">
      <c r="A1683" t="s">
        <v>2322</v>
      </c>
      <c r="B1683" t="s">
        <v>2288</v>
      </c>
      <c r="C1683" t="s">
        <v>130</v>
      </c>
      <c r="D1683">
        <v>1992</v>
      </c>
      <c r="E1683" t="s">
        <v>23</v>
      </c>
      <c r="F1683" t="s">
        <v>24</v>
      </c>
      <c r="G1683" t="s">
        <v>25</v>
      </c>
      <c r="H1683" t="s">
        <v>26</v>
      </c>
      <c r="I1683">
        <v>1025384</v>
      </c>
      <c r="J1683" t="s">
        <v>27</v>
      </c>
      <c r="K1683" t="s">
        <v>2321</v>
      </c>
      <c r="L1683" t="s">
        <v>21</v>
      </c>
    </row>
    <row r="1684" spans="1:12">
      <c r="A1684" t="s">
        <v>2323</v>
      </c>
      <c r="B1684" t="s">
        <v>2288</v>
      </c>
      <c r="C1684" t="s">
        <v>130</v>
      </c>
      <c r="D1684">
        <v>1992</v>
      </c>
      <c r="E1684" t="s">
        <v>29</v>
      </c>
      <c r="F1684" t="s">
        <v>30</v>
      </c>
      <c r="G1684" t="s">
        <v>31</v>
      </c>
      <c r="H1684" t="s">
        <v>32</v>
      </c>
      <c r="I1684">
        <v>665.62441260000003</v>
      </c>
      <c r="J1684" t="s">
        <v>33</v>
      </c>
      <c r="K1684" t="s">
        <v>2321</v>
      </c>
      <c r="L1684" t="s">
        <v>21</v>
      </c>
    </row>
    <row r="1685" spans="1:12">
      <c r="A1685" t="s">
        <v>2324</v>
      </c>
      <c r="B1685" t="s">
        <v>2288</v>
      </c>
      <c r="C1685" t="s">
        <v>130</v>
      </c>
      <c r="D1685">
        <v>1997</v>
      </c>
      <c r="E1685" t="s">
        <v>15</v>
      </c>
      <c r="F1685" t="s">
        <v>16</v>
      </c>
      <c r="G1685" t="s">
        <v>17</v>
      </c>
      <c r="H1685" t="s">
        <v>18</v>
      </c>
      <c r="I1685">
        <v>55.860999999999997</v>
      </c>
      <c r="J1685" t="s">
        <v>19</v>
      </c>
      <c r="K1685" t="s">
        <v>2325</v>
      </c>
      <c r="L1685" t="s">
        <v>21</v>
      </c>
    </row>
    <row r="1686" spans="1:12">
      <c r="A1686" t="s">
        <v>2326</v>
      </c>
      <c r="B1686" t="s">
        <v>2288</v>
      </c>
      <c r="C1686" t="s">
        <v>130</v>
      </c>
      <c r="D1686">
        <v>1997</v>
      </c>
      <c r="E1686" t="s">
        <v>23</v>
      </c>
      <c r="F1686" t="s">
        <v>24</v>
      </c>
      <c r="G1686" t="s">
        <v>25</v>
      </c>
      <c r="H1686" t="s">
        <v>26</v>
      </c>
      <c r="I1686">
        <v>1235767</v>
      </c>
      <c r="J1686" t="s">
        <v>27</v>
      </c>
      <c r="K1686" t="s">
        <v>2325</v>
      </c>
      <c r="L1686" t="s">
        <v>21</v>
      </c>
    </row>
    <row r="1687" spans="1:12">
      <c r="A1687" t="s">
        <v>2327</v>
      </c>
      <c r="B1687" t="s">
        <v>2288</v>
      </c>
      <c r="C1687" t="s">
        <v>130</v>
      </c>
      <c r="D1687">
        <v>1997</v>
      </c>
      <c r="E1687" t="s">
        <v>29</v>
      </c>
      <c r="F1687" t="s">
        <v>30</v>
      </c>
      <c r="G1687" t="s">
        <v>31</v>
      </c>
      <c r="H1687" t="s">
        <v>32</v>
      </c>
      <c r="I1687">
        <v>653.73017040000002</v>
      </c>
      <c r="J1687" t="s">
        <v>33</v>
      </c>
      <c r="K1687" t="s">
        <v>2325</v>
      </c>
      <c r="L1687" t="s">
        <v>21</v>
      </c>
    </row>
    <row r="1688" spans="1:12">
      <c r="A1688" t="s">
        <v>2328</v>
      </c>
      <c r="B1688" t="s">
        <v>2288</v>
      </c>
      <c r="C1688" t="s">
        <v>130</v>
      </c>
      <c r="D1688">
        <v>2002</v>
      </c>
      <c r="E1688" t="s">
        <v>15</v>
      </c>
      <c r="F1688" t="s">
        <v>16</v>
      </c>
      <c r="G1688" t="s">
        <v>17</v>
      </c>
      <c r="H1688" t="s">
        <v>18</v>
      </c>
      <c r="I1688">
        <v>58.040999999999997</v>
      </c>
      <c r="J1688" t="s">
        <v>19</v>
      </c>
      <c r="K1688" t="s">
        <v>2329</v>
      </c>
      <c r="L1688" t="s">
        <v>21</v>
      </c>
    </row>
    <row r="1689" spans="1:12">
      <c r="A1689" t="s">
        <v>2330</v>
      </c>
      <c r="B1689" t="s">
        <v>2288</v>
      </c>
      <c r="C1689" t="s">
        <v>130</v>
      </c>
      <c r="D1689">
        <v>2002</v>
      </c>
      <c r="E1689" t="s">
        <v>23</v>
      </c>
      <c r="F1689" t="s">
        <v>24</v>
      </c>
      <c r="G1689" t="s">
        <v>25</v>
      </c>
      <c r="H1689" t="s">
        <v>26</v>
      </c>
      <c r="I1689">
        <v>1457766</v>
      </c>
      <c r="J1689" t="s">
        <v>27</v>
      </c>
      <c r="K1689" t="s">
        <v>2329</v>
      </c>
      <c r="L1689" t="s">
        <v>21</v>
      </c>
    </row>
    <row r="1690" spans="1:12">
      <c r="A1690" t="s">
        <v>2331</v>
      </c>
      <c r="B1690" t="s">
        <v>2288</v>
      </c>
      <c r="C1690" t="s">
        <v>130</v>
      </c>
      <c r="D1690">
        <v>2002</v>
      </c>
      <c r="E1690" t="s">
        <v>29</v>
      </c>
      <c r="F1690" t="s">
        <v>30</v>
      </c>
      <c r="G1690" t="s">
        <v>31</v>
      </c>
      <c r="H1690" t="s">
        <v>32</v>
      </c>
      <c r="I1690">
        <v>660.58559969999999</v>
      </c>
      <c r="J1690" t="s">
        <v>33</v>
      </c>
      <c r="K1690" t="s">
        <v>2329</v>
      </c>
      <c r="L1690" t="s">
        <v>21</v>
      </c>
    </row>
    <row r="1691" spans="1:12">
      <c r="A1691" t="s">
        <v>2332</v>
      </c>
      <c r="B1691" t="s">
        <v>2288</v>
      </c>
      <c r="C1691" t="s">
        <v>130</v>
      </c>
      <c r="D1691">
        <v>2007</v>
      </c>
      <c r="E1691" t="s">
        <v>15</v>
      </c>
      <c r="F1691" t="s">
        <v>16</v>
      </c>
      <c r="G1691" t="s">
        <v>17</v>
      </c>
      <c r="H1691" t="s">
        <v>18</v>
      </c>
      <c r="I1691">
        <v>59.448</v>
      </c>
      <c r="J1691" t="s">
        <v>19</v>
      </c>
      <c r="K1691" t="s">
        <v>2333</v>
      </c>
      <c r="L1691" t="s">
        <v>21</v>
      </c>
    </row>
    <row r="1692" spans="1:12">
      <c r="A1692" t="s">
        <v>2334</v>
      </c>
      <c r="B1692" t="s">
        <v>2288</v>
      </c>
      <c r="C1692" t="s">
        <v>130</v>
      </c>
      <c r="D1692">
        <v>2007</v>
      </c>
      <c r="E1692" t="s">
        <v>23</v>
      </c>
      <c r="F1692" t="s">
        <v>24</v>
      </c>
      <c r="G1692" t="s">
        <v>25</v>
      </c>
      <c r="H1692" t="s">
        <v>26</v>
      </c>
      <c r="I1692">
        <v>1688359</v>
      </c>
      <c r="J1692" t="s">
        <v>27</v>
      </c>
      <c r="K1692" t="s">
        <v>2333</v>
      </c>
      <c r="L1692" t="s">
        <v>21</v>
      </c>
    </row>
    <row r="1693" spans="1:12">
      <c r="A1693" t="s">
        <v>2335</v>
      </c>
      <c r="B1693" t="s">
        <v>2288</v>
      </c>
      <c r="C1693" t="s">
        <v>130</v>
      </c>
      <c r="D1693">
        <v>2007</v>
      </c>
      <c r="E1693" t="s">
        <v>29</v>
      </c>
      <c r="F1693" t="s">
        <v>30</v>
      </c>
      <c r="G1693" t="s">
        <v>31</v>
      </c>
      <c r="H1693" t="s">
        <v>32</v>
      </c>
      <c r="I1693">
        <v>752.74972649999995</v>
      </c>
      <c r="J1693" t="s">
        <v>33</v>
      </c>
      <c r="K1693" t="s">
        <v>2333</v>
      </c>
      <c r="L1693" t="s">
        <v>21</v>
      </c>
    </row>
    <row r="1694" spans="1:12">
      <c r="A1694" t="s">
        <v>2336</v>
      </c>
      <c r="B1694" t="s">
        <v>2337</v>
      </c>
      <c r="C1694" t="s">
        <v>80</v>
      </c>
      <c r="D1694">
        <v>1952</v>
      </c>
      <c r="E1694" t="s">
        <v>15</v>
      </c>
      <c r="F1694" t="s">
        <v>16</v>
      </c>
      <c r="G1694" t="s">
        <v>17</v>
      </c>
      <c r="H1694" t="s">
        <v>18</v>
      </c>
      <c r="I1694">
        <v>67.5</v>
      </c>
      <c r="J1694" t="s">
        <v>19</v>
      </c>
      <c r="K1694" t="s">
        <v>2338</v>
      </c>
      <c r="L1694" t="s">
        <v>21</v>
      </c>
    </row>
    <row r="1695" spans="1:12">
      <c r="A1695" t="s">
        <v>2339</v>
      </c>
      <c r="B1695" t="s">
        <v>2337</v>
      </c>
      <c r="C1695" t="s">
        <v>80</v>
      </c>
      <c r="D1695">
        <v>1952</v>
      </c>
      <c r="E1695" t="s">
        <v>23</v>
      </c>
      <c r="F1695" t="s">
        <v>24</v>
      </c>
      <c r="G1695" t="s">
        <v>25</v>
      </c>
      <c r="H1695" t="s">
        <v>26</v>
      </c>
      <c r="I1695">
        <v>69145952</v>
      </c>
      <c r="J1695" t="s">
        <v>27</v>
      </c>
      <c r="K1695" t="s">
        <v>2338</v>
      </c>
      <c r="L1695" t="s">
        <v>21</v>
      </c>
    </row>
    <row r="1696" spans="1:12">
      <c r="A1696" t="s">
        <v>2340</v>
      </c>
      <c r="B1696" t="s">
        <v>2337</v>
      </c>
      <c r="C1696" t="s">
        <v>80</v>
      </c>
      <c r="D1696">
        <v>1952</v>
      </c>
      <c r="E1696" t="s">
        <v>29</v>
      </c>
      <c r="F1696" t="s">
        <v>30</v>
      </c>
      <c r="G1696" t="s">
        <v>31</v>
      </c>
      <c r="H1696" t="s">
        <v>32</v>
      </c>
      <c r="I1696">
        <v>7144.1143929999998</v>
      </c>
      <c r="J1696" t="s">
        <v>33</v>
      </c>
      <c r="K1696" t="s">
        <v>2338</v>
      </c>
      <c r="L1696" t="s">
        <v>21</v>
      </c>
    </row>
    <row r="1697" spans="1:12">
      <c r="A1697" t="s">
        <v>2341</v>
      </c>
      <c r="B1697" t="s">
        <v>2337</v>
      </c>
      <c r="C1697" t="s">
        <v>80</v>
      </c>
      <c r="D1697">
        <v>1957</v>
      </c>
      <c r="E1697" t="s">
        <v>15</v>
      </c>
      <c r="F1697" t="s">
        <v>16</v>
      </c>
      <c r="G1697" t="s">
        <v>17</v>
      </c>
      <c r="H1697" t="s">
        <v>18</v>
      </c>
      <c r="I1697">
        <v>69.099999999999994</v>
      </c>
      <c r="J1697" t="s">
        <v>19</v>
      </c>
      <c r="K1697" t="s">
        <v>2342</v>
      </c>
      <c r="L1697" t="s">
        <v>21</v>
      </c>
    </row>
    <row r="1698" spans="1:12">
      <c r="A1698" t="s">
        <v>2343</v>
      </c>
      <c r="B1698" t="s">
        <v>2337</v>
      </c>
      <c r="C1698" t="s">
        <v>80</v>
      </c>
      <c r="D1698">
        <v>1957</v>
      </c>
      <c r="E1698" t="s">
        <v>23</v>
      </c>
      <c r="F1698" t="s">
        <v>24</v>
      </c>
      <c r="G1698" t="s">
        <v>25</v>
      </c>
      <c r="H1698" t="s">
        <v>26</v>
      </c>
      <c r="I1698">
        <v>71019069</v>
      </c>
      <c r="J1698" t="s">
        <v>27</v>
      </c>
      <c r="K1698" t="s">
        <v>2342</v>
      </c>
      <c r="L1698" t="s">
        <v>21</v>
      </c>
    </row>
    <row r="1699" spans="1:12">
      <c r="A1699" t="s">
        <v>2344</v>
      </c>
      <c r="B1699" t="s">
        <v>2337</v>
      </c>
      <c r="C1699" t="s">
        <v>80</v>
      </c>
      <c r="D1699">
        <v>1957</v>
      </c>
      <c r="E1699" t="s">
        <v>29</v>
      </c>
      <c r="F1699" t="s">
        <v>30</v>
      </c>
      <c r="G1699" t="s">
        <v>31</v>
      </c>
      <c r="H1699" t="s">
        <v>32</v>
      </c>
      <c r="I1699">
        <v>10187.826650000001</v>
      </c>
      <c r="J1699" t="s">
        <v>33</v>
      </c>
      <c r="K1699" t="s">
        <v>2342</v>
      </c>
      <c r="L1699" t="s">
        <v>21</v>
      </c>
    </row>
    <row r="1700" spans="1:12">
      <c r="A1700" t="s">
        <v>2345</v>
      </c>
      <c r="B1700" t="s">
        <v>2337</v>
      </c>
      <c r="C1700" t="s">
        <v>80</v>
      </c>
      <c r="D1700">
        <v>1962</v>
      </c>
      <c r="E1700" t="s">
        <v>15</v>
      </c>
      <c r="F1700" t="s">
        <v>16</v>
      </c>
      <c r="G1700" t="s">
        <v>17</v>
      </c>
      <c r="H1700" t="s">
        <v>18</v>
      </c>
      <c r="I1700">
        <v>70.3</v>
      </c>
      <c r="J1700" t="s">
        <v>19</v>
      </c>
      <c r="K1700" t="s">
        <v>2346</v>
      </c>
      <c r="L1700" t="s">
        <v>21</v>
      </c>
    </row>
    <row r="1701" spans="1:12">
      <c r="A1701" t="s">
        <v>2347</v>
      </c>
      <c r="B1701" t="s">
        <v>2337</v>
      </c>
      <c r="C1701" t="s">
        <v>80</v>
      </c>
      <c r="D1701">
        <v>1962</v>
      </c>
      <c r="E1701" t="s">
        <v>23</v>
      </c>
      <c r="F1701" t="s">
        <v>24</v>
      </c>
      <c r="G1701" t="s">
        <v>25</v>
      </c>
      <c r="H1701" t="s">
        <v>26</v>
      </c>
      <c r="I1701">
        <v>73739117</v>
      </c>
      <c r="J1701" t="s">
        <v>27</v>
      </c>
      <c r="K1701" t="s">
        <v>2346</v>
      </c>
      <c r="L1701" t="s">
        <v>21</v>
      </c>
    </row>
    <row r="1702" spans="1:12">
      <c r="A1702" t="s">
        <v>2348</v>
      </c>
      <c r="B1702" t="s">
        <v>2337</v>
      </c>
      <c r="C1702" t="s">
        <v>80</v>
      </c>
      <c r="D1702">
        <v>1962</v>
      </c>
      <c r="E1702" t="s">
        <v>29</v>
      </c>
      <c r="F1702" t="s">
        <v>30</v>
      </c>
      <c r="G1702" t="s">
        <v>31</v>
      </c>
      <c r="H1702" t="s">
        <v>32</v>
      </c>
      <c r="I1702">
        <v>12902.46291</v>
      </c>
      <c r="J1702" t="s">
        <v>33</v>
      </c>
      <c r="K1702" t="s">
        <v>2346</v>
      </c>
      <c r="L1702" t="s">
        <v>21</v>
      </c>
    </row>
    <row r="1703" spans="1:12">
      <c r="A1703" t="s">
        <v>2349</v>
      </c>
      <c r="B1703" t="s">
        <v>2337</v>
      </c>
      <c r="C1703" t="s">
        <v>80</v>
      </c>
      <c r="D1703">
        <v>1967</v>
      </c>
      <c r="E1703" t="s">
        <v>15</v>
      </c>
      <c r="F1703" t="s">
        <v>16</v>
      </c>
      <c r="G1703" t="s">
        <v>17</v>
      </c>
      <c r="H1703" t="s">
        <v>18</v>
      </c>
      <c r="I1703">
        <v>70.8</v>
      </c>
      <c r="J1703" t="s">
        <v>19</v>
      </c>
      <c r="K1703" t="s">
        <v>2350</v>
      </c>
      <c r="L1703" t="s">
        <v>21</v>
      </c>
    </row>
    <row r="1704" spans="1:12">
      <c r="A1704" t="s">
        <v>2351</v>
      </c>
      <c r="B1704" t="s">
        <v>2337</v>
      </c>
      <c r="C1704" t="s">
        <v>80</v>
      </c>
      <c r="D1704">
        <v>1967</v>
      </c>
      <c r="E1704" t="s">
        <v>23</v>
      </c>
      <c r="F1704" t="s">
        <v>24</v>
      </c>
      <c r="G1704" t="s">
        <v>25</v>
      </c>
      <c r="H1704" t="s">
        <v>26</v>
      </c>
      <c r="I1704">
        <v>76368453</v>
      </c>
      <c r="J1704" t="s">
        <v>27</v>
      </c>
      <c r="K1704" t="s">
        <v>2350</v>
      </c>
      <c r="L1704" t="s">
        <v>21</v>
      </c>
    </row>
    <row r="1705" spans="1:12">
      <c r="A1705" t="s">
        <v>2352</v>
      </c>
      <c r="B1705" t="s">
        <v>2337</v>
      </c>
      <c r="C1705" t="s">
        <v>80</v>
      </c>
      <c r="D1705">
        <v>1967</v>
      </c>
      <c r="E1705" t="s">
        <v>29</v>
      </c>
      <c r="F1705" t="s">
        <v>30</v>
      </c>
      <c r="G1705" t="s">
        <v>31</v>
      </c>
      <c r="H1705" t="s">
        <v>32</v>
      </c>
      <c r="I1705">
        <v>14745.625609999999</v>
      </c>
      <c r="J1705" t="s">
        <v>33</v>
      </c>
      <c r="K1705" t="s">
        <v>2350</v>
      </c>
      <c r="L1705" t="s">
        <v>21</v>
      </c>
    </row>
    <row r="1706" spans="1:12">
      <c r="A1706" t="s">
        <v>2353</v>
      </c>
      <c r="B1706" t="s">
        <v>2337</v>
      </c>
      <c r="C1706" t="s">
        <v>80</v>
      </c>
      <c r="D1706">
        <v>1972</v>
      </c>
      <c r="E1706" t="s">
        <v>15</v>
      </c>
      <c r="F1706" t="s">
        <v>16</v>
      </c>
      <c r="G1706" t="s">
        <v>17</v>
      </c>
      <c r="H1706" t="s">
        <v>18</v>
      </c>
      <c r="I1706">
        <v>71</v>
      </c>
      <c r="J1706" t="s">
        <v>19</v>
      </c>
      <c r="K1706" t="s">
        <v>2354</v>
      </c>
      <c r="L1706" t="s">
        <v>21</v>
      </c>
    </row>
    <row r="1707" spans="1:12">
      <c r="A1707" t="s">
        <v>2355</v>
      </c>
      <c r="B1707" t="s">
        <v>2337</v>
      </c>
      <c r="C1707" t="s">
        <v>80</v>
      </c>
      <c r="D1707">
        <v>1972</v>
      </c>
      <c r="E1707" t="s">
        <v>23</v>
      </c>
      <c r="F1707" t="s">
        <v>24</v>
      </c>
      <c r="G1707" t="s">
        <v>25</v>
      </c>
      <c r="H1707" t="s">
        <v>26</v>
      </c>
      <c r="I1707">
        <v>78717088</v>
      </c>
      <c r="J1707" t="s">
        <v>27</v>
      </c>
      <c r="K1707" t="s">
        <v>2354</v>
      </c>
      <c r="L1707" t="s">
        <v>21</v>
      </c>
    </row>
    <row r="1708" spans="1:12">
      <c r="A1708" t="s">
        <v>2356</v>
      </c>
      <c r="B1708" t="s">
        <v>2337</v>
      </c>
      <c r="C1708" t="s">
        <v>80</v>
      </c>
      <c r="D1708">
        <v>1972</v>
      </c>
      <c r="E1708" t="s">
        <v>29</v>
      </c>
      <c r="F1708" t="s">
        <v>30</v>
      </c>
      <c r="G1708" t="s">
        <v>31</v>
      </c>
      <c r="H1708" t="s">
        <v>32</v>
      </c>
      <c r="I1708">
        <v>18016.180270000001</v>
      </c>
      <c r="J1708" t="s">
        <v>33</v>
      </c>
      <c r="K1708" t="s">
        <v>2354</v>
      </c>
      <c r="L1708" t="s">
        <v>21</v>
      </c>
    </row>
    <row r="1709" spans="1:12">
      <c r="A1709" t="s">
        <v>2357</v>
      </c>
      <c r="B1709" t="s">
        <v>2337</v>
      </c>
      <c r="C1709" t="s">
        <v>80</v>
      </c>
      <c r="D1709">
        <v>1977</v>
      </c>
      <c r="E1709" t="s">
        <v>15</v>
      </c>
      <c r="F1709" t="s">
        <v>16</v>
      </c>
      <c r="G1709" t="s">
        <v>17</v>
      </c>
      <c r="H1709" t="s">
        <v>18</v>
      </c>
      <c r="I1709">
        <v>72.5</v>
      </c>
      <c r="J1709" t="s">
        <v>19</v>
      </c>
      <c r="K1709" t="s">
        <v>2358</v>
      </c>
      <c r="L1709" t="s">
        <v>21</v>
      </c>
    </row>
    <row r="1710" spans="1:12">
      <c r="A1710" t="s">
        <v>2359</v>
      </c>
      <c r="B1710" t="s">
        <v>2337</v>
      </c>
      <c r="C1710" t="s">
        <v>80</v>
      </c>
      <c r="D1710">
        <v>1977</v>
      </c>
      <c r="E1710" t="s">
        <v>23</v>
      </c>
      <c r="F1710" t="s">
        <v>24</v>
      </c>
      <c r="G1710" t="s">
        <v>25</v>
      </c>
      <c r="H1710" t="s">
        <v>26</v>
      </c>
      <c r="I1710">
        <v>78160773</v>
      </c>
      <c r="J1710" t="s">
        <v>27</v>
      </c>
      <c r="K1710" t="s">
        <v>2358</v>
      </c>
      <c r="L1710" t="s">
        <v>21</v>
      </c>
    </row>
    <row r="1711" spans="1:12">
      <c r="A1711" t="s">
        <v>2360</v>
      </c>
      <c r="B1711" t="s">
        <v>2337</v>
      </c>
      <c r="C1711" t="s">
        <v>80</v>
      </c>
      <c r="D1711">
        <v>1977</v>
      </c>
      <c r="E1711" t="s">
        <v>29</v>
      </c>
      <c r="F1711" t="s">
        <v>30</v>
      </c>
      <c r="G1711" t="s">
        <v>31</v>
      </c>
      <c r="H1711" t="s">
        <v>32</v>
      </c>
      <c r="I1711">
        <v>20512.92123</v>
      </c>
      <c r="J1711" t="s">
        <v>33</v>
      </c>
      <c r="K1711" t="s">
        <v>2358</v>
      </c>
      <c r="L1711" t="s">
        <v>21</v>
      </c>
    </row>
    <row r="1712" spans="1:12">
      <c r="A1712" t="s">
        <v>2361</v>
      </c>
      <c r="B1712" t="s">
        <v>2337</v>
      </c>
      <c r="C1712" t="s">
        <v>80</v>
      </c>
      <c r="D1712">
        <v>1982</v>
      </c>
      <c r="E1712" t="s">
        <v>15</v>
      </c>
      <c r="F1712" t="s">
        <v>16</v>
      </c>
      <c r="G1712" t="s">
        <v>17</v>
      </c>
      <c r="H1712" t="s">
        <v>18</v>
      </c>
      <c r="I1712">
        <v>73.8</v>
      </c>
      <c r="J1712" t="s">
        <v>19</v>
      </c>
      <c r="K1712" t="s">
        <v>2362</v>
      </c>
      <c r="L1712" t="s">
        <v>21</v>
      </c>
    </row>
    <row r="1713" spans="1:12">
      <c r="A1713" t="s">
        <v>2363</v>
      </c>
      <c r="B1713" t="s">
        <v>2337</v>
      </c>
      <c r="C1713" t="s">
        <v>80</v>
      </c>
      <c r="D1713">
        <v>1982</v>
      </c>
      <c r="E1713" t="s">
        <v>23</v>
      </c>
      <c r="F1713" t="s">
        <v>24</v>
      </c>
      <c r="G1713" t="s">
        <v>25</v>
      </c>
      <c r="H1713" t="s">
        <v>26</v>
      </c>
      <c r="I1713">
        <v>78335266</v>
      </c>
      <c r="J1713" t="s">
        <v>27</v>
      </c>
      <c r="K1713" t="s">
        <v>2362</v>
      </c>
      <c r="L1713" t="s">
        <v>21</v>
      </c>
    </row>
    <row r="1714" spans="1:12">
      <c r="A1714" t="s">
        <v>2364</v>
      </c>
      <c r="B1714" t="s">
        <v>2337</v>
      </c>
      <c r="C1714" t="s">
        <v>80</v>
      </c>
      <c r="D1714">
        <v>1982</v>
      </c>
      <c r="E1714" t="s">
        <v>29</v>
      </c>
      <c r="F1714" t="s">
        <v>30</v>
      </c>
      <c r="G1714" t="s">
        <v>31</v>
      </c>
      <c r="H1714" t="s">
        <v>32</v>
      </c>
      <c r="I1714">
        <v>22031.532739999999</v>
      </c>
      <c r="J1714" t="s">
        <v>33</v>
      </c>
      <c r="K1714" t="s">
        <v>2362</v>
      </c>
      <c r="L1714" t="s">
        <v>21</v>
      </c>
    </row>
    <row r="1715" spans="1:12">
      <c r="A1715" t="s">
        <v>2365</v>
      </c>
      <c r="B1715" t="s">
        <v>2337</v>
      </c>
      <c r="C1715" t="s">
        <v>80</v>
      </c>
      <c r="D1715">
        <v>1987</v>
      </c>
      <c r="E1715" t="s">
        <v>15</v>
      </c>
      <c r="F1715" t="s">
        <v>16</v>
      </c>
      <c r="G1715" t="s">
        <v>17</v>
      </c>
      <c r="H1715" t="s">
        <v>18</v>
      </c>
      <c r="I1715">
        <v>74.846999999999994</v>
      </c>
      <c r="J1715" t="s">
        <v>19</v>
      </c>
      <c r="K1715" t="s">
        <v>2366</v>
      </c>
      <c r="L1715" t="s">
        <v>21</v>
      </c>
    </row>
    <row r="1716" spans="1:12">
      <c r="A1716" t="s">
        <v>2367</v>
      </c>
      <c r="B1716" t="s">
        <v>2337</v>
      </c>
      <c r="C1716" t="s">
        <v>80</v>
      </c>
      <c r="D1716">
        <v>1987</v>
      </c>
      <c r="E1716" t="s">
        <v>23</v>
      </c>
      <c r="F1716" t="s">
        <v>24</v>
      </c>
      <c r="G1716" t="s">
        <v>25</v>
      </c>
      <c r="H1716" t="s">
        <v>26</v>
      </c>
      <c r="I1716">
        <v>77718298</v>
      </c>
      <c r="J1716" t="s">
        <v>27</v>
      </c>
      <c r="K1716" t="s">
        <v>2366</v>
      </c>
      <c r="L1716" t="s">
        <v>21</v>
      </c>
    </row>
    <row r="1717" spans="1:12">
      <c r="A1717" t="s">
        <v>2368</v>
      </c>
      <c r="B1717" t="s">
        <v>2337</v>
      </c>
      <c r="C1717" t="s">
        <v>80</v>
      </c>
      <c r="D1717">
        <v>1987</v>
      </c>
      <c r="E1717" t="s">
        <v>29</v>
      </c>
      <c r="F1717" t="s">
        <v>30</v>
      </c>
      <c r="G1717" t="s">
        <v>31</v>
      </c>
      <c r="H1717" t="s">
        <v>32</v>
      </c>
      <c r="I1717">
        <v>24639.185659999999</v>
      </c>
      <c r="J1717" t="s">
        <v>33</v>
      </c>
      <c r="K1717" t="s">
        <v>2366</v>
      </c>
      <c r="L1717" t="s">
        <v>21</v>
      </c>
    </row>
    <row r="1718" spans="1:12">
      <c r="A1718" t="s">
        <v>2369</v>
      </c>
      <c r="B1718" t="s">
        <v>2337</v>
      </c>
      <c r="C1718" t="s">
        <v>80</v>
      </c>
      <c r="D1718">
        <v>1992</v>
      </c>
      <c r="E1718" t="s">
        <v>15</v>
      </c>
      <c r="F1718" t="s">
        <v>16</v>
      </c>
      <c r="G1718" t="s">
        <v>17</v>
      </c>
      <c r="H1718" t="s">
        <v>18</v>
      </c>
      <c r="I1718">
        <v>76.069999999999993</v>
      </c>
      <c r="J1718" t="s">
        <v>19</v>
      </c>
      <c r="K1718" t="s">
        <v>2370</v>
      </c>
      <c r="L1718" t="s">
        <v>21</v>
      </c>
    </row>
    <row r="1719" spans="1:12">
      <c r="A1719" t="s">
        <v>2371</v>
      </c>
      <c r="B1719" t="s">
        <v>2337</v>
      </c>
      <c r="C1719" t="s">
        <v>80</v>
      </c>
      <c r="D1719">
        <v>1992</v>
      </c>
      <c r="E1719" t="s">
        <v>23</v>
      </c>
      <c r="F1719" t="s">
        <v>24</v>
      </c>
      <c r="G1719" t="s">
        <v>25</v>
      </c>
      <c r="H1719" t="s">
        <v>26</v>
      </c>
      <c r="I1719">
        <v>80597764</v>
      </c>
      <c r="J1719" t="s">
        <v>27</v>
      </c>
      <c r="K1719" t="s">
        <v>2370</v>
      </c>
      <c r="L1719" t="s">
        <v>21</v>
      </c>
    </row>
    <row r="1720" spans="1:12">
      <c r="A1720" t="s">
        <v>2372</v>
      </c>
      <c r="B1720" t="s">
        <v>2337</v>
      </c>
      <c r="C1720" t="s">
        <v>80</v>
      </c>
      <c r="D1720">
        <v>1992</v>
      </c>
      <c r="E1720" t="s">
        <v>29</v>
      </c>
      <c r="F1720" t="s">
        <v>30</v>
      </c>
      <c r="G1720" t="s">
        <v>31</v>
      </c>
      <c r="H1720" t="s">
        <v>32</v>
      </c>
      <c r="I1720">
        <v>26505.303169999999</v>
      </c>
      <c r="J1720" t="s">
        <v>33</v>
      </c>
      <c r="K1720" t="s">
        <v>2370</v>
      </c>
      <c r="L1720" t="s">
        <v>21</v>
      </c>
    </row>
    <row r="1721" spans="1:12">
      <c r="A1721" t="s">
        <v>2373</v>
      </c>
      <c r="B1721" t="s">
        <v>2337</v>
      </c>
      <c r="C1721" t="s">
        <v>80</v>
      </c>
      <c r="D1721">
        <v>1997</v>
      </c>
      <c r="E1721" t="s">
        <v>15</v>
      </c>
      <c r="F1721" t="s">
        <v>16</v>
      </c>
      <c r="G1721" t="s">
        <v>17</v>
      </c>
      <c r="H1721" t="s">
        <v>18</v>
      </c>
      <c r="I1721">
        <v>77.34</v>
      </c>
      <c r="J1721" t="s">
        <v>19</v>
      </c>
      <c r="K1721" t="s">
        <v>2374</v>
      </c>
      <c r="L1721" t="s">
        <v>21</v>
      </c>
    </row>
    <row r="1722" spans="1:12">
      <c r="A1722" t="s">
        <v>2375</v>
      </c>
      <c r="B1722" t="s">
        <v>2337</v>
      </c>
      <c r="C1722" t="s">
        <v>80</v>
      </c>
      <c r="D1722">
        <v>1997</v>
      </c>
      <c r="E1722" t="s">
        <v>23</v>
      </c>
      <c r="F1722" t="s">
        <v>24</v>
      </c>
      <c r="G1722" t="s">
        <v>25</v>
      </c>
      <c r="H1722" t="s">
        <v>26</v>
      </c>
      <c r="I1722">
        <v>82011073</v>
      </c>
      <c r="J1722" t="s">
        <v>27</v>
      </c>
      <c r="K1722" t="s">
        <v>2374</v>
      </c>
      <c r="L1722" t="s">
        <v>21</v>
      </c>
    </row>
    <row r="1723" spans="1:12">
      <c r="A1723" t="s">
        <v>2376</v>
      </c>
      <c r="B1723" t="s">
        <v>2337</v>
      </c>
      <c r="C1723" t="s">
        <v>80</v>
      </c>
      <c r="D1723">
        <v>1997</v>
      </c>
      <c r="E1723" t="s">
        <v>29</v>
      </c>
      <c r="F1723" t="s">
        <v>30</v>
      </c>
      <c r="G1723" t="s">
        <v>31</v>
      </c>
      <c r="H1723" t="s">
        <v>32</v>
      </c>
      <c r="I1723">
        <v>27788.884160000001</v>
      </c>
      <c r="J1723" t="s">
        <v>33</v>
      </c>
      <c r="K1723" t="s">
        <v>2374</v>
      </c>
      <c r="L1723" t="s">
        <v>21</v>
      </c>
    </row>
    <row r="1724" spans="1:12">
      <c r="A1724" t="s">
        <v>2377</v>
      </c>
      <c r="B1724" t="s">
        <v>2337</v>
      </c>
      <c r="C1724" t="s">
        <v>80</v>
      </c>
      <c r="D1724">
        <v>2002</v>
      </c>
      <c r="E1724" t="s">
        <v>15</v>
      </c>
      <c r="F1724" t="s">
        <v>16</v>
      </c>
      <c r="G1724" t="s">
        <v>17</v>
      </c>
      <c r="H1724" t="s">
        <v>18</v>
      </c>
      <c r="I1724">
        <v>78.67</v>
      </c>
      <c r="J1724" t="s">
        <v>19</v>
      </c>
      <c r="K1724" t="s">
        <v>2378</v>
      </c>
      <c r="L1724" t="s">
        <v>21</v>
      </c>
    </row>
    <row r="1725" spans="1:12">
      <c r="A1725" t="s">
        <v>2379</v>
      </c>
      <c r="B1725" t="s">
        <v>2337</v>
      </c>
      <c r="C1725" t="s">
        <v>80</v>
      </c>
      <c r="D1725">
        <v>2002</v>
      </c>
      <c r="E1725" t="s">
        <v>23</v>
      </c>
      <c r="F1725" t="s">
        <v>24</v>
      </c>
      <c r="G1725" t="s">
        <v>25</v>
      </c>
      <c r="H1725" t="s">
        <v>26</v>
      </c>
      <c r="I1725">
        <v>82350671</v>
      </c>
      <c r="J1725" t="s">
        <v>27</v>
      </c>
      <c r="K1725" t="s">
        <v>2378</v>
      </c>
      <c r="L1725" t="s">
        <v>21</v>
      </c>
    </row>
    <row r="1726" spans="1:12">
      <c r="A1726" t="s">
        <v>2380</v>
      </c>
      <c r="B1726" t="s">
        <v>2337</v>
      </c>
      <c r="C1726" t="s">
        <v>80</v>
      </c>
      <c r="D1726">
        <v>2002</v>
      </c>
      <c r="E1726" t="s">
        <v>29</v>
      </c>
      <c r="F1726" t="s">
        <v>30</v>
      </c>
      <c r="G1726" t="s">
        <v>31</v>
      </c>
      <c r="H1726" t="s">
        <v>32</v>
      </c>
      <c r="I1726">
        <v>30035.80198</v>
      </c>
      <c r="J1726" t="s">
        <v>33</v>
      </c>
      <c r="K1726" t="s">
        <v>2378</v>
      </c>
      <c r="L1726" t="s">
        <v>21</v>
      </c>
    </row>
    <row r="1727" spans="1:12">
      <c r="A1727" t="s">
        <v>2381</v>
      </c>
      <c r="B1727" t="s">
        <v>2337</v>
      </c>
      <c r="C1727" t="s">
        <v>80</v>
      </c>
      <c r="D1727">
        <v>2007</v>
      </c>
      <c r="E1727" t="s">
        <v>15</v>
      </c>
      <c r="F1727" t="s">
        <v>16</v>
      </c>
      <c r="G1727" t="s">
        <v>17</v>
      </c>
      <c r="H1727" t="s">
        <v>18</v>
      </c>
      <c r="I1727">
        <v>79.406000000000006</v>
      </c>
      <c r="J1727" t="s">
        <v>19</v>
      </c>
      <c r="K1727" t="s">
        <v>2382</v>
      </c>
      <c r="L1727" t="s">
        <v>21</v>
      </c>
    </row>
    <row r="1728" spans="1:12">
      <c r="A1728" t="s">
        <v>2383</v>
      </c>
      <c r="B1728" t="s">
        <v>2337</v>
      </c>
      <c r="C1728" t="s">
        <v>80</v>
      </c>
      <c r="D1728">
        <v>2007</v>
      </c>
      <c r="E1728" t="s">
        <v>23</v>
      </c>
      <c r="F1728" t="s">
        <v>24</v>
      </c>
      <c r="G1728" t="s">
        <v>25</v>
      </c>
      <c r="H1728" t="s">
        <v>26</v>
      </c>
      <c r="I1728">
        <v>82400996</v>
      </c>
      <c r="J1728" t="s">
        <v>27</v>
      </c>
      <c r="K1728" t="s">
        <v>2382</v>
      </c>
      <c r="L1728" t="s">
        <v>21</v>
      </c>
    </row>
    <row r="1729" spans="1:12">
      <c r="A1729" t="s">
        <v>2384</v>
      </c>
      <c r="B1729" t="s">
        <v>2337</v>
      </c>
      <c r="C1729" t="s">
        <v>80</v>
      </c>
      <c r="D1729">
        <v>2007</v>
      </c>
      <c r="E1729" t="s">
        <v>29</v>
      </c>
      <c r="F1729" t="s">
        <v>30</v>
      </c>
      <c r="G1729" t="s">
        <v>31</v>
      </c>
      <c r="H1729" t="s">
        <v>32</v>
      </c>
      <c r="I1729">
        <v>32170.37442</v>
      </c>
      <c r="J1729" t="s">
        <v>33</v>
      </c>
      <c r="K1729" t="s">
        <v>2382</v>
      </c>
      <c r="L1729" t="s">
        <v>21</v>
      </c>
    </row>
    <row r="1730" spans="1:12">
      <c r="A1730" t="s">
        <v>2385</v>
      </c>
      <c r="B1730" t="s">
        <v>2386</v>
      </c>
      <c r="C1730" t="s">
        <v>130</v>
      </c>
      <c r="D1730">
        <v>1952</v>
      </c>
      <c r="E1730" t="s">
        <v>15</v>
      </c>
      <c r="F1730" t="s">
        <v>16</v>
      </c>
      <c r="G1730" t="s">
        <v>17</v>
      </c>
      <c r="H1730" t="s">
        <v>18</v>
      </c>
      <c r="I1730">
        <v>43.149000000000001</v>
      </c>
      <c r="J1730" t="s">
        <v>19</v>
      </c>
      <c r="K1730" t="s">
        <v>2387</v>
      </c>
      <c r="L1730" t="s">
        <v>21</v>
      </c>
    </row>
    <row r="1731" spans="1:12">
      <c r="A1731" t="s">
        <v>2388</v>
      </c>
      <c r="B1731" t="s">
        <v>2386</v>
      </c>
      <c r="C1731" t="s">
        <v>130</v>
      </c>
      <c r="D1731">
        <v>1952</v>
      </c>
      <c r="E1731" t="s">
        <v>23</v>
      </c>
      <c r="F1731" t="s">
        <v>24</v>
      </c>
      <c r="G1731" t="s">
        <v>25</v>
      </c>
      <c r="H1731" t="s">
        <v>26</v>
      </c>
      <c r="I1731">
        <v>5581001</v>
      </c>
      <c r="J1731" t="s">
        <v>27</v>
      </c>
      <c r="K1731" t="s">
        <v>2387</v>
      </c>
      <c r="L1731" t="s">
        <v>21</v>
      </c>
    </row>
    <row r="1732" spans="1:12">
      <c r="A1732" t="s">
        <v>2389</v>
      </c>
      <c r="B1732" t="s">
        <v>2386</v>
      </c>
      <c r="C1732" t="s">
        <v>130</v>
      </c>
      <c r="D1732">
        <v>1952</v>
      </c>
      <c r="E1732" t="s">
        <v>29</v>
      </c>
      <c r="F1732" t="s">
        <v>30</v>
      </c>
      <c r="G1732" t="s">
        <v>31</v>
      </c>
      <c r="H1732" t="s">
        <v>32</v>
      </c>
      <c r="I1732">
        <v>911.29893709999999</v>
      </c>
      <c r="J1732" t="s">
        <v>33</v>
      </c>
      <c r="K1732" t="s">
        <v>2387</v>
      </c>
      <c r="L1732" t="s">
        <v>21</v>
      </c>
    </row>
    <row r="1733" spans="1:12">
      <c r="A1733" t="s">
        <v>2390</v>
      </c>
      <c r="B1733" t="s">
        <v>2386</v>
      </c>
      <c r="C1733" t="s">
        <v>130</v>
      </c>
      <c r="D1733">
        <v>1957</v>
      </c>
      <c r="E1733" t="s">
        <v>15</v>
      </c>
      <c r="F1733" t="s">
        <v>16</v>
      </c>
      <c r="G1733" t="s">
        <v>17</v>
      </c>
      <c r="H1733" t="s">
        <v>18</v>
      </c>
      <c r="I1733">
        <v>44.779000000000003</v>
      </c>
      <c r="J1733" t="s">
        <v>19</v>
      </c>
      <c r="K1733" t="s">
        <v>2391</v>
      </c>
      <c r="L1733" t="s">
        <v>21</v>
      </c>
    </row>
    <row r="1734" spans="1:12">
      <c r="A1734" t="s">
        <v>2392</v>
      </c>
      <c r="B1734" t="s">
        <v>2386</v>
      </c>
      <c r="C1734" t="s">
        <v>130</v>
      </c>
      <c r="D1734">
        <v>1957</v>
      </c>
      <c r="E1734" t="s">
        <v>23</v>
      </c>
      <c r="F1734" t="s">
        <v>24</v>
      </c>
      <c r="G1734" t="s">
        <v>25</v>
      </c>
      <c r="H1734" t="s">
        <v>26</v>
      </c>
      <c r="I1734">
        <v>6391288</v>
      </c>
      <c r="J1734" t="s">
        <v>27</v>
      </c>
      <c r="K1734" t="s">
        <v>2391</v>
      </c>
      <c r="L1734" t="s">
        <v>21</v>
      </c>
    </row>
    <row r="1735" spans="1:12">
      <c r="A1735" t="s">
        <v>2393</v>
      </c>
      <c r="B1735" t="s">
        <v>2386</v>
      </c>
      <c r="C1735" t="s">
        <v>130</v>
      </c>
      <c r="D1735">
        <v>1957</v>
      </c>
      <c r="E1735" t="s">
        <v>29</v>
      </c>
      <c r="F1735" t="s">
        <v>30</v>
      </c>
      <c r="G1735" t="s">
        <v>31</v>
      </c>
      <c r="H1735" t="s">
        <v>32</v>
      </c>
      <c r="I1735">
        <v>1043.56153699999</v>
      </c>
      <c r="J1735" t="s">
        <v>33</v>
      </c>
      <c r="K1735" t="s">
        <v>2391</v>
      </c>
      <c r="L1735" t="s">
        <v>21</v>
      </c>
    </row>
    <row r="1736" spans="1:12">
      <c r="A1736" t="s">
        <v>2394</v>
      </c>
      <c r="B1736" t="s">
        <v>2386</v>
      </c>
      <c r="C1736" t="s">
        <v>130</v>
      </c>
      <c r="D1736">
        <v>1962</v>
      </c>
      <c r="E1736" t="s">
        <v>15</v>
      </c>
      <c r="F1736" t="s">
        <v>16</v>
      </c>
      <c r="G1736" t="s">
        <v>17</v>
      </c>
      <c r="H1736" t="s">
        <v>18</v>
      </c>
      <c r="I1736">
        <v>46.451999999999998</v>
      </c>
      <c r="J1736" t="s">
        <v>19</v>
      </c>
      <c r="K1736" t="s">
        <v>2395</v>
      </c>
      <c r="L1736" t="s">
        <v>21</v>
      </c>
    </row>
    <row r="1737" spans="1:12">
      <c r="A1737" t="s">
        <v>2396</v>
      </c>
      <c r="B1737" t="s">
        <v>2386</v>
      </c>
      <c r="C1737" t="s">
        <v>130</v>
      </c>
      <c r="D1737">
        <v>1962</v>
      </c>
      <c r="E1737" t="s">
        <v>23</v>
      </c>
      <c r="F1737" t="s">
        <v>24</v>
      </c>
      <c r="G1737" t="s">
        <v>25</v>
      </c>
      <c r="H1737" t="s">
        <v>26</v>
      </c>
      <c r="I1737">
        <v>7355248</v>
      </c>
      <c r="J1737" t="s">
        <v>27</v>
      </c>
      <c r="K1737" t="s">
        <v>2395</v>
      </c>
      <c r="L1737" t="s">
        <v>21</v>
      </c>
    </row>
    <row r="1738" spans="1:12">
      <c r="A1738" t="s">
        <v>2397</v>
      </c>
      <c r="B1738" t="s">
        <v>2386</v>
      </c>
      <c r="C1738" t="s">
        <v>130</v>
      </c>
      <c r="D1738">
        <v>1962</v>
      </c>
      <c r="E1738" t="s">
        <v>29</v>
      </c>
      <c r="F1738" t="s">
        <v>30</v>
      </c>
      <c r="G1738" t="s">
        <v>31</v>
      </c>
      <c r="H1738" t="s">
        <v>32</v>
      </c>
      <c r="I1738">
        <v>1190.0411180000001</v>
      </c>
      <c r="J1738" t="s">
        <v>33</v>
      </c>
      <c r="K1738" t="s">
        <v>2395</v>
      </c>
      <c r="L1738" t="s">
        <v>21</v>
      </c>
    </row>
    <row r="1739" spans="1:12">
      <c r="A1739" t="s">
        <v>2398</v>
      </c>
      <c r="B1739" t="s">
        <v>2386</v>
      </c>
      <c r="C1739" t="s">
        <v>130</v>
      </c>
      <c r="D1739">
        <v>1967</v>
      </c>
      <c r="E1739" t="s">
        <v>15</v>
      </c>
      <c r="F1739" t="s">
        <v>16</v>
      </c>
      <c r="G1739" t="s">
        <v>17</v>
      </c>
      <c r="H1739" t="s">
        <v>18</v>
      </c>
      <c r="I1739">
        <v>48.072000000000003</v>
      </c>
      <c r="J1739" t="s">
        <v>19</v>
      </c>
      <c r="K1739" t="s">
        <v>2399</v>
      </c>
      <c r="L1739" t="s">
        <v>21</v>
      </c>
    </row>
    <row r="1740" spans="1:12">
      <c r="A1740" t="s">
        <v>2400</v>
      </c>
      <c r="B1740" t="s">
        <v>2386</v>
      </c>
      <c r="C1740" t="s">
        <v>130</v>
      </c>
      <c r="D1740">
        <v>1967</v>
      </c>
      <c r="E1740" t="s">
        <v>23</v>
      </c>
      <c r="F1740" t="s">
        <v>24</v>
      </c>
      <c r="G1740" t="s">
        <v>25</v>
      </c>
      <c r="H1740" t="s">
        <v>26</v>
      </c>
      <c r="I1740">
        <v>8490213</v>
      </c>
      <c r="J1740" t="s">
        <v>27</v>
      </c>
      <c r="K1740" t="s">
        <v>2399</v>
      </c>
      <c r="L1740" t="s">
        <v>21</v>
      </c>
    </row>
    <row r="1741" spans="1:12">
      <c r="A1741" t="s">
        <v>2401</v>
      </c>
      <c r="B1741" t="s">
        <v>2386</v>
      </c>
      <c r="C1741" t="s">
        <v>130</v>
      </c>
      <c r="D1741">
        <v>1967</v>
      </c>
      <c r="E1741" t="s">
        <v>29</v>
      </c>
      <c r="F1741" t="s">
        <v>30</v>
      </c>
      <c r="G1741" t="s">
        <v>31</v>
      </c>
      <c r="H1741" t="s">
        <v>32</v>
      </c>
      <c r="I1741">
        <v>1125.6971599999999</v>
      </c>
      <c r="J1741" t="s">
        <v>33</v>
      </c>
      <c r="K1741" t="s">
        <v>2399</v>
      </c>
      <c r="L1741" t="s">
        <v>21</v>
      </c>
    </row>
    <row r="1742" spans="1:12">
      <c r="A1742" t="s">
        <v>2402</v>
      </c>
      <c r="B1742" t="s">
        <v>2386</v>
      </c>
      <c r="C1742" t="s">
        <v>130</v>
      </c>
      <c r="D1742">
        <v>1972</v>
      </c>
      <c r="E1742" t="s">
        <v>15</v>
      </c>
      <c r="F1742" t="s">
        <v>16</v>
      </c>
      <c r="G1742" t="s">
        <v>17</v>
      </c>
      <c r="H1742" t="s">
        <v>18</v>
      </c>
      <c r="I1742">
        <v>49.875</v>
      </c>
      <c r="J1742" t="s">
        <v>19</v>
      </c>
      <c r="K1742" t="s">
        <v>2403</v>
      </c>
      <c r="L1742" t="s">
        <v>21</v>
      </c>
    </row>
    <row r="1743" spans="1:12">
      <c r="A1743" t="s">
        <v>2404</v>
      </c>
      <c r="B1743" t="s">
        <v>2386</v>
      </c>
      <c r="C1743" t="s">
        <v>130</v>
      </c>
      <c r="D1743">
        <v>1972</v>
      </c>
      <c r="E1743" t="s">
        <v>23</v>
      </c>
      <c r="F1743" t="s">
        <v>24</v>
      </c>
      <c r="G1743" t="s">
        <v>25</v>
      </c>
      <c r="H1743" t="s">
        <v>26</v>
      </c>
      <c r="I1743">
        <v>9354120</v>
      </c>
      <c r="J1743" t="s">
        <v>27</v>
      </c>
      <c r="K1743" t="s">
        <v>2403</v>
      </c>
      <c r="L1743" t="s">
        <v>21</v>
      </c>
    </row>
    <row r="1744" spans="1:12">
      <c r="A1744" t="s">
        <v>2405</v>
      </c>
      <c r="B1744" t="s">
        <v>2386</v>
      </c>
      <c r="C1744" t="s">
        <v>130</v>
      </c>
      <c r="D1744">
        <v>1972</v>
      </c>
      <c r="E1744" t="s">
        <v>29</v>
      </c>
      <c r="F1744" t="s">
        <v>30</v>
      </c>
      <c r="G1744" t="s">
        <v>31</v>
      </c>
      <c r="H1744" t="s">
        <v>32</v>
      </c>
      <c r="I1744">
        <v>1178.223708</v>
      </c>
      <c r="J1744" t="s">
        <v>33</v>
      </c>
      <c r="K1744" t="s">
        <v>2403</v>
      </c>
      <c r="L1744" t="s">
        <v>21</v>
      </c>
    </row>
    <row r="1745" spans="1:12">
      <c r="A1745" t="s">
        <v>2406</v>
      </c>
      <c r="B1745" t="s">
        <v>2386</v>
      </c>
      <c r="C1745" t="s">
        <v>130</v>
      </c>
      <c r="D1745">
        <v>1977</v>
      </c>
      <c r="E1745" t="s">
        <v>15</v>
      </c>
      <c r="F1745" t="s">
        <v>16</v>
      </c>
      <c r="G1745" t="s">
        <v>17</v>
      </c>
      <c r="H1745" t="s">
        <v>18</v>
      </c>
      <c r="I1745">
        <v>51.756</v>
      </c>
      <c r="J1745" t="s">
        <v>19</v>
      </c>
      <c r="K1745" t="s">
        <v>2407</v>
      </c>
      <c r="L1745" t="s">
        <v>21</v>
      </c>
    </row>
    <row r="1746" spans="1:12">
      <c r="A1746" t="s">
        <v>2408</v>
      </c>
      <c r="B1746" t="s">
        <v>2386</v>
      </c>
      <c r="C1746" t="s">
        <v>130</v>
      </c>
      <c r="D1746">
        <v>1977</v>
      </c>
      <c r="E1746" t="s">
        <v>23</v>
      </c>
      <c r="F1746" t="s">
        <v>24</v>
      </c>
      <c r="G1746" t="s">
        <v>25</v>
      </c>
      <c r="H1746" t="s">
        <v>26</v>
      </c>
      <c r="I1746">
        <v>10538093</v>
      </c>
      <c r="J1746" t="s">
        <v>27</v>
      </c>
      <c r="K1746" t="s">
        <v>2407</v>
      </c>
      <c r="L1746" t="s">
        <v>21</v>
      </c>
    </row>
    <row r="1747" spans="1:12">
      <c r="A1747" t="s">
        <v>2409</v>
      </c>
      <c r="B1747" t="s">
        <v>2386</v>
      </c>
      <c r="C1747" t="s">
        <v>130</v>
      </c>
      <c r="D1747">
        <v>1977</v>
      </c>
      <c r="E1747" t="s">
        <v>29</v>
      </c>
      <c r="F1747" t="s">
        <v>30</v>
      </c>
      <c r="G1747" t="s">
        <v>31</v>
      </c>
      <c r="H1747" t="s">
        <v>32</v>
      </c>
      <c r="I1747">
        <v>993.22395710000001</v>
      </c>
      <c r="J1747" t="s">
        <v>33</v>
      </c>
      <c r="K1747" t="s">
        <v>2407</v>
      </c>
      <c r="L1747" t="s">
        <v>21</v>
      </c>
    </row>
    <row r="1748" spans="1:12">
      <c r="A1748" t="s">
        <v>2410</v>
      </c>
      <c r="B1748" t="s">
        <v>2386</v>
      </c>
      <c r="C1748" t="s">
        <v>130</v>
      </c>
      <c r="D1748">
        <v>1982</v>
      </c>
      <c r="E1748" t="s">
        <v>15</v>
      </c>
      <c r="F1748" t="s">
        <v>16</v>
      </c>
      <c r="G1748" t="s">
        <v>17</v>
      </c>
      <c r="H1748" t="s">
        <v>18</v>
      </c>
      <c r="I1748">
        <v>53.744</v>
      </c>
      <c r="J1748" t="s">
        <v>19</v>
      </c>
      <c r="K1748" t="s">
        <v>2411</v>
      </c>
      <c r="L1748" t="s">
        <v>21</v>
      </c>
    </row>
    <row r="1749" spans="1:12">
      <c r="A1749" t="s">
        <v>2412</v>
      </c>
      <c r="B1749" t="s">
        <v>2386</v>
      </c>
      <c r="C1749" t="s">
        <v>130</v>
      </c>
      <c r="D1749">
        <v>1982</v>
      </c>
      <c r="E1749" t="s">
        <v>23</v>
      </c>
      <c r="F1749" t="s">
        <v>24</v>
      </c>
      <c r="G1749" t="s">
        <v>25</v>
      </c>
      <c r="H1749" t="s">
        <v>26</v>
      </c>
      <c r="I1749">
        <v>11400338</v>
      </c>
      <c r="J1749" t="s">
        <v>27</v>
      </c>
      <c r="K1749" t="s">
        <v>2411</v>
      </c>
      <c r="L1749" t="s">
        <v>21</v>
      </c>
    </row>
    <row r="1750" spans="1:12">
      <c r="A1750" t="s">
        <v>2413</v>
      </c>
      <c r="B1750" t="s">
        <v>2386</v>
      </c>
      <c r="C1750" t="s">
        <v>130</v>
      </c>
      <c r="D1750">
        <v>1982</v>
      </c>
      <c r="E1750" t="s">
        <v>29</v>
      </c>
      <c r="F1750" t="s">
        <v>30</v>
      </c>
      <c r="G1750" t="s">
        <v>31</v>
      </c>
      <c r="H1750" t="s">
        <v>32</v>
      </c>
      <c r="I1750">
        <v>876.03256899999997</v>
      </c>
      <c r="J1750" t="s">
        <v>33</v>
      </c>
      <c r="K1750" t="s">
        <v>2411</v>
      </c>
      <c r="L1750" t="s">
        <v>21</v>
      </c>
    </row>
    <row r="1751" spans="1:12">
      <c r="A1751" t="s">
        <v>2414</v>
      </c>
      <c r="B1751" t="s">
        <v>2386</v>
      </c>
      <c r="C1751" t="s">
        <v>130</v>
      </c>
      <c r="D1751">
        <v>1987</v>
      </c>
      <c r="E1751" t="s">
        <v>15</v>
      </c>
      <c r="F1751" t="s">
        <v>16</v>
      </c>
      <c r="G1751" t="s">
        <v>17</v>
      </c>
      <c r="H1751" t="s">
        <v>18</v>
      </c>
      <c r="I1751">
        <v>55.728999999999999</v>
      </c>
      <c r="J1751" t="s">
        <v>19</v>
      </c>
      <c r="K1751" t="s">
        <v>2415</v>
      </c>
      <c r="L1751" t="s">
        <v>21</v>
      </c>
    </row>
    <row r="1752" spans="1:12">
      <c r="A1752" t="s">
        <v>2416</v>
      </c>
      <c r="B1752" t="s">
        <v>2386</v>
      </c>
      <c r="C1752" t="s">
        <v>130</v>
      </c>
      <c r="D1752">
        <v>1987</v>
      </c>
      <c r="E1752" t="s">
        <v>23</v>
      </c>
      <c r="F1752" t="s">
        <v>24</v>
      </c>
      <c r="G1752" t="s">
        <v>25</v>
      </c>
      <c r="H1752" t="s">
        <v>26</v>
      </c>
      <c r="I1752">
        <v>14168101</v>
      </c>
      <c r="J1752" t="s">
        <v>27</v>
      </c>
      <c r="K1752" t="s">
        <v>2415</v>
      </c>
      <c r="L1752" t="s">
        <v>21</v>
      </c>
    </row>
    <row r="1753" spans="1:12">
      <c r="A1753" t="s">
        <v>2417</v>
      </c>
      <c r="B1753" t="s">
        <v>2386</v>
      </c>
      <c r="C1753" t="s">
        <v>130</v>
      </c>
      <c r="D1753">
        <v>1987</v>
      </c>
      <c r="E1753" t="s">
        <v>29</v>
      </c>
      <c r="F1753" t="s">
        <v>30</v>
      </c>
      <c r="G1753" t="s">
        <v>31</v>
      </c>
      <c r="H1753" t="s">
        <v>32</v>
      </c>
      <c r="I1753">
        <v>847.00611349999997</v>
      </c>
      <c r="J1753" t="s">
        <v>33</v>
      </c>
      <c r="K1753" t="s">
        <v>2415</v>
      </c>
      <c r="L1753" t="s">
        <v>21</v>
      </c>
    </row>
    <row r="1754" spans="1:12">
      <c r="A1754" t="s">
        <v>2418</v>
      </c>
      <c r="B1754" t="s">
        <v>2386</v>
      </c>
      <c r="C1754" t="s">
        <v>130</v>
      </c>
      <c r="D1754">
        <v>1992</v>
      </c>
      <c r="E1754" t="s">
        <v>15</v>
      </c>
      <c r="F1754" t="s">
        <v>16</v>
      </c>
      <c r="G1754" t="s">
        <v>17</v>
      </c>
      <c r="H1754" t="s">
        <v>18</v>
      </c>
      <c r="I1754">
        <v>57.500999999999998</v>
      </c>
      <c r="J1754" t="s">
        <v>19</v>
      </c>
      <c r="K1754" t="s">
        <v>2419</v>
      </c>
      <c r="L1754" t="s">
        <v>21</v>
      </c>
    </row>
    <row r="1755" spans="1:12">
      <c r="A1755" t="s">
        <v>2420</v>
      </c>
      <c r="B1755" t="s">
        <v>2386</v>
      </c>
      <c r="C1755" t="s">
        <v>130</v>
      </c>
      <c r="D1755">
        <v>1992</v>
      </c>
      <c r="E1755" t="s">
        <v>23</v>
      </c>
      <c r="F1755" t="s">
        <v>24</v>
      </c>
      <c r="G1755" t="s">
        <v>25</v>
      </c>
      <c r="H1755" t="s">
        <v>26</v>
      </c>
      <c r="I1755">
        <v>16278738</v>
      </c>
      <c r="J1755" t="s">
        <v>27</v>
      </c>
      <c r="K1755" t="s">
        <v>2419</v>
      </c>
      <c r="L1755" t="s">
        <v>21</v>
      </c>
    </row>
    <row r="1756" spans="1:12">
      <c r="A1756" t="s">
        <v>2421</v>
      </c>
      <c r="B1756" t="s">
        <v>2386</v>
      </c>
      <c r="C1756" t="s">
        <v>130</v>
      </c>
      <c r="D1756">
        <v>1992</v>
      </c>
      <c r="E1756" t="s">
        <v>29</v>
      </c>
      <c r="F1756" t="s">
        <v>30</v>
      </c>
      <c r="G1756" t="s">
        <v>31</v>
      </c>
      <c r="H1756" t="s">
        <v>32</v>
      </c>
      <c r="I1756">
        <v>925.06015400000001</v>
      </c>
      <c r="J1756" t="s">
        <v>33</v>
      </c>
      <c r="K1756" t="s">
        <v>2419</v>
      </c>
      <c r="L1756" t="s">
        <v>21</v>
      </c>
    </row>
    <row r="1757" spans="1:12">
      <c r="A1757" t="s">
        <v>2422</v>
      </c>
      <c r="B1757" t="s">
        <v>2386</v>
      </c>
      <c r="C1757" t="s">
        <v>130</v>
      </c>
      <c r="D1757">
        <v>1997</v>
      </c>
      <c r="E1757" t="s">
        <v>15</v>
      </c>
      <c r="F1757" t="s">
        <v>16</v>
      </c>
      <c r="G1757" t="s">
        <v>17</v>
      </c>
      <c r="H1757" t="s">
        <v>18</v>
      </c>
      <c r="I1757">
        <v>58.555999999999997</v>
      </c>
      <c r="J1757" t="s">
        <v>19</v>
      </c>
      <c r="K1757" t="s">
        <v>2423</v>
      </c>
      <c r="L1757" t="s">
        <v>21</v>
      </c>
    </row>
    <row r="1758" spans="1:12">
      <c r="A1758" t="s">
        <v>2424</v>
      </c>
      <c r="B1758" t="s">
        <v>2386</v>
      </c>
      <c r="C1758" t="s">
        <v>130</v>
      </c>
      <c r="D1758">
        <v>1997</v>
      </c>
      <c r="E1758" t="s">
        <v>23</v>
      </c>
      <c r="F1758" t="s">
        <v>24</v>
      </c>
      <c r="G1758" t="s">
        <v>25</v>
      </c>
      <c r="H1758" t="s">
        <v>26</v>
      </c>
      <c r="I1758">
        <v>18418288</v>
      </c>
      <c r="J1758" t="s">
        <v>27</v>
      </c>
      <c r="K1758" t="s">
        <v>2423</v>
      </c>
      <c r="L1758" t="s">
        <v>21</v>
      </c>
    </row>
    <row r="1759" spans="1:12">
      <c r="A1759" t="s">
        <v>2425</v>
      </c>
      <c r="B1759" t="s">
        <v>2386</v>
      </c>
      <c r="C1759" t="s">
        <v>130</v>
      </c>
      <c r="D1759">
        <v>1997</v>
      </c>
      <c r="E1759" t="s">
        <v>29</v>
      </c>
      <c r="F1759" t="s">
        <v>30</v>
      </c>
      <c r="G1759" t="s">
        <v>31</v>
      </c>
      <c r="H1759" t="s">
        <v>32</v>
      </c>
      <c r="I1759">
        <v>1005.245812</v>
      </c>
      <c r="J1759" t="s">
        <v>33</v>
      </c>
      <c r="K1759" t="s">
        <v>2423</v>
      </c>
      <c r="L1759" t="s">
        <v>21</v>
      </c>
    </row>
    <row r="1760" spans="1:12">
      <c r="A1760" t="s">
        <v>2426</v>
      </c>
      <c r="B1760" t="s">
        <v>2386</v>
      </c>
      <c r="C1760" t="s">
        <v>130</v>
      </c>
      <c r="D1760">
        <v>2002</v>
      </c>
      <c r="E1760" t="s">
        <v>15</v>
      </c>
      <c r="F1760" t="s">
        <v>16</v>
      </c>
      <c r="G1760" t="s">
        <v>17</v>
      </c>
      <c r="H1760" t="s">
        <v>18</v>
      </c>
      <c r="I1760">
        <v>58.453000000000003</v>
      </c>
      <c r="J1760" t="s">
        <v>19</v>
      </c>
      <c r="K1760" t="s">
        <v>2427</v>
      </c>
      <c r="L1760" t="s">
        <v>21</v>
      </c>
    </row>
    <row r="1761" spans="1:12">
      <c r="A1761" t="s">
        <v>2428</v>
      </c>
      <c r="B1761" t="s">
        <v>2386</v>
      </c>
      <c r="C1761" t="s">
        <v>130</v>
      </c>
      <c r="D1761">
        <v>2002</v>
      </c>
      <c r="E1761" t="s">
        <v>23</v>
      </c>
      <c r="F1761" t="s">
        <v>24</v>
      </c>
      <c r="G1761" t="s">
        <v>25</v>
      </c>
      <c r="H1761" t="s">
        <v>26</v>
      </c>
      <c r="I1761">
        <v>20550751</v>
      </c>
      <c r="J1761" t="s">
        <v>27</v>
      </c>
      <c r="K1761" t="s">
        <v>2427</v>
      </c>
      <c r="L1761" t="s">
        <v>21</v>
      </c>
    </row>
    <row r="1762" spans="1:12">
      <c r="A1762" t="s">
        <v>2429</v>
      </c>
      <c r="B1762" t="s">
        <v>2386</v>
      </c>
      <c r="C1762" t="s">
        <v>130</v>
      </c>
      <c r="D1762">
        <v>2002</v>
      </c>
      <c r="E1762" t="s">
        <v>29</v>
      </c>
      <c r="F1762" t="s">
        <v>30</v>
      </c>
      <c r="G1762" t="s">
        <v>31</v>
      </c>
      <c r="H1762" t="s">
        <v>32</v>
      </c>
      <c r="I1762">
        <v>1111.9845779999901</v>
      </c>
      <c r="J1762" t="s">
        <v>33</v>
      </c>
      <c r="K1762" t="s">
        <v>2427</v>
      </c>
      <c r="L1762" t="s">
        <v>21</v>
      </c>
    </row>
    <row r="1763" spans="1:12">
      <c r="A1763" t="s">
        <v>2430</v>
      </c>
      <c r="B1763" t="s">
        <v>2386</v>
      </c>
      <c r="C1763" t="s">
        <v>130</v>
      </c>
      <c r="D1763">
        <v>2007</v>
      </c>
      <c r="E1763" t="s">
        <v>15</v>
      </c>
      <c r="F1763" t="s">
        <v>16</v>
      </c>
      <c r="G1763" t="s">
        <v>17</v>
      </c>
      <c r="H1763" t="s">
        <v>18</v>
      </c>
      <c r="I1763">
        <v>60.021999999999998</v>
      </c>
      <c r="J1763" t="s">
        <v>19</v>
      </c>
      <c r="K1763" t="s">
        <v>2431</v>
      </c>
      <c r="L1763" t="s">
        <v>21</v>
      </c>
    </row>
    <row r="1764" spans="1:12">
      <c r="A1764" t="s">
        <v>2432</v>
      </c>
      <c r="B1764" t="s">
        <v>2386</v>
      </c>
      <c r="C1764" t="s">
        <v>130</v>
      </c>
      <c r="D1764">
        <v>2007</v>
      </c>
      <c r="E1764" t="s">
        <v>23</v>
      </c>
      <c r="F1764" t="s">
        <v>24</v>
      </c>
      <c r="G1764" t="s">
        <v>25</v>
      </c>
      <c r="H1764" t="s">
        <v>26</v>
      </c>
      <c r="I1764">
        <v>22873338</v>
      </c>
      <c r="J1764" t="s">
        <v>27</v>
      </c>
      <c r="K1764" t="s">
        <v>2431</v>
      </c>
      <c r="L1764" t="s">
        <v>21</v>
      </c>
    </row>
    <row r="1765" spans="1:12">
      <c r="A1765" t="s">
        <v>2433</v>
      </c>
      <c r="B1765" t="s">
        <v>2386</v>
      </c>
      <c r="C1765" t="s">
        <v>130</v>
      </c>
      <c r="D1765">
        <v>2007</v>
      </c>
      <c r="E1765" t="s">
        <v>29</v>
      </c>
      <c r="F1765" t="s">
        <v>30</v>
      </c>
      <c r="G1765" t="s">
        <v>31</v>
      </c>
      <c r="H1765" t="s">
        <v>32</v>
      </c>
      <c r="I1765">
        <v>1327.6089099999999</v>
      </c>
      <c r="J1765" t="s">
        <v>33</v>
      </c>
      <c r="K1765" t="s">
        <v>2431</v>
      </c>
      <c r="L1765" t="s">
        <v>21</v>
      </c>
    </row>
    <row r="1766" spans="1:12">
      <c r="A1766" t="s">
        <v>2434</v>
      </c>
      <c r="B1766" t="s">
        <v>2435</v>
      </c>
      <c r="C1766" t="s">
        <v>80</v>
      </c>
      <c r="D1766">
        <v>1952</v>
      </c>
      <c r="E1766" t="s">
        <v>15</v>
      </c>
      <c r="F1766" t="s">
        <v>16</v>
      </c>
      <c r="G1766" t="s">
        <v>17</v>
      </c>
      <c r="H1766" t="s">
        <v>18</v>
      </c>
      <c r="I1766">
        <v>65.86</v>
      </c>
      <c r="J1766" t="s">
        <v>19</v>
      </c>
      <c r="K1766" t="s">
        <v>2436</v>
      </c>
      <c r="L1766" t="s">
        <v>21</v>
      </c>
    </row>
    <row r="1767" spans="1:12">
      <c r="A1767" t="s">
        <v>2437</v>
      </c>
      <c r="B1767" t="s">
        <v>2435</v>
      </c>
      <c r="C1767" t="s">
        <v>80</v>
      </c>
      <c r="D1767">
        <v>1952</v>
      </c>
      <c r="E1767" t="s">
        <v>23</v>
      </c>
      <c r="F1767" t="s">
        <v>24</v>
      </c>
      <c r="G1767" t="s">
        <v>25</v>
      </c>
      <c r="H1767" t="s">
        <v>26</v>
      </c>
      <c r="I1767">
        <v>7733250</v>
      </c>
      <c r="J1767" t="s">
        <v>27</v>
      </c>
      <c r="K1767" t="s">
        <v>2436</v>
      </c>
      <c r="L1767" t="s">
        <v>21</v>
      </c>
    </row>
    <row r="1768" spans="1:12">
      <c r="A1768" t="s">
        <v>2438</v>
      </c>
      <c r="B1768" t="s">
        <v>2435</v>
      </c>
      <c r="C1768" t="s">
        <v>80</v>
      </c>
      <c r="D1768">
        <v>1952</v>
      </c>
      <c r="E1768" t="s">
        <v>29</v>
      </c>
      <c r="F1768" t="s">
        <v>30</v>
      </c>
      <c r="G1768" t="s">
        <v>31</v>
      </c>
      <c r="H1768" t="s">
        <v>32</v>
      </c>
      <c r="I1768">
        <v>3530.690067</v>
      </c>
      <c r="J1768" t="s">
        <v>33</v>
      </c>
      <c r="K1768" t="s">
        <v>2436</v>
      </c>
      <c r="L1768" t="s">
        <v>21</v>
      </c>
    </row>
    <row r="1769" spans="1:12">
      <c r="A1769" t="s">
        <v>2439</v>
      </c>
      <c r="B1769" t="s">
        <v>2435</v>
      </c>
      <c r="C1769" t="s">
        <v>80</v>
      </c>
      <c r="D1769">
        <v>1957</v>
      </c>
      <c r="E1769" t="s">
        <v>15</v>
      </c>
      <c r="F1769" t="s">
        <v>16</v>
      </c>
      <c r="G1769" t="s">
        <v>17</v>
      </c>
      <c r="H1769" t="s">
        <v>18</v>
      </c>
      <c r="I1769">
        <v>67.86</v>
      </c>
      <c r="J1769" t="s">
        <v>19</v>
      </c>
      <c r="K1769" t="s">
        <v>2440</v>
      </c>
      <c r="L1769" t="s">
        <v>21</v>
      </c>
    </row>
    <row r="1770" spans="1:12">
      <c r="A1770" t="s">
        <v>2441</v>
      </c>
      <c r="B1770" t="s">
        <v>2435</v>
      </c>
      <c r="C1770" t="s">
        <v>80</v>
      </c>
      <c r="D1770">
        <v>1957</v>
      </c>
      <c r="E1770" t="s">
        <v>23</v>
      </c>
      <c r="F1770" t="s">
        <v>24</v>
      </c>
      <c r="G1770" t="s">
        <v>25</v>
      </c>
      <c r="H1770" t="s">
        <v>26</v>
      </c>
      <c r="I1770">
        <v>8096218</v>
      </c>
      <c r="J1770" t="s">
        <v>27</v>
      </c>
      <c r="K1770" t="s">
        <v>2440</v>
      </c>
      <c r="L1770" t="s">
        <v>21</v>
      </c>
    </row>
    <row r="1771" spans="1:12">
      <c r="A1771" t="s">
        <v>2442</v>
      </c>
      <c r="B1771" t="s">
        <v>2435</v>
      </c>
      <c r="C1771" t="s">
        <v>80</v>
      </c>
      <c r="D1771">
        <v>1957</v>
      </c>
      <c r="E1771" t="s">
        <v>29</v>
      </c>
      <c r="F1771" t="s">
        <v>30</v>
      </c>
      <c r="G1771" t="s">
        <v>31</v>
      </c>
      <c r="H1771" t="s">
        <v>32</v>
      </c>
      <c r="I1771">
        <v>4916.2998889999999</v>
      </c>
      <c r="J1771" t="s">
        <v>33</v>
      </c>
      <c r="K1771" t="s">
        <v>2440</v>
      </c>
      <c r="L1771" t="s">
        <v>21</v>
      </c>
    </row>
    <row r="1772" spans="1:12">
      <c r="A1772" t="s">
        <v>2443</v>
      </c>
      <c r="B1772" t="s">
        <v>2435</v>
      </c>
      <c r="C1772" t="s">
        <v>80</v>
      </c>
      <c r="D1772">
        <v>1962</v>
      </c>
      <c r="E1772" t="s">
        <v>15</v>
      </c>
      <c r="F1772" t="s">
        <v>16</v>
      </c>
      <c r="G1772" t="s">
        <v>17</v>
      </c>
      <c r="H1772" t="s">
        <v>18</v>
      </c>
      <c r="I1772">
        <v>69.510000000000005</v>
      </c>
      <c r="J1772" t="s">
        <v>19</v>
      </c>
      <c r="K1772" t="s">
        <v>2444</v>
      </c>
      <c r="L1772" t="s">
        <v>21</v>
      </c>
    </row>
    <row r="1773" spans="1:12">
      <c r="A1773" t="s">
        <v>2445</v>
      </c>
      <c r="B1773" t="s">
        <v>2435</v>
      </c>
      <c r="C1773" t="s">
        <v>80</v>
      </c>
      <c r="D1773">
        <v>1962</v>
      </c>
      <c r="E1773" t="s">
        <v>23</v>
      </c>
      <c r="F1773" t="s">
        <v>24</v>
      </c>
      <c r="G1773" t="s">
        <v>25</v>
      </c>
      <c r="H1773" t="s">
        <v>26</v>
      </c>
      <c r="I1773">
        <v>8448233</v>
      </c>
      <c r="J1773" t="s">
        <v>27</v>
      </c>
      <c r="K1773" t="s">
        <v>2444</v>
      </c>
      <c r="L1773" t="s">
        <v>21</v>
      </c>
    </row>
    <row r="1774" spans="1:12">
      <c r="A1774" t="s">
        <v>2446</v>
      </c>
      <c r="B1774" t="s">
        <v>2435</v>
      </c>
      <c r="C1774" t="s">
        <v>80</v>
      </c>
      <c r="D1774">
        <v>1962</v>
      </c>
      <c r="E1774" t="s">
        <v>29</v>
      </c>
      <c r="F1774" t="s">
        <v>30</v>
      </c>
      <c r="G1774" t="s">
        <v>31</v>
      </c>
      <c r="H1774" t="s">
        <v>32</v>
      </c>
      <c r="I1774">
        <v>6017.1907329999904</v>
      </c>
      <c r="J1774" t="s">
        <v>33</v>
      </c>
      <c r="K1774" t="s">
        <v>2444</v>
      </c>
      <c r="L1774" t="s">
        <v>21</v>
      </c>
    </row>
    <row r="1775" spans="1:12">
      <c r="A1775" t="s">
        <v>2447</v>
      </c>
      <c r="B1775" t="s">
        <v>2435</v>
      </c>
      <c r="C1775" t="s">
        <v>80</v>
      </c>
      <c r="D1775">
        <v>1967</v>
      </c>
      <c r="E1775" t="s">
        <v>15</v>
      </c>
      <c r="F1775" t="s">
        <v>16</v>
      </c>
      <c r="G1775" t="s">
        <v>17</v>
      </c>
      <c r="H1775" t="s">
        <v>18</v>
      </c>
      <c r="I1775">
        <v>71</v>
      </c>
      <c r="J1775" t="s">
        <v>19</v>
      </c>
      <c r="K1775" t="s">
        <v>2448</v>
      </c>
      <c r="L1775" t="s">
        <v>21</v>
      </c>
    </row>
    <row r="1776" spans="1:12">
      <c r="A1776" t="s">
        <v>2449</v>
      </c>
      <c r="B1776" t="s">
        <v>2435</v>
      </c>
      <c r="C1776" t="s">
        <v>80</v>
      </c>
      <c r="D1776">
        <v>1967</v>
      </c>
      <c r="E1776" t="s">
        <v>23</v>
      </c>
      <c r="F1776" t="s">
        <v>24</v>
      </c>
      <c r="G1776" t="s">
        <v>25</v>
      </c>
      <c r="H1776" t="s">
        <v>26</v>
      </c>
      <c r="I1776">
        <v>8716441</v>
      </c>
      <c r="J1776" t="s">
        <v>27</v>
      </c>
      <c r="K1776" t="s">
        <v>2448</v>
      </c>
      <c r="L1776" t="s">
        <v>21</v>
      </c>
    </row>
    <row r="1777" spans="1:12">
      <c r="A1777" t="s">
        <v>2450</v>
      </c>
      <c r="B1777" t="s">
        <v>2435</v>
      </c>
      <c r="C1777" t="s">
        <v>80</v>
      </c>
      <c r="D1777">
        <v>1967</v>
      </c>
      <c r="E1777" t="s">
        <v>29</v>
      </c>
      <c r="F1777" t="s">
        <v>30</v>
      </c>
      <c r="G1777" t="s">
        <v>31</v>
      </c>
      <c r="H1777" t="s">
        <v>32</v>
      </c>
      <c r="I1777">
        <v>8513.0970159999997</v>
      </c>
      <c r="J1777" t="s">
        <v>33</v>
      </c>
      <c r="K1777" t="s">
        <v>2448</v>
      </c>
      <c r="L1777" t="s">
        <v>21</v>
      </c>
    </row>
    <row r="1778" spans="1:12">
      <c r="A1778" t="s">
        <v>2451</v>
      </c>
      <c r="B1778" t="s">
        <v>2435</v>
      </c>
      <c r="C1778" t="s">
        <v>80</v>
      </c>
      <c r="D1778">
        <v>1972</v>
      </c>
      <c r="E1778" t="s">
        <v>15</v>
      </c>
      <c r="F1778" t="s">
        <v>16</v>
      </c>
      <c r="G1778" t="s">
        <v>17</v>
      </c>
      <c r="H1778" t="s">
        <v>18</v>
      </c>
      <c r="I1778">
        <v>72.34</v>
      </c>
      <c r="J1778" t="s">
        <v>19</v>
      </c>
      <c r="K1778" t="s">
        <v>2452</v>
      </c>
      <c r="L1778" t="s">
        <v>21</v>
      </c>
    </row>
    <row r="1779" spans="1:12">
      <c r="A1779" t="s">
        <v>2453</v>
      </c>
      <c r="B1779" t="s">
        <v>2435</v>
      </c>
      <c r="C1779" t="s">
        <v>80</v>
      </c>
      <c r="D1779">
        <v>1972</v>
      </c>
      <c r="E1779" t="s">
        <v>23</v>
      </c>
      <c r="F1779" t="s">
        <v>24</v>
      </c>
      <c r="G1779" t="s">
        <v>25</v>
      </c>
      <c r="H1779" t="s">
        <v>26</v>
      </c>
      <c r="I1779">
        <v>8888628</v>
      </c>
      <c r="J1779" t="s">
        <v>27</v>
      </c>
      <c r="K1779" t="s">
        <v>2452</v>
      </c>
      <c r="L1779" t="s">
        <v>21</v>
      </c>
    </row>
    <row r="1780" spans="1:12">
      <c r="A1780" t="s">
        <v>2454</v>
      </c>
      <c r="B1780" t="s">
        <v>2435</v>
      </c>
      <c r="C1780" t="s">
        <v>80</v>
      </c>
      <c r="D1780">
        <v>1972</v>
      </c>
      <c r="E1780" t="s">
        <v>29</v>
      </c>
      <c r="F1780" t="s">
        <v>30</v>
      </c>
      <c r="G1780" t="s">
        <v>31</v>
      </c>
      <c r="H1780" t="s">
        <v>32</v>
      </c>
      <c r="I1780">
        <v>12724.82957</v>
      </c>
      <c r="J1780" t="s">
        <v>33</v>
      </c>
      <c r="K1780" t="s">
        <v>2452</v>
      </c>
      <c r="L1780" t="s">
        <v>21</v>
      </c>
    </row>
    <row r="1781" spans="1:12">
      <c r="A1781" t="s">
        <v>2455</v>
      </c>
      <c r="B1781" t="s">
        <v>2435</v>
      </c>
      <c r="C1781" t="s">
        <v>80</v>
      </c>
      <c r="D1781">
        <v>1977</v>
      </c>
      <c r="E1781" t="s">
        <v>15</v>
      </c>
      <c r="F1781" t="s">
        <v>16</v>
      </c>
      <c r="G1781" t="s">
        <v>17</v>
      </c>
      <c r="H1781" t="s">
        <v>18</v>
      </c>
      <c r="I1781">
        <v>73.680000000000007</v>
      </c>
      <c r="J1781" t="s">
        <v>19</v>
      </c>
      <c r="K1781" t="s">
        <v>2456</v>
      </c>
      <c r="L1781" t="s">
        <v>21</v>
      </c>
    </row>
    <row r="1782" spans="1:12">
      <c r="A1782" t="s">
        <v>2457</v>
      </c>
      <c r="B1782" t="s">
        <v>2435</v>
      </c>
      <c r="C1782" t="s">
        <v>80</v>
      </c>
      <c r="D1782">
        <v>1977</v>
      </c>
      <c r="E1782" t="s">
        <v>23</v>
      </c>
      <c r="F1782" t="s">
        <v>24</v>
      </c>
      <c r="G1782" t="s">
        <v>25</v>
      </c>
      <c r="H1782" t="s">
        <v>26</v>
      </c>
      <c r="I1782">
        <v>9308479</v>
      </c>
      <c r="J1782" t="s">
        <v>27</v>
      </c>
      <c r="K1782" t="s">
        <v>2456</v>
      </c>
      <c r="L1782" t="s">
        <v>21</v>
      </c>
    </row>
    <row r="1783" spans="1:12">
      <c r="A1783" t="s">
        <v>2458</v>
      </c>
      <c r="B1783" t="s">
        <v>2435</v>
      </c>
      <c r="C1783" t="s">
        <v>80</v>
      </c>
      <c r="D1783">
        <v>1977</v>
      </c>
      <c r="E1783" t="s">
        <v>29</v>
      </c>
      <c r="F1783" t="s">
        <v>30</v>
      </c>
      <c r="G1783" t="s">
        <v>31</v>
      </c>
      <c r="H1783" t="s">
        <v>32</v>
      </c>
      <c r="I1783">
        <v>14195.52428</v>
      </c>
      <c r="J1783" t="s">
        <v>33</v>
      </c>
      <c r="K1783" t="s">
        <v>2456</v>
      </c>
      <c r="L1783" t="s">
        <v>21</v>
      </c>
    </row>
    <row r="1784" spans="1:12">
      <c r="A1784" t="s">
        <v>2459</v>
      </c>
      <c r="B1784" t="s">
        <v>2435</v>
      </c>
      <c r="C1784" t="s">
        <v>80</v>
      </c>
      <c r="D1784">
        <v>1982</v>
      </c>
      <c r="E1784" t="s">
        <v>15</v>
      </c>
      <c r="F1784" t="s">
        <v>16</v>
      </c>
      <c r="G1784" t="s">
        <v>17</v>
      </c>
      <c r="H1784" t="s">
        <v>18</v>
      </c>
      <c r="I1784">
        <v>75.239999999999995</v>
      </c>
      <c r="J1784" t="s">
        <v>19</v>
      </c>
      <c r="K1784" t="s">
        <v>2460</v>
      </c>
      <c r="L1784" t="s">
        <v>21</v>
      </c>
    </row>
    <row r="1785" spans="1:12">
      <c r="A1785" t="s">
        <v>2461</v>
      </c>
      <c r="B1785" t="s">
        <v>2435</v>
      </c>
      <c r="C1785" t="s">
        <v>80</v>
      </c>
      <c r="D1785">
        <v>1982</v>
      </c>
      <c r="E1785" t="s">
        <v>23</v>
      </c>
      <c r="F1785" t="s">
        <v>24</v>
      </c>
      <c r="G1785" t="s">
        <v>25</v>
      </c>
      <c r="H1785" t="s">
        <v>26</v>
      </c>
      <c r="I1785">
        <v>9786480</v>
      </c>
      <c r="J1785" t="s">
        <v>27</v>
      </c>
      <c r="K1785" t="s">
        <v>2460</v>
      </c>
      <c r="L1785" t="s">
        <v>21</v>
      </c>
    </row>
    <row r="1786" spans="1:12">
      <c r="A1786" t="s">
        <v>2462</v>
      </c>
      <c r="B1786" t="s">
        <v>2435</v>
      </c>
      <c r="C1786" t="s">
        <v>80</v>
      </c>
      <c r="D1786">
        <v>1982</v>
      </c>
      <c r="E1786" t="s">
        <v>29</v>
      </c>
      <c r="F1786" t="s">
        <v>30</v>
      </c>
      <c r="G1786" t="s">
        <v>31</v>
      </c>
      <c r="H1786" t="s">
        <v>32</v>
      </c>
      <c r="I1786">
        <v>15268.420889999999</v>
      </c>
      <c r="J1786" t="s">
        <v>33</v>
      </c>
      <c r="K1786" t="s">
        <v>2460</v>
      </c>
      <c r="L1786" t="s">
        <v>21</v>
      </c>
    </row>
    <row r="1787" spans="1:12">
      <c r="A1787" t="s">
        <v>2463</v>
      </c>
      <c r="B1787" t="s">
        <v>2435</v>
      </c>
      <c r="C1787" t="s">
        <v>80</v>
      </c>
      <c r="D1787">
        <v>1987</v>
      </c>
      <c r="E1787" t="s">
        <v>15</v>
      </c>
      <c r="F1787" t="s">
        <v>16</v>
      </c>
      <c r="G1787" t="s">
        <v>17</v>
      </c>
      <c r="H1787" t="s">
        <v>18</v>
      </c>
      <c r="I1787">
        <v>76.67</v>
      </c>
      <c r="J1787" t="s">
        <v>19</v>
      </c>
      <c r="K1787" t="s">
        <v>2464</v>
      </c>
      <c r="L1787" t="s">
        <v>21</v>
      </c>
    </row>
    <row r="1788" spans="1:12">
      <c r="A1788" t="s">
        <v>2465</v>
      </c>
      <c r="B1788" t="s">
        <v>2435</v>
      </c>
      <c r="C1788" t="s">
        <v>80</v>
      </c>
      <c r="D1788">
        <v>1987</v>
      </c>
      <c r="E1788" t="s">
        <v>23</v>
      </c>
      <c r="F1788" t="s">
        <v>24</v>
      </c>
      <c r="G1788" t="s">
        <v>25</v>
      </c>
      <c r="H1788" t="s">
        <v>26</v>
      </c>
      <c r="I1788">
        <v>9974490</v>
      </c>
      <c r="J1788" t="s">
        <v>27</v>
      </c>
      <c r="K1788" t="s">
        <v>2464</v>
      </c>
      <c r="L1788" t="s">
        <v>21</v>
      </c>
    </row>
    <row r="1789" spans="1:12">
      <c r="A1789" t="s">
        <v>2466</v>
      </c>
      <c r="B1789" t="s">
        <v>2435</v>
      </c>
      <c r="C1789" t="s">
        <v>80</v>
      </c>
      <c r="D1789">
        <v>1987</v>
      </c>
      <c r="E1789" t="s">
        <v>29</v>
      </c>
      <c r="F1789" t="s">
        <v>30</v>
      </c>
      <c r="G1789" t="s">
        <v>31</v>
      </c>
      <c r="H1789" t="s">
        <v>32</v>
      </c>
      <c r="I1789">
        <v>16120.528389999999</v>
      </c>
      <c r="J1789" t="s">
        <v>33</v>
      </c>
      <c r="K1789" t="s">
        <v>2464</v>
      </c>
      <c r="L1789" t="s">
        <v>21</v>
      </c>
    </row>
    <row r="1790" spans="1:12">
      <c r="A1790" t="s">
        <v>2467</v>
      </c>
      <c r="B1790" t="s">
        <v>2435</v>
      </c>
      <c r="C1790" t="s">
        <v>80</v>
      </c>
      <c r="D1790">
        <v>1992</v>
      </c>
      <c r="E1790" t="s">
        <v>15</v>
      </c>
      <c r="F1790" t="s">
        <v>16</v>
      </c>
      <c r="G1790" t="s">
        <v>17</v>
      </c>
      <c r="H1790" t="s">
        <v>18</v>
      </c>
      <c r="I1790">
        <v>77.03</v>
      </c>
      <c r="J1790" t="s">
        <v>19</v>
      </c>
      <c r="K1790" t="s">
        <v>2468</v>
      </c>
      <c r="L1790" t="s">
        <v>21</v>
      </c>
    </row>
    <row r="1791" spans="1:12">
      <c r="A1791" t="s">
        <v>2469</v>
      </c>
      <c r="B1791" t="s">
        <v>2435</v>
      </c>
      <c r="C1791" t="s">
        <v>80</v>
      </c>
      <c r="D1791">
        <v>1992</v>
      </c>
      <c r="E1791" t="s">
        <v>23</v>
      </c>
      <c r="F1791" t="s">
        <v>24</v>
      </c>
      <c r="G1791" t="s">
        <v>25</v>
      </c>
      <c r="H1791" t="s">
        <v>26</v>
      </c>
      <c r="I1791">
        <v>10325429</v>
      </c>
      <c r="J1791" t="s">
        <v>27</v>
      </c>
      <c r="K1791" t="s">
        <v>2468</v>
      </c>
      <c r="L1791" t="s">
        <v>21</v>
      </c>
    </row>
    <row r="1792" spans="1:12">
      <c r="A1792" t="s">
        <v>2470</v>
      </c>
      <c r="B1792" t="s">
        <v>2435</v>
      </c>
      <c r="C1792" t="s">
        <v>80</v>
      </c>
      <c r="D1792">
        <v>1992</v>
      </c>
      <c r="E1792" t="s">
        <v>29</v>
      </c>
      <c r="F1792" t="s">
        <v>30</v>
      </c>
      <c r="G1792" t="s">
        <v>31</v>
      </c>
      <c r="H1792" t="s">
        <v>32</v>
      </c>
      <c r="I1792">
        <v>17541.496340000002</v>
      </c>
      <c r="J1792" t="s">
        <v>33</v>
      </c>
      <c r="K1792" t="s">
        <v>2468</v>
      </c>
      <c r="L1792" t="s">
        <v>21</v>
      </c>
    </row>
    <row r="1793" spans="1:12">
      <c r="A1793" t="s">
        <v>2471</v>
      </c>
      <c r="B1793" t="s">
        <v>2435</v>
      </c>
      <c r="C1793" t="s">
        <v>80</v>
      </c>
      <c r="D1793">
        <v>1997</v>
      </c>
      <c r="E1793" t="s">
        <v>15</v>
      </c>
      <c r="F1793" t="s">
        <v>16</v>
      </c>
      <c r="G1793" t="s">
        <v>17</v>
      </c>
      <c r="H1793" t="s">
        <v>18</v>
      </c>
      <c r="I1793">
        <v>77.869</v>
      </c>
      <c r="J1793" t="s">
        <v>19</v>
      </c>
      <c r="K1793" t="s">
        <v>2472</v>
      </c>
      <c r="L1793" t="s">
        <v>21</v>
      </c>
    </row>
    <row r="1794" spans="1:12">
      <c r="A1794" t="s">
        <v>2473</v>
      </c>
      <c r="B1794" t="s">
        <v>2435</v>
      </c>
      <c r="C1794" t="s">
        <v>80</v>
      </c>
      <c r="D1794">
        <v>1997</v>
      </c>
      <c r="E1794" t="s">
        <v>23</v>
      </c>
      <c r="F1794" t="s">
        <v>24</v>
      </c>
      <c r="G1794" t="s">
        <v>25</v>
      </c>
      <c r="H1794" t="s">
        <v>26</v>
      </c>
      <c r="I1794">
        <v>10502372</v>
      </c>
      <c r="J1794" t="s">
        <v>27</v>
      </c>
      <c r="K1794" t="s">
        <v>2472</v>
      </c>
      <c r="L1794" t="s">
        <v>21</v>
      </c>
    </row>
    <row r="1795" spans="1:12">
      <c r="A1795" t="s">
        <v>2474</v>
      </c>
      <c r="B1795" t="s">
        <v>2435</v>
      </c>
      <c r="C1795" t="s">
        <v>80</v>
      </c>
      <c r="D1795">
        <v>1997</v>
      </c>
      <c r="E1795" t="s">
        <v>29</v>
      </c>
      <c r="F1795" t="s">
        <v>30</v>
      </c>
      <c r="G1795" t="s">
        <v>31</v>
      </c>
      <c r="H1795" t="s">
        <v>32</v>
      </c>
      <c r="I1795">
        <v>18747.69814</v>
      </c>
      <c r="J1795" t="s">
        <v>33</v>
      </c>
      <c r="K1795" t="s">
        <v>2472</v>
      </c>
      <c r="L1795" t="s">
        <v>21</v>
      </c>
    </row>
    <row r="1796" spans="1:12">
      <c r="A1796" t="s">
        <v>2475</v>
      </c>
      <c r="B1796" t="s">
        <v>2435</v>
      </c>
      <c r="C1796" t="s">
        <v>80</v>
      </c>
      <c r="D1796">
        <v>2002</v>
      </c>
      <c r="E1796" t="s">
        <v>15</v>
      </c>
      <c r="F1796" t="s">
        <v>16</v>
      </c>
      <c r="G1796" t="s">
        <v>17</v>
      </c>
      <c r="H1796" t="s">
        <v>18</v>
      </c>
      <c r="I1796">
        <v>78.256</v>
      </c>
      <c r="J1796" t="s">
        <v>19</v>
      </c>
      <c r="K1796" t="s">
        <v>2476</v>
      </c>
      <c r="L1796" t="s">
        <v>21</v>
      </c>
    </row>
    <row r="1797" spans="1:12">
      <c r="A1797" t="s">
        <v>2477</v>
      </c>
      <c r="B1797" t="s">
        <v>2435</v>
      </c>
      <c r="C1797" t="s">
        <v>80</v>
      </c>
      <c r="D1797">
        <v>2002</v>
      </c>
      <c r="E1797" t="s">
        <v>23</v>
      </c>
      <c r="F1797" t="s">
        <v>24</v>
      </c>
      <c r="G1797" t="s">
        <v>25</v>
      </c>
      <c r="H1797" t="s">
        <v>26</v>
      </c>
      <c r="I1797">
        <v>10603863</v>
      </c>
      <c r="J1797" t="s">
        <v>27</v>
      </c>
      <c r="K1797" t="s">
        <v>2476</v>
      </c>
      <c r="L1797" t="s">
        <v>21</v>
      </c>
    </row>
    <row r="1798" spans="1:12">
      <c r="A1798" t="s">
        <v>2478</v>
      </c>
      <c r="B1798" t="s">
        <v>2435</v>
      </c>
      <c r="C1798" t="s">
        <v>80</v>
      </c>
      <c r="D1798">
        <v>2002</v>
      </c>
      <c r="E1798" t="s">
        <v>29</v>
      </c>
      <c r="F1798" t="s">
        <v>30</v>
      </c>
      <c r="G1798" t="s">
        <v>31</v>
      </c>
      <c r="H1798" t="s">
        <v>32</v>
      </c>
      <c r="I1798">
        <v>22514.254799999999</v>
      </c>
      <c r="J1798" t="s">
        <v>33</v>
      </c>
      <c r="K1798" t="s">
        <v>2476</v>
      </c>
      <c r="L1798" t="s">
        <v>21</v>
      </c>
    </row>
    <row r="1799" spans="1:12">
      <c r="A1799" t="s">
        <v>2479</v>
      </c>
      <c r="B1799" t="s">
        <v>2435</v>
      </c>
      <c r="C1799" t="s">
        <v>80</v>
      </c>
      <c r="D1799">
        <v>2007</v>
      </c>
      <c r="E1799" t="s">
        <v>15</v>
      </c>
      <c r="F1799" t="s">
        <v>16</v>
      </c>
      <c r="G1799" t="s">
        <v>17</v>
      </c>
      <c r="H1799" t="s">
        <v>18</v>
      </c>
      <c r="I1799">
        <v>79.483000000000004</v>
      </c>
      <c r="J1799" t="s">
        <v>19</v>
      </c>
      <c r="K1799" t="s">
        <v>2480</v>
      </c>
      <c r="L1799" t="s">
        <v>21</v>
      </c>
    </row>
    <row r="1800" spans="1:12">
      <c r="A1800" t="s">
        <v>2481</v>
      </c>
      <c r="B1800" t="s">
        <v>2435</v>
      </c>
      <c r="C1800" t="s">
        <v>80</v>
      </c>
      <c r="D1800">
        <v>2007</v>
      </c>
      <c r="E1800" t="s">
        <v>23</v>
      </c>
      <c r="F1800" t="s">
        <v>24</v>
      </c>
      <c r="G1800" t="s">
        <v>25</v>
      </c>
      <c r="H1800" t="s">
        <v>26</v>
      </c>
      <c r="I1800">
        <v>10706290</v>
      </c>
      <c r="J1800" t="s">
        <v>27</v>
      </c>
      <c r="K1800" t="s">
        <v>2480</v>
      </c>
      <c r="L1800" t="s">
        <v>21</v>
      </c>
    </row>
    <row r="1801" spans="1:12">
      <c r="A1801" t="s">
        <v>2482</v>
      </c>
      <c r="B1801" t="s">
        <v>2435</v>
      </c>
      <c r="C1801" t="s">
        <v>80</v>
      </c>
      <c r="D1801">
        <v>2007</v>
      </c>
      <c r="E1801" t="s">
        <v>29</v>
      </c>
      <c r="F1801" t="s">
        <v>30</v>
      </c>
      <c r="G1801" t="s">
        <v>31</v>
      </c>
      <c r="H1801" t="s">
        <v>32</v>
      </c>
      <c r="I1801">
        <v>27538.41188</v>
      </c>
      <c r="J1801" t="s">
        <v>33</v>
      </c>
      <c r="K1801" t="s">
        <v>2480</v>
      </c>
      <c r="L1801" t="s">
        <v>21</v>
      </c>
    </row>
    <row r="1802" spans="1:12">
      <c r="A1802" t="s">
        <v>2483</v>
      </c>
      <c r="B1802" t="s">
        <v>2484</v>
      </c>
      <c r="C1802" t="s">
        <v>229</v>
      </c>
      <c r="D1802">
        <v>1952</v>
      </c>
      <c r="E1802" t="s">
        <v>15</v>
      </c>
      <c r="F1802" t="s">
        <v>16</v>
      </c>
      <c r="G1802" t="s">
        <v>17</v>
      </c>
      <c r="H1802" t="s">
        <v>18</v>
      </c>
      <c r="I1802">
        <v>42.023000000000003</v>
      </c>
      <c r="J1802" t="s">
        <v>19</v>
      </c>
      <c r="K1802" t="s">
        <v>2485</v>
      </c>
      <c r="L1802" t="s">
        <v>21</v>
      </c>
    </row>
    <row r="1803" spans="1:12">
      <c r="A1803" t="s">
        <v>2486</v>
      </c>
      <c r="B1803" t="s">
        <v>2484</v>
      </c>
      <c r="C1803" t="s">
        <v>229</v>
      </c>
      <c r="D1803">
        <v>1952</v>
      </c>
      <c r="E1803" t="s">
        <v>23</v>
      </c>
      <c r="F1803" t="s">
        <v>24</v>
      </c>
      <c r="G1803" t="s">
        <v>25</v>
      </c>
      <c r="H1803" t="s">
        <v>26</v>
      </c>
      <c r="I1803">
        <v>3146381</v>
      </c>
      <c r="J1803" t="s">
        <v>27</v>
      </c>
      <c r="K1803" t="s">
        <v>2485</v>
      </c>
      <c r="L1803" t="s">
        <v>21</v>
      </c>
    </row>
    <row r="1804" spans="1:12">
      <c r="A1804" t="s">
        <v>2487</v>
      </c>
      <c r="B1804" t="s">
        <v>2484</v>
      </c>
      <c r="C1804" t="s">
        <v>229</v>
      </c>
      <c r="D1804">
        <v>1952</v>
      </c>
      <c r="E1804" t="s">
        <v>29</v>
      </c>
      <c r="F1804" t="s">
        <v>30</v>
      </c>
      <c r="G1804" t="s">
        <v>31</v>
      </c>
      <c r="H1804" t="s">
        <v>32</v>
      </c>
      <c r="I1804">
        <v>2428.2377689999998</v>
      </c>
      <c r="J1804" t="s">
        <v>33</v>
      </c>
      <c r="K1804" t="s">
        <v>2485</v>
      </c>
      <c r="L1804" t="s">
        <v>21</v>
      </c>
    </row>
    <row r="1805" spans="1:12">
      <c r="A1805" t="s">
        <v>2488</v>
      </c>
      <c r="B1805" t="s">
        <v>2484</v>
      </c>
      <c r="C1805" t="s">
        <v>229</v>
      </c>
      <c r="D1805">
        <v>1957</v>
      </c>
      <c r="E1805" t="s">
        <v>15</v>
      </c>
      <c r="F1805" t="s">
        <v>16</v>
      </c>
      <c r="G1805" t="s">
        <v>17</v>
      </c>
      <c r="H1805" t="s">
        <v>18</v>
      </c>
      <c r="I1805">
        <v>44.142000000000003</v>
      </c>
      <c r="J1805" t="s">
        <v>19</v>
      </c>
      <c r="K1805" t="s">
        <v>2489</v>
      </c>
      <c r="L1805" t="s">
        <v>21</v>
      </c>
    </row>
    <row r="1806" spans="1:12">
      <c r="A1806" t="s">
        <v>2490</v>
      </c>
      <c r="B1806" t="s">
        <v>2484</v>
      </c>
      <c r="C1806" t="s">
        <v>229</v>
      </c>
      <c r="D1806">
        <v>1957</v>
      </c>
      <c r="E1806" t="s">
        <v>23</v>
      </c>
      <c r="F1806" t="s">
        <v>24</v>
      </c>
      <c r="G1806" t="s">
        <v>25</v>
      </c>
      <c r="H1806" t="s">
        <v>26</v>
      </c>
      <c r="I1806">
        <v>3640876</v>
      </c>
      <c r="J1806" t="s">
        <v>27</v>
      </c>
      <c r="K1806" t="s">
        <v>2489</v>
      </c>
      <c r="L1806" t="s">
        <v>21</v>
      </c>
    </row>
    <row r="1807" spans="1:12">
      <c r="A1807" t="s">
        <v>2491</v>
      </c>
      <c r="B1807" t="s">
        <v>2484</v>
      </c>
      <c r="C1807" t="s">
        <v>229</v>
      </c>
      <c r="D1807">
        <v>1957</v>
      </c>
      <c r="E1807" t="s">
        <v>29</v>
      </c>
      <c r="F1807" t="s">
        <v>30</v>
      </c>
      <c r="G1807" t="s">
        <v>31</v>
      </c>
      <c r="H1807" t="s">
        <v>32</v>
      </c>
      <c r="I1807">
        <v>2617.1559670000001</v>
      </c>
      <c r="J1807" t="s">
        <v>33</v>
      </c>
      <c r="K1807" t="s">
        <v>2489</v>
      </c>
      <c r="L1807" t="s">
        <v>21</v>
      </c>
    </row>
    <row r="1808" spans="1:12">
      <c r="A1808" t="s">
        <v>2492</v>
      </c>
      <c r="B1808" t="s">
        <v>2484</v>
      </c>
      <c r="C1808" t="s">
        <v>229</v>
      </c>
      <c r="D1808">
        <v>1962</v>
      </c>
      <c r="E1808" t="s">
        <v>15</v>
      </c>
      <c r="F1808" t="s">
        <v>16</v>
      </c>
      <c r="G1808" t="s">
        <v>17</v>
      </c>
      <c r="H1808" t="s">
        <v>18</v>
      </c>
      <c r="I1808">
        <v>46.953999999999901</v>
      </c>
      <c r="J1808" t="s">
        <v>19</v>
      </c>
      <c r="K1808" t="s">
        <v>2493</v>
      </c>
      <c r="L1808" t="s">
        <v>21</v>
      </c>
    </row>
    <row r="1809" spans="1:12">
      <c r="A1809" t="s">
        <v>2494</v>
      </c>
      <c r="B1809" t="s">
        <v>2484</v>
      </c>
      <c r="C1809" t="s">
        <v>229</v>
      </c>
      <c r="D1809">
        <v>1962</v>
      </c>
      <c r="E1809" t="s">
        <v>23</v>
      </c>
      <c r="F1809" t="s">
        <v>24</v>
      </c>
      <c r="G1809" t="s">
        <v>25</v>
      </c>
      <c r="H1809" t="s">
        <v>26</v>
      </c>
      <c r="I1809">
        <v>4208858</v>
      </c>
      <c r="J1809" t="s">
        <v>27</v>
      </c>
      <c r="K1809" t="s">
        <v>2493</v>
      </c>
      <c r="L1809" t="s">
        <v>21</v>
      </c>
    </row>
    <row r="1810" spans="1:12">
      <c r="A1810" t="s">
        <v>2495</v>
      </c>
      <c r="B1810" t="s">
        <v>2484</v>
      </c>
      <c r="C1810" t="s">
        <v>229</v>
      </c>
      <c r="D1810">
        <v>1962</v>
      </c>
      <c r="E1810" t="s">
        <v>29</v>
      </c>
      <c r="F1810" t="s">
        <v>30</v>
      </c>
      <c r="G1810" t="s">
        <v>31</v>
      </c>
      <c r="H1810" t="s">
        <v>32</v>
      </c>
      <c r="I1810">
        <v>2750.364446</v>
      </c>
      <c r="J1810" t="s">
        <v>33</v>
      </c>
      <c r="K1810" t="s">
        <v>2493</v>
      </c>
      <c r="L1810" t="s">
        <v>21</v>
      </c>
    </row>
    <row r="1811" spans="1:12">
      <c r="A1811" t="s">
        <v>2496</v>
      </c>
      <c r="B1811" t="s">
        <v>2484</v>
      </c>
      <c r="C1811" t="s">
        <v>229</v>
      </c>
      <c r="D1811">
        <v>1967</v>
      </c>
      <c r="E1811" t="s">
        <v>15</v>
      </c>
      <c r="F1811" t="s">
        <v>16</v>
      </c>
      <c r="G1811" t="s">
        <v>17</v>
      </c>
      <c r="H1811" t="s">
        <v>18</v>
      </c>
      <c r="I1811">
        <v>50.015999999999998</v>
      </c>
      <c r="J1811" t="s">
        <v>19</v>
      </c>
      <c r="K1811" t="s">
        <v>2497</v>
      </c>
      <c r="L1811" t="s">
        <v>21</v>
      </c>
    </row>
    <row r="1812" spans="1:12">
      <c r="A1812" t="s">
        <v>2498</v>
      </c>
      <c r="B1812" t="s">
        <v>2484</v>
      </c>
      <c r="C1812" t="s">
        <v>229</v>
      </c>
      <c r="D1812">
        <v>1967</v>
      </c>
      <c r="E1812" t="s">
        <v>23</v>
      </c>
      <c r="F1812" t="s">
        <v>24</v>
      </c>
      <c r="G1812" t="s">
        <v>25</v>
      </c>
      <c r="H1812" t="s">
        <v>26</v>
      </c>
      <c r="I1812">
        <v>4690773</v>
      </c>
      <c r="J1812" t="s">
        <v>27</v>
      </c>
      <c r="K1812" t="s">
        <v>2497</v>
      </c>
      <c r="L1812" t="s">
        <v>21</v>
      </c>
    </row>
    <row r="1813" spans="1:12">
      <c r="A1813" t="s">
        <v>2499</v>
      </c>
      <c r="B1813" t="s">
        <v>2484</v>
      </c>
      <c r="C1813" t="s">
        <v>229</v>
      </c>
      <c r="D1813">
        <v>1967</v>
      </c>
      <c r="E1813" t="s">
        <v>29</v>
      </c>
      <c r="F1813" t="s">
        <v>30</v>
      </c>
      <c r="G1813" t="s">
        <v>31</v>
      </c>
      <c r="H1813" t="s">
        <v>32</v>
      </c>
      <c r="I1813">
        <v>3242.5311470000001</v>
      </c>
      <c r="J1813" t="s">
        <v>33</v>
      </c>
      <c r="K1813" t="s">
        <v>2497</v>
      </c>
      <c r="L1813" t="s">
        <v>21</v>
      </c>
    </row>
    <row r="1814" spans="1:12">
      <c r="A1814" t="s">
        <v>2500</v>
      </c>
      <c r="B1814" t="s">
        <v>2484</v>
      </c>
      <c r="C1814" t="s">
        <v>229</v>
      </c>
      <c r="D1814">
        <v>1972</v>
      </c>
      <c r="E1814" t="s">
        <v>15</v>
      </c>
      <c r="F1814" t="s">
        <v>16</v>
      </c>
      <c r="G1814" t="s">
        <v>17</v>
      </c>
      <c r="H1814" t="s">
        <v>18</v>
      </c>
      <c r="I1814">
        <v>53.738</v>
      </c>
      <c r="J1814" t="s">
        <v>19</v>
      </c>
      <c r="K1814" t="s">
        <v>2501</v>
      </c>
      <c r="L1814" t="s">
        <v>21</v>
      </c>
    </row>
    <row r="1815" spans="1:12">
      <c r="A1815" t="s">
        <v>2502</v>
      </c>
      <c r="B1815" t="s">
        <v>2484</v>
      </c>
      <c r="C1815" t="s">
        <v>229</v>
      </c>
      <c r="D1815">
        <v>1972</v>
      </c>
      <c r="E1815" t="s">
        <v>23</v>
      </c>
      <c r="F1815" t="s">
        <v>24</v>
      </c>
      <c r="G1815" t="s">
        <v>25</v>
      </c>
      <c r="H1815" t="s">
        <v>26</v>
      </c>
      <c r="I1815">
        <v>5149581</v>
      </c>
      <c r="J1815" t="s">
        <v>27</v>
      </c>
      <c r="K1815" t="s">
        <v>2501</v>
      </c>
      <c r="L1815" t="s">
        <v>21</v>
      </c>
    </row>
    <row r="1816" spans="1:12">
      <c r="A1816" t="s">
        <v>2503</v>
      </c>
      <c r="B1816" t="s">
        <v>2484</v>
      </c>
      <c r="C1816" t="s">
        <v>229</v>
      </c>
      <c r="D1816">
        <v>1972</v>
      </c>
      <c r="E1816" t="s">
        <v>29</v>
      </c>
      <c r="F1816" t="s">
        <v>30</v>
      </c>
      <c r="G1816" t="s">
        <v>31</v>
      </c>
      <c r="H1816" t="s">
        <v>32</v>
      </c>
      <c r="I1816">
        <v>4031.4082709999998</v>
      </c>
      <c r="J1816" t="s">
        <v>33</v>
      </c>
      <c r="K1816" t="s">
        <v>2501</v>
      </c>
      <c r="L1816" t="s">
        <v>21</v>
      </c>
    </row>
    <row r="1817" spans="1:12">
      <c r="A1817" t="s">
        <v>2504</v>
      </c>
      <c r="B1817" t="s">
        <v>2484</v>
      </c>
      <c r="C1817" t="s">
        <v>229</v>
      </c>
      <c r="D1817">
        <v>1977</v>
      </c>
      <c r="E1817" t="s">
        <v>15</v>
      </c>
      <c r="F1817" t="s">
        <v>16</v>
      </c>
      <c r="G1817" t="s">
        <v>17</v>
      </c>
      <c r="H1817" t="s">
        <v>18</v>
      </c>
      <c r="I1817">
        <v>56.029000000000003</v>
      </c>
      <c r="J1817" t="s">
        <v>19</v>
      </c>
      <c r="K1817" t="s">
        <v>2505</v>
      </c>
      <c r="L1817" t="s">
        <v>21</v>
      </c>
    </row>
    <row r="1818" spans="1:12">
      <c r="A1818" t="s">
        <v>2506</v>
      </c>
      <c r="B1818" t="s">
        <v>2484</v>
      </c>
      <c r="C1818" t="s">
        <v>229</v>
      </c>
      <c r="D1818">
        <v>1977</v>
      </c>
      <c r="E1818" t="s">
        <v>23</v>
      </c>
      <c r="F1818" t="s">
        <v>24</v>
      </c>
      <c r="G1818" t="s">
        <v>25</v>
      </c>
      <c r="H1818" t="s">
        <v>26</v>
      </c>
      <c r="I1818">
        <v>5703430</v>
      </c>
      <c r="J1818" t="s">
        <v>27</v>
      </c>
      <c r="K1818" t="s">
        <v>2505</v>
      </c>
      <c r="L1818" t="s">
        <v>21</v>
      </c>
    </row>
    <row r="1819" spans="1:12">
      <c r="A1819" t="s">
        <v>2507</v>
      </c>
      <c r="B1819" t="s">
        <v>2484</v>
      </c>
      <c r="C1819" t="s">
        <v>229</v>
      </c>
      <c r="D1819">
        <v>1977</v>
      </c>
      <c r="E1819" t="s">
        <v>29</v>
      </c>
      <c r="F1819" t="s">
        <v>30</v>
      </c>
      <c r="G1819" t="s">
        <v>31</v>
      </c>
      <c r="H1819" t="s">
        <v>32</v>
      </c>
      <c r="I1819">
        <v>4879.9927479999997</v>
      </c>
      <c r="J1819" t="s">
        <v>33</v>
      </c>
      <c r="K1819" t="s">
        <v>2505</v>
      </c>
      <c r="L1819" t="s">
        <v>21</v>
      </c>
    </row>
    <row r="1820" spans="1:12">
      <c r="A1820" t="s">
        <v>2508</v>
      </c>
      <c r="B1820" t="s">
        <v>2484</v>
      </c>
      <c r="C1820" t="s">
        <v>229</v>
      </c>
      <c r="D1820">
        <v>1982</v>
      </c>
      <c r="E1820" t="s">
        <v>15</v>
      </c>
      <c r="F1820" t="s">
        <v>16</v>
      </c>
      <c r="G1820" t="s">
        <v>17</v>
      </c>
      <c r="H1820" t="s">
        <v>18</v>
      </c>
      <c r="I1820">
        <v>58.137</v>
      </c>
      <c r="J1820" t="s">
        <v>19</v>
      </c>
      <c r="K1820" t="s">
        <v>2509</v>
      </c>
      <c r="L1820" t="s">
        <v>21</v>
      </c>
    </row>
    <row r="1821" spans="1:12">
      <c r="A1821" t="s">
        <v>2510</v>
      </c>
      <c r="B1821" t="s">
        <v>2484</v>
      </c>
      <c r="C1821" t="s">
        <v>229</v>
      </c>
      <c r="D1821">
        <v>1982</v>
      </c>
      <c r="E1821" t="s">
        <v>23</v>
      </c>
      <c r="F1821" t="s">
        <v>24</v>
      </c>
      <c r="G1821" t="s">
        <v>25</v>
      </c>
      <c r="H1821" t="s">
        <v>26</v>
      </c>
      <c r="I1821">
        <v>6395630</v>
      </c>
      <c r="J1821" t="s">
        <v>27</v>
      </c>
      <c r="K1821" t="s">
        <v>2509</v>
      </c>
      <c r="L1821" t="s">
        <v>21</v>
      </c>
    </row>
    <row r="1822" spans="1:12">
      <c r="A1822" t="s">
        <v>2511</v>
      </c>
      <c r="B1822" t="s">
        <v>2484</v>
      </c>
      <c r="C1822" t="s">
        <v>229</v>
      </c>
      <c r="D1822">
        <v>1982</v>
      </c>
      <c r="E1822" t="s">
        <v>29</v>
      </c>
      <c r="F1822" t="s">
        <v>30</v>
      </c>
      <c r="G1822" t="s">
        <v>31</v>
      </c>
      <c r="H1822" t="s">
        <v>32</v>
      </c>
      <c r="I1822">
        <v>4820.4947899999997</v>
      </c>
      <c r="J1822" t="s">
        <v>33</v>
      </c>
      <c r="K1822" t="s">
        <v>2509</v>
      </c>
      <c r="L1822" t="s">
        <v>21</v>
      </c>
    </row>
    <row r="1823" spans="1:12">
      <c r="A1823" t="s">
        <v>2512</v>
      </c>
      <c r="B1823" t="s">
        <v>2484</v>
      </c>
      <c r="C1823" t="s">
        <v>229</v>
      </c>
      <c r="D1823">
        <v>1987</v>
      </c>
      <c r="E1823" t="s">
        <v>15</v>
      </c>
      <c r="F1823" t="s">
        <v>16</v>
      </c>
      <c r="G1823" t="s">
        <v>17</v>
      </c>
      <c r="H1823" t="s">
        <v>18</v>
      </c>
      <c r="I1823">
        <v>60.781999999999996</v>
      </c>
      <c r="J1823" t="s">
        <v>19</v>
      </c>
      <c r="K1823" t="s">
        <v>2513</v>
      </c>
      <c r="L1823" t="s">
        <v>21</v>
      </c>
    </row>
    <row r="1824" spans="1:12">
      <c r="A1824" t="s">
        <v>2514</v>
      </c>
      <c r="B1824" t="s">
        <v>2484</v>
      </c>
      <c r="C1824" t="s">
        <v>229</v>
      </c>
      <c r="D1824">
        <v>1987</v>
      </c>
      <c r="E1824" t="s">
        <v>23</v>
      </c>
      <c r="F1824" t="s">
        <v>24</v>
      </c>
      <c r="G1824" t="s">
        <v>25</v>
      </c>
      <c r="H1824" t="s">
        <v>26</v>
      </c>
      <c r="I1824">
        <v>7326406</v>
      </c>
      <c r="J1824" t="s">
        <v>27</v>
      </c>
      <c r="K1824" t="s">
        <v>2513</v>
      </c>
      <c r="L1824" t="s">
        <v>21</v>
      </c>
    </row>
    <row r="1825" spans="1:12">
      <c r="A1825" t="s">
        <v>2515</v>
      </c>
      <c r="B1825" t="s">
        <v>2484</v>
      </c>
      <c r="C1825" t="s">
        <v>229</v>
      </c>
      <c r="D1825">
        <v>1987</v>
      </c>
      <c r="E1825" t="s">
        <v>29</v>
      </c>
      <c r="F1825" t="s">
        <v>30</v>
      </c>
      <c r="G1825" t="s">
        <v>31</v>
      </c>
      <c r="H1825" t="s">
        <v>32</v>
      </c>
      <c r="I1825">
        <v>4246.4859740000002</v>
      </c>
      <c r="J1825" t="s">
        <v>33</v>
      </c>
      <c r="K1825" t="s">
        <v>2513</v>
      </c>
      <c r="L1825" t="s">
        <v>21</v>
      </c>
    </row>
    <row r="1826" spans="1:12">
      <c r="A1826" t="s">
        <v>2516</v>
      </c>
      <c r="B1826" t="s">
        <v>2484</v>
      </c>
      <c r="C1826" t="s">
        <v>229</v>
      </c>
      <c r="D1826">
        <v>1992</v>
      </c>
      <c r="E1826" t="s">
        <v>15</v>
      </c>
      <c r="F1826" t="s">
        <v>16</v>
      </c>
      <c r="G1826" t="s">
        <v>17</v>
      </c>
      <c r="H1826" t="s">
        <v>18</v>
      </c>
      <c r="I1826">
        <v>63.372999999999998</v>
      </c>
      <c r="J1826" t="s">
        <v>19</v>
      </c>
      <c r="K1826" t="s">
        <v>2517</v>
      </c>
      <c r="L1826" t="s">
        <v>21</v>
      </c>
    </row>
    <row r="1827" spans="1:12">
      <c r="A1827" t="s">
        <v>2518</v>
      </c>
      <c r="B1827" t="s">
        <v>2484</v>
      </c>
      <c r="C1827" t="s">
        <v>229</v>
      </c>
      <c r="D1827">
        <v>1992</v>
      </c>
      <c r="E1827" t="s">
        <v>23</v>
      </c>
      <c r="F1827" t="s">
        <v>24</v>
      </c>
      <c r="G1827" t="s">
        <v>25</v>
      </c>
      <c r="H1827" t="s">
        <v>26</v>
      </c>
      <c r="I1827">
        <v>8486949</v>
      </c>
      <c r="J1827" t="s">
        <v>27</v>
      </c>
      <c r="K1827" t="s">
        <v>2517</v>
      </c>
      <c r="L1827" t="s">
        <v>21</v>
      </c>
    </row>
    <row r="1828" spans="1:12">
      <c r="A1828" t="s">
        <v>2519</v>
      </c>
      <c r="B1828" t="s">
        <v>2484</v>
      </c>
      <c r="C1828" t="s">
        <v>229</v>
      </c>
      <c r="D1828">
        <v>1992</v>
      </c>
      <c r="E1828" t="s">
        <v>29</v>
      </c>
      <c r="F1828" t="s">
        <v>30</v>
      </c>
      <c r="G1828" t="s">
        <v>31</v>
      </c>
      <c r="H1828" t="s">
        <v>32</v>
      </c>
      <c r="I1828">
        <v>4439.4508400000004</v>
      </c>
      <c r="J1828" t="s">
        <v>33</v>
      </c>
      <c r="K1828" t="s">
        <v>2517</v>
      </c>
      <c r="L1828" t="s">
        <v>21</v>
      </c>
    </row>
    <row r="1829" spans="1:12">
      <c r="A1829" t="s">
        <v>2520</v>
      </c>
      <c r="B1829" t="s">
        <v>2484</v>
      </c>
      <c r="C1829" t="s">
        <v>229</v>
      </c>
      <c r="D1829">
        <v>1997</v>
      </c>
      <c r="E1829" t="s">
        <v>15</v>
      </c>
      <c r="F1829" t="s">
        <v>16</v>
      </c>
      <c r="G1829" t="s">
        <v>17</v>
      </c>
      <c r="H1829" t="s">
        <v>18</v>
      </c>
      <c r="I1829">
        <v>66.322000000000003</v>
      </c>
      <c r="J1829" t="s">
        <v>19</v>
      </c>
      <c r="K1829" t="s">
        <v>2521</v>
      </c>
      <c r="L1829" t="s">
        <v>21</v>
      </c>
    </row>
    <row r="1830" spans="1:12">
      <c r="A1830" t="s">
        <v>2522</v>
      </c>
      <c r="B1830" t="s">
        <v>2484</v>
      </c>
      <c r="C1830" t="s">
        <v>229</v>
      </c>
      <c r="D1830">
        <v>1997</v>
      </c>
      <c r="E1830" t="s">
        <v>23</v>
      </c>
      <c r="F1830" t="s">
        <v>24</v>
      </c>
      <c r="G1830" t="s">
        <v>25</v>
      </c>
      <c r="H1830" t="s">
        <v>26</v>
      </c>
      <c r="I1830">
        <v>9803875</v>
      </c>
      <c r="J1830" t="s">
        <v>27</v>
      </c>
      <c r="K1830" t="s">
        <v>2521</v>
      </c>
      <c r="L1830" t="s">
        <v>21</v>
      </c>
    </row>
    <row r="1831" spans="1:12">
      <c r="A1831" t="s">
        <v>2523</v>
      </c>
      <c r="B1831" t="s">
        <v>2484</v>
      </c>
      <c r="C1831" t="s">
        <v>229</v>
      </c>
      <c r="D1831">
        <v>1997</v>
      </c>
      <c r="E1831" t="s">
        <v>29</v>
      </c>
      <c r="F1831" t="s">
        <v>30</v>
      </c>
      <c r="G1831" t="s">
        <v>31</v>
      </c>
      <c r="H1831" t="s">
        <v>32</v>
      </c>
      <c r="I1831">
        <v>4684.3138070000005</v>
      </c>
      <c r="J1831" t="s">
        <v>33</v>
      </c>
      <c r="K1831" t="s">
        <v>2521</v>
      </c>
      <c r="L1831" t="s">
        <v>21</v>
      </c>
    </row>
    <row r="1832" spans="1:12">
      <c r="A1832" t="s">
        <v>2524</v>
      </c>
      <c r="B1832" t="s">
        <v>2484</v>
      </c>
      <c r="C1832" t="s">
        <v>229</v>
      </c>
      <c r="D1832">
        <v>2002</v>
      </c>
      <c r="E1832" t="s">
        <v>15</v>
      </c>
      <c r="F1832" t="s">
        <v>16</v>
      </c>
      <c r="G1832" t="s">
        <v>17</v>
      </c>
      <c r="H1832" t="s">
        <v>18</v>
      </c>
      <c r="I1832">
        <v>68.977999999999994</v>
      </c>
      <c r="J1832" t="s">
        <v>19</v>
      </c>
      <c r="K1832" t="s">
        <v>2525</v>
      </c>
      <c r="L1832" t="s">
        <v>21</v>
      </c>
    </row>
    <row r="1833" spans="1:12">
      <c r="A1833" t="s">
        <v>2526</v>
      </c>
      <c r="B1833" t="s">
        <v>2484</v>
      </c>
      <c r="C1833" t="s">
        <v>229</v>
      </c>
      <c r="D1833">
        <v>2002</v>
      </c>
      <c r="E1833" t="s">
        <v>23</v>
      </c>
      <c r="F1833" t="s">
        <v>24</v>
      </c>
      <c r="G1833" t="s">
        <v>25</v>
      </c>
      <c r="H1833" t="s">
        <v>26</v>
      </c>
      <c r="I1833">
        <v>11178650</v>
      </c>
      <c r="J1833" t="s">
        <v>27</v>
      </c>
      <c r="K1833" t="s">
        <v>2525</v>
      </c>
      <c r="L1833" t="s">
        <v>21</v>
      </c>
    </row>
    <row r="1834" spans="1:12">
      <c r="A1834" t="s">
        <v>2527</v>
      </c>
      <c r="B1834" t="s">
        <v>2484</v>
      </c>
      <c r="C1834" t="s">
        <v>229</v>
      </c>
      <c r="D1834">
        <v>2002</v>
      </c>
      <c r="E1834" t="s">
        <v>29</v>
      </c>
      <c r="F1834" t="s">
        <v>30</v>
      </c>
      <c r="G1834" t="s">
        <v>31</v>
      </c>
      <c r="H1834" t="s">
        <v>32</v>
      </c>
      <c r="I1834">
        <v>4858.347495</v>
      </c>
      <c r="J1834" t="s">
        <v>33</v>
      </c>
      <c r="K1834" t="s">
        <v>2525</v>
      </c>
      <c r="L1834" t="s">
        <v>21</v>
      </c>
    </row>
    <row r="1835" spans="1:12">
      <c r="A1835" t="s">
        <v>2528</v>
      </c>
      <c r="B1835" t="s">
        <v>2484</v>
      </c>
      <c r="C1835" t="s">
        <v>229</v>
      </c>
      <c r="D1835">
        <v>2007</v>
      </c>
      <c r="E1835" t="s">
        <v>15</v>
      </c>
      <c r="F1835" t="s">
        <v>16</v>
      </c>
      <c r="G1835" t="s">
        <v>17</v>
      </c>
      <c r="H1835" t="s">
        <v>18</v>
      </c>
      <c r="I1835">
        <v>70.259</v>
      </c>
      <c r="J1835" t="s">
        <v>19</v>
      </c>
      <c r="K1835" t="s">
        <v>2529</v>
      </c>
      <c r="L1835" t="s">
        <v>21</v>
      </c>
    </row>
    <row r="1836" spans="1:12">
      <c r="A1836" t="s">
        <v>2530</v>
      </c>
      <c r="B1836" t="s">
        <v>2484</v>
      </c>
      <c r="C1836" t="s">
        <v>229</v>
      </c>
      <c r="D1836">
        <v>2007</v>
      </c>
      <c r="E1836" t="s">
        <v>23</v>
      </c>
      <c r="F1836" t="s">
        <v>24</v>
      </c>
      <c r="G1836" t="s">
        <v>25</v>
      </c>
      <c r="H1836" t="s">
        <v>26</v>
      </c>
      <c r="I1836">
        <v>12572928</v>
      </c>
      <c r="J1836" t="s">
        <v>27</v>
      </c>
      <c r="K1836" t="s">
        <v>2529</v>
      </c>
      <c r="L1836" t="s">
        <v>21</v>
      </c>
    </row>
    <row r="1837" spans="1:12">
      <c r="A1837" t="s">
        <v>2531</v>
      </c>
      <c r="B1837" t="s">
        <v>2484</v>
      </c>
      <c r="C1837" t="s">
        <v>229</v>
      </c>
      <c r="D1837">
        <v>2007</v>
      </c>
      <c r="E1837" t="s">
        <v>29</v>
      </c>
      <c r="F1837" t="s">
        <v>30</v>
      </c>
      <c r="G1837" t="s">
        <v>31</v>
      </c>
      <c r="H1837" t="s">
        <v>32</v>
      </c>
      <c r="I1837">
        <v>5186.0500030000003</v>
      </c>
      <c r="J1837" t="s">
        <v>33</v>
      </c>
      <c r="K1837" t="s">
        <v>2529</v>
      </c>
      <c r="L1837" t="s">
        <v>21</v>
      </c>
    </row>
    <row r="1838" spans="1:12">
      <c r="A1838" t="s">
        <v>2532</v>
      </c>
      <c r="B1838" t="s">
        <v>2533</v>
      </c>
      <c r="C1838" t="s">
        <v>130</v>
      </c>
      <c r="D1838">
        <v>1952</v>
      </c>
      <c r="E1838" t="s">
        <v>15</v>
      </c>
      <c r="F1838" t="s">
        <v>16</v>
      </c>
      <c r="G1838" t="s">
        <v>17</v>
      </c>
      <c r="H1838" t="s">
        <v>18</v>
      </c>
      <c r="I1838">
        <v>33.609000000000002</v>
      </c>
      <c r="J1838" t="s">
        <v>19</v>
      </c>
      <c r="K1838" t="s">
        <v>2534</v>
      </c>
      <c r="L1838" t="s">
        <v>21</v>
      </c>
    </row>
    <row r="1839" spans="1:12">
      <c r="A1839" t="s">
        <v>2535</v>
      </c>
      <c r="B1839" t="s">
        <v>2533</v>
      </c>
      <c r="C1839" t="s">
        <v>130</v>
      </c>
      <c r="D1839">
        <v>1952</v>
      </c>
      <c r="E1839" t="s">
        <v>23</v>
      </c>
      <c r="F1839" t="s">
        <v>24</v>
      </c>
      <c r="G1839" t="s">
        <v>25</v>
      </c>
      <c r="H1839" t="s">
        <v>26</v>
      </c>
      <c r="I1839">
        <v>2664249</v>
      </c>
      <c r="J1839" t="s">
        <v>27</v>
      </c>
      <c r="K1839" t="s">
        <v>2534</v>
      </c>
      <c r="L1839" t="s">
        <v>21</v>
      </c>
    </row>
    <row r="1840" spans="1:12">
      <c r="A1840" t="s">
        <v>2536</v>
      </c>
      <c r="B1840" t="s">
        <v>2533</v>
      </c>
      <c r="C1840" t="s">
        <v>130</v>
      </c>
      <c r="D1840">
        <v>1952</v>
      </c>
      <c r="E1840" t="s">
        <v>29</v>
      </c>
      <c r="F1840" t="s">
        <v>30</v>
      </c>
      <c r="G1840" t="s">
        <v>31</v>
      </c>
      <c r="H1840" t="s">
        <v>32</v>
      </c>
      <c r="I1840">
        <v>510.19649229999999</v>
      </c>
      <c r="J1840" t="s">
        <v>33</v>
      </c>
      <c r="K1840" t="s">
        <v>2534</v>
      </c>
      <c r="L1840" t="s">
        <v>21</v>
      </c>
    </row>
    <row r="1841" spans="1:12">
      <c r="A1841" t="s">
        <v>2537</v>
      </c>
      <c r="B1841" t="s">
        <v>2533</v>
      </c>
      <c r="C1841" t="s">
        <v>130</v>
      </c>
      <c r="D1841">
        <v>1957</v>
      </c>
      <c r="E1841" t="s">
        <v>15</v>
      </c>
      <c r="F1841" t="s">
        <v>16</v>
      </c>
      <c r="G1841" t="s">
        <v>17</v>
      </c>
      <c r="H1841" t="s">
        <v>18</v>
      </c>
      <c r="I1841">
        <v>34.558</v>
      </c>
      <c r="J1841" t="s">
        <v>19</v>
      </c>
      <c r="K1841" t="s">
        <v>2538</v>
      </c>
      <c r="L1841" t="s">
        <v>21</v>
      </c>
    </row>
    <row r="1842" spans="1:12">
      <c r="A1842" t="s">
        <v>2539</v>
      </c>
      <c r="B1842" t="s">
        <v>2533</v>
      </c>
      <c r="C1842" t="s">
        <v>130</v>
      </c>
      <c r="D1842">
        <v>1957</v>
      </c>
      <c r="E1842" t="s">
        <v>23</v>
      </c>
      <c r="F1842" t="s">
        <v>24</v>
      </c>
      <c r="G1842" t="s">
        <v>25</v>
      </c>
      <c r="H1842" t="s">
        <v>26</v>
      </c>
      <c r="I1842">
        <v>2876726</v>
      </c>
      <c r="J1842" t="s">
        <v>27</v>
      </c>
      <c r="K1842" t="s">
        <v>2538</v>
      </c>
      <c r="L1842" t="s">
        <v>21</v>
      </c>
    </row>
    <row r="1843" spans="1:12">
      <c r="A1843" t="s">
        <v>2540</v>
      </c>
      <c r="B1843" t="s">
        <v>2533</v>
      </c>
      <c r="C1843" t="s">
        <v>130</v>
      </c>
      <c r="D1843">
        <v>1957</v>
      </c>
      <c r="E1843" t="s">
        <v>29</v>
      </c>
      <c r="F1843" t="s">
        <v>30</v>
      </c>
      <c r="G1843" t="s">
        <v>31</v>
      </c>
      <c r="H1843" t="s">
        <v>32</v>
      </c>
      <c r="I1843">
        <v>576.26702450000005</v>
      </c>
      <c r="J1843" t="s">
        <v>33</v>
      </c>
      <c r="K1843" t="s">
        <v>2538</v>
      </c>
      <c r="L1843" t="s">
        <v>21</v>
      </c>
    </row>
    <row r="1844" spans="1:12">
      <c r="A1844" t="s">
        <v>2541</v>
      </c>
      <c r="B1844" t="s">
        <v>2533</v>
      </c>
      <c r="C1844" t="s">
        <v>130</v>
      </c>
      <c r="D1844">
        <v>1962</v>
      </c>
      <c r="E1844" t="s">
        <v>15</v>
      </c>
      <c r="F1844" t="s">
        <v>16</v>
      </c>
      <c r="G1844" t="s">
        <v>17</v>
      </c>
      <c r="H1844" t="s">
        <v>18</v>
      </c>
      <c r="I1844">
        <v>35.753</v>
      </c>
      <c r="J1844" t="s">
        <v>19</v>
      </c>
      <c r="K1844" t="s">
        <v>2542</v>
      </c>
      <c r="L1844" t="s">
        <v>21</v>
      </c>
    </row>
    <row r="1845" spans="1:12">
      <c r="A1845" t="s">
        <v>2543</v>
      </c>
      <c r="B1845" t="s">
        <v>2533</v>
      </c>
      <c r="C1845" t="s">
        <v>130</v>
      </c>
      <c r="D1845">
        <v>1962</v>
      </c>
      <c r="E1845" t="s">
        <v>23</v>
      </c>
      <c r="F1845" t="s">
        <v>24</v>
      </c>
      <c r="G1845" t="s">
        <v>25</v>
      </c>
      <c r="H1845" t="s">
        <v>26</v>
      </c>
      <c r="I1845">
        <v>3140003</v>
      </c>
      <c r="J1845" t="s">
        <v>27</v>
      </c>
      <c r="K1845" t="s">
        <v>2542</v>
      </c>
      <c r="L1845" t="s">
        <v>21</v>
      </c>
    </row>
    <row r="1846" spans="1:12">
      <c r="A1846" t="s">
        <v>2544</v>
      </c>
      <c r="B1846" t="s">
        <v>2533</v>
      </c>
      <c r="C1846" t="s">
        <v>130</v>
      </c>
      <c r="D1846">
        <v>1962</v>
      </c>
      <c r="E1846" t="s">
        <v>29</v>
      </c>
      <c r="F1846" t="s">
        <v>30</v>
      </c>
      <c r="G1846" t="s">
        <v>31</v>
      </c>
      <c r="H1846" t="s">
        <v>32</v>
      </c>
      <c r="I1846">
        <v>686.37367389999997</v>
      </c>
      <c r="J1846" t="s">
        <v>33</v>
      </c>
      <c r="K1846" t="s">
        <v>2542</v>
      </c>
      <c r="L1846" t="s">
        <v>21</v>
      </c>
    </row>
    <row r="1847" spans="1:12">
      <c r="A1847" t="s">
        <v>2545</v>
      </c>
      <c r="B1847" t="s">
        <v>2533</v>
      </c>
      <c r="C1847" t="s">
        <v>130</v>
      </c>
      <c r="D1847">
        <v>1967</v>
      </c>
      <c r="E1847" t="s">
        <v>15</v>
      </c>
      <c r="F1847" t="s">
        <v>16</v>
      </c>
      <c r="G1847" t="s">
        <v>17</v>
      </c>
      <c r="H1847" t="s">
        <v>18</v>
      </c>
      <c r="I1847">
        <v>37.197000000000003</v>
      </c>
      <c r="J1847" t="s">
        <v>19</v>
      </c>
      <c r="K1847" t="s">
        <v>2546</v>
      </c>
      <c r="L1847" t="s">
        <v>21</v>
      </c>
    </row>
    <row r="1848" spans="1:12">
      <c r="A1848" t="s">
        <v>2547</v>
      </c>
      <c r="B1848" t="s">
        <v>2533</v>
      </c>
      <c r="C1848" t="s">
        <v>130</v>
      </c>
      <c r="D1848">
        <v>1967</v>
      </c>
      <c r="E1848" t="s">
        <v>23</v>
      </c>
      <c r="F1848" t="s">
        <v>24</v>
      </c>
      <c r="G1848" t="s">
        <v>25</v>
      </c>
      <c r="H1848" t="s">
        <v>26</v>
      </c>
      <c r="I1848">
        <v>3451418</v>
      </c>
      <c r="J1848" t="s">
        <v>27</v>
      </c>
      <c r="K1848" t="s">
        <v>2546</v>
      </c>
      <c r="L1848" t="s">
        <v>21</v>
      </c>
    </row>
    <row r="1849" spans="1:12">
      <c r="A1849" t="s">
        <v>2548</v>
      </c>
      <c r="B1849" t="s">
        <v>2533</v>
      </c>
      <c r="C1849" t="s">
        <v>130</v>
      </c>
      <c r="D1849">
        <v>1967</v>
      </c>
      <c r="E1849" t="s">
        <v>29</v>
      </c>
      <c r="F1849" t="s">
        <v>30</v>
      </c>
      <c r="G1849" t="s">
        <v>31</v>
      </c>
      <c r="H1849" t="s">
        <v>32</v>
      </c>
      <c r="I1849">
        <v>708.75954090000005</v>
      </c>
      <c r="J1849" t="s">
        <v>33</v>
      </c>
      <c r="K1849" t="s">
        <v>2546</v>
      </c>
      <c r="L1849" t="s">
        <v>21</v>
      </c>
    </row>
    <row r="1850" spans="1:12">
      <c r="A1850" t="s">
        <v>2549</v>
      </c>
      <c r="B1850" t="s">
        <v>2533</v>
      </c>
      <c r="C1850" t="s">
        <v>130</v>
      </c>
      <c r="D1850">
        <v>1972</v>
      </c>
      <c r="E1850" t="s">
        <v>15</v>
      </c>
      <c r="F1850" t="s">
        <v>16</v>
      </c>
      <c r="G1850" t="s">
        <v>17</v>
      </c>
      <c r="H1850" t="s">
        <v>18</v>
      </c>
      <c r="I1850">
        <v>38.841999999999999</v>
      </c>
      <c r="J1850" t="s">
        <v>19</v>
      </c>
      <c r="K1850" t="s">
        <v>2550</v>
      </c>
      <c r="L1850" t="s">
        <v>21</v>
      </c>
    </row>
    <row r="1851" spans="1:12">
      <c r="A1851" t="s">
        <v>2551</v>
      </c>
      <c r="B1851" t="s">
        <v>2533</v>
      </c>
      <c r="C1851" t="s">
        <v>130</v>
      </c>
      <c r="D1851">
        <v>1972</v>
      </c>
      <c r="E1851" t="s">
        <v>23</v>
      </c>
      <c r="F1851" t="s">
        <v>24</v>
      </c>
      <c r="G1851" t="s">
        <v>25</v>
      </c>
      <c r="H1851" t="s">
        <v>26</v>
      </c>
      <c r="I1851">
        <v>3811387</v>
      </c>
      <c r="J1851" t="s">
        <v>27</v>
      </c>
      <c r="K1851" t="s">
        <v>2550</v>
      </c>
      <c r="L1851" t="s">
        <v>21</v>
      </c>
    </row>
    <row r="1852" spans="1:12">
      <c r="A1852" t="s">
        <v>2552</v>
      </c>
      <c r="B1852" t="s">
        <v>2533</v>
      </c>
      <c r="C1852" t="s">
        <v>130</v>
      </c>
      <c r="D1852">
        <v>1972</v>
      </c>
      <c r="E1852" t="s">
        <v>29</v>
      </c>
      <c r="F1852" t="s">
        <v>30</v>
      </c>
      <c r="G1852" t="s">
        <v>31</v>
      </c>
      <c r="H1852" t="s">
        <v>32</v>
      </c>
      <c r="I1852">
        <v>741.66623070000003</v>
      </c>
      <c r="J1852" t="s">
        <v>33</v>
      </c>
      <c r="K1852" t="s">
        <v>2550</v>
      </c>
      <c r="L1852" t="s">
        <v>21</v>
      </c>
    </row>
    <row r="1853" spans="1:12">
      <c r="A1853" t="s">
        <v>2553</v>
      </c>
      <c r="B1853" t="s">
        <v>2533</v>
      </c>
      <c r="C1853" t="s">
        <v>130</v>
      </c>
      <c r="D1853">
        <v>1977</v>
      </c>
      <c r="E1853" t="s">
        <v>15</v>
      </c>
      <c r="F1853" t="s">
        <v>16</v>
      </c>
      <c r="G1853" t="s">
        <v>17</v>
      </c>
      <c r="H1853" t="s">
        <v>18</v>
      </c>
      <c r="I1853">
        <v>40.762</v>
      </c>
      <c r="J1853" t="s">
        <v>19</v>
      </c>
      <c r="K1853" t="s">
        <v>2554</v>
      </c>
      <c r="L1853" t="s">
        <v>21</v>
      </c>
    </row>
    <row r="1854" spans="1:12">
      <c r="A1854" t="s">
        <v>2555</v>
      </c>
      <c r="B1854" t="s">
        <v>2533</v>
      </c>
      <c r="C1854" t="s">
        <v>130</v>
      </c>
      <c r="D1854">
        <v>1977</v>
      </c>
      <c r="E1854" t="s">
        <v>23</v>
      </c>
      <c r="F1854" t="s">
        <v>24</v>
      </c>
      <c r="G1854" t="s">
        <v>25</v>
      </c>
      <c r="H1854" t="s">
        <v>26</v>
      </c>
      <c r="I1854">
        <v>4227026</v>
      </c>
      <c r="J1854" t="s">
        <v>27</v>
      </c>
      <c r="K1854" t="s">
        <v>2554</v>
      </c>
      <c r="L1854" t="s">
        <v>21</v>
      </c>
    </row>
    <row r="1855" spans="1:12">
      <c r="A1855" t="s">
        <v>2556</v>
      </c>
      <c r="B1855" t="s">
        <v>2533</v>
      </c>
      <c r="C1855" t="s">
        <v>130</v>
      </c>
      <c r="D1855">
        <v>1977</v>
      </c>
      <c r="E1855" t="s">
        <v>29</v>
      </c>
      <c r="F1855" t="s">
        <v>30</v>
      </c>
      <c r="G1855" t="s">
        <v>31</v>
      </c>
      <c r="H1855" t="s">
        <v>32</v>
      </c>
      <c r="I1855">
        <v>874.68586429999903</v>
      </c>
      <c r="J1855" t="s">
        <v>33</v>
      </c>
      <c r="K1855" t="s">
        <v>2554</v>
      </c>
      <c r="L1855" t="s">
        <v>21</v>
      </c>
    </row>
    <row r="1856" spans="1:12">
      <c r="A1856" t="s">
        <v>2557</v>
      </c>
      <c r="B1856" t="s">
        <v>2533</v>
      </c>
      <c r="C1856" t="s">
        <v>130</v>
      </c>
      <c r="D1856">
        <v>1982</v>
      </c>
      <c r="E1856" t="s">
        <v>15</v>
      </c>
      <c r="F1856" t="s">
        <v>16</v>
      </c>
      <c r="G1856" t="s">
        <v>17</v>
      </c>
      <c r="H1856" t="s">
        <v>18</v>
      </c>
      <c r="I1856">
        <v>42.890999999999998</v>
      </c>
      <c r="J1856" t="s">
        <v>19</v>
      </c>
      <c r="K1856" t="s">
        <v>2558</v>
      </c>
      <c r="L1856" t="s">
        <v>21</v>
      </c>
    </row>
    <row r="1857" spans="1:12">
      <c r="A1857" t="s">
        <v>2559</v>
      </c>
      <c r="B1857" t="s">
        <v>2533</v>
      </c>
      <c r="C1857" t="s">
        <v>130</v>
      </c>
      <c r="D1857">
        <v>1982</v>
      </c>
      <c r="E1857" t="s">
        <v>23</v>
      </c>
      <c r="F1857" t="s">
        <v>24</v>
      </c>
      <c r="G1857" t="s">
        <v>25</v>
      </c>
      <c r="H1857" t="s">
        <v>26</v>
      </c>
      <c r="I1857">
        <v>4710497</v>
      </c>
      <c r="J1857" t="s">
        <v>27</v>
      </c>
      <c r="K1857" t="s">
        <v>2558</v>
      </c>
      <c r="L1857" t="s">
        <v>21</v>
      </c>
    </row>
    <row r="1858" spans="1:12">
      <c r="A1858" t="s">
        <v>2560</v>
      </c>
      <c r="B1858" t="s">
        <v>2533</v>
      </c>
      <c r="C1858" t="s">
        <v>130</v>
      </c>
      <c r="D1858">
        <v>1982</v>
      </c>
      <c r="E1858" t="s">
        <v>29</v>
      </c>
      <c r="F1858" t="s">
        <v>30</v>
      </c>
      <c r="G1858" t="s">
        <v>31</v>
      </c>
      <c r="H1858" t="s">
        <v>32</v>
      </c>
      <c r="I1858">
        <v>857.2503577</v>
      </c>
      <c r="J1858" t="s">
        <v>33</v>
      </c>
      <c r="K1858" t="s">
        <v>2558</v>
      </c>
      <c r="L1858" t="s">
        <v>21</v>
      </c>
    </row>
    <row r="1859" spans="1:12">
      <c r="A1859" t="s">
        <v>2561</v>
      </c>
      <c r="B1859" t="s">
        <v>2533</v>
      </c>
      <c r="C1859" t="s">
        <v>130</v>
      </c>
      <c r="D1859">
        <v>1987</v>
      </c>
      <c r="E1859" t="s">
        <v>15</v>
      </c>
      <c r="F1859" t="s">
        <v>16</v>
      </c>
      <c r="G1859" t="s">
        <v>17</v>
      </c>
      <c r="H1859" t="s">
        <v>18</v>
      </c>
      <c r="I1859">
        <v>45.552</v>
      </c>
      <c r="J1859" t="s">
        <v>19</v>
      </c>
      <c r="K1859" t="s">
        <v>2562</v>
      </c>
      <c r="L1859" t="s">
        <v>21</v>
      </c>
    </row>
    <row r="1860" spans="1:12">
      <c r="A1860" t="s">
        <v>2563</v>
      </c>
      <c r="B1860" t="s">
        <v>2533</v>
      </c>
      <c r="C1860" t="s">
        <v>130</v>
      </c>
      <c r="D1860">
        <v>1987</v>
      </c>
      <c r="E1860" t="s">
        <v>23</v>
      </c>
      <c r="F1860" t="s">
        <v>24</v>
      </c>
      <c r="G1860" t="s">
        <v>25</v>
      </c>
      <c r="H1860" t="s">
        <v>26</v>
      </c>
      <c r="I1860">
        <v>5650262</v>
      </c>
      <c r="J1860" t="s">
        <v>27</v>
      </c>
      <c r="K1860" t="s">
        <v>2562</v>
      </c>
      <c r="L1860" t="s">
        <v>21</v>
      </c>
    </row>
    <row r="1861" spans="1:12">
      <c r="A1861" t="s">
        <v>2564</v>
      </c>
      <c r="B1861" t="s">
        <v>2533</v>
      </c>
      <c r="C1861" t="s">
        <v>130</v>
      </c>
      <c r="D1861">
        <v>1987</v>
      </c>
      <c r="E1861" t="s">
        <v>29</v>
      </c>
      <c r="F1861" t="s">
        <v>30</v>
      </c>
      <c r="G1861" t="s">
        <v>31</v>
      </c>
      <c r="H1861" t="s">
        <v>32</v>
      </c>
      <c r="I1861">
        <v>805.57247179999899</v>
      </c>
      <c r="J1861" t="s">
        <v>33</v>
      </c>
      <c r="K1861" t="s">
        <v>2562</v>
      </c>
      <c r="L1861" t="s">
        <v>21</v>
      </c>
    </row>
    <row r="1862" spans="1:12">
      <c r="A1862" t="s">
        <v>2565</v>
      </c>
      <c r="B1862" t="s">
        <v>2533</v>
      </c>
      <c r="C1862" t="s">
        <v>130</v>
      </c>
      <c r="D1862">
        <v>1992</v>
      </c>
      <c r="E1862" t="s">
        <v>15</v>
      </c>
      <c r="F1862" t="s">
        <v>16</v>
      </c>
      <c r="G1862" t="s">
        <v>17</v>
      </c>
      <c r="H1862" t="s">
        <v>18</v>
      </c>
      <c r="I1862">
        <v>48.576000000000001</v>
      </c>
      <c r="J1862" t="s">
        <v>19</v>
      </c>
      <c r="K1862" t="s">
        <v>2566</v>
      </c>
      <c r="L1862" t="s">
        <v>21</v>
      </c>
    </row>
    <row r="1863" spans="1:12">
      <c r="A1863" t="s">
        <v>2567</v>
      </c>
      <c r="B1863" t="s">
        <v>2533</v>
      </c>
      <c r="C1863" t="s">
        <v>130</v>
      </c>
      <c r="D1863">
        <v>1992</v>
      </c>
      <c r="E1863" t="s">
        <v>23</v>
      </c>
      <c r="F1863" t="s">
        <v>24</v>
      </c>
      <c r="G1863" t="s">
        <v>25</v>
      </c>
      <c r="H1863" t="s">
        <v>26</v>
      </c>
      <c r="I1863">
        <v>6990574</v>
      </c>
      <c r="J1863" t="s">
        <v>27</v>
      </c>
      <c r="K1863" t="s">
        <v>2566</v>
      </c>
      <c r="L1863" t="s">
        <v>21</v>
      </c>
    </row>
    <row r="1864" spans="1:12">
      <c r="A1864" t="s">
        <v>2568</v>
      </c>
      <c r="B1864" t="s">
        <v>2533</v>
      </c>
      <c r="C1864" t="s">
        <v>130</v>
      </c>
      <c r="D1864">
        <v>1992</v>
      </c>
      <c r="E1864" t="s">
        <v>29</v>
      </c>
      <c r="F1864" t="s">
        <v>30</v>
      </c>
      <c r="G1864" t="s">
        <v>31</v>
      </c>
      <c r="H1864" t="s">
        <v>32</v>
      </c>
      <c r="I1864">
        <v>794.34843839999996</v>
      </c>
      <c r="J1864" t="s">
        <v>33</v>
      </c>
      <c r="K1864" t="s">
        <v>2566</v>
      </c>
      <c r="L1864" t="s">
        <v>21</v>
      </c>
    </row>
    <row r="1865" spans="1:12">
      <c r="A1865" t="s">
        <v>2569</v>
      </c>
      <c r="B1865" t="s">
        <v>2533</v>
      </c>
      <c r="C1865" t="s">
        <v>130</v>
      </c>
      <c r="D1865">
        <v>1997</v>
      </c>
      <c r="E1865" t="s">
        <v>15</v>
      </c>
      <c r="F1865" t="s">
        <v>16</v>
      </c>
      <c r="G1865" t="s">
        <v>17</v>
      </c>
      <c r="H1865" t="s">
        <v>18</v>
      </c>
      <c r="I1865">
        <v>51.454999999999998</v>
      </c>
      <c r="J1865" t="s">
        <v>19</v>
      </c>
      <c r="K1865" t="s">
        <v>2570</v>
      </c>
      <c r="L1865" t="s">
        <v>21</v>
      </c>
    </row>
    <row r="1866" spans="1:12">
      <c r="A1866" t="s">
        <v>2571</v>
      </c>
      <c r="B1866" t="s">
        <v>2533</v>
      </c>
      <c r="C1866" t="s">
        <v>130</v>
      </c>
      <c r="D1866">
        <v>1997</v>
      </c>
      <c r="E1866" t="s">
        <v>23</v>
      </c>
      <c r="F1866" t="s">
        <v>24</v>
      </c>
      <c r="G1866" t="s">
        <v>25</v>
      </c>
      <c r="H1866" t="s">
        <v>26</v>
      </c>
      <c r="I1866">
        <v>8048834</v>
      </c>
      <c r="J1866" t="s">
        <v>27</v>
      </c>
      <c r="K1866" t="s">
        <v>2570</v>
      </c>
      <c r="L1866" t="s">
        <v>21</v>
      </c>
    </row>
    <row r="1867" spans="1:12">
      <c r="A1867" t="s">
        <v>2572</v>
      </c>
      <c r="B1867" t="s">
        <v>2533</v>
      </c>
      <c r="C1867" t="s">
        <v>130</v>
      </c>
      <c r="D1867">
        <v>1997</v>
      </c>
      <c r="E1867" t="s">
        <v>29</v>
      </c>
      <c r="F1867" t="s">
        <v>30</v>
      </c>
      <c r="G1867" t="s">
        <v>31</v>
      </c>
      <c r="H1867" t="s">
        <v>32</v>
      </c>
      <c r="I1867">
        <v>869.449766799999</v>
      </c>
      <c r="J1867" t="s">
        <v>33</v>
      </c>
      <c r="K1867" t="s">
        <v>2570</v>
      </c>
      <c r="L1867" t="s">
        <v>21</v>
      </c>
    </row>
    <row r="1868" spans="1:12">
      <c r="A1868" t="s">
        <v>2573</v>
      </c>
      <c r="B1868" t="s">
        <v>2533</v>
      </c>
      <c r="C1868" t="s">
        <v>130</v>
      </c>
      <c r="D1868">
        <v>2002</v>
      </c>
      <c r="E1868" t="s">
        <v>15</v>
      </c>
      <c r="F1868" t="s">
        <v>16</v>
      </c>
      <c r="G1868" t="s">
        <v>17</v>
      </c>
      <c r="H1868" t="s">
        <v>18</v>
      </c>
      <c r="I1868">
        <v>53.676000000000002</v>
      </c>
      <c r="J1868" t="s">
        <v>19</v>
      </c>
      <c r="K1868" t="s">
        <v>2574</v>
      </c>
      <c r="L1868" t="s">
        <v>21</v>
      </c>
    </row>
    <row r="1869" spans="1:12">
      <c r="A1869" t="s">
        <v>2575</v>
      </c>
      <c r="B1869" t="s">
        <v>2533</v>
      </c>
      <c r="C1869" t="s">
        <v>130</v>
      </c>
      <c r="D1869">
        <v>2002</v>
      </c>
      <c r="E1869" t="s">
        <v>23</v>
      </c>
      <c r="F1869" t="s">
        <v>24</v>
      </c>
      <c r="G1869" t="s">
        <v>25</v>
      </c>
      <c r="H1869" t="s">
        <v>26</v>
      </c>
      <c r="I1869">
        <v>8807818</v>
      </c>
      <c r="J1869" t="s">
        <v>27</v>
      </c>
      <c r="K1869" t="s">
        <v>2574</v>
      </c>
      <c r="L1869" t="s">
        <v>21</v>
      </c>
    </row>
    <row r="1870" spans="1:12">
      <c r="A1870" t="s">
        <v>2576</v>
      </c>
      <c r="B1870" t="s">
        <v>2533</v>
      </c>
      <c r="C1870" t="s">
        <v>130</v>
      </c>
      <c r="D1870">
        <v>2002</v>
      </c>
      <c r="E1870" t="s">
        <v>29</v>
      </c>
      <c r="F1870" t="s">
        <v>30</v>
      </c>
      <c r="G1870" t="s">
        <v>31</v>
      </c>
      <c r="H1870" t="s">
        <v>32</v>
      </c>
      <c r="I1870">
        <v>945.58358369999996</v>
      </c>
      <c r="J1870" t="s">
        <v>33</v>
      </c>
      <c r="K1870" t="s">
        <v>2574</v>
      </c>
      <c r="L1870" t="s">
        <v>21</v>
      </c>
    </row>
    <row r="1871" spans="1:12">
      <c r="A1871" t="s">
        <v>2577</v>
      </c>
      <c r="B1871" t="s">
        <v>2533</v>
      </c>
      <c r="C1871" t="s">
        <v>130</v>
      </c>
      <c r="D1871">
        <v>2007</v>
      </c>
      <c r="E1871" t="s">
        <v>15</v>
      </c>
      <c r="F1871" t="s">
        <v>16</v>
      </c>
      <c r="G1871" t="s">
        <v>17</v>
      </c>
      <c r="H1871" t="s">
        <v>18</v>
      </c>
      <c r="I1871">
        <v>56.006999999999998</v>
      </c>
      <c r="J1871" t="s">
        <v>19</v>
      </c>
      <c r="K1871" t="s">
        <v>2578</v>
      </c>
      <c r="L1871" t="s">
        <v>21</v>
      </c>
    </row>
    <row r="1872" spans="1:12">
      <c r="A1872" t="s">
        <v>2579</v>
      </c>
      <c r="B1872" t="s">
        <v>2533</v>
      </c>
      <c r="C1872" t="s">
        <v>130</v>
      </c>
      <c r="D1872">
        <v>2007</v>
      </c>
      <c r="E1872" t="s">
        <v>23</v>
      </c>
      <c r="F1872" t="s">
        <v>24</v>
      </c>
      <c r="G1872" t="s">
        <v>25</v>
      </c>
      <c r="H1872" t="s">
        <v>26</v>
      </c>
      <c r="I1872">
        <v>9947814</v>
      </c>
      <c r="J1872" t="s">
        <v>27</v>
      </c>
      <c r="K1872" t="s">
        <v>2578</v>
      </c>
      <c r="L1872" t="s">
        <v>21</v>
      </c>
    </row>
    <row r="1873" spans="1:12">
      <c r="A1873" t="s">
        <v>2580</v>
      </c>
      <c r="B1873" t="s">
        <v>2533</v>
      </c>
      <c r="C1873" t="s">
        <v>130</v>
      </c>
      <c r="D1873">
        <v>2007</v>
      </c>
      <c r="E1873" t="s">
        <v>29</v>
      </c>
      <c r="F1873" t="s">
        <v>30</v>
      </c>
      <c r="G1873" t="s">
        <v>31</v>
      </c>
      <c r="H1873" t="s">
        <v>32</v>
      </c>
      <c r="I1873">
        <v>942.6542111</v>
      </c>
      <c r="J1873" t="s">
        <v>33</v>
      </c>
      <c r="K1873" t="s">
        <v>2578</v>
      </c>
      <c r="L1873" t="s">
        <v>21</v>
      </c>
    </row>
    <row r="1874" spans="1:12">
      <c r="A1874" t="s">
        <v>2581</v>
      </c>
      <c r="B1874" t="s">
        <v>2582</v>
      </c>
      <c r="C1874" t="s">
        <v>130</v>
      </c>
      <c r="D1874">
        <v>1952</v>
      </c>
      <c r="E1874" t="s">
        <v>15</v>
      </c>
      <c r="F1874" t="s">
        <v>16</v>
      </c>
      <c r="G1874" t="s">
        <v>17</v>
      </c>
      <c r="H1874" t="s">
        <v>18</v>
      </c>
      <c r="I1874">
        <v>32.5</v>
      </c>
      <c r="J1874" t="s">
        <v>19</v>
      </c>
      <c r="K1874" t="s">
        <v>2583</v>
      </c>
      <c r="L1874" t="s">
        <v>21</v>
      </c>
    </row>
    <row r="1875" spans="1:12">
      <c r="A1875" t="s">
        <v>2584</v>
      </c>
      <c r="B1875" t="s">
        <v>2582</v>
      </c>
      <c r="C1875" t="s">
        <v>130</v>
      </c>
      <c r="D1875">
        <v>1952</v>
      </c>
      <c r="E1875" t="s">
        <v>23</v>
      </c>
      <c r="F1875" t="s">
        <v>24</v>
      </c>
      <c r="G1875" t="s">
        <v>25</v>
      </c>
      <c r="H1875" t="s">
        <v>26</v>
      </c>
      <c r="I1875">
        <v>580653</v>
      </c>
      <c r="J1875" t="s">
        <v>27</v>
      </c>
      <c r="K1875" t="s">
        <v>2583</v>
      </c>
      <c r="L1875" t="s">
        <v>21</v>
      </c>
    </row>
    <row r="1876" spans="1:12">
      <c r="A1876" t="s">
        <v>2585</v>
      </c>
      <c r="B1876" t="s">
        <v>2582</v>
      </c>
      <c r="C1876" t="s">
        <v>130</v>
      </c>
      <c r="D1876">
        <v>1952</v>
      </c>
      <c r="E1876" t="s">
        <v>29</v>
      </c>
      <c r="F1876" t="s">
        <v>30</v>
      </c>
      <c r="G1876" t="s">
        <v>31</v>
      </c>
      <c r="H1876" t="s">
        <v>32</v>
      </c>
      <c r="I1876">
        <v>299.85031900000001</v>
      </c>
      <c r="J1876" t="s">
        <v>33</v>
      </c>
      <c r="K1876" t="s">
        <v>2583</v>
      </c>
      <c r="L1876" t="s">
        <v>21</v>
      </c>
    </row>
    <row r="1877" spans="1:12">
      <c r="A1877" t="s">
        <v>2586</v>
      </c>
      <c r="B1877" t="s">
        <v>2582</v>
      </c>
      <c r="C1877" t="s">
        <v>130</v>
      </c>
      <c r="D1877">
        <v>1957</v>
      </c>
      <c r="E1877" t="s">
        <v>15</v>
      </c>
      <c r="F1877" t="s">
        <v>16</v>
      </c>
      <c r="G1877" t="s">
        <v>17</v>
      </c>
      <c r="H1877" t="s">
        <v>18</v>
      </c>
      <c r="I1877">
        <v>33.488999999999997</v>
      </c>
      <c r="J1877" t="s">
        <v>19</v>
      </c>
      <c r="K1877" t="s">
        <v>2587</v>
      </c>
      <c r="L1877" t="s">
        <v>21</v>
      </c>
    </row>
    <row r="1878" spans="1:12">
      <c r="A1878" t="s">
        <v>2588</v>
      </c>
      <c r="B1878" t="s">
        <v>2582</v>
      </c>
      <c r="C1878" t="s">
        <v>130</v>
      </c>
      <c r="D1878">
        <v>1957</v>
      </c>
      <c r="E1878" t="s">
        <v>23</v>
      </c>
      <c r="F1878" t="s">
        <v>24</v>
      </c>
      <c r="G1878" t="s">
        <v>25</v>
      </c>
      <c r="H1878" t="s">
        <v>26</v>
      </c>
      <c r="I1878">
        <v>601095</v>
      </c>
      <c r="J1878" t="s">
        <v>27</v>
      </c>
      <c r="K1878" t="s">
        <v>2587</v>
      </c>
      <c r="L1878" t="s">
        <v>21</v>
      </c>
    </row>
    <row r="1879" spans="1:12">
      <c r="A1879" t="s">
        <v>2589</v>
      </c>
      <c r="B1879" t="s">
        <v>2582</v>
      </c>
      <c r="C1879" t="s">
        <v>130</v>
      </c>
      <c r="D1879">
        <v>1957</v>
      </c>
      <c r="E1879" t="s">
        <v>29</v>
      </c>
      <c r="F1879" t="s">
        <v>30</v>
      </c>
      <c r="G1879" t="s">
        <v>31</v>
      </c>
      <c r="H1879" t="s">
        <v>32</v>
      </c>
      <c r="I1879">
        <v>431.79045660000003</v>
      </c>
      <c r="J1879" t="s">
        <v>33</v>
      </c>
      <c r="K1879" t="s">
        <v>2587</v>
      </c>
      <c r="L1879" t="s">
        <v>21</v>
      </c>
    </row>
    <row r="1880" spans="1:12">
      <c r="A1880" t="s">
        <v>2590</v>
      </c>
      <c r="B1880" t="s">
        <v>2582</v>
      </c>
      <c r="C1880" t="s">
        <v>130</v>
      </c>
      <c r="D1880">
        <v>1962</v>
      </c>
      <c r="E1880" t="s">
        <v>15</v>
      </c>
      <c r="F1880" t="s">
        <v>16</v>
      </c>
      <c r="G1880" t="s">
        <v>17</v>
      </c>
      <c r="H1880" t="s">
        <v>18</v>
      </c>
      <c r="I1880">
        <v>34.488</v>
      </c>
      <c r="J1880" t="s">
        <v>19</v>
      </c>
      <c r="K1880" t="s">
        <v>2591</v>
      </c>
      <c r="L1880" t="s">
        <v>21</v>
      </c>
    </row>
    <row r="1881" spans="1:12">
      <c r="A1881" t="s">
        <v>2592</v>
      </c>
      <c r="B1881" t="s">
        <v>2582</v>
      </c>
      <c r="C1881" t="s">
        <v>130</v>
      </c>
      <c r="D1881">
        <v>1962</v>
      </c>
      <c r="E1881" t="s">
        <v>23</v>
      </c>
      <c r="F1881" t="s">
        <v>24</v>
      </c>
      <c r="G1881" t="s">
        <v>25</v>
      </c>
      <c r="H1881" t="s">
        <v>26</v>
      </c>
      <c r="I1881">
        <v>627820</v>
      </c>
      <c r="J1881" t="s">
        <v>27</v>
      </c>
      <c r="K1881" t="s">
        <v>2591</v>
      </c>
      <c r="L1881" t="s">
        <v>21</v>
      </c>
    </row>
    <row r="1882" spans="1:12">
      <c r="A1882" t="s">
        <v>2593</v>
      </c>
      <c r="B1882" t="s">
        <v>2582</v>
      </c>
      <c r="C1882" t="s">
        <v>130</v>
      </c>
      <c r="D1882">
        <v>1962</v>
      </c>
      <c r="E1882" t="s">
        <v>29</v>
      </c>
      <c r="F1882" t="s">
        <v>30</v>
      </c>
      <c r="G1882" t="s">
        <v>31</v>
      </c>
      <c r="H1882" t="s">
        <v>32</v>
      </c>
      <c r="I1882">
        <v>522.03437250000002</v>
      </c>
      <c r="J1882" t="s">
        <v>33</v>
      </c>
      <c r="K1882" t="s">
        <v>2591</v>
      </c>
      <c r="L1882" t="s">
        <v>21</v>
      </c>
    </row>
    <row r="1883" spans="1:12">
      <c r="A1883" t="s">
        <v>2594</v>
      </c>
      <c r="B1883" t="s">
        <v>2582</v>
      </c>
      <c r="C1883" t="s">
        <v>130</v>
      </c>
      <c r="D1883">
        <v>1967</v>
      </c>
      <c r="E1883" t="s">
        <v>15</v>
      </c>
      <c r="F1883" t="s">
        <v>16</v>
      </c>
      <c r="G1883" t="s">
        <v>17</v>
      </c>
      <c r="H1883" t="s">
        <v>18</v>
      </c>
      <c r="I1883">
        <v>35.491999999999997</v>
      </c>
      <c r="J1883" t="s">
        <v>19</v>
      </c>
      <c r="K1883" t="s">
        <v>2595</v>
      </c>
      <c r="L1883" t="s">
        <v>21</v>
      </c>
    </row>
    <row r="1884" spans="1:12">
      <c r="A1884" t="s">
        <v>2596</v>
      </c>
      <c r="B1884" t="s">
        <v>2582</v>
      </c>
      <c r="C1884" t="s">
        <v>130</v>
      </c>
      <c r="D1884">
        <v>1967</v>
      </c>
      <c r="E1884" t="s">
        <v>23</v>
      </c>
      <c r="F1884" t="s">
        <v>24</v>
      </c>
      <c r="G1884" t="s">
        <v>25</v>
      </c>
      <c r="H1884" t="s">
        <v>26</v>
      </c>
      <c r="I1884">
        <v>601287</v>
      </c>
      <c r="J1884" t="s">
        <v>27</v>
      </c>
      <c r="K1884" t="s">
        <v>2595</v>
      </c>
      <c r="L1884" t="s">
        <v>21</v>
      </c>
    </row>
    <row r="1885" spans="1:12">
      <c r="A1885" t="s">
        <v>2597</v>
      </c>
      <c r="B1885" t="s">
        <v>2582</v>
      </c>
      <c r="C1885" t="s">
        <v>130</v>
      </c>
      <c r="D1885">
        <v>1967</v>
      </c>
      <c r="E1885" t="s">
        <v>29</v>
      </c>
      <c r="F1885" t="s">
        <v>30</v>
      </c>
      <c r="G1885" t="s">
        <v>31</v>
      </c>
      <c r="H1885" t="s">
        <v>32</v>
      </c>
      <c r="I1885">
        <v>715.58064019999995</v>
      </c>
      <c r="J1885" t="s">
        <v>33</v>
      </c>
      <c r="K1885" t="s">
        <v>2595</v>
      </c>
      <c r="L1885" t="s">
        <v>21</v>
      </c>
    </row>
    <row r="1886" spans="1:12">
      <c r="A1886" t="s">
        <v>2598</v>
      </c>
      <c r="B1886" t="s">
        <v>2582</v>
      </c>
      <c r="C1886" t="s">
        <v>130</v>
      </c>
      <c r="D1886">
        <v>1972</v>
      </c>
      <c r="E1886" t="s">
        <v>15</v>
      </c>
      <c r="F1886" t="s">
        <v>16</v>
      </c>
      <c r="G1886" t="s">
        <v>17</v>
      </c>
      <c r="H1886" t="s">
        <v>18</v>
      </c>
      <c r="I1886">
        <v>36.485999999999997</v>
      </c>
      <c r="J1886" t="s">
        <v>19</v>
      </c>
      <c r="K1886" t="s">
        <v>2599</v>
      </c>
      <c r="L1886" t="s">
        <v>21</v>
      </c>
    </row>
    <row r="1887" spans="1:12">
      <c r="A1887" t="s">
        <v>2600</v>
      </c>
      <c r="B1887" t="s">
        <v>2582</v>
      </c>
      <c r="C1887" t="s">
        <v>130</v>
      </c>
      <c r="D1887">
        <v>1972</v>
      </c>
      <c r="E1887" t="s">
        <v>23</v>
      </c>
      <c r="F1887" t="s">
        <v>24</v>
      </c>
      <c r="G1887" t="s">
        <v>25</v>
      </c>
      <c r="H1887" t="s">
        <v>26</v>
      </c>
      <c r="I1887">
        <v>625361</v>
      </c>
      <c r="J1887" t="s">
        <v>27</v>
      </c>
      <c r="K1887" t="s">
        <v>2599</v>
      </c>
      <c r="L1887" t="s">
        <v>21</v>
      </c>
    </row>
    <row r="1888" spans="1:12">
      <c r="A1888" t="s">
        <v>2601</v>
      </c>
      <c r="B1888" t="s">
        <v>2582</v>
      </c>
      <c r="C1888" t="s">
        <v>130</v>
      </c>
      <c r="D1888">
        <v>1972</v>
      </c>
      <c r="E1888" t="s">
        <v>29</v>
      </c>
      <c r="F1888" t="s">
        <v>30</v>
      </c>
      <c r="G1888" t="s">
        <v>31</v>
      </c>
      <c r="H1888" t="s">
        <v>32</v>
      </c>
      <c r="I1888">
        <v>820.22458759999995</v>
      </c>
      <c r="J1888" t="s">
        <v>33</v>
      </c>
      <c r="K1888" t="s">
        <v>2599</v>
      </c>
      <c r="L1888" t="s">
        <v>21</v>
      </c>
    </row>
    <row r="1889" spans="1:12">
      <c r="A1889" t="s">
        <v>2602</v>
      </c>
      <c r="B1889" t="s">
        <v>2582</v>
      </c>
      <c r="C1889" t="s">
        <v>130</v>
      </c>
      <c r="D1889">
        <v>1977</v>
      </c>
      <c r="E1889" t="s">
        <v>15</v>
      </c>
      <c r="F1889" t="s">
        <v>16</v>
      </c>
      <c r="G1889" t="s">
        <v>17</v>
      </c>
      <c r="H1889" t="s">
        <v>18</v>
      </c>
      <c r="I1889">
        <v>37.465000000000003</v>
      </c>
      <c r="J1889" t="s">
        <v>19</v>
      </c>
      <c r="K1889" t="s">
        <v>2603</v>
      </c>
      <c r="L1889" t="s">
        <v>21</v>
      </c>
    </row>
    <row r="1890" spans="1:12">
      <c r="A1890" t="s">
        <v>2604</v>
      </c>
      <c r="B1890" t="s">
        <v>2582</v>
      </c>
      <c r="C1890" t="s">
        <v>130</v>
      </c>
      <c r="D1890">
        <v>1977</v>
      </c>
      <c r="E1890" t="s">
        <v>23</v>
      </c>
      <c r="F1890" t="s">
        <v>24</v>
      </c>
      <c r="G1890" t="s">
        <v>25</v>
      </c>
      <c r="H1890" t="s">
        <v>26</v>
      </c>
      <c r="I1890">
        <v>745228</v>
      </c>
      <c r="J1890" t="s">
        <v>27</v>
      </c>
      <c r="K1890" t="s">
        <v>2603</v>
      </c>
      <c r="L1890" t="s">
        <v>21</v>
      </c>
    </row>
    <row r="1891" spans="1:12">
      <c r="A1891" t="s">
        <v>2605</v>
      </c>
      <c r="B1891" t="s">
        <v>2582</v>
      </c>
      <c r="C1891" t="s">
        <v>130</v>
      </c>
      <c r="D1891">
        <v>1977</v>
      </c>
      <c r="E1891" t="s">
        <v>29</v>
      </c>
      <c r="F1891" t="s">
        <v>30</v>
      </c>
      <c r="G1891" t="s">
        <v>31</v>
      </c>
      <c r="H1891" t="s">
        <v>32</v>
      </c>
      <c r="I1891">
        <v>764.72596279999902</v>
      </c>
      <c r="J1891" t="s">
        <v>33</v>
      </c>
      <c r="K1891" t="s">
        <v>2603</v>
      </c>
      <c r="L1891" t="s">
        <v>21</v>
      </c>
    </row>
    <row r="1892" spans="1:12">
      <c r="A1892" t="s">
        <v>2606</v>
      </c>
      <c r="B1892" t="s">
        <v>2582</v>
      </c>
      <c r="C1892" t="s">
        <v>130</v>
      </c>
      <c r="D1892">
        <v>1982</v>
      </c>
      <c r="E1892" t="s">
        <v>15</v>
      </c>
      <c r="F1892" t="s">
        <v>16</v>
      </c>
      <c r="G1892" t="s">
        <v>17</v>
      </c>
      <c r="H1892" t="s">
        <v>18</v>
      </c>
      <c r="I1892">
        <v>39.326999999999998</v>
      </c>
      <c r="J1892" t="s">
        <v>19</v>
      </c>
      <c r="K1892" t="s">
        <v>2607</v>
      </c>
      <c r="L1892" t="s">
        <v>21</v>
      </c>
    </row>
    <row r="1893" spans="1:12">
      <c r="A1893" t="s">
        <v>2608</v>
      </c>
      <c r="B1893" t="s">
        <v>2582</v>
      </c>
      <c r="C1893" t="s">
        <v>130</v>
      </c>
      <c r="D1893">
        <v>1982</v>
      </c>
      <c r="E1893" t="s">
        <v>23</v>
      </c>
      <c r="F1893" t="s">
        <v>24</v>
      </c>
      <c r="G1893" t="s">
        <v>25</v>
      </c>
      <c r="H1893" t="s">
        <v>26</v>
      </c>
      <c r="I1893">
        <v>825987</v>
      </c>
      <c r="J1893" t="s">
        <v>27</v>
      </c>
      <c r="K1893" t="s">
        <v>2607</v>
      </c>
      <c r="L1893" t="s">
        <v>21</v>
      </c>
    </row>
    <row r="1894" spans="1:12">
      <c r="A1894" t="s">
        <v>2609</v>
      </c>
      <c r="B1894" t="s">
        <v>2582</v>
      </c>
      <c r="C1894" t="s">
        <v>130</v>
      </c>
      <c r="D1894">
        <v>1982</v>
      </c>
      <c r="E1894" t="s">
        <v>29</v>
      </c>
      <c r="F1894" t="s">
        <v>30</v>
      </c>
      <c r="G1894" t="s">
        <v>31</v>
      </c>
      <c r="H1894" t="s">
        <v>32</v>
      </c>
      <c r="I1894">
        <v>838.12396709999996</v>
      </c>
      <c r="J1894" t="s">
        <v>33</v>
      </c>
      <c r="K1894" t="s">
        <v>2607</v>
      </c>
      <c r="L1894" t="s">
        <v>21</v>
      </c>
    </row>
    <row r="1895" spans="1:12">
      <c r="A1895" t="s">
        <v>2610</v>
      </c>
      <c r="B1895" t="s">
        <v>2582</v>
      </c>
      <c r="C1895" t="s">
        <v>130</v>
      </c>
      <c r="D1895">
        <v>1987</v>
      </c>
      <c r="E1895" t="s">
        <v>15</v>
      </c>
      <c r="F1895" t="s">
        <v>16</v>
      </c>
      <c r="G1895" t="s">
        <v>17</v>
      </c>
      <c r="H1895" t="s">
        <v>18</v>
      </c>
      <c r="I1895">
        <v>41.244999999999997</v>
      </c>
      <c r="J1895" t="s">
        <v>19</v>
      </c>
      <c r="K1895" t="s">
        <v>2611</v>
      </c>
      <c r="L1895" t="s">
        <v>21</v>
      </c>
    </row>
    <row r="1896" spans="1:12">
      <c r="A1896" t="s">
        <v>2612</v>
      </c>
      <c r="B1896" t="s">
        <v>2582</v>
      </c>
      <c r="C1896" t="s">
        <v>130</v>
      </c>
      <c r="D1896">
        <v>1987</v>
      </c>
      <c r="E1896" t="s">
        <v>23</v>
      </c>
      <c r="F1896" t="s">
        <v>24</v>
      </c>
      <c r="G1896" t="s">
        <v>25</v>
      </c>
      <c r="H1896" t="s">
        <v>26</v>
      </c>
      <c r="I1896">
        <v>927524</v>
      </c>
      <c r="J1896" t="s">
        <v>27</v>
      </c>
      <c r="K1896" t="s">
        <v>2611</v>
      </c>
      <c r="L1896" t="s">
        <v>21</v>
      </c>
    </row>
    <row r="1897" spans="1:12">
      <c r="A1897" t="s">
        <v>2613</v>
      </c>
      <c r="B1897" t="s">
        <v>2582</v>
      </c>
      <c r="C1897" t="s">
        <v>130</v>
      </c>
      <c r="D1897">
        <v>1987</v>
      </c>
      <c r="E1897" t="s">
        <v>29</v>
      </c>
      <c r="F1897" t="s">
        <v>30</v>
      </c>
      <c r="G1897" t="s">
        <v>31</v>
      </c>
      <c r="H1897" t="s">
        <v>32</v>
      </c>
      <c r="I1897">
        <v>736.41539209999996</v>
      </c>
      <c r="J1897" t="s">
        <v>33</v>
      </c>
      <c r="K1897" t="s">
        <v>2611</v>
      </c>
      <c r="L1897" t="s">
        <v>21</v>
      </c>
    </row>
    <row r="1898" spans="1:12">
      <c r="A1898" t="s">
        <v>2614</v>
      </c>
      <c r="B1898" t="s">
        <v>2582</v>
      </c>
      <c r="C1898" t="s">
        <v>130</v>
      </c>
      <c r="D1898">
        <v>1992</v>
      </c>
      <c r="E1898" t="s">
        <v>15</v>
      </c>
      <c r="F1898" t="s">
        <v>16</v>
      </c>
      <c r="G1898" t="s">
        <v>17</v>
      </c>
      <c r="H1898" t="s">
        <v>18</v>
      </c>
      <c r="I1898">
        <v>43.265999999999998</v>
      </c>
      <c r="J1898" t="s">
        <v>19</v>
      </c>
      <c r="K1898" t="s">
        <v>2615</v>
      </c>
      <c r="L1898" t="s">
        <v>21</v>
      </c>
    </row>
    <row r="1899" spans="1:12">
      <c r="A1899" t="s">
        <v>2616</v>
      </c>
      <c r="B1899" t="s">
        <v>2582</v>
      </c>
      <c r="C1899" t="s">
        <v>130</v>
      </c>
      <c r="D1899">
        <v>1992</v>
      </c>
      <c r="E1899" t="s">
        <v>23</v>
      </c>
      <c r="F1899" t="s">
        <v>24</v>
      </c>
      <c r="G1899" t="s">
        <v>25</v>
      </c>
      <c r="H1899" t="s">
        <v>26</v>
      </c>
      <c r="I1899">
        <v>1050938</v>
      </c>
      <c r="J1899" t="s">
        <v>27</v>
      </c>
      <c r="K1899" t="s">
        <v>2615</v>
      </c>
      <c r="L1899" t="s">
        <v>21</v>
      </c>
    </row>
    <row r="1900" spans="1:12">
      <c r="A1900" t="s">
        <v>2617</v>
      </c>
      <c r="B1900" t="s">
        <v>2582</v>
      </c>
      <c r="C1900" t="s">
        <v>130</v>
      </c>
      <c r="D1900">
        <v>1992</v>
      </c>
      <c r="E1900" t="s">
        <v>29</v>
      </c>
      <c r="F1900" t="s">
        <v>30</v>
      </c>
      <c r="G1900" t="s">
        <v>31</v>
      </c>
      <c r="H1900" t="s">
        <v>32</v>
      </c>
      <c r="I1900">
        <v>745.53987059999997</v>
      </c>
      <c r="J1900" t="s">
        <v>33</v>
      </c>
      <c r="K1900" t="s">
        <v>2615</v>
      </c>
      <c r="L1900" t="s">
        <v>21</v>
      </c>
    </row>
    <row r="1901" spans="1:12">
      <c r="A1901" t="s">
        <v>2618</v>
      </c>
      <c r="B1901" t="s">
        <v>2582</v>
      </c>
      <c r="C1901" t="s">
        <v>130</v>
      </c>
      <c r="D1901">
        <v>1997</v>
      </c>
      <c r="E1901" t="s">
        <v>15</v>
      </c>
      <c r="F1901" t="s">
        <v>16</v>
      </c>
      <c r="G1901" t="s">
        <v>17</v>
      </c>
      <c r="H1901" t="s">
        <v>18</v>
      </c>
      <c r="I1901">
        <v>44.872999999999998</v>
      </c>
      <c r="J1901" t="s">
        <v>19</v>
      </c>
      <c r="K1901" t="s">
        <v>2619</v>
      </c>
      <c r="L1901" t="s">
        <v>21</v>
      </c>
    </row>
    <row r="1902" spans="1:12">
      <c r="A1902" t="s">
        <v>2620</v>
      </c>
      <c r="B1902" t="s">
        <v>2582</v>
      </c>
      <c r="C1902" t="s">
        <v>130</v>
      </c>
      <c r="D1902">
        <v>1997</v>
      </c>
      <c r="E1902" t="s">
        <v>23</v>
      </c>
      <c r="F1902" t="s">
        <v>24</v>
      </c>
      <c r="G1902" t="s">
        <v>25</v>
      </c>
      <c r="H1902" t="s">
        <v>26</v>
      </c>
      <c r="I1902">
        <v>1193708</v>
      </c>
      <c r="J1902" t="s">
        <v>27</v>
      </c>
      <c r="K1902" t="s">
        <v>2619</v>
      </c>
      <c r="L1902" t="s">
        <v>21</v>
      </c>
    </row>
    <row r="1903" spans="1:12">
      <c r="A1903" t="s">
        <v>2621</v>
      </c>
      <c r="B1903" t="s">
        <v>2582</v>
      </c>
      <c r="C1903" t="s">
        <v>130</v>
      </c>
      <c r="D1903">
        <v>1997</v>
      </c>
      <c r="E1903" t="s">
        <v>29</v>
      </c>
      <c r="F1903" t="s">
        <v>30</v>
      </c>
      <c r="G1903" t="s">
        <v>31</v>
      </c>
      <c r="H1903" t="s">
        <v>32</v>
      </c>
      <c r="I1903">
        <v>796.66446810000002</v>
      </c>
      <c r="J1903" t="s">
        <v>33</v>
      </c>
      <c r="K1903" t="s">
        <v>2619</v>
      </c>
      <c r="L1903" t="s">
        <v>21</v>
      </c>
    </row>
    <row r="1904" spans="1:12">
      <c r="A1904" t="s">
        <v>2622</v>
      </c>
      <c r="B1904" t="s">
        <v>2582</v>
      </c>
      <c r="C1904" t="s">
        <v>130</v>
      </c>
      <c r="D1904">
        <v>2002</v>
      </c>
      <c r="E1904" t="s">
        <v>15</v>
      </c>
      <c r="F1904" t="s">
        <v>16</v>
      </c>
      <c r="G1904" t="s">
        <v>17</v>
      </c>
      <c r="H1904" t="s">
        <v>18</v>
      </c>
      <c r="I1904">
        <v>45.503999999999998</v>
      </c>
      <c r="J1904" t="s">
        <v>19</v>
      </c>
      <c r="K1904" t="s">
        <v>2623</v>
      </c>
      <c r="L1904" t="s">
        <v>21</v>
      </c>
    </row>
    <row r="1905" spans="1:12">
      <c r="A1905" t="s">
        <v>2624</v>
      </c>
      <c r="B1905" t="s">
        <v>2582</v>
      </c>
      <c r="C1905" t="s">
        <v>130</v>
      </c>
      <c r="D1905">
        <v>2002</v>
      </c>
      <c r="E1905" t="s">
        <v>23</v>
      </c>
      <c r="F1905" t="s">
        <v>24</v>
      </c>
      <c r="G1905" t="s">
        <v>25</v>
      </c>
      <c r="H1905" t="s">
        <v>26</v>
      </c>
      <c r="I1905">
        <v>1332459</v>
      </c>
      <c r="J1905" t="s">
        <v>27</v>
      </c>
      <c r="K1905" t="s">
        <v>2623</v>
      </c>
      <c r="L1905" t="s">
        <v>21</v>
      </c>
    </row>
    <row r="1906" spans="1:12">
      <c r="A1906" t="s">
        <v>2625</v>
      </c>
      <c r="B1906" t="s">
        <v>2582</v>
      </c>
      <c r="C1906" t="s">
        <v>130</v>
      </c>
      <c r="D1906">
        <v>2002</v>
      </c>
      <c r="E1906" t="s">
        <v>29</v>
      </c>
      <c r="F1906" t="s">
        <v>30</v>
      </c>
      <c r="G1906" t="s">
        <v>31</v>
      </c>
      <c r="H1906" t="s">
        <v>32</v>
      </c>
      <c r="I1906">
        <v>575.70471759999998</v>
      </c>
      <c r="J1906" t="s">
        <v>33</v>
      </c>
      <c r="K1906" t="s">
        <v>2623</v>
      </c>
      <c r="L1906" t="s">
        <v>21</v>
      </c>
    </row>
    <row r="1907" spans="1:12">
      <c r="A1907" t="s">
        <v>2626</v>
      </c>
      <c r="B1907" t="s">
        <v>2582</v>
      </c>
      <c r="C1907" t="s">
        <v>130</v>
      </c>
      <c r="D1907">
        <v>2007</v>
      </c>
      <c r="E1907" t="s">
        <v>15</v>
      </c>
      <c r="F1907" t="s">
        <v>16</v>
      </c>
      <c r="G1907" t="s">
        <v>17</v>
      </c>
      <c r="H1907" t="s">
        <v>18</v>
      </c>
      <c r="I1907">
        <v>46.387999999999998</v>
      </c>
      <c r="J1907" t="s">
        <v>19</v>
      </c>
      <c r="K1907" t="s">
        <v>2627</v>
      </c>
      <c r="L1907" t="s">
        <v>21</v>
      </c>
    </row>
    <row r="1908" spans="1:12">
      <c r="A1908" t="s">
        <v>2628</v>
      </c>
      <c r="B1908" t="s">
        <v>2582</v>
      </c>
      <c r="C1908" t="s">
        <v>130</v>
      </c>
      <c r="D1908">
        <v>2007</v>
      </c>
      <c r="E1908" t="s">
        <v>23</v>
      </c>
      <c r="F1908" t="s">
        <v>24</v>
      </c>
      <c r="G1908" t="s">
        <v>25</v>
      </c>
      <c r="H1908" t="s">
        <v>26</v>
      </c>
      <c r="I1908">
        <v>1472041</v>
      </c>
      <c r="J1908" t="s">
        <v>27</v>
      </c>
      <c r="K1908" t="s">
        <v>2627</v>
      </c>
      <c r="L1908" t="s">
        <v>21</v>
      </c>
    </row>
    <row r="1909" spans="1:12">
      <c r="A1909" t="s">
        <v>2629</v>
      </c>
      <c r="B1909" t="s">
        <v>2582</v>
      </c>
      <c r="C1909" t="s">
        <v>130</v>
      </c>
      <c r="D1909">
        <v>2007</v>
      </c>
      <c r="E1909" t="s">
        <v>29</v>
      </c>
      <c r="F1909" t="s">
        <v>30</v>
      </c>
      <c r="G1909" t="s">
        <v>31</v>
      </c>
      <c r="H1909" t="s">
        <v>32</v>
      </c>
      <c r="I1909">
        <v>579.23174299999903</v>
      </c>
      <c r="J1909" t="s">
        <v>33</v>
      </c>
      <c r="K1909" t="s">
        <v>2627</v>
      </c>
      <c r="L1909" t="s">
        <v>21</v>
      </c>
    </row>
    <row r="1910" spans="1:12">
      <c r="A1910" t="s">
        <v>2630</v>
      </c>
      <c r="B1910" t="s">
        <v>2631</v>
      </c>
      <c r="C1910" t="s">
        <v>229</v>
      </c>
      <c r="D1910">
        <v>1952</v>
      </c>
      <c r="E1910" t="s">
        <v>15</v>
      </c>
      <c r="F1910" t="s">
        <v>16</v>
      </c>
      <c r="G1910" t="s">
        <v>17</v>
      </c>
      <c r="H1910" t="s">
        <v>18</v>
      </c>
      <c r="I1910">
        <v>37.579000000000001</v>
      </c>
      <c r="J1910" t="s">
        <v>19</v>
      </c>
      <c r="K1910" t="s">
        <v>2632</v>
      </c>
      <c r="L1910" t="s">
        <v>21</v>
      </c>
    </row>
    <row r="1911" spans="1:12">
      <c r="A1911" t="s">
        <v>2633</v>
      </c>
      <c r="B1911" t="s">
        <v>2631</v>
      </c>
      <c r="C1911" t="s">
        <v>229</v>
      </c>
      <c r="D1911">
        <v>1952</v>
      </c>
      <c r="E1911" t="s">
        <v>23</v>
      </c>
      <c r="F1911" t="s">
        <v>24</v>
      </c>
      <c r="G1911" t="s">
        <v>25</v>
      </c>
      <c r="H1911" t="s">
        <v>26</v>
      </c>
      <c r="I1911">
        <v>3201488</v>
      </c>
      <c r="J1911" t="s">
        <v>27</v>
      </c>
      <c r="K1911" t="s">
        <v>2632</v>
      </c>
      <c r="L1911" t="s">
        <v>21</v>
      </c>
    </row>
    <row r="1912" spans="1:12">
      <c r="A1912" t="s">
        <v>2634</v>
      </c>
      <c r="B1912" t="s">
        <v>2631</v>
      </c>
      <c r="C1912" t="s">
        <v>229</v>
      </c>
      <c r="D1912">
        <v>1952</v>
      </c>
      <c r="E1912" t="s">
        <v>29</v>
      </c>
      <c r="F1912" t="s">
        <v>30</v>
      </c>
      <c r="G1912" t="s">
        <v>31</v>
      </c>
      <c r="H1912" t="s">
        <v>32</v>
      </c>
      <c r="I1912">
        <v>1840.366939</v>
      </c>
      <c r="J1912" t="s">
        <v>33</v>
      </c>
      <c r="K1912" t="s">
        <v>2632</v>
      </c>
      <c r="L1912" t="s">
        <v>21</v>
      </c>
    </row>
    <row r="1913" spans="1:12">
      <c r="A1913" t="s">
        <v>2635</v>
      </c>
      <c r="B1913" t="s">
        <v>2631</v>
      </c>
      <c r="C1913" t="s">
        <v>229</v>
      </c>
      <c r="D1913">
        <v>1957</v>
      </c>
      <c r="E1913" t="s">
        <v>15</v>
      </c>
      <c r="F1913" t="s">
        <v>16</v>
      </c>
      <c r="G1913" t="s">
        <v>17</v>
      </c>
      <c r="H1913" t="s">
        <v>18</v>
      </c>
      <c r="I1913">
        <v>40.695999999999998</v>
      </c>
      <c r="J1913" t="s">
        <v>19</v>
      </c>
      <c r="K1913" t="s">
        <v>2636</v>
      </c>
      <c r="L1913" t="s">
        <v>21</v>
      </c>
    </row>
    <row r="1914" spans="1:12">
      <c r="A1914" t="s">
        <v>2637</v>
      </c>
      <c r="B1914" t="s">
        <v>2631</v>
      </c>
      <c r="C1914" t="s">
        <v>229</v>
      </c>
      <c r="D1914">
        <v>1957</v>
      </c>
      <c r="E1914" t="s">
        <v>23</v>
      </c>
      <c r="F1914" t="s">
        <v>24</v>
      </c>
      <c r="G1914" t="s">
        <v>25</v>
      </c>
      <c r="H1914" t="s">
        <v>26</v>
      </c>
      <c r="I1914">
        <v>3507701</v>
      </c>
      <c r="J1914" t="s">
        <v>27</v>
      </c>
      <c r="K1914" t="s">
        <v>2636</v>
      </c>
      <c r="L1914" t="s">
        <v>21</v>
      </c>
    </row>
    <row r="1915" spans="1:12">
      <c r="A1915" t="s">
        <v>2638</v>
      </c>
      <c r="B1915" t="s">
        <v>2631</v>
      </c>
      <c r="C1915" t="s">
        <v>229</v>
      </c>
      <c r="D1915">
        <v>1957</v>
      </c>
      <c r="E1915" t="s">
        <v>29</v>
      </c>
      <c r="F1915" t="s">
        <v>30</v>
      </c>
      <c r="G1915" t="s">
        <v>31</v>
      </c>
      <c r="H1915" t="s">
        <v>32</v>
      </c>
      <c r="I1915">
        <v>1726.887882</v>
      </c>
      <c r="J1915" t="s">
        <v>33</v>
      </c>
      <c r="K1915" t="s">
        <v>2636</v>
      </c>
      <c r="L1915" t="s">
        <v>21</v>
      </c>
    </row>
    <row r="1916" spans="1:12">
      <c r="A1916" t="s">
        <v>2639</v>
      </c>
      <c r="B1916" t="s">
        <v>2631</v>
      </c>
      <c r="C1916" t="s">
        <v>229</v>
      </c>
      <c r="D1916">
        <v>1962</v>
      </c>
      <c r="E1916" t="s">
        <v>15</v>
      </c>
      <c r="F1916" t="s">
        <v>16</v>
      </c>
      <c r="G1916" t="s">
        <v>17</v>
      </c>
      <c r="H1916" t="s">
        <v>18</v>
      </c>
      <c r="I1916">
        <v>43.59</v>
      </c>
      <c r="J1916" t="s">
        <v>19</v>
      </c>
      <c r="K1916" t="s">
        <v>2640</v>
      </c>
      <c r="L1916" t="s">
        <v>21</v>
      </c>
    </row>
    <row r="1917" spans="1:12">
      <c r="A1917" t="s">
        <v>2641</v>
      </c>
      <c r="B1917" t="s">
        <v>2631</v>
      </c>
      <c r="C1917" t="s">
        <v>229</v>
      </c>
      <c r="D1917">
        <v>1962</v>
      </c>
      <c r="E1917" t="s">
        <v>23</v>
      </c>
      <c r="F1917" t="s">
        <v>24</v>
      </c>
      <c r="G1917" t="s">
        <v>25</v>
      </c>
      <c r="H1917" t="s">
        <v>26</v>
      </c>
      <c r="I1917">
        <v>3880130</v>
      </c>
      <c r="J1917" t="s">
        <v>27</v>
      </c>
      <c r="K1917" t="s">
        <v>2640</v>
      </c>
      <c r="L1917" t="s">
        <v>21</v>
      </c>
    </row>
    <row r="1918" spans="1:12">
      <c r="A1918" t="s">
        <v>2642</v>
      </c>
      <c r="B1918" t="s">
        <v>2631</v>
      </c>
      <c r="C1918" t="s">
        <v>229</v>
      </c>
      <c r="D1918">
        <v>1962</v>
      </c>
      <c r="E1918" t="s">
        <v>29</v>
      </c>
      <c r="F1918" t="s">
        <v>30</v>
      </c>
      <c r="G1918" t="s">
        <v>31</v>
      </c>
      <c r="H1918" t="s">
        <v>32</v>
      </c>
      <c r="I1918">
        <v>1796.5890320000001</v>
      </c>
      <c r="J1918" t="s">
        <v>33</v>
      </c>
      <c r="K1918" t="s">
        <v>2640</v>
      </c>
      <c r="L1918" t="s">
        <v>21</v>
      </c>
    </row>
    <row r="1919" spans="1:12">
      <c r="A1919" t="s">
        <v>2643</v>
      </c>
      <c r="B1919" t="s">
        <v>2631</v>
      </c>
      <c r="C1919" t="s">
        <v>229</v>
      </c>
      <c r="D1919">
        <v>1967</v>
      </c>
      <c r="E1919" t="s">
        <v>15</v>
      </c>
      <c r="F1919" t="s">
        <v>16</v>
      </c>
      <c r="G1919" t="s">
        <v>17</v>
      </c>
      <c r="H1919" t="s">
        <v>18</v>
      </c>
      <c r="I1919">
        <v>46.243000000000002</v>
      </c>
      <c r="J1919" t="s">
        <v>19</v>
      </c>
      <c r="K1919" t="s">
        <v>2644</v>
      </c>
      <c r="L1919" t="s">
        <v>21</v>
      </c>
    </row>
    <row r="1920" spans="1:12">
      <c r="A1920" t="s">
        <v>2645</v>
      </c>
      <c r="B1920" t="s">
        <v>2631</v>
      </c>
      <c r="C1920" t="s">
        <v>229</v>
      </c>
      <c r="D1920">
        <v>1967</v>
      </c>
      <c r="E1920" t="s">
        <v>23</v>
      </c>
      <c r="F1920" t="s">
        <v>24</v>
      </c>
      <c r="G1920" t="s">
        <v>25</v>
      </c>
      <c r="H1920" t="s">
        <v>26</v>
      </c>
      <c r="I1920">
        <v>4318137</v>
      </c>
      <c r="J1920" t="s">
        <v>27</v>
      </c>
      <c r="K1920" t="s">
        <v>2644</v>
      </c>
      <c r="L1920" t="s">
        <v>21</v>
      </c>
    </row>
    <row r="1921" spans="1:12">
      <c r="A1921" t="s">
        <v>2646</v>
      </c>
      <c r="B1921" t="s">
        <v>2631</v>
      </c>
      <c r="C1921" t="s">
        <v>229</v>
      </c>
      <c r="D1921">
        <v>1967</v>
      </c>
      <c r="E1921" t="s">
        <v>29</v>
      </c>
      <c r="F1921" t="s">
        <v>30</v>
      </c>
      <c r="G1921" t="s">
        <v>31</v>
      </c>
      <c r="H1921" t="s">
        <v>32</v>
      </c>
      <c r="I1921">
        <v>1452.0576659999999</v>
      </c>
      <c r="J1921" t="s">
        <v>33</v>
      </c>
      <c r="K1921" t="s">
        <v>2644</v>
      </c>
      <c r="L1921" t="s">
        <v>21</v>
      </c>
    </row>
    <row r="1922" spans="1:12">
      <c r="A1922" t="s">
        <v>2647</v>
      </c>
      <c r="B1922" t="s">
        <v>2631</v>
      </c>
      <c r="C1922" t="s">
        <v>229</v>
      </c>
      <c r="D1922">
        <v>1972</v>
      </c>
      <c r="E1922" t="s">
        <v>15</v>
      </c>
      <c r="F1922" t="s">
        <v>16</v>
      </c>
      <c r="G1922" t="s">
        <v>17</v>
      </c>
      <c r="H1922" t="s">
        <v>18</v>
      </c>
      <c r="I1922">
        <v>48.042000000000002</v>
      </c>
      <c r="J1922" t="s">
        <v>19</v>
      </c>
      <c r="K1922" t="s">
        <v>2648</v>
      </c>
      <c r="L1922" t="s">
        <v>21</v>
      </c>
    </row>
    <row r="1923" spans="1:12">
      <c r="A1923" t="s">
        <v>2649</v>
      </c>
      <c r="B1923" t="s">
        <v>2631</v>
      </c>
      <c r="C1923" t="s">
        <v>229</v>
      </c>
      <c r="D1923">
        <v>1972</v>
      </c>
      <c r="E1923" t="s">
        <v>23</v>
      </c>
      <c r="F1923" t="s">
        <v>24</v>
      </c>
      <c r="G1923" t="s">
        <v>25</v>
      </c>
      <c r="H1923" t="s">
        <v>26</v>
      </c>
      <c r="I1923">
        <v>4698301</v>
      </c>
      <c r="J1923" t="s">
        <v>27</v>
      </c>
      <c r="K1923" t="s">
        <v>2648</v>
      </c>
      <c r="L1923" t="s">
        <v>21</v>
      </c>
    </row>
    <row r="1924" spans="1:12">
      <c r="A1924" t="s">
        <v>2650</v>
      </c>
      <c r="B1924" t="s">
        <v>2631</v>
      </c>
      <c r="C1924" t="s">
        <v>229</v>
      </c>
      <c r="D1924">
        <v>1972</v>
      </c>
      <c r="E1924" t="s">
        <v>29</v>
      </c>
      <c r="F1924" t="s">
        <v>30</v>
      </c>
      <c r="G1924" t="s">
        <v>31</v>
      </c>
      <c r="H1924" t="s">
        <v>32</v>
      </c>
      <c r="I1924">
        <v>1654.456946</v>
      </c>
      <c r="J1924" t="s">
        <v>33</v>
      </c>
      <c r="K1924" t="s">
        <v>2648</v>
      </c>
      <c r="L1924" t="s">
        <v>21</v>
      </c>
    </row>
    <row r="1925" spans="1:12">
      <c r="A1925" t="s">
        <v>2651</v>
      </c>
      <c r="B1925" t="s">
        <v>2631</v>
      </c>
      <c r="C1925" t="s">
        <v>229</v>
      </c>
      <c r="D1925">
        <v>1977</v>
      </c>
      <c r="E1925" t="s">
        <v>15</v>
      </c>
      <c r="F1925" t="s">
        <v>16</v>
      </c>
      <c r="G1925" t="s">
        <v>17</v>
      </c>
      <c r="H1925" t="s">
        <v>18</v>
      </c>
      <c r="I1925">
        <v>49.923000000000002</v>
      </c>
      <c r="J1925" t="s">
        <v>19</v>
      </c>
      <c r="K1925" t="s">
        <v>2652</v>
      </c>
      <c r="L1925" t="s">
        <v>21</v>
      </c>
    </row>
    <row r="1926" spans="1:12">
      <c r="A1926" t="s">
        <v>2653</v>
      </c>
      <c r="B1926" t="s">
        <v>2631</v>
      </c>
      <c r="C1926" t="s">
        <v>229</v>
      </c>
      <c r="D1926">
        <v>1977</v>
      </c>
      <c r="E1926" t="s">
        <v>23</v>
      </c>
      <c r="F1926" t="s">
        <v>24</v>
      </c>
      <c r="G1926" t="s">
        <v>25</v>
      </c>
      <c r="H1926" t="s">
        <v>26</v>
      </c>
      <c r="I1926">
        <v>4908554</v>
      </c>
      <c r="J1926" t="s">
        <v>27</v>
      </c>
      <c r="K1926" t="s">
        <v>2652</v>
      </c>
      <c r="L1926" t="s">
        <v>21</v>
      </c>
    </row>
    <row r="1927" spans="1:12">
      <c r="A1927" t="s">
        <v>2654</v>
      </c>
      <c r="B1927" t="s">
        <v>2631</v>
      </c>
      <c r="C1927" t="s">
        <v>229</v>
      </c>
      <c r="D1927">
        <v>1977</v>
      </c>
      <c r="E1927" t="s">
        <v>29</v>
      </c>
      <c r="F1927" t="s">
        <v>30</v>
      </c>
      <c r="G1927" t="s">
        <v>31</v>
      </c>
      <c r="H1927" t="s">
        <v>32</v>
      </c>
      <c r="I1927">
        <v>1874.298931</v>
      </c>
      <c r="J1927" t="s">
        <v>33</v>
      </c>
      <c r="K1927" t="s">
        <v>2652</v>
      </c>
      <c r="L1927" t="s">
        <v>21</v>
      </c>
    </row>
    <row r="1928" spans="1:12">
      <c r="A1928" t="s">
        <v>2655</v>
      </c>
      <c r="B1928" t="s">
        <v>2631</v>
      </c>
      <c r="C1928" t="s">
        <v>229</v>
      </c>
      <c r="D1928">
        <v>1982</v>
      </c>
      <c r="E1928" t="s">
        <v>15</v>
      </c>
      <c r="F1928" t="s">
        <v>16</v>
      </c>
      <c r="G1928" t="s">
        <v>17</v>
      </c>
      <c r="H1928" t="s">
        <v>18</v>
      </c>
      <c r="I1928">
        <v>51.460999999999999</v>
      </c>
      <c r="J1928" t="s">
        <v>19</v>
      </c>
      <c r="K1928" t="s">
        <v>2656</v>
      </c>
      <c r="L1928" t="s">
        <v>21</v>
      </c>
    </row>
    <row r="1929" spans="1:12">
      <c r="A1929" t="s">
        <v>2657</v>
      </c>
      <c r="B1929" t="s">
        <v>2631</v>
      </c>
      <c r="C1929" t="s">
        <v>229</v>
      </c>
      <c r="D1929">
        <v>1982</v>
      </c>
      <c r="E1929" t="s">
        <v>23</v>
      </c>
      <c r="F1929" t="s">
        <v>24</v>
      </c>
      <c r="G1929" t="s">
        <v>25</v>
      </c>
      <c r="H1929" t="s">
        <v>26</v>
      </c>
      <c r="I1929">
        <v>5198399</v>
      </c>
      <c r="J1929" t="s">
        <v>27</v>
      </c>
      <c r="K1929" t="s">
        <v>2656</v>
      </c>
      <c r="L1929" t="s">
        <v>21</v>
      </c>
    </row>
    <row r="1930" spans="1:12">
      <c r="A1930" t="s">
        <v>2658</v>
      </c>
      <c r="B1930" t="s">
        <v>2631</v>
      </c>
      <c r="C1930" t="s">
        <v>229</v>
      </c>
      <c r="D1930">
        <v>1982</v>
      </c>
      <c r="E1930" t="s">
        <v>29</v>
      </c>
      <c r="F1930" t="s">
        <v>30</v>
      </c>
      <c r="G1930" t="s">
        <v>31</v>
      </c>
      <c r="H1930" t="s">
        <v>32</v>
      </c>
      <c r="I1930">
        <v>2011.159549</v>
      </c>
      <c r="J1930" t="s">
        <v>33</v>
      </c>
      <c r="K1930" t="s">
        <v>2656</v>
      </c>
      <c r="L1930" t="s">
        <v>21</v>
      </c>
    </row>
    <row r="1931" spans="1:12">
      <c r="A1931" t="s">
        <v>2659</v>
      </c>
      <c r="B1931" t="s">
        <v>2631</v>
      </c>
      <c r="C1931" t="s">
        <v>229</v>
      </c>
      <c r="D1931">
        <v>1987</v>
      </c>
      <c r="E1931" t="s">
        <v>15</v>
      </c>
      <c r="F1931" t="s">
        <v>16</v>
      </c>
      <c r="G1931" t="s">
        <v>17</v>
      </c>
      <c r="H1931" t="s">
        <v>18</v>
      </c>
      <c r="I1931">
        <v>53.636000000000003</v>
      </c>
      <c r="J1931" t="s">
        <v>19</v>
      </c>
      <c r="K1931" t="s">
        <v>2660</v>
      </c>
      <c r="L1931" t="s">
        <v>21</v>
      </c>
    </row>
    <row r="1932" spans="1:12">
      <c r="A1932" t="s">
        <v>2661</v>
      </c>
      <c r="B1932" t="s">
        <v>2631</v>
      </c>
      <c r="C1932" t="s">
        <v>229</v>
      </c>
      <c r="D1932">
        <v>1987</v>
      </c>
      <c r="E1932" t="s">
        <v>23</v>
      </c>
      <c r="F1932" t="s">
        <v>24</v>
      </c>
      <c r="G1932" t="s">
        <v>25</v>
      </c>
      <c r="H1932" t="s">
        <v>26</v>
      </c>
      <c r="I1932">
        <v>5756203</v>
      </c>
      <c r="J1932" t="s">
        <v>27</v>
      </c>
      <c r="K1932" t="s">
        <v>2660</v>
      </c>
      <c r="L1932" t="s">
        <v>21</v>
      </c>
    </row>
    <row r="1933" spans="1:12">
      <c r="A1933" t="s">
        <v>2662</v>
      </c>
      <c r="B1933" t="s">
        <v>2631</v>
      </c>
      <c r="C1933" t="s">
        <v>229</v>
      </c>
      <c r="D1933">
        <v>1987</v>
      </c>
      <c r="E1933" t="s">
        <v>29</v>
      </c>
      <c r="F1933" t="s">
        <v>30</v>
      </c>
      <c r="G1933" t="s">
        <v>31</v>
      </c>
      <c r="H1933" t="s">
        <v>32</v>
      </c>
      <c r="I1933">
        <v>1823.015995</v>
      </c>
      <c r="J1933" t="s">
        <v>33</v>
      </c>
      <c r="K1933" t="s">
        <v>2660</v>
      </c>
      <c r="L1933" t="s">
        <v>21</v>
      </c>
    </row>
    <row r="1934" spans="1:12">
      <c r="A1934" t="s">
        <v>2663</v>
      </c>
      <c r="B1934" t="s">
        <v>2631</v>
      </c>
      <c r="C1934" t="s">
        <v>229</v>
      </c>
      <c r="D1934">
        <v>1992</v>
      </c>
      <c r="E1934" t="s">
        <v>15</v>
      </c>
      <c r="F1934" t="s">
        <v>16</v>
      </c>
      <c r="G1934" t="s">
        <v>17</v>
      </c>
      <c r="H1934" t="s">
        <v>18</v>
      </c>
      <c r="I1934">
        <v>55.088999999999999</v>
      </c>
      <c r="J1934" t="s">
        <v>19</v>
      </c>
      <c r="K1934" t="s">
        <v>2664</v>
      </c>
      <c r="L1934" t="s">
        <v>21</v>
      </c>
    </row>
    <row r="1935" spans="1:12">
      <c r="A1935" t="s">
        <v>2665</v>
      </c>
      <c r="B1935" t="s">
        <v>2631</v>
      </c>
      <c r="C1935" t="s">
        <v>229</v>
      </c>
      <c r="D1935">
        <v>1992</v>
      </c>
      <c r="E1935" t="s">
        <v>23</v>
      </c>
      <c r="F1935" t="s">
        <v>24</v>
      </c>
      <c r="G1935" t="s">
        <v>25</v>
      </c>
      <c r="H1935" t="s">
        <v>26</v>
      </c>
      <c r="I1935">
        <v>6326682</v>
      </c>
      <c r="J1935" t="s">
        <v>27</v>
      </c>
      <c r="K1935" t="s">
        <v>2664</v>
      </c>
      <c r="L1935" t="s">
        <v>21</v>
      </c>
    </row>
    <row r="1936" spans="1:12">
      <c r="A1936" t="s">
        <v>2666</v>
      </c>
      <c r="B1936" t="s">
        <v>2631</v>
      </c>
      <c r="C1936" t="s">
        <v>229</v>
      </c>
      <c r="D1936">
        <v>1992</v>
      </c>
      <c r="E1936" t="s">
        <v>29</v>
      </c>
      <c r="F1936" t="s">
        <v>30</v>
      </c>
      <c r="G1936" t="s">
        <v>31</v>
      </c>
      <c r="H1936" t="s">
        <v>32</v>
      </c>
      <c r="I1936">
        <v>1456.3095169999999</v>
      </c>
      <c r="J1936" t="s">
        <v>33</v>
      </c>
      <c r="K1936" t="s">
        <v>2664</v>
      </c>
      <c r="L1936" t="s">
        <v>21</v>
      </c>
    </row>
    <row r="1937" spans="1:12">
      <c r="A1937" t="s">
        <v>2667</v>
      </c>
      <c r="B1937" t="s">
        <v>2631</v>
      </c>
      <c r="C1937" t="s">
        <v>229</v>
      </c>
      <c r="D1937">
        <v>1997</v>
      </c>
      <c r="E1937" t="s">
        <v>15</v>
      </c>
      <c r="F1937" t="s">
        <v>16</v>
      </c>
      <c r="G1937" t="s">
        <v>17</v>
      </c>
      <c r="H1937" t="s">
        <v>18</v>
      </c>
      <c r="I1937">
        <v>56.670999999999999</v>
      </c>
      <c r="J1937" t="s">
        <v>19</v>
      </c>
      <c r="K1937" t="s">
        <v>2668</v>
      </c>
      <c r="L1937" t="s">
        <v>21</v>
      </c>
    </row>
    <row r="1938" spans="1:12">
      <c r="A1938" t="s">
        <v>2669</v>
      </c>
      <c r="B1938" t="s">
        <v>2631</v>
      </c>
      <c r="C1938" t="s">
        <v>229</v>
      </c>
      <c r="D1938">
        <v>1997</v>
      </c>
      <c r="E1938" t="s">
        <v>23</v>
      </c>
      <c r="F1938" t="s">
        <v>24</v>
      </c>
      <c r="G1938" t="s">
        <v>25</v>
      </c>
      <c r="H1938" t="s">
        <v>26</v>
      </c>
      <c r="I1938">
        <v>6913545</v>
      </c>
      <c r="J1938" t="s">
        <v>27</v>
      </c>
      <c r="K1938" t="s">
        <v>2668</v>
      </c>
      <c r="L1938" t="s">
        <v>21</v>
      </c>
    </row>
    <row r="1939" spans="1:12">
      <c r="A1939" t="s">
        <v>2670</v>
      </c>
      <c r="B1939" t="s">
        <v>2631</v>
      </c>
      <c r="C1939" t="s">
        <v>229</v>
      </c>
      <c r="D1939">
        <v>1997</v>
      </c>
      <c r="E1939" t="s">
        <v>29</v>
      </c>
      <c r="F1939" t="s">
        <v>30</v>
      </c>
      <c r="G1939" t="s">
        <v>31</v>
      </c>
      <c r="H1939" t="s">
        <v>32</v>
      </c>
      <c r="I1939">
        <v>1341.7269309999999</v>
      </c>
      <c r="J1939" t="s">
        <v>33</v>
      </c>
      <c r="K1939" t="s">
        <v>2668</v>
      </c>
      <c r="L1939" t="s">
        <v>21</v>
      </c>
    </row>
    <row r="1940" spans="1:12">
      <c r="A1940" t="s">
        <v>2671</v>
      </c>
      <c r="B1940" t="s">
        <v>2631</v>
      </c>
      <c r="C1940" t="s">
        <v>229</v>
      </c>
      <c r="D1940">
        <v>2002</v>
      </c>
      <c r="E1940" t="s">
        <v>15</v>
      </c>
      <c r="F1940" t="s">
        <v>16</v>
      </c>
      <c r="G1940" t="s">
        <v>17</v>
      </c>
      <c r="H1940" t="s">
        <v>18</v>
      </c>
      <c r="I1940">
        <v>58.137</v>
      </c>
      <c r="J1940" t="s">
        <v>19</v>
      </c>
      <c r="K1940" t="s">
        <v>2672</v>
      </c>
      <c r="L1940" t="s">
        <v>21</v>
      </c>
    </row>
    <row r="1941" spans="1:12">
      <c r="A1941" t="s">
        <v>2673</v>
      </c>
      <c r="B1941" t="s">
        <v>2631</v>
      </c>
      <c r="C1941" t="s">
        <v>229</v>
      </c>
      <c r="D1941">
        <v>2002</v>
      </c>
      <c r="E1941" t="s">
        <v>23</v>
      </c>
      <c r="F1941" t="s">
        <v>24</v>
      </c>
      <c r="G1941" t="s">
        <v>25</v>
      </c>
      <c r="H1941" t="s">
        <v>26</v>
      </c>
      <c r="I1941">
        <v>7607651</v>
      </c>
      <c r="J1941" t="s">
        <v>27</v>
      </c>
      <c r="K1941" t="s">
        <v>2672</v>
      </c>
      <c r="L1941" t="s">
        <v>21</v>
      </c>
    </row>
    <row r="1942" spans="1:12">
      <c r="A1942" t="s">
        <v>2674</v>
      </c>
      <c r="B1942" t="s">
        <v>2631</v>
      </c>
      <c r="C1942" t="s">
        <v>229</v>
      </c>
      <c r="D1942">
        <v>2002</v>
      </c>
      <c r="E1942" t="s">
        <v>29</v>
      </c>
      <c r="F1942" t="s">
        <v>30</v>
      </c>
      <c r="G1942" t="s">
        <v>31</v>
      </c>
      <c r="H1942" t="s">
        <v>32</v>
      </c>
      <c r="I1942">
        <v>1270.364932</v>
      </c>
      <c r="J1942" t="s">
        <v>33</v>
      </c>
      <c r="K1942" t="s">
        <v>2672</v>
      </c>
      <c r="L1942" t="s">
        <v>21</v>
      </c>
    </row>
    <row r="1943" spans="1:12">
      <c r="A1943" t="s">
        <v>2675</v>
      </c>
      <c r="B1943" t="s">
        <v>2631</v>
      </c>
      <c r="C1943" t="s">
        <v>229</v>
      </c>
      <c r="D1943">
        <v>2007</v>
      </c>
      <c r="E1943" t="s">
        <v>15</v>
      </c>
      <c r="F1943" t="s">
        <v>16</v>
      </c>
      <c r="G1943" t="s">
        <v>17</v>
      </c>
      <c r="H1943" t="s">
        <v>18</v>
      </c>
      <c r="I1943">
        <v>60.915999999999997</v>
      </c>
      <c r="J1943" t="s">
        <v>19</v>
      </c>
      <c r="K1943" t="s">
        <v>2676</v>
      </c>
      <c r="L1943" t="s">
        <v>21</v>
      </c>
    </row>
    <row r="1944" spans="1:12">
      <c r="A1944" t="s">
        <v>2677</v>
      </c>
      <c r="B1944" t="s">
        <v>2631</v>
      </c>
      <c r="C1944" t="s">
        <v>229</v>
      </c>
      <c r="D1944">
        <v>2007</v>
      </c>
      <c r="E1944" t="s">
        <v>23</v>
      </c>
      <c r="F1944" t="s">
        <v>24</v>
      </c>
      <c r="G1944" t="s">
        <v>25</v>
      </c>
      <c r="H1944" t="s">
        <v>26</v>
      </c>
      <c r="I1944">
        <v>8502814</v>
      </c>
      <c r="J1944" t="s">
        <v>27</v>
      </c>
      <c r="K1944" t="s">
        <v>2676</v>
      </c>
      <c r="L1944" t="s">
        <v>21</v>
      </c>
    </row>
    <row r="1945" spans="1:12">
      <c r="A1945" t="s">
        <v>2678</v>
      </c>
      <c r="B1945" t="s">
        <v>2631</v>
      </c>
      <c r="C1945" t="s">
        <v>229</v>
      </c>
      <c r="D1945">
        <v>2007</v>
      </c>
      <c r="E1945" t="s">
        <v>29</v>
      </c>
      <c r="F1945" t="s">
        <v>30</v>
      </c>
      <c r="G1945" t="s">
        <v>31</v>
      </c>
      <c r="H1945" t="s">
        <v>32</v>
      </c>
      <c r="I1945">
        <v>1201.637154</v>
      </c>
      <c r="J1945" t="s">
        <v>33</v>
      </c>
      <c r="K1945" t="s">
        <v>2676</v>
      </c>
      <c r="L1945" t="s">
        <v>21</v>
      </c>
    </row>
    <row r="1946" spans="1:12">
      <c r="A1946" t="s">
        <v>2679</v>
      </c>
      <c r="B1946" t="s">
        <v>2680</v>
      </c>
      <c r="C1946" t="s">
        <v>229</v>
      </c>
      <c r="D1946">
        <v>1952</v>
      </c>
      <c r="E1946" t="s">
        <v>15</v>
      </c>
      <c r="F1946" t="s">
        <v>16</v>
      </c>
      <c r="G1946" t="s">
        <v>17</v>
      </c>
      <c r="H1946" t="s">
        <v>18</v>
      </c>
      <c r="I1946">
        <v>41.911999999999999</v>
      </c>
      <c r="J1946" t="s">
        <v>19</v>
      </c>
      <c r="K1946" t="s">
        <v>2681</v>
      </c>
      <c r="L1946" t="s">
        <v>21</v>
      </c>
    </row>
    <row r="1947" spans="1:12">
      <c r="A1947" t="s">
        <v>2682</v>
      </c>
      <c r="B1947" t="s">
        <v>2680</v>
      </c>
      <c r="C1947" t="s">
        <v>229</v>
      </c>
      <c r="D1947">
        <v>1952</v>
      </c>
      <c r="E1947" t="s">
        <v>23</v>
      </c>
      <c r="F1947" t="s">
        <v>24</v>
      </c>
      <c r="G1947" t="s">
        <v>25</v>
      </c>
      <c r="H1947" t="s">
        <v>26</v>
      </c>
      <c r="I1947">
        <v>1517453</v>
      </c>
      <c r="J1947" t="s">
        <v>27</v>
      </c>
      <c r="K1947" t="s">
        <v>2681</v>
      </c>
      <c r="L1947" t="s">
        <v>21</v>
      </c>
    </row>
    <row r="1948" spans="1:12">
      <c r="A1948" t="s">
        <v>2683</v>
      </c>
      <c r="B1948" t="s">
        <v>2680</v>
      </c>
      <c r="C1948" t="s">
        <v>229</v>
      </c>
      <c r="D1948">
        <v>1952</v>
      </c>
      <c r="E1948" t="s">
        <v>29</v>
      </c>
      <c r="F1948" t="s">
        <v>30</v>
      </c>
      <c r="G1948" t="s">
        <v>31</v>
      </c>
      <c r="H1948" t="s">
        <v>32</v>
      </c>
      <c r="I1948">
        <v>2194.9262039999999</v>
      </c>
      <c r="J1948" t="s">
        <v>33</v>
      </c>
      <c r="K1948" t="s">
        <v>2681</v>
      </c>
      <c r="L1948" t="s">
        <v>21</v>
      </c>
    </row>
    <row r="1949" spans="1:12">
      <c r="A1949" t="s">
        <v>2684</v>
      </c>
      <c r="B1949" t="s">
        <v>2680</v>
      </c>
      <c r="C1949" t="s">
        <v>229</v>
      </c>
      <c r="D1949">
        <v>1957</v>
      </c>
      <c r="E1949" t="s">
        <v>15</v>
      </c>
      <c r="F1949" t="s">
        <v>16</v>
      </c>
      <c r="G1949" t="s">
        <v>17</v>
      </c>
      <c r="H1949" t="s">
        <v>18</v>
      </c>
      <c r="I1949">
        <v>44.664999999999999</v>
      </c>
      <c r="J1949" t="s">
        <v>19</v>
      </c>
      <c r="K1949" t="s">
        <v>2685</v>
      </c>
      <c r="L1949" t="s">
        <v>21</v>
      </c>
    </row>
    <row r="1950" spans="1:12">
      <c r="A1950" t="s">
        <v>2686</v>
      </c>
      <c r="B1950" t="s">
        <v>2680</v>
      </c>
      <c r="C1950" t="s">
        <v>229</v>
      </c>
      <c r="D1950">
        <v>1957</v>
      </c>
      <c r="E1950" t="s">
        <v>23</v>
      </c>
      <c r="F1950" t="s">
        <v>24</v>
      </c>
      <c r="G1950" t="s">
        <v>25</v>
      </c>
      <c r="H1950" t="s">
        <v>26</v>
      </c>
      <c r="I1950">
        <v>1770390</v>
      </c>
      <c r="J1950" t="s">
        <v>27</v>
      </c>
      <c r="K1950" t="s">
        <v>2685</v>
      </c>
      <c r="L1950" t="s">
        <v>21</v>
      </c>
    </row>
    <row r="1951" spans="1:12">
      <c r="A1951" t="s">
        <v>2687</v>
      </c>
      <c r="B1951" t="s">
        <v>2680</v>
      </c>
      <c r="C1951" t="s">
        <v>229</v>
      </c>
      <c r="D1951">
        <v>1957</v>
      </c>
      <c r="E1951" t="s">
        <v>29</v>
      </c>
      <c r="F1951" t="s">
        <v>30</v>
      </c>
      <c r="G1951" t="s">
        <v>31</v>
      </c>
      <c r="H1951" t="s">
        <v>32</v>
      </c>
      <c r="I1951">
        <v>2220.4876819999999</v>
      </c>
      <c r="J1951" t="s">
        <v>33</v>
      </c>
      <c r="K1951" t="s">
        <v>2685</v>
      </c>
      <c r="L1951" t="s">
        <v>21</v>
      </c>
    </row>
    <row r="1952" spans="1:12">
      <c r="A1952" t="s">
        <v>2688</v>
      </c>
      <c r="B1952" t="s">
        <v>2680</v>
      </c>
      <c r="C1952" t="s">
        <v>229</v>
      </c>
      <c r="D1952">
        <v>1962</v>
      </c>
      <c r="E1952" t="s">
        <v>15</v>
      </c>
      <c r="F1952" t="s">
        <v>16</v>
      </c>
      <c r="G1952" t="s">
        <v>17</v>
      </c>
      <c r="H1952" t="s">
        <v>18</v>
      </c>
      <c r="I1952">
        <v>48.040999999999997</v>
      </c>
      <c r="J1952" t="s">
        <v>19</v>
      </c>
      <c r="K1952" t="s">
        <v>2689</v>
      </c>
      <c r="L1952" t="s">
        <v>21</v>
      </c>
    </row>
    <row r="1953" spans="1:12">
      <c r="A1953" t="s">
        <v>2690</v>
      </c>
      <c r="B1953" t="s">
        <v>2680</v>
      </c>
      <c r="C1953" t="s">
        <v>229</v>
      </c>
      <c r="D1953">
        <v>1962</v>
      </c>
      <c r="E1953" t="s">
        <v>23</v>
      </c>
      <c r="F1953" t="s">
        <v>24</v>
      </c>
      <c r="G1953" t="s">
        <v>25</v>
      </c>
      <c r="H1953" t="s">
        <v>26</v>
      </c>
      <c r="I1953">
        <v>2090162</v>
      </c>
      <c r="J1953" t="s">
        <v>27</v>
      </c>
      <c r="K1953" t="s">
        <v>2689</v>
      </c>
      <c r="L1953" t="s">
        <v>21</v>
      </c>
    </row>
    <row r="1954" spans="1:12">
      <c r="A1954" t="s">
        <v>2691</v>
      </c>
      <c r="B1954" t="s">
        <v>2680</v>
      </c>
      <c r="C1954" t="s">
        <v>229</v>
      </c>
      <c r="D1954">
        <v>1962</v>
      </c>
      <c r="E1954" t="s">
        <v>29</v>
      </c>
      <c r="F1954" t="s">
        <v>30</v>
      </c>
      <c r="G1954" t="s">
        <v>31</v>
      </c>
      <c r="H1954" t="s">
        <v>32</v>
      </c>
      <c r="I1954">
        <v>2291.1568349999998</v>
      </c>
      <c r="J1954" t="s">
        <v>33</v>
      </c>
      <c r="K1954" t="s">
        <v>2689</v>
      </c>
      <c r="L1954" t="s">
        <v>21</v>
      </c>
    </row>
    <row r="1955" spans="1:12">
      <c r="A1955" t="s">
        <v>2692</v>
      </c>
      <c r="B1955" t="s">
        <v>2680</v>
      </c>
      <c r="C1955" t="s">
        <v>229</v>
      </c>
      <c r="D1955">
        <v>1967</v>
      </c>
      <c r="E1955" t="s">
        <v>15</v>
      </c>
      <c r="F1955" t="s">
        <v>16</v>
      </c>
      <c r="G1955" t="s">
        <v>17</v>
      </c>
      <c r="H1955" t="s">
        <v>18</v>
      </c>
      <c r="I1955">
        <v>50.923999999999999</v>
      </c>
      <c r="J1955" t="s">
        <v>19</v>
      </c>
      <c r="K1955" t="s">
        <v>2693</v>
      </c>
      <c r="L1955" t="s">
        <v>21</v>
      </c>
    </row>
    <row r="1956" spans="1:12">
      <c r="A1956" t="s">
        <v>2694</v>
      </c>
      <c r="B1956" t="s">
        <v>2680</v>
      </c>
      <c r="C1956" t="s">
        <v>229</v>
      </c>
      <c r="D1956">
        <v>1967</v>
      </c>
      <c r="E1956" t="s">
        <v>23</v>
      </c>
      <c r="F1956" t="s">
        <v>24</v>
      </c>
      <c r="G1956" t="s">
        <v>25</v>
      </c>
      <c r="H1956" t="s">
        <v>26</v>
      </c>
      <c r="I1956">
        <v>2500689</v>
      </c>
      <c r="J1956" t="s">
        <v>27</v>
      </c>
      <c r="K1956" t="s">
        <v>2693</v>
      </c>
      <c r="L1956" t="s">
        <v>21</v>
      </c>
    </row>
    <row r="1957" spans="1:12">
      <c r="A1957" t="s">
        <v>2695</v>
      </c>
      <c r="B1957" t="s">
        <v>2680</v>
      </c>
      <c r="C1957" t="s">
        <v>229</v>
      </c>
      <c r="D1957">
        <v>1967</v>
      </c>
      <c r="E1957" t="s">
        <v>29</v>
      </c>
      <c r="F1957" t="s">
        <v>30</v>
      </c>
      <c r="G1957" t="s">
        <v>31</v>
      </c>
      <c r="H1957" t="s">
        <v>32</v>
      </c>
      <c r="I1957">
        <v>2538.269358</v>
      </c>
      <c r="J1957" t="s">
        <v>33</v>
      </c>
      <c r="K1957" t="s">
        <v>2693</v>
      </c>
      <c r="L1957" t="s">
        <v>21</v>
      </c>
    </row>
    <row r="1958" spans="1:12">
      <c r="A1958" t="s">
        <v>2696</v>
      </c>
      <c r="B1958" t="s">
        <v>2680</v>
      </c>
      <c r="C1958" t="s">
        <v>229</v>
      </c>
      <c r="D1958">
        <v>1972</v>
      </c>
      <c r="E1958" t="s">
        <v>15</v>
      </c>
      <c r="F1958" t="s">
        <v>16</v>
      </c>
      <c r="G1958" t="s">
        <v>17</v>
      </c>
      <c r="H1958" t="s">
        <v>18</v>
      </c>
      <c r="I1958">
        <v>53.883999999999901</v>
      </c>
      <c r="J1958" t="s">
        <v>19</v>
      </c>
      <c r="K1958" t="s">
        <v>2697</v>
      </c>
      <c r="L1958" t="s">
        <v>21</v>
      </c>
    </row>
    <row r="1959" spans="1:12">
      <c r="A1959" t="s">
        <v>2698</v>
      </c>
      <c r="B1959" t="s">
        <v>2680</v>
      </c>
      <c r="C1959" t="s">
        <v>229</v>
      </c>
      <c r="D1959">
        <v>1972</v>
      </c>
      <c r="E1959" t="s">
        <v>23</v>
      </c>
      <c r="F1959" t="s">
        <v>24</v>
      </c>
      <c r="G1959" t="s">
        <v>25</v>
      </c>
      <c r="H1959" t="s">
        <v>26</v>
      </c>
      <c r="I1959">
        <v>2965146</v>
      </c>
      <c r="J1959" t="s">
        <v>27</v>
      </c>
      <c r="K1959" t="s">
        <v>2697</v>
      </c>
      <c r="L1959" t="s">
        <v>21</v>
      </c>
    </row>
    <row r="1960" spans="1:12">
      <c r="A1960" t="s">
        <v>2699</v>
      </c>
      <c r="B1960" t="s">
        <v>2680</v>
      </c>
      <c r="C1960" t="s">
        <v>229</v>
      </c>
      <c r="D1960">
        <v>1972</v>
      </c>
      <c r="E1960" t="s">
        <v>29</v>
      </c>
      <c r="F1960" t="s">
        <v>30</v>
      </c>
      <c r="G1960" t="s">
        <v>31</v>
      </c>
      <c r="H1960" t="s">
        <v>32</v>
      </c>
      <c r="I1960">
        <v>2529.842345</v>
      </c>
      <c r="J1960" t="s">
        <v>33</v>
      </c>
      <c r="K1960" t="s">
        <v>2697</v>
      </c>
      <c r="L1960" t="s">
        <v>21</v>
      </c>
    </row>
    <row r="1961" spans="1:12">
      <c r="A1961" t="s">
        <v>2700</v>
      </c>
      <c r="B1961" t="s">
        <v>2680</v>
      </c>
      <c r="C1961" t="s">
        <v>229</v>
      </c>
      <c r="D1961">
        <v>1977</v>
      </c>
      <c r="E1961" t="s">
        <v>15</v>
      </c>
      <c r="F1961" t="s">
        <v>16</v>
      </c>
      <c r="G1961" t="s">
        <v>17</v>
      </c>
      <c r="H1961" t="s">
        <v>18</v>
      </c>
      <c r="I1961">
        <v>57.402000000000001</v>
      </c>
      <c r="J1961" t="s">
        <v>19</v>
      </c>
      <c r="K1961" t="s">
        <v>2701</v>
      </c>
      <c r="L1961" t="s">
        <v>21</v>
      </c>
    </row>
    <row r="1962" spans="1:12">
      <c r="A1962" t="s">
        <v>2702</v>
      </c>
      <c r="B1962" t="s">
        <v>2680</v>
      </c>
      <c r="C1962" t="s">
        <v>229</v>
      </c>
      <c r="D1962">
        <v>1977</v>
      </c>
      <c r="E1962" t="s">
        <v>23</v>
      </c>
      <c r="F1962" t="s">
        <v>24</v>
      </c>
      <c r="G1962" t="s">
        <v>25</v>
      </c>
      <c r="H1962" t="s">
        <v>26</v>
      </c>
      <c r="I1962">
        <v>3055235</v>
      </c>
      <c r="J1962" t="s">
        <v>27</v>
      </c>
      <c r="K1962" t="s">
        <v>2701</v>
      </c>
      <c r="L1962" t="s">
        <v>21</v>
      </c>
    </row>
    <row r="1963" spans="1:12">
      <c r="A1963" t="s">
        <v>2703</v>
      </c>
      <c r="B1963" t="s">
        <v>2680</v>
      </c>
      <c r="C1963" t="s">
        <v>229</v>
      </c>
      <c r="D1963">
        <v>1977</v>
      </c>
      <c r="E1963" t="s">
        <v>29</v>
      </c>
      <c r="F1963" t="s">
        <v>30</v>
      </c>
      <c r="G1963" t="s">
        <v>31</v>
      </c>
      <c r="H1963" t="s">
        <v>32</v>
      </c>
      <c r="I1963">
        <v>3203.2080660000001</v>
      </c>
      <c r="J1963" t="s">
        <v>33</v>
      </c>
      <c r="K1963" t="s">
        <v>2701</v>
      </c>
      <c r="L1963" t="s">
        <v>21</v>
      </c>
    </row>
    <row r="1964" spans="1:12">
      <c r="A1964" t="s">
        <v>2704</v>
      </c>
      <c r="B1964" t="s">
        <v>2680</v>
      </c>
      <c r="C1964" t="s">
        <v>229</v>
      </c>
      <c r="D1964">
        <v>1982</v>
      </c>
      <c r="E1964" t="s">
        <v>15</v>
      </c>
      <c r="F1964" t="s">
        <v>16</v>
      </c>
      <c r="G1964" t="s">
        <v>17</v>
      </c>
      <c r="H1964" t="s">
        <v>18</v>
      </c>
      <c r="I1964">
        <v>60.908999999999999</v>
      </c>
      <c r="J1964" t="s">
        <v>19</v>
      </c>
      <c r="K1964" t="s">
        <v>2705</v>
      </c>
      <c r="L1964" t="s">
        <v>21</v>
      </c>
    </row>
    <row r="1965" spans="1:12">
      <c r="A1965" t="s">
        <v>2706</v>
      </c>
      <c r="B1965" t="s">
        <v>2680</v>
      </c>
      <c r="C1965" t="s">
        <v>229</v>
      </c>
      <c r="D1965">
        <v>1982</v>
      </c>
      <c r="E1965" t="s">
        <v>23</v>
      </c>
      <c r="F1965" t="s">
        <v>24</v>
      </c>
      <c r="G1965" t="s">
        <v>25</v>
      </c>
      <c r="H1965" t="s">
        <v>26</v>
      </c>
      <c r="I1965">
        <v>3669448</v>
      </c>
      <c r="J1965" t="s">
        <v>27</v>
      </c>
      <c r="K1965" t="s">
        <v>2705</v>
      </c>
      <c r="L1965" t="s">
        <v>21</v>
      </c>
    </row>
    <row r="1966" spans="1:12">
      <c r="A1966" t="s">
        <v>2707</v>
      </c>
      <c r="B1966" t="s">
        <v>2680</v>
      </c>
      <c r="C1966" t="s">
        <v>229</v>
      </c>
      <c r="D1966">
        <v>1982</v>
      </c>
      <c r="E1966" t="s">
        <v>29</v>
      </c>
      <c r="F1966" t="s">
        <v>30</v>
      </c>
      <c r="G1966" t="s">
        <v>31</v>
      </c>
      <c r="H1966" t="s">
        <v>32</v>
      </c>
      <c r="I1966">
        <v>3121.7607939999998</v>
      </c>
      <c r="J1966" t="s">
        <v>33</v>
      </c>
      <c r="K1966" t="s">
        <v>2705</v>
      </c>
      <c r="L1966" t="s">
        <v>21</v>
      </c>
    </row>
    <row r="1967" spans="1:12">
      <c r="A1967" t="s">
        <v>2708</v>
      </c>
      <c r="B1967" t="s">
        <v>2680</v>
      </c>
      <c r="C1967" t="s">
        <v>229</v>
      </c>
      <c r="D1967">
        <v>1987</v>
      </c>
      <c r="E1967" t="s">
        <v>15</v>
      </c>
      <c r="F1967" t="s">
        <v>16</v>
      </c>
      <c r="G1967" t="s">
        <v>17</v>
      </c>
      <c r="H1967" t="s">
        <v>18</v>
      </c>
      <c r="I1967">
        <v>64.492000000000004</v>
      </c>
      <c r="J1967" t="s">
        <v>19</v>
      </c>
      <c r="K1967" t="s">
        <v>2709</v>
      </c>
      <c r="L1967" t="s">
        <v>21</v>
      </c>
    </row>
    <row r="1968" spans="1:12">
      <c r="A1968" t="s">
        <v>2710</v>
      </c>
      <c r="B1968" t="s">
        <v>2680</v>
      </c>
      <c r="C1968" t="s">
        <v>229</v>
      </c>
      <c r="D1968">
        <v>1987</v>
      </c>
      <c r="E1968" t="s">
        <v>23</v>
      </c>
      <c r="F1968" t="s">
        <v>24</v>
      </c>
      <c r="G1968" t="s">
        <v>25</v>
      </c>
      <c r="H1968" t="s">
        <v>26</v>
      </c>
      <c r="I1968">
        <v>4372203</v>
      </c>
      <c r="J1968" t="s">
        <v>27</v>
      </c>
      <c r="K1968" t="s">
        <v>2709</v>
      </c>
      <c r="L1968" t="s">
        <v>21</v>
      </c>
    </row>
    <row r="1969" spans="1:12">
      <c r="A1969" t="s">
        <v>2711</v>
      </c>
      <c r="B1969" t="s">
        <v>2680</v>
      </c>
      <c r="C1969" t="s">
        <v>229</v>
      </c>
      <c r="D1969">
        <v>1987</v>
      </c>
      <c r="E1969" t="s">
        <v>29</v>
      </c>
      <c r="F1969" t="s">
        <v>30</v>
      </c>
      <c r="G1969" t="s">
        <v>31</v>
      </c>
      <c r="H1969" t="s">
        <v>32</v>
      </c>
      <c r="I1969">
        <v>3023.0966990000002</v>
      </c>
      <c r="J1969" t="s">
        <v>33</v>
      </c>
      <c r="K1969" t="s">
        <v>2709</v>
      </c>
      <c r="L1969" t="s">
        <v>21</v>
      </c>
    </row>
    <row r="1970" spans="1:12">
      <c r="A1970" t="s">
        <v>2712</v>
      </c>
      <c r="B1970" t="s">
        <v>2680</v>
      </c>
      <c r="C1970" t="s">
        <v>229</v>
      </c>
      <c r="D1970">
        <v>1992</v>
      </c>
      <c r="E1970" t="s">
        <v>15</v>
      </c>
      <c r="F1970" t="s">
        <v>16</v>
      </c>
      <c r="G1970" t="s">
        <v>17</v>
      </c>
      <c r="H1970" t="s">
        <v>18</v>
      </c>
      <c r="I1970">
        <v>66.399000000000001</v>
      </c>
      <c r="J1970" t="s">
        <v>19</v>
      </c>
      <c r="K1970" t="s">
        <v>2713</v>
      </c>
      <c r="L1970" t="s">
        <v>21</v>
      </c>
    </row>
    <row r="1971" spans="1:12">
      <c r="A1971" t="s">
        <v>2714</v>
      </c>
      <c r="B1971" t="s">
        <v>2680</v>
      </c>
      <c r="C1971" t="s">
        <v>229</v>
      </c>
      <c r="D1971">
        <v>1992</v>
      </c>
      <c r="E1971" t="s">
        <v>23</v>
      </c>
      <c r="F1971" t="s">
        <v>24</v>
      </c>
      <c r="G1971" t="s">
        <v>25</v>
      </c>
      <c r="H1971" t="s">
        <v>26</v>
      </c>
      <c r="I1971">
        <v>5077347</v>
      </c>
      <c r="J1971" t="s">
        <v>27</v>
      </c>
      <c r="K1971" t="s">
        <v>2713</v>
      </c>
      <c r="L1971" t="s">
        <v>21</v>
      </c>
    </row>
    <row r="1972" spans="1:12">
      <c r="A1972" t="s">
        <v>2715</v>
      </c>
      <c r="B1972" t="s">
        <v>2680</v>
      </c>
      <c r="C1972" t="s">
        <v>229</v>
      </c>
      <c r="D1972">
        <v>1992</v>
      </c>
      <c r="E1972" t="s">
        <v>29</v>
      </c>
      <c r="F1972" t="s">
        <v>30</v>
      </c>
      <c r="G1972" t="s">
        <v>31</v>
      </c>
      <c r="H1972" t="s">
        <v>32</v>
      </c>
      <c r="I1972">
        <v>3081.6946029999999</v>
      </c>
      <c r="J1972" t="s">
        <v>33</v>
      </c>
      <c r="K1972" t="s">
        <v>2713</v>
      </c>
      <c r="L1972" t="s">
        <v>21</v>
      </c>
    </row>
    <row r="1973" spans="1:12">
      <c r="A1973" t="s">
        <v>2716</v>
      </c>
      <c r="B1973" t="s">
        <v>2680</v>
      </c>
      <c r="C1973" t="s">
        <v>229</v>
      </c>
      <c r="D1973">
        <v>1997</v>
      </c>
      <c r="E1973" t="s">
        <v>15</v>
      </c>
      <c r="F1973" t="s">
        <v>16</v>
      </c>
      <c r="G1973" t="s">
        <v>17</v>
      </c>
      <c r="H1973" t="s">
        <v>18</v>
      </c>
      <c r="I1973">
        <v>67.658999999999907</v>
      </c>
      <c r="J1973" t="s">
        <v>19</v>
      </c>
      <c r="K1973" t="s">
        <v>2717</v>
      </c>
      <c r="L1973" t="s">
        <v>21</v>
      </c>
    </row>
    <row r="1974" spans="1:12">
      <c r="A1974" t="s">
        <v>2718</v>
      </c>
      <c r="B1974" t="s">
        <v>2680</v>
      </c>
      <c r="C1974" t="s">
        <v>229</v>
      </c>
      <c r="D1974">
        <v>1997</v>
      </c>
      <c r="E1974" t="s">
        <v>23</v>
      </c>
      <c r="F1974" t="s">
        <v>24</v>
      </c>
      <c r="G1974" t="s">
        <v>25</v>
      </c>
      <c r="H1974" t="s">
        <v>26</v>
      </c>
      <c r="I1974">
        <v>5867957</v>
      </c>
      <c r="J1974" t="s">
        <v>27</v>
      </c>
      <c r="K1974" t="s">
        <v>2717</v>
      </c>
      <c r="L1974" t="s">
        <v>21</v>
      </c>
    </row>
    <row r="1975" spans="1:12">
      <c r="A1975" t="s">
        <v>2719</v>
      </c>
      <c r="B1975" t="s">
        <v>2680</v>
      </c>
      <c r="C1975" t="s">
        <v>229</v>
      </c>
      <c r="D1975">
        <v>1997</v>
      </c>
      <c r="E1975" t="s">
        <v>29</v>
      </c>
      <c r="F1975" t="s">
        <v>30</v>
      </c>
      <c r="G1975" t="s">
        <v>31</v>
      </c>
      <c r="H1975" t="s">
        <v>32</v>
      </c>
      <c r="I1975">
        <v>3160.4549059999999</v>
      </c>
      <c r="J1975" t="s">
        <v>33</v>
      </c>
      <c r="K1975" t="s">
        <v>2717</v>
      </c>
      <c r="L1975" t="s">
        <v>21</v>
      </c>
    </row>
    <row r="1976" spans="1:12">
      <c r="A1976" t="s">
        <v>2720</v>
      </c>
      <c r="B1976" t="s">
        <v>2680</v>
      </c>
      <c r="C1976" t="s">
        <v>229</v>
      </c>
      <c r="D1976">
        <v>2002</v>
      </c>
      <c r="E1976" t="s">
        <v>15</v>
      </c>
      <c r="F1976" t="s">
        <v>16</v>
      </c>
      <c r="G1976" t="s">
        <v>17</v>
      </c>
      <c r="H1976" t="s">
        <v>18</v>
      </c>
      <c r="I1976">
        <v>68.564999999999998</v>
      </c>
      <c r="J1976" t="s">
        <v>19</v>
      </c>
      <c r="K1976" t="s">
        <v>2721</v>
      </c>
      <c r="L1976" t="s">
        <v>21</v>
      </c>
    </row>
    <row r="1977" spans="1:12">
      <c r="A1977" t="s">
        <v>2722</v>
      </c>
      <c r="B1977" t="s">
        <v>2680</v>
      </c>
      <c r="C1977" t="s">
        <v>229</v>
      </c>
      <c r="D1977">
        <v>2002</v>
      </c>
      <c r="E1977" t="s">
        <v>23</v>
      </c>
      <c r="F1977" t="s">
        <v>24</v>
      </c>
      <c r="G1977" t="s">
        <v>25</v>
      </c>
      <c r="H1977" t="s">
        <v>26</v>
      </c>
      <c r="I1977">
        <v>6677328</v>
      </c>
      <c r="J1977" t="s">
        <v>27</v>
      </c>
      <c r="K1977" t="s">
        <v>2721</v>
      </c>
      <c r="L1977" t="s">
        <v>21</v>
      </c>
    </row>
    <row r="1978" spans="1:12">
      <c r="A1978" t="s">
        <v>2723</v>
      </c>
      <c r="B1978" t="s">
        <v>2680</v>
      </c>
      <c r="C1978" t="s">
        <v>229</v>
      </c>
      <c r="D1978">
        <v>2002</v>
      </c>
      <c r="E1978" t="s">
        <v>29</v>
      </c>
      <c r="F1978" t="s">
        <v>30</v>
      </c>
      <c r="G1978" t="s">
        <v>31</v>
      </c>
      <c r="H1978" t="s">
        <v>32</v>
      </c>
      <c r="I1978">
        <v>3099.7286600000002</v>
      </c>
      <c r="J1978" t="s">
        <v>33</v>
      </c>
      <c r="K1978" t="s">
        <v>2721</v>
      </c>
      <c r="L1978" t="s">
        <v>21</v>
      </c>
    </row>
    <row r="1979" spans="1:12">
      <c r="A1979" t="s">
        <v>2724</v>
      </c>
      <c r="B1979" t="s">
        <v>2680</v>
      </c>
      <c r="C1979" t="s">
        <v>229</v>
      </c>
      <c r="D1979">
        <v>2007</v>
      </c>
      <c r="E1979" t="s">
        <v>15</v>
      </c>
      <c r="F1979" t="s">
        <v>16</v>
      </c>
      <c r="G1979" t="s">
        <v>17</v>
      </c>
      <c r="H1979" t="s">
        <v>18</v>
      </c>
      <c r="I1979">
        <v>70.197999999999993</v>
      </c>
      <c r="J1979" t="s">
        <v>19</v>
      </c>
      <c r="K1979" t="s">
        <v>2725</v>
      </c>
      <c r="L1979" t="s">
        <v>21</v>
      </c>
    </row>
    <row r="1980" spans="1:12">
      <c r="A1980" t="s">
        <v>2726</v>
      </c>
      <c r="B1980" t="s">
        <v>2680</v>
      </c>
      <c r="C1980" t="s">
        <v>229</v>
      </c>
      <c r="D1980">
        <v>2007</v>
      </c>
      <c r="E1980" t="s">
        <v>23</v>
      </c>
      <c r="F1980" t="s">
        <v>24</v>
      </c>
      <c r="G1980" t="s">
        <v>25</v>
      </c>
      <c r="H1980" t="s">
        <v>26</v>
      </c>
      <c r="I1980">
        <v>7483763</v>
      </c>
      <c r="J1980" t="s">
        <v>27</v>
      </c>
      <c r="K1980" t="s">
        <v>2725</v>
      </c>
      <c r="L1980" t="s">
        <v>21</v>
      </c>
    </row>
    <row r="1981" spans="1:12">
      <c r="A1981" t="s">
        <v>2727</v>
      </c>
      <c r="B1981" t="s">
        <v>2680</v>
      </c>
      <c r="C1981" t="s">
        <v>229</v>
      </c>
      <c r="D1981">
        <v>2007</v>
      </c>
      <c r="E1981" t="s">
        <v>29</v>
      </c>
      <c r="F1981" t="s">
        <v>30</v>
      </c>
      <c r="G1981" t="s">
        <v>31</v>
      </c>
      <c r="H1981" t="s">
        <v>32</v>
      </c>
      <c r="I1981">
        <v>3548.3308459999998</v>
      </c>
      <c r="J1981" t="s">
        <v>33</v>
      </c>
      <c r="K1981" t="s">
        <v>2725</v>
      </c>
      <c r="L1981" t="s">
        <v>21</v>
      </c>
    </row>
    <row r="1982" spans="1:12">
      <c r="A1982" t="s">
        <v>2728</v>
      </c>
      <c r="B1982" t="s">
        <v>2729</v>
      </c>
      <c r="C1982" t="s">
        <v>14</v>
      </c>
      <c r="D1982">
        <v>1952</v>
      </c>
      <c r="E1982" t="s">
        <v>15</v>
      </c>
      <c r="F1982" t="s">
        <v>16</v>
      </c>
      <c r="G1982" t="s">
        <v>17</v>
      </c>
      <c r="H1982" t="s">
        <v>18</v>
      </c>
      <c r="I1982">
        <v>60.96</v>
      </c>
      <c r="J1982" t="s">
        <v>19</v>
      </c>
      <c r="K1982" t="s">
        <v>2730</v>
      </c>
      <c r="L1982" t="s">
        <v>21</v>
      </c>
    </row>
    <row r="1983" spans="1:12">
      <c r="A1983" t="s">
        <v>2731</v>
      </c>
      <c r="B1983" t="s">
        <v>2729</v>
      </c>
      <c r="C1983" t="s">
        <v>14</v>
      </c>
      <c r="D1983">
        <v>1952</v>
      </c>
      <c r="E1983" t="s">
        <v>23</v>
      </c>
      <c r="F1983" t="s">
        <v>24</v>
      </c>
      <c r="G1983" t="s">
        <v>25</v>
      </c>
      <c r="H1983" t="s">
        <v>26</v>
      </c>
      <c r="I1983">
        <v>2125900</v>
      </c>
      <c r="J1983" t="s">
        <v>27</v>
      </c>
      <c r="K1983" t="s">
        <v>2730</v>
      </c>
      <c r="L1983" t="s">
        <v>21</v>
      </c>
    </row>
    <row r="1984" spans="1:12">
      <c r="A1984" t="s">
        <v>2732</v>
      </c>
      <c r="B1984" t="s">
        <v>2729</v>
      </c>
      <c r="C1984" t="s">
        <v>14</v>
      </c>
      <c r="D1984">
        <v>1952</v>
      </c>
      <c r="E1984" t="s">
        <v>29</v>
      </c>
      <c r="F1984" t="s">
        <v>30</v>
      </c>
      <c r="G1984" t="s">
        <v>31</v>
      </c>
      <c r="H1984" t="s">
        <v>32</v>
      </c>
      <c r="I1984">
        <v>3054.4212090000001</v>
      </c>
      <c r="J1984" t="s">
        <v>33</v>
      </c>
      <c r="K1984" t="s">
        <v>2730</v>
      </c>
      <c r="L1984" t="s">
        <v>21</v>
      </c>
    </row>
    <row r="1985" spans="1:12">
      <c r="A1985" t="s">
        <v>2733</v>
      </c>
      <c r="B1985" t="s">
        <v>2729</v>
      </c>
      <c r="C1985" t="s">
        <v>14</v>
      </c>
      <c r="D1985">
        <v>1957</v>
      </c>
      <c r="E1985" t="s">
        <v>15</v>
      </c>
      <c r="F1985" t="s">
        <v>16</v>
      </c>
      <c r="G1985" t="s">
        <v>17</v>
      </c>
      <c r="H1985" t="s">
        <v>18</v>
      </c>
      <c r="I1985">
        <v>64.75</v>
      </c>
      <c r="J1985" t="s">
        <v>19</v>
      </c>
      <c r="K1985" t="s">
        <v>2734</v>
      </c>
      <c r="L1985" t="s">
        <v>21</v>
      </c>
    </row>
    <row r="1986" spans="1:12">
      <c r="A1986" t="s">
        <v>2735</v>
      </c>
      <c r="B1986" t="s">
        <v>2729</v>
      </c>
      <c r="C1986" t="s">
        <v>14</v>
      </c>
      <c r="D1986">
        <v>1957</v>
      </c>
      <c r="E1986" t="s">
        <v>23</v>
      </c>
      <c r="F1986" t="s">
        <v>24</v>
      </c>
      <c r="G1986" t="s">
        <v>25</v>
      </c>
      <c r="H1986" t="s">
        <v>26</v>
      </c>
      <c r="I1986">
        <v>2736300</v>
      </c>
      <c r="J1986" t="s">
        <v>27</v>
      </c>
      <c r="K1986" t="s">
        <v>2734</v>
      </c>
      <c r="L1986" t="s">
        <v>21</v>
      </c>
    </row>
    <row r="1987" spans="1:12">
      <c r="A1987" t="s">
        <v>2736</v>
      </c>
      <c r="B1987" t="s">
        <v>2729</v>
      </c>
      <c r="C1987" t="s">
        <v>14</v>
      </c>
      <c r="D1987">
        <v>1957</v>
      </c>
      <c r="E1987" t="s">
        <v>29</v>
      </c>
      <c r="F1987" t="s">
        <v>30</v>
      </c>
      <c r="G1987" t="s">
        <v>31</v>
      </c>
      <c r="H1987" t="s">
        <v>32</v>
      </c>
      <c r="I1987">
        <v>3629.0764570000001</v>
      </c>
      <c r="J1987" t="s">
        <v>33</v>
      </c>
      <c r="K1987" t="s">
        <v>2734</v>
      </c>
      <c r="L1987" t="s">
        <v>21</v>
      </c>
    </row>
    <row r="1988" spans="1:12">
      <c r="A1988" t="s">
        <v>2737</v>
      </c>
      <c r="B1988" t="s">
        <v>2729</v>
      </c>
      <c r="C1988" t="s">
        <v>14</v>
      </c>
      <c r="D1988">
        <v>1962</v>
      </c>
      <c r="E1988" t="s">
        <v>15</v>
      </c>
      <c r="F1988" t="s">
        <v>16</v>
      </c>
      <c r="G1988" t="s">
        <v>17</v>
      </c>
      <c r="H1988" t="s">
        <v>18</v>
      </c>
      <c r="I1988">
        <v>67.650000000000006</v>
      </c>
      <c r="J1988" t="s">
        <v>19</v>
      </c>
      <c r="K1988" t="s">
        <v>2738</v>
      </c>
      <c r="L1988" t="s">
        <v>21</v>
      </c>
    </row>
    <row r="1989" spans="1:12">
      <c r="A1989" t="s">
        <v>2739</v>
      </c>
      <c r="B1989" t="s">
        <v>2729</v>
      </c>
      <c r="C1989" t="s">
        <v>14</v>
      </c>
      <c r="D1989">
        <v>1962</v>
      </c>
      <c r="E1989" t="s">
        <v>23</v>
      </c>
      <c r="F1989" t="s">
        <v>24</v>
      </c>
      <c r="G1989" t="s">
        <v>25</v>
      </c>
      <c r="H1989" t="s">
        <v>26</v>
      </c>
      <c r="I1989">
        <v>3305200</v>
      </c>
      <c r="J1989" t="s">
        <v>27</v>
      </c>
      <c r="K1989" t="s">
        <v>2738</v>
      </c>
      <c r="L1989" t="s">
        <v>21</v>
      </c>
    </row>
    <row r="1990" spans="1:12">
      <c r="A1990" t="s">
        <v>2740</v>
      </c>
      <c r="B1990" t="s">
        <v>2729</v>
      </c>
      <c r="C1990" t="s">
        <v>14</v>
      </c>
      <c r="D1990">
        <v>1962</v>
      </c>
      <c r="E1990" t="s">
        <v>29</v>
      </c>
      <c r="F1990" t="s">
        <v>30</v>
      </c>
      <c r="G1990" t="s">
        <v>31</v>
      </c>
      <c r="H1990" t="s">
        <v>32</v>
      </c>
      <c r="I1990">
        <v>4692.6482719999904</v>
      </c>
      <c r="J1990" t="s">
        <v>33</v>
      </c>
      <c r="K1990" t="s">
        <v>2738</v>
      </c>
      <c r="L1990" t="s">
        <v>21</v>
      </c>
    </row>
    <row r="1991" spans="1:12">
      <c r="A1991" t="s">
        <v>2741</v>
      </c>
      <c r="B1991" t="s">
        <v>2729</v>
      </c>
      <c r="C1991" t="s">
        <v>14</v>
      </c>
      <c r="D1991">
        <v>1967</v>
      </c>
      <c r="E1991" t="s">
        <v>15</v>
      </c>
      <c r="F1991" t="s">
        <v>16</v>
      </c>
      <c r="G1991" t="s">
        <v>17</v>
      </c>
      <c r="H1991" t="s">
        <v>18</v>
      </c>
      <c r="I1991">
        <v>70</v>
      </c>
      <c r="J1991" t="s">
        <v>19</v>
      </c>
      <c r="K1991" t="s">
        <v>2742</v>
      </c>
      <c r="L1991" t="s">
        <v>21</v>
      </c>
    </row>
    <row r="1992" spans="1:12">
      <c r="A1992" t="s">
        <v>2743</v>
      </c>
      <c r="B1992" t="s">
        <v>2729</v>
      </c>
      <c r="C1992" t="s">
        <v>14</v>
      </c>
      <c r="D1992">
        <v>1967</v>
      </c>
      <c r="E1992" t="s">
        <v>23</v>
      </c>
      <c r="F1992" t="s">
        <v>24</v>
      </c>
      <c r="G1992" t="s">
        <v>25</v>
      </c>
      <c r="H1992" t="s">
        <v>26</v>
      </c>
      <c r="I1992">
        <v>3722800</v>
      </c>
      <c r="J1992" t="s">
        <v>27</v>
      </c>
      <c r="K1992" t="s">
        <v>2742</v>
      </c>
      <c r="L1992" t="s">
        <v>21</v>
      </c>
    </row>
    <row r="1993" spans="1:12">
      <c r="A1993" t="s">
        <v>2744</v>
      </c>
      <c r="B1993" t="s">
        <v>2729</v>
      </c>
      <c r="C1993" t="s">
        <v>14</v>
      </c>
      <c r="D1993">
        <v>1967</v>
      </c>
      <c r="E1993" t="s">
        <v>29</v>
      </c>
      <c r="F1993" t="s">
        <v>30</v>
      </c>
      <c r="G1993" t="s">
        <v>31</v>
      </c>
      <c r="H1993" t="s">
        <v>32</v>
      </c>
      <c r="I1993">
        <v>6197.9628140000004</v>
      </c>
      <c r="J1993" t="s">
        <v>33</v>
      </c>
      <c r="K1993" t="s">
        <v>2742</v>
      </c>
      <c r="L1993" t="s">
        <v>21</v>
      </c>
    </row>
    <row r="1994" spans="1:12">
      <c r="A1994" t="s">
        <v>2745</v>
      </c>
      <c r="B1994" t="s">
        <v>2729</v>
      </c>
      <c r="C1994" t="s">
        <v>14</v>
      </c>
      <c r="D1994">
        <v>1972</v>
      </c>
      <c r="E1994" t="s">
        <v>15</v>
      </c>
      <c r="F1994" t="s">
        <v>16</v>
      </c>
      <c r="G1994" t="s">
        <v>17</v>
      </c>
      <c r="H1994" t="s">
        <v>18</v>
      </c>
      <c r="I1994">
        <v>72</v>
      </c>
      <c r="J1994" t="s">
        <v>19</v>
      </c>
      <c r="K1994" t="s">
        <v>2746</v>
      </c>
      <c r="L1994" t="s">
        <v>21</v>
      </c>
    </row>
    <row r="1995" spans="1:12">
      <c r="A1995" t="s">
        <v>2747</v>
      </c>
      <c r="B1995" t="s">
        <v>2729</v>
      </c>
      <c r="C1995" t="s">
        <v>14</v>
      </c>
      <c r="D1995">
        <v>1972</v>
      </c>
      <c r="E1995" t="s">
        <v>23</v>
      </c>
      <c r="F1995" t="s">
        <v>24</v>
      </c>
      <c r="G1995" t="s">
        <v>25</v>
      </c>
      <c r="H1995" t="s">
        <v>26</v>
      </c>
      <c r="I1995">
        <v>4115700</v>
      </c>
      <c r="J1995" t="s">
        <v>27</v>
      </c>
      <c r="K1995" t="s">
        <v>2746</v>
      </c>
      <c r="L1995" t="s">
        <v>21</v>
      </c>
    </row>
    <row r="1996" spans="1:12">
      <c r="A1996" t="s">
        <v>2748</v>
      </c>
      <c r="B1996" t="s">
        <v>2729</v>
      </c>
      <c r="C1996" t="s">
        <v>14</v>
      </c>
      <c r="D1996">
        <v>1972</v>
      </c>
      <c r="E1996" t="s">
        <v>29</v>
      </c>
      <c r="F1996" t="s">
        <v>30</v>
      </c>
      <c r="G1996" t="s">
        <v>31</v>
      </c>
      <c r="H1996" t="s">
        <v>32</v>
      </c>
      <c r="I1996">
        <v>8315.9281449999999</v>
      </c>
      <c r="J1996" t="s">
        <v>33</v>
      </c>
      <c r="K1996" t="s">
        <v>2746</v>
      </c>
      <c r="L1996" t="s">
        <v>21</v>
      </c>
    </row>
    <row r="1997" spans="1:12">
      <c r="A1997" t="s">
        <v>2749</v>
      </c>
      <c r="B1997" t="s">
        <v>2729</v>
      </c>
      <c r="C1997" t="s">
        <v>14</v>
      </c>
      <c r="D1997">
        <v>1977</v>
      </c>
      <c r="E1997" t="s">
        <v>15</v>
      </c>
      <c r="F1997" t="s">
        <v>16</v>
      </c>
      <c r="G1997" t="s">
        <v>17</v>
      </c>
      <c r="H1997" t="s">
        <v>18</v>
      </c>
      <c r="I1997">
        <v>73.599999999999994</v>
      </c>
      <c r="J1997" t="s">
        <v>19</v>
      </c>
      <c r="K1997" t="s">
        <v>2750</v>
      </c>
      <c r="L1997" t="s">
        <v>21</v>
      </c>
    </row>
    <row r="1998" spans="1:12">
      <c r="A1998" t="s">
        <v>2751</v>
      </c>
      <c r="B1998" t="s">
        <v>2729</v>
      </c>
      <c r="C1998" t="s">
        <v>14</v>
      </c>
      <c r="D1998">
        <v>1977</v>
      </c>
      <c r="E1998" t="s">
        <v>23</v>
      </c>
      <c r="F1998" t="s">
        <v>24</v>
      </c>
      <c r="G1998" t="s">
        <v>25</v>
      </c>
      <c r="H1998" t="s">
        <v>26</v>
      </c>
      <c r="I1998">
        <v>4583700</v>
      </c>
      <c r="J1998" t="s">
        <v>27</v>
      </c>
      <c r="K1998" t="s">
        <v>2750</v>
      </c>
      <c r="L1998" t="s">
        <v>21</v>
      </c>
    </row>
    <row r="1999" spans="1:12">
      <c r="A1999" t="s">
        <v>2752</v>
      </c>
      <c r="B1999" t="s">
        <v>2729</v>
      </c>
      <c r="C1999" t="s">
        <v>14</v>
      </c>
      <c r="D1999">
        <v>1977</v>
      </c>
      <c r="E1999" t="s">
        <v>29</v>
      </c>
      <c r="F1999" t="s">
        <v>30</v>
      </c>
      <c r="G1999" t="s">
        <v>31</v>
      </c>
      <c r="H1999" t="s">
        <v>32</v>
      </c>
      <c r="I1999">
        <v>11186.141250000001</v>
      </c>
      <c r="J1999" t="s">
        <v>33</v>
      </c>
      <c r="K1999" t="s">
        <v>2750</v>
      </c>
      <c r="L1999" t="s">
        <v>21</v>
      </c>
    </row>
    <row r="2000" spans="1:12">
      <c r="A2000" t="s">
        <v>2753</v>
      </c>
      <c r="B2000" t="s">
        <v>2729</v>
      </c>
      <c r="C2000" t="s">
        <v>14</v>
      </c>
      <c r="D2000">
        <v>1982</v>
      </c>
      <c r="E2000" t="s">
        <v>15</v>
      </c>
      <c r="F2000" t="s">
        <v>16</v>
      </c>
      <c r="G2000" t="s">
        <v>17</v>
      </c>
      <c r="H2000" t="s">
        <v>18</v>
      </c>
      <c r="I2000">
        <v>75.45</v>
      </c>
      <c r="J2000" t="s">
        <v>19</v>
      </c>
      <c r="K2000" t="s">
        <v>2754</v>
      </c>
      <c r="L2000" t="s">
        <v>21</v>
      </c>
    </row>
    <row r="2001" spans="1:12">
      <c r="A2001" t="s">
        <v>2755</v>
      </c>
      <c r="B2001" t="s">
        <v>2729</v>
      </c>
      <c r="C2001" t="s">
        <v>14</v>
      </c>
      <c r="D2001">
        <v>1982</v>
      </c>
      <c r="E2001" t="s">
        <v>23</v>
      </c>
      <c r="F2001" t="s">
        <v>24</v>
      </c>
      <c r="G2001" t="s">
        <v>25</v>
      </c>
      <c r="H2001" t="s">
        <v>26</v>
      </c>
      <c r="I2001">
        <v>5264500</v>
      </c>
      <c r="J2001" t="s">
        <v>27</v>
      </c>
      <c r="K2001" t="s">
        <v>2754</v>
      </c>
      <c r="L2001" t="s">
        <v>21</v>
      </c>
    </row>
    <row r="2002" spans="1:12">
      <c r="A2002" t="s">
        <v>2756</v>
      </c>
      <c r="B2002" t="s">
        <v>2729</v>
      </c>
      <c r="C2002" t="s">
        <v>14</v>
      </c>
      <c r="D2002">
        <v>1982</v>
      </c>
      <c r="E2002" t="s">
        <v>29</v>
      </c>
      <c r="F2002" t="s">
        <v>30</v>
      </c>
      <c r="G2002" t="s">
        <v>31</v>
      </c>
      <c r="H2002" t="s">
        <v>32</v>
      </c>
      <c r="I2002">
        <v>14560.530510000001</v>
      </c>
      <c r="J2002" t="s">
        <v>33</v>
      </c>
      <c r="K2002" t="s">
        <v>2754</v>
      </c>
      <c r="L2002" t="s">
        <v>21</v>
      </c>
    </row>
    <row r="2003" spans="1:12">
      <c r="A2003" t="s">
        <v>2757</v>
      </c>
      <c r="B2003" t="s">
        <v>2729</v>
      </c>
      <c r="C2003" t="s">
        <v>14</v>
      </c>
      <c r="D2003">
        <v>1987</v>
      </c>
      <c r="E2003" t="s">
        <v>15</v>
      </c>
      <c r="F2003" t="s">
        <v>16</v>
      </c>
      <c r="G2003" t="s">
        <v>17</v>
      </c>
      <c r="H2003" t="s">
        <v>18</v>
      </c>
      <c r="I2003">
        <v>76.2</v>
      </c>
      <c r="J2003" t="s">
        <v>19</v>
      </c>
      <c r="K2003" t="s">
        <v>2758</v>
      </c>
      <c r="L2003" t="s">
        <v>21</v>
      </c>
    </row>
    <row r="2004" spans="1:12">
      <c r="A2004" t="s">
        <v>2759</v>
      </c>
      <c r="B2004" t="s">
        <v>2729</v>
      </c>
      <c r="C2004" t="s">
        <v>14</v>
      </c>
      <c r="D2004">
        <v>1987</v>
      </c>
      <c r="E2004" t="s">
        <v>23</v>
      </c>
      <c r="F2004" t="s">
        <v>24</v>
      </c>
      <c r="G2004" t="s">
        <v>25</v>
      </c>
      <c r="H2004" t="s">
        <v>26</v>
      </c>
      <c r="I2004">
        <v>5584510</v>
      </c>
      <c r="J2004" t="s">
        <v>27</v>
      </c>
      <c r="K2004" t="s">
        <v>2758</v>
      </c>
      <c r="L2004" t="s">
        <v>21</v>
      </c>
    </row>
    <row r="2005" spans="1:12">
      <c r="A2005" t="s">
        <v>2760</v>
      </c>
      <c r="B2005" t="s">
        <v>2729</v>
      </c>
      <c r="C2005" t="s">
        <v>14</v>
      </c>
      <c r="D2005">
        <v>1987</v>
      </c>
      <c r="E2005" t="s">
        <v>29</v>
      </c>
      <c r="F2005" t="s">
        <v>30</v>
      </c>
      <c r="G2005" t="s">
        <v>31</v>
      </c>
      <c r="H2005" t="s">
        <v>32</v>
      </c>
      <c r="I2005">
        <v>20038.472689999999</v>
      </c>
      <c r="J2005" t="s">
        <v>33</v>
      </c>
      <c r="K2005" t="s">
        <v>2758</v>
      </c>
      <c r="L2005" t="s">
        <v>21</v>
      </c>
    </row>
    <row r="2006" spans="1:12">
      <c r="A2006" t="s">
        <v>2761</v>
      </c>
      <c r="B2006" t="s">
        <v>2729</v>
      </c>
      <c r="C2006" t="s">
        <v>14</v>
      </c>
      <c r="D2006">
        <v>1992</v>
      </c>
      <c r="E2006" t="s">
        <v>15</v>
      </c>
      <c r="F2006" t="s">
        <v>16</v>
      </c>
      <c r="G2006" t="s">
        <v>17</v>
      </c>
      <c r="H2006" t="s">
        <v>18</v>
      </c>
      <c r="I2006">
        <v>77.600999999999999</v>
      </c>
      <c r="J2006" t="s">
        <v>19</v>
      </c>
      <c r="K2006" t="s">
        <v>2762</v>
      </c>
      <c r="L2006" t="s">
        <v>21</v>
      </c>
    </row>
    <row r="2007" spans="1:12">
      <c r="A2007" t="s">
        <v>2763</v>
      </c>
      <c r="B2007" t="s">
        <v>2729</v>
      </c>
      <c r="C2007" t="s">
        <v>14</v>
      </c>
      <c r="D2007">
        <v>1992</v>
      </c>
      <c r="E2007" t="s">
        <v>23</v>
      </c>
      <c r="F2007" t="s">
        <v>24</v>
      </c>
      <c r="G2007" t="s">
        <v>25</v>
      </c>
      <c r="H2007" t="s">
        <v>26</v>
      </c>
      <c r="I2007">
        <v>5829696</v>
      </c>
      <c r="J2007" t="s">
        <v>27</v>
      </c>
      <c r="K2007" t="s">
        <v>2762</v>
      </c>
      <c r="L2007" t="s">
        <v>21</v>
      </c>
    </row>
    <row r="2008" spans="1:12">
      <c r="A2008" t="s">
        <v>2764</v>
      </c>
      <c r="B2008" t="s">
        <v>2729</v>
      </c>
      <c r="C2008" t="s">
        <v>14</v>
      </c>
      <c r="D2008">
        <v>1992</v>
      </c>
      <c r="E2008" t="s">
        <v>29</v>
      </c>
      <c r="F2008" t="s">
        <v>30</v>
      </c>
      <c r="G2008" t="s">
        <v>31</v>
      </c>
      <c r="H2008" t="s">
        <v>32</v>
      </c>
      <c r="I2008">
        <v>24757.603009999999</v>
      </c>
      <c r="J2008" t="s">
        <v>33</v>
      </c>
      <c r="K2008" t="s">
        <v>2762</v>
      </c>
      <c r="L2008" t="s">
        <v>21</v>
      </c>
    </row>
    <row r="2009" spans="1:12">
      <c r="A2009" t="s">
        <v>2765</v>
      </c>
      <c r="B2009" t="s">
        <v>2729</v>
      </c>
      <c r="C2009" t="s">
        <v>14</v>
      </c>
      <c r="D2009">
        <v>1997</v>
      </c>
      <c r="E2009" t="s">
        <v>15</v>
      </c>
      <c r="F2009" t="s">
        <v>16</v>
      </c>
      <c r="G2009" t="s">
        <v>17</v>
      </c>
      <c r="H2009" t="s">
        <v>18</v>
      </c>
      <c r="I2009">
        <v>80</v>
      </c>
      <c r="J2009" t="s">
        <v>19</v>
      </c>
      <c r="K2009" t="s">
        <v>2766</v>
      </c>
      <c r="L2009" t="s">
        <v>21</v>
      </c>
    </row>
    <row r="2010" spans="1:12">
      <c r="A2010" t="s">
        <v>2767</v>
      </c>
      <c r="B2010" t="s">
        <v>2729</v>
      </c>
      <c r="C2010" t="s">
        <v>14</v>
      </c>
      <c r="D2010">
        <v>1997</v>
      </c>
      <c r="E2010" t="s">
        <v>23</v>
      </c>
      <c r="F2010" t="s">
        <v>24</v>
      </c>
      <c r="G2010" t="s">
        <v>25</v>
      </c>
      <c r="H2010" t="s">
        <v>26</v>
      </c>
      <c r="I2010">
        <v>6495918</v>
      </c>
      <c r="J2010" t="s">
        <v>27</v>
      </c>
      <c r="K2010" t="s">
        <v>2766</v>
      </c>
      <c r="L2010" t="s">
        <v>21</v>
      </c>
    </row>
    <row r="2011" spans="1:12">
      <c r="A2011" t="s">
        <v>2768</v>
      </c>
      <c r="B2011" t="s">
        <v>2729</v>
      </c>
      <c r="C2011" t="s">
        <v>14</v>
      </c>
      <c r="D2011">
        <v>1997</v>
      </c>
      <c r="E2011" t="s">
        <v>29</v>
      </c>
      <c r="F2011" t="s">
        <v>30</v>
      </c>
      <c r="G2011" t="s">
        <v>31</v>
      </c>
      <c r="H2011" t="s">
        <v>32</v>
      </c>
      <c r="I2011">
        <v>28377.63219</v>
      </c>
      <c r="J2011" t="s">
        <v>33</v>
      </c>
      <c r="K2011" t="s">
        <v>2766</v>
      </c>
      <c r="L2011" t="s">
        <v>21</v>
      </c>
    </row>
    <row r="2012" spans="1:12">
      <c r="A2012" t="s">
        <v>2769</v>
      </c>
      <c r="B2012" t="s">
        <v>2729</v>
      </c>
      <c r="C2012" t="s">
        <v>14</v>
      </c>
      <c r="D2012">
        <v>2002</v>
      </c>
      <c r="E2012" t="s">
        <v>15</v>
      </c>
      <c r="F2012" t="s">
        <v>16</v>
      </c>
      <c r="G2012" t="s">
        <v>17</v>
      </c>
      <c r="H2012" t="s">
        <v>18</v>
      </c>
      <c r="I2012">
        <v>81.495000000000005</v>
      </c>
      <c r="J2012" t="s">
        <v>19</v>
      </c>
      <c r="K2012" t="s">
        <v>2770</v>
      </c>
      <c r="L2012" t="s">
        <v>21</v>
      </c>
    </row>
    <row r="2013" spans="1:12">
      <c r="A2013" t="s">
        <v>2771</v>
      </c>
      <c r="B2013" t="s">
        <v>2729</v>
      </c>
      <c r="C2013" t="s">
        <v>14</v>
      </c>
      <c r="D2013">
        <v>2002</v>
      </c>
      <c r="E2013" t="s">
        <v>23</v>
      </c>
      <c r="F2013" t="s">
        <v>24</v>
      </c>
      <c r="G2013" t="s">
        <v>25</v>
      </c>
      <c r="H2013" t="s">
        <v>26</v>
      </c>
      <c r="I2013">
        <v>6762476</v>
      </c>
      <c r="J2013" t="s">
        <v>27</v>
      </c>
      <c r="K2013" t="s">
        <v>2770</v>
      </c>
      <c r="L2013" t="s">
        <v>21</v>
      </c>
    </row>
    <row r="2014" spans="1:12">
      <c r="A2014" t="s">
        <v>2772</v>
      </c>
      <c r="B2014" t="s">
        <v>2729</v>
      </c>
      <c r="C2014" t="s">
        <v>14</v>
      </c>
      <c r="D2014">
        <v>2002</v>
      </c>
      <c r="E2014" t="s">
        <v>29</v>
      </c>
      <c r="F2014" t="s">
        <v>30</v>
      </c>
      <c r="G2014" t="s">
        <v>31</v>
      </c>
      <c r="H2014" t="s">
        <v>32</v>
      </c>
      <c r="I2014">
        <v>30209.015159999999</v>
      </c>
      <c r="J2014" t="s">
        <v>33</v>
      </c>
      <c r="K2014" t="s">
        <v>2770</v>
      </c>
      <c r="L2014" t="s">
        <v>21</v>
      </c>
    </row>
    <row r="2015" spans="1:12">
      <c r="A2015" t="s">
        <v>2773</v>
      </c>
      <c r="B2015" t="s">
        <v>2729</v>
      </c>
      <c r="C2015" t="s">
        <v>14</v>
      </c>
      <c r="D2015">
        <v>2007</v>
      </c>
      <c r="E2015" t="s">
        <v>15</v>
      </c>
      <c r="F2015" t="s">
        <v>16</v>
      </c>
      <c r="G2015" t="s">
        <v>17</v>
      </c>
      <c r="H2015" t="s">
        <v>18</v>
      </c>
      <c r="I2015">
        <v>82.207999999999998</v>
      </c>
      <c r="J2015" t="s">
        <v>19</v>
      </c>
      <c r="K2015" t="s">
        <v>2774</v>
      </c>
      <c r="L2015" t="s">
        <v>21</v>
      </c>
    </row>
    <row r="2016" spans="1:12">
      <c r="A2016" t="s">
        <v>2775</v>
      </c>
      <c r="B2016" t="s">
        <v>2729</v>
      </c>
      <c r="C2016" t="s">
        <v>14</v>
      </c>
      <c r="D2016">
        <v>2007</v>
      </c>
      <c r="E2016" t="s">
        <v>23</v>
      </c>
      <c r="F2016" t="s">
        <v>24</v>
      </c>
      <c r="G2016" t="s">
        <v>25</v>
      </c>
      <c r="H2016" t="s">
        <v>26</v>
      </c>
      <c r="I2016">
        <v>6980412</v>
      </c>
      <c r="J2016" t="s">
        <v>27</v>
      </c>
      <c r="K2016" t="s">
        <v>2774</v>
      </c>
      <c r="L2016" t="s">
        <v>21</v>
      </c>
    </row>
    <row r="2017" spans="1:12">
      <c r="A2017" t="s">
        <v>2776</v>
      </c>
      <c r="B2017" t="s">
        <v>2729</v>
      </c>
      <c r="C2017" t="s">
        <v>14</v>
      </c>
      <c r="D2017">
        <v>2007</v>
      </c>
      <c r="E2017" t="s">
        <v>29</v>
      </c>
      <c r="F2017" t="s">
        <v>30</v>
      </c>
      <c r="G2017" t="s">
        <v>31</v>
      </c>
      <c r="H2017" t="s">
        <v>32</v>
      </c>
      <c r="I2017">
        <v>39724.978669999997</v>
      </c>
      <c r="J2017" t="s">
        <v>33</v>
      </c>
      <c r="K2017" t="s">
        <v>2774</v>
      </c>
      <c r="L2017" t="s">
        <v>21</v>
      </c>
    </row>
    <row r="2018" spans="1:12">
      <c r="A2018" t="s">
        <v>2777</v>
      </c>
      <c r="B2018" t="s">
        <v>2778</v>
      </c>
      <c r="C2018" t="s">
        <v>80</v>
      </c>
      <c r="D2018">
        <v>1952</v>
      </c>
      <c r="E2018" t="s">
        <v>15</v>
      </c>
      <c r="F2018" t="s">
        <v>16</v>
      </c>
      <c r="G2018" t="s">
        <v>17</v>
      </c>
      <c r="H2018" t="s">
        <v>18</v>
      </c>
      <c r="I2018">
        <v>64.03</v>
      </c>
      <c r="J2018" t="s">
        <v>19</v>
      </c>
      <c r="K2018" t="s">
        <v>2779</v>
      </c>
      <c r="L2018" t="s">
        <v>21</v>
      </c>
    </row>
    <row r="2019" spans="1:12">
      <c r="A2019" t="s">
        <v>2780</v>
      </c>
      <c r="B2019" t="s">
        <v>2778</v>
      </c>
      <c r="C2019" t="s">
        <v>80</v>
      </c>
      <c r="D2019">
        <v>1952</v>
      </c>
      <c r="E2019" t="s">
        <v>23</v>
      </c>
      <c r="F2019" t="s">
        <v>24</v>
      </c>
      <c r="G2019" t="s">
        <v>25</v>
      </c>
      <c r="H2019" t="s">
        <v>26</v>
      </c>
      <c r="I2019">
        <v>9504000</v>
      </c>
      <c r="J2019" t="s">
        <v>27</v>
      </c>
      <c r="K2019" t="s">
        <v>2779</v>
      </c>
      <c r="L2019" t="s">
        <v>21</v>
      </c>
    </row>
    <row r="2020" spans="1:12">
      <c r="A2020" t="s">
        <v>2781</v>
      </c>
      <c r="B2020" t="s">
        <v>2778</v>
      </c>
      <c r="C2020" t="s">
        <v>80</v>
      </c>
      <c r="D2020">
        <v>1952</v>
      </c>
      <c r="E2020" t="s">
        <v>29</v>
      </c>
      <c r="F2020" t="s">
        <v>30</v>
      </c>
      <c r="G2020" t="s">
        <v>31</v>
      </c>
      <c r="H2020" t="s">
        <v>32</v>
      </c>
      <c r="I2020">
        <v>5263.6738160000004</v>
      </c>
      <c r="J2020" t="s">
        <v>33</v>
      </c>
      <c r="K2020" t="s">
        <v>2779</v>
      </c>
      <c r="L2020" t="s">
        <v>21</v>
      </c>
    </row>
    <row r="2021" spans="1:12">
      <c r="A2021" t="s">
        <v>2782</v>
      </c>
      <c r="B2021" t="s">
        <v>2778</v>
      </c>
      <c r="C2021" t="s">
        <v>80</v>
      </c>
      <c r="D2021">
        <v>1957</v>
      </c>
      <c r="E2021" t="s">
        <v>15</v>
      </c>
      <c r="F2021" t="s">
        <v>16</v>
      </c>
      <c r="G2021" t="s">
        <v>17</v>
      </c>
      <c r="H2021" t="s">
        <v>18</v>
      </c>
      <c r="I2021">
        <v>66.41</v>
      </c>
      <c r="J2021" t="s">
        <v>19</v>
      </c>
      <c r="K2021" t="s">
        <v>2783</v>
      </c>
      <c r="L2021" t="s">
        <v>21</v>
      </c>
    </row>
    <row r="2022" spans="1:12">
      <c r="A2022" t="s">
        <v>2784</v>
      </c>
      <c r="B2022" t="s">
        <v>2778</v>
      </c>
      <c r="C2022" t="s">
        <v>80</v>
      </c>
      <c r="D2022">
        <v>1957</v>
      </c>
      <c r="E2022" t="s">
        <v>23</v>
      </c>
      <c r="F2022" t="s">
        <v>24</v>
      </c>
      <c r="G2022" t="s">
        <v>25</v>
      </c>
      <c r="H2022" t="s">
        <v>26</v>
      </c>
      <c r="I2022">
        <v>9839000</v>
      </c>
      <c r="J2022" t="s">
        <v>27</v>
      </c>
      <c r="K2022" t="s">
        <v>2783</v>
      </c>
      <c r="L2022" t="s">
        <v>21</v>
      </c>
    </row>
    <row r="2023" spans="1:12">
      <c r="A2023" t="s">
        <v>2785</v>
      </c>
      <c r="B2023" t="s">
        <v>2778</v>
      </c>
      <c r="C2023" t="s">
        <v>80</v>
      </c>
      <c r="D2023">
        <v>1957</v>
      </c>
      <c r="E2023" t="s">
        <v>29</v>
      </c>
      <c r="F2023" t="s">
        <v>30</v>
      </c>
      <c r="G2023" t="s">
        <v>31</v>
      </c>
      <c r="H2023" t="s">
        <v>32</v>
      </c>
      <c r="I2023">
        <v>6040.1800110000004</v>
      </c>
      <c r="J2023" t="s">
        <v>33</v>
      </c>
      <c r="K2023" t="s">
        <v>2783</v>
      </c>
      <c r="L2023" t="s">
        <v>21</v>
      </c>
    </row>
    <row r="2024" spans="1:12">
      <c r="A2024" t="s">
        <v>2786</v>
      </c>
      <c r="B2024" t="s">
        <v>2778</v>
      </c>
      <c r="C2024" t="s">
        <v>80</v>
      </c>
      <c r="D2024">
        <v>1962</v>
      </c>
      <c r="E2024" t="s">
        <v>15</v>
      </c>
      <c r="F2024" t="s">
        <v>16</v>
      </c>
      <c r="G2024" t="s">
        <v>17</v>
      </c>
      <c r="H2024" t="s">
        <v>18</v>
      </c>
      <c r="I2024">
        <v>67.959999999999994</v>
      </c>
      <c r="J2024" t="s">
        <v>19</v>
      </c>
      <c r="K2024" t="s">
        <v>2787</v>
      </c>
      <c r="L2024" t="s">
        <v>21</v>
      </c>
    </row>
    <row r="2025" spans="1:12">
      <c r="A2025" t="s">
        <v>2788</v>
      </c>
      <c r="B2025" t="s">
        <v>2778</v>
      </c>
      <c r="C2025" t="s">
        <v>80</v>
      </c>
      <c r="D2025">
        <v>1962</v>
      </c>
      <c r="E2025" t="s">
        <v>23</v>
      </c>
      <c r="F2025" t="s">
        <v>24</v>
      </c>
      <c r="G2025" t="s">
        <v>25</v>
      </c>
      <c r="H2025" t="s">
        <v>26</v>
      </c>
      <c r="I2025">
        <v>10063000</v>
      </c>
      <c r="J2025" t="s">
        <v>27</v>
      </c>
      <c r="K2025" t="s">
        <v>2787</v>
      </c>
      <c r="L2025" t="s">
        <v>21</v>
      </c>
    </row>
    <row r="2026" spans="1:12">
      <c r="A2026" t="s">
        <v>2789</v>
      </c>
      <c r="B2026" t="s">
        <v>2778</v>
      </c>
      <c r="C2026" t="s">
        <v>80</v>
      </c>
      <c r="D2026">
        <v>1962</v>
      </c>
      <c r="E2026" t="s">
        <v>29</v>
      </c>
      <c r="F2026" t="s">
        <v>30</v>
      </c>
      <c r="G2026" t="s">
        <v>31</v>
      </c>
      <c r="H2026" t="s">
        <v>32</v>
      </c>
      <c r="I2026">
        <v>7550.3598769999999</v>
      </c>
      <c r="J2026" t="s">
        <v>33</v>
      </c>
      <c r="K2026" t="s">
        <v>2787</v>
      </c>
      <c r="L2026" t="s">
        <v>21</v>
      </c>
    </row>
    <row r="2027" spans="1:12">
      <c r="A2027" t="s">
        <v>2790</v>
      </c>
      <c r="B2027" t="s">
        <v>2778</v>
      </c>
      <c r="C2027" t="s">
        <v>80</v>
      </c>
      <c r="D2027">
        <v>1967</v>
      </c>
      <c r="E2027" t="s">
        <v>15</v>
      </c>
      <c r="F2027" t="s">
        <v>16</v>
      </c>
      <c r="G2027" t="s">
        <v>17</v>
      </c>
      <c r="H2027" t="s">
        <v>18</v>
      </c>
      <c r="I2027">
        <v>69.5</v>
      </c>
      <c r="J2027" t="s">
        <v>19</v>
      </c>
      <c r="K2027" t="s">
        <v>2791</v>
      </c>
      <c r="L2027" t="s">
        <v>21</v>
      </c>
    </row>
    <row r="2028" spans="1:12">
      <c r="A2028" t="s">
        <v>2792</v>
      </c>
      <c r="B2028" t="s">
        <v>2778</v>
      </c>
      <c r="C2028" t="s">
        <v>80</v>
      </c>
      <c r="D2028">
        <v>1967</v>
      </c>
      <c r="E2028" t="s">
        <v>23</v>
      </c>
      <c r="F2028" t="s">
        <v>24</v>
      </c>
      <c r="G2028" t="s">
        <v>25</v>
      </c>
      <c r="H2028" t="s">
        <v>26</v>
      </c>
      <c r="I2028">
        <v>10223422</v>
      </c>
      <c r="J2028" t="s">
        <v>27</v>
      </c>
      <c r="K2028" t="s">
        <v>2791</v>
      </c>
      <c r="L2028" t="s">
        <v>21</v>
      </c>
    </row>
    <row r="2029" spans="1:12">
      <c r="A2029" t="s">
        <v>2793</v>
      </c>
      <c r="B2029" t="s">
        <v>2778</v>
      </c>
      <c r="C2029" t="s">
        <v>80</v>
      </c>
      <c r="D2029">
        <v>1967</v>
      </c>
      <c r="E2029" t="s">
        <v>29</v>
      </c>
      <c r="F2029" t="s">
        <v>30</v>
      </c>
      <c r="G2029" t="s">
        <v>31</v>
      </c>
      <c r="H2029" t="s">
        <v>32</v>
      </c>
      <c r="I2029">
        <v>9326.6446699999997</v>
      </c>
      <c r="J2029" t="s">
        <v>33</v>
      </c>
      <c r="K2029" t="s">
        <v>2791</v>
      </c>
      <c r="L2029" t="s">
        <v>21</v>
      </c>
    </row>
    <row r="2030" spans="1:12">
      <c r="A2030" t="s">
        <v>2794</v>
      </c>
      <c r="B2030" t="s">
        <v>2778</v>
      </c>
      <c r="C2030" t="s">
        <v>80</v>
      </c>
      <c r="D2030">
        <v>1972</v>
      </c>
      <c r="E2030" t="s">
        <v>15</v>
      </c>
      <c r="F2030" t="s">
        <v>16</v>
      </c>
      <c r="G2030" t="s">
        <v>17</v>
      </c>
      <c r="H2030" t="s">
        <v>18</v>
      </c>
      <c r="I2030">
        <v>69.760000000000005</v>
      </c>
      <c r="J2030" t="s">
        <v>19</v>
      </c>
      <c r="K2030" t="s">
        <v>2795</v>
      </c>
      <c r="L2030" t="s">
        <v>21</v>
      </c>
    </row>
    <row r="2031" spans="1:12">
      <c r="A2031" t="s">
        <v>2796</v>
      </c>
      <c r="B2031" t="s">
        <v>2778</v>
      </c>
      <c r="C2031" t="s">
        <v>80</v>
      </c>
      <c r="D2031">
        <v>1972</v>
      </c>
      <c r="E2031" t="s">
        <v>23</v>
      </c>
      <c r="F2031" t="s">
        <v>24</v>
      </c>
      <c r="G2031" t="s">
        <v>25</v>
      </c>
      <c r="H2031" t="s">
        <v>26</v>
      </c>
      <c r="I2031">
        <v>10394091</v>
      </c>
      <c r="J2031" t="s">
        <v>27</v>
      </c>
      <c r="K2031" t="s">
        <v>2795</v>
      </c>
      <c r="L2031" t="s">
        <v>21</v>
      </c>
    </row>
    <row r="2032" spans="1:12">
      <c r="A2032" t="s">
        <v>2797</v>
      </c>
      <c r="B2032" t="s">
        <v>2778</v>
      </c>
      <c r="C2032" t="s">
        <v>80</v>
      </c>
      <c r="D2032">
        <v>1972</v>
      </c>
      <c r="E2032" t="s">
        <v>29</v>
      </c>
      <c r="F2032" t="s">
        <v>30</v>
      </c>
      <c r="G2032" t="s">
        <v>31</v>
      </c>
      <c r="H2032" t="s">
        <v>32</v>
      </c>
      <c r="I2032">
        <v>10168.65611</v>
      </c>
      <c r="J2032" t="s">
        <v>33</v>
      </c>
      <c r="K2032" t="s">
        <v>2795</v>
      </c>
      <c r="L2032" t="s">
        <v>21</v>
      </c>
    </row>
    <row r="2033" spans="1:12">
      <c r="A2033" t="s">
        <v>2798</v>
      </c>
      <c r="B2033" t="s">
        <v>2778</v>
      </c>
      <c r="C2033" t="s">
        <v>80</v>
      </c>
      <c r="D2033">
        <v>1977</v>
      </c>
      <c r="E2033" t="s">
        <v>15</v>
      </c>
      <c r="F2033" t="s">
        <v>16</v>
      </c>
      <c r="G2033" t="s">
        <v>17</v>
      </c>
      <c r="H2033" t="s">
        <v>18</v>
      </c>
      <c r="I2033">
        <v>69.95</v>
      </c>
      <c r="J2033" t="s">
        <v>19</v>
      </c>
      <c r="K2033" t="s">
        <v>2799</v>
      </c>
      <c r="L2033" t="s">
        <v>21</v>
      </c>
    </row>
    <row r="2034" spans="1:12">
      <c r="A2034" t="s">
        <v>2800</v>
      </c>
      <c r="B2034" t="s">
        <v>2778</v>
      </c>
      <c r="C2034" t="s">
        <v>80</v>
      </c>
      <c r="D2034">
        <v>1977</v>
      </c>
      <c r="E2034" t="s">
        <v>23</v>
      </c>
      <c r="F2034" t="s">
        <v>24</v>
      </c>
      <c r="G2034" t="s">
        <v>25</v>
      </c>
      <c r="H2034" t="s">
        <v>26</v>
      </c>
      <c r="I2034">
        <v>10637171</v>
      </c>
      <c r="J2034" t="s">
        <v>27</v>
      </c>
      <c r="K2034" t="s">
        <v>2799</v>
      </c>
      <c r="L2034" t="s">
        <v>21</v>
      </c>
    </row>
    <row r="2035" spans="1:12">
      <c r="A2035" t="s">
        <v>2801</v>
      </c>
      <c r="B2035" t="s">
        <v>2778</v>
      </c>
      <c r="C2035" t="s">
        <v>80</v>
      </c>
      <c r="D2035">
        <v>1977</v>
      </c>
      <c r="E2035" t="s">
        <v>29</v>
      </c>
      <c r="F2035" t="s">
        <v>30</v>
      </c>
      <c r="G2035" t="s">
        <v>31</v>
      </c>
      <c r="H2035" t="s">
        <v>32</v>
      </c>
      <c r="I2035">
        <v>11674.837369999999</v>
      </c>
      <c r="J2035" t="s">
        <v>33</v>
      </c>
      <c r="K2035" t="s">
        <v>2799</v>
      </c>
      <c r="L2035" t="s">
        <v>21</v>
      </c>
    </row>
    <row r="2036" spans="1:12">
      <c r="A2036" t="s">
        <v>2802</v>
      </c>
      <c r="B2036" t="s">
        <v>2778</v>
      </c>
      <c r="C2036" t="s">
        <v>80</v>
      </c>
      <c r="D2036">
        <v>1982</v>
      </c>
      <c r="E2036" t="s">
        <v>15</v>
      </c>
      <c r="F2036" t="s">
        <v>16</v>
      </c>
      <c r="G2036" t="s">
        <v>17</v>
      </c>
      <c r="H2036" t="s">
        <v>18</v>
      </c>
      <c r="I2036">
        <v>69.39</v>
      </c>
      <c r="J2036" t="s">
        <v>19</v>
      </c>
      <c r="K2036" t="s">
        <v>2803</v>
      </c>
      <c r="L2036" t="s">
        <v>21</v>
      </c>
    </row>
    <row r="2037" spans="1:12">
      <c r="A2037" t="s">
        <v>2804</v>
      </c>
      <c r="B2037" t="s">
        <v>2778</v>
      </c>
      <c r="C2037" t="s">
        <v>80</v>
      </c>
      <c r="D2037">
        <v>1982</v>
      </c>
      <c r="E2037" t="s">
        <v>23</v>
      </c>
      <c r="F2037" t="s">
        <v>24</v>
      </c>
      <c r="G2037" t="s">
        <v>25</v>
      </c>
      <c r="H2037" t="s">
        <v>26</v>
      </c>
      <c r="I2037">
        <v>10705535</v>
      </c>
      <c r="J2037" t="s">
        <v>27</v>
      </c>
      <c r="K2037" t="s">
        <v>2803</v>
      </c>
      <c r="L2037" t="s">
        <v>21</v>
      </c>
    </row>
    <row r="2038" spans="1:12">
      <c r="A2038" t="s">
        <v>2805</v>
      </c>
      <c r="B2038" t="s">
        <v>2778</v>
      </c>
      <c r="C2038" t="s">
        <v>80</v>
      </c>
      <c r="D2038">
        <v>1982</v>
      </c>
      <c r="E2038" t="s">
        <v>29</v>
      </c>
      <c r="F2038" t="s">
        <v>30</v>
      </c>
      <c r="G2038" t="s">
        <v>31</v>
      </c>
      <c r="H2038" t="s">
        <v>32</v>
      </c>
      <c r="I2038">
        <v>12545.990659999999</v>
      </c>
      <c r="J2038" t="s">
        <v>33</v>
      </c>
      <c r="K2038" t="s">
        <v>2803</v>
      </c>
      <c r="L2038" t="s">
        <v>21</v>
      </c>
    </row>
    <row r="2039" spans="1:12">
      <c r="A2039" t="s">
        <v>2806</v>
      </c>
      <c r="B2039" t="s">
        <v>2778</v>
      </c>
      <c r="C2039" t="s">
        <v>80</v>
      </c>
      <c r="D2039">
        <v>1987</v>
      </c>
      <c r="E2039" t="s">
        <v>15</v>
      </c>
      <c r="F2039" t="s">
        <v>16</v>
      </c>
      <c r="G2039" t="s">
        <v>17</v>
      </c>
      <c r="H2039" t="s">
        <v>18</v>
      </c>
      <c r="I2039">
        <v>69.58</v>
      </c>
      <c r="J2039" t="s">
        <v>19</v>
      </c>
      <c r="K2039" t="s">
        <v>2807</v>
      </c>
      <c r="L2039" t="s">
        <v>21</v>
      </c>
    </row>
    <row r="2040" spans="1:12">
      <c r="A2040" t="s">
        <v>2808</v>
      </c>
      <c r="B2040" t="s">
        <v>2778</v>
      </c>
      <c r="C2040" t="s">
        <v>80</v>
      </c>
      <c r="D2040">
        <v>1987</v>
      </c>
      <c r="E2040" t="s">
        <v>23</v>
      </c>
      <c r="F2040" t="s">
        <v>24</v>
      </c>
      <c r="G2040" t="s">
        <v>25</v>
      </c>
      <c r="H2040" t="s">
        <v>26</v>
      </c>
      <c r="I2040">
        <v>10612740</v>
      </c>
      <c r="J2040" t="s">
        <v>27</v>
      </c>
      <c r="K2040" t="s">
        <v>2807</v>
      </c>
      <c r="L2040" t="s">
        <v>21</v>
      </c>
    </row>
    <row r="2041" spans="1:12">
      <c r="A2041" t="s">
        <v>2809</v>
      </c>
      <c r="B2041" t="s">
        <v>2778</v>
      </c>
      <c r="C2041" t="s">
        <v>80</v>
      </c>
      <c r="D2041">
        <v>1987</v>
      </c>
      <c r="E2041" t="s">
        <v>29</v>
      </c>
      <c r="F2041" t="s">
        <v>30</v>
      </c>
      <c r="G2041" t="s">
        <v>31</v>
      </c>
      <c r="H2041" t="s">
        <v>32</v>
      </c>
      <c r="I2041">
        <v>12986.47998</v>
      </c>
      <c r="J2041" t="s">
        <v>33</v>
      </c>
      <c r="K2041" t="s">
        <v>2807</v>
      </c>
      <c r="L2041" t="s">
        <v>21</v>
      </c>
    </row>
    <row r="2042" spans="1:12">
      <c r="A2042" t="s">
        <v>2810</v>
      </c>
      <c r="B2042" t="s">
        <v>2778</v>
      </c>
      <c r="C2042" t="s">
        <v>80</v>
      </c>
      <c r="D2042">
        <v>1992</v>
      </c>
      <c r="E2042" t="s">
        <v>15</v>
      </c>
      <c r="F2042" t="s">
        <v>16</v>
      </c>
      <c r="G2042" t="s">
        <v>17</v>
      </c>
      <c r="H2042" t="s">
        <v>18</v>
      </c>
      <c r="I2042">
        <v>69.17</v>
      </c>
      <c r="J2042" t="s">
        <v>19</v>
      </c>
      <c r="K2042" t="s">
        <v>2811</v>
      </c>
      <c r="L2042" t="s">
        <v>21</v>
      </c>
    </row>
    <row r="2043" spans="1:12">
      <c r="A2043" t="s">
        <v>2812</v>
      </c>
      <c r="B2043" t="s">
        <v>2778</v>
      </c>
      <c r="C2043" t="s">
        <v>80</v>
      </c>
      <c r="D2043">
        <v>1992</v>
      </c>
      <c r="E2043" t="s">
        <v>23</v>
      </c>
      <c r="F2043" t="s">
        <v>24</v>
      </c>
      <c r="G2043" t="s">
        <v>25</v>
      </c>
      <c r="H2043" t="s">
        <v>26</v>
      </c>
      <c r="I2043">
        <v>10348684</v>
      </c>
      <c r="J2043" t="s">
        <v>27</v>
      </c>
      <c r="K2043" t="s">
        <v>2811</v>
      </c>
      <c r="L2043" t="s">
        <v>21</v>
      </c>
    </row>
    <row r="2044" spans="1:12">
      <c r="A2044" t="s">
        <v>2813</v>
      </c>
      <c r="B2044" t="s">
        <v>2778</v>
      </c>
      <c r="C2044" t="s">
        <v>80</v>
      </c>
      <c r="D2044">
        <v>1992</v>
      </c>
      <c r="E2044" t="s">
        <v>29</v>
      </c>
      <c r="F2044" t="s">
        <v>30</v>
      </c>
      <c r="G2044" t="s">
        <v>31</v>
      </c>
      <c r="H2044" t="s">
        <v>32</v>
      </c>
      <c r="I2044">
        <v>10535.628549999999</v>
      </c>
      <c r="J2044" t="s">
        <v>33</v>
      </c>
      <c r="K2044" t="s">
        <v>2811</v>
      </c>
      <c r="L2044" t="s">
        <v>21</v>
      </c>
    </row>
    <row r="2045" spans="1:12">
      <c r="A2045" t="s">
        <v>2814</v>
      </c>
      <c r="B2045" t="s">
        <v>2778</v>
      </c>
      <c r="C2045" t="s">
        <v>80</v>
      </c>
      <c r="D2045">
        <v>1997</v>
      </c>
      <c r="E2045" t="s">
        <v>15</v>
      </c>
      <c r="F2045" t="s">
        <v>16</v>
      </c>
      <c r="G2045" t="s">
        <v>17</v>
      </c>
      <c r="H2045" t="s">
        <v>18</v>
      </c>
      <c r="I2045">
        <v>71.040000000000006</v>
      </c>
      <c r="J2045" t="s">
        <v>19</v>
      </c>
      <c r="K2045" t="s">
        <v>2815</v>
      </c>
      <c r="L2045" t="s">
        <v>21</v>
      </c>
    </row>
    <row r="2046" spans="1:12">
      <c r="A2046" t="s">
        <v>2816</v>
      </c>
      <c r="B2046" t="s">
        <v>2778</v>
      </c>
      <c r="C2046" t="s">
        <v>80</v>
      </c>
      <c r="D2046">
        <v>1997</v>
      </c>
      <c r="E2046" t="s">
        <v>23</v>
      </c>
      <c r="F2046" t="s">
        <v>24</v>
      </c>
      <c r="G2046" t="s">
        <v>25</v>
      </c>
      <c r="H2046" t="s">
        <v>26</v>
      </c>
      <c r="I2046">
        <v>10244684</v>
      </c>
      <c r="J2046" t="s">
        <v>27</v>
      </c>
      <c r="K2046" t="s">
        <v>2815</v>
      </c>
      <c r="L2046" t="s">
        <v>21</v>
      </c>
    </row>
    <row r="2047" spans="1:12">
      <c r="A2047" t="s">
        <v>2817</v>
      </c>
      <c r="B2047" t="s">
        <v>2778</v>
      </c>
      <c r="C2047" t="s">
        <v>80</v>
      </c>
      <c r="D2047">
        <v>1997</v>
      </c>
      <c r="E2047" t="s">
        <v>29</v>
      </c>
      <c r="F2047" t="s">
        <v>30</v>
      </c>
      <c r="G2047" t="s">
        <v>31</v>
      </c>
      <c r="H2047" t="s">
        <v>32</v>
      </c>
      <c r="I2047">
        <v>11712.7768</v>
      </c>
      <c r="J2047" t="s">
        <v>33</v>
      </c>
      <c r="K2047" t="s">
        <v>2815</v>
      </c>
      <c r="L2047" t="s">
        <v>21</v>
      </c>
    </row>
    <row r="2048" spans="1:12">
      <c r="A2048" t="s">
        <v>2818</v>
      </c>
      <c r="B2048" t="s">
        <v>2778</v>
      </c>
      <c r="C2048" t="s">
        <v>80</v>
      </c>
      <c r="D2048">
        <v>2002</v>
      </c>
      <c r="E2048" t="s">
        <v>15</v>
      </c>
      <c r="F2048" t="s">
        <v>16</v>
      </c>
      <c r="G2048" t="s">
        <v>17</v>
      </c>
      <c r="H2048" t="s">
        <v>18</v>
      </c>
      <c r="I2048">
        <v>72.59</v>
      </c>
      <c r="J2048" t="s">
        <v>19</v>
      </c>
      <c r="K2048" t="s">
        <v>2819</v>
      </c>
      <c r="L2048" t="s">
        <v>21</v>
      </c>
    </row>
    <row r="2049" spans="1:12">
      <c r="A2049" t="s">
        <v>2820</v>
      </c>
      <c r="B2049" t="s">
        <v>2778</v>
      </c>
      <c r="C2049" t="s">
        <v>80</v>
      </c>
      <c r="D2049">
        <v>2002</v>
      </c>
      <c r="E2049" t="s">
        <v>23</v>
      </c>
      <c r="F2049" t="s">
        <v>24</v>
      </c>
      <c r="G2049" t="s">
        <v>25</v>
      </c>
      <c r="H2049" t="s">
        <v>26</v>
      </c>
      <c r="I2049">
        <v>10083313</v>
      </c>
      <c r="J2049" t="s">
        <v>27</v>
      </c>
      <c r="K2049" t="s">
        <v>2819</v>
      </c>
      <c r="L2049" t="s">
        <v>21</v>
      </c>
    </row>
    <row r="2050" spans="1:12">
      <c r="A2050" t="s">
        <v>2821</v>
      </c>
      <c r="B2050" t="s">
        <v>2778</v>
      </c>
      <c r="C2050" t="s">
        <v>80</v>
      </c>
      <c r="D2050">
        <v>2002</v>
      </c>
      <c r="E2050" t="s">
        <v>29</v>
      </c>
      <c r="F2050" t="s">
        <v>30</v>
      </c>
      <c r="G2050" t="s">
        <v>31</v>
      </c>
      <c r="H2050" t="s">
        <v>32</v>
      </c>
      <c r="I2050">
        <v>14843.93556</v>
      </c>
      <c r="J2050" t="s">
        <v>33</v>
      </c>
      <c r="K2050" t="s">
        <v>2819</v>
      </c>
      <c r="L2050" t="s">
        <v>21</v>
      </c>
    </row>
    <row r="2051" spans="1:12">
      <c r="A2051" t="s">
        <v>2822</v>
      </c>
      <c r="B2051" t="s">
        <v>2778</v>
      </c>
      <c r="C2051" t="s">
        <v>80</v>
      </c>
      <c r="D2051">
        <v>2007</v>
      </c>
      <c r="E2051" t="s">
        <v>15</v>
      </c>
      <c r="F2051" t="s">
        <v>16</v>
      </c>
      <c r="G2051" t="s">
        <v>17</v>
      </c>
      <c r="H2051" t="s">
        <v>18</v>
      </c>
      <c r="I2051">
        <v>73.337999999999994</v>
      </c>
      <c r="J2051" t="s">
        <v>19</v>
      </c>
      <c r="K2051" t="s">
        <v>2823</v>
      </c>
      <c r="L2051" t="s">
        <v>21</v>
      </c>
    </row>
    <row r="2052" spans="1:12">
      <c r="A2052" t="s">
        <v>2824</v>
      </c>
      <c r="B2052" t="s">
        <v>2778</v>
      </c>
      <c r="C2052" t="s">
        <v>80</v>
      </c>
      <c r="D2052">
        <v>2007</v>
      </c>
      <c r="E2052" t="s">
        <v>23</v>
      </c>
      <c r="F2052" t="s">
        <v>24</v>
      </c>
      <c r="G2052" t="s">
        <v>25</v>
      </c>
      <c r="H2052" t="s">
        <v>26</v>
      </c>
      <c r="I2052">
        <v>9956108</v>
      </c>
      <c r="J2052" t="s">
        <v>27</v>
      </c>
      <c r="K2052" t="s">
        <v>2823</v>
      </c>
      <c r="L2052" t="s">
        <v>21</v>
      </c>
    </row>
    <row r="2053" spans="1:12">
      <c r="A2053" t="s">
        <v>2825</v>
      </c>
      <c r="B2053" t="s">
        <v>2778</v>
      </c>
      <c r="C2053" t="s">
        <v>80</v>
      </c>
      <c r="D2053">
        <v>2007</v>
      </c>
      <c r="E2053" t="s">
        <v>29</v>
      </c>
      <c r="F2053" t="s">
        <v>30</v>
      </c>
      <c r="G2053" t="s">
        <v>31</v>
      </c>
      <c r="H2053" t="s">
        <v>32</v>
      </c>
      <c r="I2053">
        <v>18008.944439999999</v>
      </c>
      <c r="J2053" t="s">
        <v>33</v>
      </c>
      <c r="K2053" t="s">
        <v>2823</v>
      </c>
      <c r="L2053" t="s">
        <v>21</v>
      </c>
    </row>
    <row r="2054" spans="1:12">
      <c r="A2054" t="s">
        <v>2826</v>
      </c>
      <c r="B2054" t="s">
        <v>2827</v>
      </c>
      <c r="C2054" t="s">
        <v>80</v>
      </c>
      <c r="D2054">
        <v>1952</v>
      </c>
      <c r="E2054" t="s">
        <v>15</v>
      </c>
      <c r="F2054" t="s">
        <v>16</v>
      </c>
      <c r="G2054" t="s">
        <v>17</v>
      </c>
      <c r="H2054" t="s">
        <v>18</v>
      </c>
      <c r="I2054">
        <v>72.489999999999995</v>
      </c>
      <c r="J2054" t="s">
        <v>19</v>
      </c>
      <c r="K2054" t="s">
        <v>2828</v>
      </c>
      <c r="L2054" t="s">
        <v>21</v>
      </c>
    </row>
    <row r="2055" spans="1:12">
      <c r="A2055" t="s">
        <v>2829</v>
      </c>
      <c r="B2055" t="s">
        <v>2827</v>
      </c>
      <c r="C2055" t="s">
        <v>80</v>
      </c>
      <c r="D2055">
        <v>1952</v>
      </c>
      <c r="E2055" t="s">
        <v>23</v>
      </c>
      <c r="F2055" t="s">
        <v>24</v>
      </c>
      <c r="G2055" t="s">
        <v>25</v>
      </c>
      <c r="H2055" t="s">
        <v>26</v>
      </c>
      <c r="I2055">
        <v>147962</v>
      </c>
      <c r="J2055" t="s">
        <v>27</v>
      </c>
      <c r="K2055" t="s">
        <v>2828</v>
      </c>
      <c r="L2055" t="s">
        <v>21</v>
      </c>
    </row>
    <row r="2056" spans="1:12">
      <c r="A2056" t="s">
        <v>2830</v>
      </c>
      <c r="B2056" t="s">
        <v>2827</v>
      </c>
      <c r="C2056" t="s">
        <v>80</v>
      </c>
      <c r="D2056">
        <v>1952</v>
      </c>
      <c r="E2056" t="s">
        <v>29</v>
      </c>
      <c r="F2056" t="s">
        <v>30</v>
      </c>
      <c r="G2056" t="s">
        <v>31</v>
      </c>
      <c r="H2056" t="s">
        <v>32</v>
      </c>
      <c r="I2056">
        <v>7267.6884280000004</v>
      </c>
      <c r="J2056" t="s">
        <v>33</v>
      </c>
      <c r="K2056" t="s">
        <v>2828</v>
      </c>
      <c r="L2056" t="s">
        <v>21</v>
      </c>
    </row>
    <row r="2057" spans="1:12">
      <c r="A2057" t="s">
        <v>2831</v>
      </c>
      <c r="B2057" t="s">
        <v>2827</v>
      </c>
      <c r="C2057" t="s">
        <v>80</v>
      </c>
      <c r="D2057">
        <v>1957</v>
      </c>
      <c r="E2057" t="s">
        <v>15</v>
      </c>
      <c r="F2057" t="s">
        <v>16</v>
      </c>
      <c r="G2057" t="s">
        <v>17</v>
      </c>
      <c r="H2057" t="s">
        <v>18</v>
      </c>
      <c r="I2057">
        <v>73.47</v>
      </c>
      <c r="J2057" t="s">
        <v>19</v>
      </c>
      <c r="K2057" t="s">
        <v>2832</v>
      </c>
      <c r="L2057" t="s">
        <v>21</v>
      </c>
    </row>
    <row r="2058" spans="1:12">
      <c r="A2058" t="s">
        <v>2833</v>
      </c>
      <c r="B2058" t="s">
        <v>2827</v>
      </c>
      <c r="C2058" t="s">
        <v>80</v>
      </c>
      <c r="D2058">
        <v>1957</v>
      </c>
      <c r="E2058" t="s">
        <v>23</v>
      </c>
      <c r="F2058" t="s">
        <v>24</v>
      </c>
      <c r="G2058" t="s">
        <v>25</v>
      </c>
      <c r="H2058" t="s">
        <v>26</v>
      </c>
      <c r="I2058">
        <v>165110</v>
      </c>
      <c r="J2058" t="s">
        <v>27</v>
      </c>
      <c r="K2058" t="s">
        <v>2832</v>
      </c>
      <c r="L2058" t="s">
        <v>21</v>
      </c>
    </row>
    <row r="2059" spans="1:12">
      <c r="A2059" t="s">
        <v>2834</v>
      </c>
      <c r="B2059" t="s">
        <v>2827</v>
      </c>
      <c r="C2059" t="s">
        <v>80</v>
      </c>
      <c r="D2059">
        <v>1957</v>
      </c>
      <c r="E2059" t="s">
        <v>29</v>
      </c>
      <c r="F2059" t="s">
        <v>30</v>
      </c>
      <c r="G2059" t="s">
        <v>31</v>
      </c>
      <c r="H2059" t="s">
        <v>32</v>
      </c>
      <c r="I2059">
        <v>9244.0014119999996</v>
      </c>
      <c r="J2059" t="s">
        <v>33</v>
      </c>
      <c r="K2059" t="s">
        <v>2832</v>
      </c>
      <c r="L2059" t="s">
        <v>21</v>
      </c>
    </row>
    <row r="2060" spans="1:12">
      <c r="A2060" t="s">
        <v>2835</v>
      </c>
      <c r="B2060" t="s">
        <v>2827</v>
      </c>
      <c r="C2060" t="s">
        <v>80</v>
      </c>
      <c r="D2060">
        <v>1962</v>
      </c>
      <c r="E2060" t="s">
        <v>15</v>
      </c>
      <c r="F2060" t="s">
        <v>16</v>
      </c>
      <c r="G2060" t="s">
        <v>17</v>
      </c>
      <c r="H2060" t="s">
        <v>18</v>
      </c>
      <c r="I2060">
        <v>73.680000000000007</v>
      </c>
      <c r="J2060" t="s">
        <v>19</v>
      </c>
      <c r="K2060" t="s">
        <v>2836</v>
      </c>
      <c r="L2060" t="s">
        <v>21</v>
      </c>
    </row>
    <row r="2061" spans="1:12">
      <c r="A2061" t="s">
        <v>2837</v>
      </c>
      <c r="B2061" t="s">
        <v>2827</v>
      </c>
      <c r="C2061" t="s">
        <v>80</v>
      </c>
      <c r="D2061">
        <v>1962</v>
      </c>
      <c r="E2061" t="s">
        <v>23</v>
      </c>
      <c r="F2061" t="s">
        <v>24</v>
      </c>
      <c r="G2061" t="s">
        <v>25</v>
      </c>
      <c r="H2061" t="s">
        <v>26</v>
      </c>
      <c r="I2061">
        <v>182053</v>
      </c>
      <c r="J2061" t="s">
        <v>27</v>
      </c>
      <c r="K2061" t="s">
        <v>2836</v>
      </c>
      <c r="L2061" t="s">
        <v>21</v>
      </c>
    </row>
    <row r="2062" spans="1:12">
      <c r="A2062" t="s">
        <v>2838</v>
      </c>
      <c r="B2062" t="s">
        <v>2827</v>
      </c>
      <c r="C2062" t="s">
        <v>80</v>
      </c>
      <c r="D2062">
        <v>1962</v>
      </c>
      <c r="E2062" t="s">
        <v>29</v>
      </c>
      <c r="F2062" t="s">
        <v>30</v>
      </c>
      <c r="G2062" t="s">
        <v>31</v>
      </c>
      <c r="H2062" t="s">
        <v>32</v>
      </c>
      <c r="I2062">
        <v>10350.15906</v>
      </c>
      <c r="J2062" t="s">
        <v>33</v>
      </c>
      <c r="K2062" t="s">
        <v>2836</v>
      </c>
      <c r="L2062" t="s">
        <v>21</v>
      </c>
    </row>
    <row r="2063" spans="1:12">
      <c r="A2063" t="s">
        <v>2839</v>
      </c>
      <c r="B2063" t="s">
        <v>2827</v>
      </c>
      <c r="C2063" t="s">
        <v>80</v>
      </c>
      <c r="D2063">
        <v>1967</v>
      </c>
      <c r="E2063" t="s">
        <v>15</v>
      </c>
      <c r="F2063" t="s">
        <v>16</v>
      </c>
      <c r="G2063" t="s">
        <v>17</v>
      </c>
      <c r="H2063" t="s">
        <v>18</v>
      </c>
      <c r="I2063">
        <v>73.73</v>
      </c>
      <c r="J2063" t="s">
        <v>19</v>
      </c>
      <c r="K2063" t="s">
        <v>2840</v>
      </c>
      <c r="L2063" t="s">
        <v>21</v>
      </c>
    </row>
    <row r="2064" spans="1:12">
      <c r="A2064" t="s">
        <v>2841</v>
      </c>
      <c r="B2064" t="s">
        <v>2827</v>
      </c>
      <c r="C2064" t="s">
        <v>80</v>
      </c>
      <c r="D2064">
        <v>1967</v>
      </c>
      <c r="E2064" t="s">
        <v>23</v>
      </c>
      <c r="F2064" t="s">
        <v>24</v>
      </c>
      <c r="G2064" t="s">
        <v>25</v>
      </c>
      <c r="H2064" t="s">
        <v>26</v>
      </c>
      <c r="I2064">
        <v>198676</v>
      </c>
      <c r="J2064" t="s">
        <v>27</v>
      </c>
      <c r="K2064" t="s">
        <v>2840</v>
      </c>
      <c r="L2064" t="s">
        <v>21</v>
      </c>
    </row>
    <row r="2065" spans="1:12">
      <c r="A2065" t="s">
        <v>2842</v>
      </c>
      <c r="B2065" t="s">
        <v>2827</v>
      </c>
      <c r="C2065" t="s">
        <v>80</v>
      </c>
      <c r="D2065">
        <v>1967</v>
      </c>
      <c r="E2065" t="s">
        <v>29</v>
      </c>
      <c r="F2065" t="s">
        <v>30</v>
      </c>
      <c r="G2065" t="s">
        <v>31</v>
      </c>
      <c r="H2065" t="s">
        <v>32</v>
      </c>
      <c r="I2065">
        <v>13319.89568</v>
      </c>
      <c r="J2065" t="s">
        <v>33</v>
      </c>
      <c r="K2065" t="s">
        <v>2840</v>
      </c>
      <c r="L2065" t="s">
        <v>21</v>
      </c>
    </row>
    <row r="2066" spans="1:12">
      <c r="A2066" t="s">
        <v>2843</v>
      </c>
      <c r="B2066" t="s">
        <v>2827</v>
      </c>
      <c r="C2066" t="s">
        <v>80</v>
      </c>
      <c r="D2066">
        <v>1972</v>
      </c>
      <c r="E2066" t="s">
        <v>15</v>
      </c>
      <c r="F2066" t="s">
        <v>16</v>
      </c>
      <c r="G2066" t="s">
        <v>17</v>
      </c>
      <c r="H2066" t="s">
        <v>18</v>
      </c>
      <c r="I2066">
        <v>74.459999999999994</v>
      </c>
      <c r="J2066" t="s">
        <v>19</v>
      </c>
      <c r="K2066" t="s">
        <v>2844</v>
      </c>
      <c r="L2066" t="s">
        <v>21</v>
      </c>
    </row>
    <row r="2067" spans="1:12">
      <c r="A2067" t="s">
        <v>2845</v>
      </c>
      <c r="B2067" t="s">
        <v>2827</v>
      </c>
      <c r="C2067" t="s">
        <v>80</v>
      </c>
      <c r="D2067">
        <v>1972</v>
      </c>
      <c r="E2067" t="s">
        <v>23</v>
      </c>
      <c r="F2067" t="s">
        <v>24</v>
      </c>
      <c r="G2067" t="s">
        <v>25</v>
      </c>
      <c r="H2067" t="s">
        <v>26</v>
      </c>
      <c r="I2067">
        <v>209275</v>
      </c>
      <c r="J2067" t="s">
        <v>27</v>
      </c>
      <c r="K2067" t="s">
        <v>2844</v>
      </c>
      <c r="L2067" t="s">
        <v>21</v>
      </c>
    </row>
    <row r="2068" spans="1:12">
      <c r="A2068" t="s">
        <v>2846</v>
      </c>
      <c r="B2068" t="s">
        <v>2827</v>
      </c>
      <c r="C2068" t="s">
        <v>80</v>
      </c>
      <c r="D2068">
        <v>1972</v>
      </c>
      <c r="E2068" t="s">
        <v>29</v>
      </c>
      <c r="F2068" t="s">
        <v>30</v>
      </c>
      <c r="G2068" t="s">
        <v>31</v>
      </c>
      <c r="H2068" t="s">
        <v>32</v>
      </c>
      <c r="I2068">
        <v>15798.063620000001</v>
      </c>
      <c r="J2068" t="s">
        <v>33</v>
      </c>
      <c r="K2068" t="s">
        <v>2844</v>
      </c>
      <c r="L2068" t="s">
        <v>21</v>
      </c>
    </row>
    <row r="2069" spans="1:12">
      <c r="A2069" t="s">
        <v>2847</v>
      </c>
      <c r="B2069" t="s">
        <v>2827</v>
      </c>
      <c r="C2069" t="s">
        <v>80</v>
      </c>
      <c r="D2069">
        <v>1977</v>
      </c>
      <c r="E2069" t="s">
        <v>15</v>
      </c>
      <c r="F2069" t="s">
        <v>16</v>
      </c>
      <c r="G2069" t="s">
        <v>17</v>
      </c>
      <c r="H2069" t="s">
        <v>18</v>
      </c>
      <c r="I2069">
        <v>76.11</v>
      </c>
      <c r="J2069" t="s">
        <v>19</v>
      </c>
      <c r="K2069" t="s">
        <v>2848</v>
      </c>
      <c r="L2069" t="s">
        <v>21</v>
      </c>
    </row>
    <row r="2070" spans="1:12">
      <c r="A2070" t="s">
        <v>2849</v>
      </c>
      <c r="B2070" t="s">
        <v>2827</v>
      </c>
      <c r="C2070" t="s">
        <v>80</v>
      </c>
      <c r="D2070">
        <v>1977</v>
      </c>
      <c r="E2070" t="s">
        <v>23</v>
      </c>
      <c r="F2070" t="s">
        <v>24</v>
      </c>
      <c r="G2070" t="s">
        <v>25</v>
      </c>
      <c r="H2070" t="s">
        <v>26</v>
      </c>
      <c r="I2070">
        <v>221823</v>
      </c>
      <c r="J2070" t="s">
        <v>27</v>
      </c>
      <c r="K2070" t="s">
        <v>2848</v>
      </c>
      <c r="L2070" t="s">
        <v>21</v>
      </c>
    </row>
    <row r="2071" spans="1:12">
      <c r="A2071" t="s">
        <v>2850</v>
      </c>
      <c r="B2071" t="s">
        <v>2827</v>
      </c>
      <c r="C2071" t="s">
        <v>80</v>
      </c>
      <c r="D2071">
        <v>1977</v>
      </c>
      <c r="E2071" t="s">
        <v>29</v>
      </c>
      <c r="F2071" t="s">
        <v>30</v>
      </c>
      <c r="G2071" t="s">
        <v>31</v>
      </c>
      <c r="H2071" t="s">
        <v>32</v>
      </c>
      <c r="I2071">
        <v>19654.962469999999</v>
      </c>
      <c r="J2071" t="s">
        <v>33</v>
      </c>
      <c r="K2071" t="s">
        <v>2848</v>
      </c>
      <c r="L2071" t="s">
        <v>21</v>
      </c>
    </row>
    <row r="2072" spans="1:12">
      <c r="A2072" t="s">
        <v>2851</v>
      </c>
      <c r="B2072" t="s">
        <v>2827</v>
      </c>
      <c r="C2072" t="s">
        <v>80</v>
      </c>
      <c r="D2072">
        <v>1982</v>
      </c>
      <c r="E2072" t="s">
        <v>15</v>
      </c>
      <c r="F2072" t="s">
        <v>16</v>
      </c>
      <c r="G2072" t="s">
        <v>17</v>
      </c>
      <c r="H2072" t="s">
        <v>18</v>
      </c>
      <c r="I2072">
        <v>76.989999999999995</v>
      </c>
      <c r="J2072" t="s">
        <v>19</v>
      </c>
      <c r="K2072" t="s">
        <v>2852</v>
      </c>
      <c r="L2072" t="s">
        <v>21</v>
      </c>
    </row>
    <row r="2073" spans="1:12">
      <c r="A2073" t="s">
        <v>2853</v>
      </c>
      <c r="B2073" t="s">
        <v>2827</v>
      </c>
      <c r="C2073" t="s">
        <v>80</v>
      </c>
      <c r="D2073">
        <v>1982</v>
      </c>
      <c r="E2073" t="s">
        <v>23</v>
      </c>
      <c r="F2073" t="s">
        <v>24</v>
      </c>
      <c r="G2073" t="s">
        <v>25</v>
      </c>
      <c r="H2073" t="s">
        <v>26</v>
      </c>
      <c r="I2073">
        <v>233997</v>
      </c>
      <c r="J2073" t="s">
        <v>27</v>
      </c>
      <c r="K2073" t="s">
        <v>2852</v>
      </c>
      <c r="L2073" t="s">
        <v>21</v>
      </c>
    </row>
    <row r="2074" spans="1:12">
      <c r="A2074" t="s">
        <v>2854</v>
      </c>
      <c r="B2074" t="s">
        <v>2827</v>
      </c>
      <c r="C2074" t="s">
        <v>80</v>
      </c>
      <c r="D2074">
        <v>1982</v>
      </c>
      <c r="E2074" t="s">
        <v>29</v>
      </c>
      <c r="F2074" t="s">
        <v>30</v>
      </c>
      <c r="G2074" t="s">
        <v>31</v>
      </c>
      <c r="H2074" t="s">
        <v>32</v>
      </c>
      <c r="I2074">
        <v>23269.607499999998</v>
      </c>
      <c r="J2074" t="s">
        <v>33</v>
      </c>
      <c r="K2074" t="s">
        <v>2852</v>
      </c>
      <c r="L2074" t="s">
        <v>21</v>
      </c>
    </row>
    <row r="2075" spans="1:12">
      <c r="A2075" t="s">
        <v>2855</v>
      </c>
      <c r="B2075" t="s">
        <v>2827</v>
      </c>
      <c r="C2075" t="s">
        <v>80</v>
      </c>
      <c r="D2075">
        <v>1987</v>
      </c>
      <c r="E2075" t="s">
        <v>15</v>
      </c>
      <c r="F2075" t="s">
        <v>16</v>
      </c>
      <c r="G2075" t="s">
        <v>17</v>
      </c>
      <c r="H2075" t="s">
        <v>18</v>
      </c>
      <c r="I2075">
        <v>77.23</v>
      </c>
      <c r="J2075" t="s">
        <v>19</v>
      </c>
      <c r="K2075" t="s">
        <v>2856</v>
      </c>
      <c r="L2075" t="s">
        <v>21</v>
      </c>
    </row>
    <row r="2076" spans="1:12">
      <c r="A2076" t="s">
        <v>2857</v>
      </c>
      <c r="B2076" t="s">
        <v>2827</v>
      </c>
      <c r="C2076" t="s">
        <v>80</v>
      </c>
      <c r="D2076">
        <v>1987</v>
      </c>
      <c r="E2076" t="s">
        <v>23</v>
      </c>
      <c r="F2076" t="s">
        <v>24</v>
      </c>
      <c r="G2076" t="s">
        <v>25</v>
      </c>
      <c r="H2076" t="s">
        <v>26</v>
      </c>
      <c r="I2076">
        <v>244676</v>
      </c>
      <c r="J2076" t="s">
        <v>27</v>
      </c>
      <c r="K2076" t="s">
        <v>2856</v>
      </c>
      <c r="L2076" t="s">
        <v>21</v>
      </c>
    </row>
    <row r="2077" spans="1:12">
      <c r="A2077" t="s">
        <v>2858</v>
      </c>
      <c r="B2077" t="s">
        <v>2827</v>
      </c>
      <c r="C2077" t="s">
        <v>80</v>
      </c>
      <c r="D2077">
        <v>1987</v>
      </c>
      <c r="E2077" t="s">
        <v>29</v>
      </c>
      <c r="F2077" t="s">
        <v>30</v>
      </c>
      <c r="G2077" t="s">
        <v>31</v>
      </c>
      <c r="H2077" t="s">
        <v>32</v>
      </c>
      <c r="I2077">
        <v>26923.206279999999</v>
      </c>
      <c r="J2077" t="s">
        <v>33</v>
      </c>
      <c r="K2077" t="s">
        <v>2856</v>
      </c>
      <c r="L2077" t="s">
        <v>21</v>
      </c>
    </row>
    <row r="2078" spans="1:12">
      <c r="A2078" t="s">
        <v>2859</v>
      </c>
      <c r="B2078" t="s">
        <v>2827</v>
      </c>
      <c r="C2078" t="s">
        <v>80</v>
      </c>
      <c r="D2078">
        <v>1992</v>
      </c>
      <c r="E2078" t="s">
        <v>15</v>
      </c>
      <c r="F2078" t="s">
        <v>16</v>
      </c>
      <c r="G2078" t="s">
        <v>17</v>
      </c>
      <c r="H2078" t="s">
        <v>18</v>
      </c>
      <c r="I2078">
        <v>78.77</v>
      </c>
      <c r="J2078" t="s">
        <v>19</v>
      </c>
      <c r="K2078" t="s">
        <v>2860</v>
      </c>
      <c r="L2078" t="s">
        <v>21</v>
      </c>
    </row>
    <row r="2079" spans="1:12">
      <c r="A2079" t="s">
        <v>2861</v>
      </c>
      <c r="B2079" t="s">
        <v>2827</v>
      </c>
      <c r="C2079" t="s">
        <v>80</v>
      </c>
      <c r="D2079">
        <v>1992</v>
      </c>
      <c r="E2079" t="s">
        <v>23</v>
      </c>
      <c r="F2079" t="s">
        <v>24</v>
      </c>
      <c r="G2079" t="s">
        <v>25</v>
      </c>
      <c r="H2079" t="s">
        <v>26</v>
      </c>
      <c r="I2079">
        <v>259012</v>
      </c>
      <c r="J2079" t="s">
        <v>27</v>
      </c>
      <c r="K2079" t="s">
        <v>2860</v>
      </c>
      <c r="L2079" t="s">
        <v>21</v>
      </c>
    </row>
    <row r="2080" spans="1:12">
      <c r="A2080" t="s">
        <v>2862</v>
      </c>
      <c r="B2080" t="s">
        <v>2827</v>
      </c>
      <c r="C2080" t="s">
        <v>80</v>
      </c>
      <c r="D2080">
        <v>1992</v>
      </c>
      <c r="E2080" t="s">
        <v>29</v>
      </c>
      <c r="F2080" t="s">
        <v>30</v>
      </c>
      <c r="G2080" t="s">
        <v>31</v>
      </c>
      <c r="H2080" t="s">
        <v>32</v>
      </c>
      <c r="I2080">
        <v>25144.39201</v>
      </c>
      <c r="J2080" t="s">
        <v>33</v>
      </c>
      <c r="K2080" t="s">
        <v>2860</v>
      </c>
      <c r="L2080" t="s">
        <v>21</v>
      </c>
    </row>
    <row r="2081" spans="1:12">
      <c r="A2081" t="s">
        <v>2863</v>
      </c>
      <c r="B2081" t="s">
        <v>2827</v>
      </c>
      <c r="C2081" t="s">
        <v>80</v>
      </c>
      <c r="D2081">
        <v>1997</v>
      </c>
      <c r="E2081" t="s">
        <v>15</v>
      </c>
      <c r="F2081" t="s">
        <v>16</v>
      </c>
      <c r="G2081" t="s">
        <v>17</v>
      </c>
      <c r="H2081" t="s">
        <v>18</v>
      </c>
      <c r="I2081">
        <v>78.95</v>
      </c>
      <c r="J2081" t="s">
        <v>19</v>
      </c>
      <c r="K2081" t="s">
        <v>2864</v>
      </c>
      <c r="L2081" t="s">
        <v>21</v>
      </c>
    </row>
    <row r="2082" spans="1:12">
      <c r="A2082" t="s">
        <v>2865</v>
      </c>
      <c r="B2082" t="s">
        <v>2827</v>
      </c>
      <c r="C2082" t="s">
        <v>80</v>
      </c>
      <c r="D2082">
        <v>1997</v>
      </c>
      <c r="E2082" t="s">
        <v>23</v>
      </c>
      <c r="F2082" t="s">
        <v>24</v>
      </c>
      <c r="G2082" t="s">
        <v>25</v>
      </c>
      <c r="H2082" t="s">
        <v>26</v>
      </c>
      <c r="I2082">
        <v>271192</v>
      </c>
      <c r="J2082" t="s">
        <v>27</v>
      </c>
      <c r="K2082" t="s">
        <v>2864</v>
      </c>
      <c r="L2082" t="s">
        <v>21</v>
      </c>
    </row>
    <row r="2083" spans="1:12">
      <c r="A2083" t="s">
        <v>2866</v>
      </c>
      <c r="B2083" t="s">
        <v>2827</v>
      </c>
      <c r="C2083" t="s">
        <v>80</v>
      </c>
      <c r="D2083">
        <v>1997</v>
      </c>
      <c r="E2083" t="s">
        <v>29</v>
      </c>
      <c r="F2083" t="s">
        <v>30</v>
      </c>
      <c r="G2083" t="s">
        <v>31</v>
      </c>
      <c r="H2083" t="s">
        <v>32</v>
      </c>
      <c r="I2083">
        <v>28061.09966</v>
      </c>
      <c r="J2083" t="s">
        <v>33</v>
      </c>
      <c r="K2083" t="s">
        <v>2864</v>
      </c>
      <c r="L2083" t="s">
        <v>21</v>
      </c>
    </row>
    <row r="2084" spans="1:12">
      <c r="A2084" t="s">
        <v>2867</v>
      </c>
      <c r="B2084" t="s">
        <v>2827</v>
      </c>
      <c r="C2084" t="s">
        <v>80</v>
      </c>
      <c r="D2084">
        <v>2002</v>
      </c>
      <c r="E2084" t="s">
        <v>15</v>
      </c>
      <c r="F2084" t="s">
        <v>16</v>
      </c>
      <c r="G2084" t="s">
        <v>17</v>
      </c>
      <c r="H2084" t="s">
        <v>18</v>
      </c>
      <c r="I2084">
        <v>80.5</v>
      </c>
      <c r="J2084" t="s">
        <v>19</v>
      </c>
      <c r="K2084" t="s">
        <v>2868</v>
      </c>
      <c r="L2084" t="s">
        <v>21</v>
      </c>
    </row>
    <row r="2085" spans="1:12">
      <c r="A2085" t="s">
        <v>2869</v>
      </c>
      <c r="B2085" t="s">
        <v>2827</v>
      </c>
      <c r="C2085" t="s">
        <v>80</v>
      </c>
      <c r="D2085">
        <v>2002</v>
      </c>
      <c r="E2085" t="s">
        <v>23</v>
      </c>
      <c r="F2085" t="s">
        <v>24</v>
      </c>
      <c r="G2085" t="s">
        <v>25</v>
      </c>
      <c r="H2085" t="s">
        <v>26</v>
      </c>
      <c r="I2085">
        <v>288030</v>
      </c>
      <c r="J2085" t="s">
        <v>27</v>
      </c>
      <c r="K2085" t="s">
        <v>2868</v>
      </c>
      <c r="L2085" t="s">
        <v>21</v>
      </c>
    </row>
    <row r="2086" spans="1:12">
      <c r="A2086" t="s">
        <v>2870</v>
      </c>
      <c r="B2086" t="s">
        <v>2827</v>
      </c>
      <c r="C2086" t="s">
        <v>80</v>
      </c>
      <c r="D2086">
        <v>2002</v>
      </c>
      <c r="E2086" t="s">
        <v>29</v>
      </c>
      <c r="F2086" t="s">
        <v>30</v>
      </c>
      <c r="G2086" t="s">
        <v>31</v>
      </c>
      <c r="H2086" t="s">
        <v>32</v>
      </c>
      <c r="I2086">
        <v>31163.201959999999</v>
      </c>
      <c r="J2086" t="s">
        <v>33</v>
      </c>
      <c r="K2086" t="s">
        <v>2868</v>
      </c>
      <c r="L2086" t="s">
        <v>21</v>
      </c>
    </row>
    <row r="2087" spans="1:12">
      <c r="A2087" t="s">
        <v>2871</v>
      </c>
      <c r="B2087" t="s">
        <v>2827</v>
      </c>
      <c r="C2087" t="s">
        <v>80</v>
      </c>
      <c r="D2087">
        <v>2007</v>
      </c>
      <c r="E2087" t="s">
        <v>15</v>
      </c>
      <c r="F2087" t="s">
        <v>16</v>
      </c>
      <c r="G2087" t="s">
        <v>17</v>
      </c>
      <c r="H2087" t="s">
        <v>18</v>
      </c>
      <c r="I2087">
        <v>81.757000000000005</v>
      </c>
      <c r="J2087" t="s">
        <v>19</v>
      </c>
      <c r="K2087" t="s">
        <v>2872</v>
      </c>
      <c r="L2087" t="s">
        <v>21</v>
      </c>
    </row>
    <row r="2088" spans="1:12">
      <c r="A2088" t="s">
        <v>2873</v>
      </c>
      <c r="B2088" t="s">
        <v>2827</v>
      </c>
      <c r="C2088" t="s">
        <v>80</v>
      </c>
      <c r="D2088">
        <v>2007</v>
      </c>
      <c r="E2088" t="s">
        <v>23</v>
      </c>
      <c r="F2088" t="s">
        <v>24</v>
      </c>
      <c r="G2088" t="s">
        <v>25</v>
      </c>
      <c r="H2088" t="s">
        <v>26</v>
      </c>
      <c r="I2088">
        <v>301931</v>
      </c>
      <c r="J2088" t="s">
        <v>27</v>
      </c>
      <c r="K2088" t="s">
        <v>2872</v>
      </c>
      <c r="L2088" t="s">
        <v>21</v>
      </c>
    </row>
    <row r="2089" spans="1:12">
      <c r="A2089" t="s">
        <v>2874</v>
      </c>
      <c r="B2089" t="s">
        <v>2827</v>
      </c>
      <c r="C2089" t="s">
        <v>80</v>
      </c>
      <c r="D2089">
        <v>2007</v>
      </c>
      <c r="E2089" t="s">
        <v>29</v>
      </c>
      <c r="F2089" t="s">
        <v>30</v>
      </c>
      <c r="G2089" t="s">
        <v>31</v>
      </c>
      <c r="H2089" t="s">
        <v>32</v>
      </c>
      <c r="I2089">
        <v>36180.789190000003</v>
      </c>
      <c r="J2089" t="s">
        <v>33</v>
      </c>
      <c r="K2089" t="s">
        <v>2872</v>
      </c>
      <c r="L2089" t="s">
        <v>21</v>
      </c>
    </row>
    <row r="2090" spans="1:12">
      <c r="A2090" t="s">
        <v>2875</v>
      </c>
      <c r="B2090" t="s">
        <v>2876</v>
      </c>
      <c r="C2090" t="s">
        <v>14</v>
      </c>
      <c r="D2090">
        <v>1952</v>
      </c>
      <c r="E2090" t="s">
        <v>15</v>
      </c>
      <c r="F2090" t="s">
        <v>16</v>
      </c>
      <c r="G2090" t="s">
        <v>17</v>
      </c>
      <c r="H2090" t="s">
        <v>18</v>
      </c>
      <c r="I2090">
        <v>37.372999999999998</v>
      </c>
      <c r="J2090" t="s">
        <v>19</v>
      </c>
      <c r="K2090" t="s">
        <v>2877</v>
      </c>
      <c r="L2090" t="s">
        <v>21</v>
      </c>
    </row>
    <row r="2091" spans="1:12">
      <c r="A2091" t="s">
        <v>2878</v>
      </c>
      <c r="B2091" t="s">
        <v>2876</v>
      </c>
      <c r="C2091" t="s">
        <v>14</v>
      </c>
      <c r="D2091">
        <v>1952</v>
      </c>
      <c r="E2091" t="s">
        <v>23</v>
      </c>
      <c r="F2091" t="s">
        <v>24</v>
      </c>
      <c r="G2091" t="s">
        <v>25</v>
      </c>
      <c r="H2091" t="s">
        <v>26</v>
      </c>
      <c r="I2091">
        <v>372000000</v>
      </c>
      <c r="J2091" t="s">
        <v>27</v>
      </c>
      <c r="K2091" t="s">
        <v>2877</v>
      </c>
      <c r="L2091" t="s">
        <v>21</v>
      </c>
    </row>
    <row r="2092" spans="1:12">
      <c r="A2092" t="s">
        <v>2879</v>
      </c>
      <c r="B2092" t="s">
        <v>2876</v>
      </c>
      <c r="C2092" t="s">
        <v>14</v>
      </c>
      <c r="D2092">
        <v>1952</v>
      </c>
      <c r="E2092" t="s">
        <v>29</v>
      </c>
      <c r="F2092" t="s">
        <v>30</v>
      </c>
      <c r="G2092" t="s">
        <v>31</v>
      </c>
      <c r="H2092" t="s">
        <v>32</v>
      </c>
      <c r="I2092">
        <v>546.56574929999999</v>
      </c>
      <c r="J2092" t="s">
        <v>33</v>
      </c>
      <c r="K2092" t="s">
        <v>2877</v>
      </c>
      <c r="L2092" t="s">
        <v>21</v>
      </c>
    </row>
    <row r="2093" spans="1:12">
      <c r="A2093" t="s">
        <v>2880</v>
      </c>
      <c r="B2093" t="s">
        <v>2876</v>
      </c>
      <c r="C2093" t="s">
        <v>14</v>
      </c>
      <c r="D2093">
        <v>1957</v>
      </c>
      <c r="E2093" t="s">
        <v>15</v>
      </c>
      <c r="F2093" t="s">
        <v>16</v>
      </c>
      <c r="G2093" t="s">
        <v>17</v>
      </c>
      <c r="H2093" t="s">
        <v>18</v>
      </c>
      <c r="I2093">
        <v>40.249000000000002</v>
      </c>
      <c r="J2093" t="s">
        <v>19</v>
      </c>
      <c r="K2093" t="s">
        <v>2881</v>
      </c>
      <c r="L2093" t="s">
        <v>21</v>
      </c>
    </row>
    <row r="2094" spans="1:12">
      <c r="A2094" t="s">
        <v>2882</v>
      </c>
      <c r="B2094" t="s">
        <v>2876</v>
      </c>
      <c r="C2094" t="s">
        <v>14</v>
      </c>
      <c r="D2094">
        <v>1957</v>
      </c>
      <c r="E2094" t="s">
        <v>23</v>
      </c>
      <c r="F2094" t="s">
        <v>24</v>
      </c>
      <c r="G2094" t="s">
        <v>25</v>
      </c>
      <c r="H2094" t="s">
        <v>26</v>
      </c>
      <c r="I2094">
        <v>409000000</v>
      </c>
      <c r="J2094" t="s">
        <v>27</v>
      </c>
      <c r="K2094" t="s">
        <v>2881</v>
      </c>
      <c r="L2094" t="s">
        <v>21</v>
      </c>
    </row>
    <row r="2095" spans="1:12">
      <c r="A2095" t="s">
        <v>2883</v>
      </c>
      <c r="B2095" t="s">
        <v>2876</v>
      </c>
      <c r="C2095" t="s">
        <v>14</v>
      </c>
      <c r="D2095">
        <v>1957</v>
      </c>
      <c r="E2095" t="s">
        <v>29</v>
      </c>
      <c r="F2095" t="s">
        <v>30</v>
      </c>
      <c r="G2095" t="s">
        <v>31</v>
      </c>
      <c r="H2095" t="s">
        <v>32</v>
      </c>
      <c r="I2095">
        <v>590.06199600000002</v>
      </c>
      <c r="J2095" t="s">
        <v>33</v>
      </c>
      <c r="K2095" t="s">
        <v>2881</v>
      </c>
      <c r="L2095" t="s">
        <v>21</v>
      </c>
    </row>
    <row r="2096" spans="1:12">
      <c r="A2096" t="s">
        <v>2884</v>
      </c>
      <c r="B2096" t="s">
        <v>2876</v>
      </c>
      <c r="C2096" t="s">
        <v>14</v>
      </c>
      <c r="D2096">
        <v>1962</v>
      </c>
      <c r="E2096" t="s">
        <v>15</v>
      </c>
      <c r="F2096" t="s">
        <v>16</v>
      </c>
      <c r="G2096" t="s">
        <v>17</v>
      </c>
      <c r="H2096" t="s">
        <v>18</v>
      </c>
      <c r="I2096">
        <v>43.604999999999997</v>
      </c>
      <c r="J2096" t="s">
        <v>19</v>
      </c>
      <c r="K2096" t="s">
        <v>2885</v>
      </c>
      <c r="L2096" t="s">
        <v>21</v>
      </c>
    </row>
    <row r="2097" spans="1:12">
      <c r="A2097" t="s">
        <v>2886</v>
      </c>
      <c r="B2097" t="s">
        <v>2876</v>
      </c>
      <c r="C2097" t="s">
        <v>14</v>
      </c>
      <c r="D2097">
        <v>1962</v>
      </c>
      <c r="E2097" t="s">
        <v>23</v>
      </c>
      <c r="F2097" t="s">
        <v>24</v>
      </c>
      <c r="G2097" t="s">
        <v>25</v>
      </c>
      <c r="H2097" t="s">
        <v>26</v>
      </c>
      <c r="I2097">
        <v>454000000</v>
      </c>
      <c r="J2097" t="s">
        <v>27</v>
      </c>
      <c r="K2097" t="s">
        <v>2885</v>
      </c>
      <c r="L2097" t="s">
        <v>21</v>
      </c>
    </row>
    <row r="2098" spans="1:12">
      <c r="A2098" t="s">
        <v>2887</v>
      </c>
      <c r="B2098" t="s">
        <v>2876</v>
      </c>
      <c r="C2098" t="s">
        <v>14</v>
      </c>
      <c r="D2098">
        <v>1962</v>
      </c>
      <c r="E2098" t="s">
        <v>29</v>
      </c>
      <c r="F2098" t="s">
        <v>30</v>
      </c>
      <c r="G2098" t="s">
        <v>31</v>
      </c>
      <c r="H2098" t="s">
        <v>32</v>
      </c>
      <c r="I2098">
        <v>658.34715089999997</v>
      </c>
      <c r="J2098" t="s">
        <v>33</v>
      </c>
      <c r="K2098" t="s">
        <v>2885</v>
      </c>
      <c r="L2098" t="s">
        <v>21</v>
      </c>
    </row>
    <row r="2099" spans="1:12">
      <c r="A2099" t="s">
        <v>2888</v>
      </c>
      <c r="B2099" t="s">
        <v>2876</v>
      </c>
      <c r="C2099" t="s">
        <v>14</v>
      </c>
      <c r="D2099">
        <v>1967</v>
      </c>
      <c r="E2099" t="s">
        <v>15</v>
      </c>
      <c r="F2099" t="s">
        <v>16</v>
      </c>
      <c r="G2099" t="s">
        <v>17</v>
      </c>
      <c r="H2099" t="s">
        <v>18</v>
      </c>
      <c r="I2099">
        <v>47.192999999999998</v>
      </c>
      <c r="J2099" t="s">
        <v>19</v>
      </c>
      <c r="K2099" t="s">
        <v>2889</v>
      </c>
      <c r="L2099" t="s">
        <v>21</v>
      </c>
    </row>
    <row r="2100" spans="1:12">
      <c r="A2100" t="s">
        <v>2890</v>
      </c>
      <c r="B2100" t="s">
        <v>2876</v>
      </c>
      <c r="C2100" t="s">
        <v>14</v>
      </c>
      <c r="D2100">
        <v>1967</v>
      </c>
      <c r="E2100" t="s">
        <v>23</v>
      </c>
      <c r="F2100" t="s">
        <v>24</v>
      </c>
      <c r="G2100" t="s">
        <v>25</v>
      </c>
      <c r="H2100" t="s">
        <v>26</v>
      </c>
      <c r="I2100">
        <v>506000000</v>
      </c>
      <c r="J2100" t="s">
        <v>27</v>
      </c>
      <c r="K2100" t="s">
        <v>2889</v>
      </c>
      <c r="L2100" t="s">
        <v>21</v>
      </c>
    </row>
    <row r="2101" spans="1:12">
      <c r="A2101" t="s">
        <v>2891</v>
      </c>
      <c r="B2101" t="s">
        <v>2876</v>
      </c>
      <c r="C2101" t="s">
        <v>14</v>
      </c>
      <c r="D2101">
        <v>1967</v>
      </c>
      <c r="E2101" t="s">
        <v>29</v>
      </c>
      <c r="F2101" t="s">
        <v>30</v>
      </c>
      <c r="G2101" t="s">
        <v>31</v>
      </c>
      <c r="H2101" t="s">
        <v>32</v>
      </c>
      <c r="I2101">
        <v>700.77061070000002</v>
      </c>
      <c r="J2101" t="s">
        <v>33</v>
      </c>
      <c r="K2101" t="s">
        <v>2889</v>
      </c>
      <c r="L2101" t="s">
        <v>21</v>
      </c>
    </row>
    <row r="2102" spans="1:12">
      <c r="A2102" t="s">
        <v>2892</v>
      </c>
      <c r="B2102" t="s">
        <v>2876</v>
      </c>
      <c r="C2102" t="s">
        <v>14</v>
      </c>
      <c r="D2102">
        <v>1972</v>
      </c>
      <c r="E2102" t="s">
        <v>15</v>
      </c>
      <c r="F2102" t="s">
        <v>16</v>
      </c>
      <c r="G2102" t="s">
        <v>17</v>
      </c>
      <c r="H2102" t="s">
        <v>18</v>
      </c>
      <c r="I2102">
        <v>50.651000000000003</v>
      </c>
      <c r="J2102" t="s">
        <v>19</v>
      </c>
      <c r="K2102" t="s">
        <v>2893</v>
      </c>
      <c r="L2102" t="s">
        <v>21</v>
      </c>
    </row>
    <row r="2103" spans="1:12">
      <c r="A2103" t="s">
        <v>2894</v>
      </c>
      <c r="B2103" t="s">
        <v>2876</v>
      </c>
      <c r="C2103" t="s">
        <v>14</v>
      </c>
      <c r="D2103">
        <v>1972</v>
      </c>
      <c r="E2103" t="s">
        <v>23</v>
      </c>
      <c r="F2103" t="s">
        <v>24</v>
      </c>
      <c r="G2103" t="s">
        <v>25</v>
      </c>
      <c r="H2103" t="s">
        <v>26</v>
      </c>
      <c r="I2103">
        <v>567000000</v>
      </c>
      <c r="J2103" t="s">
        <v>27</v>
      </c>
      <c r="K2103" t="s">
        <v>2893</v>
      </c>
      <c r="L2103" t="s">
        <v>21</v>
      </c>
    </row>
    <row r="2104" spans="1:12">
      <c r="A2104" t="s">
        <v>2895</v>
      </c>
      <c r="B2104" t="s">
        <v>2876</v>
      </c>
      <c r="C2104" t="s">
        <v>14</v>
      </c>
      <c r="D2104">
        <v>1972</v>
      </c>
      <c r="E2104" t="s">
        <v>29</v>
      </c>
      <c r="F2104" t="s">
        <v>30</v>
      </c>
      <c r="G2104" t="s">
        <v>31</v>
      </c>
      <c r="H2104" t="s">
        <v>32</v>
      </c>
      <c r="I2104">
        <v>724.03252699999996</v>
      </c>
      <c r="J2104" t="s">
        <v>33</v>
      </c>
      <c r="K2104" t="s">
        <v>2893</v>
      </c>
      <c r="L2104" t="s">
        <v>21</v>
      </c>
    </row>
    <row r="2105" spans="1:12">
      <c r="A2105" t="s">
        <v>2896</v>
      </c>
      <c r="B2105" t="s">
        <v>2876</v>
      </c>
      <c r="C2105" t="s">
        <v>14</v>
      </c>
      <c r="D2105">
        <v>1977</v>
      </c>
      <c r="E2105" t="s">
        <v>15</v>
      </c>
      <c r="F2105" t="s">
        <v>16</v>
      </c>
      <c r="G2105" t="s">
        <v>17</v>
      </c>
      <c r="H2105" t="s">
        <v>18</v>
      </c>
      <c r="I2105">
        <v>54.207999999999998</v>
      </c>
      <c r="J2105" t="s">
        <v>19</v>
      </c>
      <c r="K2105" t="s">
        <v>2897</v>
      </c>
      <c r="L2105" t="s">
        <v>21</v>
      </c>
    </row>
    <row r="2106" spans="1:12">
      <c r="A2106" t="s">
        <v>2898</v>
      </c>
      <c r="B2106" t="s">
        <v>2876</v>
      </c>
      <c r="C2106" t="s">
        <v>14</v>
      </c>
      <c r="D2106">
        <v>1977</v>
      </c>
      <c r="E2106" t="s">
        <v>23</v>
      </c>
      <c r="F2106" t="s">
        <v>24</v>
      </c>
      <c r="G2106" t="s">
        <v>25</v>
      </c>
      <c r="H2106" t="s">
        <v>26</v>
      </c>
      <c r="I2106">
        <v>634000000</v>
      </c>
      <c r="J2106" t="s">
        <v>27</v>
      </c>
      <c r="K2106" t="s">
        <v>2897</v>
      </c>
      <c r="L2106" t="s">
        <v>21</v>
      </c>
    </row>
    <row r="2107" spans="1:12">
      <c r="A2107" t="s">
        <v>2899</v>
      </c>
      <c r="B2107" t="s">
        <v>2876</v>
      </c>
      <c r="C2107" t="s">
        <v>14</v>
      </c>
      <c r="D2107">
        <v>1977</v>
      </c>
      <c r="E2107" t="s">
        <v>29</v>
      </c>
      <c r="F2107" t="s">
        <v>30</v>
      </c>
      <c r="G2107" t="s">
        <v>31</v>
      </c>
      <c r="H2107" t="s">
        <v>32</v>
      </c>
      <c r="I2107">
        <v>813.33732299999997</v>
      </c>
      <c r="J2107" t="s">
        <v>33</v>
      </c>
      <c r="K2107" t="s">
        <v>2897</v>
      </c>
      <c r="L2107" t="s">
        <v>21</v>
      </c>
    </row>
    <row r="2108" spans="1:12">
      <c r="A2108" t="s">
        <v>2900</v>
      </c>
      <c r="B2108" t="s">
        <v>2876</v>
      </c>
      <c r="C2108" t="s">
        <v>14</v>
      </c>
      <c r="D2108">
        <v>1982</v>
      </c>
      <c r="E2108" t="s">
        <v>15</v>
      </c>
      <c r="F2108" t="s">
        <v>16</v>
      </c>
      <c r="G2108" t="s">
        <v>17</v>
      </c>
      <c r="H2108" t="s">
        <v>18</v>
      </c>
      <c r="I2108">
        <v>56.595999999999997</v>
      </c>
      <c r="J2108" t="s">
        <v>19</v>
      </c>
      <c r="K2108" t="s">
        <v>2901</v>
      </c>
      <c r="L2108" t="s">
        <v>21</v>
      </c>
    </row>
    <row r="2109" spans="1:12">
      <c r="A2109" t="s">
        <v>2902</v>
      </c>
      <c r="B2109" t="s">
        <v>2876</v>
      </c>
      <c r="C2109" t="s">
        <v>14</v>
      </c>
      <c r="D2109">
        <v>1982</v>
      </c>
      <c r="E2109" t="s">
        <v>23</v>
      </c>
      <c r="F2109" t="s">
        <v>24</v>
      </c>
      <c r="G2109" t="s">
        <v>25</v>
      </c>
      <c r="H2109" t="s">
        <v>26</v>
      </c>
      <c r="I2109">
        <v>708000000</v>
      </c>
      <c r="J2109" t="s">
        <v>27</v>
      </c>
      <c r="K2109" t="s">
        <v>2901</v>
      </c>
      <c r="L2109" t="s">
        <v>21</v>
      </c>
    </row>
    <row r="2110" spans="1:12">
      <c r="A2110" t="s">
        <v>2903</v>
      </c>
      <c r="B2110" t="s">
        <v>2876</v>
      </c>
      <c r="C2110" t="s">
        <v>14</v>
      </c>
      <c r="D2110">
        <v>1982</v>
      </c>
      <c r="E2110" t="s">
        <v>29</v>
      </c>
      <c r="F2110" t="s">
        <v>30</v>
      </c>
      <c r="G2110" t="s">
        <v>31</v>
      </c>
      <c r="H2110" t="s">
        <v>32</v>
      </c>
      <c r="I2110">
        <v>855.72353769999995</v>
      </c>
      <c r="J2110" t="s">
        <v>33</v>
      </c>
      <c r="K2110" t="s">
        <v>2901</v>
      </c>
      <c r="L2110" t="s">
        <v>21</v>
      </c>
    </row>
    <row r="2111" spans="1:12">
      <c r="A2111" t="s">
        <v>2904</v>
      </c>
      <c r="B2111" t="s">
        <v>2876</v>
      </c>
      <c r="C2111" t="s">
        <v>14</v>
      </c>
      <c r="D2111">
        <v>1987</v>
      </c>
      <c r="E2111" t="s">
        <v>15</v>
      </c>
      <c r="F2111" t="s">
        <v>16</v>
      </c>
      <c r="G2111" t="s">
        <v>17</v>
      </c>
      <c r="H2111" t="s">
        <v>18</v>
      </c>
      <c r="I2111">
        <v>58.552999999999997</v>
      </c>
      <c r="J2111" t="s">
        <v>19</v>
      </c>
      <c r="K2111" t="s">
        <v>2905</v>
      </c>
      <c r="L2111" t="s">
        <v>21</v>
      </c>
    </row>
    <row r="2112" spans="1:12">
      <c r="A2112" t="s">
        <v>2906</v>
      </c>
      <c r="B2112" t="s">
        <v>2876</v>
      </c>
      <c r="C2112" t="s">
        <v>14</v>
      </c>
      <c r="D2112">
        <v>1987</v>
      </c>
      <c r="E2112" t="s">
        <v>23</v>
      </c>
      <c r="F2112" t="s">
        <v>24</v>
      </c>
      <c r="G2112" t="s">
        <v>25</v>
      </c>
      <c r="H2112" t="s">
        <v>26</v>
      </c>
      <c r="I2112">
        <v>788000000</v>
      </c>
      <c r="J2112" t="s">
        <v>27</v>
      </c>
      <c r="K2112" t="s">
        <v>2905</v>
      </c>
      <c r="L2112" t="s">
        <v>21</v>
      </c>
    </row>
    <row r="2113" spans="1:12">
      <c r="A2113" t="s">
        <v>2907</v>
      </c>
      <c r="B2113" t="s">
        <v>2876</v>
      </c>
      <c r="C2113" t="s">
        <v>14</v>
      </c>
      <c r="D2113">
        <v>1987</v>
      </c>
      <c r="E2113" t="s">
        <v>29</v>
      </c>
      <c r="F2113" t="s">
        <v>30</v>
      </c>
      <c r="G2113" t="s">
        <v>31</v>
      </c>
      <c r="H2113" t="s">
        <v>32</v>
      </c>
      <c r="I2113">
        <v>976.51267559999997</v>
      </c>
      <c r="J2113" t="s">
        <v>33</v>
      </c>
      <c r="K2113" t="s">
        <v>2905</v>
      </c>
      <c r="L2113" t="s">
        <v>21</v>
      </c>
    </row>
    <row r="2114" spans="1:12">
      <c r="A2114" t="s">
        <v>2908</v>
      </c>
      <c r="B2114" t="s">
        <v>2876</v>
      </c>
      <c r="C2114" t="s">
        <v>14</v>
      </c>
      <c r="D2114">
        <v>1992</v>
      </c>
      <c r="E2114" t="s">
        <v>15</v>
      </c>
      <c r="F2114" t="s">
        <v>16</v>
      </c>
      <c r="G2114" t="s">
        <v>17</v>
      </c>
      <c r="H2114" t="s">
        <v>18</v>
      </c>
      <c r="I2114">
        <v>60.222999999999999</v>
      </c>
      <c r="J2114" t="s">
        <v>19</v>
      </c>
      <c r="K2114" t="s">
        <v>2909</v>
      </c>
      <c r="L2114" t="s">
        <v>21</v>
      </c>
    </row>
    <row r="2115" spans="1:12">
      <c r="A2115" t="s">
        <v>2910</v>
      </c>
      <c r="B2115" t="s">
        <v>2876</v>
      </c>
      <c r="C2115" t="s">
        <v>14</v>
      </c>
      <c r="D2115">
        <v>1992</v>
      </c>
      <c r="E2115" t="s">
        <v>23</v>
      </c>
      <c r="F2115" t="s">
        <v>24</v>
      </c>
      <c r="G2115" t="s">
        <v>25</v>
      </c>
      <c r="H2115" t="s">
        <v>26</v>
      </c>
      <c r="I2115">
        <v>872000000</v>
      </c>
      <c r="J2115" t="s">
        <v>27</v>
      </c>
      <c r="K2115" t="s">
        <v>2909</v>
      </c>
      <c r="L2115" t="s">
        <v>21</v>
      </c>
    </row>
    <row r="2116" spans="1:12">
      <c r="A2116" t="s">
        <v>2911</v>
      </c>
      <c r="B2116" t="s">
        <v>2876</v>
      </c>
      <c r="C2116" t="s">
        <v>14</v>
      </c>
      <c r="D2116">
        <v>1992</v>
      </c>
      <c r="E2116" t="s">
        <v>29</v>
      </c>
      <c r="F2116" t="s">
        <v>30</v>
      </c>
      <c r="G2116" t="s">
        <v>31</v>
      </c>
      <c r="H2116" t="s">
        <v>32</v>
      </c>
      <c r="I2116">
        <v>1164.4068090000001</v>
      </c>
      <c r="J2116" t="s">
        <v>33</v>
      </c>
      <c r="K2116" t="s">
        <v>2909</v>
      </c>
      <c r="L2116" t="s">
        <v>21</v>
      </c>
    </row>
    <row r="2117" spans="1:12">
      <c r="A2117" t="s">
        <v>2912</v>
      </c>
      <c r="B2117" t="s">
        <v>2876</v>
      </c>
      <c r="C2117" t="s">
        <v>14</v>
      </c>
      <c r="D2117">
        <v>1997</v>
      </c>
      <c r="E2117" t="s">
        <v>15</v>
      </c>
      <c r="F2117" t="s">
        <v>16</v>
      </c>
      <c r="G2117" t="s">
        <v>17</v>
      </c>
      <c r="H2117" t="s">
        <v>18</v>
      </c>
      <c r="I2117">
        <v>61.765000000000001</v>
      </c>
      <c r="J2117" t="s">
        <v>19</v>
      </c>
      <c r="K2117" t="s">
        <v>2913</v>
      </c>
      <c r="L2117" t="s">
        <v>21</v>
      </c>
    </row>
    <row r="2118" spans="1:12">
      <c r="A2118" t="s">
        <v>2914</v>
      </c>
      <c r="B2118" t="s">
        <v>2876</v>
      </c>
      <c r="C2118" t="s">
        <v>14</v>
      </c>
      <c r="D2118">
        <v>1997</v>
      </c>
      <c r="E2118" t="s">
        <v>23</v>
      </c>
      <c r="F2118" t="s">
        <v>24</v>
      </c>
      <c r="G2118" t="s">
        <v>25</v>
      </c>
      <c r="H2118" t="s">
        <v>26</v>
      </c>
      <c r="I2118">
        <v>959000000</v>
      </c>
      <c r="J2118" t="s">
        <v>27</v>
      </c>
      <c r="K2118" t="s">
        <v>2913</v>
      </c>
      <c r="L2118" t="s">
        <v>21</v>
      </c>
    </row>
    <row r="2119" spans="1:12">
      <c r="A2119" t="s">
        <v>2915</v>
      </c>
      <c r="B2119" t="s">
        <v>2876</v>
      </c>
      <c r="C2119" t="s">
        <v>14</v>
      </c>
      <c r="D2119">
        <v>1997</v>
      </c>
      <c r="E2119" t="s">
        <v>29</v>
      </c>
      <c r="F2119" t="s">
        <v>30</v>
      </c>
      <c r="G2119" t="s">
        <v>31</v>
      </c>
      <c r="H2119" t="s">
        <v>32</v>
      </c>
      <c r="I2119">
        <v>1458.817442</v>
      </c>
      <c r="J2119" t="s">
        <v>33</v>
      </c>
      <c r="K2119" t="s">
        <v>2913</v>
      </c>
      <c r="L2119" t="s">
        <v>21</v>
      </c>
    </row>
    <row r="2120" spans="1:12">
      <c r="A2120" t="s">
        <v>2916</v>
      </c>
      <c r="B2120" t="s">
        <v>2876</v>
      </c>
      <c r="C2120" t="s">
        <v>14</v>
      </c>
      <c r="D2120">
        <v>2002</v>
      </c>
      <c r="E2120" t="s">
        <v>15</v>
      </c>
      <c r="F2120" t="s">
        <v>16</v>
      </c>
      <c r="G2120" t="s">
        <v>17</v>
      </c>
      <c r="H2120" t="s">
        <v>18</v>
      </c>
      <c r="I2120">
        <v>62.878999999999998</v>
      </c>
      <c r="J2120" t="s">
        <v>19</v>
      </c>
      <c r="K2120" t="s">
        <v>2917</v>
      </c>
      <c r="L2120" t="s">
        <v>21</v>
      </c>
    </row>
    <row r="2121" spans="1:12">
      <c r="A2121" t="s">
        <v>2918</v>
      </c>
      <c r="B2121" t="s">
        <v>2876</v>
      </c>
      <c r="C2121" t="s">
        <v>14</v>
      </c>
      <c r="D2121">
        <v>2002</v>
      </c>
      <c r="E2121" t="s">
        <v>23</v>
      </c>
      <c r="F2121" t="s">
        <v>24</v>
      </c>
      <c r="G2121" t="s">
        <v>25</v>
      </c>
      <c r="H2121" t="s">
        <v>26</v>
      </c>
      <c r="I2121">
        <v>1034172547</v>
      </c>
      <c r="J2121" t="s">
        <v>27</v>
      </c>
      <c r="K2121" t="s">
        <v>2917</v>
      </c>
      <c r="L2121" t="s">
        <v>21</v>
      </c>
    </row>
    <row r="2122" spans="1:12">
      <c r="A2122" t="s">
        <v>2919</v>
      </c>
      <c r="B2122" t="s">
        <v>2876</v>
      </c>
      <c r="C2122" t="s">
        <v>14</v>
      </c>
      <c r="D2122">
        <v>2002</v>
      </c>
      <c r="E2122" t="s">
        <v>29</v>
      </c>
      <c r="F2122" t="s">
        <v>30</v>
      </c>
      <c r="G2122" t="s">
        <v>31</v>
      </c>
      <c r="H2122" t="s">
        <v>32</v>
      </c>
      <c r="I2122">
        <v>1746.769454</v>
      </c>
      <c r="J2122" t="s">
        <v>33</v>
      </c>
      <c r="K2122" t="s">
        <v>2917</v>
      </c>
      <c r="L2122" t="s">
        <v>21</v>
      </c>
    </row>
    <row r="2123" spans="1:12">
      <c r="A2123" t="s">
        <v>2920</v>
      </c>
      <c r="B2123" t="s">
        <v>2876</v>
      </c>
      <c r="C2123" t="s">
        <v>14</v>
      </c>
      <c r="D2123">
        <v>2007</v>
      </c>
      <c r="E2123" t="s">
        <v>15</v>
      </c>
      <c r="F2123" t="s">
        <v>16</v>
      </c>
      <c r="G2123" t="s">
        <v>17</v>
      </c>
      <c r="H2123" t="s">
        <v>18</v>
      </c>
      <c r="I2123">
        <v>64.697999999999993</v>
      </c>
      <c r="J2123" t="s">
        <v>19</v>
      </c>
      <c r="K2123" t="s">
        <v>2921</v>
      </c>
      <c r="L2123" t="s">
        <v>21</v>
      </c>
    </row>
    <row r="2124" spans="1:12">
      <c r="A2124" t="s">
        <v>2922</v>
      </c>
      <c r="B2124" t="s">
        <v>2876</v>
      </c>
      <c r="C2124" t="s">
        <v>14</v>
      </c>
      <c r="D2124">
        <v>2007</v>
      </c>
      <c r="E2124" t="s">
        <v>23</v>
      </c>
      <c r="F2124" t="s">
        <v>24</v>
      </c>
      <c r="G2124" t="s">
        <v>25</v>
      </c>
      <c r="H2124" t="s">
        <v>26</v>
      </c>
      <c r="I2124">
        <v>1110396331</v>
      </c>
      <c r="J2124" t="s">
        <v>27</v>
      </c>
      <c r="K2124" t="s">
        <v>2921</v>
      </c>
      <c r="L2124" t="s">
        <v>21</v>
      </c>
    </row>
    <row r="2125" spans="1:12">
      <c r="A2125" t="s">
        <v>2923</v>
      </c>
      <c r="B2125" t="s">
        <v>2876</v>
      </c>
      <c r="C2125" t="s">
        <v>14</v>
      </c>
      <c r="D2125">
        <v>2007</v>
      </c>
      <c r="E2125" t="s">
        <v>29</v>
      </c>
      <c r="F2125" t="s">
        <v>30</v>
      </c>
      <c r="G2125" t="s">
        <v>31</v>
      </c>
      <c r="H2125" t="s">
        <v>32</v>
      </c>
      <c r="I2125">
        <v>2452.210407</v>
      </c>
      <c r="J2125" t="s">
        <v>33</v>
      </c>
      <c r="K2125" t="s">
        <v>2921</v>
      </c>
      <c r="L2125" t="s">
        <v>21</v>
      </c>
    </row>
    <row r="2126" spans="1:12">
      <c r="A2126" t="s">
        <v>2924</v>
      </c>
      <c r="B2126" t="s">
        <v>2925</v>
      </c>
      <c r="C2126" t="s">
        <v>14</v>
      </c>
      <c r="D2126">
        <v>1952</v>
      </c>
      <c r="E2126" t="s">
        <v>15</v>
      </c>
      <c r="F2126" t="s">
        <v>16</v>
      </c>
      <c r="G2126" t="s">
        <v>17</v>
      </c>
      <c r="H2126" t="s">
        <v>18</v>
      </c>
      <c r="I2126">
        <v>37.468000000000004</v>
      </c>
      <c r="J2126" t="s">
        <v>19</v>
      </c>
      <c r="K2126" t="s">
        <v>2926</v>
      </c>
      <c r="L2126" t="s">
        <v>21</v>
      </c>
    </row>
    <row r="2127" spans="1:12">
      <c r="A2127" t="s">
        <v>2927</v>
      </c>
      <c r="B2127" t="s">
        <v>2925</v>
      </c>
      <c r="C2127" t="s">
        <v>14</v>
      </c>
      <c r="D2127">
        <v>1952</v>
      </c>
      <c r="E2127" t="s">
        <v>23</v>
      </c>
      <c r="F2127" t="s">
        <v>24</v>
      </c>
      <c r="G2127" t="s">
        <v>25</v>
      </c>
      <c r="H2127" t="s">
        <v>26</v>
      </c>
      <c r="I2127">
        <v>82052000</v>
      </c>
      <c r="J2127" t="s">
        <v>27</v>
      </c>
      <c r="K2127" t="s">
        <v>2926</v>
      </c>
      <c r="L2127" t="s">
        <v>21</v>
      </c>
    </row>
    <row r="2128" spans="1:12">
      <c r="A2128" t="s">
        <v>2928</v>
      </c>
      <c r="B2128" t="s">
        <v>2925</v>
      </c>
      <c r="C2128" t="s">
        <v>14</v>
      </c>
      <c r="D2128">
        <v>1952</v>
      </c>
      <c r="E2128" t="s">
        <v>29</v>
      </c>
      <c r="F2128" t="s">
        <v>30</v>
      </c>
      <c r="G2128" t="s">
        <v>31</v>
      </c>
      <c r="H2128" t="s">
        <v>32</v>
      </c>
      <c r="I2128">
        <v>749.6816546</v>
      </c>
      <c r="J2128" t="s">
        <v>33</v>
      </c>
      <c r="K2128" t="s">
        <v>2926</v>
      </c>
      <c r="L2128" t="s">
        <v>21</v>
      </c>
    </row>
    <row r="2129" spans="1:12">
      <c r="A2129" t="s">
        <v>2929</v>
      </c>
      <c r="B2129" t="s">
        <v>2925</v>
      </c>
      <c r="C2129" t="s">
        <v>14</v>
      </c>
      <c r="D2129">
        <v>1957</v>
      </c>
      <c r="E2129" t="s">
        <v>15</v>
      </c>
      <c r="F2129" t="s">
        <v>16</v>
      </c>
      <c r="G2129" t="s">
        <v>17</v>
      </c>
      <c r="H2129" t="s">
        <v>18</v>
      </c>
      <c r="I2129">
        <v>39.917999999999999</v>
      </c>
      <c r="J2129" t="s">
        <v>19</v>
      </c>
      <c r="K2129" t="s">
        <v>2930</v>
      </c>
      <c r="L2129" t="s">
        <v>21</v>
      </c>
    </row>
    <row r="2130" spans="1:12">
      <c r="A2130" t="s">
        <v>2931</v>
      </c>
      <c r="B2130" t="s">
        <v>2925</v>
      </c>
      <c r="C2130" t="s">
        <v>14</v>
      </c>
      <c r="D2130">
        <v>1957</v>
      </c>
      <c r="E2130" t="s">
        <v>23</v>
      </c>
      <c r="F2130" t="s">
        <v>24</v>
      </c>
      <c r="G2130" t="s">
        <v>25</v>
      </c>
      <c r="H2130" t="s">
        <v>26</v>
      </c>
      <c r="I2130">
        <v>90124000</v>
      </c>
      <c r="J2130" t="s">
        <v>27</v>
      </c>
      <c r="K2130" t="s">
        <v>2930</v>
      </c>
      <c r="L2130" t="s">
        <v>21</v>
      </c>
    </row>
    <row r="2131" spans="1:12">
      <c r="A2131" t="s">
        <v>2932</v>
      </c>
      <c r="B2131" t="s">
        <v>2925</v>
      </c>
      <c r="C2131" t="s">
        <v>14</v>
      </c>
      <c r="D2131">
        <v>1957</v>
      </c>
      <c r="E2131" t="s">
        <v>29</v>
      </c>
      <c r="F2131" t="s">
        <v>30</v>
      </c>
      <c r="G2131" t="s">
        <v>31</v>
      </c>
      <c r="H2131" t="s">
        <v>32</v>
      </c>
      <c r="I2131">
        <v>858.90027069999996</v>
      </c>
      <c r="J2131" t="s">
        <v>33</v>
      </c>
      <c r="K2131" t="s">
        <v>2930</v>
      </c>
      <c r="L2131" t="s">
        <v>21</v>
      </c>
    </row>
    <row r="2132" spans="1:12">
      <c r="A2132" t="s">
        <v>2933</v>
      </c>
      <c r="B2132" t="s">
        <v>2925</v>
      </c>
      <c r="C2132" t="s">
        <v>14</v>
      </c>
      <c r="D2132">
        <v>1962</v>
      </c>
      <c r="E2132" t="s">
        <v>15</v>
      </c>
      <c r="F2132" t="s">
        <v>16</v>
      </c>
      <c r="G2132" t="s">
        <v>17</v>
      </c>
      <c r="H2132" t="s">
        <v>18</v>
      </c>
      <c r="I2132">
        <v>42.518000000000001</v>
      </c>
      <c r="J2132" t="s">
        <v>19</v>
      </c>
      <c r="K2132" t="s">
        <v>2934</v>
      </c>
      <c r="L2132" t="s">
        <v>21</v>
      </c>
    </row>
    <row r="2133" spans="1:12">
      <c r="A2133" t="s">
        <v>2935</v>
      </c>
      <c r="B2133" t="s">
        <v>2925</v>
      </c>
      <c r="C2133" t="s">
        <v>14</v>
      </c>
      <c r="D2133">
        <v>1962</v>
      </c>
      <c r="E2133" t="s">
        <v>23</v>
      </c>
      <c r="F2133" t="s">
        <v>24</v>
      </c>
      <c r="G2133" t="s">
        <v>25</v>
      </c>
      <c r="H2133" t="s">
        <v>26</v>
      </c>
      <c r="I2133">
        <v>99028000</v>
      </c>
      <c r="J2133" t="s">
        <v>27</v>
      </c>
      <c r="K2133" t="s">
        <v>2934</v>
      </c>
      <c r="L2133" t="s">
        <v>21</v>
      </c>
    </row>
    <row r="2134" spans="1:12">
      <c r="A2134" t="s">
        <v>2936</v>
      </c>
      <c r="B2134" t="s">
        <v>2925</v>
      </c>
      <c r="C2134" t="s">
        <v>14</v>
      </c>
      <c r="D2134">
        <v>1962</v>
      </c>
      <c r="E2134" t="s">
        <v>29</v>
      </c>
      <c r="F2134" t="s">
        <v>30</v>
      </c>
      <c r="G2134" t="s">
        <v>31</v>
      </c>
      <c r="H2134" t="s">
        <v>32</v>
      </c>
      <c r="I2134">
        <v>849.28977009999903</v>
      </c>
      <c r="J2134" t="s">
        <v>33</v>
      </c>
      <c r="K2134" t="s">
        <v>2934</v>
      </c>
      <c r="L2134" t="s">
        <v>21</v>
      </c>
    </row>
    <row r="2135" spans="1:12">
      <c r="A2135" t="s">
        <v>2937</v>
      </c>
      <c r="B2135" t="s">
        <v>2925</v>
      </c>
      <c r="C2135" t="s">
        <v>14</v>
      </c>
      <c r="D2135">
        <v>1967</v>
      </c>
      <c r="E2135" t="s">
        <v>15</v>
      </c>
      <c r="F2135" t="s">
        <v>16</v>
      </c>
      <c r="G2135" t="s">
        <v>17</v>
      </c>
      <c r="H2135" t="s">
        <v>18</v>
      </c>
      <c r="I2135">
        <v>45.963999999999999</v>
      </c>
      <c r="J2135" t="s">
        <v>19</v>
      </c>
      <c r="K2135" t="s">
        <v>2938</v>
      </c>
      <c r="L2135" t="s">
        <v>21</v>
      </c>
    </row>
    <row r="2136" spans="1:12">
      <c r="A2136" t="s">
        <v>2939</v>
      </c>
      <c r="B2136" t="s">
        <v>2925</v>
      </c>
      <c r="C2136" t="s">
        <v>14</v>
      </c>
      <c r="D2136">
        <v>1967</v>
      </c>
      <c r="E2136" t="s">
        <v>23</v>
      </c>
      <c r="F2136" t="s">
        <v>24</v>
      </c>
      <c r="G2136" t="s">
        <v>25</v>
      </c>
      <c r="H2136" t="s">
        <v>26</v>
      </c>
      <c r="I2136">
        <v>109343000</v>
      </c>
      <c r="J2136" t="s">
        <v>27</v>
      </c>
      <c r="K2136" t="s">
        <v>2938</v>
      </c>
      <c r="L2136" t="s">
        <v>21</v>
      </c>
    </row>
    <row r="2137" spans="1:12">
      <c r="A2137" t="s">
        <v>2940</v>
      </c>
      <c r="B2137" t="s">
        <v>2925</v>
      </c>
      <c r="C2137" t="s">
        <v>14</v>
      </c>
      <c r="D2137">
        <v>1967</v>
      </c>
      <c r="E2137" t="s">
        <v>29</v>
      </c>
      <c r="F2137" t="s">
        <v>30</v>
      </c>
      <c r="G2137" t="s">
        <v>31</v>
      </c>
      <c r="H2137" t="s">
        <v>32</v>
      </c>
      <c r="I2137">
        <v>762.43177209999999</v>
      </c>
      <c r="J2137" t="s">
        <v>33</v>
      </c>
      <c r="K2137" t="s">
        <v>2938</v>
      </c>
      <c r="L2137" t="s">
        <v>21</v>
      </c>
    </row>
    <row r="2138" spans="1:12">
      <c r="A2138" t="s">
        <v>2941</v>
      </c>
      <c r="B2138" t="s">
        <v>2925</v>
      </c>
      <c r="C2138" t="s">
        <v>14</v>
      </c>
      <c r="D2138">
        <v>1972</v>
      </c>
      <c r="E2138" t="s">
        <v>15</v>
      </c>
      <c r="F2138" t="s">
        <v>16</v>
      </c>
      <c r="G2138" t="s">
        <v>17</v>
      </c>
      <c r="H2138" t="s">
        <v>18</v>
      </c>
      <c r="I2138">
        <v>49.203000000000003</v>
      </c>
      <c r="J2138" t="s">
        <v>19</v>
      </c>
      <c r="K2138" t="s">
        <v>2942</v>
      </c>
      <c r="L2138" t="s">
        <v>21</v>
      </c>
    </row>
    <row r="2139" spans="1:12">
      <c r="A2139" t="s">
        <v>2943</v>
      </c>
      <c r="B2139" t="s">
        <v>2925</v>
      </c>
      <c r="C2139" t="s">
        <v>14</v>
      </c>
      <c r="D2139">
        <v>1972</v>
      </c>
      <c r="E2139" t="s">
        <v>23</v>
      </c>
      <c r="F2139" t="s">
        <v>24</v>
      </c>
      <c r="G2139" t="s">
        <v>25</v>
      </c>
      <c r="H2139" t="s">
        <v>26</v>
      </c>
      <c r="I2139">
        <v>121282000</v>
      </c>
      <c r="J2139" t="s">
        <v>27</v>
      </c>
      <c r="K2139" t="s">
        <v>2942</v>
      </c>
      <c r="L2139" t="s">
        <v>21</v>
      </c>
    </row>
    <row r="2140" spans="1:12">
      <c r="A2140" t="s">
        <v>2944</v>
      </c>
      <c r="B2140" t="s">
        <v>2925</v>
      </c>
      <c r="C2140" t="s">
        <v>14</v>
      </c>
      <c r="D2140">
        <v>1972</v>
      </c>
      <c r="E2140" t="s">
        <v>29</v>
      </c>
      <c r="F2140" t="s">
        <v>30</v>
      </c>
      <c r="G2140" t="s">
        <v>31</v>
      </c>
      <c r="H2140" t="s">
        <v>32</v>
      </c>
      <c r="I2140">
        <v>1111.1079070000001</v>
      </c>
      <c r="J2140" t="s">
        <v>33</v>
      </c>
      <c r="K2140" t="s">
        <v>2942</v>
      </c>
      <c r="L2140" t="s">
        <v>21</v>
      </c>
    </row>
    <row r="2141" spans="1:12">
      <c r="A2141" t="s">
        <v>2945</v>
      </c>
      <c r="B2141" t="s">
        <v>2925</v>
      </c>
      <c r="C2141" t="s">
        <v>14</v>
      </c>
      <c r="D2141">
        <v>1977</v>
      </c>
      <c r="E2141" t="s">
        <v>15</v>
      </c>
      <c r="F2141" t="s">
        <v>16</v>
      </c>
      <c r="G2141" t="s">
        <v>17</v>
      </c>
      <c r="H2141" t="s">
        <v>18</v>
      </c>
      <c r="I2141">
        <v>52.701999999999998</v>
      </c>
      <c r="J2141" t="s">
        <v>19</v>
      </c>
      <c r="K2141" t="s">
        <v>2946</v>
      </c>
      <c r="L2141" t="s">
        <v>21</v>
      </c>
    </row>
    <row r="2142" spans="1:12">
      <c r="A2142" t="s">
        <v>2947</v>
      </c>
      <c r="B2142" t="s">
        <v>2925</v>
      </c>
      <c r="C2142" t="s">
        <v>14</v>
      </c>
      <c r="D2142">
        <v>1977</v>
      </c>
      <c r="E2142" t="s">
        <v>23</v>
      </c>
      <c r="F2142" t="s">
        <v>24</v>
      </c>
      <c r="G2142" t="s">
        <v>25</v>
      </c>
      <c r="H2142" t="s">
        <v>26</v>
      </c>
      <c r="I2142">
        <v>136725000</v>
      </c>
      <c r="J2142" t="s">
        <v>27</v>
      </c>
      <c r="K2142" t="s">
        <v>2946</v>
      </c>
      <c r="L2142" t="s">
        <v>21</v>
      </c>
    </row>
    <row r="2143" spans="1:12">
      <c r="A2143" t="s">
        <v>2948</v>
      </c>
      <c r="B2143" t="s">
        <v>2925</v>
      </c>
      <c r="C2143" t="s">
        <v>14</v>
      </c>
      <c r="D2143">
        <v>1977</v>
      </c>
      <c r="E2143" t="s">
        <v>29</v>
      </c>
      <c r="F2143" t="s">
        <v>30</v>
      </c>
      <c r="G2143" t="s">
        <v>31</v>
      </c>
      <c r="H2143" t="s">
        <v>32</v>
      </c>
      <c r="I2143">
        <v>1382.7020560000001</v>
      </c>
      <c r="J2143" t="s">
        <v>33</v>
      </c>
      <c r="K2143" t="s">
        <v>2946</v>
      </c>
      <c r="L2143" t="s">
        <v>21</v>
      </c>
    </row>
    <row r="2144" spans="1:12">
      <c r="A2144" t="s">
        <v>2949</v>
      </c>
      <c r="B2144" t="s">
        <v>2925</v>
      </c>
      <c r="C2144" t="s">
        <v>14</v>
      </c>
      <c r="D2144">
        <v>1982</v>
      </c>
      <c r="E2144" t="s">
        <v>15</v>
      </c>
      <c r="F2144" t="s">
        <v>16</v>
      </c>
      <c r="G2144" t="s">
        <v>17</v>
      </c>
      <c r="H2144" t="s">
        <v>18</v>
      </c>
      <c r="I2144">
        <v>56.158999999999999</v>
      </c>
      <c r="J2144" t="s">
        <v>19</v>
      </c>
      <c r="K2144" t="s">
        <v>2950</v>
      </c>
      <c r="L2144" t="s">
        <v>21</v>
      </c>
    </row>
    <row r="2145" spans="1:12">
      <c r="A2145" t="s">
        <v>2951</v>
      </c>
      <c r="B2145" t="s">
        <v>2925</v>
      </c>
      <c r="C2145" t="s">
        <v>14</v>
      </c>
      <c r="D2145">
        <v>1982</v>
      </c>
      <c r="E2145" t="s">
        <v>23</v>
      </c>
      <c r="F2145" t="s">
        <v>24</v>
      </c>
      <c r="G2145" t="s">
        <v>25</v>
      </c>
      <c r="H2145" t="s">
        <v>26</v>
      </c>
      <c r="I2145">
        <v>153343000</v>
      </c>
      <c r="J2145" t="s">
        <v>27</v>
      </c>
      <c r="K2145" t="s">
        <v>2950</v>
      </c>
      <c r="L2145" t="s">
        <v>21</v>
      </c>
    </row>
    <row r="2146" spans="1:12">
      <c r="A2146" t="s">
        <v>2952</v>
      </c>
      <c r="B2146" t="s">
        <v>2925</v>
      </c>
      <c r="C2146" t="s">
        <v>14</v>
      </c>
      <c r="D2146">
        <v>1982</v>
      </c>
      <c r="E2146" t="s">
        <v>29</v>
      </c>
      <c r="F2146" t="s">
        <v>30</v>
      </c>
      <c r="G2146" t="s">
        <v>31</v>
      </c>
      <c r="H2146" t="s">
        <v>32</v>
      </c>
      <c r="I2146">
        <v>1516.8729880000001</v>
      </c>
      <c r="J2146" t="s">
        <v>33</v>
      </c>
      <c r="K2146" t="s">
        <v>2950</v>
      </c>
      <c r="L2146" t="s">
        <v>21</v>
      </c>
    </row>
    <row r="2147" spans="1:12">
      <c r="A2147" t="s">
        <v>2953</v>
      </c>
      <c r="B2147" t="s">
        <v>2925</v>
      </c>
      <c r="C2147" t="s">
        <v>14</v>
      </c>
      <c r="D2147">
        <v>1987</v>
      </c>
      <c r="E2147" t="s">
        <v>15</v>
      </c>
      <c r="F2147" t="s">
        <v>16</v>
      </c>
      <c r="G2147" t="s">
        <v>17</v>
      </c>
      <c r="H2147" t="s">
        <v>18</v>
      </c>
      <c r="I2147">
        <v>60.137</v>
      </c>
      <c r="J2147" t="s">
        <v>19</v>
      </c>
      <c r="K2147" t="s">
        <v>2954</v>
      </c>
      <c r="L2147" t="s">
        <v>21</v>
      </c>
    </row>
    <row r="2148" spans="1:12">
      <c r="A2148" t="s">
        <v>2955</v>
      </c>
      <c r="B2148" t="s">
        <v>2925</v>
      </c>
      <c r="C2148" t="s">
        <v>14</v>
      </c>
      <c r="D2148">
        <v>1987</v>
      </c>
      <c r="E2148" t="s">
        <v>23</v>
      </c>
      <c r="F2148" t="s">
        <v>24</v>
      </c>
      <c r="G2148" t="s">
        <v>25</v>
      </c>
      <c r="H2148" t="s">
        <v>26</v>
      </c>
      <c r="I2148">
        <v>169276000</v>
      </c>
      <c r="J2148" t="s">
        <v>27</v>
      </c>
      <c r="K2148" t="s">
        <v>2954</v>
      </c>
      <c r="L2148" t="s">
        <v>21</v>
      </c>
    </row>
    <row r="2149" spans="1:12">
      <c r="A2149" t="s">
        <v>2956</v>
      </c>
      <c r="B2149" t="s">
        <v>2925</v>
      </c>
      <c r="C2149" t="s">
        <v>14</v>
      </c>
      <c r="D2149">
        <v>1987</v>
      </c>
      <c r="E2149" t="s">
        <v>29</v>
      </c>
      <c r="F2149" t="s">
        <v>30</v>
      </c>
      <c r="G2149" t="s">
        <v>31</v>
      </c>
      <c r="H2149" t="s">
        <v>32</v>
      </c>
      <c r="I2149">
        <v>1748.356961</v>
      </c>
      <c r="J2149" t="s">
        <v>33</v>
      </c>
      <c r="K2149" t="s">
        <v>2954</v>
      </c>
      <c r="L2149" t="s">
        <v>21</v>
      </c>
    </row>
    <row r="2150" spans="1:12">
      <c r="A2150" t="s">
        <v>2957</v>
      </c>
      <c r="B2150" t="s">
        <v>2925</v>
      </c>
      <c r="C2150" t="s">
        <v>14</v>
      </c>
      <c r="D2150">
        <v>1992</v>
      </c>
      <c r="E2150" t="s">
        <v>15</v>
      </c>
      <c r="F2150" t="s">
        <v>16</v>
      </c>
      <c r="G2150" t="s">
        <v>17</v>
      </c>
      <c r="H2150" t="s">
        <v>18</v>
      </c>
      <c r="I2150">
        <v>62.680999999999997</v>
      </c>
      <c r="J2150" t="s">
        <v>19</v>
      </c>
      <c r="K2150" t="s">
        <v>2958</v>
      </c>
      <c r="L2150" t="s">
        <v>21</v>
      </c>
    </row>
    <row r="2151" spans="1:12">
      <c r="A2151" t="s">
        <v>2959</v>
      </c>
      <c r="B2151" t="s">
        <v>2925</v>
      </c>
      <c r="C2151" t="s">
        <v>14</v>
      </c>
      <c r="D2151">
        <v>1992</v>
      </c>
      <c r="E2151" t="s">
        <v>23</v>
      </c>
      <c r="F2151" t="s">
        <v>24</v>
      </c>
      <c r="G2151" t="s">
        <v>25</v>
      </c>
      <c r="H2151" t="s">
        <v>26</v>
      </c>
      <c r="I2151">
        <v>184816000</v>
      </c>
      <c r="J2151" t="s">
        <v>27</v>
      </c>
      <c r="K2151" t="s">
        <v>2958</v>
      </c>
      <c r="L2151" t="s">
        <v>21</v>
      </c>
    </row>
    <row r="2152" spans="1:12">
      <c r="A2152" t="s">
        <v>2960</v>
      </c>
      <c r="B2152" t="s">
        <v>2925</v>
      </c>
      <c r="C2152" t="s">
        <v>14</v>
      </c>
      <c r="D2152">
        <v>1992</v>
      </c>
      <c r="E2152" t="s">
        <v>29</v>
      </c>
      <c r="F2152" t="s">
        <v>30</v>
      </c>
      <c r="G2152" t="s">
        <v>31</v>
      </c>
      <c r="H2152" t="s">
        <v>32</v>
      </c>
      <c r="I2152">
        <v>2383.1408980000001</v>
      </c>
      <c r="J2152" t="s">
        <v>33</v>
      </c>
      <c r="K2152" t="s">
        <v>2958</v>
      </c>
      <c r="L2152" t="s">
        <v>21</v>
      </c>
    </row>
    <row r="2153" spans="1:12">
      <c r="A2153" t="s">
        <v>2961</v>
      </c>
      <c r="B2153" t="s">
        <v>2925</v>
      </c>
      <c r="C2153" t="s">
        <v>14</v>
      </c>
      <c r="D2153">
        <v>1997</v>
      </c>
      <c r="E2153" t="s">
        <v>15</v>
      </c>
      <c r="F2153" t="s">
        <v>16</v>
      </c>
      <c r="G2153" t="s">
        <v>17</v>
      </c>
      <c r="H2153" t="s">
        <v>18</v>
      </c>
      <c r="I2153">
        <v>66.040999999999997</v>
      </c>
      <c r="J2153" t="s">
        <v>19</v>
      </c>
      <c r="K2153" t="s">
        <v>2962</v>
      </c>
      <c r="L2153" t="s">
        <v>21</v>
      </c>
    </row>
    <row r="2154" spans="1:12">
      <c r="A2154" t="s">
        <v>2963</v>
      </c>
      <c r="B2154" t="s">
        <v>2925</v>
      </c>
      <c r="C2154" t="s">
        <v>14</v>
      </c>
      <c r="D2154">
        <v>1997</v>
      </c>
      <c r="E2154" t="s">
        <v>23</v>
      </c>
      <c r="F2154" t="s">
        <v>24</v>
      </c>
      <c r="G2154" t="s">
        <v>25</v>
      </c>
      <c r="H2154" t="s">
        <v>26</v>
      </c>
      <c r="I2154">
        <v>199278000</v>
      </c>
      <c r="J2154" t="s">
        <v>27</v>
      </c>
      <c r="K2154" t="s">
        <v>2962</v>
      </c>
      <c r="L2154" t="s">
        <v>21</v>
      </c>
    </row>
    <row r="2155" spans="1:12">
      <c r="A2155" t="s">
        <v>2964</v>
      </c>
      <c r="B2155" t="s">
        <v>2925</v>
      </c>
      <c r="C2155" t="s">
        <v>14</v>
      </c>
      <c r="D2155">
        <v>1997</v>
      </c>
      <c r="E2155" t="s">
        <v>29</v>
      </c>
      <c r="F2155" t="s">
        <v>30</v>
      </c>
      <c r="G2155" t="s">
        <v>31</v>
      </c>
      <c r="H2155" t="s">
        <v>32</v>
      </c>
      <c r="I2155">
        <v>3119.335603</v>
      </c>
      <c r="J2155" t="s">
        <v>33</v>
      </c>
      <c r="K2155" t="s">
        <v>2962</v>
      </c>
      <c r="L2155" t="s">
        <v>21</v>
      </c>
    </row>
    <row r="2156" spans="1:12">
      <c r="A2156" t="s">
        <v>2965</v>
      </c>
      <c r="B2156" t="s">
        <v>2925</v>
      </c>
      <c r="C2156" t="s">
        <v>14</v>
      </c>
      <c r="D2156">
        <v>2002</v>
      </c>
      <c r="E2156" t="s">
        <v>15</v>
      </c>
      <c r="F2156" t="s">
        <v>16</v>
      </c>
      <c r="G2156" t="s">
        <v>17</v>
      </c>
      <c r="H2156" t="s">
        <v>18</v>
      </c>
      <c r="I2156">
        <v>68.587999999999994</v>
      </c>
      <c r="J2156" t="s">
        <v>19</v>
      </c>
      <c r="K2156" t="s">
        <v>2966</v>
      </c>
      <c r="L2156" t="s">
        <v>21</v>
      </c>
    </row>
    <row r="2157" spans="1:12">
      <c r="A2157" t="s">
        <v>2967</v>
      </c>
      <c r="B2157" t="s">
        <v>2925</v>
      </c>
      <c r="C2157" t="s">
        <v>14</v>
      </c>
      <c r="D2157">
        <v>2002</v>
      </c>
      <c r="E2157" t="s">
        <v>23</v>
      </c>
      <c r="F2157" t="s">
        <v>24</v>
      </c>
      <c r="G2157" t="s">
        <v>25</v>
      </c>
      <c r="H2157" t="s">
        <v>26</v>
      </c>
      <c r="I2157">
        <v>211060000</v>
      </c>
      <c r="J2157" t="s">
        <v>27</v>
      </c>
      <c r="K2157" t="s">
        <v>2966</v>
      </c>
      <c r="L2157" t="s">
        <v>21</v>
      </c>
    </row>
    <row r="2158" spans="1:12">
      <c r="A2158" t="s">
        <v>2968</v>
      </c>
      <c r="B2158" t="s">
        <v>2925</v>
      </c>
      <c r="C2158" t="s">
        <v>14</v>
      </c>
      <c r="D2158">
        <v>2002</v>
      </c>
      <c r="E2158" t="s">
        <v>29</v>
      </c>
      <c r="F2158" t="s">
        <v>30</v>
      </c>
      <c r="G2158" t="s">
        <v>31</v>
      </c>
      <c r="H2158" t="s">
        <v>32</v>
      </c>
      <c r="I2158">
        <v>2873.9128700000001</v>
      </c>
      <c r="J2158" t="s">
        <v>33</v>
      </c>
      <c r="K2158" t="s">
        <v>2966</v>
      </c>
      <c r="L2158" t="s">
        <v>21</v>
      </c>
    </row>
    <row r="2159" spans="1:12">
      <c r="A2159" t="s">
        <v>2969</v>
      </c>
      <c r="B2159" t="s">
        <v>2925</v>
      </c>
      <c r="C2159" t="s">
        <v>14</v>
      </c>
      <c r="D2159">
        <v>2007</v>
      </c>
      <c r="E2159" t="s">
        <v>15</v>
      </c>
      <c r="F2159" t="s">
        <v>16</v>
      </c>
      <c r="G2159" t="s">
        <v>17</v>
      </c>
      <c r="H2159" t="s">
        <v>18</v>
      </c>
      <c r="I2159">
        <v>70.650000000000006</v>
      </c>
      <c r="J2159" t="s">
        <v>19</v>
      </c>
      <c r="K2159" t="s">
        <v>2970</v>
      </c>
      <c r="L2159" t="s">
        <v>21</v>
      </c>
    </row>
    <row r="2160" spans="1:12">
      <c r="A2160" t="s">
        <v>2971</v>
      </c>
      <c r="B2160" t="s">
        <v>2925</v>
      </c>
      <c r="C2160" t="s">
        <v>14</v>
      </c>
      <c r="D2160">
        <v>2007</v>
      </c>
      <c r="E2160" t="s">
        <v>23</v>
      </c>
      <c r="F2160" t="s">
        <v>24</v>
      </c>
      <c r="G2160" t="s">
        <v>25</v>
      </c>
      <c r="H2160" t="s">
        <v>26</v>
      </c>
      <c r="I2160">
        <v>223547000</v>
      </c>
      <c r="J2160" t="s">
        <v>27</v>
      </c>
      <c r="K2160" t="s">
        <v>2970</v>
      </c>
      <c r="L2160" t="s">
        <v>21</v>
      </c>
    </row>
    <row r="2161" spans="1:12">
      <c r="A2161" t="s">
        <v>2972</v>
      </c>
      <c r="B2161" t="s">
        <v>2925</v>
      </c>
      <c r="C2161" t="s">
        <v>14</v>
      </c>
      <c r="D2161">
        <v>2007</v>
      </c>
      <c r="E2161" t="s">
        <v>29</v>
      </c>
      <c r="F2161" t="s">
        <v>30</v>
      </c>
      <c r="G2161" t="s">
        <v>31</v>
      </c>
      <c r="H2161" t="s">
        <v>32</v>
      </c>
      <c r="I2161">
        <v>3540.6515639999998</v>
      </c>
      <c r="J2161" t="s">
        <v>33</v>
      </c>
      <c r="K2161" t="s">
        <v>2970</v>
      </c>
      <c r="L2161" t="s">
        <v>21</v>
      </c>
    </row>
    <row r="2162" spans="1:12">
      <c r="A2162" t="s">
        <v>2973</v>
      </c>
      <c r="B2162" t="s">
        <v>2974</v>
      </c>
      <c r="C2162" t="s">
        <v>14</v>
      </c>
      <c r="D2162">
        <v>1952</v>
      </c>
      <c r="E2162" t="s">
        <v>15</v>
      </c>
      <c r="F2162" t="s">
        <v>16</v>
      </c>
      <c r="G2162" t="s">
        <v>17</v>
      </c>
      <c r="H2162" t="s">
        <v>18</v>
      </c>
      <c r="I2162">
        <v>44.869</v>
      </c>
      <c r="J2162" t="s">
        <v>19</v>
      </c>
      <c r="K2162" t="s">
        <v>2975</v>
      </c>
      <c r="L2162" t="s">
        <v>21</v>
      </c>
    </row>
    <row r="2163" spans="1:12">
      <c r="A2163" t="s">
        <v>2976</v>
      </c>
      <c r="B2163" t="s">
        <v>2974</v>
      </c>
      <c r="C2163" t="s">
        <v>14</v>
      </c>
      <c r="D2163">
        <v>1952</v>
      </c>
      <c r="E2163" t="s">
        <v>23</v>
      </c>
      <c r="F2163" t="s">
        <v>24</v>
      </c>
      <c r="G2163" t="s">
        <v>25</v>
      </c>
      <c r="H2163" t="s">
        <v>26</v>
      </c>
      <c r="I2163">
        <v>17272000</v>
      </c>
      <c r="J2163" t="s">
        <v>27</v>
      </c>
      <c r="K2163" t="s">
        <v>2975</v>
      </c>
      <c r="L2163" t="s">
        <v>21</v>
      </c>
    </row>
    <row r="2164" spans="1:12">
      <c r="A2164" t="s">
        <v>2977</v>
      </c>
      <c r="B2164" t="s">
        <v>2974</v>
      </c>
      <c r="C2164" t="s">
        <v>14</v>
      </c>
      <c r="D2164">
        <v>1952</v>
      </c>
      <c r="E2164" t="s">
        <v>29</v>
      </c>
      <c r="F2164" t="s">
        <v>30</v>
      </c>
      <c r="G2164" t="s">
        <v>31</v>
      </c>
      <c r="H2164" t="s">
        <v>32</v>
      </c>
      <c r="I2164">
        <v>3035.3260019999998</v>
      </c>
      <c r="J2164" t="s">
        <v>33</v>
      </c>
      <c r="K2164" t="s">
        <v>2975</v>
      </c>
      <c r="L2164" t="s">
        <v>21</v>
      </c>
    </row>
    <row r="2165" spans="1:12">
      <c r="A2165" t="s">
        <v>2978</v>
      </c>
      <c r="B2165" t="s">
        <v>2974</v>
      </c>
      <c r="C2165" t="s">
        <v>14</v>
      </c>
      <c r="D2165">
        <v>1957</v>
      </c>
      <c r="E2165" t="s">
        <v>15</v>
      </c>
      <c r="F2165" t="s">
        <v>16</v>
      </c>
      <c r="G2165" t="s">
        <v>17</v>
      </c>
      <c r="H2165" t="s">
        <v>18</v>
      </c>
      <c r="I2165">
        <v>47.180999999999997</v>
      </c>
      <c r="J2165" t="s">
        <v>19</v>
      </c>
      <c r="K2165" t="s">
        <v>2979</v>
      </c>
      <c r="L2165" t="s">
        <v>21</v>
      </c>
    </row>
    <row r="2166" spans="1:12">
      <c r="A2166" t="s">
        <v>2980</v>
      </c>
      <c r="B2166" t="s">
        <v>2974</v>
      </c>
      <c r="C2166" t="s">
        <v>14</v>
      </c>
      <c r="D2166">
        <v>1957</v>
      </c>
      <c r="E2166" t="s">
        <v>23</v>
      </c>
      <c r="F2166" t="s">
        <v>24</v>
      </c>
      <c r="G2166" t="s">
        <v>25</v>
      </c>
      <c r="H2166" t="s">
        <v>26</v>
      </c>
      <c r="I2166">
        <v>19792000</v>
      </c>
      <c r="J2166" t="s">
        <v>27</v>
      </c>
      <c r="K2166" t="s">
        <v>2979</v>
      </c>
      <c r="L2166" t="s">
        <v>21</v>
      </c>
    </row>
    <row r="2167" spans="1:12">
      <c r="A2167" t="s">
        <v>2981</v>
      </c>
      <c r="B2167" t="s">
        <v>2974</v>
      </c>
      <c r="C2167" t="s">
        <v>14</v>
      </c>
      <c r="D2167">
        <v>1957</v>
      </c>
      <c r="E2167" t="s">
        <v>29</v>
      </c>
      <c r="F2167" t="s">
        <v>30</v>
      </c>
      <c r="G2167" t="s">
        <v>31</v>
      </c>
      <c r="H2167" t="s">
        <v>32</v>
      </c>
      <c r="I2167">
        <v>3290.2576429999999</v>
      </c>
      <c r="J2167" t="s">
        <v>33</v>
      </c>
      <c r="K2167" t="s">
        <v>2979</v>
      </c>
      <c r="L2167" t="s">
        <v>21</v>
      </c>
    </row>
    <row r="2168" spans="1:12">
      <c r="A2168" t="s">
        <v>2982</v>
      </c>
      <c r="B2168" t="s">
        <v>2974</v>
      </c>
      <c r="C2168" t="s">
        <v>14</v>
      </c>
      <c r="D2168">
        <v>1962</v>
      </c>
      <c r="E2168" t="s">
        <v>15</v>
      </c>
      <c r="F2168" t="s">
        <v>16</v>
      </c>
      <c r="G2168" t="s">
        <v>17</v>
      </c>
      <c r="H2168" t="s">
        <v>18</v>
      </c>
      <c r="I2168">
        <v>49.325000000000003</v>
      </c>
      <c r="J2168" t="s">
        <v>19</v>
      </c>
      <c r="K2168" t="s">
        <v>2983</v>
      </c>
      <c r="L2168" t="s">
        <v>21</v>
      </c>
    </row>
    <row r="2169" spans="1:12">
      <c r="A2169" t="s">
        <v>2984</v>
      </c>
      <c r="B2169" t="s">
        <v>2974</v>
      </c>
      <c r="C2169" t="s">
        <v>14</v>
      </c>
      <c r="D2169">
        <v>1962</v>
      </c>
      <c r="E2169" t="s">
        <v>23</v>
      </c>
      <c r="F2169" t="s">
        <v>24</v>
      </c>
      <c r="G2169" t="s">
        <v>25</v>
      </c>
      <c r="H2169" t="s">
        <v>26</v>
      </c>
      <c r="I2169">
        <v>22874000</v>
      </c>
      <c r="J2169" t="s">
        <v>27</v>
      </c>
      <c r="K2169" t="s">
        <v>2983</v>
      </c>
      <c r="L2169" t="s">
        <v>21</v>
      </c>
    </row>
    <row r="2170" spans="1:12">
      <c r="A2170" t="s">
        <v>2985</v>
      </c>
      <c r="B2170" t="s">
        <v>2974</v>
      </c>
      <c r="C2170" t="s">
        <v>14</v>
      </c>
      <c r="D2170">
        <v>1962</v>
      </c>
      <c r="E2170" t="s">
        <v>29</v>
      </c>
      <c r="F2170" t="s">
        <v>30</v>
      </c>
      <c r="G2170" t="s">
        <v>31</v>
      </c>
      <c r="H2170" t="s">
        <v>32</v>
      </c>
      <c r="I2170">
        <v>4187.3298020000002</v>
      </c>
      <c r="J2170" t="s">
        <v>33</v>
      </c>
      <c r="K2170" t="s">
        <v>2983</v>
      </c>
      <c r="L2170" t="s">
        <v>21</v>
      </c>
    </row>
    <row r="2171" spans="1:12">
      <c r="A2171" t="s">
        <v>2986</v>
      </c>
      <c r="B2171" t="s">
        <v>2974</v>
      </c>
      <c r="C2171" t="s">
        <v>14</v>
      </c>
      <c r="D2171">
        <v>1967</v>
      </c>
      <c r="E2171" t="s">
        <v>15</v>
      </c>
      <c r="F2171" t="s">
        <v>16</v>
      </c>
      <c r="G2171" t="s">
        <v>17</v>
      </c>
      <c r="H2171" t="s">
        <v>18</v>
      </c>
      <c r="I2171">
        <v>52.469000000000001</v>
      </c>
      <c r="J2171" t="s">
        <v>19</v>
      </c>
      <c r="K2171" t="s">
        <v>2987</v>
      </c>
      <c r="L2171" t="s">
        <v>21</v>
      </c>
    </row>
    <row r="2172" spans="1:12">
      <c r="A2172" t="s">
        <v>2988</v>
      </c>
      <c r="B2172" t="s">
        <v>2974</v>
      </c>
      <c r="C2172" t="s">
        <v>14</v>
      </c>
      <c r="D2172">
        <v>1967</v>
      </c>
      <c r="E2172" t="s">
        <v>23</v>
      </c>
      <c r="F2172" t="s">
        <v>24</v>
      </c>
      <c r="G2172" t="s">
        <v>25</v>
      </c>
      <c r="H2172" t="s">
        <v>26</v>
      </c>
      <c r="I2172">
        <v>26538000</v>
      </c>
      <c r="J2172" t="s">
        <v>27</v>
      </c>
      <c r="K2172" t="s">
        <v>2987</v>
      </c>
      <c r="L2172" t="s">
        <v>21</v>
      </c>
    </row>
    <row r="2173" spans="1:12">
      <c r="A2173" t="s">
        <v>2989</v>
      </c>
      <c r="B2173" t="s">
        <v>2974</v>
      </c>
      <c r="C2173" t="s">
        <v>14</v>
      </c>
      <c r="D2173">
        <v>1967</v>
      </c>
      <c r="E2173" t="s">
        <v>29</v>
      </c>
      <c r="F2173" t="s">
        <v>30</v>
      </c>
      <c r="G2173" t="s">
        <v>31</v>
      </c>
      <c r="H2173" t="s">
        <v>32</v>
      </c>
      <c r="I2173">
        <v>5906.7318049999903</v>
      </c>
      <c r="J2173" t="s">
        <v>33</v>
      </c>
      <c r="K2173" t="s">
        <v>2987</v>
      </c>
      <c r="L2173" t="s">
        <v>21</v>
      </c>
    </row>
    <row r="2174" spans="1:12">
      <c r="A2174" t="s">
        <v>2990</v>
      </c>
      <c r="B2174" t="s">
        <v>2974</v>
      </c>
      <c r="C2174" t="s">
        <v>14</v>
      </c>
      <c r="D2174">
        <v>1972</v>
      </c>
      <c r="E2174" t="s">
        <v>15</v>
      </c>
      <c r="F2174" t="s">
        <v>16</v>
      </c>
      <c r="G2174" t="s">
        <v>17</v>
      </c>
      <c r="H2174" t="s">
        <v>18</v>
      </c>
      <c r="I2174">
        <v>55.234000000000002</v>
      </c>
      <c r="J2174" t="s">
        <v>19</v>
      </c>
      <c r="K2174" t="s">
        <v>2991</v>
      </c>
      <c r="L2174" t="s">
        <v>21</v>
      </c>
    </row>
    <row r="2175" spans="1:12">
      <c r="A2175" t="s">
        <v>2992</v>
      </c>
      <c r="B2175" t="s">
        <v>2974</v>
      </c>
      <c r="C2175" t="s">
        <v>14</v>
      </c>
      <c r="D2175">
        <v>1972</v>
      </c>
      <c r="E2175" t="s">
        <v>23</v>
      </c>
      <c r="F2175" t="s">
        <v>24</v>
      </c>
      <c r="G2175" t="s">
        <v>25</v>
      </c>
      <c r="H2175" t="s">
        <v>26</v>
      </c>
      <c r="I2175">
        <v>30614000</v>
      </c>
      <c r="J2175" t="s">
        <v>27</v>
      </c>
      <c r="K2175" t="s">
        <v>2991</v>
      </c>
      <c r="L2175" t="s">
        <v>21</v>
      </c>
    </row>
    <row r="2176" spans="1:12">
      <c r="A2176" t="s">
        <v>2993</v>
      </c>
      <c r="B2176" t="s">
        <v>2974</v>
      </c>
      <c r="C2176" t="s">
        <v>14</v>
      </c>
      <c r="D2176">
        <v>1972</v>
      </c>
      <c r="E2176" t="s">
        <v>29</v>
      </c>
      <c r="F2176" t="s">
        <v>30</v>
      </c>
      <c r="G2176" t="s">
        <v>31</v>
      </c>
      <c r="H2176" t="s">
        <v>32</v>
      </c>
      <c r="I2176">
        <v>9613.8186069999992</v>
      </c>
      <c r="J2176" t="s">
        <v>33</v>
      </c>
      <c r="K2176" t="s">
        <v>2991</v>
      </c>
      <c r="L2176" t="s">
        <v>21</v>
      </c>
    </row>
    <row r="2177" spans="1:12">
      <c r="A2177" t="s">
        <v>2994</v>
      </c>
      <c r="B2177" t="s">
        <v>2974</v>
      </c>
      <c r="C2177" t="s">
        <v>14</v>
      </c>
      <c r="D2177">
        <v>1977</v>
      </c>
      <c r="E2177" t="s">
        <v>15</v>
      </c>
      <c r="F2177" t="s">
        <v>16</v>
      </c>
      <c r="G2177" t="s">
        <v>17</v>
      </c>
      <c r="H2177" t="s">
        <v>18</v>
      </c>
      <c r="I2177">
        <v>57.701999999999998</v>
      </c>
      <c r="J2177" t="s">
        <v>19</v>
      </c>
      <c r="K2177" t="s">
        <v>2995</v>
      </c>
      <c r="L2177" t="s">
        <v>21</v>
      </c>
    </row>
    <row r="2178" spans="1:12">
      <c r="A2178" t="s">
        <v>2996</v>
      </c>
      <c r="B2178" t="s">
        <v>2974</v>
      </c>
      <c r="C2178" t="s">
        <v>14</v>
      </c>
      <c r="D2178">
        <v>1977</v>
      </c>
      <c r="E2178" t="s">
        <v>23</v>
      </c>
      <c r="F2178" t="s">
        <v>24</v>
      </c>
      <c r="G2178" t="s">
        <v>25</v>
      </c>
      <c r="H2178" t="s">
        <v>26</v>
      </c>
      <c r="I2178">
        <v>35480679</v>
      </c>
      <c r="J2178" t="s">
        <v>27</v>
      </c>
      <c r="K2178" t="s">
        <v>2995</v>
      </c>
      <c r="L2178" t="s">
        <v>21</v>
      </c>
    </row>
    <row r="2179" spans="1:12">
      <c r="A2179" t="s">
        <v>2997</v>
      </c>
      <c r="B2179" t="s">
        <v>2974</v>
      </c>
      <c r="C2179" t="s">
        <v>14</v>
      </c>
      <c r="D2179">
        <v>1977</v>
      </c>
      <c r="E2179" t="s">
        <v>29</v>
      </c>
      <c r="F2179" t="s">
        <v>30</v>
      </c>
      <c r="G2179" t="s">
        <v>31</v>
      </c>
      <c r="H2179" t="s">
        <v>32</v>
      </c>
      <c r="I2179">
        <v>11888.595079999999</v>
      </c>
      <c r="J2179" t="s">
        <v>33</v>
      </c>
      <c r="K2179" t="s">
        <v>2995</v>
      </c>
      <c r="L2179" t="s">
        <v>21</v>
      </c>
    </row>
    <row r="2180" spans="1:12">
      <c r="A2180" t="s">
        <v>2998</v>
      </c>
      <c r="B2180" t="s">
        <v>2974</v>
      </c>
      <c r="C2180" t="s">
        <v>14</v>
      </c>
      <c r="D2180">
        <v>1982</v>
      </c>
      <c r="E2180" t="s">
        <v>15</v>
      </c>
      <c r="F2180" t="s">
        <v>16</v>
      </c>
      <c r="G2180" t="s">
        <v>17</v>
      </c>
      <c r="H2180" t="s">
        <v>18</v>
      </c>
      <c r="I2180">
        <v>59.62</v>
      </c>
      <c r="J2180" t="s">
        <v>19</v>
      </c>
      <c r="K2180" t="s">
        <v>2999</v>
      </c>
      <c r="L2180" t="s">
        <v>21</v>
      </c>
    </row>
    <row r="2181" spans="1:12">
      <c r="A2181" t="s">
        <v>3000</v>
      </c>
      <c r="B2181" t="s">
        <v>2974</v>
      </c>
      <c r="C2181" t="s">
        <v>14</v>
      </c>
      <c r="D2181">
        <v>1982</v>
      </c>
      <c r="E2181" t="s">
        <v>23</v>
      </c>
      <c r="F2181" t="s">
        <v>24</v>
      </c>
      <c r="G2181" t="s">
        <v>25</v>
      </c>
      <c r="H2181" t="s">
        <v>26</v>
      </c>
      <c r="I2181">
        <v>43072751</v>
      </c>
      <c r="J2181" t="s">
        <v>27</v>
      </c>
      <c r="K2181" t="s">
        <v>2999</v>
      </c>
      <c r="L2181" t="s">
        <v>21</v>
      </c>
    </row>
    <row r="2182" spans="1:12">
      <c r="A2182" t="s">
        <v>3001</v>
      </c>
      <c r="B2182" t="s">
        <v>2974</v>
      </c>
      <c r="C2182" t="s">
        <v>14</v>
      </c>
      <c r="D2182">
        <v>1982</v>
      </c>
      <c r="E2182" t="s">
        <v>29</v>
      </c>
      <c r="F2182" t="s">
        <v>30</v>
      </c>
      <c r="G2182" t="s">
        <v>31</v>
      </c>
      <c r="H2182" t="s">
        <v>32</v>
      </c>
      <c r="I2182">
        <v>7608.3346019999999</v>
      </c>
      <c r="J2182" t="s">
        <v>33</v>
      </c>
      <c r="K2182" t="s">
        <v>2999</v>
      </c>
      <c r="L2182" t="s">
        <v>21</v>
      </c>
    </row>
    <row r="2183" spans="1:12">
      <c r="A2183" t="s">
        <v>3002</v>
      </c>
      <c r="B2183" t="s">
        <v>2974</v>
      </c>
      <c r="C2183" t="s">
        <v>14</v>
      </c>
      <c r="D2183">
        <v>1987</v>
      </c>
      <c r="E2183" t="s">
        <v>15</v>
      </c>
      <c r="F2183" t="s">
        <v>16</v>
      </c>
      <c r="G2183" t="s">
        <v>17</v>
      </c>
      <c r="H2183" t="s">
        <v>18</v>
      </c>
      <c r="I2183">
        <v>63.04</v>
      </c>
      <c r="J2183" t="s">
        <v>19</v>
      </c>
      <c r="K2183" t="s">
        <v>3003</v>
      </c>
      <c r="L2183" t="s">
        <v>21</v>
      </c>
    </row>
    <row r="2184" spans="1:12">
      <c r="A2184" t="s">
        <v>3004</v>
      </c>
      <c r="B2184" t="s">
        <v>2974</v>
      </c>
      <c r="C2184" t="s">
        <v>14</v>
      </c>
      <c r="D2184">
        <v>1987</v>
      </c>
      <c r="E2184" t="s">
        <v>23</v>
      </c>
      <c r="F2184" t="s">
        <v>24</v>
      </c>
      <c r="G2184" t="s">
        <v>25</v>
      </c>
      <c r="H2184" t="s">
        <v>26</v>
      </c>
      <c r="I2184">
        <v>51889696</v>
      </c>
      <c r="J2184" t="s">
        <v>27</v>
      </c>
      <c r="K2184" t="s">
        <v>3003</v>
      </c>
      <c r="L2184" t="s">
        <v>21</v>
      </c>
    </row>
    <row r="2185" spans="1:12">
      <c r="A2185" t="s">
        <v>3005</v>
      </c>
      <c r="B2185" t="s">
        <v>2974</v>
      </c>
      <c r="C2185" t="s">
        <v>14</v>
      </c>
      <c r="D2185">
        <v>1987</v>
      </c>
      <c r="E2185" t="s">
        <v>29</v>
      </c>
      <c r="F2185" t="s">
        <v>30</v>
      </c>
      <c r="G2185" t="s">
        <v>31</v>
      </c>
      <c r="H2185" t="s">
        <v>32</v>
      </c>
      <c r="I2185">
        <v>6642.8813710000004</v>
      </c>
      <c r="J2185" t="s">
        <v>33</v>
      </c>
      <c r="K2185" t="s">
        <v>3003</v>
      </c>
      <c r="L2185" t="s">
        <v>21</v>
      </c>
    </row>
    <row r="2186" spans="1:12">
      <c r="A2186" t="s">
        <v>3006</v>
      </c>
      <c r="B2186" t="s">
        <v>2974</v>
      </c>
      <c r="C2186" t="s">
        <v>14</v>
      </c>
      <c r="D2186">
        <v>1992</v>
      </c>
      <c r="E2186" t="s">
        <v>15</v>
      </c>
      <c r="F2186" t="s">
        <v>16</v>
      </c>
      <c r="G2186" t="s">
        <v>17</v>
      </c>
      <c r="H2186" t="s">
        <v>18</v>
      </c>
      <c r="I2186">
        <v>65.742000000000004</v>
      </c>
      <c r="J2186" t="s">
        <v>19</v>
      </c>
      <c r="K2186" t="s">
        <v>3007</v>
      </c>
      <c r="L2186" t="s">
        <v>21</v>
      </c>
    </row>
    <row r="2187" spans="1:12">
      <c r="A2187" t="s">
        <v>3008</v>
      </c>
      <c r="B2187" t="s">
        <v>2974</v>
      </c>
      <c r="C2187" t="s">
        <v>14</v>
      </c>
      <c r="D2187">
        <v>1992</v>
      </c>
      <c r="E2187" t="s">
        <v>23</v>
      </c>
      <c r="F2187" t="s">
        <v>24</v>
      </c>
      <c r="G2187" t="s">
        <v>25</v>
      </c>
      <c r="H2187" t="s">
        <v>26</v>
      </c>
      <c r="I2187">
        <v>60397973</v>
      </c>
      <c r="J2187" t="s">
        <v>27</v>
      </c>
      <c r="K2187" t="s">
        <v>3007</v>
      </c>
      <c r="L2187" t="s">
        <v>21</v>
      </c>
    </row>
    <row r="2188" spans="1:12">
      <c r="A2188" t="s">
        <v>3009</v>
      </c>
      <c r="B2188" t="s">
        <v>2974</v>
      </c>
      <c r="C2188" t="s">
        <v>14</v>
      </c>
      <c r="D2188">
        <v>1992</v>
      </c>
      <c r="E2188" t="s">
        <v>29</v>
      </c>
      <c r="F2188" t="s">
        <v>30</v>
      </c>
      <c r="G2188" t="s">
        <v>31</v>
      </c>
      <c r="H2188" t="s">
        <v>32</v>
      </c>
      <c r="I2188">
        <v>7235.6531879999902</v>
      </c>
      <c r="J2188" t="s">
        <v>33</v>
      </c>
      <c r="K2188" t="s">
        <v>3007</v>
      </c>
      <c r="L2188" t="s">
        <v>21</v>
      </c>
    </row>
    <row r="2189" spans="1:12">
      <c r="A2189" t="s">
        <v>3010</v>
      </c>
      <c r="B2189" t="s">
        <v>2974</v>
      </c>
      <c r="C2189" t="s">
        <v>14</v>
      </c>
      <c r="D2189">
        <v>1997</v>
      </c>
      <c r="E2189" t="s">
        <v>15</v>
      </c>
      <c r="F2189" t="s">
        <v>16</v>
      </c>
      <c r="G2189" t="s">
        <v>17</v>
      </c>
      <c r="H2189" t="s">
        <v>18</v>
      </c>
      <c r="I2189">
        <v>68.042000000000002</v>
      </c>
      <c r="J2189" t="s">
        <v>19</v>
      </c>
      <c r="K2189" t="s">
        <v>3011</v>
      </c>
      <c r="L2189" t="s">
        <v>21</v>
      </c>
    </row>
    <row r="2190" spans="1:12">
      <c r="A2190" t="s">
        <v>3012</v>
      </c>
      <c r="B2190" t="s">
        <v>2974</v>
      </c>
      <c r="C2190" t="s">
        <v>14</v>
      </c>
      <c r="D2190">
        <v>1997</v>
      </c>
      <c r="E2190" t="s">
        <v>23</v>
      </c>
      <c r="F2190" t="s">
        <v>24</v>
      </c>
      <c r="G2190" t="s">
        <v>25</v>
      </c>
      <c r="H2190" t="s">
        <v>26</v>
      </c>
      <c r="I2190">
        <v>63327987</v>
      </c>
      <c r="J2190" t="s">
        <v>27</v>
      </c>
      <c r="K2190" t="s">
        <v>3011</v>
      </c>
      <c r="L2190" t="s">
        <v>21</v>
      </c>
    </row>
    <row r="2191" spans="1:12">
      <c r="A2191" t="s">
        <v>3013</v>
      </c>
      <c r="B2191" t="s">
        <v>2974</v>
      </c>
      <c r="C2191" t="s">
        <v>14</v>
      </c>
      <c r="D2191">
        <v>1997</v>
      </c>
      <c r="E2191" t="s">
        <v>29</v>
      </c>
      <c r="F2191" t="s">
        <v>30</v>
      </c>
      <c r="G2191" t="s">
        <v>31</v>
      </c>
      <c r="H2191" t="s">
        <v>32</v>
      </c>
      <c r="I2191">
        <v>8263.5903010000002</v>
      </c>
      <c r="J2191" t="s">
        <v>33</v>
      </c>
      <c r="K2191" t="s">
        <v>3011</v>
      </c>
      <c r="L2191" t="s">
        <v>21</v>
      </c>
    </row>
    <row r="2192" spans="1:12">
      <c r="A2192" t="s">
        <v>3014</v>
      </c>
      <c r="B2192" t="s">
        <v>2974</v>
      </c>
      <c r="C2192" t="s">
        <v>14</v>
      </c>
      <c r="D2192">
        <v>2002</v>
      </c>
      <c r="E2192" t="s">
        <v>15</v>
      </c>
      <c r="F2192" t="s">
        <v>16</v>
      </c>
      <c r="G2192" t="s">
        <v>17</v>
      </c>
      <c r="H2192" t="s">
        <v>18</v>
      </c>
      <c r="I2192">
        <v>69.450999999999993</v>
      </c>
      <c r="J2192" t="s">
        <v>19</v>
      </c>
      <c r="K2192" t="s">
        <v>3015</v>
      </c>
      <c r="L2192" t="s">
        <v>21</v>
      </c>
    </row>
    <row r="2193" spans="1:12">
      <c r="A2193" t="s">
        <v>3016</v>
      </c>
      <c r="B2193" t="s">
        <v>2974</v>
      </c>
      <c r="C2193" t="s">
        <v>14</v>
      </c>
      <c r="D2193">
        <v>2002</v>
      </c>
      <c r="E2193" t="s">
        <v>23</v>
      </c>
      <c r="F2193" t="s">
        <v>24</v>
      </c>
      <c r="G2193" t="s">
        <v>25</v>
      </c>
      <c r="H2193" t="s">
        <v>26</v>
      </c>
      <c r="I2193">
        <v>66907826</v>
      </c>
      <c r="J2193" t="s">
        <v>27</v>
      </c>
      <c r="K2193" t="s">
        <v>3015</v>
      </c>
      <c r="L2193" t="s">
        <v>21</v>
      </c>
    </row>
    <row r="2194" spans="1:12">
      <c r="A2194" t="s">
        <v>3017</v>
      </c>
      <c r="B2194" t="s">
        <v>2974</v>
      </c>
      <c r="C2194" t="s">
        <v>14</v>
      </c>
      <c r="D2194">
        <v>2002</v>
      </c>
      <c r="E2194" t="s">
        <v>29</v>
      </c>
      <c r="F2194" t="s">
        <v>30</v>
      </c>
      <c r="G2194" t="s">
        <v>31</v>
      </c>
      <c r="H2194" t="s">
        <v>32</v>
      </c>
      <c r="I2194">
        <v>9240.7619749999994</v>
      </c>
      <c r="J2194" t="s">
        <v>33</v>
      </c>
      <c r="K2194" t="s">
        <v>3015</v>
      </c>
      <c r="L2194" t="s">
        <v>21</v>
      </c>
    </row>
    <row r="2195" spans="1:12">
      <c r="A2195" t="s">
        <v>3018</v>
      </c>
      <c r="B2195" t="s">
        <v>2974</v>
      </c>
      <c r="C2195" t="s">
        <v>14</v>
      </c>
      <c r="D2195">
        <v>2007</v>
      </c>
      <c r="E2195" t="s">
        <v>15</v>
      </c>
      <c r="F2195" t="s">
        <v>16</v>
      </c>
      <c r="G2195" t="s">
        <v>17</v>
      </c>
      <c r="H2195" t="s">
        <v>18</v>
      </c>
      <c r="I2195">
        <v>70.963999999999999</v>
      </c>
      <c r="J2195" t="s">
        <v>19</v>
      </c>
      <c r="K2195" t="s">
        <v>3019</v>
      </c>
      <c r="L2195" t="s">
        <v>21</v>
      </c>
    </row>
    <row r="2196" spans="1:12">
      <c r="A2196" t="s">
        <v>3020</v>
      </c>
      <c r="B2196" t="s">
        <v>2974</v>
      </c>
      <c r="C2196" t="s">
        <v>14</v>
      </c>
      <c r="D2196">
        <v>2007</v>
      </c>
      <c r="E2196" t="s">
        <v>23</v>
      </c>
      <c r="F2196" t="s">
        <v>24</v>
      </c>
      <c r="G2196" t="s">
        <v>25</v>
      </c>
      <c r="H2196" t="s">
        <v>26</v>
      </c>
      <c r="I2196">
        <v>69453570</v>
      </c>
      <c r="J2196" t="s">
        <v>27</v>
      </c>
      <c r="K2196" t="s">
        <v>3019</v>
      </c>
      <c r="L2196" t="s">
        <v>21</v>
      </c>
    </row>
    <row r="2197" spans="1:12">
      <c r="A2197" t="s">
        <v>3021</v>
      </c>
      <c r="B2197" t="s">
        <v>2974</v>
      </c>
      <c r="C2197" t="s">
        <v>14</v>
      </c>
      <c r="D2197">
        <v>2007</v>
      </c>
      <c r="E2197" t="s">
        <v>29</v>
      </c>
      <c r="F2197" t="s">
        <v>30</v>
      </c>
      <c r="G2197" t="s">
        <v>31</v>
      </c>
      <c r="H2197" t="s">
        <v>32</v>
      </c>
      <c r="I2197">
        <v>11605.71449</v>
      </c>
      <c r="J2197" t="s">
        <v>33</v>
      </c>
      <c r="K2197" t="s">
        <v>3019</v>
      </c>
      <c r="L2197" t="s">
        <v>21</v>
      </c>
    </row>
    <row r="2198" spans="1:12">
      <c r="A2198" t="s">
        <v>3022</v>
      </c>
      <c r="B2198" t="s">
        <v>3023</v>
      </c>
      <c r="C2198" t="s">
        <v>14</v>
      </c>
      <c r="D2198">
        <v>1952</v>
      </c>
      <c r="E2198" t="s">
        <v>15</v>
      </c>
      <c r="F2198" t="s">
        <v>16</v>
      </c>
      <c r="G2198" t="s">
        <v>17</v>
      </c>
      <c r="H2198" t="s">
        <v>18</v>
      </c>
      <c r="I2198">
        <v>45.32</v>
      </c>
      <c r="J2198" t="s">
        <v>19</v>
      </c>
      <c r="K2198" t="s">
        <v>3024</v>
      </c>
      <c r="L2198" t="s">
        <v>21</v>
      </c>
    </row>
    <row r="2199" spans="1:12">
      <c r="A2199" t="s">
        <v>3025</v>
      </c>
      <c r="B2199" t="s">
        <v>3023</v>
      </c>
      <c r="C2199" t="s">
        <v>14</v>
      </c>
      <c r="D2199">
        <v>1952</v>
      </c>
      <c r="E2199" t="s">
        <v>23</v>
      </c>
      <c r="F2199" t="s">
        <v>24</v>
      </c>
      <c r="G2199" t="s">
        <v>25</v>
      </c>
      <c r="H2199" t="s">
        <v>26</v>
      </c>
      <c r="I2199">
        <v>5441766</v>
      </c>
      <c r="J2199" t="s">
        <v>27</v>
      </c>
      <c r="K2199" t="s">
        <v>3024</v>
      </c>
      <c r="L2199" t="s">
        <v>21</v>
      </c>
    </row>
    <row r="2200" spans="1:12">
      <c r="A2200" t="s">
        <v>3026</v>
      </c>
      <c r="B2200" t="s">
        <v>3023</v>
      </c>
      <c r="C2200" t="s">
        <v>14</v>
      </c>
      <c r="D2200">
        <v>1952</v>
      </c>
      <c r="E2200" t="s">
        <v>29</v>
      </c>
      <c r="F2200" t="s">
        <v>30</v>
      </c>
      <c r="G2200" t="s">
        <v>31</v>
      </c>
      <c r="H2200" t="s">
        <v>32</v>
      </c>
      <c r="I2200">
        <v>4129.7660560000004</v>
      </c>
      <c r="J2200" t="s">
        <v>33</v>
      </c>
      <c r="K2200" t="s">
        <v>3024</v>
      </c>
      <c r="L2200" t="s">
        <v>21</v>
      </c>
    </row>
    <row r="2201" spans="1:12">
      <c r="A2201" t="s">
        <v>3027</v>
      </c>
      <c r="B2201" t="s">
        <v>3023</v>
      </c>
      <c r="C2201" t="s">
        <v>14</v>
      </c>
      <c r="D2201">
        <v>1957</v>
      </c>
      <c r="E2201" t="s">
        <v>15</v>
      </c>
      <c r="F2201" t="s">
        <v>16</v>
      </c>
      <c r="G2201" t="s">
        <v>17</v>
      </c>
      <c r="H2201" t="s">
        <v>18</v>
      </c>
      <c r="I2201">
        <v>48.436999999999998</v>
      </c>
      <c r="J2201" t="s">
        <v>19</v>
      </c>
      <c r="K2201" t="s">
        <v>3028</v>
      </c>
      <c r="L2201" t="s">
        <v>21</v>
      </c>
    </row>
    <row r="2202" spans="1:12">
      <c r="A2202" t="s">
        <v>3029</v>
      </c>
      <c r="B2202" t="s">
        <v>3023</v>
      </c>
      <c r="C2202" t="s">
        <v>14</v>
      </c>
      <c r="D2202">
        <v>1957</v>
      </c>
      <c r="E2202" t="s">
        <v>23</v>
      </c>
      <c r="F2202" t="s">
        <v>24</v>
      </c>
      <c r="G2202" t="s">
        <v>25</v>
      </c>
      <c r="H2202" t="s">
        <v>26</v>
      </c>
      <c r="I2202">
        <v>6248643</v>
      </c>
      <c r="J2202" t="s">
        <v>27</v>
      </c>
      <c r="K2202" t="s">
        <v>3028</v>
      </c>
      <c r="L2202" t="s">
        <v>21</v>
      </c>
    </row>
    <row r="2203" spans="1:12">
      <c r="A2203" t="s">
        <v>3030</v>
      </c>
      <c r="B2203" t="s">
        <v>3023</v>
      </c>
      <c r="C2203" t="s">
        <v>14</v>
      </c>
      <c r="D2203">
        <v>1957</v>
      </c>
      <c r="E2203" t="s">
        <v>29</v>
      </c>
      <c r="F2203" t="s">
        <v>30</v>
      </c>
      <c r="G2203" t="s">
        <v>31</v>
      </c>
      <c r="H2203" t="s">
        <v>32</v>
      </c>
      <c r="I2203">
        <v>6229.3335619999998</v>
      </c>
      <c r="J2203" t="s">
        <v>33</v>
      </c>
      <c r="K2203" t="s">
        <v>3028</v>
      </c>
      <c r="L2203" t="s">
        <v>21</v>
      </c>
    </row>
    <row r="2204" spans="1:12">
      <c r="A2204" t="s">
        <v>3031</v>
      </c>
      <c r="B2204" t="s">
        <v>3023</v>
      </c>
      <c r="C2204" t="s">
        <v>14</v>
      </c>
      <c r="D2204">
        <v>1962</v>
      </c>
      <c r="E2204" t="s">
        <v>15</v>
      </c>
      <c r="F2204" t="s">
        <v>16</v>
      </c>
      <c r="G2204" t="s">
        <v>17</v>
      </c>
      <c r="H2204" t="s">
        <v>18</v>
      </c>
      <c r="I2204">
        <v>51.457000000000001</v>
      </c>
      <c r="J2204" t="s">
        <v>19</v>
      </c>
      <c r="K2204" t="s">
        <v>3032</v>
      </c>
      <c r="L2204" t="s">
        <v>21</v>
      </c>
    </row>
    <row r="2205" spans="1:12">
      <c r="A2205" t="s">
        <v>3033</v>
      </c>
      <c r="B2205" t="s">
        <v>3023</v>
      </c>
      <c r="C2205" t="s">
        <v>14</v>
      </c>
      <c r="D2205">
        <v>1962</v>
      </c>
      <c r="E2205" t="s">
        <v>23</v>
      </c>
      <c r="F2205" t="s">
        <v>24</v>
      </c>
      <c r="G2205" t="s">
        <v>25</v>
      </c>
      <c r="H2205" t="s">
        <v>26</v>
      </c>
      <c r="I2205">
        <v>7240260</v>
      </c>
      <c r="J2205" t="s">
        <v>27</v>
      </c>
      <c r="K2205" t="s">
        <v>3032</v>
      </c>
      <c r="L2205" t="s">
        <v>21</v>
      </c>
    </row>
    <row r="2206" spans="1:12">
      <c r="A2206" t="s">
        <v>3034</v>
      </c>
      <c r="B2206" t="s">
        <v>3023</v>
      </c>
      <c r="C2206" t="s">
        <v>14</v>
      </c>
      <c r="D2206">
        <v>1962</v>
      </c>
      <c r="E2206" t="s">
        <v>29</v>
      </c>
      <c r="F2206" t="s">
        <v>30</v>
      </c>
      <c r="G2206" t="s">
        <v>31</v>
      </c>
      <c r="H2206" t="s">
        <v>32</v>
      </c>
      <c r="I2206">
        <v>8341.7378150000004</v>
      </c>
      <c r="J2206" t="s">
        <v>33</v>
      </c>
      <c r="K2206" t="s">
        <v>3032</v>
      </c>
      <c r="L2206" t="s">
        <v>21</v>
      </c>
    </row>
    <row r="2207" spans="1:12">
      <c r="A2207" t="s">
        <v>3035</v>
      </c>
      <c r="B2207" t="s">
        <v>3023</v>
      </c>
      <c r="C2207" t="s">
        <v>14</v>
      </c>
      <c r="D2207">
        <v>1967</v>
      </c>
      <c r="E2207" t="s">
        <v>15</v>
      </c>
      <c r="F2207" t="s">
        <v>16</v>
      </c>
      <c r="G2207" t="s">
        <v>17</v>
      </c>
      <c r="H2207" t="s">
        <v>18</v>
      </c>
      <c r="I2207">
        <v>54.459000000000003</v>
      </c>
      <c r="J2207" t="s">
        <v>19</v>
      </c>
      <c r="K2207" t="s">
        <v>3036</v>
      </c>
      <c r="L2207" t="s">
        <v>21</v>
      </c>
    </row>
    <row r="2208" spans="1:12">
      <c r="A2208" t="s">
        <v>3037</v>
      </c>
      <c r="B2208" t="s">
        <v>3023</v>
      </c>
      <c r="C2208" t="s">
        <v>14</v>
      </c>
      <c r="D2208">
        <v>1967</v>
      </c>
      <c r="E2208" t="s">
        <v>23</v>
      </c>
      <c r="F2208" t="s">
        <v>24</v>
      </c>
      <c r="G2208" t="s">
        <v>25</v>
      </c>
      <c r="H2208" t="s">
        <v>26</v>
      </c>
      <c r="I2208">
        <v>8519282</v>
      </c>
      <c r="J2208" t="s">
        <v>27</v>
      </c>
      <c r="K2208" t="s">
        <v>3036</v>
      </c>
      <c r="L2208" t="s">
        <v>21</v>
      </c>
    </row>
    <row r="2209" spans="1:12">
      <c r="A2209" t="s">
        <v>3038</v>
      </c>
      <c r="B2209" t="s">
        <v>3023</v>
      </c>
      <c r="C2209" t="s">
        <v>14</v>
      </c>
      <c r="D2209">
        <v>1967</v>
      </c>
      <c r="E2209" t="s">
        <v>29</v>
      </c>
      <c r="F2209" t="s">
        <v>30</v>
      </c>
      <c r="G2209" t="s">
        <v>31</v>
      </c>
      <c r="H2209" t="s">
        <v>32</v>
      </c>
      <c r="I2209">
        <v>8931.4598110000006</v>
      </c>
      <c r="J2209" t="s">
        <v>33</v>
      </c>
      <c r="K2209" t="s">
        <v>3036</v>
      </c>
      <c r="L2209" t="s">
        <v>21</v>
      </c>
    </row>
    <row r="2210" spans="1:12">
      <c r="A2210" t="s">
        <v>3039</v>
      </c>
      <c r="B2210" t="s">
        <v>3023</v>
      </c>
      <c r="C2210" t="s">
        <v>14</v>
      </c>
      <c r="D2210">
        <v>1972</v>
      </c>
      <c r="E2210" t="s">
        <v>15</v>
      </c>
      <c r="F2210" t="s">
        <v>16</v>
      </c>
      <c r="G2210" t="s">
        <v>17</v>
      </c>
      <c r="H2210" t="s">
        <v>18</v>
      </c>
      <c r="I2210">
        <v>56.95</v>
      </c>
      <c r="J2210" t="s">
        <v>19</v>
      </c>
      <c r="K2210" t="s">
        <v>3040</v>
      </c>
      <c r="L2210" t="s">
        <v>21</v>
      </c>
    </row>
    <row r="2211" spans="1:12">
      <c r="A2211" t="s">
        <v>3041</v>
      </c>
      <c r="B2211" t="s">
        <v>3023</v>
      </c>
      <c r="C2211" t="s">
        <v>14</v>
      </c>
      <c r="D2211">
        <v>1972</v>
      </c>
      <c r="E2211" t="s">
        <v>23</v>
      </c>
      <c r="F2211" t="s">
        <v>24</v>
      </c>
      <c r="G2211" t="s">
        <v>25</v>
      </c>
      <c r="H2211" t="s">
        <v>26</v>
      </c>
      <c r="I2211">
        <v>10061506</v>
      </c>
      <c r="J2211" t="s">
        <v>27</v>
      </c>
      <c r="K2211" t="s">
        <v>3040</v>
      </c>
      <c r="L2211" t="s">
        <v>21</v>
      </c>
    </row>
    <row r="2212" spans="1:12">
      <c r="A2212" t="s">
        <v>3042</v>
      </c>
      <c r="B2212" t="s">
        <v>3023</v>
      </c>
      <c r="C2212" t="s">
        <v>14</v>
      </c>
      <c r="D2212">
        <v>1972</v>
      </c>
      <c r="E2212" t="s">
        <v>29</v>
      </c>
      <c r="F2212" t="s">
        <v>30</v>
      </c>
      <c r="G2212" t="s">
        <v>31</v>
      </c>
      <c r="H2212" t="s">
        <v>32</v>
      </c>
      <c r="I2212">
        <v>9576.0375960000001</v>
      </c>
      <c r="J2212" t="s">
        <v>33</v>
      </c>
      <c r="K2212" t="s">
        <v>3040</v>
      </c>
      <c r="L2212" t="s">
        <v>21</v>
      </c>
    </row>
    <row r="2213" spans="1:12">
      <c r="A2213" t="s">
        <v>3043</v>
      </c>
      <c r="B2213" t="s">
        <v>3023</v>
      </c>
      <c r="C2213" t="s">
        <v>14</v>
      </c>
      <c r="D2213">
        <v>1977</v>
      </c>
      <c r="E2213" t="s">
        <v>15</v>
      </c>
      <c r="F2213" t="s">
        <v>16</v>
      </c>
      <c r="G2213" t="s">
        <v>17</v>
      </c>
      <c r="H2213" t="s">
        <v>18</v>
      </c>
      <c r="I2213">
        <v>60.412999999999997</v>
      </c>
      <c r="J2213" t="s">
        <v>19</v>
      </c>
      <c r="K2213" t="s">
        <v>3044</v>
      </c>
      <c r="L2213" t="s">
        <v>21</v>
      </c>
    </row>
    <row r="2214" spans="1:12">
      <c r="A2214" t="s">
        <v>3045</v>
      </c>
      <c r="B2214" t="s">
        <v>3023</v>
      </c>
      <c r="C2214" t="s">
        <v>14</v>
      </c>
      <c r="D2214">
        <v>1977</v>
      </c>
      <c r="E2214" t="s">
        <v>23</v>
      </c>
      <c r="F2214" t="s">
        <v>24</v>
      </c>
      <c r="G2214" t="s">
        <v>25</v>
      </c>
      <c r="H2214" t="s">
        <v>26</v>
      </c>
      <c r="I2214">
        <v>11882916</v>
      </c>
      <c r="J2214" t="s">
        <v>27</v>
      </c>
      <c r="K2214" t="s">
        <v>3044</v>
      </c>
      <c r="L2214" t="s">
        <v>21</v>
      </c>
    </row>
    <row r="2215" spans="1:12">
      <c r="A2215" t="s">
        <v>3046</v>
      </c>
      <c r="B2215" t="s">
        <v>3023</v>
      </c>
      <c r="C2215" t="s">
        <v>14</v>
      </c>
      <c r="D2215">
        <v>1977</v>
      </c>
      <c r="E2215" t="s">
        <v>29</v>
      </c>
      <c r="F2215" t="s">
        <v>30</v>
      </c>
      <c r="G2215" t="s">
        <v>31</v>
      </c>
      <c r="H2215" t="s">
        <v>32</v>
      </c>
      <c r="I2215">
        <v>14688.235070000001</v>
      </c>
      <c r="J2215" t="s">
        <v>33</v>
      </c>
      <c r="K2215" t="s">
        <v>3044</v>
      </c>
      <c r="L2215" t="s">
        <v>21</v>
      </c>
    </row>
    <row r="2216" spans="1:12">
      <c r="A2216" t="s">
        <v>3047</v>
      </c>
      <c r="B2216" t="s">
        <v>3023</v>
      </c>
      <c r="C2216" t="s">
        <v>14</v>
      </c>
      <c r="D2216">
        <v>1982</v>
      </c>
      <c r="E2216" t="s">
        <v>15</v>
      </c>
      <c r="F2216" t="s">
        <v>16</v>
      </c>
      <c r="G2216" t="s">
        <v>17</v>
      </c>
      <c r="H2216" t="s">
        <v>18</v>
      </c>
      <c r="I2216">
        <v>62.037999999999997</v>
      </c>
      <c r="J2216" t="s">
        <v>19</v>
      </c>
      <c r="K2216" t="s">
        <v>3048</v>
      </c>
      <c r="L2216" t="s">
        <v>21</v>
      </c>
    </row>
    <row r="2217" spans="1:12">
      <c r="A2217" t="s">
        <v>3049</v>
      </c>
      <c r="B2217" t="s">
        <v>3023</v>
      </c>
      <c r="C2217" t="s">
        <v>14</v>
      </c>
      <c r="D2217">
        <v>1982</v>
      </c>
      <c r="E2217" t="s">
        <v>23</v>
      </c>
      <c r="F2217" t="s">
        <v>24</v>
      </c>
      <c r="G2217" t="s">
        <v>25</v>
      </c>
      <c r="H2217" t="s">
        <v>26</v>
      </c>
      <c r="I2217">
        <v>14173318</v>
      </c>
      <c r="J2217" t="s">
        <v>27</v>
      </c>
      <c r="K2217" t="s">
        <v>3048</v>
      </c>
      <c r="L2217" t="s">
        <v>21</v>
      </c>
    </row>
    <row r="2218" spans="1:12">
      <c r="A2218" t="s">
        <v>3050</v>
      </c>
      <c r="B2218" t="s">
        <v>3023</v>
      </c>
      <c r="C2218" t="s">
        <v>14</v>
      </c>
      <c r="D2218">
        <v>1982</v>
      </c>
      <c r="E2218" t="s">
        <v>29</v>
      </c>
      <c r="F2218" t="s">
        <v>30</v>
      </c>
      <c r="G2218" t="s">
        <v>31</v>
      </c>
      <c r="H2218" t="s">
        <v>32</v>
      </c>
      <c r="I2218">
        <v>14517.90711</v>
      </c>
      <c r="J2218" t="s">
        <v>33</v>
      </c>
      <c r="K2218" t="s">
        <v>3048</v>
      </c>
      <c r="L2218" t="s">
        <v>21</v>
      </c>
    </row>
    <row r="2219" spans="1:12">
      <c r="A2219" t="s">
        <v>3051</v>
      </c>
      <c r="B2219" t="s">
        <v>3023</v>
      </c>
      <c r="C2219" t="s">
        <v>14</v>
      </c>
      <c r="D2219">
        <v>1987</v>
      </c>
      <c r="E2219" t="s">
        <v>15</v>
      </c>
      <c r="F2219" t="s">
        <v>16</v>
      </c>
      <c r="G2219" t="s">
        <v>17</v>
      </c>
      <c r="H2219" t="s">
        <v>18</v>
      </c>
      <c r="I2219">
        <v>65.043999999999997</v>
      </c>
      <c r="J2219" t="s">
        <v>19</v>
      </c>
      <c r="K2219" t="s">
        <v>3052</v>
      </c>
      <c r="L2219" t="s">
        <v>21</v>
      </c>
    </row>
    <row r="2220" spans="1:12">
      <c r="A2220" t="s">
        <v>3053</v>
      </c>
      <c r="B2220" t="s">
        <v>3023</v>
      </c>
      <c r="C2220" t="s">
        <v>14</v>
      </c>
      <c r="D2220">
        <v>1987</v>
      </c>
      <c r="E2220" t="s">
        <v>23</v>
      </c>
      <c r="F2220" t="s">
        <v>24</v>
      </c>
      <c r="G2220" t="s">
        <v>25</v>
      </c>
      <c r="H2220" t="s">
        <v>26</v>
      </c>
      <c r="I2220">
        <v>16543189</v>
      </c>
      <c r="J2220" t="s">
        <v>27</v>
      </c>
      <c r="K2220" t="s">
        <v>3052</v>
      </c>
      <c r="L2220" t="s">
        <v>21</v>
      </c>
    </row>
    <row r="2221" spans="1:12">
      <c r="A2221" t="s">
        <v>3054</v>
      </c>
      <c r="B2221" t="s">
        <v>3023</v>
      </c>
      <c r="C2221" t="s">
        <v>14</v>
      </c>
      <c r="D2221">
        <v>1987</v>
      </c>
      <c r="E2221" t="s">
        <v>29</v>
      </c>
      <c r="F2221" t="s">
        <v>30</v>
      </c>
      <c r="G2221" t="s">
        <v>31</v>
      </c>
      <c r="H2221" t="s">
        <v>32</v>
      </c>
      <c r="I2221">
        <v>11643.572679999999</v>
      </c>
      <c r="J2221" t="s">
        <v>33</v>
      </c>
      <c r="K2221" t="s">
        <v>3052</v>
      </c>
      <c r="L2221" t="s">
        <v>21</v>
      </c>
    </row>
    <row r="2222" spans="1:12">
      <c r="A2222" t="s">
        <v>3055</v>
      </c>
      <c r="B2222" t="s">
        <v>3023</v>
      </c>
      <c r="C2222" t="s">
        <v>14</v>
      </c>
      <c r="D2222">
        <v>1992</v>
      </c>
      <c r="E2222" t="s">
        <v>15</v>
      </c>
      <c r="F2222" t="s">
        <v>16</v>
      </c>
      <c r="G2222" t="s">
        <v>17</v>
      </c>
      <c r="H2222" t="s">
        <v>18</v>
      </c>
      <c r="I2222">
        <v>59.460999999999999</v>
      </c>
      <c r="J2222" t="s">
        <v>19</v>
      </c>
      <c r="K2222" t="s">
        <v>3056</v>
      </c>
      <c r="L2222" t="s">
        <v>21</v>
      </c>
    </row>
    <row r="2223" spans="1:12">
      <c r="A2223" t="s">
        <v>3057</v>
      </c>
      <c r="B2223" t="s">
        <v>3023</v>
      </c>
      <c r="C2223" t="s">
        <v>14</v>
      </c>
      <c r="D2223">
        <v>1992</v>
      </c>
      <c r="E2223" t="s">
        <v>23</v>
      </c>
      <c r="F2223" t="s">
        <v>24</v>
      </c>
      <c r="G2223" t="s">
        <v>25</v>
      </c>
      <c r="H2223" t="s">
        <v>26</v>
      </c>
      <c r="I2223">
        <v>17861905</v>
      </c>
      <c r="J2223" t="s">
        <v>27</v>
      </c>
      <c r="K2223" t="s">
        <v>3056</v>
      </c>
      <c r="L2223" t="s">
        <v>21</v>
      </c>
    </row>
    <row r="2224" spans="1:12">
      <c r="A2224" t="s">
        <v>3058</v>
      </c>
      <c r="B2224" t="s">
        <v>3023</v>
      </c>
      <c r="C2224" t="s">
        <v>14</v>
      </c>
      <c r="D2224">
        <v>1992</v>
      </c>
      <c r="E2224" t="s">
        <v>29</v>
      </c>
      <c r="F2224" t="s">
        <v>30</v>
      </c>
      <c r="G2224" t="s">
        <v>31</v>
      </c>
      <c r="H2224" t="s">
        <v>32</v>
      </c>
      <c r="I2224">
        <v>3745.6406870000001</v>
      </c>
      <c r="J2224" t="s">
        <v>33</v>
      </c>
      <c r="K2224" t="s">
        <v>3056</v>
      </c>
      <c r="L2224" t="s">
        <v>21</v>
      </c>
    </row>
    <row r="2225" spans="1:12">
      <c r="A2225" t="s">
        <v>3059</v>
      </c>
      <c r="B2225" t="s">
        <v>3023</v>
      </c>
      <c r="C2225" t="s">
        <v>14</v>
      </c>
      <c r="D2225">
        <v>1997</v>
      </c>
      <c r="E2225" t="s">
        <v>15</v>
      </c>
      <c r="F2225" t="s">
        <v>16</v>
      </c>
      <c r="G2225" t="s">
        <v>17</v>
      </c>
      <c r="H2225" t="s">
        <v>18</v>
      </c>
      <c r="I2225">
        <v>58.811</v>
      </c>
      <c r="J2225" t="s">
        <v>19</v>
      </c>
      <c r="K2225" t="s">
        <v>3060</v>
      </c>
      <c r="L2225" t="s">
        <v>21</v>
      </c>
    </row>
    <row r="2226" spans="1:12">
      <c r="A2226" t="s">
        <v>3061</v>
      </c>
      <c r="B2226" t="s">
        <v>3023</v>
      </c>
      <c r="C2226" t="s">
        <v>14</v>
      </c>
      <c r="D2226">
        <v>1997</v>
      </c>
      <c r="E2226" t="s">
        <v>23</v>
      </c>
      <c r="F2226" t="s">
        <v>24</v>
      </c>
      <c r="G2226" t="s">
        <v>25</v>
      </c>
      <c r="H2226" t="s">
        <v>26</v>
      </c>
      <c r="I2226">
        <v>20775703</v>
      </c>
      <c r="J2226" t="s">
        <v>27</v>
      </c>
      <c r="K2226" t="s">
        <v>3060</v>
      </c>
      <c r="L2226" t="s">
        <v>21</v>
      </c>
    </row>
    <row r="2227" spans="1:12">
      <c r="A2227" t="s">
        <v>3062</v>
      </c>
      <c r="B2227" t="s">
        <v>3023</v>
      </c>
      <c r="C2227" t="s">
        <v>14</v>
      </c>
      <c r="D2227">
        <v>1997</v>
      </c>
      <c r="E2227" t="s">
        <v>29</v>
      </c>
      <c r="F2227" t="s">
        <v>30</v>
      </c>
      <c r="G2227" t="s">
        <v>31</v>
      </c>
      <c r="H2227" t="s">
        <v>32</v>
      </c>
      <c r="I2227">
        <v>3076.239795</v>
      </c>
      <c r="J2227" t="s">
        <v>33</v>
      </c>
      <c r="K2227" t="s">
        <v>3060</v>
      </c>
      <c r="L2227" t="s">
        <v>21</v>
      </c>
    </row>
    <row r="2228" spans="1:12">
      <c r="A2228" t="s">
        <v>3063</v>
      </c>
      <c r="B2228" t="s">
        <v>3023</v>
      </c>
      <c r="C2228" t="s">
        <v>14</v>
      </c>
      <c r="D2228">
        <v>2002</v>
      </c>
      <c r="E2228" t="s">
        <v>15</v>
      </c>
      <c r="F2228" t="s">
        <v>16</v>
      </c>
      <c r="G2228" t="s">
        <v>17</v>
      </c>
      <c r="H2228" t="s">
        <v>18</v>
      </c>
      <c r="I2228">
        <v>57.045999999999999</v>
      </c>
      <c r="J2228" t="s">
        <v>19</v>
      </c>
      <c r="K2228" t="s">
        <v>3064</v>
      </c>
      <c r="L2228" t="s">
        <v>21</v>
      </c>
    </row>
    <row r="2229" spans="1:12">
      <c r="A2229" t="s">
        <v>3065</v>
      </c>
      <c r="B2229" t="s">
        <v>3023</v>
      </c>
      <c r="C2229" t="s">
        <v>14</v>
      </c>
      <c r="D2229">
        <v>2002</v>
      </c>
      <c r="E2229" t="s">
        <v>23</v>
      </c>
      <c r="F2229" t="s">
        <v>24</v>
      </c>
      <c r="G2229" t="s">
        <v>25</v>
      </c>
      <c r="H2229" t="s">
        <v>26</v>
      </c>
      <c r="I2229">
        <v>24001816</v>
      </c>
      <c r="J2229" t="s">
        <v>27</v>
      </c>
      <c r="K2229" t="s">
        <v>3064</v>
      </c>
      <c r="L2229" t="s">
        <v>21</v>
      </c>
    </row>
    <row r="2230" spans="1:12">
      <c r="A2230" t="s">
        <v>3066</v>
      </c>
      <c r="B2230" t="s">
        <v>3023</v>
      </c>
      <c r="C2230" t="s">
        <v>14</v>
      </c>
      <c r="D2230">
        <v>2002</v>
      </c>
      <c r="E2230" t="s">
        <v>29</v>
      </c>
      <c r="F2230" t="s">
        <v>30</v>
      </c>
      <c r="G2230" t="s">
        <v>31</v>
      </c>
      <c r="H2230" t="s">
        <v>32</v>
      </c>
      <c r="I2230">
        <v>4390.7173119999998</v>
      </c>
      <c r="J2230" t="s">
        <v>33</v>
      </c>
      <c r="K2230" t="s">
        <v>3064</v>
      </c>
      <c r="L2230" t="s">
        <v>21</v>
      </c>
    </row>
    <row r="2231" spans="1:12">
      <c r="A2231" t="s">
        <v>3067</v>
      </c>
      <c r="B2231" t="s">
        <v>3023</v>
      </c>
      <c r="C2231" t="s">
        <v>14</v>
      </c>
      <c r="D2231">
        <v>2007</v>
      </c>
      <c r="E2231" t="s">
        <v>15</v>
      </c>
      <c r="F2231" t="s">
        <v>16</v>
      </c>
      <c r="G2231" t="s">
        <v>17</v>
      </c>
      <c r="H2231" t="s">
        <v>18</v>
      </c>
      <c r="I2231">
        <v>59.545000000000002</v>
      </c>
      <c r="J2231" t="s">
        <v>19</v>
      </c>
      <c r="K2231" t="s">
        <v>3068</v>
      </c>
      <c r="L2231" t="s">
        <v>21</v>
      </c>
    </row>
    <row r="2232" spans="1:12">
      <c r="A2232" t="s">
        <v>3069</v>
      </c>
      <c r="B2232" t="s">
        <v>3023</v>
      </c>
      <c r="C2232" t="s">
        <v>14</v>
      </c>
      <c r="D2232">
        <v>2007</v>
      </c>
      <c r="E2232" t="s">
        <v>23</v>
      </c>
      <c r="F2232" t="s">
        <v>24</v>
      </c>
      <c r="G2232" t="s">
        <v>25</v>
      </c>
      <c r="H2232" t="s">
        <v>26</v>
      </c>
      <c r="I2232">
        <v>27499638</v>
      </c>
      <c r="J2232" t="s">
        <v>27</v>
      </c>
      <c r="K2232" t="s">
        <v>3068</v>
      </c>
      <c r="L2232" t="s">
        <v>21</v>
      </c>
    </row>
    <row r="2233" spans="1:12">
      <c r="A2233" t="s">
        <v>3070</v>
      </c>
      <c r="B2233" t="s">
        <v>3023</v>
      </c>
      <c r="C2233" t="s">
        <v>14</v>
      </c>
      <c r="D2233">
        <v>2007</v>
      </c>
      <c r="E2233" t="s">
        <v>29</v>
      </c>
      <c r="F2233" t="s">
        <v>30</v>
      </c>
      <c r="G2233" t="s">
        <v>31</v>
      </c>
      <c r="H2233" t="s">
        <v>32</v>
      </c>
      <c r="I2233">
        <v>4471.0619059999999</v>
      </c>
      <c r="J2233" t="s">
        <v>33</v>
      </c>
      <c r="K2233" t="s">
        <v>3068</v>
      </c>
      <c r="L2233" t="s">
        <v>21</v>
      </c>
    </row>
    <row r="2234" spans="1:12">
      <c r="A2234" t="s">
        <v>3071</v>
      </c>
      <c r="B2234" t="s">
        <v>3072</v>
      </c>
      <c r="C2234" t="s">
        <v>80</v>
      </c>
      <c r="D2234">
        <v>1952</v>
      </c>
      <c r="E2234" t="s">
        <v>15</v>
      </c>
      <c r="F2234" t="s">
        <v>16</v>
      </c>
      <c r="G2234" t="s">
        <v>17</v>
      </c>
      <c r="H2234" t="s">
        <v>18</v>
      </c>
      <c r="I2234">
        <v>66.91</v>
      </c>
      <c r="J2234" t="s">
        <v>19</v>
      </c>
      <c r="K2234" t="s">
        <v>3073</v>
      </c>
      <c r="L2234" t="s">
        <v>21</v>
      </c>
    </row>
    <row r="2235" spans="1:12">
      <c r="A2235" t="s">
        <v>3074</v>
      </c>
      <c r="B2235" t="s">
        <v>3072</v>
      </c>
      <c r="C2235" t="s">
        <v>80</v>
      </c>
      <c r="D2235">
        <v>1952</v>
      </c>
      <c r="E2235" t="s">
        <v>23</v>
      </c>
      <c r="F2235" t="s">
        <v>24</v>
      </c>
      <c r="G2235" t="s">
        <v>25</v>
      </c>
      <c r="H2235" t="s">
        <v>26</v>
      </c>
      <c r="I2235">
        <v>2952156</v>
      </c>
      <c r="J2235" t="s">
        <v>27</v>
      </c>
      <c r="K2235" t="s">
        <v>3073</v>
      </c>
      <c r="L2235" t="s">
        <v>21</v>
      </c>
    </row>
    <row r="2236" spans="1:12">
      <c r="A2236" t="s">
        <v>3075</v>
      </c>
      <c r="B2236" t="s">
        <v>3072</v>
      </c>
      <c r="C2236" t="s">
        <v>80</v>
      </c>
      <c r="D2236">
        <v>1952</v>
      </c>
      <c r="E2236" t="s">
        <v>29</v>
      </c>
      <c r="F2236" t="s">
        <v>30</v>
      </c>
      <c r="G2236" t="s">
        <v>31</v>
      </c>
      <c r="H2236" t="s">
        <v>32</v>
      </c>
      <c r="I2236">
        <v>5210.2803279999998</v>
      </c>
      <c r="J2236" t="s">
        <v>33</v>
      </c>
      <c r="K2236" t="s">
        <v>3073</v>
      </c>
      <c r="L2236" t="s">
        <v>21</v>
      </c>
    </row>
    <row r="2237" spans="1:12">
      <c r="A2237" t="s">
        <v>3076</v>
      </c>
      <c r="B2237" t="s">
        <v>3072</v>
      </c>
      <c r="C2237" t="s">
        <v>80</v>
      </c>
      <c r="D2237">
        <v>1957</v>
      </c>
      <c r="E2237" t="s">
        <v>15</v>
      </c>
      <c r="F2237" t="s">
        <v>16</v>
      </c>
      <c r="G2237" t="s">
        <v>17</v>
      </c>
      <c r="H2237" t="s">
        <v>18</v>
      </c>
      <c r="I2237">
        <v>68.900000000000006</v>
      </c>
      <c r="J2237" t="s">
        <v>19</v>
      </c>
      <c r="K2237" t="s">
        <v>3077</v>
      </c>
      <c r="L2237" t="s">
        <v>21</v>
      </c>
    </row>
    <row r="2238" spans="1:12">
      <c r="A2238" t="s">
        <v>3078</v>
      </c>
      <c r="B2238" t="s">
        <v>3072</v>
      </c>
      <c r="C2238" t="s">
        <v>80</v>
      </c>
      <c r="D2238">
        <v>1957</v>
      </c>
      <c r="E2238" t="s">
        <v>23</v>
      </c>
      <c r="F2238" t="s">
        <v>24</v>
      </c>
      <c r="G2238" t="s">
        <v>25</v>
      </c>
      <c r="H2238" t="s">
        <v>26</v>
      </c>
      <c r="I2238">
        <v>2878220</v>
      </c>
      <c r="J2238" t="s">
        <v>27</v>
      </c>
      <c r="K2238" t="s">
        <v>3077</v>
      </c>
      <c r="L2238" t="s">
        <v>21</v>
      </c>
    </row>
    <row r="2239" spans="1:12">
      <c r="A2239" t="s">
        <v>3079</v>
      </c>
      <c r="B2239" t="s">
        <v>3072</v>
      </c>
      <c r="C2239" t="s">
        <v>80</v>
      </c>
      <c r="D2239">
        <v>1957</v>
      </c>
      <c r="E2239" t="s">
        <v>29</v>
      </c>
      <c r="F2239" t="s">
        <v>30</v>
      </c>
      <c r="G2239" t="s">
        <v>31</v>
      </c>
      <c r="H2239" t="s">
        <v>32</v>
      </c>
      <c r="I2239">
        <v>5599.0778719999998</v>
      </c>
      <c r="J2239" t="s">
        <v>33</v>
      </c>
      <c r="K2239" t="s">
        <v>3077</v>
      </c>
      <c r="L2239" t="s">
        <v>21</v>
      </c>
    </row>
    <row r="2240" spans="1:12">
      <c r="A2240" t="s">
        <v>3080</v>
      </c>
      <c r="B2240" t="s">
        <v>3072</v>
      </c>
      <c r="C2240" t="s">
        <v>80</v>
      </c>
      <c r="D2240">
        <v>1962</v>
      </c>
      <c r="E2240" t="s">
        <v>15</v>
      </c>
      <c r="F2240" t="s">
        <v>16</v>
      </c>
      <c r="G2240" t="s">
        <v>17</v>
      </c>
      <c r="H2240" t="s">
        <v>18</v>
      </c>
      <c r="I2240">
        <v>70.290000000000006</v>
      </c>
      <c r="J2240" t="s">
        <v>19</v>
      </c>
      <c r="K2240" t="s">
        <v>3081</v>
      </c>
      <c r="L2240" t="s">
        <v>21</v>
      </c>
    </row>
    <row r="2241" spans="1:12">
      <c r="A2241" t="s">
        <v>3082</v>
      </c>
      <c r="B2241" t="s">
        <v>3072</v>
      </c>
      <c r="C2241" t="s">
        <v>80</v>
      </c>
      <c r="D2241">
        <v>1962</v>
      </c>
      <c r="E2241" t="s">
        <v>23</v>
      </c>
      <c r="F2241" t="s">
        <v>24</v>
      </c>
      <c r="G2241" t="s">
        <v>25</v>
      </c>
      <c r="H2241" t="s">
        <v>26</v>
      </c>
      <c r="I2241">
        <v>2830000</v>
      </c>
      <c r="J2241" t="s">
        <v>27</v>
      </c>
      <c r="K2241" t="s">
        <v>3081</v>
      </c>
      <c r="L2241" t="s">
        <v>21</v>
      </c>
    </row>
    <row r="2242" spans="1:12">
      <c r="A2242" t="s">
        <v>3083</v>
      </c>
      <c r="B2242" t="s">
        <v>3072</v>
      </c>
      <c r="C2242" t="s">
        <v>80</v>
      </c>
      <c r="D2242">
        <v>1962</v>
      </c>
      <c r="E2242" t="s">
        <v>29</v>
      </c>
      <c r="F2242" t="s">
        <v>30</v>
      </c>
      <c r="G2242" t="s">
        <v>31</v>
      </c>
      <c r="H2242" t="s">
        <v>32</v>
      </c>
      <c r="I2242">
        <v>6631.5973139999996</v>
      </c>
      <c r="J2242" t="s">
        <v>33</v>
      </c>
      <c r="K2242" t="s">
        <v>3081</v>
      </c>
      <c r="L2242" t="s">
        <v>21</v>
      </c>
    </row>
    <row r="2243" spans="1:12">
      <c r="A2243" t="s">
        <v>3084</v>
      </c>
      <c r="B2243" t="s">
        <v>3072</v>
      </c>
      <c r="C2243" t="s">
        <v>80</v>
      </c>
      <c r="D2243">
        <v>1967</v>
      </c>
      <c r="E2243" t="s">
        <v>15</v>
      </c>
      <c r="F2243" t="s">
        <v>16</v>
      </c>
      <c r="G2243" t="s">
        <v>17</v>
      </c>
      <c r="H2243" t="s">
        <v>18</v>
      </c>
      <c r="I2243">
        <v>71.08</v>
      </c>
      <c r="J2243" t="s">
        <v>19</v>
      </c>
      <c r="K2243" t="s">
        <v>3085</v>
      </c>
      <c r="L2243" t="s">
        <v>21</v>
      </c>
    </row>
    <row r="2244" spans="1:12">
      <c r="A2244" t="s">
        <v>3086</v>
      </c>
      <c r="B2244" t="s">
        <v>3072</v>
      </c>
      <c r="C2244" t="s">
        <v>80</v>
      </c>
      <c r="D2244">
        <v>1967</v>
      </c>
      <c r="E2244" t="s">
        <v>23</v>
      </c>
      <c r="F2244" t="s">
        <v>24</v>
      </c>
      <c r="G2244" t="s">
        <v>25</v>
      </c>
      <c r="H2244" t="s">
        <v>26</v>
      </c>
      <c r="I2244">
        <v>2900100</v>
      </c>
      <c r="J2244" t="s">
        <v>27</v>
      </c>
      <c r="K2244" t="s">
        <v>3085</v>
      </c>
      <c r="L2244" t="s">
        <v>21</v>
      </c>
    </row>
    <row r="2245" spans="1:12">
      <c r="A2245" t="s">
        <v>3087</v>
      </c>
      <c r="B2245" t="s">
        <v>3072</v>
      </c>
      <c r="C2245" t="s">
        <v>80</v>
      </c>
      <c r="D2245">
        <v>1967</v>
      </c>
      <c r="E2245" t="s">
        <v>29</v>
      </c>
      <c r="F2245" t="s">
        <v>30</v>
      </c>
      <c r="G2245" t="s">
        <v>31</v>
      </c>
      <c r="H2245" t="s">
        <v>32</v>
      </c>
      <c r="I2245">
        <v>7655.5689629999997</v>
      </c>
      <c r="J2245" t="s">
        <v>33</v>
      </c>
      <c r="K2245" t="s">
        <v>3085</v>
      </c>
      <c r="L2245" t="s">
        <v>21</v>
      </c>
    </row>
    <row r="2246" spans="1:12">
      <c r="A2246" t="s">
        <v>3088</v>
      </c>
      <c r="B2246" t="s">
        <v>3072</v>
      </c>
      <c r="C2246" t="s">
        <v>80</v>
      </c>
      <c r="D2246">
        <v>1972</v>
      </c>
      <c r="E2246" t="s">
        <v>15</v>
      </c>
      <c r="F2246" t="s">
        <v>16</v>
      </c>
      <c r="G2246" t="s">
        <v>17</v>
      </c>
      <c r="H2246" t="s">
        <v>18</v>
      </c>
      <c r="I2246">
        <v>71.28</v>
      </c>
      <c r="J2246" t="s">
        <v>19</v>
      </c>
      <c r="K2246" t="s">
        <v>3089</v>
      </c>
      <c r="L2246" t="s">
        <v>21</v>
      </c>
    </row>
    <row r="2247" spans="1:12">
      <c r="A2247" t="s">
        <v>3090</v>
      </c>
      <c r="B2247" t="s">
        <v>3072</v>
      </c>
      <c r="C2247" t="s">
        <v>80</v>
      </c>
      <c r="D2247">
        <v>1972</v>
      </c>
      <c r="E2247" t="s">
        <v>23</v>
      </c>
      <c r="F2247" t="s">
        <v>24</v>
      </c>
      <c r="G2247" t="s">
        <v>25</v>
      </c>
      <c r="H2247" t="s">
        <v>26</v>
      </c>
      <c r="I2247">
        <v>3024400</v>
      </c>
      <c r="J2247" t="s">
        <v>27</v>
      </c>
      <c r="K2247" t="s">
        <v>3089</v>
      </c>
      <c r="L2247" t="s">
        <v>21</v>
      </c>
    </row>
    <row r="2248" spans="1:12">
      <c r="A2248" t="s">
        <v>3091</v>
      </c>
      <c r="B2248" t="s">
        <v>3072</v>
      </c>
      <c r="C2248" t="s">
        <v>80</v>
      </c>
      <c r="D2248">
        <v>1972</v>
      </c>
      <c r="E2248" t="s">
        <v>29</v>
      </c>
      <c r="F2248" t="s">
        <v>30</v>
      </c>
      <c r="G2248" t="s">
        <v>31</v>
      </c>
      <c r="H2248" t="s">
        <v>32</v>
      </c>
      <c r="I2248">
        <v>9530.7728960000004</v>
      </c>
      <c r="J2248" t="s">
        <v>33</v>
      </c>
      <c r="K2248" t="s">
        <v>3089</v>
      </c>
      <c r="L2248" t="s">
        <v>21</v>
      </c>
    </row>
    <row r="2249" spans="1:12">
      <c r="A2249" t="s">
        <v>3092</v>
      </c>
      <c r="B2249" t="s">
        <v>3072</v>
      </c>
      <c r="C2249" t="s">
        <v>80</v>
      </c>
      <c r="D2249">
        <v>1977</v>
      </c>
      <c r="E2249" t="s">
        <v>15</v>
      </c>
      <c r="F2249" t="s">
        <v>16</v>
      </c>
      <c r="G2249" t="s">
        <v>17</v>
      </c>
      <c r="H2249" t="s">
        <v>18</v>
      </c>
      <c r="I2249">
        <v>72.03</v>
      </c>
      <c r="J2249" t="s">
        <v>19</v>
      </c>
      <c r="K2249" t="s">
        <v>3093</v>
      </c>
      <c r="L2249" t="s">
        <v>21</v>
      </c>
    </row>
    <row r="2250" spans="1:12">
      <c r="A2250" t="s">
        <v>3094</v>
      </c>
      <c r="B2250" t="s">
        <v>3072</v>
      </c>
      <c r="C2250" t="s">
        <v>80</v>
      </c>
      <c r="D2250">
        <v>1977</v>
      </c>
      <c r="E2250" t="s">
        <v>23</v>
      </c>
      <c r="F2250" t="s">
        <v>24</v>
      </c>
      <c r="G2250" t="s">
        <v>25</v>
      </c>
      <c r="H2250" t="s">
        <v>26</v>
      </c>
      <c r="I2250">
        <v>3271900</v>
      </c>
      <c r="J2250" t="s">
        <v>27</v>
      </c>
      <c r="K2250" t="s">
        <v>3093</v>
      </c>
      <c r="L2250" t="s">
        <v>21</v>
      </c>
    </row>
    <row r="2251" spans="1:12">
      <c r="A2251" t="s">
        <v>3095</v>
      </c>
      <c r="B2251" t="s">
        <v>3072</v>
      </c>
      <c r="C2251" t="s">
        <v>80</v>
      </c>
      <c r="D2251">
        <v>1977</v>
      </c>
      <c r="E2251" t="s">
        <v>29</v>
      </c>
      <c r="F2251" t="s">
        <v>30</v>
      </c>
      <c r="G2251" t="s">
        <v>31</v>
      </c>
      <c r="H2251" t="s">
        <v>32</v>
      </c>
      <c r="I2251">
        <v>11150.98113</v>
      </c>
      <c r="J2251" t="s">
        <v>33</v>
      </c>
      <c r="K2251" t="s">
        <v>3093</v>
      </c>
      <c r="L2251" t="s">
        <v>21</v>
      </c>
    </row>
    <row r="2252" spans="1:12">
      <c r="A2252" t="s">
        <v>3096</v>
      </c>
      <c r="B2252" t="s">
        <v>3072</v>
      </c>
      <c r="C2252" t="s">
        <v>80</v>
      </c>
      <c r="D2252">
        <v>1982</v>
      </c>
      <c r="E2252" t="s">
        <v>15</v>
      </c>
      <c r="F2252" t="s">
        <v>16</v>
      </c>
      <c r="G2252" t="s">
        <v>17</v>
      </c>
      <c r="H2252" t="s">
        <v>18</v>
      </c>
      <c r="I2252">
        <v>73.099999999999994</v>
      </c>
      <c r="J2252" t="s">
        <v>19</v>
      </c>
      <c r="K2252" t="s">
        <v>3097</v>
      </c>
      <c r="L2252" t="s">
        <v>21</v>
      </c>
    </row>
    <row r="2253" spans="1:12">
      <c r="A2253" t="s">
        <v>3098</v>
      </c>
      <c r="B2253" t="s">
        <v>3072</v>
      </c>
      <c r="C2253" t="s">
        <v>80</v>
      </c>
      <c r="D2253">
        <v>1982</v>
      </c>
      <c r="E2253" t="s">
        <v>23</v>
      </c>
      <c r="F2253" t="s">
        <v>24</v>
      </c>
      <c r="G2253" t="s">
        <v>25</v>
      </c>
      <c r="H2253" t="s">
        <v>26</v>
      </c>
      <c r="I2253">
        <v>3480000</v>
      </c>
      <c r="J2253" t="s">
        <v>27</v>
      </c>
      <c r="K2253" t="s">
        <v>3097</v>
      </c>
      <c r="L2253" t="s">
        <v>21</v>
      </c>
    </row>
    <row r="2254" spans="1:12">
      <c r="A2254" t="s">
        <v>3099</v>
      </c>
      <c r="B2254" t="s">
        <v>3072</v>
      </c>
      <c r="C2254" t="s">
        <v>80</v>
      </c>
      <c r="D2254">
        <v>1982</v>
      </c>
      <c r="E2254" t="s">
        <v>29</v>
      </c>
      <c r="F2254" t="s">
        <v>30</v>
      </c>
      <c r="G2254" t="s">
        <v>31</v>
      </c>
      <c r="H2254" t="s">
        <v>32</v>
      </c>
      <c r="I2254">
        <v>12618.32141</v>
      </c>
      <c r="J2254" t="s">
        <v>33</v>
      </c>
      <c r="K2254" t="s">
        <v>3097</v>
      </c>
      <c r="L2254" t="s">
        <v>21</v>
      </c>
    </row>
    <row r="2255" spans="1:12">
      <c r="A2255" t="s">
        <v>3100</v>
      </c>
      <c r="B2255" t="s">
        <v>3072</v>
      </c>
      <c r="C2255" t="s">
        <v>80</v>
      </c>
      <c r="D2255">
        <v>1987</v>
      </c>
      <c r="E2255" t="s">
        <v>15</v>
      </c>
      <c r="F2255" t="s">
        <v>16</v>
      </c>
      <c r="G2255" t="s">
        <v>17</v>
      </c>
      <c r="H2255" t="s">
        <v>18</v>
      </c>
      <c r="I2255">
        <v>74.36</v>
      </c>
      <c r="J2255" t="s">
        <v>19</v>
      </c>
      <c r="K2255" t="s">
        <v>3101</v>
      </c>
      <c r="L2255" t="s">
        <v>21</v>
      </c>
    </row>
    <row r="2256" spans="1:12">
      <c r="A2256" t="s">
        <v>3102</v>
      </c>
      <c r="B2256" t="s">
        <v>3072</v>
      </c>
      <c r="C2256" t="s">
        <v>80</v>
      </c>
      <c r="D2256">
        <v>1987</v>
      </c>
      <c r="E2256" t="s">
        <v>23</v>
      </c>
      <c r="F2256" t="s">
        <v>24</v>
      </c>
      <c r="G2256" t="s">
        <v>25</v>
      </c>
      <c r="H2256" t="s">
        <v>26</v>
      </c>
      <c r="I2256">
        <v>3539900</v>
      </c>
      <c r="J2256" t="s">
        <v>27</v>
      </c>
      <c r="K2256" t="s">
        <v>3101</v>
      </c>
      <c r="L2256" t="s">
        <v>21</v>
      </c>
    </row>
    <row r="2257" spans="1:12">
      <c r="A2257" t="s">
        <v>3103</v>
      </c>
      <c r="B2257" t="s">
        <v>3072</v>
      </c>
      <c r="C2257" t="s">
        <v>80</v>
      </c>
      <c r="D2257">
        <v>1987</v>
      </c>
      <c r="E2257" t="s">
        <v>29</v>
      </c>
      <c r="F2257" t="s">
        <v>30</v>
      </c>
      <c r="G2257" t="s">
        <v>31</v>
      </c>
      <c r="H2257" t="s">
        <v>32</v>
      </c>
      <c r="I2257">
        <v>13872.86652</v>
      </c>
      <c r="J2257" t="s">
        <v>33</v>
      </c>
      <c r="K2257" t="s">
        <v>3101</v>
      </c>
      <c r="L2257" t="s">
        <v>21</v>
      </c>
    </row>
    <row r="2258" spans="1:12">
      <c r="A2258" t="s">
        <v>3104</v>
      </c>
      <c r="B2258" t="s">
        <v>3072</v>
      </c>
      <c r="C2258" t="s">
        <v>80</v>
      </c>
      <c r="D2258">
        <v>1992</v>
      </c>
      <c r="E2258" t="s">
        <v>15</v>
      </c>
      <c r="F2258" t="s">
        <v>16</v>
      </c>
      <c r="G2258" t="s">
        <v>17</v>
      </c>
      <c r="H2258" t="s">
        <v>18</v>
      </c>
      <c r="I2258">
        <v>75.466999999999999</v>
      </c>
      <c r="J2258" t="s">
        <v>19</v>
      </c>
      <c r="K2258" t="s">
        <v>3105</v>
      </c>
      <c r="L2258" t="s">
        <v>21</v>
      </c>
    </row>
    <row r="2259" spans="1:12">
      <c r="A2259" t="s">
        <v>3106</v>
      </c>
      <c r="B2259" t="s">
        <v>3072</v>
      </c>
      <c r="C2259" t="s">
        <v>80</v>
      </c>
      <c r="D2259">
        <v>1992</v>
      </c>
      <c r="E2259" t="s">
        <v>23</v>
      </c>
      <c r="F2259" t="s">
        <v>24</v>
      </c>
      <c r="G2259" t="s">
        <v>25</v>
      </c>
      <c r="H2259" t="s">
        <v>26</v>
      </c>
      <c r="I2259">
        <v>3557761</v>
      </c>
      <c r="J2259" t="s">
        <v>27</v>
      </c>
      <c r="K2259" t="s">
        <v>3105</v>
      </c>
      <c r="L2259" t="s">
        <v>21</v>
      </c>
    </row>
    <row r="2260" spans="1:12">
      <c r="A2260" t="s">
        <v>3107</v>
      </c>
      <c r="B2260" t="s">
        <v>3072</v>
      </c>
      <c r="C2260" t="s">
        <v>80</v>
      </c>
      <c r="D2260">
        <v>1992</v>
      </c>
      <c r="E2260" t="s">
        <v>29</v>
      </c>
      <c r="F2260" t="s">
        <v>30</v>
      </c>
      <c r="G2260" t="s">
        <v>31</v>
      </c>
      <c r="H2260" t="s">
        <v>32</v>
      </c>
      <c r="I2260">
        <v>17558.815549999999</v>
      </c>
      <c r="J2260" t="s">
        <v>33</v>
      </c>
      <c r="K2260" t="s">
        <v>3105</v>
      </c>
      <c r="L2260" t="s">
        <v>21</v>
      </c>
    </row>
    <row r="2261" spans="1:12">
      <c r="A2261" t="s">
        <v>3108</v>
      </c>
      <c r="B2261" t="s">
        <v>3072</v>
      </c>
      <c r="C2261" t="s">
        <v>80</v>
      </c>
      <c r="D2261">
        <v>1997</v>
      </c>
      <c r="E2261" t="s">
        <v>15</v>
      </c>
      <c r="F2261" t="s">
        <v>16</v>
      </c>
      <c r="G2261" t="s">
        <v>17</v>
      </c>
      <c r="H2261" t="s">
        <v>18</v>
      </c>
      <c r="I2261">
        <v>76.122</v>
      </c>
      <c r="J2261" t="s">
        <v>19</v>
      </c>
      <c r="K2261" t="s">
        <v>3109</v>
      </c>
      <c r="L2261" t="s">
        <v>21</v>
      </c>
    </row>
    <row r="2262" spans="1:12">
      <c r="A2262" t="s">
        <v>3110</v>
      </c>
      <c r="B2262" t="s">
        <v>3072</v>
      </c>
      <c r="C2262" t="s">
        <v>80</v>
      </c>
      <c r="D2262">
        <v>1997</v>
      </c>
      <c r="E2262" t="s">
        <v>23</v>
      </c>
      <c r="F2262" t="s">
        <v>24</v>
      </c>
      <c r="G2262" t="s">
        <v>25</v>
      </c>
      <c r="H2262" t="s">
        <v>26</v>
      </c>
      <c r="I2262">
        <v>3667233</v>
      </c>
      <c r="J2262" t="s">
        <v>27</v>
      </c>
      <c r="K2262" t="s">
        <v>3109</v>
      </c>
      <c r="L2262" t="s">
        <v>21</v>
      </c>
    </row>
    <row r="2263" spans="1:12">
      <c r="A2263" t="s">
        <v>3111</v>
      </c>
      <c r="B2263" t="s">
        <v>3072</v>
      </c>
      <c r="C2263" t="s">
        <v>80</v>
      </c>
      <c r="D2263">
        <v>1997</v>
      </c>
      <c r="E2263" t="s">
        <v>29</v>
      </c>
      <c r="F2263" t="s">
        <v>30</v>
      </c>
      <c r="G2263" t="s">
        <v>31</v>
      </c>
      <c r="H2263" t="s">
        <v>32</v>
      </c>
      <c r="I2263">
        <v>24521.94713</v>
      </c>
      <c r="J2263" t="s">
        <v>33</v>
      </c>
      <c r="K2263" t="s">
        <v>3109</v>
      </c>
      <c r="L2263" t="s">
        <v>21</v>
      </c>
    </row>
    <row r="2264" spans="1:12">
      <c r="A2264" t="s">
        <v>3112</v>
      </c>
      <c r="B2264" t="s">
        <v>3072</v>
      </c>
      <c r="C2264" t="s">
        <v>80</v>
      </c>
      <c r="D2264">
        <v>2002</v>
      </c>
      <c r="E2264" t="s">
        <v>15</v>
      </c>
      <c r="F2264" t="s">
        <v>16</v>
      </c>
      <c r="G2264" t="s">
        <v>17</v>
      </c>
      <c r="H2264" t="s">
        <v>18</v>
      </c>
      <c r="I2264">
        <v>77.783000000000001</v>
      </c>
      <c r="J2264" t="s">
        <v>19</v>
      </c>
      <c r="K2264" t="s">
        <v>3113</v>
      </c>
      <c r="L2264" t="s">
        <v>21</v>
      </c>
    </row>
    <row r="2265" spans="1:12">
      <c r="A2265" t="s">
        <v>3114</v>
      </c>
      <c r="B2265" t="s">
        <v>3072</v>
      </c>
      <c r="C2265" t="s">
        <v>80</v>
      </c>
      <c r="D2265">
        <v>2002</v>
      </c>
      <c r="E2265" t="s">
        <v>23</v>
      </c>
      <c r="F2265" t="s">
        <v>24</v>
      </c>
      <c r="G2265" t="s">
        <v>25</v>
      </c>
      <c r="H2265" t="s">
        <v>26</v>
      </c>
      <c r="I2265">
        <v>3879155</v>
      </c>
      <c r="J2265" t="s">
        <v>27</v>
      </c>
      <c r="K2265" t="s">
        <v>3113</v>
      </c>
      <c r="L2265" t="s">
        <v>21</v>
      </c>
    </row>
    <row r="2266" spans="1:12">
      <c r="A2266" t="s">
        <v>3115</v>
      </c>
      <c r="B2266" t="s">
        <v>3072</v>
      </c>
      <c r="C2266" t="s">
        <v>80</v>
      </c>
      <c r="D2266">
        <v>2002</v>
      </c>
      <c r="E2266" t="s">
        <v>29</v>
      </c>
      <c r="F2266" t="s">
        <v>30</v>
      </c>
      <c r="G2266" t="s">
        <v>31</v>
      </c>
      <c r="H2266" t="s">
        <v>32</v>
      </c>
      <c r="I2266">
        <v>34077.04939</v>
      </c>
      <c r="J2266" t="s">
        <v>33</v>
      </c>
      <c r="K2266" t="s">
        <v>3113</v>
      </c>
      <c r="L2266" t="s">
        <v>21</v>
      </c>
    </row>
    <row r="2267" spans="1:12">
      <c r="A2267" t="s">
        <v>3116</v>
      </c>
      <c r="B2267" t="s">
        <v>3072</v>
      </c>
      <c r="C2267" t="s">
        <v>80</v>
      </c>
      <c r="D2267">
        <v>2007</v>
      </c>
      <c r="E2267" t="s">
        <v>15</v>
      </c>
      <c r="F2267" t="s">
        <v>16</v>
      </c>
      <c r="G2267" t="s">
        <v>17</v>
      </c>
      <c r="H2267" t="s">
        <v>18</v>
      </c>
      <c r="I2267">
        <v>78.885000000000005</v>
      </c>
      <c r="J2267" t="s">
        <v>19</v>
      </c>
      <c r="K2267" t="s">
        <v>3117</v>
      </c>
      <c r="L2267" t="s">
        <v>21</v>
      </c>
    </row>
    <row r="2268" spans="1:12">
      <c r="A2268" t="s">
        <v>3118</v>
      </c>
      <c r="B2268" t="s">
        <v>3072</v>
      </c>
      <c r="C2268" t="s">
        <v>80</v>
      </c>
      <c r="D2268">
        <v>2007</v>
      </c>
      <c r="E2268" t="s">
        <v>23</v>
      </c>
      <c r="F2268" t="s">
        <v>24</v>
      </c>
      <c r="G2268" t="s">
        <v>25</v>
      </c>
      <c r="H2268" t="s">
        <v>26</v>
      </c>
      <c r="I2268">
        <v>4109086</v>
      </c>
      <c r="J2268" t="s">
        <v>27</v>
      </c>
      <c r="K2268" t="s">
        <v>3117</v>
      </c>
      <c r="L2268" t="s">
        <v>21</v>
      </c>
    </row>
    <row r="2269" spans="1:12">
      <c r="A2269" t="s">
        <v>3119</v>
      </c>
      <c r="B2269" t="s">
        <v>3072</v>
      </c>
      <c r="C2269" t="s">
        <v>80</v>
      </c>
      <c r="D2269">
        <v>2007</v>
      </c>
      <c r="E2269" t="s">
        <v>29</v>
      </c>
      <c r="F2269" t="s">
        <v>30</v>
      </c>
      <c r="G2269" t="s">
        <v>31</v>
      </c>
      <c r="H2269" t="s">
        <v>32</v>
      </c>
      <c r="I2269">
        <v>40675.996350000001</v>
      </c>
      <c r="J2269" t="s">
        <v>33</v>
      </c>
      <c r="K2269" t="s">
        <v>3117</v>
      </c>
      <c r="L2269" t="s">
        <v>21</v>
      </c>
    </row>
    <row r="2270" spans="1:12">
      <c r="A2270" t="s">
        <v>3120</v>
      </c>
      <c r="B2270" t="s">
        <v>3121</v>
      </c>
      <c r="C2270" t="s">
        <v>14</v>
      </c>
      <c r="D2270">
        <v>1952</v>
      </c>
      <c r="E2270" t="s">
        <v>15</v>
      </c>
      <c r="F2270" t="s">
        <v>16</v>
      </c>
      <c r="G2270" t="s">
        <v>17</v>
      </c>
      <c r="H2270" t="s">
        <v>18</v>
      </c>
      <c r="I2270">
        <v>65.39</v>
      </c>
      <c r="J2270" t="s">
        <v>19</v>
      </c>
      <c r="K2270" t="s">
        <v>3122</v>
      </c>
      <c r="L2270" t="s">
        <v>21</v>
      </c>
    </row>
    <row r="2271" spans="1:12">
      <c r="A2271" t="s">
        <v>3123</v>
      </c>
      <c r="B2271" t="s">
        <v>3121</v>
      </c>
      <c r="C2271" t="s">
        <v>14</v>
      </c>
      <c r="D2271">
        <v>1952</v>
      </c>
      <c r="E2271" t="s">
        <v>23</v>
      </c>
      <c r="F2271" t="s">
        <v>24</v>
      </c>
      <c r="G2271" t="s">
        <v>25</v>
      </c>
      <c r="H2271" t="s">
        <v>26</v>
      </c>
      <c r="I2271">
        <v>1620914</v>
      </c>
      <c r="J2271" t="s">
        <v>27</v>
      </c>
      <c r="K2271" t="s">
        <v>3122</v>
      </c>
      <c r="L2271" t="s">
        <v>21</v>
      </c>
    </row>
    <row r="2272" spans="1:12">
      <c r="A2272" t="s">
        <v>3124</v>
      </c>
      <c r="B2272" t="s">
        <v>3121</v>
      </c>
      <c r="C2272" t="s">
        <v>14</v>
      </c>
      <c r="D2272">
        <v>1952</v>
      </c>
      <c r="E2272" t="s">
        <v>29</v>
      </c>
      <c r="F2272" t="s">
        <v>30</v>
      </c>
      <c r="G2272" t="s">
        <v>31</v>
      </c>
      <c r="H2272" t="s">
        <v>32</v>
      </c>
      <c r="I2272">
        <v>4086.5221280000001</v>
      </c>
      <c r="J2272" t="s">
        <v>33</v>
      </c>
      <c r="K2272" t="s">
        <v>3122</v>
      </c>
      <c r="L2272" t="s">
        <v>21</v>
      </c>
    </row>
    <row r="2273" spans="1:12">
      <c r="A2273" t="s">
        <v>3125</v>
      </c>
      <c r="B2273" t="s">
        <v>3121</v>
      </c>
      <c r="C2273" t="s">
        <v>14</v>
      </c>
      <c r="D2273">
        <v>1957</v>
      </c>
      <c r="E2273" t="s">
        <v>15</v>
      </c>
      <c r="F2273" t="s">
        <v>16</v>
      </c>
      <c r="G2273" t="s">
        <v>17</v>
      </c>
      <c r="H2273" t="s">
        <v>18</v>
      </c>
      <c r="I2273">
        <v>67.84</v>
      </c>
      <c r="J2273" t="s">
        <v>19</v>
      </c>
      <c r="K2273" t="s">
        <v>3126</v>
      </c>
      <c r="L2273" t="s">
        <v>21</v>
      </c>
    </row>
    <row r="2274" spans="1:12">
      <c r="A2274" t="s">
        <v>3127</v>
      </c>
      <c r="B2274" t="s">
        <v>3121</v>
      </c>
      <c r="C2274" t="s">
        <v>14</v>
      </c>
      <c r="D2274">
        <v>1957</v>
      </c>
      <c r="E2274" t="s">
        <v>23</v>
      </c>
      <c r="F2274" t="s">
        <v>24</v>
      </c>
      <c r="G2274" t="s">
        <v>25</v>
      </c>
      <c r="H2274" t="s">
        <v>26</v>
      </c>
      <c r="I2274">
        <v>1944401</v>
      </c>
      <c r="J2274" t="s">
        <v>27</v>
      </c>
      <c r="K2274" t="s">
        <v>3126</v>
      </c>
      <c r="L2274" t="s">
        <v>21</v>
      </c>
    </row>
    <row r="2275" spans="1:12">
      <c r="A2275" t="s">
        <v>3128</v>
      </c>
      <c r="B2275" t="s">
        <v>3121</v>
      </c>
      <c r="C2275" t="s">
        <v>14</v>
      </c>
      <c r="D2275">
        <v>1957</v>
      </c>
      <c r="E2275" t="s">
        <v>29</v>
      </c>
      <c r="F2275" t="s">
        <v>30</v>
      </c>
      <c r="G2275" t="s">
        <v>31</v>
      </c>
      <c r="H2275" t="s">
        <v>32</v>
      </c>
      <c r="I2275">
        <v>5385.2784510000001</v>
      </c>
      <c r="J2275" t="s">
        <v>33</v>
      </c>
      <c r="K2275" t="s">
        <v>3126</v>
      </c>
      <c r="L2275" t="s">
        <v>21</v>
      </c>
    </row>
    <row r="2276" spans="1:12">
      <c r="A2276" t="s">
        <v>3129</v>
      </c>
      <c r="B2276" t="s">
        <v>3121</v>
      </c>
      <c r="C2276" t="s">
        <v>14</v>
      </c>
      <c r="D2276">
        <v>1962</v>
      </c>
      <c r="E2276" t="s">
        <v>15</v>
      </c>
      <c r="F2276" t="s">
        <v>16</v>
      </c>
      <c r="G2276" t="s">
        <v>17</v>
      </c>
      <c r="H2276" t="s">
        <v>18</v>
      </c>
      <c r="I2276">
        <v>69.39</v>
      </c>
      <c r="J2276" t="s">
        <v>19</v>
      </c>
      <c r="K2276" t="s">
        <v>3130</v>
      </c>
      <c r="L2276" t="s">
        <v>21</v>
      </c>
    </row>
    <row r="2277" spans="1:12">
      <c r="A2277" t="s">
        <v>3131</v>
      </c>
      <c r="B2277" t="s">
        <v>3121</v>
      </c>
      <c r="C2277" t="s">
        <v>14</v>
      </c>
      <c r="D2277">
        <v>1962</v>
      </c>
      <c r="E2277" t="s">
        <v>23</v>
      </c>
      <c r="F2277" t="s">
        <v>24</v>
      </c>
      <c r="G2277" t="s">
        <v>25</v>
      </c>
      <c r="H2277" t="s">
        <v>26</v>
      </c>
      <c r="I2277">
        <v>2310904</v>
      </c>
      <c r="J2277" t="s">
        <v>27</v>
      </c>
      <c r="K2277" t="s">
        <v>3130</v>
      </c>
      <c r="L2277" t="s">
        <v>21</v>
      </c>
    </row>
    <row r="2278" spans="1:12">
      <c r="A2278" t="s">
        <v>3132</v>
      </c>
      <c r="B2278" t="s">
        <v>3121</v>
      </c>
      <c r="C2278" t="s">
        <v>14</v>
      </c>
      <c r="D2278">
        <v>1962</v>
      </c>
      <c r="E2278" t="s">
        <v>29</v>
      </c>
      <c r="F2278" t="s">
        <v>30</v>
      </c>
      <c r="G2278" t="s">
        <v>31</v>
      </c>
      <c r="H2278" t="s">
        <v>32</v>
      </c>
      <c r="I2278">
        <v>7105.6307059999999</v>
      </c>
      <c r="J2278" t="s">
        <v>33</v>
      </c>
      <c r="K2278" t="s">
        <v>3130</v>
      </c>
      <c r="L2278" t="s">
        <v>21</v>
      </c>
    </row>
    <row r="2279" spans="1:12">
      <c r="A2279" t="s">
        <v>3133</v>
      </c>
      <c r="B2279" t="s">
        <v>3121</v>
      </c>
      <c r="C2279" t="s">
        <v>14</v>
      </c>
      <c r="D2279">
        <v>1967</v>
      </c>
      <c r="E2279" t="s">
        <v>15</v>
      </c>
      <c r="F2279" t="s">
        <v>16</v>
      </c>
      <c r="G2279" t="s">
        <v>17</v>
      </c>
      <c r="H2279" t="s">
        <v>18</v>
      </c>
      <c r="I2279">
        <v>70.75</v>
      </c>
      <c r="J2279" t="s">
        <v>19</v>
      </c>
      <c r="K2279" t="s">
        <v>3134</v>
      </c>
      <c r="L2279" t="s">
        <v>21</v>
      </c>
    </row>
    <row r="2280" spans="1:12">
      <c r="A2280" t="s">
        <v>3135</v>
      </c>
      <c r="B2280" t="s">
        <v>3121</v>
      </c>
      <c r="C2280" t="s">
        <v>14</v>
      </c>
      <c r="D2280">
        <v>1967</v>
      </c>
      <c r="E2280" t="s">
        <v>23</v>
      </c>
      <c r="F2280" t="s">
        <v>24</v>
      </c>
      <c r="G2280" t="s">
        <v>25</v>
      </c>
      <c r="H2280" t="s">
        <v>26</v>
      </c>
      <c r="I2280">
        <v>2693585</v>
      </c>
      <c r="J2280" t="s">
        <v>27</v>
      </c>
      <c r="K2280" t="s">
        <v>3134</v>
      </c>
      <c r="L2280" t="s">
        <v>21</v>
      </c>
    </row>
    <row r="2281" spans="1:12">
      <c r="A2281" t="s">
        <v>3136</v>
      </c>
      <c r="B2281" t="s">
        <v>3121</v>
      </c>
      <c r="C2281" t="s">
        <v>14</v>
      </c>
      <c r="D2281">
        <v>1967</v>
      </c>
      <c r="E2281" t="s">
        <v>29</v>
      </c>
      <c r="F2281" t="s">
        <v>30</v>
      </c>
      <c r="G2281" t="s">
        <v>31</v>
      </c>
      <c r="H2281" t="s">
        <v>32</v>
      </c>
      <c r="I2281">
        <v>8393.7414040000003</v>
      </c>
      <c r="J2281" t="s">
        <v>33</v>
      </c>
      <c r="K2281" t="s">
        <v>3134</v>
      </c>
      <c r="L2281" t="s">
        <v>21</v>
      </c>
    </row>
    <row r="2282" spans="1:12">
      <c r="A2282" t="s">
        <v>3137</v>
      </c>
      <c r="B2282" t="s">
        <v>3121</v>
      </c>
      <c r="C2282" t="s">
        <v>14</v>
      </c>
      <c r="D2282">
        <v>1972</v>
      </c>
      <c r="E2282" t="s">
        <v>15</v>
      </c>
      <c r="F2282" t="s">
        <v>16</v>
      </c>
      <c r="G2282" t="s">
        <v>17</v>
      </c>
      <c r="H2282" t="s">
        <v>18</v>
      </c>
      <c r="I2282">
        <v>71.63</v>
      </c>
      <c r="J2282" t="s">
        <v>19</v>
      </c>
      <c r="K2282" t="s">
        <v>3138</v>
      </c>
      <c r="L2282" t="s">
        <v>21</v>
      </c>
    </row>
    <row r="2283" spans="1:12">
      <c r="A2283" t="s">
        <v>3139</v>
      </c>
      <c r="B2283" t="s">
        <v>3121</v>
      </c>
      <c r="C2283" t="s">
        <v>14</v>
      </c>
      <c r="D2283">
        <v>1972</v>
      </c>
      <c r="E2283" t="s">
        <v>23</v>
      </c>
      <c r="F2283" t="s">
        <v>24</v>
      </c>
      <c r="G2283" t="s">
        <v>25</v>
      </c>
      <c r="H2283" t="s">
        <v>26</v>
      </c>
      <c r="I2283">
        <v>3095893</v>
      </c>
      <c r="J2283" t="s">
        <v>27</v>
      </c>
      <c r="K2283" t="s">
        <v>3138</v>
      </c>
      <c r="L2283" t="s">
        <v>21</v>
      </c>
    </row>
    <row r="2284" spans="1:12">
      <c r="A2284" t="s">
        <v>3140</v>
      </c>
      <c r="B2284" t="s">
        <v>3121</v>
      </c>
      <c r="C2284" t="s">
        <v>14</v>
      </c>
      <c r="D2284">
        <v>1972</v>
      </c>
      <c r="E2284" t="s">
        <v>29</v>
      </c>
      <c r="F2284" t="s">
        <v>30</v>
      </c>
      <c r="G2284" t="s">
        <v>31</v>
      </c>
      <c r="H2284" t="s">
        <v>32</v>
      </c>
      <c r="I2284">
        <v>12786.93223</v>
      </c>
      <c r="J2284" t="s">
        <v>33</v>
      </c>
      <c r="K2284" t="s">
        <v>3138</v>
      </c>
      <c r="L2284" t="s">
        <v>21</v>
      </c>
    </row>
    <row r="2285" spans="1:12">
      <c r="A2285" t="s">
        <v>3141</v>
      </c>
      <c r="B2285" t="s">
        <v>3121</v>
      </c>
      <c r="C2285" t="s">
        <v>14</v>
      </c>
      <c r="D2285">
        <v>1977</v>
      </c>
      <c r="E2285" t="s">
        <v>15</v>
      </c>
      <c r="F2285" t="s">
        <v>16</v>
      </c>
      <c r="G2285" t="s">
        <v>17</v>
      </c>
      <c r="H2285" t="s">
        <v>18</v>
      </c>
      <c r="I2285">
        <v>73.06</v>
      </c>
      <c r="J2285" t="s">
        <v>19</v>
      </c>
      <c r="K2285" t="s">
        <v>3142</v>
      </c>
      <c r="L2285" t="s">
        <v>21</v>
      </c>
    </row>
    <row r="2286" spans="1:12">
      <c r="A2286" t="s">
        <v>3143</v>
      </c>
      <c r="B2286" t="s">
        <v>3121</v>
      </c>
      <c r="C2286" t="s">
        <v>14</v>
      </c>
      <c r="D2286">
        <v>1977</v>
      </c>
      <c r="E2286" t="s">
        <v>23</v>
      </c>
      <c r="F2286" t="s">
        <v>24</v>
      </c>
      <c r="G2286" t="s">
        <v>25</v>
      </c>
      <c r="H2286" t="s">
        <v>26</v>
      </c>
      <c r="I2286">
        <v>3495918</v>
      </c>
      <c r="J2286" t="s">
        <v>27</v>
      </c>
      <c r="K2286" t="s">
        <v>3142</v>
      </c>
      <c r="L2286" t="s">
        <v>21</v>
      </c>
    </row>
    <row r="2287" spans="1:12">
      <c r="A2287" t="s">
        <v>3144</v>
      </c>
      <c r="B2287" t="s">
        <v>3121</v>
      </c>
      <c r="C2287" t="s">
        <v>14</v>
      </c>
      <c r="D2287">
        <v>1977</v>
      </c>
      <c r="E2287" t="s">
        <v>29</v>
      </c>
      <c r="F2287" t="s">
        <v>30</v>
      </c>
      <c r="G2287" t="s">
        <v>31</v>
      </c>
      <c r="H2287" t="s">
        <v>32</v>
      </c>
      <c r="I2287">
        <v>13306.619210000001</v>
      </c>
      <c r="J2287" t="s">
        <v>33</v>
      </c>
      <c r="K2287" t="s">
        <v>3142</v>
      </c>
      <c r="L2287" t="s">
        <v>21</v>
      </c>
    </row>
    <row r="2288" spans="1:12">
      <c r="A2288" t="s">
        <v>3145</v>
      </c>
      <c r="B2288" t="s">
        <v>3121</v>
      </c>
      <c r="C2288" t="s">
        <v>14</v>
      </c>
      <c r="D2288">
        <v>1982</v>
      </c>
      <c r="E2288" t="s">
        <v>15</v>
      </c>
      <c r="F2288" t="s">
        <v>16</v>
      </c>
      <c r="G2288" t="s">
        <v>17</v>
      </c>
      <c r="H2288" t="s">
        <v>18</v>
      </c>
      <c r="I2288">
        <v>74.45</v>
      </c>
      <c r="J2288" t="s">
        <v>19</v>
      </c>
      <c r="K2288" t="s">
        <v>3146</v>
      </c>
      <c r="L2288" t="s">
        <v>21</v>
      </c>
    </row>
    <row r="2289" spans="1:12">
      <c r="A2289" t="s">
        <v>3147</v>
      </c>
      <c r="B2289" t="s">
        <v>3121</v>
      </c>
      <c r="C2289" t="s">
        <v>14</v>
      </c>
      <c r="D2289">
        <v>1982</v>
      </c>
      <c r="E2289" t="s">
        <v>23</v>
      </c>
      <c r="F2289" t="s">
        <v>24</v>
      </c>
      <c r="G2289" t="s">
        <v>25</v>
      </c>
      <c r="H2289" t="s">
        <v>26</v>
      </c>
      <c r="I2289">
        <v>3858421</v>
      </c>
      <c r="J2289" t="s">
        <v>27</v>
      </c>
      <c r="K2289" t="s">
        <v>3146</v>
      </c>
      <c r="L2289" t="s">
        <v>21</v>
      </c>
    </row>
    <row r="2290" spans="1:12">
      <c r="A2290" t="s">
        <v>3148</v>
      </c>
      <c r="B2290" t="s">
        <v>3121</v>
      </c>
      <c r="C2290" t="s">
        <v>14</v>
      </c>
      <c r="D2290">
        <v>1982</v>
      </c>
      <c r="E2290" t="s">
        <v>29</v>
      </c>
      <c r="F2290" t="s">
        <v>30</v>
      </c>
      <c r="G2290" t="s">
        <v>31</v>
      </c>
      <c r="H2290" t="s">
        <v>32</v>
      </c>
      <c r="I2290">
        <v>15367.029200000001</v>
      </c>
      <c r="J2290" t="s">
        <v>33</v>
      </c>
      <c r="K2290" t="s">
        <v>3146</v>
      </c>
      <c r="L2290" t="s">
        <v>21</v>
      </c>
    </row>
    <row r="2291" spans="1:12">
      <c r="A2291" t="s">
        <v>3149</v>
      </c>
      <c r="B2291" t="s">
        <v>3121</v>
      </c>
      <c r="C2291" t="s">
        <v>14</v>
      </c>
      <c r="D2291">
        <v>1987</v>
      </c>
      <c r="E2291" t="s">
        <v>15</v>
      </c>
      <c r="F2291" t="s">
        <v>16</v>
      </c>
      <c r="G2291" t="s">
        <v>17</v>
      </c>
      <c r="H2291" t="s">
        <v>18</v>
      </c>
      <c r="I2291">
        <v>75.599999999999994</v>
      </c>
      <c r="J2291" t="s">
        <v>19</v>
      </c>
      <c r="K2291" t="s">
        <v>3150</v>
      </c>
      <c r="L2291" t="s">
        <v>21</v>
      </c>
    </row>
    <row r="2292" spans="1:12">
      <c r="A2292" t="s">
        <v>3151</v>
      </c>
      <c r="B2292" t="s">
        <v>3121</v>
      </c>
      <c r="C2292" t="s">
        <v>14</v>
      </c>
      <c r="D2292">
        <v>1987</v>
      </c>
      <c r="E2292" t="s">
        <v>23</v>
      </c>
      <c r="F2292" t="s">
        <v>24</v>
      </c>
      <c r="G2292" t="s">
        <v>25</v>
      </c>
      <c r="H2292" t="s">
        <v>26</v>
      </c>
      <c r="I2292">
        <v>4203148</v>
      </c>
      <c r="J2292" t="s">
        <v>27</v>
      </c>
      <c r="K2292" t="s">
        <v>3150</v>
      </c>
      <c r="L2292" t="s">
        <v>21</v>
      </c>
    </row>
    <row r="2293" spans="1:12">
      <c r="A2293" t="s">
        <v>3152</v>
      </c>
      <c r="B2293" t="s">
        <v>3121</v>
      </c>
      <c r="C2293" t="s">
        <v>14</v>
      </c>
      <c r="D2293">
        <v>1987</v>
      </c>
      <c r="E2293" t="s">
        <v>29</v>
      </c>
      <c r="F2293" t="s">
        <v>30</v>
      </c>
      <c r="G2293" t="s">
        <v>31</v>
      </c>
      <c r="H2293" t="s">
        <v>32</v>
      </c>
      <c r="I2293">
        <v>17122.479859999999</v>
      </c>
      <c r="J2293" t="s">
        <v>33</v>
      </c>
      <c r="K2293" t="s">
        <v>3150</v>
      </c>
      <c r="L2293" t="s">
        <v>21</v>
      </c>
    </row>
    <row r="2294" spans="1:12">
      <c r="A2294" t="s">
        <v>3153</v>
      </c>
      <c r="B2294" t="s">
        <v>3121</v>
      </c>
      <c r="C2294" t="s">
        <v>14</v>
      </c>
      <c r="D2294">
        <v>1992</v>
      </c>
      <c r="E2294" t="s">
        <v>15</v>
      </c>
      <c r="F2294" t="s">
        <v>16</v>
      </c>
      <c r="G2294" t="s">
        <v>17</v>
      </c>
      <c r="H2294" t="s">
        <v>18</v>
      </c>
      <c r="I2294">
        <v>76.930000000000007</v>
      </c>
      <c r="J2294" t="s">
        <v>19</v>
      </c>
      <c r="K2294" t="s">
        <v>3154</v>
      </c>
      <c r="L2294" t="s">
        <v>21</v>
      </c>
    </row>
    <row r="2295" spans="1:12">
      <c r="A2295" t="s">
        <v>3155</v>
      </c>
      <c r="B2295" t="s">
        <v>3121</v>
      </c>
      <c r="C2295" t="s">
        <v>14</v>
      </c>
      <c r="D2295">
        <v>1992</v>
      </c>
      <c r="E2295" t="s">
        <v>23</v>
      </c>
      <c r="F2295" t="s">
        <v>24</v>
      </c>
      <c r="G2295" t="s">
        <v>25</v>
      </c>
      <c r="H2295" t="s">
        <v>26</v>
      </c>
      <c r="I2295">
        <v>4936550</v>
      </c>
      <c r="J2295" t="s">
        <v>27</v>
      </c>
      <c r="K2295" t="s">
        <v>3154</v>
      </c>
      <c r="L2295" t="s">
        <v>21</v>
      </c>
    </row>
    <row r="2296" spans="1:12">
      <c r="A2296" t="s">
        <v>3156</v>
      </c>
      <c r="B2296" t="s">
        <v>3121</v>
      </c>
      <c r="C2296" t="s">
        <v>14</v>
      </c>
      <c r="D2296">
        <v>1992</v>
      </c>
      <c r="E2296" t="s">
        <v>29</v>
      </c>
      <c r="F2296" t="s">
        <v>30</v>
      </c>
      <c r="G2296" t="s">
        <v>31</v>
      </c>
      <c r="H2296" t="s">
        <v>32</v>
      </c>
      <c r="I2296">
        <v>18051.522540000002</v>
      </c>
      <c r="J2296" t="s">
        <v>33</v>
      </c>
      <c r="K2296" t="s">
        <v>3154</v>
      </c>
      <c r="L2296" t="s">
        <v>21</v>
      </c>
    </row>
    <row r="2297" spans="1:12">
      <c r="A2297" t="s">
        <v>3157</v>
      </c>
      <c r="B2297" t="s">
        <v>3121</v>
      </c>
      <c r="C2297" t="s">
        <v>14</v>
      </c>
      <c r="D2297">
        <v>1997</v>
      </c>
      <c r="E2297" t="s">
        <v>15</v>
      </c>
      <c r="F2297" t="s">
        <v>16</v>
      </c>
      <c r="G2297" t="s">
        <v>17</v>
      </c>
      <c r="H2297" t="s">
        <v>18</v>
      </c>
      <c r="I2297">
        <v>78.268999999999906</v>
      </c>
      <c r="J2297" t="s">
        <v>19</v>
      </c>
      <c r="K2297" t="s">
        <v>3158</v>
      </c>
      <c r="L2297" t="s">
        <v>21</v>
      </c>
    </row>
    <row r="2298" spans="1:12">
      <c r="A2298" t="s">
        <v>3159</v>
      </c>
      <c r="B2298" t="s">
        <v>3121</v>
      </c>
      <c r="C2298" t="s">
        <v>14</v>
      </c>
      <c r="D2298">
        <v>1997</v>
      </c>
      <c r="E2298" t="s">
        <v>23</v>
      </c>
      <c r="F2298" t="s">
        <v>24</v>
      </c>
      <c r="G2298" t="s">
        <v>25</v>
      </c>
      <c r="H2298" t="s">
        <v>26</v>
      </c>
      <c r="I2298">
        <v>5531387</v>
      </c>
      <c r="J2298" t="s">
        <v>27</v>
      </c>
      <c r="K2298" t="s">
        <v>3158</v>
      </c>
      <c r="L2298" t="s">
        <v>21</v>
      </c>
    </row>
    <row r="2299" spans="1:12">
      <c r="A2299" t="s">
        <v>3160</v>
      </c>
      <c r="B2299" t="s">
        <v>3121</v>
      </c>
      <c r="C2299" t="s">
        <v>14</v>
      </c>
      <c r="D2299">
        <v>1997</v>
      </c>
      <c r="E2299" t="s">
        <v>29</v>
      </c>
      <c r="F2299" t="s">
        <v>30</v>
      </c>
      <c r="G2299" t="s">
        <v>31</v>
      </c>
      <c r="H2299" t="s">
        <v>32</v>
      </c>
      <c r="I2299">
        <v>20896.609240000002</v>
      </c>
      <c r="J2299" t="s">
        <v>33</v>
      </c>
      <c r="K2299" t="s">
        <v>3158</v>
      </c>
      <c r="L2299" t="s">
        <v>21</v>
      </c>
    </row>
    <row r="2300" spans="1:12">
      <c r="A2300" t="s">
        <v>3161</v>
      </c>
      <c r="B2300" t="s">
        <v>3121</v>
      </c>
      <c r="C2300" t="s">
        <v>14</v>
      </c>
      <c r="D2300">
        <v>2002</v>
      </c>
      <c r="E2300" t="s">
        <v>15</v>
      </c>
      <c r="F2300" t="s">
        <v>16</v>
      </c>
      <c r="G2300" t="s">
        <v>17</v>
      </c>
      <c r="H2300" t="s">
        <v>18</v>
      </c>
      <c r="I2300">
        <v>79.695999999999998</v>
      </c>
      <c r="J2300" t="s">
        <v>19</v>
      </c>
      <c r="K2300" t="s">
        <v>3162</v>
      </c>
      <c r="L2300" t="s">
        <v>21</v>
      </c>
    </row>
    <row r="2301" spans="1:12">
      <c r="A2301" t="s">
        <v>3163</v>
      </c>
      <c r="B2301" t="s">
        <v>3121</v>
      </c>
      <c r="C2301" t="s">
        <v>14</v>
      </c>
      <c r="D2301">
        <v>2002</v>
      </c>
      <c r="E2301" t="s">
        <v>23</v>
      </c>
      <c r="F2301" t="s">
        <v>24</v>
      </c>
      <c r="G2301" t="s">
        <v>25</v>
      </c>
      <c r="H2301" t="s">
        <v>26</v>
      </c>
      <c r="I2301">
        <v>6029529</v>
      </c>
      <c r="J2301" t="s">
        <v>27</v>
      </c>
      <c r="K2301" t="s">
        <v>3162</v>
      </c>
      <c r="L2301" t="s">
        <v>21</v>
      </c>
    </row>
    <row r="2302" spans="1:12">
      <c r="A2302" t="s">
        <v>3164</v>
      </c>
      <c r="B2302" t="s">
        <v>3121</v>
      </c>
      <c r="C2302" t="s">
        <v>14</v>
      </c>
      <c r="D2302">
        <v>2002</v>
      </c>
      <c r="E2302" t="s">
        <v>29</v>
      </c>
      <c r="F2302" t="s">
        <v>30</v>
      </c>
      <c r="G2302" t="s">
        <v>31</v>
      </c>
      <c r="H2302" t="s">
        <v>32</v>
      </c>
      <c r="I2302">
        <v>21905.595140000001</v>
      </c>
      <c r="J2302" t="s">
        <v>33</v>
      </c>
      <c r="K2302" t="s">
        <v>3162</v>
      </c>
      <c r="L2302" t="s">
        <v>21</v>
      </c>
    </row>
    <row r="2303" spans="1:12">
      <c r="A2303" t="s">
        <v>3165</v>
      </c>
      <c r="B2303" t="s">
        <v>3121</v>
      </c>
      <c r="C2303" t="s">
        <v>14</v>
      </c>
      <c r="D2303">
        <v>2007</v>
      </c>
      <c r="E2303" t="s">
        <v>15</v>
      </c>
      <c r="F2303" t="s">
        <v>16</v>
      </c>
      <c r="G2303" t="s">
        <v>17</v>
      </c>
      <c r="H2303" t="s">
        <v>18</v>
      </c>
      <c r="I2303">
        <v>80.745000000000005</v>
      </c>
      <c r="J2303" t="s">
        <v>19</v>
      </c>
      <c r="K2303" t="s">
        <v>3166</v>
      </c>
      <c r="L2303" t="s">
        <v>21</v>
      </c>
    </row>
    <row r="2304" spans="1:12">
      <c r="A2304" t="s">
        <v>3167</v>
      </c>
      <c r="B2304" t="s">
        <v>3121</v>
      </c>
      <c r="C2304" t="s">
        <v>14</v>
      </c>
      <c r="D2304">
        <v>2007</v>
      </c>
      <c r="E2304" t="s">
        <v>23</v>
      </c>
      <c r="F2304" t="s">
        <v>24</v>
      </c>
      <c r="G2304" t="s">
        <v>25</v>
      </c>
      <c r="H2304" t="s">
        <v>26</v>
      </c>
      <c r="I2304">
        <v>6426679</v>
      </c>
      <c r="J2304" t="s">
        <v>27</v>
      </c>
      <c r="K2304" t="s">
        <v>3166</v>
      </c>
      <c r="L2304" t="s">
        <v>21</v>
      </c>
    </row>
    <row r="2305" spans="1:12">
      <c r="A2305" t="s">
        <v>3168</v>
      </c>
      <c r="B2305" t="s">
        <v>3121</v>
      </c>
      <c r="C2305" t="s">
        <v>14</v>
      </c>
      <c r="D2305">
        <v>2007</v>
      </c>
      <c r="E2305" t="s">
        <v>29</v>
      </c>
      <c r="F2305" t="s">
        <v>30</v>
      </c>
      <c r="G2305" t="s">
        <v>31</v>
      </c>
      <c r="H2305" t="s">
        <v>32</v>
      </c>
      <c r="I2305">
        <v>25523.277099999999</v>
      </c>
      <c r="J2305" t="s">
        <v>33</v>
      </c>
      <c r="K2305" t="s">
        <v>3166</v>
      </c>
      <c r="L2305" t="s">
        <v>21</v>
      </c>
    </row>
    <row r="2306" spans="1:12">
      <c r="A2306" t="s">
        <v>3169</v>
      </c>
      <c r="B2306" t="s">
        <v>3170</v>
      </c>
      <c r="C2306" t="s">
        <v>80</v>
      </c>
      <c r="D2306">
        <v>1952</v>
      </c>
      <c r="E2306" t="s">
        <v>15</v>
      </c>
      <c r="F2306" t="s">
        <v>16</v>
      </c>
      <c r="G2306" t="s">
        <v>17</v>
      </c>
      <c r="H2306" t="s">
        <v>18</v>
      </c>
      <c r="I2306">
        <v>65.94</v>
      </c>
      <c r="J2306" t="s">
        <v>19</v>
      </c>
      <c r="K2306" t="s">
        <v>3171</v>
      </c>
      <c r="L2306" t="s">
        <v>21</v>
      </c>
    </row>
    <row r="2307" spans="1:12">
      <c r="A2307" t="s">
        <v>3172</v>
      </c>
      <c r="B2307" t="s">
        <v>3170</v>
      </c>
      <c r="C2307" t="s">
        <v>80</v>
      </c>
      <c r="D2307">
        <v>1952</v>
      </c>
      <c r="E2307" t="s">
        <v>23</v>
      </c>
      <c r="F2307" t="s">
        <v>24</v>
      </c>
      <c r="G2307" t="s">
        <v>25</v>
      </c>
      <c r="H2307" t="s">
        <v>26</v>
      </c>
      <c r="I2307">
        <v>47666000</v>
      </c>
      <c r="J2307" t="s">
        <v>27</v>
      </c>
      <c r="K2307" t="s">
        <v>3171</v>
      </c>
      <c r="L2307" t="s">
        <v>21</v>
      </c>
    </row>
    <row r="2308" spans="1:12">
      <c r="A2308" t="s">
        <v>3173</v>
      </c>
      <c r="B2308" t="s">
        <v>3170</v>
      </c>
      <c r="C2308" t="s">
        <v>80</v>
      </c>
      <c r="D2308">
        <v>1952</v>
      </c>
      <c r="E2308" t="s">
        <v>29</v>
      </c>
      <c r="F2308" t="s">
        <v>30</v>
      </c>
      <c r="G2308" t="s">
        <v>31</v>
      </c>
      <c r="H2308" t="s">
        <v>32</v>
      </c>
      <c r="I2308">
        <v>4931.4041549999902</v>
      </c>
      <c r="J2308" t="s">
        <v>33</v>
      </c>
      <c r="K2308" t="s">
        <v>3171</v>
      </c>
      <c r="L2308" t="s">
        <v>21</v>
      </c>
    </row>
    <row r="2309" spans="1:12">
      <c r="A2309" t="s">
        <v>3174</v>
      </c>
      <c r="B2309" t="s">
        <v>3170</v>
      </c>
      <c r="C2309" t="s">
        <v>80</v>
      </c>
      <c r="D2309">
        <v>1957</v>
      </c>
      <c r="E2309" t="s">
        <v>15</v>
      </c>
      <c r="F2309" t="s">
        <v>16</v>
      </c>
      <c r="G2309" t="s">
        <v>17</v>
      </c>
      <c r="H2309" t="s">
        <v>18</v>
      </c>
      <c r="I2309">
        <v>67.81</v>
      </c>
      <c r="J2309" t="s">
        <v>19</v>
      </c>
      <c r="K2309" t="s">
        <v>3175</v>
      </c>
      <c r="L2309" t="s">
        <v>21</v>
      </c>
    </row>
    <row r="2310" spans="1:12">
      <c r="A2310" t="s">
        <v>3176</v>
      </c>
      <c r="B2310" t="s">
        <v>3170</v>
      </c>
      <c r="C2310" t="s">
        <v>80</v>
      </c>
      <c r="D2310">
        <v>1957</v>
      </c>
      <c r="E2310" t="s">
        <v>23</v>
      </c>
      <c r="F2310" t="s">
        <v>24</v>
      </c>
      <c r="G2310" t="s">
        <v>25</v>
      </c>
      <c r="H2310" t="s">
        <v>26</v>
      </c>
      <c r="I2310">
        <v>49182000</v>
      </c>
      <c r="J2310" t="s">
        <v>27</v>
      </c>
      <c r="K2310" t="s">
        <v>3175</v>
      </c>
      <c r="L2310" t="s">
        <v>21</v>
      </c>
    </row>
    <row r="2311" spans="1:12">
      <c r="A2311" t="s">
        <v>3177</v>
      </c>
      <c r="B2311" t="s">
        <v>3170</v>
      </c>
      <c r="C2311" t="s">
        <v>80</v>
      </c>
      <c r="D2311">
        <v>1957</v>
      </c>
      <c r="E2311" t="s">
        <v>29</v>
      </c>
      <c r="F2311" t="s">
        <v>30</v>
      </c>
      <c r="G2311" t="s">
        <v>31</v>
      </c>
      <c r="H2311" t="s">
        <v>32</v>
      </c>
      <c r="I2311">
        <v>6248.6562320000003</v>
      </c>
      <c r="J2311" t="s">
        <v>33</v>
      </c>
      <c r="K2311" t="s">
        <v>3175</v>
      </c>
      <c r="L2311" t="s">
        <v>21</v>
      </c>
    </row>
    <row r="2312" spans="1:12">
      <c r="A2312" t="s">
        <v>3178</v>
      </c>
      <c r="B2312" t="s">
        <v>3170</v>
      </c>
      <c r="C2312" t="s">
        <v>80</v>
      </c>
      <c r="D2312">
        <v>1962</v>
      </c>
      <c r="E2312" t="s">
        <v>15</v>
      </c>
      <c r="F2312" t="s">
        <v>16</v>
      </c>
      <c r="G2312" t="s">
        <v>17</v>
      </c>
      <c r="H2312" t="s">
        <v>18</v>
      </c>
      <c r="I2312">
        <v>69.239999999999995</v>
      </c>
      <c r="J2312" t="s">
        <v>19</v>
      </c>
      <c r="K2312" t="s">
        <v>3179</v>
      </c>
      <c r="L2312" t="s">
        <v>21</v>
      </c>
    </row>
    <row r="2313" spans="1:12">
      <c r="A2313" t="s">
        <v>3180</v>
      </c>
      <c r="B2313" t="s">
        <v>3170</v>
      </c>
      <c r="C2313" t="s">
        <v>80</v>
      </c>
      <c r="D2313">
        <v>1962</v>
      </c>
      <c r="E2313" t="s">
        <v>23</v>
      </c>
      <c r="F2313" t="s">
        <v>24</v>
      </c>
      <c r="G2313" t="s">
        <v>25</v>
      </c>
      <c r="H2313" t="s">
        <v>26</v>
      </c>
      <c r="I2313">
        <v>50843200</v>
      </c>
      <c r="J2313" t="s">
        <v>27</v>
      </c>
      <c r="K2313" t="s">
        <v>3179</v>
      </c>
      <c r="L2313" t="s">
        <v>21</v>
      </c>
    </row>
    <row r="2314" spans="1:12">
      <c r="A2314" t="s">
        <v>3181</v>
      </c>
      <c r="B2314" t="s">
        <v>3170</v>
      </c>
      <c r="C2314" t="s">
        <v>80</v>
      </c>
      <c r="D2314">
        <v>1962</v>
      </c>
      <c r="E2314" t="s">
        <v>29</v>
      </c>
      <c r="F2314" t="s">
        <v>30</v>
      </c>
      <c r="G2314" t="s">
        <v>31</v>
      </c>
      <c r="H2314" t="s">
        <v>32</v>
      </c>
      <c r="I2314">
        <v>8243.5823400000008</v>
      </c>
      <c r="J2314" t="s">
        <v>33</v>
      </c>
      <c r="K2314" t="s">
        <v>3179</v>
      </c>
      <c r="L2314" t="s">
        <v>21</v>
      </c>
    </row>
    <row r="2315" spans="1:12">
      <c r="A2315" t="s">
        <v>3182</v>
      </c>
      <c r="B2315" t="s">
        <v>3170</v>
      </c>
      <c r="C2315" t="s">
        <v>80</v>
      </c>
      <c r="D2315">
        <v>1967</v>
      </c>
      <c r="E2315" t="s">
        <v>15</v>
      </c>
      <c r="F2315" t="s">
        <v>16</v>
      </c>
      <c r="G2315" t="s">
        <v>17</v>
      </c>
      <c r="H2315" t="s">
        <v>18</v>
      </c>
      <c r="I2315">
        <v>71.06</v>
      </c>
      <c r="J2315" t="s">
        <v>19</v>
      </c>
      <c r="K2315" t="s">
        <v>3183</v>
      </c>
      <c r="L2315" t="s">
        <v>21</v>
      </c>
    </row>
    <row r="2316" spans="1:12">
      <c r="A2316" t="s">
        <v>3184</v>
      </c>
      <c r="B2316" t="s">
        <v>3170</v>
      </c>
      <c r="C2316" t="s">
        <v>80</v>
      </c>
      <c r="D2316">
        <v>1967</v>
      </c>
      <c r="E2316" t="s">
        <v>23</v>
      </c>
      <c r="F2316" t="s">
        <v>24</v>
      </c>
      <c r="G2316" t="s">
        <v>25</v>
      </c>
      <c r="H2316" t="s">
        <v>26</v>
      </c>
      <c r="I2316">
        <v>52667100</v>
      </c>
      <c r="J2316" t="s">
        <v>27</v>
      </c>
      <c r="K2316" t="s">
        <v>3183</v>
      </c>
      <c r="L2316" t="s">
        <v>21</v>
      </c>
    </row>
    <row r="2317" spans="1:12">
      <c r="A2317" t="s">
        <v>3185</v>
      </c>
      <c r="B2317" t="s">
        <v>3170</v>
      </c>
      <c r="C2317" t="s">
        <v>80</v>
      </c>
      <c r="D2317">
        <v>1967</v>
      </c>
      <c r="E2317" t="s">
        <v>29</v>
      </c>
      <c r="F2317" t="s">
        <v>30</v>
      </c>
      <c r="G2317" t="s">
        <v>31</v>
      </c>
      <c r="H2317" t="s">
        <v>32</v>
      </c>
      <c r="I2317">
        <v>10022.401309999999</v>
      </c>
      <c r="J2317" t="s">
        <v>33</v>
      </c>
      <c r="K2317" t="s">
        <v>3183</v>
      </c>
      <c r="L2317" t="s">
        <v>21</v>
      </c>
    </row>
    <row r="2318" spans="1:12">
      <c r="A2318" t="s">
        <v>3186</v>
      </c>
      <c r="B2318" t="s">
        <v>3170</v>
      </c>
      <c r="C2318" t="s">
        <v>80</v>
      </c>
      <c r="D2318">
        <v>1972</v>
      </c>
      <c r="E2318" t="s">
        <v>15</v>
      </c>
      <c r="F2318" t="s">
        <v>16</v>
      </c>
      <c r="G2318" t="s">
        <v>17</v>
      </c>
      <c r="H2318" t="s">
        <v>18</v>
      </c>
      <c r="I2318">
        <v>72.19</v>
      </c>
      <c r="J2318" t="s">
        <v>19</v>
      </c>
      <c r="K2318" t="s">
        <v>3187</v>
      </c>
      <c r="L2318" t="s">
        <v>21</v>
      </c>
    </row>
    <row r="2319" spans="1:12">
      <c r="A2319" t="s">
        <v>3188</v>
      </c>
      <c r="B2319" t="s">
        <v>3170</v>
      </c>
      <c r="C2319" t="s">
        <v>80</v>
      </c>
      <c r="D2319">
        <v>1972</v>
      </c>
      <c r="E2319" t="s">
        <v>23</v>
      </c>
      <c r="F2319" t="s">
        <v>24</v>
      </c>
      <c r="G2319" t="s">
        <v>25</v>
      </c>
      <c r="H2319" t="s">
        <v>26</v>
      </c>
      <c r="I2319">
        <v>54365564</v>
      </c>
      <c r="J2319" t="s">
        <v>27</v>
      </c>
      <c r="K2319" t="s">
        <v>3187</v>
      </c>
      <c r="L2319" t="s">
        <v>21</v>
      </c>
    </row>
    <row r="2320" spans="1:12">
      <c r="A2320" t="s">
        <v>3189</v>
      </c>
      <c r="B2320" t="s">
        <v>3170</v>
      </c>
      <c r="C2320" t="s">
        <v>80</v>
      </c>
      <c r="D2320">
        <v>1972</v>
      </c>
      <c r="E2320" t="s">
        <v>29</v>
      </c>
      <c r="F2320" t="s">
        <v>30</v>
      </c>
      <c r="G2320" t="s">
        <v>31</v>
      </c>
      <c r="H2320" t="s">
        <v>32</v>
      </c>
      <c r="I2320">
        <v>12269.27378</v>
      </c>
      <c r="J2320" t="s">
        <v>33</v>
      </c>
      <c r="K2320" t="s">
        <v>3187</v>
      </c>
      <c r="L2320" t="s">
        <v>21</v>
      </c>
    </row>
    <row r="2321" spans="1:12">
      <c r="A2321" t="s">
        <v>3190</v>
      </c>
      <c r="B2321" t="s">
        <v>3170</v>
      </c>
      <c r="C2321" t="s">
        <v>80</v>
      </c>
      <c r="D2321">
        <v>1977</v>
      </c>
      <c r="E2321" t="s">
        <v>15</v>
      </c>
      <c r="F2321" t="s">
        <v>16</v>
      </c>
      <c r="G2321" t="s">
        <v>17</v>
      </c>
      <c r="H2321" t="s">
        <v>18</v>
      </c>
      <c r="I2321">
        <v>73.48</v>
      </c>
      <c r="J2321" t="s">
        <v>19</v>
      </c>
      <c r="K2321" t="s">
        <v>3191</v>
      </c>
      <c r="L2321" t="s">
        <v>21</v>
      </c>
    </row>
    <row r="2322" spans="1:12">
      <c r="A2322" t="s">
        <v>3192</v>
      </c>
      <c r="B2322" t="s">
        <v>3170</v>
      </c>
      <c r="C2322" t="s">
        <v>80</v>
      </c>
      <c r="D2322">
        <v>1977</v>
      </c>
      <c r="E2322" t="s">
        <v>23</v>
      </c>
      <c r="F2322" t="s">
        <v>24</v>
      </c>
      <c r="G2322" t="s">
        <v>25</v>
      </c>
      <c r="H2322" t="s">
        <v>26</v>
      </c>
      <c r="I2322">
        <v>56059245</v>
      </c>
      <c r="J2322" t="s">
        <v>27</v>
      </c>
      <c r="K2322" t="s">
        <v>3191</v>
      </c>
      <c r="L2322" t="s">
        <v>21</v>
      </c>
    </row>
    <row r="2323" spans="1:12">
      <c r="A2323" t="s">
        <v>3193</v>
      </c>
      <c r="B2323" t="s">
        <v>3170</v>
      </c>
      <c r="C2323" t="s">
        <v>80</v>
      </c>
      <c r="D2323">
        <v>1977</v>
      </c>
      <c r="E2323" t="s">
        <v>29</v>
      </c>
      <c r="F2323" t="s">
        <v>30</v>
      </c>
      <c r="G2323" t="s">
        <v>31</v>
      </c>
      <c r="H2323" t="s">
        <v>32</v>
      </c>
      <c r="I2323">
        <v>14255.98475</v>
      </c>
      <c r="J2323" t="s">
        <v>33</v>
      </c>
      <c r="K2323" t="s">
        <v>3191</v>
      </c>
      <c r="L2323" t="s">
        <v>21</v>
      </c>
    </row>
    <row r="2324" spans="1:12">
      <c r="A2324" t="s">
        <v>3194</v>
      </c>
      <c r="B2324" t="s">
        <v>3170</v>
      </c>
      <c r="C2324" t="s">
        <v>80</v>
      </c>
      <c r="D2324">
        <v>1982</v>
      </c>
      <c r="E2324" t="s">
        <v>15</v>
      </c>
      <c r="F2324" t="s">
        <v>16</v>
      </c>
      <c r="G2324" t="s">
        <v>17</v>
      </c>
      <c r="H2324" t="s">
        <v>18</v>
      </c>
      <c r="I2324">
        <v>74.98</v>
      </c>
      <c r="J2324" t="s">
        <v>19</v>
      </c>
      <c r="K2324" t="s">
        <v>3195</v>
      </c>
      <c r="L2324" t="s">
        <v>21</v>
      </c>
    </row>
    <row r="2325" spans="1:12">
      <c r="A2325" t="s">
        <v>3196</v>
      </c>
      <c r="B2325" t="s">
        <v>3170</v>
      </c>
      <c r="C2325" t="s">
        <v>80</v>
      </c>
      <c r="D2325">
        <v>1982</v>
      </c>
      <c r="E2325" t="s">
        <v>23</v>
      </c>
      <c r="F2325" t="s">
        <v>24</v>
      </c>
      <c r="G2325" t="s">
        <v>25</v>
      </c>
      <c r="H2325" t="s">
        <v>26</v>
      </c>
      <c r="I2325">
        <v>56535636</v>
      </c>
      <c r="J2325" t="s">
        <v>27</v>
      </c>
      <c r="K2325" t="s">
        <v>3195</v>
      </c>
      <c r="L2325" t="s">
        <v>21</v>
      </c>
    </row>
    <row r="2326" spans="1:12">
      <c r="A2326" t="s">
        <v>3197</v>
      </c>
      <c r="B2326" t="s">
        <v>3170</v>
      </c>
      <c r="C2326" t="s">
        <v>80</v>
      </c>
      <c r="D2326">
        <v>1982</v>
      </c>
      <c r="E2326" t="s">
        <v>29</v>
      </c>
      <c r="F2326" t="s">
        <v>30</v>
      </c>
      <c r="G2326" t="s">
        <v>31</v>
      </c>
      <c r="H2326" t="s">
        <v>32</v>
      </c>
      <c r="I2326">
        <v>16537.483499999998</v>
      </c>
      <c r="J2326" t="s">
        <v>33</v>
      </c>
      <c r="K2326" t="s">
        <v>3195</v>
      </c>
      <c r="L2326" t="s">
        <v>21</v>
      </c>
    </row>
    <row r="2327" spans="1:12">
      <c r="A2327" t="s">
        <v>3198</v>
      </c>
      <c r="B2327" t="s">
        <v>3170</v>
      </c>
      <c r="C2327" t="s">
        <v>80</v>
      </c>
      <c r="D2327">
        <v>1987</v>
      </c>
      <c r="E2327" t="s">
        <v>15</v>
      </c>
      <c r="F2327" t="s">
        <v>16</v>
      </c>
      <c r="G2327" t="s">
        <v>17</v>
      </c>
      <c r="H2327" t="s">
        <v>18</v>
      </c>
      <c r="I2327">
        <v>76.42</v>
      </c>
      <c r="J2327" t="s">
        <v>19</v>
      </c>
      <c r="K2327" t="s">
        <v>3199</v>
      </c>
      <c r="L2327" t="s">
        <v>21</v>
      </c>
    </row>
    <row r="2328" spans="1:12">
      <c r="A2328" t="s">
        <v>3200</v>
      </c>
      <c r="B2328" t="s">
        <v>3170</v>
      </c>
      <c r="C2328" t="s">
        <v>80</v>
      </c>
      <c r="D2328">
        <v>1987</v>
      </c>
      <c r="E2328" t="s">
        <v>23</v>
      </c>
      <c r="F2328" t="s">
        <v>24</v>
      </c>
      <c r="G2328" t="s">
        <v>25</v>
      </c>
      <c r="H2328" t="s">
        <v>26</v>
      </c>
      <c r="I2328">
        <v>56729703</v>
      </c>
      <c r="J2328" t="s">
        <v>27</v>
      </c>
      <c r="K2328" t="s">
        <v>3199</v>
      </c>
      <c r="L2328" t="s">
        <v>21</v>
      </c>
    </row>
    <row r="2329" spans="1:12">
      <c r="A2329" t="s">
        <v>3201</v>
      </c>
      <c r="B2329" t="s">
        <v>3170</v>
      </c>
      <c r="C2329" t="s">
        <v>80</v>
      </c>
      <c r="D2329">
        <v>1987</v>
      </c>
      <c r="E2329" t="s">
        <v>29</v>
      </c>
      <c r="F2329" t="s">
        <v>30</v>
      </c>
      <c r="G2329" t="s">
        <v>31</v>
      </c>
      <c r="H2329" t="s">
        <v>32</v>
      </c>
      <c r="I2329">
        <v>19207.234820000001</v>
      </c>
      <c r="J2329" t="s">
        <v>33</v>
      </c>
      <c r="K2329" t="s">
        <v>3199</v>
      </c>
      <c r="L2329" t="s">
        <v>21</v>
      </c>
    </row>
    <row r="2330" spans="1:12">
      <c r="A2330" t="s">
        <v>3202</v>
      </c>
      <c r="B2330" t="s">
        <v>3170</v>
      </c>
      <c r="C2330" t="s">
        <v>80</v>
      </c>
      <c r="D2330">
        <v>1992</v>
      </c>
      <c r="E2330" t="s">
        <v>15</v>
      </c>
      <c r="F2330" t="s">
        <v>16</v>
      </c>
      <c r="G2330" t="s">
        <v>17</v>
      </c>
      <c r="H2330" t="s">
        <v>18</v>
      </c>
      <c r="I2330">
        <v>77.44</v>
      </c>
      <c r="J2330" t="s">
        <v>19</v>
      </c>
      <c r="K2330" t="s">
        <v>3203</v>
      </c>
      <c r="L2330" t="s">
        <v>21</v>
      </c>
    </row>
    <row r="2331" spans="1:12">
      <c r="A2331" t="s">
        <v>3204</v>
      </c>
      <c r="B2331" t="s">
        <v>3170</v>
      </c>
      <c r="C2331" t="s">
        <v>80</v>
      </c>
      <c r="D2331">
        <v>1992</v>
      </c>
      <c r="E2331" t="s">
        <v>23</v>
      </c>
      <c r="F2331" t="s">
        <v>24</v>
      </c>
      <c r="G2331" t="s">
        <v>25</v>
      </c>
      <c r="H2331" t="s">
        <v>26</v>
      </c>
      <c r="I2331">
        <v>56840847</v>
      </c>
      <c r="J2331" t="s">
        <v>27</v>
      </c>
      <c r="K2331" t="s">
        <v>3203</v>
      </c>
      <c r="L2331" t="s">
        <v>21</v>
      </c>
    </row>
    <row r="2332" spans="1:12">
      <c r="A2332" t="s">
        <v>3205</v>
      </c>
      <c r="B2332" t="s">
        <v>3170</v>
      </c>
      <c r="C2332" t="s">
        <v>80</v>
      </c>
      <c r="D2332">
        <v>1992</v>
      </c>
      <c r="E2332" t="s">
        <v>29</v>
      </c>
      <c r="F2332" t="s">
        <v>30</v>
      </c>
      <c r="G2332" t="s">
        <v>31</v>
      </c>
      <c r="H2332" t="s">
        <v>32</v>
      </c>
      <c r="I2332">
        <v>22013.64486</v>
      </c>
      <c r="J2332" t="s">
        <v>33</v>
      </c>
      <c r="K2332" t="s">
        <v>3203</v>
      </c>
      <c r="L2332" t="s">
        <v>21</v>
      </c>
    </row>
    <row r="2333" spans="1:12">
      <c r="A2333" t="s">
        <v>3206</v>
      </c>
      <c r="B2333" t="s">
        <v>3170</v>
      </c>
      <c r="C2333" t="s">
        <v>80</v>
      </c>
      <c r="D2333">
        <v>1997</v>
      </c>
      <c r="E2333" t="s">
        <v>15</v>
      </c>
      <c r="F2333" t="s">
        <v>16</v>
      </c>
      <c r="G2333" t="s">
        <v>17</v>
      </c>
      <c r="H2333" t="s">
        <v>18</v>
      </c>
      <c r="I2333">
        <v>78.819999999999993</v>
      </c>
      <c r="J2333" t="s">
        <v>19</v>
      </c>
      <c r="K2333" t="s">
        <v>3207</v>
      </c>
      <c r="L2333" t="s">
        <v>21</v>
      </c>
    </row>
    <row r="2334" spans="1:12">
      <c r="A2334" t="s">
        <v>3208</v>
      </c>
      <c r="B2334" t="s">
        <v>3170</v>
      </c>
      <c r="C2334" t="s">
        <v>80</v>
      </c>
      <c r="D2334">
        <v>1997</v>
      </c>
      <c r="E2334" t="s">
        <v>23</v>
      </c>
      <c r="F2334" t="s">
        <v>24</v>
      </c>
      <c r="G2334" t="s">
        <v>25</v>
      </c>
      <c r="H2334" t="s">
        <v>26</v>
      </c>
      <c r="I2334">
        <v>57479469</v>
      </c>
      <c r="J2334" t="s">
        <v>27</v>
      </c>
      <c r="K2334" t="s">
        <v>3207</v>
      </c>
      <c r="L2334" t="s">
        <v>21</v>
      </c>
    </row>
    <row r="2335" spans="1:12">
      <c r="A2335" t="s">
        <v>3209</v>
      </c>
      <c r="B2335" t="s">
        <v>3170</v>
      </c>
      <c r="C2335" t="s">
        <v>80</v>
      </c>
      <c r="D2335">
        <v>1997</v>
      </c>
      <c r="E2335" t="s">
        <v>29</v>
      </c>
      <c r="F2335" t="s">
        <v>30</v>
      </c>
      <c r="G2335" t="s">
        <v>31</v>
      </c>
      <c r="H2335" t="s">
        <v>32</v>
      </c>
      <c r="I2335">
        <v>24675.024460000001</v>
      </c>
      <c r="J2335" t="s">
        <v>33</v>
      </c>
      <c r="K2335" t="s">
        <v>3207</v>
      </c>
      <c r="L2335" t="s">
        <v>21</v>
      </c>
    </row>
    <row r="2336" spans="1:12">
      <c r="A2336" t="s">
        <v>3210</v>
      </c>
      <c r="B2336" t="s">
        <v>3170</v>
      </c>
      <c r="C2336" t="s">
        <v>80</v>
      </c>
      <c r="D2336">
        <v>2002</v>
      </c>
      <c r="E2336" t="s">
        <v>15</v>
      </c>
      <c r="F2336" t="s">
        <v>16</v>
      </c>
      <c r="G2336" t="s">
        <v>17</v>
      </c>
      <c r="H2336" t="s">
        <v>18</v>
      </c>
      <c r="I2336">
        <v>80.239999999999995</v>
      </c>
      <c r="J2336" t="s">
        <v>19</v>
      </c>
      <c r="K2336" t="s">
        <v>3211</v>
      </c>
      <c r="L2336" t="s">
        <v>21</v>
      </c>
    </row>
    <row r="2337" spans="1:12">
      <c r="A2337" t="s">
        <v>3212</v>
      </c>
      <c r="B2337" t="s">
        <v>3170</v>
      </c>
      <c r="C2337" t="s">
        <v>80</v>
      </c>
      <c r="D2337">
        <v>2002</v>
      </c>
      <c r="E2337" t="s">
        <v>23</v>
      </c>
      <c r="F2337" t="s">
        <v>24</v>
      </c>
      <c r="G2337" t="s">
        <v>25</v>
      </c>
      <c r="H2337" t="s">
        <v>26</v>
      </c>
      <c r="I2337">
        <v>57926999</v>
      </c>
      <c r="J2337" t="s">
        <v>27</v>
      </c>
      <c r="K2337" t="s">
        <v>3211</v>
      </c>
      <c r="L2337" t="s">
        <v>21</v>
      </c>
    </row>
    <row r="2338" spans="1:12">
      <c r="A2338" t="s">
        <v>3213</v>
      </c>
      <c r="B2338" t="s">
        <v>3170</v>
      </c>
      <c r="C2338" t="s">
        <v>80</v>
      </c>
      <c r="D2338">
        <v>2002</v>
      </c>
      <c r="E2338" t="s">
        <v>29</v>
      </c>
      <c r="F2338" t="s">
        <v>30</v>
      </c>
      <c r="G2338" t="s">
        <v>31</v>
      </c>
      <c r="H2338" t="s">
        <v>32</v>
      </c>
      <c r="I2338">
        <v>27968.098170000001</v>
      </c>
      <c r="J2338" t="s">
        <v>33</v>
      </c>
      <c r="K2338" t="s">
        <v>3211</v>
      </c>
      <c r="L2338" t="s">
        <v>21</v>
      </c>
    </row>
    <row r="2339" spans="1:12">
      <c r="A2339" t="s">
        <v>3214</v>
      </c>
      <c r="B2339" t="s">
        <v>3170</v>
      </c>
      <c r="C2339" t="s">
        <v>80</v>
      </c>
      <c r="D2339">
        <v>2007</v>
      </c>
      <c r="E2339" t="s">
        <v>15</v>
      </c>
      <c r="F2339" t="s">
        <v>16</v>
      </c>
      <c r="G2339" t="s">
        <v>17</v>
      </c>
      <c r="H2339" t="s">
        <v>18</v>
      </c>
      <c r="I2339">
        <v>80.546000000000006</v>
      </c>
      <c r="J2339" t="s">
        <v>19</v>
      </c>
      <c r="K2339" t="s">
        <v>3215</v>
      </c>
      <c r="L2339" t="s">
        <v>21</v>
      </c>
    </row>
    <row r="2340" spans="1:12">
      <c r="A2340" t="s">
        <v>3216</v>
      </c>
      <c r="B2340" t="s">
        <v>3170</v>
      </c>
      <c r="C2340" t="s">
        <v>80</v>
      </c>
      <c r="D2340">
        <v>2007</v>
      </c>
      <c r="E2340" t="s">
        <v>23</v>
      </c>
      <c r="F2340" t="s">
        <v>24</v>
      </c>
      <c r="G2340" t="s">
        <v>25</v>
      </c>
      <c r="H2340" t="s">
        <v>26</v>
      </c>
      <c r="I2340">
        <v>58147733</v>
      </c>
      <c r="J2340" t="s">
        <v>27</v>
      </c>
      <c r="K2340" t="s">
        <v>3215</v>
      </c>
      <c r="L2340" t="s">
        <v>21</v>
      </c>
    </row>
    <row r="2341" spans="1:12">
      <c r="A2341" t="s">
        <v>3217</v>
      </c>
      <c r="B2341" t="s">
        <v>3170</v>
      </c>
      <c r="C2341" t="s">
        <v>80</v>
      </c>
      <c r="D2341">
        <v>2007</v>
      </c>
      <c r="E2341" t="s">
        <v>29</v>
      </c>
      <c r="F2341" t="s">
        <v>30</v>
      </c>
      <c r="G2341" t="s">
        <v>31</v>
      </c>
      <c r="H2341" t="s">
        <v>32</v>
      </c>
      <c r="I2341">
        <v>28569.719700000001</v>
      </c>
      <c r="J2341" t="s">
        <v>33</v>
      </c>
      <c r="K2341" t="s">
        <v>3215</v>
      </c>
      <c r="L2341" t="s">
        <v>21</v>
      </c>
    </row>
    <row r="2342" spans="1:12">
      <c r="A2342" t="s">
        <v>3218</v>
      </c>
      <c r="B2342" t="s">
        <v>3219</v>
      </c>
      <c r="C2342" t="s">
        <v>229</v>
      </c>
      <c r="D2342">
        <v>1952</v>
      </c>
      <c r="E2342" t="s">
        <v>15</v>
      </c>
      <c r="F2342" t="s">
        <v>16</v>
      </c>
      <c r="G2342" t="s">
        <v>17</v>
      </c>
      <c r="H2342" t="s">
        <v>18</v>
      </c>
      <c r="I2342">
        <v>58.53</v>
      </c>
      <c r="J2342" t="s">
        <v>19</v>
      </c>
      <c r="K2342" t="s">
        <v>3220</v>
      </c>
      <c r="L2342" t="s">
        <v>21</v>
      </c>
    </row>
    <row r="2343" spans="1:12">
      <c r="A2343" t="s">
        <v>3221</v>
      </c>
      <c r="B2343" t="s">
        <v>3219</v>
      </c>
      <c r="C2343" t="s">
        <v>229</v>
      </c>
      <c r="D2343">
        <v>1952</v>
      </c>
      <c r="E2343" t="s">
        <v>23</v>
      </c>
      <c r="F2343" t="s">
        <v>24</v>
      </c>
      <c r="G2343" t="s">
        <v>25</v>
      </c>
      <c r="H2343" t="s">
        <v>26</v>
      </c>
      <c r="I2343">
        <v>1426095</v>
      </c>
      <c r="J2343" t="s">
        <v>27</v>
      </c>
      <c r="K2343" t="s">
        <v>3220</v>
      </c>
      <c r="L2343" t="s">
        <v>21</v>
      </c>
    </row>
    <row r="2344" spans="1:12">
      <c r="A2344" t="s">
        <v>3222</v>
      </c>
      <c r="B2344" t="s">
        <v>3219</v>
      </c>
      <c r="C2344" t="s">
        <v>229</v>
      </c>
      <c r="D2344">
        <v>1952</v>
      </c>
      <c r="E2344" t="s">
        <v>29</v>
      </c>
      <c r="F2344" t="s">
        <v>30</v>
      </c>
      <c r="G2344" t="s">
        <v>31</v>
      </c>
      <c r="H2344" t="s">
        <v>32</v>
      </c>
      <c r="I2344">
        <v>2898.5308810000001</v>
      </c>
      <c r="J2344" t="s">
        <v>33</v>
      </c>
      <c r="K2344" t="s">
        <v>3220</v>
      </c>
      <c r="L2344" t="s">
        <v>21</v>
      </c>
    </row>
    <row r="2345" spans="1:12">
      <c r="A2345" t="s">
        <v>3223</v>
      </c>
      <c r="B2345" t="s">
        <v>3219</v>
      </c>
      <c r="C2345" t="s">
        <v>229</v>
      </c>
      <c r="D2345">
        <v>1957</v>
      </c>
      <c r="E2345" t="s">
        <v>15</v>
      </c>
      <c r="F2345" t="s">
        <v>16</v>
      </c>
      <c r="G2345" t="s">
        <v>17</v>
      </c>
      <c r="H2345" t="s">
        <v>18</v>
      </c>
      <c r="I2345">
        <v>62.61</v>
      </c>
      <c r="J2345" t="s">
        <v>19</v>
      </c>
      <c r="K2345" t="s">
        <v>3224</v>
      </c>
      <c r="L2345" t="s">
        <v>21</v>
      </c>
    </row>
    <row r="2346" spans="1:12">
      <c r="A2346" t="s">
        <v>3225</v>
      </c>
      <c r="B2346" t="s">
        <v>3219</v>
      </c>
      <c r="C2346" t="s">
        <v>229</v>
      </c>
      <c r="D2346">
        <v>1957</v>
      </c>
      <c r="E2346" t="s">
        <v>23</v>
      </c>
      <c r="F2346" t="s">
        <v>24</v>
      </c>
      <c r="G2346" t="s">
        <v>25</v>
      </c>
      <c r="H2346" t="s">
        <v>26</v>
      </c>
      <c r="I2346">
        <v>1535090</v>
      </c>
      <c r="J2346" t="s">
        <v>27</v>
      </c>
      <c r="K2346" t="s">
        <v>3224</v>
      </c>
      <c r="L2346" t="s">
        <v>21</v>
      </c>
    </row>
    <row r="2347" spans="1:12">
      <c r="A2347" t="s">
        <v>3226</v>
      </c>
      <c r="B2347" t="s">
        <v>3219</v>
      </c>
      <c r="C2347" t="s">
        <v>229</v>
      </c>
      <c r="D2347">
        <v>1957</v>
      </c>
      <c r="E2347" t="s">
        <v>29</v>
      </c>
      <c r="F2347" t="s">
        <v>30</v>
      </c>
      <c r="G2347" t="s">
        <v>31</v>
      </c>
      <c r="H2347" t="s">
        <v>32</v>
      </c>
      <c r="I2347">
        <v>4756.5257810000003</v>
      </c>
      <c r="J2347" t="s">
        <v>33</v>
      </c>
      <c r="K2347" t="s">
        <v>3224</v>
      </c>
      <c r="L2347" t="s">
        <v>21</v>
      </c>
    </row>
    <row r="2348" spans="1:12">
      <c r="A2348" t="s">
        <v>3227</v>
      </c>
      <c r="B2348" t="s">
        <v>3219</v>
      </c>
      <c r="C2348" t="s">
        <v>229</v>
      </c>
      <c r="D2348">
        <v>1962</v>
      </c>
      <c r="E2348" t="s">
        <v>15</v>
      </c>
      <c r="F2348" t="s">
        <v>16</v>
      </c>
      <c r="G2348" t="s">
        <v>17</v>
      </c>
      <c r="H2348" t="s">
        <v>18</v>
      </c>
      <c r="I2348">
        <v>65.61</v>
      </c>
      <c r="J2348" t="s">
        <v>19</v>
      </c>
      <c r="K2348" t="s">
        <v>3228</v>
      </c>
      <c r="L2348" t="s">
        <v>21</v>
      </c>
    </row>
    <row r="2349" spans="1:12">
      <c r="A2349" t="s">
        <v>3229</v>
      </c>
      <c r="B2349" t="s">
        <v>3219</v>
      </c>
      <c r="C2349" t="s">
        <v>229</v>
      </c>
      <c r="D2349">
        <v>1962</v>
      </c>
      <c r="E2349" t="s">
        <v>23</v>
      </c>
      <c r="F2349" t="s">
        <v>24</v>
      </c>
      <c r="G2349" t="s">
        <v>25</v>
      </c>
      <c r="H2349" t="s">
        <v>26</v>
      </c>
      <c r="I2349">
        <v>1665128</v>
      </c>
      <c r="J2349" t="s">
        <v>27</v>
      </c>
      <c r="K2349" t="s">
        <v>3228</v>
      </c>
      <c r="L2349" t="s">
        <v>21</v>
      </c>
    </row>
    <row r="2350" spans="1:12">
      <c r="A2350" t="s">
        <v>3230</v>
      </c>
      <c r="B2350" t="s">
        <v>3219</v>
      </c>
      <c r="C2350" t="s">
        <v>229</v>
      </c>
      <c r="D2350">
        <v>1962</v>
      </c>
      <c r="E2350" t="s">
        <v>29</v>
      </c>
      <c r="F2350" t="s">
        <v>30</v>
      </c>
      <c r="G2350" t="s">
        <v>31</v>
      </c>
      <c r="H2350" t="s">
        <v>32</v>
      </c>
      <c r="I2350">
        <v>5246.107524</v>
      </c>
      <c r="J2350" t="s">
        <v>33</v>
      </c>
      <c r="K2350" t="s">
        <v>3228</v>
      </c>
      <c r="L2350" t="s">
        <v>21</v>
      </c>
    </row>
    <row r="2351" spans="1:12">
      <c r="A2351" t="s">
        <v>3231</v>
      </c>
      <c r="B2351" t="s">
        <v>3219</v>
      </c>
      <c r="C2351" t="s">
        <v>229</v>
      </c>
      <c r="D2351">
        <v>1967</v>
      </c>
      <c r="E2351" t="s">
        <v>15</v>
      </c>
      <c r="F2351" t="s">
        <v>16</v>
      </c>
      <c r="G2351" t="s">
        <v>17</v>
      </c>
      <c r="H2351" t="s">
        <v>18</v>
      </c>
      <c r="I2351">
        <v>67.510000000000005</v>
      </c>
      <c r="J2351" t="s">
        <v>19</v>
      </c>
      <c r="K2351" t="s">
        <v>3232</v>
      </c>
      <c r="L2351" t="s">
        <v>21</v>
      </c>
    </row>
    <row r="2352" spans="1:12">
      <c r="A2352" t="s">
        <v>3233</v>
      </c>
      <c r="B2352" t="s">
        <v>3219</v>
      </c>
      <c r="C2352" t="s">
        <v>229</v>
      </c>
      <c r="D2352">
        <v>1967</v>
      </c>
      <c r="E2352" t="s">
        <v>23</v>
      </c>
      <c r="F2352" t="s">
        <v>24</v>
      </c>
      <c r="G2352" t="s">
        <v>25</v>
      </c>
      <c r="H2352" t="s">
        <v>26</v>
      </c>
      <c r="I2352">
        <v>1861096</v>
      </c>
      <c r="J2352" t="s">
        <v>27</v>
      </c>
      <c r="K2352" t="s">
        <v>3232</v>
      </c>
      <c r="L2352" t="s">
        <v>21</v>
      </c>
    </row>
    <row r="2353" spans="1:12">
      <c r="A2353" t="s">
        <v>3234</v>
      </c>
      <c r="B2353" t="s">
        <v>3219</v>
      </c>
      <c r="C2353" t="s">
        <v>229</v>
      </c>
      <c r="D2353">
        <v>1967</v>
      </c>
      <c r="E2353" t="s">
        <v>29</v>
      </c>
      <c r="F2353" t="s">
        <v>30</v>
      </c>
      <c r="G2353" t="s">
        <v>31</v>
      </c>
      <c r="H2353" t="s">
        <v>32</v>
      </c>
      <c r="I2353">
        <v>6124.7034509999903</v>
      </c>
      <c r="J2353" t="s">
        <v>33</v>
      </c>
      <c r="K2353" t="s">
        <v>3232</v>
      </c>
      <c r="L2353" t="s">
        <v>21</v>
      </c>
    </row>
    <row r="2354" spans="1:12">
      <c r="A2354" t="s">
        <v>3235</v>
      </c>
      <c r="B2354" t="s">
        <v>3219</v>
      </c>
      <c r="C2354" t="s">
        <v>229</v>
      </c>
      <c r="D2354">
        <v>1972</v>
      </c>
      <c r="E2354" t="s">
        <v>15</v>
      </c>
      <c r="F2354" t="s">
        <v>16</v>
      </c>
      <c r="G2354" t="s">
        <v>17</v>
      </c>
      <c r="H2354" t="s">
        <v>18</v>
      </c>
      <c r="I2354">
        <v>69</v>
      </c>
      <c r="J2354" t="s">
        <v>19</v>
      </c>
      <c r="K2354" t="s">
        <v>3236</v>
      </c>
      <c r="L2354" t="s">
        <v>21</v>
      </c>
    </row>
    <row r="2355" spans="1:12">
      <c r="A2355" t="s">
        <v>3237</v>
      </c>
      <c r="B2355" t="s">
        <v>3219</v>
      </c>
      <c r="C2355" t="s">
        <v>229</v>
      </c>
      <c r="D2355">
        <v>1972</v>
      </c>
      <c r="E2355" t="s">
        <v>23</v>
      </c>
      <c r="F2355" t="s">
        <v>24</v>
      </c>
      <c r="G2355" t="s">
        <v>25</v>
      </c>
      <c r="H2355" t="s">
        <v>26</v>
      </c>
      <c r="I2355">
        <v>1997616</v>
      </c>
      <c r="J2355" t="s">
        <v>27</v>
      </c>
      <c r="K2355" t="s">
        <v>3236</v>
      </c>
      <c r="L2355" t="s">
        <v>21</v>
      </c>
    </row>
    <row r="2356" spans="1:12">
      <c r="A2356" t="s">
        <v>3238</v>
      </c>
      <c r="B2356" t="s">
        <v>3219</v>
      </c>
      <c r="C2356" t="s">
        <v>229</v>
      </c>
      <c r="D2356">
        <v>1972</v>
      </c>
      <c r="E2356" t="s">
        <v>29</v>
      </c>
      <c r="F2356" t="s">
        <v>30</v>
      </c>
      <c r="G2356" t="s">
        <v>31</v>
      </c>
      <c r="H2356" t="s">
        <v>32</v>
      </c>
      <c r="I2356">
        <v>7433.8892930000002</v>
      </c>
      <c r="J2356" t="s">
        <v>33</v>
      </c>
      <c r="K2356" t="s">
        <v>3236</v>
      </c>
      <c r="L2356" t="s">
        <v>21</v>
      </c>
    </row>
    <row r="2357" spans="1:12">
      <c r="A2357" t="s">
        <v>3239</v>
      </c>
      <c r="B2357" t="s">
        <v>3219</v>
      </c>
      <c r="C2357" t="s">
        <v>229</v>
      </c>
      <c r="D2357">
        <v>1977</v>
      </c>
      <c r="E2357" t="s">
        <v>15</v>
      </c>
      <c r="F2357" t="s">
        <v>16</v>
      </c>
      <c r="G2357" t="s">
        <v>17</v>
      </c>
      <c r="H2357" t="s">
        <v>18</v>
      </c>
      <c r="I2357">
        <v>70.11</v>
      </c>
      <c r="J2357" t="s">
        <v>19</v>
      </c>
      <c r="K2357" t="s">
        <v>3240</v>
      </c>
      <c r="L2357" t="s">
        <v>21</v>
      </c>
    </row>
    <row r="2358" spans="1:12">
      <c r="A2358" t="s">
        <v>3241</v>
      </c>
      <c r="B2358" t="s">
        <v>3219</v>
      </c>
      <c r="C2358" t="s">
        <v>229</v>
      </c>
      <c r="D2358">
        <v>1977</v>
      </c>
      <c r="E2358" t="s">
        <v>23</v>
      </c>
      <c r="F2358" t="s">
        <v>24</v>
      </c>
      <c r="G2358" t="s">
        <v>25</v>
      </c>
      <c r="H2358" t="s">
        <v>26</v>
      </c>
      <c r="I2358">
        <v>2156814</v>
      </c>
      <c r="J2358" t="s">
        <v>27</v>
      </c>
      <c r="K2358" t="s">
        <v>3240</v>
      </c>
      <c r="L2358" t="s">
        <v>21</v>
      </c>
    </row>
    <row r="2359" spans="1:12">
      <c r="A2359" t="s">
        <v>3242</v>
      </c>
      <c r="B2359" t="s">
        <v>3219</v>
      </c>
      <c r="C2359" t="s">
        <v>229</v>
      </c>
      <c r="D2359">
        <v>1977</v>
      </c>
      <c r="E2359" t="s">
        <v>29</v>
      </c>
      <c r="F2359" t="s">
        <v>30</v>
      </c>
      <c r="G2359" t="s">
        <v>31</v>
      </c>
      <c r="H2359" t="s">
        <v>32</v>
      </c>
      <c r="I2359">
        <v>6650.195573</v>
      </c>
      <c r="J2359" t="s">
        <v>33</v>
      </c>
      <c r="K2359" t="s">
        <v>3240</v>
      </c>
      <c r="L2359" t="s">
        <v>21</v>
      </c>
    </row>
    <row r="2360" spans="1:12">
      <c r="A2360" t="s">
        <v>3243</v>
      </c>
      <c r="B2360" t="s">
        <v>3219</v>
      </c>
      <c r="C2360" t="s">
        <v>229</v>
      </c>
      <c r="D2360">
        <v>1982</v>
      </c>
      <c r="E2360" t="s">
        <v>15</v>
      </c>
      <c r="F2360" t="s">
        <v>16</v>
      </c>
      <c r="G2360" t="s">
        <v>17</v>
      </c>
      <c r="H2360" t="s">
        <v>18</v>
      </c>
      <c r="I2360">
        <v>71.209999999999994</v>
      </c>
      <c r="J2360" t="s">
        <v>19</v>
      </c>
      <c r="K2360" t="s">
        <v>3244</v>
      </c>
      <c r="L2360" t="s">
        <v>21</v>
      </c>
    </row>
    <row r="2361" spans="1:12">
      <c r="A2361" t="s">
        <v>3245</v>
      </c>
      <c r="B2361" t="s">
        <v>3219</v>
      </c>
      <c r="C2361" t="s">
        <v>229</v>
      </c>
      <c r="D2361">
        <v>1982</v>
      </c>
      <c r="E2361" t="s">
        <v>23</v>
      </c>
      <c r="F2361" t="s">
        <v>24</v>
      </c>
      <c r="G2361" t="s">
        <v>25</v>
      </c>
      <c r="H2361" t="s">
        <v>26</v>
      </c>
      <c r="I2361">
        <v>2298309</v>
      </c>
      <c r="J2361" t="s">
        <v>27</v>
      </c>
      <c r="K2361" t="s">
        <v>3244</v>
      </c>
      <c r="L2361" t="s">
        <v>21</v>
      </c>
    </row>
    <row r="2362" spans="1:12">
      <c r="A2362" t="s">
        <v>3246</v>
      </c>
      <c r="B2362" t="s">
        <v>3219</v>
      </c>
      <c r="C2362" t="s">
        <v>229</v>
      </c>
      <c r="D2362">
        <v>1982</v>
      </c>
      <c r="E2362" t="s">
        <v>29</v>
      </c>
      <c r="F2362" t="s">
        <v>30</v>
      </c>
      <c r="G2362" t="s">
        <v>31</v>
      </c>
      <c r="H2362" t="s">
        <v>32</v>
      </c>
      <c r="I2362">
        <v>6068.0513499999997</v>
      </c>
      <c r="J2362" t="s">
        <v>33</v>
      </c>
      <c r="K2362" t="s">
        <v>3244</v>
      </c>
      <c r="L2362" t="s">
        <v>21</v>
      </c>
    </row>
    <row r="2363" spans="1:12">
      <c r="A2363" t="s">
        <v>3247</v>
      </c>
      <c r="B2363" t="s">
        <v>3219</v>
      </c>
      <c r="C2363" t="s">
        <v>229</v>
      </c>
      <c r="D2363">
        <v>1987</v>
      </c>
      <c r="E2363" t="s">
        <v>15</v>
      </c>
      <c r="F2363" t="s">
        <v>16</v>
      </c>
      <c r="G2363" t="s">
        <v>17</v>
      </c>
      <c r="H2363" t="s">
        <v>18</v>
      </c>
      <c r="I2363">
        <v>71.77</v>
      </c>
      <c r="J2363" t="s">
        <v>19</v>
      </c>
      <c r="K2363" t="s">
        <v>3248</v>
      </c>
      <c r="L2363" t="s">
        <v>21</v>
      </c>
    </row>
    <row r="2364" spans="1:12">
      <c r="A2364" t="s">
        <v>3249</v>
      </c>
      <c r="B2364" t="s">
        <v>3219</v>
      </c>
      <c r="C2364" t="s">
        <v>229</v>
      </c>
      <c r="D2364">
        <v>1987</v>
      </c>
      <c r="E2364" t="s">
        <v>23</v>
      </c>
      <c r="F2364" t="s">
        <v>24</v>
      </c>
      <c r="G2364" t="s">
        <v>25</v>
      </c>
      <c r="H2364" t="s">
        <v>26</v>
      </c>
      <c r="I2364">
        <v>2326606</v>
      </c>
      <c r="J2364" t="s">
        <v>27</v>
      </c>
      <c r="K2364" t="s">
        <v>3248</v>
      </c>
      <c r="L2364" t="s">
        <v>21</v>
      </c>
    </row>
    <row r="2365" spans="1:12">
      <c r="A2365" t="s">
        <v>3250</v>
      </c>
      <c r="B2365" t="s">
        <v>3219</v>
      </c>
      <c r="C2365" t="s">
        <v>229</v>
      </c>
      <c r="D2365">
        <v>1987</v>
      </c>
      <c r="E2365" t="s">
        <v>29</v>
      </c>
      <c r="F2365" t="s">
        <v>30</v>
      </c>
      <c r="G2365" t="s">
        <v>31</v>
      </c>
      <c r="H2365" t="s">
        <v>32</v>
      </c>
      <c r="I2365">
        <v>6351.2374950000003</v>
      </c>
      <c r="J2365" t="s">
        <v>33</v>
      </c>
      <c r="K2365" t="s">
        <v>3248</v>
      </c>
      <c r="L2365" t="s">
        <v>21</v>
      </c>
    </row>
    <row r="2366" spans="1:12">
      <c r="A2366" t="s">
        <v>3251</v>
      </c>
      <c r="B2366" t="s">
        <v>3219</v>
      </c>
      <c r="C2366" t="s">
        <v>229</v>
      </c>
      <c r="D2366">
        <v>1992</v>
      </c>
      <c r="E2366" t="s">
        <v>15</v>
      </c>
      <c r="F2366" t="s">
        <v>16</v>
      </c>
      <c r="G2366" t="s">
        <v>17</v>
      </c>
      <c r="H2366" t="s">
        <v>18</v>
      </c>
      <c r="I2366">
        <v>71.766000000000005</v>
      </c>
      <c r="J2366" t="s">
        <v>19</v>
      </c>
      <c r="K2366" t="s">
        <v>3252</v>
      </c>
      <c r="L2366" t="s">
        <v>21</v>
      </c>
    </row>
    <row r="2367" spans="1:12">
      <c r="A2367" t="s">
        <v>3253</v>
      </c>
      <c r="B2367" t="s">
        <v>3219</v>
      </c>
      <c r="C2367" t="s">
        <v>229</v>
      </c>
      <c r="D2367">
        <v>1992</v>
      </c>
      <c r="E2367" t="s">
        <v>23</v>
      </c>
      <c r="F2367" t="s">
        <v>24</v>
      </c>
      <c r="G2367" t="s">
        <v>25</v>
      </c>
      <c r="H2367" t="s">
        <v>26</v>
      </c>
      <c r="I2367">
        <v>2378618</v>
      </c>
      <c r="J2367" t="s">
        <v>27</v>
      </c>
      <c r="K2367" t="s">
        <v>3252</v>
      </c>
      <c r="L2367" t="s">
        <v>21</v>
      </c>
    </row>
    <row r="2368" spans="1:12">
      <c r="A2368" t="s">
        <v>3254</v>
      </c>
      <c r="B2368" t="s">
        <v>3219</v>
      </c>
      <c r="C2368" t="s">
        <v>229</v>
      </c>
      <c r="D2368">
        <v>1992</v>
      </c>
      <c r="E2368" t="s">
        <v>29</v>
      </c>
      <c r="F2368" t="s">
        <v>30</v>
      </c>
      <c r="G2368" t="s">
        <v>31</v>
      </c>
      <c r="H2368" t="s">
        <v>32</v>
      </c>
      <c r="I2368">
        <v>7404.9236849999998</v>
      </c>
      <c r="J2368" t="s">
        <v>33</v>
      </c>
      <c r="K2368" t="s">
        <v>3252</v>
      </c>
      <c r="L2368" t="s">
        <v>21</v>
      </c>
    </row>
    <row r="2369" spans="1:12">
      <c r="A2369" t="s">
        <v>3255</v>
      </c>
      <c r="B2369" t="s">
        <v>3219</v>
      </c>
      <c r="C2369" t="s">
        <v>229</v>
      </c>
      <c r="D2369">
        <v>1997</v>
      </c>
      <c r="E2369" t="s">
        <v>15</v>
      </c>
      <c r="F2369" t="s">
        <v>16</v>
      </c>
      <c r="G2369" t="s">
        <v>17</v>
      </c>
      <c r="H2369" t="s">
        <v>18</v>
      </c>
      <c r="I2369">
        <v>72.262</v>
      </c>
      <c r="J2369" t="s">
        <v>19</v>
      </c>
      <c r="K2369" t="s">
        <v>3256</v>
      </c>
      <c r="L2369" t="s">
        <v>21</v>
      </c>
    </row>
    <row r="2370" spans="1:12">
      <c r="A2370" t="s">
        <v>3257</v>
      </c>
      <c r="B2370" t="s">
        <v>3219</v>
      </c>
      <c r="C2370" t="s">
        <v>229</v>
      </c>
      <c r="D2370">
        <v>1997</v>
      </c>
      <c r="E2370" t="s">
        <v>23</v>
      </c>
      <c r="F2370" t="s">
        <v>24</v>
      </c>
      <c r="G2370" t="s">
        <v>25</v>
      </c>
      <c r="H2370" t="s">
        <v>26</v>
      </c>
      <c r="I2370">
        <v>2531311</v>
      </c>
      <c r="J2370" t="s">
        <v>27</v>
      </c>
      <c r="K2370" t="s">
        <v>3256</v>
      </c>
      <c r="L2370" t="s">
        <v>21</v>
      </c>
    </row>
    <row r="2371" spans="1:12">
      <c r="A2371" t="s">
        <v>3258</v>
      </c>
      <c r="B2371" t="s">
        <v>3219</v>
      </c>
      <c r="C2371" t="s">
        <v>229</v>
      </c>
      <c r="D2371">
        <v>1997</v>
      </c>
      <c r="E2371" t="s">
        <v>29</v>
      </c>
      <c r="F2371" t="s">
        <v>30</v>
      </c>
      <c r="G2371" t="s">
        <v>31</v>
      </c>
      <c r="H2371" t="s">
        <v>32</v>
      </c>
      <c r="I2371">
        <v>7121.924704</v>
      </c>
      <c r="J2371" t="s">
        <v>33</v>
      </c>
      <c r="K2371" t="s">
        <v>3256</v>
      </c>
      <c r="L2371" t="s">
        <v>21</v>
      </c>
    </row>
    <row r="2372" spans="1:12">
      <c r="A2372" t="s">
        <v>3259</v>
      </c>
      <c r="B2372" t="s">
        <v>3219</v>
      </c>
      <c r="C2372" t="s">
        <v>229</v>
      </c>
      <c r="D2372">
        <v>2002</v>
      </c>
      <c r="E2372" t="s">
        <v>15</v>
      </c>
      <c r="F2372" t="s">
        <v>16</v>
      </c>
      <c r="G2372" t="s">
        <v>17</v>
      </c>
      <c r="H2372" t="s">
        <v>18</v>
      </c>
      <c r="I2372">
        <v>72.046999999999997</v>
      </c>
      <c r="J2372" t="s">
        <v>19</v>
      </c>
      <c r="K2372" t="s">
        <v>3260</v>
      </c>
      <c r="L2372" t="s">
        <v>21</v>
      </c>
    </row>
    <row r="2373" spans="1:12">
      <c r="A2373" t="s">
        <v>3261</v>
      </c>
      <c r="B2373" t="s">
        <v>3219</v>
      </c>
      <c r="C2373" t="s">
        <v>229</v>
      </c>
      <c r="D2373">
        <v>2002</v>
      </c>
      <c r="E2373" t="s">
        <v>23</v>
      </c>
      <c r="F2373" t="s">
        <v>24</v>
      </c>
      <c r="G2373" t="s">
        <v>25</v>
      </c>
      <c r="H2373" t="s">
        <v>26</v>
      </c>
      <c r="I2373">
        <v>2664659</v>
      </c>
      <c r="J2373" t="s">
        <v>27</v>
      </c>
      <c r="K2373" t="s">
        <v>3260</v>
      </c>
      <c r="L2373" t="s">
        <v>21</v>
      </c>
    </row>
    <row r="2374" spans="1:12">
      <c r="A2374" t="s">
        <v>3262</v>
      </c>
      <c r="B2374" t="s">
        <v>3219</v>
      </c>
      <c r="C2374" t="s">
        <v>229</v>
      </c>
      <c r="D2374">
        <v>2002</v>
      </c>
      <c r="E2374" t="s">
        <v>29</v>
      </c>
      <c r="F2374" t="s">
        <v>30</v>
      </c>
      <c r="G2374" t="s">
        <v>31</v>
      </c>
      <c r="H2374" t="s">
        <v>32</v>
      </c>
      <c r="I2374">
        <v>6994.7748609999999</v>
      </c>
      <c r="J2374" t="s">
        <v>33</v>
      </c>
      <c r="K2374" t="s">
        <v>3260</v>
      </c>
      <c r="L2374" t="s">
        <v>21</v>
      </c>
    </row>
    <row r="2375" spans="1:12">
      <c r="A2375" t="s">
        <v>3263</v>
      </c>
      <c r="B2375" t="s">
        <v>3219</v>
      </c>
      <c r="C2375" t="s">
        <v>229</v>
      </c>
      <c r="D2375">
        <v>2007</v>
      </c>
      <c r="E2375" t="s">
        <v>15</v>
      </c>
      <c r="F2375" t="s">
        <v>16</v>
      </c>
      <c r="G2375" t="s">
        <v>17</v>
      </c>
      <c r="H2375" t="s">
        <v>18</v>
      </c>
      <c r="I2375">
        <v>72.566999999999993</v>
      </c>
      <c r="J2375" t="s">
        <v>19</v>
      </c>
      <c r="K2375" t="s">
        <v>3264</v>
      </c>
      <c r="L2375" t="s">
        <v>21</v>
      </c>
    </row>
    <row r="2376" spans="1:12">
      <c r="A2376" t="s">
        <v>3265</v>
      </c>
      <c r="B2376" t="s">
        <v>3219</v>
      </c>
      <c r="C2376" t="s">
        <v>229</v>
      </c>
      <c r="D2376">
        <v>2007</v>
      </c>
      <c r="E2376" t="s">
        <v>23</v>
      </c>
      <c r="F2376" t="s">
        <v>24</v>
      </c>
      <c r="G2376" t="s">
        <v>25</v>
      </c>
      <c r="H2376" t="s">
        <v>26</v>
      </c>
      <c r="I2376">
        <v>2780132</v>
      </c>
      <c r="J2376" t="s">
        <v>27</v>
      </c>
      <c r="K2376" t="s">
        <v>3264</v>
      </c>
      <c r="L2376" t="s">
        <v>21</v>
      </c>
    </row>
    <row r="2377" spans="1:12">
      <c r="A2377" t="s">
        <v>3266</v>
      </c>
      <c r="B2377" t="s">
        <v>3219</v>
      </c>
      <c r="C2377" t="s">
        <v>229</v>
      </c>
      <c r="D2377">
        <v>2007</v>
      </c>
      <c r="E2377" t="s">
        <v>29</v>
      </c>
      <c r="F2377" t="s">
        <v>30</v>
      </c>
      <c r="G2377" t="s">
        <v>31</v>
      </c>
      <c r="H2377" t="s">
        <v>32</v>
      </c>
      <c r="I2377">
        <v>7320.8802619999997</v>
      </c>
      <c r="J2377" t="s">
        <v>33</v>
      </c>
      <c r="K2377" t="s">
        <v>3264</v>
      </c>
      <c r="L2377" t="s">
        <v>21</v>
      </c>
    </row>
    <row r="2378" spans="1:12">
      <c r="A2378" t="s">
        <v>3267</v>
      </c>
      <c r="B2378" t="s">
        <v>3268</v>
      </c>
      <c r="C2378" t="s">
        <v>14</v>
      </c>
      <c r="D2378">
        <v>1952</v>
      </c>
      <c r="E2378" t="s">
        <v>15</v>
      </c>
      <c r="F2378" t="s">
        <v>16</v>
      </c>
      <c r="G2378" t="s">
        <v>17</v>
      </c>
      <c r="H2378" t="s">
        <v>18</v>
      </c>
      <c r="I2378">
        <v>63.03</v>
      </c>
      <c r="J2378" t="s">
        <v>19</v>
      </c>
      <c r="K2378" t="s">
        <v>3269</v>
      </c>
      <c r="L2378" t="s">
        <v>21</v>
      </c>
    </row>
    <row r="2379" spans="1:12">
      <c r="A2379" t="s">
        <v>3270</v>
      </c>
      <c r="B2379" t="s">
        <v>3268</v>
      </c>
      <c r="C2379" t="s">
        <v>14</v>
      </c>
      <c r="D2379">
        <v>1952</v>
      </c>
      <c r="E2379" t="s">
        <v>23</v>
      </c>
      <c r="F2379" t="s">
        <v>24</v>
      </c>
      <c r="G2379" t="s">
        <v>25</v>
      </c>
      <c r="H2379" t="s">
        <v>26</v>
      </c>
      <c r="I2379">
        <v>86459025</v>
      </c>
      <c r="J2379" t="s">
        <v>27</v>
      </c>
      <c r="K2379" t="s">
        <v>3269</v>
      </c>
      <c r="L2379" t="s">
        <v>21</v>
      </c>
    </row>
    <row r="2380" spans="1:12">
      <c r="A2380" t="s">
        <v>3271</v>
      </c>
      <c r="B2380" t="s">
        <v>3268</v>
      </c>
      <c r="C2380" t="s">
        <v>14</v>
      </c>
      <c r="D2380">
        <v>1952</v>
      </c>
      <c r="E2380" t="s">
        <v>29</v>
      </c>
      <c r="F2380" t="s">
        <v>30</v>
      </c>
      <c r="G2380" t="s">
        <v>31</v>
      </c>
      <c r="H2380" t="s">
        <v>32</v>
      </c>
      <c r="I2380">
        <v>3216.9563469999998</v>
      </c>
      <c r="J2380" t="s">
        <v>33</v>
      </c>
      <c r="K2380" t="s">
        <v>3269</v>
      </c>
      <c r="L2380" t="s">
        <v>21</v>
      </c>
    </row>
    <row r="2381" spans="1:12">
      <c r="A2381" t="s">
        <v>3272</v>
      </c>
      <c r="B2381" t="s">
        <v>3268</v>
      </c>
      <c r="C2381" t="s">
        <v>14</v>
      </c>
      <c r="D2381">
        <v>1957</v>
      </c>
      <c r="E2381" t="s">
        <v>15</v>
      </c>
      <c r="F2381" t="s">
        <v>16</v>
      </c>
      <c r="G2381" t="s">
        <v>17</v>
      </c>
      <c r="H2381" t="s">
        <v>18</v>
      </c>
      <c r="I2381">
        <v>65.5</v>
      </c>
      <c r="J2381" t="s">
        <v>19</v>
      </c>
      <c r="K2381" t="s">
        <v>3273</v>
      </c>
      <c r="L2381" t="s">
        <v>21</v>
      </c>
    </row>
    <row r="2382" spans="1:12">
      <c r="A2382" t="s">
        <v>3274</v>
      </c>
      <c r="B2382" t="s">
        <v>3268</v>
      </c>
      <c r="C2382" t="s">
        <v>14</v>
      </c>
      <c r="D2382">
        <v>1957</v>
      </c>
      <c r="E2382" t="s">
        <v>23</v>
      </c>
      <c r="F2382" t="s">
        <v>24</v>
      </c>
      <c r="G2382" t="s">
        <v>25</v>
      </c>
      <c r="H2382" t="s">
        <v>26</v>
      </c>
      <c r="I2382">
        <v>91563009</v>
      </c>
      <c r="J2382" t="s">
        <v>27</v>
      </c>
      <c r="K2382" t="s">
        <v>3273</v>
      </c>
      <c r="L2382" t="s">
        <v>21</v>
      </c>
    </row>
    <row r="2383" spans="1:12">
      <c r="A2383" t="s">
        <v>3275</v>
      </c>
      <c r="B2383" t="s">
        <v>3268</v>
      </c>
      <c r="C2383" t="s">
        <v>14</v>
      </c>
      <c r="D2383">
        <v>1957</v>
      </c>
      <c r="E2383" t="s">
        <v>29</v>
      </c>
      <c r="F2383" t="s">
        <v>30</v>
      </c>
      <c r="G2383" t="s">
        <v>31</v>
      </c>
      <c r="H2383" t="s">
        <v>32</v>
      </c>
      <c r="I2383">
        <v>4317.6943650000003</v>
      </c>
      <c r="J2383" t="s">
        <v>33</v>
      </c>
      <c r="K2383" t="s">
        <v>3273</v>
      </c>
      <c r="L2383" t="s">
        <v>21</v>
      </c>
    </row>
    <row r="2384" spans="1:12">
      <c r="A2384" t="s">
        <v>3276</v>
      </c>
      <c r="B2384" t="s">
        <v>3268</v>
      </c>
      <c r="C2384" t="s">
        <v>14</v>
      </c>
      <c r="D2384">
        <v>1962</v>
      </c>
      <c r="E2384" t="s">
        <v>15</v>
      </c>
      <c r="F2384" t="s">
        <v>16</v>
      </c>
      <c r="G2384" t="s">
        <v>17</v>
      </c>
      <c r="H2384" t="s">
        <v>18</v>
      </c>
      <c r="I2384">
        <v>68.73</v>
      </c>
      <c r="J2384" t="s">
        <v>19</v>
      </c>
      <c r="K2384" t="s">
        <v>3277</v>
      </c>
      <c r="L2384" t="s">
        <v>21</v>
      </c>
    </row>
    <row r="2385" spans="1:12">
      <c r="A2385" t="s">
        <v>3278</v>
      </c>
      <c r="B2385" t="s">
        <v>3268</v>
      </c>
      <c r="C2385" t="s">
        <v>14</v>
      </c>
      <c r="D2385">
        <v>1962</v>
      </c>
      <c r="E2385" t="s">
        <v>23</v>
      </c>
      <c r="F2385" t="s">
        <v>24</v>
      </c>
      <c r="G2385" t="s">
        <v>25</v>
      </c>
      <c r="H2385" t="s">
        <v>26</v>
      </c>
      <c r="I2385">
        <v>95831757</v>
      </c>
      <c r="J2385" t="s">
        <v>27</v>
      </c>
      <c r="K2385" t="s">
        <v>3277</v>
      </c>
      <c r="L2385" t="s">
        <v>21</v>
      </c>
    </row>
    <row r="2386" spans="1:12">
      <c r="A2386" t="s">
        <v>3279</v>
      </c>
      <c r="B2386" t="s">
        <v>3268</v>
      </c>
      <c r="C2386" t="s">
        <v>14</v>
      </c>
      <c r="D2386">
        <v>1962</v>
      </c>
      <c r="E2386" t="s">
        <v>29</v>
      </c>
      <c r="F2386" t="s">
        <v>30</v>
      </c>
      <c r="G2386" t="s">
        <v>31</v>
      </c>
      <c r="H2386" t="s">
        <v>32</v>
      </c>
      <c r="I2386">
        <v>6576.649461</v>
      </c>
      <c r="J2386" t="s">
        <v>33</v>
      </c>
      <c r="K2386" t="s">
        <v>3277</v>
      </c>
      <c r="L2386" t="s">
        <v>21</v>
      </c>
    </row>
    <row r="2387" spans="1:12">
      <c r="A2387" t="s">
        <v>3280</v>
      </c>
      <c r="B2387" t="s">
        <v>3268</v>
      </c>
      <c r="C2387" t="s">
        <v>14</v>
      </c>
      <c r="D2387">
        <v>1967</v>
      </c>
      <c r="E2387" t="s">
        <v>15</v>
      </c>
      <c r="F2387" t="s">
        <v>16</v>
      </c>
      <c r="G2387" t="s">
        <v>17</v>
      </c>
      <c r="H2387" t="s">
        <v>18</v>
      </c>
      <c r="I2387">
        <v>71.430000000000007</v>
      </c>
      <c r="J2387" t="s">
        <v>19</v>
      </c>
      <c r="K2387" t="s">
        <v>3281</v>
      </c>
      <c r="L2387" t="s">
        <v>21</v>
      </c>
    </row>
    <row r="2388" spans="1:12">
      <c r="A2388" t="s">
        <v>3282</v>
      </c>
      <c r="B2388" t="s">
        <v>3268</v>
      </c>
      <c r="C2388" t="s">
        <v>14</v>
      </c>
      <c r="D2388">
        <v>1967</v>
      </c>
      <c r="E2388" t="s">
        <v>23</v>
      </c>
      <c r="F2388" t="s">
        <v>24</v>
      </c>
      <c r="G2388" t="s">
        <v>25</v>
      </c>
      <c r="H2388" t="s">
        <v>26</v>
      </c>
      <c r="I2388">
        <v>100825279</v>
      </c>
      <c r="J2388" t="s">
        <v>27</v>
      </c>
      <c r="K2388" t="s">
        <v>3281</v>
      </c>
      <c r="L2388" t="s">
        <v>21</v>
      </c>
    </row>
    <row r="2389" spans="1:12">
      <c r="A2389" t="s">
        <v>3283</v>
      </c>
      <c r="B2389" t="s">
        <v>3268</v>
      </c>
      <c r="C2389" t="s">
        <v>14</v>
      </c>
      <c r="D2389">
        <v>1967</v>
      </c>
      <c r="E2389" t="s">
        <v>29</v>
      </c>
      <c r="F2389" t="s">
        <v>30</v>
      </c>
      <c r="G2389" t="s">
        <v>31</v>
      </c>
      <c r="H2389" t="s">
        <v>32</v>
      </c>
      <c r="I2389">
        <v>9847.7886070000004</v>
      </c>
      <c r="J2389" t="s">
        <v>33</v>
      </c>
      <c r="K2389" t="s">
        <v>3281</v>
      </c>
      <c r="L2389" t="s">
        <v>21</v>
      </c>
    </row>
    <row r="2390" spans="1:12">
      <c r="A2390" t="s">
        <v>3284</v>
      </c>
      <c r="B2390" t="s">
        <v>3268</v>
      </c>
      <c r="C2390" t="s">
        <v>14</v>
      </c>
      <c r="D2390">
        <v>1972</v>
      </c>
      <c r="E2390" t="s">
        <v>15</v>
      </c>
      <c r="F2390" t="s">
        <v>16</v>
      </c>
      <c r="G2390" t="s">
        <v>17</v>
      </c>
      <c r="H2390" t="s">
        <v>18</v>
      </c>
      <c r="I2390">
        <v>73.42</v>
      </c>
      <c r="J2390" t="s">
        <v>19</v>
      </c>
      <c r="K2390" t="s">
        <v>3285</v>
      </c>
      <c r="L2390" t="s">
        <v>21</v>
      </c>
    </row>
    <row r="2391" spans="1:12">
      <c r="A2391" t="s">
        <v>3286</v>
      </c>
      <c r="B2391" t="s">
        <v>3268</v>
      </c>
      <c r="C2391" t="s">
        <v>14</v>
      </c>
      <c r="D2391">
        <v>1972</v>
      </c>
      <c r="E2391" t="s">
        <v>23</v>
      </c>
      <c r="F2391" t="s">
        <v>24</v>
      </c>
      <c r="G2391" t="s">
        <v>25</v>
      </c>
      <c r="H2391" t="s">
        <v>26</v>
      </c>
      <c r="I2391">
        <v>107188273</v>
      </c>
      <c r="J2391" t="s">
        <v>27</v>
      </c>
      <c r="K2391" t="s">
        <v>3285</v>
      </c>
      <c r="L2391" t="s">
        <v>21</v>
      </c>
    </row>
    <row r="2392" spans="1:12">
      <c r="A2392" t="s">
        <v>3287</v>
      </c>
      <c r="B2392" t="s">
        <v>3268</v>
      </c>
      <c r="C2392" t="s">
        <v>14</v>
      </c>
      <c r="D2392">
        <v>1972</v>
      </c>
      <c r="E2392" t="s">
        <v>29</v>
      </c>
      <c r="F2392" t="s">
        <v>30</v>
      </c>
      <c r="G2392" t="s">
        <v>31</v>
      </c>
      <c r="H2392" t="s">
        <v>32</v>
      </c>
      <c r="I2392">
        <v>14778.78636</v>
      </c>
      <c r="J2392" t="s">
        <v>33</v>
      </c>
      <c r="K2392" t="s">
        <v>3285</v>
      </c>
      <c r="L2392" t="s">
        <v>21</v>
      </c>
    </row>
    <row r="2393" spans="1:12">
      <c r="A2393" t="s">
        <v>3288</v>
      </c>
      <c r="B2393" t="s">
        <v>3268</v>
      </c>
      <c r="C2393" t="s">
        <v>14</v>
      </c>
      <c r="D2393">
        <v>1977</v>
      </c>
      <c r="E2393" t="s">
        <v>15</v>
      </c>
      <c r="F2393" t="s">
        <v>16</v>
      </c>
      <c r="G2393" t="s">
        <v>17</v>
      </c>
      <c r="H2393" t="s">
        <v>18</v>
      </c>
      <c r="I2393">
        <v>75.38</v>
      </c>
      <c r="J2393" t="s">
        <v>19</v>
      </c>
      <c r="K2393" t="s">
        <v>3289</v>
      </c>
      <c r="L2393" t="s">
        <v>21</v>
      </c>
    </row>
    <row r="2394" spans="1:12">
      <c r="A2394" t="s">
        <v>3290</v>
      </c>
      <c r="B2394" t="s">
        <v>3268</v>
      </c>
      <c r="C2394" t="s">
        <v>14</v>
      </c>
      <c r="D2394">
        <v>1977</v>
      </c>
      <c r="E2394" t="s">
        <v>23</v>
      </c>
      <c r="F2394" t="s">
        <v>24</v>
      </c>
      <c r="G2394" t="s">
        <v>25</v>
      </c>
      <c r="H2394" t="s">
        <v>26</v>
      </c>
      <c r="I2394">
        <v>113872473</v>
      </c>
      <c r="J2394" t="s">
        <v>27</v>
      </c>
      <c r="K2394" t="s">
        <v>3289</v>
      </c>
      <c r="L2394" t="s">
        <v>21</v>
      </c>
    </row>
    <row r="2395" spans="1:12">
      <c r="A2395" t="s">
        <v>3291</v>
      </c>
      <c r="B2395" t="s">
        <v>3268</v>
      </c>
      <c r="C2395" t="s">
        <v>14</v>
      </c>
      <c r="D2395">
        <v>1977</v>
      </c>
      <c r="E2395" t="s">
        <v>29</v>
      </c>
      <c r="F2395" t="s">
        <v>30</v>
      </c>
      <c r="G2395" t="s">
        <v>31</v>
      </c>
      <c r="H2395" t="s">
        <v>32</v>
      </c>
      <c r="I2395">
        <v>16610.37701</v>
      </c>
      <c r="J2395" t="s">
        <v>33</v>
      </c>
      <c r="K2395" t="s">
        <v>3289</v>
      </c>
      <c r="L2395" t="s">
        <v>21</v>
      </c>
    </row>
    <row r="2396" spans="1:12">
      <c r="A2396" t="s">
        <v>3292</v>
      </c>
      <c r="B2396" t="s">
        <v>3268</v>
      </c>
      <c r="C2396" t="s">
        <v>14</v>
      </c>
      <c r="D2396">
        <v>1982</v>
      </c>
      <c r="E2396" t="s">
        <v>15</v>
      </c>
      <c r="F2396" t="s">
        <v>16</v>
      </c>
      <c r="G2396" t="s">
        <v>17</v>
      </c>
      <c r="H2396" t="s">
        <v>18</v>
      </c>
      <c r="I2396">
        <v>77.11</v>
      </c>
      <c r="J2396" t="s">
        <v>19</v>
      </c>
      <c r="K2396" t="s">
        <v>3293</v>
      </c>
      <c r="L2396" t="s">
        <v>21</v>
      </c>
    </row>
    <row r="2397" spans="1:12">
      <c r="A2397" t="s">
        <v>3294</v>
      </c>
      <c r="B2397" t="s">
        <v>3268</v>
      </c>
      <c r="C2397" t="s">
        <v>14</v>
      </c>
      <c r="D2397">
        <v>1982</v>
      </c>
      <c r="E2397" t="s">
        <v>23</v>
      </c>
      <c r="F2397" t="s">
        <v>24</v>
      </c>
      <c r="G2397" t="s">
        <v>25</v>
      </c>
      <c r="H2397" t="s">
        <v>26</v>
      </c>
      <c r="I2397">
        <v>118454974</v>
      </c>
      <c r="J2397" t="s">
        <v>27</v>
      </c>
      <c r="K2397" t="s">
        <v>3293</v>
      </c>
      <c r="L2397" t="s">
        <v>21</v>
      </c>
    </row>
    <row r="2398" spans="1:12">
      <c r="A2398" t="s">
        <v>3295</v>
      </c>
      <c r="B2398" t="s">
        <v>3268</v>
      </c>
      <c r="C2398" t="s">
        <v>14</v>
      </c>
      <c r="D2398">
        <v>1982</v>
      </c>
      <c r="E2398" t="s">
        <v>29</v>
      </c>
      <c r="F2398" t="s">
        <v>30</v>
      </c>
      <c r="G2398" t="s">
        <v>31</v>
      </c>
      <c r="H2398" t="s">
        <v>32</v>
      </c>
      <c r="I2398">
        <v>19384.10571</v>
      </c>
      <c r="J2398" t="s">
        <v>33</v>
      </c>
      <c r="K2398" t="s">
        <v>3293</v>
      </c>
      <c r="L2398" t="s">
        <v>21</v>
      </c>
    </row>
    <row r="2399" spans="1:12">
      <c r="A2399" t="s">
        <v>3296</v>
      </c>
      <c r="B2399" t="s">
        <v>3268</v>
      </c>
      <c r="C2399" t="s">
        <v>14</v>
      </c>
      <c r="D2399">
        <v>1987</v>
      </c>
      <c r="E2399" t="s">
        <v>15</v>
      </c>
      <c r="F2399" t="s">
        <v>16</v>
      </c>
      <c r="G2399" t="s">
        <v>17</v>
      </c>
      <c r="H2399" t="s">
        <v>18</v>
      </c>
      <c r="I2399">
        <v>78.67</v>
      </c>
      <c r="J2399" t="s">
        <v>19</v>
      </c>
      <c r="K2399" t="s">
        <v>3297</v>
      </c>
      <c r="L2399" t="s">
        <v>21</v>
      </c>
    </row>
    <row r="2400" spans="1:12">
      <c r="A2400" t="s">
        <v>3298</v>
      </c>
      <c r="B2400" t="s">
        <v>3268</v>
      </c>
      <c r="C2400" t="s">
        <v>14</v>
      </c>
      <c r="D2400">
        <v>1987</v>
      </c>
      <c r="E2400" t="s">
        <v>23</v>
      </c>
      <c r="F2400" t="s">
        <v>24</v>
      </c>
      <c r="G2400" t="s">
        <v>25</v>
      </c>
      <c r="H2400" t="s">
        <v>26</v>
      </c>
      <c r="I2400">
        <v>122091325</v>
      </c>
      <c r="J2400" t="s">
        <v>27</v>
      </c>
      <c r="K2400" t="s">
        <v>3297</v>
      </c>
      <c r="L2400" t="s">
        <v>21</v>
      </c>
    </row>
    <row r="2401" spans="1:12">
      <c r="A2401" t="s">
        <v>3299</v>
      </c>
      <c r="B2401" t="s">
        <v>3268</v>
      </c>
      <c r="C2401" t="s">
        <v>14</v>
      </c>
      <c r="D2401">
        <v>1987</v>
      </c>
      <c r="E2401" t="s">
        <v>29</v>
      </c>
      <c r="F2401" t="s">
        <v>30</v>
      </c>
      <c r="G2401" t="s">
        <v>31</v>
      </c>
      <c r="H2401" t="s">
        <v>32</v>
      </c>
      <c r="I2401">
        <v>22375.941889999998</v>
      </c>
      <c r="J2401" t="s">
        <v>33</v>
      </c>
      <c r="K2401" t="s">
        <v>3297</v>
      </c>
      <c r="L2401" t="s">
        <v>21</v>
      </c>
    </row>
    <row r="2402" spans="1:12">
      <c r="A2402" t="s">
        <v>3300</v>
      </c>
      <c r="B2402" t="s">
        <v>3268</v>
      </c>
      <c r="C2402" t="s">
        <v>14</v>
      </c>
      <c r="D2402">
        <v>1992</v>
      </c>
      <c r="E2402" t="s">
        <v>15</v>
      </c>
      <c r="F2402" t="s">
        <v>16</v>
      </c>
      <c r="G2402" t="s">
        <v>17</v>
      </c>
      <c r="H2402" t="s">
        <v>18</v>
      </c>
      <c r="I2402">
        <v>79.36</v>
      </c>
      <c r="J2402" t="s">
        <v>19</v>
      </c>
      <c r="K2402" t="s">
        <v>3301</v>
      </c>
      <c r="L2402" t="s">
        <v>21</v>
      </c>
    </row>
    <row r="2403" spans="1:12">
      <c r="A2403" t="s">
        <v>3302</v>
      </c>
      <c r="B2403" t="s">
        <v>3268</v>
      </c>
      <c r="C2403" t="s">
        <v>14</v>
      </c>
      <c r="D2403">
        <v>1992</v>
      </c>
      <c r="E2403" t="s">
        <v>23</v>
      </c>
      <c r="F2403" t="s">
        <v>24</v>
      </c>
      <c r="G2403" t="s">
        <v>25</v>
      </c>
      <c r="H2403" t="s">
        <v>26</v>
      </c>
      <c r="I2403">
        <v>124329269</v>
      </c>
      <c r="J2403" t="s">
        <v>27</v>
      </c>
      <c r="K2403" t="s">
        <v>3301</v>
      </c>
      <c r="L2403" t="s">
        <v>21</v>
      </c>
    </row>
    <row r="2404" spans="1:12">
      <c r="A2404" t="s">
        <v>3303</v>
      </c>
      <c r="B2404" t="s">
        <v>3268</v>
      </c>
      <c r="C2404" t="s">
        <v>14</v>
      </c>
      <c r="D2404">
        <v>1992</v>
      </c>
      <c r="E2404" t="s">
        <v>29</v>
      </c>
      <c r="F2404" t="s">
        <v>30</v>
      </c>
      <c r="G2404" t="s">
        <v>31</v>
      </c>
      <c r="H2404" t="s">
        <v>32</v>
      </c>
      <c r="I2404">
        <v>26824.895110000001</v>
      </c>
      <c r="J2404" t="s">
        <v>33</v>
      </c>
      <c r="K2404" t="s">
        <v>3301</v>
      </c>
      <c r="L2404" t="s">
        <v>21</v>
      </c>
    </row>
    <row r="2405" spans="1:12">
      <c r="A2405" t="s">
        <v>3304</v>
      </c>
      <c r="B2405" t="s">
        <v>3268</v>
      </c>
      <c r="C2405" t="s">
        <v>14</v>
      </c>
      <c r="D2405">
        <v>1997</v>
      </c>
      <c r="E2405" t="s">
        <v>15</v>
      </c>
      <c r="F2405" t="s">
        <v>16</v>
      </c>
      <c r="G2405" t="s">
        <v>17</v>
      </c>
      <c r="H2405" t="s">
        <v>18</v>
      </c>
      <c r="I2405">
        <v>80.69</v>
      </c>
      <c r="J2405" t="s">
        <v>19</v>
      </c>
      <c r="K2405" t="s">
        <v>3305</v>
      </c>
      <c r="L2405" t="s">
        <v>21</v>
      </c>
    </row>
    <row r="2406" spans="1:12">
      <c r="A2406" t="s">
        <v>3306</v>
      </c>
      <c r="B2406" t="s">
        <v>3268</v>
      </c>
      <c r="C2406" t="s">
        <v>14</v>
      </c>
      <c r="D2406">
        <v>1997</v>
      </c>
      <c r="E2406" t="s">
        <v>23</v>
      </c>
      <c r="F2406" t="s">
        <v>24</v>
      </c>
      <c r="G2406" t="s">
        <v>25</v>
      </c>
      <c r="H2406" t="s">
        <v>26</v>
      </c>
      <c r="I2406">
        <v>125956499</v>
      </c>
      <c r="J2406" t="s">
        <v>27</v>
      </c>
      <c r="K2406" t="s">
        <v>3305</v>
      </c>
      <c r="L2406" t="s">
        <v>21</v>
      </c>
    </row>
    <row r="2407" spans="1:12">
      <c r="A2407" t="s">
        <v>3307</v>
      </c>
      <c r="B2407" t="s">
        <v>3268</v>
      </c>
      <c r="C2407" t="s">
        <v>14</v>
      </c>
      <c r="D2407">
        <v>1997</v>
      </c>
      <c r="E2407" t="s">
        <v>29</v>
      </c>
      <c r="F2407" t="s">
        <v>30</v>
      </c>
      <c r="G2407" t="s">
        <v>31</v>
      </c>
      <c r="H2407" t="s">
        <v>32</v>
      </c>
      <c r="I2407">
        <v>28816.584989999999</v>
      </c>
      <c r="J2407" t="s">
        <v>33</v>
      </c>
      <c r="K2407" t="s">
        <v>3305</v>
      </c>
      <c r="L2407" t="s">
        <v>21</v>
      </c>
    </row>
    <row r="2408" spans="1:12">
      <c r="A2408" t="s">
        <v>3308</v>
      </c>
      <c r="B2408" t="s">
        <v>3268</v>
      </c>
      <c r="C2408" t="s">
        <v>14</v>
      </c>
      <c r="D2408">
        <v>2002</v>
      </c>
      <c r="E2408" t="s">
        <v>15</v>
      </c>
      <c r="F2408" t="s">
        <v>16</v>
      </c>
      <c r="G2408" t="s">
        <v>17</v>
      </c>
      <c r="H2408" t="s">
        <v>18</v>
      </c>
      <c r="I2408">
        <v>82</v>
      </c>
      <c r="J2408" t="s">
        <v>19</v>
      </c>
      <c r="K2408" t="s">
        <v>3309</v>
      </c>
      <c r="L2408" t="s">
        <v>21</v>
      </c>
    </row>
    <row r="2409" spans="1:12">
      <c r="A2409" t="s">
        <v>3310</v>
      </c>
      <c r="B2409" t="s">
        <v>3268</v>
      </c>
      <c r="C2409" t="s">
        <v>14</v>
      </c>
      <c r="D2409">
        <v>2002</v>
      </c>
      <c r="E2409" t="s">
        <v>23</v>
      </c>
      <c r="F2409" t="s">
        <v>24</v>
      </c>
      <c r="G2409" t="s">
        <v>25</v>
      </c>
      <c r="H2409" t="s">
        <v>26</v>
      </c>
      <c r="I2409">
        <v>127065841</v>
      </c>
      <c r="J2409" t="s">
        <v>27</v>
      </c>
      <c r="K2409" t="s">
        <v>3309</v>
      </c>
      <c r="L2409" t="s">
        <v>21</v>
      </c>
    </row>
    <row r="2410" spans="1:12">
      <c r="A2410" t="s">
        <v>3311</v>
      </c>
      <c r="B2410" t="s">
        <v>3268</v>
      </c>
      <c r="C2410" t="s">
        <v>14</v>
      </c>
      <c r="D2410">
        <v>2002</v>
      </c>
      <c r="E2410" t="s">
        <v>29</v>
      </c>
      <c r="F2410" t="s">
        <v>30</v>
      </c>
      <c r="G2410" t="s">
        <v>31</v>
      </c>
      <c r="H2410" t="s">
        <v>32</v>
      </c>
      <c r="I2410">
        <v>28604.591899999999</v>
      </c>
      <c r="J2410" t="s">
        <v>33</v>
      </c>
      <c r="K2410" t="s">
        <v>3309</v>
      </c>
      <c r="L2410" t="s">
        <v>21</v>
      </c>
    </row>
    <row r="2411" spans="1:12">
      <c r="A2411" t="s">
        <v>3312</v>
      </c>
      <c r="B2411" t="s">
        <v>3268</v>
      </c>
      <c r="C2411" t="s">
        <v>14</v>
      </c>
      <c r="D2411">
        <v>2007</v>
      </c>
      <c r="E2411" t="s">
        <v>15</v>
      </c>
      <c r="F2411" t="s">
        <v>16</v>
      </c>
      <c r="G2411" t="s">
        <v>17</v>
      </c>
      <c r="H2411" t="s">
        <v>18</v>
      </c>
      <c r="I2411">
        <v>82.602999999999994</v>
      </c>
      <c r="J2411" t="s">
        <v>19</v>
      </c>
      <c r="K2411" t="s">
        <v>3313</v>
      </c>
      <c r="L2411" t="s">
        <v>21</v>
      </c>
    </row>
    <row r="2412" spans="1:12">
      <c r="A2412" t="s">
        <v>3314</v>
      </c>
      <c r="B2412" t="s">
        <v>3268</v>
      </c>
      <c r="C2412" t="s">
        <v>14</v>
      </c>
      <c r="D2412">
        <v>2007</v>
      </c>
      <c r="E2412" t="s">
        <v>23</v>
      </c>
      <c r="F2412" t="s">
        <v>24</v>
      </c>
      <c r="G2412" t="s">
        <v>25</v>
      </c>
      <c r="H2412" t="s">
        <v>26</v>
      </c>
      <c r="I2412">
        <v>127467972</v>
      </c>
      <c r="J2412" t="s">
        <v>27</v>
      </c>
      <c r="K2412" t="s">
        <v>3313</v>
      </c>
      <c r="L2412" t="s">
        <v>21</v>
      </c>
    </row>
    <row r="2413" spans="1:12">
      <c r="A2413" t="s">
        <v>3315</v>
      </c>
      <c r="B2413" t="s">
        <v>3268</v>
      </c>
      <c r="C2413" t="s">
        <v>14</v>
      </c>
      <c r="D2413">
        <v>2007</v>
      </c>
      <c r="E2413" t="s">
        <v>29</v>
      </c>
      <c r="F2413" t="s">
        <v>30</v>
      </c>
      <c r="G2413" t="s">
        <v>31</v>
      </c>
      <c r="H2413" t="s">
        <v>32</v>
      </c>
      <c r="I2413">
        <v>31656.068060000001</v>
      </c>
      <c r="J2413" t="s">
        <v>33</v>
      </c>
      <c r="K2413" t="s">
        <v>3313</v>
      </c>
      <c r="L2413" t="s">
        <v>21</v>
      </c>
    </row>
    <row r="2414" spans="1:12">
      <c r="A2414" t="s">
        <v>3316</v>
      </c>
      <c r="B2414" t="s">
        <v>3317</v>
      </c>
      <c r="C2414" t="s">
        <v>14</v>
      </c>
      <c r="D2414">
        <v>1952</v>
      </c>
      <c r="E2414" t="s">
        <v>15</v>
      </c>
      <c r="F2414" t="s">
        <v>16</v>
      </c>
      <c r="G2414" t="s">
        <v>17</v>
      </c>
      <c r="H2414" t="s">
        <v>18</v>
      </c>
      <c r="I2414">
        <v>43.158000000000001</v>
      </c>
      <c r="J2414" t="s">
        <v>19</v>
      </c>
      <c r="K2414" t="s">
        <v>3318</v>
      </c>
      <c r="L2414" t="s">
        <v>21</v>
      </c>
    </row>
    <row r="2415" spans="1:12">
      <c r="A2415" t="s">
        <v>3319</v>
      </c>
      <c r="B2415" t="s">
        <v>3317</v>
      </c>
      <c r="C2415" t="s">
        <v>14</v>
      </c>
      <c r="D2415">
        <v>1952</v>
      </c>
      <c r="E2415" t="s">
        <v>23</v>
      </c>
      <c r="F2415" t="s">
        <v>24</v>
      </c>
      <c r="G2415" t="s">
        <v>25</v>
      </c>
      <c r="H2415" t="s">
        <v>26</v>
      </c>
      <c r="I2415">
        <v>607914</v>
      </c>
      <c r="J2415" t="s">
        <v>27</v>
      </c>
      <c r="K2415" t="s">
        <v>3318</v>
      </c>
      <c r="L2415" t="s">
        <v>21</v>
      </c>
    </row>
    <row r="2416" spans="1:12">
      <c r="A2416" t="s">
        <v>3320</v>
      </c>
      <c r="B2416" t="s">
        <v>3317</v>
      </c>
      <c r="C2416" t="s">
        <v>14</v>
      </c>
      <c r="D2416">
        <v>1952</v>
      </c>
      <c r="E2416" t="s">
        <v>29</v>
      </c>
      <c r="F2416" t="s">
        <v>30</v>
      </c>
      <c r="G2416" t="s">
        <v>31</v>
      </c>
      <c r="H2416" t="s">
        <v>32</v>
      </c>
      <c r="I2416">
        <v>1546.907807</v>
      </c>
      <c r="J2416" t="s">
        <v>33</v>
      </c>
      <c r="K2416" t="s">
        <v>3318</v>
      </c>
      <c r="L2416" t="s">
        <v>21</v>
      </c>
    </row>
    <row r="2417" spans="1:12">
      <c r="A2417" t="s">
        <v>3321</v>
      </c>
      <c r="B2417" t="s">
        <v>3317</v>
      </c>
      <c r="C2417" t="s">
        <v>14</v>
      </c>
      <c r="D2417">
        <v>1957</v>
      </c>
      <c r="E2417" t="s">
        <v>15</v>
      </c>
      <c r="F2417" t="s">
        <v>16</v>
      </c>
      <c r="G2417" t="s">
        <v>17</v>
      </c>
      <c r="H2417" t="s">
        <v>18</v>
      </c>
      <c r="I2417">
        <v>45.668999999999997</v>
      </c>
      <c r="J2417" t="s">
        <v>19</v>
      </c>
      <c r="K2417" t="s">
        <v>3322</v>
      </c>
      <c r="L2417" t="s">
        <v>21</v>
      </c>
    </row>
    <row r="2418" spans="1:12">
      <c r="A2418" t="s">
        <v>3323</v>
      </c>
      <c r="B2418" t="s">
        <v>3317</v>
      </c>
      <c r="C2418" t="s">
        <v>14</v>
      </c>
      <c r="D2418">
        <v>1957</v>
      </c>
      <c r="E2418" t="s">
        <v>23</v>
      </c>
      <c r="F2418" t="s">
        <v>24</v>
      </c>
      <c r="G2418" t="s">
        <v>25</v>
      </c>
      <c r="H2418" t="s">
        <v>26</v>
      </c>
      <c r="I2418">
        <v>746559</v>
      </c>
      <c r="J2418" t="s">
        <v>27</v>
      </c>
      <c r="K2418" t="s">
        <v>3322</v>
      </c>
      <c r="L2418" t="s">
        <v>21</v>
      </c>
    </row>
    <row r="2419" spans="1:12">
      <c r="A2419" t="s">
        <v>3324</v>
      </c>
      <c r="B2419" t="s">
        <v>3317</v>
      </c>
      <c r="C2419" t="s">
        <v>14</v>
      </c>
      <c r="D2419">
        <v>1957</v>
      </c>
      <c r="E2419" t="s">
        <v>29</v>
      </c>
      <c r="F2419" t="s">
        <v>30</v>
      </c>
      <c r="G2419" t="s">
        <v>31</v>
      </c>
      <c r="H2419" t="s">
        <v>32</v>
      </c>
      <c r="I2419">
        <v>1886.0805909999999</v>
      </c>
      <c r="J2419" t="s">
        <v>33</v>
      </c>
      <c r="K2419" t="s">
        <v>3322</v>
      </c>
      <c r="L2419" t="s">
        <v>21</v>
      </c>
    </row>
    <row r="2420" spans="1:12">
      <c r="A2420" t="s">
        <v>3325</v>
      </c>
      <c r="B2420" t="s">
        <v>3317</v>
      </c>
      <c r="C2420" t="s">
        <v>14</v>
      </c>
      <c r="D2420">
        <v>1962</v>
      </c>
      <c r="E2420" t="s">
        <v>15</v>
      </c>
      <c r="F2420" t="s">
        <v>16</v>
      </c>
      <c r="G2420" t="s">
        <v>17</v>
      </c>
      <c r="H2420" t="s">
        <v>18</v>
      </c>
      <c r="I2420">
        <v>48.125999999999998</v>
      </c>
      <c r="J2420" t="s">
        <v>19</v>
      </c>
      <c r="K2420" t="s">
        <v>3326</v>
      </c>
      <c r="L2420" t="s">
        <v>21</v>
      </c>
    </row>
    <row r="2421" spans="1:12">
      <c r="A2421" t="s">
        <v>3327</v>
      </c>
      <c r="B2421" t="s">
        <v>3317</v>
      </c>
      <c r="C2421" t="s">
        <v>14</v>
      </c>
      <c r="D2421">
        <v>1962</v>
      </c>
      <c r="E2421" t="s">
        <v>23</v>
      </c>
      <c r="F2421" t="s">
        <v>24</v>
      </c>
      <c r="G2421" t="s">
        <v>25</v>
      </c>
      <c r="H2421" t="s">
        <v>26</v>
      </c>
      <c r="I2421">
        <v>933559</v>
      </c>
      <c r="J2421" t="s">
        <v>27</v>
      </c>
      <c r="K2421" t="s">
        <v>3326</v>
      </c>
      <c r="L2421" t="s">
        <v>21</v>
      </c>
    </row>
    <row r="2422" spans="1:12">
      <c r="A2422" t="s">
        <v>3328</v>
      </c>
      <c r="B2422" t="s">
        <v>3317</v>
      </c>
      <c r="C2422" t="s">
        <v>14</v>
      </c>
      <c r="D2422">
        <v>1962</v>
      </c>
      <c r="E2422" t="s">
        <v>29</v>
      </c>
      <c r="F2422" t="s">
        <v>30</v>
      </c>
      <c r="G2422" t="s">
        <v>31</v>
      </c>
      <c r="H2422" t="s">
        <v>32</v>
      </c>
      <c r="I2422">
        <v>2348.0091579999998</v>
      </c>
      <c r="J2422" t="s">
        <v>33</v>
      </c>
      <c r="K2422" t="s">
        <v>3326</v>
      </c>
      <c r="L2422" t="s">
        <v>21</v>
      </c>
    </row>
    <row r="2423" spans="1:12">
      <c r="A2423" t="s">
        <v>3329</v>
      </c>
      <c r="B2423" t="s">
        <v>3317</v>
      </c>
      <c r="C2423" t="s">
        <v>14</v>
      </c>
      <c r="D2423">
        <v>1967</v>
      </c>
      <c r="E2423" t="s">
        <v>15</v>
      </c>
      <c r="F2423" t="s">
        <v>16</v>
      </c>
      <c r="G2423" t="s">
        <v>17</v>
      </c>
      <c r="H2423" t="s">
        <v>18</v>
      </c>
      <c r="I2423">
        <v>51.628999999999998</v>
      </c>
      <c r="J2423" t="s">
        <v>19</v>
      </c>
      <c r="K2423" t="s">
        <v>3330</v>
      </c>
      <c r="L2423" t="s">
        <v>21</v>
      </c>
    </row>
    <row r="2424" spans="1:12">
      <c r="A2424" t="s">
        <v>3331</v>
      </c>
      <c r="B2424" t="s">
        <v>3317</v>
      </c>
      <c r="C2424" t="s">
        <v>14</v>
      </c>
      <c r="D2424">
        <v>1967</v>
      </c>
      <c r="E2424" t="s">
        <v>23</v>
      </c>
      <c r="F2424" t="s">
        <v>24</v>
      </c>
      <c r="G2424" t="s">
        <v>25</v>
      </c>
      <c r="H2424" t="s">
        <v>26</v>
      </c>
      <c r="I2424">
        <v>1255058</v>
      </c>
      <c r="J2424" t="s">
        <v>27</v>
      </c>
      <c r="K2424" t="s">
        <v>3330</v>
      </c>
      <c r="L2424" t="s">
        <v>21</v>
      </c>
    </row>
    <row r="2425" spans="1:12">
      <c r="A2425" t="s">
        <v>3332</v>
      </c>
      <c r="B2425" t="s">
        <v>3317</v>
      </c>
      <c r="C2425" t="s">
        <v>14</v>
      </c>
      <c r="D2425">
        <v>1967</v>
      </c>
      <c r="E2425" t="s">
        <v>29</v>
      </c>
      <c r="F2425" t="s">
        <v>30</v>
      </c>
      <c r="G2425" t="s">
        <v>31</v>
      </c>
      <c r="H2425" t="s">
        <v>32</v>
      </c>
      <c r="I2425">
        <v>2741.7962520000001</v>
      </c>
      <c r="J2425" t="s">
        <v>33</v>
      </c>
      <c r="K2425" t="s">
        <v>3330</v>
      </c>
      <c r="L2425" t="s">
        <v>21</v>
      </c>
    </row>
    <row r="2426" spans="1:12">
      <c r="A2426" t="s">
        <v>3333</v>
      </c>
      <c r="B2426" t="s">
        <v>3317</v>
      </c>
      <c r="C2426" t="s">
        <v>14</v>
      </c>
      <c r="D2426">
        <v>1972</v>
      </c>
      <c r="E2426" t="s">
        <v>15</v>
      </c>
      <c r="F2426" t="s">
        <v>16</v>
      </c>
      <c r="G2426" t="s">
        <v>17</v>
      </c>
      <c r="H2426" t="s">
        <v>18</v>
      </c>
      <c r="I2426">
        <v>56.527999999999999</v>
      </c>
      <c r="J2426" t="s">
        <v>19</v>
      </c>
      <c r="K2426" t="s">
        <v>3334</v>
      </c>
      <c r="L2426" t="s">
        <v>21</v>
      </c>
    </row>
    <row r="2427" spans="1:12">
      <c r="A2427" t="s">
        <v>3335</v>
      </c>
      <c r="B2427" t="s">
        <v>3317</v>
      </c>
      <c r="C2427" t="s">
        <v>14</v>
      </c>
      <c r="D2427">
        <v>1972</v>
      </c>
      <c r="E2427" t="s">
        <v>23</v>
      </c>
      <c r="F2427" t="s">
        <v>24</v>
      </c>
      <c r="G2427" t="s">
        <v>25</v>
      </c>
      <c r="H2427" t="s">
        <v>26</v>
      </c>
      <c r="I2427">
        <v>1613551</v>
      </c>
      <c r="J2427" t="s">
        <v>27</v>
      </c>
      <c r="K2427" t="s">
        <v>3334</v>
      </c>
      <c r="L2427" t="s">
        <v>21</v>
      </c>
    </row>
    <row r="2428" spans="1:12">
      <c r="A2428" t="s">
        <v>3336</v>
      </c>
      <c r="B2428" t="s">
        <v>3317</v>
      </c>
      <c r="C2428" t="s">
        <v>14</v>
      </c>
      <c r="D2428">
        <v>1972</v>
      </c>
      <c r="E2428" t="s">
        <v>29</v>
      </c>
      <c r="F2428" t="s">
        <v>30</v>
      </c>
      <c r="G2428" t="s">
        <v>31</v>
      </c>
      <c r="H2428" t="s">
        <v>32</v>
      </c>
      <c r="I2428">
        <v>2110.8563089999998</v>
      </c>
      <c r="J2428" t="s">
        <v>33</v>
      </c>
      <c r="K2428" t="s">
        <v>3334</v>
      </c>
      <c r="L2428" t="s">
        <v>21</v>
      </c>
    </row>
    <row r="2429" spans="1:12">
      <c r="A2429" t="s">
        <v>3337</v>
      </c>
      <c r="B2429" t="s">
        <v>3317</v>
      </c>
      <c r="C2429" t="s">
        <v>14</v>
      </c>
      <c r="D2429">
        <v>1977</v>
      </c>
      <c r="E2429" t="s">
        <v>15</v>
      </c>
      <c r="F2429" t="s">
        <v>16</v>
      </c>
      <c r="G2429" t="s">
        <v>17</v>
      </c>
      <c r="H2429" t="s">
        <v>18</v>
      </c>
      <c r="I2429">
        <v>61.133999999999901</v>
      </c>
      <c r="J2429" t="s">
        <v>19</v>
      </c>
      <c r="K2429" t="s">
        <v>3338</v>
      </c>
      <c r="L2429" t="s">
        <v>21</v>
      </c>
    </row>
    <row r="2430" spans="1:12">
      <c r="A2430" t="s">
        <v>3339</v>
      </c>
      <c r="B2430" t="s">
        <v>3317</v>
      </c>
      <c r="C2430" t="s">
        <v>14</v>
      </c>
      <c r="D2430">
        <v>1977</v>
      </c>
      <c r="E2430" t="s">
        <v>23</v>
      </c>
      <c r="F2430" t="s">
        <v>24</v>
      </c>
      <c r="G2430" t="s">
        <v>25</v>
      </c>
      <c r="H2430" t="s">
        <v>26</v>
      </c>
      <c r="I2430">
        <v>1937652</v>
      </c>
      <c r="J2430" t="s">
        <v>27</v>
      </c>
      <c r="K2430" t="s">
        <v>3338</v>
      </c>
      <c r="L2430" t="s">
        <v>21</v>
      </c>
    </row>
    <row r="2431" spans="1:12">
      <c r="A2431" t="s">
        <v>3340</v>
      </c>
      <c r="B2431" t="s">
        <v>3317</v>
      </c>
      <c r="C2431" t="s">
        <v>14</v>
      </c>
      <c r="D2431">
        <v>1977</v>
      </c>
      <c r="E2431" t="s">
        <v>29</v>
      </c>
      <c r="F2431" t="s">
        <v>30</v>
      </c>
      <c r="G2431" t="s">
        <v>31</v>
      </c>
      <c r="H2431" t="s">
        <v>32</v>
      </c>
      <c r="I2431">
        <v>2852.351568</v>
      </c>
      <c r="J2431" t="s">
        <v>33</v>
      </c>
      <c r="K2431" t="s">
        <v>3338</v>
      </c>
      <c r="L2431" t="s">
        <v>21</v>
      </c>
    </row>
    <row r="2432" spans="1:12">
      <c r="A2432" t="s">
        <v>3341</v>
      </c>
      <c r="B2432" t="s">
        <v>3317</v>
      </c>
      <c r="C2432" t="s">
        <v>14</v>
      </c>
      <c r="D2432">
        <v>1982</v>
      </c>
      <c r="E2432" t="s">
        <v>15</v>
      </c>
      <c r="F2432" t="s">
        <v>16</v>
      </c>
      <c r="G2432" t="s">
        <v>17</v>
      </c>
      <c r="H2432" t="s">
        <v>18</v>
      </c>
      <c r="I2432">
        <v>63.738999999999997</v>
      </c>
      <c r="J2432" t="s">
        <v>19</v>
      </c>
      <c r="K2432" t="s">
        <v>3342</v>
      </c>
      <c r="L2432" t="s">
        <v>21</v>
      </c>
    </row>
    <row r="2433" spans="1:12">
      <c r="A2433" t="s">
        <v>3343</v>
      </c>
      <c r="B2433" t="s">
        <v>3317</v>
      </c>
      <c r="C2433" t="s">
        <v>14</v>
      </c>
      <c r="D2433">
        <v>1982</v>
      </c>
      <c r="E2433" t="s">
        <v>23</v>
      </c>
      <c r="F2433" t="s">
        <v>24</v>
      </c>
      <c r="G2433" t="s">
        <v>25</v>
      </c>
      <c r="H2433" t="s">
        <v>26</v>
      </c>
      <c r="I2433">
        <v>2347031</v>
      </c>
      <c r="J2433" t="s">
        <v>27</v>
      </c>
      <c r="K2433" t="s">
        <v>3342</v>
      </c>
      <c r="L2433" t="s">
        <v>21</v>
      </c>
    </row>
    <row r="2434" spans="1:12">
      <c r="A2434" t="s">
        <v>3344</v>
      </c>
      <c r="B2434" t="s">
        <v>3317</v>
      </c>
      <c r="C2434" t="s">
        <v>14</v>
      </c>
      <c r="D2434">
        <v>1982</v>
      </c>
      <c r="E2434" t="s">
        <v>29</v>
      </c>
      <c r="F2434" t="s">
        <v>30</v>
      </c>
      <c r="G2434" t="s">
        <v>31</v>
      </c>
      <c r="H2434" t="s">
        <v>32</v>
      </c>
      <c r="I2434">
        <v>4161.4159589999999</v>
      </c>
      <c r="J2434" t="s">
        <v>33</v>
      </c>
      <c r="K2434" t="s">
        <v>3342</v>
      </c>
      <c r="L2434" t="s">
        <v>21</v>
      </c>
    </row>
    <row r="2435" spans="1:12">
      <c r="A2435" t="s">
        <v>3345</v>
      </c>
      <c r="B2435" t="s">
        <v>3317</v>
      </c>
      <c r="C2435" t="s">
        <v>14</v>
      </c>
      <c r="D2435">
        <v>1987</v>
      </c>
      <c r="E2435" t="s">
        <v>15</v>
      </c>
      <c r="F2435" t="s">
        <v>16</v>
      </c>
      <c r="G2435" t="s">
        <v>17</v>
      </c>
      <c r="H2435" t="s">
        <v>18</v>
      </c>
      <c r="I2435">
        <v>65.869</v>
      </c>
      <c r="J2435" t="s">
        <v>19</v>
      </c>
      <c r="K2435" t="s">
        <v>3346</v>
      </c>
      <c r="L2435" t="s">
        <v>21</v>
      </c>
    </row>
    <row r="2436" spans="1:12">
      <c r="A2436" t="s">
        <v>3347</v>
      </c>
      <c r="B2436" t="s">
        <v>3317</v>
      </c>
      <c r="C2436" t="s">
        <v>14</v>
      </c>
      <c r="D2436">
        <v>1987</v>
      </c>
      <c r="E2436" t="s">
        <v>23</v>
      </c>
      <c r="F2436" t="s">
        <v>24</v>
      </c>
      <c r="G2436" t="s">
        <v>25</v>
      </c>
      <c r="H2436" t="s">
        <v>26</v>
      </c>
      <c r="I2436">
        <v>2820042</v>
      </c>
      <c r="J2436" t="s">
        <v>27</v>
      </c>
      <c r="K2436" t="s">
        <v>3346</v>
      </c>
      <c r="L2436" t="s">
        <v>21</v>
      </c>
    </row>
    <row r="2437" spans="1:12">
      <c r="A2437" t="s">
        <v>3348</v>
      </c>
      <c r="B2437" t="s">
        <v>3317</v>
      </c>
      <c r="C2437" t="s">
        <v>14</v>
      </c>
      <c r="D2437">
        <v>1987</v>
      </c>
      <c r="E2437" t="s">
        <v>29</v>
      </c>
      <c r="F2437" t="s">
        <v>30</v>
      </c>
      <c r="G2437" t="s">
        <v>31</v>
      </c>
      <c r="H2437" t="s">
        <v>32</v>
      </c>
      <c r="I2437">
        <v>4448.6799119999996</v>
      </c>
      <c r="J2437" t="s">
        <v>33</v>
      </c>
      <c r="K2437" t="s">
        <v>3346</v>
      </c>
      <c r="L2437" t="s">
        <v>21</v>
      </c>
    </row>
    <row r="2438" spans="1:12">
      <c r="A2438" t="s">
        <v>3349</v>
      </c>
      <c r="B2438" t="s">
        <v>3317</v>
      </c>
      <c r="C2438" t="s">
        <v>14</v>
      </c>
      <c r="D2438">
        <v>1992</v>
      </c>
      <c r="E2438" t="s">
        <v>15</v>
      </c>
      <c r="F2438" t="s">
        <v>16</v>
      </c>
      <c r="G2438" t="s">
        <v>17</v>
      </c>
      <c r="H2438" t="s">
        <v>18</v>
      </c>
      <c r="I2438">
        <v>68.015000000000001</v>
      </c>
      <c r="J2438" t="s">
        <v>19</v>
      </c>
      <c r="K2438" t="s">
        <v>3350</v>
      </c>
      <c r="L2438" t="s">
        <v>21</v>
      </c>
    </row>
    <row r="2439" spans="1:12">
      <c r="A2439" t="s">
        <v>3351</v>
      </c>
      <c r="B2439" t="s">
        <v>3317</v>
      </c>
      <c r="C2439" t="s">
        <v>14</v>
      </c>
      <c r="D2439">
        <v>1992</v>
      </c>
      <c r="E2439" t="s">
        <v>23</v>
      </c>
      <c r="F2439" t="s">
        <v>24</v>
      </c>
      <c r="G2439" t="s">
        <v>25</v>
      </c>
      <c r="H2439" t="s">
        <v>26</v>
      </c>
      <c r="I2439">
        <v>3867409</v>
      </c>
      <c r="J2439" t="s">
        <v>27</v>
      </c>
      <c r="K2439" t="s">
        <v>3350</v>
      </c>
      <c r="L2439" t="s">
        <v>21</v>
      </c>
    </row>
    <row r="2440" spans="1:12">
      <c r="A2440" t="s">
        <v>3352</v>
      </c>
      <c r="B2440" t="s">
        <v>3317</v>
      </c>
      <c r="C2440" t="s">
        <v>14</v>
      </c>
      <c r="D2440">
        <v>1992</v>
      </c>
      <c r="E2440" t="s">
        <v>29</v>
      </c>
      <c r="F2440" t="s">
        <v>30</v>
      </c>
      <c r="G2440" t="s">
        <v>31</v>
      </c>
      <c r="H2440" t="s">
        <v>32</v>
      </c>
      <c r="I2440">
        <v>3431.5936470000001</v>
      </c>
      <c r="J2440" t="s">
        <v>33</v>
      </c>
      <c r="K2440" t="s">
        <v>3350</v>
      </c>
      <c r="L2440" t="s">
        <v>21</v>
      </c>
    </row>
    <row r="2441" spans="1:12">
      <c r="A2441" t="s">
        <v>3353</v>
      </c>
      <c r="B2441" t="s">
        <v>3317</v>
      </c>
      <c r="C2441" t="s">
        <v>14</v>
      </c>
      <c r="D2441">
        <v>1997</v>
      </c>
      <c r="E2441" t="s">
        <v>15</v>
      </c>
      <c r="F2441" t="s">
        <v>16</v>
      </c>
      <c r="G2441" t="s">
        <v>17</v>
      </c>
      <c r="H2441" t="s">
        <v>18</v>
      </c>
      <c r="I2441">
        <v>69.771999999999906</v>
      </c>
      <c r="J2441" t="s">
        <v>19</v>
      </c>
      <c r="K2441" t="s">
        <v>3354</v>
      </c>
      <c r="L2441" t="s">
        <v>21</v>
      </c>
    </row>
    <row r="2442" spans="1:12">
      <c r="A2442" t="s">
        <v>3355</v>
      </c>
      <c r="B2442" t="s">
        <v>3317</v>
      </c>
      <c r="C2442" t="s">
        <v>14</v>
      </c>
      <c r="D2442">
        <v>1997</v>
      </c>
      <c r="E2442" t="s">
        <v>23</v>
      </c>
      <c r="F2442" t="s">
        <v>24</v>
      </c>
      <c r="G2442" t="s">
        <v>25</v>
      </c>
      <c r="H2442" t="s">
        <v>26</v>
      </c>
      <c r="I2442">
        <v>4526235</v>
      </c>
      <c r="J2442" t="s">
        <v>27</v>
      </c>
      <c r="K2442" t="s">
        <v>3354</v>
      </c>
      <c r="L2442" t="s">
        <v>21</v>
      </c>
    </row>
    <row r="2443" spans="1:12">
      <c r="A2443" t="s">
        <v>3356</v>
      </c>
      <c r="B2443" t="s">
        <v>3317</v>
      </c>
      <c r="C2443" t="s">
        <v>14</v>
      </c>
      <c r="D2443">
        <v>1997</v>
      </c>
      <c r="E2443" t="s">
        <v>29</v>
      </c>
      <c r="F2443" t="s">
        <v>30</v>
      </c>
      <c r="G2443" t="s">
        <v>31</v>
      </c>
      <c r="H2443" t="s">
        <v>32</v>
      </c>
      <c r="I2443">
        <v>3645.3795719999998</v>
      </c>
      <c r="J2443" t="s">
        <v>33</v>
      </c>
      <c r="K2443" t="s">
        <v>3354</v>
      </c>
      <c r="L2443" t="s">
        <v>21</v>
      </c>
    </row>
    <row r="2444" spans="1:12">
      <c r="A2444" t="s">
        <v>3357</v>
      </c>
      <c r="B2444" t="s">
        <v>3317</v>
      </c>
      <c r="C2444" t="s">
        <v>14</v>
      </c>
      <c r="D2444">
        <v>2002</v>
      </c>
      <c r="E2444" t="s">
        <v>15</v>
      </c>
      <c r="F2444" t="s">
        <v>16</v>
      </c>
      <c r="G2444" t="s">
        <v>17</v>
      </c>
      <c r="H2444" t="s">
        <v>18</v>
      </c>
      <c r="I2444">
        <v>71.263000000000005</v>
      </c>
      <c r="J2444" t="s">
        <v>19</v>
      </c>
      <c r="K2444" t="s">
        <v>3358</v>
      </c>
      <c r="L2444" t="s">
        <v>21</v>
      </c>
    </row>
    <row r="2445" spans="1:12">
      <c r="A2445" t="s">
        <v>3359</v>
      </c>
      <c r="B2445" t="s">
        <v>3317</v>
      </c>
      <c r="C2445" t="s">
        <v>14</v>
      </c>
      <c r="D2445">
        <v>2002</v>
      </c>
      <c r="E2445" t="s">
        <v>23</v>
      </c>
      <c r="F2445" t="s">
        <v>24</v>
      </c>
      <c r="G2445" t="s">
        <v>25</v>
      </c>
      <c r="H2445" t="s">
        <v>26</v>
      </c>
      <c r="I2445">
        <v>5307470</v>
      </c>
      <c r="J2445" t="s">
        <v>27</v>
      </c>
      <c r="K2445" t="s">
        <v>3358</v>
      </c>
      <c r="L2445" t="s">
        <v>21</v>
      </c>
    </row>
    <row r="2446" spans="1:12">
      <c r="A2446" t="s">
        <v>3360</v>
      </c>
      <c r="B2446" t="s">
        <v>3317</v>
      </c>
      <c r="C2446" t="s">
        <v>14</v>
      </c>
      <c r="D2446">
        <v>2002</v>
      </c>
      <c r="E2446" t="s">
        <v>29</v>
      </c>
      <c r="F2446" t="s">
        <v>30</v>
      </c>
      <c r="G2446" t="s">
        <v>31</v>
      </c>
      <c r="H2446" t="s">
        <v>32</v>
      </c>
      <c r="I2446">
        <v>3844.9171940000001</v>
      </c>
      <c r="J2446" t="s">
        <v>33</v>
      </c>
      <c r="K2446" t="s">
        <v>3358</v>
      </c>
      <c r="L2446" t="s">
        <v>21</v>
      </c>
    </row>
    <row r="2447" spans="1:12">
      <c r="A2447" t="s">
        <v>3361</v>
      </c>
      <c r="B2447" t="s">
        <v>3317</v>
      </c>
      <c r="C2447" t="s">
        <v>14</v>
      </c>
      <c r="D2447">
        <v>2007</v>
      </c>
      <c r="E2447" t="s">
        <v>15</v>
      </c>
      <c r="F2447" t="s">
        <v>16</v>
      </c>
      <c r="G2447" t="s">
        <v>17</v>
      </c>
      <c r="H2447" t="s">
        <v>18</v>
      </c>
      <c r="I2447">
        <v>72.534999999999997</v>
      </c>
      <c r="J2447" t="s">
        <v>19</v>
      </c>
      <c r="K2447" t="s">
        <v>3362</v>
      </c>
      <c r="L2447" t="s">
        <v>21</v>
      </c>
    </row>
    <row r="2448" spans="1:12">
      <c r="A2448" t="s">
        <v>3363</v>
      </c>
      <c r="B2448" t="s">
        <v>3317</v>
      </c>
      <c r="C2448" t="s">
        <v>14</v>
      </c>
      <c r="D2448">
        <v>2007</v>
      </c>
      <c r="E2448" t="s">
        <v>23</v>
      </c>
      <c r="F2448" t="s">
        <v>24</v>
      </c>
      <c r="G2448" t="s">
        <v>25</v>
      </c>
      <c r="H2448" t="s">
        <v>26</v>
      </c>
      <c r="I2448">
        <v>6053193</v>
      </c>
      <c r="J2448" t="s">
        <v>27</v>
      </c>
      <c r="K2448" t="s">
        <v>3362</v>
      </c>
      <c r="L2448" t="s">
        <v>21</v>
      </c>
    </row>
    <row r="2449" spans="1:12">
      <c r="A2449" t="s">
        <v>3364</v>
      </c>
      <c r="B2449" t="s">
        <v>3317</v>
      </c>
      <c r="C2449" t="s">
        <v>14</v>
      </c>
      <c r="D2449">
        <v>2007</v>
      </c>
      <c r="E2449" t="s">
        <v>29</v>
      </c>
      <c r="F2449" t="s">
        <v>30</v>
      </c>
      <c r="G2449" t="s">
        <v>31</v>
      </c>
      <c r="H2449" t="s">
        <v>32</v>
      </c>
      <c r="I2449">
        <v>4519.4611709999999</v>
      </c>
      <c r="J2449" t="s">
        <v>33</v>
      </c>
      <c r="K2449" t="s">
        <v>3362</v>
      </c>
      <c r="L2449" t="s">
        <v>21</v>
      </c>
    </row>
    <row r="2450" spans="1:12">
      <c r="A2450" t="s">
        <v>3365</v>
      </c>
      <c r="B2450" t="s">
        <v>3366</v>
      </c>
      <c r="C2450" t="s">
        <v>130</v>
      </c>
      <c r="D2450">
        <v>1952</v>
      </c>
      <c r="E2450" t="s">
        <v>15</v>
      </c>
      <c r="F2450" t="s">
        <v>16</v>
      </c>
      <c r="G2450" t="s">
        <v>17</v>
      </c>
      <c r="H2450" t="s">
        <v>18</v>
      </c>
      <c r="I2450">
        <v>42.27</v>
      </c>
      <c r="J2450" t="s">
        <v>19</v>
      </c>
      <c r="K2450" t="s">
        <v>3367</v>
      </c>
      <c r="L2450" t="s">
        <v>21</v>
      </c>
    </row>
    <row r="2451" spans="1:12">
      <c r="A2451" t="s">
        <v>3368</v>
      </c>
      <c r="B2451" t="s">
        <v>3366</v>
      </c>
      <c r="C2451" t="s">
        <v>130</v>
      </c>
      <c r="D2451">
        <v>1952</v>
      </c>
      <c r="E2451" t="s">
        <v>23</v>
      </c>
      <c r="F2451" t="s">
        <v>24</v>
      </c>
      <c r="G2451" t="s">
        <v>25</v>
      </c>
      <c r="H2451" t="s">
        <v>26</v>
      </c>
      <c r="I2451">
        <v>6464046</v>
      </c>
      <c r="J2451" t="s">
        <v>27</v>
      </c>
      <c r="K2451" t="s">
        <v>3367</v>
      </c>
      <c r="L2451" t="s">
        <v>21</v>
      </c>
    </row>
    <row r="2452" spans="1:12">
      <c r="A2452" t="s">
        <v>3369</v>
      </c>
      <c r="B2452" t="s">
        <v>3366</v>
      </c>
      <c r="C2452" t="s">
        <v>130</v>
      </c>
      <c r="D2452">
        <v>1952</v>
      </c>
      <c r="E2452" t="s">
        <v>29</v>
      </c>
      <c r="F2452" t="s">
        <v>30</v>
      </c>
      <c r="G2452" t="s">
        <v>31</v>
      </c>
      <c r="H2452" t="s">
        <v>32</v>
      </c>
      <c r="I2452">
        <v>853.54091899999901</v>
      </c>
      <c r="J2452" t="s">
        <v>33</v>
      </c>
      <c r="K2452" t="s">
        <v>3367</v>
      </c>
      <c r="L2452" t="s">
        <v>21</v>
      </c>
    </row>
    <row r="2453" spans="1:12">
      <c r="A2453" t="s">
        <v>3370</v>
      </c>
      <c r="B2453" t="s">
        <v>3366</v>
      </c>
      <c r="C2453" t="s">
        <v>130</v>
      </c>
      <c r="D2453">
        <v>1957</v>
      </c>
      <c r="E2453" t="s">
        <v>15</v>
      </c>
      <c r="F2453" t="s">
        <v>16</v>
      </c>
      <c r="G2453" t="s">
        <v>17</v>
      </c>
      <c r="H2453" t="s">
        <v>18</v>
      </c>
      <c r="I2453">
        <v>44.686</v>
      </c>
      <c r="J2453" t="s">
        <v>19</v>
      </c>
      <c r="K2453" t="s">
        <v>3371</v>
      </c>
      <c r="L2453" t="s">
        <v>21</v>
      </c>
    </row>
    <row r="2454" spans="1:12">
      <c r="A2454" t="s">
        <v>3372</v>
      </c>
      <c r="B2454" t="s">
        <v>3366</v>
      </c>
      <c r="C2454" t="s">
        <v>130</v>
      </c>
      <c r="D2454">
        <v>1957</v>
      </c>
      <c r="E2454" t="s">
        <v>23</v>
      </c>
      <c r="F2454" t="s">
        <v>24</v>
      </c>
      <c r="G2454" t="s">
        <v>25</v>
      </c>
      <c r="H2454" t="s">
        <v>26</v>
      </c>
      <c r="I2454">
        <v>7454779</v>
      </c>
      <c r="J2454" t="s">
        <v>27</v>
      </c>
      <c r="K2454" t="s">
        <v>3371</v>
      </c>
      <c r="L2454" t="s">
        <v>21</v>
      </c>
    </row>
    <row r="2455" spans="1:12">
      <c r="A2455" t="s">
        <v>3373</v>
      </c>
      <c r="B2455" t="s">
        <v>3366</v>
      </c>
      <c r="C2455" t="s">
        <v>130</v>
      </c>
      <c r="D2455">
        <v>1957</v>
      </c>
      <c r="E2455" t="s">
        <v>29</v>
      </c>
      <c r="F2455" t="s">
        <v>30</v>
      </c>
      <c r="G2455" t="s">
        <v>31</v>
      </c>
      <c r="H2455" t="s">
        <v>32</v>
      </c>
      <c r="I2455">
        <v>944.43831520000003</v>
      </c>
      <c r="J2455" t="s">
        <v>33</v>
      </c>
      <c r="K2455" t="s">
        <v>3371</v>
      </c>
      <c r="L2455" t="s">
        <v>21</v>
      </c>
    </row>
    <row r="2456" spans="1:12">
      <c r="A2456" t="s">
        <v>3374</v>
      </c>
      <c r="B2456" t="s">
        <v>3366</v>
      </c>
      <c r="C2456" t="s">
        <v>130</v>
      </c>
      <c r="D2456">
        <v>1962</v>
      </c>
      <c r="E2456" t="s">
        <v>15</v>
      </c>
      <c r="F2456" t="s">
        <v>16</v>
      </c>
      <c r="G2456" t="s">
        <v>17</v>
      </c>
      <c r="H2456" t="s">
        <v>18</v>
      </c>
      <c r="I2456">
        <v>47.948999999999998</v>
      </c>
      <c r="J2456" t="s">
        <v>19</v>
      </c>
      <c r="K2456" t="s">
        <v>3375</v>
      </c>
      <c r="L2456" t="s">
        <v>21</v>
      </c>
    </row>
    <row r="2457" spans="1:12">
      <c r="A2457" t="s">
        <v>3376</v>
      </c>
      <c r="B2457" t="s">
        <v>3366</v>
      </c>
      <c r="C2457" t="s">
        <v>130</v>
      </c>
      <c r="D2457">
        <v>1962</v>
      </c>
      <c r="E2457" t="s">
        <v>23</v>
      </c>
      <c r="F2457" t="s">
        <v>24</v>
      </c>
      <c r="G2457" t="s">
        <v>25</v>
      </c>
      <c r="H2457" t="s">
        <v>26</v>
      </c>
      <c r="I2457">
        <v>8678557</v>
      </c>
      <c r="J2457" t="s">
        <v>27</v>
      </c>
      <c r="K2457" t="s">
        <v>3375</v>
      </c>
      <c r="L2457" t="s">
        <v>21</v>
      </c>
    </row>
    <row r="2458" spans="1:12">
      <c r="A2458" t="s">
        <v>3377</v>
      </c>
      <c r="B2458" t="s">
        <v>3366</v>
      </c>
      <c r="C2458" t="s">
        <v>130</v>
      </c>
      <c r="D2458">
        <v>1962</v>
      </c>
      <c r="E2458" t="s">
        <v>29</v>
      </c>
      <c r="F2458" t="s">
        <v>30</v>
      </c>
      <c r="G2458" t="s">
        <v>31</v>
      </c>
      <c r="H2458" t="s">
        <v>32</v>
      </c>
      <c r="I2458">
        <v>896.96637320000002</v>
      </c>
      <c r="J2458" t="s">
        <v>33</v>
      </c>
      <c r="K2458" t="s">
        <v>3375</v>
      </c>
      <c r="L2458" t="s">
        <v>21</v>
      </c>
    </row>
    <row r="2459" spans="1:12">
      <c r="A2459" t="s">
        <v>3378</v>
      </c>
      <c r="B2459" t="s">
        <v>3366</v>
      </c>
      <c r="C2459" t="s">
        <v>130</v>
      </c>
      <c r="D2459">
        <v>1967</v>
      </c>
      <c r="E2459" t="s">
        <v>15</v>
      </c>
      <c r="F2459" t="s">
        <v>16</v>
      </c>
      <c r="G2459" t="s">
        <v>17</v>
      </c>
      <c r="H2459" t="s">
        <v>18</v>
      </c>
      <c r="I2459">
        <v>50.654000000000003</v>
      </c>
      <c r="J2459" t="s">
        <v>19</v>
      </c>
      <c r="K2459" t="s">
        <v>3379</v>
      </c>
      <c r="L2459" t="s">
        <v>21</v>
      </c>
    </row>
    <row r="2460" spans="1:12">
      <c r="A2460" t="s">
        <v>3380</v>
      </c>
      <c r="B2460" t="s">
        <v>3366</v>
      </c>
      <c r="C2460" t="s">
        <v>130</v>
      </c>
      <c r="D2460">
        <v>1967</v>
      </c>
      <c r="E2460" t="s">
        <v>23</v>
      </c>
      <c r="F2460" t="s">
        <v>24</v>
      </c>
      <c r="G2460" t="s">
        <v>25</v>
      </c>
      <c r="H2460" t="s">
        <v>26</v>
      </c>
      <c r="I2460">
        <v>10191512</v>
      </c>
      <c r="J2460" t="s">
        <v>27</v>
      </c>
      <c r="K2460" t="s">
        <v>3379</v>
      </c>
      <c r="L2460" t="s">
        <v>21</v>
      </c>
    </row>
    <row r="2461" spans="1:12">
      <c r="A2461" t="s">
        <v>3381</v>
      </c>
      <c r="B2461" t="s">
        <v>3366</v>
      </c>
      <c r="C2461" t="s">
        <v>130</v>
      </c>
      <c r="D2461">
        <v>1967</v>
      </c>
      <c r="E2461" t="s">
        <v>29</v>
      </c>
      <c r="F2461" t="s">
        <v>30</v>
      </c>
      <c r="G2461" t="s">
        <v>31</v>
      </c>
      <c r="H2461" t="s">
        <v>32</v>
      </c>
      <c r="I2461">
        <v>1056.736457</v>
      </c>
      <c r="J2461" t="s">
        <v>33</v>
      </c>
      <c r="K2461" t="s">
        <v>3379</v>
      </c>
      <c r="L2461" t="s">
        <v>21</v>
      </c>
    </row>
    <row r="2462" spans="1:12">
      <c r="A2462" t="s">
        <v>3382</v>
      </c>
      <c r="B2462" t="s">
        <v>3366</v>
      </c>
      <c r="C2462" t="s">
        <v>130</v>
      </c>
      <c r="D2462">
        <v>1972</v>
      </c>
      <c r="E2462" t="s">
        <v>15</v>
      </c>
      <c r="F2462" t="s">
        <v>16</v>
      </c>
      <c r="G2462" t="s">
        <v>17</v>
      </c>
      <c r="H2462" t="s">
        <v>18</v>
      </c>
      <c r="I2462">
        <v>53.558999999999997</v>
      </c>
      <c r="J2462" t="s">
        <v>19</v>
      </c>
      <c r="K2462" t="s">
        <v>3383</v>
      </c>
      <c r="L2462" t="s">
        <v>21</v>
      </c>
    </row>
    <row r="2463" spans="1:12">
      <c r="A2463" t="s">
        <v>3384</v>
      </c>
      <c r="B2463" t="s">
        <v>3366</v>
      </c>
      <c r="C2463" t="s">
        <v>130</v>
      </c>
      <c r="D2463">
        <v>1972</v>
      </c>
      <c r="E2463" t="s">
        <v>23</v>
      </c>
      <c r="F2463" t="s">
        <v>24</v>
      </c>
      <c r="G2463" t="s">
        <v>25</v>
      </c>
      <c r="H2463" t="s">
        <v>26</v>
      </c>
      <c r="I2463">
        <v>12044785</v>
      </c>
      <c r="J2463" t="s">
        <v>27</v>
      </c>
      <c r="K2463" t="s">
        <v>3383</v>
      </c>
      <c r="L2463" t="s">
        <v>21</v>
      </c>
    </row>
    <row r="2464" spans="1:12">
      <c r="A2464" t="s">
        <v>3385</v>
      </c>
      <c r="B2464" t="s">
        <v>3366</v>
      </c>
      <c r="C2464" t="s">
        <v>130</v>
      </c>
      <c r="D2464">
        <v>1972</v>
      </c>
      <c r="E2464" t="s">
        <v>29</v>
      </c>
      <c r="F2464" t="s">
        <v>30</v>
      </c>
      <c r="G2464" t="s">
        <v>31</v>
      </c>
      <c r="H2464" t="s">
        <v>32</v>
      </c>
      <c r="I2464">
        <v>1222.359968</v>
      </c>
      <c r="J2464" t="s">
        <v>33</v>
      </c>
      <c r="K2464" t="s">
        <v>3383</v>
      </c>
      <c r="L2464" t="s">
        <v>21</v>
      </c>
    </row>
    <row r="2465" spans="1:12">
      <c r="A2465" t="s">
        <v>3386</v>
      </c>
      <c r="B2465" t="s">
        <v>3366</v>
      </c>
      <c r="C2465" t="s">
        <v>130</v>
      </c>
      <c r="D2465">
        <v>1977</v>
      </c>
      <c r="E2465" t="s">
        <v>15</v>
      </c>
      <c r="F2465" t="s">
        <v>16</v>
      </c>
      <c r="G2465" t="s">
        <v>17</v>
      </c>
      <c r="H2465" t="s">
        <v>18</v>
      </c>
      <c r="I2465">
        <v>56.155000000000001</v>
      </c>
      <c r="J2465" t="s">
        <v>19</v>
      </c>
      <c r="K2465" t="s">
        <v>3387</v>
      </c>
      <c r="L2465" t="s">
        <v>21</v>
      </c>
    </row>
    <row r="2466" spans="1:12">
      <c r="A2466" t="s">
        <v>3388</v>
      </c>
      <c r="B2466" t="s">
        <v>3366</v>
      </c>
      <c r="C2466" t="s">
        <v>130</v>
      </c>
      <c r="D2466">
        <v>1977</v>
      </c>
      <c r="E2466" t="s">
        <v>23</v>
      </c>
      <c r="F2466" t="s">
        <v>24</v>
      </c>
      <c r="G2466" t="s">
        <v>25</v>
      </c>
      <c r="H2466" t="s">
        <v>26</v>
      </c>
      <c r="I2466">
        <v>14500404</v>
      </c>
      <c r="J2466" t="s">
        <v>27</v>
      </c>
      <c r="K2466" t="s">
        <v>3387</v>
      </c>
      <c r="L2466" t="s">
        <v>21</v>
      </c>
    </row>
    <row r="2467" spans="1:12">
      <c r="A2467" t="s">
        <v>3389</v>
      </c>
      <c r="B2467" t="s">
        <v>3366</v>
      </c>
      <c r="C2467" t="s">
        <v>130</v>
      </c>
      <c r="D2467">
        <v>1977</v>
      </c>
      <c r="E2467" t="s">
        <v>29</v>
      </c>
      <c r="F2467" t="s">
        <v>30</v>
      </c>
      <c r="G2467" t="s">
        <v>31</v>
      </c>
      <c r="H2467" t="s">
        <v>32</v>
      </c>
      <c r="I2467">
        <v>1267.613204</v>
      </c>
      <c r="J2467" t="s">
        <v>33</v>
      </c>
      <c r="K2467" t="s">
        <v>3387</v>
      </c>
      <c r="L2467" t="s">
        <v>21</v>
      </c>
    </row>
    <row r="2468" spans="1:12">
      <c r="A2468" t="s">
        <v>3390</v>
      </c>
      <c r="B2468" t="s">
        <v>3366</v>
      </c>
      <c r="C2468" t="s">
        <v>130</v>
      </c>
      <c r="D2468">
        <v>1982</v>
      </c>
      <c r="E2468" t="s">
        <v>15</v>
      </c>
      <c r="F2468" t="s">
        <v>16</v>
      </c>
      <c r="G2468" t="s">
        <v>17</v>
      </c>
      <c r="H2468" t="s">
        <v>18</v>
      </c>
      <c r="I2468">
        <v>58.765999999999998</v>
      </c>
      <c r="J2468" t="s">
        <v>19</v>
      </c>
      <c r="K2468" t="s">
        <v>3391</v>
      </c>
      <c r="L2468" t="s">
        <v>21</v>
      </c>
    </row>
    <row r="2469" spans="1:12">
      <c r="A2469" t="s">
        <v>3392</v>
      </c>
      <c r="B2469" t="s">
        <v>3366</v>
      </c>
      <c r="C2469" t="s">
        <v>130</v>
      </c>
      <c r="D2469">
        <v>1982</v>
      </c>
      <c r="E2469" t="s">
        <v>23</v>
      </c>
      <c r="F2469" t="s">
        <v>24</v>
      </c>
      <c r="G2469" t="s">
        <v>25</v>
      </c>
      <c r="H2469" t="s">
        <v>26</v>
      </c>
      <c r="I2469">
        <v>17661452</v>
      </c>
      <c r="J2469" t="s">
        <v>27</v>
      </c>
      <c r="K2469" t="s">
        <v>3391</v>
      </c>
      <c r="L2469" t="s">
        <v>21</v>
      </c>
    </row>
    <row r="2470" spans="1:12">
      <c r="A2470" t="s">
        <v>3393</v>
      </c>
      <c r="B2470" t="s">
        <v>3366</v>
      </c>
      <c r="C2470" t="s">
        <v>130</v>
      </c>
      <c r="D2470">
        <v>1982</v>
      </c>
      <c r="E2470" t="s">
        <v>29</v>
      </c>
      <c r="F2470" t="s">
        <v>30</v>
      </c>
      <c r="G2470" t="s">
        <v>31</v>
      </c>
      <c r="H2470" t="s">
        <v>32</v>
      </c>
      <c r="I2470">
        <v>1348.2257910000001</v>
      </c>
      <c r="J2470" t="s">
        <v>33</v>
      </c>
      <c r="K2470" t="s">
        <v>3391</v>
      </c>
      <c r="L2470" t="s">
        <v>21</v>
      </c>
    </row>
    <row r="2471" spans="1:12">
      <c r="A2471" t="s">
        <v>3394</v>
      </c>
      <c r="B2471" t="s">
        <v>3366</v>
      </c>
      <c r="C2471" t="s">
        <v>130</v>
      </c>
      <c r="D2471">
        <v>1987</v>
      </c>
      <c r="E2471" t="s">
        <v>15</v>
      </c>
      <c r="F2471" t="s">
        <v>16</v>
      </c>
      <c r="G2471" t="s">
        <v>17</v>
      </c>
      <c r="H2471" t="s">
        <v>18</v>
      </c>
      <c r="I2471">
        <v>59.338999999999999</v>
      </c>
      <c r="J2471" t="s">
        <v>19</v>
      </c>
      <c r="K2471" t="s">
        <v>3395</v>
      </c>
      <c r="L2471" t="s">
        <v>21</v>
      </c>
    </row>
    <row r="2472" spans="1:12">
      <c r="A2472" t="s">
        <v>3396</v>
      </c>
      <c r="B2472" t="s">
        <v>3366</v>
      </c>
      <c r="C2472" t="s">
        <v>130</v>
      </c>
      <c r="D2472">
        <v>1987</v>
      </c>
      <c r="E2472" t="s">
        <v>23</v>
      </c>
      <c r="F2472" t="s">
        <v>24</v>
      </c>
      <c r="G2472" t="s">
        <v>25</v>
      </c>
      <c r="H2472" t="s">
        <v>26</v>
      </c>
      <c r="I2472">
        <v>21198082</v>
      </c>
      <c r="J2472" t="s">
        <v>27</v>
      </c>
      <c r="K2472" t="s">
        <v>3395</v>
      </c>
      <c r="L2472" t="s">
        <v>21</v>
      </c>
    </row>
    <row r="2473" spans="1:12">
      <c r="A2473" t="s">
        <v>3397</v>
      </c>
      <c r="B2473" t="s">
        <v>3366</v>
      </c>
      <c r="C2473" t="s">
        <v>130</v>
      </c>
      <c r="D2473">
        <v>1987</v>
      </c>
      <c r="E2473" t="s">
        <v>29</v>
      </c>
      <c r="F2473" t="s">
        <v>30</v>
      </c>
      <c r="G2473" t="s">
        <v>31</v>
      </c>
      <c r="H2473" t="s">
        <v>32</v>
      </c>
      <c r="I2473">
        <v>1361.936856</v>
      </c>
      <c r="J2473" t="s">
        <v>33</v>
      </c>
      <c r="K2473" t="s">
        <v>3395</v>
      </c>
      <c r="L2473" t="s">
        <v>21</v>
      </c>
    </row>
    <row r="2474" spans="1:12">
      <c r="A2474" t="s">
        <v>3398</v>
      </c>
      <c r="B2474" t="s">
        <v>3366</v>
      </c>
      <c r="C2474" t="s">
        <v>130</v>
      </c>
      <c r="D2474">
        <v>1992</v>
      </c>
      <c r="E2474" t="s">
        <v>15</v>
      </c>
      <c r="F2474" t="s">
        <v>16</v>
      </c>
      <c r="G2474" t="s">
        <v>17</v>
      </c>
      <c r="H2474" t="s">
        <v>18</v>
      </c>
      <c r="I2474">
        <v>59.284999999999997</v>
      </c>
      <c r="J2474" t="s">
        <v>19</v>
      </c>
      <c r="K2474" t="s">
        <v>3399</v>
      </c>
      <c r="L2474" t="s">
        <v>21</v>
      </c>
    </row>
    <row r="2475" spans="1:12">
      <c r="A2475" t="s">
        <v>3400</v>
      </c>
      <c r="B2475" t="s">
        <v>3366</v>
      </c>
      <c r="C2475" t="s">
        <v>130</v>
      </c>
      <c r="D2475">
        <v>1992</v>
      </c>
      <c r="E2475" t="s">
        <v>23</v>
      </c>
      <c r="F2475" t="s">
        <v>24</v>
      </c>
      <c r="G2475" t="s">
        <v>25</v>
      </c>
      <c r="H2475" t="s">
        <v>26</v>
      </c>
      <c r="I2475">
        <v>25020539</v>
      </c>
      <c r="J2475" t="s">
        <v>27</v>
      </c>
      <c r="K2475" t="s">
        <v>3399</v>
      </c>
      <c r="L2475" t="s">
        <v>21</v>
      </c>
    </row>
    <row r="2476" spans="1:12">
      <c r="A2476" t="s">
        <v>3401</v>
      </c>
      <c r="B2476" t="s">
        <v>3366</v>
      </c>
      <c r="C2476" t="s">
        <v>130</v>
      </c>
      <c r="D2476">
        <v>1992</v>
      </c>
      <c r="E2476" t="s">
        <v>29</v>
      </c>
      <c r="F2476" t="s">
        <v>30</v>
      </c>
      <c r="G2476" t="s">
        <v>31</v>
      </c>
      <c r="H2476" t="s">
        <v>32</v>
      </c>
      <c r="I2476">
        <v>1341.9217209999999</v>
      </c>
      <c r="J2476" t="s">
        <v>33</v>
      </c>
      <c r="K2476" t="s">
        <v>3399</v>
      </c>
      <c r="L2476" t="s">
        <v>21</v>
      </c>
    </row>
    <row r="2477" spans="1:12">
      <c r="A2477" t="s">
        <v>3402</v>
      </c>
      <c r="B2477" t="s">
        <v>3366</v>
      </c>
      <c r="C2477" t="s">
        <v>130</v>
      </c>
      <c r="D2477">
        <v>1997</v>
      </c>
      <c r="E2477" t="s">
        <v>15</v>
      </c>
      <c r="F2477" t="s">
        <v>16</v>
      </c>
      <c r="G2477" t="s">
        <v>17</v>
      </c>
      <c r="H2477" t="s">
        <v>18</v>
      </c>
      <c r="I2477">
        <v>54.406999999999996</v>
      </c>
      <c r="J2477" t="s">
        <v>19</v>
      </c>
      <c r="K2477" t="s">
        <v>3403</v>
      </c>
      <c r="L2477" t="s">
        <v>21</v>
      </c>
    </row>
    <row r="2478" spans="1:12">
      <c r="A2478" t="s">
        <v>3404</v>
      </c>
      <c r="B2478" t="s">
        <v>3366</v>
      </c>
      <c r="C2478" t="s">
        <v>130</v>
      </c>
      <c r="D2478">
        <v>1997</v>
      </c>
      <c r="E2478" t="s">
        <v>23</v>
      </c>
      <c r="F2478" t="s">
        <v>24</v>
      </c>
      <c r="G2478" t="s">
        <v>25</v>
      </c>
      <c r="H2478" t="s">
        <v>26</v>
      </c>
      <c r="I2478">
        <v>28263827</v>
      </c>
      <c r="J2478" t="s">
        <v>27</v>
      </c>
      <c r="K2478" t="s">
        <v>3403</v>
      </c>
      <c r="L2478" t="s">
        <v>21</v>
      </c>
    </row>
    <row r="2479" spans="1:12">
      <c r="A2479" t="s">
        <v>3405</v>
      </c>
      <c r="B2479" t="s">
        <v>3366</v>
      </c>
      <c r="C2479" t="s">
        <v>130</v>
      </c>
      <c r="D2479">
        <v>1997</v>
      </c>
      <c r="E2479" t="s">
        <v>29</v>
      </c>
      <c r="F2479" t="s">
        <v>30</v>
      </c>
      <c r="G2479" t="s">
        <v>31</v>
      </c>
      <c r="H2479" t="s">
        <v>32</v>
      </c>
      <c r="I2479">
        <v>1360.485021</v>
      </c>
      <c r="J2479" t="s">
        <v>33</v>
      </c>
      <c r="K2479" t="s">
        <v>3403</v>
      </c>
      <c r="L2479" t="s">
        <v>21</v>
      </c>
    </row>
    <row r="2480" spans="1:12">
      <c r="A2480" t="s">
        <v>3406</v>
      </c>
      <c r="B2480" t="s">
        <v>3366</v>
      </c>
      <c r="C2480" t="s">
        <v>130</v>
      </c>
      <c r="D2480">
        <v>2002</v>
      </c>
      <c r="E2480" t="s">
        <v>15</v>
      </c>
      <c r="F2480" t="s">
        <v>16</v>
      </c>
      <c r="G2480" t="s">
        <v>17</v>
      </c>
      <c r="H2480" t="s">
        <v>18</v>
      </c>
      <c r="I2480">
        <v>50.991999999999997</v>
      </c>
      <c r="J2480" t="s">
        <v>19</v>
      </c>
      <c r="K2480" t="s">
        <v>3407</v>
      </c>
      <c r="L2480" t="s">
        <v>21</v>
      </c>
    </row>
    <row r="2481" spans="1:12">
      <c r="A2481" t="s">
        <v>3408</v>
      </c>
      <c r="B2481" t="s">
        <v>3366</v>
      </c>
      <c r="C2481" t="s">
        <v>130</v>
      </c>
      <c r="D2481">
        <v>2002</v>
      </c>
      <c r="E2481" t="s">
        <v>23</v>
      </c>
      <c r="F2481" t="s">
        <v>24</v>
      </c>
      <c r="G2481" t="s">
        <v>25</v>
      </c>
      <c r="H2481" t="s">
        <v>26</v>
      </c>
      <c r="I2481">
        <v>31386842</v>
      </c>
      <c r="J2481" t="s">
        <v>27</v>
      </c>
      <c r="K2481" t="s">
        <v>3407</v>
      </c>
      <c r="L2481" t="s">
        <v>21</v>
      </c>
    </row>
    <row r="2482" spans="1:12">
      <c r="A2482" t="s">
        <v>3409</v>
      </c>
      <c r="B2482" t="s">
        <v>3366</v>
      </c>
      <c r="C2482" t="s">
        <v>130</v>
      </c>
      <c r="D2482">
        <v>2002</v>
      </c>
      <c r="E2482" t="s">
        <v>29</v>
      </c>
      <c r="F2482" t="s">
        <v>30</v>
      </c>
      <c r="G2482" t="s">
        <v>31</v>
      </c>
      <c r="H2482" t="s">
        <v>32</v>
      </c>
      <c r="I2482">
        <v>1287.5147320000001</v>
      </c>
      <c r="J2482" t="s">
        <v>33</v>
      </c>
      <c r="K2482" t="s">
        <v>3407</v>
      </c>
      <c r="L2482" t="s">
        <v>21</v>
      </c>
    </row>
    <row r="2483" spans="1:12">
      <c r="A2483" t="s">
        <v>3410</v>
      </c>
      <c r="B2483" t="s">
        <v>3366</v>
      </c>
      <c r="C2483" t="s">
        <v>130</v>
      </c>
      <c r="D2483">
        <v>2007</v>
      </c>
      <c r="E2483" t="s">
        <v>15</v>
      </c>
      <c r="F2483" t="s">
        <v>16</v>
      </c>
      <c r="G2483" t="s">
        <v>17</v>
      </c>
      <c r="H2483" t="s">
        <v>18</v>
      </c>
      <c r="I2483">
        <v>54.11</v>
      </c>
      <c r="J2483" t="s">
        <v>19</v>
      </c>
      <c r="K2483" t="s">
        <v>3411</v>
      </c>
      <c r="L2483" t="s">
        <v>21</v>
      </c>
    </row>
    <row r="2484" spans="1:12">
      <c r="A2484" t="s">
        <v>3412</v>
      </c>
      <c r="B2484" t="s">
        <v>3366</v>
      </c>
      <c r="C2484" t="s">
        <v>130</v>
      </c>
      <c r="D2484">
        <v>2007</v>
      </c>
      <c r="E2484" t="s">
        <v>23</v>
      </c>
      <c r="F2484" t="s">
        <v>24</v>
      </c>
      <c r="G2484" t="s">
        <v>25</v>
      </c>
      <c r="H2484" t="s">
        <v>26</v>
      </c>
      <c r="I2484">
        <v>35610177</v>
      </c>
      <c r="J2484" t="s">
        <v>27</v>
      </c>
      <c r="K2484" t="s">
        <v>3411</v>
      </c>
      <c r="L2484" t="s">
        <v>21</v>
      </c>
    </row>
    <row r="2485" spans="1:12">
      <c r="A2485" t="s">
        <v>3413</v>
      </c>
      <c r="B2485" t="s">
        <v>3366</v>
      </c>
      <c r="C2485" t="s">
        <v>130</v>
      </c>
      <c r="D2485">
        <v>2007</v>
      </c>
      <c r="E2485" t="s">
        <v>29</v>
      </c>
      <c r="F2485" t="s">
        <v>30</v>
      </c>
      <c r="G2485" t="s">
        <v>31</v>
      </c>
      <c r="H2485" t="s">
        <v>32</v>
      </c>
      <c r="I2485">
        <v>1463.249282</v>
      </c>
      <c r="J2485" t="s">
        <v>33</v>
      </c>
      <c r="K2485" t="s">
        <v>3411</v>
      </c>
      <c r="L2485" t="s">
        <v>21</v>
      </c>
    </row>
    <row r="2486" spans="1:12">
      <c r="A2486" t="s">
        <v>3414</v>
      </c>
      <c r="B2486" t="s">
        <v>3415</v>
      </c>
      <c r="C2486" t="s">
        <v>14</v>
      </c>
      <c r="D2486">
        <v>1952</v>
      </c>
      <c r="E2486" t="s">
        <v>15</v>
      </c>
      <c r="F2486" t="s">
        <v>16</v>
      </c>
      <c r="G2486" t="s">
        <v>17</v>
      </c>
      <c r="H2486" t="s">
        <v>18</v>
      </c>
      <c r="I2486">
        <v>50.055999999999997</v>
      </c>
      <c r="J2486" t="s">
        <v>19</v>
      </c>
      <c r="K2486" t="s">
        <v>3416</v>
      </c>
      <c r="L2486" t="s">
        <v>21</v>
      </c>
    </row>
    <row r="2487" spans="1:12">
      <c r="A2487" t="s">
        <v>3417</v>
      </c>
      <c r="B2487" t="s">
        <v>3415</v>
      </c>
      <c r="C2487" t="s">
        <v>14</v>
      </c>
      <c r="D2487">
        <v>1952</v>
      </c>
      <c r="E2487" t="s">
        <v>23</v>
      </c>
      <c r="F2487" t="s">
        <v>24</v>
      </c>
      <c r="G2487" t="s">
        <v>25</v>
      </c>
      <c r="H2487" t="s">
        <v>26</v>
      </c>
      <c r="I2487">
        <v>8865488</v>
      </c>
      <c r="J2487" t="s">
        <v>27</v>
      </c>
      <c r="K2487" t="s">
        <v>3416</v>
      </c>
      <c r="L2487" t="s">
        <v>21</v>
      </c>
    </row>
    <row r="2488" spans="1:12">
      <c r="A2488" t="s">
        <v>3418</v>
      </c>
      <c r="B2488" t="s">
        <v>3415</v>
      </c>
      <c r="C2488" t="s">
        <v>14</v>
      </c>
      <c r="D2488">
        <v>1952</v>
      </c>
      <c r="E2488" t="s">
        <v>29</v>
      </c>
      <c r="F2488" t="s">
        <v>30</v>
      </c>
      <c r="G2488" t="s">
        <v>31</v>
      </c>
      <c r="H2488" t="s">
        <v>32</v>
      </c>
      <c r="I2488">
        <v>1088.2777579999999</v>
      </c>
      <c r="J2488" t="s">
        <v>33</v>
      </c>
      <c r="K2488" t="s">
        <v>3416</v>
      </c>
      <c r="L2488" t="s">
        <v>21</v>
      </c>
    </row>
    <row r="2489" spans="1:12">
      <c r="A2489" t="s">
        <v>3419</v>
      </c>
      <c r="B2489" t="s">
        <v>3415</v>
      </c>
      <c r="C2489" t="s">
        <v>14</v>
      </c>
      <c r="D2489">
        <v>1957</v>
      </c>
      <c r="E2489" t="s">
        <v>15</v>
      </c>
      <c r="F2489" t="s">
        <v>16</v>
      </c>
      <c r="G2489" t="s">
        <v>17</v>
      </c>
      <c r="H2489" t="s">
        <v>18</v>
      </c>
      <c r="I2489">
        <v>54.081000000000003</v>
      </c>
      <c r="J2489" t="s">
        <v>19</v>
      </c>
      <c r="K2489" t="s">
        <v>3420</v>
      </c>
      <c r="L2489" t="s">
        <v>21</v>
      </c>
    </row>
    <row r="2490" spans="1:12">
      <c r="A2490" t="s">
        <v>3421</v>
      </c>
      <c r="B2490" t="s">
        <v>3415</v>
      </c>
      <c r="C2490" t="s">
        <v>14</v>
      </c>
      <c r="D2490">
        <v>1957</v>
      </c>
      <c r="E2490" t="s">
        <v>23</v>
      </c>
      <c r="F2490" t="s">
        <v>24</v>
      </c>
      <c r="G2490" t="s">
        <v>25</v>
      </c>
      <c r="H2490" t="s">
        <v>26</v>
      </c>
      <c r="I2490">
        <v>9411381</v>
      </c>
      <c r="J2490" t="s">
        <v>27</v>
      </c>
      <c r="K2490" t="s">
        <v>3420</v>
      </c>
      <c r="L2490" t="s">
        <v>21</v>
      </c>
    </row>
    <row r="2491" spans="1:12">
      <c r="A2491" t="s">
        <v>3422</v>
      </c>
      <c r="B2491" t="s">
        <v>3415</v>
      </c>
      <c r="C2491" t="s">
        <v>14</v>
      </c>
      <c r="D2491">
        <v>1957</v>
      </c>
      <c r="E2491" t="s">
        <v>29</v>
      </c>
      <c r="F2491" t="s">
        <v>30</v>
      </c>
      <c r="G2491" t="s">
        <v>31</v>
      </c>
      <c r="H2491" t="s">
        <v>32</v>
      </c>
      <c r="I2491">
        <v>1571.1346550000001</v>
      </c>
      <c r="J2491" t="s">
        <v>33</v>
      </c>
      <c r="K2491" t="s">
        <v>3420</v>
      </c>
      <c r="L2491" t="s">
        <v>21</v>
      </c>
    </row>
    <row r="2492" spans="1:12">
      <c r="A2492" t="s">
        <v>3423</v>
      </c>
      <c r="B2492" t="s">
        <v>3415</v>
      </c>
      <c r="C2492" t="s">
        <v>14</v>
      </c>
      <c r="D2492">
        <v>1962</v>
      </c>
      <c r="E2492" t="s">
        <v>15</v>
      </c>
      <c r="F2492" t="s">
        <v>16</v>
      </c>
      <c r="G2492" t="s">
        <v>17</v>
      </c>
      <c r="H2492" t="s">
        <v>18</v>
      </c>
      <c r="I2492">
        <v>56.655999999999999</v>
      </c>
      <c r="J2492" t="s">
        <v>19</v>
      </c>
      <c r="K2492" t="s">
        <v>3424</v>
      </c>
      <c r="L2492" t="s">
        <v>21</v>
      </c>
    </row>
    <row r="2493" spans="1:12">
      <c r="A2493" t="s">
        <v>3425</v>
      </c>
      <c r="B2493" t="s">
        <v>3415</v>
      </c>
      <c r="C2493" t="s">
        <v>14</v>
      </c>
      <c r="D2493">
        <v>1962</v>
      </c>
      <c r="E2493" t="s">
        <v>23</v>
      </c>
      <c r="F2493" t="s">
        <v>24</v>
      </c>
      <c r="G2493" t="s">
        <v>25</v>
      </c>
      <c r="H2493" t="s">
        <v>26</v>
      </c>
      <c r="I2493">
        <v>10917494</v>
      </c>
      <c r="J2493" t="s">
        <v>27</v>
      </c>
      <c r="K2493" t="s">
        <v>3424</v>
      </c>
      <c r="L2493" t="s">
        <v>21</v>
      </c>
    </row>
    <row r="2494" spans="1:12">
      <c r="A2494" t="s">
        <v>3426</v>
      </c>
      <c r="B2494" t="s">
        <v>3415</v>
      </c>
      <c r="C2494" t="s">
        <v>14</v>
      </c>
      <c r="D2494">
        <v>1962</v>
      </c>
      <c r="E2494" t="s">
        <v>29</v>
      </c>
      <c r="F2494" t="s">
        <v>30</v>
      </c>
      <c r="G2494" t="s">
        <v>31</v>
      </c>
      <c r="H2494" t="s">
        <v>32</v>
      </c>
      <c r="I2494">
        <v>1621.6935980000001</v>
      </c>
      <c r="J2494" t="s">
        <v>33</v>
      </c>
      <c r="K2494" t="s">
        <v>3424</v>
      </c>
      <c r="L2494" t="s">
        <v>21</v>
      </c>
    </row>
    <row r="2495" spans="1:12">
      <c r="A2495" t="s">
        <v>3427</v>
      </c>
      <c r="B2495" t="s">
        <v>3415</v>
      </c>
      <c r="C2495" t="s">
        <v>14</v>
      </c>
      <c r="D2495">
        <v>1967</v>
      </c>
      <c r="E2495" t="s">
        <v>15</v>
      </c>
      <c r="F2495" t="s">
        <v>16</v>
      </c>
      <c r="G2495" t="s">
        <v>17</v>
      </c>
      <c r="H2495" t="s">
        <v>18</v>
      </c>
      <c r="I2495">
        <v>59.942</v>
      </c>
      <c r="J2495" t="s">
        <v>19</v>
      </c>
      <c r="K2495" t="s">
        <v>3428</v>
      </c>
      <c r="L2495" t="s">
        <v>21</v>
      </c>
    </row>
    <row r="2496" spans="1:12">
      <c r="A2496" t="s">
        <v>3429</v>
      </c>
      <c r="B2496" t="s">
        <v>3415</v>
      </c>
      <c r="C2496" t="s">
        <v>14</v>
      </c>
      <c r="D2496">
        <v>1967</v>
      </c>
      <c r="E2496" t="s">
        <v>23</v>
      </c>
      <c r="F2496" t="s">
        <v>24</v>
      </c>
      <c r="G2496" t="s">
        <v>25</v>
      </c>
      <c r="H2496" t="s">
        <v>26</v>
      </c>
      <c r="I2496">
        <v>12617009</v>
      </c>
      <c r="J2496" t="s">
        <v>27</v>
      </c>
      <c r="K2496" t="s">
        <v>3428</v>
      </c>
      <c r="L2496" t="s">
        <v>21</v>
      </c>
    </row>
    <row r="2497" spans="1:12">
      <c r="A2497" t="s">
        <v>3430</v>
      </c>
      <c r="B2497" t="s">
        <v>3415</v>
      </c>
      <c r="C2497" t="s">
        <v>14</v>
      </c>
      <c r="D2497">
        <v>1967</v>
      </c>
      <c r="E2497" t="s">
        <v>29</v>
      </c>
      <c r="F2497" t="s">
        <v>30</v>
      </c>
      <c r="G2497" t="s">
        <v>31</v>
      </c>
      <c r="H2497" t="s">
        <v>32</v>
      </c>
      <c r="I2497">
        <v>2143.5406090000001</v>
      </c>
      <c r="J2497" t="s">
        <v>33</v>
      </c>
      <c r="K2497" t="s">
        <v>3428</v>
      </c>
      <c r="L2497" t="s">
        <v>21</v>
      </c>
    </row>
    <row r="2498" spans="1:12">
      <c r="A2498" t="s">
        <v>3431</v>
      </c>
      <c r="B2498" t="s">
        <v>3415</v>
      </c>
      <c r="C2498" t="s">
        <v>14</v>
      </c>
      <c r="D2498">
        <v>1972</v>
      </c>
      <c r="E2498" t="s">
        <v>15</v>
      </c>
      <c r="F2498" t="s">
        <v>16</v>
      </c>
      <c r="G2498" t="s">
        <v>17</v>
      </c>
      <c r="H2498" t="s">
        <v>18</v>
      </c>
      <c r="I2498">
        <v>63.982999999999997</v>
      </c>
      <c r="J2498" t="s">
        <v>19</v>
      </c>
      <c r="K2498" t="s">
        <v>3432</v>
      </c>
      <c r="L2498" t="s">
        <v>21</v>
      </c>
    </row>
    <row r="2499" spans="1:12">
      <c r="A2499" t="s">
        <v>3433</v>
      </c>
      <c r="B2499" t="s">
        <v>3415</v>
      </c>
      <c r="C2499" t="s">
        <v>14</v>
      </c>
      <c r="D2499">
        <v>1972</v>
      </c>
      <c r="E2499" t="s">
        <v>23</v>
      </c>
      <c r="F2499" t="s">
        <v>24</v>
      </c>
      <c r="G2499" t="s">
        <v>25</v>
      </c>
      <c r="H2499" t="s">
        <v>26</v>
      </c>
      <c r="I2499">
        <v>14781241</v>
      </c>
      <c r="J2499" t="s">
        <v>27</v>
      </c>
      <c r="K2499" t="s">
        <v>3432</v>
      </c>
      <c r="L2499" t="s">
        <v>21</v>
      </c>
    </row>
    <row r="2500" spans="1:12">
      <c r="A2500" t="s">
        <v>3434</v>
      </c>
      <c r="B2500" t="s">
        <v>3415</v>
      </c>
      <c r="C2500" t="s">
        <v>14</v>
      </c>
      <c r="D2500">
        <v>1972</v>
      </c>
      <c r="E2500" t="s">
        <v>29</v>
      </c>
      <c r="F2500" t="s">
        <v>30</v>
      </c>
      <c r="G2500" t="s">
        <v>31</v>
      </c>
      <c r="H2500" t="s">
        <v>32</v>
      </c>
      <c r="I2500">
        <v>3701.6215029999998</v>
      </c>
      <c r="J2500" t="s">
        <v>33</v>
      </c>
      <c r="K2500" t="s">
        <v>3432</v>
      </c>
      <c r="L2500" t="s">
        <v>21</v>
      </c>
    </row>
    <row r="2501" spans="1:12">
      <c r="A2501" t="s">
        <v>3435</v>
      </c>
      <c r="B2501" t="s">
        <v>3415</v>
      </c>
      <c r="C2501" t="s">
        <v>14</v>
      </c>
      <c r="D2501">
        <v>1977</v>
      </c>
      <c r="E2501" t="s">
        <v>15</v>
      </c>
      <c r="F2501" t="s">
        <v>16</v>
      </c>
      <c r="G2501" t="s">
        <v>17</v>
      </c>
      <c r="H2501" t="s">
        <v>18</v>
      </c>
      <c r="I2501">
        <v>67.158999999999907</v>
      </c>
      <c r="J2501" t="s">
        <v>19</v>
      </c>
      <c r="K2501" t="s">
        <v>3436</v>
      </c>
      <c r="L2501" t="s">
        <v>21</v>
      </c>
    </row>
    <row r="2502" spans="1:12">
      <c r="A2502" t="s">
        <v>3437</v>
      </c>
      <c r="B2502" t="s">
        <v>3415</v>
      </c>
      <c r="C2502" t="s">
        <v>14</v>
      </c>
      <c r="D2502">
        <v>1977</v>
      </c>
      <c r="E2502" t="s">
        <v>23</v>
      </c>
      <c r="F2502" t="s">
        <v>24</v>
      </c>
      <c r="G2502" t="s">
        <v>25</v>
      </c>
      <c r="H2502" t="s">
        <v>26</v>
      </c>
      <c r="I2502">
        <v>16325320</v>
      </c>
      <c r="J2502" t="s">
        <v>27</v>
      </c>
      <c r="K2502" t="s">
        <v>3436</v>
      </c>
      <c r="L2502" t="s">
        <v>21</v>
      </c>
    </row>
    <row r="2503" spans="1:12">
      <c r="A2503" t="s">
        <v>3438</v>
      </c>
      <c r="B2503" t="s">
        <v>3415</v>
      </c>
      <c r="C2503" t="s">
        <v>14</v>
      </c>
      <c r="D2503">
        <v>1977</v>
      </c>
      <c r="E2503" t="s">
        <v>29</v>
      </c>
      <c r="F2503" t="s">
        <v>30</v>
      </c>
      <c r="G2503" t="s">
        <v>31</v>
      </c>
      <c r="H2503" t="s">
        <v>32</v>
      </c>
      <c r="I2503">
        <v>4106.3012490000001</v>
      </c>
      <c r="J2503" t="s">
        <v>33</v>
      </c>
      <c r="K2503" t="s">
        <v>3436</v>
      </c>
      <c r="L2503" t="s">
        <v>21</v>
      </c>
    </row>
    <row r="2504" spans="1:12">
      <c r="A2504" t="s">
        <v>3439</v>
      </c>
      <c r="B2504" t="s">
        <v>3415</v>
      </c>
      <c r="C2504" t="s">
        <v>14</v>
      </c>
      <c r="D2504">
        <v>1982</v>
      </c>
      <c r="E2504" t="s">
        <v>15</v>
      </c>
      <c r="F2504" t="s">
        <v>16</v>
      </c>
      <c r="G2504" t="s">
        <v>17</v>
      </c>
      <c r="H2504" t="s">
        <v>18</v>
      </c>
      <c r="I2504">
        <v>69.099999999999994</v>
      </c>
      <c r="J2504" t="s">
        <v>19</v>
      </c>
      <c r="K2504" t="s">
        <v>3440</v>
      </c>
      <c r="L2504" t="s">
        <v>21</v>
      </c>
    </row>
    <row r="2505" spans="1:12">
      <c r="A2505" t="s">
        <v>3441</v>
      </c>
      <c r="B2505" t="s">
        <v>3415</v>
      </c>
      <c r="C2505" t="s">
        <v>14</v>
      </c>
      <c r="D2505">
        <v>1982</v>
      </c>
      <c r="E2505" t="s">
        <v>23</v>
      </c>
      <c r="F2505" t="s">
        <v>24</v>
      </c>
      <c r="G2505" t="s">
        <v>25</v>
      </c>
      <c r="H2505" t="s">
        <v>26</v>
      </c>
      <c r="I2505">
        <v>17647518</v>
      </c>
      <c r="J2505" t="s">
        <v>27</v>
      </c>
      <c r="K2505" t="s">
        <v>3440</v>
      </c>
      <c r="L2505" t="s">
        <v>21</v>
      </c>
    </row>
    <row r="2506" spans="1:12">
      <c r="A2506" t="s">
        <v>3442</v>
      </c>
      <c r="B2506" t="s">
        <v>3415</v>
      </c>
      <c r="C2506" t="s">
        <v>14</v>
      </c>
      <c r="D2506">
        <v>1982</v>
      </c>
      <c r="E2506" t="s">
        <v>29</v>
      </c>
      <c r="F2506" t="s">
        <v>30</v>
      </c>
      <c r="G2506" t="s">
        <v>31</v>
      </c>
      <c r="H2506" t="s">
        <v>32</v>
      </c>
      <c r="I2506">
        <v>4106.5252929999997</v>
      </c>
      <c r="J2506" t="s">
        <v>33</v>
      </c>
      <c r="K2506" t="s">
        <v>3440</v>
      </c>
      <c r="L2506" t="s">
        <v>21</v>
      </c>
    </row>
    <row r="2507" spans="1:12">
      <c r="A2507" t="s">
        <v>3443</v>
      </c>
      <c r="B2507" t="s">
        <v>3415</v>
      </c>
      <c r="C2507" t="s">
        <v>14</v>
      </c>
      <c r="D2507">
        <v>1987</v>
      </c>
      <c r="E2507" t="s">
        <v>15</v>
      </c>
      <c r="F2507" t="s">
        <v>16</v>
      </c>
      <c r="G2507" t="s">
        <v>17</v>
      </c>
      <c r="H2507" t="s">
        <v>18</v>
      </c>
      <c r="I2507">
        <v>70.646999999999906</v>
      </c>
      <c r="J2507" t="s">
        <v>19</v>
      </c>
      <c r="K2507" t="s">
        <v>3444</v>
      </c>
      <c r="L2507" t="s">
        <v>21</v>
      </c>
    </row>
    <row r="2508" spans="1:12">
      <c r="A2508" t="s">
        <v>3445</v>
      </c>
      <c r="B2508" t="s">
        <v>3415</v>
      </c>
      <c r="C2508" t="s">
        <v>14</v>
      </c>
      <c r="D2508">
        <v>1987</v>
      </c>
      <c r="E2508" t="s">
        <v>23</v>
      </c>
      <c r="F2508" t="s">
        <v>24</v>
      </c>
      <c r="G2508" t="s">
        <v>25</v>
      </c>
      <c r="H2508" t="s">
        <v>26</v>
      </c>
      <c r="I2508">
        <v>19067554</v>
      </c>
      <c r="J2508" t="s">
        <v>27</v>
      </c>
      <c r="K2508" t="s">
        <v>3444</v>
      </c>
      <c r="L2508" t="s">
        <v>21</v>
      </c>
    </row>
    <row r="2509" spans="1:12">
      <c r="A2509" t="s">
        <v>3446</v>
      </c>
      <c r="B2509" t="s">
        <v>3415</v>
      </c>
      <c r="C2509" t="s">
        <v>14</v>
      </c>
      <c r="D2509">
        <v>1987</v>
      </c>
      <c r="E2509" t="s">
        <v>29</v>
      </c>
      <c r="F2509" t="s">
        <v>30</v>
      </c>
      <c r="G2509" t="s">
        <v>31</v>
      </c>
      <c r="H2509" t="s">
        <v>32</v>
      </c>
      <c r="I2509">
        <v>4106.4923150000004</v>
      </c>
      <c r="J2509" t="s">
        <v>33</v>
      </c>
      <c r="K2509" t="s">
        <v>3444</v>
      </c>
      <c r="L2509" t="s">
        <v>21</v>
      </c>
    </row>
    <row r="2510" spans="1:12">
      <c r="A2510" t="s">
        <v>3447</v>
      </c>
      <c r="B2510" t="s">
        <v>3415</v>
      </c>
      <c r="C2510" t="s">
        <v>14</v>
      </c>
      <c r="D2510">
        <v>1992</v>
      </c>
      <c r="E2510" t="s">
        <v>15</v>
      </c>
      <c r="F2510" t="s">
        <v>16</v>
      </c>
      <c r="G2510" t="s">
        <v>17</v>
      </c>
      <c r="H2510" t="s">
        <v>18</v>
      </c>
      <c r="I2510">
        <v>69.977999999999994</v>
      </c>
      <c r="J2510" t="s">
        <v>19</v>
      </c>
      <c r="K2510" t="s">
        <v>3448</v>
      </c>
      <c r="L2510" t="s">
        <v>21</v>
      </c>
    </row>
    <row r="2511" spans="1:12">
      <c r="A2511" t="s">
        <v>3449</v>
      </c>
      <c r="B2511" t="s">
        <v>3415</v>
      </c>
      <c r="C2511" t="s">
        <v>14</v>
      </c>
      <c r="D2511">
        <v>1992</v>
      </c>
      <c r="E2511" t="s">
        <v>23</v>
      </c>
      <c r="F2511" t="s">
        <v>24</v>
      </c>
      <c r="G2511" t="s">
        <v>25</v>
      </c>
      <c r="H2511" t="s">
        <v>26</v>
      </c>
      <c r="I2511">
        <v>20711375</v>
      </c>
      <c r="J2511" t="s">
        <v>27</v>
      </c>
      <c r="K2511" t="s">
        <v>3448</v>
      </c>
      <c r="L2511" t="s">
        <v>21</v>
      </c>
    </row>
    <row r="2512" spans="1:12">
      <c r="A2512" t="s">
        <v>3450</v>
      </c>
      <c r="B2512" t="s">
        <v>3415</v>
      </c>
      <c r="C2512" t="s">
        <v>14</v>
      </c>
      <c r="D2512">
        <v>1992</v>
      </c>
      <c r="E2512" t="s">
        <v>29</v>
      </c>
      <c r="F2512" t="s">
        <v>30</v>
      </c>
      <c r="G2512" t="s">
        <v>31</v>
      </c>
      <c r="H2512" t="s">
        <v>32</v>
      </c>
      <c r="I2512">
        <v>3726.0635069999998</v>
      </c>
      <c r="J2512" t="s">
        <v>33</v>
      </c>
      <c r="K2512" t="s">
        <v>3448</v>
      </c>
      <c r="L2512" t="s">
        <v>21</v>
      </c>
    </row>
    <row r="2513" spans="1:12">
      <c r="A2513" t="s">
        <v>3451</v>
      </c>
      <c r="B2513" t="s">
        <v>3415</v>
      </c>
      <c r="C2513" t="s">
        <v>14</v>
      </c>
      <c r="D2513">
        <v>1997</v>
      </c>
      <c r="E2513" t="s">
        <v>15</v>
      </c>
      <c r="F2513" t="s">
        <v>16</v>
      </c>
      <c r="G2513" t="s">
        <v>17</v>
      </c>
      <c r="H2513" t="s">
        <v>18</v>
      </c>
      <c r="I2513">
        <v>67.727000000000004</v>
      </c>
      <c r="J2513" t="s">
        <v>19</v>
      </c>
      <c r="K2513" t="s">
        <v>3452</v>
      </c>
      <c r="L2513" t="s">
        <v>21</v>
      </c>
    </row>
    <row r="2514" spans="1:12">
      <c r="A2514" t="s">
        <v>3453</v>
      </c>
      <c r="B2514" t="s">
        <v>3415</v>
      </c>
      <c r="C2514" t="s">
        <v>14</v>
      </c>
      <c r="D2514">
        <v>1997</v>
      </c>
      <c r="E2514" t="s">
        <v>23</v>
      </c>
      <c r="F2514" t="s">
        <v>24</v>
      </c>
      <c r="G2514" t="s">
        <v>25</v>
      </c>
      <c r="H2514" t="s">
        <v>26</v>
      </c>
      <c r="I2514">
        <v>21585105</v>
      </c>
      <c r="J2514" t="s">
        <v>27</v>
      </c>
      <c r="K2514" t="s">
        <v>3452</v>
      </c>
      <c r="L2514" t="s">
        <v>21</v>
      </c>
    </row>
    <row r="2515" spans="1:12">
      <c r="A2515" t="s">
        <v>3454</v>
      </c>
      <c r="B2515" t="s">
        <v>3415</v>
      </c>
      <c r="C2515" t="s">
        <v>14</v>
      </c>
      <c r="D2515">
        <v>1997</v>
      </c>
      <c r="E2515" t="s">
        <v>29</v>
      </c>
      <c r="F2515" t="s">
        <v>30</v>
      </c>
      <c r="G2515" t="s">
        <v>31</v>
      </c>
      <c r="H2515" t="s">
        <v>32</v>
      </c>
      <c r="I2515">
        <v>1690.7568140000001</v>
      </c>
      <c r="J2515" t="s">
        <v>33</v>
      </c>
      <c r="K2515" t="s">
        <v>3452</v>
      </c>
      <c r="L2515" t="s">
        <v>21</v>
      </c>
    </row>
    <row r="2516" spans="1:12">
      <c r="A2516" t="s">
        <v>3455</v>
      </c>
      <c r="B2516" t="s">
        <v>3415</v>
      </c>
      <c r="C2516" t="s">
        <v>14</v>
      </c>
      <c r="D2516">
        <v>2002</v>
      </c>
      <c r="E2516" t="s">
        <v>15</v>
      </c>
      <c r="F2516" t="s">
        <v>16</v>
      </c>
      <c r="G2516" t="s">
        <v>17</v>
      </c>
      <c r="H2516" t="s">
        <v>18</v>
      </c>
      <c r="I2516">
        <v>66.661999999999907</v>
      </c>
      <c r="J2516" t="s">
        <v>19</v>
      </c>
      <c r="K2516" t="s">
        <v>3456</v>
      </c>
      <c r="L2516" t="s">
        <v>21</v>
      </c>
    </row>
    <row r="2517" spans="1:12">
      <c r="A2517" t="s">
        <v>3457</v>
      </c>
      <c r="B2517" t="s">
        <v>3415</v>
      </c>
      <c r="C2517" t="s">
        <v>14</v>
      </c>
      <c r="D2517">
        <v>2002</v>
      </c>
      <c r="E2517" t="s">
        <v>23</v>
      </c>
      <c r="F2517" t="s">
        <v>24</v>
      </c>
      <c r="G2517" t="s">
        <v>25</v>
      </c>
      <c r="H2517" t="s">
        <v>26</v>
      </c>
      <c r="I2517">
        <v>22215365</v>
      </c>
      <c r="J2517" t="s">
        <v>27</v>
      </c>
      <c r="K2517" t="s">
        <v>3456</v>
      </c>
      <c r="L2517" t="s">
        <v>21</v>
      </c>
    </row>
    <row r="2518" spans="1:12">
      <c r="A2518" t="s">
        <v>3458</v>
      </c>
      <c r="B2518" t="s">
        <v>3415</v>
      </c>
      <c r="C2518" t="s">
        <v>14</v>
      </c>
      <c r="D2518">
        <v>2002</v>
      </c>
      <c r="E2518" t="s">
        <v>29</v>
      </c>
      <c r="F2518" t="s">
        <v>30</v>
      </c>
      <c r="G2518" t="s">
        <v>31</v>
      </c>
      <c r="H2518" t="s">
        <v>32</v>
      </c>
      <c r="I2518">
        <v>1646.758151</v>
      </c>
      <c r="J2518" t="s">
        <v>33</v>
      </c>
      <c r="K2518" t="s">
        <v>3456</v>
      </c>
      <c r="L2518" t="s">
        <v>21</v>
      </c>
    </row>
    <row r="2519" spans="1:12">
      <c r="A2519" t="s">
        <v>3459</v>
      </c>
      <c r="B2519" t="s">
        <v>3415</v>
      </c>
      <c r="C2519" t="s">
        <v>14</v>
      </c>
      <c r="D2519">
        <v>2007</v>
      </c>
      <c r="E2519" t="s">
        <v>15</v>
      </c>
      <c r="F2519" t="s">
        <v>16</v>
      </c>
      <c r="G2519" t="s">
        <v>17</v>
      </c>
      <c r="H2519" t="s">
        <v>18</v>
      </c>
      <c r="I2519">
        <v>67.296999999999997</v>
      </c>
      <c r="J2519" t="s">
        <v>19</v>
      </c>
      <c r="K2519" t="s">
        <v>3460</v>
      </c>
      <c r="L2519" t="s">
        <v>21</v>
      </c>
    </row>
    <row r="2520" spans="1:12">
      <c r="A2520" t="s">
        <v>3461</v>
      </c>
      <c r="B2520" t="s">
        <v>3415</v>
      </c>
      <c r="C2520" t="s">
        <v>14</v>
      </c>
      <c r="D2520">
        <v>2007</v>
      </c>
      <c r="E2520" t="s">
        <v>23</v>
      </c>
      <c r="F2520" t="s">
        <v>24</v>
      </c>
      <c r="G2520" t="s">
        <v>25</v>
      </c>
      <c r="H2520" t="s">
        <v>26</v>
      </c>
      <c r="I2520">
        <v>23301725</v>
      </c>
      <c r="J2520" t="s">
        <v>27</v>
      </c>
      <c r="K2520" t="s">
        <v>3460</v>
      </c>
      <c r="L2520" t="s">
        <v>21</v>
      </c>
    </row>
    <row r="2521" spans="1:12">
      <c r="A2521" t="s">
        <v>3462</v>
      </c>
      <c r="B2521" t="s">
        <v>3415</v>
      </c>
      <c r="C2521" t="s">
        <v>14</v>
      </c>
      <c r="D2521">
        <v>2007</v>
      </c>
      <c r="E2521" t="s">
        <v>29</v>
      </c>
      <c r="F2521" t="s">
        <v>30</v>
      </c>
      <c r="G2521" t="s">
        <v>31</v>
      </c>
      <c r="H2521" t="s">
        <v>32</v>
      </c>
      <c r="I2521">
        <v>1593.06548</v>
      </c>
      <c r="J2521" t="s">
        <v>33</v>
      </c>
      <c r="K2521" t="s">
        <v>3460</v>
      </c>
      <c r="L2521" t="s">
        <v>21</v>
      </c>
    </row>
    <row r="2522" spans="1:12">
      <c r="A2522" t="s">
        <v>3463</v>
      </c>
      <c r="B2522" t="s">
        <v>3464</v>
      </c>
      <c r="C2522" t="s">
        <v>14</v>
      </c>
      <c r="D2522">
        <v>1952</v>
      </c>
      <c r="E2522" t="s">
        <v>15</v>
      </c>
      <c r="F2522" t="s">
        <v>16</v>
      </c>
      <c r="G2522" t="s">
        <v>17</v>
      </c>
      <c r="H2522" t="s">
        <v>18</v>
      </c>
      <c r="I2522">
        <v>47.453000000000003</v>
      </c>
      <c r="J2522" t="s">
        <v>19</v>
      </c>
      <c r="K2522" t="s">
        <v>3465</v>
      </c>
      <c r="L2522" t="s">
        <v>21</v>
      </c>
    </row>
    <row r="2523" spans="1:12">
      <c r="A2523" t="s">
        <v>3466</v>
      </c>
      <c r="B2523" t="s">
        <v>3464</v>
      </c>
      <c r="C2523" t="s">
        <v>14</v>
      </c>
      <c r="D2523">
        <v>1952</v>
      </c>
      <c r="E2523" t="s">
        <v>23</v>
      </c>
      <c r="F2523" t="s">
        <v>24</v>
      </c>
      <c r="G2523" t="s">
        <v>25</v>
      </c>
      <c r="H2523" t="s">
        <v>26</v>
      </c>
      <c r="I2523">
        <v>20947571</v>
      </c>
      <c r="J2523" t="s">
        <v>27</v>
      </c>
      <c r="K2523" t="s">
        <v>3465</v>
      </c>
      <c r="L2523" t="s">
        <v>21</v>
      </c>
    </row>
    <row r="2524" spans="1:12">
      <c r="A2524" t="s">
        <v>3467</v>
      </c>
      <c r="B2524" t="s">
        <v>3464</v>
      </c>
      <c r="C2524" t="s">
        <v>14</v>
      </c>
      <c r="D2524">
        <v>1952</v>
      </c>
      <c r="E2524" t="s">
        <v>29</v>
      </c>
      <c r="F2524" t="s">
        <v>30</v>
      </c>
      <c r="G2524" t="s">
        <v>31</v>
      </c>
      <c r="H2524" t="s">
        <v>32</v>
      </c>
      <c r="I2524">
        <v>1030.592226</v>
      </c>
      <c r="J2524" t="s">
        <v>33</v>
      </c>
      <c r="K2524" t="s">
        <v>3465</v>
      </c>
      <c r="L2524" t="s">
        <v>21</v>
      </c>
    </row>
    <row r="2525" spans="1:12">
      <c r="A2525" t="s">
        <v>3468</v>
      </c>
      <c r="B2525" t="s">
        <v>3464</v>
      </c>
      <c r="C2525" t="s">
        <v>14</v>
      </c>
      <c r="D2525">
        <v>1957</v>
      </c>
      <c r="E2525" t="s">
        <v>15</v>
      </c>
      <c r="F2525" t="s">
        <v>16</v>
      </c>
      <c r="G2525" t="s">
        <v>17</v>
      </c>
      <c r="H2525" t="s">
        <v>18</v>
      </c>
      <c r="I2525">
        <v>52.680999999999997</v>
      </c>
      <c r="J2525" t="s">
        <v>19</v>
      </c>
      <c r="K2525" t="s">
        <v>3469</v>
      </c>
      <c r="L2525" t="s">
        <v>21</v>
      </c>
    </row>
    <row r="2526" spans="1:12">
      <c r="A2526" t="s">
        <v>3470</v>
      </c>
      <c r="B2526" t="s">
        <v>3464</v>
      </c>
      <c r="C2526" t="s">
        <v>14</v>
      </c>
      <c r="D2526">
        <v>1957</v>
      </c>
      <c r="E2526" t="s">
        <v>23</v>
      </c>
      <c r="F2526" t="s">
        <v>24</v>
      </c>
      <c r="G2526" t="s">
        <v>25</v>
      </c>
      <c r="H2526" t="s">
        <v>26</v>
      </c>
      <c r="I2526">
        <v>22611552</v>
      </c>
      <c r="J2526" t="s">
        <v>27</v>
      </c>
      <c r="K2526" t="s">
        <v>3469</v>
      </c>
      <c r="L2526" t="s">
        <v>21</v>
      </c>
    </row>
    <row r="2527" spans="1:12">
      <c r="A2527" t="s">
        <v>3471</v>
      </c>
      <c r="B2527" t="s">
        <v>3464</v>
      </c>
      <c r="C2527" t="s">
        <v>14</v>
      </c>
      <c r="D2527">
        <v>1957</v>
      </c>
      <c r="E2527" t="s">
        <v>29</v>
      </c>
      <c r="F2527" t="s">
        <v>30</v>
      </c>
      <c r="G2527" t="s">
        <v>31</v>
      </c>
      <c r="H2527" t="s">
        <v>32</v>
      </c>
      <c r="I2527">
        <v>1487.593537</v>
      </c>
      <c r="J2527" t="s">
        <v>33</v>
      </c>
      <c r="K2527" t="s">
        <v>3469</v>
      </c>
      <c r="L2527" t="s">
        <v>21</v>
      </c>
    </row>
    <row r="2528" spans="1:12">
      <c r="A2528" t="s">
        <v>3472</v>
      </c>
      <c r="B2528" t="s">
        <v>3464</v>
      </c>
      <c r="C2528" t="s">
        <v>14</v>
      </c>
      <c r="D2528">
        <v>1962</v>
      </c>
      <c r="E2528" t="s">
        <v>15</v>
      </c>
      <c r="F2528" t="s">
        <v>16</v>
      </c>
      <c r="G2528" t="s">
        <v>17</v>
      </c>
      <c r="H2528" t="s">
        <v>18</v>
      </c>
      <c r="I2528">
        <v>55.292000000000002</v>
      </c>
      <c r="J2528" t="s">
        <v>19</v>
      </c>
      <c r="K2528" t="s">
        <v>3473</v>
      </c>
      <c r="L2528" t="s">
        <v>21</v>
      </c>
    </row>
    <row r="2529" spans="1:12">
      <c r="A2529" t="s">
        <v>3474</v>
      </c>
      <c r="B2529" t="s">
        <v>3464</v>
      </c>
      <c r="C2529" t="s">
        <v>14</v>
      </c>
      <c r="D2529">
        <v>1962</v>
      </c>
      <c r="E2529" t="s">
        <v>23</v>
      </c>
      <c r="F2529" t="s">
        <v>24</v>
      </c>
      <c r="G2529" t="s">
        <v>25</v>
      </c>
      <c r="H2529" t="s">
        <v>26</v>
      </c>
      <c r="I2529">
        <v>26420307</v>
      </c>
      <c r="J2529" t="s">
        <v>27</v>
      </c>
      <c r="K2529" t="s">
        <v>3473</v>
      </c>
      <c r="L2529" t="s">
        <v>21</v>
      </c>
    </row>
    <row r="2530" spans="1:12">
      <c r="A2530" t="s">
        <v>3475</v>
      </c>
      <c r="B2530" t="s">
        <v>3464</v>
      </c>
      <c r="C2530" t="s">
        <v>14</v>
      </c>
      <c r="D2530">
        <v>1962</v>
      </c>
      <c r="E2530" t="s">
        <v>29</v>
      </c>
      <c r="F2530" t="s">
        <v>30</v>
      </c>
      <c r="G2530" t="s">
        <v>31</v>
      </c>
      <c r="H2530" t="s">
        <v>32</v>
      </c>
      <c r="I2530">
        <v>1536.3443870000001</v>
      </c>
      <c r="J2530" t="s">
        <v>33</v>
      </c>
      <c r="K2530" t="s">
        <v>3473</v>
      </c>
      <c r="L2530" t="s">
        <v>21</v>
      </c>
    </row>
    <row r="2531" spans="1:12">
      <c r="A2531" t="s">
        <v>3476</v>
      </c>
      <c r="B2531" t="s">
        <v>3464</v>
      </c>
      <c r="C2531" t="s">
        <v>14</v>
      </c>
      <c r="D2531">
        <v>1967</v>
      </c>
      <c r="E2531" t="s">
        <v>15</v>
      </c>
      <c r="F2531" t="s">
        <v>16</v>
      </c>
      <c r="G2531" t="s">
        <v>17</v>
      </c>
      <c r="H2531" t="s">
        <v>18</v>
      </c>
      <c r="I2531">
        <v>57.716000000000001</v>
      </c>
      <c r="J2531" t="s">
        <v>19</v>
      </c>
      <c r="K2531" t="s">
        <v>3477</v>
      </c>
      <c r="L2531" t="s">
        <v>21</v>
      </c>
    </row>
    <row r="2532" spans="1:12">
      <c r="A2532" t="s">
        <v>3478</v>
      </c>
      <c r="B2532" t="s">
        <v>3464</v>
      </c>
      <c r="C2532" t="s">
        <v>14</v>
      </c>
      <c r="D2532">
        <v>1967</v>
      </c>
      <c r="E2532" t="s">
        <v>23</v>
      </c>
      <c r="F2532" t="s">
        <v>24</v>
      </c>
      <c r="G2532" t="s">
        <v>25</v>
      </c>
      <c r="H2532" t="s">
        <v>26</v>
      </c>
      <c r="I2532">
        <v>30131000</v>
      </c>
      <c r="J2532" t="s">
        <v>27</v>
      </c>
      <c r="K2532" t="s">
        <v>3477</v>
      </c>
      <c r="L2532" t="s">
        <v>21</v>
      </c>
    </row>
    <row r="2533" spans="1:12">
      <c r="A2533" t="s">
        <v>3479</v>
      </c>
      <c r="B2533" t="s">
        <v>3464</v>
      </c>
      <c r="C2533" t="s">
        <v>14</v>
      </c>
      <c r="D2533">
        <v>1967</v>
      </c>
      <c r="E2533" t="s">
        <v>29</v>
      </c>
      <c r="F2533" t="s">
        <v>30</v>
      </c>
      <c r="G2533" t="s">
        <v>31</v>
      </c>
      <c r="H2533" t="s">
        <v>32</v>
      </c>
      <c r="I2533">
        <v>2029.2281419999999</v>
      </c>
      <c r="J2533" t="s">
        <v>33</v>
      </c>
      <c r="K2533" t="s">
        <v>3477</v>
      </c>
      <c r="L2533" t="s">
        <v>21</v>
      </c>
    </row>
    <row r="2534" spans="1:12">
      <c r="A2534" t="s">
        <v>3480</v>
      </c>
      <c r="B2534" t="s">
        <v>3464</v>
      </c>
      <c r="C2534" t="s">
        <v>14</v>
      </c>
      <c r="D2534">
        <v>1972</v>
      </c>
      <c r="E2534" t="s">
        <v>15</v>
      </c>
      <c r="F2534" t="s">
        <v>16</v>
      </c>
      <c r="G2534" t="s">
        <v>17</v>
      </c>
      <c r="H2534" t="s">
        <v>18</v>
      </c>
      <c r="I2534">
        <v>62.612000000000002</v>
      </c>
      <c r="J2534" t="s">
        <v>19</v>
      </c>
      <c r="K2534" t="s">
        <v>3481</v>
      </c>
      <c r="L2534" t="s">
        <v>21</v>
      </c>
    </row>
    <row r="2535" spans="1:12">
      <c r="A2535" t="s">
        <v>3482</v>
      </c>
      <c r="B2535" t="s">
        <v>3464</v>
      </c>
      <c r="C2535" t="s">
        <v>14</v>
      </c>
      <c r="D2535">
        <v>1972</v>
      </c>
      <c r="E2535" t="s">
        <v>23</v>
      </c>
      <c r="F2535" t="s">
        <v>24</v>
      </c>
      <c r="G2535" t="s">
        <v>25</v>
      </c>
      <c r="H2535" t="s">
        <v>26</v>
      </c>
      <c r="I2535">
        <v>33505000</v>
      </c>
      <c r="J2535" t="s">
        <v>27</v>
      </c>
      <c r="K2535" t="s">
        <v>3481</v>
      </c>
      <c r="L2535" t="s">
        <v>21</v>
      </c>
    </row>
    <row r="2536" spans="1:12">
      <c r="A2536" t="s">
        <v>3483</v>
      </c>
      <c r="B2536" t="s">
        <v>3464</v>
      </c>
      <c r="C2536" t="s">
        <v>14</v>
      </c>
      <c r="D2536">
        <v>1972</v>
      </c>
      <c r="E2536" t="s">
        <v>29</v>
      </c>
      <c r="F2536" t="s">
        <v>30</v>
      </c>
      <c r="G2536" t="s">
        <v>31</v>
      </c>
      <c r="H2536" t="s">
        <v>32</v>
      </c>
      <c r="I2536">
        <v>3030.8766500000002</v>
      </c>
      <c r="J2536" t="s">
        <v>33</v>
      </c>
      <c r="K2536" t="s">
        <v>3481</v>
      </c>
      <c r="L2536" t="s">
        <v>21</v>
      </c>
    </row>
    <row r="2537" spans="1:12">
      <c r="A2537" t="s">
        <v>3484</v>
      </c>
      <c r="B2537" t="s">
        <v>3464</v>
      </c>
      <c r="C2537" t="s">
        <v>14</v>
      </c>
      <c r="D2537">
        <v>1977</v>
      </c>
      <c r="E2537" t="s">
        <v>15</v>
      </c>
      <c r="F2537" t="s">
        <v>16</v>
      </c>
      <c r="G2537" t="s">
        <v>17</v>
      </c>
      <c r="H2537" t="s">
        <v>18</v>
      </c>
      <c r="I2537">
        <v>64.766000000000005</v>
      </c>
      <c r="J2537" t="s">
        <v>19</v>
      </c>
      <c r="K2537" t="s">
        <v>3485</v>
      </c>
      <c r="L2537" t="s">
        <v>21</v>
      </c>
    </row>
    <row r="2538" spans="1:12">
      <c r="A2538" t="s">
        <v>3486</v>
      </c>
      <c r="B2538" t="s">
        <v>3464</v>
      </c>
      <c r="C2538" t="s">
        <v>14</v>
      </c>
      <c r="D2538">
        <v>1977</v>
      </c>
      <c r="E2538" t="s">
        <v>23</v>
      </c>
      <c r="F2538" t="s">
        <v>24</v>
      </c>
      <c r="G2538" t="s">
        <v>25</v>
      </c>
      <c r="H2538" t="s">
        <v>26</v>
      </c>
      <c r="I2538">
        <v>36436000</v>
      </c>
      <c r="J2538" t="s">
        <v>27</v>
      </c>
      <c r="K2538" t="s">
        <v>3485</v>
      </c>
      <c r="L2538" t="s">
        <v>21</v>
      </c>
    </row>
    <row r="2539" spans="1:12">
      <c r="A2539" t="s">
        <v>3487</v>
      </c>
      <c r="B2539" t="s">
        <v>3464</v>
      </c>
      <c r="C2539" t="s">
        <v>14</v>
      </c>
      <c r="D2539">
        <v>1977</v>
      </c>
      <c r="E2539" t="s">
        <v>29</v>
      </c>
      <c r="F2539" t="s">
        <v>30</v>
      </c>
      <c r="G2539" t="s">
        <v>31</v>
      </c>
      <c r="H2539" t="s">
        <v>32</v>
      </c>
      <c r="I2539">
        <v>4657.22102</v>
      </c>
      <c r="J2539" t="s">
        <v>33</v>
      </c>
      <c r="K2539" t="s">
        <v>3485</v>
      </c>
      <c r="L2539" t="s">
        <v>21</v>
      </c>
    </row>
    <row r="2540" spans="1:12">
      <c r="A2540" t="s">
        <v>3488</v>
      </c>
      <c r="B2540" t="s">
        <v>3464</v>
      </c>
      <c r="C2540" t="s">
        <v>14</v>
      </c>
      <c r="D2540">
        <v>1982</v>
      </c>
      <c r="E2540" t="s">
        <v>15</v>
      </c>
      <c r="F2540" t="s">
        <v>16</v>
      </c>
      <c r="G2540" t="s">
        <v>17</v>
      </c>
      <c r="H2540" t="s">
        <v>18</v>
      </c>
      <c r="I2540">
        <v>67.123000000000005</v>
      </c>
      <c r="J2540" t="s">
        <v>19</v>
      </c>
      <c r="K2540" t="s">
        <v>3489</v>
      </c>
      <c r="L2540" t="s">
        <v>21</v>
      </c>
    </row>
    <row r="2541" spans="1:12">
      <c r="A2541" t="s">
        <v>3490</v>
      </c>
      <c r="B2541" t="s">
        <v>3464</v>
      </c>
      <c r="C2541" t="s">
        <v>14</v>
      </c>
      <c r="D2541">
        <v>1982</v>
      </c>
      <c r="E2541" t="s">
        <v>23</v>
      </c>
      <c r="F2541" t="s">
        <v>24</v>
      </c>
      <c r="G2541" t="s">
        <v>25</v>
      </c>
      <c r="H2541" t="s">
        <v>26</v>
      </c>
      <c r="I2541">
        <v>39326000</v>
      </c>
      <c r="J2541" t="s">
        <v>27</v>
      </c>
      <c r="K2541" t="s">
        <v>3489</v>
      </c>
      <c r="L2541" t="s">
        <v>21</v>
      </c>
    </row>
    <row r="2542" spans="1:12">
      <c r="A2542" t="s">
        <v>3491</v>
      </c>
      <c r="B2542" t="s">
        <v>3464</v>
      </c>
      <c r="C2542" t="s">
        <v>14</v>
      </c>
      <c r="D2542">
        <v>1982</v>
      </c>
      <c r="E2542" t="s">
        <v>29</v>
      </c>
      <c r="F2542" t="s">
        <v>30</v>
      </c>
      <c r="G2542" t="s">
        <v>31</v>
      </c>
      <c r="H2542" t="s">
        <v>32</v>
      </c>
      <c r="I2542">
        <v>5622.9424639999997</v>
      </c>
      <c r="J2542" t="s">
        <v>33</v>
      </c>
      <c r="K2542" t="s">
        <v>3489</v>
      </c>
      <c r="L2542" t="s">
        <v>21</v>
      </c>
    </row>
    <row r="2543" spans="1:12">
      <c r="A2543" t="s">
        <v>3492</v>
      </c>
      <c r="B2543" t="s">
        <v>3464</v>
      </c>
      <c r="C2543" t="s">
        <v>14</v>
      </c>
      <c r="D2543">
        <v>1987</v>
      </c>
      <c r="E2543" t="s">
        <v>15</v>
      </c>
      <c r="F2543" t="s">
        <v>16</v>
      </c>
      <c r="G2543" t="s">
        <v>17</v>
      </c>
      <c r="H2543" t="s">
        <v>18</v>
      </c>
      <c r="I2543">
        <v>69.81</v>
      </c>
      <c r="J2543" t="s">
        <v>19</v>
      </c>
      <c r="K2543" t="s">
        <v>3493</v>
      </c>
      <c r="L2543" t="s">
        <v>21</v>
      </c>
    </row>
    <row r="2544" spans="1:12">
      <c r="A2544" t="s">
        <v>3494</v>
      </c>
      <c r="B2544" t="s">
        <v>3464</v>
      </c>
      <c r="C2544" t="s">
        <v>14</v>
      </c>
      <c r="D2544">
        <v>1987</v>
      </c>
      <c r="E2544" t="s">
        <v>23</v>
      </c>
      <c r="F2544" t="s">
        <v>24</v>
      </c>
      <c r="G2544" t="s">
        <v>25</v>
      </c>
      <c r="H2544" t="s">
        <v>26</v>
      </c>
      <c r="I2544">
        <v>41622000</v>
      </c>
      <c r="J2544" t="s">
        <v>27</v>
      </c>
      <c r="K2544" t="s">
        <v>3493</v>
      </c>
      <c r="L2544" t="s">
        <v>21</v>
      </c>
    </row>
    <row r="2545" spans="1:12">
      <c r="A2545" t="s">
        <v>3495</v>
      </c>
      <c r="B2545" t="s">
        <v>3464</v>
      </c>
      <c r="C2545" t="s">
        <v>14</v>
      </c>
      <c r="D2545">
        <v>1987</v>
      </c>
      <c r="E2545" t="s">
        <v>29</v>
      </c>
      <c r="F2545" t="s">
        <v>30</v>
      </c>
      <c r="G2545" t="s">
        <v>31</v>
      </c>
      <c r="H2545" t="s">
        <v>32</v>
      </c>
      <c r="I2545">
        <v>8533.0888049999994</v>
      </c>
      <c r="J2545" t="s">
        <v>33</v>
      </c>
      <c r="K2545" t="s">
        <v>3493</v>
      </c>
      <c r="L2545" t="s">
        <v>21</v>
      </c>
    </row>
    <row r="2546" spans="1:12">
      <c r="A2546" t="s">
        <v>3496</v>
      </c>
      <c r="B2546" t="s">
        <v>3464</v>
      </c>
      <c r="C2546" t="s">
        <v>14</v>
      </c>
      <c r="D2546">
        <v>1992</v>
      </c>
      <c r="E2546" t="s">
        <v>15</v>
      </c>
      <c r="F2546" t="s">
        <v>16</v>
      </c>
      <c r="G2546" t="s">
        <v>17</v>
      </c>
      <c r="H2546" t="s">
        <v>18</v>
      </c>
      <c r="I2546">
        <v>72.244</v>
      </c>
      <c r="J2546" t="s">
        <v>19</v>
      </c>
      <c r="K2546" t="s">
        <v>3497</v>
      </c>
      <c r="L2546" t="s">
        <v>21</v>
      </c>
    </row>
    <row r="2547" spans="1:12">
      <c r="A2547" t="s">
        <v>3498</v>
      </c>
      <c r="B2547" t="s">
        <v>3464</v>
      </c>
      <c r="C2547" t="s">
        <v>14</v>
      </c>
      <c r="D2547">
        <v>1992</v>
      </c>
      <c r="E2547" t="s">
        <v>23</v>
      </c>
      <c r="F2547" t="s">
        <v>24</v>
      </c>
      <c r="G2547" t="s">
        <v>25</v>
      </c>
      <c r="H2547" t="s">
        <v>26</v>
      </c>
      <c r="I2547">
        <v>43805450</v>
      </c>
      <c r="J2547" t="s">
        <v>27</v>
      </c>
      <c r="K2547" t="s">
        <v>3497</v>
      </c>
      <c r="L2547" t="s">
        <v>21</v>
      </c>
    </row>
    <row r="2548" spans="1:12">
      <c r="A2548" t="s">
        <v>3499</v>
      </c>
      <c r="B2548" t="s">
        <v>3464</v>
      </c>
      <c r="C2548" t="s">
        <v>14</v>
      </c>
      <c r="D2548">
        <v>1992</v>
      </c>
      <c r="E2548" t="s">
        <v>29</v>
      </c>
      <c r="F2548" t="s">
        <v>30</v>
      </c>
      <c r="G2548" t="s">
        <v>31</v>
      </c>
      <c r="H2548" t="s">
        <v>32</v>
      </c>
      <c r="I2548">
        <v>12104.27872</v>
      </c>
      <c r="J2548" t="s">
        <v>33</v>
      </c>
      <c r="K2548" t="s">
        <v>3497</v>
      </c>
      <c r="L2548" t="s">
        <v>21</v>
      </c>
    </row>
    <row r="2549" spans="1:12">
      <c r="A2549" t="s">
        <v>3500</v>
      </c>
      <c r="B2549" t="s">
        <v>3464</v>
      </c>
      <c r="C2549" t="s">
        <v>14</v>
      </c>
      <c r="D2549">
        <v>1997</v>
      </c>
      <c r="E2549" t="s">
        <v>15</v>
      </c>
      <c r="F2549" t="s">
        <v>16</v>
      </c>
      <c r="G2549" t="s">
        <v>17</v>
      </c>
      <c r="H2549" t="s">
        <v>18</v>
      </c>
      <c r="I2549">
        <v>74.646999999999906</v>
      </c>
      <c r="J2549" t="s">
        <v>19</v>
      </c>
      <c r="K2549" t="s">
        <v>3501</v>
      </c>
      <c r="L2549" t="s">
        <v>21</v>
      </c>
    </row>
    <row r="2550" spans="1:12">
      <c r="A2550" t="s">
        <v>3502</v>
      </c>
      <c r="B2550" t="s">
        <v>3464</v>
      </c>
      <c r="C2550" t="s">
        <v>14</v>
      </c>
      <c r="D2550">
        <v>1997</v>
      </c>
      <c r="E2550" t="s">
        <v>23</v>
      </c>
      <c r="F2550" t="s">
        <v>24</v>
      </c>
      <c r="G2550" t="s">
        <v>25</v>
      </c>
      <c r="H2550" t="s">
        <v>26</v>
      </c>
      <c r="I2550">
        <v>46173816</v>
      </c>
      <c r="J2550" t="s">
        <v>27</v>
      </c>
      <c r="K2550" t="s">
        <v>3501</v>
      </c>
      <c r="L2550" t="s">
        <v>21</v>
      </c>
    </row>
    <row r="2551" spans="1:12">
      <c r="A2551" t="s">
        <v>3503</v>
      </c>
      <c r="B2551" t="s">
        <v>3464</v>
      </c>
      <c r="C2551" t="s">
        <v>14</v>
      </c>
      <c r="D2551">
        <v>1997</v>
      </c>
      <c r="E2551" t="s">
        <v>29</v>
      </c>
      <c r="F2551" t="s">
        <v>30</v>
      </c>
      <c r="G2551" t="s">
        <v>31</v>
      </c>
      <c r="H2551" t="s">
        <v>32</v>
      </c>
      <c r="I2551">
        <v>15993.527959999999</v>
      </c>
      <c r="J2551" t="s">
        <v>33</v>
      </c>
      <c r="K2551" t="s">
        <v>3501</v>
      </c>
      <c r="L2551" t="s">
        <v>21</v>
      </c>
    </row>
    <row r="2552" spans="1:12">
      <c r="A2552" t="s">
        <v>3504</v>
      </c>
      <c r="B2552" t="s">
        <v>3464</v>
      </c>
      <c r="C2552" t="s">
        <v>14</v>
      </c>
      <c r="D2552">
        <v>2002</v>
      </c>
      <c r="E2552" t="s">
        <v>15</v>
      </c>
      <c r="F2552" t="s">
        <v>16</v>
      </c>
      <c r="G2552" t="s">
        <v>17</v>
      </c>
      <c r="H2552" t="s">
        <v>18</v>
      </c>
      <c r="I2552">
        <v>77.045000000000002</v>
      </c>
      <c r="J2552" t="s">
        <v>19</v>
      </c>
      <c r="K2552" t="s">
        <v>3505</v>
      </c>
      <c r="L2552" t="s">
        <v>21</v>
      </c>
    </row>
    <row r="2553" spans="1:12">
      <c r="A2553" t="s">
        <v>3506</v>
      </c>
      <c r="B2553" t="s">
        <v>3464</v>
      </c>
      <c r="C2553" t="s">
        <v>14</v>
      </c>
      <c r="D2553">
        <v>2002</v>
      </c>
      <c r="E2553" t="s">
        <v>23</v>
      </c>
      <c r="F2553" t="s">
        <v>24</v>
      </c>
      <c r="G2553" t="s">
        <v>25</v>
      </c>
      <c r="H2553" t="s">
        <v>26</v>
      </c>
      <c r="I2553">
        <v>47969150</v>
      </c>
      <c r="J2553" t="s">
        <v>27</v>
      </c>
      <c r="K2553" t="s">
        <v>3505</v>
      </c>
      <c r="L2553" t="s">
        <v>21</v>
      </c>
    </row>
    <row r="2554" spans="1:12">
      <c r="A2554" t="s">
        <v>3507</v>
      </c>
      <c r="B2554" t="s">
        <v>3464</v>
      </c>
      <c r="C2554" t="s">
        <v>14</v>
      </c>
      <c r="D2554">
        <v>2002</v>
      </c>
      <c r="E2554" t="s">
        <v>29</v>
      </c>
      <c r="F2554" t="s">
        <v>30</v>
      </c>
      <c r="G2554" t="s">
        <v>31</v>
      </c>
      <c r="H2554" t="s">
        <v>32</v>
      </c>
      <c r="I2554">
        <v>19233.98818</v>
      </c>
      <c r="J2554" t="s">
        <v>33</v>
      </c>
      <c r="K2554" t="s">
        <v>3505</v>
      </c>
      <c r="L2554" t="s">
        <v>21</v>
      </c>
    </row>
    <row r="2555" spans="1:12">
      <c r="A2555" t="s">
        <v>3508</v>
      </c>
      <c r="B2555" t="s">
        <v>3464</v>
      </c>
      <c r="C2555" t="s">
        <v>14</v>
      </c>
      <c r="D2555">
        <v>2007</v>
      </c>
      <c r="E2555" t="s">
        <v>15</v>
      </c>
      <c r="F2555" t="s">
        <v>16</v>
      </c>
      <c r="G2555" t="s">
        <v>17</v>
      </c>
      <c r="H2555" t="s">
        <v>18</v>
      </c>
      <c r="I2555">
        <v>78.623000000000005</v>
      </c>
      <c r="J2555" t="s">
        <v>19</v>
      </c>
      <c r="K2555" t="s">
        <v>3509</v>
      </c>
      <c r="L2555" t="s">
        <v>21</v>
      </c>
    </row>
    <row r="2556" spans="1:12">
      <c r="A2556" t="s">
        <v>3510</v>
      </c>
      <c r="B2556" t="s">
        <v>3464</v>
      </c>
      <c r="C2556" t="s">
        <v>14</v>
      </c>
      <c r="D2556">
        <v>2007</v>
      </c>
      <c r="E2556" t="s">
        <v>23</v>
      </c>
      <c r="F2556" t="s">
        <v>24</v>
      </c>
      <c r="G2556" t="s">
        <v>25</v>
      </c>
      <c r="H2556" t="s">
        <v>26</v>
      </c>
      <c r="I2556">
        <v>49044790</v>
      </c>
      <c r="J2556" t="s">
        <v>27</v>
      </c>
      <c r="K2556" t="s">
        <v>3509</v>
      </c>
      <c r="L2556" t="s">
        <v>21</v>
      </c>
    </row>
    <row r="2557" spans="1:12">
      <c r="A2557" t="s">
        <v>3511</v>
      </c>
      <c r="B2557" t="s">
        <v>3464</v>
      </c>
      <c r="C2557" t="s">
        <v>14</v>
      </c>
      <c r="D2557">
        <v>2007</v>
      </c>
      <c r="E2557" t="s">
        <v>29</v>
      </c>
      <c r="F2557" t="s">
        <v>30</v>
      </c>
      <c r="G2557" t="s">
        <v>31</v>
      </c>
      <c r="H2557" t="s">
        <v>32</v>
      </c>
      <c r="I2557">
        <v>23348.139729999999</v>
      </c>
      <c r="J2557" t="s">
        <v>33</v>
      </c>
      <c r="K2557" t="s">
        <v>3509</v>
      </c>
      <c r="L2557" t="s">
        <v>21</v>
      </c>
    </row>
    <row r="2558" spans="1:12">
      <c r="A2558" t="s">
        <v>3512</v>
      </c>
      <c r="B2558" t="s">
        <v>3513</v>
      </c>
      <c r="C2558" t="s">
        <v>14</v>
      </c>
      <c r="D2558">
        <v>1952</v>
      </c>
      <c r="E2558" t="s">
        <v>15</v>
      </c>
      <c r="F2558" t="s">
        <v>16</v>
      </c>
      <c r="G2558" t="s">
        <v>17</v>
      </c>
      <c r="H2558" t="s">
        <v>18</v>
      </c>
      <c r="I2558">
        <v>55.564999999999998</v>
      </c>
      <c r="J2558" t="s">
        <v>19</v>
      </c>
      <c r="K2558" t="s">
        <v>3514</v>
      </c>
      <c r="L2558" t="s">
        <v>21</v>
      </c>
    </row>
    <row r="2559" spans="1:12">
      <c r="A2559" t="s">
        <v>3515</v>
      </c>
      <c r="B2559" t="s">
        <v>3513</v>
      </c>
      <c r="C2559" t="s">
        <v>14</v>
      </c>
      <c r="D2559">
        <v>1952</v>
      </c>
      <c r="E2559" t="s">
        <v>23</v>
      </c>
      <c r="F2559" t="s">
        <v>24</v>
      </c>
      <c r="G2559" t="s">
        <v>25</v>
      </c>
      <c r="H2559" t="s">
        <v>26</v>
      </c>
      <c r="I2559">
        <v>160000</v>
      </c>
      <c r="J2559" t="s">
        <v>27</v>
      </c>
      <c r="K2559" t="s">
        <v>3514</v>
      </c>
      <c r="L2559" t="s">
        <v>21</v>
      </c>
    </row>
    <row r="2560" spans="1:12">
      <c r="A2560" t="s">
        <v>3516</v>
      </c>
      <c r="B2560" t="s">
        <v>3513</v>
      </c>
      <c r="C2560" t="s">
        <v>14</v>
      </c>
      <c r="D2560">
        <v>1952</v>
      </c>
      <c r="E2560" t="s">
        <v>29</v>
      </c>
      <c r="F2560" t="s">
        <v>30</v>
      </c>
      <c r="G2560" t="s">
        <v>31</v>
      </c>
      <c r="H2560" t="s">
        <v>32</v>
      </c>
      <c r="I2560">
        <v>108382.3529</v>
      </c>
      <c r="J2560" t="s">
        <v>33</v>
      </c>
      <c r="K2560" t="s">
        <v>3514</v>
      </c>
      <c r="L2560" t="s">
        <v>21</v>
      </c>
    </row>
    <row r="2561" spans="1:12">
      <c r="A2561" t="s">
        <v>3517</v>
      </c>
      <c r="B2561" t="s">
        <v>3513</v>
      </c>
      <c r="C2561" t="s">
        <v>14</v>
      </c>
      <c r="D2561">
        <v>1957</v>
      </c>
      <c r="E2561" t="s">
        <v>15</v>
      </c>
      <c r="F2561" t="s">
        <v>16</v>
      </c>
      <c r="G2561" t="s">
        <v>17</v>
      </c>
      <c r="H2561" t="s">
        <v>18</v>
      </c>
      <c r="I2561">
        <v>58.033000000000001</v>
      </c>
      <c r="J2561" t="s">
        <v>19</v>
      </c>
      <c r="K2561" t="s">
        <v>3518</v>
      </c>
      <c r="L2561" t="s">
        <v>21</v>
      </c>
    </row>
    <row r="2562" spans="1:12">
      <c r="A2562" t="s">
        <v>3519</v>
      </c>
      <c r="B2562" t="s">
        <v>3513</v>
      </c>
      <c r="C2562" t="s">
        <v>14</v>
      </c>
      <c r="D2562">
        <v>1957</v>
      </c>
      <c r="E2562" t="s">
        <v>23</v>
      </c>
      <c r="F2562" t="s">
        <v>24</v>
      </c>
      <c r="G2562" t="s">
        <v>25</v>
      </c>
      <c r="H2562" t="s">
        <v>26</v>
      </c>
      <c r="I2562">
        <v>212846</v>
      </c>
      <c r="J2562" t="s">
        <v>27</v>
      </c>
      <c r="K2562" t="s">
        <v>3518</v>
      </c>
      <c r="L2562" t="s">
        <v>21</v>
      </c>
    </row>
    <row r="2563" spans="1:12">
      <c r="A2563" t="s">
        <v>3520</v>
      </c>
      <c r="B2563" t="s">
        <v>3513</v>
      </c>
      <c r="C2563" t="s">
        <v>14</v>
      </c>
      <c r="D2563">
        <v>1957</v>
      </c>
      <c r="E2563" t="s">
        <v>29</v>
      </c>
      <c r="F2563" t="s">
        <v>30</v>
      </c>
      <c r="G2563" t="s">
        <v>31</v>
      </c>
      <c r="H2563" t="s">
        <v>32</v>
      </c>
      <c r="I2563">
        <v>113523.1329</v>
      </c>
      <c r="J2563" t="s">
        <v>33</v>
      </c>
      <c r="K2563" t="s">
        <v>3518</v>
      </c>
      <c r="L2563" t="s">
        <v>21</v>
      </c>
    </row>
    <row r="2564" spans="1:12">
      <c r="A2564" t="s">
        <v>3521</v>
      </c>
      <c r="B2564" t="s">
        <v>3513</v>
      </c>
      <c r="C2564" t="s">
        <v>14</v>
      </c>
      <c r="D2564">
        <v>1962</v>
      </c>
      <c r="E2564" t="s">
        <v>15</v>
      </c>
      <c r="F2564" t="s">
        <v>16</v>
      </c>
      <c r="G2564" t="s">
        <v>17</v>
      </c>
      <c r="H2564" t="s">
        <v>18</v>
      </c>
      <c r="I2564">
        <v>60.47</v>
      </c>
      <c r="J2564" t="s">
        <v>19</v>
      </c>
      <c r="K2564" t="s">
        <v>3522</v>
      </c>
      <c r="L2564" t="s">
        <v>21</v>
      </c>
    </row>
    <row r="2565" spans="1:12">
      <c r="A2565" t="s">
        <v>3523</v>
      </c>
      <c r="B2565" t="s">
        <v>3513</v>
      </c>
      <c r="C2565" t="s">
        <v>14</v>
      </c>
      <c r="D2565">
        <v>1962</v>
      </c>
      <c r="E2565" t="s">
        <v>23</v>
      </c>
      <c r="F2565" t="s">
        <v>24</v>
      </c>
      <c r="G2565" t="s">
        <v>25</v>
      </c>
      <c r="H2565" t="s">
        <v>26</v>
      </c>
      <c r="I2565">
        <v>358266</v>
      </c>
      <c r="J2565" t="s">
        <v>27</v>
      </c>
      <c r="K2565" t="s">
        <v>3522</v>
      </c>
      <c r="L2565" t="s">
        <v>21</v>
      </c>
    </row>
    <row r="2566" spans="1:12">
      <c r="A2566" t="s">
        <v>3524</v>
      </c>
      <c r="B2566" t="s">
        <v>3513</v>
      </c>
      <c r="C2566" t="s">
        <v>14</v>
      </c>
      <c r="D2566">
        <v>1962</v>
      </c>
      <c r="E2566" t="s">
        <v>29</v>
      </c>
      <c r="F2566" t="s">
        <v>30</v>
      </c>
      <c r="G2566" t="s">
        <v>31</v>
      </c>
      <c r="H2566" t="s">
        <v>32</v>
      </c>
      <c r="I2566">
        <v>95458.11176</v>
      </c>
      <c r="J2566" t="s">
        <v>33</v>
      </c>
      <c r="K2566" t="s">
        <v>3522</v>
      </c>
      <c r="L2566" t="s">
        <v>21</v>
      </c>
    </row>
    <row r="2567" spans="1:12">
      <c r="A2567" t="s">
        <v>3525</v>
      </c>
      <c r="B2567" t="s">
        <v>3513</v>
      </c>
      <c r="C2567" t="s">
        <v>14</v>
      </c>
      <c r="D2567">
        <v>1967</v>
      </c>
      <c r="E2567" t="s">
        <v>15</v>
      </c>
      <c r="F2567" t="s">
        <v>16</v>
      </c>
      <c r="G2567" t="s">
        <v>17</v>
      </c>
      <c r="H2567" t="s">
        <v>18</v>
      </c>
      <c r="I2567">
        <v>64.623999999999995</v>
      </c>
      <c r="J2567" t="s">
        <v>19</v>
      </c>
      <c r="K2567" t="s">
        <v>3526</v>
      </c>
      <c r="L2567" t="s">
        <v>21</v>
      </c>
    </row>
    <row r="2568" spans="1:12">
      <c r="A2568" t="s">
        <v>3527</v>
      </c>
      <c r="B2568" t="s">
        <v>3513</v>
      </c>
      <c r="C2568" t="s">
        <v>14</v>
      </c>
      <c r="D2568">
        <v>1967</v>
      </c>
      <c r="E2568" t="s">
        <v>23</v>
      </c>
      <c r="F2568" t="s">
        <v>24</v>
      </c>
      <c r="G2568" t="s">
        <v>25</v>
      </c>
      <c r="H2568" t="s">
        <v>26</v>
      </c>
      <c r="I2568">
        <v>575003</v>
      </c>
      <c r="J2568" t="s">
        <v>27</v>
      </c>
      <c r="K2568" t="s">
        <v>3526</v>
      </c>
      <c r="L2568" t="s">
        <v>21</v>
      </c>
    </row>
    <row r="2569" spans="1:12">
      <c r="A2569" t="s">
        <v>3528</v>
      </c>
      <c r="B2569" t="s">
        <v>3513</v>
      </c>
      <c r="C2569" t="s">
        <v>14</v>
      </c>
      <c r="D2569">
        <v>1967</v>
      </c>
      <c r="E2569" t="s">
        <v>29</v>
      </c>
      <c r="F2569" t="s">
        <v>30</v>
      </c>
      <c r="G2569" t="s">
        <v>31</v>
      </c>
      <c r="H2569" t="s">
        <v>32</v>
      </c>
      <c r="I2569">
        <v>80894.883260000002</v>
      </c>
      <c r="J2569" t="s">
        <v>33</v>
      </c>
      <c r="K2569" t="s">
        <v>3526</v>
      </c>
      <c r="L2569" t="s">
        <v>21</v>
      </c>
    </row>
    <row r="2570" spans="1:12">
      <c r="A2570" t="s">
        <v>3529</v>
      </c>
      <c r="B2570" t="s">
        <v>3513</v>
      </c>
      <c r="C2570" t="s">
        <v>14</v>
      </c>
      <c r="D2570">
        <v>1972</v>
      </c>
      <c r="E2570" t="s">
        <v>15</v>
      </c>
      <c r="F2570" t="s">
        <v>16</v>
      </c>
      <c r="G2570" t="s">
        <v>17</v>
      </c>
      <c r="H2570" t="s">
        <v>18</v>
      </c>
      <c r="I2570">
        <v>67.712000000000003</v>
      </c>
      <c r="J2570" t="s">
        <v>19</v>
      </c>
      <c r="K2570" t="s">
        <v>3530</v>
      </c>
      <c r="L2570" t="s">
        <v>21</v>
      </c>
    </row>
    <row r="2571" spans="1:12">
      <c r="A2571" t="s">
        <v>3531</v>
      </c>
      <c r="B2571" t="s">
        <v>3513</v>
      </c>
      <c r="C2571" t="s">
        <v>14</v>
      </c>
      <c r="D2571">
        <v>1972</v>
      </c>
      <c r="E2571" t="s">
        <v>23</v>
      </c>
      <c r="F2571" t="s">
        <v>24</v>
      </c>
      <c r="G2571" t="s">
        <v>25</v>
      </c>
      <c r="H2571" t="s">
        <v>26</v>
      </c>
      <c r="I2571">
        <v>841934</v>
      </c>
      <c r="J2571" t="s">
        <v>27</v>
      </c>
      <c r="K2571" t="s">
        <v>3530</v>
      </c>
      <c r="L2571" t="s">
        <v>21</v>
      </c>
    </row>
    <row r="2572" spans="1:12">
      <c r="A2572" t="s">
        <v>3532</v>
      </c>
      <c r="B2572" t="s">
        <v>3513</v>
      </c>
      <c r="C2572" t="s">
        <v>14</v>
      </c>
      <c r="D2572">
        <v>1972</v>
      </c>
      <c r="E2572" t="s">
        <v>29</v>
      </c>
      <c r="F2572" t="s">
        <v>30</v>
      </c>
      <c r="G2572" t="s">
        <v>31</v>
      </c>
      <c r="H2572" t="s">
        <v>32</v>
      </c>
      <c r="I2572">
        <v>109347.867</v>
      </c>
      <c r="J2572" t="s">
        <v>33</v>
      </c>
      <c r="K2572" t="s">
        <v>3530</v>
      </c>
      <c r="L2572" t="s">
        <v>21</v>
      </c>
    </row>
    <row r="2573" spans="1:12">
      <c r="A2573" t="s">
        <v>3533</v>
      </c>
      <c r="B2573" t="s">
        <v>3513</v>
      </c>
      <c r="C2573" t="s">
        <v>14</v>
      </c>
      <c r="D2573">
        <v>1977</v>
      </c>
      <c r="E2573" t="s">
        <v>15</v>
      </c>
      <c r="F2573" t="s">
        <v>16</v>
      </c>
      <c r="G2573" t="s">
        <v>17</v>
      </c>
      <c r="H2573" t="s">
        <v>18</v>
      </c>
      <c r="I2573">
        <v>69.343000000000004</v>
      </c>
      <c r="J2573" t="s">
        <v>19</v>
      </c>
      <c r="K2573" t="s">
        <v>3534</v>
      </c>
      <c r="L2573" t="s">
        <v>21</v>
      </c>
    </row>
    <row r="2574" spans="1:12">
      <c r="A2574" t="s">
        <v>3535</v>
      </c>
      <c r="B2574" t="s">
        <v>3513</v>
      </c>
      <c r="C2574" t="s">
        <v>14</v>
      </c>
      <c r="D2574">
        <v>1977</v>
      </c>
      <c r="E2574" t="s">
        <v>23</v>
      </c>
      <c r="F2574" t="s">
        <v>24</v>
      </c>
      <c r="G2574" t="s">
        <v>25</v>
      </c>
      <c r="H2574" t="s">
        <v>26</v>
      </c>
      <c r="I2574">
        <v>1140357</v>
      </c>
      <c r="J2574" t="s">
        <v>27</v>
      </c>
      <c r="K2574" t="s">
        <v>3534</v>
      </c>
      <c r="L2574" t="s">
        <v>21</v>
      </c>
    </row>
    <row r="2575" spans="1:12">
      <c r="A2575" t="s">
        <v>3536</v>
      </c>
      <c r="B2575" t="s">
        <v>3513</v>
      </c>
      <c r="C2575" t="s">
        <v>14</v>
      </c>
      <c r="D2575">
        <v>1977</v>
      </c>
      <c r="E2575" t="s">
        <v>29</v>
      </c>
      <c r="F2575" t="s">
        <v>30</v>
      </c>
      <c r="G2575" t="s">
        <v>31</v>
      </c>
      <c r="H2575" t="s">
        <v>32</v>
      </c>
      <c r="I2575">
        <v>59265.477140000003</v>
      </c>
      <c r="J2575" t="s">
        <v>33</v>
      </c>
      <c r="K2575" t="s">
        <v>3534</v>
      </c>
      <c r="L2575" t="s">
        <v>21</v>
      </c>
    </row>
    <row r="2576" spans="1:12">
      <c r="A2576" t="s">
        <v>3537</v>
      </c>
      <c r="B2576" t="s">
        <v>3513</v>
      </c>
      <c r="C2576" t="s">
        <v>14</v>
      </c>
      <c r="D2576">
        <v>1982</v>
      </c>
      <c r="E2576" t="s">
        <v>15</v>
      </c>
      <c r="F2576" t="s">
        <v>16</v>
      </c>
      <c r="G2576" t="s">
        <v>17</v>
      </c>
      <c r="H2576" t="s">
        <v>18</v>
      </c>
      <c r="I2576">
        <v>71.308999999999997</v>
      </c>
      <c r="J2576" t="s">
        <v>19</v>
      </c>
      <c r="K2576" t="s">
        <v>3538</v>
      </c>
      <c r="L2576" t="s">
        <v>21</v>
      </c>
    </row>
    <row r="2577" spans="1:12">
      <c r="A2577" t="s">
        <v>3539</v>
      </c>
      <c r="B2577" t="s">
        <v>3513</v>
      </c>
      <c r="C2577" t="s">
        <v>14</v>
      </c>
      <c r="D2577">
        <v>1982</v>
      </c>
      <c r="E2577" t="s">
        <v>23</v>
      </c>
      <c r="F2577" t="s">
        <v>24</v>
      </c>
      <c r="G2577" t="s">
        <v>25</v>
      </c>
      <c r="H2577" t="s">
        <v>26</v>
      </c>
      <c r="I2577">
        <v>1497494</v>
      </c>
      <c r="J2577" t="s">
        <v>27</v>
      </c>
      <c r="K2577" t="s">
        <v>3538</v>
      </c>
      <c r="L2577" t="s">
        <v>21</v>
      </c>
    </row>
    <row r="2578" spans="1:12">
      <c r="A2578" t="s">
        <v>3540</v>
      </c>
      <c r="B2578" t="s">
        <v>3513</v>
      </c>
      <c r="C2578" t="s">
        <v>14</v>
      </c>
      <c r="D2578">
        <v>1982</v>
      </c>
      <c r="E2578" t="s">
        <v>29</v>
      </c>
      <c r="F2578" t="s">
        <v>30</v>
      </c>
      <c r="G2578" t="s">
        <v>31</v>
      </c>
      <c r="H2578" t="s">
        <v>32</v>
      </c>
      <c r="I2578">
        <v>31354.03573</v>
      </c>
      <c r="J2578" t="s">
        <v>33</v>
      </c>
      <c r="K2578" t="s">
        <v>3538</v>
      </c>
      <c r="L2578" t="s">
        <v>21</v>
      </c>
    </row>
    <row r="2579" spans="1:12">
      <c r="A2579" t="s">
        <v>3541</v>
      </c>
      <c r="B2579" t="s">
        <v>3513</v>
      </c>
      <c r="C2579" t="s">
        <v>14</v>
      </c>
      <c r="D2579">
        <v>1987</v>
      </c>
      <c r="E2579" t="s">
        <v>15</v>
      </c>
      <c r="F2579" t="s">
        <v>16</v>
      </c>
      <c r="G2579" t="s">
        <v>17</v>
      </c>
      <c r="H2579" t="s">
        <v>18</v>
      </c>
      <c r="I2579">
        <v>74.173999999999893</v>
      </c>
      <c r="J2579" t="s">
        <v>19</v>
      </c>
      <c r="K2579" t="s">
        <v>3542</v>
      </c>
      <c r="L2579" t="s">
        <v>21</v>
      </c>
    </row>
    <row r="2580" spans="1:12">
      <c r="A2580" t="s">
        <v>3543</v>
      </c>
      <c r="B2580" t="s">
        <v>3513</v>
      </c>
      <c r="C2580" t="s">
        <v>14</v>
      </c>
      <c r="D2580">
        <v>1987</v>
      </c>
      <c r="E2580" t="s">
        <v>23</v>
      </c>
      <c r="F2580" t="s">
        <v>24</v>
      </c>
      <c r="G2580" t="s">
        <v>25</v>
      </c>
      <c r="H2580" t="s">
        <v>26</v>
      </c>
      <c r="I2580">
        <v>1891487</v>
      </c>
      <c r="J2580" t="s">
        <v>27</v>
      </c>
      <c r="K2580" t="s">
        <v>3542</v>
      </c>
      <c r="L2580" t="s">
        <v>21</v>
      </c>
    </row>
    <row r="2581" spans="1:12">
      <c r="A2581" t="s">
        <v>3544</v>
      </c>
      <c r="B2581" t="s">
        <v>3513</v>
      </c>
      <c r="C2581" t="s">
        <v>14</v>
      </c>
      <c r="D2581">
        <v>1987</v>
      </c>
      <c r="E2581" t="s">
        <v>29</v>
      </c>
      <c r="F2581" t="s">
        <v>30</v>
      </c>
      <c r="G2581" t="s">
        <v>31</v>
      </c>
      <c r="H2581" t="s">
        <v>32</v>
      </c>
      <c r="I2581">
        <v>28118.429980000001</v>
      </c>
      <c r="J2581" t="s">
        <v>33</v>
      </c>
      <c r="K2581" t="s">
        <v>3542</v>
      </c>
      <c r="L2581" t="s">
        <v>21</v>
      </c>
    </row>
    <row r="2582" spans="1:12">
      <c r="A2582" t="s">
        <v>3545</v>
      </c>
      <c r="B2582" t="s">
        <v>3513</v>
      </c>
      <c r="C2582" t="s">
        <v>14</v>
      </c>
      <c r="D2582">
        <v>1992</v>
      </c>
      <c r="E2582" t="s">
        <v>15</v>
      </c>
      <c r="F2582" t="s">
        <v>16</v>
      </c>
      <c r="G2582" t="s">
        <v>17</v>
      </c>
      <c r="H2582" t="s">
        <v>18</v>
      </c>
      <c r="I2582">
        <v>75.19</v>
      </c>
      <c r="J2582" t="s">
        <v>19</v>
      </c>
      <c r="K2582" t="s">
        <v>3546</v>
      </c>
      <c r="L2582" t="s">
        <v>21</v>
      </c>
    </row>
    <row r="2583" spans="1:12">
      <c r="A2583" t="s">
        <v>3547</v>
      </c>
      <c r="B2583" t="s">
        <v>3513</v>
      </c>
      <c r="C2583" t="s">
        <v>14</v>
      </c>
      <c r="D2583">
        <v>1992</v>
      </c>
      <c r="E2583" t="s">
        <v>23</v>
      </c>
      <c r="F2583" t="s">
        <v>24</v>
      </c>
      <c r="G2583" t="s">
        <v>25</v>
      </c>
      <c r="H2583" t="s">
        <v>26</v>
      </c>
      <c r="I2583">
        <v>1418095</v>
      </c>
      <c r="J2583" t="s">
        <v>27</v>
      </c>
      <c r="K2583" t="s">
        <v>3546</v>
      </c>
      <c r="L2583" t="s">
        <v>21</v>
      </c>
    </row>
    <row r="2584" spans="1:12">
      <c r="A2584" t="s">
        <v>3548</v>
      </c>
      <c r="B2584" t="s">
        <v>3513</v>
      </c>
      <c r="C2584" t="s">
        <v>14</v>
      </c>
      <c r="D2584">
        <v>1992</v>
      </c>
      <c r="E2584" t="s">
        <v>29</v>
      </c>
      <c r="F2584" t="s">
        <v>30</v>
      </c>
      <c r="G2584" t="s">
        <v>31</v>
      </c>
      <c r="H2584" t="s">
        <v>32</v>
      </c>
      <c r="I2584">
        <v>34932.919589999998</v>
      </c>
      <c r="J2584" t="s">
        <v>33</v>
      </c>
      <c r="K2584" t="s">
        <v>3546</v>
      </c>
      <c r="L2584" t="s">
        <v>21</v>
      </c>
    </row>
    <row r="2585" spans="1:12">
      <c r="A2585" t="s">
        <v>3549</v>
      </c>
      <c r="B2585" t="s">
        <v>3513</v>
      </c>
      <c r="C2585" t="s">
        <v>14</v>
      </c>
      <c r="D2585">
        <v>1997</v>
      </c>
      <c r="E2585" t="s">
        <v>15</v>
      </c>
      <c r="F2585" t="s">
        <v>16</v>
      </c>
      <c r="G2585" t="s">
        <v>17</v>
      </c>
      <c r="H2585" t="s">
        <v>18</v>
      </c>
      <c r="I2585">
        <v>76.156000000000006</v>
      </c>
      <c r="J2585" t="s">
        <v>19</v>
      </c>
      <c r="K2585" t="s">
        <v>3550</v>
      </c>
      <c r="L2585" t="s">
        <v>21</v>
      </c>
    </row>
    <row r="2586" spans="1:12">
      <c r="A2586" t="s">
        <v>3551</v>
      </c>
      <c r="B2586" t="s">
        <v>3513</v>
      </c>
      <c r="C2586" t="s">
        <v>14</v>
      </c>
      <c r="D2586">
        <v>1997</v>
      </c>
      <c r="E2586" t="s">
        <v>23</v>
      </c>
      <c r="F2586" t="s">
        <v>24</v>
      </c>
      <c r="G2586" t="s">
        <v>25</v>
      </c>
      <c r="H2586" t="s">
        <v>26</v>
      </c>
      <c r="I2586">
        <v>1765345</v>
      </c>
      <c r="J2586" t="s">
        <v>27</v>
      </c>
      <c r="K2586" t="s">
        <v>3550</v>
      </c>
      <c r="L2586" t="s">
        <v>21</v>
      </c>
    </row>
    <row r="2587" spans="1:12">
      <c r="A2587" t="s">
        <v>3552</v>
      </c>
      <c r="B2587" t="s">
        <v>3513</v>
      </c>
      <c r="C2587" t="s">
        <v>14</v>
      </c>
      <c r="D2587">
        <v>1997</v>
      </c>
      <c r="E2587" t="s">
        <v>29</v>
      </c>
      <c r="F2587" t="s">
        <v>30</v>
      </c>
      <c r="G2587" t="s">
        <v>31</v>
      </c>
      <c r="H2587" t="s">
        <v>32</v>
      </c>
      <c r="I2587">
        <v>40300.619960000004</v>
      </c>
      <c r="J2587" t="s">
        <v>33</v>
      </c>
      <c r="K2587" t="s">
        <v>3550</v>
      </c>
      <c r="L2587" t="s">
        <v>21</v>
      </c>
    </row>
    <row r="2588" spans="1:12">
      <c r="A2588" t="s">
        <v>3553</v>
      </c>
      <c r="B2588" t="s">
        <v>3513</v>
      </c>
      <c r="C2588" t="s">
        <v>14</v>
      </c>
      <c r="D2588">
        <v>2002</v>
      </c>
      <c r="E2588" t="s">
        <v>15</v>
      </c>
      <c r="F2588" t="s">
        <v>16</v>
      </c>
      <c r="G2588" t="s">
        <v>17</v>
      </c>
      <c r="H2588" t="s">
        <v>18</v>
      </c>
      <c r="I2588">
        <v>76.903999999999996</v>
      </c>
      <c r="J2588" t="s">
        <v>19</v>
      </c>
      <c r="K2588" t="s">
        <v>3554</v>
      </c>
      <c r="L2588" t="s">
        <v>21</v>
      </c>
    </row>
    <row r="2589" spans="1:12">
      <c r="A2589" t="s">
        <v>3555</v>
      </c>
      <c r="B2589" t="s">
        <v>3513</v>
      </c>
      <c r="C2589" t="s">
        <v>14</v>
      </c>
      <c r="D2589">
        <v>2002</v>
      </c>
      <c r="E2589" t="s">
        <v>23</v>
      </c>
      <c r="F2589" t="s">
        <v>24</v>
      </c>
      <c r="G2589" t="s">
        <v>25</v>
      </c>
      <c r="H2589" t="s">
        <v>26</v>
      </c>
      <c r="I2589">
        <v>2111561</v>
      </c>
      <c r="J2589" t="s">
        <v>27</v>
      </c>
      <c r="K2589" t="s">
        <v>3554</v>
      </c>
      <c r="L2589" t="s">
        <v>21</v>
      </c>
    </row>
    <row r="2590" spans="1:12">
      <c r="A2590" t="s">
        <v>3556</v>
      </c>
      <c r="B2590" t="s">
        <v>3513</v>
      </c>
      <c r="C2590" t="s">
        <v>14</v>
      </c>
      <c r="D2590">
        <v>2002</v>
      </c>
      <c r="E2590" t="s">
        <v>29</v>
      </c>
      <c r="F2590" t="s">
        <v>30</v>
      </c>
      <c r="G2590" t="s">
        <v>31</v>
      </c>
      <c r="H2590" t="s">
        <v>32</v>
      </c>
      <c r="I2590">
        <v>35110.105660000001</v>
      </c>
      <c r="J2590" t="s">
        <v>33</v>
      </c>
      <c r="K2590" t="s">
        <v>3554</v>
      </c>
      <c r="L2590" t="s">
        <v>21</v>
      </c>
    </row>
    <row r="2591" spans="1:12">
      <c r="A2591" t="s">
        <v>3557</v>
      </c>
      <c r="B2591" t="s">
        <v>3513</v>
      </c>
      <c r="C2591" t="s">
        <v>14</v>
      </c>
      <c r="D2591">
        <v>2007</v>
      </c>
      <c r="E2591" t="s">
        <v>15</v>
      </c>
      <c r="F2591" t="s">
        <v>16</v>
      </c>
      <c r="G2591" t="s">
        <v>17</v>
      </c>
      <c r="H2591" t="s">
        <v>18</v>
      </c>
      <c r="I2591">
        <v>77.587999999999994</v>
      </c>
      <c r="J2591" t="s">
        <v>19</v>
      </c>
      <c r="K2591" t="s">
        <v>3558</v>
      </c>
      <c r="L2591" t="s">
        <v>21</v>
      </c>
    </row>
    <row r="2592" spans="1:12">
      <c r="A2592" t="s">
        <v>3559</v>
      </c>
      <c r="B2592" t="s">
        <v>3513</v>
      </c>
      <c r="C2592" t="s">
        <v>14</v>
      </c>
      <c r="D2592">
        <v>2007</v>
      </c>
      <c r="E2592" t="s">
        <v>23</v>
      </c>
      <c r="F2592" t="s">
        <v>24</v>
      </c>
      <c r="G2592" t="s">
        <v>25</v>
      </c>
      <c r="H2592" t="s">
        <v>26</v>
      </c>
      <c r="I2592">
        <v>2505559</v>
      </c>
      <c r="J2592" t="s">
        <v>27</v>
      </c>
      <c r="K2592" t="s">
        <v>3558</v>
      </c>
      <c r="L2592" t="s">
        <v>21</v>
      </c>
    </row>
    <row r="2593" spans="1:12">
      <c r="A2593" t="s">
        <v>3560</v>
      </c>
      <c r="B2593" t="s">
        <v>3513</v>
      </c>
      <c r="C2593" t="s">
        <v>14</v>
      </c>
      <c r="D2593">
        <v>2007</v>
      </c>
      <c r="E2593" t="s">
        <v>29</v>
      </c>
      <c r="F2593" t="s">
        <v>30</v>
      </c>
      <c r="G2593" t="s">
        <v>31</v>
      </c>
      <c r="H2593" t="s">
        <v>32</v>
      </c>
      <c r="I2593">
        <v>47306.989780000004</v>
      </c>
      <c r="J2593" t="s">
        <v>33</v>
      </c>
      <c r="K2593" t="s">
        <v>3558</v>
      </c>
      <c r="L2593" t="s">
        <v>21</v>
      </c>
    </row>
    <row r="2594" spans="1:12">
      <c r="A2594" t="s">
        <v>3561</v>
      </c>
      <c r="B2594" t="s">
        <v>3562</v>
      </c>
      <c r="C2594" t="s">
        <v>14</v>
      </c>
      <c r="D2594">
        <v>1952</v>
      </c>
      <c r="E2594" t="s">
        <v>15</v>
      </c>
      <c r="F2594" t="s">
        <v>16</v>
      </c>
      <c r="G2594" t="s">
        <v>17</v>
      </c>
      <c r="H2594" t="s">
        <v>18</v>
      </c>
      <c r="I2594">
        <v>55.927999999999997</v>
      </c>
      <c r="J2594" t="s">
        <v>19</v>
      </c>
      <c r="K2594" t="s">
        <v>3563</v>
      </c>
      <c r="L2594" t="s">
        <v>21</v>
      </c>
    </row>
    <row r="2595" spans="1:12">
      <c r="A2595" t="s">
        <v>3564</v>
      </c>
      <c r="B2595" t="s">
        <v>3562</v>
      </c>
      <c r="C2595" t="s">
        <v>14</v>
      </c>
      <c r="D2595">
        <v>1952</v>
      </c>
      <c r="E2595" t="s">
        <v>23</v>
      </c>
      <c r="F2595" t="s">
        <v>24</v>
      </c>
      <c r="G2595" t="s">
        <v>25</v>
      </c>
      <c r="H2595" t="s">
        <v>26</v>
      </c>
      <c r="I2595">
        <v>1439529</v>
      </c>
      <c r="J2595" t="s">
        <v>27</v>
      </c>
      <c r="K2595" t="s">
        <v>3563</v>
      </c>
      <c r="L2595" t="s">
        <v>21</v>
      </c>
    </row>
    <row r="2596" spans="1:12">
      <c r="A2596" t="s">
        <v>3565</v>
      </c>
      <c r="B2596" t="s">
        <v>3562</v>
      </c>
      <c r="C2596" t="s">
        <v>14</v>
      </c>
      <c r="D2596">
        <v>1952</v>
      </c>
      <c r="E2596" t="s">
        <v>29</v>
      </c>
      <c r="F2596" t="s">
        <v>30</v>
      </c>
      <c r="G2596" t="s">
        <v>31</v>
      </c>
      <c r="H2596" t="s">
        <v>32</v>
      </c>
      <c r="I2596">
        <v>4834.804067</v>
      </c>
      <c r="J2596" t="s">
        <v>33</v>
      </c>
      <c r="K2596" t="s">
        <v>3563</v>
      </c>
      <c r="L2596" t="s">
        <v>21</v>
      </c>
    </row>
    <row r="2597" spans="1:12">
      <c r="A2597" t="s">
        <v>3566</v>
      </c>
      <c r="B2597" t="s">
        <v>3562</v>
      </c>
      <c r="C2597" t="s">
        <v>14</v>
      </c>
      <c r="D2597">
        <v>1957</v>
      </c>
      <c r="E2597" t="s">
        <v>15</v>
      </c>
      <c r="F2597" t="s">
        <v>16</v>
      </c>
      <c r="G2597" t="s">
        <v>17</v>
      </c>
      <c r="H2597" t="s">
        <v>18</v>
      </c>
      <c r="I2597">
        <v>59.488999999999997</v>
      </c>
      <c r="J2597" t="s">
        <v>19</v>
      </c>
      <c r="K2597" t="s">
        <v>3567</v>
      </c>
      <c r="L2597" t="s">
        <v>21</v>
      </c>
    </row>
    <row r="2598" spans="1:12">
      <c r="A2598" t="s">
        <v>3568</v>
      </c>
      <c r="B2598" t="s">
        <v>3562</v>
      </c>
      <c r="C2598" t="s">
        <v>14</v>
      </c>
      <c r="D2598">
        <v>1957</v>
      </c>
      <c r="E2598" t="s">
        <v>23</v>
      </c>
      <c r="F2598" t="s">
        <v>24</v>
      </c>
      <c r="G2598" t="s">
        <v>25</v>
      </c>
      <c r="H2598" t="s">
        <v>26</v>
      </c>
      <c r="I2598">
        <v>1647412</v>
      </c>
      <c r="J2598" t="s">
        <v>27</v>
      </c>
      <c r="K2598" t="s">
        <v>3567</v>
      </c>
      <c r="L2598" t="s">
        <v>21</v>
      </c>
    </row>
    <row r="2599" spans="1:12">
      <c r="A2599" t="s">
        <v>3569</v>
      </c>
      <c r="B2599" t="s">
        <v>3562</v>
      </c>
      <c r="C2599" t="s">
        <v>14</v>
      </c>
      <c r="D2599">
        <v>1957</v>
      </c>
      <c r="E2599" t="s">
        <v>29</v>
      </c>
      <c r="F2599" t="s">
        <v>30</v>
      </c>
      <c r="G2599" t="s">
        <v>31</v>
      </c>
      <c r="H2599" t="s">
        <v>32</v>
      </c>
      <c r="I2599">
        <v>6089.7869339999997</v>
      </c>
      <c r="J2599" t="s">
        <v>33</v>
      </c>
      <c r="K2599" t="s">
        <v>3567</v>
      </c>
      <c r="L2599" t="s">
        <v>21</v>
      </c>
    </row>
    <row r="2600" spans="1:12">
      <c r="A2600" t="s">
        <v>3570</v>
      </c>
      <c r="B2600" t="s">
        <v>3562</v>
      </c>
      <c r="C2600" t="s">
        <v>14</v>
      </c>
      <c r="D2600">
        <v>1962</v>
      </c>
      <c r="E2600" t="s">
        <v>15</v>
      </c>
      <c r="F2600" t="s">
        <v>16</v>
      </c>
      <c r="G2600" t="s">
        <v>17</v>
      </c>
      <c r="H2600" t="s">
        <v>18</v>
      </c>
      <c r="I2600">
        <v>62.094000000000001</v>
      </c>
      <c r="J2600" t="s">
        <v>19</v>
      </c>
      <c r="K2600" t="s">
        <v>3571</v>
      </c>
      <c r="L2600" t="s">
        <v>21</v>
      </c>
    </row>
    <row r="2601" spans="1:12">
      <c r="A2601" t="s">
        <v>3572</v>
      </c>
      <c r="B2601" t="s">
        <v>3562</v>
      </c>
      <c r="C2601" t="s">
        <v>14</v>
      </c>
      <c r="D2601">
        <v>1962</v>
      </c>
      <c r="E2601" t="s">
        <v>23</v>
      </c>
      <c r="F2601" t="s">
        <v>24</v>
      </c>
      <c r="G2601" t="s">
        <v>25</v>
      </c>
      <c r="H2601" t="s">
        <v>26</v>
      </c>
      <c r="I2601">
        <v>1886848</v>
      </c>
      <c r="J2601" t="s">
        <v>27</v>
      </c>
      <c r="K2601" t="s">
        <v>3571</v>
      </c>
      <c r="L2601" t="s">
        <v>21</v>
      </c>
    </row>
    <row r="2602" spans="1:12">
      <c r="A2602" t="s">
        <v>3573</v>
      </c>
      <c r="B2602" t="s">
        <v>3562</v>
      </c>
      <c r="C2602" t="s">
        <v>14</v>
      </c>
      <c r="D2602">
        <v>1962</v>
      </c>
      <c r="E2602" t="s">
        <v>29</v>
      </c>
      <c r="F2602" t="s">
        <v>30</v>
      </c>
      <c r="G2602" t="s">
        <v>31</v>
      </c>
      <c r="H2602" t="s">
        <v>32</v>
      </c>
      <c r="I2602">
        <v>5714.5606109999999</v>
      </c>
      <c r="J2602" t="s">
        <v>33</v>
      </c>
      <c r="K2602" t="s">
        <v>3571</v>
      </c>
      <c r="L2602" t="s">
        <v>21</v>
      </c>
    </row>
    <row r="2603" spans="1:12">
      <c r="A2603" t="s">
        <v>3574</v>
      </c>
      <c r="B2603" t="s">
        <v>3562</v>
      </c>
      <c r="C2603" t="s">
        <v>14</v>
      </c>
      <c r="D2603">
        <v>1967</v>
      </c>
      <c r="E2603" t="s">
        <v>15</v>
      </c>
      <c r="F2603" t="s">
        <v>16</v>
      </c>
      <c r="G2603" t="s">
        <v>17</v>
      </c>
      <c r="H2603" t="s">
        <v>18</v>
      </c>
      <c r="I2603">
        <v>63.87</v>
      </c>
      <c r="J2603" t="s">
        <v>19</v>
      </c>
      <c r="K2603" t="s">
        <v>3575</v>
      </c>
      <c r="L2603" t="s">
        <v>21</v>
      </c>
    </row>
    <row r="2604" spans="1:12">
      <c r="A2604" t="s">
        <v>3576</v>
      </c>
      <c r="B2604" t="s">
        <v>3562</v>
      </c>
      <c r="C2604" t="s">
        <v>14</v>
      </c>
      <c r="D2604">
        <v>1967</v>
      </c>
      <c r="E2604" t="s">
        <v>23</v>
      </c>
      <c r="F2604" t="s">
        <v>24</v>
      </c>
      <c r="G2604" t="s">
        <v>25</v>
      </c>
      <c r="H2604" t="s">
        <v>26</v>
      </c>
      <c r="I2604">
        <v>2186894</v>
      </c>
      <c r="J2604" t="s">
        <v>27</v>
      </c>
      <c r="K2604" t="s">
        <v>3575</v>
      </c>
      <c r="L2604" t="s">
        <v>21</v>
      </c>
    </row>
    <row r="2605" spans="1:12">
      <c r="A2605" t="s">
        <v>3577</v>
      </c>
      <c r="B2605" t="s">
        <v>3562</v>
      </c>
      <c r="C2605" t="s">
        <v>14</v>
      </c>
      <c r="D2605">
        <v>1967</v>
      </c>
      <c r="E2605" t="s">
        <v>29</v>
      </c>
      <c r="F2605" t="s">
        <v>30</v>
      </c>
      <c r="G2605" t="s">
        <v>31</v>
      </c>
      <c r="H2605" t="s">
        <v>32</v>
      </c>
      <c r="I2605">
        <v>6006.9830419999998</v>
      </c>
      <c r="J2605" t="s">
        <v>33</v>
      </c>
      <c r="K2605" t="s">
        <v>3575</v>
      </c>
      <c r="L2605" t="s">
        <v>21</v>
      </c>
    </row>
    <row r="2606" spans="1:12">
      <c r="A2606" t="s">
        <v>3578</v>
      </c>
      <c r="B2606" t="s">
        <v>3562</v>
      </c>
      <c r="C2606" t="s">
        <v>14</v>
      </c>
      <c r="D2606">
        <v>1972</v>
      </c>
      <c r="E2606" t="s">
        <v>15</v>
      </c>
      <c r="F2606" t="s">
        <v>16</v>
      </c>
      <c r="G2606" t="s">
        <v>17</v>
      </c>
      <c r="H2606" t="s">
        <v>18</v>
      </c>
      <c r="I2606">
        <v>65.421000000000006</v>
      </c>
      <c r="J2606" t="s">
        <v>19</v>
      </c>
      <c r="K2606" t="s">
        <v>3579</v>
      </c>
      <c r="L2606" t="s">
        <v>21</v>
      </c>
    </row>
    <row r="2607" spans="1:12">
      <c r="A2607" t="s">
        <v>3580</v>
      </c>
      <c r="B2607" t="s">
        <v>3562</v>
      </c>
      <c r="C2607" t="s">
        <v>14</v>
      </c>
      <c r="D2607">
        <v>1972</v>
      </c>
      <c r="E2607" t="s">
        <v>23</v>
      </c>
      <c r="F2607" t="s">
        <v>24</v>
      </c>
      <c r="G2607" t="s">
        <v>25</v>
      </c>
      <c r="H2607" t="s">
        <v>26</v>
      </c>
      <c r="I2607">
        <v>2680018</v>
      </c>
      <c r="J2607" t="s">
        <v>27</v>
      </c>
      <c r="K2607" t="s">
        <v>3579</v>
      </c>
      <c r="L2607" t="s">
        <v>21</v>
      </c>
    </row>
    <row r="2608" spans="1:12">
      <c r="A2608" t="s">
        <v>3581</v>
      </c>
      <c r="B2608" t="s">
        <v>3562</v>
      </c>
      <c r="C2608" t="s">
        <v>14</v>
      </c>
      <c r="D2608">
        <v>1972</v>
      </c>
      <c r="E2608" t="s">
        <v>29</v>
      </c>
      <c r="F2608" t="s">
        <v>30</v>
      </c>
      <c r="G2608" t="s">
        <v>31</v>
      </c>
      <c r="H2608" t="s">
        <v>32</v>
      </c>
      <c r="I2608">
        <v>7486.3843409999999</v>
      </c>
      <c r="J2608" t="s">
        <v>33</v>
      </c>
      <c r="K2608" t="s">
        <v>3579</v>
      </c>
      <c r="L2608" t="s">
        <v>21</v>
      </c>
    </row>
    <row r="2609" spans="1:12">
      <c r="A2609" t="s">
        <v>3582</v>
      </c>
      <c r="B2609" t="s">
        <v>3562</v>
      </c>
      <c r="C2609" t="s">
        <v>14</v>
      </c>
      <c r="D2609">
        <v>1977</v>
      </c>
      <c r="E2609" t="s">
        <v>15</v>
      </c>
      <c r="F2609" t="s">
        <v>16</v>
      </c>
      <c r="G2609" t="s">
        <v>17</v>
      </c>
      <c r="H2609" t="s">
        <v>18</v>
      </c>
      <c r="I2609">
        <v>66.098999999999904</v>
      </c>
      <c r="J2609" t="s">
        <v>19</v>
      </c>
      <c r="K2609" t="s">
        <v>3583</v>
      </c>
      <c r="L2609" t="s">
        <v>21</v>
      </c>
    </row>
    <row r="2610" spans="1:12">
      <c r="A2610" t="s">
        <v>3584</v>
      </c>
      <c r="B2610" t="s">
        <v>3562</v>
      </c>
      <c r="C2610" t="s">
        <v>14</v>
      </c>
      <c r="D2610">
        <v>1977</v>
      </c>
      <c r="E2610" t="s">
        <v>23</v>
      </c>
      <c r="F2610" t="s">
        <v>24</v>
      </c>
      <c r="G2610" t="s">
        <v>25</v>
      </c>
      <c r="H2610" t="s">
        <v>26</v>
      </c>
      <c r="I2610">
        <v>3115787</v>
      </c>
      <c r="J2610" t="s">
        <v>27</v>
      </c>
      <c r="K2610" t="s">
        <v>3583</v>
      </c>
      <c r="L2610" t="s">
        <v>21</v>
      </c>
    </row>
    <row r="2611" spans="1:12">
      <c r="A2611" t="s">
        <v>3585</v>
      </c>
      <c r="B2611" t="s">
        <v>3562</v>
      </c>
      <c r="C2611" t="s">
        <v>14</v>
      </c>
      <c r="D2611">
        <v>1977</v>
      </c>
      <c r="E2611" t="s">
        <v>29</v>
      </c>
      <c r="F2611" t="s">
        <v>30</v>
      </c>
      <c r="G2611" t="s">
        <v>31</v>
      </c>
      <c r="H2611" t="s">
        <v>32</v>
      </c>
      <c r="I2611">
        <v>8659.6968359999992</v>
      </c>
      <c r="J2611" t="s">
        <v>33</v>
      </c>
      <c r="K2611" t="s">
        <v>3583</v>
      </c>
      <c r="L2611" t="s">
        <v>21</v>
      </c>
    </row>
    <row r="2612" spans="1:12">
      <c r="A2612" t="s">
        <v>3586</v>
      </c>
      <c r="B2612" t="s">
        <v>3562</v>
      </c>
      <c r="C2612" t="s">
        <v>14</v>
      </c>
      <c r="D2612">
        <v>1982</v>
      </c>
      <c r="E2612" t="s">
        <v>15</v>
      </c>
      <c r="F2612" t="s">
        <v>16</v>
      </c>
      <c r="G2612" t="s">
        <v>17</v>
      </c>
      <c r="H2612" t="s">
        <v>18</v>
      </c>
      <c r="I2612">
        <v>66.983000000000004</v>
      </c>
      <c r="J2612" t="s">
        <v>19</v>
      </c>
      <c r="K2612" t="s">
        <v>3587</v>
      </c>
      <c r="L2612" t="s">
        <v>21</v>
      </c>
    </row>
    <row r="2613" spans="1:12">
      <c r="A2613" t="s">
        <v>3588</v>
      </c>
      <c r="B2613" t="s">
        <v>3562</v>
      </c>
      <c r="C2613" t="s">
        <v>14</v>
      </c>
      <c r="D2613">
        <v>1982</v>
      </c>
      <c r="E2613" t="s">
        <v>23</v>
      </c>
      <c r="F2613" t="s">
        <v>24</v>
      </c>
      <c r="G2613" t="s">
        <v>25</v>
      </c>
      <c r="H2613" t="s">
        <v>26</v>
      </c>
      <c r="I2613">
        <v>3086876</v>
      </c>
      <c r="J2613" t="s">
        <v>27</v>
      </c>
      <c r="K2613" t="s">
        <v>3587</v>
      </c>
      <c r="L2613" t="s">
        <v>21</v>
      </c>
    </row>
    <row r="2614" spans="1:12">
      <c r="A2614" t="s">
        <v>3589</v>
      </c>
      <c r="B2614" t="s">
        <v>3562</v>
      </c>
      <c r="C2614" t="s">
        <v>14</v>
      </c>
      <c r="D2614">
        <v>1982</v>
      </c>
      <c r="E2614" t="s">
        <v>29</v>
      </c>
      <c r="F2614" t="s">
        <v>30</v>
      </c>
      <c r="G2614" t="s">
        <v>31</v>
      </c>
      <c r="H2614" t="s">
        <v>32</v>
      </c>
      <c r="I2614">
        <v>7640.5195209999902</v>
      </c>
      <c r="J2614" t="s">
        <v>33</v>
      </c>
      <c r="K2614" t="s">
        <v>3587</v>
      </c>
      <c r="L2614" t="s">
        <v>21</v>
      </c>
    </row>
    <row r="2615" spans="1:12">
      <c r="A2615" t="s">
        <v>3590</v>
      </c>
      <c r="B2615" t="s">
        <v>3562</v>
      </c>
      <c r="C2615" t="s">
        <v>14</v>
      </c>
      <c r="D2615">
        <v>1987</v>
      </c>
      <c r="E2615" t="s">
        <v>15</v>
      </c>
      <c r="F2615" t="s">
        <v>16</v>
      </c>
      <c r="G2615" t="s">
        <v>17</v>
      </c>
      <c r="H2615" t="s">
        <v>18</v>
      </c>
      <c r="I2615">
        <v>67.926000000000002</v>
      </c>
      <c r="J2615" t="s">
        <v>19</v>
      </c>
      <c r="K2615" t="s">
        <v>3591</v>
      </c>
      <c r="L2615" t="s">
        <v>21</v>
      </c>
    </row>
    <row r="2616" spans="1:12">
      <c r="A2616" t="s">
        <v>3592</v>
      </c>
      <c r="B2616" t="s">
        <v>3562</v>
      </c>
      <c r="C2616" t="s">
        <v>14</v>
      </c>
      <c r="D2616">
        <v>1987</v>
      </c>
      <c r="E2616" t="s">
        <v>23</v>
      </c>
      <c r="F2616" t="s">
        <v>24</v>
      </c>
      <c r="G2616" t="s">
        <v>25</v>
      </c>
      <c r="H2616" t="s">
        <v>26</v>
      </c>
      <c r="I2616">
        <v>3089353</v>
      </c>
      <c r="J2616" t="s">
        <v>27</v>
      </c>
      <c r="K2616" t="s">
        <v>3591</v>
      </c>
      <c r="L2616" t="s">
        <v>21</v>
      </c>
    </row>
    <row r="2617" spans="1:12">
      <c r="A2617" t="s">
        <v>3593</v>
      </c>
      <c r="B2617" t="s">
        <v>3562</v>
      </c>
      <c r="C2617" t="s">
        <v>14</v>
      </c>
      <c r="D2617">
        <v>1987</v>
      </c>
      <c r="E2617" t="s">
        <v>29</v>
      </c>
      <c r="F2617" t="s">
        <v>30</v>
      </c>
      <c r="G2617" t="s">
        <v>31</v>
      </c>
      <c r="H2617" t="s">
        <v>32</v>
      </c>
      <c r="I2617">
        <v>5377.0913289999999</v>
      </c>
      <c r="J2617" t="s">
        <v>33</v>
      </c>
      <c r="K2617" t="s">
        <v>3591</v>
      </c>
      <c r="L2617" t="s">
        <v>21</v>
      </c>
    </row>
    <row r="2618" spans="1:12">
      <c r="A2618" t="s">
        <v>3594</v>
      </c>
      <c r="B2618" t="s">
        <v>3562</v>
      </c>
      <c r="C2618" t="s">
        <v>14</v>
      </c>
      <c r="D2618">
        <v>1992</v>
      </c>
      <c r="E2618" t="s">
        <v>15</v>
      </c>
      <c r="F2618" t="s">
        <v>16</v>
      </c>
      <c r="G2618" t="s">
        <v>17</v>
      </c>
      <c r="H2618" t="s">
        <v>18</v>
      </c>
      <c r="I2618">
        <v>69.292000000000002</v>
      </c>
      <c r="J2618" t="s">
        <v>19</v>
      </c>
      <c r="K2618" t="s">
        <v>3595</v>
      </c>
      <c r="L2618" t="s">
        <v>21</v>
      </c>
    </row>
    <row r="2619" spans="1:12">
      <c r="A2619" t="s">
        <v>3596</v>
      </c>
      <c r="B2619" t="s">
        <v>3562</v>
      </c>
      <c r="C2619" t="s">
        <v>14</v>
      </c>
      <c r="D2619">
        <v>1992</v>
      </c>
      <c r="E2619" t="s">
        <v>23</v>
      </c>
      <c r="F2619" t="s">
        <v>24</v>
      </c>
      <c r="G2619" t="s">
        <v>25</v>
      </c>
      <c r="H2619" t="s">
        <v>26</v>
      </c>
      <c r="I2619">
        <v>3219994</v>
      </c>
      <c r="J2619" t="s">
        <v>27</v>
      </c>
      <c r="K2619" t="s">
        <v>3595</v>
      </c>
      <c r="L2619" t="s">
        <v>21</v>
      </c>
    </row>
    <row r="2620" spans="1:12">
      <c r="A2620" t="s">
        <v>3597</v>
      </c>
      <c r="B2620" t="s">
        <v>3562</v>
      </c>
      <c r="C2620" t="s">
        <v>14</v>
      </c>
      <c r="D2620">
        <v>1992</v>
      </c>
      <c r="E2620" t="s">
        <v>29</v>
      </c>
      <c r="F2620" t="s">
        <v>30</v>
      </c>
      <c r="G2620" t="s">
        <v>31</v>
      </c>
      <c r="H2620" t="s">
        <v>32</v>
      </c>
      <c r="I2620">
        <v>6890.8068540000004</v>
      </c>
      <c r="J2620" t="s">
        <v>33</v>
      </c>
      <c r="K2620" t="s">
        <v>3595</v>
      </c>
      <c r="L2620" t="s">
        <v>21</v>
      </c>
    </row>
    <row r="2621" spans="1:12">
      <c r="A2621" t="s">
        <v>3598</v>
      </c>
      <c r="B2621" t="s">
        <v>3562</v>
      </c>
      <c r="C2621" t="s">
        <v>14</v>
      </c>
      <c r="D2621">
        <v>1997</v>
      </c>
      <c r="E2621" t="s">
        <v>15</v>
      </c>
      <c r="F2621" t="s">
        <v>16</v>
      </c>
      <c r="G2621" t="s">
        <v>17</v>
      </c>
      <c r="H2621" t="s">
        <v>18</v>
      </c>
      <c r="I2621">
        <v>70.265000000000001</v>
      </c>
      <c r="J2621" t="s">
        <v>19</v>
      </c>
      <c r="K2621" t="s">
        <v>3599</v>
      </c>
      <c r="L2621" t="s">
        <v>21</v>
      </c>
    </row>
    <row r="2622" spans="1:12">
      <c r="A2622" t="s">
        <v>3600</v>
      </c>
      <c r="B2622" t="s">
        <v>3562</v>
      </c>
      <c r="C2622" t="s">
        <v>14</v>
      </c>
      <c r="D2622">
        <v>1997</v>
      </c>
      <c r="E2622" t="s">
        <v>23</v>
      </c>
      <c r="F2622" t="s">
        <v>24</v>
      </c>
      <c r="G2622" t="s">
        <v>25</v>
      </c>
      <c r="H2622" t="s">
        <v>26</v>
      </c>
      <c r="I2622">
        <v>3430388</v>
      </c>
      <c r="J2622" t="s">
        <v>27</v>
      </c>
      <c r="K2622" t="s">
        <v>3599</v>
      </c>
      <c r="L2622" t="s">
        <v>21</v>
      </c>
    </row>
    <row r="2623" spans="1:12">
      <c r="A2623" t="s">
        <v>3601</v>
      </c>
      <c r="B2623" t="s">
        <v>3562</v>
      </c>
      <c r="C2623" t="s">
        <v>14</v>
      </c>
      <c r="D2623">
        <v>1997</v>
      </c>
      <c r="E2623" t="s">
        <v>29</v>
      </c>
      <c r="F2623" t="s">
        <v>30</v>
      </c>
      <c r="G2623" t="s">
        <v>31</v>
      </c>
      <c r="H2623" t="s">
        <v>32</v>
      </c>
      <c r="I2623">
        <v>8754.9638500000001</v>
      </c>
      <c r="J2623" t="s">
        <v>33</v>
      </c>
      <c r="K2623" t="s">
        <v>3599</v>
      </c>
      <c r="L2623" t="s">
        <v>21</v>
      </c>
    </row>
    <row r="2624" spans="1:12">
      <c r="A2624" t="s">
        <v>3602</v>
      </c>
      <c r="B2624" t="s">
        <v>3562</v>
      </c>
      <c r="C2624" t="s">
        <v>14</v>
      </c>
      <c r="D2624">
        <v>2002</v>
      </c>
      <c r="E2624" t="s">
        <v>15</v>
      </c>
      <c r="F2624" t="s">
        <v>16</v>
      </c>
      <c r="G2624" t="s">
        <v>17</v>
      </c>
      <c r="H2624" t="s">
        <v>18</v>
      </c>
      <c r="I2624">
        <v>71.028000000000006</v>
      </c>
      <c r="J2624" t="s">
        <v>19</v>
      </c>
      <c r="K2624" t="s">
        <v>3603</v>
      </c>
      <c r="L2624" t="s">
        <v>21</v>
      </c>
    </row>
    <row r="2625" spans="1:12">
      <c r="A2625" t="s">
        <v>3604</v>
      </c>
      <c r="B2625" t="s">
        <v>3562</v>
      </c>
      <c r="C2625" t="s">
        <v>14</v>
      </c>
      <c r="D2625">
        <v>2002</v>
      </c>
      <c r="E2625" t="s">
        <v>23</v>
      </c>
      <c r="F2625" t="s">
        <v>24</v>
      </c>
      <c r="G2625" t="s">
        <v>25</v>
      </c>
      <c r="H2625" t="s">
        <v>26</v>
      </c>
      <c r="I2625">
        <v>3677780</v>
      </c>
      <c r="J2625" t="s">
        <v>27</v>
      </c>
      <c r="K2625" t="s">
        <v>3603</v>
      </c>
      <c r="L2625" t="s">
        <v>21</v>
      </c>
    </row>
    <row r="2626" spans="1:12">
      <c r="A2626" t="s">
        <v>3605</v>
      </c>
      <c r="B2626" t="s">
        <v>3562</v>
      </c>
      <c r="C2626" t="s">
        <v>14</v>
      </c>
      <c r="D2626">
        <v>2002</v>
      </c>
      <c r="E2626" t="s">
        <v>29</v>
      </c>
      <c r="F2626" t="s">
        <v>30</v>
      </c>
      <c r="G2626" t="s">
        <v>31</v>
      </c>
      <c r="H2626" t="s">
        <v>32</v>
      </c>
      <c r="I2626">
        <v>9313.9388299999991</v>
      </c>
      <c r="J2626" t="s">
        <v>33</v>
      </c>
      <c r="K2626" t="s">
        <v>3603</v>
      </c>
      <c r="L2626" t="s">
        <v>21</v>
      </c>
    </row>
    <row r="2627" spans="1:12">
      <c r="A2627" t="s">
        <v>3606</v>
      </c>
      <c r="B2627" t="s">
        <v>3562</v>
      </c>
      <c r="C2627" t="s">
        <v>14</v>
      </c>
      <c r="D2627">
        <v>2007</v>
      </c>
      <c r="E2627" t="s">
        <v>15</v>
      </c>
      <c r="F2627" t="s">
        <v>16</v>
      </c>
      <c r="G2627" t="s">
        <v>17</v>
      </c>
      <c r="H2627" t="s">
        <v>18</v>
      </c>
      <c r="I2627">
        <v>71.992999999999995</v>
      </c>
      <c r="J2627" t="s">
        <v>19</v>
      </c>
      <c r="K2627" t="s">
        <v>3607</v>
      </c>
      <c r="L2627" t="s">
        <v>21</v>
      </c>
    </row>
    <row r="2628" spans="1:12">
      <c r="A2628" t="s">
        <v>3608</v>
      </c>
      <c r="B2628" t="s">
        <v>3562</v>
      </c>
      <c r="C2628" t="s">
        <v>14</v>
      </c>
      <c r="D2628">
        <v>2007</v>
      </c>
      <c r="E2628" t="s">
        <v>23</v>
      </c>
      <c r="F2628" t="s">
        <v>24</v>
      </c>
      <c r="G2628" t="s">
        <v>25</v>
      </c>
      <c r="H2628" t="s">
        <v>26</v>
      </c>
      <c r="I2628">
        <v>3921278</v>
      </c>
      <c r="J2628" t="s">
        <v>27</v>
      </c>
      <c r="K2628" t="s">
        <v>3607</v>
      </c>
      <c r="L2628" t="s">
        <v>21</v>
      </c>
    </row>
    <row r="2629" spans="1:12">
      <c r="A2629" t="s">
        <v>3609</v>
      </c>
      <c r="B2629" t="s">
        <v>3562</v>
      </c>
      <c r="C2629" t="s">
        <v>14</v>
      </c>
      <c r="D2629">
        <v>2007</v>
      </c>
      <c r="E2629" t="s">
        <v>29</v>
      </c>
      <c r="F2629" t="s">
        <v>30</v>
      </c>
      <c r="G2629" t="s">
        <v>31</v>
      </c>
      <c r="H2629" t="s">
        <v>32</v>
      </c>
      <c r="I2629">
        <v>10461.05868</v>
      </c>
      <c r="J2629" t="s">
        <v>33</v>
      </c>
      <c r="K2629" t="s">
        <v>3607</v>
      </c>
      <c r="L2629" t="s">
        <v>21</v>
      </c>
    </row>
    <row r="2630" spans="1:12">
      <c r="A2630" t="s">
        <v>3610</v>
      </c>
      <c r="B2630" t="s">
        <v>3611</v>
      </c>
      <c r="C2630" t="s">
        <v>130</v>
      </c>
      <c r="D2630">
        <v>1952</v>
      </c>
      <c r="E2630" t="s">
        <v>15</v>
      </c>
      <c r="F2630" t="s">
        <v>16</v>
      </c>
      <c r="G2630" t="s">
        <v>17</v>
      </c>
      <c r="H2630" t="s">
        <v>18</v>
      </c>
      <c r="I2630">
        <v>42.137999999999998</v>
      </c>
      <c r="J2630" t="s">
        <v>19</v>
      </c>
      <c r="K2630" t="s">
        <v>3612</v>
      </c>
      <c r="L2630" t="s">
        <v>21</v>
      </c>
    </row>
    <row r="2631" spans="1:12">
      <c r="A2631" t="s">
        <v>3613</v>
      </c>
      <c r="B2631" t="s">
        <v>3611</v>
      </c>
      <c r="C2631" t="s">
        <v>130</v>
      </c>
      <c r="D2631">
        <v>1952</v>
      </c>
      <c r="E2631" t="s">
        <v>23</v>
      </c>
      <c r="F2631" t="s">
        <v>24</v>
      </c>
      <c r="G2631" t="s">
        <v>25</v>
      </c>
      <c r="H2631" t="s">
        <v>26</v>
      </c>
      <c r="I2631">
        <v>748747</v>
      </c>
      <c r="J2631" t="s">
        <v>27</v>
      </c>
      <c r="K2631" t="s">
        <v>3612</v>
      </c>
      <c r="L2631" t="s">
        <v>21</v>
      </c>
    </row>
    <row r="2632" spans="1:12">
      <c r="A2632" t="s">
        <v>3614</v>
      </c>
      <c r="B2632" t="s">
        <v>3611</v>
      </c>
      <c r="C2632" t="s">
        <v>130</v>
      </c>
      <c r="D2632">
        <v>1952</v>
      </c>
      <c r="E2632" t="s">
        <v>29</v>
      </c>
      <c r="F2632" t="s">
        <v>30</v>
      </c>
      <c r="G2632" t="s">
        <v>31</v>
      </c>
      <c r="H2632" t="s">
        <v>32</v>
      </c>
      <c r="I2632">
        <v>298.8462121</v>
      </c>
      <c r="J2632" t="s">
        <v>33</v>
      </c>
      <c r="K2632" t="s">
        <v>3612</v>
      </c>
      <c r="L2632" t="s">
        <v>21</v>
      </c>
    </row>
    <row r="2633" spans="1:12">
      <c r="A2633" t="s">
        <v>3615</v>
      </c>
      <c r="B2633" t="s">
        <v>3611</v>
      </c>
      <c r="C2633" t="s">
        <v>130</v>
      </c>
      <c r="D2633">
        <v>1957</v>
      </c>
      <c r="E2633" t="s">
        <v>15</v>
      </c>
      <c r="F2633" t="s">
        <v>16</v>
      </c>
      <c r="G2633" t="s">
        <v>17</v>
      </c>
      <c r="H2633" t="s">
        <v>18</v>
      </c>
      <c r="I2633">
        <v>45.046999999999997</v>
      </c>
      <c r="J2633" t="s">
        <v>19</v>
      </c>
      <c r="K2633" t="s">
        <v>3616</v>
      </c>
      <c r="L2633" t="s">
        <v>21</v>
      </c>
    </row>
    <row r="2634" spans="1:12">
      <c r="A2634" t="s">
        <v>3617</v>
      </c>
      <c r="B2634" t="s">
        <v>3611</v>
      </c>
      <c r="C2634" t="s">
        <v>130</v>
      </c>
      <c r="D2634">
        <v>1957</v>
      </c>
      <c r="E2634" t="s">
        <v>23</v>
      </c>
      <c r="F2634" t="s">
        <v>24</v>
      </c>
      <c r="G2634" t="s">
        <v>25</v>
      </c>
      <c r="H2634" t="s">
        <v>26</v>
      </c>
      <c r="I2634">
        <v>813338</v>
      </c>
      <c r="J2634" t="s">
        <v>27</v>
      </c>
      <c r="K2634" t="s">
        <v>3616</v>
      </c>
      <c r="L2634" t="s">
        <v>21</v>
      </c>
    </row>
    <row r="2635" spans="1:12">
      <c r="A2635" t="s">
        <v>3618</v>
      </c>
      <c r="B2635" t="s">
        <v>3611</v>
      </c>
      <c r="C2635" t="s">
        <v>130</v>
      </c>
      <c r="D2635">
        <v>1957</v>
      </c>
      <c r="E2635" t="s">
        <v>29</v>
      </c>
      <c r="F2635" t="s">
        <v>30</v>
      </c>
      <c r="G2635" t="s">
        <v>31</v>
      </c>
      <c r="H2635" t="s">
        <v>32</v>
      </c>
      <c r="I2635">
        <v>335.99711509999997</v>
      </c>
      <c r="J2635" t="s">
        <v>33</v>
      </c>
      <c r="K2635" t="s">
        <v>3616</v>
      </c>
      <c r="L2635" t="s">
        <v>21</v>
      </c>
    </row>
    <row r="2636" spans="1:12">
      <c r="A2636" t="s">
        <v>3619</v>
      </c>
      <c r="B2636" t="s">
        <v>3611</v>
      </c>
      <c r="C2636" t="s">
        <v>130</v>
      </c>
      <c r="D2636">
        <v>1962</v>
      </c>
      <c r="E2636" t="s">
        <v>15</v>
      </c>
      <c r="F2636" t="s">
        <v>16</v>
      </c>
      <c r="G2636" t="s">
        <v>17</v>
      </c>
      <c r="H2636" t="s">
        <v>18</v>
      </c>
      <c r="I2636">
        <v>47.747</v>
      </c>
      <c r="J2636" t="s">
        <v>19</v>
      </c>
      <c r="K2636" t="s">
        <v>3620</v>
      </c>
      <c r="L2636" t="s">
        <v>21</v>
      </c>
    </row>
    <row r="2637" spans="1:12">
      <c r="A2637" t="s">
        <v>3621</v>
      </c>
      <c r="B2637" t="s">
        <v>3611</v>
      </c>
      <c r="C2637" t="s">
        <v>130</v>
      </c>
      <c r="D2637">
        <v>1962</v>
      </c>
      <c r="E2637" t="s">
        <v>23</v>
      </c>
      <c r="F2637" t="s">
        <v>24</v>
      </c>
      <c r="G2637" t="s">
        <v>25</v>
      </c>
      <c r="H2637" t="s">
        <v>26</v>
      </c>
      <c r="I2637">
        <v>893143</v>
      </c>
      <c r="J2637" t="s">
        <v>27</v>
      </c>
      <c r="K2637" t="s">
        <v>3620</v>
      </c>
      <c r="L2637" t="s">
        <v>21</v>
      </c>
    </row>
    <row r="2638" spans="1:12">
      <c r="A2638" t="s">
        <v>3622</v>
      </c>
      <c r="B2638" t="s">
        <v>3611</v>
      </c>
      <c r="C2638" t="s">
        <v>130</v>
      </c>
      <c r="D2638">
        <v>1962</v>
      </c>
      <c r="E2638" t="s">
        <v>29</v>
      </c>
      <c r="F2638" t="s">
        <v>30</v>
      </c>
      <c r="G2638" t="s">
        <v>31</v>
      </c>
      <c r="H2638" t="s">
        <v>32</v>
      </c>
      <c r="I2638">
        <v>411.80062659999999</v>
      </c>
      <c r="J2638" t="s">
        <v>33</v>
      </c>
      <c r="K2638" t="s">
        <v>3620</v>
      </c>
      <c r="L2638" t="s">
        <v>21</v>
      </c>
    </row>
    <row r="2639" spans="1:12">
      <c r="A2639" t="s">
        <v>3623</v>
      </c>
      <c r="B2639" t="s">
        <v>3611</v>
      </c>
      <c r="C2639" t="s">
        <v>130</v>
      </c>
      <c r="D2639">
        <v>1967</v>
      </c>
      <c r="E2639" t="s">
        <v>15</v>
      </c>
      <c r="F2639" t="s">
        <v>16</v>
      </c>
      <c r="G2639" t="s">
        <v>17</v>
      </c>
      <c r="H2639" t="s">
        <v>18</v>
      </c>
      <c r="I2639">
        <v>48.491999999999997</v>
      </c>
      <c r="J2639" t="s">
        <v>19</v>
      </c>
      <c r="K2639" t="s">
        <v>3624</v>
      </c>
      <c r="L2639" t="s">
        <v>21</v>
      </c>
    </row>
    <row r="2640" spans="1:12">
      <c r="A2640" t="s">
        <v>3625</v>
      </c>
      <c r="B2640" t="s">
        <v>3611</v>
      </c>
      <c r="C2640" t="s">
        <v>130</v>
      </c>
      <c r="D2640">
        <v>1967</v>
      </c>
      <c r="E2640" t="s">
        <v>23</v>
      </c>
      <c r="F2640" t="s">
        <v>24</v>
      </c>
      <c r="G2640" t="s">
        <v>25</v>
      </c>
      <c r="H2640" t="s">
        <v>26</v>
      </c>
      <c r="I2640">
        <v>996380</v>
      </c>
      <c r="J2640" t="s">
        <v>27</v>
      </c>
      <c r="K2640" t="s">
        <v>3624</v>
      </c>
      <c r="L2640" t="s">
        <v>21</v>
      </c>
    </row>
    <row r="2641" spans="1:12">
      <c r="A2641" t="s">
        <v>3626</v>
      </c>
      <c r="B2641" t="s">
        <v>3611</v>
      </c>
      <c r="C2641" t="s">
        <v>130</v>
      </c>
      <c r="D2641">
        <v>1967</v>
      </c>
      <c r="E2641" t="s">
        <v>29</v>
      </c>
      <c r="F2641" t="s">
        <v>30</v>
      </c>
      <c r="G2641" t="s">
        <v>31</v>
      </c>
      <c r="H2641" t="s">
        <v>32</v>
      </c>
      <c r="I2641">
        <v>498.6390265</v>
      </c>
      <c r="J2641" t="s">
        <v>33</v>
      </c>
      <c r="K2641" t="s">
        <v>3624</v>
      </c>
      <c r="L2641" t="s">
        <v>21</v>
      </c>
    </row>
    <row r="2642" spans="1:12">
      <c r="A2642" t="s">
        <v>3627</v>
      </c>
      <c r="B2642" t="s">
        <v>3611</v>
      </c>
      <c r="C2642" t="s">
        <v>130</v>
      </c>
      <c r="D2642">
        <v>1972</v>
      </c>
      <c r="E2642" t="s">
        <v>15</v>
      </c>
      <c r="F2642" t="s">
        <v>16</v>
      </c>
      <c r="G2642" t="s">
        <v>17</v>
      </c>
      <c r="H2642" t="s">
        <v>18</v>
      </c>
      <c r="I2642">
        <v>49.767000000000003</v>
      </c>
      <c r="J2642" t="s">
        <v>19</v>
      </c>
      <c r="K2642" t="s">
        <v>3628</v>
      </c>
      <c r="L2642" t="s">
        <v>21</v>
      </c>
    </row>
    <row r="2643" spans="1:12">
      <c r="A2643" t="s">
        <v>3629</v>
      </c>
      <c r="B2643" t="s">
        <v>3611</v>
      </c>
      <c r="C2643" t="s">
        <v>130</v>
      </c>
      <c r="D2643">
        <v>1972</v>
      </c>
      <c r="E2643" t="s">
        <v>23</v>
      </c>
      <c r="F2643" t="s">
        <v>24</v>
      </c>
      <c r="G2643" t="s">
        <v>25</v>
      </c>
      <c r="H2643" t="s">
        <v>26</v>
      </c>
      <c r="I2643">
        <v>1116779</v>
      </c>
      <c r="J2643" t="s">
        <v>27</v>
      </c>
      <c r="K2643" t="s">
        <v>3628</v>
      </c>
      <c r="L2643" t="s">
        <v>21</v>
      </c>
    </row>
    <row r="2644" spans="1:12">
      <c r="A2644" t="s">
        <v>3630</v>
      </c>
      <c r="B2644" t="s">
        <v>3611</v>
      </c>
      <c r="C2644" t="s">
        <v>130</v>
      </c>
      <c r="D2644">
        <v>1972</v>
      </c>
      <c r="E2644" t="s">
        <v>29</v>
      </c>
      <c r="F2644" t="s">
        <v>30</v>
      </c>
      <c r="G2644" t="s">
        <v>31</v>
      </c>
      <c r="H2644" t="s">
        <v>32</v>
      </c>
      <c r="I2644">
        <v>496.58159219999999</v>
      </c>
      <c r="J2644" t="s">
        <v>33</v>
      </c>
      <c r="K2644" t="s">
        <v>3628</v>
      </c>
      <c r="L2644" t="s">
        <v>21</v>
      </c>
    </row>
    <row r="2645" spans="1:12">
      <c r="A2645" t="s">
        <v>3631</v>
      </c>
      <c r="B2645" t="s">
        <v>3611</v>
      </c>
      <c r="C2645" t="s">
        <v>130</v>
      </c>
      <c r="D2645">
        <v>1977</v>
      </c>
      <c r="E2645" t="s">
        <v>15</v>
      </c>
      <c r="F2645" t="s">
        <v>16</v>
      </c>
      <c r="G2645" t="s">
        <v>17</v>
      </c>
      <c r="H2645" t="s">
        <v>18</v>
      </c>
      <c r="I2645">
        <v>52.207999999999998</v>
      </c>
      <c r="J2645" t="s">
        <v>19</v>
      </c>
      <c r="K2645" t="s">
        <v>3632</v>
      </c>
      <c r="L2645" t="s">
        <v>21</v>
      </c>
    </row>
    <row r="2646" spans="1:12">
      <c r="A2646" t="s">
        <v>3633</v>
      </c>
      <c r="B2646" t="s">
        <v>3611</v>
      </c>
      <c r="C2646" t="s">
        <v>130</v>
      </c>
      <c r="D2646">
        <v>1977</v>
      </c>
      <c r="E2646" t="s">
        <v>23</v>
      </c>
      <c r="F2646" t="s">
        <v>24</v>
      </c>
      <c r="G2646" t="s">
        <v>25</v>
      </c>
      <c r="H2646" t="s">
        <v>26</v>
      </c>
      <c r="I2646">
        <v>1251524</v>
      </c>
      <c r="J2646" t="s">
        <v>27</v>
      </c>
      <c r="K2646" t="s">
        <v>3632</v>
      </c>
      <c r="L2646" t="s">
        <v>21</v>
      </c>
    </row>
    <row r="2647" spans="1:12">
      <c r="A2647" t="s">
        <v>3634</v>
      </c>
      <c r="B2647" t="s">
        <v>3611</v>
      </c>
      <c r="C2647" t="s">
        <v>130</v>
      </c>
      <c r="D2647">
        <v>1977</v>
      </c>
      <c r="E2647" t="s">
        <v>29</v>
      </c>
      <c r="F2647" t="s">
        <v>30</v>
      </c>
      <c r="G2647" t="s">
        <v>31</v>
      </c>
      <c r="H2647" t="s">
        <v>32</v>
      </c>
      <c r="I2647">
        <v>745.36954079999998</v>
      </c>
      <c r="J2647" t="s">
        <v>33</v>
      </c>
      <c r="K2647" t="s">
        <v>3632</v>
      </c>
      <c r="L2647" t="s">
        <v>21</v>
      </c>
    </row>
    <row r="2648" spans="1:12">
      <c r="A2648" t="s">
        <v>3635</v>
      </c>
      <c r="B2648" t="s">
        <v>3611</v>
      </c>
      <c r="C2648" t="s">
        <v>130</v>
      </c>
      <c r="D2648">
        <v>1982</v>
      </c>
      <c r="E2648" t="s">
        <v>15</v>
      </c>
      <c r="F2648" t="s">
        <v>16</v>
      </c>
      <c r="G2648" t="s">
        <v>17</v>
      </c>
      <c r="H2648" t="s">
        <v>18</v>
      </c>
      <c r="I2648">
        <v>55.078000000000003</v>
      </c>
      <c r="J2648" t="s">
        <v>19</v>
      </c>
      <c r="K2648" t="s">
        <v>3636</v>
      </c>
      <c r="L2648" t="s">
        <v>21</v>
      </c>
    </row>
    <row r="2649" spans="1:12">
      <c r="A2649" t="s">
        <v>3637</v>
      </c>
      <c r="B2649" t="s">
        <v>3611</v>
      </c>
      <c r="C2649" t="s">
        <v>130</v>
      </c>
      <c r="D2649">
        <v>1982</v>
      </c>
      <c r="E2649" t="s">
        <v>23</v>
      </c>
      <c r="F2649" t="s">
        <v>24</v>
      </c>
      <c r="G2649" t="s">
        <v>25</v>
      </c>
      <c r="H2649" t="s">
        <v>26</v>
      </c>
      <c r="I2649">
        <v>1411807</v>
      </c>
      <c r="J2649" t="s">
        <v>27</v>
      </c>
      <c r="K2649" t="s">
        <v>3636</v>
      </c>
      <c r="L2649" t="s">
        <v>21</v>
      </c>
    </row>
    <row r="2650" spans="1:12">
      <c r="A2650" t="s">
        <v>3638</v>
      </c>
      <c r="B2650" t="s">
        <v>3611</v>
      </c>
      <c r="C2650" t="s">
        <v>130</v>
      </c>
      <c r="D2650">
        <v>1982</v>
      </c>
      <c r="E2650" t="s">
        <v>29</v>
      </c>
      <c r="F2650" t="s">
        <v>30</v>
      </c>
      <c r="G2650" t="s">
        <v>31</v>
      </c>
      <c r="H2650" t="s">
        <v>32</v>
      </c>
      <c r="I2650">
        <v>797.26310739999997</v>
      </c>
      <c r="J2650" t="s">
        <v>33</v>
      </c>
      <c r="K2650" t="s">
        <v>3636</v>
      </c>
      <c r="L2650" t="s">
        <v>21</v>
      </c>
    </row>
    <row r="2651" spans="1:12">
      <c r="A2651" t="s">
        <v>3639</v>
      </c>
      <c r="B2651" t="s">
        <v>3611</v>
      </c>
      <c r="C2651" t="s">
        <v>130</v>
      </c>
      <c r="D2651">
        <v>1987</v>
      </c>
      <c r="E2651" t="s">
        <v>15</v>
      </c>
      <c r="F2651" t="s">
        <v>16</v>
      </c>
      <c r="G2651" t="s">
        <v>17</v>
      </c>
      <c r="H2651" t="s">
        <v>18</v>
      </c>
      <c r="I2651">
        <v>57.18</v>
      </c>
      <c r="J2651" t="s">
        <v>19</v>
      </c>
      <c r="K2651" t="s">
        <v>3640</v>
      </c>
      <c r="L2651" t="s">
        <v>21</v>
      </c>
    </row>
    <row r="2652" spans="1:12">
      <c r="A2652" t="s">
        <v>3641</v>
      </c>
      <c r="B2652" t="s">
        <v>3611</v>
      </c>
      <c r="C2652" t="s">
        <v>130</v>
      </c>
      <c r="D2652">
        <v>1987</v>
      </c>
      <c r="E2652" t="s">
        <v>23</v>
      </c>
      <c r="F2652" t="s">
        <v>24</v>
      </c>
      <c r="G2652" t="s">
        <v>25</v>
      </c>
      <c r="H2652" t="s">
        <v>26</v>
      </c>
      <c r="I2652">
        <v>1599200</v>
      </c>
      <c r="J2652" t="s">
        <v>27</v>
      </c>
      <c r="K2652" t="s">
        <v>3640</v>
      </c>
      <c r="L2652" t="s">
        <v>21</v>
      </c>
    </row>
    <row r="2653" spans="1:12">
      <c r="A2653" t="s">
        <v>3642</v>
      </c>
      <c r="B2653" t="s">
        <v>3611</v>
      </c>
      <c r="C2653" t="s">
        <v>130</v>
      </c>
      <c r="D2653">
        <v>1987</v>
      </c>
      <c r="E2653" t="s">
        <v>29</v>
      </c>
      <c r="F2653" t="s">
        <v>30</v>
      </c>
      <c r="G2653" t="s">
        <v>31</v>
      </c>
      <c r="H2653" t="s">
        <v>32</v>
      </c>
      <c r="I2653">
        <v>773.99321409999902</v>
      </c>
      <c r="J2653" t="s">
        <v>33</v>
      </c>
      <c r="K2653" t="s">
        <v>3640</v>
      </c>
      <c r="L2653" t="s">
        <v>21</v>
      </c>
    </row>
    <row r="2654" spans="1:12">
      <c r="A2654" t="s">
        <v>3643</v>
      </c>
      <c r="B2654" t="s">
        <v>3611</v>
      </c>
      <c r="C2654" t="s">
        <v>130</v>
      </c>
      <c r="D2654">
        <v>1992</v>
      </c>
      <c r="E2654" t="s">
        <v>15</v>
      </c>
      <c r="F2654" t="s">
        <v>16</v>
      </c>
      <c r="G2654" t="s">
        <v>17</v>
      </c>
      <c r="H2654" t="s">
        <v>18</v>
      </c>
      <c r="I2654">
        <v>59.685000000000002</v>
      </c>
      <c r="J2654" t="s">
        <v>19</v>
      </c>
      <c r="K2654" t="s">
        <v>3644</v>
      </c>
      <c r="L2654" t="s">
        <v>21</v>
      </c>
    </row>
    <row r="2655" spans="1:12">
      <c r="A2655" t="s">
        <v>3645</v>
      </c>
      <c r="B2655" t="s">
        <v>3611</v>
      </c>
      <c r="C2655" t="s">
        <v>130</v>
      </c>
      <c r="D2655">
        <v>1992</v>
      </c>
      <c r="E2655" t="s">
        <v>23</v>
      </c>
      <c r="F2655" t="s">
        <v>24</v>
      </c>
      <c r="G2655" t="s">
        <v>25</v>
      </c>
      <c r="H2655" t="s">
        <v>26</v>
      </c>
      <c r="I2655">
        <v>1803195</v>
      </c>
      <c r="J2655" t="s">
        <v>27</v>
      </c>
      <c r="K2655" t="s">
        <v>3644</v>
      </c>
      <c r="L2655" t="s">
        <v>21</v>
      </c>
    </row>
    <row r="2656" spans="1:12">
      <c r="A2656" t="s">
        <v>3646</v>
      </c>
      <c r="B2656" t="s">
        <v>3611</v>
      </c>
      <c r="C2656" t="s">
        <v>130</v>
      </c>
      <c r="D2656">
        <v>1992</v>
      </c>
      <c r="E2656" t="s">
        <v>29</v>
      </c>
      <c r="F2656" t="s">
        <v>30</v>
      </c>
      <c r="G2656" t="s">
        <v>31</v>
      </c>
      <c r="H2656" t="s">
        <v>32</v>
      </c>
      <c r="I2656">
        <v>977.48627250000004</v>
      </c>
      <c r="J2656" t="s">
        <v>33</v>
      </c>
      <c r="K2656" t="s">
        <v>3644</v>
      </c>
      <c r="L2656" t="s">
        <v>21</v>
      </c>
    </row>
    <row r="2657" spans="1:12">
      <c r="A2657" t="s">
        <v>3647</v>
      </c>
      <c r="B2657" t="s">
        <v>3611</v>
      </c>
      <c r="C2657" t="s">
        <v>130</v>
      </c>
      <c r="D2657">
        <v>1997</v>
      </c>
      <c r="E2657" t="s">
        <v>15</v>
      </c>
      <c r="F2657" t="s">
        <v>16</v>
      </c>
      <c r="G2657" t="s">
        <v>17</v>
      </c>
      <c r="H2657" t="s">
        <v>18</v>
      </c>
      <c r="I2657">
        <v>55.558</v>
      </c>
      <c r="J2657" t="s">
        <v>19</v>
      </c>
      <c r="K2657" t="s">
        <v>3648</v>
      </c>
      <c r="L2657" t="s">
        <v>21</v>
      </c>
    </row>
    <row r="2658" spans="1:12">
      <c r="A2658" t="s">
        <v>3649</v>
      </c>
      <c r="B2658" t="s">
        <v>3611</v>
      </c>
      <c r="C2658" t="s">
        <v>130</v>
      </c>
      <c r="D2658">
        <v>1997</v>
      </c>
      <c r="E2658" t="s">
        <v>23</v>
      </c>
      <c r="F2658" t="s">
        <v>24</v>
      </c>
      <c r="G2658" t="s">
        <v>25</v>
      </c>
      <c r="H2658" t="s">
        <v>26</v>
      </c>
      <c r="I2658">
        <v>1982823</v>
      </c>
      <c r="J2658" t="s">
        <v>27</v>
      </c>
      <c r="K2658" t="s">
        <v>3648</v>
      </c>
      <c r="L2658" t="s">
        <v>21</v>
      </c>
    </row>
    <row r="2659" spans="1:12">
      <c r="A2659" t="s">
        <v>3650</v>
      </c>
      <c r="B2659" t="s">
        <v>3611</v>
      </c>
      <c r="C2659" t="s">
        <v>130</v>
      </c>
      <c r="D2659">
        <v>1997</v>
      </c>
      <c r="E2659" t="s">
        <v>29</v>
      </c>
      <c r="F2659" t="s">
        <v>30</v>
      </c>
      <c r="G2659" t="s">
        <v>31</v>
      </c>
      <c r="H2659" t="s">
        <v>32</v>
      </c>
      <c r="I2659">
        <v>1186.1479939999999</v>
      </c>
      <c r="J2659" t="s">
        <v>33</v>
      </c>
      <c r="K2659" t="s">
        <v>3648</v>
      </c>
      <c r="L2659" t="s">
        <v>21</v>
      </c>
    </row>
    <row r="2660" spans="1:12">
      <c r="A2660" t="s">
        <v>3651</v>
      </c>
      <c r="B2660" t="s">
        <v>3611</v>
      </c>
      <c r="C2660" t="s">
        <v>130</v>
      </c>
      <c r="D2660">
        <v>2002</v>
      </c>
      <c r="E2660" t="s">
        <v>15</v>
      </c>
      <c r="F2660" t="s">
        <v>16</v>
      </c>
      <c r="G2660" t="s">
        <v>17</v>
      </c>
      <c r="H2660" t="s">
        <v>18</v>
      </c>
      <c r="I2660">
        <v>44.593000000000004</v>
      </c>
      <c r="J2660" t="s">
        <v>19</v>
      </c>
      <c r="K2660" t="s">
        <v>3652</v>
      </c>
      <c r="L2660" t="s">
        <v>21</v>
      </c>
    </row>
    <row r="2661" spans="1:12">
      <c r="A2661" t="s">
        <v>3653</v>
      </c>
      <c r="B2661" t="s">
        <v>3611</v>
      </c>
      <c r="C2661" t="s">
        <v>130</v>
      </c>
      <c r="D2661">
        <v>2002</v>
      </c>
      <c r="E2661" t="s">
        <v>23</v>
      </c>
      <c r="F2661" t="s">
        <v>24</v>
      </c>
      <c r="G2661" t="s">
        <v>25</v>
      </c>
      <c r="H2661" t="s">
        <v>26</v>
      </c>
      <c r="I2661">
        <v>2046772</v>
      </c>
      <c r="J2661" t="s">
        <v>27</v>
      </c>
      <c r="K2661" t="s">
        <v>3652</v>
      </c>
      <c r="L2661" t="s">
        <v>21</v>
      </c>
    </row>
    <row r="2662" spans="1:12">
      <c r="A2662" t="s">
        <v>3654</v>
      </c>
      <c r="B2662" t="s">
        <v>3611</v>
      </c>
      <c r="C2662" t="s">
        <v>130</v>
      </c>
      <c r="D2662">
        <v>2002</v>
      </c>
      <c r="E2662" t="s">
        <v>29</v>
      </c>
      <c r="F2662" t="s">
        <v>30</v>
      </c>
      <c r="G2662" t="s">
        <v>31</v>
      </c>
      <c r="H2662" t="s">
        <v>32</v>
      </c>
      <c r="I2662">
        <v>1275.184575</v>
      </c>
      <c r="J2662" t="s">
        <v>33</v>
      </c>
      <c r="K2662" t="s">
        <v>3652</v>
      </c>
      <c r="L2662" t="s">
        <v>21</v>
      </c>
    </row>
    <row r="2663" spans="1:12">
      <c r="A2663" t="s">
        <v>3655</v>
      </c>
      <c r="B2663" t="s">
        <v>3611</v>
      </c>
      <c r="C2663" t="s">
        <v>130</v>
      </c>
      <c r="D2663">
        <v>2007</v>
      </c>
      <c r="E2663" t="s">
        <v>15</v>
      </c>
      <c r="F2663" t="s">
        <v>16</v>
      </c>
      <c r="G2663" t="s">
        <v>17</v>
      </c>
      <c r="H2663" t="s">
        <v>18</v>
      </c>
      <c r="I2663">
        <v>42.591999999999999</v>
      </c>
      <c r="J2663" t="s">
        <v>19</v>
      </c>
      <c r="K2663" t="s">
        <v>3656</v>
      </c>
      <c r="L2663" t="s">
        <v>21</v>
      </c>
    </row>
    <row r="2664" spans="1:12">
      <c r="A2664" t="s">
        <v>3657</v>
      </c>
      <c r="B2664" t="s">
        <v>3611</v>
      </c>
      <c r="C2664" t="s">
        <v>130</v>
      </c>
      <c r="D2664">
        <v>2007</v>
      </c>
      <c r="E2664" t="s">
        <v>23</v>
      </c>
      <c r="F2664" t="s">
        <v>24</v>
      </c>
      <c r="G2664" t="s">
        <v>25</v>
      </c>
      <c r="H2664" t="s">
        <v>26</v>
      </c>
      <c r="I2664">
        <v>2012649</v>
      </c>
      <c r="J2664" t="s">
        <v>27</v>
      </c>
      <c r="K2664" t="s">
        <v>3656</v>
      </c>
      <c r="L2664" t="s">
        <v>21</v>
      </c>
    </row>
    <row r="2665" spans="1:12">
      <c r="A2665" t="s">
        <v>3658</v>
      </c>
      <c r="B2665" t="s">
        <v>3611</v>
      </c>
      <c r="C2665" t="s">
        <v>130</v>
      </c>
      <c r="D2665">
        <v>2007</v>
      </c>
      <c r="E2665" t="s">
        <v>29</v>
      </c>
      <c r="F2665" t="s">
        <v>30</v>
      </c>
      <c r="G2665" t="s">
        <v>31</v>
      </c>
      <c r="H2665" t="s">
        <v>32</v>
      </c>
      <c r="I2665">
        <v>1569.3314419999999</v>
      </c>
      <c r="J2665" t="s">
        <v>33</v>
      </c>
      <c r="K2665" t="s">
        <v>3656</v>
      </c>
      <c r="L2665" t="s">
        <v>21</v>
      </c>
    </row>
    <row r="2666" spans="1:12">
      <c r="A2666" t="s">
        <v>3659</v>
      </c>
      <c r="B2666" t="s">
        <v>3660</v>
      </c>
      <c r="C2666" t="s">
        <v>130</v>
      </c>
      <c r="D2666">
        <v>1952</v>
      </c>
      <c r="E2666" t="s">
        <v>15</v>
      </c>
      <c r="F2666" t="s">
        <v>16</v>
      </c>
      <c r="G2666" t="s">
        <v>17</v>
      </c>
      <c r="H2666" t="s">
        <v>18</v>
      </c>
      <c r="I2666">
        <v>38.479999999999997</v>
      </c>
      <c r="J2666" t="s">
        <v>19</v>
      </c>
      <c r="K2666" t="s">
        <v>3661</v>
      </c>
      <c r="L2666" t="s">
        <v>21</v>
      </c>
    </row>
    <row r="2667" spans="1:12">
      <c r="A2667" t="s">
        <v>3662</v>
      </c>
      <c r="B2667" t="s">
        <v>3660</v>
      </c>
      <c r="C2667" t="s">
        <v>130</v>
      </c>
      <c r="D2667">
        <v>1952</v>
      </c>
      <c r="E2667" t="s">
        <v>23</v>
      </c>
      <c r="F2667" t="s">
        <v>24</v>
      </c>
      <c r="G2667" t="s">
        <v>25</v>
      </c>
      <c r="H2667" t="s">
        <v>26</v>
      </c>
      <c r="I2667">
        <v>863308</v>
      </c>
      <c r="J2667" t="s">
        <v>27</v>
      </c>
      <c r="K2667" t="s">
        <v>3661</v>
      </c>
      <c r="L2667" t="s">
        <v>21</v>
      </c>
    </row>
    <row r="2668" spans="1:12">
      <c r="A2668" t="s">
        <v>3663</v>
      </c>
      <c r="B2668" t="s">
        <v>3660</v>
      </c>
      <c r="C2668" t="s">
        <v>130</v>
      </c>
      <c r="D2668">
        <v>1952</v>
      </c>
      <c r="E2668" t="s">
        <v>29</v>
      </c>
      <c r="F2668" t="s">
        <v>30</v>
      </c>
      <c r="G2668" t="s">
        <v>31</v>
      </c>
      <c r="H2668" t="s">
        <v>32</v>
      </c>
      <c r="I2668">
        <v>575.57299609999995</v>
      </c>
      <c r="J2668" t="s">
        <v>33</v>
      </c>
      <c r="K2668" t="s">
        <v>3661</v>
      </c>
      <c r="L2668" t="s">
        <v>21</v>
      </c>
    </row>
    <row r="2669" spans="1:12">
      <c r="A2669" t="s">
        <v>3664</v>
      </c>
      <c r="B2669" t="s">
        <v>3660</v>
      </c>
      <c r="C2669" t="s">
        <v>130</v>
      </c>
      <c r="D2669">
        <v>1957</v>
      </c>
      <c r="E2669" t="s">
        <v>15</v>
      </c>
      <c r="F2669" t="s">
        <v>16</v>
      </c>
      <c r="G2669" t="s">
        <v>17</v>
      </c>
      <c r="H2669" t="s">
        <v>18</v>
      </c>
      <c r="I2669">
        <v>39.485999999999997</v>
      </c>
      <c r="J2669" t="s">
        <v>19</v>
      </c>
      <c r="K2669" t="s">
        <v>3665</v>
      </c>
      <c r="L2669" t="s">
        <v>21</v>
      </c>
    </row>
    <row r="2670" spans="1:12">
      <c r="A2670" t="s">
        <v>3666</v>
      </c>
      <c r="B2670" t="s">
        <v>3660</v>
      </c>
      <c r="C2670" t="s">
        <v>130</v>
      </c>
      <c r="D2670">
        <v>1957</v>
      </c>
      <c r="E2670" t="s">
        <v>23</v>
      </c>
      <c r="F2670" t="s">
        <v>24</v>
      </c>
      <c r="G2670" t="s">
        <v>25</v>
      </c>
      <c r="H2670" t="s">
        <v>26</v>
      </c>
      <c r="I2670">
        <v>975950</v>
      </c>
      <c r="J2670" t="s">
        <v>27</v>
      </c>
      <c r="K2670" t="s">
        <v>3665</v>
      </c>
      <c r="L2670" t="s">
        <v>21</v>
      </c>
    </row>
    <row r="2671" spans="1:12">
      <c r="A2671" t="s">
        <v>3667</v>
      </c>
      <c r="B2671" t="s">
        <v>3660</v>
      </c>
      <c r="C2671" t="s">
        <v>130</v>
      </c>
      <c r="D2671">
        <v>1957</v>
      </c>
      <c r="E2671" t="s">
        <v>29</v>
      </c>
      <c r="F2671" t="s">
        <v>30</v>
      </c>
      <c r="G2671" t="s">
        <v>31</v>
      </c>
      <c r="H2671" t="s">
        <v>32</v>
      </c>
      <c r="I2671">
        <v>620.96999010000002</v>
      </c>
      <c r="J2671" t="s">
        <v>33</v>
      </c>
      <c r="K2671" t="s">
        <v>3665</v>
      </c>
      <c r="L2671" t="s">
        <v>21</v>
      </c>
    </row>
    <row r="2672" spans="1:12">
      <c r="A2672" t="s">
        <v>3668</v>
      </c>
      <c r="B2672" t="s">
        <v>3660</v>
      </c>
      <c r="C2672" t="s">
        <v>130</v>
      </c>
      <c r="D2672">
        <v>1962</v>
      </c>
      <c r="E2672" t="s">
        <v>15</v>
      </c>
      <c r="F2672" t="s">
        <v>16</v>
      </c>
      <c r="G2672" t="s">
        <v>17</v>
      </c>
      <c r="H2672" t="s">
        <v>18</v>
      </c>
      <c r="I2672">
        <v>40.502000000000002</v>
      </c>
      <c r="J2672" t="s">
        <v>19</v>
      </c>
      <c r="K2672" t="s">
        <v>3669</v>
      </c>
      <c r="L2672" t="s">
        <v>21</v>
      </c>
    </row>
    <row r="2673" spans="1:12">
      <c r="A2673" t="s">
        <v>3670</v>
      </c>
      <c r="B2673" t="s">
        <v>3660</v>
      </c>
      <c r="C2673" t="s">
        <v>130</v>
      </c>
      <c r="D2673">
        <v>1962</v>
      </c>
      <c r="E2673" t="s">
        <v>23</v>
      </c>
      <c r="F2673" t="s">
        <v>24</v>
      </c>
      <c r="G2673" t="s">
        <v>25</v>
      </c>
      <c r="H2673" t="s">
        <v>26</v>
      </c>
      <c r="I2673">
        <v>1112796</v>
      </c>
      <c r="J2673" t="s">
        <v>27</v>
      </c>
      <c r="K2673" t="s">
        <v>3669</v>
      </c>
      <c r="L2673" t="s">
        <v>21</v>
      </c>
    </row>
    <row r="2674" spans="1:12">
      <c r="A2674" t="s">
        <v>3671</v>
      </c>
      <c r="B2674" t="s">
        <v>3660</v>
      </c>
      <c r="C2674" t="s">
        <v>130</v>
      </c>
      <c r="D2674">
        <v>1962</v>
      </c>
      <c r="E2674" t="s">
        <v>29</v>
      </c>
      <c r="F2674" t="s">
        <v>30</v>
      </c>
      <c r="G2674" t="s">
        <v>31</v>
      </c>
      <c r="H2674" t="s">
        <v>32</v>
      </c>
      <c r="I2674">
        <v>634.19516250000004</v>
      </c>
      <c r="J2674" t="s">
        <v>33</v>
      </c>
      <c r="K2674" t="s">
        <v>3669</v>
      </c>
      <c r="L2674" t="s">
        <v>21</v>
      </c>
    </row>
    <row r="2675" spans="1:12">
      <c r="A2675" t="s">
        <v>3672</v>
      </c>
      <c r="B2675" t="s">
        <v>3660</v>
      </c>
      <c r="C2675" t="s">
        <v>130</v>
      </c>
      <c r="D2675">
        <v>1967</v>
      </c>
      <c r="E2675" t="s">
        <v>15</v>
      </c>
      <c r="F2675" t="s">
        <v>16</v>
      </c>
      <c r="G2675" t="s">
        <v>17</v>
      </c>
      <c r="H2675" t="s">
        <v>18</v>
      </c>
      <c r="I2675">
        <v>41.536000000000001</v>
      </c>
      <c r="J2675" t="s">
        <v>19</v>
      </c>
      <c r="K2675" t="s">
        <v>3673</v>
      </c>
      <c r="L2675" t="s">
        <v>21</v>
      </c>
    </row>
    <row r="2676" spans="1:12">
      <c r="A2676" t="s">
        <v>3674</v>
      </c>
      <c r="B2676" t="s">
        <v>3660</v>
      </c>
      <c r="C2676" t="s">
        <v>130</v>
      </c>
      <c r="D2676">
        <v>1967</v>
      </c>
      <c r="E2676" t="s">
        <v>23</v>
      </c>
      <c r="F2676" t="s">
        <v>24</v>
      </c>
      <c r="G2676" t="s">
        <v>25</v>
      </c>
      <c r="H2676" t="s">
        <v>26</v>
      </c>
      <c r="I2676">
        <v>1279406</v>
      </c>
      <c r="J2676" t="s">
        <v>27</v>
      </c>
      <c r="K2676" t="s">
        <v>3673</v>
      </c>
      <c r="L2676" t="s">
        <v>21</v>
      </c>
    </row>
    <row r="2677" spans="1:12">
      <c r="A2677" t="s">
        <v>3675</v>
      </c>
      <c r="B2677" t="s">
        <v>3660</v>
      </c>
      <c r="C2677" t="s">
        <v>130</v>
      </c>
      <c r="D2677">
        <v>1967</v>
      </c>
      <c r="E2677" t="s">
        <v>29</v>
      </c>
      <c r="F2677" t="s">
        <v>30</v>
      </c>
      <c r="G2677" t="s">
        <v>31</v>
      </c>
      <c r="H2677" t="s">
        <v>32</v>
      </c>
      <c r="I2677">
        <v>713.60364829999901</v>
      </c>
      <c r="J2677" t="s">
        <v>33</v>
      </c>
      <c r="K2677" t="s">
        <v>3673</v>
      </c>
      <c r="L2677" t="s">
        <v>21</v>
      </c>
    </row>
    <row r="2678" spans="1:12">
      <c r="A2678" t="s">
        <v>3676</v>
      </c>
      <c r="B2678" t="s">
        <v>3660</v>
      </c>
      <c r="C2678" t="s">
        <v>130</v>
      </c>
      <c r="D2678">
        <v>1972</v>
      </c>
      <c r="E2678" t="s">
        <v>15</v>
      </c>
      <c r="F2678" t="s">
        <v>16</v>
      </c>
      <c r="G2678" t="s">
        <v>17</v>
      </c>
      <c r="H2678" t="s">
        <v>18</v>
      </c>
      <c r="I2678">
        <v>42.613999999999997</v>
      </c>
      <c r="J2678" t="s">
        <v>19</v>
      </c>
      <c r="K2678" t="s">
        <v>3677</v>
      </c>
      <c r="L2678" t="s">
        <v>21</v>
      </c>
    </row>
    <row r="2679" spans="1:12">
      <c r="A2679" t="s">
        <v>3678</v>
      </c>
      <c r="B2679" t="s">
        <v>3660</v>
      </c>
      <c r="C2679" t="s">
        <v>130</v>
      </c>
      <c r="D2679">
        <v>1972</v>
      </c>
      <c r="E2679" t="s">
        <v>23</v>
      </c>
      <c r="F2679" t="s">
        <v>24</v>
      </c>
      <c r="G2679" t="s">
        <v>25</v>
      </c>
      <c r="H2679" t="s">
        <v>26</v>
      </c>
      <c r="I2679">
        <v>1482628</v>
      </c>
      <c r="J2679" t="s">
        <v>27</v>
      </c>
      <c r="K2679" t="s">
        <v>3677</v>
      </c>
      <c r="L2679" t="s">
        <v>21</v>
      </c>
    </row>
    <row r="2680" spans="1:12">
      <c r="A2680" t="s">
        <v>3679</v>
      </c>
      <c r="B2680" t="s">
        <v>3660</v>
      </c>
      <c r="C2680" t="s">
        <v>130</v>
      </c>
      <c r="D2680">
        <v>1972</v>
      </c>
      <c r="E2680" t="s">
        <v>29</v>
      </c>
      <c r="F2680" t="s">
        <v>30</v>
      </c>
      <c r="G2680" t="s">
        <v>31</v>
      </c>
      <c r="H2680" t="s">
        <v>32</v>
      </c>
      <c r="I2680">
        <v>803.00545350000004</v>
      </c>
      <c r="J2680" t="s">
        <v>33</v>
      </c>
      <c r="K2680" t="s">
        <v>3677</v>
      </c>
      <c r="L2680" t="s">
        <v>21</v>
      </c>
    </row>
    <row r="2681" spans="1:12">
      <c r="A2681" t="s">
        <v>3680</v>
      </c>
      <c r="B2681" t="s">
        <v>3660</v>
      </c>
      <c r="C2681" t="s">
        <v>130</v>
      </c>
      <c r="D2681">
        <v>1977</v>
      </c>
      <c r="E2681" t="s">
        <v>15</v>
      </c>
      <c r="F2681" t="s">
        <v>16</v>
      </c>
      <c r="G2681" t="s">
        <v>17</v>
      </c>
      <c r="H2681" t="s">
        <v>18</v>
      </c>
      <c r="I2681">
        <v>43.764000000000003</v>
      </c>
      <c r="J2681" t="s">
        <v>19</v>
      </c>
      <c r="K2681" t="s">
        <v>3681</v>
      </c>
      <c r="L2681" t="s">
        <v>21</v>
      </c>
    </row>
    <row r="2682" spans="1:12">
      <c r="A2682" t="s">
        <v>3682</v>
      </c>
      <c r="B2682" t="s">
        <v>3660</v>
      </c>
      <c r="C2682" t="s">
        <v>130</v>
      </c>
      <c r="D2682">
        <v>1977</v>
      </c>
      <c r="E2682" t="s">
        <v>23</v>
      </c>
      <c r="F2682" t="s">
        <v>24</v>
      </c>
      <c r="G2682" t="s">
        <v>25</v>
      </c>
      <c r="H2682" t="s">
        <v>26</v>
      </c>
      <c r="I2682">
        <v>1703617</v>
      </c>
      <c r="J2682" t="s">
        <v>27</v>
      </c>
      <c r="K2682" t="s">
        <v>3681</v>
      </c>
      <c r="L2682" t="s">
        <v>21</v>
      </c>
    </row>
    <row r="2683" spans="1:12">
      <c r="A2683" t="s">
        <v>3683</v>
      </c>
      <c r="B2683" t="s">
        <v>3660</v>
      </c>
      <c r="C2683" t="s">
        <v>130</v>
      </c>
      <c r="D2683">
        <v>1977</v>
      </c>
      <c r="E2683" t="s">
        <v>29</v>
      </c>
      <c r="F2683" t="s">
        <v>30</v>
      </c>
      <c r="G2683" t="s">
        <v>31</v>
      </c>
      <c r="H2683" t="s">
        <v>32</v>
      </c>
      <c r="I2683">
        <v>640.32243829999902</v>
      </c>
      <c r="J2683" t="s">
        <v>33</v>
      </c>
      <c r="K2683" t="s">
        <v>3681</v>
      </c>
      <c r="L2683" t="s">
        <v>21</v>
      </c>
    </row>
    <row r="2684" spans="1:12">
      <c r="A2684" t="s">
        <v>3684</v>
      </c>
      <c r="B2684" t="s">
        <v>3660</v>
      </c>
      <c r="C2684" t="s">
        <v>130</v>
      </c>
      <c r="D2684">
        <v>1982</v>
      </c>
      <c r="E2684" t="s">
        <v>15</v>
      </c>
      <c r="F2684" t="s">
        <v>16</v>
      </c>
      <c r="G2684" t="s">
        <v>17</v>
      </c>
      <c r="H2684" t="s">
        <v>18</v>
      </c>
      <c r="I2684">
        <v>44.851999999999997</v>
      </c>
      <c r="J2684" t="s">
        <v>19</v>
      </c>
      <c r="K2684" t="s">
        <v>3685</v>
      </c>
      <c r="L2684" t="s">
        <v>21</v>
      </c>
    </row>
    <row r="2685" spans="1:12">
      <c r="A2685" t="s">
        <v>3686</v>
      </c>
      <c r="B2685" t="s">
        <v>3660</v>
      </c>
      <c r="C2685" t="s">
        <v>130</v>
      </c>
      <c r="D2685">
        <v>1982</v>
      </c>
      <c r="E2685" t="s">
        <v>23</v>
      </c>
      <c r="F2685" t="s">
        <v>24</v>
      </c>
      <c r="G2685" t="s">
        <v>25</v>
      </c>
      <c r="H2685" t="s">
        <v>26</v>
      </c>
      <c r="I2685">
        <v>1956875</v>
      </c>
      <c r="J2685" t="s">
        <v>27</v>
      </c>
      <c r="K2685" t="s">
        <v>3685</v>
      </c>
      <c r="L2685" t="s">
        <v>21</v>
      </c>
    </row>
    <row r="2686" spans="1:12">
      <c r="A2686" t="s">
        <v>3687</v>
      </c>
      <c r="B2686" t="s">
        <v>3660</v>
      </c>
      <c r="C2686" t="s">
        <v>130</v>
      </c>
      <c r="D2686">
        <v>1982</v>
      </c>
      <c r="E2686" t="s">
        <v>29</v>
      </c>
      <c r="F2686" t="s">
        <v>30</v>
      </c>
      <c r="G2686" t="s">
        <v>31</v>
      </c>
      <c r="H2686" t="s">
        <v>32</v>
      </c>
      <c r="I2686">
        <v>572.19956939999997</v>
      </c>
      <c r="J2686" t="s">
        <v>33</v>
      </c>
      <c r="K2686" t="s">
        <v>3685</v>
      </c>
      <c r="L2686" t="s">
        <v>21</v>
      </c>
    </row>
    <row r="2687" spans="1:12">
      <c r="A2687" t="s">
        <v>3688</v>
      </c>
      <c r="B2687" t="s">
        <v>3660</v>
      </c>
      <c r="C2687" t="s">
        <v>130</v>
      </c>
      <c r="D2687">
        <v>1987</v>
      </c>
      <c r="E2687" t="s">
        <v>15</v>
      </c>
      <c r="F2687" t="s">
        <v>16</v>
      </c>
      <c r="G2687" t="s">
        <v>17</v>
      </c>
      <c r="H2687" t="s">
        <v>18</v>
      </c>
      <c r="I2687">
        <v>46.027000000000001</v>
      </c>
      <c r="J2687" t="s">
        <v>19</v>
      </c>
      <c r="K2687" t="s">
        <v>3689</v>
      </c>
      <c r="L2687" t="s">
        <v>21</v>
      </c>
    </row>
    <row r="2688" spans="1:12">
      <c r="A2688" t="s">
        <v>3690</v>
      </c>
      <c r="B2688" t="s">
        <v>3660</v>
      </c>
      <c r="C2688" t="s">
        <v>130</v>
      </c>
      <c r="D2688">
        <v>1987</v>
      </c>
      <c r="E2688" t="s">
        <v>23</v>
      </c>
      <c r="F2688" t="s">
        <v>24</v>
      </c>
      <c r="G2688" t="s">
        <v>25</v>
      </c>
      <c r="H2688" t="s">
        <v>26</v>
      </c>
      <c r="I2688">
        <v>2269414</v>
      </c>
      <c r="J2688" t="s">
        <v>27</v>
      </c>
      <c r="K2688" t="s">
        <v>3689</v>
      </c>
      <c r="L2688" t="s">
        <v>21</v>
      </c>
    </row>
    <row r="2689" spans="1:12">
      <c r="A2689" t="s">
        <v>3691</v>
      </c>
      <c r="B2689" t="s">
        <v>3660</v>
      </c>
      <c r="C2689" t="s">
        <v>130</v>
      </c>
      <c r="D2689">
        <v>1987</v>
      </c>
      <c r="E2689" t="s">
        <v>29</v>
      </c>
      <c r="F2689" t="s">
        <v>30</v>
      </c>
      <c r="G2689" t="s">
        <v>31</v>
      </c>
      <c r="H2689" t="s">
        <v>32</v>
      </c>
      <c r="I2689">
        <v>506.11385730000001</v>
      </c>
      <c r="J2689" t="s">
        <v>33</v>
      </c>
      <c r="K2689" t="s">
        <v>3689</v>
      </c>
      <c r="L2689" t="s">
        <v>21</v>
      </c>
    </row>
    <row r="2690" spans="1:12">
      <c r="A2690" t="s">
        <v>3692</v>
      </c>
      <c r="B2690" t="s">
        <v>3660</v>
      </c>
      <c r="C2690" t="s">
        <v>130</v>
      </c>
      <c r="D2690">
        <v>1992</v>
      </c>
      <c r="E2690" t="s">
        <v>15</v>
      </c>
      <c r="F2690" t="s">
        <v>16</v>
      </c>
      <c r="G2690" t="s">
        <v>17</v>
      </c>
      <c r="H2690" t="s">
        <v>18</v>
      </c>
      <c r="I2690">
        <v>40.802</v>
      </c>
      <c r="J2690" t="s">
        <v>19</v>
      </c>
      <c r="K2690" t="s">
        <v>3693</v>
      </c>
      <c r="L2690" t="s">
        <v>21</v>
      </c>
    </row>
    <row r="2691" spans="1:12">
      <c r="A2691" t="s">
        <v>3694</v>
      </c>
      <c r="B2691" t="s">
        <v>3660</v>
      </c>
      <c r="C2691" t="s">
        <v>130</v>
      </c>
      <c r="D2691">
        <v>1992</v>
      </c>
      <c r="E2691" t="s">
        <v>23</v>
      </c>
      <c r="F2691" t="s">
        <v>24</v>
      </c>
      <c r="G2691" t="s">
        <v>25</v>
      </c>
      <c r="H2691" t="s">
        <v>26</v>
      </c>
      <c r="I2691">
        <v>1912974</v>
      </c>
      <c r="J2691" t="s">
        <v>27</v>
      </c>
      <c r="K2691" t="s">
        <v>3693</v>
      </c>
      <c r="L2691" t="s">
        <v>21</v>
      </c>
    </row>
    <row r="2692" spans="1:12">
      <c r="A2692" t="s">
        <v>3695</v>
      </c>
      <c r="B2692" t="s">
        <v>3660</v>
      </c>
      <c r="C2692" t="s">
        <v>130</v>
      </c>
      <c r="D2692">
        <v>1992</v>
      </c>
      <c r="E2692" t="s">
        <v>29</v>
      </c>
      <c r="F2692" t="s">
        <v>30</v>
      </c>
      <c r="G2692" t="s">
        <v>31</v>
      </c>
      <c r="H2692" t="s">
        <v>32</v>
      </c>
      <c r="I2692">
        <v>636.62291909999999</v>
      </c>
      <c r="J2692" t="s">
        <v>33</v>
      </c>
      <c r="K2692" t="s">
        <v>3693</v>
      </c>
      <c r="L2692" t="s">
        <v>21</v>
      </c>
    </row>
    <row r="2693" spans="1:12">
      <c r="A2693" t="s">
        <v>3696</v>
      </c>
      <c r="B2693" t="s">
        <v>3660</v>
      </c>
      <c r="C2693" t="s">
        <v>130</v>
      </c>
      <c r="D2693">
        <v>1997</v>
      </c>
      <c r="E2693" t="s">
        <v>15</v>
      </c>
      <c r="F2693" t="s">
        <v>16</v>
      </c>
      <c r="G2693" t="s">
        <v>17</v>
      </c>
      <c r="H2693" t="s">
        <v>18</v>
      </c>
      <c r="I2693">
        <v>42.220999999999997</v>
      </c>
      <c r="J2693" t="s">
        <v>19</v>
      </c>
      <c r="K2693" t="s">
        <v>3697</v>
      </c>
      <c r="L2693" t="s">
        <v>21</v>
      </c>
    </row>
    <row r="2694" spans="1:12">
      <c r="A2694" t="s">
        <v>3698</v>
      </c>
      <c r="B2694" t="s">
        <v>3660</v>
      </c>
      <c r="C2694" t="s">
        <v>130</v>
      </c>
      <c r="D2694">
        <v>1997</v>
      </c>
      <c r="E2694" t="s">
        <v>23</v>
      </c>
      <c r="F2694" t="s">
        <v>24</v>
      </c>
      <c r="G2694" t="s">
        <v>25</v>
      </c>
      <c r="H2694" t="s">
        <v>26</v>
      </c>
      <c r="I2694">
        <v>2200725</v>
      </c>
      <c r="J2694" t="s">
        <v>27</v>
      </c>
      <c r="K2694" t="s">
        <v>3697</v>
      </c>
      <c r="L2694" t="s">
        <v>21</v>
      </c>
    </row>
    <row r="2695" spans="1:12">
      <c r="A2695" t="s">
        <v>3699</v>
      </c>
      <c r="B2695" t="s">
        <v>3660</v>
      </c>
      <c r="C2695" t="s">
        <v>130</v>
      </c>
      <c r="D2695">
        <v>1997</v>
      </c>
      <c r="E2695" t="s">
        <v>29</v>
      </c>
      <c r="F2695" t="s">
        <v>30</v>
      </c>
      <c r="G2695" t="s">
        <v>31</v>
      </c>
      <c r="H2695" t="s">
        <v>32</v>
      </c>
      <c r="I2695">
        <v>609.17395079999994</v>
      </c>
      <c r="J2695" t="s">
        <v>33</v>
      </c>
      <c r="K2695" t="s">
        <v>3697</v>
      </c>
      <c r="L2695" t="s">
        <v>21</v>
      </c>
    </row>
    <row r="2696" spans="1:12">
      <c r="A2696" t="s">
        <v>3700</v>
      </c>
      <c r="B2696" t="s">
        <v>3660</v>
      </c>
      <c r="C2696" t="s">
        <v>130</v>
      </c>
      <c r="D2696">
        <v>2002</v>
      </c>
      <c r="E2696" t="s">
        <v>15</v>
      </c>
      <c r="F2696" t="s">
        <v>16</v>
      </c>
      <c r="G2696" t="s">
        <v>17</v>
      </c>
      <c r="H2696" t="s">
        <v>18</v>
      </c>
      <c r="I2696">
        <v>43.753</v>
      </c>
      <c r="J2696" t="s">
        <v>19</v>
      </c>
      <c r="K2696" t="s">
        <v>3701</v>
      </c>
      <c r="L2696" t="s">
        <v>21</v>
      </c>
    </row>
    <row r="2697" spans="1:12">
      <c r="A2697" t="s">
        <v>3702</v>
      </c>
      <c r="B2697" t="s">
        <v>3660</v>
      </c>
      <c r="C2697" t="s">
        <v>130</v>
      </c>
      <c r="D2697">
        <v>2002</v>
      </c>
      <c r="E2697" t="s">
        <v>23</v>
      </c>
      <c r="F2697" t="s">
        <v>24</v>
      </c>
      <c r="G2697" t="s">
        <v>25</v>
      </c>
      <c r="H2697" t="s">
        <v>26</v>
      </c>
      <c r="I2697">
        <v>2814651</v>
      </c>
      <c r="J2697" t="s">
        <v>27</v>
      </c>
      <c r="K2697" t="s">
        <v>3701</v>
      </c>
      <c r="L2697" t="s">
        <v>21</v>
      </c>
    </row>
    <row r="2698" spans="1:12">
      <c r="A2698" t="s">
        <v>3703</v>
      </c>
      <c r="B2698" t="s">
        <v>3660</v>
      </c>
      <c r="C2698" t="s">
        <v>130</v>
      </c>
      <c r="D2698">
        <v>2002</v>
      </c>
      <c r="E2698" t="s">
        <v>29</v>
      </c>
      <c r="F2698" t="s">
        <v>30</v>
      </c>
      <c r="G2698" t="s">
        <v>31</v>
      </c>
      <c r="H2698" t="s">
        <v>32</v>
      </c>
      <c r="I2698">
        <v>531.48236789999999</v>
      </c>
      <c r="J2698" t="s">
        <v>33</v>
      </c>
      <c r="K2698" t="s">
        <v>3701</v>
      </c>
      <c r="L2698" t="s">
        <v>21</v>
      </c>
    </row>
    <row r="2699" spans="1:12">
      <c r="A2699" t="s">
        <v>3704</v>
      </c>
      <c r="B2699" t="s">
        <v>3660</v>
      </c>
      <c r="C2699" t="s">
        <v>130</v>
      </c>
      <c r="D2699">
        <v>2007</v>
      </c>
      <c r="E2699" t="s">
        <v>15</v>
      </c>
      <c r="F2699" t="s">
        <v>16</v>
      </c>
      <c r="G2699" t="s">
        <v>17</v>
      </c>
      <c r="H2699" t="s">
        <v>18</v>
      </c>
      <c r="I2699">
        <v>45.677999999999997</v>
      </c>
      <c r="J2699" t="s">
        <v>19</v>
      </c>
      <c r="K2699" t="s">
        <v>3705</v>
      </c>
      <c r="L2699" t="s">
        <v>21</v>
      </c>
    </row>
    <row r="2700" spans="1:12">
      <c r="A2700" t="s">
        <v>3706</v>
      </c>
      <c r="B2700" t="s">
        <v>3660</v>
      </c>
      <c r="C2700" t="s">
        <v>130</v>
      </c>
      <c r="D2700">
        <v>2007</v>
      </c>
      <c r="E2700" t="s">
        <v>23</v>
      </c>
      <c r="F2700" t="s">
        <v>24</v>
      </c>
      <c r="G2700" t="s">
        <v>25</v>
      </c>
      <c r="H2700" t="s">
        <v>26</v>
      </c>
      <c r="I2700">
        <v>3193942</v>
      </c>
      <c r="J2700" t="s">
        <v>27</v>
      </c>
      <c r="K2700" t="s">
        <v>3705</v>
      </c>
      <c r="L2700" t="s">
        <v>21</v>
      </c>
    </row>
    <row r="2701" spans="1:12">
      <c r="A2701" t="s">
        <v>3707</v>
      </c>
      <c r="B2701" t="s">
        <v>3660</v>
      </c>
      <c r="C2701" t="s">
        <v>130</v>
      </c>
      <c r="D2701">
        <v>2007</v>
      </c>
      <c r="E2701" t="s">
        <v>29</v>
      </c>
      <c r="F2701" t="s">
        <v>30</v>
      </c>
      <c r="G2701" t="s">
        <v>31</v>
      </c>
      <c r="H2701" t="s">
        <v>32</v>
      </c>
      <c r="I2701">
        <v>414.5073415</v>
      </c>
      <c r="J2701" t="s">
        <v>33</v>
      </c>
      <c r="K2701" t="s">
        <v>3705</v>
      </c>
      <c r="L2701" t="s">
        <v>21</v>
      </c>
    </row>
    <row r="2702" spans="1:12">
      <c r="A2702" t="s">
        <v>3708</v>
      </c>
      <c r="B2702" t="s">
        <v>3709</v>
      </c>
      <c r="C2702" t="s">
        <v>130</v>
      </c>
      <c r="D2702">
        <v>1952</v>
      </c>
      <c r="E2702" t="s">
        <v>15</v>
      </c>
      <c r="F2702" t="s">
        <v>16</v>
      </c>
      <c r="G2702" t="s">
        <v>17</v>
      </c>
      <c r="H2702" t="s">
        <v>18</v>
      </c>
      <c r="I2702">
        <v>42.722999999999999</v>
      </c>
      <c r="J2702" t="s">
        <v>19</v>
      </c>
      <c r="K2702" t="s">
        <v>3710</v>
      </c>
      <c r="L2702" t="s">
        <v>21</v>
      </c>
    </row>
    <row r="2703" spans="1:12">
      <c r="A2703" t="s">
        <v>3711</v>
      </c>
      <c r="B2703" t="s">
        <v>3709</v>
      </c>
      <c r="C2703" t="s">
        <v>130</v>
      </c>
      <c r="D2703">
        <v>1952</v>
      </c>
      <c r="E2703" t="s">
        <v>23</v>
      </c>
      <c r="F2703" t="s">
        <v>24</v>
      </c>
      <c r="G2703" t="s">
        <v>25</v>
      </c>
      <c r="H2703" t="s">
        <v>26</v>
      </c>
      <c r="I2703">
        <v>1019729</v>
      </c>
      <c r="J2703" t="s">
        <v>27</v>
      </c>
      <c r="K2703" t="s">
        <v>3710</v>
      </c>
      <c r="L2703" t="s">
        <v>21</v>
      </c>
    </row>
    <row r="2704" spans="1:12">
      <c r="A2704" t="s">
        <v>3712</v>
      </c>
      <c r="B2704" t="s">
        <v>3709</v>
      </c>
      <c r="C2704" t="s">
        <v>130</v>
      </c>
      <c r="D2704">
        <v>1952</v>
      </c>
      <c r="E2704" t="s">
        <v>29</v>
      </c>
      <c r="F2704" t="s">
        <v>30</v>
      </c>
      <c r="G2704" t="s">
        <v>31</v>
      </c>
      <c r="H2704" t="s">
        <v>32</v>
      </c>
      <c r="I2704">
        <v>2387.5480600000001</v>
      </c>
      <c r="J2704" t="s">
        <v>33</v>
      </c>
      <c r="K2704" t="s">
        <v>3710</v>
      </c>
      <c r="L2704" t="s">
        <v>21</v>
      </c>
    </row>
    <row r="2705" spans="1:12">
      <c r="A2705" t="s">
        <v>3713</v>
      </c>
      <c r="B2705" t="s">
        <v>3709</v>
      </c>
      <c r="C2705" t="s">
        <v>130</v>
      </c>
      <c r="D2705">
        <v>1957</v>
      </c>
      <c r="E2705" t="s">
        <v>15</v>
      </c>
      <c r="F2705" t="s">
        <v>16</v>
      </c>
      <c r="G2705" t="s">
        <v>17</v>
      </c>
      <c r="H2705" t="s">
        <v>18</v>
      </c>
      <c r="I2705">
        <v>45.289000000000001</v>
      </c>
      <c r="J2705" t="s">
        <v>19</v>
      </c>
      <c r="K2705" t="s">
        <v>3714</v>
      </c>
      <c r="L2705" t="s">
        <v>21</v>
      </c>
    </row>
    <row r="2706" spans="1:12">
      <c r="A2706" t="s">
        <v>3715</v>
      </c>
      <c r="B2706" t="s">
        <v>3709</v>
      </c>
      <c r="C2706" t="s">
        <v>130</v>
      </c>
      <c r="D2706">
        <v>1957</v>
      </c>
      <c r="E2706" t="s">
        <v>23</v>
      </c>
      <c r="F2706" t="s">
        <v>24</v>
      </c>
      <c r="G2706" t="s">
        <v>25</v>
      </c>
      <c r="H2706" t="s">
        <v>26</v>
      </c>
      <c r="I2706">
        <v>1201578</v>
      </c>
      <c r="J2706" t="s">
        <v>27</v>
      </c>
      <c r="K2706" t="s">
        <v>3714</v>
      </c>
      <c r="L2706" t="s">
        <v>21</v>
      </c>
    </row>
    <row r="2707" spans="1:12">
      <c r="A2707" t="s">
        <v>3716</v>
      </c>
      <c r="B2707" t="s">
        <v>3709</v>
      </c>
      <c r="C2707" t="s">
        <v>130</v>
      </c>
      <c r="D2707">
        <v>1957</v>
      </c>
      <c r="E2707" t="s">
        <v>29</v>
      </c>
      <c r="F2707" t="s">
        <v>30</v>
      </c>
      <c r="G2707" t="s">
        <v>31</v>
      </c>
      <c r="H2707" t="s">
        <v>32</v>
      </c>
      <c r="I2707">
        <v>3448.2843950000001</v>
      </c>
      <c r="J2707" t="s">
        <v>33</v>
      </c>
      <c r="K2707" t="s">
        <v>3714</v>
      </c>
      <c r="L2707" t="s">
        <v>21</v>
      </c>
    </row>
    <row r="2708" spans="1:12">
      <c r="A2708" t="s">
        <v>3717</v>
      </c>
      <c r="B2708" t="s">
        <v>3709</v>
      </c>
      <c r="C2708" t="s">
        <v>130</v>
      </c>
      <c r="D2708">
        <v>1962</v>
      </c>
      <c r="E2708" t="s">
        <v>15</v>
      </c>
      <c r="F2708" t="s">
        <v>16</v>
      </c>
      <c r="G2708" t="s">
        <v>17</v>
      </c>
      <c r="H2708" t="s">
        <v>18</v>
      </c>
      <c r="I2708">
        <v>47.808</v>
      </c>
      <c r="J2708" t="s">
        <v>19</v>
      </c>
      <c r="K2708" t="s">
        <v>3718</v>
      </c>
      <c r="L2708" t="s">
        <v>21</v>
      </c>
    </row>
    <row r="2709" spans="1:12">
      <c r="A2709" t="s">
        <v>3719</v>
      </c>
      <c r="B2709" t="s">
        <v>3709</v>
      </c>
      <c r="C2709" t="s">
        <v>130</v>
      </c>
      <c r="D2709">
        <v>1962</v>
      </c>
      <c r="E2709" t="s">
        <v>23</v>
      </c>
      <c r="F2709" t="s">
        <v>24</v>
      </c>
      <c r="G2709" t="s">
        <v>25</v>
      </c>
      <c r="H2709" t="s">
        <v>26</v>
      </c>
      <c r="I2709">
        <v>1441863</v>
      </c>
      <c r="J2709" t="s">
        <v>27</v>
      </c>
      <c r="K2709" t="s">
        <v>3718</v>
      </c>
      <c r="L2709" t="s">
        <v>21</v>
      </c>
    </row>
    <row r="2710" spans="1:12">
      <c r="A2710" t="s">
        <v>3720</v>
      </c>
      <c r="B2710" t="s">
        <v>3709</v>
      </c>
      <c r="C2710" t="s">
        <v>130</v>
      </c>
      <c r="D2710">
        <v>1962</v>
      </c>
      <c r="E2710" t="s">
        <v>29</v>
      </c>
      <c r="F2710" t="s">
        <v>30</v>
      </c>
      <c r="G2710" t="s">
        <v>31</v>
      </c>
      <c r="H2710" t="s">
        <v>32</v>
      </c>
      <c r="I2710">
        <v>6757.0308160000004</v>
      </c>
      <c r="J2710" t="s">
        <v>33</v>
      </c>
      <c r="K2710" t="s">
        <v>3718</v>
      </c>
      <c r="L2710" t="s">
        <v>21</v>
      </c>
    </row>
    <row r="2711" spans="1:12">
      <c r="A2711" t="s">
        <v>3721</v>
      </c>
      <c r="B2711" t="s">
        <v>3709</v>
      </c>
      <c r="C2711" t="s">
        <v>130</v>
      </c>
      <c r="D2711">
        <v>1967</v>
      </c>
      <c r="E2711" t="s">
        <v>15</v>
      </c>
      <c r="F2711" t="s">
        <v>16</v>
      </c>
      <c r="G2711" t="s">
        <v>17</v>
      </c>
      <c r="H2711" t="s">
        <v>18</v>
      </c>
      <c r="I2711">
        <v>50.226999999999997</v>
      </c>
      <c r="J2711" t="s">
        <v>19</v>
      </c>
      <c r="K2711" t="s">
        <v>3722</v>
      </c>
      <c r="L2711" t="s">
        <v>21</v>
      </c>
    </row>
    <row r="2712" spans="1:12">
      <c r="A2712" t="s">
        <v>3723</v>
      </c>
      <c r="B2712" t="s">
        <v>3709</v>
      </c>
      <c r="C2712" t="s">
        <v>130</v>
      </c>
      <c r="D2712">
        <v>1967</v>
      </c>
      <c r="E2712" t="s">
        <v>23</v>
      </c>
      <c r="F2712" t="s">
        <v>24</v>
      </c>
      <c r="G2712" t="s">
        <v>25</v>
      </c>
      <c r="H2712" t="s">
        <v>26</v>
      </c>
      <c r="I2712">
        <v>1759224</v>
      </c>
      <c r="J2712" t="s">
        <v>27</v>
      </c>
      <c r="K2712" t="s">
        <v>3722</v>
      </c>
      <c r="L2712" t="s">
        <v>21</v>
      </c>
    </row>
    <row r="2713" spans="1:12">
      <c r="A2713" t="s">
        <v>3724</v>
      </c>
      <c r="B2713" t="s">
        <v>3709</v>
      </c>
      <c r="C2713" t="s">
        <v>130</v>
      </c>
      <c r="D2713">
        <v>1967</v>
      </c>
      <c r="E2713" t="s">
        <v>29</v>
      </c>
      <c r="F2713" t="s">
        <v>30</v>
      </c>
      <c r="G2713" t="s">
        <v>31</v>
      </c>
      <c r="H2713" t="s">
        <v>32</v>
      </c>
      <c r="I2713">
        <v>18772.751690000001</v>
      </c>
      <c r="J2713" t="s">
        <v>33</v>
      </c>
      <c r="K2713" t="s">
        <v>3722</v>
      </c>
      <c r="L2713" t="s">
        <v>21</v>
      </c>
    </row>
    <row r="2714" spans="1:12">
      <c r="A2714" t="s">
        <v>3725</v>
      </c>
      <c r="B2714" t="s">
        <v>3709</v>
      </c>
      <c r="C2714" t="s">
        <v>130</v>
      </c>
      <c r="D2714">
        <v>1972</v>
      </c>
      <c r="E2714" t="s">
        <v>15</v>
      </c>
      <c r="F2714" t="s">
        <v>16</v>
      </c>
      <c r="G2714" t="s">
        <v>17</v>
      </c>
      <c r="H2714" t="s">
        <v>18</v>
      </c>
      <c r="I2714">
        <v>52.773000000000003</v>
      </c>
      <c r="J2714" t="s">
        <v>19</v>
      </c>
      <c r="K2714" t="s">
        <v>3726</v>
      </c>
      <c r="L2714" t="s">
        <v>21</v>
      </c>
    </row>
    <row r="2715" spans="1:12">
      <c r="A2715" t="s">
        <v>3727</v>
      </c>
      <c r="B2715" t="s">
        <v>3709</v>
      </c>
      <c r="C2715" t="s">
        <v>130</v>
      </c>
      <c r="D2715">
        <v>1972</v>
      </c>
      <c r="E2715" t="s">
        <v>23</v>
      </c>
      <c r="F2715" t="s">
        <v>24</v>
      </c>
      <c r="G2715" t="s">
        <v>25</v>
      </c>
      <c r="H2715" t="s">
        <v>26</v>
      </c>
      <c r="I2715">
        <v>2183877</v>
      </c>
      <c r="J2715" t="s">
        <v>27</v>
      </c>
      <c r="K2715" t="s">
        <v>3726</v>
      </c>
      <c r="L2715" t="s">
        <v>21</v>
      </c>
    </row>
    <row r="2716" spans="1:12">
      <c r="A2716" t="s">
        <v>3728</v>
      </c>
      <c r="B2716" t="s">
        <v>3709</v>
      </c>
      <c r="C2716" t="s">
        <v>130</v>
      </c>
      <c r="D2716">
        <v>1972</v>
      </c>
      <c r="E2716" t="s">
        <v>29</v>
      </c>
      <c r="F2716" t="s">
        <v>30</v>
      </c>
      <c r="G2716" t="s">
        <v>31</v>
      </c>
      <c r="H2716" t="s">
        <v>32</v>
      </c>
      <c r="I2716">
        <v>21011.497210000001</v>
      </c>
      <c r="J2716" t="s">
        <v>33</v>
      </c>
      <c r="K2716" t="s">
        <v>3726</v>
      </c>
      <c r="L2716" t="s">
        <v>21</v>
      </c>
    </row>
    <row r="2717" spans="1:12">
      <c r="A2717" t="s">
        <v>3729</v>
      </c>
      <c r="B2717" t="s">
        <v>3709</v>
      </c>
      <c r="C2717" t="s">
        <v>130</v>
      </c>
      <c r="D2717">
        <v>1977</v>
      </c>
      <c r="E2717" t="s">
        <v>15</v>
      </c>
      <c r="F2717" t="s">
        <v>16</v>
      </c>
      <c r="G2717" t="s">
        <v>17</v>
      </c>
      <c r="H2717" t="s">
        <v>18</v>
      </c>
      <c r="I2717">
        <v>57.442</v>
      </c>
      <c r="J2717" t="s">
        <v>19</v>
      </c>
      <c r="K2717" t="s">
        <v>3730</v>
      </c>
      <c r="L2717" t="s">
        <v>21</v>
      </c>
    </row>
    <row r="2718" spans="1:12">
      <c r="A2718" t="s">
        <v>3731</v>
      </c>
      <c r="B2718" t="s">
        <v>3709</v>
      </c>
      <c r="C2718" t="s">
        <v>130</v>
      </c>
      <c r="D2718">
        <v>1977</v>
      </c>
      <c r="E2718" t="s">
        <v>23</v>
      </c>
      <c r="F2718" t="s">
        <v>24</v>
      </c>
      <c r="G2718" t="s">
        <v>25</v>
      </c>
      <c r="H2718" t="s">
        <v>26</v>
      </c>
      <c r="I2718">
        <v>2721783</v>
      </c>
      <c r="J2718" t="s">
        <v>27</v>
      </c>
      <c r="K2718" t="s">
        <v>3730</v>
      </c>
      <c r="L2718" t="s">
        <v>21</v>
      </c>
    </row>
    <row r="2719" spans="1:12">
      <c r="A2719" t="s">
        <v>3732</v>
      </c>
      <c r="B2719" t="s">
        <v>3709</v>
      </c>
      <c r="C2719" t="s">
        <v>130</v>
      </c>
      <c r="D2719">
        <v>1977</v>
      </c>
      <c r="E2719" t="s">
        <v>29</v>
      </c>
      <c r="F2719" t="s">
        <v>30</v>
      </c>
      <c r="G2719" t="s">
        <v>31</v>
      </c>
      <c r="H2719" t="s">
        <v>32</v>
      </c>
      <c r="I2719">
        <v>21951.211759999998</v>
      </c>
      <c r="J2719" t="s">
        <v>33</v>
      </c>
      <c r="K2719" t="s">
        <v>3730</v>
      </c>
      <c r="L2719" t="s">
        <v>21</v>
      </c>
    </row>
    <row r="2720" spans="1:12">
      <c r="A2720" t="s">
        <v>3733</v>
      </c>
      <c r="B2720" t="s">
        <v>3709</v>
      </c>
      <c r="C2720" t="s">
        <v>130</v>
      </c>
      <c r="D2720">
        <v>1982</v>
      </c>
      <c r="E2720" t="s">
        <v>15</v>
      </c>
      <c r="F2720" t="s">
        <v>16</v>
      </c>
      <c r="G2720" t="s">
        <v>17</v>
      </c>
      <c r="H2720" t="s">
        <v>18</v>
      </c>
      <c r="I2720">
        <v>62.155000000000001</v>
      </c>
      <c r="J2720" t="s">
        <v>19</v>
      </c>
      <c r="K2720" t="s">
        <v>3734</v>
      </c>
      <c r="L2720" t="s">
        <v>21</v>
      </c>
    </row>
    <row r="2721" spans="1:12">
      <c r="A2721" t="s">
        <v>3735</v>
      </c>
      <c r="B2721" t="s">
        <v>3709</v>
      </c>
      <c r="C2721" t="s">
        <v>130</v>
      </c>
      <c r="D2721">
        <v>1982</v>
      </c>
      <c r="E2721" t="s">
        <v>23</v>
      </c>
      <c r="F2721" t="s">
        <v>24</v>
      </c>
      <c r="G2721" t="s">
        <v>25</v>
      </c>
      <c r="H2721" t="s">
        <v>26</v>
      </c>
      <c r="I2721">
        <v>3344074</v>
      </c>
      <c r="J2721" t="s">
        <v>27</v>
      </c>
      <c r="K2721" t="s">
        <v>3734</v>
      </c>
      <c r="L2721" t="s">
        <v>21</v>
      </c>
    </row>
    <row r="2722" spans="1:12">
      <c r="A2722" t="s">
        <v>3736</v>
      </c>
      <c r="B2722" t="s">
        <v>3709</v>
      </c>
      <c r="C2722" t="s">
        <v>130</v>
      </c>
      <c r="D2722">
        <v>1982</v>
      </c>
      <c r="E2722" t="s">
        <v>29</v>
      </c>
      <c r="F2722" t="s">
        <v>30</v>
      </c>
      <c r="G2722" t="s">
        <v>31</v>
      </c>
      <c r="H2722" t="s">
        <v>32</v>
      </c>
      <c r="I2722">
        <v>17364.275379999999</v>
      </c>
      <c r="J2722" t="s">
        <v>33</v>
      </c>
      <c r="K2722" t="s">
        <v>3734</v>
      </c>
      <c r="L2722" t="s">
        <v>21</v>
      </c>
    </row>
    <row r="2723" spans="1:12">
      <c r="A2723" t="s">
        <v>3737</v>
      </c>
      <c r="B2723" t="s">
        <v>3709</v>
      </c>
      <c r="C2723" t="s">
        <v>130</v>
      </c>
      <c r="D2723">
        <v>1987</v>
      </c>
      <c r="E2723" t="s">
        <v>15</v>
      </c>
      <c r="F2723" t="s">
        <v>16</v>
      </c>
      <c r="G2723" t="s">
        <v>17</v>
      </c>
      <c r="H2723" t="s">
        <v>18</v>
      </c>
      <c r="I2723">
        <v>66.233999999999995</v>
      </c>
      <c r="J2723" t="s">
        <v>19</v>
      </c>
      <c r="K2723" t="s">
        <v>3738</v>
      </c>
      <c r="L2723" t="s">
        <v>21</v>
      </c>
    </row>
    <row r="2724" spans="1:12">
      <c r="A2724" t="s">
        <v>3739</v>
      </c>
      <c r="B2724" t="s">
        <v>3709</v>
      </c>
      <c r="C2724" t="s">
        <v>130</v>
      </c>
      <c r="D2724">
        <v>1987</v>
      </c>
      <c r="E2724" t="s">
        <v>23</v>
      </c>
      <c r="F2724" t="s">
        <v>24</v>
      </c>
      <c r="G2724" t="s">
        <v>25</v>
      </c>
      <c r="H2724" t="s">
        <v>26</v>
      </c>
      <c r="I2724">
        <v>3799845</v>
      </c>
      <c r="J2724" t="s">
        <v>27</v>
      </c>
      <c r="K2724" t="s">
        <v>3738</v>
      </c>
      <c r="L2724" t="s">
        <v>21</v>
      </c>
    </row>
    <row r="2725" spans="1:12">
      <c r="A2725" t="s">
        <v>3740</v>
      </c>
      <c r="B2725" t="s">
        <v>3709</v>
      </c>
      <c r="C2725" t="s">
        <v>130</v>
      </c>
      <c r="D2725">
        <v>1987</v>
      </c>
      <c r="E2725" t="s">
        <v>29</v>
      </c>
      <c r="F2725" t="s">
        <v>30</v>
      </c>
      <c r="G2725" t="s">
        <v>31</v>
      </c>
      <c r="H2725" t="s">
        <v>32</v>
      </c>
      <c r="I2725">
        <v>11770.5898</v>
      </c>
      <c r="J2725" t="s">
        <v>33</v>
      </c>
      <c r="K2725" t="s">
        <v>3738</v>
      </c>
      <c r="L2725" t="s">
        <v>21</v>
      </c>
    </row>
    <row r="2726" spans="1:12">
      <c r="A2726" t="s">
        <v>3741</v>
      </c>
      <c r="B2726" t="s">
        <v>3709</v>
      </c>
      <c r="C2726" t="s">
        <v>130</v>
      </c>
      <c r="D2726">
        <v>1992</v>
      </c>
      <c r="E2726" t="s">
        <v>15</v>
      </c>
      <c r="F2726" t="s">
        <v>16</v>
      </c>
      <c r="G2726" t="s">
        <v>17</v>
      </c>
      <c r="H2726" t="s">
        <v>18</v>
      </c>
      <c r="I2726">
        <v>68.754999999999995</v>
      </c>
      <c r="J2726" t="s">
        <v>19</v>
      </c>
      <c r="K2726" t="s">
        <v>3742</v>
      </c>
      <c r="L2726" t="s">
        <v>21</v>
      </c>
    </row>
    <row r="2727" spans="1:12">
      <c r="A2727" t="s">
        <v>3743</v>
      </c>
      <c r="B2727" t="s">
        <v>3709</v>
      </c>
      <c r="C2727" t="s">
        <v>130</v>
      </c>
      <c r="D2727">
        <v>1992</v>
      </c>
      <c r="E2727" t="s">
        <v>23</v>
      </c>
      <c r="F2727" t="s">
        <v>24</v>
      </c>
      <c r="G2727" t="s">
        <v>25</v>
      </c>
      <c r="H2727" t="s">
        <v>26</v>
      </c>
      <c r="I2727">
        <v>4364501</v>
      </c>
      <c r="J2727" t="s">
        <v>27</v>
      </c>
      <c r="K2727" t="s">
        <v>3742</v>
      </c>
      <c r="L2727" t="s">
        <v>21</v>
      </c>
    </row>
    <row r="2728" spans="1:12">
      <c r="A2728" t="s">
        <v>3744</v>
      </c>
      <c r="B2728" t="s">
        <v>3709</v>
      </c>
      <c r="C2728" t="s">
        <v>130</v>
      </c>
      <c r="D2728">
        <v>1992</v>
      </c>
      <c r="E2728" t="s">
        <v>29</v>
      </c>
      <c r="F2728" t="s">
        <v>30</v>
      </c>
      <c r="G2728" t="s">
        <v>31</v>
      </c>
      <c r="H2728" t="s">
        <v>32</v>
      </c>
      <c r="I2728">
        <v>9640.1385009999995</v>
      </c>
      <c r="J2728" t="s">
        <v>33</v>
      </c>
      <c r="K2728" t="s">
        <v>3742</v>
      </c>
      <c r="L2728" t="s">
        <v>21</v>
      </c>
    </row>
    <row r="2729" spans="1:12">
      <c r="A2729" t="s">
        <v>3745</v>
      </c>
      <c r="B2729" t="s">
        <v>3709</v>
      </c>
      <c r="C2729" t="s">
        <v>130</v>
      </c>
      <c r="D2729">
        <v>1997</v>
      </c>
      <c r="E2729" t="s">
        <v>15</v>
      </c>
      <c r="F2729" t="s">
        <v>16</v>
      </c>
      <c r="G2729" t="s">
        <v>17</v>
      </c>
      <c r="H2729" t="s">
        <v>18</v>
      </c>
      <c r="I2729">
        <v>71.555000000000007</v>
      </c>
      <c r="J2729" t="s">
        <v>19</v>
      </c>
      <c r="K2729" t="s">
        <v>3746</v>
      </c>
      <c r="L2729" t="s">
        <v>21</v>
      </c>
    </row>
    <row r="2730" spans="1:12">
      <c r="A2730" t="s">
        <v>3747</v>
      </c>
      <c r="B2730" t="s">
        <v>3709</v>
      </c>
      <c r="C2730" t="s">
        <v>130</v>
      </c>
      <c r="D2730">
        <v>1997</v>
      </c>
      <c r="E2730" t="s">
        <v>23</v>
      </c>
      <c r="F2730" t="s">
        <v>24</v>
      </c>
      <c r="G2730" t="s">
        <v>25</v>
      </c>
      <c r="H2730" t="s">
        <v>26</v>
      </c>
      <c r="I2730">
        <v>4759670</v>
      </c>
      <c r="J2730" t="s">
        <v>27</v>
      </c>
      <c r="K2730" t="s">
        <v>3746</v>
      </c>
      <c r="L2730" t="s">
        <v>21</v>
      </c>
    </row>
    <row r="2731" spans="1:12">
      <c r="A2731" t="s">
        <v>3748</v>
      </c>
      <c r="B2731" t="s">
        <v>3709</v>
      </c>
      <c r="C2731" t="s">
        <v>130</v>
      </c>
      <c r="D2731">
        <v>1997</v>
      </c>
      <c r="E2731" t="s">
        <v>29</v>
      </c>
      <c r="F2731" t="s">
        <v>30</v>
      </c>
      <c r="G2731" t="s">
        <v>31</v>
      </c>
      <c r="H2731" t="s">
        <v>32</v>
      </c>
      <c r="I2731">
        <v>9467.4460560000007</v>
      </c>
      <c r="J2731" t="s">
        <v>33</v>
      </c>
      <c r="K2731" t="s">
        <v>3746</v>
      </c>
      <c r="L2731" t="s">
        <v>21</v>
      </c>
    </row>
    <row r="2732" spans="1:12">
      <c r="A2732" t="s">
        <v>3749</v>
      </c>
      <c r="B2732" t="s">
        <v>3709</v>
      </c>
      <c r="C2732" t="s">
        <v>130</v>
      </c>
      <c r="D2732">
        <v>2002</v>
      </c>
      <c r="E2732" t="s">
        <v>15</v>
      </c>
      <c r="F2732" t="s">
        <v>16</v>
      </c>
      <c r="G2732" t="s">
        <v>17</v>
      </c>
      <c r="H2732" t="s">
        <v>18</v>
      </c>
      <c r="I2732">
        <v>72.736999999999995</v>
      </c>
      <c r="J2732" t="s">
        <v>19</v>
      </c>
      <c r="K2732" t="s">
        <v>3750</v>
      </c>
      <c r="L2732" t="s">
        <v>21</v>
      </c>
    </row>
    <row r="2733" spans="1:12">
      <c r="A2733" t="s">
        <v>3751</v>
      </c>
      <c r="B2733" t="s">
        <v>3709</v>
      </c>
      <c r="C2733" t="s">
        <v>130</v>
      </c>
      <c r="D2733">
        <v>2002</v>
      </c>
      <c r="E2733" t="s">
        <v>23</v>
      </c>
      <c r="F2733" t="s">
        <v>24</v>
      </c>
      <c r="G2733" t="s">
        <v>25</v>
      </c>
      <c r="H2733" t="s">
        <v>26</v>
      </c>
      <c r="I2733">
        <v>5368585</v>
      </c>
      <c r="J2733" t="s">
        <v>27</v>
      </c>
      <c r="K2733" t="s">
        <v>3750</v>
      </c>
      <c r="L2733" t="s">
        <v>21</v>
      </c>
    </row>
    <row r="2734" spans="1:12">
      <c r="A2734" t="s">
        <v>3752</v>
      </c>
      <c r="B2734" t="s">
        <v>3709</v>
      </c>
      <c r="C2734" t="s">
        <v>130</v>
      </c>
      <c r="D2734">
        <v>2002</v>
      </c>
      <c r="E2734" t="s">
        <v>29</v>
      </c>
      <c r="F2734" t="s">
        <v>30</v>
      </c>
      <c r="G2734" t="s">
        <v>31</v>
      </c>
      <c r="H2734" t="s">
        <v>32</v>
      </c>
      <c r="I2734">
        <v>9534.6774669999995</v>
      </c>
      <c r="J2734" t="s">
        <v>33</v>
      </c>
      <c r="K2734" t="s">
        <v>3750</v>
      </c>
      <c r="L2734" t="s">
        <v>21</v>
      </c>
    </row>
    <row r="2735" spans="1:12">
      <c r="A2735" t="s">
        <v>3753</v>
      </c>
      <c r="B2735" t="s">
        <v>3709</v>
      </c>
      <c r="C2735" t="s">
        <v>130</v>
      </c>
      <c r="D2735">
        <v>2007</v>
      </c>
      <c r="E2735" t="s">
        <v>15</v>
      </c>
      <c r="F2735" t="s">
        <v>16</v>
      </c>
      <c r="G2735" t="s">
        <v>17</v>
      </c>
      <c r="H2735" t="s">
        <v>18</v>
      </c>
      <c r="I2735">
        <v>73.951999999999998</v>
      </c>
      <c r="J2735" t="s">
        <v>19</v>
      </c>
      <c r="K2735" t="s">
        <v>3754</v>
      </c>
      <c r="L2735" t="s">
        <v>21</v>
      </c>
    </row>
    <row r="2736" spans="1:12">
      <c r="A2736" t="s">
        <v>3755</v>
      </c>
      <c r="B2736" t="s">
        <v>3709</v>
      </c>
      <c r="C2736" t="s">
        <v>130</v>
      </c>
      <c r="D2736">
        <v>2007</v>
      </c>
      <c r="E2736" t="s">
        <v>23</v>
      </c>
      <c r="F2736" t="s">
        <v>24</v>
      </c>
      <c r="G2736" t="s">
        <v>25</v>
      </c>
      <c r="H2736" t="s">
        <v>26</v>
      </c>
      <c r="I2736">
        <v>6036914</v>
      </c>
      <c r="J2736" t="s">
        <v>27</v>
      </c>
      <c r="K2736" t="s">
        <v>3754</v>
      </c>
      <c r="L2736" t="s">
        <v>21</v>
      </c>
    </row>
    <row r="2737" spans="1:12">
      <c r="A2737" t="s">
        <v>3756</v>
      </c>
      <c r="B2737" t="s">
        <v>3709</v>
      </c>
      <c r="C2737" t="s">
        <v>130</v>
      </c>
      <c r="D2737">
        <v>2007</v>
      </c>
      <c r="E2737" t="s">
        <v>29</v>
      </c>
      <c r="F2737" t="s">
        <v>30</v>
      </c>
      <c r="G2737" t="s">
        <v>31</v>
      </c>
      <c r="H2737" t="s">
        <v>32</v>
      </c>
      <c r="I2737">
        <v>12057.49928</v>
      </c>
      <c r="J2737" t="s">
        <v>33</v>
      </c>
      <c r="K2737" t="s">
        <v>3754</v>
      </c>
      <c r="L2737" t="s">
        <v>21</v>
      </c>
    </row>
    <row r="2738" spans="1:12">
      <c r="A2738" t="s">
        <v>3757</v>
      </c>
      <c r="B2738" t="s">
        <v>3758</v>
      </c>
      <c r="C2738" t="s">
        <v>130</v>
      </c>
      <c r="D2738">
        <v>1952</v>
      </c>
      <c r="E2738" t="s">
        <v>15</v>
      </c>
      <c r="F2738" t="s">
        <v>16</v>
      </c>
      <c r="G2738" t="s">
        <v>17</v>
      </c>
      <c r="H2738" t="s">
        <v>18</v>
      </c>
      <c r="I2738">
        <v>36.680999999999997</v>
      </c>
      <c r="J2738" t="s">
        <v>19</v>
      </c>
      <c r="K2738" t="s">
        <v>3759</v>
      </c>
      <c r="L2738" t="s">
        <v>21</v>
      </c>
    </row>
    <row r="2739" spans="1:12">
      <c r="A2739" t="s">
        <v>3760</v>
      </c>
      <c r="B2739" t="s">
        <v>3758</v>
      </c>
      <c r="C2739" t="s">
        <v>130</v>
      </c>
      <c r="D2739">
        <v>1952</v>
      </c>
      <c r="E2739" t="s">
        <v>23</v>
      </c>
      <c r="F2739" t="s">
        <v>24</v>
      </c>
      <c r="G2739" t="s">
        <v>25</v>
      </c>
      <c r="H2739" t="s">
        <v>26</v>
      </c>
      <c r="I2739">
        <v>4762912</v>
      </c>
      <c r="J2739" t="s">
        <v>27</v>
      </c>
      <c r="K2739" t="s">
        <v>3759</v>
      </c>
      <c r="L2739" t="s">
        <v>21</v>
      </c>
    </row>
    <row r="2740" spans="1:12">
      <c r="A2740" t="s">
        <v>3761</v>
      </c>
      <c r="B2740" t="s">
        <v>3758</v>
      </c>
      <c r="C2740" t="s">
        <v>130</v>
      </c>
      <c r="D2740">
        <v>1952</v>
      </c>
      <c r="E2740" t="s">
        <v>29</v>
      </c>
      <c r="F2740" t="s">
        <v>30</v>
      </c>
      <c r="G2740" t="s">
        <v>31</v>
      </c>
      <c r="H2740" t="s">
        <v>32</v>
      </c>
      <c r="I2740">
        <v>1443.0117150000001</v>
      </c>
      <c r="J2740" t="s">
        <v>33</v>
      </c>
      <c r="K2740" t="s">
        <v>3759</v>
      </c>
      <c r="L2740" t="s">
        <v>21</v>
      </c>
    </row>
    <row r="2741" spans="1:12">
      <c r="A2741" t="s">
        <v>3762</v>
      </c>
      <c r="B2741" t="s">
        <v>3758</v>
      </c>
      <c r="C2741" t="s">
        <v>130</v>
      </c>
      <c r="D2741">
        <v>1957</v>
      </c>
      <c r="E2741" t="s">
        <v>15</v>
      </c>
      <c r="F2741" t="s">
        <v>16</v>
      </c>
      <c r="G2741" t="s">
        <v>17</v>
      </c>
      <c r="H2741" t="s">
        <v>18</v>
      </c>
      <c r="I2741">
        <v>38.865000000000002</v>
      </c>
      <c r="J2741" t="s">
        <v>19</v>
      </c>
      <c r="K2741" t="s">
        <v>3763</v>
      </c>
      <c r="L2741" t="s">
        <v>21</v>
      </c>
    </row>
    <row r="2742" spans="1:12">
      <c r="A2742" t="s">
        <v>3764</v>
      </c>
      <c r="B2742" t="s">
        <v>3758</v>
      </c>
      <c r="C2742" t="s">
        <v>130</v>
      </c>
      <c r="D2742">
        <v>1957</v>
      </c>
      <c r="E2742" t="s">
        <v>23</v>
      </c>
      <c r="F2742" t="s">
        <v>24</v>
      </c>
      <c r="G2742" t="s">
        <v>25</v>
      </c>
      <c r="H2742" t="s">
        <v>26</v>
      </c>
      <c r="I2742">
        <v>5181679</v>
      </c>
      <c r="J2742" t="s">
        <v>27</v>
      </c>
      <c r="K2742" t="s">
        <v>3763</v>
      </c>
      <c r="L2742" t="s">
        <v>21</v>
      </c>
    </row>
    <row r="2743" spans="1:12">
      <c r="A2743" t="s">
        <v>3765</v>
      </c>
      <c r="B2743" t="s">
        <v>3758</v>
      </c>
      <c r="C2743" t="s">
        <v>130</v>
      </c>
      <c r="D2743">
        <v>1957</v>
      </c>
      <c r="E2743" t="s">
        <v>29</v>
      </c>
      <c r="F2743" t="s">
        <v>30</v>
      </c>
      <c r="G2743" t="s">
        <v>31</v>
      </c>
      <c r="H2743" t="s">
        <v>32</v>
      </c>
      <c r="I2743">
        <v>1589.2027499999999</v>
      </c>
      <c r="J2743" t="s">
        <v>33</v>
      </c>
      <c r="K2743" t="s">
        <v>3763</v>
      </c>
      <c r="L2743" t="s">
        <v>21</v>
      </c>
    </row>
    <row r="2744" spans="1:12">
      <c r="A2744" t="s">
        <v>3766</v>
      </c>
      <c r="B2744" t="s">
        <v>3758</v>
      </c>
      <c r="C2744" t="s">
        <v>130</v>
      </c>
      <c r="D2744">
        <v>1962</v>
      </c>
      <c r="E2744" t="s">
        <v>15</v>
      </c>
      <c r="F2744" t="s">
        <v>16</v>
      </c>
      <c r="G2744" t="s">
        <v>17</v>
      </c>
      <c r="H2744" t="s">
        <v>18</v>
      </c>
      <c r="I2744">
        <v>40.847999999999999</v>
      </c>
      <c r="J2744" t="s">
        <v>19</v>
      </c>
      <c r="K2744" t="s">
        <v>3767</v>
      </c>
      <c r="L2744" t="s">
        <v>21</v>
      </c>
    </row>
    <row r="2745" spans="1:12">
      <c r="A2745" t="s">
        <v>3768</v>
      </c>
      <c r="B2745" t="s">
        <v>3758</v>
      </c>
      <c r="C2745" t="s">
        <v>130</v>
      </c>
      <c r="D2745">
        <v>1962</v>
      </c>
      <c r="E2745" t="s">
        <v>23</v>
      </c>
      <c r="F2745" t="s">
        <v>24</v>
      </c>
      <c r="G2745" t="s">
        <v>25</v>
      </c>
      <c r="H2745" t="s">
        <v>26</v>
      </c>
      <c r="I2745">
        <v>5703324</v>
      </c>
      <c r="J2745" t="s">
        <v>27</v>
      </c>
      <c r="K2745" t="s">
        <v>3767</v>
      </c>
      <c r="L2745" t="s">
        <v>21</v>
      </c>
    </row>
    <row r="2746" spans="1:12">
      <c r="A2746" t="s">
        <v>3769</v>
      </c>
      <c r="B2746" t="s">
        <v>3758</v>
      </c>
      <c r="C2746" t="s">
        <v>130</v>
      </c>
      <c r="D2746">
        <v>1962</v>
      </c>
      <c r="E2746" t="s">
        <v>29</v>
      </c>
      <c r="F2746" t="s">
        <v>30</v>
      </c>
      <c r="G2746" t="s">
        <v>31</v>
      </c>
      <c r="H2746" t="s">
        <v>32</v>
      </c>
      <c r="I2746">
        <v>1643.3871099999999</v>
      </c>
      <c r="J2746" t="s">
        <v>33</v>
      </c>
      <c r="K2746" t="s">
        <v>3767</v>
      </c>
      <c r="L2746" t="s">
        <v>21</v>
      </c>
    </row>
    <row r="2747" spans="1:12">
      <c r="A2747" t="s">
        <v>3770</v>
      </c>
      <c r="B2747" t="s">
        <v>3758</v>
      </c>
      <c r="C2747" t="s">
        <v>130</v>
      </c>
      <c r="D2747">
        <v>1967</v>
      </c>
      <c r="E2747" t="s">
        <v>15</v>
      </c>
      <c r="F2747" t="s">
        <v>16</v>
      </c>
      <c r="G2747" t="s">
        <v>17</v>
      </c>
      <c r="H2747" t="s">
        <v>18</v>
      </c>
      <c r="I2747">
        <v>42.881</v>
      </c>
      <c r="J2747" t="s">
        <v>19</v>
      </c>
      <c r="K2747" t="s">
        <v>3771</v>
      </c>
      <c r="L2747" t="s">
        <v>21</v>
      </c>
    </row>
    <row r="2748" spans="1:12">
      <c r="A2748" t="s">
        <v>3772</v>
      </c>
      <c r="B2748" t="s">
        <v>3758</v>
      </c>
      <c r="C2748" t="s">
        <v>130</v>
      </c>
      <c r="D2748">
        <v>1967</v>
      </c>
      <c r="E2748" t="s">
        <v>23</v>
      </c>
      <c r="F2748" t="s">
        <v>24</v>
      </c>
      <c r="G2748" t="s">
        <v>25</v>
      </c>
      <c r="H2748" t="s">
        <v>26</v>
      </c>
      <c r="I2748">
        <v>6334556</v>
      </c>
      <c r="J2748" t="s">
        <v>27</v>
      </c>
      <c r="K2748" t="s">
        <v>3771</v>
      </c>
      <c r="L2748" t="s">
        <v>21</v>
      </c>
    </row>
    <row r="2749" spans="1:12">
      <c r="A2749" t="s">
        <v>3773</v>
      </c>
      <c r="B2749" t="s">
        <v>3758</v>
      </c>
      <c r="C2749" t="s">
        <v>130</v>
      </c>
      <c r="D2749">
        <v>1967</v>
      </c>
      <c r="E2749" t="s">
        <v>29</v>
      </c>
      <c r="F2749" t="s">
        <v>30</v>
      </c>
      <c r="G2749" t="s">
        <v>31</v>
      </c>
      <c r="H2749" t="s">
        <v>32</v>
      </c>
      <c r="I2749">
        <v>1634.047282</v>
      </c>
      <c r="J2749" t="s">
        <v>33</v>
      </c>
      <c r="K2749" t="s">
        <v>3771</v>
      </c>
      <c r="L2749" t="s">
        <v>21</v>
      </c>
    </row>
    <row r="2750" spans="1:12">
      <c r="A2750" t="s">
        <v>3774</v>
      </c>
      <c r="B2750" t="s">
        <v>3758</v>
      </c>
      <c r="C2750" t="s">
        <v>130</v>
      </c>
      <c r="D2750">
        <v>1972</v>
      </c>
      <c r="E2750" t="s">
        <v>15</v>
      </c>
      <c r="F2750" t="s">
        <v>16</v>
      </c>
      <c r="G2750" t="s">
        <v>17</v>
      </c>
      <c r="H2750" t="s">
        <v>18</v>
      </c>
      <c r="I2750">
        <v>44.850999999999999</v>
      </c>
      <c r="J2750" t="s">
        <v>19</v>
      </c>
      <c r="K2750" t="s">
        <v>3775</v>
      </c>
      <c r="L2750" t="s">
        <v>21</v>
      </c>
    </row>
    <row r="2751" spans="1:12">
      <c r="A2751" t="s">
        <v>3776</v>
      </c>
      <c r="B2751" t="s">
        <v>3758</v>
      </c>
      <c r="C2751" t="s">
        <v>130</v>
      </c>
      <c r="D2751">
        <v>1972</v>
      </c>
      <c r="E2751" t="s">
        <v>23</v>
      </c>
      <c r="F2751" t="s">
        <v>24</v>
      </c>
      <c r="G2751" t="s">
        <v>25</v>
      </c>
      <c r="H2751" t="s">
        <v>26</v>
      </c>
      <c r="I2751">
        <v>7082430</v>
      </c>
      <c r="J2751" t="s">
        <v>27</v>
      </c>
      <c r="K2751" t="s">
        <v>3775</v>
      </c>
      <c r="L2751" t="s">
        <v>21</v>
      </c>
    </row>
    <row r="2752" spans="1:12">
      <c r="A2752" t="s">
        <v>3777</v>
      </c>
      <c r="B2752" t="s">
        <v>3758</v>
      </c>
      <c r="C2752" t="s">
        <v>130</v>
      </c>
      <c r="D2752">
        <v>1972</v>
      </c>
      <c r="E2752" t="s">
        <v>29</v>
      </c>
      <c r="F2752" t="s">
        <v>30</v>
      </c>
      <c r="G2752" t="s">
        <v>31</v>
      </c>
      <c r="H2752" t="s">
        <v>32</v>
      </c>
      <c r="I2752">
        <v>1748.5629819999999</v>
      </c>
      <c r="J2752" t="s">
        <v>33</v>
      </c>
      <c r="K2752" t="s">
        <v>3775</v>
      </c>
      <c r="L2752" t="s">
        <v>21</v>
      </c>
    </row>
    <row r="2753" spans="1:12">
      <c r="A2753" t="s">
        <v>3778</v>
      </c>
      <c r="B2753" t="s">
        <v>3758</v>
      </c>
      <c r="C2753" t="s">
        <v>130</v>
      </c>
      <c r="D2753">
        <v>1977</v>
      </c>
      <c r="E2753" t="s">
        <v>15</v>
      </c>
      <c r="F2753" t="s">
        <v>16</v>
      </c>
      <c r="G2753" t="s">
        <v>17</v>
      </c>
      <c r="H2753" t="s">
        <v>18</v>
      </c>
      <c r="I2753">
        <v>46.881</v>
      </c>
      <c r="J2753" t="s">
        <v>19</v>
      </c>
      <c r="K2753" t="s">
        <v>3779</v>
      </c>
      <c r="L2753" t="s">
        <v>21</v>
      </c>
    </row>
    <row r="2754" spans="1:12">
      <c r="A2754" t="s">
        <v>3780</v>
      </c>
      <c r="B2754" t="s">
        <v>3758</v>
      </c>
      <c r="C2754" t="s">
        <v>130</v>
      </c>
      <c r="D2754">
        <v>1977</v>
      </c>
      <c r="E2754" t="s">
        <v>23</v>
      </c>
      <c r="F2754" t="s">
        <v>24</v>
      </c>
      <c r="G2754" t="s">
        <v>25</v>
      </c>
      <c r="H2754" t="s">
        <v>26</v>
      </c>
      <c r="I2754">
        <v>8007166</v>
      </c>
      <c r="J2754" t="s">
        <v>27</v>
      </c>
      <c r="K2754" t="s">
        <v>3779</v>
      </c>
      <c r="L2754" t="s">
        <v>21</v>
      </c>
    </row>
    <row r="2755" spans="1:12">
      <c r="A2755" t="s">
        <v>3781</v>
      </c>
      <c r="B2755" t="s">
        <v>3758</v>
      </c>
      <c r="C2755" t="s">
        <v>130</v>
      </c>
      <c r="D2755">
        <v>1977</v>
      </c>
      <c r="E2755" t="s">
        <v>29</v>
      </c>
      <c r="F2755" t="s">
        <v>30</v>
      </c>
      <c r="G2755" t="s">
        <v>31</v>
      </c>
      <c r="H2755" t="s">
        <v>32</v>
      </c>
      <c r="I2755">
        <v>1544.228586</v>
      </c>
      <c r="J2755" t="s">
        <v>33</v>
      </c>
      <c r="K2755" t="s">
        <v>3779</v>
      </c>
      <c r="L2755" t="s">
        <v>21</v>
      </c>
    </row>
    <row r="2756" spans="1:12">
      <c r="A2756" t="s">
        <v>3782</v>
      </c>
      <c r="B2756" t="s">
        <v>3758</v>
      </c>
      <c r="C2756" t="s">
        <v>130</v>
      </c>
      <c r="D2756">
        <v>1982</v>
      </c>
      <c r="E2756" t="s">
        <v>15</v>
      </c>
      <c r="F2756" t="s">
        <v>16</v>
      </c>
      <c r="G2756" t="s">
        <v>17</v>
      </c>
      <c r="H2756" t="s">
        <v>18</v>
      </c>
      <c r="I2756">
        <v>48.969000000000001</v>
      </c>
      <c r="J2756" t="s">
        <v>19</v>
      </c>
      <c r="K2756" t="s">
        <v>3783</v>
      </c>
      <c r="L2756" t="s">
        <v>21</v>
      </c>
    </row>
    <row r="2757" spans="1:12">
      <c r="A2757" t="s">
        <v>3784</v>
      </c>
      <c r="B2757" t="s">
        <v>3758</v>
      </c>
      <c r="C2757" t="s">
        <v>130</v>
      </c>
      <c r="D2757">
        <v>1982</v>
      </c>
      <c r="E2757" t="s">
        <v>23</v>
      </c>
      <c r="F2757" t="s">
        <v>24</v>
      </c>
      <c r="G2757" t="s">
        <v>25</v>
      </c>
      <c r="H2757" t="s">
        <v>26</v>
      </c>
      <c r="I2757">
        <v>9171477</v>
      </c>
      <c r="J2757" t="s">
        <v>27</v>
      </c>
      <c r="K2757" t="s">
        <v>3783</v>
      </c>
      <c r="L2757" t="s">
        <v>21</v>
      </c>
    </row>
    <row r="2758" spans="1:12">
      <c r="A2758" t="s">
        <v>3785</v>
      </c>
      <c r="B2758" t="s">
        <v>3758</v>
      </c>
      <c r="C2758" t="s">
        <v>130</v>
      </c>
      <c r="D2758">
        <v>1982</v>
      </c>
      <c r="E2758" t="s">
        <v>29</v>
      </c>
      <c r="F2758" t="s">
        <v>30</v>
      </c>
      <c r="G2758" t="s">
        <v>31</v>
      </c>
      <c r="H2758" t="s">
        <v>32</v>
      </c>
      <c r="I2758">
        <v>1302.8786580000001</v>
      </c>
      <c r="J2758" t="s">
        <v>33</v>
      </c>
      <c r="K2758" t="s">
        <v>3783</v>
      </c>
      <c r="L2758" t="s">
        <v>21</v>
      </c>
    </row>
    <row r="2759" spans="1:12">
      <c r="A2759" t="s">
        <v>3786</v>
      </c>
      <c r="B2759" t="s">
        <v>3758</v>
      </c>
      <c r="C2759" t="s">
        <v>130</v>
      </c>
      <c r="D2759">
        <v>1987</v>
      </c>
      <c r="E2759" t="s">
        <v>15</v>
      </c>
      <c r="F2759" t="s">
        <v>16</v>
      </c>
      <c r="G2759" t="s">
        <v>17</v>
      </c>
      <c r="H2759" t="s">
        <v>18</v>
      </c>
      <c r="I2759">
        <v>49.35</v>
      </c>
      <c r="J2759" t="s">
        <v>19</v>
      </c>
      <c r="K2759" t="s">
        <v>3787</v>
      </c>
      <c r="L2759" t="s">
        <v>21</v>
      </c>
    </row>
    <row r="2760" spans="1:12">
      <c r="A2760" t="s">
        <v>3788</v>
      </c>
      <c r="B2760" t="s">
        <v>3758</v>
      </c>
      <c r="C2760" t="s">
        <v>130</v>
      </c>
      <c r="D2760">
        <v>1987</v>
      </c>
      <c r="E2760" t="s">
        <v>23</v>
      </c>
      <c r="F2760" t="s">
        <v>24</v>
      </c>
      <c r="G2760" t="s">
        <v>25</v>
      </c>
      <c r="H2760" t="s">
        <v>26</v>
      </c>
      <c r="I2760">
        <v>10568642</v>
      </c>
      <c r="J2760" t="s">
        <v>27</v>
      </c>
      <c r="K2760" t="s">
        <v>3787</v>
      </c>
      <c r="L2760" t="s">
        <v>21</v>
      </c>
    </row>
    <row r="2761" spans="1:12">
      <c r="A2761" t="s">
        <v>3789</v>
      </c>
      <c r="B2761" t="s">
        <v>3758</v>
      </c>
      <c r="C2761" t="s">
        <v>130</v>
      </c>
      <c r="D2761">
        <v>1987</v>
      </c>
      <c r="E2761" t="s">
        <v>29</v>
      </c>
      <c r="F2761" t="s">
        <v>30</v>
      </c>
      <c r="G2761" t="s">
        <v>31</v>
      </c>
      <c r="H2761" t="s">
        <v>32</v>
      </c>
      <c r="I2761">
        <v>1155.4419479999999</v>
      </c>
      <c r="J2761" t="s">
        <v>33</v>
      </c>
      <c r="K2761" t="s">
        <v>3787</v>
      </c>
      <c r="L2761" t="s">
        <v>21</v>
      </c>
    </row>
    <row r="2762" spans="1:12">
      <c r="A2762" t="s">
        <v>3790</v>
      </c>
      <c r="B2762" t="s">
        <v>3758</v>
      </c>
      <c r="C2762" t="s">
        <v>130</v>
      </c>
      <c r="D2762">
        <v>1992</v>
      </c>
      <c r="E2762" t="s">
        <v>15</v>
      </c>
      <c r="F2762" t="s">
        <v>16</v>
      </c>
      <c r="G2762" t="s">
        <v>17</v>
      </c>
      <c r="H2762" t="s">
        <v>18</v>
      </c>
      <c r="I2762">
        <v>52.213999999999999</v>
      </c>
      <c r="J2762" t="s">
        <v>19</v>
      </c>
      <c r="K2762" t="s">
        <v>3791</v>
      </c>
      <c r="L2762" t="s">
        <v>21</v>
      </c>
    </row>
    <row r="2763" spans="1:12">
      <c r="A2763" t="s">
        <v>3792</v>
      </c>
      <c r="B2763" t="s">
        <v>3758</v>
      </c>
      <c r="C2763" t="s">
        <v>130</v>
      </c>
      <c r="D2763">
        <v>1992</v>
      </c>
      <c r="E2763" t="s">
        <v>23</v>
      </c>
      <c r="F2763" t="s">
        <v>24</v>
      </c>
      <c r="G2763" t="s">
        <v>25</v>
      </c>
      <c r="H2763" t="s">
        <v>26</v>
      </c>
      <c r="I2763">
        <v>12210395</v>
      </c>
      <c r="J2763" t="s">
        <v>27</v>
      </c>
      <c r="K2763" t="s">
        <v>3791</v>
      </c>
      <c r="L2763" t="s">
        <v>21</v>
      </c>
    </row>
    <row r="2764" spans="1:12">
      <c r="A2764" t="s">
        <v>3793</v>
      </c>
      <c r="B2764" t="s">
        <v>3758</v>
      </c>
      <c r="C2764" t="s">
        <v>130</v>
      </c>
      <c r="D2764">
        <v>1992</v>
      </c>
      <c r="E2764" t="s">
        <v>29</v>
      </c>
      <c r="F2764" t="s">
        <v>30</v>
      </c>
      <c r="G2764" t="s">
        <v>31</v>
      </c>
      <c r="H2764" t="s">
        <v>32</v>
      </c>
      <c r="I2764">
        <v>1040.6761899999999</v>
      </c>
      <c r="J2764" t="s">
        <v>33</v>
      </c>
      <c r="K2764" t="s">
        <v>3791</v>
      </c>
      <c r="L2764" t="s">
        <v>21</v>
      </c>
    </row>
    <row r="2765" spans="1:12">
      <c r="A2765" t="s">
        <v>3794</v>
      </c>
      <c r="B2765" t="s">
        <v>3758</v>
      </c>
      <c r="C2765" t="s">
        <v>130</v>
      </c>
      <c r="D2765">
        <v>1997</v>
      </c>
      <c r="E2765" t="s">
        <v>15</v>
      </c>
      <c r="F2765" t="s">
        <v>16</v>
      </c>
      <c r="G2765" t="s">
        <v>17</v>
      </c>
      <c r="H2765" t="s">
        <v>18</v>
      </c>
      <c r="I2765">
        <v>54.978000000000002</v>
      </c>
      <c r="J2765" t="s">
        <v>19</v>
      </c>
      <c r="K2765" t="s">
        <v>3795</v>
      </c>
      <c r="L2765" t="s">
        <v>21</v>
      </c>
    </row>
    <row r="2766" spans="1:12">
      <c r="A2766" t="s">
        <v>3796</v>
      </c>
      <c r="B2766" t="s">
        <v>3758</v>
      </c>
      <c r="C2766" t="s">
        <v>130</v>
      </c>
      <c r="D2766">
        <v>1997</v>
      </c>
      <c r="E2766" t="s">
        <v>23</v>
      </c>
      <c r="F2766" t="s">
        <v>24</v>
      </c>
      <c r="G2766" t="s">
        <v>25</v>
      </c>
      <c r="H2766" t="s">
        <v>26</v>
      </c>
      <c r="I2766">
        <v>14165114</v>
      </c>
      <c r="J2766" t="s">
        <v>27</v>
      </c>
      <c r="K2766" t="s">
        <v>3795</v>
      </c>
      <c r="L2766" t="s">
        <v>21</v>
      </c>
    </row>
    <row r="2767" spans="1:12">
      <c r="A2767" t="s">
        <v>3797</v>
      </c>
      <c r="B2767" t="s">
        <v>3758</v>
      </c>
      <c r="C2767" t="s">
        <v>130</v>
      </c>
      <c r="D2767">
        <v>1997</v>
      </c>
      <c r="E2767" t="s">
        <v>29</v>
      </c>
      <c r="F2767" t="s">
        <v>30</v>
      </c>
      <c r="G2767" t="s">
        <v>31</v>
      </c>
      <c r="H2767" t="s">
        <v>32</v>
      </c>
      <c r="I2767">
        <v>986.29589559999999</v>
      </c>
      <c r="J2767" t="s">
        <v>33</v>
      </c>
      <c r="K2767" t="s">
        <v>3795</v>
      </c>
      <c r="L2767" t="s">
        <v>21</v>
      </c>
    </row>
    <row r="2768" spans="1:12">
      <c r="A2768" t="s">
        <v>3798</v>
      </c>
      <c r="B2768" t="s">
        <v>3758</v>
      </c>
      <c r="C2768" t="s">
        <v>130</v>
      </c>
      <c r="D2768">
        <v>2002</v>
      </c>
      <c r="E2768" t="s">
        <v>15</v>
      </c>
      <c r="F2768" t="s">
        <v>16</v>
      </c>
      <c r="G2768" t="s">
        <v>17</v>
      </c>
      <c r="H2768" t="s">
        <v>18</v>
      </c>
      <c r="I2768">
        <v>57.286000000000001</v>
      </c>
      <c r="J2768" t="s">
        <v>19</v>
      </c>
      <c r="K2768" t="s">
        <v>3799</v>
      </c>
      <c r="L2768" t="s">
        <v>21</v>
      </c>
    </row>
    <row r="2769" spans="1:12">
      <c r="A2769" t="s">
        <v>3800</v>
      </c>
      <c r="B2769" t="s">
        <v>3758</v>
      </c>
      <c r="C2769" t="s">
        <v>130</v>
      </c>
      <c r="D2769">
        <v>2002</v>
      </c>
      <c r="E2769" t="s">
        <v>23</v>
      </c>
      <c r="F2769" t="s">
        <v>24</v>
      </c>
      <c r="G2769" t="s">
        <v>25</v>
      </c>
      <c r="H2769" t="s">
        <v>26</v>
      </c>
      <c r="I2769">
        <v>16473477</v>
      </c>
      <c r="J2769" t="s">
        <v>27</v>
      </c>
      <c r="K2769" t="s">
        <v>3799</v>
      </c>
      <c r="L2769" t="s">
        <v>21</v>
      </c>
    </row>
    <row r="2770" spans="1:12">
      <c r="A2770" t="s">
        <v>3801</v>
      </c>
      <c r="B2770" t="s">
        <v>3758</v>
      </c>
      <c r="C2770" t="s">
        <v>130</v>
      </c>
      <c r="D2770">
        <v>2002</v>
      </c>
      <c r="E2770" t="s">
        <v>29</v>
      </c>
      <c r="F2770" t="s">
        <v>30</v>
      </c>
      <c r="G2770" t="s">
        <v>31</v>
      </c>
      <c r="H2770" t="s">
        <v>32</v>
      </c>
      <c r="I2770">
        <v>894.63708220000001</v>
      </c>
      <c r="J2770" t="s">
        <v>33</v>
      </c>
      <c r="K2770" t="s">
        <v>3799</v>
      </c>
      <c r="L2770" t="s">
        <v>21</v>
      </c>
    </row>
    <row r="2771" spans="1:12">
      <c r="A2771" t="s">
        <v>3802</v>
      </c>
      <c r="B2771" t="s">
        <v>3758</v>
      </c>
      <c r="C2771" t="s">
        <v>130</v>
      </c>
      <c r="D2771">
        <v>2007</v>
      </c>
      <c r="E2771" t="s">
        <v>15</v>
      </c>
      <c r="F2771" t="s">
        <v>16</v>
      </c>
      <c r="G2771" t="s">
        <v>17</v>
      </c>
      <c r="H2771" t="s">
        <v>18</v>
      </c>
      <c r="I2771">
        <v>59.442999999999998</v>
      </c>
      <c r="J2771" t="s">
        <v>19</v>
      </c>
      <c r="K2771" t="s">
        <v>3803</v>
      </c>
      <c r="L2771" t="s">
        <v>21</v>
      </c>
    </row>
    <row r="2772" spans="1:12">
      <c r="A2772" t="s">
        <v>3804</v>
      </c>
      <c r="B2772" t="s">
        <v>3758</v>
      </c>
      <c r="C2772" t="s">
        <v>130</v>
      </c>
      <c r="D2772">
        <v>2007</v>
      </c>
      <c r="E2772" t="s">
        <v>23</v>
      </c>
      <c r="F2772" t="s">
        <v>24</v>
      </c>
      <c r="G2772" t="s">
        <v>25</v>
      </c>
      <c r="H2772" t="s">
        <v>26</v>
      </c>
      <c r="I2772">
        <v>19167654</v>
      </c>
      <c r="J2772" t="s">
        <v>27</v>
      </c>
      <c r="K2772" t="s">
        <v>3803</v>
      </c>
      <c r="L2772" t="s">
        <v>21</v>
      </c>
    </row>
    <row r="2773" spans="1:12">
      <c r="A2773" t="s">
        <v>3805</v>
      </c>
      <c r="B2773" t="s">
        <v>3758</v>
      </c>
      <c r="C2773" t="s">
        <v>130</v>
      </c>
      <c r="D2773">
        <v>2007</v>
      </c>
      <c r="E2773" t="s">
        <v>29</v>
      </c>
      <c r="F2773" t="s">
        <v>30</v>
      </c>
      <c r="G2773" t="s">
        <v>31</v>
      </c>
      <c r="H2773" t="s">
        <v>32</v>
      </c>
      <c r="I2773">
        <v>1044.7701259999999</v>
      </c>
      <c r="J2773" t="s">
        <v>33</v>
      </c>
      <c r="K2773" t="s">
        <v>3803</v>
      </c>
      <c r="L2773" t="s">
        <v>21</v>
      </c>
    </row>
    <row r="2774" spans="1:12">
      <c r="A2774" t="s">
        <v>3806</v>
      </c>
      <c r="B2774" t="s">
        <v>3807</v>
      </c>
      <c r="C2774" t="s">
        <v>130</v>
      </c>
      <c r="D2774">
        <v>1952</v>
      </c>
      <c r="E2774" t="s">
        <v>15</v>
      </c>
      <c r="F2774" t="s">
        <v>16</v>
      </c>
      <c r="G2774" t="s">
        <v>17</v>
      </c>
      <c r="H2774" t="s">
        <v>18</v>
      </c>
      <c r="I2774">
        <v>36.256</v>
      </c>
      <c r="J2774" t="s">
        <v>19</v>
      </c>
      <c r="K2774" t="s">
        <v>3808</v>
      </c>
      <c r="L2774" t="s">
        <v>21</v>
      </c>
    </row>
    <row r="2775" spans="1:12">
      <c r="A2775" t="s">
        <v>3809</v>
      </c>
      <c r="B2775" t="s">
        <v>3807</v>
      </c>
      <c r="C2775" t="s">
        <v>130</v>
      </c>
      <c r="D2775">
        <v>1952</v>
      </c>
      <c r="E2775" t="s">
        <v>23</v>
      </c>
      <c r="F2775" t="s">
        <v>24</v>
      </c>
      <c r="G2775" t="s">
        <v>25</v>
      </c>
      <c r="H2775" t="s">
        <v>26</v>
      </c>
      <c r="I2775">
        <v>2917802</v>
      </c>
      <c r="J2775" t="s">
        <v>27</v>
      </c>
      <c r="K2775" t="s">
        <v>3808</v>
      </c>
      <c r="L2775" t="s">
        <v>21</v>
      </c>
    </row>
    <row r="2776" spans="1:12">
      <c r="A2776" t="s">
        <v>3810</v>
      </c>
      <c r="B2776" t="s">
        <v>3807</v>
      </c>
      <c r="C2776" t="s">
        <v>130</v>
      </c>
      <c r="D2776">
        <v>1952</v>
      </c>
      <c r="E2776" t="s">
        <v>29</v>
      </c>
      <c r="F2776" t="s">
        <v>30</v>
      </c>
      <c r="G2776" t="s">
        <v>31</v>
      </c>
      <c r="H2776" t="s">
        <v>32</v>
      </c>
      <c r="I2776">
        <v>369.16508019999998</v>
      </c>
      <c r="J2776" t="s">
        <v>33</v>
      </c>
      <c r="K2776" t="s">
        <v>3808</v>
      </c>
      <c r="L2776" t="s">
        <v>21</v>
      </c>
    </row>
    <row r="2777" spans="1:12">
      <c r="A2777" t="s">
        <v>3811</v>
      </c>
      <c r="B2777" t="s">
        <v>3807</v>
      </c>
      <c r="C2777" t="s">
        <v>130</v>
      </c>
      <c r="D2777">
        <v>1957</v>
      </c>
      <c r="E2777" t="s">
        <v>15</v>
      </c>
      <c r="F2777" t="s">
        <v>16</v>
      </c>
      <c r="G2777" t="s">
        <v>17</v>
      </c>
      <c r="H2777" t="s">
        <v>18</v>
      </c>
      <c r="I2777">
        <v>37.207000000000001</v>
      </c>
      <c r="J2777" t="s">
        <v>19</v>
      </c>
      <c r="K2777" t="s">
        <v>3812</v>
      </c>
      <c r="L2777" t="s">
        <v>21</v>
      </c>
    </row>
    <row r="2778" spans="1:12">
      <c r="A2778" t="s">
        <v>3813</v>
      </c>
      <c r="B2778" t="s">
        <v>3807</v>
      </c>
      <c r="C2778" t="s">
        <v>130</v>
      </c>
      <c r="D2778">
        <v>1957</v>
      </c>
      <c r="E2778" t="s">
        <v>23</v>
      </c>
      <c r="F2778" t="s">
        <v>24</v>
      </c>
      <c r="G2778" t="s">
        <v>25</v>
      </c>
      <c r="H2778" t="s">
        <v>26</v>
      </c>
      <c r="I2778">
        <v>3221238</v>
      </c>
      <c r="J2778" t="s">
        <v>27</v>
      </c>
      <c r="K2778" t="s">
        <v>3812</v>
      </c>
      <c r="L2778" t="s">
        <v>21</v>
      </c>
    </row>
    <row r="2779" spans="1:12">
      <c r="A2779" t="s">
        <v>3814</v>
      </c>
      <c r="B2779" t="s">
        <v>3807</v>
      </c>
      <c r="C2779" t="s">
        <v>130</v>
      </c>
      <c r="D2779">
        <v>1957</v>
      </c>
      <c r="E2779" t="s">
        <v>29</v>
      </c>
      <c r="F2779" t="s">
        <v>30</v>
      </c>
      <c r="G2779" t="s">
        <v>31</v>
      </c>
      <c r="H2779" t="s">
        <v>32</v>
      </c>
      <c r="I2779">
        <v>416.36980640000002</v>
      </c>
      <c r="J2779" t="s">
        <v>33</v>
      </c>
      <c r="K2779" t="s">
        <v>3812</v>
      </c>
      <c r="L2779" t="s">
        <v>21</v>
      </c>
    </row>
    <row r="2780" spans="1:12">
      <c r="A2780" t="s">
        <v>3815</v>
      </c>
      <c r="B2780" t="s">
        <v>3807</v>
      </c>
      <c r="C2780" t="s">
        <v>130</v>
      </c>
      <c r="D2780">
        <v>1962</v>
      </c>
      <c r="E2780" t="s">
        <v>15</v>
      </c>
      <c r="F2780" t="s">
        <v>16</v>
      </c>
      <c r="G2780" t="s">
        <v>17</v>
      </c>
      <c r="H2780" t="s">
        <v>18</v>
      </c>
      <c r="I2780">
        <v>38.409999999999997</v>
      </c>
      <c r="J2780" t="s">
        <v>19</v>
      </c>
      <c r="K2780" t="s">
        <v>3816</v>
      </c>
      <c r="L2780" t="s">
        <v>21</v>
      </c>
    </row>
    <row r="2781" spans="1:12">
      <c r="A2781" t="s">
        <v>3817</v>
      </c>
      <c r="B2781" t="s">
        <v>3807</v>
      </c>
      <c r="C2781" t="s">
        <v>130</v>
      </c>
      <c r="D2781">
        <v>1962</v>
      </c>
      <c r="E2781" t="s">
        <v>23</v>
      </c>
      <c r="F2781" t="s">
        <v>24</v>
      </c>
      <c r="G2781" t="s">
        <v>25</v>
      </c>
      <c r="H2781" t="s">
        <v>26</v>
      </c>
      <c r="I2781">
        <v>3628608</v>
      </c>
      <c r="J2781" t="s">
        <v>27</v>
      </c>
      <c r="K2781" t="s">
        <v>3816</v>
      </c>
      <c r="L2781" t="s">
        <v>21</v>
      </c>
    </row>
    <row r="2782" spans="1:12">
      <c r="A2782" t="s">
        <v>3818</v>
      </c>
      <c r="B2782" t="s">
        <v>3807</v>
      </c>
      <c r="C2782" t="s">
        <v>130</v>
      </c>
      <c r="D2782">
        <v>1962</v>
      </c>
      <c r="E2782" t="s">
        <v>29</v>
      </c>
      <c r="F2782" t="s">
        <v>30</v>
      </c>
      <c r="G2782" t="s">
        <v>31</v>
      </c>
      <c r="H2782" t="s">
        <v>32</v>
      </c>
      <c r="I2782">
        <v>427.90108559999999</v>
      </c>
      <c r="J2782" t="s">
        <v>33</v>
      </c>
      <c r="K2782" t="s">
        <v>3816</v>
      </c>
      <c r="L2782" t="s">
        <v>21</v>
      </c>
    </row>
    <row r="2783" spans="1:12">
      <c r="A2783" t="s">
        <v>3819</v>
      </c>
      <c r="B2783" t="s">
        <v>3807</v>
      </c>
      <c r="C2783" t="s">
        <v>130</v>
      </c>
      <c r="D2783">
        <v>1967</v>
      </c>
      <c r="E2783" t="s">
        <v>15</v>
      </c>
      <c r="F2783" t="s">
        <v>16</v>
      </c>
      <c r="G2783" t="s">
        <v>17</v>
      </c>
      <c r="H2783" t="s">
        <v>18</v>
      </c>
      <c r="I2783">
        <v>39.487000000000002</v>
      </c>
      <c r="J2783" t="s">
        <v>19</v>
      </c>
      <c r="K2783" t="s">
        <v>3820</v>
      </c>
      <c r="L2783" t="s">
        <v>21</v>
      </c>
    </row>
    <row r="2784" spans="1:12">
      <c r="A2784" t="s">
        <v>3821</v>
      </c>
      <c r="B2784" t="s">
        <v>3807</v>
      </c>
      <c r="C2784" t="s">
        <v>130</v>
      </c>
      <c r="D2784">
        <v>1967</v>
      </c>
      <c r="E2784" t="s">
        <v>23</v>
      </c>
      <c r="F2784" t="s">
        <v>24</v>
      </c>
      <c r="G2784" t="s">
        <v>25</v>
      </c>
      <c r="H2784" t="s">
        <v>26</v>
      </c>
      <c r="I2784">
        <v>4147252</v>
      </c>
      <c r="J2784" t="s">
        <v>27</v>
      </c>
      <c r="K2784" t="s">
        <v>3820</v>
      </c>
      <c r="L2784" t="s">
        <v>21</v>
      </c>
    </row>
    <row r="2785" spans="1:12">
      <c r="A2785" t="s">
        <v>3822</v>
      </c>
      <c r="B2785" t="s">
        <v>3807</v>
      </c>
      <c r="C2785" t="s">
        <v>130</v>
      </c>
      <c r="D2785">
        <v>1967</v>
      </c>
      <c r="E2785" t="s">
        <v>29</v>
      </c>
      <c r="F2785" t="s">
        <v>30</v>
      </c>
      <c r="G2785" t="s">
        <v>31</v>
      </c>
      <c r="H2785" t="s">
        <v>32</v>
      </c>
      <c r="I2785">
        <v>495.51478059999999</v>
      </c>
      <c r="J2785" t="s">
        <v>33</v>
      </c>
      <c r="K2785" t="s">
        <v>3820</v>
      </c>
      <c r="L2785" t="s">
        <v>21</v>
      </c>
    </row>
    <row r="2786" spans="1:12">
      <c r="A2786" t="s">
        <v>3823</v>
      </c>
      <c r="B2786" t="s">
        <v>3807</v>
      </c>
      <c r="C2786" t="s">
        <v>130</v>
      </c>
      <c r="D2786">
        <v>1972</v>
      </c>
      <c r="E2786" t="s">
        <v>15</v>
      </c>
      <c r="F2786" t="s">
        <v>16</v>
      </c>
      <c r="G2786" t="s">
        <v>17</v>
      </c>
      <c r="H2786" t="s">
        <v>18</v>
      </c>
      <c r="I2786">
        <v>41.765999999999998</v>
      </c>
      <c r="J2786" t="s">
        <v>19</v>
      </c>
      <c r="K2786" t="s">
        <v>3824</v>
      </c>
      <c r="L2786" t="s">
        <v>21</v>
      </c>
    </row>
    <row r="2787" spans="1:12">
      <c r="A2787" t="s">
        <v>3825</v>
      </c>
      <c r="B2787" t="s">
        <v>3807</v>
      </c>
      <c r="C2787" t="s">
        <v>130</v>
      </c>
      <c r="D2787">
        <v>1972</v>
      </c>
      <c r="E2787" t="s">
        <v>23</v>
      </c>
      <c r="F2787" t="s">
        <v>24</v>
      </c>
      <c r="G2787" t="s">
        <v>25</v>
      </c>
      <c r="H2787" t="s">
        <v>26</v>
      </c>
      <c r="I2787">
        <v>4730997</v>
      </c>
      <c r="J2787" t="s">
        <v>27</v>
      </c>
      <c r="K2787" t="s">
        <v>3824</v>
      </c>
      <c r="L2787" t="s">
        <v>21</v>
      </c>
    </row>
    <row r="2788" spans="1:12">
      <c r="A2788" t="s">
        <v>3826</v>
      </c>
      <c r="B2788" t="s">
        <v>3807</v>
      </c>
      <c r="C2788" t="s">
        <v>130</v>
      </c>
      <c r="D2788">
        <v>1972</v>
      </c>
      <c r="E2788" t="s">
        <v>29</v>
      </c>
      <c r="F2788" t="s">
        <v>30</v>
      </c>
      <c r="G2788" t="s">
        <v>31</v>
      </c>
      <c r="H2788" t="s">
        <v>32</v>
      </c>
      <c r="I2788">
        <v>584.62197089999995</v>
      </c>
      <c r="J2788" t="s">
        <v>33</v>
      </c>
      <c r="K2788" t="s">
        <v>3824</v>
      </c>
      <c r="L2788" t="s">
        <v>21</v>
      </c>
    </row>
    <row r="2789" spans="1:12">
      <c r="A2789" t="s">
        <v>3827</v>
      </c>
      <c r="B2789" t="s">
        <v>3807</v>
      </c>
      <c r="C2789" t="s">
        <v>130</v>
      </c>
      <c r="D2789">
        <v>1977</v>
      </c>
      <c r="E2789" t="s">
        <v>15</v>
      </c>
      <c r="F2789" t="s">
        <v>16</v>
      </c>
      <c r="G2789" t="s">
        <v>17</v>
      </c>
      <c r="H2789" t="s">
        <v>18</v>
      </c>
      <c r="I2789">
        <v>43.767000000000003</v>
      </c>
      <c r="J2789" t="s">
        <v>19</v>
      </c>
      <c r="K2789" t="s">
        <v>3828</v>
      </c>
      <c r="L2789" t="s">
        <v>21</v>
      </c>
    </row>
    <row r="2790" spans="1:12">
      <c r="A2790" t="s">
        <v>3829</v>
      </c>
      <c r="B2790" t="s">
        <v>3807</v>
      </c>
      <c r="C2790" t="s">
        <v>130</v>
      </c>
      <c r="D2790">
        <v>1977</v>
      </c>
      <c r="E2790" t="s">
        <v>23</v>
      </c>
      <c r="F2790" t="s">
        <v>24</v>
      </c>
      <c r="G2790" t="s">
        <v>25</v>
      </c>
      <c r="H2790" t="s">
        <v>26</v>
      </c>
      <c r="I2790">
        <v>5637246</v>
      </c>
      <c r="J2790" t="s">
        <v>27</v>
      </c>
      <c r="K2790" t="s">
        <v>3828</v>
      </c>
      <c r="L2790" t="s">
        <v>21</v>
      </c>
    </row>
    <row r="2791" spans="1:12">
      <c r="A2791" t="s">
        <v>3830</v>
      </c>
      <c r="B2791" t="s">
        <v>3807</v>
      </c>
      <c r="C2791" t="s">
        <v>130</v>
      </c>
      <c r="D2791">
        <v>1977</v>
      </c>
      <c r="E2791" t="s">
        <v>29</v>
      </c>
      <c r="F2791" t="s">
        <v>30</v>
      </c>
      <c r="G2791" t="s">
        <v>31</v>
      </c>
      <c r="H2791" t="s">
        <v>32</v>
      </c>
      <c r="I2791">
        <v>663.22367659999998</v>
      </c>
      <c r="J2791" t="s">
        <v>33</v>
      </c>
      <c r="K2791" t="s">
        <v>3828</v>
      </c>
      <c r="L2791" t="s">
        <v>21</v>
      </c>
    </row>
    <row r="2792" spans="1:12">
      <c r="A2792" t="s">
        <v>3831</v>
      </c>
      <c r="B2792" t="s">
        <v>3807</v>
      </c>
      <c r="C2792" t="s">
        <v>130</v>
      </c>
      <c r="D2792">
        <v>1982</v>
      </c>
      <c r="E2792" t="s">
        <v>15</v>
      </c>
      <c r="F2792" t="s">
        <v>16</v>
      </c>
      <c r="G2792" t="s">
        <v>17</v>
      </c>
      <c r="H2792" t="s">
        <v>18</v>
      </c>
      <c r="I2792">
        <v>45.642000000000003</v>
      </c>
      <c r="J2792" t="s">
        <v>19</v>
      </c>
      <c r="K2792" t="s">
        <v>3832</v>
      </c>
      <c r="L2792" t="s">
        <v>21</v>
      </c>
    </row>
    <row r="2793" spans="1:12">
      <c r="A2793" t="s">
        <v>3833</v>
      </c>
      <c r="B2793" t="s">
        <v>3807</v>
      </c>
      <c r="C2793" t="s">
        <v>130</v>
      </c>
      <c r="D2793">
        <v>1982</v>
      </c>
      <c r="E2793" t="s">
        <v>23</v>
      </c>
      <c r="F2793" t="s">
        <v>24</v>
      </c>
      <c r="G2793" t="s">
        <v>25</v>
      </c>
      <c r="H2793" t="s">
        <v>26</v>
      </c>
      <c r="I2793">
        <v>6502825</v>
      </c>
      <c r="J2793" t="s">
        <v>27</v>
      </c>
      <c r="K2793" t="s">
        <v>3832</v>
      </c>
      <c r="L2793" t="s">
        <v>21</v>
      </c>
    </row>
    <row r="2794" spans="1:12">
      <c r="A2794" t="s">
        <v>3834</v>
      </c>
      <c r="B2794" t="s">
        <v>3807</v>
      </c>
      <c r="C2794" t="s">
        <v>130</v>
      </c>
      <c r="D2794">
        <v>1982</v>
      </c>
      <c r="E2794" t="s">
        <v>29</v>
      </c>
      <c r="F2794" t="s">
        <v>30</v>
      </c>
      <c r="G2794" t="s">
        <v>31</v>
      </c>
      <c r="H2794" t="s">
        <v>32</v>
      </c>
      <c r="I2794">
        <v>632.80392089999998</v>
      </c>
      <c r="J2794" t="s">
        <v>33</v>
      </c>
      <c r="K2794" t="s">
        <v>3832</v>
      </c>
      <c r="L2794" t="s">
        <v>21</v>
      </c>
    </row>
    <row r="2795" spans="1:12">
      <c r="A2795" t="s">
        <v>3835</v>
      </c>
      <c r="B2795" t="s">
        <v>3807</v>
      </c>
      <c r="C2795" t="s">
        <v>130</v>
      </c>
      <c r="D2795">
        <v>1987</v>
      </c>
      <c r="E2795" t="s">
        <v>15</v>
      </c>
      <c r="F2795" t="s">
        <v>16</v>
      </c>
      <c r="G2795" t="s">
        <v>17</v>
      </c>
      <c r="H2795" t="s">
        <v>18</v>
      </c>
      <c r="I2795">
        <v>47.457000000000001</v>
      </c>
      <c r="J2795" t="s">
        <v>19</v>
      </c>
      <c r="K2795" t="s">
        <v>3836</v>
      </c>
      <c r="L2795" t="s">
        <v>21</v>
      </c>
    </row>
    <row r="2796" spans="1:12">
      <c r="A2796" t="s">
        <v>3837</v>
      </c>
      <c r="B2796" t="s">
        <v>3807</v>
      </c>
      <c r="C2796" t="s">
        <v>130</v>
      </c>
      <c r="D2796">
        <v>1987</v>
      </c>
      <c r="E2796" t="s">
        <v>23</v>
      </c>
      <c r="F2796" t="s">
        <v>24</v>
      </c>
      <c r="G2796" t="s">
        <v>25</v>
      </c>
      <c r="H2796" t="s">
        <v>26</v>
      </c>
      <c r="I2796">
        <v>7824747</v>
      </c>
      <c r="J2796" t="s">
        <v>27</v>
      </c>
      <c r="K2796" t="s">
        <v>3836</v>
      </c>
      <c r="L2796" t="s">
        <v>21</v>
      </c>
    </row>
    <row r="2797" spans="1:12">
      <c r="A2797" t="s">
        <v>3838</v>
      </c>
      <c r="B2797" t="s">
        <v>3807</v>
      </c>
      <c r="C2797" t="s">
        <v>130</v>
      </c>
      <c r="D2797">
        <v>1987</v>
      </c>
      <c r="E2797" t="s">
        <v>29</v>
      </c>
      <c r="F2797" t="s">
        <v>30</v>
      </c>
      <c r="G2797" t="s">
        <v>31</v>
      </c>
      <c r="H2797" t="s">
        <v>32</v>
      </c>
      <c r="I2797">
        <v>635.517363399999</v>
      </c>
      <c r="J2797" t="s">
        <v>33</v>
      </c>
      <c r="K2797" t="s">
        <v>3836</v>
      </c>
      <c r="L2797" t="s">
        <v>21</v>
      </c>
    </row>
    <row r="2798" spans="1:12">
      <c r="A2798" t="s">
        <v>3839</v>
      </c>
      <c r="B2798" t="s">
        <v>3807</v>
      </c>
      <c r="C2798" t="s">
        <v>130</v>
      </c>
      <c r="D2798">
        <v>1992</v>
      </c>
      <c r="E2798" t="s">
        <v>15</v>
      </c>
      <c r="F2798" t="s">
        <v>16</v>
      </c>
      <c r="G2798" t="s">
        <v>17</v>
      </c>
      <c r="H2798" t="s">
        <v>18</v>
      </c>
      <c r="I2798">
        <v>49.42</v>
      </c>
      <c r="J2798" t="s">
        <v>19</v>
      </c>
      <c r="K2798" t="s">
        <v>3840</v>
      </c>
      <c r="L2798" t="s">
        <v>21</v>
      </c>
    </row>
    <row r="2799" spans="1:12">
      <c r="A2799" t="s">
        <v>3841</v>
      </c>
      <c r="B2799" t="s">
        <v>3807</v>
      </c>
      <c r="C2799" t="s">
        <v>130</v>
      </c>
      <c r="D2799">
        <v>1992</v>
      </c>
      <c r="E2799" t="s">
        <v>23</v>
      </c>
      <c r="F2799" t="s">
        <v>24</v>
      </c>
      <c r="G2799" t="s">
        <v>25</v>
      </c>
      <c r="H2799" t="s">
        <v>26</v>
      </c>
      <c r="I2799">
        <v>10014249</v>
      </c>
      <c r="J2799" t="s">
        <v>27</v>
      </c>
      <c r="K2799" t="s">
        <v>3840</v>
      </c>
      <c r="L2799" t="s">
        <v>21</v>
      </c>
    </row>
    <row r="2800" spans="1:12">
      <c r="A2800" t="s">
        <v>3842</v>
      </c>
      <c r="B2800" t="s">
        <v>3807</v>
      </c>
      <c r="C2800" t="s">
        <v>130</v>
      </c>
      <c r="D2800">
        <v>1992</v>
      </c>
      <c r="E2800" t="s">
        <v>29</v>
      </c>
      <c r="F2800" t="s">
        <v>30</v>
      </c>
      <c r="G2800" t="s">
        <v>31</v>
      </c>
      <c r="H2800" t="s">
        <v>32</v>
      </c>
      <c r="I2800">
        <v>563.20001449999995</v>
      </c>
      <c r="J2800" t="s">
        <v>33</v>
      </c>
      <c r="K2800" t="s">
        <v>3840</v>
      </c>
      <c r="L2800" t="s">
        <v>21</v>
      </c>
    </row>
    <row r="2801" spans="1:12">
      <c r="A2801" t="s">
        <v>3843</v>
      </c>
      <c r="B2801" t="s">
        <v>3807</v>
      </c>
      <c r="C2801" t="s">
        <v>130</v>
      </c>
      <c r="D2801">
        <v>1997</v>
      </c>
      <c r="E2801" t="s">
        <v>15</v>
      </c>
      <c r="F2801" t="s">
        <v>16</v>
      </c>
      <c r="G2801" t="s">
        <v>17</v>
      </c>
      <c r="H2801" t="s">
        <v>18</v>
      </c>
      <c r="I2801">
        <v>47.494999999999997</v>
      </c>
      <c r="J2801" t="s">
        <v>19</v>
      </c>
      <c r="K2801" t="s">
        <v>3844</v>
      </c>
      <c r="L2801" t="s">
        <v>21</v>
      </c>
    </row>
    <row r="2802" spans="1:12">
      <c r="A2802" t="s">
        <v>3845</v>
      </c>
      <c r="B2802" t="s">
        <v>3807</v>
      </c>
      <c r="C2802" t="s">
        <v>130</v>
      </c>
      <c r="D2802">
        <v>1997</v>
      </c>
      <c r="E2802" t="s">
        <v>23</v>
      </c>
      <c r="F2802" t="s">
        <v>24</v>
      </c>
      <c r="G2802" t="s">
        <v>25</v>
      </c>
      <c r="H2802" t="s">
        <v>26</v>
      </c>
      <c r="I2802">
        <v>10419991</v>
      </c>
      <c r="J2802" t="s">
        <v>27</v>
      </c>
      <c r="K2802" t="s">
        <v>3844</v>
      </c>
      <c r="L2802" t="s">
        <v>21</v>
      </c>
    </row>
    <row r="2803" spans="1:12">
      <c r="A2803" t="s">
        <v>3846</v>
      </c>
      <c r="B2803" t="s">
        <v>3807</v>
      </c>
      <c r="C2803" t="s">
        <v>130</v>
      </c>
      <c r="D2803">
        <v>1997</v>
      </c>
      <c r="E2803" t="s">
        <v>29</v>
      </c>
      <c r="F2803" t="s">
        <v>30</v>
      </c>
      <c r="G2803" t="s">
        <v>31</v>
      </c>
      <c r="H2803" t="s">
        <v>32</v>
      </c>
      <c r="I2803">
        <v>692.27581029999897</v>
      </c>
      <c r="J2803" t="s">
        <v>33</v>
      </c>
      <c r="K2803" t="s">
        <v>3844</v>
      </c>
      <c r="L2803" t="s">
        <v>21</v>
      </c>
    </row>
    <row r="2804" spans="1:12">
      <c r="A2804" t="s">
        <v>3847</v>
      </c>
      <c r="B2804" t="s">
        <v>3807</v>
      </c>
      <c r="C2804" t="s">
        <v>130</v>
      </c>
      <c r="D2804">
        <v>2002</v>
      </c>
      <c r="E2804" t="s">
        <v>15</v>
      </c>
      <c r="F2804" t="s">
        <v>16</v>
      </c>
      <c r="G2804" t="s">
        <v>17</v>
      </c>
      <c r="H2804" t="s">
        <v>18</v>
      </c>
      <c r="I2804">
        <v>45.008999999999901</v>
      </c>
      <c r="J2804" t="s">
        <v>19</v>
      </c>
      <c r="K2804" t="s">
        <v>3848</v>
      </c>
      <c r="L2804" t="s">
        <v>21</v>
      </c>
    </row>
    <row r="2805" spans="1:12">
      <c r="A2805" t="s">
        <v>3849</v>
      </c>
      <c r="B2805" t="s">
        <v>3807</v>
      </c>
      <c r="C2805" t="s">
        <v>130</v>
      </c>
      <c r="D2805">
        <v>2002</v>
      </c>
      <c r="E2805" t="s">
        <v>23</v>
      </c>
      <c r="F2805" t="s">
        <v>24</v>
      </c>
      <c r="G2805" t="s">
        <v>25</v>
      </c>
      <c r="H2805" t="s">
        <v>26</v>
      </c>
      <c r="I2805">
        <v>11824495</v>
      </c>
      <c r="J2805" t="s">
        <v>27</v>
      </c>
      <c r="K2805" t="s">
        <v>3848</v>
      </c>
      <c r="L2805" t="s">
        <v>21</v>
      </c>
    </row>
    <row r="2806" spans="1:12">
      <c r="A2806" t="s">
        <v>3850</v>
      </c>
      <c r="B2806" t="s">
        <v>3807</v>
      </c>
      <c r="C2806" t="s">
        <v>130</v>
      </c>
      <c r="D2806">
        <v>2002</v>
      </c>
      <c r="E2806" t="s">
        <v>29</v>
      </c>
      <c r="F2806" t="s">
        <v>30</v>
      </c>
      <c r="G2806" t="s">
        <v>31</v>
      </c>
      <c r="H2806" t="s">
        <v>32</v>
      </c>
      <c r="I2806">
        <v>665.42311859999995</v>
      </c>
      <c r="J2806" t="s">
        <v>33</v>
      </c>
      <c r="K2806" t="s">
        <v>3848</v>
      </c>
      <c r="L2806" t="s">
        <v>21</v>
      </c>
    </row>
    <row r="2807" spans="1:12">
      <c r="A2807" t="s">
        <v>3851</v>
      </c>
      <c r="B2807" t="s">
        <v>3807</v>
      </c>
      <c r="C2807" t="s">
        <v>130</v>
      </c>
      <c r="D2807">
        <v>2007</v>
      </c>
      <c r="E2807" t="s">
        <v>15</v>
      </c>
      <c r="F2807" t="s">
        <v>16</v>
      </c>
      <c r="G2807" t="s">
        <v>17</v>
      </c>
      <c r="H2807" t="s">
        <v>18</v>
      </c>
      <c r="I2807">
        <v>48.302999999999997</v>
      </c>
      <c r="J2807" t="s">
        <v>19</v>
      </c>
      <c r="K2807" t="s">
        <v>3852</v>
      </c>
      <c r="L2807" t="s">
        <v>21</v>
      </c>
    </row>
    <row r="2808" spans="1:12">
      <c r="A2808" t="s">
        <v>3853</v>
      </c>
      <c r="B2808" t="s">
        <v>3807</v>
      </c>
      <c r="C2808" t="s">
        <v>130</v>
      </c>
      <c r="D2808">
        <v>2007</v>
      </c>
      <c r="E2808" t="s">
        <v>23</v>
      </c>
      <c r="F2808" t="s">
        <v>24</v>
      </c>
      <c r="G2808" t="s">
        <v>25</v>
      </c>
      <c r="H2808" t="s">
        <v>26</v>
      </c>
      <c r="I2808">
        <v>13327079</v>
      </c>
      <c r="J2808" t="s">
        <v>27</v>
      </c>
      <c r="K2808" t="s">
        <v>3852</v>
      </c>
      <c r="L2808" t="s">
        <v>21</v>
      </c>
    </row>
    <row r="2809" spans="1:12">
      <c r="A2809" t="s">
        <v>3854</v>
      </c>
      <c r="B2809" t="s">
        <v>3807</v>
      </c>
      <c r="C2809" t="s">
        <v>130</v>
      </c>
      <c r="D2809">
        <v>2007</v>
      </c>
      <c r="E2809" t="s">
        <v>29</v>
      </c>
      <c r="F2809" t="s">
        <v>30</v>
      </c>
      <c r="G2809" t="s">
        <v>31</v>
      </c>
      <c r="H2809" t="s">
        <v>32</v>
      </c>
      <c r="I2809">
        <v>759.34991009999999</v>
      </c>
      <c r="J2809" t="s">
        <v>33</v>
      </c>
      <c r="K2809" t="s">
        <v>3852</v>
      </c>
      <c r="L2809" t="s">
        <v>21</v>
      </c>
    </row>
    <row r="2810" spans="1:12">
      <c r="A2810" t="s">
        <v>3855</v>
      </c>
      <c r="B2810" t="s">
        <v>3856</v>
      </c>
      <c r="C2810" t="s">
        <v>14</v>
      </c>
      <c r="D2810">
        <v>1952</v>
      </c>
      <c r="E2810" t="s">
        <v>15</v>
      </c>
      <c r="F2810" t="s">
        <v>16</v>
      </c>
      <c r="G2810" t="s">
        <v>17</v>
      </c>
      <c r="H2810" t="s">
        <v>18</v>
      </c>
      <c r="I2810">
        <v>48.463000000000001</v>
      </c>
      <c r="J2810" t="s">
        <v>19</v>
      </c>
      <c r="K2810" t="s">
        <v>3857</v>
      </c>
      <c r="L2810" t="s">
        <v>21</v>
      </c>
    </row>
    <row r="2811" spans="1:12">
      <c r="A2811" t="s">
        <v>3858</v>
      </c>
      <c r="B2811" t="s">
        <v>3856</v>
      </c>
      <c r="C2811" t="s">
        <v>14</v>
      </c>
      <c r="D2811">
        <v>1952</v>
      </c>
      <c r="E2811" t="s">
        <v>23</v>
      </c>
      <c r="F2811" t="s">
        <v>24</v>
      </c>
      <c r="G2811" t="s">
        <v>25</v>
      </c>
      <c r="H2811" t="s">
        <v>26</v>
      </c>
      <c r="I2811">
        <v>6748378</v>
      </c>
      <c r="J2811" t="s">
        <v>27</v>
      </c>
      <c r="K2811" t="s">
        <v>3857</v>
      </c>
      <c r="L2811" t="s">
        <v>21</v>
      </c>
    </row>
    <row r="2812" spans="1:12">
      <c r="A2812" t="s">
        <v>3859</v>
      </c>
      <c r="B2812" t="s">
        <v>3856</v>
      </c>
      <c r="C2812" t="s">
        <v>14</v>
      </c>
      <c r="D2812">
        <v>1952</v>
      </c>
      <c r="E2812" t="s">
        <v>29</v>
      </c>
      <c r="F2812" t="s">
        <v>30</v>
      </c>
      <c r="G2812" t="s">
        <v>31</v>
      </c>
      <c r="H2812" t="s">
        <v>32</v>
      </c>
      <c r="I2812">
        <v>1831.1328940000001</v>
      </c>
      <c r="J2812" t="s">
        <v>33</v>
      </c>
      <c r="K2812" t="s">
        <v>3857</v>
      </c>
      <c r="L2812" t="s">
        <v>21</v>
      </c>
    </row>
    <row r="2813" spans="1:12">
      <c r="A2813" t="s">
        <v>3860</v>
      </c>
      <c r="B2813" t="s">
        <v>3856</v>
      </c>
      <c r="C2813" t="s">
        <v>14</v>
      </c>
      <c r="D2813">
        <v>1957</v>
      </c>
      <c r="E2813" t="s">
        <v>15</v>
      </c>
      <c r="F2813" t="s">
        <v>16</v>
      </c>
      <c r="G2813" t="s">
        <v>17</v>
      </c>
      <c r="H2813" t="s">
        <v>18</v>
      </c>
      <c r="I2813">
        <v>52.101999999999997</v>
      </c>
      <c r="J2813" t="s">
        <v>19</v>
      </c>
      <c r="K2813" t="s">
        <v>3861</v>
      </c>
      <c r="L2813" t="s">
        <v>21</v>
      </c>
    </row>
    <row r="2814" spans="1:12">
      <c r="A2814" t="s">
        <v>3862</v>
      </c>
      <c r="B2814" t="s">
        <v>3856</v>
      </c>
      <c r="C2814" t="s">
        <v>14</v>
      </c>
      <c r="D2814">
        <v>1957</v>
      </c>
      <c r="E2814" t="s">
        <v>23</v>
      </c>
      <c r="F2814" t="s">
        <v>24</v>
      </c>
      <c r="G2814" t="s">
        <v>25</v>
      </c>
      <c r="H2814" t="s">
        <v>26</v>
      </c>
      <c r="I2814">
        <v>7739235</v>
      </c>
      <c r="J2814" t="s">
        <v>27</v>
      </c>
      <c r="K2814" t="s">
        <v>3861</v>
      </c>
      <c r="L2814" t="s">
        <v>21</v>
      </c>
    </row>
    <row r="2815" spans="1:12">
      <c r="A2815" t="s">
        <v>3863</v>
      </c>
      <c r="B2815" t="s">
        <v>3856</v>
      </c>
      <c r="C2815" t="s">
        <v>14</v>
      </c>
      <c r="D2815">
        <v>1957</v>
      </c>
      <c r="E2815" t="s">
        <v>29</v>
      </c>
      <c r="F2815" t="s">
        <v>30</v>
      </c>
      <c r="G2815" t="s">
        <v>31</v>
      </c>
      <c r="H2815" t="s">
        <v>32</v>
      </c>
      <c r="I2815">
        <v>1810.066992</v>
      </c>
      <c r="J2815" t="s">
        <v>33</v>
      </c>
      <c r="K2815" t="s">
        <v>3861</v>
      </c>
      <c r="L2815" t="s">
        <v>21</v>
      </c>
    </row>
    <row r="2816" spans="1:12">
      <c r="A2816" t="s">
        <v>3864</v>
      </c>
      <c r="B2816" t="s">
        <v>3856</v>
      </c>
      <c r="C2816" t="s">
        <v>14</v>
      </c>
      <c r="D2816">
        <v>1962</v>
      </c>
      <c r="E2816" t="s">
        <v>15</v>
      </c>
      <c r="F2816" t="s">
        <v>16</v>
      </c>
      <c r="G2816" t="s">
        <v>17</v>
      </c>
      <c r="H2816" t="s">
        <v>18</v>
      </c>
      <c r="I2816">
        <v>55.737000000000002</v>
      </c>
      <c r="J2816" t="s">
        <v>19</v>
      </c>
      <c r="K2816" t="s">
        <v>3865</v>
      </c>
      <c r="L2816" t="s">
        <v>21</v>
      </c>
    </row>
    <row r="2817" spans="1:12">
      <c r="A2817" t="s">
        <v>3866</v>
      </c>
      <c r="B2817" t="s">
        <v>3856</v>
      </c>
      <c r="C2817" t="s">
        <v>14</v>
      </c>
      <c r="D2817">
        <v>1962</v>
      </c>
      <c r="E2817" t="s">
        <v>23</v>
      </c>
      <c r="F2817" t="s">
        <v>24</v>
      </c>
      <c r="G2817" t="s">
        <v>25</v>
      </c>
      <c r="H2817" t="s">
        <v>26</v>
      </c>
      <c r="I2817">
        <v>8906385</v>
      </c>
      <c r="J2817" t="s">
        <v>27</v>
      </c>
      <c r="K2817" t="s">
        <v>3865</v>
      </c>
      <c r="L2817" t="s">
        <v>21</v>
      </c>
    </row>
    <row r="2818" spans="1:12">
      <c r="A2818" t="s">
        <v>3867</v>
      </c>
      <c r="B2818" t="s">
        <v>3856</v>
      </c>
      <c r="C2818" t="s">
        <v>14</v>
      </c>
      <c r="D2818">
        <v>1962</v>
      </c>
      <c r="E2818" t="s">
        <v>29</v>
      </c>
      <c r="F2818" t="s">
        <v>30</v>
      </c>
      <c r="G2818" t="s">
        <v>31</v>
      </c>
      <c r="H2818" t="s">
        <v>32</v>
      </c>
      <c r="I2818">
        <v>2036.8849439999999</v>
      </c>
      <c r="J2818" t="s">
        <v>33</v>
      </c>
      <c r="K2818" t="s">
        <v>3865</v>
      </c>
      <c r="L2818" t="s">
        <v>21</v>
      </c>
    </row>
    <row r="2819" spans="1:12">
      <c r="A2819" t="s">
        <v>3868</v>
      </c>
      <c r="B2819" t="s">
        <v>3856</v>
      </c>
      <c r="C2819" t="s">
        <v>14</v>
      </c>
      <c r="D2819">
        <v>1967</v>
      </c>
      <c r="E2819" t="s">
        <v>15</v>
      </c>
      <c r="F2819" t="s">
        <v>16</v>
      </c>
      <c r="G2819" t="s">
        <v>17</v>
      </c>
      <c r="H2819" t="s">
        <v>18</v>
      </c>
      <c r="I2819">
        <v>59.371000000000002</v>
      </c>
      <c r="J2819" t="s">
        <v>19</v>
      </c>
      <c r="K2819" t="s">
        <v>3869</v>
      </c>
      <c r="L2819" t="s">
        <v>21</v>
      </c>
    </row>
    <row r="2820" spans="1:12">
      <c r="A2820" t="s">
        <v>3870</v>
      </c>
      <c r="B2820" t="s">
        <v>3856</v>
      </c>
      <c r="C2820" t="s">
        <v>14</v>
      </c>
      <c r="D2820">
        <v>1967</v>
      </c>
      <c r="E2820" t="s">
        <v>23</v>
      </c>
      <c r="F2820" t="s">
        <v>24</v>
      </c>
      <c r="G2820" t="s">
        <v>25</v>
      </c>
      <c r="H2820" t="s">
        <v>26</v>
      </c>
      <c r="I2820">
        <v>10154878</v>
      </c>
      <c r="J2820" t="s">
        <v>27</v>
      </c>
      <c r="K2820" t="s">
        <v>3869</v>
      </c>
      <c r="L2820" t="s">
        <v>21</v>
      </c>
    </row>
    <row r="2821" spans="1:12">
      <c r="A2821" t="s">
        <v>3871</v>
      </c>
      <c r="B2821" t="s">
        <v>3856</v>
      </c>
      <c r="C2821" t="s">
        <v>14</v>
      </c>
      <c r="D2821">
        <v>1967</v>
      </c>
      <c r="E2821" t="s">
        <v>29</v>
      </c>
      <c r="F2821" t="s">
        <v>30</v>
      </c>
      <c r="G2821" t="s">
        <v>31</v>
      </c>
      <c r="H2821" t="s">
        <v>32</v>
      </c>
      <c r="I2821">
        <v>2277.7423960000001</v>
      </c>
      <c r="J2821" t="s">
        <v>33</v>
      </c>
      <c r="K2821" t="s">
        <v>3869</v>
      </c>
      <c r="L2821" t="s">
        <v>21</v>
      </c>
    </row>
    <row r="2822" spans="1:12">
      <c r="A2822" t="s">
        <v>3872</v>
      </c>
      <c r="B2822" t="s">
        <v>3856</v>
      </c>
      <c r="C2822" t="s">
        <v>14</v>
      </c>
      <c r="D2822">
        <v>1972</v>
      </c>
      <c r="E2822" t="s">
        <v>15</v>
      </c>
      <c r="F2822" t="s">
        <v>16</v>
      </c>
      <c r="G2822" t="s">
        <v>17</v>
      </c>
      <c r="H2822" t="s">
        <v>18</v>
      </c>
      <c r="I2822">
        <v>63.01</v>
      </c>
      <c r="J2822" t="s">
        <v>19</v>
      </c>
      <c r="K2822" t="s">
        <v>3873</v>
      </c>
      <c r="L2822" t="s">
        <v>21</v>
      </c>
    </row>
    <row r="2823" spans="1:12">
      <c r="A2823" t="s">
        <v>3874</v>
      </c>
      <c r="B2823" t="s">
        <v>3856</v>
      </c>
      <c r="C2823" t="s">
        <v>14</v>
      </c>
      <c r="D2823">
        <v>1972</v>
      </c>
      <c r="E2823" t="s">
        <v>23</v>
      </c>
      <c r="F2823" t="s">
        <v>24</v>
      </c>
      <c r="G2823" t="s">
        <v>25</v>
      </c>
      <c r="H2823" t="s">
        <v>26</v>
      </c>
      <c r="I2823">
        <v>11441462</v>
      </c>
      <c r="J2823" t="s">
        <v>27</v>
      </c>
      <c r="K2823" t="s">
        <v>3873</v>
      </c>
      <c r="L2823" t="s">
        <v>21</v>
      </c>
    </row>
    <row r="2824" spans="1:12">
      <c r="A2824" t="s">
        <v>3875</v>
      </c>
      <c r="B2824" t="s">
        <v>3856</v>
      </c>
      <c r="C2824" t="s">
        <v>14</v>
      </c>
      <c r="D2824">
        <v>1972</v>
      </c>
      <c r="E2824" t="s">
        <v>29</v>
      </c>
      <c r="F2824" t="s">
        <v>30</v>
      </c>
      <c r="G2824" t="s">
        <v>31</v>
      </c>
      <c r="H2824" t="s">
        <v>32</v>
      </c>
      <c r="I2824">
        <v>2849.0947799999999</v>
      </c>
      <c r="J2824" t="s">
        <v>33</v>
      </c>
      <c r="K2824" t="s">
        <v>3873</v>
      </c>
      <c r="L2824" t="s">
        <v>21</v>
      </c>
    </row>
    <row r="2825" spans="1:12">
      <c r="A2825" t="s">
        <v>3876</v>
      </c>
      <c r="B2825" t="s">
        <v>3856</v>
      </c>
      <c r="C2825" t="s">
        <v>14</v>
      </c>
      <c r="D2825">
        <v>1977</v>
      </c>
      <c r="E2825" t="s">
        <v>15</v>
      </c>
      <c r="F2825" t="s">
        <v>16</v>
      </c>
      <c r="G2825" t="s">
        <v>17</v>
      </c>
      <c r="H2825" t="s">
        <v>18</v>
      </c>
      <c r="I2825">
        <v>65.256</v>
      </c>
      <c r="J2825" t="s">
        <v>19</v>
      </c>
      <c r="K2825" t="s">
        <v>3877</v>
      </c>
      <c r="L2825" t="s">
        <v>21</v>
      </c>
    </row>
    <row r="2826" spans="1:12">
      <c r="A2826" t="s">
        <v>3878</v>
      </c>
      <c r="B2826" t="s">
        <v>3856</v>
      </c>
      <c r="C2826" t="s">
        <v>14</v>
      </c>
      <c r="D2826">
        <v>1977</v>
      </c>
      <c r="E2826" t="s">
        <v>23</v>
      </c>
      <c r="F2826" t="s">
        <v>24</v>
      </c>
      <c r="G2826" t="s">
        <v>25</v>
      </c>
      <c r="H2826" t="s">
        <v>26</v>
      </c>
      <c r="I2826">
        <v>12845381</v>
      </c>
      <c r="J2826" t="s">
        <v>27</v>
      </c>
      <c r="K2826" t="s">
        <v>3877</v>
      </c>
      <c r="L2826" t="s">
        <v>21</v>
      </c>
    </row>
    <row r="2827" spans="1:12">
      <c r="A2827" t="s">
        <v>3879</v>
      </c>
      <c r="B2827" t="s">
        <v>3856</v>
      </c>
      <c r="C2827" t="s">
        <v>14</v>
      </c>
      <c r="D2827">
        <v>1977</v>
      </c>
      <c r="E2827" t="s">
        <v>29</v>
      </c>
      <c r="F2827" t="s">
        <v>30</v>
      </c>
      <c r="G2827" t="s">
        <v>31</v>
      </c>
      <c r="H2827" t="s">
        <v>32</v>
      </c>
      <c r="I2827">
        <v>3827.9215709999999</v>
      </c>
      <c r="J2827" t="s">
        <v>33</v>
      </c>
      <c r="K2827" t="s">
        <v>3877</v>
      </c>
      <c r="L2827" t="s">
        <v>21</v>
      </c>
    </row>
    <row r="2828" spans="1:12">
      <c r="A2828" t="s">
        <v>3880</v>
      </c>
      <c r="B2828" t="s">
        <v>3856</v>
      </c>
      <c r="C2828" t="s">
        <v>14</v>
      </c>
      <c r="D2828">
        <v>1982</v>
      </c>
      <c r="E2828" t="s">
        <v>15</v>
      </c>
      <c r="F2828" t="s">
        <v>16</v>
      </c>
      <c r="G2828" t="s">
        <v>17</v>
      </c>
      <c r="H2828" t="s">
        <v>18</v>
      </c>
      <c r="I2828">
        <v>68</v>
      </c>
      <c r="J2828" t="s">
        <v>19</v>
      </c>
      <c r="K2828" t="s">
        <v>3881</v>
      </c>
      <c r="L2828" t="s">
        <v>21</v>
      </c>
    </row>
    <row r="2829" spans="1:12">
      <c r="A2829" t="s">
        <v>3882</v>
      </c>
      <c r="B2829" t="s">
        <v>3856</v>
      </c>
      <c r="C2829" t="s">
        <v>14</v>
      </c>
      <c r="D2829">
        <v>1982</v>
      </c>
      <c r="E2829" t="s">
        <v>23</v>
      </c>
      <c r="F2829" t="s">
        <v>24</v>
      </c>
      <c r="G2829" t="s">
        <v>25</v>
      </c>
      <c r="H2829" t="s">
        <v>26</v>
      </c>
      <c r="I2829">
        <v>14441916</v>
      </c>
      <c r="J2829" t="s">
        <v>27</v>
      </c>
      <c r="K2829" t="s">
        <v>3881</v>
      </c>
      <c r="L2829" t="s">
        <v>21</v>
      </c>
    </row>
    <row r="2830" spans="1:12">
      <c r="A2830" t="s">
        <v>3883</v>
      </c>
      <c r="B2830" t="s">
        <v>3856</v>
      </c>
      <c r="C2830" t="s">
        <v>14</v>
      </c>
      <c r="D2830">
        <v>1982</v>
      </c>
      <c r="E2830" t="s">
        <v>29</v>
      </c>
      <c r="F2830" t="s">
        <v>30</v>
      </c>
      <c r="G2830" t="s">
        <v>31</v>
      </c>
      <c r="H2830" t="s">
        <v>32</v>
      </c>
      <c r="I2830">
        <v>4920.3559509999995</v>
      </c>
      <c r="J2830" t="s">
        <v>33</v>
      </c>
      <c r="K2830" t="s">
        <v>3881</v>
      </c>
      <c r="L2830" t="s">
        <v>21</v>
      </c>
    </row>
    <row r="2831" spans="1:12">
      <c r="A2831" t="s">
        <v>3884</v>
      </c>
      <c r="B2831" t="s">
        <v>3856</v>
      </c>
      <c r="C2831" t="s">
        <v>14</v>
      </c>
      <c r="D2831">
        <v>1987</v>
      </c>
      <c r="E2831" t="s">
        <v>15</v>
      </c>
      <c r="F2831" t="s">
        <v>16</v>
      </c>
      <c r="G2831" t="s">
        <v>17</v>
      </c>
      <c r="H2831" t="s">
        <v>18</v>
      </c>
      <c r="I2831">
        <v>69.5</v>
      </c>
      <c r="J2831" t="s">
        <v>19</v>
      </c>
      <c r="K2831" t="s">
        <v>3885</v>
      </c>
      <c r="L2831" t="s">
        <v>21</v>
      </c>
    </row>
    <row r="2832" spans="1:12">
      <c r="A2832" t="s">
        <v>3886</v>
      </c>
      <c r="B2832" t="s">
        <v>3856</v>
      </c>
      <c r="C2832" t="s">
        <v>14</v>
      </c>
      <c r="D2832">
        <v>1987</v>
      </c>
      <c r="E2832" t="s">
        <v>23</v>
      </c>
      <c r="F2832" t="s">
        <v>24</v>
      </c>
      <c r="G2832" t="s">
        <v>25</v>
      </c>
      <c r="H2832" t="s">
        <v>26</v>
      </c>
      <c r="I2832">
        <v>16331785</v>
      </c>
      <c r="J2832" t="s">
        <v>27</v>
      </c>
      <c r="K2832" t="s">
        <v>3885</v>
      </c>
      <c r="L2832" t="s">
        <v>21</v>
      </c>
    </row>
    <row r="2833" spans="1:12">
      <c r="A2833" t="s">
        <v>3887</v>
      </c>
      <c r="B2833" t="s">
        <v>3856</v>
      </c>
      <c r="C2833" t="s">
        <v>14</v>
      </c>
      <c r="D2833">
        <v>1987</v>
      </c>
      <c r="E2833" t="s">
        <v>29</v>
      </c>
      <c r="F2833" t="s">
        <v>30</v>
      </c>
      <c r="G2833" t="s">
        <v>31</v>
      </c>
      <c r="H2833" t="s">
        <v>32</v>
      </c>
      <c r="I2833">
        <v>5249.8026529999997</v>
      </c>
      <c r="J2833" t="s">
        <v>33</v>
      </c>
      <c r="K2833" t="s">
        <v>3885</v>
      </c>
      <c r="L2833" t="s">
        <v>21</v>
      </c>
    </row>
    <row r="2834" spans="1:12">
      <c r="A2834" t="s">
        <v>3888</v>
      </c>
      <c r="B2834" t="s">
        <v>3856</v>
      </c>
      <c r="C2834" t="s">
        <v>14</v>
      </c>
      <c r="D2834">
        <v>1992</v>
      </c>
      <c r="E2834" t="s">
        <v>15</v>
      </c>
      <c r="F2834" t="s">
        <v>16</v>
      </c>
      <c r="G2834" t="s">
        <v>17</v>
      </c>
      <c r="H2834" t="s">
        <v>18</v>
      </c>
      <c r="I2834">
        <v>70.692999999999998</v>
      </c>
      <c r="J2834" t="s">
        <v>19</v>
      </c>
      <c r="K2834" t="s">
        <v>3889</v>
      </c>
      <c r="L2834" t="s">
        <v>21</v>
      </c>
    </row>
    <row r="2835" spans="1:12">
      <c r="A2835" t="s">
        <v>3890</v>
      </c>
      <c r="B2835" t="s">
        <v>3856</v>
      </c>
      <c r="C2835" t="s">
        <v>14</v>
      </c>
      <c r="D2835">
        <v>1992</v>
      </c>
      <c r="E2835" t="s">
        <v>23</v>
      </c>
      <c r="F2835" t="s">
        <v>24</v>
      </c>
      <c r="G2835" t="s">
        <v>25</v>
      </c>
      <c r="H2835" t="s">
        <v>26</v>
      </c>
      <c r="I2835">
        <v>18319502</v>
      </c>
      <c r="J2835" t="s">
        <v>27</v>
      </c>
      <c r="K2835" t="s">
        <v>3889</v>
      </c>
      <c r="L2835" t="s">
        <v>21</v>
      </c>
    </row>
    <row r="2836" spans="1:12">
      <c r="A2836" t="s">
        <v>3891</v>
      </c>
      <c r="B2836" t="s">
        <v>3856</v>
      </c>
      <c r="C2836" t="s">
        <v>14</v>
      </c>
      <c r="D2836">
        <v>1992</v>
      </c>
      <c r="E2836" t="s">
        <v>29</v>
      </c>
      <c r="F2836" t="s">
        <v>30</v>
      </c>
      <c r="G2836" t="s">
        <v>31</v>
      </c>
      <c r="H2836" t="s">
        <v>32</v>
      </c>
      <c r="I2836">
        <v>7277.9128019999998</v>
      </c>
      <c r="J2836" t="s">
        <v>33</v>
      </c>
      <c r="K2836" t="s">
        <v>3889</v>
      </c>
      <c r="L2836" t="s">
        <v>21</v>
      </c>
    </row>
    <row r="2837" spans="1:12">
      <c r="A2837" t="s">
        <v>3892</v>
      </c>
      <c r="B2837" t="s">
        <v>3856</v>
      </c>
      <c r="C2837" t="s">
        <v>14</v>
      </c>
      <c r="D2837">
        <v>1997</v>
      </c>
      <c r="E2837" t="s">
        <v>15</v>
      </c>
      <c r="F2837" t="s">
        <v>16</v>
      </c>
      <c r="G2837" t="s">
        <v>17</v>
      </c>
      <c r="H2837" t="s">
        <v>18</v>
      </c>
      <c r="I2837">
        <v>71.938000000000002</v>
      </c>
      <c r="J2837" t="s">
        <v>19</v>
      </c>
      <c r="K2837" t="s">
        <v>3893</v>
      </c>
      <c r="L2837" t="s">
        <v>21</v>
      </c>
    </row>
    <row r="2838" spans="1:12">
      <c r="A2838" t="s">
        <v>3894</v>
      </c>
      <c r="B2838" t="s">
        <v>3856</v>
      </c>
      <c r="C2838" t="s">
        <v>14</v>
      </c>
      <c r="D2838">
        <v>1997</v>
      </c>
      <c r="E2838" t="s">
        <v>23</v>
      </c>
      <c r="F2838" t="s">
        <v>24</v>
      </c>
      <c r="G2838" t="s">
        <v>25</v>
      </c>
      <c r="H2838" t="s">
        <v>26</v>
      </c>
      <c r="I2838">
        <v>20476091</v>
      </c>
      <c r="J2838" t="s">
        <v>27</v>
      </c>
      <c r="K2838" t="s">
        <v>3893</v>
      </c>
      <c r="L2838" t="s">
        <v>21</v>
      </c>
    </row>
    <row r="2839" spans="1:12">
      <c r="A2839" t="s">
        <v>3895</v>
      </c>
      <c r="B2839" t="s">
        <v>3856</v>
      </c>
      <c r="C2839" t="s">
        <v>14</v>
      </c>
      <c r="D2839">
        <v>1997</v>
      </c>
      <c r="E2839" t="s">
        <v>29</v>
      </c>
      <c r="F2839" t="s">
        <v>30</v>
      </c>
      <c r="G2839" t="s">
        <v>31</v>
      </c>
      <c r="H2839" t="s">
        <v>32</v>
      </c>
      <c r="I2839">
        <v>10132.90964</v>
      </c>
      <c r="J2839" t="s">
        <v>33</v>
      </c>
      <c r="K2839" t="s">
        <v>3893</v>
      </c>
      <c r="L2839" t="s">
        <v>21</v>
      </c>
    </row>
    <row r="2840" spans="1:12">
      <c r="A2840" t="s">
        <v>3896</v>
      </c>
      <c r="B2840" t="s">
        <v>3856</v>
      </c>
      <c r="C2840" t="s">
        <v>14</v>
      </c>
      <c r="D2840">
        <v>2002</v>
      </c>
      <c r="E2840" t="s">
        <v>15</v>
      </c>
      <c r="F2840" t="s">
        <v>16</v>
      </c>
      <c r="G2840" t="s">
        <v>17</v>
      </c>
      <c r="H2840" t="s">
        <v>18</v>
      </c>
      <c r="I2840">
        <v>73.043999999999997</v>
      </c>
      <c r="J2840" t="s">
        <v>19</v>
      </c>
      <c r="K2840" t="s">
        <v>3897</v>
      </c>
      <c r="L2840" t="s">
        <v>21</v>
      </c>
    </row>
    <row r="2841" spans="1:12">
      <c r="A2841" t="s">
        <v>3898</v>
      </c>
      <c r="B2841" t="s">
        <v>3856</v>
      </c>
      <c r="C2841" t="s">
        <v>14</v>
      </c>
      <c r="D2841">
        <v>2002</v>
      </c>
      <c r="E2841" t="s">
        <v>23</v>
      </c>
      <c r="F2841" t="s">
        <v>24</v>
      </c>
      <c r="G2841" t="s">
        <v>25</v>
      </c>
      <c r="H2841" t="s">
        <v>26</v>
      </c>
      <c r="I2841">
        <v>22662365</v>
      </c>
      <c r="J2841" t="s">
        <v>27</v>
      </c>
      <c r="K2841" t="s">
        <v>3897</v>
      </c>
      <c r="L2841" t="s">
        <v>21</v>
      </c>
    </row>
    <row r="2842" spans="1:12">
      <c r="A2842" t="s">
        <v>3899</v>
      </c>
      <c r="B2842" t="s">
        <v>3856</v>
      </c>
      <c r="C2842" t="s">
        <v>14</v>
      </c>
      <c r="D2842">
        <v>2002</v>
      </c>
      <c r="E2842" t="s">
        <v>29</v>
      </c>
      <c r="F2842" t="s">
        <v>30</v>
      </c>
      <c r="G2842" t="s">
        <v>31</v>
      </c>
      <c r="H2842" t="s">
        <v>32</v>
      </c>
      <c r="I2842">
        <v>10206.977940000001</v>
      </c>
      <c r="J2842" t="s">
        <v>33</v>
      </c>
      <c r="K2842" t="s">
        <v>3897</v>
      </c>
      <c r="L2842" t="s">
        <v>21</v>
      </c>
    </row>
    <row r="2843" spans="1:12">
      <c r="A2843" t="s">
        <v>3900</v>
      </c>
      <c r="B2843" t="s">
        <v>3856</v>
      </c>
      <c r="C2843" t="s">
        <v>14</v>
      </c>
      <c r="D2843">
        <v>2007</v>
      </c>
      <c r="E2843" t="s">
        <v>15</v>
      </c>
      <c r="F2843" t="s">
        <v>16</v>
      </c>
      <c r="G2843" t="s">
        <v>17</v>
      </c>
      <c r="H2843" t="s">
        <v>18</v>
      </c>
      <c r="I2843">
        <v>74.241</v>
      </c>
      <c r="J2843" t="s">
        <v>19</v>
      </c>
      <c r="K2843" t="s">
        <v>3901</v>
      </c>
      <c r="L2843" t="s">
        <v>21</v>
      </c>
    </row>
    <row r="2844" spans="1:12">
      <c r="A2844" t="s">
        <v>3902</v>
      </c>
      <c r="B2844" t="s">
        <v>3856</v>
      </c>
      <c r="C2844" t="s">
        <v>14</v>
      </c>
      <c r="D2844">
        <v>2007</v>
      </c>
      <c r="E2844" t="s">
        <v>23</v>
      </c>
      <c r="F2844" t="s">
        <v>24</v>
      </c>
      <c r="G2844" t="s">
        <v>25</v>
      </c>
      <c r="H2844" t="s">
        <v>26</v>
      </c>
      <c r="I2844">
        <v>24821286</v>
      </c>
      <c r="J2844" t="s">
        <v>27</v>
      </c>
      <c r="K2844" t="s">
        <v>3901</v>
      </c>
      <c r="L2844" t="s">
        <v>21</v>
      </c>
    </row>
    <row r="2845" spans="1:12">
      <c r="A2845" t="s">
        <v>3903</v>
      </c>
      <c r="B2845" t="s">
        <v>3856</v>
      </c>
      <c r="C2845" t="s">
        <v>14</v>
      </c>
      <c r="D2845">
        <v>2007</v>
      </c>
      <c r="E2845" t="s">
        <v>29</v>
      </c>
      <c r="F2845" t="s">
        <v>30</v>
      </c>
      <c r="G2845" t="s">
        <v>31</v>
      </c>
      <c r="H2845" t="s">
        <v>32</v>
      </c>
      <c r="I2845">
        <v>12451.6558</v>
      </c>
      <c r="J2845" t="s">
        <v>33</v>
      </c>
      <c r="K2845" t="s">
        <v>3901</v>
      </c>
      <c r="L2845" t="s">
        <v>21</v>
      </c>
    </row>
    <row r="2846" spans="1:12">
      <c r="A2846" t="s">
        <v>3904</v>
      </c>
      <c r="B2846" t="s">
        <v>3905</v>
      </c>
      <c r="C2846" t="s">
        <v>130</v>
      </c>
      <c r="D2846">
        <v>1952</v>
      </c>
      <c r="E2846" t="s">
        <v>15</v>
      </c>
      <c r="F2846" t="s">
        <v>16</v>
      </c>
      <c r="G2846" t="s">
        <v>17</v>
      </c>
      <c r="H2846" t="s">
        <v>18</v>
      </c>
      <c r="I2846">
        <v>33.685000000000002</v>
      </c>
      <c r="J2846" t="s">
        <v>19</v>
      </c>
      <c r="K2846" t="s">
        <v>3906</v>
      </c>
      <c r="L2846" t="s">
        <v>21</v>
      </c>
    </row>
    <row r="2847" spans="1:12">
      <c r="A2847" t="s">
        <v>3907</v>
      </c>
      <c r="B2847" t="s">
        <v>3905</v>
      </c>
      <c r="C2847" t="s">
        <v>130</v>
      </c>
      <c r="D2847">
        <v>1952</v>
      </c>
      <c r="E2847" t="s">
        <v>23</v>
      </c>
      <c r="F2847" t="s">
        <v>24</v>
      </c>
      <c r="G2847" t="s">
        <v>25</v>
      </c>
      <c r="H2847" t="s">
        <v>26</v>
      </c>
      <c r="I2847">
        <v>3838168</v>
      </c>
      <c r="J2847" t="s">
        <v>27</v>
      </c>
      <c r="K2847" t="s">
        <v>3906</v>
      </c>
      <c r="L2847" t="s">
        <v>21</v>
      </c>
    </row>
    <row r="2848" spans="1:12">
      <c r="A2848" t="s">
        <v>3908</v>
      </c>
      <c r="B2848" t="s">
        <v>3905</v>
      </c>
      <c r="C2848" t="s">
        <v>130</v>
      </c>
      <c r="D2848">
        <v>1952</v>
      </c>
      <c r="E2848" t="s">
        <v>29</v>
      </c>
      <c r="F2848" t="s">
        <v>30</v>
      </c>
      <c r="G2848" t="s">
        <v>31</v>
      </c>
      <c r="H2848" t="s">
        <v>32</v>
      </c>
      <c r="I2848">
        <v>452.33698070000003</v>
      </c>
      <c r="J2848" t="s">
        <v>33</v>
      </c>
      <c r="K2848" t="s">
        <v>3906</v>
      </c>
      <c r="L2848" t="s">
        <v>21</v>
      </c>
    </row>
    <row r="2849" spans="1:12">
      <c r="A2849" t="s">
        <v>3909</v>
      </c>
      <c r="B2849" t="s">
        <v>3905</v>
      </c>
      <c r="C2849" t="s">
        <v>130</v>
      </c>
      <c r="D2849">
        <v>1957</v>
      </c>
      <c r="E2849" t="s">
        <v>15</v>
      </c>
      <c r="F2849" t="s">
        <v>16</v>
      </c>
      <c r="G2849" t="s">
        <v>17</v>
      </c>
      <c r="H2849" t="s">
        <v>18</v>
      </c>
      <c r="I2849">
        <v>35.306999999999903</v>
      </c>
      <c r="J2849" t="s">
        <v>19</v>
      </c>
      <c r="K2849" t="s">
        <v>3910</v>
      </c>
      <c r="L2849" t="s">
        <v>21</v>
      </c>
    </row>
    <row r="2850" spans="1:12">
      <c r="A2850" t="s">
        <v>3911</v>
      </c>
      <c r="B2850" t="s">
        <v>3905</v>
      </c>
      <c r="C2850" t="s">
        <v>130</v>
      </c>
      <c r="D2850">
        <v>1957</v>
      </c>
      <c r="E2850" t="s">
        <v>23</v>
      </c>
      <c r="F2850" t="s">
        <v>24</v>
      </c>
      <c r="G2850" t="s">
        <v>25</v>
      </c>
      <c r="H2850" t="s">
        <v>26</v>
      </c>
      <c r="I2850">
        <v>4241884</v>
      </c>
      <c r="J2850" t="s">
        <v>27</v>
      </c>
      <c r="K2850" t="s">
        <v>3910</v>
      </c>
      <c r="L2850" t="s">
        <v>21</v>
      </c>
    </row>
    <row r="2851" spans="1:12">
      <c r="A2851" t="s">
        <v>3912</v>
      </c>
      <c r="B2851" t="s">
        <v>3905</v>
      </c>
      <c r="C2851" t="s">
        <v>130</v>
      </c>
      <c r="D2851">
        <v>1957</v>
      </c>
      <c r="E2851" t="s">
        <v>29</v>
      </c>
      <c r="F2851" t="s">
        <v>30</v>
      </c>
      <c r="G2851" t="s">
        <v>31</v>
      </c>
      <c r="H2851" t="s">
        <v>32</v>
      </c>
      <c r="I2851">
        <v>490.38218669999998</v>
      </c>
      <c r="J2851" t="s">
        <v>33</v>
      </c>
      <c r="K2851" t="s">
        <v>3910</v>
      </c>
      <c r="L2851" t="s">
        <v>21</v>
      </c>
    </row>
    <row r="2852" spans="1:12">
      <c r="A2852" t="s">
        <v>3913</v>
      </c>
      <c r="B2852" t="s">
        <v>3905</v>
      </c>
      <c r="C2852" t="s">
        <v>130</v>
      </c>
      <c r="D2852">
        <v>1962</v>
      </c>
      <c r="E2852" t="s">
        <v>15</v>
      </c>
      <c r="F2852" t="s">
        <v>16</v>
      </c>
      <c r="G2852" t="s">
        <v>17</v>
      </c>
      <c r="H2852" t="s">
        <v>18</v>
      </c>
      <c r="I2852">
        <v>36.936</v>
      </c>
      <c r="J2852" t="s">
        <v>19</v>
      </c>
      <c r="K2852" t="s">
        <v>3914</v>
      </c>
      <c r="L2852" t="s">
        <v>21</v>
      </c>
    </row>
    <row r="2853" spans="1:12">
      <c r="A2853" t="s">
        <v>3915</v>
      </c>
      <c r="B2853" t="s">
        <v>3905</v>
      </c>
      <c r="C2853" t="s">
        <v>130</v>
      </c>
      <c r="D2853">
        <v>1962</v>
      </c>
      <c r="E2853" t="s">
        <v>23</v>
      </c>
      <c r="F2853" t="s">
        <v>24</v>
      </c>
      <c r="G2853" t="s">
        <v>25</v>
      </c>
      <c r="H2853" t="s">
        <v>26</v>
      </c>
      <c r="I2853">
        <v>4690372</v>
      </c>
      <c r="J2853" t="s">
        <v>27</v>
      </c>
      <c r="K2853" t="s">
        <v>3914</v>
      </c>
      <c r="L2853" t="s">
        <v>21</v>
      </c>
    </row>
    <row r="2854" spans="1:12">
      <c r="A2854" t="s">
        <v>3916</v>
      </c>
      <c r="B2854" t="s">
        <v>3905</v>
      </c>
      <c r="C2854" t="s">
        <v>130</v>
      </c>
      <c r="D2854">
        <v>1962</v>
      </c>
      <c r="E2854" t="s">
        <v>29</v>
      </c>
      <c r="F2854" t="s">
        <v>30</v>
      </c>
      <c r="G2854" t="s">
        <v>31</v>
      </c>
      <c r="H2854" t="s">
        <v>32</v>
      </c>
      <c r="I2854">
        <v>496.17434279999998</v>
      </c>
      <c r="J2854" t="s">
        <v>33</v>
      </c>
      <c r="K2854" t="s">
        <v>3914</v>
      </c>
      <c r="L2854" t="s">
        <v>21</v>
      </c>
    </row>
    <row r="2855" spans="1:12">
      <c r="A2855" t="s">
        <v>3917</v>
      </c>
      <c r="B2855" t="s">
        <v>3905</v>
      </c>
      <c r="C2855" t="s">
        <v>130</v>
      </c>
      <c r="D2855">
        <v>1967</v>
      </c>
      <c r="E2855" t="s">
        <v>15</v>
      </c>
      <c r="F2855" t="s">
        <v>16</v>
      </c>
      <c r="G2855" t="s">
        <v>17</v>
      </c>
      <c r="H2855" t="s">
        <v>18</v>
      </c>
      <c r="I2855">
        <v>38.487000000000002</v>
      </c>
      <c r="J2855" t="s">
        <v>19</v>
      </c>
      <c r="K2855" t="s">
        <v>3918</v>
      </c>
      <c r="L2855" t="s">
        <v>21</v>
      </c>
    </row>
    <row r="2856" spans="1:12">
      <c r="A2856" t="s">
        <v>3919</v>
      </c>
      <c r="B2856" t="s">
        <v>3905</v>
      </c>
      <c r="C2856" t="s">
        <v>130</v>
      </c>
      <c r="D2856">
        <v>1967</v>
      </c>
      <c r="E2856" t="s">
        <v>23</v>
      </c>
      <c r="F2856" t="s">
        <v>24</v>
      </c>
      <c r="G2856" t="s">
        <v>25</v>
      </c>
      <c r="H2856" t="s">
        <v>26</v>
      </c>
      <c r="I2856">
        <v>5212416</v>
      </c>
      <c r="J2856" t="s">
        <v>27</v>
      </c>
      <c r="K2856" t="s">
        <v>3918</v>
      </c>
      <c r="L2856" t="s">
        <v>21</v>
      </c>
    </row>
    <row r="2857" spans="1:12">
      <c r="A2857" t="s">
        <v>3920</v>
      </c>
      <c r="B2857" t="s">
        <v>3905</v>
      </c>
      <c r="C2857" t="s">
        <v>130</v>
      </c>
      <c r="D2857">
        <v>1967</v>
      </c>
      <c r="E2857" t="s">
        <v>29</v>
      </c>
      <c r="F2857" t="s">
        <v>30</v>
      </c>
      <c r="G2857" t="s">
        <v>31</v>
      </c>
      <c r="H2857" t="s">
        <v>32</v>
      </c>
      <c r="I2857">
        <v>545.00988729999995</v>
      </c>
      <c r="J2857" t="s">
        <v>33</v>
      </c>
      <c r="K2857" t="s">
        <v>3918</v>
      </c>
      <c r="L2857" t="s">
        <v>21</v>
      </c>
    </row>
    <row r="2858" spans="1:12">
      <c r="A2858" t="s">
        <v>3921</v>
      </c>
      <c r="B2858" t="s">
        <v>3905</v>
      </c>
      <c r="C2858" t="s">
        <v>130</v>
      </c>
      <c r="D2858">
        <v>1972</v>
      </c>
      <c r="E2858" t="s">
        <v>15</v>
      </c>
      <c r="F2858" t="s">
        <v>16</v>
      </c>
      <c r="G2858" t="s">
        <v>17</v>
      </c>
      <c r="H2858" t="s">
        <v>18</v>
      </c>
      <c r="I2858">
        <v>39.976999999999997</v>
      </c>
      <c r="J2858" t="s">
        <v>19</v>
      </c>
      <c r="K2858" t="s">
        <v>3922</v>
      </c>
      <c r="L2858" t="s">
        <v>21</v>
      </c>
    </row>
    <row r="2859" spans="1:12">
      <c r="A2859" t="s">
        <v>3923</v>
      </c>
      <c r="B2859" t="s">
        <v>3905</v>
      </c>
      <c r="C2859" t="s">
        <v>130</v>
      </c>
      <c r="D2859">
        <v>1972</v>
      </c>
      <c r="E2859" t="s">
        <v>23</v>
      </c>
      <c r="F2859" t="s">
        <v>24</v>
      </c>
      <c r="G2859" t="s">
        <v>25</v>
      </c>
      <c r="H2859" t="s">
        <v>26</v>
      </c>
      <c r="I2859">
        <v>5828158</v>
      </c>
      <c r="J2859" t="s">
        <v>27</v>
      </c>
      <c r="K2859" t="s">
        <v>3922</v>
      </c>
      <c r="L2859" t="s">
        <v>21</v>
      </c>
    </row>
    <row r="2860" spans="1:12">
      <c r="A2860" t="s">
        <v>3924</v>
      </c>
      <c r="B2860" t="s">
        <v>3905</v>
      </c>
      <c r="C2860" t="s">
        <v>130</v>
      </c>
      <c r="D2860">
        <v>1972</v>
      </c>
      <c r="E2860" t="s">
        <v>29</v>
      </c>
      <c r="F2860" t="s">
        <v>30</v>
      </c>
      <c r="G2860" t="s">
        <v>31</v>
      </c>
      <c r="H2860" t="s">
        <v>32</v>
      </c>
      <c r="I2860">
        <v>581.36887609999997</v>
      </c>
      <c r="J2860" t="s">
        <v>33</v>
      </c>
      <c r="K2860" t="s">
        <v>3922</v>
      </c>
      <c r="L2860" t="s">
        <v>21</v>
      </c>
    </row>
    <row r="2861" spans="1:12">
      <c r="A2861" t="s">
        <v>3925</v>
      </c>
      <c r="B2861" t="s">
        <v>3905</v>
      </c>
      <c r="C2861" t="s">
        <v>130</v>
      </c>
      <c r="D2861">
        <v>1977</v>
      </c>
      <c r="E2861" t="s">
        <v>15</v>
      </c>
      <c r="F2861" t="s">
        <v>16</v>
      </c>
      <c r="G2861" t="s">
        <v>17</v>
      </c>
      <c r="H2861" t="s">
        <v>18</v>
      </c>
      <c r="I2861">
        <v>41.713999999999999</v>
      </c>
      <c r="J2861" t="s">
        <v>19</v>
      </c>
      <c r="K2861" t="s">
        <v>3926</v>
      </c>
      <c r="L2861" t="s">
        <v>21</v>
      </c>
    </row>
    <row r="2862" spans="1:12">
      <c r="A2862" t="s">
        <v>3927</v>
      </c>
      <c r="B2862" t="s">
        <v>3905</v>
      </c>
      <c r="C2862" t="s">
        <v>130</v>
      </c>
      <c r="D2862">
        <v>1977</v>
      </c>
      <c r="E2862" t="s">
        <v>23</v>
      </c>
      <c r="F2862" t="s">
        <v>24</v>
      </c>
      <c r="G2862" t="s">
        <v>25</v>
      </c>
      <c r="H2862" t="s">
        <v>26</v>
      </c>
      <c r="I2862">
        <v>6491649</v>
      </c>
      <c r="J2862" t="s">
        <v>27</v>
      </c>
      <c r="K2862" t="s">
        <v>3926</v>
      </c>
      <c r="L2862" t="s">
        <v>21</v>
      </c>
    </row>
    <row r="2863" spans="1:12">
      <c r="A2863" t="s">
        <v>3928</v>
      </c>
      <c r="B2863" t="s">
        <v>3905</v>
      </c>
      <c r="C2863" t="s">
        <v>130</v>
      </c>
      <c r="D2863">
        <v>1977</v>
      </c>
      <c r="E2863" t="s">
        <v>29</v>
      </c>
      <c r="F2863" t="s">
        <v>30</v>
      </c>
      <c r="G2863" t="s">
        <v>31</v>
      </c>
      <c r="H2863" t="s">
        <v>32</v>
      </c>
      <c r="I2863">
        <v>686.3952693</v>
      </c>
      <c r="J2863" t="s">
        <v>33</v>
      </c>
      <c r="K2863" t="s">
        <v>3926</v>
      </c>
      <c r="L2863" t="s">
        <v>21</v>
      </c>
    </row>
    <row r="2864" spans="1:12">
      <c r="A2864" t="s">
        <v>3929</v>
      </c>
      <c r="B2864" t="s">
        <v>3905</v>
      </c>
      <c r="C2864" t="s">
        <v>130</v>
      </c>
      <c r="D2864">
        <v>1982</v>
      </c>
      <c r="E2864" t="s">
        <v>15</v>
      </c>
      <c r="F2864" t="s">
        <v>16</v>
      </c>
      <c r="G2864" t="s">
        <v>17</v>
      </c>
      <c r="H2864" t="s">
        <v>18</v>
      </c>
      <c r="I2864">
        <v>43.915999999999997</v>
      </c>
      <c r="J2864" t="s">
        <v>19</v>
      </c>
      <c r="K2864" t="s">
        <v>3930</v>
      </c>
      <c r="L2864" t="s">
        <v>21</v>
      </c>
    </row>
    <row r="2865" spans="1:12">
      <c r="A2865" t="s">
        <v>3931</v>
      </c>
      <c r="B2865" t="s">
        <v>3905</v>
      </c>
      <c r="C2865" t="s">
        <v>130</v>
      </c>
      <c r="D2865">
        <v>1982</v>
      </c>
      <c r="E2865" t="s">
        <v>23</v>
      </c>
      <c r="F2865" t="s">
        <v>24</v>
      </c>
      <c r="G2865" t="s">
        <v>25</v>
      </c>
      <c r="H2865" t="s">
        <v>26</v>
      </c>
      <c r="I2865">
        <v>6998256</v>
      </c>
      <c r="J2865" t="s">
        <v>27</v>
      </c>
      <c r="K2865" t="s">
        <v>3930</v>
      </c>
      <c r="L2865" t="s">
        <v>21</v>
      </c>
    </row>
    <row r="2866" spans="1:12">
      <c r="A2866" t="s">
        <v>3932</v>
      </c>
      <c r="B2866" t="s">
        <v>3905</v>
      </c>
      <c r="C2866" t="s">
        <v>130</v>
      </c>
      <c r="D2866">
        <v>1982</v>
      </c>
      <c r="E2866" t="s">
        <v>29</v>
      </c>
      <c r="F2866" t="s">
        <v>30</v>
      </c>
      <c r="G2866" t="s">
        <v>31</v>
      </c>
      <c r="H2866" t="s">
        <v>32</v>
      </c>
      <c r="I2866">
        <v>618.01406409999902</v>
      </c>
      <c r="J2866" t="s">
        <v>33</v>
      </c>
      <c r="K2866" t="s">
        <v>3930</v>
      </c>
      <c r="L2866" t="s">
        <v>21</v>
      </c>
    </row>
    <row r="2867" spans="1:12">
      <c r="A2867" t="s">
        <v>3933</v>
      </c>
      <c r="B2867" t="s">
        <v>3905</v>
      </c>
      <c r="C2867" t="s">
        <v>130</v>
      </c>
      <c r="D2867">
        <v>1987</v>
      </c>
      <c r="E2867" t="s">
        <v>15</v>
      </c>
      <c r="F2867" t="s">
        <v>16</v>
      </c>
      <c r="G2867" t="s">
        <v>17</v>
      </c>
      <c r="H2867" t="s">
        <v>18</v>
      </c>
      <c r="I2867">
        <v>46.363999999999997</v>
      </c>
      <c r="J2867" t="s">
        <v>19</v>
      </c>
      <c r="K2867" t="s">
        <v>3934</v>
      </c>
      <c r="L2867" t="s">
        <v>21</v>
      </c>
    </row>
    <row r="2868" spans="1:12">
      <c r="A2868" t="s">
        <v>3935</v>
      </c>
      <c r="B2868" t="s">
        <v>3905</v>
      </c>
      <c r="C2868" t="s">
        <v>130</v>
      </c>
      <c r="D2868">
        <v>1987</v>
      </c>
      <c r="E2868" t="s">
        <v>23</v>
      </c>
      <c r="F2868" t="s">
        <v>24</v>
      </c>
      <c r="G2868" t="s">
        <v>25</v>
      </c>
      <c r="H2868" t="s">
        <v>26</v>
      </c>
      <c r="I2868">
        <v>7634008</v>
      </c>
      <c r="J2868" t="s">
        <v>27</v>
      </c>
      <c r="K2868" t="s">
        <v>3934</v>
      </c>
      <c r="L2868" t="s">
        <v>21</v>
      </c>
    </row>
    <row r="2869" spans="1:12">
      <c r="A2869" t="s">
        <v>3936</v>
      </c>
      <c r="B2869" t="s">
        <v>3905</v>
      </c>
      <c r="C2869" t="s">
        <v>130</v>
      </c>
      <c r="D2869">
        <v>1987</v>
      </c>
      <c r="E2869" t="s">
        <v>29</v>
      </c>
      <c r="F2869" t="s">
        <v>30</v>
      </c>
      <c r="G2869" t="s">
        <v>31</v>
      </c>
      <c r="H2869" t="s">
        <v>32</v>
      </c>
      <c r="I2869">
        <v>684.17155760000003</v>
      </c>
      <c r="J2869" t="s">
        <v>33</v>
      </c>
      <c r="K2869" t="s">
        <v>3934</v>
      </c>
      <c r="L2869" t="s">
        <v>21</v>
      </c>
    </row>
    <row r="2870" spans="1:12">
      <c r="A2870" t="s">
        <v>3937</v>
      </c>
      <c r="B2870" t="s">
        <v>3905</v>
      </c>
      <c r="C2870" t="s">
        <v>130</v>
      </c>
      <c r="D2870">
        <v>1992</v>
      </c>
      <c r="E2870" t="s">
        <v>15</v>
      </c>
      <c r="F2870" t="s">
        <v>16</v>
      </c>
      <c r="G2870" t="s">
        <v>17</v>
      </c>
      <c r="H2870" t="s">
        <v>18</v>
      </c>
      <c r="I2870">
        <v>48.387999999999998</v>
      </c>
      <c r="J2870" t="s">
        <v>19</v>
      </c>
      <c r="K2870" t="s">
        <v>3938</v>
      </c>
      <c r="L2870" t="s">
        <v>21</v>
      </c>
    </row>
    <row r="2871" spans="1:12">
      <c r="A2871" t="s">
        <v>3939</v>
      </c>
      <c r="B2871" t="s">
        <v>3905</v>
      </c>
      <c r="C2871" t="s">
        <v>130</v>
      </c>
      <c r="D2871">
        <v>1992</v>
      </c>
      <c r="E2871" t="s">
        <v>23</v>
      </c>
      <c r="F2871" t="s">
        <v>24</v>
      </c>
      <c r="G2871" t="s">
        <v>25</v>
      </c>
      <c r="H2871" t="s">
        <v>26</v>
      </c>
      <c r="I2871">
        <v>8416215</v>
      </c>
      <c r="J2871" t="s">
        <v>27</v>
      </c>
      <c r="K2871" t="s">
        <v>3938</v>
      </c>
      <c r="L2871" t="s">
        <v>21</v>
      </c>
    </row>
    <row r="2872" spans="1:12">
      <c r="A2872" t="s">
        <v>3940</v>
      </c>
      <c r="B2872" t="s">
        <v>3905</v>
      </c>
      <c r="C2872" t="s">
        <v>130</v>
      </c>
      <c r="D2872">
        <v>1992</v>
      </c>
      <c r="E2872" t="s">
        <v>29</v>
      </c>
      <c r="F2872" t="s">
        <v>30</v>
      </c>
      <c r="G2872" t="s">
        <v>31</v>
      </c>
      <c r="H2872" t="s">
        <v>32</v>
      </c>
      <c r="I2872">
        <v>739.01437499999997</v>
      </c>
      <c r="J2872" t="s">
        <v>33</v>
      </c>
      <c r="K2872" t="s">
        <v>3938</v>
      </c>
      <c r="L2872" t="s">
        <v>21</v>
      </c>
    </row>
    <row r="2873" spans="1:12">
      <c r="A2873" t="s">
        <v>3941</v>
      </c>
      <c r="B2873" t="s">
        <v>3905</v>
      </c>
      <c r="C2873" t="s">
        <v>130</v>
      </c>
      <c r="D2873">
        <v>1997</v>
      </c>
      <c r="E2873" t="s">
        <v>15</v>
      </c>
      <c r="F2873" t="s">
        <v>16</v>
      </c>
      <c r="G2873" t="s">
        <v>17</v>
      </c>
      <c r="H2873" t="s">
        <v>18</v>
      </c>
      <c r="I2873">
        <v>49.902999999999999</v>
      </c>
      <c r="J2873" t="s">
        <v>19</v>
      </c>
      <c r="K2873" t="s">
        <v>3942</v>
      </c>
      <c r="L2873" t="s">
        <v>21</v>
      </c>
    </row>
    <row r="2874" spans="1:12">
      <c r="A2874" t="s">
        <v>3943</v>
      </c>
      <c r="B2874" t="s">
        <v>3905</v>
      </c>
      <c r="C2874" t="s">
        <v>130</v>
      </c>
      <c r="D2874">
        <v>1997</v>
      </c>
      <c r="E2874" t="s">
        <v>23</v>
      </c>
      <c r="F2874" t="s">
        <v>24</v>
      </c>
      <c r="G2874" t="s">
        <v>25</v>
      </c>
      <c r="H2874" t="s">
        <v>26</v>
      </c>
      <c r="I2874">
        <v>9384984</v>
      </c>
      <c r="J2874" t="s">
        <v>27</v>
      </c>
      <c r="K2874" t="s">
        <v>3942</v>
      </c>
      <c r="L2874" t="s">
        <v>21</v>
      </c>
    </row>
    <row r="2875" spans="1:12">
      <c r="A2875" t="s">
        <v>3944</v>
      </c>
      <c r="B2875" t="s">
        <v>3905</v>
      </c>
      <c r="C2875" t="s">
        <v>130</v>
      </c>
      <c r="D2875">
        <v>1997</v>
      </c>
      <c r="E2875" t="s">
        <v>29</v>
      </c>
      <c r="F2875" t="s">
        <v>30</v>
      </c>
      <c r="G2875" t="s">
        <v>31</v>
      </c>
      <c r="H2875" t="s">
        <v>32</v>
      </c>
      <c r="I2875">
        <v>790.25798459999999</v>
      </c>
      <c r="J2875" t="s">
        <v>33</v>
      </c>
      <c r="K2875" t="s">
        <v>3942</v>
      </c>
      <c r="L2875" t="s">
        <v>21</v>
      </c>
    </row>
    <row r="2876" spans="1:12">
      <c r="A2876" t="s">
        <v>3945</v>
      </c>
      <c r="B2876" t="s">
        <v>3905</v>
      </c>
      <c r="C2876" t="s">
        <v>130</v>
      </c>
      <c r="D2876">
        <v>2002</v>
      </c>
      <c r="E2876" t="s">
        <v>15</v>
      </c>
      <c r="F2876" t="s">
        <v>16</v>
      </c>
      <c r="G2876" t="s">
        <v>17</v>
      </c>
      <c r="H2876" t="s">
        <v>18</v>
      </c>
      <c r="I2876">
        <v>51.817999999999998</v>
      </c>
      <c r="J2876" t="s">
        <v>19</v>
      </c>
      <c r="K2876" t="s">
        <v>3946</v>
      </c>
      <c r="L2876" t="s">
        <v>21</v>
      </c>
    </row>
    <row r="2877" spans="1:12">
      <c r="A2877" t="s">
        <v>3947</v>
      </c>
      <c r="B2877" t="s">
        <v>3905</v>
      </c>
      <c r="C2877" t="s">
        <v>130</v>
      </c>
      <c r="D2877">
        <v>2002</v>
      </c>
      <c r="E2877" t="s">
        <v>23</v>
      </c>
      <c r="F2877" t="s">
        <v>24</v>
      </c>
      <c r="G2877" t="s">
        <v>25</v>
      </c>
      <c r="H2877" t="s">
        <v>26</v>
      </c>
      <c r="I2877">
        <v>10580176</v>
      </c>
      <c r="J2877" t="s">
        <v>27</v>
      </c>
      <c r="K2877" t="s">
        <v>3946</v>
      </c>
      <c r="L2877" t="s">
        <v>21</v>
      </c>
    </row>
    <row r="2878" spans="1:12">
      <c r="A2878" t="s">
        <v>3948</v>
      </c>
      <c r="B2878" t="s">
        <v>3905</v>
      </c>
      <c r="C2878" t="s">
        <v>130</v>
      </c>
      <c r="D2878">
        <v>2002</v>
      </c>
      <c r="E2878" t="s">
        <v>29</v>
      </c>
      <c r="F2878" t="s">
        <v>30</v>
      </c>
      <c r="G2878" t="s">
        <v>31</v>
      </c>
      <c r="H2878" t="s">
        <v>32</v>
      </c>
      <c r="I2878">
        <v>951.40975179999998</v>
      </c>
      <c r="J2878" t="s">
        <v>33</v>
      </c>
      <c r="K2878" t="s">
        <v>3946</v>
      </c>
      <c r="L2878" t="s">
        <v>21</v>
      </c>
    </row>
    <row r="2879" spans="1:12">
      <c r="A2879" t="s">
        <v>3949</v>
      </c>
      <c r="B2879" t="s">
        <v>3905</v>
      </c>
      <c r="C2879" t="s">
        <v>130</v>
      </c>
      <c r="D2879">
        <v>2007</v>
      </c>
      <c r="E2879" t="s">
        <v>15</v>
      </c>
      <c r="F2879" t="s">
        <v>16</v>
      </c>
      <c r="G2879" t="s">
        <v>17</v>
      </c>
      <c r="H2879" t="s">
        <v>18</v>
      </c>
      <c r="I2879">
        <v>54.466999999999999</v>
      </c>
      <c r="J2879" t="s">
        <v>19</v>
      </c>
      <c r="K2879" t="s">
        <v>3950</v>
      </c>
      <c r="L2879" t="s">
        <v>21</v>
      </c>
    </row>
    <row r="2880" spans="1:12">
      <c r="A2880" t="s">
        <v>3951</v>
      </c>
      <c r="B2880" t="s">
        <v>3905</v>
      </c>
      <c r="C2880" t="s">
        <v>130</v>
      </c>
      <c r="D2880">
        <v>2007</v>
      </c>
      <c r="E2880" t="s">
        <v>23</v>
      </c>
      <c r="F2880" t="s">
        <v>24</v>
      </c>
      <c r="G2880" t="s">
        <v>25</v>
      </c>
      <c r="H2880" t="s">
        <v>26</v>
      </c>
      <c r="I2880">
        <v>12031795</v>
      </c>
      <c r="J2880" t="s">
        <v>27</v>
      </c>
      <c r="K2880" t="s">
        <v>3950</v>
      </c>
      <c r="L2880" t="s">
        <v>21</v>
      </c>
    </row>
    <row r="2881" spans="1:12">
      <c r="A2881" t="s">
        <v>3952</v>
      </c>
      <c r="B2881" t="s">
        <v>3905</v>
      </c>
      <c r="C2881" t="s">
        <v>130</v>
      </c>
      <c r="D2881">
        <v>2007</v>
      </c>
      <c r="E2881" t="s">
        <v>29</v>
      </c>
      <c r="F2881" t="s">
        <v>30</v>
      </c>
      <c r="G2881" t="s">
        <v>31</v>
      </c>
      <c r="H2881" t="s">
        <v>32</v>
      </c>
      <c r="I2881">
        <v>1042.581557</v>
      </c>
      <c r="J2881" t="s">
        <v>33</v>
      </c>
      <c r="K2881" t="s">
        <v>3950</v>
      </c>
      <c r="L2881" t="s">
        <v>21</v>
      </c>
    </row>
    <row r="2882" spans="1:12">
      <c r="A2882" t="s">
        <v>3953</v>
      </c>
      <c r="B2882" t="s">
        <v>3954</v>
      </c>
      <c r="C2882" t="s">
        <v>130</v>
      </c>
      <c r="D2882">
        <v>1952</v>
      </c>
      <c r="E2882" t="s">
        <v>15</v>
      </c>
      <c r="F2882" t="s">
        <v>16</v>
      </c>
      <c r="G2882" t="s">
        <v>17</v>
      </c>
      <c r="H2882" t="s">
        <v>18</v>
      </c>
      <c r="I2882">
        <v>40.542999999999999</v>
      </c>
      <c r="J2882" t="s">
        <v>19</v>
      </c>
      <c r="K2882" t="s">
        <v>3955</v>
      </c>
      <c r="L2882" t="s">
        <v>21</v>
      </c>
    </row>
    <row r="2883" spans="1:12">
      <c r="A2883" t="s">
        <v>3956</v>
      </c>
      <c r="B2883" t="s">
        <v>3954</v>
      </c>
      <c r="C2883" t="s">
        <v>130</v>
      </c>
      <c r="D2883">
        <v>1952</v>
      </c>
      <c r="E2883" t="s">
        <v>23</v>
      </c>
      <c r="F2883" t="s">
        <v>24</v>
      </c>
      <c r="G2883" t="s">
        <v>25</v>
      </c>
      <c r="H2883" t="s">
        <v>26</v>
      </c>
      <c r="I2883">
        <v>1022556</v>
      </c>
      <c r="J2883" t="s">
        <v>27</v>
      </c>
      <c r="K2883" t="s">
        <v>3955</v>
      </c>
      <c r="L2883" t="s">
        <v>21</v>
      </c>
    </row>
    <row r="2884" spans="1:12">
      <c r="A2884" t="s">
        <v>3957</v>
      </c>
      <c r="B2884" t="s">
        <v>3954</v>
      </c>
      <c r="C2884" t="s">
        <v>130</v>
      </c>
      <c r="D2884">
        <v>1952</v>
      </c>
      <c r="E2884" t="s">
        <v>29</v>
      </c>
      <c r="F2884" t="s">
        <v>30</v>
      </c>
      <c r="G2884" t="s">
        <v>31</v>
      </c>
      <c r="H2884" t="s">
        <v>32</v>
      </c>
      <c r="I2884">
        <v>743.11590969999997</v>
      </c>
      <c r="J2884" t="s">
        <v>33</v>
      </c>
      <c r="K2884" t="s">
        <v>3955</v>
      </c>
      <c r="L2884" t="s">
        <v>21</v>
      </c>
    </row>
    <row r="2885" spans="1:12">
      <c r="A2885" t="s">
        <v>3958</v>
      </c>
      <c r="B2885" t="s">
        <v>3954</v>
      </c>
      <c r="C2885" t="s">
        <v>130</v>
      </c>
      <c r="D2885">
        <v>1957</v>
      </c>
      <c r="E2885" t="s">
        <v>15</v>
      </c>
      <c r="F2885" t="s">
        <v>16</v>
      </c>
      <c r="G2885" t="s">
        <v>17</v>
      </c>
      <c r="H2885" t="s">
        <v>18</v>
      </c>
      <c r="I2885">
        <v>42.338000000000001</v>
      </c>
      <c r="J2885" t="s">
        <v>19</v>
      </c>
      <c r="K2885" t="s">
        <v>3959</v>
      </c>
      <c r="L2885" t="s">
        <v>21</v>
      </c>
    </row>
    <row r="2886" spans="1:12">
      <c r="A2886" t="s">
        <v>3960</v>
      </c>
      <c r="B2886" t="s">
        <v>3954</v>
      </c>
      <c r="C2886" t="s">
        <v>130</v>
      </c>
      <c r="D2886">
        <v>1957</v>
      </c>
      <c r="E2886" t="s">
        <v>23</v>
      </c>
      <c r="F2886" t="s">
        <v>24</v>
      </c>
      <c r="G2886" t="s">
        <v>25</v>
      </c>
      <c r="H2886" t="s">
        <v>26</v>
      </c>
      <c r="I2886">
        <v>1076852</v>
      </c>
      <c r="J2886" t="s">
        <v>27</v>
      </c>
      <c r="K2886" t="s">
        <v>3959</v>
      </c>
      <c r="L2886" t="s">
        <v>21</v>
      </c>
    </row>
    <row r="2887" spans="1:12">
      <c r="A2887" t="s">
        <v>3961</v>
      </c>
      <c r="B2887" t="s">
        <v>3954</v>
      </c>
      <c r="C2887" t="s">
        <v>130</v>
      </c>
      <c r="D2887">
        <v>1957</v>
      </c>
      <c r="E2887" t="s">
        <v>29</v>
      </c>
      <c r="F2887" t="s">
        <v>30</v>
      </c>
      <c r="G2887" t="s">
        <v>31</v>
      </c>
      <c r="H2887" t="s">
        <v>32</v>
      </c>
      <c r="I2887">
        <v>846.12026130000004</v>
      </c>
      <c r="J2887" t="s">
        <v>33</v>
      </c>
      <c r="K2887" t="s">
        <v>3959</v>
      </c>
      <c r="L2887" t="s">
        <v>21</v>
      </c>
    </row>
    <row r="2888" spans="1:12">
      <c r="A2888" t="s">
        <v>3962</v>
      </c>
      <c r="B2888" t="s">
        <v>3954</v>
      </c>
      <c r="C2888" t="s">
        <v>130</v>
      </c>
      <c r="D2888">
        <v>1962</v>
      </c>
      <c r="E2888" t="s">
        <v>15</v>
      </c>
      <c r="F2888" t="s">
        <v>16</v>
      </c>
      <c r="G2888" t="s">
        <v>17</v>
      </c>
      <c r="H2888" t="s">
        <v>18</v>
      </c>
      <c r="I2888">
        <v>44.247999999999998</v>
      </c>
      <c r="J2888" t="s">
        <v>19</v>
      </c>
      <c r="K2888" t="s">
        <v>3963</v>
      </c>
      <c r="L2888" t="s">
        <v>21</v>
      </c>
    </row>
    <row r="2889" spans="1:12">
      <c r="A2889" t="s">
        <v>3964</v>
      </c>
      <c r="B2889" t="s">
        <v>3954</v>
      </c>
      <c r="C2889" t="s">
        <v>130</v>
      </c>
      <c r="D2889">
        <v>1962</v>
      </c>
      <c r="E2889" t="s">
        <v>23</v>
      </c>
      <c r="F2889" t="s">
        <v>24</v>
      </c>
      <c r="G2889" t="s">
        <v>25</v>
      </c>
      <c r="H2889" t="s">
        <v>26</v>
      </c>
      <c r="I2889">
        <v>1146757</v>
      </c>
      <c r="J2889" t="s">
        <v>27</v>
      </c>
      <c r="K2889" t="s">
        <v>3963</v>
      </c>
      <c r="L2889" t="s">
        <v>21</v>
      </c>
    </row>
    <row r="2890" spans="1:12">
      <c r="A2890" t="s">
        <v>3965</v>
      </c>
      <c r="B2890" t="s">
        <v>3954</v>
      </c>
      <c r="C2890" t="s">
        <v>130</v>
      </c>
      <c r="D2890">
        <v>1962</v>
      </c>
      <c r="E2890" t="s">
        <v>29</v>
      </c>
      <c r="F2890" t="s">
        <v>30</v>
      </c>
      <c r="G2890" t="s">
        <v>31</v>
      </c>
      <c r="H2890" t="s">
        <v>32</v>
      </c>
      <c r="I2890">
        <v>1055.8960360000001</v>
      </c>
      <c r="J2890" t="s">
        <v>33</v>
      </c>
      <c r="K2890" t="s">
        <v>3963</v>
      </c>
      <c r="L2890" t="s">
        <v>21</v>
      </c>
    </row>
    <row r="2891" spans="1:12">
      <c r="A2891" t="s">
        <v>3966</v>
      </c>
      <c r="B2891" t="s">
        <v>3954</v>
      </c>
      <c r="C2891" t="s">
        <v>130</v>
      </c>
      <c r="D2891">
        <v>1967</v>
      </c>
      <c r="E2891" t="s">
        <v>15</v>
      </c>
      <c r="F2891" t="s">
        <v>16</v>
      </c>
      <c r="G2891" t="s">
        <v>17</v>
      </c>
      <c r="H2891" t="s">
        <v>18</v>
      </c>
      <c r="I2891">
        <v>46.289000000000001</v>
      </c>
      <c r="J2891" t="s">
        <v>19</v>
      </c>
      <c r="K2891" t="s">
        <v>3967</v>
      </c>
      <c r="L2891" t="s">
        <v>21</v>
      </c>
    </row>
    <row r="2892" spans="1:12">
      <c r="A2892" t="s">
        <v>3968</v>
      </c>
      <c r="B2892" t="s">
        <v>3954</v>
      </c>
      <c r="C2892" t="s">
        <v>130</v>
      </c>
      <c r="D2892">
        <v>1967</v>
      </c>
      <c r="E2892" t="s">
        <v>23</v>
      </c>
      <c r="F2892" t="s">
        <v>24</v>
      </c>
      <c r="G2892" t="s">
        <v>25</v>
      </c>
      <c r="H2892" t="s">
        <v>26</v>
      </c>
      <c r="I2892">
        <v>1230542</v>
      </c>
      <c r="J2892" t="s">
        <v>27</v>
      </c>
      <c r="K2892" t="s">
        <v>3967</v>
      </c>
      <c r="L2892" t="s">
        <v>21</v>
      </c>
    </row>
    <row r="2893" spans="1:12">
      <c r="A2893" t="s">
        <v>3969</v>
      </c>
      <c r="B2893" t="s">
        <v>3954</v>
      </c>
      <c r="C2893" t="s">
        <v>130</v>
      </c>
      <c r="D2893">
        <v>1967</v>
      </c>
      <c r="E2893" t="s">
        <v>29</v>
      </c>
      <c r="F2893" t="s">
        <v>30</v>
      </c>
      <c r="G2893" t="s">
        <v>31</v>
      </c>
      <c r="H2893" t="s">
        <v>32</v>
      </c>
      <c r="I2893">
        <v>1421.1451930000001</v>
      </c>
      <c r="J2893" t="s">
        <v>33</v>
      </c>
      <c r="K2893" t="s">
        <v>3967</v>
      </c>
      <c r="L2893" t="s">
        <v>21</v>
      </c>
    </row>
    <row r="2894" spans="1:12">
      <c r="A2894" t="s">
        <v>3970</v>
      </c>
      <c r="B2894" t="s">
        <v>3954</v>
      </c>
      <c r="C2894" t="s">
        <v>130</v>
      </c>
      <c r="D2894">
        <v>1972</v>
      </c>
      <c r="E2894" t="s">
        <v>15</v>
      </c>
      <c r="F2894" t="s">
        <v>16</v>
      </c>
      <c r="G2894" t="s">
        <v>17</v>
      </c>
      <c r="H2894" t="s">
        <v>18</v>
      </c>
      <c r="I2894">
        <v>48.436999999999998</v>
      </c>
      <c r="J2894" t="s">
        <v>19</v>
      </c>
      <c r="K2894" t="s">
        <v>3971</v>
      </c>
      <c r="L2894" t="s">
        <v>21</v>
      </c>
    </row>
    <row r="2895" spans="1:12">
      <c r="A2895" t="s">
        <v>3972</v>
      </c>
      <c r="B2895" t="s">
        <v>3954</v>
      </c>
      <c r="C2895" t="s">
        <v>130</v>
      </c>
      <c r="D2895">
        <v>1972</v>
      </c>
      <c r="E2895" t="s">
        <v>23</v>
      </c>
      <c r="F2895" t="s">
        <v>24</v>
      </c>
      <c r="G2895" t="s">
        <v>25</v>
      </c>
      <c r="H2895" t="s">
        <v>26</v>
      </c>
      <c r="I2895">
        <v>1332786</v>
      </c>
      <c r="J2895" t="s">
        <v>27</v>
      </c>
      <c r="K2895" t="s">
        <v>3971</v>
      </c>
      <c r="L2895" t="s">
        <v>21</v>
      </c>
    </row>
    <row r="2896" spans="1:12">
      <c r="A2896" t="s">
        <v>3973</v>
      </c>
      <c r="B2896" t="s">
        <v>3954</v>
      </c>
      <c r="C2896" t="s">
        <v>130</v>
      </c>
      <c r="D2896">
        <v>1972</v>
      </c>
      <c r="E2896" t="s">
        <v>29</v>
      </c>
      <c r="F2896" t="s">
        <v>30</v>
      </c>
      <c r="G2896" t="s">
        <v>31</v>
      </c>
      <c r="H2896" t="s">
        <v>32</v>
      </c>
      <c r="I2896">
        <v>1586.8517810000001</v>
      </c>
      <c r="J2896" t="s">
        <v>33</v>
      </c>
      <c r="K2896" t="s">
        <v>3971</v>
      </c>
      <c r="L2896" t="s">
        <v>21</v>
      </c>
    </row>
    <row r="2897" spans="1:12">
      <c r="A2897" t="s">
        <v>3974</v>
      </c>
      <c r="B2897" t="s">
        <v>3954</v>
      </c>
      <c r="C2897" t="s">
        <v>130</v>
      </c>
      <c r="D2897">
        <v>1977</v>
      </c>
      <c r="E2897" t="s">
        <v>15</v>
      </c>
      <c r="F2897" t="s">
        <v>16</v>
      </c>
      <c r="G2897" t="s">
        <v>17</v>
      </c>
      <c r="H2897" t="s">
        <v>18</v>
      </c>
      <c r="I2897">
        <v>50.851999999999997</v>
      </c>
      <c r="J2897" t="s">
        <v>19</v>
      </c>
      <c r="K2897" t="s">
        <v>3975</v>
      </c>
      <c r="L2897" t="s">
        <v>21</v>
      </c>
    </row>
    <row r="2898" spans="1:12">
      <c r="A2898" t="s">
        <v>3976</v>
      </c>
      <c r="B2898" t="s">
        <v>3954</v>
      </c>
      <c r="C2898" t="s">
        <v>130</v>
      </c>
      <c r="D2898">
        <v>1977</v>
      </c>
      <c r="E2898" t="s">
        <v>23</v>
      </c>
      <c r="F2898" t="s">
        <v>24</v>
      </c>
      <c r="G2898" t="s">
        <v>25</v>
      </c>
      <c r="H2898" t="s">
        <v>26</v>
      </c>
      <c r="I2898">
        <v>1456688</v>
      </c>
      <c r="J2898" t="s">
        <v>27</v>
      </c>
      <c r="K2898" t="s">
        <v>3975</v>
      </c>
      <c r="L2898" t="s">
        <v>21</v>
      </c>
    </row>
    <row r="2899" spans="1:12">
      <c r="A2899" t="s">
        <v>3977</v>
      </c>
      <c r="B2899" t="s">
        <v>3954</v>
      </c>
      <c r="C2899" t="s">
        <v>130</v>
      </c>
      <c r="D2899">
        <v>1977</v>
      </c>
      <c r="E2899" t="s">
        <v>29</v>
      </c>
      <c r="F2899" t="s">
        <v>30</v>
      </c>
      <c r="G2899" t="s">
        <v>31</v>
      </c>
      <c r="H2899" t="s">
        <v>32</v>
      </c>
      <c r="I2899">
        <v>1497.492223</v>
      </c>
      <c r="J2899" t="s">
        <v>33</v>
      </c>
      <c r="K2899" t="s">
        <v>3975</v>
      </c>
      <c r="L2899" t="s">
        <v>21</v>
      </c>
    </row>
    <row r="2900" spans="1:12">
      <c r="A2900" t="s">
        <v>3978</v>
      </c>
      <c r="B2900" t="s">
        <v>3954</v>
      </c>
      <c r="C2900" t="s">
        <v>130</v>
      </c>
      <c r="D2900">
        <v>1982</v>
      </c>
      <c r="E2900" t="s">
        <v>15</v>
      </c>
      <c r="F2900" t="s">
        <v>16</v>
      </c>
      <c r="G2900" t="s">
        <v>17</v>
      </c>
      <c r="H2900" t="s">
        <v>18</v>
      </c>
      <c r="I2900">
        <v>53.598999999999997</v>
      </c>
      <c r="J2900" t="s">
        <v>19</v>
      </c>
      <c r="K2900" t="s">
        <v>3979</v>
      </c>
      <c r="L2900" t="s">
        <v>21</v>
      </c>
    </row>
    <row r="2901" spans="1:12">
      <c r="A2901" t="s">
        <v>3980</v>
      </c>
      <c r="B2901" t="s">
        <v>3954</v>
      </c>
      <c r="C2901" t="s">
        <v>130</v>
      </c>
      <c r="D2901">
        <v>1982</v>
      </c>
      <c r="E2901" t="s">
        <v>23</v>
      </c>
      <c r="F2901" t="s">
        <v>24</v>
      </c>
      <c r="G2901" t="s">
        <v>25</v>
      </c>
      <c r="H2901" t="s">
        <v>26</v>
      </c>
      <c r="I2901">
        <v>1622136</v>
      </c>
      <c r="J2901" t="s">
        <v>27</v>
      </c>
      <c r="K2901" t="s">
        <v>3979</v>
      </c>
      <c r="L2901" t="s">
        <v>21</v>
      </c>
    </row>
    <row r="2902" spans="1:12">
      <c r="A2902" t="s">
        <v>3981</v>
      </c>
      <c r="B2902" t="s">
        <v>3954</v>
      </c>
      <c r="C2902" t="s">
        <v>130</v>
      </c>
      <c r="D2902">
        <v>1982</v>
      </c>
      <c r="E2902" t="s">
        <v>29</v>
      </c>
      <c r="F2902" t="s">
        <v>30</v>
      </c>
      <c r="G2902" t="s">
        <v>31</v>
      </c>
      <c r="H2902" t="s">
        <v>32</v>
      </c>
      <c r="I2902">
        <v>1481.150189</v>
      </c>
      <c r="J2902" t="s">
        <v>33</v>
      </c>
      <c r="K2902" t="s">
        <v>3979</v>
      </c>
      <c r="L2902" t="s">
        <v>21</v>
      </c>
    </row>
    <row r="2903" spans="1:12">
      <c r="A2903" t="s">
        <v>3982</v>
      </c>
      <c r="B2903" t="s">
        <v>3954</v>
      </c>
      <c r="C2903" t="s">
        <v>130</v>
      </c>
      <c r="D2903">
        <v>1987</v>
      </c>
      <c r="E2903" t="s">
        <v>15</v>
      </c>
      <c r="F2903" t="s">
        <v>16</v>
      </c>
      <c r="G2903" t="s">
        <v>17</v>
      </c>
      <c r="H2903" t="s">
        <v>18</v>
      </c>
      <c r="I2903">
        <v>56.145000000000003</v>
      </c>
      <c r="J2903" t="s">
        <v>19</v>
      </c>
      <c r="K2903" t="s">
        <v>3983</v>
      </c>
      <c r="L2903" t="s">
        <v>21</v>
      </c>
    </row>
    <row r="2904" spans="1:12">
      <c r="A2904" t="s">
        <v>3984</v>
      </c>
      <c r="B2904" t="s">
        <v>3954</v>
      </c>
      <c r="C2904" t="s">
        <v>130</v>
      </c>
      <c r="D2904">
        <v>1987</v>
      </c>
      <c r="E2904" t="s">
        <v>23</v>
      </c>
      <c r="F2904" t="s">
        <v>24</v>
      </c>
      <c r="G2904" t="s">
        <v>25</v>
      </c>
      <c r="H2904" t="s">
        <v>26</v>
      </c>
      <c r="I2904">
        <v>1841240</v>
      </c>
      <c r="J2904" t="s">
        <v>27</v>
      </c>
      <c r="K2904" t="s">
        <v>3983</v>
      </c>
      <c r="L2904" t="s">
        <v>21</v>
      </c>
    </row>
    <row r="2905" spans="1:12">
      <c r="A2905" t="s">
        <v>3985</v>
      </c>
      <c r="B2905" t="s">
        <v>3954</v>
      </c>
      <c r="C2905" t="s">
        <v>130</v>
      </c>
      <c r="D2905">
        <v>1987</v>
      </c>
      <c r="E2905" t="s">
        <v>29</v>
      </c>
      <c r="F2905" t="s">
        <v>30</v>
      </c>
      <c r="G2905" t="s">
        <v>31</v>
      </c>
      <c r="H2905" t="s">
        <v>32</v>
      </c>
      <c r="I2905">
        <v>1421.603576</v>
      </c>
      <c r="J2905" t="s">
        <v>33</v>
      </c>
      <c r="K2905" t="s">
        <v>3983</v>
      </c>
      <c r="L2905" t="s">
        <v>21</v>
      </c>
    </row>
    <row r="2906" spans="1:12">
      <c r="A2906" t="s">
        <v>3986</v>
      </c>
      <c r="B2906" t="s">
        <v>3954</v>
      </c>
      <c r="C2906" t="s">
        <v>130</v>
      </c>
      <c r="D2906">
        <v>1992</v>
      </c>
      <c r="E2906" t="s">
        <v>15</v>
      </c>
      <c r="F2906" t="s">
        <v>16</v>
      </c>
      <c r="G2906" t="s">
        <v>17</v>
      </c>
      <c r="H2906" t="s">
        <v>18</v>
      </c>
      <c r="I2906">
        <v>58.332999999999998</v>
      </c>
      <c r="J2906" t="s">
        <v>19</v>
      </c>
      <c r="K2906" t="s">
        <v>3987</v>
      </c>
      <c r="L2906" t="s">
        <v>21</v>
      </c>
    </row>
    <row r="2907" spans="1:12">
      <c r="A2907" t="s">
        <v>3988</v>
      </c>
      <c r="B2907" t="s">
        <v>3954</v>
      </c>
      <c r="C2907" t="s">
        <v>130</v>
      </c>
      <c r="D2907">
        <v>1992</v>
      </c>
      <c r="E2907" t="s">
        <v>23</v>
      </c>
      <c r="F2907" t="s">
        <v>24</v>
      </c>
      <c r="G2907" t="s">
        <v>25</v>
      </c>
      <c r="H2907" t="s">
        <v>26</v>
      </c>
      <c r="I2907">
        <v>2119465</v>
      </c>
      <c r="J2907" t="s">
        <v>27</v>
      </c>
      <c r="K2907" t="s">
        <v>3987</v>
      </c>
      <c r="L2907" t="s">
        <v>21</v>
      </c>
    </row>
    <row r="2908" spans="1:12">
      <c r="A2908" t="s">
        <v>3989</v>
      </c>
      <c r="B2908" t="s">
        <v>3954</v>
      </c>
      <c r="C2908" t="s">
        <v>130</v>
      </c>
      <c r="D2908">
        <v>1992</v>
      </c>
      <c r="E2908" t="s">
        <v>29</v>
      </c>
      <c r="F2908" t="s">
        <v>30</v>
      </c>
      <c r="G2908" t="s">
        <v>31</v>
      </c>
      <c r="H2908" t="s">
        <v>32</v>
      </c>
      <c r="I2908">
        <v>1361.369784</v>
      </c>
      <c r="J2908" t="s">
        <v>33</v>
      </c>
      <c r="K2908" t="s">
        <v>3987</v>
      </c>
      <c r="L2908" t="s">
        <v>21</v>
      </c>
    </row>
    <row r="2909" spans="1:12">
      <c r="A2909" t="s">
        <v>3990</v>
      </c>
      <c r="B2909" t="s">
        <v>3954</v>
      </c>
      <c r="C2909" t="s">
        <v>130</v>
      </c>
      <c r="D2909">
        <v>1997</v>
      </c>
      <c r="E2909" t="s">
        <v>15</v>
      </c>
      <c r="F2909" t="s">
        <v>16</v>
      </c>
      <c r="G2909" t="s">
        <v>17</v>
      </c>
      <c r="H2909" t="s">
        <v>18</v>
      </c>
      <c r="I2909">
        <v>60.43</v>
      </c>
      <c r="J2909" t="s">
        <v>19</v>
      </c>
      <c r="K2909" t="s">
        <v>3991</v>
      </c>
      <c r="L2909" t="s">
        <v>21</v>
      </c>
    </row>
    <row r="2910" spans="1:12">
      <c r="A2910" t="s">
        <v>3992</v>
      </c>
      <c r="B2910" t="s">
        <v>3954</v>
      </c>
      <c r="C2910" t="s">
        <v>130</v>
      </c>
      <c r="D2910">
        <v>1997</v>
      </c>
      <c r="E2910" t="s">
        <v>23</v>
      </c>
      <c r="F2910" t="s">
        <v>24</v>
      </c>
      <c r="G2910" t="s">
        <v>25</v>
      </c>
      <c r="H2910" t="s">
        <v>26</v>
      </c>
      <c r="I2910">
        <v>2444741</v>
      </c>
      <c r="J2910" t="s">
        <v>27</v>
      </c>
      <c r="K2910" t="s">
        <v>3991</v>
      </c>
      <c r="L2910" t="s">
        <v>21</v>
      </c>
    </row>
    <row r="2911" spans="1:12">
      <c r="A2911" t="s">
        <v>3993</v>
      </c>
      <c r="B2911" t="s">
        <v>3954</v>
      </c>
      <c r="C2911" t="s">
        <v>130</v>
      </c>
      <c r="D2911">
        <v>1997</v>
      </c>
      <c r="E2911" t="s">
        <v>29</v>
      </c>
      <c r="F2911" t="s">
        <v>30</v>
      </c>
      <c r="G2911" t="s">
        <v>31</v>
      </c>
      <c r="H2911" t="s">
        <v>32</v>
      </c>
      <c r="I2911">
        <v>1483.1361360000001</v>
      </c>
      <c r="J2911" t="s">
        <v>33</v>
      </c>
      <c r="K2911" t="s">
        <v>3991</v>
      </c>
      <c r="L2911" t="s">
        <v>21</v>
      </c>
    </row>
    <row r="2912" spans="1:12">
      <c r="A2912" t="s">
        <v>3994</v>
      </c>
      <c r="B2912" t="s">
        <v>3954</v>
      </c>
      <c r="C2912" t="s">
        <v>130</v>
      </c>
      <c r="D2912">
        <v>2002</v>
      </c>
      <c r="E2912" t="s">
        <v>15</v>
      </c>
      <c r="F2912" t="s">
        <v>16</v>
      </c>
      <c r="G2912" t="s">
        <v>17</v>
      </c>
      <c r="H2912" t="s">
        <v>18</v>
      </c>
      <c r="I2912">
        <v>62.247</v>
      </c>
      <c r="J2912" t="s">
        <v>19</v>
      </c>
      <c r="K2912" t="s">
        <v>3995</v>
      </c>
      <c r="L2912" t="s">
        <v>21</v>
      </c>
    </row>
    <row r="2913" spans="1:12">
      <c r="A2913" t="s">
        <v>3996</v>
      </c>
      <c r="B2913" t="s">
        <v>3954</v>
      </c>
      <c r="C2913" t="s">
        <v>130</v>
      </c>
      <c r="D2913">
        <v>2002</v>
      </c>
      <c r="E2913" t="s">
        <v>23</v>
      </c>
      <c r="F2913" t="s">
        <v>24</v>
      </c>
      <c r="G2913" t="s">
        <v>25</v>
      </c>
      <c r="H2913" t="s">
        <v>26</v>
      </c>
      <c r="I2913">
        <v>2828858</v>
      </c>
      <c r="J2913" t="s">
        <v>27</v>
      </c>
      <c r="K2913" t="s">
        <v>3995</v>
      </c>
      <c r="L2913" t="s">
        <v>21</v>
      </c>
    </row>
    <row r="2914" spans="1:12">
      <c r="A2914" t="s">
        <v>3997</v>
      </c>
      <c r="B2914" t="s">
        <v>3954</v>
      </c>
      <c r="C2914" t="s">
        <v>130</v>
      </c>
      <c r="D2914">
        <v>2002</v>
      </c>
      <c r="E2914" t="s">
        <v>29</v>
      </c>
      <c r="F2914" t="s">
        <v>30</v>
      </c>
      <c r="G2914" t="s">
        <v>31</v>
      </c>
      <c r="H2914" t="s">
        <v>32</v>
      </c>
      <c r="I2914">
        <v>1579.0195430000001</v>
      </c>
      <c r="J2914" t="s">
        <v>33</v>
      </c>
      <c r="K2914" t="s">
        <v>3995</v>
      </c>
      <c r="L2914" t="s">
        <v>21</v>
      </c>
    </row>
    <row r="2915" spans="1:12">
      <c r="A2915" t="s">
        <v>3998</v>
      </c>
      <c r="B2915" t="s">
        <v>3954</v>
      </c>
      <c r="C2915" t="s">
        <v>130</v>
      </c>
      <c r="D2915">
        <v>2007</v>
      </c>
      <c r="E2915" t="s">
        <v>15</v>
      </c>
      <c r="F2915" t="s">
        <v>16</v>
      </c>
      <c r="G2915" t="s">
        <v>17</v>
      </c>
      <c r="H2915" t="s">
        <v>18</v>
      </c>
      <c r="I2915">
        <v>64.164000000000001</v>
      </c>
      <c r="J2915" t="s">
        <v>19</v>
      </c>
      <c r="K2915" t="s">
        <v>3999</v>
      </c>
      <c r="L2915" t="s">
        <v>21</v>
      </c>
    </row>
    <row r="2916" spans="1:12">
      <c r="A2916" t="s">
        <v>4000</v>
      </c>
      <c r="B2916" t="s">
        <v>3954</v>
      </c>
      <c r="C2916" t="s">
        <v>130</v>
      </c>
      <c r="D2916">
        <v>2007</v>
      </c>
      <c r="E2916" t="s">
        <v>23</v>
      </c>
      <c r="F2916" t="s">
        <v>24</v>
      </c>
      <c r="G2916" t="s">
        <v>25</v>
      </c>
      <c r="H2916" t="s">
        <v>26</v>
      </c>
      <c r="I2916">
        <v>3270065</v>
      </c>
      <c r="J2916" t="s">
        <v>27</v>
      </c>
      <c r="K2916" t="s">
        <v>3999</v>
      </c>
      <c r="L2916" t="s">
        <v>21</v>
      </c>
    </row>
    <row r="2917" spans="1:12">
      <c r="A2917" t="s">
        <v>4001</v>
      </c>
      <c r="B2917" t="s">
        <v>3954</v>
      </c>
      <c r="C2917" t="s">
        <v>130</v>
      </c>
      <c r="D2917">
        <v>2007</v>
      </c>
      <c r="E2917" t="s">
        <v>29</v>
      </c>
      <c r="F2917" t="s">
        <v>30</v>
      </c>
      <c r="G2917" t="s">
        <v>31</v>
      </c>
      <c r="H2917" t="s">
        <v>32</v>
      </c>
      <c r="I2917">
        <v>1803.151496</v>
      </c>
      <c r="J2917" t="s">
        <v>33</v>
      </c>
      <c r="K2917" t="s">
        <v>3999</v>
      </c>
      <c r="L2917" t="s">
        <v>21</v>
      </c>
    </row>
    <row r="2918" spans="1:12">
      <c r="A2918" t="s">
        <v>4002</v>
      </c>
      <c r="B2918" t="s">
        <v>4003</v>
      </c>
      <c r="C2918" t="s">
        <v>130</v>
      </c>
      <c r="D2918">
        <v>1952</v>
      </c>
      <c r="E2918" t="s">
        <v>15</v>
      </c>
      <c r="F2918" t="s">
        <v>16</v>
      </c>
      <c r="G2918" t="s">
        <v>17</v>
      </c>
      <c r="H2918" t="s">
        <v>18</v>
      </c>
      <c r="I2918">
        <v>50.985999999999997</v>
      </c>
      <c r="J2918" t="s">
        <v>19</v>
      </c>
      <c r="K2918" t="s">
        <v>4004</v>
      </c>
      <c r="L2918" t="s">
        <v>21</v>
      </c>
    </row>
    <row r="2919" spans="1:12">
      <c r="A2919" t="s">
        <v>4005</v>
      </c>
      <c r="B2919" t="s">
        <v>4003</v>
      </c>
      <c r="C2919" t="s">
        <v>130</v>
      </c>
      <c r="D2919">
        <v>1952</v>
      </c>
      <c r="E2919" t="s">
        <v>23</v>
      </c>
      <c r="F2919" t="s">
        <v>24</v>
      </c>
      <c r="G2919" t="s">
        <v>25</v>
      </c>
      <c r="H2919" t="s">
        <v>26</v>
      </c>
      <c r="I2919">
        <v>516556</v>
      </c>
      <c r="J2919" t="s">
        <v>27</v>
      </c>
      <c r="K2919" t="s">
        <v>4004</v>
      </c>
      <c r="L2919" t="s">
        <v>21</v>
      </c>
    </row>
    <row r="2920" spans="1:12">
      <c r="A2920" t="s">
        <v>4006</v>
      </c>
      <c r="B2920" t="s">
        <v>4003</v>
      </c>
      <c r="C2920" t="s">
        <v>130</v>
      </c>
      <c r="D2920">
        <v>1952</v>
      </c>
      <c r="E2920" t="s">
        <v>29</v>
      </c>
      <c r="F2920" t="s">
        <v>30</v>
      </c>
      <c r="G2920" t="s">
        <v>31</v>
      </c>
      <c r="H2920" t="s">
        <v>32</v>
      </c>
      <c r="I2920">
        <v>1967.9557070000001</v>
      </c>
      <c r="J2920" t="s">
        <v>33</v>
      </c>
      <c r="K2920" t="s">
        <v>4004</v>
      </c>
      <c r="L2920" t="s">
        <v>21</v>
      </c>
    </row>
    <row r="2921" spans="1:12">
      <c r="A2921" t="s">
        <v>4007</v>
      </c>
      <c r="B2921" t="s">
        <v>4003</v>
      </c>
      <c r="C2921" t="s">
        <v>130</v>
      </c>
      <c r="D2921">
        <v>1957</v>
      </c>
      <c r="E2921" t="s">
        <v>15</v>
      </c>
      <c r="F2921" t="s">
        <v>16</v>
      </c>
      <c r="G2921" t="s">
        <v>17</v>
      </c>
      <c r="H2921" t="s">
        <v>18</v>
      </c>
      <c r="I2921">
        <v>58.088999999999999</v>
      </c>
      <c r="J2921" t="s">
        <v>19</v>
      </c>
      <c r="K2921" t="s">
        <v>4008</v>
      </c>
      <c r="L2921" t="s">
        <v>21</v>
      </c>
    </row>
    <row r="2922" spans="1:12">
      <c r="A2922" t="s">
        <v>4009</v>
      </c>
      <c r="B2922" t="s">
        <v>4003</v>
      </c>
      <c r="C2922" t="s">
        <v>130</v>
      </c>
      <c r="D2922">
        <v>1957</v>
      </c>
      <c r="E2922" t="s">
        <v>23</v>
      </c>
      <c r="F2922" t="s">
        <v>24</v>
      </c>
      <c r="G2922" t="s">
        <v>25</v>
      </c>
      <c r="H2922" t="s">
        <v>26</v>
      </c>
      <c r="I2922">
        <v>609816</v>
      </c>
      <c r="J2922" t="s">
        <v>27</v>
      </c>
      <c r="K2922" t="s">
        <v>4008</v>
      </c>
      <c r="L2922" t="s">
        <v>21</v>
      </c>
    </row>
    <row r="2923" spans="1:12">
      <c r="A2923" t="s">
        <v>4010</v>
      </c>
      <c r="B2923" t="s">
        <v>4003</v>
      </c>
      <c r="C2923" t="s">
        <v>130</v>
      </c>
      <c r="D2923">
        <v>1957</v>
      </c>
      <c r="E2923" t="s">
        <v>29</v>
      </c>
      <c r="F2923" t="s">
        <v>30</v>
      </c>
      <c r="G2923" t="s">
        <v>31</v>
      </c>
      <c r="H2923" t="s">
        <v>32</v>
      </c>
      <c r="I2923">
        <v>2034.0379809999999</v>
      </c>
      <c r="J2923" t="s">
        <v>33</v>
      </c>
      <c r="K2923" t="s">
        <v>4008</v>
      </c>
      <c r="L2923" t="s">
        <v>21</v>
      </c>
    </row>
    <row r="2924" spans="1:12">
      <c r="A2924" t="s">
        <v>4011</v>
      </c>
      <c r="B2924" t="s">
        <v>4003</v>
      </c>
      <c r="C2924" t="s">
        <v>130</v>
      </c>
      <c r="D2924">
        <v>1962</v>
      </c>
      <c r="E2924" t="s">
        <v>15</v>
      </c>
      <c r="F2924" t="s">
        <v>16</v>
      </c>
      <c r="G2924" t="s">
        <v>17</v>
      </c>
      <c r="H2924" t="s">
        <v>18</v>
      </c>
      <c r="I2924">
        <v>60.246000000000002</v>
      </c>
      <c r="J2924" t="s">
        <v>19</v>
      </c>
      <c r="K2924" t="s">
        <v>4012</v>
      </c>
      <c r="L2924" t="s">
        <v>21</v>
      </c>
    </row>
    <row r="2925" spans="1:12">
      <c r="A2925" t="s">
        <v>4013</v>
      </c>
      <c r="B2925" t="s">
        <v>4003</v>
      </c>
      <c r="C2925" t="s">
        <v>130</v>
      </c>
      <c r="D2925">
        <v>1962</v>
      </c>
      <c r="E2925" t="s">
        <v>23</v>
      </c>
      <c r="F2925" t="s">
        <v>24</v>
      </c>
      <c r="G2925" t="s">
        <v>25</v>
      </c>
      <c r="H2925" t="s">
        <v>26</v>
      </c>
      <c r="I2925">
        <v>701016</v>
      </c>
      <c r="J2925" t="s">
        <v>27</v>
      </c>
      <c r="K2925" t="s">
        <v>4012</v>
      </c>
      <c r="L2925" t="s">
        <v>21</v>
      </c>
    </row>
    <row r="2926" spans="1:12">
      <c r="A2926" t="s">
        <v>4014</v>
      </c>
      <c r="B2926" t="s">
        <v>4003</v>
      </c>
      <c r="C2926" t="s">
        <v>130</v>
      </c>
      <c r="D2926">
        <v>1962</v>
      </c>
      <c r="E2926" t="s">
        <v>29</v>
      </c>
      <c r="F2926" t="s">
        <v>30</v>
      </c>
      <c r="G2926" t="s">
        <v>31</v>
      </c>
      <c r="H2926" t="s">
        <v>32</v>
      </c>
      <c r="I2926">
        <v>2529.0674869999998</v>
      </c>
      <c r="J2926" t="s">
        <v>33</v>
      </c>
      <c r="K2926" t="s">
        <v>4012</v>
      </c>
      <c r="L2926" t="s">
        <v>21</v>
      </c>
    </row>
    <row r="2927" spans="1:12">
      <c r="A2927" t="s">
        <v>4015</v>
      </c>
      <c r="B2927" t="s">
        <v>4003</v>
      </c>
      <c r="C2927" t="s">
        <v>130</v>
      </c>
      <c r="D2927">
        <v>1967</v>
      </c>
      <c r="E2927" t="s">
        <v>15</v>
      </c>
      <c r="F2927" t="s">
        <v>16</v>
      </c>
      <c r="G2927" t="s">
        <v>17</v>
      </c>
      <c r="H2927" t="s">
        <v>18</v>
      </c>
      <c r="I2927">
        <v>61.557000000000002</v>
      </c>
      <c r="J2927" t="s">
        <v>19</v>
      </c>
      <c r="K2927" t="s">
        <v>4016</v>
      </c>
      <c r="L2927" t="s">
        <v>21</v>
      </c>
    </row>
    <row r="2928" spans="1:12">
      <c r="A2928" t="s">
        <v>4017</v>
      </c>
      <c r="B2928" t="s">
        <v>4003</v>
      </c>
      <c r="C2928" t="s">
        <v>130</v>
      </c>
      <c r="D2928">
        <v>1967</v>
      </c>
      <c r="E2928" t="s">
        <v>23</v>
      </c>
      <c r="F2928" t="s">
        <v>24</v>
      </c>
      <c r="G2928" t="s">
        <v>25</v>
      </c>
      <c r="H2928" t="s">
        <v>26</v>
      </c>
      <c r="I2928">
        <v>789309</v>
      </c>
      <c r="J2928" t="s">
        <v>27</v>
      </c>
      <c r="K2928" t="s">
        <v>4016</v>
      </c>
      <c r="L2928" t="s">
        <v>21</v>
      </c>
    </row>
    <row r="2929" spans="1:12">
      <c r="A2929" t="s">
        <v>4018</v>
      </c>
      <c r="B2929" t="s">
        <v>4003</v>
      </c>
      <c r="C2929" t="s">
        <v>130</v>
      </c>
      <c r="D2929">
        <v>1967</v>
      </c>
      <c r="E2929" t="s">
        <v>29</v>
      </c>
      <c r="F2929" t="s">
        <v>30</v>
      </c>
      <c r="G2929" t="s">
        <v>31</v>
      </c>
      <c r="H2929" t="s">
        <v>32</v>
      </c>
      <c r="I2929">
        <v>2475.3875619999999</v>
      </c>
      <c r="J2929" t="s">
        <v>33</v>
      </c>
      <c r="K2929" t="s">
        <v>4016</v>
      </c>
      <c r="L2929" t="s">
        <v>21</v>
      </c>
    </row>
    <row r="2930" spans="1:12">
      <c r="A2930" t="s">
        <v>4019</v>
      </c>
      <c r="B2930" t="s">
        <v>4003</v>
      </c>
      <c r="C2930" t="s">
        <v>130</v>
      </c>
      <c r="D2930">
        <v>1972</v>
      </c>
      <c r="E2930" t="s">
        <v>15</v>
      </c>
      <c r="F2930" t="s">
        <v>16</v>
      </c>
      <c r="G2930" t="s">
        <v>17</v>
      </c>
      <c r="H2930" t="s">
        <v>18</v>
      </c>
      <c r="I2930">
        <v>62.944000000000003</v>
      </c>
      <c r="J2930" t="s">
        <v>19</v>
      </c>
      <c r="K2930" t="s">
        <v>4020</v>
      </c>
      <c r="L2930" t="s">
        <v>21</v>
      </c>
    </row>
    <row r="2931" spans="1:12">
      <c r="A2931" t="s">
        <v>4021</v>
      </c>
      <c r="B2931" t="s">
        <v>4003</v>
      </c>
      <c r="C2931" t="s">
        <v>130</v>
      </c>
      <c r="D2931">
        <v>1972</v>
      </c>
      <c r="E2931" t="s">
        <v>23</v>
      </c>
      <c r="F2931" t="s">
        <v>24</v>
      </c>
      <c r="G2931" t="s">
        <v>25</v>
      </c>
      <c r="H2931" t="s">
        <v>26</v>
      </c>
      <c r="I2931">
        <v>851334</v>
      </c>
      <c r="J2931" t="s">
        <v>27</v>
      </c>
      <c r="K2931" t="s">
        <v>4020</v>
      </c>
      <c r="L2931" t="s">
        <v>21</v>
      </c>
    </row>
    <row r="2932" spans="1:12">
      <c r="A2932" t="s">
        <v>4022</v>
      </c>
      <c r="B2932" t="s">
        <v>4003</v>
      </c>
      <c r="C2932" t="s">
        <v>130</v>
      </c>
      <c r="D2932">
        <v>1972</v>
      </c>
      <c r="E2932" t="s">
        <v>29</v>
      </c>
      <c r="F2932" t="s">
        <v>30</v>
      </c>
      <c r="G2932" t="s">
        <v>31</v>
      </c>
      <c r="H2932" t="s">
        <v>32</v>
      </c>
      <c r="I2932">
        <v>2575.4841580000002</v>
      </c>
      <c r="J2932" t="s">
        <v>33</v>
      </c>
      <c r="K2932" t="s">
        <v>4020</v>
      </c>
      <c r="L2932" t="s">
        <v>21</v>
      </c>
    </row>
    <row r="2933" spans="1:12">
      <c r="A2933" t="s">
        <v>4023</v>
      </c>
      <c r="B2933" t="s">
        <v>4003</v>
      </c>
      <c r="C2933" t="s">
        <v>130</v>
      </c>
      <c r="D2933">
        <v>1977</v>
      </c>
      <c r="E2933" t="s">
        <v>15</v>
      </c>
      <c r="F2933" t="s">
        <v>16</v>
      </c>
      <c r="G2933" t="s">
        <v>17</v>
      </c>
      <c r="H2933" t="s">
        <v>18</v>
      </c>
      <c r="I2933">
        <v>64.930000000000007</v>
      </c>
      <c r="J2933" t="s">
        <v>19</v>
      </c>
      <c r="K2933" t="s">
        <v>4024</v>
      </c>
      <c r="L2933" t="s">
        <v>21</v>
      </c>
    </row>
    <row r="2934" spans="1:12">
      <c r="A2934" t="s">
        <v>4025</v>
      </c>
      <c r="B2934" t="s">
        <v>4003</v>
      </c>
      <c r="C2934" t="s">
        <v>130</v>
      </c>
      <c r="D2934">
        <v>1977</v>
      </c>
      <c r="E2934" t="s">
        <v>23</v>
      </c>
      <c r="F2934" t="s">
        <v>24</v>
      </c>
      <c r="G2934" t="s">
        <v>25</v>
      </c>
      <c r="H2934" t="s">
        <v>26</v>
      </c>
      <c r="I2934">
        <v>913025</v>
      </c>
      <c r="J2934" t="s">
        <v>27</v>
      </c>
      <c r="K2934" t="s">
        <v>4024</v>
      </c>
      <c r="L2934" t="s">
        <v>21</v>
      </c>
    </row>
    <row r="2935" spans="1:12">
      <c r="A2935" t="s">
        <v>4026</v>
      </c>
      <c r="B2935" t="s">
        <v>4003</v>
      </c>
      <c r="C2935" t="s">
        <v>130</v>
      </c>
      <c r="D2935">
        <v>1977</v>
      </c>
      <c r="E2935" t="s">
        <v>29</v>
      </c>
      <c r="F2935" t="s">
        <v>30</v>
      </c>
      <c r="G2935" t="s">
        <v>31</v>
      </c>
      <c r="H2935" t="s">
        <v>32</v>
      </c>
      <c r="I2935">
        <v>3710.9829629999999</v>
      </c>
      <c r="J2935" t="s">
        <v>33</v>
      </c>
      <c r="K2935" t="s">
        <v>4024</v>
      </c>
      <c r="L2935" t="s">
        <v>21</v>
      </c>
    </row>
    <row r="2936" spans="1:12">
      <c r="A2936" t="s">
        <v>4027</v>
      </c>
      <c r="B2936" t="s">
        <v>4003</v>
      </c>
      <c r="C2936" t="s">
        <v>130</v>
      </c>
      <c r="D2936">
        <v>1982</v>
      </c>
      <c r="E2936" t="s">
        <v>15</v>
      </c>
      <c r="F2936" t="s">
        <v>16</v>
      </c>
      <c r="G2936" t="s">
        <v>17</v>
      </c>
      <c r="H2936" t="s">
        <v>18</v>
      </c>
      <c r="I2936">
        <v>66.710999999999999</v>
      </c>
      <c r="J2936" t="s">
        <v>19</v>
      </c>
      <c r="K2936" t="s">
        <v>4028</v>
      </c>
      <c r="L2936" t="s">
        <v>21</v>
      </c>
    </row>
    <row r="2937" spans="1:12">
      <c r="A2937" t="s">
        <v>4029</v>
      </c>
      <c r="B2937" t="s">
        <v>4003</v>
      </c>
      <c r="C2937" t="s">
        <v>130</v>
      </c>
      <c r="D2937">
        <v>1982</v>
      </c>
      <c r="E2937" t="s">
        <v>23</v>
      </c>
      <c r="F2937" t="s">
        <v>24</v>
      </c>
      <c r="G2937" t="s">
        <v>25</v>
      </c>
      <c r="H2937" t="s">
        <v>26</v>
      </c>
      <c r="I2937">
        <v>992040</v>
      </c>
      <c r="J2937" t="s">
        <v>27</v>
      </c>
      <c r="K2937" t="s">
        <v>4028</v>
      </c>
      <c r="L2937" t="s">
        <v>21</v>
      </c>
    </row>
    <row r="2938" spans="1:12">
      <c r="A2938" t="s">
        <v>4030</v>
      </c>
      <c r="B2938" t="s">
        <v>4003</v>
      </c>
      <c r="C2938" t="s">
        <v>130</v>
      </c>
      <c r="D2938">
        <v>1982</v>
      </c>
      <c r="E2938" t="s">
        <v>29</v>
      </c>
      <c r="F2938" t="s">
        <v>30</v>
      </c>
      <c r="G2938" t="s">
        <v>31</v>
      </c>
      <c r="H2938" t="s">
        <v>32</v>
      </c>
      <c r="I2938">
        <v>3688.0377389999999</v>
      </c>
      <c r="J2938" t="s">
        <v>33</v>
      </c>
      <c r="K2938" t="s">
        <v>4028</v>
      </c>
      <c r="L2938" t="s">
        <v>21</v>
      </c>
    </row>
    <row r="2939" spans="1:12">
      <c r="A2939" t="s">
        <v>4031</v>
      </c>
      <c r="B2939" t="s">
        <v>4003</v>
      </c>
      <c r="C2939" t="s">
        <v>130</v>
      </c>
      <c r="D2939">
        <v>1987</v>
      </c>
      <c r="E2939" t="s">
        <v>15</v>
      </c>
      <c r="F2939" t="s">
        <v>16</v>
      </c>
      <c r="G2939" t="s">
        <v>17</v>
      </c>
      <c r="H2939" t="s">
        <v>18</v>
      </c>
      <c r="I2939">
        <v>68.739999999999995</v>
      </c>
      <c r="J2939" t="s">
        <v>19</v>
      </c>
      <c r="K2939" t="s">
        <v>4032</v>
      </c>
      <c r="L2939" t="s">
        <v>21</v>
      </c>
    </row>
    <row r="2940" spans="1:12">
      <c r="A2940" t="s">
        <v>4033</v>
      </c>
      <c r="B2940" t="s">
        <v>4003</v>
      </c>
      <c r="C2940" t="s">
        <v>130</v>
      </c>
      <c r="D2940">
        <v>1987</v>
      </c>
      <c r="E2940" t="s">
        <v>23</v>
      </c>
      <c r="F2940" t="s">
        <v>24</v>
      </c>
      <c r="G2940" t="s">
        <v>25</v>
      </c>
      <c r="H2940" t="s">
        <v>26</v>
      </c>
      <c r="I2940">
        <v>1042663</v>
      </c>
      <c r="J2940" t="s">
        <v>27</v>
      </c>
      <c r="K2940" t="s">
        <v>4032</v>
      </c>
      <c r="L2940" t="s">
        <v>21</v>
      </c>
    </row>
    <row r="2941" spans="1:12">
      <c r="A2941" t="s">
        <v>4034</v>
      </c>
      <c r="B2941" t="s">
        <v>4003</v>
      </c>
      <c r="C2941" t="s">
        <v>130</v>
      </c>
      <c r="D2941">
        <v>1987</v>
      </c>
      <c r="E2941" t="s">
        <v>29</v>
      </c>
      <c r="F2941" t="s">
        <v>30</v>
      </c>
      <c r="G2941" t="s">
        <v>31</v>
      </c>
      <c r="H2941" t="s">
        <v>32</v>
      </c>
      <c r="I2941">
        <v>4783.5869030000003</v>
      </c>
      <c r="J2941" t="s">
        <v>33</v>
      </c>
      <c r="K2941" t="s">
        <v>4032</v>
      </c>
      <c r="L2941" t="s">
        <v>21</v>
      </c>
    </row>
    <row r="2942" spans="1:12">
      <c r="A2942" t="s">
        <v>4035</v>
      </c>
      <c r="B2942" t="s">
        <v>4003</v>
      </c>
      <c r="C2942" t="s">
        <v>130</v>
      </c>
      <c r="D2942">
        <v>1992</v>
      </c>
      <c r="E2942" t="s">
        <v>15</v>
      </c>
      <c r="F2942" t="s">
        <v>16</v>
      </c>
      <c r="G2942" t="s">
        <v>17</v>
      </c>
      <c r="H2942" t="s">
        <v>18</v>
      </c>
      <c r="I2942">
        <v>69.745000000000005</v>
      </c>
      <c r="J2942" t="s">
        <v>19</v>
      </c>
      <c r="K2942" t="s">
        <v>4036</v>
      </c>
      <c r="L2942" t="s">
        <v>21</v>
      </c>
    </row>
    <row r="2943" spans="1:12">
      <c r="A2943" t="s">
        <v>4037</v>
      </c>
      <c r="B2943" t="s">
        <v>4003</v>
      </c>
      <c r="C2943" t="s">
        <v>130</v>
      </c>
      <c r="D2943">
        <v>1992</v>
      </c>
      <c r="E2943" t="s">
        <v>23</v>
      </c>
      <c r="F2943" t="s">
        <v>24</v>
      </c>
      <c r="G2943" t="s">
        <v>25</v>
      </c>
      <c r="H2943" t="s">
        <v>26</v>
      </c>
      <c r="I2943">
        <v>1096202</v>
      </c>
      <c r="J2943" t="s">
        <v>27</v>
      </c>
      <c r="K2943" t="s">
        <v>4036</v>
      </c>
      <c r="L2943" t="s">
        <v>21</v>
      </c>
    </row>
    <row r="2944" spans="1:12">
      <c r="A2944" t="s">
        <v>4038</v>
      </c>
      <c r="B2944" t="s">
        <v>4003</v>
      </c>
      <c r="C2944" t="s">
        <v>130</v>
      </c>
      <c r="D2944">
        <v>1992</v>
      </c>
      <c r="E2944" t="s">
        <v>29</v>
      </c>
      <c r="F2944" t="s">
        <v>30</v>
      </c>
      <c r="G2944" t="s">
        <v>31</v>
      </c>
      <c r="H2944" t="s">
        <v>32</v>
      </c>
      <c r="I2944">
        <v>6058.2538459999996</v>
      </c>
      <c r="J2944" t="s">
        <v>33</v>
      </c>
      <c r="K2944" t="s">
        <v>4036</v>
      </c>
      <c r="L2944" t="s">
        <v>21</v>
      </c>
    </row>
    <row r="2945" spans="1:12">
      <c r="A2945" t="s">
        <v>4039</v>
      </c>
      <c r="B2945" t="s">
        <v>4003</v>
      </c>
      <c r="C2945" t="s">
        <v>130</v>
      </c>
      <c r="D2945">
        <v>1997</v>
      </c>
      <c r="E2945" t="s">
        <v>15</v>
      </c>
      <c r="F2945" t="s">
        <v>16</v>
      </c>
      <c r="G2945" t="s">
        <v>17</v>
      </c>
      <c r="H2945" t="s">
        <v>18</v>
      </c>
      <c r="I2945">
        <v>70.736000000000004</v>
      </c>
      <c r="J2945" t="s">
        <v>19</v>
      </c>
      <c r="K2945" t="s">
        <v>4040</v>
      </c>
      <c r="L2945" t="s">
        <v>21</v>
      </c>
    </row>
    <row r="2946" spans="1:12">
      <c r="A2946" t="s">
        <v>4041</v>
      </c>
      <c r="B2946" t="s">
        <v>4003</v>
      </c>
      <c r="C2946" t="s">
        <v>130</v>
      </c>
      <c r="D2946">
        <v>1997</v>
      </c>
      <c r="E2946" t="s">
        <v>23</v>
      </c>
      <c r="F2946" t="s">
        <v>24</v>
      </c>
      <c r="G2946" t="s">
        <v>25</v>
      </c>
      <c r="H2946" t="s">
        <v>26</v>
      </c>
      <c r="I2946">
        <v>1149818</v>
      </c>
      <c r="J2946" t="s">
        <v>27</v>
      </c>
      <c r="K2946" t="s">
        <v>4040</v>
      </c>
      <c r="L2946" t="s">
        <v>21</v>
      </c>
    </row>
    <row r="2947" spans="1:12">
      <c r="A2947" t="s">
        <v>4042</v>
      </c>
      <c r="B2947" t="s">
        <v>4003</v>
      </c>
      <c r="C2947" t="s">
        <v>130</v>
      </c>
      <c r="D2947">
        <v>1997</v>
      </c>
      <c r="E2947" t="s">
        <v>29</v>
      </c>
      <c r="F2947" t="s">
        <v>30</v>
      </c>
      <c r="G2947" t="s">
        <v>31</v>
      </c>
      <c r="H2947" t="s">
        <v>32</v>
      </c>
      <c r="I2947">
        <v>7425.7052949999998</v>
      </c>
      <c r="J2947" t="s">
        <v>33</v>
      </c>
      <c r="K2947" t="s">
        <v>4040</v>
      </c>
      <c r="L2947" t="s">
        <v>21</v>
      </c>
    </row>
    <row r="2948" spans="1:12">
      <c r="A2948" t="s">
        <v>4043</v>
      </c>
      <c r="B2948" t="s">
        <v>4003</v>
      </c>
      <c r="C2948" t="s">
        <v>130</v>
      </c>
      <c r="D2948">
        <v>2002</v>
      </c>
      <c r="E2948" t="s">
        <v>15</v>
      </c>
      <c r="F2948" t="s">
        <v>16</v>
      </c>
      <c r="G2948" t="s">
        <v>17</v>
      </c>
      <c r="H2948" t="s">
        <v>18</v>
      </c>
      <c r="I2948">
        <v>71.953999999999994</v>
      </c>
      <c r="J2948" t="s">
        <v>19</v>
      </c>
      <c r="K2948" t="s">
        <v>4044</v>
      </c>
      <c r="L2948" t="s">
        <v>21</v>
      </c>
    </row>
    <row r="2949" spans="1:12">
      <c r="A2949" t="s">
        <v>4045</v>
      </c>
      <c r="B2949" t="s">
        <v>4003</v>
      </c>
      <c r="C2949" t="s">
        <v>130</v>
      </c>
      <c r="D2949">
        <v>2002</v>
      </c>
      <c r="E2949" t="s">
        <v>23</v>
      </c>
      <c r="F2949" t="s">
        <v>24</v>
      </c>
      <c r="G2949" t="s">
        <v>25</v>
      </c>
      <c r="H2949" t="s">
        <v>26</v>
      </c>
      <c r="I2949">
        <v>1200206</v>
      </c>
      <c r="J2949" t="s">
        <v>27</v>
      </c>
      <c r="K2949" t="s">
        <v>4044</v>
      </c>
      <c r="L2949" t="s">
        <v>21</v>
      </c>
    </row>
    <row r="2950" spans="1:12">
      <c r="A2950" t="s">
        <v>4046</v>
      </c>
      <c r="B2950" t="s">
        <v>4003</v>
      </c>
      <c r="C2950" t="s">
        <v>130</v>
      </c>
      <c r="D2950">
        <v>2002</v>
      </c>
      <c r="E2950" t="s">
        <v>29</v>
      </c>
      <c r="F2950" t="s">
        <v>30</v>
      </c>
      <c r="G2950" t="s">
        <v>31</v>
      </c>
      <c r="H2950" t="s">
        <v>32</v>
      </c>
      <c r="I2950">
        <v>9021.8158939999994</v>
      </c>
      <c r="J2950" t="s">
        <v>33</v>
      </c>
      <c r="K2950" t="s">
        <v>4044</v>
      </c>
      <c r="L2950" t="s">
        <v>21</v>
      </c>
    </row>
    <row r="2951" spans="1:12">
      <c r="A2951" t="s">
        <v>4047</v>
      </c>
      <c r="B2951" t="s">
        <v>4003</v>
      </c>
      <c r="C2951" t="s">
        <v>130</v>
      </c>
      <c r="D2951">
        <v>2007</v>
      </c>
      <c r="E2951" t="s">
        <v>15</v>
      </c>
      <c r="F2951" t="s">
        <v>16</v>
      </c>
      <c r="G2951" t="s">
        <v>17</v>
      </c>
      <c r="H2951" t="s">
        <v>18</v>
      </c>
      <c r="I2951">
        <v>72.801000000000002</v>
      </c>
      <c r="J2951" t="s">
        <v>19</v>
      </c>
      <c r="K2951" t="s">
        <v>4048</v>
      </c>
      <c r="L2951" t="s">
        <v>21</v>
      </c>
    </row>
    <row r="2952" spans="1:12">
      <c r="A2952" t="s">
        <v>4049</v>
      </c>
      <c r="B2952" t="s">
        <v>4003</v>
      </c>
      <c r="C2952" t="s">
        <v>130</v>
      </c>
      <c r="D2952">
        <v>2007</v>
      </c>
      <c r="E2952" t="s">
        <v>23</v>
      </c>
      <c r="F2952" t="s">
        <v>24</v>
      </c>
      <c r="G2952" t="s">
        <v>25</v>
      </c>
      <c r="H2952" t="s">
        <v>26</v>
      </c>
      <c r="I2952">
        <v>1250882</v>
      </c>
      <c r="J2952" t="s">
        <v>27</v>
      </c>
      <c r="K2952" t="s">
        <v>4048</v>
      </c>
      <c r="L2952" t="s">
        <v>21</v>
      </c>
    </row>
    <row r="2953" spans="1:12">
      <c r="A2953" t="s">
        <v>4050</v>
      </c>
      <c r="B2953" t="s">
        <v>4003</v>
      </c>
      <c r="C2953" t="s">
        <v>130</v>
      </c>
      <c r="D2953">
        <v>2007</v>
      </c>
      <c r="E2953" t="s">
        <v>29</v>
      </c>
      <c r="F2953" t="s">
        <v>30</v>
      </c>
      <c r="G2953" t="s">
        <v>31</v>
      </c>
      <c r="H2953" t="s">
        <v>32</v>
      </c>
      <c r="I2953">
        <v>10956.991120000001</v>
      </c>
      <c r="J2953" t="s">
        <v>33</v>
      </c>
      <c r="K2953" t="s">
        <v>4048</v>
      </c>
      <c r="L2953" t="s">
        <v>21</v>
      </c>
    </row>
    <row r="2954" spans="1:12">
      <c r="A2954" t="s">
        <v>4051</v>
      </c>
      <c r="B2954" t="s">
        <v>4052</v>
      </c>
      <c r="C2954" t="s">
        <v>229</v>
      </c>
      <c r="D2954">
        <v>1952</v>
      </c>
      <c r="E2954" t="s">
        <v>15</v>
      </c>
      <c r="F2954" t="s">
        <v>16</v>
      </c>
      <c r="G2954" t="s">
        <v>17</v>
      </c>
      <c r="H2954" t="s">
        <v>18</v>
      </c>
      <c r="I2954">
        <v>50.789000000000001</v>
      </c>
      <c r="J2954" t="s">
        <v>19</v>
      </c>
      <c r="K2954" t="s">
        <v>4053</v>
      </c>
      <c r="L2954" t="s">
        <v>21</v>
      </c>
    </row>
    <row r="2955" spans="1:12">
      <c r="A2955" t="s">
        <v>4054</v>
      </c>
      <c r="B2955" t="s">
        <v>4052</v>
      </c>
      <c r="C2955" t="s">
        <v>229</v>
      </c>
      <c r="D2955">
        <v>1952</v>
      </c>
      <c r="E2955" t="s">
        <v>23</v>
      </c>
      <c r="F2955" t="s">
        <v>24</v>
      </c>
      <c r="G2955" t="s">
        <v>25</v>
      </c>
      <c r="H2955" t="s">
        <v>26</v>
      </c>
      <c r="I2955">
        <v>30144317</v>
      </c>
      <c r="J2955" t="s">
        <v>27</v>
      </c>
      <c r="K2955" t="s">
        <v>4053</v>
      </c>
      <c r="L2955" t="s">
        <v>21</v>
      </c>
    </row>
    <row r="2956" spans="1:12">
      <c r="A2956" t="s">
        <v>4055</v>
      </c>
      <c r="B2956" t="s">
        <v>4052</v>
      </c>
      <c r="C2956" t="s">
        <v>229</v>
      </c>
      <c r="D2956">
        <v>1952</v>
      </c>
      <c r="E2956" t="s">
        <v>29</v>
      </c>
      <c r="F2956" t="s">
        <v>30</v>
      </c>
      <c r="G2956" t="s">
        <v>31</v>
      </c>
      <c r="H2956" t="s">
        <v>32</v>
      </c>
      <c r="I2956">
        <v>3478.1255289999999</v>
      </c>
      <c r="J2956" t="s">
        <v>33</v>
      </c>
      <c r="K2956" t="s">
        <v>4053</v>
      </c>
      <c r="L2956" t="s">
        <v>21</v>
      </c>
    </row>
    <row r="2957" spans="1:12">
      <c r="A2957" t="s">
        <v>4056</v>
      </c>
      <c r="B2957" t="s">
        <v>4052</v>
      </c>
      <c r="C2957" t="s">
        <v>229</v>
      </c>
      <c r="D2957">
        <v>1957</v>
      </c>
      <c r="E2957" t="s">
        <v>15</v>
      </c>
      <c r="F2957" t="s">
        <v>16</v>
      </c>
      <c r="G2957" t="s">
        <v>17</v>
      </c>
      <c r="H2957" t="s">
        <v>18</v>
      </c>
      <c r="I2957">
        <v>55.19</v>
      </c>
      <c r="J2957" t="s">
        <v>19</v>
      </c>
      <c r="K2957" t="s">
        <v>4057</v>
      </c>
      <c r="L2957" t="s">
        <v>21</v>
      </c>
    </row>
    <row r="2958" spans="1:12">
      <c r="A2958" t="s">
        <v>4058</v>
      </c>
      <c r="B2958" t="s">
        <v>4052</v>
      </c>
      <c r="C2958" t="s">
        <v>229</v>
      </c>
      <c r="D2958">
        <v>1957</v>
      </c>
      <c r="E2958" t="s">
        <v>23</v>
      </c>
      <c r="F2958" t="s">
        <v>24</v>
      </c>
      <c r="G2958" t="s">
        <v>25</v>
      </c>
      <c r="H2958" t="s">
        <v>26</v>
      </c>
      <c r="I2958">
        <v>35015548</v>
      </c>
      <c r="J2958" t="s">
        <v>27</v>
      </c>
      <c r="K2958" t="s">
        <v>4057</v>
      </c>
      <c r="L2958" t="s">
        <v>21</v>
      </c>
    </row>
    <row r="2959" spans="1:12">
      <c r="A2959" t="s">
        <v>4059</v>
      </c>
      <c r="B2959" t="s">
        <v>4052</v>
      </c>
      <c r="C2959" t="s">
        <v>229</v>
      </c>
      <c r="D2959">
        <v>1957</v>
      </c>
      <c r="E2959" t="s">
        <v>29</v>
      </c>
      <c r="F2959" t="s">
        <v>30</v>
      </c>
      <c r="G2959" t="s">
        <v>31</v>
      </c>
      <c r="H2959" t="s">
        <v>32</v>
      </c>
      <c r="I2959">
        <v>4131.5466409999999</v>
      </c>
      <c r="J2959" t="s">
        <v>33</v>
      </c>
      <c r="K2959" t="s">
        <v>4057</v>
      </c>
      <c r="L2959" t="s">
        <v>21</v>
      </c>
    </row>
    <row r="2960" spans="1:12">
      <c r="A2960" t="s">
        <v>4060</v>
      </c>
      <c r="B2960" t="s">
        <v>4052</v>
      </c>
      <c r="C2960" t="s">
        <v>229</v>
      </c>
      <c r="D2960">
        <v>1962</v>
      </c>
      <c r="E2960" t="s">
        <v>15</v>
      </c>
      <c r="F2960" t="s">
        <v>16</v>
      </c>
      <c r="G2960" t="s">
        <v>17</v>
      </c>
      <c r="H2960" t="s">
        <v>18</v>
      </c>
      <c r="I2960">
        <v>58.298999999999999</v>
      </c>
      <c r="J2960" t="s">
        <v>19</v>
      </c>
      <c r="K2960" t="s">
        <v>4061</v>
      </c>
      <c r="L2960" t="s">
        <v>21</v>
      </c>
    </row>
    <row r="2961" spans="1:12">
      <c r="A2961" t="s">
        <v>4062</v>
      </c>
      <c r="B2961" t="s">
        <v>4052</v>
      </c>
      <c r="C2961" t="s">
        <v>229</v>
      </c>
      <c r="D2961">
        <v>1962</v>
      </c>
      <c r="E2961" t="s">
        <v>23</v>
      </c>
      <c r="F2961" t="s">
        <v>24</v>
      </c>
      <c r="G2961" t="s">
        <v>25</v>
      </c>
      <c r="H2961" t="s">
        <v>26</v>
      </c>
      <c r="I2961">
        <v>41121485</v>
      </c>
      <c r="J2961" t="s">
        <v>27</v>
      </c>
      <c r="K2961" t="s">
        <v>4061</v>
      </c>
      <c r="L2961" t="s">
        <v>21</v>
      </c>
    </row>
    <row r="2962" spans="1:12">
      <c r="A2962" t="s">
        <v>4063</v>
      </c>
      <c r="B2962" t="s">
        <v>4052</v>
      </c>
      <c r="C2962" t="s">
        <v>229</v>
      </c>
      <c r="D2962">
        <v>1962</v>
      </c>
      <c r="E2962" t="s">
        <v>29</v>
      </c>
      <c r="F2962" t="s">
        <v>30</v>
      </c>
      <c r="G2962" t="s">
        <v>31</v>
      </c>
      <c r="H2962" t="s">
        <v>32</v>
      </c>
      <c r="I2962">
        <v>4581.6093849999997</v>
      </c>
      <c r="J2962" t="s">
        <v>33</v>
      </c>
      <c r="K2962" t="s">
        <v>4061</v>
      </c>
      <c r="L2962" t="s">
        <v>21</v>
      </c>
    </row>
    <row r="2963" spans="1:12">
      <c r="A2963" t="s">
        <v>4064</v>
      </c>
      <c r="B2963" t="s">
        <v>4052</v>
      </c>
      <c r="C2963" t="s">
        <v>229</v>
      </c>
      <c r="D2963">
        <v>1967</v>
      </c>
      <c r="E2963" t="s">
        <v>15</v>
      </c>
      <c r="F2963" t="s">
        <v>16</v>
      </c>
      <c r="G2963" t="s">
        <v>17</v>
      </c>
      <c r="H2963" t="s">
        <v>18</v>
      </c>
      <c r="I2963">
        <v>60.11</v>
      </c>
      <c r="J2963" t="s">
        <v>19</v>
      </c>
      <c r="K2963" t="s">
        <v>4065</v>
      </c>
      <c r="L2963" t="s">
        <v>21</v>
      </c>
    </row>
    <row r="2964" spans="1:12">
      <c r="A2964" t="s">
        <v>4066</v>
      </c>
      <c r="B2964" t="s">
        <v>4052</v>
      </c>
      <c r="C2964" t="s">
        <v>229</v>
      </c>
      <c r="D2964">
        <v>1967</v>
      </c>
      <c r="E2964" t="s">
        <v>23</v>
      </c>
      <c r="F2964" t="s">
        <v>24</v>
      </c>
      <c r="G2964" t="s">
        <v>25</v>
      </c>
      <c r="H2964" t="s">
        <v>26</v>
      </c>
      <c r="I2964">
        <v>47995559</v>
      </c>
      <c r="J2964" t="s">
        <v>27</v>
      </c>
      <c r="K2964" t="s">
        <v>4065</v>
      </c>
      <c r="L2964" t="s">
        <v>21</v>
      </c>
    </row>
    <row r="2965" spans="1:12">
      <c r="A2965" t="s">
        <v>4067</v>
      </c>
      <c r="B2965" t="s">
        <v>4052</v>
      </c>
      <c r="C2965" t="s">
        <v>229</v>
      </c>
      <c r="D2965">
        <v>1967</v>
      </c>
      <c r="E2965" t="s">
        <v>29</v>
      </c>
      <c r="F2965" t="s">
        <v>30</v>
      </c>
      <c r="G2965" t="s">
        <v>31</v>
      </c>
      <c r="H2965" t="s">
        <v>32</v>
      </c>
      <c r="I2965">
        <v>5754.7338829999999</v>
      </c>
      <c r="J2965" t="s">
        <v>33</v>
      </c>
      <c r="K2965" t="s">
        <v>4065</v>
      </c>
      <c r="L2965" t="s">
        <v>21</v>
      </c>
    </row>
    <row r="2966" spans="1:12">
      <c r="A2966" t="s">
        <v>4068</v>
      </c>
      <c r="B2966" t="s">
        <v>4052</v>
      </c>
      <c r="C2966" t="s">
        <v>229</v>
      </c>
      <c r="D2966">
        <v>1972</v>
      </c>
      <c r="E2966" t="s">
        <v>15</v>
      </c>
      <c r="F2966" t="s">
        <v>16</v>
      </c>
      <c r="G2966" t="s">
        <v>17</v>
      </c>
      <c r="H2966" t="s">
        <v>18</v>
      </c>
      <c r="I2966">
        <v>62.360999999999997</v>
      </c>
      <c r="J2966" t="s">
        <v>19</v>
      </c>
      <c r="K2966" t="s">
        <v>4069</v>
      </c>
      <c r="L2966" t="s">
        <v>21</v>
      </c>
    </row>
    <row r="2967" spans="1:12">
      <c r="A2967" t="s">
        <v>4070</v>
      </c>
      <c r="B2967" t="s">
        <v>4052</v>
      </c>
      <c r="C2967" t="s">
        <v>229</v>
      </c>
      <c r="D2967">
        <v>1972</v>
      </c>
      <c r="E2967" t="s">
        <v>23</v>
      </c>
      <c r="F2967" t="s">
        <v>24</v>
      </c>
      <c r="G2967" t="s">
        <v>25</v>
      </c>
      <c r="H2967" t="s">
        <v>26</v>
      </c>
      <c r="I2967">
        <v>55984294</v>
      </c>
      <c r="J2967" t="s">
        <v>27</v>
      </c>
      <c r="K2967" t="s">
        <v>4069</v>
      </c>
      <c r="L2967" t="s">
        <v>21</v>
      </c>
    </row>
    <row r="2968" spans="1:12">
      <c r="A2968" t="s">
        <v>4071</v>
      </c>
      <c r="B2968" t="s">
        <v>4052</v>
      </c>
      <c r="C2968" t="s">
        <v>229</v>
      </c>
      <c r="D2968">
        <v>1972</v>
      </c>
      <c r="E2968" t="s">
        <v>29</v>
      </c>
      <c r="F2968" t="s">
        <v>30</v>
      </c>
      <c r="G2968" t="s">
        <v>31</v>
      </c>
      <c r="H2968" t="s">
        <v>32</v>
      </c>
      <c r="I2968">
        <v>6809.4066899999998</v>
      </c>
      <c r="J2968" t="s">
        <v>33</v>
      </c>
      <c r="K2968" t="s">
        <v>4069</v>
      </c>
      <c r="L2968" t="s">
        <v>21</v>
      </c>
    </row>
    <row r="2969" spans="1:12">
      <c r="A2969" t="s">
        <v>4072</v>
      </c>
      <c r="B2969" t="s">
        <v>4052</v>
      </c>
      <c r="C2969" t="s">
        <v>229</v>
      </c>
      <c r="D2969">
        <v>1977</v>
      </c>
      <c r="E2969" t="s">
        <v>15</v>
      </c>
      <c r="F2969" t="s">
        <v>16</v>
      </c>
      <c r="G2969" t="s">
        <v>17</v>
      </c>
      <c r="H2969" t="s">
        <v>18</v>
      </c>
      <c r="I2969">
        <v>65.031999999999996</v>
      </c>
      <c r="J2969" t="s">
        <v>19</v>
      </c>
      <c r="K2969" t="s">
        <v>4073</v>
      </c>
      <c r="L2969" t="s">
        <v>21</v>
      </c>
    </row>
    <row r="2970" spans="1:12">
      <c r="A2970" t="s">
        <v>4074</v>
      </c>
      <c r="B2970" t="s">
        <v>4052</v>
      </c>
      <c r="C2970" t="s">
        <v>229</v>
      </c>
      <c r="D2970">
        <v>1977</v>
      </c>
      <c r="E2970" t="s">
        <v>23</v>
      </c>
      <c r="F2970" t="s">
        <v>24</v>
      </c>
      <c r="G2970" t="s">
        <v>25</v>
      </c>
      <c r="H2970" t="s">
        <v>26</v>
      </c>
      <c r="I2970">
        <v>63759976</v>
      </c>
      <c r="J2970" t="s">
        <v>27</v>
      </c>
      <c r="K2970" t="s">
        <v>4073</v>
      </c>
      <c r="L2970" t="s">
        <v>21</v>
      </c>
    </row>
    <row r="2971" spans="1:12">
      <c r="A2971" t="s">
        <v>4075</v>
      </c>
      <c r="B2971" t="s">
        <v>4052</v>
      </c>
      <c r="C2971" t="s">
        <v>229</v>
      </c>
      <c r="D2971">
        <v>1977</v>
      </c>
      <c r="E2971" t="s">
        <v>29</v>
      </c>
      <c r="F2971" t="s">
        <v>30</v>
      </c>
      <c r="G2971" t="s">
        <v>31</v>
      </c>
      <c r="H2971" t="s">
        <v>32</v>
      </c>
      <c r="I2971">
        <v>7674.9291080000003</v>
      </c>
      <c r="J2971" t="s">
        <v>33</v>
      </c>
      <c r="K2971" t="s">
        <v>4073</v>
      </c>
      <c r="L2971" t="s">
        <v>21</v>
      </c>
    </row>
    <row r="2972" spans="1:12">
      <c r="A2972" t="s">
        <v>4076</v>
      </c>
      <c r="B2972" t="s">
        <v>4052</v>
      </c>
      <c r="C2972" t="s">
        <v>229</v>
      </c>
      <c r="D2972">
        <v>1982</v>
      </c>
      <c r="E2972" t="s">
        <v>15</v>
      </c>
      <c r="F2972" t="s">
        <v>16</v>
      </c>
      <c r="G2972" t="s">
        <v>17</v>
      </c>
      <c r="H2972" t="s">
        <v>18</v>
      </c>
      <c r="I2972">
        <v>67.405000000000001</v>
      </c>
      <c r="J2972" t="s">
        <v>19</v>
      </c>
      <c r="K2972" t="s">
        <v>4077</v>
      </c>
      <c r="L2972" t="s">
        <v>21</v>
      </c>
    </row>
    <row r="2973" spans="1:12">
      <c r="A2973" t="s">
        <v>4078</v>
      </c>
      <c r="B2973" t="s">
        <v>4052</v>
      </c>
      <c r="C2973" t="s">
        <v>229</v>
      </c>
      <c r="D2973">
        <v>1982</v>
      </c>
      <c r="E2973" t="s">
        <v>23</v>
      </c>
      <c r="F2973" t="s">
        <v>24</v>
      </c>
      <c r="G2973" t="s">
        <v>25</v>
      </c>
      <c r="H2973" t="s">
        <v>26</v>
      </c>
      <c r="I2973">
        <v>71640904</v>
      </c>
      <c r="J2973" t="s">
        <v>27</v>
      </c>
      <c r="K2973" t="s">
        <v>4077</v>
      </c>
      <c r="L2973" t="s">
        <v>21</v>
      </c>
    </row>
    <row r="2974" spans="1:12">
      <c r="A2974" t="s">
        <v>4079</v>
      </c>
      <c r="B2974" t="s">
        <v>4052</v>
      </c>
      <c r="C2974" t="s">
        <v>229</v>
      </c>
      <c r="D2974">
        <v>1982</v>
      </c>
      <c r="E2974" t="s">
        <v>29</v>
      </c>
      <c r="F2974" t="s">
        <v>30</v>
      </c>
      <c r="G2974" t="s">
        <v>31</v>
      </c>
      <c r="H2974" t="s">
        <v>32</v>
      </c>
      <c r="I2974">
        <v>9611.1475410000003</v>
      </c>
      <c r="J2974" t="s">
        <v>33</v>
      </c>
      <c r="K2974" t="s">
        <v>4077</v>
      </c>
      <c r="L2974" t="s">
        <v>21</v>
      </c>
    </row>
    <row r="2975" spans="1:12">
      <c r="A2975" t="s">
        <v>4080</v>
      </c>
      <c r="B2975" t="s">
        <v>4052</v>
      </c>
      <c r="C2975" t="s">
        <v>229</v>
      </c>
      <c r="D2975">
        <v>1987</v>
      </c>
      <c r="E2975" t="s">
        <v>15</v>
      </c>
      <c r="F2975" t="s">
        <v>16</v>
      </c>
      <c r="G2975" t="s">
        <v>17</v>
      </c>
      <c r="H2975" t="s">
        <v>18</v>
      </c>
      <c r="I2975">
        <v>69.498000000000005</v>
      </c>
      <c r="J2975" t="s">
        <v>19</v>
      </c>
      <c r="K2975" t="s">
        <v>4081</v>
      </c>
      <c r="L2975" t="s">
        <v>21</v>
      </c>
    </row>
    <row r="2976" spans="1:12">
      <c r="A2976" t="s">
        <v>4082</v>
      </c>
      <c r="B2976" t="s">
        <v>4052</v>
      </c>
      <c r="C2976" t="s">
        <v>229</v>
      </c>
      <c r="D2976">
        <v>1987</v>
      </c>
      <c r="E2976" t="s">
        <v>23</v>
      </c>
      <c r="F2976" t="s">
        <v>24</v>
      </c>
      <c r="G2976" t="s">
        <v>25</v>
      </c>
      <c r="H2976" t="s">
        <v>26</v>
      </c>
      <c r="I2976">
        <v>80122492</v>
      </c>
      <c r="J2976" t="s">
        <v>27</v>
      </c>
      <c r="K2976" t="s">
        <v>4081</v>
      </c>
      <c r="L2976" t="s">
        <v>21</v>
      </c>
    </row>
    <row r="2977" spans="1:12">
      <c r="A2977" t="s">
        <v>4083</v>
      </c>
      <c r="B2977" t="s">
        <v>4052</v>
      </c>
      <c r="C2977" t="s">
        <v>229</v>
      </c>
      <c r="D2977">
        <v>1987</v>
      </c>
      <c r="E2977" t="s">
        <v>29</v>
      </c>
      <c r="F2977" t="s">
        <v>30</v>
      </c>
      <c r="G2977" t="s">
        <v>31</v>
      </c>
      <c r="H2977" t="s">
        <v>32</v>
      </c>
      <c r="I2977">
        <v>8688.1560030000001</v>
      </c>
      <c r="J2977" t="s">
        <v>33</v>
      </c>
      <c r="K2977" t="s">
        <v>4081</v>
      </c>
      <c r="L2977" t="s">
        <v>21</v>
      </c>
    </row>
    <row r="2978" spans="1:12">
      <c r="A2978" t="s">
        <v>4084</v>
      </c>
      <c r="B2978" t="s">
        <v>4052</v>
      </c>
      <c r="C2978" t="s">
        <v>229</v>
      </c>
      <c r="D2978">
        <v>1992</v>
      </c>
      <c r="E2978" t="s">
        <v>15</v>
      </c>
      <c r="F2978" t="s">
        <v>16</v>
      </c>
      <c r="G2978" t="s">
        <v>17</v>
      </c>
      <c r="H2978" t="s">
        <v>18</v>
      </c>
      <c r="I2978">
        <v>71.454999999999998</v>
      </c>
      <c r="J2978" t="s">
        <v>19</v>
      </c>
      <c r="K2978" t="s">
        <v>4085</v>
      </c>
      <c r="L2978" t="s">
        <v>21</v>
      </c>
    </row>
    <row r="2979" spans="1:12">
      <c r="A2979" t="s">
        <v>4086</v>
      </c>
      <c r="B2979" t="s">
        <v>4052</v>
      </c>
      <c r="C2979" t="s">
        <v>229</v>
      </c>
      <c r="D2979">
        <v>1992</v>
      </c>
      <c r="E2979" t="s">
        <v>23</v>
      </c>
      <c r="F2979" t="s">
        <v>24</v>
      </c>
      <c r="G2979" t="s">
        <v>25</v>
      </c>
      <c r="H2979" t="s">
        <v>26</v>
      </c>
      <c r="I2979">
        <v>88111030</v>
      </c>
      <c r="J2979" t="s">
        <v>27</v>
      </c>
      <c r="K2979" t="s">
        <v>4085</v>
      </c>
      <c r="L2979" t="s">
        <v>21</v>
      </c>
    </row>
    <row r="2980" spans="1:12">
      <c r="A2980" t="s">
        <v>4087</v>
      </c>
      <c r="B2980" t="s">
        <v>4052</v>
      </c>
      <c r="C2980" t="s">
        <v>229</v>
      </c>
      <c r="D2980">
        <v>1992</v>
      </c>
      <c r="E2980" t="s">
        <v>29</v>
      </c>
      <c r="F2980" t="s">
        <v>30</v>
      </c>
      <c r="G2980" t="s">
        <v>31</v>
      </c>
      <c r="H2980" t="s">
        <v>32</v>
      </c>
      <c r="I2980">
        <v>9472.3842949999998</v>
      </c>
      <c r="J2980" t="s">
        <v>33</v>
      </c>
      <c r="K2980" t="s">
        <v>4085</v>
      </c>
      <c r="L2980" t="s">
        <v>21</v>
      </c>
    </row>
    <row r="2981" spans="1:12">
      <c r="A2981" t="s">
        <v>4088</v>
      </c>
      <c r="B2981" t="s">
        <v>4052</v>
      </c>
      <c r="C2981" t="s">
        <v>229</v>
      </c>
      <c r="D2981">
        <v>1997</v>
      </c>
      <c r="E2981" t="s">
        <v>15</v>
      </c>
      <c r="F2981" t="s">
        <v>16</v>
      </c>
      <c r="G2981" t="s">
        <v>17</v>
      </c>
      <c r="H2981" t="s">
        <v>18</v>
      </c>
      <c r="I2981">
        <v>73.67</v>
      </c>
      <c r="J2981" t="s">
        <v>19</v>
      </c>
      <c r="K2981" t="s">
        <v>4089</v>
      </c>
      <c r="L2981" t="s">
        <v>21</v>
      </c>
    </row>
    <row r="2982" spans="1:12">
      <c r="A2982" t="s">
        <v>4090</v>
      </c>
      <c r="B2982" t="s">
        <v>4052</v>
      </c>
      <c r="C2982" t="s">
        <v>229</v>
      </c>
      <c r="D2982">
        <v>1997</v>
      </c>
      <c r="E2982" t="s">
        <v>23</v>
      </c>
      <c r="F2982" t="s">
        <v>24</v>
      </c>
      <c r="G2982" t="s">
        <v>25</v>
      </c>
      <c r="H2982" t="s">
        <v>26</v>
      </c>
      <c r="I2982">
        <v>95895146</v>
      </c>
      <c r="J2982" t="s">
        <v>27</v>
      </c>
      <c r="K2982" t="s">
        <v>4089</v>
      </c>
      <c r="L2982" t="s">
        <v>21</v>
      </c>
    </row>
    <row r="2983" spans="1:12">
      <c r="A2983" t="s">
        <v>4091</v>
      </c>
      <c r="B2983" t="s">
        <v>4052</v>
      </c>
      <c r="C2983" t="s">
        <v>229</v>
      </c>
      <c r="D2983">
        <v>1997</v>
      </c>
      <c r="E2983" t="s">
        <v>29</v>
      </c>
      <c r="F2983" t="s">
        <v>30</v>
      </c>
      <c r="G2983" t="s">
        <v>31</v>
      </c>
      <c r="H2983" t="s">
        <v>32</v>
      </c>
      <c r="I2983">
        <v>9767.2975299999998</v>
      </c>
      <c r="J2983" t="s">
        <v>33</v>
      </c>
      <c r="K2983" t="s">
        <v>4089</v>
      </c>
      <c r="L2983" t="s">
        <v>21</v>
      </c>
    </row>
    <row r="2984" spans="1:12">
      <c r="A2984" t="s">
        <v>4092</v>
      </c>
      <c r="B2984" t="s">
        <v>4052</v>
      </c>
      <c r="C2984" t="s">
        <v>229</v>
      </c>
      <c r="D2984">
        <v>2002</v>
      </c>
      <c r="E2984" t="s">
        <v>15</v>
      </c>
      <c r="F2984" t="s">
        <v>16</v>
      </c>
      <c r="G2984" t="s">
        <v>17</v>
      </c>
      <c r="H2984" t="s">
        <v>18</v>
      </c>
      <c r="I2984">
        <v>74.902000000000001</v>
      </c>
      <c r="J2984" t="s">
        <v>19</v>
      </c>
      <c r="K2984" t="s">
        <v>4093</v>
      </c>
      <c r="L2984" t="s">
        <v>21</v>
      </c>
    </row>
    <row r="2985" spans="1:12">
      <c r="A2985" t="s">
        <v>4094</v>
      </c>
      <c r="B2985" t="s">
        <v>4052</v>
      </c>
      <c r="C2985" t="s">
        <v>229</v>
      </c>
      <c r="D2985">
        <v>2002</v>
      </c>
      <c r="E2985" t="s">
        <v>23</v>
      </c>
      <c r="F2985" t="s">
        <v>24</v>
      </c>
      <c r="G2985" t="s">
        <v>25</v>
      </c>
      <c r="H2985" t="s">
        <v>26</v>
      </c>
      <c r="I2985">
        <v>102479927</v>
      </c>
      <c r="J2985" t="s">
        <v>27</v>
      </c>
      <c r="K2985" t="s">
        <v>4093</v>
      </c>
      <c r="L2985" t="s">
        <v>21</v>
      </c>
    </row>
    <row r="2986" spans="1:12">
      <c r="A2986" t="s">
        <v>4095</v>
      </c>
      <c r="B2986" t="s">
        <v>4052</v>
      </c>
      <c r="C2986" t="s">
        <v>229</v>
      </c>
      <c r="D2986">
        <v>2002</v>
      </c>
      <c r="E2986" t="s">
        <v>29</v>
      </c>
      <c r="F2986" t="s">
        <v>30</v>
      </c>
      <c r="G2986" t="s">
        <v>31</v>
      </c>
      <c r="H2986" t="s">
        <v>32</v>
      </c>
      <c r="I2986">
        <v>10742.44053</v>
      </c>
      <c r="J2986" t="s">
        <v>33</v>
      </c>
      <c r="K2986" t="s">
        <v>4093</v>
      </c>
      <c r="L2986" t="s">
        <v>21</v>
      </c>
    </row>
    <row r="2987" spans="1:12">
      <c r="A2987" t="s">
        <v>4096</v>
      </c>
      <c r="B2987" t="s">
        <v>4052</v>
      </c>
      <c r="C2987" t="s">
        <v>229</v>
      </c>
      <c r="D2987">
        <v>2007</v>
      </c>
      <c r="E2987" t="s">
        <v>15</v>
      </c>
      <c r="F2987" t="s">
        <v>16</v>
      </c>
      <c r="G2987" t="s">
        <v>17</v>
      </c>
      <c r="H2987" t="s">
        <v>18</v>
      </c>
      <c r="I2987">
        <v>76.194999999999993</v>
      </c>
      <c r="J2987" t="s">
        <v>19</v>
      </c>
      <c r="K2987" t="s">
        <v>4097</v>
      </c>
      <c r="L2987" t="s">
        <v>21</v>
      </c>
    </row>
    <row r="2988" spans="1:12">
      <c r="A2988" t="s">
        <v>4098</v>
      </c>
      <c r="B2988" t="s">
        <v>4052</v>
      </c>
      <c r="C2988" t="s">
        <v>229</v>
      </c>
      <c r="D2988">
        <v>2007</v>
      </c>
      <c r="E2988" t="s">
        <v>23</v>
      </c>
      <c r="F2988" t="s">
        <v>24</v>
      </c>
      <c r="G2988" t="s">
        <v>25</v>
      </c>
      <c r="H2988" t="s">
        <v>26</v>
      </c>
      <c r="I2988">
        <v>108700891</v>
      </c>
      <c r="J2988" t="s">
        <v>27</v>
      </c>
      <c r="K2988" t="s">
        <v>4097</v>
      </c>
      <c r="L2988" t="s">
        <v>21</v>
      </c>
    </row>
    <row r="2989" spans="1:12">
      <c r="A2989" t="s">
        <v>4099</v>
      </c>
      <c r="B2989" t="s">
        <v>4052</v>
      </c>
      <c r="C2989" t="s">
        <v>229</v>
      </c>
      <c r="D2989">
        <v>2007</v>
      </c>
      <c r="E2989" t="s">
        <v>29</v>
      </c>
      <c r="F2989" t="s">
        <v>30</v>
      </c>
      <c r="G2989" t="s">
        <v>31</v>
      </c>
      <c r="H2989" t="s">
        <v>32</v>
      </c>
      <c r="I2989">
        <v>11977.57496</v>
      </c>
      <c r="J2989" t="s">
        <v>33</v>
      </c>
      <c r="K2989" t="s">
        <v>4097</v>
      </c>
      <c r="L2989" t="s">
        <v>21</v>
      </c>
    </row>
    <row r="2990" spans="1:12">
      <c r="A2990" t="s">
        <v>4100</v>
      </c>
      <c r="B2990" t="s">
        <v>4101</v>
      </c>
      <c r="C2990" t="s">
        <v>14</v>
      </c>
      <c r="D2990">
        <v>1952</v>
      </c>
      <c r="E2990" t="s">
        <v>15</v>
      </c>
      <c r="F2990" t="s">
        <v>16</v>
      </c>
      <c r="G2990" t="s">
        <v>17</v>
      </c>
      <c r="H2990" t="s">
        <v>18</v>
      </c>
      <c r="I2990">
        <v>42.244</v>
      </c>
      <c r="J2990" t="s">
        <v>19</v>
      </c>
      <c r="K2990" t="s">
        <v>4102</v>
      </c>
      <c r="L2990" t="s">
        <v>21</v>
      </c>
    </row>
    <row r="2991" spans="1:12">
      <c r="A2991" t="s">
        <v>4103</v>
      </c>
      <c r="B2991" t="s">
        <v>4101</v>
      </c>
      <c r="C2991" t="s">
        <v>14</v>
      </c>
      <c r="D2991">
        <v>1952</v>
      </c>
      <c r="E2991" t="s">
        <v>23</v>
      </c>
      <c r="F2991" t="s">
        <v>24</v>
      </c>
      <c r="G2991" t="s">
        <v>25</v>
      </c>
      <c r="H2991" t="s">
        <v>26</v>
      </c>
      <c r="I2991">
        <v>800663</v>
      </c>
      <c r="J2991" t="s">
        <v>27</v>
      </c>
      <c r="K2991" t="s">
        <v>4102</v>
      </c>
      <c r="L2991" t="s">
        <v>21</v>
      </c>
    </row>
    <row r="2992" spans="1:12">
      <c r="A2992" t="s">
        <v>4104</v>
      </c>
      <c r="B2992" t="s">
        <v>4101</v>
      </c>
      <c r="C2992" t="s">
        <v>14</v>
      </c>
      <c r="D2992">
        <v>1952</v>
      </c>
      <c r="E2992" t="s">
        <v>29</v>
      </c>
      <c r="F2992" t="s">
        <v>30</v>
      </c>
      <c r="G2992" t="s">
        <v>31</v>
      </c>
      <c r="H2992" t="s">
        <v>32</v>
      </c>
      <c r="I2992">
        <v>786.56685749999997</v>
      </c>
      <c r="J2992" t="s">
        <v>33</v>
      </c>
      <c r="K2992" t="s">
        <v>4102</v>
      </c>
      <c r="L2992" t="s">
        <v>21</v>
      </c>
    </row>
    <row r="2993" spans="1:12">
      <c r="A2993" t="s">
        <v>4105</v>
      </c>
      <c r="B2993" t="s">
        <v>4101</v>
      </c>
      <c r="C2993" t="s">
        <v>14</v>
      </c>
      <c r="D2993">
        <v>1957</v>
      </c>
      <c r="E2993" t="s">
        <v>15</v>
      </c>
      <c r="F2993" t="s">
        <v>16</v>
      </c>
      <c r="G2993" t="s">
        <v>17</v>
      </c>
      <c r="H2993" t="s">
        <v>18</v>
      </c>
      <c r="I2993">
        <v>45.247999999999998</v>
      </c>
      <c r="J2993" t="s">
        <v>19</v>
      </c>
      <c r="K2993" t="s">
        <v>4106</v>
      </c>
      <c r="L2993" t="s">
        <v>21</v>
      </c>
    </row>
    <row r="2994" spans="1:12">
      <c r="A2994" t="s">
        <v>4107</v>
      </c>
      <c r="B2994" t="s">
        <v>4101</v>
      </c>
      <c r="C2994" t="s">
        <v>14</v>
      </c>
      <c r="D2994">
        <v>1957</v>
      </c>
      <c r="E2994" t="s">
        <v>23</v>
      </c>
      <c r="F2994" t="s">
        <v>24</v>
      </c>
      <c r="G2994" t="s">
        <v>25</v>
      </c>
      <c r="H2994" t="s">
        <v>26</v>
      </c>
      <c r="I2994">
        <v>882134</v>
      </c>
      <c r="J2994" t="s">
        <v>27</v>
      </c>
      <c r="K2994" t="s">
        <v>4106</v>
      </c>
      <c r="L2994" t="s">
        <v>21</v>
      </c>
    </row>
    <row r="2995" spans="1:12">
      <c r="A2995" t="s">
        <v>4108</v>
      </c>
      <c r="B2995" t="s">
        <v>4101</v>
      </c>
      <c r="C2995" t="s">
        <v>14</v>
      </c>
      <c r="D2995">
        <v>1957</v>
      </c>
      <c r="E2995" t="s">
        <v>29</v>
      </c>
      <c r="F2995" t="s">
        <v>30</v>
      </c>
      <c r="G2995" t="s">
        <v>31</v>
      </c>
      <c r="H2995" t="s">
        <v>32</v>
      </c>
      <c r="I2995">
        <v>912.66260850000003</v>
      </c>
      <c r="J2995" t="s">
        <v>33</v>
      </c>
      <c r="K2995" t="s">
        <v>4106</v>
      </c>
      <c r="L2995" t="s">
        <v>21</v>
      </c>
    </row>
    <row r="2996" spans="1:12">
      <c r="A2996" t="s">
        <v>4109</v>
      </c>
      <c r="B2996" t="s">
        <v>4101</v>
      </c>
      <c r="C2996" t="s">
        <v>14</v>
      </c>
      <c r="D2996">
        <v>1962</v>
      </c>
      <c r="E2996" t="s">
        <v>15</v>
      </c>
      <c r="F2996" t="s">
        <v>16</v>
      </c>
      <c r="G2996" t="s">
        <v>17</v>
      </c>
      <c r="H2996" t="s">
        <v>18</v>
      </c>
      <c r="I2996">
        <v>48.250999999999998</v>
      </c>
      <c r="J2996" t="s">
        <v>19</v>
      </c>
      <c r="K2996" t="s">
        <v>4110</v>
      </c>
      <c r="L2996" t="s">
        <v>21</v>
      </c>
    </row>
    <row r="2997" spans="1:12">
      <c r="A2997" t="s">
        <v>4111</v>
      </c>
      <c r="B2997" t="s">
        <v>4101</v>
      </c>
      <c r="C2997" t="s">
        <v>14</v>
      </c>
      <c r="D2997">
        <v>1962</v>
      </c>
      <c r="E2997" t="s">
        <v>23</v>
      </c>
      <c r="F2997" t="s">
        <v>24</v>
      </c>
      <c r="G2997" t="s">
        <v>25</v>
      </c>
      <c r="H2997" t="s">
        <v>26</v>
      </c>
      <c r="I2997">
        <v>1010280</v>
      </c>
      <c r="J2997" t="s">
        <v>27</v>
      </c>
      <c r="K2997" t="s">
        <v>4110</v>
      </c>
      <c r="L2997" t="s">
        <v>21</v>
      </c>
    </row>
    <row r="2998" spans="1:12">
      <c r="A2998" t="s">
        <v>4112</v>
      </c>
      <c r="B2998" t="s">
        <v>4101</v>
      </c>
      <c r="C2998" t="s">
        <v>14</v>
      </c>
      <c r="D2998">
        <v>1962</v>
      </c>
      <c r="E2998" t="s">
        <v>29</v>
      </c>
      <c r="F2998" t="s">
        <v>30</v>
      </c>
      <c r="G2998" t="s">
        <v>31</v>
      </c>
      <c r="H2998" t="s">
        <v>32</v>
      </c>
      <c r="I2998">
        <v>1056.3539579999999</v>
      </c>
      <c r="J2998" t="s">
        <v>33</v>
      </c>
      <c r="K2998" t="s">
        <v>4110</v>
      </c>
      <c r="L2998" t="s">
        <v>21</v>
      </c>
    </row>
    <row r="2999" spans="1:12">
      <c r="A2999" t="s">
        <v>4113</v>
      </c>
      <c r="B2999" t="s">
        <v>4101</v>
      </c>
      <c r="C2999" t="s">
        <v>14</v>
      </c>
      <c r="D2999">
        <v>1967</v>
      </c>
      <c r="E2999" t="s">
        <v>15</v>
      </c>
      <c r="F2999" t="s">
        <v>16</v>
      </c>
      <c r="G2999" t="s">
        <v>17</v>
      </c>
      <c r="H2999" t="s">
        <v>18</v>
      </c>
      <c r="I2999">
        <v>51.253</v>
      </c>
      <c r="J2999" t="s">
        <v>19</v>
      </c>
      <c r="K2999" t="s">
        <v>4114</v>
      </c>
      <c r="L2999" t="s">
        <v>21</v>
      </c>
    </row>
    <row r="3000" spans="1:12">
      <c r="A3000" t="s">
        <v>4115</v>
      </c>
      <c r="B3000" t="s">
        <v>4101</v>
      </c>
      <c r="C3000" t="s">
        <v>14</v>
      </c>
      <c r="D3000">
        <v>1967</v>
      </c>
      <c r="E3000" t="s">
        <v>23</v>
      </c>
      <c r="F3000" t="s">
        <v>24</v>
      </c>
      <c r="G3000" t="s">
        <v>25</v>
      </c>
      <c r="H3000" t="s">
        <v>26</v>
      </c>
      <c r="I3000">
        <v>1149500</v>
      </c>
      <c r="J3000" t="s">
        <v>27</v>
      </c>
      <c r="K3000" t="s">
        <v>4114</v>
      </c>
      <c r="L3000" t="s">
        <v>21</v>
      </c>
    </row>
    <row r="3001" spans="1:12">
      <c r="A3001" t="s">
        <v>4116</v>
      </c>
      <c r="B3001" t="s">
        <v>4101</v>
      </c>
      <c r="C3001" t="s">
        <v>14</v>
      </c>
      <c r="D3001">
        <v>1967</v>
      </c>
      <c r="E3001" t="s">
        <v>29</v>
      </c>
      <c r="F3001" t="s">
        <v>30</v>
      </c>
      <c r="G3001" t="s">
        <v>31</v>
      </c>
      <c r="H3001" t="s">
        <v>32</v>
      </c>
      <c r="I3001">
        <v>1226.0411300000001</v>
      </c>
      <c r="J3001" t="s">
        <v>33</v>
      </c>
      <c r="K3001" t="s">
        <v>4114</v>
      </c>
      <c r="L3001" t="s">
        <v>21</v>
      </c>
    </row>
    <row r="3002" spans="1:12">
      <c r="A3002" t="s">
        <v>4117</v>
      </c>
      <c r="B3002" t="s">
        <v>4101</v>
      </c>
      <c r="C3002" t="s">
        <v>14</v>
      </c>
      <c r="D3002">
        <v>1972</v>
      </c>
      <c r="E3002" t="s">
        <v>15</v>
      </c>
      <c r="F3002" t="s">
        <v>16</v>
      </c>
      <c r="G3002" t="s">
        <v>17</v>
      </c>
      <c r="H3002" t="s">
        <v>18</v>
      </c>
      <c r="I3002">
        <v>53.753999999999998</v>
      </c>
      <c r="J3002" t="s">
        <v>19</v>
      </c>
      <c r="K3002" t="s">
        <v>4118</v>
      </c>
      <c r="L3002" t="s">
        <v>21</v>
      </c>
    </row>
    <row r="3003" spans="1:12">
      <c r="A3003" t="s">
        <v>4119</v>
      </c>
      <c r="B3003" t="s">
        <v>4101</v>
      </c>
      <c r="C3003" t="s">
        <v>14</v>
      </c>
      <c r="D3003">
        <v>1972</v>
      </c>
      <c r="E3003" t="s">
        <v>23</v>
      </c>
      <c r="F3003" t="s">
        <v>24</v>
      </c>
      <c r="G3003" t="s">
        <v>25</v>
      </c>
      <c r="H3003" t="s">
        <v>26</v>
      </c>
      <c r="I3003">
        <v>1320500</v>
      </c>
      <c r="J3003" t="s">
        <v>27</v>
      </c>
      <c r="K3003" t="s">
        <v>4118</v>
      </c>
      <c r="L3003" t="s">
        <v>21</v>
      </c>
    </row>
    <row r="3004" spans="1:12">
      <c r="A3004" t="s">
        <v>4120</v>
      </c>
      <c r="B3004" t="s">
        <v>4101</v>
      </c>
      <c r="C3004" t="s">
        <v>14</v>
      </c>
      <c r="D3004">
        <v>1972</v>
      </c>
      <c r="E3004" t="s">
        <v>29</v>
      </c>
      <c r="F3004" t="s">
        <v>30</v>
      </c>
      <c r="G3004" t="s">
        <v>31</v>
      </c>
      <c r="H3004" t="s">
        <v>32</v>
      </c>
      <c r="I3004">
        <v>1421.7419749999999</v>
      </c>
      <c r="J3004" t="s">
        <v>33</v>
      </c>
      <c r="K3004" t="s">
        <v>4118</v>
      </c>
      <c r="L3004" t="s">
        <v>21</v>
      </c>
    </row>
    <row r="3005" spans="1:12">
      <c r="A3005" t="s">
        <v>4121</v>
      </c>
      <c r="B3005" t="s">
        <v>4101</v>
      </c>
      <c r="C3005" t="s">
        <v>14</v>
      </c>
      <c r="D3005">
        <v>1977</v>
      </c>
      <c r="E3005" t="s">
        <v>15</v>
      </c>
      <c r="F3005" t="s">
        <v>16</v>
      </c>
      <c r="G3005" t="s">
        <v>17</v>
      </c>
      <c r="H3005" t="s">
        <v>18</v>
      </c>
      <c r="I3005">
        <v>55.491</v>
      </c>
      <c r="J3005" t="s">
        <v>19</v>
      </c>
      <c r="K3005" t="s">
        <v>4122</v>
      </c>
      <c r="L3005" t="s">
        <v>21</v>
      </c>
    </row>
    <row r="3006" spans="1:12">
      <c r="A3006" t="s">
        <v>4123</v>
      </c>
      <c r="B3006" t="s">
        <v>4101</v>
      </c>
      <c r="C3006" t="s">
        <v>14</v>
      </c>
      <c r="D3006">
        <v>1977</v>
      </c>
      <c r="E3006" t="s">
        <v>23</v>
      </c>
      <c r="F3006" t="s">
        <v>24</v>
      </c>
      <c r="G3006" t="s">
        <v>25</v>
      </c>
      <c r="H3006" t="s">
        <v>26</v>
      </c>
      <c r="I3006">
        <v>1528000</v>
      </c>
      <c r="J3006" t="s">
        <v>27</v>
      </c>
      <c r="K3006" t="s">
        <v>4122</v>
      </c>
      <c r="L3006" t="s">
        <v>21</v>
      </c>
    </row>
    <row r="3007" spans="1:12">
      <c r="A3007" t="s">
        <v>4124</v>
      </c>
      <c r="B3007" t="s">
        <v>4101</v>
      </c>
      <c r="C3007" t="s">
        <v>14</v>
      </c>
      <c r="D3007">
        <v>1977</v>
      </c>
      <c r="E3007" t="s">
        <v>29</v>
      </c>
      <c r="F3007" t="s">
        <v>30</v>
      </c>
      <c r="G3007" t="s">
        <v>31</v>
      </c>
      <c r="H3007" t="s">
        <v>32</v>
      </c>
      <c r="I3007">
        <v>1647.511665</v>
      </c>
      <c r="J3007" t="s">
        <v>33</v>
      </c>
      <c r="K3007" t="s">
        <v>4122</v>
      </c>
      <c r="L3007" t="s">
        <v>21</v>
      </c>
    </row>
    <row r="3008" spans="1:12">
      <c r="A3008" t="s">
        <v>4125</v>
      </c>
      <c r="B3008" t="s">
        <v>4101</v>
      </c>
      <c r="C3008" t="s">
        <v>14</v>
      </c>
      <c r="D3008">
        <v>1982</v>
      </c>
      <c r="E3008" t="s">
        <v>15</v>
      </c>
      <c r="F3008" t="s">
        <v>16</v>
      </c>
      <c r="G3008" t="s">
        <v>17</v>
      </c>
      <c r="H3008" t="s">
        <v>18</v>
      </c>
      <c r="I3008">
        <v>57.488999999999997</v>
      </c>
      <c r="J3008" t="s">
        <v>19</v>
      </c>
      <c r="K3008" t="s">
        <v>4126</v>
      </c>
      <c r="L3008" t="s">
        <v>21</v>
      </c>
    </row>
    <row r="3009" spans="1:12">
      <c r="A3009" t="s">
        <v>4127</v>
      </c>
      <c r="B3009" t="s">
        <v>4101</v>
      </c>
      <c r="C3009" t="s">
        <v>14</v>
      </c>
      <c r="D3009">
        <v>1982</v>
      </c>
      <c r="E3009" t="s">
        <v>23</v>
      </c>
      <c r="F3009" t="s">
        <v>24</v>
      </c>
      <c r="G3009" t="s">
        <v>25</v>
      </c>
      <c r="H3009" t="s">
        <v>26</v>
      </c>
      <c r="I3009">
        <v>1756032</v>
      </c>
      <c r="J3009" t="s">
        <v>27</v>
      </c>
      <c r="K3009" t="s">
        <v>4126</v>
      </c>
      <c r="L3009" t="s">
        <v>21</v>
      </c>
    </row>
    <row r="3010" spans="1:12">
      <c r="A3010" t="s">
        <v>4128</v>
      </c>
      <c r="B3010" t="s">
        <v>4101</v>
      </c>
      <c r="C3010" t="s">
        <v>14</v>
      </c>
      <c r="D3010">
        <v>1982</v>
      </c>
      <c r="E3010" t="s">
        <v>29</v>
      </c>
      <c r="F3010" t="s">
        <v>30</v>
      </c>
      <c r="G3010" t="s">
        <v>31</v>
      </c>
      <c r="H3010" t="s">
        <v>32</v>
      </c>
      <c r="I3010">
        <v>2000.6031390000001</v>
      </c>
      <c r="J3010" t="s">
        <v>33</v>
      </c>
      <c r="K3010" t="s">
        <v>4126</v>
      </c>
      <c r="L3010" t="s">
        <v>21</v>
      </c>
    </row>
    <row r="3011" spans="1:12">
      <c r="A3011" t="s">
        <v>4129</v>
      </c>
      <c r="B3011" t="s">
        <v>4101</v>
      </c>
      <c r="C3011" t="s">
        <v>14</v>
      </c>
      <c r="D3011">
        <v>1987</v>
      </c>
      <c r="E3011" t="s">
        <v>15</v>
      </c>
      <c r="F3011" t="s">
        <v>16</v>
      </c>
      <c r="G3011" t="s">
        <v>17</v>
      </c>
      <c r="H3011" t="s">
        <v>18</v>
      </c>
      <c r="I3011">
        <v>60.222000000000001</v>
      </c>
      <c r="J3011" t="s">
        <v>19</v>
      </c>
      <c r="K3011" t="s">
        <v>4130</v>
      </c>
      <c r="L3011" t="s">
        <v>21</v>
      </c>
    </row>
    <row r="3012" spans="1:12">
      <c r="A3012" t="s">
        <v>4131</v>
      </c>
      <c r="B3012" t="s">
        <v>4101</v>
      </c>
      <c r="C3012" t="s">
        <v>14</v>
      </c>
      <c r="D3012">
        <v>1987</v>
      </c>
      <c r="E3012" t="s">
        <v>23</v>
      </c>
      <c r="F3012" t="s">
        <v>24</v>
      </c>
      <c r="G3012" t="s">
        <v>25</v>
      </c>
      <c r="H3012" t="s">
        <v>26</v>
      </c>
      <c r="I3012">
        <v>2015133</v>
      </c>
      <c r="J3012" t="s">
        <v>27</v>
      </c>
      <c r="K3012" t="s">
        <v>4130</v>
      </c>
      <c r="L3012" t="s">
        <v>21</v>
      </c>
    </row>
    <row r="3013" spans="1:12">
      <c r="A3013" t="s">
        <v>4132</v>
      </c>
      <c r="B3013" t="s">
        <v>4101</v>
      </c>
      <c r="C3013" t="s">
        <v>14</v>
      </c>
      <c r="D3013">
        <v>1987</v>
      </c>
      <c r="E3013" t="s">
        <v>29</v>
      </c>
      <c r="F3013" t="s">
        <v>30</v>
      </c>
      <c r="G3013" t="s">
        <v>31</v>
      </c>
      <c r="H3013" t="s">
        <v>32</v>
      </c>
      <c r="I3013">
        <v>2338.008304</v>
      </c>
      <c r="J3013" t="s">
        <v>33</v>
      </c>
      <c r="K3013" t="s">
        <v>4130</v>
      </c>
      <c r="L3013" t="s">
        <v>21</v>
      </c>
    </row>
    <row r="3014" spans="1:12">
      <c r="A3014" t="s">
        <v>4133</v>
      </c>
      <c r="B3014" t="s">
        <v>4101</v>
      </c>
      <c r="C3014" t="s">
        <v>14</v>
      </c>
      <c r="D3014">
        <v>1992</v>
      </c>
      <c r="E3014" t="s">
        <v>15</v>
      </c>
      <c r="F3014" t="s">
        <v>16</v>
      </c>
      <c r="G3014" t="s">
        <v>17</v>
      </c>
      <c r="H3014" t="s">
        <v>18</v>
      </c>
      <c r="I3014">
        <v>61.271000000000001</v>
      </c>
      <c r="J3014" t="s">
        <v>19</v>
      </c>
      <c r="K3014" t="s">
        <v>4134</v>
      </c>
      <c r="L3014" t="s">
        <v>21</v>
      </c>
    </row>
    <row r="3015" spans="1:12">
      <c r="A3015" t="s">
        <v>4135</v>
      </c>
      <c r="B3015" t="s">
        <v>4101</v>
      </c>
      <c r="C3015" t="s">
        <v>14</v>
      </c>
      <c r="D3015">
        <v>1992</v>
      </c>
      <c r="E3015" t="s">
        <v>23</v>
      </c>
      <c r="F3015" t="s">
        <v>24</v>
      </c>
      <c r="G3015" t="s">
        <v>25</v>
      </c>
      <c r="H3015" t="s">
        <v>26</v>
      </c>
      <c r="I3015">
        <v>2312802</v>
      </c>
      <c r="J3015" t="s">
        <v>27</v>
      </c>
      <c r="K3015" t="s">
        <v>4134</v>
      </c>
      <c r="L3015" t="s">
        <v>21</v>
      </c>
    </row>
    <row r="3016" spans="1:12">
      <c r="A3016" t="s">
        <v>4136</v>
      </c>
      <c r="B3016" t="s">
        <v>4101</v>
      </c>
      <c r="C3016" t="s">
        <v>14</v>
      </c>
      <c r="D3016">
        <v>1992</v>
      </c>
      <c r="E3016" t="s">
        <v>29</v>
      </c>
      <c r="F3016" t="s">
        <v>30</v>
      </c>
      <c r="G3016" t="s">
        <v>31</v>
      </c>
      <c r="H3016" t="s">
        <v>32</v>
      </c>
      <c r="I3016">
        <v>1785.402016</v>
      </c>
      <c r="J3016" t="s">
        <v>33</v>
      </c>
      <c r="K3016" t="s">
        <v>4134</v>
      </c>
      <c r="L3016" t="s">
        <v>21</v>
      </c>
    </row>
    <row r="3017" spans="1:12">
      <c r="A3017" t="s">
        <v>4137</v>
      </c>
      <c r="B3017" t="s">
        <v>4101</v>
      </c>
      <c r="C3017" t="s">
        <v>14</v>
      </c>
      <c r="D3017">
        <v>1997</v>
      </c>
      <c r="E3017" t="s">
        <v>15</v>
      </c>
      <c r="F3017" t="s">
        <v>16</v>
      </c>
      <c r="G3017" t="s">
        <v>17</v>
      </c>
      <c r="H3017" t="s">
        <v>18</v>
      </c>
      <c r="I3017">
        <v>63.625</v>
      </c>
      <c r="J3017" t="s">
        <v>19</v>
      </c>
      <c r="K3017" t="s">
        <v>4138</v>
      </c>
      <c r="L3017" t="s">
        <v>21</v>
      </c>
    </row>
    <row r="3018" spans="1:12">
      <c r="A3018" t="s">
        <v>4139</v>
      </c>
      <c r="B3018" t="s">
        <v>4101</v>
      </c>
      <c r="C3018" t="s">
        <v>14</v>
      </c>
      <c r="D3018">
        <v>1997</v>
      </c>
      <c r="E3018" t="s">
        <v>23</v>
      </c>
      <c r="F3018" t="s">
        <v>24</v>
      </c>
      <c r="G3018" t="s">
        <v>25</v>
      </c>
      <c r="H3018" t="s">
        <v>26</v>
      </c>
      <c r="I3018">
        <v>2494803</v>
      </c>
      <c r="J3018" t="s">
        <v>27</v>
      </c>
      <c r="K3018" t="s">
        <v>4138</v>
      </c>
      <c r="L3018" t="s">
        <v>21</v>
      </c>
    </row>
    <row r="3019" spans="1:12">
      <c r="A3019" t="s">
        <v>4140</v>
      </c>
      <c r="B3019" t="s">
        <v>4101</v>
      </c>
      <c r="C3019" t="s">
        <v>14</v>
      </c>
      <c r="D3019">
        <v>1997</v>
      </c>
      <c r="E3019" t="s">
        <v>29</v>
      </c>
      <c r="F3019" t="s">
        <v>30</v>
      </c>
      <c r="G3019" t="s">
        <v>31</v>
      </c>
      <c r="H3019" t="s">
        <v>32</v>
      </c>
      <c r="I3019">
        <v>1902.2520999999999</v>
      </c>
      <c r="J3019" t="s">
        <v>33</v>
      </c>
      <c r="K3019" t="s">
        <v>4138</v>
      </c>
      <c r="L3019" t="s">
        <v>21</v>
      </c>
    </row>
    <row r="3020" spans="1:12">
      <c r="A3020" t="s">
        <v>4141</v>
      </c>
      <c r="B3020" t="s">
        <v>4101</v>
      </c>
      <c r="C3020" t="s">
        <v>14</v>
      </c>
      <c r="D3020">
        <v>2002</v>
      </c>
      <c r="E3020" t="s">
        <v>15</v>
      </c>
      <c r="F3020" t="s">
        <v>16</v>
      </c>
      <c r="G3020" t="s">
        <v>17</v>
      </c>
      <c r="H3020" t="s">
        <v>18</v>
      </c>
      <c r="I3020">
        <v>65.033000000000001</v>
      </c>
      <c r="J3020" t="s">
        <v>19</v>
      </c>
      <c r="K3020" t="s">
        <v>4142</v>
      </c>
      <c r="L3020" t="s">
        <v>21</v>
      </c>
    </row>
    <row r="3021" spans="1:12">
      <c r="A3021" t="s">
        <v>4143</v>
      </c>
      <c r="B3021" t="s">
        <v>4101</v>
      </c>
      <c r="C3021" t="s">
        <v>14</v>
      </c>
      <c r="D3021">
        <v>2002</v>
      </c>
      <c r="E3021" t="s">
        <v>23</v>
      </c>
      <c r="F3021" t="s">
        <v>24</v>
      </c>
      <c r="G3021" t="s">
        <v>25</v>
      </c>
      <c r="H3021" t="s">
        <v>26</v>
      </c>
      <c r="I3021">
        <v>2674234</v>
      </c>
      <c r="J3021" t="s">
        <v>27</v>
      </c>
      <c r="K3021" t="s">
        <v>4142</v>
      </c>
      <c r="L3021" t="s">
        <v>21</v>
      </c>
    </row>
    <row r="3022" spans="1:12">
      <c r="A3022" t="s">
        <v>4144</v>
      </c>
      <c r="B3022" t="s">
        <v>4101</v>
      </c>
      <c r="C3022" t="s">
        <v>14</v>
      </c>
      <c r="D3022">
        <v>2002</v>
      </c>
      <c r="E3022" t="s">
        <v>29</v>
      </c>
      <c r="F3022" t="s">
        <v>30</v>
      </c>
      <c r="G3022" t="s">
        <v>31</v>
      </c>
      <c r="H3022" t="s">
        <v>32</v>
      </c>
      <c r="I3022">
        <v>2140.7393229999998</v>
      </c>
      <c r="J3022" t="s">
        <v>33</v>
      </c>
      <c r="K3022" t="s">
        <v>4142</v>
      </c>
      <c r="L3022" t="s">
        <v>21</v>
      </c>
    </row>
    <row r="3023" spans="1:12">
      <c r="A3023" t="s">
        <v>4145</v>
      </c>
      <c r="B3023" t="s">
        <v>4101</v>
      </c>
      <c r="C3023" t="s">
        <v>14</v>
      </c>
      <c r="D3023">
        <v>2007</v>
      </c>
      <c r="E3023" t="s">
        <v>15</v>
      </c>
      <c r="F3023" t="s">
        <v>16</v>
      </c>
      <c r="G3023" t="s">
        <v>17</v>
      </c>
      <c r="H3023" t="s">
        <v>18</v>
      </c>
      <c r="I3023">
        <v>66.802999999999997</v>
      </c>
      <c r="J3023" t="s">
        <v>19</v>
      </c>
      <c r="K3023" t="s">
        <v>4146</v>
      </c>
      <c r="L3023" t="s">
        <v>21</v>
      </c>
    </row>
    <row r="3024" spans="1:12">
      <c r="A3024" t="s">
        <v>4147</v>
      </c>
      <c r="B3024" t="s">
        <v>4101</v>
      </c>
      <c r="C3024" t="s">
        <v>14</v>
      </c>
      <c r="D3024">
        <v>2007</v>
      </c>
      <c r="E3024" t="s">
        <v>23</v>
      </c>
      <c r="F3024" t="s">
        <v>24</v>
      </c>
      <c r="G3024" t="s">
        <v>25</v>
      </c>
      <c r="H3024" t="s">
        <v>26</v>
      </c>
      <c r="I3024">
        <v>2874127</v>
      </c>
      <c r="J3024" t="s">
        <v>27</v>
      </c>
      <c r="K3024" t="s">
        <v>4146</v>
      </c>
      <c r="L3024" t="s">
        <v>21</v>
      </c>
    </row>
    <row r="3025" spans="1:12">
      <c r="A3025" t="s">
        <v>4148</v>
      </c>
      <c r="B3025" t="s">
        <v>4101</v>
      </c>
      <c r="C3025" t="s">
        <v>14</v>
      </c>
      <c r="D3025">
        <v>2007</v>
      </c>
      <c r="E3025" t="s">
        <v>29</v>
      </c>
      <c r="F3025" t="s">
        <v>30</v>
      </c>
      <c r="G3025" t="s">
        <v>31</v>
      </c>
      <c r="H3025" t="s">
        <v>32</v>
      </c>
      <c r="I3025">
        <v>3095.7722709999998</v>
      </c>
      <c r="J3025" t="s">
        <v>33</v>
      </c>
      <c r="K3025" t="s">
        <v>4146</v>
      </c>
      <c r="L3025" t="s">
        <v>21</v>
      </c>
    </row>
    <row r="3026" spans="1:12">
      <c r="A3026" t="s">
        <v>4149</v>
      </c>
      <c r="B3026" t="s">
        <v>4150</v>
      </c>
      <c r="C3026" t="s">
        <v>80</v>
      </c>
      <c r="D3026">
        <v>1952</v>
      </c>
      <c r="E3026" t="s">
        <v>15</v>
      </c>
      <c r="F3026" t="s">
        <v>16</v>
      </c>
      <c r="G3026" t="s">
        <v>17</v>
      </c>
      <c r="H3026" t="s">
        <v>18</v>
      </c>
      <c r="I3026">
        <v>59.164000000000001</v>
      </c>
      <c r="J3026" t="s">
        <v>19</v>
      </c>
      <c r="K3026" t="s">
        <v>4151</v>
      </c>
      <c r="L3026" t="s">
        <v>21</v>
      </c>
    </row>
    <row r="3027" spans="1:12">
      <c r="A3027" t="s">
        <v>4152</v>
      </c>
      <c r="B3027" t="s">
        <v>4150</v>
      </c>
      <c r="C3027" t="s">
        <v>80</v>
      </c>
      <c r="D3027">
        <v>1952</v>
      </c>
      <c r="E3027" t="s">
        <v>23</v>
      </c>
      <c r="F3027" t="s">
        <v>24</v>
      </c>
      <c r="G3027" t="s">
        <v>25</v>
      </c>
      <c r="H3027" t="s">
        <v>26</v>
      </c>
      <c r="I3027">
        <v>413834</v>
      </c>
      <c r="J3027" t="s">
        <v>27</v>
      </c>
      <c r="K3027" t="s">
        <v>4151</v>
      </c>
      <c r="L3027" t="s">
        <v>21</v>
      </c>
    </row>
    <row r="3028" spans="1:12">
      <c r="A3028" t="s">
        <v>4153</v>
      </c>
      <c r="B3028" t="s">
        <v>4150</v>
      </c>
      <c r="C3028" t="s">
        <v>80</v>
      </c>
      <c r="D3028">
        <v>1952</v>
      </c>
      <c r="E3028" t="s">
        <v>29</v>
      </c>
      <c r="F3028" t="s">
        <v>30</v>
      </c>
      <c r="G3028" t="s">
        <v>31</v>
      </c>
      <c r="H3028" t="s">
        <v>32</v>
      </c>
      <c r="I3028">
        <v>2647.5856010000002</v>
      </c>
      <c r="J3028" t="s">
        <v>33</v>
      </c>
      <c r="K3028" t="s">
        <v>4151</v>
      </c>
      <c r="L3028" t="s">
        <v>21</v>
      </c>
    </row>
    <row r="3029" spans="1:12">
      <c r="A3029" t="s">
        <v>4154</v>
      </c>
      <c r="B3029" t="s">
        <v>4150</v>
      </c>
      <c r="C3029" t="s">
        <v>80</v>
      </c>
      <c r="D3029">
        <v>1957</v>
      </c>
      <c r="E3029" t="s">
        <v>15</v>
      </c>
      <c r="F3029" t="s">
        <v>16</v>
      </c>
      <c r="G3029" t="s">
        <v>17</v>
      </c>
      <c r="H3029" t="s">
        <v>18</v>
      </c>
      <c r="I3029">
        <v>61.448</v>
      </c>
      <c r="J3029" t="s">
        <v>19</v>
      </c>
      <c r="K3029" t="s">
        <v>4155</v>
      </c>
      <c r="L3029" t="s">
        <v>21</v>
      </c>
    </row>
    <row r="3030" spans="1:12">
      <c r="A3030" t="s">
        <v>4156</v>
      </c>
      <c r="B3030" t="s">
        <v>4150</v>
      </c>
      <c r="C3030" t="s">
        <v>80</v>
      </c>
      <c r="D3030">
        <v>1957</v>
      </c>
      <c r="E3030" t="s">
        <v>23</v>
      </c>
      <c r="F3030" t="s">
        <v>24</v>
      </c>
      <c r="G3030" t="s">
        <v>25</v>
      </c>
      <c r="H3030" t="s">
        <v>26</v>
      </c>
      <c r="I3030">
        <v>442829</v>
      </c>
      <c r="J3030" t="s">
        <v>27</v>
      </c>
      <c r="K3030" t="s">
        <v>4155</v>
      </c>
      <c r="L3030" t="s">
        <v>21</v>
      </c>
    </row>
    <row r="3031" spans="1:12">
      <c r="A3031" t="s">
        <v>4157</v>
      </c>
      <c r="B3031" t="s">
        <v>4150</v>
      </c>
      <c r="C3031" t="s">
        <v>80</v>
      </c>
      <c r="D3031">
        <v>1957</v>
      </c>
      <c r="E3031" t="s">
        <v>29</v>
      </c>
      <c r="F3031" t="s">
        <v>30</v>
      </c>
      <c r="G3031" t="s">
        <v>31</v>
      </c>
      <c r="H3031" t="s">
        <v>32</v>
      </c>
      <c r="I3031">
        <v>3682.2599030000001</v>
      </c>
      <c r="J3031" t="s">
        <v>33</v>
      </c>
      <c r="K3031" t="s">
        <v>4155</v>
      </c>
      <c r="L3031" t="s">
        <v>21</v>
      </c>
    </row>
    <row r="3032" spans="1:12">
      <c r="A3032" t="s">
        <v>4158</v>
      </c>
      <c r="B3032" t="s">
        <v>4150</v>
      </c>
      <c r="C3032" t="s">
        <v>80</v>
      </c>
      <c r="D3032">
        <v>1962</v>
      </c>
      <c r="E3032" t="s">
        <v>15</v>
      </c>
      <c r="F3032" t="s">
        <v>16</v>
      </c>
      <c r="G3032" t="s">
        <v>17</v>
      </c>
      <c r="H3032" t="s">
        <v>18</v>
      </c>
      <c r="I3032">
        <v>63.728000000000002</v>
      </c>
      <c r="J3032" t="s">
        <v>19</v>
      </c>
      <c r="K3032" t="s">
        <v>4159</v>
      </c>
      <c r="L3032" t="s">
        <v>21</v>
      </c>
    </row>
    <row r="3033" spans="1:12">
      <c r="A3033" t="s">
        <v>4160</v>
      </c>
      <c r="B3033" t="s">
        <v>4150</v>
      </c>
      <c r="C3033" t="s">
        <v>80</v>
      </c>
      <c r="D3033">
        <v>1962</v>
      </c>
      <c r="E3033" t="s">
        <v>23</v>
      </c>
      <c r="F3033" t="s">
        <v>24</v>
      </c>
      <c r="G3033" t="s">
        <v>25</v>
      </c>
      <c r="H3033" t="s">
        <v>26</v>
      </c>
      <c r="I3033">
        <v>474528</v>
      </c>
      <c r="J3033" t="s">
        <v>27</v>
      </c>
      <c r="K3033" t="s">
        <v>4159</v>
      </c>
      <c r="L3033" t="s">
        <v>21</v>
      </c>
    </row>
    <row r="3034" spans="1:12">
      <c r="A3034" t="s">
        <v>4161</v>
      </c>
      <c r="B3034" t="s">
        <v>4150</v>
      </c>
      <c r="C3034" t="s">
        <v>80</v>
      </c>
      <c r="D3034">
        <v>1962</v>
      </c>
      <c r="E3034" t="s">
        <v>29</v>
      </c>
      <c r="F3034" t="s">
        <v>30</v>
      </c>
      <c r="G3034" t="s">
        <v>31</v>
      </c>
      <c r="H3034" t="s">
        <v>32</v>
      </c>
      <c r="I3034">
        <v>4649.593785</v>
      </c>
      <c r="J3034" t="s">
        <v>33</v>
      </c>
      <c r="K3034" t="s">
        <v>4159</v>
      </c>
      <c r="L3034" t="s">
        <v>21</v>
      </c>
    </row>
    <row r="3035" spans="1:12">
      <c r="A3035" t="s">
        <v>4162</v>
      </c>
      <c r="B3035" t="s">
        <v>4150</v>
      </c>
      <c r="C3035" t="s">
        <v>80</v>
      </c>
      <c r="D3035">
        <v>1967</v>
      </c>
      <c r="E3035" t="s">
        <v>15</v>
      </c>
      <c r="F3035" t="s">
        <v>16</v>
      </c>
      <c r="G3035" t="s">
        <v>17</v>
      </c>
      <c r="H3035" t="s">
        <v>18</v>
      </c>
      <c r="I3035">
        <v>67.177999999999997</v>
      </c>
      <c r="J3035" t="s">
        <v>19</v>
      </c>
      <c r="K3035" t="s">
        <v>4163</v>
      </c>
      <c r="L3035" t="s">
        <v>21</v>
      </c>
    </row>
    <row r="3036" spans="1:12">
      <c r="A3036" t="s">
        <v>4164</v>
      </c>
      <c r="B3036" t="s">
        <v>4150</v>
      </c>
      <c r="C3036" t="s">
        <v>80</v>
      </c>
      <c r="D3036">
        <v>1967</v>
      </c>
      <c r="E3036" t="s">
        <v>23</v>
      </c>
      <c r="F3036" t="s">
        <v>24</v>
      </c>
      <c r="G3036" t="s">
        <v>25</v>
      </c>
      <c r="H3036" t="s">
        <v>26</v>
      </c>
      <c r="I3036">
        <v>501035</v>
      </c>
      <c r="J3036" t="s">
        <v>27</v>
      </c>
      <c r="K3036" t="s">
        <v>4163</v>
      </c>
      <c r="L3036" t="s">
        <v>21</v>
      </c>
    </row>
    <row r="3037" spans="1:12">
      <c r="A3037" t="s">
        <v>4165</v>
      </c>
      <c r="B3037" t="s">
        <v>4150</v>
      </c>
      <c r="C3037" t="s">
        <v>80</v>
      </c>
      <c r="D3037">
        <v>1967</v>
      </c>
      <c r="E3037" t="s">
        <v>29</v>
      </c>
      <c r="F3037" t="s">
        <v>30</v>
      </c>
      <c r="G3037" t="s">
        <v>31</v>
      </c>
      <c r="H3037" t="s">
        <v>32</v>
      </c>
      <c r="I3037">
        <v>5907.8509370000002</v>
      </c>
      <c r="J3037" t="s">
        <v>33</v>
      </c>
      <c r="K3037" t="s">
        <v>4163</v>
      </c>
      <c r="L3037" t="s">
        <v>21</v>
      </c>
    </row>
    <row r="3038" spans="1:12">
      <c r="A3038" t="s">
        <v>4166</v>
      </c>
      <c r="B3038" t="s">
        <v>4150</v>
      </c>
      <c r="C3038" t="s">
        <v>80</v>
      </c>
      <c r="D3038">
        <v>1972</v>
      </c>
      <c r="E3038" t="s">
        <v>15</v>
      </c>
      <c r="F3038" t="s">
        <v>16</v>
      </c>
      <c r="G3038" t="s">
        <v>17</v>
      </c>
      <c r="H3038" t="s">
        <v>18</v>
      </c>
      <c r="I3038">
        <v>70.635999999999996</v>
      </c>
      <c r="J3038" t="s">
        <v>19</v>
      </c>
      <c r="K3038" t="s">
        <v>4167</v>
      </c>
      <c r="L3038" t="s">
        <v>21</v>
      </c>
    </row>
    <row r="3039" spans="1:12">
      <c r="A3039" t="s">
        <v>4168</v>
      </c>
      <c r="B3039" t="s">
        <v>4150</v>
      </c>
      <c r="C3039" t="s">
        <v>80</v>
      </c>
      <c r="D3039">
        <v>1972</v>
      </c>
      <c r="E3039" t="s">
        <v>23</v>
      </c>
      <c r="F3039" t="s">
        <v>24</v>
      </c>
      <c r="G3039" t="s">
        <v>25</v>
      </c>
      <c r="H3039" t="s">
        <v>26</v>
      </c>
      <c r="I3039">
        <v>527678</v>
      </c>
      <c r="J3039" t="s">
        <v>27</v>
      </c>
      <c r="K3039" t="s">
        <v>4167</v>
      </c>
      <c r="L3039" t="s">
        <v>21</v>
      </c>
    </row>
    <row r="3040" spans="1:12">
      <c r="A3040" t="s">
        <v>4169</v>
      </c>
      <c r="B3040" t="s">
        <v>4150</v>
      </c>
      <c r="C3040" t="s">
        <v>80</v>
      </c>
      <c r="D3040">
        <v>1972</v>
      </c>
      <c r="E3040" t="s">
        <v>29</v>
      </c>
      <c r="F3040" t="s">
        <v>30</v>
      </c>
      <c r="G3040" t="s">
        <v>31</v>
      </c>
      <c r="H3040" t="s">
        <v>32</v>
      </c>
      <c r="I3040">
        <v>7778.4140170000001</v>
      </c>
      <c r="J3040" t="s">
        <v>33</v>
      </c>
      <c r="K3040" t="s">
        <v>4167</v>
      </c>
      <c r="L3040" t="s">
        <v>21</v>
      </c>
    </row>
    <row r="3041" spans="1:12">
      <c r="A3041" t="s">
        <v>4170</v>
      </c>
      <c r="B3041" t="s">
        <v>4150</v>
      </c>
      <c r="C3041" t="s">
        <v>80</v>
      </c>
      <c r="D3041">
        <v>1977</v>
      </c>
      <c r="E3041" t="s">
        <v>15</v>
      </c>
      <c r="F3041" t="s">
        <v>16</v>
      </c>
      <c r="G3041" t="s">
        <v>17</v>
      </c>
      <c r="H3041" t="s">
        <v>18</v>
      </c>
      <c r="I3041">
        <v>73.066000000000003</v>
      </c>
      <c r="J3041" t="s">
        <v>19</v>
      </c>
      <c r="K3041" t="s">
        <v>4171</v>
      </c>
      <c r="L3041" t="s">
        <v>21</v>
      </c>
    </row>
    <row r="3042" spans="1:12">
      <c r="A3042" t="s">
        <v>4172</v>
      </c>
      <c r="B3042" t="s">
        <v>4150</v>
      </c>
      <c r="C3042" t="s">
        <v>80</v>
      </c>
      <c r="D3042">
        <v>1977</v>
      </c>
      <c r="E3042" t="s">
        <v>23</v>
      </c>
      <c r="F3042" t="s">
        <v>24</v>
      </c>
      <c r="G3042" t="s">
        <v>25</v>
      </c>
      <c r="H3042" t="s">
        <v>26</v>
      </c>
      <c r="I3042">
        <v>560073</v>
      </c>
      <c r="J3042" t="s">
        <v>27</v>
      </c>
      <c r="K3042" t="s">
        <v>4171</v>
      </c>
      <c r="L3042" t="s">
        <v>21</v>
      </c>
    </row>
    <row r="3043" spans="1:12">
      <c r="A3043" t="s">
        <v>4173</v>
      </c>
      <c r="B3043" t="s">
        <v>4150</v>
      </c>
      <c r="C3043" t="s">
        <v>80</v>
      </c>
      <c r="D3043">
        <v>1977</v>
      </c>
      <c r="E3043" t="s">
        <v>29</v>
      </c>
      <c r="F3043" t="s">
        <v>30</v>
      </c>
      <c r="G3043" t="s">
        <v>31</v>
      </c>
      <c r="H3043" t="s">
        <v>32</v>
      </c>
      <c r="I3043">
        <v>9595.9299050000009</v>
      </c>
      <c r="J3043" t="s">
        <v>33</v>
      </c>
      <c r="K3043" t="s">
        <v>4171</v>
      </c>
      <c r="L3043" t="s">
        <v>21</v>
      </c>
    </row>
    <row r="3044" spans="1:12">
      <c r="A3044" t="s">
        <v>4174</v>
      </c>
      <c r="B3044" t="s">
        <v>4150</v>
      </c>
      <c r="C3044" t="s">
        <v>80</v>
      </c>
      <c r="D3044">
        <v>1982</v>
      </c>
      <c r="E3044" t="s">
        <v>15</v>
      </c>
      <c r="F3044" t="s">
        <v>16</v>
      </c>
      <c r="G3044" t="s">
        <v>17</v>
      </c>
      <c r="H3044" t="s">
        <v>18</v>
      </c>
      <c r="I3044">
        <v>74.100999999999999</v>
      </c>
      <c r="J3044" t="s">
        <v>19</v>
      </c>
      <c r="K3044" t="s">
        <v>4175</v>
      </c>
      <c r="L3044" t="s">
        <v>21</v>
      </c>
    </row>
    <row r="3045" spans="1:12">
      <c r="A3045" t="s">
        <v>4176</v>
      </c>
      <c r="B3045" t="s">
        <v>4150</v>
      </c>
      <c r="C3045" t="s">
        <v>80</v>
      </c>
      <c r="D3045">
        <v>1982</v>
      </c>
      <c r="E3045" t="s">
        <v>23</v>
      </c>
      <c r="F3045" t="s">
        <v>24</v>
      </c>
      <c r="G3045" t="s">
        <v>25</v>
      </c>
      <c r="H3045" t="s">
        <v>26</v>
      </c>
      <c r="I3045">
        <v>562548</v>
      </c>
      <c r="J3045" t="s">
        <v>27</v>
      </c>
      <c r="K3045" t="s">
        <v>4175</v>
      </c>
      <c r="L3045" t="s">
        <v>21</v>
      </c>
    </row>
    <row r="3046" spans="1:12">
      <c r="A3046" t="s">
        <v>4177</v>
      </c>
      <c r="B3046" t="s">
        <v>4150</v>
      </c>
      <c r="C3046" t="s">
        <v>80</v>
      </c>
      <c r="D3046">
        <v>1982</v>
      </c>
      <c r="E3046" t="s">
        <v>29</v>
      </c>
      <c r="F3046" t="s">
        <v>30</v>
      </c>
      <c r="G3046" t="s">
        <v>31</v>
      </c>
      <c r="H3046" t="s">
        <v>32</v>
      </c>
      <c r="I3046">
        <v>11222.58762</v>
      </c>
      <c r="J3046" t="s">
        <v>33</v>
      </c>
      <c r="K3046" t="s">
        <v>4175</v>
      </c>
      <c r="L3046" t="s">
        <v>21</v>
      </c>
    </row>
    <row r="3047" spans="1:12">
      <c r="A3047" t="s">
        <v>4178</v>
      </c>
      <c r="B3047" t="s">
        <v>4150</v>
      </c>
      <c r="C3047" t="s">
        <v>80</v>
      </c>
      <c r="D3047">
        <v>1987</v>
      </c>
      <c r="E3047" t="s">
        <v>15</v>
      </c>
      <c r="F3047" t="s">
        <v>16</v>
      </c>
      <c r="G3047" t="s">
        <v>17</v>
      </c>
      <c r="H3047" t="s">
        <v>18</v>
      </c>
      <c r="I3047">
        <v>74.864999999999995</v>
      </c>
      <c r="J3047" t="s">
        <v>19</v>
      </c>
      <c r="K3047" t="s">
        <v>4179</v>
      </c>
      <c r="L3047" t="s">
        <v>21</v>
      </c>
    </row>
    <row r="3048" spans="1:12">
      <c r="A3048" t="s">
        <v>4180</v>
      </c>
      <c r="B3048" t="s">
        <v>4150</v>
      </c>
      <c r="C3048" t="s">
        <v>80</v>
      </c>
      <c r="D3048">
        <v>1987</v>
      </c>
      <c r="E3048" t="s">
        <v>23</v>
      </c>
      <c r="F3048" t="s">
        <v>24</v>
      </c>
      <c r="G3048" t="s">
        <v>25</v>
      </c>
      <c r="H3048" t="s">
        <v>26</v>
      </c>
      <c r="I3048">
        <v>569473</v>
      </c>
      <c r="J3048" t="s">
        <v>27</v>
      </c>
      <c r="K3048" t="s">
        <v>4179</v>
      </c>
      <c r="L3048" t="s">
        <v>21</v>
      </c>
    </row>
    <row r="3049" spans="1:12">
      <c r="A3049" t="s">
        <v>4181</v>
      </c>
      <c r="B3049" t="s">
        <v>4150</v>
      </c>
      <c r="C3049" t="s">
        <v>80</v>
      </c>
      <c r="D3049">
        <v>1987</v>
      </c>
      <c r="E3049" t="s">
        <v>29</v>
      </c>
      <c r="F3049" t="s">
        <v>30</v>
      </c>
      <c r="G3049" t="s">
        <v>31</v>
      </c>
      <c r="H3049" t="s">
        <v>32</v>
      </c>
      <c r="I3049">
        <v>11732.51017</v>
      </c>
      <c r="J3049" t="s">
        <v>33</v>
      </c>
      <c r="K3049" t="s">
        <v>4179</v>
      </c>
      <c r="L3049" t="s">
        <v>21</v>
      </c>
    </row>
    <row r="3050" spans="1:12">
      <c r="A3050" t="s">
        <v>4182</v>
      </c>
      <c r="B3050" t="s">
        <v>4150</v>
      </c>
      <c r="C3050" t="s">
        <v>80</v>
      </c>
      <c r="D3050">
        <v>1992</v>
      </c>
      <c r="E3050" t="s">
        <v>15</v>
      </c>
      <c r="F3050" t="s">
        <v>16</v>
      </c>
      <c r="G3050" t="s">
        <v>17</v>
      </c>
      <c r="H3050" t="s">
        <v>18</v>
      </c>
      <c r="I3050">
        <v>75.435000000000002</v>
      </c>
      <c r="J3050" t="s">
        <v>19</v>
      </c>
      <c r="K3050" t="s">
        <v>4183</v>
      </c>
      <c r="L3050" t="s">
        <v>21</v>
      </c>
    </row>
    <row r="3051" spans="1:12">
      <c r="A3051" t="s">
        <v>4184</v>
      </c>
      <c r="B3051" t="s">
        <v>4150</v>
      </c>
      <c r="C3051" t="s">
        <v>80</v>
      </c>
      <c r="D3051">
        <v>1992</v>
      </c>
      <c r="E3051" t="s">
        <v>23</v>
      </c>
      <c r="F3051" t="s">
        <v>24</v>
      </c>
      <c r="G3051" t="s">
        <v>25</v>
      </c>
      <c r="H3051" t="s">
        <v>26</v>
      </c>
      <c r="I3051">
        <v>621621</v>
      </c>
      <c r="J3051" t="s">
        <v>27</v>
      </c>
      <c r="K3051" t="s">
        <v>4183</v>
      </c>
      <c r="L3051" t="s">
        <v>21</v>
      </c>
    </row>
    <row r="3052" spans="1:12">
      <c r="A3052" t="s">
        <v>4185</v>
      </c>
      <c r="B3052" t="s">
        <v>4150</v>
      </c>
      <c r="C3052" t="s">
        <v>80</v>
      </c>
      <c r="D3052">
        <v>1992</v>
      </c>
      <c r="E3052" t="s">
        <v>29</v>
      </c>
      <c r="F3052" t="s">
        <v>30</v>
      </c>
      <c r="G3052" t="s">
        <v>31</v>
      </c>
      <c r="H3052" t="s">
        <v>32</v>
      </c>
      <c r="I3052">
        <v>7003.3390369999997</v>
      </c>
      <c r="J3052" t="s">
        <v>33</v>
      </c>
      <c r="K3052" t="s">
        <v>4183</v>
      </c>
      <c r="L3052" t="s">
        <v>21</v>
      </c>
    </row>
    <row r="3053" spans="1:12">
      <c r="A3053" t="s">
        <v>4186</v>
      </c>
      <c r="B3053" t="s">
        <v>4150</v>
      </c>
      <c r="C3053" t="s">
        <v>80</v>
      </c>
      <c r="D3053">
        <v>1997</v>
      </c>
      <c r="E3053" t="s">
        <v>15</v>
      </c>
      <c r="F3053" t="s">
        <v>16</v>
      </c>
      <c r="G3053" t="s">
        <v>17</v>
      </c>
      <c r="H3053" t="s">
        <v>18</v>
      </c>
      <c r="I3053">
        <v>75.444999999999993</v>
      </c>
      <c r="J3053" t="s">
        <v>19</v>
      </c>
      <c r="K3053" t="s">
        <v>4187</v>
      </c>
      <c r="L3053" t="s">
        <v>21</v>
      </c>
    </row>
    <row r="3054" spans="1:12">
      <c r="A3054" t="s">
        <v>4188</v>
      </c>
      <c r="B3054" t="s">
        <v>4150</v>
      </c>
      <c r="C3054" t="s">
        <v>80</v>
      </c>
      <c r="D3054">
        <v>1997</v>
      </c>
      <c r="E3054" t="s">
        <v>23</v>
      </c>
      <c r="F3054" t="s">
        <v>24</v>
      </c>
      <c r="G3054" t="s">
        <v>25</v>
      </c>
      <c r="H3054" t="s">
        <v>26</v>
      </c>
      <c r="I3054">
        <v>692651</v>
      </c>
      <c r="J3054" t="s">
        <v>27</v>
      </c>
      <c r="K3054" t="s">
        <v>4187</v>
      </c>
      <c r="L3054" t="s">
        <v>21</v>
      </c>
    </row>
    <row r="3055" spans="1:12">
      <c r="A3055" t="s">
        <v>4189</v>
      </c>
      <c r="B3055" t="s">
        <v>4150</v>
      </c>
      <c r="C3055" t="s">
        <v>80</v>
      </c>
      <c r="D3055">
        <v>1997</v>
      </c>
      <c r="E3055" t="s">
        <v>29</v>
      </c>
      <c r="F3055" t="s">
        <v>30</v>
      </c>
      <c r="G3055" t="s">
        <v>31</v>
      </c>
      <c r="H3055" t="s">
        <v>32</v>
      </c>
      <c r="I3055">
        <v>6465.6133490000002</v>
      </c>
      <c r="J3055" t="s">
        <v>33</v>
      </c>
      <c r="K3055" t="s">
        <v>4187</v>
      </c>
      <c r="L3055" t="s">
        <v>21</v>
      </c>
    </row>
    <row r="3056" spans="1:12">
      <c r="A3056" t="s">
        <v>4190</v>
      </c>
      <c r="B3056" t="s">
        <v>4150</v>
      </c>
      <c r="C3056" t="s">
        <v>80</v>
      </c>
      <c r="D3056">
        <v>2002</v>
      </c>
      <c r="E3056" t="s">
        <v>15</v>
      </c>
      <c r="F3056" t="s">
        <v>16</v>
      </c>
      <c r="G3056" t="s">
        <v>17</v>
      </c>
      <c r="H3056" t="s">
        <v>18</v>
      </c>
      <c r="I3056">
        <v>73.980999999999995</v>
      </c>
      <c r="J3056" t="s">
        <v>19</v>
      </c>
      <c r="K3056" t="s">
        <v>4191</v>
      </c>
      <c r="L3056" t="s">
        <v>21</v>
      </c>
    </row>
    <row r="3057" spans="1:12">
      <c r="A3057" t="s">
        <v>4192</v>
      </c>
      <c r="B3057" t="s">
        <v>4150</v>
      </c>
      <c r="C3057" t="s">
        <v>80</v>
      </c>
      <c r="D3057">
        <v>2002</v>
      </c>
      <c r="E3057" t="s">
        <v>23</v>
      </c>
      <c r="F3057" t="s">
        <v>24</v>
      </c>
      <c r="G3057" t="s">
        <v>25</v>
      </c>
      <c r="H3057" t="s">
        <v>26</v>
      </c>
      <c r="I3057">
        <v>720230</v>
      </c>
      <c r="J3057" t="s">
        <v>27</v>
      </c>
      <c r="K3057" t="s">
        <v>4191</v>
      </c>
      <c r="L3057" t="s">
        <v>21</v>
      </c>
    </row>
    <row r="3058" spans="1:12">
      <c r="A3058" t="s">
        <v>4193</v>
      </c>
      <c r="B3058" t="s">
        <v>4150</v>
      </c>
      <c r="C3058" t="s">
        <v>80</v>
      </c>
      <c r="D3058">
        <v>2002</v>
      </c>
      <c r="E3058" t="s">
        <v>29</v>
      </c>
      <c r="F3058" t="s">
        <v>30</v>
      </c>
      <c r="G3058" t="s">
        <v>31</v>
      </c>
      <c r="H3058" t="s">
        <v>32</v>
      </c>
      <c r="I3058">
        <v>6557.1942820000004</v>
      </c>
      <c r="J3058" t="s">
        <v>33</v>
      </c>
      <c r="K3058" t="s">
        <v>4191</v>
      </c>
      <c r="L3058" t="s">
        <v>21</v>
      </c>
    </row>
    <row r="3059" spans="1:12">
      <c r="A3059" t="s">
        <v>4194</v>
      </c>
      <c r="B3059" t="s">
        <v>4150</v>
      </c>
      <c r="C3059" t="s">
        <v>80</v>
      </c>
      <c r="D3059">
        <v>2007</v>
      </c>
      <c r="E3059" t="s">
        <v>15</v>
      </c>
      <c r="F3059" t="s">
        <v>16</v>
      </c>
      <c r="G3059" t="s">
        <v>17</v>
      </c>
      <c r="H3059" t="s">
        <v>18</v>
      </c>
      <c r="I3059">
        <v>74.543000000000006</v>
      </c>
      <c r="J3059" t="s">
        <v>19</v>
      </c>
      <c r="K3059" t="s">
        <v>4195</v>
      </c>
      <c r="L3059" t="s">
        <v>21</v>
      </c>
    </row>
    <row r="3060" spans="1:12">
      <c r="A3060" t="s">
        <v>4196</v>
      </c>
      <c r="B3060" t="s">
        <v>4150</v>
      </c>
      <c r="C3060" t="s">
        <v>80</v>
      </c>
      <c r="D3060">
        <v>2007</v>
      </c>
      <c r="E3060" t="s">
        <v>23</v>
      </c>
      <c r="F3060" t="s">
        <v>24</v>
      </c>
      <c r="G3060" t="s">
        <v>25</v>
      </c>
      <c r="H3060" t="s">
        <v>26</v>
      </c>
      <c r="I3060">
        <v>684736</v>
      </c>
      <c r="J3060" t="s">
        <v>27</v>
      </c>
      <c r="K3060" t="s">
        <v>4195</v>
      </c>
      <c r="L3060" t="s">
        <v>21</v>
      </c>
    </row>
    <row r="3061" spans="1:12">
      <c r="A3061" t="s">
        <v>4197</v>
      </c>
      <c r="B3061" t="s">
        <v>4150</v>
      </c>
      <c r="C3061" t="s">
        <v>80</v>
      </c>
      <c r="D3061">
        <v>2007</v>
      </c>
      <c r="E3061" t="s">
        <v>29</v>
      </c>
      <c r="F3061" t="s">
        <v>30</v>
      </c>
      <c r="G3061" t="s">
        <v>31</v>
      </c>
      <c r="H3061" t="s">
        <v>32</v>
      </c>
      <c r="I3061">
        <v>9253.896111</v>
      </c>
      <c r="J3061" t="s">
        <v>33</v>
      </c>
      <c r="K3061" t="s">
        <v>4195</v>
      </c>
      <c r="L3061" t="s">
        <v>21</v>
      </c>
    </row>
    <row r="3062" spans="1:12">
      <c r="A3062" t="s">
        <v>4198</v>
      </c>
      <c r="B3062" t="s">
        <v>4199</v>
      </c>
      <c r="C3062" t="s">
        <v>130</v>
      </c>
      <c r="D3062">
        <v>1952</v>
      </c>
      <c r="E3062" t="s">
        <v>15</v>
      </c>
      <c r="F3062" t="s">
        <v>16</v>
      </c>
      <c r="G3062" t="s">
        <v>17</v>
      </c>
      <c r="H3062" t="s">
        <v>18</v>
      </c>
      <c r="I3062">
        <v>42.872999999999998</v>
      </c>
      <c r="J3062" t="s">
        <v>19</v>
      </c>
      <c r="K3062" t="s">
        <v>4200</v>
      </c>
      <c r="L3062" t="s">
        <v>21</v>
      </c>
    </row>
    <row r="3063" spans="1:12">
      <c r="A3063" t="s">
        <v>4201</v>
      </c>
      <c r="B3063" t="s">
        <v>4199</v>
      </c>
      <c r="C3063" t="s">
        <v>130</v>
      </c>
      <c r="D3063">
        <v>1952</v>
      </c>
      <c r="E3063" t="s">
        <v>23</v>
      </c>
      <c r="F3063" t="s">
        <v>24</v>
      </c>
      <c r="G3063" t="s">
        <v>25</v>
      </c>
      <c r="H3063" t="s">
        <v>26</v>
      </c>
      <c r="I3063">
        <v>9939217</v>
      </c>
      <c r="J3063" t="s">
        <v>27</v>
      </c>
      <c r="K3063" t="s">
        <v>4200</v>
      </c>
      <c r="L3063" t="s">
        <v>21</v>
      </c>
    </row>
    <row r="3064" spans="1:12">
      <c r="A3064" t="s">
        <v>4202</v>
      </c>
      <c r="B3064" t="s">
        <v>4199</v>
      </c>
      <c r="C3064" t="s">
        <v>130</v>
      </c>
      <c r="D3064">
        <v>1952</v>
      </c>
      <c r="E3064" t="s">
        <v>29</v>
      </c>
      <c r="F3064" t="s">
        <v>30</v>
      </c>
      <c r="G3064" t="s">
        <v>31</v>
      </c>
      <c r="H3064" t="s">
        <v>32</v>
      </c>
      <c r="I3064">
        <v>1688.2035699999999</v>
      </c>
      <c r="J3064" t="s">
        <v>33</v>
      </c>
      <c r="K3064" t="s">
        <v>4200</v>
      </c>
      <c r="L3064" t="s">
        <v>21</v>
      </c>
    </row>
    <row r="3065" spans="1:12">
      <c r="A3065" t="s">
        <v>4203</v>
      </c>
      <c r="B3065" t="s">
        <v>4199</v>
      </c>
      <c r="C3065" t="s">
        <v>130</v>
      </c>
      <c r="D3065">
        <v>1957</v>
      </c>
      <c r="E3065" t="s">
        <v>15</v>
      </c>
      <c r="F3065" t="s">
        <v>16</v>
      </c>
      <c r="G3065" t="s">
        <v>17</v>
      </c>
      <c r="H3065" t="s">
        <v>18</v>
      </c>
      <c r="I3065">
        <v>45.423000000000002</v>
      </c>
      <c r="J3065" t="s">
        <v>19</v>
      </c>
      <c r="K3065" t="s">
        <v>4204</v>
      </c>
      <c r="L3065" t="s">
        <v>21</v>
      </c>
    </row>
    <row r="3066" spans="1:12">
      <c r="A3066" t="s">
        <v>4205</v>
      </c>
      <c r="B3066" t="s">
        <v>4199</v>
      </c>
      <c r="C3066" t="s">
        <v>130</v>
      </c>
      <c r="D3066">
        <v>1957</v>
      </c>
      <c r="E3066" t="s">
        <v>23</v>
      </c>
      <c r="F3066" t="s">
        <v>24</v>
      </c>
      <c r="G3066" t="s">
        <v>25</v>
      </c>
      <c r="H3066" t="s">
        <v>26</v>
      </c>
      <c r="I3066">
        <v>11406350</v>
      </c>
      <c r="J3066" t="s">
        <v>27</v>
      </c>
      <c r="K3066" t="s">
        <v>4204</v>
      </c>
      <c r="L3066" t="s">
        <v>21</v>
      </c>
    </row>
    <row r="3067" spans="1:12">
      <c r="A3067" t="s">
        <v>4206</v>
      </c>
      <c r="B3067" t="s">
        <v>4199</v>
      </c>
      <c r="C3067" t="s">
        <v>130</v>
      </c>
      <c r="D3067">
        <v>1957</v>
      </c>
      <c r="E3067" t="s">
        <v>29</v>
      </c>
      <c r="F3067" t="s">
        <v>30</v>
      </c>
      <c r="G3067" t="s">
        <v>31</v>
      </c>
      <c r="H3067" t="s">
        <v>32</v>
      </c>
      <c r="I3067">
        <v>1642.0023140000001</v>
      </c>
      <c r="J3067" t="s">
        <v>33</v>
      </c>
      <c r="K3067" t="s">
        <v>4204</v>
      </c>
      <c r="L3067" t="s">
        <v>21</v>
      </c>
    </row>
    <row r="3068" spans="1:12">
      <c r="A3068" t="s">
        <v>4207</v>
      </c>
      <c r="B3068" t="s">
        <v>4199</v>
      </c>
      <c r="C3068" t="s">
        <v>130</v>
      </c>
      <c r="D3068">
        <v>1962</v>
      </c>
      <c r="E3068" t="s">
        <v>15</v>
      </c>
      <c r="F3068" t="s">
        <v>16</v>
      </c>
      <c r="G3068" t="s">
        <v>17</v>
      </c>
      <c r="H3068" t="s">
        <v>18</v>
      </c>
      <c r="I3068">
        <v>47.923999999999999</v>
      </c>
      <c r="J3068" t="s">
        <v>19</v>
      </c>
      <c r="K3068" t="s">
        <v>4208</v>
      </c>
      <c r="L3068" t="s">
        <v>21</v>
      </c>
    </row>
    <row r="3069" spans="1:12">
      <c r="A3069" t="s">
        <v>4209</v>
      </c>
      <c r="B3069" t="s">
        <v>4199</v>
      </c>
      <c r="C3069" t="s">
        <v>130</v>
      </c>
      <c r="D3069">
        <v>1962</v>
      </c>
      <c r="E3069" t="s">
        <v>23</v>
      </c>
      <c r="F3069" t="s">
        <v>24</v>
      </c>
      <c r="G3069" t="s">
        <v>25</v>
      </c>
      <c r="H3069" t="s">
        <v>26</v>
      </c>
      <c r="I3069">
        <v>13056604</v>
      </c>
      <c r="J3069" t="s">
        <v>27</v>
      </c>
      <c r="K3069" t="s">
        <v>4208</v>
      </c>
      <c r="L3069" t="s">
        <v>21</v>
      </c>
    </row>
    <row r="3070" spans="1:12">
      <c r="A3070" t="s">
        <v>4210</v>
      </c>
      <c r="B3070" t="s">
        <v>4199</v>
      </c>
      <c r="C3070" t="s">
        <v>130</v>
      </c>
      <c r="D3070">
        <v>1962</v>
      </c>
      <c r="E3070" t="s">
        <v>29</v>
      </c>
      <c r="F3070" t="s">
        <v>30</v>
      </c>
      <c r="G3070" t="s">
        <v>31</v>
      </c>
      <c r="H3070" t="s">
        <v>32</v>
      </c>
      <c r="I3070">
        <v>1566.3534930000001</v>
      </c>
      <c r="J3070" t="s">
        <v>33</v>
      </c>
      <c r="K3070" t="s">
        <v>4208</v>
      </c>
      <c r="L3070" t="s">
        <v>21</v>
      </c>
    </row>
    <row r="3071" spans="1:12">
      <c r="A3071" t="s">
        <v>4211</v>
      </c>
      <c r="B3071" t="s">
        <v>4199</v>
      </c>
      <c r="C3071" t="s">
        <v>130</v>
      </c>
      <c r="D3071">
        <v>1967</v>
      </c>
      <c r="E3071" t="s">
        <v>15</v>
      </c>
      <c r="F3071" t="s">
        <v>16</v>
      </c>
      <c r="G3071" t="s">
        <v>17</v>
      </c>
      <c r="H3071" t="s">
        <v>18</v>
      </c>
      <c r="I3071">
        <v>50.335000000000001</v>
      </c>
      <c r="J3071" t="s">
        <v>19</v>
      </c>
      <c r="K3071" t="s">
        <v>4212</v>
      </c>
      <c r="L3071" t="s">
        <v>21</v>
      </c>
    </row>
    <row r="3072" spans="1:12">
      <c r="A3072" t="s">
        <v>4213</v>
      </c>
      <c r="B3072" t="s">
        <v>4199</v>
      </c>
      <c r="C3072" t="s">
        <v>130</v>
      </c>
      <c r="D3072">
        <v>1967</v>
      </c>
      <c r="E3072" t="s">
        <v>23</v>
      </c>
      <c r="F3072" t="s">
        <v>24</v>
      </c>
      <c r="G3072" t="s">
        <v>25</v>
      </c>
      <c r="H3072" t="s">
        <v>26</v>
      </c>
      <c r="I3072">
        <v>14770296</v>
      </c>
      <c r="J3072" t="s">
        <v>27</v>
      </c>
      <c r="K3072" t="s">
        <v>4212</v>
      </c>
      <c r="L3072" t="s">
        <v>21</v>
      </c>
    </row>
    <row r="3073" spans="1:12">
      <c r="A3073" t="s">
        <v>4214</v>
      </c>
      <c r="B3073" t="s">
        <v>4199</v>
      </c>
      <c r="C3073" t="s">
        <v>130</v>
      </c>
      <c r="D3073">
        <v>1967</v>
      </c>
      <c r="E3073" t="s">
        <v>29</v>
      </c>
      <c r="F3073" t="s">
        <v>30</v>
      </c>
      <c r="G3073" t="s">
        <v>31</v>
      </c>
      <c r="H3073" t="s">
        <v>32</v>
      </c>
      <c r="I3073">
        <v>1711.04477</v>
      </c>
      <c r="J3073" t="s">
        <v>33</v>
      </c>
      <c r="K3073" t="s">
        <v>4212</v>
      </c>
      <c r="L3073" t="s">
        <v>21</v>
      </c>
    </row>
    <row r="3074" spans="1:12">
      <c r="A3074" t="s">
        <v>4215</v>
      </c>
      <c r="B3074" t="s">
        <v>4199</v>
      </c>
      <c r="C3074" t="s">
        <v>130</v>
      </c>
      <c r="D3074">
        <v>1972</v>
      </c>
      <c r="E3074" t="s">
        <v>15</v>
      </c>
      <c r="F3074" t="s">
        <v>16</v>
      </c>
      <c r="G3074" t="s">
        <v>17</v>
      </c>
      <c r="H3074" t="s">
        <v>18</v>
      </c>
      <c r="I3074">
        <v>52.862000000000002</v>
      </c>
      <c r="J3074" t="s">
        <v>19</v>
      </c>
      <c r="K3074" t="s">
        <v>4216</v>
      </c>
      <c r="L3074" t="s">
        <v>21</v>
      </c>
    </row>
    <row r="3075" spans="1:12">
      <c r="A3075" t="s">
        <v>4217</v>
      </c>
      <c r="B3075" t="s">
        <v>4199</v>
      </c>
      <c r="C3075" t="s">
        <v>130</v>
      </c>
      <c r="D3075">
        <v>1972</v>
      </c>
      <c r="E3075" t="s">
        <v>23</v>
      </c>
      <c r="F3075" t="s">
        <v>24</v>
      </c>
      <c r="G3075" t="s">
        <v>25</v>
      </c>
      <c r="H3075" t="s">
        <v>26</v>
      </c>
      <c r="I3075">
        <v>16660670</v>
      </c>
      <c r="J3075" t="s">
        <v>27</v>
      </c>
      <c r="K3075" t="s">
        <v>4216</v>
      </c>
      <c r="L3075" t="s">
        <v>21</v>
      </c>
    </row>
    <row r="3076" spans="1:12">
      <c r="A3076" t="s">
        <v>4218</v>
      </c>
      <c r="B3076" t="s">
        <v>4199</v>
      </c>
      <c r="C3076" t="s">
        <v>130</v>
      </c>
      <c r="D3076">
        <v>1972</v>
      </c>
      <c r="E3076" t="s">
        <v>29</v>
      </c>
      <c r="F3076" t="s">
        <v>30</v>
      </c>
      <c r="G3076" t="s">
        <v>31</v>
      </c>
      <c r="H3076" t="s">
        <v>32</v>
      </c>
      <c r="I3076">
        <v>1930.1949750000001</v>
      </c>
      <c r="J3076" t="s">
        <v>33</v>
      </c>
      <c r="K3076" t="s">
        <v>4216</v>
      </c>
      <c r="L3076" t="s">
        <v>21</v>
      </c>
    </row>
    <row r="3077" spans="1:12">
      <c r="A3077" t="s">
        <v>4219</v>
      </c>
      <c r="B3077" t="s">
        <v>4199</v>
      </c>
      <c r="C3077" t="s">
        <v>130</v>
      </c>
      <c r="D3077">
        <v>1977</v>
      </c>
      <c r="E3077" t="s">
        <v>15</v>
      </c>
      <c r="F3077" t="s">
        <v>16</v>
      </c>
      <c r="G3077" t="s">
        <v>17</v>
      </c>
      <c r="H3077" t="s">
        <v>18</v>
      </c>
      <c r="I3077">
        <v>55.73</v>
      </c>
      <c r="J3077" t="s">
        <v>19</v>
      </c>
      <c r="K3077" t="s">
        <v>4220</v>
      </c>
      <c r="L3077" t="s">
        <v>21</v>
      </c>
    </row>
    <row r="3078" spans="1:12">
      <c r="A3078" t="s">
        <v>4221</v>
      </c>
      <c r="B3078" t="s">
        <v>4199</v>
      </c>
      <c r="C3078" t="s">
        <v>130</v>
      </c>
      <c r="D3078">
        <v>1977</v>
      </c>
      <c r="E3078" t="s">
        <v>23</v>
      </c>
      <c r="F3078" t="s">
        <v>24</v>
      </c>
      <c r="G3078" t="s">
        <v>25</v>
      </c>
      <c r="H3078" t="s">
        <v>26</v>
      </c>
      <c r="I3078">
        <v>18396941</v>
      </c>
      <c r="J3078" t="s">
        <v>27</v>
      </c>
      <c r="K3078" t="s">
        <v>4220</v>
      </c>
      <c r="L3078" t="s">
        <v>21</v>
      </c>
    </row>
    <row r="3079" spans="1:12">
      <c r="A3079" t="s">
        <v>4222</v>
      </c>
      <c r="B3079" t="s">
        <v>4199</v>
      </c>
      <c r="C3079" t="s">
        <v>130</v>
      </c>
      <c r="D3079">
        <v>1977</v>
      </c>
      <c r="E3079" t="s">
        <v>29</v>
      </c>
      <c r="F3079" t="s">
        <v>30</v>
      </c>
      <c r="G3079" t="s">
        <v>31</v>
      </c>
      <c r="H3079" t="s">
        <v>32</v>
      </c>
      <c r="I3079">
        <v>2370.619976</v>
      </c>
      <c r="J3079" t="s">
        <v>33</v>
      </c>
      <c r="K3079" t="s">
        <v>4220</v>
      </c>
      <c r="L3079" t="s">
        <v>21</v>
      </c>
    </row>
    <row r="3080" spans="1:12">
      <c r="A3080" t="s">
        <v>4223</v>
      </c>
      <c r="B3080" t="s">
        <v>4199</v>
      </c>
      <c r="C3080" t="s">
        <v>130</v>
      </c>
      <c r="D3080">
        <v>1982</v>
      </c>
      <c r="E3080" t="s">
        <v>15</v>
      </c>
      <c r="F3080" t="s">
        <v>16</v>
      </c>
      <c r="G3080" t="s">
        <v>17</v>
      </c>
      <c r="H3080" t="s">
        <v>18</v>
      </c>
      <c r="I3080">
        <v>59.65</v>
      </c>
      <c r="J3080" t="s">
        <v>19</v>
      </c>
      <c r="K3080" t="s">
        <v>4224</v>
      </c>
      <c r="L3080" t="s">
        <v>21</v>
      </c>
    </row>
    <row r="3081" spans="1:12">
      <c r="A3081" t="s">
        <v>4225</v>
      </c>
      <c r="B3081" t="s">
        <v>4199</v>
      </c>
      <c r="C3081" t="s">
        <v>130</v>
      </c>
      <c r="D3081">
        <v>1982</v>
      </c>
      <c r="E3081" t="s">
        <v>23</v>
      </c>
      <c r="F3081" t="s">
        <v>24</v>
      </c>
      <c r="G3081" t="s">
        <v>25</v>
      </c>
      <c r="H3081" t="s">
        <v>26</v>
      </c>
      <c r="I3081">
        <v>20198730</v>
      </c>
      <c r="J3081" t="s">
        <v>27</v>
      </c>
      <c r="K3081" t="s">
        <v>4224</v>
      </c>
      <c r="L3081" t="s">
        <v>21</v>
      </c>
    </row>
    <row r="3082" spans="1:12">
      <c r="A3082" t="s">
        <v>4226</v>
      </c>
      <c r="B3082" t="s">
        <v>4199</v>
      </c>
      <c r="C3082" t="s">
        <v>130</v>
      </c>
      <c r="D3082">
        <v>1982</v>
      </c>
      <c r="E3082" t="s">
        <v>29</v>
      </c>
      <c r="F3082" t="s">
        <v>30</v>
      </c>
      <c r="G3082" t="s">
        <v>31</v>
      </c>
      <c r="H3082" t="s">
        <v>32</v>
      </c>
      <c r="I3082">
        <v>2702.6203559999999</v>
      </c>
      <c r="J3082" t="s">
        <v>33</v>
      </c>
      <c r="K3082" t="s">
        <v>4224</v>
      </c>
      <c r="L3082" t="s">
        <v>21</v>
      </c>
    </row>
    <row r="3083" spans="1:12">
      <c r="A3083" t="s">
        <v>4227</v>
      </c>
      <c r="B3083" t="s">
        <v>4199</v>
      </c>
      <c r="C3083" t="s">
        <v>130</v>
      </c>
      <c r="D3083">
        <v>1987</v>
      </c>
      <c r="E3083" t="s">
        <v>15</v>
      </c>
      <c r="F3083" t="s">
        <v>16</v>
      </c>
      <c r="G3083" t="s">
        <v>17</v>
      </c>
      <c r="H3083" t="s">
        <v>18</v>
      </c>
      <c r="I3083">
        <v>62.677</v>
      </c>
      <c r="J3083" t="s">
        <v>19</v>
      </c>
      <c r="K3083" t="s">
        <v>4228</v>
      </c>
      <c r="L3083" t="s">
        <v>21</v>
      </c>
    </row>
    <row r="3084" spans="1:12">
      <c r="A3084" t="s">
        <v>4229</v>
      </c>
      <c r="B3084" t="s">
        <v>4199</v>
      </c>
      <c r="C3084" t="s">
        <v>130</v>
      </c>
      <c r="D3084">
        <v>1987</v>
      </c>
      <c r="E3084" t="s">
        <v>23</v>
      </c>
      <c r="F3084" t="s">
        <v>24</v>
      </c>
      <c r="G3084" t="s">
        <v>25</v>
      </c>
      <c r="H3084" t="s">
        <v>26</v>
      </c>
      <c r="I3084">
        <v>22987397</v>
      </c>
      <c r="J3084" t="s">
        <v>27</v>
      </c>
      <c r="K3084" t="s">
        <v>4228</v>
      </c>
      <c r="L3084" t="s">
        <v>21</v>
      </c>
    </row>
    <row r="3085" spans="1:12">
      <c r="A3085" t="s">
        <v>4230</v>
      </c>
      <c r="B3085" t="s">
        <v>4199</v>
      </c>
      <c r="C3085" t="s">
        <v>130</v>
      </c>
      <c r="D3085">
        <v>1987</v>
      </c>
      <c r="E3085" t="s">
        <v>29</v>
      </c>
      <c r="F3085" t="s">
        <v>30</v>
      </c>
      <c r="G3085" t="s">
        <v>31</v>
      </c>
      <c r="H3085" t="s">
        <v>32</v>
      </c>
      <c r="I3085">
        <v>2755.0469910000002</v>
      </c>
      <c r="J3085" t="s">
        <v>33</v>
      </c>
      <c r="K3085" t="s">
        <v>4228</v>
      </c>
      <c r="L3085" t="s">
        <v>21</v>
      </c>
    </row>
    <row r="3086" spans="1:12">
      <c r="A3086" t="s">
        <v>4231</v>
      </c>
      <c r="B3086" t="s">
        <v>4199</v>
      </c>
      <c r="C3086" t="s">
        <v>130</v>
      </c>
      <c r="D3086">
        <v>1992</v>
      </c>
      <c r="E3086" t="s">
        <v>15</v>
      </c>
      <c r="F3086" t="s">
        <v>16</v>
      </c>
      <c r="G3086" t="s">
        <v>17</v>
      </c>
      <c r="H3086" t="s">
        <v>18</v>
      </c>
      <c r="I3086">
        <v>65.393000000000001</v>
      </c>
      <c r="J3086" t="s">
        <v>19</v>
      </c>
      <c r="K3086" t="s">
        <v>4232</v>
      </c>
      <c r="L3086" t="s">
        <v>21</v>
      </c>
    </row>
    <row r="3087" spans="1:12">
      <c r="A3087" t="s">
        <v>4233</v>
      </c>
      <c r="B3087" t="s">
        <v>4199</v>
      </c>
      <c r="C3087" t="s">
        <v>130</v>
      </c>
      <c r="D3087">
        <v>1992</v>
      </c>
      <c r="E3087" t="s">
        <v>23</v>
      </c>
      <c r="F3087" t="s">
        <v>24</v>
      </c>
      <c r="G3087" t="s">
        <v>25</v>
      </c>
      <c r="H3087" t="s">
        <v>26</v>
      </c>
      <c r="I3087">
        <v>25798239</v>
      </c>
      <c r="J3087" t="s">
        <v>27</v>
      </c>
      <c r="K3087" t="s">
        <v>4232</v>
      </c>
      <c r="L3087" t="s">
        <v>21</v>
      </c>
    </row>
    <row r="3088" spans="1:12">
      <c r="A3088" t="s">
        <v>4234</v>
      </c>
      <c r="B3088" t="s">
        <v>4199</v>
      </c>
      <c r="C3088" t="s">
        <v>130</v>
      </c>
      <c r="D3088">
        <v>1992</v>
      </c>
      <c r="E3088" t="s">
        <v>29</v>
      </c>
      <c r="F3088" t="s">
        <v>30</v>
      </c>
      <c r="G3088" t="s">
        <v>31</v>
      </c>
      <c r="H3088" t="s">
        <v>32</v>
      </c>
      <c r="I3088">
        <v>2948.0472519999998</v>
      </c>
      <c r="J3088" t="s">
        <v>33</v>
      </c>
      <c r="K3088" t="s">
        <v>4232</v>
      </c>
      <c r="L3088" t="s">
        <v>21</v>
      </c>
    </row>
    <row r="3089" spans="1:12">
      <c r="A3089" t="s">
        <v>4235</v>
      </c>
      <c r="B3089" t="s">
        <v>4199</v>
      </c>
      <c r="C3089" t="s">
        <v>130</v>
      </c>
      <c r="D3089">
        <v>1997</v>
      </c>
      <c r="E3089" t="s">
        <v>15</v>
      </c>
      <c r="F3089" t="s">
        <v>16</v>
      </c>
      <c r="G3089" t="s">
        <v>17</v>
      </c>
      <c r="H3089" t="s">
        <v>18</v>
      </c>
      <c r="I3089">
        <v>67.66</v>
      </c>
      <c r="J3089" t="s">
        <v>19</v>
      </c>
      <c r="K3089" t="s">
        <v>4236</v>
      </c>
      <c r="L3089" t="s">
        <v>21</v>
      </c>
    </row>
    <row r="3090" spans="1:12">
      <c r="A3090" t="s">
        <v>4237</v>
      </c>
      <c r="B3090" t="s">
        <v>4199</v>
      </c>
      <c r="C3090" t="s">
        <v>130</v>
      </c>
      <c r="D3090">
        <v>1997</v>
      </c>
      <c r="E3090" t="s">
        <v>23</v>
      </c>
      <c r="F3090" t="s">
        <v>24</v>
      </c>
      <c r="G3090" t="s">
        <v>25</v>
      </c>
      <c r="H3090" t="s">
        <v>26</v>
      </c>
      <c r="I3090">
        <v>28529501</v>
      </c>
      <c r="J3090" t="s">
        <v>27</v>
      </c>
      <c r="K3090" t="s">
        <v>4236</v>
      </c>
      <c r="L3090" t="s">
        <v>21</v>
      </c>
    </row>
    <row r="3091" spans="1:12">
      <c r="A3091" t="s">
        <v>4238</v>
      </c>
      <c r="B3091" t="s">
        <v>4199</v>
      </c>
      <c r="C3091" t="s">
        <v>130</v>
      </c>
      <c r="D3091">
        <v>1997</v>
      </c>
      <c r="E3091" t="s">
        <v>29</v>
      </c>
      <c r="F3091" t="s">
        <v>30</v>
      </c>
      <c r="G3091" t="s">
        <v>31</v>
      </c>
      <c r="H3091" t="s">
        <v>32</v>
      </c>
      <c r="I3091">
        <v>2982.101858</v>
      </c>
      <c r="J3091" t="s">
        <v>33</v>
      </c>
      <c r="K3091" t="s">
        <v>4236</v>
      </c>
      <c r="L3091" t="s">
        <v>21</v>
      </c>
    </row>
    <row r="3092" spans="1:12">
      <c r="A3092" t="s">
        <v>4239</v>
      </c>
      <c r="B3092" t="s">
        <v>4199</v>
      </c>
      <c r="C3092" t="s">
        <v>130</v>
      </c>
      <c r="D3092">
        <v>2002</v>
      </c>
      <c r="E3092" t="s">
        <v>15</v>
      </c>
      <c r="F3092" t="s">
        <v>16</v>
      </c>
      <c r="G3092" t="s">
        <v>17</v>
      </c>
      <c r="H3092" t="s">
        <v>18</v>
      </c>
      <c r="I3092">
        <v>69.614999999999995</v>
      </c>
      <c r="J3092" t="s">
        <v>19</v>
      </c>
      <c r="K3092" t="s">
        <v>4240</v>
      </c>
      <c r="L3092" t="s">
        <v>21</v>
      </c>
    </row>
    <row r="3093" spans="1:12">
      <c r="A3093" t="s">
        <v>4241</v>
      </c>
      <c r="B3093" t="s">
        <v>4199</v>
      </c>
      <c r="C3093" t="s">
        <v>130</v>
      </c>
      <c r="D3093">
        <v>2002</v>
      </c>
      <c r="E3093" t="s">
        <v>23</v>
      </c>
      <c r="F3093" t="s">
        <v>24</v>
      </c>
      <c r="G3093" t="s">
        <v>25</v>
      </c>
      <c r="H3093" t="s">
        <v>26</v>
      </c>
      <c r="I3093">
        <v>31167783</v>
      </c>
      <c r="J3093" t="s">
        <v>27</v>
      </c>
      <c r="K3093" t="s">
        <v>4240</v>
      </c>
      <c r="L3093" t="s">
        <v>21</v>
      </c>
    </row>
    <row r="3094" spans="1:12">
      <c r="A3094" t="s">
        <v>4242</v>
      </c>
      <c r="B3094" t="s">
        <v>4199</v>
      </c>
      <c r="C3094" t="s">
        <v>130</v>
      </c>
      <c r="D3094">
        <v>2002</v>
      </c>
      <c r="E3094" t="s">
        <v>29</v>
      </c>
      <c r="F3094" t="s">
        <v>30</v>
      </c>
      <c r="G3094" t="s">
        <v>31</v>
      </c>
      <c r="H3094" t="s">
        <v>32</v>
      </c>
      <c r="I3094">
        <v>3258.4955839999998</v>
      </c>
      <c r="J3094" t="s">
        <v>33</v>
      </c>
      <c r="K3094" t="s">
        <v>4240</v>
      </c>
      <c r="L3094" t="s">
        <v>21</v>
      </c>
    </row>
    <row r="3095" spans="1:12">
      <c r="A3095" t="s">
        <v>4243</v>
      </c>
      <c r="B3095" t="s">
        <v>4199</v>
      </c>
      <c r="C3095" t="s">
        <v>130</v>
      </c>
      <c r="D3095">
        <v>2007</v>
      </c>
      <c r="E3095" t="s">
        <v>15</v>
      </c>
      <c r="F3095" t="s">
        <v>16</v>
      </c>
      <c r="G3095" t="s">
        <v>17</v>
      </c>
      <c r="H3095" t="s">
        <v>18</v>
      </c>
      <c r="I3095">
        <v>71.164000000000001</v>
      </c>
      <c r="J3095" t="s">
        <v>19</v>
      </c>
      <c r="K3095" t="s">
        <v>4244</v>
      </c>
      <c r="L3095" t="s">
        <v>21</v>
      </c>
    </row>
    <row r="3096" spans="1:12">
      <c r="A3096" t="s">
        <v>4245</v>
      </c>
      <c r="B3096" t="s">
        <v>4199</v>
      </c>
      <c r="C3096" t="s">
        <v>130</v>
      </c>
      <c r="D3096">
        <v>2007</v>
      </c>
      <c r="E3096" t="s">
        <v>23</v>
      </c>
      <c r="F3096" t="s">
        <v>24</v>
      </c>
      <c r="G3096" t="s">
        <v>25</v>
      </c>
      <c r="H3096" t="s">
        <v>26</v>
      </c>
      <c r="I3096">
        <v>33757175</v>
      </c>
      <c r="J3096" t="s">
        <v>27</v>
      </c>
      <c r="K3096" t="s">
        <v>4244</v>
      </c>
      <c r="L3096" t="s">
        <v>21</v>
      </c>
    </row>
    <row r="3097" spans="1:12">
      <c r="A3097" t="s">
        <v>4246</v>
      </c>
      <c r="B3097" t="s">
        <v>4199</v>
      </c>
      <c r="C3097" t="s">
        <v>130</v>
      </c>
      <c r="D3097">
        <v>2007</v>
      </c>
      <c r="E3097" t="s">
        <v>29</v>
      </c>
      <c r="F3097" t="s">
        <v>30</v>
      </c>
      <c r="G3097" t="s">
        <v>31</v>
      </c>
      <c r="H3097" t="s">
        <v>32</v>
      </c>
      <c r="I3097">
        <v>3820.1752299999998</v>
      </c>
      <c r="J3097" t="s">
        <v>33</v>
      </c>
      <c r="K3097" t="s">
        <v>4244</v>
      </c>
      <c r="L3097" t="s">
        <v>21</v>
      </c>
    </row>
    <row r="3098" spans="1:12">
      <c r="A3098" t="s">
        <v>4247</v>
      </c>
      <c r="B3098" t="s">
        <v>4248</v>
      </c>
      <c r="C3098" t="s">
        <v>130</v>
      </c>
      <c r="D3098">
        <v>1952</v>
      </c>
      <c r="E3098" t="s">
        <v>15</v>
      </c>
      <c r="F3098" t="s">
        <v>16</v>
      </c>
      <c r="G3098" t="s">
        <v>17</v>
      </c>
      <c r="H3098" t="s">
        <v>18</v>
      </c>
      <c r="I3098">
        <v>31.286000000000001</v>
      </c>
      <c r="J3098" t="s">
        <v>19</v>
      </c>
      <c r="K3098" t="s">
        <v>4249</v>
      </c>
      <c r="L3098" t="s">
        <v>21</v>
      </c>
    </row>
    <row r="3099" spans="1:12">
      <c r="A3099" t="s">
        <v>4250</v>
      </c>
      <c r="B3099" t="s">
        <v>4248</v>
      </c>
      <c r="C3099" t="s">
        <v>130</v>
      </c>
      <c r="D3099">
        <v>1952</v>
      </c>
      <c r="E3099" t="s">
        <v>23</v>
      </c>
      <c r="F3099" t="s">
        <v>24</v>
      </c>
      <c r="G3099" t="s">
        <v>25</v>
      </c>
      <c r="H3099" t="s">
        <v>26</v>
      </c>
      <c r="I3099">
        <v>6446316</v>
      </c>
      <c r="J3099" t="s">
        <v>27</v>
      </c>
      <c r="K3099" t="s">
        <v>4249</v>
      </c>
      <c r="L3099" t="s">
        <v>21</v>
      </c>
    </row>
    <row r="3100" spans="1:12">
      <c r="A3100" t="s">
        <v>4251</v>
      </c>
      <c r="B3100" t="s">
        <v>4248</v>
      </c>
      <c r="C3100" t="s">
        <v>130</v>
      </c>
      <c r="D3100">
        <v>1952</v>
      </c>
      <c r="E3100" t="s">
        <v>29</v>
      </c>
      <c r="F3100" t="s">
        <v>30</v>
      </c>
      <c r="G3100" t="s">
        <v>31</v>
      </c>
      <c r="H3100" t="s">
        <v>32</v>
      </c>
      <c r="I3100">
        <v>468.52603809999999</v>
      </c>
      <c r="J3100" t="s">
        <v>33</v>
      </c>
      <c r="K3100" t="s">
        <v>4249</v>
      </c>
      <c r="L3100" t="s">
        <v>21</v>
      </c>
    </row>
    <row r="3101" spans="1:12">
      <c r="A3101" t="s">
        <v>4252</v>
      </c>
      <c r="B3101" t="s">
        <v>4248</v>
      </c>
      <c r="C3101" t="s">
        <v>130</v>
      </c>
      <c r="D3101">
        <v>1957</v>
      </c>
      <c r="E3101" t="s">
        <v>15</v>
      </c>
      <c r="F3101" t="s">
        <v>16</v>
      </c>
      <c r="G3101" t="s">
        <v>17</v>
      </c>
      <c r="H3101" t="s">
        <v>18</v>
      </c>
      <c r="I3101">
        <v>33.779000000000003</v>
      </c>
      <c r="J3101" t="s">
        <v>19</v>
      </c>
      <c r="K3101" t="s">
        <v>4253</v>
      </c>
      <c r="L3101" t="s">
        <v>21</v>
      </c>
    </row>
    <row r="3102" spans="1:12">
      <c r="A3102" t="s">
        <v>4254</v>
      </c>
      <c r="B3102" t="s">
        <v>4248</v>
      </c>
      <c r="C3102" t="s">
        <v>130</v>
      </c>
      <c r="D3102">
        <v>1957</v>
      </c>
      <c r="E3102" t="s">
        <v>23</v>
      </c>
      <c r="F3102" t="s">
        <v>24</v>
      </c>
      <c r="G3102" t="s">
        <v>25</v>
      </c>
      <c r="H3102" t="s">
        <v>26</v>
      </c>
      <c r="I3102">
        <v>7038035</v>
      </c>
      <c r="J3102" t="s">
        <v>27</v>
      </c>
      <c r="K3102" t="s">
        <v>4253</v>
      </c>
      <c r="L3102" t="s">
        <v>21</v>
      </c>
    </row>
    <row r="3103" spans="1:12">
      <c r="A3103" t="s">
        <v>4255</v>
      </c>
      <c r="B3103" t="s">
        <v>4248</v>
      </c>
      <c r="C3103" t="s">
        <v>130</v>
      </c>
      <c r="D3103">
        <v>1957</v>
      </c>
      <c r="E3103" t="s">
        <v>29</v>
      </c>
      <c r="F3103" t="s">
        <v>30</v>
      </c>
      <c r="G3103" t="s">
        <v>31</v>
      </c>
      <c r="H3103" t="s">
        <v>32</v>
      </c>
      <c r="I3103">
        <v>495.58683330000002</v>
      </c>
      <c r="J3103" t="s">
        <v>33</v>
      </c>
      <c r="K3103" t="s">
        <v>4253</v>
      </c>
      <c r="L3103" t="s">
        <v>21</v>
      </c>
    </row>
    <row r="3104" spans="1:12">
      <c r="A3104" t="s">
        <v>4256</v>
      </c>
      <c r="B3104" t="s">
        <v>4248</v>
      </c>
      <c r="C3104" t="s">
        <v>130</v>
      </c>
      <c r="D3104">
        <v>1962</v>
      </c>
      <c r="E3104" t="s">
        <v>15</v>
      </c>
      <c r="F3104" t="s">
        <v>16</v>
      </c>
      <c r="G3104" t="s">
        <v>17</v>
      </c>
      <c r="H3104" t="s">
        <v>18</v>
      </c>
      <c r="I3104">
        <v>36.161000000000001</v>
      </c>
      <c r="J3104" t="s">
        <v>19</v>
      </c>
      <c r="K3104" t="s">
        <v>4257</v>
      </c>
      <c r="L3104" t="s">
        <v>21</v>
      </c>
    </row>
    <row r="3105" spans="1:12">
      <c r="A3105" t="s">
        <v>4258</v>
      </c>
      <c r="B3105" t="s">
        <v>4248</v>
      </c>
      <c r="C3105" t="s">
        <v>130</v>
      </c>
      <c r="D3105">
        <v>1962</v>
      </c>
      <c r="E3105" t="s">
        <v>23</v>
      </c>
      <c r="F3105" t="s">
        <v>24</v>
      </c>
      <c r="G3105" t="s">
        <v>25</v>
      </c>
      <c r="H3105" t="s">
        <v>26</v>
      </c>
      <c r="I3105">
        <v>7788944</v>
      </c>
      <c r="J3105" t="s">
        <v>27</v>
      </c>
      <c r="K3105" t="s">
        <v>4257</v>
      </c>
      <c r="L3105" t="s">
        <v>21</v>
      </c>
    </row>
    <row r="3106" spans="1:12">
      <c r="A3106" t="s">
        <v>4259</v>
      </c>
      <c r="B3106" t="s">
        <v>4248</v>
      </c>
      <c r="C3106" t="s">
        <v>130</v>
      </c>
      <c r="D3106">
        <v>1962</v>
      </c>
      <c r="E3106" t="s">
        <v>29</v>
      </c>
      <c r="F3106" t="s">
        <v>30</v>
      </c>
      <c r="G3106" t="s">
        <v>31</v>
      </c>
      <c r="H3106" t="s">
        <v>32</v>
      </c>
      <c r="I3106">
        <v>556.68635389999997</v>
      </c>
      <c r="J3106" t="s">
        <v>33</v>
      </c>
      <c r="K3106" t="s">
        <v>4257</v>
      </c>
      <c r="L3106" t="s">
        <v>21</v>
      </c>
    </row>
    <row r="3107" spans="1:12">
      <c r="A3107" t="s">
        <v>4260</v>
      </c>
      <c r="B3107" t="s">
        <v>4248</v>
      </c>
      <c r="C3107" t="s">
        <v>130</v>
      </c>
      <c r="D3107">
        <v>1967</v>
      </c>
      <c r="E3107" t="s">
        <v>15</v>
      </c>
      <c r="F3107" t="s">
        <v>16</v>
      </c>
      <c r="G3107" t="s">
        <v>17</v>
      </c>
      <c r="H3107" t="s">
        <v>18</v>
      </c>
      <c r="I3107">
        <v>38.113</v>
      </c>
      <c r="J3107" t="s">
        <v>19</v>
      </c>
      <c r="K3107" t="s">
        <v>4261</v>
      </c>
      <c r="L3107" t="s">
        <v>21</v>
      </c>
    </row>
    <row r="3108" spans="1:12">
      <c r="A3108" t="s">
        <v>4262</v>
      </c>
      <c r="B3108" t="s">
        <v>4248</v>
      </c>
      <c r="C3108" t="s">
        <v>130</v>
      </c>
      <c r="D3108">
        <v>1967</v>
      </c>
      <c r="E3108" t="s">
        <v>23</v>
      </c>
      <c r="F3108" t="s">
        <v>24</v>
      </c>
      <c r="G3108" t="s">
        <v>25</v>
      </c>
      <c r="H3108" t="s">
        <v>26</v>
      </c>
      <c r="I3108">
        <v>8680909</v>
      </c>
      <c r="J3108" t="s">
        <v>27</v>
      </c>
      <c r="K3108" t="s">
        <v>4261</v>
      </c>
      <c r="L3108" t="s">
        <v>21</v>
      </c>
    </row>
    <row r="3109" spans="1:12">
      <c r="A3109" t="s">
        <v>4263</v>
      </c>
      <c r="B3109" t="s">
        <v>4248</v>
      </c>
      <c r="C3109" t="s">
        <v>130</v>
      </c>
      <c r="D3109">
        <v>1967</v>
      </c>
      <c r="E3109" t="s">
        <v>29</v>
      </c>
      <c r="F3109" t="s">
        <v>30</v>
      </c>
      <c r="G3109" t="s">
        <v>31</v>
      </c>
      <c r="H3109" t="s">
        <v>32</v>
      </c>
      <c r="I3109">
        <v>566.66915389999997</v>
      </c>
      <c r="J3109" t="s">
        <v>33</v>
      </c>
      <c r="K3109" t="s">
        <v>4261</v>
      </c>
      <c r="L3109" t="s">
        <v>21</v>
      </c>
    </row>
    <row r="3110" spans="1:12">
      <c r="A3110" t="s">
        <v>4264</v>
      </c>
      <c r="B3110" t="s">
        <v>4248</v>
      </c>
      <c r="C3110" t="s">
        <v>130</v>
      </c>
      <c r="D3110">
        <v>1972</v>
      </c>
      <c r="E3110" t="s">
        <v>15</v>
      </c>
      <c r="F3110" t="s">
        <v>16</v>
      </c>
      <c r="G3110" t="s">
        <v>17</v>
      </c>
      <c r="H3110" t="s">
        <v>18</v>
      </c>
      <c r="I3110">
        <v>40.328000000000003</v>
      </c>
      <c r="J3110" t="s">
        <v>19</v>
      </c>
      <c r="K3110" t="s">
        <v>4265</v>
      </c>
      <c r="L3110" t="s">
        <v>21</v>
      </c>
    </row>
    <row r="3111" spans="1:12">
      <c r="A3111" t="s">
        <v>4266</v>
      </c>
      <c r="B3111" t="s">
        <v>4248</v>
      </c>
      <c r="C3111" t="s">
        <v>130</v>
      </c>
      <c r="D3111">
        <v>1972</v>
      </c>
      <c r="E3111" t="s">
        <v>23</v>
      </c>
      <c r="F3111" t="s">
        <v>24</v>
      </c>
      <c r="G3111" t="s">
        <v>25</v>
      </c>
      <c r="H3111" t="s">
        <v>26</v>
      </c>
      <c r="I3111">
        <v>9809596</v>
      </c>
      <c r="J3111" t="s">
        <v>27</v>
      </c>
      <c r="K3111" t="s">
        <v>4265</v>
      </c>
      <c r="L3111" t="s">
        <v>21</v>
      </c>
    </row>
    <row r="3112" spans="1:12">
      <c r="A3112" t="s">
        <v>4267</v>
      </c>
      <c r="B3112" t="s">
        <v>4248</v>
      </c>
      <c r="C3112" t="s">
        <v>130</v>
      </c>
      <c r="D3112">
        <v>1972</v>
      </c>
      <c r="E3112" t="s">
        <v>29</v>
      </c>
      <c r="F3112" t="s">
        <v>30</v>
      </c>
      <c r="G3112" t="s">
        <v>31</v>
      </c>
      <c r="H3112" t="s">
        <v>32</v>
      </c>
      <c r="I3112">
        <v>724.91780370000004</v>
      </c>
      <c r="J3112" t="s">
        <v>33</v>
      </c>
      <c r="K3112" t="s">
        <v>4265</v>
      </c>
      <c r="L3112" t="s">
        <v>21</v>
      </c>
    </row>
    <row r="3113" spans="1:12">
      <c r="A3113" t="s">
        <v>4268</v>
      </c>
      <c r="B3113" t="s">
        <v>4248</v>
      </c>
      <c r="C3113" t="s">
        <v>130</v>
      </c>
      <c r="D3113">
        <v>1977</v>
      </c>
      <c r="E3113" t="s">
        <v>15</v>
      </c>
      <c r="F3113" t="s">
        <v>16</v>
      </c>
      <c r="G3113" t="s">
        <v>17</v>
      </c>
      <c r="H3113" t="s">
        <v>18</v>
      </c>
      <c r="I3113">
        <v>42.494999999999997</v>
      </c>
      <c r="J3113" t="s">
        <v>19</v>
      </c>
      <c r="K3113" t="s">
        <v>4269</v>
      </c>
      <c r="L3113" t="s">
        <v>21</v>
      </c>
    </row>
    <row r="3114" spans="1:12">
      <c r="A3114" t="s">
        <v>4270</v>
      </c>
      <c r="B3114" t="s">
        <v>4248</v>
      </c>
      <c r="C3114" t="s">
        <v>130</v>
      </c>
      <c r="D3114">
        <v>1977</v>
      </c>
      <c r="E3114" t="s">
        <v>23</v>
      </c>
      <c r="F3114" t="s">
        <v>24</v>
      </c>
      <c r="G3114" t="s">
        <v>25</v>
      </c>
      <c r="H3114" t="s">
        <v>26</v>
      </c>
      <c r="I3114">
        <v>11127868</v>
      </c>
      <c r="J3114" t="s">
        <v>27</v>
      </c>
      <c r="K3114" t="s">
        <v>4269</v>
      </c>
      <c r="L3114" t="s">
        <v>21</v>
      </c>
    </row>
    <row r="3115" spans="1:12">
      <c r="A3115" t="s">
        <v>4271</v>
      </c>
      <c r="B3115" t="s">
        <v>4248</v>
      </c>
      <c r="C3115" t="s">
        <v>130</v>
      </c>
      <c r="D3115">
        <v>1977</v>
      </c>
      <c r="E3115" t="s">
        <v>29</v>
      </c>
      <c r="F3115" t="s">
        <v>30</v>
      </c>
      <c r="G3115" t="s">
        <v>31</v>
      </c>
      <c r="H3115" t="s">
        <v>32</v>
      </c>
      <c r="I3115">
        <v>502.31973340000002</v>
      </c>
      <c r="J3115" t="s">
        <v>33</v>
      </c>
      <c r="K3115" t="s">
        <v>4269</v>
      </c>
      <c r="L3115" t="s">
        <v>21</v>
      </c>
    </row>
    <row r="3116" spans="1:12">
      <c r="A3116" t="s">
        <v>4272</v>
      </c>
      <c r="B3116" t="s">
        <v>4248</v>
      </c>
      <c r="C3116" t="s">
        <v>130</v>
      </c>
      <c r="D3116">
        <v>1982</v>
      </c>
      <c r="E3116" t="s">
        <v>15</v>
      </c>
      <c r="F3116" t="s">
        <v>16</v>
      </c>
      <c r="G3116" t="s">
        <v>17</v>
      </c>
      <c r="H3116" t="s">
        <v>18</v>
      </c>
      <c r="I3116">
        <v>42.795000000000002</v>
      </c>
      <c r="J3116" t="s">
        <v>19</v>
      </c>
      <c r="K3116" t="s">
        <v>4273</v>
      </c>
      <c r="L3116" t="s">
        <v>21</v>
      </c>
    </row>
    <row r="3117" spans="1:12">
      <c r="A3117" t="s">
        <v>4274</v>
      </c>
      <c r="B3117" t="s">
        <v>4248</v>
      </c>
      <c r="C3117" t="s">
        <v>130</v>
      </c>
      <c r="D3117">
        <v>1982</v>
      </c>
      <c r="E3117" t="s">
        <v>23</v>
      </c>
      <c r="F3117" t="s">
        <v>24</v>
      </c>
      <c r="G3117" t="s">
        <v>25</v>
      </c>
      <c r="H3117" t="s">
        <v>26</v>
      </c>
      <c r="I3117">
        <v>12587223</v>
      </c>
      <c r="J3117" t="s">
        <v>27</v>
      </c>
      <c r="K3117" t="s">
        <v>4273</v>
      </c>
      <c r="L3117" t="s">
        <v>21</v>
      </c>
    </row>
    <row r="3118" spans="1:12">
      <c r="A3118" t="s">
        <v>4275</v>
      </c>
      <c r="B3118" t="s">
        <v>4248</v>
      </c>
      <c r="C3118" t="s">
        <v>130</v>
      </c>
      <c r="D3118">
        <v>1982</v>
      </c>
      <c r="E3118" t="s">
        <v>29</v>
      </c>
      <c r="F3118" t="s">
        <v>30</v>
      </c>
      <c r="G3118" t="s">
        <v>31</v>
      </c>
      <c r="H3118" t="s">
        <v>32</v>
      </c>
      <c r="I3118">
        <v>462.21141490000002</v>
      </c>
      <c r="J3118" t="s">
        <v>33</v>
      </c>
      <c r="K3118" t="s">
        <v>4273</v>
      </c>
      <c r="L3118" t="s">
        <v>21</v>
      </c>
    </row>
    <row r="3119" spans="1:12">
      <c r="A3119" t="s">
        <v>4276</v>
      </c>
      <c r="B3119" t="s">
        <v>4248</v>
      </c>
      <c r="C3119" t="s">
        <v>130</v>
      </c>
      <c r="D3119">
        <v>1987</v>
      </c>
      <c r="E3119" t="s">
        <v>15</v>
      </c>
      <c r="F3119" t="s">
        <v>16</v>
      </c>
      <c r="G3119" t="s">
        <v>17</v>
      </c>
      <c r="H3119" t="s">
        <v>18</v>
      </c>
      <c r="I3119">
        <v>42.860999999999997</v>
      </c>
      <c r="J3119" t="s">
        <v>19</v>
      </c>
      <c r="K3119" t="s">
        <v>4277</v>
      </c>
      <c r="L3119" t="s">
        <v>21</v>
      </c>
    </row>
    <row r="3120" spans="1:12">
      <c r="A3120" t="s">
        <v>4278</v>
      </c>
      <c r="B3120" t="s">
        <v>4248</v>
      </c>
      <c r="C3120" t="s">
        <v>130</v>
      </c>
      <c r="D3120">
        <v>1987</v>
      </c>
      <c r="E3120" t="s">
        <v>23</v>
      </c>
      <c r="F3120" t="s">
        <v>24</v>
      </c>
      <c r="G3120" t="s">
        <v>25</v>
      </c>
      <c r="H3120" t="s">
        <v>26</v>
      </c>
      <c r="I3120">
        <v>12891952</v>
      </c>
      <c r="J3120" t="s">
        <v>27</v>
      </c>
      <c r="K3120" t="s">
        <v>4277</v>
      </c>
      <c r="L3120" t="s">
        <v>21</v>
      </c>
    </row>
    <row r="3121" spans="1:12">
      <c r="A3121" t="s">
        <v>4279</v>
      </c>
      <c r="B3121" t="s">
        <v>4248</v>
      </c>
      <c r="C3121" t="s">
        <v>130</v>
      </c>
      <c r="D3121">
        <v>1987</v>
      </c>
      <c r="E3121" t="s">
        <v>29</v>
      </c>
      <c r="F3121" t="s">
        <v>30</v>
      </c>
      <c r="G3121" t="s">
        <v>31</v>
      </c>
      <c r="H3121" t="s">
        <v>32</v>
      </c>
      <c r="I3121">
        <v>389.87618459999999</v>
      </c>
      <c r="J3121" t="s">
        <v>33</v>
      </c>
      <c r="K3121" t="s">
        <v>4277</v>
      </c>
      <c r="L3121" t="s">
        <v>21</v>
      </c>
    </row>
    <row r="3122" spans="1:12">
      <c r="A3122" t="s">
        <v>4280</v>
      </c>
      <c r="B3122" t="s">
        <v>4248</v>
      </c>
      <c r="C3122" t="s">
        <v>130</v>
      </c>
      <c r="D3122">
        <v>1992</v>
      </c>
      <c r="E3122" t="s">
        <v>15</v>
      </c>
      <c r="F3122" t="s">
        <v>16</v>
      </c>
      <c r="G3122" t="s">
        <v>17</v>
      </c>
      <c r="H3122" t="s">
        <v>18</v>
      </c>
      <c r="I3122">
        <v>44.283999999999999</v>
      </c>
      <c r="J3122" t="s">
        <v>19</v>
      </c>
      <c r="K3122" t="s">
        <v>4281</v>
      </c>
      <c r="L3122" t="s">
        <v>21</v>
      </c>
    </row>
    <row r="3123" spans="1:12">
      <c r="A3123" t="s">
        <v>4282</v>
      </c>
      <c r="B3123" t="s">
        <v>4248</v>
      </c>
      <c r="C3123" t="s">
        <v>130</v>
      </c>
      <c r="D3123">
        <v>1992</v>
      </c>
      <c r="E3123" t="s">
        <v>23</v>
      </c>
      <c r="F3123" t="s">
        <v>24</v>
      </c>
      <c r="G3123" t="s">
        <v>25</v>
      </c>
      <c r="H3123" t="s">
        <v>26</v>
      </c>
      <c r="I3123">
        <v>13160731</v>
      </c>
      <c r="J3123" t="s">
        <v>27</v>
      </c>
      <c r="K3123" t="s">
        <v>4281</v>
      </c>
      <c r="L3123" t="s">
        <v>21</v>
      </c>
    </row>
    <row r="3124" spans="1:12">
      <c r="A3124" t="s">
        <v>4283</v>
      </c>
      <c r="B3124" t="s">
        <v>4248</v>
      </c>
      <c r="C3124" t="s">
        <v>130</v>
      </c>
      <c r="D3124">
        <v>1992</v>
      </c>
      <c r="E3124" t="s">
        <v>29</v>
      </c>
      <c r="F3124" t="s">
        <v>30</v>
      </c>
      <c r="G3124" t="s">
        <v>31</v>
      </c>
      <c r="H3124" t="s">
        <v>32</v>
      </c>
      <c r="I3124">
        <v>410.89682390000002</v>
      </c>
      <c r="J3124" t="s">
        <v>33</v>
      </c>
      <c r="K3124" t="s">
        <v>4281</v>
      </c>
      <c r="L3124" t="s">
        <v>21</v>
      </c>
    </row>
    <row r="3125" spans="1:12">
      <c r="A3125" t="s">
        <v>4284</v>
      </c>
      <c r="B3125" t="s">
        <v>4248</v>
      </c>
      <c r="C3125" t="s">
        <v>130</v>
      </c>
      <c r="D3125">
        <v>1997</v>
      </c>
      <c r="E3125" t="s">
        <v>15</v>
      </c>
      <c r="F3125" t="s">
        <v>16</v>
      </c>
      <c r="G3125" t="s">
        <v>17</v>
      </c>
      <c r="H3125" t="s">
        <v>18</v>
      </c>
      <c r="I3125">
        <v>46.344000000000001</v>
      </c>
      <c r="J3125" t="s">
        <v>19</v>
      </c>
      <c r="K3125" t="s">
        <v>4285</v>
      </c>
      <c r="L3125" t="s">
        <v>21</v>
      </c>
    </row>
    <row r="3126" spans="1:12">
      <c r="A3126" t="s">
        <v>4286</v>
      </c>
      <c r="B3126" t="s">
        <v>4248</v>
      </c>
      <c r="C3126" t="s">
        <v>130</v>
      </c>
      <c r="D3126">
        <v>1997</v>
      </c>
      <c r="E3126" t="s">
        <v>23</v>
      </c>
      <c r="F3126" t="s">
        <v>24</v>
      </c>
      <c r="G3126" t="s">
        <v>25</v>
      </c>
      <c r="H3126" t="s">
        <v>26</v>
      </c>
      <c r="I3126">
        <v>16603334</v>
      </c>
      <c r="J3126" t="s">
        <v>27</v>
      </c>
      <c r="K3126" t="s">
        <v>4285</v>
      </c>
      <c r="L3126" t="s">
        <v>21</v>
      </c>
    </row>
    <row r="3127" spans="1:12">
      <c r="A3127" t="s">
        <v>4287</v>
      </c>
      <c r="B3127" t="s">
        <v>4248</v>
      </c>
      <c r="C3127" t="s">
        <v>130</v>
      </c>
      <c r="D3127">
        <v>1997</v>
      </c>
      <c r="E3127" t="s">
        <v>29</v>
      </c>
      <c r="F3127" t="s">
        <v>30</v>
      </c>
      <c r="G3127" t="s">
        <v>31</v>
      </c>
      <c r="H3127" t="s">
        <v>32</v>
      </c>
      <c r="I3127">
        <v>472.3460771</v>
      </c>
      <c r="J3127" t="s">
        <v>33</v>
      </c>
      <c r="K3127" t="s">
        <v>4285</v>
      </c>
      <c r="L3127" t="s">
        <v>21</v>
      </c>
    </row>
    <row r="3128" spans="1:12">
      <c r="A3128" t="s">
        <v>4288</v>
      </c>
      <c r="B3128" t="s">
        <v>4248</v>
      </c>
      <c r="C3128" t="s">
        <v>130</v>
      </c>
      <c r="D3128">
        <v>2002</v>
      </c>
      <c r="E3128" t="s">
        <v>15</v>
      </c>
      <c r="F3128" t="s">
        <v>16</v>
      </c>
      <c r="G3128" t="s">
        <v>17</v>
      </c>
      <c r="H3128" t="s">
        <v>18</v>
      </c>
      <c r="I3128">
        <v>44.026000000000003</v>
      </c>
      <c r="J3128" t="s">
        <v>19</v>
      </c>
      <c r="K3128" t="s">
        <v>4289</v>
      </c>
      <c r="L3128" t="s">
        <v>21</v>
      </c>
    </row>
    <row r="3129" spans="1:12">
      <c r="A3129" t="s">
        <v>4290</v>
      </c>
      <c r="B3129" t="s">
        <v>4248</v>
      </c>
      <c r="C3129" t="s">
        <v>130</v>
      </c>
      <c r="D3129">
        <v>2002</v>
      </c>
      <c r="E3129" t="s">
        <v>23</v>
      </c>
      <c r="F3129" t="s">
        <v>24</v>
      </c>
      <c r="G3129" t="s">
        <v>25</v>
      </c>
      <c r="H3129" t="s">
        <v>26</v>
      </c>
      <c r="I3129">
        <v>18473780</v>
      </c>
      <c r="J3129" t="s">
        <v>27</v>
      </c>
      <c r="K3129" t="s">
        <v>4289</v>
      </c>
      <c r="L3129" t="s">
        <v>21</v>
      </c>
    </row>
    <row r="3130" spans="1:12">
      <c r="A3130" t="s">
        <v>4291</v>
      </c>
      <c r="B3130" t="s">
        <v>4248</v>
      </c>
      <c r="C3130" t="s">
        <v>130</v>
      </c>
      <c r="D3130">
        <v>2002</v>
      </c>
      <c r="E3130" t="s">
        <v>29</v>
      </c>
      <c r="F3130" t="s">
        <v>30</v>
      </c>
      <c r="G3130" t="s">
        <v>31</v>
      </c>
      <c r="H3130" t="s">
        <v>32</v>
      </c>
      <c r="I3130">
        <v>633.61794659999998</v>
      </c>
      <c r="J3130" t="s">
        <v>33</v>
      </c>
      <c r="K3130" t="s">
        <v>4289</v>
      </c>
      <c r="L3130" t="s">
        <v>21</v>
      </c>
    </row>
    <row r="3131" spans="1:12">
      <c r="A3131" t="s">
        <v>4292</v>
      </c>
      <c r="B3131" t="s">
        <v>4248</v>
      </c>
      <c r="C3131" t="s">
        <v>130</v>
      </c>
      <c r="D3131">
        <v>2007</v>
      </c>
      <c r="E3131" t="s">
        <v>15</v>
      </c>
      <c r="F3131" t="s">
        <v>16</v>
      </c>
      <c r="G3131" t="s">
        <v>17</v>
      </c>
      <c r="H3131" t="s">
        <v>18</v>
      </c>
      <c r="I3131">
        <v>42.082000000000001</v>
      </c>
      <c r="J3131" t="s">
        <v>19</v>
      </c>
      <c r="K3131" t="s">
        <v>4293</v>
      </c>
      <c r="L3131" t="s">
        <v>21</v>
      </c>
    </row>
    <row r="3132" spans="1:12">
      <c r="A3132" t="s">
        <v>4294</v>
      </c>
      <c r="B3132" t="s">
        <v>4248</v>
      </c>
      <c r="C3132" t="s">
        <v>130</v>
      </c>
      <c r="D3132">
        <v>2007</v>
      </c>
      <c r="E3132" t="s">
        <v>23</v>
      </c>
      <c r="F3132" t="s">
        <v>24</v>
      </c>
      <c r="G3132" t="s">
        <v>25</v>
      </c>
      <c r="H3132" t="s">
        <v>26</v>
      </c>
      <c r="I3132">
        <v>19951656</v>
      </c>
      <c r="J3132" t="s">
        <v>27</v>
      </c>
      <c r="K3132" t="s">
        <v>4293</v>
      </c>
      <c r="L3132" t="s">
        <v>21</v>
      </c>
    </row>
    <row r="3133" spans="1:12">
      <c r="A3133" t="s">
        <v>4295</v>
      </c>
      <c r="B3133" t="s">
        <v>4248</v>
      </c>
      <c r="C3133" t="s">
        <v>130</v>
      </c>
      <c r="D3133">
        <v>2007</v>
      </c>
      <c r="E3133" t="s">
        <v>29</v>
      </c>
      <c r="F3133" t="s">
        <v>30</v>
      </c>
      <c r="G3133" t="s">
        <v>31</v>
      </c>
      <c r="H3133" t="s">
        <v>32</v>
      </c>
      <c r="I3133">
        <v>823.68562050000003</v>
      </c>
      <c r="J3133" t="s">
        <v>33</v>
      </c>
      <c r="K3133" t="s">
        <v>4293</v>
      </c>
      <c r="L3133" t="s">
        <v>21</v>
      </c>
    </row>
    <row r="3134" spans="1:12">
      <c r="A3134" t="s">
        <v>4296</v>
      </c>
      <c r="B3134" t="s">
        <v>4297</v>
      </c>
      <c r="C3134" t="s">
        <v>14</v>
      </c>
      <c r="D3134">
        <v>1952</v>
      </c>
      <c r="E3134" t="s">
        <v>15</v>
      </c>
      <c r="F3134" t="s">
        <v>16</v>
      </c>
      <c r="G3134" t="s">
        <v>17</v>
      </c>
      <c r="H3134" t="s">
        <v>18</v>
      </c>
      <c r="I3134">
        <v>36.319000000000003</v>
      </c>
      <c r="J3134" t="s">
        <v>19</v>
      </c>
      <c r="K3134" t="s">
        <v>4298</v>
      </c>
      <c r="L3134" t="s">
        <v>21</v>
      </c>
    </row>
    <row r="3135" spans="1:12">
      <c r="A3135" t="s">
        <v>4299</v>
      </c>
      <c r="B3135" t="s">
        <v>4297</v>
      </c>
      <c r="C3135" t="s">
        <v>14</v>
      </c>
      <c r="D3135">
        <v>1952</v>
      </c>
      <c r="E3135" t="s">
        <v>23</v>
      </c>
      <c r="F3135" t="s">
        <v>24</v>
      </c>
      <c r="G3135" t="s">
        <v>25</v>
      </c>
      <c r="H3135" t="s">
        <v>26</v>
      </c>
      <c r="I3135">
        <v>20092996</v>
      </c>
      <c r="J3135" t="s">
        <v>27</v>
      </c>
      <c r="K3135" t="s">
        <v>4298</v>
      </c>
      <c r="L3135" t="s">
        <v>21</v>
      </c>
    </row>
    <row r="3136" spans="1:12">
      <c r="A3136" t="s">
        <v>4300</v>
      </c>
      <c r="B3136" t="s">
        <v>4297</v>
      </c>
      <c r="C3136" t="s">
        <v>14</v>
      </c>
      <c r="D3136">
        <v>1952</v>
      </c>
      <c r="E3136" t="s">
        <v>29</v>
      </c>
      <c r="F3136" t="s">
        <v>30</v>
      </c>
      <c r="G3136" t="s">
        <v>31</v>
      </c>
      <c r="H3136" t="s">
        <v>32</v>
      </c>
      <c r="I3136">
        <v>331</v>
      </c>
      <c r="J3136" t="s">
        <v>33</v>
      </c>
      <c r="K3136" t="s">
        <v>4298</v>
      </c>
      <c r="L3136" t="s">
        <v>21</v>
      </c>
    </row>
    <row r="3137" spans="1:12">
      <c r="A3137" t="s">
        <v>4301</v>
      </c>
      <c r="B3137" t="s">
        <v>4297</v>
      </c>
      <c r="C3137" t="s">
        <v>14</v>
      </c>
      <c r="D3137">
        <v>1957</v>
      </c>
      <c r="E3137" t="s">
        <v>15</v>
      </c>
      <c r="F3137" t="s">
        <v>16</v>
      </c>
      <c r="G3137" t="s">
        <v>17</v>
      </c>
      <c r="H3137" t="s">
        <v>18</v>
      </c>
      <c r="I3137">
        <v>41.905000000000001</v>
      </c>
      <c r="J3137" t="s">
        <v>19</v>
      </c>
      <c r="K3137" t="s">
        <v>4302</v>
      </c>
      <c r="L3137" t="s">
        <v>21</v>
      </c>
    </row>
    <row r="3138" spans="1:12">
      <c r="A3138" t="s">
        <v>4303</v>
      </c>
      <c r="B3138" t="s">
        <v>4297</v>
      </c>
      <c r="C3138" t="s">
        <v>14</v>
      </c>
      <c r="D3138">
        <v>1957</v>
      </c>
      <c r="E3138" t="s">
        <v>23</v>
      </c>
      <c r="F3138" t="s">
        <v>24</v>
      </c>
      <c r="G3138" t="s">
        <v>25</v>
      </c>
      <c r="H3138" t="s">
        <v>26</v>
      </c>
      <c r="I3138">
        <v>21731844</v>
      </c>
      <c r="J3138" t="s">
        <v>27</v>
      </c>
      <c r="K3138" t="s">
        <v>4302</v>
      </c>
      <c r="L3138" t="s">
        <v>21</v>
      </c>
    </row>
    <row r="3139" spans="1:12">
      <c r="A3139" t="s">
        <v>4304</v>
      </c>
      <c r="B3139" t="s">
        <v>4297</v>
      </c>
      <c r="C3139" t="s">
        <v>14</v>
      </c>
      <c r="D3139">
        <v>1957</v>
      </c>
      <c r="E3139" t="s">
        <v>29</v>
      </c>
      <c r="F3139" t="s">
        <v>30</v>
      </c>
      <c r="G3139" t="s">
        <v>31</v>
      </c>
      <c r="H3139" t="s">
        <v>32</v>
      </c>
      <c r="I3139">
        <v>350</v>
      </c>
      <c r="J3139" t="s">
        <v>33</v>
      </c>
      <c r="K3139" t="s">
        <v>4302</v>
      </c>
      <c r="L3139" t="s">
        <v>21</v>
      </c>
    </row>
    <row r="3140" spans="1:12">
      <c r="A3140" t="s">
        <v>4305</v>
      </c>
      <c r="B3140" t="s">
        <v>4297</v>
      </c>
      <c r="C3140" t="s">
        <v>14</v>
      </c>
      <c r="D3140">
        <v>1962</v>
      </c>
      <c r="E3140" t="s">
        <v>15</v>
      </c>
      <c r="F3140" t="s">
        <v>16</v>
      </c>
      <c r="G3140" t="s">
        <v>17</v>
      </c>
      <c r="H3140" t="s">
        <v>18</v>
      </c>
      <c r="I3140">
        <v>45.107999999999997</v>
      </c>
      <c r="J3140" t="s">
        <v>19</v>
      </c>
      <c r="K3140" t="s">
        <v>4306</v>
      </c>
      <c r="L3140" t="s">
        <v>21</v>
      </c>
    </row>
    <row r="3141" spans="1:12">
      <c r="A3141" t="s">
        <v>4307</v>
      </c>
      <c r="B3141" t="s">
        <v>4297</v>
      </c>
      <c r="C3141" t="s">
        <v>14</v>
      </c>
      <c r="D3141">
        <v>1962</v>
      </c>
      <c r="E3141" t="s">
        <v>23</v>
      </c>
      <c r="F3141" t="s">
        <v>24</v>
      </c>
      <c r="G3141" t="s">
        <v>25</v>
      </c>
      <c r="H3141" t="s">
        <v>26</v>
      </c>
      <c r="I3141">
        <v>23634436</v>
      </c>
      <c r="J3141" t="s">
        <v>27</v>
      </c>
      <c r="K3141" t="s">
        <v>4306</v>
      </c>
      <c r="L3141" t="s">
        <v>21</v>
      </c>
    </row>
    <row r="3142" spans="1:12">
      <c r="A3142" t="s">
        <v>4308</v>
      </c>
      <c r="B3142" t="s">
        <v>4297</v>
      </c>
      <c r="C3142" t="s">
        <v>14</v>
      </c>
      <c r="D3142">
        <v>1962</v>
      </c>
      <c r="E3142" t="s">
        <v>29</v>
      </c>
      <c r="F3142" t="s">
        <v>30</v>
      </c>
      <c r="G3142" t="s">
        <v>31</v>
      </c>
      <c r="H3142" t="s">
        <v>32</v>
      </c>
      <c r="I3142">
        <v>388</v>
      </c>
      <c r="J3142" t="s">
        <v>33</v>
      </c>
      <c r="K3142" t="s">
        <v>4306</v>
      </c>
      <c r="L3142" t="s">
        <v>21</v>
      </c>
    </row>
    <row r="3143" spans="1:12">
      <c r="A3143" t="s">
        <v>4309</v>
      </c>
      <c r="B3143" t="s">
        <v>4297</v>
      </c>
      <c r="C3143" t="s">
        <v>14</v>
      </c>
      <c r="D3143">
        <v>1967</v>
      </c>
      <c r="E3143" t="s">
        <v>15</v>
      </c>
      <c r="F3143" t="s">
        <v>16</v>
      </c>
      <c r="G3143" t="s">
        <v>17</v>
      </c>
      <c r="H3143" t="s">
        <v>18</v>
      </c>
      <c r="I3143">
        <v>49.378999999999998</v>
      </c>
      <c r="J3143" t="s">
        <v>19</v>
      </c>
      <c r="K3143" t="s">
        <v>4310</v>
      </c>
      <c r="L3143" t="s">
        <v>21</v>
      </c>
    </row>
    <row r="3144" spans="1:12">
      <c r="A3144" t="s">
        <v>4311</v>
      </c>
      <c r="B3144" t="s">
        <v>4297</v>
      </c>
      <c r="C3144" t="s">
        <v>14</v>
      </c>
      <c r="D3144">
        <v>1967</v>
      </c>
      <c r="E3144" t="s">
        <v>23</v>
      </c>
      <c r="F3144" t="s">
        <v>24</v>
      </c>
      <c r="G3144" t="s">
        <v>25</v>
      </c>
      <c r="H3144" t="s">
        <v>26</v>
      </c>
      <c r="I3144">
        <v>25870271</v>
      </c>
      <c r="J3144" t="s">
        <v>27</v>
      </c>
      <c r="K3144" t="s">
        <v>4310</v>
      </c>
      <c r="L3144" t="s">
        <v>21</v>
      </c>
    </row>
    <row r="3145" spans="1:12">
      <c r="A3145" t="s">
        <v>4312</v>
      </c>
      <c r="B3145" t="s">
        <v>4297</v>
      </c>
      <c r="C3145" t="s">
        <v>14</v>
      </c>
      <c r="D3145">
        <v>1967</v>
      </c>
      <c r="E3145" t="s">
        <v>29</v>
      </c>
      <c r="F3145" t="s">
        <v>30</v>
      </c>
      <c r="G3145" t="s">
        <v>31</v>
      </c>
      <c r="H3145" t="s">
        <v>32</v>
      </c>
      <c r="I3145">
        <v>349</v>
      </c>
      <c r="J3145" t="s">
        <v>33</v>
      </c>
      <c r="K3145" t="s">
        <v>4310</v>
      </c>
      <c r="L3145" t="s">
        <v>21</v>
      </c>
    </row>
    <row r="3146" spans="1:12">
      <c r="A3146" t="s">
        <v>4313</v>
      </c>
      <c r="B3146" t="s">
        <v>4297</v>
      </c>
      <c r="C3146" t="s">
        <v>14</v>
      </c>
      <c r="D3146">
        <v>1972</v>
      </c>
      <c r="E3146" t="s">
        <v>15</v>
      </c>
      <c r="F3146" t="s">
        <v>16</v>
      </c>
      <c r="G3146" t="s">
        <v>17</v>
      </c>
      <c r="H3146" t="s">
        <v>18</v>
      </c>
      <c r="I3146">
        <v>53.07</v>
      </c>
      <c r="J3146" t="s">
        <v>19</v>
      </c>
      <c r="K3146" t="s">
        <v>4314</v>
      </c>
      <c r="L3146" t="s">
        <v>21</v>
      </c>
    </row>
    <row r="3147" spans="1:12">
      <c r="A3147" t="s">
        <v>4315</v>
      </c>
      <c r="B3147" t="s">
        <v>4297</v>
      </c>
      <c r="C3147" t="s">
        <v>14</v>
      </c>
      <c r="D3147">
        <v>1972</v>
      </c>
      <c r="E3147" t="s">
        <v>23</v>
      </c>
      <c r="F3147" t="s">
        <v>24</v>
      </c>
      <c r="G3147" t="s">
        <v>25</v>
      </c>
      <c r="H3147" t="s">
        <v>26</v>
      </c>
      <c r="I3147">
        <v>28466390</v>
      </c>
      <c r="J3147" t="s">
        <v>27</v>
      </c>
      <c r="K3147" t="s">
        <v>4314</v>
      </c>
      <c r="L3147" t="s">
        <v>21</v>
      </c>
    </row>
    <row r="3148" spans="1:12">
      <c r="A3148" t="s">
        <v>4316</v>
      </c>
      <c r="B3148" t="s">
        <v>4297</v>
      </c>
      <c r="C3148" t="s">
        <v>14</v>
      </c>
      <c r="D3148">
        <v>1972</v>
      </c>
      <c r="E3148" t="s">
        <v>29</v>
      </c>
      <c r="F3148" t="s">
        <v>30</v>
      </c>
      <c r="G3148" t="s">
        <v>31</v>
      </c>
      <c r="H3148" t="s">
        <v>32</v>
      </c>
      <c r="I3148">
        <v>357</v>
      </c>
      <c r="J3148" t="s">
        <v>33</v>
      </c>
      <c r="K3148" t="s">
        <v>4314</v>
      </c>
      <c r="L3148" t="s">
        <v>21</v>
      </c>
    </row>
    <row r="3149" spans="1:12">
      <c r="A3149" t="s">
        <v>4317</v>
      </c>
      <c r="B3149" t="s">
        <v>4297</v>
      </c>
      <c r="C3149" t="s">
        <v>14</v>
      </c>
      <c r="D3149">
        <v>1977</v>
      </c>
      <c r="E3149" t="s">
        <v>15</v>
      </c>
      <c r="F3149" t="s">
        <v>16</v>
      </c>
      <c r="G3149" t="s">
        <v>17</v>
      </c>
      <c r="H3149" t="s">
        <v>18</v>
      </c>
      <c r="I3149">
        <v>56.058999999999997</v>
      </c>
      <c r="J3149" t="s">
        <v>19</v>
      </c>
      <c r="K3149" t="s">
        <v>4318</v>
      </c>
      <c r="L3149" t="s">
        <v>21</v>
      </c>
    </row>
    <row r="3150" spans="1:12">
      <c r="A3150" t="s">
        <v>4319</v>
      </c>
      <c r="B3150" t="s">
        <v>4297</v>
      </c>
      <c r="C3150" t="s">
        <v>14</v>
      </c>
      <c r="D3150">
        <v>1977</v>
      </c>
      <c r="E3150" t="s">
        <v>23</v>
      </c>
      <c r="F3150" t="s">
        <v>24</v>
      </c>
      <c r="G3150" t="s">
        <v>25</v>
      </c>
      <c r="H3150" t="s">
        <v>26</v>
      </c>
      <c r="I3150">
        <v>31528087</v>
      </c>
      <c r="J3150" t="s">
        <v>27</v>
      </c>
      <c r="K3150" t="s">
        <v>4318</v>
      </c>
      <c r="L3150" t="s">
        <v>21</v>
      </c>
    </row>
    <row r="3151" spans="1:12">
      <c r="A3151" t="s">
        <v>4320</v>
      </c>
      <c r="B3151" t="s">
        <v>4297</v>
      </c>
      <c r="C3151" t="s">
        <v>14</v>
      </c>
      <c r="D3151">
        <v>1977</v>
      </c>
      <c r="E3151" t="s">
        <v>29</v>
      </c>
      <c r="F3151" t="s">
        <v>30</v>
      </c>
      <c r="G3151" t="s">
        <v>31</v>
      </c>
      <c r="H3151" t="s">
        <v>32</v>
      </c>
      <c r="I3151">
        <v>371</v>
      </c>
      <c r="J3151" t="s">
        <v>33</v>
      </c>
      <c r="K3151" t="s">
        <v>4318</v>
      </c>
      <c r="L3151" t="s">
        <v>21</v>
      </c>
    </row>
    <row r="3152" spans="1:12">
      <c r="A3152" t="s">
        <v>4321</v>
      </c>
      <c r="B3152" t="s">
        <v>4297</v>
      </c>
      <c r="C3152" t="s">
        <v>14</v>
      </c>
      <c r="D3152">
        <v>1982</v>
      </c>
      <c r="E3152" t="s">
        <v>15</v>
      </c>
      <c r="F3152" t="s">
        <v>16</v>
      </c>
      <c r="G3152" t="s">
        <v>17</v>
      </c>
      <c r="H3152" t="s">
        <v>18</v>
      </c>
      <c r="I3152">
        <v>58.055999999999997</v>
      </c>
      <c r="J3152" t="s">
        <v>19</v>
      </c>
      <c r="K3152" t="s">
        <v>4322</v>
      </c>
      <c r="L3152" t="s">
        <v>21</v>
      </c>
    </row>
    <row r="3153" spans="1:12">
      <c r="A3153" t="s">
        <v>4323</v>
      </c>
      <c r="B3153" t="s">
        <v>4297</v>
      </c>
      <c r="C3153" t="s">
        <v>14</v>
      </c>
      <c r="D3153">
        <v>1982</v>
      </c>
      <c r="E3153" t="s">
        <v>23</v>
      </c>
      <c r="F3153" t="s">
        <v>24</v>
      </c>
      <c r="G3153" t="s">
        <v>25</v>
      </c>
      <c r="H3153" t="s">
        <v>26</v>
      </c>
      <c r="I3153">
        <v>34680442</v>
      </c>
      <c r="J3153" t="s">
        <v>27</v>
      </c>
      <c r="K3153" t="s">
        <v>4322</v>
      </c>
      <c r="L3153" t="s">
        <v>21</v>
      </c>
    </row>
    <row r="3154" spans="1:12">
      <c r="A3154" t="s">
        <v>4324</v>
      </c>
      <c r="B3154" t="s">
        <v>4297</v>
      </c>
      <c r="C3154" t="s">
        <v>14</v>
      </c>
      <c r="D3154">
        <v>1982</v>
      </c>
      <c r="E3154" t="s">
        <v>29</v>
      </c>
      <c r="F3154" t="s">
        <v>30</v>
      </c>
      <c r="G3154" t="s">
        <v>31</v>
      </c>
      <c r="H3154" t="s">
        <v>32</v>
      </c>
      <c r="I3154">
        <v>424</v>
      </c>
      <c r="J3154" t="s">
        <v>33</v>
      </c>
      <c r="K3154" t="s">
        <v>4322</v>
      </c>
      <c r="L3154" t="s">
        <v>21</v>
      </c>
    </row>
    <row r="3155" spans="1:12">
      <c r="A3155" t="s">
        <v>4325</v>
      </c>
      <c r="B3155" t="s">
        <v>4297</v>
      </c>
      <c r="C3155" t="s">
        <v>14</v>
      </c>
      <c r="D3155">
        <v>1987</v>
      </c>
      <c r="E3155" t="s">
        <v>15</v>
      </c>
      <c r="F3155" t="s">
        <v>16</v>
      </c>
      <c r="G3155" t="s">
        <v>17</v>
      </c>
      <c r="H3155" t="s">
        <v>18</v>
      </c>
      <c r="I3155">
        <v>58.338999999999999</v>
      </c>
      <c r="J3155" t="s">
        <v>19</v>
      </c>
      <c r="K3155" t="s">
        <v>4326</v>
      </c>
      <c r="L3155" t="s">
        <v>21</v>
      </c>
    </row>
    <row r="3156" spans="1:12">
      <c r="A3156" t="s">
        <v>4327</v>
      </c>
      <c r="B3156" t="s">
        <v>4297</v>
      </c>
      <c r="C3156" t="s">
        <v>14</v>
      </c>
      <c r="D3156">
        <v>1987</v>
      </c>
      <c r="E3156" t="s">
        <v>23</v>
      </c>
      <c r="F3156" t="s">
        <v>24</v>
      </c>
      <c r="G3156" t="s">
        <v>25</v>
      </c>
      <c r="H3156" t="s">
        <v>26</v>
      </c>
      <c r="I3156">
        <v>38028578</v>
      </c>
      <c r="J3156" t="s">
        <v>27</v>
      </c>
      <c r="K3156" t="s">
        <v>4326</v>
      </c>
      <c r="L3156" t="s">
        <v>21</v>
      </c>
    </row>
    <row r="3157" spans="1:12">
      <c r="A3157" t="s">
        <v>4328</v>
      </c>
      <c r="B3157" t="s">
        <v>4297</v>
      </c>
      <c r="C3157" t="s">
        <v>14</v>
      </c>
      <c r="D3157">
        <v>1987</v>
      </c>
      <c r="E3157" t="s">
        <v>29</v>
      </c>
      <c r="F3157" t="s">
        <v>30</v>
      </c>
      <c r="G3157" t="s">
        <v>31</v>
      </c>
      <c r="H3157" t="s">
        <v>32</v>
      </c>
      <c r="I3157">
        <v>385</v>
      </c>
      <c r="J3157" t="s">
        <v>33</v>
      </c>
      <c r="K3157" t="s">
        <v>4326</v>
      </c>
      <c r="L3157" t="s">
        <v>21</v>
      </c>
    </row>
    <row r="3158" spans="1:12">
      <c r="A3158" t="s">
        <v>4329</v>
      </c>
      <c r="B3158" t="s">
        <v>4297</v>
      </c>
      <c r="C3158" t="s">
        <v>14</v>
      </c>
      <c r="D3158">
        <v>1992</v>
      </c>
      <c r="E3158" t="s">
        <v>15</v>
      </c>
      <c r="F3158" t="s">
        <v>16</v>
      </c>
      <c r="G3158" t="s">
        <v>17</v>
      </c>
      <c r="H3158" t="s">
        <v>18</v>
      </c>
      <c r="I3158">
        <v>59.32</v>
      </c>
      <c r="J3158" t="s">
        <v>19</v>
      </c>
      <c r="K3158" t="s">
        <v>4330</v>
      </c>
      <c r="L3158" t="s">
        <v>21</v>
      </c>
    </row>
    <row r="3159" spans="1:12">
      <c r="A3159" t="s">
        <v>4331</v>
      </c>
      <c r="B3159" t="s">
        <v>4297</v>
      </c>
      <c r="C3159" t="s">
        <v>14</v>
      </c>
      <c r="D3159">
        <v>1992</v>
      </c>
      <c r="E3159" t="s">
        <v>23</v>
      </c>
      <c r="F3159" t="s">
        <v>24</v>
      </c>
      <c r="G3159" t="s">
        <v>25</v>
      </c>
      <c r="H3159" t="s">
        <v>26</v>
      </c>
      <c r="I3159">
        <v>40546538</v>
      </c>
      <c r="J3159" t="s">
        <v>27</v>
      </c>
      <c r="K3159" t="s">
        <v>4330</v>
      </c>
      <c r="L3159" t="s">
        <v>21</v>
      </c>
    </row>
    <row r="3160" spans="1:12">
      <c r="A3160" t="s">
        <v>4332</v>
      </c>
      <c r="B3160" t="s">
        <v>4297</v>
      </c>
      <c r="C3160" t="s">
        <v>14</v>
      </c>
      <c r="D3160">
        <v>1992</v>
      </c>
      <c r="E3160" t="s">
        <v>29</v>
      </c>
      <c r="F3160" t="s">
        <v>30</v>
      </c>
      <c r="G3160" t="s">
        <v>31</v>
      </c>
      <c r="H3160" t="s">
        <v>32</v>
      </c>
      <c r="I3160">
        <v>347</v>
      </c>
      <c r="J3160" t="s">
        <v>33</v>
      </c>
      <c r="K3160" t="s">
        <v>4330</v>
      </c>
      <c r="L3160" t="s">
        <v>21</v>
      </c>
    </row>
    <row r="3161" spans="1:12">
      <c r="A3161" t="s">
        <v>4333</v>
      </c>
      <c r="B3161" t="s">
        <v>4297</v>
      </c>
      <c r="C3161" t="s">
        <v>14</v>
      </c>
      <c r="D3161">
        <v>1997</v>
      </c>
      <c r="E3161" t="s">
        <v>15</v>
      </c>
      <c r="F3161" t="s">
        <v>16</v>
      </c>
      <c r="G3161" t="s">
        <v>17</v>
      </c>
      <c r="H3161" t="s">
        <v>18</v>
      </c>
      <c r="I3161">
        <v>60.328000000000003</v>
      </c>
      <c r="J3161" t="s">
        <v>19</v>
      </c>
      <c r="K3161" t="s">
        <v>4334</v>
      </c>
      <c r="L3161" t="s">
        <v>21</v>
      </c>
    </row>
    <row r="3162" spans="1:12">
      <c r="A3162" t="s">
        <v>4335</v>
      </c>
      <c r="B3162" t="s">
        <v>4297</v>
      </c>
      <c r="C3162" t="s">
        <v>14</v>
      </c>
      <c r="D3162">
        <v>1997</v>
      </c>
      <c r="E3162" t="s">
        <v>23</v>
      </c>
      <c r="F3162" t="s">
        <v>24</v>
      </c>
      <c r="G3162" t="s">
        <v>25</v>
      </c>
      <c r="H3162" t="s">
        <v>26</v>
      </c>
      <c r="I3162">
        <v>43247867</v>
      </c>
      <c r="J3162" t="s">
        <v>27</v>
      </c>
      <c r="K3162" t="s">
        <v>4334</v>
      </c>
      <c r="L3162" t="s">
        <v>21</v>
      </c>
    </row>
    <row r="3163" spans="1:12">
      <c r="A3163" t="s">
        <v>4336</v>
      </c>
      <c r="B3163" t="s">
        <v>4297</v>
      </c>
      <c r="C3163" t="s">
        <v>14</v>
      </c>
      <c r="D3163">
        <v>1997</v>
      </c>
      <c r="E3163" t="s">
        <v>29</v>
      </c>
      <c r="F3163" t="s">
        <v>30</v>
      </c>
      <c r="G3163" t="s">
        <v>31</v>
      </c>
      <c r="H3163" t="s">
        <v>32</v>
      </c>
      <c r="I3163">
        <v>415</v>
      </c>
      <c r="J3163" t="s">
        <v>33</v>
      </c>
      <c r="K3163" t="s">
        <v>4334</v>
      </c>
      <c r="L3163" t="s">
        <v>21</v>
      </c>
    </row>
    <row r="3164" spans="1:12">
      <c r="A3164" t="s">
        <v>4337</v>
      </c>
      <c r="B3164" t="s">
        <v>4297</v>
      </c>
      <c r="C3164" t="s">
        <v>14</v>
      </c>
      <c r="D3164">
        <v>2002</v>
      </c>
      <c r="E3164" t="s">
        <v>15</v>
      </c>
      <c r="F3164" t="s">
        <v>16</v>
      </c>
      <c r="G3164" t="s">
        <v>17</v>
      </c>
      <c r="H3164" t="s">
        <v>18</v>
      </c>
      <c r="I3164">
        <v>59.908000000000001</v>
      </c>
      <c r="J3164" t="s">
        <v>19</v>
      </c>
      <c r="K3164" t="s">
        <v>4338</v>
      </c>
      <c r="L3164" t="s">
        <v>21</v>
      </c>
    </row>
    <row r="3165" spans="1:12">
      <c r="A3165" t="s">
        <v>4339</v>
      </c>
      <c r="B3165" t="s">
        <v>4297</v>
      </c>
      <c r="C3165" t="s">
        <v>14</v>
      </c>
      <c r="D3165">
        <v>2002</v>
      </c>
      <c r="E3165" t="s">
        <v>23</v>
      </c>
      <c r="F3165" t="s">
        <v>24</v>
      </c>
      <c r="G3165" t="s">
        <v>25</v>
      </c>
      <c r="H3165" t="s">
        <v>26</v>
      </c>
      <c r="I3165">
        <v>45598081</v>
      </c>
      <c r="J3165" t="s">
        <v>27</v>
      </c>
      <c r="K3165" t="s">
        <v>4338</v>
      </c>
      <c r="L3165" t="s">
        <v>21</v>
      </c>
    </row>
    <row r="3166" spans="1:12">
      <c r="A3166" t="s">
        <v>4340</v>
      </c>
      <c r="B3166" t="s">
        <v>4297</v>
      </c>
      <c r="C3166" t="s">
        <v>14</v>
      </c>
      <c r="D3166">
        <v>2002</v>
      </c>
      <c r="E3166" t="s">
        <v>29</v>
      </c>
      <c r="F3166" t="s">
        <v>30</v>
      </c>
      <c r="G3166" t="s">
        <v>31</v>
      </c>
      <c r="H3166" t="s">
        <v>32</v>
      </c>
      <c r="I3166">
        <v>611</v>
      </c>
      <c r="J3166" t="s">
        <v>33</v>
      </c>
      <c r="K3166" t="s">
        <v>4338</v>
      </c>
      <c r="L3166" t="s">
        <v>21</v>
      </c>
    </row>
    <row r="3167" spans="1:12">
      <c r="A3167" t="s">
        <v>4341</v>
      </c>
      <c r="B3167" t="s">
        <v>4297</v>
      </c>
      <c r="C3167" t="s">
        <v>14</v>
      </c>
      <c r="D3167">
        <v>2007</v>
      </c>
      <c r="E3167" t="s">
        <v>15</v>
      </c>
      <c r="F3167" t="s">
        <v>16</v>
      </c>
      <c r="G3167" t="s">
        <v>17</v>
      </c>
      <c r="H3167" t="s">
        <v>18</v>
      </c>
      <c r="I3167">
        <v>62.069000000000003</v>
      </c>
      <c r="J3167" t="s">
        <v>19</v>
      </c>
      <c r="K3167" t="s">
        <v>4342</v>
      </c>
      <c r="L3167" t="s">
        <v>21</v>
      </c>
    </row>
    <row r="3168" spans="1:12">
      <c r="A3168" t="s">
        <v>4343</v>
      </c>
      <c r="B3168" t="s">
        <v>4297</v>
      </c>
      <c r="C3168" t="s">
        <v>14</v>
      </c>
      <c r="D3168">
        <v>2007</v>
      </c>
      <c r="E3168" t="s">
        <v>23</v>
      </c>
      <c r="F3168" t="s">
        <v>24</v>
      </c>
      <c r="G3168" t="s">
        <v>25</v>
      </c>
      <c r="H3168" t="s">
        <v>26</v>
      </c>
      <c r="I3168">
        <v>47761980</v>
      </c>
      <c r="J3168" t="s">
        <v>27</v>
      </c>
      <c r="K3168" t="s">
        <v>4342</v>
      </c>
      <c r="L3168" t="s">
        <v>21</v>
      </c>
    </row>
    <row r="3169" spans="1:12">
      <c r="A3169" t="s">
        <v>4344</v>
      </c>
      <c r="B3169" t="s">
        <v>4297</v>
      </c>
      <c r="C3169" t="s">
        <v>14</v>
      </c>
      <c r="D3169">
        <v>2007</v>
      </c>
      <c r="E3169" t="s">
        <v>29</v>
      </c>
      <c r="F3169" t="s">
        <v>30</v>
      </c>
      <c r="G3169" t="s">
        <v>31</v>
      </c>
      <c r="H3169" t="s">
        <v>32</v>
      </c>
      <c r="I3169">
        <v>944</v>
      </c>
      <c r="J3169" t="s">
        <v>33</v>
      </c>
      <c r="K3169" t="s">
        <v>4342</v>
      </c>
      <c r="L3169" t="s">
        <v>21</v>
      </c>
    </row>
    <row r="3170" spans="1:12">
      <c r="A3170" t="s">
        <v>4345</v>
      </c>
      <c r="B3170" t="s">
        <v>4346</v>
      </c>
      <c r="C3170" t="s">
        <v>130</v>
      </c>
      <c r="D3170">
        <v>1952</v>
      </c>
      <c r="E3170" t="s">
        <v>15</v>
      </c>
      <c r="F3170" t="s">
        <v>16</v>
      </c>
      <c r="G3170" t="s">
        <v>17</v>
      </c>
      <c r="H3170" t="s">
        <v>18</v>
      </c>
      <c r="I3170">
        <v>41.725000000000001</v>
      </c>
      <c r="J3170" t="s">
        <v>19</v>
      </c>
      <c r="K3170" t="s">
        <v>4347</v>
      </c>
      <c r="L3170" t="s">
        <v>21</v>
      </c>
    </row>
    <row r="3171" spans="1:12">
      <c r="A3171" t="s">
        <v>4348</v>
      </c>
      <c r="B3171" t="s">
        <v>4346</v>
      </c>
      <c r="C3171" t="s">
        <v>130</v>
      </c>
      <c r="D3171">
        <v>1952</v>
      </c>
      <c r="E3171" t="s">
        <v>23</v>
      </c>
      <c r="F3171" t="s">
        <v>24</v>
      </c>
      <c r="G3171" t="s">
        <v>25</v>
      </c>
      <c r="H3171" t="s">
        <v>26</v>
      </c>
      <c r="I3171">
        <v>485831</v>
      </c>
      <c r="J3171" t="s">
        <v>27</v>
      </c>
      <c r="K3171" t="s">
        <v>4347</v>
      </c>
      <c r="L3171" t="s">
        <v>21</v>
      </c>
    </row>
    <row r="3172" spans="1:12">
      <c r="A3172" t="s">
        <v>4349</v>
      </c>
      <c r="B3172" t="s">
        <v>4346</v>
      </c>
      <c r="C3172" t="s">
        <v>130</v>
      </c>
      <c r="D3172">
        <v>1952</v>
      </c>
      <c r="E3172" t="s">
        <v>29</v>
      </c>
      <c r="F3172" t="s">
        <v>30</v>
      </c>
      <c r="G3172" t="s">
        <v>31</v>
      </c>
      <c r="H3172" t="s">
        <v>32</v>
      </c>
      <c r="I3172">
        <v>2423.7804430000001</v>
      </c>
      <c r="J3172" t="s">
        <v>33</v>
      </c>
      <c r="K3172" t="s">
        <v>4347</v>
      </c>
      <c r="L3172" t="s">
        <v>21</v>
      </c>
    </row>
    <row r="3173" spans="1:12">
      <c r="A3173" t="s">
        <v>4350</v>
      </c>
      <c r="B3173" t="s">
        <v>4346</v>
      </c>
      <c r="C3173" t="s">
        <v>130</v>
      </c>
      <c r="D3173">
        <v>1957</v>
      </c>
      <c r="E3173" t="s">
        <v>15</v>
      </c>
      <c r="F3173" t="s">
        <v>16</v>
      </c>
      <c r="G3173" t="s">
        <v>17</v>
      </c>
      <c r="H3173" t="s">
        <v>18</v>
      </c>
      <c r="I3173">
        <v>45.225999999999999</v>
      </c>
      <c r="J3173" t="s">
        <v>19</v>
      </c>
      <c r="K3173" t="s">
        <v>4351</v>
      </c>
      <c r="L3173" t="s">
        <v>21</v>
      </c>
    </row>
    <row r="3174" spans="1:12">
      <c r="A3174" t="s">
        <v>4352</v>
      </c>
      <c r="B3174" t="s">
        <v>4346</v>
      </c>
      <c r="C3174" t="s">
        <v>130</v>
      </c>
      <c r="D3174">
        <v>1957</v>
      </c>
      <c r="E3174" t="s">
        <v>23</v>
      </c>
      <c r="F3174" t="s">
        <v>24</v>
      </c>
      <c r="G3174" t="s">
        <v>25</v>
      </c>
      <c r="H3174" t="s">
        <v>26</v>
      </c>
      <c r="I3174">
        <v>548080</v>
      </c>
      <c r="J3174" t="s">
        <v>27</v>
      </c>
      <c r="K3174" t="s">
        <v>4351</v>
      </c>
      <c r="L3174" t="s">
        <v>21</v>
      </c>
    </row>
    <row r="3175" spans="1:12">
      <c r="A3175" t="s">
        <v>4353</v>
      </c>
      <c r="B3175" t="s">
        <v>4346</v>
      </c>
      <c r="C3175" t="s">
        <v>130</v>
      </c>
      <c r="D3175">
        <v>1957</v>
      </c>
      <c r="E3175" t="s">
        <v>29</v>
      </c>
      <c r="F3175" t="s">
        <v>30</v>
      </c>
      <c r="G3175" t="s">
        <v>31</v>
      </c>
      <c r="H3175" t="s">
        <v>32</v>
      </c>
      <c r="I3175">
        <v>2621.4480579999999</v>
      </c>
      <c r="J3175" t="s">
        <v>33</v>
      </c>
      <c r="K3175" t="s">
        <v>4351</v>
      </c>
      <c r="L3175" t="s">
        <v>21</v>
      </c>
    </row>
    <row r="3176" spans="1:12">
      <c r="A3176" t="s">
        <v>4354</v>
      </c>
      <c r="B3176" t="s">
        <v>4346</v>
      </c>
      <c r="C3176" t="s">
        <v>130</v>
      </c>
      <c r="D3176">
        <v>1962</v>
      </c>
      <c r="E3176" t="s">
        <v>15</v>
      </c>
      <c r="F3176" t="s">
        <v>16</v>
      </c>
      <c r="G3176" t="s">
        <v>17</v>
      </c>
      <c r="H3176" t="s">
        <v>18</v>
      </c>
      <c r="I3176">
        <v>48.386000000000003</v>
      </c>
      <c r="J3176" t="s">
        <v>19</v>
      </c>
      <c r="K3176" t="s">
        <v>4355</v>
      </c>
      <c r="L3176" t="s">
        <v>21</v>
      </c>
    </row>
    <row r="3177" spans="1:12">
      <c r="A3177" t="s">
        <v>4356</v>
      </c>
      <c r="B3177" t="s">
        <v>4346</v>
      </c>
      <c r="C3177" t="s">
        <v>130</v>
      </c>
      <c r="D3177">
        <v>1962</v>
      </c>
      <c r="E3177" t="s">
        <v>23</v>
      </c>
      <c r="F3177" t="s">
        <v>24</v>
      </c>
      <c r="G3177" t="s">
        <v>25</v>
      </c>
      <c r="H3177" t="s">
        <v>26</v>
      </c>
      <c r="I3177">
        <v>621392</v>
      </c>
      <c r="J3177" t="s">
        <v>27</v>
      </c>
      <c r="K3177" t="s">
        <v>4355</v>
      </c>
      <c r="L3177" t="s">
        <v>21</v>
      </c>
    </row>
    <row r="3178" spans="1:12">
      <c r="A3178" t="s">
        <v>4357</v>
      </c>
      <c r="B3178" t="s">
        <v>4346</v>
      </c>
      <c r="C3178" t="s">
        <v>130</v>
      </c>
      <c r="D3178">
        <v>1962</v>
      </c>
      <c r="E3178" t="s">
        <v>29</v>
      </c>
      <c r="F3178" t="s">
        <v>30</v>
      </c>
      <c r="G3178" t="s">
        <v>31</v>
      </c>
      <c r="H3178" t="s">
        <v>32</v>
      </c>
      <c r="I3178">
        <v>3173.2155950000001</v>
      </c>
      <c r="J3178" t="s">
        <v>33</v>
      </c>
      <c r="K3178" t="s">
        <v>4355</v>
      </c>
      <c r="L3178" t="s">
        <v>21</v>
      </c>
    </row>
    <row r="3179" spans="1:12">
      <c r="A3179" t="s">
        <v>4358</v>
      </c>
      <c r="B3179" t="s">
        <v>4346</v>
      </c>
      <c r="C3179" t="s">
        <v>130</v>
      </c>
      <c r="D3179">
        <v>1967</v>
      </c>
      <c r="E3179" t="s">
        <v>15</v>
      </c>
      <c r="F3179" t="s">
        <v>16</v>
      </c>
      <c r="G3179" t="s">
        <v>17</v>
      </c>
      <c r="H3179" t="s">
        <v>18</v>
      </c>
      <c r="I3179">
        <v>51.158999999999999</v>
      </c>
      <c r="J3179" t="s">
        <v>19</v>
      </c>
      <c r="K3179" t="s">
        <v>4359</v>
      </c>
      <c r="L3179" t="s">
        <v>21</v>
      </c>
    </row>
    <row r="3180" spans="1:12">
      <c r="A3180" t="s">
        <v>4360</v>
      </c>
      <c r="B3180" t="s">
        <v>4346</v>
      </c>
      <c r="C3180" t="s">
        <v>130</v>
      </c>
      <c r="D3180">
        <v>1967</v>
      </c>
      <c r="E3180" t="s">
        <v>23</v>
      </c>
      <c r="F3180" t="s">
        <v>24</v>
      </c>
      <c r="G3180" t="s">
        <v>25</v>
      </c>
      <c r="H3180" t="s">
        <v>26</v>
      </c>
      <c r="I3180">
        <v>706640</v>
      </c>
      <c r="J3180" t="s">
        <v>27</v>
      </c>
      <c r="K3180" t="s">
        <v>4359</v>
      </c>
      <c r="L3180" t="s">
        <v>21</v>
      </c>
    </row>
    <row r="3181" spans="1:12">
      <c r="A3181" t="s">
        <v>4361</v>
      </c>
      <c r="B3181" t="s">
        <v>4346</v>
      </c>
      <c r="C3181" t="s">
        <v>130</v>
      </c>
      <c r="D3181">
        <v>1967</v>
      </c>
      <c r="E3181" t="s">
        <v>29</v>
      </c>
      <c r="F3181" t="s">
        <v>30</v>
      </c>
      <c r="G3181" t="s">
        <v>31</v>
      </c>
      <c r="H3181" t="s">
        <v>32</v>
      </c>
      <c r="I3181">
        <v>3793.6947530000002</v>
      </c>
      <c r="J3181" t="s">
        <v>33</v>
      </c>
      <c r="K3181" t="s">
        <v>4359</v>
      </c>
      <c r="L3181" t="s">
        <v>21</v>
      </c>
    </row>
    <row r="3182" spans="1:12">
      <c r="A3182" t="s">
        <v>4362</v>
      </c>
      <c r="B3182" t="s">
        <v>4346</v>
      </c>
      <c r="C3182" t="s">
        <v>130</v>
      </c>
      <c r="D3182">
        <v>1972</v>
      </c>
      <c r="E3182" t="s">
        <v>15</v>
      </c>
      <c r="F3182" t="s">
        <v>16</v>
      </c>
      <c r="G3182" t="s">
        <v>17</v>
      </c>
      <c r="H3182" t="s">
        <v>18</v>
      </c>
      <c r="I3182">
        <v>53.866999999999997</v>
      </c>
      <c r="J3182" t="s">
        <v>19</v>
      </c>
      <c r="K3182" t="s">
        <v>4363</v>
      </c>
      <c r="L3182" t="s">
        <v>21</v>
      </c>
    </row>
    <row r="3183" spans="1:12">
      <c r="A3183" t="s">
        <v>4364</v>
      </c>
      <c r="B3183" t="s">
        <v>4346</v>
      </c>
      <c r="C3183" t="s">
        <v>130</v>
      </c>
      <c r="D3183">
        <v>1972</v>
      </c>
      <c r="E3183" t="s">
        <v>23</v>
      </c>
      <c r="F3183" t="s">
        <v>24</v>
      </c>
      <c r="G3183" t="s">
        <v>25</v>
      </c>
      <c r="H3183" t="s">
        <v>26</v>
      </c>
      <c r="I3183">
        <v>821782</v>
      </c>
      <c r="J3183" t="s">
        <v>27</v>
      </c>
      <c r="K3183" t="s">
        <v>4363</v>
      </c>
      <c r="L3183" t="s">
        <v>21</v>
      </c>
    </row>
    <row r="3184" spans="1:12">
      <c r="A3184" t="s">
        <v>4365</v>
      </c>
      <c r="B3184" t="s">
        <v>4346</v>
      </c>
      <c r="C3184" t="s">
        <v>130</v>
      </c>
      <c r="D3184">
        <v>1972</v>
      </c>
      <c r="E3184" t="s">
        <v>29</v>
      </c>
      <c r="F3184" t="s">
        <v>30</v>
      </c>
      <c r="G3184" t="s">
        <v>31</v>
      </c>
      <c r="H3184" t="s">
        <v>32</v>
      </c>
      <c r="I3184">
        <v>3746.0809479999998</v>
      </c>
      <c r="J3184" t="s">
        <v>33</v>
      </c>
      <c r="K3184" t="s">
        <v>4363</v>
      </c>
      <c r="L3184" t="s">
        <v>21</v>
      </c>
    </row>
    <row r="3185" spans="1:12">
      <c r="A3185" t="s">
        <v>4366</v>
      </c>
      <c r="B3185" t="s">
        <v>4346</v>
      </c>
      <c r="C3185" t="s">
        <v>130</v>
      </c>
      <c r="D3185">
        <v>1977</v>
      </c>
      <c r="E3185" t="s">
        <v>15</v>
      </c>
      <c r="F3185" t="s">
        <v>16</v>
      </c>
      <c r="G3185" t="s">
        <v>17</v>
      </c>
      <c r="H3185" t="s">
        <v>18</v>
      </c>
      <c r="I3185">
        <v>56.436999999999998</v>
      </c>
      <c r="J3185" t="s">
        <v>19</v>
      </c>
      <c r="K3185" t="s">
        <v>4367</v>
      </c>
      <c r="L3185" t="s">
        <v>21</v>
      </c>
    </row>
    <row r="3186" spans="1:12">
      <c r="A3186" t="s">
        <v>4368</v>
      </c>
      <c r="B3186" t="s">
        <v>4346</v>
      </c>
      <c r="C3186" t="s">
        <v>130</v>
      </c>
      <c r="D3186">
        <v>1977</v>
      </c>
      <c r="E3186" t="s">
        <v>23</v>
      </c>
      <c r="F3186" t="s">
        <v>24</v>
      </c>
      <c r="G3186" t="s">
        <v>25</v>
      </c>
      <c r="H3186" t="s">
        <v>26</v>
      </c>
      <c r="I3186">
        <v>977026</v>
      </c>
      <c r="J3186" t="s">
        <v>27</v>
      </c>
      <c r="K3186" t="s">
        <v>4367</v>
      </c>
      <c r="L3186" t="s">
        <v>21</v>
      </c>
    </row>
    <row r="3187" spans="1:12">
      <c r="A3187" t="s">
        <v>4369</v>
      </c>
      <c r="B3187" t="s">
        <v>4346</v>
      </c>
      <c r="C3187" t="s">
        <v>130</v>
      </c>
      <c r="D3187">
        <v>1977</v>
      </c>
      <c r="E3187" t="s">
        <v>29</v>
      </c>
      <c r="F3187" t="s">
        <v>30</v>
      </c>
      <c r="G3187" t="s">
        <v>31</v>
      </c>
      <c r="H3187" t="s">
        <v>32</v>
      </c>
      <c r="I3187">
        <v>3876.4859580000002</v>
      </c>
      <c r="J3187" t="s">
        <v>33</v>
      </c>
      <c r="K3187" t="s">
        <v>4367</v>
      </c>
      <c r="L3187" t="s">
        <v>21</v>
      </c>
    </row>
    <row r="3188" spans="1:12">
      <c r="A3188" t="s">
        <v>4370</v>
      </c>
      <c r="B3188" t="s">
        <v>4346</v>
      </c>
      <c r="C3188" t="s">
        <v>130</v>
      </c>
      <c r="D3188">
        <v>1982</v>
      </c>
      <c r="E3188" t="s">
        <v>15</v>
      </c>
      <c r="F3188" t="s">
        <v>16</v>
      </c>
      <c r="G3188" t="s">
        <v>17</v>
      </c>
      <c r="H3188" t="s">
        <v>18</v>
      </c>
      <c r="I3188">
        <v>58.968000000000004</v>
      </c>
      <c r="J3188" t="s">
        <v>19</v>
      </c>
      <c r="K3188" t="s">
        <v>4371</v>
      </c>
      <c r="L3188" t="s">
        <v>21</v>
      </c>
    </row>
    <row r="3189" spans="1:12">
      <c r="A3189" t="s">
        <v>4372</v>
      </c>
      <c r="B3189" t="s">
        <v>4346</v>
      </c>
      <c r="C3189" t="s">
        <v>130</v>
      </c>
      <c r="D3189">
        <v>1982</v>
      </c>
      <c r="E3189" t="s">
        <v>23</v>
      </c>
      <c r="F3189" t="s">
        <v>24</v>
      </c>
      <c r="G3189" t="s">
        <v>25</v>
      </c>
      <c r="H3189" t="s">
        <v>26</v>
      </c>
      <c r="I3189">
        <v>1099010</v>
      </c>
      <c r="J3189" t="s">
        <v>27</v>
      </c>
      <c r="K3189" t="s">
        <v>4371</v>
      </c>
      <c r="L3189" t="s">
        <v>21</v>
      </c>
    </row>
    <row r="3190" spans="1:12">
      <c r="A3190" t="s">
        <v>4373</v>
      </c>
      <c r="B3190" t="s">
        <v>4346</v>
      </c>
      <c r="C3190" t="s">
        <v>130</v>
      </c>
      <c r="D3190">
        <v>1982</v>
      </c>
      <c r="E3190" t="s">
        <v>29</v>
      </c>
      <c r="F3190" t="s">
        <v>30</v>
      </c>
      <c r="G3190" t="s">
        <v>31</v>
      </c>
      <c r="H3190" t="s">
        <v>32</v>
      </c>
      <c r="I3190">
        <v>4191.1005109999996</v>
      </c>
      <c r="J3190" t="s">
        <v>33</v>
      </c>
      <c r="K3190" t="s">
        <v>4371</v>
      </c>
      <c r="L3190" t="s">
        <v>21</v>
      </c>
    </row>
    <row r="3191" spans="1:12">
      <c r="A3191" t="s">
        <v>4374</v>
      </c>
      <c r="B3191" t="s">
        <v>4346</v>
      </c>
      <c r="C3191" t="s">
        <v>130</v>
      </c>
      <c r="D3191">
        <v>1987</v>
      </c>
      <c r="E3191" t="s">
        <v>15</v>
      </c>
      <c r="F3191" t="s">
        <v>16</v>
      </c>
      <c r="G3191" t="s">
        <v>17</v>
      </c>
      <c r="H3191" t="s">
        <v>18</v>
      </c>
      <c r="I3191">
        <v>60.835000000000001</v>
      </c>
      <c r="J3191" t="s">
        <v>19</v>
      </c>
      <c r="K3191" t="s">
        <v>4375</v>
      </c>
      <c r="L3191" t="s">
        <v>21</v>
      </c>
    </row>
    <row r="3192" spans="1:12">
      <c r="A3192" t="s">
        <v>4376</v>
      </c>
      <c r="B3192" t="s">
        <v>4346</v>
      </c>
      <c r="C3192" t="s">
        <v>130</v>
      </c>
      <c r="D3192">
        <v>1987</v>
      </c>
      <c r="E3192" t="s">
        <v>23</v>
      </c>
      <c r="F3192" t="s">
        <v>24</v>
      </c>
      <c r="G3192" t="s">
        <v>25</v>
      </c>
      <c r="H3192" t="s">
        <v>26</v>
      </c>
      <c r="I3192">
        <v>1278184</v>
      </c>
      <c r="J3192" t="s">
        <v>27</v>
      </c>
      <c r="K3192" t="s">
        <v>4375</v>
      </c>
      <c r="L3192" t="s">
        <v>21</v>
      </c>
    </row>
    <row r="3193" spans="1:12">
      <c r="A3193" t="s">
        <v>4377</v>
      </c>
      <c r="B3193" t="s">
        <v>4346</v>
      </c>
      <c r="C3193" t="s">
        <v>130</v>
      </c>
      <c r="D3193">
        <v>1987</v>
      </c>
      <c r="E3193" t="s">
        <v>29</v>
      </c>
      <c r="F3193" t="s">
        <v>30</v>
      </c>
      <c r="G3193" t="s">
        <v>31</v>
      </c>
      <c r="H3193" t="s">
        <v>32</v>
      </c>
      <c r="I3193">
        <v>3693.7313370000002</v>
      </c>
      <c r="J3193" t="s">
        <v>33</v>
      </c>
      <c r="K3193" t="s">
        <v>4375</v>
      </c>
      <c r="L3193" t="s">
        <v>21</v>
      </c>
    </row>
    <row r="3194" spans="1:12">
      <c r="A3194" t="s">
        <v>4378</v>
      </c>
      <c r="B3194" t="s">
        <v>4346</v>
      </c>
      <c r="C3194" t="s">
        <v>130</v>
      </c>
      <c r="D3194">
        <v>1992</v>
      </c>
      <c r="E3194" t="s">
        <v>15</v>
      </c>
      <c r="F3194" t="s">
        <v>16</v>
      </c>
      <c r="G3194" t="s">
        <v>17</v>
      </c>
      <c r="H3194" t="s">
        <v>18</v>
      </c>
      <c r="I3194">
        <v>61.999000000000002</v>
      </c>
      <c r="J3194" t="s">
        <v>19</v>
      </c>
      <c r="K3194" t="s">
        <v>4379</v>
      </c>
      <c r="L3194" t="s">
        <v>21</v>
      </c>
    </row>
    <row r="3195" spans="1:12">
      <c r="A3195" t="s">
        <v>4380</v>
      </c>
      <c r="B3195" t="s">
        <v>4346</v>
      </c>
      <c r="C3195" t="s">
        <v>130</v>
      </c>
      <c r="D3195">
        <v>1992</v>
      </c>
      <c r="E3195" t="s">
        <v>23</v>
      </c>
      <c r="F3195" t="s">
        <v>24</v>
      </c>
      <c r="G3195" t="s">
        <v>25</v>
      </c>
      <c r="H3195" t="s">
        <v>26</v>
      </c>
      <c r="I3195">
        <v>1554253</v>
      </c>
      <c r="J3195" t="s">
        <v>27</v>
      </c>
      <c r="K3195" t="s">
        <v>4379</v>
      </c>
      <c r="L3195" t="s">
        <v>21</v>
      </c>
    </row>
    <row r="3196" spans="1:12">
      <c r="A3196" t="s">
        <v>4381</v>
      </c>
      <c r="B3196" t="s">
        <v>4346</v>
      </c>
      <c r="C3196" t="s">
        <v>130</v>
      </c>
      <c r="D3196">
        <v>1992</v>
      </c>
      <c r="E3196" t="s">
        <v>29</v>
      </c>
      <c r="F3196" t="s">
        <v>30</v>
      </c>
      <c r="G3196" t="s">
        <v>31</v>
      </c>
      <c r="H3196" t="s">
        <v>32</v>
      </c>
      <c r="I3196">
        <v>3804.5379990000001</v>
      </c>
      <c r="J3196" t="s">
        <v>33</v>
      </c>
      <c r="K3196" t="s">
        <v>4379</v>
      </c>
      <c r="L3196" t="s">
        <v>21</v>
      </c>
    </row>
    <row r="3197" spans="1:12">
      <c r="A3197" t="s">
        <v>4382</v>
      </c>
      <c r="B3197" t="s">
        <v>4346</v>
      </c>
      <c r="C3197" t="s">
        <v>130</v>
      </c>
      <c r="D3197">
        <v>1997</v>
      </c>
      <c r="E3197" t="s">
        <v>15</v>
      </c>
      <c r="F3197" t="s">
        <v>16</v>
      </c>
      <c r="G3197" t="s">
        <v>17</v>
      </c>
      <c r="H3197" t="s">
        <v>18</v>
      </c>
      <c r="I3197">
        <v>58.908999999999999</v>
      </c>
      <c r="J3197" t="s">
        <v>19</v>
      </c>
      <c r="K3197" t="s">
        <v>4383</v>
      </c>
      <c r="L3197" t="s">
        <v>21</v>
      </c>
    </row>
    <row r="3198" spans="1:12">
      <c r="A3198" t="s">
        <v>4384</v>
      </c>
      <c r="B3198" t="s">
        <v>4346</v>
      </c>
      <c r="C3198" t="s">
        <v>130</v>
      </c>
      <c r="D3198">
        <v>1997</v>
      </c>
      <c r="E3198" t="s">
        <v>23</v>
      </c>
      <c r="F3198" t="s">
        <v>24</v>
      </c>
      <c r="G3198" t="s">
        <v>25</v>
      </c>
      <c r="H3198" t="s">
        <v>26</v>
      </c>
      <c r="I3198">
        <v>1774766</v>
      </c>
      <c r="J3198" t="s">
        <v>27</v>
      </c>
      <c r="K3198" t="s">
        <v>4383</v>
      </c>
      <c r="L3198" t="s">
        <v>21</v>
      </c>
    </row>
    <row r="3199" spans="1:12">
      <c r="A3199" t="s">
        <v>4385</v>
      </c>
      <c r="B3199" t="s">
        <v>4346</v>
      </c>
      <c r="C3199" t="s">
        <v>130</v>
      </c>
      <c r="D3199">
        <v>1997</v>
      </c>
      <c r="E3199" t="s">
        <v>29</v>
      </c>
      <c r="F3199" t="s">
        <v>30</v>
      </c>
      <c r="G3199" t="s">
        <v>31</v>
      </c>
      <c r="H3199" t="s">
        <v>32</v>
      </c>
      <c r="I3199">
        <v>3899.5242600000001</v>
      </c>
      <c r="J3199" t="s">
        <v>33</v>
      </c>
      <c r="K3199" t="s">
        <v>4383</v>
      </c>
      <c r="L3199" t="s">
        <v>21</v>
      </c>
    </row>
    <row r="3200" spans="1:12">
      <c r="A3200" t="s">
        <v>4386</v>
      </c>
      <c r="B3200" t="s">
        <v>4346</v>
      </c>
      <c r="C3200" t="s">
        <v>130</v>
      </c>
      <c r="D3200">
        <v>2002</v>
      </c>
      <c r="E3200" t="s">
        <v>15</v>
      </c>
      <c r="F3200" t="s">
        <v>16</v>
      </c>
      <c r="G3200" t="s">
        <v>17</v>
      </c>
      <c r="H3200" t="s">
        <v>18</v>
      </c>
      <c r="I3200">
        <v>51.478999999999999</v>
      </c>
      <c r="J3200" t="s">
        <v>19</v>
      </c>
      <c r="K3200" t="s">
        <v>4387</v>
      </c>
      <c r="L3200" t="s">
        <v>21</v>
      </c>
    </row>
    <row r="3201" spans="1:12">
      <c r="A3201" t="s">
        <v>4388</v>
      </c>
      <c r="B3201" t="s">
        <v>4346</v>
      </c>
      <c r="C3201" t="s">
        <v>130</v>
      </c>
      <c r="D3201">
        <v>2002</v>
      </c>
      <c r="E3201" t="s">
        <v>23</v>
      </c>
      <c r="F3201" t="s">
        <v>24</v>
      </c>
      <c r="G3201" t="s">
        <v>25</v>
      </c>
      <c r="H3201" t="s">
        <v>26</v>
      </c>
      <c r="I3201">
        <v>1972153</v>
      </c>
      <c r="J3201" t="s">
        <v>27</v>
      </c>
      <c r="K3201" t="s">
        <v>4387</v>
      </c>
      <c r="L3201" t="s">
        <v>21</v>
      </c>
    </row>
    <row r="3202" spans="1:12">
      <c r="A3202" t="s">
        <v>4389</v>
      </c>
      <c r="B3202" t="s">
        <v>4346</v>
      </c>
      <c r="C3202" t="s">
        <v>130</v>
      </c>
      <c r="D3202">
        <v>2002</v>
      </c>
      <c r="E3202" t="s">
        <v>29</v>
      </c>
      <c r="F3202" t="s">
        <v>30</v>
      </c>
      <c r="G3202" t="s">
        <v>31</v>
      </c>
      <c r="H3202" t="s">
        <v>32</v>
      </c>
      <c r="I3202">
        <v>4072.3247510000001</v>
      </c>
      <c r="J3202" t="s">
        <v>33</v>
      </c>
      <c r="K3202" t="s">
        <v>4387</v>
      </c>
      <c r="L3202" t="s">
        <v>21</v>
      </c>
    </row>
    <row r="3203" spans="1:12">
      <c r="A3203" t="s">
        <v>4390</v>
      </c>
      <c r="B3203" t="s">
        <v>4346</v>
      </c>
      <c r="C3203" t="s">
        <v>130</v>
      </c>
      <c r="D3203">
        <v>2007</v>
      </c>
      <c r="E3203" t="s">
        <v>15</v>
      </c>
      <c r="F3203" t="s">
        <v>16</v>
      </c>
      <c r="G3203" t="s">
        <v>17</v>
      </c>
      <c r="H3203" t="s">
        <v>18</v>
      </c>
      <c r="I3203">
        <v>52.905999999999999</v>
      </c>
      <c r="J3203" t="s">
        <v>19</v>
      </c>
      <c r="K3203" t="s">
        <v>4391</v>
      </c>
      <c r="L3203" t="s">
        <v>21</v>
      </c>
    </row>
    <row r="3204" spans="1:12">
      <c r="A3204" t="s">
        <v>4392</v>
      </c>
      <c r="B3204" t="s">
        <v>4346</v>
      </c>
      <c r="C3204" t="s">
        <v>130</v>
      </c>
      <c r="D3204">
        <v>2007</v>
      </c>
      <c r="E3204" t="s">
        <v>23</v>
      </c>
      <c r="F3204" t="s">
        <v>24</v>
      </c>
      <c r="G3204" t="s">
        <v>25</v>
      </c>
      <c r="H3204" t="s">
        <v>26</v>
      </c>
      <c r="I3204">
        <v>2055080</v>
      </c>
      <c r="J3204" t="s">
        <v>27</v>
      </c>
      <c r="K3204" t="s">
        <v>4391</v>
      </c>
      <c r="L3204" t="s">
        <v>21</v>
      </c>
    </row>
    <row r="3205" spans="1:12">
      <c r="A3205" t="s">
        <v>4393</v>
      </c>
      <c r="B3205" t="s">
        <v>4346</v>
      </c>
      <c r="C3205" t="s">
        <v>130</v>
      </c>
      <c r="D3205">
        <v>2007</v>
      </c>
      <c r="E3205" t="s">
        <v>29</v>
      </c>
      <c r="F3205" t="s">
        <v>30</v>
      </c>
      <c r="G3205" t="s">
        <v>31</v>
      </c>
      <c r="H3205" t="s">
        <v>32</v>
      </c>
      <c r="I3205">
        <v>4811.0604290000001</v>
      </c>
      <c r="J3205" t="s">
        <v>33</v>
      </c>
      <c r="K3205" t="s">
        <v>4391</v>
      </c>
      <c r="L3205" t="s">
        <v>21</v>
      </c>
    </row>
    <row r="3206" spans="1:12">
      <c r="A3206" t="s">
        <v>4394</v>
      </c>
      <c r="B3206" t="s">
        <v>4395</v>
      </c>
      <c r="C3206" t="s">
        <v>14</v>
      </c>
      <c r="D3206">
        <v>1952</v>
      </c>
      <c r="E3206" t="s">
        <v>15</v>
      </c>
      <c r="F3206" t="s">
        <v>16</v>
      </c>
      <c r="G3206" t="s">
        <v>17</v>
      </c>
      <c r="H3206" t="s">
        <v>18</v>
      </c>
      <c r="I3206">
        <v>36.156999999999996</v>
      </c>
      <c r="J3206" t="s">
        <v>19</v>
      </c>
      <c r="K3206" t="s">
        <v>4396</v>
      </c>
      <c r="L3206" t="s">
        <v>21</v>
      </c>
    </row>
    <row r="3207" spans="1:12">
      <c r="A3207" t="s">
        <v>4397</v>
      </c>
      <c r="B3207" t="s">
        <v>4395</v>
      </c>
      <c r="C3207" t="s">
        <v>14</v>
      </c>
      <c r="D3207">
        <v>1952</v>
      </c>
      <c r="E3207" t="s">
        <v>23</v>
      </c>
      <c r="F3207" t="s">
        <v>24</v>
      </c>
      <c r="G3207" t="s">
        <v>25</v>
      </c>
      <c r="H3207" t="s">
        <v>26</v>
      </c>
      <c r="I3207">
        <v>9182536</v>
      </c>
      <c r="J3207" t="s">
        <v>27</v>
      </c>
      <c r="K3207" t="s">
        <v>4396</v>
      </c>
      <c r="L3207" t="s">
        <v>21</v>
      </c>
    </row>
    <row r="3208" spans="1:12">
      <c r="A3208" t="s">
        <v>4398</v>
      </c>
      <c r="B3208" t="s">
        <v>4395</v>
      </c>
      <c r="C3208" t="s">
        <v>14</v>
      </c>
      <c r="D3208">
        <v>1952</v>
      </c>
      <c r="E3208" t="s">
        <v>29</v>
      </c>
      <c r="F3208" t="s">
        <v>30</v>
      </c>
      <c r="G3208" t="s">
        <v>31</v>
      </c>
      <c r="H3208" t="s">
        <v>32</v>
      </c>
      <c r="I3208">
        <v>545.86572289999901</v>
      </c>
      <c r="J3208" t="s">
        <v>33</v>
      </c>
      <c r="K3208" t="s">
        <v>4396</v>
      </c>
      <c r="L3208" t="s">
        <v>21</v>
      </c>
    </row>
    <row r="3209" spans="1:12">
      <c r="A3209" t="s">
        <v>4399</v>
      </c>
      <c r="B3209" t="s">
        <v>4395</v>
      </c>
      <c r="C3209" t="s">
        <v>14</v>
      </c>
      <c r="D3209">
        <v>1957</v>
      </c>
      <c r="E3209" t="s">
        <v>15</v>
      </c>
      <c r="F3209" t="s">
        <v>16</v>
      </c>
      <c r="G3209" t="s">
        <v>17</v>
      </c>
      <c r="H3209" t="s">
        <v>18</v>
      </c>
      <c r="I3209">
        <v>37.686</v>
      </c>
      <c r="J3209" t="s">
        <v>19</v>
      </c>
      <c r="K3209" t="s">
        <v>4400</v>
      </c>
      <c r="L3209" t="s">
        <v>21</v>
      </c>
    </row>
    <row r="3210" spans="1:12">
      <c r="A3210" t="s">
        <v>4401</v>
      </c>
      <c r="B3210" t="s">
        <v>4395</v>
      </c>
      <c r="C3210" t="s">
        <v>14</v>
      </c>
      <c r="D3210">
        <v>1957</v>
      </c>
      <c r="E3210" t="s">
        <v>23</v>
      </c>
      <c r="F3210" t="s">
        <v>24</v>
      </c>
      <c r="G3210" t="s">
        <v>25</v>
      </c>
      <c r="H3210" t="s">
        <v>26</v>
      </c>
      <c r="I3210">
        <v>9682338</v>
      </c>
      <c r="J3210" t="s">
        <v>27</v>
      </c>
      <c r="K3210" t="s">
        <v>4400</v>
      </c>
      <c r="L3210" t="s">
        <v>21</v>
      </c>
    </row>
    <row r="3211" spans="1:12">
      <c r="A3211" t="s">
        <v>4402</v>
      </c>
      <c r="B3211" t="s">
        <v>4395</v>
      </c>
      <c r="C3211" t="s">
        <v>14</v>
      </c>
      <c r="D3211">
        <v>1957</v>
      </c>
      <c r="E3211" t="s">
        <v>29</v>
      </c>
      <c r="F3211" t="s">
        <v>30</v>
      </c>
      <c r="G3211" t="s">
        <v>31</v>
      </c>
      <c r="H3211" t="s">
        <v>32</v>
      </c>
      <c r="I3211">
        <v>597.93635579999898</v>
      </c>
      <c r="J3211" t="s">
        <v>33</v>
      </c>
      <c r="K3211" t="s">
        <v>4400</v>
      </c>
      <c r="L3211" t="s">
        <v>21</v>
      </c>
    </row>
    <row r="3212" spans="1:12">
      <c r="A3212" t="s">
        <v>4403</v>
      </c>
      <c r="B3212" t="s">
        <v>4395</v>
      </c>
      <c r="C3212" t="s">
        <v>14</v>
      </c>
      <c r="D3212">
        <v>1962</v>
      </c>
      <c r="E3212" t="s">
        <v>15</v>
      </c>
      <c r="F3212" t="s">
        <v>16</v>
      </c>
      <c r="G3212" t="s">
        <v>17</v>
      </c>
      <c r="H3212" t="s">
        <v>18</v>
      </c>
      <c r="I3212">
        <v>39.393000000000001</v>
      </c>
      <c r="J3212" t="s">
        <v>19</v>
      </c>
      <c r="K3212" t="s">
        <v>4404</v>
      </c>
      <c r="L3212" t="s">
        <v>21</v>
      </c>
    </row>
    <row r="3213" spans="1:12">
      <c r="A3213" t="s">
        <v>4405</v>
      </c>
      <c r="B3213" t="s">
        <v>4395</v>
      </c>
      <c r="C3213" t="s">
        <v>14</v>
      </c>
      <c r="D3213">
        <v>1962</v>
      </c>
      <c r="E3213" t="s">
        <v>23</v>
      </c>
      <c r="F3213" t="s">
        <v>24</v>
      </c>
      <c r="G3213" t="s">
        <v>25</v>
      </c>
      <c r="H3213" t="s">
        <v>26</v>
      </c>
      <c r="I3213">
        <v>10332057</v>
      </c>
      <c r="J3213" t="s">
        <v>27</v>
      </c>
      <c r="K3213" t="s">
        <v>4404</v>
      </c>
      <c r="L3213" t="s">
        <v>21</v>
      </c>
    </row>
    <row r="3214" spans="1:12">
      <c r="A3214" t="s">
        <v>4406</v>
      </c>
      <c r="B3214" t="s">
        <v>4395</v>
      </c>
      <c r="C3214" t="s">
        <v>14</v>
      </c>
      <c r="D3214">
        <v>1962</v>
      </c>
      <c r="E3214" t="s">
        <v>29</v>
      </c>
      <c r="F3214" t="s">
        <v>30</v>
      </c>
      <c r="G3214" t="s">
        <v>31</v>
      </c>
      <c r="H3214" t="s">
        <v>32</v>
      </c>
      <c r="I3214">
        <v>652.39685929999996</v>
      </c>
      <c r="J3214" t="s">
        <v>33</v>
      </c>
      <c r="K3214" t="s">
        <v>4404</v>
      </c>
      <c r="L3214" t="s">
        <v>21</v>
      </c>
    </row>
    <row r="3215" spans="1:12">
      <c r="A3215" t="s">
        <v>4407</v>
      </c>
      <c r="B3215" t="s">
        <v>4395</v>
      </c>
      <c r="C3215" t="s">
        <v>14</v>
      </c>
      <c r="D3215">
        <v>1967</v>
      </c>
      <c r="E3215" t="s">
        <v>15</v>
      </c>
      <c r="F3215" t="s">
        <v>16</v>
      </c>
      <c r="G3215" t="s">
        <v>17</v>
      </c>
      <c r="H3215" t="s">
        <v>18</v>
      </c>
      <c r="I3215">
        <v>41.472000000000001</v>
      </c>
      <c r="J3215" t="s">
        <v>19</v>
      </c>
      <c r="K3215" t="s">
        <v>4408</v>
      </c>
      <c r="L3215" t="s">
        <v>21</v>
      </c>
    </row>
    <row r="3216" spans="1:12">
      <c r="A3216" t="s">
        <v>4409</v>
      </c>
      <c r="B3216" t="s">
        <v>4395</v>
      </c>
      <c r="C3216" t="s">
        <v>14</v>
      </c>
      <c r="D3216">
        <v>1967</v>
      </c>
      <c r="E3216" t="s">
        <v>23</v>
      </c>
      <c r="F3216" t="s">
        <v>24</v>
      </c>
      <c r="G3216" t="s">
        <v>25</v>
      </c>
      <c r="H3216" t="s">
        <v>26</v>
      </c>
      <c r="I3216">
        <v>11261690</v>
      </c>
      <c r="J3216" t="s">
        <v>27</v>
      </c>
      <c r="K3216" t="s">
        <v>4408</v>
      </c>
      <c r="L3216" t="s">
        <v>21</v>
      </c>
    </row>
    <row r="3217" spans="1:12">
      <c r="A3217" t="s">
        <v>4410</v>
      </c>
      <c r="B3217" t="s">
        <v>4395</v>
      </c>
      <c r="C3217" t="s">
        <v>14</v>
      </c>
      <c r="D3217">
        <v>1967</v>
      </c>
      <c r="E3217" t="s">
        <v>29</v>
      </c>
      <c r="F3217" t="s">
        <v>30</v>
      </c>
      <c r="G3217" t="s">
        <v>31</v>
      </c>
      <c r="H3217" t="s">
        <v>32</v>
      </c>
      <c r="I3217">
        <v>676.44222539999998</v>
      </c>
      <c r="J3217" t="s">
        <v>33</v>
      </c>
      <c r="K3217" t="s">
        <v>4408</v>
      </c>
      <c r="L3217" t="s">
        <v>21</v>
      </c>
    </row>
    <row r="3218" spans="1:12">
      <c r="A3218" t="s">
        <v>4411</v>
      </c>
      <c r="B3218" t="s">
        <v>4395</v>
      </c>
      <c r="C3218" t="s">
        <v>14</v>
      </c>
      <c r="D3218">
        <v>1972</v>
      </c>
      <c r="E3218" t="s">
        <v>15</v>
      </c>
      <c r="F3218" t="s">
        <v>16</v>
      </c>
      <c r="G3218" t="s">
        <v>17</v>
      </c>
      <c r="H3218" t="s">
        <v>18</v>
      </c>
      <c r="I3218">
        <v>43.970999999999997</v>
      </c>
      <c r="J3218" t="s">
        <v>19</v>
      </c>
      <c r="K3218" t="s">
        <v>4412</v>
      </c>
      <c r="L3218" t="s">
        <v>21</v>
      </c>
    </row>
    <row r="3219" spans="1:12">
      <c r="A3219" t="s">
        <v>4413</v>
      </c>
      <c r="B3219" t="s">
        <v>4395</v>
      </c>
      <c r="C3219" t="s">
        <v>14</v>
      </c>
      <c r="D3219">
        <v>1972</v>
      </c>
      <c r="E3219" t="s">
        <v>23</v>
      </c>
      <c r="F3219" t="s">
        <v>24</v>
      </c>
      <c r="G3219" t="s">
        <v>25</v>
      </c>
      <c r="H3219" t="s">
        <v>26</v>
      </c>
      <c r="I3219">
        <v>12412593</v>
      </c>
      <c r="J3219" t="s">
        <v>27</v>
      </c>
      <c r="K3219" t="s">
        <v>4412</v>
      </c>
      <c r="L3219" t="s">
        <v>21</v>
      </c>
    </row>
    <row r="3220" spans="1:12">
      <c r="A3220" t="s">
        <v>4414</v>
      </c>
      <c r="B3220" t="s">
        <v>4395</v>
      </c>
      <c r="C3220" t="s">
        <v>14</v>
      </c>
      <c r="D3220">
        <v>1972</v>
      </c>
      <c r="E3220" t="s">
        <v>29</v>
      </c>
      <c r="F3220" t="s">
        <v>30</v>
      </c>
      <c r="G3220" t="s">
        <v>31</v>
      </c>
      <c r="H3220" t="s">
        <v>32</v>
      </c>
      <c r="I3220">
        <v>674.78812960000005</v>
      </c>
      <c r="J3220" t="s">
        <v>33</v>
      </c>
      <c r="K3220" t="s">
        <v>4412</v>
      </c>
      <c r="L3220" t="s">
        <v>21</v>
      </c>
    </row>
    <row r="3221" spans="1:12">
      <c r="A3221" t="s">
        <v>4415</v>
      </c>
      <c r="B3221" t="s">
        <v>4395</v>
      </c>
      <c r="C3221" t="s">
        <v>14</v>
      </c>
      <c r="D3221">
        <v>1977</v>
      </c>
      <c r="E3221" t="s">
        <v>15</v>
      </c>
      <c r="F3221" t="s">
        <v>16</v>
      </c>
      <c r="G3221" t="s">
        <v>17</v>
      </c>
      <c r="H3221" t="s">
        <v>18</v>
      </c>
      <c r="I3221">
        <v>46.747999999999998</v>
      </c>
      <c r="J3221" t="s">
        <v>19</v>
      </c>
      <c r="K3221" t="s">
        <v>4416</v>
      </c>
      <c r="L3221" t="s">
        <v>21</v>
      </c>
    </row>
    <row r="3222" spans="1:12">
      <c r="A3222" t="s">
        <v>4417</v>
      </c>
      <c r="B3222" t="s">
        <v>4395</v>
      </c>
      <c r="C3222" t="s">
        <v>14</v>
      </c>
      <c r="D3222">
        <v>1977</v>
      </c>
      <c r="E3222" t="s">
        <v>23</v>
      </c>
      <c r="F3222" t="s">
        <v>24</v>
      </c>
      <c r="G3222" t="s">
        <v>25</v>
      </c>
      <c r="H3222" t="s">
        <v>26</v>
      </c>
      <c r="I3222">
        <v>13933198</v>
      </c>
      <c r="J3222" t="s">
        <v>27</v>
      </c>
      <c r="K3222" t="s">
        <v>4416</v>
      </c>
      <c r="L3222" t="s">
        <v>21</v>
      </c>
    </row>
    <row r="3223" spans="1:12">
      <c r="A3223" t="s">
        <v>4418</v>
      </c>
      <c r="B3223" t="s">
        <v>4395</v>
      </c>
      <c r="C3223" t="s">
        <v>14</v>
      </c>
      <c r="D3223">
        <v>1977</v>
      </c>
      <c r="E3223" t="s">
        <v>29</v>
      </c>
      <c r="F3223" t="s">
        <v>30</v>
      </c>
      <c r="G3223" t="s">
        <v>31</v>
      </c>
      <c r="H3223" t="s">
        <v>32</v>
      </c>
      <c r="I3223">
        <v>694.11243979999995</v>
      </c>
      <c r="J3223" t="s">
        <v>33</v>
      </c>
      <c r="K3223" t="s">
        <v>4416</v>
      </c>
      <c r="L3223" t="s">
        <v>21</v>
      </c>
    </row>
    <row r="3224" spans="1:12">
      <c r="A3224" t="s">
        <v>4419</v>
      </c>
      <c r="B3224" t="s">
        <v>4395</v>
      </c>
      <c r="C3224" t="s">
        <v>14</v>
      </c>
      <c r="D3224">
        <v>1982</v>
      </c>
      <c r="E3224" t="s">
        <v>15</v>
      </c>
      <c r="F3224" t="s">
        <v>16</v>
      </c>
      <c r="G3224" t="s">
        <v>17</v>
      </c>
      <c r="H3224" t="s">
        <v>18</v>
      </c>
      <c r="I3224">
        <v>49.594000000000001</v>
      </c>
      <c r="J3224" t="s">
        <v>19</v>
      </c>
      <c r="K3224" t="s">
        <v>4420</v>
      </c>
      <c r="L3224" t="s">
        <v>21</v>
      </c>
    </row>
    <row r="3225" spans="1:12">
      <c r="A3225" t="s">
        <v>4421</v>
      </c>
      <c r="B3225" t="s">
        <v>4395</v>
      </c>
      <c r="C3225" t="s">
        <v>14</v>
      </c>
      <c r="D3225">
        <v>1982</v>
      </c>
      <c r="E3225" t="s">
        <v>23</v>
      </c>
      <c r="F3225" t="s">
        <v>24</v>
      </c>
      <c r="G3225" t="s">
        <v>25</v>
      </c>
      <c r="H3225" t="s">
        <v>26</v>
      </c>
      <c r="I3225">
        <v>15796314</v>
      </c>
      <c r="J3225" t="s">
        <v>27</v>
      </c>
      <c r="K3225" t="s">
        <v>4420</v>
      </c>
      <c r="L3225" t="s">
        <v>21</v>
      </c>
    </row>
    <row r="3226" spans="1:12">
      <c r="A3226" t="s">
        <v>4422</v>
      </c>
      <c r="B3226" t="s">
        <v>4395</v>
      </c>
      <c r="C3226" t="s">
        <v>14</v>
      </c>
      <c r="D3226">
        <v>1982</v>
      </c>
      <c r="E3226" t="s">
        <v>29</v>
      </c>
      <c r="F3226" t="s">
        <v>30</v>
      </c>
      <c r="G3226" t="s">
        <v>31</v>
      </c>
      <c r="H3226" t="s">
        <v>32</v>
      </c>
      <c r="I3226">
        <v>718.37309470000002</v>
      </c>
      <c r="J3226" t="s">
        <v>33</v>
      </c>
      <c r="K3226" t="s">
        <v>4420</v>
      </c>
      <c r="L3226" t="s">
        <v>21</v>
      </c>
    </row>
    <row r="3227" spans="1:12">
      <c r="A3227" t="s">
        <v>4423</v>
      </c>
      <c r="B3227" t="s">
        <v>4395</v>
      </c>
      <c r="C3227" t="s">
        <v>14</v>
      </c>
      <c r="D3227">
        <v>1987</v>
      </c>
      <c r="E3227" t="s">
        <v>15</v>
      </c>
      <c r="F3227" t="s">
        <v>16</v>
      </c>
      <c r="G3227" t="s">
        <v>17</v>
      </c>
      <c r="H3227" t="s">
        <v>18</v>
      </c>
      <c r="I3227">
        <v>52.536999999999999</v>
      </c>
      <c r="J3227" t="s">
        <v>19</v>
      </c>
      <c r="K3227" t="s">
        <v>4424</v>
      </c>
      <c r="L3227" t="s">
        <v>21</v>
      </c>
    </row>
    <row r="3228" spans="1:12">
      <c r="A3228" t="s">
        <v>4425</v>
      </c>
      <c r="B3228" t="s">
        <v>4395</v>
      </c>
      <c r="C3228" t="s">
        <v>14</v>
      </c>
      <c r="D3228">
        <v>1987</v>
      </c>
      <c r="E3228" t="s">
        <v>23</v>
      </c>
      <c r="F3228" t="s">
        <v>24</v>
      </c>
      <c r="G3228" t="s">
        <v>25</v>
      </c>
      <c r="H3228" t="s">
        <v>26</v>
      </c>
      <c r="I3228">
        <v>17917180</v>
      </c>
      <c r="J3228" t="s">
        <v>27</v>
      </c>
      <c r="K3228" t="s">
        <v>4424</v>
      </c>
      <c r="L3228" t="s">
        <v>21</v>
      </c>
    </row>
    <row r="3229" spans="1:12">
      <c r="A3229" t="s">
        <v>4426</v>
      </c>
      <c r="B3229" t="s">
        <v>4395</v>
      </c>
      <c r="C3229" t="s">
        <v>14</v>
      </c>
      <c r="D3229">
        <v>1987</v>
      </c>
      <c r="E3229" t="s">
        <v>29</v>
      </c>
      <c r="F3229" t="s">
        <v>30</v>
      </c>
      <c r="G3229" t="s">
        <v>31</v>
      </c>
      <c r="H3229" t="s">
        <v>32</v>
      </c>
      <c r="I3229">
        <v>775.63245010000003</v>
      </c>
      <c r="J3229" t="s">
        <v>33</v>
      </c>
      <c r="K3229" t="s">
        <v>4424</v>
      </c>
      <c r="L3229" t="s">
        <v>21</v>
      </c>
    </row>
    <row r="3230" spans="1:12">
      <c r="A3230" t="s">
        <v>4427</v>
      </c>
      <c r="B3230" t="s">
        <v>4395</v>
      </c>
      <c r="C3230" t="s">
        <v>14</v>
      </c>
      <c r="D3230">
        <v>1992</v>
      </c>
      <c r="E3230" t="s">
        <v>15</v>
      </c>
      <c r="F3230" t="s">
        <v>16</v>
      </c>
      <c r="G3230" t="s">
        <v>17</v>
      </c>
      <c r="H3230" t="s">
        <v>18</v>
      </c>
      <c r="I3230">
        <v>55.726999999999997</v>
      </c>
      <c r="J3230" t="s">
        <v>19</v>
      </c>
      <c r="K3230" t="s">
        <v>4428</v>
      </c>
      <c r="L3230" t="s">
        <v>21</v>
      </c>
    </row>
    <row r="3231" spans="1:12">
      <c r="A3231" t="s">
        <v>4429</v>
      </c>
      <c r="B3231" t="s">
        <v>4395</v>
      </c>
      <c r="C3231" t="s">
        <v>14</v>
      </c>
      <c r="D3231">
        <v>1992</v>
      </c>
      <c r="E3231" t="s">
        <v>23</v>
      </c>
      <c r="F3231" t="s">
        <v>24</v>
      </c>
      <c r="G3231" t="s">
        <v>25</v>
      </c>
      <c r="H3231" t="s">
        <v>26</v>
      </c>
      <c r="I3231">
        <v>20326209</v>
      </c>
      <c r="J3231" t="s">
        <v>27</v>
      </c>
      <c r="K3231" t="s">
        <v>4428</v>
      </c>
      <c r="L3231" t="s">
        <v>21</v>
      </c>
    </row>
    <row r="3232" spans="1:12">
      <c r="A3232" t="s">
        <v>4430</v>
      </c>
      <c r="B3232" t="s">
        <v>4395</v>
      </c>
      <c r="C3232" t="s">
        <v>14</v>
      </c>
      <c r="D3232">
        <v>1992</v>
      </c>
      <c r="E3232" t="s">
        <v>29</v>
      </c>
      <c r="F3232" t="s">
        <v>30</v>
      </c>
      <c r="G3232" t="s">
        <v>31</v>
      </c>
      <c r="H3232" t="s">
        <v>32</v>
      </c>
      <c r="I3232">
        <v>897.74036039999999</v>
      </c>
      <c r="J3232" t="s">
        <v>33</v>
      </c>
      <c r="K3232" t="s">
        <v>4428</v>
      </c>
      <c r="L3232" t="s">
        <v>21</v>
      </c>
    </row>
    <row r="3233" spans="1:12">
      <c r="A3233" t="s">
        <v>4431</v>
      </c>
      <c r="B3233" t="s">
        <v>4395</v>
      </c>
      <c r="C3233" t="s">
        <v>14</v>
      </c>
      <c r="D3233">
        <v>1997</v>
      </c>
      <c r="E3233" t="s">
        <v>15</v>
      </c>
      <c r="F3233" t="s">
        <v>16</v>
      </c>
      <c r="G3233" t="s">
        <v>17</v>
      </c>
      <c r="H3233" t="s">
        <v>18</v>
      </c>
      <c r="I3233">
        <v>59.426000000000002</v>
      </c>
      <c r="J3233" t="s">
        <v>19</v>
      </c>
      <c r="K3233" t="s">
        <v>4432</v>
      </c>
      <c r="L3233" t="s">
        <v>21</v>
      </c>
    </row>
    <row r="3234" spans="1:12">
      <c r="A3234" t="s">
        <v>4433</v>
      </c>
      <c r="B3234" t="s">
        <v>4395</v>
      </c>
      <c r="C3234" t="s">
        <v>14</v>
      </c>
      <c r="D3234">
        <v>1997</v>
      </c>
      <c r="E3234" t="s">
        <v>23</v>
      </c>
      <c r="F3234" t="s">
        <v>24</v>
      </c>
      <c r="G3234" t="s">
        <v>25</v>
      </c>
      <c r="H3234" t="s">
        <v>26</v>
      </c>
      <c r="I3234">
        <v>23001113</v>
      </c>
      <c r="J3234" t="s">
        <v>27</v>
      </c>
      <c r="K3234" t="s">
        <v>4432</v>
      </c>
      <c r="L3234" t="s">
        <v>21</v>
      </c>
    </row>
    <row r="3235" spans="1:12">
      <c r="A3235" t="s">
        <v>4434</v>
      </c>
      <c r="B3235" t="s">
        <v>4395</v>
      </c>
      <c r="C3235" t="s">
        <v>14</v>
      </c>
      <c r="D3235">
        <v>1997</v>
      </c>
      <c r="E3235" t="s">
        <v>29</v>
      </c>
      <c r="F3235" t="s">
        <v>30</v>
      </c>
      <c r="G3235" t="s">
        <v>31</v>
      </c>
      <c r="H3235" t="s">
        <v>32</v>
      </c>
      <c r="I3235">
        <v>1010.892138</v>
      </c>
      <c r="J3235" t="s">
        <v>33</v>
      </c>
      <c r="K3235" t="s">
        <v>4432</v>
      </c>
      <c r="L3235" t="s">
        <v>21</v>
      </c>
    </row>
    <row r="3236" spans="1:12">
      <c r="A3236" t="s">
        <v>4435</v>
      </c>
      <c r="B3236" t="s">
        <v>4395</v>
      </c>
      <c r="C3236" t="s">
        <v>14</v>
      </c>
      <c r="D3236">
        <v>2002</v>
      </c>
      <c r="E3236" t="s">
        <v>15</v>
      </c>
      <c r="F3236" t="s">
        <v>16</v>
      </c>
      <c r="G3236" t="s">
        <v>17</v>
      </c>
      <c r="H3236" t="s">
        <v>18</v>
      </c>
      <c r="I3236">
        <v>61.34</v>
      </c>
      <c r="J3236" t="s">
        <v>19</v>
      </c>
      <c r="K3236" t="s">
        <v>4436</v>
      </c>
      <c r="L3236" t="s">
        <v>21</v>
      </c>
    </row>
    <row r="3237" spans="1:12">
      <c r="A3237" t="s">
        <v>4437</v>
      </c>
      <c r="B3237" t="s">
        <v>4395</v>
      </c>
      <c r="C3237" t="s">
        <v>14</v>
      </c>
      <c r="D3237">
        <v>2002</v>
      </c>
      <c r="E3237" t="s">
        <v>23</v>
      </c>
      <c r="F3237" t="s">
        <v>24</v>
      </c>
      <c r="G3237" t="s">
        <v>25</v>
      </c>
      <c r="H3237" t="s">
        <v>26</v>
      </c>
      <c r="I3237">
        <v>25873917</v>
      </c>
      <c r="J3237" t="s">
        <v>27</v>
      </c>
      <c r="K3237" t="s">
        <v>4436</v>
      </c>
      <c r="L3237" t="s">
        <v>21</v>
      </c>
    </row>
    <row r="3238" spans="1:12">
      <c r="A3238" t="s">
        <v>4438</v>
      </c>
      <c r="B3238" t="s">
        <v>4395</v>
      </c>
      <c r="C3238" t="s">
        <v>14</v>
      </c>
      <c r="D3238">
        <v>2002</v>
      </c>
      <c r="E3238" t="s">
        <v>29</v>
      </c>
      <c r="F3238" t="s">
        <v>30</v>
      </c>
      <c r="G3238" t="s">
        <v>31</v>
      </c>
      <c r="H3238" t="s">
        <v>32</v>
      </c>
      <c r="I3238">
        <v>1057.2063109999999</v>
      </c>
      <c r="J3238" t="s">
        <v>33</v>
      </c>
      <c r="K3238" t="s">
        <v>4436</v>
      </c>
      <c r="L3238" t="s">
        <v>21</v>
      </c>
    </row>
    <row r="3239" spans="1:12">
      <c r="A3239" t="s">
        <v>4439</v>
      </c>
      <c r="B3239" t="s">
        <v>4395</v>
      </c>
      <c r="C3239" t="s">
        <v>14</v>
      </c>
      <c r="D3239">
        <v>2007</v>
      </c>
      <c r="E3239" t="s">
        <v>15</v>
      </c>
      <c r="F3239" t="s">
        <v>16</v>
      </c>
      <c r="G3239" t="s">
        <v>17</v>
      </c>
      <c r="H3239" t="s">
        <v>18</v>
      </c>
      <c r="I3239">
        <v>63.784999999999997</v>
      </c>
      <c r="J3239" t="s">
        <v>19</v>
      </c>
      <c r="K3239" t="s">
        <v>4440</v>
      </c>
      <c r="L3239" t="s">
        <v>21</v>
      </c>
    </row>
    <row r="3240" spans="1:12">
      <c r="A3240" t="s">
        <v>4441</v>
      </c>
      <c r="B3240" t="s">
        <v>4395</v>
      </c>
      <c r="C3240" t="s">
        <v>14</v>
      </c>
      <c r="D3240">
        <v>2007</v>
      </c>
      <c r="E3240" t="s">
        <v>23</v>
      </c>
      <c r="F3240" t="s">
        <v>24</v>
      </c>
      <c r="G3240" t="s">
        <v>25</v>
      </c>
      <c r="H3240" t="s">
        <v>26</v>
      </c>
      <c r="I3240">
        <v>28901790</v>
      </c>
      <c r="J3240" t="s">
        <v>27</v>
      </c>
      <c r="K3240" t="s">
        <v>4440</v>
      </c>
      <c r="L3240" t="s">
        <v>21</v>
      </c>
    </row>
    <row r="3241" spans="1:12">
      <c r="A3241" t="s">
        <v>4442</v>
      </c>
      <c r="B3241" t="s">
        <v>4395</v>
      </c>
      <c r="C3241" t="s">
        <v>14</v>
      </c>
      <c r="D3241">
        <v>2007</v>
      </c>
      <c r="E3241" t="s">
        <v>29</v>
      </c>
      <c r="F3241" t="s">
        <v>30</v>
      </c>
      <c r="G3241" t="s">
        <v>31</v>
      </c>
      <c r="H3241" t="s">
        <v>32</v>
      </c>
      <c r="I3241">
        <v>1091.359778</v>
      </c>
      <c r="J3241" t="s">
        <v>33</v>
      </c>
      <c r="K3241" t="s">
        <v>4440</v>
      </c>
      <c r="L3241" t="s">
        <v>21</v>
      </c>
    </row>
    <row r="3242" spans="1:12">
      <c r="A3242" t="s">
        <v>4443</v>
      </c>
      <c r="B3242" t="s">
        <v>4444</v>
      </c>
      <c r="C3242" t="s">
        <v>80</v>
      </c>
      <c r="D3242">
        <v>1952</v>
      </c>
      <c r="E3242" t="s">
        <v>15</v>
      </c>
      <c r="F3242" t="s">
        <v>16</v>
      </c>
      <c r="G3242" t="s">
        <v>17</v>
      </c>
      <c r="H3242" t="s">
        <v>18</v>
      </c>
      <c r="I3242">
        <v>72.13</v>
      </c>
      <c r="J3242" t="s">
        <v>19</v>
      </c>
      <c r="K3242" t="s">
        <v>4445</v>
      </c>
      <c r="L3242" t="s">
        <v>21</v>
      </c>
    </row>
    <row r="3243" spans="1:12">
      <c r="A3243" t="s">
        <v>4446</v>
      </c>
      <c r="B3243" t="s">
        <v>4444</v>
      </c>
      <c r="C3243" t="s">
        <v>80</v>
      </c>
      <c r="D3243">
        <v>1952</v>
      </c>
      <c r="E3243" t="s">
        <v>23</v>
      </c>
      <c r="F3243" t="s">
        <v>24</v>
      </c>
      <c r="G3243" t="s">
        <v>25</v>
      </c>
      <c r="H3243" t="s">
        <v>26</v>
      </c>
      <c r="I3243">
        <v>10381988</v>
      </c>
      <c r="J3243" t="s">
        <v>27</v>
      </c>
      <c r="K3243" t="s">
        <v>4445</v>
      </c>
      <c r="L3243" t="s">
        <v>21</v>
      </c>
    </row>
    <row r="3244" spans="1:12">
      <c r="A3244" t="s">
        <v>4447</v>
      </c>
      <c r="B3244" t="s">
        <v>4444</v>
      </c>
      <c r="C3244" t="s">
        <v>80</v>
      </c>
      <c r="D3244">
        <v>1952</v>
      </c>
      <c r="E3244" t="s">
        <v>29</v>
      </c>
      <c r="F3244" t="s">
        <v>30</v>
      </c>
      <c r="G3244" t="s">
        <v>31</v>
      </c>
      <c r="H3244" t="s">
        <v>32</v>
      </c>
      <c r="I3244">
        <v>8941.5718579999993</v>
      </c>
      <c r="J3244" t="s">
        <v>33</v>
      </c>
      <c r="K3244" t="s">
        <v>4445</v>
      </c>
      <c r="L3244" t="s">
        <v>21</v>
      </c>
    </row>
    <row r="3245" spans="1:12">
      <c r="A3245" t="s">
        <v>4448</v>
      </c>
      <c r="B3245" t="s">
        <v>4444</v>
      </c>
      <c r="C3245" t="s">
        <v>80</v>
      </c>
      <c r="D3245">
        <v>1957</v>
      </c>
      <c r="E3245" t="s">
        <v>15</v>
      </c>
      <c r="F3245" t="s">
        <v>16</v>
      </c>
      <c r="G3245" t="s">
        <v>17</v>
      </c>
      <c r="H3245" t="s">
        <v>18</v>
      </c>
      <c r="I3245">
        <v>72.989999999999995</v>
      </c>
      <c r="J3245" t="s">
        <v>19</v>
      </c>
      <c r="K3245" t="s">
        <v>4449</v>
      </c>
      <c r="L3245" t="s">
        <v>21</v>
      </c>
    </row>
    <row r="3246" spans="1:12">
      <c r="A3246" t="s">
        <v>4450</v>
      </c>
      <c r="B3246" t="s">
        <v>4444</v>
      </c>
      <c r="C3246" t="s">
        <v>80</v>
      </c>
      <c r="D3246">
        <v>1957</v>
      </c>
      <c r="E3246" t="s">
        <v>23</v>
      </c>
      <c r="F3246" t="s">
        <v>24</v>
      </c>
      <c r="G3246" t="s">
        <v>25</v>
      </c>
      <c r="H3246" t="s">
        <v>26</v>
      </c>
      <c r="I3246">
        <v>11026383</v>
      </c>
      <c r="J3246" t="s">
        <v>27</v>
      </c>
      <c r="K3246" t="s">
        <v>4449</v>
      </c>
      <c r="L3246" t="s">
        <v>21</v>
      </c>
    </row>
    <row r="3247" spans="1:12">
      <c r="A3247" t="s">
        <v>4451</v>
      </c>
      <c r="B3247" t="s">
        <v>4444</v>
      </c>
      <c r="C3247" t="s">
        <v>80</v>
      </c>
      <c r="D3247">
        <v>1957</v>
      </c>
      <c r="E3247" t="s">
        <v>29</v>
      </c>
      <c r="F3247" t="s">
        <v>30</v>
      </c>
      <c r="G3247" t="s">
        <v>31</v>
      </c>
      <c r="H3247" t="s">
        <v>32</v>
      </c>
      <c r="I3247">
        <v>11276.193439999999</v>
      </c>
      <c r="J3247" t="s">
        <v>33</v>
      </c>
      <c r="K3247" t="s">
        <v>4449</v>
      </c>
      <c r="L3247" t="s">
        <v>21</v>
      </c>
    </row>
    <row r="3248" spans="1:12">
      <c r="A3248" t="s">
        <v>4452</v>
      </c>
      <c r="B3248" t="s">
        <v>4444</v>
      </c>
      <c r="C3248" t="s">
        <v>80</v>
      </c>
      <c r="D3248">
        <v>1962</v>
      </c>
      <c r="E3248" t="s">
        <v>15</v>
      </c>
      <c r="F3248" t="s">
        <v>16</v>
      </c>
      <c r="G3248" t="s">
        <v>17</v>
      </c>
      <c r="H3248" t="s">
        <v>18</v>
      </c>
      <c r="I3248">
        <v>73.23</v>
      </c>
      <c r="J3248" t="s">
        <v>19</v>
      </c>
      <c r="K3248" t="s">
        <v>4453</v>
      </c>
      <c r="L3248" t="s">
        <v>21</v>
      </c>
    </row>
    <row r="3249" spans="1:12">
      <c r="A3249" t="s">
        <v>4454</v>
      </c>
      <c r="B3249" t="s">
        <v>4444</v>
      </c>
      <c r="C3249" t="s">
        <v>80</v>
      </c>
      <c r="D3249">
        <v>1962</v>
      </c>
      <c r="E3249" t="s">
        <v>23</v>
      </c>
      <c r="F3249" t="s">
        <v>24</v>
      </c>
      <c r="G3249" t="s">
        <v>25</v>
      </c>
      <c r="H3249" t="s">
        <v>26</v>
      </c>
      <c r="I3249">
        <v>11805689</v>
      </c>
      <c r="J3249" t="s">
        <v>27</v>
      </c>
      <c r="K3249" t="s">
        <v>4453</v>
      </c>
      <c r="L3249" t="s">
        <v>21</v>
      </c>
    </row>
    <row r="3250" spans="1:12">
      <c r="A3250" t="s">
        <v>4455</v>
      </c>
      <c r="B3250" t="s">
        <v>4444</v>
      </c>
      <c r="C3250" t="s">
        <v>80</v>
      </c>
      <c r="D3250">
        <v>1962</v>
      </c>
      <c r="E3250" t="s">
        <v>29</v>
      </c>
      <c r="F3250" t="s">
        <v>30</v>
      </c>
      <c r="G3250" t="s">
        <v>31</v>
      </c>
      <c r="H3250" t="s">
        <v>32</v>
      </c>
      <c r="I3250">
        <v>12790.849560000001</v>
      </c>
      <c r="J3250" t="s">
        <v>33</v>
      </c>
      <c r="K3250" t="s">
        <v>4453</v>
      </c>
      <c r="L3250" t="s">
        <v>21</v>
      </c>
    </row>
    <row r="3251" spans="1:12">
      <c r="A3251" t="s">
        <v>4456</v>
      </c>
      <c r="B3251" t="s">
        <v>4444</v>
      </c>
      <c r="C3251" t="s">
        <v>80</v>
      </c>
      <c r="D3251">
        <v>1967</v>
      </c>
      <c r="E3251" t="s">
        <v>15</v>
      </c>
      <c r="F3251" t="s">
        <v>16</v>
      </c>
      <c r="G3251" t="s">
        <v>17</v>
      </c>
      <c r="H3251" t="s">
        <v>18</v>
      </c>
      <c r="I3251">
        <v>73.819999999999993</v>
      </c>
      <c r="J3251" t="s">
        <v>19</v>
      </c>
      <c r="K3251" t="s">
        <v>4457</v>
      </c>
      <c r="L3251" t="s">
        <v>21</v>
      </c>
    </row>
    <row r="3252" spans="1:12">
      <c r="A3252" t="s">
        <v>4458</v>
      </c>
      <c r="B3252" t="s">
        <v>4444</v>
      </c>
      <c r="C3252" t="s">
        <v>80</v>
      </c>
      <c r="D3252">
        <v>1967</v>
      </c>
      <c r="E3252" t="s">
        <v>23</v>
      </c>
      <c r="F3252" t="s">
        <v>24</v>
      </c>
      <c r="G3252" t="s">
        <v>25</v>
      </c>
      <c r="H3252" t="s">
        <v>26</v>
      </c>
      <c r="I3252">
        <v>12596822</v>
      </c>
      <c r="J3252" t="s">
        <v>27</v>
      </c>
      <c r="K3252" t="s">
        <v>4457</v>
      </c>
      <c r="L3252" t="s">
        <v>21</v>
      </c>
    </row>
    <row r="3253" spans="1:12">
      <c r="A3253" t="s">
        <v>4459</v>
      </c>
      <c r="B3253" t="s">
        <v>4444</v>
      </c>
      <c r="C3253" t="s">
        <v>80</v>
      </c>
      <c r="D3253">
        <v>1967</v>
      </c>
      <c r="E3253" t="s">
        <v>29</v>
      </c>
      <c r="F3253" t="s">
        <v>30</v>
      </c>
      <c r="G3253" t="s">
        <v>31</v>
      </c>
      <c r="H3253" t="s">
        <v>32</v>
      </c>
      <c r="I3253">
        <v>15363.25136</v>
      </c>
      <c r="J3253" t="s">
        <v>33</v>
      </c>
      <c r="K3253" t="s">
        <v>4457</v>
      </c>
      <c r="L3253" t="s">
        <v>21</v>
      </c>
    </row>
    <row r="3254" spans="1:12">
      <c r="A3254" t="s">
        <v>4460</v>
      </c>
      <c r="B3254" t="s">
        <v>4444</v>
      </c>
      <c r="C3254" t="s">
        <v>80</v>
      </c>
      <c r="D3254">
        <v>1972</v>
      </c>
      <c r="E3254" t="s">
        <v>15</v>
      </c>
      <c r="F3254" t="s">
        <v>16</v>
      </c>
      <c r="G3254" t="s">
        <v>17</v>
      </c>
      <c r="H3254" t="s">
        <v>18</v>
      </c>
      <c r="I3254">
        <v>73.75</v>
      </c>
      <c r="J3254" t="s">
        <v>19</v>
      </c>
      <c r="K3254" t="s">
        <v>4461</v>
      </c>
      <c r="L3254" t="s">
        <v>21</v>
      </c>
    </row>
    <row r="3255" spans="1:12">
      <c r="A3255" t="s">
        <v>4462</v>
      </c>
      <c r="B3255" t="s">
        <v>4444</v>
      </c>
      <c r="C3255" t="s">
        <v>80</v>
      </c>
      <c r="D3255">
        <v>1972</v>
      </c>
      <c r="E3255" t="s">
        <v>23</v>
      </c>
      <c r="F3255" t="s">
        <v>24</v>
      </c>
      <c r="G3255" t="s">
        <v>25</v>
      </c>
      <c r="H3255" t="s">
        <v>26</v>
      </c>
      <c r="I3255">
        <v>13329874</v>
      </c>
      <c r="J3255" t="s">
        <v>27</v>
      </c>
      <c r="K3255" t="s">
        <v>4461</v>
      </c>
      <c r="L3255" t="s">
        <v>21</v>
      </c>
    </row>
    <row r="3256" spans="1:12">
      <c r="A3256" t="s">
        <v>4463</v>
      </c>
      <c r="B3256" t="s">
        <v>4444</v>
      </c>
      <c r="C3256" t="s">
        <v>80</v>
      </c>
      <c r="D3256">
        <v>1972</v>
      </c>
      <c r="E3256" t="s">
        <v>29</v>
      </c>
      <c r="F3256" t="s">
        <v>30</v>
      </c>
      <c r="G3256" t="s">
        <v>31</v>
      </c>
      <c r="H3256" t="s">
        <v>32</v>
      </c>
      <c r="I3256">
        <v>18794.74567</v>
      </c>
      <c r="J3256" t="s">
        <v>33</v>
      </c>
      <c r="K3256" t="s">
        <v>4461</v>
      </c>
      <c r="L3256" t="s">
        <v>21</v>
      </c>
    </row>
    <row r="3257" spans="1:12">
      <c r="A3257" t="s">
        <v>4464</v>
      </c>
      <c r="B3257" t="s">
        <v>4444</v>
      </c>
      <c r="C3257" t="s">
        <v>80</v>
      </c>
      <c r="D3257">
        <v>1977</v>
      </c>
      <c r="E3257" t="s">
        <v>15</v>
      </c>
      <c r="F3257" t="s">
        <v>16</v>
      </c>
      <c r="G3257" t="s">
        <v>17</v>
      </c>
      <c r="H3257" t="s">
        <v>18</v>
      </c>
      <c r="I3257">
        <v>75.239999999999995</v>
      </c>
      <c r="J3257" t="s">
        <v>19</v>
      </c>
      <c r="K3257" t="s">
        <v>4465</v>
      </c>
      <c r="L3257" t="s">
        <v>21</v>
      </c>
    </row>
    <row r="3258" spans="1:12">
      <c r="A3258" t="s">
        <v>4466</v>
      </c>
      <c r="B3258" t="s">
        <v>4444</v>
      </c>
      <c r="C3258" t="s">
        <v>80</v>
      </c>
      <c r="D3258">
        <v>1977</v>
      </c>
      <c r="E3258" t="s">
        <v>23</v>
      </c>
      <c r="F3258" t="s">
        <v>24</v>
      </c>
      <c r="G3258" t="s">
        <v>25</v>
      </c>
      <c r="H3258" t="s">
        <v>26</v>
      </c>
      <c r="I3258">
        <v>13852989</v>
      </c>
      <c r="J3258" t="s">
        <v>27</v>
      </c>
      <c r="K3258" t="s">
        <v>4465</v>
      </c>
      <c r="L3258" t="s">
        <v>21</v>
      </c>
    </row>
    <row r="3259" spans="1:12">
      <c r="A3259" t="s">
        <v>4467</v>
      </c>
      <c r="B3259" t="s">
        <v>4444</v>
      </c>
      <c r="C3259" t="s">
        <v>80</v>
      </c>
      <c r="D3259">
        <v>1977</v>
      </c>
      <c r="E3259" t="s">
        <v>29</v>
      </c>
      <c r="F3259" t="s">
        <v>30</v>
      </c>
      <c r="G3259" t="s">
        <v>31</v>
      </c>
      <c r="H3259" t="s">
        <v>32</v>
      </c>
      <c r="I3259">
        <v>21209.0592</v>
      </c>
      <c r="J3259" t="s">
        <v>33</v>
      </c>
      <c r="K3259" t="s">
        <v>4465</v>
      </c>
      <c r="L3259" t="s">
        <v>21</v>
      </c>
    </row>
    <row r="3260" spans="1:12">
      <c r="A3260" t="s">
        <v>4468</v>
      </c>
      <c r="B3260" t="s">
        <v>4444</v>
      </c>
      <c r="C3260" t="s">
        <v>80</v>
      </c>
      <c r="D3260">
        <v>1982</v>
      </c>
      <c r="E3260" t="s">
        <v>15</v>
      </c>
      <c r="F3260" t="s">
        <v>16</v>
      </c>
      <c r="G3260" t="s">
        <v>17</v>
      </c>
      <c r="H3260" t="s">
        <v>18</v>
      </c>
      <c r="I3260">
        <v>76.05</v>
      </c>
      <c r="J3260" t="s">
        <v>19</v>
      </c>
      <c r="K3260" t="s">
        <v>4469</v>
      </c>
      <c r="L3260" t="s">
        <v>21</v>
      </c>
    </row>
    <row r="3261" spans="1:12">
      <c r="A3261" t="s">
        <v>4470</v>
      </c>
      <c r="B3261" t="s">
        <v>4444</v>
      </c>
      <c r="C3261" t="s">
        <v>80</v>
      </c>
      <c r="D3261">
        <v>1982</v>
      </c>
      <c r="E3261" t="s">
        <v>23</v>
      </c>
      <c r="F3261" t="s">
        <v>24</v>
      </c>
      <c r="G3261" t="s">
        <v>25</v>
      </c>
      <c r="H3261" t="s">
        <v>26</v>
      </c>
      <c r="I3261">
        <v>14310401</v>
      </c>
      <c r="J3261" t="s">
        <v>27</v>
      </c>
      <c r="K3261" t="s">
        <v>4469</v>
      </c>
      <c r="L3261" t="s">
        <v>21</v>
      </c>
    </row>
    <row r="3262" spans="1:12">
      <c r="A3262" t="s">
        <v>4471</v>
      </c>
      <c r="B3262" t="s">
        <v>4444</v>
      </c>
      <c r="C3262" t="s">
        <v>80</v>
      </c>
      <c r="D3262">
        <v>1982</v>
      </c>
      <c r="E3262" t="s">
        <v>29</v>
      </c>
      <c r="F3262" t="s">
        <v>30</v>
      </c>
      <c r="G3262" t="s">
        <v>31</v>
      </c>
      <c r="H3262" t="s">
        <v>32</v>
      </c>
      <c r="I3262">
        <v>21399.460459999998</v>
      </c>
      <c r="J3262" t="s">
        <v>33</v>
      </c>
      <c r="K3262" t="s">
        <v>4469</v>
      </c>
      <c r="L3262" t="s">
        <v>21</v>
      </c>
    </row>
    <row r="3263" spans="1:12">
      <c r="A3263" t="s">
        <v>4472</v>
      </c>
      <c r="B3263" t="s">
        <v>4444</v>
      </c>
      <c r="C3263" t="s">
        <v>80</v>
      </c>
      <c r="D3263">
        <v>1987</v>
      </c>
      <c r="E3263" t="s">
        <v>15</v>
      </c>
      <c r="F3263" t="s">
        <v>16</v>
      </c>
      <c r="G3263" t="s">
        <v>17</v>
      </c>
      <c r="H3263" t="s">
        <v>18</v>
      </c>
      <c r="I3263">
        <v>76.83</v>
      </c>
      <c r="J3263" t="s">
        <v>19</v>
      </c>
      <c r="K3263" t="s">
        <v>4473</v>
      </c>
      <c r="L3263" t="s">
        <v>21</v>
      </c>
    </row>
    <row r="3264" spans="1:12">
      <c r="A3264" t="s">
        <v>4474</v>
      </c>
      <c r="B3264" t="s">
        <v>4444</v>
      </c>
      <c r="C3264" t="s">
        <v>80</v>
      </c>
      <c r="D3264">
        <v>1987</v>
      </c>
      <c r="E3264" t="s">
        <v>23</v>
      </c>
      <c r="F3264" t="s">
        <v>24</v>
      </c>
      <c r="G3264" t="s">
        <v>25</v>
      </c>
      <c r="H3264" t="s">
        <v>26</v>
      </c>
      <c r="I3264">
        <v>14665278</v>
      </c>
      <c r="J3264" t="s">
        <v>27</v>
      </c>
      <c r="K3264" t="s">
        <v>4473</v>
      </c>
      <c r="L3264" t="s">
        <v>21</v>
      </c>
    </row>
    <row r="3265" spans="1:12">
      <c r="A3265" t="s">
        <v>4475</v>
      </c>
      <c r="B3265" t="s">
        <v>4444</v>
      </c>
      <c r="C3265" t="s">
        <v>80</v>
      </c>
      <c r="D3265">
        <v>1987</v>
      </c>
      <c r="E3265" t="s">
        <v>29</v>
      </c>
      <c r="F3265" t="s">
        <v>30</v>
      </c>
      <c r="G3265" t="s">
        <v>31</v>
      </c>
      <c r="H3265" t="s">
        <v>32</v>
      </c>
      <c r="I3265">
        <v>23651.323609999999</v>
      </c>
      <c r="J3265" t="s">
        <v>33</v>
      </c>
      <c r="K3265" t="s">
        <v>4473</v>
      </c>
      <c r="L3265" t="s">
        <v>21</v>
      </c>
    </row>
    <row r="3266" spans="1:12">
      <c r="A3266" t="s">
        <v>4476</v>
      </c>
      <c r="B3266" t="s">
        <v>4444</v>
      </c>
      <c r="C3266" t="s">
        <v>80</v>
      </c>
      <c r="D3266">
        <v>1992</v>
      </c>
      <c r="E3266" t="s">
        <v>15</v>
      </c>
      <c r="F3266" t="s">
        <v>16</v>
      </c>
      <c r="G3266" t="s">
        <v>17</v>
      </c>
      <c r="H3266" t="s">
        <v>18</v>
      </c>
      <c r="I3266">
        <v>77.42</v>
      </c>
      <c r="J3266" t="s">
        <v>19</v>
      </c>
      <c r="K3266" t="s">
        <v>4477</v>
      </c>
      <c r="L3266" t="s">
        <v>21</v>
      </c>
    </row>
    <row r="3267" spans="1:12">
      <c r="A3267" t="s">
        <v>4478</v>
      </c>
      <c r="B3267" t="s">
        <v>4444</v>
      </c>
      <c r="C3267" t="s">
        <v>80</v>
      </c>
      <c r="D3267">
        <v>1992</v>
      </c>
      <c r="E3267" t="s">
        <v>23</v>
      </c>
      <c r="F3267" t="s">
        <v>24</v>
      </c>
      <c r="G3267" t="s">
        <v>25</v>
      </c>
      <c r="H3267" t="s">
        <v>26</v>
      </c>
      <c r="I3267">
        <v>15174244</v>
      </c>
      <c r="J3267" t="s">
        <v>27</v>
      </c>
      <c r="K3267" t="s">
        <v>4477</v>
      </c>
      <c r="L3267" t="s">
        <v>21</v>
      </c>
    </row>
    <row r="3268" spans="1:12">
      <c r="A3268" t="s">
        <v>4479</v>
      </c>
      <c r="B3268" t="s">
        <v>4444</v>
      </c>
      <c r="C3268" t="s">
        <v>80</v>
      </c>
      <c r="D3268">
        <v>1992</v>
      </c>
      <c r="E3268" t="s">
        <v>29</v>
      </c>
      <c r="F3268" t="s">
        <v>30</v>
      </c>
      <c r="G3268" t="s">
        <v>31</v>
      </c>
      <c r="H3268" t="s">
        <v>32</v>
      </c>
      <c r="I3268">
        <v>26790.94961</v>
      </c>
      <c r="J3268" t="s">
        <v>33</v>
      </c>
      <c r="K3268" t="s">
        <v>4477</v>
      </c>
      <c r="L3268" t="s">
        <v>21</v>
      </c>
    </row>
    <row r="3269" spans="1:12">
      <c r="A3269" t="s">
        <v>4480</v>
      </c>
      <c r="B3269" t="s">
        <v>4444</v>
      </c>
      <c r="C3269" t="s">
        <v>80</v>
      </c>
      <c r="D3269">
        <v>1997</v>
      </c>
      <c r="E3269" t="s">
        <v>15</v>
      </c>
      <c r="F3269" t="s">
        <v>16</v>
      </c>
      <c r="G3269" t="s">
        <v>17</v>
      </c>
      <c r="H3269" t="s">
        <v>18</v>
      </c>
      <c r="I3269">
        <v>78.03</v>
      </c>
      <c r="J3269" t="s">
        <v>19</v>
      </c>
      <c r="K3269" t="s">
        <v>4481</v>
      </c>
      <c r="L3269" t="s">
        <v>21</v>
      </c>
    </row>
    <row r="3270" spans="1:12">
      <c r="A3270" t="s">
        <v>4482</v>
      </c>
      <c r="B3270" t="s">
        <v>4444</v>
      </c>
      <c r="C3270" t="s">
        <v>80</v>
      </c>
      <c r="D3270">
        <v>1997</v>
      </c>
      <c r="E3270" t="s">
        <v>23</v>
      </c>
      <c r="F3270" t="s">
        <v>24</v>
      </c>
      <c r="G3270" t="s">
        <v>25</v>
      </c>
      <c r="H3270" t="s">
        <v>26</v>
      </c>
      <c r="I3270">
        <v>15604464</v>
      </c>
      <c r="J3270" t="s">
        <v>27</v>
      </c>
      <c r="K3270" t="s">
        <v>4481</v>
      </c>
      <c r="L3270" t="s">
        <v>21</v>
      </c>
    </row>
    <row r="3271" spans="1:12">
      <c r="A3271" t="s">
        <v>4483</v>
      </c>
      <c r="B3271" t="s">
        <v>4444</v>
      </c>
      <c r="C3271" t="s">
        <v>80</v>
      </c>
      <c r="D3271">
        <v>1997</v>
      </c>
      <c r="E3271" t="s">
        <v>29</v>
      </c>
      <c r="F3271" t="s">
        <v>30</v>
      </c>
      <c r="G3271" t="s">
        <v>31</v>
      </c>
      <c r="H3271" t="s">
        <v>32</v>
      </c>
      <c r="I3271">
        <v>30246.13063</v>
      </c>
      <c r="J3271" t="s">
        <v>33</v>
      </c>
      <c r="K3271" t="s">
        <v>4481</v>
      </c>
      <c r="L3271" t="s">
        <v>21</v>
      </c>
    </row>
    <row r="3272" spans="1:12">
      <c r="A3272" t="s">
        <v>4484</v>
      </c>
      <c r="B3272" t="s">
        <v>4444</v>
      </c>
      <c r="C3272" t="s">
        <v>80</v>
      </c>
      <c r="D3272">
        <v>2002</v>
      </c>
      <c r="E3272" t="s">
        <v>15</v>
      </c>
      <c r="F3272" t="s">
        <v>16</v>
      </c>
      <c r="G3272" t="s">
        <v>17</v>
      </c>
      <c r="H3272" t="s">
        <v>18</v>
      </c>
      <c r="I3272">
        <v>78.53</v>
      </c>
      <c r="J3272" t="s">
        <v>19</v>
      </c>
      <c r="K3272" t="s">
        <v>4485</v>
      </c>
      <c r="L3272" t="s">
        <v>21</v>
      </c>
    </row>
    <row r="3273" spans="1:12">
      <c r="A3273" t="s">
        <v>4486</v>
      </c>
      <c r="B3273" t="s">
        <v>4444</v>
      </c>
      <c r="C3273" t="s">
        <v>80</v>
      </c>
      <c r="D3273">
        <v>2002</v>
      </c>
      <c r="E3273" t="s">
        <v>23</v>
      </c>
      <c r="F3273" t="s">
        <v>24</v>
      </c>
      <c r="G3273" t="s">
        <v>25</v>
      </c>
      <c r="H3273" t="s">
        <v>26</v>
      </c>
      <c r="I3273">
        <v>16122830</v>
      </c>
      <c r="J3273" t="s">
        <v>27</v>
      </c>
      <c r="K3273" t="s">
        <v>4485</v>
      </c>
      <c r="L3273" t="s">
        <v>21</v>
      </c>
    </row>
    <row r="3274" spans="1:12">
      <c r="A3274" t="s">
        <v>4487</v>
      </c>
      <c r="B3274" t="s">
        <v>4444</v>
      </c>
      <c r="C3274" t="s">
        <v>80</v>
      </c>
      <c r="D3274">
        <v>2002</v>
      </c>
      <c r="E3274" t="s">
        <v>29</v>
      </c>
      <c r="F3274" t="s">
        <v>30</v>
      </c>
      <c r="G3274" t="s">
        <v>31</v>
      </c>
      <c r="H3274" t="s">
        <v>32</v>
      </c>
      <c r="I3274">
        <v>33724.75778</v>
      </c>
      <c r="J3274" t="s">
        <v>33</v>
      </c>
      <c r="K3274" t="s">
        <v>4485</v>
      </c>
      <c r="L3274" t="s">
        <v>21</v>
      </c>
    </row>
    <row r="3275" spans="1:12">
      <c r="A3275" t="s">
        <v>4488</v>
      </c>
      <c r="B3275" t="s">
        <v>4444</v>
      </c>
      <c r="C3275" t="s">
        <v>80</v>
      </c>
      <c r="D3275">
        <v>2007</v>
      </c>
      <c r="E3275" t="s">
        <v>15</v>
      </c>
      <c r="F3275" t="s">
        <v>16</v>
      </c>
      <c r="G3275" t="s">
        <v>17</v>
      </c>
      <c r="H3275" t="s">
        <v>18</v>
      </c>
      <c r="I3275">
        <v>79.762</v>
      </c>
      <c r="J3275" t="s">
        <v>19</v>
      </c>
      <c r="K3275" t="s">
        <v>4489</v>
      </c>
      <c r="L3275" t="s">
        <v>21</v>
      </c>
    </row>
    <row r="3276" spans="1:12">
      <c r="A3276" t="s">
        <v>4490</v>
      </c>
      <c r="B3276" t="s">
        <v>4444</v>
      </c>
      <c r="C3276" t="s">
        <v>80</v>
      </c>
      <c r="D3276">
        <v>2007</v>
      </c>
      <c r="E3276" t="s">
        <v>23</v>
      </c>
      <c r="F3276" t="s">
        <v>24</v>
      </c>
      <c r="G3276" t="s">
        <v>25</v>
      </c>
      <c r="H3276" t="s">
        <v>26</v>
      </c>
      <c r="I3276">
        <v>16570613</v>
      </c>
      <c r="J3276" t="s">
        <v>27</v>
      </c>
      <c r="K3276" t="s">
        <v>4489</v>
      </c>
      <c r="L3276" t="s">
        <v>21</v>
      </c>
    </row>
    <row r="3277" spans="1:12">
      <c r="A3277" t="s">
        <v>4491</v>
      </c>
      <c r="B3277" t="s">
        <v>4444</v>
      </c>
      <c r="C3277" t="s">
        <v>80</v>
      </c>
      <c r="D3277">
        <v>2007</v>
      </c>
      <c r="E3277" t="s">
        <v>29</v>
      </c>
      <c r="F3277" t="s">
        <v>30</v>
      </c>
      <c r="G3277" t="s">
        <v>31</v>
      </c>
      <c r="H3277" t="s">
        <v>32</v>
      </c>
      <c r="I3277">
        <v>36797.933319999996</v>
      </c>
      <c r="J3277" t="s">
        <v>33</v>
      </c>
      <c r="K3277" t="s">
        <v>4489</v>
      </c>
      <c r="L3277" t="s">
        <v>21</v>
      </c>
    </row>
    <row r="3278" spans="1:12">
      <c r="A3278" t="s">
        <v>4492</v>
      </c>
      <c r="B3278" t="s">
        <v>4493</v>
      </c>
      <c r="C3278" t="s">
        <v>279</v>
      </c>
      <c r="D3278">
        <v>1952</v>
      </c>
      <c r="E3278" t="s">
        <v>15</v>
      </c>
      <c r="F3278" t="s">
        <v>16</v>
      </c>
      <c r="G3278" t="s">
        <v>17</v>
      </c>
      <c r="H3278" t="s">
        <v>18</v>
      </c>
      <c r="I3278">
        <v>69.39</v>
      </c>
      <c r="J3278" t="s">
        <v>19</v>
      </c>
      <c r="K3278" t="s">
        <v>4494</v>
      </c>
      <c r="L3278" t="s">
        <v>21</v>
      </c>
    </row>
    <row r="3279" spans="1:12">
      <c r="A3279" t="s">
        <v>4495</v>
      </c>
      <c r="B3279" t="s">
        <v>4493</v>
      </c>
      <c r="C3279" t="s">
        <v>279</v>
      </c>
      <c r="D3279">
        <v>1952</v>
      </c>
      <c r="E3279" t="s">
        <v>23</v>
      </c>
      <c r="F3279" t="s">
        <v>24</v>
      </c>
      <c r="G3279" t="s">
        <v>25</v>
      </c>
      <c r="H3279" t="s">
        <v>26</v>
      </c>
      <c r="I3279">
        <v>1994794</v>
      </c>
      <c r="J3279" t="s">
        <v>27</v>
      </c>
      <c r="K3279" t="s">
        <v>4494</v>
      </c>
      <c r="L3279" t="s">
        <v>21</v>
      </c>
    </row>
    <row r="3280" spans="1:12">
      <c r="A3280" t="s">
        <v>4496</v>
      </c>
      <c r="B3280" t="s">
        <v>4493</v>
      </c>
      <c r="C3280" t="s">
        <v>279</v>
      </c>
      <c r="D3280">
        <v>1952</v>
      </c>
      <c r="E3280" t="s">
        <v>29</v>
      </c>
      <c r="F3280" t="s">
        <v>30</v>
      </c>
      <c r="G3280" t="s">
        <v>31</v>
      </c>
      <c r="H3280" t="s">
        <v>32</v>
      </c>
      <c r="I3280">
        <v>10556.57566</v>
      </c>
      <c r="J3280" t="s">
        <v>33</v>
      </c>
      <c r="K3280" t="s">
        <v>4494</v>
      </c>
      <c r="L3280" t="s">
        <v>21</v>
      </c>
    </row>
    <row r="3281" spans="1:12">
      <c r="A3281" t="s">
        <v>4497</v>
      </c>
      <c r="B3281" t="s">
        <v>4493</v>
      </c>
      <c r="C3281" t="s">
        <v>279</v>
      </c>
      <c r="D3281">
        <v>1957</v>
      </c>
      <c r="E3281" t="s">
        <v>15</v>
      </c>
      <c r="F3281" t="s">
        <v>16</v>
      </c>
      <c r="G3281" t="s">
        <v>17</v>
      </c>
      <c r="H3281" t="s">
        <v>18</v>
      </c>
      <c r="I3281">
        <v>70.260000000000005</v>
      </c>
      <c r="J3281" t="s">
        <v>19</v>
      </c>
      <c r="K3281" t="s">
        <v>4498</v>
      </c>
      <c r="L3281" t="s">
        <v>21</v>
      </c>
    </row>
    <row r="3282" spans="1:12">
      <c r="A3282" t="s">
        <v>4499</v>
      </c>
      <c r="B3282" t="s">
        <v>4493</v>
      </c>
      <c r="C3282" t="s">
        <v>279</v>
      </c>
      <c r="D3282">
        <v>1957</v>
      </c>
      <c r="E3282" t="s">
        <v>23</v>
      </c>
      <c r="F3282" t="s">
        <v>24</v>
      </c>
      <c r="G3282" t="s">
        <v>25</v>
      </c>
      <c r="H3282" t="s">
        <v>26</v>
      </c>
      <c r="I3282">
        <v>2229407</v>
      </c>
      <c r="J3282" t="s">
        <v>27</v>
      </c>
      <c r="K3282" t="s">
        <v>4498</v>
      </c>
      <c r="L3282" t="s">
        <v>21</v>
      </c>
    </row>
    <row r="3283" spans="1:12">
      <c r="A3283" t="s">
        <v>4500</v>
      </c>
      <c r="B3283" t="s">
        <v>4493</v>
      </c>
      <c r="C3283" t="s">
        <v>279</v>
      </c>
      <c r="D3283">
        <v>1957</v>
      </c>
      <c r="E3283" t="s">
        <v>29</v>
      </c>
      <c r="F3283" t="s">
        <v>30</v>
      </c>
      <c r="G3283" t="s">
        <v>31</v>
      </c>
      <c r="H3283" t="s">
        <v>32</v>
      </c>
      <c r="I3283">
        <v>12247.39532</v>
      </c>
      <c r="J3283" t="s">
        <v>33</v>
      </c>
      <c r="K3283" t="s">
        <v>4498</v>
      </c>
      <c r="L3283" t="s">
        <v>21</v>
      </c>
    </row>
    <row r="3284" spans="1:12">
      <c r="A3284" t="s">
        <v>4501</v>
      </c>
      <c r="B3284" t="s">
        <v>4493</v>
      </c>
      <c r="C3284" t="s">
        <v>279</v>
      </c>
      <c r="D3284">
        <v>1962</v>
      </c>
      <c r="E3284" t="s">
        <v>15</v>
      </c>
      <c r="F3284" t="s">
        <v>16</v>
      </c>
      <c r="G3284" t="s">
        <v>17</v>
      </c>
      <c r="H3284" t="s">
        <v>18</v>
      </c>
      <c r="I3284">
        <v>71.239999999999995</v>
      </c>
      <c r="J3284" t="s">
        <v>19</v>
      </c>
      <c r="K3284" t="s">
        <v>4502</v>
      </c>
      <c r="L3284" t="s">
        <v>21</v>
      </c>
    </row>
    <row r="3285" spans="1:12">
      <c r="A3285" t="s">
        <v>4503</v>
      </c>
      <c r="B3285" t="s">
        <v>4493</v>
      </c>
      <c r="C3285" t="s">
        <v>279</v>
      </c>
      <c r="D3285">
        <v>1962</v>
      </c>
      <c r="E3285" t="s">
        <v>23</v>
      </c>
      <c r="F3285" t="s">
        <v>24</v>
      </c>
      <c r="G3285" t="s">
        <v>25</v>
      </c>
      <c r="H3285" t="s">
        <v>26</v>
      </c>
      <c r="I3285">
        <v>2488550</v>
      </c>
      <c r="J3285" t="s">
        <v>27</v>
      </c>
      <c r="K3285" t="s">
        <v>4502</v>
      </c>
      <c r="L3285" t="s">
        <v>21</v>
      </c>
    </row>
    <row r="3286" spans="1:12">
      <c r="A3286" t="s">
        <v>4504</v>
      </c>
      <c r="B3286" t="s">
        <v>4493</v>
      </c>
      <c r="C3286" t="s">
        <v>279</v>
      </c>
      <c r="D3286">
        <v>1962</v>
      </c>
      <c r="E3286" t="s">
        <v>29</v>
      </c>
      <c r="F3286" t="s">
        <v>30</v>
      </c>
      <c r="G3286" t="s">
        <v>31</v>
      </c>
      <c r="H3286" t="s">
        <v>32</v>
      </c>
      <c r="I3286">
        <v>13175.678</v>
      </c>
      <c r="J3286" t="s">
        <v>33</v>
      </c>
      <c r="K3286" t="s">
        <v>4502</v>
      </c>
      <c r="L3286" t="s">
        <v>21</v>
      </c>
    </row>
    <row r="3287" spans="1:12">
      <c r="A3287" t="s">
        <v>4505</v>
      </c>
      <c r="B3287" t="s">
        <v>4493</v>
      </c>
      <c r="C3287" t="s">
        <v>279</v>
      </c>
      <c r="D3287">
        <v>1967</v>
      </c>
      <c r="E3287" t="s">
        <v>15</v>
      </c>
      <c r="F3287" t="s">
        <v>16</v>
      </c>
      <c r="G3287" t="s">
        <v>17</v>
      </c>
      <c r="H3287" t="s">
        <v>18</v>
      </c>
      <c r="I3287">
        <v>71.52</v>
      </c>
      <c r="J3287" t="s">
        <v>19</v>
      </c>
      <c r="K3287" t="s">
        <v>4506</v>
      </c>
      <c r="L3287" t="s">
        <v>21</v>
      </c>
    </row>
    <row r="3288" spans="1:12">
      <c r="A3288" t="s">
        <v>4507</v>
      </c>
      <c r="B3288" t="s">
        <v>4493</v>
      </c>
      <c r="C3288" t="s">
        <v>279</v>
      </c>
      <c r="D3288">
        <v>1967</v>
      </c>
      <c r="E3288" t="s">
        <v>23</v>
      </c>
      <c r="F3288" t="s">
        <v>24</v>
      </c>
      <c r="G3288" t="s">
        <v>25</v>
      </c>
      <c r="H3288" t="s">
        <v>26</v>
      </c>
      <c r="I3288">
        <v>2728150</v>
      </c>
      <c r="J3288" t="s">
        <v>27</v>
      </c>
      <c r="K3288" t="s">
        <v>4506</v>
      </c>
      <c r="L3288" t="s">
        <v>21</v>
      </c>
    </row>
    <row r="3289" spans="1:12">
      <c r="A3289" t="s">
        <v>4508</v>
      </c>
      <c r="B3289" t="s">
        <v>4493</v>
      </c>
      <c r="C3289" t="s">
        <v>279</v>
      </c>
      <c r="D3289">
        <v>1967</v>
      </c>
      <c r="E3289" t="s">
        <v>29</v>
      </c>
      <c r="F3289" t="s">
        <v>30</v>
      </c>
      <c r="G3289" t="s">
        <v>31</v>
      </c>
      <c r="H3289" t="s">
        <v>32</v>
      </c>
      <c r="I3289">
        <v>14463.91893</v>
      </c>
      <c r="J3289" t="s">
        <v>33</v>
      </c>
      <c r="K3289" t="s">
        <v>4506</v>
      </c>
      <c r="L3289" t="s">
        <v>21</v>
      </c>
    </row>
    <row r="3290" spans="1:12">
      <c r="A3290" t="s">
        <v>4509</v>
      </c>
      <c r="B3290" t="s">
        <v>4493</v>
      </c>
      <c r="C3290" t="s">
        <v>279</v>
      </c>
      <c r="D3290">
        <v>1972</v>
      </c>
      <c r="E3290" t="s">
        <v>15</v>
      </c>
      <c r="F3290" t="s">
        <v>16</v>
      </c>
      <c r="G3290" t="s">
        <v>17</v>
      </c>
      <c r="H3290" t="s">
        <v>18</v>
      </c>
      <c r="I3290">
        <v>71.89</v>
      </c>
      <c r="J3290" t="s">
        <v>19</v>
      </c>
      <c r="K3290" t="s">
        <v>4510</v>
      </c>
      <c r="L3290" t="s">
        <v>21</v>
      </c>
    </row>
    <row r="3291" spans="1:12">
      <c r="A3291" t="s">
        <v>4511</v>
      </c>
      <c r="B3291" t="s">
        <v>4493</v>
      </c>
      <c r="C3291" t="s">
        <v>279</v>
      </c>
      <c r="D3291">
        <v>1972</v>
      </c>
      <c r="E3291" t="s">
        <v>23</v>
      </c>
      <c r="F3291" t="s">
        <v>24</v>
      </c>
      <c r="G3291" t="s">
        <v>25</v>
      </c>
      <c r="H3291" t="s">
        <v>26</v>
      </c>
      <c r="I3291">
        <v>2929100</v>
      </c>
      <c r="J3291" t="s">
        <v>27</v>
      </c>
      <c r="K3291" t="s">
        <v>4510</v>
      </c>
      <c r="L3291" t="s">
        <v>21</v>
      </c>
    </row>
    <row r="3292" spans="1:12">
      <c r="A3292" t="s">
        <v>4512</v>
      </c>
      <c r="B3292" t="s">
        <v>4493</v>
      </c>
      <c r="C3292" t="s">
        <v>279</v>
      </c>
      <c r="D3292">
        <v>1972</v>
      </c>
      <c r="E3292" t="s">
        <v>29</v>
      </c>
      <c r="F3292" t="s">
        <v>30</v>
      </c>
      <c r="G3292" t="s">
        <v>31</v>
      </c>
      <c r="H3292" t="s">
        <v>32</v>
      </c>
      <c r="I3292">
        <v>16046.03728</v>
      </c>
      <c r="J3292" t="s">
        <v>33</v>
      </c>
      <c r="K3292" t="s">
        <v>4510</v>
      </c>
      <c r="L3292" t="s">
        <v>21</v>
      </c>
    </row>
    <row r="3293" spans="1:12">
      <c r="A3293" t="s">
        <v>4513</v>
      </c>
      <c r="B3293" t="s">
        <v>4493</v>
      </c>
      <c r="C3293" t="s">
        <v>279</v>
      </c>
      <c r="D3293">
        <v>1977</v>
      </c>
      <c r="E3293" t="s">
        <v>15</v>
      </c>
      <c r="F3293" t="s">
        <v>16</v>
      </c>
      <c r="G3293" t="s">
        <v>17</v>
      </c>
      <c r="H3293" t="s">
        <v>18</v>
      </c>
      <c r="I3293">
        <v>72.22</v>
      </c>
      <c r="J3293" t="s">
        <v>19</v>
      </c>
      <c r="K3293" t="s">
        <v>4514</v>
      </c>
      <c r="L3293" t="s">
        <v>21</v>
      </c>
    </row>
    <row r="3294" spans="1:12">
      <c r="A3294" t="s">
        <v>4515</v>
      </c>
      <c r="B3294" t="s">
        <v>4493</v>
      </c>
      <c r="C3294" t="s">
        <v>279</v>
      </c>
      <c r="D3294">
        <v>1977</v>
      </c>
      <c r="E3294" t="s">
        <v>23</v>
      </c>
      <c r="F3294" t="s">
        <v>24</v>
      </c>
      <c r="G3294" t="s">
        <v>25</v>
      </c>
      <c r="H3294" t="s">
        <v>26</v>
      </c>
      <c r="I3294">
        <v>3164900</v>
      </c>
      <c r="J3294" t="s">
        <v>27</v>
      </c>
      <c r="K3294" t="s">
        <v>4514</v>
      </c>
      <c r="L3294" t="s">
        <v>21</v>
      </c>
    </row>
    <row r="3295" spans="1:12">
      <c r="A3295" t="s">
        <v>4516</v>
      </c>
      <c r="B3295" t="s">
        <v>4493</v>
      </c>
      <c r="C3295" t="s">
        <v>279</v>
      </c>
      <c r="D3295">
        <v>1977</v>
      </c>
      <c r="E3295" t="s">
        <v>29</v>
      </c>
      <c r="F3295" t="s">
        <v>30</v>
      </c>
      <c r="G3295" t="s">
        <v>31</v>
      </c>
      <c r="H3295" t="s">
        <v>32</v>
      </c>
      <c r="I3295">
        <v>16233.717699999999</v>
      </c>
      <c r="J3295" t="s">
        <v>33</v>
      </c>
      <c r="K3295" t="s">
        <v>4514</v>
      </c>
      <c r="L3295" t="s">
        <v>21</v>
      </c>
    </row>
    <row r="3296" spans="1:12">
      <c r="A3296" t="s">
        <v>4517</v>
      </c>
      <c r="B3296" t="s">
        <v>4493</v>
      </c>
      <c r="C3296" t="s">
        <v>279</v>
      </c>
      <c r="D3296">
        <v>1982</v>
      </c>
      <c r="E3296" t="s">
        <v>15</v>
      </c>
      <c r="F3296" t="s">
        <v>16</v>
      </c>
      <c r="G3296" t="s">
        <v>17</v>
      </c>
      <c r="H3296" t="s">
        <v>18</v>
      </c>
      <c r="I3296">
        <v>73.84</v>
      </c>
      <c r="J3296" t="s">
        <v>19</v>
      </c>
      <c r="K3296" t="s">
        <v>4518</v>
      </c>
      <c r="L3296" t="s">
        <v>21</v>
      </c>
    </row>
    <row r="3297" spans="1:12">
      <c r="A3297" t="s">
        <v>4519</v>
      </c>
      <c r="B3297" t="s">
        <v>4493</v>
      </c>
      <c r="C3297" t="s">
        <v>279</v>
      </c>
      <c r="D3297">
        <v>1982</v>
      </c>
      <c r="E3297" t="s">
        <v>23</v>
      </c>
      <c r="F3297" t="s">
        <v>24</v>
      </c>
      <c r="G3297" t="s">
        <v>25</v>
      </c>
      <c r="H3297" t="s">
        <v>26</v>
      </c>
      <c r="I3297">
        <v>3210650</v>
      </c>
      <c r="J3297" t="s">
        <v>27</v>
      </c>
      <c r="K3297" t="s">
        <v>4518</v>
      </c>
      <c r="L3297" t="s">
        <v>21</v>
      </c>
    </row>
    <row r="3298" spans="1:12">
      <c r="A3298" t="s">
        <v>4520</v>
      </c>
      <c r="B3298" t="s">
        <v>4493</v>
      </c>
      <c r="C3298" t="s">
        <v>279</v>
      </c>
      <c r="D3298">
        <v>1982</v>
      </c>
      <c r="E3298" t="s">
        <v>29</v>
      </c>
      <c r="F3298" t="s">
        <v>30</v>
      </c>
      <c r="G3298" t="s">
        <v>31</v>
      </c>
      <c r="H3298" t="s">
        <v>32</v>
      </c>
      <c r="I3298">
        <v>17632.410400000001</v>
      </c>
      <c r="J3298" t="s">
        <v>33</v>
      </c>
      <c r="K3298" t="s">
        <v>4518</v>
      </c>
      <c r="L3298" t="s">
        <v>21</v>
      </c>
    </row>
    <row r="3299" spans="1:12">
      <c r="A3299" t="s">
        <v>4521</v>
      </c>
      <c r="B3299" t="s">
        <v>4493</v>
      </c>
      <c r="C3299" t="s">
        <v>279</v>
      </c>
      <c r="D3299">
        <v>1987</v>
      </c>
      <c r="E3299" t="s">
        <v>15</v>
      </c>
      <c r="F3299" t="s">
        <v>16</v>
      </c>
      <c r="G3299" t="s">
        <v>17</v>
      </c>
      <c r="H3299" t="s">
        <v>18</v>
      </c>
      <c r="I3299">
        <v>74.319999999999993</v>
      </c>
      <c r="J3299" t="s">
        <v>19</v>
      </c>
      <c r="K3299" t="s">
        <v>4522</v>
      </c>
      <c r="L3299" t="s">
        <v>21</v>
      </c>
    </row>
    <row r="3300" spans="1:12">
      <c r="A3300" t="s">
        <v>4523</v>
      </c>
      <c r="B3300" t="s">
        <v>4493</v>
      </c>
      <c r="C3300" t="s">
        <v>279</v>
      </c>
      <c r="D3300">
        <v>1987</v>
      </c>
      <c r="E3300" t="s">
        <v>23</v>
      </c>
      <c r="F3300" t="s">
        <v>24</v>
      </c>
      <c r="G3300" t="s">
        <v>25</v>
      </c>
      <c r="H3300" t="s">
        <v>26</v>
      </c>
      <c r="I3300">
        <v>3317166</v>
      </c>
      <c r="J3300" t="s">
        <v>27</v>
      </c>
      <c r="K3300" t="s">
        <v>4522</v>
      </c>
      <c r="L3300" t="s">
        <v>21</v>
      </c>
    </row>
    <row r="3301" spans="1:12">
      <c r="A3301" t="s">
        <v>4524</v>
      </c>
      <c r="B3301" t="s">
        <v>4493</v>
      </c>
      <c r="C3301" t="s">
        <v>279</v>
      </c>
      <c r="D3301">
        <v>1987</v>
      </c>
      <c r="E3301" t="s">
        <v>29</v>
      </c>
      <c r="F3301" t="s">
        <v>30</v>
      </c>
      <c r="G3301" t="s">
        <v>31</v>
      </c>
      <c r="H3301" t="s">
        <v>32</v>
      </c>
      <c r="I3301">
        <v>19007.191289999999</v>
      </c>
      <c r="J3301" t="s">
        <v>33</v>
      </c>
      <c r="K3301" t="s">
        <v>4522</v>
      </c>
      <c r="L3301" t="s">
        <v>21</v>
      </c>
    </row>
    <row r="3302" spans="1:12">
      <c r="A3302" t="s">
        <v>4525</v>
      </c>
      <c r="B3302" t="s">
        <v>4493</v>
      </c>
      <c r="C3302" t="s">
        <v>279</v>
      </c>
      <c r="D3302">
        <v>1992</v>
      </c>
      <c r="E3302" t="s">
        <v>15</v>
      </c>
      <c r="F3302" t="s">
        <v>16</v>
      </c>
      <c r="G3302" t="s">
        <v>17</v>
      </c>
      <c r="H3302" t="s">
        <v>18</v>
      </c>
      <c r="I3302">
        <v>76.33</v>
      </c>
      <c r="J3302" t="s">
        <v>19</v>
      </c>
      <c r="K3302" t="s">
        <v>4526</v>
      </c>
      <c r="L3302" t="s">
        <v>21</v>
      </c>
    </row>
    <row r="3303" spans="1:12">
      <c r="A3303" t="s">
        <v>4527</v>
      </c>
      <c r="B3303" t="s">
        <v>4493</v>
      </c>
      <c r="C3303" t="s">
        <v>279</v>
      </c>
      <c r="D3303">
        <v>1992</v>
      </c>
      <c r="E3303" t="s">
        <v>23</v>
      </c>
      <c r="F3303" t="s">
        <v>24</v>
      </c>
      <c r="G3303" t="s">
        <v>25</v>
      </c>
      <c r="H3303" t="s">
        <v>26</v>
      </c>
      <c r="I3303">
        <v>3437674</v>
      </c>
      <c r="J3303" t="s">
        <v>27</v>
      </c>
      <c r="K3303" t="s">
        <v>4526</v>
      </c>
      <c r="L3303" t="s">
        <v>21</v>
      </c>
    </row>
    <row r="3304" spans="1:12">
      <c r="A3304" t="s">
        <v>4528</v>
      </c>
      <c r="B3304" t="s">
        <v>4493</v>
      </c>
      <c r="C3304" t="s">
        <v>279</v>
      </c>
      <c r="D3304">
        <v>1992</v>
      </c>
      <c r="E3304" t="s">
        <v>29</v>
      </c>
      <c r="F3304" t="s">
        <v>30</v>
      </c>
      <c r="G3304" t="s">
        <v>31</v>
      </c>
      <c r="H3304" t="s">
        <v>32</v>
      </c>
      <c r="I3304">
        <v>18363.324939999999</v>
      </c>
      <c r="J3304" t="s">
        <v>33</v>
      </c>
      <c r="K3304" t="s">
        <v>4526</v>
      </c>
      <c r="L3304" t="s">
        <v>21</v>
      </c>
    </row>
    <row r="3305" spans="1:12">
      <c r="A3305" t="s">
        <v>4529</v>
      </c>
      <c r="B3305" t="s">
        <v>4493</v>
      </c>
      <c r="C3305" t="s">
        <v>279</v>
      </c>
      <c r="D3305">
        <v>1997</v>
      </c>
      <c r="E3305" t="s">
        <v>15</v>
      </c>
      <c r="F3305" t="s">
        <v>16</v>
      </c>
      <c r="G3305" t="s">
        <v>17</v>
      </c>
      <c r="H3305" t="s">
        <v>18</v>
      </c>
      <c r="I3305">
        <v>77.55</v>
      </c>
      <c r="J3305" t="s">
        <v>19</v>
      </c>
      <c r="K3305" t="s">
        <v>4530</v>
      </c>
      <c r="L3305" t="s">
        <v>21</v>
      </c>
    </row>
    <row r="3306" spans="1:12">
      <c r="A3306" t="s">
        <v>4531</v>
      </c>
      <c r="B3306" t="s">
        <v>4493</v>
      </c>
      <c r="C3306" t="s">
        <v>279</v>
      </c>
      <c r="D3306">
        <v>1997</v>
      </c>
      <c r="E3306" t="s">
        <v>23</v>
      </c>
      <c r="F3306" t="s">
        <v>24</v>
      </c>
      <c r="G3306" t="s">
        <v>25</v>
      </c>
      <c r="H3306" t="s">
        <v>26</v>
      </c>
      <c r="I3306">
        <v>3676187</v>
      </c>
      <c r="J3306" t="s">
        <v>27</v>
      </c>
      <c r="K3306" t="s">
        <v>4530</v>
      </c>
      <c r="L3306" t="s">
        <v>21</v>
      </c>
    </row>
    <row r="3307" spans="1:12">
      <c r="A3307" t="s">
        <v>4532</v>
      </c>
      <c r="B3307" t="s">
        <v>4493</v>
      </c>
      <c r="C3307" t="s">
        <v>279</v>
      </c>
      <c r="D3307">
        <v>1997</v>
      </c>
      <c r="E3307" t="s">
        <v>29</v>
      </c>
      <c r="F3307" t="s">
        <v>30</v>
      </c>
      <c r="G3307" t="s">
        <v>31</v>
      </c>
      <c r="H3307" t="s">
        <v>32</v>
      </c>
      <c r="I3307">
        <v>21050.413769999999</v>
      </c>
      <c r="J3307" t="s">
        <v>33</v>
      </c>
      <c r="K3307" t="s">
        <v>4530</v>
      </c>
      <c r="L3307" t="s">
        <v>21</v>
      </c>
    </row>
    <row r="3308" spans="1:12">
      <c r="A3308" t="s">
        <v>4533</v>
      </c>
      <c r="B3308" t="s">
        <v>4493</v>
      </c>
      <c r="C3308" t="s">
        <v>279</v>
      </c>
      <c r="D3308">
        <v>2002</v>
      </c>
      <c r="E3308" t="s">
        <v>15</v>
      </c>
      <c r="F3308" t="s">
        <v>16</v>
      </c>
      <c r="G3308" t="s">
        <v>17</v>
      </c>
      <c r="H3308" t="s">
        <v>18</v>
      </c>
      <c r="I3308">
        <v>79.11</v>
      </c>
      <c r="J3308" t="s">
        <v>19</v>
      </c>
      <c r="K3308" t="s">
        <v>4534</v>
      </c>
      <c r="L3308" t="s">
        <v>21</v>
      </c>
    </row>
    <row r="3309" spans="1:12">
      <c r="A3309" t="s">
        <v>4535</v>
      </c>
      <c r="B3309" t="s">
        <v>4493</v>
      </c>
      <c r="C3309" t="s">
        <v>279</v>
      </c>
      <c r="D3309">
        <v>2002</v>
      </c>
      <c r="E3309" t="s">
        <v>23</v>
      </c>
      <c r="F3309" t="s">
        <v>24</v>
      </c>
      <c r="G3309" t="s">
        <v>25</v>
      </c>
      <c r="H3309" t="s">
        <v>26</v>
      </c>
      <c r="I3309">
        <v>3908037</v>
      </c>
      <c r="J3309" t="s">
        <v>27</v>
      </c>
      <c r="K3309" t="s">
        <v>4534</v>
      </c>
      <c r="L3309" t="s">
        <v>21</v>
      </c>
    </row>
    <row r="3310" spans="1:12">
      <c r="A3310" t="s">
        <v>4536</v>
      </c>
      <c r="B3310" t="s">
        <v>4493</v>
      </c>
      <c r="C3310" t="s">
        <v>279</v>
      </c>
      <c r="D3310">
        <v>2002</v>
      </c>
      <c r="E3310" t="s">
        <v>29</v>
      </c>
      <c r="F3310" t="s">
        <v>30</v>
      </c>
      <c r="G3310" t="s">
        <v>31</v>
      </c>
      <c r="H3310" t="s">
        <v>32</v>
      </c>
      <c r="I3310">
        <v>23189.801350000002</v>
      </c>
      <c r="J3310" t="s">
        <v>33</v>
      </c>
      <c r="K3310" t="s">
        <v>4534</v>
      </c>
      <c r="L3310" t="s">
        <v>21</v>
      </c>
    </row>
    <row r="3311" spans="1:12">
      <c r="A3311" t="s">
        <v>4537</v>
      </c>
      <c r="B3311" t="s">
        <v>4493</v>
      </c>
      <c r="C3311" t="s">
        <v>279</v>
      </c>
      <c r="D3311">
        <v>2007</v>
      </c>
      <c r="E3311" t="s">
        <v>15</v>
      </c>
      <c r="F3311" t="s">
        <v>16</v>
      </c>
      <c r="G3311" t="s">
        <v>17</v>
      </c>
      <c r="H3311" t="s">
        <v>18</v>
      </c>
      <c r="I3311">
        <v>80.203999999999994</v>
      </c>
      <c r="J3311" t="s">
        <v>19</v>
      </c>
      <c r="K3311" t="s">
        <v>4538</v>
      </c>
      <c r="L3311" t="s">
        <v>21</v>
      </c>
    </row>
    <row r="3312" spans="1:12">
      <c r="A3312" t="s">
        <v>4539</v>
      </c>
      <c r="B3312" t="s">
        <v>4493</v>
      </c>
      <c r="C3312" t="s">
        <v>279</v>
      </c>
      <c r="D3312">
        <v>2007</v>
      </c>
      <c r="E3312" t="s">
        <v>23</v>
      </c>
      <c r="F3312" t="s">
        <v>24</v>
      </c>
      <c r="G3312" t="s">
        <v>25</v>
      </c>
      <c r="H3312" t="s">
        <v>26</v>
      </c>
      <c r="I3312">
        <v>4115771</v>
      </c>
      <c r="J3312" t="s">
        <v>27</v>
      </c>
      <c r="K3312" t="s">
        <v>4538</v>
      </c>
      <c r="L3312" t="s">
        <v>21</v>
      </c>
    </row>
    <row r="3313" spans="1:12">
      <c r="A3313" t="s">
        <v>4540</v>
      </c>
      <c r="B3313" t="s">
        <v>4493</v>
      </c>
      <c r="C3313" t="s">
        <v>279</v>
      </c>
      <c r="D3313">
        <v>2007</v>
      </c>
      <c r="E3313" t="s">
        <v>29</v>
      </c>
      <c r="F3313" t="s">
        <v>30</v>
      </c>
      <c r="G3313" t="s">
        <v>31</v>
      </c>
      <c r="H3313" t="s">
        <v>32</v>
      </c>
      <c r="I3313">
        <v>25185.009109999999</v>
      </c>
      <c r="J3313" t="s">
        <v>33</v>
      </c>
      <c r="K3313" t="s">
        <v>4538</v>
      </c>
      <c r="L3313" t="s">
        <v>21</v>
      </c>
    </row>
    <row r="3314" spans="1:12">
      <c r="A3314" t="s">
        <v>4541</v>
      </c>
      <c r="B3314" t="s">
        <v>4542</v>
      </c>
      <c r="C3314" t="s">
        <v>229</v>
      </c>
      <c r="D3314">
        <v>1952</v>
      </c>
      <c r="E3314" t="s">
        <v>15</v>
      </c>
      <c r="F3314" t="s">
        <v>16</v>
      </c>
      <c r="G3314" t="s">
        <v>17</v>
      </c>
      <c r="H3314" t="s">
        <v>18</v>
      </c>
      <c r="I3314">
        <v>42.313999999999901</v>
      </c>
      <c r="J3314" t="s">
        <v>19</v>
      </c>
      <c r="K3314" t="s">
        <v>4543</v>
      </c>
      <c r="L3314" t="s">
        <v>21</v>
      </c>
    </row>
    <row r="3315" spans="1:12">
      <c r="A3315" t="s">
        <v>4544</v>
      </c>
      <c r="B3315" t="s">
        <v>4542</v>
      </c>
      <c r="C3315" t="s">
        <v>229</v>
      </c>
      <c r="D3315">
        <v>1952</v>
      </c>
      <c r="E3315" t="s">
        <v>23</v>
      </c>
      <c r="F3315" t="s">
        <v>24</v>
      </c>
      <c r="G3315" t="s">
        <v>25</v>
      </c>
      <c r="H3315" t="s">
        <v>26</v>
      </c>
      <c r="I3315">
        <v>1165790</v>
      </c>
      <c r="J3315" t="s">
        <v>27</v>
      </c>
      <c r="K3315" t="s">
        <v>4543</v>
      </c>
      <c r="L3315" t="s">
        <v>21</v>
      </c>
    </row>
    <row r="3316" spans="1:12">
      <c r="A3316" t="s">
        <v>4545</v>
      </c>
      <c r="B3316" t="s">
        <v>4542</v>
      </c>
      <c r="C3316" t="s">
        <v>229</v>
      </c>
      <c r="D3316">
        <v>1952</v>
      </c>
      <c r="E3316" t="s">
        <v>29</v>
      </c>
      <c r="F3316" t="s">
        <v>30</v>
      </c>
      <c r="G3316" t="s">
        <v>31</v>
      </c>
      <c r="H3316" t="s">
        <v>32</v>
      </c>
      <c r="I3316">
        <v>3112.3639480000002</v>
      </c>
      <c r="J3316" t="s">
        <v>33</v>
      </c>
      <c r="K3316" t="s">
        <v>4543</v>
      </c>
      <c r="L3316" t="s">
        <v>21</v>
      </c>
    </row>
    <row r="3317" spans="1:12">
      <c r="A3317" t="s">
        <v>4546</v>
      </c>
      <c r="B3317" t="s">
        <v>4542</v>
      </c>
      <c r="C3317" t="s">
        <v>229</v>
      </c>
      <c r="D3317">
        <v>1957</v>
      </c>
      <c r="E3317" t="s">
        <v>15</v>
      </c>
      <c r="F3317" t="s">
        <v>16</v>
      </c>
      <c r="G3317" t="s">
        <v>17</v>
      </c>
      <c r="H3317" t="s">
        <v>18</v>
      </c>
      <c r="I3317">
        <v>45.432000000000002</v>
      </c>
      <c r="J3317" t="s">
        <v>19</v>
      </c>
      <c r="K3317" t="s">
        <v>4547</v>
      </c>
      <c r="L3317" t="s">
        <v>21</v>
      </c>
    </row>
    <row r="3318" spans="1:12">
      <c r="A3318" t="s">
        <v>4548</v>
      </c>
      <c r="B3318" t="s">
        <v>4542</v>
      </c>
      <c r="C3318" t="s">
        <v>229</v>
      </c>
      <c r="D3318">
        <v>1957</v>
      </c>
      <c r="E3318" t="s">
        <v>23</v>
      </c>
      <c r="F3318" t="s">
        <v>24</v>
      </c>
      <c r="G3318" t="s">
        <v>25</v>
      </c>
      <c r="H3318" t="s">
        <v>26</v>
      </c>
      <c r="I3318">
        <v>1358828</v>
      </c>
      <c r="J3318" t="s">
        <v>27</v>
      </c>
      <c r="K3318" t="s">
        <v>4547</v>
      </c>
      <c r="L3318" t="s">
        <v>21</v>
      </c>
    </row>
    <row r="3319" spans="1:12">
      <c r="A3319" t="s">
        <v>4549</v>
      </c>
      <c r="B3319" t="s">
        <v>4542</v>
      </c>
      <c r="C3319" t="s">
        <v>229</v>
      </c>
      <c r="D3319">
        <v>1957</v>
      </c>
      <c r="E3319" t="s">
        <v>29</v>
      </c>
      <c r="F3319" t="s">
        <v>30</v>
      </c>
      <c r="G3319" t="s">
        <v>31</v>
      </c>
      <c r="H3319" t="s">
        <v>32</v>
      </c>
      <c r="I3319">
        <v>3457.415947</v>
      </c>
      <c r="J3319" t="s">
        <v>33</v>
      </c>
      <c r="K3319" t="s">
        <v>4547</v>
      </c>
      <c r="L3319" t="s">
        <v>21</v>
      </c>
    </row>
    <row r="3320" spans="1:12">
      <c r="A3320" t="s">
        <v>4550</v>
      </c>
      <c r="B3320" t="s">
        <v>4542</v>
      </c>
      <c r="C3320" t="s">
        <v>229</v>
      </c>
      <c r="D3320">
        <v>1962</v>
      </c>
      <c r="E3320" t="s">
        <v>15</v>
      </c>
      <c r="F3320" t="s">
        <v>16</v>
      </c>
      <c r="G3320" t="s">
        <v>17</v>
      </c>
      <c r="H3320" t="s">
        <v>18</v>
      </c>
      <c r="I3320">
        <v>48.631999999999998</v>
      </c>
      <c r="J3320" t="s">
        <v>19</v>
      </c>
      <c r="K3320" t="s">
        <v>4551</v>
      </c>
      <c r="L3320" t="s">
        <v>21</v>
      </c>
    </row>
    <row r="3321" spans="1:12">
      <c r="A3321" t="s">
        <v>4552</v>
      </c>
      <c r="B3321" t="s">
        <v>4542</v>
      </c>
      <c r="C3321" t="s">
        <v>229</v>
      </c>
      <c r="D3321">
        <v>1962</v>
      </c>
      <c r="E3321" t="s">
        <v>23</v>
      </c>
      <c r="F3321" t="s">
        <v>24</v>
      </c>
      <c r="G3321" t="s">
        <v>25</v>
      </c>
      <c r="H3321" t="s">
        <v>26</v>
      </c>
      <c r="I3321">
        <v>1590597</v>
      </c>
      <c r="J3321" t="s">
        <v>27</v>
      </c>
      <c r="K3321" t="s">
        <v>4551</v>
      </c>
      <c r="L3321" t="s">
        <v>21</v>
      </c>
    </row>
    <row r="3322" spans="1:12">
      <c r="A3322" t="s">
        <v>4553</v>
      </c>
      <c r="B3322" t="s">
        <v>4542</v>
      </c>
      <c r="C3322" t="s">
        <v>229</v>
      </c>
      <c r="D3322">
        <v>1962</v>
      </c>
      <c r="E3322" t="s">
        <v>29</v>
      </c>
      <c r="F3322" t="s">
        <v>30</v>
      </c>
      <c r="G3322" t="s">
        <v>31</v>
      </c>
      <c r="H3322" t="s">
        <v>32</v>
      </c>
      <c r="I3322">
        <v>3634.3644060000001</v>
      </c>
      <c r="J3322" t="s">
        <v>33</v>
      </c>
      <c r="K3322" t="s">
        <v>4551</v>
      </c>
      <c r="L3322" t="s">
        <v>21</v>
      </c>
    </row>
    <row r="3323" spans="1:12">
      <c r="A3323" t="s">
        <v>4554</v>
      </c>
      <c r="B3323" t="s">
        <v>4542</v>
      </c>
      <c r="C3323" t="s">
        <v>229</v>
      </c>
      <c r="D3323">
        <v>1967</v>
      </c>
      <c r="E3323" t="s">
        <v>15</v>
      </c>
      <c r="F3323" t="s">
        <v>16</v>
      </c>
      <c r="G3323" t="s">
        <v>17</v>
      </c>
      <c r="H3323" t="s">
        <v>18</v>
      </c>
      <c r="I3323">
        <v>51.883999999999901</v>
      </c>
      <c r="J3323" t="s">
        <v>19</v>
      </c>
      <c r="K3323" t="s">
        <v>4555</v>
      </c>
      <c r="L3323" t="s">
        <v>21</v>
      </c>
    </row>
    <row r="3324" spans="1:12">
      <c r="A3324" t="s">
        <v>4556</v>
      </c>
      <c r="B3324" t="s">
        <v>4542</v>
      </c>
      <c r="C3324" t="s">
        <v>229</v>
      </c>
      <c r="D3324">
        <v>1967</v>
      </c>
      <c r="E3324" t="s">
        <v>23</v>
      </c>
      <c r="F3324" t="s">
        <v>24</v>
      </c>
      <c r="G3324" t="s">
        <v>25</v>
      </c>
      <c r="H3324" t="s">
        <v>26</v>
      </c>
      <c r="I3324">
        <v>1865490</v>
      </c>
      <c r="J3324" t="s">
        <v>27</v>
      </c>
      <c r="K3324" t="s">
        <v>4555</v>
      </c>
      <c r="L3324" t="s">
        <v>21</v>
      </c>
    </row>
    <row r="3325" spans="1:12">
      <c r="A3325" t="s">
        <v>4557</v>
      </c>
      <c r="B3325" t="s">
        <v>4542</v>
      </c>
      <c r="C3325" t="s">
        <v>229</v>
      </c>
      <c r="D3325">
        <v>1967</v>
      </c>
      <c r="E3325" t="s">
        <v>29</v>
      </c>
      <c r="F3325" t="s">
        <v>30</v>
      </c>
      <c r="G3325" t="s">
        <v>31</v>
      </c>
      <c r="H3325" t="s">
        <v>32</v>
      </c>
      <c r="I3325">
        <v>4643.3935339999998</v>
      </c>
      <c r="J3325" t="s">
        <v>33</v>
      </c>
      <c r="K3325" t="s">
        <v>4555</v>
      </c>
      <c r="L3325" t="s">
        <v>21</v>
      </c>
    </row>
    <row r="3326" spans="1:12">
      <c r="A3326" t="s">
        <v>4558</v>
      </c>
      <c r="B3326" t="s">
        <v>4542</v>
      </c>
      <c r="C3326" t="s">
        <v>229</v>
      </c>
      <c r="D3326">
        <v>1972</v>
      </c>
      <c r="E3326" t="s">
        <v>15</v>
      </c>
      <c r="F3326" t="s">
        <v>16</v>
      </c>
      <c r="G3326" t="s">
        <v>17</v>
      </c>
      <c r="H3326" t="s">
        <v>18</v>
      </c>
      <c r="I3326">
        <v>55.151000000000003</v>
      </c>
      <c r="J3326" t="s">
        <v>19</v>
      </c>
      <c r="K3326" t="s">
        <v>4559</v>
      </c>
      <c r="L3326" t="s">
        <v>21</v>
      </c>
    </row>
    <row r="3327" spans="1:12">
      <c r="A3327" t="s">
        <v>4560</v>
      </c>
      <c r="B3327" t="s">
        <v>4542</v>
      </c>
      <c r="C3327" t="s">
        <v>229</v>
      </c>
      <c r="D3327">
        <v>1972</v>
      </c>
      <c r="E3327" t="s">
        <v>23</v>
      </c>
      <c r="F3327" t="s">
        <v>24</v>
      </c>
      <c r="G3327" t="s">
        <v>25</v>
      </c>
      <c r="H3327" t="s">
        <v>26</v>
      </c>
      <c r="I3327">
        <v>2182908</v>
      </c>
      <c r="J3327" t="s">
        <v>27</v>
      </c>
      <c r="K3327" t="s">
        <v>4559</v>
      </c>
      <c r="L3327" t="s">
        <v>21</v>
      </c>
    </row>
    <row r="3328" spans="1:12">
      <c r="A3328" t="s">
        <v>4561</v>
      </c>
      <c r="B3328" t="s">
        <v>4542</v>
      </c>
      <c r="C3328" t="s">
        <v>229</v>
      </c>
      <c r="D3328">
        <v>1972</v>
      </c>
      <c r="E3328" t="s">
        <v>29</v>
      </c>
      <c r="F3328" t="s">
        <v>30</v>
      </c>
      <c r="G3328" t="s">
        <v>31</v>
      </c>
      <c r="H3328" t="s">
        <v>32</v>
      </c>
      <c r="I3328">
        <v>4688.5932670000002</v>
      </c>
      <c r="J3328" t="s">
        <v>33</v>
      </c>
      <c r="K3328" t="s">
        <v>4559</v>
      </c>
      <c r="L3328" t="s">
        <v>21</v>
      </c>
    </row>
    <row r="3329" spans="1:12">
      <c r="A3329" t="s">
        <v>4562</v>
      </c>
      <c r="B3329" t="s">
        <v>4542</v>
      </c>
      <c r="C3329" t="s">
        <v>229</v>
      </c>
      <c r="D3329">
        <v>1977</v>
      </c>
      <c r="E3329" t="s">
        <v>15</v>
      </c>
      <c r="F3329" t="s">
        <v>16</v>
      </c>
      <c r="G3329" t="s">
        <v>17</v>
      </c>
      <c r="H3329" t="s">
        <v>18</v>
      </c>
      <c r="I3329">
        <v>57.47</v>
      </c>
      <c r="J3329" t="s">
        <v>19</v>
      </c>
      <c r="K3329" t="s">
        <v>4563</v>
      </c>
      <c r="L3329" t="s">
        <v>21</v>
      </c>
    </row>
    <row r="3330" spans="1:12">
      <c r="A3330" t="s">
        <v>4564</v>
      </c>
      <c r="B3330" t="s">
        <v>4542</v>
      </c>
      <c r="C3330" t="s">
        <v>229</v>
      </c>
      <c r="D3330">
        <v>1977</v>
      </c>
      <c r="E3330" t="s">
        <v>23</v>
      </c>
      <c r="F3330" t="s">
        <v>24</v>
      </c>
      <c r="G3330" t="s">
        <v>25</v>
      </c>
      <c r="H3330" t="s">
        <v>26</v>
      </c>
      <c r="I3330">
        <v>2554598</v>
      </c>
      <c r="J3330" t="s">
        <v>27</v>
      </c>
      <c r="K3330" t="s">
        <v>4563</v>
      </c>
      <c r="L3330" t="s">
        <v>21</v>
      </c>
    </row>
    <row r="3331" spans="1:12">
      <c r="A3331" t="s">
        <v>4565</v>
      </c>
      <c r="B3331" t="s">
        <v>4542</v>
      </c>
      <c r="C3331" t="s">
        <v>229</v>
      </c>
      <c r="D3331">
        <v>1977</v>
      </c>
      <c r="E3331" t="s">
        <v>29</v>
      </c>
      <c r="F3331" t="s">
        <v>30</v>
      </c>
      <c r="G3331" t="s">
        <v>31</v>
      </c>
      <c r="H3331" t="s">
        <v>32</v>
      </c>
      <c r="I3331">
        <v>5486.3710890000002</v>
      </c>
      <c r="J3331" t="s">
        <v>33</v>
      </c>
      <c r="K3331" t="s">
        <v>4563</v>
      </c>
      <c r="L3331" t="s">
        <v>21</v>
      </c>
    </row>
    <row r="3332" spans="1:12">
      <c r="A3332" t="s">
        <v>4566</v>
      </c>
      <c r="B3332" t="s">
        <v>4542</v>
      </c>
      <c r="C3332" t="s">
        <v>229</v>
      </c>
      <c r="D3332">
        <v>1982</v>
      </c>
      <c r="E3332" t="s">
        <v>15</v>
      </c>
      <c r="F3332" t="s">
        <v>16</v>
      </c>
      <c r="G3332" t="s">
        <v>17</v>
      </c>
      <c r="H3332" t="s">
        <v>18</v>
      </c>
      <c r="I3332">
        <v>59.298000000000002</v>
      </c>
      <c r="J3332" t="s">
        <v>19</v>
      </c>
      <c r="K3332" t="s">
        <v>4567</v>
      </c>
      <c r="L3332" t="s">
        <v>21</v>
      </c>
    </row>
    <row r="3333" spans="1:12">
      <c r="A3333" t="s">
        <v>4568</v>
      </c>
      <c r="B3333" t="s">
        <v>4542</v>
      </c>
      <c r="C3333" t="s">
        <v>229</v>
      </c>
      <c r="D3333">
        <v>1982</v>
      </c>
      <c r="E3333" t="s">
        <v>23</v>
      </c>
      <c r="F3333" t="s">
        <v>24</v>
      </c>
      <c r="G3333" t="s">
        <v>25</v>
      </c>
      <c r="H3333" t="s">
        <v>26</v>
      </c>
      <c r="I3333">
        <v>2979423</v>
      </c>
      <c r="J3333" t="s">
        <v>27</v>
      </c>
      <c r="K3333" t="s">
        <v>4567</v>
      </c>
      <c r="L3333" t="s">
        <v>21</v>
      </c>
    </row>
    <row r="3334" spans="1:12">
      <c r="A3334" t="s">
        <v>4569</v>
      </c>
      <c r="B3334" t="s">
        <v>4542</v>
      </c>
      <c r="C3334" t="s">
        <v>229</v>
      </c>
      <c r="D3334">
        <v>1982</v>
      </c>
      <c r="E3334" t="s">
        <v>29</v>
      </c>
      <c r="F3334" t="s">
        <v>30</v>
      </c>
      <c r="G3334" t="s">
        <v>31</v>
      </c>
      <c r="H3334" t="s">
        <v>32</v>
      </c>
      <c r="I3334">
        <v>3470.3381559999998</v>
      </c>
      <c r="J3334" t="s">
        <v>33</v>
      </c>
      <c r="K3334" t="s">
        <v>4567</v>
      </c>
      <c r="L3334" t="s">
        <v>21</v>
      </c>
    </row>
    <row r="3335" spans="1:12">
      <c r="A3335" t="s">
        <v>4570</v>
      </c>
      <c r="B3335" t="s">
        <v>4542</v>
      </c>
      <c r="C3335" t="s">
        <v>229</v>
      </c>
      <c r="D3335">
        <v>1987</v>
      </c>
      <c r="E3335" t="s">
        <v>15</v>
      </c>
      <c r="F3335" t="s">
        <v>16</v>
      </c>
      <c r="G3335" t="s">
        <v>17</v>
      </c>
      <c r="H3335" t="s">
        <v>18</v>
      </c>
      <c r="I3335">
        <v>62.008000000000003</v>
      </c>
      <c r="J3335" t="s">
        <v>19</v>
      </c>
      <c r="K3335" t="s">
        <v>4571</v>
      </c>
      <c r="L3335" t="s">
        <v>21</v>
      </c>
    </row>
    <row r="3336" spans="1:12">
      <c r="A3336" t="s">
        <v>4572</v>
      </c>
      <c r="B3336" t="s">
        <v>4542</v>
      </c>
      <c r="C3336" t="s">
        <v>229</v>
      </c>
      <c r="D3336">
        <v>1987</v>
      </c>
      <c r="E3336" t="s">
        <v>23</v>
      </c>
      <c r="F3336" t="s">
        <v>24</v>
      </c>
      <c r="G3336" t="s">
        <v>25</v>
      </c>
      <c r="H3336" t="s">
        <v>26</v>
      </c>
      <c r="I3336">
        <v>3344353</v>
      </c>
      <c r="J3336" t="s">
        <v>27</v>
      </c>
      <c r="K3336" t="s">
        <v>4571</v>
      </c>
      <c r="L3336" t="s">
        <v>21</v>
      </c>
    </row>
    <row r="3337" spans="1:12">
      <c r="A3337" t="s">
        <v>4573</v>
      </c>
      <c r="B3337" t="s">
        <v>4542</v>
      </c>
      <c r="C3337" t="s">
        <v>229</v>
      </c>
      <c r="D3337">
        <v>1987</v>
      </c>
      <c r="E3337" t="s">
        <v>29</v>
      </c>
      <c r="F3337" t="s">
        <v>30</v>
      </c>
      <c r="G3337" t="s">
        <v>31</v>
      </c>
      <c r="H3337" t="s">
        <v>32</v>
      </c>
      <c r="I3337">
        <v>2955.984375</v>
      </c>
      <c r="J3337" t="s">
        <v>33</v>
      </c>
      <c r="K3337" t="s">
        <v>4571</v>
      </c>
      <c r="L3337" t="s">
        <v>21</v>
      </c>
    </row>
    <row r="3338" spans="1:12">
      <c r="A3338" t="s">
        <v>4574</v>
      </c>
      <c r="B3338" t="s">
        <v>4542</v>
      </c>
      <c r="C3338" t="s">
        <v>229</v>
      </c>
      <c r="D3338">
        <v>1992</v>
      </c>
      <c r="E3338" t="s">
        <v>15</v>
      </c>
      <c r="F3338" t="s">
        <v>16</v>
      </c>
      <c r="G3338" t="s">
        <v>17</v>
      </c>
      <c r="H3338" t="s">
        <v>18</v>
      </c>
      <c r="I3338">
        <v>65.843000000000004</v>
      </c>
      <c r="J3338" t="s">
        <v>19</v>
      </c>
      <c r="K3338" t="s">
        <v>4575</v>
      </c>
      <c r="L3338" t="s">
        <v>21</v>
      </c>
    </row>
    <row r="3339" spans="1:12">
      <c r="A3339" t="s">
        <v>4576</v>
      </c>
      <c r="B3339" t="s">
        <v>4542</v>
      </c>
      <c r="C3339" t="s">
        <v>229</v>
      </c>
      <c r="D3339">
        <v>1992</v>
      </c>
      <c r="E3339" t="s">
        <v>23</v>
      </c>
      <c r="F3339" t="s">
        <v>24</v>
      </c>
      <c r="G3339" t="s">
        <v>25</v>
      </c>
      <c r="H3339" t="s">
        <v>26</v>
      </c>
      <c r="I3339">
        <v>4017939</v>
      </c>
      <c r="J3339" t="s">
        <v>27</v>
      </c>
      <c r="K3339" t="s">
        <v>4575</v>
      </c>
      <c r="L3339" t="s">
        <v>21</v>
      </c>
    </row>
    <row r="3340" spans="1:12">
      <c r="A3340" t="s">
        <v>4577</v>
      </c>
      <c r="B3340" t="s">
        <v>4542</v>
      </c>
      <c r="C3340" t="s">
        <v>229</v>
      </c>
      <c r="D3340">
        <v>1992</v>
      </c>
      <c r="E3340" t="s">
        <v>29</v>
      </c>
      <c r="F3340" t="s">
        <v>30</v>
      </c>
      <c r="G3340" t="s">
        <v>31</v>
      </c>
      <c r="H3340" t="s">
        <v>32</v>
      </c>
      <c r="I3340">
        <v>2170.1517239999998</v>
      </c>
      <c r="J3340" t="s">
        <v>33</v>
      </c>
      <c r="K3340" t="s">
        <v>4575</v>
      </c>
      <c r="L3340" t="s">
        <v>21</v>
      </c>
    </row>
    <row r="3341" spans="1:12">
      <c r="A3341" t="s">
        <v>4578</v>
      </c>
      <c r="B3341" t="s">
        <v>4542</v>
      </c>
      <c r="C3341" t="s">
        <v>229</v>
      </c>
      <c r="D3341">
        <v>1997</v>
      </c>
      <c r="E3341" t="s">
        <v>15</v>
      </c>
      <c r="F3341" t="s">
        <v>16</v>
      </c>
      <c r="G3341" t="s">
        <v>17</v>
      </c>
      <c r="H3341" t="s">
        <v>18</v>
      </c>
      <c r="I3341">
        <v>68.426000000000002</v>
      </c>
      <c r="J3341" t="s">
        <v>19</v>
      </c>
      <c r="K3341" t="s">
        <v>4579</v>
      </c>
      <c r="L3341" t="s">
        <v>21</v>
      </c>
    </row>
    <row r="3342" spans="1:12">
      <c r="A3342" t="s">
        <v>4580</v>
      </c>
      <c r="B3342" t="s">
        <v>4542</v>
      </c>
      <c r="C3342" t="s">
        <v>229</v>
      </c>
      <c r="D3342">
        <v>1997</v>
      </c>
      <c r="E3342" t="s">
        <v>23</v>
      </c>
      <c r="F3342" t="s">
        <v>24</v>
      </c>
      <c r="G3342" t="s">
        <v>25</v>
      </c>
      <c r="H3342" t="s">
        <v>26</v>
      </c>
      <c r="I3342">
        <v>4609572</v>
      </c>
      <c r="J3342" t="s">
        <v>27</v>
      </c>
      <c r="K3342" t="s">
        <v>4579</v>
      </c>
      <c r="L3342" t="s">
        <v>21</v>
      </c>
    </row>
    <row r="3343" spans="1:12">
      <c r="A3343" t="s">
        <v>4581</v>
      </c>
      <c r="B3343" t="s">
        <v>4542</v>
      </c>
      <c r="C3343" t="s">
        <v>229</v>
      </c>
      <c r="D3343">
        <v>1997</v>
      </c>
      <c r="E3343" t="s">
        <v>29</v>
      </c>
      <c r="F3343" t="s">
        <v>30</v>
      </c>
      <c r="G3343" t="s">
        <v>31</v>
      </c>
      <c r="H3343" t="s">
        <v>32</v>
      </c>
      <c r="I3343">
        <v>2253.0230040000001</v>
      </c>
      <c r="J3343" t="s">
        <v>33</v>
      </c>
      <c r="K3343" t="s">
        <v>4579</v>
      </c>
      <c r="L3343" t="s">
        <v>21</v>
      </c>
    </row>
    <row r="3344" spans="1:12">
      <c r="A3344" t="s">
        <v>4582</v>
      </c>
      <c r="B3344" t="s">
        <v>4542</v>
      </c>
      <c r="C3344" t="s">
        <v>229</v>
      </c>
      <c r="D3344">
        <v>2002</v>
      </c>
      <c r="E3344" t="s">
        <v>15</v>
      </c>
      <c r="F3344" t="s">
        <v>16</v>
      </c>
      <c r="G3344" t="s">
        <v>17</v>
      </c>
      <c r="H3344" t="s">
        <v>18</v>
      </c>
      <c r="I3344">
        <v>70.835999999999999</v>
      </c>
      <c r="J3344" t="s">
        <v>19</v>
      </c>
      <c r="K3344" t="s">
        <v>4583</v>
      </c>
      <c r="L3344" t="s">
        <v>21</v>
      </c>
    </row>
    <row r="3345" spans="1:12">
      <c r="A3345" t="s">
        <v>4584</v>
      </c>
      <c r="B3345" t="s">
        <v>4542</v>
      </c>
      <c r="C3345" t="s">
        <v>229</v>
      </c>
      <c r="D3345">
        <v>2002</v>
      </c>
      <c r="E3345" t="s">
        <v>23</v>
      </c>
      <c r="F3345" t="s">
        <v>24</v>
      </c>
      <c r="G3345" t="s">
        <v>25</v>
      </c>
      <c r="H3345" t="s">
        <v>26</v>
      </c>
      <c r="I3345">
        <v>5146848</v>
      </c>
      <c r="J3345" t="s">
        <v>27</v>
      </c>
      <c r="K3345" t="s">
        <v>4583</v>
      </c>
      <c r="L3345" t="s">
        <v>21</v>
      </c>
    </row>
    <row r="3346" spans="1:12">
      <c r="A3346" t="s">
        <v>4585</v>
      </c>
      <c r="B3346" t="s">
        <v>4542</v>
      </c>
      <c r="C3346" t="s">
        <v>229</v>
      </c>
      <c r="D3346">
        <v>2002</v>
      </c>
      <c r="E3346" t="s">
        <v>29</v>
      </c>
      <c r="F3346" t="s">
        <v>30</v>
      </c>
      <c r="G3346" t="s">
        <v>31</v>
      </c>
      <c r="H3346" t="s">
        <v>32</v>
      </c>
      <c r="I3346">
        <v>2474.5488190000001</v>
      </c>
      <c r="J3346" t="s">
        <v>33</v>
      </c>
      <c r="K3346" t="s">
        <v>4583</v>
      </c>
      <c r="L3346" t="s">
        <v>21</v>
      </c>
    </row>
    <row r="3347" spans="1:12">
      <c r="A3347" t="s">
        <v>4586</v>
      </c>
      <c r="B3347" t="s">
        <v>4542</v>
      </c>
      <c r="C3347" t="s">
        <v>229</v>
      </c>
      <c r="D3347">
        <v>2007</v>
      </c>
      <c r="E3347" t="s">
        <v>15</v>
      </c>
      <c r="F3347" t="s">
        <v>16</v>
      </c>
      <c r="G3347" t="s">
        <v>17</v>
      </c>
      <c r="H3347" t="s">
        <v>18</v>
      </c>
      <c r="I3347">
        <v>72.899000000000001</v>
      </c>
      <c r="J3347" t="s">
        <v>19</v>
      </c>
      <c r="K3347" t="s">
        <v>4587</v>
      </c>
      <c r="L3347" t="s">
        <v>21</v>
      </c>
    </row>
    <row r="3348" spans="1:12">
      <c r="A3348" t="s">
        <v>4588</v>
      </c>
      <c r="B3348" t="s">
        <v>4542</v>
      </c>
      <c r="C3348" t="s">
        <v>229</v>
      </c>
      <c r="D3348">
        <v>2007</v>
      </c>
      <c r="E3348" t="s">
        <v>23</v>
      </c>
      <c r="F3348" t="s">
        <v>24</v>
      </c>
      <c r="G3348" t="s">
        <v>25</v>
      </c>
      <c r="H3348" t="s">
        <v>26</v>
      </c>
      <c r="I3348">
        <v>5675356</v>
      </c>
      <c r="J3348" t="s">
        <v>27</v>
      </c>
      <c r="K3348" t="s">
        <v>4587</v>
      </c>
      <c r="L3348" t="s">
        <v>21</v>
      </c>
    </row>
    <row r="3349" spans="1:12">
      <c r="A3349" t="s">
        <v>4589</v>
      </c>
      <c r="B3349" t="s">
        <v>4542</v>
      </c>
      <c r="C3349" t="s">
        <v>229</v>
      </c>
      <c r="D3349">
        <v>2007</v>
      </c>
      <c r="E3349" t="s">
        <v>29</v>
      </c>
      <c r="F3349" t="s">
        <v>30</v>
      </c>
      <c r="G3349" t="s">
        <v>31</v>
      </c>
      <c r="H3349" t="s">
        <v>32</v>
      </c>
      <c r="I3349">
        <v>2749.3209649999999</v>
      </c>
      <c r="J3349" t="s">
        <v>33</v>
      </c>
      <c r="K3349" t="s">
        <v>4587</v>
      </c>
      <c r="L3349" t="s">
        <v>21</v>
      </c>
    </row>
    <row r="3350" spans="1:12">
      <c r="A3350" t="s">
        <v>4590</v>
      </c>
      <c r="B3350" t="s">
        <v>4591</v>
      </c>
      <c r="C3350" t="s">
        <v>130</v>
      </c>
      <c r="D3350">
        <v>1952</v>
      </c>
      <c r="E3350" t="s">
        <v>15</v>
      </c>
      <c r="F3350" t="s">
        <v>16</v>
      </c>
      <c r="G3350" t="s">
        <v>17</v>
      </c>
      <c r="H3350" t="s">
        <v>18</v>
      </c>
      <c r="I3350">
        <v>37.444000000000003</v>
      </c>
      <c r="J3350" t="s">
        <v>19</v>
      </c>
      <c r="K3350" t="s">
        <v>4592</v>
      </c>
      <c r="L3350" t="s">
        <v>21</v>
      </c>
    </row>
    <row r="3351" spans="1:12">
      <c r="A3351" t="s">
        <v>4593</v>
      </c>
      <c r="B3351" t="s">
        <v>4591</v>
      </c>
      <c r="C3351" t="s">
        <v>130</v>
      </c>
      <c r="D3351">
        <v>1952</v>
      </c>
      <c r="E3351" t="s">
        <v>23</v>
      </c>
      <c r="F3351" t="s">
        <v>24</v>
      </c>
      <c r="G3351" t="s">
        <v>25</v>
      </c>
      <c r="H3351" t="s">
        <v>26</v>
      </c>
      <c r="I3351">
        <v>3379468</v>
      </c>
      <c r="J3351" t="s">
        <v>27</v>
      </c>
      <c r="K3351" t="s">
        <v>4592</v>
      </c>
      <c r="L3351" t="s">
        <v>21</v>
      </c>
    </row>
    <row r="3352" spans="1:12">
      <c r="A3352" t="s">
        <v>4594</v>
      </c>
      <c r="B3352" t="s">
        <v>4591</v>
      </c>
      <c r="C3352" t="s">
        <v>130</v>
      </c>
      <c r="D3352">
        <v>1952</v>
      </c>
      <c r="E3352" t="s">
        <v>29</v>
      </c>
      <c r="F3352" t="s">
        <v>30</v>
      </c>
      <c r="G3352" t="s">
        <v>31</v>
      </c>
      <c r="H3352" t="s">
        <v>32</v>
      </c>
      <c r="I3352">
        <v>761.87937599999998</v>
      </c>
      <c r="J3352" t="s">
        <v>33</v>
      </c>
      <c r="K3352" t="s">
        <v>4592</v>
      </c>
      <c r="L3352" t="s">
        <v>21</v>
      </c>
    </row>
    <row r="3353" spans="1:12">
      <c r="A3353" t="s">
        <v>4595</v>
      </c>
      <c r="B3353" t="s">
        <v>4591</v>
      </c>
      <c r="C3353" t="s">
        <v>130</v>
      </c>
      <c r="D3353">
        <v>1957</v>
      </c>
      <c r="E3353" t="s">
        <v>15</v>
      </c>
      <c r="F3353" t="s">
        <v>16</v>
      </c>
      <c r="G3353" t="s">
        <v>17</v>
      </c>
      <c r="H3353" t="s">
        <v>18</v>
      </c>
      <c r="I3353">
        <v>38.597999999999999</v>
      </c>
      <c r="J3353" t="s">
        <v>19</v>
      </c>
      <c r="K3353" t="s">
        <v>4596</v>
      </c>
      <c r="L3353" t="s">
        <v>21</v>
      </c>
    </row>
    <row r="3354" spans="1:12">
      <c r="A3354" t="s">
        <v>4597</v>
      </c>
      <c r="B3354" t="s">
        <v>4591</v>
      </c>
      <c r="C3354" t="s">
        <v>130</v>
      </c>
      <c r="D3354">
        <v>1957</v>
      </c>
      <c r="E3354" t="s">
        <v>23</v>
      </c>
      <c r="F3354" t="s">
        <v>24</v>
      </c>
      <c r="G3354" t="s">
        <v>25</v>
      </c>
      <c r="H3354" t="s">
        <v>26</v>
      </c>
      <c r="I3354">
        <v>3692184</v>
      </c>
      <c r="J3354" t="s">
        <v>27</v>
      </c>
      <c r="K3354" t="s">
        <v>4596</v>
      </c>
      <c r="L3354" t="s">
        <v>21</v>
      </c>
    </row>
    <row r="3355" spans="1:12">
      <c r="A3355" t="s">
        <v>4598</v>
      </c>
      <c r="B3355" t="s">
        <v>4591</v>
      </c>
      <c r="C3355" t="s">
        <v>130</v>
      </c>
      <c r="D3355">
        <v>1957</v>
      </c>
      <c r="E3355" t="s">
        <v>29</v>
      </c>
      <c r="F3355" t="s">
        <v>30</v>
      </c>
      <c r="G3355" t="s">
        <v>31</v>
      </c>
      <c r="H3355" t="s">
        <v>32</v>
      </c>
      <c r="I3355">
        <v>835.52340249999997</v>
      </c>
      <c r="J3355" t="s">
        <v>33</v>
      </c>
      <c r="K3355" t="s">
        <v>4596</v>
      </c>
      <c r="L3355" t="s">
        <v>21</v>
      </c>
    </row>
    <row r="3356" spans="1:12">
      <c r="A3356" t="s">
        <v>4599</v>
      </c>
      <c r="B3356" t="s">
        <v>4591</v>
      </c>
      <c r="C3356" t="s">
        <v>130</v>
      </c>
      <c r="D3356">
        <v>1962</v>
      </c>
      <c r="E3356" t="s">
        <v>15</v>
      </c>
      <c r="F3356" t="s">
        <v>16</v>
      </c>
      <c r="G3356" t="s">
        <v>17</v>
      </c>
      <c r="H3356" t="s">
        <v>18</v>
      </c>
      <c r="I3356">
        <v>39.487000000000002</v>
      </c>
      <c r="J3356" t="s">
        <v>19</v>
      </c>
      <c r="K3356" t="s">
        <v>4600</v>
      </c>
      <c r="L3356" t="s">
        <v>21</v>
      </c>
    </row>
    <row r="3357" spans="1:12">
      <c r="A3357" t="s">
        <v>4601</v>
      </c>
      <c r="B3357" t="s">
        <v>4591</v>
      </c>
      <c r="C3357" t="s">
        <v>130</v>
      </c>
      <c r="D3357">
        <v>1962</v>
      </c>
      <c r="E3357" t="s">
        <v>23</v>
      </c>
      <c r="F3357" t="s">
        <v>24</v>
      </c>
      <c r="G3357" t="s">
        <v>25</v>
      </c>
      <c r="H3357" t="s">
        <v>26</v>
      </c>
      <c r="I3357">
        <v>4076008</v>
      </c>
      <c r="J3357" t="s">
        <v>27</v>
      </c>
      <c r="K3357" t="s">
        <v>4600</v>
      </c>
      <c r="L3357" t="s">
        <v>21</v>
      </c>
    </row>
    <row r="3358" spans="1:12">
      <c r="A3358" t="s">
        <v>4602</v>
      </c>
      <c r="B3358" t="s">
        <v>4591</v>
      </c>
      <c r="C3358" t="s">
        <v>130</v>
      </c>
      <c r="D3358">
        <v>1962</v>
      </c>
      <c r="E3358" t="s">
        <v>29</v>
      </c>
      <c r="F3358" t="s">
        <v>30</v>
      </c>
      <c r="G3358" t="s">
        <v>31</v>
      </c>
      <c r="H3358" t="s">
        <v>32</v>
      </c>
      <c r="I3358">
        <v>997.76611270000001</v>
      </c>
      <c r="J3358" t="s">
        <v>33</v>
      </c>
      <c r="K3358" t="s">
        <v>4600</v>
      </c>
      <c r="L3358" t="s">
        <v>21</v>
      </c>
    </row>
    <row r="3359" spans="1:12">
      <c r="A3359" t="s">
        <v>4603</v>
      </c>
      <c r="B3359" t="s">
        <v>4591</v>
      </c>
      <c r="C3359" t="s">
        <v>130</v>
      </c>
      <c r="D3359">
        <v>1967</v>
      </c>
      <c r="E3359" t="s">
        <v>15</v>
      </c>
      <c r="F3359" t="s">
        <v>16</v>
      </c>
      <c r="G3359" t="s">
        <v>17</v>
      </c>
      <c r="H3359" t="s">
        <v>18</v>
      </c>
      <c r="I3359">
        <v>40.118000000000002</v>
      </c>
      <c r="J3359" t="s">
        <v>19</v>
      </c>
      <c r="K3359" t="s">
        <v>4604</v>
      </c>
      <c r="L3359" t="s">
        <v>21</v>
      </c>
    </row>
    <row r="3360" spans="1:12">
      <c r="A3360" t="s">
        <v>4605</v>
      </c>
      <c r="B3360" t="s">
        <v>4591</v>
      </c>
      <c r="C3360" t="s">
        <v>130</v>
      </c>
      <c r="D3360">
        <v>1967</v>
      </c>
      <c r="E3360" t="s">
        <v>23</v>
      </c>
      <c r="F3360" t="s">
        <v>24</v>
      </c>
      <c r="G3360" t="s">
        <v>25</v>
      </c>
      <c r="H3360" t="s">
        <v>26</v>
      </c>
      <c r="I3360">
        <v>4534062</v>
      </c>
      <c r="J3360" t="s">
        <v>27</v>
      </c>
      <c r="K3360" t="s">
        <v>4604</v>
      </c>
      <c r="L3360" t="s">
        <v>21</v>
      </c>
    </row>
    <row r="3361" spans="1:12">
      <c r="A3361" t="s">
        <v>4606</v>
      </c>
      <c r="B3361" t="s">
        <v>4591</v>
      </c>
      <c r="C3361" t="s">
        <v>130</v>
      </c>
      <c r="D3361">
        <v>1967</v>
      </c>
      <c r="E3361" t="s">
        <v>29</v>
      </c>
      <c r="F3361" t="s">
        <v>30</v>
      </c>
      <c r="G3361" t="s">
        <v>31</v>
      </c>
      <c r="H3361" t="s">
        <v>32</v>
      </c>
      <c r="I3361">
        <v>1054.3848909999999</v>
      </c>
      <c r="J3361" t="s">
        <v>33</v>
      </c>
      <c r="K3361" t="s">
        <v>4604</v>
      </c>
      <c r="L3361" t="s">
        <v>21</v>
      </c>
    </row>
    <row r="3362" spans="1:12">
      <c r="A3362" t="s">
        <v>4607</v>
      </c>
      <c r="B3362" t="s">
        <v>4591</v>
      </c>
      <c r="C3362" t="s">
        <v>130</v>
      </c>
      <c r="D3362">
        <v>1972</v>
      </c>
      <c r="E3362" t="s">
        <v>15</v>
      </c>
      <c r="F3362" t="s">
        <v>16</v>
      </c>
      <c r="G3362" t="s">
        <v>17</v>
      </c>
      <c r="H3362" t="s">
        <v>18</v>
      </c>
      <c r="I3362">
        <v>40.545999999999999</v>
      </c>
      <c r="J3362" t="s">
        <v>19</v>
      </c>
      <c r="K3362" t="s">
        <v>4608</v>
      </c>
      <c r="L3362" t="s">
        <v>21</v>
      </c>
    </row>
    <row r="3363" spans="1:12">
      <c r="A3363" t="s">
        <v>4609</v>
      </c>
      <c r="B3363" t="s">
        <v>4591</v>
      </c>
      <c r="C3363" t="s">
        <v>130</v>
      </c>
      <c r="D3363">
        <v>1972</v>
      </c>
      <c r="E3363" t="s">
        <v>23</v>
      </c>
      <c r="F3363" t="s">
        <v>24</v>
      </c>
      <c r="G3363" t="s">
        <v>25</v>
      </c>
      <c r="H3363" t="s">
        <v>26</v>
      </c>
      <c r="I3363">
        <v>5060262</v>
      </c>
      <c r="J3363" t="s">
        <v>27</v>
      </c>
      <c r="K3363" t="s">
        <v>4608</v>
      </c>
      <c r="L3363" t="s">
        <v>21</v>
      </c>
    </row>
    <row r="3364" spans="1:12">
      <c r="A3364" t="s">
        <v>4610</v>
      </c>
      <c r="B3364" t="s">
        <v>4591</v>
      </c>
      <c r="C3364" t="s">
        <v>130</v>
      </c>
      <c r="D3364">
        <v>1972</v>
      </c>
      <c r="E3364" t="s">
        <v>29</v>
      </c>
      <c r="F3364" t="s">
        <v>30</v>
      </c>
      <c r="G3364" t="s">
        <v>31</v>
      </c>
      <c r="H3364" t="s">
        <v>32</v>
      </c>
      <c r="I3364">
        <v>954.20923630000004</v>
      </c>
      <c r="J3364" t="s">
        <v>33</v>
      </c>
      <c r="K3364" t="s">
        <v>4608</v>
      </c>
      <c r="L3364" t="s">
        <v>21</v>
      </c>
    </row>
    <row r="3365" spans="1:12">
      <c r="A3365" t="s">
        <v>4611</v>
      </c>
      <c r="B3365" t="s">
        <v>4591</v>
      </c>
      <c r="C3365" t="s">
        <v>130</v>
      </c>
      <c r="D3365">
        <v>1977</v>
      </c>
      <c r="E3365" t="s">
        <v>15</v>
      </c>
      <c r="F3365" t="s">
        <v>16</v>
      </c>
      <c r="G3365" t="s">
        <v>17</v>
      </c>
      <c r="H3365" t="s">
        <v>18</v>
      </c>
      <c r="I3365">
        <v>41.290999999999997</v>
      </c>
      <c r="J3365" t="s">
        <v>19</v>
      </c>
      <c r="K3365" t="s">
        <v>4612</v>
      </c>
      <c r="L3365" t="s">
        <v>21</v>
      </c>
    </row>
    <row r="3366" spans="1:12">
      <c r="A3366" t="s">
        <v>4613</v>
      </c>
      <c r="B3366" t="s">
        <v>4591</v>
      </c>
      <c r="C3366" t="s">
        <v>130</v>
      </c>
      <c r="D3366">
        <v>1977</v>
      </c>
      <c r="E3366" t="s">
        <v>23</v>
      </c>
      <c r="F3366" t="s">
        <v>24</v>
      </c>
      <c r="G3366" t="s">
        <v>25</v>
      </c>
      <c r="H3366" t="s">
        <v>26</v>
      </c>
      <c r="I3366">
        <v>5682086</v>
      </c>
      <c r="J3366" t="s">
        <v>27</v>
      </c>
      <c r="K3366" t="s">
        <v>4612</v>
      </c>
      <c r="L3366" t="s">
        <v>21</v>
      </c>
    </row>
    <row r="3367" spans="1:12">
      <c r="A3367" t="s">
        <v>4614</v>
      </c>
      <c r="B3367" t="s">
        <v>4591</v>
      </c>
      <c r="C3367" t="s">
        <v>130</v>
      </c>
      <c r="D3367">
        <v>1977</v>
      </c>
      <c r="E3367" t="s">
        <v>29</v>
      </c>
      <c r="F3367" t="s">
        <v>30</v>
      </c>
      <c r="G3367" t="s">
        <v>31</v>
      </c>
      <c r="H3367" t="s">
        <v>32</v>
      </c>
      <c r="I3367">
        <v>808.89707279999902</v>
      </c>
      <c r="J3367" t="s">
        <v>33</v>
      </c>
      <c r="K3367" t="s">
        <v>4612</v>
      </c>
      <c r="L3367" t="s">
        <v>21</v>
      </c>
    </row>
    <row r="3368" spans="1:12">
      <c r="A3368" t="s">
        <v>4615</v>
      </c>
      <c r="B3368" t="s">
        <v>4591</v>
      </c>
      <c r="C3368" t="s">
        <v>130</v>
      </c>
      <c r="D3368">
        <v>1982</v>
      </c>
      <c r="E3368" t="s">
        <v>15</v>
      </c>
      <c r="F3368" t="s">
        <v>16</v>
      </c>
      <c r="G3368" t="s">
        <v>17</v>
      </c>
      <c r="H3368" t="s">
        <v>18</v>
      </c>
      <c r="I3368">
        <v>42.597999999999999</v>
      </c>
      <c r="J3368" t="s">
        <v>19</v>
      </c>
      <c r="K3368" t="s">
        <v>4616</v>
      </c>
      <c r="L3368" t="s">
        <v>21</v>
      </c>
    </row>
    <row r="3369" spans="1:12">
      <c r="A3369" t="s">
        <v>4617</v>
      </c>
      <c r="B3369" t="s">
        <v>4591</v>
      </c>
      <c r="C3369" t="s">
        <v>130</v>
      </c>
      <c r="D3369">
        <v>1982</v>
      </c>
      <c r="E3369" t="s">
        <v>23</v>
      </c>
      <c r="F3369" t="s">
        <v>24</v>
      </c>
      <c r="G3369" t="s">
        <v>25</v>
      </c>
      <c r="H3369" t="s">
        <v>26</v>
      </c>
      <c r="I3369">
        <v>6437188</v>
      </c>
      <c r="J3369" t="s">
        <v>27</v>
      </c>
      <c r="K3369" t="s">
        <v>4616</v>
      </c>
      <c r="L3369" t="s">
        <v>21</v>
      </c>
    </row>
    <row r="3370" spans="1:12">
      <c r="A3370" t="s">
        <v>4618</v>
      </c>
      <c r="B3370" t="s">
        <v>4591</v>
      </c>
      <c r="C3370" t="s">
        <v>130</v>
      </c>
      <c r="D3370">
        <v>1982</v>
      </c>
      <c r="E3370" t="s">
        <v>29</v>
      </c>
      <c r="F3370" t="s">
        <v>30</v>
      </c>
      <c r="G3370" t="s">
        <v>31</v>
      </c>
      <c r="H3370" t="s">
        <v>32</v>
      </c>
      <c r="I3370">
        <v>909.72213539999996</v>
      </c>
      <c r="J3370" t="s">
        <v>33</v>
      </c>
      <c r="K3370" t="s">
        <v>4616</v>
      </c>
      <c r="L3370" t="s">
        <v>21</v>
      </c>
    </row>
    <row r="3371" spans="1:12">
      <c r="A3371" t="s">
        <v>4619</v>
      </c>
      <c r="B3371" t="s">
        <v>4591</v>
      </c>
      <c r="C3371" t="s">
        <v>130</v>
      </c>
      <c r="D3371">
        <v>1987</v>
      </c>
      <c r="E3371" t="s">
        <v>15</v>
      </c>
      <c r="F3371" t="s">
        <v>16</v>
      </c>
      <c r="G3371" t="s">
        <v>17</v>
      </c>
      <c r="H3371" t="s">
        <v>18</v>
      </c>
      <c r="I3371">
        <v>44.555</v>
      </c>
      <c r="J3371" t="s">
        <v>19</v>
      </c>
      <c r="K3371" t="s">
        <v>4620</v>
      </c>
      <c r="L3371" t="s">
        <v>21</v>
      </c>
    </row>
    <row r="3372" spans="1:12">
      <c r="A3372" t="s">
        <v>4621</v>
      </c>
      <c r="B3372" t="s">
        <v>4591</v>
      </c>
      <c r="C3372" t="s">
        <v>130</v>
      </c>
      <c r="D3372">
        <v>1987</v>
      </c>
      <c r="E3372" t="s">
        <v>23</v>
      </c>
      <c r="F3372" t="s">
        <v>24</v>
      </c>
      <c r="G3372" t="s">
        <v>25</v>
      </c>
      <c r="H3372" t="s">
        <v>26</v>
      </c>
      <c r="I3372">
        <v>7332638</v>
      </c>
      <c r="J3372" t="s">
        <v>27</v>
      </c>
      <c r="K3372" t="s">
        <v>4620</v>
      </c>
      <c r="L3372" t="s">
        <v>21</v>
      </c>
    </row>
    <row r="3373" spans="1:12">
      <c r="A3373" t="s">
        <v>4622</v>
      </c>
      <c r="B3373" t="s">
        <v>4591</v>
      </c>
      <c r="C3373" t="s">
        <v>130</v>
      </c>
      <c r="D3373">
        <v>1987</v>
      </c>
      <c r="E3373" t="s">
        <v>29</v>
      </c>
      <c r="F3373" t="s">
        <v>30</v>
      </c>
      <c r="G3373" t="s">
        <v>31</v>
      </c>
      <c r="H3373" t="s">
        <v>32</v>
      </c>
      <c r="I3373">
        <v>668.30002279999997</v>
      </c>
      <c r="J3373" t="s">
        <v>33</v>
      </c>
      <c r="K3373" t="s">
        <v>4620</v>
      </c>
      <c r="L3373" t="s">
        <v>21</v>
      </c>
    </row>
    <row r="3374" spans="1:12">
      <c r="A3374" t="s">
        <v>4623</v>
      </c>
      <c r="B3374" t="s">
        <v>4591</v>
      </c>
      <c r="C3374" t="s">
        <v>130</v>
      </c>
      <c r="D3374">
        <v>1992</v>
      </c>
      <c r="E3374" t="s">
        <v>15</v>
      </c>
      <c r="F3374" t="s">
        <v>16</v>
      </c>
      <c r="G3374" t="s">
        <v>17</v>
      </c>
      <c r="H3374" t="s">
        <v>18</v>
      </c>
      <c r="I3374">
        <v>47.390999999999998</v>
      </c>
      <c r="J3374" t="s">
        <v>19</v>
      </c>
      <c r="K3374" t="s">
        <v>4624</v>
      </c>
      <c r="L3374" t="s">
        <v>21</v>
      </c>
    </row>
    <row r="3375" spans="1:12">
      <c r="A3375" t="s">
        <v>4625</v>
      </c>
      <c r="B3375" t="s">
        <v>4591</v>
      </c>
      <c r="C3375" t="s">
        <v>130</v>
      </c>
      <c r="D3375">
        <v>1992</v>
      </c>
      <c r="E3375" t="s">
        <v>23</v>
      </c>
      <c r="F3375" t="s">
        <v>24</v>
      </c>
      <c r="G3375" t="s">
        <v>25</v>
      </c>
      <c r="H3375" t="s">
        <v>26</v>
      </c>
      <c r="I3375">
        <v>8392818</v>
      </c>
      <c r="J3375" t="s">
        <v>27</v>
      </c>
      <c r="K3375" t="s">
        <v>4624</v>
      </c>
      <c r="L3375" t="s">
        <v>21</v>
      </c>
    </row>
    <row r="3376" spans="1:12">
      <c r="A3376" t="s">
        <v>4626</v>
      </c>
      <c r="B3376" t="s">
        <v>4591</v>
      </c>
      <c r="C3376" t="s">
        <v>130</v>
      </c>
      <c r="D3376">
        <v>1992</v>
      </c>
      <c r="E3376" t="s">
        <v>29</v>
      </c>
      <c r="F3376" t="s">
        <v>30</v>
      </c>
      <c r="G3376" t="s">
        <v>31</v>
      </c>
      <c r="H3376" t="s">
        <v>32</v>
      </c>
      <c r="I3376">
        <v>581.182725</v>
      </c>
      <c r="J3376" t="s">
        <v>33</v>
      </c>
      <c r="K3376" t="s">
        <v>4624</v>
      </c>
      <c r="L3376" t="s">
        <v>21</v>
      </c>
    </row>
    <row r="3377" spans="1:12">
      <c r="A3377" t="s">
        <v>4627</v>
      </c>
      <c r="B3377" t="s">
        <v>4591</v>
      </c>
      <c r="C3377" t="s">
        <v>130</v>
      </c>
      <c r="D3377">
        <v>1997</v>
      </c>
      <c r="E3377" t="s">
        <v>15</v>
      </c>
      <c r="F3377" t="s">
        <v>16</v>
      </c>
      <c r="G3377" t="s">
        <v>17</v>
      </c>
      <c r="H3377" t="s">
        <v>18</v>
      </c>
      <c r="I3377">
        <v>51.313000000000002</v>
      </c>
      <c r="J3377" t="s">
        <v>19</v>
      </c>
      <c r="K3377" t="s">
        <v>4628</v>
      </c>
      <c r="L3377" t="s">
        <v>21</v>
      </c>
    </row>
    <row r="3378" spans="1:12">
      <c r="A3378" t="s">
        <v>4629</v>
      </c>
      <c r="B3378" t="s">
        <v>4591</v>
      </c>
      <c r="C3378" t="s">
        <v>130</v>
      </c>
      <c r="D3378">
        <v>1997</v>
      </c>
      <c r="E3378" t="s">
        <v>23</v>
      </c>
      <c r="F3378" t="s">
        <v>24</v>
      </c>
      <c r="G3378" t="s">
        <v>25</v>
      </c>
      <c r="H3378" t="s">
        <v>26</v>
      </c>
      <c r="I3378">
        <v>9666252</v>
      </c>
      <c r="J3378" t="s">
        <v>27</v>
      </c>
      <c r="K3378" t="s">
        <v>4628</v>
      </c>
      <c r="L3378" t="s">
        <v>21</v>
      </c>
    </row>
    <row r="3379" spans="1:12">
      <c r="A3379" t="s">
        <v>4630</v>
      </c>
      <c r="B3379" t="s">
        <v>4591</v>
      </c>
      <c r="C3379" t="s">
        <v>130</v>
      </c>
      <c r="D3379">
        <v>1997</v>
      </c>
      <c r="E3379" t="s">
        <v>29</v>
      </c>
      <c r="F3379" t="s">
        <v>30</v>
      </c>
      <c r="G3379" t="s">
        <v>31</v>
      </c>
      <c r="H3379" t="s">
        <v>32</v>
      </c>
      <c r="I3379">
        <v>580.30520920000004</v>
      </c>
      <c r="J3379" t="s">
        <v>33</v>
      </c>
      <c r="K3379" t="s">
        <v>4628</v>
      </c>
      <c r="L3379" t="s">
        <v>21</v>
      </c>
    </row>
    <row r="3380" spans="1:12">
      <c r="A3380" t="s">
        <v>4631</v>
      </c>
      <c r="B3380" t="s">
        <v>4591</v>
      </c>
      <c r="C3380" t="s">
        <v>130</v>
      </c>
      <c r="D3380">
        <v>2002</v>
      </c>
      <c r="E3380" t="s">
        <v>15</v>
      </c>
      <c r="F3380" t="s">
        <v>16</v>
      </c>
      <c r="G3380" t="s">
        <v>17</v>
      </c>
      <c r="H3380" t="s">
        <v>18</v>
      </c>
      <c r="I3380">
        <v>54.496000000000002</v>
      </c>
      <c r="J3380" t="s">
        <v>19</v>
      </c>
      <c r="K3380" t="s">
        <v>4632</v>
      </c>
      <c r="L3380" t="s">
        <v>21</v>
      </c>
    </row>
    <row r="3381" spans="1:12">
      <c r="A3381" t="s">
        <v>4633</v>
      </c>
      <c r="B3381" t="s">
        <v>4591</v>
      </c>
      <c r="C3381" t="s">
        <v>130</v>
      </c>
      <c r="D3381">
        <v>2002</v>
      </c>
      <c r="E3381" t="s">
        <v>23</v>
      </c>
      <c r="F3381" t="s">
        <v>24</v>
      </c>
      <c r="G3381" t="s">
        <v>25</v>
      </c>
      <c r="H3381" t="s">
        <v>26</v>
      </c>
      <c r="I3381">
        <v>11140655</v>
      </c>
      <c r="J3381" t="s">
        <v>27</v>
      </c>
      <c r="K3381" t="s">
        <v>4632</v>
      </c>
      <c r="L3381" t="s">
        <v>21</v>
      </c>
    </row>
    <row r="3382" spans="1:12">
      <c r="A3382" t="s">
        <v>4634</v>
      </c>
      <c r="B3382" t="s">
        <v>4591</v>
      </c>
      <c r="C3382" t="s">
        <v>130</v>
      </c>
      <c r="D3382">
        <v>2002</v>
      </c>
      <c r="E3382" t="s">
        <v>29</v>
      </c>
      <c r="F3382" t="s">
        <v>30</v>
      </c>
      <c r="G3382" t="s">
        <v>31</v>
      </c>
      <c r="H3382" t="s">
        <v>32</v>
      </c>
      <c r="I3382">
        <v>601.07450119999999</v>
      </c>
      <c r="J3382" t="s">
        <v>33</v>
      </c>
      <c r="K3382" t="s">
        <v>4632</v>
      </c>
      <c r="L3382" t="s">
        <v>21</v>
      </c>
    </row>
    <row r="3383" spans="1:12">
      <c r="A3383" t="s">
        <v>4635</v>
      </c>
      <c r="B3383" t="s">
        <v>4591</v>
      </c>
      <c r="C3383" t="s">
        <v>130</v>
      </c>
      <c r="D3383">
        <v>2007</v>
      </c>
      <c r="E3383" t="s">
        <v>15</v>
      </c>
      <c r="F3383" t="s">
        <v>16</v>
      </c>
      <c r="G3383" t="s">
        <v>17</v>
      </c>
      <c r="H3383" t="s">
        <v>18</v>
      </c>
      <c r="I3383">
        <v>56.866999999999997</v>
      </c>
      <c r="J3383" t="s">
        <v>19</v>
      </c>
      <c r="K3383" t="s">
        <v>4636</v>
      </c>
      <c r="L3383" t="s">
        <v>21</v>
      </c>
    </row>
    <row r="3384" spans="1:12">
      <c r="A3384" t="s">
        <v>4637</v>
      </c>
      <c r="B3384" t="s">
        <v>4591</v>
      </c>
      <c r="C3384" t="s">
        <v>130</v>
      </c>
      <c r="D3384">
        <v>2007</v>
      </c>
      <c r="E3384" t="s">
        <v>23</v>
      </c>
      <c r="F3384" t="s">
        <v>24</v>
      </c>
      <c r="G3384" t="s">
        <v>25</v>
      </c>
      <c r="H3384" t="s">
        <v>26</v>
      </c>
      <c r="I3384">
        <v>12894865</v>
      </c>
      <c r="J3384" t="s">
        <v>27</v>
      </c>
      <c r="K3384" t="s">
        <v>4636</v>
      </c>
      <c r="L3384" t="s">
        <v>21</v>
      </c>
    </row>
    <row r="3385" spans="1:12">
      <c r="A3385" t="s">
        <v>4638</v>
      </c>
      <c r="B3385" t="s">
        <v>4591</v>
      </c>
      <c r="C3385" t="s">
        <v>130</v>
      </c>
      <c r="D3385">
        <v>2007</v>
      </c>
      <c r="E3385" t="s">
        <v>29</v>
      </c>
      <c r="F3385" t="s">
        <v>30</v>
      </c>
      <c r="G3385" t="s">
        <v>31</v>
      </c>
      <c r="H3385" t="s">
        <v>32</v>
      </c>
      <c r="I3385">
        <v>619.67689239999902</v>
      </c>
      <c r="J3385" t="s">
        <v>33</v>
      </c>
      <c r="K3385" t="s">
        <v>4636</v>
      </c>
      <c r="L3385" t="s">
        <v>21</v>
      </c>
    </row>
    <row r="3386" spans="1:12">
      <c r="A3386" t="s">
        <v>4639</v>
      </c>
      <c r="B3386" t="s">
        <v>4640</v>
      </c>
      <c r="C3386" t="s">
        <v>130</v>
      </c>
      <c r="D3386">
        <v>1952</v>
      </c>
      <c r="E3386" t="s">
        <v>15</v>
      </c>
      <c r="F3386" t="s">
        <v>16</v>
      </c>
      <c r="G3386" t="s">
        <v>17</v>
      </c>
      <c r="H3386" t="s">
        <v>18</v>
      </c>
      <c r="I3386">
        <v>36.323999999999998</v>
      </c>
      <c r="J3386" t="s">
        <v>19</v>
      </c>
      <c r="K3386" t="s">
        <v>4641</v>
      </c>
      <c r="L3386" t="s">
        <v>21</v>
      </c>
    </row>
    <row r="3387" spans="1:12">
      <c r="A3387" t="s">
        <v>4642</v>
      </c>
      <c r="B3387" t="s">
        <v>4640</v>
      </c>
      <c r="C3387" t="s">
        <v>130</v>
      </c>
      <c r="D3387">
        <v>1952</v>
      </c>
      <c r="E3387" t="s">
        <v>23</v>
      </c>
      <c r="F3387" t="s">
        <v>24</v>
      </c>
      <c r="G3387" t="s">
        <v>25</v>
      </c>
      <c r="H3387" t="s">
        <v>26</v>
      </c>
      <c r="I3387">
        <v>33119096</v>
      </c>
      <c r="J3387" t="s">
        <v>27</v>
      </c>
      <c r="K3387" t="s">
        <v>4641</v>
      </c>
      <c r="L3387" t="s">
        <v>21</v>
      </c>
    </row>
    <row r="3388" spans="1:12">
      <c r="A3388" t="s">
        <v>4643</v>
      </c>
      <c r="B3388" t="s">
        <v>4640</v>
      </c>
      <c r="C3388" t="s">
        <v>130</v>
      </c>
      <c r="D3388">
        <v>1952</v>
      </c>
      <c r="E3388" t="s">
        <v>29</v>
      </c>
      <c r="F3388" t="s">
        <v>30</v>
      </c>
      <c r="G3388" t="s">
        <v>31</v>
      </c>
      <c r="H3388" t="s">
        <v>32</v>
      </c>
      <c r="I3388">
        <v>1077.2818560000001</v>
      </c>
      <c r="J3388" t="s">
        <v>33</v>
      </c>
      <c r="K3388" t="s">
        <v>4641</v>
      </c>
      <c r="L3388" t="s">
        <v>21</v>
      </c>
    </row>
    <row r="3389" spans="1:12">
      <c r="A3389" t="s">
        <v>4644</v>
      </c>
      <c r="B3389" t="s">
        <v>4640</v>
      </c>
      <c r="C3389" t="s">
        <v>130</v>
      </c>
      <c r="D3389">
        <v>1957</v>
      </c>
      <c r="E3389" t="s">
        <v>15</v>
      </c>
      <c r="F3389" t="s">
        <v>16</v>
      </c>
      <c r="G3389" t="s">
        <v>17</v>
      </c>
      <c r="H3389" t="s">
        <v>18</v>
      </c>
      <c r="I3389">
        <v>37.802</v>
      </c>
      <c r="J3389" t="s">
        <v>19</v>
      </c>
      <c r="K3389" t="s">
        <v>4645</v>
      </c>
      <c r="L3389" t="s">
        <v>21</v>
      </c>
    </row>
    <row r="3390" spans="1:12">
      <c r="A3390" t="s">
        <v>4646</v>
      </c>
      <c r="B3390" t="s">
        <v>4640</v>
      </c>
      <c r="C3390" t="s">
        <v>130</v>
      </c>
      <c r="D3390">
        <v>1957</v>
      </c>
      <c r="E3390" t="s">
        <v>23</v>
      </c>
      <c r="F3390" t="s">
        <v>24</v>
      </c>
      <c r="G3390" t="s">
        <v>25</v>
      </c>
      <c r="H3390" t="s">
        <v>26</v>
      </c>
      <c r="I3390">
        <v>37173340</v>
      </c>
      <c r="J3390" t="s">
        <v>27</v>
      </c>
      <c r="K3390" t="s">
        <v>4645</v>
      </c>
      <c r="L3390" t="s">
        <v>21</v>
      </c>
    </row>
    <row r="3391" spans="1:12">
      <c r="A3391" t="s">
        <v>4647</v>
      </c>
      <c r="B3391" t="s">
        <v>4640</v>
      </c>
      <c r="C3391" t="s">
        <v>130</v>
      </c>
      <c r="D3391">
        <v>1957</v>
      </c>
      <c r="E3391" t="s">
        <v>29</v>
      </c>
      <c r="F3391" t="s">
        <v>30</v>
      </c>
      <c r="G3391" t="s">
        <v>31</v>
      </c>
      <c r="H3391" t="s">
        <v>32</v>
      </c>
      <c r="I3391">
        <v>1100.5925629999999</v>
      </c>
      <c r="J3391" t="s">
        <v>33</v>
      </c>
      <c r="K3391" t="s">
        <v>4645</v>
      </c>
      <c r="L3391" t="s">
        <v>21</v>
      </c>
    </row>
    <row r="3392" spans="1:12">
      <c r="A3392" t="s">
        <v>4648</v>
      </c>
      <c r="B3392" t="s">
        <v>4640</v>
      </c>
      <c r="C3392" t="s">
        <v>130</v>
      </c>
      <c r="D3392">
        <v>1962</v>
      </c>
      <c r="E3392" t="s">
        <v>15</v>
      </c>
      <c r="F3392" t="s">
        <v>16</v>
      </c>
      <c r="G3392" t="s">
        <v>17</v>
      </c>
      <c r="H3392" t="s">
        <v>18</v>
      </c>
      <c r="I3392">
        <v>39.36</v>
      </c>
      <c r="J3392" t="s">
        <v>19</v>
      </c>
      <c r="K3392" t="s">
        <v>4649</v>
      </c>
      <c r="L3392" t="s">
        <v>21</v>
      </c>
    </row>
    <row r="3393" spans="1:12">
      <c r="A3393" t="s">
        <v>4650</v>
      </c>
      <c r="B3393" t="s">
        <v>4640</v>
      </c>
      <c r="C3393" t="s">
        <v>130</v>
      </c>
      <c r="D3393">
        <v>1962</v>
      </c>
      <c r="E3393" t="s">
        <v>23</v>
      </c>
      <c r="F3393" t="s">
        <v>24</v>
      </c>
      <c r="G3393" t="s">
        <v>25</v>
      </c>
      <c r="H3393" t="s">
        <v>26</v>
      </c>
      <c r="I3393">
        <v>41871351</v>
      </c>
      <c r="J3393" t="s">
        <v>27</v>
      </c>
      <c r="K3393" t="s">
        <v>4649</v>
      </c>
      <c r="L3393" t="s">
        <v>21</v>
      </c>
    </row>
    <row r="3394" spans="1:12">
      <c r="A3394" t="s">
        <v>4651</v>
      </c>
      <c r="B3394" t="s">
        <v>4640</v>
      </c>
      <c r="C3394" t="s">
        <v>130</v>
      </c>
      <c r="D3394">
        <v>1962</v>
      </c>
      <c r="E3394" t="s">
        <v>29</v>
      </c>
      <c r="F3394" t="s">
        <v>30</v>
      </c>
      <c r="G3394" t="s">
        <v>31</v>
      </c>
      <c r="H3394" t="s">
        <v>32</v>
      </c>
      <c r="I3394">
        <v>1150.9274779999901</v>
      </c>
      <c r="J3394" t="s">
        <v>33</v>
      </c>
      <c r="K3394" t="s">
        <v>4649</v>
      </c>
      <c r="L3394" t="s">
        <v>21</v>
      </c>
    </row>
    <row r="3395" spans="1:12">
      <c r="A3395" t="s">
        <v>4652</v>
      </c>
      <c r="B3395" t="s">
        <v>4640</v>
      </c>
      <c r="C3395" t="s">
        <v>130</v>
      </c>
      <c r="D3395">
        <v>1967</v>
      </c>
      <c r="E3395" t="s">
        <v>15</v>
      </c>
      <c r="F3395" t="s">
        <v>16</v>
      </c>
      <c r="G3395" t="s">
        <v>17</v>
      </c>
      <c r="H3395" t="s">
        <v>18</v>
      </c>
      <c r="I3395">
        <v>41.04</v>
      </c>
      <c r="J3395" t="s">
        <v>19</v>
      </c>
      <c r="K3395" t="s">
        <v>4653</v>
      </c>
      <c r="L3395" t="s">
        <v>21</v>
      </c>
    </row>
    <row r="3396" spans="1:12">
      <c r="A3396" t="s">
        <v>4654</v>
      </c>
      <c r="B3396" t="s">
        <v>4640</v>
      </c>
      <c r="C3396" t="s">
        <v>130</v>
      </c>
      <c r="D3396">
        <v>1967</v>
      </c>
      <c r="E3396" t="s">
        <v>23</v>
      </c>
      <c r="F3396" t="s">
        <v>24</v>
      </c>
      <c r="G3396" t="s">
        <v>25</v>
      </c>
      <c r="H3396" t="s">
        <v>26</v>
      </c>
      <c r="I3396">
        <v>47287752</v>
      </c>
      <c r="J3396" t="s">
        <v>27</v>
      </c>
      <c r="K3396" t="s">
        <v>4653</v>
      </c>
      <c r="L3396" t="s">
        <v>21</v>
      </c>
    </row>
    <row r="3397" spans="1:12">
      <c r="A3397" t="s">
        <v>4655</v>
      </c>
      <c r="B3397" t="s">
        <v>4640</v>
      </c>
      <c r="C3397" t="s">
        <v>130</v>
      </c>
      <c r="D3397">
        <v>1967</v>
      </c>
      <c r="E3397" t="s">
        <v>29</v>
      </c>
      <c r="F3397" t="s">
        <v>30</v>
      </c>
      <c r="G3397" t="s">
        <v>31</v>
      </c>
      <c r="H3397" t="s">
        <v>32</v>
      </c>
      <c r="I3397">
        <v>1014.514104</v>
      </c>
      <c r="J3397" t="s">
        <v>33</v>
      </c>
      <c r="K3397" t="s">
        <v>4653</v>
      </c>
      <c r="L3397" t="s">
        <v>21</v>
      </c>
    </row>
    <row r="3398" spans="1:12">
      <c r="A3398" t="s">
        <v>4656</v>
      </c>
      <c r="B3398" t="s">
        <v>4640</v>
      </c>
      <c r="C3398" t="s">
        <v>130</v>
      </c>
      <c r="D3398">
        <v>1972</v>
      </c>
      <c r="E3398" t="s">
        <v>15</v>
      </c>
      <c r="F3398" t="s">
        <v>16</v>
      </c>
      <c r="G3398" t="s">
        <v>17</v>
      </c>
      <c r="H3398" t="s">
        <v>18</v>
      </c>
      <c r="I3398">
        <v>42.820999999999998</v>
      </c>
      <c r="J3398" t="s">
        <v>19</v>
      </c>
      <c r="K3398" t="s">
        <v>4657</v>
      </c>
      <c r="L3398" t="s">
        <v>21</v>
      </c>
    </row>
    <row r="3399" spans="1:12">
      <c r="A3399" t="s">
        <v>4658</v>
      </c>
      <c r="B3399" t="s">
        <v>4640</v>
      </c>
      <c r="C3399" t="s">
        <v>130</v>
      </c>
      <c r="D3399">
        <v>1972</v>
      </c>
      <c r="E3399" t="s">
        <v>23</v>
      </c>
      <c r="F3399" t="s">
        <v>24</v>
      </c>
      <c r="G3399" t="s">
        <v>25</v>
      </c>
      <c r="H3399" t="s">
        <v>26</v>
      </c>
      <c r="I3399">
        <v>53740085</v>
      </c>
      <c r="J3399" t="s">
        <v>27</v>
      </c>
      <c r="K3399" t="s">
        <v>4657</v>
      </c>
      <c r="L3399" t="s">
        <v>21</v>
      </c>
    </row>
    <row r="3400" spans="1:12">
      <c r="A3400" t="s">
        <v>4659</v>
      </c>
      <c r="B3400" t="s">
        <v>4640</v>
      </c>
      <c r="C3400" t="s">
        <v>130</v>
      </c>
      <c r="D3400">
        <v>1972</v>
      </c>
      <c r="E3400" t="s">
        <v>29</v>
      </c>
      <c r="F3400" t="s">
        <v>30</v>
      </c>
      <c r="G3400" t="s">
        <v>31</v>
      </c>
      <c r="H3400" t="s">
        <v>32</v>
      </c>
      <c r="I3400">
        <v>1698.3888380000001</v>
      </c>
      <c r="J3400" t="s">
        <v>33</v>
      </c>
      <c r="K3400" t="s">
        <v>4657</v>
      </c>
      <c r="L3400" t="s">
        <v>21</v>
      </c>
    </row>
    <row r="3401" spans="1:12">
      <c r="A3401" t="s">
        <v>4660</v>
      </c>
      <c r="B3401" t="s">
        <v>4640</v>
      </c>
      <c r="C3401" t="s">
        <v>130</v>
      </c>
      <c r="D3401">
        <v>1977</v>
      </c>
      <c r="E3401" t="s">
        <v>15</v>
      </c>
      <c r="F3401" t="s">
        <v>16</v>
      </c>
      <c r="G3401" t="s">
        <v>17</v>
      </c>
      <c r="H3401" t="s">
        <v>18</v>
      </c>
      <c r="I3401">
        <v>44.514000000000003</v>
      </c>
      <c r="J3401" t="s">
        <v>19</v>
      </c>
      <c r="K3401" t="s">
        <v>4661</v>
      </c>
      <c r="L3401" t="s">
        <v>21</v>
      </c>
    </row>
    <row r="3402" spans="1:12">
      <c r="A3402" t="s">
        <v>4662</v>
      </c>
      <c r="B3402" t="s">
        <v>4640</v>
      </c>
      <c r="C3402" t="s">
        <v>130</v>
      </c>
      <c r="D3402">
        <v>1977</v>
      </c>
      <c r="E3402" t="s">
        <v>23</v>
      </c>
      <c r="F3402" t="s">
        <v>24</v>
      </c>
      <c r="G3402" t="s">
        <v>25</v>
      </c>
      <c r="H3402" t="s">
        <v>26</v>
      </c>
      <c r="I3402">
        <v>62209173</v>
      </c>
      <c r="J3402" t="s">
        <v>27</v>
      </c>
      <c r="K3402" t="s">
        <v>4661</v>
      </c>
      <c r="L3402" t="s">
        <v>21</v>
      </c>
    </row>
    <row r="3403" spans="1:12">
      <c r="A3403" t="s">
        <v>4663</v>
      </c>
      <c r="B3403" t="s">
        <v>4640</v>
      </c>
      <c r="C3403" t="s">
        <v>130</v>
      </c>
      <c r="D3403">
        <v>1977</v>
      </c>
      <c r="E3403" t="s">
        <v>29</v>
      </c>
      <c r="F3403" t="s">
        <v>30</v>
      </c>
      <c r="G3403" t="s">
        <v>31</v>
      </c>
      <c r="H3403" t="s">
        <v>32</v>
      </c>
      <c r="I3403">
        <v>1981.951806</v>
      </c>
      <c r="J3403" t="s">
        <v>33</v>
      </c>
      <c r="K3403" t="s">
        <v>4661</v>
      </c>
      <c r="L3403" t="s">
        <v>21</v>
      </c>
    </row>
    <row r="3404" spans="1:12">
      <c r="A3404" t="s">
        <v>4664</v>
      </c>
      <c r="B3404" t="s">
        <v>4640</v>
      </c>
      <c r="C3404" t="s">
        <v>130</v>
      </c>
      <c r="D3404">
        <v>1982</v>
      </c>
      <c r="E3404" t="s">
        <v>15</v>
      </c>
      <c r="F3404" t="s">
        <v>16</v>
      </c>
      <c r="G3404" t="s">
        <v>17</v>
      </c>
      <c r="H3404" t="s">
        <v>18</v>
      </c>
      <c r="I3404">
        <v>45.826000000000001</v>
      </c>
      <c r="J3404" t="s">
        <v>19</v>
      </c>
      <c r="K3404" t="s">
        <v>4665</v>
      </c>
      <c r="L3404" t="s">
        <v>21</v>
      </c>
    </row>
    <row r="3405" spans="1:12">
      <c r="A3405" t="s">
        <v>4666</v>
      </c>
      <c r="B3405" t="s">
        <v>4640</v>
      </c>
      <c r="C3405" t="s">
        <v>130</v>
      </c>
      <c r="D3405">
        <v>1982</v>
      </c>
      <c r="E3405" t="s">
        <v>23</v>
      </c>
      <c r="F3405" t="s">
        <v>24</v>
      </c>
      <c r="G3405" t="s">
        <v>25</v>
      </c>
      <c r="H3405" t="s">
        <v>26</v>
      </c>
      <c r="I3405">
        <v>73039376</v>
      </c>
      <c r="J3405" t="s">
        <v>27</v>
      </c>
      <c r="K3405" t="s">
        <v>4665</v>
      </c>
      <c r="L3405" t="s">
        <v>21</v>
      </c>
    </row>
    <row r="3406" spans="1:12">
      <c r="A3406" t="s">
        <v>4667</v>
      </c>
      <c r="B3406" t="s">
        <v>4640</v>
      </c>
      <c r="C3406" t="s">
        <v>130</v>
      </c>
      <c r="D3406">
        <v>1982</v>
      </c>
      <c r="E3406" t="s">
        <v>29</v>
      </c>
      <c r="F3406" t="s">
        <v>30</v>
      </c>
      <c r="G3406" t="s">
        <v>31</v>
      </c>
      <c r="H3406" t="s">
        <v>32</v>
      </c>
      <c r="I3406">
        <v>1576.9737500000001</v>
      </c>
      <c r="J3406" t="s">
        <v>33</v>
      </c>
      <c r="K3406" t="s">
        <v>4665</v>
      </c>
      <c r="L3406" t="s">
        <v>21</v>
      </c>
    </row>
    <row r="3407" spans="1:12">
      <c r="A3407" t="s">
        <v>4668</v>
      </c>
      <c r="B3407" t="s">
        <v>4640</v>
      </c>
      <c r="C3407" t="s">
        <v>130</v>
      </c>
      <c r="D3407">
        <v>1987</v>
      </c>
      <c r="E3407" t="s">
        <v>15</v>
      </c>
      <c r="F3407" t="s">
        <v>16</v>
      </c>
      <c r="G3407" t="s">
        <v>17</v>
      </c>
      <c r="H3407" t="s">
        <v>18</v>
      </c>
      <c r="I3407">
        <v>46.886000000000003</v>
      </c>
      <c r="J3407" t="s">
        <v>19</v>
      </c>
      <c r="K3407" t="s">
        <v>4669</v>
      </c>
      <c r="L3407" t="s">
        <v>21</v>
      </c>
    </row>
    <row r="3408" spans="1:12">
      <c r="A3408" t="s">
        <v>4670</v>
      </c>
      <c r="B3408" t="s">
        <v>4640</v>
      </c>
      <c r="C3408" t="s">
        <v>130</v>
      </c>
      <c r="D3408">
        <v>1987</v>
      </c>
      <c r="E3408" t="s">
        <v>23</v>
      </c>
      <c r="F3408" t="s">
        <v>24</v>
      </c>
      <c r="G3408" t="s">
        <v>25</v>
      </c>
      <c r="H3408" t="s">
        <v>26</v>
      </c>
      <c r="I3408">
        <v>81551520</v>
      </c>
      <c r="J3408" t="s">
        <v>27</v>
      </c>
      <c r="K3408" t="s">
        <v>4669</v>
      </c>
      <c r="L3408" t="s">
        <v>21</v>
      </c>
    </row>
    <row r="3409" spans="1:12">
      <c r="A3409" t="s">
        <v>4671</v>
      </c>
      <c r="B3409" t="s">
        <v>4640</v>
      </c>
      <c r="C3409" t="s">
        <v>130</v>
      </c>
      <c r="D3409">
        <v>1987</v>
      </c>
      <c r="E3409" t="s">
        <v>29</v>
      </c>
      <c r="F3409" t="s">
        <v>30</v>
      </c>
      <c r="G3409" t="s">
        <v>31</v>
      </c>
      <c r="H3409" t="s">
        <v>32</v>
      </c>
      <c r="I3409">
        <v>1385.0295630000001</v>
      </c>
      <c r="J3409" t="s">
        <v>33</v>
      </c>
      <c r="K3409" t="s">
        <v>4669</v>
      </c>
      <c r="L3409" t="s">
        <v>21</v>
      </c>
    </row>
    <row r="3410" spans="1:12">
      <c r="A3410" t="s">
        <v>4672</v>
      </c>
      <c r="B3410" t="s">
        <v>4640</v>
      </c>
      <c r="C3410" t="s">
        <v>130</v>
      </c>
      <c r="D3410">
        <v>1992</v>
      </c>
      <c r="E3410" t="s">
        <v>15</v>
      </c>
      <c r="F3410" t="s">
        <v>16</v>
      </c>
      <c r="G3410" t="s">
        <v>17</v>
      </c>
      <c r="H3410" t="s">
        <v>18</v>
      </c>
      <c r="I3410">
        <v>47.472000000000001</v>
      </c>
      <c r="J3410" t="s">
        <v>19</v>
      </c>
      <c r="K3410" t="s">
        <v>4673</v>
      </c>
      <c r="L3410" t="s">
        <v>21</v>
      </c>
    </row>
    <row r="3411" spans="1:12">
      <c r="A3411" t="s">
        <v>4674</v>
      </c>
      <c r="B3411" t="s">
        <v>4640</v>
      </c>
      <c r="C3411" t="s">
        <v>130</v>
      </c>
      <c r="D3411">
        <v>1992</v>
      </c>
      <c r="E3411" t="s">
        <v>23</v>
      </c>
      <c r="F3411" t="s">
        <v>24</v>
      </c>
      <c r="G3411" t="s">
        <v>25</v>
      </c>
      <c r="H3411" t="s">
        <v>26</v>
      </c>
      <c r="I3411">
        <v>93364244</v>
      </c>
      <c r="J3411" t="s">
        <v>27</v>
      </c>
      <c r="K3411" t="s">
        <v>4673</v>
      </c>
      <c r="L3411" t="s">
        <v>21</v>
      </c>
    </row>
    <row r="3412" spans="1:12">
      <c r="A3412" t="s">
        <v>4675</v>
      </c>
      <c r="B3412" t="s">
        <v>4640</v>
      </c>
      <c r="C3412" t="s">
        <v>130</v>
      </c>
      <c r="D3412">
        <v>1992</v>
      </c>
      <c r="E3412" t="s">
        <v>29</v>
      </c>
      <c r="F3412" t="s">
        <v>30</v>
      </c>
      <c r="G3412" t="s">
        <v>31</v>
      </c>
      <c r="H3412" t="s">
        <v>32</v>
      </c>
      <c r="I3412">
        <v>1619.848217</v>
      </c>
      <c r="J3412" t="s">
        <v>33</v>
      </c>
      <c r="K3412" t="s">
        <v>4673</v>
      </c>
      <c r="L3412" t="s">
        <v>21</v>
      </c>
    </row>
    <row r="3413" spans="1:12">
      <c r="A3413" t="s">
        <v>4676</v>
      </c>
      <c r="B3413" t="s">
        <v>4640</v>
      </c>
      <c r="C3413" t="s">
        <v>130</v>
      </c>
      <c r="D3413">
        <v>1997</v>
      </c>
      <c r="E3413" t="s">
        <v>15</v>
      </c>
      <c r="F3413" t="s">
        <v>16</v>
      </c>
      <c r="G3413" t="s">
        <v>17</v>
      </c>
      <c r="H3413" t="s">
        <v>18</v>
      </c>
      <c r="I3413">
        <v>47.463999999999999</v>
      </c>
      <c r="J3413" t="s">
        <v>19</v>
      </c>
      <c r="K3413" t="s">
        <v>4677</v>
      </c>
      <c r="L3413" t="s">
        <v>21</v>
      </c>
    </row>
    <row r="3414" spans="1:12">
      <c r="A3414" t="s">
        <v>4678</v>
      </c>
      <c r="B3414" t="s">
        <v>4640</v>
      </c>
      <c r="C3414" t="s">
        <v>130</v>
      </c>
      <c r="D3414">
        <v>1997</v>
      </c>
      <c r="E3414" t="s">
        <v>23</v>
      </c>
      <c r="F3414" t="s">
        <v>24</v>
      </c>
      <c r="G3414" t="s">
        <v>25</v>
      </c>
      <c r="H3414" t="s">
        <v>26</v>
      </c>
      <c r="I3414">
        <v>106207839</v>
      </c>
      <c r="J3414" t="s">
        <v>27</v>
      </c>
      <c r="K3414" t="s">
        <v>4677</v>
      </c>
      <c r="L3414" t="s">
        <v>21</v>
      </c>
    </row>
    <row r="3415" spans="1:12">
      <c r="A3415" t="s">
        <v>4679</v>
      </c>
      <c r="B3415" t="s">
        <v>4640</v>
      </c>
      <c r="C3415" t="s">
        <v>130</v>
      </c>
      <c r="D3415">
        <v>1997</v>
      </c>
      <c r="E3415" t="s">
        <v>29</v>
      </c>
      <c r="F3415" t="s">
        <v>30</v>
      </c>
      <c r="G3415" t="s">
        <v>31</v>
      </c>
      <c r="H3415" t="s">
        <v>32</v>
      </c>
      <c r="I3415">
        <v>1624.9412749999999</v>
      </c>
      <c r="J3415" t="s">
        <v>33</v>
      </c>
      <c r="K3415" t="s">
        <v>4677</v>
      </c>
      <c r="L3415" t="s">
        <v>21</v>
      </c>
    </row>
    <row r="3416" spans="1:12">
      <c r="A3416" t="s">
        <v>4680</v>
      </c>
      <c r="B3416" t="s">
        <v>4640</v>
      </c>
      <c r="C3416" t="s">
        <v>130</v>
      </c>
      <c r="D3416">
        <v>2002</v>
      </c>
      <c r="E3416" t="s">
        <v>15</v>
      </c>
      <c r="F3416" t="s">
        <v>16</v>
      </c>
      <c r="G3416" t="s">
        <v>17</v>
      </c>
      <c r="H3416" t="s">
        <v>18</v>
      </c>
      <c r="I3416">
        <v>46.607999999999997</v>
      </c>
      <c r="J3416" t="s">
        <v>19</v>
      </c>
      <c r="K3416" t="s">
        <v>4681</v>
      </c>
      <c r="L3416" t="s">
        <v>21</v>
      </c>
    </row>
    <row r="3417" spans="1:12">
      <c r="A3417" t="s">
        <v>4682</v>
      </c>
      <c r="B3417" t="s">
        <v>4640</v>
      </c>
      <c r="C3417" t="s">
        <v>130</v>
      </c>
      <c r="D3417">
        <v>2002</v>
      </c>
      <c r="E3417" t="s">
        <v>23</v>
      </c>
      <c r="F3417" t="s">
        <v>24</v>
      </c>
      <c r="G3417" t="s">
        <v>25</v>
      </c>
      <c r="H3417" t="s">
        <v>26</v>
      </c>
      <c r="I3417">
        <v>119901274</v>
      </c>
      <c r="J3417" t="s">
        <v>27</v>
      </c>
      <c r="K3417" t="s">
        <v>4681</v>
      </c>
      <c r="L3417" t="s">
        <v>21</v>
      </c>
    </row>
    <row r="3418" spans="1:12">
      <c r="A3418" t="s">
        <v>4683</v>
      </c>
      <c r="B3418" t="s">
        <v>4640</v>
      </c>
      <c r="C3418" t="s">
        <v>130</v>
      </c>
      <c r="D3418">
        <v>2002</v>
      </c>
      <c r="E3418" t="s">
        <v>29</v>
      </c>
      <c r="F3418" t="s">
        <v>30</v>
      </c>
      <c r="G3418" t="s">
        <v>31</v>
      </c>
      <c r="H3418" t="s">
        <v>32</v>
      </c>
      <c r="I3418">
        <v>1615.2863950000001</v>
      </c>
      <c r="J3418" t="s">
        <v>33</v>
      </c>
      <c r="K3418" t="s">
        <v>4681</v>
      </c>
      <c r="L3418" t="s">
        <v>21</v>
      </c>
    </row>
    <row r="3419" spans="1:12">
      <c r="A3419" t="s">
        <v>4684</v>
      </c>
      <c r="B3419" t="s">
        <v>4640</v>
      </c>
      <c r="C3419" t="s">
        <v>130</v>
      </c>
      <c r="D3419">
        <v>2007</v>
      </c>
      <c r="E3419" t="s">
        <v>15</v>
      </c>
      <c r="F3419" t="s">
        <v>16</v>
      </c>
      <c r="G3419" t="s">
        <v>17</v>
      </c>
      <c r="H3419" t="s">
        <v>18</v>
      </c>
      <c r="I3419">
        <v>46.859000000000002</v>
      </c>
      <c r="J3419" t="s">
        <v>19</v>
      </c>
      <c r="K3419" t="s">
        <v>4685</v>
      </c>
      <c r="L3419" t="s">
        <v>21</v>
      </c>
    </row>
    <row r="3420" spans="1:12">
      <c r="A3420" t="s">
        <v>4686</v>
      </c>
      <c r="B3420" t="s">
        <v>4640</v>
      </c>
      <c r="C3420" t="s">
        <v>130</v>
      </c>
      <c r="D3420">
        <v>2007</v>
      </c>
      <c r="E3420" t="s">
        <v>23</v>
      </c>
      <c r="F3420" t="s">
        <v>24</v>
      </c>
      <c r="G3420" t="s">
        <v>25</v>
      </c>
      <c r="H3420" t="s">
        <v>26</v>
      </c>
      <c r="I3420">
        <v>135031164</v>
      </c>
      <c r="J3420" t="s">
        <v>27</v>
      </c>
      <c r="K3420" t="s">
        <v>4685</v>
      </c>
      <c r="L3420" t="s">
        <v>21</v>
      </c>
    </row>
    <row r="3421" spans="1:12">
      <c r="A3421" t="s">
        <v>4687</v>
      </c>
      <c r="B3421" t="s">
        <v>4640</v>
      </c>
      <c r="C3421" t="s">
        <v>130</v>
      </c>
      <c r="D3421">
        <v>2007</v>
      </c>
      <c r="E3421" t="s">
        <v>29</v>
      </c>
      <c r="F3421" t="s">
        <v>30</v>
      </c>
      <c r="G3421" t="s">
        <v>31</v>
      </c>
      <c r="H3421" t="s">
        <v>32</v>
      </c>
      <c r="I3421">
        <v>2013.9773049999999</v>
      </c>
      <c r="J3421" t="s">
        <v>33</v>
      </c>
      <c r="K3421" t="s">
        <v>4685</v>
      </c>
      <c r="L3421" t="s">
        <v>21</v>
      </c>
    </row>
    <row r="3422" spans="1:12">
      <c r="A3422" t="s">
        <v>4688</v>
      </c>
      <c r="B3422" t="s">
        <v>4689</v>
      </c>
      <c r="C3422" t="s">
        <v>80</v>
      </c>
      <c r="D3422">
        <v>1952</v>
      </c>
      <c r="E3422" t="s">
        <v>15</v>
      </c>
      <c r="F3422" t="s">
        <v>16</v>
      </c>
      <c r="G3422" t="s">
        <v>17</v>
      </c>
      <c r="H3422" t="s">
        <v>18</v>
      </c>
      <c r="I3422">
        <v>72.67</v>
      </c>
      <c r="J3422" t="s">
        <v>19</v>
      </c>
      <c r="K3422" t="s">
        <v>4690</v>
      </c>
      <c r="L3422" t="s">
        <v>21</v>
      </c>
    </row>
    <row r="3423" spans="1:12">
      <c r="A3423" t="s">
        <v>4691</v>
      </c>
      <c r="B3423" t="s">
        <v>4689</v>
      </c>
      <c r="C3423" t="s">
        <v>80</v>
      </c>
      <c r="D3423">
        <v>1952</v>
      </c>
      <c r="E3423" t="s">
        <v>23</v>
      </c>
      <c r="F3423" t="s">
        <v>24</v>
      </c>
      <c r="G3423" t="s">
        <v>25</v>
      </c>
      <c r="H3423" t="s">
        <v>26</v>
      </c>
      <c r="I3423">
        <v>3327728</v>
      </c>
      <c r="J3423" t="s">
        <v>27</v>
      </c>
      <c r="K3423" t="s">
        <v>4690</v>
      </c>
      <c r="L3423" t="s">
        <v>21</v>
      </c>
    </row>
    <row r="3424" spans="1:12">
      <c r="A3424" t="s">
        <v>4692</v>
      </c>
      <c r="B3424" t="s">
        <v>4689</v>
      </c>
      <c r="C3424" t="s">
        <v>80</v>
      </c>
      <c r="D3424">
        <v>1952</v>
      </c>
      <c r="E3424" t="s">
        <v>29</v>
      </c>
      <c r="F3424" t="s">
        <v>30</v>
      </c>
      <c r="G3424" t="s">
        <v>31</v>
      </c>
      <c r="H3424" t="s">
        <v>32</v>
      </c>
      <c r="I3424">
        <v>10095.42172</v>
      </c>
      <c r="J3424" t="s">
        <v>33</v>
      </c>
      <c r="K3424" t="s">
        <v>4690</v>
      </c>
      <c r="L3424" t="s">
        <v>21</v>
      </c>
    </row>
    <row r="3425" spans="1:12">
      <c r="A3425" t="s">
        <v>4693</v>
      </c>
      <c r="B3425" t="s">
        <v>4689</v>
      </c>
      <c r="C3425" t="s">
        <v>80</v>
      </c>
      <c r="D3425">
        <v>1957</v>
      </c>
      <c r="E3425" t="s">
        <v>15</v>
      </c>
      <c r="F3425" t="s">
        <v>16</v>
      </c>
      <c r="G3425" t="s">
        <v>17</v>
      </c>
      <c r="H3425" t="s">
        <v>18</v>
      </c>
      <c r="I3425">
        <v>73.44</v>
      </c>
      <c r="J3425" t="s">
        <v>19</v>
      </c>
      <c r="K3425" t="s">
        <v>4694</v>
      </c>
      <c r="L3425" t="s">
        <v>21</v>
      </c>
    </row>
    <row r="3426" spans="1:12">
      <c r="A3426" t="s">
        <v>4695</v>
      </c>
      <c r="B3426" t="s">
        <v>4689</v>
      </c>
      <c r="C3426" t="s">
        <v>80</v>
      </c>
      <c r="D3426">
        <v>1957</v>
      </c>
      <c r="E3426" t="s">
        <v>23</v>
      </c>
      <c r="F3426" t="s">
        <v>24</v>
      </c>
      <c r="G3426" t="s">
        <v>25</v>
      </c>
      <c r="H3426" t="s">
        <v>26</v>
      </c>
      <c r="I3426">
        <v>3491938</v>
      </c>
      <c r="J3426" t="s">
        <v>27</v>
      </c>
      <c r="K3426" t="s">
        <v>4694</v>
      </c>
      <c r="L3426" t="s">
        <v>21</v>
      </c>
    </row>
    <row r="3427" spans="1:12">
      <c r="A3427" t="s">
        <v>4696</v>
      </c>
      <c r="B3427" t="s">
        <v>4689</v>
      </c>
      <c r="C3427" t="s">
        <v>80</v>
      </c>
      <c r="D3427">
        <v>1957</v>
      </c>
      <c r="E3427" t="s">
        <v>29</v>
      </c>
      <c r="F3427" t="s">
        <v>30</v>
      </c>
      <c r="G3427" t="s">
        <v>31</v>
      </c>
      <c r="H3427" t="s">
        <v>32</v>
      </c>
      <c r="I3427">
        <v>11653.973040000001</v>
      </c>
      <c r="J3427" t="s">
        <v>33</v>
      </c>
      <c r="K3427" t="s">
        <v>4694</v>
      </c>
      <c r="L3427" t="s">
        <v>21</v>
      </c>
    </row>
    <row r="3428" spans="1:12">
      <c r="A3428" t="s">
        <v>4697</v>
      </c>
      <c r="B3428" t="s">
        <v>4689</v>
      </c>
      <c r="C3428" t="s">
        <v>80</v>
      </c>
      <c r="D3428">
        <v>1962</v>
      </c>
      <c r="E3428" t="s">
        <v>15</v>
      </c>
      <c r="F3428" t="s">
        <v>16</v>
      </c>
      <c r="G3428" t="s">
        <v>17</v>
      </c>
      <c r="H3428" t="s">
        <v>18</v>
      </c>
      <c r="I3428">
        <v>73.47</v>
      </c>
      <c r="J3428" t="s">
        <v>19</v>
      </c>
      <c r="K3428" t="s">
        <v>4698</v>
      </c>
      <c r="L3428" t="s">
        <v>21</v>
      </c>
    </row>
    <row r="3429" spans="1:12">
      <c r="A3429" t="s">
        <v>4699</v>
      </c>
      <c r="B3429" t="s">
        <v>4689</v>
      </c>
      <c r="C3429" t="s">
        <v>80</v>
      </c>
      <c r="D3429">
        <v>1962</v>
      </c>
      <c r="E3429" t="s">
        <v>23</v>
      </c>
      <c r="F3429" t="s">
        <v>24</v>
      </c>
      <c r="G3429" t="s">
        <v>25</v>
      </c>
      <c r="H3429" t="s">
        <v>26</v>
      </c>
      <c r="I3429">
        <v>3638919</v>
      </c>
      <c r="J3429" t="s">
        <v>27</v>
      </c>
      <c r="K3429" t="s">
        <v>4698</v>
      </c>
      <c r="L3429" t="s">
        <v>21</v>
      </c>
    </row>
    <row r="3430" spans="1:12">
      <c r="A3430" t="s">
        <v>4700</v>
      </c>
      <c r="B3430" t="s">
        <v>4689</v>
      </c>
      <c r="C3430" t="s">
        <v>80</v>
      </c>
      <c r="D3430">
        <v>1962</v>
      </c>
      <c r="E3430" t="s">
        <v>29</v>
      </c>
      <c r="F3430" t="s">
        <v>30</v>
      </c>
      <c r="G3430" t="s">
        <v>31</v>
      </c>
      <c r="H3430" t="s">
        <v>32</v>
      </c>
      <c r="I3430">
        <v>13450.40151</v>
      </c>
      <c r="J3430" t="s">
        <v>33</v>
      </c>
      <c r="K3430" t="s">
        <v>4698</v>
      </c>
      <c r="L3430" t="s">
        <v>21</v>
      </c>
    </row>
    <row r="3431" spans="1:12">
      <c r="A3431" t="s">
        <v>4701</v>
      </c>
      <c r="B3431" t="s">
        <v>4689</v>
      </c>
      <c r="C3431" t="s">
        <v>80</v>
      </c>
      <c r="D3431">
        <v>1967</v>
      </c>
      <c r="E3431" t="s">
        <v>15</v>
      </c>
      <c r="F3431" t="s">
        <v>16</v>
      </c>
      <c r="G3431" t="s">
        <v>17</v>
      </c>
      <c r="H3431" t="s">
        <v>18</v>
      </c>
      <c r="I3431">
        <v>74.08</v>
      </c>
      <c r="J3431" t="s">
        <v>19</v>
      </c>
      <c r="K3431" t="s">
        <v>4702</v>
      </c>
      <c r="L3431" t="s">
        <v>21</v>
      </c>
    </row>
    <row r="3432" spans="1:12">
      <c r="A3432" t="s">
        <v>4703</v>
      </c>
      <c r="B3432" t="s">
        <v>4689</v>
      </c>
      <c r="C3432" t="s">
        <v>80</v>
      </c>
      <c r="D3432">
        <v>1967</v>
      </c>
      <c r="E3432" t="s">
        <v>23</v>
      </c>
      <c r="F3432" t="s">
        <v>24</v>
      </c>
      <c r="G3432" t="s">
        <v>25</v>
      </c>
      <c r="H3432" t="s">
        <v>26</v>
      </c>
      <c r="I3432">
        <v>3786019</v>
      </c>
      <c r="J3432" t="s">
        <v>27</v>
      </c>
      <c r="K3432" t="s">
        <v>4702</v>
      </c>
      <c r="L3432" t="s">
        <v>21</v>
      </c>
    </row>
    <row r="3433" spans="1:12">
      <c r="A3433" t="s">
        <v>4704</v>
      </c>
      <c r="B3433" t="s">
        <v>4689</v>
      </c>
      <c r="C3433" t="s">
        <v>80</v>
      </c>
      <c r="D3433">
        <v>1967</v>
      </c>
      <c r="E3433" t="s">
        <v>29</v>
      </c>
      <c r="F3433" t="s">
        <v>30</v>
      </c>
      <c r="G3433" t="s">
        <v>31</v>
      </c>
      <c r="H3433" t="s">
        <v>32</v>
      </c>
      <c r="I3433">
        <v>16361.876469999999</v>
      </c>
      <c r="J3433" t="s">
        <v>33</v>
      </c>
      <c r="K3433" t="s">
        <v>4702</v>
      </c>
      <c r="L3433" t="s">
        <v>21</v>
      </c>
    </row>
    <row r="3434" spans="1:12">
      <c r="A3434" t="s">
        <v>4705</v>
      </c>
      <c r="B3434" t="s">
        <v>4689</v>
      </c>
      <c r="C3434" t="s">
        <v>80</v>
      </c>
      <c r="D3434">
        <v>1972</v>
      </c>
      <c r="E3434" t="s">
        <v>15</v>
      </c>
      <c r="F3434" t="s">
        <v>16</v>
      </c>
      <c r="G3434" t="s">
        <v>17</v>
      </c>
      <c r="H3434" t="s">
        <v>18</v>
      </c>
      <c r="I3434">
        <v>74.34</v>
      </c>
      <c r="J3434" t="s">
        <v>19</v>
      </c>
      <c r="K3434" t="s">
        <v>4706</v>
      </c>
      <c r="L3434" t="s">
        <v>21</v>
      </c>
    </row>
    <row r="3435" spans="1:12">
      <c r="A3435" t="s">
        <v>4707</v>
      </c>
      <c r="B3435" t="s">
        <v>4689</v>
      </c>
      <c r="C3435" t="s">
        <v>80</v>
      </c>
      <c r="D3435">
        <v>1972</v>
      </c>
      <c r="E3435" t="s">
        <v>23</v>
      </c>
      <c r="F3435" t="s">
        <v>24</v>
      </c>
      <c r="G3435" t="s">
        <v>25</v>
      </c>
      <c r="H3435" t="s">
        <v>26</v>
      </c>
      <c r="I3435">
        <v>3933004</v>
      </c>
      <c r="J3435" t="s">
        <v>27</v>
      </c>
      <c r="K3435" t="s">
        <v>4706</v>
      </c>
      <c r="L3435" t="s">
        <v>21</v>
      </c>
    </row>
    <row r="3436" spans="1:12">
      <c r="A3436" t="s">
        <v>4708</v>
      </c>
      <c r="B3436" t="s">
        <v>4689</v>
      </c>
      <c r="C3436" t="s">
        <v>80</v>
      </c>
      <c r="D3436">
        <v>1972</v>
      </c>
      <c r="E3436" t="s">
        <v>29</v>
      </c>
      <c r="F3436" t="s">
        <v>30</v>
      </c>
      <c r="G3436" t="s">
        <v>31</v>
      </c>
      <c r="H3436" t="s">
        <v>32</v>
      </c>
      <c r="I3436">
        <v>18965.055509999998</v>
      </c>
      <c r="J3436" t="s">
        <v>33</v>
      </c>
      <c r="K3436" t="s">
        <v>4706</v>
      </c>
      <c r="L3436" t="s">
        <v>21</v>
      </c>
    </row>
    <row r="3437" spans="1:12">
      <c r="A3437" t="s">
        <v>4709</v>
      </c>
      <c r="B3437" t="s">
        <v>4689</v>
      </c>
      <c r="C3437" t="s">
        <v>80</v>
      </c>
      <c r="D3437">
        <v>1977</v>
      </c>
      <c r="E3437" t="s">
        <v>15</v>
      </c>
      <c r="F3437" t="s">
        <v>16</v>
      </c>
      <c r="G3437" t="s">
        <v>17</v>
      </c>
      <c r="H3437" t="s">
        <v>18</v>
      </c>
      <c r="I3437">
        <v>75.37</v>
      </c>
      <c r="J3437" t="s">
        <v>19</v>
      </c>
      <c r="K3437" t="s">
        <v>4710</v>
      </c>
      <c r="L3437" t="s">
        <v>21</v>
      </c>
    </row>
    <row r="3438" spans="1:12">
      <c r="A3438" t="s">
        <v>4711</v>
      </c>
      <c r="B3438" t="s">
        <v>4689</v>
      </c>
      <c r="C3438" t="s">
        <v>80</v>
      </c>
      <c r="D3438">
        <v>1977</v>
      </c>
      <c r="E3438" t="s">
        <v>23</v>
      </c>
      <c r="F3438" t="s">
        <v>24</v>
      </c>
      <c r="G3438" t="s">
        <v>25</v>
      </c>
      <c r="H3438" t="s">
        <v>26</v>
      </c>
      <c r="I3438">
        <v>4043205</v>
      </c>
      <c r="J3438" t="s">
        <v>27</v>
      </c>
      <c r="K3438" t="s">
        <v>4710</v>
      </c>
      <c r="L3438" t="s">
        <v>21</v>
      </c>
    </row>
    <row r="3439" spans="1:12">
      <c r="A3439" t="s">
        <v>4712</v>
      </c>
      <c r="B3439" t="s">
        <v>4689</v>
      </c>
      <c r="C3439" t="s">
        <v>80</v>
      </c>
      <c r="D3439">
        <v>1977</v>
      </c>
      <c r="E3439" t="s">
        <v>29</v>
      </c>
      <c r="F3439" t="s">
        <v>30</v>
      </c>
      <c r="G3439" t="s">
        <v>31</v>
      </c>
      <c r="H3439" t="s">
        <v>32</v>
      </c>
      <c r="I3439">
        <v>23311.349389999999</v>
      </c>
      <c r="J3439" t="s">
        <v>33</v>
      </c>
      <c r="K3439" t="s">
        <v>4710</v>
      </c>
      <c r="L3439" t="s">
        <v>21</v>
      </c>
    </row>
    <row r="3440" spans="1:12">
      <c r="A3440" t="s">
        <v>4713</v>
      </c>
      <c r="B3440" t="s">
        <v>4689</v>
      </c>
      <c r="C3440" t="s">
        <v>80</v>
      </c>
      <c r="D3440">
        <v>1982</v>
      </c>
      <c r="E3440" t="s">
        <v>15</v>
      </c>
      <c r="F3440" t="s">
        <v>16</v>
      </c>
      <c r="G3440" t="s">
        <v>17</v>
      </c>
      <c r="H3440" t="s">
        <v>18</v>
      </c>
      <c r="I3440">
        <v>75.97</v>
      </c>
      <c r="J3440" t="s">
        <v>19</v>
      </c>
      <c r="K3440" t="s">
        <v>4714</v>
      </c>
      <c r="L3440" t="s">
        <v>21</v>
      </c>
    </row>
    <row r="3441" spans="1:12">
      <c r="A3441" t="s">
        <v>4715</v>
      </c>
      <c r="B3441" t="s">
        <v>4689</v>
      </c>
      <c r="C3441" t="s">
        <v>80</v>
      </c>
      <c r="D3441">
        <v>1982</v>
      </c>
      <c r="E3441" t="s">
        <v>23</v>
      </c>
      <c r="F3441" t="s">
        <v>24</v>
      </c>
      <c r="G3441" t="s">
        <v>25</v>
      </c>
      <c r="H3441" t="s">
        <v>26</v>
      </c>
      <c r="I3441">
        <v>4114787</v>
      </c>
      <c r="J3441" t="s">
        <v>27</v>
      </c>
      <c r="K3441" t="s">
        <v>4714</v>
      </c>
      <c r="L3441" t="s">
        <v>21</v>
      </c>
    </row>
    <row r="3442" spans="1:12">
      <c r="A3442" t="s">
        <v>4716</v>
      </c>
      <c r="B3442" t="s">
        <v>4689</v>
      </c>
      <c r="C3442" t="s">
        <v>80</v>
      </c>
      <c r="D3442">
        <v>1982</v>
      </c>
      <c r="E3442" t="s">
        <v>29</v>
      </c>
      <c r="F3442" t="s">
        <v>30</v>
      </c>
      <c r="G3442" t="s">
        <v>31</v>
      </c>
      <c r="H3442" t="s">
        <v>32</v>
      </c>
      <c r="I3442">
        <v>26298.635310000001</v>
      </c>
      <c r="J3442" t="s">
        <v>33</v>
      </c>
      <c r="K3442" t="s">
        <v>4714</v>
      </c>
      <c r="L3442" t="s">
        <v>21</v>
      </c>
    </row>
    <row r="3443" spans="1:12">
      <c r="A3443" t="s">
        <v>4717</v>
      </c>
      <c r="B3443" t="s">
        <v>4689</v>
      </c>
      <c r="C3443" t="s">
        <v>80</v>
      </c>
      <c r="D3443">
        <v>1987</v>
      </c>
      <c r="E3443" t="s">
        <v>15</v>
      </c>
      <c r="F3443" t="s">
        <v>16</v>
      </c>
      <c r="G3443" t="s">
        <v>17</v>
      </c>
      <c r="H3443" t="s">
        <v>18</v>
      </c>
      <c r="I3443">
        <v>75.89</v>
      </c>
      <c r="J3443" t="s">
        <v>19</v>
      </c>
      <c r="K3443" t="s">
        <v>4718</v>
      </c>
      <c r="L3443" t="s">
        <v>21</v>
      </c>
    </row>
    <row r="3444" spans="1:12">
      <c r="A3444" t="s">
        <v>4719</v>
      </c>
      <c r="B3444" t="s">
        <v>4689</v>
      </c>
      <c r="C3444" t="s">
        <v>80</v>
      </c>
      <c r="D3444">
        <v>1987</v>
      </c>
      <c r="E3444" t="s">
        <v>23</v>
      </c>
      <c r="F3444" t="s">
        <v>24</v>
      </c>
      <c r="G3444" t="s">
        <v>25</v>
      </c>
      <c r="H3444" t="s">
        <v>26</v>
      </c>
      <c r="I3444">
        <v>4186147</v>
      </c>
      <c r="J3444" t="s">
        <v>27</v>
      </c>
      <c r="K3444" t="s">
        <v>4718</v>
      </c>
      <c r="L3444" t="s">
        <v>21</v>
      </c>
    </row>
    <row r="3445" spans="1:12">
      <c r="A3445" t="s">
        <v>4720</v>
      </c>
      <c r="B3445" t="s">
        <v>4689</v>
      </c>
      <c r="C3445" t="s">
        <v>80</v>
      </c>
      <c r="D3445">
        <v>1987</v>
      </c>
      <c r="E3445" t="s">
        <v>29</v>
      </c>
      <c r="F3445" t="s">
        <v>30</v>
      </c>
      <c r="G3445" t="s">
        <v>31</v>
      </c>
      <c r="H3445" t="s">
        <v>32</v>
      </c>
      <c r="I3445">
        <v>31540.9748</v>
      </c>
      <c r="J3445" t="s">
        <v>33</v>
      </c>
      <c r="K3445" t="s">
        <v>4718</v>
      </c>
      <c r="L3445" t="s">
        <v>21</v>
      </c>
    </row>
    <row r="3446" spans="1:12">
      <c r="A3446" t="s">
        <v>4721</v>
      </c>
      <c r="B3446" t="s">
        <v>4689</v>
      </c>
      <c r="C3446" t="s">
        <v>80</v>
      </c>
      <c r="D3446">
        <v>1992</v>
      </c>
      <c r="E3446" t="s">
        <v>15</v>
      </c>
      <c r="F3446" t="s">
        <v>16</v>
      </c>
      <c r="G3446" t="s">
        <v>17</v>
      </c>
      <c r="H3446" t="s">
        <v>18</v>
      </c>
      <c r="I3446">
        <v>77.319999999999993</v>
      </c>
      <c r="J3446" t="s">
        <v>19</v>
      </c>
      <c r="K3446" t="s">
        <v>4722</v>
      </c>
      <c r="L3446" t="s">
        <v>21</v>
      </c>
    </row>
    <row r="3447" spans="1:12">
      <c r="A3447" t="s">
        <v>4723</v>
      </c>
      <c r="B3447" t="s">
        <v>4689</v>
      </c>
      <c r="C3447" t="s">
        <v>80</v>
      </c>
      <c r="D3447">
        <v>1992</v>
      </c>
      <c r="E3447" t="s">
        <v>23</v>
      </c>
      <c r="F3447" t="s">
        <v>24</v>
      </c>
      <c r="G3447" t="s">
        <v>25</v>
      </c>
      <c r="H3447" t="s">
        <v>26</v>
      </c>
      <c r="I3447">
        <v>4286357</v>
      </c>
      <c r="J3447" t="s">
        <v>27</v>
      </c>
      <c r="K3447" t="s">
        <v>4722</v>
      </c>
      <c r="L3447" t="s">
        <v>21</v>
      </c>
    </row>
    <row r="3448" spans="1:12">
      <c r="A3448" t="s">
        <v>4724</v>
      </c>
      <c r="B3448" t="s">
        <v>4689</v>
      </c>
      <c r="C3448" t="s">
        <v>80</v>
      </c>
      <c r="D3448">
        <v>1992</v>
      </c>
      <c r="E3448" t="s">
        <v>29</v>
      </c>
      <c r="F3448" t="s">
        <v>30</v>
      </c>
      <c r="G3448" t="s">
        <v>31</v>
      </c>
      <c r="H3448" t="s">
        <v>32</v>
      </c>
      <c r="I3448">
        <v>33965.66115</v>
      </c>
      <c r="J3448" t="s">
        <v>33</v>
      </c>
      <c r="K3448" t="s">
        <v>4722</v>
      </c>
      <c r="L3448" t="s">
        <v>21</v>
      </c>
    </row>
    <row r="3449" spans="1:12">
      <c r="A3449" t="s">
        <v>4725</v>
      </c>
      <c r="B3449" t="s">
        <v>4689</v>
      </c>
      <c r="C3449" t="s">
        <v>80</v>
      </c>
      <c r="D3449">
        <v>1997</v>
      </c>
      <c r="E3449" t="s">
        <v>15</v>
      </c>
      <c r="F3449" t="s">
        <v>16</v>
      </c>
      <c r="G3449" t="s">
        <v>17</v>
      </c>
      <c r="H3449" t="s">
        <v>18</v>
      </c>
      <c r="I3449">
        <v>78.319999999999993</v>
      </c>
      <c r="J3449" t="s">
        <v>19</v>
      </c>
      <c r="K3449" t="s">
        <v>4726</v>
      </c>
      <c r="L3449" t="s">
        <v>21</v>
      </c>
    </row>
    <row r="3450" spans="1:12">
      <c r="A3450" t="s">
        <v>4727</v>
      </c>
      <c r="B3450" t="s">
        <v>4689</v>
      </c>
      <c r="C3450" t="s">
        <v>80</v>
      </c>
      <c r="D3450">
        <v>1997</v>
      </c>
      <c r="E3450" t="s">
        <v>23</v>
      </c>
      <c r="F3450" t="s">
        <v>24</v>
      </c>
      <c r="G3450" t="s">
        <v>25</v>
      </c>
      <c r="H3450" t="s">
        <v>26</v>
      </c>
      <c r="I3450">
        <v>4405672</v>
      </c>
      <c r="J3450" t="s">
        <v>27</v>
      </c>
      <c r="K3450" t="s">
        <v>4726</v>
      </c>
      <c r="L3450" t="s">
        <v>21</v>
      </c>
    </row>
    <row r="3451" spans="1:12">
      <c r="A3451" t="s">
        <v>4728</v>
      </c>
      <c r="B3451" t="s">
        <v>4689</v>
      </c>
      <c r="C3451" t="s">
        <v>80</v>
      </c>
      <c r="D3451">
        <v>1997</v>
      </c>
      <c r="E3451" t="s">
        <v>29</v>
      </c>
      <c r="F3451" t="s">
        <v>30</v>
      </c>
      <c r="G3451" t="s">
        <v>31</v>
      </c>
      <c r="H3451" t="s">
        <v>32</v>
      </c>
      <c r="I3451">
        <v>41283.16433</v>
      </c>
      <c r="J3451" t="s">
        <v>33</v>
      </c>
      <c r="K3451" t="s">
        <v>4726</v>
      </c>
      <c r="L3451" t="s">
        <v>21</v>
      </c>
    </row>
    <row r="3452" spans="1:12">
      <c r="A3452" t="s">
        <v>4729</v>
      </c>
      <c r="B3452" t="s">
        <v>4689</v>
      </c>
      <c r="C3452" t="s">
        <v>80</v>
      </c>
      <c r="D3452">
        <v>2002</v>
      </c>
      <c r="E3452" t="s">
        <v>15</v>
      </c>
      <c r="F3452" t="s">
        <v>16</v>
      </c>
      <c r="G3452" t="s">
        <v>17</v>
      </c>
      <c r="H3452" t="s">
        <v>18</v>
      </c>
      <c r="I3452">
        <v>79.05</v>
      </c>
      <c r="J3452" t="s">
        <v>19</v>
      </c>
      <c r="K3452" t="s">
        <v>4730</v>
      </c>
      <c r="L3452" t="s">
        <v>21</v>
      </c>
    </row>
    <row r="3453" spans="1:12">
      <c r="A3453" t="s">
        <v>4731</v>
      </c>
      <c r="B3453" t="s">
        <v>4689</v>
      </c>
      <c r="C3453" t="s">
        <v>80</v>
      </c>
      <c r="D3453">
        <v>2002</v>
      </c>
      <c r="E3453" t="s">
        <v>23</v>
      </c>
      <c r="F3453" t="s">
        <v>24</v>
      </c>
      <c r="G3453" t="s">
        <v>25</v>
      </c>
      <c r="H3453" t="s">
        <v>26</v>
      </c>
      <c r="I3453">
        <v>4535591</v>
      </c>
      <c r="J3453" t="s">
        <v>27</v>
      </c>
      <c r="K3453" t="s">
        <v>4730</v>
      </c>
      <c r="L3453" t="s">
        <v>21</v>
      </c>
    </row>
    <row r="3454" spans="1:12">
      <c r="A3454" t="s">
        <v>4732</v>
      </c>
      <c r="B3454" t="s">
        <v>4689</v>
      </c>
      <c r="C3454" t="s">
        <v>80</v>
      </c>
      <c r="D3454">
        <v>2002</v>
      </c>
      <c r="E3454" t="s">
        <v>29</v>
      </c>
      <c r="F3454" t="s">
        <v>30</v>
      </c>
      <c r="G3454" t="s">
        <v>31</v>
      </c>
      <c r="H3454" t="s">
        <v>32</v>
      </c>
      <c r="I3454">
        <v>44683.975250000003</v>
      </c>
      <c r="J3454" t="s">
        <v>33</v>
      </c>
      <c r="K3454" t="s">
        <v>4730</v>
      </c>
      <c r="L3454" t="s">
        <v>21</v>
      </c>
    </row>
    <row r="3455" spans="1:12">
      <c r="A3455" t="s">
        <v>4733</v>
      </c>
      <c r="B3455" t="s">
        <v>4689</v>
      </c>
      <c r="C3455" t="s">
        <v>80</v>
      </c>
      <c r="D3455">
        <v>2007</v>
      </c>
      <c r="E3455" t="s">
        <v>15</v>
      </c>
      <c r="F3455" t="s">
        <v>16</v>
      </c>
      <c r="G3455" t="s">
        <v>17</v>
      </c>
      <c r="H3455" t="s">
        <v>18</v>
      </c>
      <c r="I3455">
        <v>80.195999999999998</v>
      </c>
      <c r="J3455" t="s">
        <v>19</v>
      </c>
      <c r="K3455" t="s">
        <v>4734</v>
      </c>
      <c r="L3455" t="s">
        <v>21</v>
      </c>
    </row>
    <row r="3456" spans="1:12">
      <c r="A3456" t="s">
        <v>4735</v>
      </c>
      <c r="B3456" t="s">
        <v>4689</v>
      </c>
      <c r="C3456" t="s">
        <v>80</v>
      </c>
      <c r="D3456">
        <v>2007</v>
      </c>
      <c r="E3456" t="s">
        <v>23</v>
      </c>
      <c r="F3456" t="s">
        <v>24</v>
      </c>
      <c r="G3456" t="s">
        <v>25</v>
      </c>
      <c r="H3456" t="s">
        <v>26</v>
      </c>
      <c r="I3456">
        <v>4627926</v>
      </c>
      <c r="J3456" t="s">
        <v>27</v>
      </c>
      <c r="K3456" t="s">
        <v>4734</v>
      </c>
      <c r="L3456" t="s">
        <v>21</v>
      </c>
    </row>
    <row r="3457" spans="1:12">
      <c r="A3457" t="s">
        <v>4736</v>
      </c>
      <c r="B3457" t="s">
        <v>4689</v>
      </c>
      <c r="C3457" t="s">
        <v>80</v>
      </c>
      <c r="D3457">
        <v>2007</v>
      </c>
      <c r="E3457" t="s">
        <v>29</v>
      </c>
      <c r="F3457" t="s">
        <v>30</v>
      </c>
      <c r="G3457" t="s">
        <v>31</v>
      </c>
      <c r="H3457" t="s">
        <v>32</v>
      </c>
      <c r="I3457">
        <v>49357.190170000002</v>
      </c>
      <c r="J3457" t="s">
        <v>33</v>
      </c>
      <c r="K3457" t="s">
        <v>4734</v>
      </c>
      <c r="L3457" t="s">
        <v>21</v>
      </c>
    </row>
    <row r="3458" spans="1:12">
      <c r="A3458" t="s">
        <v>4737</v>
      </c>
      <c r="B3458" t="s">
        <v>4738</v>
      </c>
      <c r="C3458" t="s">
        <v>14</v>
      </c>
      <c r="D3458">
        <v>1952</v>
      </c>
      <c r="E3458" t="s">
        <v>15</v>
      </c>
      <c r="F3458" t="s">
        <v>16</v>
      </c>
      <c r="G3458" t="s">
        <v>17</v>
      </c>
      <c r="H3458" t="s">
        <v>18</v>
      </c>
      <c r="I3458">
        <v>37.578000000000003</v>
      </c>
      <c r="J3458" t="s">
        <v>19</v>
      </c>
      <c r="K3458" t="s">
        <v>4739</v>
      </c>
      <c r="L3458" t="s">
        <v>21</v>
      </c>
    </row>
    <row r="3459" spans="1:12">
      <c r="A3459" t="s">
        <v>4740</v>
      </c>
      <c r="B3459" t="s">
        <v>4738</v>
      </c>
      <c r="C3459" t="s">
        <v>14</v>
      </c>
      <c r="D3459">
        <v>1952</v>
      </c>
      <c r="E3459" t="s">
        <v>23</v>
      </c>
      <c r="F3459" t="s">
        <v>24</v>
      </c>
      <c r="G3459" t="s">
        <v>25</v>
      </c>
      <c r="H3459" t="s">
        <v>26</v>
      </c>
      <c r="I3459">
        <v>507833</v>
      </c>
      <c r="J3459" t="s">
        <v>27</v>
      </c>
      <c r="K3459" t="s">
        <v>4739</v>
      </c>
      <c r="L3459" t="s">
        <v>21</v>
      </c>
    </row>
    <row r="3460" spans="1:12">
      <c r="A3460" t="s">
        <v>4741</v>
      </c>
      <c r="B3460" t="s">
        <v>4738</v>
      </c>
      <c r="C3460" t="s">
        <v>14</v>
      </c>
      <c r="D3460">
        <v>1952</v>
      </c>
      <c r="E3460" t="s">
        <v>29</v>
      </c>
      <c r="F3460" t="s">
        <v>30</v>
      </c>
      <c r="G3460" t="s">
        <v>31</v>
      </c>
      <c r="H3460" t="s">
        <v>32</v>
      </c>
      <c r="I3460">
        <v>1828.230307</v>
      </c>
      <c r="J3460" t="s">
        <v>33</v>
      </c>
      <c r="K3460" t="s">
        <v>4739</v>
      </c>
      <c r="L3460" t="s">
        <v>21</v>
      </c>
    </row>
    <row r="3461" spans="1:12">
      <c r="A3461" t="s">
        <v>4742</v>
      </c>
      <c r="B3461" t="s">
        <v>4738</v>
      </c>
      <c r="C3461" t="s">
        <v>14</v>
      </c>
      <c r="D3461">
        <v>1957</v>
      </c>
      <c r="E3461" t="s">
        <v>15</v>
      </c>
      <c r="F3461" t="s">
        <v>16</v>
      </c>
      <c r="G3461" t="s">
        <v>17</v>
      </c>
      <c r="H3461" t="s">
        <v>18</v>
      </c>
      <c r="I3461">
        <v>40.08</v>
      </c>
      <c r="J3461" t="s">
        <v>19</v>
      </c>
      <c r="K3461" t="s">
        <v>4743</v>
      </c>
      <c r="L3461" t="s">
        <v>21</v>
      </c>
    </row>
    <row r="3462" spans="1:12">
      <c r="A3462" t="s">
        <v>4744</v>
      </c>
      <c r="B3462" t="s">
        <v>4738</v>
      </c>
      <c r="C3462" t="s">
        <v>14</v>
      </c>
      <c r="D3462">
        <v>1957</v>
      </c>
      <c r="E3462" t="s">
        <v>23</v>
      </c>
      <c r="F3462" t="s">
        <v>24</v>
      </c>
      <c r="G3462" t="s">
        <v>25</v>
      </c>
      <c r="H3462" t="s">
        <v>26</v>
      </c>
      <c r="I3462">
        <v>561977</v>
      </c>
      <c r="J3462" t="s">
        <v>27</v>
      </c>
      <c r="K3462" t="s">
        <v>4743</v>
      </c>
      <c r="L3462" t="s">
        <v>21</v>
      </c>
    </row>
    <row r="3463" spans="1:12">
      <c r="A3463" t="s">
        <v>4745</v>
      </c>
      <c r="B3463" t="s">
        <v>4738</v>
      </c>
      <c r="C3463" t="s">
        <v>14</v>
      </c>
      <c r="D3463">
        <v>1957</v>
      </c>
      <c r="E3463" t="s">
        <v>29</v>
      </c>
      <c r="F3463" t="s">
        <v>30</v>
      </c>
      <c r="G3463" t="s">
        <v>31</v>
      </c>
      <c r="H3463" t="s">
        <v>32</v>
      </c>
      <c r="I3463">
        <v>2242.7465510000002</v>
      </c>
      <c r="J3463" t="s">
        <v>33</v>
      </c>
      <c r="K3463" t="s">
        <v>4743</v>
      </c>
      <c r="L3463" t="s">
        <v>21</v>
      </c>
    </row>
    <row r="3464" spans="1:12">
      <c r="A3464" t="s">
        <v>4746</v>
      </c>
      <c r="B3464" t="s">
        <v>4738</v>
      </c>
      <c r="C3464" t="s">
        <v>14</v>
      </c>
      <c r="D3464">
        <v>1962</v>
      </c>
      <c r="E3464" t="s">
        <v>15</v>
      </c>
      <c r="F3464" t="s">
        <v>16</v>
      </c>
      <c r="G3464" t="s">
        <v>17</v>
      </c>
      <c r="H3464" t="s">
        <v>18</v>
      </c>
      <c r="I3464">
        <v>43.164999999999999</v>
      </c>
      <c r="J3464" t="s">
        <v>19</v>
      </c>
      <c r="K3464" t="s">
        <v>4747</v>
      </c>
      <c r="L3464" t="s">
        <v>21</v>
      </c>
    </row>
    <row r="3465" spans="1:12">
      <c r="A3465" t="s">
        <v>4748</v>
      </c>
      <c r="B3465" t="s">
        <v>4738</v>
      </c>
      <c r="C3465" t="s">
        <v>14</v>
      </c>
      <c r="D3465">
        <v>1962</v>
      </c>
      <c r="E3465" t="s">
        <v>23</v>
      </c>
      <c r="F3465" t="s">
        <v>24</v>
      </c>
      <c r="G3465" t="s">
        <v>25</v>
      </c>
      <c r="H3465" t="s">
        <v>26</v>
      </c>
      <c r="I3465">
        <v>628164</v>
      </c>
      <c r="J3465" t="s">
        <v>27</v>
      </c>
      <c r="K3465" t="s">
        <v>4747</v>
      </c>
      <c r="L3465" t="s">
        <v>21</v>
      </c>
    </row>
    <row r="3466" spans="1:12">
      <c r="A3466" t="s">
        <v>4749</v>
      </c>
      <c r="B3466" t="s">
        <v>4738</v>
      </c>
      <c r="C3466" t="s">
        <v>14</v>
      </c>
      <c r="D3466">
        <v>1962</v>
      </c>
      <c r="E3466" t="s">
        <v>29</v>
      </c>
      <c r="F3466" t="s">
        <v>30</v>
      </c>
      <c r="G3466" t="s">
        <v>31</v>
      </c>
      <c r="H3466" t="s">
        <v>32</v>
      </c>
      <c r="I3466">
        <v>2924.638113</v>
      </c>
      <c r="J3466" t="s">
        <v>33</v>
      </c>
      <c r="K3466" t="s">
        <v>4747</v>
      </c>
      <c r="L3466" t="s">
        <v>21</v>
      </c>
    </row>
    <row r="3467" spans="1:12">
      <c r="A3467" t="s">
        <v>4750</v>
      </c>
      <c r="B3467" t="s">
        <v>4738</v>
      </c>
      <c r="C3467" t="s">
        <v>14</v>
      </c>
      <c r="D3467">
        <v>1967</v>
      </c>
      <c r="E3467" t="s">
        <v>15</v>
      </c>
      <c r="F3467" t="s">
        <v>16</v>
      </c>
      <c r="G3467" t="s">
        <v>17</v>
      </c>
      <c r="H3467" t="s">
        <v>18</v>
      </c>
      <c r="I3467">
        <v>46.988</v>
      </c>
      <c r="J3467" t="s">
        <v>19</v>
      </c>
      <c r="K3467" t="s">
        <v>4751</v>
      </c>
      <c r="L3467" t="s">
        <v>21</v>
      </c>
    </row>
    <row r="3468" spans="1:12">
      <c r="A3468" t="s">
        <v>4752</v>
      </c>
      <c r="B3468" t="s">
        <v>4738</v>
      </c>
      <c r="C3468" t="s">
        <v>14</v>
      </c>
      <c r="D3468">
        <v>1967</v>
      </c>
      <c r="E3468" t="s">
        <v>23</v>
      </c>
      <c r="F3468" t="s">
        <v>24</v>
      </c>
      <c r="G3468" t="s">
        <v>25</v>
      </c>
      <c r="H3468" t="s">
        <v>26</v>
      </c>
      <c r="I3468">
        <v>714775</v>
      </c>
      <c r="J3468" t="s">
        <v>27</v>
      </c>
      <c r="K3468" t="s">
        <v>4751</v>
      </c>
      <c r="L3468" t="s">
        <v>21</v>
      </c>
    </row>
    <row r="3469" spans="1:12">
      <c r="A3469" t="s">
        <v>4753</v>
      </c>
      <c r="B3469" t="s">
        <v>4738</v>
      </c>
      <c r="C3469" t="s">
        <v>14</v>
      </c>
      <c r="D3469">
        <v>1967</v>
      </c>
      <c r="E3469" t="s">
        <v>29</v>
      </c>
      <c r="F3469" t="s">
        <v>30</v>
      </c>
      <c r="G3469" t="s">
        <v>31</v>
      </c>
      <c r="H3469" t="s">
        <v>32</v>
      </c>
      <c r="I3469">
        <v>4720.9426869999998</v>
      </c>
      <c r="J3469" t="s">
        <v>33</v>
      </c>
      <c r="K3469" t="s">
        <v>4751</v>
      </c>
      <c r="L3469" t="s">
        <v>21</v>
      </c>
    </row>
    <row r="3470" spans="1:12">
      <c r="A3470" t="s">
        <v>4754</v>
      </c>
      <c r="B3470" t="s">
        <v>4738</v>
      </c>
      <c r="C3470" t="s">
        <v>14</v>
      </c>
      <c r="D3470">
        <v>1972</v>
      </c>
      <c r="E3470" t="s">
        <v>15</v>
      </c>
      <c r="F3470" t="s">
        <v>16</v>
      </c>
      <c r="G3470" t="s">
        <v>17</v>
      </c>
      <c r="H3470" t="s">
        <v>18</v>
      </c>
      <c r="I3470">
        <v>52.143000000000001</v>
      </c>
      <c r="J3470" t="s">
        <v>19</v>
      </c>
      <c r="K3470" t="s">
        <v>4755</v>
      </c>
      <c r="L3470" t="s">
        <v>21</v>
      </c>
    </row>
    <row r="3471" spans="1:12">
      <c r="A3471" t="s">
        <v>4756</v>
      </c>
      <c r="B3471" t="s">
        <v>4738</v>
      </c>
      <c r="C3471" t="s">
        <v>14</v>
      </c>
      <c r="D3471">
        <v>1972</v>
      </c>
      <c r="E3471" t="s">
        <v>23</v>
      </c>
      <c r="F3471" t="s">
        <v>24</v>
      </c>
      <c r="G3471" t="s">
        <v>25</v>
      </c>
      <c r="H3471" t="s">
        <v>26</v>
      </c>
      <c r="I3471">
        <v>829050</v>
      </c>
      <c r="J3471" t="s">
        <v>27</v>
      </c>
      <c r="K3471" t="s">
        <v>4755</v>
      </c>
      <c r="L3471" t="s">
        <v>21</v>
      </c>
    </row>
    <row r="3472" spans="1:12">
      <c r="A3472" t="s">
        <v>4757</v>
      </c>
      <c r="B3472" t="s">
        <v>4738</v>
      </c>
      <c r="C3472" t="s">
        <v>14</v>
      </c>
      <c r="D3472">
        <v>1972</v>
      </c>
      <c r="E3472" t="s">
        <v>29</v>
      </c>
      <c r="F3472" t="s">
        <v>30</v>
      </c>
      <c r="G3472" t="s">
        <v>31</v>
      </c>
      <c r="H3472" t="s">
        <v>32</v>
      </c>
      <c r="I3472">
        <v>10618.038549999999</v>
      </c>
      <c r="J3472" t="s">
        <v>33</v>
      </c>
      <c r="K3472" t="s">
        <v>4755</v>
      </c>
      <c r="L3472" t="s">
        <v>21</v>
      </c>
    </row>
    <row r="3473" spans="1:12">
      <c r="A3473" t="s">
        <v>4758</v>
      </c>
      <c r="B3473" t="s">
        <v>4738</v>
      </c>
      <c r="C3473" t="s">
        <v>14</v>
      </c>
      <c r="D3473">
        <v>1977</v>
      </c>
      <c r="E3473" t="s">
        <v>15</v>
      </c>
      <c r="F3473" t="s">
        <v>16</v>
      </c>
      <c r="G3473" t="s">
        <v>17</v>
      </c>
      <c r="H3473" t="s">
        <v>18</v>
      </c>
      <c r="I3473">
        <v>57.366999999999997</v>
      </c>
      <c r="J3473" t="s">
        <v>19</v>
      </c>
      <c r="K3473" t="s">
        <v>4759</v>
      </c>
      <c r="L3473" t="s">
        <v>21</v>
      </c>
    </row>
    <row r="3474" spans="1:12">
      <c r="A3474" t="s">
        <v>4760</v>
      </c>
      <c r="B3474" t="s">
        <v>4738</v>
      </c>
      <c r="C3474" t="s">
        <v>14</v>
      </c>
      <c r="D3474">
        <v>1977</v>
      </c>
      <c r="E3474" t="s">
        <v>23</v>
      </c>
      <c r="F3474" t="s">
        <v>24</v>
      </c>
      <c r="G3474" t="s">
        <v>25</v>
      </c>
      <c r="H3474" t="s">
        <v>26</v>
      </c>
      <c r="I3474">
        <v>1004533</v>
      </c>
      <c r="J3474" t="s">
        <v>27</v>
      </c>
      <c r="K3474" t="s">
        <v>4759</v>
      </c>
      <c r="L3474" t="s">
        <v>21</v>
      </c>
    </row>
    <row r="3475" spans="1:12">
      <c r="A3475" t="s">
        <v>4761</v>
      </c>
      <c r="B3475" t="s">
        <v>4738</v>
      </c>
      <c r="C3475" t="s">
        <v>14</v>
      </c>
      <c r="D3475">
        <v>1977</v>
      </c>
      <c r="E3475" t="s">
        <v>29</v>
      </c>
      <c r="F3475" t="s">
        <v>30</v>
      </c>
      <c r="G3475" t="s">
        <v>31</v>
      </c>
      <c r="H3475" t="s">
        <v>32</v>
      </c>
      <c r="I3475">
        <v>11848.343919999999</v>
      </c>
      <c r="J3475" t="s">
        <v>33</v>
      </c>
      <c r="K3475" t="s">
        <v>4759</v>
      </c>
      <c r="L3475" t="s">
        <v>21</v>
      </c>
    </row>
    <row r="3476" spans="1:12">
      <c r="A3476" t="s">
        <v>4762</v>
      </c>
      <c r="B3476" t="s">
        <v>4738</v>
      </c>
      <c r="C3476" t="s">
        <v>14</v>
      </c>
      <c r="D3476">
        <v>1982</v>
      </c>
      <c r="E3476" t="s">
        <v>15</v>
      </c>
      <c r="F3476" t="s">
        <v>16</v>
      </c>
      <c r="G3476" t="s">
        <v>17</v>
      </c>
      <c r="H3476" t="s">
        <v>18</v>
      </c>
      <c r="I3476">
        <v>62.728000000000002</v>
      </c>
      <c r="J3476" t="s">
        <v>19</v>
      </c>
      <c r="K3476" t="s">
        <v>4763</v>
      </c>
      <c r="L3476" t="s">
        <v>21</v>
      </c>
    </row>
    <row r="3477" spans="1:12">
      <c r="A3477" t="s">
        <v>4764</v>
      </c>
      <c r="B3477" t="s">
        <v>4738</v>
      </c>
      <c r="C3477" t="s">
        <v>14</v>
      </c>
      <c r="D3477">
        <v>1982</v>
      </c>
      <c r="E3477" t="s">
        <v>23</v>
      </c>
      <c r="F3477" t="s">
        <v>24</v>
      </c>
      <c r="G3477" t="s">
        <v>25</v>
      </c>
      <c r="H3477" t="s">
        <v>26</v>
      </c>
      <c r="I3477">
        <v>1301048</v>
      </c>
      <c r="J3477" t="s">
        <v>27</v>
      </c>
      <c r="K3477" t="s">
        <v>4763</v>
      </c>
      <c r="L3477" t="s">
        <v>21</v>
      </c>
    </row>
    <row r="3478" spans="1:12">
      <c r="A3478" t="s">
        <v>4765</v>
      </c>
      <c r="B3478" t="s">
        <v>4738</v>
      </c>
      <c r="C3478" t="s">
        <v>14</v>
      </c>
      <c r="D3478">
        <v>1982</v>
      </c>
      <c r="E3478" t="s">
        <v>29</v>
      </c>
      <c r="F3478" t="s">
        <v>30</v>
      </c>
      <c r="G3478" t="s">
        <v>31</v>
      </c>
      <c r="H3478" t="s">
        <v>32</v>
      </c>
      <c r="I3478">
        <v>12954.791010000001</v>
      </c>
      <c r="J3478" t="s">
        <v>33</v>
      </c>
      <c r="K3478" t="s">
        <v>4763</v>
      </c>
      <c r="L3478" t="s">
        <v>21</v>
      </c>
    </row>
    <row r="3479" spans="1:12">
      <c r="A3479" t="s">
        <v>4766</v>
      </c>
      <c r="B3479" t="s">
        <v>4738</v>
      </c>
      <c r="C3479" t="s">
        <v>14</v>
      </c>
      <c r="D3479">
        <v>1987</v>
      </c>
      <c r="E3479" t="s">
        <v>15</v>
      </c>
      <c r="F3479" t="s">
        <v>16</v>
      </c>
      <c r="G3479" t="s">
        <v>17</v>
      </c>
      <c r="H3479" t="s">
        <v>18</v>
      </c>
      <c r="I3479">
        <v>67.733999999999995</v>
      </c>
      <c r="J3479" t="s">
        <v>19</v>
      </c>
      <c r="K3479" t="s">
        <v>4767</v>
      </c>
      <c r="L3479" t="s">
        <v>21</v>
      </c>
    </row>
    <row r="3480" spans="1:12">
      <c r="A3480" t="s">
        <v>4768</v>
      </c>
      <c r="B3480" t="s">
        <v>4738</v>
      </c>
      <c r="C3480" t="s">
        <v>14</v>
      </c>
      <c r="D3480">
        <v>1987</v>
      </c>
      <c r="E3480" t="s">
        <v>23</v>
      </c>
      <c r="F3480" t="s">
        <v>24</v>
      </c>
      <c r="G3480" t="s">
        <v>25</v>
      </c>
      <c r="H3480" t="s">
        <v>26</v>
      </c>
      <c r="I3480">
        <v>1593882</v>
      </c>
      <c r="J3480" t="s">
        <v>27</v>
      </c>
      <c r="K3480" t="s">
        <v>4767</v>
      </c>
      <c r="L3480" t="s">
        <v>21</v>
      </c>
    </row>
    <row r="3481" spans="1:12">
      <c r="A3481" t="s">
        <v>4769</v>
      </c>
      <c r="B3481" t="s">
        <v>4738</v>
      </c>
      <c r="C3481" t="s">
        <v>14</v>
      </c>
      <c r="D3481">
        <v>1987</v>
      </c>
      <c r="E3481" t="s">
        <v>29</v>
      </c>
      <c r="F3481" t="s">
        <v>30</v>
      </c>
      <c r="G3481" t="s">
        <v>31</v>
      </c>
      <c r="H3481" t="s">
        <v>32</v>
      </c>
      <c r="I3481">
        <v>18115.223129999998</v>
      </c>
      <c r="J3481" t="s">
        <v>33</v>
      </c>
      <c r="K3481" t="s">
        <v>4767</v>
      </c>
      <c r="L3481" t="s">
        <v>21</v>
      </c>
    </row>
    <row r="3482" spans="1:12">
      <c r="A3482" t="s">
        <v>4770</v>
      </c>
      <c r="B3482" t="s">
        <v>4738</v>
      </c>
      <c r="C3482" t="s">
        <v>14</v>
      </c>
      <c r="D3482">
        <v>1992</v>
      </c>
      <c r="E3482" t="s">
        <v>15</v>
      </c>
      <c r="F3482" t="s">
        <v>16</v>
      </c>
      <c r="G3482" t="s">
        <v>17</v>
      </c>
      <c r="H3482" t="s">
        <v>18</v>
      </c>
      <c r="I3482">
        <v>71.197000000000003</v>
      </c>
      <c r="J3482" t="s">
        <v>19</v>
      </c>
      <c r="K3482" t="s">
        <v>4771</v>
      </c>
      <c r="L3482" t="s">
        <v>21</v>
      </c>
    </row>
    <row r="3483" spans="1:12">
      <c r="A3483" t="s">
        <v>4772</v>
      </c>
      <c r="B3483" t="s">
        <v>4738</v>
      </c>
      <c r="C3483" t="s">
        <v>14</v>
      </c>
      <c r="D3483">
        <v>1992</v>
      </c>
      <c r="E3483" t="s">
        <v>23</v>
      </c>
      <c r="F3483" t="s">
        <v>24</v>
      </c>
      <c r="G3483" t="s">
        <v>25</v>
      </c>
      <c r="H3483" t="s">
        <v>26</v>
      </c>
      <c r="I3483">
        <v>1915208</v>
      </c>
      <c r="J3483" t="s">
        <v>27</v>
      </c>
      <c r="K3483" t="s">
        <v>4771</v>
      </c>
      <c r="L3483" t="s">
        <v>21</v>
      </c>
    </row>
    <row r="3484" spans="1:12">
      <c r="A3484" t="s">
        <v>4773</v>
      </c>
      <c r="B3484" t="s">
        <v>4738</v>
      </c>
      <c r="C3484" t="s">
        <v>14</v>
      </c>
      <c r="D3484">
        <v>1992</v>
      </c>
      <c r="E3484" t="s">
        <v>29</v>
      </c>
      <c r="F3484" t="s">
        <v>30</v>
      </c>
      <c r="G3484" t="s">
        <v>31</v>
      </c>
      <c r="H3484" t="s">
        <v>32</v>
      </c>
      <c r="I3484">
        <v>18616.706910000001</v>
      </c>
      <c r="J3484" t="s">
        <v>33</v>
      </c>
      <c r="K3484" t="s">
        <v>4771</v>
      </c>
      <c r="L3484" t="s">
        <v>21</v>
      </c>
    </row>
    <row r="3485" spans="1:12">
      <c r="A3485" t="s">
        <v>4774</v>
      </c>
      <c r="B3485" t="s">
        <v>4738</v>
      </c>
      <c r="C3485" t="s">
        <v>14</v>
      </c>
      <c r="D3485">
        <v>1997</v>
      </c>
      <c r="E3485" t="s">
        <v>15</v>
      </c>
      <c r="F3485" t="s">
        <v>16</v>
      </c>
      <c r="G3485" t="s">
        <v>17</v>
      </c>
      <c r="H3485" t="s">
        <v>18</v>
      </c>
      <c r="I3485">
        <v>72.498999999999995</v>
      </c>
      <c r="J3485" t="s">
        <v>19</v>
      </c>
      <c r="K3485" t="s">
        <v>4775</v>
      </c>
      <c r="L3485" t="s">
        <v>21</v>
      </c>
    </row>
    <row r="3486" spans="1:12">
      <c r="A3486" t="s">
        <v>4776</v>
      </c>
      <c r="B3486" t="s">
        <v>4738</v>
      </c>
      <c r="C3486" t="s">
        <v>14</v>
      </c>
      <c r="D3486">
        <v>1997</v>
      </c>
      <c r="E3486" t="s">
        <v>23</v>
      </c>
      <c r="F3486" t="s">
        <v>24</v>
      </c>
      <c r="G3486" t="s">
        <v>25</v>
      </c>
      <c r="H3486" t="s">
        <v>26</v>
      </c>
      <c r="I3486">
        <v>2283635</v>
      </c>
      <c r="J3486" t="s">
        <v>27</v>
      </c>
      <c r="K3486" t="s">
        <v>4775</v>
      </c>
      <c r="L3486" t="s">
        <v>21</v>
      </c>
    </row>
    <row r="3487" spans="1:12">
      <c r="A3487" t="s">
        <v>4777</v>
      </c>
      <c r="B3487" t="s">
        <v>4738</v>
      </c>
      <c r="C3487" t="s">
        <v>14</v>
      </c>
      <c r="D3487">
        <v>1997</v>
      </c>
      <c r="E3487" t="s">
        <v>29</v>
      </c>
      <c r="F3487" t="s">
        <v>30</v>
      </c>
      <c r="G3487" t="s">
        <v>31</v>
      </c>
      <c r="H3487" t="s">
        <v>32</v>
      </c>
      <c r="I3487">
        <v>19702.055810000002</v>
      </c>
      <c r="J3487" t="s">
        <v>33</v>
      </c>
      <c r="K3487" t="s">
        <v>4775</v>
      </c>
      <c r="L3487" t="s">
        <v>21</v>
      </c>
    </row>
    <row r="3488" spans="1:12">
      <c r="A3488" t="s">
        <v>4778</v>
      </c>
      <c r="B3488" t="s">
        <v>4738</v>
      </c>
      <c r="C3488" t="s">
        <v>14</v>
      </c>
      <c r="D3488">
        <v>2002</v>
      </c>
      <c r="E3488" t="s">
        <v>15</v>
      </c>
      <c r="F3488" t="s">
        <v>16</v>
      </c>
      <c r="G3488" t="s">
        <v>17</v>
      </c>
      <c r="H3488" t="s">
        <v>18</v>
      </c>
      <c r="I3488">
        <v>74.192999999999998</v>
      </c>
      <c r="J3488" t="s">
        <v>19</v>
      </c>
      <c r="K3488" t="s">
        <v>4779</v>
      </c>
      <c r="L3488" t="s">
        <v>21</v>
      </c>
    </row>
    <row r="3489" spans="1:12">
      <c r="A3489" t="s">
        <v>4780</v>
      </c>
      <c r="B3489" t="s">
        <v>4738</v>
      </c>
      <c r="C3489" t="s">
        <v>14</v>
      </c>
      <c r="D3489">
        <v>2002</v>
      </c>
      <c r="E3489" t="s">
        <v>23</v>
      </c>
      <c r="F3489" t="s">
        <v>24</v>
      </c>
      <c r="G3489" t="s">
        <v>25</v>
      </c>
      <c r="H3489" t="s">
        <v>26</v>
      </c>
      <c r="I3489">
        <v>2713462</v>
      </c>
      <c r="J3489" t="s">
        <v>27</v>
      </c>
      <c r="K3489" t="s">
        <v>4779</v>
      </c>
      <c r="L3489" t="s">
        <v>21</v>
      </c>
    </row>
    <row r="3490" spans="1:12">
      <c r="A3490" t="s">
        <v>4781</v>
      </c>
      <c r="B3490" t="s">
        <v>4738</v>
      </c>
      <c r="C3490" t="s">
        <v>14</v>
      </c>
      <c r="D3490">
        <v>2002</v>
      </c>
      <c r="E3490" t="s">
        <v>29</v>
      </c>
      <c r="F3490" t="s">
        <v>30</v>
      </c>
      <c r="G3490" t="s">
        <v>31</v>
      </c>
      <c r="H3490" t="s">
        <v>32</v>
      </c>
      <c r="I3490">
        <v>19774.836869999999</v>
      </c>
      <c r="J3490" t="s">
        <v>33</v>
      </c>
      <c r="K3490" t="s">
        <v>4779</v>
      </c>
      <c r="L3490" t="s">
        <v>21</v>
      </c>
    </row>
    <row r="3491" spans="1:12">
      <c r="A3491" t="s">
        <v>4782</v>
      </c>
      <c r="B3491" t="s">
        <v>4738</v>
      </c>
      <c r="C3491" t="s">
        <v>14</v>
      </c>
      <c r="D3491">
        <v>2007</v>
      </c>
      <c r="E3491" t="s">
        <v>15</v>
      </c>
      <c r="F3491" t="s">
        <v>16</v>
      </c>
      <c r="G3491" t="s">
        <v>17</v>
      </c>
      <c r="H3491" t="s">
        <v>18</v>
      </c>
      <c r="I3491">
        <v>75.64</v>
      </c>
      <c r="J3491" t="s">
        <v>19</v>
      </c>
      <c r="K3491" t="s">
        <v>4783</v>
      </c>
      <c r="L3491" t="s">
        <v>21</v>
      </c>
    </row>
    <row r="3492" spans="1:12">
      <c r="A3492" t="s">
        <v>4784</v>
      </c>
      <c r="B3492" t="s">
        <v>4738</v>
      </c>
      <c r="C3492" t="s">
        <v>14</v>
      </c>
      <c r="D3492">
        <v>2007</v>
      </c>
      <c r="E3492" t="s">
        <v>23</v>
      </c>
      <c r="F3492" t="s">
        <v>24</v>
      </c>
      <c r="G3492" t="s">
        <v>25</v>
      </c>
      <c r="H3492" t="s">
        <v>26</v>
      </c>
      <c r="I3492">
        <v>3204897</v>
      </c>
      <c r="J3492" t="s">
        <v>27</v>
      </c>
      <c r="K3492" t="s">
        <v>4783</v>
      </c>
      <c r="L3492" t="s">
        <v>21</v>
      </c>
    </row>
    <row r="3493" spans="1:12">
      <c r="A3493" t="s">
        <v>4785</v>
      </c>
      <c r="B3493" t="s">
        <v>4738</v>
      </c>
      <c r="C3493" t="s">
        <v>14</v>
      </c>
      <c r="D3493">
        <v>2007</v>
      </c>
      <c r="E3493" t="s">
        <v>29</v>
      </c>
      <c r="F3493" t="s">
        <v>30</v>
      </c>
      <c r="G3493" t="s">
        <v>31</v>
      </c>
      <c r="H3493" t="s">
        <v>32</v>
      </c>
      <c r="I3493">
        <v>22316.192869999999</v>
      </c>
      <c r="J3493" t="s">
        <v>33</v>
      </c>
      <c r="K3493" t="s">
        <v>4783</v>
      </c>
      <c r="L3493" t="s">
        <v>21</v>
      </c>
    </row>
    <row r="3494" spans="1:12">
      <c r="A3494" t="s">
        <v>4786</v>
      </c>
      <c r="B3494" t="s">
        <v>4787</v>
      </c>
      <c r="C3494" t="s">
        <v>14</v>
      </c>
      <c r="D3494">
        <v>1952</v>
      </c>
      <c r="E3494" t="s">
        <v>15</v>
      </c>
      <c r="F3494" t="s">
        <v>16</v>
      </c>
      <c r="G3494" t="s">
        <v>17</v>
      </c>
      <c r="H3494" t="s">
        <v>18</v>
      </c>
      <c r="I3494">
        <v>43.436</v>
      </c>
      <c r="J3494" t="s">
        <v>19</v>
      </c>
      <c r="K3494" t="s">
        <v>4788</v>
      </c>
      <c r="L3494" t="s">
        <v>21</v>
      </c>
    </row>
    <row r="3495" spans="1:12">
      <c r="A3495" t="s">
        <v>4789</v>
      </c>
      <c r="B3495" t="s">
        <v>4787</v>
      </c>
      <c r="C3495" t="s">
        <v>14</v>
      </c>
      <c r="D3495">
        <v>1952</v>
      </c>
      <c r="E3495" t="s">
        <v>23</v>
      </c>
      <c r="F3495" t="s">
        <v>24</v>
      </c>
      <c r="G3495" t="s">
        <v>25</v>
      </c>
      <c r="H3495" t="s">
        <v>26</v>
      </c>
      <c r="I3495">
        <v>41346560</v>
      </c>
      <c r="J3495" t="s">
        <v>27</v>
      </c>
      <c r="K3495" t="s">
        <v>4788</v>
      </c>
      <c r="L3495" t="s">
        <v>21</v>
      </c>
    </row>
    <row r="3496" spans="1:12">
      <c r="A3496" t="s">
        <v>4790</v>
      </c>
      <c r="B3496" t="s">
        <v>4787</v>
      </c>
      <c r="C3496" t="s">
        <v>14</v>
      </c>
      <c r="D3496">
        <v>1952</v>
      </c>
      <c r="E3496" t="s">
        <v>29</v>
      </c>
      <c r="F3496" t="s">
        <v>30</v>
      </c>
      <c r="G3496" t="s">
        <v>31</v>
      </c>
      <c r="H3496" t="s">
        <v>32</v>
      </c>
      <c r="I3496">
        <v>684.597143799999</v>
      </c>
      <c r="J3496" t="s">
        <v>33</v>
      </c>
      <c r="K3496" t="s">
        <v>4788</v>
      </c>
      <c r="L3496" t="s">
        <v>21</v>
      </c>
    </row>
    <row r="3497" spans="1:12">
      <c r="A3497" t="s">
        <v>4791</v>
      </c>
      <c r="B3497" t="s">
        <v>4787</v>
      </c>
      <c r="C3497" t="s">
        <v>14</v>
      </c>
      <c r="D3497">
        <v>1957</v>
      </c>
      <c r="E3497" t="s">
        <v>15</v>
      </c>
      <c r="F3497" t="s">
        <v>16</v>
      </c>
      <c r="G3497" t="s">
        <v>17</v>
      </c>
      <c r="H3497" t="s">
        <v>18</v>
      </c>
      <c r="I3497">
        <v>45.557000000000002</v>
      </c>
      <c r="J3497" t="s">
        <v>19</v>
      </c>
      <c r="K3497" t="s">
        <v>4792</v>
      </c>
      <c r="L3497" t="s">
        <v>21</v>
      </c>
    </row>
    <row r="3498" spans="1:12">
      <c r="A3498" t="s">
        <v>4793</v>
      </c>
      <c r="B3498" t="s">
        <v>4787</v>
      </c>
      <c r="C3498" t="s">
        <v>14</v>
      </c>
      <c r="D3498">
        <v>1957</v>
      </c>
      <c r="E3498" t="s">
        <v>23</v>
      </c>
      <c r="F3498" t="s">
        <v>24</v>
      </c>
      <c r="G3498" t="s">
        <v>25</v>
      </c>
      <c r="H3498" t="s">
        <v>26</v>
      </c>
      <c r="I3498">
        <v>46679944</v>
      </c>
      <c r="J3498" t="s">
        <v>27</v>
      </c>
      <c r="K3498" t="s">
        <v>4792</v>
      </c>
      <c r="L3498" t="s">
        <v>21</v>
      </c>
    </row>
    <row r="3499" spans="1:12">
      <c r="A3499" t="s">
        <v>4794</v>
      </c>
      <c r="B3499" t="s">
        <v>4787</v>
      </c>
      <c r="C3499" t="s">
        <v>14</v>
      </c>
      <c r="D3499">
        <v>1957</v>
      </c>
      <c r="E3499" t="s">
        <v>29</v>
      </c>
      <c r="F3499" t="s">
        <v>30</v>
      </c>
      <c r="G3499" t="s">
        <v>31</v>
      </c>
      <c r="H3499" t="s">
        <v>32</v>
      </c>
      <c r="I3499">
        <v>747.08352920000004</v>
      </c>
      <c r="J3499" t="s">
        <v>33</v>
      </c>
      <c r="K3499" t="s">
        <v>4792</v>
      </c>
      <c r="L3499" t="s">
        <v>21</v>
      </c>
    </row>
    <row r="3500" spans="1:12">
      <c r="A3500" t="s">
        <v>4795</v>
      </c>
      <c r="B3500" t="s">
        <v>4787</v>
      </c>
      <c r="C3500" t="s">
        <v>14</v>
      </c>
      <c r="D3500">
        <v>1962</v>
      </c>
      <c r="E3500" t="s">
        <v>15</v>
      </c>
      <c r="F3500" t="s">
        <v>16</v>
      </c>
      <c r="G3500" t="s">
        <v>17</v>
      </c>
      <c r="H3500" t="s">
        <v>18</v>
      </c>
      <c r="I3500">
        <v>47.67</v>
      </c>
      <c r="J3500" t="s">
        <v>19</v>
      </c>
      <c r="K3500" t="s">
        <v>4796</v>
      </c>
      <c r="L3500" t="s">
        <v>21</v>
      </c>
    </row>
    <row r="3501" spans="1:12">
      <c r="A3501" t="s">
        <v>4797</v>
      </c>
      <c r="B3501" t="s">
        <v>4787</v>
      </c>
      <c r="C3501" t="s">
        <v>14</v>
      </c>
      <c r="D3501">
        <v>1962</v>
      </c>
      <c r="E3501" t="s">
        <v>23</v>
      </c>
      <c r="F3501" t="s">
        <v>24</v>
      </c>
      <c r="G3501" t="s">
        <v>25</v>
      </c>
      <c r="H3501" t="s">
        <v>26</v>
      </c>
      <c r="I3501">
        <v>53100671</v>
      </c>
      <c r="J3501" t="s">
        <v>27</v>
      </c>
      <c r="K3501" t="s">
        <v>4796</v>
      </c>
      <c r="L3501" t="s">
        <v>21</v>
      </c>
    </row>
    <row r="3502" spans="1:12">
      <c r="A3502" t="s">
        <v>4798</v>
      </c>
      <c r="B3502" t="s">
        <v>4787</v>
      </c>
      <c r="C3502" t="s">
        <v>14</v>
      </c>
      <c r="D3502">
        <v>1962</v>
      </c>
      <c r="E3502" t="s">
        <v>29</v>
      </c>
      <c r="F3502" t="s">
        <v>30</v>
      </c>
      <c r="G3502" t="s">
        <v>31</v>
      </c>
      <c r="H3502" t="s">
        <v>32</v>
      </c>
      <c r="I3502">
        <v>803.3427418</v>
      </c>
      <c r="J3502" t="s">
        <v>33</v>
      </c>
      <c r="K3502" t="s">
        <v>4796</v>
      </c>
      <c r="L3502" t="s">
        <v>21</v>
      </c>
    </row>
    <row r="3503" spans="1:12">
      <c r="A3503" t="s">
        <v>4799</v>
      </c>
      <c r="B3503" t="s">
        <v>4787</v>
      </c>
      <c r="C3503" t="s">
        <v>14</v>
      </c>
      <c r="D3503">
        <v>1967</v>
      </c>
      <c r="E3503" t="s">
        <v>15</v>
      </c>
      <c r="F3503" t="s">
        <v>16</v>
      </c>
      <c r="G3503" t="s">
        <v>17</v>
      </c>
      <c r="H3503" t="s">
        <v>18</v>
      </c>
      <c r="I3503">
        <v>49.8</v>
      </c>
      <c r="J3503" t="s">
        <v>19</v>
      </c>
      <c r="K3503" t="s">
        <v>4800</v>
      </c>
      <c r="L3503" t="s">
        <v>21</v>
      </c>
    </row>
    <row r="3504" spans="1:12">
      <c r="A3504" t="s">
        <v>4801</v>
      </c>
      <c r="B3504" t="s">
        <v>4787</v>
      </c>
      <c r="C3504" t="s">
        <v>14</v>
      </c>
      <c r="D3504">
        <v>1967</v>
      </c>
      <c r="E3504" t="s">
        <v>23</v>
      </c>
      <c r="F3504" t="s">
        <v>24</v>
      </c>
      <c r="G3504" t="s">
        <v>25</v>
      </c>
      <c r="H3504" t="s">
        <v>26</v>
      </c>
      <c r="I3504">
        <v>60641899</v>
      </c>
      <c r="J3504" t="s">
        <v>27</v>
      </c>
      <c r="K3504" t="s">
        <v>4800</v>
      </c>
      <c r="L3504" t="s">
        <v>21</v>
      </c>
    </row>
    <row r="3505" spans="1:12">
      <c r="A3505" t="s">
        <v>4802</v>
      </c>
      <c r="B3505" t="s">
        <v>4787</v>
      </c>
      <c r="C3505" t="s">
        <v>14</v>
      </c>
      <c r="D3505">
        <v>1967</v>
      </c>
      <c r="E3505" t="s">
        <v>29</v>
      </c>
      <c r="F3505" t="s">
        <v>30</v>
      </c>
      <c r="G3505" t="s">
        <v>31</v>
      </c>
      <c r="H3505" t="s">
        <v>32</v>
      </c>
      <c r="I3505">
        <v>942.4082588</v>
      </c>
      <c r="J3505" t="s">
        <v>33</v>
      </c>
      <c r="K3505" t="s">
        <v>4800</v>
      </c>
      <c r="L3505" t="s">
        <v>21</v>
      </c>
    </row>
    <row r="3506" spans="1:12">
      <c r="A3506" t="s">
        <v>4803</v>
      </c>
      <c r="B3506" t="s">
        <v>4787</v>
      </c>
      <c r="C3506" t="s">
        <v>14</v>
      </c>
      <c r="D3506">
        <v>1972</v>
      </c>
      <c r="E3506" t="s">
        <v>15</v>
      </c>
      <c r="F3506" t="s">
        <v>16</v>
      </c>
      <c r="G3506" t="s">
        <v>17</v>
      </c>
      <c r="H3506" t="s">
        <v>18</v>
      </c>
      <c r="I3506">
        <v>51.929000000000002</v>
      </c>
      <c r="J3506" t="s">
        <v>19</v>
      </c>
      <c r="K3506" t="s">
        <v>4804</v>
      </c>
      <c r="L3506" t="s">
        <v>21</v>
      </c>
    </row>
    <row r="3507" spans="1:12">
      <c r="A3507" t="s">
        <v>4805</v>
      </c>
      <c r="B3507" t="s">
        <v>4787</v>
      </c>
      <c r="C3507" t="s">
        <v>14</v>
      </c>
      <c r="D3507">
        <v>1972</v>
      </c>
      <c r="E3507" t="s">
        <v>23</v>
      </c>
      <c r="F3507" t="s">
        <v>24</v>
      </c>
      <c r="G3507" t="s">
        <v>25</v>
      </c>
      <c r="H3507" t="s">
        <v>26</v>
      </c>
      <c r="I3507">
        <v>69325921</v>
      </c>
      <c r="J3507" t="s">
        <v>27</v>
      </c>
      <c r="K3507" t="s">
        <v>4804</v>
      </c>
      <c r="L3507" t="s">
        <v>21</v>
      </c>
    </row>
    <row r="3508" spans="1:12">
      <c r="A3508" t="s">
        <v>4806</v>
      </c>
      <c r="B3508" t="s">
        <v>4787</v>
      </c>
      <c r="C3508" t="s">
        <v>14</v>
      </c>
      <c r="D3508">
        <v>1972</v>
      </c>
      <c r="E3508" t="s">
        <v>29</v>
      </c>
      <c r="F3508" t="s">
        <v>30</v>
      </c>
      <c r="G3508" t="s">
        <v>31</v>
      </c>
      <c r="H3508" t="s">
        <v>32</v>
      </c>
      <c r="I3508">
        <v>1049.938981</v>
      </c>
      <c r="J3508" t="s">
        <v>33</v>
      </c>
      <c r="K3508" t="s">
        <v>4804</v>
      </c>
      <c r="L3508" t="s">
        <v>21</v>
      </c>
    </row>
    <row r="3509" spans="1:12">
      <c r="A3509" t="s">
        <v>4807</v>
      </c>
      <c r="B3509" t="s">
        <v>4787</v>
      </c>
      <c r="C3509" t="s">
        <v>14</v>
      </c>
      <c r="D3509">
        <v>1977</v>
      </c>
      <c r="E3509" t="s">
        <v>15</v>
      </c>
      <c r="F3509" t="s">
        <v>16</v>
      </c>
      <c r="G3509" t="s">
        <v>17</v>
      </c>
      <c r="H3509" t="s">
        <v>18</v>
      </c>
      <c r="I3509">
        <v>54.042999999999999</v>
      </c>
      <c r="J3509" t="s">
        <v>19</v>
      </c>
      <c r="K3509" t="s">
        <v>4808</v>
      </c>
      <c r="L3509" t="s">
        <v>21</v>
      </c>
    </row>
    <row r="3510" spans="1:12">
      <c r="A3510" t="s">
        <v>4809</v>
      </c>
      <c r="B3510" t="s">
        <v>4787</v>
      </c>
      <c r="C3510" t="s">
        <v>14</v>
      </c>
      <c r="D3510">
        <v>1977</v>
      </c>
      <c r="E3510" t="s">
        <v>23</v>
      </c>
      <c r="F3510" t="s">
        <v>24</v>
      </c>
      <c r="G3510" t="s">
        <v>25</v>
      </c>
      <c r="H3510" t="s">
        <v>26</v>
      </c>
      <c r="I3510">
        <v>78152686</v>
      </c>
      <c r="J3510" t="s">
        <v>27</v>
      </c>
      <c r="K3510" t="s">
        <v>4808</v>
      </c>
      <c r="L3510" t="s">
        <v>21</v>
      </c>
    </row>
    <row r="3511" spans="1:12">
      <c r="A3511" t="s">
        <v>4810</v>
      </c>
      <c r="B3511" t="s">
        <v>4787</v>
      </c>
      <c r="C3511" t="s">
        <v>14</v>
      </c>
      <c r="D3511">
        <v>1977</v>
      </c>
      <c r="E3511" t="s">
        <v>29</v>
      </c>
      <c r="F3511" t="s">
        <v>30</v>
      </c>
      <c r="G3511" t="s">
        <v>31</v>
      </c>
      <c r="H3511" t="s">
        <v>32</v>
      </c>
      <c r="I3511">
        <v>1175.9211929999999</v>
      </c>
      <c r="J3511" t="s">
        <v>33</v>
      </c>
      <c r="K3511" t="s">
        <v>4808</v>
      </c>
      <c r="L3511" t="s">
        <v>21</v>
      </c>
    </row>
    <row r="3512" spans="1:12">
      <c r="A3512" t="s">
        <v>4811</v>
      </c>
      <c r="B3512" t="s">
        <v>4787</v>
      </c>
      <c r="C3512" t="s">
        <v>14</v>
      </c>
      <c r="D3512">
        <v>1982</v>
      </c>
      <c r="E3512" t="s">
        <v>15</v>
      </c>
      <c r="F3512" t="s">
        <v>16</v>
      </c>
      <c r="G3512" t="s">
        <v>17</v>
      </c>
      <c r="H3512" t="s">
        <v>18</v>
      </c>
      <c r="I3512">
        <v>56.158000000000001</v>
      </c>
      <c r="J3512" t="s">
        <v>19</v>
      </c>
      <c r="K3512" t="s">
        <v>4812</v>
      </c>
      <c r="L3512" t="s">
        <v>21</v>
      </c>
    </row>
    <row r="3513" spans="1:12">
      <c r="A3513" t="s">
        <v>4813</v>
      </c>
      <c r="B3513" t="s">
        <v>4787</v>
      </c>
      <c r="C3513" t="s">
        <v>14</v>
      </c>
      <c r="D3513">
        <v>1982</v>
      </c>
      <c r="E3513" t="s">
        <v>23</v>
      </c>
      <c r="F3513" t="s">
        <v>24</v>
      </c>
      <c r="G3513" t="s">
        <v>25</v>
      </c>
      <c r="H3513" t="s">
        <v>26</v>
      </c>
      <c r="I3513">
        <v>91462088</v>
      </c>
      <c r="J3513" t="s">
        <v>27</v>
      </c>
      <c r="K3513" t="s">
        <v>4812</v>
      </c>
      <c r="L3513" t="s">
        <v>21</v>
      </c>
    </row>
    <row r="3514" spans="1:12">
      <c r="A3514" t="s">
        <v>4814</v>
      </c>
      <c r="B3514" t="s">
        <v>4787</v>
      </c>
      <c r="C3514" t="s">
        <v>14</v>
      </c>
      <c r="D3514">
        <v>1982</v>
      </c>
      <c r="E3514" t="s">
        <v>29</v>
      </c>
      <c r="F3514" t="s">
        <v>30</v>
      </c>
      <c r="G3514" t="s">
        <v>31</v>
      </c>
      <c r="H3514" t="s">
        <v>32</v>
      </c>
      <c r="I3514">
        <v>1443.429832</v>
      </c>
      <c r="J3514" t="s">
        <v>33</v>
      </c>
      <c r="K3514" t="s">
        <v>4812</v>
      </c>
      <c r="L3514" t="s">
        <v>21</v>
      </c>
    </row>
    <row r="3515" spans="1:12">
      <c r="A3515" t="s">
        <v>4815</v>
      </c>
      <c r="B3515" t="s">
        <v>4787</v>
      </c>
      <c r="C3515" t="s">
        <v>14</v>
      </c>
      <c r="D3515">
        <v>1987</v>
      </c>
      <c r="E3515" t="s">
        <v>15</v>
      </c>
      <c r="F3515" t="s">
        <v>16</v>
      </c>
      <c r="G3515" t="s">
        <v>17</v>
      </c>
      <c r="H3515" t="s">
        <v>18</v>
      </c>
      <c r="I3515">
        <v>58.244999999999997</v>
      </c>
      <c r="J3515" t="s">
        <v>19</v>
      </c>
      <c r="K3515" t="s">
        <v>4816</v>
      </c>
      <c r="L3515" t="s">
        <v>21</v>
      </c>
    </row>
    <row r="3516" spans="1:12">
      <c r="A3516" t="s">
        <v>4817</v>
      </c>
      <c r="B3516" t="s">
        <v>4787</v>
      </c>
      <c r="C3516" t="s">
        <v>14</v>
      </c>
      <c r="D3516">
        <v>1987</v>
      </c>
      <c r="E3516" t="s">
        <v>23</v>
      </c>
      <c r="F3516" t="s">
        <v>24</v>
      </c>
      <c r="G3516" t="s">
        <v>25</v>
      </c>
      <c r="H3516" t="s">
        <v>26</v>
      </c>
      <c r="I3516">
        <v>105186881</v>
      </c>
      <c r="J3516" t="s">
        <v>27</v>
      </c>
      <c r="K3516" t="s">
        <v>4816</v>
      </c>
      <c r="L3516" t="s">
        <v>21</v>
      </c>
    </row>
    <row r="3517" spans="1:12">
      <c r="A3517" t="s">
        <v>4818</v>
      </c>
      <c r="B3517" t="s">
        <v>4787</v>
      </c>
      <c r="C3517" t="s">
        <v>14</v>
      </c>
      <c r="D3517">
        <v>1987</v>
      </c>
      <c r="E3517" t="s">
        <v>29</v>
      </c>
      <c r="F3517" t="s">
        <v>30</v>
      </c>
      <c r="G3517" t="s">
        <v>31</v>
      </c>
      <c r="H3517" t="s">
        <v>32</v>
      </c>
      <c r="I3517">
        <v>1704.6865829999999</v>
      </c>
      <c r="J3517" t="s">
        <v>33</v>
      </c>
      <c r="K3517" t="s">
        <v>4816</v>
      </c>
      <c r="L3517" t="s">
        <v>21</v>
      </c>
    </row>
    <row r="3518" spans="1:12">
      <c r="A3518" t="s">
        <v>4819</v>
      </c>
      <c r="B3518" t="s">
        <v>4787</v>
      </c>
      <c r="C3518" t="s">
        <v>14</v>
      </c>
      <c r="D3518">
        <v>1992</v>
      </c>
      <c r="E3518" t="s">
        <v>15</v>
      </c>
      <c r="F3518" t="s">
        <v>16</v>
      </c>
      <c r="G3518" t="s">
        <v>17</v>
      </c>
      <c r="H3518" t="s">
        <v>18</v>
      </c>
      <c r="I3518">
        <v>60.838000000000001</v>
      </c>
      <c r="J3518" t="s">
        <v>19</v>
      </c>
      <c r="K3518" t="s">
        <v>4820</v>
      </c>
      <c r="L3518" t="s">
        <v>21</v>
      </c>
    </row>
    <row r="3519" spans="1:12">
      <c r="A3519" t="s">
        <v>4821</v>
      </c>
      <c r="B3519" t="s">
        <v>4787</v>
      </c>
      <c r="C3519" t="s">
        <v>14</v>
      </c>
      <c r="D3519">
        <v>1992</v>
      </c>
      <c r="E3519" t="s">
        <v>23</v>
      </c>
      <c r="F3519" t="s">
        <v>24</v>
      </c>
      <c r="G3519" t="s">
        <v>25</v>
      </c>
      <c r="H3519" t="s">
        <v>26</v>
      </c>
      <c r="I3519">
        <v>120065004</v>
      </c>
      <c r="J3519" t="s">
        <v>27</v>
      </c>
      <c r="K3519" t="s">
        <v>4820</v>
      </c>
      <c r="L3519" t="s">
        <v>21</v>
      </c>
    </row>
    <row r="3520" spans="1:12">
      <c r="A3520" t="s">
        <v>4822</v>
      </c>
      <c r="B3520" t="s">
        <v>4787</v>
      </c>
      <c r="C3520" t="s">
        <v>14</v>
      </c>
      <c r="D3520">
        <v>1992</v>
      </c>
      <c r="E3520" t="s">
        <v>29</v>
      </c>
      <c r="F3520" t="s">
        <v>30</v>
      </c>
      <c r="G3520" t="s">
        <v>31</v>
      </c>
      <c r="H3520" t="s">
        <v>32</v>
      </c>
      <c r="I3520">
        <v>1971.8294639999999</v>
      </c>
      <c r="J3520" t="s">
        <v>33</v>
      </c>
      <c r="K3520" t="s">
        <v>4820</v>
      </c>
      <c r="L3520" t="s">
        <v>21</v>
      </c>
    </row>
    <row r="3521" spans="1:12">
      <c r="A3521" t="s">
        <v>4823</v>
      </c>
      <c r="B3521" t="s">
        <v>4787</v>
      </c>
      <c r="C3521" t="s">
        <v>14</v>
      </c>
      <c r="D3521">
        <v>1997</v>
      </c>
      <c r="E3521" t="s">
        <v>15</v>
      </c>
      <c r="F3521" t="s">
        <v>16</v>
      </c>
      <c r="G3521" t="s">
        <v>17</v>
      </c>
      <c r="H3521" t="s">
        <v>18</v>
      </c>
      <c r="I3521">
        <v>61.817999999999998</v>
      </c>
      <c r="J3521" t="s">
        <v>19</v>
      </c>
      <c r="K3521" t="s">
        <v>4824</v>
      </c>
      <c r="L3521" t="s">
        <v>21</v>
      </c>
    </row>
    <row r="3522" spans="1:12">
      <c r="A3522" t="s">
        <v>4825</v>
      </c>
      <c r="B3522" t="s">
        <v>4787</v>
      </c>
      <c r="C3522" t="s">
        <v>14</v>
      </c>
      <c r="D3522">
        <v>1997</v>
      </c>
      <c r="E3522" t="s">
        <v>23</v>
      </c>
      <c r="F3522" t="s">
        <v>24</v>
      </c>
      <c r="G3522" t="s">
        <v>25</v>
      </c>
      <c r="H3522" t="s">
        <v>26</v>
      </c>
      <c r="I3522">
        <v>135564834</v>
      </c>
      <c r="J3522" t="s">
        <v>27</v>
      </c>
      <c r="K3522" t="s">
        <v>4824</v>
      </c>
      <c r="L3522" t="s">
        <v>21</v>
      </c>
    </row>
    <row r="3523" spans="1:12">
      <c r="A3523" t="s">
        <v>4826</v>
      </c>
      <c r="B3523" t="s">
        <v>4787</v>
      </c>
      <c r="C3523" t="s">
        <v>14</v>
      </c>
      <c r="D3523">
        <v>1997</v>
      </c>
      <c r="E3523" t="s">
        <v>29</v>
      </c>
      <c r="F3523" t="s">
        <v>30</v>
      </c>
      <c r="G3523" t="s">
        <v>31</v>
      </c>
      <c r="H3523" t="s">
        <v>32</v>
      </c>
      <c r="I3523">
        <v>2049.3505209999998</v>
      </c>
      <c r="J3523" t="s">
        <v>33</v>
      </c>
      <c r="K3523" t="s">
        <v>4824</v>
      </c>
      <c r="L3523" t="s">
        <v>21</v>
      </c>
    </row>
    <row r="3524" spans="1:12">
      <c r="A3524" t="s">
        <v>4827</v>
      </c>
      <c r="B3524" t="s">
        <v>4787</v>
      </c>
      <c r="C3524" t="s">
        <v>14</v>
      </c>
      <c r="D3524">
        <v>2002</v>
      </c>
      <c r="E3524" t="s">
        <v>15</v>
      </c>
      <c r="F3524" t="s">
        <v>16</v>
      </c>
      <c r="G3524" t="s">
        <v>17</v>
      </c>
      <c r="H3524" t="s">
        <v>18</v>
      </c>
      <c r="I3524">
        <v>63.61</v>
      </c>
      <c r="J3524" t="s">
        <v>19</v>
      </c>
      <c r="K3524" t="s">
        <v>4828</v>
      </c>
      <c r="L3524" t="s">
        <v>21</v>
      </c>
    </row>
    <row r="3525" spans="1:12">
      <c r="A3525" t="s">
        <v>4829</v>
      </c>
      <c r="B3525" t="s">
        <v>4787</v>
      </c>
      <c r="C3525" t="s">
        <v>14</v>
      </c>
      <c r="D3525">
        <v>2002</v>
      </c>
      <c r="E3525" t="s">
        <v>23</v>
      </c>
      <c r="F3525" t="s">
        <v>24</v>
      </c>
      <c r="G3525" t="s">
        <v>25</v>
      </c>
      <c r="H3525" t="s">
        <v>26</v>
      </c>
      <c r="I3525">
        <v>153403524</v>
      </c>
      <c r="J3525" t="s">
        <v>27</v>
      </c>
      <c r="K3525" t="s">
        <v>4828</v>
      </c>
      <c r="L3525" t="s">
        <v>21</v>
      </c>
    </row>
    <row r="3526" spans="1:12">
      <c r="A3526" t="s">
        <v>4830</v>
      </c>
      <c r="B3526" t="s">
        <v>4787</v>
      </c>
      <c r="C3526" t="s">
        <v>14</v>
      </c>
      <c r="D3526">
        <v>2002</v>
      </c>
      <c r="E3526" t="s">
        <v>29</v>
      </c>
      <c r="F3526" t="s">
        <v>30</v>
      </c>
      <c r="G3526" t="s">
        <v>31</v>
      </c>
      <c r="H3526" t="s">
        <v>32</v>
      </c>
      <c r="I3526">
        <v>2092.7124410000001</v>
      </c>
      <c r="J3526" t="s">
        <v>33</v>
      </c>
      <c r="K3526" t="s">
        <v>4828</v>
      </c>
      <c r="L3526" t="s">
        <v>21</v>
      </c>
    </row>
    <row r="3527" spans="1:12">
      <c r="A3527" t="s">
        <v>4831</v>
      </c>
      <c r="B3527" t="s">
        <v>4787</v>
      </c>
      <c r="C3527" t="s">
        <v>14</v>
      </c>
      <c r="D3527">
        <v>2007</v>
      </c>
      <c r="E3527" t="s">
        <v>15</v>
      </c>
      <c r="F3527" t="s">
        <v>16</v>
      </c>
      <c r="G3527" t="s">
        <v>17</v>
      </c>
      <c r="H3527" t="s">
        <v>18</v>
      </c>
      <c r="I3527">
        <v>65.483000000000004</v>
      </c>
      <c r="J3527" t="s">
        <v>19</v>
      </c>
      <c r="K3527" t="s">
        <v>4832</v>
      </c>
      <c r="L3527" t="s">
        <v>21</v>
      </c>
    </row>
    <row r="3528" spans="1:12">
      <c r="A3528" t="s">
        <v>4833</v>
      </c>
      <c r="B3528" t="s">
        <v>4787</v>
      </c>
      <c r="C3528" t="s">
        <v>14</v>
      </c>
      <c r="D3528">
        <v>2007</v>
      </c>
      <c r="E3528" t="s">
        <v>23</v>
      </c>
      <c r="F3528" t="s">
        <v>24</v>
      </c>
      <c r="G3528" t="s">
        <v>25</v>
      </c>
      <c r="H3528" t="s">
        <v>26</v>
      </c>
      <c r="I3528">
        <v>169270617</v>
      </c>
      <c r="J3528" t="s">
        <v>27</v>
      </c>
      <c r="K3528" t="s">
        <v>4832</v>
      </c>
      <c r="L3528" t="s">
        <v>21</v>
      </c>
    </row>
    <row r="3529" spans="1:12">
      <c r="A3529" t="s">
        <v>4834</v>
      </c>
      <c r="B3529" t="s">
        <v>4787</v>
      </c>
      <c r="C3529" t="s">
        <v>14</v>
      </c>
      <c r="D3529">
        <v>2007</v>
      </c>
      <c r="E3529" t="s">
        <v>29</v>
      </c>
      <c r="F3529" t="s">
        <v>30</v>
      </c>
      <c r="G3529" t="s">
        <v>31</v>
      </c>
      <c r="H3529" t="s">
        <v>32</v>
      </c>
      <c r="I3529">
        <v>2605.94758</v>
      </c>
      <c r="J3529" t="s">
        <v>33</v>
      </c>
      <c r="K3529" t="s">
        <v>4832</v>
      </c>
      <c r="L3529" t="s">
        <v>21</v>
      </c>
    </row>
    <row r="3530" spans="1:12">
      <c r="A3530" t="s">
        <v>4835</v>
      </c>
      <c r="B3530" t="s">
        <v>4836</v>
      </c>
      <c r="C3530" t="s">
        <v>229</v>
      </c>
      <c r="D3530">
        <v>1952</v>
      </c>
      <c r="E3530" t="s">
        <v>15</v>
      </c>
      <c r="F3530" t="s">
        <v>16</v>
      </c>
      <c r="G3530" t="s">
        <v>17</v>
      </c>
      <c r="H3530" t="s">
        <v>18</v>
      </c>
      <c r="I3530">
        <v>55.191000000000003</v>
      </c>
      <c r="J3530" t="s">
        <v>19</v>
      </c>
      <c r="K3530" t="s">
        <v>4837</v>
      </c>
      <c r="L3530" t="s">
        <v>21</v>
      </c>
    </row>
    <row r="3531" spans="1:12">
      <c r="A3531" t="s">
        <v>4838</v>
      </c>
      <c r="B3531" t="s">
        <v>4836</v>
      </c>
      <c r="C3531" t="s">
        <v>229</v>
      </c>
      <c r="D3531">
        <v>1952</v>
      </c>
      <c r="E3531" t="s">
        <v>23</v>
      </c>
      <c r="F3531" t="s">
        <v>24</v>
      </c>
      <c r="G3531" t="s">
        <v>25</v>
      </c>
      <c r="H3531" t="s">
        <v>26</v>
      </c>
      <c r="I3531">
        <v>940080</v>
      </c>
      <c r="J3531" t="s">
        <v>27</v>
      </c>
      <c r="K3531" t="s">
        <v>4837</v>
      </c>
      <c r="L3531" t="s">
        <v>21</v>
      </c>
    </row>
    <row r="3532" spans="1:12">
      <c r="A3532" t="s">
        <v>4839</v>
      </c>
      <c r="B3532" t="s">
        <v>4836</v>
      </c>
      <c r="C3532" t="s">
        <v>229</v>
      </c>
      <c r="D3532">
        <v>1952</v>
      </c>
      <c r="E3532" t="s">
        <v>29</v>
      </c>
      <c r="F3532" t="s">
        <v>30</v>
      </c>
      <c r="G3532" t="s">
        <v>31</v>
      </c>
      <c r="H3532" t="s">
        <v>32</v>
      </c>
      <c r="I3532">
        <v>2480.3803339999999</v>
      </c>
      <c r="J3532" t="s">
        <v>33</v>
      </c>
      <c r="K3532" t="s">
        <v>4837</v>
      </c>
      <c r="L3532" t="s">
        <v>21</v>
      </c>
    </row>
    <row r="3533" spans="1:12">
      <c r="A3533" t="s">
        <v>4840</v>
      </c>
      <c r="B3533" t="s">
        <v>4836</v>
      </c>
      <c r="C3533" t="s">
        <v>229</v>
      </c>
      <c r="D3533">
        <v>1957</v>
      </c>
      <c r="E3533" t="s">
        <v>15</v>
      </c>
      <c r="F3533" t="s">
        <v>16</v>
      </c>
      <c r="G3533" t="s">
        <v>17</v>
      </c>
      <c r="H3533" t="s">
        <v>18</v>
      </c>
      <c r="I3533">
        <v>59.201000000000001</v>
      </c>
      <c r="J3533" t="s">
        <v>19</v>
      </c>
      <c r="K3533" t="s">
        <v>4841</v>
      </c>
      <c r="L3533" t="s">
        <v>21</v>
      </c>
    </row>
    <row r="3534" spans="1:12">
      <c r="A3534" t="s">
        <v>4842</v>
      </c>
      <c r="B3534" t="s">
        <v>4836</v>
      </c>
      <c r="C3534" t="s">
        <v>229</v>
      </c>
      <c r="D3534">
        <v>1957</v>
      </c>
      <c r="E3534" t="s">
        <v>23</v>
      </c>
      <c r="F3534" t="s">
        <v>24</v>
      </c>
      <c r="G3534" t="s">
        <v>25</v>
      </c>
      <c r="H3534" t="s">
        <v>26</v>
      </c>
      <c r="I3534">
        <v>1063506</v>
      </c>
      <c r="J3534" t="s">
        <v>27</v>
      </c>
      <c r="K3534" t="s">
        <v>4841</v>
      </c>
      <c r="L3534" t="s">
        <v>21</v>
      </c>
    </row>
    <row r="3535" spans="1:12">
      <c r="A3535" t="s">
        <v>4843</v>
      </c>
      <c r="B3535" t="s">
        <v>4836</v>
      </c>
      <c r="C3535" t="s">
        <v>229</v>
      </c>
      <c r="D3535">
        <v>1957</v>
      </c>
      <c r="E3535" t="s">
        <v>29</v>
      </c>
      <c r="F3535" t="s">
        <v>30</v>
      </c>
      <c r="G3535" t="s">
        <v>31</v>
      </c>
      <c r="H3535" t="s">
        <v>32</v>
      </c>
      <c r="I3535">
        <v>2961.8009050000001</v>
      </c>
      <c r="J3535" t="s">
        <v>33</v>
      </c>
      <c r="K3535" t="s">
        <v>4841</v>
      </c>
      <c r="L3535" t="s">
        <v>21</v>
      </c>
    </row>
    <row r="3536" spans="1:12">
      <c r="A3536" t="s">
        <v>4844</v>
      </c>
      <c r="B3536" t="s">
        <v>4836</v>
      </c>
      <c r="C3536" t="s">
        <v>229</v>
      </c>
      <c r="D3536">
        <v>1962</v>
      </c>
      <c r="E3536" t="s">
        <v>15</v>
      </c>
      <c r="F3536" t="s">
        <v>16</v>
      </c>
      <c r="G3536" t="s">
        <v>17</v>
      </c>
      <c r="H3536" t="s">
        <v>18</v>
      </c>
      <c r="I3536">
        <v>61.817</v>
      </c>
      <c r="J3536" t="s">
        <v>19</v>
      </c>
      <c r="K3536" t="s">
        <v>4845</v>
      </c>
      <c r="L3536" t="s">
        <v>21</v>
      </c>
    </row>
    <row r="3537" spans="1:12">
      <c r="A3537" t="s">
        <v>4846</v>
      </c>
      <c r="B3537" t="s">
        <v>4836</v>
      </c>
      <c r="C3537" t="s">
        <v>229</v>
      </c>
      <c r="D3537">
        <v>1962</v>
      </c>
      <c r="E3537" t="s">
        <v>23</v>
      </c>
      <c r="F3537" t="s">
        <v>24</v>
      </c>
      <c r="G3537" t="s">
        <v>25</v>
      </c>
      <c r="H3537" t="s">
        <v>26</v>
      </c>
      <c r="I3537">
        <v>1215725</v>
      </c>
      <c r="J3537" t="s">
        <v>27</v>
      </c>
      <c r="K3537" t="s">
        <v>4845</v>
      </c>
      <c r="L3537" t="s">
        <v>21</v>
      </c>
    </row>
    <row r="3538" spans="1:12">
      <c r="A3538" t="s">
        <v>4847</v>
      </c>
      <c r="B3538" t="s">
        <v>4836</v>
      </c>
      <c r="C3538" t="s">
        <v>229</v>
      </c>
      <c r="D3538">
        <v>1962</v>
      </c>
      <c r="E3538" t="s">
        <v>29</v>
      </c>
      <c r="F3538" t="s">
        <v>30</v>
      </c>
      <c r="G3538" t="s">
        <v>31</v>
      </c>
      <c r="H3538" t="s">
        <v>32</v>
      </c>
      <c r="I3538">
        <v>3536.540301</v>
      </c>
      <c r="J3538" t="s">
        <v>33</v>
      </c>
      <c r="K3538" t="s">
        <v>4845</v>
      </c>
      <c r="L3538" t="s">
        <v>21</v>
      </c>
    </row>
    <row r="3539" spans="1:12">
      <c r="A3539" t="s">
        <v>4848</v>
      </c>
      <c r="B3539" t="s">
        <v>4836</v>
      </c>
      <c r="C3539" t="s">
        <v>229</v>
      </c>
      <c r="D3539">
        <v>1967</v>
      </c>
      <c r="E3539" t="s">
        <v>15</v>
      </c>
      <c r="F3539" t="s">
        <v>16</v>
      </c>
      <c r="G3539" t="s">
        <v>17</v>
      </c>
      <c r="H3539" t="s">
        <v>18</v>
      </c>
      <c r="I3539">
        <v>64.070999999999998</v>
      </c>
      <c r="J3539" t="s">
        <v>19</v>
      </c>
      <c r="K3539" t="s">
        <v>4849</v>
      </c>
      <c r="L3539" t="s">
        <v>21</v>
      </c>
    </row>
    <row r="3540" spans="1:12">
      <c r="A3540" t="s">
        <v>4850</v>
      </c>
      <c r="B3540" t="s">
        <v>4836</v>
      </c>
      <c r="C3540" t="s">
        <v>229</v>
      </c>
      <c r="D3540">
        <v>1967</v>
      </c>
      <c r="E3540" t="s">
        <v>23</v>
      </c>
      <c r="F3540" t="s">
        <v>24</v>
      </c>
      <c r="G3540" t="s">
        <v>25</v>
      </c>
      <c r="H3540" t="s">
        <v>26</v>
      </c>
      <c r="I3540">
        <v>1405486</v>
      </c>
      <c r="J3540" t="s">
        <v>27</v>
      </c>
      <c r="K3540" t="s">
        <v>4849</v>
      </c>
      <c r="L3540" t="s">
        <v>21</v>
      </c>
    </row>
    <row r="3541" spans="1:12">
      <c r="A3541" t="s">
        <v>4851</v>
      </c>
      <c r="B3541" t="s">
        <v>4836</v>
      </c>
      <c r="C3541" t="s">
        <v>229</v>
      </c>
      <c r="D3541">
        <v>1967</v>
      </c>
      <c r="E3541" t="s">
        <v>29</v>
      </c>
      <c r="F3541" t="s">
        <v>30</v>
      </c>
      <c r="G3541" t="s">
        <v>31</v>
      </c>
      <c r="H3541" t="s">
        <v>32</v>
      </c>
      <c r="I3541">
        <v>4421.0090840000003</v>
      </c>
      <c r="J3541" t="s">
        <v>33</v>
      </c>
      <c r="K3541" t="s">
        <v>4849</v>
      </c>
      <c r="L3541" t="s">
        <v>21</v>
      </c>
    </row>
    <row r="3542" spans="1:12">
      <c r="A3542" t="s">
        <v>4852</v>
      </c>
      <c r="B3542" t="s">
        <v>4836</v>
      </c>
      <c r="C3542" t="s">
        <v>229</v>
      </c>
      <c r="D3542">
        <v>1972</v>
      </c>
      <c r="E3542" t="s">
        <v>15</v>
      </c>
      <c r="F3542" t="s">
        <v>16</v>
      </c>
      <c r="G3542" t="s">
        <v>17</v>
      </c>
      <c r="H3542" t="s">
        <v>18</v>
      </c>
      <c r="I3542">
        <v>66.215999999999994</v>
      </c>
      <c r="J3542" t="s">
        <v>19</v>
      </c>
      <c r="K3542" t="s">
        <v>4853</v>
      </c>
      <c r="L3542" t="s">
        <v>21</v>
      </c>
    </row>
    <row r="3543" spans="1:12">
      <c r="A3543" t="s">
        <v>4854</v>
      </c>
      <c r="B3543" t="s">
        <v>4836</v>
      </c>
      <c r="C3543" t="s">
        <v>229</v>
      </c>
      <c r="D3543">
        <v>1972</v>
      </c>
      <c r="E3543" t="s">
        <v>23</v>
      </c>
      <c r="F3543" t="s">
        <v>24</v>
      </c>
      <c r="G3543" t="s">
        <v>25</v>
      </c>
      <c r="H3543" t="s">
        <v>26</v>
      </c>
      <c r="I3543">
        <v>1616384</v>
      </c>
      <c r="J3543" t="s">
        <v>27</v>
      </c>
      <c r="K3543" t="s">
        <v>4853</v>
      </c>
      <c r="L3543" t="s">
        <v>21</v>
      </c>
    </row>
    <row r="3544" spans="1:12">
      <c r="A3544" t="s">
        <v>4855</v>
      </c>
      <c r="B3544" t="s">
        <v>4836</v>
      </c>
      <c r="C3544" t="s">
        <v>229</v>
      </c>
      <c r="D3544">
        <v>1972</v>
      </c>
      <c r="E3544" t="s">
        <v>29</v>
      </c>
      <c r="F3544" t="s">
        <v>30</v>
      </c>
      <c r="G3544" t="s">
        <v>31</v>
      </c>
      <c r="H3544" t="s">
        <v>32</v>
      </c>
      <c r="I3544">
        <v>5364.2496629999996</v>
      </c>
      <c r="J3544" t="s">
        <v>33</v>
      </c>
      <c r="K3544" t="s">
        <v>4853</v>
      </c>
      <c r="L3544" t="s">
        <v>21</v>
      </c>
    </row>
    <row r="3545" spans="1:12">
      <c r="A3545" t="s">
        <v>4856</v>
      </c>
      <c r="B3545" t="s">
        <v>4836</v>
      </c>
      <c r="C3545" t="s">
        <v>229</v>
      </c>
      <c r="D3545">
        <v>1977</v>
      </c>
      <c r="E3545" t="s">
        <v>15</v>
      </c>
      <c r="F3545" t="s">
        <v>16</v>
      </c>
      <c r="G3545" t="s">
        <v>17</v>
      </c>
      <c r="H3545" t="s">
        <v>18</v>
      </c>
      <c r="I3545">
        <v>68.680999999999997</v>
      </c>
      <c r="J3545" t="s">
        <v>19</v>
      </c>
      <c r="K3545" t="s">
        <v>4857</v>
      </c>
      <c r="L3545" t="s">
        <v>21</v>
      </c>
    </row>
    <row r="3546" spans="1:12">
      <c r="A3546" t="s">
        <v>4858</v>
      </c>
      <c r="B3546" t="s">
        <v>4836</v>
      </c>
      <c r="C3546" t="s">
        <v>229</v>
      </c>
      <c r="D3546">
        <v>1977</v>
      </c>
      <c r="E3546" t="s">
        <v>23</v>
      </c>
      <c r="F3546" t="s">
        <v>24</v>
      </c>
      <c r="G3546" t="s">
        <v>25</v>
      </c>
      <c r="H3546" t="s">
        <v>26</v>
      </c>
      <c r="I3546">
        <v>1839782</v>
      </c>
      <c r="J3546" t="s">
        <v>27</v>
      </c>
      <c r="K3546" t="s">
        <v>4857</v>
      </c>
      <c r="L3546" t="s">
        <v>21</v>
      </c>
    </row>
    <row r="3547" spans="1:12">
      <c r="A3547" t="s">
        <v>4859</v>
      </c>
      <c r="B3547" t="s">
        <v>4836</v>
      </c>
      <c r="C3547" t="s">
        <v>229</v>
      </c>
      <c r="D3547">
        <v>1977</v>
      </c>
      <c r="E3547" t="s">
        <v>29</v>
      </c>
      <c r="F3547" t="s">
        <v>30</v>
      </c>
      <c r="G3547" t="s">
        <v>31</v>
      </c>
      <c r="H3547" t="s">
        <v>32</v>
      </c>
      <c r="I3547">
        <v>5351.9121439999999</v>
      </c>
      <c r="J3547" t="s">
        <v>33</v>
      </c>
      <c r="K3547" t="s">
        <v>4857</v>
      </c>
      <c r="L3547" t="s">
        <v>21</v>
      </c>
    </row>
    <row r="3548" spans="1:12">
      <c r="A3548" t="s">
        <v>4860</v>
      </c>
      <c r="B3548" t="s">
        <v>4836</v>
      </c>
      <c r="C3548" t="s">
        <v>229</v>
      </c>
      <c r="D3548">
        <v>1982</v>
      </c>
      <c r="E3548" t="s">
        <v>15</v>
      </c>
      <c r="F3548" t="s">
        <v>16</v>
      </c>
      <c r="G3548" t="s">
        <v>17</v>
      </c>
      <c r="H3548" t="s">
        <v>18</v>
      </c>
      <c r="I3548">
        <v>70.471999999999994</v>
      </c>
      <c r="J3548" t="s">
        <v>19</v>
      </c>
      <c r="K3548" t="s">
        <v>4861</v>
      </c>
      <c r="L3548" t="s">
        <v>21</v>
      </c>
    </row>
    <row r="3549" spans="1:12">
      <c r="A3549" t="s">
        <v>4862</v>
      </c>
      <c r="B3549" t="s">
        <v>4836</v>
      </c>
      <c r="C3549" t="s">
        <v>229</v>
      </c>
      <c r="D3549">
        <v>1982</v>
      </c>
      <c r="E3549" t="s">
        <v>23</v>
      </c>
      <c r="F3549" t="s">
        <v>24</v>
      </c>
      <c r="G3549" t="s">
        <v>25</v>
      </c>
      <c r="H3549" t="s">
        <v>26</v>
      </c>
      <c r="I3549">
        <v>2036305</v>
      </c>
      <c r="J3549" t="s">
        <v>27</v>
      </c>
      <c r="K3549" t="s">
        <v>4861</v>
      </c>
      <c r="L3549" t="s">
        <v>21</v>
      </c>
    </row>
    <row r="3550" spans="1:12">
      <c r="A3550" t="s">
        <v>4863</v>
      </c>
      <c r="B3550" t="s">
        <v>4836</v>
      </c>
      <c r="C3550" t="s">
        <v>229</v>
      </c>
      <c r="D3550">
        <v>1982</v>
      </c>
      <c r="E3550" t="s">
        <v>29</v>
      </c>
      <c r="F3550" t="s">
        <v>30</v>
      </c>
      <c r="G3550" t="s">
        <v>31</v>
      </c>
      <c r="H3550" t="s">
        <v>32</v>
      </c>
      <c r="I3550">
        <v>7009.6015980000002</v>
      </c>
      <c r="J3550" t="s">
        <v>33</v>
      </c>
      <c r="K3550" t="s">
        <v>4861</v>
      </c>
      <c r="L3550" t="s">
        <v>21</v>
      </c>
    </row>
    <row r="3551" spans="1:12">
      <c r="A3551" t="s">
        <v>4864</v>
      </c>
      <c r="B3551" t="s">
        <v>4836</v>
      </c>
      <c r="C3551" t="s">
        <v>229</v>
      </c>
      <c r="D3551">
        <v>1987</v>
      </c>
      <c r="E3551" t="s">
        <v>15</v>
      </c>
      <c r="F3551" t="s">
        <v>16</v>
      </c>
      <c r="G3551" t="s">
        <v>17</v>
      </c>
      <c r="H3551" t="s">
        <v>18</v>
      </c>
      <c r="I3551">
        <v>71.522999999999996</v>
      </c>
      <c r="J3551" t="s">
        <v>19</v>
      </c>
      <c r="K3551" t="s">
        <v>4865</v>
      </c>
      <c r="L3551" t="s">
        <v>21</v>
      </c>
    </row>
    <row r="3552" spans="1:12">
      <c r="A3552" t="s">
        <v>4866</v>
      </c>
      <c r="B3552" t="s">
        <v>4836</v>
      </c>
      <c r="C3552" t="s">
        <v>229</v>
      </c>
      <c r="D3552">
        <v>1987</v>
      </c>
      <c r="E3552" t="s">
        <v>23</v>
      </c>
      <c r="F3552" t="s">
        <v>24</v>
      </c>
      <c r="G3552" t="s">
        <v>25</v>
      </c>
      <c r="H3552" t="s">
        <v>26</v>
      </c>
      <c r="I3552">
        <v>2253639</v>
      </c>
      <c r="J3552" t="s">
        <v>27</v>
      </c>
      <c r="K3552" t="s">
        <v>4865</v>
      </c>
      <c r="L3552" t="s">
        <v>21</v>
      </c>
    </row>
    <row r="3553" spans="1:12">
      <c r="A3553" t="s">
        <v>4867</v>
      </c>
      <c r="B3553" t="s">
        <v>4836</v>
      </c>
      <c r="C3553" t="s">
        <v>229</v>
      </c>
      <c r="D3553">
        <v>1987</v>
      </c>
      <c r="E3553" t="s">
        <v>29</v>
      </c>
      <c r="F3553" t="s">
        <v>30</v>
      </c>
      <c r="G3553" t="s">
        <v>31</v>
      </c>
      <c r="H3553" t="s">
        <v>32</v>
      </c>
      <c r="I3553">
        <v>7034.7791610000004</v>
      </c>
      <c r="J3553" t="s">
        <v>33</v>
      </c>
      <c r="K3553" t="s">
        <v>4865</v>
      </c>
      <c r="L3553" t="s">
        <v>21</v>
      </c>
    </row>
    <row r="3554" spans="1:12">
      <c r="A3554" t="s">
        <v>4868</v>
      </c>
      <c r="B3554" t="s">
        <v>4836</v>
      </c>
      <c r="C3554" t="s">
        <v>229</v>
      </c>
      <c r="D3554">
        <v>1992</v>
      </c>
      <c r="E3554" t="s">
        <v>15</v>
      </c>
      <c r="F3554" t="s">
        <v>16</v>
      </c>
      <c r="G3554" t="s">
        <v>17</v>
      </c>
      <c r="H3554" t="s">
        <v>18</v>
      </c>
      <c r="I3554">
        <v>72.462000000000003</v>
      </c>
      <c r="J3554" t="s">
        <v>19</v>
      </c>
      <c r="K3554" t="s">
        <v>4869</v>
      </c>
      <c r="L3554" t="s">
        <v>21</v>
      </c>
    </row>
    <row r="3555" spans="1:12">
      <c r="A3555" t="s">
        <v>4870</v>
      </c>
      <c r="B3555" t="s">
        <v>4836</v>
      </c>
      <c r="C3555" t="s">
        <v>229</v>
      </c>
      <c r="D3555">
        <v>1992</v>
      </c>
      <c r="E3555" t="s">
        <v>23</v>
      </c>
      <c r="F3555" t="s">
        <v>24</v>
      </c>
      <c r="G3555" t="s">
        <v>25</v>
      </c>
      <c r="H3555" t="s">
        <v>26</v>
      </c>
      <c r="I3555">
        <v>2484997</v>
      </c>
      <c r="J3555" t="s">
        <v>27</v>
      </c>
      <c r="K3555" t="s">
        <v>4869</v>
      </c>
      <c r="L3555" t="s">
        <v>21</v>
      </c>
    </row>
    <row r="3556" spans="1:12">
      <c r="A3556" t="s">
        <v>4871</v>
      </c>
      <c r="B3556" t="s">
        <v>4836</v>
      </c>
      <c r="C3556" t="s">
        <v>229</v>
      </c>
      <c r="D3556">
        <v>1992</v>
      </c>
      <c r="E3556" t="s">
        <v>29</v>
      </c>
      <c r="F3556" t="s">
        <v>30</v>
      </c>
      <c r="G3556" t="s">
        <v>31</v>
      </c>
      <c r="H3556" t="s">
        <v>32</v>
      </c>
      <c r="I3556">
        <v>6618.74305</v>
      </c>
      <c r="J3556" t="s">
        <v>33</v>
      </c>
      <c r="K3556" t="s">
        <v>4869</v>
      </c>
      <c r="L3556" t="s">
        <v>21</v>
      </c>
    </row>
    <row r="3557" spans="1:12">
      <c r="A3557" t="s">
        <v>4872</v>
      </c>
      <c r="B3557" t="s">
        <v>4836</v>
      </c>
      <c r="C3557" t="s">
        <v>229</v>
      </c>
      <c r="D3557">
        <v>1997</v>
      </c>
      <c r="E3557" t="s">
        <v>15</v>
      </c>
      <c r="F3557" t="s">
        <v>16</v>
      </c>
      <c r="G3557" t="s">
        <v>17</v>
      </c>
      <c r="H3557" t="s">
        <v>18</v>
      </c>
      <c r="I3557">
        <v>73.738</v>
      </c>
      <c r="J3557" t="s">
        <v>19</v>
      </c>
      <c r="K3557" t="s">
        <v>4873</v>
      </c>
      <c r="L3557" t="s">
        <v>21</v>
      </c>
    </row>
    <row r="3558" spans="1:12">
      <c r="A3558" t="s">
        <v>4874</v>
      </c>
      <c r="B3558" t="s">
        <v>4836</v>
      </c>
      <c r="C3558" t="s">
        <v>229</v>
      </c>
      <c r="D3558">
        <v>1997</v>
      </c>
      <c r="E3558" t="s">
        <v>23</v>
      </c>
      <c r="F3558" t="s">
        <v>24</v>
      </c>
      <c r="G3558" t="s">
        <v>25</v>
      </c>
      <c r="H3558" t="s">
        <v>26</v>
      </c>
      <c r="I3558">
        <v>2734531</v>
      </c>
      <c r="J3558" t="s">
        <v>27</v>
      </c>
      <c r="K3558" t="s">
        <v>4873</v>
      </c>
      <c r="L3558" t="s">
        <v>21</v>
      </c>
    </row>
    <row r="3559" spans="1:12">
      <c r="A3559" t="s">
        <v>4875</v>
      </c>
      <c r="B3559" t="s">
        <v>4836</v>
      </c>
      <c r="C3559" t="s">
        <v>229</v>
      </c>
      <c r="D3559">
        <v>1997</v>
      </c>
      <c r="E3559" t="s">
        <v>29</v>
      </c>
      <c r="F3559" t="s">
        <v>30</v>
      </c>
      <c r="G3559" t="s">
        <v>31</v>
      </c>
      <c r="H3559" t="s">
        <v>32</v>
      </c>
      <c r="I3559">
        <v>7113.6922519999998</v>
      </c>
      <c r="J3559" t="s">
        <v>33</v>
      </c>
      <c r="K3559" t="s">
        <v>4873</v>
      </c>
      <c r="L3559" t="s">
        <v>21</v>
      </c>
    </row>
    <row r="3560" spans="1:12">
      <c r="A3560" t="s">
        <v>4876</v>
      </c>
      <c r="B3560" t="s">
        <v>4836</v>
      </c>
      <c r="C3560" t="s">
        <v>229</v>
      </c>
      <c r="D3560">
        <v>2002</v>
      </c>
      <c r="E3560" t="s">
        <v>15</v>
      </c>
      <c r="F3560" t="s">
        <v>16</v>
      </c>
      <c r="G3560" t="s">
        <v>17</v>
      </c>
      <c r="H3560" t="s">
        <v>18</v>
      </c>
      <c r="I3560">
        <v>74.712000000000003</v>
      </c>
      <c r="J3560" t="s">
        <v>19</v>
      </c>
      <c r="K3560" t="s">
        <v>4877</v>
      </c>
      <c r="L3560" t="s">
        <v>21</v>
      </c>
    </row>
    <row r="3561" spans="1:12">
      <c r="A3561" t="s">
        <v>4878</v>
      </c>
      <c r="B3561" t="s">
        <v>4836</v>
      </c>
      <c r="C3561" t="s">
        <v>229</v>
      </c>
      <c r="D3561">
        <v>2002</v>
      </c>
      <c r="E3561" t="s">
        <v>23</v>
      </c>
      <c r="F3561" t="s">
        <v>24</v>
      </c>
      <c r="G3561" t="s">
        <v>25</v>
      </c>
      <c r="H3561" t="s">
        <v>26</v>
      </c>
      <c r="I3561">
        <v>2990875</v>
      </c>
      <c r="J3561" t="s">
        <v>27</v>
      </c>
      <c r="K3561" t="s">
        <v>4877</v>
      </c>
      <c r="L3561" t="s">
        <v>21</v>
      </c>
    </row>
    <row r="3562" spans="1:12">
      <c r="A3562" t="s">
        <v>4879</v>
      </c>
      <c r="B3562" t="s">
        <v>4836</v>
      </c>
      <c r="C3562" t="s">
        <v>229</v>
      </c>
      <c r="D3562">
        <v>2002</v>
      </c>
      <c r="E3562" t="s">
        <v>29</v>
      </c>
      <c r="F3562" t="s">
        <v>30</v>
      </c>
      <c r="G3562" t="s">
        <v>31</v>
      </c>
      <c r="H3562" t="s">
        <v>32</v>
      </c>
      <c r="I3562">
        <v>7356.0319339999996</v>
      </c>
      <c r="J3562" t="s">
        <v>33</v>
      </c>
      <c r="K3562" t="s">
        <v>4877</v>
      </c>
      <c r="L3562" t="s">
        <v>21</v>
      </c>
    </row>
    <row r="3563" spans="1:12">
      <c r="A3563" t="s">
        <v>4880</v>
      </c>
      <c r="B3563" t="s">
        <v>4836</v>
      </c>
      <c r="C3563" t="s">
        <v>229</v>
      </c>
      <c r="D3563">
        <v>2007</v>
      </c>
      <c r="E3563" t="s">
        <v>15</v>
      </c>
      <c r="F3563" t="s">
        <v>16</v>
      </c>
      <c r="G3563" t="s">
        <v>17</v>
      </c>
      <c r="H3563" t="s">
        <v>18</v>
      </c>
      <c r="I3563">
        <v>75.536999999999907</v>
      </c>
      <c r="J3563" t="s">
        <v>19</v>
      </c>
      <c r="K3563" t="s">
        <v>4881</v>
      </c>
      <c r="L3563" t="s">
        <v>21</v>
      </c>
    </row>
    <row r="3564" spans="1:12">
      <c r="A3564" t="s">
        <v>4882</v>
      </c>
      <c r="B3564" t="s">
        <v>4836</v>
      </c>
      <c r="C3564" t="s">
        <v>229</v>
      </c>
      <c r="D3564">
        <v>2007</v>
      </c>
      <c r="E3564" t="s">
        <v>23</v>
      </c>
      <c r="F3564" t="s">
        <v>24</v>
      </c>
      <c r="G3564" t="s">
        <v>25</v>
      </c>
      <c r="H3564" t="s">
        <v>26</v>
      </c>
      <c r="I3564">
        <v>3242173</v>
      </c>
      <c r="J3564" t="s">
        <v>27</v>
      </c>
      <c r="K3564" t="s">
        <v>4881</v>
      </c>
      <c r="L3564" t="s">
        <v>21</v>
      </c>
    </row>
    <row r="3565" spans="1:12">
      <c r="A3565" t="s">
        <v>4883</v>
      </c>
      <c r="B3565" t="s">
        <v>4836</v>
      </c>
      <c r="C3565" t="s">
        <v>229</v>
      </c>
      <c r="D3565">
        <v>2007</v>
      </c>
      <c r="E3565" t="s">
        <v>29</v>
      </c>
      <c r="F3565" t="s">
        <v>30</v>
      </c>
      <c r="G3565" t="s">
        <v>31</v>
      </c>
      <c r="H3565" t="s">
        <v>32</v>
      </c>
      <c r="I3565">
        <v>9809.1856360000002</v>
      </c>
      <c r="J3565" t="s">
        <v>33</v>
      </c>
      <c r="K3565" t="s">
        <v>4881</v>
      </c>
      <c r="L3565" t="s">
        <v>21</v>
      </c>
    </row>
    <row r="3566" spans="1:12">
      <c r="A3566" t="s">
        <v>4884</v>
      </c>
      <c r="B3566" t="s">
        <v>4885</v>
      </c>
      <c r="C3566" t="s">
        <v>229</v>
      </c>
      <c r="D3566">
        <v>1952</v>
      </c>
      <c r="E3566" t="s">
        <v>15</v>
      </c>
      <c r="F3566" t="s">
        <v>16</v>
      </c>
      <c r="G3566" t="s">
        <v>17</v>
      </c>
      <c r="H3566" t="s">
        <v>18</v>
      </c>
      <c r="I3566">
        <v>62.649000000000001</v>
      </c>
      <c r="J3566" t="s">
        <v>19</v>
      </c>
      <c r="K3566" t="s">
        <v>4886</v>
      </c>
      <c r="L3566" t="s">
        <v>21</v>
      </c>
    </row>
    <row r="3567" spans="1:12">
      <c r="A3567" t="s">
        <v>4887</v>
      </c>
      <c r="B3567" t="s">
        <v>4885</v>
      </c>
      <c r="C3567" t="s">
        <v>229</v>
      </c>
      <c r="D3567">
        <v>1952</v>
      </c>
      <c r="E3567" t="s">
        <v>23</v>
      </c>
      <c r="F3567" t="s">
        <v>24</v>
      </c>
      <c r="G3567" t="s">
        <v>25</v>
      </c>
      <c r="H3567" t="s">
        <v>26</v>
      </c>
      <c r="I3567">
        <v>1555876</v>
      </c>
      <c r="J3567" t="s">
        <v>27</v>
      </c>
      <c r="K3567" t="s">
        <v>4886</v>
      </c>
      <c r="L3567" t="s">
        <v>21</v>
      </c>
    </row>
    <row r="3568" spans="1:12">
      <c r="A3568" t="s">
        <v>4888</v>
      </c>
      <c r="B3568" t="s">
        <v>4885</v>
      </c>
      <c r="C3568" t="s">
        <v>229</v>
      </c>
      <c r="D3568">
        <v>1952</v>
      </c>
      <c r="E3568" t="s">
        <v>29</v>
      </c>
      <c r="F3568" t="s">
        <v>30</v>
      </c>
      <c r="G3568" t="s">
        <v>31</v>
      </c>
      <c r="H3568" t="s">
        <v>32</v>
      </c>
      <c r="I3568">
        <v>1952.3087009999999</v>
      </c>
      <c r="J3568" t="s">
        <v>33</v>
      </c>
      <c r="K3568" t="s">
        <v>4886</v>
      </c>
      <c r="L3568" t="s">
        <v>21</v>
      </c>
    </row>
    <row r="3569" spans="1:12">
      <c r="A3569" t="s">
        <v>4889</v>
      </c>
      <c r="B3569" t="s">
        <v>4885</v>
      </c>
      <c r="C3569" t="s">
        <v>229</v>
      </c>
      <c r="D3569">
        <v>1957</v>
      </c>
      <c r="E3569" t="s">
        <v>15</v>
      </c>
      <c r="F3569" t="s">
        <v>16</v>
      </c>
      <c r="G3569" t="s">
        <v>17</v>
      </c>
      <c r="H3569" t="s">
        <v>18</v>
      </c>
      <c r="I3569">
        <v>63.195999999999998</v>
      </c>
      <c r="J3569" t="s">
        <v>19</v>
      </c>
      <c r="K3569" t="s">
        <v>4890</v>
      </c>
      <c r="L3569" t="s">
        <v>21</v>
      </c>
    </row>
    <row r="3570" spans="1:12">
      <c r="A3570" t="s">
        <v>4891</v>
      </c>
      <c r="B3570" t="s">
        <v>4885</v>
      </c>
      <c r="C3570" t="s">
        <v>229</v>
      </c>
      <c r="D3570">
        <v>1957</v>
      </c>
      <c r="E3570" t="s">
        <v>23</v>
      </c>
      <c r="F3570" t="s">
        <v>24</v>
      </c>
      <c r="G3570" t="s">
        <v>25</v>
      </c>
      <c r="H3570" t="s">
        <v>26</v>
      </c>
      <c r="I3570">
        <v>1770902</v>
      </c>
      <c r="J3570" t="s">
        <v>27</v>
      </c>
      <c r="K3570" t="s">
        <v>4890</v>
      </c>
      <c r="L3570" t="s">
        <v>21</v>
      </c>
    </row>
    <row r="3571" spans="1:12">
      <c r="A3571" t="s">
        <v>4892</v>
      </c>
      <c r="B3571" t="s">
        <v>4885</v>
      </c>
      <c r="C3571" t="s">
        <v>229</v>
      </c>
      <c r="D3571">
        <v>1957</v>
      </c>
      <c r="E3571" t="s">
        <v>29</v>
      </c>
      <c r="F3571" t="s">
        <v>30</v>
      </c>
      <c r="G3571" t="s">
        <v>31</v>
      </c>
      <c r="H3571" t="s">
        <v>32</v>
      </c>
      <c r="I3571">
        <v>2046.154706</v>
      </c>
      <c r="J3571" t="s">
        <v>33</v>
      </c>
      <c r="K3571" t="s">
        <v>4890</v>
      </c>
      <c r="L3571" t="s">
        <v>21</v>
      </c>
    </row>
    <row r="3572" spans="1:12">
      <c r="A3572" t="s">
        <v>4893</v>
      </c>
      <c r="B3572" t="s">
        <v>4885</v>
      </c>
      <c r="C3572" t="s">
        <v>229</v>
      </c>
      <c r="D3572">
        <v>1962</v>
      </c>
      <c r="E3572" t="s">
        <v>15</v>
      </c>
      <c r="F3572" t="s">
        <v>16</v>
      </c>
      <c r="G3572" t="s">
        <v>17</v>
      </c>
      <c r="H3572" t="s">
        <v>18</v>
      </c>
      <c r="I3572">
        <v>64.361000000000004</v>
      </c>
      <c r="J3572" t="s">
        <v>19</v>
      </c>
      <c r="K3572" t="s">
        <v>4894</v>
      </c>
      <c r="L3572" t="s">
        <v>21</v>
      </c>
    </row>
    <row r="3573" spans="1:12">
      <c r="A3573" t="s">
        <v>4895</v>
      </c>
      <c r="B3573" t="s">
        <v>4885</v>
      </c>
      <c r="C3573" t="s">
        <v>229</v>
      </c>
      <c r="D3573">
        <v>1962</v>
      </c>
      <c r="E3573" t="s">
        <v>23</v>
      </c>
      <c r="F3573" t="s">
        <v>24</v>
      </c>
      <c r="G3573" t="s">
        <v>25</v>
      </c>
      <c r="H3573" t="s">
        <v>26</v>
      </c>
      <c r="I3573">
        <v>2009813</v>
      </c>
      <c r="J3573" t="s">
        <v>27</v>
      </c>
      <c r="K3573" t="s">
        <v>4894</v>
      </c>
      <c r="L3573" t="s">
        <v>21</v>
      </c>
    </row>
    <row r="3574" spans="1:12">
      <c r="A3574" t="s">
        <v>4896</v>
      </c>
      <c r="B3574" t="s">
        <v>4885</v>
      </c>
      <c r="C3574" t="s">
        <v>229</v>
      </c>
      <c r="D3574">
        <v>1962</v>
      </c>
      <c r="E3574" t="s">
        <v>29</v>
      </c>
      <c r="F3574" t="s">
        <v>30</v>
      </c>
      <c r="G3574" t="s">
        <v>31</v>
      </c>
      <c r="H3574" t="s">
        <v>32</v>
      </c>
      <c r="I3574">
        <v>2148.0271459999999</v>
      </c>
      <c r="J3574" t="s">
        <v>33</v>
      </c>
      <c r="K3574" t="s">
        <v>4894</v>
      </c>
      <c r="L3574" t="s">
        <v>21</v>
      </c>
    </row>
    <row r="3575" spans="1:12">
      <c r="A3575" t="s">
        <v>4897</v>
      </c>
      <c r="B3575" t="s">
        <v>4885</v>
      </c>
      <c r="C3575" t="s">
        <v>229</v>
      </c>
      <c r="D3575">
        <v>1967</v>
      </c>
      <c r="E3575" t="s">
        <v>15</v>
      </c>
      <c r="F3575" t="s">
        <v>16</v>
      </c>
      <c r="G3575" t="s">
        <v>17</v>
      </c>
      <c r="H3575" t="s">
        <v>18</v>
      </c>
      <c r="I3575">
        <v>64.950999999999993</v>
      </c>
      <c r="J3575" t="s">
        <v>19</v>
      </c>
      <c r="K3575" t="s">
        <v>4898</v>
      </c>
      <c r="L3575" t="s">
        <v>21</v>
      </c>
    </row>
    <row r="3576" spans="1:12">
      <c r="A3576" t="s">
        <v>4899</v>
      </c>
      <c r="B3576" t="s">
        <v>4885</v>
      </c>
      <c r="C3576" t="s">
        <v>229</v>
      </c>
      <c r="D3576">
        <v>1967</v>
      </c>
      <c r="E3576" t="s">
        <v>23</v>
      </c>
      <c r="F3576" t="s">
        <v>24</v>
      </c>
      <c r="G3576" t="s">
        <v>25</v>
      </c>
      <c r="H3576" t="s">
        <v>26</v>
      </c>
      <c r="I3576">
        <v>2287985</v>
      </c>
      <c r="J3576" t="s">
        <v>27</v>
      </c>
      <c r="K3576" t="s">
        <v>4898</v>
      </c>
      <c r="L3576" t="s">
        <v>21</v>
      </c>
    </row>
    <row r="3577" spans="1:12">
      <c r="A3577" t="s">
        <v>4900</v>
      </c>
      <c r="B3577" t="s">
        <v>4885</v>
      </c>
      <c r="C3577" t="s">
        <v>229</v>
      </c>
      <c r="D3577">
        <v>1967</v>
      </c>
      <c r="E3577" t="s">
        <v>29</v>
      </c>
      <c r="F3577" t="s">
        <v>30</v>
      </c>
      <c r="G3577" t="s">
        <v>31</v>
      </c>
      <c r="H3577" t="s">
        <v>32</v>
      </c>
      <c r="I3577">
        <v>2299.376311</v>
      </c>
      <c r="J3577" t="s">
        <v>33</v>
      </c>
      <c r="K3577" t="s">
        <v>4898</v>
      </c>
      <c r="L3577" t="s">
        <v>21</v>
      </c>
    </row>
    <row r="3578" spans="1:12">
      <c r="A3578" t="s">
        <v>4901</v>
      </c>
      <c r="B3578" t="s">
        <v>4885</v>
      </c>
      <c r="C3578" t="s">
        <v>229</v>
      </c>
      <c r="D3578">
        <v>1972</v>
      </c>
      <c r="E3578" t="s">
        <v>15</v>
      </c>
      <c r="F3578" t="s">
        <v>16</v>
      </c>
      <c r="G3578" t="s">
        <v>17</v>
      </c>
      <c r="H3578" t="s">
        <v>18</v>
      </c>
      <c r="I3578">
        <v>65.814999999999998</v>
      </c>
      <c r="J3578" t="s">
        <v>19</v>
      </c>
      <c r="K3578" t="s">
        <v>4902</v>
      </c>
      <c r="L3578" t="s">
        <v>21</v>
      </c>
    </row>
    <row r="3579" spans="1:12">
      <c r="A3579" t="s">
        <v>4903</v>
      </c>
      <c r="B3579" t="s">
        <v>4885</v>
      </c>
      <c r="C3579" t="s">
        <v>229</v>
      </c>
      <c r="D3579">
        <v>1972</v>
      </c>
      <c r="E3579" t="s">
        <v>23</v>
      </c>
      <c r="F3579" t="s">
        <v>24</v>
      </c>
      <c r="G3579" t="s">
        <v>25</v>
      </c>
      <c r="H3579" t="s">
        <v>26</v>
      </c>
      <c r="I3579">
        <v>2614104</v>
      </c>
      <c r="J3579" t="s">
        <v>27</v>
      </c>
      <c r="K3579" t="s">
        <v>4902</v>
      </c>
      <c r="L3579" t="s">
        <v>21</v>
      </c>
    </row>
    <row r="3580" spans="1:12">
      <c r="A3580" t="s">
        <v>4904</v>
      </c>
      <c r="B3580" t="s">
        <v>4885</v>
      </c>
      <c r="C3580" t="s">
        <v>229</v>
      </c>
      <c r="D3580">
        <v>1972</v>
      </c>
      <c r="E3580" t="s">
        <v>29</v>
      </c>
      <c r="F3580" t="s">
        <v>30</v>
      </c>
      <c r="G3580" t="s">
        <v>31</v>
      </c>
      <c r="H3580" t="s">
        <v>32</v>
      </c>
      <c r="I3580">
        <v>2523.3379770000001</v>
      </c>
      <c r="J3580" t="s">
        <v>33</v>
      </c>
      <c r="K3580" t="s">
        <v>4902</v>
      </c>
      <c r="L3580" t="s">
        <v>21</v>
      </c>
    </row>
    <row r="3581" spans="1:12">
      <c r="A3581" t="s">
        <v>4905</v>
      </c>
      <c r="B3581" t="s">
        <v>4885</v>
      </c>
      <c r="C3581" t="s">
        <v>229</v>
      </c>
      <c r="D3581">
        <v>1977</v>
      </c>
      <c r="E3581" t="s">
        <v>15</v>
      </c>
      <c r="F3581" t="s">
        <v>16</v>
      </c>
      <c r="G3581" t="s">
        <v>17</v>
      </c>
      <c r="H3581" t="s">
        <v>18</v>
      </c>
      <c r="I3581">
        <v>66.352999999999994</v>
      </c>
      <c r="J3581" t="s">
        <v>19</v>
      </c>
      <c r="K3581" t="s">
        <v>4906</v>
      </c>
      <c r="L3581" t="s">
        <v>21</v>
      </c>
    </row>
    <row r="3582" spans="1:12">
      <c r="A3582" t="s">
        <v>4907</v>
      </c>
      <c r="B3582" t="s">
        <v>4885</v>
      </c>
      <c r="C3582" t="s">
        <v>229</v>
      </c>
      <c r="D3582">
        <v>1977</v>
      </c>
      <c r="E3582" t="s">
        <v>23</v>
      </c>
      <c r="F3582" t="s">
        <v>24</v>
      </c>
      <c r="G3582" t="s">
        <v>25</v>
      </c>
      <c r="H3582" t="s">
        <v>26</v>
      </c>
      <c r="I3582">
        <v>2984494</v>
      </c>
      <c r="J3582" t="s">
        <v>27</v>
      </c>
      <c r="K3582" t="s">
        <v>4906</v>
      </c>
      <c r="L3582" t="s">
        <v>21</v>
      </c>
    </row>
    <row r="3583" spans="1:12">
      <c r="A3583" t="s">
        <v>4908</v>
      </c>
      <c r="B3583" t="s">
        <v>4885</v>
      </c>
      <c r="C3583" t="s">
        <v>229</v>
      </c>
      <c r="D3583">
        <v>1977</v>
      </c>
      <c r="E3583" t="s">
        <v>29</v>
      </c>
      <c r="F3583" t="s">
        <v>30</v>
      </c>
      <c r="G3583" t="s">
        <v>31</v>
      </c>
      <c r="H3583" t="s">
        <v>32</v>
      </c>
      <c r="I3583">
        <v>3248.3733109999998</v>
      </c>
      <c r="J3583" t="s">
        <v>33</v>
      </c>
      <c r="K3583" t="s">
        <v>4906</v>
      </c>
      <c r="L3583" t="s">
        <v>21</v>
      </c>
    </row>
    <row r="3584" spans="1:12">
      <c r="A3584" t="s">
        <v>4909</v>
      </c>
      <c r="B3584" t="s">
        <v>4885</v>
      </c>
      <c r="C3584" t="s">
        <v>229</v>
      </c>
      <c r="D3584">
        <v>1982</v>
      </c>
      <c r="E3584" t="s">
        <v>15</v>
      </c>
      <c r="F3584" t="s">
        <v>16</v>
      </c>
      <c r="G3584" t="s">
        <v>17</v>
      </c>
      <c r="H3584" t="s">
        <v>18</v>
      </c>
      <c r="I3584">
        <v>66.873999999999995</v>
      </c>
      <c r="J3584" t="s">
        <v>19</v>
      </c>
      <c r="K3584" t="s">
        <v>4910</v>
      </c>
      <c r="L3584" t="s">
        <v>21</v>
      </c>
    </row>
    <row r="3585" spans="1:12">
      <c r="A3585" t="s">
        <v>4911</v>
      </c>
      <c r="B3585" t="s">
        <v>4885</v>
      </c>
      <c r="C3585" t="s">
        <v>229</v>
      </c>
      <c r="D3585">
        <v>1982</v>
      </c>
      <c r="E3585" t="s">
        <v>23</v>
      </c>
      <c r="F3585" t="s">
        <v>24</v>
      </c>
      <c r="G3585" t="s">
        <v>25</v>
      </c>
      <c r="H3585" t="s">
        <v>26</v>
      </c>
      <c r="I3585">
        <v>3366439</v>
      </c>
      <c r="J3585" t="s">
        <v>27</v>
      </c>
      <c r="K3585" t="s">
        <v>4910</v>
      </c>
      <c r="L3585" t="s">
        <v>21</v>
      </c>
    </row>
    <row r="3586" spans="1:12">
      <c r="A3586" t="s">
        <v>4912</v>
      </c>
      <c r="B3586" t="s">
        <v>4885</v>
      </c>
      <c r="C3586" t="s">
        <v>229</v>
      </c>
      <c r="D3586">
        <v>1982</v>
      </c>
      <c r="E3586" t="s">
        <v>29</v>
      </c>
      <c r="F3586" t="s">
        <v>30</v>
      </c>
      <c r="G3586" t="s">
        <v>31</v>
      </c>
      <c r="H3586" t="s">
        <v>32</v>
      </c>
      <c r="I3586">
        <v>4258.5036040000005</v>
      </c>
      <c r="J3586" t="s">
        <v>33</v>
      </c>
      <c r="K3586" t="s">
        <v>4910</v>
      </c>
      <c r="L3586" t="s">
        <v>21</v>
      </c>
    </row>
    <row r="3587" spans="1:12">
      <c r="A3587" t="s">
        <v>4913</v>
      </c>
      <c r="B3587" t="s">
        <v>4885</v>
      </c>
      <c r="C3587" t="s">
        <v>229</v>
      </c>
      <c r="D3587">
        <v>1987</v>
      </c>
      <c r="E3587" t="s">
        <v>15</v>
      </c>
      <c r="F3587" t="s">
        <v>16</v>
      </c>
      <c r="G3587" t="s">
        <v>17</v>
      </c>
      <c r="H3587" t="s">
        <v>18</v>
      </c>
      <c r="I3587">
        <v>67.378</v>
      </c>
      <c r="J3587" t="s">
        <v>19</v>
      </c>
      <c r="K3587" t="s">
        <v>4914</v>
      </c>
      <c r="L3587" t="s">
        <v>21</v>
      </c>
    </row>
    <row r="3588" spans="1:12">
      <c r="A3588" t="s">
        <v>4915</v>
      </c>
      <c r="B3588" t="s">
        <v>4885</v>
      </c>
      <c r="C3588" t="s">
        <v>229</v>
      </c>
      <c r="D3588">
        <v>1987</v>
      </c>
      <c r="E3588" t="s">
        <v>23</v>
      </c>
      <c r="F3588" t="s">
        <v>24</v>
      </c>
      <c r="G3588" t="s">
        <v>25</v>
      </c>
      <c r="H3588" t="s">
        <v>26</v>
      </c>
      <c r="I3588">
        <v>3886512</v>
      </c>
      <c r="J3588" t="s">
        <v>27</v>
      </c>
      <c r="K3588" t="s">
        <v>4914</v>
      </c>
      <c r="L3588" t="s">
        <v>21</v>
      </c>
    </row>
    <row r="3589" spans="1:12">
      <c r="A3589" t="s">
        <v>4916</v>
      </c>
      <c r="B3589" t="s">
        <v>4885</v>
      </c>
      <c r="C3589" t="s">
        <v>229</v>
      </c>
      <c r="D3589">
        <v>1987</v>
      </c>
      <c r="E3589" t="s">
        <v>29</v>
      </c>
      <c r="F3589" t="s">
        <v>30</v>
      </c>
      <c r="G3589" t="s">
        <v>31</v>
      </c>
      <c r="H3589" t="s">
        <v>32</v>
      </c>
      <c r="I3589">
        <v>3998.8756950000002</v>
      </c>
      <c r="J3589" t="s">
        <v>33</v>
      </c>
      <c r="K3589" t="s">
        <v>4914</v>
      </c>
      <c r="L3589" t="s">
        <v>21</v>
      </c>
    </row>
    <row r="3590" spans="1:12">
      <c r="A3590" t="s">
        <v>4917</v>
      </c>
      <c r="B3590" t="s">
        <v>4885</v>
      </c>
      <c r="C3590" t="s">
        <v>229</v>
      </c>
      <c r="D3590">
        <v>1992</v>
      </c>
      <c r="E3590" t="s">
        <v>15</v>
      </c>
      <c r="F3590" t="s">
        <v>16</v>
      </c>
      <c r="G3590" t="s">
        <v>17</v>
      </c>
      <c r="H3590" t="s">
        <v>18</v>
      </c>
      <c r="I3590">
        <v>68.224999999999994</v>
      </c>
      <c r="J3590" t="s">
        <v>19</v>
      </c>
      <c r="K3590" t="s">
        <v>4918</v>
      </c>
      <c r="L3590" t="s">
        <v>21</v>
      </c>
    </row>
    <row r="3591" spans="1:12">
      <c r="A3591" t="s">
        <v>4919</v>
      </c>
      <c r="B3591" t="s">
        <v>4885</v>
      </c>
      <c r="C3591" t="s">
        <v>229</v>
      </c>
      <c r="D3591">
        <v>1992</v>
      </c>
      <c r="E3591" t="s">
        <v>23</v>
      </c>
      <c r="F3591" t="s">
        <v>24</v>
      </c>
      <c r="G3591" t="s">
        <v>25</v>
      </c>
      <c r="H3591" t="s">
        <v>26</v>
      </c>
      <c r="I3591">
        <v>4483945</v>
      </c>
      <c r="J3591" t="s">
        <v>27</v>
      </c>
      <c r="K3591" t="s">
        <v>4918</v>
      </c>
      <c r="L3591" t="s">
        <v>21</v>
      </c>
    </row>
    <row r="3592" spans="1:12">
      <c r="A3592" t="s">
        <v>4920</v>
      </c>
      <c r="B3592" t="s">
        <v>4885</v>
      </c>
      <c r="C3592" t="s">
        <v>229</v>
      </c>
      <c r="D3592">
        <v>1992</v>
      </c>
      <c r="E3592" t="s">
        <v>29</v>
      </c>
      <c r="F3592" t="s">
        <v>30</v>
      </c>
      <c r="G3592" t="s">
        <v>31</v>
      </c>
      <c r="H3592" t="s">
        <v>32</v>
      </c>
      <c r="I3592">
        <v>4196.4110780000001</v>
      </c>
      <c r="J3592" t="s">
        <v>33</v>
      </c>
      <c r="K3592" t="s">
        <v>4918</v>
      </c>
      <c r="L3592" t="s">
        <v>21</v>
      </c>
    </row>
    <row r="3593" spans="1:12">
      <c r="A3593" t="s">
        <v>4921</v>
      </c>
      <c r="B3593" t="s">
        <v>4885</v>
      </c>
      <c r="C3593" t="s">
        <v>229</v>
      </c>
      <c r="D3593">
        <v>1997</v>
      </c>
      <c r="E3593" t="s">
        <v>15</v>
      </c>
      <c r="F3593" t="s">
        <v>16</v>
      </c>
      <c r="G3593" t="s">
        <v>17</v>
      </c>
      <c r="H3593" t="s">
        <v>18</v>
      </c>
      <c r="I3593">
        <v>69.400000000000006</v>
      </c>
      <c r="J3593" t="s">
        <v>19</v>
      </c>
      <c r="K3593" t="s">
        <v>4922</v>
      </c>
      <c r="L3593" t="s">
        <v>21</v>
      </c>
    </row>
    <row r="3594" spans="1:12">
      <c r="A3594" t="s">
        <v>4923</v>
      </c>
      <c r="B3594" t="s">
        <v>4885</v>
      </c>
      <c r="C3594" t="s">
        <v>229</v>
      </c>
      <c r="D3594">
        <v>1997</v>
      </c>
      <c r="E3594" t="s">
        <v>23</v>
      </c>
      <c r="F3594" t="s">
        <v>24</v>
      </c>
      <c r="G3594" t="s">
        <v>25</v>
      </c>
      <c r="H3594" t="s">
        <v>26</v>
      </c>
      <c r="I3594">
        <v>5154123</v>
      </c>
      <c r="J3594" t="s">
        <v>27</v>
      </c>
      <c r="K3594" t="s">
        <v>4922</v>
      </c>
      <c r="L3594" t="s">
        <v>21</v>
      </c>
    </row>
    <row r="3595" spans="1:12">
      <c r="A3595" t="s">
        <v>4924</v>
      </c>
      <c r="B3595" t="s">
        <v>4885</v>
      </c>
      <c r="C3595" t="s">
        <v>229</v>
      </c>
      <c r="D3595">
        <v>1997</v>
      </c>
      <c r="E3595" t="s">
        <v>29</v>
      </c>
      <c r="F3595" t="s">
        <v>30</v>
      </c>
      <c r="G3595" t="s">
        <v>31</v>
      </c>
      <c r="H3595" t="s">
        <v>32</v>
      </c>
      <c r="I3595">
        <v>4247.4002609999998</v>
      </c>
      <c r="J3595" t="s">
        <v>33</v>
      </c>
      <c r="K3595" t="s">
        <v>4922</v>
      </c>
      <c r="L3595" t="s">
        <v>21</v>
      </c>
    </row>
    <row r="3596" spans="1:12">
      <c r="A3596" t="s">
        <v>4925</v>
      </c>
      <c r="B3596" t="s">
        <v>4885</v>
      </c>
      <c r="C3596" t="s">
        <v>229</v>
      </c>
      <c r="D3596">
        <v>2002</v>
      </c>
      <c r="E3596" t="s">
        <v>15</v>
      </c>
      <c r="F3596" t="s">
        <v>16</v>
      </c>
      <c r="G3596" t="s">
        <v>17</v>
      </c>
      <c r="H3596" t="s">
        <v>18</v>
      </c>
      <c r="I3596">
        <v>70.754999999999995</v>
      </c>
      <c r="J3596" t="s">
        <v>19</v>
      </c>
      <c r="K3596" t="s">
        <v>4926</v>
      </c>
      <c r="L3596" t="s">
        <v>21</v>
      </c>
    </row>
    <row r="3597" spans="1:12">
      <c r="A3597" t="s">
        <v>4927</v>
      </c>
      <c r="B3597" t="s">
        <v>4885</v>
      </c>
      <c r="C3597" t="s">
        <v>229</v>
      </c>
      <c r="D3597">
        <v>2002</v>
      </c>
      <c r="E3597" t="s">
        <v>23</v>
      </c>
      <c r="F3597" t="s">
        <v>24</v>
      </c>
      <c r="G3597" t="s">
        <v>25</v>
      </c>
      <c r="H3597" t="s">
        <v>26</v>
      </c>
      <c r="I3597">
        <v>5884491</v>
      </c>
      <c r="J3597" t="s">
        <v>27</v>
      </c>
      <c r="K3597" t="s">
        <v>4926</v>
      </c>
      <c r="L3597" t="s">
        <v>21</v>
      </c>
    </row>
    <row r="3598" spans="1:12">
      <c r="A3598" t="s">
        <v>4928</v>
      </c>
      <c r="B3598" t="s">
        <v>4885</v>
      </c>
      <c r="C3598" t="s">
        <v>229</v>
      </c>
      <c r="D3598">
        <v>2002</v>
      </c>
      <c r="E3598" t="s">
        <v>29</v>
      </c>
      <c r="F3598" t="s">
        <v>30</v>
      </c>
      <c r="G3598" t="s">
        <v>31</v>
      </c>
      <c r="H3598" t="s">
        <v>32</v>
      </c>
      <c r="I3598">
        <v>3783.6742429999999</v>
      </c>
      <c r="J3598" t="s">
        <v>33</v>
      </c>
      <c r="K3598" t="s">
        <v>4926</v>
      </c>
      <c r="L3598" t="s">
        <v>21</v>
      </c>
    </row>
    <row r="3599" spans="1:12">
      <c r="A3599" t="s">
        <v>4929</v>
      </c>
      <c r="B3599" t="s">
        <v>4885</v>
      </c>
      <c r="C3599" t="s">
        <v>229</v>
      </c>
      <c r="D3599">
        <v>2007</v>
      </c>
      <c r="E3599" t="s">
        <v>15</v>
      </c>
      <c r="F3599" t="s">
        <v>16</v>
      </c>
      <c r="G3599" t="s">
        <v>17</v>
      </c>
      <c r="H3599" t="s">
        <v>18</v>
      </c>
      <c r="I3599">
        <v>71.751999999999995</v>
      </c>
      <c r="J3599" t="s">
        <v>19</v>
      </c>
      <c r="K3599" t="s">
        <v>4930</v>
      </c>
      <c r="L3599" t="s">
        <v>21</v>
      </c>
    </row>
    <row r="3600" spans="1:12">
      <c r="A3600" t="s">
        <v>4931</v>
      </c>
      <c r="B3600" t="s">
        <v>4885</v>
      </c>
      <c r="C3600" t="s">
        <v>229</v>
      </c>
      <c r="D3600">
        <v>2007</v>
      </c>
      <c r="E3600" t="s">
        <v>23</v>
      </c>
      <c r="F3600" t="s">
        <v>24</v>
      </c>
      <c r="G3600" t="s">
        <v>25</v>
      </c>
      <c r="H3600" t="s">
        <v>26</v>
      </c>
      <c r="I3600">
        <v>6667147</v>
      </c>
      <c r="J3600" t="s">
        <v>27</v>
      </c>
      <c r="K3600" t="s">
        <v>4930</v>
      </c>
      <c r="L3600" t="s">
        <v>21</v>
      </c>
    </row>
    <row r="3601" spans="1:12">
      <c r="A3601" t="s">
        <v>4932</v>
      </c>
      <c r="B3601" t="s">
        <v>4885</v>
      </c>
      <c r="C3601" t="s">
        <v>229</v>
      </c>
      <c r="D3601">
        <v>2007</v>
      </c>
      <c r="E3601" t="s">
        <v>29</v>
      </c>
      <c r="F3601" t="s">
        <v>30</v>
      </c>
      <c r="G3601" t="s">
        <v>31</v>
      </c>
      <c r="H3601" t="s">
        <v>32</v>
      </c>
      <c r="I3601">
        <v>4172.8384640000004</v>
      </c>
      <c r="J3601" t="s">
        <v>33</v>
      </c>
      <c r="K3601" t="s">
        <v>4930</v>
      </c>
      <c r="L3601" t="s">
        <v>21</v>
      </c>
    </row>
    <row r="3602" spans="1:12">
      <c r="A3602" t="s">
        <v>4933</v>
      </c>
      <c r="B3602" t="s">
        <v>4934</v>
      </c>
      <c r="C3602" t="s">
        <v>229</v>
      </c>
      <c r="D3602">
        <v>1952</v>
      </c>
      <c r="E3602" t="s">
        <v>15</v>
      </c>
      <c r="F3602" t="s">
        <v>16</v>
      </c>
      <c r="G3602" t="s">
        <v>17</v>
      </c>
      <c r="H3602" t="s">
        <v>18</v>
      </c>
      <c r="I3602">
        <v>43.902000000000001</v>
      </c>
      <c r="J3602" t="s">
        <v>19</v>
      </c>
      <c r="K3602" t="s">
        <v>4935</v>
      </c>
      <c r="L3602" t="s">
        <v>21</v>
      </c>
    </row>
    <row r="3603" spans="1:12">
      <c r="A3603" t="s">
        <v>4936</v>
      </c>
      <c r="B3603" t="s">
        <v>4934</v>
      </c>
      <c r="C3603" t="s">
        <v>229</v>
      </c>
      <c r="D3603">
        <v>1952</v>
      </c>
      <c r="E3603" t="s">
        <v>23</v>
      </c>
      <c r="F3603" t="s">
        <v>24</v>
      </c>
      <c r="G3603" t="s">
        <v>25</v>
      </c>
      <c r="H3603" t="s">
        <v>26</v>
      </c>
      <c r="I3603">
        <v>8025700</v>
      </c>
      <c r="J3603" t="s">
        <v>27</v>
      </c>
      <c r="K3603" t="s">
        <v>4935</v>
      </c>
      <c r="L3603" t="s">
        <v>21</v>
      </c>
    </row>
    <row r="3604" spans="1:12">
      <c r="A3604" t="s">
        <v>4937</v>
      </c>
      <c r="B3604" t="s">
        <v>4934</v>
      </c>
      <c r="C3604" t="s">
        <v>229</v>
      </c>
      <c r="D3604">
        <v>1952</v>
      </c>
      <c r="E3604" t="s">
        <v>29</v>
      </c>
      <c r="F3604" t="s">
        <v>30</v>
      </c>
      <c r="G3604" t="s">
        <v>31</v>
      </c>
      <c r="H3604" t="s">
        <v>32</v>
      </c>
      <c r="I3604">
        <v>3758.5234369999998</v>
      </c>
      <c r="J3604" t="s">
        <v>33</v>
      </c>
      <c r="K3604" t="s">
        <v>4935</v>
      </c>
      <c r="L3604" t="s">
        <v>21</v>
      </c>
    </row>
    <row r="3605" spans="1:12">
      <c r="A3605" t="s">
        <v>4938</v>
      </c>
      <c r="B3605" t="s">
        <v>4934</v>
      </c>
      <c r="C3605" t="s">
        <v>229</v>
      </c>
      <c r="D3605">
        <v>1957</v>
      </c>
      <c r="E3605" t="s">
        <v>15</v>
      </c>
      <c r="F3605" t="s">
        <v>16</v>
      </c>
      <c r="G3605" t="s">
        <v>17</v>
      </c>
      <c r="H3605" t="s">
        <v>18</v>
      </c>
      <c r="I3605">
        <v>46.262999999999998</v>
      </c>
      <c r="J3605" t="s">
        <v>19</v>
      </c>
      <c r="K3605" t="s">
        <v>4939</v>
      </c>
      <c r="L3605" t="s">
        <v>21</v>
      </c>
    </row>
    <row r="3606" spans="1:12">
      <c r="A3606" t="s">
        <v>4940</v>
      </c>
      <c r="B3606" t="s">
        <v>4934</v>
      </c>
      <c r="C3606" t="s">
        <v>229</v>
      </c>
      <c r="D3606">
        <v>1957</v>
      </c>
      <c r="E3606" t="s">
        <v>23</v>
      </c>
      <c r="F3606" t="s">
        <v>24</v>
      </c>
      <c r="G3606" t="s">
        <v>25</v>
      </c>
      <c r="H3606" t="s">
        <v>26</v>
      </c>
      <c r="I3606">
        <v>9146100</v>
      </c>
      <c r="J3606" t="s">
        <v>27</v>
      </c>
      <c r="K3606" t="s">
        <v>4939</v>
      </c>
      <c r="L3606" t="s">
        <v>21</v>
      </c>
    </row>
    <row r="3607" spans="1:12">
      <c r="A3607" t="s">
        <v>4941</v>
      </c>
      <c r="B3607" t="s">
        <v>4934</v>
      </c>
      <c r="C3607" t="s">
        <v>229</v>
      </c>
      <c r="D3607">
        <v>1957</v>
      </c>
      <c r="E3607" t="s">
        <v>29</v>
      </c>
      <c r="F3607" t="s">
        <v>30</v>
      </c>
      <c r="G3607" t="s">
        <v>31</v>
      </c>
      <c r="H3607" t="s">
        <v>32</v>
      </c>
      <c r="I3607">
        <v>4245.2566979999901</v>
      </c>
      <c r="J3607" t="s">
        <v>33</v>
      </c>
      <c r="K3607" t="s">
        <v>4939</v>
      </c>
      <c r="L3607" t="s">
        <v>21</v>
      </c>
    </row>
    <row r="3608" spans="1:12">
      <c r="A3608" t="s">
        <v>4942</v>
      </c>
      <c r="B3608" t="s">
        <v>4934</v>
      </c>
      <c r="C3608" t="s">
        <v>229</v>
      </c>
      <c r="D3608">
        <v>1962</v>
      </c>
      <c r="E3608" t="s">
        <v>15</v>
      </c>
      <c r="F3608" t="s">
        <v>16</v>
      </c>
      <c r="G3608" t="s">
        <v>17</v>
      </c>
      <c r="H3608" t="s">
        <v>18</v>
      </c>
      <c r="I3608">
        <v>49.095999999999997</v>
      </c>
      <c r="J3608" t="s">
        <v>19</v>
      </c>
      <c r="K3608" t="s">
        <v>4943</v>
      </c>
      <c r="L3608" t="s">
        <v>21</v>
      </c>
    </row>
    <row r="3609" spans="1:12">
      <c r="A3609" t="s">
        <v>4944</v>
      </c>
      <c r="B3609" t="s">
        <v>4934</v>
      </c>
      <c r="C3609" t="s">
        <v>229</v>
      </c>
      <c r="D3609">
        <v>1962</v>
      </c>
      <c r="E3609" t="s">
        <v>23</v>
      </c>
      <c r="F3609" t="s">
        <v>24</v>
      </c>
      <c r="G3609" t="s">
        <v>25</v>
      </c>
      <c r="H3609" t="s">
        <v>26</v>
      </c>
      <c r="I3609">
        <v>10516500</v>
      </c>
      <c r="J3609" t="s">
        <v>27</v>
      </c>
      <c r="K3609" t="s">
        <v>4943</v>
      </c>
      <c r="L3609" t="s">
        <v>21</v>
      </c>
    </row>
    <row r="3610" spans="1:12">
      <c r="A3610" t="s">
        <v>4945</v>
      </c>
      <c r="B3610" t="s">
        <v>4934</v>
      </c>
      <c r="C3610" t="s">
        <v>229</v>
      </c>
      <c r="D3610">
        <v>1962</v>
      </c>
      <c r="E3610" t="s">
        <v>29</v>
      </c>
      <c r="F3610" t="s">
        <v>30</v>
      </c>
      <c r="G3610" t="s">
        <v>31</v>
      </c>
      <c r="H3610" t="s">
        <v>32</v>
      </c>
      <c r="I3610">
        <v>4957.0379819999998</v>
      </c>
      <c r="J3610" t="s">
        <v>33</v>
      </c>
      <c r="K3610" t="s">
        <v>4943</v>
      </c>
      <c r="L3610" t="s">
        <v>21</v>
      </c>
    </row>
    <row r="3611" spans="1:12">
      <c r="A3611" t="s">
        <v>4946</v>
      </c>
      <c r="B3611" t="s">
        <v>4934</v>
      </c>
      <c r="C3611" t="s">
        <v>229</v>
      </c>
      <c r="D3611">
        <v>1967</v>
      </c>
      <c r="E3611" t="s">
        <v>15</v>
      </c>
      <c r="F3611" t="s">
        <v>16</v>
      </c>
      <c r="G3611" t="s">
        <v>17</v>
      </c>
      <c r="H3611" t="s">
        <v>18</v>
      </c>
      <c r="I3611">
        <v>51.445</v>
      </c>
      <c r="J3611" t="s">
        <v>19</v>
      </c>
      <c r="K3611" t="s">
        <v>4947</v>
      </c>
      <c r="L3611" t="s">
        <v>21</v>
      </c>
    </row>
    <row r="3612" spans="1:12">
      <c r="A3612" t="s">
        <v>4948</v>
      </c>
      <c r="B3612" t="s">
        <v>4934</v>
      </c>
      <c r="C3612" t="s">
        <v>229</v>
      </c>
      <c r="D3612">
        <v>1967</v>
      </c>
      <c r="E3612" t="s">
        <v>23</v>
      </c>
      <c r="F3612" t="s">
        <v>24</v>
      </c>
      <c r="G3612" t="s">
        <v>25</v>
      </c>
      <c r="H3612" t="s">
        <v>26</v>
      </c>
      <c r="I3612">
        <v>12132200</v>
      </c>
      <c r="J3612" t="s">
        <v>27</v>
      </c>
      <c r="K3612" t="s">
        <v>4947</v>
      </c>
      <c r="L3612" t="s">
        <v>21</v>
      </c>
    </row>
    <row r="3613" spans="1:12">
      <c r="A3613" t="s">
        <v>4949</v>
      </c>
      <c r="B3613" t="s">
        <v>4934</v>
      </c>
      <c r="C3613" t="s">
        <v>229</v>
      </c>
      <c r="D3613">
        <v>1967</v>
      </c>
      <c r="E3613" t="s">
        <v>29</v>
      </c>
      <c r="F3613" t="s">
        <v>30</v>
      </c>
      <c r="G3613" t="s">
        <v>31</v>
      </c>
      <c r="H3613" t="s">
        <v>32</v>
      </c>
      <c r="I3613">
        <v>5788.0933299999997</v>
      </c>
      <c r="J3613" t="s">
        <v>33</v>
      </c>
      <c r="K3613" t="s">
        <v>4947</v>
      </c>
      <c r="L3613" t="s">
        <v>21</v>
      </c>
    </row>
    <row r="3614" spans="1:12">
      <c r="A3614" t="s">
        <v>4950</v>
      </c>
      <c r="B3614" t="s">
        <v>4934</v>
      </c>
      <c r="C3614" t="s">
        <v>229</v>
      </c>
      <c r="D3614">
        <v>1972</v>
      </c>
      <c r="E3614" t="s">
        <v>15</v>
      </c>
      <c r="F3614" t="s">
        <v>16</v>
      </c>
      <c r="G3614" t="s">
        <v>17</v>
      </c>
      <c r="H3614" t="s">
        <v>18</v>
      </c>
      <c r="I3614">
        <v>55.448</v>
      </c>
      <c r="J3614" t="s">
        <v>19</v>
      </c>
      <c r="K3614" t="s">
        <v>4951</v>
      </c>
      <c r="L3614" t="s">
        <v>21</v>
      </c>
    </row>
    <row r="3615" spans="1:12">
      <c r="A3615" t="s">
        <v>4952</v>
      </c>
      <c r="B3615" t="s">
        <v>4934</v>
      </c>
      <c r="C3615" t="s">
        <v>229</v>
      </c>
      <c r="D3615">
        <v>1972</v>
      </c>
      <c r="E3615" t="s">
        <v>23</v>
      </c>
      <c r="F3615" t="s">
        <v>24</v>
      </c>
      <c r="G3615" t="s">
        <v>25</v>
      </c>
      <c r="H3615" t="s">
        <v>26</v>
      </c>
      <c r="I3615">
        <v>13954700</v>
      </c>
      <c r="J3615" t="s">
        <v>27</v>
      </c>
      <c r="K3615" t="s">
        <v>4951</v>
      </c>
      <c r="L3615" t="s">
        <v>21</v>
      </c>
    </row>
    <row r="3616" spans="1:12">
      <c r="A3616" t="s">
        <v>4953</v>
      </c>
      <c r="B3616" t="s">
        <v>4934</v>
      </c>
      <c r="C3616" t="s">
        <v>229</v>
      </c>
      <c r="D3616">
        <v>1972</v>
      </c>
      <c r="E3616" t="s">
        <v>29</v>
      </c>
      <c r="F3616" t="s">
        <v>30</v>
      </c>
      <c r="G3616" t="s">
        <v>31</v>
      </c>
      <c r="H3616" t="s">
        <v>32</v>
      </c>
      <c r="I3616">
        <v>5937.8272829999996</v>
      </c>
      <c r="J3616" t="s">
        <v>33</v>
      </c>
      <c r="K3616" t="s">
        <v>4951</v>
      </c>
      <c r="L3616" t="s">
        <v>21</v>
      </c>
    </row>
    <row r="3617" spans="1:12">
      <c r="A3617" t="s">
        <v>4954</v>
      </c>
      <c r="B3617" t="s">
        <v>4934</v>
      </c>
      <c r="C3617" t="s">
        <v>229</v>
      </c>
      <c r="D3617">
        <v>1977</v>
      </c>
      <c r="E3617" t="s">
        <v>15</v>
      </c>
      <c r="F3617" t="s">
        <v>16</v>
      </c>
      <c r="G3617" t="s">
        <v>17</v>
      </c>
      <c r="H3617" t="s">
        <v>18</v>
      </c>
      <c r="I3617">
        <v>58.447000000000003</v>
      </c>
      <c r="J3617" t="s">
        <v>19</v>
      </c>
      <c r="K3617" t="s">
        <v>4955</v>
      </c>
      <c r="L3617" t="s">
        <v>21</v>
      </c>
    </row>
    <row r="3618" spans="1:12">
      <c r="A3618" t="s">
        <v>4956</v>
      </c>
      <c r="B3618" t="s">
        <v>4934</v>
      </c>
      <c r="C3618" t="s">
        <v>229</v>
      </c>
      <c r="D3618">
        <v>1977</v>
      </c>
      <c r="E3618" t="s">
        <v>23</v>
      </c>
      <c r="F3618" t="s">
        <v>24</v>
      </c>
      <c r="G3618" t="s">
        <v>25</v>
      </c>
      <c r="H3618" t="s">
        <v>26</v>
      </c>
      <c r="I3618">
        <v>15990099</v>
      </c>
      <c r="J3618" t="s">
        <v>27</v>
      </c>
      <c r="K3618" t="s">
        <v>4955</v>
      </c>
      <c r="L3618" t="s">
        <v>21</v>
      </c>
    </row>
    <row r="3619" spans="1:12">
      <c r="A3619" t="s">
        <v>4957</v>
      </c>
      <c r="B3619" t="s">
        <v>4934</v>
      </c>
      <c r="C3619" t="s">
        <v>229</v>
      </c>
      <c r="D3619">
        <v>1977</v>
      </c>
      <c r="E3619" t="s">
        <v>29</v>
      </c>
      <c r="F3619" t="s">
        <v>30</v>
      </c>
      <c r="G3619" t="s">
        <v>31</v>
      </c>
      <c r="H3619" t="s">
        <v>32</v>
      </c>
      <c r="I3619">
        <v>6281.2908549999902</v>
      </c>
      <c r="J3619" t="s">
        <v>33</v>
      </c>
      <c r="K3619" t="s">
        <v>4955</v>
      </c>
      <c r="L3619" t="s">
        <v>21</v>
      </c>
    </row>
    <row r="3620" spans="1:12">
      <c r="A3620" t="s">
        <v>4958</v>
      </c>
      <c r="B3620" t="s">
        <v>4934</v>
      </c>
      <c r="C3620" t="s">
        <v>229</v>
      </c>
      <c r="D3620">
        <v>1982</v>
      </c>
      <c r="E3620" t="s">
        <v>15</v>
      </c>
      <c r="F3620" t="s">
        <v>16</v>
      </c>
      <c r="G3620" t="s">
        <v>17</v>
      </c>
      <c r="H3620" t="s">
        <v>18</v>
      </c>
      <c r="I3620">
        <v>61.405999999999999</v>
      </c>
      <c r="J3620" t="s">
        <v>19</v>
      </c>
      <c r="K3620" t="s">
        <v>4959</v>
      </c>
      <c r="L3620" t="s">
        <v>21</v>
      </c>
    </row>
    <row r="3621" spans="1:12">
      <c r="A3621" t="s">
        <v>4960</v>
      </c>
      <c r="B3621" t="s">
        <v>4934</v>
      </c>
      <c r="C3621" t="s">
        <v>229</v>
      </c>
      <c r="D3621">
        <v>1982</v>
      </c>
      <c r="E3621" t="s">
        <v>23</v>
      </c>
      <c r="F3621" t="s">
        <v>24</v>
      </c>
      <c r="G3621" t="s">
        <v>25</v>
      </c>
      <c r="H3621" t="s">
        <v>26</v>
      </c>
      <c r="I3621">
        <v>18125129</v>
      </c>
      <c r="J3621" t="s">
        <v>27</v>
      </c>
      <c r="K3621" t="s">
        <v>4959</v>
      </c>
      <c r="L3621" t="s">
        <v>21</v>
      </c>
    </row>
    <row r="3622" spans="1:12">
      <c r="A3622" t="s">
        <v>4961</v>
      </c>
      <c r="B3622" t="s">
        <v>4934</v>
      </c>
      <c r="C3622" t="s">
        <v>229</v>
      </c>
      <c r="D3622">
        <v>1982</v>
      </c>
      <c r="E3622" t="s">
        <v>29</v>
      </c>
      <c r="F3622" t="s">
        <v>30</v>
      </c>
      <c r="G3622" t="s">
        <v>31</v>
      </c>
      <c r="H3622" t="s">
        <v>32</v>
      </c>
      <c r="I3622">
        <v>6434.5017969999999</v>
      </c>
      <c r="J3622" t="s">
        <v>33</v>
      </c>
      <c r="K3622" t="s">
        <v>4959</v>
      </c>
      <c r="L3622" t="s">
        <v>21</v>
      </c>
    </row>
    <row r="3623" spans="1:12">
      <c r="A3623" t="s">
        <v>4962</v>
      </c>
      <c r="B3623" t="s">
        <v>4934</v>
      </c>
      <c r="C3623" t="s">
        <v>229</v>
      </c>
      <c r="D3623">
        <v>1987</v>
      </c>
      <c r="E3623" t="s">
        <v>15</v>
      </c>
      <c r="F3623" t="s">
        <v>16</v>
      </c>
      <c r="G3623" t="s">
        <v>17</v>
      </c>
      <c r="H3623" t="s">
        <v>18</v>
      </c>
      <c r="I3623">
        <v>64.134</v>
      </c>
      <c r="J3623" t="s">
        <v>19</v>
      </c>
      <c r="K3623" t="s">
        <v>4963</v>
      </c>
      <c r="L3623" t="s">
        <v>21</v>
      </c>
    </row>
    <row r="3624" spans="1:12">
      <c r="A3624" t="s">
        <v>4964</v>
      </c>
      <c r="B3624" t="s">
        <v>4934</v>
      </c>
      <c r="C3624" t="s">
        <v>229</v>
      </c>
      <c r="D3624">
        <v>1987</v>
      </c>
      <c r="E3624" t="s">
        <v>23</v>
      </c>
      <c r="F3624" t="s">
        <v>24</v>
      </c>
      <c r="G3624" t="s">
        <v>25</v>
      </c>
      <c r="H3624" t="s">
        <v>26</v>
      </c>
      <c r="I3624">
        <v>20195924</v>
      </c>
      <c r="J3624" t="s">
        <v>27</v>
      </c>
      <c r="K3624" t="s">
        <v>4963</v>
      </c>
      <c r="L3624" t="s">
        <v>21</v>
      </c>
    </row>
    <row r="3625" spans="1:12">
      <c r="A3625" t="s">
        <v>4965</v>
      </c>
      <c r="B3625" t="s">
        <v>4934</v>
      </c>
      <c r="C3625" t="s">
        <v>229</v>
      </c>
      <c r="D3625">
        <v>1987</v>
      </c>
      <c r="E3625" t="s">
        <v>29</v>
      </c>
      <c r="F3625" t="s">
        <v>30</v>
      </c>
      <c r="G3625" t="s">
        <v>31</v>
      </c>
      <c r="H3625" t="s">
        <v>32</v>
      </c>
      <c r="I3625">
        <v>6360.9434440000005</v>
      </c>
      <c r="J3625" t="s">
        <v>33</v>
      </c>
      <c r="K3625" t="s">
        <v>4963</v>
      </c>
      <c r="L3625" t="s">
        <v>21</v>
      </c>
    </row>
    <row r="3626" spans="1:12">
      <c r="A3626" t="s">
        <v>4966</v>
      </c>
      <c r="B3626" t="s">
        <v>4934</v>
      </c>
      <c r="C3626" t="s">
        <v>229</v>
      </c>
      <c r="D3626">
        <v>1992</v>
      </c>
      <c r="E3626" t="s">
        <v>15</v>
      </c>
      <c r="F3626" t="s">
        <v>16</v>
      </c>
      <c r="G3626" t="s">
        <v>17</v>
      </c>
      <c r="H3626" t="s">
        <v>18</v>
      </c>
      <c r="I3626">
        <v>66.457999999999998</v>
      </c>
      <c r="J3626" t="s">
        <v>19</v>
      </c>
      <c r="K3626" t="s">
        <v>4967</v>
      </c>
      <c r="L3626" t="s">
        <v>21</v>
      </c>
    </row>
    <row r="3627" spans="1:12">
      <c r="A3627" t="s">
        <v>4968</v>
      </c>
      <c r="B3627" t="s">
        <v>4934</v>
      </c>
      <c r="C3627" t="s">
        <v>229</v>
      </c>
      <c r="D3627">
        <v>1992</v>
      </c>
      <c r="E3627" t="s">
        <v>23</v>
      </c>
      <c r="F3627" t="s">
        <v>24</v>
      </c>
      <c r="G3627" t="s">
        <v>25</v>
      </c>
      <c r="H3627" t="s">
        <v>26</v>
      </c>
      <c r="I3627">
        <v>22430449</v>
      </c>
      <c r="J3627" t="s">
        <v>27</v>
      </c>
      <c r="K3627" t="s">
        <v>4967</v>
      </c>
      <c r="L3627" t="s">
        <v>21</v>
      </c>
    </row>
    <row r="3628" spans="1:12">
      <c r="A3628" t="s">
        <v>4969</v>
      </c>
      <c r="B3628" t="s">
        <v>4934</v>
      </c>
      <c r="C3628" t="s">
        <v>229</v>
      </c>
      <c r="D3628">
        <v>1992</v>
      </c>
      <c r="E3628" t="s">
        <v>29</v>
      </c>
      <c r="F3628" t="s">
        <v>30</v>
      </c>
      <c r="G3628" t="s">
        <v>31</v>
      </c>
      <c r="H3628" t="s">
        <v>32</v>
      </c>
      <c r="I3628">
        <v>4446.3809240000001</v>
      </c>
      <c r="J3628" t="s">
        <v>33</v>
      </c>
      <c r="K3628" t="s">
        <v>4967</v>
      </c>
      <c r="L3628" t="s">
        <v>21</v>
      </c>
    </row>
    <row r="3629" spans="1:12">
      <c r="A3629" t="s">
        <v>4970</v>
      </c>
      <c r="B3629" t="s">
        <v>4934</v>
      </c>
      <c r="C3629" t="s">
        <v>229</v>
      </c>
      <c r="D3629">
        <v>1997</v>
      </c>
      <c r="E3629" t="s">
        <v>15</v>
      </c>
      <c r="F3629" t="s">
        <v>16</v>
      </c>
      <c r="G3629" t="s">
        <v>17</v>
      </c>
      <c r="H3629" t="s">
        <v>18</v>
      </c>
      <c r="I3629">
        <v>68.385999999999996</v>
      </c>
      <c r="J3629" t="s">
        <v>19</v>
      </c>
      <c r="K3629" t="s">
        <v>4971</v>
      </c>
      <c r="L3629" t="s">
        <v>21</v>
      </c>
    </row>
    <row r="3630" spans="1:12">
      <c r="A3630" t="s">
        <v>4972</v>
      </c>
      <c r="B3630" t="s">
        <v>4934</v>
      </c>
      <c r="C3630" t="s">
        <v>229</v>
      </c>
      <c r="D3630">
        <v>1997</v>
      </c>
      <c r="E3630" t="s">
        <v>23</v>
      </c>
      <c r="F3630" t="s">
        <v>24</v>
      </c>
      <c r="G3630" t="s">
        <v>25</v>
      </c>
      <c r="H3630" t="s">
        <v>26</v>
      </c>
      <c r="I3630">
        <v>24748122</v>
      </c>
      <c r="J3630" t="s">
        <v>27</v>
      </c>
      <c r="K3630" t="s">
        <v>4971</v>
      </c>
      <c r="L3630" t="s">
        <v>21</v>
      </c>
    </row>
    <row r="3631" spans="1:12">
      <c r="A3631" t="s">
        <v>4973</v>
      </c>
      <c r="B3631" t="s">
        <v>4934</v>
      </c>
      <c r="C3631" t="s">
        <v>229</v>
      </c>
      <c r="D3631">
        <v>1997</v>
      </c>
      <c r="E3631" t="s">
        <v>29</v>
      </c>
      <c r="F3631" t="s">
        <v>30</v>
      </c>
      <c r="G3631" t="s">
        <v>31</v>
      </c>
      <c r="H3631" t="s">
        <v>32</v>
      </c>
      <c r="I3631">
        <v>5838.3476570000003</v>
      </c>
      <c r="J3631" t="s">
        <v>33</v>
      </c>
      <c r="K3631" t="s">
        <v>4971</v>
      </c>
      <c r="L3631" t="s">
        <v>21</v>
      </c>
    </row>
    <row r="3632" spans="1:12">
      <c r="A3632" t="s">
        <v>4974</v>
      </c>
      <c r="B3632" t="s">
        <v>4934</v>
      </c>
      <c r="C3632" t="s">
        <v>229</v>
      </c>
      <c r="D3632">
        <v>2002</v>
      </c>
      <c r="E3632" t="s">
        <v>15</v>
      </c>
      <c r="F3632" t="s">
        <v>16</v>
      </c>
      <c r="G3632" t="s">
        <v>17</v>
      </c>
      <c r="H3632" t="s">
        <v>18</v>
      </c>
      <c r="I3632">
        <v>69.906000000000006</v>
      </c>
      <c r="J3632" t="s">
        <v>19</v>
      </c>
      <c r="K3632" t="s">
        <v>4975</v>
      </c>
      <c r="L3632" t="s">
        <v>21</v>
      </c>
    </row>
    <row r="3633" spans="1:12">
      <c r="A3633" t="s">
        <v>4976</v>
      </c>
      <c r="B3633" t="s">
        <v>4934</v>
      </c>
      <c r="C3633" t="s">
        <v>229</v>
      </c>
      <c r="D3633">
        <v>2002</v>
      </c>
      <c r="E3633" t="s">
        <v>23</v>
      </c>
      <c r="F3633" t="s">
        <v>24</v>
      </c>
      <c r="G3633" t="s">
        <v>25</v>
      </c>
      <c r="H3633" t="s">
        <v>26</v>
      </c>
      <c r="I3633">
        <v>26769436</v>
      </c>
      <c r="J3633" t="s">
        <v>27</v>
      </c>
      <c r="K3633" t="s">
        <v>4975</v>
      </c>
      <c r="L3633" t="s">
        <v>21</v>
      </c>
    </row>
    <row r="3634" spans="1:12">
      <c r="A3634" t="s">
        <v>4977</v>
      </c>
      <c r="B3634" t="s">
        <v>4934</v>
      </c>
      <c r="C3634" t="s">
        <v>229</v>
      </c>
      <c r="D3634">
        <v>2002</v>
      </c>
      <c r="E3634" t="s">
        <v>29</v>
      </c>
      <c r="F3634" t="s">
        <v>30</v>
      </c>
      <c r="G3634" t="s">
        <v>31</v>
      </c>
      <c r="H3634" t="s">
        <v>32</v>
      </c>
      <c r="I3634">
        <v>5909.0200729999997</v>
      </c>
      <c r="J3634" t="s">
        <v>33</v>
      </c>
      <c r="K3634" t="s">
        <v>4975</v>
      </c>
      <c r="L3634" t="s">
        <v>21</v>
      </c>
    </row>
    <row r="3635" spans="1:12">
      <c r="A3635" t="s">
        <v>4978</v>
      </c>
      <c r="B3635" t="s">
        <v>4934</v>
      </c>
      <c r="C3635" t="s">
        <v>229</v>
      </c>
      <c r="D3635">
        <v>2007</v>
      </c>
      <c r="E3635" t="s">
        <v>15</v>
      </c>
      <c r="F3635" t="s">
        <v>16</v>
      </c>
      <c r="G3635" t="s">
        <v>17</v>
      </c>
      <c r="H3635" t="s">
        <v>18</v>
      </c>
      <c r="I3635">
        <v>71.421000000000006</v>
      </c>
      <c r="J3635" t="s">
        <v>19</v>
      </c>
      <c r="K3635" t="s">
        <v>4979</v>
      </c>
      <c r="L3635" t="s">
        <v>21</v>
      </c>
    </row>
    <row r="3636" spans="1:12">
      <c r="A3636" t="s">
        <v>4980</v>
      </c>
      <c r="B3636" t="s">
        <v>4934</v>
      </c>
      <c r="C3636" t="s">
        <v>229</v>
      </c>
      <c r="D3636">
        <v>2007</v>
      </c>
      <c r="E3636" t="s">
        <v>23</v>
      </c>
      <c r="F3636" t="s">
        <v>24</v>
      </c>
      <c r="G3636" t="s">
        <v>25</v>
      </c>
      <c r="H3636" t="s">
        <v>26</v>
      </c>
      <c r="I3636">
        <v>28674757</v>
      </c>
      <c r="J3636" t="s">
        <v>27</v>
      </c>
      <c r="K3636" t="s">
        <v>4979</v>
      </c>
      <c r="L3636" t="s">
        <v>21</v>
      </c>
    </row>
    <row r="3637" spans="1:12">
      <c r="A3637" t="s">
        <v>4981</v>
      </c>
      <c r="B3637" t="s">
        <v>4934</v>
      </c>
      <c r="C3637" t="s">
        <v>229</v>
      </c>
      <c r="D3637">
        <v>2007</v>
      </c>
      <c r="E3637" t="s">
        <v>29</v>
      </c>
      <c r="F3637" t="s">
        <v>30</v>
      </c>
      <c r="G3637" t="s">
        <v>31</v>
      </c>
      <c r="H3637" t="s">
        <v>32</v>
      </c>
      <c r="I3637">
        <v>7408.9055609999996</v>
      </c>
      <c r="J3637" t="s">
        <v>33</v>
      </c>
      <c r="K3637" t="s">
        <v>4979</v>
      </c>
      <c r="L3637" t="s">
        <v>21</v>
      </c>
    </row>
    <row r="3638" spans="1:12">
      <c r="A3638" t="s">
        <v>4982</v>
      </c>
      <c r="B3638" t="s">
        <v>4983</v>
      </c>
      <c r="C3638" t="s">
        <v>14</v>
      </c>
      <c r="D3638">
        <v>1952</v>
      </c>
      <c r="E3638" t="s">
        <v>15</v>
      </c>
      <c r="F3638" t="s">
        <v>16</v>
      </c>
      <c r="G3638" t="s">
        <v>17</v>
      </c>
      <c r="H3638" t="s">
        <v>18</v>
      </c>
      <c r="I3638">
        <v>47.752000000000002</v>
      </c>
      <c r="J3638" t="s">
        <v>19</v>
      </c>
      <c r="K3638" t="s">
        <v>4984</v>
      </c>
      <c r="L3638" t="s">
        <v>21</v>
      </c>
    </row>
    <row r="3639" spans="1:12">
      <c r="A3639" t="s">
        <v>4985</v>
      </c>
      <c r="B3639" t="s">
        <v>4983</v>
      </c>
      <c r="C3639" t="s">
        <v>14</v>
      </c>
      <c r="D3639">
        <v>1952</v>
      </c>
      <c r="E3639" t="s">
        <v>23</v>
      </c>
      <c r="F3639" t="s">
        <v>24</v>
      </c>
      <c r="G3639" t="s">
        <v>25</v>
      </c>
      <c r="H3639" t="s">
        <v>26</v>
      </c>
      <c r="I3639">
        <v>22438691</v>
      </c>
      <c r="J3639" t="s">
        <v>27</v>
      </c>
      <c r="K3639" t="s">
        <v>4984</v>
      </c>
      <c r="L3639" t="s">
        <v>21</v>
      </c>
    </row>
    <row r="3640" spans="1:12">
      <c r="A3640" t="s">
        <v>4986</v>
      </c>
      <c r="B3640" t="s">
        <v>4983</v>
      </c>
      <c r="C3640" t="s">
        <v>14</v>
      </c>
      <c r="D3640">
        <v>1952</v>
      </c>
      <c r="E3640" t="s">
        <v>29</v>
      </c>
      <c r="F3640" t="s">
        <v>30</v>
      </c>
      <c r="G3640" t="s">
        <v>31</v>
      </c>
      <c r="H3640" t="s">
        <v>32</v>
      </c>
      <c r="I3640">
        <v>1272.880995</v>
      </c>
      <c r="J3640" t="s">
        <v>33</v>
      </c>
      <c r="K3640" t="s">
        <v>4984</v>
      </c>
      <c r="L3640" t="s">
        <v>21</v>
      </c>
    </row>
    <row r="3641" spans="1:12">
      <c r="A3641" t="s">
        <v>4987</v>
      </c>
      <c r="B3641" t="s">
        <v>4983</v>
      </c>
      <c r="C3641" t="s">
        <v>14</v>
      </c>
      <c r="D3641">
        <v>1957</v>
      </c>
      <c r="E3641" t="s">
        <v>15</v>
      </c>
      <c r="F3641" t="s">
        <v>16</v>
      </c>
      <c r="G3641" t="s">
        <v>17</v>
      </c>
      <c r="H3641" t="s">
        <v>18</v>
      </c>
      <c r="I3641">
        <v>51.334000000000003</v>
      </c>
      <c r="J3641" t="s">
        <v>19</v>
      </c>
      <c r="K3641" t="s">
        <v>4988</v>
      </c>
      <c r="L3641" t="s">
        <v>21</v>
      </c>
    </row>
    <row r="3642" spans="1:12">
      <c r="A3642" t="s">
        <v>4989</v>
      </c>
      <c r="B3642" t="s">
        <v>4983</v>
      </c>
      <c r="C3642" t="s">
        <v>14</v>
      </c>
      <c r="D3642">
        <v>1957</v>
      </c>
      <c r="E3642" t="s">
        <v>23</v>
      </c>
      <c r="F3642" t="s">
        <v>24</v>
      </c>
      <c r="G3642" t="s">
        <v>25</v>
      </c>
      <c r="H3642" t="s">
        <v>26</v>
      </c>
      <c r="I3642">
        <v>26072194</v>
      </c>
      <c r="J3642" t="s">
        <v>27</v>
      </c>
      <c r="K3642" t="s">
        <v>4988</v>
      </c>
      <c r="L3642" t="s">
        <v>21</v>
      </c>
    </row>
    <row r="3643" spans="1:12">
      <c r="A3643" t="s">
        <v>4990</v>
      </c>
      <c r="B3643" t="s">
        <v>4983</v>
      </c>
      <c r="C3643" t="s">
        <v>14</v>
      </c>
      <c r="D3643">
        <v>1957</v>
      </c>
      <c r="E3643" t="s">
        <v>29</v>
      </c>
      <c r="F3643" t="s">
        <v>30</v>
      </c>
      <c r="G3643" t="s">
        <v>31</v>
      </c>
      <c r="H3643" t="s">
        <v>32</v>
      </c>
      <c r="I3643">
        <v>1547.9448440000001</v>
      </c>
      <c r="J3643" t="s">
        <v>33</v>
      </c>
      <c r="K3643" t="s">
        <v>4988</v>
      </c>
      <c r="L3643" t="s">
        <v>21</v>
      </c>
    </row>
    <row r="3644" spans="1:12">
      <c r="A3644" t="s">
        <v>4991</v>
      </c>
      <c r="B3644" t="s">
        <v>4983</v>
      </c>
      <c r="C3644" t="s">
        <v>14</v>
      </c>
      <c r="D3644">
        <v>1962</v>
      </c>
      <c r="E3644" t="s">
        <v>15</v>
      </c>
      <c r="F3644" t="s">
        <v>16</v>
      </c>
      <c r="G3644" t="s">
        <v>17</v>
      </c>
      <c r="H3644" t="s">
        <v>18</v>
      </c>
      <c r="I3644">
        <v>54.756999999999998</v>
      </c>
      <c r="J3644" t="s">
        <v>19</v>
      </c>
      <c r="K3644" t="s">
        <v>4992</v>
      </c>
      <c r="L3644" t="s">
        <v>21</v>
      </c>
    </row>
    <row r="3645" spans="1:12">
      <c r="A3645" t="s">
        <v>4993</v>
      </c>
      <c r="B3645" t="s">
        <v>4983</v>
      </c>
      <c r="C3645" t="s">
        <v>14</v>
      </c>
      <c r="D3645">
        <v>1962</v>
      </c>
      <c r="E3645" t="s">
        <v>23</v>
      </c>
      <c r="F3645" t="s">
        <v>24</v>
      </c>
      <c r="G3645" t="s">
        <v>25</v>
      </c>
      <c r="H3645" t="s">
        <v>26</v>
      </c>
      <c r="I3645">
        <v>30325264</v>
      </c>
      <c r="J3645" t="s">
        <v>27</v>
      </c>
      <c r="K3645" t="s">
        <v>4992</v>
      </c>
      <c r="L3645" t="s">
        <v>21</v>
      </c>
    </row>
    <row r="3646" spans="1:12">
      <c r="A3646" t="s">
        <v>4994</v>
      </c>
      <c r="B3646" t="s">
        <v>4983</v>
      </c>
      <c r="C3646" t="s">
        <v>14</v>
      </c>
      <c r="D3646">
        <v>1962</v>
      </c>
      <c r="E3646" t="s">
        <v>29</v>
      </c>
      <c r="F3646" t="s">
        <v>30</v>
      </c>
      <c r="G3646" t="s">
        <v>31</v>
      </c>
      <c r="H3646" t="s">
        <v>32</v>
      </c>
      <c r="I3646">
        <v>1649.5521530000001</v>
      </c>
      <c r="J3646" t="s">
        <v>33</v>
      </c>
      <c r="K3646" t="s">
        <v>4992</v>
      </c>
      <c r="L3646" t="s">
        <v>21</v>
      </c>
    </row>
    <row r="3647" spans="1:12">
      <c r="A3647" t="s">
        <v>4995</v>
      </c>
      <c r="B3647" t="s">
        <v>4983</v>
      </c>
      <c r="C3647" t="s">
        <v>14</v>
      </c>
      <c r="D3647">
        <v>1967</v>
      </c>
      <c r="E3647" t="s">
        <v>15</v>
      </c>
      <c r="F3647" t="s">
        <v>16</v>
      </c>
      <c r="G3647" t="s">
        <v>17</v>
      </c>
      <c r="H3647" t="s">
        <v>18</v>
      </c>
      <c r="I3647">
        <v>56.393000000000001</v>
      </c>
      <c r="J3647" t="s">
        <v>19</v>
      </c>
      <c r="K3647" t="s">
        <v>4996</v>
      </c>
      <c r="L3647" t="s">
        <v>21</v>
      </c>
    </row>
    <row r="3648" spans="1:12">
      <c r="A3648" t="s">
        <v>4997</v>
      </c>
      <c r="B3648" t="s">
        <v>4983</v>
      </c>
      <c r="C3648" t="s">
        <v>14</v>
      </c>
      <c r="D3648">
        <v>1967</v>
      </c>
      <c r="E3648" t="s">
        <v>23</v>
      </c>
      <c r="F3648" t="s">
        <v>24</v>
      </c>
      <c r="G3648" t="s">
        <v>25</v>
      </c>
      <c r="H3648" t="s">
        <v>26</v>
      </c>
      <c r="I3648">
        <v>35356600</v>
      </c>
      <c r="J3648" t="s">
        <v>27</v>
      </c>
      <c r="K3648" t="s">
        <v>4996</v>
      </c>
      <c r="L3648" t="s">
        <v>21</v>
      </c>
    </row>
    <row r="3649" spans="1:12">
      <c r="A3649" t="s">
        <v>4998</v>
      </c>
      <c r="B3649" t="s">
        <v>4983</v>
      </c>
      <c r="C3649" t="s">
        <v>14</v>
      </c>
      <c r="D3649">
        <v>1967</v>
      </c>
      <c r="E3649" t="s">
        <v>29</v>
      </c>
      <c r="F3649" t="s">
        <v>30</v>
      </c>
      <c r="G3649" t="s">
        <v>31</v>
      </c>
      <c r="H3649" t="s">
        <v>32</v>
      </c>
      <c r="I3649">
        <v>1814.12743</v>
      </c>
      <c r="J3649" t="s">
        <v>33</v>
      </c>
      <c r="K3649" t="s">
        <v>4996</v>
      </c>
      <c r="L3649" t="s">
        <v>21</v>
      </c>
    </row>
    <row r="3650" spans="1:12">
      <c r="A3650" t="s">
        <v>4999</v>
      </c>
      <c r="B3650" t="s">
        <v>4983</v>
      </c>
      <c r="C3650" t="s">
        <v>14</v>
      </c>
      <c r="D3650">
        <v>1972</v>
      </c>
      <c r="E3650" t="s">
        <v>15</v>
      </c>
      <c r="F3650" t="s">
        <v>16</v>
      </c>
      <c r="G3650" t="s">
        <v>17</v>
      </c>
      <c r="H3650" t="s">
        <v>18</v>
      </c>
      <c r="I3650">
        <v>58.064999999999998</v>
      </c>
      <c r="J3650" t="s">
        <v>19</v>
      </c>
      <c r="K3650" t="s">
        <v>5000</v>
      </c>
      <c r="L3650" t="s">
        <v>21</v>
      </c>
    </row>
    <row r="3651" spans="1:12">
      <c r="A3651" t="s">
        <v>5001</v>
      </c>
      <c r="B3651" t="s">
        <v>4983</v>
      </c>
      <c r="C3651" t="s">
        <v>14</v>
      </c>
      <c r="D3651">
        <v>1972</v>
      </c>
      <c r="E3651" t="s">
        <v>23</v>
      </c>
      <c r="F3651" t="s">
        <v>24</v>
      </c>
      <c r="G3651" t="s">
        <v>25</v>
      </c>
      <c r="H3651" t="s">
        <v>26</v>
      </c>
      <c r="I3651">
        <v>40850141</v>
      </c>
      <c r="J3651" t="s">
        <v>27</v>
      </c>
      <c r="K3651" t="s">
        <v>5000</v>
      </c>
      <c r="L3651" t="s">
        <v>21</v>
      </c>
    </row>
    <row r="3652" spans="1:12">
      <c r="A3652" t="s">
        <v>5002</v>
      </c>
      <c r="B3652" t="s">
        <v>4983</v>
      </c>
      <c r="C3652" t="s">
        <v>14</v>
      </c>
      <c r="D3652">
        <v>1972</v>
      </c>
      <c r="E3652" t="s">
        <v>29</v>
      </c>
      <c r="F3652" t="s">
        <v>30</v>
      </c>
      <c r="G3652" t="s">
        <v>31</v>
      </c>
      <c r="H3652" t="s">
        <v>32</v>
      </c>
      <c r="I3652">
        <v>1989.3740700000001</v>
      </c>
      <c r="J3652" t="s">
        <v>33</v>
      </c>
      <c r="K3652" t="s">
        <v>5000</v>
      </c>
      <c r="L3652" t="s">
        <v>21</v>
      </c>
    </row>
    <row r="3653" spans="1:12">
      <c r="A3653" t="s">
        <v>5003</v>
      </c>
      <c r="B3653" t="s">
        <v>4983</v>
      </c>
      <c r="C3653" t="s">
        <v>14</v>
      </c>
      <c r="D3653">
        <v>1977</v>
      </c>
      <c r="E3653" t="s">
        <v>15</v>
      </c>
      <c r="F3653" t="s">
        <v>16</v>
      </c>
      <c r="G3653" t="s">
        <v>17</v>
      </c>
      <c r="H3653" t="s">
        <v>18</v>
      </c>
      <c r="I3653">
        <v>60.06</v>
      </c>
      <c r="J3653" t="s">
        <v>19</v>
      </c>
      <c r="K3653" t="s">
        <v>5004</v>
      </c>
      <c r="L3653" t="s">
        <v>21</v>
      </c>
    </row>
    <row r="3654" spans="1:12">
      <c r="A3654" t="s">
        <v>5005</v>
      </c>
      <c r="B3654" t="s">
        <v>4983</v>
      </c>
      <c r="C3654" t="s">
        <v>14</v>
      </c>
      <c r="D3654">
        <v>1977</v>
      </c>
      <c r="E3654" t="s">
        <v>23</v>
      </c>
      <c r="F3654" t="s">
        <v>24</v>
      </c>
      <c r="G3654" t="s">
        <v>25</v>
      </c>
      <c r="H3654" t="s">
        <v>26</v>
      </c>
      <c r="I3654">
        <v>46850962</v>
      </c>
      <c r="J3654" t="s">
        <v>27</v>
      </c>
      <c r="K3654" t="s">
        <v>5004</v>
      </c>
      <c r="L3654" t="s">
        <v>21</v>
      </c>
    </row>
    <row r="3655" spans="1:12">
      <c r="A3655" t="s">
        <v>5006</v>
      </c>
      <c r="B3655" t="s">
        <v>4983</v>
      </c>
      <c r="C3655" t="s">
        <v>14</v>
      </c>
      <c r="D3655">
        <v>1977</v>
      </c>
      <c r="E3655" t="s">
        <v>29</v>
      </c>
      <c r="F3655" t="s">
        <v>30</v>
      </c>
      <c r="G3655" t="s">
        <v>31</v>
      </c>
      <c r="H3655" t="s">
        <v>32</v>
      </c>
      <c r="I3655">
        <v>2373.204287</v>
      </c>
      <c r="J3655" t="s">
        <v>33</v>
      </c>
      <c r="K3655" t="s">
        <v>5004</v>
      </c>
      <c r="L3655" t="s">
        <v>21</v>
      </c>
    </row>
    <row r="3656" spans="1:12">
      <c r="A3656" t="s">
        <v>5007</v>
      </c>
      <c r="B3656" t="s">
        <v>4983</v>
      </c>
      <c r="C3656" t="s">
        <v>14</v>
      </c>
      <c r="D3656">
        <v>1982</v>
      </c>
      <c r="E3656" t="s">
        <v>15</v>
      </c>
      <c r="F3656" t="s">
        <v>16</v>
      </c>
      <c r="G3656" t="s">
        <v>17</v>
      </c>
      <c r="H3656" t="s">
        <v>18</v>
      </c>
      <c r="I3656">
        <v>62.082000000000001</v>
      </c>
      <c r="J3656" t="s">
        <v>19</v>
      </c>
      <c r="K3656" t="s">
        <v>5008</v>
      </c>
      <c r="L3656" t="s">
        <v>21</v>
      </c>
    </row>
    <row r="3657" spans="1:12">
      <c r="A3657" t="s">
        <v>5009</v>
      </c>
      <c r="B3657" t="s">
        <v>4983</v>
      </c>
      <c r="C3657" t="s">
        <v>14</v>
      </c>
      <c r="D3657">
        <v>1982</v>
      </c>
      <c r="E3657" t="s">
        <v>23</v>
      </c>
      <c r="F3657" t="s">
        <v>24</v>
      </c>
      <c r="G3657" t="s">
        <v>25</v>
      </c>
      <c r="H3657" t="s">
        <v>26</v>
      </c>
      <c r="I3657">
        <v>53456774</v>
      </c>
      <c r="J3657" t="s">
        <v>27</v>
      </c>
      <c r="K3657" t="s">
        <v>5008</v>
      </c>
      <c r="L3657" t="s">
        <v>21</v>
      </c>
    </row>
    <row r="3658" spans="1:12">
      <c r="A3658" t="s">
        <v>5010</v>
      </c>
      <c r="B3658" t="s">
        <v>4983</v>
      </c>
      <c r="C3658" t="s">
        <v>14</v>
      </c>
      <c r="D3658">
        <v>1982</v>
      </c>
      <c r="E3658" t="s">
        <v>29</v>
      </c>
      <c r="F3658" t="s">
        <v>30</v>
      </c>
      <c r="G3658" t="s">
        <v>31</v>
      </c>
      <c r="H3658" t="s">
        <v>32</v>
      </c>
      <c r="I3658">
        <v>2603.2737649999999</v>
      </c>
      <c r="J3658" t="s">
        <v>33</v>
      </c>
      <c r="K3658" t="s">
        <v>5008</v>
      </c>
      <c r="L3658" t="s">
        <v>21</v>
      </c>
    </row>
    <row r="3659" spans="1:12">
      <c r="A3659" t="s">
        <v>5011</v>
      </c>
      <c r="B3659" t="s">
        <v>4983</v>
      </c>
      <c r="C3659" t="s">
        <v>14</v>
      </c>
      <c r="D3659">
        <v>1987</v>
      </c>
      <c r="E3659" t="s">
        <v>15</v>
      </c>
      <c r="F3659" t="s">
        <v>16</v>
      </c>
      <c r="G3659" t="s">
        <v>17</v>
      </c>
      <c r="H3659" t="s">
        <v>18</v>
      </c>
      <c r="I3659">
        <v>64.150999999999996</v>
      </c>
      <c r="J3659" t="s">
        <v>19</v>
      </c>
      <c r="K3659" t="s">
        <v>5012</v>
      </c>
      <c r="L3659" t="s">
        <v>21</v>
      </c>
    </row>
    <row r="3660" spans="1:12">
      <c r="A3660" t="s">
        <v>5013</v>
      </c>
      <c r="B3660" t="s">
        <v>4983</v>
      </c>
      <c r="C3660" t="s">
        <v>14</v>
      </c>
      <c r="D3660">
        <v>1987</v>
      </c>
      <c r="E3660" t="s">
        <v>23</v>
      </c>
      <c r="F3660" t="s">
        <v>24</v>
      </c>
      <c r="G3660" t="s">
        <v>25</v>
      </c>
      <c r="H3660" t="s">
        <v>26</v>
      </c>
      <c r="I3660">
        <v>60017788</v>
      </c>
      <c r="J3660" t="s">
        <v>27</v>
      </c>
      <c r="K3660" t="s">
        <v>5012</v>
      </c>
      <c r="L3660" t="s">
        <v>21</v>
      </c>
    </row>
    <row r="3661" spans="1:12">
      <c r="A3661" t="s">
        <v>5014</v>
      </c>
      <c r="B3661" t="s">
        <v>4983</v>
      </c>
      <c r="C3661" t="s">
        <v>14</v>
      </c>
      <c r="D3661">
        <v>1987</v>
      </c>
      <c r="E3661" t="s">
        <v>29</v>
      </c>
      <c r="F3661" t="s">
        <v>30</v>
      </c>
      <c r="G3661" t="s">
        <v>31</v>
      </c>
      <c r="H3661" t="s">
        <v>32</v>
      </c>
      <c r="I3661">
        <v>2189.6349949999999</v>
      </c>
      <c r="J3661" t="s">
        <v>33</v>
      </c>
      <c r="K3661" t="s">
        <v>5012</v>
      </c>
      <c r="L3661" t="s">
        <v>21</v>
      </c>
    </row>
    <row r="3662" spans="1:12">
      <c r="A3662" t="s">
        <v>5015</v>
      </c>
      <c r="B3662" t="s">
        <v>4983</v>
      </c>
      <c r="C3662" t="s">
        <v>14</v>
      </c>
      <c r="D3662">
        <v>1992</v>
      </c>
      <c r="E3662" t="s">
        <v>15</v>
      </c>
      <c r="F3662" t="s">
        <v>16</v>
      </c>
      <c r="G3662" t="s">
        <v>17</v>
      </c>
      <c r="H3662" t="s">
        <v>18</v>
      </c>
      <c r="I3662">
        <v>66.457999999999998</v>
      </c>
      <c r="J3662" t="s">
        <v>19</v>
      </c>
      <c r="K3662" t="s">
        <v>5016</v>
      </c>
      <c r="L3662" t="s">
        <v>21</v>
      </c>
    </row>
    <row r="3663" spans="1:12">
      <c r="A3663" t="s">
        <v>5017</v>
      </c>
      <c r="B3663" t="s">
        <v>4983</v>
      </c>
      <c r="C3663" t="s">
        <v>14</v>
      </c>
      <c r="D3663">
        <v>1992</v>
      </c>
      <c r="E3663" t="s">
        <v>23</v>
      </c>
      <c r="F3663" t="s">
        <v>24</v>
      </c>
      <c r="G3663" t="s">
        <v>25</v>
      </c>
      <c r="H3663" t="s">
        <v>26</v>
      </c>
      <c r="I3663">
        <v>67185766</v>
      </c>
      <c r="J3663" t="s">
        <v>27</v>
      </c>
      <c r="K3663" t="s">
        <v>5016</v>
      </c>
      <c r="L3663" t="s">
        <v>21</v>
      </c>
    </row>
    <row r="3664" spans="1:12">
      <c r="A3664" t="s">
        <v>5018</v>
      </c>
      <c r="B3664" t="s">
        <v>4983</v>
      </c>
      <c r="C3664" t="s">
        <v>14</v>
      </c>
      <c r="D3664">
        <v>1992</v>
      </c>
      <c r="E3664" t="s">
        <v>29</v>
      </c>
      <c r="F3664" t="s">
        <v>30</v>
      </c>
      <c r="G3664" t="s">
        <v>31</v>
      </c>
      <c r="H3664" t="s">
        <v>32</v>
      </c>
      <c r="I3664">
        <v>2279.3240169999999</v>
      </c>
      <c r="J3664" t="s">
        <v>33</v>
      </c>
      <c r="K3664" t="s">
        <v>5016</v>
      </c>
      <c r="L3664" t="s">
        <v>21</v>
      </c>
    </row>
    <row r="3665" spans="1:12">
      <c r="A3665" t="s">
        <v>5019</v>
      </c>
      <c r="B3665" t="s">
        <v>4983</v>
      </c>
      <c r="C3665" t="s">
        <v>14</v>
      </c>
      <c r="D3665">
        <v>1997</v>
      </c>
      <c r="E3665" t="s">
        <v>15</v>
      </c>
      <c r="F3665" t="s">
        <v>16</v>
      </c>
      <c r="G3665" t="s">
        <v>17</v>
      </c>
      <c r="H3665" t="s">
        <v>18</v>
      </c>
      <c r="I3665">
        <v>68.563999999999993</v>
      </c>
      <c r="J3665" t="s">
        <v>19</v>
      </c>
      <c r="K3665" t="s">
        <v>5020</v>
      </c>
      <c r="L3665" t="s">
        <v>21</v>
      </c>
    </row>
    <row r="3666" spans="1:12">
      <c r="A3666" t="s">
        <v>5021</v>
      </c>
      <c r="B3666" t="s">
        <v>4983</v>
      </c>
      <c r="C3666" t="s">
        <v>14</v>
      </c>
      <c r="D3666">
        <v>1997</v>
      </c>
      <c r="E3666" t="s">
        <v>23</v>
      </c>
      <c r="F3666" t="s">
        <v>24</v>
      </c>
      <c r="G3666" t="s">
        <v>25</v>
      </c>
      <c r="H3666" t="s">
        <v>26</v>
      </c>
      <c r="I3666">
        <v>75012988</v>
      </c>
      <c r="J3666" t="s">
        <v>27</v>
      </c>
      <c r="K3666" t="s">
        <v>5020</v>
      </c>
      <c r="L3666" t="s">
        <v>21</v>
      </c>
    </row>
    <row r="3667" spans="1:12">
      <c r="A3667" t="s">
        <v>5022</v>
      </c>
      <c r="B3667" t="s">
        <v>4983</v>
      </c>
      <c r="C3667" t="s">
        <v>14</v>
      </c>
      <c r="D3667">
        <v>1997</v>
      </c>
      <c r="E3667" t="s">
        <v>29</v>
      </c>
      <c r="F3667" t="s">
        <v>30</v>
      </c>
      <c r="G3667" t="s">
        <v>31</v>
      </c>
      <c r="H3667" t="s">
        <v>32</v>
      </c>
      <c r="I3667">
        <v>2536.5349249999999</v>
      </c>
      <c r="J3667" t="s">
        <v>33</v>
      </c>
      <c r="K3667" t="s">
        <v>5020</v>
      </c>
      <c r="L3667" t="s">
        <v>21</v>
      </c>
    </row>
    <row r="3668" spans="1:12">
      <c r="A3668" t="s">
        <v>5023</v>
      </c>
      <c r="B3668" t="s">
        <v>4983</v>
      </c>
      <c r="C3668" t="s">
        <v>14</v>
      </c>
      <c r="D3668">
        <v>2002</v>
      </c>
      <c r="E3668" t="s">
        <v>15</v>
      </c>
      <c r="F3668" t="s">
        <v>16</v>
      </c>
      <c r="G3668" t="s">
        <v>17</v>
      </c>
      <c r="H3668" t="s">
        <v>18</v>
      </c>
      <c r="I3668">
        <v>70.302999999999997</v>
      </c>
      <c r="J3668" t="s">
        <v>19</v>
      </c>
      <c r="K3668" t="s">
        <v>5024</v>
      </c>
      <c r="L3668" t="s">
        <v>21</v>
      </c>
    </row>
    <row r="3669" spans="1:12">
      <c r="A3669" t="s">
        <v>5025</v>
      </c>
      <c r="B3669" t="s">
        <v>4983</v>
      </c>
      <c r="C3669" t="s">
        <v>14</v>
      </c>
      <c r="D3669">
        <v>2002</v>
      </c>
      <c r="E3669" t="s">
        <v>23</v>
      </c>
      <c r="F3669" t="s">
        <v>24</v>
      </c>
      <c r="G3669" t="s">
        <v>25</v>
      </c>
      <c r="H3669" t="s">
        <v>26</v>
      </c>
      <c r="I3669">
        <v>82995088</v>
      </c>
      <c r="J3669" t="s">
        <v>27</v>
      </c>
      <c r="K3669" t="s">
        <v>5024</v>
      </c>
      <c r="L3669" t="s">
        <v>21</v>
      </c>
    </row>
    <row r="3670" spans="1:12">
      <c r="A3670" t="s">
        <v>5026</v>
      </c>
      <c r="B3670" t="s">
        <v>4983</v>
      </c>
      <c r="C3670" t="s">
        <v>14</v>
      </c>
      <c r="D3670">
        <v>2002</v>
      </c>
      <c r="E3670" t="s">
        <v>29</v>
      </c>
      <c r="F3670" t="s">
        <v>30</v>
      </c>
      <c r="G3670" t="s">
        <v>31</v>
      </c>
      <c r="H3670" t="s">
        <v>32</v>
      </c>
      <c r="I3670">
        <v>2650.9210680000001</v>
      </c>
      <c r="J3670" t="s">
        <v>33</v>
      </c>
      <c r="K3670" t="s">
        <v>5024</v>
      </c>
      <c r="L3670" t="s">
        <v>21</v>
      </c>
    </row>
    <row r="3671" spans="1:12">
      <c r="A3671" t="s">
        <v>5027</v>
      </c>
      <c r="B3671" t="s">
        <v>4983</v>
      </c>
      <c r="C3671" t="s">
        <v>14</v>
      </c>
      <c r="D3671">
        <v>2007</v>
      </c>
      <c r="E3671" t="s">
        <v>15</v>
      </c>
      <c r="F3671" t="s">
        <v>16</v>
      </c>
      <c r="G3671" t="s">
        <v>17</v>
      </c>
      <c r="H3671" t="s">
        <v>18</v>
      </c>
      <c r="I3671">
        <v>71.688000000000002</v>
      </c>
      <c r="J3671" t="s">
        <v>19</v>
      </c>
      <c r="K3671" t="s">
        <v>5028</v>
      </c>
      <c r="L3671" t="s">
        <v>21</v>
      </c>
    </row>
    <row r="3672" spans="1:12">
      <c r="A3672" t="s">
        <v>5029</v>
      </c>
      <c r="B3672" t="s">
        <v>4983</v>
      </c>
      <c r="C3672" t="s">
        <v>14</v>
      </c>
      <c r="D3672">
        <v>2007</v>
      </c>
      <c r="E3672" t="s">
        <v>23</v>
      </c>
      <c r="F3672" t="s">
        <v>24</v>
      </c>
      <c r="G3672" t="s">
        <v>25</v>
      </c>
      <c r="H3672" t="s">
        <v>26</v>
      </c>
      <c r="I3672">
        <v>91077287</v>
      </c>
      <c r="J3672" t="s">
        <v>27</v>
      </c>
      <c r="K3672" t="s">
        <v>5028</v>
      </c>
      <c r="L3672" t="s">
        <v>21</v>
      </c>
    </row>
    <row r="3673" spans="1:12">
      <c r="A3673" t="s">
        <v>5030</v>
      </c>
      <c r="B3673" t="s">
        <v>4983</v>
      </c>
      <c r="C3673" t="s">
        <v>14</v>
      </c>
      <c r="D3673">
        <v>2007</v>
      </c>
      <c r="E3673" t="s">
        <v>29</v>
      </c>
      <c r="F3673" t="s">
        <v>30</v>
      </c>
      <c r="G3673" t="s">
        <v>31</v>
      </c>
      <c r="H3673" t="s">
        <v>32</v>
      </c>
      <c r="I3673">
        <v>3190.4810160000002</v>
      </c>
      <c r="J3673" t="s">
        <v>33</v>
      </c>
      <c r="K3673" t="s">
        <v>5028</v>
      </c>
      <c r="L3673" t="s">
        <v>21</v>
      </c>
    </row>
    <row r="3674" spans="1:12">
      <c r="A3674" t="s">
        <v>5031</v>
      </c>
      <c r="B3674" t="s">
        <v>5032</v>
      </c>
      <c r="C3674" t="s">
        <v>80</v>
      </c>
      <c r="D3674">
        <v>1952</v>
      </c>
      <c r="E3674" t="s">
        <v>15</v>
      </c>
      <c r="F3674" t="s">
        <v>16</v>
      </c>
      <c r="G3674" t="s">
        <v>17</v>
      </c>
      <c r="H3674" t="s">
        <v>18</v>
      </c>
      <c r="I3674">
        <v>61.31</v>
      </c>
      <c r="J3674" t="s">
        <v>19</v>
      </c>
      <c r="K3674" t="s">
        <v>5033</v>
      </c>
      <c r="L3674" t="s">
        <v>21</v>
      </c>
    </row>
    <row r="3675" spans="1:12">
      <c r="A3675" t="s">
        <v>5034</v>
      </c>
      <c r="B3675" t="s">
        <v>5032</v>
      </c>
      <c r="C3675" t="s">
        <v>80</v>
      </c>
      <c r="D3675">
        <v>1952</v>
      </c>
      <c r="E3675" t="s">
        <v>23</v>
      </c>
      <c r="F3675" t="s">
        <v>24</v>
      </c>
      <c r="G3675" t="s">
        <v>25</v>
      </c>
      <c r="H3675" t="s">
        <v>26</v>
      </c>
      <c r="I3675">
        <v>25730551</v>
      </c>
      <c r="J3675" t="s">
        <v>27</v>
      </c>
      <c r="K3675" t="s">
        <v>5033</v>
      </c>
      <c r="L3675" t="s">
        <v>21</v>
      </c>
    </row>
    <row r="3676" spans="1:12">
      <c r="A3676" t="s">
        <v>5035</v>
      </c>
      <c r="B3676" t="s">
        <v>5032</v>
      </c>
      <c r="C3676" t="s">
        <v>80</v>
      </c>
      <c r="D3676">
        <v>1952</v>
      </c>
      <c r="E3676" t="s">
        <v>29</v>
      </c>
      <c r="F3676" t="s">
        <v>30</v>
      </c>
      <c r="G3676" t="s">
        <v>31</v>
      </c>
      <c r="H3676" t="s">
        <v>32</v>
      </c>
      <c r="I3676">
        <v>4029.3296989999999</v>
      </c>
      <c r="J3676" t="s">
        <v>33</v>
      </c>
      <c r="K3676" t="s">
        <v>5033</v>
      </c>
      <c r="L3676" t="s">
        <v>21</v>
      </c>
    </row>
    <row r="3677" spans="1:12">
      <c r="A3677" t="s">
        <v>5036</v>
      </c>
      <c r="B3677" t="s">
        <v>5032</v>
      </c>
      <c r="C3677" t="s">
        <v>80</v>
      </c>
      <c r="D3677">
        <v>1957</v>
      </c>
      <c r="E3677" t="s">
        <v>15</v>
      </c>
      <c r="F3677" t="s">
        <v>16</v>
      </c>
      <c r="G3677" t="s">
        <v>17</v>
      </c>
      <c r="H3677" t="s">
        <v>18</v>
      </c>
      <c r="I3677">
        <v>65.77</v>
      </c>
      <c r="J3677" t="s">
        <v>19</v>
      </c>
      <c r="K3677" t="s">
        <v>5037</v>
      </c>
      <c r="L3677" t="s">
        <v>21</v>
      </c>
    </row>
    <row r="3678" spans="1:12">
      <c r="A3678" t="s">
        <v>5038</v>
      </c>
      <c r="B3678" t="s">
        <v>5032</v>
      </c>
      <c r="C3678" t="s">
        <v>80</v>
      </c>
      <c r="D3678">
        <v>1957</v>
      </c>
      <c r="E3678" t="s">
        <v>23</v>
      </c>
      <c r="F3678" t="s">
        <v>24</v>
      </c>
      <c r="G3678" t="s">
        <v>25</v>
      </c>
      <c r="H3678" t="s">
        <v>26</v>
      </c>
      <c r="I3678">
        <v>28235346</v>
      </c>
      <c r="J3678" t="s">
        <v>27</v>
      </c>
      <c r="K3678" t="s">
        <v>5037</v>
      </c>
      <c r="L3678" t="s">
        <v>21</v>
      </c>
    </row>
    <row r="3679" spans="1:12">
      <c r="A3679" t="s">
        <v>5039</v>
      </c>
      <c r="B3679" t="s">
        <v>5032</v>
      </c>
      <c r="C3679" t="s">
        <v>80</v>
      </c>
      <c r="D3679">
        <v>1957</v>
      </c>
      <c r="E3679" t="s">
        <v>29</v>
      </c>
      <c r="F3679" t="s">
        <v>30</v>
      </c>
      <c r="G3679" t="s">
        <v>31</v>
      </c>
      <c r="H3679" t="s">
        <v>32</v>
      </c>
      <c r="I3679">
        <v>4734.2530189999998</v>
      </c>
      <c r="J3679" t="s">
        <v>33</v>
      </c>
      <c r="K3679" t="s">
        <v>5037</v>
      </c>
      <c r="L3679" t="s">
        <v>21</v>
      </c>
    </row>
    <row r="3680" spans="1:12">
      <c r="A3680" t="s">
        <v>5040</v>
      </c>
      <c r="B3680" t="s">
        <v>5032</v>
      </c>
      <c r="C3680" t="s">
        <v>80</v>
      </c>
      <c r="D3680">
        <v>1962</v>
      </c>
      <c r="E3680" t="s">
        <v>15</v>
      </c>
      <c r="F3680" t="s">
        <v>16</v>
      </c>
      <c r="G3680" t="s">
        <v>17</v>
      </c>
      <c r="H3680" t="s">
        <v>18</v>
      </c>
      <c r="I3680">
        <v>67.64</v>
      </c>
      <c r="J3680" t="s">
        <v>19</v>
      </c>
      <c r="K3680" t="s">
        <v>5041</v>
      </c>
      <c r="L3680" t="s">
        <v>21</v>
      </c>
    </row>
    <row r="3681" spans="1:12">
      <c r="A3681" t="s">
        <v>5042</v>
      </c>
      <c r="B3681" t="s">
        <v>5032</v>
      </c>
      <c r="C3681" t="s">
        <v>80</v>
      </c>
      <c r="D3681">
        <v>1962</v>
      </c>
      <c r="E3681" t="s">
        <v>23</v>
      </c>
      <c r="F3681" t="s">
        <v>24</v>
      </c>
      <c r="G3681" t="s">
        <v>25</v>
      </c>
      <c r="H3681" t="s">
        <v>26</v>
      </c>
      <c r="I3681">
        <v>30329617</v>
      </c>
      <c r="J3681" t="s">
        <v>27</v>
      </c>
      <c r="K3681" t="s">
        <v>5041</v>
      </c>
      <c r="L3681" t="s">
        <v>21</v>
      </c>
    </row>
    <row r="3682" spans="1:12">
      <c r="A3682" t="s">
        <v>5043</v>
      </c>
      <c r="B3682" t="s">
        <v>5032</v>
      </c>
      <c r="C3682" t="s">
        <v>80</v>
      </c>
      <c r="D3682">
        <v>1962</v>
      </c>
      <c r="E3682" t="s">
        <v>29</v>
      </c>
      <c r="F3682" t="s">
        <v>30</v>
      </c>
      <c r="G3682" t="s">
        <v>31</v>
      </c>
      <c r="H3682" t="s">
        <v>32</v>
      </c>
      <c r="I3682">
        <v>5338.7521429999997</v>
      </c>
      <c r="J3682" t="s">
        <v>33</v>
      </c>
      <c r="K3682" t="s">
        <v>5041</v>
      </c>
      <c r="L3682" t="s">
        <v>21</v>
      </c>
    </row>
    <row r="3683" spans="1:12">
      <c r="A3683" t="s">
        <v>5044</v>
      </c>
      <c r="B3683" t="s">
        <v>5032</v>
      </c>
      <c r="C3683" t="s">
        <v>80</v>
      </c>
      <c r="D3683">
        <v>1967</v>
      </c>
      <c r="E3683" t="s">
        <v>15</v>
      </c>
      <c r="F3683" t="s">
        <v>16</v>
      </c>
      <c r="G3683" t="s">
        <v>17</v>
      </c>
      <c r="H3683" t="s">
        <v>18</v>
      </c>
      <c r="I3683">
        <v>69.61</v>
      </c>
      <c r="J3683" t="s">
        <v>19</v>
      </c>
      <c r="K3683" t="s">
        <v>5045</v>
      </c>
      <c r="L3683" t="s">
        <v>21</v>
      </c>
    </row>
    <row r="3684" spans="1:12">
      <c r="A3684" t="s">
        <v>5046</v>
      </c>
      <c r="B3684" t="s">
        <v>5032</v>
      </c>
      <c r="C3684" t="s">
        <v>80</v>
      </c>
      <c r="D3684">
        <v>1967</v>
      </c>
      <c r="E3684" t="s">
        <v>23</v>
      </c>
      <c r="F3684" t="s">
        <v>24</v>
      </c>
      <c r="G3684" t="s">
        <v>25</v>
      </c>
      <c r="H3684" t="s">
        <v>26</v>
      </c>
      <c r="I3684">
        <v>31785378</v>
      </c>
      <c r="J3684" t="s">
        <v>27</v>
      </c>
      <c r="K3684" t="s">
        <v>5045</v>
      </c>
      <c r="L3684" t="s">
        <v>21</v>
      </c>
    </row>
    <row r="3685" spans="1:12">
      <c r="A3685" t="s">
        <v>5047</v>
      </c>
      <c r="B3685" t="s">
        <v>5032</v>
      </c>
      <c r="C3685" t="s">
        <v>80</v>
      </c>
      <c r="D3685">
        <v>1967</v>
      </c>
      <c r="E3685" t="s">
        <v>29</v>
      </c>
      <c r="F3685" t="s">
        <v>30</v>
      </c>
      <c r="G3685" t="s">
        <v>31</v>
      </c>
      <c r="H3685" t="s">
        <v>32</v>
      </c>
      <c r="I3685">
        <v>6557.1527759999999</v>
      </c>
      <c r="J3685" t="s">
        <v>33</v>
      </c>
      <c r="K3685" t="s">
        <v>5045</v>
      </c>
      <c r="L3685" t="s">
        <v>21</v>
      </c>
    </row>
    <row r="3686" spans="1:12">
      <c r="A3686" t="s">
        <v>5048</v>
      </c>
      <c r="B3686" t="s">
        <v>5032</v>
      </c>
      <c r="C3686" t="s">
        <v>80</v>
      </c>
      <c r="D3686">
        <v>1972</v>
      </c>
      <c r="E3686" t="s">
        <v>15</v>
      </c>
      <c r="F3686" t="s">
        <v>16</v>
      </c>
      <c r="G3686" t="s">
        <v>17</v>
      </c>
      <c r="H3686" t="s">
        <v>18</v>
      </c>
      <c r="I3686">
        <v>70.849999999999994</v>
      </c>
      <c r="J3686" t="s">
        <v>19</v>
      </c>
      <c r="K3686" t="s">
        <v>5049</v>
      </c>
      <c r="L3686" t="s">
        <v>21</v>
      </c>
    </row>
    <row r="3687" spans="1:12">
      <c r="A3687" t="s">
        <v>5050</v>
      </c>
      <c r="B3687" t="s">
        <v>5032</v>
      </c>
      <c r="C3687" t="s">
        <v>80</v>
      </c>
      <c r="D3687">
        <v>1972</v>
      </c>
      <c r="E3687" t="s">
        <v>23</v>
      </c>
      <c r="F3687" t="s">
        <v>24</v>
      </c>
      <c r="G3687" t="s">
        <v>25</v>
      </c>
      <c r="H3687" t="s">
        <v>26</v>
      </c>
      <c r="I3687">
        <v>33039545</v>
      </c>
      <c r="J3687" t="s">
        <v>27</v>
      </c>
      <c r="K3687" t="s">
        <v>5049</v>
      </c>
      <c r="L3687" t="s">
        <v>21</v>
      </c>
    </row>
    <row r="3688" spans="1:12">
      <c r="A3688" t="s">
        <v>5051</v>
      </c>
      <c r="B3688" t="s">
        <v>5032</v>
      </c>
      <c r="C3688" t="s">
        <v>80</v>
      </c>
      <c r="D3688">
        <v>1972</v>
      </c>
      <c r="E3688" t="s">
        <v>29</v>
      </c>
      <c r="F3688" t="s">
        <v>30</v>
      </c>
      <c r="G3688" t="s">
        <v>31</v>
      </c>
      <c r="H3688" t="s">
        <v>32</v>
      </c>
      <c r="I3688">
        <v>8006.506993</v>
      </c>
      <c r="J3688" t="s">
        <v>33</v>
      </c>
      <c r="K3688" t="s">
        <v>5049</v>
      </c>
      <c r="L3688" t="s">
        <v>21</v>
      </c>
    </row>
    <row r="3689" spans="1:12">
      <c r="A3689" t="s">
        <v>5052</v>
      </c>
      <c r="B3689" t="s">
        <v>5032</v>
      </c>
      <c r="C3689" t="s">
        <v>80</v>
      </c>
      <c r="D3689">
        <v>1977</v>
      </c>
      <c r="E3689" t="s">
        <v>15</v>
      </c>
      <c r="F3689" t="s">
        <v>16</v>
      </c>
      <c r="G3689" t="s">
        <v>17</v>
      </c>
      <c r="H3689" t="s">
        <v>18</v>
      </c>
      <c r="I3689">
        <v>70.67</v>
      </c>
      <c r="J3689" t="s">
        <v>19</v>
      </c>
      <c r="K3689" t="s">
        <v>5053</v>
      </c>
      <c r="L3689" t="s">
        <v>21</v>
      </c>
    </row>
    <row r="3690" spans="1:12">
      <c r="A3690" t="s">
        <v>5054</v>
      </c>
      <c r="B3690" t="s">
        <v>5032</v>
      </c>
      <c r="C3690" t="s">
        <v>80</v>
      </c>
      <c r="D3690">
        <v>1977</v>
      </c>
      <c r="E3690" t="s">
        <v>23</v>
      </c>
      <c r="F3690" t="s">
        <v>24</v>
      </c>
      <c r="G3690" t="s">
        <v>25</v>
      </c>
      <c r="H3690" t="s">
        <v>26</v>
      </c>
      <c r="I3690">
        <v>34621254</v>
      </c>
      <c r="J3690" t="s">
        <v>27</v>
      </c>
      <c r="K3690" t="s">
        <v>5053</v>
      </c>
      <c r="L3690" t="s">
        <v>21</v>
      </c>
    </row>
    <row r="3691" spans="1:12">
      <c r="A3691" t="s">
        <v>5055</v>
      </c>
      <c r="B3691" t="s">
        <v>5032</v>
      </c>
      <c r="C3691" t="s">
        <v>80</v>
      </c>
      <c r="D3691">
        <v>1977</v>
      </c>
      <c r="E3691" t="s">
        <v>29</v>
      </c>
      <c r="F3691" t="s">
        <v>30</v>
      </c>
      <c r="G3691" t="s">
        <v>31</v>
      </c>
      <c r="H3691" t="s">
        <v>32</v>
      </c>
      <c r="I3691">
        <v>9508.1414540000005</v>
      </c>
      <c r="J3691" t="s">
        <v>33</v>
      </c>
      <c r="K3691" t="s">
        <v>5053</v>
      </c>
      <c r="L3691" t="s">
        <v>21</v>
      </c>
    </row>
    <row r="3692" spans="1:12">
      <c r="A3692" t="s">
        <v>5056</v>
      </c>
      <c r="B3692" t="s">
        <v>5032</v>
      </c>
      <c r="C3692" t="s">
        <v>80</v>
      </c>
      <c r="D3692">
        <v>1982</v>
      </c>
      <c r="E3692" t="s">
        <v>15</v>
      </c>
      <c r="F3692" t="s">
        <v>16</v>
      </c>
      <c r="G3692" t="s">
        <v>17</v>
      </c>
      <c r="H3692" t="s">
        <v>18</v>
      </c>
      <c r="I3692">
        <v>71.319999999999993</v>
      </c>
      <c r="J3692" t="s">
        <v>19</v>
      </c>
      <c r="K3692" t="s">
        <v>5057</v>
      </c>
      <c r="L3692" t="s">
        <v>21</v>
      </c>
    </row>
    <row r="3693" spans="1:12">
      <c r="A3693" t="s">
        <v>5058</v>
      </c>
      <c r="B3693" t="s">
        <v>5032</v>
      </c>
      <c r="C3693" t="s">
        <v>80</v>
      </c>
      <c r="D3693">
        <v>1982</v>
      </c>
      <c r="E3693" t="s">
        <v>23</v>
      </c>
      <c r="F3693" t="s">
        <v>24</v>
      </c>
      <c r="G3693" t="s">
        <v>25</v>
      </c>
      <c r="H3693" t="s">
        <v>26</v>
      </c>
      <c r="I3693">
        <v>36227381</v>
      </c>
      <c r="J3693" t="s">
        <v>27</v>
      </c>
      <c r="K3693" t="s">
        <v>5057</v>
      </c>
      <c r="L3693" t="s">
        <v>21</v>
      </c>
    </row>
    <row r="3694" spans="1:12">
      <c r="A3694" t="s">
        <v>5059</v>
      </c>
      <c r="B3694" t="s">
        <v>5032</v>
      </c>
      <c r="C3694" t="s">
        <v>80</v>
      </c>
      <c r="D3694">
        <v>1982</v>
      </c>
      <c r="E3694" t="s">
        <v>29</v>
      </c>
      <c r="F3694" t="s">
        <v>30</v>
      </c>
      <c r="G3694" t="s">
        <v>31</v>
      </c>
      <c r="H3694" t="s">
        <v>32</v>
      </c>
      <c r="I3694">
        <v>8451.5310040000004</v>
      </c>
      <c r="J3694" t="s">
        <v>33</v>
      </c>
      <c r="K3694" t="s">
        <v>5057</v>
      </c>
      <c r="L3694" t="s">
        <v>21</v>
      </c>
    </row>
    <row r="3695" spans="1:12">
      <c r="A3695" t="s">
        <v>5060</v>
      </c>
      <c r="B3695" t="s">
        <v>5032</v>
      </c>
      <c r="C3695" t="s">
        <v>80</v>
      </c>
      <c r="D3695">
        <v>1987</v>
      </c>
      <c r="E3695" t="s">
        <v>15</v>
      </c>
      <c r="F3695" t="s">
        <v>16</v>
      </c>
      <c r="G3695" t="s">
        <v>17</v>
      </c>
      <c r="H3695" t="s">
        <v>18</v>
      </c>
      <c r="I3695">
        <v>70.98</v>
      </c>
      <c r="J3695" t="s">
        <v>19</v>
      </c>
      <c r="K3695" t="s">
        <v>5061</v>
      </c>
      <c r="L3695" t="s">
        <v>21</v>
      </c>
    </row>
    <row r="3696" spans="1:12">
      <c r="A3696" t="s">
        <v>5062</v>
      </c>
      <c r="B3696" t="s">
        <v>5032</v>
      </c>
      <c r="C3696" t="s">
        <v>80</v>
      </c>
      <c r="D3696">
        <v>1987</v>
      </c>
      <c r="E3696" t="s">
        <v>23</v>
      </c>
      <c r="F3696" t="s">
        <v>24</v>
      </c>
      <c r="G3696" t="s">
        <v>25</v>
      </c>
      <c r="H3696" t="s">
        <v>26</v>
      </c>
      <c r="I3696">
        <v>37740710</v>
      </c>
      <c r="J3696" t="s">
        <v>27</v>
      </c>
      <c r="K3696" t="s">
        <v>5061</v>
      </c>
      <c r="L3696" t="s">
        <v>21</v>
      </c>
    </row>
    <row r="3697" spans="1:12">
      <c r="A3697" t="s">
        <v>5063</v>
      </c>
      <c r="B3697" t="s">
        <v>5032</v>
      </c>
      <c r="C3697" t="s">
        <v>80</v>
      </c>
      <c r="D3697">
        <v>1987</v>
      </c>
      <c r="E3697" t="s">
        <v>29</v>
      </c>
      <c r="F3697" t="s">
        <v>30</v>
      </c>
      <c r="G3697" t="s">
        <v>31</v>
      </c>
      <c r="H3697" t="s">
        <v>32</v>
      </c>
      <c r="I3697">
        <v>9082.3511720000006</v>
      </c>
      <c r="J3697" t="s">
        <v>33</v>
      </c>
      <c r="K3697" t="s">
        <v>5061</v>
      </c>
      <c r="L3697" t="s">
        <v>21</v>
      </c>
    </row>
    <row r="3698" spans="1:12">
      <c r="A3698" t="s">
        <v>5064</v>
      </c>
      <c r="B3698" t="s">
        <v>5032</v>
      </c>
      <c r="C3698" t="s">
        <v>80</v>
      </c>
      <c r="D3698">
        <v>1992</v>
      </c>
      <c r="E3698" t="s">
        <v>15</v>
      </c>
      <c r="F3698" t="s">
        <v>16</v>
      </c>
      <c r="G3698" t="s">
        <v>17</v>
      </c>
      <c r="H3698" t="s">
        <v>18</v>
      </c>
      <c r="I3698">
        <v>70.989999999999995</v>
      </c>
      <c r="J3698" t="s">
        <v>19</v>
      </c>
      <c r="K3698" t="s">
        <v>5065</v>
      </c>
      <c r="L3698" t="s">
        <v>21</v>
      </c>
    </row>
    <row r="3699" spans="1:12">
      <c r="A3699" t="s">
        <v>5066</v>
      </c>
      <c r="B3699" t="s">
        <v>5032</v>
      </c>
      <c r="C3699" t="s">
        <v>80</v>
      </c>
      <c r="D3699">
        <v>1992</v>
      </c>
      <c r="E3699" t="s">
        <v>23</v>
      </c>
      <c r="F3699" t="s">
        <v>24</v>
      </c>
      <c r="G3699" t="s">
        <v>25</v>
      </c>
      <c r="H3699" t="s">
        <v>26</v>
      </c>
      <c r="I3699">
        <v>38370697</v>
      </c>
      <c r="J3699" t="s">
        <v>27</v>
      </c>
      <c r="K3699" t="s">
        <v>5065</v>
      </c>
      <c r="L3699" t="s">
        <v>21</v>
      </c>
    </row>
    <row r="3700" spans="1:12">
      <c r="A3700" t="s">
        <v>5067</v>
      </c>
      <c r="B3700" t="s">
        <v>5032</v>
      </c>
      <c r="C3700" t="s">
        <v>80</v>
      </c>
      <c r="D3700">
        <v>1992</v>
      </c>
      <c r="E3700" t="s">
        <v>29</v>
      </c>
      <c r="F3700" t="s">
        <v>30</v>
      </c>
      <c r="G3700" t="s">
        <v>31</v>
      </c>
      <c r="H3700" t="s">
        <v>32</v>
      </c>
      <c r="I3700">
        <v>7738.8812470000003</v>
      </c>
      <c r="J3700" t="s">
        <v>33</v>
      </c>
      <c r="K3700" t="s">
        <v>5065</v>
      </c>
      <c r="L3700" t="s">
        <v>21</v>
      </c>
    </row>
    <row r="3701" spans="1:12">
      <c r="A3701" t="s">
        <v>5068</v>
      </c>
      <c r="B3701" t="s">
        <v>5032</v>
      </c>
      <c r="C3701" t="s">
        <v>80</v>
      </c>
      <c r="D3701">
        <v>1997</v>
      </c>
      <c r="E3701" t="s">
        <v>15</v>
      </c>
      <c r="F3701" t="s">
        <v>16</v>
      </c>
      <c r="G3701" t="s">
        <v>17</v>
      </c>
      <c r="H3701" t="s">
        <v>18</v>
      </c>
      <c r="I3701">
        <v>72.75</v>
      </c>
      <c r="J3701" t="s">
        <v>19</v>
      </c>
      <c r="K3701" t="s">
        <v>5069</v>
      </c>
      <c r="L3701" t="s">
        <v>21</v>
      </c>
    </row>
    <row r="3702" spans="1:12">
      <c r="A3702" t="s">
        <v>5070</v>
      </c>
      <c r="B3702" t="s">
        <v>5032</v>
      </c>
      <c r="C3702" t="s">
        <v>80</v>
      </c>
      <c r="D3702">
        <v>1997</v>
      </c>
      <c r="E3702" t="s">
        <v>23</v>
      </c>
      <c r="F3702" t="s">
        <v>24</v>
      </c>
      <c r="G3702" t="s">
        <v>25</v>
      </c>
      <c r="H3702" t="s">
        <v>26</v>
      </c>
      <c r="I3702">
        <v>38654957</v>
      </c>
      <c r="J3702" t="s">
        <v>27</v>
      </c>
      <c r="K3702" t="s">
        <v>5069</v>
      </c>
      <c r="L3702" t="s">
        <v>21</v>
      </c>
    </row>
    <row r="3703" spans="1:12">
      <c r="A3703" t="s">
        <v>5071</v>
      </c>
      <c r="B3703" t="s">
        <v>5032</v>
      </c>
      <c r="C3703" t="s">
        <v>80</v>
      </c>
      <c r="D3703">
        <v>1997</v>
      </c>
      <c r="E3703" t="s">
        <v>29</v>
      </c>
      <c r="F3703" t="s">
        <v>30</v>
      </c>
      <c r="G3703" t="s">
        <v>31</v>
      </c>
      <c r="H3703" t="s">
        <v>32</v>
      </c>
      <c r="I3703">
        <v>10159.58368</v>
      </c>
      <c r="J3703" t="s">
        <v>33</v>
      </c>
      <c r="K3703" t="s">
        <v>5069</v>
      </c>
      <c r="L3703" t="s">
        <v>21</v>
      </c>
    </row>
    <row r="3704" spans="1:12">
      <c r="A3704" t="s">
        <v>5072</v>
      </c>
      <c r="B3704" t="s">
        <v>5032</v>
      </c>
      <c r="C3704" t="s">
        <v>80</v>
      </c>
      <c r="D3704">
        <v>2002</v>
      </c>
      <c r="E3704" t="s">
        <v>15</v>
      </c>
      <c r="F3704" t="s">
        <v>16</v>
      </c>
      <c r="G3704" t="s">
        <v>17</v>
      </c>
      <c r="H3704" t="s">
        <v>18</v>
      </c>
      <c r="I3704">
        <v>74.67</v>
      </c>
      <c r="J3704" t="s">
        <v>19</v>
      </c>
      <c r="K3704" t="s">
        <v>5073</v>
      </c>
      <c r="L3704" t="s">
        <v>21</v>
      </c>
    </row>
    <row r="3705" spans="1:12">
      <c r="A3705" t="s">
        <v>5074</v>
      </c>
      <c r="B3705" t="s">
        <v>5032</v>
      </c>
      <c r="C3705" t="s">
        <v>80</v>
      </c>
      <c r="D3705">
        <v>2002</v>
      </c>
      <c r="E3705" t="s">
        <v>23</v>
      </c>
      <c r="F3705" t="s">
        <v>24</v>
      </c>
      <c r="G3705" t="s">
        <v>25</v>
      </c>
      <c r="H3705" t="s">
        <v>26</v>
      </c>
      <c r="I3705">
        <v>38625976</v>
      </c>
      <c r="J3705" t="s">
        <v>27</v>
      </c>
      <c r="K3705" t="s">
        <v>5073</v>
      </c>
      <c r="L3705" t="s">
        <v>21</v>
      </c>
    </row>
    <row r="3706" spans="1:12">
      <c r="A3706" t="s">
        <v>5075</v>
      </c>
      <c r="B3706" t="s">
        <v>5032</v>
      </c>
      <c r="C3706" t="s">
        <v>80</v>
      </c>
      <c r="D3706">
        <v>2002</v>
      </c>
      <c r="E3706" t="s">
        <v>29</v>
      </c>
      <c r="F3706" t="s">
        <v>30</v>
      </c>
      <c r="G3706" t="s">
        <v>31</v>
      </c>
      <c r="H3706" t="s">
        <v>32</v>
      </c>
      <c r="I3706">
        <v>12002.239079999999</v>
      </c>
      <c r="J3706" t="s">
        <v>33</v>
      </c>
      <c r="K3706" t="s">
        <v>5073</v>
      </c>
      <c r="L3706" t="s">
        <v>21</v>
      </c>
    </row>
    <row r="3707" spans="1:12">
      <c r="A3707" t="s">
        <v>5076</v>
      </c>
      <c r="B3707" t="s">
        <v>5032</v>
      </c>
      <c r="C3707" t="s">
        <v>80</v>
      </c>
      <c r="D3707">
        <v>2007</v>
      </c>
      <c r="E3707" t="s">
        <v>15</v>
      </c>
      <c r="F3707" t="s">
        <v>16</v>
      </c>
      <c r="G3707" t="s">
        <v>17</v>
      </c>
      <c r="H3707" t="s">
        <v>18</v>
      </c>
      <c r="I3707">
        <v>75.563000000000002</v>
      </c>
      <c r="J3707" t="s">
        <v>19</v>
      </c>
      <c r="K3707" t="s">
        <v>5077</v>
      </c>
      <c r="L3707" t="s">
        <v>21</v>
      </c>
    </row>
    <row r="3708" spans="1:12">
      <c r="A3708" t="s">
        <v>5078</v>
      </c>
      <c r="B3708" t="s">
        <v>5032</v>
      </c>
      <c r="C3708" t="s">
        <v>80</v>
      </c>
      <c r="D3708">
        <v>2007</v>
      </c>
      <c r="E3708" t="s">
        <v>23</v>
      </c>
      <c r="F3708" t="s">
        <v>24</v>
      </c>
      <c r="G3708" t="s">
        <v>25</v>
      </c>
      <c r="H3708" t="s">
        <v>26</v>
      </c>
      <c r="I3708">
        <v>38518241</v>
      </c>
      <c r="J3708" t="s">
        <v>27</v>
      </c>
      <c r="K3708" t="s">
        <v>5077</v>
      </c>
      <c r="L3708" t="s">
        <v>21</v>
      </c>
    </row>
    <row r="3709" spans="1:12">
      <c r="A3709" t="s">
        <v>5079</v>
      </c>
      <c r="B3709" t="s">
        <v>5032</v>
      </c>
      <c r="C3709" t="s">
        <v>80</v>
      </c>
      <c r="D3709">
        <v>2007</v>
      </c>
      <c r="E3709" t="s">
        <v>29</v>
      </c>
      <c r="F3709" t="s">
        <v>30</v>
      </c>
      <c r="G3709" t="s">
        <v>31</v>
      </c>
      <c r="H3709" t="s">
        <v>32</v>
      </c>
      <c r="I3709">
        <v>15389.92468</v>
      </c>
      <c r="J3709" t="s">
        <v>33</v>
      </c>
      <c r="K3709" t="s">
        <v>5077</v>
      </c>
      <c r="L3709" t="s">
        <v>21</v>
      </c>
    </row>
    <row r="3710" spans="1:12">
      <c r="A3710" t="s">
        <v>5080</v>
      </c>
      <c r="B3710" t="s">
        <v>5081</v>
      </c>
      <c r="C3710" t="s">
        <v>80</v>
      </c>
      <c r="D3710">
        <v>1952</v>
      </c>
      <c r="E3710" t="s">
        <v>15</v>
      </c>
      <c r="F3710" t="s">
        <v>16</v>
      </c>
      <c r="G3710" t="s">
        <v>17</v>
      </c>
      <c r="H3710" t="s">
        <v>18</v>
      </c>
      <c r="I3710">
        <v>59.82</v>
      </c>
      <c r="J3710" t="s">
        <v>19</v>
      </c>
      <c r="K3710" t="s">
        <v>5082</v>
      </c>
      <c r="L3710" t="s">
        <v>21</v>
      </c>
    </row>
    <row r="3711" spans="1:12">
      <c r="A3711" t="s">
        <v>5083</v>
      </c>
      <c r="B3711" t="s">
        <v>5081</v>
      </c>
      <c r="C3711" t="s">
        <v>80</v>
      </c>
      <c r="D3711">
        <v>1952</v>
      </c>
      <c r="E3711" t="s">
        <v>23</v>
      </c>
      <c r="F3711" t="s">
        <v>24</v>
      </c>
      <c r="G3711" t="s">
        <v>25</v>
      </c>
      <c r="H3711" t="s">
        <v>26</v>
      </c>
      <c r="I3711">
        <v>8526050</v>
      </c>
      <c r="J3711" t="s">
        <v>27</v>
      </c>
      <c r="K3711" t="s">
        <v>5082</v>
      </c>
      <c r="L3711" t="s">
        <v>21</v>
      </c>
    </row>
    <row r="3712" spans="1:12">
      <c r="A3712" t="s">
        <v>5084</v>
      </c>
      <c r="B3712" t="s">
        <v>5081</v>
      </c>
      <c r="C3712" t="s">
        <v>80</v>
      </c>
      <c r="D3712">
        <v>1952</v>
      </c>
      <c r="E3712" t="s">
        <v>29</v>
      </c>
      <c r="F3712" t="s">
        <v>30</v>
      </c>
      <c r="G3712" t="s">
        <v>31</v>
      </c>
      <c r="H3712" t="s">
        <v>32</v>
      </c>
      <c r="I3712">
        <v>3068.3198670000002</v>
      </c>
      <c r="J3712" t="s">
        <v>33</v>
      </c>
      <c r="K3712" t="s">
        <v>5082</v>
      </c>
      <c r="L3712" t="s">
        <v>21</v>
      </c>
    </row>
    <row r="3713" spans="1:12">
      <c r="A3713" t="s">
        <v>5085</v>
      </c>
      <c r="B3713" t="s">
        <v>5081</v>
      </c>
      <c r="C3713" t="s">
        <v>80</v>
      </c>
      <c r="D3713">
        <v>1957</v>
      </c>
      <c r="E3713" t="s">
        <v>15</v>
      </c>
      <c r="F3713" t="s">
        <v>16</v>
      </c>
      <c r="G3713" t="s">
        <v>17</v>
      </c>
      <c r="H3713" t="s">
        <v>18</v>
      </c>
      <c r="I3713">
        <v>61.51</v>
      </c>
      <c r="J3713" t="s">
        <v>19</v>
      </c>
      <c r="K3713" t="s">
        <v>5086</v>
      </c>
      <c r="L3713" t="s">
        <v>21</v>
      </c>
    </row>
    <row r="3714" spans="1:12">
      <c r="A3714" t="s">
        <v>5087</v>
      </c>
      <c r="B3714" t="s">
        <v>5081</v>
      </c>
      <c r="C3714" t="s">
        <v>80</v>
      </c>
      <c r="D3714">
        <v>1957</v>
      </c>
      <c r="E3714" t="s">
        <v>23</v>
      </c>
      <c r="F3714" t="s">
        <v>24</v>
      </c>
      <c r="G3714" t="s">
        <v>25</v>
      </c>
      <c r="H3714" t="s">
        <v>26</v>
      </c>
      <c r="I3714">
        <v>8817650</v>
      </c>
      <c r="J3714" t="s">
        <v>27</v>
      </c>
      <c r="K3714" t="s">
        <v>5086</v>
      </c>
      <c r="L3714" t="s">
        <v>21</v>
      </c>
    </row>
    <row r="3715" spans="1:12">
      <c r="A3715" t="s">
        <v>5088</v>
      </c>
      <c r="B3715" t="s">
        <v>5081</v>
      </c>
      <c r="C3715" t="s">
        <v>80</v>
      </c>
      <c r="D3715">
        <v>1957</v>
      </c>
      <c r="E3715" t="s">
        <v>29</v>
      </c>
      <c r="F3715" t="s">
        <v>30</v>
      </c>
      <c r="G3715" t="s">
        <v>31</v>
      </c>
      <c r="H3715" t="s">
        <v>32</v>
      </c>
      <c r="I3715">
        <v>3774.571743</v>
      </c>
      <c r="J3715" t="s">
        <v>33</v>
      </c>
      <c r="K3715" t="s">
        <v>5086</v>
      </c>
      <c r="L3715" t="s">
        <v>21</v>
      </c>
    </row>
    <row r="3716" spans="1:12">
      <c r="A3716" t="s">
        <v>5089</v>
      </c>
      <c r="B3716" t="s">
        <v>5081</v>
      </c>
      <c r="C3716" t="s">
        <v>80</v>
      </c>
      <c r="D3716">
        <v>1962</v>
      </c>
      <c r="E3716" t="s">
        <v>15</v>
      </c>
      <c r="F3716" t="s">
        <v>16</v>
      </c>
      <c r="G3716" t="s">
        <v>17</v>
      </c>
      <c r="H3716" t="s">
        <v>18</v>
      </c>
      <c r="I3716">
        <v>64.39</v>
      </c>
      <c r="J3716" t="s">
        <v>19</v>
      </c>
      <c r="K3716" t="s">
        <v>5090</v>
      </c>
      <c r="L3716" t="s">
        <v>21</v>
      </c>
    </row>
    <row r="3717" spans="1:12">
      <c r="A3717" t="s">
        <v>5091</v>
      </c>
      <c r="B3717" t="s">
        <v>5081</v>
      </c>
      <c r="C3717" t="s">
        <v>80</v>
      </c>
      <c r="D3717">
        <v>1962</v>
      </c>
      <c r="E3717" t="s">
        <v>23</v>
      </c>
      <c r="F3717" t="s">
        <v>24</v>
      </c>
      <c r="G3717" t="s">
        <v>25</v>
      </c>
      <c r="H3717" t="s">
        <v>26</v>
      </c>
      <c r="I3717">
        <v>9019800</v>
      </c>
      <c r="J3717" t="s">
        <v>27</v>
      </c>
      <c r="K3717" t="s">
        <v>5090</v>
      </c>
      <c r="L3717" t="s">
        <v>21</v>
      </c>
    </row>
    <row r="3718" spans="1:12">
      <c r="A3718" t="s">
        <v>5092</v>
      </c>
      <c r="B3718" t="s">
        <v>5081</v>
      </c>
      <c r="C3718" t="s">
        <v>80</v>
      </c>
      <c r="D3718">
        <v>1962</v>
      </c>
      <c r="E3718" t="s">
        <v>29</v>
      </c>
      <c r="F3718" t="s">
        <v>30</v>
      </c>
      <c r="G3718" t="s">
        <v>31</v>
      </c>
      <c r="H3718" t="s">
        <v>32</v>
      </c>
      <c r="I3718">
        <v>4727.9548889999996</v>
      </c>
      <c r="J3718" t="s">
        <v>33</v>
      </c>
      <c r="K3718" t="s">
        <v>5090</v>
      </c>
      <c r="L3718" t="s">
        <v>21</v>
      </c>
    </row>
    <row r="3719" spans="1:12">
      <c r="A3719" t="s">
        <v>5093</v>
      </c>
      <c r="B3719" t="s">
        <v>5081</v>
      </c>
      <c r="C3719" t="s">
        <v>80</v>
      </c>
      <c r="D3719">
        <v>1967</v>
      </c>
      <c r="E3719" t="s">
        <v>15</v>
      </c>
      <c r="F3719" t="s">
        <v>16</v>
      </c>
      <c r="G3719" t="s">
        <v>17</v>
      </c>
      <c r="H3719" t="s">
        <v>18</v>
      </c>
      <c r="I3719">
        <v>66.599999999999994</v>
      </c>
      <c r="J3719" t="s">
        <v>19</v>
      </c>
      <c r="K3719" t="s">
        <v>5094</v>
      </c>
      <c r="L3719" t="s">
        <v>21</v>
      </c>
    </row>
    <row r="3720" spans="1:12">
      <c r="A3720" t="s">
        <v>5095</v>
      </c>
      <c r="B3720" t="s">
        <v>5081</v>
      </c>
      <c r="C3720" t="s">
        <v>80</v>
      </c>
      <c r="D3720">
        <v>1967</v>
      </c>
      <c r="E3720" t="s">
        <v>23</v>
      </c>
      <c r="F3720" t="s">
        <v>24</v>
      </c>
      <c r="G3720" t="s">
        <v>25</v>
      </c>
      <c r="H3720" t="s">
        <v>26</v>
      </c>
      <c r="I3720">
        <v>9103000</v>
      </c>
      <c r="J3720" t="s">
        <v>27</v>
      </c>
      <c r="K3720" t="s">
        <v>5094</v>
      </c>
      <c r="L3720" t="s">
        <v>21</v>
      </c>
    </row>
    <row r="3721" spans="1:12">
      <c r="A3721" t="s">
        <v>5096</v>
      </c>
      <c r="B3721" t="s">
        <v>5081</v>
      </c>
      <c r="C3721" t="s">
        <v>80</v>
      </c>
      <c r="D3721">
        <v>1967</v>
      </c>
      <c r="E3721" t="s">
        <v>29</v>
      </c>
      <c r="F3721" t="s">
        <v>30</v>
      </c>
      <c r="G3721" t="s">
        <v>31</v>
      </c>
      <c r="H3721" t="s">
        <v>32</v>
      </c>
      <c r="I3721">
        <v>6361.5179930000004</v>
      </c>
      <c r="J3721" t="s">
        <v>33</v>
      </c>
      <c r="K3721" t="s">
        <v>5094</v>
      </c>
      <c r="L3721" t="s">
        <v>21</v>
      </c>
    </row>
    <row r="3722" spans="1:12">
      <c r="A3722" t="s">
        <v>5097</v>
      </c>
      <c r="B3722" t="s">
        <v>5081</v>
      </c>
      <c r="C3722" t="s">
        <v>80</v>
      </c>
      <c r="D3722">
        <v>1972</v>
      </c>
      <c r="E3722" t="s">
        <v>15</v>
      </c>
      <c r="F3722" t="s">
        <v>16</v>
      </c>
      <c r="G3722" t="s">
        <v>17</v>
      </c>
      <c r="H3722" t="s">
        <v>18</v>
      </c>
      <c r="I3722">
        <v>69.260000000000005</v>
      </c>
      <c r="J3722" t="s">
        <v>19</v>
      </c>
      <c r="K3722" t="s">
        <v>5098</v>
      </c>
      <c r="L3722" t="s">
        <v>21</v>
      </c>
    </row>
    <row r="3723" spans="1:12">
      <c r="A3723" t="s">
        <v>5099</v>
      </c>
      <c r="B3723" t="s">
        <v>5081</v>
      </c>
      <c r="C3723" t="s">
        <v>80</v>
      </c>
      <c r="D3723">
        <v>1972</v>
      </c>
      <c r="E3723" t="s">
        <v>23</v>
      </c>
      <c r="F3723" t="s">
        <v>24</v>
      </c>
      <c r="G3723" t="s">
        <v>25</v>
      </c>
      <c r="H3723" t="s">
        <v>26</v>
      </c>
      <c r="I3723">
        <v>8970450</v>
      </c>
      <c r="J3723" t="s">
        <v>27</v>
      </c>
      <c r="K3723" t="s">
        <v>5098</v>
      </c>
      <c r="L3723" t="s">
        <v>21</v>
      </c>
    </row>
    <row r="3724" spans="1:12">
      <c r="A3724" t="s">
        <v>5100</v>
      </c>
      <c r="B3724" t="s">
        <v>5081</v>
      </c>
      <c r="C3724" t="s">
        <v>80</v>
      </c>
      <c r="D3724">
        <v>1972</v>
      </c>
      <c r="E3724" t="s">
        <v>29</v>
      </c>
      <c r="F3724" t="s">
        <v>30</v>
      </c>
      <c r="G3724" t="s">
        <v>31</v>
      </c>
      <c r="H3724" t="s">
        <v>32</v>
      </c>
      <c r="I3724">
        <v>9022.2474170000005</v>
      </c>
      <c r="J3724" t="s">
        <v>33</v>
      </c>
      <c r="K3724" t="s">
        <v>5098</v>
      </c>
      <c r="L3724" t="s">
        <v>21</v>
      </c>
    </row>
    <row r="3725" spans="1:12">
      <c r="A3725" t="s">
        <v>5101</v>
      </c>
      <c r="B3725" t="s">
        <v>5081</v>
      </c>
      <c r="C3725" t="s">
        <v>80</v>
      </c>
      <c r="D3725">
        <v>1977</v>
      </c>
      <c r="E3725" t="s">
        <v>15</v>
      </c>
      <c r="F3725" t="s">
        <v>16</v>
      </c>
      <c r="G3725" t="s">
        <v>17</v>
      </c>
      <c r="H3725" t="s">
        <v>18</v>
      </c>
      <c r="I3725">
        <v>70.41</v>
      </c>
      <c r="J3725" t="s">
        <v>19</v>
      </c>
      <c r="K3725" t="s">
        <v>5102</v>
      </c>
      <c r="L3725" t="s">
        <v>21</v>
      </c>
    </row>
    <row r="3726" spans="1:12">
      <c r="A3726" t="s">
        <v>5103</v>
      </c>
      <c r="B3726" t="s">
        <v>5081</v>
      </c>
      <c r="C3726" t="s">
        <v>80</v>
      </c>
      <c r="D3726">
        <v>1977</v>
      </c>
      <c r="E3726" t="s">
        <v>23</v>
      </c>
      <c r="F3726" t="s">
        <v>24</v>
      </c>
      <c r="G3726" t="s">
        <v>25</v>
      </c>
      <c r="H3726" t="s">
        <v>26</v>
      </c>
      <c r="I3726">
        <v>9662600</v>
      </c>
      <c r="J3726" t="s">
        <v>27</v>
      </c>
      <c r="K3726" t="s">
        <v>5102</v>
      </c>
      <c r="L3726" t="s">
        <v>21</v>
      </c>
    </row>
    <row r="3727" spans="1:12">
      <c r="A3727" t="s">
        <v>5104</v>
      </c>
      <c r="B3727" t="s">
        <v>5081</v>
      </c>
      <c r="C3727" t="s">
        <v>80</v>
      </c>
      <c r="D3727">
        <v>1977</v>
      </c>
      <c r="E3727" t="s">
        <v>29</v>
      </c>
      <c r="F3727" t="s">
        <v>30</v>
      </c>
      <c r="G3727" t="s">
        <v>31</v>
      </c>
      <c r="H3727" t="s">
        <v>32</v>
      </c>
      <c r="I3727">
        <v>10172.485720000001</v>
      </c>
      <c r="J3727" t="s">
        <v>33</v>
      </c>
      <c r="K3727" t="s">
        <v>5102</v>
      </c>
      <c r="L3727" t="s">
        <v>21</v>
      </c>
    </row>
    <row r="3728" spans="1:12">
      <c r="A3728" t="s">
        <v>5105</v>
      </c>
      <c r="B3728" t="s">
        <v>5081</v>
      </c>
      <c r="C3728" t="s">
        <v>80</v>
      </c>
      <c r="D3728">
        <v>1982</v>
      </c>
      <c r="E3728" t="s">
        <v>15</v>
      </c>
      <c r="F3728" t="s">
        <v>16</v>
      </c>
      <c r="G3728" t="s">
        <v>17</v>
      </c>
      <c r="H3728" t="s">
        <v>18</v>
      </c>
      <c r="I3728">
        <v>72.77</v>
      </c>
      <c r="J3728" t="s">
        <v>19</v>
      </c>
      <c r="K3728" t="s">
        <v>5106</v>
      </c>
      <c r="L3728" t="s">
        <v>21</v>
      </c>
    </row>
    <row r="3729" spans="1:12">
      <c r="A3729" t="s">
        <v>5107</v>
      </c>
      <c r="B3729" t="s">
        <v>5081</v>
      </c>
      <c r="C3729" t="s">
        <v>80</v>
      </c>
      <c r="D3729">
        <v>1982</v>
      </c>
      <c r="E3729" t="s">
        <v>23</v>
      </c>
      <c r="F3729" t="s">
        <v>24</v>
      </c>
      <c r="G3729" t="s">
        <v>25</v>
      </c>
      <c r="H3729" t="s">
        <v>26</v>
      </c>
      <c r="I3729">
        <v>9859650</v>
      </c>
      <c r="J3729" t="s">
        <v>27</v>
      </c>
      <c r="K3729" t="s">
        <v>5106</v>
      </c>
      <c r="L3729" t="s">
        <v>21</v>
      </c>
    </row>
    <row r="3730" spans="1:12">
      <c r="A3730" t="s">
        <v>5108</v>
      </c>
      <c r="B3730" t="s">
        <v>5081</v>
      </c>
      <c r="C3730" t="s">
        <v>80</v>
      </c>
      <c r="D3730">
        <v>1982</v>
      </c>
      <c r="E3730" t="s">
        <v>29</v>
      </c>
      <c r="F3730" t="s">
        <v>30</v>
      </c>
      <c r="G3730" t="s">
        <v>31</v>
      </c>
      <c r="H3730" t="s">
        <v>32</v>
      </c>
      <c r="I3730">
        <v>11753.842909999999</v>
      </c>
      <c r="J3730" t="s">
        <v>33</v>
      </c>
      <c r="K3730" t="s">
        <v>5106</v>
      </c>
      <c r="L3730" t="s">
        <v>21</v>
      </c>
    </row>
    <row r="3731" spans="1:12">
      <c r="A3731" t="s">
        <v>5109</v>
      </c>
      <c r="B3731" t="s">
        <v>5081</v>
      </c>
      <c r="C3731" t="s">
        <v>80</v>
      </c>
      <c r="D3731">
        <v>1987</v>
      </c>
      <c r="E3731" t="s">
        <v>15</v>
      </c>
      <c r="F3731" t="s">
        <v>16</v>
      </c>
      <c r="G3731" t="s">
        <v>17</v>
      </c>
      <c r="H3731" t="s">
        <v>18</v>
      </c>
      <c r="I3731">
        <v>74.06</v>
      </c>
      <c r="J3731" t="s">
        <v>19</v>
      </c>
      <c r="K3731" t="s">
        <v>5110</v>
      </c>
      <c r="L3731" t="s">
        <v>21</v>
      </c>
    </row>
    <row r="3732" spans="1:12">
      <c r="A3732" t="s">
        <v>5111</v>
      </c>
      <c r="B3732" t="s">
        <v>5081</v>
      </c>
      <c r="C3732" t="s">
        <v>80</v>
      </c>
      <c r="D3732">
        <v>1987</v>
      </c>
      <c r="E3732" t="s">
        <v>23</v>
      </c>
      <c r="F3732" t="s">
        <v>24</v>
      </c>
      <c r="G3732" t="s">
        <v>25</v>
      </c>
      <c r="H3732" t="s">
        <v>26</v>
      </c>
      <c r="I3732">
        <v>9915289</v>
      </c>
      <c r="J3732" t="s">
        <v>27</v>
      </c>
      <c r="K3732" t="s">
        <v>5110</v>
      </c>
      <c r="L3732" t="s">
        <v>21</v>
      </c>
    </row>
    <row r="3733" spans="1:12">
      <c r="A3733" t="s">
        <v>5112</v>
      </c>
      <c r="B3733" t="s">
        <v>5081</v>
      </c>
      <c r="C3733" t="s">
        <v>80</v>
      </c>
      <c r="D3733">
        <v>1987</v>
      </c>
      <c r="E3733" t="s">
        <v>29</v>
      </c>
      <c r="F3733" t="s">
        <v>30</v>
      </c>
      <c r="G3733" t="s">
        <v>31</v>
      </c>
      <c r="H3733" t="s">
        <v>32</v>
      </c>
      <c r="I3733">
        <v>13039.30876</v>
      </c>
      <c r="J3733" t="s">
        <v>33</v>
      </c>
      <c r="K3733" t="s">
        <v>5110</v>
      </c>
      <c r="L3733" t="s">
        <v>21</v>
      </c>
    </row>
    <row r="3734" spans="1:12">
      <c r="A3734" t="s">
        <v>5113</v>
      </c>
      <c r="B3734" t="s">
        <v>5081</v>
      </c>
      <c r="C3734" t="s">
        <v>80</v>
      </c>
      <c r="D3734">
        <v>1992</v>
      </c>
      <c r="E3734" t="s">
        <v>15</v>
      </c>
      <c r="F3734" t="s">
        <v>16</v>
      </c>
      <c r="G3734" t="s">
        <v>17</v>
      </c>
      <c r="H3734" t="s">
        <v>18</v>
      </c>
      <c r="I3734">
        <v>74.86</v>
      </c>
      <c r="J3734" t="s">
        <v>19</v>
      </c>
      <c r="K3734" t="s">
        <v>5114</v>
      </c>
      <c r="L3734" t="s">
        <v>21</v>
      </c>
    </row>
    <row r="3735" spans="1:12">
      <c r="A3735" t="s">
        <v>5115</v>
      </c>
      <c r="B3735" t="s">
        <v>5081</v>
      </c>
      <c r="C3735" t="s">
        <v>80</v>
      </c>
      <c r="D3735">
        <v>1992</v>
      </c>
      <c r="E3735" t="s">
        <v>23</v>
      </c>
      <c r="F3735" t="s">
        <v>24</v>
      </c>
      <c r="G3735" t="s">
        <v>25</v>
      </c>
      <c r="H3735" t="s">
        <v>26</v>
      </c>
      <c r="I3735">
        <v>9927680</v>
      </c>
      <c r="J3735" t="s">
        <v>27</v>
      </c>
      <c r="K3735" t="s">
        <v>5114</v>
      </c>
      <c r="L3735" t="s">
        <v>21</v>
      </c>
    </row>
    <row r="3736" spans="1:12">
      <c r="A3736" t="s">
        <v>5116</v>
      </c>
      <c r="B3736" t="s">
        <v>5081</v>
      </c>
      <c r="C3736" t="s">
        <v>80</v>
      </c>
      <c r="D3736">
        <v>1992</v>
      </c>
      <c r="E3736" t="s">
        <v>29</v>
      </c>
      <c r="F3736" t="s">
        <v>30</v>
      </c>
      <c r="G3736" t="s">
        <v>31</v>
      </c>
      <c r="H3736" t="s">
        <v>32</v>
      </c>
      <c r="I3736">
        <v>16207.26663</v>
      </c>
      <c r="J3736" t="s">
        <v>33</v>
      </c>
      <c r="K3736" t="s">
        <v>5114</v>
      </c>
      <c r="L3736" t="s">
        <v>21</v>
      </c>
    </row>
    <row r="3737" spans="1:12">
      <c r="A3737" t="s">
        <v>5117</v>
      </c>
      <c r="B3737" t="s">
        <v>5081</v>
      </c>
      <c r="C3737" t="s">
        <v>80</v>
      </c>
      <c r="D3737">
        <v>1997</v>
      </c>
      <c r="E3737" t="s">
        <v>15</v>
      </c>
      <c r="F3737" t="s">
        <v>16</v>
      </c>
      <c r="G3737" t="s">
        <v>17</v>
      </c>
      <c r="H3737" t="s">
        <v>18</v>
      </c>
      <c r="I3737">
        <v>75.97</v>
      </c>
      <c r="J3737" t="s">
        <v>19</v>
      </c>
      <c r="K3737" t="s">
        <v>5118</v>
      </c>
      <c r="L3737" t="s">
        <v>21</v>
      </c>
    </row>
    <row r="3738" spans="1:12">
      <c r="A3738" t="s">
        <v>5119</v>
      </c>
      <c r="B3738" t="s">
        <v>5081</v>
      </c>
      <c r="C3738" t="s">
        <v>80</v>
      </c>
      <c r="D3738">
        <v>1997</v>
      </c>
      <c r="E3738" t="s">
        <v>23</v>
      </c>
      <c r="F3738" t="s">
        <v>24</v>
      </c>
      <c r="G3738" t="s">
        <v>25</v>
      </c>
      <c r="H3738" t="s">
        <v>26</v>
      </c>
      <c r="I3738">
        <v>10156415</v>
      </c>
      <c r="J3738" t="s">
        <v>27</v>
      </c>
      <c r="K3738" t="s">
        <v>5118</v>
      </c>
      <c r="L3738" t="s">
        <v>21</v>
      </c>
    </row>
    <row r="3739" spans="1:12">
      <c r="A3739" t="s">
        <v>5120</v>
      </c>
      <c r="B3739" t="s">
        <v>5081</v>
      </c>
      <c r="C3739" t="s">
        <v>80</v>
      </c>
      <c r="D3739">
        <v>1997</v>
      </c>
      <c r="E3739" t="s">
        <v>29</v>
      </c>
      <c r="F3739" t="s">
        <v>30</v>
      </c>
      <c r="G3739" t="s">
        <v>31</v>
      </c>
      <c r="H3739" t="s">
        <v>32</v>
      </c>
      <c r="I3739">
        <v>17641.031559999999</v>
      </c>
      <c r="J3739" t="s">
        <v>33</v>
      </c>
      <c r="K3739" t="s">
        <v>5118</v>
      </c>
      <c r="L3739" t="s">
        <v>21</v>
      </c>
    </row>
    <row r="3740" spans="1:12">
      <c r="A3740" t="s">
        <v>5121</v>
      </c>
      <c r="B3740" t="s">
        <v>5081</v>
      </c>
      <c r="C3740" t="s">
        <v>80</v>
      </c>
      <c r="D3740">
        <v>2002</v>
      </c>
      <c r="E3740" t="s">
        <v>15</v>
      </c>
      <c r="F3740" t="s">
        <v>16</v>
      </c>
      <c r="G3740" t="s">
        <v>17</v>
      </c>
      <c r="H3740" t="s">
        <v>18</v>
      </c>
      <c r="I3740">
        <v>77.290000000000006</v>
      </c>
      <c r="J3740" t="s">
        <v>19</v>
      </c>
      <c r="K3740" t="s">
        <v>5122</v>
      </c>
      <c r="L3740" t="s">
        <v>21</v>
      </c>
    </row>
    <row r="3741" spans="1:12">
      <c r="A3741" t="s">
        <v>5123</v>
      </c>
      <c r="B3741" t="s">
        <v>5081</v>
      </c>
      <c r="C3741" t="s">
        <v>80</v>
      </c>
      <c r="D3741">
        <v>2002</v>
      </c>
      <c r="E3741" t="s">
        <v>23</v>
      </c>
      <c r="F3741" t="s">
        <v>24</v>
      </c>
      <c r="G3741" t="s">
        <v>25</v>
      </c>
      <c r="H3741" t="s">
        <v>26</v>
      </c>
      <c r="I3741">
        <v>10433867</v>
      </c>
      <c r="J3741" t="s">
        <v>27</v>
      </c>
      <c r="K3741" t="s">
        <v>5122</v>
      </c>
      <c r="L3741" t="s">
        <v>21</v>
      </c>
    </row>
    <row r="3742" spans="1:12">
      <c r="A3742" t="s">
        <v>5124</v>
      </c>
      <c r="B3742" t="s">
        <v>5081</v>
      </c>
      <c r="C3742" t="s">
        <v>80</v>
      </c>
      <c r="D3742">
        <v>2002</v>
      </c>
      <c r="E3742" t="s">
        <v>29</v>
      </c>
      <c r="F3742" t="s">
        <v>30</v>
      </c>
      <c r="G3742" t="s">
        <v>31</v>
      </c>
      <c r="H3742" t="s">
        <v>32</v>
      </c>
      <c r="I3742">
        <v>19970.907869999999</v>
      </c>
      <c r="J3742" t="s">
        <v>33</v>
      </c>
      <c r="K3742" t="s">
        <v>5122</v>
      </c>
      <c r="L3742" t="s">
        <v>21</v>
      </c>
    </row>
    <row r="3743" spans="1:12">
      <c r="A3743" t="s">
        <v>5125</v>
      </c>
      <c r="B3743" t="s">
        <v>5081</v>
      </c>
      <c r="C3743" t="s">
        <v>80</v>
      </c>
      <c r="D3743">
        <v>2007</v>
      </c>
      <c r="E3743" t="s">
        <v>15</v>
      </c>
      <c r="F3743" t="s">
        <v>16</v>
      </c>
      <c r="G3743" t="s">
        <v>17</v>
      </c>
      <c r="H3743" t="s">
        <v>18</v>
      </c>
      <c r="I3743">
        <v>78.097999999999999</v>
      </c>
      <c r="J3743" t="s">
        <v>19</v>
      </c>
      <c r="K3743" t="s">
        <v>5126</v>
      </c>
      <c r="L3743" t="s">
        <v>21</v>
      </c>
    </row>
    <row r="3744" spans="1:12">
      <c r="A3744" t="s">
        <v>5127</v>
      </c>
      <c r="B3744" t="s">
        <v>5081</v>
      </c>
      <c r="C3744" t="s">
        <v>80</v>
      </c>
      <c r="D3744">
        <v>2007</v>
      </c>
      <c r="E3744" t="s">
        <v>23</v>
      </c>
      <c r="F3744" t="s">
        <v>24</v>
      </c>
      <c r="G3744" t="s">
        <v>25</v>
      </c>
      <c r="H3744" t="s">
        <v>26</v>
      </c>
      <c r="I3744">
        <v>10642836</v>
      </c>
      <c r="J3744" t="s">
        <v>27</v>
      </c>
      <c r="K3744" t="s">
        <v>5126</v>
      </c>
      <c r="L3744" t="s">
        <v>21</v>
      </c>
    </row>
    <row r="3745" spans="1:12">
      <c r="A3745" t="s">
        <v>5128</v>
      </c>
      <c r="B3745" t="s">
        <v>5081</v>
      </c>
      <c r="C3745" t="s">
        <v>80</v>
      </c>
      <c r="D3745">
        <v>2007</v>
      </c>
      <c r="E3745" t="s">
        <v>29</v>
      </c>
      <c r="F3745" t="s">
        <v>30</v>
      </c>
      <c r="G3745" t="s">
        <v>31</v>
      </c>
      <c r="H3745" t="s">
        <v>32</v>
      </c>
      <c r="I3745">
        <v>20509.64777</v>
      </c>
      <c r="J3745" t="s">
        <v>33</v>
      </c>
      <c r="K3745" t="s">
        <v>5126</v>
      </c>
      <c r="L3745" t="s">
        <v>21</v>
      </c>
    </row>
    <row r="3746" spans="1:12">
      <c r="A3746" t="s">
        <v>5129</v>
      </c>
      <c r="B3746" t="s">
        <v>5130</v>
      </c>
      <c r="C3746" t="s">
        <v>229</v>
      </c>
      <c r="D3746">
        <v>1952</v>
      </c>
      <c r="E3746" t="s">
        <v>15</v>
      </c>
      <c r="F3746" t="s">
        <v>16</v>
      </c>
      <c r="G3746" t="s">
        <v>17</v>
      </c>
      <c r="H3746" t="s">
        <v>18</v>
      </c>
      <c r="I3746">
        <v>64.28</v>
      </c>
      <c r="J3746" t="s">
        <v>19</v>
      </c>
      <c r="K3746" t="s">
        <v>5131</v>
      </c>
      <c r="L3746" t="s">
        <v>21</v>
      </c>
    </row>
    <row r="3747" spans="1:12">
      <c r="A3747" t="s">
        <v>5132</v>
      </c>
      <c r="B3747" t="s">
        <v>5130</v>
      </c>
      <c r="C3747" t="s">
        <v>229</v>
      </c>
      <c r="D3747">
        <v>1952</v>
      </c>
      <c r="E3747" t="s">
        <v>23</v>
      </c>
      <c r="F3747" t="s">
        <v>24</v>
      </c>
      <c r="G3747" t="s">
        <v>25</v>
      </c>
      <c r="H3747" t="s">
        <v>26</v>
      </c>
      <c r="I3747">
        <v>2227000</v>
      </c>
      <c r="J3747" t="s">
        <v>27</v>
      </c>
      <c r="K3747" t="s">
        <v>5131</v>
      </c>
      <c r="L3747" t="s">
        <v>21</v>
      </c>
    </row>
    <row r="3748" spans="1:12">
      <c r="A3748" t="s">
        <v>5133</v>
      </c>
      <c r="B3748" t="s">
        <v>5130</v>
      </c>
      <c r="C3748" t="s">
        <v>229</v>
      </c>
      <c r="D3748">
        <v>1952</v>
      </c>
      <c r="E3748" t="s">
        <v>29</v>
      </c>
      <c r="F3748" t="s">
        <v>30</v>
      </c>
      <c r="G3748" t="s">
        <v>31</v>
      </c>
      <c r="H3748" t="s">
        <v>32</v>
      </c>
      <c r="I3748">
        <v>3081.959785</v>
      </c>
      <c r="J3748" t="s">
        <v>33</v>
      </c>
      <c r="K3748" t="s">
        <v>5131</v>
      </c>
      <c r="L3748" t="s">
        <v>21</v>
      </c>
    </row>
    <row r="3749" spans="1:12">
      <c r="A3749" t="s">
        <v>5134</v>
      </c>
      <c r="B3749" t="s">
        <v>5130</v>
      </c>
      <c r="C3749" t="s">
        <v>229</v>
      </c>
      <c r="D3749">
        <v>1957</v>
      </c>
      <c r="E3749" t="s">
        <v>15</v>
      </c>
      <c r="F3749" t="s">
        <v>16</v>
      </c>
      <c r="G3749" t="s">
        <v>17</v>
      </c>
      <c r="H3749" t="s">
        <v>18</v>
      </c>
      <c r="I3749">
        <v>68.540000000000006</v>
      </c>
      <c r="J3749" t="s">
        <v>19</v>
      </c>
      <c r="K3749" t="s">
        <v>5135</v>
      </c>
      <c r="L3749" t="s">
        <v>21</v>
      </c>
    </row>
    <row r="3750" spans="1:12">
      <c r="A3750" t="s">
        <v>5136</v>
      </c>
      <c r="B3750" t="s">
        <v>5130</v>
      </c>
      <c r="C3750" t="s">
        <v>229</v>
      </c>
      <c r="D3750">
        <v>1957</v>
      </c>
      <c r="E3750" t="s">
        <v>23</v>
      </c>
      <c r="F3750" t="s">
        <v>24</v>
      </c>
      <c r="G3750" t="s">
        <v>25</v>
      </c>
      <c r="H3750" t="s">
        <v>26</v>
      </c>
      <c r="I3750">
        <v>2260000</v>
      </c>
      <c r="J3750" t="s">
        <v>27</v>
      </c>
      <c r="K3750" t="s">
        <v>5135</v>
      </c>
      <c r="L3750" t="s">
        <v>21</v>
      </c>
    </row>
    <row r="3751" spans="1:12">
      <c r="A3751" t="s">
        <v>5137</v>
      </c>
      <c r="B3751" t="s">
        <v>5130</v>
      </c>
      <c r="C3751" t="s">
        <v>229</v>
      </c>
      <c r="D3751">
        <v>1957</v>
      </c>
      <c r="E3751" t="s">
        <v>29</v>
      </c>
      <c r="F3751" t="s">
        <v>30</v>
      </c>
      <c r="G3751" t="s">
        <v>31</v>
      </c>
      <c r="H3751" t="s">
        <v>32</v>
      </c>
      <c r="I3751">
        <v>3907.1561889999998</v>
      </c>
      <c r="J3751" t="s">
        <v>33</v>
      </c>
      <c r="K3751" t="s">
        <v>5135</v>
      </c>
      <c r="L3751" t="s">
        <v>21</v>
      </c>
    </row>
    <row r="3752" spans="1:12">
      <c r="A3752" t="s">
        <v>5138</v>
      </c>
      <c r="B3752" t="s">
        <v>5130</v>
      </c>
      <c r="C3752" t="s">
        <v>229</v>
      </c>
      <c r="D3752">
        <v>1962</v>
      </c>
      <c r="E3752" t="s">
        <v>15</v>
      </c>
      <c r="F3752" t="s">
        <v>16</v>
      </c>
      <c r="G3752" t="s">
        <v>17</v>
      </c>
      <c r="H3752" t="s">
        <v>18</v>
      </c>
      <c r="I3752">
        <v>69.62</v>
      </c>
      <c r="J3752" t="s">
        <v>19</v>
      </c>
      <c r="K3752" t="s">
        <v>5139</v>
      </c>
      <c r="L3752" t="s">
        <v>21</v>
      </c>
    </row>
    <row r="3753" spans="1:12">
      <c r="A3753" t="s">
        <v>5140</v>
      </c>
      <c r="B3753" t="s">
        <v>5130</v>
      </c>
      <c r="C3753" t="s">
        <v>229</v>
      </c>
      <c r="D3753">
        <v>1962</v>
      </c>
      <c r="E3753" t="s">
        <v>23</v>
      </c>
      <c r="F3753" t="s">
        <v>24</v>
      </c>
      <c r="G3753" t="s">
        <v>25</v>
      </c>
      <c r="H3753" t="s">
        <v>26</v>
      </c>
      <c r="I3753">
        <v>2448046</v>
      </c>
      <c r="J3753" t="s">
        <v>27</v>
      </c>
      <c r="K3753" t="s">
        <v>5139</v>
      </c>
      <c r="L3753" t="s">
        <v>21</v>
      </c>
    </row>
    <row r="3754" spans="1:12">
      <c r="A3754" t="s">
        <v>5141</v>
      </c>
      <c r="B3754" t="s">
        <v>5130</v>
      </c>
      <c r="C3754" t="s">
        <v>229</v>
      </c>
      <c r="D3754">
        <v>1962</v>
      </c>
      <c r="E3754" t="s">
        <v>29</v>
      </c>
      <c r="F3754" t="s">
        <v>30</v>
      </c>
      <c r="G3754" t="s">
        <v>31</v>
      </c>
      <c r="H3754" t="s">
        <v>32</v>
      </c>
      <c r="I3754">
        <v>5108.3446299999996</v>
      </c>
      <c r="J3754" t="s">
        <v>33</v>
      </c>
      <c r="K3754" t="s">
        <v>5139</v>
      </c>
      <c r="L3754" t="s">
        <v>21</v>
      </c>
    </row>
    <row r="3755" spans="1:12">
      <c r="A3755" t="s">
        <v>5142</v>
      </c>
      <c r="B3755" t="s">
        <v>5130</v>
      </c>
      <c r="C3755" t="s">
        <v>229</v>
      </c>
      <c r="D3755">
        <v>1967</v>
      </c>
      <c r="E3755" t="s">
        <v>15</v>
      </c>
      <c r="F3755" t="s">
        <v>16</v>
      </c>
      <c r="G3755" t="s">
        <v>17</v>
      </c>
      <c r="H3755" t="s">
        <v>18</v>
      </c>
      <c r="I3755">
        <v>71.099999999999994</v>
      </c>
      <c r="J3755" t="s">
        <v>19</v>
      </c>
      <c r="K3755" t="s">
        <v>5143</v>
      </c>
      <c r="L3755" t="s">
        <v>21</v>
      </c>
    </row>
    <row r="3756" spans="1:12">
      <c r="A3756" t="s">
        <v>5144</v>
      </c>
      <c r="B3756" t="s">
        <v>5130</v>
      </c>
      <c r="C3756" t="s">
        <v>229</v>
      </c>
      <c r="D3756">
        <v>1967</v>
      </c>
      <c r="E3756" t="s">
        <v>23</v>
      </c>
      <c r="F3756" t="s">
        <v>24</v>
      </c>
      <c r="G3756" t="s">
        <v>25</v>
      </c>
      <c r="H3756" t="s">
        <v>26</v>
      </c>
      <c r="I3756">
        <v>2648961</v>
      </c>
      <c r="J3756" t="s">
        <v>27</v>
      </c>
      <c r="K3756" t="s">
        <v>5143</v>
      </c>
      <c r="L3756" t="s">
        <v>21</v>
      </c>
    </row>
    <row r="3757" spans="1:12">
      <c r="A3757" t="s">
        <v>5145</v>
      </c>
      <c r="B3757" t="s">
        <v>5130</v>
      </c>
      <c r="C3757" t="s">
        <v>229</v>
      </c>
      <c r="D3757">
        <v>1967</v>
      </c>
      <c r="E3757" t="s">
        <v>29</v>
      </c>
      <c r="F3757" t="s">
        <v>30</v>
      </c>
      <c r="G3757" t="s">
        <v>31</v>
      </c>
      <c r="H3757" t="s">
        <v>32</v>
      </c>
      <c r="I3757">
        <v>6929.2777139999998</v>
      </c>
      <c r="J3757" t="s">
        <v>33</v>
      </c>
      <c r="K3757" t="s">
        <v>5143</v>
      </c>
      <c r="L3757" t="s">
        <v>21</v>
      </c>
    </row>
    <row r="3758" spans="1:12">
      <c r="A3758" t="s">
        <v>5146</v>
      </c>
      <c r="B3758" t="s">
        <v>5130</v>
      </c>
      <c r="C3758" t="s">
        <v>229</v>
      </c>
      <c r="D3758">
        <v>1972</v>
      </c>
      <c r="E3758" t="s">
        <v>15</v>
      </c>
      <c r="F3758" t="s">
        <v>16</v>
      </c>
      <c r="G3758" t="s">
        <v>17</v>
      </c>
      <c r="H3758" t="s">
        <v>18</v>
      </c>
      <c r="I3758">
        <v>72.16</v>
      </c>
      <c r="J3758" t="s">
        <v>19</v>
      </c>
      <c r="K3758" t="s">
        <v>5147</v>
      </c>
      <c r="L3758" t="s">
        <v>21</v>
      </c>
    </row>
    <row r="3759" spans="1:12">
      <c r="A3759" t="s">
        <v>5148</v>
      </c>
      <c r="B3759" t="s">
        <v>5130</v>
      </c>
      <c r="C3759" t="s">
        <v>229</v>
      </c>
      <c r="D3759">
        <v>1972</v>
      </c>
      <c r="E3759" t="s">
        <v>23</v>
      </c>
      <c r="F3759" t="s">
        <v>24</v>
      </c>
      <c r="G3759" t="s">
        <v>25</v>
      </c>
      <c r="H3759" t="s">
        <v>26</v>
      </c>
      <c r="I3759">
        <v>2847132</v>
      </c>
      <c r="J3759" t="s">
        <v>27</v>
      </c>
      <c r="K3759" t="s">
        <v>5147</v>
      </c>
      <c r="L3759" t="s">
        <v>21</v>
      </c>
    </row>
    <row r="3760" spans="1:12">
      <c r="A3760" t="s">
        <v>5149</v>
      </c>
      <c r="B3760" t="s">
        <v>5130</v>
      </c>
      <c r="C3760" t="s">
        <v>229</v>
      </c>
      <c r="D3760">
        <v>1972</v>
      </c>
      <c r="E3760" t="s">
        <v>29</v>
      </c>
      <c r="F3760" t="s">
        <v>30</v>
      </c>
      <c r="G3760" t="s">
        <v>31</v>
      </c>
      <c r="H3760" t="s">
        <v>32</v>
      </c>
      <c r="I3760">
        <v>9123.0417419999994</v>
      </c>
      <c r="J3760" t="s">
        <v>33</v>
      </c>
      <c r="K3760" t="s">
        <v>5147</v>
      </c>
      <c r="L3760" t="s">
        <v>21</v>
      </c>
    </row>
    <row r="3761" spans="1:12">
      <c r="A3761" t="s">
        <v>5150</v>
      </c>
      <c r="B3761" t="s">
        <v>5130</v>
      </c>
      <c r="C3761" t="s">
        <v>229</v>
      </c>
      <c r="D3761">
        <v>1977</v>
      </c>
      <c r="E3761" t="s">
        <v>15</v>
      </c>
      <c r="F3761" t="s">
        <v>16</v>
      </c>
      <c r="G3761" t="s">
        <v>17</v>
      </c>
      <c r="H3761" t="s">
        <v>18</v>
      </c>
      <c r="I3761">
        <v>73.44</v>
      </c>
      <c r="J3761" t="s">
        <v>19</v>
      </c>
      <c r="K3761" t="s">
        <v>5151</v>
      </c>
      <c r="L3761" t="s">
        <v>21</v>
      </c>
    </row>
    <row r="3762" spans="1:12">
      <c r="A3762" t="s">
        <v>5152</v>
      </c>
      <c r="B3762" t="s">
        <v>5130</v>
      </c>
      <c r="C3762" t="s">
        <v>229</v>
      </c>
      <c r="D3762">
        <v>1977</v>
      </c>
      <c r="E3762" t="s">
        <v>23</v>
      </c>
      <c r="F3762" t="s">
        <v>24</v>
      </c>
      <c r="G3762" t="s">
        <v>25</v>
      </c>
      <c r="H3762" t="s">
        <v>26</v>
      </c>
      <c r="I3762">
        <v>3080828</v>
      </c>
      <c r="J3762" t="s">
        <v>27</v>
      </c>
      <c r="K3762" t="s">
        <v>5151</v>
      </c>
      <c r="L3762" t="s">
        <v>21</v>
      </c>
    </row>
    <row r="3763" spans="1:12">
      <c r="A3763" t="s">
        <v>5153</v>
      </c>
      <c r="B3763" t="s">
        <v>5130</v>
      </c>
      <c r="C3763" t="s">
        <v>229</v>
      </c>
      <c r="D3763">
        <v>1977</v>
      </c>
      <c r="E3763" t="s">
        <v>29</v>
      </c>
      <c r="F3763" t="s">
        <v>30</v>
      </c>
      <c r="G3763" t="s">
        <v>31</v>
      </c>
      <c r="H3763" t="s">
        <v>32</v>
      </c>
      <c r="I3763">
        <v>9770.5249210000002</v>
      </c>
      <c r="J3763" t="s">
        <v>33</v>
      </c>
      <c r="K3763" t="s">
        <v>5151</v>
      </c>
      <c r="L3763" t="s">
        <v>21</v>
      </c>
    </row>
    <row r="3764" spans="1:12">
      <c r="A3764" t="s">
        <v>5154</v>
      </c>
      <c r="B3764" t="s">
        <v>5130</v>
      </c>
      <c r="C3764" t="s">
        <v>229</v>
      </c>
      <c r="D3764">
        <v>1982</v>
      </c>
      <c r="E3764" t="s">
        <v>15</v>
      </c>
      <c r="F3764" t="s">
        <v>16</v>
      </c>
      <c r="G3764" t="s">
        <v>17</v>
      </c>
      <c r="H3764" t="s">
        <v>18</v>
      </c>
      <c r="I3764">
        <v>73.75</v>
      </c>
      <c r="J3764" t="s">
        <v>19</v>
      </c>
      <c r="K3764" t="s">
        <v>5155</v>
      </c>
      <c r="L3764" t="s">
        <v>21</v>
      </c>
    </row>
    <row r="3765" spans="1:12">
      <c r="A3765" t="s">
        <v>5156</v>
      </c>
      <c r="B3765" t="s">
        <v>5130</v>
      </c>
      <c r="C3765" t="s">
        <v>229</v>
      </c>
      <c r="D3765">
        <v>1982</v>
      </c>
      <c r="E3765" t="s">
        <v>23</v>
      </c>
      <c r="F3765" t="s">
        <v>24</v>
      </c>
      <c r="G3765" t="s">
        <v>25</v>
      </c>
      <c r="H3765" t="s">
        <v>26</v>
      </c>
      <c r="I3765">
        <v>3279001</v>
      </c>
      <c r="J3765" t="s">
        <v>27</v>
      </c>
      <c r="K3765" t="s">
        <v>5155</v>
      </c>
      <c r="L3765" t="s">
        <v>21</v>
      </c>
    </row>
    <row r="3766" spans="1:12">
      <c r="A3766" t="s">
        <v>5157</v>
      </c>
      <c r="B3766" t="s">
        <v>5130</v>
      </c>
      <c r="C3766" t="s">
        <v>229</v>
      </c>
      <c r="D3766">
        <v>1982</v>
      </c>
      <c r="E3766" t="s">
        <v>29</v>
      </c>
      <c r="F3766" t="s">
        <v>30</v>
      </c>
      <c r="G3766" t="s">
        <v>31</v>
      </c>
      <c r="H3766" t="s">
        <v>32</v>
      </c>
      <c r="I3766">
        <v>10330.989149999999</v>
      </c>
      <c r="J3766" t="s">
        <v>33</v>
      </c>
      <c r="K3766" t="s">
        <v>5155</v>
      </c>
      <c r="L3766" t="s">
        <v>21</v>
      </c>
    </row>
    <row r="3767" spans="1:12">
      <c r="A3767" t="s">
        <v>5158</v>
      </c>
      <c r="B3767" t="s">
        <v>5130</v>
      </c>
      <c r="C3767" t="s">
        <v>229</v>
      </c>
      <c r="D3767">
        <v>1987</v>
      </c>
      <c r="E3767" t="s">
        <v>15</v>
      </c>
      <c r="F3767" t="s">
        <v>16</v>
      </c>
      <c r="G3767" t="s">
        <v>17</v>
      </c>
      <c r="H3767" t="s">
        <v>18</v>
      </c>
      <c r="I3767">
        <v>74.63</v>
      </c>
      <c r="J3767" t="s">
        <v>19</v>
      </c>
      <c r="K3767" t="s">
        <v>5159</v>
      </c>
      <c r="L3767" t="s">
        <v>21</v>
      </c>
    </row>
    <row r="3768" spans="1:12">
      <c r="A3768" t="s">
        <v>5160</v>
      </c>
      <c r="B3768" t="s">
        <v>5130</v>
      </c>
      <c r="C3768" t="s">
        <v>229</v>
      </c>
      <c r="D3768">
        <v>1987</v>
      </c>
      <c r="E3768" t="s">
        <v>23</v>
      </c>
      <c r="F3768" t="s">
        <v>24</v>
      </c>
      <c r="G3768" t="s">
        <v>25</v>
      </c>
      <c r="H3768" t="s">
        <v>26</v>
      </c>
      <c r="I3768">
        <v>3444468</v>
      </c>
      <c r="J3768" t="s">
        <v>27</v>
      </c>
      <c r="K3768" t="s">
        <v>5159</v>
      </c>
      <c r="L3768" t="s">
        <v>21</v>
      </c>
    </row>
    <row r="3769" spans="1:12">
      <c r="A3769" t="s">
        <v>5161</v>
      </c>
      <c r="B3769" t="s">
        <v>5130</v>
      </c>
      <c r="C3769" t="s">
        <v>229</v>
      </c>
      <c r="D3769">
        <v>1987</v>
      </c>
      <c r="E3769" t="s">
        <v>29</v>
      </c>
      <c r="F3769" t="s">
        <v>30</v>
      </c>
      <c r="G3769" t="s">
        <v>31</v>
      </c>
      <c r="H3769" t="s">
        <v>32</v>
      </c>
      <c r="I3769">
        <v>12281.341909999999</v>
      </c>
      <c r="J3769" t="s">
        <v>33</v>
      </c>
      <c r="K3769" t="s">
        <v>5159</v>
      </c>
      <c r="L3769" t="s">
        <v>21</v>
      </c>
    </row>
    <row r="3770" spans="1:12">
      <c r="A3770" t="s">
        <v>5162</v>
      </c>
      <c r="B3770" t="s">
        <v>5130</v>
      </c>
      <c r="C3770" t="s">
        <v>229</v>
      </c>
      <c r="D3770">
        <v>1992</v>
      </c>
      <c r="E3770" t="s">
        <v>15</v>
      </c>
      <c r="F3770" t="s">
        <v>16</v>
      </c>
      <c r="G3770" t="s">
        <v>17</v>
      </c>
      <c r="H3770" t="s">
        <v>18</v>
      </c>
      <c r="I3770">
        <v>73.911000000000001</v>
      </c>
      <c r="J3770" t="s">
        <v>19</v>
      </c>
      <c r="K3770" t="s">
        <v>5163</v>
      </c>
      <c r="L3770" t="s">
        <v>21</v>
      </c>
    </row>
    <row r="3771" spans="1:12">
      <c r="A3771" t="s">
        <v>5164</v>
      </c>
      <c r="B3771" t="s">
        <v>5130</v>
      </c>
      <c r="C3771" t="s">
        <v>229</v>
      </c>
      <c r="D3771">
        <v>1992</v>
      </c>
      <c r="E3771" t="s">
        <v>23</v>
      </c>
      <c r="F3771" t="s">
        <v>24</v>
      </c>
      <c r="G3771" t="s">
        <v>25</v>
      </c>
      <c r="H3771" t="s">
        <v>26</v>
      </c>
      <c r="I3771">
        <v>3585176</v>
      </c>
      <c r="J3771" t="s">
        <v>27</v>
      </c>
      <c r="K3771" t="s">
        <v>5163</v>
      </c>
      <c r="L3771" t="s">
        <v>21</v>
      </c>
    </row>
    <row r="3772" spans="1:12">
      <c r="A3772" t="s">
        <v>5165</v>
      </c>
      <c r="B3772" t="s">
        <v>5130</v>
      </c>
      <c r="C3772" t="s">
        <v>229</v>
      </c>
      <c r="D3772">
        <v>1992</v>
      </c>
      <c r="E3772" t="s">
        <v>29</v>
      </c>
      <c r="F3772" t="s">
        <v>30</v>
      </c>
      <c r="G3772" t="s">
        <v>31</v>
      </c>
      <c r="H3772" t="s">
        <v>32</v>
      </c>
      <c r="I3772">
        <v>14641.58711</v>
      </c>
      <c r="J3772" t="s">
        <v>33</v>
      </c>
      <c r="K3772" t="s">
        <v>5163</v>
      </c>
      <c r="L3772" t="s">
        <v>21</v>
      </c>
    </row>
    <row r="3773" spans="1:12">
      <c r="A3773" t="s">
        <v>5166</v>
      </c>
      <c r="B3773" t="s">
        <v>5130</v>
      </c>
      <c r="C3773" t="s">
        <v>229</v>
      </c>
      <c r="D3773">
        <v>1997</v>
      </c>
      <c r="E3773" t="s">
        <v>15</v>
      </c>
      <c r="F3773" t="s">
        <v>16</v>
      </c>
      <c r="G3773" t="s">
        <v>17</v>
      </c>
      <c r="H3773" t="s">
        <v>18</v>
      </c>
      <c r="I3773">
        <v>74.917000000000002</v>
      </c>
      <c r="J3773" t="s">
        <v>19</v>
      </c>
      <c r="K3773" t="s">
        <v>5167</v>
      </c>
      <c r="L3773" t="s">
        <v>21</v>
      </c>
    </row>
    <row r="3774" spans="1:12">
      <c r="A3774" t="s">
        <v>5168</v>
      </c>
      <c r="B3774" t="s">
        <v>5130</v>
      </c>
      <c r="C3774" t="s">
        <v>229</v>
      </c>
      <c r="D3774">
        <v>1997</v>
      </c>
      <c r="E3774" t="s">
        <v>23</v>
      </c>
      <c r="F3774" t="s">
        <v>24</v>
      </c>
      <c r="G3774" t="s">
        <v>25</v>
      </c>
      <c r="H3774" t="s">
        <v>26</v>
      </c>
      <c r="I3774">
        <v>3759430</v>
      </c>
      <c r="J3774" t="s">
        <v>27</v>
      </c>
      <c r="K3774" t="s">
        <v>5167</v>
      </c>
      <c r="L3774" t="s">
        <v>21</v>
      </c>
    </row>
    <row r="3775" spans="1:12">
      <c r="A3775" t="s">
        <v>5169</v>
      </c>
      <c r="B3775" t="s">
        <v>5130</v>
      </c>
      <c r="C3775" t="s">
        <v>229</v>
      </c>
      <c r="D3775">
        <v>1997</v>
      </c>
      <c r="E3775" t="s">
        <v>29</v>
      </c>
      <c r="F3775" t="s">
        <v>30</v>
      </c>
      <c r="G3775" t="s">
        <v>31</v>
      </c>
      <c r="H3775" t="s">
        <v>32</v>
      </c>
      <c r="I3775">
        <v>16999.433300000001</v>
      </c>
      <c r="J3775" t="s">
        <v>33</v>
      </c>
      <c r="K3775" t="s">
        <v>5167</v>
      </c>
      <c r="L3775" t="s">
        <v>21</v>
      </c>
    </row>
    <row r="3776" spans="1:12">
      <c r="A3776" t="s">
        <v>5170</v>
      </c>
      <c r="B3776" t="s">
        <v>5130</v>
      </c>
      <c r="C3776" t="s">
        <v>229</v>
      </c>
      <c r="D3776">
        <v>2002</v>
      </c>
      <c r="E3776" t="s">
        <v>15</v>
      </c>
      <c r="F3776" t="s">
        <v>16</v>
      </c>
      <c r="G3776" t="s">
        <v>17</v>
      </c>
      <c r="H3776" t="s">
        <v>18</v>
      </c>
      <c r="I3776">
        <v>77.778000000000006</v>
      </c>
      <c r="J3776" t="s">
        <v>19</v>
      </c>
      <c r="K3776" t="s">
        <v>5171</v>
      </c>
      <c r="L3776" t="s">
        <v>21</v>
      </c>
    </row>
    <row r="3777" spans="1:12">
      <c r="A3777" t="s">
        <v>5172</v>
      </c>
      <c r="B3777" t="s">
        <v>5130</v>
      </c>
      <c r="C3777" t="s">
        <v>229</v>
      </c>
      <c r="D3777">
        <v>2002</v>
      </c>
      <c r="E3777" t="s">
        <v>23</v>
      </c>
      <c r="F3777" t="s">
        <v>24</v>
      </c>
      <c r="G3777" t="s">
        <v>25</v>
      </c>
      <c r="H3777" t="s">
        <v>26</v>
      </c>
      <c r="I3777">
        <v>3859606</v>
      </c>
      <c r="J3777" t="s">
        <v>27</v>
      </c>
      <c r="K3777" t="s">
        <v>5171</v>
      </c>
      <c r="L3777" t="s">
        <v>21</v>
      </c>
    </row>
    <row r="3778" spans="1:12">
      <c r="A3778" t="s">
        <v>5173</v>
      </c>
      <c r="B3778" t="s">
        <v>5130</v>
      </c>
      <c r="C3778" t="s">
        <v>229</v>
      </c>
      <c r="D3778">
        <v>2002</v>
      </c>
      <c r="E3778" t="s">
        <v>29</v>
      </c>
      <c r="F3778" t="s">
        <v>30</v>
      </c>
      <c r="G3778" t="s">
        <v>31</v>
      </c>
      <c r="H3778" t="s">
        <v>32</v>
      </c>
      <c r="I3778">
        <v>18855.606179999999</v>
      </c>
      <c r="J3778" t="s">
        <v>33</v>
      </c>
      <c r="K3778" t="s">
        <v>5171</v>
      </c>
      <c r="L3778" t="s">
        <v>21</v>
      </c>
    </row>
    <row r="3779" spans="1:12">
      <c r="A3779" t="s">
        <v>5174</v>
      </c>
      <c r="B3779" t="s">
        <v>5130</v>
      </c>
      <c r="C3779" t="s">
        <v>229</v>
      </c>
      <c r="D3779">
        <v>2007</v>
      </c>
      <c r="E3779" t="s">
        <v>15</v>
      </c>
      <c r="F3779" t="s">
        <v>16</v>
      </c>
      <c r="G3779" t="s">
        <v>17</v>
      </c>
      <c r="H3779" t="s">
        <v>18</v>
      </c>
      <c r="I3779">
        <v>78.745999999999995</v>
      </c>
      <c r="J3779" t="s">
        <v>19</v>
      </c>
      <c r="K3779" t="s">
        <v>5175</v>
      </c>
      <c r="L3779" t="s">
        <v>21</v>
      </c>
    </row>
    <row r="3780" spans="1:12">
      <c r="A3780" t="s">
        <v>5176</v>
      </c>
      <c r="B3780" t="s">
        <v>5130</v>
      </c>
      <c r="C3780" t="s">
        <v>229</v>
      </c>
      <c r="D3780">
        <v>2007</v>
      </c>
      <c r="E3780" t="s">
        <v>23</v>
      </c>
      <c r="F3780" t="s">
        <v>24</v>
      </c>
      <c r="G3780" t="s">
        <v>25</v>
      </c>
      <c r="H3780" t="s">
        <v>26</v>
      </c>
      <c r="I3780">
        <v>3942491</v>
      </c>
      <c r="J3780" t="s">
        <v>27</v>
      </c>
      <c r="K3780" t="s">
        <v>5175</v>
      </c>
      <c r="L3780" t="s">
        <v>21</v>
      </c>
    </row>
    <row r="3781" spans="1:12">
      <c r="A3781" t="s">
        <v>5177</v>
      </c>
      <c r="B3781" t="s">
        <v>5130</v>
      </c>
      <c r="C3781" t="s">
        <v>229</v>
      </c>
      <c r="D3781">
        <v>2007</v>
      </c>
      <c r="E3781" t="s">
        <v>29</v>
      </c>
      <c r="F3781" t="s">
        <v>30</v>
      </c>
      <c r="G3781" t="s">
        <v>31</v>
      </c>
      <c r="H3781" t="s">
        <v>32</v>
      </c>
      <c r="I3781">
        <v>19328.709009999999</v>
      </c>
      <c r="J3781" t="s">
        <v>33</v>
      </c>
      <c r="K3781" t="s">
        <v>5175</v>
      </c>
      <c r="L3781" t="s">
        <v>21</v>
      </c>
    </row>
    <row r="3782" spans="1:12">
      <c r="A3782" t="s">
        <v>5178</v>
      </c>
      <c r="B3782" t="s">
        <v>5179</v>
      </c>
      <c r="C3782" t="s">
        <v>130</v>
      </c>
      <c r="D3782">
        <v>1952</v>
      </c>
      <c r="E3782" t="s">
        <v>15</v>
      </c>
      <c r="F3782" t="s">
        <v>16</v>
      </c>
      <c r="G3782" t="s">
        <v>17</v>
      </c>
      <c r="H3782" t="s">
        <v>18</v>
      </c>
      <c r="I3782">
        <v>52.723999999999997</v>
      </c>
      <c r="J3782" t="s">
        <v>19</v>
      </c>
      <c r="K3782" t="s">
        <v>5180</v>
      </c>
      <c r="L3782" t="s">
        <v>21</v>
      </c>
    </row>
    <row r="3783" spans="1:12">
      <c r="A3783" t="s">
        <v>5181</v>
      </c>
      <c r="B3783" t="s">
        <v>5179</v>
      </c>
      <c r="C3783" t="s">
        <v>130</v>
      </c>
      <c r="D3783">
        <v>1952</v>
      </c>
      <c r="E3783" t="s">
        <v>23</v>
      </c>
      <c r="F3783" t="s">
        <v>24</v>
      </c>
      <c r="G3783" t="s">
        <v>25</v>
      </c>
      <c r="H3783" t="s">
        <v>26</v>
      </c>
      <c r="I3783">
        <v>257700</v>
      </c>
      <c r="J3783" t="s">
        <v>27</v>
      </c>
      <c r="K3783" t="s">
        <v>5180</v>
      </c>
      <c r="L3783" t="s">
        <v>21</v>
      </c>
    </row>
    <row r="3784" spans="1:12">
      <c r="A3784" t="s">
        <v>5182</v>
      </c>
      <c r="B3784" t="s">
        <v>5179</v>
      </c>
      <c r="C3784" t="s">
        <v>130</v>
      </c>
      <c r="D3784">
        <v>1952</v>
      </c>
      <c r="E3784" t="s">
        <v>29</v>
      </c>
      <c r="F3784" t="s">
        <v>30</v>
      </c>
      <c r="G3784" t="s">
        <v>31</v>
      </c>
      <c r="H3784" t="s">
        <v>32</v>
      </c>
      <c r="I3784">
        <v>2718.885295</v>
      </c>
      <c r="J3784" t="s">
        <v>33</v>
      </c>
      <c r="K3784" t="s">
        <v>5180</v>
      </c>
      <c r="L3784" t="s">
        <v>21</v>
      </c>
    </row>
    <row r="3785" spans="1:12">
      <c r="A3785" t="s">
        <v>5183</v>
      </c>
      <c r="B3785" t="s">
        <v>5179</v>
      </c>
      <c r="C3785" t="s">
        <v>130</v>
      </c>
      <c r="D3785">
        <v>1957</v>
      </c>
      <c r="E3785" t="s">
        <v>15</v>
      </c>
      <c r="F3785" t="s">
        <v>16</v>
      </c>
      <c r="G3785" t="s">
        <v>17</v>
      </c>
      <c r="H3785" t="s">
        <v>18</v>
      </c>
      <c r="I3785">
        <v>55.09</v>
      </c>
      <c r="J3785" t="s">
        <v>19</v>
      </c>
      <c r="K3785" t="s">
        <v>5184</v>
      </c>
      <c r="L3785" t="s">
        <v>21</v>
      </c>
    </row>
    <row r="3786" spans="1:12">
      <c r="A3786" t="s">
        <v>5185</v>
      </c>
      <c r="B3786" t="s">
        <v>5179</v>
      </c>
      <c r="C3786" t="s">
        <v>130</v>
      </c>
      <c r="D3786">
        <v>1957</v>
      </c>
      <c r="E3786" t="s">
        <v>23</v>
      </c>
      <c r="F3786" t="s">
        <v>24</v>
      </c>
      <c r="G3786" t="s">
        <v>25</v>
      </c>
      <c r="H3786" t="s">
        <v>26</v>
      </c>
      <c r="I3786">
        <v>308700</v>
      </c>
      <c r="J3786" t="s">
        <v>27</v>
      </c>
      <c r="K3786" t="s">
        <v>5184</v>
      </c>
      <c r="L3786" t="s">
        <v>21</v>
      </c>
    </row>
    <row r="3787" spans="1:12">
      <c r="A3787" t="s">
        <v>5186</v>
      </c>
      <c r="B3787" t="s">
        <v>5179</v>
      </c>
      <c r="C3787" t="s">
        <v>130</v>
      </c>
      <c r="D3787">
        <v>1957</v>
      </c>
      <c r="E3787" t="s">
        <v>29</v>
      </c>
      <c r="F3787" t="s">
        <v>30</v>
      </c>
      <c r="G3787" t="s">
        <v>31</v>
      </c>
      <c r="H3787" t="s">
        <v>32</v>
      </c>
      <c r="I3787">
        <v>2769.4518440000002</v>
      </c>
      <c r="J3787" t="s">
        <v>33</v>
      </c>
      <c r="K3787" t="s">
        <v>5184</v>
      </c>
      <c r="L3787" t="s">
        <v>21</v>
      </c>
    </row>
    <row r="3788" spans="1:12">
      <c r="A3788" t="s">
        <v>5187</v>
      </c>
      <c r="B3788" t="s">
        <v>5179</v>
      </c>
      <c r="C3788" t="s">
        <v>130</v>
      </c>
      <c r="D3788">
        <v>1962</v>
      </c>
      <c r="E3788" t="s">
        <v>15</v>
      </c>
      <c r="F3788" t="s">
        <v>16</v>
      </c>
      <c r="G3788" t="s">
        <v>17</v>
      </c>
      <c r="H3788" t="s">
        <v>18</v>
      </c>
      <c r="I3788">
        <v>57.665999999999997</v>
      </c>
      <c r="J3788" t="s">
        <v>19</v>
      </c>
      <c r="K3788" t="s">
        <v>5188</v>
      </c>
      <c r="L3788" t="s">
        <v>21</v>
      </c>
    </row>
    <row r="3789" spans="1:12">
      <c r="A3789" t="s">
        <v>5189</v>
      </c>
      <c r="B3789" t="s">
        <v>5179</v>
      </c>
      <c r="C3789" t="s">
        <v>130</v>
      </c>
      <c r="D3789">
        <v>1962</v>
      </c>
      <c r="E3789" t="s">
        <v>23</v>
      </c>
      <c r="F3789" t="s">
        <v>24</v>
      </c>
      <c r="G3789" t="s">
        <v>25</v>
      </c>
      <c r="H3789" t="s">
        <v>26</v>
      </c>
      <c r="I3789">
        <v>358900</v>
      </c>
      <c r="J3789" t="s">
        <v>27</v>
      </c>
      <c r="K3789" t="s">
        <v>5188</v>
      </c>
      <c r="L3789" t="s">
        <v>21</v>
      </c>
    </row>
    <row r="3790" spans="1:12">
      <c r="A3790" t="s">
        <v>5190</v>
      </c>
      <c r="B3790" t="s">
        <v>5179</v>
      </c>
      <c r="C3790" t="s">
        <v>130</v>
      </c>
      <c r="D3790">
        <v>1962</v>
      </c>
      <c r="E3790" t="s">
        <v>29</v>
      </c>
      <c r="F3790" t="s">
        <v>30</v>
      </c>
      <c r="G3790" t="s">
        <v>31</v>
      </c>
      <c r="H3790" t="s">
        <v>32</v>
      </c>
      <c r="I3790">
        <v>3173.72334</v>
      </c>
      <c r="J3790" t="s">
        <v>33</v>
      </c>
      <c r="K3790" t="s">
        <v>5188</v>
      </c>
      <c r="L3790" t="s">
        <v>21</v>
      </c>
    </row>
    <row r="3791" spans="1:12">
      <c r="A3791" t="s">
        <v>5191</v>
      </c>
      <c r="B3791" t="s">
        <v>5179</v>
      </c>
      <c r="C3791" t="s">
        <v>130</v>
      </c>
      <c r="D3791">
        <v>1967</v>
      </c>
      <c r="E3791" t="s">
        <v>15</v>
      </c>
      <c r="F3791" t="s">
        <v>16</v>
      </c>
      <c r="G3791" t="s">
        <v>17</v>
      </c>
      <c r="H3791" t="s">
        <v>18</v>
      </c>
      <c r="I3791">
        <v>60.542000000000002</v>
      </c>
      <c r="J3791" t="s">
        <v>19</v>
      </c>
      <c r="K3791" t="s">
        <v>5192</v>
      </c>
      <c r="L3791" t="s">
        <v>21</v>
      </c>
    </row>
    <row r="3792" spans="1:12">
      <c r="A3792" t="s">
        <v>5193</v>
      </c>
      <c r="B3792" t="s">
        <v>5179</v>
      </c>
      <c r="C3792" t="s">
        <v>130</v>
      </c>
      <c r="D3792">
        <v>1967</v>
      </c>
      <c r="E3792" t="s">
        <v>23</v>
      </c>
      <c r="F3792" t="s">
        <v>24</v>
      </c>
      <c r="G3792" t="s">
        <v>25</v>
      </c>
      <c r="H3792" t="s">
        <v>26</v>
      </c>
      <c r="I3792">
        <v>414024</v>
      </c>
      <c r="J3792" t="s">
        <v>27</v>
      </c>
      <c r="K3792" t="s">
        <v>5192</v>
      </c>
      <c r="L3792" t="s">
        <v>21</v>
      </c>
    </row>
    <row r="3793" spans="1:12">
      <c r="A3793" t="s">
        <v>5194</v>
      </c>
      <c r="B3793" t="s">
        <v>5179</v>
      </c>
      <c r="C3793" t="s">
        <v>130</v>
      </c>
      <c r="D3793">
        <v>1967</v>
      </c>
      <c r="E3793" t="s">
        <v>29</v>
      </c>
      <c r="F3793" t="s">
        <v>30</v>
      </c>
      <c r="G3793" t="s">
        <v>31</v>
      </c>
      <c r="H3793" t="s">
        <v>32</v>
      </c>
      <c r="I3793">
        <v>4021.1757389999998</v>
      </c>
      <c r="J3793" t="s">
        <v>33</v>
      </c>
      <c r="K3793" t="s">
        <v>5192</v>
      </c>
      <c r="L3793" t="s">
        <v>21</v>
      </c>
    </row>
    <row r="3794" spans="1:12">
      <c r="A3794" t="s">
        <v>5195</v>
      </c>
      <c r="B3794" t="s">
        <v>5179</v>
      </c>
      <c r="C3794" t="s">
        <v>130</v>
      </c>
      <c r="D3794">
        <v>1972</v>
      </c>
      <c r="E3794" t="s">
        <v>15</v>
      </c>
      <c r="F3794" t="s">
        <v>16</v>
      </c>
      <c r="G3794" t="s">
        <v>17</v>
      </c>
      <c r="H3794" t="s">
        <v>18</v>
      </c>
      <c r="I3794">
        <v>64.274000000000001</v>
      </c>
      <c r="J3794" t="s">
        <v>19</v>
      </c>
      <c r="K3794" t="s">
        <v>5196</v>
      </c>
      <c r="L3794" t="s">
        <v>21</v>
      </c>
    </row>
    <row r="3795" spans="1:12">
      <c r="A3795" t="s">
        <v>5197</v>
      </c>
      <c r="B3795" t="s">
        <v>5179</v>
      </c>
      <c r="C3795" t="s">
        <v>130</v>
      </c>
      <c r="D3795">
        <v>1972</v>
      </c>
      <c r="E3795" t="s">
        <v>23</v>
      </c>
      <c r="F3795" t="s">
        <v>24</v>
      </c>
      <c r="G3795" t="s">
        <v>25</v>
      </c>
      <c r="H3795" t="s">
        <v>26</v>
      </c>
      <c r="I3795">
        <v>461633</v>
      </c>
      <c r="J3795" t="s">
        <v>27</v>
      </c>
      <c r="K3795" t="s">
        <v>5196</v>
      </c>
      <c r="L3795" t="s">
        <v>21</v>
      </c>
    </row>
    <row r="3796" spans="1:12">
      <c r="A3796" t="s">
        <v>5198</v>
      </c>
      <c r="B3796" t="s">
        <v>5179</v>
      </c>
      <c r="C3796" t="s">
        <v>130</v>
      </c>
      <c r="D3796">
        <v>1972</v>
      </c>
      <c r="E3796" t="s">
        <v>29</v>
      </c>
      <c r="F3796" t="s">
        <v>30</v>
      </c>
      <c r="G3796" t="s">
        <v>31</v>
      </c>
      <c r="H3796" t="s">
        <v>32</v>
      </c>
      <c r="I3796">
        <v>5047.658563</v>
      </c>
      <c r="J3796" t="s">
        <v>33</v>
      </c>
      <c r="K3796" t="s">
        <v>5196</v>
      </c>
      <c r="L3796" t="s">
        <v>21</v>
      </c>
    </row>
    <row r="3797" spans="1:12">
      <c r="A3797" t="s">
        <v>5199</v>
      </c>
      <c r="B3797" t="s">
        <v>5179</v>
      </c>
      <c r="C3797" t="s">
        <v>130</v>
      </c>
      <c r="D3797">
        <v>1977</v>
      </c>
      <c r="E3797" t="s">
        <v>15</v>
      </c>
      <c r="F3797" t="s">
        <v>16</v>
      </c>
      <c r="G3797" t="s">
        <v>17</v>
      </c>
      <c r="H3797" t="s">
        <v>18</v>
      </c>
      <c r="I3797">
        <v>67.063999999999993</v>
      </c>
      <c r="J3797" t="s">
        <v>19</v>
      </c>
      <c r="K3797" t="s">
        <v>5200</v>
      </c>
      <c r="L3797" t="s">
        <v>21</v>
      </c>
    </row>
    <row r="3798" spans="1:12">
      <c r="A3798" t="s">
        <v>5201</v>
      </c>
      <c r="B3798" t="s">
        <v>5179</v>
      </c>
      <c r="C3798" t="s">
        <v>130</v>
      </c>
      <c r="D3798">
        <v>1977</v>
      </c>
      <c r="E3798" t="s">
        <v>23</v>
      </c>
      <c r="F3798" t="s">
        <v>24</v>
      </c>
      <c r="G3798" t="s">
        <v>25</v>
      </c>
      <c r="H3798" t="s">
        <v>26</v>
      </c>
      <c r="I3798">
        <v>492095</v>
      </c>
      <c r="J3798" t="s">
        <v>27</v>
      </c>
      <c r="K3798" t="s">
        <v>5200</v>
      </c>
      <c r="L3798" t="s">
        <v>21</v>
      </c>
    </row>
    <row r="3799" spans="1:12">
      <c r="A3799" t="s">
        <v>5202</v>
      </c>
      <c r="B3799" t="s">
        <v>5179</v>
      </c>
      <c r="C3799" t="s">
        <v>130</v>
      </c>
      <c r="D3799">
        <v>1977</v>
      </c>
      <c r="E3799" t="s">
        <v>29</v>
      </c>
      <c r="F3799" t="s">
        <v>30</v>
      </c>
      <c r="G3799" t="s">
        <v>31</v>
      </c>
      <c r="H3799" t="s">
        <v>32</v>
      </c>
      <c r="I3799">
        <v>4319.804067</v>
      </c>
      <c r="J3799" t="s">
        <v>33</v>
      </c>
      <c r="K3799" t="s">
        <v>5200</v>
      </c>
      <c r="L3799" t="s">
        <v>21</v>
      </c>
    </row>
    <row r="3800" spans="1:12">
      <c r="A3800" t="s">
        <v>5203</v>
      </c>
      <c r="B3800" t="s">
        <v>5179</v>
      </c>
      <c r="C3800" t="s">
        <v>130</v>
      </c>
      <c r="D3800">
        <v>1982</v>
      </c>
      <c r="E3800" t="s">
        <v>15</v>
      </c>
      <c r="F3800" t="s">
        <v>16</v>
      </c>
      <c r="G3800" t="s">
        <v>17</v>
      </c>
      <c r="H3800" t="s">
        <v>18</v>
      </c>
      <c r="I3800">
        <v>69.885000000000005</v>
      </c>
      <c r="J3800" t="s">
        <v>19</v>
      </c>
      <c r="K3800" t="s">
        <v>5204</v>
      </c>
      <c r="L3800" t="s">
        <v>21</v>
      </c>
    </row>
    <row r="3801" spans="1:12">
      <c r="A3801" t="s">
        <v>5205</v>
      </c>
      <c r="B3801" t="s">
        <v>5179</v>
      </c>
      <c r="C3801" t="s">
        <v>130</v>
      </c>
      <c r="D3801">
        <v>1982</v>
      </c>
      <c r="E3801" t="s">
        <v>23</v>
      </c>
      <c r="F3801" t="s">
        <v>24</v>
      </c>
      <c r="G3801" t="s">
        <v>25</v>
      </c>
      <c r="H3801" t="s">
        <v>26</v>
      </c>
      <c r="I3801">
        <v>517810</v>
      </c>
      <c r="J3801" t="s">
        <v>27</v>
      </c>
      <c r="K3801" t="s">
        <v>5204</v>
      </c>
      <c r="L3801" t="s">
        <v>21</v>
      </c>
    </row>
    <row r="3802" spans="1:12">
      <c r="A3802" t="s">
        <v>5206</v>
      </c>
      <c r="B3802" t="s">
        <v>5179</v>
      </c>
      <c r="C3802" t="s">
        <v>130</v>
      </c>
      <c r="D3802">
        <v>1982</v>
      </c>
      <c r="E3802" t="s">
        <v>29</v>
      </c>
      <c r="F3802" t="s">
        <v>30</v>
      </c>
      <c r="G3802" t="s">
        <v>31</v>
      </c>
      <c r="H3802" t="s">
        <v>32</v>
      </c>
      <c r="I3802">
        <v>5267.2193530000004</v>
      </c>
      <c r="J3802" t="s">
        <v>33</v>
      </c>
      <c r="K3802" t="s">
        <v>5204</v>
      </c>
      <c r="L3802" t="s">
        <v>21</v>
      </c>
    </row>
    <row r="3803" spans="1:12">
      <c r="A3803" t="s">
        <v>5207</v>
      </c>
      <c r="B3803" t="s">
        <v>5179</v>
      </c>
      <c r="C3803" t="s">
        <v>130</v>
      </c>
      <c r="D3803">
        <v>1987</v>
      </c>
      <c r="E3803" t="s">
        <v>15</v>
      </c>
      <c r="F3803" t="s">
        <v>16</v>
      </c>
      <c r="G3803" t="s">
        <v>17</v>
      </c>
      <c r="H3803" t="s">
        <v>18</v>
      </c>
      <c r="I3803">
        <v>71.912999999999997</v>
      </c>
      <c r="J3803" t="s">
        <v>19</v>
      </c>
      <c r="K3803" t="s">
        <v>5208</v>
      </c>
      <c r="L3803" t="s">
        <v>21</v>
      </c>
    </row>
    <row r="3804" spans="1:12">
      <c r="A3804" t="s">
        <v>5209</v>
      </c>
      <c r="B3804" t="s">
        <v>5179</v>
      </c>
      <c r="C3804" t="s">
        <v>130</v>
      </c>
      <c r="D3804">
        <v>1987</v>
      </c>
      <c r="E3804" t="s">
        <v>23</v>
      </c>
      <c r="F3804" t="s">
        <v>24</v>
      </c>
      <c r="G3804" t="s">
        <v>25</v>
      </c>
      <c r="H3804" t="s">
        <v>26</v>
      </c>
      <c r="I3804">
        <v>562035</v>
      </c>
      <c r="J3804" t="s">
        <v>27</v>
      </c>
      <c r="K3804" t="s">
        <v>5208</v>
      </c>
      <c r="L3804" t="s">
        <v>21</v>
      </c>
    </row>
    <row r="3805" spans="1:12">
      <c r="A3805" t="s">
        <v>5210</v>
      </c>
      <c r="B3805" t="s">
        <v>5179</v>
      </c>
      <c r="C3805" t="s">
        <v>130</v>
      </c>
      <c r="D3805">
        <v>1987</v>
      </c>
      <c r="E3805" t="s">
        <v>29</v>
      </c>
      <c r="F3805" t="s">
        <v>30</v>
      </c>
      <c r="G3805" t="s">
        <v>31</v>
      </c>
      <c r="H3805" t="s">
        <v>32</v>
      </c>
      <c r="I3805">
        <v>5303.3774880000001</v>
      </c>
      <c r="J3805" t="s">
        <v>33</v>
      </c>
      <c r="K3805" t="s">
        <v>5208</v>
      </c>
      <c r="L3805" t="s">
        <v>21</v>
      </c>
    </row>
    <row r="3806" spans="1:12">
      <c r="A3806" t="s">
        <v>5211</v>
      </c>
      <c r="B3806" t="s">
        <v>5179</v>
      </c>
      <c r="C3806" t="s">
        <v>130</v>
      </c>
      <c r="D3806">
        <v>1992</v>
      </c>
      <c r="E3806" t="s">
        <v>15</v>
      </c>
      <c r="F3806" t="s">
        <v>16</v>
      </c>
      <c r="G3806" t="s">
        <v>17</v>
      </c>
      <c r="H3806" t="s">
        <v>18</v>
      </c>
      <c r="I3806">
        <v>73.614999999999995</v>
      </c>
      <c r="J3806" t="s">
        <v>19</v>
      </c>
      <c r="K3806" t="s">
        <v>5212</v>
      </c>
      <c r="L3806" t="s">
        <v>21</v>
      </c>
    </row>
    <row r="3807" spans="1:12">
      <c r="A3807" t="s">
        <v>5213</v>
      </c>
      <c r="B3807" t="s">
        <v>5179</v>
      </c>
      <c r="C3807" t="s">
        <v>130</v>
      </c>
      <c r="D3807">
        <v>1992</v>
      </c>
      <c r="E3807" t="s">
        <v>23</v>
      </c>
      <c r="F3807" t="s">
        <v>24</v>
      </c>
      <c r="G3807" t="s">
        <v>25</v>
      </c>
      <c r="H3807" t="s">
        <v>26</v>
      </c>
      <c r="I3807">
        <v>622191</v>
      </c>
      <c r="J3807" t="s">
        <v>27</v>
      </c>
      <c r="K3807" t="s">
        <v>5212</v>
      </c>
      <c r="L3807" t="s">
        <v>21</v>
      </c>
    </row>
    <row r="3808" spans="1:12">
      <c r="A3808" t="s">
        <v>5214</v>
      </c>
      <c r="B3808" t="s">
        <v>5179</v>
      </c>
      <c r="C3808" t="s">
        <v>130</v>
      </c>
      <c r="D3808">
        <v>1992</v>
      </c>
      <c r="E3808" t="s">
        <v>29</v>
      </c>
      <c r="F3808" t="s">
        <v>30</v>
      </c>
      <c r="G3808" t="s">
        <v>31</v>
      </c>
      <c r="H3808" t="s">
        <v>32</v>
      </c>
      <c r="I3808">
        <v>6101.2558230000004</v>
      </c>
      <c r="J3808" t="s">
        <v>33</v>
      </c>
      <c r="K3808" t="s">
        <v>5212</v>
      </c>
      <c r="L3808" t="s">
        <v>21</v>
      </c>
    </row>
    <row r="3809" spans="1:12">
      <c r="A3809" t="s">
        <v>5215</v>
      </c>
      <c r="B3809" t="s">
        <v>5179</v>
      </c>
      <c r="C3809" t="s">
        <v>130</v>
      </c>
      <c r="D3809">
        <v>1997</v>
      </c>
      <c r="E3809" t="s">
        <v>15</v>
      </c>
      <c r="F3809" t="s">
        <v>16</v>
      </c>
      <c r="G3809" t="s">
        <v>17</v>
      </c>
      <c r="H3809" t="s">
        <v>18</v>
      </c>
      <c r="I3809">
        <v>74.771999999999906</v>
      </c>
      <c r="J3809" t="s">
        <v>19</v>
      </c>
      <c r="K3809" t="s">
        <v>5216</v>
      </c>
      <c r="L3809" t="s">
        <v>21</v>
      </c>
    </row>
    <row r="3810" spans="1:12">
      <c r="A3810" t="s">
        <v>5217</v>
      </c>
      <c r="B3810" t="s">
        <v>5179</v>
      </c>
      <c r="C3810" t="s">
        <v>130</v>
      </c>
      <c r="D3810">
        <v>1997</v>
      </c>
      <c r="E3810" t="s">
        <v>23</v>
      </c>
      <c r="F3810" t="s">
        <v>24</v>
      </c>
      <c r="G3810" t="s">
        <v>25</v>
      </c>
      <c r="H3810" t="s">
        <v>26</v>
      </c>
      <c r="I3810">
        <v>684810</v>
      </c>
      <c r="J3810" t="s">
        <v>27</v>
      </c>
      <c r="K3810" t="s">
        <v>5216</v>
      </c>
      <c r="L3810" t="s">
        <v>21</v>
      </c>
    </row>
    <row r="3811" spans="1:12">
      <c r="A3811" t="s">
        <v>5218</v>
      </c>
      <c r="B3811" t="s">
        <v>5179</v>
      </c>
      <c r="C3811" t="s">
        <v>130</v>
      </c>
      <c r="D3811">
        <v>1997</v>
      </c>
      <c r="E3811" t="s">
        <v>29</v>
      </c>
      <c r="F3811" t="s">
        <v>30</v>
      </c>
      <c r="G3811" t="s">
        <v>31</v>
      </c>
      <c r="H3811" t="s">
        <v>32</v>
      </c>
      <c r="I3811">
        <v>6071.9414109999998</v>
      </c>
      <c r="J3811" t="s">
        <v>33</v>
      </c>
      <c r="K3811" t="s">
        <v>5216</v>
      </c>
      <c r="L3811" t="s">
        <v>21</v>
      </c>
    </row>
    <row r="3812" spans="1:12">
      <c r="A3812" t="s">
        <v>5219</v>
      </c>
      <c r="B3812" t="s">
        <v>5179</v>
      </c>
      <c r="C3812" t="s">
        <v>130</v>
      </c>
      <c r="D3812">
        <v>2002</v>
      </c>
      <c r="E3812" t="s">
        <v>15</v>
      </c>
      <c r="F3812" t="s">
        <v>16</v>
      </c>
      <c r="G3812" t="s">
        <v>17</v>
      </c>
      <c r="H3812" t="s">
        <v>18</v>
      </c>
      <c r="I3812">
        <v>75.744</v>
      </c>
      <c r="J3812" t="s">
        <v>19</v>
      </c>
      <c r="K3812" t="s">
        <v>5220</v>
      </c>
      <c r="L3812" t="s">
        <v>21</v>
      </c>
    </row>
    <row r="3813" spans="1:12">
      <c r="A3813" t="s">
        <v>5221</v>
      </c>
      <c r="B3813" t="s">
        <v>5179</v>
      </c>
      <c r="C3813" t="s">
        <v>130</v>
      </c>
      <c r="D3813">
        <v>2002</v>
      </c>
      <c r="E3813" t="s">
        <v>23</v>
      </c>
      <c r="F3813" t="s">
        <v>24</v>
      </c>
      <c r="G3813" t="s">
        <v>25</v>
      </c>
      <c r="H3813" t="s">
        <v>26</v>
      </c>
      <c r="I3813">
        <v>743981</v>
      </c>
      <c r="J3813" t="s">
        <v>27</v>
      </c>
      <c r="K3813" t="s">
        <v>5220</v>
      </c>
      <c r="L3813" t="s">
        <v>21</v>
      </c>
    </row>
    <row r="3814" spans="1:12">
      <c r="A3814" t="s">
        <v>5222</v>
      </c>
      <c r="B3814" t="s">
        <v>5179</v>
      </c>
      <c r="C3814" t="s">
        <v>130</v>
      </c>
      <c r="D3814">
        <v>2002</v>
      </c>
      <c r="E3814" t="s">
        <v>29</v>
      </c>
      <c r="F3814" t="s">
        <v>30</v>
      </c>
      <c r="G3814" t="s">
        <v>31</v>
      </c>
      <c r="H3814" t="s">
        <v>32</v>
      </c>
      <c r="I3814">
        <v>6316.1652000000004</v>
      </c>
      <c r="J3814" t="s">
        <v>33</v>
      </c>
      <c r="K3814" t="s">
        <v>5220</v>
      </c>
      <c r="L3814" t="s">
        <v>21</v>
      </c>
    </row>
    <row r="3815" spans="1:12">
      <c r="A3815" t="s">
        <v>5223</v>
      </c>
      <c r="B3815" t="s">
        <v>5179</v>
      </c>
      <c r="C3815" t="s">
        <v>130</v>
      </c>
      <c r="D3815">
        <v>2007</v>
      </c>
      <c r="E3815" t="s">
        <v>15</v>
      </c>
      <c r="F3815" t="s">
        <v>16</v>
      </c>
      <c r="G3815" t="s">
        <v>17</v>
      </c>
      <c r="H3815" t="s">
        <v>18</v>
      </c>
      <c r="I3815">
        <v>76.441999999999993</v>
      </c>
      <c r="J3815" t="s">
        <v>19</v>
      </c>
      <c r="K3815" t="s">
        <v>5224</v>
      </c>
      <c r="L3815" t="s">
        <v>21</v>
      </c>
    </row>
    <row r="3816" spans="1:12">
      <c r="A3816" t="s">
        <v>5225</v>
      </c>
      <c r="B3816" t="s">
        <v>5179</v>
      </c>
      <c r="C3816" t="s">
        <v>130</v>
      </c>
      <c r="D3816">
        <v>2007</v>
      </c>
      <c r="E3816" t="s">
        <v>23</v>
      </c>
      <c r="F3816" t="s">
        <v>24</v>
      </c>
      <c r="G3816" t="s">
        <v>25</v>
      </c>
      <c r="H3816" t="s">
        <v>26</v>
      </c>
      <c r="I3816">
        <v>798094</v>
      </c>
      <c r="J3816" t="s">
        <v>27</v>
      </c>
      <c r="K3816" t="s">
        <v>5224</v>
      </c>
      <c r="L3816" t="s">
        <v>21</v>
      </c>
    </row>
    <row r="3817" spans="1:12">
      <c r="A3817" t="s">
        <v>5226</v>
      </c>
      <c r="B3817" t="s">
        <v>5179</v>
      </c>
      <c r="C3817" t="s">
        <v>130</v>
      </c>
      <c r="D3817">
        <v>2007</v>
      </c>
      <c r="E3817" t="s">
        <v>29</v>
      </c>
      <c r="F3817" t="s">
        <v>30</v>
      </c>
      <c r="G3817" t="s">
        <v>31</v>
      </c>
      <c r="H3817" t="s">
        <v>32</v>
      </c>
      <c r="I3817">
        <v>7670.122558</v>
      </c>
      <c r="J3817" t="s">
        <v>33</v>
      </c>
      <c r="K3817" t="s">
        <v>5224</v>
      </c>
      <c r="L3817" t="s">
        <v>21</v>
      </c>
    </row>
    <row r="3818" spans="1:12">
      <c r="A3818" t="s">
        <v>5227</v>
      </c>
      <c r="B3818" t="s">
        <v>5228</v>
      </c>
      <c r="C3818" t="s">
        <v>80</v>
      </c>
      <c r="D3818">
        <v>1952</v>
      </c>
      <c r="E3818" t="s">
        <v>15</v>
      </c>
      <c r="F3818" t="s">
        <v>16</v>
      </c>
      <c r="G3818" t="s">
        <v>17</v>
      </c>
      <c r="H3818" t="s">
        <v>18</v>
      </c>
      <c r="I3818">
        <v>61.05</v>
      </c>
      <c r="J3818" t="s">
        <v>19</v>
      </c>
      <c r="K3818" t="s">
        <v>5229</v>
      </c>
      <c r="L3818" t="s">
        <v>21</v>
      </c>
    </row>
    <row r="3819" spans="1:12">
      <c r="A3819" t="s">
        <v>5230</v>
      </c>
      <c r="B3819" t="s">
        <v>5228</v>
      </c>
      <c r="C3819" t="s">
        <v>80</v>
      </c>
      <c r="D3819">
        <v>1952</v>
      </c>
      <c r="E3819" t="s">
        <v>23</v>
      </c>
      <c r="F3819" t="s">
        <v>24</v>
      </c>
      <c r="G3819" t="s">
        <v>25</v>
      </c>
      <c r="H3819" t="s">
        <v>26</v>
      </c>
      <c r="I3819">
        <v>16630000</v>
      </c>
      <c r="J3819" t="s">
        <v>27</v>
      </c>
      <c r="K3819" t="s">
        <v>5229</v>
      </c>
      <c r="L3819" t="s">
        <v>21</v>
      </c>
    </row>
    <row r="3820" spans="1:12">
      <c r="A3820" t="s">
        <v>5231</v>
      </c>
      <c r="B3820" t="s">
        <v>5228</v>
      </c>
      <c r="C3820" t="s">
        <v>80</v>
      </c>
      <c r="D3820">
        <v>1952</v>
      </c>
      <c r="E3820" t="s">
        <v>29</v>
      </c>
      <c r="F3820" t="s">
        <v>30</v>
      </c>
      <c r="G3820" t="s">
        <v>31</v>
      </c>
      <c r="H3820" t="s">
        <v>32</v>
      </c>
      <c r="I3820">
        <v>3144.613186</v>
      </c>
      <c r="J3820" t="s">
        <v>33</v>
      </c>
      <c r="K3820" t="s">
        <v>5229</v>
      </c>
      <c r="L3820" t="s">
        <v>21</v>
      </c>
    </row>
    <row r="3821" spans="1:12">
      <c r="A3821" t="s">
        <v>5232</v>
      </c>
      <c r="B3821" t="s">
        <v>5228</v>
      </c>
      <c r="C3821" t="s">
        <v>80</v>
      </c>
      <c r="D3821">
        <v>1957</v>
      </c>
      <c r="E3821" t="s">
        <v>15</v>
      </c>
      <c r="F3821" t="s">
        <v>16</v>
      </c>
      <c r="G3821" t="s">
        <v>17</v>
      </c>
      <c r="H3821" t="s">
        <v>18</v>
      </c>
      <c r="I3821">
        <v>64.099999999999994</v>
      </c>
      <c r="J3821" t="s">
        <v>19</v>
      </c>
      <c r="K3821" t="s">
        <v>5233</v>
      </c>
      <c r="L3821" t="s">
        <v>21</v>
      </c>
    </row>
    <row r="3822" spans="1:12">
      <c r="A3822" t="s">
        <v>5234</v>
      </c>
      <c r="B3822" t="s">
        <v>5228</v>
      </c>
      <c r="C3822" t="s">
        <v>80</v>
      </c>
      <c r="D3822">
        <v>1957</v>
      </c>
      <c r="E3822" t="s">
        <v>23</v>
      </c>
      <c r="F3822" t="s">
        <v>24</v>
      </c>
      <c r="G3822" t="s">
        <v>25</v>
      </c>
      <c r="H3822" t="s">
        <v>26</v>
      </c>
      <c r="I3822">
        <v>17829327</v>
      </c>
      <c r="J3822" t="s">
        <v>27</v>
      </c>
      <c r="K3822" t="s">
        <v>5233</v>
      </c>
      <c r="L3822" t="s">
        <v>21</v>
      </c>
    </row>
    <row r="3823" spans="1:12">
      <c r="A3823" t="s">
        <v>5235</v>
      </c>
      <c r="B3823" t="s">
        <v>5228</v>
      </c>
      <c r="C3823" t="s">
        <v>80</v>
      </c>
      <c r="D3823">
        <v>1957</v>
      </c>
      <c r="E3823" t="s">
        <v>29</v>
      </c>
      <c r="F3823" t="s">
        <v>30</v>
      </c>
      <c r="G3823" t="s">
        <v>31</v>
      </c>
      <c r="H3823" t="s">
        <v>32</v>
      </c>
      <c r="I3823">
        <v>3943.3702250000001</v>
      </c>
      <c r="J3823" t="s">
        <v>33</v>
      </c>
      <c r="K3823" t="s">
        <v>5233</v>
      </c>
      <c r="L3823" t="s">
        <v>21</v>
      </c>
    </row>
    <row r="3824" spans="1:12">
      <c r="A3824" t="s">
        <v>5236</v>
      </c>
      <c r="B3824" t="s">
        <v>5228</v>
      </c>
      <c r="C3824" t="s">
        <v>80</v>
      </c>
      <c r="D3824">
        <v>1962</v>
      </c>
      <c r="E3824" t="s">
        <v>15</v>
      </c>
      <c r="F3824" t="s">
        <v>16</v>
      </c>
      <c r="G3824" t="s">
        <v>17</v>
      </c>
      <c r="H3824" t="s">
        <v>18</v>
      </c>
      <c r="I3824">
        <v>66.8</v>
      </c>
      <c r="J3824" t="s">
        <v>19</v>
      </c>
      <c r="K3824" t="s">
        <v>5237</v>
      </c>
      <c r="L3824" t="s">
        <v>21</v>
      </c>
    </row>
    <row r="3825" spans="1:12">
      <c r="A3825" t="s">
        <v>5238</v>
      </c>
      <c r="B3825" t="s">
        <v>5228</v>
      </c>
      <c r="C3825" t="s">
        <v>80</v>
      </c>
      <c r="D3825">
        <v>1962</v>
      </c>
      <c r="E3825" t="s">
        <v>23</v>
      </c>
      <c r="F3825" t="s">
        <v>24</v>
      </c>
      <c r="G3825" t="s">
        <v>25</v>
      </c>
      <c r="H3825" t="s">
        <v>26</v>
      </c>
      <c r="I3825">
        <v>18680721</v>
      </c>
      <c r="J3825" t="s">
        <v>27</v>
      </c>
      <c r="K3825" t="s">
        <v>5237</v>
      </c>
      <c r="L3825" t="s">
        <v>21</v>
      </c>
    </row>
    <row r="3826" spans="1:12">
      <c r="A3826" t="s">
        <v>5239</v>
      </c>
      <c r="B3826" t="s">
        <v>5228</v>
      </c>
      <c r="C3826" t="s">
        <v>80</v>
      </c>
      <c r="D3826">
        <v>1962</v>
      </c>
      <c r="E3826" t="s">
        <v>29</v>
      </c>
      <c r="F3826" t="s">
        <v>30</v>
      </c>
      <c r="G3826" t="s">
        <v>31</v>
      </c>
      <c r="H3826" t="s">
        <v>32</v>
      </c>
      <c r="I3826">
        <v>4734.9975860000004</v>
      </c>
      <c r="J3826" t="s">
        <v>33</v>
      </c>
      <c r="K3826" t="s">
        <v>5237</v>
      </c>
      <c r="L3826" t="s">
        <v>21</v>
      </c>
    </row>
    <row r="3827" spans="1:12">
      <c r="A3827" t="s">
        <v>5240</v>
      </c>
      <c r="B3827" t="s">
        <v>5228</v>
      </c>
      <c r="C3827" t="s">
        <v>80</v>
      </c>
      <c r="D3827">
        <v>1967</v>
      </c>
      <c r="E3827" t="s">
        <v>15</v>
      </c>
      <c r="F3827" t="s">
        <v>16</v>
      </c>
      <c r="G3827" t="s">
        <v>17</v>
      </c>
      <c r="H3827" t="s">
        <v>18</v>
      </c>
      <c r="I3827">
        <v>66.8</v>
      </c>
      <c r="J3827" t="s">
        <v>19</v>
      </c>
      <c r="K3827" t="s">
        <v>5241</v>
      </c>
      <c r="L3827" t="s">
        <v>21</v>
      </c>
    </row>
    <row r="3828" spans="1:12">
      <c r="A3828" t="s">
        <v>5242</v>
      </c>
      <c r="B3828" t="s">
        <v>5228</v>
      </c>
      <c r="C3828" t="s">
        <v>80</v>
      </c>
      <c r="D3828">
        <v>1967</v>
      </c>
      <c r="E3828" t="s">
        <v>23</v>
      </c>
      <c r="F3828" t="s">
        <v>24</v>
      </c>
      <c r="G3828" t="s">
        <v>25</v>
      </c>
      <c r="H3828" t="s">
        <v>26</v>
      </c>
      <c r="I3828">
        <v>19284814</v>
      </c>
      <c r="J3828" t="s">
        <v>27</v>
      </c>
      <c r="K3828" t="s">
        <v>5241</v>
      </c>
      <c r="L3828" t="s">
        <v>21</v>
      </c>
    </row>
    <row r="3829" spans="1:12">
      <c r="A3829" t="s">
        <v>5243</v>
      </c>
      <c r="B3829" t="s">
        <v>5228</v>
      </c>
      <c r="C3829" t="s">
        <v>80</v>
      </c>
      <c r="D3829">
        <v>1967</v>
      </c>
      <c r="E3829" t="s">
        <v>29</v>
      </c>
      <c r="F3829" t="s">
        <v>30</v>
      </c>
      <c r="G3829" t="s">
        <v>31</v>
      </c>
      <c r="H3829" t="s">
        <v>32</v>
      </c>
      <c r="I3829">
        <v>6470.8665449999999</v>
      </c>
      <c r="J3829" t="s">
        <v>33</v>
      </c>
      <c r="K3829" t="s">
        <v>5241</v>
      </c>
      <c r="L3829" t="s">
        <v>21</v>
      </c>
    </row>
    <row r="3830" spans="1:12">
      <c r="A3830" t="s">
        <v>5244</v>
      </c>
      <c r="B3830" t="s">
        <v>5228</v>
      </c>
      <c r="C3830" t="s">
        <v>80</v>
      </c>
      <c r="D3830">
        <v>1972</v>
      </c>
      <c r="E3830" t="s">
        <v>15</v>
      </c>
      <c r="F3830" t="s">
        <v>16</v>
      </c>
      <c r="G3830" t="s">
        <v>17</v>
      </c>
      <c r="H3830" t="s">
        <v>18</v>
      </c>
      <c r="I3830">
        <v>69.209999999999994</v>
      </c>
      <c r="J3830" t="s">
        <v>19</v>
      </c>
      <c r="K3830" t="s">
        <v>5245</v>
      </c>
      <c r="L3830" t="s">
        <v>21</v>
      </c>
    </row>
    <row r="3831" spans="1:12">
      <c r="A3831" t="s">
        <v>5246</v>
      </c>
      <c r="B3831" t="s">
        <v>5228</v>
      </c>
      <c r="C3831" t="s">
        <v>80</v>
      </c>
      <c r="D3831">
        <v>1972</v>
      </c>
      <c r="E3831" t="s">
        <v>23</v>
      </c>
      <c r="F3831" t="s">
        <v>24</v>
      </c>
      <c r="G3831" t="s">
        <v>25</v>
      </c>
      <c r="H3831" t="s">
        <v>26</v>
      </c>
      <c r="I3831">
        <v>20662648</v>
      </c>
      <c r="J3831" t="s">
        <v>27</v>
      </c>
      <c r="K3831" t="s">
        <v>5245</v>
      </c>
      <c r="L3831" t="s">
        <v>21</v>
      </c>
    </row>
    <row r="3832" spans="1:12">
      <c r="A3832" t="s">
        <v>5247</v>
      </c>
      <c r="B3832" t="s">
        <v>5228</v>
      </c>
      <c r="C3832" t="s">
        <v>80</v>
      </c>
      <c r="D3832">
        <v>1972</v>
      </c>
      <c r="E3832" t="s">
        <v>29</v>
      </c>
      <c r="F3832" t="s">
        <v>30</v>
      </c>
      <c r="G3832" t="s">
        <v>31</v>
      </c>
      <c r="H3832" t="s">
        <v>32</v>
      </c>
      <c r="I3832">
        <v>8011.4144019999903</v>
      </c>
      <c r="J3832" t="s">
        <v>33</v>
      </c>
      <c r="K3832" t="s">
        <v>5245</v>
      </c>
      <c r="L3832" t="s">
        <v>21</v>
      </c>
    </row>
    <row r="3833" spans="1:12">
      <c r="A3833" t="s">
        <v>5248</v>
      </c>
      <c r="B3833" t="s">
        <v>5228</v>
      </c>
      <c r="C3833" t="s">
        <v>80</v>
      </c>
      <c r="D3833">
        <v>1977</v>
      </c>
      <c r="E3833" t="s">
        <v>15</v>
      </c>
      <c r="F3833" t="s">
        <v>16</v>
      </c>
      <c r="G3833" t="s">
        <v>17</v>
      </c>
      <c r="H3833" t="s">
        <v>18</v>
      </c>
      <c r="I3833">
        <v>69.459999999999994</v>
      </c>
      <c r="J3833" t="s">
        <v>19</v>
      </c>
      <c r="K3833" t="s">
        <v>5249</v>
      </c>
      <c r="L3833" t="s">
        <v>21</v>
      </c>
    </row>
    <row r="3834" spans="1:12">
      <c r="A3834" t="s">
        <v>5250</v>
      </c>
      <c r="B3834" t="s">
        <v>5228</v>
      </c>
      <c r="C3834" t="s">
        <v>80</v>
      </c>
      <c r="D3834">
        <v>1977</v>
      </c>
      <c r="E3834" t="s">
        <v>23</v>
      </c>
      <c r="F3834" t="s">
        <v>24</v>
      </c>
      <c r="G3834" t="s">
        <v>25</v>
      </c>
      <c r="H3834" t="s">
        <v>26</v>
      </c>
      <c r="I3834">
        <v>21658597</v>
      </c>
      <c r="J3834" t="s">
        <v>27</v>
      </c>
      <c r="K3834" t="s">
        <v>5249</v>
      </c>
      <c r="L3834" t="s">
        <v>21</v>
      </c>
    </row>
    <row r="3835" spans="1:12">
      <c r="A3835" t="s">
        <v>5251</v>
      </c>
      <c r="B3835" t="s">
        <v>5228</v>
      </c>
      <c r="C3835" t="s">
        <v>80</v>
      </c>
      <c r="D3835">
        <v>1977</v>
      </c>
      <c r="E3835" t="s">
        <v>29</v>
      </c>
      <c r="F3835" t="s">
        <v>30</v>
      </c>
      <c r="G3835" t="s">
        <v>31</v>
      </c>
      <c r="H3835" t="s">
        <v>32</v>
      </c>
      <c r="I3835">
        <v>9356.3972400000002</v>
      </c>
      <c r="J3835" t="s">
        <v>33</v>
      </c>
      <c r="K3835" t="s">
        <v>5249</v>
      </c>
      <c r="L3835" t="s">
        <v>21</v>
      </c>
    </row>
    <row r="3836" spans="1:12">
      <c r="A3836" t="s">
        <v>5252</v>
      </c>
      <c r="B3836" t="s">
        <v>5228</v>
      </c>
      <c r="C3836" t="s">
        <v>80</v>
      </c>
      <c r="D3836">
        <v>1982</v>
      </c>
      <c r="E3836" t="s">
        <v>15</v>
      </c>
      <c r="F3836" t="s">
        <v>16</v>
      </c>
      <c r="G3836" t="s">
        <v>17</v>
      </c>
      <c r="H3836" t="s">
        <v>18</v>
      </c>
      <c r="I3836">
        <v>69.66</v>
      </c>
      <c r="J3836" t="s">
        <v>19</v>
      </c>
      <c r="K3836" t="s">
        <v>5253</v>
      </c>
      <c r="L3836" t="s">
        <v>21</v>
      </c>
    </row>
    <row r="3837" spans="1:12">
      <c r="A3837" t="s">
        <v>5254</v>
      </c>
      <c r="B3837" t="s">
        <v>5228</v>
      </c>
      <c r="C3837" t="s">
        <v>80</v>
      </c>
      <c r="D3837">
        <v>1982</v>
      </c>
      <c r="E3837" t="s">
        <v>23</v>
      </c>
      <c r="F3837" t="s">
        <v>24</v>
      </c>
      <c r="G3837" t="s">
        <v>25</v>
      </c>
      <c r="H3837" t="s">
        <v>26</v>
      </c>
      <c r="I3837">
        <v>22356726</v>
      </c>
      <c r="J3837" t="s">
        <v>27</v>
      </c>
      <c r="K3837" t="s">
        <v>5253</v>
      </c>
      <c r="L3837" t="s">
        <v>21</v>
      </c>
    </row>
    <row r="3838" spans="1:12">
      <c r="A3838" t="s">
        <v>5255</v>
      </c>
      <c r="B3838" t="s">
        <v>5228</v>
      </c>
      <c r="C3838" t="s">
        <v>80</v>
      </c>
      <c r="D3838">
        <v>1982</v>
      </c>
      <c r="E3838" t="s">
        <v>29</v>
      </c>
      <c r="F3838" t="s">
        <v>30</v>
      </c>
      <c r="G3838" t="s">
        <v>31</v>
      </c>
      <c r="H3838" t="s">
        <v>32</v>
      </c>
      <c r="I3838">
        <v>9605.3140530000001</v>
      </c>
      <c r="J3838" t="s">
        <v>33</v>
      </c>
      <c r="K3838" t="s">
        <v>5253</v>
      </c>
      <c r="L3838" t="s">
        <v>21</v>
      </c>
    </row>
    <row r="3839" spans="1:12">
      <c r="A3839" t="s">
        <v>5256</v>
      </c>
      <c r="B3839" t="s">
        <v>5228</v>
      </c>
      <c r="C3839" t="s">
        <v>80</v>
      </c>
      <c r="D3839">
        <v>1987</v>
      </c>
      <c r="E3839" t="s">
        <v>15</v>
      </c>
      <c r="F3839" t="s">
        <v>16</v>
      </c>
      <c r="G3839" t="s">
        <v>17</v>
      </c>
      <c r="H3839" t="s">
        <v>18</v>
      </c>
      <c r="I3839">
        <v>69.53</v>
      </c>
      <c r="J3839" t="s">
        <v>19</v>
      </c>
      <c r="K3839" t="s">
        <v>5257</v>
      </c>
      <c r="L3839" t="s">
        <v>21</v>
      </c>
    </row>
    <row r="3840" spans="1:12">
      <c r="A3840" t="s">
        <v>5258</v>
      </c>
      <c r="B3840" t="s">
        <v>5228</v>
      </c>
      <c r="C3840" t="s">
        <v>80</v>
      </c>
      <c r="D3840">
        <v>1987</v>
      </c>
      <c r="E3840" t="s">
        <v>23</v>
      </c>
      <c r="F3840" t="s">
        <v>24</v>
      </c>
      <c r="G3840" t="s">
        <v>25</v>
      </c>
      <c r="H3840" t="s">
        <v>26</v>
      </c>
      <c r="I3840">
        <v>22686371</v>
      </c>
      <c r="J3840" t="s">
        <v>27</v>
      </c>
      <c r="K3840" t="s">
        <v>5257</v>
      </c>
      <c r="L3840" t="s">
        <v>21</v>
      </c>
    </row>
    <row r="3841" spans="1:12">
      <c r="A3841" t="s">
        <v>5259</v>
      </c>
      <c r="B3841" t="s">
        <v>5228</v>
      </c>
      <c r="C3841" t="s">
        <v>80</v>
      </c>
      <c r="D3841">
        <v>1987</v>
      </c>
      <c r="E3841" t="s">
        <v>29</v>
      </c>
      <c r="F3841" t="s">
        <v>30</v>
      </c>
      <c r="G3841" t="s">
        <v>31</v>
      </c>
      <c r="H3841" t="s">
        <v>32</v>
      </c>
      <c r="I3841">
        <v>9696.2732950000009</v>
      </c>
      <c r="J3841" t="s">
        <v>33</v>
      </c>
      <c r="K3841" t="s">
        <v>5257</v>
      </c>
      <c r="L3841" t="s">
        <v>21</v>
      </c>
    </row>
    <row r="3842" spans="1:12">
      <c r="A3842" t="s">
        <v>5260</v>
      </c>
      <c r="B3842" t="s">
        <v>5228</v>
      </c>
      <c r="C3842" t="s">
        <v>80</v>
      </c>
      <c r="D3842">
        <v>1992</v>
      </c>
      <c r="E3842" t="s">
        <v>15</v>
      </c>
      <c r="F3842" t="s">
        <v>16</v>
      </c>
      <c r="G3842" t="s">
        <v>17</v>
      </c>
      <c r="H3842" t="s">
        <v>18</v>
      </c>
      <c r="I3842">
        <v>69.36</v>
      </c>
      <c r="J3842" t="s">
        <v>19</v>
      </c>
      <c r="K3842" t="s">
        <v>5261</v>
      </c>
      <c r="L3842" t="s">
        <v>21</v>
      </c>
    </row>
    <row r="3843" spans="1:12">
      <c r="A3843" t="s">
        <v>5262</v>
      </c>
      <c r="B3843" t="s">
        <v>5228</v>
      </c>
      <c r="C3843" t="s">
        <v>80</v>
      </c>
      <c r="D3843">
        <v>1992</v>
      </c>
      <c r="E3843" t="s">
        <v>23</v>
      </c>
      <c r="F3843" t="s">
        <v>24</v>
      </c>
      <c r="G3843" t="s">
        <v>25</v>
      </c>
      <c r="H3843" t="s">
        <v>26</v>
      </c>
      <c r="I3843">
        <v>22797027</v>
      </c>
      <c r="J3843" t="s">
        <v>27</v>
      </c>
      <c r="K3843" t="s">
        <v>5261</v>
      </c>
      <c r="L3843" t="s">
        <v>21</v>
      </c>
    </row>
    <row r="3844" spans="1:12">
      <c r="A3844" t="s">
        <v>5263</v>
      </c>
      <c r="B3844" t="s">
        <v>5228</v>
      </c>
      <c r="C3844" t="s">
        <v>80</v>
      </c>
      <c r="D3844">
        <v>1992</v>
      </c>
      <c r="E3844" t="s">
        <v>29</v>
      </c>
      <c r="F3844" t="s">
        <v>30</v>
      </c>
      <c r="G3844" t="s">
        <v>31</v>
      </c>
      <c r="H3844" t="s">
        <v>32</v>
      </c>
      <c r="I3844">
        <v>6598.4099029999998</v>
      </c>
      <c r="J3844" t="s">
        <v>33</v>
      </c>
      <c r="K3844" t="s">
        <v>5261</v>
      </c>
      <c r="L3844" t="s">
        <v>21</v>
      </c>
    </row>
    <row r="3845" spans="1:12">
      <c r="A3845" t="s">
        <v>5264</v>
      </c>
      <c r="B3845" t="s">
        <v>5228</v>
      </c>
      <c r="C3845" t="s">
        <v>80</v>
      </c>
      <c r="D3845">
        <v>1997</v>
      </c>
      <c r="E3845" t="s">
        <v>15</v>
      </c>
      <c r="F3845" t="s">
        <v>16</v>
      </c>
      <c r="G3845" t="s">
        <v>17</v>
      </c>
      <c r="H3845" t="s">
        <v>18</v>
      </c>
      <c r="I3845">
        <v>69.72</v>
      </c>
      <c r="J3845" t="s">
        <v>19</v>
      </c>
      <c r="K3845" t="s">
        <v>5265</v>
      </c>
      <c r="L3845" t="s">
        <v>21</v>
      </c>
    </row>
    <row r="3846" spans="1:12">
      <c r="A3846" t="s">
        <v>5266</v>
      </c>
      <c r="B3846" t="s">
        <v>5228</v>
      </c>
      <c r="C3846" t="s">
        <v>80</v>
      </c>
      <c r="D3846">
        <v>1997</v>
      </c>
      <c r="E3846" t="s">
        <v>23</v>
      </c>
      <c r="F3846" t="s">
        <v>24</v>
      </c>
      <c r="G3846" t="s">
        <v>25</v>
      </c>
      <c r="H3846" t="s">
        <v>26</v>
      </c>
      <c r="I3846">
        <v>22562458</v>
      </c>
      <c r="J3846" t="s">
        <v>27</v>
      </c>
      <c r="K3846" t="s">
        <v>5265</v>
      </c>
      <c r="L3846" t="s">
        <v>21</v>
      </c>
    </row>
    <row r="3847" spans="1:12">
      <c r="A3847" t="s">
        <v>5267</v>
      </c>
      <c r="B3847" t="s">
        <v>5228</v>
      </c>
      <c r="C3847" t="s">
        <v>80</v>
      </c>
      <c r="D3847">
        <v>1997</v>
      </c>
      <c r="E3847" t="s">
        <v>29</v>
      </c>
      <c r="F3847" t="s">
        <v>30</v>
      </c>
      <c r="G3847" t="s">
        <v>31</v>
      </c>
      <c r="H3847" t="s">
        <v>32</v>
      </c>
      <c r="I3847">
        <v>7346.5475569999899</v>
      </c>
      <c r="J3847" t="s">
        <v>33</v>
      </c>
      <c r="K3847" t="s">
        <v>5265</v>
      </c>
      <c r="L3847" t="s">
        <v>21</v>
      </c>
    </row>
    <row r="3848" spans="1:12">
      <c r="A3848" t="s">
        <v>5268</v>
      </c>
      <c r="B3848" t="s">
        <v>5228</v>
      </c>
      <c r="C3848" t="s">
        <v>80</v>
      </c>
      <c r="D3848">
        <v>2002</v>
      </c>
      <c r="E3848" t="s">
        <v>15</v>
      </c>
      <c r="F3848" t="s">
        <v>16</v>
      </c>
      <c r="G3848" t="s">
        <v>17</v>
      </c>
      <c r="H3848" t="s">
        <v>18</v>
      </c>
      <c r="I3848">
        <v>71.322000000000003</v>
      </c>
      <c r="J3848" t="s">
        <v>19</v>
      </c>
      <c r="K3848" t="s">
        <v>5269</v>
      </c>
      <c r="L3848" t="s">
        <v>21</v>
      </c>
    </row>
    <row r="3849" spans="1:12">
      <c r="A3849" t="s">
        <v>5270</v>
      </c>
      <c r="B3849" t="s">
        <v>5228</v>
      </c>
      <c r="C3849" t="s">
        <v>80</v>
      </c>
      <c r="D3849">
        <v>2002</v>
      </c>
      <c r="E3849" t="s">
        <v>23</v>
      </c>
      <c r="F3849" t="s">
        <v>24</v>
      </c>
      <c r="G3849" t="s">
        <v>25</v>
      </c>
      <c r="H3849" t="s">
        <v>26</v>
      </c>
      <c r="I3849">
        <v>22404337</v>
      </c>
      <c r="J3849" t="s">
        <v>27</v>
      </c>
      <c r="K3849" t="s">
        <v>5269</v>
      </c>
      <c r="L3849" t="s">
        <v>21</v>
      </c>
    </row>
    <row r="3850" spans="1:12">
      <c r="A3850" t="s">
        <v>5271</v>
      </c>
      <c r="B3850" t="s">
        <v>5228</v>
      </c>
      <c r="C3850" t="s">
        <v>80</v>
      </c>
      <c r="D3850">
        <v>2002</v>
      </c>
      <c r="E3850" t="s">
        <v>29</v>
      </c>
      <c r="F3850" t="s">
        <v>30</v>
      </c>
      <c r="G3850" t="s">
        <v>31</v>
      </c>
      <c r="H3850" t="s">
        <v>32</v>
      </c>
      <c r="I3850">
        <v>7885.3600809999998</v>
      </c>
      <c r="J3850" t="s">
        <v>33</v>
      </c>
      <c r="K3850" t="s">
        <v>5269</v>
      </c>
      <c r="L3850" t="s">
        <v>21</v>
      </c>
    </row>
    <row r="3851" spans="1:12">
      <c r="A3851" t="s">
        <v>5272</v>
      </c>
      <c r="B3851" t="s">
        <v>5228</v>
      </c>
      <c r="C3851" t="s">
        <v>80</v>
      </c>
      <c r="D3851">
        <v>2007</v>
      </c>
      <c r="E3851" t="s">
        <v>15</v>
      </c>
      <c r="F3851" t="s">
        <v>16</v>
      </c>
      <c r="G3851" t="s">
        <v>17</v>
      </c>
      <c r="H3851" t="s">
        <v>18</v>
      </c>
      <c r="I3851">
        <v>72.475999999999999</v>
      </c>
      <c r="J3851" t="s">
        <v>19</v>
      </c>
      <c r="K3851" t="s">
        <v>5273</v>
      </c>
      <c r="L3851" t="s">
        <v>21</v>
      </c>
    </row>
    <row r="3852" spans="1:12">
      <c r="A3852" t="s">
        <v>5274</v>
      </c>
      <c r="B3852" t="s">
        <v>5228</v>
      </c>
      <c r="C3852" t="s">
        <v>80</v>
      </c>
      <c r="D3852">
        <v>2007</v>
      </c>
      <c r="E3852" t="s">
        <v>23</v>
      </c>
      <c r="F3852" t="s">
        <v>24</v>
      </c>
      <c r="G3852" t="s">
        <v>25</v>
      </c>
      <c r="H3852" t="s">
        <v>26</v>
      </c>
      <c r="I3852">
        <v>22276056</v>
      </c>
      <c r="J3852" t="s">
        <v>27</v>
      </c>
      <c r="K3852" t="s">
        <v>5273</v>
      </c>
      <c r="L3852" t="s">
        <v>21</v>
      </c>
    </row>
    <row r="3853" spans="1:12">
      <c r="A3853" t="s">
        <v>5275</v>
      </c>
      <c r="B3853" t="s">
        <v>5228</v>
      </c>
      <c r="C3853" t="s">
        <v>80</v>
      </c>
      <c r="D3853">
        <v>2007</v>
      </c>
      <c r="E3853" t="s">
        <v>29</v>
      </c>
      <c r="F3853" t="s">
        <v>30</v>
      </c>
      <c r="G3853" t="s">
        <v>31</v>
      </c>
      <c r="H3853" t="s">
        <v>32</v>
      </c>
      <c r="I3853">
        <v>10808.47561</v>
      </c>
      <c r="J3853" t="s">
        <v>33</v>
      </c>
      <c r="K3853" t="s">
        <v>5273</v>
      </c>
      <c r="L3853" t="s">
        <v>21</v>
      </c>
    </row>
    <row r="3854" spans="1:12">
      <c r="A3854" t="s">
        <v>5276</v>
      </c>
      <c r="B3854" t="s">
        <v>5277</v>
      </c>
      <c r="C3854" t="s">
        <v>130</v>
      </c>
      <c r="D3854">
        <v>1952</v>
      </c>
      <c r="E3854" t="s">
        <v>15</v>
      </c>
      <c r="F3854" t="s">
        <v>16</v>
      </c>
      <c r="G3854" t="s">
        <v>17</v>
      </c>
      <c r="H3854" t="s">
        <v>18</v>
      </c>
      <c r="I3854">
        <v>40</v>
      </c>
      <c r="J3854" t="s">
        <v>19</v>
      </c>
      <c r="K3854" t="s">
        <v>5278</v>
      </c>
      <c r="L3854" t="s">
        <v>21</v>
      </c>
    </row>
    <row r="3855" spans="1:12">
      <c r="A3855" t="s">
        <v>5279</v>
      </c>
      <c r="B3855" t="s">
        <v>5277</v>
      </c>
      <c r="C3855" t="s">
        <v>130</v>
      </c>
      <c r="D3855">
        <v>1952</v>
      </c>
      <c r="E3855" t="s">
        <v>23</v>
      </c>
      <c r="F3855" t="s">
        <v>24</v>
      </c>
      <c r="G3855" t="s">
        <v>25</v>
      </c>
      <c r="H3855" t="s">
        <v>26</v>
      </c>
      <c r="I3855">
        <v>2534927</v>
      </c>
      <c r="J3855" t="s">
        <v>27</v>
      </c>
      <c r="K3855" t="s">
        <v>5278</v>
      </c>
      <c r="L3855" t="s">
        <v>21</v>
      </c>
    </row>
    <row r="3856" spans="1:12">
      <c r="A3856" t="s">
        <v>5280</v>
      </c>
      <c r="B3856" t="s">
        <v>5277</v>
      </c>
      <c r="C3856" t="s">
        <v>130</v>
      </c>
      <c r="D3856">
        <v>1952</v>
      </c>
      <c r="E3856" t="s">
        <v>29</v>
      </c>
      <c r="F3856" t="s">
        <v>30</v>
      </c>
      <c r="G3856" t="s">
        <v>31</v>
      </c>
      <c r="H3856" t="s">
        <v>32</v>
      </c>
      <c r="I3856">
        <v>493.32387519999997</v>
      </c>
      <c r="J3856" t="s">
        <v>33</v>
      </c>
      <c r="K3856" t="s">
        <v>5278</v>
      </c>
      <c r="L3856" t="s">
        <v>21</v>
      </c>
    </row>
    <row r="3857" spans="1:12">
      <c r="A3857" t="s">
        <v>5281</v>
      </c>
      <c r="B3857" t="s">
        <v>5277</v>
      </c>
      <c r="C3857" t="s">
        <v>130</v>
      </c>
      <c r="D3857">
        <v>1957</v>
      </c>
      <c r="E3857" t="s">
        <v>15</v>
      </c>
      <c r="F3857" t="s">
        <v>16</v>
      </c>
      <c r="G3857" t="s">
        <v>17</v>
      </c>
      <c r="H3857" t="s">
        <v>18</v>
      </c>
      <c r="I3857">
        <v>41.5</v>
      </c>
      <c r="J3857" t="s">
        <v>19</v>
      </c>
      <c r="K3857" t="s">
        <v>5282</v>
      </c>
      <c r="L3857" t="s">
        <v>21</v>
      </c>
    </row>
    <row r="3858" spans="1:12">
      <c r="A3858" t="s">
        <v>5283</v>
      </c>
      <c r="B3858" t="s">
        <v>5277</v>
      </c>
      <c r="C3858" t="s">
        <v>130</v>
      </c>
      <c r="D3858">
        <v>1957</v>
      </c>
      <c r="E3858" t="s">
        <v>23</v>
      </c>
      <c r="F3858" t="s">
        <v>24</v>
      </c>
      <c r="G3858" t="s">
        <v>25</v>
      </c>
      <c r="H3858" t="s">
        <v>26</v>
      </c>
      <c r="I3858">
        <v>2822082</v>
      </c>
      <c r="J3858" t="s">
        <v>27</v>
      </c>
      <c r="K3858" t="s">
        <v>5282</v>
      </c>
      <c r="L3858" t="s">
        <v>21</v>
      </c>
    </row>
    <row r="3859" spans="1:12">
      <c r="A3859" t="s">
        <v>5284</v>
      </c>
      <c r="B3859" t="s">
        <v>5277</v>
      </c>
      <c r="C3859" t="s">
        <v>130</v>
      </c>
      <c r="D3859">
        <v>1957</v>
      </c>
      <c r="E3859" t="s">
        <v>29</v>
      </c>
      <c r="F3859" t="s">
        <v>30</v>
      </c>
      <c r="G3859" t="s">
        <v>31</v>
      </c>
      <c r="H3859" t="s">
        <v>32</v>
      </c>
      <c r="I3859">
        <v>540.28939829999899</v>
      </c>
      <c r="J3859" t="s">
        <v>33</v>
      </c>
      <c r="K3859" t="s">
        <v>5282</v>
      </c>
      <c r="L3859" t="s">
        <v>21</v>
      </c>
    </row>
    <row r="3860" spans="1:12">
      <c r="A3860" t="s">
        <v>5285</v>
      </c>
      <c r="B3860" t="s">
        <v>5277</v>
      </c>
      <c r="C3860" t="s">
        <v>130</v>
      </c>
      <c r="D3860">
        <v>1962</v>
      </c>
      <c r="E3860" t="s">
        <v>15</v>
      </c>
      <c r="F3860" t="s">
        <v>16</v>
      </c>
      <c r="G3860" t="s">
        <v>17</v>
      </c>
      <c r="H3860" t="s">
        <v>18</v>
      </c>
      <c r="I3860">
        <v>43</v>
      </c>
      <c r="J3860" t="s">
        <v>19</v>
      </c>
      <c r="K3860" t="s">
        <v>5286</v>
      </c>
      <c r="L3860" t="s">
        <v>21</v>
      </c>
    </row>
    <row r="3861" spans="1:12">
      <c r="A3861" t="s">
        <v>5287</v>
      </c>
      <c r="B3861" t="s">
        <v>5277</v>
      </c>
      <c r="C3861" t="s">
        <v>130</v>
      </c>
      <c r="D3861">
        <v>1962</v>
      </c>
      <c r="E3861" t="s">
        <v>23</v>
      </c>
      <c r="F3861" t="s">
        <v>24</v>
      </c>
      <c r="G3861" t="s">
        <v>25</v>
      </c>
      <c r="H3861" t="s">
        <v>26</v>
      </c>
      <c r="I3861">
        <v>3051242</v>
      </c>
      <c r="J3861" t="s">
        <v>27</v>
      </c>
      <c r="K3861" t="s">
        <v>5286</v>
      </c>
      <c r="L3861" t="s">
        <v>21</v>
      </c>
    </row>
    <row r="3862" spans="1:12">
      <c r="A3862" t="s">
        <v>5288</v>
      </c>
      <c r="B3862" t="s">
        <v>5277</v>
      </c>
      <c r="C3862" t="s">
        <v>130</v>
      </c>
      <c r="D3862">
        <v>1962</v>
      </c>
      <c r="E3862" t="s">
        <v>29</v>
      </c>
      <c r="F3862" t="s">
        <v>30</v>
      </c>
      <c r="G3862" t="s">
        <v>31</v>
      </c>
      <c r="H3862" t="s">
        <v>32</v>
      </c>
      <c r="I3862">
        <v>597.47307269999999</v>
      </c>
      <c r="J3862" t="s">
        <v>33</v>
      </c>
      <c r="K3862" t="s">
        <v>5286</v>
      </c>
      <c r="L3862" t="s">
        <v>21</v>
      </c>
    </row>
    <row r="3863" spans="1:12">
      <c r="A3863" t="s">
        <v>5289</v>
      </c>
      <c r="B3863" t="s">
        <v>5277</v>
      </c>
      <c r="C3863" t="s">
        <v>130</v>
      </c>
      <c r="D3863">
        <v>1967</v>
      </c>
      <c r="E3863" t="s">
        <v>15</v>
      </c>
      <c r="F3863" t="s">
        <v>16</v>
      </c>
      <c r="G3863" t="s">
        <v>17</v>
      </c>
      <c r="H3863" t="s">
        <v>18</v>
      </c>
      <c r="I3863">
        <v>44.1</v>
      </c>
      <c r="J3863" t="s">
        <v>19</v>
      </c>
      <c r="K3863" t="s">
        <v>5290</v>
      </c>
      <c r="L3863" t="s">
        <v>21</v>
      </c>
    </row>
    <row r="3864" spans="1:12">
      <c r="A3864" t="s">
        <v>5291</v>
      </c>
      <c r="B3864" t="s">
        <v>5277</v>
      </c>
      <c r="C3864" t="s">
        <v>130</v>
      </c>
      <c r="D3864">
        <v>1967</v>
      </c>
      <c r="E3864" t="s">
        <v>23</v>
      </c>
      <c r="F3864" t="s">
        <v>24</v>
      </c>
      <c r="G3864" t="s">
        <v>25</v>
      </c>
      <c r="H3864" t="s">
        <v>26</v>
      </c>
      <c r="I3864">
        <v>3451079</v>
      </c>
      <c r="J3864" t="s">
        <v>27</v>
      </c>
      <c r="K3864" t="s">
        <v>5290</v>
      </c>
      <c r="L3864" t="s">
        <v>21</v>
      </c>
    </row>
    <row r="3865" spans="1:12">
      <c r="A3865" t="s">
        <v>5292</v>
      </c>
      <c r="B3865" t="s">
        <v>5277</v>
      </c>
      <c r="C3865" t="s">
        <v>130</v>
      </c>
      <c r="D3865">
        <v>1967</v>
      </c>
      <c r="E3865" t="s">
        <v>29</v>
      </c>
      <c r="F3865" t="s">
        <v>30</v>
      </c>
      <c r="G3865" t="s">
        <v>31</v>
      </c>
      <c r="H3865" t="s">
        <v>32</v>
      </c>
      <c r="I3865">
        <v>510.96371420000003</v>
      </c>
      <c r="J3865" t="s">
        <v>33</v>
      </c>
      <c r="K3865" t="s">
        <v>5290</v>
      </c>
      <c r="L3865" t="s">
        <v>21</v>
      </c>
    </row>
    <row r="3866" spans="1:12">
      <c r="A3866" t="s">
        <v>5293</v>
      </c>
      <c r="B3866" t="s">
        <v>5277</v>
      </c>
      <c r="C3866" t="s">
        <v>130</v>
      </c>
      <c r="D3866">
        <v>1972</v>
      </c>
      <c r="E3866" t="s">
        <v>15</v>
      </c>
      <c r="F3866" t="s">
        <v>16</v>
      </c>
      <c r="G3866" t="s">
        <v>17</v>
      </c>
      <c r="H3866" t="s">
        <v>18</v>
      </c>
      <c r="I3866">
        <v>44.6</v>
      </c>
      <c r="J3866" t="s">
        <v>19</v>
      </c>
      <c r="K3866" t="s">
        <v>5294</v>
      </c>
      <c r="L3866" t="s">
        <v>21</v>
      </c>
    </row>
    <row r="3867" spans="1:12">
      <c r="A3867" t="s">
        <v>5295</v>
      </c>
      <c r="B3867" t="s">
        <v>5277</v>
      </c>
      <c r="C3867" t="s">
        <v>130</v>
      </c>
      <c r="D3867">
        <v>1972</v>
      </c>
      <c r="E3867" t="s">
        <v>23</v>
      </c>
      <c r="F3867" t="s">
        <v>24</v>
      </c>
      <c r="G3867" t="s">
        <v>25</v>
      </c>
      <c r="H3867" t="s">
        <v>26</v>
      </c>
      <c r="I3867">
        <v>3992121</v>
      </c>
      <c r="J3867" t="s">
        <v>27</v>
      </c>
      <c r="K3867" t="s">
        <v>5294</v>
      </c>
      <c r="L3867" t="s">
        <v>21</v>
      </c>
    </row>
    <row r="3868" spans="1:12">
      <c r="A3868" t="s">
        <v>5296</v>
      </c>
      <c r="B3868" t="s">
        <v>5277</v>
      </c>
      <c r="C3868" t="s">
        <v>130</v>
      </c>
      <c r="D3868">
        <v>1972</v>
      </c>
      <c r="E3868" t="s">
        <v>29</v>
      </c>
      <c r="F3868" t="s">
        <v>30</v>
      </c>
      <c r="G3868" t="s">
        <v>31</v>
      </c>
      <c r="H3868" t="s">
        <v>32</v>
      </c>
      <c r="I3868">
        <v>590.580663799999</v>
      </c>
      <c r="J3868" t="s">
        <v>33</v>
      </c>
      <c r="K3868" t="s">
        <v>5294</v>
      </c>
      <c r="L3868" t="s">
        <v>21</v>
      </c>
    </row>
    <row r="3869" spans="1:12">
      <c r="A3869" t="s">
        <v>5297</v>
      </c>
      <c r="B3869" t="s">
        <v>5277</v>
      </c>
      <c r="C3869" t="s">
        <v>130</v>
      </c>
      <c r="D3869">
        <v>1977</v>
      </c>
      <c r="E3869" t="s">
        <v>15</v>
      </c>
      <c r="F3869" t="s">
        <v>16</v>
      </c>
      <c r="G3869" t="s">
        <v>17</v>
      </c>
      <c r="H3869" t="s">
        <v>18</v>
      </c>
      <c r="I3869">
        <v>45</v>
      </c>
      <c r="J3869" t="s">
        <v>19</v>
      </c>
      <c r="K3869" t="s">
        <v>5298</v>
      </c>
      <c r="L3869" t="s">
        <v>21</v>
      </c>
    </row>
    <row r="3870" spans="1:12">
      <c r="A3870" t="s">
        <v>5299</v>
      </c>
      <c r="B3870" t="s">
        <v>5277</v>
      </c>
      <c r="C3870" t="s">
        <v>130</v>
      </c>
      <c r="D3870">
        <v>1977</v>
      </c>
      <c r="E3870" t="s">
        <v>23</v>
      </c>
      <c r="F3870" t="s">
        <v>24</v>
      </c>
      <c r="G3870" t="s">
        <v>25</v>
      </c>
      <c r="H3870" t="s">
        <v>26</v>
      </c>
      <c r="I3870">
        <v>4657072</v>
      </c>
      <c r="J3870" t="s">
        <v>27</v>
      </c>
      <c r="K3870" t="s">
        <v>5298</v>
      </c>
      <c r="L3870" t="s">
        <v>21</v>
      </c>
    </row>
    <row r="3871" spans="1:12">
      <c r="A3871" t="s">
        <v>5300</v>
      </c>
      <c r="B3871" t="s">
        <v>5277</v>
      </c>
      <c r="C3871" t="s">
        <v>130</v>
      </c>
      <c r="D3871">
        <v>1977</v>
      </c>
      <c r="E3871" t="s">
        <v>29</v>
      </c>
      <c r="F3871" t="s">
        <v>30</v>
      </c>
      <c r="G3871" t="s">
        <v>31</v>
      </c>
      <c r="H3871" t="s">
        <v>32</v>
      </c>
      <c r="I3871">
        <v>670.08060109999997</v>
      </c>
      <c r="J3871" t="s">
        <v>33</v>
      </c>
      <c r="K3871" t="s">
        <v>5298</v>
      </c>
      <c r="L3871" t="s">
        <v>21</v>
      </c>
    </row>
    <row r="3872" spans="1:12">
      <c r="A3872" t="s">
        <v>5301</v>
      </c>
      <c r="B3872" t="s">
        <v>5277</v>
      </c>
      <c r="C3872" t="s">
        <v>130</v>
      </c>
      <c r="D3872">
        <v>1982</v>
      </c>
      <c r="E3872" t="s">
        <v>15</v>
      </c>
      <c r="F3872" t="s">
        <v>16</v>
      </c>
      <c r="G3872" t="s">
        <v>17</v>
      </c>
      <c r="H3872" t="s">
        <v>18</v>
      </c>
      <c r="I3872">
        <v>46.218000000000004</v>
      </c>
      <c r="J3872" t="s">
        <v>19</v>
      </c>
      <c r="K3872" t="s">
        <v>5302</v>
      </c>
      <c r="L3872" t="s">
        <v>21</v>
      </c>
    </row>
    <row r="3873" spans="1:12">
      <c r="A3873" t="s">
        <v>5303</v>
      </c>
      <c r="B3873" t="s">
        <v>5277</v>
      </c>
      <c r="C3873" t="s">
        <v>130</v>
      </c>
      <c r="D3873">
        <v>1982</v>
      </c>
      <c r="E3873" t="s">
        <v>23</v>
      </c>
      <c r="F3873" t="s">
        <v>24</v>
      </c>
      <c r="G3873" t="s">
        <v>25</v>
      </c>
      <c r="H3873" t="s">
        <v>26</v>
      </c>
      <c r="I3873">
        <v>5507565</v>
      </c>
      <c r="J3873" t="s">
        <v>27</v>
      </c>
      <c r="K3873" t="s">
        <v>5302</v>
      </c>
      <c r="L3873" t="s">
        <v>21</v>
      </c>
    </row>
    <row r="3874" spans="1:12">
      <c r="A3874" t="s">
        <v>5304</v>
      </c>
      <c r="B3874" t="s">
        <v>5277</v>
      </c>
      <c r="C3874" t="s">
        <v>130</v>
      </c>
      <c r="D3874">
        <v>1982</v>
      </c>
      <c r="E3874" t="s">
        <v>29</v>
      </c>
      <c r="F3874" t="s">
        <v>30</v>
      </c>
      <c r="G3874" t="s">
        <v>31</v>
      </c>
      <c r="H3874" t="s">
        <v>32</v>
      </c>
      <c r="I3874">
        <v>881.5706467</v>
      </c>
      <c r="J3874" t="s">
        <v>33</v>
      </c>
      <c r="K3874" t="s">
        <v>5302</v>
      </c>
      <c r="L3874" t="s">
        <v>21</v>
      </c>
    </row>
    <row r="3875" spans="1:12">
      <c r="A3875" t="s">
        <v>5305</v>
      </c>
      <c r="B3875" t="s">
        <v>5277</v>
      </c>
      <c r="C3875" t="s">
        <v>130</v>
      </c>
      <c r="D3875">
        <v>1987</v>
      </c>
      <c r="E3875" t="s">
        <v>15</v>
      </c>
      <c r="F3875" t="s">
        <v>16</v>
      </c>
      <c r="G3875" t="s">
        <v>17</v>
      </c>
      <c r="H3875" t="s">
        <v>18</v>
      </c>
      <c r="I3875">
        <v>44.02</v>
      </c>
      <c r="J3875" t="s">
        <v>19</v>
      </c>
      <c r="K3875" t="s">
        <v>5306</v>
      </c>
      <c r="L3875" t="s">
        <v>21</v>
      </c>
    </row>
    <row r="3876" spans="1:12">
      <c r="A3876" t="s">
        <v>5307</v>
      </c>
      <c r="B3876" t="s">
        <v>5277</v>
      </c>
      <c r="C3876" t="s">
        <v>130</v>
      </c>
      <c r="D3876">
        <v>1987</v>
      </c>
      <c r="E3876" t="s">
        <v>23</v>
      </c>
      <c r="F3876" t="s">
        <v>24</v>
      </c>
      <c r="G3876" t="s">
        <v>25</v>
      </c>
      <c r="H3876" t="s">
        <v>26</v>
      </c>
      <c r="I3876">
        <v>6349365</v>
      </c>
      <c r="J3876" t="s">
        <v>27</v>
      </c>
      <c r="K3876" t="s">
        <v>5306</v>
      </c>
      <c r="L3876" t="s">
        <v>21</v>
      </c>
    </row>
    <row r="3877" spans="1:12">
      <c r="A3877" t="s">
        <v>5308</v>
      </c>
      <c r="B3877" t="s">
        <v>5277</v>
      </c>
      <c r="C3877" t="s">
        <v>130</v>
      </c>
      <c r="D3877">
        <v>1987</v>
      </c>
      <c r="E3877" t="s">
        <v>29</v>
      </c>
      <c r="F3877" t="s">
        <v>30</v>
      </c>
      <c r="G3877" t="s">
        <v>31</v>
      </c>
      <c r="H3877" t="s">
        <v>32</v>
      </c>
      <c r="I3877">
        <v>847.99121700000001</v>
      </c>
      <c r="J3877" t="s">
        <v>33</v>
      </c>
      <c r="K3877" t="s">
        <v>5306</v>
      </c>
      <c r="L3877" t="s">
        <v>21</v>
      </c>
    </row>
    <row r="3878" spans="1:12">
      <c r="A3878" t="s">
        <v>5309</v>
      </c>
      <c r="B3878" t="s">
        <v>5277</v>
      </c>
      <c r="C3878" t="s">
        <v>130</v>
      </c>
      <c r="D3878">
        <v>1992</v>
      </c>
      <c r="E3878" t="s">
        <v>15</v>
      </c>
      <c r="F3878" t="s">
        <v>16</v>
      </c>
      <c r="G3878" t="s">
        <v>17</v>
      </c>
      <c r="H3878" t="s">
        <v>18</v>
      </c>
      <c r="I3878">
        <v>23.599</v>
      </c>
      <c r="J3878" t="s">
        <v>19</v>
      </c>
      <c r="K3878" t="s">
        <v>5310</v>
      </c>
      <c r="L3878" t="s">
        <v>21</v>
      </c>
    </row>
    <row r="3879" spans="1:12">
      <c r="A3879" t="s">
        <v>5311</v>
      </c>
      <c r="B3879" t="s">
        <v>5277</v>
      </c>
      <c r="C3879" t="s">
        <v>130</v>
      </c>
      <c r="D3879">
        <v>1992</v>
      </c>
      <c r="E3879" t="s">
        <v>23</v>
      </c>
      <c r="F3879" t="s">
        <v>24</v>
      </c>
      <c r="G3879" t="s">
        <v>25</v>
      </c>
      <c r="H3879" t="s">
        <v>26</v>
      </c>
      <c r="I3879">
        <v>7290203</v>
      </c>
      <c r="J3879" t="s">
        <v>27</v>
      </c>
      <c r="K3879" t="s">
        <v>5310</v>
      </c>
      <c r="L3879" t="s">
        <v>21</v>
      </c>
    </row>
    <row r="3880" spans="1:12">
      <c r="A3880" t="s">
        <v>5312</v>
      </c>
      <c r="B3880" t="s">
        <v>5277</v>
      </c>
      <c r="C3880" t="s">
        <v>130</v>
      </c>
      <c r="D3880">
        <v>1992</v>
      </c>
      <c r="E3880" t="s">
        <v>29</v>
      </c>
      <c r="F3880" t="s">
        <v>30</v>
      </c>
      <c r="G3880" t="s">
        <v>31</v>
      </c>
      <c r="H3880" t="s">
        <v>32</v>
      </c>
      <c r="I3880">
        <v>737.06859489999999</v>
      </c>
      <c r="J3880" t="s">
        <v>33</v>
      </c>
      <c r="K3880" t="s">
        <v>5310</v>
      </c>
      <c r="L3880" t="s">
        <v>21</v>
      </c>
    </row>
    <row r="3881" spans="1:12">
      <c r="A3881" t="s">
        <v>5313</v>
      </c>
      <c r="B3881" t="s">
        <v>5277</v>
      </c>
      <c r="C3881" t="s">
        <v>130</v>
      </c>
      <c r="D3881">
        <v>1997</v>
      </c>
      <c r="E3881" t="s">
        <v>15</v>
      </c>
      <c r="F3881" t="s">
        <v>16</v>
      </c>
      <c r="G3881" t="s">
        <v>17</v>
      </c>
      <c r="H3881" t="s">
        <v>18</v>
      </c>
      <c r="I3881">
        <v>36.087000000000003</v>
      </c>
      <c r="J3881" t="s">
        <v>19</v>
      </c>
      <c r="K3881" t="s">
        <v>5314</v>
      </c>
      <c r="L3881" t="s">
        <v>21</v>
      </c>
    </row>
    <row r="3882" spans="1:12">
      <c r="A3882" t="s">
        <v>5315</v>
      </c>
      <c r="B3882" t="s">
        <v>5277</v>
      </c>
      <c r="C3882" t="s">
        <v>130</v>
      </c>
      <c r="D3882">
        <v>1997</v>
      </c>
      <c r="E3882" t="s">
        <v>23</v>
      </c>
      <c r="F3882" t="s">
        <v>24</v>
      </c>
      <c r="G3882" t="s">
        <v>25</v>
      </c>
      <c r="H3882" t="s">
        <v>26</v>
      </c>
      <c r="I3882">
        <v>7212583</v>
      </c>
      <c r="J3882" t="s">
        <v>27</v>
      </c>
      <c r="K3882" t="s">
        <v>5314</v>
      </c>
      <c r="L3882" t="s">
        <v>21</v>
      </c>
    </row>
    <row r="3883" spans="1:12">
      <c r="A3883" t="s">
        <v>5316</v>
      </c>
      <c r="B3883" t="s">
        <v>5277</v>
      </c>
      <c r="C3883" t="s">
        <v>130</v>
      </c>
      <c r="D3883">
        <v>1997</v>
      </c>
      <c r="E3883" t="s">
        <v>29</v>
      </c>
      <c r="F3883" t="s">
        <v>30</v>
      </c>
      <c r="G3883" t="s">
        <v>31</v>
      </c>
      <c r="H3883" t="s">
        <v>32</v>
      </c>
      <c r="I3883">
        <v>589.94450510000001</v>
      </c>
      <c r="J3883" t="s">
        <v>33</v>
      </c>
      <c r="K3883" t="s">
        <v>5314</v>
      </c>
      <c r="L3883" t="s">
        <v>21</v>
      </c>
    </row>
    <row r="3884" spans="1:12">
      <c r="A3884" t="s">
        <v>5317</v>
      </c>
      <c r="B3884" t="s">
        <v>5277</v>
      </c>
      <c r="C3884" t="s">
        <v>130</v>
      </c>
      <c r="D3884">
        <v>2002</v>
      </c>
      <c r="E3884" t="s">
        <v>15</v>
      </c>
      <c r="F3884" t="s">
        <v>16</v>
      </c>
      <c r="G3884" t="s">
        <v>17</v>
      </c>
      <c r="H3884" t="s">
        <v>18</v>
      </c>
      <c r="I3884">
        <v>43.412999999999997</v>
      </c>
      <c r="J3884" t="s">
        <v>19</v>
      </c>
      <c r="K3884" t="s">
        <v>5318</v>
      </c>
      <c r="L3884" t="s">
        <v>21</v>
      </c>
    </row>
    <row r="3885" spans="1:12">
      <c r="A3885" t="s">
        <v>5319</v>
      </c>
      <c r="B3885" t="s">
        <v>5277</v>
      </c>
      <c r="C3885" t="s">
        <v>130</v>
      </c>
      <c r="D3885">
        <v>2002</v>
      </c>
      <c r="E3885" t="s">
        <v>23</v>
      </c>
      <c r="F3885" t="s">
        <v>24</v>
      </c>
      <c r="G3885" t="s">
        <v>25</v>
      </c>
      <c r="H3885" t="s">
        <v>26</v>
      </c>
      <c r="I3885">
        <v>7852401</v>
      </c>
      <c r="J3885" t="s">
        <v>27</v>
      </c>
      <c r="K3885" t="s">
        <v>5318</v>
      </c>
      <c r="L3885" t="s">
        <v>21</v>
      </c>
    </row>
    <row r="3886" spans="1:12">
      <c r="A3886" t="s">
        <v>5320</v>
      </c>
      <c r="B3886" t="s">
        <v>5277</v>
      </c>
      <c r="C3886" t="s">
        <v>130</v>
      </c>
      <c r="D3886">
        <v>2002</v>
      </c>
      <c r="E3886" t="s">
        <v>29</v>
      </c>
      <c r="F3886" t="s">
        <v>30</v>
      </c>
      <c r="G3886" t="s">
        <v>31</v>
      </c>
      <c r="H3886" t="s">
        <v>32</v>
      </c>
      <c r="I3886">
        <v>785.65376479999895</v>
      </c>
      <c r="J3886" t="s">
        <v>33</v>
      </c>
      <c r="K3886" t="s">
        <v>5318</v>
      </c>
      <c r="L3886" t="s">
        <v>21</v>
      </c>
    </row>
    <row r="3887" spans="1:12">
      <c r="A3887" t="s">
        <v>5321</v>
      </c>
      <c r="B3887" t="s">
        <v>5277</v>
      </c>
      <c r="C3887" t="s">
        <v>130</v>
      </c>
      <c r="D3887">
        <v>2007</v>
      </c>
      <c r="E3887" t="s">
        <v>15</v>
      </c>
      <c r="F3887" t="s">
        <v>16</v>
      </c>
      <c r="G3887" t="s">
        <v>17</v>
      </c>
      <c r="H3887" t="s">
        <v>18</v>
      </c>
      <c r="I3887">
        <v>46.241999999999997</v>
      </c>
      <c r="J3887" t="s">
        <v>19</v>
      </c>
      <c r="K3887" t="s">
        <v>5322</v>
      </c>
      <c r="L3887" t="s">
        <v>21</v>
      </c>
    </row>
    <row r="3888" spans="1:12">
      <c r="A3888" t="s">
        <v>5323</v>
      </c>
      <c r="B3888" t="s">
        <v>5277</v>
      </c>
      <c r="C3888" t="s">
        <v>130</v>
      </c>
      <c r="D3888">
        <v>2007</v>
      </c>
      <c r="E3888" t="s">
        <v>23</v>
      </c>
      <c r="F3888" t="s">
        <v>24</v>
      </c>
      <c r="G3888" t="s">
        <v>25</v>
      </c>
      <c r="H3888" t="s">
        <v>26</v>
      </c>
      <c r="I3888">
        <v>8860588</v>
      </c>
      <c r="J3888" t="s">
        <v>27</v>
      </c>
      <c r="K3888" t="s">
        <v>5322</v>
      </c>
      <c r="L3888" t="s">
        <v>21</v>
      </c>
    </row>
    <row r="3889" spans="1:12">
      <c r="A3889" t="s">
        <v>5324</v>
      </c>
      <c r="B3889" t="s">
        <v>5277</v>
      </c>
      <c r="C3889" t="s">
        <v>130</v>
      </c>
      <c r="D3889">
        <v>2007</v>
      </c>
      <c r="E3889" t="s">
        <v>29</v>
      </c>
      <c r="F3889" t="s">
        <v>30</v>
      </c>
      <c r="G3889" t="s">
        <v>31</v>
      </c>
      <c r="H3889" t="s">
        <v>32</v>
      </c>
      <c r="I3889">
        <v>863.08846389999997</v>
      </c>
      <c r="J3889" t="s">
        <v>33</v>
      </c>
      <c r="K3889" t="s">
        <v>5322</v>
      </c>
      <c r="L3889" t="s">
        <v>21</v>
      </c>
    </row>
    <row r="3890" spans="1:12">
      <c r="A3890" t="s">
        <v>5325</v>
      </c>
      <c r="B3890" t="s">
        <v>5326</v>
      </c>
      <c r="C3890" t="s">
        <v>130</v>
      </c>
      <c r="D3890">
        <v>1952</v>
      </c>
      <c r="E3890" t="s">
        <v>15</v>
      </c>
      <c r="F3890" t="s">
        <v>16</v>
      </c>
      <c r="G3890" t="s">
        <v>17</v>
      </c>
      <c r="H3890" t="s">
        <v>18</v>
      </c>
      <c r="I3890">
        <v>46.470999999999997</v>
      </c>
      <c r="J3890" t="s">
        <v>19</v>
      </c>
      <c r="K3890" t="s">
        <v>5327</v>
      </c>
      <c r="L3890" t="s">
        <v>21</v>
      </c>
    </row>
    <row r="3891" spans="1:12">
      <c r="A3891" t="s">
        <v>5328</v>
      </c>
      <c r="B3891" t="s">
        <v>5326</v>
      </c>
      <c r="C3891" t="s">
        <v>130</v>
      </c>
      <c r="D3891">
        <v>1952</v>
      </c>
      <c r="E3891" t="s">
        <v>23</v>
      </c>
      <c r="F3891" t="s">
        <v>24</v>
      </c>
      <c r="G3891" t="s">
        <v>25</v>
      </c>
      <c r="H3891" t="s">
        <v>26</v>
      </c>
      <c r="I3891">
        <v>60011</v>
      </c>
      <c r="J3891" t="s">
        <v>27</v>
      </c>
      <c r="K3891" t="s">
        <v>5327</v>
      </c>
      <c r="L3891" t="s">
        <v>21</v>
      </c>
    </row>
    <row r="3892" spans="1:12">
      <c r="A3892" t="s">
        <v>5329</v>
      </c>
      <c r="B3892" t="s">
        <v>5326</v>
      </c>
      <c r="C3892" t="s">
        <v>130</v>
      </c>
      <c r="D3892">
        <v>1952</v>
      </c>
      <c r="E3892" t="s">
        <v>29</v>
      </c>
      <c r="F3892" t="s">
        <v>30</v>
      </c>
      <c r="G3892" t="s">
        <v>31</v>
      </c>
      <c r="H3892" t="s">
        <v>32</v>
      </c>
      <c r="I3892">
        <v>879.58358550000003</v>
      </c>
      <c r="J3892" t="s">
        <v>33</v>
      </c>
      <c r="K3892" t="s">
        <v>5327</v>
      </c>
      <c r="L3892" t="s">
        <v>21</v>
      </c>
    </row>
    <row r="3893" spans="1:12">
      <c r="A3893" t="s">
        <v>5330</v>
      </c>
      <c r="B3893" t="s">
        <v>5326</v>
      </c>
      <c r="C3893" t="s">
        <v>130</v>
      </c>
      <c r="D3893">
        <v>1957</v>
      </c>
      <c r="E3893" t="s">
        <v>15</v>
      </c>
      <c r="F3893" t="s">
        <v>16</v>
      </c>
      <c r="G3893" t="s">
        <v>17</v>
      </c>
      <c r="H3893" t="s">
        <v>18</v>
      </c>
      <c r="I3893">
        <v>48.945</v>
      </c>
      <c r="J3893" t="s">
        <v>19</v>
      </c>
      <c r="K3893" t="s">
        <v>5331</v>
      </c>
      <c r="L3893" t="s">
        <v>21</v>
      </c>
    </row>
    <row r="3894" spans="1:12">
      <c r="A3894" t="s">
        <v>5332</v>
      </c>
      <c r="B3894" t="s">
        <v>5326</v>
      </c>
      <c r="C3894" t="s">
        <v>130</v>
      </c>
      <c r="D3894">
        <v>1957</v>
      </c>
      <c r="E3894" t="s">
        <v>23</v>
      </c>
      <c r="F3894" t="s">
        <v>24</v>
      </c>
      <c r="G3894" t="s">
        <v>25</v>
      </c>
      <c r="H3894" t="s">
        <v>26</v>
      </c>
      <c r="I3894">
        <v>61325</v>
      </c>
      <c r="J3894" t="s">
        <v>27</v>
      </c>
      <c r="K3894" t="s">
        <v>5331</v>
      </c>
      <c r="L3894" t="s">
        <v>21</v>
      </c>
    </row>
    <row r="3895" spans="1:12">
      <c r="A3895" t="s">
        <v>5333</v>
      </c>
      <c r="B3895" t="s">
        <v>5326</v>
      </c>
      <c r="C3895" t="s">
        <v>130</v>
      </c>
      <c r="D3895">
        <v>1957</v>
      </c>
      <c r="E3895" t="s">
        <v>29</v>
      </c>
      <c r="F3895" t="s">
        <v>30</v>
      </c>
      <c r="G3895" t="s">
        <v>31</v>
      </c>
      <c r="H3895" t="s">
        <v>32</v>
      </c>
      <c r="I3895">
        <v>860.73690260000001</v>
      </c>
      <c r="J3895" t="s">
        <v>33</v>
      </c>
      <c r="K3895" t="s">
        <v>5331</v>
      </c>
      <c r="L3895" t="s">
        <v>21</v>
      </c>
    </row>
    <row r="3896" spans="1:12">
      <c r="A3896" t="s">
        <v>5334</v>
      </c>
      <c r="B3896" t="s">
        <v>5326</v>
      </c>
      <c r="C3896" t="s">
        <v>130</v>
      </c>
      <c r="D3896">
        <v>1962</v>
      </c>
      <c r="E3896" t="s">
        <v>15</v>
      </c>
      <c r="F3896" t="s">
        <v>16</v>
      </c>
      <c r="G3896" t="s">
        <v>17</v>
      </c>
      <c r="H3896" t="s">
        <v>18</v>
      </c>
      <c r="I3896">
        <v>51.893000000000001</v>
      </c>
      <c r="J3896" t="s">
        <v>19</v>
      </c>
      <c r="K3896" t="s">
        <v>5335</v>
      </c>
      <c r="L3896" t="s">
        <v>21</v>
      </c>
    </row>
    <row r="3897" spans="1:12">
      <c r="A3897" t="s">
        <v>5336</v>
      </c>
      <c r="B3897" t="s">
        <v>5326</v>
      </c>
      <c r="C3897" t="s">
        <v>130</v>
      </c>
      <c r="D3897">
        <v>1962</v>
      </c>
      <c r="E3897" t="s">
        <v>23</v>
      </c>
      <c r="F3897" t="s">
        <v>24</v>
      </c>
      <c r="G3897" t="s">
        <v>25</v>
      </c>
      <c r="H3897" t="s">
        <v>26</v>
      </c>
      <c r="I3897">
        <v>65345</v>
      </c>
      <c r="J3897" t="s">
        <v>27</v>
      </c>
      <c r="K3897" t="s">
        <v>5335</v>
      </c>
      <c r="L3897" t="s">
        <v>21</v>
      </c>
    </row>
    <row r="3898" spans="1:12">
      <c r="A3898" t="s">
        <v>5337</v>
      </c>
      <c r="B3898" t="s">
        <v>5326</v>
      </c>
      <c r="C3898" t="s">
        <v>130</v>
      </c>
      <c r="D3898">
        <v>1962</v>
      </c>
      <c r="E3898" t="s">
        <v>29</v>
      </c>
      <c r="F3898" t="s">
        <v>30</v>
      </c>
      <c r="G3898" t="s">
        <v>31</v>
      </c>
      <c r="H3898" t="s">
        <v>32</v>
      </c>
      <c r="I3898">
        <v>1071.551119</v>
      </c>
      <c r="J3898" t="s">
        <v>33</v>
      </c>
      <c r="K3898" t="s">
        <v>5335</v>
      </c>
      <c r="L3898" t="s">
        <v>21</v>
      </c>
    </row>
    <row r="3899" spans="1:12">
      <c r="A3899" t="s">
        <v>5338</v>
      </c>
      <c r="B3899" t="s">
        <v>5326</v>
      </c>
      <c r="C3899" t="s">
        <v>130</v>
      </c>
      <c r="D3899">
        <v>1967</v>
      </c>
      <c r="E3899" t="s">
        <v>15</v>
      </c>
      <c r="F3899" t="s">
        <v>16</v>
      </c>
      <c r="G3899" t="s">
        <v>17</v>
      </c>
      <c r="H3899" t="s">
        <v>18</v>
      </c>
      <c r="I3899">
        <v>54.424999999999997</v>
      </c>
      <c r="J3899" t="s">
        <v>19</v>
      </c>
      <c r="K3899" t="s">
        <v>5339</v>
      </c>
      <c r="L3899" t="s">
        <v>21</v>
      </c>
    </row>
    <row r="3900" spans="1:12">
      <c r="A3900" t="s">
        <v>5340</v>
      </c>
      <c r="B3900" t="s">
        <v>5326</v>
      </c>
      <c r="C3900" t="s">
        <v>130</v>
      </c>
      <c r="D3900">
        <v>1967</v>
      </c>
      <c r="E3900" t="s">
        <v>23</v>
      </c>
      <c r="F3900" t="s">
        <v>24</v>
      </c>
      <c r="G3900" t="s">
        <v>25</v>
      </c>
      <c r="H3900" t="s">
        <v>26</v>
      </c>
      <c r="I3900">
        <v>70787</v>
      </c>
      <c r="J3900" t="s">
        <v>27</v>
      </c>
      <c r="K3900" t="s">
        <v>5339</v>
      </c>
      <c r="L3900" t="s">
        <v>21</v>
      </c>
    </row>
    <row r="3901" spans="1:12">
      <c r="A3901" t="s">
        <v>5341</v>
      </c>
      <c r="B3901" t="s">
        <v>5326</v>
      </c>
      <c r="C3901" t="s">
        <v>130</v>
      </c>
      <c r="D3901">
        <v>1967</v>
      </c>
      <c r="E3901" t="s">
        <v>29</v>
      </c>
      <c r="F3901" t="s">
        <v>30</v>
      </c>
      <c r="G3901" t="s">
        <v>31</v>
      </c>
      <c r="H3901" t="s">
        <v>32</v>
      </c>
      <c r="I3901">
        <v>1384.8405929999999</v>
      </c>
      <c r="J3901" t="s">
        <v>33</v>
      </c>
      <c r="K3901" t="s">
        <v>5339</v>
      </c>
      <c r="L3901" t="s">
        <v>21</v>
      </c>
    </row>
    <row r="3902" spans="1:12">
      <c r="A3902" t="s">
        <v>5342</v>
      </c>
      <c r="B3902" t="s">
        <v>5326</v>
      </c>
      <c r="C3902" t="s">
        <v>130</v>
      </c>
      <c r="D3902">
        <v>1972</v>
      </c>
      <c r="E3902" t="s">
        <v>15</v>
      </c>
      <c r="F3902" t="s">
        <v>16</v>
      </c>
      <c r="G3902" t="s">
        <v>17</v>
      </c>
      <c r="H3902" t="s">
        <v>18</v>
      </c>
      <c r="I3902">
        <v>56.48</v>
      </c>
      <c r="J3902" t="s">
        <v>19</v>
      </c>
      <c r="K3902" t="s">
        <v>5343</v>
      </c>
      <c r="L3902" t="s">
        <v>21</v>
      </c>
    </row>
    <row r="3903" spans="1:12">
      <c r="A3903" t="s">
        <v>5344</v>
      </c>
      <c r="B3903" t="s">
        <v>5326</v>
      </c>
      <c r="C3903" t="s">
        <v>130</v>
      </c>
      <c r="D3903">
        <v>1972</v>
      </c>
      <c r="E3903" t="s">
        <v>23</v>
      </c>
      <c r="F3903" t="s">
        <v>24</v>
      </c>
      <c r="G3903" t="s">
        <v>25</v>
      </c>
      <c r="H3903" t="s">
        <v>26</v>
      </c>
      <c r="I3903">
        <v>76595</v>
      </c>
      <c r="J3903" t="s">
        <v>27</v>
      </c>
      <c r="K3903" t="s">
        <v>5343</v>
      </c>
      <c r="L3903" t="s">
        <v>21</v>
      </c>
    </row>
    <row r="3904" spans="1:12">
      <c r="A3904" t="s">
        <v>5345</v>
      </c>
      <c r="B3904" t="s">
        <v>5326</v>
      </c>
      <c r="C3904" t="s">
        <v>130</v>
      </c>
      <c r="D3904">
        <v>1972</v>
      </c>
      <c r="E3904" t="s">
        <v>29</v>
      </c>
      <c r="F3904" t="s">
        <v>30</v>
      </c>
      <c r="G3904" t="s">
        <v>31</v>
      </c>
      <c r="H3904" t="s">
        <v>32</v>
      </c>
      <c r="I3904">
        <v>1532.9852539999999</v>
      </c>
      <c r="J3904" t="s">
        <v>33</v>
      </c>
      <c r="K3904" t="s">
        <v>5343</v>
      </c>
      <c r="L3904" t="s">
        <v>21</v>
      </c>
    </row>
    <row r="3905" spans="1:12">
      <c r="A3905" t="s">
        <v>5346</v>
      </c>
      <c r="B3905" t="s">
        <v>5326</v>
      </c>
      <c r="C3905" t="s">
        <v>130</v>
      </c>
      <c r="D3905">
        <v>1977</v>
      </c>
      <c r="E3905" t="s">
        <v>15</v>
      </c>
      <c r="F3905" t="s">
        <v>16</v>
      </c>
      <c r="G3905" t="s">
        <v>17</v>
      </c>
      <c r="H3905" t="s">
        <v>18</v>
      </c>
      <c r="I3905">
        <v>58.55</v>
      </c>
      <c r="J3905" t="s">
        <v>19</v>
      </c>
      <c r="K3905" t="s">
        <v>5347</v>
      </c>
      <c r="L3905" t="s">
        <v>21</v>
      </c>
    </row>
    <row r="3906" spans="1:12">
      <c r="A3906" t="s">
        <v>5348</v>
      </c>
      <c r="B3906" t="s">
        <v>5326</v>
      </c>
      <c r="C3906" t="s">
        <v>130</v>
      </c>
      <c r="D3906">
        <v>1977</v>
      </c>
      <c r="E3906" t="s">
        <v>23</v>
      </c>
      <c r="F3906" t="s">
        <v>24</v>
      </c>
      <c r="G3906" t="s">
        <v>25</v>
      </c>
      <c r="H3906" t="s">
        <v>26</v>
      </c>
      <c r="I3906">
        <v>86796</v>
      </c>
      <c r="J3906" t="s">
        <v>27</v>
      </c>
      <c r="K3906" t="s">
        <v>5347</v>
      </c>
      <c r="L3906" t="s">
        <v>21</v>
      </c>
    </row>
    <row r="3907" spans="1:12">
      <c r="A3907" t="s">
        <v>5349</v>
      </c>
      <c r="B3907" t="s">
        <v>5326</v>
      </c>
      <c r="C3907" t="s">
        <v>130</v>
      </c>
      <c r="D3907">
        <v>1977</v>
      </c>
      <c r="E3907" t="s">
        <v>29</v>
      </c>
      <c r="F3907" t="s">
        <v>30</v>
      </c>
      <c r="G3907" t="s">
        <v>31</v>
      </c>
      <c r="H3907" t="s">
        <v>32</v>
      </c>
      <c r="I3907">
        <v>1737.561657</v>
      </c>
      <c r="J3907" t="s">
        <v>33</v>
      </c>
      <c r="K3907" t="s">
        <v>5347</v>
      </c>
      <c r="L3907" t="s">
        <v>21</v>
      </c>
    </row>
    <row r="3908" spans="1:12">
      <c r="A3908" t="s">
        <v>5350</v>
      </c>
      <c r="B3908" t="s">
        <v>5326</v>
      </c>
      <c r="C3908" t="s">
        <v>130</v>
      </c>
      <c r="D3908">
        <v>1982</v>
      </c>
      <c r="E3908" t="s">
        <v>15</v>
      </c>
      <c r="F3908" t="s">
        <v>16</v>
      </c>
      <c r="G3908" t="s">
        <v>17</v>
      </c>
      <c r="H3908" t="s">
        <v>18</v>
      </c>
      <c r="I3908">
        <v>60.350999999999999</v>
      </c>
      <c r="J3908" t="s">
        <v>19</v>
      </c>
      <c r="K3908" t="s">
        <v>5351</v>
      </c>
      <c r="L3908" t="s">
        <v>21</v>
      </c>
    </row>
    <row r="3909" spans="1:12">
      <c r="A3909" t="s">
        <v>5352</v>
      </c>
      <c r="B3909" t="s">
        <v>5326</v>
      </c>
      <c r="C3909" t="s">
        <v>130</v>
      </c>
      <c r="D3909">
        <v>1982</v>
      </c>
      <c r="E3909" t="s">
        <v>23</v>
      </c>
      <c r="F3909" t="s">
        <v>24</v>
      </c>
      <c r="G3909" t="s">
        <v>25</v>
      </c>
      <c r="H3909" t="s">
        <v>26</v>
      </c>
      <c r="I3909">
        <v>98593</v>
      </c>
      <c r="J3909" t="s">
        <v>27</v>
      </c>
      <c r="K3909" t="s">
        <v>5351</v>
      </c>
      <c r="L3909" t="s">
        <v>21</v>
      </c>
    </row>
    <row r="3910" spans="1:12">
      <c r="A3910" t="s">
        <v>5353</v>
      </c>
      <c r="B3910" t="s">
        <v>5326</v>
      </c>
      <c r="C3910" t="s">
        <v>130</v>
      </c>
      <c r="D3910">
        <v>1982</v>
      </c>
      <c r="E3910" t="s">
        <v>29</v>
      </c>
      <c r="F3910" t="s">
        <v>30</v>
      </c>
      <c r="G3910" t="s">
        <v>31</v>
      </c>
      <c r="H3910" t="s">
        <v>32</v>
      </c>
      <c r="I3910">
        <v>1890.2181169999999</v>
      </c>
      <c r="J3910" t="s">
        <v>33</v>
      </c>
      <c r="K3910" t="s">
        <v>5351</v>
      </c>
      <c r="L3910" t="s">
        <v>21</v>
      </c>
    </row>
    <row r="3911" spans="1:12">
      <c r="A3911" t="s">
        <v>5354</v>
      </c>
      <c r="B3911" t="s">
        <v>5326</v>
      </c>
      <c r="C3911" t="s">
        <v>130</v>
      </c>
      <c r="D3911">
        <v>1987</v>
      </c>
      <c r="E3911" t="s">
        <v>15</v>
      </c>
      <c r="F3911" t="s">
        <v>16</v>
      </c>
      <c r="G3911" t="s">
        <v>17</v>
      </c>
      <c r="H3911" t="s">
        <v>18</v>
      </c>
      <c r="I3911">
        <v>61.728000000000002</v>
      </c>
      <c r="J3911" t="s">
        <v>19</v>
      </c>
      <c r="K3911" t="s">
        <v>5355</v>
      </c>
      <c r="L3911" t="s">
        <v>21</v>
      </c>
    </row>
    <row r="3912" spans="1:12">
      <c r="A3912" t="s">
        <v>5356</v>
      </c>
      <c r="B3912" t="s">
        <v>5326</v>
      </c>
      <c r="C3912" t="s">
        <v>130</v>
      </c>
      <c r="D3912">
        <v>1987</v>
      </c>
      <c r="E3912" t="s">
        <v>23</v>
      </c>
      <c r="F3912" t="s">
        <v>24</v>
      </c>
      <c r="G3912" t="s">
        <v>25</v>
      </c>
      <c r="H3912" t="s">
        <v>26</v>
      </c>
      <c r="I3912">
        <v>110812</v>
      </c>
      <c r="J3912" t="s">
        <v>27</v>
      </c>
      <c r="K3912" t="s">
        <v>5355</v>
      </c>
      <c r="L3912" t="s">
        <v>21</v>
      </c>
    </row>
    <row r="3913" spans="1:12">
      <c r="A3913" t="s">
        <v>5357</v>
      </c>
      <c r="B3913" t="s">
        <v>5326</v>
      </c>
      <c r="C3913" t="s">
        <v>130</v>
      </c>
      <c r="D3913">
        <v>1987</v>
      </c>
      <c r="E3913" t="s">
        <v>29</v>
      </c>
      <c r="F3913" t="s">
        <v>30</v>
      </c>
      <c r="G3913" t="s">
        <v>31</v>
      </c>
      <c r="H3913" t="s">
        <v>32</v>
      </c>
      <c r="I3913">
        <v>1516.525457</v>
      </c>
      <c r="J3913" t="s">
        <v>33</v>
      </c>
      <c r="K3913" t="s">
        <v>5355</v>
      </c>
      <c r="L3913" t="s">
        <v>21</v>
      </c>
    </row>
    <row r="3914" spans="1:12">
      <c r="A3914" t="s">
        <v>5358</v>
      </c>
      <c r="B3914" t="s">
        <v>5326</v>
      </c>
      <c r="C3914" t="s">
        <v>130</v>
      </c>
      <c r="D3914">
        <v>1992</v>
      </c>
      <c r="E3914" t="s">
        <v>15</v>
      </c>
      <c r="F3914" t="s">
        <v>16</v>
      </c>
      <c r="G3914" t="s">
        <v>17</v>
      </c>
      <c r="H3914" t="s">
        <v>18</v>
      </c>
      <c r="I3914">
        <v>62.741999999999997</v>
      </c>
      <c r="J3914" t="s">
        <v>19</v>
      </c>
      <c r="K3914" t="s">
        <v>5359</v>
      </c>
      <c r="L3914" t="s">
        <v>21</v>
      </c>
    </row>
    <row r="3915" spans="1:12">
      <c r="A3915" t="s">
        <v>5360</v>
      </c>
      <c r="B3915" t="s">
        <v>5326</v>
      </c>
      <c r="C3915" t="s">
        <v>130</v>
      </c>
      <c r="D3915">
        <v>1992</v>
      </c>
      <c r="E3915" t="s">
        <v>23</v>
      </c>
      <c r="F3915" t="s">
        <v>24</v>
      </c>
      <c r="G3915" t="s">
        <v>25</v>
      </c>
      <c r="H3915" t="s">
        <v>26</v>
      </c>
      <c r="I3915">
        <v>125911</v>
      </c>
      <c r="J3915" t="s">
        <v>27</v>
      </c>
      <c r="K3915" t="s">
        <v>5359</v>
      </c>
      <c r="L3915" t="s">
        <v>21</v>
      </c>
    </row>
    <row r="3916" spans="1:12">
      <c r="A3916" t="s">
        <v>5361</v>
      </c>
      <c r="B3916" t="s">
        <v>5326</v>
      </c>
      <c r="C3916" t="s">
        <v>130</v>
      </c>
      <c r="D3916">
        <v>1992</v>
      </c>
      <c r="E3916" t="s">
        <v>29</v>
      </c>
      <c r="F3916" t="s">
        <v>30</v>
      </c>
      <c r="G3916" t="s">
        <v>31</v>
      </c>
      <c r="H3916" t="s">
        <v>32</v>
      </c>
      <c r="I3916">
        <v>1428.777814</v>
      </c>
      <c r="J3916" t="s">
        <v>33</v>
      </c>
      <c r="K3916" t="s">
        <v>5359</v>
      </c>
      <c r="L3916" t="s">
        <v>21</v>
      </c>
    </row>
    <row r="3917" spans="1:12">
      <c r="A3917" t="s">
        <v>5362</v>
      </c>
      <c r="B3917" t="s">
        <v>5326</v>
      </c>
      <c r="C3917" t="s">
        <v>130</v>
      </c>
      <c r="D3917">
        <v>1997</v>
      </c>
      <c r="E3917" t="s">
        <v>15</v>
      </c>
      <c r="F3917" t="s">
        <v>16</v>
      </c>
      <c r="G3917" t="s">
        <v>17</v>
      </c>
      <c r="H3917" t="s">
        <v>18</v>
      </c>
      <c r="I3917">
        <v>63.305999999999997</v>
      </c>
      <c r="J3917" t="s">
        <v>19</v>
      </c>
      <c r="K3917" t="s">
        <v>5363</v>
      </c>
      <c r="L3917" t="s">
        <v>21</v>
      </c>
    </row>
    <row r="3918" spans="1:12">
      <c r="A3918" t="s">
        <v>5364</v>
      </c>
      <c r="B3918" t="s">
        <v>5326</v>
      </c>
      <c r="C3918" t="s">
        <v>130</v>
      </c>
      <c r="D3918">
        <v>1997</v>
      </c>
      <c r="E3918" t="s">
        <v>23</v>
      </c>
      <c r="F3918" t="s">
        <v>24</v>
      </c>
      <c r="G3918" t="s">
        <v>25</v>
      </c>
      <c r="H3918" t="s">
        <v>26</v>
      </c>
      <c r="I3918">
        <v>145608</v>
      </c>
      <c r="J3918" t="s">
        <v>27</v>
      </c>
      <c r="K3918" t="s">
        <v>5363</v>
      </c>
      <c r="L3918" t="s">
        <v>21</v>
      </c>
    </row>
    <row r="3919" spans="1:12">
      <c r="A3919" t="s">
        <v>5365</v>
      </c>
      <c r="B3919" t="s">
        <v>5326</v>
      </c>
      <c r="C3919" t="s">
        <v>130</v>
      </c>
      <c r="D3919">
        <v>1997</v>
      </c>
      <c r="E3919" t="s">
        <v>29</v>
      </c>
      <c r="F3919" t="s">
        <v>30</v>
      </c>
      <c r="G3919" t="s">
        <v>31</v>
      </c>
      <c r="H3919" t="s">
        <v>32</v>
      </c>
      <c r="I3919">
        <v>1339.0760359999999</v>
      </c>
      <c r="J3919" t="s">
        <v>33</v>
      </c>
      <c r="K3919" t="s">
        <v>5363</v>
      </c>
      <c r="L3919" t="s">
        <v>21</v>
      </c>
    </row>
    <row r="3920" spans="1:12">
      <c r="A3920" t="s">
        <v>5366</v>
      </c>
      <c r="B3920" t="s">
        <v>5326</v>
      </c>
      <c r="C3920" t="s">
        <v>130</v>
      </c>
      <c r="D3920">
        <v>2002</v>
      </c>
      <c r="E3920" t="s">
        <v>15</v>
      </c>
      <c r="F3920" t="s">
        <v>16</v>
      </c>
      <c r="G3920" t="s">
        <v>17</v>
      </c>
      <c r="H3920" t="s">
        <v>18</v>
      </c>
      <c r="I3920">
        <v>64.337000000000003</v>
      </c>
      <c r="J3920" t="s">
        <v>19</v>
      </c>
      <c r="K3920" t="s">
        <v>5367</v>
      </c>
      <c r="L3920" t="s">
        <v>21</v>
      </c>
    </row>
    <row r="3921" spans="1:12">
      <c r="A3921" t="s">
        <v>5368</v>
      </c>
      <c r="B3921" t="s">
        <v>5326</v>
      </c>
      <c r="C3921" t="s">
        <v>130</v>
      </c>
      <c r="D3921">
        <v>2002</v>
      </c>
      <c r="E3921" t="s">
        <v>23</v>
      </c>
      <c r="F3921" t="s">
        <v>24</v>
      </c>
      <c r="G3921" t="s">
        <v>25</v>
      </c>
      <c r="H3921" t="s">
        <v>26</v>
      </c>
      <c r="I3921">
        <v>170372</v>
      </c>
      <c r="J3921" t="s">
        <v>27</v>
      </c>
      <c r="K3921" t="s">
        <v>5367</v>
      </c>
      <c r="L3921" t="s">
        <v>21</v>
      </c>
    </row>
    <row r="3922" spans="1:12">
      <c r="A3922" t="s">
        <v>5369</v>
      </c>
      <c r="B3922" t="s">
        <v>5326</v>
      </c>
      <c r="C3922" t="s">
        <v>130</v>
      </c>
      <c r="D3922">
        <v>2002</v>
      </c>
      <c r="E3922" t="s">
        <v>29</v>
      </c>
      <c r="F3922" t="s">
        <v>30</v>
      </c>
      <c r="G3922" t="s">
        <v>31</v>
      </c>
      <c r="H3922" t="s">
        <v>32</v>
      </c>
      <c r="I3922">
        <v>1353.09239</v>
      </c>
      <c r="J3922" t="s">
        <v>33</v>
      </c>
      <c r="K3922" t="s">
        <v>5367</v>
      </c>
      <c r="L3922" t="s">
        <v>21</v>
      </c>
    </row>
    <row r="3923" spans="1:12">
      <c r="A3923" t="s">
        <v>5370</v>
      </c>
      <c r="B3923" t="s">
        <v>5326</v>
      </c>
      <c r="C3923" t="s">
        <v>130</v>
      </c>
      <c r="D3923">
        <v>2007</v>
      </c>
      <c r="E3923" t="s">
        <v>15</v>
      </c>
      <c r="F3923" t="s">
        <v>16</v>
      </c>
      <c r="G3923" t="s">
        <v>17</v>
      </c>
      <c r="H3923" t="s">
        <v>18</v>
      </c>
      <c r="I3923">
        <v>65.528000000000006</v>
      </c>
      <c r="J3923" t="s">
        <v>19</v>
      </c>
      <c r="K3923" t="s">
        <v>5371</v>
      </c>
      <c r="L3923" t="s">
        <v>21</v>
      </c>
    </row>
    <row r="3924" spans="1:12">
      <c r="A3924" t="s">
        <v>5372</v>
      </c>
      <c r="B3924" t="s">
        <v>5326</v>
      </c>
      <c r="C3924" t="s">
        <v>130</v>
      </c>
      <c r="D3924">
        <v>2007</v>
      </c>
      <c r="E3924" t="s">
        <v>23</v>
      </c>
      <c r="F3924" t="s">
        <v>24</v>
      </c>
      <c r="G3924" t="s">
        <v>25</v>
      </c>
      <c r="H3924" t="s">
        <v>26</v>
      </c>
      <c r="I3924">
        <v>199579</v>
      </c>
      <c r="J3924" t="s">
        <v>27</v>
      </c>
      <c r="K3924" t="s">
        <v>5371</v>
      </c>
      <c r="L3924" t="s">
        <v>21</v>
      </c>
    </row>
    <row r="3925" spans="1:12">
      <c r="A3925" t="s">
        <v>5373</v>
      </c>
      <c r="B3925" t="s">
        <v>5326</v>
      </c>
      <c r="C3925" t="s">
        <v>130</v>
      </c>
      <c r="D3925">
        <v>2007</v>
      </c>
      <c r="E3925" t="s">
        <v>29</v>
      </c>
      <c r="F3925" t="s">
        <v>30</v>
      </c>
      <c r="G3925" t="s">
        <v>31</v>
      </c>
      <c r="H3925" t="s">
        <v>32</v>
      </c>
      <c r="I3925">
        <v>1598.4350890000001</v>
      </c>
      <c r="J3925" t="s">
        <v>33</v>
      </c>
      <c r="K3925" t="s">
        <v>5371</v>
      </c>
      <c r="L3925" t="s">
        <v>21</v>
      </c>
    </row>
    <row r="3926" spans="1:12">
      <c r="A3926" t="s">
        <v>5374</v>
      </c>
      <c r="B3926" t="s">
        <v>5375</v>
      </c>
      <c r="C3926" t="s">
        <v>14</v>
      </c>
      <c r="D3926">
        <v>1952</v>
      </c>
      <c r="E3926" t="s">
        <v>15</v>
      </c>
      <c r="F3926" t="s">
        <v>16</v>
      </c>
      <c r="G3926" t="s">
        <v>17</v>
      </c>
      <c r="H3926" t="s">
        <v>18</v>
      </c>
      <c r="I3926">
        <v>39.875</v>
      </c>
      <c r="J3926" t="s">
        <v>19</v>
      </c>
      <c r="K3926" t="s">
        <v>5376</v>
      </c>
      <c r="L3926" t="s">
        <v>21</v>
      </c>
    </row>
    <row r="3927" spans="1:12">
      <c r="A3927" t="s">
        <v>5377</v>
      </c>
      <c r="B3927" t="s">
        <v>5375</v>
      </c>
      <c r="C3927" t="s">
        <v>14</v>
      </c>
      <c r="D3927">
        <v>1952</v>
      </c>
      <c r="E3927" t="s">
        <v>23</v>
      </c>
      <c r="F3927" t="s">
        <v>24</v>
      </c>
      <c r="G3927" t="s">
        <v>25</v>
      </c>
      <c r="H3927" t="s">
        <v>26</v>
      </c>
      <c r="I3927">
        <v>4005677</v>
      </c>
      <c r="J3927" t="s">
        <v>27</v>
      </c>
      <c r="K3927" t="s">
        <v>5376</v>
      </c>
      <c r="L3927" t="s">
        <v>21</v>
      </c>
    </row>
    <row r="3928" spans="1:12">
      <c r="A3928" t="s">
        <v>5378</v>
      </c>
      <c r="B3928" t="s">
        <v>5375</v>
      </c>
      <c r="C3928" t="s">
        <v>14</v>
      </c>
      <c r="D3928">
        <v>1952</v>
      </c>
      <c r="E3928" t="s">
        <v>29</v>
      </c>
      <c r="F3928" t="s">
        <v>30</v>
      </c>
      <c r="G3928" t="s">
        <v>31</v>
      </c>
      <c r="H3928" t="s">
        <v>32</v>
      </c>
      <c r="I3928">
        <v>6459.5548230000004</v>
      </c>
      <c r="J3928" t="s">
        <v>33</v>
      </c>
      <c r="K3928" t="s">
        <v>5376</v>
      </c>
      <c r="L3928" t="s">
        <v>21</v>
      </c>
    </row>
    <row r="3929" spans="1:12">
      <c r="A3929" t="s">
        <v>5379</v>
      </c>
      <c r="B3929" t="s">
        <v>5375</v>
      </c>
      <c r="C3929" t="s">
        <v>14</v>
      </c>
      <c r="D3929">
        <v>1957</v>
      </c>
      <c r="E3929" t="s">
        <v>15</v>
      </c>
      <c r="F3929" t="s">
        <v>16</v>
      </c>
      <c r="G3929" t="s">
        <v>17</v>
      </c>
      <c r="H3929" t="s">
        <v>18</v>
      </c>
      <c r="I3929">
        <v>42.868000000000002</v>
      </c>
      <c r="J3929" t="s">
        <v>19</v>
      </c>
      <c r="K3929" t="s">
        <v>5380</v>
      </c>
      <c r="L3929" t="s">
        <v>21</v>
      </c>
    </row>
    <row r="3930" spans="1:12">
      <c r="A3930" t="s">
        <v>5381</v>
      </c>
      <c r="B3930" t="s">
        <v>5375</v>
      </c>
      <c r="C3930" t="s">
        <v>14</v>
      </c>
      <c r="D3930">
        <v>1957</v>
      </c>
      <c r="E3930" t="s">
        <v>23</v>
      </c>
      <c r="F3930" t="s">
        <v>24</v>
      </c>
      <c r="G3930" t="s">
        <v>25</v>
      </c>
      <c r="H3930" t="s">
        <v>26</v>
      </c>
      <c r="I3930">
        <v>4419650</v>
      </c>
      <c r="J3930" t="s">
        <v>27</v>
      </c>
      <c r="K3930" t="s">
        <v>5380</v>
      </c>
      <c r="L3930" t="s">
        <v>21</v>
      </c>
    </row>
    <row r="3931" spans="1:12">
      <c r="A3931" t="s">
        <v>5382</v>
      </c>
      <c r="B3931" t="s">
        <v>5375</v>
      </c>
      <c r="C3931" t="s">
        <v>14</v>
      </c>
      <c r="D3931">
        <v>1957</v>
      </c>
      <c r="E3931" t="s">
        <v>29</v>
      </c>
      <c r="F3931" t="s">
        <v>30</v>
      </c>
      <c r="G3931" t="s">
        <v>31</v>
      </c>
      <c r="H3931" t="s">
        <v>32</v>
      </c>
      <c r="I3931">
        <v>8157.5912479999997</v>
      </c>
      <c r="J3931" t="s">
        <v>33</v>
      </c>
      <c r="K3931" t="s">
        <v>5380</v>
      </c>
      <c r="L3931" t="s">
        <v>21</v>
      </c>
    </row>
    <row r="3932" spans="1:12">
      <c r="A3932" t="s">
        <v>5383</v>
      </c>
      <c r="B3932" t="s">
        <v>5375</v>
      </c>
      <c r="C3932" t="s">
        <v>14</v>
      </c>
      <c r="D3932">
        <v>1962</v>
      </c>
      <c r="E3932" t="s">
        <v>15</v>
      </c>
      <c r="F3932" t="s">
        <v>16</v>
      </c>
      <c r="G3932" t="s">
        <v>17</v>
      </c>
      <c r="H3932" t="s">
        <v>18</v>
      </c>
      <c r="I3932">
        <v>45.914000000000001</v>
      </c>
      <c r="J3932" t="s">
        <v>19</v>
      </c>
      <c r="K3932" t="s">
        <v>5384</v>
      </c>
      <c r="L3932" t="s">
        <v>21</v>
      </c>
    </row>
    <row r="3933" spans="1:12">
      <c r="A3933" t="s">
        <v>5385</v>
      </c>
      <c r="B3933" t="s">
        <v>5375</v>
      </c>
      <c r="C3933" t="s">
        <v>14</v>
      </c>
      <c r="D3933">
        <v>1962</v>
      </c>
      <c r="E3933" t="s">
        <v>23</v>
      </c>
      <c r="F3933" t="s">
        <v>24</v>
      </c>
      <c r="G3933" t="s">
        <v>25</v>
      </c>
      <c r="H3933" t="s">
        <v>26</v>
      </c>
      <c r="I3933">
        <v>4943029</v>
      </c>
      <c r="J3933" t="s">
        <v>27</v>
      </c>
      <c r="K3933" t="s">
        <v>5384</v>
      </c>
      <c r="L3933" t="s">
        <v>21</v>
      </c>
    </row>
    <row r="3934" spans="1:12">
      <c r="A3934" t="s">
        <v>5386</v>
      </c>
      <c r="B3934" t="s">
        <v>5375</v>
      </c>
      <c r="C3934" t="s">
        <v>14</v>
      </c>
      <c r="D3934">
        <v>1962</v>
      </c>
      <c r="E3934" t="s">
        <v>29</v>
      </c>
      <c r="F3934" t="s">
        <v>30</v>
      </c>
      <c r="G3934" t="s">
        <v>31</v>
      </c>
      <c r="H3934" t="s">
        <v>32</v>
      </c>
      <c r="I3934">
        <v>11626.419749999999</v>
      </c>
      <c r="J3934" t="s">
        <v>33</v>
      </c>
      <c r="K3934" t="s">
        <v>5384</v>
      </c>
      <c r="L3934" t="s">
        <v>21</v>
      </c>
    </row>
    <row r="3935" spans="1:12">
      <c r="A3935" t="s">
        <v>5387</v>
      </c>
      <c r="B3935" t="s">
        <v>5375</v>
      </c>
      <c r="C3935" t="s">
        <v>14</v>
      </c>
      <c r="D3935">
        <v>1967</v>
      </c>
      <c r="E3935" t="s">
        <v>15</v>
      </c>
      <c r="F3935" t="s">
        <v>16</v>
      </c>
      <c r="G3935" t="s">
        <v>17</v>
      </c>
      <c r="H3935" t="s">
        <v>18</v>
      </c>
      <c r="I3935">
        <v>49.901000000000003</v>
      </c>
      <c r="J3935" t="s">
        <v>19</v>
      </c>
      <c r="K3935" t="s">
        <v>5388</v>
      </c>
      <c r="L3935" t="s">
        <v>21</v>
      </c>
    </row>
    <row r="3936" spans="1:12">
      <c r="A3936" t="s">
        <v>5389</v>
      </c>
      <c r="B3936" t="s">
        <v>5375</v>
      </c>
      <c r="C3936" t="s">
        <v>14</v>
      </c>
      <c r="D3936">
        <v>1967</v>
      </c>
      <c r="E3936" t="s">
        <v>23</v>
      </c>
      <c r="F3936" t="s">
        <v>24</v>
      </c>
      <c r="G3936" t="s">
        <v>25</v>
      </c>
      <c r="H3936" t="s">
        <v>26</v>
      </c>
      <c r="I3936">
        <v>5618198</v>
      </c>
      <c r="J3936" t="s">
        <v>27</v>
      </c>
      <c r="K3936" t="s">
        <v>5388</v>
      </c>
      <c r="L3936" t="s">
        <v>21</v>
      </c>
    </row>
    <row r="3937" spans="1:12">
      <c r="A3937" t="s">
        <v>5390</v>
      </c>
      <c r="B3937" t="s">
        <v>5375</v>
      </c>
      <c r="C3937" t="s">
        <v>14</v>
      </c>
      <c r="D3937">
        <v>1967</v>
      </c>
      <c r="E3937" t="s">
        <v>29</v>
      </c>
      <c r="F3937" t="s">
        <v>30</v>
      </c>
      <c r="G3937" t="s">
        <v>31</v>
      </c>
      <c r="H3937" t="s">
        <v>32</v>
      </c>
      <c r="I3937">
        <v>16903.048859999999</v>
      </c>
      <c r="J3937" t="s">
        <v>33</v>
      </c>
      <c r="K3937" t="s">
        <v>5388</v>
      </c>
      <c r="L3937" t="s">
        <v>21</v>
      </c>
    </row>
    <row r="3938" spans="1:12">
      <c r="A3938" t="s">
        <v>5391</v>
      </c>
      <c r="B3938" t="s">
        <v>5375</v>
      </c>
      <c r="C3938" t="s">
        <v>14</v>
      </c>
      <c r="D3938">
        <v>1972</v>
      </c>
      <c r="E3938" t="s">
        <v>15</v>
      </c>
      <c r="F3938" t="s">
        <v>16</v>
      </c>
      <c r="G3938" t="s">
        <v>17</v>
      </c>
      <c r="H3938" t="s">
        <v>18</v>
      </c>
      <c r="I3938">
        <v>53.886000000000003</v>
      </c>
      <c r="J3938" t="s">
        <v>19</v>
      </c>
      <c r="K3938" t="s">
        <v>5392</v>
      </c>
      <c r="L3938" t="s">
        <v>21</v>
      </c>
    </row>
    <row r="3939" spans="1:12">
      <c r="A3939" t="s">
        <v>5393</v>
      </c>
      <c r="B3939" t="s">
        <v>5375</v>
      </c>
      <c r="C3939" t="s">
        <v>14</v>
      </c>
      <c r="D3939">
        <v>1972</v>
      </c>
      <c r="E3939" t="s">
        <v>23</v>
      </c>
      <c r="F3939" t="s">
        <v>24</v>
      </c>
      <c r="G3939" t="s">
        <v>25</v>
      </c>
      <c r="H3939" t="s">
        <v>26</v>
      </c>
      <c r="I3939">
        <v>6472756</v>
      </c>
      <c r="J3939" t="s">
        <v>27</v>
      </c>
      <c r="K3939" t="s">
        <v>5392</v>
      </c>
      <c r="L3939" t="s">
        <v>21</v>
      </c>
    </row>
    <row r="3940" spans="1:12">
      <c r="A3940" t="s">
        <v>5394</v>
      </c>
      <c r="B3940" t="s">
        <v>5375</v>
      </c>
      <c r="C3940" t="s">
        <v>14</v>
      </c>
      <c r="D3940">
        <v>1972</v>
      </c>
      <c r="E3940" t="s">
        <v>29</v>
      </c>
      <c r="F3940" t="s">
        <v>30</v>
      </c>
      <c r="G3940" t="s">
        <v>31</v>
      </c>
      <c r="H3940" t="s">
        <v>32</v>
      </c>
      <c r="I3940">
        <v>24837.428650000002</v>
      </c>
      <c r="J3940" t="s">
        <v>33</v>
      </c>
      <c r="K3940" t="s">
        <v>5392</v>
      </c>
      <c r="L3940" t="s">
        <v>21</v>
      </c>
    </row>
    <row r="3941" spans="1:12">
      <c r="A3941" t="s">
        <v>5395</v>
      </c>
      <c r="B3941" t="s">
        <v>5375</v>
      </c>
      <c r="C3941" t="s">
        <v>14</v>
      </c>
      <c r="D3941">
        <v>1977</v>
      </c>
      <c r="E3941" t="s">
        <v>15</v>
      </c>
      <c r="F3941" t="s">
        <v>16</v>
      </c>
      <c r="G3941" t="s">
        <v>17</v>
      </c>
      <c r="H3941" t="s">
        <v>18</v>
      </c>
      <c r="I3941">
        <v>58.69</v>
      </c>
      <c r="J3941" t="s">
        <v>19</v>
      </c>
      <c r="K3941" t="s">
        <v>5396</v>
      </c>
      <c r="L3941" t="s">
        <v>21</v>
      </c>
    </row>
    <row r="3942" spans="1:12">
      <c r="A3942" t="s">
        <v>5397</v>
      </c>
      <c r="B3942" t="s">
        <v>5375</v>
      </c>
      <c r="C3942" t="s">
        <v>14</v>
      </c>
      <c r="D3942">
        <v>1977</v>
      </c>
      <c r="E3942" t="s">
        <v>23</v>
      </c>
      <c r="F3942" t="s">
        <v>24</v>
      </c>
      <c r="G3942" t="s">
        <v>25</v>
      </c>
      <c r="H3942" t="s">
        <v>26</v>
      </c>
      <c r="I3942">
        <v>8128505</v>
      </c>
      <c r="J3942" t="s">
        <v>27</v>
      </c>
      <c r="K3942" t="s">
        <v>5396</v>
      </c>
      <c r="L3942" t="s">
        <v>21</v>
      </c>
    </row>
    <row r="3943" spans="1:12">
      <c r="A3943" t="s">
        <v>5398</v>
      </c>
      <c r="B3943" t="s">
        <v>5375</v>
      </c>
      <c r="C3943" t="s">
        <v>14</v>
      </c>
      <c r="D3943">
        <v>1977</v>
      </c>
      <c r="E3943" t="s">
        <v>29</v>
      </c>
      <c r="F3943" t="s">
        <v>30</v>
      </c>
      <c r="G3943" t="s">
        <v>31</v>
      </c>
      <c r="H3943" t="s">
        <v>32</v>
      </c>
      <c r="I3943">
        <v>34167.762600000002</v>
      </c>
      <c r="J3943" t="s">
        <v>33</v>
      </c>
      <c r="K3943" t="s">
        <v>5396</v>
      </c>
      <c r="L3943" t="s">
        <v>21</v>
      </c>
    </row>
    <row r="3944" spans="1:12">
      <c r="A3944" t="s">
        <v>5399</v>
      </c>
      <c r="B3944" t="s">
        <v>5375</v>
      </c>
      <c r="C3944" t="s">
        <v>14</v>
      </c>
      <c r="D3944">
        <v>1982</v>
      </c>
      <c r="E3944" t="s">
        <v>15</v>
      </c>
      <c r="F3944" t="s">
        <v>16</v>
      </c>
      <c r="G3944" t="s">
        <v>17</v>
      </c>
      <c r="H3944" t="s">
        <v>18</v>
      </c>
      <c r="I3944">
        <v>63.012</v>
      </c>
      <c r="J3944" t="s">
        <v>19</v>
      </c>
      <c r="K3944" t="s">
        <v>5400</v>
      </c>
      <c r="L3944" t="s">
        <v>21</v>
      </c>
    </row>
    <row r="3945" spans="1:12">
      <c r="A3945" t="s">
        <v>5401</v>
      </c>
      <c r="B3945" t="s">
        <v>5375</v>
      </c>
      <c r="C3945" t="s">
        <v>14</v>
      </c>
      <c r="D3945">
        <v>1982</v>
      </c>
      <c r="E3945" t="s">
        <v>23</v>
      </c>
      <c r="F3945" t="s">
        <v>24</v>
      </c>
      <c r="G3945" t="s">
        <v>25</v>
      </c>
      <c r="H3945" t="s">
        <v>26</v>
      </c>
      <c r="I3945">
        <v>11254672</v>
      </c>
      <c r="J3945" t="s">
        <v>27</v>
      </c>
      <c r="K3945" t="s">
        <v>5400</v>
      </c>
      <c r="L3945" t="s">
        <v>21</v>
      </c>
    </row>
    <row r="3946" spans="1:12">
      <c r="A3946" t="s">
        <v>5402</v>
      </c>
      <c r="B3946" t="s">
        <v>5375</v>
      </c>
      <c r="C3946" t="s">
        <v>14</v>
      </c>
      <c r="D3946">
        <v>1982</v>
      </c>
      <c r="E3946" t="s">
        <v>29</v>
      </c>
      <c r="F3946" t="s">
        <v>30</v>
      </c>
      <c r="G3946" t="s">
        <v>31</v>
      </c>
      <c r="H3946" t="s">
        <v>32</v>
      </c>
      <c r="I3946">
        <v>33693.17525</v>
      </c>
      <c r="J3946" t="s">
        <v>33</v>
      </c>
      <c r="K3946" t="s">
        <v>5400</v>
      </c>
      <c r="L3946" t="s">
        <v>21</v>
      </c>
    </row>
    <row r="3947" spans="1:12">
      <c r="A3947" t="s">
        <v>5403</v>
      </c>
      <c r="B3947" t="s">
        <v>5375</v>
      </c>
      <c r="C3947" t="s">
        <v>14</v>
      </c>
      <c r="D3947">
        <v>1987</v>
      </c>
      <c r="E3947" t="s">
        <v>15</v>
      </c>
      <c r="F3947" t="s">
        <v>16</v>
      </c>
      <c r="G3947" t="s">
        <v>17</v>
      </c>
      <c r="H3947" t="s">
        <v>18</v>
      </c>
      <c r="I3947">
        <v>66.295000000000002</v>
      </c>
      <c r="J3947" t="s">
        <v>19</v>
      </c>
      <c r="K3947" t="s">
        <v>5404</v>
      </c>
      <c r="L3947" t="s">
        <v>21</v>
      </c>
    </row>
    <row r="3948" spans="1:12">
      <c r="A3948" t="s">
        <v>5405</v>
      </c>
      <c r="B3948" t="s">
        <v>5375</v>
      </c>
      <c r="C3948" t="s">
        <v>14</v>
      </c>
      <c r="D3948">
        <v>1987</v>
      </c>
      <c r="E3948" t="s">
        <v>23</v>
      </c>
      <c r="F3948" t="s">
        <v>24</v>
      </c>
      <c r="G3948" t="s">
        <v>25</v>
      </c>
      <c r="H3948" t="s">
        <v>26</v>
      </c>
      <c r="I3948">
        <v>14619745</v>
      </c>
      <c r="J3948" t="s">
        <v>27</v>
      </c>
      <c r="K3948" t="s">
        <v>5404</v>
      </c>
      <c r="L3948" t="s">
        <v>21</v>
      </c>
    </row>
    <row r="3949" spans="1:12">
      <c r="A3949" t="s">
        <v>5406</v>
      </c>
      <c r="B3949" t="s">
        <v>5375</v>
      </c>
      <c r="C3949" t="s">
        <v>14</v>
      </c>
      <c r="D3949">
        <v>1987</v>
      </c>
      <c r="E3949" t="s">
        <v>29</v>
      </c>
      <c r="F3949" t="s">
        <v>30</v>
      </c>
      <c r="G3949" t="s">
        <v>31</v>
      </c>
      <c r="H3949" t="s">
        <v>32</v>
      </c>
      <c r="I3949">
        <v>21198.26136</v>
      </c>
      <c r="J3949" t="s">
        <v>33</v>
      </c>
      <c r="K3949" t="s">
        <v>5404</v>
      </c>
      <c r="L3949" t="s">
        <v>21</v>
      </c>
    </row>
    <row r="3950" spans="1:12">
      <c r="A3950" t="s">
        <v>5407</v>
      </c>
      <c r="B3950" t="s">
        <v>5375</v>
      </c>
      <c r="C3950" t="s">
        <v>14</v>
      </c>
      <c r="D3950">
        <v>1992</v>
      </c>
      <c r="E3950" t="s">
        <v>15</v>
      </c>
      <c r="F3950" t="s">
        <v>16</v>
      </c>
      <c r="G3950" t="s">
        <v>17</v>
      </c>
      <c r="H3950" t="s">
        <v>18</v>
      </c>
      <c r="I3950">
        <v>68.768000000000001</v>
      </c>
      <c r="J3950" t="s">
        <v>19</v>
      </c>
      <c r="K3950" t="s">
        <v>5408</v>
      </c>
      <c r="L3950" t="s">
        <v>21</v>
      </c>
    </row>
    <row r="3951" spans="1:12">
      <c r="A3951" t="s">
        <v>5409</v>
      </c>
      <c r="B3951" t="s">
        <v>5375</v>
      </c>
      <c r="C3951" t="s">
        <v>14</v>
      </c>
      <c r="D3951">
        <v>1992</v>
      </c>
      <c r="E3951" t="s">
        <v>23</v>
      </c>
      <c r="F3951" t="s">
        <v>24</v>
      </c>
      <c r="G3951" t="s">
        <v>25</v>
      </c>
      <c r="H3951" t="s">
        <v>26</v>
      </c>
      <c r="I3951">
        <v>16945857</v>
      </c>
      <c r="J3951" t="s">
        <v>27</v>
      </c>
      <c r="K3951" t="s">
        <v>5408</v>
      </c>
      <c r="L3951" t="s">
        <v>21</v>
      </c>
    </row>
    <row r="3952" spans="1:12">
      <c r="A3952" t="s">
        <v>5410</v>
      </c>
      <c r="B3952" t="s">
        <v>5375</v>
      </c>
      <c r="C3952" t="s">
        <v>14</v>
      </c>
      <c r="D3952">
        <v>1992</v>
      </c>
      <c r="E3952" t="s">
        <v>29</v>
      </c>
      <c r="F3952" t="s">
        <v>30</v>
      </c>
      <c r="G3952" t="s">
        <v>31</v>
      </c>
      <c r="H3952" t="s">
        <v>32</v>
      </c>
      <c r="I3952">
        <v>24841.617770000001</v>
      </c>
      <c r="J3952" t="s">
        <v>33</v>
      </c>
      <c r="K3952" t="s">
        <v>5408</v>
      </c>
      <c r="L3952" t="s">
        <v>21</v>
      </c>
    </row>
    <row r="3953" spans="1:12">
      <c r="A3953" t="s">
        <v>5411</v>
      </c>
      <c r="B3953" t="s">
        <v>5375</v>
      </c>
      <c r="C3953" t="s">
        <v>14</v>
      </c>
      <c r="D3953">
        <v>1997</v>
      </c>
      <c r="E3953" t="s">
        <v>15</v>
      </c>
      <c r="F3953" t="s">
        <v>16</v>
      </c>
      <c r="G3953" t="s">
        <v>17</v>
      </c>
      <c r="H3953" t="s">
        <v>18</v>
      </c>
      <c r="I3953">
        <v>70.533000000000001</v>
      </c>
      <c r="J3953" t="s">
        <v>19</v>
      </c>
      <c r="K3953" t="s">
        <v>5412</v>
      </c>
      <c r="L3953" t="s">
        <v>21</v>
      </c>
    </row>
    <row r="3954" spans="1:12">
      <c r="A3954" t="s">
        <v>5413</v>
      </c>
      <c r="B3954" t="s">
        <v>5375</v>
      </c>
      <c r="C3954" t="s">
        <v>14</v>
      </c>
      <c r="D3954">
        <v>1997</v>
      </c>
      <c r="E3954" t="s">
        <v>23</v>
      </c>
      <c r="F3954" t="s">
        <v>24</v>
      </c>
      <c r="G3954" t="s">
        <v>25</v>
      </c>
      <c r="H3954" t="s">
        <v>26</v>
      </c>
      <c r="I3954">
        <v>21229759</v>
      </c>
      <c r="J3954" t="s">
        <v>27</v>
      </c>
      <c r="K3954" t="s">
        <v>5412</v>
      </c>
      <c r="L3954" t="s">
        <v>21</v>
      </c>
    </row>
    <row r="3955" spans="1:12">
      <c r="A3955" t="s">
        <v>5414</v>
      </c>
      <c r="B3955" t="s">
        <v>5375</v>
      </c>
      <c r="C3955" t="s">
        <v>14</v>
      </c>
      <c r="D3955">
        <v>1997</v>
      </c>
      <c r="E3955" t="s">
        <v>29</v>
      </c>
      <c r="F3955" t="s">
        <v>30</v>
      </c>
      <c r="G3955" t="s">
        <v>31</v>
      </c>
      <c r="H3955" t="s">
        <v>32</v>
      </c>
      <c r="I3955">
        <v>20586.690190000001</v>
      </c>
      <c r="J3955" t="s">
        <v>33</v>
      </c>
      <c r="K3955" t="s">
        <v>5412</v>
      </c>
      <c r="L3955" t="s">
        <v>21</v>
      </c>
    </row>
    <row r="3956" spans="1:12">
      <c r="A3956" t="s">
        <v>5415</v>
      </c>
      <c r="B3956" t="s">
        <v>5375</v>
      </c>
      <c r="C3956" t="s">
        <v>14</v>
      </c>
      <c r="D3956">
        <v>2002</v>
      </c>
      <c r="E3956" t="s">
        <v>15</v>
      </c>
      <c r="F3956" t="s">
        <v>16</v>
      </c>
      <c r="G3956" t="s">
        <v>17</v>
      </c>
      <c r="H3956" t="s">
        <v>18</v>
      </c>
      <c r="I3956">
        <v>71.626000000000005</v>
      </c>
      <c r="J3956" t="s">
        <v>19</v>
      </c>
      <c r="K3956" t="s">
        <v>5416</v>
      </c>
      <c r="L3956" t="s">
        <v>21</v>
      </c>
    </row>
    <row r="3957" spans="1:12">
      <c r="A3957" t="s">
        <v>5417</v>
      </c>
      <c r="B3957" t="s">
        <v>5375</v>
      </c>
      <c r="C3957" t="s">
        <v>14</v>
      </c>
      <c r="D3957">
        <v>2002</v>
      </c>
      <c r="E3957" t="s">
        <v>23</v>
      </c>
      <c r="F3957" t="s">
        <v>24</v>
      </c>
      <c r="G3957" t="s">
        <v>25</v>
      </c>
      <c r="H3957" t="s">
        <v>26</v>
      </c>
      <c r="I3957">
        <v>24501530</v>
      </c>
      <c r="J3957" t="s">
        <v>27</v>
      </c>
      <c r="K3957" t="s">
        <v>5416</v>
      </c>
      <c r="L3957" t="s">
        <v>21</v>
      </c>
    </row>
    <row r="3958" spans="1:12">
      <c r="A3958" t="s">
        <v>5418</v>
      </c>
      <c r="B3958" t="s">
        <v>5375</v>
      </c>
      <c r="C3958" t="s">
        <v>14</v>
      </c>
      <c r="D3958">
        <v>2002</v>
      </c>
      <c r="E3958" t="s">
        <v>29</v>
      </c>
      <c r="F3958" t="s">
        <v>30</v>
      </c>
      <c r="G3958" t="s">
        <v>31</v>
      </c>
      <c r="H3958" t="s">
        <v>32</v>
      </c>
      <c r="I3958">
        <v>19014.54118</v>
      </c>
      <c r="J3958" t="s">
        <v>33</v>
      </c>
      <c r="K3958" t="s">
        <v>5416</v>
      </c>
      <c r="L3958" t="s">
        <v>21</v>
      </c>
    </row>
    <row r="3959" spans="1:12">
      <c r="A3959" t="s">
        <v>5419</v>
      </c>
      <c r="B3959" t="s">
        <v>5375</v>
      </c>
      <c r="C3959" t="s">
        <v>14</v>
      </c>
      <c r="D3959">
        <v>2007</v>
      </c>
      <c r="E3959" t="s">
        <v>15</v>
      </c>
      <c r="F3959" t="s">
        <v>16</v>
      </c>
      <c r="G3959" t="s">
        <v>17</v>
      </c>
      <c r="H3959" t="s">
        <v>18</v>
      </c>
      <c r="I3959">
        <v>72.777000000000001</v>
      </c>
      <c r="J3959" t="s">
        <v>19</v>
      </c>
      <c r="K3959" t="s">
        <v>5420</v>
      </c>
      <c r="L3959" t="s">
        <v>21</v>
      </c>
    </row>
    <row r="3960" spans="1:12">
      <c r="A3960" t="s">
        <v>5421</v>
      </c>
      <c r="B3960" t="s">
        <v>5375</v>
      </c>
      <c r="C3960" t="s">
        <v>14</v>
      </c>
      <c r="D3960">
        <v>2007</v>
      </c>
      <c r="E3960" t="s">
        <v>23</v>
      </c>
      <c r="F3960" t="s">
        <v>24</v>
      </c>
      <c r="G3960" t="s">
        <v>25</v>
      </c>
      <c r="H3960" t="s">
        <v>26</v>
      </c>
      <c r="I3960">
        <v>27601038</v>
      </c>
      <c r="J3960" t="s">
        <v>27</v>
      </c>
      <c r="K3960" t="s">
        <v>5420</v>
      </c>
      <c r="L3960" t="s">
        <v>21</v>
      </c>
    </row>
    <row r="3961" spans="1:12">
      <c r="A3961" t="s">
        <v>5422</v>
      </c>
      <c r="B3961" t="s">
        <v>5375</v>
      </c>
      <c r="C3961" t="s">
        <v>14</v>
      </c>
      <c r="D3961">
        <v>2007</v>
      </c>
      <c r="E3961" t="s">
        <v>29</v>
      </c>
      <c r="F3961" t="s">
        <v>30</v>
      </c>
      <c r="G3961" t="s">
        <v>31</v>
      </c>
      <c r="H3961" t="s">
        <v>32</v>
      </c>
      <c r="I3961">
        <v>21654.83194</v>
      </c>
      <c r="J3961" t="s">
        <v>33</v>
      </c>
      <c r="K3961" t="s">
        <v>5420</v>
      </c>
      <c r="L3961" t="s">
        <v>21</v>
      </c>
    </row>
    <row r="3962" spans="1:12">
      <c r="A3962" t="s">
        <v>5423</v>
      </c>
      <c r="B3962" t="s">
        <v>5424</v>
      </c>
      <c r="C3962" t="s">
        <v>130</v>
      </c>
      <c r="D3962">
        <v>1952</v>
      </c>
      <c r="E3962" t="s">
        <v>15</v>
      </c>
      <c r="F3962" t="s">
        <v>16</v>
      </c>
      <c r="G3962" t="s">
        <v>17</v>
      </c>
      <c r="H3962" t="s">
        <v>18</v>
      </c>
      <c r="I3962">
        <v>37.277999999999999</v>
      </c>
      <c r="J3962" t="s">
        <v>19</v>
      </c>
      <c r="K3962" t="s">
        <v>5425</v>
      </c>
      <c r="L3962" t="s">
        <v>21</v>
      </c>
    </row>
    <row r="3963" spans="1:12">
      <c r="A3963" t="s">
        <v>5426</v>
      </c>
      <c r="B3963" t="s">
        <v>5424</v>
      </c>
      <c r="C3963" t="s">
        <v>130</v>
      </c>
      <c r="D3963">
        <v>1952</v>
      </c>
      <c r="E3963" t="s">
        <v>23</v>
      </c>
      <c r="F3963" t="s">
        <v>24</v>
      </c>
      <c r="G3963" t="s">
        <v>25</v>
      </c>
      <c r="H3963" t="s">
        <v>26</v>
      </c>
      <c r="I3963">
        <v>2755589</v>
      </c>
      <c r="J3963" t="s">
        <v>27</v>
      </c>
      <c r="K3963" t="s">
        <v>5425</v>
      </c>
      <c r="L3963" t="s">
        <v>21</v>
      </c>
    </row>
    <row r="3964" spans="1:12">
      <c r="A3964" t="s">
        <v>5427</v>
      </c>
      <c r="B3964" t="s">
        <v>5424</v>
      </c>
      <c r="C3964" t="s">
        <v>130</v>
      </c>
      <c r="D3964">
        <v>1952</v>
      </c>
      <c r="E3964" t="s">
        <v>29</v>
      </c>
      <c r="F3964" t="s">
        <v>30</v>
      </c>
      <c r="G3964" t="s">
        <v>31</v>
      </c>
      <c r="H3964" t="s">
        <v>32</v>
      </c>
      <c r="I3964">
        <v>1450.3569829999999</v>
      </c>
      <c r="J3964" t="s">
        <v>33</v>
      </c>
      <c r="K3964" t="s">
        <v>5425</v>
      </c>
      <c r="L3964" t="s">
        <v>21</v>
      </c>
    </row>
    <row r="3965" spans="1:12">
      <c r="A3965" t="s">
        <v>5428</v>
      </c>
      <c r="B3965" t="s">
        <v>5424</v>
      </c>
      <c r="C3965" t="s">
        <v>130</v>
      </c>
      <c r="D3965">
        <v>1957</v>
      </c>
      <c r="E3965" t="s">
        <v>15</v>
      </c>
      <c r="F3965" t="s">
        <v>16</v>
      </c>
      <c r="G3965" t="s">
        <v>17</v>
      </c>
      <c r="H3965" t="s">
        <v>18</v>
      </c>
      <c r="I3965">
        <v>39.329000000000001</v>
      </c>
      <c r="J3965" t="s">
        <v>19</v>
      </c>
      <c r="K3965" t="s">
        <v>5429</v>
      </c>
      <c r="L3965" t="s">
        <v>21</v>
      </c>
    </row>
    <row r="3966" spans="1:12">
      <c r="A3966" t="s">
        <v>5430</v>
      </c>
      <c r="B3966" t="s">
        <v>5424</v>
      </c>
      <c r="C3966" t="s">
        <v>130</v>
      </c>
      <c r="D3966">
        <v>1957</v>
      </c>
      <c r="E3966" t="s">
        <v>23</v>
      </c>
      <c r="F3966" t="s">
        <v>24</v>
      </c>
      <c r="G3966" t="s">
        <v>25</v>
      </c>
      <c r="H3966" t="s">
        <v>26</v>
      </c>
      <c r="I3966">
        <v>3054547</v>
      </c>
      <c r="J3966" t="s">
        <v>27</v>
      </c>
      <c r="K3966" t="s">
        <v>5429</v>
      </c>
      <c r="L3966" t="s">
        <v>21</v>
      </c>
    </row>
    <row r="3967" spans="1:12">
      <c r="A3967" t="s">
        <v>5431</v>
      </c>
      <c r="B3967" t="s">
        <v>5424</v>
      </c>
      <c r="C3967" t="s">
        <v>130</v>
      </c>
      <c r="D3967">
        <v>1957</v>
      </c>
      <c r="E3967" t="s">
        <v>29</v>
      </c>
      <c r="F3967" t="s">
        <v>30</v>
      </c>
      <c r="G3967" t="s">
        <v>31</v>
      </c>
      <c r="H3967" t="s">
        <v>32</v>
      </c>
      <c r="I3967">
        <v>1567.653006</v>
      </c>
      <c r="J3967" t="s">
        <v>33</v>
      </c>
      <c r="K3967" t="s">
        <v>5429</v>
      </c>
      <c r="L3967" t="s">
        <v>21</v>
      </c>
    </row>
    <row r="3968" spans="1:12">
      <c r="A3968" t="s">
        <v>5432</v>
      </c>
      <c r="B3968" t="s">
        <v>5424</v>
      </c>
      <c r="C3968" t="s">
        <v>130</v>
      </c>
      <c r="D3968">
        <v>1962</v>
      </c>
      <c r="E3968" t="s">
        <v>15</v>
      </c>
      <c r="F3968" t="s">
        <v>16</v>
      </c>
      <c r="G3968" t="s">
        <v>17</v>
      </c>
      <c r="H3968" t="s">
        <v>18</v>
      </c>
      <c r="I3968">
        <v>41.453999999999901</v>
      </c>
      <c r="J3968" t="s">
        <v>19</v>
      </c>
      <c r="K3968" t="s">
        <v>5433</v>
      </c>
      <c r="L3968" t="s">
        <v>21</v>
      </c>
    </row>
    <row r="3969" spans="1:12">
      <c r="A3969" t="s">
        <v>5434</v>
      </c>
      <c r="B3969" t="s">
        <v>5424</v>
      </c>
      <c r="C3969" t="s">
        <v>130</v>
      </c>
      <c r="D3969">
        <v>1962</v>
      </c>
      <c r="E3969" t="s">
        <v>23</v>
      </c>
      <c r="F3969" t="s">
        <v>24</v>
      </c>
      <c r="G3969" t="s">
        <v>25</v>
      </c>
      <c r="H3969" t="s">
        <v>26</v>
      </c>
      <c r="I3969">
        <v>3430243</v>
      </c>
      <c r="J3969" t="s">
        <v>27</v>
      </c>
      <c r="K3969" t="s">
        <v>5433</v>
      </c>
      <c r="L3969" t="s">
        <v>21</v>
      </c>
    </row>
    <row r="3970" spans="1:12">
      <c r="A3970" t="s">
        <v>5435</v>
      </c>
      <c r="B3970" t="s">
        <v>5424</v>
      </c>
      <c r="C3970" t="s">
        <v>130</v>
      </c>
      <c r="D3970">
        <v>1962</v>
      </c>
      <c r="E3970" t="s">
        <v>29</v>
      </c>
      <c r="F3970" t="s">
        <v>30</v>
      </c>
      <c r="G3970" t="s">
        <v>31</v>
      </c>
      <c r="H3970" t="s">
        <v>32</v>
      </c>
      <c r="I3970">
        <v>1654.9887229999999</v>
      </c>
      <c r="J3970" t="s">
        <v>33</v>
      </c>
      <c r="K3970" t="s">
        <v>5433</v>
      </c>
      <c r="L3970" t="s">
        <v>21</v>
      </c>
    </row>
    <row r="3971" spans="1:12">
      <c r="A3971" t="s">
        <v>5436</v>
      </c>
      <c r="B3971" t="s">
        <v>5424</v>
      </c>
      <c r="C3971" t="s">
        <v>130</v>
      </c>
      <c r="D3971">
        <v>1967</v>
      </c>
      <c r="E3971" t="s">
        <v>15</v>
      </c>
      <c r="F3971" t="s">
        <v>16</v>
      </c>
      <c r="G3971" t="s">
        <v>17</v>
      </c>
      <c r="H3971" t="s">
        <v>18</v>
      </c>
      <c r="I3971">
        <v>43.563000000000002</v>
      </c>
      <c r="J3971" t="s">
        <v>19</v>
      </c>
      <c r="K3971" t="s">
        <v>5437</v>
      </c>
      <c r="L3971" t="s">
        <v>21</v>
      </c>
    </row>
    <row r="3972" spans="1:12">
      <c r="A3972" t="s">
        <v>5438</v>
      </c>
      <c r="B3972" t="s">
        <v>5424</v>
      </c>
      <c r="C3972" t="s">
        <v>130</v>
      </c>
      <c r="D3972">
        <v>1967</v>
      </c>
      <c r="E3972" t="s">
        <v>23</v>
      </c>
      <c r="F3972" t="s">
        <v>24</v>
      </c>
      <c r="G3972" t="s">
        <v>25</v>
      </c>
      <c r="H3972" t="s">
        <v>26</v>
      </c>
      <c r="I3972">
        <v>3965841</v>
      </c>
      <c r="J3972" t="s">
        <v>27</v>
      </c>
      <c r="K3972" t="s">
        <v>5437</v>
      </c>
      <c r="L3972" t="s">
        <v>21</v>
      </c>
    </row>
    <row r="3973" spans="1:12">
      <c r="A3973" t="s">
        <v>5439</v>
      </c>
      <c r="B3973" t="s">
        <v>5424</v>
      </c>
      <c r="C3973" t="s">
        <v>130</v>
      </c>
      <c r="D3973">
        <v>1967</v>
      </c>
      <c r="E3973" t="s">
        <v>29</v>
      </c>
      <c r="F3973" t="s">
        <v>30</v>
      </c>
      <c r="G3973" t="s">
        <v>31</v>
      </c>
      <c r="H3973" t="s">
        <v>32</v>
      </c>
      <c r="I3973">
        <v>1612.404632</v>
      </c>
      <c r="J3973" t="s">
        <v>33</v>
      </c>
      <c r="K3973" t="s">
        <v>5437</v>
      </c>
      <c r="L3973" t="s">
        <v>21</v>
      </c>
    </row>
    <row r="3974" spans="1:12">
      <c r="A3974" t="s">
        <v>5440</v>
      </c>
      <c r="B3974" t="s">
        <v>5424</v>
      </c>
      <c r="C3974" t="s">
        <v>130</v>
      </c>
      <c r="D3974">
        <v>1972</v>
      </c>
      <c r="E3974" t="s">
        <v>15</v>
      </c>
      <c r="F3974" t="s">
        <v>16</v>
      </c>
      <c r="G3974" t="s">
        <v>17</v>
      </c>
      <c r="H3974" t="s">
        <v>18</v>
      </c>
      <c r="I3974">
        <v>45.814999999999998</v>
      </c>
      <c r="J3974" t="s">
        <v>19</v>
      </c>
      <c r="K3974" t="s">
        <v>5441</v>
      </c>
      <c r="L3974" t="s">
        <v>21</v>
      </c>
    </row>
    <row r="3975" spans="1:12">
      <c r="A3975" t="s">
        <v>5442</v>
      </c>
      <c r="B3975" t="s">
        <v>5424</v>
      </c>
      <c r="C3975" t="s">
        <v>130</v>
      </c>
      <c r="D3975">
        <v>1972</v>
      </c>
      <c r="E3975" t="s">
        <v>23</v>
      </c>
      <c r="F3975" t="s">
        <v>24</v>
      </c>
      <c r="G3975" t="s">
        <v>25</v>
      </c>
      <c r="H3975" t="s">
        <v>26</v>
      </c>
      <c r="I3975">
        <v>4588696</v>
      </c>
      <c r="J3975" t="s">
        <v>27</v>
      </c>
      <c r="K3975" t="s">
        <v>5441</v>
      </c>
      <c r="L3975" t="s">
        <v>21</v>
      </c>
    </row>
    <row r="3976" spans="1:12">
      <c r="A3976" t="s">
        <v>5443</v>
      </c>
      <c r="B3976" t="s">
        <v>5424</v>
      </c>
      <c r="C3976" t="s">
        <v>130</v>
      </c>
      <c r="D3976">
        <v>1972</v>
      </c>
      <c r="E3976" t="s">
        <v>29</v>
      </c>
      <c r="F3976" t="s">
        <v>30</v>
      </c>
      <c r="G3976" t="s">
        <v>31</v>
      </c>
      <c r="H3976" t="s">
        <v>32</v>
      </c>
      <c r="I3976">
        <v>1597.7120560000001</v>
      </c>
      <c r="J3976" t="s">
        <v>33</v>
      </c>
      <c r="K3976" t="s">
        <v>5441</v>
      </c>
      <c r="L3976" t="s">
        <v>21</v>
      </c>
    </row>
    <row r="3977" spans="1:12">
      <c r="A3977" t="s">
        <v>5444</v>
      </c>
      <c r="B3977" t="s">
        <v>5424</v>
      </c>
      <c r="C3977" t="s">
        <v>130</v>
      </c>
      <c r="D3977">
        <v>1977</v>
      </c>
      <c r="E3977" t="s">
        <v>15</v>
      </c>
      <c r="F3977" t="s">
        <v>16</v>
      </c>
      <c r="G3977" t="s">
        <v>17</v>
      </c>
      <c r="H3977" t="s">
        <v>18</v>
      </c>
      <c r="I3977">
        <v>48.878999999999998</v>
      </c>
      <c r="J3977" t="s">
        <v>19</v>
      </c>
      <c r="K3977" t="s">
        <v>5445</v>
      </c>
      <c r="L3977" t="s">
        <v>21</v>
      </c>
    </row>
    <row r="3978" spans="1:12">
      <c r="A3978" t="s">
        <v>5446</v>
      </c>
      <c r="B3978" t="s">
        <v>5424</v>
      </c>
      <c r="C3978" t="s">
        <v>130</v>
      </c>
      <c r="D3978">
        <v>1977</v>
      </c>
      <c r="E3978" t="s">
        <v>23</v>
      </c>
      <c r="F3978" t="s">
        <v>24</v>
      </c>
      <c r="G3978" t="s">
        <v>25</v>
      </c>
      <c r="H3978" t="s">
        <v>26</v>
      </c>
      <c r="I3978">
        <v>5260855</v>
      </c>
      <c r="J3978" t="s">
        <v>27</v>
      </c>
      <c r="K3978" t="s">
        <v>5445</v>
      </c>
      <c r="L3978" t="s">
        <v>21</v>
      </c>
    </row>
    <row r="3979" spans="1:12">
      <c r="A3979" t="s">
        <v>5447</v>
      </c>
      <c r="B3979" t="s">
        <v>5424</v>
      </c>
      <c r="C3979" t="s">
        <v>130</v>
      </c>
      <c r="D3979">
        <v>1977</v>
      </c>
      <c r="E3979" t="s">
        <v>29</v>
      </c>
      <c r="F3979" t="s">
        <v>30</v>
      </c>
      <c r="G3979" t="s">
        <v>31</v>
      </c>
      <c r="H3979" t="s">
        <v>32</v>
      </c>
      <c r="I3979">
        <v>1561.7691159999999</v>
      </c>
      <c r="J3979" t="s">
        <v>33</v>
      </c>
      <c r="K3979" t="s">
        <v>5445</v>
      </c>
      <c r="L3979" t="s">
        <v>21</v>
      </c>
    </row>
    <row r="3980" spans="1:12">
      <c r="A3980" t="s">
        <v>5448</v>
      </c>
      <c r="B3980" t="s">
        <v>5424</v>
      </c>
      <c r="C3980" t="s">
        <v>130</v>
      </c>
      <c r="D3980">
        <v>1982</v>
      </c>
      <c r="E3980" t="s">
        <v>15</v>
      </c>
      <c r="F3980" t="s">
        <v>16</v>
      </c>
      <c r="G3980" t="s">
        <v>17</v>
      </c>
      <c r="H3980" t="s">
        <v>18</v>
      </c>
      <c r="I3980">
        <v>52.378999999999998</v>
      </c>
      <c r="J3980" t="s">
        <v>19</v>
      </c>
      <c r="K3980" t="s">
        <v>5449</v>
      </c>
      <c r="L3980" t="s">
        <v>21</v>
      </c>
    </row>
    <row r="3981" spans="1:12">
      <c r="A3981" t="s">
        <v>5450</v>
      </c>
      <c r="B3981" t="s">
        <v>5424</v>
      </c>
      <c r="C3981" t="s">
        <v>130</v>
      </c>
      <c r="D3981">
        <v>1982</v>
      </c>
      <c r="E3981" t="s">
        <v>23</v>
      </c>
      <c r="F3981" t="s">
        <v>24</v>
      </c>
      <c r="G3981" t="s">
        <v>25</v>
      </c>
      <c r="H3981" t="s">
        <v>26</v>
      </c>
      <c r="I3981">
        <v>6147783</v>
      </c>
      <c r="J3981" t="s">
        <v>27</v>
      </c>
      <c r="K3981" t="s">
        <v>5449</v>
      </c>
      <c r="L3981" t="s">
        <v>21</v>
      </c>
    </row>
    <row r="3982" spans="1:12">
      <c r="A3982" t="s">
        <v>5451</v>
      </c>
      <c r="B3982" t="s">
        <v>5424</v>
      </c>
      <c r="C3982" t="s">
        <v>130</v>
      </c>
      <c r="D3982">
        <v>1982</v>
      </c>
      <c r="E3982" t="s">
        <v>29</v>
      </c>
      <c r="F3982" t="s">
        <v>30</v>
      </c>
      <c r="G3982" t="s">
        <v>31</v>
      </c>
      <c r="H3982" t="s">
        <v>32</v>
      </c>
      <c r="I3982">
        <v>1518.4799840000001</v>
      </c>
      <c r="J3982" t="s">
        <v>33</v>
      </c>
      <c r="K3982" t="s">
        <v>5449</v>
      </c>
      <c r="L3982" t="s">
        <v>21</v>
      </c>
    </row>
    <row r="3983" spans="1:12">
      <c r="A3983" t="s">
        <v>5452</v>
      </c>
      <c r="B3983" t="s">
        <v>5424</v>
      </c>
      <c r="C3983" t="s">
        <v>130</v>
      </c>
      <c r="D3983">
        <v>1987</v>
      </c>
      <c r="E3983" t="s">
        <v>15</v>
      </c>
      <c r="F3983" t="s">
        <v>16</v>
      </c>
      <c r="G3983" t="s">
        <v>17</v>
      </c>
      <c r="H3983" t="s">
        <v>18</v>
      </c>
      <c r="I3983">
        <v>55.768999999999998</v>
      </c>
      <c r="J3983" t="s">
        <v>19</v>
      </c>
      <c r="K3983" t="s">
        <v>5453</v>
      </c>
      <c r="L3983" t="s">
        <v>21</v>
      </c>
    </row>
    <row r="3984" spans="1:12">
      <c r="A3984" t="s">
        <v>5454</v>
      </c>
      <c r="B3984" t="s">
        <v>5424</v>
      </c>
      <c r="C3984" t="s">
        <v>130</v>
      </c>
      <c r="D3984">
        <v>1987</v>
      </c>
      <c r="E3984" t="s">
        <v>23</v>
      </c>
      <c r="F3984" t="s">
        <v>24</v>
      </c>
      <c r="G3984" t="s">
        <v>25</v>
      </c>
      <c r="H3984" t="s">
        <v>26</v>
      </c>
      <c r="I3984">
        <v>7171347</v>
      </c>
      <c r="J3984" t="s">
        <v>27</v>
      </c>
      <c r="K3984" t="s">
        <v>5453</v>
      </c>
      <c r="L3984" t="s">
        <v>21</v>
      </c>
    </row>
    <row r="3985" spans="1:12">
      <c r="A3985" t="s">
        <v>5455</v>
      </c>
      <c r="B3985" t="s">
        <v>5424</v>
      </c>
      <c r="C3985" t="s">
        <v>130</v>
      </c>
      <c r="D3985">
        <v>1987</v>
      </c>
      <c r="E3985" t="s">
        <v>29</v>
      </c>
      <c r="F3985" t="s">
        <v>30</v>
      </c>
      <c r="G3985" t="s">
        <v>31</v>
      </c>
      <c r="H3985" t="s">
        <v>32</v>
      </c>
      <c r="I3985">
        <v>1441.72072</v>
      </c>
      <c r="J3985" t="s">
        <v>33</v>
      </c>
      <c r="K3985" t="s">
        <v>5453</v>
      </c>
      <c r="L3985" t="s">
        <v>21</v>
      </c>
    </row>
    <row r="3986" spans="1:12">
      <c r="A3986" t="s">
        <v>5456</v>
      </c>
      <c r="B3986" t="s">
        <v>5424</v>
      </c>
      <c r="C3986" t="s">
        <v>130</v>
      </c>
      <c r="D3986">
        <v>1992</v>
      </c>
      <c r="E3986" t="s">
        <v>15</v>
      </c>
      <c r="F3986" t="s">
        <v>16</v>
      </c>
      <c r="G3986" t="s">
        <v>17</v>
      </c>
      <c r="H3986" t="s">
        <v>18</v>
      </c>
      <c r="I3986">
        <v>58.195999999999998</v>
      </c>
      <c r="J3986" t="s">
        <v>19</v>
      </c>
      <c r="K3986" t="s">
        <v>5457</v>
      </c>
      <c r="L3986" t="s">
        <v>21</v>
      </c>
    </row>
    <row r="3987" spans="1:12">
      <c r="A3987" t="s">
        <v>5458</v>
      </c>
      <c r="B3987" t="s">
        <v>5424</v>
      </c>
      <c r="C3987" t="s">
        <v>130</v>
      </c>
      <c r="D3987">
        <v>1992</v>
      </c>
      <c r="E3987" t="s">
        <v>23</v>
      </c>
      <c r="F3987" t="s">
        <v>24</v>
      </c>
      <c r="G3987" t="s">
        <v>25</v>
      </c>
      <c r="H3987" t="s">
        <v>26</v>
      </c>
      <c r="I3987">
        <v>8307920</v>
      </c>
      <c r="J3987" t="s">
        <v>27</v>
      </c>
      <c r="K3987" t="s">
        <v>5457</v>
      </c>
      <c r="L3987" t="s">
        <v>21</v>
      </c>
    </row>
    <row r="3988" spans="1:12">
      <c r="A3988" t="s">
        <v>5459</v>
      </c>
      <c r="B3988" t="s">
        <v>5424</v>
      </c>
      <c r="C3988" t="s">
        <v>130</v>
      </c>
      <c r="D3988">
        <v>1992</v>
      </c>
      <c r="E3988" t="s">
        <v>29</v>
      </c>
      <c r="F3988" t="s">
        <v>30</v>
      </c>
      <c r="G3988" t="s">
        <v>31</v>
      </c>
      <c r="H3988" t="s">
        <v>32</v>
      </c>
      <c r="I3988">
        <v>1367.899369</v>
      </c>
      <c r="J3988" t="s">
        <v>33</v>
      </c>
      <c r="K3988" t="s">
        <v>5457</v>
      </c>
      <c r="L3988" t="s">
        <v>21</v>
      </c>
    </row>
    <row r="3989" spans="1:12">
      <c r="A3989" t="s">
        <v>5460</v>
      </c>
      <c r="B3989" t="s">
        <v>5424</v>
      </c>
      <c r="C3989" t="s">
        <v>130</v>
      </c>
      <c r="D3989">
        <v>1997</v>
      </c>
      <c r="E3989" t="s">
        <v>15</v>
      </c>
      <c r="F3989" t="s">
        <v>16</v>
      </c>
      <c r="G3989" t="s">
        <v>17</v>
      </c>
      <c r="H3989" t="s">
        <v>18</v>
      </c>
      <c r="I3989">
        <v>60.186999999999998</v>
      </c>
      <c r="J3989" t="s">
        <v>19</v>
      </c>
      <c r="K3989" t="s">
        <v>5461</v>
      </c>
      <c r="L3989" t="s">
        <v>21</v>
      </c>
    </row>
    <row r="3990" spans="1:12">
      <c r="A3990" t="s">
        <v>5462</v>
      </c>
      <c r="B3990" t="s">
        <v>5424</v>
      </c>
      <c r="C3990" t="s">
        <v>130</v>
      </c>
      <c r="D3990">
        <v>1997</v>
      </c>
      <c r="E3990" t="s">
        <v>23</v>
      </c>
      <c r="F3990" t="s">
        <v>24</v>
      </c>
      <c r="G3990" t="s">
        <v>25</v>
      </c>
      <c r="H3990" t="s">
        <v>26</v>
      </c>
      <c r="I3990">
        <v>9535314</v>
      </c>
      <c r="J3990" t="s">
        <v>27</v>
      </c>
      <c r="K3990" t="s">
        <v>5461</v>
      </c>
      <c r="L3990" t="s">
        <v>21</v>
      </c>
    </row>
    <row r="3991" spans="1:12">
      <c r="A3991" t="s">
        <v>5463</v>
      </c>
      <c r="B3991" t="s">
        <v>5424</v>
      </c>
      <c r="C3991" t="s">
        <v>130</v>
      </c>
      <c r="D3991">
        <v>1997</v>
      </c>
      <c r="E3991" t="s">
        <v>29</v>
      </c>
      <c r="F3991" t="s">
        <v>30</v>
      </c>
      <c r="G3991" t="s">
        <v>31</v>
      </c>
      <c r="H3991" t="s">
        <v>32</v>
      </c>
      <c r="I3991">
        <v>1392.3683470000001</v>
      </c>
      <c r="J3991" t="s">
        <v>33</v>
      </c>
      <c r="K3991" t="s">
        <v>5461</v>
      </c>
      <c r="L3991" t="s">
        <v>21</v>
      </c>
    </row>
    <row r="3992" spans="1:12">
      <c r="A3992" t="s">
        <v>5464</v>
      </c>
      <c r="B3992" t="s">
        <v>5424</v>
      </c>
      <c r="C3992" t="s">
        <v>130</v>
      </c>
      <c r="D3992">
        <v>2002</v>
      </c>
      <c r="E3992" t="s">
        <v>15</v>
      </c>
      <c r="F3992" t="s">
        <v>16</v>
      </c>
      <c r="G3992" t="s">
        <v>17</v>
      </c>
      <c r="H3992" t="s">
        <v>18</v>
      </c>
      <c r="I3992">
        <v>61.6</v>
      </c>
      <c r="J3992" t="s">
        <v>19</v>
      </c>
      <c r="K3992" t="s">
        <v>5465</v>
      </c>
      <c r="L3992" t="s">
        <v>21</v>
      </c>
    </row>
    <row r="3993" spans="1:12">
      <c r="A3993" t="s">
        <v>5466</v>
      </c>
      <c r="B3993" t="s">
        <v>5424</v>
      </c>
      <c r="C3993" t="s">
        <v>130</v>
      </c>
      <c r="D3993">
        <v>2002</v>
      </c>
      <c r="E3993" t="s">
        <v>23</v>
      </c>
      <c r="F3993" t="s">
        <v>24</v>
      </c>
      <c r="G3993" t="s">
        <v>25</v>
      </c>
      <c r="H3993" t="s">
        <v>26</v>
      </c>
      <c r="I3993">
        <v>10870037</v>
      </c>
      <c r="J3993" t="s">
        <v>27</v>
      </c>
      <c r="K3993" t="s">
        <v>5465</v>
      </c>
      <c r="L3993" t="s">
        <v>21</v>
      </c>
    </row>
    <row r="3994" spans="1:12">
      <c r="A3994" t="s">
        <v>5467</v>
      </c>
      <c r="B3994" t="s">
        <v>5424</v>
      </c>
      <c r="C3994" t="s">
        <v>130</v>
      </c>
      <c r="D3994">
        <v>2002</v>
      </c>
      <c r="E3994" t="s">
        <v>29</v>
      </c>
      <c r="F3994" t="s">
        <v>30</v>
      </c>
      <c r="G3994" t="s">
        <v>31</v>
      </c>
      <c r="H3994" t="s">
        <v>32</v>
      </c>
      <c r="I3994">
        <v>1519.635262</v>
      </c>
      <c r="J3994" t="s">
        <v>33</v>
      </c>
      <c r="K3994" t="s">
        <v>5465</v>
      </c>
      <c r="L3994" t="s">
        <v>21</v>
      </c>
    </row>
    <row r="3995" spans="1:12">
      <c r="A3995" t="s">
        <v>5468</v>
      </c>
      <c r="B3995" t="s">
        <v>5424</v>
      </c>
      <c r="C3995" t="s">
        <v>130</v>
      </c>
      <c r="D3995">
        <v>2007</v>
      </c>
      <c r="E3995" t="s">
        <v>15</v>
      </c>
      <c r="F3995" t="s">
        <v>16</v>
      </c>
      <c r="G3995" t="s">
        <v>17</v>
      </c>
      <c r="H3995" t="s">
        <v>18</v>
      </c>
      <c r="I3995">
        <v>63.061999999999998</v>
      </c>
      <c r="J3995" t="s">
        <v>19</v>
      </c>
      <c r="K3995" t="s">
        <v>5469</v>
      </c>
      <c r="L3995" t="s">
        <v>21</v>
      </c>
    </row>
    <row r="3996" spans="1:12">
      <c r="A3996" t="s">
        <v>5470</v>
      </c>
      <c r="B3996" t="s">
        <v>5424</v>
      </c>
      <c r="C3996" t="s">
        <v>130</v>
      </c>
      <c r="D3996">
        <v>2007</v>
      </c>
      <c r="E3996" t="s">
        <v>23</v>
      </c>
      <c r="F3996" t="s">
        <v>24</v>
      </c>
      <c r="G3996" t="s">
        <v>25</v>
      </c>
      <c r="H3996" t="s">
        <v>26</v>
      </c>
      <c r="I3996">
        <v>12267493</v>
      </c>
      <c r="J3996" t="s">
        <v>27</v>
      </c>
      <c r="K3996" t="s">
        <v>5469</v>
      </c>
      <c r="L3996" t="s">
        <v>21</v>
      </c>
    </row>
    <row r="3997" spans="1:12">
      <c r="A3997" t="s">
        <v>5471</v>
      </c>
      <c r="B3997" t="s">
        <v>5424</v>
      </c>
      <c r="C3997" t="s">
        <v>130</v>
      </c>
      <c r="D3997">
        <v>2007</v>
      </c>
      <c r="E3997" t="s">
        <v>29</v>
      </c>
      <c r="F3997" t="s">
        <v>30</v>
      </c>
      <c r="G3997" t="s">
        <v>31</v>
      </c>
      <c r="H3997" t="s">
        <v>32</v>
      </c>
      <c r="I3997">
        <v>1712.4721360000001</v>
      </c>
      <c r="J3997" t="s">
        <v>33</v>
      </c>
      <c r="K3997" t="s">
        <v>5469</v>
      </c>
      <c r="L3997" t="s">
        <v>21</v>
      </c>
    </row>
    <row r="3998" spans="1:12">
      <c r="A3998" t="s">
        <v>5472</v>
      </c>
      <c r="B3998" t="s">
        <v>5473</v>
      </c>
      <c r="C3998" t="s">
        <v>80</v>
      </c>
      <c r="D3998">
        <v>1952</v>
      </c>
      <c r="E3998" t="s">
        <v>15</v>
      </c>
      <c r="F3998" t="s">
        <v>16</v>
      </c>
      <c r="G3998" t="s">
        <v>17</v>
      </c>
      <c r="H3998" t="s">
        <v>18</v>
      </c>
      <c r="I3998">
        <v>57.996000000000002</v>
      </c>
      <c r="J3998" t="s">
        <v>19</v>
      </c>
      <c r="K3998" t="s">
        <v>5474</v>
      </c>
      <c r="L3998" t="s">
        <v>21</v>
      </c>
    </row>
    <row r="3999" spans="1:12">
      <c r="A3999" t="s">
        <v>5475</v>
      </c>
      <c r="B3999" t="s">
        <v>5473</v>
      </c>
      <c r="C3999" t="s">
        <v>80</v>
      </c>
      <c r="D3999">
        <v>1952</v>
      </c>
      <c r="E3999" t="s">
        <v>23</v>
      </c>
      <c r="F3999" t="s">
        <v>24</v>
      </c>
      <c r="G3999" t="s">
        <v>25</v>
      </c>
      <c r="H3999" t="s">
        <v>26</v>
      </c>
      <c r="I3999">
        <v>6860147</v>
      </c>
      <c r="J3999" t="s">
        <v>27</v>
      </c>
      <c r="K3999" t="s">
        <v>5474</v>
      </c>
      <c r="L3999" t="s">
        <v>21</v>
      </c>
    </row>
    <row r="4000" spans="1:12">
      <c r="A4000" t="s">
        <v>5476</v>
      </c>
      <c r="B4000" t="s">
        <v>5473</v>
      </c>
      <c r="C4000" t="s">
        <v>80</v>
      </c>
      <c r="D4000">
        <v>1952</v>
      </c>
      <c r="E4000" t="s">
        <v>29</v>
      </c>
      <c r="F4000" t="s">
        <v>30</v>
      </c>
      <c r="G4000" t="s">
        <v>31</v>
      </c>
      <c r="H4000" t="s">
        <v>32</v>
      </c>
      <c r="I4000">
        <v>3581.4594480000001</v>
      </c>
      <c r="J4000" t="s">
        <v>33</v>
      </c>
      <c r="K4000" t="s">
        <v>5474</v>
      </c>
      <c r="L4000" t="s">
        <v>21</v>
      </c>
    </row>
    <row r="4001" spans="1:12">
      <c r="A4001" t="s">
        <v>5477</v>
      </c>
      <c r="B4001" t="s">
        <v>5473</v>
      </c>
      <c r="C4001" t="s">
        <v>80</v>
      </c>
      <c r="D4001">
        <v>1957</v>
      </c>
      <c r="E4001" t="s">
        <v>15</v>
      </c>
      <c r="F4001" t="s">
        <v>16</v>
      </c>
      <c r="G4001" t="s">
        <v>17</v>
      </c>
      <c r="H4001" t="s">
        <v>18</v>
      </c>
      <c r="I4001">
        <v>61.685000000000002</v>
      </c>
      <c r="J4001" t="s">
        <v>19</v>
      </c>
      <c r="K4001" t="s">
        <v>5478</v>
      </c>
      <c r="L4001" t="s">
        <v>21</v>
      </c>
    </row>
    <row r="4002" spans="1:12">
      <c r="A4002" t="s">
        <v>5479</v>
      </c>
      <c r="B4002" t="s">
        <v>5473</v>
      </c>
      <c r="C4002" t="s">
        <v>80</v>
      </c>
      <c r="D4002">
        <v>1957</v>
      </c>
      <c r="E4002" t="s">
        <v>23</v>
      </c>
      <c r="F4002" t="s">
        <v>24</v>
      </c>
      <c r="G4002" t="s">
        <v>25</v>
      </c>
      <c r="H4002" t="s">
        <v>26</v>
      </c>
      <c r="I4002">
        <v>7271135</v>
      </c>
      <c r="J4002" t="s">
        <v>27</v>
      </c>
      <c r="K4002" t="s">
        <v>5478</v>
      </c>
      <c r="L4002" t="s">
        <v>21</v>
      </c>
    </row>
    <row r="4003" spans="1:12">
      <c r="A4003" t="s">
        <v>5480</v>
      </c>
      <c r="B4003" t="s">
        <v>5473</v>
      </c>
      <c r="C4003" t="s">
        <v>80</v>
      </c>
      <c r="D4003">
        <v>1957</v>
      </c>
      <c r="E4003" t="s">
        <v>29</v>
      </c>
      <c r="F4003" t="s">
        <v>30</v>
      </c>
      <c r="G4003" t="s">
        <v>31</v>
      </c>
      <c r="H4003" t="s">
        <v>32</v>
      </c>
      <c r="I4003">
        <v>4981.0908909999998</v>
      </c>
      <c r="J4003" t="s">
        <v>33</v>
      </c>
      <c r="K4003" t="s">
        <v>5478</v>
      </c>
      <c r="L4003" t="s">
        <v>21</v>
      </c>
    </row>
    <row r="4004" spans="1:12">
      <c r="A4004" t="s">
        <v>5481</v>
      </c>
      <c r="B4004" t="s">
        <v>5473</v>
      </c>
      <c r="C4004" t="s">
        <v>80</v>
      </c>
      <c r="D4004">
        <v>1962</v>
      </c>
      <c r="E4004" t="s">
        <v>15</v>
      </c>
      <c r="F4004" t="s">
        <v>16</v>
      </c>
      <c r="G4004" t="s">
        <v>17</v>
      </c>
      <c r="H4004" t="s">
        <v>18</v>
      </c>
      <c r="I4004">
        <v>64.531000000000006</v>
      </c>
      <c r="J4004" t="s">
        <v>19</v>
      </c>
      <c r="K4004" t="s">
        <v>5482</v>
      </c>
      <c r="L4004" t="s">
        <v>21</v>
      </c>
    </row>
    <row r="4005" spans="1:12">
      <c r="A4005" t="s">
        <v>5483</v>
      </c>
      <c r="B4005" t="s">
        <v>5473</v>
      </c>
      <c r="C4005" t="s">
        <v>80</v>
      </c>
      <c r="D4005">
        <v>1962</v>
      </c>
      <c r="E4005" t="s">
        <v>23</v>
      </c>
      <c r="F4005" t="s">
        <v>24</v>
      </c>
      <c r="G4005" t="s">
        <v>25</v>
      </c>
      <c r="H4005" t="s">
        <v>26</v>
      </c>
      <c r="I4005">
        <v>7616060</v>
      </c>
      <c r="J4005" t="s">
        <v>27</v>
      </c>
      <c r="K4005" t="s">
        <v>5482</v>
      </c>
      <c r="L4005" t="s">
        <v>21</v>
      </c>
    </row>
    <row r="4006" spans="1:12">
      <c r="A4006" t="s">
        <v>5484</v>
      </c>
      <c r="B4006" t="s">
        <v>5473</v>
      </c>
      <c r="C4006" t="s">
        <v>80</v>
      </c>
      <c r="D4006">
        <v>1962</v>
      </c>
      <c r="E4006" t="s">
        <v>29</v>
      </c>
      <c r="F4006" t="s">
        <v>30</v>
      </c>
      <c r="G4006" t="s">
        <v>31</v>
      </c>
      <c r="H4006" t="s">
        <v>32</v>
      </c>
      <c r="I4006">
        <v>6289.6291570000003</v>
      </c>
      <c r="J4006" t="s">
        <v>33</v>
      </c>
      <c r="K4006" t="s">
        <v>5482</v>
      </c>
      <c r="L4006" t="s">
        <v>21</v>
      </c>
    </row>
    <row r="4007" spans="1:12">
      <c r="A4007" t="s">
        <v>5485</v>
      </c>
      <c r="B4007" t="s">
        <v>5473</v>
      </c>
      <c r="C4007" t="s">
        <v>80</v>
      </c>
      <c r="D4007">
        <v>1967</v>
      </c>
      <c r="E4007" t="s">
        <v>15</v>
      </c>
      <c r="F4007" t="s">
        <v>16</v>
      </c>
      <c r="G4007" t="s">
        <v>17</v>
      </c>
      <c r="H4007" t="s">
        <v>18</v>
      </c>
      <c r="I4007">
        <v>66.914000000000001</v>
      </c>
      <c r="J4007" t="s">
        <v>19</v>
      </c>
      <c r="K4007" t="s">
        <v>5486</v>
      </c>
      <c r="L4007" t="s">
        <v>21</v>
      </c>
    </row>
    <row r="4008" spans="1:12">
      <c r="A4008" t="s">
        <v>5487</v>
      </c>
      <c r="B4008" t="s">
        <v>5473</v>
      </c>
      <c r="C4008" t="s">
        <v>80</v>
      </c>
      <c r="D4008">
        <v>1967</v>
      </c>
      <c r="E4008" t="s">
        <v>23</v>
      </c>
      <c r="F4008" t="s">
        <v>24</v>
      </c>
      <c r="G4008" t="s">
        <v>25</v>
      </c>
      <c r="H4008" t="s">
        <v>26</v>
      </c>
      <c r="I4008">
        <v>7971222</v>
      </c>
      <c r="J4008" t="s">
        <v>27</v>
      </c>
      <c r="K4008" t="s">
        <v>5486</v>
      </c>
      <c r="L4008" t="s">
        <v>21</v>
      </c>
    </row>
    <row r="4009" spans="1:12">
      <c r="A4009" t="s">
        <v>5488</v>
      </c>
      <c r="B4009" t="s">
        <v>5473</v>
      </c>
      <c r="C4009" t="s">
        <v>80</v>
      </c>
      <c r="D4009">
        <v>1967</v>
      </c>
      <c r="E4009" t="s">
        <v>29</v>
      </c>
      <c r="F4009" t="s">
        <v>30</v>
      </c>
      <c r="G4009" t="s">
        <v>31</v>
      </c>
      <c r="H4009" t="s">
        <v>32</v>
      </c>
      <c r="I4009">
        <v>7991.7070659999999</v>
      </c>
      <c r="J4009" t="s">
        <v>33</v>
      </c>
      <c r="K4009" t="s">
        <v>5486</v>
      </c>
      <c r="L4009" t="s">
        <v>21</v>
      </c>
    </row>
    <row r="4010" spans="1:12">
      <c r="A4010" t="s">
        <v>5489</v>
      </c>
      <c r="B4010" t="s">
        <v>5473</v>
      </c>
      <c r="C4010" t="s">
        <v>80</v>
      </c>
      <c r="D4010">
        <v>1972</v>
      </c>
      <c r="E4010" t="s">
        <v>15</v>
      </c>
      <c r="F4010" t="s">
        <v>16</v>
      </c>
      <c r="G4010" t="s">
        <v>17</v>
      </c>
      <c r="H4010" t="s">
        <v>18</v>
      </c>
      <c r="I4010">
        <v>68.7</v>
      </c>
      <c r="J4010" t="s">
        <v>19</v>
      </c>
      <c r="K4010" t="s">
        <v>5490</v>
      </c>
      <c r="L4010" t="s">
        <v>21</v>
      </c>
    </row>
    <row r="4011" spans="1:12">
      <c r="A4011" t="s">
        <v>5491</v>
      </c>
      <c r="B4011" t="s">
        <v>5473</v>
      </c>
      <c r="C4011" t="s">
        <v>80</v>
      </c>
      <c r="D4011">
        <v>1972</v>
      </c>
      <c r="E4011" t="s">
        <v>23</v>
      </c>
      <c r="F4011" t="s">
        <v>24</v>
      </c>
      <c r="G4011" t="s">
        <v>25</v>
      </c>
      <c r="H4011" t="s">
        <v>26</v>
      </c>
      <c r="I4011">
        <v>8313288</v>
      </c>
      <c r="J4011" t="s">
        <v>27</v>
      </c>
      <c r="K4011" t="s">
        <v>5490</v>
      </c>
      <c r="L4011" t="s">
        <v>21</v>
      </c>
    </row>
    <row r="4012" spans="1:12">
      <c r="A4012" t="s">
        <v>5492</v>
      </c>
      <c r="B4012" t="s">
        <v>5473</v>
      </c>
      <c r="C4012" t="s">
        <v>80</v>
      </c>
      <c r="D4012">
        <v>1972</v>
      </c>
      <c r="E4012" t="s">
        <v>29</v>
      </c>
      <c r="F4012" t="s">
        <v>30</v>
      </c>
      <c r="G4012" t="s">
        <v>31</v>
      </c>
      <c r="H4012" t="s">
        <v>32</v>
      </c>
      <c r="I4012">
        <v>10522.067489999999</v>
      </c>
      <c r="J4012" t="s">
        <v>33</v>
      </c>
      <c r="K4012" t="s">
        <v>5490</v>
      </c>
      <c r="L4012" t="s">
        <v>21</v>
      </c>
    </row>
    <row r="4013" spans="1:12">
      <c r="A4013" t="s">
        <v>5493</v>
      </c>
      <c r="B4013" t="s">
        <v>5473</v>
      </c>
      <c r="C4013" t="s">
        <v>80</v>
      </c>
      <c r="D4013">
        <v>1977</v>
      </c>
      <c r="E4013" t="s">
        <v>15</v>
      </c>
      <c r="F4013" t="s">
        <v>16</v>
      </c>
      <c r="G4013" t="s">
        <v>17</v>
      </c>
      <c r="H4013" t="s">
        <v>18</v>
      </c>
      <c r="I4013">
        <v>70.3</v>
      </c>
      <c r="J4013" t="s">
        <v>19</v>
      </c>
      <c r="K4013" t="s">
        <v>5494</v>
      </c>
      <c r="L4013" t="s">
        <v>21</v>
      </c>
    </row>
    <row r="4014" spans="1:12">
      <c r="A4014" t="s">
        <v>5495</v>
      </c>
      <c r="B4014" t="s">
        <v>5473</v>
      </c>
      <c r="C4014" t="s">
        <v>80</v>
      </c>
      <c r="D4014">
        <v>1977</v>
      </c>
      <c r="E4014" t="s">
        <v>23</v>
      </c>
      <c r="F4014" t="s">
        <v>24</v>
      </c>
      <c r="G4014" t="s">
        <v>25</v>
      </c>
      <c r="H4014" t="s">
        <v>26</v>
      </c>
      <c r="I4014">
        <v>8686367</v>
      </c>
      <c r="J4014" t="s">
        <v>27</v>
      </c>
      <c r="K4014" t="s">
        <v>5494</v>
      </c>
      <c r="L4014" t="s">
        <v>21</v>
      </c>
    </row>
    <row r="4015" spans="1:12">
      <c r="A4015" t="s">
        <v>5496</v>
      </c>
      <c r="B4015" t="s">
        <v>5473</v>
      </c>
      <c r="C4015" t="s">
        <v>80</v>
      </c>
      <c r="D4015">
        <v>1977</v>
      </c>
      <c r="E4015" t="s">
        <v>29</v>
      </c>
      <c r="F4015" t="s">
        <v>30</v>
      </c>
      <c r="G4015" t="s">
        <v>31</v>
      </c>
      <c r="H4015" t="s">
        <v>32</v>
      </c>
      <c r="I4015">
        <v>12980.66956</v>
      </c>
      <c r="J4015" t="s">
        <v>33</v>
      </c>
      <c r="K4015" t="s">
        <v>5494</v>
      </c>
      <c r="L4015" t="s">
        <v>21</v>
      </c>
    </row>
    <row r="4016" spans="1:12">
      <c r="A4016" t="s">
        <v>5497</v>
      </c>
      <c r="B4016" t="s">
        <v>5473</v>
      </c>
      <c r="C4016" t="s">
        <v>80</v>
      </c>
      <c r="D4016">
        <v>1982</v>
      </c>
      <c r="E4016" t="s">
        <v>15</v>
      </c>
      <c r="F4016" t="s">
        <v>16</v>
      </c>
      <c r="G4016" t="s">
        <v>17</v>
      </c>
      <c r="H4016" t="s">
        <v>18</v>
      </c>
      <c r="I4016">
        <v>70.161999999999907</v>
      </c>
      <c r="J4016" t="s">
        <v>19</v>
      </c>
      <c r="K4016" t="s">
        <v>5498</v>
      </c>
      <c r="L4016" t="s">
        <v>21</v>
      </c>
    </row>
    <row r="4017" spans="1:12">
      <c r="A4017" t="s">
        <v>5499</v>
      </c>
      <c r="B4017" t="s">
        <v>5473</v>
      </c>
      <c r="C4017" t="s">
        <v>80</v>
      </c>
      <c r="D4017">
        <v>1982</v>
      </c>
      <c r="E4017" t="s">
        <v>23</v>
      </c>
      <c r="F4017" t="s">
        <v>24</v>
      </c>
      <c r="G4017" t="s">
        <v>25</v>
      </c>
      <c r="H4017" t="s">
        <v>26</v>
      </c>
      <c r="I4017">
        <v>9032824</v>
      </c>
      <c r="J4017" t="s">
        <v>27</v>
      </c>
      <c r="K4017" t="s">
        <v>5498</v>
      </c>
      <c r="L4017" t="s">
        <v>21</v>
      </c>
    </row>
    <row r="4018" spans="1:12">
      <c r="A4018" t="s">
        <v>5500</v>
      </c>
      <c r="B4018" t="s">
        <v>5473</v>
      </c>
      <c r="C4018" t="s">
        <v>80</v>
      </c>
      <c r="D4018">
        <v>1982</v>
      </c>
      <c r="E4018" t="s">
        <v>29</v>
      </c>
      <c r="F4018" t="s">
        <v>30</v>
      </c>
      <c r="G4018" t="s">
        <v>31</v>
      </c>
      <c r="H4018" t="s">
        <v>32</v>
      </c>
      <c r="I4018">
        <v>15181.092699999999</v>
      </c>
      <c r="J4018" t="s">
        <v>33</v>
      </c>
      <c r="K4018" t="s">
        <v>5498</v>
      </c>
      <c r="L4018" t="s">
        <v>21</v>
      </c>
    </row>
    <row r="4019" spans="1:12">
      <c r="A4019" t="s">
        <v>5501</v>
      </c>
      <c r="B4019" t="s">
        <v>5473</v>
      </c>
      <c r="C4019" t="s">
        <v>80</v>
      </c>
      <c r="D4019">
        <v>1987</v>
      </c>
      <c r="E4019" t="s">
        <v>15</v>
      </c>
      <c r="F4019" t="s">
        <v>16</v>
      </c>
      <c r="G4019" t="s">
        <v>17</v>
      </c>
      <c r="H4019" t="s">
        <v>18</v>
      </c>
      <c r="I4019">
        <v>71.218000000000004</v>
      </c>
      <c r="J4019" t="s">
        <v>19</v>
      </c>
      <c r="K4019" t="s">
        <v>5502</v>
      </c>
      <c r="L4019" t="s">
        <v>21</v>
      </c>
    </row>
    <row r="4020" spans="1:12">
      <c r="A4020" t="s">
        <v>5503</v>
      </c>
      <c r="B4020" t="s">
        <v>5473</v>
      </c>
      <c r="C4020" t="s">
        <v>80</v>
      </c>
      <c r="D4020">
        <v>1987</v>
      </c>
      <c r="E4020" t="s">
        <v>23</v>
      </c>
      <c r="F4020" t="s">
        <v>24</v>
      </c>
      <c r="G4020" t="s">
        <v>25</v>
      </c>
      <c r="H4020" t="s">
        <v>26</v>
      </c>
      <c r="I4020">
        <v>9230783</v>
      </c>
      <c r="J4020" t="s">
        <v>27</v>
      </c>
      <c r="K4020" t="s">
        <v>5502</v>
      </c>
      <c r="L4020" t="s">
        <v>21</v>
      </c>
    </row>
    <row r="4021" spans="1:12">
      <c r="A4021" t="s">
        <v>5504</v>
      </c>
      <c r="B4021" t="s">
        <v>5473</v>
      </c>
      <c r="C4021" t="s">
        <v>80</v>
      </c>
      <c r="D4021">
        <v>1987</v>
      </c>
      <c r="E4021" t="s">
        <v>29</v>
      </c>
      <c r="F4021" t="s">
        <v>30</v>
      </c>
      <c r="G4021" t="s">
        <v>31</v>
      </c>
      <c r="H4021" t="s">
        <v>32</v>
      </c>
      <c r="I4021">
        <v>15870.87851</v>
      </c>
      <c r="J4021" t="s">
        <v>33</v>
      </c>
      <c r="K4021" t="s">
        <v>5502</v>
      </c>
      <c r="L4021" t="s">
        <v>21</v>
      </c>
    </row>
    <row r="4022" spans="1:12">
      <c r="A4022" t="s">
        <v>5505</v>
      </c>
      <c r="B4022" t="s">
        <v>5473</v>
      </c>
      <c r="C4022" t="s">
        <v>80</v>
      </c>
      <c r="D4022">
        <v>1992</v>
      </c>
      <c r="E4022" t="s">
        <v>15</v>
      </c>
      <c r="F4022" t="s">
        <v>16</v>
      </c>
      <c r="G4022" t="s">
        <v>17</v>
      </c>
      <c r="H4022" t="s">
        <v>18</v>
      </c>
      <c r="I4022">
        <v>71.658999999999907</v>
      </c>
      <c r="J4022" t="s">
        <v>19</v>
      </c>
      <c r="K4022" t="s">
        <v>5506</v>
      </c>
      <c r="L4022" t="s">
        <v>21</v>
      </c>
    </row>
    <row r="4023" spans="1:12">
      <c r="A4023" t="s">
        <v>5507</v>
      </c>
      <c r="B4023" t="s">
        <v>5473</v>
      </c>
      <c r="C4023" t="s">
        <v>80</v>
      </c>
      <c r="D4023">
        <v>1992</v>
      </c>
      <c r="E4023" t="s">
        <v>23</v>
      </c>
      <c r="F4023" t="s">
        <v>24</v>
      </c>
      <c r="G4023" t="s">
        <v>25</v>
      </c>
      <c r="H4023" t="s">
        <v>26</v>
      </c>
      <c r="I4023">
        <v>9826397</v>
      </c>
      <c r="J4023" t="s">
        <v>27</v>
      </c>
      <c r="K4023" t="s">
        <v>5506</v>
      </c>
      <c r="L4023" t="s">
        <v>21</v>
      </c>
    </row>
    <row r="4024" spans="1:12">
      <c r="A4024" t="s">
        <v>5508</v>
      </c>
      <c r="B4024" t="s">
        <v>5473</v>
      </c>
      <c r="C4024" t="s">
        <v>80</v>
      </c>
      <c r="D4024">
        <v>1992</v>
      </c>
      <c r="E4024" t="s">
        <v>29</v>
      </c>
      <c r="F4024" t="s">
        <v>30</v>
      </c>
      <c r="G4024" t="s">
        <v>31</v>
      </c>
      <c r="H4024" t="s">
        <v>32</v>
      </c>
      <c r="I4024">
        <v>9325.0682379999998</v>
      </c>
      <c r="J4024" t="s">
        <v>33</v>
      </c>
      <c r="K4024" t="s">
        <v>5506</v>
      </c>
      <c r="L4024" t="s">
        <v>21</v>
      </c>
    </row>
    <row r="4025" spans="1:12">
      <c r="A4025" t="s">
        <v>5509</v>
      </c>
      <c r="B4025" t="s">
        <v>5473</v>
      </c>
      <c r="C4025" t="s">
        <v>80</v>
      </c>
      <c r="D4025">
        <v>1997</v>
      </c>
      <c r="E4025" t="s">
        <v>15</v>
      </c>
      <c r="F4025" t="s">
        <v>16</v>
      </c>
      <c r="G4025" t="s">
        <v>17</v>
      </c>
      <c r="H4025" t="s">
        <v>18</v>
      </c>
      <c r="I4025">
        <v>72.231999999999999</v>
      </c>
      <c r="J4025" t="s">
        <v>19</v>
      </c>
      <c r="K4025" t="s">
        <v>5510</v>
      </c>
      <c r="L4025" t="s">
        <v>21</v>
      </c>
    </row>
    <row r="4026" spans="1:12">
      <c r="A4026" t="s">
        <v>5511</v>
      </c>
      <c r="B4026" t="s">
        <v>5473</v>
      </c>
      <c r="C4026" t="s">
        <v>80</v>
      </c>
      <c r="D4026">
        <v>1997</v>
      </c>
      <c r="E4026" t="s">
        <v>23</v>
      </c>
      <c r="F4026" t="s">
        <v>24</v>
      </c>
      <c r="G4026" t="s">
        <v>25</v>
      </c>
      <c r="H4026" t="s">
        <v>26</v>
      </c>
      <c r="I4026">
        <v>10336594</v>
      </c>
      <c r="J4026" t="s">
        <v>27</v>
      </c>
      <c r="K4026" t="s">
        <v>5510</v>
      </c>
      <c r="L4026" t="s">
        <v>21</v>
      </c>
    </row>
    <row r="4027" spans="1:12">
      <c r="A4027" t="s">
        <v>5512</v>
      </c>
      <c r="B4027" t="s">
        <v>5473</v>
      </c>
      <c r="C4027" t="s">
        <v>80</v>
      </c>
      <c r="D4027">
        <v>1997</v>
      </c>
      <c r="E4027" t="s">
        <v>29</v>
      </c>
      <c r="F4027" t="s">
        <v>30</v>
      </c>
      <c r="G4027" t="s">
        <v>31</v>
      </c>
      <c r="H4027" t="s">
        <v>32</v>
      </c>
      <c r="I4027">
        <v>7914.3203039999999</v>
      </c>
      <c r="J4027" t="s">
        <v>33</v>
      </c>
      <c r="K4027" t="s">
        <v>5510</v>
      </c>
      <c r="L4027" t="s">
        <v>21</v>
      </c>
    </row>
    <row r="4028" spans="1:12">
      <c r="A4028" t="s">
        <v>5513</v>
      </c>
      <c r="B4028" t="s">
        <v>5473</v>
      </c>
      <c r="C4028" t="s">
        <v>80</v>
      </c>
      <c r="D4028">
        <v>2002</v>
      </c>
      <c r="E4028" t="s">
        <v>15</v>
      </c>
      <c r="F4028" t="s">
        <v>16</v>
      </c>
      <c r="G4028" t="s">
        <v>17</v>
      </c>
      <c r="H4028" t="s">
        <v>18</v>
      </c>
      <c r="I4028">
        <v>73.212999999999994</v>
      </c>
      <c r="J4028" t="s">
        <v>19</v>
      </c>
      <c r="K4028" t="s">
        <v>5514</v>
      </c>
      <c r="L4028" t="s">
        <v>21</v>
      </c>
    </row>
    <row r="4029" spans="1:12">
      <c r="A4029" t="s">
        <v>5515</v>
      </c>
      <c r="B4029" t="s">
        <v>5473</v>
      </c>
      <c r="C4029" t="s">
        <v>80</v>
      </c>
      <c r="D4029">
        <v>2002</v>
      </c>
      <c r="E4029" t="s">
        <v>23</v>
      </c>
      <c r="F4029" t="s">
        <v>24</v>
      </c>
      <c r="G4029" t="s">
        <v>25</v>
      </c>
      <c r="H4029" t="s">
        <v>26</v>
      </c>
      <c r="I4029">
        <v>10111559</v>
      </c>
      <c r="J4029" t="s">
        <v>27</v>
      </c>
      <c r="K4029" t="s">
        <v>5514</v>
      </c>
      <c r="L4029" t="s">
        <v>21</v>
      </c>
    </row>
    <row r="4030" spans="1:12">
      <c r="A4030" t="s">
        <v>5516</v>
      </c>
      <c r="B4030" t="s">
        <v>5473</v>
      </c>
      <c r="C4030" t="s">
        <v>80</v>
      </c>
      <c r="D4030">
        <v>2002</v>
      </c>
      <c r="E4030" t="s">
        <v>29</v>
      </c>
      <c r="F4030" t="s">
        <v>30</v>
      </c>
      <c r="G4030" t="s">
        <v>31</v>
      </c>
      <c r="H4030" t="s">
        <v>32</v>
      </c>
      <c r="I4030">
        <v>7236.0752510000002</v>
      </c>
      <c r="J4030" t="s">
        <v>33</v>
      </c>
      <c r="K4030" t="s">
        <v>5514</v>
      </c>
      <c r="L4030" t="s">
        <v>21</v>
      </c>
    </row>
    <row r="4031" spans="1:12">
      <c r="A4031" t="s">
        <v>5517</v>
      </c>
      <c r="B4031" t="s">
        <v>5473</v>
      </c>
      <c r="C4031" t="s">
        <v>80</v>
      </c>
      <c r="D4031">
        <v>2007</v>
      </c>
      <c r="E4031" t="s">
        <v>15</v>
      </c>
      <c r="F4031" t="s">
        <v>16</v>
      </c>
      <c r="G4031" t="s">
        <v>17</v>
      </c>
      <c r="H4031" t="s">
        <v>18</v>
      </c>
      <c r="I4031">
        <v>74.001999999999995</v>
      </c>
      <c r="J4031" t="s">
        <v>19</v>
      </c>
      <c r="K4031" t="s">
        <v>5518</v>
      </c>
      <c r="L4031" t="s">
        <v>21</v>
      </c>
    </row>
    <row r="4032" spans="1:12">
      <c r="A4032" t="s">
        <v>5519</v>
      </c>
      <c r="B4032" t="s">
        <v>5473</v>
      </c>
      <c r="C4032" t="s">
        <v>80</v>
      </c>
      <c r="D4032">
        <v>2007</v>
      </c>
      <c r="E4032" t="s">
        <v>23</v>
      </c>
      <c r="F4032" t="s">
        <v>24</v>
      </c>
      <c r="G4032" t="s">
        <v>25</v>
      </c>
      <c r="H4032" t="s">
        <v>26</v>
      </c>
      <c r="I4032">
        <v>10150265</v>
      </c>
      <c r="J4032" t="s">
        <v>27</v>
      </c>
      <c r="K4032" t="s">
        <v>5518</v>
      </c>
      <c r="L4032" t="s">
        <v>21</v>
      </c>
    </row>
    <row r="4033" spans="1:12">
      <c r="A4033" t="s">
        <v>5520</v>
      </c>
      <c r="B4033" t="s">
        <v>5473</v>
      </c>
      <c r="C4033" t="s">
        <v>80</v>
      </c>
      <c r="D4033">
        <v>2007</v>
      </c>
      <c r="E4033" t="s">
        <v>29</v>
      </c>
      <c r="F4033" t="s">
        <v>30</v>
      </c>
      <c r="G4033" t="s">
        <v>31</v>
      </c>
      <c r="H4033" t="s">
        <v>32</v>
      </c>
      <c r="I4033">
        <v>9786.5347139999994</v>
      </c>
      <c r="J4033" t="s">
        <v>33</v>
      </c>
      <c r="K4033" t="s">
        <v>5518</v>
      </c>
      <c r="L4033" t="s">
        <v>21</v>
      </c>
    </row>
    <row r="4034" spans="1:12">
      <c r="A4034" t="s">
        <v>5521</v>
      </c>
      <c r="B4034" t="s">
        <v>5522</v>
      </c>
      <c r="C4034" t="s">
        <v>130</v>
      </c>
      <c r="D4034">
        <v>1952</v>
      </c>
      <c r="E4034" t="s">
        <v>15</v>
      </c>
      <c r="F4034" t="s">
        <v>16</v>
      </c>
      <c r="G4034" t="s">
        <v>17</v>
      </c>
      <c r="H4034" t="s">
        <v>18</v>
      </c>
      <c r="I4034">
        <v>30.331</v>
      </c>
      <c r="J4034" t="s">
        <v>19</v>
      </c>
      <c r="K4034" t="s">
        <v>5523</v>
      </c>
      <c r="L4034" t="s">
        <v>21</v>
      </c>
    </row>
    <row r="4035" spans="1:12">
      <c r="A4035" t="s">
        <v>5524</v>
      </c>
      <c r="B4035" t="s">
        <v>5522</v>
      </c>
      <c r="C4035" t="s">
        <v>130</v>
      </c>
      <c r="D4035">
        <v>1952</v>
      </c>
      <c r="E4035" t="s">
        <v>23</v>
      </c>
      <c r="F4035" t="s">
        <v>24</v>
      </c>
      <c r="G4035" t="s">
        <v>25</v>
      </c>
      <c r="H4035" t="s">
        <v>26</v>
      </c>
      <c r="I4035">
        <v>2143249</v>
      </c>
      <c r="J4035" t="s">
        <v>27</v>
      </c>
      <c r="K4035" t="s">
        <v>5523</v>
      </c>
      <c r="L4035" t="s">
        <v>21</v>
      </c>
    </row>
    <row r="4036" spans="1:12">
      <c r="A4036" t="s">
        <v>5525</v>
      </c>
      <c r="B4036" t="s">
        <v>5522</v>
      </c>
      <c r="C4036" t="s">
        <v>130</v>
      </c>
      <c r="D4036">
        <v>1952</v>
      </c>
      <c r="E4036" t="s">
        <v>29</v>
      </c>
      <c r="F4036" t="s">
        <v>30</v>
      </c>
      <c r="G4036" t="s">
        <v>31</v>
      </c>
      <c r="H4036" t="s">
        <v>32</v>
      </c>
      <c r="I4036">
        <v>879.78773579999995</v>
      </c>
      <c r="J4036" t="s">
        <v>33</v>
      </c>
      <c r="K4036" t="s">
        <v>5523</v>
      </c>
      <c r="L4036" t="s">
        <v>21</v>
      </c>
    </row>
    <row r="4037" spans="1:12">
      <c r="A4037" t="s">
        <v>5526</v>
      </c>
      <c r="B4037" t="s">
        <v>5522</v>
      </c>
      <c r="C4037" t="s">
        <v>130</v>
      </c>
      <c r="D4037">
        <v>1957</v>
      </c>
      <c r="E4037" t="s">
        <v>15</v>
      </c>
      <c r="F4037" t="s">
        <v>16</v>
      </c>
      <c r="G4037" t="s">
        <v>17</v>
      </c>
      <c r="H4037" t="s">
        <v>18</v>
      </c>
      <c r="I4037">
        <v>31.57</v>
      </c>
      <c r="J4037" t="s">
        <v>19</v>
      </c>
      <c r="K4037" t="s">
        <v>5527</v>
      </c>
      <c r="L4037" t="s">
        <v>21</v>
      </c>
    </row>
    <row r="4038" spans="1:12">
      <c r="A4038" t="s">
        <v>5528</v>
      </c>
      <c r="B4038" t="s">
        <v>5522</v>
      </c>
      <c r="C4038" t="s">
        <v>130</v>
      </c>
      <c r="D4038">
        <v>1957</v>
      </c>
      <c r="E4038" t="s">
        <v>23</v>
      </c>
      <c r="F4038" t="s">
        <v>24</v>
      </c>
      <c r="G4038" t="s">
        <v>25</v>
      </c>
      <c r="H4038" t="s">
        <v>26</v>
      </c>
      <c r="I4038">
        <v>2295678</v>
      </c>
      <c r="J4038" t="s">
        <v>27</v>
      </c>
      <c r="K4038" t="s">
        <v>5527</v>
      </c>
      <c r="L4038" t="s">
        <v>21</v>
      </c>
    </row>
    <row r="4039" spans="1:12">
      <c r="A4039" t="s">
        <v>5529</v>
      </c>
      <c r="B4039" t="s">
        <v>5522</v>
      </c>
      <c r="C4039" t="s">
        <v>130</v>
      </c>
      <c r="D4039">
        <v>1957</v>
      </c>
      <c r="E4039" t="s">
        <v>29</v>
      </c>
      <c r="F4039" t="s">
        <v>30</v>
      </c>
      <c r="G4039" t="s">
        <v>31</v>
      </c>
      <c r="H4039" t="s">
        <v>32</v>
      </c>
      <c r="I4039">
        <v>1004.484437</v>
      </c>
      <c r="J4039" t="s">
        <v>33</v>
      </c>
      <c r="K4039" t="s">
        <v>5527</v>
      </c>
      <c r="L4039" t="s">
        <v>21</v>
      </c>
    </row>
    <row r="4040" spans="1:12">
      <c r="A4040" t="s">
        <v>5530</v>
      </c>
      <c r="B4040" t="s">
        <v>5522</v>
      </c>
      <c r="C4040" t="s">
        <v>130</v>
      </c>
      <c r="D4040">
        <v>1962</v>
      </c>
      <c r="E4040" t="s">
        <v>15</v>
      </c>
      <c r="F4040" t="s">
        <v>16</v>
      </c>
      <c r="G4040" t="s">
        <v>17</v>
      </c>
      <c r="H4040" t="s">
        <v>18</v>
      </c>
      <c r="I4040">
        <v>32.767000000000003</v>
      </c>
      <c r="J4040" t="s">
        <v>19</v>
      </c>
      <c r="K4040" t="s">
        <v>5531</v>
      </c>
      <c r="L4040" t="s">
        <v>21</v>
      </c>
    </row>
    <row r="4041" spans="1:12">
      <c r="A4041" t="s">
        <v>5532</v>
      </c>
      <c r="B4041" t="s">
        <v>5522</v>
      </c>
      <c r="C4041" t="s">
        <v>130</v>
      </c>
      <c r="D4041">
        <v>1962</v>
      </c>
      <c r="E4041" t="s">
        <v>23</v>
      </c>
      <c r="F4041" t="s">
        <v>24</v>
      </c>
      <c r="G4041" t="s">
        <v>25</v>
      </c>
      <c r="H4041" t="s">
        <v>26</v>
      </c>
      <c r="I4041">
        <v>2467895</v>
      </c>
      <c r="J4041" t="s">
        <v>27</v>
      </c>
      <c r="K4041" t="s">
        <v>5531</v>
      </c>
      <c r="L4041" t="s">
        <v>21</v>
      </c>
    </row>
    <row r="4042" spans="1:12">
      <c r="A4042" t="s">
        <v>5533</v>
      </c>
      <c r="B4042" t="s">
        <v>5522</v>
      </c>
      <c r="C4042" t="s">
        <v>130</v>
      </c>
      <c r="D4042">
        <v>1962</v>
      </c>
      <c r="E4042" t="s">
        <v>29</v>
      </c>
      <c r="F4042" t="s">
        <v>30</v>
      </c>
      <c r="G4042" t="s">
        <v>31</v>
      </c>
      <c r="H4042" t="s">
        <v>32</v>
      </c>
      <c r="I4042">
        <v>1116.6398769999901</v>
      </c>
      <c r="J4042" t="s">
        <v>33</v>
      </c>
      <c r="K4042" t="s">
        <v>5531</v>
      </c>
      <c r="L4042" t="s">
        <v>21</v>
      </c>
    </row>
    <row r="4043" spans="1:12">
      <c r="A4043" t="s">
        <v>5534</v>
      </c>
      <c r="B4043" t="s">
        <v>5522</v>
      </c>
      <c r="C4043" t="s">
        <v>130</v>
      </c>
      <c r="D4043">
        <v>1967</v>
      </c>
      <c r="E4043" t="s">
        <v>15</v>
      </c>
      <c r="F4043" t="s">
        <v>16</v>
      </c>
      <c r="G4043" t="s">
        <v>17</v>
      </c>
      <c r="H4043" t="s">
        <v>18</v>
      </c>
      <c r="I4043">
        <v>34.113</v>
      </c>
      <c r="J4043" t="s">
        <v>19</v>
      </c>
      <c r="K4043" t="s">
        <v>5535</v>
      </c>
      <c r="L4043" t="s">
        <v>21</v>
      </c>
    </row>
    <row r="4044" spans="1:12">
      <c r="A4044" t="s">
        <v>5536</v>
      </c>
      <c r="B4044" t="s">
        <v>5522</v>
      </c>
      <c r="C4044" t="s">
        <v>130</v>
      </c>
      <c r="D4044">
        <v>1967</v>
      </c>
      <c r="E4044" t="s">
        <v>23</v>
      </c>
      <c r="F4044" t="s">
        <v>24</v>
      </c>
      <c r="G4044" t="s">
        <v>25</v>
      </c>
      <c r="H4044" t="s">
        <v>26</v>
      </c>
      <c r="I4044">
        <v>2662190</v>
      </c>
      <c r="J4044" t="s">
        <v>27</v>
      </c>
      <c r="K4044" t="s">
        <v>5535</v>
      </c>
      <c r="L4044" t="s">
        <v>21</v>
      </c>
    </row>
    <row r="4045" spans="1:12">
      <c r="A4045" t="s">
        <v>5537</v>
      </c>
      <c r="B4045" t="s">
        <v>5522</v>
      </c>
      <c r="C4045" t="s">
        <v>130</v>
      </c>
      <c r="D4045">
        <v>1967</v>
      </c>
      <c r="E4045" t="s">
        <v>29</v>
      </c>
      <c r="F4045" t="s">
        <v>30</v>
      </c>
      <c r="G4045" t="s">
        <v>31</v>
      </c>
      <c r="H4045" t="s">
        <v>32</v>
      </c>
      <c r="I4045">
        <v>1206.043465</v>
      </c>
      <c r="J4045" t="s">
        <v>33</v>
      </c>
      <c r="K4045" t="s">
        <v>5535</v>
      </c>
      <c r="L4045" t="s">
        <v>21</v>
      </c>
    </row>
    <row r="4046" spans="1:12">
      <c r="A4046" t="s">
        <v>5538</v>
      </c>
      <c r="B4046" t="s">
        <v>5522</v>
      </c>
      <c r="C4046" t="s">
        <v>130</v>
      </c>
      <c r="D4046">
        <v>1972</v>
      </c>
      <c r="E4046" t="s">
        <v>15</v>
      </c>
      <c r="F4046" t="s">
        <v>16</v>
      </c>
      <c r="G4046" t="s">
        <v>17</v>
      </c>
      <c r="H4046" t="s">
        <v>18</v>
      </c>
      <c r="I4046">
        <v>35.4</v>
      </c>
      <c r="J4046" t="s">
        <v>19</v>
      </c>
      <c r="K4046" t="s">
        <v>5539</v>
      </c>
      <c r="L4046" t="s">
        <v>21</v>
      </c>
    </row>
    <row r="4047" spans="1:12">
      <c r="A4047" t="s">
        <v>5540</v>
      </c>
      <c r="B4047" t="s">
        <v>5522</v>
      </c>
      <c r="C4047" t="s">
        <v>130</v>
      </c>
      <c r="D4047">
        <v>1972</v>
      </c>
      <c r="E4047" t="s">
        <v>23</v>
      </c>
      <c r="F4047" t="s">
        <v>24</v>
      </c>
      <c r="G4047" t="s">
        <v>25</v>
      </c>
      <c r="H4047" t="s">
        <v>26</v>
      </c>
      <c r="I4047">
        <v>2879013</v>
      </c>
      <c r="J4047" t="s">
        <v>27</v>
      </c>
      <c r="K4047" t="s">
        <v>5539</v>
      </c>
      <c r="L4047" t="s">
        <v>21</v>
      </c>
    </row>
    <row r="4048" spans="1:12">
      <c r="A4048" t="s">
        <v>5541</v>
      </c>
      <c r="B4048" t="s">
        <v>5522</v>
      </c>
      <c r="C4048" t="s">
        <v>130</v>
      </c>
      <c r="D4048">
        <v>1972</v>
      </c>
      <c r="E4048" t="s">
        <v>29</v>
      </c>
      <c r="F4048" t="s">
        <v>30</v>
      </c>
      <c r="G4048" t="s">
        <v>31</v>
      </c>
      <c r="H4048" t="s">
        <v>32</v>
      </c>
      <c r="I4048">
        <v>1353.7597619999999</v>
      </c>
      <c r="J4048" t="s">
        <v>33</v>
      </c>
      <c r="K4048" t="s">
        <v>5539</v>
      </c>
      <c r="L4048" t="s">
        <v>21</v>
      </c>
    </row>
    <row r="4049" spans="1:12">
      <c r="A4049" t="s">
        <v>5542</v>
      </c>
      <c r="B4049" t="s">
        <v>5522</v>
      </c>
      <c r="C4049" t="s">
        <v>130</v>
      </c>
      <c r="D4049">
        <v>1977</v>
      </c>
      <c r="E4049" t="s">
        <v>15</v>
      </c>
      <c r="F4049" t="s">
        <v>16</v>
      </c>
      <c r="G4049" t="s">
        <v>17</v>
      </c>
      <c r="H4049" t="s">
        <v>18</v>
      </c>
      <c r="I4049">
        <v>36.787999999999997</v>
      </c>
      <c r="J4049" t="s">
        <v>19</v>
      </c>
      <c r="K4049" t="s">
        <v>5543</v>
      </c>
      <c r="L4049" t="s">
        <v>21</v>
      </c>
    </row>
    <row r="4050" spans="1:12">
      <c r="A4050" t="s">
        <v>5544</v>
      </c>
      <c r="B4050" t="s">
        <v>5522</v>
      </c>
      <c r="C4050" t="s">
        <v>130</v>
      </c>
      <c r="D4050">
        <v>1977</v>
      </c>
      <c r="E4050" t="s">
        <v>23</v>
      </c>
      <c r="F4050" t="s">
        <v>24</v>
      </c>
      <c r="G4050" t="s">
        <v>25</v>
      </c>
      <c r="H4050" t="s">
        <v>26</v>
      </c>
      <c r="I4050">
        <v>3140897</v>
      </c>
      <c r="J4050" t="s">
        <v>27</v>
      </c>
      <c r="K4050" t="s">
        <v>5543</v>
      </c>
      <c r="L4050" t="s">
        <v>21</v>
      </c>
    </row>
    <row r="4051" spans="1:12">
      <c r="A4051" t="s">
        <v>5545</v>
      </c>
      <c r="B4051" t="s">
        <v>5522</v>
      </c>
      <c r="C4051" t="s">
        <v>130</v>
      </c>
      <c r="D4051">
        <v>1977</v>
      </c>
      <c r="E4051" t="s">
        <v>29</v>
      </c>
      <c r="F4051" t="s">
        <v>30</v>
      </c>
      <c r="G4051" t="s">
        <v>31</v>
      </c>
      <c r="H4051" t="s">
        <v>32</v>
      </c>
      <c r="I4051">
        <v>1348.285159</v>
      </c>
      <c r="J4051" t="s">
        <v>33</v>
      </c>
      <c r="K4051" t="s">
        <v>5543</v>
      </c>
      <c r="L4051" t="s">
        <v>21</v>
      </c>
    </row>
    <row r="4052" spans="1:12">
      <c r="A4052" t="s">
        <v>5546</v>
      </c>
      <c r="B4052" t="s">
        <v>5522</v>
      </c>
      <c r="C4052" t="s">
        <v>130</v>
      </c>
      <c r="D4052">
        <v>1982</v>
      </c>
      <c r="E4052" t="s">
        <v>15</v>
      </c>
      <c r="F4052" t="s">
        <v>16</v>
      </c>
      <c r="G4052" t="s">
        <v>17</v>
      </c>
      <c r="H4052" t="s">
        <v>18</v>
      </c>
      <c r="I4052">
        <v>38.445</v>
      </c>
      <c r="J4052" t="s">
        <v>19</v>
      </c>
      <c r="K4052" t="s">
        <v>5547</v>
      </c>
      <c r="L4052" t="s">
        <v>21</v>
      </c>
    </row>
    <row r="4053" spans="1:12">
      <c r="A4053" t="s">
        <v>5548</v>
      </c>
      <c r="B4053" t="s">
        <v>5522</v>
      </c>
      <c r="C4053" t="s">
        <v>130</v>
      </c>
      <c r="D4053">
        <v>1982</v>
      </c>
      <c r="E4053" t="s">
        <v>23</v>
      </c>
      <c r="F4053" t="s">
        <v>24</v>
      </c>
      <c r="G4053" t="s">
        <v>25</v>
      </c>
      <c r="H4053" t="s">
        <v>26</v>
      </c>
      <c r="I4053">
        <v>3464522</v>
      </c>
      <c r="J4053" t="s">
        <v>27</v>
      </c>
      <c r="K4053" t="s">
        <v>5547</v>
      </c>
      <c r="L4053" t="s">
        <v>21</v>
      </c>
    </row>
    <row r="4054" spans="1:12">
      <c r="A4054" t="s">
        <v>5549</v>
      </c>
      <c r="B4054" t="s">
        <v>5522</v>
      </c>
      <c r="C4054" t="s">
        <v>130</v>
      </c>
      <c r="D4054">
        <v>1982</v>
      </c>
      <c r="E4054" t="s">
        <v>29</v>
      </c>
      <c r="F4054" t="s">
        <v>30</v>
      </c>
      <c r="G4054" t="s">
        <v>31</v>
      </c>
      <c r="H4054" t="s">
        <v>32</v>
      </c>
      <c r="I4054">
        <v>1465.0107840000001</v>
      </c>
      <c r="J4054" t="s">
        <v>33</v>
      </c>
      <c r="K4054" t="s">
        <v>5547</v>
      </c>
      <c r="L4054" t="s">
        <v>21</v>
      </c>
    </row>
    <row r="4055" spans="1:12">
      <c r="A4055" t="s">
        <v>5550</v>
      </c>
      <c r="B4055" t="s">
        <v>5522</v>
      </c>
      <c r="C4055" t="s">
        <v>130</v>
      </c>
      <c r="D4055">
        <v>1987</v>
      </c>
      <c r="E4055" t="s">
        <v>15</v>
      </c>
      <c r="F4055" t="s">
        <v>16</v>
      </c>
      <c r="G4055" t="s">
        <v>17</v>
      </c>
      <c r="H4055" t="s">
        <v>18</v>
      </c>
      <c r="I4055">
        <v>40.006</v>
      </c>
      <c r="J4055" t="s">
        <v>19</v>
      </c>
      <c r="K4055" t="s">
        <v>5551</v>
      </c>
      <c r="L4055" t="s">
        <v>21</v>
      </c>
    </row>
    <row r="4056" spans="1:12">
      <c r="A4056" t="s">
        <v>5552</v>
      </c>
      <c r="B4056" t="s">
        <v>5522</v>
      </c>
      <c r="C4056" t="s">
        <v>130</v>
      </c>
      <c r="D4056">
        <v>1987</v>
      </c>
      <c r="E4056" t="s">
        <v>23</v>
      </c>
      <c r="F4056" t="s">
        <v>24</v>
      </c>
      <c r="G4056" t="s">
        <v>25</v>
      </c>
      <c r="H4056" t="s">
        <v>26</v>
      </c>
      <c r="I4056">
        <v>3868905</v>
      </c>
      <c r="J4056" t="s">
        <v>27</v>
      </c>
      <c r="K4056" t="s">
        <v>5551</v>
      </c>
      <c r="L4056" t="s">
        <v>21</v>
      </c>
    </row>
    <row r="4057" spans="1:12">
      <c r="A4057" t="s">
        <v>5553</v>
      </c>
      <c r="B4057" t="s">
        <v>5522</v>
      </c>
      <c r="C4057" t="s">
        <v>130</v>
      </c>
      <c r="D4057">
        <v>1987</v>
      </c>
      <c r="E4057" t="s">
        <v>29</v>
      </c>
      <c r="F4057" t="s">
        <v>30</v>
      </c>
      <c r="G4057" t="s">
        <v>31</v>
      </c>
      <c r="H4057" t="s">
        <v>32</v>
      </c>
      <c r="I4057">
        <v>1294.4477879999999</v>
      </c>
      <c r="J4057" t="s">
        <v>33</v>
      </c>
      <c r="K4057" t="s">
        <v>5551</v>
      </c>
      <c r="L4057" t="s">
        <v>21</v>
      </c>
    </row>
    <row r="4058" spans="1:12">
      <c r="A4058" t="s">
        <v>5554</v>
      </c>
      <c r="B4058" t="s">
        <v>5522</v>
      </c>
      <c r="C4058" t="s">
        <v>130</v>
      </c>
      <c r="D4058">
        <v>1992</v>
      </c>
      <c r="E4058" t="s">
        <v>15</v>
      </c>
      <c r="F4058" t="s">
        <v>16</v>
      </c>
      <c r="G4058" t="s">
        <v>17</v>
      </c>
      <c r="H4058" t="s">
        <v>18</v>
      </c>
      <c r="I4058">
        <v>38.332999999999998</v>
      </c>
      <c r="J4058" t="s">
        <v>19</v>
      </c>
      <c r="K4058" t="s">
        <v>5555</v>
      </c>
      <c r="L4058" t="s">
        <v>21</v>
      </c>
    </row>
    <row r="4059" spans="1:12">
      <c r="A4059" t="s">
        <v>5556</v>
      </c>
      <c r="B4059" t="s">
        <v>5522</v>
      </c>
      <c r="C4059" t="s">
        <v>130</v>
      </c>
      <c r="D4059">
        <v>1992</v>
      </c>
      <c r="E4059" t="s">
        <v>23</v>
      </c>
      <c r="F4059" t="s">
        <v>24</v>
      </c>
      <c r="G4059" t="s">
        <v>25</v>
      </c>
      <c r="H4059" t="s">
        <v>26</v>
      </c>
      <c r="I4059">
        <v>4260884</v>
      </c>
      <c r="J4059" t="s">
        <v>27</v>
      </c>
      <c r="K4059" t="s">
        <v>5555</v>
      </c>
      <c r="L4059" t="s">
        <v>21</v>
      </c>
    </row>
    <row r="4060" spans="1:12">
      <c r="A4060" t="s">
        <v>5557</v>
      </c>
      <c r="B4060" t="s">
        <v>5522</v>
      </c>
      <c r="C4060" t="s">
        <v>130</v>
      </c>
      <c r="D4060">
        <v>1992</v>
      </c>
      <c r="E4060" t="s">
        <v>29</v>
      </c>
      <c r="F4060" t="s">
        <v>30</v>
      </c>
      <c r="G4060" t="s">
        <v>31</v>
      </c>
      <c r="H4060" t="s">
        <v>32</v>
      </c>
      <c r="I4060">
        <v>1068.6962779999999</v>
      </c>
      <c r="J4060" t="s">
        <v>33</v>
      </c>
      <c r="K4060" t="s">
        <v>5555</v>
      </c>
      <c r="L4060" t="s">
        <v>21</v>
      </c>
    </row>
    <row r="4061" spans="1:12">
      <c r="A4061" t="s">
        <v>5558</v>
      </c>
      <c r="B4061" t="s">
        <v>5522</v>
      </c>
      <c r="C4061" t="s">
        <v>130</v>
      </c>
      <c r="D4061">
        <v>1997</v>
      </c>
      <c r="E4061" t="s">
        <v>15</v>
      </c>
      <c r="F4061" t="s">
        <v>16</v>
      </c>
      <c r="G4061" t="s">
        <v>17</v>
      </c>
      <c r="H4061" t="s">
        <v>18</v>
      </c>
      <c r="I4061">
        <v>39.896999999999998</v>
      </c>
      <c r="J4061" t="s">
        <v>19</v>
      </c>
      <c r="K4061" t="s">
        <v>5559</v>
      </c>
      <c r="L4061" t="s">
        <v>21</v>
      </c>
    </row>
    <row r="4062" spans="1:12">
      <c r="A4062" t="s">
        <v>5560</v>
      </c>
      <c r="B4062" t="s">
        <v>5522</v>
      </c>
      <c r="C4062" t="s">
        <v>130</v>
      </c>
      <c r="D4062">
        <v>1997</v>
      </c>
      <c r="E4062" t="s">
        <v>23</v>
      </c>
      <c r="F4062" t="s">
        <v>24</v>
      </c>
      <c r="G4062" t="s">
        <v>25</v>
      </c>
      <c r="H4062" t="s">
        <v>26</v>
      </c>
      <c r="I4062">
        <v>4578212</v>
      </c>
      <c r="J4062" t="s">
        <v>27</v>
      </c>
      <c r="K4062" t="s">
        <v>5559</v>
      </c>
      <c r="L4062" t="s">
        <v>21</v>
      </c>
    </row>
    <row r="4063" spans="1:12">
      <c r="A4063" t="s">
        <v>5561</v>
      </c>
      <c r="B4063" t="s">
        <v>5522</v>
      </c>
      <c r="C4063" t="s">
        <v>130</v>
      </c>
      <c r="D4063">
        <v>1997</v>
      </c>
      <c r="E4063" t="s">
        <v>29</v>
      </c>
      <c r="F4063" t="s">
        <v>30</v>
      </c>
      <c r="G4063" t="s">
        <v>31</v>
      </c>
      <c r="H4063" t="s">
        <v>32</v>
      </c>
      <c r="I4063">
        <v>574.64815759999999</v>
      </c>
      <c r="J4063" t="s">
        <v>33</v>
      </c>
      <c r="K4063" t="s">
        <v>5559</v>
      </c>
      <c r="L4063" t="s">
        <v>21</v>
      </c>
    </row>
    <row r="4064" spans="1:12">
      <c r="A4064" t="s">
        <v>5562</v>
      </c>
      <c r="B4064" t="s">
        <v>5522</v>
      </c>
      <c r="C4064" t="s">
        <v>130</v>
      </c>
      <c r="D4064">
        <v>2002</v>
      </c>
      <c r="E4064" t="s">
        <v>15</v>
      </c>
      <c r="F4064" t="s">
        <v>16</v>
      </c>
      <c r="G4064" t="s">
        <v>17</v>
      </c>
      <c r="H4064" t="s">
        <v>18</v>
      </c>
      <c r="I4064">
        <v>41.012</v>
      </c>
      <c r="J4064" t="s">
        <v>19</v>
      </c>
      <c r="K4064" t="s">
        <v>5563</v>
      </c>
      <c r="L4064" t="s">
        <v>21</v>
      </c>
    </row>
    <row r="4065" spans="1:12">
      <c r="A4065" t="s">
        <v>5564</v>
      </c>
      <c r="B4065" t="s">
        <v>5522</v>
      </c>
      <c r="C4065" t="s">
        <v>130</v>
      </c>
      <c r="D4065">
        <v>2002</v>
      </c>
      <c r="E4065" t="s">
        <v>23</v>
      </c>
      <c r="F4065" t="s">
        <v>24</v>
      </c>
      <c r="G4065" t="s">
        <v>25</v>
      </c>
      <c r="H4065" t="s">
        <v>26</v>
      </c>
      <c r="I4065">
        <v>5359092</v>
      </c>
      <c r="J4065" t="s">
        <v>27</v>
      </c>
      <c r="K4065" t="s">
        <v>5563</v>
      </c>
      <c r="L4065" t="s">
        <v>21</v>
      </c>
    </row>
    <row r="4066" spans="1:12">
      <c r="A4066" t="s">
        <v>5565</v>
      </c>
      <c r="B4066" t="s">
        <v>5522</v>
      </c>
      <c r="C4066" t="s">
        <v>130</v>
      </c>
      <c r="D4066">
        <v>2002</v>
      </c>
      <c r="E4066" t="s">
        <v>29</v>
      </c>
      <c r="F4066" t="s">
        <v>30</v>
      </c>
      <c r="G4066" t="s">
        <v>31</v>
      </c>
      <c r="H4066" t="s">
        <v>32</v>
      </c>
      <c r="I4066">
        <v>699.48971299999903</v>
      </c>
      <c r="J4066" t="s">
        <v>33</v>
      </c>
      <c r="K4066" t="s">
        <v>5563</v>
      </c>
      <c r="L4066" t="s">
        <v>21</v>
      </c>
    </row>
    <row r="4067" spans="1:12">
      <c r="A4067" t="s">
        <v>5566</v>
      </c>
      <c r="B4067" t="s">
        <v>5522</v>
      </c>
      <c r="C4067" t="s">
        <v>130</v>
      </c>
      <c r="D4067">
        <v>2007</v>
      </c>
      <c r="E4067" t="s">
        <v>15</v>
      </c>
      <c r="F4067" t="s">
        <v>16</v>
      </c>
      <c r="G4067" t="s">
        <v>17</v>
      </c>
      <c r="H4067" t="s">
        <v>18</v>
      </c>
      <c r="I4067">
        <v>42.567999999999998</v>
      </c>
      <c r="J4067" t="s">
        <v>19</v>
      </c>
      <c r="K4067" t="s">
        <v>5567</v>
      </c>
      <c r="L4067" t="s">
        <v>21</v>
      </c>
    </row>
    <row r="4068" spans="1:12">
      <c r="A4068" t="s">
        <v>5568</v>
      </c>
      <c r="B4068" t="s">
        <v>5522</v>
      </c>
      <c r="C4068" t="s">
        <v>130</v>
      </c>
      <c r="D4068">
        <v>2007</v>
      </c>
      <c r="E4068" t="s">
        <v>23</v>
      </c>
      <c r="F4068" t="s">
        <v>24</v>
      </c>
      <c r="G4068" t="s">
        <v>25</v>
      </c>
      <c r="H4068" t="s">
        <v>26</v>
      </c>
      <c r="I4068">
        <v>6144562</v>
      </c>
      <c r="J4068" t="s">
        <v>27</v>
      </c>
      <c r="K4068" t="s">
        <v>5567</v>
      </c>
      <c r="L4068" t="s">
        <v>21</v>
      </c>
    </row>
    <row r="4069" spans="1:12">
      <c r="A4069" t="s">
        <v>5569</v>
      </c>
      <c r="B4069" t="s">
        <v>5522</v>
      </c>
      <c r="C4069" t="s">
        <v>130</v>
      </c>
      <c r="D4069">
        <v>2007</v>
      </c>
      <c r="E4069" t="s">
        <v>29</v>
      </c>
      <c r="F4069" t="s">
        <v>30</v>
      </c>
      <c r="G4069" t="s">
        <v>31</v>
      </c>
      <c r="H4069" t="s">
        <v>32</v>
      </c>
      <c r="I4069">
        <v>862.54075609999995</v>
      </c>
      <c r="J4069" t="s">
        <v>33</v>
      </c>
      <c r="K4069" t="s">
        <v>5567</v>
      </c>
      <c r="L4069" t="s">
        <v>21</v>
      </c>
    </row>
    <row r="4070" spans="1:12">
      <c r="A4070" t="s">
        <v>5570</v>
      </c>
      <c r="B4070" t="s">
        <v>5571</v>
      </c>
      <c r="C4070" t="s">
        <v>14</v>
      </c>
      <c r="D4070">
        <v>1952</v>
      </c>
      <c r="E4070" t="s">
        <v>15</v>
      </c>
      <c r="F4070" t="s">
        <v>16</v>
      </c>
      <c r="G4070" t="s">
        <v>17</v>
      </c>
      <c r="H4070" t="s">
        <v>18</v>
      </c>
      <c r="I4070">
        <v>60.396000000000001</v>
      </c>
      <c r="J4070" t="s">
        <v>19</v>
      </c>
      <c r="K4070" t="s">
        <v>5572</v>
      </c>
      <c r="L4070" t="s">
        <v>21</v>
      </c>
    </row>
    <row r="4071" spans="1:12">
      <c r="A4071" t="s">
        <v>5573</v>
      </c>
      <c r="B4071" t="s">
        <v>5571</v>
      </c>
      <c r="C4071" t="s">
        <v>14</v>
      </c>
      <c r="D4071">
        <v>1952</v>
      </c>
      <c r="E4071" t="s">
        <v>23</v>
      </c>
      <c r="F4071" t="s">
        <v>24</v>
      </c>
      <c r="G4071" t="s">
        <v>25</v>
      </c>
      <c r="H4071" t="s">
        <v>26</v>
      </c>
      <c r="I4071">
        <v>1127000</v>
      </c>
      <c r="J4071" t="s">
        <v>27</v>
      </c>
      <c r="K4071" t="s">
        <v>5572</v>
      </c>
      <c r="L4071" t="s">
        <v>21</v>
      </c>
    </row>
    <row r="4072" spans="1:12">
      <c r="A4072" t="s">
        <v>5574</v>
      </c>
      <c r="B4072" t="s">
        <v>5571</v>
      </c>
      <c r="C4072" t="s">
        <v>14</v>
      </c>
      <c r="D4072">
        <v>1952</v>
      </c>
      <c r="E4072" t="s">
        <v>29</v>
      </c>
      <c r="F4072" t="s">
        <v>30</v>
      </c>
      <c r="G4072" t="s">
        <v>31</v>
      </c>
      <c r="H4072" t="s">
        <v>32</v>
      </c>
      <c r="I4072">
        <v>2315.1382269999999</v>
      </c>
      <c r="J4072" t="s">
        <v>33</v>
      </c>
      <c r="K4072" t="s">
        <v>5572</v>
      </c>
      <c r="L4072" t="s">
        <v>21</v>
      </c>
    </row>
    <row r="4073" spans="1:12">
      <c r="A4073" t="s">
        <v>5575</v>
      </c>
      <c r="B4073" t="s">
        <v>5571</v>
      </c>
      <c r="C4073" t="s">
        <v>14</v>
      </c>
      <c r="D4073">
        <v>1957</v>
      </c>
      <c r="E4073" t="s">
        <v>15</v>
      </c>
      <c r="F4073" t="s">
        <v>16</v>
      </c>
      <c r="G4073" t="s">
        <v>17</v>
      </c>
      <c r="H4073" t="s">
        <v>18</v>
      </c>
      <c r="I4073">
        <v>63.179000000000002</v>
      </c>
      <c r="J4073" t="s">
        <v>19</v>
      </c>
      <c r="K4073" t="s">
        <v>5576</v>
      </c>
      <c r="L4073" t="s">
        <v>21</v>
      </c>
    </row>
    <row r="4074" spans="1:12">
      <c r="A4074" t="s">
        <v>5577</v>
      </c>
      <c r="B4074" t="s">
        <v>5571</v>
      </c>
      <c r="C4074" t="s">
        <v>14</v>
      </c>
      <c r="D4074">
        <v>1957</v>
      </c>
      <c r="E4074" t="s">
        <v>23</v>
      </c>
      <c r="F4074" t="s">
        <v>24</v>
      </c>
      <c r="G4074" t="s">
        <v>25</v>
      </c>
      <c r="H4074" t="s">
        <v>26</v>
      </c>
      <c r="I4074">
        <v>1445929</v>
      </c>
      <c r="J4074" t="s">
        <v>27</v>
      </c>
      <c r="K4074" t="s">
        <v>5576</v>
      </c>
      <c r="L4074" t="s">
        <v>21</v>
      </c>
    </row>
    <row r="4075" spans="1:12">
      <c r="A4075" t="s">
        <v>5578</v>
      </c>
      <c r="B4075" t="s">
        <v>5571</v>
      </c>
      <c r="C4075" t="s">
        <v>14</v>
      </c>
      <c r="D4075">
        <v>1957</v>
      </c>
      <c r="E4075" t="s">
        <v>29</v>
      </c>
      <c r="F4075" t="s">
        <v>30</v>
      </c>
      <c r="G4075" t="s">
        <v>31</v>
      </c>
      <c r="H4075" t="s">
        <v>32</v>
      </c>
      <c r="I4075">
        <v>2843.104409</v>
      </c>
      <c r="J4075" t="s">
        <v>33</v>
      </c>
      <c r="K4075" t="s">
        <v>5576</v>
      </c>
      <c r="L4075" t="s">
        <v>21</v>
      </c>
    </row>
    <row r="4076" spans="1:12">
      <c r="A4076" t="s">
        <v>5579</v>
      </c>
      <c r="B4076" t="s">
        <v>5571</v>
      </c>
      <c r="C4076" t="s">
        <v>14</v>
      </c>
      <c r="D4076">
        <v>1962</v>
      </c>
      <c r="E4076" t="s">
        <v>15</v>
      </c>
      <c r="F4076" t="s">
        <v>16</v>
      </c>
      <c r="G4076" t="s">
        <v>17</v>
      </c>
      <c r="H4076" t="s">
        <v>18</v>
      </c>
      <c r="I4076">
        <v>65.798000000000002</v>
      </c>
      <c r="J4076" t="s">
        <v>19</v>
      </c>
      <c r="K4076" t="s">
        <v>5580</v>
      </c>
      <c r="L4076" t="s">
        <v>21</v>
      </c>
    </row>
    <row r="4077" spans="1:12">
      <c r="A4077" t="s">
        <v>5581</v>
      </c>
      <c r="B4077" t="s">
        <v>5571</v>
      </c>
      <c r="C4077" t="s">
        <v>14</v>
      </c>
      <c r="D4077">
        <v>1962</v>
      </c>
      <c r="E4077" t="s">
        <v>23</v>
      </c>
      <c r="F4077" t="s">
        <v>24</v>
      </c>
      <c r="G4077" t="s">
        <v>25</v>
      </c>
      <c r="H4077" t="s">
        <v>26</v>
      </c>
      <c r="I4077">
        <v>1750200</v>
      </c>
      <c r="J4077" t="s">
        <v>27</v>
      </c>
      <c r="K4077" t="s">
        <v>5580</v>
      </c>
      <c r="L4077" t="s">
        <v>21</v>
      </c>
    </row>
    <row r="4078" spans="1:12">
      <c r="A4078" t="s">
        <v>5582</v>
      </c>
      <c r="B4078" t="s">
        <v>5571</v>
      </c>
      <c r="C4078" t="s">
        <v>14</v>
      </c>
      <c r="D4078">
        <v>1962</v>
      </c>
      <c r="E4078" t="s">
        <v>29</v>
      </c>
      <c r="F4078" t="s">
        <v>30</v>
      </c>
      <c r="G4078" t="s">
        <v>31</v>
      </c>
      <c r="H4078" t="s">
        <v>32</v>
      </c>
      <c r="I4078">
        <v>3674.735572</v>
      </c>
      <c r="J4078" t="s">
        <v>33</v>
      </c>
      <c r="K4078" t="s">
        <v>5580</v>
      </c>
      <c r="L4078" t="s">
        <v>21</v>
      </c>
    </row>
    <row r="4079" spans="1:12">
      <c r="A4079" t="s">
        <v>5583</v>
      </c>
      <c r="B4079" t="s">
        <v>5571</v>
      </c>
      <c r="C4079" t="s">
        <v>14</v>
      </c>
      <c r="D4079">
        <v>1967</v>
      </c>
      <c r="E4079" t="s">
        <v>15</v>
      </c>
      <c r="F4079" t="s">
        <v>16</v>
      </c>
      <c r="G4079" t="s">
        <v>17</v>
      </c>
      <c r="H4079" t="s">
        <v>18</v>
      </c>
      <c r="I4079">
        <v>67.945999999999998</v>
      </c>
      <c r="J4079" t="s">
        <v>19</v>
      </c>
      <c r="K4079" t="s">
        <v>5584</v>
      </c>
      <c r="L4079" t="s">
        <v>21</v>
      </c>
    </row>
    <row r="4080" spans="1:12">
      <c r="A4080" t="s">
        <v>5585</v>
      </c>
      <c r="B4080" t="s">
        <v>5571</v>
      </c>
      <c r="C4080" t="s">
        <v>14</v>
      </c>
      <c r="D4080">
        <v>1967</v>
      </c>
      <c r="E4080" t="s">
        <v>23</v>
      </c>
      <c r="F4080" t="s">
        <v>24</v>
      </c>
      <c r="G4080" t="s">
        <v>25</v>
      </c>
      <c r="H4080" t="s">
        <v>26</v>
      </c>
      <c r="I4080">
        <v>1977600</v>
      </c>
      <c r="J4080" t="s">
        <v>27</v>
      </c>
      <c r="K4080" t="s">
        <v>5584</v>
      </c>
      <c r="L4080" t="s">
        <v>21</v>
      </c>
    </row>
    <row r="4081" spans="1:12">
      <c r="A4081" t="s">
        <v>5586</v>
      </c>
      <c r="B4081" t="s">
        <v>5571</v>
      </c>
      <c r="C4081" t="s">
        <v>14</v>
      </c>
      <c r="D4081">
        <v>1967</v>
      </c>
      <c r="E4081" t="s">
        <v>29</v>
      </c>
      <c r="F4081" t="s">
        <v>30</v>
      </c>
      <c r="G4081" t="s">
        <v>31</v>
      </c>
      <c r="H4081" t="s">
        <v>32</v>
      </c>
      <c r="I4081">
        <v>4977.4185399999997</v>
      </c>
      <c r="J4081" t="s">
        <v>33</v>
      </c>
      <c r="K4081" t="s">
        <v>5584</v>
      </c>
      <c r="L4081" t="s">
        <v>21</v>
      </c>
    </row>
    <row r="4082" spans="1:12">
      <c r="A4082" t="s">
        <v>5587</v>
      </c>
      <c r="B4082" t="s">
        <v>5571</v>
      </c>
      <c r="C4082" t="s">
        <v>14</v>
      </c>
      <c r="D4082">
        <v>1972</v>
      </c>
      <c r="E4082" t="s">
        <v>15</v>
      </c>
      <c r="F4082" t="s">
        <v>16</v>
      </c>
      <c r="G4082" t="s">
        <v>17</v>
      </c>
      <c r="H4082" t="s">
        <v>18</v>
      </c>
      <c r="I4082">
        <v>69.521000000000001</v>
      </c>
      <c r="J4082" t="s">
        <v>19</v>
      </c>
      <c r="K4082" t="s">
        <v>5588</v>
      </c>
      <c r="L4082" t="s">
        <v>21</v>
      </c>
    </row>
    <row r="4083" spans="1:12">
      <c r="A4083" t="s">
        <v>5589</v>
      </c>
      <c r="B4083" t="s">
        <v>5571</v>
      </c>
      <c r="C4083" t="s">
        <v>14</v>
      </c>
      <c r="D4083">
        <v>1972</v>
      </c>
      <c r="E4083" t="s">
        <v>23</v>
      </c>
      <c r="F4083" t="s">
        <v>24</v>
      </c>
      <c r="G4083" t="s">
        <v>25</v>
      </c>
      <c r="H4083" t="s">
        <v>26</v>
      </c>
      <c r="I4083">
        <v>2152400</v>
      </c>
      <c r="J4083" t="s">
        <v>27</v>
      </c>
      <c r="K4083" t="s">
        <v>5588</v>
      </c>
      <c r="L4083" t="s">
        <v>21</v>
      </c>
    </row>
    <row r="4084" spans="1:12">
      <c r="A4084" t="s">
        <v>5590</v>
      </c>
      <c r="B4084" t="s">
        <v>5571</v>
      </c>
      <c r="C4084" t="s">
        <v>14</v>
      </c>
      <c r="D4084">
        <v>1972</v>
      </c>
      <c r="E4084" t="s">
        <v>29</v>
      </c>
      <c r="F4084" t="s">
        <v>30</v>
      </c>
      <c r="G4084" t="s">
        <v>31</v>
      </c>
      <c r="H4084" t="s">
        <v>32</v>
      </c>
      <c r="I4084">
        <v>8597.7562020000005</v>
      </c>
      <c r="J4084" t="s">
        <v>33</v>
      </c>
      <c r="K4084" t="s">
        <v>5588</v>
      </c>
      <c r="L4084" t="s">
        <v>21</v>
      </c>
    </row>
    <row r="4085" spans="1:12">
      <c r="A4085" t="s">
        <v>5591</v>
      </c>
      <c r="B4085" t="s">
        <v>5571</v>
      </c>
      <c r="C4085" t="s">
        <v>14</v>
      </c>
      <c r="D4085">
        <v>1977</v>
      </c>
      <c r="E4085" t="s">
        <v>15</v>
      </c>
      <c r="F4085" t="s">
        <v>16</v>
      </c>
      <c r="G4085" t="s">
        <v>17</v>
      </c>
      <c r="H4085" t="s">
        <v>18</v>
      </c>
      <c r="I4085">
        <v>70.795000000000002</v>
      </c>
      <c r="J4085" t="s">
        <v>19</v>
      </c>
      <c r="K4085" t="s">
        <v>5592</v>
      </c>
      <c r="L4085" t="s">
        <v>21</v>
      </c>
    </row>
    <row r="4086" spans="1:12">
      <c r="A4086" t="s">
        <v>5593</v>
      </c>
      <c r="B4086" t="s">
        <v>5571</v>
      </c>
      <c r="C4086" t="s">
        <v>14</v>
      </c>
      <c r="D4086">
        <v>1977</v>
      </c>
      <c r="E4086" t="s">
        <v>23</v>
      </c>
      <c r="F4086" t="s">
        <v>24</v>
      </c>
      <c r="G4086" t="s">
        <v>25</v>
      </c>
      <c r="H4086" t="s">
        <v>26</v>
      </c>
      <c r="I4086">
        <v>2325300</v>
      </c>
      <c r="J4086" t="s">
        <v>27</v>
      </c>
      <c r="K4086" t="s">
        <v>5592</v>
      </c>
      <c r="L4086" t="s">
        <v>21</v>
      </c>
    </row>
    <row r="4087" spans="1:12">
      <c r="A4087" t="s">
        <v>5594</v>
      </c>
      <c r="B4087" t="s">
        <v>5571</v>
      </c>
      <c r="C4087" t="s">
        <v>14</v>
      </c>
      <c r="D4087">
        <v>1977</v>
      </c>
      <c r="E4087" t="s">
        <v>29</v>
      </c>
      <c r="F4087" t="s">
        <v>30</v>
      </c>
      <c r="G4087" t="s">
        <v>31</v>
      </c>
      <c r="H4087" t="s">
        <v>32</v>
      </c>
      <c r="I4087">
        <v>11210.089480000001</v>
      </c>
      <c r="J4087" t="s">
        <v>33</v>
      </c>
      <c r="K4087" t="s">
        <v>5592</v>
      </c>
      <c r="L4087" t="s">
        <v>21</v>
      </c>
    </row>
    <row r="4088" spans="1:12">
      <c r="A4088" t="s">
        <v>5595</v>
      </c>
      <c r="B4088" t="s">
        <v>5571</v>
      </c>
      <c r="C4088" t="s">
        <v>14</v>
      </c>
      <c r="D4088">
        <v>1982</v>
      </c>
      <c r="E4088" t="s">
        <v>15</v>
      </c>
      <c r="F4088" t="s">
        <v>16</v>
      </c>
      <c r="G4088" t="s">
        <v>17</v>
      </c>
      <c r="H4088" t="s">
        <v>18</v>
      </c>
      <c r="I4088">
        <v>71.760000000000005</v>
      </c>
      <c r="J4088" t="s">
        <v>19</v>
      </c>
      <c r="K4088" t="s">
        <v>5596</v>
      </c>
      <c r="L4088" t="s">
        <v>21</v>
      </c>
    </row>
    <row r="4089" spans="1:12">
      <c r="A4089" t="s">
        <v>5597</v>
      </c>
      <c r="B4089" t="s">
        <v>5571</v>
      </c>
      <c r="C4089" t="s">
        <v>14</v>
      </c>
      <c r="D4089">
        <v>1982</v>
      </c>
      <c r="E4089" t="s">
        <v>23</v>
      </c>
      <c r="F4089" t="s">
        <v>24</v>
      </c>
      <c r="G4089" t="s">
        <v>25</v>
      </c>
      <c r="H4089" t="s">
        <v>26</v>
      </c>
      <c r="I4089">
        <v>2651869</v>
      </c>
      <c r="J4089" t="s">
        <v>27</v>
      </c>
      <c r="K4089" t="s">
        <v>5596</v>
      </c>
      <c r="L4089" t="s">
        <v>21</v>
      </c>
    </row>
    <row r="4090" spans="1:12">
      <c r="A4090" t="s">
        <v>5598</v>
      </c>
      <c r="B4090" t="s">
        <v>5571</v>
      </c>
      <c r="C4090" t="s">
        <v>14</v>
      </c>
      <c r="D4090">
        <v>1982</v>
      </c>
      <c r="E4090" t="s">
        <v>29</v>
      </c>
      <c r="F4090" t="s">
        <v>30</v>
      </c>
      <c r="G4090" t="s">
        <v>31</v>
      </c>
      <c r="H4090" t="s">
        <v>32</v>
      </c>
      <c r="I4090">
        <v>15169.161120000001</v>
      </c>
      <c r="J4090" t="s">
        <v>33</v>
      </c>
      <c r="K4090" t="s">
        <v>5596</v>
      </c>
      <c r="L4090" t="s">
        <v>21</v>
      </c>
    </row>
    <row r="4091" spans="1:12">
      <c r="A4091" t="s">
        <v>5599</v>
      </c>
      <c r="B4091" t="s">
        <v>5571</v>
      </c>
      <c r="C4091" t="s">
        <v>14</v>
      </c>
      <c r="D4091">
        <v>1987</v>
      </c>
      <c r="E4091" t="s">
        <v>15</v>
      </c>
      <c r="F4091" t="s">
        <v>16</v>
      </c>
      <c r="G4091" t="s">
        <v>17</v>
      </c>
      <c r="H4091" t="s">
        <v>18</v>
      </c>
      <c r="I4091">
        <v>73.56</v>
      </c>
      <c r="J4091" t="s">
        <v>19</v>
      </c>
      <c r="K4091" t="s">
        <v>5600</v>
      </c>
      <c r="L4091" t="s">
        <v>21</v>
      </c>
    </row>
    <row r="4092" spans="1:12">
      <c r="A4092" t="s">
        <v>5601</v>
      </c>
      <c r="B4092" t="s">
        <v>5571</v>
      </c>
      <c r="C4092" t="s">
        <v>14</v>
      </c>
      <c r="D4092">
        <v>1987</v>
      </c>
      <c r="E4092" t="s">
        <v>23</v>
      </c>
      <c r="F4092" t="s">
        <v>24</v>
      </c>
      <c r="G4092" t="s">
        <v>25</v>
      </c>
      <c r="H4092" t="s">
        <v>26</v>
      </c>
      <c r="I4092">
        <v>2794552</v>
      </c>
      <c r="J4092" t="s">
        <v>27</v>
      </c>
      <c r="K4092" t="s">
        <v>5600</v>
      </c>
      <c r="L4092" t="s">
        <v>21</v>
      </c>
    </row>
    <row r="4093" spans="1:12">
      <c r="A4093" t="s">
        <v>5602</v>
      </c>
      <c r="B4093" t="s">
        <v>5571</v>
      </c>
      <c r="C4093" t="s">
        <v>14</v>
      </c>
      <c r="D4093">
        <v>1987</v>
      </c>
      <c r="E4093" t="s">
        <v>29</v>
      </c>
      <c r="F4093" t="s">
        <v>30</v>
      </c>
      <c r="G4093" t="s">
        <v>31</v>
      </c>
      <c r="H4093" t="s">
        <v>32</v>
      </c>
      <c r="I4093">
        <v>18861.53081</v>
      </c>
      <c r="J4093" t="s">
        <v>33</v>
      </c>
      <c r="K4093" t="s">
        <v>5600</v>
      </c>
      <c r="L4093" t="s">
        <v>21</v>
      </c>
    </row>
    <row r="4094" spans="1:12">
      <c r="A4094" t="s">
        <v>5603</v>
      </c>
      <c r="B4094" t="s">
        <v>5571</v>
      </c>
      <c r="C4094" t="s">
        <v>14</v>
      </c>
      <c r="D4094">
        <v>1992</v>
      </c>
      <c r="E4094" t="s">
        <v>15</v>
      </c>
      <c r="F4094" t="s">
        <v>16</v>
      </c>
      <c r="G4094" t="s">
        <v>17</v>
      </c>
      <c r="H4094" t="s">
        <v>18</v>
      </c>
      <c r="I4094">
        <v>75.787999999999997</v>
      </c>
      <c r="J4094" t="s">
        <v>19</v>
      </c>
      <c r="K4094" t="s">
        <v>5604</v>
      </c>
      <c r="L4094" t="s">
        <v>21</v>
      </c>
    </row>
    <row r="4095" spans="1:12">
      <c r="A4095" t="s">
        <v>5605</v>
      </c>
      <c r="B4095" t="s">
        <v>5571</v>
      </c>
      <c r="C4095" t="s">
        <v>14</v>
      </c>
      <c r="D4095">
        <v>1992</v>
      </c>
      <c r="E4095" t="s">
        <v>23</v>
      </c>
      <c r="F4095" t="s">
        <v>24</v>
      </c>
      <c r="G4095" t="s">
        <v>25</v>
      </c>
      <c r="H4095" t="s">
        <v>26</v>
      </c>
      <c r="I4095">
        <v>3235865</v>
      </c>
      <c r="J4095" t="s">
        <v>27</v>
      </c>
      <c r="K4095" t="s">
        <v>5604</v>
      </c>
      <c r="L4095" t="s">
        <v>21</v>
      </c>
    </row>
    <row r="4096" spans="1:12">
      <c r="A4096" t="s">
        <v>5606</v>
      </c>
      <c r="B4096" t="s">
        <v>5571</v>
      </c>
      <c r="C4096" t="s">
        <v>14</v>
      </c>
      <c r="D4096">
        <v>1992</v>
      </c>
      <c r="E4096" t="s">
        <v>29</v>
      </c>
      <c r="F4096" t="s">
        <v>30</v>
      </c>
      <c r="G4096" t="s">
        <v>31</v>
      </c>
      <c r="H4096" t="s">
        <v>32</v>
      </c>
      <c r="I4096">
        <v>24769.891199999998</v>
      </c>
      <c r="J4096" t="s">
        <v>33</v>
      </c>
      <c r="K4096" t="s">
        <v>5604</v>
      </c>
      <c r="L4096" t="s">
        <v>21</v>
      </c>
    </row>
    <row r="4097" spans="1:12">
      <c r="A4097" t="s">
        <v>5607</v>
      </c>
      <c r="B4097" t="s">
        <v>5571</v>
      </c>
      <c r="C4097" t="s">
        <v>14</v>
      </c>
      <c r="D4097">
        <v>1997</v>
      </c>
      <c r="E4097" t="s">
        <v>15</v>
      </c>
      <c r="F4097" t="s">
        <v>16</v>
      </c>
      <c r="G4097" t="s">
        <v>17</v>
      </c>
      <c r="H4097" t="s">
        <v>18</v>
      </c>
      <c r="I4097">
        <v>77.158000000000001</v>
      </c>
      <c r="J4097" t="s">
        <v>19</v>
      </c>
      <c r="K4097" t="s">
        <v>5608</v>
      </c>
      <c r="L4097" t="s">
        <v>21</v>
      </c>
    </row>
    <row r="4098" spans="1:12">
      <c r="A4098" t="s">
        <v>5609</v>
      </c>
      <c r="B4098" t="s">
        <v>5571</v>
      </c>
      <c r="C4098" t="s">
        <v>14</v>
      </c>
      <c r="D4098">
        <v>1997</v>
      </c>
      <c r="E4098" t="s">
        <v>23</v>
      </c>
      <c r="F4098" t="s">
        <v>24</v>
      </c>
      <c r="G4098" t="s">
        <v>25</v>
      </c>
      <c r="H4098" t="s">
        <v>26</v>
      </c>
      <c r="I4098">
        <v>3802309</v>
      </c>
      <c r="J4098" t="s">
        <v>27</v>
      </c>
      <c r="K4098" t="s">
        <v>5608</v>
      </c>
      <c r="L4098" t="s">
        <v>21</v>
      </c>
    </row>
    <row r="4099" spans="1:12">
      <c r="A4099" t="s">
        <v>5610</v>
      </c>
      <c r="B4099" t="s">
        <v>5571</v>
      </c>
      <c r="C4099" t="s">
        <v>14</v>
      </c>
      <c r="D4099">
        <v>1997</v>
      </c>
      <c r="E4099" t="s">
        <v>29</v>
      </c>
      <c r="F4099" t="s">
        <v>30</v>
      </c>
      <c r="G4099" t="s">
        <v>31</v>
      </c>
      <c r="H4099" t="s">
        <v>32</v>
      </c>
      <c r="I4099">
        <v>33519.476600000002</v>
      </c>
      <c r="J4099" t="s">
        <v>33</v>
      </c>
      <c r="K4099" t="s">
        <v>5608</v>
      </c>
      <c r="L4099" t="s">
        <v>21</v>
      </c>
    </row>
    <row r="4100" spans="1:12">
      <c r="A4100" t="s">
        <v>5611</v>
      </c>
      <c r="B4100" t="s">
        <v>5571</v>
      </c>
      <c r="C4100" t="s">
        <v>14</v>
      </c>
      <c r="D4100">
        <v>2002</v>
      </c>
      <c r="E4100" t="s">
        <v>15</v>
      </c>
      <c r="F4100" t="s">
        <v>16</v>
      </c>
      <c r="G4100" t="s">
        <v>17</v>
      </c>
      <c r="H4100" t="s">
        <v>18</v>
      </c>
      <c r="I4100">
        <v>78.77</v>
      </c>
      <c r="J4100" t="s">
        <v>19</v>
      </c>
      <c r="K4100" t="s">
        <v>5612</v>
      </c>
      <c r="L4100" t="s">
        <v>21</v>
      </c>
    </row>
    <row r="4101" spans="1:12">
      <c r="A4101" t="s">
        <v>5613</v>
      </c>
      <c r="B4101" t="s">
        <v>5571</v>
      </c>
      <c r="C4101" t="s">
        <v>14</v>
      </c>
      <c r="D4101">
        <v>2002</v>
      </c>
      <c r="E4101" t="s">
        <v>23</v>
      </c>
      <c r="F4101" t="s">
        <v>24</v>
      </c>
      <c r="G4101" t="s">
        <v>25</v>
      </c>
      <c r="H4101" t="s">
        <v>26</v>
      </c>
      <c r="I4101">
        <v>4197776</v>
      </c>
      <c r="J4101" t="s">
        <v>27</v>
      </c>
      <c r="K4101" t="s">
        <v>5612</v>
      </c>
      <c r="L4101" t="s">
        <v>21</v>
      </c>
    </row>
    <row r="4102" spans="1:12">
      <c r="A4102" t="s">
        <v>5614</v>
      </c>
      <c r="B4102" t="s">
        <v>5571</v>
      </c>
      <c r="C4102" t="s">
        <v>14</v>
      </c>
      <c r="D4102">
        <v>2002</v>
      </c>
      <c r="E4102" t="s">
        <v>29</v>
      </c>
      <c r="F4102" t="s">
        <v>30</v>
      </c>
      <c r="G4102" t="s">
        <v>31</v>
      </c>
      <c r="H4102" t="s">
        <v>32</v>
      </c>
      <c r="I4102">
        <v>36023.1054</v>
      </c>
      <c r="J4102" t="s">
        <v>33</v>
      </c>
      <c r="K4102" t="s">
        <v>5612</v>
      </c>
      <c r="L4102" t="s">
        <v>21</v>
      </c>
    </row>
    <row r="4103" spans="1:12">
      <c r="A4103" t="s">
        <v>5615</v>
      </c>
      <c r="B4103" t="s">
        <v>5571</v>
      </c>
      <c r="C4103" t="s">
        <v>14</v>
      </c>
      <c r="D4103">
        <v>2007</v>
      </c>
      <c r="E4103" t="s">
        <v>15</v>
      </c>
      <c r="F4103" t="s">
        <v>16</v>
      </c>
      <c r="G4103" t="s">
        <v>17</v>
      </c>
      <c r="H4103" t="s">
        <v>18</v>
      </c>
      <c r="I4103">
        <v>79.971999999999994</v>
      </c>
      <c r="J4103" t="s">
        <v>19</v>
      </c>
      <c r="K4103" t="s">
        <v>5616</v>
      </c>
      <c r="L4103" t="s">
        <v>21</v>
      </c>
    </row>
    <row r="4104" spans="1:12">
      <c r="A4104" t="s">
        <v>5617</v>
      </c>
      <c r="B4104" t="s">
        <v>5571</v>
      </c>
      <c r="C4104" t="s">
        <v>14</v>
      </c>
      <c r="D4104">
        <v>2007</v>
      </c>
      <c r="E4104" t="s">
        <v>23</v>
      </c>
      <c r="F4104" t="s">
        <v>24</v>
      </c>
      <c r="G4104" t="s">
        <v>25</v>
      </c>
      <c r="H4104" t="s">
        <v>26</v>
      </c>
      <c r="I4104">
        <v>4553009</v>
      </c>
      <c r="J4104" t="s">
        <v>27</v>
      </c>
      <c r="K4104" t="s">
        <v>5616</v>
      </c>
      <c r="L4104" t="s">
        <v>21</v>
      </c>
    </row>
    <row r="4105" spans="1:12">
      <c r="A4105" t="s">
        <v>5618</v>
      </c>
      <c r="B4105" t="s">
        <v>5571</v>
      </c>
      <c r="C4105" t="s">
        <v>14</v>
      </c>
      <c r="D4105">
        <v>2007</v>
      </c>
      <c r="E4105" t="s">
        <v>29</v>
      </c>
      <c r="F4105" t="s">
        <v>30</v>
      </c>
      <c r="G4105" t="s">
        <v>31</v>
      </c>
      <c r="H4105" t="s">
        <v>32</v>
      </c>
      <c r="I4105">
        <v>47143.179640000002</v>
      </c>
      <c r="J4105" t="s">
        <v>33</v>
      </c>
      <c r="K4105" t="s">
        <v>5616</v>
      </c>
      <c r="L4105" t="s">
        <v>21</v>
      </c>
    </row>
    <row r="4106" spans="1:12">
      <c r="A4106" t="s">
        <v>5619</v>
      </c>
      <c r="B4106" t="s">
        <v>5620</v>
      </c>
      <c r="C4106" t="s">
        <v>80</v>
      </c>
      <c r="D4106">
        <v>1952</v>
      </c>
      <c r="E4106" t="s">
        <v>15</v>
      </c>
      <c r="F4106" t="s">
        <v>16</v>
      </c>
      <c r="G4106" t="s">
        <v>17</v>
      </c>
      <c r="H4106" t="s">
        <v>18</v>
      </c>
      <c r="I4106">
        <v>64.36</v>
      </c>
      <c r="J4106" t="s">
        <v>19</v>
      </c>
      <c r="K4106" t="s">
        <v>5621</v>
      </c>
      <c r="L4106" t="s">
        <v>21</v>
      </c>
    </row>
    <row r="4107" spans="1:12">
      <c r="A4107" t="s">
        <v>5622</v>
      </c>
      <c r="B4107" t="s">
        <v>5620</v>
      </c>
      <c r="C4107" t="s">
        <v>80</v>
      </c>
      <c r="D4107">
        <v>1952</v>
      </c>
      <c r="E4107" t="s">
        <v>23</v>
      </c>
      <c r="F4107" t="s">
        <v>24</v>
      </c>
      <c r="G4107" t="s">
        <v>25</v>
      </c>
      <c r="H4107" t="s">
        <v>26</v>
      </c>
      <c r="I4107">
        <v>3558137</v>
      </c>
      <c r="J4107" t="s">
        <v>27</v>
      </c>
      <c r="K4107" t="s">
        <v>5621</v>
      </c>
      <c r="L4107" t="s">
        <v>21</v>
      </c>
    </row>
    <row r="4108" spans="1:12">
      <c r="A4108" t="s">
        <v>5623</v>
      </c>
      <c r="B4108" t="s">
        <v>5620</v>
      </c>
      <c r="C4108" t="s">
        <v>80</v>
      </c>
      <c r="D4108">
        <v>1952</v>
      </c>
      <c r="E4108" t="s">
        <v>29</v>
      </c>
      <c r="F4108" t="s">
        <v>30</v>
      </c>
      <c r="G4108" t="s">
        <v>31</v>
      </c>
      <c r="H4108" t="s">
        <v>32</v>
      </c>
      <c r="I4108">
        <v>5074.6591040000003</v>
      </c>
      <c r="J4108" t="s">
        <v>33</v>
      </c>
      <c r="K4108" t="s">
        <v>5621</v>
      </c>
      <c r="L4108" t="s">
        <v>21</v>
      </c>
    </row>
    <row r="4109" spans="1:12">
      <c r="A4109" t="s">
        <v>5624</v>
      </c>
      <c r="B4109" t="s">
        <v>5620</v>
      </c>
      <c r="C4109" t="s">
        <v>80</v>
      </c>
      <c r="D4109">
        <v>1957</v>
      </c>
      <c r="E4109" t="s">
        <v>15</v>
      </c>
      <c r="F4109" t="s">
        <v>16</v>
      </c>
      <c r="G4109" t="s">
        <v>17</v>
      </c>
      <c r="H4109" t="s">
        <v>18</v>
      </c>
      <c r="I4109">
        <v>67.45</v>
      </c>
      <c r="J4109" t="s">
        <v>19</v>
      </c>
      <c r="K4109" t="s">
        <v>5625</v>
      </c>
      <c r="L4109" t="s">
        <v>21</v>
      </c>
    </row>
    <row r="4110" spans="1:12">
      <c r="A4110" t="s">
        <v>5626</v>
      </c>
      <c r="B4110" t="s">
        <v>5620</v>
      </c>
      <c r="C4110" t="s">
        <v>80</v>
      </c>
      <c r="D4110">
        <v>1957</v>
      </c>
      <c r="E4110" t="s">
        <v>23</v>
      </c>
      <c r="F4110" t="s">
        <v>24</v>
      </c>
      <c r="G4110" t="s">
        <v>25</v>
      </c>
      <c r="H4110" t="s">
        <v>26</v>
      </c>
      <c r="I4110">
        <v>3844277</v>
      </c>
      <c r="J4110" t="s">
        <v>27</v>
      </c>
      <c r="K4110" t="s">
        <v>5625</v>
      </c>
      <c r="L4110" t="s">
        <v>21</v>
      </c>
    </row>
    <row r="4111" spans="1:12">
      <c r="A4111" t="s">
        <v>5627</v>
      </c>
      <c r="B4111" t="s">
        <v>5620</v>
      </c>
      <c r="C4111" t="s">
        <v>80</v>
      </c>
      <c r="D4111">
        <v>1957</v>
      </c>
      <c r="E4111" t="s">
        <v>29</v>
      </c>
      <c r="F4111" t="s">
        <v>30</v>
      </c>
      <c r="G4111" t="s">
        <v>31</v>
      </c>
      <c r="H4111" t="s">
        <v>32</v>
      </c>
      <c r="I4111">
        <v>6093.2629800000004</v>
      </c>
      <c r="J4111" t="s">
        <v>33</v>
      </c>
      <c r="K4111" t="s">
        <v>5625</v>
      </c>
      <c r="L4111" t="s">
        <v>21</v>
      </c>
    </row>
    <row r="4112" spans="1:12">
      <c r="A4112" t="s">
        <v>5628</v>
      </c>
      <c r="B4112" t="s">
        <v>5620</v>
      </c>
      <c r="C4112" t="s">
        <v>80</v>
      </c>
      <c r="D4112">
        <v>1962</v>
      </c>
      <c r="E4112" t="s">
        <v>15</v>
      </c>
      <c r="F4112" t="s">
        <v>16</v>
      </c>
      <c r="G4112" t="s">
        <v>17</v>
      </c>
      <c r="H4112" t="s">
        <v>18</v>
      </c>
      <c r="I4112">
        <v>70.33</v>
      </c>
      <c r="J4112" t="s">
        <v>19</v>
      </c>
      <c r="K4112" t="s">
        <v>5629</v>
      </c>
      <c r="L4112" t="s">
        <v>21</v>
      </c>
    </row>
    <row r="4113" spans="1:12">
      <c r="A4113" t="s">
        <v>5630</v>
      </c>
      <c r="B4113" t="s">
        <v>5620</v>
      </c>
      <c r="C4113" t="s">
        <v>80</v>
      </c>
      <c r="D4113">
        <v>1962</v>
      </c>
      <c r="E4113" t="s">
        <v>23</v>
      </c>
      <c r="F4113" t="s">
        <v>24</v>
      </c>
      <c r="G4113" t="s">
        <v>25</v>
      </c>
      <c r="H4113" t="s">
        <v>26</v>
      </c>
      <c r="I4113">
        <v>4237384</v>
      </c>
      <c r="J4113" t="s">
        <v>27</v>
      </c>
      <c r="K4113" t="s">
        <v>5629</v>
      </c>
      <c r="L4113" t="s">
        <v>21</v>
      </c>
    </row>
    <row r="4114" spans="1:12">
      <c r="A4114" t="s">
        <v>5631</v>
      </c>
      <c r="B4114" t="s">
        <v>5620</v>
      </c>
      <c r="C4114" t="s">
        <v>80</v>
      </c>
      <c r="D4114">
        <v>1962</v>
      </c>
      <c r="E4114" t="s">
        <v>29</v>
      </c>
      <c r="F4114" t="s">
        <v>30</v>
      </c>
      <c r="G4114" t="s">
        <v>31</v>
      </c>
      <c r="H4114" t="s">
        <v>32</v>
      </c>
      <c r="I4114">
        <v>7481.1075979999996</v>
      </c>
      <c r="J4114" t="s">
        <v>33</v>
      </c>
      <c r="K4114" t="s">
        <v>5629</v>
      </c>
      <c r="L4114" t="s">
        <v>21</v>
      </c>
    </row>
    <row r="4115" spans="1:12">
      <c r="A4115" t="s">
        <v>5632</v>
      </c>
      <c r="B4115" t="s">
        <v>5620</v>
      </c>
      <c r="C4115" t="s">
        <v>80</v>
      </c>
      <c r="D4115">
        <v>1967</v>
      </c>
      <c r="E4115" t="s">
        <v>15</v>
      </c>
      <c r="F4115" t="s">
        <v>16</v>
      </c>
      <c r="G4115" t="s">
        <v>17</v>
      </c>
      <c r="H4115" t="s">
        <v>18</v>
      </c>
      <c r="I4115">
        <v>70.98</v>
      </c>
      <c r="J4115" t="s">
        <v>19</v>
      </c>
      <c r="K4115" t="s">
        <v>5633</v>
      </c>
      <c r="L4115" t="s">
        <v>21</v>
      </c>
    </row>
    <row r="4116" spans="1:12">
      <c r="A4116" t="s">
        <v>5634</v>
      </c>
      <c r="B4116" t="s">
        <v>5620</v>
      </c>
      <c r="C4116" t="s">
        <v>80</v>
      </c>
      <c r="D4116">
        <v>1967</v>
      </c>
      <c r="E4116" t="s">
        <v>23</v>
      </c>
      <c r="F4116" t="s">
        <v>24</v>
      </c>
      <c r="G4116" t="s">
        <v>25</v>
      </c>
      <c r="H4116" t="s">
        <v>26</v>
      </c>
      <c r="I4116">
        <v>4442238</v>
      </c>
      <c r="J4116" t="s">
        <v>27</v>
      </c>
      <c r="K4116" t="s">
        <v>5633</v>
      </c>
      <c r="L4116" t="s">
        <v>21</v>
      </c>
    </row>
    <row r="4117" spans="1:12">
      <c r="A4117" t="s">
        <v>5635</v>
      </c>
      <c r="B4117" t="s">
        <v>5620</v>
      </c>
      <c r="C4117" t="s">
        <v>80</v>
      </c>
      <c r="D4117">
        <v>1967</v>
      </c>
      <c r="E4117" t="s">
        <v>29</v>
      </c>
      <c r="F4117" t="s">
        <v>30</v>
      </c>
      <c r="G4117" t="s">
        <v>31</v>
      </c>
      <c r="H4117" t="s">
        <v>32</v>
      </c>
      <c r="I4117">
        <v>8412.9023969999998</v>
      </c>
      <c r="J4117" t="s">
        <v>33</v>
      </c>
      <c r="K4117" t="s">
        <v>5633</v>
      </c>
      <c r="L4117" t="s">
        <v>21</v>
      </c>
    </row>
    <row r="4118" spans="1:12">
      <c r="A4118" t="s">
        <v>5636</v>
      </c>
      <c r="B4118" t="s">
        <v>5620</v>
      </c>
      <c r="C4118" t="s">
        <v>80</v>
      </c>
      <c r="D4118">
        <v>1972</v>
      </c>
      <c r="E4118" t="s">
        <v>15</v>
      </c>
      <c r="F4118" t="s">
        <v>16</v>
      </c>
      <c r="G4118" t="s">
        <v>17</v>
      </c>
      <c r="H4118" t="s">
        <v>18</v>
      </c>
      <c r="I4118">
        <v>70.349999999999994</v>
      </c>
      <c r="J4118" t="s">
        <v>19</v>
      </c>
      <c r="K4118" t="s">
        <v>5637</v>
      </c>
      <c r="L4118" t="s">
        <v>21</v>
      </c>
    </row>
    <row r="4119" spans="1:12">
      <c r="A4119" t="s">
        <v>5638</v>
      </c>
      <c r="B4119" t="s">
        <v>5620</v>
      </c>
      <c r="C4119" t="s">
        <v>80</v>
      </c>
      <c r="D4119">
        <v>1972</v>
      </c>
      <c r="E4119" t="s">
        <v>23</v>
      </c>
      <c r="F4119" t="s">
        <v>24</v>
      </c>
      <c r="G4119" t="s">
        <v>25</v>
      </c>
      <c r="H4119" t="s">
        <v>26</v>
      </c>
      <c r="I4119">
        <v>4593433</v>
      </c>
      <c r="J4119" t="s">
        <v>27</v>
      </c>
      <c r="K4119" t="s">
        <v>5637</v>
      </c>
      <c r="L4119" t="s">
        <v>21</v>
      </c>
    </row>
    <row r="4120" spans="1:12">
      <c r="A4120" t="s">
        <v>5639</v>
      </c>
      <c r="B4120" t="s">
        <v>5620</v>
      </c>
      <c r="C4120" t="s">
        <v>80</v>
      </c>
      <c r="D4120">
        <v>1972</v>
      </c>
      <c r="E4120" t="s">
        <v>29</v>
      </c>
      <c r="F4120" t="s">
        <v>30</v>
      </c>
      <c r="G4120" t="s">
        <v>31</v>
      </c>
      <c r="H4120" t="s">
        <v>32</v>
      </c>
      <c r="I4120">
        <v>9674.1676260000004</v>
      </c>
      <c r="J4120" t="s">
        <v>33</v>
      </c>
      <c r="K4120" t="s">
        <v>5637</v>
      </c>
      <c r="L4120" t="s">
        <v>21</v>
      </c>
    </row>
    <row r="4121" spans="1:12">
      <c r="A4121" t="s">
        <v>5640</v>
      </c>
      <c r="B4121" t="s">
        <v>5620</v>
      </c>
      <c r="C4121" t="s">
        <v>80</v>
      </c>
      <c r="D4121">
        <v>1977</v>
      </c>
      <c r="E4121" t="s">
        <v>15</v>
      </c>
      <c r="F4121" t="s">
        <v>16</v>
      </c>
      <c r="G4121" t="s">
        <v>17</v>
      </c>
      <c r="H4121" t="s">
        <v>18</v>
      </c>
      <c r="I4121">
        <v>70.45</v>
      </c>
      <c r="J4121" t="s">
        <v>19</v>
      </c>
      <c r="K4121" t="s">
        <v>5641</v>
      </c>
      <c r="L4121" t="s">
        <v>21</v>
      </c>
    </row>
    <row r="4122" spans="1:12">
      <c r="A4122" t="s">
        <v>5642</v>
      </c>
      <c r="B4122" t="s">
        <v>5620</v>
      </c>
      <c r="C4122" t="s">
        <v>80</v>
      </c>
      <c r="D4122">
        <v>1977</v>
      </c>
      <c r="E4122" t="s">
        <v>23</v>
      </c>
      <c r="F4122" t="s">
        <v>24</v>
      </c>
      <c r="G4122" t="s">
        <v>25</v>
      </c>
      <c r="H4122" t="s">
        <v>26</v>
      </c>
      <c r="I4122">
        <v>4827803</v>
      </c>
      <c r="J4122" t="s">
        <v>27</v>
      </c>
      <c r="K4122" t="s">
        <v>5641</v>
      </c>
      <c r="L4122" t="s">
        <v>21</v>
      </c>
    </row>
    <row r="4123" spans="1:12">
      <c r="A4123" t="s">
        <v>5643</v>
      </c>
      <c r="B4123" t="s">
        <v>5620</v>
      </c>
      <c r="C4123" t="s">
        <v>80</v>
      </c>
      <c r="D4123">
        <v>1977</v>
      </c>
      <c r="E4123" t="s">
        <v>29</v>
      </c>
      <c r="F4123" t="s">
        <v>30</v>
      </c>
      <c r="G4123" t="s">
        <v>31</v>
      </c>
      <c r="H4123" t="s">
        <v>32</v>
      </c>
      <c r="I4123">
        <v>10922.66404</v>
      </c>
      <c r="J4123" t="s">
        <v>33</v>
      </c>
      <c r="K4123" t="s">
        <v>5641</v>
      </c>
      <c r="L4123" t="s">
        <v>21</v>
      </c>
    </row>
    <row r="4124" spans="1:12">
      <c r="A4124" t="s">
        <v>5644</v>
      </c>
      <c r="B4124" t="s">
        <v>5620</v>
      </c>
      <c r="C4124" t="s">
        <v>80</v>
      </c>
      <c r="D4124">
        <v>1982</v>
      </c>
      <c r="E4124" t="s">
        <v>15</v>
      </c>
      <c r="F4124" t="s">
        <v>16</v>
      </c>
      <c r="G4124" t="s">
        <v>17</v>
      </c>
      <c r="H4124" t="s">
        <v>18</v>
      </c>
      <c r="I4124">
        <v>70.8</v>
      </c>
      <c r="J4124" t="s">
        <v>19</v>
      </c>
      <c r="K4124" t="s">
        <v>5645</v>
      </c>
      <c r="L4124" t="s">
        <v>21</v>
      </c>
    </row>
    <row r="4125" spans="1:12">
      <c r="A4125" t="s">
        <v>5646</v>
      </c>
      <c r="B4125" t="s">
        <v>5620</v>
      </c>
      <c r="C4125" t="s">
        <v>80</v>
      </c>
      <c r="D4125">
        <v>1982</v>
      </c>
      <c r="E4125" t="s">
        <v>23</v>
      </c>
      <c r="F4125" t="s">
        <v>24</v>
      </c>
      <c r="G4125" t="s">
        <v>25</v>
      </c>
      <c r="H4125" t="s">
        <v>26</v>
      </c>
      <c r="I4125">
        <v>5048043</v>
      </c>
      <c r="J4125" t="s">
        <v>27</v>
      </c>
      <c r="K4125" t="s">
        <v>5645</v>
      </c>
      <c r="L4125" t="s">
        <v>21</v>
      </c>
    </row>
    <row r="4126" spans="1:12">
      <c r="A4126" t="s">
        <v>5647</v>
      </c>
      <c r="B4126" t="s">
        <v>5620</v>
      </c>
      <c r="C4126" t="s">
        <v>80</v>
      </c>
      <c r="D4126">
        <v>1982</v>
      </c>
      <c r="E4126" t="s">
        <v>29</v>
      </c>
      <c r="F4126" t="s">
        <v>30</v>
      </c>
      <c r="G4126" t="s">
        <v>31</v>
      </c>
      <c r="H4126" t="s">
        <v>32</v>
      </c>
      <c r="I4126">
        <v>11348.54585</v>
      </c>
      <c r="J4126" t="s">
        <v>33</v>
      </c>
      <c r="K4126" t="s">
        <v>5645</v>
      </c>
      <c r="L4126" t="s">
        <v>21</v>
      </c>
    </row>
    <row r="4127" spans="1:12">
      <c r="A4127" t="s">
        <v>5648</v>
      </c>
      <c r="B4127" t="s">
        <v>5620</v>
      </c>
      <c r="C4127" t="s">
        <v>80</v>
      </c>
      <c r="D4127">
        <v>1987</v>
      </c>
      <c r="E4127" t="s">
        <v>15</v>
      </c>
      <c r="F4127" t="s">
        <v>16</v>
      </c>
      <c r="G4127" t="s">
        <v>17</v>
      </c>
      <c r="H4127" t="s">
        <v>18</v>
      </c>
      <c r="I4127">
        <v>71.08</v>
      </c>
      <c r="J4127" t="s">
        <v>19</v>
      </c>
      <c r="K4127" t="s">
        <v>5649</v>
      </c>
      <c r="L4127" t="s">
        <v>21</v>
      </c>
    </row>
    <row r="4128" spans="1:12">
      <c r="A4128" t="s">
        <v>5650</v>
      </c>
      <c r="B4128" t="s">
        <v>5620</v>
      </c>
      <c r="C4128" t="s">
        <v>80</v>
      </c>
      <c r="D4128">
        <v>1987</v>
      </c>
      <c r="E4128" t="s">
        <v>23</v>
      </c>
      <c r="F4128" t="s">
        <v>24</v>
      </c>
      <c r="G4128" t="s">
        <v>25</v>
      </c>
      <c r="H4128" t="s">
        <v>26</v>
      </c>
      <c r="I4128">
        <v>5199318</v>
      </c>
      <c r="J4128" t="s">
        <v>27</v>
      </c>
      <c r="K4128" t="s">
        <v>5649</v>
      </c>
      <c r="L4128" t="s">
        <v>21</v>
      </c>
    </row>
    <row r="4129" spans="1:12">
      <c r="A4129" t="s">
        <v>5651</v>
      </c>
      <c r="B4129" t="s">
        <v>5620</v>
      </c>
      <c r="C4129" t="s">
        <v>80</v>
      </c>
      <c r="D4129">
        <v>1987</v>
      </c>
      <c r="E4129" t="s">
        <v>29</v>
      </c>
      <c r="F4129" t="s">
        <v>30</v>
      </c>
      <c r="G4129" t="s">
        <v>31</v>
      </c>
      <c r="H4129" t="s">
        <v>32</v>
      </c>
      <c r="I4129">
        <v>12037.26758</v>
      </c>
      <c r="J4129" t="s">
        <v>33</v>
      </c>
      <c r="K4129" t="s">
        <v>5649</v>
      </c>
      <c r="L4129" t="s">
        <v>21</v>
      </c>
    </row>
    <row r="4130" spans="1:12">
      <c r="A4130" t="s">
        <v>5652</v>
      </c>
      <c r="B4130" t="s">
        <v>5620</v>
      </c>
      <c r="C4130" t="s">
        <v>80</v>
      </c>
      <c r="D4130">
        <v>1992</v>
      </c>
      <c r="E4130" t="s">
        <v>15</v>
      </c>
      <c r="F4130" t="s">
        <v>16</v>
      </c>
      <c r="G4130" t="s">
        <v>17</v>
      </c>
      <c r="H4130" t="s">
        <v>18</v>
      </c>
      <c r="I4130">
        <v>71.38</v>
      </c>
      <c r="J4130" t="s">
        <v>19</v>
      </c>
      <c r="K4130" t="s">
        <v>5653</v>
      </c>
      <c r="L4130" t="s">
        <v>21</v>
      </c>
    </row>
    <row r="4131" spans="1:12">
      <c r="A4131" t="s">
        <v>5654</v>
      </c>
      <c r="B4131" t="s">
        <v>5620</v>
      </c>
      <c r="C4131" t="s">
        <v>80</v>
      </c>
      <c r="D4131">
        <v>1992</v>
      </c>
      <c r="E4131" t="s">
        <v>23</v>
      </c>
      <c r="F4131" t="s">
        <v>24</v>
      </c>
      <c r="G4131" t="s">
        <v>25</v>
      </c>
      <c r="H4131" t="s">
        <v>26</v>
      </c>
      <c r="I4131">
        <v>5302888</v>
      </c>
      <c r="J4131" t="s">
        <v>27</v>
      </c>
      <c r="K4131" t="s">
        <v>5653</v>
      </c>
      <c r="L4131" t="s">
        <v>21</v>
      </c>
    </row>
    <row r="4132" spans="1:12">
      <c r="A4132" t="s">
        <v>5655</v>
      </c>
      <c r="B4132" t="s">
        <v>5620</v>
      </c>
      <c r="C4132" t="s">
        <v>80</v>
      </c>
      <c r="D4132">
        <v>1992</v>
      </c>
      <c r="E4132" t="s">
        <v>29</v>
      </c>
      <c r="F4132" t="s">
        <v>30</v>
      </c>
      <c r="G4132" t="s">
        <v>31</v>
      </c>
      <c r="H4132" t="s">
        <v>32</v>
      </c>
      <c r="I4132">
        <v>9498.4677229999998</v>
      </c>
      <c r="J4132" t="s">
        <v>33</v>
      </c>
      <c r="K4132" t="s">
        <v>5653</v>
      </c>
      <c r="L4132" t="s">
        <v>21</v>
      </c>
    </row>
    <row r="4133" spans="1:12">
      <c r="A4133" t="s">
        <v>5656</v>
      </c>
      <c r="B4133" t="s">
        <v>5620</v>
      </c>
      <c r="C4133" t="s">
        <v>80</v>
      </c>
      <c r="D4133">
        <v>1997</v>
      </c>
      <c r="E4133" t="s">
        <v>15</v>
      </c>
      <c r="F4133" t="s">
        <v>16</v>
      </c>
      <c r="G4133" t="s">
        <v>17</v>
      </c>
      <c r="H4133" t="s">
        <v>18</v>
      </c>
      <c r="I4133">
        <v>72.709999999999994</v>
      </c>
      <c r="J4133" t="s">
        <v>19</v>
      </c>
      <c r="K4133" t="s">
        <v>5657</v>
      </c>
      <c r="L4133" t="s">
        <v>21</v>
      </c>
    </row>
    <row r="4134" spans="1:12">
      <c r="A4134" t="s">
        <v>5658</v>
      </c>
      <c r="B4134" t="s">
        <v>5620</v>
      </c>
      <c r="C4134" t="s">
        <v>80</v>
      </c>
      <c r="D4134">
        <v>1997</v>
      </c>
      <c r="E4134" t="s">
        <v>23</v>
      </c>
      <c r="F4134" t="s">
        <v>24</v>
      </c>
      <c r="G4134" t="s">
        <v>25</v>
      </c>
      <c r="H4134" t="s">
        <v>26</v>
      </c>
      <c r="I4134">
        <v>5383010</v>
      </c>
      <c r="J4134" t="s">
        <v>27</v>
      </c>
      <c r="K4134" t="s">
        <v>5657</v>
      </c>
      <c r="L4134" t="s">
        <v>21</v>
      </c>
    </row>
    <row r="4135" spans="1:12">
      <c r="A4135" t="s">
        <v>5659</v>
      </c>
      <c r="B4135" t="s">
        <v>5620</v>
      </c>
      <c r="C4135" t="s">
        <v>80</v>
      </c>
      <c r="D4135">
        <v>1997</v>
      </c>
      <c r="E4135" t="s">
        <v>29</v>
      </c>
      <c r="F4135" t="s">
        <v>30</v>
      </c>
      <c r="G4135" t="s">
        <v>31</v>
      </c>
      <c r="H4135" t="s">
        <v>32</v>
      </c>
      <c r="I4135">
        <v>12126.23065</v>
      </c>
      <c r="J4135" t="s">
        <v>33</v>
      </c>
      <c r="K4135" t="s">
        <v>5657</v>
      </c>
      <c r="L4135" t="s">
        <v>21</v>
      </c>
    </row>
    <row r="4136" spans="1:12">
      <c r="A4136" t="s">
        <v>5660</v>
      </c>
      <c r="B4136" t="s">
        <v>5620</v>
      </c>
      <c r="C4136" t="s">
        <v>80</v>
      </c>
      <c r="D4136">
        <v>2002</v>
      </c>
      <c r="E4136" t="s">
        <v>15</v>
      </c>
      <c r="F4136" t="s">
        <v>16</v>
      </c>
      <c r="G4136" t="s">
        <v>17</v>
      </c>
      <c r="H4136" t="s">
        <v>18</v>
      </c>
      <c r="I4136">
        <v>73.8</v>
      </c>
      <c r="J4136" t="s">
        <v>19</v>
      </c>
      <c r="K4136" t="s">
        <v>5661</v>
      </c>
      <c r="L4136" t="s">
        <v>21</v>
      </c>
    </row>
    <row r="4137" spans="1:12">
      <c r="A4137" t="s">
        <v>5662</v>
      </c>
      <c r="B4137" t="s">
        <v>5620</v>
      </c>
      <c r="C4137" t="s">
        <v>80</v>
      </c>
      <c r="D4137">
        <v>2002</v>
      </c>
      <c r="E4137" t="s">
        <v>23</v>
      </c>
      <c r="F4137" t="s">
        <v>24</v>
      </c>
      <c r="G4137" t="s">
        <v>25</v>
      </c>
      <c r="H4137" t="s">
        <v>26</v>
      </c>
      <c r="I4137">
        <v>5410052</v>
      </c>
      <c r="J4137" t="s">
        <v>27</v>
      </c>
      <c r="K4137" t="s">
        <v>5661</v>
      </c>
      <c r="L4137" t="s">
        <v>21</v>
      </c>
    </row>
    <row r="4138" spans="1:12">
      <c r="A4138" t="s">
        <v>5663</v>
      </c>
      <c r="B4138" t="s">
        <v>5620</v>
      </c>
      <c r="C4138" t="s">
        <v>80</v>
      </c>
      <c r="D4138">
        <v>2002</v>
      </c>
      <c r="E4138" t="s">
        <v>29</v>
      </c>
      <c r="F4138" t="s">
        <v>30</v>
      </c>
      <c r="G4138" t="s">
        <v>31</v>
      </c>
      <c r="H4138" t="s">
        <v>32</v>
      </c>
      <c r="I4138">
        <v>13638.7783699999</v>
      </c>
      <c r="J4138" t="s">
        <v>33</v>
      </c>
      <c r="K4138" t="s">
        <v>5661</v>
      </c>
      <c r="L4138" t="s">
        <v>21</v>
      </c>
    </row>
    <row r="4139" spans="1:12">
      <c r="A4139" t="s">
        <v>5664</v>
      </c>
      <c r="B4139" t="s">
        <v>5620</v>
      </c>
      <c r="C4139" t="s">
        <v>80</v>
      </c>
      <c r="D4139">
        <v>2007</v>
      </c>
      <c r="E4139" t="s">
        <v>15</v>
      </c>
      <c r="F4139" t="s">
        <v>16</v>
      </c>
      <c r="G4139" t="s">
        <v>17</v>
      </c>
      <c r="H4139" t="s">
        <v>18</v>
      </c>
      <c r="I4139">
        <v>74.662999999999997</v>
      </c>
      <c r="J4139" t="s">
        <v>19</v>
      </c>
      <c r="K4139" t="s">
        <v>5665</v>
      </c>
      <c r="L4139" t="s">
        <v>21</v>
      </c>
    </row>
    <row r="4140" spans="1:12">
      <c r="A4140" t="s">
        <v>5666</v>
      </c>
      <c r="B4140" t="s">
        <v>5620</v>
      </c>
      <c r="C4140" t="s">
        <v>80</v>
      </c>
      <c r="D4140">
        <v>2007</v>
      </c>
      <c r="E4140" t="s">
        <v>23</v>
      </c>
      <c r="F4140" t="s">
        <v>24</v>
      </c>
      <c r="G4140" t="s">
        <v>25</v>
      </c>
      <c r="H4140" t="s">
        <v>26</v>
      </c>
      <c r="I4140">
        <v>5447502</v>
      </c>
      <c r="J4140" t="s">
        <v>27</v>
      </c>
      <c r="K4140" t="s">
        <v>5665</v>
      </c>
      <c r="L4140" t="s">
        <v>21</v>
      </c>
    </row>
    <row r="4141" spans="1:12">
      <c r="A4141" t="s">
        <v>5667</v>
      </c>
      <c r="B4141" t="s">
        <v>5620</v>
      </c>
      <c r="C4141" t="s">
        <v>80</v>
      </c>
      <c r="D4141">
        <v>2007</v>
      </c>
      <c r="E4141" t="s">
        <v>29</v>
      </c>
      <c r="F4141" t="s">
        <v>30</v>
      </c>
      <c r="G4141" t="s">
        <v>31</v>
      </c>
      <c r="H4141" t="s">
        <v>32</v>
      </c>
      <c r="I4141">
        <v>18678.314350000001</v>
      </c>
      <c r="J4141" t="s">
        <v>33</v>
      </c>
      <c r="K4141" t="s">
        <v>5665</v>
      </c>
      <c r="L4141" t="s">
        <v>21</v>
      </c>
    </row>
    <row r="4142" spans="1:12">
      <c r="A4142" t="s">
        <v>5668</v>
      </c>
      <c r="B4142" t="s">
        <v>5669</v>
      </c>
      <c r="C4142" t="s">
        <v>80</v>
      </c>
      <c r="D4142">
        <v>1952</v>
      </c>
      <c r="E4142" t="s">
        <v>15</v>
      </c>
      <c r="F4142" t="s">
        <v>16</v>
      </c>
      <c r="G4142" t="s">
        <v>17</v>
      </c>
      <c r="H4142" t="s">
        <v>18</v>
      </c>
      <c r="I4142">
        <v>65.569999999999993</v>
      </c>
      <c r="J4142" t="s">
        <v>19</v>
      </c>
      <c r="K4142" t="s">
        <v>5670</v>
      </c>
      <c r="L4142" t="s">
        <v>21</v>
      </c>
    </row>
    <row r="4143" spans="1:12">
      <c r="A4143" t="s">
        <v>5671</v>
      </c>
      <c r="B4143" t="s">
        <v>5669</v>
      </c>
      <c r="C4143" t="s">
        <v>80</v>
      </c>
      <c r="D4143">
        <v>1952</v>
      </c>
      <c r="E4143" t="s">
        <v>23</v>
      </c>
      <c r="F4143" t="s">
        <v>24</v>
      </c>
      <c r="G4143" t="s">
        <v>25</v>
      </c>
      <c r="H4143" t="s">
        <v>26</v>
      </c>
      <c r="I4143">
        <v>1489518</v>
      </c>
      <c r="J4143" t="s">
        <v>27</v>
      </c>
      <c r="K4143" t="s">
        <v>5670</v>
      </c>
      <c r="L4143" t="s">
        <v>21</v>
      </c>
    </row>
    <row r="4144" spans="1:12">
      <c r="A4144" t="s">
        <v>5672</v>
      </c>
      <c r="B4144" t="s">
        <v>5669</v>
      </c>
      <c r="C4144" t="s">
        <v>80</v>
      </c>
      <c r="D4144">
        <v>1952</v>
      </c>
      <c r="E4144" t="s">
        <v>29</v>
      </c>
      <c r="F4144" t="s">
        <v>30</v>
      </c>
      <c r="G4144" t="s">
        <v>31</v>
      </c>
      <c r="H4144" t="s">
        <v>32</v>
      </c>
      <c r="I4144">
        <v>4215.041741</v>
      </c>
      <c r="J4144" t="s">
        <v>33</v>
      </c>
      <c r="K4144" t="s">
        <v>5670</v>
      </c>
      <c r="L4144" t="s">
        <v>21</v>
      </c>
    </row>
    <row r="4145" spans="1:12">
      <c r="A4145" t="s">
        <v>5673</v>
      </c>
      <c r="B4145" t="s">
        <v>5669</v>
      </c>
      <c r="C4145" t="s">
        <v>80</v>
      </c>
      <c r="D4145">
        <v>1957</v>
      </c>
      <c r="E4145" t="s">
        <v>15</v>
      </c>
      <c r="F4145" t="s">
        <v>16</v>
      </c>
      <c r="G4145" t="s">
        <v>17</v>
      </c>
      <c r="H4145" t="s">
        <v>18</v>
      </c>
      <c r="I4145">
        <v>67.849999999999994</v>
      </c>
      <c r="J4145" t="s">
        <v>19</v>
      </c>
      <c r="K4145" t="s">
        <v>5674</v>
      </c>
      <c r="L4145" t="s">
        <v>21</v>
      </c>
    </row>
    <row r="4146" spans="1:12">
      <c r="A4146" t="s">
        <v>5675</v>
      </c>
      <c r="B4146" t="s">
        <v>5669</v>
      </c>
      <c r="C4146" t="s">
        <v>80</v>
      </c>
      <c r="D4146">
        <v>1957</v>
      </c>
      <c r="E4146" t="s">
        <v>23</v>
      </c>
      <c r="F4146" t="s">
        <v>24</v>
      </c>
      <c r="G4146" t="s">
        <v>25</v>
      </c>
      <c r="H4146" t="s">
        <v>26</v>
      </c>
      <c r="I4146">
        <v>1533070</v>
      </c>
      <c r="J4146" t="s">
        <v>27</v>
      </c>
      <c r="K4146" t="s">
        <v>5674</v>
      </c>
      <c r="L4146" t="s">
        <v>21</v>
      </c>
    </row>
    <row r="4147" spans="1:12">
      <c r="A4147" t="s">
        <v>5676</v>
      </c>
      <c r="B4147" t="s">
        <v>5669</v>
      </c>
      <c r="C4147" t="s">
        <v>80</v>
      </c>
      <c r="D4147">
        <v>1957</v>
      </c>
      <c r="E4147" t="s">
        <v>29</v>
      </c>
      <c r="F4147" t="s">
        <v>30</v>
      </c>
      <c r="G4147" t="s">
        <v>31</v>
      </c>
      <c r="H4147" t="s">
        <v>32</v>
      </c>
      <c r="I4147">
        <v>5862.276629</v>
      </c>
      <c r="J4147" t="s">
        <v>33</v>
      </c>
      <c r="K4147" t="s">
        <v>5674</v>
      </c>
      <c r="L4147" t="s">
        <v>21</v>
      </c>
    </row>
    <row r="4148" spans="1:12">
      <c r="A4148" t="s">
        <v>5677</v>
      </c>
      <c r="B4148" t="s">
        <v>5669</v>
      </c>
      <c r="C4148" t="s">
        <v>80</v>
      </c>
      <c r="D4148">
        <v>1962</v>
      </c>
      <c r="E4148" t="s">
        <v>15</v>
      </c>
      <c r="F4148" t="s">
        <v>16</v>
      </c>
      <c r="G4148" t="s">
        <v>17</v>
      </c>
      <c r="H4148" t="s">
        <v>18</v>
      </c>
      <c r="I4148">
        <v>69.150000000000006</v>
      </c>
      <c r="J4148" t="s">
        <v>19</v>
      </c>
      <c r="K4148" t="s">
        <v>5678</v>
      </c>
      <c r="L4148" t="s">
        <v>21</v>
      </c>
    </row>
    <row r="4149" spans="1:12">
      <c r="A4149" t="s">
        <v>5679</v>
      </c>
      <c r="B4149" t="s">
        <v>5669</v>
      </c>
      <c r="C4149" t="s">
        <v>80</v>
      </c>
      <c r="D4149">
        <v>1962</v>
      </c>
      <c r="E4149" t="s">
        <v>23</v>
      </c>
      <c r="F4149" t="s">
        <v>24</v>
      </c>
      <c r="G4149" t="s">
        <v>25</v>
      </c>
      <c r="H4149" t="s">
        <v>26</v>
      </c>
      <c r="I4149">
        <v>1582962</v>
      </c>
      <c r="J4149" t="s">
        <v>27</v>
      </c>
      <c r="K4149" t="s">
        <v>5678</v>
      </c>
      <c r="L4149" t="s">
        <v>21</v>
      </c>
    </row>
    <row r="4150" spans="1:12">
      <c r="A4150" t="s">
        <v>5680</v>
      </c>
      <c r="B4150" t="s">
        <v>5669</v>
      </c>
      <c r="C4150" t="s">
        <v>80</v>
      </c>
      <c r="D4150">
        <v>1962</v>
      </c>
      <c r="E4150" t="s">
        <v>29</v>
      </c>
      <c r="F4150" t="s">
        <v>30</v>
      </c>
      <c r="G4150" t="s">
        <v>31</v>
      </c>
      <c r="H4150" t="s">
        <v>32</v>
      </c>
      <c r="I4150">
        <v>7402.3033949999999</v>
      </c>
      <c r="J4150" t="s">
        <v>33</v>
      </c>
      <c r="K4150" t="s">
        <v>5678</v>
      </c>
      <c r="L4150" t="s">
        <v>21</v>
      </c>
    </row>
    <row r="4151" spans="1:12">
      <c r="A4151" t="s">
        <v>5681</v>
      </c>
      <c r="B4151" t="s">
        <v>5669</v>
      </c>
      <c r="C4151" t="s">
        <v>80</v>
      </c>
      <c r="D4151">
        <v>1967</v>
      </c>
      <c r="E4151" t="s">
        <v>15</v>
      </c>
      <c r="F4151" t="s">
        <v>16</v>
      </c>
      <c r="G4151" t="s">
        <v>17</v>
      </c>
      <c r="H4151" t="s">
        <v>18</v>
      </c>
      <c r="I4151">
        <v>69.180000000000007</v>
      </c>
      <c r="J4151" t="s">
        <v>19</v>
      </c>
      <c r="K4151" t="s">
        <v>5682</v>
      </c>
      <c r="L4151" t="s">
        <v>21</v>
      </c>
    </row>
    <row r="4152" spans="1:12">
      <c r="A4152" t="s">
        <v>5683</v>
      </c>
      <c r="B4152" t="s">
        <v>5669</v>
      </c>
      <c r="C4152" t="s">
        <v>80</v>
      </c>
      <c r="D4152">
        <v>1967</v>
      </c>
      <c r="E4152" t="s">
        <v>23</v>
      </c>
      <c r="F4152" t="s">
        <v>24</v>
      </c>
      <c r="G4152" t="s">
        <v>25</v>
      </c>
      <c r="H4152" t="s">
        <v>26</v>
      </c>
      <c r="I4152">
        <v>1646912</v>
      </c>
      <c r="J4152" t="s">
        <v>27</v>
      </c>
      <c r="K4152" t="s">
        <v>5682</v>
      </c>
      <c r="L4152" t="s">
        <v>21</v>
      </c>
    </row>
    <row r="4153" spans="1:12">
      <c r="A4153" t="s">
        <v>5684</v>
      </c>
      <c r="B4153" t="s">
        <v>5669</v>
      </c>
      <c r="C4153" t="s">
        <v>80</v>
      </c>
      <c r="D4153">
        <v>1967</v>
      </c>
      <c r="E4153" t="s">
        <v>29</v>
      </c>
      <c r="F4153" t="s">
        <v>30</v>
      </c>
      <c r="G4153" t="s">
        <v>31</v>
      </c>
      <c r="H4153" t="s">
        <v>32</v>
      </c>
      <c r="I4153">
        <v>9405.4893969999994</v>
      </c>
      <c r="J4153" t="s">
        <v>33</v>
      </c>
      <c r="K4153" t="s">
        <v>5682</v>
      </c>
      <c r="L4153" t="s">
        <v>21</v>
      </c>
    </row>
    <row r="4154" spans="1:12">
      <c r="A4154" t="s">
        <v>5685</v>
      </c>
      <c r="B4154" t="s">
        <v>5669</v>
      </c>
      <c r="C4154" t="s">
        <v>80</v>
      </c>
      <c r="D4154">
        <v>1972</v>
      </c>
      <c r="E4154" t="s">
        <v>15</v>
      </c>
      <c r="F4154" t="s">
        <v>16</v>
      </c>
      <c r="G4154" t="s">
        <v>17</v>
      </c>
      <c r="H4154" t="s">
        <v>18</v>
      </c>
      <c r="I4154">
        <v>69.819999999999993</v>
      </c>
      <c r="J4154" t="s">
        <v>19</v>
      </c>
      <c r="K4154" t="s">
        <v>5686</v>
      </c>
      <c r="L4154" t="s">
        <v>21</v>
      </c>
    </row>
    <row r="4155" spans="1:12">
      <c r="A4155" t="s">
        <v>5687</v>
      </c>
      <c r="B4155" t="s">
        <v>5669</v>
      </c>
      <c r="C4155" t="s">
        <v>80</v>
      </c>
      <c r="D4155">
        <v>1972</v>
      </c>
      <c r="E4155" t="s">
        <v>23</v>
      </c>
      <c r="F4155" t="s">
        <v>24</v>
      </c>
      <c r="G4155" t="s">
        <v>25</v>
      </c>
      <c r="H4155" t="s">
        <v>26</v>
      </c>
      <c r="I4155">
        <v>1694510</v>
      </c>
      <c r="J4155" t="s">
        <v>27</v>
      </c>
      <c r="K4155" t="s">
        <v>5686</v>
      </c>
      <c r="L4155" t="s">
        <v>21</v>
      </c>
    </row>
    <row r="4156" spans="1:12">
      <c r="A4156" t="s">
        <v>5688</v>
      </c>
      <c r="B4156" t="s">
        <v>5669</v>
      </c>
      <c r="C4156" t="s">
        <v>80</v>
      </c>
      <c r="D4156">
        <v>1972</v>
      </c>
      <c r="E4156" t="s">
        <v>29</v>
      </c>
      <c r="F4156" t="s">
        <v>30</v>
      </c>
      <c r="G4156" t="s">
        <v>31</v>
      </c>
      <c r="H4156" t="s">
        <v>32</v>
      </c>
      <c r="I4156">
        <v>12383.486199999999</v>
      </c>
      <c r="J4156" t="s">
        <v>33</v>
      </c>
      <c r="K4156" t="s">
        <v>5686</v>
      </c>
      <c r="L4156" t="s">
        <v>21</v>
      </c>
    </row>
    <row r="4157" spans="1:12">
      <c r="A4157" t="s">
        <v>5689</v>
      </c>
      <c r="B4157" t="s">
        <v>5669</v>
      </c>
      <c r="C4157" t="s">
        <v>80</v>
      </c>
      <c r="D4157">
        <v>1977</v>
      </c>
      <c r="E4157" t="s">
        <v>15</v>
      </c>
      <c r="F4157" t="s">
        <v>16</v>
      </c>
      <c r="G4157" t="s">
        <v>17</v>
      </c>
      <c r="H4157" t="s">
        <v>18</v>
      </c>
      <c r="I4157">
        <v>70.97</v>
      </c>
      <c r="J4157" t="s">
        <v>19</v>
      </c>
      <c r="K4157" t="s">
        <v>5690</v>
      </c>
      <c r="L4157" t="s">
        <v>21</v>
      </c>
    </row>
    <row r="4158" spans="1:12">
      <c r="A4158" t="s">
        <v>5691</v>
      </c>
      <c r="B4158" t="s">
        <v>5669</v>
      </c>
      <c r="C4158" t="s">
        <v>80</v>
      </c>
      <c r="D4158">
        <v>1977</v>
      </c>
      <c r="E4158" t="s">
        <v>23</v>
      </c>
      <c r="F4158" t="s">
        <v>24</v>
      </c>
      <c r="G4158" t="s">
        <v>25</v>
      </c>
      <c r="H4158" t="s">
        <v>26</v>
      </c>
      <c r="I4158">
        <v>1746919</v>
      </c>
      <c r="J4158" t="s">
        <v>27</v>
      </c>
      <c r="K4158" t="s">
        <v>5690</v>
      </c>
      <c r="L4158" t="s">
        <v>21</v>
      </c>
    </row>
    <row r="4159" spans="1:12">
      <c r="A4159" t="s">
        <v>5692</v>
      </c>
      <c r="B4159" t="s">
        <v>5669</v>
      </c>
      <c r="C4159" t="s">
        <v>80</v>
      </c>
      <c r="D4159">
        <v>1977</v>
      </c>
      <c r="E4159" t="s">
        <v>29</v>
      </c>
      <c r="F4159" t="s">
        <v>30</v>
      </c>
      <c r="G4159" t="s">
        <v>31</v>
      </c>
      <c r="H4159" t="s">
        <v>32</v>
      </c>
      <c r="I4159">
        <v>15277.0301699999</v>
      </c>
      <c r="J4159" t="s">
        <v>33</v>
      </c>
      <c r="K4159" t="s">
        <v>5690</v>
      </c>
      <c r="L4159" t="s">
        <v>21</v>
      </c>
    </row>
    <row r="4160" spans="1:12">
      <c r="A4160" t="s">
        <v>5693</v>
      </c>
      <c r="B4160" t="s">
        <v>5669</v>
      </c>
      <c r="C4160" t="s">
        <v>80</v>
      </c>
      <c r="D4160">
        <v>1982</v>
      </c>
      <c r="E4160" t="s">
        <v>15</v>
      </c>
      <c r="F4160" t="s">
        <v>16</v>
      </c>
      <c r="G4160" t="s">
        <v>17</v>
      </c>
      <c r="H4160" t="s">
        <v>18</v>
      </c>
      <c r="I4160">
        <v>71.063000000000002</v>
      </c>
      <c r="J4160" t="s">
        <v>19</v>
      </c>
      <c r="K4160" t="s">
        <v>5694</v>
      </c>
      <c r="L4160" t="s">
        <v>21</v>
      </c>
    </row>
    <row r="4161" spans="1:12">
      <c r="A4161" t="s">
        <v>5695</v>
      </c>
      <c r="B4161" t="s">
        <v>5669</v>
      </c>
      <c r="C4161" t="s">
        <v>80</v>
      </c>
      <c r="D4161">
        <v>1982</v>
      </c>
      <c r="E4161" t="s">
        <v>23</v>
      </c>
      <c r="F4161" t="s">
        <v>24</v>
      </c>
      <c r="G4161" t="s">
        <v>25</v>
      </c>
      <c r="H4161" t="s">
        <v>26</v>
      </c>
      <c r="I4161">
        <v>1861252</v>
      </c>
      <c r="J4161" t="s">
        <v>27</v>
      </c>
      <c r="K4161" t="s">
        <v>5694</v>
      </c>
      <c r="L4161" t="s">
        <v>21</v>
      </c>
    </row>
    <row r="4162" spans="1:12">
      <c r="A4162" t="s">
        <v>5696</v>
      </c>
      <c r="B4162" t="s">
        <v>5669</v>
      </c>
      <c r="C4162" t="s">
        <v>80</v>
      </c>
      <c r="D4162">
        <v>1982</v>
      </c>
      <c r="E4162" t="s">
        <v>29</v>
      </c>
      <c r="F4162" t="s">
        <v>30</v>
      </c>
      <c r="G4162" t="s">
        <v>31</v>
      </c>
      <c r="H4162" t="s">
        <v>32</v>
      </c>
      <c r="I4162">
        <v>17866.721750000001</v>
      </c>
      <c r="J4162" t="s">
        <v>33</v>
      </c>
      <c r="K4162" t="s">
        <v>5694</v>
      </c>
      <c r="L4162" t="s">
        <v>21</v>
      </c>
    </row>
    <row r="4163" spans="1:12">
      <c r="A4163" t="s">
        <v>5697</v>
      </c>
      <c r="B4163" t="s">
        <v>5669</v>
      </c>
      <c r="C4163" t="s">
        <v>80</v>
      </c>
      <c r="D4163">
        <v>1987</v>
      </c>
      <c r="E4163" t="s">
        <v>15</v>
      </c>
      <c r="F4163" t="s">
        <v>16</v>
      </c>
      <c r="G4163" t="s">
        <v>17</v>
      </c>
      <c r="H4163" t="s">
        <v>18</v>
      </c>
      <c r="I4163">
        <v>72.25</v>
      </c>
      <c r="J4163" t="s">
        <v>19</v>
      </c>
      <c r="K4163" t="s">
        <v>5698</v>
      </c>
      <c r="L4163" t="s">
        <v>21</v>
      </c>
    </row>
    <row r="4164" spans="1:12">
      <c r="A4164" t="s">
        <v>5699</v>
      </c>
      <c r="B4164" t="s">
        <v>5669</v>
      </c>
      <c r="C4164" t="s">
        <v>80</v>
      </c>
      <c r="D4164">
        <v>1987</v>
      </c>
      <c r="E4164" t="s">
        <v>23</v>
      </c>
      <c r="F4164" t="s">
        <v>24</v>
      </c>
      <c r="G4164" t="s">
        <v>25</v>
      </c>
      <c r="H4164" t="s">
        <v>26</v>
      </c>
      <c r="I4164">
        <v>1945870</v>
      </c>
      <c r="J4164" t="s">
        <v>27</v>
      </c>
      <c r="K4164" t="s">
        <v>5698</v>
      </c>
      <c r="L4164" t="s">
        <v>21</v>
      </c>
    </row>
    <row r="4165" spans="1:12">
      <c r="A4165" t="s">
        <v>5700</v>
      </c>
      <c r="B4165" t="s">
        <v>5669</v>
      </c>
      <c r="C4165" t="s">
        <v>80</v>
      </c>
      <c r="D4165">
        <v>1987</v>
      </c>
      <c r="E4165" t="s">
        <v>29</v>
      </c>
      <c r="F4165" t="s">
        <v>30</v>
      </c>
      <c r="G4165" t="s">
        <v>31</v>
      </c>
      <c r="H4165" t="s">
        <v>32</v>
      </c>
      <c r="I4165">
        <v>18678.534919999998</v>
      </c>
      <c r="J4165" t="s">
        <v>33</v>
      </c>
      <c r="K4165" t="s">
        <v>5698</v>
      </c>
      <c r="L4165" t="s">
        <v>21</v>
      </c>
    </row>
    <row r="4166" spans="1:12">
      <c r="A4166" t="s">
        <v>5701</v>
      </c>
      <c r="B4166" t="s">
        <v>5669</v>
      </c>
      <c r="C4166" t="s">
        <v>80</v>
      </c>
      <c r="D4166">
        <v>1992</v>
      </c>
      <c r="E4166" t="s">
        <v>15</v>
      </c>
      <c r="F4166" t="s">
        <v>16</v>
      </c>
      <c r="G4166" t="s">
        <v>17</v>
      </c>
      <c r="H4166" t="s">
        <v>18</v>
      </c>
      <c r="I4166">
        <v>73.64</v>
      </c>
      <c r="J4166" t="s">
        <v>19</v>
      </c>
      <c r="K4166" t="s">
        <v>5702</v>
      </c>
      <c r="L4166" t="s">
        <v>21</v>
      </c>
    </row>
    <row r="4167" spans="1:12">
      <c r="A4167" t="s">
        <v>5703</v>
      </c>
      <c r="B4167" t="s">
        <v>5669</v>
      </c>
      <c r="C4167" t="s">
        <v>80</v>
      </c>
      <c r="D4167">
        <v>1992</v>
      </c>
      <c r="E4167" t="s">
        <v>23</v>
      </c>
      <c r="F4167" t="s">
        <v>24</v>
      </c>
      <c r="G4167" t="s">
        <v>25</v>
      </c>
      <c r="H4167" t="s">
        <v>26</v>
      </c>
      <c r="I4167">
        <v>1999210</v>
      </c>
      <c r="J4167" t="s">
        <v>27</v>
      </c>
      <c r="K4167" t="s">
        <v>5702</v>
      </c>
      <c r="L4167" t="s">
        <v>21</v>
      </c>
    </row>
    <row r="4168" spans="1:12">
      <c r="A4168" t="s">
        <v>5704</v>
      </c>
      <c r="B4168" t="s">
        <v>5669</v>
      </c>
      <c r="C4168" t="s">
        <v>80</v>
      </c>
      <c r="D4168">
        <v>1992</v>
      </c>
      <c r="E4168" t="s">
        <v>29</v>
      </c>
      <c r="F4168" t="s">
        <v>30</v>
      </c>
      <c r="G4168" t="s">
        <v>31</v>
      </c>
      <c r="H4168" t="s">
        <v>32</v>
      </c>
      <c r="I4168">
        <v>14214.71681</v>
      </c>
      <c r="J4168" t="s">
        <v>33</v>
      </c>
      <c r="K4168" t="s">
        <v>5702</v>
      </c>
      <c r="L4168" t="s">
        <v>21</v>
      </c>
    </row>
    <row r="4169" spans="1:12">
      <c r="A4169" t="s">
        <v>5705</v>
      </c>
      <c r="B4169" t="s">
        <v>5669</v>
      </c>
      <c r="C4169" t="s">
        <v>80</v>
      </c>
      <c r="D4169">
        <v>1997</v>
      </c>
      <c r="E4169" t="s">
        <v>15</v>
      </c>
      <c r="F4169" t="s">
        <v>16</v>
      </c>
      <c r="G4169" t="s">
        <v>17</v>
      </c>
      <c r="H4169" t="s">
        <v>18</v>
      </c>
      <c r="I4169">
        <v>75.13</v>
      </c>
      <c r="J4169" t="s">
        <v>19</v>
      </c>
      <c r="K4169" t="s">
        <v>5706</v>
      </c>
      <c r="L4169" t="s">
        <v>21</v>
      </c>
    </row>
    <row r="4170" spans="1:12">
      <c r="A4170" t="s">
        <v>5707</v>
      </c>
      <c r="B4170" t="s">
        <v>5669</v>
      </c>
      <c r="C4170" t="s">
        <v>80</v>
      </c>
      <c r="D4170">
        <v>1997</v>
      </c>
      <c r="E4170" t="s">
        <v>23</v>
      </c>
      <c r="F4170" t="s">
        <v>24</v>
      </c>
      <c r="G4170" t="s">
        <v>25</v>
      </c>
      <c r="H4170" t="s">
        <v>26</v>
      </c>
      <c r="I4170">
        <v>2011612</v>
      </c>
      <c r="J4170" t="s">
        <v>27</v>
      </c>
      <c r="K4170" t="s">
        <v>5706</v>
      </c>
      <c r="L4170" t="s">
        <v>21</v>
      </c>
    </row>
    <row r="4171" spans="1:12">
      <c r="A4171" t="s">
        <v>5708</v>
      </c>
      <c r="B4171" t="s">
        <v>5669</v>
      </c>
      <c r="C4171" t="s">
        <v>80</v>
      </c>
      <c r="D4171">
        <v>1997</v>
      </c>
      <c r="E4171" t="s">
        <v>29</v>
      </c>
      <c r="F4171" t="s">
        <v>30</v>
      </c>
      <c r="G4171" t="s">
        <v>31</v>
      </c>
      <c r="H4171" t="s">
        <v>32</v>
      </c>
      <c r="I4171">
        <v>17161.107349999998</v>
      </c>
      <c r="J4171" t="s">
        <v>33</v>
      </c>
      <c r="K4171" t="s">
        <v>5706</v>
      </c>
      <c r="L4171" t="s">
        <v>21</v>
      </c>
    </row>
    <row r="4172" spans="1:12">
      <c r="A4172" t="s">
        <v>5709</v>
      </c>
      <c r="B4172" t="s">
        <v>5669</v>
      </c>
      <c r="C4172" t="s">
        <v>80</v>
      </c>
      <c r="D4172">
        <v>2002</v>
      </c>
      <c r="E4172" t="s">
        <v>15</v>
      </c>
      <c r="F4172" t="s">
        <v>16</v>
      </c>
      <c r="G4172" t="s">
        <v>17</v>
      </c>
      <c r="H4172" t="s">
        <v>18</v>
      </c>
      <c r="I4172">
        <v>76.66</v>
      </c>
      <c r="J4172" t="s">
        <v>19</v>
      </c>
      <c r="K4172" t="s">
        <v>5710</v>
      </c>
      <c r="L4172" t="s">
        <v>21</v>
      </c>
    </row>
    <row r="4173" spans="1:12">
      <c r="A4173" t="s">
        <v>5711</v>
      </c>
      <c r="B4173" t="s">
        <v>5669</v>
      </c>
      <c r="C4173" t="s">
        <v>80</v>
      </c>
      <c r="D4173">
        <v>2002</v>
      </c>
      <c r="E4173" t="s">
        <v>23</v>
      </c>
      <c r="F4173" t="s">
        <v>24</v>
      </c>
      <c r="G4173" t="s">
        <v>25</v>
      </c>
      <c r="H4173" t="s">
        <v>26</v>
      </c>
      <c r="I4173">
        <v>2011497</v>
      </c>
      <c r="J4173" t="s">
        <v>27</v>
      </c>
      <c r="K4173" t="s">
        <v>5710</v>
      </c>
      <c r="L4173" t="s">
        <v>21</v>
      </c>
    </row>
    <row r="4174" spans="1:12">
      <c r="A4174" t="s">
        <v>5712</v>
      </c>
      <c r="B4174" t="s">
        <v>5669</v>
      </c>
      <c r="C4174" t="s">
        <v>80</v>
      </c>
      <c r="D4174">
        <v>2002</v>
      </c>
      <c r="E4174" t="s">
        <v>29</v>
      </c>
      <c r="F4174" t="s">
        <v>30</v>
      </c>
      <c r="G4174" t="s">
        <v>31</v>
      </c>
      <c r="H4174" t="s">
        <v>32</v>
      </c>
      <c r="I4174">
        <v>20660.019359999998</v>
      </c>
      <c r="J4174" t="s">
        <v>33</v>
      </c>
      <c r="K4174" t="s">
        <v>5710</v>
      </c>
      <c r="L4174" t="s">
        <v>21</v>
      </c>
    </row>
    <row r="4175" spans="1:12">
      <c r="A4175" t="s">
        <v>5713</v>
      </c>
      <c r="B4175" t="s">
        <v>5669</v>
      </c>
      <c r="C4175" t="s">
        <v>80</v>
      </c>
      <c r="D4175">
        <v>2007</v>
      </c>
      <c r="E4175" t="s">
        <v>15</v>
      </c>
      <c r="F4175" t="s">
        <v>16</v>
      </c>
      <c r="G4175" t="s">
        <v>17</v>
      </c>
      <c r="H4175" t="s">
        <v>18</v>
      </c>
      <c r="I4175">
        <v>77.926000000000002</v>
      </c>
      <c r="J4175" t="s">
        <v>19</v>
      </c>
      <c r="K4175" t="s">
        <v>5714</v>
      </c>
      <c r="L4175" t="s">
        <v>21</v>
      </c>
    </row>
    <row r="4176" spans="1:12">
      <c r="A4176" t="s">
        <v>5715</v>
      </c>
      <c r="B4176" t="s">
        <v>5669</v>
      </c>
      <c r="C4176" t="s">
        <v>80</v>
      </c>
      <c r="D4176">
        <v>2007</v>
      </c>
      <c r="E4176" t="s">
        <v>23</v>
      </c>
      <c r="F4176" t="s">
        <v>24</v>
      </c>
      <c r="G4176" t="s">
        <v>25</v>
      </c>
      <c r="H4176" t="s">
        <v>26</v>
      </c>
      <c r="I4176">
        <v>2009245</v>
      </c>
      <c r="J4176" t="s">
        <v>27</v>
      </c>
      <c r="K4176" t="s">
        <v>5714</v>
      </c>
      <c r="L4176" t="s">
        <v>21</v>
      </c>
    </row>
    <row r="4177" spans="1:12">
      <c r="A4177" t="s">
        <v>5716</v>
      </c>
      <c r="B4177" t="s">
        <v>5669</v>
      </c>
      <c r="C4177" t="s">
        <v>80</v>
      </c>
      <c r="D4177">
        <v>2007</v>
      </c>
      <c r="E4177" t="s">
        <v>29</v>
      </c>
      <c r="F4177" t="s">
        <v>30</v>
      </c>
      <c r="G4177" t="s">
        <v>31</v>
      </c>
      <c r="H4177" t="s">
        <v>32</v>
      </c>
      <c r="I4177">
        <v>25768.257590000001</v>
      </c>
      <c r="J4177" t="s">
        <v>33</v>
      </c>
      <c r="K4177" t="s">
        <v>5714</v>
      </c>
      <c r="L4177" t="s">
        <v>21</v>
      </c>
    </row>
    <row r="4178" spans="1:12">
      <c r="A4178" t="s">
        <v>5717</v>
      </c>
      <c r="B4178" t="s">
        <v>5718</v>
      </c>
      <c r="C4178" t="s">
        <v>130</v>
      </c>
      <c r="D4178">
        <v>1952</v>
      </c>
      <c r="E4178" t="s">
        <v>15</v>
      </c>
      <c r="F4178" t="s">
        <v>16</v>
      </c>
      <c r="G4178" t="s">
        <v>17</v>
      </c>
      <c r="H4178" t="s">
        <v>18</v>
      </c>
      <c r="I4178">
        <v>32.978000000000002</v>
      </c>
      <c r="J4178" t="s">
        <v>19</v>
      </c>
      <c r="K4178" t="s">
        <v>5719</v>
      </c>
      <c r="L4178" t="s">
        <v>21</v>
      </c>
    </row>
    <row r="4179" spans="1:12">
      <c r="A4179" t="s">
        <v>5720</v>
      </c>
      <c r="B4179" t="s">
        <v>5718</v>
      </c>
      <c r="C4179" t="s">
        <v>130</v>
      </c>
      <c r="D4179">
        <v>1952</v>
      </c>
      <c r="E4179" t="s">
        <v>23</v>
      </c>
      <c r="F4179" t="s">
        <v>24</v>
      </c>
      <c r="G4179" t="s">
        <v>25</v>
      </c>
      <c r="H4179" t="s">
        <v>26</v>
      </c>
      <c r="I4179">
        <v>2526994</v>
      </c>
      <c r="J4179" t="s">
        <v>27</v>
      </c>
      <c r="K4179" t="s">
        <v>5719</v>
      </c>
      <c r="L4179" t="s">
        <v>21</v>
      </c>
    </row>
    <row r="4180" spans="1:12">
      <c r="A4180" t="s">
        <v>5721</v>
      </c>
      <c r="B4180" t="s">
        <v>5718</v>
      </c>
      <c r="C4180" t="s">
        <v>130</v>
      </c>
      <c r="D4180">
        <v>1952</v>
      </c>
      <c r="E4180" t="s">
        <v>29</v>
      </c>
      <c r="F4180" t="s">
        <v>30</v>
      </c>
      <c r="G4180" t="s">
        <v>31</v>
      </c>
      <c r="H4180" t="s">
        <v>32</v>
      </c>
      <c r="I4180">
        <v>1135.7498419999999</v>
      </c>
      <c r="J4180" t="s">
        <v>33</v>
      </c>
      <c r="K4180" t="s">
        <v>5719</v>
      </c>
      <c r="L4180" t="s">
        <v>21</v>
      </c>
    </row>
    <row r="4181" spans="1:12">
      <c r="A4181" t="s">
        <v>5722</v>
      </c>
      <c r="B4181" t="s">
        <v>5718</v>
      </c>
      <c r="C4181" t="s">
        <v>130</v>
      </c>
      <c r="D4181">
        <v>1957</v>
      </c>
      <c r="E4181" t="s">
        <v>15</v>
      </c>
      <c r="F4181" t="s">
        <v>16</v>
      </c>
      <c r="G4181" t="s">
        <v>17</v>
      </c>
      <c r="H4181" t="s">
        <v>18</v>
      </c>
      <c r="I4181">
        <v>34.976999999999997</v>
      </c>
      <c r="J4181" t="s">
        <v>19</v>
      </c>
      <c r="K4181" t="s">
        <v>5723</v>
      </c>
      <c r="L4181" t="s">
        <v>21</v>
      </c>
    </row>
    <row r="4182" spans="1:12">
      <c r="A4182" t="s">
        <v>5724</v>
      </c>
      <c r="B4182" t="s">
        <v>5718</v>
      </c>
      <c r="C4182" t="s">
        <v>130</v>
      </c>
      <c r="D4182">
        <v>1957</v>
      </c>
      <c r="E4182" t="s">
        <v>23</v>
      </c>
      <c r="F4182" t="s">
        <v>24</v>
      </c>
      <c r="G4182" t="s">
        <v>25</v>
      </c>
      <c r="H4182" t="s">
        <v>26</v>
      </c>
      <c r="I4182">
        <v>2780415</v>
      </c>
      <c r="J4182" t="s">
        <v>27</v>
      </c>
      <c r="K4182" t="s">
        <v>5723</v>
      </c>
      <c r="L4182" t="s">
        <v>21</v>
      </c>
    </row>
    <row r="4183" spans="1:12">
      <c r="A4183" t="s">
        <v>5725</v>
      </c>
      <c r="B4183" t="s">
        <v>5718</v>
      </c>
      <c r="C4183" t="s">
        <v>130</v>
      </c>
      <c r="D4183">
        <v>1957</v>
      </c>
      <c r="E4183" t="s">
        <v>29</v>
      </c>
      <c r="F4183" t="s">
        <v>30</v>
      </c>
      <c r="G4183" t="s">
        <v>31</v>
      </c>
      <c r="H4183" t="s">
        <v>32</v>
      </c>
      <c r="I4183">
        <v>1258.1474129999999</v>
      </c>
      <c r="J4183" t="s">
        <v>33</v>
      </c>
      <c r="K4183" t="s">
        <v>5723</v>
      </c>
      <c r="L4183" t="s">
        <v>21</v>
      </c>
    </row>
    <row r="4184" spans="1:12">
      <c r="A4184" t="s">
        <v>5726</v>
      </c>
      <c r="B4184" t="s">
        <v>5718</v>
      </c>
      <c r="C4184" t="s">
        <v>130</v>
      </c>
      <c r="D4184">
        <v>1962</v>
      </c>
      <c r="E4184" t="s">
        <v>15</v>
      </c>
      <c r="F4184" t="s">
        <v>16</v>
      </c>
      <c r="G4184" t="s">
        <v>17</v>
      </c>
      <c r="H4184" t="s">
        <v>18</v>
      </c>
      <c r="I4184">
        <v>36.981000000000002</v>
      </c>
      <c r="J4184" t="s">
        <v>19</v>
      </c>
      <c r="K4184" t="s">
        <v>5727</v>
      </c>
      <c r="L4184" t="s">
        <v>21</v>
      </c>
    </row>
    <row r="4185" spans="1:12">
      <c r="A4185" t="s">
        <v>5728</v>
      </c>
      <c r="B4185" t="s">
        <v>5718</v>
      </c>
      <c r="C4185" t="s">
        <v>130</v>
      </c>
      <c r="D4185">
        <v>1962</v>
      </c>
      <c r="E4185" t="s">
        <v>23</v>
      </c>
      <c r="F4185" t="s">
        <v>24</v>
      </c>
      <c r="G4185" t="s">
        <v>25</v>
      </c>
      <c r="H4185" t="s">
        <v>26</v>
      </c>
      <c r="I4185">
        <v>3080153</v>
      </c>
      <c r="J4185" t="s">
        <v>27</v>
      </c>
      <c r="K4185" t="s">
        <v>5727</v>
      </c>
      <c r="L4185" t="s">
        <v>21</v>
      </c>
    </row>
    <row r="4186" spans="1:12">
      <c r="A4186" t="s">
        <v>5729</v>
      </c>
      <c r="B4186" t="s">
        <v>5718</v>
      </c>
      <c r="C4186" t="s">
        <v>130</v>
      </c>
      <c r="D4186">
        <v>1962</v>
      </c>
      <c r="E4186" t="s">
        <v>29</v>
      </c>
      <c r="F4186" t="s">
        <v>30</v>
      </c>
      <c r="G4186" t="s">
        <v>31</v>
      </c>
      <c r="H4186" t="s">
        <v>32</v>
      </c>
      <c r="I4186">
        <v>1369.4883359999999</v>
      </c>
      <c r="J4186" t="s">
        <v>33</v>
      </c>
      <c r="K4186" t="s">
        <v>5727</v>
      </c>
      <c r="L4186" t="s">
        <v>21</v>
      </c>
    </row>
    <row r="4187" spans="1:12">
      <c r="A4187" t="s">
        <v>5730</v>
      </c>
      <c r="B4187" t="s">
        <v>5718</v>
      </c>
      <c r="C4187" t="s">
        <v>130</v>
      </c>
      <c r="D4187">
        <v>1967</v>
      </c>
      <c r="E4187" t="s">
        <v>15</v>
      </c>
      <c r="F4187" t="s">
        <v>16</v>
      </c>
      <c r="G4187" t="s">
        <v>17</v>
      </c>
      <c r="H4187" t="s">
        <v>18</v>
      </c>
      <c r="I4187">
        <v>38.976999999999997</v>
      </c>
      <c r="J4187" t="s">
        <v>19</v>
      </c>
      <c r="K4187" t="s">
        <v>5731</v>
      </c>
      <c r="L4187" t="s">
        <v>21</v>
      </c>
    </row>
    <row r="4188" spans="1:12">
      <c r="A4188" t="s">
        <v>5732</v>
      </c>
      <c r="B4188" t="s">
        <v>5718</v>
      </c>
      <c r="C4188" t="s">
        <v>130</v>
      </c>
      <c r="D4188">
        <v>1967</v>
      </c>
      <c r="E4188" t="s">
        <v>23</v>
      </c>
      <c r="F4188" t="s">
        <v>24</v>
      </c>
      <c r="G4188" t="s">
        <v>25</v>
      </c>
      <c r="H4188" t="s">
        <v>26</v>
      </c>
      <c r="I4188">
        <v>3428839</v>
      </c>
      <c r="J4188" t="s">
        <v>27</v>
      </c>
      <c r="K4188" t="s">
        <v>5731</v>
      </c>
      <c r="L4188" t="s">
        <v>21</v>
      </c>
    </row>
    <row r="4189" spans="1:12">
      <c r="A4189" t="s">
        <v>5733</v>
      </c>
      <c r="B4189" t="s">
        <v>5718</v>
      </c>
      <c r="C4189" t="s">
        <v>130</v>
      </c>
      <c r="D4189">
        <v>1967</v>
      </c>
      <c r="E4189" t="s">
        <v>29</v>
      </c>
      <c r="F4189" t="s">
        <v>30</v>
      </c>
      <c r="G4189" t="s">
        <v>31</v>
      </c>
      <c r="H4189" t="s">
        <v>32</v>
      </c>
      <c r="I4189">
        <v>1284.7331799999999</v>
      </c>
      <c r="J4189" t="s">
        <v>33</v>
      </c>
      <c r="K4189" t="s">
        <v>5731</v>
      </c>
      <c r="L4189" t="s">
        <v>21</v>
      </c>
    </row>
    <row r="4190" spans="1:12">
      <c r="A4190" t="s">
        <v>5734</v>
      </c>
      <c r="B4190" t="s">
        <v>5718</v>
      </c>
      <c r="C4190" t="s">
        <v>130</v>
      </c>
      <c r="D4190">
        <v>1972</v>
      </c>
      <c r="E4190" t="s">
        <v>15</v>
      </c>
      <c r="F4190" t="s">
        <v>16</v>
      </c>
      <c r="G4190" t="s">
        <v>17</v>
      </c>
      <c r="H4190" t="s">
        <v>18</v>
      </c>
      <c r="I4190">
        <v>40.972999999999999</v>
      </c>
      <c r="J4190" t="s">
        <v>19</v>
      </c>
      <c r="K4190" t="s">
        <v>5735</v>
      </c>
      <c r="L4190" t="s">
        <v>21</v>
      </c>
    </row>
    <row r="4191" spans="1:12">
      <c r="A4191" t="s">
        <v>5736</v>
      </c>
      <c r="B4191" t="s">
        <v>5718</v>
      </c>
      <c r="C4191" t="s">
        <v>130</v>
      </c>
      <c r="D4191">
        <v>1972</v>
      </c>
      <c r="E4191" t="s">
        <v>23</v>
      </c>
      <c r="F4191" t="s">
        <v>24</v>
      </c>
      <c r="G4191" t="s">
        <v>25</v>
      </c>
      <c r="H4191" t="s">
        <v>26</v>
      </c>
      <c r="I4191">
        <v>3840161</v>
      </c>
      <c r="J4191" t="s">
        <v>27</v>
      </c>
      <c r="K4191" t="s">
        <v>5735</v>
      </c>
      <c r="L4191" t="s">
        <v>21</v>
      </c>
    </row>
    <row r="4192" spans="1:12">
      <c r="A4192" t="s">
        <v>5737</v>
      </c>
      <c r="B4192" t="s">
        <v>5718</v>
      </c>
      <c r="C4192" t="s">
        <v>130</v>
      </c>
      <c r="D4192">
        <v>1972</v>
      </c>
      <c r="E4192" t="s">
        <v>29</v>
      </c>
      <c r="F4192" t="s">
        <v>30</v>
      </c>
      <c r="G4192" t="s">
        <v>31</v>
      </c>
      <c r="H4192" t="s">
        <v>32</v>
      </c>
      <c r="I4192">
        <v>1254.576127</v>
      </c>
      <c r="J4192" t="s">
        <v>33</v>
      </c>
      <c r="K4192" t="s">
        <v>5735</v>
      </c>
      <c r="L4192" t="s">
        <v>21</v>
      </c>
    </row>
    <row r="4193" spans="1:12">
      <c r="A4193" t="s">
        <v>5738</v>
      </c>
      <c r="B4193" t="s">
        <v>5718</v>
      </c>
      <c r="C4193" t="s">
        <v>130</v>
      </c>
      <c r="D4193">
        <v>1977</v>
      </c>
      <c r="E4193" t="s">
        <v>15</v>
      </c>
      <c r="F4193" t="s">
        <v>16</v>
      </c>
      <c r="G4193" t="s">
        <v>17</v>
      </c>
      <c r="H4193" t="s">
        <v>18</v>
      </c>
      <c r="I4193">
        <v>41.973999999999997</v>
      </c>
      <c r="J4193" t="s">
        <v>19</v>
      </c>
      <c r="K4193" t="s">
        <v>5739</v>
      </c>
      <c r="L4193" t="s">
        <v>21</v>
      </c>
    </row>
    <row r="4194" spans="1:12">
      <c r="A4194" t="s">
        <v>5740</v>
      </c>
      <c r="B4194" t="s">
        <v>5718</v>
      </c>
      <c r="C4194" t="s">
        <v>130</v>
      </c>
      <c r="D4194">
        <v>1977</v>
      </c>
      <c r="E4194" t="s">
        <v>23</v>
      </c>
      <c r="F4194" t="s">
        <v>24</v>
      </c>
      <c r="G4194" t="s">
        <v>25</v>
      </c>
      <c r="H4194" t="s">
        <v>26</v>
      </c>
      <c r="I4194">
        <v>4353666</v>
      </c>
      <c r="J4194" t="s">
        <v>27</v>
      </c>
      <c r="K4194" t="s">
        <v>5739</v>
      </c>
      <c r="L4194" t="s">
        <v>21</v>
      </c>
    </row>
    <row r="4195" spans="1:12">
      <c r="A4195" t="s">
        <v>5741</v>
      </c>
      <c r="B4195" t="s">
        <v>5718</v>
      </c>
      <c r="C4195" t="s">
        <v>130</v>
      </c>
      <c r="D4195">
        <v>1977</v>
      </c>
      <c r="E4195" t="s">
        <v>29</v>
      </c>
      <c r="F4195" t="s">
        <v>30</v>
      </c>
      <c r="G4195" t="s">
        <v>31</v>
      </c>
      <c r="H4195" t="s">
        <v>32</v>
      </c>
      <c r="I4195">
        <v>1450.9925129999999</v>
      </c>
      <c r="J4195" t="s">
        <v>33</v>
      </c>
      <c r="K4195" t="s">
        <v>5739</v>
      </c>
      <c r="L4195" t="s">
        <v>21</v>
      </c>
    </row>
    <row r="4196" spans="1:12">
      <c r="A4196" t="s">
        <v>5742</v>
      </c>
      <c r="B4196" t="s">
        <v>5718</v>
      </c>
      <c r="C4196" t="s">
        <v>130</v>
      </c>
      <c r="D4196">
        <v>1982</v>
      </c>
      <c r="E4196" t="s">
        <v>15</v>
      </c>
      <c r="F4196" t="s">
        <v>16</v>
      </c>
      <c r="G4196" t="s">
        <v>17</v>
      </c>
      <c r="H4196" t="s">
        <v>18</v>
      </c>
      <c r="I4196">
        <v>42.954999999999998</v>
      </c>
      <c r="J4196" t="s">
        <v>19</v>
      </c>
      <c r="K4196" t="s">
        <v>5743</v>
      </c>
      <c r="L4196" t="s">
        <v>21</v>
      </c>
    </row>
    <row r="4197" spans="1:12">
      <c r="A4197" t="s">
        <v>5744</v>
      </c>
      <c r="B4197" t="s">
        <v>5718</v>
      </c>
      <c r="C4197" t="s">
        <v>130</v>
      </c>
      <c r="D4197">
        <v>1982</v>
      </c>
      <c r="E4197" t="s">
        <v>23</v>
      </c>
      <c r="F4197" t="s">
        <v>24</v>
      </c>
      <c r="G4197" t="s">
        <v>25</v>
      </c>
      <c r="H4197" t="s">
        <v>26</v>
      </c>
      <c r="I4197">
        <v>5828892</v>
      </c>
      <c r="J4197" t="s">
        <v>27</v>
      </c>
      <c r="K4197" t="s">
        <v>5743</v>
      </c>
      <c r="L4197" t="s">
        <v>21</v>
      </c>
    </row>
    <row r="4198" spans="1:12">
      <c r="A4198" t="s">
        <v>5745</v>
      </c>
      <c r="B4198" t="s">
        <v>5718</v>
      </c>
      <c r="C4198" t="s">
        <v>130</v>
      </c>
      <c r="D4198">
        <v>1982</v>
      </c>
      <c r="E4198" t="s">
        <v>29</v>
      </c>
      <c r="F4198" t="s">
        <v>30</v>
      </c>
      <c r="G4198" t="s">
        <v>31</v>
      </c>
      <c r="H4198" t="s">
        <v>32</v>
      </c>
      <c r="I4198">
        <v>1176.8070310000001</v>
      </c>
      <c r="J4198" t="s">
        <v>33</v>
      </c>
      <c r="K4198" t="s">
        <v>5743</v>
      </c>
      <c r="L4198" t="s">
        <v>21</v>
      </c>
    </row>
    <row r="4199" spans="1:12">
      <c r="A4199" t="s">
        <v>5746</v>
      </c>
      <c r="B4199" t="s">
        <v>5718</v>
      </c>
      <c r="C4199" t="s">
        <v>130</v>
      </c>
      <c r="D4199">
        <v>1987</v>
      </c>
      <c r="E4199" t="s">
        <v>15</v>
      </c>
      <c r="F4199" t="s">
        <v>16</v>
      </c>
      <c r="G4199" t="s">
        <v>17</v>
      </c>
      <c r="H4199" t="s">
        <v>18</v>
      </c>
      <c r="I4199">
        <v>44.500999999999998</v>
      </c>
      <c r="J4199" t="s">
        <v>19</v>
      </c>
      <c r="K4199" t="s">
        <v>5747</v>
      </c>
      <c r="L4199" t="s">
        <v>21</v>
      </c>
    </row>
    <row r="4200" spans="1:12">
      <c r="A4200" t="s">
        <v>5748</v>
      </c>
      <c r="B4200" t="s">
        <v>5718</v>
      </c>
      <c r="C4200" t="s">
        <v>130</v>
      </c>
      <c r="D4200">
        <v>1987</v>
      </c>
      <c r="E4200" t="s">
        <v>23</v>
      </c>
      <c r="F4200" t="s">
        <v>24</v>
      </c>
      <c r="G4200" t="s">
        <v>25</v>
      </c>
      <c r="H4200" t="s">
        <v>26</v>
      </c>
      <c r="I4200">
        <v>6921858</v>
      </c>
      <c r="J4200" t="s">
        <v>27</v>
      </c>
      <c r="K4200" t="s">
        <v>5747</v>
      </c>
      <c r="L4200" t="s">
        <v>21</v>
      </c>
    </row>
    <row r="4201" spans="1:12">
      <c r="A4201" t="s">
        <v>5749</v>
      </c>
      <c r="B4201" t="s">
        <v>5718</v>
      </c>
      <c r="C4201" t="s">
        <v>130</v>
      </c>
      <c r="D4201">
        <v>1987</v>
      </c>
      <c r="E4201" t="s">
        <v>29</v>
      </c>
      <c r="F4201" t="s">
        <v>30</v>
      </c>
      <c r="G4201" t="s">
        <v>31</v>
      </c>
      <c r="H4201" t="s">
        <v>32</v>
      </c>
      <c r="I4201">
        <v>1093.2449630000001</v>
      </c>
      <c r="J4201" t="s">
        <v>33</v>
      </c>
      <c r="K4201" t="s">
        <v>5747</v>
      </c>
      <c r="L4201" t="s">
        <v>21</v>
      </c>
    </row>
    <row r="4202" spans="1:12">
      <c r="A4202" t="s">
        <v>5750</v>
      </c>
      <c r="B4202" t="s">
        <v>5718</v>
      </c>
      <c r="C4202" t="s">
        <v>130</v>
      </c>
      <c r="D4202">
        <v>1992</v>
      </c>
      <c r="E4202" t="s">
        <v>15</v>
      </c>
      <c r="F4202" t="s">
        <v>16</v>
      </c>
      <c r="G4202" t="s">
        <v>17</v>
      </c>
      <c r="H4202" t="s">
        <v>18</v>
      </c>
      <c r="I4202">
        <v>39.658000000000001</v>
      </c>
      <c r="J4202" t="s">
        <v>19</v>
      </c>
      <c r="K4202" t="s">
        <v>5751</v>
      </c>
      <c r="L4202" t="s">
        <v>21</v>
      </c>
    </row>
    <row r="4203" spans="1:12">
      <c r="A4203" t="s">
        <v>5752</v>
      </c>
      <c r="B4203" t="s">
        <v>5718</v>
      </c>
      <c r="C4203" t="s">
        <v>130</v>
      </c>
      <c r="D4203">
        <v>1992</v>
      </c>
      <c r="E4203" t="s">
        <v>23</v>
      </c>
      <c r="F4203" t="s">
        <v>24</v>
      </c>
      <c r="G4203" t="s">
        <v>25</v>
      </c>
      <c r="H4203" t="s">
        <v>26</v>
      </c>
      <c r="I4203">
        <v>6099799</v>
      </c>
      <c r="J4203" t="s">
        <v>27</v>
      </c>
      <c r="K4203" t="s">
        <v>5751</v>
      </c>
      <c r="L4203" t="s">
        <v>21</v>
      </c>
    </row>
    <row r="4204" spans="1:12">
      <c r="A4204" t="s">
        <v>5753</v>
      </c>
      <c r="B4204" t="s">
        <v>5718</v>
      </c>
      <c r="C4204" t="s">
        <v>130</v>
      </c>
      <c r="D4204">
        <v>1992</v>
      </c>
      <c r="E4204" t="s">
        <v>29</v>
      </c>
      <c r="F4204" t="s">
        <v>30</v>
      </c>
      <c r="G4204" t="s">
        <v>31</v>
      </c>
      <c r="H4204" t="s">
        <v>32</v>
      </c>
      <c r="I4204">
        <v>926.96029639999995</v>
      </c>
      <c r="J4204" t="s">
        <v>33</v>
      </c>
      <c r="K4204" t="s">
        <v>5751</v>
      </c>
      <c r="L4204" t="s">
        <v>21</v>
      </c>
    </row>
    <row r="4205" spans="1:12">
      <c r="A4205" t="s">
        <v>5754</v>
      </c>
      <c r="B4205" t="s">
        <v>5718</v>
      </c>
      <c r="C4205" t="s">
        <v>130</v>
      </c>
      <c r="D4205">
        <v>1997</v>
      </c>
      <c r="E4205" t="s">
        <v>15</v>
      </c>
      <c r="F4205" t="s">
        <v>16</v>
      </c>
      <c r="G4205" t="s">
        <v>17</v>
      </c>
      <c r="H4205" t="s">
        <v>18</v>
      </c>
      <c r="I4205">
        <v>43.795000000000002</v>
      </c>
      <c r="J4205" t="s">
        <v>19</v>
      </c>
      <c r="K4205" t="s">
        <v>5755</v>
      </c>
      <c r="L4205" t="s">
        <v>21</v>
      </c>
    </row>
    <row r="4206" spans="1:12">
      <c r="A4206" t="s">
        <v>5756</v>
      </c>
      <c r="B4206" t="s">
        <v>5718</v>
      </c>
      <c r="C4206" t="s">
        <v>130</v>
      </c>
      <c r="D4206">
        <v>1997</v>
      </c>
      <c r="E4206" t="s">
        <v>23</v>
      </c>
      <c r="F4206" t="s">
        <v>24</v>
      </c>
      <c r="G4206" t="s">
        <v>25</v>
      </c>
      <c r="H4206" t="s">
        <v>26</v>
      </c>
      <c r="I4206">
        <v>6633514</v>
      </c>
      <c r="J4206" t="s">
        <v>27</v>
      </c>
      <c r="K4206" t="s">
        <v>5755</v>
      </c>
      <c r="L4206" t="s">
        <v>21</v>
      </c>
    </row>
    <row r="4207" spans="1:12">
      <c r="A4207" t="s">
        <v>5757</v>
      </c>
      <c r="B4207" t="s">
        <v>5718</v>
      </c>
      <c r="C4207" t="s">
        <v>130</v>
      </c>
      <c r="D4207">
        <v>1997</v>
      </c>
      <c r="E4207" t="s">
        <v>29</v>
      </c>
      <c r="F4207" t="s">
        <v>30</v>
      </c>
      <c r="G4207" t="s">
        <v>31</v>
      </c>
      <c r="H4207" t="s">
        <v>32</v>
      </c>
      <c r="I4207">
        <v>930.59642840000004</v>
      </c>
      <c r="J4207" t="s">
        <v>33</v>
      </c>
      <c r="K4207" t="s">
        <v>5755</v>
      </c>
      <c r="L4207" t="s">
        <v>21</v>
      </c>
    </row>
    <row r="4208" spans="1:12">
      <c r="A4208" t="s">
        <v>5758</v>
      </c>
      <c r="B4208" t="s">
        <v>5718</v>
      </c>
      <c r="C4208" t="s">
        <v>130</v>
      </c>
      <c r="D4208">
        <v>2002</v>
      </c>
      <c r="E4208" t="s">
        <v>15</v>
      </c>
      <c r="F4208" t="s">
        <v>16</v>
      </c>
      <c r="G4208" t="s">
        <v>17</v>
      </c>
      <c r="H4208" t="s">
        <v>18</v>
      </c>
      <c r="I4208">
        <v>45.936</v>
      </c>
      <c r="J4208" t="s">
        <v>19</v>
      </c>
      <c r="K4208" t="s">
        <v>5759</v>
      </c>
      <c r="L4208" t="s">
        <v>21</v>
      </c>
    </row>
    <row r="4209" spans="1:12">
      <c r="A4209" t="s">
        <v>5760</v>
      </c>
      <c r="B4209" t="s">
        <v>5718</v>
      </c>
      <c r="C4209" t="s">
        <v>130</v>
      </c>
      <c r="D4209">
        <v>2002</v>
      </c>
      <c r="E4209" t="s">
        <v>23</v>
      </c>
      <c r="F4209" t="s">
        <v>24</v>
      </c>
      <c r="G4209" t="s">
        <v>25</v>
      </c>
      <c r="H4209" t="s">
        <v>26</v>
      </c>
      <c r="I4209">
        <v>7753310</v>
      </c>
      <c r="J4209" t="s">
        <v>27</v>
      </c>
      <c r="K4209" t="s">
        <v>5759</v>
      </c>
      <c r="L4209" t="s">
        <v>21</v>
      </c>
    </row>
    <row r="4210" spans="1:12">
      <c r="A4210" t="s">
        <v>5761</v>
      </c>
      <c r="B4210" t="s">
        <v>5718</v>
      </c>
      <c r="C4210" t="s">
        <v>130</v>
      </c>
      <c r="D4210">
        <v>2002</v>
      </c>
      <c r="E4210" t="s">
        <v>29</v>
      </c>
      <c r="F4210" t="s">
        <v>30</v>
      </c>
      <c r="G4210" t="s">
        <v>31</v>
      </c>
      <c r="H4210" t="s">
        <v>32</v>
      </c>
      <c r="I4210">
        <v>882.08182179999994</v>
      </c>
      <c r="J4210" t="s">
        <v>33</v>
      </c>
      <c r="K4210" t="s">
        <v>5759</v>
      </c>
      <c r="L4210" t="s">
        <v>21</v>
      </c>
    </row>
    <row r="4211" spans="1:12">
      <c r="A4211" t="s">
        <v>5762</v>
      </c>
      <c r="B4211" t="s">
        <v>5718</v>
      </c>
      <c r="C4211" t="s">
        <v>130</v>
      </c>
      <c r="D4211">
        <v>2007</v>
      </c>
      <c r="E4211" t="s">
        <v>15</v>
      </c>
      <c r="F4211" t="s">
        <v>16</v>
      </c>
      <c r="G4211" t="s">
        <v>17</v>
      </c>
      <c r="H4211" t="s">
        <v>18</v>
      </c>
      <c r="I4211">
        <v>48.158999999999999</v>
      </c>
      <c r="J4211" t="s">
        <v>19</v>
      </c>
      <c r="K4211" t="s">
        <v>5763</v>
      </c>
      <c r="L4211" t="s">
        <v>21</v>
      </c>
    </row>
    <row r="4212" spans="1:12">
      <c r="A4212" t="s">
        <v>5764</v>
      </c>
      <c r="B4212" t="s">
        <v>5718</v>
      </c>
      <c r="C4212" t="s">
        <v>130</v>
      </c>
      <c r="D4212">
        <v>2007</v>
      </c>
      <c r="E4212" t="s">
        <v>23</v>
      </c>
      <c r="F4212" t="s">
        <v>24</v>
      </c>
      <c r="G4212" t="s">
        <v>25</v>
      </c>
      <c r="H4212" t="s">
        <v>26</v>
      </c>
      <c r="I4212">
        <v>9118773</v>
      </c>
      <c r="J4212" t="s">
        <v>27</v>
      </c>
      <c r="K4212" t="s">
        <v>5763</v>
      </c>
      <c r="L4212" t="s">
        <v>21</v>
      </c>
    </row>
    <row r="4213" spans="1:12">
      <c r="A4213" t="s">
        <v>5765</v>
      </c>
      <c r="B4213" t="s">
        <v>5718</v>
      </c>
      <c r="C4213" t="s">
        <v>130</v>
      </c>
      <c r="D4213">
        <v>2007</v>
      </c>
      <c r="E4213" t="s">
        <v>29</v>
      </c>
      <c r="F4213" t="s">
        <v>30</v>
      </c>
      <c r="G4213" t="s">
        <v>31</v>
      </c>
      <c r="H4213" t="s">
        <v>32</v>
      </c>
      <c r="I4213">
        <v>926.14106830000003</v>
      </c>
      <c r="J4213" t="s">
        <v>33</v>
      </c>
      <c r="K4213" t="s">
        <v>5763</v>
      </c>
      <c r="L4213" t="s">
        <v>21</v>
      </c>
    </row>
    <row r="4214" spans="1:12">
      <c r="A4214" t="s">
        <v>5766</v>
      </c>
      <c r="B4214" t="s">
        <v>5767</v>
      </c>
      <c r="C4214" t="s">
        <v>130</v>
      </c>
      <c r="D4214">
        <v>1952</v>
      </c>
      <c r="E4214" t="s">
        <v>15</v>
      </c>
      <c r="F4214" t="s">
        <v>16</v>
      </c>
      <c r="G4214" t="s">
        <v>17</v>
      </c>
      <c r="H4214" t="s">
        <v>18</v>
      </c>
      <c r="I4214">
        <v>45.008999999999901</v>
      </c>
      <c r="J4214" t="s">
        <v>19</v>
      </c>
      <c r="K4214" t="s">
        <v>5768</v>
      </c>
      <c r="L4214" t="s">
        <v>21</v>
      </c>
    </row>
    <row r="4215" spans="1:12">
      <c r="A4215" t="s">
        <v>5769</v>
      </c>
      <c r="B4215" t="s">
        <v>5767</v>
      </c>
      <c r="C4215" t="s">
        <v>130</v>
      </c>
      <c r="D4215">
        <v>1952</v>
      </c>
      <c r="E4215" t="s">
        <v>23</v>
      </c>
      <c r="F4215" t="s">
        <v>24</v>
      </c>
      <c r="G4215" t="s">
        <v>25</v>
      </c>
      <c r="H4215" t="s">
        <v>26</v>
      </c>
      <c r="I4215">
        <v>14264935</v>
      </c>
      <c r="J4215" t="s">
        <v>27</v>
      </c>
      <c r="K4215" t="s">
        <v>5768</v>
      </c>
      <c r="L4215" t="s">
        <v>21</v>
      </c>
    </row>
    <row r="4216" spans="1:12">
      <c r="A4216" t="s">
        <v>5770</v>
      </c>
      <c r="B4216" t="s">
        <v>5767</v>
      </c>
      <c r="C4216" t="s">
        <v>130</v>
      </c>
      <c r="D4216">
        <v>1952</v>
      </c>
      <c r="E4216" t="s">
        <v>29</v>
      </c>
      <c r="F4216" t="s">
        <v>30</v>
      </c>
      <c r="G4216" t="s">
        <v>31</v>
      </c>
      <c r="H4216" t="s">
        <v>32</v>
      </c>
      <c r="I4216">
        <v>4725.2955309999998</v>
      </c>
      <c r="J4216" t="s">
        <v>33</v>
      </c>
      <c r="K4216" t="s">
        <v>5768</v>
      </c>
      <c r="L4216" t="s">
        <v>21</v>
      </c>
    </row>
    <row r="4217" spans="1:12">
      <c r="A4217" t="s">
        <v>5771</v>
      </c>
      <c r="B4217" t="s">
        <v>5767</v>
      </c>
      <c r="C4217" t="s">
        <v>130</v>
      </c>
      <c r="D4217">
        <v>1957</v>
      </c>
      <c r="E4217" t="s">
        <v>15</v>
      </c>
      <c r="F4217" t="s">
        <v>16</v>
      </c>
      <c r="G4217" t="s">
        <v>17</v>
      </c>
      <c r="H4217" t="s">
        <v>18</v>
      </c>
      <c r="I4217">
        <v>47.984999999999999</v>
      </c>
      <c r="J4217" t="s">
        <v>19</v>
      </c>
      <c r="K4217" t="s">
        <v>5772</v>
      </c>
      <c r="L4217" t="s">
        <v>21</v>
      </c>
    </row>
    <row r="4218" spans="1:12">
      <c r="A4218" t="s">
        <v>5773</v>
      </c>
      <c r="B4218" t="s">
        <v>5767</v>
      </c>
      <c r="C4218" t="s">
        <v>130</v>
      </c>
      <c r="D4218">
        <v>1957</v>
      </c>
      <c r="E4218" t="s">
        <v>23</v>
      </c>
      <c r="F4218" t="s">
        <v>24</v>
      </c>
      <c r="G4218" t="s">
        <v>25</v>
      </c>
      <c r="H4218" t="s">
        <v>26</v>
      </c>
      <c r="I4218">
        <v>16151549</v>
      </c>
      <c r="J4218" t="s">
        <v>27</v>
      </c>
      <c r="K4218" t="s">
        <v>5772</v>
      </c>
      <c r="L4218" t="s">
        <v>21</v>
      </c>
    </row>
    <row r="4219" spans="1:12">
      <c r="A4219" t="s">
        <v>5774</v>
      </c>
      <c r="B4219" t="s">
        <v>5767</v>
      </c>
      <c r="C4219" t="s">
        <v>130</v>
      </c>
      <c r="D4219">
        <v>1957</v>
      </c>
      <c r="E4219" t="s">
        <v>29</v>
      </c>
      <c r="F4219" t="s">
        <v>30</v>
      </c>
      <c r="G4219" t="s">
        <v>31</v>
      </c>
      <c r="H4219" t="s">
        <v>32</v>
      </c>
      <c r="I4219">
        <v>5487.1042189999998</v>
      </c>
      <c r="J4219" t="s">
        <v>33</v>
      </c>
      <c r="K4219" t="s">
        <v>5772</v>
      </c>
      <c r="L4219" t="s">
        <v>21</v>
      </c>
    </row>
    <row r="4220" spans="1:12">
      <c r="A4220" t="s">
        <v>5775</v>
      </c>
      <c r="B4220" t="s">
        <v>5767</v>
      </c>
      <c r="C4220" t="s">
        <v>130</v>
      </c>
      <c r="D4220">
        <v>1962</v>
      </c>
      <c r="E4220" t="s">
        <v>15</v>
      </c>
      <c r="F4220" t="s">
        <v>16</v>
      </c>
      <c r="G4220" t="s">
        <v>17</v>
      </c>
      <c r="H4220" t="s">
        <v>18</v>
      </c>
      <c r="I4220">
        <v>49.951000000000001</v>
      </c>
      <c r="J4220" t="s">
        <v>19</v>
      </c>
      <c r="K4220" t="s">
        <v>5776</v>
      </c>
      <c r="L4220" t="s">
        <v>21</v>
      </c>
    </row>
    <row r="4221" spans="1:12">
      <c r="A4221" t="s">
        <v>5777</v>
      </c>
      <c r="B4221" t="s">
        <v>5767</v>
      </c>
      <c r="C4221" t="s">
        <v>130</v>
      </c>
      <c r="D4221">
        <v>1962</v>
      </c>
      <c r="E4221" t="s">
        <v>23</v>
      </c>
      <c r="F4221" t="s">
        <v>24</v>
      </c>
      <c r="G4221" t="s">
        <v>25</v>
      </c>
      <c r="H4221" t="s">
        <v>26</v>
      </c>
      <c r="I4221">
        <v>18356657</v>
      </c>
      <c r="J4221" t="s">
        <v>27</v>
      </c>
      <c r="K4221" t="s">
        <v>5776</v>
      </c>
      <c r="L4221" t="s">
        <v>21</v>
      </c>
    </row>
    <row r="4222" spans="1:12">
      <c r="A4222" t="s">
        <v>5778</v>
      </c>
      <c r="B4222" t="s">
        <v>5767</v>
      </c>
      <c r="C4222" t="s">
        <v>130</v>
      </c>
      <c r="D4222">
        <v>1962</v>
      </c>
      <c r="E4222" t="s">
        <v>29</v>
      </c>
      <c r="F4222" t="s">
        <v>30</v>
      </c>
      <c r="G4222" t="s">
        <v>31</v>
      </c>
      <c r="H4222" t="s">
        <v>32</v>
      </c>
      <c r="I4222">
        <v>5768.7297170000002</v>
      </c>
      <c r="J4222" t="s">
        <v>33</v>
      </c>
      <c r="K4222" t="s">
        <v>5776</v>
      </c>
      <c r="L4222" t="s">
        <v>21</v>
      </c>
    </row>
    <row r="4223" spans="1:12">
      <c r="A4223" t="s">
        <v>5779</v>
      </c>
      <c r="B4223" t="s">
        <v>5767</v>
      </c>
      <c r="C4223" t="s">
        <v>130</v>
      </c>
      <c r="D4223">
        <v>1967</v>
      </c>
      <c r="E4223" t="s">
        <v>15</v>
      </c>
      <c r="F4223" t="s">
        <v>16</v>
      </c>
      <c r="G4223" t="s">
        <v>17</v>
      </c>
      <c r="H4223" t="s">
        <v>18</v>
      </c>
      <c r="I4223">
        <v>51.927</v>
      </c>
      <c r="J4223" t="s">
        <v>19</v>
      </c>
      <c r="K4223" t="s">
        <v>5780</v>
      </c>
      <c r="L4223" t="s">
        <v>21</v>
      </c>
    </row>
    <row r="4224" spans="1:12">
      <c r="A4224" t="s">
        <v>5781</v>
      </c>
      <c r="B4224" t="s">
        <v>5767</v>
      </c>
      <c r="C4224" t="s">
        <v>130</v>
      </c>
      <c r="D4224">
        <v>1967</v>
      </c>
      <c r="E4224" t="s">
        <v>23</v>
      </c>
      <c r="F4224" t="s">
        <v>24</v>
      </c>
      <c r="G4224" t="s">
        <v>25</v>
      </c>
      <c r="H4224" t="s">
        <v>26</v>
      </c>
      <c r="I4224">
        <v>20997321</v>
      </c>
      <c r="J4224" t="s">
        <v>27</v>
      </c>
      <c r="K4224" t="s">
        <v>5780</v>
      </c>
      <c r="L4224" t="s">
        <v>21</v>
      </c>
    </row>
    <row r="4225" spans="1:12">
      <c r="A4225" t="s">
        <v>5782</v>
      </c>
      <c r="B4225" t="s">
        <v>5767</v>
      </c>
      <c r="C4225" t="s">
        <v>130</v>
      </c>
      <c r="D4225">
        <v>1967</v>
      </c>
      <c r="E4225" t="s">
        <v>29</v>
      </c>
      <c r="F4225" t="s">
        <v>30</v>
      </c>
      <c r="G4225" t="s">
        <v>31</v>
      </c>
      <c r="H4225" t="s">
        <v>32</v>
      </c>
      <c r="I4225">
        <v>7114.4779709999902</v>
      </c>
      <c r="J4225" t="s">
        <v>33</v>
      </c>
      <c r="K4225" t="s">
        <v>5780</v>
      </c>
      <c r="L4225" t="s">
        <v>21</v>
      </c>
    </row>
    <row r="4226" spans="1:12">
      <c r="A4226" t="s">
        <v>5783</v>
      </c>
      <c r="B4226" t="s">
        <v>5767</v>
      </c>
      <c r="C4226" t="s">
        <v>130</v>
      </c>
      <c r="D4226">
        <v>1972</v>
      </c>
      <c r="E4226" t="s">
        <v>15</v>
      </c>
      <c r="F4226" t="s">
        <v>16</v>
      </c>
      <c r="G4226" t="s">
        <v>17</v>
      </c>
      <c r="H4226" t="s">
        <v>18</v>
      </c>
      <c r="I4226">
        <v>53.695999999999998</v>
      </c>
      <c r="J4226" t="s">
        <v>19</v>
      </c>
      <c r="K4226" t="s">
        <v>5784</v>
      </c>
      <c r="L4226" t="s">
        <v>21</v>
      </c>
    </row>
    <row r="4227" spans="1:12">
      <c r="A4227" t="s">
        <v>5785</v>
      </c>
      <c r="B4227" t="s">
        <v>5767</v>
      </c>
      <c r="C4227" t="s">
        <v>130</v>
      </c>
      <c r="D4227">
        <v>1972</v>
      </c>
      <c r="E4227" t="s">
        <v>23</v>
      </c>
      <c r="F4227" t="s">
        <v>24</v>
      </c>
      <c r="G4227" t="s">
        <v>25</v>
      </c>
      <c r="H4227" t="s">
        <v>26</v>
      </c>
      <c r="I4227">
        <v>23935810</v>
      </c>
      <c r="J4227" t="s">
        <v>27</v>
      </c>
      <c r="K4227" t="s">
        <v>5784</v>
      </c>
      <c r="L4227" t="s">
        <v>21</v>
      </c>
    </row>
    <row r="4228" spans="1:12">
      <c r="A4228" t="s">
        <v>5786</v>
      </c>
      <c r="B4228" t="s">
        <v>5767</v>
      </c>
      <c r="C4228" t="s">
        <v>130</v>
      </c>
      <c r="D4228">
        <v>1972</v>
      </c>
      <c r="E4228" t="s">
        <v>29</v>
      </c>
      <c r="F4228" t="s">
        <v>30</v>
      </c>
      <c r="G4228" t="s">
        <v>31</v>
      </c>
      <c r="H4228" t="s">
        <v>32</v>
      </c>
      <c r="I4228">
        <v>7765.9626360000002</v>
      </c>
      <c r="J4228" t="s">
        <v>33</v>
      </c>
      <c r="K4228" t="s">
        <v>5784</v>
      </c>
      <c r="L4228" t="s">
        <v>21</v>
      </c>
    </row>
    <row r="4229" spans="1:12">
      <c r="A4229" t="s">
        <v>5787</v>
      </c>
      <c r="B4229" t="s">
        <v>5767</v>
      </c>
      <c r="C4229" t="s">
        <v>130</v>
      </c>
      <c r="D4229">
        <v>1977</v>
      </c>
      <c r="E4229" t="s">
        <v>15</v>
      </c>
      <c r="F4229" t="s">
        <v>16</v>
      </c>
      <c r="G4229" t="s">
        <v>17</v>
      </c>
      <c r="H4229" t="s">
        <v>18</v>
      </c>
      <c r="I4229">
        <v>55.527000000000001</v>
      </c>
      <c r="J4229" t="s">
        <v>19</v>
      </c>
      <c r="K4229" t="s">
        <v>5788</v>
      </c>
      <c r="L4229" t="s">
        <v>21</v>
      </c>
    </row>
    <row r="4230" spans="1:12">
      <c r="A4230" t="s">
        <v>5789</v>
      </c>
      <c r="B4230" t="s">
        <v>5767</v>
      </c>
      <c r="C4230" t="s">
        <v>130</v>
      </c>
      <c r="D4230">
        <v>1977</v>
      </c>
      <c r="E4230" t="s">
        <v>23</v>
      </c>
      <c r="F4230" t="s">
        <v>24</v>
      </c>
      <c r="G4230" t="s">
        <v>25</v>
      </c>
      <c r="H4230" t="s">
        <v>26</v>
      </c>
      <c r="I4230">
        <v>27129932</v>
      </c>
      <c r="J4230" t="s">
        <v>27</v>
      </c>
      <c r="K4230" t="s">
        <v>5788</v>
      </c>
      <c r="L4230" t="s">
        <v>21</v>
      </c>
    </row>
    <row r="4231" spans="1:12">
      <c r="A4231" t="s">
        <v>5790</v>
      </c>
      <c r="B4231" t="s">
        <v>5767</v>
      </c>
      <c r="C4231" t="s">
        <v>130</v>
      </c>
      <c r="D4231">
        <v>1977</v>
      </c>
      <c r="E4231" t="s">
        <v>29</v>
      </c>
      <c r="F4231" t="s">
        <v>30</v>
      </c>
      <c r="G4231" t="s">
        <v>31</v>
      </c>
      <c r="H4231" t="s">
        <v>32</v>
      </c>
      <c r="I4231">
        <v>8028.6514390000002</v>
      </c>
      <c r="J4231" t="s">
        <v>33</v>
      </c>
      <c r="K4231" t="s">
        <v>5788</v>
      </c>
      <c r="L4231" t="s">
        <v>21</v>
      </c>
    </row>
    <row r="4232" spans="1:12">
      <c r="A4232" t="s">
        <v>5791</v>
      </c>
      <c r="B4232" t="s">
        <v>5767</v>
      </c>
      <c r="C4232" t="s">
        <v>130</v>
      </c>
      <c r="D4232">
        <v>1982</v>
      </c>
      <c r="E4232" t="s">
        <v>15</v>
      </c>
      <c r="F4232" t="s">
        <v>16</v>
      </c>
      <c r="G4232" t="s">
        <v>17</v>
      </c>
      <c r="H4232" t="s">
        <v>18</v>
      </c>
      <c r="I4232">
        <v>58.161000000000001</v>
      </c>
      <c r="J4232" t="s">
        <v>19</v>
      </c>
      <c r="K4232" t="s">
        <v>5792</v>
      </c>
      <c r="L4232" t="s">
        <v>21</v>
      </c>
    </row>
    <row r="4233" spans="1:12">
      <c r="A4233" t="s">
        <v>5793</v>
      </c>
      <c r="B4233" t="s">
        <v>5767</v>
      </c>
      <c r="C4233" t="s">
        <v>130</v>
      </c>
      <c r="D4233">
        <v>1982</v>
      </c>
      <c r="E4233" t="s">
        <v>23</v>
      </c>
      <c r="F4233" t="s">
        <v>24</v>
      </c>
      <c r="G4233" t="s">
        <v>25</v>
      </c>
      <c r="H4233" t="s">
        <v>26</v>
      </c>
      <c r="I4233">
        <v>31140029</v>
      </c>
      <c r="J4233" t="s">
        <v>27</v>
      </c>
      <c r="K4233" t="s">
        <v>5792</v>
      </c>
      <c r="L4233" t="s">
        <v>21</v>
      </c>
    </row>
    <row r="4234" spans="1:12">
      <c r="A4234" t="s">
        <v>5794</v>
      </c>
      <c r="B4234" t="s">
        <v>5767</v>
      </c>
      <c r="C4234" t="s">
        <v>130</v>
      </c>
      <c r="D4234">
        <v>1982</v>
      </c>
      <c r="E4234" t="s">
        <v>29</v>
      </c>
      <c r="F4234" t="s">
        <v>30</v>
      </c>
      <c r="G4234" t="s">
        <v>31</v>
      </c>
      <c r="H4234" t="s">
        <v>32</v>
      </c>
      <c r="I4234">
        <v>8568.2662280000004</v>
      </c>
      <c r="J4234" t="s">
        <v>33</v>
      </c>
      <c r="K4234" t="s">
        <v>5792</v>
      </c>
      <c r="L4234" t="s">
        <v>21</v>
      </c>
    </row>
    <row r="4235" spans="1:12">
      <c r="A4235" t="s">
        <v>5795</v>
      </c>
      <c r="B4235" t="s">
        <v>5767</v>
      </c>
      <c r="C4235" t="s">
        <v>130</v>
      </c>
      <c r="D4235">
        <v>1987</v>
      </c>
      <c r="E4235" t="s">
        <v>15</v>
      </c>
      <c r="F4235" t="s">
        <v>16</v>
      </c>
      <c r="G4235" t="s">
        <v>17</v>
      </c>
      <c r="H4235" t="s">
        <v>18</v>
      </c>
      <c r="I4235">
        <v>60.834000000000003</v>
      </c>
      <c r="J4235" t="s">
        <v>19</v>
      </c>
      <c r="K4235" t="s">
        <v>5796</v>
      </c>
      <c r="L4235" t="s">
        <v>21</v>
      </c>
    </row>
    <row r="4236" spans="1:12">
      <c r="A4236" t="s">
        <v>5797</v>
      </c>
      <c r="B4236" t="s">
        <v>5767</v>
      </c>
      <c r="C4236" t="s">
        <v>130</v>
      </c>
      <c r="D4236">
        <v>1987</v>
      </c>
      <c r="E4236" t="s">
        <v>23</v>
      </c>
      <c r="F4236" t="s">
        <v>24</v>
      </c>
      <c r="G4236" t="s">
        <v>25</v>
      </c>
      <c r="H4236" t="s">
        <v>26</v>
      </c>
      <c r="I4236">
        <v>35933379</v>
      </c>
      <c r="J4236" t="s">
        <v>27</v>
      </c>
      <c r="K4236" t="s">
        <v>5796</v>
      </c>
      <c r="L4236" t="s">
        <v>21</v>
      </c>
    </row>
    <row r="4237" spans="1:12">
      <c r="A4237" t="s">
        <v>5798</v>
      </c>
      <c r="B4237" t="s">
        <v>5767</v>
      </c>
      <c r="C4237" t="s">
        <v>130</v>
      </c>
      <c r="D4237">
        <v>1987</v>
      </c>
      <c r="E4237" t="s">
        <v>29</v>
      </c>
      <c r="F4237" t="s">
        <v>30</v>
      </c>
      <c r="G4237" t="s">
        <v>31</v>
      </c>
      <c r="H4237" t="s">
        <v>32</v>
      </c>
      <c r="I4237">
        <v>7825.8233980000005</v>
      </c>
      <c r="J4237" t="s">
        <v>33</v>
      </c>
      <c r="K4237" t="s">
        <v>5796</v>
      </c>
      <c r="L4237" t="s">
        <v>21</v>
      </c>
    </row>
    <row r="4238" spans="1:12">
      <c r="A4238" t="s">
        <v>5799</v>
      </c>
      <c r="B4238" t="s">
        <v>5767</v>
      </c>
      <c r="C4238" t="s">
        <v>130</v>
      </c>
      <c r="D4238">
        <v>1992</v>
      </c>
      <c r="E4238" t="s">
        <v>15</v>
      </c>
      <c r="F4238" t="s">
        <v>16</v>
      </c>
      <c r="G4238" t="s">
        <v>17</v>
      </c>
      <c r="H4238" t="s">
        <v>18</v>
      </c>
      <c r="I4238">
        <v>61.887999999999998</v>
      </c>
      <c r="J4238" t="s">
        <v>19</v>
      </c>
      <c r="K4238" t="s">
        <v>5800</v>
      </c>
      <c r="L4238" t="s">
        <v>21</v>
      </c>
    </row>
    <row r="4239" spans="1:12">
      <c r="A4239" t="s">
        <v>5801</v>
      </c>
      <c r="B4239" t="s">
        <v>5767</v>
      </c>
      <c r="C4239" t="s">
        <v>130</v>
      </c>
      <c r="D4239">
        <v>1992</v>
      </c>
      <c r="E4239" t="s">
        <v>23</v>
      </c>
      <c r="F4239" t="s">
        <v>24</v>
      </c>
      <c r="G4239" t="s">
        <v>25</v>
      </c>
      <c r="H4239" t="s">
        <v>26</v>
      </c>
      <c r="I4239">
        <v>39964159</v>
      </c>
      <c r="J4239" t="s">
        <v>27</v>
      </c>
      <c r="K4239" t="s">
        <v>5800</v>
      </c>
      <c r="L4239" t="s">
        <v>21</v>
      </c>
    </row>
    <row r="4240" spans="1:12">
      <c r="A4240" t="s">
        <v>5802</v>
      </c>
      <c r="B4240" t="s">
        <v>5767</v>
      </c>
      <c r="C4240" t="s">
        <v>130</v>
      </c>
      <c r="D4240">
        <v>1992</v>
      </c>
      <c r="E4240" t="s">
        <v>29</v>
      </c>
      <c r="F4240" t="s">
        <v>30</v>
      </c>
      <c r="G4240" t="s">
        <v>31</v>
      </c>
      <c r="H4240" t="s">
        <v>32</v>
      </c>
      <c r="I4240">
        <v>7225.0692579999904</v>
      </c>
      <c r="J4240" t="s">
        <v>33</v>
      </c>
      <c r="K4240" t="s">
        <v>5800</v>
      </c>
      <c r="L4240" t="s">
        <v>21</v>
      </c>
    </row>
    <row r="4241" spans="1:12">
      <c r="A4241" t="s">
        <v>5803</v>
      </c>
      <c r="B4241" t="s">
        <v>5767</v>
      </c>
      <c r="C4241" t="s">
        <v>130</v>
      </c>
      <c r="D4241">
        <v>1997</v>
      </c>
      <c r="E4241" t="s">
        <v>15</v>
      </c>
      <c r="F4241" t="s">
        <v>16</v>
      </c>
      <c r="G4241" t="s">
        <v>17</v>
      </c>
      <c r="H4241" t="s">
        <v>18</v>
      </c>
      <c r="I4241">
        <v>60.235999999999997</v>
      </c>
      <c r="J4241" t="s">
        <v>19</v>
      </c>
      <c r="K4241" t="s">
        <v>5804</v>
      </c>
      <c r="L4241" t="s">
        <v>21</v>
      </c>
    </row>
    <row r="4242" spans="1:12">
      <c r="A4242" t="s">
        <v>5805</v>
      </c>
      <c r="B4242" t="s">
        <v>5767</v>
      </c>
      <c r="C4242" t="s">
        <v>130</v>
      </c>
      <c r="D4242">
        <v>1997</v>
      </c>
      <c r="E4242" t="s">
        <v>23</v>
      </c>
      <c r="F4242" t="s">
        <v>24</v>
      </c>
      <c r="G4242" t="s">
        <v>25</v>
      </c>
      <c r="H4242" t="s">
        <v>26</v>
      </c>
      <c r="I4242">
        <v>42835005</v>
      </c>
      <c r="J4242" t="s">
        <v>27</v>
      </c>
      <c r="K4242" t="s">
        <v>5804</v>
      </c>
      <c r="L4242" t="s">
        <v>21</v>
      </c>
    </row>
    <row r="4243" spans="1:12">
      <c r="A4243" t="s">
        <v>5806</v>
      </c>
      <c r="B4243" t="s">
        <v>5767</v>
      </c>
      <c r="C4243" t="s">
        <v>130</v>
      </c>
      <c r="D4243">
        <v>1997</v>
      </c>
      <c r="E4243" t="s">
        <v>29</v>
      </c>
      <c r="F4243" t="s">
        <v>30</v>
      </c>
      <c r="G4243" t="s">
        <v>31</v>
      </c>
      <c r="H4243" t="s">
        <v>32</v>
      </c>
      <c r="I4243">
        <v>7479.1882439999999</v>
      </c>
      <c r="J4243" t="s">
        <v>33</v>
      </c>
      <c r="K4243" t="s">
        <v>5804</v>
      </c>
      <c r="L4243" t="s">
        <v>21</v>
      </c>
    </row>
    <row r="4244" spans="1:12">
      <c r="A4244" t="s">
        <v>5807</v>
      </c>
      <c r="B4244" t="s">
        <v>5767</v>
      </c>
      <c r="C4244" t="s">
        <v>130</v>
      </c>
      <c r="D4244">
        <v>2002</v>
      </c>
      <c r="E4244" t="s">
        <v>15</v>
      </c>
      <c r="F4244" t="s">
        <v>16</v>
      </c>
      <c r="G4244" t="s">
        <v>17</v>
      </c>
      <c r="H4244" t="s">
        <v>18</v>
      </c>
      <c r="I4244">
        <v>53.365000000000002</v>
      </c>
      <c r="J4244" t="s">
        <v>19</v>
      </c>
      <c r="K4244" t="s">
        <v>5808</v>
      </c>
      <c r="L4244" t="s">
        <v>21</v>
      </c>
    </row>
    <row r="4245" spans="1:12">
      <c r="A4245" t="s">
        <v>5809</v>
      </c>
      <c r="B4245" t="s">
        <v>5767</v>
      </c>
      <c r="C4245" t="s">
        <v>130</v>
      </c>
      <c r="D4245">
        <v>2002</v>
      </c>
      <c r="E4245" t="s">
        <v>23</v>
      </c>
      <c r="F4245" t="s">
        <v>24</v>
      </c>
      <c r="G4245" t="s">
        <v>25</v>
      </c>
      <c r="H4245" t="s">
        <v>26</v>
      </c>
      <c r="I4245">
        <v>44433622</v>
      </c>
      <c r="J4245" t="s">
        <v>27</v>
      </c>
      <c r="K4245" t="s">
        <v>5808</v>
      </c>
      <c r="L4245" t="s">
        <v>21</v>
      </c>
    </row>
    <row r="4246" spans="1:12">
      <c r="A4246" t="s">
        <v>5810</v>
      </c>
      <c r="B4246" t="s">
        <v>5767</v>
      </c>
      <c r="C4246" t="s">
        <v>130</v>
      </c>
      <c r="D4246">
        <v>2002</v>
      </c>
      <c r="E4246" t="s">
        <v>29</v>
      </c>
      <c r="F4246" t="s">
        <v>30</v>
      </c>
      <c r="G4246" t="s">
        <v>31</v>
      </c>
      <c r="H4246" t="s">
        <v>32</v>
      </c>
      <c r="I4246">
        <v>7710.9464440000002</v>
      </c>
      <c r="J4246" t="s">
        <v>33</v>
      </c>
      <c r="K4246" t="s">
        <v>5808</v>
      </c>
      <c r="L4246" t="s">
        <v>21</v>
      </c>
    </row>
    <row r="4247" spans="1:12">
      <c r="A4247" t="s">
        <v>5811</v>
      </c>
      <c r="B4247" t="s">
        <v>5767</v>
      </c>
      <c r="C4247" t="s">
        <v>130</v>
      </c>
      <c r="D4247">
        <v>2007</v>
      </c>
      <c r="E4247" t="s">
        <v>15</v>
      </c>
      <c r="F4247" t="s">
        <v>16</v>
      </c>
      <c r="G4247" t="s">
        <v>17</v>
      </c>
      <c r="H4247" t="s">
        <v>18</v>
      </c>
      <c r="I4247">
        <v>49.338999999999999</v>
      </c>
      <c r="J4247" t="s">
        <v>19</v>
      </c>
      <c r="K4247" t="s">
        <v>5812</v>
      </c>
      <c r="L4247" t="s">
        <v>21</v>
      </c>
    </row>
    <row r="4248" spans="1:12">
      <c r="A4248" t="s">
        <v>5813</v>
      </c>
      <c r="B4248" t="s">
        <v>5767</v>
      </c>
      <c r="C4248" t="s">
        <v>130</v>
      </c>
      <c r="D4248">
        <v>2007</v>
      </c>
      <c r="E4248" t="s">
        <v>23</v>
      </c>
      <c r="F4248" t="s">
        <v>24</v>
      </c>
      <c r="G4248" t="s">
        <v>25</v>
      </c>
      <c r="H4248" t="s">
        <v>26</v>
      </c>
      <c r="I4248">
        <v>43997828</v>
      </c>
      <c r="J4248" t="s">
        <v>27</v>
      </c>
      <c r="K4248" t="s">
        <v>5812</v>
      </c>
      <c r="L4248" t="s">
        <v>21</v>
      </c>
    </row>
    <row r="4249" spans="1:12">
      <c r="A4249" t="s">
        <v>5814</v>
      </c>
      <c r="B4249" t="s">
        <v>5767</v>
      </c>
      <c r="C4249" t="s">
        <v>130</v>
      </c>
      <c r="D4249">
        <v>2007</v>
      </c>
      <c r="E4249" t="s">
        <v>29</v>
      </c>
      <c r="F4249" t="s">
        <v>30</v>
      </c>
      <c r="G4249" t="s">
        <v>31</v>
      </c>
      <c r="H4249" t="s">
        <v>32</v>
      </c>
      <c r="I4249">
        <v>9269.6578079999999</v>
      </c>
      <c r="J4249" t="s">
        <v>33</v>
      </c>
      <c r="K4249" t="s">
        <v>5812</v>
      </c>
      <c r="L4249" t="s">
        <v>21</v>
      </c>
    </row>
    <row r="4250" spans="1:12">
      <c r="A4250" t="s">
        <v>5815</v>
      </c>
      <c r="B4250" t="s">
        <v>5816</v>
      </c>
      <c r="C4250" t="s">
        <v>80</v>
      </c>
      <c r="D4250">
        <v>1952</v>
      </c>
      <c r="E4250" t="s">
        <v>15</v>
      </c>
      <c r="F4250" t="s">
        <v>16</v>
      </c>
      <c r="G4250" t="s">
        <v>17</v>
      </c>
      <c r="H4250" t="s">
        <v>18</v>
      </c>
      <c r="I4250">
        <v>64.94</v>
      </c>
      <c r="J4250" t="s">
        <v>19</v>
      </c>
      <c r="K4250" t="s">
        <v>5817</v>
      </c>
      <c r="L4250" t="s">
        <v>21</v>
      </c>
    </row>
    <row r="4251" spans="1:12">
      <c r="A4251" t="s">
        <v>5818</v>
      </c>
      <c r="B4251" t="s">
        <v>5816</v>
      </c>
      <c r="C4251" t="s">
        <v>80</v>
      </c>
      <c r="D4251">
        <v>1952</v>
      </c>
      <c r="E4251" t="s">
        <v>23</v>
      </c>
      <c r="F4251" t="s">
        <v>24</v>
      </c>
      <c r="G4251" t="s">
        <v>25</v>
      </c>
      <c r="H4251" t="s">
        <v>26</v>
      </c>
      <c r="I4251">
        <v>28549870</v>
      </c>
      <c r="J4251" t="s">
        <v>27</v>
      </c>
      <c r="K4251" t="s">
        <v>5817</v>
      </c>
      <c r="L4251" t="s">
        <v>21</v>
      </c>
    </row>
    <row r="4252" spans="1:12">
      <c r="A4252" t="s">
        <v>5819</v>
      </c>
      <c r="B4252" t="s">
        <v>5816</v>
      </c>
      <c r="C4252" t="s">
        <v>80</v>
      </c>
      <c r="D4252">
        <v>1952</v>
      </c>
      <c r="E4252" t="s">
        <v>29</v>
      </c>
      <c r="F4252" t="s">
        <v>30</v>
      </c>
      <c r="G4252" t="s">
        <v>31</v>
      </c>
      <c r="H4252" t="s">
        <v>32</v>
      </c>
      <c r="I4252">
        <v>3834.0347419999998</v>
      </c>
      <c r="J4252" t="s">
        <v>33</v>
      </c>
      <c r="K4252" t="s">
        <v>5817</v>
      </c>
      <c r="L4252" t="s">
        <v>21</v>
      </c>
    </row>
    <row r="4253" spans="1:12">
      <c r="A4253" t="s">
        <v>5820</v>
      </c>
      <c r="B4253" t="s">
        <v>5816</v>
      </c>
      <c r="C4253" t="s">
        <v>80</v>
      </c>
      <c r="D4253">
        <v>1957</v>
      </c>
      <c r="E4253" t="s">
        <v>15</v>
      </c>
      <c r="F4253" t="s">
        <v>16</v>
      </c>
      <c r="G4253" t="s">
        <v>17</v>
      </c>
      <c r="H4253" t="s">
        <v>18</v>
      </c>
      <c r="I4253">
        <v>66.66</v>
      </c>
      <c r="J4253" t="s">
        <v>19</v>
      </c>
      <c r="K4253" t="s">
        <v>5821</v>
      </c>
      <c r="L4253" t="s">
        <v>21</v>
      </c>
    </row>
    <row r="4254" spans="1:12">
      <c r="A4254" t="s">
        <v>5822</v>
      </c>
      <c r="B4254" t="s">
        <v>5816</v>
      </c>
      <c r="C4254" t="s">
        <v>80</v>
      </c>
      <c r="D4254">
        <v>1957</v>
      </c>
      <c r="E4254" t="s">
        <v>23</v>
      </c>
      <c r="F4254" t="s">
        <v>24</v>
      </c>
      <c r="G4254" t="s">
        <v>25</v>
      </c>
      <c r="H4254" t="s">
        <v>26</v>
      </c>
      <c r="I4254">
        <v>29841614</v>
      </c>
      <c r="J4254" t="s">
        <v>27</v>
      </c>
      <c r="K4254" t="s">
        <v>5821</v>
      </c>
      <c r="L4254" t="s">
        <v>21</v>
      </c>
    </row>
    <row r="4255" spans="1:12">
      <c r="A4255" t="s">
        <v>5823</v>
      </c>
      <c r="B4255" t="s">
        <v>5816</v>
      </c>
      <c r="C4255" t="s">
        <v>80</v>
      </c>
      <c r="D4255">
        <v>1957</v>
      </c>
      <c r="E4255" t="s">
        <v>29</v>
      </c>
      <c r="F4255" t="s">
        <v>30</v>
      </c>
      <c r="G4255" t="s">
        <v>31</v>
      </c>
      <c r="H4255" t="s">
        <v>32</v>
      </c>
      <c r="I4255">
        <v>4564.8024100000002</v>
      </c>
      <c r="J4255" t="s">
        <v>33</v>
      </c>
      <c r="K4255" t="s">
        <v>5821</v>
      </c>
      <c r="L4255" t="s">
        <v>21</v>
      </c>
    </row>
    <row r="4256" spans="1:12">
      <c r="A4256" t="s">
        <v>5824</v>
      </c>
      <c r="B4256" t="s">
        <v>5816</v>
      </c>
      <c r="C4256" t="s">
        <v>80</v>
      </c>
      <c r="D4256">
        <v>1962</v>
      </c>
      <c r="E4256" t="s">
        <v>15</v>
      </c>
      <c r="F4256" t="s">
        <v>16</v>
      </c>
      <c r="G4256" t="s">
        <v>17</v>
      </c>
      <c r="H4256" t="s">
        <v>18</v>
      </c>
      <c r="I4256">
        <v>69.69</v>
      </c>
      <c r="J4256" t="s">
        <v>19</v>
      </c>
      <c r="K4256" t="s">
        <v>5825</v>
      </c>
      <c r="L4256" t="s">
        <v>21</v>
      </c>
    </row>
    <row r="4257" spans="1:12">
      <c r="A4257" t="s">
        <v>5826</v>
      </c>
      <c r="B4257" t="s">
        <v>5816</v>
      </c>
      <c r="C4257" t="s">
        <v>80</v>
      </c>
      <c r="D4257">
        <v>1962</v>
      </c>
      <c r="E4257" t="s">
        <v>23</v>
      </c>
      <c r="F4257" t="s">
        <v>24</v>
      </c>
      <c r="G4257" t="s">
        <v>25</v>
      </c>
      <c r="H4257" t="s">
        <v>26</v>
      </c>
      <c r="I4257">
        <v>31158061</v>
      </c>
      <c r="J4257" t="s">
        <v>27</v>
      </c>
      <c r="K4257" t="s">
        <v>5825</v>
      </c>
      <c r="L4257" t="s">
        <v>21</v>
      </c>
    </row>
    <row r="4258" spans="1:12">
      <c r="A4258" t="s">
        <v>5827</v>
      </c>
      <c r="B4258" t="s">
        <v>5816</v>
      </c>
      <c r="C4258" t="s">
        <v>80</v>
      </c>
      <c r="D4258">
        <v>1962</v>
      </c>
      <c r="E4258" t="s">
        <v>29</v>
      </c>
      <c r="F4258" t="s">
        <v>30</v>
      </c>
      <c r="G4258" t="s">
        <v>31</v>
      </c>
      <c r="H4258" t="s">
        <v>32</v>
      </c>
      <c r="I4258">
        <v>5693.843879</v>
      </c>
      <c r="J4258" t="s">
        <v>33</v>
      </c>
      <c r="K4258" t="s">
        <v>5825</v>
      </c>
      <c r="L4258" t="s">
        <v>21</v>
      </c>
    </row>
    <row r="4259" spans="1:12">
      <c r="A4259" t="s">
        <v>5828</v>
      </c>
      <c r="B4259" t="s">
        <v>5816</v>
      </c>
      <c r="C4259" t="s">
        <v>80</v>
      </c>
      <c r="D4259">
        <v>1967</v>
      </c>
      <c r="E4259" t="s">
        <v>15</v>
      </c>
      <c r="F4259" t="s">
        <v>16</v>
      </c>
      <c r="G4259" t="s">
        <v>17</v>
      </c>
      <c r="H4259" t="s">
        <v>18</v>
      </c>
      <c r="I4259">
        <v>71.44</v>
      </c>
      <c r="J4259" t="s">
        <v>19</v>
      </c>
      <c r="K4259" t="s">
        <v>5829</v>
      </c>
      <c r="L4259" t="s">
        <v>21</v>
      </c>
    </row>
    <row r="4260" spans="1:12">
      <c r="A4260" t="s">
        <v>5830</v>
      </c>
      <c r="B4260" t="s">
        <v>5816</v>
      </c>
      <c r="C4260" t="s">
        <v>80</v>
      </c>
      <c r="D4260">
        <v>1967</v>
      </c>
      <c r="E4260" t="s">
        <v>23</v>
      </c>
      <c r="F4260" t="s">
        <v>24</v>
      </c>
      <c r="G4260" t="s">
        <v>25</v>
      </c>
      <c r="H4260" t="s">
        <v>26</v>
      </c>
      <c r="I4260">
        <v>32850275</v>
      </c>
      <c r="J4260" t="s">
        <v>27</v>
      </c>
      <c r="K4260" t="s">
        <v>5829</v>
      </c>
      <c r="L4260" t="s">
        <v>21</v>
      </c>
    </row>
    <row r="4261" spans="1:12">
      <c r="A4261" t="s">
        <v>5831</v>
      </c>
      <c r="B4261" t="s">
        <v>5816</v>
      </c>
      <c r="C4261" t="s">
        <v>80</v>
      </c>
      <c r="D4261">
        <v>1967</v>
      </c>
      <c r="E4261" t="s">
        <v>29</v>
      </c>
      <c r="F4261" t="s">
        <v>30</v>
      </c>
      <c r="G4261" t="s">
        <v>31</v>
      </c>
      <c r="H4261" t="s">
        <v>32</v>
      </c>
      <c r="I4261">
        <v>7993.5122940000001</v>
      </c>
      <c r="J4261" t="s">
        <v>33</v>
      </c>
      <c r="K4261" t="s">
        <v>5829</v>
      </c>
      <c r="L4261" t="s">
        <v>21</v>
      </c>
    </row>
    <row r="4262" spans="1:12">
      <c r="A4262" t="s">
        <v>5832</v>
      </c>
      <c r="B4262" t="s">
        <v>5816</v>
      </c>
      <c r="C4262" t="s">
        <v>80</v>
      </c>
      <c r="D4262">
        <v>1972</v>
      </c>
      <c r="E4262" t="s">
        <v>15</v>
      </c>
      <c r="F4262" t="s">
        <v>16</v>
      </c>
      <c r="G4262" t="s">
        <v>17</v>
      </c>
      <c r="H4262" t="s">
        <v>18</v>
      </c>
      <c r="I4262">
        <v>73.06</v>
      </c>
      <c r="J4262" t="s">
        <v>19</v>
      </c>
      <c r="K4262" t="s">
        <v>5833</v>
      </c>
      <c r="L4262" t="s">
        <v>21</v>
      </c>
    </row>
    <row r="4263" spans="1:12">
      <c r="A4263" t="s">
        <v>5834</v>
      </c>
      <c r="B4263" t="s">
        <v>5816</v>
      </c>
      <c r="C4263" t="s">
        <v>80</v>
      </c>
      <c r="D4263">
        <v>1972</v>
      </c>
      <c r="E4263" t="s">
        <v>23</v>
      </c>
      <c r="F4263" t="s">
        <v>24</v>
      </c>
      <c r="G4263" t="s">
        <v>25</v>
      </c>
      <c r="H4263" t="s">
        <v>26</v>
      </c>
      <c r="I4263">
        <v>34513161</v>
      </c>
      <c r="J4263" t="s">
        <v>27</v>
      </c>
      <c r="K4263" t="s">
        <v>5833</v>
      </c>
      <c r="L4263" t="s">
        <v>21</v>
      </c>
    </row>
    <row r="4264" spans="1:12">
      <c r="A4264" t="s">
        <v>5835</v>
      </c>
      <c r="B4264" t="s">
        <v>5816</v>
      </c>
      <c r="C4264" t="s">
        <v>80</v>
      </c>
      <c r="D4264">
        <v>1972</v>
      </c>
      <c r="E4264" t="s">
        <v>29</v>
      </c>
      <c r="F4264" t="s">
        <v>30</v>
      </c>
      <c r="G4264" t="s">
        <v>31</v>
      </c>
      <c r="H4264" t="s">
        <v>32</v>
      </c>
      <c r="I4264">
        <v>10638.75131</v>
      </c>
      <c r="J4264" t="s">
        <v>33</v>
      </c>
      <c r="K4264" t="s">
        <v>5833</v>
      </c>
      <c r="L4264" t="s">
        <v>21</v>
      </c>
    </row>
    <row r="4265" spans="1:12">
      <c r="A4265" t="s">
        <v>5836</v>
      </c>
      <c r="B4265" t="s">
        <v>5816</v>
      </c>
      <c r="C4265" t="s">
        <v>80</v>
      </c>
      <c r="D4265">
        <v>1977</v>
      </c>
      <c r="E4265" t="s">
        <v>15</v>
      </c>
      <c r="F4265" t="s">
        <v>16</v>
      </c>
      <c r="G4265" t="s">
        <v>17</v>
      </c>
      <c r="H4265" t="s">
        <v>18</v>
      </c>
      <c r="I4265">
        <v>74.39</v>
      </c>
      <c r="J4265" t="s">
        <v>19</v>
      </c>
      <c r="K4265" t="s">
        <v>5837</v>
      </c>
      <c r="L4265" t="s">
        <v>21</v>
      </c>
    </row>
    <row r="4266" spans="1:12">
      <c r="A4266" t="s">
        <v>5838</v>
      </c>
      <c r="B4266" t="s">
        <v>5816</v>
      </c>
      <c r="C4266" t="s">
        <v>80</v>
      </c>
      <c r="D4266">
        <v>1977</v>
      </c>
      <c r="E4266" t="s">
        <v>23</v>
      </c>
      <c r="F4266" t="s">
        <v>24</v>
      </c>
      <c r="G4266" t="s">
        <v>25</v>
      </c>
      <c r="H4266" t="s">
        <v>26</v>
      </c>
      <c r="I4266">
        <v>36439000</v>
      </c>
      <c r="J4266" t="s">
        <v>27</v>
      </c>
      <c r="K4266" t="s">
        <v>5837</v>
      </c>
      <c r="L4266" t="s">
        <v>21</v>
      </c>
    </row>
    <row r="4267" spans="1:12">
      <c r="A4267" t="s">
        <v>5839</v>
      </c>
      <c r="B4267" t="s">
        <v>5816</v>
      </c>
      <c r="C4267" t="s">
        <v>80</v>
      </c>
      <c r="D4267">
        <v>1977</v>
      </c>
      <c r="E4267" t="s">
        <v>29</v>
      </c>
      <c r="F4267" t="s">
        <v>30</v>
      </c>
      <c r="G4267" t="s">
        <v>31</v>
      </c>
      <c r="H4267" t="s">
        <v>32</v>
      </c>
      <c r="I4267">
        <v>13236.92117</v>
      </c>
      <c r="J4267" t="s">
        <v>33</v>
      </c>
      <c r="K4267" t="s">
        <v>5837</v>
      </c>
      <c r="L4267" t="s">
        <v>21</v>
      </c>
    </row>
    <row r="4268" spans="1:12">
      <c r="A4268" t="s">
        <v>5840</v>
      </c>
      <c r="B4268" t="s">
        <v>5816</v>
      </c>
      <c r="C4268" t="s">
        <v>80</v>
      </c>
      <c r="D4268">
        <v>1982</v>
      </c>
      <c r="E4268" t="s">
        <v>15</v>
      </c>
      <c r="F4268" t="s">
        <v>16</v>
      </c>
      <c r="G4268" t="s">
        <v>17</v>
      </c>
      <c r="H4268" t="s">
        <v>18</v>
      </c>
      <c r="I4268">
        <v>76.3</v>
      </c>
      <c r="J4268" t="s">
        <v>19</v>
      </c>
      <c r="K4268" t="s">
        <v>5841</v>
      </c>
      <c r="L4268" t="s">
        <v>21</v>
      </c>
    </row>
    <row r="4269" spans="1:12">
      <c r="A4269" t="s">
        <v>5842</v>
      </c>
      <c r="B4269" t="s">
        <v>5816</v>
      </c>
      <c r="C4269" t="s">
        <v>80</v>
      </c>
      <c r="D4269">
        <v>1982</v>
      </c>
      <c r="E4269" t="s">
        <v>23</v>
      </c>
      <c r="F4269" t="s">
        <v>24</v>
      </c>
      <c r="G4269" t="s">
        <v>25</v>
      </c>
      <c r="H4269" t="s">
        <v>26</v>
      </c>
      <c r="I4269">
        <v>37983310</v>
      </c>
      <c r="J4269" t="s">
        <v>27</v>
      </c>
      <c r="K4269" t="s">
        <v>5841</v>
      </c>
      <c r="L4269" t="s">
        <v>21</v>
      </c>
    </row>
    <row r="4270" spans="1:12">
      <c r="A4270" t="s">
        <v>5843</v>
      </c>
      <c r="B4270" t="s">
        <v>5816</v>
      </c>
      <c r="C4270" t="s">
        <v>80</v>
      </c>
      <c r="D4270">
        <v>1982</v>
      </c>
      <c r="E4270" t="s">
        <v>29</v>
      </c>
      <c r="F4270" t="s">
        <v>30</v>
      </c>
      <c r="G4270" t="s">
        <v>31</v>
      </c>
      <c r="H4270" t="s">
        <v>32</v>
      </c>
      <c r="I4270">
        <v>13926.169970000001</v>
      </c>
      <c r="J4270" t="s">
        <v>33</v>
      </c>
      <c r="K4270" t="s">
        <v>5841</v>
      </c>
      <c r="L4270" t="s">
        <v>21</v>
      </c>
    </row>
    <row r="4271" spans="1:12">
      <c r="A4271" t="s">
        <v>5844</v>
      </c>
      <c r="B4271" t="s">
        <v>5816</v>
      </c>
      <c r="C4271" t="s">
        <v>80</v>
      </c>
      <c r="D4271">
        <v>1987</v>
      </c>
      <c r="E4271" t="s">
        <v>15</v>
      </c>
      <c r="F4271" t="s">
        <v>16</v>
      </c>
      <c r="G4271" t="s">
        <v>17</v>
      </c>
      <c r="H4271" t="s">
        <v>18</v>
      </c>
      <c r="I4271">
        <v>76.900000000000006</v>
      </c>
      <c r="J4271" t="s">
        <v>19</v>
      </c>
      <c r="K4271" t="s">
        <v>5845</v>
      </c>
      <c r="L4271" t="s">
        <v>21</v>
      </c>
    </row>
    <row r="4272" spans="1:12">
      <c r="A4272" t="s">
        <v>5846</v>
      </c>
      <c r="B4272" t="s">
        <v>5816</v>
      </c>
      <c r="C4272" t="s">
        <v>80</v>
      </c>
      <c r="D4272">
        <v>1987</v>
      </c>
      <c r="E4272" t="s">
        <v>23</v>
      </c>
      <c r="F4272" t="s">
        <v>24</v>
      </c>
      <c r="G4272" t="s">
        <v>25</v>
      </c>
      <c r="H4272" t="s">
        <v>26</v>
      </c>
      <c r="I4272">
        <v>38880702</v>
      </c>
      <c r="J4272" t="s">
        <v>27</v>
      </c>
      <c r="K4272" t="s">
        <v>5845</v>
      </c>
      <c r="L4272" t="s">
        <v>21</v>
      </c>
    </row>
    <row r="4273" spans="1:12">
      <c r="A4273" t="s">
        <v>5847</v>
      </c>
      <c r="B4273" t="s">
        <v>5816</v>
      </c>
      <c r="C4273" t="s">
        <v>80</v>
      </c>
      <c r="D4273">
        <v>1987</v>
      </c>
      <c r="E4273" t="s">
        <v>29</v>
      </c>
      <c r="F4273" t="s">
        <v>30</v>
      </c>
      <c r="G4273" t="s">
        <v>31</v>
      </c>
      <c r="H4273" t="s">
        <v>32</v>
      </c>
      <c r="I4273">
        <v>15764.983130000001</v>
      </c>
      <c r="J4273" t="s">
        <v>33</v>
      </c>
      <c r="K4273" t="s">
        <v>5845</v>
      </c>
      <c r="L4273" t="s">
        <v>21</v>
      </c>
    </row>
    <row r="4274" spans="1:12">
      <c r="A4274" t="s">
        <v>5848</v>
      </c>
      <c r="B4274" t="s">
        <v>5816</v>
      </c>
      <c r="C4274" t="s">
        <v>80</v>
      </c>
      <c r="D4274">
        <v>1992</v>
      </c>
      <c r="E4274" t="s">
        <v>15</v>
      </c>
      <c r="F4274" t="s">
        <v>16</v>
      </c>
      <c r="G4274" t="s">
        <v>17</v>
      </c>
      <c r="H4274" t="s">
        <v>18</v>
      </c>
      <c r="I4274">
        <v>77.569999999999993</v>
      </c>
      <c r="J4274" t="s">
        <v>19</v>
      </c>
      <c r="K4274" t="s">
        <v>5849</v>
      </c>
      <c r="L4274" t="s">
        <v>21</v>
      </c>
    </row>
    <row r="4275" spans="1:12">
      <c r="A4275" t="s">
        <v>5850</v>
      </c>
      <c r="B4275" t="s">
        <v>5816</v>
      </c>
      <c r="C4275" t="s">
        <v>80</v>
      </c>
      <c r="D4275">
        <v>1992</v>
      </c>
      <c r="E4275" t="s">
        <v>23</v>
      </c>
      <c r="F4275" t="s">
        <v>24</v>
      </c>
      <c r="G4275" t="s">
        <v>25</v>
      </c>
      <c r="H4275" t="s">
        <v>26</v>
      </c>
      <c r="I4275">
        <v>39549438</v>
      </c>
      <c r="J4275" t="s">
        <v>27</v>
      </c>
      <c r="K4275" t="s">
        <v>5849</v>
      </c>
      <c r="L4275" t="s">
        <v>21</v>
      </c>
    </row>
    <row r="4276" spans="1:12">
      <c r="A4276" t="s">
        <v>5851</v>
      </c>
      <c r="B4276" t="s">
        <v>5816</v>
      </c>
      <c r="C4276" t="s">
        <v>80</v>
      </c>
      <c r="D4276">
        <v>1992</v>
      </c>
      <c r="E4276" t="s">
        <v>29</v>
      </c>
      <c r="F4276" t="s">
        <v>30</v>
      </c>
      <c r="G4276" t="s">
        <v>31</v>
      </c>
      <c r="H4276" t="s">
        <v>32</v>
      </c>
      <c r="I4276">
        <v>18603.06452</v>
      </c>
      <c r="J4276" t="s">
        <v>33</v>
      </c>
      <c r="K4276" t="s">
        <v>5849</v>
      </c>
      <c r="L4276" t="s">
        <v>21</v>
      </c>
    </row>
    <row r="4277" spans="1:12">
      <c r="A4277" t="s">
        <v>5852</v>
      </c>
      <c r="B4277" t="s">
        <v>5816</v>
      </c>
      <c r="C4277" t="s">
        <v>80</v>
      </c>
      <c r="D4277">
        <v>1997</v>
      </c>
      <c r="E4277" t="s">
        <v>15</v>
      </c>
      <c r="F4277" t="s">
        <v>16</v>
      </c>
      <c r="G4277" t="s">
        <v>17</v>
      </c>
      <c r="H4277" t="s">
        <v>18</v>
      </c>
      <c r="I4277">
        <v>78.77</v>
      </c>
      <c r="J4277" t="s">
        <v>19</v>
      </c>
      <c r="K4277" t="s">
        <v>5853</v>
      </c>
      <c r="L4277" t="s">
        <v>21</v>
      </c>
    </row>
    <row r="4278" spans="1:12">
      <c r="A4278" t="s">
        <v>5854</v>
      </c>
      <c r="B4278" t="s">
        <v>5816</v>
      </c>
      <c r="C4278" t="s">
        <v>80</v>
      </c>
      <c r="D4278">
        <v>1997</v>
      </c>
      <c r="E4278" t="s">
        <v>23</v>
      </c>
      <c r="F4278" t="s">
        <v>24</v>
      </c>
      <c r="G4278" t="s">
        <v>25</v>
      </c>
      <c r="H4278" t="s">
        <v>26</v>
      </c>
      <c r="I4278">
        <v>39855442</v>
      </c>
      <c r="J4278" t="s">
        <v>27</v>
      </c>
      <c r="K4278" t="s">
        <v>5853</v>
      </c>
      <c r="L4278" t="s">
        <v>21</v>
      </c>
    </row>
    <row r="4279" spans="1:12">
      <c r="A4279" t="s">
        <v>5855</v>
      </c>
      <c r="B4279" t="s">
        <v>5816</v>
      </c>
      <c r="C4279" t="s">
        <v>80</v>
      </c>
      <c r="D4279">
        <v>1997</v>
      </c>
      <c r="E4279" t="s">
        <v>29</v>
      </c>
      <c r="F4279" t="s">
        <v>30</v>
      </c>
      <c r="G4279" t="s">
        <v>31</v>
      </c>
      <c r="H4279" t="s">
        <v>32</v>
      </c>
      <c r="I4279">
        <v>20445.29896</v>
      </c>
      <c r="J4279" t="s">
        <v>33</v>
      </c>
      <c r="K4279" t="s">
        <v>5853</v>
      </c>
      <c r="L4279" t="s">
        <v>21</v>
      </c>
    </row>
    <row r="4280" spans="1:12">
      <c r="A4280" t="s">
        <v>5856</v>
      </c>
      <c r="B4280" t="s">
        <v>5816</v>
      </c>
      <c r="C4280" t="s">
        <v>80</v>
      </c>
      <c r="D4280">
        <v>2002</v>
      </c>
      <c r="E4280" t="s">
        <v>15</v>
      </c>
      <c r="F4280" t="s">
        <v>16</v>
      </c>
      <c r="G4280" t="s">
        <v>17</v>
      </c>
      <c r="H4280" t="s">
        <v>18</v>
      </c>
      <c r="I4280">
        <v>79.78</v>
      </c>
      <c r="J4280" t="s">
        <v>19</v>
      </c>
      <c r="K4280" t="s">
        <v>5857</v>
      </c>
      <c r="L4280" t="s">
        <v>21</v>
      </c>
    </row>
    <row r="4281" spans="1:12">
      <c r="A4281" t="s">
        <v>5858</v>
      </c>
      <c r="B4281" t="s">
        <v>5816</v>
      </c>
      <c r="C4281" t="s">
        <v>80</v>
      </c>
      <c r="D4281">
        <v>2002</v>
      </c>
      <c r="E4281" t="s">
        <v>23</v>
      </c>
      <c r="F4281" t="s">
        <v>24</v>
      </c>
      <c r="G4281" t="s">
        <v>25</v>
      </c>
      <c r="H4281" t="s">
        <v>26</v>
      </c>
      <c r="I4281">
        <v>40152517</v>
      </c>
      <c r="J4281" t="s">
        <v>27</v>
      </c>
      <c r="K4281" t="s">
        <v>5857</v>
      </c>
      <c r="L4281" t="s">
        <v>21</v>
      </c>
    </row>
    <row r="4282" spans="1:12">
      <c r="A4282" t="s">
        <v>5859</v>
      </c>
      <c r="B4282" t="s">
        <v>5816</v>
      </c>
      <c r="C4282" t="s">
        <v>80</v>
      </c>
      <c r="D4282">
        <v>2002</v>
      </c>
      <c r="E4282" t="s">
        <v>29</v>
      </c>
      <c r="F4282" t="s">
        <v>30</v>
      </c>
      <c r="G4282" t="s">
        <v>31</v>
      </c>
      <c r="H4282" t="s">
        <v>32</v>
      </c>
      <c r="I4282">
        <v>24835.471659999999</v>
      </c>
      <c r="J4282" t="s">
        <v>33</v>
      </c>
      <c r="K4282" t="s">
        <v>5857</v>
      </c>
      <c r="L4282" t="s">
        <v>21</v>
      </c>
    </row>
    <row r="4283" spans="1:12">
      <c r="A4283" t="s">
        <v>5860</v>
      </c>
      <c r="B4283" t="s">
        <v>5816</v>
      </c>
      <c r="C4283" t="s">
        <v>80</v>
      </c>
      <c r="D4283">
        <v>2007</v>
      </c>
      <c r="E4283" t="s">
        <v>15</v>
      </c>
      <c r="F4283" t="s">
        <v>16</v>
      </c>
      <c r="G4283" t="s">
        <v>17</v>
      </c>
      <c r="H4283" t="s">
        <v>18</v>
      </c>
      <c r="I4283">
        <v>80.941000000000003</v>
      </c>
      <c r="J4283" t="s">
        <v>19</v>
      </c>
      <c r="K4283" t="s">
        <v>5861</v>
      </c>
      <c r="L4283" t="s">
        <v>21</v>
      </c>
    </row>
    <row r="4284" spans="1:12">
      <c r="A4284" t="s">
        <v>5862</v>
      </c>
      <c r="B4284" t="s">
        <v>5816</v>
      </c>
      <c r="C4284" t="s">
        <v>80</v>
      </c>
      <c r="D4284">
        <v>2007</v>
      </c>
      <c r="E4284" t="s">
        <v>23</v>
      </c>
      <c r="F4284" t="s">
        <v>24</v>
      </c>
      <c r="G4284" t="s">
        <v>25</v>
      </c>
      <c r="H4284" t="s">
        <v>26</v>
      </c>
      <c r="I4284">
        <v>40448191</v>
      </c>
      <c r="J4284" t="s">
        <v>27</v>
      </c>
      <c r="K4284" t="s">
        <v>5861</v>
      </c>
      <c r="L4284" t="s">
        <v>21</v>
      </c>
    </row>
    <row r="4285" spans="1:12">
      <c r="A4285" t="s">
        <v>5863</v>
      </c>
      <c r="B4285" t="s">
        <v>5816</v>
      </c>
      <c r="C4285" t="s">
        <v>80</v>
      </c>
      <c r="D4285">
        <v>2007</v>
      </c>
      <c r="E4285" t="s">
        <v>29</v>
      </c>
      <c r="F4285" t="s">
        <v>30</v>
      </c>
      <c r="G4285" t="s">
        <v>31</v>
      </c>
      <c r="H4285" t="s">
        <v>32</v>
      </c>
      <c r="I4285">
        <v>28821.063699999999</v>
      </c>
      <c r="J4285" t="s">
        <v>33</v>
      </c>
      <c r="K4285" t="s">
        <v>5861</v>
      </c>
      <c r="L4285" t="s">
        <v>21</v>
      </c>
    </row>
    <row r="4286" spans="1:12">
      <c r="A4286" t="s">
        <v>5864</v>
      </c>
      <c r="B4286" t="s">
        <v>5865</v>
      </c>
      <c r="C4286" t="s">
        <v>14</v>
      </c>
      <c r="D4286">
        <v>1952</v>
      </c>
      <c r="E4286" t="s">
        <v>15</v>
      </c>
      <c r="F4286" t="s">
        <v>16</v>
      </c>
      <c r="G4286" t="s">
        <v>17</v>
      </c>
      <c r="H4286" t="s">
        <v>18</v>
      </c>
      <c r="I4286">
        <v>57.593000000000004</v>
      </c>
      <c r="J4286" t="s">
        <v>19</v>
      </c>
      <c r="K4286" t="s">
        <v>5866</v>
      </c>
      <c r="L4286" t="s">
        <v>21</v>
      </c>
    </row>
    <row r="4287" spans="1:12">
      <c r="A4287" t="s">
        <v>5867</v>
      </c>
      <c r="B4287" t="s">
        <v>5865</v>
      </c>
      <c r="C4287" t="s">
        <v>14</v>
      </c>
      <c r="D4287">
        <v>1952</v>
      </c>
      <c r="E4287" t="s">
        <v>23</v>
      </c>
      <c r="F4287" t="s">
        <v>24</v>
      </c>
      <c r="G4287" t="s">
        <v>25</v>
      </c>
      <c r="H4287" t="s">
        <v>26</v>
      </c>
      <c r="I4287">
        <v>7982342</v>
      </c>
      <c r="J4287" t="s">
        <v>27</v>
      </c>
      <c r="K4287" t="s">
        <v>5866</v>
      </c>
      <c r="L4287" t="s">
        <v>21</v>
      </c>
    </row>
    <row r="4288" spans="1:12">
      <c r="A4288" t="s">
        <v>5868</v>
      </c>
      <c r="B4288" t="s">
        <v>5865</v>
      </c>
      <c r="C4288" t="s">
        <v>14</v>
      </c>
      <c r="D4288">
        <v>1952</v>
      </c>
      <c r="E4288" t="s">
        <v>29</v>
      </c>
      <c r="F4288" t="s">
        <v>30</v>
      </c>
      <c r="G4288" t="s">
        <v>31</v>
      </c>
      <c r="H4288" t="s">
        <v>32</v>
      </c>
      <c r="I4288">
        <v>1083.5320300000001</v>
      </c>
      <c r="J4288" t="s">
        <v>33</v>
      </c>
      <c r="K4288" t="s">
        <v>5866</v>
      </c>
      <c r="L4288" t="s">
        <v>21</v>
      </c>
    </row>
    <row r="4289" spans="1:12">
      <c r="A4289" t="s">
        <v>5869</v>
      </c>
      <c r="B4289" t="s">
        <v>5865</v>
      </c>
      <c r="C4289" t="s">
        <v>14</v>
      </c>
      <c r="D4289">
        <v>1957</v>
      </c>
      <c r="E4289" t="s">
        <v>15</v>
      </c>
      <c r="F4289" t="s">
        <v>16</v>
      </c>
      <c r="G4289" t="s">
        <v>17</v>
      </c>
      <c r="H4289" t="s">
        <v>18</v>
      </c>
      <c r="I4289">
        <v>61.456000000000003</v>
      </c>
      <c r="J4289" t="s">
        <v>19</v>
      </c>
      <c r="K4289" t="s">
        <v>5870</v>
      </c>
      <c r="L4289" t="s">
        <v>21</v>
      </c>
    </row>
    <row r="4290" spans="1:12">
      <c r="A4290" t="s">
        <v>5871</v>
      </c>
      <c r="B4290" t="s">
        <v>5865</v>
      </c>
      <c r="C4290" t="s">
        <v>14</v>
      </c>
      <c r="D4290">
        <v>1957</v>
      </c>
      <c r="E4290" t="s">
        <v>23</v>
      </c>
      <c r="F4290" t="s">
        <v>24</v>
      </c>
      <c r="G4290" t="s">
        <v>25</v>
      </c>
      <c r="H4290" t="s">
        <v>26</v>
      </c>
      <c r="I4290">
        <v>9128546</v>
      </c>
      <c r="J4290" t="s">
        <v>27</v>
      </c>
      <c r="K4290" t="s">
        <v>5870</v>
      </c>
      <c r="L4290" t="s">
        <v>21</v>
      </c>
    </row>
    <row r="4291" spans="1:12">
      <c r="A4291" t="s">
        <v>5872</v>
      </c>
      <c r="B4291" t="s">
        <v>5865</v>
      </c>
      <c r="C4291" t="s">
        <v>14</v>
      </c>
      <c r="D4291">
        <v>1957</v>
      </c>
      <c r="E4291" t="s">
        <v>29</v>
      </c>
      <c r="F4291" t="s">
        <v>30</v>
      </c>
      <c r="G4291" t="s">
        <v>31</v>
      </c>
      <c r="H4291" t="s">
        <v>32</v>
      </c>
      <c r="I4291">
        <v>1072.5466019999999</v>
      </c>
      <c r="J4291" t="s">
        <v>33</v>
      </c>
      <c r="K4291" t="s">
        <v>5870</v>
      </c>
      <c r="L4291" t="s">
        <v>21</v>
      </c>
    </row>
    <row r="4292" spans="1:12">
      <c r="A4292" t="s">
        <v>5873</v>
      </c>
      <c r="B4292" t="s">
        <v>5865</v>
      </c>
      <c r="C4292" t="s">
        <v>14</v>
      </c>
      <c r="D4292">
        <v>1962</v>
      </c>
      <c r="E4292" t="s">
        <v>15</v>
      </c>
      <c r="F4292" t="s">
        <v>16</v>
      </c>
      <c r="G4292" t="s">
        <v>17</v>
      </c>
      <c r="H4292" t="s">
        <v>18</v>
      </c>
      <c r="I4292">
        <v>62.192</v>
      </c>
      <c r="J4292" t="s">
        <v>19</v>
      </c>
      <c r="K4292" t="s">
        <v>5874</v>
      </c>
      <c r="L4292" t="s">
        <v>21</v>
      </c>
    </row>
    <row r="4293" spans="1:12">
      <c r="A4293" t="s">
        <v>5875</v>
      </c>
      <c r="B4293" t="s">
        <v>5865</v>
      </c>
      <c r="C4293" t="s">
        <v>14</v>
      </c>
      <c r="D4293">
        <v>1962</v>
      </c>
      <c r="E4293" t="s">
        <v>23</v>
      </c>
      <c r="F4293" t="s">
        <v>24</v>
      </c>
      <c r="G4293" t="s">
        <v>25</v>
      </c>
      <c r="H4293" t="s">
        <v>26</v>
      </c>
      <c r="I4293">
        <v>10421936</v>
      </c>
      <c r="J4293" t="s">
        <v>27</v>
      </c>
      <c r="K4293" t="s">
        <v>5874</v>
      </c>
      <c r="L4293" t="s">
        <v>21</v>
      </c>
    </row>
    <row r="4294" spans="1:12">
      <c r="A4294" t="s">
        <v>5876</v>
      </c>
      <c r="B4294" t="s">
        <v>5865</v>
      </c>
      <c r="C4294" t="s">
        <v>14</v>
      </c>
      <c r="D4294">
        <v>1962</v>
      </c>
      <c r="E4294" t="s">
        <v>29</v>
      </c>
      <c r="F4294" t="s">
        <v>30</v>
      </c>
      <c r="G4294" t="s">
        <v>31</v>
      </c>
      <c r="H4294" t="s">
        <v>32</v>
      </c>
      <c r="I4294">
        <v>1074.4719600000001</v>
      </c>
      <c r="J4294" t="s">
        <v>33</v>
      </c>
      <c r="K4294" t="s">
        <v>5874</v>
      </c>
      <c r="L4294" t="s">
        <v>21</v>
      </c>
    </row>
    <row r="4295" spans="1:12">
      <c r="A4295" t="s">
        <v>5877</v>
      </c>
      <c r="B4295" t="s">
        <v>5865</v>
      </c>
      <c r="C4295" t="s">
        <v>14</v>
      </c>
      <c r="D4295">
        <v>1967</v>
      </c>
      <c r="E4295" t="s">
        <v>15</v>
      </c>
      <c r="F4295" t="s">
        <v>16</v>
      </c>
      <c r="G4295" t="s">
        <v>17</v>
      </c>
      <c r="H4295" t="s">
        <v>18</v>
      </c>
      <c r="I4295">
        <v>64.266000000000005</v>
      </c>
      <c r="J4295" t="s">
        <v>19</v>
      </c>
      <c r="K4295" t="s">
        <v>5878</v>
      </c>
      <c r="L4295" t="s">
        <v>21</v>
      </c>
    </row>
    <row r="4296" spans="1:12">
      <c r="A4296" t="s">
        <v>5879</v>
      </c>
      <c r="B4296" t="s">
        <v>5865</v>
      </c>
      <c r="C4296" t="s">
        <v>14</v>
      </c>
      <c r="D4296">
        <v>1967</v>
      </c>
      <c r="E4296" t="s">
        <v>23</v>
      </c>
      <c r="F4296" t="s">
        <v>24</v>
      </c>
      <c r="G4296" t="s">
        <v>25</v>
      </c>
      <c r="H4296" t="s">
        <v>26</v>
      </c>
      <c r="I4296">
        <v>11737396</v>
      </c>
      <c r="J4296" t="s">
        <v>27</v>
      </c>
      <c r="K4296" t="s">
        <v>5878</v>
      </c>
      <c r="L4296" t="s">
        <v>21</v>
      </c>
    </row>
    <row r="4297" spans="1:12">
      <c r="A4297" t="s">
        <v>5880</v>
      </c>
      <c r="B4297" t="s">
        <v>5865</v>
      </c>
      <c r="C4297" t="s">
        <v>14</v>
      </c>
      <c r="D4297">
        <v>1967</v>
      </c>
      <c r="E4297" t="s">
        <v>29</v>
      </c>
      <c r="F4297" t="s">
        <v>30</v>
      </c>
      <c r="G4297" t="s">
        <v>31</v>
      </c>
      <c r="H4297" t="s">
        <v>32</v>
      </c>
      <c r="I4297">
        <v>1135.514326</v>
      </c>
      <c r="J4297" t="s">
        <v>33</v>
      </c>
      <c r="K4297" t="s">
        <v>5878</v>
      </c>
      <c r="L4297" t="s">
        <v>21</v>
      </c>
    </row>
    <row r="4298" spans="1:12">
      <c r="A4298" t="s">
        <v>5881</v>
      </c>
      <c r="B4298" t="s">
        <v>5865</v>
      </c>
      <c r="C4298" t="s">
        <v>14</v>
      </c>
      <c r="D4298">
        <v>1972</v>
      </c>
      <c r="E4298" t="s">
        <v>15</v>
      </c>
      <c r="F4298" t="s">
        <v>16</v>
      </c>
      <c r="G4298" t="s">
        <v>17</v>
      </c>
      <c r="H4298" t="s">
        <v>18</v>
      </c>
      <c r="I4298">
        <v>65.042000000000002</v>
      </c>
      <c r="J4298" t="s">
        <v>19</v>
      </c>
      <c r="K4298" t="s">
        <v>5882</v>
      </c>
      <c r="L4298" t="s">
        <v>21</v>
      </c>
    </row>
    <row r="4299" spans="1:12">
      <c r="A4299" t="s">
        <v>5883</v>
      </c>
      <c r="B4299" t="s">
        <v>5865</v>
      </c>
      <c r="C4299" t="s">
        <v>14</v>
      </c>
      <c r="D4299">
        <v>1972</v>
      </c>
      <c r="E4299" t="s">
        <v>23</v>
      </c>
      <c r="F4299" t="s">
        <v>24</v>
      </c>
      <c r="G4299" t="s">
        <v>25</v>
      </c>
      <c r="H4299" t="s">
        <v>26</v>
      </c>
      <c r="I4299">
        <v>13016733</v>
      </c>
      <c r="J4299" t="s">
        <v>27</v>
      </c>
      <c r="K4299" t="s">
        <v>5882</v>
      </c>
      <c r="L4299" t="s">
        <v>21</v>
      </c>
    </row>
    <row r="4300" spans="1:12">
      <c r="A4300" t="s">
        <v>5884</v>
      </c>
      <c r="B4300" t="s">
        <v>5865</v>
      </c>
      <c r="C4300" t="s">
        <v>14</v>
      </c>
      <c r="D4300">
        <v>1972</v>
      </c>
      <c r="E4300" t="s">
        <v>29</v>
      </c>
      <c r="F4300" t="s">
        <v>30</v>
      </c>
      <c r="G4300" t="s">
        <v>31</v>
      </c>
      <c r="H4300" t="s">
        <v>32</v>
      </c>
      <c r="I4300">
        <v>1213.39553</v>
      </c>
      <c r="J4300" t="s">
        <v>33</v>
      </c>
      <c r="K4300" t="s">
        <v>5882</v>
      </c>
      <c r="L4300" t="s">
        <v>21</v>
      </c>
    </row>
    <row r="4301" spans="1:12">
      <c r="A4301" t="s">
        <v>5885</v>
      </c>
      <c r="B4301" t="s">
        <v>5865</v>
      </c>
      <c r="C4301" t="s">
        <v>14</v>
      </c>
      <c r="D4301">
        <v>1977</v>
      </c>
      <c r="E4301" t="s">
        <v>15</v>
      </c>
      <c r="F4301" t="s">
        <v>16</v>
      </c>
      <c r="G4301" t="s">
        <v>17</v>
      </c>
      <c r="H4301" t="s">
        <v>18</v>
      </c>
      <c r="I4301">
        <v>65.948999999999998</v>
      </c>
      <c r="J4301" t="s">
        <v>19</v>
      </c>
      <c r="K4301" t="s">
        <v>5886</v>
      </c>
      <c r="L4301" t="s">
        <v>21</v>
      </c>
    </row>
    <row r="4302" spans="1:12">
      <c r="A4302" t="s">
        <v>5887</v>
      </c>
      <c r="B4302" t="s">
        <v>5865</v>
      </c>
      <c r="C4302" t="s">
        <v>14</v>
      </c>
      <c r="D4302">
        <v>1977</v>
      </c>
      <c r="E4302" t="s">
        <v>23</v>
      </c>
      <c r="F4302" t="s">
        <v>24</v>
      </c>
      <c r="G4302" t="s">
        <v>25</v>
      </c>
      <c r="H4302" t="s">
        <v>26</v>
      </c>
      <c r="I4302">
        <v>14116836</v>
      </c>
      <c r="J4302" t="s">
        <v>27</v>
      </c>
      <c r="K4302" t="s">
        <v>5886</v>
      </c>
      <c r="L4302" t="s">
        <v>21</v>
      </c>
    </row>
    <row r="4303" spans="1:12">
      <c r="A4303" t="s">
        <v>5888</v>
      </c>
      <c r="B4303" t="s">
        <v>5865</v>
      </c>
      <c r="C4303" t="s">
        <v>14</v>
      </c>
      <c r="D4303">
        <v>1977</v>
      </c>
      <c r="E4303" t="s">
        <v>29</v>
      </c>
      <c r="F4303" t="s">
        <v>30</v>
      </c>
      <c r="G4303" t="s">
        <v>31</v>
      </c>
      <c r="H4303" t="s">
        <v>32</v>
      </c>
      <c r="I4303">
        <v>1348.7756509999999</v>
      </c>
      <c r="J4303" t="s">
        <v>33</v>
      </c>
      <c r="K4303" t="s">
        <v>5886</v>
      </c>
      <c r="L4303" t="s">
        <v>21</v>
      </c>
    </row>
    <row r="4304" spans="1:12">
      <c r="A4304" t="s">
        <v>5889</v>
      </c>
      <c r="B4304" t="s">
        <v>5865</v>
      </c>
      <c r="C4304" t="s">
        <v>14</v>
      </c>
      <c r="D4304">
        <v>1982</v>
      </c>
      <c r="E4304" t="s">
        <v>15</v>
      </c>
      <c r="F4304" t="s">
        <v>16</v>
      </c>
      <c r="G4304" t="s">
        <v>17</v>
      </c>
      <c r="H4304" t="s">
        <v>18</v>
      </c>
      <c r="I4304">
        <v>68.757000000000005</v>
      </c>
      <c r="J4304" t="s">
        <v>19</v>
      </c>
      <c r="K4304" t="s">
        <v>5890</v>
      </c>
      <c r="L4304" t="s">
        <v>21</v>
      </c>
    </row>
    <row r="4305" spans="1:12">
      <c r="A4305" t="s">
        <v>5891</v>
      </c>
      <c r="B4305" t="s">
        <v>5865</v>
      </c>
      <c r="C4305" t="s">
        <v>14</v>
      </c>
      <c r="D4305">
        <v>1982</v>
      </c>
      <c r="E4305" t="s">
        <v>23</v>
      </c>
      <c r="F4305" t="s">
        <v>24</v>
      </c>
      <c r="G4305" t="s">
        <v>25</v>
      </c>
      <c r="H4305" t="s">
        <v>26</v>
      </c>
      <c r="I4305">
        <v>15410151</v>
      </c>
      <c r="J4305" t="s">
        <v>27</v>
      </c>
      <c r="K4305" t="s">
        <v>5890</v>
      </c>
      <c r="L4305" t="s">
        <v>21</v>
      </c>
    </row>
    <row r="4306" spans="1:12">
      <c r="A4306" t="s">
        <v>5892</v>
      </c>
      <c r="B4306" t="s">
        <v>5865</v>
      </c>
      <c r="C4306" t="s">
        <v>14</v>
      </c>
      <c r="D4306">
        <v>1982</v>
      </c>
      <c r="E4306" t="s">
        <v>29</v>
      </c>
      <c r="F4306" t="s">
        <v>30</v>
      </c>
      <c r="G4306" t="s">
        <v>31</v>
      </c>
      <c r="H4306" t="s">
        <v>32</v>
      </c>
      <c r="I4306">
        <v>1648.0797889999999</v>
      </c>
      <c r="J4306" t="s">
        <v>33</v>
      </c>
      <c r="K4306" t="s">
        <v>5890</v>
      </c>
      <c r="L4306" t="s">
        <v>21</v>
      </c>
    </row>
    <row r="4307" spans="1:12">
      <c r="A4307" t="s">
        <v>5893</v>
      </c>
      <c r="B4307" t="s">
        <v>5865</v>
      </c>
      <c r="C4307" t="s">
        <v>14</v>
      </c>
      <c r="D4307">
        <v>1987</v>
      </c>
      <c r="E4307" t="s">
        <v>15</v>
      </c>
      <c r="F4307" t="s">
        <v>16</v>
      </c>
      <c r="G4307" t="s">
        <v>17</v>
      </c>
      <c r="H4307" t="s">
        <v>18</v>
      </c>
      <c r="I4307">
        <v>69.010999999999996</v>
      </c>
      <c r="J4307" t="s">
        <v>19</v>
      </c>
      <c r="K4307" t="s">
        <v>5894</v>
      </c>
      <c r="L4307" t="s">
        <v>21</v>
      </c>
    </row>
    <row r="4308" spans="1:12">
      <c r="A4308" t="s">
        <v>5895</v>
      </c>
      <c r="B4308" t="s">
        <v>5865</v>
      </c>
      <c r="C4308" t="s">
        <v>14</v>
      </c>
      <c r="D4308">
        <v>1987</v>
      </c>
      <c r="E4308" t="s">
        <v>23</v>
      </c>
      <c r="F4308" t="s">
        <v>24</v>
      </c>
      <c r="G4308" t="s">
        <v>25</v>
      </c>
      <c r="H4308" t="s">
        <v>26</v>
      </c>
      <c r="I4308">
        <v>16495304</v>
      </c>
      <c r="J4308" t="s">
        <v>27</v>
      </c>
      <c r="K4308" t="s">
        <v>5894</v>
      </c>
      <c r="L4308" t="s">
        <v>21</v>
      </c>
    </row>
    <row r="4309" spans="1:12">
      <c r="A4309" t="s">
        <v>5896</v>
      </c>
      <c r="B4309" t="s">
        <v>5865</v>
      </c>
      <c r="C4309" t="s">
        <v>14</v>
      </c>
      <c r="D4309">
        <v>1987</v>
      </c>
      <c r="E4309" t="s">
        <v>29</v>
      </c>
      <c r="F4309" t="s">
        <v>30</v>
      </c>
      <c r="G4309" t="s">
        <v>31</v>
      </c>
      <c r="H4309" t="s">
        <v>32</v>
      </c>
      <c r="I4309">
        <v>1876.7668269999999</v>
      </c>
      <c r="J4309" t="s">
        <v>33</v>
      </c>
      <c r="K4309" t="s">
        <v>5894</v>
      </c>
      <c r="L4309" t="s">
        <v>21</v>
      </c>
    </row>
    <row r="4310" spans="1:12">
      <c r="A4310" t="s">
        <v>5897</v>
      </c>
      <c r="B4310" t="s">
        <v>5865</v>
      </c>
      <c r="C4310" t="s">
        <v>14</v>
      </c>
      <c r="D4310">
        <v>1992</v>
      </c>
      <c r="E4310" t="s">
        <v>15</v>
      </c>
      <c r="F4310" t="s">
        <v>16</v>
      </c>
      <c r="G4310" t="s">
        <v>17</v>
      </c>
      <c r="H4310" t="s">
        <v>18</v>
      </c>
      <c r="I4310">
        <v>70.378999999999905</v>
      </c>
      <c r="J4310" t="s">
        <v>19</v>
      </c>
      <c r="K4310" t="s">
        <v>5898</v>
      </c>
      <c r="L4310" t="s">
        <v>21</v>
      </c>
    </row>
    <row r="4311" spans="1:12">
      <c r="A4311" t="s">
        <v>5899</v>
      </c>
      <c r="B4311" t="s">
        <v>5865</v>
      </c>
      <c r="C4311" t="s">
        <v>14</v>
      </c>
      <c r="D4311">
        <v>1992</v>
      </c>
      <c r="E4311" t="s">
        <v>23</v>
      </c>
      <c r="F4311" t="s">
        <v>24</v>
      </c>
      <c r="G4311" t="s">
        <v>25</v>
      </c>
      <c r="H4311" t="s">
        <v>26</v>
      </c>
      <c r="I4311">
        <v>17587060</v>
      </c>
      <c r="J4311" t="s">
        <v>27</v>
      </c>
      <c r="K4311" t="s">
        <v>5898</v>
      </c>
      <c r="L4311" t="s">
        <v>21</v>
      </c>
    </row>
    <row r="4312" spans="1:12">
      <c r="A4312" t="s">
        <v>5900</v>
      </c>
      <c r="B4312" t="s">
        <v>5865</v>
      </c>
      <c r="C4312" t="s">
        <v>14</v>
      </c>
      <c r="D4312">
        <v>1992</v>
      </c>
      <c r="E4312" t="s">
        <v>29</v>
      </c>
      <c r="F4312" t="s">
        <v>30</v>
      </c>
      <c r="G4312" t="s">
        <v>31</v>
      </c>
      <c r="H4312" t="s">
        <v>32</v>
      </c>
      <c r="I4312">
        <v>2153.7392220000002</v>
      </c>
      <c r="J4312" t="s">
        <v>33</v>
      </c>
      <c r="K4312" t="s">
        <v>5898</v>
      </c>
      <c r="L4312" t="s">
        <v>21</v>
      </c>
    </row>
    <row r="4313" spans="1:12">
      <c r="A4313" t="s">
        <v>5901</v>
      </c>
      <c r="B4313" t="s">
        <v>5865</v>
      </c>
      <c r="C4313" t="s">
        <v>14</v>
      </c>
      <c r="D4313">
        <v>1997</v>
      </c>
      <c r="E4313" t="s">
        <v>15</v>
      </c>
      <c r="F4313" t="s">
        <v>16</v>
      </c>
      <c r="G4313" t="s">
        <v>17</v>
      </c>
      <c r="H4313" t="s">
        <v>18</v>
      </c>
      <c r="I4313">
        <v>70.456999999999994</v>
      </c>
      <c r="J4313" t="s">
        <v>19</v>
      </c>
      <c r="K4313" t="s">
        <v>5902</v>
      </c>
      <c r="L4313" t="s">
        <v>21</v>
      </c>
    </row>
    <row r="4314" spans="1:12">
      <c r="A4314" t="s">
        <v>5903</v>
      </c>
      <c r="B4314" t="s">
        <v>5865</v>
      </c>
      <c r="C4314" t="s">
        <v>14</v>
      </c>
      <c r="D4314">
        <v>1997</v>
      </c>
      <c r="E4314" t="s">
        <v>23</v>
      </c>
      <c r="F4314" t="s">
        <v>24</v>
      </c>
      <c r="G4314" t="s">
        <v>25</v>
      </c>
      <c r="H4314" t="s">
        <v>26</v>
      </c>
      <c r="I4314">
        <v>18698655</v>
      </c>
      <c r="J4314" t="s">
        <v>27</v>
      </c>
      <c r="K4314" t="s">
        <v>5902</v>
      </c>
      <c r="L4314" t="s">
        <v>21</v>
      </c>
    </row>
    <row r="4315" spans="1:12">
      <c r="A4315" t="s">
        <v>5904</v>
      </c>
      <c r="B4315" t="s">
        <v>5865</v>
      </c>
      <c r="C4315" t="s">
        <v>14</v>
      </c>
      <c r="D4315">
        <v>1997</v>
      </c>
      <c r="E4315" t="s">
        <v>29</v>
      </c>
      <c r="F4315" t="s">
        <v>30</v>
      </c>
      <c r="G4315" t="s">
        <v>31</v>
      </c>
      <c r="H4315" t="s">
        <v>32</v>
      </c>
      <c r="I4315">
        <v>2664.477257</v>
      </c>
      <c r="J4315" t="s">
        <v>33</v>
      </c>
      <c r="K4315" t="s">
        <v>5902</v>
      </c>
      <c r="L4315" t="s">
        <v>21</v>
      </c>
    </row>
    <row r="4316" spans="1:12">
      <c r="A4316" t="s">
        <v>5905</v>
      </c>
      <c r="B4316" t="s">
        <v>5865</v>
      </c>
      <c r="C4316" t="s">
        <v>14</v>
      </c>
      <c r="D4316">
        <v>2002</v>
      </c>
      <c r="E4316" t="s">
        <v>15</v>
      </c>
      <c r="F4316" t="s">
        <v>16</v>
      </c>
      <c r="G4316" t="s">
        <v>17</v>
      </c>
      <c r="H4316" t="s">
        <v>18</v>
      </c>
      <c r="I4316">
        <v>70.814999999999998</v>
      </c>
      <c r="J4316" t="s">
        <v>19</v>
      </c>
      <c r="K4316" t="s">
        <v>5906</v>
      </c>
      <c r="L4316" t="s">
        <v>21</v>
      </c>
    </row>
    <row r="4317" spans="1:12">
      <c r="A4317" t="s">
        <v>5907</v>
      </c>
      <c r="B4317" t="s">
        <v>5865</v>
      </c>
      <c r="C4317" t="s">
        <v>14</v>
      </c>
      <c r="D4317">
        <v>2002</v>
      </c>
      <c r="E4317" t="s">
        <v>23</v>
      </c>
      <c r="F4317" t="s">
        <v>24</v>
      </c>
      <c r="G4317" t="s">
        <v>25</v>
      </c>
      <c r="H4317" t="s">
        <v>26</v>
      </c>
      <c r="I4317">
        <v>19576783</v>
      </c>
      <c r="J4317" t="s">
        <v>27</v>
      </c>
      <c r="K4317" t="s">
        <v>5906</v>
      </c>
      <c r="L4317" t="s">
        <v>21</v>
      </c>
    </row>
    <row r="4318" spans="1:12">
      <c r="A4318" t="s">
        <v>5908</v>
      </c>
      <c r="B4318" t="s">
        <v>5865</v>
      </c>
      <c r="C4318" t="s">
        <v>14</v>
      </c>
      <c r="D4318">
        <v>2002</v>
      </c>
      <c r="E4318" t="s">
        <v>29</v>
      </c>
      <c r="F4318" t="s">
        <v>30</v>
      </c>
      <c r="G4318" t="s">
        <v>31</v>
      </c>
      <c r="H4318" t="s">
        <v>32</v>
      </c>
      <c r="I4318">
        <v>3015.3788330000002</v>
      </c>
      <c r="J4318" t="s">
        <v>33</v>
      </c>
      <c r="K4318" t="s">
        <v>5906</v>
      </c>
      <c r="L4318" t="s">
        <v>21</v>
      </c>
    </row>
    <row r="4319" spans="1:12">
      <c r="A4319" t="s">
        <v>5909</v>
      </c>
      <c r="B4319" t="s">
        <v>5865</v>
      </c>
      <c r="C4319" t="s">
        <v>14</v>
      </c>
      <c r="D4319">
        <v>2007</v>
      </c>
      <c r="E4319" t="s">
        <v>15</v>
      </c>
      <c r="F4319" t="s">
        <v>16</v>
      </c>
      <c r="G4319" t="s">
        <v>17</v>
      </c>
      <c r="H4319" t="s">
        <v>18</v>
      </c>
      <c r="I4319">
        <v>72.396000000000001</v>
      </c>
      <c r="J4319" t="s">
        <v>19</v>
      </c>
      <c r="K4319" t="s">
        <v>5910</v>
      </c>
      <c r="L4319" t="s">
        <v>21</v>
      </c>
    </row>
    <row r="4320" spans="1:12">
      <c r="A4320" t="s">
        <v>5911</v>
      </c>
      <c r="B4320" t="s">
        <v>5865</v>
      </c>
      <c r="C4320" t="s">
        <v>14</v>
      </c>
      <c r="D4320">
        <v>2007</v>
      </c>
      <c r="E4320" t="s">
        <v>23</v>
      </c>
      <c r="F4320" t="s">
        <v>24</v>
      </c>
      <c r="G4320" t="s">
        <v>25</v>
      </c>
      <c r="H4320" t="s">
        <v>26</v>
      </c>
      <c r="I4320">
        <v>20378239</v>
      </c>
      <c r="J4320" t="s">
        <v>27</v>
      </c>
      <c r="K4320" t="s">
        <v>5910</v>
      </c>
      <c r="L4320" t="s">
        <v>21</v>
      </c>
    </row>
    <row r="4321" spans="1:12">
      <c r="A4321" t="s">
        <v>5912</v>
      </c>
      <c r="B4321" t="s">
        <v>5865</v>
      </c>
      <c r="C4321" t="s">
        <v>14</v>
      </c>
      <c r="D4321">
        <v>2007</v>
      </c>
      <c r="E4321" t="s">
        <v>29</v>
      </c>
      <c r="F4321" t="s">
        <v>30</v>
      </c>
      <c r="G4321" t="s">
        <v>31</v>
      </c>
      <c r="H4321" t="s">
        <v>32</v>
      </c>
      <c r="I4321">
        <v>3970.0954069999998</v>
      </c>
      <c r="J4321" t="s">
        <v>33</v>
      </c>
      <c r="K4321" t="s">
        <v>5910</v>
      </c>
      <c r="L4321" t="s">
        <v>21</v>
      </c>
    </row>
    <row r="4322" spans="1:12">
      <c r="A4322" t="s">
        <v>5913</v>
      </c>
      <c r="B4322" t="s">
        <v>5914</v>
      </c>
      <c r="C4322" t="s">
        <v>130</v>
      </c>
      <c r="D4322">
        <v>1952</v>
      </c>
      <c r="E4322" t="s">
        <v>15</v>
      </c>
      <c r="F4322" t="s">
        <v>16</v>
      </c>
      <c r="G4322" t="s">
        <v>17</v>
      </c>
      <c r="H4322" t="s">
        <v>18</v>
      </c>
      <c r="I4322">
        <v>38.634999999999998</v>
      </c>
      <c r="J4322" t="s">
        <v>19</v>
      </c>
      <c r="K4322" t="s">
        <v>5915</v>
      </c>
      <c r="L4322" t="s">
        <v>21</v>
      </c>
    </row>
    <row r="4323" spans="1:12">
      <c r="A4323" t="s">
        <v>5916</v>
      </c>
      <c r="B4323" t="s">
        <v>5914</v>
      </c>
      <c r="C4323" t="s">
        <v>130</v>
      </c>
      <c r="D4323">
        <v>1952</v>
      </c>
      <c r="E4323" t="s">
        <v>23</v>
      </c>
      <c r="F4323" t="s">
        <v>24</v>
      </c>
      <c r="G4323" t="s">
        <v>25</v>
      </c>
      <c r="H4323" t="s">
        <v>26</v>
      </c>
      <c r="I4323">
        <v>8504667</v>
      </c>
      <c r="J4323" t="s">
        <v>27</v>
      </c>
      <c r="K4323" t="s">
        <v>5915</v>
      </c>
      <c r="L4323" t="s">
        <v>21</v>
      </c>
    </row>
    <row r="4324" spans="1:12">
      <c r="A4324" t="s">
        <v>5917</v>
      </c>
      <c r="B4324" t="s">
        <v>5914</v>
      </c>
      <c r="C4324" t="s">
        <v>130</v>
      </c>
      <c r="D4324">
        <v>1952</v>
      </c>
      <c r="E4324" t="s">
        <v>29</v>
      </c>
      <c r="F4324" t="s">
        <v>30</v>
      </c>
      <c r="G4324" t="s">
        <v>31</v>
      </c>
      <c r="H4324" t="s">
        <v>32</v>
      </c>
      <c r="I4324">
        <v>1615.991129</v>
      </c>
      <c r="J4324" t="s">
        <v>33</v>
      </c>
      <c r="K4324" t="s">
        <v>5915</v>
      </c>
      <c r="L4324" t="s">
        <v>21</v>
      </c>
    </row>
    <row r="4325" spans="1:12">
      <c r="A4325" t="s">
        <v>5918</v>
      </c>
      <c r="B4325" t="s">
        <v>5914</v>
      </c>
      <c r="C4325" t="s">
        <v>130</v>
      </c>
      <c r="D4325">
        <v>1957</v>
      </c>
      <c r="E4325" t="s">
        <v>15</v>
      </c>
      <c r="F4325" t="s">
        <v>16</v>
      </c>
      <c r="G4325" t="s">
        <v>17</v>
      </c>
      <c r="H4325" t="s">
        <v>18</v>
      </c>
      <c r="I4325">
        <v>39.624000000000002</v>
      </c>
      <c r="J4325" t="s">
        <v>19</v>
      </c>
      <c r="K4325" t="s">
        <v>5919</v>
      </c>
      <c r="L4325" t="s">
        <v>21</v>
      </c>
    </row>
    <row r="4326" spans="1:12">
      <c r="A4326" t="s">
        <v>5920</v>
      </c>
      <c r="B4326" t="s">
        <v>5914</v>
      </c>
      <c r="C4326" t="s">
        <v>130</v>
      </c>
      <c r="D4326">
        <v>1957</v>
      </c>
      <c r="E4326" t="s">
        <v>23</v>
      </c>
      <c r="F4326" t="s">
        <v>24</v>
      </c>
      <c r="G4326" t="s">
        <v>25</v>
      </c>
      <c r="H4326" t="s">
        <v>26</v>
      </c>
      <c r="I4326">
        <v>9753392</v>
      </c>
      <c r="J4326" t="s">
        <v>27</v>
      </c>
      <c r="K4326" t="s">
        <v>5919</v>
      </c>
      <c r="L4326" t="s">
        <v>21</v>
      </c>
    </row>
    <row r="4327" spans="1:12">
      <c r="A4327" t="s">
        <v>5921</v>
      </c>
      <c r="B4327" t="s">
        <v>5914</v>
      </c>
      <c r="C4327" t="s">
        <v>130</v>
      </c>
      <c r="D4327">
        <v>1957</v>
      </c>
      <c r="E4327" t="s">
        <v>29</v>
      </c>
      <c r="F4327" t="s">
        <v>30</v>
      </c>
      <c r="G4327" t="s">
        <v>31</v>
      </c>
      <c r="H4327" t="s">
        <v>32</v>
      </c>
      <c r="I4327">
        <v>1770.33707399999</v>
      </c>
      <c r="J4327" t="s">
        <v>33</v>
      </c>
      <c r="K4327" t="s">
        <v>5919</v>
      </c>
      <c r="L4327" t="s">
        <v>21</v>
      </c>
    </row>
    <row r="4328" spans="1:12">
      <c r="A4328" t="s">
        <v>5922</v>
      </c>
      <c r="B4328" t="s">
        <v>5914</v>
      </c>
      <c r="C4328" t="s">
        <v>130</v>
      </c>
      <c r="D4328">
        <v>1962</v>
      </c>
      <c r="E4328" t="s">
        <v>15</v>
      </c>
      <c r="F4328" t="s">
        <v>16</v>
      </c>
      <c r="G4328" t="s">
        <v>17</v>
      </c>
      <c r="H4328" t="s">
        <v>18</v>
      </c>
      <c r="I4328">
        <v>40.869999999999997</v>
      </c>
      <c r="J4328" t="s">
        <v>19</v>
      </c>
      <c r="K4328" t="s">
        <v>5923</v>
      </c>
      <c r="L4328" t="s">
        <v>21</v>
      </c>
    </row>
    <row r="4329" spans="1:12">
      <c r="A4329" t="s">
        <v>5924</v>
      </c>
      <c r="B4329" t="s">
        <v>5914</v>
      </c>
      <c r="C4329" t="s">
        <v>130</v>
      </c>
      <c r="D4329">
        <v>1962</v>
      </c>
      <c r="E4329" t="s">
        <v>23</v>
      </c>
      <c r="F4329" t="s">
        <v>24</v>
      </c>
      <c r="G4329" t="s">
        <v>25</v>
      </c>
      <c r="H4329" t="s">
        <v>26</v>
      </c>
      <c r="I4329">
        <v>11183227</v>
      </c>
      <c r="J4329" t="s">
        <v>27</v>
      </c>
      <c r="K4329" t="s">
        <v>5923</v>
      </c>
      <c r="L4329" t="s">
        <v>21</v>
      </c>
    </row>
    <row r="4330" spans="1:12">
      <c r="A4330" t="s">
        <v>5925</v>
      </c>
      <c r="B4330" t="s">
        <v>5914</v>
      </c>
      <c r="C4330" t="s">
        <v>130</v>
      </c>
      <c r="D4330">
        <v>1962</v>
      </c>
      <c r="E4330" t="s">
        <v>29</v>
      </c>
      <c r="F4330" t="s">
        <v>30</v>
      </c>
      <c r="G4330" t="s">
        <v>31</v>
      </c>
      <c r="H4330" t="s">
        <v>32</v>
      </c>
      <c r="I4330">
        <v>1959.5937670000001</v>
      </c>
      <c r="J4330" t="s">
        <v>33</v>
      </c>
      <c r="K4330" t="s">
        <v>5923</v>
      </c>
      <c r="L4330" t="s">
        <v>21</v>
      </c>
    </row>
    <row r="4331" spans="1:12">
      <c r="A4331" t="s">
        <v>5926</v>
      </c>
      <c r="B4331" t="s">
        <v>5914</v>
      </c>
      <c r="C4331" t="s">
        <v>130</v>
      </c>
      <c r="D4331">
        <v>1967</v>
      </c>
      <c r="E4331" t="s">
        <v>15</v>
      </c>
      <c r="F4331" t="s">
        <v>16</v>
      </c>
      <c r="G4331" t="s">
        <v>17</v>
      </c>
      <c r="H4331" t="s">
        <v>18</v>
      </c>
      <c r="I4331">
        <v>42.857999999999997</v>
      </c>
      <c r="J4331" t="s">
        <v>19</v>
      </c>
      <c r="K4331" t="s">
        <v>5927</v>
      </c>
      <c r="L4331" t="s">
        <v>21</v>
      </c>
    </row>
    <row r="4332" spans="1:12">
      <c r="A4332" t="s">
        <v>5928</v>
      </c>
      <c r="B4332" t="s">
        <v>5914</v>
      </c>
      <c r="C4332" t="s">
        <v>130</v>
      </c>
      <c r="D4332">
        <v>1967</v>
      </c>
      <c r="E4332" t="s">
        <v>23</v>
      </c>
      <c r="F4332" t="s">
        <v>24</v>
      </c>
      <c r="G4332" t="s">
        <v>25</v>
      </c>
      <c r="H4332" t="s">
        <v>26</v>
      </c>
      <c r="I4332">
        <v>12716129</v>
      </c>
      <c r="J4332" t="s">
        <v>27</v>
      </c>
      <c r="K4332" t="s">
        <v>5927</v>
      </c>
      <c r="L4332" t="s">
        <v>21</v>
      </c>
    </row>
    <row r="4333" spans="1:12">
      <c r="A4333" t="s">
        <v>5929</v>
      </c>
      <c r="B4333" t="s">
        <v>5914</v>
      </c>
      <c r="C4333" t="s">
        <v>130</v>
      </c>
      <c r="D4333">
        <v>1967</v>
      </c>
      <c r="E4333" t="s">
        <v>29</v>
      </c>
      <c r="F4333" t="s">
        <v>30</v>
      </c>
      <c r="G4333" t="s">
        <v>31</v>
      </c>
      <c r="H4333" t="s">
        <v>32</v>
      </c>
      <c r="I4333">
        <v>1687.9976409999999</v>
      </c>
      <c r="J4333" t="s">
        <v>33</v>
      </c>
      <c r="K4333" t="s">
        <v>5927</v>
      </c>
      <c r="L4333" t="s">
        <v>21</v>
      </c>
    </row>
    <row r="4334" spans="1:12">
      <c r="A4334" t="s">
        <v>5930</v>
      </c>
      <c r="B4334" t="s">
        <v>5914</v>
      </c>
      <c r="C4334" t="s">
        <v>130</v>
      </c>
      <c r="D4334">
        <v>1972</v>
      </c>
      <c r="E4334" t="s">
        <v>15</v>
      </c>
      <c r="F4334" t="s">
        <v>16</v>
      </c>
      <c r="G4334" t="s">
        <v>17</v>
      </c>
      <c r="H4334" t="s">
        <v>18</v>
      </c>
      <c r="I4334">
        <v>45.082999999999998</v>
      </c>
      <c r="J4334" t="s">
        <v>19</v>
      </c>
      <c r="K4334" t="s">
        <v>5931</v>
      </c>
      <c r="L4334" t="s">
        <v>21</v>
      </c>
    </row>
    <row r="4335" spans="1:12">
      <c r="A4335" t="s">
        <v>5932</v>
      </c>
      <c r="B4335" t="s">
        <v>5914</v>
      </c>
      <c r="C4335" t="s">
        <v>130</v>
      </c>
      <c r="D4335">
        <v>1972</v>
      </c>
      <c r="E4335" t="s">
        <v>23</v>
      </c>
      <c r="F4335" t="s">
        <v>24</v>
      </c>
      <c r="G4335" t="s">
        <v>25</v>
      </c>
      <c r="H4335" t="s">
        <v>26</v>
      </c>
      <c r="I4335">
        <v>14597019</v>
      </c>
      <c r="J4335" t="s">
        <v>27</v>
      </c>
      <c r="K4335" t="s">
        <v>5931</v>
      </c>
      <c r="L4335" t="s">
        <v>21</v>
      </c>
    </row>
    <row r="4336" spans="1:12">
      <c r="A4336" t="s">
        <v>5933</v>
      </c>
      <c r="B4336" t="s">
        <v>5914</v>
      </c>
      <c r="C4336" t="s">
        <v>130</v>
      </c>
      <c r="D4336">
        <v>1972</v>
      </c>
      <c r="E4336" t="s">
        <v>29</v>
      </c>
      <c r="F4336" t="s">
        <v>30</v>
      </c>
      <c r="G4336" t="s">
        <v>31</v>
      </c>
      <c r="H4336" t="s">
        <v>32</v>
      </c>
      <c r="I4336">
        <v>1659.652775</v>
      </c>
      <c r="J4336" t="s">
        <v>33</v>
      </c>
      <c r="K4336" t="s">
        <v>5931</v>
      </c>
      <c r="L4336" t="s">
        <v>21</v>
      </c>
    </row>
    <row r="4337" spans="1:12">
      <c r="A4337" t="s">
        <v>5934</v>
      </c>
      <c r="B4337" t="s">
        <v>5914</v>
      </c>
      <c r="C4337" t="s">
        <v>130</v>
      </c>
      <c r="D4337">
        <v>1977</v>
      </c>
      <c r="E4337" t="s">
        <v>15</v>
      </c>
      <c r="F4337" t="s">
        <v>16</v>
      </c>
      <c r="G4337" t="s">
        <v>17</v>
      </c>
      <c r="H4337" t="s">
        <v>18</v>
      </c>
      <c r="I4337">
        <v>47.8</v>
      </c>
      <c r="J4337" t="s">
        <v>19</v>
      </c>
      <c r="K4337" t="s">
        <v>5935</v>
      </c>
      <c r="L4337" t="s">
        <v>21</v>
      </c>
    </row>
    <row r="4338" spans="1:12">
      <c r="A4338" t="s">
        <v>5936</v>
      </c>
      <c r="B4338" t="s">
        <v>5914</v>
      </c>
      <c r="C4338" t="s">
        <v>130</v>
      </c>
      <c r="D4338">
        <v>1977</v>
      </c>
      <c r="E4338" t="s">
        <v>23</v>
      </c>
      <c r="F4338" t="s">
        <v>24</v>
      </c>
      <c r="G4338" t="s">
        <v>25</v>
      </c>
      <c r="H4338" t="s">
        <v>26</v>
      </c>
      <c r="I4338">
        <v>17104986</v>
      </c>
      <c r="J4338" t="s">
        <v>27</v>
      </c>
      <c r="K4338" t="s">
        <v>5935</v>
      </c>
      <c r="L4338" t="s">
        <v>21</v>
      </c>
    </row>
    <row r="4339" spans="1:12">
      <c r="A4339" t="s">
        <v>5937</v>
      </c>
      <c r="B4339" t="s">
        <v>5914</v>
      </c>
      <c r="C4339" t="s">
        <v>130</v>
      </c>
      <c r="D4339">
        <v>1977</v>
      </c>
      <c r="E4339" t="s">
        <v>29</v>
      </c>
      <c r="F4339" t="s">
        <v>30</v>
      </c>
      <c r="G4339" t="s">
        <v>31</v>
      </c>
      <c r="H4339" t="s">
        <v>32</v>
      </c>
      <c r="I4339">
        <v>2202.9884229999998</v>
      </c>
      <c r="J4339" t="s">
        <v>33</v>
      </c>
      <c r="K4339" t="s">
        <v>5935</v>
      </c>
      <c r="L4339" t="s">
        <v>21</v>
      </c>
    </row>
    <row r="4340" spans="1:12">
      <c r="A4340" t="s">
        <v>5938</v>
      </c>
      <c r="B4340" t="s">
        <v>5914</v>
      </c>
      <c r="C4340" t="s">
        <v>130</v>
      </c>
      <c r="D4340">
        <v>1982</v>
      </c>
      <c r="E4340" t="s">
        <v>15</v>
      </c>
      <c r="F4340" t="s">
        <v>16</v>
      </c>
      <c r="G4340" t="s">
        <v>17</v>
      </c>
      <c r="H4340" t="s">
        <v>18</v>
      </c>
      <c r="I4340">
        <v>50.338000000000001</v>
      </c>
      <c r="J4340" t="s">
        <v>19</v>
      </c>
      <c r="K4340" t="s">
        <v>5939</v>
      </c>
      <c r="L4340" t="s">
        <v>21</v>
      </c>
    </row>
    <row r="4341" spans="1:12">
      <c r="A4341" t="s">
        <v>5940</v>
      </c>
      <c r="B4341" t="s">
        <v>5914</v>
      </c>
      <c r="C4341" t="s">
        <v>130</v>
      </c>
      <c r="D4341">
        <v>1982</v>
      </c>
      <c r="E4341" t="s">
        <v>23</v>
      </c>
      <c r="F4341" t="s">
        <v>24</v>
      </c>
      <c r="G4341" t="s">
        <v>25</v>
      </c>
      <c r="H4341" t="s">
        <v>26</v>
      </c>
      <c r="I4341">
        <v>20367053</v>
      </c>
      <c r="J4341" t="s">
        <v>27</v>
      </c>
      <c r="K4341" t="s">
        <v>5939</v>
      </c>
      <c r="L4341" t="s">
        <v>21</v>
      </c>
    </row>
    <row r="4342" spans="1:12">
      <c r="A4342" t="s">
        <v>5941</v>
      </c>
      <c r="B4342" t="s">
        <v>5914</v>
      </c>
      <c r="C4342" t="s">
        <v>130</v>
      </c>
      <c r="D4342">
        <v>1982</v>
      </c>
      <c r="E4342" t="s">
        <v>29</v>
      </c>
      <c r="F4342" t="s">
        <v>30</v>
      </c>
      <c r="G4342" t="s">
        <v>31</v>
      </c>
      <c r="H4342" t="s">
        <v>32</v>
      </c>
      <c r="I4342">
        <v>1895.544073</v>
      </c>
      <c r="J4342" t="s">
        <v>33</v>
      </c>
      <c r="K4342" t="s">
        <v>5939</v>
      </c>
      <c r="L4342" t="s">
        <v>21</v>
      </c>
    </row>
    <row r="4343" spans="1:12">
      <c r="A4343" t="s">
        <v>5942</v>
      </c>
      <c r="B4343" t="s">
        <v>5914</v>
      </c>
      <c r="C4343" t="s">
        <v>130</v>
      </c>
      <c r="D4343">
        <v>1987</v>
      </c>
      <c r="E4343" t="s">
        <v>15</v>
      </c>
      <c r="F4343" t="s">
        <v>16</v>
      </c>
      <c r="G4343" t="s">
        <v>17</v>
      </c>
      <c r="H4343" t="s">
        <v>18</v>
      </c>
      <c r="I4343">
        <v>51.744</v>
      </c>
      <c r="J4343" t="s">
        <v>19</v>
      </c>
      <c r="K4343" t="s">
        <v>5943</v>
      </c>
      <c r="L4343" t="s">
        <v>21</v>
      </c>
    </row>
    <row r="4344" spans="1:12">
      <c r="A4344" t="s">
        <v>5944</v>
      </c>
      <c r="B4344" t="s">
        <v>5914</v>
      </c>
      <c r="C4344" t="s">
        <v>130</v>
      </c>
      <c r="D4344">
        <v>1987</v>
      </c>
      <c r="E4344" t="s">
        <v>23</v>
      </c>
      <c r="F4344" t="s">
        <v>24</v>
      </c>
      <c r="G4344" t="s">
        <v>25</v>
      </c>
      <c r="H4344" t="s">
        <v>26</v>
      </c>
      <c r="I4344">
        <v>24725960</v>
      </c>
      <c r="J4344" t="s">
        <v>27</v>
      </c>
      <c r="K4344" t="s">
        <v>5943</v>
      </c>
      <c r="L4344" t="s">
        <v>21</v>
      </c>
    </row>
    <row r="4345" spans="1:12">
      <c r="A4345" t="s">
        <v>5945</v>
      </c>
      <c r="B4345" t="s">
        <v>5914</v>
      </c>
      <c r="C4345" t="s">
        <v>130</v>
      </c>
      <c r="D4345">
        <v>1987</v>
      </c>
      <c r="E4345" t="s">
        <v>29</v>
      </c>
      <c r="F4345" t="s">
        <v>30</v>
      </c>
      <c r="G4345" t="s">
        <v>31</v>
      </c>
      <c r="H4345" t="s">
        <v>32</v>
      </c>
      <c r="I4345">
        <v>1507.8191589999999</v>
      </c>
      <c r="J4345" t="s">
        <v>33</v>
      </c>
      <c r="K4345" t="s">
        <v>5943</v>
      </c>
      <c r="L4345" t="s">
        <v>21</v>
      </c>
    </row>
    <row r="4346" spans="1:12">
      <c r="A4346" t="s">
        <v>5946</v>
      </c>
      <c r="B4346" t="s">
        <v>5914</v>
      </c>
      <c r="C4346" t="s">
        <v>130</v>
      </c>
      <c r="D4346">
        <v>1992</v>
      </c>
      <c r="E4346" t="s">
        <v>15</v>
      </c>
      <c r="F4346" t="s">
        <v>16</v>
      </c>
      <c r="G4346" t="s">
        <v>17</v>
      </c>
      <c r="H4346" t="s">
        <v>18</v>
      </c>
      <c r="I4346">
        <v>53.555999999999997</v>
      </c>
      <c r="J4346" t="s">
        <v>19</v>
      </c>
      <c r="K4346" t="s">
        <v>5947</v>
      </c>
      <c r="L4346" t="s">
        <v>21</v>
      </c>
    </row>
    <row r="4347" spans="1:12">
      <c r="A4347" t="s">
        <v>5948</v>
      </c>
      <c r="B4347" t="s">
        <v>5914</v>
      </c>
      <c r="C4347" t="s">
        <v>130</v>
      </c>
      <c r="D4347">
        <v>1992</v>
      </c>
      <c r="E4347" t="s">
        <v>23</v>
      </c>
      <c r="F4347" t="s">
        <v>24</v>
      </c>
      <c r="G4347" t="s">
        <v>25</v>
      </c>
      <c r="H4347" t="s">
        <v>26</v>
      </c>
      <c r="I4347">
        <v>28227588</v>
      </c>
      <c r="J4347" t="s">
        <v>27</v>
      </c>
      <c r="K4347" t="s">
        <v>5947</v>
      </c>
      <c r="L4347" t="s">
        <v>21</v>
      </c>
    </row>
    <row r="4348" spans="1:12">
      <c r="A4348" t="s">
        <v>5949</v>
      </c>
      <c r="B4348" t="s">
        <v>5914</v>
      </c>
      <c r="C4348" t="s">
        <v>130</v>
      </c>
      <c r="D4348">
        <v>1992</v>
      </c>
      <c r="E4348" t="s">
        <v>29</v>
      </c>
      <c r="F4348" t="s">
        <v>30</v>
      </c>
      <c r="G4348" t="s">
        <v>31</v>
      </c>
      <c r="H4348" t="s">
        <v>32</v>
      </c>
      <c r="I4348">
        <v>1492.1970429999999</v>
      </c>
      <c r="J4348" t="s">
        <v>33</v>
      </c>
      <c r="K4348" t="s">
        <v>5947</v>
      </c>
      <c r="L4348" t="s">
        <v>21</v>
      </c>
    </row>
    <row r="4349" spans="1:12">
      <c r="A4349" t="s">
        <v>5950</v>
      </c>
      <c r="B4349" t="s">
        <v>5914</v>
      </c>
      <c r="C4349" t="s">
        <v>130</v>
      </c>
      <c r="D4349">
        <v>1997</v>
      </c>
      <c r="E4349" t="s">
        <v>15</v>
      </c>
      <c r="F4349" t="s">
        <v>16</v>
      </c>
      <c r="G4349" t="s">
        <v>17</v>
      </c>
      <c r="H4349" t="s">
        <v>18</v>
      </c>
      <c r="I4349">
        <v>55.372999999999998</v>
      </c>
      <c r="J4349" t="s">
        <v>19</v>
      </c>
      <c r="K4349" t="s">
        <v>5951</v>
      </c>
      <c r="L4349" t="s">
        <v>21</v>
      </c>
    </row>
    <row r="4350" spans="1:12">
      <c r="A4350" t="s">
        <v>5952</v>
      </c>
      <c r="B4350" t="s">
        <v>5914</v>
      </c>
      <c r="C4350" t="s">
        <v>130</v>
      </c>
      <c r="D4350">
        <v>1997</v>
      </c>
      <c r="E4350" t="s">
        <v>23</v>
      </c>
      <c r="F4350" t="s">
        <v>24</v>
      </c>
      <c r="G4350" t="s">
        <v>25</v>
      </c>
      <c r="H4350" t="s">
        <v>26</v>
      </c>
      <c r="I4350">
        <v>32160729</v>
      </c>
      <c r="J4350" t="s">
        <v>27</v>
      </c>
      <c r="K4350" t="s">
        <v>5951</v>
      </c>
      <c r="L4350" t="s">
        <v>21</v>
      </c>
    </row>
    <row r="4351" spans="1:12">
      <c r="A4351" t="s">
        <v>5953</v>
      </c>
      <c r="B4351" t="s">
        <v>5914</v>
      </c>
      <c r="C4351" t="s">
        <v>130</v>
      </c>
      <c r="D4351">
        <v>1997</v>
      </c>
      <c r="E4351" t="s">
        <v>29</v>
      </c>
      <c r="F4351" t="s">
        <v>30</v>
      </c>
      <c r="G4351" t="s">
        <v>31</v>
      </c>
      <c r="H4351" t="s">
        <v>32</v>
      </c>
      <c r="I4351">
        <v>1632.2107639999999</v>
      </c>
      <c r="J4351" t="s">
        <v>33</v>
      </c>
      <c r="K4351" t="s">
        <v>5951</v>
      </c>
      <c r="L4351" t="s">
        <v>21</v>
      </c>
    </row>
    <row r="4352" spans="1:12">
      <c r="A4352" t="s">
        <v>5954</v>
      </c>
      <c r="B4352" t="s">
        <v>5914</v>
      </c>
      <c r="C4352" t="s">
        <v>130</v>
      </c>
      <c r="D4352">
        <v>2002</v>
      </c>
      <c r="E4352" t="s">
        <v>15</v>
      </c>
      <c r="F4352" t="s">
        <v>16</v>
      </c>
      <c r="G4352" t="s">
        <v>17</v>
      </c>
      <c r="H4352" t="s">
        <v>18</v>
      </c>
      <c r="I4352">
        <v>56.369</v>
      </c>
      <c r="J4352" t="s">
        <v>19</v>
      </c>
      <c r="K4352" t="s">
        <v>5955</v>
      </c>
      <c r="L4352" t="s">
        <v>21</v>
      </c>
    </row>
    <row r="4353" spans="1:12">
      <c r="A4353" t="s">
        <v>5956</v>
      </c>
      <c r="B4353" t="s">
        <v>5914</v>
      </c>
      <c r="C4353" t="s">
        <v>130</v>
      </c>
      <c r="D4353">
        <v>2002</v>
      </c>
      <c r="E4353" t="s">
        <v>23</v>
      </c>
      <c r="F4353" t="s">
        <v>24</v>
      </c>
      <c r="G4353" t="s">
        <v>25</v>
      </c>
      <c r="H4353" t="s">
        <v>26</v>
      </c>
      <c r="I4353">
        <v>37090298</v>
      </c>
      <c r="J4353" t="s">
        <v>27</v>
      </c>
      <c r="K4353" t="s">
        <v>5955</v>
      </c>
      <c r="L4353" t="s">
        <v>21</v>
      </c>
    </row>
    <row r="4354" spans="1:12">
      <c r="A4354" t="s">
        <v>5957</v>
      </c>
      <c r="B4354" t="s">
        <v>5914</v>
      </c>
      <c r="C4354" t="s">
        <v>130</v>
      </c>
      <c r="D4354">
        <v>2002</v>
      </c>
      <c r="E4354" t="s">
        <v>29</v>
      </c>
      <c r="F4354" t="s">
        <v>30</v>
      </c>
      <c r="G4354" t="s">
        <v>31</v>
      </c>
      <c r="H4354" t="s">
        <v>32</v>
      </c>
      <c r="I4354">
        <v>1993.398314</v>
      </c>
      <c r="J4354" t="s">
        <v>33</v>
      </c>
      <c r="K4354" t="s">
        <v>5955</v>
      </c>
      <c r="L4354" t="s">
        <v>21</v>
      </c>
    </row>
    <row r="4355" spans="1:12">
      <c r="A4355" t="s">
        <v>5958</v>
      </c>
      <c r="B4355" t="s">
        <v>5914</v>
      </c>
      <c r="C4355" t="s">
        <v>130</v>
      </c>
      <c r="D4355">
        <v>2007</v>
      </c>
      <c r="E4355" t="s">
        <v>15</v>
      </c>
      <c r="F4355" t="s">
        <v>16</v>
      </c>
      <c r="G4355" t="s">
        <v>17</v>
      </c>
      <c r="H4355" t="s">
        <v>18</v>
      </c>
      <c r="I4355">
        <v>58.555999999999997</v>
      </c>
      <c r="J4355" t="s">
        <v>19</v>
      </c>
      <c r="K4355" t="s">
        <v>5959</v>
      </c>
      <c r="L4355" t="s">
        <v>21</v>
      </c>
    </row>
    <row r="4356" spans="1:12">
      <c r="A4356" t="s">
        <v>5960</v>
      </c>
      <c r="B4356" t="s">
        <v>5914</v>
      </c>
      <c r="C4356" t="s">
        <v>130</v>
      </c>
      <c r="D4356">
        <v>2007</v>
      </c>
      <c r="E4356" t="s">
        <v>23</v>
      </c>
      <c r="F4356" t="s">
        <v>24</v>
      </c>
      <c r="G4356" t="s">
        <v>25</v>
      </c>
      <c r="H4356" t="s">
        <v>26</v>
      </c>
      <c r="I4356">
        <v>42292929</v>
      </c>
      <c r="J4356" t="s">
        <v>27</v>
      </c>
      <c r="K4356" t="s">
        <v>5959</v>
      </c>
      <c r="L4356" t="s">
        <v>21</v>
      </c>
    </row>
    <row r="4357" spans="1:12">
      <c r="A4357" t="s">
        <v>5961</v>
      </c>
      <c r="B4357" t="s">
        <v>5914</v>
      </c>
      <c r="C4357" t="s">
        <v>130</v>
      </c>
      <c r="D4357">
        <v>2007</v>
      </c>
      <c r="E4357" t="s">
        <v>29</v>
      </c>
      <c r="F4357" t="s">
        <v>30</v>
      </c>
      <c r="G4357" t="s">
        <v>31</v>
      </c>
      <c r="H4357" t="s">
        <v>32</v>
      </c>
      <c r="I4357">
        <v>2602.3949950000001</v>
      </c>
      <c r="J4357" t="s">
        <v>33</v>
      </c>
      <c r="K4357" t="s">
        <v>5959</v>
      </c>
      <c r="L4357" t="s">
        <v>21</v>
      </c>
    </row>
    <row r="4358" spans="1:12">
      <c r="A4358" t="s">
        <v>5962</v>
      </c>
      <c r="B4358" t="s">
        <v>5963</v>
      </c>
      <c r="C4358" t="s">
        <v>130</v>
      </c>
      <c r="D4358">
        <v>1952</v>
      </c>
      <c r="E4358" t="s">
        <v>15</v>
      </c>
      <c r="F4358" t="s">
        <v>16</v>
      </c>
      <c r="G4358" t="s">
        <v>17</v>
      </c>
      <c r="H4358" t="s">
        <v>18</v>
      </c>
      <c r="I4358">
        <v>41.406999999999996</v>
      </c>
      <c r="J4358" t="s">
        <v>19</v>
      </c>
      <c r="K4358" t="s">
        <v>5964</v>
      </c>
      <c r="L4358" t="s">
        <v>21</v>
      </c>
    </row>
    <row r="4359" spans="1:12">
      <c r="A4359" t="s">
        <v>5965</v>
      </c>
      <c r="B4359" t="s">
        <v>5963</v>
      </c>
      <c r="C4359" t="s">
        <v>130</v>
      </c>
      <c r="D4359">
        <v>1952</v>
      </c>
      <c r="E4359" t="s">
        <v>23</v>
      </c>
      <c r="F4359" t="s">
        <v>24</v>
      </c>
      <c r="G4359" t="s">
        <v>25</v>
      </c>
      <c r="H4359" t="s">
        <v>26</v>
      </c>
      <c r="I4359">
        <v>290243</v>
      </c>
      <c r="J4359" t="s">
        <v>27</v>
      </c>
      <c r="K4359" t="s">
        <v>5964</v>
      </c>
      <c r="L4359" t="s">
        <v>21</v>
      </c>
    </row>
    <row r="4360" spans="1:12">
      <c r="A4360" t="s">
        <v>5966</v>
      </c>
      <c r="B4360" t="s">
        <v>5963</v>
      </c>
      <c r="C4360" t="s">
        <v>130</v>
      </c>
      <c r="D4360">
        <v>1952</v>
      </c>
      <c r="E4360" t="s">
        <v>29</v>
      </c>
      <c r="F4360" t="s">
        <v>30</v>
      </c>
      <c r="G4360" t="s">
        <v>31</v>
      </c>
      <c r="H4360" t="s">
        <v>32</v>
      </c>
      <c r="I4360">
        <v>1148.376626</v>
      </c>
      <c r="J4360" t="s">
        <v>33</v>
      </c>
      <c r="K4360" t="s">
        <v>5964</v>
      </c>
      <c r="L4360" t="s">
        <v>21</v>
      </c>
    </row>
    <row r="4361" spans="1:12">
      <c r="A4361" t="s">
        <v>5967</v>
      </c>
      <c r="B4361" t="s">
        <v>5963</v>
      </c>
      <c r="C4361" t="s">
        <v>130</v>
      </c>
      <c r="D4361">
        <v>1957</v>
      </c>
      <c r="E4361" t="s">
        <v>15</v>
      </c>
      <c r="F4361" t="s">
        <v>16</v>
      </c>
      <c r="G4361" t="s">
        <v>17</v>
      </c>
      <c r="H4361" t="s">
        <v>18</v>
      </c>
      <c r="I4361">
        <v>43.423999999999999</v>
      </c>
      <c r="J4361" t="s">
        <v>19</v>
      </c>
      <c r="K4361" t="s">
        <v>5968</v>
      </c>
      <c r="L4361" t="s">
        <v>21</v>
      </c>
    </row>
    <row r="4362" spans="1:12">
      <c r="A4362" t="s">
        <v>5969</v>
      </c>
      <c r="B4362" t="s">
        <v>5963</v>
      </c>
      <c r="C4362" t="s">
        <v>130</v>
      </c>
      <c r="D4362">
        <v>1957</v>
      </c>
      <c r="E4362" t="s">
        <v>23</v>
      </c>
      <c r="F4362" t="s">
        <v>24</v>
      </c>
      <c r="G4362" t="s">
        <v>25</v>
      </c>
      <c r="H4362" t="s">
        <v>26</v>
      </c>
      <c r="I4362">
        <v>326741</v>
      </c>
      <c r="J4362" t="s">
        <v>27</v>
      </c>
      <c r="K4362" t="s">
        <v>5968</v>
      </c>
      <c r="L4362" t="s">
        <v>21</v>
      </c>
    </row>
    <row r="4363" spans="1:12">
      <c r="A4363" t="s">
        <v>5970</v>
      </c>
      <c r="B4363" t="s">
        <v>5963</v>
      </c>
      <c r="C4363" t="s">
        <v>130</v>
      </c>
      <c r="D4363">
        <v>1957</v>
      </c>
      <c r="E4363" t="s">
        <v>29</v>
      </c>
      <c r="F4363" t="s">
        <v>30</v>
      </c>
      <c r="G4363" t="s">
        <v>31</v>
      </c>
      <c r="H4363" t="s">
        <v>32</v>
      </c>
      <c r="I4363">
        <v>1244.7083640000001</v>
      </c>
      <c r="J4363" t="s">
        <v>33</v>
      </c>
      <c r="K4363" t="s">
        <v>5968</v>
      </c>
      <c r="L4363" t="s">
        <v>21</v>
      </c>
    </row>
    <row r="4364" spans="1:12">
      <c r="A4364" t="s">
        <v>5971</v>
      </c>
      <c r="B4364" t="s">
        <v>5963</v>
      </c>
      <c r="C4364" t="s">
        <v>130</v>
      </c>
      <c r="D4364">
        <v>1962</v>
      </c>
      <c r="E4364" t="s">
        <v>15</v>
      </c>
      <c r="F4364" t="s">
        <v>16</v>
      </c>
      <c r="G4364" t="s">
        <v>17</v>
      </c>
      <c r="H4364" t="s">
        <v>18</v>
      </c>
      <c r="I4364">
        <v>44.991999999999997</v>
      </c>
      <c r="J4364" t="s">
        <v>19</v>
      </c>
      <c r="K4364" t="s">
        <v>5972</v>
      </c>
      <c r="L4364" t="s">
        <v>21</v>
      </c>
    </row>
    <row r="4365" spans="1:12">
      <c r="A4365" t="s">
        <v>5973</v>
      </c>
      <c r="B4365" t="s">
        <v>5963</v>
      </c>
      <c r="C4365" t="s">
        <v>130</v>
      </c>
      <c r="D4365">
        <v>1962</v>
      </c>
      <c r="E4365" t="s">
        <v>23</v>
      </c>
      <c r="F4365" t="s">
        <v>24</v>
      </c>
      <c r="G4365" t="s">
        <v>25</v>
      </c>
      <c r="H4365" t="s">
        <v>26</v>
      </c>
      <c r="I4365">
        <v>370006</v>
      </c>
      <c r="J4365" t="s">
        <v>27</v>
      </c>
      <c r="K4365" t="s">
        <v>5972</v>
      </c>
      <c r="L4365" t="s">
        <v>21</v>
      </c>
    </row>
    <row r="4366" spans="1:12">
      <c r="A4366" t="s">
        <v>5974</v>
      </c>
      <c r="B4366" t="s">
        <v>5963</v>
      </c>
      <c r="C4366" t="s">
        <v>130</v>
      </c>
      <c r="D4366">
        <v>1962</v>
      </c>
      <c r="E4366" t="s">
        <v>29</v>
      </c>
      <c r="F4366" t="s">
        <v>30</v>
      </c>
      <c r="G4366" t="s">
        <v>31</v>
      </c>
      <c r="H4366" t="s">
        <v>32</v>
      </c>
      <c r="I4366">
        <v>1856.182125</v>
      </c>
      <c r="J4366" t="s">
        <v>33</v>
      </c>
      <c r="K4366" t="s">
        <v>5972</v>
      </c>
      <c r="L4366" t="s">
        <v>21</v>
      </c>
    </row>
    <row r="4367" spans="1:12">
      <c r="A4367" t="s">
        <v>5975</v>
      </c>
      <c r="B4367" t="s">
        <v>5963</v>
      </c>
      <c r="C4367" t="s">
        <v>130</v>
      </c>
      <c r="D4367">
        <v>1967</v>
      </c>
      <c r="E4367" t="s">
        <v>15</v>
      </c>
      <c r="F4367" t="s">
        <v>16</v>
      </c>
      <c r="G4367" t="s">
        <v>17</v>
      </c>
      <c r="H4367" t="s">
        <v>18</v>
      </c>
      <c r="I4367">
        <v>46.633000000000003</v>
      </c>
      <c r="J4367" t="s">
        <v>19</v>
      </c>
      <c r="K4367" t="s">
        <v>5976</v>
      </c>
      <c r="L4367" t="s">
        <v>21</v>
      </c>
    </row>
    <row r="4368" spans="1:12">
      <c r="A4368" t="s">
        <v>5977</v>
      </c>
      <c r="B4368" t="s">
        <v>5963</v>
      </c>
      <c r="C4368" t="s">
        <v>130</v>
      </c>
      <c r="D4368">
        <v>1967</v>
      </c>
      <c r="E4368" t="s">
        <v>23</v>
      </c>
      <c r="F4368" t="s">
        <v>24</v>
      </c>
      <c r="G4368" t="s">
        <v>25</v>
      </c>
      <c r="H4368" t="s">
        <v>26</v>
      </c>
      <c r="I4368">
        <v>420690</v>
      </c>
      <c r="J4368" t="s">
        <v>27</v>
      </c>
      <c r="K4368" t="s">
        <v>5976</v>
      </c>
      <c r="L4368" t="s">
        <v>21</v>
      </c>
    </row>
    <row r="4369" spans="1:12">
      <c r="A4369" t="s">
        <v>5978</v>
      </c>
      <c r="B4369" t="s">
        <v>5963</v>
      </c>
      <c r="C4369" t="s">
        <v>130</v>
      </c>
      <c r="D4369">
        <v>1967</v>
      </c>
      <c r="E4369" t="s">
        <v>29</v>
      </c>
      <c r="F4369" t="s">
        <v>30</v>
      </c>
      <c r="G4369" t="s">
        <v>31</v>
      </c>
      <c r="H4369" t="s">
        <v>32</v>
      </c>
      <c r="I4369">
        <v>2613.1016650000001</v>
      </c>
      <c r="J4369" t="s">
        <v>33</v>
      </c>
      <c r="K4369" t="s">
        <v>5976</v>
      </c>
      <c r="L4369" t="s">
        <v>21</v>
      </c>
    </row>
    <row r="4370" spans="1:12">
      <c r="A4370" t="s">
        <v>5979</v>
      </c>
      <c r="B4370" t="s">
        <v>5963</v>
      </c>
      <c r="C4370" t="s">
        <v>130</v>
      </c>
      <c r="D4370">
        <v>1972</v>
      </c>
      <c r="E4370" t="s">
        <v>15</v>
      </c>
      <c r="F4370" t="s">
        <v>16</v>
      </c>
      <c r="G4370" t="s">
        <v>17</v>
      </c>
      <c r="H4370" t="s">
        <v>18</v>
      </c>
      <c r="I4370">
        <v>49.552</v>
      </c>
      <c r="J4370" t="s">
        <v>19</v>
      </c>
      <c r="K4370" t="s">
        <v>5980</v>
      </c>
      <c r="L4370" t="s">
        <v>21</v>
      </c>
    </row>
    <row r="4371" spans="1:12">
      <c r="A4371" t="s">
        <v>5981</v>
      </c>
      <c r="B4371" t="s">
        <v>5963</v>
      </c>
      <c r="C4371" t="s">
        <v>130</v>
      </c>
      <c r="D4371">
        <v>1972</v>
      </c>
      <c r="E4371" t="s">
        <v>23</v>
      </c>
      <c r="F4371" t="s">
        <v>24</v>
      </c>
      <c r="G4371" t="s">
        <v>25</v>
      </c>
      <c r="H4371" t="s">
        <v>26</v>
      </c>
      <c r="I4371">
        <v>480105</v>
      </c>
      <c r="J4371" t="s">
        <v>27</v>
      </c>
      <c r="K4371" t="s">
        <v>5980</v>
      </c>
      <c r="L4371" t="s">
        <v>21</v>
      </c>
    </row>
    <row r="4372" spans="1:12">
      <c r="A4372" t="s">
        <v>5982</v>
      </c>
      <c r="B4372" t="s">
        <v>5963</v>
      </c>
      <c r="C4372" t="s">
        <v>130</v>
      </c>
      <c r="D4372">
        <v>1972</v>
      </c>
      <c r="E4372" t="s">
        <v>29</v>
      </c>
      <c r="F4372" t="s">
        <v>30</v>
      </c>
      <c r="G4372" t="s">
        <v>31</v>
      </c>
      <c r="H4372" t="s">
        <v>32</v>
      </c>
      <c r="I4372">
        <v>3364.8366249999999</v>
      </c>
      <c r="J4372" t="s">
        <v>33</v>
      </c>
      <c r="K4372" t="s">
        <v>5980</v>
      </c>
      <c r="L4372" t="s">
        <v>21</v>
      </c>
    </row>
    <row r="4373" spans="1:12">
      <c r="A4373" t="s">
        <v>5983</v>
      </c>
      <c r="B4373" t="s">
        <v>5963</v>
      </c>
      <c r="C4373" t="s">
        <v>130</v>
      </c>
      <c r="D4373">
        <v>1977</v>
      </c>
      <c r="E4373" t="s">
        <v>15</v>
      </c>
      <c r="F4373" t="s">
        <v>16</v>
      </c>
      <c r="G4373" t="s">
        <v>17</v>
      </c>
      <c r="H4373" t="s">
        <v>18</v>
      </c>
      <c r="I4373">
        <v>52.536999999999999</v>
      </c>
      <c r="J4373" t="s">
        <v>19</v>
      </c>
      <c r="K4373" t="s">
        <v>5984</v>
      </c>
      <c r="L4373" t="s">
        <v>21</v>
      </c>
    </row>
    <row r="4374" spans="1:12">
      <c r="A4374" t="s">
        <v>5985</v>
      </c>
      <c r="B4374" t="s">
        <v>5963</v>
      </c>
      <c r="C4374" t="s">
        <v>130</v>
      </c>
      <c r="D4374">
        <v>1977</v>
      </c>
      <c r="E4374" t="s">
        <v>23</v>
      </c>
      <c r="F4374" t="s">
        <v>24</v>
      </c>
      <c r="G4374" t="s">
        <v>25</v>
      </c>
      <c r="H4374" t="s">
        <v>26</v>
      </c>
      <c r="I4374">
        <v>551425</v>
      </c>
      <c r="J4374" t="s">
        <v>27</v>
      </c>
      <c r="K4374" t="s">
        <v>5984</v>
      </c>
      <c r="L4374" t="s">
        <v>21</v>
      </c>
    </row>
    <row r="4375" spans="1:12">
      <c r="A4375" t="s">
        <v>5986</v>
      </c>
      <c r="B4375" t="s">
        <v>5963</v>
      </c>
      <c r="C4375" t="s">
        <v>130</v>
      </c>
      <c r="D4375">
        <v>1977</v>
      </c>
      <c r="E4375" t="s">
        <v>29</v>
      </c>
      <c r="F4375" t="s">
        <v>30</v>
      </c>
      <c r="G4375" t="s">
        <v>31</v>
      </c>
      <c r="H4375" t="s">
        <v>32</v>
      </c>
      <c r="I4375">
        <v>3781.4106179999999</v>
      </c>
      <c r="J4375" t="s">
        <v>33</v>
      </c>
      <c r="K4375" t="s">
        <v>5984</v>
      </c>
      <c r="L4375" t="s">
        <v>21</v>
      </c>
    </row>
    <row r="4376" spans="1:12">
      <c r="A4376" t="s">
        <v>5987</v>
      </c>
      <c r="B4376" t="s">
        <v>5963</v>
      </c>
      <c r="C4376" t="s">
        <v>130</v>
      </c>
      <c r="D4376">
        <v>1982</v>
      </c>
      <c r="E4376" t="s">
        <v>15</v>
      </c>
      <c r="F4376" t="s">
        <v>16</v>
      </c>
      <c r="G4376" t="s">
        <v>17</v>
      </c>
      <c r="H4376" t="s">
        <v>18</v>
      </c>
      <c r="I4376">
        <v>55.561</v>
      </c>
      <c r="J4376" t="s">
        <v>19</v>
      </c>
      <c r="K4376" t="s">
        <v>5988</v>
      </c>
      <c r="L4376" t="s">
        <v>21</v>
      </c>
    </row>
    <row r="4377" spans="1:12">
      <c r="A4377" t="s">
        <v>5989</v>
      </c>
      <c r="B4377" t="s">
        <v>5963</v>
      </c>
      <c r="C4377" t="s">
        <v>130</v>
      </c>
      <c r="D4377">
        <v>1982</v>
      </c>
      <c r="E4377" t="s">
        <v>23</v>
      </c>
      <c r="F4377" t="s">
        <v>24</v>
      </c>
      <c r="G4377" t="s">
        <v>25</v>
      </c>
      <c r="H4377" t="s">
        <v>26</v>
      </c>
      <c r="I4377">
        <v>649901</v>
      </c>
      <c r="J4377" t="s">
        <v>27</v>
      </c>
      <c r="K4377" t="s">
        <v>5988</v>
      </c>
      <c r="L4377" t="s">
        <v>21</v>
      </c>
    </row>
    <row r="4378" spans="1:12">
      <c r="A4378" t="s">
        <v>5990</v>
      </c>
      <c r="B4378" t="s">
        <v>5963</v>
      </c>
      <c r="C4378" t="s">
        <v>130</v>
      </c>
      <c r="D4378">
        <v>1982</v>
      </c>
      <c r="E4378" t="s">
        <v>29</v>
      </c>
      <c r="F4378" t="s">
        <v>30</v>
      </c>
      <c r="G4378" t="s">
        <v>31</v>
      </c>
      <c r="H4378" t="s">
        <v>32</v>
      </c>
      <c r="I4378">
        <v>3895.3840180000002</v>
      </c>
      <c r="J4378" t="s">
        <v>33</v>
      </c>
      <c r="K4378" t="s">
        <v>5988</v>
      </c>
      <c r="L4378" t="s">
        <v>21</v>
      </c>
    </row>
    <row r="4379" spans="1:12">
      <c r="A4379" t="s">
        <v>5991</v>
      </c>
      <c r="B4379" t="s">
        <v>5963</v>
      </c>
      <c r="C4379" t="s">
        <v>130</v>
      </c>
      <c r="D4379">
        <v>1987</v>
      </c>
      <c r="E4379" t="s">
        <v>15</v>
      </c>
      <c r="F4379" t="s">
        <v>16</v>
      </c>
      <c r="G4379" t="s">
        <v>17</v>
      </c>
      <c r="H4379" t="s">
        <v>18</v>
      </c>
      <c r="I4379">
        <v>57.677999999999997</v>
      </c>
      <c r="J4379" t="s">
        <v>19</v>
      </c>
      <c r="K4379" t="s">
        <v>5992</v>
      </c>
      <c r="L4379" t="s">
        <v>21</v>
      </c>
    </row>
    <row r="4380" spans="1:12">
      <c r="A4380" t="s">
        <v>5993</v>
      </c>
      <c r="B4380" t="s">
        <v>5963</v>
      </c>
      <c r="C4380" t="s">
        <v>130</v>
      </c>
      <c r="D4380">
        <v>1987</v>
      </c>
      <c r="E4380" t="s">
        <v>23</v>
      </c>
      <c r="F4380" t="s">
        <v>24</v>
      </c>
      <c r="G4380" t="s">
        <v>25</v>
      </c>
      <c r="H4380" t="s">
        <v>26</v>
      </c>
      <c r="I4380">
        <v>779348</v>
      </c>
      <c r="J4380" t="s">
        <v>27</v>
      </c>
      <c r="K4380" t="s">
        <v>5992</v>
      </c>
      <c r="L4380" t="s">
        <v>21</v>
      </c>
    </row>
    <row r="4381" spans="1:12">
      <c r="A4381" t="s">
        <v>5994</v>
      </c>
      <c r="B4381" t="s">
        <v>5963</v>
      </c>
      <c r="C4381" t="s">
        <v>130</v>
      </c>
      <c r="D4381">
        <v>1987</v>
      </c>
      <c r="E4381" t="s">
        <v>29</v>
      </c>
      <c r="F4381" t="s">
        <v>30</v>
      </c>
      <c r="G4381" t="s">
        <v>31</v>
      </c>
      <c r="H4381" t="s">
        <v>32</v>
      </c>
      <c r="I4381">
        <v>3984.8398120000002</v>
      </c>
      <c r="J4381" t="s">
        <v>33</v>
      </c>
      <c r="K4381" t="s">
        <v>5992</v>
      </c>
      <c r="L4381" t="s">
        <v>21</v>
      </c>
    </row>
    <row r="4382" spans="1:12">
      <c r="A4382" t="s">
        <v>5995</v>
      </c>
      <c r="B4382" t="s">
        <v>5963</v>
      </c>
      <c r="C4382" t="s">
        <v>130</v>
      </c>
      <c r="D4382">
        <v>1992</v>
      </c>
      <c r="E4382" t="s">
        <v>15</v>
      </c>
      <c r="F4382" t="s">
        <v>16</v>
      </c>
      <c r="G4382" t="s">
        <v>17</v>
      </c>
      <c r="H4382" t="s">
        <v>18</v>
      </c>
      <c r="I4382">
        <v>58.473999999999997</v>
      </c>
      <c r="J4382" t="s">
        <v>19</v>
      </c>
      <c r="K4382" t="s">
        <v>5996</v>
      </c>
      <c r="L4382" t="s">
        <v>21</v>
      </c>
    </row>
    <row r="4383" spans="1:12">
      <c r="A4383" t="s">
        <v>5997</v>
      </c>
      <c r="B4383" t="s">
        <v>5963</v>
      </c>
      <c r="C4383" t="s">
        <v>130</v>
      </c>
      <c r="D4383">
        <v>1992</v>
      </c>
      <c r="E4383" t="s">
        <v>23</v>
      </c>
      <c r="F4383" t="s">
        <v>24</v>
      </c>
      <c r="G4383" t="s">
        <v>25</v>
      </c>
      <c r="H4383" t="s">
        <v>26</v>
      </c>
      <c r="I4383">
        <v>962344</v>
      </c>
      <c r="J4383" t="s">
        <v>27</v>
      </c>
      <c r="K4383" t="s">
        <v>5996</v>
      </c>
      <c r="L4383" t="s">
        <v>21</v>
      </c>
    </row>
    <row r="4384" spans="1:12">
      <c r="A4384" t="s">
        <v>5998</v>
      </c>
      <c r="B4384" t="s">
        <v>5963</v>
      </c>
      <c r="C4384" t="s">
        <v>130</v>
      </c>
      <c r="D4384">
        <v>1992</v>
      </c>
      <c r="E4384" t="s">
        <v>29</v>
      </c>
      <c r="F4384" t="s">
        <v>30</v>
      </c>
      <c r="G4384" t="s">
        <v>31</v>
      </c>
      <c r="H4384" t="s">
        <v>32</v>
      </c>
      <c r="I4384">
        <v>3553.0223999999998</v>
      </c>
      <c r="J4384" t="s">
        <v>33</v>
      </c>
      <c r="K4384" t="s">
        <v>5996</v>
      </c>
      <c r="L4384" t="s">
        <v>21</v>
      </c>
    </row>
    <row r="4385" spans="1:12">
      <c r="A4385" t="s">
        <v>5999</v>
      </c>
      <c r="B4385" t="s">
        <v>5963</v>
      </c>
      <c r="C4385" t="s">
        <v>130</v>
      </c>
      <c r="D4385">
        <v>1997</v>
      </c>
      <c r="E4385" t="s">
        <v>15</v>
      </c>
      <c r="F4385" t="s">
        <v>16</v>
      </c>
      <c r="G4385" t="s">
        <v>17</v>
      </c>
      <c r="H4385" t="s">
        <v>18</v>
      </c>
      <c r="I4385">
        <v>54.289000000000001</v>
      </c>
      <c r="J4385" t="s">
        <v>19</v>
      </c>
      <c r="K4385" t="s">
        <v>6000</v>
      </c>
      <c r="L4385" t="s">
        <v>21</v>
      </c>
    </row>
    <row r="4386" spans="1:12">
      <c r="A4386" t="s">
        <v>6001</v>
      </c>
      <c r="B4386" t="s">
        <v>5963</v>
      </c>
      <c r="C4386" t="s">
        <v>130</v>
      </c>
      <c r="D4386">
        <v>1997</v>
      </c>
      <c r="E4386" t="s">
        <v>23</v>
      </c>
      <c r="F4386" t="s">
        <v>24</v>
      </c>
      <c r="G4386" t="s">
        <v>25</v>
      </c>
      <c r="H4386" t="s">
        <v>26</v>
      </c>
      <c r="I4386">
        <v>1054486</v>
      </c>
      <c r="J4386" t="s">
        <v>27</v>
      </c>
      <c r="K4386" t="s">
        <v>6000</v>
      </c>
      <c r="L4386" t="s">
        <v>21</v>
      </c>
    </row>
    <row r="4387" spans="1:12">
      <c r="A4387" t="s">
        <v>6002</v>
      </c>
      <c r="B4387" t="s">
        <v>5963</v>
      </c>
      <c r="C4387" t="s">
        <v>130</v>
      </c>
      <c r="D4387">
        <v>1997</v>
      </c>
      <c r="E4387" t="s">
        <v>29</v>
      </c>
      <c r="F4387" t="s">
        <v>30</v>
      </c>
      <c r="G4387" t="s">
        <v>31</v>
      </c>
      <c r="H4387" t="s">
        <v>32</v>
      </c>
      <c r="I4387">
        <v>3876.7684599999998</v>
      </c>
      <c r="J4387" t="s">
        <v>33</v>
      </c>
      <c r="K4387" t="s">
        <v>6000</v>
      </c>
      <c r="L4387" t="s">
        <v>21</v>
      </c>
    </row>
    <row r="4388" spans="1:12">
      <c r="A4388" t="s">
        <v>6003</v>
      </c>
      <c r="B4388" t="s">
        <v>5963</v>
      </c>
      <c r="C4388" t="s">
        <v>130</v>
      </c>
      <c r="D4388">
        <v>2002</v>
      </c>
      <c r="E4388" t="s">
        <v>15</v>
      </c>
      <c r="F4388" t="s">
        <v>16</v>
      </c>
      <c r="G4388" t="s">
        <v>17</v>
      </c>
      <c r="H4388" t="s">
        <v>18</v>
      </c>
      <c r="I4388">
        <v>43.869</v>
      </c>
      <c r="J4388" t="s">
        <v>19</v>
      </c>
      <c r="K4388" t="s">
        <v>6004</v>
      </c>
      <c r="L4388" t="s">
        <v>21</v>
      </c>
    </row>
    <row r="4389" spans="1:12">
      <c r="A4389" t="s">
        <v>6005</v>
      </c>
      <c r="B4389" t="s">
        <v>5963</v>
      </c>
      <c r="C4389" t="s">
        <v>130</v>
      </c>
      <c r="D4389">
        <v>2002</v>
      </c>
      <c r="E4389" t="s">
        <v>23</v>
      </c>
      <c r="F4389" t="s">
        <v>24</v>
      </c>
      <c r="G4389" t="s">
        <v>25</v>
      </c>
      <c r="H4389" t="s">
        <v>26</v>
      </c>
      <c r="I4389">
        <v>1130269</v>
      </c>
      <c r="J4389" t="s">
        <v>27</v>
      </c>
      <c r="K4389" t="s">
        <v>6004</v>
      </c>
      <c r="L4389" t="s">
        <v>21</v>
      </c>
    </row>
    <row r="4390" spans="1:12">
      <c r="A4390" t="s">
        <v>6006</v>
      </c>
      <c r="B4390" t="s">
        <v>5963</v>
      </c>
      <c r="C4390" t="s">
        <v>130</v>
      </c>
      <c r="D4390">
        <v>2002</v>
      </c>
      <c r="E4390" t="s">
        <v>29</v>
      </c>
      <c r="F4390" t="s">
        <v>30</v>
      </c>
      <c r="G4390" t="s">
        <v>31</v>
      </c>
      <c r="H4390" t="s">
        <v>32</v>
      </c>
      <c r="I4390">
        <v>4128.116943</v>
      </c>
      <c r="J4390" t="s">
        <v>33</v>
      </c>
      <c r="K4390" t="s">
        <v>6004</v>
      </c>
      <c r="L4390" t="s">
        <v>21</v>
      </c>
    </row>
    <row r="4391" spans="1:12">
      <c r="A4391" t="s">
        <v>6007</v>
      </c>
      <c r="B4391" t="s">
        <v>5963</v>
      </c>
      <c r="C4391" t="s">
        <v>130</v>
      </c>
      <c r="D4391">
        <v>2007</v>
      </c>
      <c r="E4391" t="s">
        <v>15</v>
      </c>
      <c r="F4391" t="s">
        <v>16</v>
      </c>
      <c r="G4391" t="s">
        <v>17</v>
      </c>
      <c r="H4391" t="s">
        <v>18</v>
      </c>
      <c r="I4391">
        <v>39.613</v>
      </c>
      <c r="J4391" t="s">
        <v>19</v>
      </c>
      <c r="K4391" t="s">
        <v>6008</v>
      </c>
      <c r="L4391" t="s">
        <v>21</v>
      </c>
    </row>
    <row r="4392" spans="1:12">
      <c r="A4392" t="s">
        <v>6009</v>
      </c>
      <c r="B4392" t="s">
        <v>5963</v>
      </c>
      <c r="C4392" t="s">
        <v>130</v>
      </c>
      <c r="D4392">
        <v>2007</v>
      </c>
      <c r="E4392" t="s">
        <v>23</v>
      </c>
      <c r="F4392" t="s">
        <v>24</v>
      </c>
      <c r="G4392" t="s">
        <v>25</v>
      </c>
      <c r="H4392" t="s">
        <v>26</v>
      </c>
      <c r="I4392">
        <v>1133066</v>
      </c>
      <c r="J4392" t="s">
        <v>27</v>
      </c>
      <c r="K4392" t="s">
        <v>6008</v>
      </c>
      <c r="L4392" t="s">
        <v>21</v>
      </c>
    </row>
    <row r="4393" spans="1:12">
      <c r="A4393" t="s">
        <v>6010</v>
      </c>
      <c r="B4393" t="s">
        <v>5963</v>
      </c>
      <c r="C4393" t="s">
        <v>130</v>
      </c>
      <c r="D4393">
        <v>2007</v>
      </c>
      <c r="E4393" t="s">
        <v>29</v>
      </c>
      <c r="F4393" t="s">
        <v>30</v>
      </c>
      <c r="G4393" t="s">
        <v>31</v>
      </c>
      <c r="H4393" t="s">
        <v>32</v>
      </c>
      <c r="I4393">
        <v>4513.4806429999999</v>
      </c>
      <c r="J4393" t="s">
        <v>33</v>
      </c>
      <c r="K4393" t="s">
        <v>6008</v>
      </c>
      <c r="L4393" t="s">
        <v>21</v>
      </c>
    </row>
    <row r="4394" spans="1:12">
      <c r="A4394" t="s">
        <v>6011</v>
      </c>
      <c r="B4394" t="s">
        <v>6012</v>
      </c>
      <c r="C4394" t="s">
        <v>80</v>
      </c>
      <c r="D4394">
        <v>1952</v>
      </c>
      <c r="E4394" t="s">
        <v>15</v>
      </c>
      <c r="F4394" t="s">
        <v>16</v>
      </c>
      <c r="G4394" t="s">
        <v>17</v>
      </c>
      <c r="H4394" t="s">
        <v>18</v>
      </c>
      <c r="I4394">
        <v>71.86</v>
      </c>
      <c r="J4394" t="s">
        <v>19</v>
      </c>
      <c r="K4394" t="s">
        <v>6013</v>
      </c>
      <c r="L4394" t="s">
        <v>21</v>
      </c>
    </row>
    <row r="4395" spans="1:12">
      <c r="A4395" t="s">
        <v>6014</v>
      </c>
      <c r="B4395" t="s">
        <v>6012</v>
      </c>
      <c r="C4395" t="s">
        <v>80</v>
      </c>
      <c r="D4395">
        <v>1952</v>
      </c>
      <c r="E4395" t="s">
        <v>23</v>
      </c>
      <c r="F4395" t="s">
        <v>24</v>
      </c>
      <c r="G4395" t="s">
        <v>25</v>
      </c>
      <c r="H4395" t="s">
        <v>26</v>
      </c>
      <c r="I4395">
        <v>7124673</v>
      </c>
      <c r="J4395" t="s">
        <v>27</v>
      </c>
      <c r="K4395" t="s">
        <v>6013</v>
      </c>
      <c r="L4395" t="s">
        <v>21</v>
      </c>
    </row>
    <row r="4396" spans="1:12">
      <c r="A4396" t="s">
        <v>6015</v>
      </c>
      <c r="B4396" t="s">
        <v>6012</v>
      </c>
      <c r="C4396" t="s">
        <v>80</v>
      </c>
      <c r="D4396">
        <v>1952</v>
      </c>
      <c r="E4396" t="s">
        <v>29</v>
      </c>
      <c r="F4396" t="s">
        <v>30</v>
      </c>
      <c r="G4396" t="s">
        <v>31</v>
      </c>
      <c r="H4396" t="s">
        <v>32</v>
      </c>
      <c r="I4396">
        <v>8527.8446619999995</v>
      </c>
      <c r="J4396" t="s">
        <v>33</v>
      </c>
      <c r="K4396" t="s">
        <v>6013</v>
      </c>
      <c r="L4396" t="s">
        <v>21</v>
      </c>
    </row>
    <row r="4397" spans="1:12">
      <c r="A4397" t="s">
        <v>6016</v>
      </c>
      <c r="B4397" t="s">
        <v>6012</v>
      </c>
      <c r="C4397" t="s">
        <v>80</v>
      </c>
      <c r="D4397">
        <v>1957</v>
      </c>
      <c r="E4397" t="s">
        <v>15</v>
      </c>
      <c r="F4397" t="s">
        <v>16</v>
      </c>
      <c r="G4397" t="s">
        <v>17</v>
      </c>
      <c r="H4397" t="s">
        <v>18</v>
      </c>
      <c r="I4397">
        <v>72.489999999999995</v>
      </c>
      <c r="J4397" t="s">
        <v>19</v>
      </c>
      <c r="K4397" t="s">
        <v>6017</v>
      </c>
      <c r="L4397" t="s">
        <v>21</v>
      </c>
    </row>
    <row r="4398" spans="1:12">
      <c r="A4398" t="s">
        <v>6018</v>
      </c>
      <c r="B4398" t="s">
        <v>6012</v>
      </c>
      <c r="C4398" t="s">
        <v>80</v>
      </c>
      <c r="D4398">
        <v>1957</v>
      </c>
      <c r="E4398" t="s">
        <v>23</v>
      </c>
      <c r="F4398" t="s">
        <v>24</v>
      </c>
      <c r="G4398" t="s">
        <v>25</v>
      </c>
      <c r="H4398" t="s">
        <v>26</v>
      </c>
      <c r="I4398">
        <v>7363802</v>
      </c>
      <c r="J4398" t="s">
        <v>27</v>
      </c>
      <c r="K4398" t="s">
        <v>6017</v>
      </c>
      <c r="L4398" t="s">
        <v>21</v>
      </c>
    </row>
    <row r="4399" spans="1:12">
      <c r="A4399" t="s">
        <v>6019</v>
      </c>
      <c r="B4399" t="s">
        <v>6012</v>
      </c>
      <c r="C4399" t="s">
        <v>80</v>
      </c>
      <c r="D4399">
        <v>1957</v>
      </c>
      <c r="E4399" t="s">
        <v>29</v>
      </c>
      <c r="F4399" t="s">
        <v>30</v>
      </c>
      <c r="G4399" t="s">
        <v>31</v>
      </c>
      <c r="H4399" t="s">
        <v>32</v>
      </c>
      <c r="I4399">
        <v>9911.8782260000007</v>
      </c>
      <c r="J4399" t="s">
        <v>33</v>
      </c>
      <c r="K4399" t="s">
        <v>6017</v>
      </c>
      <c r="L4399" t="s">
        <v>21</v>
      </c>
    </row>
    <row r="4400" spans="1:12">
      <c r="A4400" t="s">
        <v>6020</v>
      </c>
      <c r="B4400" t="s">
        <v>6012</v>
      </c>
      <c r="C4400" t="s">
        <v>80</v>
      </c>
      <c r="D4400">
        <v>1962</v>
      </c>
      <c r="E4400" t="s">
        <v>15</v>
      </c>
      <c r="F4400" t="s">
        <v>16</v>
      </c>
      <c r="G4400" t="s">
        <v>17</v>
      </c>
      <c r="H4400" t="s">
        <v>18</v>
      </c>
      <c r="I4400">
        <v>73.37</v>
      </c>
      <c r="J4400" t="s">
        <v>19</v>
      </c>
      <c r="K4400" t="s">
        <v>6021</v>
      </c>
      <c r="L4400" t="s">
        <v>21</v>
      </c>
    </row>
    <row r="4401" spans="1:12">
      <c r="A4401" t="s">
        <v>6022</v>
      </c>
      <c r="B4401" t="s">
        <v>6012</v>
      </c>
      <c r="C4401" t="s">
        <v>80</v>
      </c>
      <c r="D4401">
        <v>1962</v>
      </c>
      <c r="E4401" t="s">
        <v>23</v>
      </c>
      <c r="F4401" t="s">
        <v>24</v>
      </c>
      <c r="G4401" t="s">
        <v>25</v>
      </c>
      <c r="H4401" t="s">
        <v>26</v>
      </c>
      <c r="I4401">
        <v>7561588</v>
      </c>
      <c r="J4401" t="s">
        <v>27</v>
      </c>
      <c r="K4401" t="s">
        <v>6021</v>
      </c>
      <c r="L4401" t="s">
        <v>21</v>
      </c>
    </row>
    <row r="4402" spans="1:12">
      <c r="A4402" t="s">
        <v>6023</v>
      </c>
      <c r="B4402" t="s">
        <v>6012</v>
      </c>
      <c r="C4402" t="s">
        <v>80</v>
      </c>
      <c r="D4402">
        <v>1962</v>
      </c>
      <c r="E4402" t="s">
        <v>29</v>
      </c>
      <c r="F4402" t="s">
        <v>30</v>
      </c>
      <c r="G4402" t="s">
        <v>31</v>
      </c>
      <c r="H4402" t="s">
        <v>32</v>
      </c>
      <c r="I4402">
        <v>12329.441919999999</v>
      </c>
      <c r="J4402" t="s">
        <v>33</v>
      </c>
      <c r="K4402" t="s">
        <v>6021</v>
      </c>
      <c r="L4402" t="s">
        <v>21</v>
      </c>
    </row>
    <row r="4403" spans="1:12">
      <c r="A4403" t="s">
        <v>6024</v>
      </c>
      <c r="B4403" t="s">
        <v>6012</v>
      </c>
      <c r="C4403" t="s">
        <v>80</v>
      </c>
      <c r="D4403">
        <v>1967</v>
      </c>
      <c r="E4403" t="s">
        <v>15</v>
      </c>
      <c r="F4403" t="s">
        <v>16</v>
      </c>
      <c r="G4403" t="s">
        <v>17</v>
      </c>
      <c r="H4403" t="s">
        <v>18</v>
      </c>
      <c r="I4403">
        <v>74.16</v>
      </c>
      <c r="J4403" t="s">
        <v>19</v>
      </c>
      <c r="K4403" t="s">
        <v>6025</v>
      </c>
      <c r="L4403" t="s">
        <v>21</v>
      </c>
    </row>
    <row r="4404" spans="1:12">
      <c r="A4404" t="s">
        <v>6026</v>
      </c>
      <c r="B4404" t="s">
        <v>6012</v>
      </c>
      <c r="C4404" t="s">
        <v>80</v>
      </c>
      <c r="D4404">
        <v>1967</v>
      </c>
      <c r="E4404" t="s">
        <v>23</v>
      </c>
      <c r="F4404" t="s">
        <v>24</v>
      </c>
      <c r="G4404" t="s">
        <v>25</v>
      </c>
      <c r="H4404" t="s">
        <v>26</v>
      </c>
      <c r="I4404">
        <v>7867931</v>
      </c>
      <c r="J4404" t="s">
        <v>27</v>
      </c>
      <c r="K4404" t="s">
        <v>6025</v>
      </c>
      <c r="L4404" t="s">
        <v>21</v>
      </c>
    </row>
    <row r="4405" spans="1:12">
      <c r="A4405" t="s">
        <v>6027</v>
      </c>
      <c r="B4405" t="s">
        <v>6012</v>
      </c>
      <c r="C4405" t="s">
        <v>80</v>
      </c>
      <c r="D4405">
        <v>1967</v>
      </c>
      <c r="E4405" t="s">
        <v>29</v>
      </c>
      <c r="F4405" t="s">
        <v>30</v>
      </c>
      <c r="G4405" t="s">
        <v>31</v>
      </c>
      <c r="H4405" t="s">
        <v>32</v>
      </c>
      <c r="I4405">
        <v>15258.296969999999</v>
      </c>
      <c r="J4405" t="s">
        <v>33</v>
      </c>
      <c r="K4405" t="s">
        <v>6025</v>
      </c>
      <c r="L4405" t="s">
        <v>21</v>
      </c>
    </row>
    <row r="4406" spans="1:12">
      <c r="A4406" t="s">
        <v>6028</v>
      </c>
      <c r="B4406" t="s">
        <v>6012</v>
      </c>
      <c r="C4406" t="s">
        <v>80</v>
      </c>
      <c r="D4406">
        <v>1972</v>
      </c>
      <c r="E4406" t="s">
        <v>15</v>
      </c>
      <c r="F4406" t="s">
        <v>16</v>
      </c>
      <c r="G4406" t="s">
        <v>17</v>
      </c>
      <c r="H4406" t="s">
        <v>18</v>
      </c>
      <c r="I4406">
        <v>74.72</v>
      </c>
      <c r="J4406" t="s">
        <v>19</v>
      </c>
      <c r="K4406" t="s">
        <v>6029</v>
      </c>
      <c r="L4406" t="s">
        <v>21</v>
      </c>
    </row>
    <row r="4407" spans="1:12">
      <c r="A4407" t="s">
        <v>6030</v>
      </c>
      <c r="B4407" t="s">
        <v>6012</v>
      </c>
      <c r="C4407" t="s">
        <v>80</v>
      </c>
      <c r="D4407">
        <v>1972</v>
      </c>
      <c r="E4407" t="s">
        <v>23</v>
      </c>
      <c r="F4407" t="s">
        <v>24</v>
      </c>
      <c r="G4407" t="s">
        <v>25</v>
      </c>
      <c r="H4407" t="s">
        <v>26</v>
      </c>
      <c r="I4407">
        <v>8122293</v>
      </c>
      <c r="J4407" t="s">
        <v>27</v>
      </c>
      <c r="K4407" t="s">
        <v>6029</v>
      </c>
      <c r="L4407" t="s">
        <v>21</v>
      </c>
    </row>
    <row r="4408" spans="1:12">
      <c r="A4408" t="s">
        <v>6031</v>
      </c>
      <c r="B4408" t="s">
        <v>6012</v>
      </c>
      <c r="C4408" t="s">
        <v>80</v>
      </c>
      <c r="D4408">
        <v>1972</v>
      </c>
      <c r="E4408" t="s">
        <v>29</v>
      </c>
      <c r="F4408" t="s">
        <v>30</v>
      </c>
      <c r="G4408" t="s">
        <v>31</v>
      </c>
      <c r="H4408" t="s">
        <v>32</v>
      </c>
      <c r="I4408">
        <v>17832.02464</v>
      </c>
      <c r="J4408" t="s">
        <v>33</v>
      </c>
      <c r="K4408" t="s">
        <v>6029</v>
      </c>
      <c r="L4408" t="s">
        <v>21</v>
      </c>
    </row>
    <row r="4409" spans="1:12">
      <c r="A4409" t="s">
        <v>6032</v>
      </c>
      <c r="B4409" t="s">
        <v>6012</v>
      </c>
      <c r="C4409" t="s">
        <v>80</v>
      </c>
      <c r="D4409">
        <v>1977</v>
      </c>
      <c r="E4409" t="s">
        <v>15</v>
      </c>
      <c r="F4409" t="s">
        <v>16</v>
      </c>
      <c r="G4409" t="s">
        <v>17</v>
      </c>
      <c r="H4409" t="s">
        <v>18</v>
      </c>
      <c r="I4409">
        <v>75.44</v>
      </c>
      <c r="J4409" t="s">
        <v>19</v>
      </c>
      <c r="K4409" t="s">
        <v>6033</v>
      </c>
      <c r="L4409" t="s">
        <v>21</v>
      </c>
    </row>
    <row r="4410" spans="1:12">
      <c r="A4410" t="s">
        <v>6034</v>
      </c>
      <c r="B4410" t="s">
        <v>6012</v>
      </c>
      <c r="C4410" t="s">
        <v>80</v>
      </c>
      <c r="D4410">
        <v>1977</v>
      </c>
      <c r="E4410" t="s">
        <v>23</v>
      </c>
      <c r="F4410" t="s">
        <v>24</v>
      </c>
      <c r="G4410" t="s">
        <v>25</v>
      </c>
      <c r="H4410" t="s">
        <v>26</v>
      </c>
      <c r="I4410">
        <v>8251648</v>
      </c>
      <c r="J4410" t="s">
        <v>27</v>
      </c>
      <c r="K4410" t="s">
        <v>6033</v>
      </c>
      <c r="L4410" t="s">
        <v>21</v>
      </c>
    </row>
    <row r="4411" spans="1:12">
      <c r="A4411" t="s">
        <v>6035</v>
      </c>
      <c r="B4411" t="s">
        <v>6012</v>
      </c>
      <c r="C4411" t="s">
        <v>80</v>
      </c>
      <c r="D4411">
        <v>1977</v>
      </c>
      <c r="E4411" t="s">
        <v>29</v>
      </c>
      <c r="F4411" t="s">
        <v>30</v>
      </c>
      <c r="G4411" t="s">
        <v>31</v>
      </c>
      <c r="H4411" t="s">
        <v>32</v>
      </c>
      <c r="I4411">
        <v>18855.725210000001</v>
      </c>
      <c r="J4411" t="s">
        <v>33</v>
      </c>
      <c r="K4411" t="s">
        <v>6033</v>
      </c>
      <c r="L4411" t="s">
        <v>21</v>
      </c>
    </row>
    <row r="4412" spans="1:12">
      <c r="A4412" t="s">
        <v>6036</v>
      </c>
      <c r="B4412" t="s">
        <v>6012</v>
      </c>
      <c r="C4412" t="s">
        <v>80</v>
      </c>
      <c r="D4412">
        <v>1982</v>
      </c>
      <c r="E4412" t="s">
        <v>15</v>
      </c>
      <c r="F4412" t="s">
        <v>16</v>
      </c>
      <c r="G4412" t="s">
        <v>17</v>
      </c>
      <c r="H4412" t="s">
        <v>18</v>
      </c>
      <c r="I4412">
        <v>76.42</v>
      </c>
      <c r="J4412" t="s">
        <v>19</v>
      </c>
      <c r="K4412" t="s">
        <v>6037</v>
      </c>
      <c r="L4412" t="s">
        <v>21</v>
      </c>
    </row>
    <row r="4413" spans="1:12">
      <c r="A4413" t="s">
        <v>6038</v>
      </c>
      <c r="B4413" t="s">
        <v>6012</v>
      </c>
      <c r="C4413" t="s">
        <v>80</v>
      </c>
      <c r="D4413">
        <v>1982</v>
      </c>
      <c r="E4413" t="s">
        <v>23</v>
      </c>
      <c r="F4413" t="s">
        <v>24</v>
      </c>
      <c r="G4413" t="s">
        <v>25</v>
      </c>
      <c r="H4413" t="s">
        <v>26</v>
      </c>
      <c r="I4413">
        <v>8325260</v>
      </c>
      <c r="J4413" t="s">
        <v>27</v>
      </c>
      <c r="K4413" t="s">
        <v>6037</v>
      </c>
      <c r="L4413" t="s">
        <v>21</v>
      </c>
    </row>
    <row r="4414" spans="1:12">
      <c r="A4414" t="s">
        <v>6039</v>
      </c>
      <c r="B4414" t="s">
        <v>6012</v>
      </c>
      <c r="C4414" t="s">
        <v>80</v>
      </c>
      <c r="D4414">
        <v>1982</v>
      </c>
      <c r="E4414" t="s">
        <v>29</v>
      </c>
      <c r="F4414" t="s">
        <v>30</v>
      </c>
      <c r="G4414" t="s">
        <v>31</v>
      </c>
      <c r="H4414" t="s">
        <v>32</v>
      </c>
      <c r="I4414">
        <v>20667.381249999999</v>
      </c>
      <c r="J4414" t="s">
        <v>33</v>
      </c>
      <c r="K4414" t="s">
        <v>6037</v>
      </c>
      <c r="L4414" t="s">
        <v>21</v>
      </c>
    </row>
    <row r="4415" spans="1:12">
      <c r="A4415" t="s">
        <v>6040</v>
      </c>
      <c r="B4415" t="s">
        <v>6012</v>
      </c>
      <c r="C4415" t="s">
        <v>80</v>
      </c>
      <c r="D4415">
        <v>1987</v>
      </c>
      <c r="E4415" t="s">
        <v>15</v>
      </c>
      <c r="F4415" t="s">
        <v>16</v>
      </c>
      <c r="G4415" t="s">
        <v>17</v>
      </c>
      <c r="H4415" t="s">
        <v>18</v>
      </c>
      <c r="I4415">
        <v>77.19</v>
      </c>
      <c r="J4415" t="s">
        <v>19</v>
      </c>
      <c r="K4415" t="s">
        <v>6041</v>
      </c>
      <c r="L4415" t="s">
        <v>21</v>
      </c>
    </row>
    <row r="4416" spans="1:12">
      <c r="A4416" t="s">
        <v>6042</v>
      </c>
      <c r="B4416" t="s">
        <v>6012</v>
      </c>
      <c r="C4416" t="s">
        <v>80</v>
      </c>
      <c r="D4416">
        <v>1987</v>
      </c>
      <c r="E4416" t="s">
        <v>23</v>
      </c>
      <c r="F4416" t="s">
        <v>24</v>
      </c>
      <c r="G4416" t="s">
        <v>25</v>
      </c>
      <c r="H4416" t="s">
        <v>26</v>
      </c>
      <c r="I4416">
        <v>8421403</v>
      </c>
      <c r="J4416" t="s">
        <v>27</v>
      </c>
      <c r="K4416" t="s">
        <v>6041</v>
      </c>
      <c r="L4416" t="s">
        <v>21</v>
      </c>
    </row>
    <row r="4417" spans="1:12">
      <c r="A4417" t="s">
        <v>6043</v>
      </c>
      <c r="B4417" t="s">
        <v>6012</v>
      </c>
      <c r="C4417" t="s">
        <v>80</v>
      </c>
      <c r="D4417">
        <v>1987</v>
      </c>
      <c r="E4417" t="s">
        <v>29</v>
      </c>
      <c r="F4417" t="s">
        <v>30</v>
      </c>
      <c r="G4417" t="s">
        <v>31</v>
      </c>
      <c r="H4417" t="s">
        <v>32</v>
      </c>
      <c r="I4417">
        <v>23586.929270000001</v>
      </c>
      <c r="J4417" t="s">
        <v>33</v>
      </c>
      <c r="K4417" t="s">
        <v>6041</v>
      </c>
      <c r="L4417" t="s">
        <v>21</v>
      </c>
    </row>
    <row r="4418" spans="1:12">
      <c r="A4418" t="s">
        <v>6044</v>
      </c>
      <c r="B4418" t="s">
        <v>6012</v>
      </c>
      <c r="C4418" t="s">
        <v>80</v>
      </c>
      <c r="D4418">
        <v>1992</v>
      </c>
      <c r="E4418" t="s">
        <v>15</v>
      </c>
      <c r="F4418" t="s">
        <v>16</v>
      </c>
      <c r="G4418" t="s">
        <v>17</v>
      </c>
      <c r="H4418" t="s">
        <v>18</v>
      </c>
      <c r="I4418">
        <v>78.16</v>
      </c>
      <c r="J4418" t="s">
        <v>19</v>
      </c>
      <c r="K4418" t="s">
        <v>6045</v>
      </c>
      <c r="L4418" t="s">
        <v>21</v>
      </c>
    </row>
    <row r="4419" spans="1:12">
      <c r="A4419" t="s">
        <v>6046</v>
      </c>
      <c r="B4419" t="s">
        <v>6012</v>
      </c>
      <c r="C4419" t="s">
        <v>80</v>
      </c>
      <c r="D4419">
        <v>1992</v>
      </c>
      <c r="E4419" t="s">
        <v>23</v>
      </c>
      <c r="F4419" t="s">
        <v>24</v>
      </c>
      <c r="G4419" t="s">
        <v>25</v>
      </c>
      <c r="H4419" t="s">
        <v>26</v>
      </c>
      <c r="I4419">
        <v>8718867</v>
      </c>
      <c r="J4419" t="s">
        <v>27</v>
      </c>
      <c r="K4419" t="s">
        <v>6045</v>
      </c>
      <c r="L4419" t="s">
        <v>21</v>
      </c>
    </row>
    <row r="4420" spans="1:12">
      <c r="A4420" t="s">
        <v>6047</v>
      </c>
      <c r="B4420" t="s">
        <v>6012</v>
      </c>
      <c r="C4420" t="s">
        <v>80</v>
      </c>
      <c r="D4420">
        <v>1992</v>
      </c>
      <c r="E4420" t="s">
        <v>29</v>
      </c>
      <c r="F4420" t="s">
        <v>30</v>
      </c>
      <c r="G4420" t="s">
        <v>31</v>
      </c>
      <c r="H4420" t="s">
        <v>32</v>
      </c>
      <c r="I4420">
        <v>23880.01683</v>
      </c>
      <c r="J4420" t="s">
        <v>33</v>
      </c>
      <c r="K4420" t="s">
        <v>6045</v>
      </c>
      <c r="L4420" t="s">
        <v>21</v>
      </c>
    </row>
    <row r="4421" spans="1:12">
      <c r="A4421" t="s">
        <v>6048</v>
      </c>
      <c r="B4421" t="s">
        <v>6012</v>
      </c>
      <c r="C4421" t="s">
        <v>80</v>
      </c>
      <c r="D4421">
        <v>1997</v>
      </c>
      <c r="E4421" t="s">
        <v>15</v>
      </c>
      <c r="F4421" t="s">
        <v>16</v>
      </c>
      <c r="G4421" t="s">
        <v>17</v>
      </c>
      <c r="H4421" t="s">
        <v>18</v>
      </c>
      <c r="I4421">
        <v>79.39</v>
      </c>
      <c r="J4421" t="s">
        <v>19</v>
      </c>
      <c r="K4421" t="s">
        <v>6049</v>
      </c>
      <c r="L4421" t="s">
        <v>21</v>
      </c>
    </row>
    <row r="4422" spans="1:12">
      <c r="A4422" t="s">
        <v>6050</v>
      </c>
      <c r="B4422" t="s">
        <v>6012</v>
      </c>
      <c r="C4422" t="s">
        <v>80</v>
      </c>
      <c r="D4422">
        <v>1997</v>
      </c>
      <c r="E4422" t="s">
        <v>23</v>
      </c>
      <c r="F4422" t="s">
        <v>24</v>
      </c>
      <c r="G4422" t="s">
        <v>25</v>
      </c>
      <c r="H4422" t="s">
        <v>26</v>
      </c>
      <c r="I4422">
        <v>8897619</v>
      </c>
      <c r="J4422" t="s">
        <v>27</v>
      </c>
      <c r="K4422" t="s">
        <v>6049</v>
      </c>
      <c r="L4422" t="s">
        <v>21</v>
      </c>
    </row>
    <row r="4423" spans="1:12">
      <c r="A4423" t="s">
        <v>6051</v>
      </c>
      <c r="B4423" t="s">
        <v>6012</v>
      </c>
      <c r="C4423" t="s">
        <v>80</v>
      </c>
      <c r="D4423">
        <v>1997</v>
      </c>
      <c r="E4423" t="s">
        <v>29</v>
      </c>
      <c r="F4423" t="s">
        <v>30</v>
      </c>
      <c r="G4423" t="s">
        <v>31</v>
      </c>
      <c r="H4423" t="s">
        <v>32</v>
      </c>
      <c r="I4423">
        <v>25266.594990000001</v>
      </c>
      <c r="J4423" t="s">
        <v>33</v>
      </c>
      <c r="K4423" t="s">
        <v>6049</v>
      </c>
      <c r="L4423" t="s">
        <v>21</v>
      </c>
    </row>
    <row r="4424" spans="1:12">
      <c r="A4424" t="s">
        <v>6052</v>
      </c>
      <c r="B4424" t="s">
        <v>6012</v>
      </c>
      <c r="C4424" t="s">
        <v>80</v>
      </c>
      <c r="D4424">
        <v>2002</v>
      </c>
      <c r="E4424" t="s">
        <v>15</v>
      </c>
      <c r="F4424" t="s">
        <v>16</v>
      </c>
      <c r="G4424" t="s">
        <v>17</v>
      </c>
      <c r="H4424" t="s">
        <v>18</v>
      </c>
      <c r="I4424">
        <v>80.040000000000006</v>
      </c>
      <c r="J4424" t="s">
        <v>19</v>
      </c>
      <c r="K4424" t="s">
        <v>6053</v>
      </c>
      <c r="L4424" t="s">
        <v>21</v>
      </c>
    </row>
    <row r="4425" spans="1:12">
      <c r="A4425" t="s">
        <v>6054</v>
      </c>
      <c r="B4425" t="s">
        <v>6012</v>
      </c>
      <c r="C4425" t="s">
        <v>80</v>
      </c>
      <c r="D4425">
        <v>2002</v>
      </c>
      <c r="E4425" t="s">
        <v>23</v>
      </c>
      <c r="F4425" t="s">
        <v>24</v>
      </c>
      <c r="G4425" t="s">
        <v>25</v>
      </c>
      <c r="H4425" t="s">
        <v>26</v>
      </c>
      <c r="I4425">
        <v>8954175</v>
      </c>
      <c r="J4425" t="s">
        <v>27</v>
      </c>
      <c r="K4425" t="s">
        <v>6053</v>
      </c>
      <c r="L4425" t="s">
        <v>21</v>
      </c>
    </row>
    <row r="4426" spans="1:12">
      <c r="A4426" t="s">
        <v>6055</v>
      </c>
      <c r="B4426" t="s">
        <v>6012</v>
      </c>
      <c r="C4426" t="s">
        <v>80</v>
      </c>
      <c r="D4426">
        <v>2002</v>
      </c>
      <c r="E4426" t="s">
        <v>29</v>
      </c>
      <c r="F4426" t="s">
        <v>30</v>
      </c>
      <c r="G4426" t="s">
        <v>31</v>
      </c>
      <c r="H4426" t="s">
        <v>32</v>
      </c>
      <c r="I4426">
        <v>29341.630929999999</v>
      </c>
      <c r="J4426" t="s">
        <v>33</v>
      </c>
      <c r="K4426" t="s">
        <v>6053</v>
      </c>
      <c r="L4426" t="s">
        <v>21</v>
      </c>
    </row>
    <row r="4427" spans="1:12">
      <c r="A4427" t="s">
        <v>6056</v>
      </c>
      <c r="B4427" t="s">
        <v>6012</v>
      </c>
      <c r="C4427" t="s">
        <v>80</v>
      </c>
      <c r="D4427">
        <v>2007</v>
      </c>
      <c r="E4427" t="s">
        <v>15</v>
      </c>
      <c r="F4427" t="s">
        <v>16</v>
      </c>
      <c r="G4427" t="s">
        <v>17</v>
      </c>
      <c r="H4427" t="s">
        <v>18</v>
      </c>
      <c r="I4427">
        <v>80.884</v>
      </c>
      <c r="J4427" t="s">
        <v>19</v>
      </c>
      <c r="K4427" t="s">
        <v>6057</v>
      </c>
      <c r="L4427" t="s">
        <v>21</v>
      </c>
    </row>
    <row r="4428" spans="1:12">
      <c r="A4428" t="s">
        <v>6058</v>
      </c>
      <c r="B4428" t="s">
        <v>6012</v>
      </c>
      <c r="C4428" t="s">
        <v>80</v>
      </c>
      <c r="D4428">
        <v>2007</v>
      </c>
      <c r="E4428" t="s">
        <v>23</v>
      </c>
      <c r="F4428" t="s">
        <v>24</v>
      </c>
      <c r="G4428" t="s">
        <v>25</v>
      </c>
      <c r="H4428" t="s">
        <v>26</v>
      </c>
      <c r="I4428">
        <v>9031088</v>
      </c>
      <c r="J4428" t="s">
        <v>27</v>
      </c>
      <c r="K4428" t="s">
        <v>6057</v>
      </c>
      <c r="L4428" t="s">
        <v>21</v>
      </c>
    </row>
    <row r="4429" spans="1:12">
      <c r="A4429" t="s">
        <v>6059</v>
      </c>
      <c r="B4429" t="s">
        <v>6012</v>
      </c>
      <c r="C4429" t="s">
        <v>80</v>
      </c>
      <c r="D4429">
        <v>2007</v>
      </c>
      <c r="E4429" t="s">
        <v>29</v>
      </c>
      <c r="F4429" t="s">
        <v>30</v>
      </c>
      <c r="G4429" t="s">
        <v>31</v>
      </c>
      <c r="H4429" t="s">
        <v>32</v>
      </c>
      <c r="I4429">
        <v>33859.748350000002</v>
      </c>
      <c r="J4429" t="s">
        <v>33</v>
      </c>
      <c r="K4429" t="s">
        <v>6057</v>
      </c>
      <c r="L4429" t="s">
        <v>21</v>
      </c>
    </row>
    <row r="4430" spans="1:12">
      <c r="A4430" t="s">
        <v>6060</v>
      </c>
      <c r="B4430" t="s">
        <v>6061</v>
      </c>
      <c r="C4430" t="s">
        <v>80</v>
      </c>
      <c r="D4430">
        <v>1952</v>
      </c>
      <c r="E4430" t="s">
        <v>15</v>
      </c>
      <c r="F4430" t="s">
        <v>16</v>
      </c>
      <c r="G4430" t="s">
        <v>17</v>
      </c>
      <c r="H4430" t="s">
        <v>18</v>
      </c>
      <c r="I4430">
        <v>69.62</v>
      </c>
      <c r="J4430" t="s">
        <v>19</v>
      </c>
      <c r="K4430" t="s">
        <v>6062</v>
      </c>
      <c r="L4430" t="s">
        <v>21</v>
      </c>
    </row>
    <row r="4431" spans="1:12">
      <c r="A4431" t="s">
        <v>6063</v>
      </c>
      <c r="B4431" t="s">
        <v>6061</v>
      </c>
      <c r="C4431" t="s">
        <v>80</v>
      </c>
      <c r="D4431">
        <v>1952</v>
      </c>
      <c r="E4431" t="s">
        <v>23</v>
      </c>
      <c r="F4431" t="s">
        <v>24</v>
      </c>
      <c r="G4431" t="s">
        <v>25</v>
      </c>
      <c r="H4431" t="s">
        <v>26</v>
      </c>
      <c r="I4431">
        <v>4815000</v>
      </c>
      <c r="J4431" t="s">
        <v>27</v>
      </c>
      <c r="K4431" t="s">
        <v>6062</v>
      </c>
      <c r="L4431" t="s">
        <v>21</v>
      </c>
    </row>
    <row r="4432" spans="1:12">
      <c r="A4432" t="s">
        <v>6064</v>
      </c>
      <c r="B4432" t="s">
        <v>6061</v>
      </c>
      <c r="C4432" t="s">
        <v>80</v>
      </c>
      <c r="D4432">
        <v>1952</v>
      </c>
      <c r="E4432" t="s">
        <v>29</v>
      </c>
      <c r="F4432" t="s">
        <v>30</v>
      </c>
      <c r="G4432" t="s">
        <v>31</v>
      </c>
      <c r="H4432" t="s">
        <v>32</v>
      </c>
      <c r="I4432">
        <v>14734.232749999999</v>
      </c>
      <c r="J4432" t="s">
        <v>33</v>
      </c>
      <c r="K4432" t="s">
        <v>6062</v>
      </c>
      <c r="L4432" t="s">
        <v>21</v>
      </c>
    </row>
    <row r="4433" spans="1:12">
      <c r="A4433" t="s">
        <v>6065</v>
      </c>
      <c r="B4433" t="s">
        <v>6061</v>
      </c>
      <c r="C4433" t="s">
        <v>80</v>
      </c>
      <c r="D4433">
        <v>1957</v>
      </c>
      <c r="E4433" t="s">
        <v>15</v>
      </c>
      <c r="F4433" t="s">
        <v>16</v>
      </c>
      <c r="G4433" t="s">
        <v>17</v>
      </c>
      <c r="H4433" t="s">
        <v>18</v>
      </c>
      <c r="I4433">
        <v>70.56</v>
      </c>
      <c r="J4433" t="s">
        <v>19</v>
      </c>
      <c r="K4433" t="s">
        <v>6066</v>
      </c>
      <c r="L4433" t="s">
        <v>21</v>
      </c>
    </row>
    <row r="4434" spans="1:12">
      <c r="A4434" t="s">
        <v>6067</v>
      </c>
      <c r="B4434" t="s">
        <v>6061</v>
      </c>
      <c r="C4434" t="s">
        <v>80</v>
      </c>
      <c r="D4434">
        <v>1957</v>
      </c>
      <c r="E4434" t="s">
        <v>23</v>
      </c>
      <c r="F4434" t="s">
        <v>24</v>
      </c>
      <c r="G4434" t="s">
        <v>25</v>
      </c>
      <c r="H4434" t="s">
        <v>26</v>
      </c>
      <c r="I4434">
        <v>5126000</v>
      </c>
      <c r="J4434" t="s">
        <v>27</v>
      </c>
      <c r="K4434" t="s">
        <v>6066</v>
      </c>
      <c r="L4434" t="s">
        <v>21</v>
      </c>
    </row>
    <row r="4435" spans="1:12">
      <c r="A4435" t="s">
        <v>6068</v>
      </c>
      <c r="B4435" t="s">
        <v>6061</v>
      </c>
      <c r="C4435" t="s">
        <v>80</v>
      </c>
      <c r="D4435">
        <v>1957</v>
      </c>
      <c r="E4435" t="s">
        <v>29</v>
      </c>
      <c r="F4435" t="s">
        <v>30</v>
      </c>
      <c r="G4435" t="s">
        <v>31</v>
      </c>
      <c r="H4435" t="s">
        <v>32</v>
      </c>
      <c r="I4435">
        <v>17909.489730000001</v>
      </c>
      <c r="J4435" t="s">
        <v>33</v>
      </c>
      <c r="K4435" t="s">
        <v>6066</v>
      </c>
      <c r="L4435" t="s">
        <v>21</v>
      </c>
    </row>
    <row r="4436" spans="1:12">
      <c r="A4436" t="s">
        <v>6069</v>
      </c>
      <c r="B4436" t="s">
        <v>6061</v>
      </c>
      <c r="C4436" t="s">
        <v>80</v>
      </c>
      <c r="D4436">
        <v>1962</v>
      </c>
      <c r="E4436" t="s">
        <v>15</v>
      </c>
      <c r="F4436" t="s">
        <v>16</v>
      </c>
      <c r="G4436" t="s">
        <v>17</v>
      </c>
      <c r="H4436" t="s">
        <v>18</v>
      </c>
      <c r="I4436">
        <v>71.319999999999993</v>
      </c>
      <c r="J4436" t="s">
        <v>19</v>
      </c>
      <c r="K4436" t="s">
        <v>6070</v>
      </c>
      <c r="L4436" t="s">
        <v>21</v>
      </c>
    </row>
    <row r="4437" spans="1:12">
      <c r="A4437" t="s">
        <v>6071</v>
      </c>
      <c r="B4437" t="s">
        <v>6061</v>
      </c>
      <c r="C4437" t="s">
        <v>80</v>
      </c>
      <c r="D4437">
        <v>1962</v>
      </c>
      <c r="E4437" t="s">
        <v>23</v>
      </c>
      <c r="F4437" t="s">
        <v>24</v>
      </c>
      <c r="G4437" t="s">
        <v>25</v>
      </c>
      <c r="H4437" t="s">
        <v>26</v>
      </c>
      <c r="I4437">
        <v>5666000</v>
      </c>
      <c r="J4437" t="s">
        <v>27</v>
      </c>
      <c r="K4437" t="s">
        <v>6070</v>
      </c>
      <c r="L4437" t="s">
        <v>21</v>
      </c>
    </row>
    <row r="4438" spans="1:12">
      <c r="A4438" t="s">
        <v>6072</v>
      </c>
      <c r="B4438" t="s">
        <v>6061</v>
      </c>
      <c r="C4438" t="s">
        <v>80</v>
      </c>
      <c r="D4438">
        <v>1962</v>
      </c>
      <c r="E4438" t="s">
        <v>29</v>
      </c>
      <c r="F4438" t="s">
        <v>30</v>
      </c>
      <c r="G4438" t="s">
        <v>31</v>
      </c>
      <c r="H4438" t="s">
        <v>32</v>
      </c>
      <c r="I4438">
        <v>20431.092700000001</v>
      </c>
      <c r="J4438" t="s">
        <v>33</v>
      </c>
      <c r="K4438" t="s">
        <v>6070</v>
      </c>
      <c r="L4438" t="s">
        <v>21</v>
      </c>
    </row>
    <row r="4439" spans="1:12">
      <c r="A4439" t="s">
        <v>6073</v>
      </c>
      <c r="B4439" t="s">
        <v>6061</v>
      </c>
      <c r="C4439" t="s">
        <v>80</v>
      </c>
      <c r="D4439">
        <v>1967</v>
      </c>
      <c r="E4439" t="s">
        <v>15</v>
      </c>
      <c r="F4439" t="s">
        <v>16</v>
      </c>
      <c r="G4439" t="s">
        <v>17</v>
      </c>
      <c r="H4439" t="s">
        <v>18</v>
      </c>
      <c r="I4439">
        <v>72.77</v>
      </c>
      <c r="J4439" t="s">
        <v>19</v>
      </c>
      <c r="K4439" t="s">
        <v>6074</v>
      </c>
      <c r="L4439" t="s">
        <v>21</v>
      </c>
    </row>
    <row r="4440" spans="1:12">
      <c r="A4440" t="s">
        <v>6075</v>
      </c>
      <c r="B4440" t="s">
        <v>6061</v>
      </c>
      <c r="C4440" t="s">
        <v>80</v>
      </c>
      <c r="D4440">
        <v>1967</v>
      </c>
      <c r="E4440" t="s">
        <v>23</v>
      </c>
      <c r="F4440" t="s">
        <v>24</v>
      </c>
      <c r="G4440" t="s">
        <v>25</v>
      </c>
      <c r="H4440" t="s">
        <v>26</v>
      </c>
      <c r="I4440">
        <v>6063000</v>
      </c>
      <c r="J4440" t="s">
        <v>27</v>
      </c>
      <c r="K4440" t="s">
        <v>6074</v>
      </c>
      <c r="L4440" t="s">
        <v>21</v>
      </c>
    </row>
    <row r="4441" spans="1:12">
      <c r="A4441" t="s">
        <v>6076</v>
      </c>
      <c r="B4441" t="s">
        <v>6061</v>
      </c>
      <c r="C4441" t="s">
        <v>80</v>
      </c>
      <c r="D4441">
        <v>1967</v>
      </c>
      <c r="E4441" t="s">
        <v>29</v>
      </c>
      <c r="F4441" t="s">
        <v>30</v>
      </c>
      <c r="G4441" t="s">
        <v>31</v>
      </c>
      <c r="H4441" t="s">
        <v>32</v>
      </c>
      <c r="I4441">
        <v>22966.144319999999</v>
      </c>
      <c r="J4441" t="s">
        <v>33</v>
      </c>
      <c r="K4441" t="s">
        <v>6074</v>
      </c>
      <c r="L4441" t="s">
        <v>21</v>
      </c>
    </row>
    <row r="4442" spans="1:12">
      <c r="A4442" t="s">
        <v>6077</v>
      </c>
      <c r="B4442" t="s">
        <v>6061</v>
      </c>
      <c r="C4442" t="s">
        <v>80</v>
      </c>
      <c r="D4442">
        <v>1972</v>
      </c>
      <c r="E4442" t="s">
        <v>15</v>
      </c>
      <c r="F4442" t="s">
        <v>16</v>
      </c>
      <c r="G4442" t="s">
        <v>17</v>
      </c>
      <c r="H4442" t="s">
        <v>18</v>
      </c>
      <c r="I4442">
        <v>73.78</v>
      </c>
      <c r="J4442" t="s">
        <v>19</v>
      </c>
      <c r="K4442" t="s">
        <v>6078</v>
      </c>
      <c r="L4442" t="s">
        <v>21</v>
      </c>
    </row>
    <row r="4443" spans="1:12">
      <c r="A4443" t="s">
        <v>6079</v>
      </c>
      <c r="B4443" t="s">
        <v>6061</v>
      </c>
      <c r="C4443" t="s">
        <v>80</v>
      </c>
      <c r="D4443">
        <v>1972</v>
      </c>
      <c r="E4443" t="s">
        <v>23</v>
      </c>
      <c r="F4443" t="s">
        <v>24</v>
      </c>
      <c r="G4443" t="s">
        <v>25</v>
      </c>
      <c r="H4443" t="s">
        <v>26</v>
      </c>
      <c r="I4443">
        <v>6401400</v>
      </c>
      <c r="J4443" t="s">
        <v>27</v>
      </c>
      <c r="K4443" t="s">
        <v>6078</v>
      </c>
      <c r="L4443" t="s">
        <v>21</v>
      </c>
    </row>
    <row r="4444" spans="1:12">
      <c r="A4444" t="s">
        <v>6080</v>
      </c>
      <c r="B4444" t="s">
        <v>6061</v>
      </c>
      <c r="C4444" t="s">
        <v>80</v>
      </c>
      <c r="D4444">
        <v>1972</v>
      </c>
      <c r="E4444" t="s">
        <v>29</v>
      </c>
      <c r="F4444" t="s">
        <v>30</v>
      </c>
      <c r="G4444" t="s">
        <v>31</v>
      </c>
      <c r="H4444" t="s">
        <v>32</v>
      </c>
      <c r="I4444">
        <v>27195.11304</v>
      </c>
      <c r="J4444" t="s">
        <v>33</v>
      </c>
      <c r="K4444" t="s">
        <v>6078</v>
      </c>
      <c r="L4444" t="s">
        <v>21</v>
      </c>
    </row>
    <row r="4445" spans="1:12">
      <c r="A4445" t="s">
        <v>6081</v>
      </c>
      <c r="B4445" t="s">
        <v>6061</v>
      </c>
      <c r="C4445" t="s">
        <v>80</v>
      </c>
      <c r="D4445">
        <v>1977</v>
      </c>
      <c r="E4445" t="s">
        <v>15</v>
      </c>
      <c r="F4445" t="s">
        <v>16</v>
      </c>
      <c r="G4445" t="s">
        <v>17</v>
      </c>
      <c r="H4445" t="s">
        <v>18</v>
      </c>
      <c r="I4445">
        <v>75.39</v>
      </c>
      <c r="J4445" t="s">
        <v>19</v>
      </c>
      <c r="K4445" t="s">
        <v>6082</v>
      </c>
      <c r="L4445" t="s">
        <v>21</v>
      </c>
    </row>
    <row r="4446" spans="1:12">
      <c r="A4446" t="s">
        <v>6083</v>
      </c>
      <c r="B4446" t="s">
        <v>6061</v>
      </c>
      <c r="C4446" t="s">
        <v>80</v>
      </c>
      <c r="D4446">
        <v>1977</v>
      </c>
      <c r="E4446" t="s">
        <v>23</v>
      </c>
      <c r="F4446" t="s">
        <v>24</v>
      </c>
      <c r="G4446" t="s">
        <v>25</v>
      </c>
      <c r="H4446" t="s">
        <v>26</v>
      </c>
      <c r="I4446">
        <v>6316424</v>
      </c>
      <c r="J4446" t="s">
        <v>27</v>
      </c>
      <c r="K4446" t="s">
        <v>6082</v>
      </c>
      <c r="L4446" t="s">
        <v>21</v>
      </c>
    </row>
    <row r="4447" spans="1:12">
      <c r="A4447" t="s">
        <v>6084</v>
      </c>
      <c r="B4447" t="s">
        <v>6061</v>
      </c>
      <c r="C4447" t="s">
        <v>80</v>
      </c>
      <c r="D4447">
        <v>1977</v>
      </c>
      <c r="E4447" t="s">
        <v>29</v>
      </c>
      <c r="F4447" t="s">
        <v>30</v>
      </c>
      <c r="G4447" t="s">
        <v>31</v>
      </c>
      <c r="H4447" t="s">
        <v>32</v>
      </c>
      <c r="I4447">
        <v>26982.290519999999</v>
      </c>
      <c r="J4447" t="s">
        <v>33</v>
      </c>
      <c r="K4447" t="s">
        <v>6082</v>
      </c>
      <c r="L4447" t="s">
        <v>21</v>
      </c>
    </row>
    <row r="4448" spans="1:12">
      <c r="A4448" t="s">
        <v>6085</v>
      </c>
      <c r="B4448" t="s">
        <v>6061</v>
      </c>
      <c r="C4448" t="s">
        <v>80</v>
      </c>
      <c r="D4448">
        <v>1982</v>
      </c>
      <c r="E4448" t="s">
        <v>15</v>
      </c>
      <c r="F4448" t="s">
        <v>16</v>
      </c>
      <c r="G4448" t="s">
        <v>17</v>
      </c>
      <c r="H4448" t="s">
        <v>18</v>
      </c>
      <c r="I4448">
        <v>76.209999999999994</v>
      </c>
      <c r="J4448" t="s">
        <v>19</v>
      </c>
      <c r="K4448" t="s">
        <v>6086</v>
      </c>
      <c r="L4448" t="s">
        <v>21</v>
      </c>
    </row>
    <row r="4449" spans="1:12">
      <c r="A4449" t="s">
        <v>6087</v>
      </c>
      <c r="B4449" t="s">
        <v>6061</v>
      </c>
      <c r="C4449" t="s">
        <v>80</v>
      </c>
      <c r="D4449">
        <v>1982</v>
      </c>
      <c r="E4449" t="s">
        <v>23</v>
      </c>
      <c r="F4449" t="s">
        <v>24</v>
      </c>
      <c r="G4449" t="s">
        <v>25</v>
      </c>
      <c r="H4449" t="s">
        <v>26</v>
      </c>
      <c r="I4449">
        <v>6468126</v>
      </c>
      <c r="J4449" t="s">
        <v>27</v>
      </c>
      <c r="K4449" t="s">
        <v>6086</v>
      </c>
      <c r="L4449" t="s">
        <v>21</v>
      </c>
    </row>
    <row r="4450" spans="1:12">
      <c r="A4450" t="s">
        <v>6088</v>
      </c>
      <c r="B4450" t="s">
        <v>6061</v>
      </c>
      <c r="C4450" t="s">
        <v>80</v>
      </c>
      <c r="D4450">
        <v>1982</v>
      </c>
      <c r="E4450" t="s">
        <v>29</v>
      </c>
      <c r="F4450" t="s">
        <v>30</v>
      </c>
      <c r="G4450" t="s">
        <v>31</v>
      </c>
      <c r="H4450" t="s">
        <v>32</v>
      </c>
      <c r="I4450">
        <v>28397.715120000001</v>
      </c>
      <c r="J4450" t="s">
        <v>33</v>
      </c>
      <c r="K4450" t="s">
        <v>6086</v>
      </c>
      <c r="L4450" t="s">
        <v>21</v>
      </c>
    </row>
    <row r="4451" spans="1:12">
      <c r="A4451" t="s">
        <v>6089</v>
      </c>
      <c r="B4451" t="s">
        <v>6061</v>
      </c>
      <c r="C4451" t="s">
        <v>80</v>
      </c>
      <c r="D4451">
        <v>1987</v>
      </c>
      <c r="E4451" t="s">
        <v>15</v>
      </c>
      <c r="F4451" t="s">
        <v>16</v>
      </c>
      <c r="G4451" t="s">
        <v>17</v>
      </c>
      <c r="H4451" t="s">
        <v>18</v>
      </c>
      <c r="I4451">
        <v>77.41</v>
      </c>
      <c r="J4451" t="s">
        <v>19</v>
      </c>
      <c r="K4451" t="s">
        <v>6090</v>
      </c>
      <c r="L4451" t="s">
        <v>21</v>
      </c>
    </row>
    <row r="4452" spans="1:12">
      <c r="A4452" t="s">
        <v>6091</v>
      </c>
      <c r="B4452" t="s">
        <v>6061</v>
      </c>
      <c r="C4452" t="s">
        <v>80</v>
      </c>
      <c r="D4452">
        <v>1987</v>
      </c>
      <c r="E4452" t="s">
        <v>23</v>
      </c>
      <c r="F4452" t="s">
        <v>24</v>
      </c>
      <c r="G4452" t="s">
        <v>25</v>
      </c>
      <c r="H4452" t="s">
        <v>26</v>
      </c>
      <c r="I4452">
        <v>6649942</v>
      </c>
      <c r="J4452" t="s">
        <v>27</v>
      </c>
      <c r="K4452" t="s">
        <v>6090</v>
      </c>
      <c r="L4452" t="s">
        <v>21</v>
      </c>
    </row>
    <row r="4453" spans="1:12">
      <c r="A4453" t="s">
        <v>6092</v>
      </c>
      <c r="B4453" t="s">
        <v>6061</v>
      </c>
      <c r="C4453" t="s">
        <v>80</v>
      </c>
      <c r="D4453">
        <v>1987</v>
      </c>
      <c r="E4453" t="s">
        <v>29</v>
      </c>
      <c r="F4453" t="s">
        <v>30</v>
      </c>
      <c r="G4453" t="s">
        <v>31</v>
      </c>
      <c r="H4453" t="s">
        <v>32</v>
      </c>
      <c r="I4453">
        <v>30281.704590000001</v>
      </c>
      <c r="J4453" t="s">
        <v>33</v>
      </c>
      <c r="K4453" t="s">
        <v>6090</v>
      </c>
      <c r="L4453" t="s">
        <v>21</v>
      </c>
    </row>
    <row r="4454" spans="1:12">
      <c r="A4454" t="s">
        <v>6093</v>
      </c>
      <c r="B4454" t="s">
        <v>6061</v>
      </c>
      <c r="C4454" t="s">
        <v>80</v>
      </c>
      <c r="D4454">
        <v>1992</v>
      </c>
      <c r="E4454" t="s">
        <v>15</v>
      </c>
      <c r="F4454" t="s">
        <v>16</v>
      </c>
      <c r="G4454" t="s">
        <v>17</v>
      </c>
      <c r="H4454" t="s">
        <v>18</v>
      </c>
      <c r="I4454">
        <v>78.03</v>
      </c>
      <c r="J4454" t="s">
        <v>19</v>
      </c>
      <c r="K4454" t="s">
        <v>6094</v>
      </c>
      <c r="L4454" t="s">
        <v>21</v>
      </c>
    </row>
    <row r="4455" spans="1:12">
      <c r="A4455" t="s">
        <v>6095</v>
      </c>
      <c r="B4455" t="s">
        <v>6061</v>
      </c>
      <c r="C4455" t="s">
        <v>80</v>
      </c>
      <c r="D4455">
        <v>1992</v>
      </c>
      <c r="E4455" t="s">
        <v>23</v>
      </c>
      <c r="F4455" t="s">
        <v>24</v>
      </c>
      <c r="G4455" t="s">
        <v>25</v>
      </c>
      <c r="H4455" t="s">
        <v>26</v>
      </c>
      <c r="I4455">
        <v>6995447</v>
      </c>
      <c r="J4455" t="s">
        <v>27</v>
      </c>
      <c r="K4455" t="s">
        <v>6094</v>
      </c>
      <c r="L4455" t="s">
        <v>21</v>
      </c>
    </row>
    <row r="4456" spans="1:12">
      <c r="A4456" t="s">
        <v>6096</v>
      </c>
      <c r="B4456" t="s">
        <v>6061</v>
      </c>
      <c r="C4456" t="s">
        <v>80</v>
      </c>
      <c r="D4456">
        <v>1992</v>
      </c>
      <c r="E4456" t="s">
        <v>29</v>
      </c>
      <c r="F4456" t="s">
        <v>30</v>
      </c>
      <c r="G4456" t="s">
        <v>31</v>
      </c>
      <c r="H4456" t="s">
        <v>32</v>
      </c>
      <c r="I4456">
        <v>31871.530299999999</v>
      </c>
      <c r="J4456" t="s">
        <v>33</v>
      </c>
      <c r="K4456" t="s">
        <v>6094</v>
      </c>
      <c r="L4456" t="s">
        <v>21</v>
      </c>
    </row>
    <row r="4457" spans="1:12">
      <c r="A4457" t="s">
        <v>6097</v>
      </c>
      <c r="B4457" t="s">
        <v>6061</v>
      </c>
      <c r="C4457" t="s">
        <v>80</v>
      </c>
      <c r="D4457">
        <v>1997</v>
      </c>
      <c r="E4457" t="s">
        <v>15</v>
      </c>
      <c r="F4457" t="s">
        <v>16</v>
      </c>
      <c r="G4457" t="s">
        <v>17</v>
      </c>
      <c r="H4457" t="s">
        <v>18</v>
      </c>
      <c r="I4457">
        <v>79.37</v>
      </c>
      <c r="J4457" t="s">
        <v>19</v>
      </c>
      <c r="K4457" t="s">
        <v>6098</v>
      </c>
      <c r="L4457" t="s">
        <v>21</v>
      </c>
    </row>
    <row r="4458" spans="1:12">
      <c r="A4458" t="s">
        <v>6099</v>
      </c>
      <c r="B4458" t="s">
        <v>6061</v>
      </c>
      <c r="C4458" t="s">
        <v>80</v>
      </c>
      <c r="D4458">
        <v>1997</v>
      </c>
      <c r="E4458" t="s">
        <v>23</v>
      </c>
      <c r="F4458" t="s">
        <v>24</v>
      </c>
      <c r="G4458" t="s">
        <v>25</v>
      </c>
      <c r="H4458" t="s">
        <v>26</v>
      </c>
      <c r="I4458">
        <v>7193761</v>
      </c>
      <c r="J4458" t="s">
        <v>27</v>
      </c>
      <c r="K4458" t="s">
        <v>6098</v>
      </c>
      <c r="L4458" t="s">
        <v>21</v>
      </c>
    </row>
    <row r="4459" spans="1:12">
      <c r="A4459" t="s">
        <v>6100</v>
      </c>
      <c r="B4459" t="s">
        <v>6061</v>
      </c>
      <c r="C4459" t="s">
        <v>80</v>
      </c>
      <c r="D4459">
        <v>1997</v>
      </c>
      <c r="E4459" t="s">
        <v>29</v>
      </c>
      <c r="F4459" t="s">
        <v>30</v>
      </c>
      <c r="G4459" t="s">
        <v>31</v>
      </c>
      <c r="H4459" t="s">
        <v>32</v>
      </c>
      <c r="I4459">
        <v>32135.32301</v>
      </c>
      <c r="J4459" t="s">
        <v>33</v>
      </c>
      <c r="K4459" t="s">
        <v>6098</v>
      </c>
      <c r="L4459" t="s">
        <v>21</v>
      </c>
    </row>
    <row r="4460" spans="1:12">
      <c r="A4460" t="s">
        <v>6101</v>
      </c>
      <c r="B4460" t="s">
        <v>6061</v>
      </c>
      <c r="C4460" t="s">
        <v>80</v>
      </c>
      <c r="D4460">
        <v>2002</v>
      </c>
      <c r="E4460" t="s">
        <v>15</v>
      </c>
      <c r="F4460" t="s">
        <v>16</v>
      </c>
      <c r="G4460" t="s">
        <v>17</v>
      </c>
      <c r="H4460" t="s">
        <v>18</v>
      </c>
      <c r="I4460">
        <v>80.62</v>
      </c>
      <c r="J4460" t="s">
        <v>19</v>
      </c>
      <c r="K4460" t="s">
        <v>6102</v>
      </c>
      <c r="L4460" t="s">
        <v>21</v>
      </c>
    </row>
    <row r="4461" spans="1:12">
      <c r="A4461" t="s">
        <v>6103</v>
      </c>
      <c r="B4461" t="s">
        <v>6061</v>
      </c>
      <c r="C4461" t="s">
        <v>80</v>
      </c>
      <c r="D4461">
        <v>2002</v>
      </c>
      <c r="E4461" t="s">
        <v>23</v>
      </c>
      <c r="F4461" t="s">
        <v>24</v>
      </c>
      <c r="G4461" t="s">
        <v>25</v>
      </c>
      <c r="H4461" t="s">
        <v>26</v>
      </c>
      <c r="I4461">
        <v>7361757</v>
      </c>
      <c r="J4461" t="s">
        <v>27</v>
      </c>
      <c r="K4461" t="s">
        <v>6102</v>
      </c>
      <c r="L4461" t="s">
        <v>21</v>
      </c>
    </row>
    <row r="4462" spans="1:12">
      <c r="A4462" t="s">
        <v>6104</v>
      </c>
      <c r="B4462" t="s">
        <v>6061</v>
      </c>
      <c r="C4462" t="s">
        <v>80</v>
      </c>
      <c r="D4462">
        <v>2002</v>
      </c>
      <c r="E4462" t="s">
        <v>29</v>
      </c>
      <c r="F4462" t="s">
        <v>30</v>
      </c>
      <c r="G4462" t="s">
        <v>31</v>
      </c>
      <c r="H4462" t="s">
        <v>32</v>
      </c>
      <c r="I4462">
        <v>34480.957710000002</v>
      </c>
      <c r="J4462" t="s">
        <v>33</v>
      </c>
      <c r="K4462" t="s">
        <v>6102</v>
      </c>
      <c r="L4462" t="s">
        <v>21</v>
      </c>
    </row>
    <row r="4463" spans="1:12">
      <c r="A4463" t="s">
        <v>6105</v>
      </c>
      <c r="B4463" t="s">
        <v>6061</v>
      </c>
      <c r="C4463" t="s">
        <v>80</v>
      </c>
      <c r="D4463">
        <v>2007</v>
      </c>
      <c r="E4463" t="s">
        <v>15</v>
      </c>
      <c r="F4463" t="s">
        <v>16</v>
      </c>
      <c r="G4463" t="s">
        <v>17</v>
      </c>
      <c r="H4463" t="s">
        <v>18</v>
      </c>
      <c r="I4463">
        <v>81.700999999999993</v>
      </c>
      <c r="J4463" t="s">
        <v>19</v>
      </c>
      <c r="K4463" t="s">
        <v>6106</v>
      </c>
      <c r="L4463" t="s">
        <v>21</v>
      </c>
    </row>
    <row r="4464" spans="1:12">
      <c r="A4464" t="s">
        <v>6107</v>
      </c>
      <c r="B4464" t="s">
        <v>6061</v>
      </c>
      <c r="C4464" t="s">
        <v>80</v>
      </c>
      <c r="D4464">
        <v>2007</v>
      </c>
      <c r="E4464" t="s">
        <v>23</v>
      </c>
      <c r="F4464" t="s">
        <v>24</v>
      </c>
      <c r="G4464" t="s">
        <v>25</v>
      </c>
      <c r="H4464" t="s">
        <v>26</v>
      </c>
      <c r="I4464">
        <v>7554661</v>
      </c>
      <c r="J4464" t="s">
        <v>27</v>
      </c>
      <c r="K4464" t="s">
        <v>6106</v>
      </c>
      <c r="L4464" t="s">
        <v>21</v>
      </c>
    </row>
    <row r="4465" spans="1:12">
      <c r="A4465" t="s">
        <v>6108</v>
      </c>
      <c r="B4465" t="s">
        <v>6061</v>
      </c>
      <c r="C4465" t="s">
        <v>80</v>
      </c>
      <c r="D4465">
        <v>2007</v>
      </c>
      <c r="E4465" t="s">
        <v>29</v>
      </c>
      <c r="F4465" t="s">
        <v>30</v>
      </c>
      <c r="G4465" t="s">
        <v>31</v>
      </c>
      <c r="H4465" t="s">
        <v>32</v>
      </c>
      <c r="I4465">
        <v>37506.419070000004</v>
      </c>
      <c r="J4465" t="s">
        <v>33</v>
      </c>
      <c r="K4465" t="s">
        <v>6106</v>
      </c>
      <c r="L4465" t="s">
        <v>21</v>
      </c>
    </row>
    <row r="4466" spans="1:12">
      <c r="A4466" t="s">
        <v>6109</v>
      </c>
      <c r="B4466" t="s">
        <v>6110</v>
      </c>
      <c r="C4466" t="s">
        <v>14</v>
      </c>
      <c r="D4466">
        <v>1952</v>
      </c>
      <c r="E4466" t="s">
        <v>15</v>
      </c>
      <c r="F4466" t="s">
        <v>16</v>
      </c>
      <c r="G4466" t="s">
        <v>17</v>
      </c>
      <c r="H4466" t="s">
        <v>18</v>
      </c>
      <c r="I4466">
        <v>45.883000000000003</v>
      </c>
      <c r="J4466" t="s">
        <v>19</v>
      </c>
      <c r="K4466" t="s">
        <v>6111</v>
      </c>
      <c r="L4466" t="s">
        <v>21</v>
      </c>
    </row>
    <row r="4467" spans="1:12">
      <c r="A4467" t="s">
        <v>6112</v>
      </c>
      <c r="B4467" t="s">
        <v>6110</v>
      </c>
      <c r="C4467" t="s">
        <v>14</v>
      </c>
      <c r="D4467">
        <v>1952</v>
      </c>
      <c r="E4467" t="s">
        <v>23</v>
      </c>
      <c r="F4467" t="s">
        <v>24</v>
      </c>
      <c r="G4467" t="s">
        <v>25</v>
      </c>
      <c r="H4467" t="s">
        <v>26</v>
      </c>
      <c r="I4467">
        <v>3661549</v>
      </c>
      <c r="J4467" t="s">
        <v>27</v>
      </c>
      <c r="K4467" t="s">
        <v>6111</v>
      </c>
      <c r="L4467" t="s">
        <v>21</v>
      </c>
    </row>
    <row r="4468" spans="1:12">
      <c r="A4468" t="s">
        <v>6113</v>
      </c>
      <c r="B4468" t="s">
        <v>6110</v>
      </c>
      <c r="C4468" t="s">
        <v>14</v>
      </c>
      <c r="D4468">
        <v>1952</v>
      </c>
      <c r="E4468" t="s">
        <v>29</v>
      </c>
      <c r="F4468" t="s">
        <v>30</v>
      </c>
      <c r="G4468" t="s">
        <v>31</v>
      </c>
      <c r="H4468" t="s">
        <v>32</v>
      </c>
      <c r="I4468">
        <v>1643.4853539999999</v>
      </c>
      <c r="J4468" t="s">
        <v>33</v>
      </c>
      <c r="K4468" t="s">
        <v>6111</v>
      </c>
      <c r="L4468" t="s">
        <v>21</v>
      </c>
    </row>
    <row r="4469" spans="1:12">
      <c r="A4469" t="s">
        <v>6114</v>
      </c>
      <c r="B4469" t="s">
        <v>6110</v>
      </c>
      <c r="C4469" t="s">
        <v>14</v>
      </c>
      <c r="D4469">
        <v>1957</v>
      </c>
      <c r="E4469" t="s">
        <v>15</v>
      </c>
      <c r="F4469" t="s">
        <v>16</v>
      </c>
      <c r="G4469" t="s">
        <v>17</v>
      </c>
      <c r="H4469" t="s">
        <v>18</v>
      </c>
      <c r="I4469">
        <v>48.283999999999999</v>
      </c>
      <c r="J4469" t="s">
        <v>19</v>
      </c>
      <c r="K4469" t="s">
        <v>6115</v>
      </c>
      <c r="L4469" t="s">
        <v>21</v>
      </c>
    </row>
    <row r="4470" spans="1:12">
      <c r="A4470" t="s">
        <v>6116</v>
      </c>
      <c r="B4470" t="s">
        <v>6110</v>
      </c>
      <c r="C4470" t="s">
        <v>14</v>
      </c>
      <c r="D4470">
        <v>1957</v>
      </c>
      <c r="E4470" t="s">
        <v>23</v>
      </c>
      <c r="F4470" t="s">
        <v>24</v>
      </c>
      <c r="G4470" t="s">
        <v>25</v>
      </c>
      <c r="H4470" t="s">
        <v>26</v>
      </c>
      <c r="I4470">
        <v>4149908</v>
      </c>
      <c r="J4470" t="s">
        <v>27</v>
      </c>
      <c r="K4470" t="s">
        <v>6115</v>
      </c>
      <c r="L4470" t="s">
        <v>21</v>
      </c>
    </row>
    <row r="4471" spans="1:12">
      <c r="A4471" t="s">
        <v>6117</v>
      </c>
      <c r="B4471" t="s">
        <v>6110</v>
      </c>
      <c r="C4471" t="s">
        <v>14</v>
      </c>
      <c r="D4471">
        <v>1957</v>
      </c>
      <c r="E4471" t="s">
        <v>29</v>
      </c>
      <c r="F4471" t="s">
        <v>30</v>
      </c>
      <c r="G4471" t="s">
        <v>31</v>
      </c>
      <c r="H4471" t="s">
        <v>32</v>
      </c>
      <c r="I4471">
        <v>2117.2348929999998</v>
      </c>
      <c r="J4471" t="s">
        <v>33</v>
      </c>
      <c r="K4471" t="s">
        <v>6115</v>
      </c>
      <c r="L4471" t="s">
        <v>21</v>
      </c>
    </row>
    <row r="4472" spans="1:12">
      <c r="A4472" t="s">
        <v>6118</v>
      </c>
      <c r="B4472" t="s">
        <v>6110</v>
      </c>
      <c r="C4472" t="s">
        <v>14</v>
      </c>
      <c r="D4472">
        <v>1962</v>
      </c>
      <c r="E4472" t="s">
        <v>15</v>
      </c>
      <c r="F4472" t="s">
        <v>16</v>
      </c>
      <c r="G4472" t="s">
        <v>17</v>
      </c>
      <c r="H4472" t="s">
        <v>18</v>
      </c>
      <c r="I4472">
        <v>50.305</v>
      </c>
      <c r="J4472" t="s">
        <v>19</v>
      </c>
      <c r="K4472" t="s">
        <v>6119</v>
      </c>
      <c r="L4472" t="s">
        <v>21</v>
      </c>
    </row>
    <row r="4473" spans="1:12">
      <c r="A4473" t="s">
        <v>6120</v>
      </c>
      <c r="B4473" t="s">
        <v>6110</v>
      </c>
      <c r="C4473" t="s">
        <v>14</v>
      </c>
      <c r="D4473">
        <v>1962</v>
      </c>
      <c r="E4473" t="s">
        <v>23</v>
      </c>
      <c r="F4473" t="s">
        <v>24</v>
      </c>
      <c r="G4473" t="s">
        <v>25</v>
      </c>
      <c r="H4473" t="s">
        <v>26</v>
      </c>
      <c r="I4473">
        <v>4834621</v>
      </c>
      <c r="J4473" t="s">
        <v>27</v>
      </c>
      <c r="K4473" t="s">
        <v>6119</v>
      </c>
      <c r="L4473" t="s">
        <v>21</v>
      </c>
    </row>
    <row r="4474" spans="1:12">
      <c r="A4474" t="s">
        <v>6121</v>
      </c>
      <c r="B4474" t="s">
        <v>6110</v>
      </c>
      <c r="C4474" t="s">
        <v>14</v>
      </c>
      <c r="D4474">
        <v>1962</v>
      </c>
      <c r="E4474" t="s">
        <v>29</v>
      </c>
      <c r="F4474" t="s">
        <v>30</v>
      </c>
      <c r="G4474" t="s">
        <v>31</v>
      </c>
      <c r="H4474" t="s">
        <v>32</v>
      </c>
      <c r="I4474">
        <v>2193.0371329999998</v>
      </c>
      <c r="J4474" t="s">
        <v>33</v>
      </c>
      <c r="K4474" t="s">
        <v>6119</v>
      </c>
      <c r="L4474" t="s">
        <v>21</v>
      </c>
    </row>
    <row r="4475" spans="1:12">
      <c r="A4475" t="s">
        <v>6122</v>
      </c>
      <c r="B4475" t="s">
        <v>6110</v>
      </c>
      <c r="C4475" t="s">
        <v>14</v>
      </c>
      <c r="D4475">
        <v>1967</v>
      </c>
      <c r="E4475" t="s">
        <v>15</v>
      </c>
      <c r="F4475" t="s">
        <v>16</v>
      </c>
      <c r="G4475" t="s">
        <v>17</v>
      </c>
      <c r="H4475" t="s">
        <v>18</v>
      </c>
      <c r="I4475">
        <v>53.655000000000001</v>
      </c>
      <c r="J4475" t="s">
        <v>19</v>
      </c>
      <c r="K4475" t="s">
        <v>6123</v>
      </c>
      <c r="L4475" t="s">
        <v>21</v>
      </c>
    </row>
    <row r="4476" spans="1:12">
      <c r="A4476" t="s">
        <v>6124</v>
      </c>
      <c r="B4476" t="s">
        <v>6110</v>
      </c>
      <c r="C4476" t="s">
        <v>14</v>
      </c>
      <c r="D4476">
        <v>1967</v>
      </c>
      <c r="E4476" t="s">
        <v>23</v>
      </c>
      <c r="F4476" t="s">
        <v>24</v>
      </c>
      <c r="G4476" t="s">
        <v>25</v>
      </c>
      <c r="H4476" t="s">
        <v>26</v>
      </c>
      <c r="I4476">
        <v>5680812</v>
      </c>
      <c r="J4476" t="s">
        <v>27</v>
      </c>
      <c r="K4476" t="s">
        <v>6123</v>
      </c>
      <c r="L4476" t="s">
        <v>21</v>
      </c>
    </row>
    <row r="4477" spans="1:12">
      <c r="A4477" t="s">
        <v>6125</v>
      </c>
      <c r="B4477" t="s">
        <v>6110</v>
      </c>
      <c r="C4477" t="s">
        <v>14</v>
      </c>
      <c r="D4477">
        <v>1967</v>
      </c>
      <c r="E4477" t="s">
        <v>29</v>
      </c>
      <c r="F4477" t="s">
        <v>30</v>
      </c>
      <c r="G4477" t="s">
        <v>31</v>
      </c>
      <c r="H4477" t="s">
        <v>32</v>
      </c>
      <c r="I4477">
        <v>1881.923632</v>
      </c>
      <c r="J4477" t="s">
        <v>33</v>
      </c>
      <c r="K4477" t="s">
        <v>6123</v>
      </c>
      <c r="L4477" t="s">
        <v>21</v>
      </c>
    </row>
    <row r="4478" spans="1:12">
      <c r="A4478" t="s">
        <v>6126</v>
      </c>
      <c r="B4478" t="s">
        <v>6110</v>
      </c>
      <c r="C4478" t="s">
        <v>14</v>
      </c>
      <c r="D4478">
        <v>1972</v>
      </c>
      <c r="E4478" t="s">
        <v>15</v>
      </c>
      <c r="F4478" t="s">
        <v>16</v>
      </c>
      <c r="G4478" t="s">
        <v>17</v>
      </c>
      <c r="H4478" t="s">
        <v>18</v>
      </c>
      <c r="I4478">
        <v>57.295999999999999</v>
      </c>
      <c r="J4478" t="s">
        <v>19</v>
      </c>
      <c r="K4478" t="s">
        <v>6127</v>
      </c>
      <c r="L4478" t="s">
        <v>21</v>
      </c>
    </row>
    <row r="4479" spans="1:12">
      <c r="A4479" t="s">
        <v>6128</v>
      </c>
      <c r="B4479" t="s">
        <v>6110</v>
      </c>
      <c r="C4479" t="s">
        <v>14</v>
      </c>
      <c r="D4479">
        <v>1972</v>
      </c>
      <c r="E4479" t="s">
        <v>23</v>
      </c>
      <c r="F4479" t="s">
        <v>24</v>
      </c>
      <c r="G4479" t="s">
        <v>25</v>
      </c>
      <c r="H4479" t="s">
        <v>26</v>
      </c>
      <c r="I4479">
        <v>6701172</v>
      </c>
      <c r="J4479" t="s">
        <v>27</v>
      </c>
      <c r="K4479" t="s">
        <v>6127</v>
      </c>
      <c r="L4479" t="s">
        <v>21</v>
      </c>
    </row>
    <row r="4480" spans="1:12">
      <c r="A4480" t="s">
        <v>6129</v>
      </c>
      <c r="B4480" t="s">
        <v>6110</v>
      </c>
      <c r="C4480" t="s">
        <v>14</v>
      </c>
      <c r="D4480">
        <v>1972</v>
      </c>
      <c r="E4480" t="s">
        <v>29</v>
      </c>
      <c r="F4480" t="s">
        <v>30</v>
      </c>
      <c r="G4480" t="s">
        <v>31</v>
      </c>
      <c r="H4480" t="s">
        <v>32</v>
      </c>
      <c r="I4480">
        <v>2571.423014</v>
      </c>
      <c r="J4480" t="s">
        <v>33</v>
      </c>
      <c r="K4480" t="s">
        <v>6127</v>
      </c>
      <c r="L4480" t="s">
        <v>21</v>
      </c>
    </row>
    <row r="4481" spans="1:12">
      <c r="A4481" t="s">
        <v>6130</v>
      </c>
      <c r="B4481" t="s">
        <v>6110</v>
      </c>
      <c r="C4481" t="s">
        <v>14</v>
      </c>
      <c r="D4481">
        <v>1977</v>
      </c>
      <c r="E4481" t="s">
        <v>15</v>
      </c>
      <c r="F4481" t="s">
        <v>16</v>
      </c>
      <c r="G4481" t="s">
        <v>17</v>
      </c>
      <c r="H4481" t="s">
        <v>18</v>
      </c>
      <c r="I4481">
        <v>61.195</v>
      </c>
      <c r="J4481" t="s">
        <v>19</v>
      </c>
      <c r="K4481" t="s">
        <v>6131</v>
      </c>
      <c r="L4481" t="s">
        <v>21</v>
      </c>
    </row>
    <row r="4482" spans="1:12">
      <c r="A4482" t="s">
        <v>6132</v>
      </c>
      <c r="B4482" t="s">
        <v>6110</v>
      </c>
      <c r="C4482" t="s">
        <v>14</v>
      </c>
      <c r="D4482">
        <v>1977</v>
      </c>
      <c r="E4482" t="s">
        <v>23</v>
      </c>
      <c r="F4482" t="s">
        <v>24</v>
      </c>
      <c r="G4482" t="s">
        <v>25</v>
      </c>
      <c r="H4482" t="s">
        <v>26</v>
      </c>
      <c r="I4482">
        <v>7932503</v>
      </c>
      <c r="J4482" t="s">
        <v>27</v>
      </c>
      <c r="K4482" t="s">
        <v>6131</v>
      </c>
      <c r="L4482" t="s">
        <v>21</v>
      </c>
    </row>
    <row r="4483" spans="1:12">
      <c r="A4483" t="s">
        <v>6133</v>
      </c>
      <c r="B4483" t="s">
        <v>6110</v>
      </c>
      <c r="C4483" t="s">
        <v>14</v>
      </c>
      <c r="D4483">
        <v>1977</v>
      </c>
      <c r="E4483" t="s">
        <v>29</v>
      </c>
      <c r="F4483" t="s">
        <v>30</v>
      </c>
      <c r="G4483" t="s">
        <v>31</v>
      </c>
      <c r="H4483" t="s">
        <v>32</v>
      </c>
      <c r="I4483">
        <v>3195.484582</v>
      </c>
      <c r="J4483" t="s">
        <v>33</v>
      </c>
      <c r="K4483" t="s">
        <v>6131</v>
      </c>
      <c r="L4483" t="s">
        <v>21</v>
      </c>
    </row>
    <row r="4484" spans="1:12">
      <c r="A4484" t="s">
        <v>6134</v>
      </c>
      <c r="B4484" t="s">
        <v>6110</v>
      </c>
      <c r="C4484" t="s">
        <v>14</v>
      </c>
      <c r="D4484">
        <v>1982</v>
      </c>
      <c r="E4484" t="s">
        <v>15</v>
      </c>
      <c r="F4484" t="s">
        <v>16</v>
      </c>
      <c r="G4484" t="s">
        <v>17</v>
      </c>
      <c r="H4484" t="s">
        <v>18</v>
      </c>
      <c r="I4484">
        <v>64.59</v>
      </c>
      <c r="J4484" t="s">
        <v>19</v>
      </c>
      <c r="K4484" t="s">
        <v>6135</v>
      </c>
      <c r="L4484" t="s">
        <v>21</v>
      </c>
    </row>
    <row r="4485" spans="1:12">
      <c r="A4485" t="s">
        <v>6136</v>
      </c>
      <c r="B4485" t="s">
        <v>6110</v>
      </c>
      <c r="C4485" t="s">
        <v>14</v>
      </c>
      <c r="D4485">
        <v>1982</v>
      </c>
      <c r="E4485" t="s">
        <v>23</v>
      </c>
      <c r="F4485" t="s">
        <v>24</v>
      </c>
      <c r="G4485" t="s">
        <v>25</v>
      </c>
      <c r="H4485" t="s">
        <v>26</v>
      </c>
      <c r="I4485">
        <v>9410494</v>
      </c>
      <c r="J4485" t="s">
        <v>27</v>
      </c>
      <c r="K4485" t="s">
        <v>6135</v>
      </c>
      <c r="L4485" t="s">
        <v>21</v>
      </c>
    </row>
    <row r="4486" spans="1:12">
      <c r="A4486" t="s">
        <v>6137</v>
      </c>
      <c r="B4486" t="s">
        <v>6110</v>
      </c>
      <c r="C4486" t="s">
        <v>14</v>
      </c>
      <c r="D4486">
        <v>1982</v>
      </c>
      <c r="E4486" t="s">
        <v>29</v>
      </c>
      <c r="F4486" t="s">
        <v>30</v>
      </c>
      <c r="G4486" t="s">
        <v>31</v>
      </c>
      <c r="H4486" t="s">
        <v>32</v>
      </c>
      <c r="I4486">
        <v>3761.8377150000001</v>
      </c>
      <c r="J4486" t="s">
        <v>33</v>
      </c>
      <c r="K4486" t="s">
        <v>6135</v>
      </c>
      <c r="L4486" t="s">
        <v>21</v>
      </c>
    </row>
    <row r="4487" spans="1:12">
      <c r="A4487" t="s">
        <v>6138</v>
      </c>
      <c r="B4487" t="s">
        <v>6110</v>
      </c>
      <c r="C4487" t="s">
        <v>14</v>
      </c>
      <c r="D4487">
        <v>1987</v>
      </c>
      <c r="E4487" t="s">
        <v>15</v>
      </c>
      <c r="F4487" t="s">
        <v>16</v>
      </c>
      <c r="G4487" t="s">
        <v>17</v>
      </c>
      <c r="H4487" t="s">
        <v>18</v>
      </c>
      <c r="I4487">
        <v>66.973999999999904</v>
      </c>
      <c r="J4487" t="s">
        <v>19</v>
      </c>
      <c r="K4487" t="s">
        <v>6139</v>
      </c>
      <c r="L4487" t="s">
        <v>21</v>
      </c>
    </row>
    <row r="4488" spans="1:12">
      <c r="A4488" t="s">
        <v>6140</v>
      </c>
      <c r="B4488" t="s">
        <v>6110</v>
      </c>
      <c r="C4488" t="s">
        <v>14</v>
      </c>
      <c r="D4488">
        <v>1987</v>
      </c>
      <c r="E4488" t="s">
        <v>23</v>
      </c>
      <c r="F4488" t="s">
        <v>24</v>
      </c>
      <c r="G4488" t="s">
        <v>25</v>
      </c>
      <c r="H4488" t="s">
        <v>26</v>
      </c>
      <c r="I4488">
        <v>11242847</v>
      </c>
      <c r="J4488" t="s">
        <v>27</v>
      </c>
      <c r="K4488" t="s">
        <v>6139</v>
      </c>
      <c r="L4488" t="s">
        <v>21</v>
      </c>
    </row>
    <row r="4489" spans="1:12">
      <c r="A4489" t="s">
        <v>6141</v>
      </c>
      <c r="B4489" t="s">
        <v>6110</v>
      </c>
      <c r="C4489" t="s">
        <v>14</v>
      </c>
      <c r="D4489">
        <v>1987</v>
      </c>
      <c r="E4489" t="s">
        <v>29</v>
      </c>
      <c r="F4489" t="s">
        <v>30</v>
      </c>
      <c r="G4489" t="s">
        <v>31</v>
      </c>
      <c r="H4489" t="s">
        <v>32</v>
      </c>
      <c r="I4489">
        <v>3116.774285</v>
      </c>
      <c r="J4489" t="s">
        <v>33</v>
      </c>
      <c r="K4489" t="s">
        <v>6139</v>
      </c>
      <c r="L4489" t="s">
        <v>21</v>
      </c>
    </row>
    <row r="4490" spans="1:12">
      <c r="A4490" t="s">
        <v>6142</v>
      </c>
      <c r="B4490" t="s">
        <v>6110</v>
      </c>
      <c r="C4490" t="s">
        <v>14</v>
      </c>
      <c r="D4490">
        <v>1992</v>
      </c>
      <c r="E4490" t="s">
        <v>15</v>
      </c>
      <c r="F4490" t="s">
        <v>16</v>
      </c>
      <c r="G4490" t="s">
        <v>17</v>
      </c>
      <c r="H4490" t="s">
        <v>18</v>
      </c>
      <c r="I4490">
        <v>69.248999999999995</v>
      </c>
      <c r="J4490" t="s">
        <v>19</v>
      </c>
      <c r="K4490" t="s">
        <v>6143</v>
      </c>
      <c r="L4490" t="s">
        <v>21</v>
      </c>
    </row>
    <row r="4491" spans="1:12">
      <c r="A4491" t="s">
        <v>6144</v>
      </c>
      <c r="B4491" t="s">
        <v>6110</v>
      </c>
      <c r="C4491" t="s">
        <v>14</v>
      </c>
      <c r="D4491">
        <v>1992</v>
      </c>
      <c r="E4491" t="s">
        <v>23</v>
      </c>
      <c r="F4491" t="s">
        <v>24</v>
      </c>
      <c r="G4491" t="s">
        <v>25</v>
      </c>
      <c r="H4491" t="s">
        <v>26</v>
      </c>
      <c r="I4491">
        <v>13219062</v>
      </c>
      <c r="J4491" t="s">
        <v>27</v>
      </c>
      <c r="K4491" t="s">
        <v>6143</v>
      </c>
      <c r="L4491" t="s">
        <v>21</v>
      </c>
    </row>
    <row r="4492" spans="1:12">
      <c r="A4492" t="s">
        <v>6145</v>
      </c>
      <c r="B4492" t="s">
        <v>6110</v>
      </c>
      <c r="C4492" t="s">
        <v>14</v>
      </c>
      <c r="D4492">
        <v>1992</v>
      </c>
      <c r="E4492" t="s">
        <v>29</v>
      </c>
      <c r="F4492" t="s">
        <v>30</v>
      </c>
      <c r="G4492" t="s">
        <v>31</v>
      </c>
      <c r="H4492" t="s">
        <v>32</v>
      </c>
      <c r="I4492">
        <v>3340.5427679999998</v>
      </c>
      <c r="J4492" t="s">
        <v>33</v>
      </c>
      <c r="K4492" t="s">
        <v>6143</v>
      </c>
      <c r="L4492" t="s">
        <v>21</v>
      </c>
    </row>
    <row r="4493" spans="1:12">
      <c r="A4493" t="s">
        <v>6146</v>
      </c>
      <c r="B4493" t="s">
        <v>6110</v>
      </c>
      <c r="C4493" t="s">
        <v>14</v>
      </c>
      <c r="D4493">
        <v>1997</v>
      </c>
      <c r="E4493" t="s">
        <v>15</v>
      </c>
      <c r="F4493" t="s">
        <v>16</v>
      </c>
      <c r="G4493" t="s">
        <v>17</v>
      </c>
      <c r="H4493" t="s">
        <v>18</v>
      </c>
      <c r="I4493">
        <v>71.527000000000001</v>
      </c>
      <c r="J4493" t="s">
        <v>19</v>
      </c>
      <c r="K4493" t="s">
        <v>6147</v>
      </c>
      <c r="L4493" t="s">
        <v>21</v>
      </c>
    </row>
    <row r="4494" spans="1:12">
      <c r="A4494" t="s">
        <v>6148</v>
      </c>
      <c r="B4494" t="s">
        <v>6110</v>
      </c>
      <c r="C4494" t="s">
        <v>14</v>
      </c>
      <c r="D4494">
        <v>1997</v>
      </c>
      <c r="E4494" t="s">
        <v>23</v>
      </c>
      <c r="F4494" t="s">
        <v>24</v>
      </c>
      <c r="G4494" t="s">
        <v>25</v>
      </c>
      <c r="H4494" t="s">
        <v>26</v>
      </c>
      <c r="I4494">
        <v>15081016</v>
      </c>
      <c r="J4494" t="s">
        <v>27</v>
      </c>
      <c r="K4494" t="s">
        <v>6147</v>
      </c>
      <c r="L4494" t="s">
        <v>21</v>
      </c>
    </row>
    <row r="4495" spans="1:12">
      <c r="A4495" t="s">
        <v>6149</v>
      </c>
      <c r="B4495" t="s">
        <v>6110</v>
      </c>
      <c r="C4495" t="s">
        <v>14</v>
      </c>
      <c r="D4495">
        <v>1997</v>
      </c>
      <c r="E4495" t="s">
        <v>29</v>
      </c>
      <c r="F4495" t="s">
        <v>30</v>
      </c>
      <c r="G4495" t="s">
        <v>31</v>
      </c>
      <c r="H4495" t="s">
        <v>32</v>
      </c>
      <c r="I4495">
        <v>4014.2389720000001</v>
      </c>
      <c r="J4495" t="s">
        <v>33</v>
      </c>
      <c r="K4495" t="s">
        <v>6147</v>
      </c>
      <c r="L4495" t="s">
        <v>21</v>
      </c>
    </row>
    <row r="4496" spans="1:12">
      <c r="A4496" t="s">
        <v>6150</v>
      </c>
      <c r="B4496" t="s">
        <v>6110</v>
      </c>
      <c r="C4496" t="s">
        <v>14</v>
      </c>
      <c r="D4496">
        <v>2002</v>
      </c>
      <c r="E4496" t="s">
        <v>15</v>
      </c>
      <c r="F4496" t="s">
        <v>16</v>
      </c>
      <c r="G4496" t="s">
        <v>17</v>
      </c>
      <c r="H4496" t="s">
        <v>18</v>
      </c>
      <c r="I4496">
        <v>73.052999999999997</v>
      </c>
      <c r="J4496" t="s">
        <v>19</v>
      </c>
      <c r="K4496" t="s">
        <v>6151</v>
      </c>
      <c r="L4496" t="s">
        <v>21</v>
      </c>
    </row>
    <row r="4497" spans="1:12">
      <c r="A4497" t="s">
        <v>6152</v>
      </c>
      <c r="B4497" t="s">
        <v>6110</v>
      </c>
      <c r="C4497" t="s">
        <v>14</v>
      </c>
      <c r="D4497">
        <v>2002</v>
      </c>
      <c r="E4497" t="s">
        <v>23</v>
      </c>
      <c r="F4497" t="s">
        <v>24</v>
      </c>
      <c r="G4497" t="s">
        <v>25</v>
      </c>
      <c r="H4497" t="s">
        <v>26</v>
      </c>
      <c r="I4497">
        <v>17155814</v>
      </c>
      <c r="J4497" t="s">
        <v>27</v>
      </c>
      <c r="K4497" t="s">
        <v>6151</v>
      </c>
      <c r="L4497" t="s">
        <v>21</v>
      </c>
    </row>
    <row r="4498" spans="1:12">
      <c r="A4498" t="s">
        <v>6153</v>
      </c>
      <c r="B4498" t="s">
        <v>6110</v>
      </c>
      <c r="C4498" t="s">
        <v>14</v>
      </c>
      <c r="D4498">
        <v>2002</v>
      </c>
      <c r="E4498" t="s">
        <v>29</v>
      </c>
      <c r="F4498" t="s">
        <v>30</v>
      </c>
      <c r="G4498" t="s">
        <v>31</v>
      </c>
      <c r="H4498" t="s">
        <v>32</v>
      </c>
      <c r="I4498">
        <v>4090.9253309999999</v>
      </c>
      <c r="J4498" t="s">
        <v>33</v>
      </c>
      <c r="K4498" t="s">
        <v>6151</v>
      </c>
      <c r="L4498" t="s">
        <v>21</v>
      </c>
    </row>
    <row r="4499" spans="1:12">
      <c r="A4499" t="s">
        <v>6154</v>
      </c>
      <c r="B4499" t="s">
        <v>6110</v>
      </c>
      <c r="C4499" t="s">
        <v>14</v>
      </c>
      <c r="D4499">
        <v>2007</v>
      </c>
      <c r="E4499" t="s">
        <v>15</v>
      </c>
      <c r="F4499" t="s">
        <v>16</v>
      </c>
      <c r="G4499" t="s">
        <v>17</v>
      </c>
      <c r="H4499" t="s">
        <v>18</v>
      </c>
      <c r="I4499">
        <v>74.143000000000001</v>
      </c>
      <c r="J4499" t="s">
        <v>19</v>
      </c>
      <c r="K4499" t="s">
        <v>6155</v>
      </c>
      <c r="L4499" t="s">
        <v>21</v>
      </c>
    </row>
    <row r="4500" spans="1:12">
      <c r="A4500" t="s">
        <v>6156</v>
      </c>
      <c r="B4500" t="s">
        <v>6110</v>
      </c>
      <c r="C4500" t="s">
        <v>14</v>
      </c>
      <c r="D4500">
        <v>2007</v>
      </c>
      <c r="E4500" t="s">
        <v>23</v>
      </c>
      <c r="F4500" t="s">
        <v>24</v>
      </c>
      <c r="G4500" t="s">
        <v>25</v>
      </c>
      <c r="H4500" t="s">
        <v>26</v>
      </c>
      <c r="I4500">
        <v>19314747</v>
      </c>
      <c r="J4500" t="s">
        <v>27</v>
      </c>
      <c r="K4500" t="s">
        <v>6155</v>
      </c>
      <c r="L4500" t="s">
        <v>21</v>
      </c>
    </row>
    <row r="4501" spans="1:12">
      <c r="A4501" t="s">
        <v>6157</v>
      </c>
      <c r="B4501" t="s">
        <v>6110</v>
      </c>
      <c r="C4501" t="s">
        <v>14</v>
      </c>
      <c r="D4501">
        <v>2007</v>
      </c>
      <c r="E4501" t="s">
        <v>29</v>
      </c>
      <c r="F4501" t="s">
        <v>30</v>
      </c>
      <c r="G4501" t="s">
        <v>31</v>
      </c>
      <c r="H4501" t="s">
        <v>32</v>
      </c>
      <c r="I4501">
        <v>4184.5480889999999</v>
      </c>
      <c r="J4501" t="s">
        <v>33</v>
      </c>
      <c r="K4501" t="s">
        <v>6155</v>
      </c>
      <c r="L4501" t="s">
        <v>21</v>
      </c>
    </row>
    <row r="4502" spans="1:12">
      <c r="A4502" t="s">
        <v>6158</v>
      </c>
      <c r="B4502" t="s">
        <v>6159</v>
      </c>
      <c r="C4502" t="s">
        <v>14</v>
      </c>
      <c r="D4502">
        <v>1952</v>
      </c>
      <c r="E4502" t="s">
        <v>15</v>
      </c>
      <c r="F4502" t="s">
        <v>16</v>
      </c>
      <c r="G4502" t="s">
        <v>17</v>
      </c>
      <c r="H4502" t="s">
        <v>18</v>
      </c>
      <c r="I4502">
        <v>58.5</v>
      </c>
      <c r="J4502" t="s">
        <v>19</v>
      </c>
      <c r="K4502" t="s">
        <v>6160</v>
      </c>
      <c r="L4502" t="s">
        <v>21</v>
      </c>
    </row>
    <row r="4503" spans="1:12">
      <c r="A4503" t="s">
        <v>6161</v>
      </c>
      <c r="B4503" t="s">
        <v>6159</v>
      </c>
      <c r="C4503" t="s">
        <v>14</v>
      </c>
      <c r="D4503">
        <v>1952</v>
      </c>
      <c r="E4503" t="s">
        <v>23</v>
      </c>
      <c r="F4503" t="s">
        <v>24</v>
      </c>
      <c r="G4503" t="s">
        <v>25</v>
      </c>
      <c r="H4503" t="s">
        <v>26</v>
      </c>
      <c r="I4503">
        <v>8550362</v>
      </c>
      <c r="J4503" t="s">
        <v>27</v>
      </c>
      <c r="K4503" t="s">
        <v>6160</v>
      </c>
      <c r="L4503" t="s">
        <v>21</v>
      </c>
    </row>
    <row r="4504" spans="1:12">
      <c r="A4504" t="s">
        <v>6162</v>
      </c>
      <c r="B4504" t="s">
        <v>6159</v>
      </c>
      <c r="C4504" t="s">
        <v>14</v>
      </c>
      <c r="D4504">
        <v>1952</v>
      </c>
      <c r="E4504" t="s">
        <v>29</v>
      </c>
      <c r="F4504" t="s">
        <v>30</v>
      </c>
      <c r="G4504" t="s">
        <v>31</v>
      </c>
      <c r="H4504" t="s">
        <v>32</v>
      </c>
      <c r="I4504">
        <v>1206.947913</v>
      </c>
      <c r="J4504" t="s">
        <v>33</v>
      </c>
      <c r="K4504" t="s">
        <v>6160</v>
      </c>
      <c r="L4504" t="s">
        <v>21</v>
      </c>
    </row>
    <row r="4505" spans="1:12">
      <c r="A4505" t="s">
        <v>6163</v>
      </c>
      <c r="B4505" t="s">
        <v>6159</v>
      </c>
      <c r="C4505" t="s">
        <v>14</v>
      </c>
      <c r="D4505">
        <v>1957</v>
      </c>
      <c r="E4505" t="s">
        <v>15</v>
      </c>
      <c r="F4505" t="s">
        <v>16</v>
      </c>
      <c r="G4505" t="s">
        <v>17</v>
      </c>
      <c r="H4505" t="s">
        <v>18</v>
      </c>
      <c r="I4505">
        <v>62.4</v>
      </c>
      <c r="J4505" t="s">
        <v>19</v>
      </c>
      <c r="K4505" t="s">
        <v>6164</v>
      </c>
      <c r="L4505" t="s">
        <v>21</v>
      </c>
    </row>
    <row r="4506" spans="1:12">
      <c r="A4506" t="s">
        <v>6165</v>
      </c>
      <c r="B4506" t="s">
        <v>6159</v>
      </c>
      <c r="C4506" t="s">
        <v>14</v>
      </c>
      <c r="D4506">
        <v>1957</v>
      </c>
      <c r="E4506" t="s">
        <v>23</v>
      </c>
      <c r="F4506" t="s">
        <v>24</v>
      </c>
      <c r="G4506" t="s">
        <v>25</v>
      </c>
      <c r="H4506" t="s">
        <v>26</v>
      </c>
      <c r="I4506">
        <v>10164215</v>
      </c>
      <c r="J4506" t="s">
        <v>27</v>
      </c>
      <c r="K4506" t="s">
        <v>6164</v>
      </c>
      <c r="L4506" t="s">
        <v>21</v>
      </c>
    </row>
    <row r="4507" spans="1:12">
      <c r="A4507" t="s">
        <v>6166</v>
      </c>
      <c r="B4507" t="s">
        <v>6159</v>
      </c>
      <c r="C4507" t="s">
        <v>14</v>
      </c>
      <c r="D4507">
        <v>1957</v>
      </c>
      <c r="E4507" t="s">
        <v>29</v>
      </c>
      <c r="F4507" t="s">
        <v>30</v>
      </c>
      <c r="G4507" t="s">
        <v>31</v>
      </c>
      <c r="H4507" t="s">
        <v>32</v>
      </c>
      <c r="I4507">
        <v>1507.8612900000001</v>
      </c>
      <c r="J4507" t="s">
        <v>33</v>
      </c>
      <c r="K4507" t="s">
        <v>6164</v>
      </c>
      <c r="L4507" t="s">
        <v>21</v>
      </c>
    </row>
    <row r="4508" spans="1:12">
      <c r="A4508" t="s">
        <v>6167</v>
      </c>
      <c r="B4508" t="s">
        <v>6159</v>
      </c>
      <c r="C4508" t="s">
        <v>14</v>
      </c>
      <c r="D4508">
        <v>1962</v>
      </c>
      <c r="E4508" t="s">
        <v>15</v>
      </c>
      <c r="F4508" t="s">
        <v>16</v>
      </c>
      <c r="G4508" t="s">
        <v>17</v>
      </c>
      <c r="H4508" t="s">
        <v>18</v>
      </c>
      <c r="I4508">
        <v>65.2</v>
      </c>
      <c r="J4508" t="s">
        <v>19</v>
      </c>
      <c r="K4508" t="s">
        <v>6168</v>
      </c>
      <c r="L4508" t="s">
        <v>21</v>
      </c>
    </row>
    <row r="4509" spans="1:12">
      <c r="A4509" t="s">
        <v>6169</v>
      </c>
      <c r="B4509" t="s">
        <v>6159</v>
      </c>
      <c r="C4509" t="s">
        <v>14</v>
      </c>
      <c r="D4509">
        <v>1962</v>
      </c>
      <c r="E4509" t="s">
        <v>23</v>
      </c>
      <c r="F4509" t="s">
        <v>24</v>
      </c>
      <c r="G4509" t="s">
        <v>25</v>
      </c>
      <c r="H4509" t="s">
        <v>26</v>
      </c>
      <c r="I4509">
        <v>11918938</v>
      </c>
      <c r="J4509" t="s">
        <v>27</v>
      </c>
      <c r="K4509" t="s">
        <v>6168</v>
      </c>
      <c r="L4509" t="s">
        <v>21</v>
      </c>
    </row>
    <row r="4510" spans="1:12">
      <c r="A4510" t="s">
        <v>6170</v>
      </c>
      <c r="B4510" t="s">
        <v>6159</v>
      </c>
      <c r="C4510" t="s">
        <v>14</v>
      </c>
      <c r="D4510">
        <v>1962</v>
      </c>
      <c r="E4510" t="s">
        <v>29</v>
      </c>
      <c r="F4510" t="s">
        <v>30</v>
      </c>
      <c r="G4510" t="s">
        <v>31</v>
      </c>
      <c r="H4510" t="s">
        <v>32</v>
      </c>
      <c r="I4510">
        <v>1822.8790280000001</v>
      </c>
      <c r="J4510" t="s">
        <v>33</v>
      </c>
      <c r="K4510" t="s">
        <v>6168</v>
      </c>
      <c r="L4510" t="s">
        <v>21</v>
      </c>
    </row>
    <row r="4511" spans="1:12">
      <c r="A4511" t="s">
        <v>6171</v>
      </c>
      <c r="B4511" t="s">
        <v>6159</v>
      </c>
      <c r="C4511" t="s">
        <v>14</v>
      </c>
      <c r="D4511">
        <v>1967</v>
      </c>
      <c r="E4511" t="s">
        <v>15</v>
      </c>
      <c r="F4511" t="s">
        <v>16</v>
      </c>
      <c r="G4511" t="s">
        <v>17</v>
      </c>
      <c r="H4511" t="s">
        <v>18</v>
      </c>
      <c r="I4511">
        <v>67.5</v>
      </c>
      <c r="J4511" t="s">
        <v>19</v>
      </c>
      <c r="K4511" t="s">
        <v>6172</v>
      </c>
      <c r="L4511" t="s">
        <v>21</v>
      </c>
    </row>
    <row r="4512" spans="1:12">
      <c r="A4512" t="s">
        <v>6173</v>
      </c>
      <c r="B4512" t="s">
        <v>6159</v>
      </c>
      <c r="C4512" t="s">
        <v>14</v>
      </c>
      <c r="D4512">
        <v>1967</v>
      </c>
      <c r="E4512" t="s">
        <v>23</v>
      </c>
      <c r="F4512" t="s">
        <v>24</v>
      </c>
      <c r="G4512" t="s">
        <v>25</v>
      </c>
      <c r="H4512" t="s">
        <v>26</v>
      </c>
      <c r="I4512">
        <v>13648692</v>
      </c>
      <c r="J4512" t="s">
        <v>27</v>
      </c>
      <c r="K4512" t="s">
        <v>6172</v>
      </c>
      <c r="L4512" t="s">
        <v>21</v>
      </c>
    </row>
    <row r="4513" spans="1:12">
      <c r="A4513" t="s">
        <v>6174</v>
      </c>
      <c r="B4513" t="s">
        <v>6159</v>
      </c>
      <c r="C4513" t="s">
        <v>14</v>
      </c>
      <c r="D4513">
        <v>1967</v>
      </c>
      <c r="E4513" t="s">
        <v>29</v>
      </c>
      <c r="F4513" t="s">
        <v>30</v>
      </c>
      <c r="G4513" t="s">
        <v>31</v>
      </c>
      <c r="H4513" t="s">
        <v>32</v>
      </c>
      <c r="I4513">
        <v>2643.8586810000002</v>
      </c>
      <c r="J4513" t="s">
        <v>33</v>
      </c>
      <c r="K4513" t="s">
        <v>6172</v>
      </c>
      <c r="L4513" t="s">
        <v>21</v>
      </c>
    </row>
    <row r="4514" spans="1:12">
      <c r="A4514" t="s">
        <v>6175</v>
      </c>
      <c r="B4514" t="s">
        <v>6159</v>
      </c>
      <c r="C4514" t="s">
        <v>14</v>
      </c>
      <c r="D4514">
        <v>1972</v>
      </c>
      <c r="E4514" t="s">
        <v>15</v>
      </c>
      <c r="F4514" t="s">
        <v>16</v>
      </c>
      <c r="G4514" t="s">
        <v>17</v>
      </c>
      <c r="H4514" t="s">
        <v>18</v>
      </c>
      <c r="I4514">
        <v>69.39</v>
      </c>
      <c r="J4514" t="s">
        <v>19</v>
      </c>
      <c r="K4514" t="s">
        <v>6176</v>
      </c>
      <c r="L4514" t="s">
        <v>21</v>
      </c>
    </row>
    <row r="4515" spans="1:12">
      <c r="A4515" t="s">
        <v>6177</v>
      </c>
      <c r="B4515" t="s">
        <v>6159</v>
      </c>
      <c r="C4515" t="s">
        <v>14</v>
      </c>
      <c r="D4515">
        <v>1972</v>
      </c>
      <c r="E4515" t="s">
        <v>23</v>
      </c>
      <c r="F4515" t="s">
        <v>24</v>
      </c>
      <c r="G4515" t="s">
        <v>25</v>
      </c>
      <c r="H4515" t="s">
        <v>26</v>
      </c>
      <c r="I4515">
        <v>15226039</v>
      </c>
      <c r="J4515" t="s">
        <v>27</v>
      </c>
      <c r="K4515" t="s">
        <v>6176</v>
      </c>
      <c r="L4515" t="s">
        <v>21</v>
      </c>
    </row>
    <row r="4516" spans="1:12">
      <c r="A4516" t="s">
        <v>6178</v>
      </c>
      <c r="B4516" t="s">
        <v>6159</v>
      </c>
      <c r="C4516" t="s">
        <v>14</v>
      </c>
      <c r="D4516">
        <v>1972</v>
      </c>
      <c r="E4516" t="s">
        <v>29</v>
      </c>
      <c r="F4516" t="s">
        <v>30</v>
      </c>
      <c r="G4516" t="s">
        <v>31</v>
      </c>
      <c r="H4516" t="s">
        <v>32</v>
      </c>
      <c r="I4516">
        <v>4062.523897</v>
      </c>
      <c r="J4516" t="s">
        <v>33</v>
      </c>
      <c r="K4516" t="s">
        <v>6176</v>
      </c>
      <c r="L4516" t="s">
        <v>21</v>
      </c>
    </row>
    <row r="4517" spans="1:12">
      <c r="A4517" t="s">
        <v>6179</v>
      </c>
      <c r="B4517" t="s">
        <v>6159</v>
      </c>
      <c r="C4517" t="s">
        <v>14</v>
      </c>
      <c r="D4517">
        <v>1977</v>
      </c>
      <c r="E4517" t="s">
        <v>15</v>
      </c>
      <c r="F4517" t="s">
        <v>16</v>
      </c>
      <c r="G4517" t="s">
        <v>17</v>
      </c>
      <c r="H4517" t="s">
        <v>18</v>
      </c>
      <c r="I4517">
        <v>70.59</v>
      </c>
      <c r="J4517" t="s">
        <v>19</v>
      </c>
      <c r="K4517" t="s">
        <v>6180</v>
      </c>
      <c r="L4517" t="s">
        <v>21</v>
      </c>
    </row>
    <row r="4518" spans="1:12">
      <c r="A4518" t="s">
        <v>6181</v>
      </c>
      <c r="B4518" t="s">
        <v>6159</v>
      </c>
      <c r="C4518" t="s">
        <v>14</v>
      </c>
      <c r="D4518">
        <v>1977</v>
      </c>
      <c r="E4518" t="s">
        <v>23</v>
      </c>
      <c r="F4518" t="s">
        <v>24</v>
      </c>
      <c r="G4518" t="s">
        <v>25</v>
      </c>
      <c r="H4518" t="s">
        <v>26</v>
      </c>
      <c r="I4518">
        <v>16785196</v>
      </c>
      <c r="J4518" t="s">
        <v>27</v>
      </c>
      <c r="K4518" t="s">
        <v>6180</v>
      </c>
      <c r="L4518" t="s">
        <v>21</v>
      </c>
    </row>
    <row r="4519" spans="1:12">
      <c r="A4519" t="s">
        <v>6182</v>
      </c>
      <c r="B4519" t="s">
        <v>6159</v>
      </c>
      <c r="C4519" t="s">
        <v>14</v>
      </c>
      <c r="D4519">
        <v>1977</v>
      </c>
      <c r="E4519" t="s">
        <v>29</v>
      </c>
      <c r="F4519" t="s">
        <v>30</v>
      </c>
      <c r="G4519" t="s">
        <v>31</v>
      </c>
      <c r="H4519" t="s">
        <v>32</v>
      </c>
      <c r="I4519">
        <v>5596.5198259999997</v>
      </c>
      <c r="J4519" t="s">
        <v>33</v>
      </c>
      <c r="K4519" t="s">
        <v>6180</v>
      </c>
      <c r="L4519" t="s">
        <v>21</v>
      </c>
    </row>
    <row r="4520" spans="1:12">
      <c r="A4520" t="s">
        <v>6183</v>
      </c>
      <c r="B4520" t="s">
        <v>6159</v>
      </c>
      <c r="C4520" t="s">
        <v>14</v>
      </c>
      <c r="D4520">
        <v>1982</v>
      </c>
      <c r="E4520" t="s">
        <v>15</v>
      </c>
      <c r="F4520" t="s">
        <v>16</v>
      </c>
      <c r="G4520" t="s">
        <v>17</v>
      </c>
      <c r="H4520" t="s">
        <v>18</v>
      </c>
      <c r="I4520">
        <v>72.16</v>
      </c>
      <c r="J4520" t="s">
        <v>19</v>
      </c>
      <c r="K4520" t="s">
        <v>6184</v>
      </c>
      <c r="L4520" t="s">
        <v>21</v>
      </c>
    </row>
    <row r="4521" spans="1:12">
      <c r="A4521" t="s">
        <v>6185</v>
      </c>
      <c r="B4521" t="s">
        <v>6159</v>
      </c>
      <c r="C4521" t="s">
        <v>14</v>
      </c>
      <c r="D4521">
        <v>1982</v>
      </c>
      <c r="E4521" t="s">
        <v>23</v>
      </c>
      <c r="F4521" t="s">
        <v>24</v>
      </c>
      <c r="G4521" t="s">
        <v>25</v>
      </c>
      <c r="H4521" t="s">
        <v>26</v>
      </c>
      <c r="I4521">
        <v>18501390</v>
      </c>
      <c r="J4521" t="s">
        <v>27</v>
      </c>
      <c r="K4521" t="s">
        <v>6184</v>
      </c>
      <c r="L4521" t="s">
        <v>21</v>
      </c>
    </row>
    <row r="4522" spans="1:12">
      <c r="A4522" t="s">
        <v>6186</v>
      </c>
      <c r="B4522" t="s">
        <v>6159</v>
      </c>
      <c r="C4522" t="s">
        <v>14</v>
      </c>
      <c r="D4522">
        <v>1982</v>
      </c>
      <c r="E4522" t="s">
        <v>29</v>
      </c>
      <c r="F4522" t="s">
        <v>30</v>
      </c>
      <c r="G4522" t="s">
        <v>31</v>
      </c>
      <c r="H4522" t="s">
        <v>32</v>
      </c>
      <c r="I4522">
        <v>7426.3547739999904</v>
      </c>
      <c r="J4522" t="s">
        <v>33</v>
      </c>
      <c r="K4522" t="s">
        <v>6184</v>
      </c>
      <c r="L4522" t="s">
        <v>21</v>
      </c>
    </row>
    <row r="4523" spans="1:12">
      <c r="A4523" t="s">
        <v>6187</v>
      </c>
      <c r="B4523" t="s">
        <v>6159</v>
      </c>
      <c r="C4523" t="s">
        <v>14</v>
      </c>
      <c r="D4523">
        <v>1987</v>
      </c>
      <c r="E4523" t="s">
        <v>15</v>
      </c>
      <c r="F4523" t="s">
        <v>16</v>
      </c>
      <c r="G4523" t="s">
        <v>17</v>
      </c>
      <c r="H4523" t="s">
        <v>18</v>
      </c>
      <c r="I4523">
        <v>73.400000000000006</v>
      </c>
      <c r="J4523" t="s">
        <v>19</v>
      </c>
      <c r="K4523" t="s">
        <v>6188</v>
      </c>
      <c r="L4523" t="s">
        <v>21</v>
      </c>
    </row>
    <row r="4524" spans="1:12">
      <c r="A4524" t="s">
        <v>6189</v>
      </c>
      <c r="B4524" t="s">
        <v>6159</v>
      </c>
      <c r="C4524" t="s">
        <v>14</v>
      </c>
      <c r="D4524">
        <v>1987</v>
      </c>
      <c r="E4524" t="s">
        <v>23</v>
      </c>
      <c r="F4524" t="s">
        <v>24</v>
      </c>
      <c r="G4524" t="s">
        <v>25</v>
      </c>
      <c r="H4524" t="s">
        <v>26</v>
      </c>
      <c r="I4524">
        <v>19757799</v>
      </c>
      <c r="J4524" t="s">
        <v>27</v>
      </c>
      <c r="K4524" t="s">
        <v>6188</v>
      </c>
      <c r="L4524" t="s">
        <v>21</v>
      </c>
    </row>
    <row r="4525" spans="1:12">
      <c r="A4525" t="s">
        <v>6190</v>
      </c>
      <c r="B4525" t="s">
        <v>6159</v>
      </c>
      <c r="C4525" t="s">
        <v>14</v>
      </c>
      <c r="D4525">
        <v>1987</v>
      </c>
      <c r="E4525" t="s">
        <v>29</v>
      </c>
      <c r="F4525" t="s">
        <v>30</v>
      </c>
      <c r="G4525" t="s">
        <v>31</v>
      </c>
      <c r="H4525" t="s">
        <v>32</v>
      </c>
      <c r="I4525">
        <v>11054.561750000001</v>
      </c>
      <c r="J4525" t="s">
        <v>33</v>
      </c>
      <c r="K4525" t="s">
        <v>6188</v>
      </c>
      <c r="L4525" t="s">
        <v>21</v>
      </c>
    </row>
    <row r="4526" spans="1:12">
      <c r="A4526" t="s">
        <v>6191</v>
      </c>
      <c r="B4526" t="s">
        <v>6159</v>
      </c>
      <c r="C4526" t="s">
        <v>14</v>
      </c>
      <c r="D4526">
        <v>1992</v>
      </c>
      <c r="E4526" t="s">
        <v>15</v>
      </c>
      <c r="F4526" t="s">
        <v>16</v>
      </c>
      <c r="G4526" t="s">
        <v>17</v>
      </c>
      <c r="H4526" t="s">
        <v>18</v>
      </c>
      <c r="I4526">
        <v>74.260000000000005</v>
      </c>
      <c r="J4526" t="s">
        <v>19</v>
      </c>
      <c r="K4526" t="s">
        <v>6192</v>
      </c>
      <c r="L4526" t="s">
        <v>21</v>
      </c>
    </row>
    <row r="4527" spans="1:12">
      <c r="A4527" t="s">
        <v>6193</v>
      </c>
      <c r="B4527" t="s">
        <v>6159</v>
      </c>
      <c r="C4527" t="s">
        <v>14</v>
      </c>
      <c r="D4527">
        <v>1992</v>
      </c>
      <c r="E4527" t="s">
        <v>23</v>
      </c>
      <c r="F4527" t="s">
        <v>24</v>
      </c>
      <c r="G4527" t="s">
        <v>25</v>
      </c>
      <c r="H4527" t="s">
        <v>26</v>
      </c>
      <c r="I4527">
        <v>20686918</v>
      </c>
      <c r="J4527" t="s">
        <v>27</v>
      </c>
      <c r="K4527" t="s">
        <v>6192</v>
      </c>
      <c r="L4527" t="s">
        <v>21</v>
      </c>
    </row>
    <row r="4528" spans="1:12">
      <c r="A4528" t="s">
        <v>6194</v>
      </c>
      <c r="B4528" t="s">
        <v>6159</v>
      </c>
      <c r="C4528" t="s">
        <v>14</v>
      </c>
      <c r="D4528">
        <v>1992</v>
      </c>
      <c r="E4528" t="s">
        <v>29</v>
      </c>
      <c r="F4528" t="s">
        <v>30</v>
      </c>
      <c r="G4528" t="s">
        <v>31</v>
      </c>
      <c r="H4528" t="s">
        <v>32</v>
      </c>
      <c r="I4528">
        <v>15215.6579</v>
      </c>
      <c r="J4528" t="s">
        <v>33</v>
      </c>
      <c r="K4528" t="s">
        <v>6192</v>
      </c>
      <c r="L4528" t="s">
        <v>21</v>
      </c>
    </row>
    <row r="4529" spans="1:12">
      <c r="A4529" t="s">
        <v>6195</v>
      </c>
      <c r="B4529" t="s">
        <v>6159</v>
      </c>
      <c r="C4529" t="s">
        <v>14</v>
      </c>
      <c r="D4529">
        <v>1997</v>
      </c>
      <c r="E4529" t="s">
        <v>15</v>
      </c>
      <c r="F4529" t="s">
        <v>16</v>
      </c>
      <c r="G4529" t="s">
        <v>17</v>
      </c>
      <c r="H4529" t="s">
        <v>18</v>
      </c>
      <c r="I4529">
        <v>75.25</v>
      </c>
      <c r="J4529" t="s">
        <v>19</v>
      </c>
      <c r="K4529" t="s">
        <v>6196</v>
      </c>
      <c r="L4529" t="s">
        <v>21</v>
      </c>
    </row>
    <row r="4530" spans="1:12">
      <c r="A4530" t="s">
        <v>6197</v>
      </c>
      <c r="B4530" t="s">
        <v>6159</v>
      </c>
      <c r="C4530" t="s">
        <v>14</v>
      </c>
      <c r="D4530">
        <v>1997</v>
      </c>
      <c r="E4530" t="s">
        <v>23</v>
      </c>
      <c r="F4530" t="s">
        <v>24</v>
      </c>
      <c r="G4530" t="s">
        <v>25</v>
      </c>
      <c r="H4530" t="s">
        <v>26</v>
      </c>
      <c r="I4530">
        <v>21628605</v>
      </c>
      <c r="J4530" t="s">
        <v>27</v>
      </c>
      <c r="K4530" t="s">
        <v>6196</v>
      </c>
      <c r="L4530" t="s">
        <v>21</v>
      </c>
    </row>
    <row r="4531" spans="1:12">
      <c r="A4531" t="s">
        <v>6198</v>
      </c>
      <c r="B4531" t="s">
        <v>6159</v>
      </c>
      <c r="C4531" t="s">
        <v>14</v>
      </c>
      <c r="D4531">
        <v>1997</v>
      </c>
      <c r="E4531" t="s">
        <v>29</v>
      </c>
      <c r="F4531" t="s">
        <v>30</v>
      </c>
      <c r="G4531" t="s">
        <v>31</v>
      </c>
      <c r="H4531" t="s">
        <v>32</v>
      </c>
      <c r="I4531">
        <v>20206.82098</v>
      </c>
      <c r="J4531" t="s">
        <v>33</v>
      </c>
      <c r="K4531" t="s">
        <v>6196</v>
      </c>
      <c r="L4531" t="s">
        <v>21</v>
      </c>
    </row>
    <row r="4532" spans="1:12">
      <c r="A4532" t="s">
        <v>6199</v>
      </c>
      <c r="B4532" t="s">
        <v>6159</v>
      </c>
      <c r="C4532" t="s">
        <v>14</v>
      </c>
      <c r="D4532">
        <v>2002</v>
      </c>
      <c r="E4532" t="s">
        <v>15</v>
      </c>
      <c r="F4532" t="s">
        <v>16</v>
      </c>
      <c r="G4532" t="s">
        <v>17</v>
      </c>
      <c r="H4532" t="s">
        <v>18</v>
      </c>
      <c r="I4532">
        <v>76.989999999999995</v>
      </c>
      <c r="J4532" t="s">
        <v>19</v>
      </c>
      <c r="K4532" t="s">
        <v>6200</v>
      </c>
      <c r="L4532" t="s">
        <v>21</v>
      </c>
    </row>
    <row r="4533" spans="1:12">
      <c r="A4533" t="s">
        <v>6201</v>
      </c>
      <c r="B4533" t="s">
        <v>6159</v>
      </c>
      <c r="C4533" t="s">
        <v>14</v>
      </c>
      <c r="D4533">
        <v>2002</v>
      </c>
      <c r="E4533" t="s">
        <v>23</v>
      </c>
      <c r="F4533" t="s">
        <v>24</v>
      </c>
      <c r="G4533" t="s">
        <v>25</v>
      </c>
      <c r="H4533" t="s">
        <v>26</v>
      </c>
      <c r="I4533">
        <v>22454239</v>
      </c>
      <c r="J4533" t="s">
        <v>27</v>
      </c>
      <c r="K4533" t="s">
        <v>6200</v>
      </c>
      <c r="L4533" t="s">
        <v>21</v>
      </c>
    </row>
    <row r="4534" spans="1:12">
      <c r="A4534" t="s">
        <v>6202</v>
      </c>
      <c r="B4534" t="s">
        <v>6159</v>
      </c>
      <c r="C4534" t="s">
        <v>14</v>
      </c>
      <c r="D4534">
        <v>2002</v>
      </c>
      <c r="E4534" t="s">
        <v>29</v>
      </c>
      <c r="F4534" t="s">
        <v>30</v>
      </c>
      <c r="G4534" t="s">
        <v>31</v>
      </c>
      <c r="H4534" t="s">
        <v>32</v>
      </c>
      <c r="I4534">
        <v>23235.423289999999</v>
      </c>
      <c r="J4534" t="s">
        <v>33</v>
      </c>
      <c r="K4534" t="s">
        <v>6200</v>
      </c>
      <c r="L4534" t="s">
        <v>21</v>
      </c>
    </row>
    <row r="4535" spans="1:12">
      <c r="A4535" t="s">
        <v>6203</v>
      </c>
      <c r="B4535" t="s">
        <v>6159</v>
      </c>
      <c r="C4535" t="s">
        <v>14</v>
      </c>
      <c r="D4535">
        <v>2007</v>
      </c>
      <c r="E4535" t="s">
        <v>15</v>
      </c>
      <c r="F4535" t="s">
        <v>16</v>
      </c>
      <c r="G4535" t="s">
        <v>17</v>
      </c>
      <c r="H4535" t="s">
        <v>18</v>
      </c>
      <c r="I4535">
        <v>78.400000000000006</v>
      </c>
      <c r="J4535" t="s">
        <v>19</v>
      </c>
      <c r="K4535" t="s">
        <v>6204</v>
      </c>
      <c r="L4535" t="s">
        <v>21</v>
      </c>
    </row>
    <row r="4536" spans="1:12">
      <c r="A4536" t="s">
        <v>6205</v>
      </c>
      <c r="B4536" t="s">
        <v>6159</v>
      </c>
      <c r="C4536" t="s">
        <v>14</v>
      </c>
      <c r="D4536">
        <v>2007</v>
      </c>
      <c r="E4536" t="s">
        <v>23</v>
      </c>
      <c r="F4536" t="s">
        <v>24</v>
      </c>
      <c r="G4536" t="s">
        <v>25</v>
      </c>
      <c r="H4536" t="s">
        <v>26</v>
      </c>
      <c r="I4536">
        <v>23174294</v>
      </c>
      <c r="J4536" t="s">
        <v>27</v>
      </c>
      <c r="K4536" t="s">
        <v>6204</v>
      </c>
      <c r="L4536" t="s">
        <v>21</v>
      </c>
    </row>
    <row r="4537" spans="1:12">
      <c r="A4537" t="s">
        <v>6206</v>
      </c>
      <c r="B4537" t="s">
        <v>6159</v>
      </c>
      <c r="C4537" t="s">
        <v>14</v>
      </c>
      <c r="D4537">
        <v>2007</v>
      </c>
      <c r="E4537" t="s">
        <v>29</v>
      </c>
      <c r="F4537" t="s">
        <v>30</v>
      </c>
      <c r="G4537" t="s">
        <v>31</v>
      </c>
      <c r="H4537" t="s">
        <v>32</v>
      </c>
      <c r="I4537">
        <v>28718.276839999999</v>
      </c>
      <c r="J4537" t="s">
        <v>33</v>
      </c>
      <c r="K4537" t="s">
        <v>6204</v>
      </c>
      <c r="L4537" t="s">
        <v>21</v>
      </c>
    </row>
    <row r="4538" spans="1:12">
      <c r="A4538" t="s">
        <v>6207</v>
      </c>
      <c r="B4538" t="s">
        <v>6208</v>
      </c>
      <c r="C4538" t="s">
        <v>130</v>
      </c>
      <c r="D4538">
        <v>1952</v>
      </c>
      <c r="E4538" t="s">
        <v>15</v>
      </c>
      <c r="F4538" t="s">
        <v>16</v>
      </c>
      <c r="G4538" t="s">
        <v>17</v>
      </c>
      <c r="H4538" t="s">
        <v>18</v>
      </c>
      <c r="I4538">
        <v>41.215000000000003</v>
      </c>
      <c r="J4538" t="s">
        <v>19</v>
      </c>
      <c r="K4538" t="s">
        <v>6209</v>
      </c>
      <c r="L4538" t="s">
        <v>21</v>
      </c>
    </row>
    <row r="4539" spans="1:12">
      <c r="A4539" t="s">
        <v>6210</v>
      </c>
      <c r="B4539" t="s">
        <v>6208</v>
      </c>
      <c r="C4539" t="s">
        <v>130</v>
      </c>
      <c r="D4539">
        <v>1952</v>
      </c>
      <c r="E4539" t="s">
        <v>23</v>
      </c>
      <c r="F4539" t="s">
        <v>24</v>
      </c>
      <c r="G4539" t="s">
        <v>25</v>
      </c>
      <c r="H4539" t="s">
        <v>26</v>
      </c>
      <c r="I4539">
        <v>8322925</v>
      </c>
      <c r="J4539" t="s">
        <v>27</v>
      </c>
      <c r="K4539" t="s">
        <v>6209</v>
      </c>
      <c r="L4539" t="s">
        <v>21</v>
      </c>
    </row>
    <row r="4540" spans="1:12">
      <c r="A4540" t="s">
        <v>6211</v>
      </c>
      <c r="B4540" t="s">
        <v>6208</v>
      </c>
      <c r="C4540" t="s">
        <v>130</v>
      </c>
      <c r="D4540">
        <v>1952</v>
      </c>
      <c r="E4540" t="s">
        <v>29</v>
      </c>
      <c r="F4540" t="s">
        <v>30</v>
      </c>
      <c r="G4540" t="s">
        <v>31</v>
      </c>
      <c r="H4540" t="s">
        <v>32</v>
      </c>
      <c r="I4540">
        <v>716.65007209999999</v>
      </c>
      <c r="J4540" t="s">
        <v>33</v>
      </c>
      <c r="K4540" t="s">
        <v>6209</v>
      </c>
      <c r="L4540" t="s">
        <v>21</v>
      </c>
    </row>
    <row r="4541" spans="1:12">
      <c r="A4541" t="s">
        <v>6212</v>
      </c>
      <c r="B4541" t="s">
        <v>6208</v>
      </c>
      <c r="C4541" t="s">
        <v>130</v>
      </c>
      <c r="D4541">
        <v>1957</v>
      </c>
      <c r="E4541" t="s">
        <v>15</v>
      </c>
      <c r="F4541" t="s">
        <v>16</v>
      </c>
      <c r="G4541" t="s">
        <v>17</v>
      </c>
      <c r="H4541" t="s">
        <v>18</v>
      </c>
      <c r="I4541">
        <v>42.973999999999997</v>
      </c>
      <c r="J4541" t="s">
        <v>19</v>
      </c>
      <c r="K4541" t="s">
        <v>6213</v>
      </c>
      <c r="L4541" t="s">
        <v>21</v>
      </c>
    </row>
    <row r="4542" spans="1:12">
      <c r="A4542" t="s">
        <v>6214</v>
      </c>
      <c r="B4542" t="s">
        <v>6208</v>
      </c>
      <c r="C4542" t="s">
        <v>130</v>
      </c>
      <c r="D4542">
        <v>1957</v>
      </c>
      <c r="E4542" t="s">
        <v>23</v>
      </c>
      <c r="F4542" t="s">
        <v>24</v>
      </c>
      <c r="G4542" t="s">
        <v>25</v>
      </c>
      <c r="H4542" t="s">
        <v>26</v>
      </c>
      <c r="I4542">
        <v>9452826</v>
      </c>
      <c r="J4542" t="s">
        <v>27</v>
      </c>
      <c r="K4542" t="s">
        <v>6213</v>
      </c>
      <c r="L4542" t="s">
        <v>21</v>
      </c>
    </row>
    <row r="4543" spans="1:12">
      <c r="A4543" t="s">
        <v>6215</v>
      </c>
      <c r="B4543" t="s">
        <v>6208</v>
      </c>
      <c r="C4543" t="s">
        <v>130</v>
      </c>
      <c r="D4543">
        <v>1957</v>
      </c>
      <c r="E4543" t="s">
        <v>29</v>
      </c>
      <c r="F4543" t="s">
        <v>30</v>
      </c>
      <c r="G4543" t="s">
        <v>31</v>
      </c>
      <c r="H4543" t="s">
        <v>32</v>
      </c>
      <c r="I4543">
        <v>698.53560730000004</v>
      </c>
      <c r="J4543" t="s">
        <v>33</v>
      </c>
      <c r="K4543" t="s">
        <v>6213</v>
      </c>
      <c r="L4543" t="s">
        <v>21</v>
      </c>
    </row>
    <row r="4544" spans="1:12">
      <c r="A4544" t="s">
        <v>6216</v>
      </c>
      <c r="B4544" t="s">
        <v>6208</v>
      </c>
      <c r="C4544" t="s">
        <v>130</v>
      </c>
      <c r="D4544">
        <v>1962</v>
      </c>
      <c r="E4544" t="s">
        <v>15</v>
      </c>
      <c r="F4544" t="s">
        <v>16</v>
      </c>
      <c r="G4544" t="s">
        <v>17</v>
      </c>
      <c r="H4544" t="s">
        <v>18</v>
      </c>
      <c r="I4544">
        <v>44.246000000000002</v>
      </c>
      <c r="J4544" t="s">
        <v>19</v>
      </c>
      <c r="K4544" t="s">
        <v>6217</v>
      </c>
      <c r="L4544" t="s">
        <v>21</v>
      </c>
    </row>
    <row r="4545" spans="1:12">
      <c r="A4545" t="s">
        <v>6218</v>
      </c>
      <c r="B4545" t="s">
        <v>6208</v>
      </c>
      <c r="C4545" t="s">
        <v>130</v>
      </c>
      <c r="D4545">
        <v>1962</v>
      </c>
      <c r="E4545" t="s">
        <v>23</v>
      </c>
      <c r="F4545" t="s">
        <v>24</v>
      </c>
      <c r="G4545" t="s">
        <v>25</v>
      </c>
      <c r="H4545" t="s">
        <v>26</v>
      </c>
      <c r="I4545">
        <v>10863958</v>
      </c>
      <c r="J4545" t="s">
        <v>27</v>
      </c>
      <c r="K4545" t="s">
        <v>6217</v>
      </c>
      <c r="L4545" t="s">
        <v>21</v>
      </c>
    </row>
    <row r="4546" spans="1:12">
      <c r="A4546" t="s">
        <v>6219</v>
      </c>
      <c r="B4546" t="s">
        <v>6208</v>
      </c>
      <c r="C4546" t="s">
        <v>130</v>
      </c>
      <c r="D4546">
        <v>1962</v>
      </c>
      <c r="E4546" t="s">
        <v>29</v>
      </c>
      <c r="F4546" t="s">
        <v>30</v>
      </c>
      <c r="G4546" t="s">
        <v>31</v>
      </c>
      <c r="H4546" t="s">
        <v>32</v>
      </c>
      <c r="I4546">
        <v>722.00380729999995</v>
      </c>
      <c r="J4546" t="s">
        <v>33</v>
      </c>
      <c r="K4546" t="s">
        <v>6217</v>
      </c>
      <c r="L4546" t="s">
        <v>21</v>
      </c>
    </row>
    <row r="4547" spans="1:12">
      <c r="A4547" t="s">
        <v>6220</v>
      </c>
      <c r="B4547" t="s">
        <v>6208</v>
      </c>
      <c r="C4547" t="s">
        <v>130</v>
      </c>
      <c r="D4547">
        <v>1967</v>
      </c>
      <c r="E4547" t="s">
        <v>15</v>
      </c>
      <c r="F4547" t="s">
        <v>16</v>
      </c>
      <c r="G4547" t="s">
        <v>17</v>
      </c>
      <c r="H4547" t="s">
        <v>18</v>
      </c>
      <c r="I4547">
        <v>45.756999999999998</v>
      </c>
      <c r="J4547" t="s">
        <v>19</v>
      </c>
      <c r="K4547" t="s">
        <v>6221</v>
      </c>
      <c r="L4547" t="s">
        <v>21</v>
      </c>
    </row>
    <row r="4548" spans="1:12">
      <c r="A4548" t="s">
        <v>6222</v>
      </c>
      <c r="B4548" t="s">
        <v>6208</v>
      </c>
      <c r="C4548" t="s">
        <v>130</v>
      </c>
      <c r="D4548">
        <v>1967</v>
      </c>
      <c r="E4548" t="s">
        <v>23</v>
      </c>
      <c r="F4548" t="s">
        <v>24</v>
      </c>
      <c r="G4548" t="s">
        <v>25</v>
      </c>
      <c r="H4548" t="s">
        <v>26</v>
      </c>
      <c r="I4548">
        <v>12607312</v>
      </c>
      <c r="J4548" t="s">
        <v>27</v>
      </c>
      <c r="K4548" t="s">
        <v>6221</v>
      </c>
      <c r="L4548" t="s">
        <v>21</v>
      </c>
    </row>
    <row r="4549" spans="1:12">
      <c r="A4549" t="s">
        <v>6223</v>
      </c>
      <c r="B4549" t="s">
        <v>6208</v>
      </c>
      <c r="C4549" t="s">
        <v>130</v>
      </c>
      <c r="D4549">
        <v>1967</v>
      </c>
      <c r="E4549" t="s">
        <v>29</v>
      </c>
      <c r="F4549" t="s">
        <v>30</v>
      </c>
      <c r="G4549" t="s">
        <v>31</v>
      </c>
      <c r="H4549" t="s">
        <v>32</v>
      </c>
      <c r="I4549">
        <v>848.21865749999995</v>
      </c>
      <c r="J4549" t="s">
        <v>33</v>
      </c>
      <c r="K4549" t="s">
        <v>6221</v>
      </c>
      <c r="L4549" t="s">
        <v>21</v>
      </c>
    </row>
    <row r="4550" spans="1:12">
      <c r="A4550" t="s">
        <v>6224</v>
      </c>
      <c r="B4550" t="s">
        <v>6208</v>
      </c>
      <c r="C4550" t="s">
        <v>130</v>
      </c>
      <c r="D4550">
        <v>1972</v>
      </c>
      <c r="E4550" t="s">
        <v>15</v>
      </c>
      <c r="F4550" t="s">
        <v>16</v>
      </c>
      <c r="G4550" t="s">
        <v>17</v>
      </c>
      <c r="H4550" t="s">
        <v>18</v>
      </c>
      <c r="I4550">
        <v>47.62</v>
      </c>
      <c r="J4550" t="s">
        <v>19</v>
      </c>
      <c r="K4550" t="s">
        <v>6225</v>
      </c>
      <c r="L4550" t="s">
        <v>21</v>
      </c>
    </row>
    <row r="4551" spans="1:12">
      <c r="A4551" t="s">
        <v>6226</v>
      </c>
      <c r="B4551" t="s">
        <v>6208</v>
      </c>
      <c r="C4551" t="s">
        <v>130</v>
      </c>
      <c r="D4551">
        <v>1972</v>
      </c>
      <c r="E4551" t="s">
        <v>23</v>
      </c>
      <c r="F4551" t="s">
        <v>24</v>
      </c>
      <c r="G4551" t="s">
        <v>25</v>
      </c>
      <c r="H4551" t="s">
        <v>26</v>
      </c>
      <c r="I4551">
        <v>14706593</v>
      </c>
      <c r="J4551" t="s">
        <v>27</v>
      </c>
      <c r="K4551" t="s">
        <v>6225</v>
      </c>
      <c r="L4551" t="s">
        <v>21</v>
      </c>
    </row>
    <row r="4552" spans="1:12">
      <c r="A4552" t="s">
        <v>6227</v>
      </c>
      <c r="B4552" t="s">
        <v>6208</v>
      </c>
      <c r="C4552" t="s">
        <v>130</v>
      </c>
      <c r="D4552">
        <v>1972</v>
      </c>
      <c r="E4552" t="s">
        <v>29</v>
      </c>
      <c r="F4552" t="s">
        <v>30</v>
      </c>
      <c r="G4552" t="s">
        <v>31</v>
      </c>
      <c r="H4552" t="s">
        <v>32</v>
      </c>
      <c r="I4552">
        <v>915.98505920000002</v>
      </c>
      <c r="J4552" t="s">
        <v>33</v>
      </c>
      <c r="K4552" t="s">
        <v>6225</v>
      </c>
      <c r="L4552" t="s">
        <v>21</v>
      </c>
    </row>
    <row r="4553" spans="1:12">
      <c r="A4553" t="s">
        <v>6228</v>
      </c>
      <c r="B4553" t="s">
        <v>6208</v>
      </c>
      <c r="C4553" t="s">
        <v>130</v>
      </c>
      <c r="D4553">
        <v>1977</v>
      </c>
      <c r="E4553" t="s">
        <v>15</v>
      </c>
      <c r="F4553" t="s">
        <v>16</v>
      </c>
      <c r="G4553" t="s">
        <v>17</v>
      </c>
      <c r="H4553" t="s">
        <v>18</v>
      </c>
      <c r="I4553">
        <v>49.918999999999997</v>
      </c>
      <c r="J4553" t="s">
        <v>19</v>
      </c>
      <c r="K4553" t="s">
        <v>6229</v>
      </c>
      <c r="L4553" t="s">
        <v>21</v>
      </c>
    </row>
    <row r="4554" spans="1:12">
      <c r="A4554" t="s">
        <v>6230</v>
      </c>
      <c r="B4554" t="s">
        <v>6208</v>
      </c>
      <c r="C4554" t="s">
        <v>130</v>
      </c>
      <c r="D4554">
        <v>1977</v>
      </c>
      <c r="E4554" t="s">
        <v>23</v>
      </c>
      <c r="F4554" t="s">
        <v>24</v>
      </c>
      <c r="G4554" t="s">
        <v>25</v>
      </c>
      <c r="H4554" t="s">
        <v>26</v>
      </c>
      <c r="I4554">
        <v>17129565</v>
      </c>
      <c r="J4554" t="s">
        <v>27</v>
      </c>
      <c r="K4554" t="s">
        <v>6229</v>
      </c>
      <c r="L4554" t="s">
        <v>21</v>
      </c>
    </row>
    <row r="4555" spans="1:12">
      <c r="A4555" t="s">
        <v>6231</v>
      </c>
      <c r="B4555" t="s">
        <v>6208</v>
      </c>
      <c r="C4555" t="s">
        <v>130</v>
      </c>
      <c r="D4555">
        <v>1977</v>
      </c>
      <c r="E4555" t="s">
        <v>29</v>
      </c>
      <c r="F4555" t="s">
        <v>30</v>
      </c>
      <c r="G4555" t="s">
        <v>31</v>
      </c>
      <c r="H4555" t="s">
        <v>32</v>
      </c>
      <c r="I4555">
        <v>962.49229319999995</v>
      </c>
      <c r="J4555" t="s">
        <v>33</v>
      </c>
      <c r="K4555" t="s">
        <v>6229</v>
      </c>
      <c r="L4555" t="s">
        <v>21</v>
      </c>
    </row>
    <row r="4556" spans="1:12">
      <c r="A4556" t="s">
        <v>6232</v>
      </c>
      <c r="B4556" t="s">
        <v>6208</v>
      </c>
      <c r="C4556" t="s">
        <v>130</v>
      </c>
      <c r="D4556">
        <v>1982</v>
      </c>
      <c r="E4556" t="s">
        <v>15</v>
      </c>
      <c r="F4556" t="s">
        <v>16</v>
      </c>
      <c r="G4556" t="s">
        <v>17</v>
      </c>
      <c r="H4556" t="s">
        <v>18</v>
      </c>
      <c r="I4556">
        <v>50.607999999999997</v>
      </c>
      <c r="J4556" t="s">
        <v>19</v>
      </c>
      <c r="K4556" t="s">
        <v>6233</v>
      </c>
      <c r="L4556" t="s">
        <v>21</v>
      </c>
    </row>
    <row r="4557" spans="1:12">
      <c r="A4557" t="s">
        <v>6234</v>
      </c>
      <c r="B4557" t="s">
        <v>6208</v>
      </c>
      <c r="C4557" t="s">
        <v>130</v>
      </c>
      <c r="D4557">
        <v>1982</v>
      </c>
      <c r="E4557" t="s">
        <v>23</v>
      </c>
      <c r="F4557" t="s">
        <v>24</v>
      </c>
      <c r="G4557" t="s">
        <v>25</v>
      </c>
      <c r="H4557" t="s">
        <v>26</v>
      </c>
      <c r="I4557">
        <v>19844382</v>
      </c>
      <c r="J4557" t="s">
        <v>27</v>
      </c>
      <c r="K4557" t="s">
        <v>6233</v>
      </c>
      <c r="L4557" t="s">
        <v>21</v>
      </c>
    </row>
    <row r="4558" spans="1:12">
      <c r="A4558" t="s">
        <v>6235</v>
      </c>
      <c r="B4558" t="s">
        <v>6208</v>
      </c>
      <c r="C4558" t="s">
        <v>130</v>
      </c>
      <c r="D4558">
        <v>1982</v>
      </c>
      <c r="E4558" t="s">
        <v>29</v>
      </c>
      <c r="F4558" t="s">
        <v>30</v>
      </c>
      <c r="G4558" t="s">
        <v>31</v>
      </c>
      <c r="H4558" t="s">
        <v>32</v>
      </c>
      <c r="I4558">
        <v>874.24260690000006</v>
      </c>
      <c r="J4558" t="s">
        <v>33</v>
      </c>
      <c r="K4558" t="s">
        <v>6233</v>
      </c>
      <c r="L4558" t="s">
        <v>21</v>
      </c>
    </row>
    <row r="4559" spans="1:12">
      <c r="A4559" t="s">
        <v>6236</v>
      </c>
      <c r="B4559" t="s">
        <v>6208</v>
      </c>
      <c r="C4559" t="s">
        <v>130</v>
      </c>
      <c r="D4559">
        <v>1987</v>
      </c>
      <c r="E4559" t="s">
        <v>15</v>
      </c>
      <c r="F4559" t="s">
        <v>16</v>
      </c>
      <c r="G4559" t="s">
        <v>17</v>
      </c>
      <c r="H4559" t="s">
        <v>18</v>
      </c>
      <c r="I4559">
        <v>51.534999999999997</v>
      </c>
      <c r="J4559" t="s">
        <v>19</v>
      </c>
      <c r="K4559" t="s">
        <v>6237</v>
      </c>
      <c r="L4559" t="s">
        <v>21</v>
      </c>
    </row>
    <row r="4560" spans="1:12">
      <c r="A4560" t="s">
        <v>6238</v>
      </c>
      <c r="B4560" t="s">
        <v>6208</v>
      </c>
      <c r="C4560" t="s">
        <v>130</v>
      </c>
      <c r="D4560">
        <v>1987</v>
      </c>
      <c r="E4560" t="s">
        <v>23</v>
      </c>
      <c r="F4560" t="s">
        <v>24</v>
      </c>
      <c r="G4560" t="s">
        <v>25</v>
      </c>
      <c r="H4560" t="s">
        <v>26</v>
      </c>
      <c r="I4560">
        <v>23040630</v>
      </c>
      <c r="J4560" t="s">
        <v>27</v>
      </c>
      <c r="K4560" t="s">
        <v>6237</v>
      </c>
      <c r="L4560" t="s">
        <v>21</v>
      </c>
    </row>
    <row r="4561" spans="1:12">
      <c r="A4561" t="s">
        <v>6239</v>
      </c>
      <c r="B4561" t="s">
        <v>6208</v>
      </c>
      <c r="C4561" t="s">
        <v>130</v>
      </c>
      <c r="D4561">
        <v>1987</v>
      </c>
      <c r="E4561" t="s">
        <v>29</v>
      </c>
      <c r="F4561" t="s">
        <v>30</v>
      </c>
      <c r="G4561" t="s">
        <v>31</v>
      </c>
      <c r="H4561" t="s">
        <v>32</v>
      </c>
      <c r="I4561">
        <v>831.82207940000001</v>
      </c>
      <c r="J4561" t="s">
        <v>33</v>
      </c>
      <c r="K4561" t="s">
        <v>6237</v>
      </c>
      <c r="L4561" t="s">
        <v>21</v>
      </c>
    </row>
    <row r="4562" spans="1:12">
      <c r="A4562" t="s">
        <v>6240</v>
      </c>
      <c r="B4562" t="s">
        <v>6208</v>
      </c>
      <c r="C4562" t="s">
        <v>130</v>
      </c>
      <c r="D4562">
        <v>1992</v>
      </c>
      <c r="E4562" t="s">
        <v>15</v>
      </c>
      <c r="F4562" t="s">
        <v>16</v>
      </c>
      <c r="G4562" t="s">
        <v>17</v>
      </c>
      <c r="H4562" t="s">
        <v>18</v>
      </c>
      <c r="I4562">
        <v>50.44</v>
      </c>
      <c r="J4562" t="s">
        <v>19</v>
      </c>
      <c r="K4562" t="s">
        <v>6241</v>
      </c>
      <c r="L4562" t="s">
        <v>21</v>
      </c>
    </row>
    <row r="4563" spans="1:12">
      <c r="A4563" t="s">
        <v>6242</v>
      </c>
      <c r="B4563" t="s">
        <v>6208</v>
      </c>
      <c r="C4563" t="s">
        <v>130</v>
      </c>
      <c r="D4563">
        <v>1992</v>
      </c>
      <c r="E4563" t="s">
        <v>23</v>
      </c>
      <c r="F4563" t="s">
        <v>24</v>
      </c>
      <c r="G4563" t="s">
        <v>25</v>
      </c>
      <c r="H4563" t="s">
        <v>26</v>
      </c>
      <c r="I4563">
        <v>26605473</v>
      </c>
      <c r="J4563" t="s">
        <v>27</v>
      </c>
      <c r="K4563" t="s">
        <v>6241</v>
      </c>
      <c r="L4563" t="s">
        <v>21</v>
      </c>
    </row>
    <row r="4564" spans="1:12">
      <c r="A4564" t="s">
        <v>6243</v>
      </c>
      <c r="B4564" t="s">
        <v>6208</v>
      </c>
      <c r="C4564" t="s">
        <v>130</v>
      </c>
      <c r="D4564">
        <v>1992</v>
      </c>
      <c r="E4564" t="s">
        <v>29</v>
      </c>
      <c r="F4564" t="s">
        <v>30</v>
      </c>
      <c r="G4564" t="s">
        <v>31</v>
      </c>
      <c r="H4564" t="s">
        <v>32</v>
      </c>
      <c r="I4564">
        <v>825.68245400000001</v>
      </c>
      <c r="J4564" t="s">
        <v>33</v>
      </c>
      <c r="K4564" t="s">
        <v>6241</v>
      </c>
      <c r="L4564" t="s">
        <v>21</v>
      </c>
    </row>
    <row r="4565" spans="1:12">
      <c r="A4565" t="s">
        <v>6244</v>
      </c>
      <c r="B4565" t="s">
        <v>6208</v>
      </c>
      <c r="C4565" t="s">
        <v>130</v>
      </c>
      <c r="D4565">
        <v>1997</v>
      </c>
      <c r="E4565" t="s">
        <v>15</v>
      </c>
      <c r="F4565" t="s">
        <v>16</v>
      </c>
      <c r="G4565" t="s">
        <v>17</v>
      </c>
      <c r="H4565" t="s">
        <v>18</v>
      </c>
      <c r="I4565">
        <v>48.466000000000001</v>
      </c>
      <c r="J4565" t="s">
        <v>19</v>
      </c>
      <c r="K4565" t="s">
        <v>6245</v>
      </c>
      <c r="L4565" t="s">
        <v>21</v>
      </c>
    </row>
    <row r="4566" spans="1:12">
      <c r="A4566" t="s">
        <v>6246</v>
      </c>
      <c r="B4566" t="s">
        <v>6208</v>
      </c>
      <c r="C4566" t="s">
        <v>130</v>
      </c>
      <c r="D4566">
        <v>1997</v>
      </c>
      <c r="E4566" t="s">
        <v>23</v>
      </c>
      <c r="F4566" t="s">
        <v>24</v>
      </c>
      <c r="G4566" t="s">
        <v>25</v>
      </c>
      <c r="H4566" t="s">
        <v>26</v>
      </c>
      <c r="I4566">
        <v>30686889</v>
      </c>
      <c r="J4566" t="s">
        <v>27</v>
      </c>
      <c r="K4566" t="s">
        <v>6245</v>
      </c>
      <c r="L4566" t="s">
        <v>21</v>
      </c>
    </row>
    <row r="4567" spans="1:12">
      <c r="A4567" t="s">
        <v>6247</v>
      </c>
      <c r="B4567" t="s">
        <v>6208</v>
      </c>
      <c r="C4567" t="s">
        <v>130</v>
      </c>
      <c r="D4567">
        <v>1997</v>
      </c>
      <c r="E4567" t="s">
        <v>29</v>
      </c>
      <c r="F4567" t="s">
        <v>30</v>
      </c>
      <c r="G4567" t="s">
        <v>31</v>
      </c>
      <c r="H4567" t="s">
        <v>32</v>
      </c>
      <c r="I4567">
        <v>789.18622310000001</v>
      </c>
      <c r="J4567" t="s">
        <v>33</v>
      </c>
      <c r="K4567" t="s">
        <v>6245</v>
      </c>
      <c r="L4567" t="s">
        <v>21</v>
      </c>
    </row>
    <row r="4568" spans="1:12">
      <c r="A4568" t="s">
        <v>6248</v>
      </c>
      <c r="B4568" t="s">
        <v>6208</v>
      </c>
      <c r="C4568" t="s">
        <v>130</v>
      </c>
      <c r="D4568">
        <v>2002</v>
      </c>
      <c r="E4568" t="s">
        <v>15</v>
      </c>
      <c r="F4568" t="s">
        <v>16</v>
      </c>
      <c r="G4568" t="s">
        <v>17</v>
      </c>
      <c r="H4568" t="s">
        <v>18</v>
      </c>
      <c r="I4568">
        <v>49.651000000000003</v>
      </c>
      <c r="J4568" t="s">
        <v>19</v>
      </c>
      <c r="K4568" t="s">
        <v>6249</v>
      </c>
      <c r="L4568" t="s">
        <v>21</v>
      </c>
    </row>
    <row r="4569" spans="1:12">
      <c r="A4569" t="s">
        <v>6250</v>
      </c>
      <c r="B4569" t="s">
        <v>6208</v>
      </c>
      <c r="C4569" t="s">
        <v>130</v>
      </c>
      <c r="D4569">
        <v>2002</v>
      </c>
      <c r="E4569" t="s">
        <v>23</v>
      </c>
      <c r="F4569" t="s">
        <v>24</v>
      </c>
      <c r="G4569" t="s">
        <v>25</v>
      </c>
      <c r="H4569" t="s">
        <v>26</v>
      </c>
      <c r="I4569">
        <v>34593779</v>
      </c>
      <c r="J4569" t="s">
        <v>27</v>
      </c>
      <c r="K4569" t="s">
        <v>6249</v>
      </c>
      <c r="L4569" t="s">
        <v>21</v>
      </c>
    </row>
    <row r="4570" spans="1:12">
      <c r="A4570" t="s">
        <v>6251</v>
      </c>
      <c r="B4570" t="s">
        <v>6208</v>
      </c>
      <c r="C4570" t="s">
        <v>130</v>
      </c>
      <c r="D4570">
        <v>2002</v>
      </c>
      <c r="E4570" t="s">
        <v>29</v>
      </c>
      <c r="F4570" t="s">
        <v>30</v>
      </c>
      <c r="G4570" t="s">
        <v>31</v>
      </c>
      <c r="H4570" t="s">
        <v>32</v>
      </c>
      <c r="I4570">
        <v>899.07421109999996</v>
      </c>
      <c r="J4570" t="s">
        <v>33</v>
      </c>
      <c r="K4570" t="s">
        <v>6249</v>
      </c>
      <c r="L4570" t="s">
        <v>21</v>
      </c>
    </row>
    <row r="4571" spans="1:12">
      <c r="A4571" t="s">
        <v>6252</v>
      </c>
      <c r="B4571" t="s">
        <v>6208</v>
      </c>
      <c r="C4571" t="s">
        <v>130</v>
      </c>
      <c r="D4571">
        <v>2007</v>
      </c>
      <c r="E4571" t="s">
        <v>15</v>
      </c>
      <c r="F4571" t="s">
        <v>16</v>
      </c>
      <c r="G4571" t="s">
        <v>17</v>
      </c>
      <c r="H4571" t="s">
        <v>18</v>
      </c>
      <c r="I4571">
        <v>52.517000000000003</v>
      </c>
      <c r="J4571" t="s">
        <v>19</v>
      </c>
      <c r="K4571" t="s">
        <v>6253</v>
      </c>
      <c r="L4571" t="s">
        <v>21</v>
      </c>
    </row>
    <row r="4572" spans="1:12">
      <c r="A4572" t="s">
        <v>6254</v>
      </c>
      <c r="B4572" t="s">
        <v>6208</v>
      </c>
      <c r="C4572" t="s">
        <v>130</v>
      </c>
      <c r="D4572">
        <v>2007</v>
      </c>
      <c r="E4572" t="s">
        <v>23</v>
      </c>
      <c r="F4572" t="s">
        <v>24</v>
      </c>
      <c r="G4572" t="s">
        <v>25</v>
      </c>
      <c r="H4572" t="s">
        <v>26</v>
      </c>
      <c r="I4572">
        <v>38139640</v>
      </c>
      <c r="J4572" t="s">
        <v>27</v>
      </c>
      <c r="K4572" t="s">
        <v>6253</v>
      </c>
      <c r="L4572" t="s">
        <v>21</v>
      </c>
    </row>
    <row r="4573" spans="1:12">
      <c r="A4573" t="s">
        <v>6255</v>
      </c>
      <c r="B4573" t="s">
        <v>6208</v>
      </c>
      <c r="C4573" t="s">
        <v>130</v>
      </c>
      <c r="D4573">
        <v>2007</v>
      </c>
      <c r="E4573" t="s">
        <v>29</v>
      </c>
      <c r="F4573" t="s">
        <v>30</v>
      </c>
      <c r="G4573" t="s">
        <v>31</v>
      </c>
      <c r="H4573" t="s">
        <v>32</v>
      </c>
      <c r="I4573">
        <v>1107.482182</v>
      </c>
      <c r="J4573" t="s">
        <v>33</v>
      </c>
      <c r="K4573" t="s">
        <v>6253</v>
      </c>
      <c r="L4573" t="s">
        <v>21</v>
      </c>
    </row>
    <row r="4574" spans="1:12">
      <c r="A4574" t="s">
        <v>6256</v>
      </c>
      <c r="B4574" t="s">
        <v>6257</v>
      </c>
      <c r="C4574" t="s">
        <v>14</v>
      </c>
      <c r="D4574">
        <v>1952</v>
      </c>
      <c r="E4574" t="s">
        <v>15</v>
      </c>
      <c r="F4574" t="s">
        <v>16</v>
      </c>
      <c r="G4574" t="s">
        <v>17</v>
      </c>
      <c r="H4574" t="s">
        <v>18</v>
      </c>
      <c r="I4574">
        <v>50.847999999999999</v>
      </c>
      <c r="J4574" t="s">
        <v>19</v>
      </c>
      <c r="K4574" t="s">
        <v>6258</v>
      </c>
      <c r="L4574" t="s">
        <v>21</v>
      </c>
    </row>
    <row r="4575" spans="1:12">
      <c r="A4575" t="s">
        <v>6259</v>
      </c>
      <c r="B4575" t="s">
        <v>6257</v>
      </c>
      <c r="C4575" t="s">
        <v>14</v>
      </c>
      <c r="D4575">
        <v>1952</v>
      </c>
      <c r="E4575" t="s">
        <v>23</v>
      </c>
      <c r="F4575" t="s">
        <v>24</v>
      </c>
      <c r="G4575" t="s">
        <v>25</v>
      </c>
      <c r="H4575" t="s">
        <v>26</v>
      </c>
      <c r="I4575">
        <v>21289402</v>
      </c>
      <c r="J4575" t="s">
        <v>27</v>
      </c>
      <c r="K4575" t="s">
        <v>6258</v>
      </c>
      <c r="L4575" t="s">
        <v>21</v>
      </c>
    </row>
    <row r="4576" spans="1:12">
      <c r="A4576" t="s">
        <v>6260</v>
      </c>
      <c r="B4576" t="s">
        <v>6257</v>
      </c>
      <c r="C4576" t="s">
        <v>14</v>
      </c>
      <c r="D4576">
        <v>1952</v>
      </c>
      <c r="E4576" t="s">
        <v>29</v>
      </c>
      <c r="F4576" t="s">
        <v>30</v>
      </c>
      <c r="G4576" t="s">
        <v>31</v>
      </c>
      <c r="H4576" t="s">
        <v>32</v>
      </c>
      <c r="I4576">
        <v>757.79741769999998</v>
      </c>
      <c r="J4576" t="s">
        <v>33</v>
      </c>
      <c r="K4576" t="s">
        <v>6258</v>
      </c>
      <c r="L4576" t="s">
        <v>21</v>
      </c>
    </row>
    <row r="4577" spans="1:12">
      <c r="A4577" t="s">
        <v>6261</v>
      </c>
      <c r="B4577" t="s">
        <v>6257</v>
      </c>
      <c r="C4577" t="s">
        <v>14</v>
      </c>
      <c r="D4577">
        <v>1957</v>
      </c>
      <c r="E4577" t="s">
        <v>15</v>
      </c>
      <c r="F4577" t="s">
        <v>16</v>
      </c>
      <c r="G4577" t="s">
        <v>17</v>
      </c>
      <c r="H4577" t="s">
        <v>18</v>
      </c>
      <c r="I4577">
        <v>53.63</v>
      </c>
      <c r="J4577" t="s">
        <v>19</v>
      </c>
      <c r="K4577" t="s">
        <v>6262</v>
      </c>
      <c r="L4577" t="s">
        <v>21</v>
      </c>
    </row>
    <row r="4578" spans="1:12">
      <c r="A4578" t="s">
        <v>6263</v>
      </c>
      <c r="B4578" t="s">
        <v>6257</v>
      </c>
      <c r="C4578" t="s">
        <v>14</v>
      </c>
      <c r="D4578">
        <v>1957</v>
      </c>
      <c r="E4578" t="s">
        <v>23</v>
      </c>
      <c r="F4578" t="s">
        <v>24</v>
      </c>
      <c r="G4578" t="s">
        <v>25</v>
      </c>
      <c r="H4578" t="s">
        <v>26</v>
      </c>
      <c r="I4578">
        <v>25041917</v>
      </c>
      <c r="J4578" t="s">
        <v>27</v>
      </c>
      <c r="K4578" t="s">
        <v>6262</v>
      </c>
      <c r="L4578" t="s">
        <v>21</v>
      </c>
    </row>
    <row r="4579" spans="1:12">
      <c r="A4579" t="s">
        <v>6264</v>
      </c>
      <c r="B4579" t="s">
        <v>6257</v>
      </c>
      <c r="C4579" t="s">
        <v>14</v>
      </c>
      <c r="D4579">
        <v>1957</v>
      </c>
      <c r="E4579" t="s">
        <v>29</v>
      </c>
      <c r="F4579" t="s">
        <v>30</v>
      </c>
      <c r="G4579" t="s">
        <v>31</v>
      </c>
      <c r="H4579" t="s">
        <v>32</v>
      </c>
      <c r="I4579">
        <v>793.57741479999902</v>
      </c>
      <c r="J4579" t="s">
        <v>33</v>
      </c>
      <c r="K4579" t="s">
        <v>6262</v>
      </c>
      <c r="L4579" t="s">
        <v>21</v>
      </c>
    </row>
    <row r="4580" spans="1:12">
      <c r="A4580" t="s">
        <v>6265</v>
      </c>
      <c r="B4580" t="s">
        <v>6257</v>
      </c>
      <c r="C4580" t="s">
        <v>14</v>
      </c>
      <c r="D4580">
        <v>1962</v>
      </c>
      <c r="E4580" t="s">
        <v>15</v>
      </c>
      <c r="F4580" t="s">
        <v>16</v>
      </c>
      <c r="G4580" t="s">
        <v>17</v>
      </c>
      <c r="H4580" t="s">
        <v>18</v>
      </c>
      <c r="I4580">
        <v>56.061</v>
      </c>
      <c r="J4580" t="s">
        <v>19</v>
      </c>
      <c r="K4580" t="s">
        <v>6266</v>
      </c>
      <c r="L4580" t="s">
        <v>21</v>
      </c>
    </row>
    <row r="4581" spans="1:12">
      <c r="A4581" t="s">
        <v>6267</v>
      </c>
      <c r="B4581" t="s">
        <v>6257</v>
      </c>
      <c r="C4581" t="s">
        <v>14</v>
      </c>
      <c r="D4581">
        <v>1962</v>
      </c>
      <c r="E4581" t="s">
        <v>23</v>
      </c>
      <c r="F4581" t="s">
        <v>24</v>
      </c>
      <c r="G4581" t="s">
        <v>25</v>
      </c>
      <c r="H4581" t="s">
        <v>26</v>
      </c>
      <c r="I4581">
        <v>29263397</v>
      </c>
      <c r="J4581" t="s">
        <v>27</v>
      </c>
      <c r="K4581" t="s">
        <v>6266</v>
      </c>
      <c r="L4581" t="s">
        <v>21</v>
      </c>
    </row>
    <row r="4582" spans="1:12">
      <c r="A4582" t="s">
        <v>6268</v>
      </c>
      <c r="B4582" t="s">
        <v>6257</v>
      </c>
      <c r="C4582" t="s">
        <v>14</v>
      </c>
      <c r="D4582">
        <v>1962</v>
      </c>
      <c r="E4582" t="s">
        <v>29</v>
      </c>
      <c r="F4582" t="s">
        <v>30</v>
      </c>
      <c r="G4582" t="s">
        <v>31</v>
      </c>
      <c r="H4582" t="s">
        <v>32</v>
      </c>
      <c r="I4582">
        <v>1002.199172</v>
      </c>
      <c r="J4582" t="s">
        <v>33</v>
      </c>
      <c r="K4582" t="s">
        <v>6266</v>
      </c>
      <c r="L4582" t="s">
        <v>21</v>
      </c>
    </row>
    <row r="4583" spans="1:12">
      <c r="A4583" t="s">
        <v>6269</v>
      </c>
      <c r="B4583" t="s">
        <v>6257</v>
      </c>
      <c r="C4583" t="s">
        <v>14</v>
      </c>
      <c r="D4583">
        <v>1967</v>
      </c>
      <c r="E4583" t="s">
        <v>15</v>
      </c>
      <c r="F4583" t="s">
        <v>16</v>
      </c>
      <c r="G4583" t="s">
        <v>17</v>
      </c>
      <c r="H4583" t="s">
        <v>18</v>
      </c>
      <c r="I4583">
        <v>58.284999999999997</v>
      </c>
      <c r="J4583" t="s">
        <v>19</v>
      </c>
      <c r="K4583" t="s">
        <v>6270</v>
      </c>
      <c r="L4583" t="s">
        <v>21</v>
      </c>
    </row>
    <row r="4584" spans="1:12">
      <c r="A4584" t="s">
        <v>6271</v>
      </c>
      <c r="B4584" t="s">
        <v>6257</v>
      </c>
      <c r="C4584" t="s">
        <v>14</v>
      </c>
      <c r="D4584">
        <v>1967</v>
      </c>
      <c r="E4584" t="s">
        <v>23</v>
      </c>
      <c r="F4584" t="s">
        <v>24</v>
      </c>
      <c r="G4584" t="s">
        <v>25</v>
      </c>
      <c r="H4584" t="s">
        <v>26</v>
      </c>
      <c r="I4584">
        <v>34024249</v>
      </c>
      <c r="J4584" t="s">
        <v>27</v>
      </c>
      <c r="K4584" t="s">
        <v>6270</v>
      </c>
      <c r="L4584" t="s">
        <v>21</v>
      </c>
    </row>
    <row r="4585" spans="1:12">
      <c r="A4585" t="s">
        <v>6272</v>
      </c>
      <c r="B4585" t="s">
        <v>6257</v>
      </c>
      <c r="C4585" t="s">
        <v>14</v>
      </c>
      <c r="D4585">
        <v>1967</v>
      </c>
      <c r="E4585" t="s">
        <v>29</v>
      </c>
      <c r="F4585" t="s">
        <v>30</v>
      </c>
      <c r="G4585" t="s">
        <v>31</v>
      </c>
      <c r="H4585" t="s">
        <v>32</v>
      </c>
      <c r="I4585">
        <v>1295.46066</v>
      </c>
      <c r="J4585" t="s">
        <v>33</v>
      </c>
      <c r="K4585" t="s">
        <v>6270</v>
      </c>
      <c r="L4585" t="s">
        <v>21</v>
      </c>
    </row>
    <row r="4586" spans="1:12">
      <c r="A4586" t="s">
        <v>6273</v>
      </c>
      <c r="B4586" t="s">
        <v>6257</v>
      </c>
      <c r="C4586" t="s">
        <v>14</v>
      </c>
      <c r="D4586">
        <v>1972</v>
      </c>
      <c r="E4586" t="s">
        <v>15</v>
      </c>
      <c r="F4586" t="s">
        <v>16</v>
      </c>
      <c r="G4586" t="s">
        <v>17</v>
      </c>
      <c r="H4586" t="s">
        <v>18</v>
      </c>
      <c r="I4586">
        <v>60.405000000000001</v>
      </c>
      <c r="J4586" t="s">
        <v>19</v>
      </c>
      <c r="K4586" t="s">
        <v>6274</v>
      </c>
      <c r="L4586" t="s">
        <v>21</v>
      </c>
    </row>
    <row r="4587" spans="1:12">
      <c r="A4587" t="s">
        <v>6275</v>
      </c>
      <c r="B4587" t="s">
        <v>6257</v>
      </c>
      <c r="C4587" t="s">
        <v>14</v>
      </c>
      <c r="D4587">
        <v>1972</v>
      </c>
      <c r="E4587" t="s">
        <v>23</v>
      </c>
      <c r="F4587" t="s">
        <v>24</v>
      </c>
      <c r="G4587" t="s">
        <v>25</v>
      </c>
      <c r="H4587" t="s">
        <v>26</v>
      </c>
      <c r="I4587">
        <v>39276153</v>
      </c>
      <c r="J4587" t="s">
        <v>27</v>
      </c>
      <c r="K4587" t="s">
        <v>6274</v>
      </c>
      <c r="L4587" t="s">
        <v>21</v>
      </c>
    </row>
    <row r="4588" spans="1:12">
      <c r="A4588" t="s">
        <v>6276</v>
      </c>
      <c r="B4588" t="s">
        <v>6257</v>
      </c>
      <c r="C4588" t="s">
        <v>14</v>
      </c>
      <c r="D4588">
        <v>1972</v>
      </c>
      <c r="E4588" t="s">
        <v>29</v>
      </c>
      <c r="F4588" t="s">
        <v>30</v>
      </c>
      <c r="G4588" t="s">
        <v>31</v>
      </c>
      <c r="H4588" t="s">
        <v>32</v>
      </c>
      <c r="I4588">
        <v>1524.3589360000001</v>
      </c>
      <c r="J4588" t="s">
        <v>33</v>
      </c>
      <c r="K4588" t="s">
        <v>6274</v>
      </c>
      <c r="L4588" t="s">
        <v>21</v>
      </c>
    </row>
    <row r="4589" spans="1:12">
      <c r="A4589" t="s">
        <v>6277</v>
      </c>
      <c r="B4589" t="s">
        <v>6257</v>
      </c>
      <c r="C4589" t="s">
        <v>14</v>
      </c>
      <c r="D4589">
        <v>1977</v>
      </c>
      <c r="E4589" t="s">
        <v>15</v>
      </c>
      <c r="F4589" t="s">
        <v>16</v>
      </c>
      <c r="G4589" t="s">
        <v>17</v>
      </c>
      <c r="H4589" t="s">
        <v>18</v>
      </c>
      <c r="I4589">
        <v>62.494</v>
      </c>
      <c r="J4589" t="s">
        <v>19</v>
      </c>
      <c r="K4589" t="s">
        <v>6278</v>
      </c>
      <c r="L4589" t="s">
        <v>21</v>
      </c>
    </row>
    <row r="4590" spans="1:12">
      <c r="A4590" t="s">
        <v>6279</v>
      </c>
      <c r="B4590" t="s">
        <v>6257</v>
      </c>
      <c r="C4590" t="s">
        <v>14</v>
      </c>
      <c r="D4590">
        <v>1977</v>
      </c>
      <c r="E4590" t="s">
        <v>23</v>
      </c>
      <c r="F4590" t="s">
        <v>24</v>
      </c>
      <c r="G4590" t="s">
        <v>25</v>
      </c>
      <c r="H4590" t="s">
        <v>26</v>
      </c>
      <c r="I4590">
        <v>44148285</v>
      </c>
      <c r="J4590" t="s">
        <v>27</v>
      </c>
      <c r="K4590" t="s">
        <v>6278</v>
      </c>
      <c r="L4590" t="s">
        <v>21</v>
      </c>
    </row>
    <row r="4591" spans="1:12">
      <c r="A4591" t="s">
        <v>6280</v>
      </c>
      <c r="B4591" t="s">
        <v>6257</v>
      </c>
      <c r="C4591" t="s">
        <v>14</v>
      </c>
      <c r="D4591">
        <v>1977</v>
      </c>
      <c r="E4591" t="s">
        <v>29</v>
      </c>
      <c r="F4591" t="s">
        <v>30</v>
      </c>
      <c r="G4591" t="s">
        <v>31</v>
      </c>
      <c r="H4591" t="s">
        <v>32</v>
      </c>
      <c r="I4591">
        <v>1961.224635</v>
      </c>
      <c r="J4591" t="s">
        <v>33</v>
      </c>
      <c r="K4591" t="s">
        <v>6278</v>
      </c>
      <c r="L4591" t="s">
        <v>21</v>
      </c>
    </row>
    <row r="4592" spans="1:12">
      <c r="A4592" t="s">
        <v>6281</v>
      </c>
      <c r="B4592" t="s">
        <v>6257</v>
      </c>
      <c r="C4592" t="s">
        <v>14</v>
      </c>
      <c r="D4592">
        <v>1982</v>
      </c>
      <c r="E4592" t="s">
        <v>15</v>
      </c>
      <c r="F4592" t="s">
        <v>16</v>
      </c>
      <c r="G4592" t="s">
        <v>17</v>
      </c>
      <c r="H4592" t="s">
        <v>18</v>
      </c>
      <c r="I4592">
        <v>64.596999999999994</v>
      </c>
      <c r="J4592" t="s">
        <v>19</v>
      </c>
      <c r="K4592" t="s">
        <v>6282</v>
      </c>
      <c r="L4592" t="s">
        <v>21</v>
      </c>
    </row>
    <row r="4593" spans="1:12">
      <c r="A4593" t="s">
        <v>6283</v>
      </c>
      <c r="B4593" t="s">
        <v>6257</v>
      </c>
      <c r="C4593" t="s">
        <v>14</v>
      </c>
      <c r="D4593">
        <v>1982</v>
      </c>
      <c r="E4593" t="s">
        <v>23</v>
      </c>
      <c r="F4593" t="s">
        <v>24</v>
      </c>
      <c r="G4593" t="s">
        <v>25</v>
      </c>
      <c r="H4593" t="s">
        <v>26</v>
      </c>
      <c r="I4593">
        <v>48827160</v>
      </c>
      <c r="J4593" t="s">
        <v>27</v>
      </c>
      <c r="K4593" t="s">
        <v>6282</v>
      </c>
      <c r="L4593" t="s">
        <v>21</v>
      </c>
    </row>
    <row r="4594" spans="1:12">
      <c r="A4594" t="s">
        <v>6284</v>
      </c>
      <c r="B4594" t="s">
        <v>6257</v>
      </c>
      <c r="C4594" t="s">
        <v>14</v>
      </c>
      <c r="D4594">
        <v>1982</v>
      </c>
      <c r="E4594" t="s">
        <v>29</v>
      </c>
      <c r="F4594" t="s">
        <v>30</v>
      </c>
      <c r="G4594" t="s">
        <v>31</v>
      </c>
      <c r="H4594" t="s">
        <v>32</v>
      </c>
      <c r="I4594">
        <v>2393.2197809999998</v>
      </c>
      <c r="J4594" t="s">
        <v>33</v>
      </c>
      <c r="K4594" t="s">
        <v>6282</v>
      </c>
      <c r="L4594" t="s">
        <v>21</v>
      </c>
    </row>
    <row r="4595" spans="1:12">
      <c r="A4595" t="s">
        <v>6285</v>
      </c>
      <c r="B4595" t="s">
        <v>6257</v>
      </c>
      <c r="C4595" t="s">
        <v>14</v>
      </c>
      <c r="D4595">
        <v>1987</v>
      </c>
      <c r="E4595" t="s">
        <v>15</v>
      </c>
      <c r="F4595" t="s">
        <v>16</v>
      </c>
      <c r="G4595" t="s">
        <v>17</v>
      </c>
      <c r="H4595" t="s">
        <v>18</v>
      </c>
      <c r="I4595">
        <v>66.084000000000003</v>
      </c>
      <c r="J4595" t="s">
        <v>19</v>
      </c>
      <c r="K4595" t="s">
        <v>6286</v>
      </c>
      <c r="L4595" t="s">
        <v>21</v>
      </c>
    </row>
    <row r="4596" spans="1:12">
      <c r="A4596" t="s">
        <v>6287</v>
      </c>
      <c r="B4596" t="s">
        <v>6257</v>
      </c>
      <c r="C4596" t="s">
        <v>14</v>
      </c>
      <c r="D4596">
        <v>1987</v>
      </c>
      <c r="E4596" t="s">
        <v>23</v>
      </c>
      <c r="F4596" t="s">
        <v>24</v>
      </c>
      <c r="G4596" t="s">
        <v>25</v>
      </c>
      <c r="H4596" t="s">
        <v>26</v>
      </c>
      <c r="I4596">
        <v>52910342</v>
      </c>
      <c r="J4596" t="s">
        <v>27</v>
      </c>
      <c r="K4596" t="s">
        <v>6286</v>
      </c>
      <c r="L4596" t="s">
        <v>21</v>
      </c>
    </row>
    <row r="4597" spans="1:12">
      <c r="A4597" t="s">
        <v>6288</v>
      </c>
      <c r="B4597" t="s">
        <v>6257</v>
      </c>
      <c r="C4597" t="s">
        <v>14</v>
      </c>
      <c r="D4597">
        <v>1987</v>
      </c>
      <c r="E4597" t="s">
        <v>29</v>
      </c>
      <c r="F4597" t="s">
        <v>30</v>
      </c>
      <c r="G4597" t="s">
        <v>31</v>
      </c>
      <c r="H4597" t="s">
        <v>32</v>
      </c>
      <c r="I4597">
        <v>2982.653773</v>
      </c>
      <c r="J4597" t="s">
        <v>33</v>
      </c>
      <c r="K4597" t="s">
        <v>6286</v>
      </c>
      <c r="L4597" t="s">
        <v>21</v>
      </c>
    </row>
    <row r="4598" spans="1:12">
      <c r="A4598" t="s">
        <v>6289</v>
      </c>
      <c r="B4598" t="s">
        <v>6257</v>
      </c>
      <c r="C4598" t="s">
        <v>14</v>
      </c>
      <c r="D4598">
        <v>1992</v>
      </c>
      <c r="E4598" t="s">
        <v>15</v>
      </c>
      <c r="F4598" t="s">
        <v>16</v>
      </c>
      <c r="G4598" t="s">
        <v>17</v>
      </c>
      <c r="H4598" t="s">
        <v>18</v>
      </c>
      <c r="I4598">
        <v>67.298000000000002</v>
      </c>
      <c r="J4598" t="s">
        <v>19</v>
      </c>
      <c r="K4598" t="s">
        <v>6290</v>
      </c>
      <c r="L4598" t="s">
        <v>21</v>
      </c>
    </row>
    <row r="4599" spans="1:12">
      <c r="A4599" t="s">
        <v>6291</v>
      </c>
      <c r="B4599" t="s">
        <v>6257</v>
      </c>
      <c r="C4599" t="s">
        <v>14</v>
      </c>
      <c r="D4599">
        <v>1992</v>
      </c>
      <c r="E4599" t="s">
        <v>23</v>
      </c>
      <c r="F4599" t="s">
        <v>24</v>
      </c>
      <c r="G4599" t="s">
        <v>25</v>
      </c>
      <c r="H4599" t="s">
        <v>26</v>
      </c>
      <c r="I4599">
        <v>56667095</v>
      </c>
      <c r="J4599" t="s">
        <v>27</v>
      </c>
      <c r="K4599" t="s">
        <v>6290</v>
      </c>
      <c r="L4599" t="s">
        <v>21</v>
      </c>
    </row>
    <row r="4600" spans="1:12">
      <c r="A4600" t="s">
        <v>6292</v>
      </c>
      <c r="B4600" t="s">
        <v>6257</v>
      </c>
      <c r="C4600" t="s">
        <v>14</v>
      </c>
      <c r="D4600">
        <v>1992</v>
      </c>
      <c r="E4600" t="s">
        <v>29</v>
      </c>
      <c r="F4600" t="s">
        <v>30</v>
      </c>
      <c r="G4600" t="s">
        <v>31</v>
      </c>
      <c r="H4600" t="s">
        <v>32</v>
      </c>
      <c r="I4600">
        <v>4616.8965449999996</v>
      </c>
      <c r="J4600" t="s">
        <v>33</v>
      </c>
      <c r="K4600" t="s">
        <v>6290</v>
      </c>
      <c r="L4600" t="s">
        <v>21</v>
      </c>
    </row>
    <row r="4601" spans="1:12">
      <c r="A4601" t="s">
        <v>6293</v>
      </c>
      <c r="B4601" t="s">
        <v>6257</v>
      </c>
      <c r="C4601" t="s">
        <v>14</v>
      </c>
      <c r="D4601">
        <v>1997</v>
      </c>
      <c r="E4601" t="s">
        <v>15</v>
      </c>
      <c r="F4601" t="s">
        <v>16</v>
      </c>
      <c r="G4601" t="s">
        <v>17</v>
      </c>
      <c r="H4601" t="s">
        <v>18</v>
      </c>
      <c r="I4601">
        <v>67.521000000000001</v>
      </c>
      <c r="J4601" t="s">
        <v>19</v>
      </c>
      <c r="K4601" t="s">
        <v>6294</v>
      </c>
      <c r="L4601" t="s">
        <v>21</v>
      </c>
    </row>
    <row r="4602" spans="1:12">
      <c r="A4602" t="s">
        <v>6295</v>
      </c>
      <c r="B4602" t="s">
        <v>6257</v>
      </c>
      <c r="C4602" t="s">
        <v>14</v>
      </c>
      <c r="D4602">
        <v>1997</v>
      </c>
      <c r="E4602" t="s">
        <v>23</v>
      </c>
      <c r="F4602" t="s">
        <v>24</v>
      </c>
      <c r="G4602" t="s">
        <v>25</v>
      </c>
      <c r="H4602" t="s">
        <v>26</v>
      </c>
      <c r="I4602">
        <v>60216677</v>
      </c>
      <c r="J4602" t="s">
        <v>27</v>
      </c>
      <c r="K4602" t="s">
        <v>6294</v>
      </c>
      <c r="L4602" t="s">
        <v>21</v>
      </c>
    </row>
    <row r="4603" spans="1:12">
      <c r="A4603" t="s">
        <v>6296</v>
      </c>
      <c r="B4603" t="s">
        <v>6257</v>
      </c>
      <c r="C4603" t="s">
        <v>14</v>
      </c>
      <c r="D4603">
        <v>1997</v>
      </c>
      <c r="E4603" t="s">
        <v>29</v>
      </c>
      <c r="F4603" t="s">
        <v>30</v>
      </c>
      <c r="G4603" t="s">
        <v>31</v>
      </c>
      <c r="H4603" t="s">
        <v>32</v>
      </c>
      <c r="I4603">
        <v>5852.625497</v>
      </c>
      <c r="J4603" t="s">
        <v>33</v>
      </c>
      <c r="K4603" t="s">
        <v>6294</v>
      </c>
      <c r="L4603" t="s">
        <v>21</v>
      </c>
    </row>
    <row r="4604" spans="1:12">
      <c r="A4604" t="s">
        <v>6297</v>
      </c>
      <c r="B4604" t="s">
        <v>6257</v>
      </c>
      <c r="C4604" t="s">
        <v>14</v>
      </c>
      <c r="D4604">
        <v>2002</v>
      </c>
      <c r="E4604" t="s">
        <v>15</v>
      </c>
      <c r="F4604" t="s">
        <v>16</v>
      </c>
      <c r="G4604" t="s">
        <v>17</v>
      </c>
      <c r="H4604" t="s">
        <v>18</v>
      </c>
      <c r="I4604">
        <v>68.563999999999993</v>
      </c>
      <c r="J4604" t="s">
        <v>19</v>
      </c>
      <c r="K4604" t="s">
        <v>6298</v>
      </c>
      <c r="L4604" t="s">
        <v>21</v>
      </c>
    </row>
    <row r="4605" spans="1:12">
      <c r="A4605" t="s">
        <v>6299</v>
      </c>
      <c r="B4605" t="s">
        <v>6257</v>
      </c>
      <c r="C4605" t="s">
        <v>14</v>
      </c>
      <c r="D4605">
        <v>2002</v>
      </c>
      <c r="E4605" t="s">
        <v>23</v>
      </c>
      <c r="F4605" t="s">
        <v>24</v>
      </c>
      <c r="G4605" t="s">
        <v>25</v>
      </c>
      <c r="H4605" t="s">
        <v>26</v>
      </c>
      <c r="I4605">
        <v>62806748</v>
      </c>
      <c r="J4605" t="s">
        <v>27</v>
      </c>
      <c r="K4605" t="s">
        <v>6298</v>
      </c>
      <c r="L4605" t="s">
        <v>21</v>
      </c>
    </row>
    <row r="4606" spans="1:12">
      <c r="A4606" t="s">
        <v>6300</v>
      </c>
      <c r="B4606" t="s">
        <v>6257</v>
      </c>
      <c r="C4606" t="s">
        <v>14</v>
      </c>
      <c r="D4606">
        <v>2002</v>
      </c>
      <c r="E4606" t="s">
        <v>29</v>
      </c>
      <c r="F4606" t="s">
        <v>30</v>
      </c>
      <c r="G4606" t="s">
        <v>31</v>
      </c>
      <c r="H4606" t="s">
        <v>32</v>
      </c>
      <c r="I4606">
        <v>5913.1875289999998</v>
      </c>
      <c r="J4606" t="s">
        <v>33</v>
      </c>
      <c r="K4606" t="s">
        <v>6298</v>
      </c>
      <c r="L4606" t="s">
        <v>21</v>
      </c>
    </row>
    <row r="4607" spans="1:12">
      <c r="A4607" t="s">
        <v>6301</v>
      </c>
      <c r="B4607" t="s">
        <v>6257</v>
      </c>
      <c r="C4607" t="s">
        <v>14</v>
      </c>
      <c r="D4607">
        <v>2007</v>
      </c>
      <c r="E4607" t="s">
        <v>15</v>
      </c>
      <c r="F4607" t="s">
        <v>16</v>
      </c>
      <c r="G4607" t="s">
        <v>17</v>
      </c>
      <c r="H4607" t="s">
        <v>18</v>
      </c>
      <c r="I4607">
        <v>70.616</v>
      </c>
      <c r="J4607" t="s">
        <v>19</v>
      </c>
      <c r="K4607" t="s">
        <v>6302</v>
      </c>
      <c r="L4607" t="s">
        <v>21</v>
      </c>
    </row>
    <row r="4608" spans="1:12">
      <c r="A4608" t="s">
        <v>6303</v>
      </c>
      <c r="B4608" t="s">
        <v>6257</v>
      </c>
      <c r="C4608" t="s">
        <v>14</v>
      </c>
      <c r="D4608">
        <v>2007</v>
      </c>
      <c r="E4608" t="s">
        <v>23</v>
      </c>
      <c r="F4608" t="s">
        <v>24</v>
      </c>
      <c r="G4608" t="s">
        <v>25</v>
      </c>
      <c r="H4608" t="s">
        <v>26</v>
      </c>
      <c r="I4608">
        <v>65068149</v>
      </c>
      <c r="J4608" t="s">
        <v>27</v>
      </c>
      <c r="K4608" t="s">
        <v>6302</v>
      </c>
      <c r="L4608" t="s">
        <v>21</v>
      </c>
    </row>
    <row r="4609" spans="1:12">
      <c r="A4609" t="s">
        <v>6304</v>
      </c>
      <c r="B4609" t="s">
        <v>6257</v>
      </c>
      <c r="C4609" t="s">
        <v>14</v>
      </c>
      <c r="D4609">
        <v>2007</v>
      </c>
      <c r="E4609" t="s">
        <v>29</v>
      </c>
      <c r="F4609" t="s">
        <v>30</v>
      </c>
      <c r="G4609" t="s">
        <v>31</v>
      </c>
      <c r="H4609" t="s">
        <v>32</v>
      </c>
      <c r="I4609">
        <v>7458.3963269999904</v>
      </c>
      <c r="J4609" t="s">
        <v>33</v>
      </c>
      <c r="K4609" t="s">
        <v>6302</v>
      </c>
      <c r="L4609" t="s">
        <v>21</v>
      </c>
    </row>
    <row r="4610" spans="1:12">
      <c r="A4610" t="s">
        <v>6305</v>
      </c>
      <c r="B4610" t="s">
        <v>6306</v>
      </c>
      <c r="C4610" t="s">
        <v>130</v>
      </c>
      <c r="D4610">
        <v>1952</v>
      </c>
      <c r="E4610" t="s">
        <v>15</v>
      </c>
      <c r="F4610" t="s">
        <v>16</v>
      </c>
      <c r="G4610" t="s">
        <v>17</v>
      </c>
      <c r="H4610" t="s">
        <v>18</v>
      </c>
      <c r="I4610">
        <v>38.595999999999997</v>
      </c>
      <c r="J4610" t="s">
        <v>19</v>
      </c>
      <c r="K4610" t="s">
        <v>6307</v>
      </c>
      <c r="L4610" t="s">
        <v>21</v>
      </c>
    </row>
    <row r="4611" spans="1:12">
      <c r="A4611" t="s">
        <v>6308</v>
      </c>
      <c r="B4611" t="s">
        <v>6306</v>
      </c>
      <c r="C4611" t="s">
        <v>130</v>
      </c>
      <c r="D4611">
        <v>1952</v>
      </c>
      <c r="E4611" t="s">
        <v>23</v>
      </c>
      <c r="F4611" t="s">
        <v>24</v>
      </c>
      <c r="G4611" t="s">
        <v>25</v>
      </c>
      <c r="H4611" t="s">
        <v>26</v>
      </c>
      <c r="I4611">
        <v>1219113</v>
      </c>
      <c r="J4611" t="s">
        <v>27</v>
      </c>
      <c r="K4611" t="s">
        <v>6307</v>
      </c>
      <c r="L4611" t="s">
        <v>21</v>
      </c>
    </row>
    <row r="4612" spans="1:12">
      <c r="A4612" t="s">
        <v>6309</v>
      </c>
      <c r="B4612" t="s">
        <v>6306</v>
      </c>
      <c r="C4612" t="s">
        <v>130</v>
      </c>
      <c r="D4612">
        <v>1952</v>
      </c>
      <c r="E4612" t="s">
        <v>29</v>
      </c>
      <c r="F4612" t="s">
        <v>30</v>
      </c>
      <c r="G4612" t="s">
        <v>31</v>
      </c>
      <c r="H4612" t="s">
        <v>32</v>
      </c>
      <c r="I4612">
        <v>859.80865670000003</v>
      </c>
      <c r="J4612" t="s">
        <v>33</v>
      </c>
      <c r="K4612" t="s">
        <v>6307</v>
      </c>
      <c r="L4612" t="s">
        <v>21</v>
      </c>
    </row>
    <row r="4613" spans="1:12">
      <c r="A4613" t="s">
        <v>6310</v>
      </c>
      <c r="B4613" t="s">
        <v>6306</v>
      </c>
      <c r="C4613" t="s">
        <v>130</v>
      </c>
      <c r="D4613">
        <v>1957</v>
      </c>
      <c r="E4613" t="s">
        <v>15</v>
      </c>
      <c r="F4613" t="s">
        <v>16</v>
      </c>
      <c r="G4613" t="s">
        <v>17</v>
      </c>
      <c r="H4613" t="s">
        <v>18</v>
      </c>
      <c r="I4613">
        <v>41.207999999999998</v>
      </c>
      <c r="J4613" t="s">
        <v>19</v>
      </c>
      <c r="K4613" t="s">
        <v>6311</v>
      </c>
      <c r="L4613" t="s">
        <v>21</v>
      </c>
    </row>
    <row r="4614" spans="1:12">
      <c r="A4614" t="s">
        <v>6312</v>
      </c>
      <c r="B4614" t="s">
        <v>6306</v>
      </c>
      <c r="C4614" t="s">
        <v>130</v>
      </c>
      <c r="D4614">
        <v>1957</v>
      </c>
      <c r="E4614" t="s">
        <v>23</v>
      </c>
      <c r="F4614" t="s">
        <v>24</v>
      </c>
      <c r="G4614" t="s">
        <v>25</v>
      </c>
      <c r="H4614" t="s">
        <v>26</v>
      </c>
      <c r="I4614">
        <v>1357445</v>
      </c>
      <c r="J4614" t="s">
        <v>27</v>
      </c>
      <c r="K4614" t="s">
        <v>6311</v>
      </c>
      <c r="L4614" t="s">
        <v>21</v>
      </c>
    </row>
    <row r="4615" spans="1:12">
      <c r="A4615" t="s">
        <v>6313</v>
      </c>
      <c r="B4615" t="s">
        <v>6306</v>
      </c>
      <c r="C4615" t="s">
        <v>130</v>
      </c>
      <c r="D4615">
        <v>1957</v>
      </c>
      <c r="E4615" t="s">
        <v>29</v>
      </c>
      <c r="F4615" t="s">
        <v>30</v>
      </c>
      <c r="G4615" t="s">
        <v>31</v>
      </c>
      <c r="H4615" t="s">
        <v>32</v>
      </c>
      <c r="I4615">
        <v>925.90832020000005</v>
      </c>
      <c r="J4615" t="s">
        <v>33</v>
      </c>
      <c r="K4615" t="s">
        <v>6311</v>
      </c>
      <c r="L4615" t="s">
        <v>21</v>
      </c>
    </row>
    <row r="4616" spans="1:12">
      <c r="A4616" t="s">
        <v>6314</v>
      </c>
      <c r="B4616" t="s">
        <v>6306</v>
      </c>
      <c r="C4616" t="s">
        <v>130</v>
      </c>
      <c r="D4616">
        <v>1962</v>
      </c>
      <c r="E4616" t="s">
        <v>15</v>
      </c>
      <c r="F4616" t="s">
        <v>16</v>
      </c>
      <c r="G4616" t="s">
        <v>17</v>
      </c>
      <c r="H4616" t="s">
        <v>18</v>
      </c>
      <c r="I4616">
        <v>43.921999999999997</v>
      </c>
      <c r="J4616" t="s">
        <v>19</v>
      </c>
      <c r="K4616" t="s">
        <v>6315</v>
      </c>
      <c r="L4616" t="s">
        <v>21</v>
      </c>
    </row>
    <row r="4617" spans="1:12">
      <c r="A4617" t="s">
        <v>6316</v>
      </c>
      <c r="B4617" t="s">
        <v>6306</v>
      </c>
      <c r="C4617" t="s">
        <v>130</v>
      </c>
      <c r="D4617">
        <v>1962</v>
      </c>
      <c r="E4617" t="s">
        <v>23</v>
      </c>
      <c r="F4617" t="s">
        <v>24</v>
      </c>
      <c r="G4617" t="s">
        <v>25</v>
      </c>
      <c r="H4617" t="s">
        <v>26</v>
      </c>
      <c r="I4617">
        <v>1528098</v>
      </c>
      <c r="J4617" t="s">
        <v>27</v>
      </c>
      <c r="K4617" t="s">
        <v>6315</v>
      </c>
      <c r="L4617" t="s">
        <v>21</v>
      </c>
    </row>
    <row r="4618" spans="1:12">
      <c r="A4618" t="s">
        <v>6317</v>
      </c>
      <c r="B4618" t="s">
        <v>6306</v>
      </c>
      <c r="C4618" t="s">
        <v>130</v>
      </c>
      <c r="D4618">
        <v>1962</v>
      </c>
      <c r="E4618" t="s">
        <v>29</v>
      </c>
      <c r="F4618" t="s">
        <v>30</v>
      </c>
      <c r="G4618" t="s">
        <v>31</v>
      </c>
      <c r="H4618" t="s">
        <v>32</v>
      </c>
      <c r="I4618">
        <v>1067.5348100000001</v>
      </c>
      <c r="J4618" t="s">
        <v>33</v>
      </c>
      <c r="K4618" t="s">
        <v>6315</v>
      </c>
      <c r="L4618" t="s">
        <v>21</v>
      </c>
    </row>
    <row r="4619" spans="1:12">
      <c r="A4619" t="s">
        <v>6318</v>
      </c>
      <c r="B4619" t="s">
        <v>6306</v>
      </c>
      <c r="C4619" t="s">
        <v>130</v>
      </c>
      <c r="D4619">
        <v>1967</v>
      </c>
      <c r="E4619" t="s">
        <v>15</v>
      </c>
      <c r="F4619" t="s">
        <v>16</v>
      </c>
      <c r="G4619" t="s">
        <v>17</v>
      </c>
      <c r="H4619" t="s">
        <v>18</v>
      </c>
      <c r="I4619">
        <v>46.768999999999998</v>
      </c>
      <c r="J4619" t="s">
        <v>19</v>
      </c>
      <c r="K4619" t="s">
        <v>6319</v>
      </c>
      <c r="L4619" t="s">
        <v>21</v>
      </c>
    </row>
    <row r="4620" spans="1:12">
      <c r="A4620" t="s">
        <v>6320</v>
      </c>
      <c r="B4620" t="s">
        <v>6306</v>
      </c>
      <c r="C4620" t="s">
        <v>130</v>
      </c>
      <c r="D4620">
        <v>1967</v>
      </c>
      <c r="E4620" t="s">
        <v>23</v>
      </c>
      <c r="F4620" t="s">
        <v>24</v>
      </c>
      <c r="G4620" t="s">
        <v>25</v>
      </c>
      <c r="H4620" t="s">
        <v>26</v>
      </c>
      <c r="I4620">
        <v>1735550</v>
      </c>
      <c r="J4620" t="s">
        <v>27</v>
      </c>
      <c r="K4620" t="s">
        <v>6319</v>
      </c>
      <c r="L4620" t="s">
        <v>21</v>
      </c>
    </row>
    <row r="4621" spans="1:12">
      <c r="A4621" t="s">
        <v>6321</v>
      </c>
      <c r="B4621" t="s">
        <v>6306</v>
      </c>
      <c r="C4621" t="s">
        <v>130</v>
      </c>
      <c r="D4621">
        <v>1967</v>
      </c>
      <c r="E4621" t="s">
        <v>29</v>
      </c>
      <c r="F4621" t="s">
        <v>30</v>
      </c>
      <c r="G4621" t="s">
        <v>31</v>
      </c>
      <c r="H4621" t="s">
        <v>32</v>
      </c>
      <c r="I4621">
        <v>1477.5967599999999</v>
      </c>
      <c r="J4621" t="s">
        <v>33</v>
      </c>
      <c r="K4621" t="s">
        <v>6319</v>
      </c>
      <c r="L4621" t="s">
        <v>21</v>
      </c>
    </row>
    <row r="4622" spans="1:12">
      <c r="A4622" t="s">
        <v>6322</v>
      </c>
      <c r="B4622" t="s">
        <v>6306</v>
      </c>
      <c r="C4622" t="s">
        <v>130</v>
      </c>
      <c r="D4622">
        <v>1972</v>
      </c>
      <c r="E4622" t="s">
        <v>15</v>
      </c>
      <c r="F4622" t="s">
        <v>16</v>
      </c>
      <c r="G4622" t="s">
        <v>17</v>
      </c>
      <c r="H4622" t="s">
        <v>18</v>
      </c>
      <c r="I4622">
        <v>49.758999999999901</v>
      </c>
      <c r="J4622" t="s">
        <v>19</v>
      </c>
      <c r="K4622" t="s">
        <v>6323</v>
      </c>
      <c r="L4622" t="s">
        <v>21</v>
      </c>
    </row>
    <row r="4623" spans="1:12">
      <c r="A4623" t="s">
        <v>6324</v>
      </c>
      <c r="B4623" t="s">
        <v>6306</v>
      </c>
      <c r="C4623" t="s">
        <v>130</v>
      </c>
      <c r="D4623">
        <v>1972</v>
      </c>
      <c r="E4623" t="s">
        <v>23</v>
      </c>
      <c r="F4623" t="s">
        <v>24</v>
      </c>
      <c r="G4623" t="s">
        <v>25</v>
      </c>
      <c r="H4623" t="s">
        <v>26</v>
      </c>
      <c r="I4623">
        <v>2056351</v>
      </c>
      <c r="J4623" t="s">
        <v>27</v>
      </c>
      <c r="K4623" t="s">
        <v>6323</v>
      </c>
      <c r="L4623" t="s">
        <v>21</v>
      </c>
    </row>
    <row r="4624" spans="1:12">
      <c r="A4624" t="s">
        <v>6325</v>
      </c>
      <c r="B4624" t="s">
        <v>6306</v>
      </c>
      <c r="C4624" t="s">
        <v>130</v>
      </c>
      <c r="D4624">
        <v>1972</v>
      </c>
      <c r="E4624" t="s">
        <v>29</v>
      </c>
      <c r="F4624" t="s">
        <v>30</v>
      </c>
      <c r="G4624" t="s">
        <v>31</v>
      </c>
      <c r="H4624" t="s">
        <v>32</v>
      </c>
      <c r="I4624">
        <v>1649.6601880000001</v>
      </c>
      <c r="J4624" t="s">
        <v>33</v>
      </c>
      <c r="K4624" t="s">
        <v>6323</v>
      </c>
      <c r="L4624" t="s">
        <v>21</v>
      </c>
    </row>
    <row r="4625" spans="1:12">
      <c r="A4625" t="s">
        <v>6326</v>
      </c>
      <c r="B4625" t="s">
        <v>6306</v>
      </c>
      <c r="C4625" t="s">
        <v>130</v>
      </c>
      <c r="D4625">
        <v>1977</v>
      </c>
      <c r="E4625" t="s">
        <v>15</v>
      </c>
      <c r="F4625" t="s">
        <v>16</v>
      </c>
      <c r="G4625" t="s">
        <v>17</v>
      </c>
      <c r="H4625" t="s">
        <v>18</v>
      </c>
      <c r="I4625">
        <v>52.887</v>
      </c>
      <c r="J4625" t="s">
        <v>19</v>
      </c>
      <c r="K4625" t="s">
        <v>6327</v>
      </c>
      <c r="L4625" t="s">
        <v>21</v>
      </c>
    </row>
    <row r="4626" spans="1:12">
      <c r="A4626" t="s">
        <v>6328</v>
      </c>
      <c r="B4626" t="s">
        <v>6306</v>
      </c>
      <c r="C4626" t="s">
        <v>130</v>
      </c>
      <c r="D4626">
        <v>1977</v>
      </c>
      <c r="E4626" t="s">
        <v>23</v>
      </c>
      <c r="F4626" t="s">
        <v>24</v>
      </c>
      <c r="G4626" t="s">
        <v>25</v>
      </c>
      <c r="H4626" t="s">
        <v>26</v>
      </c>
      <c r="I4626">
        <v>2308582</v>
      </c>
      <c r="J4626" t="s">
        <v>27</v>
      </c>
      <c r="K4626" t="s">
        <v>6327</v>
      </c>
      <c r="L4626" t="s">
        <v>21</v>
      </c>
    </row>
    <row r="4627" spans="1:12">
      <c r="A4627" t="s">
        <v>6329</v>
      </c>
      <c r="B4627" t="s">
        <v>6306</v>
      </c>
      <c r="C4627" t="s">
        <v>130</v>
      </c>
      <c r="D4627">
        <v>1977</v>
      </c>
      <c r="E4627" t="s">
        <v>29</v>
      </c>
      <c r="F4627" t="s">
        <v>30</v>
      </c>
      <c r="G4627" t="s">
        <v>31</v>
      </c>
      <c r="H4627" t="s">
        <v>32</v>
      </c>
      <c r="I4627">
        <v>1532.776998</v>
      </c>
      <c r="J4627" t="s">
        <v>33</v>
      </c>
      <c r="K4627" t="s">
        <v>6327</v>
      </c>
      <c r="L4627" t="s">
        <v>21</v>
      </c>
    </row>
    <row r="4628" spans="1:12">
      <c r="A4628" t="s">
        <v>6330</v>
      </c>
      <c r="B4628" t="s">
        <v>6306</v>
      </c>
      <c r="C4628" t="s">
        <v>130</v>
      </c>
      <c r="D4628">
        <v>1982</v>
      </c>
      <c r="E4628" t="s">
        <v>15</v>
      </c>
      <c r="F4628" t="s">
        <v>16</v>
      </c>
      <c r="G4628" t="s">
        <v>17</v>
      </c>
      <c r="H4628" t="s">
        <v>18</v>
      </c>
      <c r="I4628">
        <v>55.470999999999997</v>
      </c>
      <c r="J4628" t="s">
        <v>19</v>
      </c>
      <c r="K4628" t="s">
        <v>6331</v>
      </c>
      <c r="L4628" t="s">
        <v>21</v>
      </c>
    </row>
    <row r="4629" spans="1:12">
      <c r="A4629" t="s">
        <v>6332</v>
      </c>
      <c r="B4629" t="s">
        <v>6306</v>
      </c>
      <c r="C4629" t="s">
        <v>130</v>
      </c>
      <c r="D4629">
        <v>1982</v>
      </c>
      <c r="E4629" t="s">
        <v>23</v>
      </c>
      <c r="F4629" t="s">
        <v>24</v>
      </c>
      <c r="G4629" t="s">
        <v>25</v>
      </c>
      <c r="H4629" t="s">
        <v>26</v>
      </c>
      <c r="I4629">
        <v>2644765</v>
      </c>
      <c r="J4629" t="s">
        <v>27</v>
      </c>
      <c r="K4629" t="s">
        <v>6331</v>
      </c>
      <c r="L4629" t="s">
        <v>21</v>
      </c>
    </row>
    <row r="4630" spans="1:12">
      <c r="A4630" t="s">
        <v>6333</v>
      </c>
      <c r="B4630" t="s">
        <v>6306</v>
      </c>
      <c r="C4630" t="s">
        <v>130</v>
      </c>
      <c r="D4630">
        <v>1982</v>
      </c>
      <c r="E4630" t="s">
        <v>29</v>
      </c>
      <c r="F4630" t="s">
        <v>30</v>
      </c>
      <c r="G4630" t="s">
        <v>31</v>
      </c>
      <c r="H4630" t="s">
        <v>32</v>
      </c>
      <c r="I4630">
        <v>1344.577953</v>
      </c>
      <c r="J4630" t="s">
        <v>33</v>
      </c>
      <c r="K4630" t="s">
        <v>6331</v>
      </c>
      <c r="L4630" t="s">
        <v>21</v>
      </c>
    </row>
    <row r="4631" spans="1:12">
      <c r="A4631" t="s">
        <v>6334</v>
      </c>
      <c r="B4631" t="s">
        <v>6306</v>
      </c>
      <c r="C4631" t="s">
        <v>130</v>
      </c>
      <c r="D4631">
        <v>1987</v>
      </c>
      <c r="E4631" t="s">
        <v>15</v>
      </c>
      <c r="F4631" t="s">
        <v>16</v>
      </c>
      <c r="G4631" t="s">
        <v>17</v>
      </c>
      <c r="H4631" t="s">
        <v>18</v>
      </c>
      <c r="I4631">
        <v>56.941000000000003</v>
      </c>
      <c r="J4631" t="s">
        <v>19</v>
      </c>
      <c r="K4631" t="s">
        <v>6335</v>
      </c>
      <c r="L4631" t="s">
        <v>21</v>
      </c>
    </row>
    <row r="4632" spans="1:12">
      <c r="A4632" t="s">
        <v>6336</v>
      </c>
      <c r="B4632" t="s">
        <v>6306</v>
      </c>
      <c r="C4632" t="s">
        <v>130</v>
      </c>
      <c r="D4632">
        <v>1987</v>
      </c>
      <c r="E4632" t="s">
        <v>23</v>
      </c>
      <c r="F4632" t="s">
        <v>24</v>
      </c>
      <c r="G4632" t="s">
        <v>25</v>
      </c>
      <c r="H4632" t="s">
        <v>26</v>
      </c>
      <c r="I4632">
        <v>3154264</v>
      </c>
      <c r="J4632" t="s">
        <v>27</v>
      </c>
      <c r="K4632" t="s">
        <v>6335</v>
      </c>
      <c r="L4632" t="s">
        <v>21</v>
      </c>
    </row>
    <row r="4633" spans="1:12">
      <c r="A4633" t="s">
        <v>6337</v>
      </c>
      <c r="B4633" t="s">
        <v>6306</v>
      </c>
      <c r="C4633" t="s">
        <v>130</v>
      </c>
      <c r="D4633">
        <v>1987</v>
      </c>
      <c r="E4633" t="s">
        <v>29</v>
      </c>
      <c r="F4633" t="s">
        <v>30</v>
      </c>
      <c r="G4633" t="s">
        <v>31</v>
      </c>
      <c r="H4633" t="s">
        <v>32</v>
      </c>
      <c r="I4633">
        <v>1202.2013609999999</v>
      </c>
      <c r="J4633" t="s">
        <v>33</v>
      </c>
      <c r="K4633" t="s">
        <v>6335</v>
      </c>
      <c r="L4633" t="s">
        <v>21</v>
      </c>
    </row>
    <row r="4634" spans="1:12">
      <c r="A4634" t="s">
        <v>6338</v>
      </c>
      <c r="B4634" t="s">
        <v>6306</v>
      </c>
      <c r="C4634" t="s">
        <v>130</v>
      </c>
      <c r="D4634">
        <v>1992</v>
      </c>
      <c r="E4634" t="s">
        <v>15</v>
      </c>
      <c r="F4634" t="s">
        <v>16</v>
      </c>
      <c r="G4634" t="s">
        <v>17</v>
      </c>
      <c r="H4634" t="s">
        <v>18</v>
      </c>
      <c r="I4634">
        <v>58.061</v>
      </c>
      <c r="J4634" t="s">
        <v>19</v>
      </c>
      <c r="K4634" t="s">
        <v>6339</v>
      </c>
      <c r="L4634" t="s">
        <v>21</v>
      </c>
    </row>
    <row r="4635" spans="1:12">
      <c r="A4635" t="s">
        <v>6340</v>
      </c>
      <c r="B4635" t="s">
        <v>6306</v>
      </c>
      <c r="C4635" t="s">
        <v>130</v>
      </c>
      <c r="D4635">
        <v>1992</v>
      </c>
      <c r="E4635" t="s">
        <v>23</v>
      </c>
      <c r="F4635" t="s">
        <v>24</v>
      </c>
      <c r="G4635" t="s">
        <v>25</v>
      </c>
      <c r="H4635" t="s">
        <v>26</v>
      </c>
      <c r="I4635">
        <v>3747553</v>
      </c>
      <c r="J4635" t="s">
        <v>27</v>
      </c>
      <c r="K4635" t="s">
        <v>6339</v>
      </c>
      <c r="L4635" t="s">
        <v>21</v>
      </c>
    </row>
    <row r="4636" spans="1:12">
      <c r="A4636" t="s">
        <v>6341</v>
      </c>
      <c r="B4636" t="s">
        <v>6306</v>
      </c>
      <c r="C4636" t="s">
        <v>130</v>
      </c>
      <c r="D4636">
        <v>1992</v>
      </c>
      <c r="E4636" t="s">
        <v>29</v>
      </c>
      <c r="F4636" t="s">
        <v>30</v>
      </c>
      <c r="G4636" t="s">
        <v>31</v>
      </c>
      <c r="H4636" t="s">
        <v>32</v>
      </c>
      <c r="I4636">
        <v>1034.298904</v>
      </c>
      <c r="J4636" t="s">
        <v>33</v>
      </c>
      <c r="K4636" t="s">
        <v>6339</v>
      </c>
      <c r="L4636" t="s">
        <v>21</v>
      </c>
    </row>
    <row r="4637" spans="1:12">
      <c r="A4637" t="s">
        <v>6342</v>
      </c>
      <c r="B4637" t="s">
        <v>6306</v>
      </c>
      <c r="C4637" t="s">
        <v>130</v>
      </c>
      <c r="D4637">
        <v>1997</v>
      </c>
      <c r="E4637" t="s">
        <v>15</v>
      </c>
      <c r="F4637" t="s">
        <v>16</v>
      </c>
      <c r="G4637" t="s">
        <v>17</v>
      </c>
      <c r="H4637" t="s">
        <v>18</v>
      </c>
      <c r="I4637">
        <v>58.39</v>
      </c>
      <c r="J4637" t="s">
        <v>19</v>
      </c>
      <c r="K4637" t="s">
        <v>6343</v>
      </c>
      <c r="L4637" t="s">
        <v>21</v>
      </c>
    </row>
    <row r="4638" spans="1:12">
      <c r="A4638" t="s">
        <v>6344</v>
      </c>
      <c r="B4638" t="s">
        <v>6306</v>
      </c>
      <c r="C4638" t="s">
        <v>130</v>
      </c>
      <c r="D4638">
        <v>1997</v>
      </c>
      <c r="E4638" t="s">
        <v>23</v>
      </c>
      <c r="F4638" t="s">
        <v>24</v>
      </c>
      <c r="G4638" t="s">
        <v>25</v>
      </c>
      <c r="H4638" t="s">
        <v>26</v>
      </c>
      <c r="I4638">
        <v>4320890</v>
      </c>
      <c r="J4638" t="s">
        <v>27</v>
      </c>
      <c r="K4638" t="s">
        <v>6343</v>
      </c>
      <c r="L4638" t="s">
        <v>21</v>
      </c>
    </row>
    <row r="4639" spans="1:12">
      <c r="A4639" t="s">
        <v>6345</v>
      </c>
      <c r="B4639" t="s">
        <v>6306</v>
      </c>
      <c r="C4639" t="s">
        <v>130</v>
      </c>
      <c r="D4639">
        <v>1997</v>
      </c>
      <c r="E4639" t="s">
        <v>29</v>
      </c>
      <c r="F4639" t="s">
        <v>30</v>
      </c>
      <c r="G4639" t="s">
        <v>31</v>
      </c>
      <c r="H4639" t="s">
        <v>32</v>
      </c>
      <c r="I4639">
        <v>982.28692430000001</v>
      </c>
      <c r="J4639" t="s">
        <v>33</v>
      </c>
      <c r="K4639" t="s">
        <v>6343</v>
      </c>
      <c r="L4639" t="s">
        <v>21</v>
      </c>
    </row>
    <row r="4640" spans="1:12">
      <c r="A4640" t="s">
        <v>6346</v>
      </c>
      <c r="B4640" t="s">
        <v>6306</v>
      </c>
      <c r="C4640" t="s">
        <v>130</v>
      </c>
      <c r="D4640">
        <v>2002</v>
      </c>
      <c r="E4640" t="s">
        <v>15</v>
      </c>
      <c r="F4640" t="s">
        <v>16</v>
      </c>
      <c r="G4640" t="s">
        <v>17</v>
      </c>
      <c r="H4640" t="s">
        <v>18</v>
      </c>
      <c r="I4640">
        <v>57.561</v>
      </c>
      <c r="J4640" t="s">
        <v>19</v>
      </c>
      <c r="K4640" t="s">
        <v>6347</v>
      </c>
      <c r="L4640" t="s">
        <v>21</v>
      </c>
    </row>
    <row r="4641" spans="1:12">
      <c r="A4641" t="s">
        <v>6348</v>
      </c>
      <c r="B4641" t="s">
        <v>6306</v>
      </c>
      <c r="C4641" t="s">
        <v>130</v>
      </c>
      <c r="D4641">
        <v>2002</v>
      </c>
      <c r="E4641" t="s">
        <v>23</v>
      </c>
      <c r="F4641" t="s">
        <v>24</v>
      </c>
      <c r="G4641" t="s">
        <v>25</v>
      </c>
      <c r="H4641" t="s">
        <v>26</v>
      </c>
      <c r="I4641">
        <v>4977378</v>
      </c>
      <c r="J4641" t="s">
        <v>27</v>
      </c>
      <c r="K4641" t="s">
        <v>6347</v>
      </c>
      <c r="L4641" t="s">
        <v>21</v>
      </c>
    </row>
    <row r="4642" spans="1:12">
      <c r="A4642" t="s">
        <v>6349</v>
      </c>
      <c r="B4642" t="s">
        <v>6306</v>
      </c>
      <c r="C4642" t="s">
        <v>130</v>
      </c>
      <c r="D4642">
        <v>2002</v>
      </c>
      <c r="E4642" t="s">
        <v>29</v>
      </c>
      <c r="F4642" t="s">
        <v>30</v>
      </c>
      <c r="G4642" t="s">
        <v>31</v>
      </c>
      <c r="H4642" t="s">
        <v>32</v>
      </c>
      <c r="I4642">
        <v>886.22057649999999</v>
      </c>
      <c r="J4642" t="s">
        <v>33</v>
      </c>
      <c r="K4642" t="s">
        <v>6347</v>
      </c>
      <c r="L4642" t="s">
        <v>21</v>
      </c>
    </row>
    <row r="4643" spans="1:12">
      <c r="A4643" t="s">
        <v>6350</v>
      </c>
      <c r="B4643" t="s">
        <v>6306</v>
      </c>
      <c r="C4643" t="s">
        <v>130</v>
      </c>
      <c r="D4643">
        <v>2007</v>
      </c>
      <c r="E4643" t="s">
        <v>15</v>
      </c>
      <c r="F4643" t="s">
        <v>16</v>
      </c>
      <c r="G4643" t="s">
        <v>17</v>
      </c>
      <c r="H4643" t="s">
        <v>18</v>
      </c>
      <c r="I4643">
        <v>58.42</v>
      </c>
      <c r="J4643" t="s">
        <v>19</v>
      </c>
      <c r="K4643" t="s">
        <v>6351</v>
      </c>
      <c r="L4643" t="s">
        <v>21</v>
      </c>
    </row>
    <row r="4644" spans="1:12">
      <c r="A4644" t="s">
        <v>6352</v>
      </c>
      <c r="B4644" t="s">
        <v>6306</v>
      </c>
      <c r="C4644" t="s">
        <v>130</v>
      </c>
      <c r="D4644">
        <v>2007</v>
      </c>
      <c r="E4644" t="s">
        <v>23</v>
      </c>
      <c r="F4644" t="s">
        <v>24</v>
      </c>
      <c r="G4644" t="s">
        <v>25</v>
      </c>
      <c r="H4644" t="s">
        <v>26</v>
      </c>
      <c r="I4644">
        <v>5701579</v>
      </c>
      <c r="J4644" t="s">
        <v>27</v>
      </c>
      <c r="K4644" t="s">
        <v>6351</v>
      </c>
      <c r="L4644" t="s">
        <v>21</v>
      </c>
    </row>
    <row r="4645" spans="1:12">
      <c r="A4645" t="s">
        <v>6353</v>
      </c>
      <c r="B4645" t="s">
        <v>6306</v>
      </c>
      <c r="C4645" t="s">
        <v>130</v>
      </c>
      <c r="D4645">
        <v>2007</v>
      </c>
      <c r="E4645" t="s">
        <v>29</v>
      </c>
      <c r="F4645" t="s">
        <v>30</v>
      </c>
      <c r="G4645" t="s">
        <v>31</v>
      </c>
      <c r="H4645" t="s">
        <v>32</v>
      </c>
      <c r="I4645">
        <v>882.96994379999899</v>
      </c>
      <c r="J4645" t="s">
        <v>33</v>
      </c>
      <c r="K4645" t="s">
        <v>6351</v>
      </c>
      <c r="L4645" t="s">
        <v>21</v>
      </c>
    </row>
    <row r="4646" spans="1:12">
      <c r="A4646" t="s">
        <v>6354</v>
      </c>
      <c r="B4646" t="s">
        <v>6355</v>
      </c>
      <c r="C4646" t="s">
        <v>229</v>
      </c>
      <c r="D4646">
        <v>1952</v>
      </c>
      <c r="E4646" t="s">
        <v>15</v>
      </c>
      <c r="F4646" t="s">
        <v>16</v>
      </c>
      <c r="G4646" t="s">
        <v>17</v>
      </c>
      <c r="H4646" t="s">
        <v>18</v>
      </c>
      <c r="I4646">
        <v>59.1</v>
      </c>
      <c r="J4646" t="s">
        <v>19</v>
      </c>
      <c r="K4646" t="s">
        <v>6356</v>
      </c>
      <c r="L4646" t="s">
        <v>21</v>
      </c>
    </row>
    <row r="4647" spans="1:12">
      <c r="A4647" t="s">
        <v>6357</v>
      </c>
      <c r="B4647" t="s">
        <v>6355</v>
      </c>
      <c r="C4647" t="s">
        <v>229</v>
      </c>
      <c r="D4647">
        <v>1952</v>
      </c>
      <c r="E4647" t="s">
        <v>23</v>
      </c>
      <c r="F4647" t="s">
        <v>24</v>
      </c>
      <c r="G4647" t="s">
        <v>25</v>
      </c>
      <c r="H4647" t="s">
        <v>26</v>
      </c>
      <c r="I4647">
        <v>662850</v>
      </c>
      <c r="J4647" t="s">
        <v>27</v>
      </c>
      <c r="K4647" t="s">
        <v>6356</v>
      </c>
      <c r="L4647" t="s">
        <v>21</v>
      </c>
    </row>
    <row r="4648" spans="1:12">
      <c r="A4648" t="s">
        <v>6358</v>
      </c>
      <c r="B4648" t="s">
        <v>6355</v>
      </c>
      <c r="C4648" t="s">
        <v>229</v>
      </c>
      <c r="D4648">
        <v>1952</v>
      </c>
      <c r="E4648" t="s">
        <v>29</v>
      </c>
      <c r="F4648" t="s">
        <v>30</v>
      </c>
      <c r="G4648" t="s">
        <v>31</v>
      </c>
      <c r="H4648" t="s">
        <v>32</v>
      </c>
      <c r="I4648">
        <v>3023.2719280000001</v>
      </c>
      <c r="J4648" t="s">
        <v>33</v>
      </c>
      <c r="K4648" t="s">
        <v>6356</v>
      </c>
      <c r="L4648" t="s">
        <v>21</v>
      </c>
    </row>
    <row r="4649" spans="1:12">
      <c r="A4649" t="s">
        <v>6359</v>
      </c>
      <c r="B4649" t="s">
        <v>6355</v>
      </c>
      <c r="C4649" t="s">
        <v>229</v>
      </c>
      <c r="D4649">
        <v>1957</v>
      </c>
      <c r="E4649" t="s">
        <v>15</v>
      </c>
      <c r="F4649" t="s">
        <v>16</v>
      </c>
      <c r="G4649" t="s">
        <v>17</v>
      </c>
      <c r="H4649" t="s">
        <v>18</v>
      </c>
      <c r="I4649">
        <v>61.8</v>
      </c>
      <c r="J4649" t="s">
        <v>19</v>
      </c>
      <c r="K4649" t="s">
        <v>6360</v>
      </c>
      <c r="L4649" t="s">
        <v>21</v>
      </c>
    </row>
    <row r="4650" spans="1:12">
      <c r="A4650" t="s">
        <v>6361</v>
      </c>
      <c r="B4650" t="s">
        <v>6355</v>
      </c>
      <c r="C4650" t="s">
        <v>229</v>
      </c>
      <c r="D4650">
        <v>1957</v>
      </c>
      <c r="E4650" t="s">
        <v>23</v>
      </c>
      <c r="F4650" t="s">
        <v>24</v>
      </c>
      <c r="G4650" t="s">
        <v>25</v>
      </c>
      <c r="H4650" t="s">
        <v>26</v>
      </c>
      <c r="I4650">
        <v>764900</v>
      </c>
      <c r="J4650" t="s">
        <v>27</v>
      </c>
      <c r="K4650" t="s">
        <v>6360</v>
      </c>
      <c r="L4650" t="s">
        <v>21</v>
      </c>
    </row>
    <row r="4651" spans="1:12">
      <c r="A4651" t="s">
        <v>6362</v>
      </c>
      <c r="B4651" t="s">
        <v>6355</v>
      </c>
      <c r="C4651" t="s">
        <v>229</v>
      </c>
      <c r="D4651">
        <v>1957</v>
      </c>
      <c r="E4651" t="s">
        <v>29</v>
      </c>
      <c r="F4651" t="s">
        <v>30</v>
      </c>
      <c r="G4651" t="s">
        <v>31</v>
      </c>
      <c r="H4651" t="s">
        <v>32</v>
      </c>
      <c r="I4651">
        <v>4100.3933999999999</v>
      </c>
      <c r="J4651" t="s">
        <v>33</v>
      </c>
      <c r="K4651" t="s">
        <v>6360</v>
      </c>
      <c r="L4651" t="s">
        <v>21</v>
      </c>
    </row>
    <row r="4652" spans="1:12">
      <c r="A4652" t="s">
        <v>6363</v>
      </c>
      <c r="B4652" t="s">
        <v>6355</v>
      </c>
      <c r="C4652" t="s">
        <v>229</v>
      </c>
      <c r="D4652">
        <v>1962</v>
      </c>
      <c r="E4652" t="s">
        <v>15</v>
      </c>
      <c r="F4652" t="s">
        <v>16</v>
      </c>
      <c r="G4652" t="s">
        <v>17</v>
      </c>
      <c r="H4652" t="s">
        <v>18</v>
      </c>
      <c r="I4652">
        <v>64.900000000000006</v>
      </c>
      <c r="J4652" t="s">
        <v>19</v>
      </c>
      <c r="K4652" t="s">
        <v>6364</v>
      </c>
      <c r="L4652" t="s">
        <v>21</v>
      </c>
    </row>
    <row r="4653" spans="1:12">
      <c r="A4653" t="s">
        <v>6365</v>
      </c>
      <c r="B4653" t="s">
        <v>6355</v>
      </c>
      <c r="C4653" t="s">
        <v>229</v>
      </c>
      <c r="D4653">
        <v>1962</v>
      </c>
      <c r="E4653" t="s">
        <v>23</v>
      </c>
      <c r="F4653" t="s">
        <v>24</v>
      </c>
      <c r="G4653" t="s">
        <v>25</v>
      </c>
      <c r="H4653" t="s">
        <v>26</v>
      </c>
      <c r="I4653">
        <v>887498</v>
      </c>
      <c r="J4653" t="s">
        <v>27</v>
      </c>
      <c r="K4653" t="s">
        <v>6364</v>
      </c>
      <c r="L4653" t="s">
        <v>21</v>
      </c>
    </row>
    <row r="4654" spans="1:12">
      <c r="A4654" t="s">
        <v>6366</v>
      </c>
      <c r="B4654" t="s">
        <v>6355</v>
      </c>
      <c r="C4654" t="s">
        <v>229</v>
      </c>
      <c r="D4654">
        <v>1962</v>
      </c>
      <c r="E4654" t="s">
        <v>29</v>
      </c>
      <c r="F4654" t="s">
        <v>30</v>
      </c>
      <c r="G4654" t="s">
        <v>31</v>
      </c>
      <c r="H4654" t="s">
        <v>32</v>
      </c>
      <c r="I4654">
        <v>4997.5239709999996</v>
      </c>
      <c r="J4654" t="s">
        <v>33</v>
      </c>
      <c r="K4654" t="s">
        <v>6364</v>
      </c>
      <c r="L4654" t="s">
        <v>21</v>
      </c>
    </row>
    <row r="4655" spans="1:12">
      <c r="A4655" t="s">
        <v>6367</v>
      </c>
      <c r="B4655" t="s">
        <v>6355</v>
      </c>
      <c r="C4655" t="s">
        <v>229</v>
      </c>
      <c r="D4655">
        <v>1967</v>
      </c>
      <c r="E4655" t="s">
        <v>15</v>
      </c>
      <c r="F4655" t="s">
        <v>16</v>
      </c>
      <c r="G4655" t="s">
        <v>17</v>
      </c>
      <c r="H4655" t="s">
        <v>18</v>
      </c>
      <c r="I4655">
        <v>65.400000000000006</v>
      </c>
      <c r="J4655" t="s">
        <v>19</v>
      </c>
      <c r="K4655" t="s">
        <v>6368</v>
      </c>
      <c r="L4655" t="s">
        <v>21</v>
      </c>
    </row>
    <row r="4656" spans="1:12">
      <c r="A4656" t="s">
        <v>6369</v>
      </c>
      <c r="B4656" t="s">
        <v>6355</v>
      </c>
      <c r="C4656" t="s">
        <v>229</v>
      </c>
      <c r="D4656">
        <v>1967</v>
      </c>
      <c r="E4656" t="s">
        <v>23</v>
      </c>
      <c r="F4656" t="s">
        <v>24</v>
      </c>
      <c r="G4656" t="s">
        <v>25</v>
      </c>
      <c r="H4656" t="s">
        <v>26</v>
      </c>
      <c r="I4656">
        <v>960155</v>
      </c>
      <c r="J4656" t="s">
        <v>27</v>
      </c>
      <c r="K4656" t="s">
        <v>6368</v>
      </c>
      <c r="L4656" t="s">
        <v>21</v>
      </c>
    </row>
    <row r="4657" spans="1:12">
      <c r="A4657" t="s">
        <v>6370</v>
      </c>
      <c r="B4657" t="s">
        <v>6355</v>
      </c>
      <c r="C4657" t="s">
        <v>229</v>
      </c>
      <c r="D4657">
        <v>1967</v>
      </c>
      <c r="E4657" t="s">
        <v>29</v>
      </c>
      <c r="F4657" t="s">
        <v>30</v>
      </c>
      <c r="G4657" t="s">
        <v>31</v>
      </c>
      <c r="H4657" t="s">
        <v>32</v>
      </c>
      <c r="I4657">
        <v>5621.3684720000001</v>
      </c>
      <c r="J4657" t="s">
        <v>33</v>
      </c>
      <c r="K4657" t="s">
        <v>6368</v>
      </c>
      <c r="L4657" t="s">
        <v>21</v>
      </c>
    </row>
    <row r="4658" spans="1:12">
      <c r="A4658" t="s">
        <v>6371</v>
      </c>
      <c r="B4658" t="s">
        <v>6355</v>
      </c>
      <c r="C4658" t="s">
        <v>229</v>
      </c>
      <c r="D4658">
        <v>1972</v>
      </c>
      <c r="E4658" t="s">
        <v>15</v>
      </c>
      <c r="F4658" t="s">
        <v>16</v>
      </c>
      <c r="G4658" t="s">
        <v>17</v>
      </c>
      <c r="H4658" t="s">
        <v>18</v>
      </c>
      <c r="I4658">
        <v>65.900000000000006</v>
      </c>
      <c r="J4658" t="s">
        <v>19</v>
      </c>
      <c r="K4658" t="s">
        <v>6372</v>
      </c>
      <c r="L4658" t="s">
        <v>21</v>
      </c>
    </row>
    <row r="4659" spans="1:12">
      <c r="A4659" t="s">
        <v>6373</v>
      </c>
      <c r="B4659" t="s">
        <v>6355</v>
      </c>
      <c r="C4659" t="s">
        <v>229</v>
      </c>
      <c r="D4659">
        <v>1972</v>
      </c>
      <c r="E4659" t="s">
        <v>23</v>
      </c>
      <c r="F4659" t="s">
        <v>24</v>
      </c>
      <c r="G4659" t="s">
        <v>25</v>
      </c>
      <c r="H4659" t="s">
        <v>26</v>
      </c>
      <c r="I4659">
        <v>975199</v>
      </c>
      <c r="J4659" t="s">
        <v>27</v>
      </c>
      <c r="K4659" t="s">
        <v>6372</v>
      </c>
      <c r="L4659" t="s">
        <v>21</v>
      </c>
    </row>
    <row r="4660" spans="1:12">
      <c r="A4660" t="s">
        <v>6374</v>
      </c>
      <c r="B4660" t="s">
        <v>6355</v>
      </c>
      <c r="C4660" t="s">
        <v>229</v>
      </c>
      <c r="D4660">
        <v>1972</v>
      </c>
      <c r="E4660" t="s">
        <v>29</v>
      </c>
      <c r="F4660" t="s">
        <v>30</v>
      </c>
      <c r="G4660" t="s">
        <v>31</v>
      </c>
      <c r="H4660" t="s">
        <v>32</v>
      </c>
      <c r="I4660">
        <v>6619.5514189999903</v>
      </c>
      <c r="J4660" t="s">
        <v>33</v>
      </c>
      <c r="K4660" t="s">
        <v>6372</v>
      </c>
      <c r="L4660" t="s">
        <v>21</v>
      </c>
    </row>
    <row r="4661" spans="1:12">
      <c r="A4661" t="s">
        <v>6375</v>
      </c>
      <c r="B4661" t="s">
        <v>6355</v>
      </c>
      <c r="C4661" t="s">
        <v>229</v>
      </c>
      <c r="D4661">
        <v>1977</v>
      </c>
      <c r="E4661" t="s">
        <v>15</v>
      </c>
      <c r="F4661" t="s">
        <v>16</v>
      </c>
      <c r="G4661" t="s">
        <v>17</v>
      </c>
      <c r="H4661" t="s">
        <v>18</v>
      </c>
      <c r="I4661">
        <v>68.3</v>
      </c>
      <c r="J4661" t="s">
        <v>19</v>
      </c>
      <c r="K4661" t="s">
        <v>6376</v>
      </c>
      <c r="L4661" t="s">
        <v>21</v>
      </c>
    </row>
    <row r="4662" spans="1:12">
      <c r="A4662" t="s">
        <v>6377</v>
      </c>
      <c r="B4662" t="s">
        <v>6355</v>
      </c>
      <c r="C4662" t="s">
        <v>229</v>
      </c>
      <c r="D4662">
        <v>1977</v>
      </c>
      <c r="E4662" t="s">
        <v>23</v>
      </c>
      <c r="F4662" t="s">
        <v>24</v>
      </c>
      <c r="G4662" t="s">
        <v>25</v>
      </c>
      <c r="H4662" t="s">
        <v>26</v>
      </c>
      <c r="I4662">
        <v>1039009</v>
      </c>
      <c r="J4662" t="s">
        <v>27</v>
      </c>
      <c r="K4662" t="s">
        <v>6376</v>
      </c>
      <c r="L4662" t="s">
        <v>21</v>
      </c>
    </row>
    <row r="4663" spans="1:12">
      <c r="A4663" t="s">
        <v>6378</v>
      </c>
      <c r="B4663" t="s">
        <v>6355</v>
      </c>
      <c r="C4663" t="s">
        <v>229</v>
      </c>
      <c r="D4663">
        <v>1977</v>
      </c>
      <c r="E4663" t="s">
        <v>29</v>
      </c>
      <c r="F4663" t="s">
        <v>30</v>
      </c>
      <c r="G4663" t="s">
        <v>31</v>
      </c>
      <c r="H4663" t="s">
        <v>32</v>
      </c>
      <c r="I4663">
        <v>7899.5542089999999</v>
      </c>
      <c r="J4663" t="s">
        <v>33</v>
      </c>
      <c r="K4663" t="s">
        <v>6376</v>
      </c>
      <c r="L4663" t="s">
        <v>21</v>
      </c>
    </row>
    <row r="4664" spans="1:12">
      <c r="A4664" t="s">
        <v>6379</v>
      </c>
      <c r="B4664" t="s">
        <v>6355</v>
      </c>
      <c r="C4664" t="s">
        <v>229</v>
      </c>
      <c r="D4664">
        <v>1982</v>
      </c>
      <c r="E4664" t="s">
        <v>15</v>
      </c>
      <c r="F4664" t="s">
        <v>16</v>
      </c>
      <c r="G4664" t="s">
        <v>17</v>
      </c>
      <c r="H4664" t="s">
        <v>18</v>
      </c>
      <c r="I4664">
        <v>68.831999999999994</v>
      </c>
      <c r="J4664" t="s">
        <v>19</v>
      </c>
      <c r="K4664" t="s">
        <v>6380</v>
      </c>
      <c r="L4664" t="s">
        <v>21</v>
      </c>
    </row>
    <row r="4665" spans="1:12">
      <c r="A4665" t="s">
        <v>6381</v>
      </c>
      <c r="B4665" t="s">
        <v>6355</v>
      </c>
      <c r="C4665" t="s">
        <v>229</v>
      </c>
      <c r="D4665">
        <v>1982</v>
      </c>
      <c r="E4665" t="s">
        <v>23</v>
      </c>
      <c r="F4665" t="s">
        <v>24</v>
      </c>
      <c r="G4665" t="s">
        <v>25</v>
      </c>
      <c r="H4665" t="s">
        <v>26</v>
      </c>
      <c r="I4665">
        <v>1116479</v>
      </c>
      <c r="J4665" t="s">
        <v>27</v>
      </c>
      <c r="K4665" t="s">
        <v>6380</v>
      </c>
      <c r="L4665" t="s">
        <v>21</v>
      </c>
    </row>
    <row r="4666" spans="1:12">
      <c r="A4666" t="s">
        <v>6382</v>
      </c>
      <c r="B4666" t="s">
        <v>6355</v>
      </c>
      <c r="C4666" t="s">
        <v>229</v>
      </c>
      <c r="D4666">
        <v>1982</v>
      </c>
      <c r="E4666" t="s">
        <v>29</v>
      </c>
      <c r="F4666" t="s">
        <v>30</v>
      </c>
      <c r="G4666" t="s">
        <v>31</v>
      </c>
      <c r="H4666" t="s">
        <v>32</v>
      </c>
      <c r="I4666">
        <v>9119.5286070000002</v>
      </c>
      <c r="J4666" t="s">
        <v>33</v>
      </c>
      <c r="K4666" t="s">
        <v>6380</v>
      </c>
      <c r="L4666" t="s">
        <v>21</v>
      </c>
    </row>
    <row r="4667" spans="1:12">
      <c r="A4667" t="s">
        <v>6383</v>
      </c>
      <c r="B4667" t="s">
        <v>6355</v>
      </c>
      <c r="C4667" t="s">
        <v>229</v>
      </c>
      <c r="D4667">
        <v>1987</v>
      </c>
      <c r="E4667" t="s">
        <v>15</v>
      </c>
      <c r="F4667" t="s">
        <v>16</v>
      </c>
      <c r="G4667" t="s">
        <v>17</v>
      </c>
      <c r="H4667" t="s">
        <v>18</v>
      </c>
      <c r="I4667">
        <v>69.581999999999994</v>
      </c>
      <c r="J4667" t="s">
        <v>19</v>
      </c>
      <c r="K4667" t="s">
        <v>6384</v>
      </c>
      <c r="L4667" t="s">
        <v>21</v>
      </c>
    </row>
    <row r="4668" spans="1:12">
      <c r="A4668" t="s">
        <v>6385</v>
      </c>
      <c r="B4668" t="s">
        <v>6355</v>
      </c>
      <c r="C4668" t="s">
        <v>229</v>
      </c>
      <c r="D4668">
        <v>1987</v>
      </c>
      <c r="E4668" t="s">
        <v>23</v>
      </c>
      <c r="F4668" t="s">
        <v>24</v>
      </c>
      <c r="G4668" t="s">
        <v>25</v>
      </c>
      <c r="H4668" t="s">
        <v>26</v>
      </c>
      <c r="I4668">
        <v>1191336</v>
      </c>
      <c r="J4668" t="s">
        <v>27</v>
      </c>
      <c r="K4668" t="s">
        <v>6384</v>
      </c>
      <c r="L4668" t="s">
        <v>21</v>
      </c>
    </row>
    <row r="4669" spans="1:12">
      <c r="A4669" t="s">
        <v>6386</v>
      </c>
      <c r="B4669" t="s">
        <v>6355</v>
      </c>
      <c r="C4669" t="s">
        <v>229</v>
      </c>
      <c r="D4669">
        <v>1987</v>
      </c>
      <c r="E4669" t="s">
        <v>29</v>
      </c>
      <c r="F4669" t="s">
        <v>30</v>
      </c>
      <c r="G4669" t="s">
        <v>31</v>
      </c>
      <c r="H4669" t="s">
        <v>32</v>
      </c>
      <c r="I4669">
        <v>7388.5978230000001</v>
      </c>
      <c r="J4669" t="s">
        <v>33</v>
      </c>
      <c r="K4669" t="s">
        <v>6384</v>
      </c>
      <c r="L4669" t="s">
        <v>21</v>
      </c>
    </row>
    <row r="4670" spans="1:12">
      <c r="A4670" t="s">
        <v>6387</v>
      </c>
      <c r="B4670" t="s">
        <v>6355</v>
      </c>
      <c r="C4670" t="s">
        <v>229</v>
      </c>
      <c r="D4670">
        <v>1992</v>
      </c>
      <c r="E4670" t="s">
        <v>15</v>
      </c>
      <c r="F4670" t="s">
        <v>16</v>
      </c>
      <c r="G4670" t="s">
        <v>17</v>
      </c>
      <c r="H4670" t="s">
        <v>18</v>
      </c>
      <c r="I4670">
        <v>69.861999999999995</v>
      </c>
      <c r="J4670" t="s">
        <v>19</v>
      </c>
      <c r="K4670" t="s">
        <v>6388</v>
      </c>
      <c r="L4670" t="s">
        <v>21</v>
      </c>
    </row>
    <row r="4671" spans="1:12">
      <c r="A4671" t="s">
        <v>6389</v>
      </c>
      <c r="B4671" t="s">
        <v>6355</v>
      </c>
      <c r="C4671" t="s">
        <v>229</v>
      </c>
      <c r="D4671">
        <v>1992</v>
      </c>
      <c r="E4671" t="s">
        <v>23</v>
      </c>
      <c r="F4671" t="s">
        <v>24</v>
      </c>
      <c r="G4671" t="s">
        <v>25</v>
      </c>
      <c r="H4671" t="s">
        <v>26</v>
      </c>
      <c r="I4671">
        <v>1183669</v>
      </c>
      <c r="J4671" t="s">
        <v>27</v>
      </c>
      <c r="K4671" t="s">
        <v>6388</v>
      </c>
      <c r="L4671" t="s">
        <v>21</v>
      </c>
    </row>
    <row r="4672" spans="1:12">
      <c r="A4672" t="s">
        <v>6390</v>
      </c>
      <c r="B4672" t="s">
        <v>6355</v>
      </c>
      <c r="C4672" t="s">
        <v>229</v>
      </c>
      <c r="D4672">
        <v>1992</v>
      </c>
      <c r="E4672" t="s">
        <v>29</v>
      </c>
      <c r="F4672" t="s">
        <v>30</v>
      </c>
      <c r="G4672" t="s">
        <v>31</v>
      </c>
      <c r="H4672" t="s">
        <v>32</v>
      </c>
      <c r="I4672">
        <v>7370.9909319999997</v>
      </c>
      <c r="J4672" t="s">
        <v>33</v>
      </c>
      <c r="K4672" t="s">
        <v>6388</v>
      </c>
      <c r="L4672" t="s">
        <v>21</v>
      </c>
    </row>
    <row r="4673" spans="1:12">
      <c r="A4673" t="s">
        <v>6391</v>
      </c>
      <c r="B4673" t="s">
        <v>6355</v>
      </c>
      <c r="C4673" t="s">
        <v>229</v>
      </c>
      <c r="D4673">
        <v>1997</v>
      </c>
      <c r="E4673" t="s">
        <v>15</v>
      </c>
      <c r="F4673" t="s">
        <v>16</v>
      </c>
      <c r="G4673" t="s">
        <v>17</v>
      </c>
      <c r="H4673" t="s">
        <v>18</v>
      </c>
      <c r="I4673">
        <v>69.465000000000003</v>
      </c>
      <c r="J4673" t="s">
        <v>19</v>
      </c>
      <c r="K4673" t="s">
        <v>6392</v>
      </c>
      <c r="L4673" t="s">
        <v>21</v>
      </c>
    </row>
    <row r="4674" spans="1:12">
      <c r="A4674" t="s">
        <v>6393</v>
      </c>
      <c r="B4674" t="s">
        <v>6355</v>
      </c>
      <c r="C4674" t="s">
        <v>229</v>
      </c>
      <c r="D4674">
        <v>1997</v>
      </c>
      <c r="E4674" t="s">
        <v>23</v>
      </c>
      <c r="F4674" t="s">
        <v>24</v>
      </c>
      <c r="G4674" t="s">
        <v>25</v>
      </c>
      <c r="H4674" t="s">
        <v>26</v>
      </c>
      <c r="I4674">
        <v>1138101</v>
      </c>
      <c r="J4674" t="s">
        <v>27</v>
      </c>
      <c r="K4674" t="s">
        <v>6392</v>
      </c>
      <c r="L4674" t="s">
        <v>21</v>
      </c>
    </row>
    <row r="4675" spans="1:12">
      <c r="A4675" t="s">
        <v>6394</v>
      </c>
      <c r="B4675" t="s">
        <v>6355</v>
      </c>
      <c r="C4675" t="s">
        <v>229</v>
      </c>
      <c r="D4675">
        <v>1997</v>
      </c>
      <c r="E4675" t="s">
        <v>29</v>
      </c>
      <c r="F4675" t="s">
        <v>30</v>
      </c>
      <c r="G4675" t="s">
        <v>31</v>
      </c>
      <c r="H4675" t="s">
        <v>32</v>
      </c>
      <c r="I4675">
        <v>8792.5731259999993</v>
      </c>
      <c r="J4675" t="s">
        <v>33</v>
      </c>
      <c r="K4675" t="s">
        <v>6392</v>
      </c>
      <c r="L4675" t="s">
        <v>21</v>
      </c>
    </row>
    <row r="4676" spans="1:12">
      <c r="A4676" t="s">
        <v>6395</v>
      </c>
      <c r="B4676" t="s">
        <v>6355</v>
      </c>
      <c r="C4676" t="s">
        <v>229</v>
      </c>
      <c r="D4676">
        <v>2002</v>
      </c>
      <c r="E4676" t="s">
        <v>15</v>
      </c>
      <c r="F4676" t="s">
        <v>16</v>
      </c>
      <c r="G4676" t="s">
        <v>17</v>
      </c>
      <c r="H4676" t="s">
        <v>18</v>
      </c>
      <c r="I4676">
        <v>68.975999999999999</v>
      </c>
      <c r="J4676" t="s">
        <v>19</v>
      </c>
      <c r="K4676" t="s">
        <v>6396</v>
      </c>
      <c r="L4676" t="s">
        <v>21</v>
      </c>
    </row>
    <row r="4677" spans="1:12">
      <c r="A4677" t="s">
        <v>6397</v>
      </c>
      <c r="B4677" t="s">
        <v>6355</v>
      </c>
      <c r="C4677" t="s">
        <v>229</v>
      </c>
      <c r="D4677">
        <v>2002</v>
      </c>
      <c r="E4677" t="s">
        <v>23</v>
      </c>
      <c r="F4677" t="s">
        <v>24</v>
      </c>
      <c r="G4677" t="s">
        <v>25</v>
      </c>
      <c r="H4677" t="s">
        <v>26</v>
      </c>
      <c r="I4677">
        <v>1101832</v>
      </c>
      <c r="J4677" t="s">
        <v>27</v>
      </c>
      <c r="K4677" t="s">
        <v>6396</v>
      </c>
      <c r="L4677" t="s">
        <v>21</v>
      </c>
    </row>
    <row r="4678" spans="1:12">
      <c r="A4678" t="s">
        <v>6398</v>
      </c>
      <c r="B4678" t="s">
        <v>6355</v>
      </c>
      <c r="C4678" t="s">
        <v>229</v>
      </c>
      <c r="D4678">
        <v>2002</v>
      </c>
      <c r="E4678" t="s">
        <v>29</v>
      </c>
      <c r="F4678" t="s">
        <v>30</v>
      </c>
      <c r="G4678" t="s">
        <v>31</v>
      </c>
      <c r="H4678" t="s">
        <v>32</v>
      </c>
      <c r="I4678">
        <v>11460.60023</v>
      </c>
      <c r="J4678" t="s">
        <v>33</v>
      </c>
      <c r="K4678" t="s">
        <v>6396</v>
      </c>
      <c r="L4678" t="s">
        <v>21</v>
      </c>
    </row>
    <row r="4679" spans="1:12">
      <c r="A4679" t="s">
        <v>6399</v>
      </c>
      <c r="B4679" t="s">
        <v>6355</v>
      </c>
      <c r="C4679" t="s">
        <v>229</v>
      </c>
      <c r="D4679">
        <v>2007</v>
      </c>
      <c r="E4679" t="s">
        <v>15</v>
      </c>
      <c r="F4679" t="s">
        <v>16</v>
      </c>
      <c r="G4679" t="s">
        <v>17</v>
      </c>
      <c r="H4679" t="s">
        <v>18</v>
      </c>
      <c r="I4679">
        <v>69.819000000000003</v>
      </c>
      <c r="J4679" t="s">
        <v>19</v>
      </c>
      <c r="K4679" t="s">
        <v>6400</v>
      </c>
      <c r="L4679" t="s">
        <v>21</v>
      </c>
    </row>
    <row r="4680" spans="1:12">
      <c r="A4680" t="s">
        <v>6401</v>
      </c>
      <c r="B4680" t="s">
        <v>6355</v>
      </c>
      <c r="C4680" t="s">
        <v>229</v>
      </c>
      <c r="D4680">
        <v>2007</v>
      </c>
      <c r="E4680" t="s">
        <v>23</v>
      </c>
      <c r="F4680" t="s">
        <v>24</v>
      </c>
      <c r="G4680" t="s">
        <v>25</v>
      </c>
      <c r="H4680" t="s">
        <v>26</v>
      </c>
      <c r="I4680">
        <v>1056608</v>
      </c>
      <c r="J4680" t="s">
        <v>27</v>
      </c>
      <c r="K4680" t="s">
        <v>6400</v>
      </c>
      <c r="L4680" t="s">
        <v>21</v>
      </c>
    </row>
    <row r="4681" spans="1:12">
      <c r="A4681" t="s">
        <v>6402</v>
      </c>
      <c r="B4681" t="s">
        <v>6355</v>
      </c>
      <c r="C4681" t="s">
        <v>229</v>
      </c>
      <c r="D4681">
        <v>2007</v>
      </c>
      <c r="E4681" t="s">
        <v>29</v>
      </c>
      <c r="F4681" t="s">
        <v>30</v>
      </c>
      <c r="G4681" t="s">
        <v>31</v>
      </c>
      <c r="H4681" t="s">
        <v>32</v>
      </c>
      <c r="I4681">
        <v>18008.509239999999</v>
      </c>
      <c r="J4681" t="s">
        <v>33</v>
      </c>
      <c r="K4681" t="s">
        <v>6400</v>
      </c>
      <c r="L4681" t="s">
        <v>21</v>
      </c>
    </row>
    <row r="4682" spans="1:12">
      <c r="A4682" t="s">
        <v>6403</v>
      </c>
      <c r="B4682" t="s">
        <v>6404</v>
      </c>
      <c r="C4682" t="s">
        <v>130</v>
      </c>
      <c r="D4682">
        <v>1952</v>
      </c>
      <c r="E4682" t="s">
        <v>15</v>
      </c>
      <c r="F4682" t="s">
        <v>16</v>
      </c>
      <c r="G4682" t="s">
        <v>17</v>
      </c>
      <c r="H4682" t="s">
        <v>18</v>
      </c>
      <c r="I4682">
        <v>44.6</v>
      </c>
      <c r="J4682" t="s">
        <v>19</v>
      </c>
      <c r="K4682" t="s">
        <v>6405</v>
      </c>
      <c r="L4682" t="s">
        <v>21</v>
      </c>
    </row>
    <row r="4683" spans="1:12">
      <c r="A4683" t="s">
        <v>6406</v>
      </c>
      <c r="B4683" t="s">
        <v>6404</v>
      </c>
      <c r="C4683" t="s">
        <v>130</v>
      </c>
      <c r="D4683">
        <v>1952</v>
      </c>
      <c r="E4683" t="s">
        <v>23</v>
      </c>
      <c r="F4683" t="s">
        <v>24</v>
      </c>
      <c r="G4683" t="s">
        <v>25</v>
      </c>
      <c r="H4683" t="s">
        <v>26</v>
      </c>
      <c r="I4683">
        <v>3647735</v>
      </c>
      <c r="J4683" t="s">
        <v>27</v>
      </c>
      <c r="K4683" t="s">
        <v>6405</v>
      </c>
      <c r="L4683" t="s">
        <v>21</v>
      </c>
    </row>
    <row r="4684" spans="1:12">
      <c r="A4684" t="s">
        <v>6407</v>
      </c>
      <c r="B4684" t="s">
        <v>6404</v>
      </c>
      <c r="C4684" t="s">
        <v>130</v>
      </c>
      <c r="D4684">
        <v>1952</v>
      </c>
      <c r="E4684" t="s">
        <v>29</v>
      </c>
      <c r="F4684" t="s">
        <v>30</v>
      </c>
      <c r="G4684" t="s">
        <v>31</v>
      </c>
      <c r="H4684" t="s">
        <v>32</v>
      </c>
      <c r="I4684">
        <v>1468.475631</v>
      </c>
      <c r="J4684" t="s">
        <v>33</v>
      </c>
      <c r="K4684" t="s">
        <v>6405</v>
      </c>
      <c r="L4684" t="s">
        <v>21</v>
      </c>
    </row>
    <row r="4685" spans="1:12">
      <c r="A4685" t="s">
        <v>6408</v>
      </c>
      <c r="B4685" t="s">
        <v>6404</v>
      </c>
      <c r="C4685" t="s">
        <v>130</v>
      </c>
      <c r="D4685">
        <v>1957</v>
      </c>
      <c r="E4685" t="s">
        <v>15</v>
      </c>
      <c r="F4685" t="s">
        <v>16</v>
      </c>
      <c r="G4685" t="s">
        <v>17</v>
      </c>
      <c r="H4685" t="s">
        <v>18</v>
      </c>
      <c r="I4685">
        <v>47.1</v>
      </c>
      <c r="J4685" t="s">
        <v>19</v>
      </c>
      <c r="K4685" t="s">
        <v>6409</v>
      </c>
      <c r="L4685" t="s">
        <v>21</v>
      </c>
    </row>
    <row r="4686" spans="1:12">
      <c r="A4686" t="s">
        <v>6410</v>
      </c>
      <c r="B4686" t="s">
        <v>6404</v>
      </c>
      <c r="C4686" t="s">
        <v>130</v>
      </c>
      <c r="D4686">
        <v>1957</v>
      </c>
      <c r="E4686" t="s">
        <v>23</v>
      </c>
      <c r="F4686" t="s">
        <v>24</v>
      </c>
      <c r="G4686" t="s">
        <v>25</v>
      </c>
      <c r="H4686" t="s">
        <v>26</v>
      </c>
      <c r="I4686">
        <v>3950849</v>
      </c>
      <c r="J4686" t="s">
        <v>27</v>
      </c>
      <c r="K4686" t="s">
        <v>6409</v>
      </c>
      <c r="L4686" t="s">
        <v>21</v>
      </c>
    </row>
    <row r="4687" spans="1:12">
      <c r="A4687" t="s">
        <v>6411</v>
      </c>
      <c r="B4687" t="s">
        <v>6404</v>
      </c>
      <c r="C4687" t="s">
        <v>130</v>
      </c>
      <c r="D4687">
        <v>1957</v>
      </c>
      <c r="E4687" t="s">
        <v>29</v>
      </c>
      <c r="F4687" t="s">
        <v>30</v>
      </c>
      <c r="G4687" t="s">
        <v>31</v>
      </c>
      <c r="H4687" t="s">
        <v>32</v>
      </c>
      <c r="I4687">
        <v>1395.2324679999999</v>
      </c>
      <c r="J4687" t="s">
        <v>33</v>
      </c>
      <c r="K4687" t="s">
        <v>6409</v>
      </c>
      <c r="L4687" t="s">
        <v>21</v>
      </c>
    </row>
    <row r="4688" spans="1:12">
      <c r="A4688" t="s">
        <v>6412</v>
      </c>
      <c r="B4688" t="s">
        <v>6404</v>
      </c>
      <c r="C4688" t="s">
        <v>130</v>
      </c>
      <c r="D4688">
        <v>1962</v>
      </c>
      <c r="E4688" t="s">
        <v>15</v>
      </c>
      <c r="F4688" t="s">
        <v>16</v>
      </c>
      <c r="G4688" t="s">
        <v>17</v>
      </c>
      <c r="H4688" t="s">
        <v>18</v>
      </c>
      <c r="I4688">
        <v>49.578999999999901</v>
      </c>
      <c r="J4688" t="s">
        <v>19</v>
      </c>
      <c r="K4688" t="s">
        <v>6413</v>
      </c>
      <c r="L4688" t="s">
        <v>21</v>
      </c>
    </row>
    <row r="4689" spans="1:12">
      <c r="A4689" t="s">
        <v>6414</v>
      </c>
      <c r="B4689" t="s">
        <v>6404</v>
      </c>
      <c r="C4689" t="s">
        <v>130</v>
      </c>
      <c r="D4689">
        <v>1962</v>
      </c>
      <c r="E4689" t="s">
        <v>23</v>
      </c>
      <c r="F4689" t="s">
        <v>24</v>
      </c>
      <c r="G4689" t="s">
        <v>25</v>
      </c>
      <c r="H4689" t="s">
        <v>26</v>
      </c>
      <c r="I4689">
        <v>4286552</v>
      </c>
      <c r="J4689" t="s">
        <v>27</v>
      </c>
      <c r="K4689" t="s">
        <v>6413</v>
      </c>
      <c r="L4689" t="s">
        <v>21</v>
      </c>
    </row>
    <row r="4690" spans="1:12">
      <c r="A4690" t="s">
        <v>6415</v>
      </c>
      <c r="B4690" t="s">
        <v>6404</v>
      </c>
      <c r="C4690" t="s">
        <v>130</v>
      </c>
      <c r="D4690">
        <v>1962</v>
      </c>
      <c r="E4690" t="s">
        <v>29</v>
      </c>
      <c r="F4690" t="s">
        <v>30</v>
      </c>
      <c r="G4690" t="s">
        <v>31</v>
      </c>
      <c r="H4690" t="s">
        <v>32</v>
      </c>
      <c r="I4690">
        <v>1660.30321</v>
      </c>
      <c r="J4690" t="s">
        <v>33</v>
      </c>
      <c r="K4690" t="s">
        <v>6413</v>
      </c>
      <c r="L4690" t="s">
        <v>21</v>
      </c>
    </row>
    <row r="4691" spans="1:12">
      <c r="A4691" t="s">
        <v>6416</v>
      </c>
      <c r="B4691" t="s">
        <v>6404</v>
      </c>
      <c r="C4691" t="s">
        <v>130</v>
      </c>
      <c r="D4691">
        <v>1967</v>
      </c>
      <c r="E4691" t="s">
        <v>15</v>
      </c>
      <c r="F4691" t="s">
        <v>16</v>
      </c>
      <c r="G4691" t="s">
        <v>17</v>
      </c>
      <c r="H4691" t="s">
        <v>18</v>
      </c>
      <c r="I4691">
        <v>52.052999999999997</v>
      </c>
      <c r="J4691" t="s">
        <v>19</v>
      </c>
      <c r="K4691" t="s">
        <v>6417</v>
      </c>
      <c r="L4691" t="s">
        <v>21</v>
      </c>
    </row>
    <row r="4692" spans="1:12">
      <c r="A4692" t="s">
        <v>6418</v>
      </c>
      <c r="B4692" t="s">
        <v>6404</v>
      </c>
      <c r="C4692" t="s">
        <v>130</v>
      </c>
      <c r="D4692">
        <v>1967</v>
      </c>
      <c r="E4692" t="s">
        <v>23</v>
      </c>
      <c r="F4692" t="s">
        <v>24</v>
      </c>
      <c r="G4692" t="s">
        <v>25</v>
      </c>
      <c r="H4692" t="s">
        <v>26</v>
      </c>
      <c r="I4692">
        <v>4786986</v>
      </c>
      <c r="J4692" t="s">
        <v>27</v>
      </c>
      <c r="K4692" t="s">
        <v>6417</v>
      </c>
      <c r="L4692" t="s">
        <v>21</v>
      </c>
    </row>
    <row r="4693" spans="1:12">
      <c r="A4693" t="s">
        <v>6419</v>
      </c>
      <c r="B4693" t="s">
        <v>6404</v>
      </c>
      <c r="C4693" t="s">
        <v>130</v>
      </c>
      <c r="D4693">
        <v>1967</v>
      </c>
      <c r="E4693" t="s">
        <v>29</v>
      </c>
      <c r="F4693" t="s">
        <v>30</v>
      </c>
      <c r="G4693" t="s">
        <v>31</v>
      </c>
      <c r="H4693" t="s">
        <v>32</v>
      </c>
      <c r="I4693">
        <v>1932.360167</v>
      </c>
      <c r="J4693" t="s">
        <v>33</v>
      </c>
      <c r="K4693" t="s">
        <v>6417</v>
      </c>
      <c r="L4693" t="s">
        <v>21</v>
      </c>
    </row>
    <row r="4694" spans="1:12">
      <c r="A4694" t="s">
        <v>6420</v>
      </c>
      <c r="B4694" t="s">
        <v>6404</v>
      </c>
      <c r="C4694" t="s">
        <v>130</v>
      </c>
      <c r="D4694">
        <v>1972</v>
      </c>
      <c r="E4694" t="s">
        <v>15</v>
      </c>
      <c r="F4694" t="s">
        <v>16</v>
      </c>
      <c r="G4694" t="s">
        <v>17</v>
      </c>
      <c r="H4694" t="s">
        <v>18</v>
      </c>
      <c r="I4694">
        <v>55.601999999999997</v>
      </c>
      <c r="J4694" t="s">
        <v>19</v>
      </c>
      <c r="K4694" t="s">
        <v>6421</v>
      </c>
      <c r="L4694" t="s">
        <v>21</v>
      </c>
    </row>
    <row r="4695" spans="1:12">
      <c r="A4695" t="s">
        <v>6422</v>
      </c>
      <c r="B4695" t="s">
        <v>6404</v>
      </c>
      <c r="C4695" t="s">
        <v>130</v>
      </c>
      <c r="D4695">
        <v>1972</v>
      </c>
      <c r="E4695" t="s">
        <v>23</v>
      </c>
      <c r="F4695" t="s">
        <v>24</v>
      </c>
      <c r="G4695" t="s">
        <v>25</v>
      </c>
      <c r="H4695" t="s">
        <v>26</v>
      </c>
      <c r="I4695">
        <v>5303507</v>
      </c>
      <c r="J4695" t="s">
        <v>27</v>
      </c>
      <c r="K4695" t="s">
        <v>6421</v>
      </c>
      <c r="L4695" t="s">
        <v>21</v>
      </c>
    </row>
    <row r="4696" spans="1:12">
      <c r="A4696" t="s">
        <v>6423</v>
      </c>
      <c r="B4696" t="s">
        <v>6404</v>
      </c>
      <c r="C4696" t="s">
        <v>130</v>
      </c>
      <c r="D4696">
        <v>1972</v>
      </c>
      <c r="E4696" t="s">
        <v>29</v>
      </c>
      <c r="F4696" t="s">
        <v>30</v>
      </c>
      <c r="G4696" t="s">
        <v>31</v>
      </c>
      <c r="H4696" t="s">
        <v>32</v>
      </c>
      <c r="I4696">
        <v>2753.2859939999998</v>
      </c>
      <c r="J4696" t="s">
        <v>33</v>
      </c>
      <c r="K4696" t="s">
        <v>6421</v>
      </c>
      <c r="L4696" t="s">
        <v>21</v>
      </c>
    </row>
    <row r="4697" spans="1:12">
      <c r="A4697" t="s">
        <v>6424</v>
      </c>
      <c r="B4697" t="s">
        <v>6404</v>
      </c>
      <c r="C4697" t="s">
        <v>130</v>
      </c>
      <c r="D4697">
        <v>1977</v>
      </c>
      <c r="E4697" t="s">
        <v>15</v>
      </c>
      <c r="F4697" t="s">
        <v>16</v>
      </c>
      <c r="G4697" t="s">
        <v>17</v>
      </c>
      <c r="H4697" t="s">
        <v>18</v>
      </c>
      <c r="I4697">
        <v>59.837000000000003</v>
      </c>
      <c r="J4697" t="s">
        <v>19</v>
      </c>
      <c r="K4697" t="s">
        <v>6425</v>
      </c>
      <c r="L4697" t="s">
        <v>21</v>
      </c>
    </row>
    <row r="4698" spans="1:12">
      <c r="A4698" t="s">
        <v>6426</v>
      </c>
      <c r="B4698" t="s">
        <v>6404</v>
      </c>
      <c r="C4698" t="s">
        <v>130</v>
      </c>
      <c r="D4698">
        <v>1977</v>
      </c>
      <c r="E4698" t="s">
        <v>23</v>
      </c>
      <c r="F4698" t="s">
        <v>24</v>
      </c>
      <c r="G4698" t="s">
        <v>25</v>
      </c>
      <c r="H4698" t="s">
        <v>26</v>
      </c>
      <c r="I4698">
        <v>6005061</v>
      </c>
      <c r="J4698" t="s">
        <v>27</v>
      </c>
      <c r="K4698" t="s">
        <v>6425</v>
      </c>
      <c r="L4698" t="s">
        <v>21</v>
      </c>
    </row>
    <row r="4699" spans="1:12">
      <c r="A4699" t="s">
        <v>6427</v>
      </c>
      <c r="B4699" t="s">
        <v>6404</v>
      </c>
      <c r="C4699" t="s">
        <v>130</v>
      </c>
      <c r="D4699">
        <v>1977</v>
      </c>
      <c r="E4699" t="s">
        <v>29</v>
      </c>
      <c r="F4699" t="s">
        <v>30</v>
      </c>
      <c r="G4699" t="s">
        <v>31</v>
      </c>
      <c r="H4699" t="s">
        <v>32</v>
      </c>
      <c r="I4699">
        <v>3120.8768110000001</v>
      </c>
      <c r="J4699" t="s">
        <v>33</v>
      </c>
      <c r="K4699" t="s">
        <v>6425</v>
      </c>
      <c r="L4699" t="s">
        <v>21</v>
      </c>
    </row>
    <row r="4700" spans="1:12">
      <c r="A4700" t="s">
        <v>6428</v>
      </c>
      <c r="B4700" t="s">
        <v>6404</v>
      </c>
      <c r="C4700" t="s">
        <v>130</v>
      </c>
      <c r="D4700">
        <v>1982</v>
      </c>
      <c r="E4700" t="s">
        <v>15</v>
      </c>
      <c r="F4700" t="s">
        <v>16</v>
      </c>
      <c r="G4700" t="s">
        <v>17</v>
      </c>
      <c r="H4700" t="s">
        <v>18</v>
      </c>
      <c r="I4700">
        <v>64.048000000000002</v>
      </c>
      <c r="J4700" t="s">
        <v>19</v>
      </c>
      <c r="K4700" t="s">
        <v>6429</v>
      </c>
      <c r="L4700" t="s">
        <v>21</v>
      </c>
    </row>
    <row r="4701" spans="1:12">
      <c r="A4701" t="s">
        <v>6430</v>
      </c>
      <c r="B4701" t="s">
        <v>6404</v>
      </c>
      <c r="C4701" t="s">
        <v>130</v>
      </c>
      <c r="D4701">
        <v>1982</v>
      </c>
      <c r="E4701" t="s">
        <v>23</v>
      </c>
      <c r="F4701" t="s">
        <v>24</v>
      </c>
      <c r="G4701" t="s">
        <v>25</v>
      </c>
      <c r="H4701" t="s">
        <v>26</v>
      </c>
      <c r="I4701">
        <v>6734098</v>
      </c>
      <c r="J4701" t="s">
        <v>27</v>
      </c>
      <c r="K4701" t="s">
        <v>6429</v>
      </c>
      <c r="L4701" t="s">
        <v>21</v>
      </c>
    </row>
    <row r="4702" spans="1:12">
      <c r="A4702" t="s">
        <v>6431</v>
      </c>
      <c r="B4702" t="s">
        <v>6404</v>
      </c>
      <c r="C4702" t="s">
        <v>130</v>
      </c>
      <c r="D4702">
        <v>1982</v>
      </c>
      <c r="E4702" t="s">
        <v>29</v>
      </c>
      <c r="F4702" t="s">
        <v>30</v>
      </c>
      <c r="G4702" t="s">
        <v>31</v>
      </c>
      <c r="H4702" t="s">
        <v>32</v>
      </c>
      <c r="I4702">
        <v>3560.233174</v>
      </c>
      <c r="J4702" t="s">
        <v>33</v>
      </c>
      <c r="K4702" t="s">
        <v>6429</v>
      </c>
      <c r="L4702" t="s">
        <v>21</v>
      </c>
    </row>
    <row r="4703" spans="1:12">
      <c r="A4703" t="s">
        <v>6432</v>
      </c>
      <c r="B4703" t="s">
        <v>6404</v>
      </c>
      <c r="C4703" t="s">
        <v>130</v>
      </c>
      <c r="D4703">
        <v>1987</v>
      </c>
      <c r="E4703" t="s">
        <v>15</v>
      </c>
      <c r="F4703" t="s">
        <v>16</v>
      </c>
      <c r="G4703" t="s">
        <v>17</v>
      </c>
      <c r="H4703" t="s">
        <v>18</v>
      </c>
      <c r="I4703">
        <v>66.893999999999906</v>
      </c>
      <c r="J4703" t="s">
        <v>19</v>
      </c>
      <c r="K4703" t="s">
        <v>6433</v>
      </c>
      <c r="L4703" t="s">
        <v>21</v>
      </c>
    </row>
    <row r="4704" spans="1:12">
      <c r="A4704" t="s">
        <v>6434</v>
      </c>
      <c r="B4704" t="s">
        <v>6404</v>
      </c>
      <c r="C4704" t="s">
        <v>130</v>
      </c>
      <c r="D4704">
        <v>1987</v>
      </c>
      <c r="E4704" t="s">
        <v>23</v>
      </c>
      <c r="F4704" t="s">
        <v>24</v>
      </c>
      <c r="G4704" t="s">
        <v>25</v>
      </c>
      <c r="H4704" t="s">
        <v>26</v>
      </c>
      <c r="I4704">
        <v>7724976</v>
      </c>
      <c r="J4704" t="s">
        <v>27</v>
      </c>
      <c r="K4704" t="s">
        <v>6433</v>
      </c>
      <c r="L4704" t="s">
        <v>21</v>
      </c>
    </row>
    <row r="4705" spans="1:12">
      <c r="A4705" t="s">
        <v>6435</v>
      </c>
      <c r="B4705" t="s">
        <v>6404</v>
      </c>
      <c r="C4705" t="s">
        <v>130</v>
      </c>
      <c r="D4705">
        <v>1987</v>
      </c>
      <c r="E4705" t="s">
        <v>29</v>
      </c>
      <c r="F4705" t="s">
        <v>30</v>
      </c>
      <c r="G4705" t="s">
        <v>31</v>
      </c>
      <c r="H4705" t="s">
        <v>32</v>
      </c>
      <c r="I4705">
        <v>3810.419296</v>
      </c>
      <c r="J4705" t="s">
        <v>33</v>
      </c>
      <c r="K4705" t="s">
        <v>6433</v>
      </c>
      <c r="L4705" t="s">
        <v>21</v>
      </c>
    </row>
    <row r="4706" spans="1:12">
      <c r="A4706" t="s">
        <v>6436</v>
      </c>
      <c r="B4706" t="s">
        <v>6404</v>
      </c>
      <c r="C4706" t="s">
        <v>130</v>
      </c>
      <c r="D4706">
        <v>1992</v>
      </c>
      <c r="E4706" t="s">
        <v>15</v>
      </c>
      <c r="F4706" t="s">
        <v>16</v>
      </c>
      <c r="G4706" t="s">
        <v>17</v>
      </c>
      <c r="H4706" t="s">
        <v>18</v>
      </c>
      <c r="I4706">
        <v>70.001000000000005</v>
      </c>
      <c r="J4706" t="s">
        <v>19</v>
      </c>
      <c r="K4706" t="s">
        <v>6437</v>
      </c>
      <c r="L4706" t="s">
        <v>21</v>
      </c>
    </row>
    <row r="4707" spans="1:12">
      <c r="A4707" t="s">
        <v>6438</v>
      </c>
      <c r="B4707" t="s">
        <v>6404</v>
      </c>
      <c r="C4707" t="s">
        <v>130</v>
      </c>
      <c r="D4707">
        <v>1992</v>
      </c>
      <c r="E4707" t="s">
        <v>23</v>
      </c>
      <c r="F4707" t="s">
        <v>24</v>
      </c>
      <c r="G4707" t="s">
        <v>25</v>
      </c>
      <c r="H4707" t="s">
        <v>26</v>
      </c>
      <c r="I4707">
        <v>8523077</v>
      </c>
      <c r="J4707" t="s">
        <v>27</v>
      </c>
      <c r="K4707" t="s">
        <v>6437</v>
      </c>
      <c r="L4707" t="s">
        <v>21</v>
      </c>
    </row>
    <row r="4708" spans="1:12">
      <c r="A4708" t="s">
        <v>6439</v>
      </c>
      <c r="B4708" t="s">
        <v>6404</v>
      </c>
      <c r="C4708" t="s">
        <v>130</v>
      </c>
      <c r="D4708">
        <v>1992</v>
      </c>
      <c r="E4708" t="s">
        <v>29</v>
      </c>
      <c r="F4708" t="s">
        <v>30</v>
      </c>
      <c r="G4708" t="s">
        <v>31</v>
      </c>
      <c r="H4708" t="s">
        <v>32</v>
      </c>
      <c r="I4708">
        <v>4332.7201640000003</v>
      </c>
      <c r="J4708" t="s">
        <v>33</v>
      </c>
      <c r="K4708" t="s">
        <v>6437</v>
      </c>
      <c r="L4708" t="s">
        <v>21</v>
      </c>
    </row>
    <row r="4709" spans="1:12">
      <c r="A4709" t="s">
        <v>6440</v>
      </c>
      <c r="B4709" t="s">
        <v>6404</v>
      </c>
      <c r="C4709" t="s">
        <v>130</v>
      </c>
      <c r="D4709">
        <v>1997</v>
      </c>
      <c r="E4709" t="s">
        <v>15</v>
      </c>
      <c r="F4709" t="s">
        <v>16</v>
      </c>
      <c r="G4709" t="s">
        <v>17</v>
      </c>
      <c r="H4709" t="s">
        <v>18</v>
      </c>
      <c r="I4709">
        <v>71.972999999999999</v>
      </c>
      <c r="J4709" t="s">
        <v>19</v>
      </c>
      <c r="K4709" t="s">
        <v>6441</v>
      </c>
      <c r="L4709" t="s">
        <v>21</v>
      </c>
    </row>
    <row r="4710" spans="1:12">
      <c r="A4710" t="s">
        <v>6442</v>
      </c>
      <c r="B4710" t="s">
        <v>6404</v>
      </c>
      <c r="C4710" t="s">
        <v>130</v>
      </c>
      <c r="D4710">
        <v>1997</v>
      </c>
      <c r="E4710" t="s">
        <v>23</v>
      </c>
      <c r="F4710" t="s">
        <v>24</v>
      </c>
      <c r="G4710" t="s">
        <v>25</v>
      </c>
      <c r="H4710" t="s">
        <v>26</v>
      </c>
      <c r="I4710">
        <v>9231669</v>
      </c>
      <c r="J4710" t="s">
        <v>27</v>
      </c>
      <c r="K4710" t="s">
        <v>6441</v>
      </c>
      <c r="L4710" t="s">
        <v>21</v>
      </c>
    </row>
    <row r="4711" spans="1:12">
      <c r="A4711" t="s">
        <v>6443</v>
      </c>
      <c r="B4711" t="s">
        <v>6404</v>
      </c>
      <c r="C4711" t="s">
        <v>130</v>
      </c>
      <c r="D4711">
        <v>1997</v>
      </c>
      <c r="E4711" t="s">
        <v>29</v>
      </c>
      <c r="F4711" t="s">
        <v>30</v>
      </c>
      <c r="G4711" t="s">
        <v>31</v>
      </c>
      <c r="H4711" t="s">
        <v>32</v>
      </c>
      <c r="I4711">
        <v>4876.7986140000003</v>
      </c>
      <c r="J4711" t="s">
        <v>33</v>
      </c>
      <c r="K4711" t="s">
        <v>6441</v>
      </c>
      <c r="L4711" t="s">
        <v>21</v>
      </c>
    </row>
    <row r="4712" spans="1:12">
      <c r="A4712" t="s">
        <v>6444</v>
      </c>
      <c r="B4712" t="s">
        <v>6404</v>
      </c>
      <c r="C4712" t="s">
        <v>130</v>
      </c>
      <c r="D4712">
        <v>2002</v>
      </c>
      <c r="E4712" t="s">
        <v>15</v>
      </c>
      <c r="F4712" t="s">
        <v>16</v>
      </c>
      <c r="G4712" t="s">
        <v>17</v>
      </c>
      <c r="H4712" t="s">
        <v>18</v>
      </c>
      <c r="I4712">
        <v>73.042000000000002</v>
      </c>
      <c r="J4712" t="s">
        <v>19</v>
      </c>
      <c r="K4712" t="s">
        <v>6445</v>
      </c>
      <c r="L4712" t="s">
        <v>21</v>
      </c>
    </row>
    <row r="4713" spans="1:12">
      <c r="A4713" t="s">
        <v>6446</v>
      </c>
      <c r="B4713" t="s">
        <v>6404</v>
      </c>
      <c r="C4713" t="s">
        <v>130</v>
      </c>
      <c r="D4713">
        <v>2002</v>
      </c>
      <c r="E4713" t="s">
        <v>23</v>
      </c>
      <c r="F4713" t="s">
        <v>24</v>
      </c>
      <c r="G4713" t="s">
        <v>25</v>
      </c>
      <c r="H4713" t="s">
        <v>26</v>
      </c>
      <c r="I4713">
        <v>9770575</v>
      </c>
      <c r="J4713" t="s">
        <v>27</v>
      </c>
      <c r="K4713" t="s">
        <v>6445</v>
      </c>
      <c r="L4713" t="s">
        <v>21</v>
      </c>
    </row>
    <row r="4714" spans="1:12">
      <c r="A4714" t="s">
        <v>6447</v>
      </c>
      <c r="B4714" t="s">
        <v>6404</v>
      </c>
      <c r="C4714" t="s">
        <v>130</v>
      </c>
      <c r="D4714">
        <v>2002</v>
      </c>
      <c r="E4714" t="s">
        <v>29</v>
      </c>
      <c r="F4714" t="s">
        <v>30</v>
      </c>
      <c r="G4714" t="s">
        <v>31</v>
      </c>
      <c r="H4714" t="s">
        <v>32</v>
      </c>
      <c r="I4714">
        <v>5722.8956549999903</v>
      </c>
      <c r="J4714" t="s">
        <v>33</v>
      </c>
      <c r="K4714" t="s">
        <v>6445</v>
      </c>
      <c r="L4714" t="s">
        <v>21</v>
      </c>
    </row>
    <row r="4715" spans="1:12">
      <c r="A4715" t="s">
        <v>6448</v>
      </c>
      <c r="B4715" t="s">
        <v>6404</v>
      </c>
      <c r="C4715" t="s">
        <v>130</v>
      </c>
      <c r="D4715">
        <v>2007</v>
      </c>
      <c r="E4715" t="s">
        <v>15</v>
      </c>
      <c r="F4715" t="s">
        <v>16</v>
      </c>
      <c r="G4715" t="s">
        <v>17</v>
      </c>
      <c r="H4715" t="s">
        <v>18</v>
      </c>
      <c r="I4715">
        <v>73.923000000000002</v>
      </c>
      <c r="J4715" t="s">
        <v>19</v>
      </c>
      <c r="K4715" t="s">
        <v>6449</v>
      </c>
      <c r="L4715" t="s">
        <v>21</v>
      </c>
    </row>
    <row r="4716" spans="1:12">
      <c r="A4716" t="s">
        <v>6450</v>
      </c>
      <c r="B4716" t="s">
        <v>6404</v>
      </c>
      <c r="C4716" t="s">
        <v>130</v>
      </c>
      <c r="D4716">
        <v>2007</v>
      </c>
      <c r="E4716" t="s">
        <v>23</v>
      </c>
      <c r="F4716" t="s">
        <v>24</v>
      </c>
      <c r="G4716" t="s">
        <v>25</v>
      </c>
      <c r="H4716" t="s">
        <v>26</v>
      </c>
      <c r="I4716">
        <v>10276158</v>
      </c>
      <c r="J4716" t="s">
        <v>27</v>
      </c>
      <c r="K4716" t="s">
        <v>6449</v>
      </c>
      <c r="L4716" t="s">
        <v>21</v>
      </c>
    </row>
    <row r="4717" spans="1:12">
      <c r="A4717" t="s">
        <v>6451</v>
      </c>
      <c r="B4717" t="s">
        <v>6404</v>
      </c>
      <c r="C4717" t="s">
        <v>130</v>
      </c>
      <c r="D4717">
        <v>2007</v>
      </c>
      <c r="E4717" t="s">
        <v>29</v>
      </c>
      <c r="F4717" t="s">
        <v>30</v>
      </c>
      <c r="G4717" t="s">
        <v>31</v>
      </c>
      <c r="H4717" t="s">
        <v>32</v>
      </c>
      <c r="I4717">
        <v>7092.9230250000001</v>
      </c>
      <c r="J4717" t="s">
        <v>33</v>
      </c>
      <c r="K4717" t="s">
        <v>6449</v>
      </c>
      <c r="L4717" t="s">
        <v>21</v>
      </c>
    </row>
    <row r="4718" spans="1:12">
      <c r="A4718" t="s">
        <v>6452</v>
      </c>
      <c r="B4718" t="s">
        <v>6453</v>
      </c>
      <c r="C4718" t="s">
        <v>80</v>
      </c>
      <c r="D4718">
        <v>1952</v>
      </c>
      <c r="E4718" t="s">
        <v>15</v>
      </c>
      <c r="F4718" t="s">
        <v>16</v>
      </c>
      <c r="G4718" t="s">
        <v>17</v>
      </c>
      <c r="H4718" t="s">
        <v>18</v>
      </c>
      <c r="I4718">
        <v>43.585000000000001</v>
      </c>
      <c r="J4718" t="s">
        <v>19</v>
      </c>
      <c r="K4718" t="s">
        <v>6454</v>
      </c>
      <c r="L4718" t="s">
        <v>21</v>
      </c>
    </row>
    <row r="4719" spans="1:12">
      <c r="A4719" t="s">
        <v>6455</v>
      </c>
      <c r="B4719" t="s">
        <v>6453</v>
      </c>
      <c r="C4719" t="s">
        <v>80</v>
      </c>
      <c r="D4719">
        <v>1952</v>
      </c>
      <c r="E4719" t="s">
        <v>23</v>
      </c>
      <c r="F4719" t="s">
        <v>24</v>
      </c>
      <c r="G4719" t="s">
        <v>25</v>
      </c>
      <c r="H4719" t="s">
        <v>26</v>
      </c>
      <c r="I4719">
        <v>22235677</v>
      </c>
      <c r="J4719" t="s">
        <v>27</v>
      </c>
      <c r="K4719" t="s">
        <v>6454</v>
      </c>
      <c r="L4719" t="s">
        <v>21</v>
      </c>
    </row>
    <row r="4720" spans="1:12">
      <c r="A4720" t="s">
        <v>6456</v>
      </c>
      <c r="B4720" t="s">
        <v>6453</v>
      </c>
      <c r="C4720" t="s">
        <v>80</v>
      </c>
      <c r="D4720">
        <v>1952</v>
      </c>
      <c r="E4720" t="s">
        <v>29</v>
      </c>
      <c r="F4720" t="s">
        <v>30</v>
      </c>
      <c r="G4720" t="s">
        <v>31</v>
      </c>
      <c r="H4720" t="s">
        <v>32</v>
      </c>
      <c r="I4720">
        <v>1969.1009799999999</v>
      </c>
      <c r="J4720" t="s">
        <v>33</v>
      </c>
      <c r="K4720" t="s">
        <v>6454</v>
      </c>
      <c r="L4720" t="s">
        <v>21</v>
      </c>
    </row>
    <row r="4721" spans="1:12">
      <c r="A4721" t="s">
        <v>6457</v>
      </c>
      <c r="B4721" t="s">
        <v>6453</v>
      </c>
      <c r="C4721" t="s">
        <v>80</v>
      </c>
      <c r="D4721">
        <v>1957</v>
      </c>
      <c r="E4721" t="s">
        <v>15</v>
      </c>
      <c r="F4721" t="s">
        <v>16</v>
      </c>
      <c r="G4721" t="s">
        <v>17</v>
      </c>
      <c r="H4721" t="s">
        <v>18</v>
      </c>
      <c r="I4721">
        <v>48.078999999999901</v>
      </c>
      <c r="J4721" t="s">
        <v>19</v>
      </c>
      <c r="K4721" t="s">
        <v>6458</v>
      </c>
      <c r="L4721" t="s">
        <v>21</v>
      </c>
    </row>
    <row r="4722" spans="1:12">
      <c r="A4722" t="s">
        <v>6459</v>
      </c>
      <c r="B4722" t="s">
        <v>6453</v>
      </c>
      <c r="C4722" t="s">
        <v>80</v>
      </c>
      <c r="D4722">
        <v>1957</v>
      </c>
      <c r="E4722" t="s">
        <v>23</v>
      </c>
      <c r="F4722" t="s">
        <v>24</v>
      </c>
      <c r="G4722" t="s">
        <v>25</v>
      </c>
      <c r="H4722" t="s">
        <v>26</v>
      </c>
      <c r="I4722">
        <v>25670939</v>
      </c>
      <c r="J4722" t="s">
        <v>27</v>
      </c>
      <c r="K4722" t="s">
        <v>6458</v>
      </c>
      <c r="L4722" t="s">
        <v>21</v>
      </c>
    </row>
    <row r="4723" spans="1:12">
      <c r="A4723" t="s">
        <v>6460</v>
      </c>
      <c r="B4723" t="s">
        <v>6453</v>
      </c>
      <c r="C4723" t="s">
        <v>80</v>
      </c>
      <c r="D4723">
        <v>1957</v>
      </c>
      <c r="E4723" t="s">
        <v>29</v>
      </c>
      <c r="F4723" t="s">
        <v>30</v>
      </c>
      <c r="G4723" t="s">
        <v>31</v>
      </c>
      <c r="H4723" t="s">
        <v>32</v>
      </c>
      <c r="I4723">
        <v>2218.7542570000001</v>
      </c>
      <c r="J4723" t="s">
        <v>33</v>
      </c>
      <c r="K4723" t="s">
        <v>6458</v>
      </c>
      <c r="L4723" t="s">
        <v>21</v>
      </c>
    </row>
    <row r="4724" spans="1:12">
      <c r="A4724" t="s">
        <v>6461</v>
      </c>
      <c r="B4724" t="s">
        <v>6453</v>
      </c>
      <c r="C4724" t="s">
        <v>80</v>
      </c>
      <c r="D4724">
        <v>1962</v>
      </c>
      <c r="E4724" t="s">
        <v>15</v>
      </c>
      <c r="F4724" t="s">
        <v>16</v>
      </c>
      <c r="G4724" t="s">
        <v>17</v>
      </c>
      <c r="H4724" t="s">
        <v>18</v>
      </c>
      <c r="I4724">
        <v>52.097999999999999</v>
      </c>
      <c r="J4724" t="s">
        <v>19</v>
      </c>
      <c r="K4724" t="s">
        <v>6462</v>
      </c>
      <c r="L4724" t="s">
        <v>21</v>
      </c>
    </row>
    <row r="4725" spans="1:12">
      <c r="A4725" t="s">
        <v>6463</v>
      </c>
      <c r="B4725" t="s">
        <v>6453</v>
      </c>
      <c r="C4725" t="s">
        <v>80</v>
      </c>
      <c r="D4725">
        <v>1962</v>
      </c>
      <c r="E4725" t="s">
        <v>23</v>
      </c>
      <c r="F4725" t="s">
        <v>24</v>
      </c>
      <c r="G4725" t="s">
        <v>25</v>
      </c>
      <c r="H4725" t="s">
        <v>26</v>
      </c>
      <c r="I4725">
        <v>29788695</v>
      </c>
      <c r="J4725" t="s">
        <v>27</v>
      </c>
      <c r="K4725" t="s">
        <v>6462</v>
      </c>
      <c r="L4725" t="s">
        <v>21</v>
      </c>
    </row>
    <row r="4726" spans="1:12">
      <c r="A4726" t="s">
        <v>6464</v>
      </c>
      <c r="B4726" t="s">
        <v>6453</v>
      </c>
      <c r="C4726" t="s">
        <v>80</v>
      </c>
      <c r="D4726">
        <v>1962</v>
      </c>
      <c r="E4726" t="s">
        <v>29</v>
      </c>
      <c r="F4726" t="s">
        <v>30</v>
      </c>
      <c r="G4726" t="s">
        <v>31</v>
      </c>
      <c r="H4726" t="s">
        <v>32</v>
      </c>
      <c r="I4726">
        <v>2322.8699080000001</v>
      </c>
      <c r="J4726" t="s">
        <v>33</v>
      </c>
      <c r="K4726" t="s">
        <v>6462</v>
      </c>
      <c r="L4726" t="s">
        <v>21</v>
      </c>
    </row>
    <row r="4727" spans="1:12">
      <c r="A4727" t="s">
        <v>6465</v>
      </c>
      <c r="B4727" t="s">
        <v>6453</v>
      </c>
      <c r="C4727" t="s">
        <v>80</v>
      </c>
      <c r="D4727">
        <v>1967</v>
      </c>
      <c r="E4727" t="s">
        <v>15</v>
      </c>
      <c r="F4727" t="s">
        <v>16</v>
      </c>
      <c r="G4727" t="s">
        <v>17</v>
      </c>
      <c r="H4727" t="s">
        <v>18</v>
      </c>
      <c r="I4727">
        <v>54.335999999999999</v>
      </c>
      <c r="J4727" t="s">
        <v>19</v>
      </c>
      <c r="K4727" t="s">
        <v>6466</v>
      </c>
      <c r="L4727" t="s">
        <v>21</v>
      </c>
    </row>
    <row r="4728" spans="1:12">
      <c r="A4728" t="s">
        <v>6467</v>
      </c>
      <c r="B4728" t="s">
        <v>6453</v>
      </c>
      <c r="C4728" t="s">
        <v>80</v>
      </c>
      <c r="D4728">
        <v>1967</v>
      </c>
      <c r="E4728" t="s">
        <v>23</v>
      </c>
      <c r="F4728" t="s">
        <v>24</v>
      </c>
      <c r="G4728" t="s">
        <v>25</v>
      </c>
      <c r="H4728" t="s">
        <v>26</v>
      </c>
      <c r="I4728">
        <v>33411317</v>
      </c>
      <c r="J4728" t="s">
        <v>27</v>
      </c>
      <c r="K4728" t="s">
        <v>6466</v>
      </c>
      <c r="L4728" t="s">
        <v>21</v>
      </c>
    </row>
    <row r="4729" spans="1:12">
      <c r="A4729" t="s">
        <v>6468</v>
      </c>
      <c r="B4729" t="s">
        <v>6453</v>
      </c>
      <c r="C4729" t="s">
        <v>80</v>
      </c>
      <c r="D4729">
        <v>1967</v>
      </c>
      <c r="E4729" t="s">
        <v>29</v>
      </c>
      <c r="F4729" t="s">
        <v>30</v>
      </c>
      <c r="G4729" t="s">
        <v>31</v>
      </c>
      <c r="H4729" t="s">
        <v>32</v>
      </c>
      <c r="I4729">
        <v>2826.3563869999998</v>
      </c>
      <c r="J4729" t="s">
        <v>33</v>
      </c>
      <c r="K4729" t="s">
        <v>6466</v>
      </c>
      <c r="L4729" t="s">
        <v>21</v>
      </c>
    </row>
    <row r="4730" spans="1:12">
      <c r="A4730" t="s">
        <v>6469</v>
      </c>
      <c r="B4730" t="s">
        <v>6453</v>
      </c>
      <c r="C4730" t="s">
        <v>80</v>
      </c>
      <c r="D4730">
        <v>1972</v>
      </c>
      <c r="E4730" t="s">
        <v>15</v>
      </c>
      <c r="F4730" t="s">
        <v>16</v>
      </c>
      <c r="G4730" t="s">
        <v>17</v>
      </c>
      <c r="H4730" t="s">
        <v>18</v>
      </c>
      <c r="I4730">
        <v>57.005000000000003</v>
      </c>
      <c r="J4730" t="s">
        <v>19</v>
      </c>
      <c r="K4730" t="s">
        <v>6470</v>
      </c>
      <c r="L4730" t="s">
        <v>21</v>
      </c>
    </row>
    <row r="4731" spans="1:12">
      <c r="A4731" t="s">
        <v>6471</v>
      </c>
      <c r="B4731" t="s">
        <v>6453</v>
      </c>
      <c r="C4731" t="s">
        <v>80</v>
      </c>
      <c r="D4731">
        <v>1972</v>
      </c>
      <c r="E4731" t="s">
        <v>23</v>
      </c>
      <c r="F4731" t="s">
        <v>24</v>
      </c>
      <c r="G4731" t="s">
        <v>25</v>
      </c>
      <c r="H4731" t="s">
        <v>26</v>
      </c>
      <c r="I4731">
        <v>37492953</v>
      </c>
      <c r="J4731" t="s">
        <v>27</v>
      </c>
      <c r="K4731" t="s">
        <v>6470</v>
      </c>
      <c r="L4731" t="s">
        <v>21</v>
      </c>
    </row>
    <row r="4732" spans="1:12">
      <c r="A4732" t="s">
        <v>6472</v>
      </c>
      <c r="B4732" t="s">
        <v>6453</v>
      </c>
      <c r="C4732" t="s">
        <v>80</v>
      </c>
      <c r="D4732">
        <v>1972</v>
      </c>
      <c r="E4732" t="s">
        <v>29</v>
      </c>
      <c r="F4732" t="s">
        <v>30</v>
      </c>
      <c r="G4732" t="s">
        <v>31</v>
      </c>
      <c r="H4732" t="s">
        <v>32</v>
      </c>
      <c r="I4732">
        <v>3450.6963799999999</v>
      </c>
      <c r="J4732" t="s">
        <v>33</v>
      </c>
      <c r="K4732" t="s">
        <v>6470</v>
      </c>
      <c r="L4732" t="s">
        <v>21</v>
      </c>
    </row>
    <row r="4733" spans="1:12">
      <c r="A4733" t="s">
        <v>6473</v>
      </c>
      <c r="B4733" t="s">
        <v>6453</v>
      </c>
      <c r="C4733" t="s">
        <v>80</v>
      </c>
      <c r="D4733">
        <v>1977</v>
      </c>
      <c r="E4733" t="s">
        <v>15</v>
      </c>
      <c r="F4733" t="s">
        <v>16</v>
      </c>
      <c r="G4733" t="s">
        <v>17</v>
      </c>
      <c r="H4733" t="s">
        <v>18</v>
      </c>
      <c r="I4733">
        <v>59.506999999999998</v>
      </c>
      <c r="J4733" t="s">
        <v>19</v>
      </c>
      <c r="K4733" t="s">
        <v>6474</v>
      </c>
      <c r="L4733" t="s">
        <v>21</v>
      </c>
    </row>
    <row r="4734" spans="1:12">
      <c r="A4734" t="s">
        <v>6475</v>
      </c>
      <c r="B4734" t="s">
        <v>6453</v>
      </c>
      <c r="C4734" t="s">
        <v>80</v>
      </c>
      <c r="D4734">
        <v>1977</v>
      </c>
      <c r="E4734" t="s">
        <v>23</v>
      </c>
      <c r="F4734" t="s">
        <v>24</v>
      </c>
      <c r="G4734" t="s">
        <v>25</v>
      </c>
      <c r="H4734" t="s">
        <v>26</v>
      </c>
      <c r="I4734">
        <v>42404033</v>
      </c>
      <c r="J4734" t="s">
        <v>27</v>
      </c>
      <c r="K4734" t="s">
        <v>6474</v>
      </c>
      <c r="L4734" t="s">
        <v>21</v>
      </c>
    </row>
    <row r="4735" spans="1:12">
      <c r="A4735" t="s">
        <v>6476</v>
      </c>
      <c r="B4735" t="s">
        <v>6453</v>
      </c>
      <c r="C4735" t="s">
        <v>80</v>
      </c>
      <c r="D4735">
        <v>1977</v>
      </c>
      <c r="E4735" t="s">
        <v>29</v>
      </c>
      <c r="F4735" t="s">
        <v>30</v>
      </c>
      <c r="G4735" t="s">
        <v>31</v>
      </c>
      <c r="H4735" t="s">
        <v>32</v>
      </c>
      <c r="I4735">
        <v>4269.1223259999997</v>
      </c>
      <c r="J4735" t="s">
        <v>33</v>
      </c>
      <c r="K4735" t="s">
        <v>6474</v>
      </c>
      <c r="L4735" t="s">
        <v>21</v>
      </c>
    </row>
    <row r="4736" spans="1:12">
      <c r="A4736" t="s">
        <v>6477</v>
      </c>
      <c r="B4736" t="s">
        <v>6453</v>
      </c>
      <c r="C4736" t="s">
        <v>80</v>
      </c>
      <c r="D4736">
        <v>1982</v>
      </c>
      <c r="E4736" t="s">
        <v>15</v>
      </c>
      <c r="F4736" t="s">
        <v>16</v>
      </c>
      <c r="G4736" t="s">
        <v>17</v>
      </c>
      <c r="H4736" t="s">
        <v>18</v>
      </c>
      <c r="I4736">
        <v>61.036000000000001</v>
      </c>
      <c r="J4736" t="s">
        <v>19</v>
      </c>
      <c r="K4736" t="s">
        <v>6478</v>
      </c>
      <c r="L4736" t="s">
        <v>21</v>
      </c>
    </row>
    <row r="4737" spans="1:12">
      <c r="A4737" t="s">
        <v>6479</v>
      </c>
      <c r="B4737" t="s">
        <v>6453</v>
      </c>
      <c r="C4737" t="s">
        <v>80</v>
      </c>
      <c r="D4737">
        <v>1982</v>
      </c>
      <c r="E4737" t="s">
        <v>23</v>
      </c>
      <c r="F4737" t="s">
        <v>24</v>
      </c>
      <c r="G4737" t="s">
        <v>25</v>
      </c>
      <c r="H4737" t="s">
        <v>26</v>
      </c>
      <c r="I4737">
        <v>47328791</v>
      </c>
      <c r="J4737" t="s">
        <v>27</v>
      </c>
      <c r="K4737" t="s">
        <v>6478</v>
      </c>
      <c r="L4737" t="s">
        <v>21</v>
      </c>
    </row>
    <row r="4738" spans="1:12">
      <c r="A4738" t="s">
        <v>6480</v>
      </c>
      <c r="B4738" t="s">
        <v>6453</v>
      </c>
      <c r="C4738" t="s">
        <v>80</v>
      </c>
      <c r="D4738">
        <v>1982</v>
      </c>
      <c r="E4738" t="s">
        <v>29</v>
      </c>
      <c r="F4738" t="s">
        <v>30</v>
      </c>
      <c r="G4738" t="s">
        <v>31</v>
      </c>
      <c r="H4738" t="s">
        <v>32</v>
      </c>
      <c r="I4738">
        <v>4241.3563439999998</v>
      </c>
      <c r="J4738" t="s">
        <v>33</v>
      </c>
      <c r="K4738" t="s">
        <v>6478</v>
      </c>
      <c r="L4738" t="s">
        <v>21</v>
      </c>
    </row>
    <row r="4739" spans="1:12">
      <c r="A4739" t="s">
        <v>6481</v>
      </c>
      <c r="B4739" t="s">
        <v>6453</v>
      </c>
      <c r="C4739" t="s">
        <v>80</v>
      </c>
      <c r="D4739">
        <v>1987</v>
      </c>
      <c r="E4739" t="s">
        <v>15</v>
      </c>
      <c r="F4739" t="s">
        <v>16</v>
      </c>
      <c r="G4739" t="s">
        <v>17</v>
      </c>
      <c r="H4739" t="s">
        <v>18</v>
      </c>
      <c r="I4739">
        <v>63.107999999999997</v>
      </c>
      <c r="J4739" t="s">
        <v>19</v>
      </c>
      <c r="K4739" t="s">
        <v>6482</v>
      </c>
      <c r="L4739" t="s">
        <v>21</v>
      </c>
    </row>
    <row r="4740" spans="1:12">
      <c r="A4740" t="s">
        <v>6483</v>
      </c>
      <c r="B4740" t="s">
        <v>6453</v>
      </c>
      <c r="C4740" t="s">
        <v>80</v>
      </c>
      <c r="D4740">
        <v>1987</v>
      </c>
      <c r="E4740" t="s">
        <v>23</v>
      </c>
      <c r="F4740" t="s">
        <v>24</v>
      </c>
      <c r="G4740" t="s">
        <v>25</v>
      </c>
      <c r="H4740" t="s">
        <v>26</v>
      </c>
      <c r="I4740">
        <v>52881328</v>
      </c>
      <c r="J4740" t="s">
        <v>27</v>
      </c>
      <c r="K4740" t="s">
        <v>6482</v>
      </c>
      <c r="L4740" t="s">
        <v>21</v>
      </c>
    </row>
    <row r="4741" spans="1:12">
      <c r="A4741" t="s">
        <v>6484</v>
      </c>
      <c r="B4741" t="s">
        <v>6453</v>
      </c>
      <c r="C4741" t="s">
        <v>80</v>
      </c>
      <c r="D4741">
        <v>1987</v>
      </c>
      <c r="E4741" t="s">
        <v>29</v>
      </c>
      <c r="F4741" t="s">
        <v>30</v>
      </c>
      <c r="G4741" t="s">
        <v>31</v>
      </c>
      <c r="H4741" t="s">
        <v>32</v>
      </c>
      <c r="I4741">
        <v>5089.043686</v>
      </c>
      <c r="J4741" t="s">
        <v>33</v>
      </c>
      <c r="K4741" t="s">
        <v>6482</v>
      </c>
      <c r="L4741" t="s">
        <v>21</v>
      </c>
    </row>
    <row r="4742" spans="1:12">
      <c r="A4742" t="s">
        <v>6485</v>
      </c>
      <c r="B4742" t="s">
        <v>6453</v>
      </c>
      <c r="C4742" t="s">
        <v>80</v>
      </c>
      <c r="D4742">
        <v>1992</v>
      </c>
      <c r="E4742" t="s">
        <v>15</v>
      </c>
      <c r="F4742" t="s">
        <v>16</v>
      </c>
      <c r="G4742" t="s">
        <v>17</v>
      </c>
      <c r="H4742" t="s">
        <v>18</v>
      </c>
      <c r="I4742">
        <v>66.146000000000001</v>
      </c>
      <c r="J4742" t="s">
        <v>19</v>
      </c>
      <c r="K4742" t="s">
        <v>6486</v>
      </c>
      <c r="L4742" t="s">
        <v>21</v>
      </c>
    </row>
    <row r="4743" spans="1:12">
      <c r="A4743" t="s">
        <v>6487</v>
      </c>
      <c r="B4743" t="s">
        <v>6453</v>
      </c>
      <c r="C4743" t="s">
        <v>80</v>
      </c>
      <c r="D4743">
        <v>1992</v>
      </c>
      <c r="E4743" t="s">
        <v>23</v>
      </c>
      <c r="F4743" t="s">
        <v>24</v>
      </c>
      <c r="G4743" t="s">
        <v>25</v>
      </c>
      <c r="H4743" t="s">
        <v>26</v>
      </c>
      <c r="I4743">
        <v>58179144</v>
      </c>
      <c r="J4743" t="s">
        <v>27</v>
      </c>
      <c r="K4743" t="s">
        <v>6486</v>
      </c>
      <c r="L4743" t="s">
        <v>21</v>
      </c>
    </row>
    <row r="4744" spans="1:12">
      <c r="A4744" t="s">
        <v>6488</v>
      </c>
      <c r="B4744" t="s">
        <v>6453</v>
      </c>
      <c r="C4744" t="s">
        <v>80</v>
      </c>
      <c r="D4744">
        <v>1992</v>
      </c>
      <c r="E4744" t="s">
        <v>29</v>
      </c>
      <c r="F4744" t="s">
        <v>30</v>
      </c>
      <c r="G4744" t="s">
        <v>31</v>
      </c>
      <c r="H4744" t="s">
        <v>32</v>
      </c>
      <c r="I4744">
        <v>5678.3482709999998</v>
      </c>
      <c r="J4744" t="s">
        <v>33</v>
      </c>
      <c r="K4744" t="s">
        <v>6486</v>
      </c>
      <c r="L4744" t="s">
        <v>21</v>
      </c>
    </row>
    <row r="4745" spans="1:12">
      <c r="A4745" t="s">
        <v>6489</v>
      </c>
      <c r="B4745" t="s">
        <v>6453</v>
      </c>
      <c r="C4745" t="s">
        <v>80</v>
      </c>
      <c r="D4745">
        <v>1997</v>
      </c>
      <c r="E4745" t="s">
        <v>15</v>
      </c>
      <c r="F4745" t="s">
        <v>16</v>
      </c>
      <c r="G4745" t="s">
        <v>17</v>
      </c>
      <c r="H4745" t="s">
        <v>18</v>
      </c>
      <c r="I4745">
        <v>68.834999999999994</v>
      </c>
      <c r="J4745" t="s">
        <v>19</v>
      </c>
      <c r="K4745" t="s">
        <v>6490</v>
      </c>
      <c r="L4745" t="s">
        <v>21</v>
      </c>
    </row>
    <row r="4746" spans="1:12">
      <c r="A4746" t="s">
        <v>6491</v>
      </c>
      <c r="B4746" t="s">
        <v>6453</v>
      </c>
      <c r="C4746" t="s">
        <v>80</v>
      </c>
      <c r="D4746">
        <v>1997</v>
      </c>
      <c r="E4746" t="s">
        <v>23</v>
      </c>
      <c r="F4746" t="s">
        <v>24</v>
      </c>
      <c r="G4746" t="s">
        <v>25</v>
      </c>
      <c r="H4746" t="s">
        <v>26</v>
      </c>
      <c r="I4746">
        <v>63047647</v>
      </c>
      <c r="J4746" t="s">
        <v>27</v>
      </c>
      <c r="K4746" t="s">
        <v>6490</v>
      </c>
      <c r="L4746" t="s">
        <v>21</v>
      </c>
    </row>
    <row r="4747" spans="1:12">
      <c r="A4747" t="s">
        <v>6492</v>
      </c>
      <c r="B4747" t="s">
        <v>6453</v>
      </c>
      <c r="C4747" t="s">
        <v>80</v>
      </c>
      <c r="D4747">
        <v>1997</v>
      </c>
      <c r="E4747" t="s">
        <v>29</v>
      </c>
      <c r="F4747" t="s">
        <v>30</v>
      </c>
      <c r="G4747" t="s">
        <v>31</v>
      </c>
      <c r="H4747" t="s">
        <v>32</v>
      </c>
      <c r="I4747">
        <v>6601.4299149999997</v>
      </c>
      <c r="J4747" t="s">
        <v>33</v>
      </c>
      <c r="K4747" t="s">
        <v>6490</v>
      </c>
      <c r="L4747" t="s">
        <v>21</v>
      </c>
    </row>
    <row r="4748" spans="1:12">
      <c r="A4748" t="s">
        <v>6493</v>
      </c>
      <c r="B4748" t="s">
        <v>6453</v>
      </c>
      <c r="C4748" t="s">
        <v>80</v>
      </c>
      <c r="D4748">
        <v>2002</v>
      </c>
      <c r="E4748" t="s">
        <v>15</v>
      </c>
      <c r="F4748" t="s">
        <v>16</v>
      </c>
      <c r="G4748" t="s">
        <v>17</v>
      </c>
      <c r="H4748" t="s">
        <v>18</v>
      </c>
      <c r="I4748">
        <v>70.844999999999999</v>
      </c>
      <c r="J4748" t="s">
        <v>19</v>
      </c>
      <c r="K4748" t="s">
        <v>6494</v>
      </c>
      <c r="L4748" t="s">
        <v>21</v>
      </c>
    </row>
    <row r="4749" spans="1:12">
      <c r="A4749" t="s">
        <v>6495</v>
      </c>
      <c r="B4749" t="s">
        <v>6453</v>
      </c>
      <c r="C4749" t="s">
        <v>80</v>
      </c>
      <c r="D4749">
        <v>2002</v>
      </c>
      <c r="E4749" t="s">
        <v>23</v>
      </c>
      <c r="F4749" t="s">
        <v>24</v>
      </c>
      <c r="G4749" t="s">
        <v>25</v>
      </c>
      <c r="H4749" t="s">
        <v>26</v>
      </c>
      <c r="I4749">
        <v>67308928</v>
      </c>
      <c r="J4749" t="s">
        <v>27</v>
      </c>
      <c r="K4749" t="s">
        <v>6494</v>
      </c>
      <c r="L4749" t="s">
        <v>21</v>
      </c>
    </row>
    <row r="4750" spans="1:12">
      <c r="A4750" t="s">
        <v>6496</v>
      </c>
      <c r="B4750" t="s">
        <v>6453</v>
      </c>
      <c r="C4750" t="s">
        <v>80</v>
      </c>
      <c r="D4750">
        <v>2002</v>
      </c>
      <c r="E4750" t="s">
        <v>29</v>
      </c>
      <c r="F4750" t="s">
        <v>30</v>
      </c>
      <c r="G4750" t="s">
        <v>31</v>
      </c>
      <c r="H4750" t="s">
        <v>32</v>
      </c>
      <c r="I4750">
        <v>6508.0857180000003</v>
      </c>
      <c r="J4750" t="s">
        <v>33</v>
      </c>
      <c r="K4750" t="s">
        <v>6494</v>
      </c>
      <c r="L4750" t="s">
        <v>21</v>
      </c>
    </row>
    <row r="4751" spans="1:12">
      <c r="A4751" t="s">
        <v>6497</v>
      </c>
      <c r="B4751" t="s">
        <v>6453</v>
      </c>
      <c r="C4751" t="s">
        <v>80</v>
      </c>
      <c r="D4751">
        <v>2007</v>
      </c>
      <c r="E4751" t="s">
        <v>15</v>
      </c>
      <c r="F4751" t="s">
        <v>16</v>
      </c>
      <c r="G4751" t="s">
        <v>17</v>
      </c>
      <c r="H4751" t="s">
        <v>18</v>
      </c>
      <c r="I4751">
        <v>71.777000000000001</v>
      </c>
      <c r="J4751" t="s">
        <v>19</v>
      </c>
      <c r="K4751" t="s">
        <v>6498</v>
      </c>
      <c r="L4751" t="s">
        <v>21</v>
      </c>
    </row>
    <row r="4752" spans="1:12">
      <c r="A4752" t="s">
        <v>6499</v>
      </c>
      <c r="B4752" t="s">
        <v>6453</v>
      </c>
      <c r="C4752" t="s">
        <v>80</v>
      </c>
      <c r="D4752">
        <v>2007</v>
      </c>
      <c r="E4752" t="s">
        <v>23</v>
      </c>
      <c r="F4752" t="s">
        <v>24</v>
      </c>
      <c r="G4752" t="s">
        <v>25</v>
      </c>
      <c r="H4752" t="s">
        <v>26</v>
      </c>
      <c r="I4752">
        <v>71158647</v>
      </c>
      <c r="J4752" t="s">
        <v>27</v>
      </c>
      <c r="K4752" t="s">
        <v>6498</v>
      </c>
      <c r="L4752" t="s">
        <v>21</v>
      </c>
    </row>
    <row r="4753" spans="1:12">
      <c r="A4753" t="s">
        <v>6500</v>
      </c>
      <c r="B4753" t="s">
        <v>6453</v>
      </c>
      <c r="C4753" t="s">
        <v>80</v>
      </c>
      <c r="D4753">
        <v>2007</v>
      </c>
      <c r="E4753" t="s">
        <v>29</v>
      </c>
      <c r="F4753" t="s">
        <v>30</v>
      </c>
      <c r="G4753" t="s">
        <v>31</v>
      </c>
      <c r="H4753" t="s">
        <v>32</v>
      </c>
      <c r="I4753">
        <v>8458.2763840000007</v>
      </c>
      <c r="J4753" t="s">
        <v>33</v>
      </c>
      <c r="K4753" t="s">
        <v>6498</v>
      </c>
      <c r="L4753" t="s">
        <v>21</v>
      </c>
    </row>
    <row r="4754" spans="1:12">
      <c r="A4754" t="s">
        <v>6501</v>
      </c>
      <c r="B4754" t="s">
        <v>6502</v>
      </c>
      <c r="C4754" t="s">
        <v>130</v>
      </c>
      <c r="D4754">
        <v>1952</v>
      </c>
      <c r="E4754" t="s">
        <v>15</v>
      </c>
      <c r="F4754" t="s">
        <v>16</v>
      </c>
      <c r="G4754" t="s">
        <v>17</v>
      </c>
      <c r="H4754" t="s">
        <v>18</v>
      </c>
      <c r="I4754">
        <v>39.978000000000002</v>
      </c>
      <c r="J4754" t="s">
        <v>19</v>
      </c>
      <c r="K4754" t="s">
        <v>6503</v>
      </c>
      <c r="L4754" t="s">
        <v>21</v>
      </c>
    </row>
    <row r="4755" spans="1:12">
      <c r="A4755" t="s">
        <v>6504</v>
      </c>
      <c r="B4755" t="s">
        <v>6502</v>
      </c>
      <c r="C4755" t="s">
        <v>130</v>
      </c>
      <c r="D4755">
        <v>1952</v>
      </c>
      <c r="E4755" t="s">
        <v>23</v>
      </c>
      <c r="F4755" t="s">
        <v>24</v>
      </c>
      <c r="G4755" t="s">
        <v>25</v>
      </c>
      <c r="H4755" t="s">
        <v>26</v>
      </c>
      <c r="I4755">
        <v>5824797</v>
      </c>
      <c r="J4755" t="s">
        <v>27</v>
      </c>
      <c r="K4755" t="s">
        <v>6503</v>
      </c>
      <c r="L4755" t="s">
        <v>21</v>
      </c>
    </row>
    <row r="4756" spans="1:12">
      <c r="A4756" t="s">
        <v>6505</v>
      </c>
      <c r="B4756" t="s">
        <v>6502</v>
      </c>
      <c r="C4756" t="s">
        <v>130</v>
      </c>
      <c r="D4756">
        <v>1952</v>
      </c>
      <c r="E4756" t="s">
        <v>29</v>
      </c>
      <c r="F4756" t="s">
        <v>30</v>
      </c>
      <c r="G4756" t="s">
        <v>31</v>
      </c>
      <c r="H4756" t="s">
        <v>32</v>
      </c>
      <c r="I4756">
        <v>734.75348399999996</v>
      </c>
      <c r="J4756" t="s">
        <v>33</v>
      </c>
      <c r="K4756" t="s">
        <v>6503</v>
      </c>
      <c r="L4756" t="s">
        <v>21</v>
      </c>
    </row>
    <row r="4757" spans="1:12">
      <c r="A4757" t="s">
        <v>6506</v>
      </c>
      <c r="B4757" t="s">
        <v>6502</v>
      </c>
      <c r="C4757" t="s">
        <v>130</v>
      </c>
      <c r="D4757">
        <v>1957</v>
      </c>
      <c r="E4757" t="s">
        <v>15</v>
      </c>
      <c r="F4757" t="s">
        <v>16</v>
      </c>
      <c r="G4757" t="s">
        <v>17</v>
      </c>
      <c r="H4757" t="s">
        <v>18</v>
      </c>
      <c r="I4757">
        <v>42.570999999999998</v>
      </c>
      <c r="J4757" t="s">
        <v>19</v>
      </c>
      <c r="K4757" t="s">
        <v>6507</v>
      </c>
      <c r="L4757" t="s">
        <v>21</v>
      </c>
    </row>
    <row r="4758" spans="1:12">
      <c r="A4758" t="s">
        <v>6508</v>
      </c>
      <c r="B4758" t="s">
        <v>6502</v>
      </c>
      <c r="C4758" t="s">
        <v>130</v>
      </c>
      <c r="D4758">
        <v>1957</v>
      </c>
      <c r="E4758" t="s">
        <v>23</v>
      </c>
      <c r="F4758" t="s">
        <v>24</v>
      </c>
      <c r="G4758" t="s">
        <v>25</v>
      </c>
      <c r="H4758" t="s">
        <v>26</v>
      </c>
      <c r="I4758">
        <v>6675501</v>
      </c>
      <c r="J4758" t="s">
        <v>27</v>
      </c>
      <c r="K4758" t="s">
        <v>6507</v>
      </c>
      <c r="L4758" t="s">
        <v>21</v>
      </c>
    </row>
    <row r="4759" spans="1:12">
      <c r="A4759" t="s">
        <v>6509</v>
      </c>
      <c r="B4759" t="s">
        <v>6502</v>
      </c>
      <c r="C4759" t="s">
        <v>130</v>
      </c>
      <c r="D4759">
        <v>1957</v>
      </c>
      <c r="E4759" t="s">
        <v>29</v>
      </c>
      <c r="F4759" t="s">
        <v>30</v>
      </c>
      <c r="G4759" t="s">
        <v>31</v>
      </c>
      <c r="H4759" t="s">
        <v>32</v>
      </c>
      <c r="I4759">
        <v>774.37106919999997</v>
      </c>
      <c r="J4759" t="s">
        <v>33</v>
      </c>
      <c r="K4759" t="s">
        <v>6507</v>
      </c>
      <c r="L4759" t="s">
        <v>21</v>
      </c>
    </row>
    <row r="4760" spans="1:12">
      <c r="A4760" t="s">
        <v>6510</v>
      </c>
      <c r="B4760" t="s">
        <v>6502</v>
      </c>
      <c r="C4760" t="s">
        <v>130</v>
      </c>
      <c r="D4760">
        <v>1962</v>
      </c>
      <c r="E4760" t="s">
        <v>15</v>
      </c>
      <c r="F4760" t="s">
        <v>16</v>
      </c>
      <c r="G4760" t="s">
        <v>17</v>
      </c>
      <c r="H4760" t="s">
        <v>18</v>
      </c>
      <c r="I4760">
        <v>45.344000000000001</v>
      </c>
      <c r="J4760" t="s">
        <v>19</v>
      </c>
      <c r="K4760" t="s">
        <v>6511</v>
      </c>
      <c r="L4760" t="s">
        <v>21</v>
      </c>
    </row>
    <row r="4761" spans="1:12">
      <c r="A4761" t="s">
        <v>6512</v>
      </c>
      <c r="B4761" t="s">
        <v>6502</v>
      </c>
      <c r="C4761" t="s">
        <v>130</v>
      </c>
      <c r="D4761">
        <v>1962</v>
      </c>
      <c r="E4761" t="s">
        <v>23</v>
      </c>
      <c r="F4761" t="s">
        <v>24</v>
      </c>
      <c r="G4761" t="s">
        <v>25</v>
      </c>
      <c r="H4761" t="s">
        <v>26</v>
      </c>
      <c r="I4761">
        <v>7688797</v>
      </c>
      <c r="J4761" t="s">
        <v>27</v>
      </c>
      <c r="K4761" t="s">
        <v>6511</v>
      </c>
      <c r="L4761" t="s">
        <v>21</v>
      </c>
    </row>
    <row r="4762" spans="1:12">
      <c r="A4762" t="s">
        <v>6513</v>
      </c>
      <c r="B4762" t="s">
        <v>6502</v>
      </c>
      <c r="C4762" t="s">
        <v>130</v>
      </c>
      <c r="D4762">
        <v>1962</v>
      </c>
      <c r="E4762" t="s">
        <v>29</v>
      </c>
      <c r="F4762" t="s">
        <v>30</v>
      </c>
      <c r="G4762" t="s">
        <v>31</v>
      </c>
      <c r="H4762" t="s">
        <v>32</v>
      </c>
      <c r="I4762">
        <v>767.27173979999895</v>
      </c>
      <c r="J4762" t="s">
        <v>33</v>
      </c>
      <c r="K4762" t="s">
        <v>6511</v>
      </c>
      <c r="L4762" t="s">
        <v>21</v>
      </c>
    </row>
    <row r="4763" spans="1:12">
      <c r="A4763" t="s">
        <v>6514</v>
      </c>
      <c r="B4763" t="s">
        <v>6502</v>
      </c>
      <c r="C4763" t="s">
        <v>130</v>
      </c>
      <c r="D4763">
        <v>1967</v>
      </c>
      <c r="E4763" t="s">
        <v>15</v>
      </c>
      <c r="F4763" t="s">
        <v>16</v>
      </c>
      <c r="G4763" t="s">
        <v>17</v>
      </c>
      <c r="H4763" t="s">
        <v>18</v>
      </c>
      <c r="I4763">
        <v>48.051000000000002</v>
      </c>
      <c r="J4763" t="s">
        <v>19</v>
      </c>
      <c r="K4763" t="s">
        <v>6515</v>
      </c>
      <c r="L4763" t="s">
        <v>21</v>
      </c>
    </row>
    <row r="4764" spans="1:12">
      <c r="A4764" t="s">
        <v>6516</v>
      </c>
      <c r="B4764" t="s">
        <v>6502</v>
      </c>
      <c r="C4764" t="s">
        <v>130</v>
      </c>
      <c r="D4764">
        <v>1967</v>
      </c>
      <c r="E4764" t="s">
        <v>23</v>
      </c>
      <c r="F4764" t="s">
        <v>24</v>
      </c>
      <c r="G4764" t="s">
        <v>25</v>
      </c>
      <c r="H4764" t="s">
        <v>26</v>
      </c>
      <c r="I4764">
        <v>8900294</v>
      </c>
      <c r="J4764" t="s">
        <v>27</v>
      </c>
      <c r="K4764" t="s">
        <v>6515</v>
      </c>
      <c r="L4764" t="s">
        <v>21</v>
      </c>
    </row>
    <row r="4765" spans="1:12">
      <c r="A4765" t="s">
        <v>6517</v>
      </c>
      <c r="B4765" t="s">
        <v>6502</v>
      </c>
      <c r="C4765" t="s">
        <v>130</v>
      </c>
      <c r="D4765">
        <v>1967</v>
      </c>
      <c r="E4765" t="s">
        <v>29</v>
      </c>
      <c r="F4765" t="s">
        <v>30</v>
      </c>
      <c r="G4765" t="s">
        <v>31</v>
      </c>
      <c r="H4765" t="s">
        <v>32</v>
      </c>
      <c r="I4765">
        <v>908.91852170000004</v>
      </c>
      <c r="J4765" t="s">
        <v>33</v>
      </c>
      <c r="K4765" t="s">
        <v>6515</v>
      </c>
      <c r="L4765" t="s">
        <v>21</v>
      </c>
    </row>
    <row r="4766" spans="1:12">
      <c r="A4766" t="s">
        <v>6518</v>
      </c>
      <c r="B4766" t="s">
        <v>6502</v>
      </c>
      <c r="C4766" t="s">
        <v>130</v>
      </c>
      <c r="D4766">
        <v>1972</v>
      </c>
      <c r="E4766" t="s">
        <v>15</v>
      </c>
      <c r="F4766" t="s">
        <v>16</v>
      </c>
      <c r="G4766" t="s">
        <v>17</v>
      </c>
      <c r="H4766" t="s">
        <v>18</v>
      </c>
      <c r="I4766">
        <v>51.015999999999998</v>
      </c>
      <c r="J4766" t="s">
        <v>19</v>
      </c>
      <c r="K4766" t="s">
        <v>6519</v>
      </c>
      <c r="L4766" t="s">
        <v>21</v>
      </c>
    </row>
    <row r="4767" spans="1:12">
      <c r="A4767" t="s">
        <v>6520</v>
      </c>
      <c r="B4767" t="s">
        <v>6502</v>
      </c>
      <c r="C4767" t="s">
        <v>130</v>
      </c>
      <c r="D4767">
        <v>1972</v>
      </c>
      <c r="E4767" t="s">
        <v>23</v>
      </c>
      <c r="F4767" t="s">
        <v>24</v>
      </c>
      <c r="G4767" t="s">
        <v>25</v>
      </c>
      <c r="H4767" t="s">
        <v>26</v>
      </c>
      <c r="I4767">
        <v>10190285</v>
      </c>
      <c r="J4767" t="s">
        <v>27</v>
      </c>
      <c r="K4767" t="s">
        <v>6519</v>
      </c>
      <c r="L4767" t="s">
        <v>21</v>
      </c>
    </row>
    <row r="4768" spans="1:12">
      <c r="A4768" t="s">
        <v>6521</v>
      </c>
      <c r="B4768" t="s">
        <v>6502</v>
      </c>
      <c r="C4768" t="s">
        <v>130</v>
      </c>
      <c r="D4768">
        <v>1972</v>
      </c>
      <c r="E4768" t="s">
        <v>29</v>
      </c>
      <c r="F4768" t="s">
        <v>30</v>
      </c>
      <c r="G4768" t="s">
        <v>31</v>
      </c>
      <c r="H4768" t="s">
        <v>32</v>
      </c>
      <c r="I4768">
        <v>950.73586899999998</v>
      </c>
      <c r="J4768" t="s">
        <v>33</v>
      </c>
      <c r="K4768" t="s">
        <v>6519</v>
      </c>
      <c r="L4768" t="s">
        <v>21</v>
      </c>
    </row>
    <row r="4769" spans="1:12">
      <c r="A4769" t="s">
        <v>6522</v>
      </c>
      <c r="B4769" t="s">
        <v>6502</v>
      </c>
      <c r="C4769" t="s">
        <v>130</v>
      </c>
      <c r="D4769">
        <v>1977</v>
      </c>
      <c r="E4769" t="s">
        <v>15</v>
      </c>
      <c r="F4769" t="s">
        <v>16</v>
      </c>
      <c r="G4769" t="s">
        <v>17</v>
      </c>
      <c r="H4769" t="s">
        <v>18</v>
      </c>
      <c r="I4769">
        <v>50.35</v>
      </c>
      <c r="J4769" t="s">
        <v>19</v>
      </c>
      <c r="K4769" t="s">
        <v>6523</v>
      </c>
      <c r="L4769" t="s">
        <v>21</v>
      </c>
    </row>
    <row r="4770" spans="1:12">
      <c r="A4770" t="s">
        <v>6524</v>
      </c>
      <c r="B4770" t="s">
        <v>6502</v>
      </c>
      <c r="C4770" t="s">
        <v>130</v>
      </c>
      <c r="D4770">
        <v>1977</v>
      </c>
      <c r="E4770" t="s">
        <v>23</v>
      </c>
      <c r="F4770" t="s">
        <v>24</v>
      </c>
      <c r="G4770" t="s">
        <v>25</v>
      </c>
      <c r="H4770" t="s">
        <v>26</v>
      </c>
      <c r="I4770">
        <v>11457758</v>
      </c>
      <c r="J4770" t="s">
        <v>27</v>
      </c>
      <c r="K4770" t="s">
        <v>6523</v>
      </c>
      <c r="L4770" t="s">
        <v>21</v>
      </c>
    </row>
    <row r="4771" spans="1:12">
      <c r="A4771" t="s">
        <v>6525</v>
      </c>
      <c r="B4771" t="s">
        <v>6502</v>
      </c>
      <c r="C4771" t="s">
        <v>130</v>
      </c>
      <c r="D4771">
        <v>1977</v>
      </c>
      <c r="E4771" t="s">
        <v>29</v>
      </c>
      <c r="F4771" t="s">
        <v>30</v>
      </c>
      <c r="G4771" t="s">
        <v>31</v>
      </c>
      <c r="H4771" t="s">
        <v>32</v>
      </c>
      <c r="I4771">
        <v>843.73313719999999</v>
      </c>
      <c r="J4771" t="s">
        <v>33</v>
      </c>
      <c r="K4771" t="s">
        <v>6523</v>
      </c>
      <c r="L4771" t="s">
        <v>21</v>
      </c>
    </row>
    <row r="4772" spans="1:12">
      <c r="A4772" t="s">
        <v>6526</v>
      </c>
      <c r="B4772" t="s">
        <v>6502</v>
      </c>
      <c r="C4772" t="s">
        <v>130</v>
      </c>
      <c r="D4772">
        <v>1982</v>
      </c>
      <c r="E4772" t="s">
        <v>15</v>
      </c>
      <c r="F4772" t="s">
        <v>16</v>
      </c>
      <c r="G4772" t="s">
        <v>17</v>
      </c>
      <c r="H4772" t="s">
        <v>18</v>
      </c>
      <c r="I4772">
        <v>49.848999999999997</v>
      </c>
      <c r="J4772" t="s">
        <v>19</v>
      </c>
      <c r="K4772" t="s">
        <v>6527</v>
      </c>
      <c r="L4772" t="s">
        <v>21</v>
      </c>
    </row>
    <row r="4773" spans="1:12">
      <c r="A4773" t="s">
        <v>6528</v>
      </c>
      <c r="B4773" t="s">
        <v>6502</v>
      </c>
      <c r="C4773" t="s">
        <v>130</v>
      </c>
      <c r="D4773">
        <v>1982</v>
      </c>
      <c r="E4773" t="s">
        <v>23</v>
      </c>
      <c r="F4773" t="s">
        <v>24</v>
      </c>
      <c r="G4773" t="s">
        <v>25</v>
      </c>
      <c r="H4773" t="s">
        <v>26</v>
      </c>
      <c r="I4773">
        <v>12939400</v>
      </c>
      <c r="J4773" t="s">
        <v>27</v>
      </c>
      <c r="K4773" t="s">
        <v>6527</v>
      </c>
      <c r="L4773" t="s">
        <v>21</v>
      </c>
    </row>
    <row r="4774" spans="1:12">
      <c r="A4774" t="s">
        <v>6529</v>
      </c>
      <c r="B4774" t="s">
        <v>6502</v>
      </c>
      <c r="C4774" t="s">
        <v>130</v>
      </c>
      <c r="D4774">
        <v>1982</v>
      </c>
      <c r="E4774" t="s">
        <v>29</v>
      </c>
      <c r="F4774" t="s">
        <v>30</v>
      </c>
      <c r="G4774" t="s">
        <v>31</v>
      </c>
      <c r="H4774" t="s">
        <v>32</v>
      </c>
      <c r="I4774">
        <v>682.266226799999</v>
      </c>
      <c r="J4774" t="s">
        <v>33</v>
      </c>
      <c r="K4774" t="s">
        <v>6527</v>
      </c>
      <c r="L4774" t="s">
        <v>21</v>
      </c>
    </row>
    <row r="4775" spans="1:12">
      <c r="A4775" t="s">
        <v>6530</v>
      </c>
      <c r="B4775" t="s">
        <v>6502</v>
      </c>
      <c r="C4775" t="s">
        <v>130</v>
      </c>
      <c r="D4775">
        <v>1987</v>
      </c>
      <c r="E4775" t="s">
        <v>15</v>
      </c>
      <c r="F4775" t="s">
        <v>16</v>
      </c>
      <c r="G4775" t="s">
        <v>17</v>
      </c>
      <c r="H4775" t="s">
        <v>18</v>
      </c>
      <c r="I4775">
        <v>51.508999999999901</v>
      </c>
      <c r="J4775" t="s">
        <v>19</v>
      </c>
      <c r="K4775" t="s">
        <v>6531</v>
      </c>
      <c r="L4775" t="s">
        <v>21</v>
      </c>
    </row>
    <row r="4776" spans="1:12">
      <c r="A4776" t="s">
        <v>6532</v>
      </c>
      <c r="B4776" t="s">
        <v>6502</v>
      </c>
      <c r="C4776" t="s">
        <v>130</v>
      </c>
      <c r="D4776">
        <v>1987</v>
      </c>
      <c r="E4776" t="s">
        <v>23</v>
      </c>
      <c r="F4776" t="s">
        <v>24</v>
      </c>
      <c r="G4776" t="s">
        <v>25</v>
      </c>
      <c r="H4776" t="s">
        <v>26</v>
      </c>
      <c r="I4776">
        <v>15283050</v>
      </c>
      <c r="J4776" t="s">
        <v>27</v>
      </c>
      <c r="K4776" t="s">
        <v>6531</v>
      </c>
      <c r="L4776" t="s">
        <v>21</v>
      </c>
    </row>
    <row r="4777" spans="1:12">
      <c r="A4777" t="s">
        <v>6533</v>
      </c>
      <c r="B4777" t="s">
        <v>6502</v>
      </c>
      <c r="C4777" t="s">
        <v>130</v>
      </c>
      <c r="D4777">
        <v>1987</v>
      </c>
      <c r="E4777" t="s">
        <v>29</v>
      </c>
      <c r="F4777" t="s">
        <v>30</v>
      </c>
      <c r="G4777" t="s">
        <v>31</v>
      </c>
      <c r="H4777" t="s">
        <v>32</v>
      </c>
      <c r="I4777">
        <v>617.72440649999999</v>
      </c>
      <c r="J4777" t="s">
        <v>33</v>
      </c>
      <c r="K4777" t="s">
        <v>6531</v>
      </c>
      <c r="L4777" t="s">
        <v>21</v>
      </c>
    </row>
    <row r="4778" spans="1:12">
      <c r="A4778" t="s">
        <v>6534</v>
      </c>
      <c r="B4778" t="s">
        <v>6502</v>
      </c>
      <c r="C4778" t="s">
        <v>130</v>
      </c>
      <c r="D4778">
        <v>1992</v>
      </c>
      <c r="E4778" t="s">
        <v>15</v>
      </c>
      <c r="F4778" t="s">
        <v>16</v>
      </c>
      <c r="G4778" t="s">
        <v>17</v>
      </c>
      <c r="H4778" t="s">
        <v>18</v>
      </c>
      <c r="I4778">
        <v>48.825000000000003</v>
      </c>
      <c r="J4778" t="s">
        <v>19</v>
      </c>
      <c r="K4778" t="s">
        <v>6535</v>
      </c>
      <c r="L4778" t="s">
        <v>21</v>
      </c>
    </row>
    <row r="4779" spans="1:12">
      <c r="A4779" t="s">
        <v>6536</v>
      </c>
      <c r="B4779" t="s">
        <v>6502</v>
      </c>
      <c r="C4779" t="s">
        <v>130</v>
      </c>
      <c r="D4779">
        <v>1992</v>
      </c>
      <c r="E4779" t="s">
        <v>23</v>
      </c>
      <c r="F4779" t="s">
        <v>24</v>
      </c>
      <c r="G4779" t="s">
        <v>25</v>
      </c>
      <c r="H4779" t="s">
        <v>26</v>
      </c>
      <c r="I4779">
        <v>18252190</v>
      </c>
      <c r="J4779" t="s">
        <v>27</v>
      </c>
      <c r="K4779" t="s">
        <v>6535</v>
      </c>
      <c r="L4779" t="s">
        <v>21</v>
      </c>
    </row>
    <row r="4780" spans="1:12">
      <c r="A4780" t="s">
        <v>6537</v>
      </c>
      <c r="B4780" t="s">
        <v>6502</v>
      </c>
      <c r="C4780" t="s">
        <v>130</v>
      </c>
      <c r="D4780">
        <v>1992</v>
      </c>
      <c r="E4780" t="s">
        <v>29</v>
      </c>
      <c r="F4780" t="s">
        <v>30</v>
      </c>
      <c r="G4780" t="s">
        <v>31</v>
      </c>
      <c r="H4780" t="s">
        <v>32</v>
      </c>
      <c r="I4780">
        <v>644.170796899999</v>
      </c>
      <c r="J4780" t="s">
        <v>33</v>
      </c>
      <c r="K4780" t="s">
        <v>6535</v>
      </c>
      <c r="L4780" t="s">
        <v>21</v>
      </c>
    </row>
    <row r="4781" spans="1:12">
      <c r="A4781" t="s">
        <v>6538</v>
      </c>
      <c r="B4781" t="s">
        <v>6502</v>
      </c>
      <c r="C4781" t="s">
        <v>130</v>
      </c>
      <c r="D4781">
        <v>1997</v>
      </c>
      <c r="E4781" t="s">
        <v>15</v>
      </c>
      <c r="F4781" t="s">
        <v>16</v>
      </c>
      <c r="G4781" t="s">
        <v>17</v>
      </c>
      <c r="H4781" t="s">
        <v>18</v>
      </c>
      <c r="I4781">
        <v>44.578000000000003</v>
      </c>
      <c r="J4781" t="s">
        <v>19</v>
      </c>
      <c r="K4781" t="s">
        <v>6539</v>
      </c>
      <c r="L4781" t="s">
        <v>21</v>
      </c>
    </row>
    <row r="4782" spans="1:12">
      <c r="A4782" t="s">
        <v>6540</v>
      </c>
      <c r="B4782" t="s">
        <v>6502</v>
      </c>
      <c r="C4782" t="s">
        <v>130</v>
      </c>
      <c r="D4782">
        <v>1997</v>
      </c>
      <c r="E4782" t="s">
        <v>23</v>
      </c>
      <c r="F4782" t="s">
        <v>24</v>
      </c>
      <c r="G4782" t="s">
        <v>25</v>
      </c>
      <c r="H4782" t="s">
        <v>26</v>
      </c>
      <c r="I4782">
        <v>21210254</v>
      </c>
      <c r="J4782" t="s">
        <v>27</v>
      </c>
      <c r="K4782" t="s">
        <v>6539</v>
      </c>
      <c r="L4782" t="s">
        <v>21</v>
      </c>
    </row>
    <row r="4783" spans="1:12">
      <c r="A4783" t="s">
        <v>6541</v>
      </c>
      <c r="B4783" t="s">
        <v>6502</v>
      </c>
      <c r="C4783" t="s">
        <v>130</v>
      </c>
      <c r="D4783">
        <v>1997</v>
      </c>
      <c r="E4783" t="s">
        <v>29</v>
      </c>
      <c r="F4783" t="s">
        <v>30</v>
      </c>
      <c r="G4783" t="s">
        <v>31</v>
      </c>
      <c r="H4783" t="s">
        <v>32</v>
      </c>
      <c r="I4783">
        <v>816.55908099999999</v>
      </c>
      <c r="J4783" t="s">
        <v>33</v>
      </c>
      <c r="K4783" t="s">
        <v>6539</v>
      </c>
      <c r="L4783" t="s">
        <v>21</v>
      </c>
    </row>
    <row r="4784" spans="1:12">
      <c r="A4784" t="s">
        <v>6542</v>
      </c>
      <c r="B4784" t="s">
        <v>6502</v>
      </c>
      <c r="C4784" t="s">
        <v>130</v>
      </c>
      <c r="D4784">
        <v>2002</v>
      </c>
      <c r="E4784" t="s">
        <v>15</v>
      </c>
      <c r="F4784" t="s">
        <v>16</v>
      </c>
      <c r="G4784" t="s">
        <v>17</v>
      </c>
      <c r="H4784" t="s">
        <v>18</v>
      </c>
      <c r="I4784">
        <v>47.813000000000002</v>
      </c>
      <c r="J4784" t="s">
        <v>19</v>
      </c>
      <c r="K4784" t="s">
        <v>6543</v>
      </c>
      <c r="L4784" t="s">
        <v>21</v>
      </c>
    </row>
    <row r="4785" spans="1:12">
      <c r="A4785" t="s">
        <v>6544</v>
      </c>
      <c r="B4785" t="s">
        <v>6502</v>
      </c>
      <c r="C4785" t="s">
        <v>130</v>
      </c>
      <c r="D4785">
        <v>2002</v>
      </c>
      <c r="E4785" t="s">
        <v>23</v>
      </c>
      <c r="F4785" t="s">
        <v>24</v>
      </c>
      <c r="G4785" t="s">
        <v>25</v>
      </c>
      <c r="H4785" t="s">
        <v>26</v>
      </c>
      <c r="I4785">
        <v>24739869</v>
      </c>
      <c r="J4785" t="s">
        <v>27</v>
      </c>
      <c r="K4785" t="s">
        <v>6543</v>
      </c>
      <c r="L4785" t="s">
        <v>21</v>
      </c>
    </row>
    <row r="4786" spans="1:12">
      <c r="A4786" t="s">
        <v>6545</v>
      </c>
      <c r="B4786" t="s">
        <v>6502</v>
      </c>
      <c r="C4786" t="s">
        <v>130</v>
      </c>
      <c r="D4786">
        <v>2002</v>
      </c>
      <c r="E4786" t="s">
        <v>29</v>
      </c>
      <c r="F4786" t="s">
        <v>30</v>
      </c>
      <c r="G4786" t="s">
        <v>31</v>
      </c>
      <c r="H4786" t="s">
        <v>32</v>
      </c>
      <c r="I4786">
        <v>927.72100179999995</v>
      </c>
      <c r="J4786" t="s">
        <v>33</v>
      </c>
      <c r="K4786" t="s">
        <v>6543</v>
      </c>
      <c r="L4786" t="s">
        <v>21</v>
      </c>
    </row>
    <row r="4787" spans="1:12">
      <c r="A4787" t="s">
        <v>6546</v>
      </c>
      <c r="B4787" t="s">
        <v>6502</v>
      </c>
      <c r="C4787" t="s">
        <v>130</v>
      </c>
      <c r="D4787">
        <v>2007</v>
      </c>
      <c r="E4787" t="s">
        <v>15</v>
      </c>
      <c r="F4787" t="s">
        <v>16</v>
      </c>
      <c r="G4787" t="s">
        <v>17</v>
      </c>
      <c r="H4787" t="s">
        <v>18</v>
      </c>
      <c r="I4787">
        <v>51.542000000000002</v>
      </c>
      <c r="J4787" t="s">
        <v>19</v>
      </c>
      <c r="K4787" t="s">
        <v>6547</v>
      </c>
      <c r="L4787" t="s">
        <v>21</v>
      </c>
    </row>
    <row r="4788" spans="1:12">
      <c r="A4788" t="s">
        <v>6548</v>
      </c>
      <c r="B4788" t="s">
        <v>6502</v>
      </c>
      <c r="C4788" t="s">
        <v>130</v>
      </c>
      <c r="D4788">
        <v>2007</v>
      </c>
      <c r="E4788" t="s">
        <v>23</v>
      </c>
      <c r="F4788" t="s">
        <v>24</v>
      </c>
      <c r="G4788" t="s">
        <v>25</v>
      </c>
      <c r="H4788" t="s">
        <v>26</v>
      </c>
      <c r="I4788">
        <v>29170398</v>
      </c>
      <c r="J4788" t="s">
        <v>27</v>
      </c>
      <c r="K4788" t="s">
        <v>6547</v>
      </c>
      <c r="L4788" t="s">
        <v>21</v>
      </c>
    </row>
    <row r="4789" spans="1:12">
      <c r="A4789" t="s">
        <v>6549</v>
      </c>
      <c r="B4789" t="s">
        <v>6502</v>
      </c>
      <c r="C4789" t="s">
        <v>130</v>
      </c>
      <c r="D4789">
        <v>2007</v>
      </c>
      <c r="E4789" t="s">
        <v>29</v>
      </c>
      <c r="F4789" t="s">
        <v>30</v>
      </c>
      <c r="G4789" t="s">
        <v>31</v>
      </c>
      <c r="H4789" t="s">
        <v>32</v>
      </c>
      <c r="I4789">
        <v>1056.3801209999999</v>
      </c>
      <c r="J4789" t="s">
        <v>33</v>
      </c>
      <c r="K4789" t="s">
        <v>6547</v>
      </c>
      <c r="L4789" t="s">
        <v>21</v>
      </c>
    </row>
    <row r="4790" spans="1:12">
      <c r="A4790" t="s">
        <v>6550</v>
      </c>
      <c r="B4790" t="s">
        <v>6551</v>
      </c>
      <c r="C4790" t="s">
        <v>80</v>
      </c>
      <c r="D4790">
        <v>1952</v>
      </c>
      <c r="E4790" t="s">
        <v>15</v>
      </c>
      <c r="F4790" t="s">
        <v>16</v>
      </c>
      <c r="G4790" t="s">
        <v>17</v>
      </c>
      <c r="H4790" t="s">
        <v>18</v>
      </c>
      <c r="I4790">
        <v>69.180000000000007</v>
      </c>
      <c r="J4790" t="s">
        <v>19</v>
      </c>
      <c r="K4790" t="s">
        <v>6552</v>
      </c>
      <c r="L4790" t="s">
        <v>21</v>
      </c>
    </row>
    <row r="4791" spans="1:12">
      <c r="A4791" t="s">
        <v>6553</v>
      </c>
      <c r="B4791" t="s">
        <v>6551</v>
      </c>
      <c r="C4791" t="s">
        <v>80</v>
      </c>
      <c r="D4791">
        <v>1952</v>
      </c>
      <c r="E4791" t="s">
        <v>23</v>
      </c>
      <c r="F4791" t="s">
        <v>24</v>
      </c>
      <c r="G4791" t="s">
        <v>25</v>
      </c>
      <c r="H4791" t="s">
        <v>26</v>
      </c>
      <c r="I4791">
        <v>50430000</v>
      </c>
      <c r="J4791" t="s">
        <v>27</v>
      </c>
      <c r="K4791" t="s">
        <v>6552</v>
      </c>
      <c r="L4791" t="s">
        <v>21</v>
      </c>
    </row>
    <row r="4792" spans="1:12">
      <c r="A4792" t="s">
        <v>6554</v>
      </c>
      <c r="B4792" t="s">
        <v>6551</v>
      </c>
      <c r="C4792" t="s">
        <v>80</v>
      </c>
      <c r="D4792">
        <v>1952</v>
      </c>
      <c r="E4792" t="s">
        <v>29</v>
      </c>
      <c r="F4792" t="s">
        <v>30</v>
      </c>
      <c r="G4792" t="s">
        <v>31</v>
      </c>
      <c r="H4792" t="s">
        <v>32</v>
      </c>
      <c r="I4792">
        <v>9979.5084869999991</v>
      </c>
      <c r="J4792" t="s">
        <v>33</v>
      </c>
      <c r="K4792" t="s">
        <v>6552</v>
      </c>
      <c r="L4792" t="s">
        <v>21</v>
      </c>
    </row>
    <row r="4793" spans="1:12">
      <c r="A4793" t="s">
        <v>6555</v>
      </c>
      <c r="B4793" t="s">
        <v>6551</v>
      </c>
      <c r="C4793" t="s">
        <v>80</v>
      </c>
      <c r="D4793">
        <v>1957</v>
      </c>
      <c r="E4793" t="s">
        <v>15</v>
      </c>
      <c r="F4793" t="s">
        <v>16</v>
      </c>
      <c r="G4793" t="s">
        <v>17</v>
      </c>
      <c r="H4793" t="s">
        <v>18</v>
      </c>
      <c r="I4793">
        <v>70.42</v>
      </c>
      <c r="J4793" t="s">
        <v>19</v>
      </c>
      <c r="K4793" t="s">
        <v>6556</v>
      </c>
      <c r="L4793" t="s">
        <v>21</v>
      </c>
    </row>
    <row r="4794" spans="1:12">
      <c r="A4794" t="s">
        <v>6557</v>
      </c>
      <c r="B4794" t="s">
        <v>6551</v>
      </c>
      <c r="C4794" t="s">
        <v>80</v>
      </c>
      <c r="D4794">
        <v>1957</v>
      </c>
      <c r="E4794" t="s">
        <v>23</v>
      </c>
      <c r="F4794" t="s">
        <v>24</v>
      </c>
      <c r="G4794" t="s">
        <v>25</v>
      </c>
      <c r="H4794" t="s">
        <v>26</v>
      </c>
      <c r="I4794">
        <v>51430000</v>
      </c>
      <c r="J4794" t="s">
        <v>27</v>
      </c>
      <c r="K4794" t="s">
        <v>6556</v>
      </c>
      <c r="L4794" t="s">
        <v>21</v>
      </c>
    </row>
    <row r="4795" spans="1:12">
      <c r="A4795" t="s">
        <v>6558</v>
      </c>
      <c r="B4795" t="s">
        <v>6551</v>
      </c>
      <c r="C4795" t="s">
        <v>80</v>
      </c>
      <c r="D4795">
        <v>1957</v>
      </c>
      <c r="E4795" t="s">
        <v>29</v>
      </c>
      <c r="F4795" t="s">
        <v>30</v>
      </c>
      <c r="G4795" t="s">
        <v>31</v>
      </c>
      <c r="H4795" t="s">
        <v>32</v>
      </c>
      <c r="I4795">
        <v>11283.177949999999</v>
      </c>
      <c r="J4795" t="s">
        <v>33</v>
      </c>
      <c r="K4795" t="s">
        <v>6556</v>
      </c>
      <c r="L4795" t="s">
        <v>21</v>
      </c>
    </row>
    <row r="4796" spans="1:12">
      <c r="A4796" t="s">
        <v>6559</v>
      </c>
      <c r="B4796" t="s">
        <v>6551</v>
      </c>
      <c r="C4796" t="s">
        <v>80</v>
      </c>
      <c r="D4796">
        <v>1962</v>
      </c>
      <c r="E4796" t="s">
        <v>15</v>
      </c>
      <c r="F4796" t="s">
        <v>16</v>
      </c>
      <c r="G4796" t="s">
        <v>17</v>
      </c>
      <c r="H4796" t="s">
        <v>18</v>
      </c>
      <c r="I4796">
        <v>70.760000000000005</v>
      </c>
      <c r="J4796" t="s">
        <v>19</v>
      </c>
      <c r="K4796" t="s">
        <v>6560</v>
      </c>
      <c r="L4796" t="s">
        <v>21</v>
      </c>
    </row>
    <row r="4797" spans="1:12">
      <c r="A4797" t="s">
        <v>6561</v>
      </c>
      <c r="B4797" t="s">
        <v>6551</v>
      </c>
      <c r="C4797" t="s">
        <v>80</v>
      </c>
      <c r="D4797">
        <v>1962</v>
      </c>
      <c r="E4797" t="s">
        <v>23</v>
      </c>
      <c r="F4797" t="s">
        <v>24</v>
      </c>
      <c r="G4797" t="s">
        <v>25</v>
      </c>
      <c r="H4797" t="s">
        <v>26</v>
      </c>
      <c r="I4797">
        <v>53292000</v>
      </c>
      <c r="J4797" t="s">
        <v>27</v>
      </c>
      <c r="K4797" t="s">
        <v>6560</v>
      </c>
      <c r="L4797" t="s">
        <v>21</v>
      </c>
    </row>
    <row r="4798" spans="1:12">
      <c r="A4798" t="s">
        <v>6562</v>
      </c>
      <c r="B4798" t="s">
        <v>6551</v>
      </c>
      <c r="C4798" t="s">
        <v>80</v>
      </c>
      <c r="D4798">
        <v>1962</v>
      </c>
      <c r="E4798" t="s">
        <v>29</v>
      </c>
      <c r="F4798" t="s">
        <v>30</v>
      </c>
      <c r="G4798" t="s">
        <v>31</v>
      </c>
      <c r="H4798" t="s">
        <v>32</v>
      </c>
      <c r="I4798">
        <v>12477.17707</v>
      </c>
      <c r="J4798" t="s">
        <v>33</v>
      </c>
      <c r="K4798" t="s">
        <v>6560</v>
      </c>
      <c r="L4798" t="s">
        <v>21</v>
      </c>
    </row>
    <row r="4799" spans="1:12">
      <c r="A4799" t="s">
        <v>6563</v>
      </c>
      <c r="B4799" t="s">
        <v>6551</v>
      </c>
      <c r="C4799" t="s">
        <v>80</v>
      </c>
      <c r="D4799">
        <v>1967</v>
      </c>
      <c r="E4799" t="s">
        <v>15</v>
      </c>
      <c r="F4799" t="s">
        <v>16</v>
      </c>
      <c r="G4799" t="s">
        <v>17</v>
      </c>
      <c r="H4799" t="s">
        <v>18</v>
      </c>
      <c r="I4799">
        <v>71.36</v>
      </c>
      <c r="J4799" t="s">
        <v>19</v>
      </c>
      <c r="K4799" t="s">
        <v>6564</v>
      </c>
      <c r="L4799" t="s">
        <v>21</v>
      </c>
    </row>
    <row r="4800" spans="1:12">
      <c r="A4800" t="s">
        <v>6565</v>
      </c>
      <c r="B4800" t="s">
        <v>6551</v>
      </c>
      <c r="C4800" t="s">
        <v>80</v>
      </c>
      <c r="D4800">
        <v>1967</v>
      </c>
      <c r="E4800" t="s">
        <v>23</v>
      </c>
      <c r="F4800" t="s">
        <v>24</v>
      </c>
      <c r="G4800" t="s">
        <v>25</v>
      </c>
      <c r="H4800" t="s">
        <v>26</v>
      </c>
      <c r="I4800">
        <v>54959000</v>
      </c>
      <c r="J4800" t="s">
        <v>27</v>
      </c>
      <c r="K4800" t="s">
        <v>6564</v>
      </c>
      <c r="L4800" t="s">
        <v>21</v>
      </c>
    </row>
    <row r="4801" spans="1:12">
      <c r="A4801" t="s">
        <v>6566</v>
      </c>
      <c r="B4801" t="s">
        <v>6551</v>
      </c>
      <c r="C4801" t="s">
        <v>80</v>
      </c>
      <c r="D4801">
        <v>1967</v>
      </c>
      <c r="E4801" t="s">
        <v>29</v>
      </c>
      <c r="F4801" t="s">
        <v>30</v>
      </c>
      <c r="G4801" t="s">
        <v>31</v>
      </c>
      <c r="H4801" t="s">
        <v>32</v>
      </c>
      <c r="I4801">
        <v>14142.85089</v>
      </c>
      <c r="J4801" t="s">
        <v>33</v>
      </c>
      <c r="K4801" t="s">
        <v>6564</v>
      </c>
      <c r="L4801" t="s">
        <v>21</v>
      </c>
    </row>
    <row r="4802" spans="1:12">
      <c r="A4802" t="s">
        <v>6567</v>
      </c>
      <c r="B4802" t="s">
        <v>6551</v>
      </c>
      <c r="C4802" t="s">
        <v>80</v>
      </c>
      <c r="D4802">
        <v>1972</v>
      </c>
      <c r="E4802" t="s">
        <v>15</v>
      </c>
      <c r="F4802" t="s">
        <v>16</v>
      </c>
      <c r="G4802" t="s">
        <v>17</v>
      </c>
      <c r="H4802" t="s">
        <v>18</v>
      </c>
      <c r="I4802">
        <v>72.010000000000005</v>
      </c>
      <c r="J4802" t="s">
        <v>19</v>
      </c>
      <c r="K4802" t="s">
        <v>6568</v>
      </c>
      <c r="L4802" t="s">
        <v>21</v>
      </c>
    </row>
    <row r="4803" spans="1:12">
      <c r="A4803" t="s">
        <v>6569</v>
      </c>
      <c r="B4803" t="s">
        <v>6551</v>
      </c>
      <c r="C4803" t="s">
        <v>80</v>
      </c>
      <c r="D4803">
        <v>1972</v>
      </c>
      <c r="E4803" t="s">
        <v>23</v>
      </c>
      <c r="F4803" t="s">
        <v>24</v>
      </c>
      <c r="G4803" t="s">
        <v>25</v>
      </c>
      <c r="H4803" t="s">
        <v>26</v>
      </c>
      <c r="I4803">
        <v>56079000</v>
      </c>
      <c r="J4803" t="s">
        <v>27</v>
      </c>
      <c r="K4803" t="s">
        <v>6568</v>
      </c>
      <c r="L4803" t="s">
        <v>21</v>
      </c>
    </row>
    <row r="4804" spans="1:12">
      <c r="A4804" t="s">
        <v>6570</v>
      </c>
      <c r="B4804" t="s">
        <v>6551</v>
      </c>
      <c r="C4804" t="s">
        <v>80</v>
      </c>
      <c r="D4804">
        <v>1972</v>
      </c>
      <c r="E4804" t="s">
        <v>29</v>
      </c>
      <c r="F4804" t="s">
        <v>30</v>
      </c>
      <c r="G4804" t="s">
        <v>31</v>
      </c>
      <c r="H4804" t="s">
        <v>32</v>
      </c>
      <c r="I4804">
        <v>15895.116410000001</v>
      </c>
      <c r="J4804" t="s">
        <v>33</v>
      </c>
      <c r="K4804" t="s">
        <v>6568</v>
      </c>
      <c r="L4804" t="s">
        <v>21</v>
      </c>
    </row>
    <row r="4805" spans="1:12">
      <c r="A4805" t="s">
        <v>6571</v>
      </c>
      <c r="B4805" t="s">
        <v>6551</v>
      </c>
      <c r="C4805" t="s">
        <v>80</v>
      </c>
      <c r="D4805">
        <v>1977</v>
      </c>
      <c r="E4805" t="s">
        <v>15</v>
      </c>
      <c r="F4805" t="s">
        <v>16</v>
      </c>
      <c r="G4805" t="s">
        <v>17</v>
      </c>
      <c r="H4805" t="s">
        <v>18</v>
      </c>
      <c r="I4805">
        <v>72.760000000000005</v>
      </c>
      <c r="J4805" t="s">
        <v>19</v>
      </c>
      <c r="K4805" t="s">
        <v>6572</v>
      </c>
      <c r="L4805" t="s">
        <v>21</v>
      </c>
    </row>
    <row r="4806" spans="1:12">
      <c r="A4806" t="s">
        <v>6573</v>
      </c>
      <c r="B4806" t="s">
        <v>6551</v>
      </c>
      <c r="C4806" t="s">
        <v>80</v>
      </c>
      <c r="D4806">
        <v>1977</v>
      </c>
      <c r="E4806" t="s">
        <v>23</v>
      </c>
      <c r="F4806" t="s">
        <v>24</v>
      </c>
      <c r="G4806" t="s">
        <v>25</v>
      </c>
      <c r="H4806" t="s">
        <v>26</v>
      </c>
      <c r="I4806">
        <v>56179000</v>
      </c>
      <c r="J4806" t="s">
        <v>27</v>
      </c>
      <c r="K4806" t="s">
        <v>6572</v>
      </c>
      <c r="L4806" t="s">
        <v>21</v>
      </c>
    </row>
    <row r="4807" spans="1:12">
      <c r="A4807" t="s">
        <v>6574</v>
      </c>
      <c r="B4807" t="s">
        <v>6551</v>
      </c>
      <c r="C4807" t="s">
        <v>80</v>
      </c>
      <c r="D4807">
        <v>1977</v>
      </c>
      <c r="E4807" t="s">
        <v>29</v>
      </c>
      <c r="F4807" t="s">
        <v>30</v>
      </c>
      <c r="G4807" t="s">
        <v>31</v>
      </c>
      <c r="H4807" t="s">
        <v>32</v>
      </c>
      <c r="I4807">
        <v>17428.748459999999</v>
      </c>
      <c r="J4807" t="s">
        <v>33</v>
      </c>
      <c r="K4807" t="s">
        <v>6572</v>
      </c>
      <c r="L4807" t="s">
        <v>21</v>
      </c>
    </row>
    <row r="4808" spans="1:12">
      <c r="A4808" t="s">
        <v>6575</v>
      </c>
      <c r="B4808" t="s">
        <v>6551</v>
      </c>
      <c r="C4808" t="s">
        <v>80</v>
      </c>
      <c r="D4808">
        <v>1982</v>
      </c>
      <c r="E4808" t="s">
        <v>15</v>
      </c>
      <c r="F4808" t="s">
        <v>16</v>
      </c>
      <c r="G4808" t="s">
        <v>17</v>
      </c>
      <c r="H4808" t="s">
        <v>18</v>
      </c>
      <c r="I4808">
        <v>74.040000000000006</v>
      </c>
      <c r="J4808" t="s">
        <v>19</v>
      </c>
      <c r="K4808" t="s">
        <v>6576</v>
      </c>
      <c r="L4808" t="s">
        <v>21</v>
      </c>
    </row>
    <row r="4809" spans="1:12">
      <c r="A4809" t="s">
        <v>6577</v>
      </c>
      <c r="B4809" t="s">
        <v>6551</v>
      </c>
      <c r="C4809" t="s">
        <v>80</v>
      </c>
      <c r="D4809">
        <v>1982</v>
      </c>
      <c r="E4809" t="s">
        <v>23</v>
      </c>
      <c r="F4809" t="s">
        <v>24</v>
      </c>
      <c r="G4809" t="s">
        <v>25</v>
      </c>
      <c r="H4809" t="s">
        <v>26</v>
      </c>
      <c r="I4809">
        <v>56339704</v>
      </c>
      <c r="J4809" t="s">
        <v>27</v>
      </c>
      <c r="K4809" t="s">
        <v>6576</v>
      </c>
      <c r="L4809" t="s">
        <v>21</v>
      </c>
    </row>
    <row r="4810" spans="1:12">
      <c r="A4810" t="s">
        <v>6578</v>
      </c>
      <c r="B4810" t="s">
        <v>6551</v>
      </c>
      <c r="C4810" t="s">
        <v>80</v>
      </c>
      <c r="D4810">
        <v>1982</v>
      </c>
      <c r="E4810" t="s">
        <v>29</v>
      </c>
      <c r="F4810" t="s">
        <v>30</v>
      </c>
      <c r="G4810" t="s">
        <v>31</v>
      </c>
      <c r="H4810" t="s">
        <v>32</v>
      </c>
      <c r="I4810">
        <v>18232.42452</v>
      </c>
      <c r="J4810" t="s">
        <v>33</v>
      </c>
      <c r="K4810" t="s">
        <v>6576</v>
      </c>
      <c r="L4810" t="s">
        <v>21</v>
      </c>
    </row>
    <row r="4811" spans="1:12">
      <c r="A4811" t="s">
        <v>6579</v>
      </c>
      <c r="B4811" t="s">
        <v>6551</v>
      </c>
      <c r="C4811" t="s">
        <v>80</v>
      </c>
      <c r="D4811">
        <v>1987</v>
      </c>
      <c r="E4811" t="s">
        <v>15</v>
      </c>
      <c r="F4811" t="s">
        <v>16</v>
      </c>
      <c r="G4811" t="s">
        <v>17</v>
      </c>
      <c r="H4811" t="s">
        <v>18</v>
      </c>
      <c r="I4811">
        <v>75.007000000000005</v>
      </c>
      <c r="J4811" t="s">
        <v>19</v>
      </c>
      <c r="K4811" t="s">
        <v>6580</v>
      </c>
      <c r="L4811" t="s">
        <v>21</v>
      </c>
    </row>
    <row r="4812" spans="1:12">
      <c r="A4812" t="s">
        <v>6581</v>
      </c>
      <c r="B4812" t="s">
        <v>6551</v>
      </c>
      <c r="C4812" t="s">
        <v>80</v>
      </c>
      <c r="D4812">
        <v>1987</v>
      </c>
      <c r="E4812" t="s">
        <v>23</v>
      </c>
      <c r="F4812" t="s">
        <v>24</v>
      </c>
      <c r="G4812" t="s">
        <v>25</v>
      </c>
      <c r="H4812" t="s">
        <v>26</v>
      </c>
      <c r="I4812">
        <v>56981620</v>
      </c>
      <c r="J4812" t="s">
        <v>27</v>
      </c>
      <c r="K4812" t="s">
        <v>6580</v>
      </c>
      <c r="L4812" t="s">
        <v>21</v>
      </c>
    </row>
    <row r="4813" spans="1:12">
      <c r="A4813" t="s">
        <v>6582</v>
      </c>
      <c r="B4813" t="s">
        <v>6551</v>
      </c>
      <c r="C4813" t="s">
        <v>80</v>
      </c>
      <c r="D4813">
        <v>1987</v>
      </c>
      <c r="E4813" t="s">
        <v>29</v>
      </c>
      <c r="F4813" t="s">
        <v>30</v>
      </c>
      <c r="G4813" t="s">
        <v>31</v>
      </c>
      <c r="H4813" t="s">
        <v>32</v>
      </c>
      <c r="I4813">
        <v>21664.787670000002</v>
      </c>
      <c r="J4813" t="s">
        <v>33</v>
      </c>
      <c r="K4813" t="s">
        <v>6580</v>
      </c>
      <c r="L4813" t="s">
        <v>21</v>
      </c>
    </row>
    <row r="4814" spans="1:12">
      <c r="A4814" t="s">
        <v>6583</v>
      </c>
      <c r="B4814" t="s">
        <v>6551</v>
      </c>
      <c r="C4814" t="s">
        <v>80</v>
      </c>
      <c r="D4814">
        <v>1992</v>
      </c>
      <c r="E4814" t="s">
        <v>15</v>
      </c>
      <c r="F4814" t="s">
        <v>16</v>
      </c>
      <c r="G4814" t="s">
        <v>17</v>
      </c>
      <c r="H4814" t="s">
        <v>18</v>
      </c>
      <c r="I4814">
        <v>76.42</v>
      </c>
      <c r="J4814" t="s">
        <v>19</v>
      </c>
      <c r="K4814" t="s">
        <v>6584</v>
      </c>
      <c r="L4814" t="s">
        <v>21</v>
      </c>
    </row>
    <row r="4815" spans="1:12">
      <c r="A4815" t="s">
        <v>6585</v>
      </c>
      <c r="B4815" t="s">
        <v>6551</v>
      </c>
      <c r="C4815" t="s">
        <v>80</v>
      </c>
      <c r="D4815">
        <v>1992</v>
      </c>
      <c r="E4815" t="s">
        <v>23</v>
      </c>
      <c r="F4815" t="s">
        <v>24</v>
      </c>
      <c r="G4815" t="s">
        <v>25</v>
      </c>
      <c r="H4815" t="s">
        <v>26</v>
      </c>
      <c r="I4815">
        <v>57866349</v>
      </c>
      <c r="J4815" t="s">
        <v>27</v>
      </c>
      <c r="K4815" t="s">
        <v>6584</v>
      </c>
      <c r="L4815" t="s">
        <v>21</v>
      </c>
    </row>
    <row r="4816" spans="1:12">
      <c r="A4816" t="s">
        <v>6586</v>
      </c>
      <c r="B4816" t="s">
        <v>6551</v>
      </c>
      <c r="C4816" t="s">
        <v>80</v>
      </c>
      <c r="D4816">
        <v>1992</v>
      </c>
      <c r="E4816" t="s">
        <v>29</v>
      </c>
      <c r="F4816" t="s">
        <v>30</v>
      </c>
      <c r="G4816" t="s">
        <v>31</v>
      </c>
      <c r="H4816" t="s">
        <v>32</v>
      </c>
      <c r="I4816">
        <v>22705.092540000001</v>
      </c>
      <c r="J4816" t="s">
        <v>33</v>
      </c>
      <c r="K4816" t="s">
        <v>6584</v>
      </c>
      <c r="L4816" t="s">
        <v>21</v>
      </c>
    </row>
    <row r="4817" spans="1:12">
      <c r="A4817" t="s">
        <v>6587</v>
      </c>
      <c r="B4817" t="s">
        <v>6551</v>
      </c>
      <c r="C4817" t="s">
        <v>80</v>
      </c>
      <c r="D4817">
        <v>1997</v>
      </c>
      <c r="E4817" t="s">
        <v>15</v>
      </c>
      <c r="F4817" t="s">
        <v>16</v>
      </c>
      <c r="G4817" t="s">
        <v>17</v>
      </c>
      <c r="H4817" t="s">
        <v>18</v>
      </c>
      <c r="I4817">
        <v>77.218000000000004</v>
      </c>
      <c r="J4817" t="s">
        <v>19</v>
      </c>
      <c r="K4817" t="s">
        <v>6588</v>
      </c>
      <c r="L4817" t="s">
        <v>21</v>
      </c>
    </row>
    <row r="4818" spans="1:12">
      <c r="A4818" t="s">
        <v>6589</v>
      </c>
      <c r="B4818" t="s">
        <v>6551</v>
      </c>
      <c r="C4818" t="s">
        <v>80</v>
      </c>
      <c r="D4818">
        <v>1997</v>
      </c>
      <c r="E4818" t="s">
        <v>23</v>
      </c>
      <c r="F4818" t="s">
        <v>24</v>
      </c>
      <c r="G4818" t="s">
        <v>25</v>
      </c>
      <c r="H4818" t="s">
        <v>26</v>
      </c>
      <c r="I4818">
        <v>58808266</v>
      </c>
      <c r="J4818" t="s">
        <v>27</v>
      </c>
      <c r="K4818" t="s">
        <v>6588</v>
      </c>
      <c r="L4818" t="s">
        <v>21</v>
      </c>
    </row>
    <row r="4819" spans="1:12">
      <c r="A4819" t="s">
        <v>6590</v>
      </c>
      <c r="B4819" t="s">
        <v>6551</v>
      </c>
      <c r="C4819" t="s">
        <v>80</v>
      </c>
      <c r="D4819">
        <v>1997</v>
      </c>
      <c r="E4819" t="s">
        <v>29</v>
      </c>
      <c r="F4819" t="s">
        <v>30</v>
      </c>
      <c r="G4819" t="s">
        <v>31</v>
      </c>
      <c r="H4819" t="s">
        <v>32</v>
      </c>
      <c r="I4819">
        <v>26074.531360000001</v>
      </c>
      <c r="J4819" t="s">
        <v>33</v>
      </c>
      <c r="K4819" t="s">
        <v>6588</v>
      </c>
      <c r="L4819" t="s">
        <v>21</v>
      </c>
    </row>
    <row r="4820" spans="1:12">
      <c r="A4820" t="s">
        <v>6591</v>
      </c>
      <c r="B4820" t="s">
        <v>6551</v>
      </c>
      <c r="C4820" t="s">
        <v>80</v>
      </c>
      <c r="D4820">
        <v>2002</v>
      </c>
      <c r="E4820" t="s">
        <v>15</v>
      </c>
      <c r="F4820" t="s">
        <v>16</v>
      </c>
      <c r="G4820" t="s">
        <v>17</v>
      </c>
      <c r="H4820" t="s">
        <v>18</v>
      </c>
      <c r="I4820">
        <v>78.471000000000004</v>
      </c>
      <c r="J4820" t="s">
        <v>19</v>
      </c>
      <c r="K4820" t="s">
        <v>6592</v>
      </c>
      <c r="L4820" t="s">
        <v>21</v>
      </c>
    </row>
    <row r="4821" spans="1:12">
      <c r="A4821" t="s">
        <v>6593</v>
      </c>
      <c r="B4821" t="s">
        <v>6551</v>
      </c>
      <c r="C4821" t="s">
        <v>80</v>
      </c>
      <c r="D4821">
        <v>2002</v>
      </c>
      <c r="E4821" t="s">
        <v>23</v>
      </c>
      <c r="F4821" t="s">
        <v>24</v>
      </c>
      <c r="G4821" t="s">
        <v>25</v>
      </c>
      <c r="H4821" t="s">
        <v>26</v>
      </c>
      <c r="I4821">
        <v>59912431</v>
      </c>
      <c r="J4821" t="s">
        <v>27</v>
      </c>
      <c r="K4821" t="s">
        <v>6592</v>
      </c>
      <c r="L4821" t="s">
        <v>21</v>
      </c>
    </row>
    <row r="4822" spans="1:12">
      <c r="A4822" t="s">
        <v>6594</v>
      </c>
      <c r="B4822" t="s">
        <v>6551</v>
      </c>
      <c r="C4822" t="s">
        <v>80</v>
      </c>
      <c r="D4822">
        <v>2002</v>
      </c>
      <c r="E4822" t="s">
        <v>29</v>
      </c>
      <c r="F4822" t="s">
        <v>30</v>
      </c>
      <c r="G4822" t="s">
        <v>31</v>
      </c>
      <c r="H4822" t="s">
        <v>32</v>
      </c>
      <c r="I4822">
        <v>29478.999189999999</v>
      </c>
      <c r="J4822" t="s">
        <v>33</v>
      </c>
      <c r="K4822" t="s">
        <v>6592</v>
      </c>
      <c r="L4822" t="s">
        <v>21</v>
      </c>
    </row>
    <row r="4823" spans="1:12">
      <c r="A4823" t="s">
        <v>6595</v>
      </c>
      <c r="B4823" t="s">
        <v>6551</v>
      </c>
      <c r="C4823" t="s">
        <v>80</v>
      </c>
      <c r="D4823">
        <v>2007</v>
      </c>
      <c r="E4823" t="s">
        <v>15</v>
      </c>
      <c r="F4823" t="s">
        <v>16</v>
      </c>
      <c r="G4823" t="s">
        <v>17</v>
      </c>
      <c r="H4823" t="s">
        <v>18</v>
      </c>
      <c r="I4823">
        <v>79.424999999999997</v>
      </c>
      <c r="J4823" t="s">
        <v>19</v>
      </c>
      <c r="K4823" t="s">
        <v>6596</v>
      </c>
      <c r="L4823" t="s">
        <v>21</v>
      </c>
    </row>
    <row r="4824" spans="1:12">
      <c r="A4824" t="s">
        <v>6597</v>
      </c>
      <c r="B4824" t="s">
        <v>6551</v>
      </c>
      <c r="C4824" t="s">
        <v>80</v>
      </c>
      <c r="D4824">
        <v>2007</v>
      </c>
      <c r="E4824" t="s">
        <v>23</v>
      </c>
      <c r="F4824" t="s">
        <v>24</v>
      </c>
      <c r="G4824" t="s">
        <v>25</v>
      </c>
      <c r="H4824" t="s">
        <v>26</v>
      </c>
      <c r="I4824">
        <v>60776238</v>
      </c>
      <c r="J4824" t="s">
        <v>27</v>
      </c>
      <c r="K4824" t="s">
        <v>6596</v>
      </c>
      <c r="L4824" t="s">
        <v>21</v>
      </c>
    </row>
    <row r="4825" spans="1:12">
      <c r="A4825" t="s">
        <v>6598</v>
      </c>
      <c r="B4825" t="s">
        <v>6551</v>
      </c>
      <c r="C4825" t="s">
        <v>80</v>
      </c>
      <c r="D4825">
        <v>2007</v>
      </c>
      <c r="E4825" t="s">
        <v>29</v>
      </c>
      <c r="F4825" t="s">
        <v>30</v>
      </c>
      <c r="G4825" t="s">
        <v>31</v>
      </c>
      <c r="H4825" t="s">
        <v>32</v>
      </c>
      <c r="I4825">
        <v>33203.261279999999</v>
      </c>
      <c r="J4825" t="s">
        <v>33</v>
      </c>
      <c r="K4825" t="s">
        <v>6596</v>
      </c>
      <c r="L4825" t="s">
        <v>21</v>
      </c>
    </row>
    <row r="4826" spans="1:12">
      <c r="A4826" t="s">
        <v>6599</v>
      </c>
      <c r="B4826" t="s">
        <v>6600</v>
      </c>
      <c r="C4826" t="s">
        <v>229</v>
      </c>
      <c r="D4826">
        <v>1952</v>
      </c>
      <c r="E4826" t="s">
        <v>15</v>
      </c>
      <c r="F4826" t="s">
        <v>16</v>
      </c>
      <c r="G4826" t="s">
        <v>17</v>
      </c>
      <c r="H4826" t="s">
        <v>18</v>
      </c>
      <c r="I4826">
        <v>68.44</v>
      </c>
      <c r="J4826" t="s">
        <v>19</v>
      </c>
      <c r="K4826" t="s">
        <v>6601</v>
      </c>
      <c r="L4826" t="s">
        <v>21</v>
      </c>
    </row>
    <row r="4827" spans="1:12">
      <c r="A4827" t="s">
        <v>6602</v>
      </c>
      <c r="B4827" t="s">
        <v>6600</v>
      </c>
      <c r="C4827" t="s">
        <v>229</v>
      </c>
      <c r="D4827">
        <v>1952</v>
      </c>
      <c r="E4827" t="s">
        <v>23</v>
      </c>
      <c r="F4827" t="s">
        <v>24</v>
      </c>
      <c r="G4827" t="s">
        <v>25</v>
      </c>
      <c r="H4827" t="s">
        <v>26</v>
      </c>
      <c r="I4827">
        <v>157553000</v>
      </c>
      <c r="J4827" t="s">
        <v>27</v>
      </c>
      <c r="K4827" t="s">
        <v>6601</v>
      </c>
      <c r="L4827" t="s">
        <v>21</v>
      </c>
    </row>
    <row r="4828" spans="1:12">
      <c r="A4828" t="s">
        <v>6603</v>
      </c>
      <c r="B4828" t="s">
        <v>6600</v>
      </c>
      <c r="C4828" t="s">
        <v>229</v>
      </c>
      <c r="D4828">
        <v>1952</v>
      </c>
      <c r="E4828" t="s">
        <v>29</v>
      </c>
      <c r="F4828" t="s">
        <v>30</v>
      </c>
      <c r="G4828" t="s">
        <v>31</v>
      </c>
      <c r="H4828" t="s">
        <v>32</v>
      </c>
      <c r="I4828">
        <v>13990.48208</v>
      </c>
      <c r="J4828" t="s">
        <v>33</v>
      </c>
      <c r="K4828" t="s">
        <v>6601</v>
      </c>
      <c r="L4828" t="s">
        <v>21</v>
      </c>
    </row>
    <row r="4829" spans="1:12">
      <c r="A4829" t="s">
        <v>6604</v>
      </c>
      <c r="B4829" t="s">
        <v>6600</v>
      </c>
      <c r="C4829" t="s">
        <v>229</v>
      </c>
      <c r="D4829">
        <v>1957</v>
      </c>
      <c r="E4829" t="s">
        <v>15</v>
      </c>
      <c r="F4829" t="s">
        <v>16</v>
      </c>
      <c r="G4829" t="s">
        <v>17</v>
      </c>
      <c r="H4829" t="s">
        <v>18</v>
      </c>
      <c r="I4829">
        <v>69.489999999999995</v>
      </c>
      <c r="J4829" t="s">
        <v>19</v>
      </c>
      <c r="K4829" t="s">
        <v>6605</v>
      </c>
      <c r="L4829" t="s">
        <v>21</v>
      </c>
    </row>
    <row r="4830" spans="1:12">
      <c r="A4830" t="s">
        <v>6606</v>
      </c>
      <c r="B4830" t="s">
        <v>6600</v>
      </c>
      <c r="C4830" t="s">
        <v>229</v>
      </c>
      <c r="D4830">
        <v>1957</v>
      </c>
      <c r="E4830" t="s">
        <v>23</v>
      </c>
      <c r="F4830" t="s">
        <v>24</v>
      </c>
      <c r="G4830" t="s">
        <v>25</v>
      </c>
      <c r="H4830" t="s">
        <v>26</v>
      </c>
      <c r="I4830">
        <v>171984000</v>
      </c>
      <c r="J4830" t="s">
        <v>27</v>
      </c>
      <c r="K4830" t="s">
        <v>6605</v>
      </c>
      <c r="L4830" t="s">
        <v>21</v>
      </c>
    </row>
    <row r="4831" spans="1:12">
      <c r="A4831" t="s">
        <v>6607</v>
      </c>
      <c r="B4831" t="s">
        <v>6600</v>
      </c>
      <c r="C4831" t="s">
        <v>229</v>
      </c>
      <c r="D4831">
        <v>1957</v>
      </c>
      <c r="E4831" t="s">
        <v>29</v>
      </c>
      <c r="F4831" t="s">
        <v>30</v>
      </c>
      <c r="G4831" t="s">
        <v>31</v>
      </c>
      <c r="H4831" t="s">
        <v>32</v>
      </c>
      <c r="I4831">
        <v>14847.127119999999</v>
      </c>
      <c r="J4831" t="s">
        <v>33</v>
      </c>
      <c r="K4831" t="s">
        <v>6605</v>
      </c>
      <c r="L4831" t="s">
        <v>21</v>
      </c>
    </row>
    <row r="4832" spans="1:12">
      <c r="A4832" t="s">
        <v>6608</v>
      </c>
      <c r="B4832" t="s">
        <v>6600</v>
      </c>
      <c r="C4832" t="s">
        <v>229</v>
      </c>
      <c r="D4832">
        <v>1962</v>
      </c>
      <c r="E4832" t="s">
        <v>15</v>
      </c>
      <c r="F4832" t="s">
        <v>16</v>
      </c>
      <c r="G4832" t="s">
        <v>17</v>
      </c>
      <c r="H4832" t="s">
        <v>18</v>
      </c>
      <c r="I4832">
        <v>70.209999999999994</v>
      </c>
      <c r="J4832" t="s">
        <v>19</v>
      </c>
      <c r="K4832" t="s">
        <v>6609</v>
      </c>
      <c r="L4832" t="s">
        <v>21</v>
      </c>
    </row>
    <row r="4833" spans="1:12">
      <c r="A4833" t="s">
        <v>6610</v>
      </c>
      <c r="B4833" t="s">
        <v>6600</v>
      </c>
      <c r="C4833" t="s">
        <v>229</v>
      </c>
      <c r="D4833">
        <v>1962</v>
      </c>
      <c r="E4833" t="s">
        <v>23</v>
      </c>
      <c r="F4833" t="s">
        <v>24</v>
      </c>
      <c r="G4833" t="s">
        <v>25</v>
      </c>
      <c r="H4833" t="s">
        <v>26</v>
      </c>
      <c r="I4833">
        <v>186538000</v>
      </c>
      <c r="J4833" t="s">
        <v>27</v>
      </c>
      <c r="K4833" t="s">
        <v>6609</v>
      </c>
      <c r="L4833" t="s">
        <v>21</v>
      </c>
    </row>
    <row r="4834" spans="1:12">
      <c r="A4834" t="s">
        <v>6611</v>
      </c>
      <c r="B4834" t="s">
        <v>6600</v>
      </c>
      <c r="C4834" t="s">
        <v>229</v>
      </c>
      <c r="D4834">
        <v>1962</v>
      </c>
      <c r="E4834" t="s">
        <v>29</v>
      </c>
      <c r="F4834" t="s">
        <v>30</v>
      </c>
      <c r="G4834" t="s">
        <v>31</v>
      </c>
      <c r="H4834" t="s">
        <v>32</v>
      </c>
      <c r="I4834">
        <v>16173.145860000001</v>
      </c>
      <c r="J4834" t="s">
        <v>33</v>
      </c>
      <c r="K4834" t="s">
        <v>6609</v>
      </c>
      <c r="L4834" t="s">
        <v>21</v>
      </c>
    </row>
    <row r="4835" spans="1:12">
      <c r="A4835" t="s">
        <v>6612</v>
      </c>
      <c r="B4835" t="s">
        <v>6600</v>
      </c>
      <c r="C4835" t="s">
        <v>229</v>
      </c>
      <c r="D4835">
        <v>1967</v>
      </c>
      <c r="E4835" t="s">
        <v>15</v>
      </c>
      <c r="F4835" t="s">
        <v>16</v>
      </c>
      <c r="G4835" t="s">
        <v>17</v>
      </c>
      <c r="H4835" t="s">
        <v>18</v>
      </c>
      <c r="I4835">
        <v>70.760000000000005</v>
      </c>
      <c r="J4835" t="s">
        <v>19</v>
      </c>
      <c r="K4835" t="s">
        <v>6613</v>
      </c>
      <c r="L4835" t="s">
        <v>21</v>
      </c>
    </row>
    <row r="4836" spans="1:12">
      <c r="A4836" t="s">
        <v>6614</v>
      </c>
      <c r="B4836" t="s">
        <v>6600</v>
      </c>
      <c r="C4836" t="s">
        <v>229</v>
      </c>
      <c r="D4836">
        <v>1967</v>
      </c>
      <c r="E4836" t="s">
        <v>23</v>
      </c>
      <c r="F4836" t="s">
        <v>24</v>
      </c>
      <c r="G4836" t="s">
        <v>25</v>
      </c>
      <c r="H4836" t="s">
        <v>26</v>
      </c>
      <c r="I4836">
        <v>198712000</v>
      </c>
      <c r="J4836" t="s">
        <v>27</v>
      </c>
      <c r="K4836" t="s">
        <v>6613</v>
      </c>
      <c r="L4836" t="s">
        <v>21</v>
      </c>
    </row>
    <row r="4837" spans="1:12">
      <c r="A4837" t="s">
        <v>6615</v>
      </c>
      <c r="B4837" t="s">
        <v>6600</v>
      </c>
      <c r="C4837" t="s">
        <v>229</v>
      </c>
      <c r="D4837">
        <v>1967</v>
      </c>
      <c r="E4837" t="s">
        <v>29</v>
      </c>
      <c r="F4837" t="s">
        <v>30</v>
      </c>
      <c r="G4837" t="s">
        <v>31</v>
      </c>
      <c r="H4837" t="s">
        <v>32</v>
      </c>
      <c r="I4837">
        <v>19530.365570000002</v>
      </c>
      <c r="J4837" t="s">
        <v>33</v>
      </c>
      <c r="K4837" t="s">
        <v>6613</v>
      </c>
      <c r="L4837" t="s">
        <v>21</v>
      </c>
    </row>
    <row r="4838" spans="1:12">
      <c r="A4838" t="s">
        <v>6616</v>
      </c>
      <c r="B4838" t="s">
        <v>6600</v>
      </c>
      <c r="C4838" t="s">
        <v>229</v>
      </c>
      <c r="D4838">
        <v>1972</v>
      </c>
      <c r="E4838" t="s">
        <v>15</v>
      </c>
      <c r="F4838" t="s">
        <v>16</v>
      </c>
      <c r="G4838" t="s">
        <v>17</v>
      </c>
      <c r="H4838" t="s">
        <v>18</v>
      </c>
      <c r="I4838">
        <v>71.34</v>
      </c>
      <c r="J4838" t="s">
        <v>19</v>
      </c>
      <c r="K4838" t="s">
        <v>6617</v>
      </c>
      <c r="L4838" t="s">
        <v>21</v>
      </c>
    </row>
    <row r="4839" spans="1:12">
      <c r="A4839" t="s">
        <v>6618</v>
      </c>
      <c r="B4839" t="s">
        <v>6600</v>
      </c>
      <c r="C4839" t="s">
        <v>229</v>
      </c>
      <c r="D4839">
        <v>1972</v>
      </c>
      <c r="E4839" t="s">
        <v>23</v>
      </c>
      <c r="F4839" t="s">
        <v>24</v>
      </c>
      <c r="G4839" t="s">
        <v>25</v>
      </c>
      <c r="H4839" t="s">
        <v>26</v>
      </c>
      <c r="I4839">
        <v>209896000</v>
      </c>
      <c r="J4839" t="s">
        <v>27</v>
      </c>
      <c r="K4839" t="s">
        <v>6617</v>
      </c>
      <c r="L4839" t="s">
        <v>21</v>
      </c>
    </row>
    <row r="4840" spans="1:12">
      <c r="A4840" t="s">
        <v>6619</v>
      </c>
      <c r="B4840" t="s">
        <v>6600</v>
      </c>
      <c r="C4840" t="s">
        <v>229</v>
      </c>
      <c r="D4840">
        <v>1972</v>
      </c>
      <c r="E4840" t="s">
        <v>29</v>
      </c>
      <c r="F4840" t="s">
        <v>30</v>
      </c>
      <c r="G4840" t="s">
        <v>31</v>
      </c>
      <c r="H4840" t="s">
        <v>32</v>
      </c>
      <c r="I4840">
        <v>21806.035940000002</v>
      </c>
      <c r="J4840" t="s">
        <v>33</v>
      </c>
      <c r="K4840" t="s">
        <v>6617</v>
      </c>
      <c r="L4840" t="s">
        <v>21</v>
      </c>
    </row>
    <row r="4841" spans="1:12">
      <c r="A4841" t="s">
        <v>6620</v>
      </c>
      <c r="B4841" t="s">
        <v>6600</v>
      </c>
      <c r="C4841" t="s">
        <v>229</v>
      </c>
      <c r="D4841">
        <v>1977</v>
      </c>
      <c r="E4841" t="s">
        <v>15</v>
      </c>
      <c r="F4841" t="s">
        <v>16</v>
      </c>
      <c r="G4841" t="s">
        <v>17</v>
      </c>
      <c r="H4841" t="s">
        <v>18</v>
      </c>
      <c r="I4841">
        <v>73.38</v>
      </c>
      <c r="J4841" t="s">
        <v>19</v>
      </c>
      <c r="K4841" t="s">
        <v>6621</v>
      </c>
      <c r="L4841" t="s">
        <v>21</v>
      </c>
    </row>
    <row r="4842" spans="1:12">
      <c r="A4842" t="s">
        <v>6622</v>
      </c>
      <c r="B4842" t="s">
        <v>6600</v>
      </c>
      <c r="C4842" t="s">
        <v>229</v>
      </c>
      <c r="D4842">
        <v>1977</v>
      </c>
      <c r="E4842" t="s">
        <v>23</v>
      </c>
      <c r="F4842" t="s">
        <v>24</v>
      </c>
      <c r="G4842" t="s">
        <v>25</v>
      </c>
      <c r="H4842" t="s">
        <v>26</v>
      </c>
      <c r="I4842">
        <v>220239000</v>
      </c>
      <c r="J4842" t="s">
        <v>27</v>
      </c>
      <c r="K4842" t="s">
        <v>6621</v>
      </c>
      <c r="L4842" t="s">
        <v>21</v>
      </c>
    </row>
    <row r="4843" spans="1:12">
      <c r="A4843" t="s">
        <v>6623</v>
      </c>
      <c r="B4843" t="s">
        <v>6600</v>
      </c>
      <c r="C4843" t="s">
        <v>229</v>
      </c>
      <c r="D4843">
        <v>1977</v>
      </c>
      <c r="E4843" t="s">
        <v>29</v>
      </c>
      <c r="F4843" t="s">
        <v>30</v>
      </c>
      <c r="G4843" t="s">
        <v>31</v>
      </c>
      <c r="H4843" t="s">
        <v>32</v>
      </c>
      <c r="I4843">
        <v>24072.632130000002</v>
      </c>
      <c r="J4843" t="s">
        <v>33</v>
      </c>
      <c r="K4843" t="s">
        <v>6621</v>
      </c>
      <c r="L4843" t="s">
        <v>21</v>
      </c>
    </row>
    <row r="4844" spans="1:12">
      <c r="A4844" t="s">
        <v>6624</v>
      </c>
      <c r="B4844" t="s">
        <v>6600</v>
      </c>
      <c r="C4844" t="s">
        <v>229</v>
      </c>
      <c r="D4844">
        <v>1982</v>
      </c>
      <c r="E4844" t="s">
        <v>15</v>
      </c>
      <c r="F4844" t="s">
        <v>16</v>
      </c>
      <c r="G4844" t="s">
        <v>17</v>
      </c>
      <c r="H4844" t="s">
        <v>18</v>
      </c>
      <c r="I4844">
        <v>74.650000000000006</v>
      </c>
      <c r="J4844" t="s">
        <v>19</v>
      </c>
      <c r="K4844" t="s">
        <v>6625</v>
      </c>
      <c r="L4844" t="s">
        <v>21</v>
      </c>
    </row>
    <row r="4845" spans="1:12">
      <c r="A4845" t="s">
        <v>6626</v>
      </c>
      <c r="B4845" t="s">
        <v>6600</v>
      </c>
      <c r="C4845" t="s">
        <v>229</v>
      </c>
      <c r="D4845">
        <v>1982</v>
      </c>
      <c r="E4845" t="s">
        <v>23</v>
      </c>
      <c r="F4845" t="s">
        <v>24</v>
      </c>
      <c r="G4845" t="s">
        <v>25</v>
      </c>
      <c r="H4845" t="s">
        <v>26</v>
      </c>
      <c r="I4845">
        <v>232187835</v>
      </c>
      <c r="J4845" t="s">
        <v>27</v>
      </c>
      <c r="K4845" t="s">
        <v>6625</v>
      </c>
      <c r="L4845" t="s">
        <v>21</v>
      </c>
    </row>
    <row r="4846" spans="1:12">
      <c r="A4846" t="s">
        <v>6627</v>
      </c>
      <c r="B4846" t="s">
        <v>6600</v>
      </c>
      <c r="C4846" t="s">
        <v>229</v>
      </c>
      <c r="D4846">
        <v>1982</v>
      </c>
      <c r="E4846" t="s">
        <v>29</v>
      </c>
      <c r="F4846" t="s">
        <v>30</v>
      </c>
      <c r="G4846" t="s">
        <v>31</v>
      </c>
      <c r="H4846" t="s">
        <v>32</v>
      </c>
      <c r="I4846">
        <v>25009.559140000001</v>
      </c>
      <c r="J4846" t="s">
        <v>33</v>
      </c>
      <c r="K4846" t="s">
        <v>6625</v>
      </c>
      <c r="L4846" t="s">
        <v>21</v>
      </c>
    </row>
    <row r="4847" spans="1:12">
      <c r="A4847" t="s">
        <v>6628</v>
      </c>
      <c r="B4847" t="s">
        <v>6600</v>
      </c>
      <c r="C4847" t="s">
        <v>229</v>
      </c>
      <c r="D4847">
        <v>1987</v>
      </c>
      <c r="E4847" t="s">
        <v>15</v>
      </c>
      <c r="F4847" t="s">
        <v>16</v>
      </c>
      <c r="G4847" t="s">
        <v>17</v>
      </c>
      <c r="H4847" t="s">
        <v>18</v>
      </c>
      <c r="I4847">
        <v>75.02</v>
      </c>
      <c r="J4847" t="s">
        <v>19</v>
      </c>
      <c r="K4847" t="s">
        <v>6629</v>
      </c>
      <c r="L4847" t="s">
        <v>21</v>
      </c>
    </row>
    <row r="4848" spans="1:12">
      <c r="A4848" t="s">
        <v>6630</v>
      </c>
      <c r="B4848" t="s">
        <v>6600</v>
      </c>
      <c r="C4848" t="s">
        <v>229</v>
      </c>
      <c r="D4848">
        <v>1987</v>
      </c>
      <c r="E4848" t="s">
        <v>23</v>
      </c>
      <c r="F4848" t="s">
        <v>24</v>
      </c>
      <c r="G4848" t="s">
        <v>25</v>
      </c>
      <c r="H4848" t="s">
        <v>26</v>
      </c>
      <c r="I4848">
        <v>242803533</v>
      </c>
      <c r="J4848" t="s">
        <v>27</v>
      </c>
      <c r="K4848" t="s">
        <v>6629</v>
      </c>
      <c r="L4848" t="s">
        <v>21</v>
      </c>
    </row>
    <row r="4849" spans="1:12">
      <c r="A4849" t="s">
        <v>6631</v>
      </c>
      <c r="B4849" t="s">
        <v>6600</v>
      </c>
      <c r="C4849" t="s">
        <v>229</v>
      </c>
      <c r="D4849">
        <v>1987</v>
      </c>
      <c r="E4849" t="s">
        <v>29</v>
      </c>
      <c r="F4849" t="s">
        <v>30</v>
      </c>
      <c r="G4849" t="s">
        <v>31</v>
      </c>
      <c r="H4849" t="s">
        <v>32</v>
      </c>
      <c r="I4849">
        <v>29884.350409999999</v>
      </c>
      <c r="J4849" t="s">
        <v>33</v>
      </c>
      <c r="K4849" t="s">
        <v>6629</v>
      </c>
      <c r="L4849" t="s">
        <v>21</v>
      </c>
    </row>
    <row r="4850" spans="1:12">
      <c r="A4850" t="s">
        <v>6632</v>
      </c>
      <c r="B4850" t="s">
        <v>6600</v>
      </c>
      <c r="C4850" t="s">
        <v>229</v>
      </c>
      <c r="D4850">
        <v>1992</v>
      </c>
      <c r="E4850" t="s">
        <v>15</v>
      </c>
      <c r="F4850" t="s">
        <v>16</v>
      </c>
      <c r="G4850" t="s">
        <v>17</v>
      </c>
      <c r="H4850" t="s">
        <v>18</v>
      </c>
      <c r="I4850">
        <v>76.09</v>
      </c>
      <c r="J4850" t="s">
        <v>19</v>
      </c>
      <c r="K4850" t="s">
        <v>6633</v>
      </c>
      <c r="L4850" t="s">
        <v>21</v>
      </c>
    </row>
    <row r="4851" spans="1:12">
      <c r="A4851" t="s">
        <v>6634</v>
      </c>
      <c r="B4851" t="s">
        <v>6600</v>
      </c>
      <c r="C4851" t="s">
        <v>229</v>
      </c>
      <c r="D4851">
        <v>1992</v>
      </c>
      <c r="E4851" t="s">
        <v>23</v>
      </c>
      <c r="F4851" t="s">
        <v>24</v>
      </c>
      <c r="G4851" t="s">
        <v>25</v>
      </c>
      <c r="H4851" t="s">
        <v>26</v>
      </c>
      <c r="I4851">
        <v>256894189</v>
      </c>
      <c r="J4851" t="s">
        <v>27</v>
      </c>
      <c r="K4851" t="s">
        <v>6633</v>
      </c>
      <c r="L4851" t="s">
        <v>21</v>
      </c>
    </row>
    <row r="4852" spans="1:12">
      <c r="A4852" t="s">
        <v>6635</v>
      </c>
      <c r="B4852" t="s">
        <v>6600</v>
      </c>
      <c r="C4852" t="s">
        <v>229</v>
      </c>
      <c r="D4852">
        <v>1992</v>
      </c>
      <c r="E4852" t="s">
        <v>29</v>
      </c>
      <c r="F4852" t="s">
        <v>30</v>
      </c>
      <c r="G4852" t="s">
        <v>31</v>
      </c>
      <c r="H4852" t="s">
        <v>32</v>
      </c>
      <c r="I4852">
        <v>32003.932239999998</v>
      </c>
      <c r="J4852" t="s">
        <v>33</v>
      </c>
      <c r="K4852" t="s">
        <v>6633</v>
      </c>
      <c r="L4852" t="s">
        <v>21</v>
      </c>
    </row>
    <row r="4853" spans="1:12">
      <c r="A4853" t="s">
        <v>6636</v>
      </c>
      <c r="B4853" t="s">
        <v>6600</v>
      </c>
      <c r="C4853" t="s">
        <v>229</v>
      </c>
      <c r="D4853">
        <v>1997</v>
      </c>
      <c r="E4853" t="s">
        <v>15</v>
      </c>
      <c r="F4853" t="s">
        <v>16</v>
      </c>
      <c r="G4853" t="s">
        <v>17</v>
      </c>
      <c r="H4853" t="s">
        <v>18</v>
      </c>
      <c r="I4853">
        <v>76.81</v>
      </c>
      <c r="J4853" t="s">
        <v>19</v>
      </c>
      <c r="K4853" t="s">
        <v>6637</v>
      </c>
      <c r="L4853" t="s">
        <v>21</v>
      </c>
    </row>
    <row r="4854" spans="1:12">
      <c r="A4854" t="s">
        <v>6638</v>
      </c>
      <c r="B4854" t="s">
        <v>6600</v>
      </c>
      <c r="C4854" t="s">
        <v>229</v>
      </c>
      <c r="D4854">
        <v>1997</v>
      </c>
      <c r="E4854" t="s">
        <v>23</v>
      </c>
      <c r="F4854" t="s">
        <v>24</v>
      </c>
      <c r="G4854" t="s">
        <v>25</v>
      </c>
      <c r="H4854" t="s">
        <v>26</v>
      </c>
      <c r="I4854">
        <v>272911760</v>
      </c>
      <c r="J4854" t="s">
        <v>27</v>
      </c>
      <c r="K4854" t="s">
        <v>6637</v>
      </c>
      <c r="L4854" t="s">
        <v>21</v>
      </c>
    </row>
    <row r="4855" spans="1:12">
      <c r="A4855" t="s">
        <v>6639</v>
      </c>
      <c r="B4855" t="s">
        <v>6600</v>
      </c>
      <c r="C4855" t="s">
        <v>229</v>
      </c>
      <c r="D4855">
        <v>1997</v>
      </c>
      <c r="E4855" t="s">
        <v>29</v>
      </c>
      <c r="F4855" t="s">
        <v>30</v>
      </c>
      <c r="G4855" t="s">
        <v>31</v>
      </c>
      <c r="H4855" t="s">
        <v>32</v>
      </c>
      <c r="I4855">
        <v>35767.43303</v>
      </c>
      <c r="J4855" t="s">
        <v>33</v>
      </c>
      <c r="K4855" t="s">
        <v>6637</v>
      </c>
      <c r="L4855" t="s">
        <v>21</v>
      </c>
    </row>
    <row r="4856" spans="1:12">
      <c r="A4856" t="s">
        <v>6640</v>
      </c>
      <c r="B4856" t="s">
        <v>6600</v>
      </c>
      <c r="C4856" t="s">
        <v>229</v>
      </c>
      <c r="D4856">
        <v>2002</v>
      </c>
      <c r="E4856" t="s">
        <v>15</v>
      </c>
      <c r="F4856" t="s">
        <v>16</v>
      </c>
      <c r="G4856" t="s">
        <v>17</v>
      </c>
      <c r="H4856" t="s">
        <v>18</v>
      </c>
      <c r="I4856">
        <v>77.31</v>
      </c>
      <c r="J4856" t="s">
        <v>19</v>
      </c>
      <c r="K4856" t="s">
        <v>6641</v>
      </c>
      <c r="L4856" t="s">
        <v>21</v>
      </c>
    </row>
    <row r="4857" spans="1:12">
      <c r="A4857" t="s">
        <v>6642</v>
      </c>
      <c r="B4857" t="s">
        <v>6600</v>
      </c>
      <c r="C4857" t="s">
        <v>229</v>
      </c>
      <c r="D4857">
        <v>2002</v>
      </c>
      <c r="E4857" t="s">
        <v>23</v>
      </c>
      <c r="F4857" t="s">
        <v>24</v>
      </c>
      <c r="G4857" t="s">
        <v>25</v>
      </c>
      <c r="H4857" t="s">
        <v>26</v>
      </c>
      <c r="I4857">
        <v>287675526</v>
      </c>
      <c r="J4857" t="s">
        <v>27</v>
      </c>
      <c r="K4857" t="s">
        <v>6641</v>
      </c>
      <c r="L4857" t="s">
        <v>21</v>
      </c>
    </row>
    <row r="4858" spans="1:12">
      <c r="A4858" t="s">
        <v>6643</v>
      </c>
      <c r="B4858" t="s">
        <v>6600</v>
      </c>
      <c r="C4858" t="s">
        <v>229</v>
      </c>
      <c r="D4858">
        <v>2002</v>
      </c>
      <c r="E4858" t="s">
        <v>29</v>
      </c>
      <c r="F4858" t="s">
        <v>30</v>
      </c>
      <c r="G4858" t="s">
        <v>31</v>
      </c>
      <c r="H4858" t="s">
        <v>32</v>
      </c>
      <c r="I4858">
        <v>39097.099549999999</v>
      </c>
      <c r="J4858" t="s">
        <v>33</v>
      </c>
      <c r="K4858" t="s">
        <v>6641</v>
      </c>
      <c r="L4858" t="s">
        <v>21</v>
      </c>
    </row>
    <row r="4859" spans="1:12">
      <c r="A4859" t="s">
        <v>6644</v>
      </c>
      <c r="B4859" t="s">
        <v>6600</v>
      </c>
      <c r="C4859" t="s">
        <v>229</v>
      </c>
      <c r="D4859">
        <v>2007</v>
      </c>
      <c r="E4859" t="s">
        <v>15</v>
      </c>
      <c r="F4859" t="s">
        <v>16</v>
      </c>
      <c r="G4859" t="s">
        <v>17</v>
      </c>
      <c r="H4859" t="s">
        <v>18</v>
      </c>
      <c r="I4859">
        <v>78.242000000000004</v>
      </c>
      <c r="J4859" t="s">
        <v>19</v>
      </c>
      <c r="K4859" t="s">
        <v>6645</v>
      </c>
      <c r="L4859" t="s">
        <v>21</v>
      </c>
    </row>
    <row r="4860" spans="1:12">
      <c r="A4860" t="s">
        <v>6646</v>
      </c>
      <c r="B4860" t="s">
        <v>6600</v>
      </c>
      <c r="C4860" t="s">
        <v>229</v>
      </c>
      <c r="D4860">
        <v>2007</v>
      </c>
      <c r="E4860" t="s">
        <v>23</v>
      </c>
      <c r="F4860" t="s">
        <v>24</v>
      </c>
      <c r="G4860" t="s">
        <v>25</v>
      </c>
      <c r="H4860" t="s">
        <v>26</v>
      </c>
      <c r="I4860">
        <v>301139947</v>
      </c>
      <c r="J4860" t="s">
        <v>27</v>
      </c>
      <c r="K4860" t="s">
        <v>6645</v>
      </c>
      <c r="L4860" t="s">
        <v>21</v>
      </c>
    </row>
    <row r="4861" spans="1:12">
      <c r="A4861" t="s">
        <v>6647</v>
      </c>
      <c r="B4861" t="s">
        <v>6600</v>
      </c>
      <c r="C4861" t="s">
        <v>229</v>
      </c>
      <c r="D4861">
        <v>2007</v>
      </c>
      <c r="E4861" t="s">
        <v>29</v>
      </c>
      <c r="F4861" t="s">
        <v>30</v>
      </c>
      <c r="G4861" t="s">
        <v>31</v>
      </c>
      <c r="H4861" t="s">
        <v>32</v>
      </c>
      <c r="I4861">
        <v>42951.65309</v>
      </c>
      <c r="J4861" t="s">
        <v>33</v>
      </c>
      <c r="K4861" t="s">
        <v>6645</v>
      </c>
      <c r="L4861" t="s">
        <v>21</v>
      </c>
    </row>
    <row r="4862" spans="1:12">
      <c r="A4862" t="s">
        <v>6648</v>
      </c>
      <c r="B4862" t="s">
        <v>6649</v>
      </c>
      <c r="C4862" t="s">
        <v>229</v>
      </c>
      <c r="D4862">
        <v>1952</v>
      </c>
      <c r="E4862" t="s">
        <v>15</v>
      </c>
      <c r="F4862" t="s">
        <v>16</v>
      </c>
      <c r="G4862" t="s">
        <v>17</v>
      </c>
      <c r="H4862" t="s">
        <v>18</v>
      </c>
      <c r="I4862">
        <v>66.070999999999998</v>
      </c>
      <c r="J4862" t="s">
        <v>19</v>
      </c>
      <c r="K4862" t="s">
        <v>6650</v>
      </c>
      <c r="L4862" t="s">
        <v>21</v>
      </c>
    </row>
    <row r="4863" spans="1:12">
      <c r="A4863" t="s">
        <v>6651</v>
      </c>
      <c r="B4863" t="s">
        <v>6649</v>
      </c>
      <c r="C4863" t="s">
        <v>229</v>
      </c>
      <c r="D4863">
        <v>1952</v>
      </c>
      <c r="E4863" t="s">
        <v>23</v>
      </c>
      <c r="F4863" t="s">
        <v>24</v>
      </c>
      <c r="G4863" t="s">
        <v>25</v>
      </c>
      <c r="H4863" t="s">
        <v>26</v>
      </c>
      <c r="I4863">
        <v>2252965</v>
      </c>
      <c r="J4863" t="s">
        <v>27</v>
      </c>
      <c r="K4863" t="s">
        <v>6650</v>
      </c>
      <c r="L4863" t="s">
        <v>21</v>
      </c>
    </row>
    <row r="4864" spans="1:12">
      <c r="A4864" t="s">
        <v>6652</v>
      </c>
      <c r="B4864" t="s">
        <v>6649</v>
      </c>
      <c r="C4864" t="s">
        <v>229</v>
      </c>
      <c r="D4864">
        <v>1952</v>
      </c>
      <c r="E4864" t="s">
        <v>29</v>
      </c>
      <c r="F4864" t="s">
        <v>30</v>
      </c>
      <c r="G4864" t="s">
        <v>31</v>
      </c>
      <c r="H4864" t="s">
        <v>32</v>
      </c>
      <c r="I4864">
        <v>5716.7667439999996</v>
      </c>
      <c r="J4864" t="s">
        <v>33</v>
      </c>
      <c r="K4864" t="s">
        <v>6650</v>
      </c>
      <c r="L4864" t="s">
        <v>21</v>
      </c>
    </row>
    <row r="4865" spans="1:12">
      <c r="A4865" t="s">
        <v>6653</v>
      </c>
      <c r="B4865" t="s">
        <v>6649</v>
      </c>
      <c r="C4865" t="s">
        <v>229</v>
      </c>
      <c r="D4865">
        <v>1957</v>
      </c>
      <c r="E4865" t="s">
        <v>15</v>
      </c>
      <c r="F4865" t="s">
        <v>16</v>
      </c>
      <c r="G4865" t="s">
        <v>17</v>
      </c>
      <c r="H4865" t="s">
        <v>18</v>
      </c>
      <c r="I4865">
        <v>67.043999999999997</v>
      </c>
      <c r="J4865" t="s">
        <v>19</v>
      </c>
      <c r="K4865" t="s">
        <v>6654</v>
      </c>
      <c r="L4865" t="s">
        <v>21</v>
      </c>
    </row>
    <row r="4866" spans="1:12">
      <c r="A4866" t="s">
        <v>6655</v>
      </c>
      <c r="B4866" t="s">
        <v>6649</v>
      </c>
      <c r="C4866" t="s">
        <v>229</v>
      </c>
      <c r="D4866">
        <v>1957</v>
      </c>
      <c r="E4866" t="s">
        <v>23</v>
      </c>
      <c r="F4866" t="s">
        <v>24</v>
      </c>
      <c r="G4866" t="s">
        <v>25</v>
      </c>
      <c r="H4866" t="s">
        <v>26</v>
      </c>
      <c r="I4866">
        <v>2424959</v>
      </c>
      <c r="J4866" t="s">
        <v>27</v>
      </c>
      <c r="K4866" t="s">
        <v>6654</v>
      </c>
      <c r="L4866" t="s">
        <v>21</v>
      </c>
    </row>
    <row r="4867" spans="1:12">
      <c r="A4867" t="s">
        <v>6656</v>
      </c>
      <c r="B4867" t="s">
        <v>6649</v>
      </c>
      <c r="C4867" t="s">
        <v>229</v>
      </c>
      <c r="D4867">
        <v>1957</v>
      </c>
      <c r="E4867" t="s">
        <v>29</v>
      </c>
      <c r="F4867" t="s">
        <v>30</v>
      </c>
      <c r="G4867" t="s">
        <v>31</v>
      </c>
      <c r="H4867" t="s">
        <v>32</v>
      </c>
      <c r="I4867">
        <v>6150.7729689999996</v>
      </c>
      <c r="J4867" t="s">
        <v>33</v>
      </c>
      <c r="K4867" t="s">
        <v>6654</v>
      </c>
      <c r="L4867" t="s">
        <v>21</v>
      </c>
    </row>
    <row r="4868" spans="1:12">
      <c r="A4868" t="s">
        <v>6657</v>
      </c>
      <c r="B4868" t="s">
        <v>6649</v>
      </c>
      <c r="C4868" t="s">
        <v>229</v>
      </c>
      <c r="D4868">
        <v>1962</v>
      </c>
      <c r="E4868" t="s">
        <v>15</v>
      </c>
      <c r="F4868" t="s">
        <v>16</v>
      </c>
      <c r="G4868" t="s">
        <v>17</v>
      </c>
      <c r="H4868" t="s">
        <v>18</v>
      </c>
      <c r="I4868">
        <v>68.253</v>
      </c>
      <c r="J4868" t="s">
        <v>19</v>
      </c>
      <c r="K4868" t="s">
        <v>6658</v>
      </c>
      <c r="L4868" t="s">
        <v>21</v>
      </c>
    </row>
    <row r="4869" spans="1:12">
      <c r="A4869" t="s">
        <v>6659</v>
      </c>
      <c r="B4869" t="s">
        <v>6649</v>
      </c>
      <c r="C4869" t="s">
        <v>229</v>
      </c>
      <c r="D4869">
        <v>1962</v>
      </c>
      <c r="E4869" t="s">
        <v>23</v>
      </c>
      <c r="F4869" t="s">
        <v>24</v>
      </c>
      <c r="G4869" t="s">
        <v>25</v>
      </c>
      <c r="H4869" t="s">
        <v>26</v>
      </c>
      <c r="I4869">
        <v>2598466</v>
      </c>
      <c r="J4869" t="s">
        <v>27</v>
      </c>
      <c r="K4869" t="s">
        <v>6658</v>
      </c>
      <c r="L4869" t="s">
        <v>21</v>
      </c>
    </row>
    <row r="4870" spans="1:12">
      <c r="A4870" t="s">
        <v>6660</v>
      </c>
      <c r="B4870" t="s">
        <v>6649</v>
      </c>
      <c r="C4870" t="s">
        <v>229</v>
      </c>
      <c r="D4870">
        <v>1962</v>
      </c>
      <c r="E4870" t="s">
        <v>29</v>
      </c>
      <c r="F4870" t="s">
        <v>30</v>
      </c>
      <c r="G4870" t="s">
        <v>31</v>
      </c>
      <c r="H4870" t="s">
        <v>32</v>
      </c>
      <c r="I4870">
        <v>5603.3577169999999</v>
      </c>
      <c r="J4870" t="s">
        <v>33</v>
      </c>
      <c r="K4870" t="s">
        <v>6658</v>
      </c>
      <c r="L4870" t="s">
        <v>21</v>
      </c>
    </row>
    <row r="4871" spans="1:12">
      <c r="A4871" t="s">
        <v>6661</v>
      </c>
      <c r="B4871" t="s">
        <v>6649</v>
      </c>
      <c r="C4871" t="s">
        <v>229</v>
      </c>
      <c r="D4871">
        <v>1967</v>
      </c>
      <c r="E4871" t="s">
        <v>15</v>
      </c>
      <c r="F4871" t="s">
        <v>16</v>
      </c>
      <c r="G4871" t="s">
        <v>17</v>
      </c>
      <c r="H4871" t="s">
        <v>18</v>
      </c>
      <c r="I4871">
        <v>68.468000000000004</v>
      </c>
      <c r="J4871" t="s">
        <v>19</v>
      </c>
      <c r="K4871" t="s">
        <v>6662</v>
      </c>
      <c r="L4871" t="s">
        <v>21</v>
      </c>
    </row>
    <row r="4872" spans="1:12">
      <c r="A4872" t="s">
        <v>6663</v>
      </c>
      <c r="B4872" t="s">
        <v>6649</v>
      </c>
      <c r="C4872" t="s">
        <v>229</v>
      </c>
      <c r="D4872">
        <v>1967</v>
      </c>
      <c r="E4872" t="s">
        <v>23</v>
      </c>
      <c r="F4872" t="s">
        <v>24</v>
      </c>
      <c r="G4872" t="s">
        <v>25</v>
      </c>
      <c r="H4872" t="s">
        <v>26</v>
      </c>
      <c r="I4872">
        <v>2748579</v>
      </c>
      <c r="J4872" t="s">
        <v>27</v>
      </c>
      <c r="K4872" t="s">
        <v>6662</v>
      </c>
      <c r="L4872" t="s">
        <v>21</v>
      </c>
    </row>
    <row r="4873" spans="1:12">
      <c r="A4873" t="s">
        <v>6664</v>
      </c>
      <c r="B4873" t="s">
        <v>6649</v>
      </c>
      <c r="C4873" t="s">
        <v>229</v>
      </c>
      <c r="D4873">
        <v>1967</v>
      </c>
      <c r="E4873" t="s">
        <v>29</v>
      </c>
      <c r="F4873" t="s">
        <v>30</v>
      </c>
      <c r="G4873" t="s">
        <v>31</v>
      </c>
      <c r="H4873" t="s">
        <v>32</v>
      </c>
      <c r="I4873">
        <v>5444.6196200000004</v>
      </c>
      <c r="J4873" t="s">
        <v>33</v>
      </c>
      <c r="K4873" t="s">
        <v>6662</v>
      </c>
      <c r="L4873" t="s">
        <v>21</v>
      </c>
    </row>
    <row r="4874" spans="1:12">
      <c r="A4874" t="s">
        <v>6665</v>
      </c>
      <c r="B4874" t="s">
        <v>6649</v>
      </c>
      <c r="C4874" t="s">
        <v>229</v>
      </c>
      <c r="D4874">
        <v>1972</v>
      </c>
      <c r="E4874" t="s">
        <v>15</v>
      </c>
      <c r="F4874" t="s">
        <v>16</v>
      </c>
      <c r="G4874" t="s">
        <v>17</v>
      </c>
      <c r="H4874" t="s">
        <v>18</v>
      </c>
      <c r="I4874">
        <v>68.673000000000002</v>
      </c>
      <c r="J4874" t="s">
        <v>19</v>
      </c>
      <c r="K4874" t="s">
        <v>6666</v>
      </c>
      <c r="L4874" t="s">
        <v>21</v>
      </c>
    </row>
    <row r="4875" spans="1:12">
      <c r="A4875" t="s">
        <v>6667</v>
      </c>
      <c r="B4875" t="s">
        <v>6649</v>
      </c>
      <c r="C4875" t="s">
        <v>229</v>
      </c>
      <c r="D4875">
        <v>1972</v>
      </c>
      <c r="E4875" t="s">
        <v>23</v>
      </c>
      <c r="F4875" t="s">
        <v>24</v>
      </c>
      <c r="G4875" t="s">
        <v>25</v>
      </c>
      <c r="H4875" t="s">
        <v>26</v>
      </c>
      <c r="I4875">
        <v>2829526</v>
      </c>
      <c r="J4875" t="s">
        <v>27</v>
      </c>
      <c r="K4875" t="s">
        <v>6666</v>
      </c>
      <c r="L4875" t="s">
        <v>21</v>
      </c>
    </row>
    <row r="4876" spans="1:12">
      <c r="A4876" t="s">
        <v>6668</v>
      </c>
      <c r="B4876" t="s">
        <v>6649</v>
      </c>
      <c r="C4876" t="s">
        <v>229</v>
      </c>
      <c r="D4876">
        <v>1972</v>
      </c>
      <c r="E4876" t="s">
        <v>29</v>
      </c>
      <c r="F4876" t="s">
        <v>30</v>
      </c>
      <c r="G4876" t="s">
        <v>31</v>
      </c>
      <c r="H4876" t="s">
        <v>32</v>
      </c>
      <c r="I4876">
        <v>5703.4088979999997</v>
      </c>
      <c r="J4876" t="s">
        <v>33</v>
      </c>
      <c r="K4876" t="s">
        <v>6666</v>
      </c>
      <c r="L4876" t="s">
        <v>21</v>
      </c>
    </row>
    <row r="4877" spans="1:12">
      <c r="A4877" t="s">
        <v>6669</v>
      </c>
      <c r="B4877" t="s">
        <v>6649</v>
      </c>
      <c r="C4877" t="s">
        <v>229</v>
      </c>
      <c r="D4877">
        <v>1977</v>
      </c>
      <c r="E4877" t="s">
        <v>15</v>
      </c>
      <c r="F4877" t="s">
        <v>16</v>
      </c>
      <c r="G4877" t="s">
        <v>17</v>
      </c>
      <c r="H4877" t="s">
        <v>18</v>
      </c>
      <c r="I4877">
        <v>69.480999999999995</v>
      </c>
      <c r="J4877" t="s">
        <v>19</v>
      </c>
      <c r="K4877" t="s">
        <v>6670</v>
      </c>
      <c r="L4877" t="s">
        <v>21</v>
      </c>
    </row>
    <row r="4878" spans="1:12">
      <c r="A4878" t="s">
        <v>6671</v>
      </c>
      <c r="B4878" t="s">
        <v>6649</v>
      </c>
      <c r="C4878" t="s">
        <v>229</v>
      </c>
      <c r="D4878">
        <v>1977</v>
      </c>
      <c r="E4878" t="s">
        <v>23</v>
      </c>
      <c r="F4878" t="s">
        <v>24</v>
      </c>
      <c r="G4878" t="s">
        <v>25</v>
      </c>
      <c r="H4878" t="s">
        <v>26</v>
      </c>
      <c r="I4878">
        <v>2873520</v>
      </c>
      <c r="J4878" t="s">
        <v>27</v>
      </c>
      <c r="K4878" t="s">
        <v>6670</v>
      </c>
      <c r="L4878" t="s">
        <v>21</v>
      </c>
    </row>
    <row r="4879" spans="1:12">
      <c r="A4879" t="s">
        <v>6672</v>
      </c>
      <c r="B4879" t="s">
        <v>6649</v>
      </c>
      <c r="C4879" t="s">
        <v>229</v>
      </c>
      <c r="D4879">
        <v>1977</v>
      </c>
      <c r="E4879" t="s">
        <v>29</v>
      </c>
      <c r="F4879" t="s">
        <v>30</v>
      </c>
      <c r="G4879" t="s">
        <v>31</v>
      </c>
      <c r="H4879" t="s">
        <v>32</v>
      </c>
      <c r="I4879">
        <v>6504.3396629999997</v>
      </c>
      <c r="J4879" t="s">
        <v>33</v>
      </c>
      <c r="K4879" t="s">
        <v>6670</v>
      </c>
      <c r="L4879" t="s">
        <v>21</v>
      </c>
    </row>
    <row r="4880" spans="1:12">
      <c r="A4880" t="s">
        <v>6673</v>
      </c>
      <c r="B4880" t="s">
        <v>6649</v>
      </c>
      <c r="C4880" t="s">
        <v>229</v>
      </c>
      <c r="D4880">
        <v>1982</v>
      </c>
      <c r="E4880" t="s">
        <v>15</v>
      </c>
      <c r="F4880" t="s">
        <v>16</v>
      </c>
      <c r="G4880" t="s">
        <v>17</v>
      </c>
      <c r="H4880" t="s">
        <v>18</v>
      </c>
      <c r="I4880">
        <v>70.805000000000007</v>
      </c>
      <c r="J4880" t="s">
        <v>19</v>
      </c>
      <c r="K4880" t="s">
        <v>6674</v>
      </c>
      <c r="L4880" t="s">
        <v>21</v>
      </c>
    </row>
    <row r="4881" spans="1:12">
      <c r="A4881" t="s">
        <v>6675</v>
      </c>
      <c r="B4881" t="s">
        <v>6649</v>
      </c>
      <c r="C4881" t="s">
        <v>229</v>
      </c>
      <c r="D4881">
        <v>1982</v>
      </c>
      <c r="E4881" t="s">
        <v>23</v>
      </c>
      <c r="F4881" t="s">
        <v>24</v>
      </c>
      <c r="G4881" t="s">
        <v>25</v>
      </c>
      <c r="H4881" t="s">
        <v>26</v>
      </c>
      <c r="I4881">
        <v>2953997</v>
      </c>
      <c r="J4881" t="s">
        <v>27</v>
      </c>
      <c r="K4881" t="s">
        <v>6674</v>
      </c>
      <c r="L4881" t="s">
        <v>21</v>
      </c>
    </row>
    <row r="4882" spans="1:12">
      <c r="A4882" t="s">
        <v>6676</v>
      </c>
      <c r="B4882" t="s">
        <v>6649</v>
      </c>
      <c r="C4882" t="s">
        <v>229</v>
      </c>
      <c r="D4882">
        <v>1982</v>
      </c>
      <c r="E4882" t="s">
        <v>29</v>
      </c>
      <c r="F4882" t="s">
        <v>30</v>
      </c>
      <c r="G4882" t="s">
        <v>31</v>
      </c>
      <c r="H4882" t="s">
        <v>32</v>
      </c>
      <c r="I4882">
        <v>6920.2230509999999</v>
      </c>
      <c r="J4882" t="s">
        <v>33</v>
      </c>
      <c r="K4882" t="s">
        <v>6674</v>
      </c>
      <c r="L4882" t="s">
        <v>21</v>
      </c>
    </row>
    <row r="4883" spans="1:12">
      <c r="A4883" t="s">
        <v>6677</v>
      </c>
      <c r="B4883" t="s">
        <v>6649</v>
      </c>
      <c r="C4883" t="s">
        <v>229</v>
      </c>
      <c r="D4883">
        <v>1987</v>
      </c>
      <c r="E4883" t="s">
        <v>15</v>
      </c>
      <c r="F4883" t="s">
        <v>16</v>
      </c>
      <c r="G4883" t="s">
        <v>17</v>
      </c>
      <c r="H4883" t="s">
        <v>18</v>
      </c>
      <c r="I4883">
        <v>71.918000000000006</v>
      </c>
      <c r="J4883" t="s">
        <v>19</v>
      </c>
      <c r="K4883" t="s">
        <v>6678</v>
      </c>
      <c r="L4883" t="s">
        <v>21</v>
      </c>
    </row>
    <row r="4884" spans="1:12">
      <c r="A4884" t="s">
        <v>6679</v>
      </c>
      <c r="B4884" t="s">
        <v>6649</v>
      </c>
      <c r="C4884" t="s">
        <v>229</v>
      </c>
      <c r="D4884">
        <v>1987</v>
      </c>
      <c r="E4884" t="s">
        <v>23</v>
      </c>
      <c r="F4884" t="s">
        <v>24</v>
      </c>
      <c r="G4884" t="s">
        <v>25</v>
      </c>
      <c r="H4884" t="s">
        <v>26</v>
      </c>
      <c r="I4884">
        <v>3045153</v>
      </c>
      <c r="J4884" t="s">
        <v>27</v>
      </c>
      <c r="K4884" t="s">
        <v>6678</v>
      </c>
      <c r="L4884" t="s">
        <v>21</v>
      </c>
    </row>
    <row r="4885" spans="1:12">
      <c r="A4885" t="s">
        <v>6680</v>
      </c>
      <c r="B4885" t="s">
        <v>6649</v>
      </c>
      <c r="C4885" t="s">
        <v>229</v>
      </c>
      <c r="D4885">
        <v>1987</v>
      </c>
      <c r="E4885" t="s">
        <v>29</v>
      </c>
      <c r="F4885" t="s">
        <v>30</v>
      </c>
      <c r="G4885" t="s">
        <v>31</v>
      </c>
      <c r="H4885" t="s">
        <v>32</v>
      </c>
      <c r="I4885">
        <v>7452.3989689999999</v>
      </c>
      <c r="J4885" t="s">
        <v>33</v>
      </c>
      <c r="K4885" t="s">
        <v>6678</v>
      </c>
      <c r="L4885" t="s">
        <v>21</v>
      </c>
    </row>
    <row r="4886" spans="1:12">
      <c r="A4886" t="s">
        <v>6681</v>
      </c>
      <c r="B4886" t="s">
        <v>6649</v>
      </c>
      <c r="C4886" t="s">
        <v>229</v>
      </c>
      <c r="D4886">
        <v>1992</v>
      </c>
      <c r="E4886" t="s">
        <v>15</v>
      </c>
      <c r="F4886" t="s">
        <v>16</v>
      </c>
      <c r="G4886" t="s">
        <v>17</v>
      </c>
      <c r="H4886" t="s">
        <v>18</v>
      </c>
      <c r="I4886">
        <v>72.751999999999995</v>
      </c>
      <c r="J4886" t="s">
        <v>19</v>
      </c>
      <c r="K4886" t="s">
        <v>6682</v>
      </c>
      <c r="L4886" t="s">
        <v>21</v>
      </c>
    </row>
    <row r="4887" spans="1:12">
      <c r="A4887" t="s">
        <v>6683</v>
      </c>
      <c r="B4887" t="s">
        <v>6649</v>
      </c>
      <c r="C4887" t="s">
        <v>229</v>
      </c>
      <c r="D4887">
        <v>1992</v>
      </c>
      <c r="E4887" t="s">
        <v>23</v>
      </c>
      <c r="F4887" t="s">
        <v>24</v>
      </c>
      <c r="G4887" t="s">
        <v>25</v>
      </c>
      <c r="H4887" t="s">
        <v>26</v>
      </c>
      <c r="I4887">
        <v>3149262</v>
      </c>
      <c r="J4887" t="s">
        <v>27</v>
      </c>
      <c r="K4887" t="s">
        <v>6682</v>
      </c>
      <c r="L4887" t="s">
        <v>21</v>
      </c>
    </row>
    <row r="4888" spans="1:12">
      <c r="A4888" t="s">
        <v>6684</v>
      </c>
      <c r="B4888" t="s">
        <v>6649</v>
      </c>
      <c r="C4888" t="s">
        <v>229</v>
      </c>
      <c r="D4888">
        <v>1992</v>
      </c>
      <c r="E4888" t="s">
        <v>29</v>
      </c>
      <c r="F4888" t="s">
        <v>30</v>
      </c>
      <c r="G4888" t="s">
        <v>31</v>
      </c>
      <c r="H4888" t="s">
        <v>32</v>
      </c>
      <c r="I4888">
        <v>8137.0047750000003</v>
      </c>
      <c r="J4888" t="s">
        <v>33</v>
      </c>
      <c r="K4888" t="s">
        <v>6682</v>
      </c>
      <c r="L4888" t="s">
        <v>21</v>
      </c>
    </row>
    <row r="4889" spans="1:12">
      <c r="A4889" t="s">
        <v>6685</v>
      </c>
      <c r="B4889" t="s">
        <v>6649</v>
      </c>
      <c r="C4889" t="s">
        <v>229</v>
      </c>
      <c r="D4889">
        <v>1997</v>
      </c>
      <c r="E4889" t="s">
        <v>15</v>
      </c>
      <c r="F4889" t="s">
        <v>16</v>
      </c>
      <c r="G4889" t="s">
        <v>17</v>
      </c>
      <c r="H4889" t="s">
        <v>18</v>
      </c>
      <c r="I4889">
        <v>74.222999999999999</v>
      </c>
      <c r="J4889" t="s">
        <v>19</v>
      </c>
      <c r="K4889" t="s">
        <v>6686</v>
      </c>
      <c r="L4889" t="s">
        <v>21</v>
      </c>
    </row>
    <row r="4890" spans="1:12">
      <c r="A4890" t="s">
        <v>6687</v>
      </c>
      <c r="B4890" t="s">
        <v>6649</v>
      </c>
      <c r="C4890" t="s">
        <v>229</v>
      </c>
      <c r="D4890">
        <v>1997</v>
      </c>
      <c r="E4890" t="s">
        <v>23</v>
      </c>
      <c r="F4890" t="s">
        <v>24</v>
      </c>
      <c r="G4890" t="s">
        <v>25</v>
      </c>
      <c r="H4890" t="s">
        <v>26</v>
      </c>
      <c r="I4890">
        <v>3262838</v>
      </c>
      <c r="J4890" t="s">
        <v>27</v>
      </c>
      <c r="K4890" t="s">
        <v>6686</v>
      </c>
      <c r="L4890" t="s">
        <v>21</v>
      </c>
    </row>
    <row r="4891" spans="1:12">
      <c r="A4891" t="s">
        <v>6688</v>
      </c>
      <c r="B4891" t="s">
        <v>6649</v>
      </c>
      <c r="C4891" t="s">
        <v>229</v>
      </c>
      <c r="D4891">
        <v>1997</v>
      </c>
      <c r="E4891" t="s">
        <v>29</v>
      </c>
      <c r="F4891" t="s">
        <v>30</v>
      </c>
      <c r="G4891" t="s">
        <v>31</v>
      </c>
      <c r="H4891" t="s">
        <v>32</v>
      </c>
      <c r="I4891">
        <v>9230.2407079999994</v>
      </c>
      <c r="J4891" t="s">
        <v>33</v>
      </c>
      <c r="K4891" t="s">
        <v>6686</v>
      </c>
      <c r="L4891" t="s">
        <v>21</v>
      </c>
    </row>
    <row r="4892" spans="1:12">
      <c r="A4892" t="s">
        <v>6689</v>
      </c>
      <c r="B4892" t="s">
        <v>6649</v>
      </c>
      <c r="C4892" t="s">
        <v>229</v>
      </c>
      <c r="D4892">
        <v>2002</v>
      </c>
      <c r="E4892" t="s">
        <v>15</v>
      </c>
      <c r="F4892" t="s">
        <v>16</v>
      </c>
      <c r="G4892" t="s">
        <v>17</v>
      </c>
      <c r="H4892" t="s">
        <v>18</v>
      </c>
      <c r="I4892">
        <v>75.307000000000002</v>
      </c>
      <c r="J4892" t="s">
        <v>19</v>
      </c>
      <c r="K4892" t="s">
        <v>6690</v>
      </c>
      <c r="L4892" t="s">
        <v>21</v>
      </c>
    </row>
    <row r="4893" spans="1:12">
      <c r="A4893" t="s">
        <v>6691</v>
      </c>
      <c r="B4893" t="s">
        <v>6649</v>
      </c>
      <c r="C4893" t="s">
        <v>229</v>
      </c>
      <c r="D4893">
        <v>2002</v>
      </c>
      <c r="E4893" t="s">
        <v>23</v>
      </c>
      <c r="F4893" t="s">
        <v>24</v>
      </c>
      <c r="G4893" t="s">
        <v>25</v>
      </c>
      <c r="H4893" t="s">
        <v>26</v>
      </c>
      <c r="I4893">
        <v>3363085</v>
      </c>
      <c r="J4893" t="s">
        <v>27</v>
      </c>
      <c r="K4893" t="s">
        <v>6690</v>
      </c>
      <c r="L4893" t="s">
        <v>21</v>
      </c>
    </row>
    <row r="4894" spans="1:12">
      <c r="A4894" t="s">
        <v>6692</v>
      </c>
      <c r="B4894" t="s">
        <v>6649</v>
      </c>
      <c r="C4894" t="s">
        <v>229</v>
      </c>
      <c r="D4894">
        <v>2002</v>
      </c>
      <c r="E4894" t="s">
        <v>29</v>
      </c>
      <c r="F4894" t="s">
        <v>30</v>
      </c>
      <c r="G4894" t="s">
        <v>31</v>
      </c>
      <c r="H4894" t="s">
        <v>32</v>
      </c>
      <c r="I4894">
        <v>7727.0020039999999</v>
      </c>
      <c r="J4894" t="s">
        <v>33</v>
      </c>
      <c r="K4894" t="s">
        <v>6690</v>
      </c>
      <c r="L4894" t="s">
        <v>21</v>
      </c>
    </row>
    <row r="4895" spans="1:12">
      <c r="A4895" t="s">
        <v>6693</v>
      </c>
      <c r="B4895" t="s">
        <v>6649</v>
      </c>
      <c r="C4895" t="s">
        <v>229</v>
      </c>
      <c r="D4895">
        <v>2007</v>
      </c>
      <c r="E4895" t="s">
        <v>15</v>
      </c>
      <c r="F4895" t="s">
        <v>16</v>
      </c>
      <c r="G4895" t="s">
        <v>17</v>
      </c>
      <c r="H4895" t="s">
        <v>18</v>
      </c>
      <c r="I4895">
        <v>76.384</v>
      </c>
      <c r="J4895" t="s">
        <v>19</v>
      </c>
      <c r="K4895" t="s">
        <v>6694</v>
      </c>
      <c r="L4895" t="s">
        <v>21</v>
      </c>
    </row>
    <row r="4896" spans="1:12">
      <c r="A4896" t="s">
        <v>6695</v>
      </c>
      <c r="B4896" t="s">
        <v>6649</v>
      </c>
      <c r="C4896" t="s">
        <v>229</v>
      </c>
      <c r="D4896">
        <v>2007</v>
      </c>
      <c r="E4896" t="s">
        <v>23</v>
      </c>
      <c r="F4896" t="s">
        <v>24</v>
      </c>
      <c r="G4896" t="s">
        <v>25</v>
      </c>
      <c r="H4896" t="s">
        <v>26</v>
      </c>
      <c r="I4896">
        <v>3447496</v>
      </c>
      <c r="J4896" t="s">
        <v>27</v>
      </c>
      <c r="K4896" t="s">
        <v>6694</v>
      </c>
      <c r="L4896" t="s">
        <v>21</v>
      </c>
    </row>
    <row r="4897" spans="1:12">
      <c r="A4897" t="s">
        <v>6696</v>
      </c>
      <c r="B4897" t="s">
        <v>6649</v>
      </c>
      <c r="C4897" t="s">
        <v>229</v>
      </c>
      <c r="D4897">
        <v>2007</v>
      </c>
      <c r="E4897" t="s">
        <v>29</v>
      </c>
      <c r="F4897" t="s">
        <v>30</v>
      </c>
      <c r="G4897" t="s">
        <v>31</v>
      </c>
      <c r="H4897" t="s">
        <v>32</v>
      </c>
      <c r="I4897">
        <v>10611.46299</v>
      </c>
      <c r="J4897" t="s">
        <v>33</v>
      </c>
      <c r="K4897" t="s">
        <v>6694</v>
      </c>
      <c r="L4897" t="s">
        <v>21</v>
      </c>
    </row>
    <row r="4898" spans="1:12">
      <c r="A4898" t="s">
        <v>6697</v>
      </c>
      <c r="B4898" t="s">
        <v>6698</v>
      </c>
      <c r="C4898" t="s">
        <v>229</v>
      </c>
      <c r="D4898">
        <v>1952</v>
      </c>
      <c r="E4898" t="s">
        <v>15</v>
      </c>
      <c r="F4898" t="s">
        <v>16</v>
      </c>
      <c r="G4898" t="s">
        <v>17</v>
      </c>
      <c r="H4898" t="s">
        <v>18</v>
      </c>
      <c r="I4898">
        <v>55.088000000000001</v>
      </c>
      <c r="J4898" t="s">
        <v>19</v>
      </c>
      <c r="K4898" t="s">
        <v>6699</v>
      </c>
      <c r="L4898" t="s">
        <v>21</v>
      </c>
    </row>
    <row r="4899" spans="1:12">
      <c r="A4899" t="s">
        <v>6700</v>
      </c>
      <c r="B4899" t="s">
        <v>6698</v>
      </c>
      <c r="C4899" t="s">
        <v>229</v>
      </c>
      <c r="D4899">
        <v>1952</v>
      </c>
      <c r="E4899" t="s">
        <v>23</v>
      </c>
      <c r="F4899" t="s">
        <v>24</v>
      </c>
      <c r="G4899" t="s">
        <v>25</v>
      </c>
      <c r="H4899" t="s">
        <v>26</v>
      </c>
      <c r="I4899">
        <v>5439568</v>
      </c>
      <c r="J4899" t="s">
        <v>27</v>
      </c>
      <c r="K4899" t="s">
        <v>6699</v>
      </c>
      <c r="L4899" t="s">
        <v>21</v>
      </c>
    </row>
    <row r="4900" spans="1:12">
      <c r="A4900" t="s">
        <v>6701</v>
      </c>
      <c r="B4900" t="s">
        <v>6698</v>
      </c>
      <c r="C4900" t="s">
        <v>229</v>
      </c>
      <c r="D4900">
        <v>1952</v>
      </c>
      <c r="E4900" t="s">
        <v>29</v>
      </c>
      <c r="F4900" t="s">
        <v>30</v>
      </c>
      <c r="G4900" t="s">
        <v>31</v>
      </c>
      <c r="H4900" t="s">
        <v>32</v>
      </c>
      <c r="I4900">
        <v>7689.7997610000002</v>
      </c>
      <c r="J4900" t="s">
        <v>33</v>
      </c>
      <c r="K4900" t="s">
        <v>6699</v>
      </c>
      <c r="L4900" t="s">
        <v>21</v>
      </c>
    </row>
    <row r="4901" spans="1:12">
      <c r="A4901" t="s">
        <v>6702</v>
      </c>
      <c r="B4901" t="s">
        <v>6698</v>
      </c>
      <c r="C4901" t="s">
        <v>229</v>
      </c>
      <c r="D4901">
        <v>1957</v>
      </c>
      <c r="E4901" t="s">
        <v>15</v>
      </c>
      <c r="F4901" t="s">
        <v>16</v>
      </c>
      <c r="G4901" t="s">
        <v>17</v>
      </c>
      <c r="H4901" t="s">
        <v>18</v>
      </c>
      <c r="I4901">
        <v>57.906999999999996</v>
      </c>
      <c r="J4901" t="s">
        <v>19</v>
      </c>
      <c r="K4901" t="s">
        <v>6703</v>
      </c>
      <c r="L4901" t="s">
        <v>21</v>
      </c>
    </row>
    <row r="4902" spans="1:12">
      <c r="A4902" t="s">
        <v>6704</v>
      </c>
      <c r="B4902" t="s">
        <v>6698</v>
      </c>
      <c r="C4902" t="s">
        <v>229</v>
      </c>
      <c r="D4902">
        <v>1957</v>
      </c>
      <c r="E4902" t="s">
        <v>23</v>
      </c>
      <c r="F4902" t="s">
        <v>24</v>
      </c>
      <c r="G4902" t="s">
        <v>25</v>
      </c>
      <c r="H4902" t="s">
        <v>26</v>
      </c>
      <c r="I4902">
        <v>6702668</v>
      </c>
      <c r="J4902" t="s">
        <v>27</v>
      </c>
      <c r="K4902" t="s">
        <v>6703</v>
      </c>
      <c r="L4902" t="s">
        <v>21</v>
      </c>
    </row>
    <row r="4903" spans="1:12">
      <c r="A4903" t="s">
        <v>6705</v>
      </c>
      <c r="B4903" t="s">
        <v>6698</v>
      </c>
      <c r="C4903" t="s">
        <v>229</v>
      </c>
      <c r="D4903">
        <v>1957</v>
      </c>
      <c r="E4903" t="s">
        <v>29</v>
      </c>
      <c r="F4903" t="s">
        <v>30</v>
      </c>
      <c r="G4903" t="s">
        <v>31</v>
      </c>
      <c r="H4903" t="s">
        <v>32</v>
      </c>
      <c r="I4903">
        <v>9802.4665260000002</v>
      </c>
      <c r="J4903" t="s">
        <v>33</v>
      </c>
      <c r="K4903" t="s">
        <v>6703</v>
      </c>
      <c r="L4903" t="s">
        <v>21</v>
      </c>
    </row>
    <row r="4904" spans="1:12">
      <c r="A4904" t="s">
        <v>6706</v>
      </c>
      <c r="B4904" t="s">
        <v>6698</v>
      </c>
      <c r="C4904" t="s">
        <v>229</v>
      </c>
      <c r="D4904">
        <v>1962</v>
      </c>
      <c r="E4904" t="s">
        <v>15</v>
      </c>
      <c r="F4904" t="s">
        <v>16</v>
      </c>
      <c r="G4904" t="s">
        <v>17</v>
      </c>
      <c r="H4904" t="s">
        <v>18</v>
      </c>
      <c r="I4904">
        <v>60.77</v>
      </c>
      <c r="J4904" t="s">
        <v>19</v>
      </c>
      <c r="K4904" t="s">
        <v>6707</v>
      </c>
      <c r="L4904" t="s">
        <v>21</v>
      </c>
    </row>
    <row r="4905" spans="1:12">
      <c r="A4905" t="s">
        <v>6708</v>
      </c>
      <c r="B4905" t="s">
        <v>6698</v>
      </c>
      <c r="C4905" t="s">
        <v>229</v>
      </c>
      <c r="D4905">
        <v>1962</v>
      </c>
      <c r="E4905" t="s">
        <v>23</v>
      </c>
      <c r="F4905" t="s">
        <v>24</v>
      </c>
      <c r="G4905" t="s">
        <v>25</v>
      </c>
      <c r="H4905" t="s">
        <v>26</v>
      </c>
      <c r="I4905">
        <v>8143375</v>
      </c>
      <c r="J4905" t="s">
        <v>27</v>
      </c>
      <c r="K4905" t="s">
        <v>6707</v>
      </c>
      <c r="L4905" t="s">
        <v>21</v>
      </c>
    </row>
    <row r="4906" spans="1:12">
      <c r="A4906" t="s">
        <v>6709</v>
      </c>
      <c r="B4906" t="s">
        <v>6698</v>
      </c>
      <c r="C4906" t="s">
        <v>229</v>
      </c>
      <c r="D4906">
        <v>1962</v>
      </c>
      <c r="E4906" t="s">
        <v>29</v>
      </c>
      <c r="F4906" t="s">
        <v>30</v>
      </c>
      <c r="G4906" t="s">
        <v>31</v>
      </c>
      <c r="H4906" t="s">
        <v>32</v>
      </c>
      <c r="I4906">
        <v>8422.9741649999996</v>
      </c>
      <c r="J4906" t="s">
        <v>33</v>
      </c>
      <c r="K4906" t="s">
        <v>6707</v>
      </c>
      <c r="L4906" t="s">
        <v>21</v>
      </c>
    </row>
    <row r="4907" spans="1:12">
      <c r="A4907" t="s">
        <v>6710</v>
      </c>
      <c r="B4907" t="s">
        <v>6698</v>
      </c>
      <c r="C4907" t="s">
        <v>229</v>
      </c>
      <c r="D4907">
        <v>1967</v>
      </c>
      <c r="E4907" t="s">
        <v>15</v>
      </c>
      <c r="F4907" t="s">
        <v>16</v>
      </c>
      <c r="G4907" t="s">
        <v>17</v>
      </c>
      <c r="H4907" t="s">
        <v>18</v>
      </c>
      <c r="I4907">
        <v>63.478999999999999</v>
      </c>
      <c r="J4907" t="s">
        <v>19</v>
      </c>
      <c r="K4907" t="s">
        <v>6711</v>
      </c>
      <c r="L4907" t="s">
        <v>21</v>
      </c>
    </row>
    <row r="4908" spans="1:12">
      <c r="A4908" t="s">
        <v>6712</v>
      </c>
      <c r="B4908" t="s">
        <v>6698</v>
      </c>
      <c r="C4908" t="s">
        <v>229</v>
      </c>
      <c r="D4908">
        <v>1967</v>
      </c>
      <c r="E4908" t="s">
        <v>23</v>
      </c>
      <c r="F4908" t="s">
        <v>24</v>
      </c>
      <c r="G4908" t="s">
        <v>25</v>
      </c>
      <c r="H4908" t="s">
        <v>26</v>
      </c>
      <c r="I4908">
        <v>9709552</v>
      </c>
      <c r="J4908" t="s">
        <v>27</v>
      </c>
      <c r="K4908" t="s">
        <v>6711</v>
      </c>
      <c r="L4908" t="s">
        <v>21</v>
      </c>
    </row>
    <row r="4909" spans="1:12">
      <c r="A4909" t="s">
        <v>6713</v>
      </c>
      <c r="B4909" t="s">
        <v>6698</v>
      </c>
      <c r="C4909" t="s">
        <v>229</v>
      </c>
      <c r="D4909">
        <v>1967</v>
      </c>
      <c r="E4909" t="s">
        <v>29</v>
      </c>
      <c r="F4909" t="s">
        <v>30</v>
      </c>
      <c r="G4909" t="s">
        <v>31</v>
      </c>
      <c r="H4909" t="s">
        <v>32</v>
      </c>
      <c r="I4909">
        <v>9541.4741880000001</v>
      </c>
      <c r="J4909" t="s">
        <v>33</v>
      </c>
      <c r="K4909" t="s">
        <v>6711</v>
      </c>
      <c r="L4909" t="s">
        <v>21</v>
      </c>
    </row>
    <row r="4910" spans="1:12">
      <c r="A4910" t="s">
        <v>6714</v>
      </c>
      <c r="B4910" t="s">
        <v>6698</v>
      </c>
      <c r="C4910" t="s">
        <v>229</v>
      </c>
      <c r="D4910">
        <v>1972</v>
      </c>
      <c r="E4910" t="s">
        <v>15</v>
      </c>
      <c r="F4910" t="s">
        <v>16</v>
      </c>
      <c r="G4910" t="s">
        <v>17</v>
      </c>
      <c r="H4910" t="s">
        <v>18</v>
      </c>
      <c r="I4910">
        <v>65.712000000000003</v>
      </c>
      <c r="J4910" t="s">
        <v>19</v>
      </c>
      <c r="K4910" t="s">
        <v>6715</v>
      </c>
      <c r="L4910" t="s">
        <v>21</v>
      </c>
    </row>
    <row r="4911" spans="1:12">
      <c r="A4911" t="s">
        <v>6716</v>
      </c>
      <c r="B4911" t="s">
        <v>6698</v>
      </c>
      <c r="C4911" t="s">
        <v>229</v>
      </c>
      <c r="D4911">
        <v>1972</v>
      </c>
      <c r="E4911" t="s">
        <v>23</v>
      </c>
      <c r="F4911" t="s">
        <v>24</v>
      </c>
      <c r="G4911" t="s">
        <v>25</v>
      </c>
      <c r="H4911" t="s">
        <v>26</v>
      </c>
      <c r="I4911">
        <v>11515649</v>
      </c>
      <c r="J4911" t="s">
        <v>27</v>
      </c>
      <c r="K4911" t="s">
        <v>6715</v>
      </c>
      <c r="L4911" t="s">
        <v>21</v>
      </c>
    </row>
    <row r="4912" spans="1:12">
      <c r="A4912" t="s">
        <v>6717</v>
      </c>
      <c r="B4912" t="s">
        <v>6698</v>
      </c>
      <c r="C4912" t="s">
        <v>229</v>
      </c>
      <c r="D4912">
        <v>1972</v>
      </c>
      <c r="E4912" t="s">
        <v>29</v>
      </c>
      <c r="F4912" t="s">
        <v>30</v>
      </c>
      <c r="G4912" t="s">
        <v>31</v>
      </c>
      <c r="H4912" t="s">
        <v>32</v>
      </c>
      <c r="I4912">
        <v>10505.25966</v>
      </c>
      <c r="J4912" t="s">
        <v>33</v>
      </c>
      <c r="K4912" t="s">
        <v>6715</v>
      </c>
      <c r="L4912" t="s">
        <v>21</v>
      </c>
    </row>
    <row r="4913" spans="1:12">
      <c r="A4913" t="s">
        <v>6718</v>
      </c>
      <c r="B4913" t="s">
        <v>6698</v>
      </c>
      <c r="C4913" t="s">
        <v>229</v>
      </c>
      <c r="D4913">
        <v>1977</v>
      </c>
      <c r="E4913" t="s">
        <v>15</v>
      </c>
      <c r="F4913" t="s">
        <v>16</v>
      </c>
      <c r="G4913" t="s">
        <v>17</v>
      </c>
      <c r="H4913" t="s">
        <v>18</v>
      </c>
      <c r="I4913">
        <v>67.456000000000003</v>
      </c>
      <c r="J4913" t="s">
        <v>19</v>
      </c>
      <c r="K4913" t="s">
        <v>6719</v>
      </c>
      <c r="L4913" t="s">
        <v>21</v>
      </c>
    </row>
    <row r="4914" spans="1:12">
      <c r="A4914" t="s">
        <v>6720</v>
      </c>
      <c r="B4914" t="s">
        <v>6698</v>
      </c>
      <c r="C4914" t="s">
        <v>229</v>
      </c>
      <c r="D4914">
        <v>1977</v>
      </c>
      <c r="E4914" t="s">
        <v>23</v>
      </c>
      <c r="F4914" t="s">
        <v>24</v>
      </c>
      <c r="G4914" t="s">
        <v>25</v>
      </c>
      <c r="H4914" t="s">
        <v>26</v>
      </c>
      <c r="I4914">
        <v>13503563</v>
      </c>
      <c r="J4914" t="s">
        <v>27</v>
      </c>
      <c r="K4914" t="s">
        <v>6719</v>
      </c>
      <c r="L4914" t="s">
        <v>21</v>
      </c>
    </row>
    <row r="4915" spans="1:12">
      <c r="A4915" t="s">
        <v>6721</v>
      </c>
      <c r="B4915" t="s">
        <v>6698</v>
      </c>
      <c r="C4915" t="s">
        <v>229</v>
      </c>
      <c r="D4915">
        <v>1977</v>
      </c>
      <c r="E4915" t="s">
        <v>29</v>
      </c>
      <c r="F4915" t="s">
        <v>30</v>
      </c>
      <c r="G4915" t="s">
        <v>31</v>
      </c>
      <c r="H4915" t="s">
        <v>32</v>
      </c>
      <c r="I4915">
        <v>13143.95095</v>
      </c>
      <c r="J4915" t="s">
        <v>33</v>
      </c>
      <c r="K4915" t="s">
        <v>6719</v>
      </c>
      <c r="L4915" t="s">
        <v>21</v>
      </c>
    </row>
    <row r="4916" spans="1:12">
      <c r="A4916" t="s">
        <v>6722</v>
      </c>
      <c r="B4916" t="s">
        <v>6698</v>
      </c>
      <c r="C4916" t="s">
        <v>229</v>
      </c>
      <c r="D4916">
        <v>1982</v>
      </c>
      <c r="E4916" t="s">
        <v>15</v>
      </c>
      <c r="F4916" t="s">
        <v>16</v>
      </c>
      <c r="G4916" t="s">
        <v>17</v>
      </c>
      <c r="H4916" t="s">
        <v>18</v>
      </c>
      <c r="I4916">
        <v>68.557000000000002</v>
      </c>
      <c r="J4916" t="s">
        <v>19</v>
      </c>
      <c r="K4916" t="s">
        <v>6723</v>
      </c>
      <c r="L4916" t="s">
        <v>21</v>
      </c>
    </row>
    <row r="4917" spans="1:12">
      <c r="A4917" t="s">
        <v>6724</v>
      </c>
      <c r="B4917" t="s">
        <v>6698</v>
      </c>
      <c r="C4917" t="s">
        <v>229</v>
      </c>
      <c r="D4917">
        <v>1982</v>
      </c>
      <c r="E4917" t="s">
        <v>23</v>
      </c>
      <c r="F4917" t="s">
        <v>24</v>
      </c>
      <c r="G4917" t="s">
        <v>25</v>
      </c>
      <c r="H4917" t="s">
        <v>26</v>
      </c>
      <c r="I4917">
        <v>15620766</v>
      </c>
      <c r="J4917" t="s">
        <v>27</v>
      </c>
      <c r="K4917" t="s">
        <v>6723</v>
      </c>
      <c r="L4917" t="s">
        <v>21</v>
      </c>
    </row>
    <row r="4918" spans="1:12">
      <c r="A4918" t="s">
        <v>6725</v>
      </c>
      <c r="B4918" t="s">
        <v>6698</v>
      </c>
      <c r="C4918" t="s">
        <v>229</v>
      </c>
      <c r="D4918">
        <v>1982</v>
      </c>
      <c r="E4918" t="s">
        <v>29</v>
      </c>
      <c r="F4918" t="s">
        <v>30</v>
      </c>
      <c r="G4918" t="s">
        <v>31</v>
      </c>
      <c r="H4918" t="s">
        <v>32</v>
      </c>
      <c r="I4918">
        <v>11152.410110000001</v>
      </c>
      <c r="J4918" t="s">
        <v>33</v>
      </c>
      <c r="K4918" t="s">
        <v>6723</v>
      </c>
      <c r="L4918" t="s">
        <v>21</v>
      </c>
    </row>
    <row r="4919" spans="1:12">
      <c r="A4919" t="s">
        <v>6726</v>
      </c>
      <c r="B4919" t="s">
        <v>6698</v>
      </c>
      <c r="C4919" t="s">
        <v>229</v>
      </c>
      <c r="D4919">
        <v>1987</v>
      </c>
      <c r="E4919" t="s">
        <v>15</v>
      </c>
      <c r="F4919" t="s">
        <v>16</v>
      </c>
      <c r="G4919" t="s">
        <v>17</v>
      </c>
      <c r="H4919" t="s">
        <v>18</v>
      </c>
      <c r="I4919">
        <v>70.19</v>
      </c>
      <c r="J4919" t="s">
        <v>19</v>
      </c>
      <c r="K4919" t="s">
        <v>6727</v>
      </c>
      <c r="L4919" t="s">
        <v>21</v>
      </c>
    </row>
    <row r="4920" spans="1:12">
      <c r="A4920" t="s">
        <v>6728</v>
      </c>
      <c r="B4920" t="s">
        <v>6698</v>
      </c>
      <c r="C4920" t="s">
        <v>229</v>
      </c>
      <c r="D4920">
        <v>1987</v>
      </c>
      <c r="E4920" t="s">
        <v>23</v>
      </c>
      <c r="F4920" t="s">
        <v>24</v>
      </c>
      <c r="G4920" t="s">
        <v>25</v>
      </c>
      <c r="H4920" t="s">
        <v>26</v>
      </c>
      <c r="I4920">
        <v>17910182</v>
      </c>
      <c r="J4920" t="s">
        <v>27</v>
      </c>
      <c r="K4920" t="s">
        <v>6727</v>
      </c>
      <c r="L4920" t="s">
        <v>21</v>
      </c>
    </row>
    <row r="4921" spans="1:12">
      <c r="A4921" t="s">
        <v>6729</v>
      </c>
      <c r="B4921" t="s">
        <v>6698</v>
      </c>
      <c r="C4921" t="s">
        <v>229</v>
      </c>
      <c r="D4921">
        <v>1987</v>
      </c>
      <c r="E4921" t="s">
        <v>29</v>
      </c>
      <c r="F4921" t="s">
        <v>30</v>
      </c>
      <c r="G4921" t="s">
        <v>31</v>
      </c>
      <c r="H4921" t="s">
        <v>32</v>
      </c>
      <c r="I4921">
        <v>9883.584648</v>
      </c>
      <c r="J4921" t="s">
        <v>33</v>
      </c>
      <c r="K4921" t="s">
        <v>6727</v>
      </c>
      <c r="L4921" t="s">
        <v>21</v>
      </c>
    </row>
    <row r="4922" spans="1:12">
      <c r="A4922" t="s">
        <v>6730</v>
      </c>
      <c r="B4922" t="s">
        <v>6698</v>
      </c>
      <c r="C4922" t="s">
        <v>229</v>
      </c>
      <c r="D4922">
        <v>1992</v>
      </c>
      <c r="E4922" t="s">
        <v>15</v>
      </c>
      <c r="F4922" t="s">
        <v>16</v>
      </c>
      <c r="G4922" t="s">
        <v>17</v>
      </c>
      <c r="H4922" t="s">
        <v>18</v>
      </c>
      <c r="I4922">
        <v>71.150000000000006</v>
      </c>
      <c r="J4922" t="s">
        <v>19</v>
      </c>
      <c r="K4922" t="s">
        <v>6731</v>
      </c>
      <c r="L4922" t="s">
        <v>21</v>
      </c>
    </row>
    <row r="4923" spans="1:12">
      <c r="A4923" t="s">
        <v>6732</v>
      </c>
      <c r="B4923" t="s">
        <v>6698</v>
      </c>
      <c r="C4923" t="s">
        <v>229</v>
      </c>
      <c r="D4923">
        <v>1992</v>
      </c>
      <c r="E4923" t="s">
        <v>23</v>
      </c>
      <c r="F4923" t="s">
        <v>24</v>
      </c>
      <c r="G4923" t="s">
        <v>25</v>
      </c>
      <c r="H4923" t="s">
        <v>26</v>
      </c>
      <c r="I4923">
        <v>20265563</v>
      </c>
      <c r="J4923" t="s">
        <v>27</v>
      </c>
      <c r="K4923" t="s">
        <v>6731</v>
      </c>
      <c r="L4923" t="s">
        <v>21</v>
      </c>
    </row>
    <row r="4924" spans="1:12">
      <c r="A4924" t="s">
        <v>6733</v>
      </c>
      <c r="B4924" t="s">
        <v>6698</v>
      </c>
      <c r="C4924" t="s">
        <v>229</v>
      </c>
      <c r="D4924">
        <v>1992</v>
      </c>
      <c r="E4924" t="s">
        <v>29</v>
      </c>
      <c r="F4924" t="s">
        <v>30</v>
      </c>
      <c r="G4924" t="s">
        <v>31</v>
      </c>
      <c r="H4924" t="s">
        <v>32</v>
      </c>
      <c r="I4924">
        <v>10733.926310000001</v>
      </c>
      <c r="J4924" t="s">
        <v>33</v>
      </c>
      <c r="K4924" t="s">
        <v>6731</v>
      </c>
      <c r="L4924" t="s">
        <v>21</v>
      </c>
    </row>
    <row r="4925" spans="1:12">
      <c r="A4925" t="s">
        <v>6734</v>
      </c>
      <c r="B4925" t="s">
        <v>6698</v>
      </c>
      <c r="C4925" t="s">
        <v>229</v>
      </c>
      <c r="D4925">
        <v>1997</v>
      </c>
      <c r="E4925" t="s">
        <v>15</v>
      </c>
      <c r="F4925" t="s">
        <v>16</v>
      </c>
      <c r="G4925" t="s">
        <v>17</v>
      </c>
      <c r="H4925" t="s">
        <v>18</v>
      </c>
      <c r="I4925">
        <v>72.146000000000001</v>
      </c>
      <c r="J4925" t="s">
        <v>19</v>
      </c>
      <c r="K4925" t="s">
        <v>6735</v>
      </c>
      <c r="L4925" t="s">
        <v>21</v>
      </c>
    </row>
    <row r="4926" spans="1:12">
      <c r="A4926" t="s">
        <v>6736</v>
      </c>
      <c r="B4926" t="s">
        <v>6698</v>
      </c>
      <c r="C4926" t="s">
        <v>229</v>
      </c>
      <c r="D4926">
        <v>1997</v>
      </c>
      <c r="E4926" t="s">
        <v>23</v>
      </c>
      <c r="F4926" t="s">
        <v>24</v>
      </c>
      <c r="G4926" t="s">
        <v>25</v>
      </c>
      <c r="H4926" t="s">
        <v>26</v>
      </c>
      <c r="I4926">
        <v>22374398</v>
      </c>
      <c r="J4926" t="s">
        <v>27</v>
      </c>
      <c r="K4926" t="s">
        <v>6735</v>
      </c>
      <c r="L4926" t="s">
        <v>21</v>
      </c>
    </row>
    <row r="4927" spans="1:12">
      <c r="A4927" t="s">
        <v>6737</v>
      </c>
      <c r="B4927" t="s">
        <v>6698</v>
      </c>
      <c r="C4927" t="s">
        <v>229</v>
      </c>
      <c r="D4927">
        <v>1997</v>
      </c>
      <c r="E4927" t="s">
        <v>29</v>
      </c>
      <c r="F4927" t="s">
        <v>30</v>
      </c>
      <c r="G4927" t="s">
        <v>31</v>
      </c>
      <c r="H4927" t="s">
        <v>32</v>
      </c>
      <c r="I4927">
        <v>10165.49518</v>
      </c>
      <c r="J4927" t="s">
        <v>33</v>
      </c>
      <c r="K4927" t="s">
        <v>6735</v>
      </c>
      <c r="L4927" t="s">
        <v>21</v>
      </c>
    </row>
    <row r="4928" spans="1:12">
      <c r="A4928" t="s">
        <v>6738</v>
      </c>
      <c r="B4928" t="s">
        <v>6698</v>
      </c>
      <c r="C4928" t="s">
        <v>229</v>
      </c>
      <c r="D4928">
        <v>2002</v>
      </c>
      <c r="E4928" t="s">
        <v>15</v>
      </c>
      <c r="F4928" t="s">
        <v>16</v>
      </c>
      <c r="G4928" t="s">
        <v>17</v>
      </c>
      <c r="H4928" t="s">
        <v>18</v>
      </c>
      <c r="I4928">
        <v>72.766000000000005</v>
      </c>
      <c r="J4928" t="s">
        <v>19</v>
      </c>
      <c r="K4928" t="s">
        <v>6739</v>
      </c>
      <c r="L4928" t="s">
        <v>21</v>
      </c>
    </row>
    <row r="4929" spans="1:12">
      <c r="A4929" t="s">
        <v>6740</v>
      </c>
      <c r="B4929" t="s">
        <v>6698</v>
      </c>
      <c r="C4929" t="s">
        <v>229</v>
      </c>
      <c r="D4929">
        <v>2002</v>
      </c>
      <c r="E4929" t="s">
        <v>23</v>
      </c>
      <c r="F4929" t="s">
        <v>24</v>
      </c>
      <c r="G4929" t="s">
        <v>25</v>
      </c>
      <c r="H4929" t="s">
        <v>26</v>
      </c>
      <c r="I4929">
        <v>24287670</v>
      </c>
      <c r="J4929" t="s">
        <v>27</v>
      </c>
      <c r="K4929" t="s">
        <v>6739</v>
      </c>
      <c r="L4929" t="s">
        <v>21</v>
      </c>
    </row>
    <row r="4930" spans="1:12">
      <c r="A4930" t="s">
        <v>6741</v>
      </c>
      <c r="B4930" t="s">
        <v>6698</v>
      </c>
      <c r="C4930" t="s">
        <v>229</v>
      </c>
      <c r="D4930">
        <v>2002</v>
      </c>
      <c r="E4930" t="s">
        <v>29</v>
      </c>
      <c r="F4930" t="s">
        <v>30</v>
      </c>
      <c r="G4930" t="s">
        <v>31</v>
      </c>
      <c r="H4930" t="s">
        <v>32</v>
      </c>
      <c r="I4930">
        <v>8605.0478309999999</v>
      </c>
      <c r="J4930" t="s">
        <v>33</v>
      </c>
      <c r="K4930" t="s">
        <v>6739</v>
      </c>
      <c r="L4930" t="s">
        <v>21</v>
      </c>
    </row>
    <row r="4931" spans="1:12">
      <c r="A4931" t="s">
        <v>6742</v>
      </c>
      <c r="B4931" t="s">
        <v>6698</v>
      </c>
      <c r="C4931" t="s">
        <v>229</v>
      </c>
      <c r="D4931">
        <v>2007</v>
      </c>
      <c r="E4931" t="s">
        <v>15</v>
      </c>
      <c r="F4931" t="s">
        <v>16</v>
      </c>
      <c r="G4931" t="s">
        <v>17</v>
      </c>
      <c r="H4931" t="s">
        <v>18</v>
      </c>
      <c r="I4931">
        <v>73.747</v>
      </c>
      <c r="J4931" t="s">
        <v>19</v>
      </c>
      <c r="K4931" t="s">
        <v>6743</v>
      </c>
      <c r="L4931" t="s">
        <v>21</v>
      </c>
    </row>
    <row r="4932" spans="1:12">
      <c r="A4932" t="s">
        <v>6744</v>
      </c>
      <c r="B4932" t="s">
        <v>6698</v>
      </c>
      <c r="C4932" t="s">
        <v>229</v>
      </c>
      <c r="D4932">
        <v>2007</v>
      </c>
      <c r="E4932" t="s">
        <v>23</v>
      </c>
      <c r="F4932" t="s">
        <v>24</v>
      </c>
      <c r="G4932" t="s">
        <v>25</v>
      </c>
      <c r="H4932" t="s">
        <v>26</v>
      </c>
      <c r="I4932">
        <v>26084662</v>
      </c>
      <c r="J4932" t="s">
        <v>27</v>
      </c>
      <c r="K4932" t="s">
        <v>6743</v>
      </c>
      <c r="L4932" t="s">
        <v>21</v>
      </c>
    </row>
    <row r="4933" spans="1:12">
      <c r="A4933" t="s">
        <v>6745</v>
      </c>
      <c r="B4933" t="s">
        <v>6698</v>
      </c>
      <c r="C4933" t="s">
        <v>229</v>
      </c>
      <c r="D4933">
        <v>2007</v>
      </c>
      <c r="E4933" t="s">
        <v>29</v>
      </c>
      <c r="F4933" t="s">
        <v>30</v>
      </c>
      <c r="G4933" t="s">
        <v>31</v>
      </c>
      <c r="H4933" t="s">
        <v>32</v>
      </c>
      <c r="I4933">
        <v>11415.805689999999</v>
      </c>
      <c r="J4933" t="s">
        <v>33</v>
      </c>
      <c r="K4933" t="s">
        <v>6743</v>
      </c>
      <c r="L4933" t="s">
        <v>21</v>
      </c>
    </row>
    <row r="4934" spans="1:12">
      <c r="A4934" t="s">
        <v>6746</v>
      </c>
      <c r="B4934" t="s">
        <v>6747</v>
      </c>
      <c r="C4934" t="s">
        <v>14</v>
      </c>
      <c r="D4934">
        <v>1952</v>
      </c>
      <c r="E4934" t="s">
        <v>15</v>
      </c>
      <c r="F4934" t="s">
        <v>16</v>
      </c>
      <c r="G4934" t="s">
        <v>17</v>
      </c>
      <c r="H4934" t="s">
        <v>18</v>
      </c>
      <c r="I4934">
        <v>40.411999999999999</v>
      </c>
      <c r="J4934" t="s">
        <v>19</v>
      </c>
      <c r="K4934" t="s">
        <v>6748</v>
      </c>
      <c r="L4934" t="s">
        <v>21</v>
      </c>
    </row>
    <row r="4935" spans="1:12">
      <c r="A4935" t="s">
        <v>6749</v>
      </c>
      <c r="B4935" t="s">
        <v>6747</v>
      </c>
      <c r="C4935" t="s">
        <v>14</v>
      </c>
      <c r="D4935">
        <v>1952</v>
      </c>
      <c r="E4935" t="s">
        <v>23</v>
      </c>
      <c r="F4935" t="s">
        <v>24</v>
      </c>
      <c r="G4935" t="s">
        <v>25</v>
      </c>
      <c r="H4935" t="s">
        <v>26</v>
      </c>
      <c r="I4935">
        <v>26246839</v>
      </c>
      <c r="J4935" t="s">
        <v>27</v>
      </c>
      <c r="K4935" t="s">
        <v>6748</v>
      </c>
      <c r="L4935" t="s">
        <v>21</v>
      </c>
    </row>
    <row r="4936" spans="1:12">
      <c r="A4936" t="s">
        <v>6750</v>
      </c>
      <c r="B4936" t="s">
        <v>6747</v>
      </c>
      <c r="C4936" t="s">
        <v>14</v>
      </c>
      <c r="D4936">
        <v>1952</v>
      </c>
      <c r="E4936" t="s">
        <v>29</v>
      </c>
      <c r="F4936" t="s">
        <v>30</v>
      </c>
      <c r="G4936" t="s">
        <v>31</v>
      </c>
      <c r="H4936" t="s">
        <v>32</v>
      </c>
      <c r="I4936">
        <v>605.06649170000003</v>
      </c>
      <c r="J4936" t="s">
        <v>33</v>
      </c>
      <c r="K4936" t="s">
        <v>6748</v>
      </c>
      <c r="L4936" t="s">
        <v>21</v>
      </c>
    </row>
    <row r="4937" spans="1:12">
      <c r="A4937" t="s">
        <v>6751</v>
      </c>
      <c r="B4937" t="s">
        <v>6747</v>
      </c>
      <c r="C4937" t="s">
        <v>14</v>
      </c>
      <c r="D4937">
        <v>1957</v>
      </c>
      <c r="E4937" t="s">
        <v>15</v>
      </c>
      <c r="F4937" t="s">
        <v>16</v>
      </c>
      <c r="G4937" t="s">
        <v>17</v>
      </c>
      <c r="H4937" t="s">
        <v>18</v>
      </c>
      <c r="I4937">
        <v>42.887</v>
      </c>
      <c r="J4937" t="s">
        <v>19</v>
      </c>
      <c r="K4937" t="s">
        <v>6752</v>
      </c>
      <c r="L4937" t="s">
        <v>21</v>
      </c>
    </row>
    <row r="4938" spans="1:12">
      <c r="A4938" t="s">
        <v>6753</v>
      </c>
      <c r="B4938" t="s">
        <v>6747</v>
      </c>
      <c r="C4938" t="s">
        <v>14</v>
      </c>
      <c r="D4938">
        <v>1957</v>
      </c>
      <c r="E4938" t="s">
        <v>23</v>
      </c>
      <c r="F4938" t="s">
        <v>24</v>
      </c>
      <c r="G4938" t="s">
        <v>25</v>
      </c>
      <c r="H4938" t="s">
        <v>26</v>
      </c>
      <c r="I4938">
        <v>28998543</v>
      </c>
      <c r="J4938" t="s">
        <v>27</v>
      </c>
      <c r="K4938" t="s">
        <v>6752</v>
      </c>
      <c r="L4938" t="s">
        <v>21</v>
      </c>
    </row>
    <row r="4939" spans="1:12">
      <c r="A4939" t="s">
        <v>6754</v>
      </c>
      <c r="B4939" t="s">
        <v>6747</v>
      </c>
      <c r="C4939" t="s">
        <v>14</v>
      </c>
      <c r="D4939">
        <v>1957</v>
      </c>
      <c r="E4939" t="s">
        <v>29</v>
      </c>
      <c r="F4939" t="s">
        <v>30</v>
      </c>
      <c r="G4939" t="s">
        <v>31</v>
      </c>
      <c r="H4939" t="s">
        <v>32</v>
      </c>
      <c r="I4939">
        <v>676.28544779999902</v>
      </c>
      <c r="J4939" t="s">
        <v>33</v>
      </c>
      <c r="K4939" t="s">
        <v>6752</v>
      </c>
      <c r="L4939" t="s">
        <v>21</v>
      </c>
    </row>
    <row r="4940" spans="1:12">
      <c r="A4940" t="s">
        <v>6755</v>
      </c>
      <c r="B4940" t="s">
        <v>6747</v>
      </c>
      <c r="C4940" t="s">
        <v>14</v>
      </c>
      <c r="D4940">
        <v>1962</v>
      </c>
      <c r="E4940" t="s">
        <v>15</v>
      </c>
      <c r="F4940" t="s">
        <v>16</v>
      </c>
      <c r="G4940" t="s">
        <v>17</v>
      </c>
      <c r="H4940" t="s">
        <v>18</v>
      </c>
      <c r="I4940">
        <v>45.363</v>
      </c>
      <c r="J4940" t="s">
        <v>19</v>
      </c>
      <c r="K4940" t="s">
        <v>6756</v>
      </c>
      <c r="L4940" t="s">
        <v>21</v>
      </c>
    </row>
    <row r="4941" spans="1:12">
      <c r="A4941" t="s">
        <v>6757</v>
      </c>
      <c r="B4941" t="s">
        <v>6747</v>
      </c>
      <c r="C4941" t="s">
        <v>14</v>
      </c>
      <c r="D4941">
        <v>1962</v>
      </c>
      <c r="E4941" t="s">
        <v>23</v>
      </c>
      <c r="F4941" t="s">
        <v>24</v>
      </c>
      <c r="G4941" t="s">
        <v>25</v>
      </c>
      <c r="H4941" t="s">
        <v>26</v>
      </c>
      <c r="I4941">
        <v>33796140</v>
      </c>
      <c r="J4941" t="s">
        <v>27</v>
      </c>
      <c r="K4941" t="s">
        <v>6756</v>
      </c>
      <c r="L4941" t="s">
        <v>21</v>
      </c>
    </row>
    <row r="4942" spans="1:12">
      <c r="A4942" t="s">
        <v>6758</v>
      </c>
      <c r="B4942" t="s">
        <v>6747</v>
      </c>
      <c r="C4942" t="s">
        <v>14</v>
      </c>
      <c r="D4942">
        <v>1962</v>
      </c>
      <c r="E4942" t="s">
        <v>29</v>
      </c>
      <c r="F4942" t="s">
        <v>30</v>
      </c>
      <c r="G4942" t="s">
        <v>31</v>
      </c>
      <c r="H4942" t="s">
        <v>32</v>
      </c>
      <c r="I4942">
        <v>772.04916019999996</v>
      </c>
      <c r="J4942" t="s">
        <v>33</v>
      </c>
      <c r="K4942" t="s">
        <v>6756</v>
      </c>
      <c r="L4942" t="s">
        <v>21</v>
      </c>
    </row>
    <row r="4943" spans="1:12">
      <c r="A4943" t="s">
        <v>6759</v>
      </c>
      <c r="B4943" t="s">
        <v>6747</v>
      </c>
      <c r="C4943" t="s">
        <v>14</v>
      </c>
      <c r="D4943">
        <v>1967</v>
      </c>
      <c r="E4943" t="s">
        <v>15</v>
      </c>
      <c r="F4943" t="s">
        <v>16</v>
      </c>
      <c r="G4943" t="s">
        <v>17</v>
      </c>
      <c r="H4943" t="s">
        <v>18</v>
      </c>
      <c r="I4943">
        <v>47.838000000000001</v>
      </c>
      <c r="J4943" t="s">
        <v>19</v>
      </c>
      <c r="K4943" t="s">
        <v>6760</v>
      </c>
      <c r="L4943" t="s">
        <v>21</v>
      </c>
    </row>
    <row r="4944" spans="1:12">
      <c r="A4944" t="s">
        <v>6761</v>
      </c>
      <c r="B4944" t="s">
        <v>6747</v>
      </c>
      <c r="C4944" t="s">
        <v>14</v>
      </c>
      <c r="D4944">
        <v>1967</v>
      </c>
      <c r="E4944" t="s">
        <v>23</v>
      </c>
      <c r="F4944" t="s">
        <v>24</v>
      </c>
      <c r="G4944" t="s">
        <v>25</v>
      </c>
      <c r="H4944" t="s">
        <v>26</v>
      </c>
      <c r="I4944">
        <v>39463910</v>
      </c>
      <c r="J4944" t="s">
        <v>27</v>
      </c>
      <c r="K4944" t="s">
        <v>6760</v>
      </c>
      <c r="L4944" t="s">
        <v>21</v>
      </c>
    </row>
    <row r="4945" spans="1:12">
      <c r="A4945" t="s">
        <v>6762</v>
      </c>
      <c r="B4945" t="s">
        <v>6747</v>
      </c>
      <c r="C4945" t="s">
        <v>14</v>
      </c>
      <c r="D4945">
        <v>1967</v>
      </c>
      <c r="E4945" t="s">
        <v>29</v>
      </c>
      <c r="F4945" t="s">
        <v>30</v>
      </c>
      <c r="G4945" t="s">
        <v>31</v>
      </c>
      <c r="H4945" t="s">
        <v>32</v>
      </c>
      <c r="I4945">
        <v>637.12328869999999</v>
      </c>
      <c r="J4945" t="s">
        <v>33</v>
      </c>
      <c r="K4945" t="s">
        <v>6760</v>
      </c>
      <c r="L4945" t="s">
        <v>21</v>
      </c>
    </row>
    <row r="4946" spans="1:12">
      <c r="A4946" t="s">
        <v>6763</v>
      </c>
      <c r="B4946" t="s">
        <v>6747</v>
      </c>
      <c r="C4946" t="s">
        <v>14</v>
      </c>
      <c r="D4946">
        <v>1972</v>
      </c>
      <c r="E4946" t="s">
        <v>15</v>
      </c>
      <c r="F4946" t="s">
        <v>16</v>
      </c>
      <c r="G4946" t="s">
        <v>17</v>
      </c>
      <c r="H4946" t="s">
        <v>18</v>
      </c>
      <c r="I4946">
        <v>50.253999999999998</v>
      </c>
      <c r="J4946" t="s">
        <v>19</v>
      </c>
      <c r="K4946" t="s">
        <v>6764</v>
      </c>
      <c r="L4946" t="s">
        <v>21</v>
      </c>
    </row>
    <row r="4947" spans="1:12">
      <c r="A4947" t="s">
        <v>6765</v>
      </c>
      <c r="B4947" t="s">
        <v>6747</v>
      </c>
      <c r="C4947" t="s">
        <v>14</v>
      </c>
      <c r="D4947">
        <v>1972</v>
      </c>
      <c r="E4947" t="s">
        <v>23</v>
      </c>
      <c r="F4947" t="s">
        <v>24</v>
      </c>
      <c r="G4947" t="s">
        <v>25</v>
      </c>
      <c r="H4947" t="s">
        <v>26</v>
      </c>
      <c r="I4947">
        <v>44655014</v>
      </c>
      <c r="J4947" t="s">
        <v>27</v>
      </c>
      <c r="K4947" t="s">
        <v>6764</v>
      </c>
      <c r="L4947" t="s">
        <v>21</v>
      </c>
    </row>
    <row r="4948" spans="1:12">
      <c r="A4948" t="s">
        <v>6766</v>
      </c>
      <c r="B4948" t="s">
        <v>6747</v>
      </c>
      <c r="C4948" t="s">
        <v>14</v>
      </c>
      <c r="D4948">
        <v>1972</v>
      </c>
      <c r="E4948" t="s">
        <v>29</v>
      </c>
      <c r="F4948" t="s">
        <v>30</v>
      </c>
      <c r="G4948" t="s">
        <v>31</v>
      </c>
      <c r="H4948" t="s">
        <v>32</v>
      </c>
      <c r="I4948">
        <v>699.50164410000002</v>
      </c>
      <c r="J4948" t="s">
        <v>33</v>
      </c>
      <c r="K4948" t="s">
        <v>6764</v>
      </c>
      <c r="L4948" t="s">
        <v>21</v>
      </c>
    </row>
    <row r="4949" spans="1:12">
      <c r="A4949" t="s">
        <v>6767</v>
      </c>
      <c r="B4949" t="s">
        <v>6747</v>
      </c>
      <c r="C4949" t="s">
        <v>14</v>
      </c>
      <c r="D4949">
        <v>1977</v>
      </c>
      <c r="E4949" t="s">
        <v>15</v>
      </c>
      <c r="F4949" t="s">
        <v>16</v>
      </c>
      <c r="G4949" t="s">
        <v>17</v>
      </c>
      <c r="H4949" t="s">
        <v>18</v>
      </c>
      <c r="I4949">
        <v>55.764000000000003</v>
      </c>
      <c r="J4949" t="s">
        <v>19</v>
      </c>
      <c r="K4949" t="s">
        <v>6768</v>
      </c>
      <c r="L4949" t="s">
        <v>21</v>
      </c>
    </row>
    <row r="4950" spans="1:12">
      <c r="A4950" t="s">
        <v>6769</v>
      </c>
      <c r="B4950" t="s">
        <v>6747</v>
      </c>
      <c r="C4950" t="s">
        <v>14</v>
      </c>
      <c r="D4950">
        <v>1977</v>
      </c>
      <c r="E4950" t="s">
        <v>23</v>
      </c>
      <c r="F4950" t="s">
        <v>24</v>
      </c>
      <c r="G4950" t="s">
        <v>25</v>
      </c>
      <c r="H4950" t="s">
        <v>26</v>
      </c>
      <c r="I4950">
        <v>50533506</v>
      </c>
      <c r="J4950" t="s">
        <v>27</v>
      </c>
      <c r="K4950" t="s">
        <v>6768</v>
      </c>
      <c r="L4950" t="s">
        <v>21</v>
      </c>
    </row>
    <row r="4951" spans="1:12">
      <c r="A4951" t="s">
        <v>6770</v>
      </c>
      <c r="B4951" t="s">
        <v>6747</v>
      </c>
      <c r="C4951" t="s">
        <v>14</v>
      </c>
      <c r="D4951">
        <v>1977</v>
      </c>
      <c r="E4951" t="s">
        <v>29</v>
      </c>
      <c r="F4951" t="s">
        <v>30</v>
      </c>
      <c r="G4951" t="s">
        <v>31</v>
      </c>
      <c r="H4951" t="s">
        <v>32</v>
      </c>
      <c r="I4951">
        <v>713.53711959999998</v>
      </c>
      <c r="J4951" t="s">
        <v>33</v>
      </c>
      <c r="K4951" t="s">
        <v>6768</v>
      </c>
      <c r="L4951" t="s">
        <v>21</v>
      </c>
    </row>
    <row r="4952" spans="1:12">
      <c r="A4952" t="s">
        <v>6771</v>
      </c>
      <c r="B4952" t="s">
        <v>6747</v>
      </c>
      <c r="C4952" t="s">
        <v>14</v>
      </c>
      <c r="D4952">
        <v>1982</v>
      </c>
      <c r="E4952" t="s">
        <v>15</v>
      </c>
      <c r="F4952" t="s">
        <v>16</v>
      </c>
      <c r="G4952" t="s">
        <v>17</v>
      </c>
      <c r="H4952" t="s">
        <v>18</v>
      </c>
      <c r="I4952">
        <v>58.816000000000003</v>
      </c>
      <c r="J4952" t="s">
        <v>19</v>
      </c>
      <c r="K4952" t="s">
        <v>6772</v>
      </c>
      <c r="L4952" t="s">
        <v>21</v>
      </c>
    </row>
    <row r="4953" spans="1:12">
      <c r="A4953" t="s">
        <v>6773</v>
      </c>
      <c r="B4953" t="s">
        <v>6747</v>
      </c>
      <c r="C4953" t="s">
        <v>14</v>
      </c>
      <c r="D4953">
        <v>1982</v>
      </c>
      <c r="E4953" t="s">
        <v>23</v>
      </c>
      <c r="F4953" t="s">
        <v>24</v>
      </c>
      <c r="G4953" t="s">
        <v>25</v>
      </c>
      <c r="H4953" t="s">
        <v>26</v>
      </c>
      <c r="I4953">
        <v>56142181</v>
      </c>
      <c r="J4953" t="s">
        <v>27</v>
      </c>
      <c r="K4953" t="s">
        <v>6772</v>
      </c>
      <c r="L4953" t="s">
        <v>21</v>
      </c>
    </row>
    <row r="4954" spans="1:12">
      <c r="A4954" t="s">
        <v>6774</v>
      </c>
      <c r="B4954" t="s">
        <v>6747</v>
      </c>
      <c r="C4954" t="s">
        <v>14</v>
      </c>
      <c r="D4954">
        <v>1982</v>
      </c>
      <c r="E4954" t="s">
        <v>29</v>
      </c>
      <c r="F4954" t="s">
        <v>30</v>
      </c>
      <c r="G4954" t="s">
        <v>31</v>
      </c>
      <c r="H4954" t="s">
        <v>32</v>
      </c>
      <c r="I4954">
        <v>707.23578629999997</v>
      </c>
      <c r="J4954" t="s">
        <v>33</v>
      </c>
      <c r="K4954" t="s">
        <v>6772</v>
      </c>
      <c r="L4954" t="s">
        <v>21</v>
      </c>
    </row>
    <row r="4955" spans="1:12">
      <c r="A4955" t="s">
        <v>6775</v>
      </c>
      <c r="B4955" t="s">
        <v>6747</v>
      </c>
      <c r="C4955" t="s">
        <v>14</v>
      </c>
      <c r="D4955">
        <v>1987</v>
      </c>
      <c r="E4955" t="s">
        <v>15</v>
      </c>
      <c r="F4955" t="s">
        <v>16</v>
      </c>
      <c r="G4955" t="s">
        <v>17</v>
      </c>
      <c r="H4955" t="s">
        <v>18</v>
      </c>
      <c r="I4955">
        <v>62.82</v>
      </c>
      <c r="J4955" t="s">
        <v>19</v>
      </c>
      <c r="K4955" t="s">
        <v>6776</v>
      </c>
      <c r="L4955" t="s">
        <v>21</v>
      </c>
    </row>
    <row r="4956" spans="1:12">
      <c r="A4956" t="s">
        <v>6777</v>
      </c>
      <c r="B4956" t="s">
        <v>6747</v>
      </c>
      <c r="C4956" t="s">
        <v>14</v>
      </c>
      <c r="D4956">
        <v>1987</v>
      </c>
      <c r="E4956" t="s">
        <v>23</v>
      </c>
      <c r="F4956" t="s">
        <v>24</v>
      </c>
      <c r="G4956" t="s">
        <v>25</v>
      </c>
      <c r="H4956" t="s">
        <v>26</v>
      </c>
      <c r="I4956">
        <v>62826491</v>
      </c>
      <c r="J4956" t="s">
        <v>27</v>
      </c>
      <c r="K4956" t="s">
        <v>6776</v>
      </c>
      <c r="L4956" t="s">
        <v>21</v>
      </c>
    </row>
    <row r="4957" spans="1:12">
      <c r="A4957" t="s">
        <v>6778</v>
      </c>
      <c r="B4957" t="s">
        <v>6747</v>
      </c>
      <c r="C4957" t="s">
        <v>14</v>
      </c>
      <c r="D4957">
        <v>1987</v>
      </c>
      <c r="E4957" t="s">
        <v>29</v>
      </c>
      <c r="F4957" t="s">
        <v>30</v>
      </c>
      <c r="G4957" t="s">
        <v>31</v>
      </c>
      <c r="H4957" t="s">
        <v>32</v>
      </c>
      <c r="I4957">
        <v>820.79944490000003</v>
      </c>
      <c r="J4957" t="s">
        <v>33</v>
      </c>
      <c r="K4957" t="s">
        <v>6776</v>
      </c>
      <c r="L4957" t="s">
        <v>21</v>
      </c>
    </row>
    <row r="4958" spans="1:12">
      <c r="A4958" t="s">
        <v>6779</v>
      </c>
      <c r="B4958" t="s">
        <v>6747</v>
      </c>
      <c r="C4958" t="s">
        <v>14</v>
      </c>
      <c r="D4958">
        <v>1992</v>
      </c>
      <c r="E4958" t="s">
        <v>15</v>
      </c>
      <c r="F4958" t="s">
        <v>16</v>
      </c>
      <c r="G4958" t="s">
        <v>17</v>
      </c>
      <c r="H4958" t="s">
        <v>18</v>
      </c>
      <c r="I4958">
        <v>67.661999999999907</v>
      </c>
      <c r="J4958" t="s">
        <v>19</v>
      </c>
      <c r="K4958" t="s">
        <v>6780</v>
      </c>
      <c r="L4958" t="s">
        <v>21</v>
      </c>
    </row>
    <row r="4959" spans="1:12">
      <c r="A4959" t="s">
        <v>6781</v>
      </c>
      <c r="B4959" t="s">
        <v>6747</v>
      </c>
      <c r="C4959" t="s">
        <v>14</v>
      </c>
      <c r="D4959">
        <v>1992</v>
      </c>
      <c r="E4959" t="s">
        <v>23</v>
      </c>
      <c r="F4959" t="s">
        <v>24</v>
      </c>
      <c r="G4959" t="s">
        <v>25</v>
      </c>
      <c r="H4959" t="s">
        <v>26</v>
      </c>
      <c r="I4959">
        <v>69940728</v>
      </c>
      <c r="J4959" t="s">
        <v>27</v>
      </c>
      <c r="K4959" t="s">
        <v>6780</v>
      </c>
      <c r="L4959" t="s">
        <v>21</v>
      </c>
    </row>
    <row r="4960" spans="1:12">
      <c r="A4960" t="s">
        <v>6782</v>
      </c>
      <c r="B4960" t="s">
        <v>6747</v>
      </c>
      <c r="C4960" t="s">
        <v>14</v>
      </c>
      <c r="D4960">
        <v>1992</v>
      </c>
      <c r="E4960" t="s">
        <v>29</v>
      </c>
      <c r="F4960" t="s">
        <v>30</v>
      </c>
      <c r="G4960" t="s">
        <v>31</v>
      </c>
      <c r="H4960" t="s">
        <v>32</v>
      </c>
      <c r="I4960">
        <v>989.02314869999998</v>
      </c>
      <c r="J4960" t="s">
        <v>33</v>
      </c>
      <c r="K4960" t="s">
        <v>6780</v>
      </c>
      <c r="L4960" t="s">
        <v>21</v>
      </c>
    </row>
    <row r="4961" spans="1:12">
      <c r="A4961" t="s">
        <v>6783</v>
      </c>
      <c r="B4961" t="s">
        <v>6747</v>
      </c>
      <c r="C4961" t="s">
        <v>14</v>
      </c>
      <c r="D4961">
        <v>1997</v>
      </c>
      <c r="E4961" t="s">
        <v>15</v>
      </c>
      <c r="F4961" t="s">
        <v>16</v>
      </c>
      <c r="G4961" t="s">
        <v>17</v>
      </c>
      <c r="H4961" t="s">
        <v>18</v>
      </c>
      <c r="I4961">
        <v>70.671999999999997</v>
      </c>
      <c r="J4961" t="s">
        <v>19</v>
      </c>
      <c r="K4961" t="s">
        <v>6784</v>
      </c>
      <c r="L4961" t="s">
        <v>21</v>
      </c>
    </row>
    <row r="4962" spans="1:12">
      <c r="A4962" t="s">
        <v>6785</v>
      </c>
      <c r="B4962" t="s">
        <v>6747</v>
      </c>
      <c r="C4962" t="s">
        <v>14</v>
      </c>
      <c r="D4962">
        <v>1997</v>
      </c>
      <c r="E4962" t="s">
        <v>23</v>
      </c>
      <c r="F4962" t="s">
        <v>24</v>
      </c>
      <c r="G4962" t="s">
        <v>25</v>
      </c>
      <c r="H4962" t="s">
        <v>26</v>
      </c>
      <c r="I4962">
        <v>76048996</v>
      </c>
      <c r="J4962" t="s">
        <v>27</v>
      </c>
      <c r="K4962" t="s">
        <v>6784</v>
      </c>
      <c r="L4962" t="s">
        <v>21</v>
      </c>
    </row>
    <row r="4963" spans="1:12">
      <c r="A4963" t="s">
        <v>6786</v>
      </c>
      <c r="B4963" t="s">
        <v>6747</v>
      </c>
      <c r="C4963" t="s">
        <v>14</v>
      </c>
      <c r="D4963">
        <v>1997</v>
      </c>
      <c r="E4963" t="s">
        <v>29</v>
      </c>
      <c r="F4963" t="s">
        <v>30</v>
      </c>
      <c r="G4963" t="s">
        <v>31</v>
      </c>
      <c r="H4963" t="s">
        <v>32</v>
      </c>
      <c r="I4963">
        <v>1385.8967689999999</v>
      </c>
      <c r="J4963" t="s">
        <v>33</v>
      </c>
      <c r="K4963" t="s">
        <v>6784</v>
      </c>
      <c r="L4963" t="s">
        <v>21</v>
      </c>
    </row>
    <row r="4964" spans="1:12">
      <c r="A4964" t="s">
        <v>6787</v>
      </c>
      <c r="B4964" t="s">
        <v>6747</v>
      </c>
      <c r="C4964" t="s">
        <v>14</v>
      </c>
      <c r="D4964">
        <v>2002</v>
      </c>
      <c r="E4964" t="s">
        <v>15</v>
      </c>
      <c r="F4964" t="s">
        <v>16</v>
      </c>
      <c r="G4964" t="s">
        <v>17</v>
      </c>
      <c r="H4964" t="s">
        <v>18</v>
      </c>
      <c r="I4964">
        <v>73.016999999999996</v>
      </c>
      <c r="J4964" t="s">
        <v>19</v>
      </c>
      <c r="K4964" t="s">
        <v>6788</v>
      </c>
      <c r="L4964" t="s">
        <v>21</v>
      </c>
    </row>
    <row r="4965" spans="1:12">
      <c r="A4965" t="s">
        <v>6789</v>
      </c>
      <c r="B4965" t="s">
        <v>6747</v>
      </c>
      <c r="C4965" t="s">
        <v>14</v>
      </c>
      <c r="D4965">
        <v>2002</v>
      </c>
      <c r="E4965" t="s">
        <v>23</v>
      </c>
      <c r="F4965" t="s">
        <v>24</v>
      </c>
      <c r="G4965" t="s">
        <v>25</v>
      </c>
      <c r="H4965" t="s">
        <v>26</v>
      </c>
      <c r="I4965">
        <v>80908147</v>
      </c>
      <c r="J4965" t="s">
        <v>27</v>
      </c>
      <c r="K4965" t="s">
        <v>6788</v>
      </c>
      <c r="L4965" t="s">
        <v>21</v>
      </c>
    </row>
    <row r="4966" spans="1:12">
      <c r="A4966" t="s">
        <v>6790</v>
      </c>
      <c r="B4966" t="s">
        <v>6747</v>
      </c>
      <c r="C4966" t="s">
        <v>14</v>
      </c>
      <c r="D4966">
        <v>2002</v>
      </c>
      <c r="E4966" t="s">
        <v>29</v>
      </c>
      <c r="F4966" t="s">
        <v>30</v>
      </c>
      <c r="G4966" t="s">
        <v>31</v>
      </c>
      <c r="H4966" t="s">
        <v>32</v>
      </c>
      <c r="I4966">
        <v>1764.4566769999999</v>
      </c>
      <c r="J4966" t="s">
        <v>33</v>
      </c>
      <c r="K4966" t="s">
        <v>6788</v>
      </c>
      <c r="L4966" t="s">
        <v>21</v>
      </c>
    </row>
    <row r="4967" spans="1:12">
      <c r="A4967" t="s">
        <v>6791</v>
      </c>
      <c r="B4967" t="s">
        <v>6747</v>
      </c>
      <c r="C4967" t="s">
        <v>14</v>
      </c>
      <c r="D4967">
        <v>2007</v>
      </c>
      <c r="E4967" t="s">
        <v>15</v>
      </c>
      <c r="F4967" t="s">
        <v>16</v>
      </c>
      <c r="G4967" t="s">
        <v>17</v>
      </c>
      <c r="H4967" t="s">
        <v>18</v>
      </c>
      <c r="I4967">
        <v>74.248999999999995</v>
      </c>
      <c r="J4967" t="s">
        <v>19</v>
      </c>
      <c r="K4967" t="s">
        <v>6792</v>
      </c>
      <c r="L4967" t="s">
        <v>21</v>
      </c>
    </row>
    <row r="4968" spans="1:12">
      <c r="A4968" t="s">
        <v>6793</v>
      </c>
      <c r="B4968" t="s">
        <v>6747</v>
      </c>
      <c r="C4968" t="s">
        <v>14</v>
      </c>
      <c r="D4968">
        <v>2007</v>
      </c>
      <c r="E4968" t="s">
        <v>23</v>
      </c>
      <c r="F4968" t="s">
        <v>24</v>
      </c>
      <c r="G4968" t="s">
        <v>25</v>
      </c>
      <c r="H4968" t="s">
        <v>26</v>
      </c>
      <c r="I4968">
        <v>85262356</v>
      </c>
      <c r="J4968" t="s">
        <v>27</v>
      </c>
      <c r="K4968" t="s">
        <v>6792</v>
      </c>
      <c r="L4968" t="s">
        <v>21</v>
      </c>
    </row>
    <row r="4969" spans="1:12">
      <c r="A4969" t="s">
        <v>6794</v>
      </c>
      <c r="B4969" t="s">
        <v>6747</v>
      </c>
      <c r="C4969" t="s">
        <v>14</v>
      </c>
      <c r="D4969">
        <v>2007</v>
      </c>
      <c r="E4969" t="s">
        <v>29</v>
      </c>
      <c r="F4969" t="s">
        <v>30</v>
      </c>
      <c r="G4969" t="s">
        <v>31</v>
      </c>
      <c r="H4969" t="s">
        <v>32</v>
      </c>
      <c r="I4969">
        <v>2441.5764039999999</v>
      </c>
      <c r="J4969" t="s">
        <v>33</v>
      </c>
      <c r="K4969" t="s">
        <v>6792</v>
      </c>
      <c r="L4969" t="s">
        <v>21</v>
      </c>
    </row>
    <row r="4970" spans="1:12">
      <c r="A4970" t="s">
        <v>6795</v>
      </c>
      <c r="B4970" t="s">
        <v>6796</v>
      </c>
      <c r="C4970" t="s">
        <v>14</v>
      </c>
      <c r="D4970">
        <v>1952</v>
      </c>
      <c r="E4970" t="s">
        <v>15</v>
      </c>
      <c r="F4970" t="s">
        <v>16</v>
      </c>
      <c r="G4970" t="s">
        <v>17</v>
      </c>
      <c r="H4970" t="s">
        <v>18</v>
      </c>
      <c r="I4970">
        <v>43.16</v>
      </c>
      <c r="J4970" t="s">
        <v>19</v>
      </c>
      <c r="K4970" t="s">
        <v>6797</v>
      </c>
      <c r="L4970" t="s">
        <v>21</v>
      </c>
    </row>
    <row r="4971" spans="1:12">
      <c r="A4971" t="s">
        <v>6798</v>
      </c>
      <c r="B4971" t="s">
        <v>6796</v>
      </c>
      <c r="C4971" t="s">
        <v>14</v>
      </c>
      <c r="D4971">
        <v>1952</v>
      </c>
      <c r="E4971" t="s">
        <v>23</v>
      </c>
      <c r="F4971" t="s">
        <v>24</v>
      </c>
      <c r="G4971" t="s">
        <v>25</v>
      </c>
      <c r="H4971" t="s">
        <v>26</v>
      </c>
      <c r="I4971">
        <v>1030585</v>
      </c>
      <c r="J4971" t="s">
        <v>27</v>
      </c>
      <c r="K4971" t="s">
        <v>6797</v>
      </c>
      <c r="L4971" t="s">
        <v>21</v>
      </c>
    </row>
    <row r="4972" spans="1:12">
      <c r="A4972" t="s">
        <v>6799</v>
      </c>
      <c r="B4972" t="s">
        <v>6796</v>
      </c>
      <c r="C4972" t="s">
        <v>14</v>
      </c>
      <c r="D4972">
        <v>1952</v>
      </c>
      <c r="E4972" t="s">
        <v>29</v>
      </c>
      <c r="F4972" t="s">
        <v>30</v>
      </c>
      <c r="G4972" t="s">
        <v>31</v>
      </c>
      <c r="H4972" t="s">
        <v>32</v>
      </c>
      <c r="I4972">
        <v>1515.5923289999901</v>
      </c>
      <c r="J4972" t="s">
        <v>33</v>
      </c>
      <c r="K4972" t="s">
        <v>6797</v>
      </c>
      <c r="L4972" t="s">
        <v>21</v>
      </c>
    </row>
    <row r="4973" spans="1:12">
      <c r="A4973" t="s">
        <v>6800</v>
      </c>
      <c r="B4973" t="s">
        <v>6796</v>
      </c>
      <c r="C4973" t="s">
        <v>14</v>
      </c>
      <c r="D4973">
        <v>1957</v>
      </c>
      <c r="E4973" t="s">
        <v>15</v>
      </c>
      <c r="F4973" t="s">
        <v>16</v>
      </c>
      <c r="G4973" t="s">
        <v>17</v>
      </c>
      <c r="H4973" t="s">
        <v>18</v>
      </c>
      <c r="I4973">
        <v>45.670999999999999</v>
      </c>
      <c r="J4973" t="s">
        <v>19</v>
      </c>
      <c r="K4973" t="s">
        <v>6801</v>
      </c>
      <c r="L4973" t="s">
        <v>21</v>
      </c>
    </row>
    <row r="4974" spans="1:12">
      <c r="A4974" t="s">
        <v>6802</v>
      </c>
      <c r="B4974" t="s">
        <v>6796</v>
      </c>
      <c r="C4974" t="s">
        <v>14</v>
      </c>
      <c r="D4974">
        <v>1957</v>
      </c>
      <c r="E4974" t="s">
        <v>23</v>
      </c>
      <c r="F4974" t="s">
        <v>24</v>
      </c>
      <c r="G4974" t="s">
        <v>25</v>
      </c>
      <c r="H4974" t="s">
        <v>26</v>
      </c>
      <c r="I4974">
        <v>1070439</v>
      </c>
      <c r="J4974" t="s">
        <v>27</v>
      </c>
      <c r="K4974" t="s">
        <v>6801</v>
      </c>
      <c r="L4974" t="s">
        <v>21</v>
      </c>
    </row>
    <row r="4975" spans="1:12">
      <c r="A4975" t="s">
        <v>6803</v>
      </c>
      <c r="B4975" t="s">
        <v>6796</v>
      </c>
      <c r="C4975" t="s">
        <v>14</v>
      </c>
      <c r="D4975">
        <v>1957</v>
      </c>
      <c r="E4975" t="s">
        <v>29</v>
      </c>
      <c r="F4975" t="s">
        <v>30</v>
      </c>
      <c r="G4975" t="s">
        <v>31</v>
      </c>
      <c r="H4975" t="s">
        <v>32</v>
      </c>
      <c r="I4975">
        <v>1827.067742</v>
      </c>
      <c r="J4975" t="s">
        <v>33</v>
      </c>
      <c r="K4975" t="s">
        <v>6801</v>
      </c>
      <c r="L4975" t="s">
        <v>21</v>
      </c>
    </row>
    <row r="4976" spans="1:12">
      <c r="A4976" t="s">
        <v>6804</v>
      </c>
      <c r="B4976" t="s">
        <v>6796</v>
      </c>
      <c r="C4976" t="s">
        <v>14</v>
      </c>
      <c r="D4976">
        <v>1962</v>
      </c>
      <c r="E4976" t="s">
        <v>15</v>
      </c>
      <c r="F4976" t="s">
        <v>16</v>
      </c>
      <c r="G4976" t="s">
        <v>17</v>
      </c>
      <c r="H4976" t="s">
        <v>18</v>
      </c>
      <c r="I4976">
        <v>48.127000000000002</v>
      </c>
      <c r="J4976" t="s">
        <v>19</v>
      </c>
      <c r="K4976" t="s">
        <v>6805</v>
      </c>
      <c r="L4976" t="s">
        <v>21</v>
      </c>
    </row>
    <row r="4977" spans="1:12">
      <c r="A4977" t="s">
        <v>6806</v>
      </c>
      <c r="B4977" t="s">
        <v>6796</v>
      </c>
      <c r="C4977" t="s">
        <v>14</v>
      </c>
      <c r="D4977">
        <v>1962</v>
      </c>
      <c r="E4977" t="s">
        <v>23</v>
      </c>
      <c r="F4977" t="s">
        <v>24</v>
      </c>
      <c r="G4977" t="s">
        <v>25</v>
      </c>
      <c r="H4977" t="s">
        <v>26</v>
      </c>
      <c r="I4977">
        <v>1133134</v>
      </c>
      <c r="J4977" t="s">
        <v>27</v>
      </c>
      <c r="K4977" t="s">
        <v>6805</v>
      </c>
      <c r="L4977" t="s">
        <v>21</v>
      </c>
    </row>
    <row r="4978" spans="1:12">
      <c r="A4978" t="s">
        <v>6807</v>
      </c>
      <c r="B4978" t="s">
        <v>6796</v>
      </c>
      <c r="C4978" t="s">
        <v>14</v>
      </c>
      <c r="D4978">
        <v>1962</v>
      </c>
      <c r="E4978" t="s">
        <v>29</v>
      </c>
      <c r="F4978" t="s">
        <v>30</v>
      </c>
      <c r="G4978" t="s">
        <v>31</v>
      </c>
      <c r="H4978" t="s">
        <v>32</v>
      </c>
      <c r="I4978">
        <v>2198.9563119999998</v>
      </c>
      <c r="J4978" t="s">
        <v>33</v>
      </c>
      <c r="K4978" t="s">
        <v>6805</v>
      </c>
      <c r="L4978" t="s">
        <v>21</v>
      </c>
    </row>
    <row r="4979" spans="1:12">
      <c r="A4979" t="s">
        <v>6808</v>
      </c>
      <c r="B4979" t="s">
        <v>6796</v>
      </c>
      <c r="C4979" t="s">
        <v>14</v>
      </c>
      <c r="D4979">
        <v>1967</v>
      </c>
      <c r="E4979" t="s">
        <v>15</v>
      </c>
      <c r="F4979" t="s">
        <v>16</v>
      </c>
      <c r="G4979" t="s">
        <v>17</v>
      </c>
      <c r="H4979" t="s">
        <v>18</v>
      </c>
      <c r="I4979">
        <v>51.631</v>
      </c>
      <c r="J4979" t="s">
        <v>19</v>
      </c>
      <c r="K4979" t="s">
        <v>6809</v>
      </c>
      <c r="L4979" t="s">
        <v>21</v>
      </c>
    </row>
    <row r="4980" spans="1:12">
      <c r="A4980" t="s">
        <v>6810</v>
      </c>
      <c r="B4980" t="s">
        <v>6796</v>
      </c>
      <c r="C4980" t="s">
        <v>14</v>
      </c>
      <c r="D4980">
        <v>1967</v>
      </c>
      <c r="E4980" t="s">
        <v>23</v>
      </c>
      <c r="F4980" t="s">
        <v>24</v>
      </c>
      <c r="G4980" t="s">
        <v>25</v>
      </c>
      <c r="H4980" t="s">
        <v>26</v>
      </c>
      <c r="I4980">
        <v>1142636</v>
      </c>
      <c r="J4980" t="s">
        <v>27</v>
      </c>
      <c r="K4980" t="s">
        <v>6809</v>
      </c>
      <c r="L4980" t="s">
        <v>21</v>
      </c>
    </row>
    <row r="4981" spans="1:12">
      <c r="A4981" t="s">
        <v>6811</v>
      </c>
      <c r="B4981" t="s">
        <v>6796</v>
      </c>
      <c r="C4981" t="s">
        <v>14</v>
      </c>
      <c r="D4981">
        <v>1967</v>
      </c>
      <c r="E4981" t="s">
        <v>29</v>
      </c>
      <c r="F4981" t="s">
        <v>30</v>
      </c>
      <c r="G4981" t="s">
        <v>31</v>
      </c>
      <c r="H4981" t="s">
        <v>32</v>
      </c>
      <c r="I4981">
        <v>2649.7150069999998</v>
      </c>
      <c r="J4981" t="s">
        <v>33</v>
      </c>
      <c r="K4981" t="s">
        <v>6809</v>
      </c>
      <c r="L4981" t="s">
        <v>21</v>
      </c>
    </row>
    <row r="4982" spans="1:12">
      <c r="A4982" t="s">
        <v>6812</v>
      </c>
      <c r="B4982" t="s">
        <v>6796</v>
      </c>
      <c r="C4982" t="s">
        <v>14</v>
      </c>
      <c r="D4982">
        <v>1972</v>
      </c>
      <c r="E4982" t="s">
        <v>15</v>
      </c>
      <c r="F4982" t="s">
        <v>16</v>
      </c>
      <c r="G4982" t="s">
        <v>17</v>
      </c>
      <c r="H4982" t="s">
        <v>18</v>
      </c>
      <c r="I4982">
        <v>56.531999999999996</v>
      </c>
      <c r="J4982" t="s">
        <v>19</v>
      </c>
      <c r="K4982" t="s">
        <v>6813</v>
      </c>
      <c r="L4982" t="s">
        <v>21</v>
      </c>
    </row>
    <row r="4983" spans="1:12">
      <c r="A4983" t="s">
        <v>6814</v>
      </c>
      <c r="B4983" t="s">
        <v>6796</v>
      </c>
      <c r="C4983" t="s">
        <v>14</v>
      </c>
      <c r="D4983">
        <v>1972</v>
      </c>
      <c r="E4983" t="s">
        <v>23</v>
      </c>
      <c r="F4983" t="s">
        <v>24</v>
      </c>
      <c r="G4983" t="s">
        <v>25</v>
      </c>
      <c r="H4983" t="s">
        <v>26</v>
      </c>
      <c r="I4983">
        <v>1089572</v>
      </c>
      <c r="J4983" t="s">
        <v>27</v>
      </c>
      <c r="K4983" t="s">
        <v>6813</v>
      </c>
      <c r="L4983" t="s">
        <v>21</v>
      </c>
    </row>
    <row r="4984" spans="1:12">
      <c r="A4984" t="s">
        <v>6815</v>
      </c>
      <c r="B4984" t="s">
        <v>6796</v>
      </c>
      <c r="C4984" t="s">
        <v>14</v>
      </c>
      <c r="D4984">
        <v>1972</v>
      </c>
      <c r="E4984" t="s">
        <v>29</v>
      </c>
      <c r="F4984" t="s">
        <v>30</v>
      </c>
      <c r="G4984" t="s">
        <v>31</v>
      </c>
      <c r="H4984" t="s">
        <v>32</v>
      </c>
      <c r="I4984">
        <v>3133.4092770000002</v>
      </c>
      <c r="J4984" t="s">
        <v>33</v>
      </c>
      <c r="K4984" t="s">
        <v>6813</v>
      </c>
      <c r="L4984" t="s">
        <v>21</v>
      </c>
    </row>
    <row r="4985" spans="1:12">
      <c r="A4985" t="s">
        <v>6816</v>
      </c>
      <c r="B4985" t="s">
        <v>6796</v>
      </c>
      <c r="C4985" t="s">
        <v>14</v>
      </c>
      <c r="D4985">
        <v>1977</v>
      </c>
      <c r="E4985" t="s">
        <v>15</v>
      </c>
      <c r="F4985" t="s">
        <v>16</v>
      </c>
      <c r="G4985" t="s">
        <v>17</v>
      </c>
      <c r="H4985" t="s">
        <v>18</v>
      </c>
      <c r="I4985">
        <v>60.765000000000001</v>
      </c>
      <c r="J4985" t="s">
        <v>19</v>
      </c>
      <c r="K4985" t="s">
        <v>6817</v>
      </c>
      <c r="L4985" t="s">
        <v>21</v>
      </c>
    </row>
    <row r="4986" spans="1:12">
      <c r="A4986" t="s">
        <v>6818</v>
      </c>
      <c r="B4986" t="s">
        <v>6796</v>
      </c>
      <c r="C4986" t="s">
        <v>14</v>
      </c>
      <c r="D4986">
        <v>1977</v>
      </c>
      <c r="E4986" t="s">
        <v>23</v>
      </c>
      <c r="F4986" t="s">
        <v>24</v>
      </c>
      <c r="G4986" t="s">
        <v>25</v>
      </c>
      <c r="H4986" t="s">
        <v>26</v>
      </c>
      <c r="I4986">
        <v>1261091</v>
      </c>
      <c r="J4986" t="s">
        <v>27</v>
      </c>
      <c r="K4986" t="s">
        <v>6817</v>
      </c>
      <c r="L4986" t="s">
        <v>21</v>
      </c>
    </row>
    <row r="4987" spans="1:12">
      <c r="A4987" t="s">
        <v>6819</v>
      </c>
      <c r="B4987" t="s">
        <v>6796</v>
      </c>
      <c r="C4987" t="s">
        <v>14</v>
      </c>
      <c r="D4987">
        <v>1977</v>
      </c>
      <c r="E4987" t="s">
        <v>29</v>
      </c>
      <c r="F4987" t="s">
        <v>30</v>
      </c>
      <c r="G4987" t="s">
        <v>31</v>
      </c>
      <c r="H4987" t="s">
        <v>32</v>
      </c>
      <c r="I4987">
        <v>3682.831494</v>
      </c>
      <c r="J4987" t="s">
        <v>33</v>
      </c>
      <c r="K4987" t="s">
        <v>6817</v>
      </c>
      <c r="L4987" t="s">
        <v>21</v>
      </c>
    </row>
    <row r="4988" spans="1:12">
      <c r="A4988" t="s">
        <v>6820</v>
      </c>
      <c r="B4988" t="s">
        <v>6796</v>
      </c>
      <c r="C4988" t="s">
        <v>14</v>
      </c>
      <c r="D4988">
        <v>1982</v>
      </c>
      <c r="E4988" t="s">
        <v>15</v>
      </c>
      <c r="F4988" t="s">
        <v>16</v>
      </c>
      <c r="G4988" t="s">
        <v>17</v>
      </c>
      <c r="H4988" t="s">
        <v>18</v>
      </c>
      <c r="I4988">
        <v>64.406000000000006</v>
      </c>
      <c r="J4988" t="s">
        <v>19</v>
      </c>
      <c r="K4988" t="s">
        <v>6821</v>
      </c>
      <c r="L4988" t="s">
        <v>21</v>
      </c>
    </row>
    <row r="4989" spans="1:12">
      <c r="A4989" t="s">
        <v>6822</v>
      </c>
      <c r="B4989" t="s">
        <v>6796</v>
      </c>
      <c r="C4989" t="s">
        <v>14</v>
      </c>
      <c r="D4989">
        <v>1982</v>
      </c>
      <c r="E4989" t="s">
        <v>23</v>
      </c>
      <c r="F4989" t="s">
        <v>24</v>
      </c>
      <c r="G4989" t="s">
        <v>25</v>
      </c>
      <c r="H4989" t="s">
        <v>26</v>
      </c>
      <c r="I4989">
        <v>1425876</v>
      </c>
      <c r="J4989" t="s">
        <v>27</v>
      </c>
      <c r="K4989" t="s">
        <v>6821</v>
      </c>
      <c r="L4989" t="s">
        <v>21</v>
      </c>
    </row>
    <row r="4990" spans="1:12">
      <c r="A4990" t="s">
        <v>6823</v>
      </c>
      <c r="B4990" t="s">
        <v>6796</v>
      </c>
      <c r="C4990" t="s">
        <v>14</v>
      </c>
      <c r="D4990">
        <v>1982</v>
      </c>
      <c r="E4990" t="s">
        <v>29</v>
      </c>
      <c r="F4990" t="s">
        <v>30</v>
      </c>
      <c r="G4990" t="s">
        <v>31</v>
      </c>
      <c r="H4990" t="s">
        <v>32</v>
      </c>
      <c r="I4990">
        <v>4336.0320819999997</v>
      </c>
      <c r="J4990" t="s">
        <v>33</v>
      </c>
      <c r="K4990" t="s">
        <v>6821</v>
      </c>
      <c r="L4990" t="s">
        <v>21</v>
      </c>
    </row>
    <row r="4991" spans="1:12">
      <c r="A4991" t="s">
        <v>6824</v>
      </c>
      <c r="B4991" t="s">
        <v>6796</v>
      </c>
      <c r="C4991" t="s">
        <v>14</v>
      </c>
      <c r="D4991">
        <v>1987</v>
      </c>
      <c r="E4991" t="s">
        <v>15</v>
      </c>
      <c r="F4991" t="s">
        <v>16</v>
      </c>
      <c r="G4991" t="s">
        <v>17</v>
      </c>
      <c r="H4991" t="s">
        <v>18</v>
      </c>
      <c r="I4991">
        <v>67.046000000000006</v>
      </c>
      <c r="J4991" t="s">
        <v>19</v>
      </c>
      <c r="K4991" t="s">
        <v>6825</v>
      </c>
      <c r="L4991" t="s">
        <v>21</v>
      </c>
    </row>
    <row r="4992" spans="1:12">
      <c r="A4992" t="s">
        <v>6826</v>
      </c>
      <c r="B4992" t="s">
        <v>6796</v>
      </c>
      <c r="C4992" t="s">
        <v>14</v>
      </c>
      <c r="D4992">
        <v>1987</v>
      </c>
      <c r="E4992" t="s">
        <v>23</v>
      </c>
      <c r="F4992" t="s">
        <v>24</v>
      </c>
      <c r="G4992" t="s">
        <v>25</v>
      </c>
      <c r="H4992" t="s">
        <v>26</v>
      </c>
      <c r="I4992">
        <v>1691210</v>
      </c>
      <c r="J4992" t="s">
        <v>27</v>
      </c>
      <c r="K4992" t="s">
        <v>6825</v>
      </c>
      <c r="L4992" t="s">
        <v>21</v>
      </c>
    </row>
    <row r="4993" spans="1:12">
      <c r="A4993" t="s">
        <v>6827</v>
      </c>
      <c r="B4993" t="s">
        <v>6796</v>
      </c>
      <c r="C4993" t="s">
        <v>14</v>
      </c>
      <c r="D4993">
        <v>1987</v>
      </c>
      <c r="E4993" t="s">
        <v>29</v>
      </c>
      <c r="F4993" t="s">
        <v>30</v>
      </c>
      <c r="G4993" t="s">
        <v>31</v>
      </c>
      <c r="H4993" t="s">
        <v>32</v>
      </c>
      <c r="I4993">
        <v>5107.1973840000001</v>
      </c>
      <c r="J4993" t="s">
        <v>33</v>
      </c>
      <c r="K4993" t="s">
        <v>6825</v>
      </c>
      <c r="L4993" t="s">
        <v>21</v>
      </c>
    </row>
    <row r="4994" spans="1:12">
      <c r="A4994" t="s">
        <v>6828</v>
      </c>
      <c r="B4994" t="s">
        <v>6796</v>
      </c>
      <c r="C4994" t="s">
        <v>14</v>
      </c>
      <c r="D4994">
        <v>1992</v>
      </c>
      <c r="E4994" t="s">
        <v>15</v>
      </c>
      <c r="F4994" t="s">
        <v>16</v>
      </c>
      <c r="G4994" t="s">
        <v>17</v>
      </c>
      <c r="H4994" t="s">
        <v>18</v>
      </c>
      <c r="I4994">
        <v>69.718000000000004</v>
      </c>
      <c r="J4994" t="s">
        <v>19</v>
      </c>
      <c r="K4994" t="s">
        <v>6829</v>
      </c>
      <c r="L4994" t="s">
        <v>21</v>
      </c>
    </row>
    <row r="4995" spans="1:12">
      <c r="A4995" t="s">
        <v>6830</v>
      </c>
      <c r="B4995" t="s">
        <v>6796</v>
      </c>
      <c r="C4995" t="s">
        <v>14</v>
      </c>
      <c r="D4995">
        <v>1992</v>
      </c>
      <c r="E4995" t="s">
        <v>23</v>
      </c>
      <c r="F4995" t="s">
        <v>24</v>
      </c>
      <c r="G4995" t="s">
        <v>25</v>
      </c>
      <c r="H4995" t="s">
        <v>26</v>
      </c>
      <c r="I4995">
        <v>2104779</v>
      </c>
      <c r="J4995" t="s">
        <v>27</v>
      </c>
      <c r="K4995" t="s">
        <v>6829</v>
      </c>
      <c r="L4995" t="s">
        <v>21</v>
      </c>
    </row>
    <row r="4996" spans="1:12">
      <c r="A4996" t="s">
        <v>6831</v>
      </c>
      <c r="B4996" t="s">
        <v>6796</v>
      </c>
      <c r="C4996" t="s">
        <v>14</v>
      </c>
      <c r="D4996">
        <v>1992</v>
      </c>
      <c r="E4996" t="s">
        <v>29</v>
      </c>
      <c r="F4996" t="s">
        <v>30</v>
      </c>
      <c r="G4996" t="s">
        <v>31</v>
      </c>
      <c r="H4996" t="s">
        <v>32</v>
      </c>
      <c r="I4996">
        <v>6017.6547559999999</v>
      </c>
      <c r="J4996" t="s">
        <v>33</v>
      </c>
      <c r="K4996" t="s">
        <v>6829</v>
      </c>
      <c r="L4996" t="s">
        <v>21</v>
      </c>
    </row>
    <row r="4997" spans="1:12">
      <c r="A4997" t="s">
        <v>6832</v>
      </c>
      <c r="B4997" t="s">
        <v>6796</v>
      </c>
      <c r="C4997" t="s">
        <v>14</v>
      </c>
      <c r="D4997">
        <v>1997</v>
      </c>
      <c r="E4997" t="s">
        <v>15</v>
      </c>
      <c r="F4997" t="s">
        <v>16</v>
      </c>
      <c r="G4997" t="s">
        <v>17</v>
      </c>
      <c r="H4997" t="s">
        <v>18</v>
      </c>
      <c r="I4997">
        <v>71.096000000000004</v>
      </c>
      <c r="J4997" t="s">
        <v>19</v>
      </c>
      <c r="K4997" t="s">
        <v>6833</v>
      </c>
      <c r="L4997" t="s">
        <v>21</v>
      </c>
    </row>
    <row r="4998" spans="1:12">
      <c r="A4998" t="s">
        <v>6834</v>
      </c>
      <c r="B4998" t="s">
        <v>6796</v>
      </c>
      <c r="C4998" t="s">
        <v>14</v>
      </c>
      <c r="D4998">
        <v>1997</v>
      </c>
      <c r="E4998" t="s">
        <v>23</v>
      </c>
      <c r="F4998" t="s">
        <v>24</v>
      </c>
      <c r="G4998" t="s">
        <v>25</v>
      </c>
      <c r="H4998" t="s">
        <v>26</v>
      </c>
      <c r="I4998">
        <v>2826046</v>
      </c>
      <c r="J4998" t="s">
        <v>27</v>
      </c>
      <c r="K4998" t="s">
        <v>6833</v>
      </c>
      <c r="L4998" t="s">
        <v>21</v>
      </c>
    </row>
    <row r="4999" spans="1:12">
      <c r="A4999" t="s">
        <v>6835</v>
      </c>
      <c r="B4999" t="s">
        <v>6796</v>
      </c>
      <c r="C4999" t="s">
        <v>14</v>
      </c>
      <c r="D4999">
        <v>1997</v>
      </c>
      <c r="E4999" t="s">
        <v>29</v>
      </c>
      <c r="F4999" t="s">
        <v>30</v>
      </c>
      <c r="G4999" t="s">
        <v>31</v>
      </c>
      <c r="H4999" t="s">
        <v>32</v>
      </c>
      <c r="I4999">
        <v>7110.6676189999998</v>
      </c>
      <c r="J4999" t="s">
        <v>33</v>
      </c>
      <c r="K4999" t="s">
        <v>6833</v>
      </c>
      <c r="L4999" t="s">
        <v>21</v>
      </c>
    </row>
    <row r="5000" spans="1:12">
      <c r="A5000" t="s">
        <v>6836</v>
      </c>
      <c r="B5000" t="s">
        <v>6796</v>
      </c>
      <c r="C5000" t="s">
        <v>14</v>
      </c>
      <c r="D5000">
        <v>2002</v>
      </c>
      <c r="E5000" t="s">
        <v>15</v>
      </c>
      <c r="F5000" t="s">
        <v>16</v>
      </c>
      <c r="G5000" t="s">
        <v>17</v>
      </c>
      <c r="H5000" t="s">
        <v>18</v>
      </c>
      <c r="I5000">
        <v>72.37</v>
      </c>
      <c r="J5000" t="s">
        <v>19</v>
      </c>
      <c r="K5000" t="s">
        <v>6837</v>
      </c>
      <c r="L5000" t="s">
        <v>21</v>
      </c>
    </row>
    <row r="5001" spans="1:12">
      <c r="A5001" t="s">
        <v>6838</v>
      </c>
      <c r="B5001" t="s">
        <v>6796</v>
      </c>
      <c r="C5001" t="s">
        <v>14</v>
      </c>
      <c r="D5001">
        <v>2002</v>
      </c>
      <c r="E5001" t="s">
        <v>23</v>
      </c>
      <c r="F5001" t="s">
        <v>24</v>
      </c>
      <c r="G5001" t="s">
        <v>25</v>
      </c>
      <c r="H5001" t="s">
        <v>26</v>
      </c>
      <c r="I5001">
        <v>3389578</v>
      </c>
      <c r="J5001" t="s">
        <v>27</v>
      </c>
      <c r="K5001" t="s">
        <v>6837</v>
      </c>
      <c r="L5001" t="s">
        <v>21</v>
      </c>
    </row>
    <row r="5002" spans="1:12">
      <c r="A5002" t="s">
        <v>6839</v>
      </c>
      <c r="B5002" t="s">
        <v>6796</v>
      </c>
      <c r="C5002" t="s">
        <v>14</v>
      </c>
      <c r="D5002">
        <v>2002</v>
      </c>
      <c r="E5002" t="s">
        <v>29</v>
      </c>
      <c r="F5002" t="s">
        <v>30</v>
      </c>
      <c r="G5002" t="s">
        <v>31</v>
      </c>
      <c r="H5002" t="s">
        <v>32</v>
      </c>
      <c r="I5002">
        <v>4515.4875750000001</v>
      </c>
      <c r="J5002" t="s">
        <v>33</v>
      </c>
      <c r="K5002" t="s">
        <v>6837</v>
      </c>
      <c r="L5002" t="s">
        <v>21</v>
      </c>
    </row>
    <row r="5003" spans="1:12">
      <c r="A5003" t="s">
        <v>6840</v>
      </c>
      <c r="B5003" t="s">
        <v>6796</v>
      </c>
      <c r="C5003" t="s">
        <v>14</v>
      </c>
      <c r="D5003">
        <v>2007</v>
      </c>
      <c r="E5003" t="s">
        <v>15</v>
      </c>
      <c r="F5003" t="s">
        <v>16</v>
      </c>
      <c r="G5003" t="s">
        <v>17</v>
      </c>
      <c r="H5003" t="s">
        <v>18</v>
      </c>
      <c r="I5003">
        <v>73.421999999999997</v>
      </c>
      <c r="J5003" t="s">
        <v>19</v>
      </c>
      <c r="K5003" t="s">
        <v>6841</v>
      </c>
      <c r="L5003" t="s">
        <v>21</v>
      </c>
    </row>
    <row r="5004" spans="1:12">
      <c r="A5004" t="s">
        <v>6842</v>
      </c>
      <c r="B5004" t="s">
        <v>6796</v>
      </c>
      <c r="C5004" t="s">
        <v>14</v>
      </c>
      <c r="D5004">
        <v>2007</v>
      </c>
      <c r="E5004" t="s">
        <v>23</v>
      </c>
      <c r="F5004" t="s">
        <v>24</v>
      </c>
      <c r="G5004" t="s">
        <v>25</v>
      </c>
      <c r="H5004" t="s">
        <v>26</v>
      </c>
      <c r="I5004">
        <v>4018332</v>
      </c>
      <c r="J5004" t="s">
        <v>27</v>
      </c>
      <c r="K5004" t="s">
        <v>6841</v>
      </c>
      <c r="L5004" t="s">
        <v>21</v>
      </c>
    </row>
    <row r="5005" spans="1:12">
      <c r="A5005" t="s">
        <v>6843</v>
      </c>
      <c r="B5005" t="s">
        <v>6796</v>
      </c>
      <c r="C5005" t="s">
        <v>14</v>
      </c>
      <c r="D5005">
        <v>2007</v>
      </c>
      <c r="E5005" t="s">
        <v>29</v>
      </c>
      <c r="F5005" t="s">
        <v>30</v>
      </c>
      <c r="G5005" t="s">
        <v>31</v>
      </c>
      <c r="H5005" t="s">
        <v>32</v>
      </c>
      <c r="I5005">
        <v>3025.3497980000002</v>
      </c>
      <c r="J5005" t="s">
        <v>33</v>
      </c>
      <c r="K5005" t="s">
        <v>6841</v>
      </c>
      <c r="L5005" t="s">
        <v>21</v>
      </c>
    </row>
    <row r="5006" spans="1:12">
      <c r="A5006" t="s">
        <v>6844</v>
      </c>
      <c r="B5006" t="s">
        <v>6845</v>
      </c>
      <c r="C5006" t="s">
        <v>14</v>
      </c>
      <c r="D5006">
        <v>1952</v>
      </c>
      <c r="E5006" t="s">
        <v>15</v>
      </c>
      <c r="F5006" t="s">
        <v>16</v>
      </c>
      <c r="G5006" t="s">
        <v>17</v>
      </c>
      <c r="H5006" t="s">
        <v>18</v>
      </c>
      <c r="I5006">
        <v>32.548000000000002</v>
      </c>
      <c r="J5006" t="s">
        <v>19</v>
      </c>
      <c r="K5006" t="s">
        <v>6846</v>
      </c>
      <c r="L5006" t="s">
        <v>21</v>
      </c>
    </row>
    <row r="5007" spans="1:12">
      <c r="A5007" t="s">
        <v>6847</v>
      </c>
      <c r="B5007" t="s">
        <v>6845</v>
      </c>
      <c r="C5007" t="s">
        <v>14</v>
      </c>
      <c r="D5007">
        <v>1952</v>
      </c>
      <c r="E5007" t="s">
        <v>23</v>
      </c>
      <c r="F5007" t="s">
        <v>24</v>
      </c>
      <c r="G5007" t="s">
        <v>25</v>
      </c>
      <c r="H5007" t="s">
        <v>26</v>
      </c>
      <c r="I5007">
        <v>4963829</v>
      </c>
      <c r="J5007" t="s">
        <v>27</v>
      </c>
      <c r="K5007" t="s">
        <v>6846</v>
      </c>
      <c r="L5007" t="s">
        <v>21</v>
      </c>
    </row>
    <row r="5008" spans="1:12">
      <c r="A5008" t="s">
        <v>6848</v>
      </c>
      <c r="B5008" t="s">
        <v>6845</v>
      </c>
      <c r="C5008" t="s">
        <v>14</v>
      </c>
      <c r="D5008">
        <v>1952</v>
      </c>
      <c r="E5008" t="s">
        <v>29</v>
      </c>
      <c r="F5008" t="s">
        <v>30</v>
      </c>
      <c r="G5008" t="s">
        <v>31</v>
      </c>
      <c r="H5008" t="s">
        <v>32</v>
      </c>
      <c r="I5008">
        <v>781.71757609999997</v>
      </c>
      <c r="J5008" t="s">
        <v>33</v>
      </c>
      <c r="K5008" t="s">
        <v>6846</v>
      </c>
      <c r="L5008" t="s">
        <v>21</v>
      </c>
    </row>
    <row r="5009" spans="1:12">
      <c r="A5009" t="s">
        <v>6849</v>
      </c>
      <c r="B5009" t="s">
        <v>6845</v>
      </c>
      <c r="C5009" t="s">
        <v>14</v>
      </c>
      <c r="D5009">
        <v>1957</v>
      </c>
      <c r="E5009" t="s">
        <v>15</v>
      </c>
      <c r="F5009" t="s">
        <v>16</v>
      </c>
      <c r="G5009" t="s">
        <v>17</v>
      </c>
      <c r="H5009" t="s">
        <v>18</v>
      </c>
      <c r="I5009">
        <v>33.97</v>
      </c>
      <c r="J5009" t="s">
        <v>19</v>
      </c>
      <c r="K5009" t="s">
        <v>6850</v>
      </c>
      <c r="L5009" t="s">
        <v>21</v>
      </c>
    </row>
    <row r="5010" spans="1:12">
      <c r="A5010" t="s">
        <v>6851</v>
      </c>
      <c r="B5010" t="s">
        <v>6845</v>
      </c>
      <c r="C5010" t="s">
        <v>14</v>
      </c>
      <c r="D5010">
        <v>1957</v>
      </c>
      <c r="E5010" t="s">
        <v>23</v>
      </c>
      <c r="F5010" t="s">
        <v>24</v>
      </c>
      <c r="G5010" t="s">
        <v>25</v>
      </c>
      <c r="H5010" t="s">
        <v>26</v>
      </c>
      <c r="I5010">
        <v>5498090</v>
      </c>
      <c r="J5010" t="s">
        <v>27</v>
      </c>
      <c r="K5010" t="s">
        <v>6850</v>
      </c>
      <c r="L5010" t="s">
        <v>21</v>
      </c>
    </row>
    <row r="5011" spans="1:12">
      <c r="A5011" t="s">
        <v>6852</v>
      </c>
      <c r="B5011" t="s">
        <v>6845</v>
      </c>
      <c r="C5011" t="s">
        <v>14</v>
      </c>
      <c r="D5011">
        <v>1957</v>
      </c>
      <c r="E5011" t="s">
        <v>29</v>
      </c>
      <c r="F5011" t="s">
        <v>30</v>
      </c>
      <c r="G5011" t="s">
        <v>31</v>
      </c>
      <c r="H5011" t="s">
        <v>32</v>
      </c>
      <c r="I5011">
        <v>804.83045470000002</v>
      </c>
      <c r="J5011" t="s">
        <v>33</v>
      </c>
      <c r="K5011" t="s">
        <v>6850</v>
      </c>
      <c r="L5011" t="s">
        <v>21</v>
      </c>
    </row>
    <row r="5012" spans="1:12">
      <c r="A5012" t="s">
        <v>6853</v>
      </c>
      <c r="B5012" t="s">
        <v>6845</v>
      </c>
      <c r="C5012" t="s">
        <v>14</v>
      </c>
      <c r="D5012">
        <v>1962</v>
      </c>
      <c r="E5012" t="s">
        <v>15</v>
      </c>
      <c r="F5012" t="s">
        <v>16</v>
      </c>
      <c r="G5012" t="s">
        <v>17</v>
      </c>
      <c r="H5012" t="s">
        <v>18</v>
      </c>
      <c r="I5012">
        <v>35.18</v>
      </c>
      <c r="J5012" t="s">
        <v>19</v>
      </c>
      <c r="K5012" t="s">
        <v>6854</v>
      </c>
      <c r="L5012" t="s">
        <v>21</v>
      </c>
    </row>
    <row r="5013" spans="1:12">
      <c r="A5013" t="s">
        <v>6855</v>
      </c>
      <c r="B5013" t="s">
        <v>6845</v>
      </c>
      <c r="C5013" t="s">
        <v>14</v>
      </c>
      <c r="D5013">
        <v>1962</v>
      </c>
      <c r="E5013" t="s">
        <v>23</v>
      </c>
      <c r="F5013" t="s">
        <v>24</v>
      </c>
      <c r="G5013" t="s">
        <v>25</v>
      </c>
      <c r="H5013" t="s">
        <v>26</v>
      </c>
      <c r="I5013">
        <v>6120081</v>
      </c>
      <c r="J5013" t="s">
        <v>27</v>
      </c>
      <c r="K5013" t="s">
        <v>6854</v>
      </c>
      <c r="L5013" t="s">
        <v>21</v>
      </c>
    </row>
    <row r="5014" spans="1:12">
      <c r="A5014" t="s">
        <v>6856</v>
      </c>
      <c r="B5014" t="s">
        <v>6845</v>
      </c>
      <c r="C5014" t="s">
        <v>14</v>
      </c>
      <c r="D5014">
        <v>1962</v>
      </c>
      <c r="E5014" t="s">
        <v>29</v>
      </c>
      <c r="F5014" t="s">
        <v>30</v>
      </c>
      <c r="G5014" t="s">
        <v>31</v>
      </c>
      <c r="H5014" t="s">
        <v>32</v>
      </c>
      <c r="I5014">
        <v>825.62320060000002</v>
      </c>
      <c r="J5014" t="s">
        <v>33</v>
      </c>
      <c r="K5014" t="s">
        <v>6854</v>
      </c>
      <c r="L5014" t="s">
        <v>21</v>
      </c>
    </row>
    <row r="5015" spans="1:12">
      <c r="A5015" t="s">
        <v>6857</v>
      </c>
      <c r="B5015" t="s">
        <v>6845</v>
      </c>
      <c r="C5015" t="s">
        <v>14</v>
      </c>
      <c r="D5015">
        <v>1967</v>
      </c>
      <c r="E5015" t="s">
        <v>15</v>
      </c>
      <c r="F5015" t="s">
        <v>16</v>
      </c>
      <c r="G5015" t="s">
        <v>17</v>
      </c>
      <c r="H5015" t="s">
        <v>18</v>
      </c>
      <c r="I5015">
        <v>36.984000000000002</v>
      </c>
      <c r="J5015" t="s">
        <v>19</v>
      </c>
      <c r="K5015" t="s">
        <v>6858</v>
      </c>
      <c r="L5015" t="s">
        <v>21</v>
      </c>
    </row>
    <row r="5016" spans="1:12">
      <c r="A5016" t="s">
        <v>6859</v>
      </c>
      <c r="B5016" t="s">
        <v>6845</v>
      </c>
      <c r="C5016" t="s">
        <v>14</v>
      </c>
      <c r="D5016">
        <v>1967</v>
      </c>
      <c r="E5016" t="s">
        <v>23</v>
      </c>
      <c r="F5016" t="s">
        <v>24</v>
      </c>
      <c r="G5016" t="s">
        <v>25</v>
      </c>
      <c r="H5016" t="s">
        <v>26</v>
      </c>
      <c r="I5016">
        <v>6740785</v>
      </c>
      <c r="J5016" t="s">
        <v>27</v>
      </c>
      <c r="K5016" t="s">
        <v>6858</v>
      </c>
      <c r="L5016" t="s">
        <v>21</v>
      </c>
    </row>
    <row r="5017" spans="1:12">
      <c r="A5017" t="s">
        <v>6860</v>
      </c>
      <c r="B5017" t="s">
        <v>6845</v>
      </c>
      <c r="C5017" t="s">
        <v>14</v>
      </c>
      <c r="D5017">
        <v>1967</v>
      </c>
      <c r="E5017" t="s">
        <v>29</v>
      </c>
      <c r="F5017" t="s">
        <v>30</v>
      </c>
      <c r="G5017" t="s">
        <v>31</v>
      </c>
      <c r="H5017" t="s">
        <v>32</v>
      </c>
      <c r="I5017">
        <v>862.44214629999999</v>
      </c>
      <c r="J5017" t="s">
        <v>33</v>
      </c>
      <c r="K5017" t="s">
        <v>6858</v>
      </c>
      <c r="L5017" t="s">
        <v>21</v>
      </c>
    </row>
    <row r="5018" spans="1:12">
      <c r="A5018" t="s">
        <v>6861</v>
      </c>
      <c r="B5018" t="s">
        <v>6845</v>
      </c>
      <c r="C5018" t="s">
        <v>14</v>
      </c>
      <c r="D5018">
        <v>1972</v>
      </c>
      <c r="E5018" t="s">
        <v>15</v>
      </c>
      <c r="F5018" t="s">
        <v>16</v>
      </c>
      <c r="G5018" t="s">
        <v>17</v>
      </c>
      <c r="H5018" t="s">
        <v>18</v>
      </c>
      <c r="I5018">
        <v>39.847999999999999</v>
      </c>
      <c r="J5018" t="s">
        <v>19</v>
      </c>
      <c r="K5018" t="s">
        <v>6862</v>
      </c>
      <c r="L5018" t="s">
        <v>21</v>
      </c>
    </row>
    <row r="5019" spans="1:12">
      <c r="A5019" t="s">
        <v>6863</v>
      </c>
      <c r="B5019" t="s">
        <v>6845</v>
      </c>
      <c r="C5019" t="s">
        <v>14</v>
      </c>
      <c r="D5019">
        <v>1972</v>
      </c>
      <c r="E5019" t="s">
        <v>23</v>
      </c>
      <c r="F5019" t="s">
        <v>24</v>
      </c>
      <c r="G5019" t="s">
        <v>25</v>
      </c>
      <c r="H5019" t="s">
        <v>26</v>
      </c>
      <c r="I5019">
        <v>7407075</v>
      </c>
      <c r="J5019" t="s">
        <v>27</v>
      </c>
      <c r="K5019" t="s">
        <v>6862</v>
      </c>
      <c r="L5019" t="s">
        <v>21</v>
      </c>
    </row>
    <row r="5020" spans="1:12">
      <c r="A5020" t="s">
        <v>6864</v>
      </c>
      <c r="B5020" t="s">
        <v>6845</v>
      </c>
      <c r="C5020" t="s">
        <v>14</v>
      </c>
      <c r="D5020">
        <v>1972</v>
      </c>
      <c r="E5020" t="s">
        <v>29</v>
      </c>
      <c r="F5020" t="s">
        <v>30</v>
      </c>
      <c r="G5020" t="s">
        <v>31</v>
      </c>
      <c r="H5020" t="s">
        <v>32</v>
      </c>
      <c r="I5020">
        <v>1265.0470310000001</v>
      </c>
      <c r="J5020" t="s">
        <v>33</v>
      </c>
      <c r="K5020" t="s">
        <v>6862</v>
      </c>
      <c r="L5020" t="s">
        <v>21</v>
      </c>
    </row>
    <row r="5021" spans="1:12">
      <c r="A5021" t="s">
        <v>6865</v>
      </c>
      <c r="B5021" t="s">
        <v>6845</v>
      </c>
      <c r="C5021" t="s">
        <v>14</v>
      </c>
      <c r="D5021">
        <v>1977</v>
      </c>
      <c r="E5021" t="s">
        <v>15</v>
      </c>
      <c r="F5021" t="s">
        <v>16</v>
      </c>
      <c r="G5021" t="s">
        <v>17</v>
      </c>
      <c r="H5021" t="s">
        <v>18</v>
      </c>
      <c r="I5021">
        <v>44.174999999999997</v>
      </c>
      <c r="J5021" t="s">
        <v>19</v>
      </c>
      <c r="K5021" t="s">
        <v>6866</v>
      </c>
      <c r="L5021" t="s">
        <v>21</v>
      </c>
    </row>
    <row r="5022" spans="1:12">
      <c r="A5022" t="s">
        <v>6867</v>
      </c>
      <c r="B5022" t="s">
        <v>6845</v>
      </c>
      <c r="C5022" t="s">
        <v>14</v>
      </c>
      <c r="D5022">
        <v>1977</v>
      </c>
      <c r="E5022" t="s">
        <v>23</v>
      </c>
      <c r="F5022" t="s">
        <v>24</v>
      </c>
      <c r="G5022" t="s">
        <v>25</v>
      </c>
      <c r="H5022" t="s">
        <v>26</v>
      </c>
      <c r="I5022">
        <v>8403990</v>
      </c>
      <c r="J5022" t="s">
        <v>27</v>
      </c>
      <c r="K5022" t="s">
        <v>6866</v>
      </c>
      <c r="L5022" t="s">
        <v>21</v>
      </c>
    </row>
    <row r="5023" spans="1:12">
      <c r="A5023" t="s">
        <v>6868</v>
      </c>
      <c r="B5023" t="s">
        <v>6845</v>
      </c>
      <c r="C5023" t="s">
        <v>14</v>
      </c>
      <c r="D5023">
        <v>1977</v>
      </c>
      <c r="E5023" t="s">
        <v>29</v>
      </c>
      <c r="F5023" t="s">
        <v>30</v>
      </c>
      <c r="G5023" t="s">
        <v>31</v>
      </c>
      <c r="H5023" t="s">
        <v>32</v>
      </c>
      <c r="I5023">
        <v>1829.765177</v>
      </c>
      <c r="J5023" t="s">
        <v>33</v>
      </c>
      <c r="K5023" t="s">
        <v>6866</v>
      </c>
      <c r="L5023" t="s">
        <v>21</v>
      </c>
    </row>
    <row r="5024" spans="1:12">
      <c r="A5024" t="s">
        <v>6869</v>
      </c>
      <c r="B5024" t="s">
        <v>6845</v>
      </c>
      <c r="C5024" t="s">
        <v>14</v>
      </c>
      <c r="D5024">
        <v>1982</v>
      </c>
      <c r="E5024" t="s">
        <v>15</v>
      </c>
      <c r="F5024" t="s">
        <v>16</v>
      </c>
      <c r="G5024" t="s">
        <v>17</v>
      </c>
      <c r="H5024" t="s">
        <v>18</v>
      </c>
      <c r="I5024">
        <v>49.113</v>
      </c>
      <c r="J5024" t="s">
        <v>19</v>
      </c>
      <c r="K5024" t="s">
        <v>6870</v>
      </c>
      <c r="L5024" t="s">
        <v>21</v>
      </c>
    </row>
    <row r="5025" spans="1:12">
      <c r="A5025" t="s">
        <v>6871</v>
      </c>
      <c r="B5025" t="s">
        <v>6845</v>
      </c>
      <c r="C5025" t="s">
        <v>14</v>
      </c>
      <c r="D5025">
        <v>1982</v>
      </c>
      <c r="E5025" t="s">
        <v>23</v>
      </c>
      <c r="F5025" t="s">
        <v>24</v>
      </c>
      <c r="G5025" t="s">
        <v>25</v>
      </c>
      <c r="H5025" t="s">
        <v>26</v>
      </c>
      <c r="I5025">
        <v>9657618</v>
      </c>
      <c r="J5025" t="s">
        <v>27</v>
      </c>
      <c r="K5025" t="s">
        <v>6870</v>
      </c>
      <c r="L5025" t="s">
        <v>21</v>
      </c>
    </row>
    <row r="5026" spans="1:12">
      <c r="A5026" t="s">
        <v>6872</v>
      </c>
      <c r="B5026" t="s">
        <v>6845</v>
      </c>
      <c r="C5026" t="s">
        <v>14</v>
      </c>
      <c r="D5026">
        <v>1982</v>
      </c>
      <c r="E5026" t="s">
        <v>29</v>
      </c>
      <c r="F5026" t="s">
        <v>30</v>
      </c>
      <c r="G5026" t="s">
        <v>31</v>
      </c>
      <c r="H5026" t="s">
        <v>32</v>
      </c>
      <c r="I5026">
        <v>1977.55701</v>
      </c>
      <c r="J5026" t="s">
        <v>33</v>
      </c>
      <c r="K5026" t="s">
        <v>6870</v>
      </c>
      <c r="L5026" t="s">
        <v>21</v>
      </c>
    </row>
    <row r="5027" spans="1:12">
      <c r="A5027" t="s">
        <v>6873</v>
      </c>
      <c r="B5027" t="s">
        <v>6845</v>
      </c>
      <c r="C5027" t="s">
        <v>14</v>
      </c>
      <c r="D5027">
        <v>1987</v>
      </c>
      <c r="E5027" t="s">
        <v>15</v>
      </c>
      <c r="F5027" t="s">
        <v>16</v>
      </c>
      <c r="G5027" t="s">
        <v>17</v>
      </c>
      <c r="H5027" t="s">
        <v>18</v>
      </c>
      <c r="I5027">
        <v>52.921999999999997</v>
      </c>
      <c r="J5027" t="s">
        <v>19</v>
      </c>
      <c r="K5027" t="s">
        <v>6874</v>
      </c>
      <c r="L5027" t="s">
        <v>21</v>
      </c>
    </row>
    <row r="5028" spans="1:12">
      <c r="A5028" t="s">
        <v>6875</v>
      </c>
      <c r="B5028" t="s">
        <v>6845</v>
      </c>
      <c r="C5028" t="s">
        <v>14</v>
      </c>
      <c r="D5028">
        <v>1987</v>
      </c>
      <c r="E5028" t="s">
        <v>23</v>
      </c>
      <c r="F5028" t="s">
        <v>24</v>
      </c>
      <c r="G5028" t="s">
        <v>25</v>
      </c>
      <c r="H5028" t="s">
        <v>26</v>
      </c>
      <c r="I5028">
        <v>11219340</v>
      </c>
      <c r="J5028" t="s">
        <v>27</v>
      </c>
      <c r="K5028" t="s">
        <v>6874</v>
      </c>
      <c r="L5028" t="s">
        <v>21</v>
      </c>
    </row>
    <row r="5029" spans="1:12">
      <c r="A5029" t="s">
        <v>6876</v>
      </c>
      <c r="B5029" t="s">
        <v>6845</v>
      </c>
      <c r="C5029" t="s">
        <v>14</v>
      </c>
      <c r="D5029">
        <v>1987</v>
      </c>
      <c r="E5029" t="s">
        <v>29</v>
      </c>
      <c r="F5029" t="s">
        <v>30</v>
      </c>
      <c r="G5029" t="s">
        <v>31</v>
      </c>
      <c r="H5029" t="s">
        <v>32</v>
      </c>
      <c r="I5029">
        <v>1971.741538</v>
      </c>
      <c r="J5029" t="s">
        <v>33</v>
      </c>
      <c r="K5029" t="s">
        <v>6874</v>
      </c>
      <c r="L5029" t="s">
        <v>21</v>
      </c>
    </row>
    <row r="5030" spans="1:12">
      <c r="A5030" t="s">
        <v>6877</v>
      </c>
      <c r="B5030" t="s">
        <v>6845</v>
      </c>
      <c r="C5030" t="s">
        <v>14</v>
      </c>
      <c r="D5030">
        <v>1992</v>
      </c>
      <c r="E5030" t="s">
        <v>15</v>
      </c>
      <c r="F5030" t="s">
        <v>16</v>
      </c>
      <c r="G5030" t="s">
        <v>17</v>
      </c>
      <c r="H5030" t="s">
        <v>18</v>
      </c>
      <c r="I5030">
        <v>55.598999999999997</v>
      </c>
      <c r="J5030" t="s">
        <v>19</v>
      </c>
      <c r="K5030" t="s">
        <v>6878</v>
      </c>
      <c r="L5030" t="s">
        <v>21</v>
      </c>
    </row>
    <row r="5031" spans="1:12">
      <c r="A5031" t="s">
        <v>6879</v>
      </c>
      <c r="B5031" t="s">
        <v>6845</v>
      </c>
      <c r="C5031" t="s">
        <v>14</v>
      </c>
      <c r="D5031">
        <v>1992</v>
      </c>
      <c r="E5031" t="s">
        <v>23</v>
      </c>
      <c r="F5031" t="s">
        <v>24</v>
      </c>
      <c r="G5031" t="s">
        <v>25</v>
      </c>
      <c r="H5031" t="s">
        <v>26</v>
      </c>
      <c r="I5031">
        <v>13367997</v>
      </c>
      <c r="J5031" t="s">
        <v>27</v>
      </c>
      <c r="K5031" t="s">
        <v>6878</v>
      </c>
      <c r="L5031" t="s">
        <v>21</v>
      </c>
    </row>
    <row r="5032" spans="1:12">
      <c r="A5032" t="s">
        <v>6880</v>
      </c>
      <c r="B5032" t="s">
        <v>6845</v>
      </c>
      <c r="C5032" t="s">
        <v>14</v>
      </c>
      <c r="D5032">
        <v>1992</v>
      </c>
      <c r="E5032" t="s">
        <v>29</v>
      </c>
      <c r="F5032" t="s">
        <v>30</v>
      </c>
      <c r="G5032" t="s">
        <v>31</v>
      </c>
      <c r="H5032" t="s">
        <v>32</v>
      </c>
      <c r="I5032">
        <v>1879.4966730000001</v>
      </c>
      <c r="J5032" t="s">
        <v>33</v>
      </c>
      <c r="K5032" t="s">
        <v>6878</v>
      </c>
      <c r="L5032" t="s">
        <v>21</v>
      </c>
    </row>
    <row r="5033" spans="1:12">
      <c r="A5033" t="s">
        <v>6881</v>
      </c>
      <c r="B5033" t="s">
        <v>6845</v>
      </c>
      <c r="C5033" t="s">
        <v>14</v>
      </c>
      <c r="D5033">
        <v>1997</v>
      </c>
      <c r="E5033" t="s">
        <v>15</v>
      </c>
      <c r="F5033" t="s">
        <v>16</v>
      </c>
      <c r="G5033" t="s">
        <v>17</v>
      </c>
      <c r="H5033" t="s">
        <v>18</v>
      </c>
      <c r="I5033">
        <v>58.02</v>
      </c>
      <c r="J5033" t="s">
        <v>19</v>
      </c>
      <c r="K5033" t="s">
        <v>6882</v>
      </c>
      <c r="L5033" t="s">
        <v>21</v>
      </c>
    </row>
    <row r="5034" spans="1:12">
      <c r="A5034" t="s">
        <v>6883</v>
      </c>
      <c r="B5034" t="s">
        <v>6845</v>
      </c>
      <c r="C5034" t="s">
        <v>14</v>
      </c>
      <c r="D5034">
        <v>1997</v>
      </c>
      <c r="E5034" t="s">
        <v>23</v>
      </c>
      <c r="F5034" t="s">
        <v>24</v>
      </c>
      <c r="G5034" t="s">
        <v>25</v>
      </c>
      <c r="H5034" t="s">
        <v>26</v>
      </c>
      <c r="I5034">
        <v>15826497</v>
      </c>
      <c r="J5034" t="s">
        <v>27</v>
      </c>
      <c r="K5034" t="s">
        <v>6882</v>
      </c>
      <c r="L5034" t="s">
        <v>21</v>
      </c>
    </row>
    <row r="5035" spans="1:12">
      <c r="A5035" t="s">
        <v>6884</v>
      </c>
      <c r="B5035" t="s">
        <v>6845</v>
      </c>
      <c r="C5035" t="s">
        <v>14</v>
      </c>
      <c r="D5035">
        <v>1997</v>
      </c>
      <c r="E5035" t="s">
        <v>29</v>
      </c>
      <c r="F5035" t="s">
        <v>30</v>
      </c>
      <c r="G5035" t="s">
        <v>31</v>
      </c>
      <c r="H5035" t="s">
        <v>32</v>
      </c>
      <c r="I5035">
        <v>2117.4845260000002</v>
      </c>
      <c r="J5035" t="s">
        <v>33</v>
      </c>
      <c r="K5035" t="s">
        <v>6882</v>
      </c>
      <c r="L5035" t="s">
        <v>21</v>
      </c>
    </row>
    <row r="5036" spans="1:12">
      <c r="A5036" t="s">
        <v>6885</v>
      </c>
      <c r="B5036" t="s">
        <v>6845</v>
      </c>
      <c r="C5036" t="s">
        <v>14</v>
      </c>
      <c r="D5036">
        <v>2002</v>
      </c>
      <c r="E5036" t="s">
        <v>15</v>
      </c>
      <c r="F5036" t="s">
        <v>16</v>
      </c>
      <c r="G5036" t="s">
        <v>17</v>
      </c>
      <c r="H5036" t="s">
        <v>18</v>
      </c>
      <c r="I5036">
        <v>60.308</v>
      </c>
      <c r="J5036" t="s">
        <v>19</v>
      </c>
      <c r="K5036" t="s">
        <v>6886</v>
      </c>
      <c r="L5036" t="s">
        <v>21</v>
      </c>
    </row>
    <row r="5037" spans="1:12">
      <c r="A5037" t="s">
        <v>6887</v>
      </c>
      <c r="B5037" t="s">
        <v>6845</v>
      </c>
      <c r="C5037" t="s">
        <v>14</v>
      </c>
      <c r="D5037">
        <v>2002</v>
      </c>
      <c r="E5037" t="s">
        <v>23</v>
      </c>
      <c r="F5037" t="s">
        <v>24</v>
      </c>
      <c r="G5037" t="s">
        <v>25</v>
      </c>
      <c r="H5037" t="s">
        <v>26</v>
      </c>
      <c r="I5037">
        <v>18701257</v>
      </c>
      <c r="J5037" t="s">
        <v>27</v>
      </c>
      <c r="K5037" t="s">
        <v>6886</v>
      </c>
      <c r="L5037" t="s">
        <v>21</v>
      </c>
    </row>
    <row r="5038" spans="1:12">
      <c r="A5038" t="s">
        <v>6888</v>
      </c>
      <c r="B5038" t="s">
        <v>6845</v>
      </c>
      <c r="C5038" t="s">
        <v>14</v>
      </c>
      <c r="D5038">
        <v>2002</v>
      </c>
      <c r="E5038" t="s">
        <v>29</v>
      </c>
      <c r="F5038" t="s">
        <v>30</v>
      </c>
      <c r="G5038" t="s">
        <v>31</v>
      </c>
      <c r="H5038" t="s">
        <v>32</v>
      </c>
      <c r="I5038">
        <v>2234.820827</v>
      </c>
      <c r="J5038" t="s">
        <v>33</v>
      </c>
      <c r="K5038" t="s">
        <v>6886</v>
      </c>
      <c r="L5038" t="s">
        <v>21</v>
      </c>
    </row>
    <row r="5039" spans="1:12">
      <c r="A5039" t="s">
        <v>6889</v>
      </c>
      <c r="B5039" t="s">
        <v>6845</v>
      </c>
      <c r="C5039" t="s">
        <v>14</v>
      </c>
      <c r="D5039">
        <v>2007</v>
      </c>
      <c r="E5039" t="s">
        <v>15</v>
      </c>
      <c r="F5039" t="s">
        <v>16</v>
      </c>
      <c r="G5039" t="s">
        <v>17</v>
      </c>
      <c r="H5039" t="s">
        <v>18</v>
      </c>
      <c r="I5039">
        <v>62.698</v>
      </c>
      <c r="J5039" t="s">
        <v>19</v>
      </c>
      <c r="K5039" t="s">
        <v>6890</v>
      </c>
      <c r="L5039" t="s">
        <v>21</v>
      </c>
    </row>
    <row r="5040" spans="1:12">
      <c r="A5040" t="s">
        <v>6891</v>
      </c>
      <c r="B5040" t="s">
        <v>6845</v>
      </c>
      <c r="C5040" t="s">
        <v>14</v>
      </c>
      <c r="D5040">
        <v>2007</v>
      </c>
      <c r="E5040" t="s">
        <v>23</v>
      </c>
      <c r="F5040" t="s">
        <v>24</v>
      </c>
      <c r="G5040" t="s">
        <v>25</v>
      </c>
      <c r="H5040" t="s">
        <v>26</v>
      </c>
      <c r="I5040">
        <v>22211743</v>
      </c>
      <c r="J5040" t="s">
        <v>27</v>
      </c>
      <c r="K5040" t="s">
        <v>6890</v>
      </c>
      <c r="L5040" t="s">
        <v>21</v>
      </c>
    </row>
    <row r="5041" spans="1:12">
      <c r="A5041" t="s">
        <v>6892</v>
      </c>
      <c r="B5041" t="s">
        <v>6845</v>
      </c>
      <c r="C5041" t="s">
        <v>14</v>
      </c>
      <c r="D5041">
        <v>2007</v>
      </c>
      <c r="E5041" t="s">
        <v>29</v>
      </c>
      <c r="F5041" t="s">
        <v>30</v>
      </c>
      <c r="G5041" t="s">
        <v>31</v>
      </c>
      <c r="H5041" t="s">
        <v>32</v>
      </c>
      <c r="I5041">
        <v>2280.769906</v>
      </c>
      <c r="J5041" t="s">
        <v>33</v>
      </c>
      <c r="K5041" t="s">
        <v>6890</v>
      </c>
      <c r="L5041" t="s">
        <v>21</v>
      </c>
    </row>
    <row r="5042" spans="1:12">
      <c r="A5042" t="s">
        <v>6893</v>
      </c>
      <c r="B5042" t="s">
        <v>6894</v>
      </c>
      <c r="C5042" t="s">
        <v>130</v>
      </c>
      <c r="D5042">
        <v>1952</v>
      </c>
      <c r="E5042" t="s">
        <v>15</v>
      </c>
      <c r="F5042" t="s">
        <v>16</v>
      </c>
      <c r="G5042" t="s">
        <v>17</v>
      </c>
      <c r="H5042" t="s">
        <v>18</v>
      </c>
      <c r="I5042">
        <v>42.037999999999997</v>
      </c>
      <c r="J5042" t="s">
        <v>19</v>
      </c>
      <c r="K5042" t="s">
        <v>6895</v>
      </c>
      <c r="L5042" t="s">
        <v>21</v>
      </c>
    </row>
    <row r="5043" spans="1:12">
      <c r="A5043" t="s">
        <v>6896</v>
      </c>
      <c r="B5043" t="s">
        <v>6894</v>
      </c>
      <c r="C5043" t="s">
        <v>130</v>
      </c>
      <c r="D5043">
        <v>1952</v>
      </c>
      <c r="E5043" t="s">
        <v>23</v>
      </c>
      <c r="F5043" t="s">
        <v>24</v>
      </c>
      <c r="G5043" t="s">
        <v>25</v>
      </c>
      <c r="H5043" t="s">
        <v>26</v>
      </c>
      <c r="I5043">
        <v>2672000</v>
      </c>
      <c r="J5043" t="s">
        <v>27</v>
      </c>
      <c r="K5043" t="s">
        <v>6895</v>
      </c>
      <c r="L5043" t="s">
        <v>21</v>
      </c>
    </row>
    <row r="5044" spans="1:12">
      <c r="A5044" t="s">
        <v>6897</v>
      </c>
      <c r="B5044" t="s">
        <v>6894</v>
      </c>
      <c r="C5044" t="s">
        <v>130</v>
      </c>
      <c r="D5044">
        <v>1952</v>
      </c>
      <c r="E5044" t="s">
        <v>29</v>
      </c>
      <c r="F5044" t="s">
        <v>30</v>
      </c>
      <c r="G5044" t="s">
        <v>31</v>
      </c>
      <c r="H5044" t="s">
        <v>32</v>
      </c>
      <c r="I5044">
        <v>1147.388831</v>
      </c>
      <c r="J5044" t="s">
        <v>33</v>
      </c>
      <c r="K5044" t="s">
        <v>6895</v>
      </c>
      <c r="L5044" t="s">
        <v>21</v>
      </c>
    </row>
    <row r="5045" spans="1:12">
      <c r="A5045" t="s">
        <v>6898</v>
      </c>
      <c r="B5045" t="s">
        <v>6894</v>
      </c>
      <c r="C5045" t="s">
        <v>130</v>
      </c>
      <c r="D5045">
        <v>1957</v>
      </c>
      <c r="E5045" t="s">
        <v>15</v>
      </c>
      <c r="F5045" t="s">
        <v>16</v>
      </c>
      <c r="G5045" t="s">
        <v>17</v>
      </c>
      <c r="H5045" t="s">
        <v>18</v>
      </c>
      <c r="I5045">
        <v>44.076999999999998</v>
      </c>
      <c r="J5045" t="s">
        <v>19</v>
      </c>
      <c r="K5045" t="s">
        <v>6899</v>
      </c>
      <c r="L5045" t="s">
        <v>21</v>
      </c>
    </row>
    <row r="5046" spans="1:12">
      <c r="A5046" t="s">
        <v>6900</v>
      </c>
      <c r="B5046" t="s">
        <v>6894</v>
      </c>
      <c r="C5046" t="s">
        <v>130</v>
      </c>
      <c r="D5046">
        <v>1957</v>
      </c>
      <c r="E5046" t="s">
        <v>23</v>
      </c>
      <c r="F5046" t="s">
        <v>24</v>
      </c>
      <c r="G5046" t="s">
        <v>25</v>
      </c>
      <c r="H5046" t="s">
        <v>26</v>
      </c>
      <c r="I5046">
        <v>3016000</v>
      </c>
      <c r="J5046" t="s">
        <v>27</v>
      </c>
      <c r="K5046" t="s">
        <v>6899</v>
      </c>
      <c r="L5046" t="s">
        <v>21</v>
      </c>
    </row>
    <row r="5047" spans="1:12">
      <c r="A5047" t="s">
        <v>6901</v>
      </c>
      <c r="B5047" t="s">
        <v>6894</v>
      </c>
      <c r="C5047" t="s">
        <v>130</v>
      </c>
      <c r="D5047">
        <v>1957</v>
      </c>
      <c r="E5047" t="s">
        <v>29</v>
      </c>
      <c r="F5047" t="s">
        <v>30</v>
      </c>
      <c r="G5047" t="s">
        <v>31</v>
      </c>
      <c r="H5047" t="s">
        <v>32</v>
      </c>
      <c r="I5047">
        <v>1311.956766</v>
      </c>
      <c r="J5047" t="s">
        <v>33</v>
      </c>
      <c r="K5047" t="s">
        <v>6899</v>
      </c>
      <c r="L5047" t="s">
        <v>21</v>
      </c>
    </row>
    <row r="5048" spans="1:12">
      <c r="A5048" t="s">
        <v>6902</v>
      </c>
      <c r="B5048" t="s">
        <v>6894</v>
      </c>
      <c r="C5048" t="s">
        <v>130</v>
      </c>
      <c r="D5048">
        <v>1962</v>
      </c>
      <c r="E5048" t="s">
        <v>15</v>
      </c>
      <c r="F5048" t="s">
        <v>16</v>
      </c>
      <c r="G5048" t="s">
        <v>17</v>
      </c>
      <c r="H5048" t="s">
        <v>18</v>
      </c>
      <c r="I5048">
        <v>46.023000000000003</v>
      </c>
      <c r="J5048" t="s">
        <v>19</v>
      </c>
      <c r="K5048" t="s">
        <v>6903</v>
      </c>
      <c r="L5048" t="s">
        <v>21</v>
      </c>
    </row>
    <row r="5049" spans="1:12">
      <c r="A5049" t="s">
        <v>6904</v>
      </c>
      <c r="B5049" t="s">
        <v>6894</v>
      </c>
      <c r="C5049" t="s">
        <v>130</v>
      </c>
      <c r="D5049">
        <v>1962</v>
      </c>
      <c r="E5049" t="s">
        <v>23</v>
      </c>
      <c r="F5049" t="s">
        <v>24</v>
      </c>
      <c r="G5049" t="s">
        <v>25</v>
      </c>
      <c r="H5049" t="s">
        <v>26</v>
      </c>
      <c r="I5049">
        <v>3421000</v>
      </c>
      <c r="J5049" t="s">
        <v>27</v>
      </c>
      <c r="K5049" t="s">
        <v>6903</v>
      </c>
      <c r="L5049" t="s">
        <v>21</v>
      </c>
    </row>
    <row r="5050" spans="1:12">
      <c r="A5050" t="s">
        <v>6905</v>
      </c>
      <c r="B5050" t="s">
        <v>6894</v>
      </c>
      <c r="C5050" t="s">
        <v>130</v>
      </c>
      <c r="D5050">
        <v>1962</v>
      </c>
      <c r="E5050" t="s">
        <v>29</v>
      </c>
      <c r="F5050" t="s">
        <v>30</v>
      </c>
      <c r="G5050" t="s">
        <v>31</v>
      </c>
      <c r="H5050" t="s">
        <v>32</v>
      </c>
      <c r="I5050">
        <v>1452.725766</v>
      </c>
      <c r="J5050" t="s">
        <v>33</v>
      </c>
      <c r="K5050" t="s">
        <v>6903</v>
      </c>
      <c r="L5050" t="s">
        <v>21</v>
      </c>
    </row>
    <row r="5051" spans="1:12">
      <c r="A5051" t="s">
        <v>6906</v>
      </c>
      <c r="B5051" t="s">
        <v>6894</v>
      </c>
      <c r="C5051" t="s">
        <v>130</v>
      </c>
      <c r="D5051">
        <v>1967</v>
      </c>
      <c r="E5051" t="s">
        <v>15</v>
      </c>
      <c r="F5051" t="s">
        <v>16</v>
      </c>
      <c r="G5051" t="s">
        <v>17</v>
      </c>
      <c r="H5051" t="s">
        <v>18</v>
      </c>
      <c r="I5051">
        <v>47.768000000000001</v>
      </c>
      <c r="J5051" t="s">
        <v>19</v>
      </c>
      <c r="K5051" t="s">
        <v>6907</v>
      </c>
      <c r="L5051" t="s">
        <v>21</v>
      </c>
    </row>
    <row r="5052" spans="1:12">
      <c r="A5052" t="s">
        <v>6908</v>
      </c>
      <c r="B5052" t="s">
        <v>6894</v>
      </c>
      <c r="C5052" t="s">
        <v>130</v>
      </c>
      <c r="D5052">
        <v>1967</v>
      </c>
      <c r="E5052" t="s">
        <v>23</v>
      </c>
      <c r="F5052" t="s">
        <v>24</v>
      </c>
      <c r="G5052" t="s">
        <v>25</v>
      </c>
      <c r="H5052" t="s">
        <v>26</v>
      </c>
      <c r="I5052">
        <v>3900000</v>
      </c>
      <c r="J5052" t="s">
        <v>27</v>
      </c>
      <c r="K5052" t="s">
        <v>6907</v>
      </c>
      <c r="L5052" t="s">
        <v>21</v>
      </c>
    </row>
    <row r="5053" spans="1:12">
      <c r="A5053" t="s">
        <v>6909</v>
      </c>
      <c r="B5053" t="s">
        <v>6894</v>
      </c>
      <c r="C5053" t="s">
        <v>130</v>
      </c>
      <c r="D5053">
        <v>1967</v>
      </c>
      <c r="E5053" t="s">
        <v>29</v>
      </c>
      <c r="F5053" t="s">
        <v>30</v>
      </c>
      <c r="G5053" t="s">
        <v>31</v>
      </c>
      <c r="H5053" t="s">
        <v>32</v>
      </c>
      <c r="I5053">
        <v>1777.0773180000001</v>
      </c>
      <c r="J5053" t="s">
        <v>33</v>
      </c>
      <c r="K5053" t="s">
        <v>6907</v>
      </c>
      <c r="L5053" t="s">
        <v>21</v>
      </c>
    </row>
    <row r="5054" spans="1:12">
      <c r="A5054" t="s">
        <v>6910</v>
      </c>
      <c r="B5054" t="s">
        <v>6894</v>
      </c>
      <c r="C5054" t="s">
        <v>130</v>
      </c>
      <c r="D5054">
        <v>1972</v>
      </c>
      <c r="E5054" t="s">
        <v>15</v>
      </c>
      <c r="F5054" t="s">
        <v>16</v>
      </c>
      <c r="G5054" t="s">
        <v>17</v>
      </c>
      <c r="H5054" t="s">
        <v>18</v>
      </c>
      <c r="I5054">
        <v>50.106999999999999</v>
      </c>
      <c r="J5054" t="s">
        <v>19</v>
      </c>
      <c r="K5054" t="s">
        <v>6911</v>
      </c>
      <c r="L5054" t="s">
        <v>21</v>
      </c>
    </row>
    <row r="5055" spans="1:12">
      <c r="A5055" t="s">
        <v>6912</v>
      </c>
      <c r="B5055" t="s">
        <v>6894</v>
      </c>
      <c r="C5055" t="s">
        <v>130</v>
      </c>
      <c r="D5055">
        <v>1972</v>
      </c>
      <c r="E5055" t="s">
        <v>23</v>
      </c>
      <c r="F5055" t="s">
        <v>24</v>
      </c>
      <c r="G5055" t="s">
        <v>25</v>
      </c>
      <c r="H5055" t="s">
        <v>26</v>
      </c>
      <c r="I5055">
        <v>4506497</v>
      </c>
      <c r="J5055" t="s">
        <v>27</v>
      </c>
      <c r="K5055" t="s">
        <v>6911</v>
      </c>
      <c r="L5055" t="s">
        <v>21</v>
      </c>
    </row>
    <row r="5056" spans="1:12">
      <c r="A5056" t="s">
        <v>6913</v>
      </c>
      <c r="B5056" t="s">
        <v>6894</v>
      </c>
      <c r="C5056" t="s">
        <v>130</v>
      </c>
      <c r="D5056">
        <v>1972</v>
      </c>
      <c r="E5056" t="s">
        <v>29</v>
      </c>
      <c r="F5056" t="s">
        <v>30</v>
      </c>
      <c r="G5056" t="s">
        <v>31</v>
      </c>
      <c r="H5056" t="s">
        <v>32</v>
      </c>
      <c r="I5056">
        <v>1773.4982649999999</v>
      </c>
      <c r="J5056" t="s">
        <v>33</v>
      </c>
      <c r="K5056" t="s">
        <v>6911</v>
      </c>
      <c r="L5056" t="s">
        <v>21</v>
      </c>
    </row>
    <row r="5057" spans="1:12">
      <c r="A5057" t="s">
        <v>6914</v>
      </c>
      <c r="B5057" t="s">
        <v>6894</v>
      </c>
      <c r="C5057" t="s">
        <v>130</v>
      </c>
      <c r="D5057">
        <v>1977</v>
      </c>
      <c r="E5057" t="s">
        <v>15</v>
      </c>
      <c r="F5057" t="s">
        <v>16</v>
      </c>
      <c r="G5057" t="s">
        <v>17</v>
      </c>
      <c r="H5057" t="s">
        <v>18</v>
      </c>
      <c r="I5057">
        <v>51.386000000000003</v>
      </c>
      <c r="J5057" t="s">
        <v>19</v>
      </c>
      <c r="K5057" t="s">
        <v>6915</v>
      </c>
      <c r="L5057" t="s">
        <v>21</v>
      </c>
    </row>
    <row r="5058" spans="1:12">
      <c r="A5058" t="s">
        <v>6916</v>
      </c>
      <c r="B5058" t="s">
        <v>6894</v>
      </c>
      <c r="C5058" t="s">
        <v>130</v>
      </c>
      <c r="D5058">
        <v>1977</v>
      </c>
      <c r="E5058" t="s">
        <v>23</v>
      </c>
      <c r="F5058" t="s">
        <v>24</v>
      </c>
      <c r="G5058" t="s">
        <v>25</v>
      </c>
      <c r="H5058" t="s">
        <v>26</v>
      </c>
      <c r="I5058">
        <v>5216550</v>
      </c>
      <c r="J5058" t="s">
        <v>27</v>
      </c>
      <c r="K5058" t="s">
        <v>6915</v>
      </c>
      <c r="L5058" t="s">
        <v>21</v>
      </c>
    </row>
    <row r="5059" spans="1:12">
      <c r="A5059" t="s">
        <v>6917</v>
      </c>
      <c r="B5059" t="s">
        <v>6894</v>
      </c>
      <c r="C5059" t="s">
        <v>130</v>
      </c>
      <c r="D5059">
        <v>1977</v>
      </c>
      <c r="E5059" t="s">
        <v>29</v>
      </c>
      <c r="F5059" t="s">
        <v>30</v>
      </c>
      <c r="G5059" t="s">
        <v>31</v>
      </c>
      <c r="H5059" t="s">
        <v>32</v>
      </c>
      <c r="I5059">
        <v>1588.6882989999999</v>
      </c>
      <c r="J5059" t="s">
        <v>33</v>
      </c>
      <c r="K5059" t="s">
        <v>6915</v>
      </c>
      <c r="L5059" t="s">
        <v>21</v>
      </c>
    </row>
    <row r="5060" spans="1:12">
      <c r="A5060" t="s">
        <v>6918</v>
      </c>
      <c r="B5060" t="s">
        <v>6894</v>
      </c>
      <c r="C5060" t="s">
        <v>130</v>
      </c>
      <c r="D5060">
        <v>1982</v>
      </c>
      <c r="E5060" t="s">
        <v>15</v>
      </c>
      <c r="F5060" t="s">
        <v>16</v>
      </c>
      <c r="G5060" t="s">
        <v>17</v>
      </c>
      <c r="H5060" t="s">
        <v>18</v>
      </c>
      <c r="I5060">
        <v>51.820999999999998</v>
      </c>
      <c r="J5060" t="s">
        <v>19</v>
      </c>
      <c r="K5060" t="s">
        <v>6919</v>
      </c>
      <c r="L5060" t="s">
        <v>21</v>
      </c>
    </row>
    <row r="5061" spans="1:12">
      <c r="A5061" t="s">
        <v>6920</v>
      </c>
      <c r="B5061" t="s">
        <v>6894</v>
      </c>
      <c r="C5061" t="s">
        <v>130</v>
      </c>
      <c r="D5061">
        <v>1982</v>
      </c>
      <c r="E5061" t="s">
        <v>23</v>
      </c>
      <c r="F5061" t="s">
        <v>24</v>
      </c>
      <c r="G5061" t="s">
        <v>25</v>
      </c>
      <c r="H5061" t="s">
        <v>26</v>
      </c>
      <c r="I5061">
        <v>6100407</v>
      </c>
      <c r="J5061" t="s">
        <v>27</v>
      </c>
      <c r="K5061" t="s">
        <v>6919</v>
      </c>
      <c r="L5061" t="s">
        <v>21</v>
      </c>
    </row>
    <row r="5062" spans="1:12">
      <c r="A5062" t="s">
        <v>6921</v>
      </c>
      <c r="B5062" t="s">
        <v>6894</v>
      </c>
      <c r="C5062" t="s">
        <v>130</v>
      </c>
      <c r="D5062">
        <v>1982</v>
      </c>
      <c r="E5062" t="s">
        <v>29</v>
      </c>
      <c r="F5062" t="s">
        <v>30</v>
      </c>
      <c r="G5062" t="s">
        <v>31</v>
      </c>
      <c r="H5062" t="s">
        <v>32</v>
      </c>
      <c r="I5062">
        <v>1408.6785649999999</v>
      </c>
      <c r="J5062" t="s">
        <v>33</v>
      </c>
      <c r="K5062" t="s">
        <v>6919</v>
      </c>
      <c r="L5062" t="s">
        <v>21</v>
      </c>
    </row>
    <row r="5063" spans="1:12">
      <c r="A5063" t="s">
        <v>6922</v>
      </c>
      <c r="B5063" t="s">
        <v>6894</v>
      </c>
      <c r="C5063" t="s">
        <v>130</v>
      </c>
      <c r="D5063">
        <v>1987</v>
      </c>
      <c r="E5063" t="s">
        <v>15</v>
      </c>
      <c r="F5063" t="s">
        <v>16</v>
      </c>
      <c r="G5063" t="s">
        <v>17</v>
      </c>
      <c r="H5063" t="s">
        <v>18</v>
      </c>
      <c r="I5063">
        <v>50.820999999999998</v>
      </c>
      <c r="J5063" t="s">
        <v>19</v>
      </c>
      <c r="K5063" t="s">
        <v>6923</v>
      </c>
      <c r="L5063" t="s">
        <v>21</v>
      </c>
    </row>
    <row r="5064" spans="1:12">
      <c r="A5064" t="s">
        <v>6924</v>
      </c>
      <c r="B5064" t="s">
        <v>6894</v>
      </c>
      <c r="C5064" t="s">
        <v>130</v>
      </c>
      <c r="D5064">
        <v>1987</v>
      </c>
      <c r="E5064" t="s">
        <v>23</v>
      </c>
      <c r="F5064" t="s">
        <v>24</v>
      </c>
      <c r="G5064" t="s">
        <v>25</v>
      </c>
      <c r="H5064" t="s">
        <v>26</v>
      </c>
      <c r="I5064">
        <v>7272406</v>
      </c>
      <c r="J5064" t="s">
        <v>27</v>
      </c>
      <c r="K5064" t="s">
        <v>6923</v>
      </c>
      <c r="L5064" t="s">
        <v>21</v>
      </c>
    </row>
    <row r="5065" spans="1:12">
      <c r="A5065" t="s">
        <v>6925</v>
      </c>
      <c r="B5065" t="s">
        <v>6894</v>
      </c>
      <c r="C5065" t="s">
        <v>130</v>
      </c>
      <c r="D5065">
        <v>1987</v>
      </c>
      <c r="E5065" t="s">
        <v>29</v>
      </c>
      <c r="F5065" t="s">
        <v>30</v>
      </c>
      <c r="G5065" t="s">
        <v>31</v>
      </c>
      <c r="H5065" t="s">
        <v>32</v>
      </c>
      <c r="I5065">
        <v>1213.315116</v>
      </c>
      <c r="J5065" t="s">
        <v>33</v>
      </c>
      <c r="K5065" t="s">
        <v>6923</v>
      </c>
      <c r="L5065" t="s">
        <v>21</v>
      </c>
    </row>
    <row r="5066" spans="1:12">
      <c r="A5066" t="s">
        <v>6926</v>
      </c>
      <c r="B5066" t="s">
        <v>6894</v>
      </c>
      <c r="C5066" t="s">
        <v>130</v>
      </c>
      <c r="D5066">
        <v>1992</v>
      </c>
      <c r="E5066" t="s">
        <v>15</v>
      </c>
      <c r="F5066" t="s">
        <v>16</v>
      </c>
      <c r="G5066" t="s">
        <v>17</v>
      </c>
      <c r="H5066" t="s">
        <v>18</v>
      </c>
      <c r="I5066">
        <v>46.1</v>
      </c>
      <c r="J5066" t="s">
        <v>19</v>
      </c>
      <c r="K5066" t="s">
        <v>6927</v>
      </c>
      <c r="L5066" t="s">
        <v>21</v>
      </c>
    </row>
    <row r="5067" spans="1:12">
      <c r="A5067" t="s">
        <v>6928</v>
      </c>
      <c r="B5067" t="s">
        <v>6894</v>
      </c>
      <c r="C5067" t="s">
        <v>130</v>
      </c>
      <c r="D5067">
        <v>1992</v>
      </c>
      <c r="E5067" t="s">
        <v>23</v>
      </c>
      <c r="F5067" t="s">
        <v>24</v>
      </c>
      <c r="G5067" t="s">
        <v>25</v>
      </c>
      <c r="H5067" t="s">
        <v>26</v>
      </c>
      <c r="I5067">
        <v>8381163</v>
      </c>
      <c r="J5067" t="s">
        <v>27</v>
      </c>
      <c r="K5067" t="s">
        <v>6927</v>
      </c>
      <c r="L5067" t="s">
        <v>21</v>
      </c>
    </row>
    <row r="5068" spans="1:12">
      <c r="A5068" t="s">
        <v>6929</v>
      </c>
      <c r="B5068" t="s">
        <v>6894</v>
      </c>
      <c r="C5068" t="s">
        <v>130</v>
      </c>
      <c r="D5068">
        <v>1992</v>
      </c>
      <c r="E5068" t="s">
        <v>29</v>
      </c>
      <c r="F5068" t="s">
        <v>30</v>
      </c>
      <c r="G5068" t="s">
        <v>31</v>
      </c>
      <c r="H5068" t="s">
        <v>32</v>
      </c>
      <c r="I5068">
        <v>1210.8846329999999</v>
      </c>
      <c r="J5068" t="s">
        <v>33</v>
      </c>
      <c r="K5068" t="s">
        <v>6927</v>
      </c>
      <c r="L5068" t="s">
        <v>21</v>
      </c>
    </row>
    <row r="5069" spans="1:12">
      <c r="A5069" t="s">
        <v>6930</v>
      </c>
      <c r="B5069" t="s">
        <v>6894</v>
      </c>
      <c r="C5069" t="s">
        <v>130</v>
      </c>
      <c r="D5069">
        <v>1997</v>
      </c>
      <c r="E5069" t="s">
        <v>15</v>
      </c>
      <c r="F5069" t="s">
        <v>16</v>
      </c>
      <c r="G5069" t="s">
        <v>17</v>
      </c>
      <c r="H5069" t="s">
        <v>18</v>
      </c>
      <c r="I5069">
        <v>40.238</v>
      </c>
      <c r="J5069" t="s">
        <v>19</v>
      </c>
      <c r="K5069" t="s">
        <v>6931</v>
      </c>
      <c r="L5069" t="s">
        <v>21</v>
      </c>
    </row>
    <row r="5070" spans="1:12">
      <c r="A5070" t="s">
        <v>6932</v>
      </c>
      <c r="B5070" t="s">
        <v>6894</v>
      </c>
      <c r="C5070" t="s">
        <v>130</v>
      </c>
      <c r="D5070">
        <v>1997</v>
      </c>
      <c r="E5070" t="s">
        <v>23</v>
      </c>
      <c r="F5070" t="s">
        <v>24</v>
      </c>
      <c r="G5070" t="s">
        <v>25</v>
      </c>
      <c r="H5070" t="s">
        <v>26</v>
      </c>
      <c r="I5070">
        <v>9417789</v>
      </c>
      <c r="J5070" t="s">
        <v>27</v>
      </c>
      <c r="K5070" t="s">
        <v>6931</v>
      </c>
      <c r="L5070" t="s">
        <v>21</v>
      </c>
    </row>
    <row r="5071" spans="1:12">
      <c r="A5071" t="s">
        <v>6933</v>
      </c>
      <c r="B5071" t="s">
        <v>6894</v>
      </c>
      <c r="C5071" t="s">
        <v>130</v>
      </c>
      <c r="D5071">
        <v>1997</v>
      </c>
      <c r="E5071" t="s">
        <v>29</v>
      </c>
      <c r="F5071" t="s">
        <v>30</v>
      </c>
      <c r="G5071" t="s">
        <v>31</v>
      </c>
      <c r="H5071" t="s">
        <v>32</v>
      </c>
      <c r="I5071">
        <v>1071.353818</v>
      </c>
      <c r="J5071" t="s">
        <v>33</v>
      </c>
      <c r="K5071" t="s">
        <v>6931</v>
      </c>
      <c r="L5071" t="s">
        <v>21</v>
      </c>
    </row>
    <row r="5072" spans="1:12">
      <c r="A5072" t="s">
        <v>6934</v>
      </c>
      <c r="B5072" t="s">
        <v>6894</v>
      </c>
      <c r="C5072" t="s">
        <v>130</v>
      </c>
      <c r="D5072">
        <v>2002</v>
      </c>
      <c r="E5072" t="s">
        <v>15</v>
      </c>
      <c r="F5072" t="s">
        <v>16</v>
      </c>
      <c r="G5072" t="s">
        <v>17</v>
      </c>
      <c r="H5072" t="s">
        <v>18</v>
      </c>
      <c r="I5072">
        <v>39.192999999999998</v>
      </c>
      <c r="J5072" t="s">
        <v>19</v>
      </c>
      <c r="K5072" t="s">
        <v>6935</v>
      </c>
      <c r="L5072" t="s">
        <v>21</v>
      </c>
    </row>
    <row r="5073" spans="1:12">
      <c r="A5073" t="s">
        <v>6936</v>
      </c>
      <c r="B5073" t="s">
        <v>6894</v>
      </c>
      <c r="C5073" t="s">
        <v>130</v>
      </c>
      <c r="D5073">
        <v>2002</v>
      </c>
      <c r="E5073" t="s">
        <v>23</v>
      </c>
      <c r="F5073" t="s">
        <v>24</v>
      </c>
      <c r="G5073" t="s">
        <v>25</v>
      </c>
      <c r="H5073" t="s">
        <v>26</v>
      </c>
      <c r="I5073">
        <v>10595811</v>
      </c>
      <c r="J5073" t="s">
        <v>27</v>
      </c>
      <c r="K5073" t="s">
        <v>6935</v>
      </c>
      <c r="L5073" t="s">
        <v>21</v>
      </c>
    </row>
    <row r="5074" spans="1:12">
      <c r="A5074" t="s">
        <v>6937</v>
      </c>
      <c r="B5074" t="s">
        <v>6894</v>
      </c>
      <c r="C5074" t="s">
        <v>130</v>
      </c>
      <c r="D5074">
        <v>2002</v>
      </c>
      <c r="E5074" t="s">
        <v>29</v>
      </c>
      <c r="F5074" t="s">
        <v>30</v>
      </c>
      <c r="G5074" t="s">
        <v>31</v>
      </c>
      <c r="H5074" t="s">
        <v>32</v>
      </c>
      <c r="I5074">
        <v>1071.613938</v>
      </c>
      <c r="J5074" t="s">
        <v>33</v>
      </c>
      <c r="K5074" t="s">
        <v>6935</v>
      </c>
      <c r="L5074" t="s">
        <v>21</v>
      </c>
    </row>
    <row r="5075" spans="1:12">
      <c r="A5075" t="s">
        <v>6938</v>
      </c>
      <c r="B5075" t="s">
        <v>6894</v>
      </c>
      <c r="C5075" t="s">
        <v>130</v>
      </c>
      <c r="D5075">
        <v>2007</v>
      </c>
      <c r="E5075" t="s">
        <v>15</v>
      </c>
      <c r="F5075" t="s">
        <v>16</v>
      </c>
      <c r="G5075" t="s">
        <v>17</v>
      </c>
      <c r="H5075" t="s">
        <v>18</v>
      </c>
      <c r="I5075">
        <v>42.383999999999901</v>
      </c>
      <c r="J5075" t="s">
        <v>19</v>
      </c>
      <c r="K5075" t="s">
        <v>6939</v>
      </c>
      <c r="L5075" t="s">
        <v>21</v>
      </c>
    </row>
    <row r="5076" spans="1:12">
      <c r="A5076" t="s">
        <v>6940</v>
      </c>
      <c r="B5076" t="s">
        <v>6894</v>
      </c>
      <c r="C5076" t="s">
        <v>130</v>
      </c>
      <c r="D5076">
        <v>2007</v>
      </c>
      <c r="E5076" t="s">
        <v>23</v>
      </c>
      <c r="F5076" t="s">
        <v>24</v>
      </c>
      <c r="G5076" t="s">
        <v>25</v>
      </c>
      <c r="H5076" t="s">
        <v>26</v>
      </c>
      <c r="I5076">
        <v>11746035</v>
      </c>
      <c r="J5076" t="s">
        <v>27</v>
      </c>
      <c r="K5076" t="s">
        <v>6939</v>
      </c>
      <c r="L5076" t="s">
        <v>21</v>
      </c>
    </row>
    <row r="5077" spans="1:12">
      <c r="A5077" t="s">
        <v>6941</v>
      </c>
      <c r="B5077" t="s">
        <v>6894</v>
      </c>
      <c r="C5077" t="s">
        <v>130</v>
      </c>
      <c r="D5077">
        <v>2007</v>
      </c>
      <c r="E5077" t="s">
        <v>29</v>
      </c>
      <c r="F5077" t="s">
        <v>30</v>
      </c>
      <c r="G5077" t="s">
        <v>31</v>
      </c>
      <c r="H5077" t="s">
        <v>32</v>
      </c>
      <c r="I5077">
        <v>1271.211593</v>
      </c>
      <c r="J5077" t="s">
        <v>33</v>
      </c>
      <c r="K5077" t="s">
        <v>6939</v>
      </c>
      <c r="L5077" t="s">
        <v>21</v>
      </c>
    </row>
    <row r="5078" spans="1:12">
      <c r="A5078" t="s">
        <v>6942</v>
      </c>
      <c r="B5078" t="s">
        <v>6943</v>
      </c>
      <c r="C5078" t="s">
        <v>130</v>
      </c>
      <c r="D5078">
        <v>1952</v>
      </c>
      <c r="E5078" t="s">
        <v>15</v>
      </c>
      <c r="F5078" t="s">
        <v>16</v>
      </c>
      <c r="G5078" t="s">
        <v>17</v>
      </c>
      <c r="H5078" t="s">
        <v>18</v>
      </c>
      <c r="I5078">
        <v>48.451000000000001</v>
      </c>
      <c r="J5078" t="s">
        <v>19</v>
      </c>
      <c r="K5078" t="s">
        <v>6944</v>
      </c>
      <c r="L5078" t="s">
        <v>21</v>
      </c>
    </row>
    <row r="5079" spans="1:12">
      <c r="A5079" t="s">
        <v>6945</v>
      </c>
      <c r="B5079" t="s">
        <v>6943</v>
      </c>
      <c r="C5079" t="s">
        <v>130</v>
      </c>
      <c r="D5079">
        <v>1952</v>
      </c>
      <c r="E5079" t="s">
        <v>23</v>
      </c>
      <c r="F5079" t="s">
        <v>24</v>
      </c>
      <c r="G5079" t="s">
        <v>25</v>
      </c>
      <c r="H5079" t="s">
        <v>26</v>
      </c>
      <c r="I5079">
        <v>3080907</v>
      </c>
      <c r="J5079" t="s">
        <v>27</v>
      </c>
      <c r="K5079" t="s">
        <v>6944</v>
      </c>
      <c r="L5079" t="s">
        <v>21</v>
      </c>
    </row>
    <row r="5080" spans="1:12">
      <c r="A5080" t="s">
        <v>6946</v>
      </c>
      <c r="B5080" t="s">
        <v>6943</v>
      </c>
      <c r="C5080" t="s">
        <v>130</v>
      </c>
      <c r="D5080">
        <v>1952</v>
      </c>
      <c r="E5080" t="s">
        <v>29</v>
      </c>
      <c r="F5080" t="s">
        <v>30</v>
      </c>
      <c r="G5080" t="s">
        <v>31</v>
      </c>
      <c r="H5080" t="s">
        <v>32</v>
      </c>
      <c r="I5080">
        <v>406.88411480000002</v>
      </c>
      <c r="J5080" t="s">
        <v>33</v>
      </c>
      <c r="K5080" t="s">
        <v>6944</v>
      </c>
      <c r="L5080" t="s">
        <v>21</v>
      </c>
    </row>
    <row r="5081" spans="1:12">
      <c r="A5081" t="s">
        <v>6947</v>
      </c>
      <c r="B5081" t="s">
        <v>6943</v>
      </c>
      <c r="C5081" t="s">
        <v>130</v>
      </c>
      <c r="D5081">
        <v>1957</v>
      </c>
      <c r="E5081" t="s">
        <v>15</v>
      </c>
      <c r="F5081" t="s">
        <v>16</v>
      </c>
      <c r="G5081" t="s">
        <v>17</v>
      </c>
      <c r="H5081" t="s">
        <v>18</v>
      </c>
      <c r="I5081">
        <v>50.469000000000001</v>
      </c>
      <c r="J5081" t="s">
        <v>19</v>
      </c>
      <c r="K5081" t="s">
        <v>6948</v>
      </c>
      <c r="L5081" t="s">
        <v>21</v>
      </c>
    </row>
    <row r="5082" spans="1:12">
      <c r="A5082" t="s">
        <v>6949</v>
      </c>
      <c r="B5082" t="s">
        <v>6943</v>
      </c>
      <c r="C5082" t="s">
        <v>130</v>
      </c>
      <c r="D5082">
        <v>1957</v>
      </c>
      <c r="E5082" t="s">
        <v>23</v>
      </c>
      <c r="F5082" t="s">
        <v>24</v>
      </c>
      <c r="G5082" t="s">
        <v>25</v>
      </c>
      <c r="H5082" t="s">
        <v>26</v>
      </c>
      <c r="I5082">
        <v>3646340</v>
      </c>
      <c r="J5082" t="s">
        <v>27</v>
      </c>
      <c r="K5082" t="s">
        <v>6948</v>
      </c>
      <c r="L5082" t="s">
        <v>21</v>
      </c>
    </row>
    <row r="5083" spans="1:12">
      <c r="A5083" t="s">
        <v>6950</v>
      </c>
      <c r="B5083" t="s">
        <v>6943</v>
      </c>
      <c r="C5083" t="s">
        <v>130</v>
      </c>
      <c r="D5083">
        <v>1957</v>
      </c>
      <c r="E5083" t="s">
        <v>29</v>
      </c>
      <c r="F5083" t="s">
        <v>30</v>
      </c>
      <c r="G5083" t="s">
        <v>31</v>
      </c>
      <c r="H5083" t="s">
        <v>32</v>
      </c>
      <c r="I5083">
        <v>518.76426809999998</v>
      </c>
      <c r="J5083" t="s">
        <v>33</v>
      </c>
      <c r="K5083" t="s">
        <v>6948</v>
      </c>
      <c r="L5083" t="s">
        <v>21</v>
      </c>
    </row>
    <row r="5084" spans="1:12">
      <c r="A5084" t="s">
        <v>6951</v>
      </c>
      <c r="B5084" t="s">
        <v>6943</v>
      </c>
      <c r="C5084" t="s">
        <v>130</v>
      </c>
      <c r="D5084">
        <v>1962</v>
      </c>
      <c r="E5084" t="s">
        <v>15</v>
      </c>
      <c r="F5084" t="s">
        <v>16</v>
      </c>
      <c r="G5084" t="s">
        <v>17</v>
      </c>
      <c r="H5084" t="s">
        <v>18</v>
      </c>
      <c r="I5084">
        <v>52.357999999999997</v>
      </c>
      <c r="J5084" t="s">
        <v>19</v>
      </c>
      <c r="K5084" t="s">
        <v>6952</v>
      </c>
      <c r="L5084" t="s">
        <v>21</v>
      </c>
    </row>
    <row r="5085" spans="1:12">
      <c r="A5085" t="s">
        <v>6953</v>
      </c>
      <c r="B5085" t="s">
        <v>6943</v>
      </c>
      <c r="C5085" t="s">
        <v>130</v>
      </c>
      <c r="D5085">
        <v>1962</v>
      </c>
      <c r="E5085" t="s">
        <v>23</v>
      </c>
      <c r="F5085" t="s">
        <v>24</v>
      </c>
      <c r="G5085" t="s">
        <v>25</v>
      </c>
      <c r="H5085" t="s">
        <v>26</v>
      </c>
      <c r="I5085">
        <v>4277736</v>
      </c>
      <c r="J5085" t="s">
        <v>27</v>
      </c>
      <c r="K5085" t="s">
        <v>6952</v>
      </c>
      <c r="L5085" t="s">
        <v>21</v>
      </c>
    </row>
    <row r="5086" spans="1:12">
      <c r="A5086" t="s">
        <v>6954</v>
      </c>
      <c r="B5086" t="s">
        <v>6943</v>
      </c>
      <c r="C5086" t="s">
        <v>130</v>
      </c>
      <c r="D5086">
        <v>1962</v>
      </c>
      <c r="E5086" t="s">
        <v>29</v>
      </c>
      <c r="F5086" t="s">
        <v>30</v>
      </c>
      <c r="G5086" t="s">
        <v>31</v>
      </c>
      <c r="H5086" t="s">
        <v>32</v>
      </c>
      <c r="I5086">
        <v>527.2721818</v>
      </c>
      <c r="J5086" t="s">
        <v>33</v>
      </c>
      <c r="K5086" t="s">
        <v>6952</v>
      </c>
      <c r="L5086" t="s">
        <v>21</v>
      </c>
    </row>
    <row r="5087" spans="1:12">
      <c r="A5087" t="s">
        <v>6955</v>
      </c>
      <c r="B5087" t="s">
        <v>6943</v>
      </c>
      <c r="C5087" t="s">
        <v>130</v>
      </c>
      <c r="D5087">
        <v>1967</v>
      </c>
      <c r="E5087" t="s">
        <v>15</v>
      </c>
      <c r="F5087" t="s">
        <v>16</v>
      </c>
      <c r="G5087" t="s">
        <v>17</v>
      </c>
      <c r="H5087" t="s">
        <v>18</v>
      </c>
      <c r="I5087">
        <v>53.994999999999997</v>
      </c>
      <c r="J5087" t="s">
        <v>19</v>
      </c>
      <c r="K5087" t="s">
        <v>6956</v>
      </c>
      <c r="L5087" t="s">
        <v>21</v>
      </c>
    </row>
    <row r="5088" spans="1:12">
      <c r="A5088" t="s">
        <v>6957</v>
      </c>
      <c r="B5088" t="s">
        <v>6943</v>
      </c>
      <c r="C5088" t="s">
        <v>130</v>
      </c>
      <c r="D5088">
        <v>1967</v>
      </c>
      <c r="E5088" t="s">
        <v>23</v>
      </c>
      <c r="F5088" t="s">
        <v>24</v>
      </c>
      <c r="G5088" t="s">
        <v>25</v>
      </c>
      <c r="H5088" t="s">
        <v>26</v>
      </c>
      <c r="I5088">
        <v>4995432</v>
      </c>
      <c r="J5088" t="s">
        <v>27</v>
      </c>
      <c r="K5088" t="s">
        <v>6956</v>
      </c>
      <c r="L5088" t="s">
        <v>21</v>
      </c>
    </row>
    <row r="5089" spans="1:12">
      <c r="A5089" t="s">
        <v>6958</v>
      </c>
      <c r="B5089" t="s">
        <v>6943</v>
      </c>
      <c r="C5089" t="s">
        <v>130</v>
      </c>
      <c r="D5089">
        <v>1967</v>
      </c>
      <c r="E5089" t="s">
        <v>29</v>
      </c>
      <c r="F5089" t="s">
        <v>30</v>
      </c>
      <c r="G5089" t="s">
        <v>31</v>
      </c>
      <c r="H5089" t="s">
        <v>32</v>
      </c>
      <c r="I5089">
        <v>569.79507120000005</v>
      </c>
      <c r="J5089" t="s">
        <v>33</v>
      </c>
      <c r="K5089" t="s">
        <v>6956</v>
      </c>
      <c r="L5089" t="s">
        <v>21</v>
      </c>
    </row>
    <row r="5090" spans="1:12">
      <c r="A5090" t="s">
        <v>6959</v>
      </c>
      <c r="B5090" t="s">
        <v>6943</v>
      </c>
      <c r="C5090" t="s">
        <v>130</v>
      </c>
      <c r="D5090">
        <v>1972</v>
      </c>
      <c r="E5090" t="s">
        <v>15</v>
      </c>
      <c r="F5090" t="s">
        <v>16</v>
      </c>
      <c r="G5090" t="s">
        <v>17</v>
      </c>
      <c r="H5090" t="s">
        <v>18</v>
      </c>
      <c r="I5090">
        <v>55.634999999999998</v>
      </c>
      <c r="J5090" t="s">
        <v>19</v>
      </c>
      <c r="K5090" t="s">
        <v>6960</v>
      </c>
      <c r="L5090" t="s">
        <v>21</v>
      </c>
    </row>
    <row r="5091" spans="1:12">
      <c r="A5091" t="s">
        <v>6961</v>
      </c>
      <c r="B5091" t="s">
        <v>6943</v>
      </c>
      <c r="C5091" t="s">
        <v>130</v>
      </c>
      <c r="D5091">
        <v>1972</v>
      </c>
      <c r="E5091" t="s">
        <v>23</v>
      </c>
      <c r="F5091" t="s">
        <v>24</v>
      </c>
      <c r="G5091" t="s">
        <v>25</v>
      </c>
      <c r="H5091" t="s">
        <v>26</v>
      </c>
      <c r="I5091">
        <v>5861135</v>
      </c>
      <c r="J5091" t="s">
        <v>27</v>
      </c>
      <c r="K5091" t="s">
        <v>6960</v>
      </c>
      <c r="L5091" t="s">
        <v>21</v>
      </c>
    </row>
    <row r="5092" spans="1:12">
      <c r="A5092" t="s">
        <v>6962</v>
      </c>
      <c r="B5092" t="s">
        <v>6943</v>
      </c>
      <c r="C5092" t="s">
        <v>130</v>
      </c>
      <c r="D5092">
        <v>1972</v>
      </c>
      <c r="E5092" t="s">
        <v>29</v>
      </c>
      <c r="F5092" t="s">
        <v>30</v>
      </c>
      <c r="G5092" t="s">
        <v>31</v>
      </c>
      <c r="H5092" t="s">
        <v>32</v>
      </c>
      <c r="I5092">
        <v>799.36217579999902</v>
      </c>
      <c r="J5092" t="s">
        <v>33</v>
      </c>
      <c r="K5092" t="s">
        <v>6960</v>
      </c>
      <c r="L5092" t="s">
        <v>21</v>
      </c>
    </row>
    <row r="5093" spans="1:12">
      <c r="A5093" t="s">
        <v>6963</v>
      </c>
      <c r="B5093" t="s">
        <v>6943</v>
      </c>
      <c r="C5093" t="s">
        <v>130</v>
      </c>
      <c r="D5093">
        <v>1977</v>
      </c>
      <c r="E5093" t="s">
        <v>15</v>
      </c>
      <c r="F5093" t="s">
        <v>16</v>
      </c>
      <c r="G5093" t="s">
        <v>17</v>
      </c>
      <c r="H5093" t="s">
        <v>18</v>
      </c>
      <c r="I5093">
        <v>57.673999999999999</v>
      </c>
      <c r="J5093" t="s">
        <v>19</v>
      </c>
      <c r="K5093" t="s">
        <v>6964</v>
      </c>
      <c r="L5093" t="s">
        <v>21</v>
      </c>
    </row>
    <row r="5094" spans="1:12">
      <c r="A5094" t="s">
        <v>6965</v>
      </c>
      <c r="B5094" t="s">
        <v>6943</v>
      </c>
      <c r="C5094" t="s">
        <v>130</v>
      </c>
      <c r="D5094">
        <v>1977</v>
      </c>
      <c r="E5094" t="s">
        <v>23</v>
      </c>
      <c r="F5094" t="s">
        <v>24</v>
      </c>
      <c r="G5094" t="s">
        <v>25</v>
      </c>
      <c r="H5094" t="s">
        <v>26</v>
      </c>
      <c r="I5094">
        <v>6642107</v>
      </c>
      <c r="J5094" t="s">
        <v>27</v>
      </c>
      <c r="K5094" t="s">
        <v>6964</v>
      </c>
      <c r="L5094" t="s">
        <v>21</v>
      </c>
    </row>
    <row r="5095" spans="1:12">
      <c r="A5095" t="s">
        <v>6966</v>
      </c>
      <c r="B5095" t="s">
        <v>6943</v>
      </c>
      <c r="C5095" t="s">
        <v>130</v>
      </c>
      <c r="D5095">
        <v>1977</v>
      </c>
      <c r="E5095" t="s">
        <v>29</v>
      </c>
      <c r="F5095" t="s">
        <v>30</v>
      </c>
      <c r="G5095" t="s">
        <v>31</v>
      </c>
      <c r="H5095" t="s">
        <v>32</v>
      </c>
      <c r="I5095">
        <v>685.58768210000005</v>
      </c>
      <c r="J5095" t="s">
        <v>33</v>
      </c>
      <c r="K5095" t="s">
        <v>6964</v>
      </c>
      <c r="L5095" t="s">
        <v>21</v>
      </c>
    </row>
    <row r="5096" spans="1:12">
      <c r="A5096" t="s">
        <v>6967</v>
      </c>
      <c r="B5096" t="s">
        <v>6943</v>
      </c>
      <c r="C5096" t="s">
        <v>130</v>
      </c>
      <c r="D5096">
        <v>1982</v>
      </c>
      <c r="E5096" t="s">
        <v>15</v>
      </c>
      <c r="F5096" t="s">
        <v>16</v>
      </c>
      <c r="G5096" t="s">
        <v>17</v>
      </c>
      <c r="H5096" t="s">
        <v>18</v>
      </c>
      <c r="I5096">
        <v>60.363</v>
      </c>
      <c r="J5096" t="s">
        <v>19</v>
      </c>
      <c r="K5096" t="s">
        <v>6968</v>
      </c>
      <c r="L5096" t="s">
        <v>21</v>
      </c>
    </row>
    <row r="5097" spans="1:12">
      <c r="A5097" t="s">
        <v>6969</v>
      </c>
      <c r="B5097" t="s">
        <v>6943</v>
      </c>
      <c r="C5097" t="s">
        <v>130</v>
      </c>
      <c r="D5097">
        <v>1982</v>
      </c>
      <c r="E5097" t="s">
        <v>23</v>
      </c>
      <c r="F5097" t="s">
        <v>24</v>
      </c>
      <c r="G5097" t="s">
        <v>25</v>
      </c>
      <c r="H5097" t="s">
        <v>26</v>
      </c>
      <c r="I5097">
        <v>7636524</v>
      </c>
      <c r="J5097" t="s">
        <v>27</v>
      </c>
      <c r="K5097" t="s">
        <v>6968</v>
      </c>
      <c r="L5097" t="s">
        <v>21</v>
      </c>
    </row>
    <row r="5098" spans="1:12">
      <c r="A5098" t="s">
        <v>6970</v>
      </c>
      <c r="B5098" t="s">
        <v>6943</v>
      </c>
      <c r="C5098" t="s">
        <v>130</v>
      </c>
      <c r="D5098">
        <v>1982</v>
      </c>
      <c r="E5098" t="s">
        <v>29</v>
      </c>
      <c r="F5098" t="s">
        <v>30</v>
      </c>
      <c r="G5098" t="s">
        <v>31</v>
      </c>
      <c r="H5098" t="s">
        <v>32</v>
      </c>
      <c r="I5098">
        <v>788.85504109999999</v>
      </c>
      <c r="J5098" t="s">
        <v>33</v>
      </c>
      <c r="K5098" t="s">
        <v>6968</v>
      </c>
      <c r="L5098" t="s">
        <v>21</v>
      </c>
    </row>
    <row r="5099" spans="1:12">
      <c r="A5099" t="s">
        <v>6971</v>
      </c>
      <c r="B5099" t="s">
        <v>6943</v>
      </c>
      <c r="C5099" t="s">
        <v>130</v>
      </c>
      <c r="D5099">
        <v>1987</v>
      </c>
      <c r="E5099" t="s">
        <v>15</v>
      </c>
      <c r="F5099" t="s">
        <v>16</v>
      </c>
      <c r="G5099" t="s">
        <v>17</v>
      </c>
      <c r="H5099" t="s">
        <v>18</v>
      </c>
      <c r="I5099">
        <v>62.350999999999999</v>
      </c>
      <c r="J5099" t="s">
        <v>19</v>
      </c>
      <c r="K5099" t="s">
        <v>6972</v>
      </c>
      <c r="L5099" t="s">
        <v>21</v>
      </c>
    </row>
    <row r="5100" spans="1:12">
      <c r="A5100" t="s">
        <v>6973</v>
      </c>
      <c r="B5100" t="s">
        <v>6943</v>
      </c>
      <c r="C5100" t="s">
        <v>130</v>
      </c>
      <c r="D5100">
        <v>1987</v>
      </c>
      <c r="E5100" t="s">
        <v>23</v>
      </c>
      <c r="F5100" t="s">
        <v>24</v>
      </c>
      <c r="G5100" t="s">
        <v>25</v>
      </c>
      <c r="H5100" t="s">
        <v>26</v>
      </c>
      <c r="I5100">
        <v>9216418</v>
      </c>
      <c r="J5100" t="s">
        <v>27</v>
      </c>
      <c r="K5100" t="s">
        <v>6972</v>
      </c>
      <c r="L5100" t="s">
        <v>21</v>
      </c>
    </row>
    <row r="5101" spans="1:12">
      <c r="A5101" t="s">
        <v>6974</v>
      </c>
      <c r="B5101" t="s">
        <v>6943</v>
      </c>
      <c r="C5101" t="s">
        <v>130</v>
      </c>
      <c r="D5101">
        <v>1987</v>
      </c>
      <c r="E5101" t="s">
        <v>29</v>
      </c>
      <c r="F5101" t="s">
        <v>30</v>
      </c>
      <c r="G5101" t="s">
        <v>31</v>
      </c>
      <c r="H5101" t="s">
        <v>32</v>
      </c>
      <c r="I5101">
        <v>706.15730589999998</v>
      </c>
      <c r="J5101" t="s">
        <v>33</v>
      </c>
      <c r="K5101" t="s">
        <v>6972</v>
      </c>
      <c r="L5101" t="s">
        <v>21</v>
      </c>
    </row>
    <row r="5102" spans="1:12">
      <c r="A5102" t="s">
        <v>6975</v>
      </c>
      <c r="B5102" t="s">
        <v>6943</v>
      </c>
      <c r="C5102" t="s">
        <v>130</v>
      </c>
      <c r="D5102">
        <v>1992</v>
      </c>
      <c r="E5102" t="s">
        <v>15</v>
      </c>
      <c r="F5102" t="s">
        <v>16</v>
      </c>
      <c r="G5102" t="s">
        <v>17</v>
      </c>
      <c r="H5102" t="s">
        <v>18</v>
      </c>
      <c r="I5102">
        <v>60.377000000000002</v>
      </c>
      <c r="J5102" t="s">
        <v>19</v>
      </c>
      <c r="K5102" t="s">
        <v>6976</v>
      </c>
      <c r="L5102" t="s">
        <v>21</v>
      </c>
    </row>
    <row r="5103" spans="1:12">
      <c r="A5103" t="s">
        <v>6977</v>
      </c>
      <c r="B5103" t="s">
        <v>6943</v>
      </c>
      <c r="C5103" t="s">
        <v>130</v>
      </c>
      <c r="D5103">
        <v>1992</v>
      </c>
      <c r="E5103" t="s">
        <v>23</v>
      </c>
      <c r="F5103" t="s">
        <v>24</v>
      </c>
      <c r="G5103" t="s">
        <v>25</v>
      </c>
      <c r="H5103" t="s">
        <v>26</v>
      </c>
      <c r="I5103">
        <v>10704340</v>
      </c>
      <c r="J5103" t="s">
        <v>27</v>
      </c>
      <c r="K5103" t="s">
        <v>6976</v>
      </c>
      <c r="L5103" t="s">
        <v>21</v>
      </c>
    </row>
    <row r="5104" spans="1:12">
      <c r="A5104" t="s">
        <v>6978</v>
      </c>
      <c r="B5104" t="s">
        <v>6943</v>
      </c>
      <c r="C5104" t="s">
        <v>130</v>
      </c>
      <c r="D5104">
        <v>1992</v>
      </c>
      <c r="E5104" t="s">
        <v>29</v>
      </c>
      <c r="F5104" t="s">
        <v>30</v>
      </c>
      <c r="G5104" t="s">
        <v>31</v>
      </c>
      <c r="H5104" t="s">
        <v>32</v>
      </c>
      <c r="I5104">
        <v>693.42078560000004</v>
      </c>
      <c r="J5104" t="s">
        <v>33</v>
      </c>
      <c r="K5104" t="s">
        <v>6976</v>
      </c>
      <c r="L5104" t="s">
        <v>21</v>
      </c>
    </row>
    <row r="5105" spans="1:12">
      <c r="A5105" t="s">
        <v>6979</v>
      </c>
      <c r="B5105" t="s">
        <v>6943</v>
      </c>
      <c r="C5105" t="s">
        <v>130</v>
      </c>
      <c r="D5105">
        <v>1997</v>
      </c>
      <c r="E5105" t="s">
        <v>15</v>
      </c>
      <c r="F5105" t="s">
        <v>16</v>
      </c>
      <c r="G5105" t="s">
        <v>17</v>
      </c>
      <c r="H5105" t="s">
        <v>18</v>
      </c>
      <c r="I5105">
        <v>46.808999999999997</v>
      </c>
      <c r="J5105" t="s">
        <v>19</v>
      </c>
      <c r="K5105" t="s">
        <v>6980</v>
      </c>
      <c r="L5105" t="s">
        <v>21</v>
      </c>
    </row>
    <row r="5106" spans="1:12">
      <c r="A5106" t="s">
        <v>6981</v>
      </c>
      <c r="B5106" t="s">
        <v>6943</v>
      </c>
      <c r="C5106" t="s">
        <v>130</v>
      </c>
      <c r="D5106">
        <v>1997</v>
      </c>
      <c r="E5106" t="s">
        <v>23</v>
      </c>
      <c r="F5106" t="s">
        <v>24</v>
      </c>
      <c r="G5106" t="s">
        <v>25</v>
      </c>
      <c r="H5106" t="s">
        <v>26</v>
      </c>
      <c r="I5106">
        <v>11404948</v>
      </c>
      <c r="J5106" t="s">
        <v>27</v>
      </c>
      <c r="K5106" t="s">
        <v>6980</v>
      </c>
      <c r="L5106" t="s">
        <v>21</v>
      </c>
    </row>
    <row r="5107" spans="1:12">
      <c r="A5107" t="s">
        <v>6982</v>
      </c>
      <c r="B5107" t="s">
        <v>6943</v>
      </c>
      <c r="C5107" t="s">
        <v>130</v>
      </c>
      <c r="D5107">
        <v>1997</v>
      </c>
      <c r="E5107" t="s">
        <v>29</v>
      </c>
      <c r="F5107" t="s">
        <v>30</v>
      </c>
      <c r="G5107" t="s">
        <v>31</v>
      </c>
      <c r="H5107" t="s">
        <v>32</v>
      </c>
      <c r="I5107">
        <v>792.44996029999902</v>
      </c>
      <c r="J5107" t="s">
        <v>33</v>
      </c>
      <c r="K5107" t="s">
        <v>6980</v>
      </c>
      <c r="L5107" t="s">
        <v>21</v>
      </c>
    </row>
    <row r="5108" spans="1:12">
      <c r="A5108" t="s">
        <v>6983</v>
      </c>
      <c r="B5108" t="s">
        <v>6943</v>
      </c>
      <c r="C5108" t="s">
        <v>130</v>
      </c>
      <c r="D5108">
        <v>2002</v>
      </c>
      <c r="E5108" t="s">
        <v>15</v>
      </c>
      <c r="F5108" t="s">
        <v>16</v>
      </c>
      <c r="G5108" t="s">
        <v>17</v>
      </c>
      <c r="H5108" t="s">
        <v>18</v>
      </c>
      <c r="I5108">
        <v>39.988999999999997</v>
      </c>
      <c r="J5108" t="s">
        <v>19</v>
      </c>
      <c r="K5108" t="s">
        <v>6984</v>
      </c>
      <c r="L5108" t="s">
        <v>21</v>
      </c>
    </row>
    <row r="5109" spans="1:12">
      <c r="A5109" t="s">
        <v>6985</v>
      </c>
      <c r="B5109" t="s">
        <v>6943</v>
      </c>
      <c r="C5109" t="s">
        <v>130</v>
      </c>
      <c r="D5109">
        <v>2002</v>
      </c>
      <c r="E5109" t="s">
        <v>23</v>
      </c>
      <c r="F5109" t="s">
        <v>24</v>
      </c>
      <c r="G5109" t="s">
        <v>25</v>
      </c>
      <c r="H5109" t="s">
        <v>26</v>
      </c>
      <c r="I5109">
        <v>11926563</v>
      </c>
      <c r="J5109" t="s">
        <v>27</v>
      </c>
      <c r="K5109" t="s">
        <v>6984</v>
      </c>
      <c r="L5109" t="s">
        <v>21</v>
      </c>
    </row>
    <row r="5110" spans="1:12">
      <c r="A5110" t="s">
        <v>6986</v>
      </c>
      <c r="B5110" t="s">
        <v>6943</v>
      </c>
      <c r="C5110" t="s">
        <v>130</v>
      </c>
      <c r="D5110">
        <v>2002</v>
      </c>
      <c r="E5110" t="s">
        <v>29</v>
      </c>
      <c r="F5110" t="s">
        <v>30</v>
      </c>
      <c r="G5110" t="s">
        <v>31</v>
      </c>
      <c r="H5110" t="s">
        <v>32</v>
      </c>
      <c r="I5110">
        <v>672.03862270000002</v>
      </c>
      <c r="J5110" t="s">
        <v>33</v>
      </c>
      <c r="K5110" t="s">
        <v>6984</v>
      </c>
      <c r="L5110" t="s">
        <v>21</v>
      </c>
    </row>
    <row r="5111" spans="1:12">
      <c r="A5111" t="s">
        <v>6987</v>
      </c>
      <c r="B5111" t="s">
        <v>6943</v>
      </c>
      <c r="C5111" t="s">
        <v>130</v>
      </c>
      <c r="D5111">
        <v>2007</v>
      </c>
      <c r="E5111" t="s">
        <v>15</v>
      </c>
      <c r="F5111" t="s">
        <v>16</v>
      </c>
      <c r="G5111" t="s">
        <v>17</v>
      </c>
      <c r="H5111" t="s">
        <v>18</v>
      </c>
      <c r="I5111">
        <v>43.487000000000002</v>
      </c>
      <c r="J5111" t="s">
        <v>19</v>
      </c>
      <c r="K5111" t="s">
        <v>6988</v>
      </c>
      <c r="L5111" t="s">
        <v>21</v>
      </c>
    </row>
    <row r="5112" spans="1:12">
      <c r="A5112" t="s">
        <v>6989</v>
      </c>
      <c r="B5112" t="s">
        <v>6943</v>
      </c>
      <c r="C5112" t="s">
        <v>130</v>
      </c>
      <c r="D5112">
        <v>2007</v>
      </c>
      <c r="E5112" t="s">
        <v>23</v>
      </c>
      <c r="F5112" t="s">
        <v>24</v>
      </c>
      <c r="G5112" t="s">
        <v>25</v>
      </c>
      <c r="H5112" t="s">
        <v>26</v>
      </c>
      <c r="I5112">
        <v>12311143</v>
      </c>
      <c r="J5112" t="s">
        <v>27</v>
      </c>
      <c r="K5112" t="s">
        <v>6988</v>
      </c>
      <c r="L5112" t="s">
        <v>21</v>
      </c>
    </row>
    <row r="5113" spans="1:12">
      <c r="A5113" t="s">
        <v>6990</v>
      </c>
      <c r="B5113" t="s">
        <v>6943</v>
      </c>
      <c r="C5113" t="s">
        <v>130</v>
      </c>
      <c r="D5113">
        <v>2007</v>
      </c>
      <c r="E5113" t="s">
        <v>29</v>
      </c>
      <c r="F5113" t="s">
        <v>30</v>
      </c>
      <c r="G5113" t="s">
        <v>31</v>
      </c>
      <c r="H5113" t="s">
        <v>32</v>
      </c>
      <c r="I5113">
        <v>469.70929810000001</v>
      </c>
      <c r="J5113" t="s">
        <v>33</v>
      </c>
      <c r="K5113" t="s">
        <v>6988</v>
      </c>
      <c r="L5113" t="s">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ECBBD-1374-4EC4-AA20-4B0E2CAE1342}">
  <dimension ref="A1:P5113"/>
  <sheetViews>
    <sheetView workbookViewId="0">
      <selection activeCell="D14" sqref="D14"/>
    </sheetView>
  </sheetViews>
  <sheetFormatPr defaultRowHeight="15"/>
  <cols>
    <col min="1" max="1" width="17.42578125" bestFit="1" customWidth="1"/>
    <col min="13" max="13" width="13" customWidth="1"/>
    <col min="14" max="14" width="10" customWidth="1"/>
    <col min="15" max="15" width="12.7109375" customWidth="1"/>
    <col min="16" max="16" width="20.140625" customWidth="1"/>
  </cols>
  <sheetData>
    <row r="1" spans="1:16">
      <c r="A1" t="s">
        <v>0</v>
      </c>
      <c r="B1" t="s">
        <v>1</v>
      </c>
      <c r="C1" t="s">
        <v>2</v>
      </c>
      <c r="D1" t="s">
        <v>3</v>
      </c>
      <c r="E1" t="s">
        <v>4</v>
      </c>
      <c r="F1" t="s">
        <v>5</v>
      </c>
      <c r="G1" t="s">
        <v>6</v>
      </c>
      <c r="H1" t="s">
        <v>7</v>
      </c>
      <c r="I1" t="s">
        <v>8</v>
      </c>
      <c r="J1" t="s">
        <v>9</v>
      </c>
      <c r="K1" t="s">
        <v>10</v>
      </c>
      <c r="L1" t="s">
        <v>11</v>
      </c>
      <c r="M1" t="s">
        <v>6991</v>
      </c>
      <c r="N1" t="s">
        <v>6992</v>
      </c>
      <c r="O1" t="s">
        <v>6993</v>
      </c>
      <c r="P1" t="s">
        <v>6994</v>
      </c>
    </row>
    <row r="2" spans="1:16">
      <c r="A2" t="s">
        <v>12</v>
      </c>
      <c r="B2" t="s">
        <v>13</v>
      </c>
      <c r="C2" t="s">
        <v>14</v>
      </c>
      <c r="D2">
        <v>1952</v>
      </c>
      <c r="E2" t="s">
        <v>15</v>
      </c>
      <c r="F2" t="s">
        <v>16</v>
      </c>
      <c r="G2" t="s">
        <v>17</v>
      </c>
      <c r="H2" t="s">
        <v>18</v>
      </c>
      <c r="I2">
        <v>28.800999999999998</v>
      </c>
      <c r="J2" t="s">
        <v>19</v>
      </c>
      <c r="K2" t="s">
        <v>20</v>
      </c>
      <c r="L2" t="s">
        <v>21</v>
      </c>
      <c r="M2" t="str">
        <f t="shared" ref="M2:M65" si="0">IF(AND(ISNUMBER(I2),I2&gt;=0),"OK","Review")</f>
        <v>OK</v>
      </c>
      <c r="N2" t="str">
        <f t="shared" ref="N2:N65" si="1">FLOOR(D2,10)&amp;"s"</f>
        <v>1950s</v>
      </c>
      <c r="O2" t="str">
        <f t="shared" ref="O2:O65" si="2">IF(E2="LIFE_EXP",IF(I2&gt;=70,"High",IF(I2&gt;=55,"Medium","Low")),"N/A")</f>
        <v>Low</v>
      </c>
      <c r="P2" t="str">
        <f>VLOOKUP(E2,calculated_fields!$F$4:$G$6,2,FALSE)</f>
        <v>Health</v>
      </c>
    </row>
    <row r="3" spans="1:16">
      <c r="A3" t="s">
        <v>22</v>
      </c>
      <c r="B3" t="s">
        <v>13</v>
      </c>
      <c r="C3" t="s">
        <v>14</v>
      </c>
      <c r="D3">
        <v>1952</v>
      </c>
      <c r="E3" t="s">
        <v>23</v>
      </c>
      <c r="F3" t="s">
        <v>24</v>
      </c>
      <c r="G3" t="s">
        <v>25</v>
      </c>
      <c r="H3" t="s">
        <v>26</v>
      </c>
      <c r="I3">
        <v>8425333</v>
      </c>
      <c r="J3" t="s">
        <v>27</v>
      </c>
      <c r="K3" t="s">
        <v>20</v>
      </c>
      <c r="L3" t="s">
        <v>21</v>
      </c>
      <c r="M3" t="str">
        <f t="shared" si="0"/>
        <v>OK</v>
      </c>
      <c r="N3" t="str">
        <f t="shared" si="1"/>
        <v>1950s</v>
      </c>
      <c r="O3" t="str">
        <f t="shared" si="2"/>
        <v>N/A</v>
      </c>
      <c r="P3" t="str">
        <f>VLOOKUP(E3,calculated_fields!$F$4:$G$6,2,FALSE)</f>
        <v>Demographics</v>
      </c>
    </row>
    <row r="4" spans="1:16">
      <c r="A4" t="s">
        <v>28</v>
      </c>
      <c r="B4" t="s">
        <v>13</v>
      </c>
      <c r="C4" t="s">
        <v>14</v>
      </c>
      <c r="D4">
        <v>1952</v>
      </c>
      <c r="E4" t="s">
        <v>29</v>
      </c>
      <c r="F4" t="s">
        <v>30</v>
      </c>
      <c r="G4" t="s">
        <v>31</v>
      </c>
      <c r="H4" t="s">
        <v>32</v>
      </c>
      <c r="I4">
        <v>779.44531449999999</v>
      </c>
      <c r="J4" t="s">
        <v>33</v>
      </c>
      <c r="K4" t="s">
        <v>20</v>
      </c>
      <c r="L4" t="s">
        <v>21</v>
      </c>
      <c r="M4" t="str">
        <f t="shared" si="0"/>
        <v>OK</v>
      </c>
      <c r="N4" t="str">
        <f t="shared" si="1"/>
        <v>1950s</v>
      </c>
      <c r="O4" t="str">
        <f t="shared" si="2"/>
        <v>N/A</v>
      </c>
      <c r="P4" t="str">
        <f>VLOOKUP(E4,calculated_fields!$F$4:$G$6,2,FALSE)</f>
        <v>Economy</v>
      </c>
    </row>
    <row r="5" spans="1:16">
      <c r="A5" t="s">
        <v>34</v>
      </c>
      <c r="B5" t="s">
        <v>13</v>
      </c>
      <c r="C5" t="s">
        <v>14</v>
      </c>
      <c r="D5">
        <v>1957</v>
      </c>
      <c r="E5" t="s">
        <v>15</v>
      </c>
      <c r="F5" t="s">
        <v>16</v>
      </c>
      <c r="G5" t="s">
        <v>17</v>
      </c>
      <c r="H5" t="s">
        <v>18</v>
      </c>
      <c r="I5">
        <v>30.332000000000001</v>
      </c>
      <c r="J5" t="s">
        <v>19</v>
      </c>
      <c r="K5" t="s">
        <v>35</v>
      </c>
      <c r="L5" t="s">
        <v>21</v>
      </c>
      <c r="M5" t="str">
        <f t="shared" si="0"/>
        <v>OK</v>
      </c>
      <c r="N5" t="str">
        <f t="shared" si="1"/>
        <v>1950s</v>
      </c>
      <c r="O5" t="str">
        <f t="shared" si="2"/>
        <v>Low</v>
      </c>
      <c r="P5" t="str">
        <f>VLOOKUP(E5,calculated_fields!$F$4:$G$6,2,FALSE)</f>
        <v>Health</v>
      </c>
    </row>
    <row r="6" spans="1:16">
      <c r="A6" t="s">
        <v>36</v>
      </c>
      <c r="B6" t="s">
        <v>13</v>
      </c>
      <c r="C6" t="s">
        <v>14</v>
      </c>
      <c r="D6">
        <v>1957</v>
      </c>
      <c r="E6" t="s">
        <v>23</v>
      </c>
      <c r="F6" t="s">
        <v>24</v>
      </c>
      <c r="G6" t="s">
        <v>25</v>
      </c>
      <c r="H6" t="s">
        <v>26</v>
      </c>
      <c r="I6">
        <v>9240934</v>
      </c>
      <c r="J6" t="s">
        <v>27</v>
      </c>
      <c r="K6" t="s">
        <v>35</v>
      </c>
      <c r="L6" t="s">
        <v>21</v>
      </c>
      <c r="M6" t="str">
        <f t="shared" si="0"/>
        <v>OK</v>
      </c>
      <c r="N6" t="str">
        <f t="shared" si="1"/>
        <v>1950s</v>
      </c>
      <c r="O6" t="str">
        <f t="shared" si="2"/>
        <v>N/A</v>
      </c>
      <c r="P6" t="str">
        <f>VLOOKUP(E6,calculated_fields!$F$4:$G$6,2,FALSE)</f>
        <v>Demographics</v>
      </c>
    </row>
    <row r="7" spans="1:16">
      <c r="A7" t="s">
        <v>37</v>
      </c>
      <c r="B7" t="s">
        <v>13</v>
      </c>
      <c r="C7" t="s">
        <v>14</v>
      </c>
      <c r="D7">
        <v>1957</v>
      </c>
      <c r="E7" t="s">
        <v>29</v>
      </c>
      <c r="F7" t="s">
        <v>30</v>
      </c>
      <c r="G7" t="s">
        <v>31</v>
      </c>
      <c r="H7" t="s">
        <v>32</v>
      </c>
      <c r="I7">
        <v>820.85302960000001</v>
      </c>
      <c r="J7" t="s">
        <v>33</v>
      </c>
      <c r="K7" t="s">
        <v>35</v>
      </c>
      <c r="L7" t="s">
        <v>21</v>
      </c>
      <c r="M7" t="str">
        <f t="shared" si="0"/>
        <v>OK</v>
      </c>
      <c r="N7" t="str">
        <f t="shared" si="1"/>
        <v>1950s</v>
      </c>
      <c r="O7" t="str">
        <f t="shared" si="2"/>
        <v>N/A</v>
      </c>
      <c r="P7" t="str">
        <f>VLOOKUP(E7,calculated_fields!$F$4:$G$6,2,FALSE)</f>
        <v>Economy</v>
      </c>
    </row>
    <row r="8" spans="1:16">
      <c r="A8" t="s">
        <v>38</v>
      </c>
      <c r="B8" t="s">
        <v>13</v>
      </c>
      <c r="C8" t="s">
        <v>14</v>
      </c>
      <c r="D8">
        <v>1962</v>
      </c>
      <c r="E8" t="s">
        <v>15</v>
      </c>
      <c r="F8" t="s">
        <v>16</v>
      </c>
      <c r="G8" t="s">
        <v>17</v>
      </c>
      <c r="H8" t="s">
        <v>18</v>
      </c>
      <c r="I8">
        <v>31.997</v>
      </c>
      <c r="J8" t="s">
        <v>19</v>
      </c>
      <c r="K8" t="s">
        <v>39</v>
      </c>
      <c r="L8" t="s">
        <v>21</v>
      </c>
      <c r="M8" t="str">
        <f t="shared" si="0"/>
        <v>OK</v>
      </c>
      <c r="N8" t="str">
        <f t="shared" si="1"/>
        <v>1960s</v>
      </c>
      <c r="O8" t="str">
        <f t="shared" si="2"/>
        <v>Low</v>
      </c>
      <c r="P8" t="str">
        <f>VLOOKUP(E8,calculated_fields!$F$4:$G$6,2,FALSE)</f>
        <v>Health</v>
      </c>
    </row>
    <row r="9" spans="1:16">
      <c r="A9" t="s">
        <v>40</v>
      </c>
      <c r="B9" t="s">
        <v>13</v>
      </c>
      <c r="C9" t="s">
        <v>14</v>
      </c>
      <c r="D9">
        <v>1962</v>
      </c>
      <c r="E9" t="s">
        <v>23</v>
      </c>
      <c r="F9" t="s">
        <v>24</v>
      </c>
      <c r="G9" t="s">
        <v>25</v>
      </c>
      <c r="H9" t="s">
        <v>26</v>
      </c>
      <c r="I9">
        <v>10267083</v>
      </c>
      <c r="J9" t="s">
        <v>27</v>
      </c>
      <c r="K9" t="s">
        <v>39</v>
      </c>
      <c r="L9" t="s">
        <v>21</v>
      </c>
      <c r="M9" t="str">
        <f t="shared" si="0"/>
        <v>OK</v>
      </c>
      <c r="N9" t="str">
        <f t="shared" si="1"/>
        <v>1960s</v>
      </c>
      <c r="O9" t="str">
        <f t="shared" si="2"/>
        <v>N/A</v>
      </c>
      <c r="P9" t="str">
        <f>VLOOKUP(E9,calculated_fields!$F$4:$G$6,2,FALSE)</f>
        <v>Demographics</v>
      </c>
    </row>
    <row r="10" spans="1:16">
      <c r="A10" t="s">
        <v>41</v>
      </c>
      <c r="B10" t="s">
        <v>13</v>
      </c>
      <c r="C10" t="s">
        <v>14</v>
      </c>
      <c r="D10">
        <v>1962</v>
      </c>
      <c r="E10" t="s">
        <v>29</v>
      </c>
      <c r="F10" t="s">
        <v>30</v>
      </c>
      <c r="G10" t="s">
        <v>31</v>
      </c>
      <c r="H10" t="s">
        <v>32</v>
      </c>
      <c r="I10">
        <v>853.10070999999903</v>
      </c>
      <c r="J10" t="s">
        <v>33</v>
      </c>
      <c r="K10" t="s">
        <v>39</v>
      </c>
      <c r="L10" t="s">
        <v>21</v>
      </c>
      <c r="M10" t="str">
        <f t="shared" si="0"/>
        <v>OK</v>
      </c>
      <c r="N10" t="str">
        <f t="shared" si="1"/>
        <v>1960s</v>
      </c>
      <c r="O10" t="str">
        <f t="shared" si="2"/>
        <v>N/A</v>
      </c>
      <c r="P10" t="str">
        <f>VLOOKUP(E10,calculated_fields!$F$4:$G$6,2,FALSE)</f>
        <v>Economy</v>
      </c>
    </row>
    <row r="11" spans="1:16">
      <c r="A11" t="s">
        <v>42</v>
      </c>
      <c r="B11" t="s">
        <v>13</v>
      </c>
      <c r="C11" t="s">
        <v>14</v>
      </c>
      <c r="D11">
        <v>1967</v>
      </c>
      <c r="E11" t="s">
        <v>15</v>
      </c>
      <c r="F11" t="s">
        <v>16</v>
      </c>
      <c r="G11" t="s">
        <v>17</v>
      </c>
      <c r="H11" t="s">
        <v>18</v>
      </c>
      <c r="I11">
        <v>34.020000000000003</v>
      </c>
      <c r="J11" t="s">
        <v>19</v>
      </c>
      <c r="K11" t="s">
        <v>43</v>
      </c>
      <c r="L11" t="s">
        <v>21</v>
      </c>
      <c r="M11" t="str">
        <f t="shared" si="0"/>
        <v>OK</v>
      </c>
      <c r="N11" t="str">
        <f t="shared" si="1"/>
        <v>1960s</v>
      </c>
      <c r="O11" t="str">
        <f t="shared" si="2"/>
        <v>Low</v>
      </c>
      <c r="P11" t="str">
        <f>VLOOKUP(E11,calculated_fields!$F$4:$G$6,2,FALSE)</f>
        <v>Health</v>
      </c>
    </row>
    <row r="12" spans="1:16">
      <c r="A12" t="s">
        <v>44</v>
      </c>
      <c r="B12" t="s">
        <v>13</v>
      </c>
      <c r="C12" t="s">
        <v>14</v>
      </c>
      <c r="D12">
        <v>1967</v>
      </c>
      <c r="E12" t="s">
        <v>23</v>
      </c>
      <c r="F12" t="s">
        <v>24</v>
      </c>
      <c r="G12" t="s">
        <v>25</v>
      </c>
      <c r="H12" t="s">
        <v>26</v>
      </c>
      <c r="I12">
        <v>11537966</v>
      </c>
      <c r="J12" t="s">
        <v>27</v>
      </c>
      <c r="K12" t="s">
        <v>43</v>
      </c>
      <c r="L12" t="s">
        <v>21</v>
      </c>
      <c r="M12" t="str">
        <f t="shared" si="0"/>
        <v>OK</v>
      </c>
      <c r="N12" t="str">
        <f t="shared" si="1"/>
        <v>1960s</v>
      </c>
      <c r="O12" t="str">
        <f t="shared" si="2"/>
        <v>N/A</v>
      </c>
      <c r="P12" t="str">
        <f>VLOOKUP(E12,calculated_fields!$F$4:$G$6,2,FALSE)</f>
        <v>Demographics</v>
      </c>
    </row>
    <row r="13" spans="1:16">
      <c r="A13" t="s">
        <v>45</v>
      </c>
      <c r="B13" t="s">
        <v>13</v>
      </c>
      <c r="C13" t="s">
        <v>14</v>
      </c>
      <c r="D13">
        <v>1967</v>
      </c>
      <c r="E13" t="s">
        <v>29</v>
      </c>
      <c r="F13" t="s">
        <v>30</v>
      </c>
      <c r="G13" t="s">
        <v>31</v>
      </c>
      <c r="H13" t="s">
        <v>32</v>
      </c>
      <c r="I13">
        <v>836.19713820000004</v>
      </c>
      <c r="J13" t="s">
        <v>33</v>
      </c>
      <c r="K13" t="s">
        <v>43</v>
      </c>
      <c r="L13" t="s">
        <v>21</v>
      </c>
      <c r="M13" t="str">
        <f t="shared" si="0"/>
        <v>OK</v>
      </c>
      <c r="N13" t="str">
        <f t="shared" si="1"/>
        <v>1960s</v>
      </c>
      <c r="O13" t="str">
        <f t="shared" si="2"/>
        <v>N/A</v>
      </c>
      <c r="P13" t="str">
        <f>VLOOKUP(E13,calculated_fields!$F$4:$G$6,2,FALSE)</f>
        <v>Economy</v>
      </c>
    </row>
    <row r="14" spans="1:16">
      <c r="A14" t="s">
        <v>46</v>
      </c>
      <c r="B14" t="s">
        <v>13</v>
      </c>
      <c r="C14" t="s">
        <v>14</v>
      </c>
      <c r="D14">
        <v>1972</v>
      </c>
      <c r="E14" t="s">
        <v>15</v>
      </c>
      <c r="F14" t="s">
        <v>16</v>
      </c>
      <c r="G14" t="s">
        <v>17</v>
      </c>
      <c r="H14" t="s">
        <v>18</v>
      </c>
      <c r="I14">
        <v>36.088000000000001</v>
      </c>
      <c r="J14" t="s">
        <v>19</v>
      </c>
      <c r="K14" t="s">
        <v>47</v>
      </c>
      <c r="L14" t="s">
        <v>21</v>
      </c>
      <c r="M14" t="str">
        <f t="shared" si="0"/>
        <v>OK</v>
      </c>
      <c r="N14" t="str">
        <f t="shared" si="1"/>
        <v>1970s</v>
      </c>
      <c r="O14" t="str">
        <f t="shared" si="2"/>
        <v>Low</v>
      </c>
      <c r="P14" t="str">
        <f>VLOOKUP(E14,calculated_fields!$F$4:$G$6,2,FALSE)</f>
        <v>Health</v>
      </c>
    </row>
    <row r="15" spans="1:16">
      <c r="A15" t="s">
        <v>48</v>
      </c>
      <c r="B15" t="s">
        <v>13</v>
      </c>
      <c r="C15" t="s">
        <v>14</v>
      </c>
      <c r="D15">
        <v>1972</v>
      </c>
      <c r="E15" t="s">
        <v>23</v>
      </c>
      <c r="F15" t="s">
        <v>24</v>
      </c>
      <c r="G15" t="s">
        <v>25</v>
      </c>
      <c r="H15" t="s">
        <v>26</v>
      </c>
      <c r="I15">
        <v>13079460</v>
      </c>
      <c r="J15" t="s">
        <v>27</v>
      </c>
      <c r="K15" t="s">
        <v>47</v>
      </c>
      <c r="L15" t="s">
        <v>21</v>
      </c>
      <c r="M15" t="str">
        <f t="shared" si="0"/>
        <v>OK</v>
      </c>
      <c r="N15" t="str">
        <f t="shared" si="1"/>
        <v>1970s</v>
      </c>
      <c r="O15" t="str">
        <f t="shared" si="2"/>
        <v>N/A</v>
      </c>
      <c r="P15" t="str">
        <f>VLOOKUP(E15,calculated_fields!$F$4:$G$6,2,FALSE)</f>
        <v>Demographics</v>
      </c>
    </row>
    <row r="16" spans="1:16">
      <c r="A16" t="s">
        <v>49</v>
      </c>
      <c r="B16" t="s">
        <v>13</v>
      </c>
      <c r="C16" t="s">
        <v>14</v>
      </c>
      <c r="D16">
        <v>1972</v>
      </c>
      <c r="E16" t="s">
        <v>29</v>
      </c>
      <c r="F16" t="s">
        <v>30</v>
      </c>
      <c r="G16" t="s">
        <v>31</v>
      </c>
      <c r="H16" t="s">
        <v>32</v>
      </c>
      <c r="I16">
        <v>739.981105799999</v>
      </c>
      <c r="J16" t="s">
        <v>33</v>
      </c>
      <c r="K16" t="s">
        <v>47</v>
      </c>
      <c r="L16" t="s">
        <v>21</v>
      </c>
      <c r="M16" t="str">
        <f t="shared" si="0"/>
        <v>OK</v>
      </c>
      <c r="N16" t="str">
        <f t="shared" si="1"/>
        <v>1970s</v>
      </c>
      <c r="O16" t="str">
        <f t="shared" si="2"/>
        <v>N/A</v>
      </c>
      <c r="P16" t="str">
        <f>VLOOKUP(E16,calculated_fields!$F$4:$G$6,2,FALSE)</f>
        <v>Economy</v>
      </c>
    </row>
    <row r="17" spans="1:16">
      <c r="A17" t="s">
        <v>50</v>
      </c>
      <c r="B17" t="s">
        <v>13</v>
      </c>
      <c r="C17" t="s">
        <v>14</v>
      </c>
      <c r="D17">
        <v>1977</v>
      </c>
      <c r="E17" t="s">
        <v>15</v>
      </c>
      <c r="F17" t="s">
        <v>16</v>
      </c>
      <c r="G17" t="s">
        <v>17</v>
      </c>
      <c r="H17" t="s">
        <v>18</v>
      </c>
      <c r="I17">
        <v>38.438000000000002</v>
      </c>
      <c r="J17" t="s">
        <v>19</v>
      </c>
      <c r="K17" t="s">
        <v>51</v>
      </c>
      <c r="L17" t="s">
        <v>21</v>
      </c>
      <c r="M17" t="str">
        <f t="shared" si="0"/>
        <v>OK</v>
      </c>
      <c r="N17" t="str">
        <f t="shared" si="1"/>
        <v>1970s</v>
      </c>
      <c r="O17" t="str">
        <f t="shared" si="2"/>
        <v>Low</v>
      </c>
      <c r="P17" t="str">
        <f>VLOOKUP(E17,calculated_fields!$F$4:$G$6,2,FALSE)</f>
        <v>Health</v>
      </c>
    </row>
    <row r="18" spans="1:16">
      <c r="A18" t="s">
        <v>52</v>
      </c>
      <c r="B18" t="s">
        <v>13</v>
      </c>
      <c r="C18" t="s">
        <v>14</v>
      </c>
      <c r="D18">
        <v>1977</v>
      </c>
      <c r="E18" t="s">
        <v>23</v>
      </c>
      <c r="F18" t="s">
        <v>24</v>
      </c>
      <c r="G18" t="s">
        <v>25</v>
      </c>
      <c r="H18" t="s">
        <v>26</v>
      </c>
      <c r="I18">
        <v>14880372</v>
      </c>
      <c r="J18" t="s">
        <v>27</v>
      </c>
      <c r="K18" t="s">
        <v>51</v>
      </c>
      <c r="L18" t="s">
        <v>21</v>
      </c>
      <c r="M18" t="str">
        <f t="shared" si="0"/>
        <v>OK</v>
      </c>
      <c r="N18" t="str">
        <f t="shared" si="1"/>
        <v>1970s</v>
      </c>
      <c r="O18" t="str">
        <f t="shared" si="2"/>
        <v>N/A</v>
      </c>
      <c r="P18" t="str">
        <f>VLOOKUP(E18,calculated_fields!$F$4:$G$6,2,FALSE)</f>
        <v>Demographics</v>
      </c>
    </row>
    <row r="19" spans="1:16">
      <c r="A19" t="s">
        <v>53</v>
      </c>
      <c r="B19" t="s">
        <v>13</v>
      </c>
      <c r="C19" t="s">
        <v>14</v>
      </c>
      <c r="D19">
        <v>1977</v>
      </c>
      <c r="E19" t="s">
        <v>29</v>
      </c>
      <c r="F19" t="s">
        <v>30</v>
      </c>
      <c r="G19" t="s">
        <v>31</v>
      </c>
      <c r="H19" t="s">
        <v>32</v>
      </c>
      <c r="I19">
        <v>786.11335999999994</v>
      </c>
      <c r="J19" t="s">
        <v>33</v>
      </c>
      <c r="K19" t="s">
        <v>51</v>
      </c>
      <c r="L19" t="s">
        <v>21</v>
      </c>
      <c r="M19" t="str">
        <f t="shared" si="0"/>
        <v>OK</v>
      </c>
      <c r="N19" t="str">
        <f t="shared" si="1"/>
        <v>1970s</v>
      </c>
      <c r="O19" t="str">
        <f t="shared" si="2"/>
        <v>N/A</v>
      </c>
      <c r="P19" t="str">
        <f>VLOOKUP(E19,calculated_fields!$F$4:$G$6,2,FALSE)</f>
        <v>Economy</v>
      </c>
    </row>
    <row r="20" spans="1:16">
      <c r="A20" t="s">
        <v>54</v>
      </c>
      <c r="B20" t="s">
        <v>13</v>
      </c>
      <c r="C20" t="s">
        <v>14</v>
      </c>
      <c r="D20">
        <v>1982</v>
      </c>
      <c r="E20" t="s">
        <v>15</v>
      </c>
      <c r="F20" t="s">
        <v>16</v>
      </c>
      <c r="G20" t="s">
        <v>17</v>
      </c>
      <c r="H20" t="s">
        <v>18</v>
      </c>
      <c r="I20">
        <v>39.853999999999999</v>
      </c>
      <c r="J20" t="s">
        <v>19</v>
      </c>
      <c r="K20" t="s">
        <v>55</v>
      </c>
      <c r="L20" t="s">
        <v>21</v>
      </c>
      <c r="M20" t="str">
        <f t="shared" si="0"/>
        <v>OK</v>
      </c>
      <c r="N20" t="str">
        <f t="shared" si="1"/>
        <v>1980s</v>
      </c>
      <c r="O20" t="str">
        <f t="shared" si="2"/>
        <v>Low</v>
      </c>
      <c r="P20" t="str">
        <f>VLOOKUP(E20,calculated_fields!$F$4:$G$6,2,FALSE)</f>
        <v>Health</v>
      </c>
    </row>
    <row r="21" spans="1:16">
      <c r="A21" t="s">
        <v>56</v>
      </c>
      <c r="B21" t="s">
        <v>13</v>
      </c>
      <c r="C21" t="s">
        <v>14</v>
      </c>
      <c r="D21">
        <v>1982</v>
      </c>
      <c r="E21" t="s">
        <v>23</v>
      </c>
      <c r="F21" t="s">
        <v>24</v>
      </c>
      <c r="G21" t="s">
        <v>25</v>
      </c>
      <c r="H21" t="s">
        <v>26</v>
      </c>
      <c r="I21">
        <v>12881816</v>
      </c>
      <c r="J21" t="s">
        <v>27</v>
      </c>
      <c r="K21" t="s">
        <v>55</v>
      </c>
      <c r="L21" t="s">
        <v>21</v>
      </c>
      <c r="M21" t="str">
        <f t="shared" si="0"/>
        <v>OK</v>
      </c>
      <c r="N21" t="str">
        <f t="shared" si="1"/>
        <v>1980s</v>
      </c>
      <c r="O21" t="str">
        <f t="shared" si="2"/>
        <v>N/A</v>
      </c>
      <c r="P21" t="str">
        <f>VLOOKUP(E21,calculated_fields!$F$4:$G$6,2,FALSE)</f>
        <v>Demographics</v>
      </c>
    </row>
    <row r="22" spans="1:16">
      <c r="A22" t="s">
        <v>57</v>
      </c>
      <c r="B22" t="s">
        <v>13</v>
      </c>
      <c r="C22" t="s">
        <v>14</v>
      </c>
      <c r="D22">
        <v>1982</v>
      </c>
      <c r="E22" t="s">
        <v>29</v>
      </c>
      <c r="F22" t="s">
        <v>30</v>
      </c>
      <c r="G22" t="s">
        <v>31</v>
      </c>
      <c r="H22" t="s">
        <v>32</v>
      </c>
      <c r="I22">
        <v>978.01143879999995</v>
      </c>
      <c r="J22" t="s">
        <v>33</v>
      </c>
      <c r="K22" t="s">
        <v>55</v>
      </c>
      <c r="L22" t="s">
        <v>21</v>
      </c>
      <c r="M22" t="str">
        <f t="shared" si="0"/>
        <v>OK</v>
      </c>
      <c r="N22" t="str">
        <f t="shared" si="1"/>
        <v>1980s</v>
      </c>
      <c r="O22" t="str">
        <f t="shared" si="2"/>
        <v>N/A</v>
      </c>
      <c r="P22" t="str">
        <f>VLOOKUP(E22,calculated_fields!$F$4:$G$6,2,FALSE)</f>
        <v>Economy</v>
      </c>
    </row>
    <row r="23" spans="1:16">
      <c r="A23" t="s">
        <v>58</v>
      </c>
      <c r="B23" t="s">
        <v>13</v>
      </c>
      <c r="C23" t="s">
        <v>14</v>
      </c>
      <c r="D23">
        <v>1987</v>
      </c>
      <c r="E23" t="s">
        <v>15</v>
      </c>
      <c r="F23" t="s">
        <v>16</v>
      </c>
      <c r="G23" t="s">
        <v>17</v>
      </c>
      <c r="H23" t="s">
        <v>18</v>
      </c>
      <c r="I23">
        <v>40.822000000000003</v>
      </c>
      <c r="J23" t="s">
        <v>19</v>
      </c>
      <c r="K23" t="s">
        <v>59</v>
      </c>
      <c r="L23" t="s">
        <v>21</v>
      </c>
      <c r="M23" t="str">
        <f t="shared" si="0"/>
        <v>OK</v>
      </c>
      <c r="N23" t="str">
        <f t="shared" si="1"/>
        <v>1980s</v>
      </c>
      <c r="O23" t="str">
        <f t="shared" si="2"/>
        <v>Low</v>
      </c>
      <c r="P23" t="str">
        <f>VLOOKUP(E23,calculated_fields!$F$4:$G$6,2,FALSE)</f>
        <v>Health</v>
      </c>
    </row>
    <row r="24" spans="1:16">
      <c r="A24" t="s">
        <v>60</v>
      </c>
      <c r="B24" t="s">
        <v>13</v>
      </c>
      <c r="C24" t="s">
        <v>14</v>
      </c>
      <c r="D24">
        <v>1987</v>
      </c>
      <c r="E24" t="s">
        <v>23</v>
      </c>
      <c r="F24" t="s">
        <v>24</v>
      </c>
      <c r="G24" t="s">
        <v>25</v>
      </c>
      <c r="H24" t="s">
        <v>26</v>
      </c>
      <c r="I24">
        <v>13867957</v>
      </c>
      <c r="J24" t="s">
        <v>27</v>
      </c>
      <c r="K24" t="s">
        <v>59</v>
      </c>
      <c r="L24" t="s">
        <v>21</v>
      </c>
      <c r="M24" t="str">
        <f t="shared" si="0"/>
        <v>OK</v>
      </c>
      <c r="N24" t="str">
        <f t="shared" si="1"/>
        <v>1980s</v>
      </c>
      <c r="O24" t="str">
        <f t="shared" si="2"/>
        <v>N/A</v>
      </c>
      <c r="P24" t="str">
        <f>VLOOKUP(E24,calculated_fields!$F$4:$G$6,2,FALSE)</f>
        <v>Demographics</v>
      </c>
    </row>
    <row r="25" spans="1:16">
      <c r="A25" t="s">
        <v>61</v>
      </c>
      <c r="B25" t="s">
        <v>13</v>
      </c>
      <c r="C25" t="s">
        <v>14</v>
      </c>
      <c r="D25">
        <v>1987</v>
      </c>
      <c r="E25" t="s">
        <v>29</v>
      </c>
      <c r="F25" t="s">
        <v>30</v>
      </c>
      <c r="G25" t="s">
        <v>31</v>
      </c>
      <c r="H25" t="s">
        <v>32</v>
      </c>
      <c r="I25">
        <v>852.39594479999903</v>
      </c>
      <c r="J25" t="s">
        <v>33</v>
      </c>
      <c r="K25" t="s">
        <v>59</v>
      </c>
      <c r="L25" t="s">
        <v>21</v>
      </c>
      <c r="M25" t="str">
        <f t="shared" si="0"/>
        <v>OK</v>
      </c>
      <c r="N25" t="str">
        <f t="shared" si="1"/>
        <v>1980s</v>
      </c>
      <c r="O25" t="str">
        <f t="shared" si="2"/>
        <v>N/A</v>
      </c>
      <c r="P25" t="str">
        <f>VLOOKUP(E25,calculated_fields!$F$4:$G$6,2,FALSE)</f>
        <v>Economy</v>
      </c>
    </row>
    <row r="26" spans="1:16">
      <c r="A26" t="s">
        <v>62</v>
      </c>
      <c r="B26" t="s">
        <v>13</v>
      </c>
      <c r="C26" t="s">
        <v>14</v>
      </c>
      <c r="D26">
        <v>1992</v>
      </c>
      <c r="E26" t="s">
        <v>15</v>
      </c>
      <c r="F26" t="s">
        <v>16</v>
      </c>
      <c r="G26" t="s">
        <v>17</v>
      </c>
      <c r="H26" t="s">
        <v>18</v>
      </c>
      <c r="I26">
        <v>41.673999999999999</v>
      </c>
      <c r="J26" t="s">
        <v>19</v>
      </c>
      <c r="K26" t="s">
        <v>63</v>
      </c>
      <c r="L26" t="s">
        <v>21</v>
      </c>
      <c r="M26" t="str">
        <f t="shared" si="0"/>
        <v>OK</v>
      </c>
      <c r="N26" t="str">
        <f t="shared" si="1"/>
        <v>1990s</v>
      </c>
      <c r="O26" t="str">
        <f t="shared" si="2"/>
        <v>Low</v>
      </c>
      <c r="P26" t="str">
        <f>VLOOKUP(E26,calculated_fields!$F$4:$G$6,2,FALSE)</f>
        <v>Health</v>
      </c>
    </row>
    <row r="27" spans="1:16">
      <c r="A27" t="s">
        <v>64</v>
      </c>
      <c r="B27" t="s">
        <v>13</v>
      </c>
      <c r="C27" t="s">
        <v>14</v>
      </c>
      <c r="D27">
        <v>1992</v>
      </c>
      <c r="E27" t="s">
        <v>23</v>
      </c>
      <c r="F27" t="s">
        <v>24</v>
      </c>
      <c r="G27" t="s">
        <v>25</v>
      </c>
      <c r="H27" t="s">
        <v>26</v>
      </c>
      <c r="I27">
        <v>16317921</v>
      </c>
      <c r="J27" t="s">
        <v>27</v>
      </c>
      <c r="K27" t="s">
        <v>63</v>
      </c>
      <c r="L27" t="s">
        <v>21</v>
      </c>
      <c r="M27" t="str">
        <f t="shared" si="0"/>
        <v>OK</v>
      </c>
      <c r="N27" t="str">
        <f t="shared" si="1"/>
        <v>1990s</v>
      </c>
      <c r="O27" t="str">
        <f t="shared" si="2"/>
        <v>N/A</v>
      </c>
      <c r="P27" t="str">
        <f>VLOOKUP(E27,calculated_fields!$F$4:$G$6,2,FALSE)</f>
        <v>Demographics</v>
      </c>
    </row>
    <row r="28" spans="1:16">
      <c r="A28" t="s">
        <v>65</v>
      </c>
      <c r="B28" t="s">
        <v>13</v>
      </c>
      <c r="C28" t="s">
        <v>14</v>
      </c>
      <c r="D28">
        <v>1992</v>
      </c>
      <c r="E28" t="s">
        <v>29</v>
      </c>
      <c r="F28" t="s">
        <v>30</v>
      </c>
      <c r="G28" t="s">
        <v>31</v>
      </c>
      <c r="H28" t="s">
        <v>32</v>
      </c>
      <c r="I28">
        <v>649.34139519999997</v>
      </c>
      <c r="J28" t="s">
        <v>33</v>
      </c>
      <c r="K28" t="s">
        <v>63</v>
      </c>
      <c r="L28" t="s">
        <v>21</v>
      </c>
      <c r="M28" t="str">
        <f t="shared" si="0"/>
        <v>OK</v>
      </c>
      <c r="N28" t="str">
        <f t="shared" si="1"/>
        <v>1990s</v>
      </c>
      <c r="O28" t="str">
        <f t="shared" si="2"/>
        <v>N/A</v>
      </c>
      <c r="P28" t="str">
        <f>VLOOKUP(E28,calculated_fields!$F$4:$G$6,2,FALSE)</f>
        <v>Economy</v>
      </c>
    </row>
    <row r="29" spans="1:16">
      <c r="A29" t="s">
        <v>66</v>
      </c>
      <c r="B29" t="s">
        <v>13</v>
      </c>
      <c r="C29" t="s">
        <v>14</v>
      </c>
      <c r="D29">
        <v>1997</v>
      </c>
      <c r="E29" t="s">
        <v>15</v>
      </c>
      <c r="F29" t="s">
        <v>16</v>
      </c>
      <c r="G29" t="s">
        <v>17</v>
      </c>
      <c r="H29" t="s">
        <v>18</v>
      </c>
      <c r="I29">
        <v>41.762999999999998</v>
      </c>
      <c r="J29" t="s">
        <v>19</v>
      </c>
      <c r="K29" t="s">
        <v>67</v>
      </c>
      <c r="L29" t="s">
        <v>21</v>
      </c>
      <c r="M29" t="str">
        <f t="shared" si="0"/>
        <v>OK</v>
      </c>
      <c r="N29" t="str">
        <f t="shared" si="1"/>
        <v>1990s</v>
      </c>
      <c r="O29" t="str">
        <f t="shared" si="2"/>
        <v>Low</v>
      </c>
      <c r="P29" t="str">
        <f>VLOOKUP(E29,calculated_fields!$F$4:$G$6,2,FALSE)</f>
        <v>Health</v>
      </c>
    </row>
    <row r="30" spans="1:16">
      <c r="A30" t="s">
        <v>68</v>
      </c>
      <c r="B30" t="s">
        <v>13</v>
      </c>
      <c r="C30" t="s">
        <v>14</v>
      </c>
      <c r="D30">
        <v>1997</v>
      </c>
      <c r="E30" t="s">
        <v>23</v>
      </c>
      <c r="F30" t="s">
        <v>24</v>
      </c>
      <c r="G30" t="s">
        <v>25</v>
      </c>
      <c r="H30" t="s">
        <v>26</v>
      </c>
      <c r="I30">
        <v>22227415</v>
      </c>
      <c r="J30" t="s">
        <v>27</v>
      </c>
      <c r="K30" t="s">
        <v>67</v>
      </c>
      <c r="L30" t="s">
        <v>21</v>
      </c>
      <c r="M30" t="str">
        <f t="shared" si="0"/>
        <v>OK</v>
      </c>
      <c r="N30" t="str">
        <f t="shared" si="1"/>
        <v>1990s</v>
      </c>
      <c r="O30" t="str">
        <f t="shared" si="2"/>
        <v>N/A</v>
      </c>
      <c r="P30" t="str">
        <f>VLOOKUP(E30,calculated_fields!$F$4:$G$6,2,FALSE)</f>
        <v>Demographics</v>
      </c>
    </row>
    <row r="31" spans="1:16">
      <c r="A31" t="s">
        <v>69</v>
      </c>
      <c r="B31" t="s">
        <v>13</v>
      </c>
      <c r="C31" t="s">
        <v>14</v>
      </c>
      <c r="D31">
        <v>1997</v>
      </c>
      <c r="E31" t="s">
        <v>29</v>
      </c>
      <c r="F31" t="s">
        <v>30</v>
      </c>
      <c r="G31" t="s">
        <v>31</v>
      </c>
      <c r="H31" t="s">
        <v>32</v>
      </c>
      <c r="I31">
        <v>635.34135100000003</v>
      </c>
      <c r="J31" t="s">
        <v>33</v>
      </c>
      <c r="K31" t="s">
        <v>67</v>
      </c>
      <c r="L31" t="s">
        <v>21</v>
      </c>
      <c r="M31" t="str">
        <f t="shared" si="0"/>
        <v>OK</v>
      </c>
      <c r="N31" t="str">
        <f t="shared" si="1"/>
        <v>1990s</v>
      </c>
      <c r="O31" t="str">
        <f t="shared" si="2"/>
        <v>N/A</v>
      </c>
      <c r="P31" t="str">
        <f>VLOOKUP(E31,calculated_fields!$F$4:$G$6,2,FALSE)</f>
        <v>Economy</v>
      </c>
    </row>
    <row r="32" spans="1:16">
      <c r="A32" t="s">
        <v>70</v>
      </c>
      <c r="B32" t="s">
        <v>13</v>
      </c>
      <c r="C32" t="s">
        <v>14</v>
      </c>
      <c r="D32">
        <v>2002</v>
      </c>
      <c r="E32" t="s">
        <v>15</v>
      </c>
      <c r="F32" t="s">
        <v>16</v>
      </c>
      <c r="G32" t="s">
        <v>17</v>
      </c>
      <c r="H32" t="s">
        <v>18</v>
      </c>
      <c r="I32">
        <v>42.128999999999998</v>
      </c>
      <c r="J32" t="s">
        <v>19</v>
      </c>
      <c r="K32" t="s">
        <v>71</v>
      </c>
      <c r="L32" t="s">
        <v>21</v>
      </c>
      <c r="M32" t="str">
        <f t="shared" si="0"/>
        <v>OK</v>
      </c>
      <c r="N32" t="str">
        <f t="shared" si="1"/>
        <v>2000s</v>
      </c>
      <c r="O32" t="str">
        <f t="shared" si="2"/>
        <v>Low</v>
      </c>
      <c r="P32" t="str">
        <f>VLOOKUP(E32,calculated_fields!$F$4:$G$6,2,FALSE)</f>
        <v>Health</v>
      </c>
    </row>
    <row r="33" spans="1:16">
      <c r="A33" t="s">
        <v>72</v>
      </c>
      <c r="B33" t="s">
        <v>13</v>
      </c>
      <c r="C33" t="s">
        <v>14</v>
      </c>
      <c r="D33">
        <v>2002</v>
      </c>
      <c r="E33" t="s">
        <v>23</v>
      </c>
      <c r="F33" t="s">
        <v>24</v>
      </c>
      <c r="G33" t="s">
        <v>25</v>
      </c>
      <c r="H33" t="s">
        <v>26</v>
      </c>
      <c r="I33">
        <v>25268405</v>
      </c>
      <c r="J33" t="s">
        <v>27</v>
      </c>
      <c r="K33" t="s">
        <v>71</v>
      </c>
      <c r="L33" t="s">
        <v>21</v>
      </c>
      <c r="M33" t="str">
        <f t="shared" si="0"/>
        <v>OK</v>
      </c>
      <c r="N33" t="str">
        <f t="shared" si="1"/>
        <v>2000s</v>
      </c>
      <c r="O33" t="str">
        <f t="shared" si="2"/>
        <v>N/A</v>
      </c>
      <c r="P33" t="str">
        <f>VLOOKUP(E33,calculated_fields!$F$4:$G$6,2,FALSE)</f>
        <v>Demographics</v>
      </c>
    </row>
    <row r="34" spans="1:16">
      <c r="A34" t="s">
        <v>73</v>
      </c>
      <c r="B34" t="s">
        <v>13</v>
      </c>
      <c r="C34" t="s">
        <v>14</v>
      </c>
      <c r="D34">
        <v>2002</v>
      </c>
      <c r="E34" t="s">
        <v>29</v>
      </c>
      <c r="F34" t="s">
        <v>30</v>
      </c>
      <c r="G34" t="s">
        <v>31</v>
      </c>
      <c r="H34" t="s">
        <v>32</v>
      </c>
      <c r="I34">
        <v>726.73405479999997</v>
      </c>
      <c r="J34" t="s">
        <v>33</v>
      </c>
      <c r="K34" t="s">
        <v>71</v>
      </c>
      <c r="L34" t="s">
        <v>21</v>
      </c>
      <c r="M34" t="str">
        <f t="shared" si="0"/>
        <v>OK</v>
      </c>
      <c r="N34" t="str">
        <f t="shared" si="1"/>
        <v>2000s</v>
      </c>
      <c r="O34" t="str">
        <f t="shared" si="2"/>
        <v>N/A</v>
      </c>
      <c r="P34" t="str">
        <f>VLOOKUP(E34,calculated_fields!$F$4:$G$6,2,FALSE)</f>
        <v>Economy</v>
      </c>
    </row>
    <row r="35" spans="1:16">
      <c r="A35" t="s">
        <v>74</v>
      </c>
      <c r="B35" t="s">
        <v>13</v>
      </c>
      <c r="C35" t="s">
        <v>14</v>
      </c>
      <c r="D35">
        <v>2007</v>
      </c>
      <c r="E35" t="s">
        <v>15</v>
      </c>
      <c r="F35" t="s">
        <v>16</v>
      </c>
      <c r="G35" t="s">
        <v>17</v>
      </c>
      <c r="H35" t="s">
        <v>18</v>
      </c>
      <c r="I35">
        <v>43.828000000000003</v>
      </c>
      <c r="J35" t="s">
        <v>19</v>
      </c>
      <c r="K35" t="s">
        <v>75</v>
      </c>
      <c r="L35" t="s">
        <v>21</v>
      </c>
      <c r="M35" t="str">
        <f t="shared" si="0"/>
        <v>OK</v>
      </c>
      <c r="N35" t="str">
        <f t="shared" si="1"/>
        <v>2000s</v>
      </c>
      <c r="O35" t="str">
        <f t="shared" si="2"/>
        <v>Low</v>
      </c>
      <c r="P35" t="str">
        <f>VLOOKUP(E35,calculated_fields!$F$4:$G$6,2,FALSE)</f>
        <v>Health</v>
      </c>
    </row>
    <row r="36" spans="1:16">
      <c r="A36" t="s">
        <v>76</v>
      </c>
      <c r="B36" t="s">
        <v>13</v>
      </c>
      <c r="C36" t="s">
        <v>14</v>
      </c>
      <c r="D36">
        <v>2007</v>
      </c>
      <c r="E36" t="s">
        <v>23</v>
      </c>
      <c r="F36" t="s">
        <v>24</v>
      </c>
      <c r="G36" t="s">
        <v>25</v>
      </c>
      <c r="H36" t="s">
        <v>26</v>
      </c>
      <c r="I36">
        <v>31889923</v>
      </c>
      <c r="J36" t="s">
        <v>27</v>
      </c>
      <c r="K36" t="s">
        <v>75</v>
      </c>
      <c r="L36" t="s">
        <v>21</v>
      </c>
      <c r="M36" t="str">
        <f t="shared" si="0"/>
        <v>OK</v>
      </c>
      <c r="N36" t="str">
        <f t="shared" si="1"/>
        <v>2000s</v>
      </c>
      <c r="O36" t="str">
        <f t="shared" si="2"/>
        <v>N/A</v>
      </c>
      <c r="P36" t="str">
        <f>VLOOKUP(E36,calculated_fields!$F$4:$G$6,2,FALSE)</f>
        <v>Demographics</v>
      </c>
    </row>
    <row r="37" spans="1:16">
      <c r="A37" t="s">
        <v>77</v>
      </c>
      <c r="B37" t="s">
        <v>13</v>
      </c>
      <c r="C37" t="s">
        <v>14</v>
      </c>
      <c r="D37">
        <v>2007</v>
      </c>
      <c r="E37" t="s">
        <v>29</v>
      </c>
      <c r="F37" t="s">
        <v>30</v>
      </c>
      <c r="G37" t="s">
        <v>31</v>
      </c>
      <c r="H37" t="s">
        <v>32</v>
      </c>
      <c r="I37">
        <v>974.58033839999996</v>
      </c>
      <c r="J37" t="s">
        <v>33</v>
      </c>
      <c r="K37" t="s">
        <v>75</v>
      </c>
      <c r="L37" t="s">
        <v>21</v>
      </c>
      <c r="M37" t="str">
        <f t="shared" si="0"/>
        <v>OK</v>
      </c>
      <c r="N37" t="str">
        <f t="shared" si="1"/>
        <v>2000s</v>
      </c>
      <c r="O37" t="str">
        <f t="shared" si="2"/>
        <v>N/A</v>
      </c>
      <c r="P37" t="str">
        <f>VLOOKUP(E37,calculated_fields!$F$4:$G$6,2,FALSE)</f>
        <v>Economy</v>
      </c>
    </row>
    <row r="38" spans="1:16">
      <c r="A38" t="s">
        <v>78</v>
      </c>
      <c r="B38" t="s">
        <v>79</v>
      </c>
      <c r="C38" t="s">
        <v>80</v>
      </c>
      <c r="D38">
        <v>1952</v>
      </c>
      <c r="E38" t="s">
        <v>15</v>
      </c>
      <c r="F38" t="s">
        <v>16</v>
      </c>
      <c r="G38" t="s">
        <v>17</v>
      </c>
      <c r="H38" t="s">
        <v>18</v>
      </c>
      <c r="I38">
        <v>55.23</v>
      </c>
      <c r="J38" t="s">
        <v>19</v>
      </c>
      <c r="K38" t="s">
        <v>81</v>
      </c>
      <c r="L38" t="s">
        <v>21</v>
      </c>
      <c r="M38" t="str">
        <f t="shared" si="0"/>
        <v>OK</v>
      </c>
      <c r="N38" t="str">
        <f t="shared" si="1"/>
        <v>1950s</v>
      </c>
      <c r="O38" t="str">
        <f t="shared" si="2"/>
        <v>Medium</v>
      </c>
      <c r="P38" t="str">
        <f>VLOOKUP(E38,calculated_fields!$F$4:$G$6,2,FALSE)</f>
        <v>Health</v>
      </c>
    </row>
    <row r="39" spans="1:16">
      <c r="A39" t="s">
        <v>82</v>
      </c>
      <c r="B39" t="s">
        <v>79</v>
      </c>
      <c r="C39" t="s">
        <v>80</v>
      </c>
      <c r="D39">
        <v>1952</v>
      </c>
      <c r="E39" t="s">
        <v>23</v>
      </c>
      <c r="F39" t="s">
        <v>24</v>
      </c>
      <c r="G39" t="s">
        <v>25</v>
      </c>
      <c r="H39" t="s">
        <v>26</v>
      </c>
      <c r="I39">
        <v>1282697</v>
      </c>
      <c r="J39" t="s">
        <v>27</v>
      </c>
      <c r="K39" t="s">
        <v>81</v>
      </c>
      <c r="L39" t="s">
        <v>21</v>
      </c>
      <c r="M39" t="str">
        <f t="shared" si="0"/>
        <v>OK</v>
      </c>
      <c r="N39" t="str">
        <f t="shared" si="1"/>
        <v>1950s</v>
      </c>
      <c r="O39" t="str">
        <f t="shared" si="2"/>
        <v>N/A</v>
      </c>
      <c r="P39" t="str">
        <f>VLOOKUP(E39,calculated_fields!$F$4:$G$6,2,FALSE)</f>
        <v>Demographics</v>
      </c>
    </row>
    <row r="40" spans="1:16">
      <c r="A40" t="s">
        <v>83</v>
      </c>
      <c r="B40" t="s">
        <v>79</v>
      </c>
      <c r="C40" t="s">
        <v>80</v>
      </c>
      <c r="D40">
        <v>1952</v>
      </c>
      <c r="E40" t="s">
        <v>29</v>
      </c>
      <c r="F40" t="s">
        <v>30</v>
      </c>
      <c r="G40" t="s">
        <v>31</v>
      </c>
      <c r="H40" t="s">
        <v>32</v>
      </c>
      <c r="I40">
        <v>1601.0561359999999</v>
      </c>
      <c r="J40" t="s">
        <v>33</v>
      </c>
      <c r="K40" t="s">
        <v>81</v>
      </c>
      <c r="L40" t="s">
        <v>21</v>
      </c>
      <c r="M40" t="str">
        <f t="shared" si="0"/>
        <v>OK</v>
      </c>
      <c r="N40" t="str">
        <f t="shared" si="1"/>
        <v>1950s</v>
      </c>
      <c r="O40" t="str">
        <f t="shared" si="2"/>
        <v>N/A</v>
      </c>
      <c r="P40" t="str">
        <f>VLOOKUP(E40,calculated_fields!$F$4:$G$6,2,FALSE)</f>
        <v>Economy</v>
      </c>
    </row>
    <row r="41" spans="1:16">
      <c r="A41" t="s">
        <v>84</v>
      </c>
      <c r="B41" t="s">
        <v>79</v>
      </c>
      <c r="C41" t="s">
        <v>80</v>
      </c>
      <c r="D41">
        <v>1957</v>
      </c>
      <c r="E41" t="s">
        <v>15</v>
      </c>
      <c r="F41" t="s">
        <v>16</v>
      </c>
      <c r="G41" t="s">
        <v>17</v>
      </c>
      <c r="H41" t="s">
        <v>18</v>
      </c>
      <c r="I41">
        <v>59.28</v>
      </c>
      <c r="J41" t="s">
        <v>19</v>
      </c>
      <c r="K41" t="s">
        <v>85</v>
      </c>
      <c r="L41" t="s">
        <v>21</v>
      </c>
      <c r="M41" t="str">
        <f t="shared" si="0"/>
        <v>OK</v>
      </c>
      <c r="N41" t="str">
        <f t="shared" si="1"/>
        <v>1950s</v>
      </c>
      <c r="O41" t="str">
        <f t="shared" si="2"/>
        <v>Medium</v>
      </c>
      <c r="P41" t="str">
        <f>VLOOKUP(E41,calculated_fields!$F$4:$G$6,2,FALSE)</f>
        <v>Health</v>
      </c>
    </row>
    <row r="42" spans="1:16">
      <c r="A42" t="s">
        <v>86</v>
      </c>
      <c r="B42" t="s">
        <v>79</v>
      </c>
      <c r="C42" t="s">
        <v>80</v>
      </c>
      <c r="D42">
        <v>1957</v>
      </c>
      <c r="E42" t="s">
        <v>23</v>
      </c>
      <c r="F42" t="s">
        <v>24</v>
      </c>
      <c r="G42" t="s">
        <v>25</v>
      </c>
      <c r="H42" t="s">
        <v>26</v>
      </c>
      <c r="I42">
        <v>1476505</v>
      </c>
      <c r="J42" t="s">
        <v>27</v>
      </c>
      <c r="K42" t="s">
        <v>85</v>
      </c>
      <c r="L42" t="s">
        <v>21</v>
      </c>
      <c r="M42" t="str">
        <f t="shared" si="0"/>
        <v>OK</v>
      </c>
      <c r="N42" t="str">
        <f t="shared" si="1"/>
        <v>1950s</v>
      </c>
      <c r="O42" t="str">
        <f t="shared" si="2"/>
        <v>N/A</v>
      </c>
      <c r="P42" t="str">
        <f>VLOOKUP(E42,calculated_fields!$F$4:$G$6,2,FALSE)</f>
        <v>Demographics</v>
      </c>
    </row>
    <row r="43" spans="1:16">
      <c r="A43" t="s">
        <v>87</v>
      </c>
      <c r="B43" t="s">
        <v>79</v>
      </c>
      <c r="C43" t="s">
        <v>80</v>
      </c>
      <c r="D43">
        <v>1957</v>
      </c>
      <c r="E43" t="s">
        <v>29</v>
      </c>
      <c r="F43" t="s">
        <v>30</v>
      </c>
      <c r="G43" t="s">
        <v>31</v>
      </c>
      <c r="H43" t="s">
        <v>32</v>
      </c>
      <c r="I43">
        <v>1942.2842439999999</v>
      </c>
      <c r="J43" t="s">
        <v>33</v>
      </c>
      <c r="K43" t="s">
        <v>85</v>
      </c>
      <c r="L43" t="s">
        <v>21</v>
      </c>
      <c r="M43" t="str">
        <f t="shared" si="0"/>
        <v>OK</v>
      </c>
      <c r="N43" t="str">
        <f t="shared" si="1"/>
        <v>1950s</v>
      </c>
      <c r="O43" t="str">
        <f t="shared" si="2"/>
        <v>N/A</v>
      </c>
      <c r="P43" t="str">
        <f>VLOOKUP(E43,calculated_fields!$F$4:$G$6,2,FALSE)</f>
        <v>Economy</v>
      </c>
    </row>
    <row r="44" spans="1:16">
      <c r="A44" t="s">
        <v>88</v>
      </c>
      <c r="B44" t="s">
        <v>79</v>
      </c>
      <c r="C44" t="s">
        <v>80</v>
      </c>
      <c r="D44">
        <v>1962</v>
      </c>
      <c r="E44" t="s">
        <v>15</v>
      </c>
      <c r="F44" t="s">
        <v>16</v>
      </c>
      <c r="G44" t="s">
        <v>17</v>
      </c>
      <c r="H44" t="s">
        <v>18</v>
      </c>
      <c r="I44">
        <v>64.819999999999993</v>
      </c>
      <c r="J44" t="s">
        <v>19</v>
      </c>
      <c r="K44" t="s">
        <v>89</v>
      </c>
      <c r="L44" t="s">
        <v>21</v>
      </c>
      <c r="M44" t="str">
        <f t="shared" si="0"/>
        <v>OK</v>
      </c>
      <c r="N44" t="str">
        <f t="shared" si="1"/>
        <v>1960s</v>
      </c>
      <c r="O44" t="str">
        <f t="shared" si="2"/>
        <v>Medium</v>
      </c>
      <c r="P44" t="str">
        <f>VLOOKUP(E44,calculated_fields!$F$4:$G$6,2,FALSE)</f>
        <v>Health</v>
      </c>
    </row>
    <row r="45" spans="1:16">
      <c r="A45" t="s">
        <v>90</v>
      </c>
      <c r="B45" t="s">
        <v>79</v>
      </c>
      <c r="C45" t="s">
        <v>80</v>
      </c>
      <c r="D45">
        <v>1962</v>
      </c>
      <c r="E45" t="s">
        <v>23</v>
      </c>
      <c r="F45" t="s">
        <v>24</v>
      </c>
      <c r="G45" t="s">
        <v>25</v>
      </c>
      <c r="H45" t="s">
        <v>26</v>
      </c>
      <c r="I45">
        <v>1728137</v>
      </c>
      <c r="J45" t="s">
        <v>27</v>
      </c>
      <c r="K45" t="s">
        <v>89</v>
      </c>
      <c r="L45" t="s">
        <v>21</v>
      </c>
      <c r="M45" t="str">
        <f t="shared" si="0"/>
        <v>OK</v>
      </c>
      <c r="N45" t="str">
        <f t="shared" si="1"/>
        <v>1960s</v>
      </c>
      <c r="O45" t="str">
        <f t="shared" si="2"/>
        <v>N/A</v>
      </c>
      <c r="P45" t="str">
        <f>VLOOKUP(E45,calculated_fields!$F$4:$G$6,2,FALSE)</f>
        <v>Demographics</v>
      </c>
    </row>
    <row r="46" spans="1:16">
      <c r="A46" t="s">
        <v>91</v>
      </c>
      <c r="B46" t="s">
        <v>79</v>
      </c>
      <c r="C46" t="s">
        <v>80</v>
      </c>
      <c r="D46">
        <v>1962</v>
      </c>
      <c r="E46" t="s">
        <v>29</v>
      </c>
      <c r="F46" t="s">
        <v>30</v>
      </c>
      <c r="G46" t="s">
        <v>31</v>
      </c>
      <c r="H46" t="s">
        <v>32</v>
      </c>
      <c r="I46">
        <v>2312.888958</v>
      </c>
      <c r="J46" t="s">
        <v>33</v>
      </c>
      <c r="K46" t="s">
        <v>89</v>
      </c>
      <c r="L46" t="s">
        <v>21</v>
      </c>
      <c r="M46" t="str">
        <f t="shared" si="0"/>
        <v>OK</v>
      </c>
      <c r="N46" t="str">
        <f t="shared" si="1"/>
        <v>1960s</v>
      </c>
      <c r="O46" t="str">
        <f t="shared" si="2"/>
        <v>N/A</v>
      </c>
      <c r="P46" t="str">
        <f>VLOOKUP(E46,calculated_fields!$F$4:$G$6,2,FALSE)</f>
        <v>Economy</v>
      </c>
    </row>
    <row r="47" spans="1:16">
      <c r="A47" t="s">
        <v>92</v>
      </c>
      <c r="B47" t="s">
        <v>79</v>
      </c>
      <c r="C47" t="s">
        <v>80</v>
      </c>
      <c r="D47">
        <v>1967</v>
      </c>
      <c r="E47" t="s">
        <v>15</v>
      </c>
      <c r="F47" t="s">
        <v>16</v>
      </c>
      <c r="G47" t="s">
        <v>17</v>
      </c>
      <c r="H47" t="s">
        <v>18</v>
      </c>
      <c r="I47">
        <v>66.22</v>
      </c>
      <c r="J47" t="s">
        <v>19</v>
      </c>
      <c r="K47" t="s">
        <v>93</v>
      </c>
      <c r="L47" t="s">
        <v>21</v>
      </c>
      <c r="M47" t="str">
        <f t="shared" si="0"/>
        <v>OK</v>
      </c>
      <c r="N47" t="str">
        <f t="shared" si="1"/>
        <v>1960s</v>
      </c>
      <c r="O47" t="str">
        <f t="shared" si="2"/>
        <v>Medium</v>
      </c>
      <c r="P47" t="str">
        <f>VLOOKUP(E47,calculated_fields!$F$4:$G$6,2,FALSE)</f>
        <v>Health</v>
      </c>
    </row>
    <row r="48" spans="1:16">
      <c r="A48" t="s">
        <v>94</v>
      </c>
      <c r="B48" t="s">
        <v>79</v>
      </c>
      <c r="C48" t="s">
        <v>80</v>
      </c>
      <c r="D48">
        <v>1967</v>
      </c>
      <c r="E48" t="s">
        <v>23</v>
      </c>
      <c r="F48" t="s">
        <v>24</v>
      </c>
      <c r="G48" t="s">
        <v>25</v>
      </c>
      <c r="H48" t="s">
        <v>26</v>
      </c>
      <c r="I48">
        <v>1984060</v>
      </c>
      <c r="J48" t="s">
        <v>27</v>
      </c>
      <c r="K48" t="s">
        <v>93</v>
      </c>
      <c r="L48" t="s">
        <v>21</v>
      </c>
      <c r="M48" t="str">
        <f t="shared" si="0"/>
        <v>OK</v>
      </c>
      <c r="N48" t="str">
        <f t="shared" si="1"/>
        <v>1960s</v>
      </c>
      <c r="O48" t="str">
        <f t="shared" si="2"/>
        <v>N/A</v>
      </c>
      <c r="P48" t="str">
        <f>VLOOKUP(E48,calculated_fields!$F$4:$G$6,2,FALSE)</f>
        <v>Demographics</v>
      </c>
    </row>
    <row r="49" spans="1:16">
      <c r="A49" t="s">
        <v>95</v>
      </c>
      <c r="B49" t="s">
        <v>79</v>
      </c>
      <c r="C49" t="s">
        <v>80</v>
      </c>
      <c r="D49">
        <v>1967</v>
      </c>
      <c r="E49" t="s">
        <v>29</v>
      </c>
      <c r="F49" t="s">
        <v>30</v>
      </c>
      <c r="G49" t="s">
        <v>31</v>
      </c>
      <c r="H49" t="s">
        <v>32</v>
      </c>
      <c r="I49">
        <v>2760.1969309999999</v>
      </c>
      <c r="J49" t="s">
        <v>33</v>
      </c>
      <c r="K49" t="s">
        <v>93</v>
      </c>
      <c r="L49" t="s">
        <v>21</v>
      </c>
      <c r="M49" t="str">
        <f t="shared" si="0"/>
        <v>OK</v>
      </c>
      <c r="N49" t="str">
        <f t="shared" si="1"/>
        <v>1960s</v>
      </c>
      <c r="O49" t="str">
        <f t="shared" si="2"/>
        <v>N/A</v>
      </c>
      <c r="P49" t="str">
        <f>VLOOKUP(E49,calculated_fields!$F$4:$G$6,2,FALSE)</f>
        <v>Economy</v>
      </c>
    </row>
    <row r="50" spans="1:16">
      <c r="A50" t="s">
        <v>96</v>
      </c>
      <c r="B50" t="s">
        <v>79</v>
      </c>
      <c r="C50" t="s">
        <v>80</v>
      </c>
      <c r="D50">
        <v>1972</v>
      </c>
      <c r="E50" t="s">
        <v>15</v>
      </c>
      <c r="F50" t="s">
        <v>16</v>
      </c>
      <c r="G50" t="s">
        <v>17</v>
      </c>
      <c r="H50" t="s">
        <v>18</v>
      </c>
      <c r="I50">
        <v>67.69</v>
      </c>
      <c r="J50" t="s">
        <v>19</v>
      </c>
      <c r="K50" t="s">
        <v>97</v>
      </c>
      <c r="L50" t="s">
        <v>21</v>
      </c>
      <c r="M50" t="str">
        <f t="shared" si="0"/>
        <v>OK</v>
      </c>
      <c r="N50" t="str">
        <f t="shared" si="1"/>
        <v>1970s</v>
      </c>
      <c r="O50" t="str">
        <f t="shared" si="2"/>
        <v>Medium</v>
      </c>
      <c r="P50" t="str">
        <f>VLOOKUP(E50,calculated_fields!$F$4:$G$6,2,FALSE)</f>
        <v>Health</v>
      </c>
    </row>
    <row r="51" spans="1:16">
      <c r="A51" t="s">
        <v>98</v>
      </c>
      <c r="B51" t="s">
        <v>79</v>
      </c>
      <c r="C51" t="s">
        <v>80</v>
      </c>
      <c r="D51">
        <v>1972</v>
      </c>
      <c r="E51" t="s">
        <v>23</v>
      </c>
      <c r="F51" t="s">
        <v>24</v>
      </c>
      <c r="G51" t="s">
        <v>25</v>
      </c>
      <c r="H51" t="s">
        <v>26</v>
      </c>
      <c r="I51">
        <v>2263554</v>
      </c>
      <c r="J51" t="s">
        <v>27</v>
      </c>
      <c r="K51" t="s">
        <v>97</v>
      </c>
      <c r="L51" t="s">
        <v>21</v>
      </c>
      <c r="M51" t="str">
        <f t="shared" si="0"/>
        <v>OK</v>
      </c>
      <c r="N51" t="str">
        <f t="shared" si="1"/>
        <v>1970s</v>
      </c>
      <c r="O51" t="str">
        <f t="shared" si="2"/>
        <v>N/A</v>
      </c>
      <c r="P51" t="str">
        <f>VLOOKUP(E51,calculated_fields!$F$4:$G$6,2,FALSE)</f>
        <v>Demographics</v>
      </c>
    </row>
    <row r="52" spans="1:16">
      <c r="A52" t="s">
        <v>99</v>
      </c>
      <c r="B52" t="s">
        <v>79</v>
      </c>
      <c r="C52" t="s">
        <v>80</v>
      </c>
      <c r="D52">
        <v>1972</v>
      </c>
      <c r="E52" t="s">
        <v>29</v>
      </c>
      <c r="F52" t="s">
        <v>30</v>
      </c>
      <c r="G52" t="s">
        <v>31</v>
      </c>
      <c r="H52" t="s">
        <v>32</v>
      </c>
      <c r="I52">
        <v>3313.422188</v>
      </c>
      <c r="J52" t="s">
        <v>33</v>
      </c>
      <c r="K52" t="s">
        <v>97</v>
      </c>
      <c r="L52" t="s">
        <v>21</v>
      </c>
      <c r="M52" t="str">
        <f t="shared" si="0"/>
        <v>OK</v>
      </c>
      <c r="N52" t="str">
        <f t="shared" si="1"/>
        <v>1970s</v>
      </c>
      <c r="O52" t="str">
        <f t="shared" si="2"/>
        <v>N/A</v>
      </c>
      <c r="P52" t="str">
        <f>VLOOKUP(E52,calculated_fields!$F$4:$G$6,2,FALSE)</f>
        <v>Economy</v>
      </c>
    </row>
    <row r="53" spans="1:16">
      <c r="A53" t="s">
        <v>100</v>
      </c>
      <c r="B53" t="s">
        <v>79</v>
      </c>
      <c r="C53" t="s">
        <v>80</v>
      </c>
      <c r="D53">
        <v>1977</v>
      </c>
      <c r="E53" t="s">
        <v>15</v>
      </c>
      <c r="F53" t="s">
        <v>16</v>
      </c>
      <c r="G53" t="s">
        <v>17</v>
      </c>
      <c r="H53" t="s">
        <v>18</v>
      </c>
      <c r="I53">
        <v>68.930000000000007</v>
      </c>
      <c r="J53" t="s">
        <v>19</v>
      </c>
      <c r="K53" t="s">
        <v>101</v>
      </c>
      <c r="L53" t="s">
        <v>21</v>
      </c>
      <c r="M53" t="str">
        <f t="shared" si="0"/>
        <v>OK</v>
      </c>
      <c r="N53" t="str">
        <f t="shared" si="1"/>
        <v>1970s</v>
      </c>
      <c r="O53" t="str">
        <f t="shared" si="2"/>
        <v>Medium</v>
      </c>
      <c r="P53" t="str">
        <f>VLOOKUP(E53,calculated_fields!$F$4:$G$6,2,FALSE)</f>
        <v>Health</v>
      </c>
    </row>
    <row r="54" spans="1:16">
      <c r="A54" t="s">
        <v>102</v>
      </c>
      <c r="B54" t="s">
        <v>79</v>
      </c>
      <c r="C54" t="s">
        <v>80</v>
      </c>
      <c r="D54">
        <v>1977</v>
      </c>
      <c r="E54" t="s">
        <v>23</v>
      </c>
      <c r="F54" t="s">
        <v>24</v>
      </c>
      <c r="G54" t="s">
        <v>25</v>
      </c>
      <c r="H54" t="s">
        <v>26</v>
      </c>
      <c r="I54">
        <v>2509048</v>
      </c>
      <c r="J54" t="s">
        <v>27</v>
      </c>
      <c r="K54" t="s">
        <v>101</v>
      </c>
      <c r="L54" t="s">
        <v>21</v>
      </c>
      <c r="M54" t="str">
        <f t="shared" si="0"/>
        <v>OK</v>
      </c>
      <c r="N54" t="str">
        <f t="shared" si="1"/>
        <v>1970s</v>
      </c>
      <c r="O54" t="str">
        <f t="shared" si="2"/>
        <v>N/A</v>
      </c>
      <c r="P54" t="str">
        <f>VLOOKUP(E54,calculated_fields!$F$4:$G$6,2,FALSE)</f>
        <v>Demographics</v>
      </c>
    </row>
    <row r="55" spans="1:16">
      <c r="A55" t="s">
        <v>103</v>
      </c>
      <c r="B55" t="s">
        <v>79</v>
      </c>
      <c r="C55" t="s">
        <v>80</v>
      </c>
      <c r="D55">
        <v>1977</v>
      </c>
      <c r="E55" t="s">
        <v>29</v>
      </c>
      <c r="F55" t="s">
        <v>30</v>
      </c>
      <c r="G55" t="s">
        <v>31</v>
      </c>
      <c r="H55" t="s">
        <v>32</v>
      </c>
      <c r="I55">
        <v>3533.0039099999999</v>
      </c>
      <c r="J55" t="s">
        <v>33</v>
      </c>
      <c r="K55" t="s">
        <v>101</v>
      </c>
      <c r="L55" t="s">
        <v>21</v>
      </c>
      <c r="M55" t="str">
        <f t="shared" si="0"/>
        <v>OK</v>
      </c>
      <c r="N55" t="str">
        <f t="shared" si="1"/>
        <v>1970s</v>
      </c>
      <c r="O55" t="str">
        <f t="shared" si="2"/>
        <v>N/A</v>
      </c>
      <c r="P55" t="str">
        <f>VLOOKUP(E55,calculated_fields!$F$4:$G$6,2,FALSE)</f>
        <v>Economy</v>
      </c>
    </row>
    <row r="56" spans="1:16">
      <c r="A56" t="s">
        <v>104</v>
      </c>
      <c r="B56" t="s">
        <v>79</v>
      </c>
      <c r="C56" t="s">
        <v>80</v>
      </c>
      <c r="D56">
        <v>1982</v>
      </c>
      <c r="E56" t="s">
        <v>15</v>
      </c>
      <c r="F56" t="s">
        <v>16</v>
      </c>
      <c r="G56" t="s">
        <v>17</v>
      </c>
      <c r="H56" t="s">
        <v>18</v>
      </c>
      <c r="I56">
        <v>70.42</v>
      </c>
      <c r="J56" t="s">
        <v>19</v>
      </c>
      <c r="K56" t="s">
        <v>105</v>
      </c>
      <c r="L56" t="s">
        <v>21</v>
      </c>
      <c r="M56" t="str">
        <f t="shared" si="0"/>
        <v>OK</v>
      </c>
      <c r="N56" t="str">
        <f t="shared" si="1"/>
        <v>1980s</v>
      </c>
      <c r="O56" t="str">
        <f t="shared" si="2"/>
        <v>High</v>
      </c>
      <c r="P56" t="str">
        <f>VLOOKUP(E56,calculated_fields!$F$4:$G$6,2,FALSE)</f>
        <v>Health</v>
      </c>
    </row>
    <row r="57" spans="1:16">
      <c r="A57" t="s">
        <v>106</v>
      </c>
      <c r="B57" t="s">
        <v>79</v>
      </c>
      <c r="C57" t="s">
        <v>80</v>
      </c>
      <c r="D57">
        <v>1982</v>
      </c>
      <c r="E57" t="s">
        <v>23</v>
      </c>
      <c r="F57" t="s">
        <v>24</v>
      </c>
      <c r="G57" t="s">
        <v>25</v>
      </c>
      <c r="H57" t="s">
        <v>26</v>
      </c>
      <c r="I57">
        <v>2780097</v>
      </c>
      <c r="J57" t="s">
        <v>27</v>
      </c>
      <c r="K57" t="s">
        <v>105</v>
      </c>
      <c r="L57" t="s">
        <v>21</v>
      </c>
      <c r="M57" t="str">
        <f t="shared" si="0"/>
        <v>OK</v>
      </c>
      <c r="N57" t="str">
        <f t="shared" si="1"/>
        <v>1980s</v>
      </c>
      <c r="O57" t="str">
        <f t="shared" si="2"/>
        <v>N/A</v>
      </c>
      <c r="P57" t="str">
        <f>VLOOKUP(E57,calculated_fields!$F$4:$G$6,2,FALSE)</f>
        <v>Demographics</v>
      </c>
    </row>
    <row r="58" spans="1:16">
      <c r="A58" t="s">
        <v>107</v>
      </c>
      <c r="B58" t="s">
        <v>79</v>
      </c>
      <c r="C58" t="s">
        <v>80</v>
      </c>
      <c r="D58">
        <v>1982</v>
      </c>
      <c r="E58" t="s">
        <v>29</v>
      </c>
      <c r="F58" t="s">
        <v>30</v>
      </c>
      <c r="G58" t="s">
        <v>31</v>
      </c>
      <c r="H58" t="s">
        <v>32</v>
      </c>
      <c r="I58">
        <v>3630.8807219999999</v>
      </c>
      <c r="J58" t="s">
        <v>33</v>
      </c>
      <c r="K58" t="s">
        <v>105</v>
      </c>
      <c r="L58" t="s">
        <v>21</v>
      </c>
      <c r="M58" t="str">
        <f t="shared" si="0"/>
        <v>OK</v>
      </c>
      <c r="N58" t="str">
        <f t="shared" si="1"/>
        <v>1980s</v>
      </c>
      <c r="O58" t="str">
        <f t="shared" si="2"/>
        <v>N/A</v>
      </c>
      <c r="P58" t="str">
        <f>VLOOKUP(E58,calculated_fields!$F$4:$G$6,2,FALSE)</f>
        <v>Economy</v>
      </c>
    </row>
    <row r="59" spans="1:16">
      <c r="A59" t="s">
        <v>108</v>
      </c>
      <c r="B59" t="s">
        <v>79</v>
      </c>
      <c r="C59" t="s">
        <v>80</v>
      </c>
      <c r="D59">
        <v>1987</v>
      </c>
      <c r="E59" t="s">
        <v>15</v>
      </c>
      <c r="F59" t="s">
        <v>16</v>
      </c>
      <c r="G59" t="s">
        <v>17</v>
      </c>
      <c r="H59" t="s">
        <v>18</v>
      </c>
      <c r="I59">
        <v>72</v>
      </c>
      <c r="J59" t="s">
        <v>19</v>
      </c>
      <c r="K59" t="s">
        <v>109</v>
      </c>
      <c r="L59" t="s">
        <v>21</v>
      </c>
      <c r="M59" t="str">
        <f t="shared" si="0"/>
        <v>OK</v>
      </c>
      <c r="N59" t="str">
        <f t="shared" si="1"/>
        <v>1980s</v>
      </c>
      <c r="O59" t="str">
        <f t="shared" si="2"/>
        <v>High</v>
      </c>
      <c r="P59" t="str">
        <f>VLOOKUP(E59,calculated_fields!$F$4:$G$6,2,FALSE)</f>
        <v>Health</v>
      </c>
    </row>
    <row r="60" spans="1:16">
      <c r="A60" t="s">
        <v>110</v>
      </c>
      <c r="B60" t="s">
        <v>79</v>
      </c>
      <c r="C60" t="s">
        <v>80</v>
      </c>
      <c r="D60">
        <v>1987</v>
      </c>
      <c r="E60" t="s">
        <v>23</v>
      </c>
      <c r="F60" t="s">
        <v>24</v>
      </c>
      <c r="G60" t="s">
        <v>25</v>
      </c>
      <c r="H60" t="s">
        <v>26</v>
      </c>
      <c r="I60">
        <v>3075321</v>
      </c>
      <c r="J60" t="s">
        <v>27</v>
      </c>
      <c r="K60" t="s">
        <v>109</v>
      </c>
      <c r="L60" t="s">
        <v>21</v>
      </c>
      <c r="M60" t="str">
        <f t="shared" si="0"/>
        <v>OK</v>
      </c>
      <c r="N60" t="str">
        <f t="shared" si="1"/>
        <v>1980s</v>
      </c>
      <c r="O60" t="str">
        <f t="shared" si="2"/>
        <v>N/A</v>
      </c>
      <c r="P60" t="str">
        <f>VLOOKUP(E60,calculated_fields!$F$4:$G$6,2,FALSE)</f>
        <v>Demographics</v>
      </c>
    </row>
    <row r="61" spans="1:16">
      <c r="A61" t="s">
        <v>111</v>
      </c>
      <c r="B61" t="s">
        <v>79</v>
      </c>
      <c r="C61" t="s">
        <v>80</v>
      </c>
      <c r="D61">
        <v>1987</v>
      </c>
      <c r="E61" t="s">
        <v>29</v>
      </c>
      <c r="F61" t="s">
        <v>30</v>
      </c>
      <c r="G61" t="s">
        <v>31</v>
      </c>
      <c r="H61" t="s">
        <v>32</v>
      </c>
      <c r="I61">
        <v>3738.9327349999999</v>
      </c>
      <c r="J61" t="s">
        <v>33</v>
      </c>
      <c r="K61" t="s">
        <v>109</v>
      </c>
      <c r="L61" t="s">
        <v>21</v>
      </c>
      <c r="M61" t="str">
        <f t="shared" si="0"/>
        <v>OK</v>
      </c>
      <c r="N61" t="str">
        <f t="shared" si="1"/>
        <v>1980s</v>
      </c>
      <c r="O61" t="str">
        <f t="shared" si="2"/>
        <v>N/A</v>
      </c>
      <c r="P61" t="str">
        <f>VLOOKUP(E61,calculated_fields!$F$4:$G$6,2,FALSE)</f>
        <v>Economy</v>
      </c>
    </row>
    <row r="62" spans="1:16">
      <c r="A62" t="s">
        <v>112</v>
      </c>
      <c r="B62" t="s">
        <v>79</v>
      </c>
      <c r="C62" t="s">
        <v>80</v>
      </c>
      <c r="D62">
        <v>1992</v>
      </c>
      <c r="E62" t="s">
        <v>15</v>
      </c>
      <c r="F62" t="s">
        <v>16</v>
      </c>
      <c r="G62" t="s">
        <v>17</v>
      </c>
      <c r="H62" t="s">
        <v>18</v>
      </c>
      <c r="I62">
        <v>71.581000000000003</v>
      </c>
      <c r="J62" t="s">
        <v>19</v>
      </c>
      <c r="K62" t="s">
        <v>113</v>
      </c>
      <c r="L62" t="s">
        <v>21</v>
      </c>
      <c r="M62" t="str">
        <f t="shared" si="0"/>
        <v>OK</v>
      </c>
      <c r="N62" t="str">
        <f t="shared" si="1"/>
        <v>1990s</v>
      </c>
      <c r="O62" t="str">
        <f t="shared" si="2"/>
        <v>High</v>
      </c>
      <c r="P62" t="str">
        <f>VLOOKUP(E62,calculated_fields!$F$4:$G$6,2,FALSE)</f>
        <v>Health</v>
      </c>
    </row>
    <row r="63" spans="1:16">
      <c r="A63" t="s">
        <v>114</v>
      </c>
      <c r="B63" t="s">
        <v>79</v>
      </c>
      <c r="C63" t="s">
        <v>80</v>
      </c>
      <c r="D63">
        <v>1992</v>
      </c>
      <c r="E63" t="s">
        <v>23</v>
      </c>
      <c r="F63" t="s">
        <v>24</v>
      </c>
      <c r="G63" t="s">
        <v>25</v>
      </c>
      <c r="H63" t="s">
        <v>26</v>
      </c>
      <c r="I63">
        <v>3326498</v>
      </c>
      <c r="J63" t="s">
        <v>27</v>
      </c>
      <c r="K63" t="s">
        <v>113</v>
      </c>
      <c r="L63" t="s">
        <v>21</v>
      </c>
      <c r="M63" t="str">
        <f t="shared" si="0"/>
        <v>OK</v>
      </c>
      <c r="N63" t="str">
        <f t="shared" si="1"/>
        <v>1990s</v>
      </c>
      <c r="O63" t="str">
        <f t="shared" si="2"/>
        <v>N/A</v>
      </c>
      <c r="P63" t="str">
        <f>VLOOKUP(E63,calculated_fields!$F$4:$G$6,2,FALSE)</f>
        <v>Demographics</v>
      </c>
    </row>
    <row r="64" spans="1:16">
      <c r="A64" t="s">
        <v>115</v>
      </c>
      <c r="B64" t="s">
        <v>79</v>
      </c>
      <c r="C64" t="s">
        <v>80</v>
      </c>
      <c r="D64">
        <v>1992</v>
      </c>
      <c r="E64" t="s">
        <v>29</v>
      </c>
      <c r="F64" t="s">
        <v>30</v>
      </c>
      <c r="G64" t="s">
        <v>31</v>
      </c>
      <c r="H64" t="s">
        <v>32</v>
      </c>
      <c r="I64">
        <v>2497.4379009999998</v>
      </c>
      <c r="J64" t="s">
        <v>33</v>
      </c>
      <c r="K64" t="s">
        <v>113</v>
      </c>
      <c r="L64" t="s">
        <v>21</v>
      </c>
      <c r="M64" t="str">
        <f t="shared" si="0"/>
        <v>OK</v>
      </c>
      <c r="N64" t="str">
        <f t="shared" si="1"/>
        <v>1990s</v>
      </c>
      <c r="O64" t="str">
        <f t="shared" si="2"/>
        <v>N/A</v>
      </c>
      <c r="P64" t="str">
        <f>VLOOKUP(E64,calculated_fields!$F$4:$G$6,2,FALSE)</f>
        <v>Economy</v>
      </c>
    </row>
    <row r="65" spans="1:16">
      <c r="A65" t="s">
        <v>116</v>
      </c>
      <c r="B65" t="s">
        <v>79</v>
      </c>
      <c r="C65" t="s">
        <v>80</v>
      </c>
      <c r="D65">
        <v>1997</v>
      </c>
      <c r="E65" t="s">
        <v>15</v>
      </c>
      <c r="F65" t="s">
        <v>16</v>
      </c>
      <c r="G65" t="s">
        <v>17</v>
      </c>
      <c r="H65" t="s">
        <v>18</v>
      </c>
      <c r="I65">
        <v>72.95</v>
      </c>
      <c r="J65" t="s">
        <v>19</v>
      </c>
      <c r="K65" t="s">
        <v>117</v>
      </c>
      <c r="L65" t="s">
        <v>21</v>
      </c>
      <c r="M65" t="str">
        <f t="shared" si="0"/>
        <v>OK</v>
      </c>
      <c r="N65" t="str">
        <f t="shared" si="1"/>
        <v>1990s</v>
      </c>
      <c r="O65" t="str">
        <f t="shared" si="2"/>
        <v>High</v>
      </c>
      <c r="P65" t="str">
        <f>VLOOKUP(E65,calculated_fields!$F$4:$G$6,2,FALSE)</f>
        <v>Health</v>
      </c>
    </row>
    <row r="66" spans="1:16">
      <c r="A66" t="s">
        <v>118</v>
      </c>
      <c r="B66" t="s">
        <v>79</v>
      </c>
      <c r="C66" t="s">
        <v>80</v>
      </c>
      <c r="D66">
        <v>1997</v>
      </c>
      <c r="E66" t="s">
        <v>23</v>
      </c>
      <c r="F66" t="s">
        <v>24</v>
      </c>
      <c r="G66" t="s">
        <v>25</v>
      </c>
      <c r="H66" t="s">
        <v>26</v>
      </c>
      <c r="I66">
        <v>3428038</v>
      </c>
      <c r="J66" t="s">
        <v>27</v>
      </c>
      <c r="K66" t="s">
        <v>117</v>
      </c>
      <c r="L66" t="s">
        <v>21</v>
      </c>
      <c r="M66" t="str">
        <f t="shared" ref="M66:M129" si="3">IF(AND(ISNUMBER(I66),I66&gt;=0),"OK","Review")</f>
        <v>OK</v>
      </c>
      <c r="N66" t="str">
        <f t="shared" ref="N66:N129" si="4">FLOOR(D66,10)&amp;"s"</f>
        <v>1990s</v>
      </c>
      <c r="O66" t="str">
        <f t="shared" ref="O66:O129" si="5">IF(E66="LIFE_EXP",IF(I66&gt;=70,"High",IF(I66&gt;=55,"Medium","Low")),"N/A")</f>
        <v>N/A</v>
      </c>
      <c r="P66" t="str">
        <f>VLOOKUP(E66,calculated_fields!$F$4:$G$6,2,FALSE)</f>
        <v>Demographics</v>
      </c>
    </row>
    <row r="67" spans="1:16">
      <c r="A67" t="s">
        <v>119</v>
      </c>
      <c r="B67" t="s">
        <v>79</v>
      </c>
      <c r="C67" t="s">
        <v>80</v>
      </c>
      <c r="D67">
        <v>1997</v>
      </c>
      <c r="E67" t="s">
        <v>29</v>
      </c>
      <c r="F67" t="s">
        <v>30</v>
      </c>
      <c r="G67" t="s">
        <v>31</v>
      </c>
      <c r="H67" t="s">
        <v>32</v>
      </c>
      <c r="I67">
        <v>3193.0546039999999</v>
      </c>
      <c r="J67" t="s">
        <v>33</v>
      </c>
      <c r="K67" t="s">
        <v>117</v>
      </c>
      <c r="L67" t="s">
        <v>21</v>
      </c>
      <c r="M67" t="str">
        <f t="shared" si="3"/>
        <v>OK</v>
      </c>
      <c r="N67" t="str">
        <f t="shared" si="4"/>
        <v>1990s</v>
      </c>
      <c r="O67" t="str">
        <f t="shared" si="5"/>
        <v>N/A</v>
      </c>
      <c r="P67" t="str">
        <f>VLOOKUP(E67,calculated_fields!$F$4:$G$6,2,FALSE)</f>
        <v>Economy</v>
      </c>
    </row>
    <row r="68" spans="1:16">
      <c r="A68" t="s">
        <v>120</v>
      </c>
      <c r="B68" t="s">
        <v>79</v>
      </c>
      <c r="C68" t="s">
        <v>80</v>
      </c>
      <c r="D68">
        <v>2002</v>
      </c>
      <c r="E68" t="s">
        <v>15</v>
      </c>
      <c r="F68" t="s">
        <v>16</v>
      </c>
      <c r="G68" t="s">
        <v>17</v>
      </c>
      <c r="H68" t="s">
        <v>18</v>
      </c>
      <c r="I68">
        <v>75.650999999999996</v>
      </c>
      <c r="J68" t="s">
        <v>19</v>
      </c>
      <c r="K68" t="s">
        <v>121</v>
      </c>
      <c r="L68" t="s">
        <v>21</v>
      </c>
      <c r="M68" t="str">
        <f t="shared" si="3"/>
        <v>OK</v>
      </c>
      <c r="N68" t="str">
        <f t="shared" si="4"/>
        <v>2000s</v>
      </c>
      <c r="O68" t="str">
        <f t="shared" si="5"/>
        <v>High</v>
      </c>
      <c r="P68" t="str">
        <f>VLOOKUP(E68,calculated_fields!$F$4:$G$6,2,FALSE)</f>
        <v>Health</v>
      </c>
    </row>
    <row r="69" spans="1:16">
      <c r="A69" t="s">
        <v>122</v>
      </c>
      <c r="B69" t="s">
        <v>79</v>
      </c>
      <c r="C69" t="s">
        <v>80</v>
      </c>
      <c r="D69">
        <v>2002</v>
      </c>
      <c r="E69" t="s">
        <v>23</v>
      </c>
      <c r="F69" t="s">
        <v>24</v>
      </c>
      <c r="G69" t="s">
        <v>25</v>
      </c>
      <c r="H69" t="s">
        <v>26</v>
      </c>
      <c r="I69">
        <v>3508512</v>
      </c>
      <c r="J69" t="s">
        <v>27</v>
      </c>
      <c r="K69" t="s">
        <v>121</v>
      </c>
      <c r="L69" t="s">
        <v>21</v>
      </c>
      <c r="M69" t="str">
        <f t="shared" si="3"/>
        <v>OK</v>
      </c>
      <c r="N69" t="str">
        <f t="shared" si="4"/>
        <v>2000s</v>
      </c>
      <c r="O69" t="str">
        <f t="shared" si="5"/>
        <v>N/A</v>
      </c>
      <c r="P69" t="str">
        <f>VLOOKUP(E69,calculated_fields!$F$4:$G$6,2,FALSE)</f>
        <v>Demographics</v>
      </c>
    </row>
    <row r="70" spans="1:16">
      <c r="A70" t="s">
        <v>123</v>
      </c>
      <c r="B70" t="s">
        <v>79</v>
      </c>
      <c r="C70" t="s">
        <v>80</v>
      </c>
      <c r="D70">
        <v>2002</v>
      </c>
      <c r="E70" t="s">
        <v>29</v>
      </c>
      <c r="F70" t="s">
        <v>30</v>
      </c>
      <c r="G70" t="s">
        <v>31</v>
      </c>
      <c r="H70" t="s">
        <v>32</v>
      </c>
      <c r="I70">
        <v>4604.2117369999996</v>
      </c>
      <c r="J70" t="s">
        <v>33</v>
      </c>
      <c r="K70" t="s">
        <v>121</v>
      </c>
      <c r="L70" t="s">
        <v>21</v>
      </c>
      <c r="M70" t="str">
        <f t="shared" si="3"/>
        <v>OK</v>
      </c>
      <c r="N70" t="str">
        <f t="shared" si="4"/>
        <v>2000s</v>
      </c>
      <c r="O70" t="str">
        <f t="shared" si="5"/>
        <v>N/A</v>
      </c>
      <c r="P70" t="str">
        <f>VLOOKUP(E70,calculated_fields!$F$4:$G$6,2,FALSE)</f>
        <v>Economy</v>
      </c>
    </row>
    <row r="71" spans="1:16">
      <c r="A71" t="s">
        <v>124</v>
      </c>
      <c r="B71" t="s">
        <v>79</v>
      </c>
      <c r="C71" t="s">
        <v>80</v>
      </c>
      <c r="D71">
        <v>2007</v>
      </c>
      <c r="E71" t="s">
        <v>15</v>
      </c>
      <c r="F71" t="s">
        <v>16</v>
      </c>
      <c r="G71" t="s">
        <v>17</v>
      </c>
      <c r="H71" t="s">
        <v>18</v>
      </c>
      <c r="I71">
        <v>76.423000000000002</v>
      </c>
      <c r="J71" t="s">
        <v>19</v>
      </c>
      <c r="K71" t="s">
        <v>125</v>
      </c>
      <c r="L71" t="s">
        <v>21</v>
      </c>
      <c r="M71" t="str">
        <f t="shared" si="3"/>
        <v>OK</v>
      </c>
      <c r="N71" t="str">
        <f t="shared" si="4"/>
        <v>2000s</v>
      </c>
      <c r="O71" t="str">
        <f t="shared" si="5"/>
        <v>High</v>
      </c>
      <c r="P71" t="str">
        <f>VLOOKUP(E71,calculated_fields!$F$4:$G$6,2,FALSE)</f>
        <v>Health</v>
      </c>
    </row>
    <row r="72" spans="1:16">
      <c r="A72" t="s">
        <v>126</v>
      </c>
      <c r="B72" t="s">
        <v>79</v>
      </c>
      <c r="C72" t="s">
        <v>80</v>
      </c>
      <c r="D72">
        <v>2007</v>
      </c>
      <c r="E72" t="s">
        <v>23</v>
      </c>
      <c r="F72" t="s">
        <v>24</v>
      </c>
      <c r="G72" t="s">
        <v>25</v>
      </c>
      <c r="H72" t="s">
        <v>26</v>
      </c>
      <c r="I72">
        <v>3600523</v>
      </c>
      <c r="J72" t="s">
        <v>27</v>
      </c>
      <c r="K72" t="s">
        <v>125</v>
      </c>
      <c r="L72" t="s">
        <v>21</v>
      </c>
      <c r="M72" t="str">
        <f t="shared" si="3"/>
        <v>OK</v>
      </c>
      <c r="N72" t="str">
        <f t="shared" si="4"/>
        <v>2000s</v>
      </c>
      <c r="O72" t="str">
        <f t="shared" si="5"/>
        <v>N/A</v>
      </c>
      <c r="P72" t="str">
        <f>VLOOKUP(E72,calculated_fields!$F$4:$G$6,2,FALSE)</f>
        <v>Demographics</v>
      </c>
    </row>
    <row r="73" spans="1:16">
      <c r="A73" t="s">
        <v>127</v>
      </c>
      <c r="B73" t="s">
        <v>79</v>
      </c>
      <c r="C73" t="s">
        <v>80</v>
      </c>
      <c r="D73">
        <v>2007</v>
      </c>
      <c r="E73" t="s">
        <v>29</v>
      </c>
      <c r="F73" t="s">
        <v>30</v>
      </c>
      <c r="G73" t="s">
        <v>31</v>
      </c>
      <c r="H73" t="s">
        <v>32</v>
      </c>
      <c r="I73">
        <v>5937.0295259999903</v>
      </c>
      <c r="J73" t="s">
        <v>33</v>
      </c>
      <c r="K73" t="s">
        <v>125</v>
      </c>
      <c r="L73" t="s">
        <v>21</v>
      </c>
      <c r="M73" t="str">
        <f t="shared" si="3"/>
        <v>OK</v>
      </c>
      <c r="N73" t="str">
        <f t="shared" si="4"/>
        <v>2000s</v>
      </c>
      <c r="O73" t="str">
        <f t="shared" si="5"/>
        <v>N/A</v>
      </c>
      <c r="P73" t="str">
        <f>VLOOKUP(E73,calculated_fields!$F$4:$G$6,2,FALSE)</f>
        <v>Economy</v>
      </c>
    </row>
    <row r="74" spans="1:16">
      <c r="A74" t="s">
        <v>128</v>
      </c>
      <c r="B74" t="s">
        <v>129</v>
      </c>
      <c r="C74" t="s">
        <v>130</v>
      </c>
      <c r="D74">
        <v>1952</v>
      </c>
      <c r="E74" t="s">
        <v>15</v>
      </c>
      <c r="F74" t="s">
        <v>16</v>
      </c>
      <c r="G74" t="s">
        <v>17</v>
      </c>
      <c r="H74" t="s">
        <v>18</v>
      </c>
      <c r="I74">
        <v>43.076999999999998</v>
      </c>
      <c r="J74" t="s">
        <v>19</v>
      </c>
      <c r="K74" t="s">
        <v>131</v>
      </c>
      <c r="L74" t="s">
        <v>21</v>
      </c>
      <c r="M74" t="str">
        <f t="shared" si="3"/>
        <v>OK</v>
      </c>
      <c r="N74" t="str">
        <f t="shared" si="4"/>
        <v>1950s</v>
      </c>
      <c r="O74" t="str">
        <f t="shared" si="5"/>
        <v>Low</v>
      </c>
      <c r="P74" t="str">
        <f>VLOOKUP(E74,calculated_fields!$F$4:$G$6,2,FALSE)</f>
        <v>Health</v>
      </c>
    </row>
    <row r="75" spans="1:16">
      <c r="A75" t="s">
        <v>132</v>
      </c>
      <c r="B75" t="s">
        <v>129</v>
      </c>
      <c r="C75" t="s">
        <v>130</v>
      </c>
      <c r="D75">
        <v>1952</v>
      </c>
      <c r="E75" t="s">
        <v>23</v>
      </c>
      <c r="F75" t="s">
        <v>24</v>
      </c>
      <c r="G75" t="s">
        <v>25</v>
      </c>
      <c r="H75" t="s">
        <v>26</v>
      </c>
      <c r="I75">
        <v>9279525</v>
      </c>
      <c r="J75" t="s">
        <v>27</v>
      </c>
      <c r="K75" t="s">
        <v>131</v>
      </c>
      <c r="L75" t="s">
        <v>21</v>
      </c>
      <c r="M75" t="str">
        <f t="shared" si="3"/>
        <v>OK</v>
      </c>
      <c r="N75" t="str">
        <f t="shared" si="4"/>
        <v>1950s</v>
      </c>
      <c r="O75" t="str">
        <f t="shared" si="5"/>
        <v>N/A</v>
      </c>
      <c r="P75" t="str">
        <f>VLOOKUP(E75,calculated_fields!$F$4:$G$6,2,FALSE)</f>
        <v>Demographics</v>
      </c>
    </row>
    <row r="76" spans="1:16">
      <c r="A76" t="s">
        <v>133</v>
      </c>
      <c r="B76" t="s">
        <v>129</v>
      </c>
      <c r="C76" t="s">
        <v>130</v>
      </c>
      <c r="D76">
        <v>1952</v>
      </c>
      <c r="E76" t="s">
        <v>29</v>
      </c>
      <c r="F76" t="s">
        <v>30</v>
      </c>
      <c r="G76" t="s">
        <v>31</v>
      </c>
      <c r="H76" t="s">
        <v>32</v>
      </c>
      <c r="I76">
        <v>2449.0081850000001</v>
      </c>
      <c r="J76" t="s">
        <v>33</v>
      </c>
      <c r="K76" t="s">
        <v>131</v>
      </c>
      <c r="L76" t="s">
        <v>21</v>
      </c>
      <c r="M76" t="str">
        <f t="shared" si="3"/>
        <v>OK</v>
      </c>
      <c r="N76" t="str">
        <f t="shared" si="4"/>
        <v>1950s</v>
      </c>
      <c r="O76" t="str">
        <f t="shared" si="5"/>
        <v>N/A</v>
      </c>
      <c r="P76" t="str">
        <f>VLOOKUP(E76,calculated_fields!$F$4:$G$6,2,FALSE)</f>
        <v>Economy</v>
      </c>
    </row>
    <row r="77" spans="1:16">
      <c r="A77" t="s">
        <v>134</v>
      </c>
      <c r="B77" t="s">
        <v>129</v>
      </c>
      <c r="C77" t="s">
        <v>130</v>
      </c>
      <c r="D77">
        <v>1957</v>
      </c>
      <c r="E77" t="s">
        <v>15</v>
      </c>
      <c r="F77" t="s">
        <v>16</v>
      </c>
      <c r="G77" t="s">
        <v>17</v>
      </c>
      <c r="H77" t="s">
        <v>18</v>
      </c>
      <c r="I77">
        <v>45.685000000000002</v>
      </c>
      <c r="J77" t="s">
        <v>19</v>
      </c>
      <c r="K77" t="s">
        <v>135</v>
      </c>
      <c r="L77" t="s">
        <v>21</v>
      </c>
      <c r="M77" t="str">
        <f t="shared" si="3"/>
        <v>OK</v>
      </c>
      <c r="N77" t="str">
        <f t="shared" si="4"/>
        <v>1950s</v>
      </c>
      <c r="O77" t="str">
        <f t="shared" si="5"/>
        <v>Low</v>
      </c>
      <c r="P77" t="str">
        <f>VLOOKUP(E77,calculated_fields!$F$4:$G$6,2,FALSE)</f>
        <v>Health</v>
      </c>
    </row>
    <row r="78" spans="1:16">
      <c r="A78" t="s">
        <v>136</v>
      </c>
      <c r="B78" t="s">
        <v>129</v>
      </c>
      <c r="C78" t="s">
        <v>130</v>
      </c>
      <c r="D78">
        <v>1957</v>
      </c>
      <c r="E78" t="s">
        <v>23</v>
      </c>
      <c r="F78" t="s">
        <v>24</v>
      </c>
      <c r="G78" t="s">
        <v>25</v>
      </c>
      <c r="H78" t="s">
        <v>26</v>
      </c>
      <c r="I78">
        <v>10270856</v>
      </c>
      <c r="J78" t="s">
        <v>27</v>
      </c>
      <c r="K78" t="s">
        <v>135</v>
      </c>
      <c r="L78" t="s">
        <v>21</v>
      </c>
      <c r="M78" t="str">
        <f t="shared" si="3"/>
        <v>OK</v>
      </c>
      <c r="N78" t="str">
        <f t="shared" si="4"/>
        <v>1950s</v>
      </c>
      <c r="O78" t="str">
        <f t="shared" si="5"/>
        <v>N/A</v>
      </c>
      <c r="P78" t="str">
        <f>VLOOKUP(E78,calculated_fields!$F$4:$G$6,2,FALSE)</f>
        <v>Demographics</v>
      </c>
    </row>
    <row r="79" spans="1:16">
      <c r="A79" t="s">
        <v>137</v>
      </c>
      <c r="B79" t="s">
        <v>129</v>
      </c>
      <c r="C79" t="s">
        <v>130</v>
      </c>
      <c r="D79">
        <v>1957</v>
      </c>
      <c r="E79" t="s">
        <v>29</v>
      </c>
      <c r="F79" t="s">
        <v>30</v>
      </c>
      <c r="G79" t="s">
        <v>31</v>
      </c>
      <c r="H79" t="s">
        <v>32</v>
      </c>
      <c r="I79">
        <v>3013.9760230000002</v>
      </c>
      <c r="J79" t="s">
        <v>33</v>
      </c>
      <c r="K79" t="s">
        <v>135</v>
      </c>
      <c r="L79" t="s">
        <v>21</v>
      </c>
      <c r="M79" t="str">
        <f t="shared" si="3"/>
        <v>OK</v>
      </c>
      <c r="N79" t="str">
        <f t="shared" si="4"/>
        <v>1950s</v>
      </c>
      <c r="O79" t="str">
        <f t="shared" si="5"/>
        <v>N/A</v>
      </c>
      <c r="P79" t="str">
        <f>VLOOKUP(E79,calculated_fields!$F$4:$G$6,2,FALSE)</f>
        <v>Economy</v>
      </c>
    </row>
    <row r="80" spans="1:16">
      <c r="A80" t="s">
        <v>138</v>
      </c>
      <c r="B80" t="s">
        <v>129</v>
      </c>
      <c r="C80" t="s">
        <v>130</v>
      </c>
      <c r="D80">
        <v>1962</v>
      </c>
      <c r="E80" t="s">
        <v>15</v>
      </c>
      <c r="F80" t="s">
        <v>16</v>
      </c>
      <c r="G80" t="s">
        <v>17</v>
      </c>
      <c r="H80" t="s">
        <v>18</v>
      </c>
      <c r="I80">
        <v>48.302999999999997</v>
      </c>
      <c r="J80" t="s">
        <v>19</v>
      </c>
      <c r="K80" t="s">
        <v>139</v>
      </c>
      <c r="L80" t="s">
        <v>21</v>
      </c>
      <c r="M80" t="str">
        <f t="shared" si="3"/>
        <v>OK</v>
      </c>
      <c r="N80" t="str">
        <f t="shared" si="4"/>
        <v>1960s</v>
      </c>
      <c r="O80" t="str">
        <f t="shared" si="5"/>
        <v>Low</v>
      </c>
      <c r="P80" t="str">
        <f>VLOOKUP(E80,calculated_fields!$F$4:$G$6,2,FALSE)</f>
        <v>Health</v>
      </c>
    </row>
    <row r="81" spans="1:16">
      <c r="A81" t="s">
        <v>140</v>
      </c>
      <c r="B81" t="s">
        <v>129</v>
      </c>
      <c r="C81" t="s">
        <v>130</v>
      </c>
      <c r="D81">
        <v>1962</v>
      </c>
      <c r="E81" t="s">
        <v>23</v>
      </c>
      <c r="F81" t="s">
        <v>24</v>
      </c>
      <c r="G81" t="s">
        <v>25</v>
      </c>
      <c r="H81" t="s">
        <v>26</v>
      </c>
      <c r="I81">
        <v>11000948</v>
      </c>
      <c r="J81" t="s">
        <v>27</v>
      </c>
      <c r="K81" t="s">
        <v>139</v>
      </c>
      <c r="L81" t="s">
        <v>21</v>
      </c>
      <c r="M81" t="str">
        <f t="shared" si="3"/>
        <v>OK</v>
      </c>
      <c r="N81" t="str">
        <f t="shared" si="4"/>
        <v>1960s</v>
      </c>
      <c r="O81" t="str">
        <f t="shared" si="5"/>
        <v>N/A</v>
      </c>
      <c r="P81" t="str">
        <f>VLOOKUP(E81,calculated_fields!$F$4:$G$6,2,FALSE)</f>
        <v>Demographics</v>
      </c>
    </row>
    <row r="82" spans="1:16">
      <c r="A82" t="s">
        <v>141</v>
      </c>
      <c r="B82" t="s">
        <v>129</v>
      </c>
      <c r="C82" t="s">
        <v>130</v>
      </c>
      <c r="D82">
        <v>1962</v>
      </c>
      <c r="E82" t="s">
        <v>29</v>
      </c>
      <c r="F82" t="s">
        <v>30</v>
      </c>
      <c r="G82" t="s">
        <v>31</v>
      </c>
      <c r="H82" t="s">
        <v>32</v>
      </c>
      <c r="I82">
        <v>2550.8168799999999</v>
      </c>
      <c r="J82" t="s">
        <v>33</v>
      </c>
      <c r="K82" t="s">
        <v>139</v>
      </c>
      <c r="L82" t="s">
        <v>21</v>
      </c>
      <c r="M82" t="str">
        <f t="shared" si="3"/>
        <v>OK</v>
      </c>
      <c r="N82" t="str">
        <f t="shared" si="4"/>
        <v>1960s</v>
      </c>
      <c r="O82" t="str">
        <f t="shared" si="5"/>
        <v>N/A</v>
      </c>
      <c r="P82" t="str">
        <f>VLOOKUP(E82,calculated_fields!$F$4:$G$6,2,FALSE)</f>
        <v>Economy</v>
      </c>
    </row>
    <row r="83" spans="1:16">
      <c r="A83" t="s">
        <v>142</v>
      </c>
      <c r="B83" t="s">
        <v>129</v>
      </c>
      <c r="C83" t="s">
        <v>130</v>
      </c>
      <c r="D83">
        <v>1967</v>
      </c>
      <c r="E83" t="s">
        <v>15</v>
      </c>
      <c r="F83" t="s">
        <v>16</v>
      </c>
      <c r="G83" t="s">
        <v>17</v>
      </c>
      <c r="H83" t="s">
        <v>18</v>
      </c>
      <c r="I83">
        <v>51.406999999999996</v>
      </c>
      <c r="J83" t="s">
        <v>19</v>
      </c>
      <c r="K83" t="s">
        <v>143</v>
      </c>
      <c r="L83" t="s">
        <v>21</v>
      </c>
      <c r="M83" t="str">
        <f t="shared" si="3"/>
        <v>OK</v>
      </c>
      <c r="N83" t="str">
        <f t="shared" si="4"/>
        <v>1960s</v>
      </c>
      <c r="O83" t="str">
        <f t="shared" si="5"/>
        <v>Low</v>
      </c>
      <c r="P83" t="str">
        <f>VLOOKUP(E83,calculated_fields!$F$4:$G$6,2,FALSE)</f>
        <v>Health</v>
      </c>
    </row>
    <row r="84" spans="1:16">
      <c r="A84" t="s">
        <v>144</v>
      </c>
      <c r="B84" t="s">
        <v>129</v>
      </c>
      <c r="C84" t="s">
        <v>130</v>
      </c>
      <c r="D84">
        <v>1967</v>
      </c>
      <c r="E84" t="s">
        <v>23</v>
      </c>
      <c r="F84" t="s">
        <v>24</v>
      </c>
      <c r="G84" t="s">
        <v>25</v>
      </c>
      <c r="H84" t="s">
        <v>26</v>
      </c>
      <c r="I84">
        <v>12760499</v>
      </c>
      <c r="J84" t="s">
        <v>27</v>
      </c>
      <c r="K84" t="s">
        <v>143</v>
      </c>
      <c r="L84" t="s">
        <v>21</v>
      </c>
      <c r="M84" t="str">
        <f t="shared" si="3"/>
        <v>OK</v>
      </c>
      <c r="N84" t="str">
        <f t="shared" si="4"/>
        <v>1960s</v>
      </c>
      <c r="O84" t="str">
        <f t="shared" si="5"/>
        <v>N/A</v>
      </c>
      <c r="P84" t="str">
        <f>VLOOKUP(E84,calculated_fields!$F$4:$G$6,2,FALSE)</f>
        <v>Demographics</v>
      </c>
    </row>
    <row r="85" spans="1:16">
      <c r="A85" t="s">
        <v>145</v>
      </c>
      <c r="B85" t="s">
        <v>129</v>
      </c>
      <c r="C85" t="s">
        <v>130</v>
      </c>
      <c r="D85">
        <v>1967</v>
      </c>
      <c r="E85" t="s">
        <v>29</v>
      </c>
      <c r="F85" t="s">
        <v>30</v>
      </c>
      <c r="G85" t="s">
        <v>31</v>
      </c>
      <c r="H85" t="s">
        <v>32</v>
      </c>
      <c r="I85">
        <v>3246.991771</v>
      </c>
      <c r="J85" t="s">
        <v>33</v>
      </c>
      <c r="K85" t="s">
        <v>143</v>
      </c>
      <c r="L85" t="s">
        <v>21</v>
      </c>
      <c r="M85" t="str">
        <f t="shared" si="3"/>
        <v>OK</v>
      </c>
      <c r="N85" t="str">
        <f t="shared" si="4"/>
        <v>1960s</v>
      </c>
      <c r="O85" t="str">
        <f t="shared" si="5"/>
        <v>N/A</v>
      </c>
      <c r="P85" t="str">
        <f>VLOOKUP(E85,calculated_fields!$F$4:$G$6,2,FALSE)</f>
        <v>Economy</v>
      </c>
    </row>
    <row r="86" spans="1:16">
      <c r="A86" t="s">
        <v>146</v>
      </c>
      <c r="B86" t="s">
        <v>129</v>
      </c>
      <c r="C86" t="s">
        <v>130</v>
      </c>
      <c r="D86">
        <v>1972</v>
      </c>
      <c r="E86" t="s">
        <v>15</v>
      </c>
      <c r="F86" t="s">
        <v>16</v>
      </c>
      <c r="G86" t="s">
        <v>17</v>
      </c>
      <c r="H86" t="s">
        <v>18</v>
      </c>
      <c r="I86">
        <v>54.518000000000001</v>
      </c>
      <c r="J86" t="s">
        <v>19</v>
      </c>
      <c r="K86" t="s">
        <v>147</v>
      </c>
      <c r="L86" t="s">
        <v>21</v>
      </c>
      <c r="M86" t="str">
        <f t="shared" si="3"/>
        <v>OK</v>
      </c>
      <c r="N86" t="str">
        <f t="shared" si="4"/>
        <v>1970s</v>
      </c>
      <c r="O86" t="str">
        <f t="shared" si="5"/>
        <v>Low</v>
      </c>
      <c r="P86" t="str">
        <f>VLOOKUP(E86,calculated_fields!$F$4:$G$6,2,FALSE)</f>
        <v>Health</v>
      </c>
    </row>
    <row r="87" spans="1:16">
      <c r="A87" t="s">
        <v>148</v>
      </c>
      <c r="B87" t="s">
        <v>129</v>
      </c>
      <c r="C87" t="s">
        <v>130</v>
      </c>
      <c r="D87">
        <v>1972</v>
      </c>
      <c r="E87" t="s">
        <v>23</v>
      </c>
      <c r="F87" t="s">
        <v>24</v>
      </c>
      <c r="G87" t="s">
        <v>25</v>
      </c>
      <c r="H87" t="s">
        <v>26</v>
      </c>
      <c r="I87">
        <v>14760787</v>
      </c>
      <c r="J87" t="s">
        <v>27</v>
      </c>
      <c r="K87" t="s">
        <v>147</v>
      </c>
      <c r="L87" t="s">
        <v>21</v>
      </c>
      <c r="M87" t="str">
        <f t="shared" si="3"/>
        <v>OK</v>
      </c>
      <c r="N87" t="str">
        <f t="shared" si="4"/>
        <v>1970s</v>
      </c>
      <c r="O87" t="str">
        <f t="shared" si="5"/>
        <v>N/A</v>
      </c>
      <c r="P87" t="str">
        <f>VLOOKUP(E87,calculated_fields!$F$4:$G$6,2,FALSE)</f>
        <v>Demographics</v>
      </c>
    </row>
    <row r="88" spans="1:16">
      <c r="A88" t="s">
        <v>149</v>
      </c>
      <c r="B88" t="s">
        <v>129</v>
      </c>
      <c r="C88" t="s">
        <v>130</v>
      </c>
      <c r="D88">
        <v>1972</v>
      </c>
      <c r="E88" t="s">
        <v>29</v>
      </c>
      <c r="F88" t="s">
        <v>30</v>
      </c>
      <c r="G88" t="s">
        <v>31</v>
      </c>
      <c r="H88" t="s">
        <v>32</v>
      </c>
      <c r="I88">
        <v>4182.6637659999997</v>
      </c>
      <c r="J88" t="s">
        <v>33</v>
      </c>
      <c r="K88" t="s">
        <v>147</v>
      </c>
      <c r="L88" t="s">
        <v>21</v>
      </c>
      <c r="M88" t="str">
        <f t="shared" si="3"/>
        <v>OK</v>
      </c>
      <c r="N88" t="str">
        <f t="shared" si="4"/>
        <v>1970s</v>
      </c>
      <c r="O88" t="str">
        <f t="shared" si="5"/>
        <v>N/A</v>
      </c>
      <c r="P88" t="str">
        <f>VLOOKUP(E88,calculated_fields!$F$4:$G$6,2,FALSE)</f>
        <v>Economy</v>
      </c>
    </row>
    <row r="89" spans="1:16">
      <c r="A89" t="s">
        <v>150</v>
      </c>
      <c r="B89" t="s">
        <v>129</v>
      </c>
      <c r="C89" t="s">
        <v>130</v>
      </c>
      <c r="D89">
        <v>1977</v>
      </c>
      <c r="E89" t="s">
        <v>15</v>
      </c>
      <c r="F89" t="s">
        <v>16</v>
      </c>
      <c r="G89" t="s">
        <v>17</v>
      </c>
      <c r="H89" t="s">
        <v>18</v>
      </c>
      <c r="I89">
        <v>58.014000000000003</v>
      </c>
      <c r="J89" t="s">
        <v>19</v>
      </c>
      <c r="K89" t="s">
        <v>151</v>
      </c>
      <c r="L89" t="s">
        <v>21</v>
      </c>
      <c r="M89" t="str">
        <f t="shared" si="3"/>
        <v>OK</v>
      </c>
      <c r="N89" t="str">
        <f t="shared" si="4"/>
        <v>1970s</v>
      </c>
      <c r="O89" t="str">
        <f t="shared" si="5"/>
        <v>Medium</v>
      </c>
      <c r="P89" t="str">
        <f>VLOOKUP(E89,calculated_fields!$F$4:$G$6,2,FALSE)</f>
        <v>Health</v>
      </c>
    </row>
    <row r="90" spans="1:16">
      <c r="A90" t="s">
        <v>152</v>
      </c>
      <c r="B90" t="s">
        <v>129</v>
      </c>
      <c r="C90" t="s">
        <v>130</v>
      </c>
      <c r="D90">
        <v>1977</v>
      </c>
      <c r="E90" t="s">
        <v>23</v>
      </c>
      <c r="F90" t="s">
        <v>24</v>
      </c>
      <c r="G90" t="s">
        <v>25</v>
      </c>
      <c r="H90" t="s">
        <v>26</v>
      </c>
      <c r="I90">
        <v>17152804</v>
      </c>
      <c r="J90" t="s">
        <v>27</v>
      </c>
      <c r="K90" t="s">
        <v>151</v>
      </c>
      <c r="L90" t="s">
        <v>21</v>
      </c>
      <c r="M90" t="str">
        <f t="shared" si="3"/>
        <v>OK</v>
      </c>
      <c r="N90" t="str">
        <f t="shared" si="4"/>
        <v>1970s</v>
      </c>
      <c r="O90" t="str">
        <f t="shared" si="5"/>
        <v>N/A</v>
      </c>
      <c r="P90" t="str">
        <f>VLOOKUP(E90,calculated_fields!$F$4:$G$6,2,FALSE)</f>
        <v>Demographics</v>
      </c>
    </row>
    <row r="91" spans="1:16">
      <c r="A91" t="s">
        <v>153</v>
      </c>
      <c r="B91" t="s">
        <v>129</v>
      </c>
      <c r="C91" t="s">
        <v>130</v>
      </c>
      <c r="D91">
        <v>1977</v>
      </c>
      <c r="E91" t="s">
        <v>29</v>
      </c>
      <c r="F91" t="s">
        <v>30</v>
      </c>
      <c r="G91" t="s">
        <v>31</v>
      </c>
      <c r="H91" t="s">
        <v>32</v>
      </c>
      <c r="I91">
        <v>4910.4167559999996</v>
      </c>
      <c r="J91" t="s">
        <v>33</v>
      </c>
      <c r="K91" t="s">
        <v>151</v>
      </c>
      <c r="L91" t="s">
        <v>21</v>
      </c>
      <c r="M91" t="str">
        <f t="shared" si="3"/>
        <v>OK</v>
      </c>
      <c r="N91" t="str">
        <f t="shared" si="4"/>
        <v>1970s</v>
      </c>
      <c r="O91" t="str">
        <f t="shared" si="5"/>
        <v>N/A</v>
      </c>
      <c r="P91" t="str">
        <f>VLOOKUP(E91,calculated_fields!$F$4:$G$6,2,FALSE)</f>
        <v>Economy</v>
      </c>
    </row>
    <row r="92" spans="1:16">
      <c r="A92" t="s">
        <v>154</v>
      </c>
      <c r="B92" t="s">
        <v>129</v>
      </c>
      <c r="C92" t="s">
        <v>130</v>
      </c>
      <c r="D92">
        <v>1982</v>
      </c>
      <c r="E92" t="s">
        <v>15</v>
      </c>
      <c r="F92" t="s">
        <v>16</v>
      </c>
      <c r="G92" t="s">
        <v>17</v>
      </c>
      <c r="H92" t="s">
        <v>18</v>
      </c>
      <c r="I92">
        <v>61.368000000000002</v>
      </c>
      <c r="J92" t="s">
        <v>19</v>
      </c>
      <c r="K92" t="s">
        <v>155</v>
      </c>
      <c r="L92" t="s">
        <v>21</v>
      </c>
      <c r="M92" t="str">
        <f t="shared" si="3"/>
        <v>OK</v>
      </c>
      <c r="N92" t="str">
        <f t="shared" si="4"/>
        <v>1980s</v>
      </c>
      <c r="O92" t="str">
        <f t="shared" si="5"/>
        <v>Medium</v>
      </c>
      <c r="P92" t="str">
        <f>VLOOKUP(E92,calculated_fields!$F$4:$G$6,2,FALSE)</f>
        <v>Health</v>
      </c>
    </row>
    <row r="93" spans="1:16">
      <c r="A93" t="s">
        <v>156</v>
      </c>
      <c r="B93" t="s">
        <v>129</v>
      </c>
      <c r="C93" t="s">
        <v>130</v>
      </c>
      <c r="D93">
        <v>1982</v>
      </c>
      <c r="E93" t="s">
        <v>23</v>
      </c>
      <c r="F93" t="s">
        <v>24</v>
      </c>
      <c r="G93" t="s">
        <v>25</v>
      </c>
      <c r="H93" t="s">
        <v>26</v>
      </c>
      <c r="I93">
        <v>20033753</v>
      </c>
      <c r="J93" t="s">
        <v>27</v>
      </c>
      <c r="K93" t="s">
        <v>155</v>
      </c>
      <c r="L93" t="s">
        <v>21</v>
      </c>
      <c r="M93" t="str">
        <f t="shared" si="3"/>
        <v>OK</v>
      </c>
      <c r="N93" t="str">
        <f t="shared" si="4"/>
        <v>1980s</v>
      </c>
      <c r="O93" t="str">
        <f t="shared" si="5"/>
        <v>N/A</v>
      </c>
      <c r="P93" t="str">
        <f>VLOOKUP(E93,calculated_fields!$F$4:$G$6,2,FALSE)</f>
        <v>Demographics</v>
      </c>
    </row>
    <row r="94" spans="1:16">
      <c r="A94" t="s">
        <v>157</v>
      </c>
      <c r="B94" t="s">
        <v>129</v>
      </c>
      <c r="C94" t="s">
        <v>130</v>
      </c>
      <c r="D94">
        <v>1982</v>
      </c>
      <c r="E94" t="s">
        <v>29</v>
      </c>
      <c r="F94" t="s">
        <v>30</v>
      </c>
      <c r="G94" t="s">
        <v>31</v>
      </c>
      <c r="H94" t="s">
        <v>32</v>
      </c>
      <c r="I94">
        <v>5745.1602130000001</v>
      </c>
      <c r="J94" t="s">
        <v>33</v>
      </c>
      <c r="K94" t="s">
        <v>155</v>
      </c>
      <c r="L94" t="s">
        <v>21</v>
      </c>
      <c r="M94" t="str">
        <f t="shared" si="3"/>
        <v>OK</v>
      </c>
      <c r="N94" t="str">
        <f t="shared" si="4"/>
        <v>1980s</v>
      </c>
      <c r="O94" t="str">
        <f t="shared" si="5"/>
        <v>N/A</v>
      </c>
      <c r="P94" t="str">
        <f>VLOOKUP(E94,calculated_fields!$F$4:$G$6,2,FALSE)</f>
        <v>Economy</v>
      </c>
    </row>
    <row r="95" spans="1:16">
      <c r="A95" t="s">
        <v>158</v>
      </c>
      <c r="B95" t="s">
        <v>129</v>
      </c>
      <c r="C95" t="s">
        <v>130</v>
      </c>
      <c r="D95">
        <v>1987</v>
      </c>
      <c r="E95" t="s">
        <v>15</v>
      </c>
      <c r="F95" t="s">
        <v>16</v>
      </c>
      <c r="G95" t="s">
        <v>17</v>
      </c>
      <c r="H95" t="s">
        <v>18</v>
      </c>
      <c r="I95">
        <v>65.798999999999893</v>
      </c>
      <c r="J95" t="s">
        <v>19</v>
      </c>
      <c r="K95" t="s">
        <v>159</v>
      </c>
      <c r="L95" t="s">
        <v>21</v>
      </c>
      <c r="M95" t="str">
        <f t="shared" si="3"/>
        <v>OK</v>
      </c>
      <c r="N95" t="str">
        <f t="shared" si="4"/>
        <v>1980s</v>
      </c>
      <c r="O95" t="str">
        <f t="shared" si="5"/>
        <v>Medium</v>
      </c>
      <c r="P95" t="str">
        <f>VLOOKUP(E95,calculated_fields!$F$4:$G$6,2,FALSE)</f>
        <v>Health</v>
      </c>
    </row>
    <row r="96" spans="1:16">
      <c r="A96" t="s">
        <v>160</v>
      </c>
      <c r="B96" t="s">
        <v>129</v>
      </c>
      <c r="C96" t="s">
        <v>130</v>
      </c>
      <c r="D96">
        <v>1987</v>
      </c>
      <c r="E96" t="s">
        <v>23</v>
      </c>
      <c r="F96" t="s">
        <v>24</v>
      </c>
      <c r="G96" t="s">
        <v>25</v>
      </c>
      <c r="H96" t="s">
        <v>26</v>
      </c>
      <c r="I96">
        <v>23254956</v>
      </c>
      <c r="J96" t="s">
        <v>27</v>
      </c>
      <c r="K96" t="s">
        <v>159</v>
      </c>
      <c r="L96" t="s">
        <v>21</v>
      </c>
      <c r="M96" t="str">
        <f t="shared" si="3"/>
        <v>OK</v>
      </c>
      <c r="N96" t="str">
        <f t="shared" si="4"/>
        <v>1980s</v>
      </c>
      <c r="O96" t="str">
        <f t="shared" si="5"/>
        <v>N/A</v>
      </c>
      <c r="P96" t="str">
        <f>VLOOKUP(E96,calculated_fields!$F$4:$G$6,2,FALSE)</f>
        <v>Demographics</v>
      </c>
    </row>
    <row r="97" spans="1:16">
      <c r="A97" t="s">
        <v>161</v>
      </c>
      <c r="B97" t="s">
        <v>129</v>
      </c>
      <c r="C97" t="s">
        <v>130</v>
      </c>
      <c r="D97">
        <v>1987</v>
      </c>
      <c r="E97" t="s">
        <v>29</v>
      </c>
      <c r="F97" t="s">
        <v>30</v>
      </c>
      <c r="G97" t="s">
        <v>31</v>
      </c>
      <c r="H97" t="s">
        <v>32</v>
      </c>
      <c r="I97">
        <v>5681.3585389999998</v>
      </c>
      <c r="J97" t="s">
        <v>33</v>
      </c>
      <c r="K97" t="s">
        <v>159</v>
      </c>
      <c r="L97" t="s">
        <v>21</v>
      </c>
      <c r="M97" t="str">
        <f t="shared" si="3"/>
        <v>OK</v>
      </c>
      <c r="N97" t="str">
        <f t="shared" si="4"/>
        <v>1980s</v>
      </c>
      <c r="O97" t="str">
        <f t="shared" si="5"/>
        <v>N/A</v>
      </c>
      <c r="P97" t="str">
        <f>VLOOKUP(E97,calculated_fields!$F$4:$G$6,2,FALSE)</f>
        <v>Economy</v>
      </c>
    </row>
    <row r="98" spans="1:16">
      <c r="A98" t="s">
        <v>162</v>
      </c>
      <c r="B98" t="s">
        <v>129</v>
      </c>
      <c r="C98" t="s">
        <v>130</v>
      </c>
      <c r="D98">
        <v>1992</v>
      </c>
      <c r="E98" t="s">
        <v>15</v>
      </c>
      <c r="F98" t="s">
        <v>16</v>
      </c>
      <c r="G98" t="s">
        <v>17</v>
      </c>
      <c r="H98" t="s">
        <v>18</v>
      </c>
      <c r="I98">
        <v>67.744</v>
      </c>
      <c r="J98" t="s">
        <v>19</v>
      </c>
      <c r="K98" t="s">
        <v>163</v>
      </c>
      <c r="L98" t="s">
        <v>21</v>
      </c>
      <c r="M98" t="str">
        <f t="shared" si="3"/>
        <v>OK</v>
      </c>
      <c r="N98" t="str">
        <f t="shared" si="4"/>
        <v>1990s</v>
      </c>
      <c r="O98" t="str">
        <f t="shared" si="5"/>
        <v>Medium</v>
      </c>
      <c r="P98" t="str">
        <f>VLOOKUP(E98,calculated_fields!$F$4:$G$6,2,FALSE)</f>
        <v>Health</v>
      </c>
    </row>
    <row r="99" spans="1:16">
      <c r="A99" t="s">
        <v>164</v>
      </c>
      <c r="B99" t="s">
        <v>129</v>
      </c>
      <c r="C99" t="s">
        <v>130</v>
      </c>
      <c r="D99">
        <v>1992</v>
      </c>
      <c r="E99" t="s">
        <v>23</v>
      </c>
      <c r="F99" t="s">
        <v>24</v>
      </c>
      <c r="G99" t="s">
        <v>25</v>
      </c>
      <c r="H99" t="s">
        <v>26</v>
      </c>
      <c r="I99">
        <v>26298373</v>
      </c>
      <c r="J99" t="s">
        <v>27</v>
      </c>
      <c r="K99" t="s">
        <v>163</v>
      </c>
      <c r="L99" t="s">
        <v>21</v>
      </c>
      <c r="M99" t="str">
        <f t="shared" si="3"/>
        <v>OK</v>
      </c>
      <c r="N99" t="str">
        <f t="shared" si="4"/>
        <v>1990s</v>
      </c>
      <c r="O99" t="str">
        <f t="shared" si="5"/>
        <v>N/A</v>
      </c>
      <c r="P99" t="str">
        <f>VLOOKUP(E99,calculated_fields!$F$4:$G$6,2,FALSE)</f>
        <v>Demographics</v>
      </c>
    </row>
    <row r="100" spans="1:16">
      <c r="A100" t="s">
        <v>165</v>
      </c>
      <c r="B100" t="s">
        <v>129</v>
      </c>
      <c r="C100" t="s">
        <v>130</v>
      </c>
      <c r="D100">
        <v>1992</v>
      </c>
      <c r="E100" t="s">
        <v>29</v>
      </c>
      <c r="F100" t="s">
        <v>30</v>
      </c>
      <c r="G100" t="s">
        <v>31</v>
      </c>
      <c r="H100" t="s">
        <v>32</v>
      </c>
      <c r="I100">
        <v>5023.2166470000002</v>
      </c>
      <c r="J100" t="s">
        <v>33</v>
      </c>
      <c r="K100" t="s">
        <v>163</v>
      </c>
      <c r="L100" t="s">
        <v>21</v>
      </c>
      <c r="M100" t="str">
        <f t="shared" si="3"/>
        <v>OK</v>
      </c>
      <c r="N100" t="str">
        <f t="shared" si="4"/>
        <v>1990s</v>
      </c>
      <c r="O100" t="str">
        <f t="shared" si="5"/>
        <v>N/A</v>
      </c>
      <c r="P100" t="str">
        <f>VLOOKUP(E100,calculated_fields!$F$4:$G$6,2,FALSE)</f>
        <v>Economy</v>
      </c>
    </row>
    <row r="101" spans="1:16">
      <c r="A101" t="s">
        <v>166</v>
      </c>
      <c r="B101" t="s">
        <v>129</v>
      </c>
      <c r="C101" t="s">
        <v>130</v>
      </c>
      <c r="D101">
        <v>1997</v>
      </c>
      <c r="E101" t="s">
        <v>15</v>
      </c>
      <c r="F101" t="s">
        <v>16</v>
      </c>
      <c r="G101" t="s">
        <v>17</v>
      </c>
      <c r="H101" t="s">
        <v>18</v>
      </c>
      <c r="I101">
        <v>69.152000000000001</v>
      </c>
      <c r="J101" t="s">
        <v>19</v>
      </c>
      <c r="K101" t="s">
        <v>167</v>
      </c>
      <c r="L101" t="s">
        <v>21</v>
      </c>
      <c r="M101" t="str">
        <f t="shared" si="3"/>
        <v>OK</v>
      </c>
      <c r="N101" t="str">
        <f t="shared" si="4"/>
        <v>1990s</v>
      </c>
      <c r="O101" t="str">
        <f t="shared" si="5"/>
        <v>Medium</v>
      </c>
      <c r="P101" t="str">
        <f>VLOOKUP(E101,calculated_fields!$F$4:$G$6,2,FALSE)</f>
        <v>Health</v>
      </c>
    </row>
    <row r="102" spans="1:16">
      <c r="A102" t="s">
        <v>168</v>
      </c>
      <c r="B102" t="s">
        <v>129</v>
      </c>
      <c r="C102" t="s">
        <v>130</v>
      </c>
      <c r="D102">
        <v>1997</v>
      </c>
      <c r="E102" t="s">
        <v>23</v>
      </c>
      <c r="F102" t="s">
        <v>24</v>
      </c>
      <c r="G102" t="s">
        <v>25</v>
      </c>
      <c r="H102" t="s">
        <v>26</v>
      </c>
      <c r="I102">
        <v>29072015</v>
      </c>
      <c r="J102" t="s">
        <v>27</v>
      </c>
      <c r="K102" t="s">
        <v>167</v>
      </c>
      <c r="L102" t="s">
        <v>21</v>
      </c>
      <c r="M102" t="str">
        <f t="shared" si="3"/>
        <v>OK</v>
      </c>
      <c r="N102" t="str">
        <f t="shared" si="4"/>
        <v>1990s</v>
      </c>
      <c r="O102" t="str">
        <f t="shared" si="5"/>
        <v>N/A</v>
      </c>
      <c r="P102" t="str">
        <f>VLOOKUP(E102,calculated_fields!$F$4:$G$6,2,FALSE)</f>
        <v>Demographics</v>
      </c>
    </row>
    <row r="103" spans="1:16">
      <c r="A103" t="s">
        <v>169</v>
      </c>
      <c r="B103" t="s">
        <v>129</v>
      </c>
      <c r="C103" t="s">
        <v>130</v>
      </c>
      <c r="D103">
        <v>1997</v>
      </c>
      <c r="E103" t="s">
        <v>29</v>
      </c>
      <c r="F103" t="s">
        <v>30</v>
      </c>
      <c r="G103" t="s">
        <v>31</v>
      </c>
      <c r="H103" t="s">
        <v>32</v>
      </c>
      <c r="I103">
        <v>4797.2950510000001</v>
      </c>
      <c r="J103" t="s">
        <v>33</v>
      </c>
      <c r="K103" t="s">
        <v>167</v>
      </c>
      <c r="L103" t="s">
        <v>21</v>
      </c>
      <c r="M103" t="str">
        <f t="shared" si="3"/>
        <v>OK</v>
      </c>
      <c r="N103" t="str">
        <f t="shared" si="4"/>
        <v>1990s</v>
      </c>
      <c r="O103" t="str">
        <f t="shared" si="5"/>
        <v>N/A</v>
      </c>
      <c r="P103" t="str">
        <f>VLOOKUP(E103,calculated_fields!$F$4:$G$6,2,FALSE)</f>
        <v>Economy</v>
      </c>
    </row>
    <row r="104" spans="1:16">
      <c r="A104" t="s">
        <v>170</v>
      </c>
      <c r="B104" t="s">
        <v>129</v>
      </c>
      <c r="C104" t="s">
        <v>130</v>
      </c>
      <c r="D104">
        <v>2002</v>
      </c>
      <c r="E104" t="s">
        <v>15</v>
      </c>
      <c r="F104" t="s">
        <v>16</v>
      </c>
      <c r="G104" t="s">
        <v>17</v>
      </c>
      <c r="H104" t="s">
        <v>18</v>
      </c>
      <c r="I104">
        <v>70.994</v>
      </c>
      <c r="J104" t="s">
        <v>19</v>
      </c>
      <c r="K104" t="s">
        <v>171</v>
      </c>
      <c r="L104" t="s">
        <v>21</v>
      </c>
      <c r="M104" t="str">
        <f t="shared" si="3"/>
        <v>OK</v>
      </c>
      <c r="N104" t="str">
        <f t="shared" si="4"/>
        <v>2000s</v>
      </c>
      <c r="O104" t="str">
        <f t="shared" si="5"/>
        <v>High</v>
      </c>
      <c r="P104" t="str">
        <f>VLOOKUP(E104,calculated_fields!$F$4:$G$6,2,FALSE)</f>
        <v>Health</v>
      </c>
    </row>
    <row r="105" spans="1:16">
      <c r="A105" t="s">
        <v>172</v>
      </c>
      <c r="B105" t="s">
        <v>129</v>
      </c>
      <c r="C105" t="s">
        <v>130</v>
      </c>
      <c r="D105">
        <v>2002</v>
      </c>
      <c r="E105" t="s">
        <v>23</v>
      </c>
      <c r="F105" t="s">
        <v>24</v>
      </c>
      <c r="G105" t="s">
        <v>25</v>
      </c>
      <c r="H105" t="s">
        <v>26</v>
      </c>
      <c r="I105">
        <v>31287142</v>
      </c>
      <c r="J105" t="s">
        <v>27</v>
      </c>
      <c r="K105" t="s">
        <v>171</v>
      </c>
      <c r="L105" t="s">
        <v>21</v>
      </c>
      <c r="M105" t="str">
        <f t="shared" si="3"/>
        <v>OK</v>
      </c>
      <c r="N105" t="str">
        <f t="shared" si="4"/>
        <v>2000s</v>
      </c>
      <c r="O105" t="str">
        <f t="shared" si="5"/>
        <v>N/A</v>
      </c>
      <c r="P105" t="str">
        <f>VLOOKUP(E105,calculated_fields!$F$4:$G$6,2,FALSE)</f>
        <v>Demographics</v>
      </c>
    </row>
    <row r="106" spans="1:16">
      <c r="A106" t="s">
        <v>173</v>
      </c>
      <c r="B106" t="s">
        <v>129</v>
      </c>
      <c r="C106" t="s">
        <v>130</v>
      </c>
      <c r="D106">
        <v>2002</v>
      </c>
      <c r="E106" t="s">
        <v>29</v>
      </c>
      <c r="F106" t="s">
        <v>30</v>
      </c>
      <c r="G106" t="s">
        <v>31</v>
      </c>
      <c r="H106" t="s">
        <v>32</v>
      </c>
      <c r="I106">
        <v>5288.0403820000001</v>
      </c>
      <c r="J106" t="s">
        <v>33</v>
      </c>
      <c r="K106" t="s">
        <v>171</v>
      </c>
      <c r="L106" t="s">
        <v>21</v>
      </c>
      <c r="M106" t="str">
        <f t="shared" si="3"/>
        <v>OK</v>
      </c>
      <c r="N106" t="str">
        <f t="shared" si="4"/>
        <v>2000s</v>
      </c>
      <c r="O106" t="str">
        <f t="shared" si="5"/>
        <v>N/A</v>
      </c>
      <c r="P106" t="str">
        <f>VLOOKUP(E106,calculated_fields!$F$4:$G$6,2,FALSE)</f>
        <v>Economy</v>
      </c>
    </row>
    <row r="107" spans="1:16">
      <c r="A107" t="s">
        <v>174</v>
      </c>
      <c r="B107" t="s">
        <v>129</v>
      </c>
      <c r="C107" t="s">
        <v>130</v>
      </c>
      <c r="D107">
        <v>2007</v>
      </c>
      <c r="E107" t="s">
        <v>15</v>
      </c>
      <c r="F107" t="s">
        <v>16</v>
      </c>
      <c r="G107" t="s">
        <v>17</v>
      </c>
      <c r="H107" t="s">
        <v>18</v>
      </c>
      <c r="I107">
        <v>72.301000000000002</v>
      </c>
      <c r="J107" t="s">
        <v>19</v>
      </c>
      <c r="K107" t="s">
        <v>175</v>
      </c>
      <c r="L107" t="s">
        <v>21</v>
      </c>
      <c r="M107" t="str">
        <f t="shared" si="3"/>
        <v>OK</v>
      </c>
      <c r="N107" t="str">
        <f t="shared" si="4"/>
        <v>2000s</v>
      </c>
      <c r="O107" t="str">
        <f t="shared" si="5"/>
        <v>High</v>
      </c>
      <c r="P107" t="str">
        <f>VLOOKUP(E107,calculated_fields!$F$4:$G$6,2,FALSE)</f>
        <v>Health</v>
      </c>
    </row>
    <row r="108" spans="1:16">
      <c r="A108" t="s">
        <v>176</v>
      </c>
      <c r="B108" t="s">
        <v>129</v>
      </c>
      <c r="C108" t="s">
        <v>130</v>
      </c>
      <c r="D108">
        <v>2007</v>
      </c>
      <c r="E108" t="s">
        <v>23</v>
      </c>
      <c r="F108" t="s">
        <v>24</v>
      </c>
      <c r="G108" t="s">
        <v>25</v>
      </c>
      <c r="H108" t="s">
        <v>26</v>
      </c>
      <c r="I108">
        <v>33333216</v>
      </c>
      <c r="J108" t="s">
        <v>27</v>
      </c>
      <c r="K108" t="s">
        <v>175</v>
      </c>
      <c r="L108" t="s">
        <v>21</v>
      </c>
      <c r="M108" t="str">
        <f t="shared" si="3"/>
        <v>OK</v>
      </c>
      <c r="N108" t="str">
        <f t="shared" si="4"/>
        <v>2000s</v>
      </c>
      <c r="O108" t="str">
        <f t="shared" si="5"/>
        <v>N/A</v>
      </c>
      <c r="P108" t="str">
        <f>VLOOKUP(E108,calculated_fields!$F$4:$G$6,2,FALSE)</f>
        <v>Demographics</v>
      </c>
    </row>
    <row r="109" spans="1:16">
      <c r="A109" t="s">
        <v>177</v>
      </c>
      <c r="B109" t="s">
        <v>129</v>
      </c>
      <c r="C109" t="s">
        <v>130</v>
      </c>
      <c r="D109">
        <v>2007</v>
      </c>
      <c r="E109" t="s">
        <v>29</v>
      </c>
      <c r="F109" t="s">
        <v>30</v>
      </c>
      <c r="G109" t="s">
        <v>31</v>
      </c>
      <c r="H109" t="s">
        <v>32</v>
      </c>
      <c r="I109">
        <v>6223.3674650000003</v>
      </c>
      <c r="J109" t="s">
        <v>33</v>
      </c>
      <c r="K109" t="s">
        <v>175</v>
      </c>
      <c r="L109" t="s">
        <v>21</v>
      </c>
      <c r="M109" t="str">
        <f t="shared" si="3"/>
        <v>OK</v>
      </c>
      <c r="N109" t="str">
        <f t="shared" si="4"/>
        <v>2000s</v>
      </c>
      <c r="O109" t="str">
        <f t="shared" si="5"/>
        <v>N/A</v>
      </c>
      <c r="P109" t="str">
        <f>VLOOKUP(E109,calculated_fields!$F$4:$G$6,2,FALSE)</f>
        <v>Economy</v>
      </c>
    </row>
    <row r="110" spans="1:16">
      <c r="A110" t="s">
        <v>178</v>
      </c>
      <c r="B110" t="s">
        <v>179</v>
      </c>
      <c r="C110" t="s">
        <v>130</v>
      </c>
      <c r="D110">
        <v>1952</v>
      </c>
      <c r="E110" t="s">
        <v>15</v>
      </c>
      <c r="F110" t="s">
        <v>16</v>
      </c>
      <c r="G110" t="s">
        <v>17</v>
      </c>
      <c r="H110" t="s">
        <v>18</v>
      </c>
      <c r="I110">
        <v>30.015000000000001</v>
      </c>
      <c r="J110" t="s">
        <v>19</v>
      </c>
      <c r="K110" t="s">
        <v>180</v>
      </c>
      <c r="L110" t="s">
        <v>21</v>
      </c>
      <c r="M110" t="str">
        <f t="shared" si="3"/>
        <v>OK</v>
      </c>
      <c r="N110" t="str">
        <f t="shared" si="4"/>
        <v>1950s</v>
      </c>
      <c r="O110" t="str">
        <f t="shared" si="5"/>
        <v>Low</v>
      </c>
      <c r="P110" t="str">
        <f>VLOOKUP(E110,calculated_fields!$F$4:$G$6,2,FALSE)</f>
        <v>Health</v>
      </c>
    </row>
    <row r="111" spans="1:16">
      <c r="A111" t="s">
        <v>181</v>
      </c>
      <c r="B111" t="s">
        <v>179</v>
      </c>
      <c r="C111" t="s">
        <v>130</v>
      </c>
      <c r="D111">
        <v>1952</v>
      </c>
      <c r="E111" t="s">
        <v>23</v>
      </c>
      <c r="F111" t="s">
        <v>24</v>
      </c>
      <c r="G111" t="s">
        <v>25</v>
      </c>
      <c r="H111" t="s">
        <v>26</v>
      </c>
      <c r="I111">
        <v>4232095</v>
      </c>
      <c r="J111" t="s">
        <v>27</v>
      </c>
      <c r="K111" t="s">
        <v>180</v>
      </c>
      <c r="L111" t="s">
        <v>21</v>
      </c>
      <c r="M111" t="str">
        <f t="shared" si="3"/>
        <v>OK</v>
      </c>
      <c r="N111" t="str">
        <f t="shared" si="4"/>
        <v>1950s</v>
      </c>
      <c r="O111" t="str">
        <f t="shared" si="5"/>
        <v>N/A</v>
      </c>
      <c r="P111" t="str">
        <f>VLOOKUP(E111,calculated_fields!$F$4:$G$6,2,FALSE)</f>
        <v>Demographics</v>
      </c>
    </row>
    <row r="112" spans="1:16">
      <c r="A112" t="s">
        <v>182</v>
      </c>
      <c r="B112" t="s">
        <v>179</v>
      </c>
      <c r="C112" t="s">
        <v>130</v>
      </c>
      <c r="D112">
        <v>1952</v>
      </c>
      <c r="E112" t="s">
        <v>29</v>
      </c>
      <c r="F112" t="s">
        <v>30</v>
      </c>
      <c r="G112" t="s">
        <v>31</v>
      </c>
      <c r="H112" t="s">
        <v>32</v>
      </c>
      <c r="I112">
        <v>3520.6102729999998</v>
      </c>
      <c r="J112" t="s">
        <v>33</v>
      </c>
      <c r="K112" t="s">
        <v>180</v>
      </c>
      <c r="L112" t="s">
        <v>21</v>
      </c>
      <c r="M112" t="str">
        <f t="shared" si="3"/>
        <v>OK</v>
      </c>
      <c r="N112" t="str">
        <f t="shared" si="4"/>
        <v>1950s</v>
      </c>
      <c r="O112" t="str">
        <f t="shared" si="5"/>
        <v>N/A</v>
      </c>
      <c r="P112" t="str">
        <f>VLOOKUP(E112,calculated_fields!$F$4:$G$6,2,FALSE)</f>
        <v>Economy</v>
      </c>
    </row>
    <row r="113" spans="1:16">
      <c r="A113" t="s">
        <v>183</v>
      </c>
      <c r="B113" t="s">
        <v>179</v>
      </c>
      <c r="C113" t="s">
        <v>130</v>
      </c>
      <c r="D113">
        <v>1957</v>
      </c>
      <c r="E113" t="s">
        <v>15</v>
      </c>
      <c r="F113" t="s">
        <v>16</v>
      </c>
      <c r="G113" t="s">
        <v>17</v>
      </c>
      <c r="H113" t="s">
        <v>18</v>
      </c>
      <c r="I113">
        <v>31.998999999999999</v>
      </c>
      <c r="J113" t="s">
        <v>19</v>
      </c>
      <c r="K113" t="s">
        <v>184</v>
      </c>
      <c r="L113" t="s">
        <v>21</v>
      </c>
      <c r="M113" t="str">
        <f t="shared" si="3"/>
        <v>OK</v>
      </c>
      <c r="N113" t="str">
        <f t="shared" si="4"/>
        <v>1950s</v>
      </c>
      <c r="O113" t="str">
        <f t="shared" si="5"/>
        <v>Low</v>
      </c>
      <c r="P113" t="str">
        <f>VLOOKUP(E113,calculated_fields!$F$4:$G$6,2,FALSE)</f>
        <v>Health</v>
      </c>
    </row>
    <row r="114" spans="1:16">
      <c r="A114" t="s">
        <v>185</v>
      </c>
      <c r="B114" t="s">
        <v>179</v>
      </c>
      <c r="C114" t="s">
        <v>130</v>
      </c>
      <c r="D114">
        <v>1957</v>
      </c>
      <c r="E114" t="s">
        <v>23</v>
      </c>
      <c r="F114" t="s">
        <v>24</v>
      </c>
      <c r="G114" t="s">
        <v>25</v>
      </c>
      <c r="H114" t="s">
        <v>26</v>
      </c>
      <c r="I114">
        <v>4561361</v>
      </c>
      <c r="J114" t="s">
        <v>27</v>
      </c>
      <c r="K114" t="s">
        <v>184</v>
      </c>
      <c r="L114" t="s">
        <v>21</v>
      </c>
      <c r="M114" t="str">
        <f t="shared" si="3"/>
        <v>OK</v>
      </c>
      <c r="N114" t="str">
        <f t="shared" si="4"/>
        <v>1950s</v>
      </c>
      <c r="O114" t="str">
        <f t="shared" si="5"/>
        <v>N/A</v>
      </c>
      <c r="P114" t="str">
        <f>VLOOKUP(E114,calculated_fields!$F$4:$G$6,2,FALSE)</f>
        <v>Demographics</v>
      </c>
    </row>
    <row r="115" spans="1:16">
      <c r="A115" t="s">
        <v>186</v>
      </c>
      <c r="B115" t="s">
        <v>179</v>
      </c>
      <c r="C115" t="s">
        <v>130</v>
      </c>
      <c r="D115">
        <v>1957</v>
      </c>
      <c r="E115" t="s">
        <v>29</v>
      </c>
      <c r="F115" t="s">
        <v>30</v>
      </c>
      <c r="G115" t="s">
        <v>31</v>
      </c>
      <c r="H115" t="s">
        <v>32</v>
      </c>
      <c r="I115">
        <v>3827.9404650000001</v>
      </c>
      <c r="J115" t="s">
        <v>33</v>
      </c>
      <c r="K115" t="s">
        <v>184</v>
      </c>
      <c r="L115" t="s">
        <v>21</v>
      </c>
      <c r="M115" t="str">
        <f t="shared" si="3"/>
        <v>OK</v>
      </c>
      <c r="N115" t="str">
        <f t="shared" si="4"/>
        <v>1950s</v>
      </c>
      <c r="O115" t="str">
        <f t="shared" si="5"/>
        <v>N/A</v>
      </c>
      <c r="P115" t="str">
        <f>VLOOKUP(E115,calculated_fields!$F$4:$G$6,2,FALSE)</f>
        <v>Economy</v>
      </c>
    </row>
    <row r="116" spans="1:16">
      <c r="A116" t="s">
        <v>187</v>
      </c>
      <c r="B116" t="s">
        <v>179</v>
      </c>
      <c r="C116" t="s">
        <v>130</v>
      </c>
      <c r="D116">
        <v>1962</v>
      </c>
      <c r="E116" t="s">
        <v>15</v>
      </c>
      <c r="F116" t="s">
        <v>16</v>
      </c>
      <c r="G116" t="s">
        <v>17</v>
      </c>
      <c r="H116" t="s">
        <v>18</v>
      </c>
      <c r="I116">
        <v>34</v>
      </c>
      <c r="J116" t="s">
        <v>19</v>
      </c>
      <c r="K116" t="s">
        <v>188</v>
      </c>
      <c r="L116" t="s">
        <v>21</v>
      </c>
      <c r="M116" t="str">
        <f t="shared" si="3"/>
        <v>OK</v>
      </c>
      <c r="N116" t="str">
        <f t="shared" si="4"/>
        <v>1960s</v>
      </c>
      <c r="O116" t="str">
        <f t="shared" si="5"/>
        <v>Low</v>
      </c>
      <c r="P116" t="str">
        <f>VLOOKUP(E116,calculated_fields!$F$4:$G$6,2,FALSE)</f>
        <v>Health</v>
      </c>
    </row>
    <row r="117" spans="1:16">
      <c r="A117" t="s">
        <v>189</v>
      </c>
      <c r="B117" t="s">
        <v>179</v>
      </c>
      <c r="C117" t="s">
        <v>130</v>
      </c>
      <c r="D117">
        <v>1962</v>
      </c>
      <c r="E117" t="s">
        <v>23</v>
      </c>
      <c r="F117" t="s">
        <v>24</v>
      </c>
      <c r="G117" t="s">
        <v>25</v>
      </c>
      <c r="H117" t="s">
        <v>26</v>
      </c>
      <c r="I117">
        <v>4826015</v>
      </c>
      <c r="J117" t="s">
        <v>27</v>
      </c>
      <c r="K117" t="s">
        <v>188</v>
      </c>
      <c r="L117" t="s">
        <v>21</v>
      </c>
      <c r="M117" t="str">
        <f t="shared" si="3"/>
        <v>OK</v>
      </c>
      <c r="N117" t="str">
        <f t="shared" si="4"/>
        <v>1960s</v>
      </c>
      <c r="O117" t="str">
        <f t="shared" si="5"/>
        <v>N/A</v>
      </c>
      <c r="P117" t="str">
        <f>VLOOKUP(E117,calculated_fields!$F$4:$G$6,2,FALSE)</f>
        <v>Demographics</v>
      </c>
    </row>
    <row r="118" spans="1:16">
      <c r="A118" t="s">
        <v>190</v>
      </c>
      <c r="B118" t="s">
        <v>179</v>
      </c>
      <c r="C118" t="s">
        <v>130</v>
      </c>
      <c r="D118">
        <v>1962</v>
      </c>
      <c r="E118" t="s">
        <v>29</v>
      </c>
      <c r="F118" t="s">
        <v>30</v>
      </c>
      <c r="G118" t="s">
        <v>31</v>
      </c>
      <c r="H118" t="s">
        <v>32</v>
      </c>
      <c r="I118">
        <v>4269.276742</v>
      </c>
      <c r="J118" t="s">
        <v>33</v>
      </c>
      <c r="K118" t="s">
        <v>188</v>
      </c>
      <c r="L118" t="s">
        <v>21</v>
      </c>
      <c r="M118" t="str">
        <f t="shared" si="3"/>
        <v>OK</v>
      </c>
      <c r="N118" t="str">
        <f t="shared" si="4"/>
        <v>1960s</v>
      </c>
      <c r="O118" t="str">
        <f t="shared" si="5"/>
        <v>N/A</v>
      </c>
      <c r="P118" t="str">
        <f>VLOOKUP(E118,calculated_fields!$F$4:$G$6,2,FALSE)</f>
        <v>Economy</v>
      </c>
    </row>
    <row r="119" spans="1:16">
      <c r="A119" t="s">
        <v>191</v>
      </c>
      <c r="B119" t="s">
        <v>179</v>
      </c>
      <c r="C119" t="s">
        <v>130</v>
      </c>
      <c r="D119">
        <v>1967</v>
      </c>
      <c r="E119" t="s">
        <v>15</v>
      </c>
      <c r="F119" t="s">
        <v>16</v>
      </c>
      <c r="G119" t="s">
        <v>17</v>
      </c>
      <c r="H119" t="s">
        <v>18</v>
      </c>
      <c r="I119">
        <v>35.984999999999999</v>
      </c>
      <c r="J119" t="s">
        <v>19</v>
      </c>
      <c r="K119" t="s">
        <v>192</v>
      </c>
      <c r="L119" t="s">
        <v>21</v>
      </c>
      <c r="M119" t="str">
        <f t="shared" si="3"/>
        <v>OK</v>
      </c>
      <c r="N119" t="str">
        <f t="shared" si="4"/>
        <v>1960s</v>
      </c>
      <c r="O119" t="str">
        <f t="shared" si="5"/>
        <v>Low</v>
      </c>
      <c r="P119" t="str">
        <f>VLOOKUP(E119,calculated_fields!$F$4:$G$6,2,FALSE)</f>
        <v>Health</v>
      </c>
    </row>
    <row r="120" spans="1:16">
      <c r="A120" t="s">
        <v>193</v>
      </c>
      <c r="B120" t="s">
        <v>179</v>
      </c>
      <c r="C120" t="s">
        <v>130</v>
      </c>
      <c r="D120">
        <v>1967</v>
      </c>
      <c r="E120" t="s">
        <v>23</v>
      </c>
      <c r="F120" t="s">
        <v>24</v>
      </c>
      <c r="G120" t="s">
        <v>25</v>
      </c>
      <c r="H120" t="s">
        <v>26</v>
      </c>
      <c r="I120">
        <v>5247469</v>
      </c>
      <c r="J120" t="s">
        <v>27</v>
      </c>
      <c r="K120" t="s">
        <v>192</v>
      </c>
      <c r="L120" t="s">
        <v>21</v>
      </c>
      <c r="M120" t="str">
        <f t="shared" si="3"/>
        <v>OK</v>
      </c>
      <c r="N120" t="str">
        <f t="shared" si="4"/>
        <v>1960s</v>
      </c>
      <c r="O120" t="str">
        <f t="shared" si="5"/>
        <v>N/A</v>
      </c>
      <c r="P120" t="str">
        <f>VLOOKUP(E120,calculated_fields!$F$4:$G$6,2,FALSE)</f>
        <v>Demographics</v>
      </c>
    </row>
    <row r="121" spans="1:16">
      <c r="A121" t="s">
        <v>194</v>
      </c>
      <c r="B121" t="s">
        <v>179</v>
      </c>
      <c r="C121" t="s">
        <v>130</v>
      </c>
      <c r="D121">
        <v>1967</v>
      </c>
      <c r="E121" t="s">
        <v>29</v>
      </c>
      <c r="F121" t="s">
        <v>30</v>
      </c>
      <c r="G121" t="s">
        <v>31</v>
      </c>
      <c r="H121" t="s">
        <v>32</v>
      </c>
      <c r="I121">
        <v>5522.7763750000004</v>
      </c>
      <c r="J121" t="s">
        <v>33</v>
      </c>
      <c r="K121" t="s">
        <v>192</v>
      </c>
      <c r="L121" t="s">
        <v>21</v>
      </c>
      <c r="M121" t="str">
        <f t="shared" si="3"/>
        <v>OK</v>
      </c>
      <c r="N121" t="str">
        <f t="shared" si="4"/>
        <v>1960s</v>
      </c>
      <c r="O121" t="str">
        <f t="shared" si="5"/>
        <v>N/A</v>
      </c>
      <c r="P121" t="str">
        <f>VLOOKUP(E121,calculated_fields!$F$4:$G$6,2,FALSE)</f>
        <v>Economy</v>
      </c>
    </row>
    <row r="122" spans="1:16">
      <c r="A122" t="s">
        <v>195</v>
      </c>
      <c r="B122" t="s">
        <v>179</v>
      </c>
      <c r="C122" t="s">
        <v>130</v>
      </c>
      <c r="D122">
        <v>1972</v>
      </c>
      <c r="E122" t="s">
        <v>15</v>
      </c>
      <c r="F122" t="s">
        <v>16</v>
      </c>
      <c r="G122" t="s">
        <v>17</v>
      </c>
      <c r="H122" t="s">
        <v>18</v>
      </c>
      <c r="I122">
        <v>37.927999999999997</v>
      </c>
      <c r="J122" t="s">
        <v>19</v>
      </c>
      <c r="K122" t="s">
        <v>196</v>
      </c>
      <c r="L122" t="s">
        <v>21</v>
      </c>
      <c r="M122" t="str">
        <f t="shared" si="3"/>
        <v>OK</v>
      </c>
      <c r="N122" t="str">
        <f t="shared" si="4"/>
        <v>1970s</v>
      </c>
      <c r="O122" t="str">
        <f t="shared" si="5"/>
        <v>Low</v>
      </c>
      <c r="P122" t="str">
        <f>VLOOKUP(E122,calculated_fields!$F$4:$G$6,2,FALSE)</f>
        <v>Health</v>
      </c>
    </row>
    <row r="123" spans="1:16">
      <c r="A123" t="s">
        <v>197</v>
      </c>
      <c r="B123" t="s">
        <v>179</v>
      </c>
      <c r="C123" t="s">
        <v>130</v>
      </c>
      <c r="D123">
        <v>1972</v>
      </c>
      <c r="E123" t="s">
        <v>23</v>
      </c>
      <c r="F123" t="s">
        <v>24</v>
      </c>
      <c r="G123" t="s">
        <v>25</v>
      </c>
      <c r="H123" t="s">
        <v>26</v>
      </c>
      <c r="I123">
        <v>5894858</v>
      </c>
      <c r="J123" t="s">
        <v>27</v>
      </c>
      <c r="K123" t="s">
        <v>196</v>
      </c>
      <c r="L123" t="s">
        <v>21</v>
      </c>
      <c r="M123" t="str">
        <f t="shared" si="3"/>
        <v>OK</v>
      </c>
      <c r="N123" t="str">
        <f t="shared" si="4"/>
        <v>1970s</v>
      </c>
      <c r="O123" t="str">
        <f t="shared" si="5"/>
        <v>N/A</v>
      </c>
      <c r="P123" t="str">
        <f>VLOOKUP(E123,calculated_fields!$F$4:$G$6,2,FALSE)</f>
        <v>Demographics</v>
      </c>
    </row>
    <row r="124" spans="1:16">
      <c r="A124" t="s">
        <v>198</v>
      </c>
      <c r="B124" t="s">
        <v>179</v>
      </c>
      <c r="C124" t="s">
        <v>130</v>
      </c>
      <c r="D124">
        <v>1972</v>
      </c>
      <c r="E124" t="s">
        <v>29</v>
      </c>
      <c r="F124" t="s">
        <v>30</v>
      </c>
      <c r="G124" t="s">
        <v>31</v>
      </c>
      <c r="H124" t="s">
        <v>32</v>
      </c>
      <c r="I124">
        <v>5473.2880049999903</v>
      </c>
      <c r="J124" t="s">
        <v>33</v>
      </c>
      <c r="K124" t="s">
        <v>196</v>
      </c>
      <c r="L124" t="s">
        <v>21</v>
      </c>
      <c r="M124" t="str">
        <f t="shared" si="3"/>
        <v>OK</v>
      </c>
      <c r="N124" t="str">
        <f t="shared" si="4"/>
        <v>1970s</v>
      </c>
      <c r="O124" t="str">
        <f t="shared" si="5"/>
        <v>N/A</v>
      </c>
      <c r="P124" t="str">
        <f>VLOOKUP(E124,calculated_fields!$F$4:$G$6,2,FALSE)</f>
        <v>Economy</v>
      </c>
    </row>
    <row r="125" spans="1:16">
      <c r="A125" t="s">
        <v>199</v>
      </c>
      <c r="B125" t="s">
        <v>179</v>
      </c>
      <c r="C125" t="s">
        <v>130</v>
      </c>
      <c r="D125">
        <v>1977</v>
      </c>
      <c r="E125" t="s">
        <v>15</v>
      </c>
      <c r="F125" t="s">
        <v>16</v>
      </c>
      <c r="G125" t="s">
        <v>17</v>
      </c>
      <c r="H125" t="s">
        <v>18</v>
      </c>
      <c r="I125">
        <v>39.482999999999997</v>
      </c>
      <c r="J125" t="s">
        <v>19</v>
      </c>
      <c r="K125" t="s">
        <v>200</v>
      </c>
      <c r="L125" t="s">
        <v>21</v>
      </c>
      <c r="M125" t="str">
        <f t="shared" si="3"/>
        <v>OK</v>
      </c>
      <c r="N125" t="str">
        <f t="shared" si="4"/>
        <v>1970s</v>
      </c>
      <c r="O125" t="str">
        <f t="shared" si="5"/>
        <v>Low</v>
      </c>
      <c r="P125" t="str">
        <f>VLOOKUP(E125,calculated_fields!$F$4:$G$6,2,FALSE)</f>
        <v>Health</v>
      </c>
    </row>
    <row r="126" spans="1:16">
      <c r="A126" t="s">
        <v>201</v>
      </c>
      <c r="B126" t="s">
        <v>179</v>
      </c>
      <c r="C126" t="s">
        <v>130</v>
      </c>
      <c r="D126">
        <v>1977</v>
      </c>
      <c r="E126" t="s">
        <v>23</v>
      </c>
      <c r="F126" t="s">
        <v>24</v>
      </c>
      <c r="G126" t="s">
        <v>25</v>
      </c>
      <c r="H126" t="s">
        <v>26</v>
      </c>
      <c r="I126">
        <v>6162675</v>
      </c>
      <c r="J126" t="s">
        <v>27</v>
      </c>
      <c r="K126" t="s">
        <v>200</v>
      </c>
      <c r="L126" t="s">
        <v>21</v>
      </c>
      <c r="M126" t="str">
        <f t="shared" si="3"/>
        <v>OK</v>
      </c>
      <c r="N126" t="str">
        <f t="shared" si="4"/>
        <v>1970s</v>
      </c>
      <c r="O126" t="str">
        <f t="shared" si="5"/>
        <v>N/A</v>
      </c>
      <c r="P126" t="str">
        <f>VLOOKUP(E126,calculated_fields!$F$4:$G$6,2,FALSE)</f>
        <v>Demographics</v>
      </c>
    </row>
    <row r="127" spans="1:16">
      <c r="A127" t="s">
        <v>202</v>
      </c>
      <c r="B127" t="s">
        <v>179</v>
      </c>
      <c r="C127" t="s">
        <v>130</v>
      </c>
      <c r="D127">
        <v>1977</v>
      </c>
      <c r="E127" t="s">
        <v>29</v>
      </c>
      <c r="F127" t="s">
        <v>30</v>
      </c>
      <c r="G127" t="s">
        <v>31</v>
      </c>
      <c r="H127" t="s">
        <v>32</v>
      </c>
      <c r="I127">
        <v>3008.6473550000001</v>
      </c>
      <c r="J127" t="s">
        <v>33</v>
      </c>
      <c r="K127" t="s">
        <v>200</v>
      </c>
      <c r="L127" t="s">
        <v>21</v>
      </c>
      <c r="M127" t="str">
        <f t="shared" si="3"/>
        <v>OK</v>
      </c>
      <c r="N127" t="str">
        <f t="shared" si="4"/>
        <v>1970s</v>
      </c>
      <c r="O127" t="str">
        <f t="shared" si="5"/>
        <v>N/A</v>
      </c>
      <c r="P127" t="str">
        <f>VLOOKUP(E127,calculated_fields!$F$4:$G$6,2,FALSE)</f>
        <v>Economy</v>
      </c>
    </row>
    <row r="128" spans="1:16">
      <c r="A128" t="s">
        <v>203</v>
      </c>
      <c r="B128" t="s">
        <v>179</v>
      </c>
      <c r="C128" t="s">
        <v>130</v>
      </c>
      <c r="D128">
        <v>1982</v>
      </c>
      <c r="E128" t="s">
        <v>15</v>
      </c>
      <c r="F128" t="s">
        <v>16</v>
      </c>
      <c r="G128" t="s">
        <v>17</v>
      </c>
      <c r="H128" t="s">
        <v>18</v>
      </c>
      <c r="I128">
        <v>39.942</v>
      </c>
      <c r="J128" t="s">
        <v>19</v>
      </c>
      <c r="K128" t="s">
        <v>204</v>
      </c>
      <c r="L128" t="s">
        <v>21</v>
      </c>
      <c r="M128" t="str">
        <f t="shared" si="3"/>
        <v>OK</v>
      </c>
      <c r="N128" t="str">
        <f t="shared" si="4"/>
        <v>1980s</v>
      </c>
      <c r="O128" t="str">
        <f t="shared" si="5"/>
        <v>Low</v>
      </c>
      <c r="P128" t="str">
        <f>VLOOKUP(E128,calculated_fields!$F$4:$G$6,2,FALSE)</f>
        <v>Health</v>
      </c>
    </row>
    <row r="129" spans="1:16">
      <c r="A129" t="s">
        <v>205</v>
      </c>
      <c r="B129" t="s">
        <v>179</v>
      </c>
      <c r="C129" t="s">
        <v>130</v>
      </c>
      <c r="D129">
        <v>1982</v>
      </c>
      <c r="E129" t="s">
        <v>23</v>
      </c>
      <c r="F129" t="s">
        <v>24</v>
      </c>
      <c r="G129" t="s">
        <v>25</v>
      </c>
      <c r="H129" t="s">
        <v>26</v>
      </c>
      <c r="I129">
        <v>7016384</v>
      </c>
      <c r="J129" t="s">
        <v>27</v>
      </c>
      <c r="K129" t="s">
        <v>204</v>
      </c>
      <c r="L129" t="s">
        <v>21</v>
      </c>
      <c r="M129" t="str">
        <f t="shared" si="3"/>
        <v>OK</v>
      </c>
      <c r="N129" t="str">
        <f t="shared" si="4"/>
        <v>1980s</v>
      </c>
      <c r="O129" t="str">
        <f t="shared" si="5"/>
        <v>N/A</v>
      </c>
      <c r="P129" t="str">
        <f>VLOOKUP(E129,calculated_fields!$F$4:$G$6,2,FALSE)</f>
        <v>Demographics</v>
      </c>
    </row>
    <row r="130" spans="1:16">
      <c r="A130" t="s">
        <v>206</v>
      </c>
      <c r="B130" t="s">
        <v>179</v>
      </c>
      <c r="C130" t="s">
        <v>130</v>
      </c>
      <c r="D130">
        <v>1982</v>
      </c>
      <c r="E130" t="s">
        <v>29</v>
      </c>
      <c r="F130" t="s">
        <v>30</v>
      </c>
      <c r="G130" t="s">
        <v>31</v>
      </c>
      <c r="H130" t="s">
        <v>32</v>
      </c>
      <c r="I130">
        <v>2756.9536720000001</v>
      </c>
      <c r="J130" t="s">
        <v>33</v>
      </c>
      <c r="K130" t="s">
        <v>204</v>
      </c>
      <c r="L130" t="s">
        <v>21</v>
      </c>
      <c r="M130" t="str">
        <f t="shared" ref="M130:M193" si="6">IF(AND(ISNUMBER(I130),I130&gt;=0),"OK","Review")</f>
        <v>OK</v>
      </c>
      <c r="N130" t="str">
        <f t="shared" ref="N130:N193" si="7">FLOOR(D130,10)&amp;"s"</f>
        <v>1980s</v>
      </c>
      <c r="O130" t="str">
        <f t="shared" ref="O130:O193" si="8">IF(E130="LIFE_EXP",IF(I130&gt;=70,"High",IF(I130&gt;=55,"Medium","Low")),"N/A")</f>
        <v>N/A</v>
      </c>
      <c r="P130" t="str">
        <f>VLOOKUP(E130,calculated_fields!$F$4:$G$6,2,FALSE)</f>
        <v>Economy</v>
      </c>
    </row>
    <row r="131" spans="1:16">
      <c r="A131" t="s">
        <v>207</v>
      </c>
      <c r="B131" t="s">
        <v>179</v>
      </c>
      <c r="C131" t="s">
        <v>130</v>
      </c>
      <c r="D131">
        <v>1987</v>
      </c>
      <c r="E131" t="s">
        <v>15</v>
      </c>
      <c r="F131" t="s">
        <v>16</v>
      </c>
      <c r="G131" t="s">
        <v>17</v>
      </c>
      <c r="H131" t="s">
        <v>18</v>
      </c>
      <c r="I131">
        <v>39.905999999999999</v>
      </c>
      <c r="J131" t="s">
        <v>19</v>
      </c>
      <c r="K131" t="s">
        <v>208</v>
      </c>
      <c r="L131" t="s">
        <v>21</v>
      </c>
      <c r="M131" t="str">
        <f t="shared" si="6"/>
        <v>OK</v>
      </c>
      <c r="N131" t="str">
        <f t="shared" si="7"/>
        <v>1980s</v>
      </c>
      <c r="O131" t="str">
        <f t="shared" si="8"/>
        <v>Low</v>
      </c>
      <c r="P131" t="str">
        <f>VLOOKUP(E131,calculated_fields!$F$4:$G$6,2,FALSE)</f>
        <v>Health</v>
      </c>
    </row>
    <row r="132" spans="1:16">
      <c r="A132" t="s">
        <v>209</v>
      </c>
      <c r="B132" t="s">
        <v>179</v>
      </c>
      <c r="C132" t="s">
        <v>130</v>
      </c>
      <c r="D132">
        <v>1987</v>
      </c>
      <c r="E132" t="s">
        <v>23</v>
      </c>
      <c r="F132" t="s">
        <v>24</v>
      </c>
      <c r="G132" t="s">
        <v>25</v>
      </c>
      <c r="H132" t="s">
        <v>26</v>
      </c>
      <c r="I132">
        <v>7874230</v>
      </c>
      <c r="J132" t="s">
        <v>27</v>
      </c>
      <c r="K132" t="s">
        <v>208</v>
      </c>
      <c r="L132" t="s">
        <v>21</v>
      </c>
      <c r="M132" t="str">
        <f t="shared" si="6"/>
        <v>OK</v>
      </c>
      <c r="N132" t="str">
        <f t="shared" si="7"/>
        <v>1980s</v>
      </c>
      <c r="O132" t="str">
        <f t="shared" si="8"/>
        <v>N/A</v>
      </c>
      <c r="P132" t="str">
        <f>VLOOKUP(E132,calculated_fields!$F$4:$G$6,2,FALSE)</f>
        <v>Demographics</v>
      </c>
    </row>
    <row r="133" spans="1:16">
      <c r="A133" t="s">
        <v>210</v>
      </c>
      <c r="B133" t="s">
        <v>179</v>
      </c>
      <c r="C133" t="s">
        <v>130</v>
      </c>
      <c r="D133">
        <v>1987</v>
      </c>
      <c r="E133" t="s">
        <v>29</v>
      </c>
      <c r="F133" t="s">
        <v>30</v>
      </c>
      <c r="G133" t="s">
        <v>31</v>
      </c>
      <c r="H133" t="s">
        <v>32</v>
      </c>
      <c r="I133">
        <v>2430.2083109999999</v>
      </c>
      <c r="J133" t="s">
        <v>33</v>
      </c>
      <c r="K133" t="s">
        <v>208</v>
      </c>
      <c r="L133" t="s">
        <v>21</v>
      </c>
      <c r="M133" t="str">
        <f t="shared" si="6"/>
        <v>OK</v>
      </c>
      <c r="N133" t="str">
        <f t="shared" si="7"/>
        <v>1980s</v>
      </c>
      <c r="O133" t="str">
        <f t="shared" si="8"/>
        <v>N/A</v>
      </c>
      <c r="P133" t="str">
        <f>VLOOKUP(E133,calculated_fields!$F$4:$G$6,2,FALSE)</f>
        <v>Economy</v>
      </c>
    </row>
    <row r="134" spans="1:16">
      <c r="A134" t="s">
        <v>211</v>
      </c>
      <c r="B134" t="s">
        <v>179</v>
      </c>
      <c r="C134" t="s">
        <v>130</v>
      </c>
      <c r="D134">
        <v>1992</v>
      </c>
      <c r="E134" t="s">
        <v>15</v>
      </c>
      <c r="F134" t="s">
        <v>16</v>
      </c>
      <c r="G134" t="s">
        <v>17</v>
      </c>
      <c r="H134" t="s">
        <v>18</v>
      </c>
      <c r="I134">
        <v>40.646999999999998</v>
      </c>
      <c r="J134" t="s">
        <v>19</v>
      </c>
      <c r="K134" t="s">
        <v>212</v>
      </c>
      <c r="L134" t="s">
        <v>21</v>
      </c>
      <c r="M134" t="str">
        <f t="shared" si="6"/>
        <v>OK</v>
      </c>
      <c r="N134" t="str">
        <f t="shared" si="7"/>
        <v>1990s</v>
      </c>
      <c r="O134" t="str">
        <f t="shared" si="8"/>
        <v>Low</v>
      </c>
      <c r="P134" t="str">
        <f>VLOOKUP(E134,calculated_fields!$F$4:$G$6,2,FALSE)</f>
        <v>Health</v>
      </c>
    </row>
    <row r="135" spans="1:16">
      <c r="A135" t="s">
        <v>213</v>
      </c>
      <c r="B135" t="s">
        <v>179</v>
      </c>
      <c r="C135" t="s">
        <v>130</v>
      </c>
      <c r="D135">
        <v>1992</v>
      </c>
      <c r="E135" t="s">
        <v>23</v>
      </c>
      <c r="F135" t="s">
        <v>24</v>
      </c>
      <c r="G135" t="s">
        <v>25</v>
      </c>
      <c r="H135" t="s">
        <v>26</v>
      </c>
      <c r="I135">
        <v>8735988</v>
      </c>
      <c r="J135" t="s">
        <v>27</v>
      </c>
      <c r="K135" t="s">
        <v>212</v>
      </c>
      <c r="L135" t="s">
        <v>21</v>
      </c>
      <c r="M135" t="str">
        <f t="shared" si="6"/>
        <v>OK</v>
      </c>
      <c r="N135" t="str">
        <f t="shared" si="7"/>
        <v>1990s</v>
      </c>
      <c r="O135" t="str">
        <f t="shared" si="8"/>
        <v>N/A</v>
      </c>
      <c r="P135" t="str">
        <f>VLOOKUP(E135,calculated_fields!$F$4:$G$6,2,FALSE)</f>
        <v>Demographics</v>
      </c>
    </row>
    <row r="136" spans="1:16">
      <c r="A136" t="s">
        <v>214</v>
      </c>
      <c r="B136" t="s">
        <v>179</v>
      </c>
      <c r="C136" t="s">
        <v>130</v>
      </c>
      <c r="D136">
        <v>1992</v>
      </c>
      <c r="E136" t="s">
        <v>29</v>
      </c>
      <c r="F136" t="s">
        <v>30</v>
      </c>
      <c r="G136" t="s">
        <v>31</v>
      </c>
      <c r="H136" t="s">
        <v>32</v>
      </c>
      <c r="I136">
        <v>2627.8456849999998</v>
      </c>
      <c r="J136" t="s">
        <v>33</v>
      </c>
      <c r="K136" t="s">
        <v>212</v>
      </c>
      <c r="L136" t="s">
        <v>21</v>
      </c>
      <c r="M136" t="str">
        <f t="shared" si="6"/>
        <v>OK</v>
      </c>
      <c r="N136" t="str">
        <f t="shared" si="7"/>
        <v>1990s</v>
      </c>
      <c r="O136" t="str">
        <f t="shared" si="8"/>
        <v>N/A</v>
      </c>
      <c r="P136" t="str">
        <f>VLOOKUP(E136,calculated_fields!$F$4:$G$6,2,FALSE)</f>
        <v>Economy</v>
      </c>
    </row>
    <row r="137" spans="1:16">
      <c r="A137" t="s">
        <v>215</v>
      </c>
      <c r="B137" t="s">
        <v>179</v>
      </c>
      <c r="C137" t="s">
        <v>130</v>
      </c>
      <c r="D137">
        <v>1997</v>
      </c>
      <c r="E137" t="s">
        <v>15</v>
      </c>
      <c r="F137" t="s">
        <v>16</v>
      </c>
      <c r="G137" t="s">
        <v>17</v>
      </c>
      <c r="H137" t="s">
        <v>18</v>
      </c>
      <c r="I137">
        <v>40.963000000000001</v>
      </c>
      <c r="J137" t="s">
        <v>19</v>
      </c>
      <c r="K137" t="s">
        <v>216</v>
      </c>
      <c r="L137" t="s">
        <v>21</v>
      </c>
      <c r="M137" t="str">
        <f t="shared" si="6"/>
        <v>OK</v>
      </c>
      <c r="N137" t="str">
        <f t="shared" si="7"/>
        <v>1990s</v>
      </c>
      <c r="O137" t="str">
        <f t="shared" si="8"/>
        <v>Low</v>
      </c>
      <c r="P137" t="str">
        <f>VLOOKUP(E137,calculated_fields!$F$4:$G$6,2,FALSE)</f>
        <v>Health</v>
      </c>
    </row>
    <row r="138" spans="1:16">
      <c r="A138" t="s">
        <v>217</v>
      </c>
      <c r="B138" t="s">
        <v>179</v>
      </c>
      <c r="C138" t="s">
        <v>130</v>
      </c>
      <c r="D138">
        <v>1997</v>
      </c>
      <c r="E138" t="s">
        <v>23</v>
      </c>
      <c r="F138" t="s">
        <v>24</v>
      </c>
      <c r="G138" t="s">
        <v>25</v>
      </c>
      <c r="H138" t="s">
        <v>26</v>
      </c>
      <c r="I138">
        <v>9875024</v>
      </c>
      <c r="J138" t="s">
        <v>27</v>
      </c>
      <c r="K138" t="s">
        <v>216</v>
      </c>
      <c r="L138" t="s">
        <v>21</v>
      </c>
      <c r="M138" t="str">
        <f t="shared" si="6"/>
        <v>OK</v>
      </c>
      <c r="N138" t="str">
        <f t="shared" si="7"/>
        <v>1990s</v>
      </c>
      <c r="O138" t="str">
        <f t="shared" si="8"/>
        <v>N/A</v>
      </c>
      <c r="P138" t="str">
        <f>VLOOKUP(E138,calculated_fields!$F$4:$G$6,2,FALSE)</f>
        <v>Demographics</v>
      </c>
    </row>
    <row r="139" spans="1:16">
      <c r="A139" t="s">
        <v>218</v>
      </c>
      <c r="B139" t="s">
        <v>179</v>
      </c>
      <c r="C139" t="s">
        <v>130</v>
      </c>
      <c r="D139">
        <v>1997</v>
      </c>
      <c r="E139" t="s">
        <v>29</v>
      </c>
      <c r="F139" t="s">
        <v>30</v>
      </c>
      <c r="G139" t="s">
        <v>31</v>
      </c>
      <c r="H139" t="s">
        <v>32</v>
      </c>
      <c r="I139">
        <v>2277.1408839999999</v>
      </c>
      <c r="J139" t="s">
        <v>33</v>
      </c>
      <c r="K139" t="s">
        <v>216</v>
      </c>
      <c r="L139" t="s">
        <v>21</v>
      </c>
      <c r="M139" t="str">
        <f t="shared" si="6"/>
        <v>OK</v>
      </c>
      <c r="N139" t="str">
        <f t="shared" si="7"/>
        <v>1990s</v>
      </c>
      <c r="O139" t="str">
        <f t="shared" si="8"/>
        <v>N/A</v>
      </c>
      <c r="P139" t="str">
        <f>VLOOKUP(E139,calculated_fields!$F$4:$G$6,2,FALSE)</f>
        <v>Economy</v>
      </c>
    </row>
    <row r="140" spans="1:16">
      <c r="A140" t="s">
        <v>219</v>
      </c>
      <c r="B140" t="s">
        <v>179</v>
      </c>
      <c r="C140" t="s">
        <v>130</v>
      </c>
      <c r="D140">
        <v>2002</v>
      </c>
      <c r="E140" t="s">
        <v>15</v>
      </c>
      <c r="F140" t="s">
        <v>16</v>
      </c>
      <c r="G140" t="s">
        <v>17</v>
      </c>
      <c r="H140" t="s">
        <v>18</v>
      </c>
      <c r="I140">
        <v>41.003</v>
      </c>
      <c r="J140" t="s">
        <v>19</v>
      </c>
      <c r="K140" t="s">
        <v>220</v>
      </c>
      <c r="L140" t="s">
        <v>21</v>
      </c>
      <c r="M140" t="str">
        <f t="shared" si="6"/>
        <v>OK</v>
      </c>
      <c r="N140" t="str">
        <f t="shared" si="7"/>
        <v>2000s</v>
      </c>
      <c r="O140" t="str">
        <f t="shared" si="8"/>
        <v>Low</v>
      </c>
      <c r="P140" t="str">
        <f>VLOOKUP(E140,calculated_fields!$F$4:$G$6,2,FALSE)</f>
        <v>Health</v>
      </c>
    </row>
    <row r="141" spans="1:16">
      <c r="A141" t="s">
        <v>221</v>
      </c>
      <c r="B141" t="s">
        <v>179</v>
      </c>
      <c r="C141" t="s">
        <v>130</v>
      </c>
      <c r="D141">
        <v>2002</v>
      </c>
      <c r="E141" t="s">
        <v>23</v>
      </c>
      <c r="F141" t="s">
        <v>24</v>
      </c>
      <c r="G141" t="s">
        <v>25</v>
      </c>
      <c r="H141" t="s">
        <v>26</v>
      </c>
      <c r="I141">
        <v>10866106</v>
      </c>
      <c r="J141" t="s">
        <v>27</v>
      </c>
      <c r="K141" t="s">
        <v>220</v>
      </c>
      <c r="L141" t="s">
        <v>21</v>
      </c>
      <c r="M141" t="str">
        <f t="shared" si="6"/>
        <v>OK</v>
      </c>
      <c r="N141" t="str">
        <f t="shared" si="7"/>
        <v>2000s</v>
      </c>
      <c r="O141" t="str">
        <f t="shared" si="8"/>
        <v>N/A</v>
      </c>
      <c r="P141" t="str">
        <f>VLOOKUP(E141,calculated_fields!$F$4:$G$6,2,FALSE)</f>
        <v>Demographics</v>
      </c>
    </row>
    <row r="142" spans="1:16">
      <c r="A142" t="s">
        <v>222</v>
      </c>
      <c r="B142" t="s">
        <v>179</v>
      </c>
      <c r="C142" t="s">
        <v>130</v>
      </c>
      <c r="D142">
        <v>2002</v>
      </c>
      <c r="E142" t="s">
        <v>29</v>
      </c>
      <c r="F142" t="s">
        <v>30</v>
      </c>
      <c r="G142" t="s">
        <v>31</v>
      </c>
      <c r="H142" t="s">
        <v>32</v>
      </c>
      <c r="I142">
        <v>2773.2873119999999</v>
      </c>
      <c r="J142" t="s">
        <v>33</v>
      </c>
      <c r="K142" t="s">
        <v>220</v>
      </c>
      <c r="L142" t="s">
        <v>21</v>
      </c>
      <c r="M142" t="str">
        <f t="shared" si="6"/>
        <v>OK</v>
      </c>
      <c r="N142" t="str">
        <f t="shared" si="7"/>
        <v>2000s</v>
      </c>
      <c r="O142" t="str">
        <f t="shared" si="8"/>
        <v>N/A</v>
      </c>
      <c r="P142" t="str">
        <f>VLOOKUP(E142,calculated_fields!$F$4:$G$6,2,FALSE)</f>
        <v>Economy</v>
      </c>
    </row>
    <row r="143" spans="1:16">
      <c r="A143" t="s">
        <v>223</v>
      </c>
      <c r="B143" t="s">
        <v>179</v>
      </c>
      <c r="C143" t="s">
        <v>130</v>
      </c>
      <c r="D143">
        <v>2007</v>
      </c>
      <c r="E143" t="s">
        <v>15</v>
      </c>
      <c r="F143" t="s">
        <v>16</v>
      </c>
      <c r="G143" t="s">
        <v>17</v>
      </c>
      <c r="H143" t="s">
        <v>18</v>
      </c>
      <c r="I143">
        <v>42.731000000000002</v>
      </c>
      <c r="J143" t="s">
        <v>19</v>
      </c>
      <c r="K143" t="s">
        <v>224</v>
      </c>
      <c r="L143" t="s">
        <v>21</v>
      </c>
      <c r="M143" t="str">
        <f t="shared" si="6"/>
        <v>OK</v>
      </c>
      <c r="N143" t="str">
        <f t="shared" si="7"/>
        <v>2000s</v>
      </c>
      <c r="O143" t="str">
        <f t="shared" si="8"/>
        <v>Low</v>
      </c>
      <c r="P143" t="str">
        <f>VLOOKUP(E143,calculated_fields!$F$4:$G$6,2,FALSE)</f>
        <v>Health</v>
      </c>
    </row>
    <row r="144" spans="1:16">
      <c r="A144" t="s">
        <v>225</v>
      </c>
      <c r="B144" t="s">
        <v>179</v>
      </c>
      <c r="C144" t="s">
        <v>130</v>
      </c>
      <c r="D144">
        <v>2007</v>
      </c>
      <c r="E144" t="s">
        <v>23</v>
      </c>
      <c r="F144" t="s">
        <v>24</v>
      </c>
      <c r="G144" t="s">
        <v>25</v>
      </c>
      <c r="H144" t="s">
        <v>26</v>
      </c>
      <c r="I144">
        <v>12420476</v>
      </c>
      <c r="J144" t="s">
        <v>27</v>
      </c>
      <c r="K144" t="s">
        <v>224</v>
      </c>
      <c r="L144" t="s">
        <v>21</v>
      </c>
      <c r="M144" t="str">
        <f t="shared" si="6"/>
        <v>OK</v>
      </c>
      <c r="N144" t="str">
        <f t="shared" si="7"/>
        <v>2000s</v>
      </c>
      <c r="O144" t="str">
        <f t="shared" si="8"/>
        <v>N/A</v>
      </c>
      <c r="P144" t="str">
        <f>VLOOKUP(E144,calculated_fields!$F$4:$G$6,2,FALSE)</f>
        <v>Demographics</v>
      </c>
    </row>
    <row r="145" spans="1:16">
      <c r="A145" t="s">
        <v>226</v>
      </c>
      <c r="B145" t="s">
        <v>179</v>
      </c>
      <c r="C145" t="s">
        <v>130</v>
      </c>
      <c r="D145">
        <v>2007</v>
      </c>
      <c r="E145" t="s">
        <v>29</v>
      </c>
      <c r="F145" t="s">
        <v>30</v>
      </c>
      <c r="G145" t="s">
        <v>31</v>
      </c>
      <c r="H145" t="s">
        <v>32</v>
      </c>
      <c r="I145">
        <v>4797.2312670000001</v>
      </c>
      <c r="J145" t="s">
        <v>33</v>
      </c>
      <c r="K145" t="s">
        <v>224</v>
      </c>
      <c r="L145" t="s">
        <v>21</v>
      </c>
      <c r="M145" t="str">
        <f t="shared" si="6"/>
        <v>OK</v>
      </c>
      <c r="N145" t="str">
        <f t="shared" si="7"/>
        <v>2000s</v>
      </c>
      <c r="O145" t="str">
        <f t="shared" si="8"/>
        <v>N/A</v>
      </c>
      <c r="P145" t="str">
        <f>VLOOKUP(E145,calculated_fields!$F$4:$G$6,2,FALSE)</f>
        <v>Economy</v>
      </c>
    </row>
    <row r="146" spans="1:16">
      <c r="A146" t="s">
        <v>227</v>
      </c>
      <c r="B146" t="s">
        <v>228</v>
      </c>
      <c r="C146" t="s">
        <v>229</v>
      </c>
      <c r="D146">
        <v>1952</v>
      </c>
      <c r="E146" t="s">
        <v>15</v>
      </c>
      <c r="F146" t="s">
        <v>16</v>
      </c>
      <c r="G146" t="s">
        <v>17</v>
      </c>
      <c r="H146" t="s">
        <v>18</v>
      </c>
      <c r="I146">
        <v>62.484999999999999</v>
      </c>
      <c r="J146" t="s">
        <v>19</v>
      </c>
      <c r="K146" t="s">
        <v>230</v>
      </c>
      <c r="L146" t="s">
        <v>21</v>
      </c>
      <c r="M146" t="str">
        <f t="shared" si="6"/>
        <v>OK</v>
      </c>
      <c r="N146" t="str">
        <f t="shared" si="7"/>
        <v>1950s</v>
      </c>
      <c r="O146" t="str">
        <f t="shared" si="8"/>
        <v>Medium</v>
      </c>
      <c r="P146" t="str">
        <f>VLOOKUP(E146,calculated_fields!$F$4:$G$6,2,FALSE)</f>
        <v>Health</v>
      </c>
    </row>
    <row r="147" spans="1:16">
      <c r="A147" t="s">
        <v>231</v>
      </c>
      <c r="B147" t="s">
        <v>228</v>
      </c>
      <c r="C147" t="s">
        <v>229</v>
      </c>
      <c r="D147">
        <v>1952</v>
      </c>
      <c r="E147" t="s">
        <v>23</v>
      </c>
      <c r="F147" t="s">
        <v>24</v>
      </c>
      <c r="G147" t="s">
        <v>25</v>
      </c>
      <c r="H147" t="s">
        <v>26</v>
      </c>
      <c r="I147">
        <v>17876956</v>
      </c>
      <c r="J147" t="s">
        <v>27</v>
      </c>
      <c r="K147" t="s">
        <v>230</v>
      </c>
      <c r="L147" t="s">
        <v>21</v>
      </c>
      <c r="M147" t="str">
        <f t="shared" si="6"/>
        <v>OK</v>
      </c>
      <c r="N147" t="str">
        <f t="shared" si="7"/>
        <v>1950s</v>
      </c>
      <c r="O147" t="str">
        <f t="shared" si="8"/>
        <v>N/A</v>
      </c>
      <c r="P147" t="str">
        <f>VLOOKUP(E147,calculated_fields!$F$4:$G$6,2,FALSE)</f>
        <v>Demographics</v>
      </c>
    </row>
    <row r="148" spans="1:16">
      <c r="A148" t="s">
        <v>232</v>
      </c>
      <c r="B148" t="s">
        <v>228</v>
      </c>
      <c r="C148" t="s">
        <v>229</v>
      </c>
      <c r="D148">
        <v>1952</v>
      </c>
      <c r="E148" t="s">
        <v>29</v>
      </c>
      <c r="F148" t="s">
        <v>30</v>
      </c>
      <c r="G148" t="s">
        <v>31</v>
      </c>
      <c r="H148" t="s">
        <v>32</v>
      </c>
      <c r="I148">
        <v>5911.3150530000003</v>
      </c>
      <c r="J148" t="s">
        <v>33</v>
      </c>
      <c r="K148" t="s">
        <v>230</v>
      </c>
      <c r="L148" t="s">
        <v>21</v>
      </c>
      <c r="M148" t="str">
        <f t="shared" si="6"/>
        <v>OK</v>
      </c>
      <c r="N148" t="str">
        <f t="shared" si="7"/>
        <v>1950s</v>
      </c>
      <c r="O148" t="str">
        <f t="shared" si="8"/>
        <v>N/A</v>
      </c>
      <c r="P148" t="str">
        <f>VLOOKUP(E148,calculated_fields!$F$4:$G$6,2,FALSE)</f>
        <v>Economy</v>
      </c>
    </row>
    <row r="149" spans="1:16">
      <c r="A149" t="s">
        <v>233</v>
      </c>
      <c r="B149" t="s">
        <v>228</v>
      </c>
      <c r="C149" t="s">
        <v>229</v>
      </c>
      <c r="D149">
        <v>1957</v>
      </c>
      <c r="E149" t="s">
        <v>15</v>
      </c>
      <c r="F149" t="s">
        <v>16</v>
      </c>
      <c r="G149" t="s">
        <v>17</v>
      </c>
      <c r="H149" t="s">
        <v>18</v>
      </c>
      <c r="I149">
        <v>64.399000000000001</v>
      </c>
      <c r="J149" t="s">
        <v>19</v>
      </c>
      <c r="K149" t="s">
        <v>234</v>
      </c>
      <c r="L149" t="s">
        <v>21</v>
      </c>
      <c r="M149" t="str">
        <f t="shared" si="6"/>
        <v>OK</v>
      </c>
      <c r="N149" t="str">
        <f t="shared" si="7"/>
        <v>1950s</v>
      </c>
      <c r="O149" t="str">
        <f t="shared" si="8"/>
        <v>Medium</v>
      </c>
      <c r="P149" t="str">
        <f>VLOOKUP(E149,calculated_fields!$F$4:$G$6,2,FALSE)</f>
        <v>Health</v>
      </c>
    </row>
    <row r="150" spans="1:16">
      <c r="A150" t="s">
        <v>235</v>
      </c>
      <c r="B150" t="s">
        <v>228</v>
      </c>
      <c r="C150" t="s">
        <v>229</v>
      </c>
      <c r="D150">
        <v>1957</v>
      </c>
      <c r="E150" t="s">
        <v>23</v>
      </c>
      <c r="F150" t="s">
        <v>24</v>
      </c>
      <c r="G150" t="s">
        <v>25</v>
      </c>
      <c r="H150" t="s">
        <v>26</v>
      </c>
      <c r="I150">
        <v>19610538</v>
      </c>
      <c r="J150" t="s">
        <v>27</v>
      </c>
      <c r="K150" t="s">
        <v>234</v>
      </c>
      <c r="L150" t="s">
        <v>21</v>
      </c>
      <c r="M150" t="str">
        <f t="shared" si="6"/>
        <v>OK</v>
      </c>
      <c r="N150" t="str">
        <f t="shared" si="7"/>
        <v>1950s</v>
      </c>
      <c r="O150" t="str">
        <f t="shared" si="8"/>
        <v>N/A</v>
      </c>
      <c r="P150" t="str">
        <f>VLOOKUP(E150,calculated_fields!$F$4:$G$6,2,FALSE)</f>
        <v>Demographics</v>
      </c>
    </row>
    <row r="151" spans="1:16">
      <c r="A151" t="s">
        <v>236</v>
      </c>
      <c r="B151" t="s">
        <v>228</v>
      </c>
      <c r="C151" t="s">
        <v>229</v>
      </c>
      <c r="D151">
        <v>1957</v>
      </c>
      <c r="E151" t="s">
        <v>29</v>
      </c>
      <c r="F151" t="s">
        <v>30</v>
      </c>
      <c r="G151" t="s">
        <v>31</v>
      </c>
      <c r="H151" t="s">
        <v>32</v>
      </c>
      <c r="I151">
        <v>6856.8562119999997</v>
      </c>
      <c r="J151" t="s">
        <v>33</v>
      </c>
      <c r="K151" t="s">
        <v>234</v>
      </c>
      <c r="L151" t="s">
        <v>21</v>
      </c>
      <c r="M151" t="str">
        <f t="shared" si="6"/>
        <v>OK</v>
      </c>
      <c r="N151" t="str">
        <f t="shared" si="7"/>
        <v>1950s</v>
      </c>
      <c r="O151" t="str">
        <f t="shared" si="8"/>
        <v>N/A</v>
      </c>
      <c r="P151" t="str">
        <f>VLOOKUP(E151,calculated_fields!$F$4:$G$6,2,FALSE)</f>
        <v>Economy</v>
      </c>
    </row>
    <row r="152" spans="1:16">
      <c r="A152" t="s">
        <v>237</v>
      </c>
      <c r="B152" t="s">
        <v>228</v>
      </c>
      <c r="C152" t="s">
        <v>229</v>
      </c>
      <c r="D152">
        <v>1962</v>
      </c>
      <c r="E152" t="s">
        <v>15</v>
      </c>
      <c r="F152" t="s">
        <v>16</v>
      </c>
      <c r="G152" t="s">
        <v>17</v>
      </c>
      <c r="H152" t="s">
        <v>18</v>
      </c>
      <c r="I152">
        <v>65.141999999999996</v>
      </c>
      <c r="J152" t="s">
        <v>19</v>
      </c>
      <c r="K152" t="s">
        <v>238</v>
      </c>
      <c r="L152" t="s">
        <v>21</v>
      </c>
      <c r="M152" t="str">
        <f t="shared" si="6"/>
        <v>OK</v>
      </c>
      <c r="N152" t="str">
        <f t="shared" si="7"/>
        <v>1960s</v>
      </c>
      <c r="O152" t="str">
        <f t="shared" si="8"/>
        <v>Medium</v>
      </c>
      <c r="P152" t="str">
        <f>VLOOKUP(E152,calculated_fields!$F$4:$G$6,2,FALSE)</f>
        <v>Health</v>
      </c>
    </row>
    <row r="153" spans="1:16">
      <c r="A153" t="s">
        <v>239</v>
      </c>
      <c r="B153" t="s">
        <v>228</v>
      </c>
      <c r="C153" t="s">
        <v>229</v>
      </c>
      <c r="D153">
        <v>1962</v>
      </c>
      <c r="E153" t="s">
        <v>23</v>
      </c>
      <c r="F153" t="s">
        <v>24</v>
      </c>
      <c r="G153" t="s">
        <v>25</v>
      </c>
      <c r="H153" t="s">
        <v>26</v>
      </c>
      <c r="I153">
        <v>21283783</v>
      </c>
      <c r="J153" t="s">
        <v>27</v>
      </c>
      <c r="K153" t="s">
        <v>238</v>
      </c>
      <c r="L153" t="s">
        <v>21</v>
      </c>
      <c r="M153" t="str">
        <f t="shared" si="6"/>
        <v>OK</v>
      </c>
      <c r="N153" t="str">
        <f t="shared" si="7"/>
        <v>1960s</v>
      </c>
      <c r="O153" t="str">
        <f t="shared" si="8"/>
        <v>N/A</v>
      </c>
      <c r="P153" t="str">
        <f>VLOOKUP(E153,calculated_fields!$F$4:$G$6,2,FALSE)</f>
        <v>Demographics</v>
      </c>
    </row>
    <row r="154" spans="1:16">
      <c r="A154" t="s">
        <v>240</v>
      </c>
      <c r="B154" t="s">
        <v>228</v>
      </c>
      <c r="C154" t="s">
        <v>229</v>
      </c>
      <c r="D154">
        <v>1962</v>
      </c>
      <c r="E154" t="s">
        <v>29</v>
      </c>
      <c r="F154" t="s">
        <v>30</v>
      </c>
      <c r="G154" t="s">
        <v>31</v>
      </c>
      <c r="H154" t="s">
        <v>32</v>
      </c>
      <c r="I154">
        <v>7133.1660229999998</v>
      </c>
      <c r="J154" t="s">
        <v>33</v>
      </c>
      <c r="K154" t="s">
        <v>238</v>
      </c>
      <c r="L154" t="s">
        <v>21</v>
      </c>
      <c r="M154" t="str">
        <f t="shared" si="6"/>
        <v>OK</v>
      </c>
      <c r="N154" t="str">
        <f t="shared" si="7"/>
        <v>1960s</v>
      </c>
      <c r="O154" t="str">
        <f t="shared" si="8"/>
        <v>N/A</v>
      </c>
      <c r="P154" t="str">
        <f>VLOOKUP(E154,calculated_fields!$F$4:$G$6,2,FALSE)</f>
        <v>Economy</v>
      </c>
    </row>
    <row r="155" spans="1:16">
      <c r="A155" t="s">
        <v>241</v>
      </c>
      <c r="B155" t="s">
        <v>228</v>
      </c>
      <c r="C155" t="s">
        <v>229</v>
      </c>
      <c r="D155">
        <v>1967</v>
      </c>
      <c r="E155" t="s">
        <v>15</v>
      </c>
      <c r="F155" t="s">
        <v>16</v>
      </c>
      <c r="G155" t="s">
        <v>17</v>
      </c>
      <c r="H155" t="s">
        <v>18</v>
      </c>
      <c r="I155">
        <v>65.634</v>
      </c>
      <c r="J155" t="s">
        <v>19</v>
      </c>
      <c r="K155" t="s">
        <v>242</v>
      </c>
      <c r="L155" t="s">
        <v>21</v>
      </c>
      <c r="M155" t="str">
        <f t="shared" si="6"/>
        <v>OK</v>
      </c>
      <c r="N155" t="str">
        <f t="shared" si="7"/>
        <v>1960s</v>
      </c>
      <c r="O155" t="str">
        <f t="shared" si="8"/>
        <v>Medium</v>
      </c>
      <c r="P155" t="str">
        <f>VLOOKUP(E155,calculated_fields!$F$4:$G$6,2,FALSE)</f>
        <v>Health</v>
      </c>
    </row>
    <row r="156" spans="1:16">
      <c r="A156" t="s">
        <v>243</v>
      </c>
      <c r="B156" t="s">
        <v>228</v>
      </c>
      <c r="C156" t="s">
        <v>229</v>
      </c>
      <c r="D156">
        <v>1967</v>
      </c>
      <c r="E156" t="s">
        <v>23</v>
      </c>
      <c r="F156" t="s">
        <v>24</v>
      </c>
      <c r="G156" t="s">
        <v>25</v>
      </c>
      <c r="H156" t="s">
        <v>26</v>
      </c>
      <c r="I156">
        <v>22934225</v>
      </c>
      <c r="J156" t="s">
        <v>27</v>
      </c>
      <c r="K156" t="s">
        <v>242</v>
      </c>
      <c r="L156" t="s">
        <v>21</v>
      </c>
      <c r="M156" t="str">
        <f t="shared" si="6"/>
        <v>OK</v>
      </c>
      <c r="N156" t="str">
        <f t="shared" si="7"/>
        <v>1960s</v>
      </c>
      <c r="O156" t="str">
        <f t="shared" si="8"/>
        <v>N/A</v>
      </c>
      <c r="P156" t="str">
        <f>VLOOKUP(E156,calculated_fields!$F$4:$G$6,2,FALSE)</f>
        <v>Demographics</v>
      </c>
    </row>
    <row r="157" spans="1:16">
      <c r="A157" t="s">
        <v>244</v>
      </c>
      <c r="B157" t="s">
        <v>228</v>
      </c>
      <c r="C157" t="s">
        <v>229</v>
      </c>
      <c r="D157">
        <v>1967</v>
      </c>
      <c r="E157" t="s">
        <v>29</v>
      </c>
      <c r="F157" t="s">
        <v>30</v>
      </c>
      <c r="G157" t="s">
        <v>31</v>
      </c>
      <c r="H157" t="s">
        <v>32</v>
      </c>
      <c r="I157">
        <v>8052.9530209999903</v>
      </c>
      <c r="J157" t="s">
        <v>33</v>
      </c>
      <c r="K157" t="s">
        <v>242</v>
      </c>
      <c r="L157" t="s">
        <v>21</v>
      </c>
      <c r="M157" t="str">
        <f t="shared" si="6"/>
        <v>OK</v>
      </c>
      <c r="N157" t="str">
        <f t="shared" si="7"/>
        <v>1960s</v>
      </c>
      <c r="O157" t="str">
        <f t="shared" si="8"/>
        <v>N/A</v>
      </c>
      <c r="P157" t="str">
        <f>VLOOKUP(E157,calculated_fields!$F$4:$G$6,2,FALSE)</f>
        <v>Economy</v>
      </c>
    </row>
    <row r="158" spans="1:16">
      <c r="A158" t="s">
        <v>245</v>
      </c>
      <c r="B158" t="s">
        <v>228</v>
      </c>
      <c r="C158" t="s">
        <v>229</v>
      </c>
      <c r="D158">
        <v>1972</v>
      </c>
      <c r="E158" t="s">
        <v>15</v>
      </c>
      <c r="F158" t="s">
        <v>16</v>
      </c>
      <c r="G158" t="s">
        <v>17</v>
      </c>
      <c r="H158" t="s">
        <v>18</v>
      </c>
      <c r="I158">
        <v>67.064999999999998</v>
      </c>
      <c r="J158" t="s">
        <v>19</v>
      </c>
      <c r="K158" t="s">
        <v>246</v>
      </c>
      <c r="L158" t="s">
        <v>21</v>
      </c>
      <c r="M158" t="str">
        <f t="shared" si="6"/>
        <v>OK</v>
      </c>
      <c r="N158" t="str">
        <f t="shared" si="7"/>
        <v>1970s</v>
      </c>
      <c r="O158" t="str">
        <f t="shared" si="8"/>
        <v>Medium</v>
      </c>
      <c r="P158" t="str">
        <f>VLOOKUP(E158,calculated_fields!$F$4:$G$6,2,FALSE)</f>
        <v>Health</v>
      </c>
    </row>
    <row r="159" spans="1:16">
      <c r="A159" t="s">
        <v>247</v>
      </c>
      <c r="B159" t="s">
        <v>228</v>
      </c>
      <c r="C159" t="s">
        <v>229</v>
      </c>
      <c r="D159">
        <v>1972</v>
      </c>
      <c r="E159" t="s">
        <v>23</v>
      </c>
      <c r="F159" t="s">
        <v>24</v>
      </c>
      <c r="G159" t="s">
        <v>25</v>
      </c>
      <c r="H159" t="s">
        <v>26</v>
      </c>
      <c r="I159">
        <v>24779799</v>
      </c>
      <c r="J159" t="s">
        <v>27</v>
      </c>
      <c r="K159" t="s">
        <v>246</v>
      </c>
      <c r="L159" t="s">
        <v>21</v>
      </c>
      <c r="M159" t="str">
        <f t="shared" si="6"/>
        <v>OK</v>
      </c>
      <c r="N159" t="str">
        <f t="shared" si="7"/>
        <v>1970s</v>
      </c>
      <c r="O159" t="str">
        <f t="shared" si="8"/>
        <v>N/A</v>
      </c>
      <c r="P159" t="str">
        <f>VLOOKUP(E159,calculated_fields!$F$4:$G$6,2,FALSE)</f>
        <v>Demographics</v>
      </c>
    </row>
    <row r="160" spans="1:16">
      <c r="A160" t="s">
        <v>248</v>
      </c>
      <c r="B160" t="s">
        <v>228</v>
      </c>
      <c r="C160" t="s">
        <v>229</v>
      </c>
      <c r="D160">
        <v>1972</v>
      </c>
      <c r="E160" t="s">
        <v>29</v>
      </c>
      <c r="F160" t="s">
        <v>30</v>
      </c>
      <c r="G160" t="s">
        <v>31</v>
      </c>
      <c r="H160" t="s">
        <v>32</v>
      </c>
      <c r="I160">
        <v>9443.0385260000003</v>
      </c>
      <c r="J160" t="s">
        <v>33</v>
      </c>
      <c r="K160" t="s">
        <v>246</v>
      </c>
      <c r="L160" t="s">
        <v>21</v>
      </c>
      <c r="M160" t="str">
        <f t="shared" si="6"/>
        <v>OK</v>
      </c>
      <c r="N160" t="str">
        <f t="shared" si="7"/>
        <v>1970s</v>
      </c>
      <c r="O160" t="str">
        <f t="shared" si="8"/>
        <v>N/A</v>
      </c>
      <c r="P160" t="str">
        <f>VLOOKUP(E160,calculated_fields!$F$4:$G$6,2,FALSE)</f>
        <v>Economy</v>
      </c>
    </row>
    <row r="161" spans="1:16">
      <c r="A161" t="s">
        <v>249</v>
      </c>
      <c r="B161" t="s">
        <v>228</v>
      </c>
      <c r="C161" t="s">
        <v>229</v>
      </c>
      <c r="D161">
        <v>1977</v>
      </c>
      <c r="E161" t="s">
        <v>15</v>
      </c>
      <c r="F161" t="s">
        <v>16</v>
      </c>
      <c r="G161" t="s">
        <v>17</v>
      </c>
      <c r="H161" t="s">
        <v>18</v>
      </c>
      <c r="I161">
        <v>68.480999999999995</v>
      </c>
      <c r="J161" t="s">
        <v>19</v>
      </c>
      <c r="K161" t="s">
        <v>250</v>
      </c>
      <c r="L161" t="s">
        <v>21</v>
      </c>
      <c r="M161" t="str">
        <f t="shared" si="6"/>
        <v>OK</v>
      </c>
      <c r="N161" t="str">
        <f t="shared" si="7"/>
        <v>1970s</v>
      </c>
      <c r="O161" t="str">
        <f t="shared" si="8"/>
        <v>Medium</v>
      </c>
      <c r="P161" t="str">
        <f>VLOOKUP(E161,calculated_fields!$F$4:$G$6,2,FALSE)</f>
        <v>Health</v>
      </c>
    </row>
    <row r="162" spans="1:16">
      <c r="A162" t="s">
        <v>251</v>
      </c>
      <c r="B162" t="s">
        <v>228</v>
      </c>
      <c r="C162" t="s">
        <v>229</v>
      </c>
      <c r="D162">
        <v>1977</v>
      </c>
      <c r="E162" t="s">
        <v>23</v>
      </c>
      <c r="F162" t="s">
        <v>24</v>
      </c>
      <c r="G162" t="s">
        <v>25</v>
      </c>
      <c r="H162" t="s">
        <v>26</v>
      </c>
      <c r="I162">
        <v>26983828</v>
      </c>
      <c r="J162" t="s">
        <v>27</v>
      </c>
      <c r="K162" t="s">
        <v>250</v>
      </c>
      <c r="L162" t="s">
        <v>21</v>
      </c>
      <c r="M162" t="str">
        <f t="shared" si="6"/>
        <v>OK</v>
      </c>
      <c r="N162" t="str">
        <f t="shared" si="7"/>
        <v>1970s</v>
      </c>
      <c r="O162" t="str">
        <f t="shared" si="8"/>
        <v>N/A</v>
      </c>
      <c r="P162" t="str">
        <f>VLOOKUP(E162,calculated_fields!$F$4:$G$6,2,FALSE)</f>
        <v>Demographics</v>
      </c>
    </row>
    <row r="163" spans="1:16">
      <c r="A163" t="s">
        <v>252</v>
      </c>
      <c r="B163" t="s">
        <v>228</v>
      </c>
      <c r="C163" t="s">
        <v>229</v>
      </c>
      <c r="D163">
        <v>1977</v>
      </c>
      <c r="E163" t="s">
        <v>29</v>
      </c>
      <c r="F163" t="s">
        <v>30</v>
      </c>
      <c r="G163" t="s">
        <v>31</v>
      </c>
      <c r="H163" t="s">
        <v>32</v>
      </c>
      <c r="I163">
        <v>10079.026739999999</v>
      </c>
      <c r="J163" t="s">
        <v>33</v>
      </c>
      <c r="K163" t="s">
        <v>250</v>
      </c>
      <c r="L163" t="s">
        <v>21</v>
      </c>
      <c r="M163" t="str">
        <f t="shared" si="6"/>
        <v>OK</v>
      </c>
      <c r="N163" t="str">
        <f t="shared" si="7"/>
        <v>1970s</v>
      </c>
      <c r="O163" t="str">
        <f t="shared" si="8"/>
        <v>N/A</v>
      </c>
      <c r="P163" t="str">
        <f>VLOOKUP(E163,calculated_fields!$F$4:$G$6,2,FALSE)</f>
        <v>Economy</v>
      </c>
    </row>
    <row r="164" spans="1:16">
      <c r="A164" t="s">
        <v>253</v>
      </c>
      <c r="B164" t="s">
        <v>228</v>
      </c>
      <c r="C164" t="s">
        <v>229</v>
      </c>
      <c r="D164">
        <v>1982</v>
      </c>
      <c r="E164" t="s">
        <v>15</v>
      </c>
      <c r="F164" t="s">
        <v>16</v>
      </c>
      <c r="G164" t="s">
        <v>17</v>
      </c>
      <c r="H164" t="s">
        <v>18</v>
      </c>
      <c r="I164">
        <v>69.941999999999993</v>
      </c>
      <c r="J164" t="s">
        <v>19</v>
      </c>
      <c r="K164" t="s">
        <v>254</v>
      </c>
      <c r="L164" t="s">
        <v>21</v>
      </c>
      <c r="M164" t="str">
        <f t="shared" si="6"/>
        <v>OK</v>
      </c>
      <c r="N164" t="str">
        <f t="shared" si="7"/>
        <v>1980s</v>
      </c>
      <c r="O164" t="str">
        <f t="shared" si="8"/>
        <v>Medium</v>
      </c>
      <c r="P164" t="str">
        <f>VLOOKUP(E164,calculated_fields!$F$4:$G$6,2,FALSE)</f>
        <v>Health</v>
      </c>
    </row>
    <row r="165" spans="1:16">
      <c r="A165" t="s">
        <v>255</v>
      </c>
      <c r="B165" t="s">
        <v>228</v>
      </c>
      <c r="C165" t="s">
        <v>229</v>
      </c>
      <c r="D165">
        <v>1982</v>
      </c>
      <c r="E165" t="s">
        <v>23</v>
      </c>
      <c r="F165" t="s">
        <v>24</v>
      </c>
      <c r="G165" t="s">
        <v>25</v>
      </c>
      <c r="H165" t="s">
        <v>26</v>
      </c>
      <c r="I165">
        <v>29341374</v>
      </c>
      <c r="J165" t="s">
        <v>27</v>
      </c>
      <c r="K165" t="s">
        <v>254</v>
      </c>
      <c r="L165" t="s">
        <v>21</v>
      </c>
      <c r="M165" t="str">
        <f t="shared" si="6"/>
        <v>OK</v>
      </c>
      <c r="N165" t="str">
        <f t="shared" si="7"/>
        <v>1980s</v>
      </c>
      <c r="O165" t="str">
        <f t="shared" si="8"/>
        <v>N/A</v>
      </c>
      <c r="P165" t="str">
        <f>VLOOKUP(E165,calculated_fields!$F$4:$G$6,2,FALSE)</f>
        <v>Demographics</v>
      </c>
    </row>
    <row r="166" spans="1:16">
      <c r="A166" t="s">
        <v>256</v>
      </c>
      <c r="B166" t="s">
        <v>228</v>
      </c>
      <c r="C166" t="s">
        <v>229</v>
      </c>
      <c r="D166">
        <v>1982</v>
      </c>
      <c r="E166" t="s">
        <v>29</v>
      </c>
      <c r="F166" t="s">
        <v>30</v>
      </c>
      <c r="G166" t="s">
        <v>31</v>
      </c>
      <c r="H166" t="s">
        <v>32</v>
      </c>
      <c r="I166">
        <v>8997.8974120000003</v>
      </c>
      <c r="J166" t="s">
        <v>33</v>
      </c>
      <c r="K166" t="s">
        <v>254</v>
      </c>
      <c r="L166" t="s">
        <v>21</v>
      </c>
      <c r="M166" t="str">
        <f t="shared" si="6"/>
        <v>OK</v>
      </c>
      <c r="N166" t="str">
        <f t="shared" si="7"/>
        <v>1980s</v>
      </c>
      <c r="O166" t="str">
        <f t="shared" si="8"/>
        <v>N/A</v>
      </c>
      <c r="P166" t="str">
        <f>VLOOKUP(E166,calculated_fields!$F$4:$G$6,2,FALSE)</f>
        <v>Economy</v>
      </c>
    </row>
    <row r="167" spans="1:16">
      <c r="A167" t="s">
        <v>257</v>
      </c>
      <c r="B167" t="s">
        <v>228</v>
      </c>
      <c r="C167" t="s">
        <v>229</v>
      </c>
      <c r="D167">
        <v>1987</v>
      </c>
      <c r="E167" t="s">
        <v>15</v>
      </c>
      <c r="F167" t="s">
        <v>16</v>
      </c>
      <c r="G167" t="s">
        <v>17</v>
      </c>
      <c r="H167" t="s">
        <v>18</v>
      </c>
      <c r="I167">
        <v>70.774000000000001</v>
      </c>
      <c r="J167" t="s">
        <v>19</v>
      </c>
      <c r="K167" t="s">
        <v>258</v>
      </c>
      <c r="L167" t="s">
        <v>21</v>
      </c>
      <c r="M167" t="str">
        <f t="shared" si="6"/>
        <v>OK</v>
      </c>
      <c r="N167" t="str">
        <f t="shared" si="7"/>
        <v>1980s</v>
      </c>
      <c r="O167" t="str">
        <f t="shared" si="8"/>
        <v>High</v>
      </c>
      <c r="P167" t="str">
        <f>VLOOKUP(E167,calculated_fields!$F$4:$G$6,2,FALSE)</f>
        <v>Health</v>
      </c>
    </row>
    <row r="168" spans="1:16">
      <c r="A168" t="s">
        <v>259</v>
      </c>
      <c r="B168" t="s">
        <v>228</v>
      </c>
      <c r="C168" t="s">
        <v>229</v>
      </c>
      <c r="D168">
        <v>1987</v>
      </c>
      <c r="E168" t="s">
        <v>23</v>
      </c>
      <c r="F168" t="s">
        <v>24</v>
      </c>
      <c r="G168" t="s">
        <v>25</v>
      </c>
      <c r="H168" t="s">
        <v>26</v>
      </c>
      <c r="I168">
        <v>31620918</v>
      </c>
      <c r="J168" t="s">
        <v>27</v>
      </c>
      <c r="K168" t="s">
        <v>258</v>
      </c>
      <c r="L168" t="s">
        <v>21</v>
      </c>
      <c r="M168" t="str">
        <f t="shared" si="6"/>
        <v>OK</v>
      </c>
      <c r="N168" t="str">
        <f t="shared" si="7"/>
        <v>1980s</v>
      </c>
      <c r="O168" t="str">
        <f t="shared" si="8"/>
        <v>N/A</v>
      </c>
      <c r="P168" t="str">
        <f>VLOOKUP(E168,calculated_fields!$F$4:$G$6,2,FALSE)</f>
        <v>Demographics</v>
      </c>
    </row>
    <row r="169" spans="1:16">
      <c r="A169" t="s">
        <v>260</v>
      </c>
      <c r="B169" t="s">
        <v>228</v>
      </c>
      <c r="C169" t="s">
        <v>229</v>
      </c>
      <c r="D169">
        <v>1987</v>
      </c>
      <c r="E169" t="s">
        <v>29</v>
      </c>
      <c r="F169" t="s">
        <v>30</v>
      </c>
      <c r="G169" t="s">
        <v>31</v>
      </c>
      <c r="H169" t="s">
        <v>32</v>
      </c>
      <c r="I169">
        <v>9139.6713889999992</v>
      </c>
      <c r="J169" t="s">
        <v>33</v>
      </c>
      <c r="K169" t="s">
        <v>258</v>
      </c>
      <c r="L169" t="s">
        <v>21</v>
      </c>
      <c r="M169" t="str">
        <f t="shared" si="6"/>
        <v>OK</v>
      </c>
      <c r="N169" t="str">
        <f t="shared" si="7"/>
        <v>1980s</v>
      </c>
      <c r="O169" t="str">
        <f t="shared" si="8"/>
        <v>N/A</v>
      </c>
      <c r="P169" t="str">
        <f>VLOOKUP(E169,calculated_fields!$F$4:$G$6,2,FALSE)</f>
        <v>Economy</v>
      </c>
    </row>
    <row r="170" spans="1:16">
      <c r="A170" t="s">
        <v>261</v>
      </c>
      <c r="B170" t="s">
        <v>228</v>
      </c>
      <c r="C170" t="s">
        <v>229</v>
      </c>
      <c r="D170">
        <v>1992</v>
      </c>
      <c r="E170" t="s">
        <v>15</v>
      </c>
      <c r="F170" t="s">
        <v>16</v>
      </c>
      <c r="G170" t="s">
        <v>17</v>
      </c>
      <c r="H170" t="s">
        <v>18</v>
      </c>
      <c r="I170">
        <v>71.867999999999995</v>
      </c>
      <c r="J170" t="s">
        <v>19</v>
      </c>
      <c r="K170" t="s">
        <v>262</v>
      </c>
      <c r="L170" t="s">
        <v>21</v>
      </c>
      <c r="M170" t="str">
        <f t="shared" si="6"/>
        <v>OK</v>
      </c>
      <c r="N170" t="str">
        <f t="shared" si="7"/>
        <v>1990s</v>
      </c>
      <c r="O170" t="str">
        <f t="shared" si="8"/>
        <v>High</v>
      </c>
      <c r="P170" t="str">
        <f>VLOOKUP(E170,calculated_fields!$F$4:$G$6,2,FALSE)</f>
        <v>Health</v>
      </c>
    </row>
    <row r="171" spans="1:16">
      <c r="A171" t="s">
        <v>263</v>
      </c>
      <c r="B171" t="s">
        <v>228</v>
      </c>
      <c r="C171" t="s">
        <v>229</v>
      </c>
      <c r="D171">
        <v>1992</v>
      </c>
      <c r="E171" t="s">
        <v>23</v>
      </c>
      <c r="F171" t="s">
        <v>24</v>
      </c>
      <c r="G171" t="s">
        <v>25</v>
      </c>
      <c r="H171" t="s">
        <v>26</v>
      </c>
      <c r="I171">
        <v>33958947</v>
      </c>
      <c r="J171" t="s">
        <v>27</v>
      </c>
      <c r="K171" t="s">
        <v>262</v>
      </c>
      <c r="L171" t="s">
        <v>21</v>
      </c>
      <c r="M171" t="str">
        <f t="shared" si="6"/>
        <v>OK</v>
      </c>
      <c r="N171" t="str">
        <f t="shared" si="7"/>
        <v>1990s</v>
      </c>
      <c r="O171" t="str">
        <f t="shared" si="8"/>
        <v>N/A</v>
      </c>
      <c r="P171" t="str">
        <f>VLOOKUP(E171,calculated_fields!$F$4:$G$6,2,FALSE)</f>
        <v>Demographics</v>
      </c>
    </row>
    <row r="172" spans="1:16">
      <c r="A172" t="s">
        <v>264</v>
      </c>
      <c r="B172" t="s">
        <v>228</v>
      </c>
      <c r="C172" t="s">
        <v>229</v>
      </c>
      <c r="D172">
        <v>1992</v>
      </c>
      <c r="E172" t="s">
        <v>29</v>
      </c>
      <c r="F172" t="s">
        <v>30</v>
      </c>
      <c r="G172" t="s">
        <v>31</v>
      </c>
      <c r="H172" t="s">
        <v>32</v>
      </c>
      <c r="I172">
        <v>9308.4187099999999</v>
      </c>
      <c r="J172" t="s">
        <v>33</v>
      </c>
      <c r="K172" t="s">
        <v>262</v>
      </c>
      <c r="L172" t="s">
        <v>21</v>
      </c>
      <c r="M172" t="str">
        <f t="shared" si="6"/>
        <v>OK</v>
      </c>
      <c r="N172" t="str">
        <f t="shared" si="7"/>
        <v>1990s</v>
      </c>
      <c r="O172" t="str">
        <f t="shared" si="8"/>
        <v>N/A</v>
      </c>
      <c r="P172" t="str">
        <f>VLOOKUP(E172,calculated_fields!$F$4:$G$6,2,FALSE)</f>
        <v>Economy</v>
      </c>
    </row>
    <row r="173" spans="1:16">
      <c r="A173" t="s">
        <v>265</v>
      </c>
      <c r="B173" t="s">
        <v>228</v>
      </c>
      <c r="C173" t="s">
        <v>229</v>
      </c>
      <c r="D173">
        <v>1997</v>
      </c>
      <c r="E173" t="s">
        <v>15</v>
      </c>
      <c r="F173" t="s">
        <v>16</v>
      </c>
      <c r="G173" t="s">
        <v>17</v>
      </c>
      <c r="H173" t="s">
        <v>18</v>
      </c>
      <c r="I173">
        <v>73.275000000000006</v>
      </c>
      <c r="J173" t="s">
        <v>19</v>
      </c>
      <c r="K173" t="s">
        <v>266</v>
      </c>
      <c r="L173" t="s">
        <v>21</v>
      </c>
      <c r="M173" t="str">
        <f t="shared" si="6"/>
        <v>OK</v>
      </c>
      <c r="N173" t="str">
        <f t="shared" si="7"/>
        <v>1990s</v>
      </c>
      <c r="O173" t="str">
        <f t="shared" si="8"/>
        <v>High</v>
      </c>
      <c r="P173" t="str">
        <f>VLOOKUP(E173,calculated_fields!$F$4:$G$6,2,FALSE)</f>
        <v>Health</v>
      </c>
    </row>
    <row r="174" spans="1:16">
      <c r="A174" t="s">
        <v>267</v>
      </c>
      <c r="B174" t="s">
        <v>228</v>
      </c>
      <c r="C174" t="s">
        <v>229</v>
      </c>
      <c r="D174">
        <v>1997</v>
      </c>
      <c r="E174" t="s">
        <v>23</v>
      </c>
      <c r="F174" t="s">
        <v>24</v>
      </c>
      <c r="G174" t="s">
        <v>25</v>
      </c>
      <c r="H174" t="s">
        <v>26</v>
      </c>
      <c r="I174">
        <v>36203463</v>
      </c>
      <c r="J174" t="s">
        <v>27</v>
      </c>
      <c r="K174" t="s">
        <v>266</v>
      </c>
      <c r="L174" t="s">
        <v>21</v>
      </c>
      <c r="M174" t="str">
        <f t="shared" si="6"/>
        <v>OK</v>
      </c>
      <c r="N174" t="str">
        <f t="shared" si="7"/>
        <v>1990s</v>
      </c>
      <c r="O174" t="str">
        <f t="shared" si="8"/>
        <v>N/A</v>
      </c>
      <c r="P174" t="str">
        <f>VLOOKUP(E174,calculated_fields!$F$4:$G$6,2,FALSE)</f>
        <v>Demographics</v>
      </c>
    </row>
    <row r="175" spans="1:16">
      <c r="A175" t="s">
        <v>268</v>
      </c>
      <c r="B175" t="s">
        <v>228</v>
      </c>
      <c r="C175" t="s">
        <v>229</v>
      </c>
      <c r="D175">
        <v>1997</v>
      </c>
      <c r="E175" t="s">
        <v>29</v>
      </c>
      <c r="F175" t="s">
        <v>30</v>
      </c>
      <c r="G175" t="s">
        <v>31</v>
      </c>
      <c r="H175" t="s">
        <v>32</v>
      </c>
      <c r="I175">
        <v>10967.281950000001</v>
      </c>
      <c r="J175" t="s">
        <v>33</v>
      </c>
      <c r="K175" t="s">
        <v>266</v>
      </c>
      <c r="L175" t="s">
        <v>21</v>
      </c>
      <c r="M175" t="str">
        <f t="shared" si="6"/>
        <v>OK</v>
      </c>
      <c r="N175" t="str">
        <f t="shared" si="7"/>
        <v>1990s</v>
      </c>
      <c r="O175" t="str">
        <f t="shared" si="8"/>
        <v>N/A</v>
      </c>
      <c r="P175" t="str">
        <f>VLOOKUP(E175,calculated_fields!$F$4:$G$6,2,FALSE)</f>
        <v>Economy</v>
      </c>
    </row>
    <row r="176" spans="1:16">
      <c r="A176" t="s">
        <v>269</v>
      </c>
      <c r="B176" t="s">
        <v>228</v>
      </c>
      <c r="C176" t="s">
        <v>229</v>
      </c>
      <c r="D176">
        <v>2002</v>
      </c>
      <c r="E176" t="s">
        <v>15</v>
      </c>
      <c r="F176" t="s">
        <v>16</v>
      </c>
      <c r="G176" t="s">
        <v>17</v>
      </c>
      <c r="H176" t="s">
        <v>18</v>
      </c>
      <c r="I176">
        <v>74.34</v>
      </c>
      <c r="J176" t="s">
        <v>19</v>
      </c>
      <c r="K176" t="s">
        <v>270</v>
      </c>
      <c r="L176" t="s">
        <v>21</v>
      </c>
      <c r="M176" t="str">
        <f t="shared" si="6"/>
        <v>OK</v>
      </c>
      <c r="N176" t="str">
        <f t="shared" si="7"/>
        <v>2000s</v>
      </c>
      <c r="O176" t="str">
        <f t="shared" si="8"/>
        <v>High</v>
      </c>
      <c r="P176" t="str">
        <f>VLOOKUP(E176,calculated_fields!$F$4:$G$6,2,FALSE)</f>
        <v>Health</v>
      </c>
    </row>
    <row r="177" spans="1:16">
      <c r="A177" t="s">
        <v>271</v>
      </c>
      <c r="B177" t="s">
        <v>228</v>
      </c>
      <c r="C177" t="s">
        <v>229</v>
      </c>
      <c r="D177">
        <v>2002</v>
      </c>
      <c r="E177" t="s">
        <v>23</v>
      </c>
      <c r="F177" t="s">
        <v>24</v>
      </c>
      <c r="G177" t="s">
        <v>25</v>
      </c>
      <c r="H177" t="s">
        <v>26</v>
      </c>
      <c r="I177">
        <v>38331121</v>
      </c>
      <c r="J177" t="s">
        <v>27</v>
      </c>
      <c r="K177" t="s">
        <v>270</v>
      </c>
      <c r="L177" t="s">
        <v>21</v>
      </c>
      <c r="M177" t="str">
        <f t="shared" si="6"/>
        <v>OK</v>
      </c>
      <c r="N177" t="str">
        <f t="shared" si="7"/>
        <v>2000s</v>
      </c>
      <c r="O177" t="str">
        <f t="shared" si="8"/>
        <v>N/A</v>
      </c>
      <c r="P177" t="str">
        <f>VLOOKUP(E177,calculated_fields!$F$4:$G$6,2,FALSE)</f>
        <v>Demographics</v>
      </c>
    </row>
    <row r="178" spans="1:16">
      <c r="A178" t="s">
        <v>272</v>
      </c>
      <c r="B178" t="s">
        <v>228</v>
      </c>
      <c r="C178" t="s">
        <v>229</v>
      </c>
      <c r="D178">
        <v>2002</v>
      </c>
      <c r="E178" t="s">
        <v>29</v>
      </c>
      <c r="F178" t="s">
        <v>30</v>
      </c>
      <c r="G178" t="s">
        <v>31</v>
      </c>
      <c r="H178" t="s">
        <v>32</v>
      </c>
      <c r="I178">
        <v>8797.6407159999999</v>
      </c>
      <c r="J178" t="s">
        <v>33</v>
      </c>
      <c r="K178" t="s">
        <v>270</v>
      </c>
      <c r="L178" t="s">
        <v>21</v>
      </c>
      <c r="M178" t="str">
        <f t="shared" si="6"/>
        <v>OK</v>
      </c>
      <c r="N178" t="str">
        <f t="shared" si="7"/>
        <v>2000s</v>
      </c>
      <c r="O178" t="str">
        <f t="shared" si="8"/>
        <v>N/A</v>
      </c>
      <c r="P178" t="str">
        <f>VLOOKUP(E178,calculated_fields!$F$4:$G$6,2,FALSE)</f>
        <v>Economy</v>
      </c>
    </row>
    <row r="179" spans="1:16">
      <c r="A179" t="s">
        <v>273</v>
      </c>
      <c r="B179" t="s">
        <v>228</v>
      </c>
      <c r="C179" t="s">
        <v>229</v>
      </c>
      <c r="D179">
        <v>2007</v>
      </c>
      <c r="E179" t="s">
        <v>15</v>
      </c>
      <c r="F179" t="s">
        <v>16</v>
      </c>
      <c r="G179" t="s">
        <v>17</v>
      </c>
      <c r="H179" t="s">
        <v>18</v>
      </c>
      <c r="I179">
        <v>75.319999999999993</v>
      </c>
      <c r="J179" t="s">
        <v>19</v>
      </c>
      <c r="K179" t="s">
        <v>274</v>
      </c>
      <c r="L179" t="s">
        <v>21</v>
      </c>
      <c r="M179" t="str">
        <f t="shared" si="6"/>
        <v>OK</v>
      </c>
      <c r="N179" t="str">
        <f t="shared" si="7"/>
        <v>2000s</v>
      </c>
      <c r="O179" t="str">
        <f t="shared" si="8"/>
        <v>High</v>
      </c>
      <c r="P179" t="str">
        <f>VLOOKUP(E179,calculated_fields!$F$4:$G$6,2,FALSE)</f>
        <v>Health</v>
      </c>
    </row>
    <row r="180" spans="1:16">
      <c r="A180" t="s">
        <v>275</v>
      </c>
      <c r="B180" t="s">
        <v>228</v>
      </c>
      <c r="C180" t="s">
        <v>229</v>
      </c>
      <c r="D180">
        <v>2007</v>
      </c>
      <c r="E180" t="s">
        <v>23</v>
      </c>
      <c r="F180" t="s">
        <v>24</v>
      </c>
      <c r="G180" t="s">
        <v>25</v>
      </c>
      <c r="H180" t="s">
        <v>26</v>
      </c>
      <c r="I180">
        <v>40301927</v>
      </c>
      <c r="J180" t="s">
        <v>27</v>
      </c>
      <c r="K180" t="s">
        <v>274</v>
      </c>
      <c r="L180" t="s">
        <v>21</v>
      </c>
      <c r="M180" t="str">
        <f t="shared" si="6"/>
        <v>OK</v>
      </c>
      <c r="N180" t="str">
        <f t="shared" si="7"/>
        <v>2000s</v>
      </c>
      <c r="O180" t="str">
        <f t="shared" si="8"/>
        <v>N/A</v>
      </c>
      <c r="P180" t="str">
        <f>VLOOKUP(E180,calculated_fields!$F$4:$G$6,2,FALSE)</f>
        <v>Demographics</v>
      </c>
    </row>
    <row r="181" spans="1:16">
      <c r="A181" t="s">
        <v>276</v>
      </c>
      <c r="B181" t="s">
        <v>228</v>
      </c>
      <c r="C181" t="s">
        <v>229</v>
      </c>
      <c r="D181">
        <v>2007</v>
      </c>
      <c r="E181" t="s">
        <v>29</v>
      </c>
      <c r="F181" t="s">
        <v>30</v>
      </c>
      <c r="G181" t="s">
        <v>31</v>
      </c>
      <c r="H181" t="s">
        <v>32</v>
      </c>
      <c r="I181">
        <v>12779.379639999999</v>
      </c>
      <c r="J181" t="s">
        <v>33</v>
      </c>
      <c r="K181" t="s">
        <v>274</v>
      </c>
      <c r="L181" t="s">
        <v>21</v>
      </c>
      <c r="M181" t="str">
        <f t="shared" si="6"/>
        <v>OK</v>
      </c>
      <c r="N181" t="str">
        <f t="shared" si="7"/>
        <v>2000s</v>
      </c>
      <c r="O181" t="str">
        <f t="shared" si="8"/>
        <v>N/A</v>
      </c>
      <c r="P181" t="str">
        <f>VLOOKUP(E181,calculated_fields!$F$4:$G$6,2,FALSE)</f>
        <v>Economy</v>
      </c>
    </row>
    <row r="182" spans="1:16">
      <c r="A182" t="s">
        <v>277</v>
      </c>
      <c r="B182" t="s">
        <v>278</v>
      </c>
      <c r="C182" t="s">
        <v>279</v>
      </c>
      <c r="D182">
        <v>1952</v>
      </c>
      <c r="E182" t="s">
        <v>15</v>
      </c>
      <c r="F182" t="s">
        <v>16</v>
      </c>
      <c r="G182" t="s">
        <v>17</v>
      </c>
      <c r="H182" t="s">
        <v>18</v>
      </c>
      <c r="I182">
        <v>69.12</v>
      </c>
      <c r="J182" t="s">
        <v>19</v>
      </c>
      <c r="K182" t="s">
        <v>280</v>
      </c>
      <c r="L182" t="s">
        <v>21</v>
      </c>
      <c r="M182" t="str">
        <f t="shared" si="6"/>
        <v>OK</v>
      </c>
      <c r="N182" t="str">
        <f t="shared" si="7"/>
        <v>1950s</v>
      </c>
      <c r="O182" t="str">
        <f t="shared" si="8"/>
        <v>Medium</v>
      </c>
      <c r="P182" t="str">
        <f>VLOOKUP(E182,calculated_fields!$F$4:$G$6,2,FALSE)</f>
        <v>Health</v>
      </c>
    </row>
    <row r="183" spans="1:16">
      <c r="A183" t="s">
        <v>281</v>
      </c>
      <c r="B183" t="s">
        <v>278</v>
      </c>
      <c r="C183" t="s">
        <v>279</v>
      </c>
      <c r="D183">
        <v>1952</v>
      </c>
      <c r="E183" t="s">
        <v>23</v>
      </c>
      <c r="F183" t="s">
        <v>24</v>
      </c>
      <c r="G183" t="s">
        <v>25</v>
      </c>
      <c r="H183" t="s">
        <v>26</v>
      </c>
      <c r="I183">
        <v>8691212</v>
      </c>
      <c r="J183" t="s">
        <v>27</v>
      </c>
      <c r="K183" t="s">
        <v>280</v>
      </c>
      <c r="L183" t="s">
        <v>21</v>
      </c>
      <c r="M183" t="str">
        <f t="shared" si="6"/>
        <v>OK</v>
      </c>
      <c r="N183" t="str">
        <f t="shared" si="7"/>
        <v>1950s</v>
      </c>
      <c r="O183" t="str">
        <f t="shared" si="8"/>
        <v>N/A</v>
      </c>
      <c r="P183" t="str">
        <f>VLOOKUP(E183,calculated_fields!$F$4:$G$6,2,FALSE)</f>
        <v>Demographics</v>
      </c>
    </row>
    <row r="184" spans="1:16">
      <c r="A184" t="s">
        <v>282</v>
      </c>
      <c r="B184" t="s">
        <v>278</v>
      </c>
      <c r="C184" t="s">
        <v>279</v>
      </c>
      <c r="D184">
        <v>1952</v>
      </c>
      <c r="E184" t="s">
        <v>29</v>
      </c>
      <c r="F184" t="s">
        <v>30</v>
      </c>
      <c r="G184" t="s">
        <v>31</v>
      </c>
      <c r="H184" t="s">
        <v>32</v>
      </c>
      <c r="I184">
        <v>10039.59564</v>
      </c>
      <c r="J184" t="s">
        <v>33</v>
      </c>
      <c r="K184" t="s">
        <v>280</v>
      </c>
      <c r="L184" t="s">
        <v>21</v>
      </c>
      <c r="M184" t="str">
        <f t="shared" si="6"/>
        <v>OK</v>
      </c>
      <c r="N184" t="str">
        <f t="shared" si="7"/>
        <v>1950s</v>
      </c>
      <c r="O184" t="str">
        <f t="shared" si="8"/>
        <v>N/A</v>
      </c>
      <c r="P184" t="str">
        <f>VLOOKUP(E184,calculated_fields!$F$4:$G$6,2,FALSE)</f>
        <v>Economy</v>
      </c>
    </row>
    <row r="185" spans="1:16">
      <c r="A185" t="s">
        <v>283</v>
      </c>
      <c r="B185" t="s">
        <v>278</v>
      </c>
      <c r="C185" t="s">
        <v>279</v>
      </c>
      <c r="D185">
        <v>1957</v>
      </c>
      <c r="E185" t="s">
        <v>15</v>
      </c>
      <c r="F185" t="s">
        <v>16</v>
      </c>
      <c r="G185" t="s">
        <v>17</v>
      </c>
      <c r="H185" t="s">
        <v>18</v>
      </c>
      <c r="I185">
        <v>70.33</v>
      </c>
      <c r="J185" t="s">
        <v>19</v>
      </c>
      <c r="K185" t="s">
        <v>284</v>
      </c>
      <c r="L185" t="s">
        <v>21</v>
      </c>
      <c r="M185" t="str">
        <f t="shared" si="6"/>
        <v>OK</v>
      </c>
      <c r="N185" t="str">
        <f t="shared" si="7"/>
        <v>1950s</v>
      </c>
      <c r="O185" t="str">
        <f t="shared" si="8"/>
        <v>High</v>
      </c>
      <c r="P185" t="str">
        <f>VLOOKUP(E185,calculated_fields!$F$4:$G$6,2,FALSE)</f>
        <v>Health</v>
      </c>
    </row>
    <row r="186" spans="1:16">
      <c r="A186" t="s">
        <v>285</v>
      </c>
      <c r="B186" t="s">
        <v>278</v>
      </c>
      <c r="C186" t="s">
        <v>279</v>
      </c>
      <c r="D186">
        <v>1957</v>
      </c>
      <c r="E186" t="s">
        <v>23</v>
      </c>
      <c r="F186" t="s">
        <v>24</v>
      </c>
      <c r="G186" t="s">
        <v>25</v>
      </c>
      <c r="H186" t="s">
        <v>26</v>
      </c>
      <c r="I186">
        <v>9712569</v>
      </c>
      <c r="J186" t="s">
        <v>27</v>
      </c>
      <c r="K186" t="s">
        <v>284</v>
      </c>
      <c r="L186" t="s">
        <v>21</v>
      </c>
      <c r="M186" t="str">
        <f t="shared" si="6"/>
        <v>OK</v>
      </c>
      <c r="N186" t="str">
        <f t="shared" si="7"/>
        <v>1950s</v>
      </c>
      <c r="O186" t="str">
        <f t="shared" si="8"/>
        <v>N/A</v>
      </c>
      <c r="P186" t="str">
        <f>VLOOKUP(E186,calculated_fields!$F$4:$G$6,2,FALSE)</f>
        <v>Demographics</v>
      </c>
    </row>
    <row r="187" spans="1:16">
      <c r="A187" t="s">
        <v>286</v>
      </c>
      <c r="B187" t="s">
        <v>278</v>
      </c>
      <c r="C187" t="s">
        <v>279</v>
      </c>
      <c r="D187">
        <v>1957</v>
      </c>
      <c r="E187" t="s">
        <v>29</v>
      </c>
      <c r="F187" t="s">
        <v>30</v>
      </c>
      <c r="G187" t="s">
        <v>31</v>
      </c>
      <c r="H187" t="s">
        <v>32</v>
      </c>
      <c r="I187">
        <v>10949.649590000001</v>
      </c>
      <c r="J187" t="s">
        <v>33</v>
      </c>
      <c r="K187" t="s">
        <v>284</v>
      </c>
      <c r="L187" t="s">
        <v>21</v>
      </c>
      <c r="M187" t="str">
        <f t="shared" si="6"/>
        <v>OK</v>
      </c>
      <c r="N187" t="str">
        <f t="shared" si="7"/>
        <v>1950s</v>
      </c>
      <c r="O187" t="str">
        <f t="shared" si="8"/>
        <v>N/A</v>
      </c>
      <c r="P187" t="str">
        <f>VLOOKUP(E187,calculated_fields!$F$4:$G$6,2,FALSE)</f>
        <v>Economy</v>
      </c>
    </row>
    <row r="188" spans="1:16">
      <c r="A188" t="s">
        <v>287</v>
      </c>
      <c r="B188" t="s">
        <v>278</v>
      </c>
      <c r="C188" t="s">
        <v>279</v>
      </c>
      <c r="D188">
        <v>1962</v>
      </c>
      <c r="E188" t="s">
        <v>15</v>
      </c>
      <c r="F188" t="s">
        <v>16</v>
      </c>
      <c r="G188" t="s">
        <v>17</v>
      </c>
      <c r="H188" t="s">
        <v>18</v>
      </c>
      <c r="I188">
        <v>70.930000000000007</v>
      </c>
      <c r="J188" t="s">
        <v>19</v>
      </c>
      <c r="K188" t="s">
        <v>288</v>
      </c>
      <c r="L188" t="s">
        <v>21</v>
      </c>
      <c r="M188" t="str">
        <f t="shared" si="6"/>
        <v>OK</v>
      </c>
      <c r="N188" t="str">
        <f t="shared" si="7"/>
        <v>1960s</v>
      </c>
      <c r="O188" t="str">
        <f t="shared" si="8"/>
        <v>High</v>
      </c>
      <c r="P188" t="str">
        <f>VLOOKUP(E188,calculated_fields!$F$4:$G$6,2,FALSE)</f>
        <v>Health</v>
      </c>
    </row>
    <row r="189" spans="1:16">
      <c r="A189" t="s">
        <v>289</v>
      </c>
      <c r="B189" t="s">
        <v>278</v>
      </c>
      <c r="C189" t="s">
        <v>279</v>
      </c>
      <c r="D189">
        <v>1962</v>
      </c>
      <c r="E189" t="s">
        <v>23</v>
      </c>
      <c r="F189" t="s">
        <v>24</v>
      </c>
      <c r="G189" t="s">
        <v>25</v>
      </c>
      <c r="H189" t="s">
        <v>26</v>
      </c>
      <c r="I189">
        <v>10794968</v>
      </c>
      <c r="J189" t="s">
        <v>27</v>
      </c>
      <c r="K189" t="s">
        <v>288</v>
      </c>
      <c r="L189" t="s">
        <v>21</v>
      </c>
      <c r="M189" t="str">
        <f t="shared" si="6"/>
        <v>OK</v>
      </c>
      <c r="N189" t="str">
        <f t="shared" si="7"/>
        <v>1960s</v>
      </c>
      <c r="O189" t="str">
        <f t="shared" si="8"/>
        <v>N/A</v>
      </c>
      <c r="P189" t="str">
        <f>VLOOKUP(E189,calculated_fields!$F$4:$G$6,2,FALSE)</f>
        <v>Demographics</v>
      </c>
    </row>
    <row r="190" spans="1:16">
      <c r="A190" t="s">
        <v>290</v>
      </c>
      <c r="B190" t="s">
        <v>278</v>
      </c>
      <c r="C190" t="s">
        <v>279</v>
      </c>
      <c r="D190">
        <v>1962</v>
      </c>
      <c r="E190" t="s">
        <v>29</v>
      </c>
      <c r="F190" t="s">
        <v>30</v>
      </c>
      <c r="G190" t="s">
        <v>31</v>
      </c>
      <c r="H190" t="s">
        <v>32</v>
      </c>
      <c r="I190">
        <v>12217.226860000001</v>
      </c>
      <c r="J190" t="s">
        <v>33</v>
      </c>
      <c r="K190" t="s">
        <v>288</v>
      </c>
      <c r="L190" t="s">
        <v>21</v>
      </c>
      <c r="M190" t="str">
        <f t="shared" si="6"/>
        <v>OK</v>
      </c>
      <c r="N190" t="str">
        <f t="shared" si="7"/>
        <v>1960s</v>
      </c>
      <c r="O190" t="str">
        <f t="shared" si="8"/>
        <v>N/A</v>
      </c>
      <c r="P190" t="str">
        <f>VLOOKUP(E190,calculated_fields!$F$4:$G$6,2,FALSE)</f>
        <v>Economy</v>
      </c>
    </row>
    <row r="191" spans="1:16">
      <c r="A191" t="s">
        <v>291</v>
      </c>
      <c r="B191" t="s">
        <v>278</v>
      </c>
      <c r="C191" t="s">
        <v>279</v>
      </c>
      <c r="D191">
        <v>1967</v>
      </c>
      <c r="E191" t="s">
        <v>15</v>
      </c>
      <c r="F191" t="s">
        <v>16</v>
      </c>
      <c r="G191" t="s">
        <v>17</v>
      </c>
      <c r="H191" t="s">
        <v>18</v>
      </c>
      <c r="I191">
        <v>71.099999999999994</v>
      </c>
      <c r="J191" t="s">
        <v>19</v>
      </c>
      <c r="K191" t="s">
        <v>292</v>
      </c>
      <c r="L191" t="s">
        <v>21</v>
      </c>
      <c r="M191" t="str">
        <f t="shared" si="6"/>
        <v>OK</v>
      </c>
      <c r="N191" t="str">
        <f t="shared" si="7"/>
        <v>1960s</v>
      </c>
      <c r="O191" t="str">
        <f t="shared" si="8"/>
        <v>High</v>
      </c>
      <c r="P191" t="str">
        <f>VLOOKUP(E191,calculated_fields!$F$4:$G$6,2,FALSE)</f>
        <v>Health</v>
      </c>
    </row>
    <row r="192" spans="1:16">
      <c r="A192" t="s">
        <v>293</v>
      </c>
      <c r="B192" t="s">
        <v>278</v>
      </c>
      <c r="C192" t="s">
        <v>279</v>
      </c>
      <c r="D192">
        <v>1967</v>
      </c>
      <c r="E192" t="s">
        <v>23</v>
      </c>
      <c r="F192" t="s">
        <v>24</v>
      </c>
      <c r="G192" t="s">
        <v>25</v>
      </c>
      <c r="H192" t="s">
        <v>26</v>
      </c>
      <c r="I192">
        <v>11872264</v>
      </c>
      <c r="J192" t="s">
        <v>27</v>
      </c>
      <c r="K192" t="s">
        <v>292</v>
      </c>
      <c r="L192" t="s">
        <v>21</v>
      </c>
      <c r="M192" t="str">
        <f t="shared" si="6"/>
        <v>OK</v>
      </c>
      <c r="N192" t="str">
        <f t="shared" si="7"/>
        <v>1960s</v>
      </c>
      <c r="O192" t="str">
        <f t="shared" si="8"/>
        <v>N/A</v>
      </c>
      <c r="P192" t="str">
        <f>VLOOKUP(E192,calculated_fields!$F$4:$G$6,2,FALSE)</f>
        <v>Demographics</v>
      </c>
    </row>
    <row r="193" spans="1:16">
      <c r="A193" t="s">
        <v>294</v>
      </c>
      <c r="B193" t="s">
        <v>278</v>
      </c>
      <c r="C193" t="s">
        <v>279</v>
      </c>
      <c r="D193">
        <v>1967</v>
      </c>
      <c r="E193" t="s">
        <v>29</v>
      </c>
      <c r="F193" t="s">
        <v>30</v>
      </c>
      <c r="G193" t="s">
        <v>31</v>
      </c>
      <c r="H193" t="s">
        <v>32</v>
      </c>
      <c r="I193">
        <v>14526.12465</v>
      </c>
      <c r="J193" t="s">
        <v>33</v>
      </c>
      <c r="K193" t="s">
        <v>292</v>
      </c>
      <c r="L193" t="s">
        <v>21</v>
      </c>
      <c r="M193" t="str">
        <f t="shared" si="6"/>
        <v>OK</v>
      </c>
      <c r="N193" t="str">
        <f t="shared" si="7"/>
        <v>1960s</v>
      </c>
      <c r="O193" t="str">
        <f t="shared" si="8"/>
        <v>N/A</v>
      </c>
      <c r="P193" t="str">
        <f>VLOOKUP(E193,calculated_fields!$F$4:$G$6,2,FALSE)</f>
        <v>Economy</v>
      </c>
    </row>
    <row r="194" spans="1:16">
      <c r="A194" t="s">
        <v>295</v>
      </c>
      <c r="B194" t="s">
        <v>278</v>
      </c>
      <c r="C194" t="s">
        <v>279</v>
      </c>
      <c r="D194">
        <v>1972</v>
      </c>
      <c r="E194" t="s">
        <v>15</v>
      </c>
      <c r="F194" t="s">
        <v>16</v>
      </c>
      <c r="G194" t="s">
        <v>17</v>
      </c>
      <c r="H194" t="s">
        <v>18</v>
      </c>
      <c r="I194">
        <v>71.930000000000007</v>
      </c>
      <c r="J194" t="s">
        <v>19</v>
      </c>
      <c r="K194" t="s">
        <v>296</v>
      </c>
      <c r="L194" t="s">
        <v>21</v>
      </c>
      <c r="M194" t="str">
        <f t="shared" ref="M194:M257" si="9">IF(AND(ISNUMBER(I194),I194&gt;=0),"OK","Review")</f>
        <v>OK</v>
      </c>
      <c r="N194" t="str">
        <f t="shared" ref="N194:N257" si="10">FLOOR(D194,10)&amp;"s"</f>
        <v>1970s</v>
      </c>
      <c r="O194" t="str">
        <f t="shared" ref="O194:O257" si="11">IF(E194="LIFE_EXP",IF(I194&gt;=70,"High",IF(I194&gt;=55,"Medium","Low")),"N/A")</f>
        <v>High</v>
      </c>
      <c r="P194" t="str">
        <f>VLOOKUP(E194,calculated_fields!$F$4:$G$6,2,FALSE)</f>
        <v>Health</v>
      </c>
    </row>
    <row r="195" spans="1:16">
      <c r="A195" t="s">
        <v>297</v>
      </c>
      <c r="B195" t="s">
        <v>278</v>
      </c>
      <c r="C195" t="s">
        <v>279</v>
      </c>
      <c r="D195">
        <v>1972</v>
      </c>
      <c r="E195" t="s">
        <v>23</v>
      </c>
      <c r="F195" t="s">
        <v>24</v>
      </c>
      <c r="G195" t="s">
        <v>25</v>
      </c>
      <c r="H195" t="s">
        <v>26</v>
      </c>
      <c r="I195">
        <v>13177000</v>
      </c>
      <c r="J195" t="s">
        <v>27</v>
      </c>
      <c r="K195" t="s">
        <v>296</v>
      </c>
      <c r="L195" t="s">
        <v>21</v>
      </c>
      <c r="M195" t="str">
        <f t="shared" si="9"/>
        <v>OK</v>
      </c>
      <c r="N195" t="str">
        <f t="shared" si="10"/>
        <v>1970s</v>
      </c>
      <c r="O195" t="str">
        <f t="shared" si="11"/>
        <v>N/A</v>
      </c>
      <c r="P195" t="str">
        <f>VLOOKUP(E195,calculated_fields!$F$4:$G$6,2,FALSE)</f>
        <v>Demographics</v>
      </c>
    </row>
    <row r="196" spans="1:16">
      <c r="A196" t="s">
        <v>298</v>
      </c>
      <c r="B196" t="s">
        <v>278</v>
      </c>
      <c r="C196" t="s">
        <v>279</v>
      </c>
      <c r="D196">
        <v>1972</v>
      </c>
      <c r="E196" t="s">
        <v>29</v>
      </c>
      <c r="F196" t="s">
        <v>30</v>
      </c>
      <c r="G196" t="s">
        <v>31</v>
      </c>
      <c r="H196" t="s">
        <v>32</v>
      </c>
      <c r="I196">
        <v>16788.62948</v>
      </c>
      <c r="J196" t="s">
        <v>33</v>
      </c>
      <c r="K196" t="s">
        <v>296</v>
      </c>
      <c r="L196" t="s">
        <v>21</v>
      </c>
      <c r="M196" t="str">
        <f t="shared" si="9"/>
        <v>OK</v>
      </c>
      <c r="N196" t="str">
        <f t="shared" si="10"/>
        <v>1970s</v>
      </c>
      <c r="O196" t="str">
        <f t="shared" si="11"/>
        <v>N/A</v>
      </c>
      <c r="P196" t="str">
        <f>VLOOKUP(E196,calculated_fields!$F$4:$G$6,2,FALSE)</f>
        <v>Economy</v>
      </c>
    </row>
    <row r="197" spans="1:16">
      <c r="A197" t="s">
        <v>299</v>
      </c>
      <c r="B197" t="s">
        <v>278</v>
      </c>
      <c r="C197" t="s">
        <v>279</v>
      </c>
      <c r="D197">
        <v>1977</v>
      </c>
      <c r="E197" t="s">
        <v>15</v>
      </c>
      <c r="F197" t="s">
        <v>16</v>
      </c>
      <c r="G197" t="s">
        <v>17</v>
      </c>
      <c r="H197" t="s">
        <v>18</v>
      </c>
      <c r="I197">
        <v>73.489999999999995</v>
      </c>
      <c r="J197" t="s">
        <v>19</v>
      </c>
      <c r="K197" t="s">
        <v>300</v>
      </c>
      <c r="L197" t="s">
        <v>21</v>
      </c>
      <c r="M197" t="str">
        <f t="shared" si="9"/>
        <v>OK</v>
      </c>
      <c r="N197" t="str">
        <f t="shared" si="10"/>
        <v>1970s</v>
      </c>
      <c r="O197" t="str">
        <f t="shared" si="11"/>
        <v>High</v>
      </c>
      <c r="P197" t="str">
        <f>VLOOKUP(E197,calculated_fields!$F$4:$G$6,2,FALSE)</f>
        <v>Health</v>
      </c>
    </row>
    <row r="198" spans="1:16">
      <c r="A198" t="s">
        <v>301</v>
      </c>
      <c r="B198" t="s">
        <v>278</v>
      </c>
      <c r="C198" t="s">
        <v>279</v>
      </c>
      <c r="D198">
        <v>1977</v>
      </c>
      <c r="E198" t="s">
        <v>23</v>
      </c>
      <c r="F198" t="s">
        <v>24</v>
      </c>
      <c r="G198" t="s">
        <v>25</v>
      </c>
      <c r="H198" t="s">
        <v>26</v>
      </c>
      <c r="I198">
        <v>14074100</v>
      </c>
      <c r="J198" t="s">
        <v>27</v>
      </c>
      <c r="K198" t="s">
        <v>300</v>
      </c>
      <c r="L198" t="s">
        <v>21</v>
      </c>
      <c r="M198" t="str">
        <f t="shared" si="9"/>
        <v>OK</v>
      </c>
      <c r="N198" t="str">
        <f t="shared" si="10"/>
        <v>1970s</v>
      </c>
      <c r="O198" t="str">
        <f t="shared" si="11"/>
        <v>N/A</v>
      </c>
      <c r="P198" t="str">
        <f>VLOOKUP(E198,calculated_fields!$F$4:$G$6,2,FALSE)</f>
        <v>Demographics</v>
      </c>
    </row>
    <row r="199" spans="1:16">
      <c r="A199" t="s">
        <v>302</v>
      </c>
      <c r="B199" t="s">
        <v>278</v>
      </c>
      <c r="C199" t="s">
        <v>279</v>
      </c>
      <c r="D199">
        <v>1977</v>
      </c>
      <c r="E199" t="s">
        <v>29</v>
      </c>
      <c r="F199" t="s">
        <v>30</v>
      </c>
      <c r="G199" t="s">
        <v>31</v>
      </c>
      <c r="H199" t="s">
        <v>32</v>
      </c>
      <c r="I199">
        <v>18334.197510000002</v>
      </c>
      <c r="J199" t="s">
        <v>33</v>
      </c>
      <c r="K199" t="s">
        <v>300</v>
      </c>
      <c r="L199" t="s">
        <v>21</v>
      </c>
      <c r="M199" t="str">
        <f t="shared" si="9"/>
        <v>OK</v>
      </c>
      <c r="N199" t="str">
        <f t="shared" si="10"/>
        <v>1970s</v>
      </c>
      <c r="O199" t="str">
        <f t="shared" si="11"/>
        <v>N/A</v>
      </c>
      <c r="P199" t="str">
        <f>VLOOKUP(E199,calculated_fields!$F$4:$G$6,2,FALSE)</f>
        <v>Economy</v>
      </c>
    </row>
    <row r="200" spans="1:16">
      <c r="A200" t="s">
        <v>303</v>
      </c>
      <c r="B200" t="s">
        <v>278</v>
      </c>
      <c r="C200" t="s">
        <v>279</v>
      </c>
      <c r="D200">
        <v>1982</v>
      </c>
      <c r="E200" t="s">
        <v>15</v>
      </c>
      <c r="F200" t="s">
        <v>16</v>
      </c>
      <c r="G200" t="s">
        <v>17</v>
      </c>
      <c r="H200" t="s">
        <v>18</v>
      </c>
      <c r="I200">
        <v>74.739999999999995</v>
      </c>
      <c r="J200" t="s">
        <v>19</v>
      </c>
      <c r="K200" t="s">
        <v>304</v>
      </c>
      <c r="L200" t="s">
        <v>21</v>
      </c>
      <c r="M200" t="str">
        <f t="shared" si="9"/>
        <v>OK</v>
      </c>
      <c r="N200" t="str">
        <f t="shared" si="10"/>
        <v>1980s</v>
      </c>
      <c r="O200" t="str">
        <f t="shared" si="11"/>
        <v>High</v>
      </c>
      <c r="P200" t="str">
        <f>VLOOKUP(E200,calculated_fields!$F$4:$G$6,2,FALSE)</f>
        <v>Health</v>
      </c>
    </row>
    <row r="201" spans="1:16">
      <c r="A201" t="s">
        <v>305</v>
      </c>
      <c r="B201" t="s">
        <v>278</v>
      </c>
      <c r="C201" t="s">
        <v>279</v>
      </c>
      <c r="D201">
        <v>1982</v>
      </c>
      <c r="E201" t="s">
        <v>23</v>
      </c>
      <c r="F201" t="s">
        <v>24</v>
      </c>
      <c r="G201" t="s">
        <v>25</v>
      </c>
      <c r="H201" t="s">
        <v>26</v>
      </c>
      <c r="I201">
        <v>15184200</v>
      </c>
      <c r="J201" t="s">
        <v>27</v>
      </c>
      <c r="K201" t="s">
        <v>304</v>
      </c>
      <c r="L201" t="s">
        <v>21</v>
      </c>
      <c r="M201" t="str">
        <f t="shared" si="9"/>
        <v>OK</v>
      </c>
      <c r="N201" t="str">
        <f t="shared" si="10"/>
        <v>1980s</v>
      </c>
      <c r="O201" t="str">
        <f t="shared" si="11"/>
        <v>N/A</v>
      </c>
      <c r="P201" t="str">
        <f>VLOOKUP(E201,calculated_fields!$F$4:$G$6,2,FALSE)</f>
        <v>Demographics</v>
      </c>
    </row>
    <row r="202" spans="1:16">
      <c r="A202" t="s">
        <v>306</v>
      </c>
      <c r="B202" t="s">
        <v>278</v>
      </c>
      <c r="C202" t="s">
        <v>279</v>
      </c>
      <c r="D202">
        <v>1982</v>
      </c>
      <c r="E202" t="s">
        <v>29</v>
      </c>
      <c r="F202" t="s">
        <v>30</v>
      </c>
      <c r="G202" t="s">
        <v>31</v>
      </c>
      <c r="H202" t="s">
        <v>32</v>
      </c>
      <c r="I202">
        <v>19477.009279999998</v>
      </c>
      <c r="J202" t="s">
        <v>33</v>
      </c>
      <c r="K202" t="s">
        <v>304</v>
      </c>
      <c r="L202" t="s">
        <v>21</v>
      </c>
      <c r="M202" t="str">
        <f t="shared" si="9"/>
        <v>OK</v>
      </c>
      <c r="N202" t="str">
        <f t="shared" si="10"/>
        <v>1980s</v>
      </c>
      <c r="O202" t="str">
        <f t="shared" si="11"/>
        <v>N/A</v>
      </c>
      <c r="P202" t="str">
        <f>VLOOKUP(E202,calculated_fields!$F$4:$G$6,2,FALSE)</f>
        <v>Economy</v>
      </c>
    </row>
    <row r="203" spans="1:16">
      <c r="A203" t="s">
        <v>307</v>
      </c>
      <c r="B203" t="s">
        <v>278</v>
      </c>
      <c r="C203" t="s">
        <v>279</v>
      </c>
      <c r="D203">
        <v>1987</v>
      </c>
      <c r="E203" t="s">
        <v>15</v>
      </c>
      <c r="F203" t="s">
        <v>16</v>
      </c>
      <c r="G203" t="s">
        <v>17</v>
      </c>
      <c r="H203" t="s">
        <v>18</v>
      </c>
      <c r="I203">
        <v>76.319999999999993</v>
      </c>
      <c r="J203" t="s">
        <v>19</v>
      </c>
      <c r="K203" t="s">
        <v>308</v>
      </c>
      <c r="L203" t="s">
        <v>21</v>
      </c>
      <c r="M203" t="str">
        <f t="shared" si="9"/>
        <v>OK</v>
      </c>
      <c r="N203" t="str">
        <f t="shared" si="10"/>
        <v>1980s</v>
      </c>
      <c r="O203" t="str">
        <f t="shared" si="11"/>
        <v>High</v>
      </c>
      <c r="P203" t="str">
        <f>VLOOKUP(E203,calculated_fields!$F$4:$G$6,2,FALSE)</f>
        <v>Health</v>
      </c>
    </row>
    <row r="204" spans="1:16">
      <c r="A204" t="s">
        <v>309</v>
      </c>
      <c r="B204" t="s">
        <v>278</v>
      </c>
      <c r="C204" t="s">
        <v>279</v>
      </c>
      <c r="D204">
        <v>1987</v>
      </c>
      <c r="E204" t="s">
        <v>23</v>
      </c>
      <c r="F204" t="s">
        <v>24</v>
      </c>
      <c r="G204" t="s">
        <v>25</v>
      </c>
      <c r="H204" t="s">
        <v>26</v>
      </c>
      <c r="I204">
        <v>16257249</v>
      </c>
      <c r="J204" t="s">
        <v>27</v>
      </c>
      <c r="K204" t="s">
        <v>308</v>
      </c>
      <c r="L204" t="s">
        <v>21</v>
      </c>
      <c r="M204" t="str">
        <f t="shared" si="9"/>
        <v>OK</v>
      </c>
      <c r="N204" t="str">
        <f t="shared" si="10"/>
        <v>1980s</v>
      </c>
      <c r="O204" t="str">
        <f t="shared" si="11"/>
        <v>N/A</v>
      </c>
      <c r="P204" t="str">
        <f>VLOOKUP(E204,calculated_fields!$F$4:$G$6,2,FALSE)</f>
        <v>Demographics</v>
      </c>
    </row>
    <row r="205" spans="1:16">
      <c r="A205" t="s">
        <v>310</v>
      </c>
      <c r="B205" t="s">
        <v>278</v>
      </c>
      <c r="C205" t="s">
        <v>279</v>
      </c>
      <c r="D205">
        <v>1987</v>
      </c>
      <c r="E205" t="s">
        <v>29</v>
      </c>
      <c r="F205" t="s">
        <v>30</v>
      </c>
      <c r="G205" t="s">
        <v>31</v>
      </c>
      <c r="H205" t="s">
        <v>32</v>
      </c>
      <c r="I205">
        <v>21888.889029999998</v>
      </c>
      <c r="J205" t="s">
        <v>33</v>
      </c>
      <c r="K205" t="s">
        <v>308</v>
      </c>
      <c r="L205" t="s">
        <v>21</v>
      </c>
      <c r="M205" t="str">
        <f t="shared" si="9"/>
        <v>OK</v>
      </c>
      <c r="N205" t="str">
        <f t="shared" si="10"/>
        <v>1980s</v>
      </c>
      <c r="O205" t="str">
        <f t="shared" si="11"/>
        <v>N/A</v>
      </c>
      <c r="P205" t="str">
        <f>VLOOKUP(E205,calculated_fields!$F$4:$G$6,2,FALSE)</f>
        <v>Economy</v>
      </c>
    </row>
    <row r="206" spans="1:16">
      <c r="A206" t="s">
        <v>311</v>
      </c>
      <c r="B206" t="s">
        <v>278</v>
      </c>
      <c r="C206" t="s">
        <v>279</v>
      </c>
      <c r="D206">
        <v>1992</v>
      </c>
      <c r="E206" t="s">
        <v>15</v>
      </c>
      <c r="F206" t="s">
        <v>16</v>
      </c>
      <c r="G206" t="s">
        <v>17</v>
      </c>
      <c r="H206" t="s">
        <v>18</v>
      </c>
      <c r="I206">
        <v>77.56</v>
      </c>
      <c r="J206" t="s">
        <v>19</v>
      </c>
      <c r="K206" t="s">
        <v>312</v>
      </c>
      <c r="L206" t="s">
        <v>21</v>
      </c>
      <c r="M206" t="str">
        <f t="shared" si="9"/>
        <v>OK</v>
      </c>
      <c r="N206" t="str">
        <f t="shared" si="10"/>
        <v>1990s</v>
      </c>
      <c r="O206" t="str">
        <f t="shared" si="11"/>
        <v>High</v>
      </c>
      <c r="P206" t="str">
        <f>VLOOKUP(E206,calculated_fields!$F$4:$G$6,2,FALSE)</f>
        <v>Health</v>
      </c>
    </row>
    <row r="207" spans="1:16">
      <c r="A207" t="s">
        <v>313</v>
      </c>
      <c r="B207" t="s">
        <v>278</v>
      </c>
      <c r="C207" t="s">
        <v>279</v>
      </c>
      <c r="D207">
        <v>1992</v>
      </c>
      <c r="E207" t="s">
        <v>23</v>
      </c>
      <c r="F207" t="s">
        <v>24</v>
      </c>
      <c r="G207" t="s">
        <v>25</v>
      </c>
      <c r="H207" t="s">
        <v>26</v>
      </c>
      <c r="I207">
        <v>17481977</v>
      </c>
      <c r="J207" t="s">
        <v>27</v>
      </c>
      <c r="K207" t="s">
        <v>312</v>
      </c>
      <c r="L207" t="s">
        <v>21</v>
      </c>
      <c r="M207" t="str">
        <f t="shared" si="9"/>
        <v>OK</v>
      </c>
      <c r="N207" t="str">
        <f t="shared" si="10"/>
        <v>1990s</v>
      </c>
      <c r="O207" t="str">
        <f t="shared" si="11"/>
        <v>N/A</v>
      </c>
      <c r="P207" t="str">
        <f>VLOOKUP(E207,calculated_fields!$F$4:$G$6,2,FALSE)</f>
        <v>Demographics</v>
      </c>
    </row>
    <row r="208" spans="1:16">
      <c r="A208" t="s">
        <v>314</v>
      </c>
      <c r="B208" t="s">
        <v>278</v>
      </c>
      <c r="C208" t="s">
        <v>279</v>
      </c>
      <c r="D208">
        <v>1992</v>
      </c>
      <c r="E208" t="s">
        <v>29</v>
      </c>
      <c r="F208" t="s">
        <v>30</v>
      </c>
      <c r="G208" t="s">
        <v>31</v>
      </c>
      <c r="H208" t="s">
        <v>32</v>
      </c>
      <c r="I208">
        <v>23424.76683</v>
      </c>
      <c r="J208" t="s">
        <v>33</v>
      </c>
      <c r="K208" t="s">
        <v>312</v>
      </c>
      <c r="L208" t="s">
        <v>21</v>
      </c>
      <c r="M208" t="str">
        <f t="shared" si="9"/>
        <v>OK</v>
      </c>
      <c r="N208" t="str">
        <f t="shared" si="10"/>
        <v>1990s</v>
      </c>
      <c r="O208" t="str">
        <f t="shared" si="11"/>
        <v>N/A</v>
      </c>
      <c r="P208" t="str">
        <f>VLOOKUP(E208,calculated_fields!$F$4:$G$6,2,FALSE)</f>
        <v>Economy</v>
      </c>
    </row>
    <row r="209" spans="1:16">
      <c r="A209" t="s">
        <v>315</v>
      </c>
      <c r="B209" t="s">
        <v>278</v>
      </c>
      <c r="C209" t="s">
        <v>279</v>
      </c>
      <c r="D209">
        <v>1997</v>
      </c>
      <c r="E209" t="s">
        <v>15</v>
      </c>
      <c r="F209" t="s">
        <v>16</v>
      </c>
      <c r="G209" t="s">
        <v>17</v>
      </c>
      <c r="H209" t="s">
        <v>18</v>
      </c>
      <c r="I209">
        <v>78.83</v>
      </c>
      <c r="J209" t="s">
        <v>19</v>
      </c>
      <c r="K209" t="s">
        <v>316</v>
      </c>
      <c r="L209" t="s">
        <v>21</v>
      </c>
      <c r="M209" t="str">
        <f t="shared" si="9"/>
        <v>OK</v>
      </c>
      <c r="N209" t="str">
        <f t="shared" si="10"/>
        <v>1990s</v>
      </c>
      <c r="O209" t="str">
        <f t="shared" si="11"/>
        <v>High</v>
      </c>
      <c r="P209" t="str">
        <f>VLOOKUP(E209,calculated_fields!$F$4:$G$6,2,FALSE)</f>
        <v>Health</v>
      </c>
    </row>
    <row r="210" spans="1:16">
      <c r="A210" t="s">
        <v>317</v>
      </c>
      <c r="B210" t="s">
        <v>278</v>
      </c>
      <c r="C210" t="s">
        <v>279</v>
      </c>
      <c r="D210">
        <v>1997</v>
      </c>
      <c r="E210" t="s">
        <v>23</v>
      </c>
      <c r="F210" t="s">
        <v>24</v>
      </c>
      <c r="G210" t="s">
        <v>25</v>
      </c>
      <c r="H210" t="s">
        <v>26</v>
      </c>
      <c r="I210">
        <v>18565243</v>
      </c>
      <c r="J210" t="s">
        <v>27</v>
      </c>
      <c r="K210" t="s">
        <v>316</v>
      </c>
      <c r="L210" t="s">
        <v>21</v>
      </c>
      <c r="M210" t="str">
        <f t="shared" si="9"/>
        <v>OK</v>
      </c>
      <c r="N210" t="str">
        <f t="shared" si="10"/>
        <v>1990s</v>
      </c>
      <c r="O210" t="str">
        <f t="shared" si="11"/>
        <v>N/A</v>
      </c>
      <c r="P210" t="str">
        <f>VLOOKUP(E210,calculated_fields!$F$4:$G$6,2,FALSE)</f>
        <v>Demographics</v>
      </c>
    </row>
    <row r="211" spans="1:16">
      <c r="A211" t="s">
        <v>318</v>
      </c>
      <c r="B211" t="s">
        <v>278</v>
      </c>
      <c r="C211" t="s">
        <v>279</v>
      </c>
      <c r="D211">
        <v>1997</v>
      </c>
      <c r="E211" t="s">
        <v>29</v>
      </c>
      <c r="F211" t="s">
        <v>30</v>
      </c>
      <c r="G211" t="s">
        <v>31</v>
      </c>
      <c r="H211" t="s">
        <v>32</v>
      </c>
      <c r="I211">
        <v>26997.936570000002</v>
      </c>
      <c r="J211" t="s">
        <v>33</v>
      </c>
      <c r="K211" t="s">
        <v>316</v>
      </c>
      <c r="L211" t="s">
        <v>21</v>
      </c>
      <c r="M211" t="str">
        <f t="shared" si="9"/>
        <v>OK</v>
      </c>
      <c r="N211" t="str">
        <f t="shared" si="10"/>
        <v>1990s</v>
      </c>
      <c r="O211" t="str">
        <f t="shared" si="11"/>
        <v>N/A</v>
      </c>
      <c r="P211" t="str">
        <f>VLOOKUP(E211,calculated_fields!$F$4:$G$6,2,FALSE)</f>
        <v>Economy</v>
      </c>
    </row>
    <row r="212" spans="1:16">
      <c r="A212" t="s">
        <v>319</v>
      </c>
      <c r="B212" t="s">
        <v>278</v>
      </c>
      <c r="C212" t="s">
        <v>279</v>
      </c>
      <c r="D212">
        <v>2002</v>
      </c>
      <c r="E212" t="s">
        <v>15</v>
      </c>
      <c r="F212" t="s">
        <v>16</v>
      </c>
      <c r="G212" t="s">
        <v>17</v>
      </c>
      <c r="H212" t="s">
        <v>18</v>
      </c>
      <c r="I212">
        <v>80.37</v>
      </c>
      <c r="J212" t="s">
        <v>19</v>
      </c>
      <c r="K212" t="s">
        <v>320</v>
      </c>
      <c r="L212" t="s">
        <v>21</v>
      </c>
      <c r="M212" t="str">
        <f t="shared" si="9"/>
        <v>OK</v>
      </c>
      <c r="N212" t="str">
        <f t="shared" si="10"/>
        <v>2000s</v>
      </c>
      <c r="O212" t="str">
        <f t="shared" si="11"/>
        <v>High</v>
      </c>
      <c r="P212" t="str">
        <f>VLOOKUP(E212,calculated_fields!$F$4:$G$6,2,FALSE)</f>
        <v>Health</v>
      </c>
    </row>
    <row r="213" spans="1:16">
      <c r="A213" t="s">
        <v>321</v>
      </c>
      <c r="B213" t="s">
        <v>278</v>
      </c>
      <c r="C213" t="s">
        <v>279</v>
      </c>
      <c r="D213">
        <v>2002</v>
      </c>
      <c r="E213" t="s">
        <v>23</v>
      </c>
      <c r="F213" t="s">
        <v>24</v>
      </c>
      <c r="G213" t="s">
        <v>25</v>
      </c>
      <c r="H213" t="s">
        <v>26</v>
      </c>
      <c r="I213">
        <v>19546792</v>
      </c>
      <c r="J213" t="s">
        <v>27</v>
      </c>
      <c r="K213" t="s">
        <v>320</v>
      </c>
      <c r="L213" t="s">
        <v>21</v>
      </c>
      <c r="M213" t="str">
        <f t="shared" si="9"/>
        <v>OK</v>
      </c>
      <c r="N213" t="str">
        <f t="shared" si="10"/>
        <v>2000s</v>
      </c>
      <c r="O213" t="str">
        <f t="shared" si="11"/>
        <v>N/A</v>
      </c>
      <c r="P213" t="str">
        <f>VLOOKUP(E213,calculated_fields!$F$4:$G$6,2,FALSE)</f>
        <v>Demographics</v>
      </c>
    </row>
    <row r="214" spans="1:16">
      <c r="A214" t="s">
        <v>322</v>
      </c>
      <c r="B214" t="s">
        <v>278</v>
      </c>
      <c r="C214" t="s">
        <v>279</v>
      </c>
      <c r="D214">
        <v>2002</v>
      </c>
      <c r="E214" t="s">
        <v>29</v>
      </c>
      <c r="F214" t="s">
        <v>30</v>
      </c>
      <c r="G214" t="s">
        <v>31</v>
      </c>
      <c r="H214" t="s">
        <v>32</v>
      </c>
      <c r="I214">
        <v>30687.754730000001</v>
      </c>
      <c r="J214" t="s">
        <v>33</v>
      </c>
      <c r="K214" t="s">
        <v>320</v>
      </c>
      <c r="L214" t="s">
        <v>21</v>
      </c>
      <c r="M214" t="str">
        <f t="shared" si="9"/>
        <v>OK</v>
      </c>
      <c r="N214" t="str">
        <f t="shared" si="10"/>
        <v>2000s</v>
      </c>
      <c r="O214" t="str">
        <f t="shared" si="11"/>
        <v>N/A</v>
      </c>
      <c r="P214" t="str">
        <f>VLOOKUP(E214,calculated_fields!$F$4:$G$6,2,FALSE)</f>
        <v>Economy</v>
      </c>
    </row>
    <row r="215" spans="1:16">
      <c r="A215" t="s">
        <v>323</v>
      </c>
      <c r="B215" t="s">
        <v>278</v>
      </c>
      <c r="C215" t="s">
        <v>279</v>
      </c>
      <c r="D215">
        <v>2007</v>
      </c>
      <c r="E215" t="s">
        <v>15</v>
      </c>
      <c r="F215" t="s">
        <v>16</v>
      </c>
      <c r="G215" t="s">
        <v>17</v>
      </c>
      <c r="H215" t="s">
        <v>18</v>
      </c>
      <c r="I215">
        <v>81.234999999999999</v>
      </c>
      <c r="J215" t="s">
        <v>19</v>
      </c>
      <c r="K215" t="s">
        <v>324</v>
      </c>
      <c r="L215" t="s">
        <v>21</v>
      </c>
      <c r="M215" t="str">
        <f t="shared" si="9"/>
        <v>OK</v>
      </c>
      <c r="N215" t="str">
        <f t="shared" si="10"/>
        <v>2000s</v>
      </c>
      <c r="O215" t="str">
        <f t="shared" si="11"/>
        <v>High</v>
      </c>
      <c r="P215" t="str">
        <f>VLOOKUP(E215,calculated_fields!$F$4:$G$6,2,FALSE)</f>
        <v>Health</v>
      </c>
    </row>
    <row r="216" spans="1:16">
      <c r="A216" t="s">
        <v>325</v>
      </c>
      <c r="B216" t="s">
        <v>278</v>
      </c>
      <c r="C216" t="s">
        <v>279</v>
      </c>
      <c r="D216">
        <v>2007</v>
      </c>
      <c r="E216" t="s">
        <v>23</v>
      </c>
      <c r="F216" t="s">
        <v>24</v>
      </c>
      <c r="G216" t="s">
        <v>25</v>
      </c>
      <c r="H216" t="s">
        <v>26</v>
      </c>
      <c r="I216">
        <v>20434176</v>
      </c>
      <c r="J216" t="s">
        <v>27</v>
      </c>
      <c r="K216" t="s">
        <v>324</v>
      </c>
      <c r="L216" t="s">
        <v>21</v>
      </c>
      <c r="M216" t="str">
        <f t="shared" si="9"/>
        <v>OK</v>
      </c>
      <c r="N216" t="str">
        <f t="shared" si="10"/>
        <v>2000s</v>
      </c>
      <c r="O216" t="str">
        <f t="shared" si="11"/>
        <v>N/A</v>
      </c>
      <c r="P216" t="str">
        <f>VLOOKUP(E216,calculated_fields!$F$4:$G$6,2,FALSE)</f>
        <v>Demographics</v>
      </c>
    </row>
    <row r="217" spans="1:16">
      <c r="A217" t="s">
        <v>326</v>
      </c>
      <c r="B217" t="s">
        <v>278</v>
      </c>
      <c r="C217" t="s">
        <v>279</v>
      </c>
      <c r="D217">
        <v>2007</v>
      </c>
      <c r="E217" t="s">
        <v>29</v>
      </c>
      <c r="F217" t="s">
        <v>30</v>
      </c>
      <c r="G217" t="s">
        <v>31</v>
      </c>
      <c r="H217" t="s">
        <v>32</v>
      </c>
      <c r="I217">
        <v>34435.3674399999</v>
      </c>
      <c r="J217" t="s">
        <v>33</v>
      </c>
      <c r="K217" t="s">
        <v>324</v>
      </c>
      <c r="L217" t="s">
        <v>21</v>
      </c>
      <c r="M217" t="str">
        <f t="shared" si="9"/>
        <v>OK</v>
      </c>
      <c r="N217" t="str">
        <f t="shared" si="10"/>
        <v>2000s</v>
      </c>
      <c r="O217" t="str">
        <f t="shared" si="11"/>
        <v>N/A</v>
      </c>
      <c r="P217" t="str">
        <f>VLOOKUP(E217,calculated_fields!$F$4:$G$6,2,FALSE)</f>
        <v>Economy</v>
      </c>
    </row>
    <row r="218" spans="1:16">
      <c r="A218" t="s">
        <v>327</v>
      </c>
      <c r="B218" t="s">
        <v>328</v>
      </c>
      <c r="C218" t="s">
        <v>80</v>
      </c>
      <c r="D218">
        <v>1952</v>
      </c>
      <c r="E218" t="s">
        <v>15</v>
      </c>
      <c r="F218" t="s">
        <v>16</v>
      </c>
      <c r="G218" t="s">
        <v>17</v>
      </c>
      <c r="H218" t="s">
        <v>18</v>
      </c>
      <c r="I218">
        <v>66.8</v>
      </c>
      <c r="J218" t="s">
        <v>19</v>
      </c>
      <c r="K218" t="s">
        <v>329</v>
      </c>
      <c r="L218" t="s">
        <v>21</v>
      </c>
      <c r="M218" t="str">
        <f t="shared" si="9"/>
        <v>OK</v>
      </c>
      <c r="N218" t="str">
        <f t="shared" si="10"/>
        <v>1950s</v>
      </c>
      <c r="O218" t="str">
        <f t="shared" si="11"/>
        <v>Medium</v>
      </c>
      <c r="P218" t="str">
        <f>VLOOKUP(E218,calculated_fields!$F$4:$G$6,2,FALSE)</f>
        <v>Health</v>
      </c>
    </row>
    <row r="219" spans="1:16">
      <c r="A219" t="s">
        <v>330</v>
      </c>
      <c r="B219" t="s">
        <v>328</v>
      </c>
      <c r="C219" t="s">
        <v>80</v>
      </c>
      <c r="D219">
        <v>1952</v>
      </c>
      <c r="E219" t="s">
        <v>23</v>
      </c>
      <c r="F219" t="s">
        <v>24</v>
      </c>
      <c r="G219" t="s">
        <v>25</v>
      </c>
      <c r="H219" t="s">
        <v>26</v>
      </c>
      <c r="I219">
        <v>6927772</v>
      </c>
      <c r="J219" t="s">
        <v>27</v>
      </c>
      <c r="K219" t="s">
        <v>329</v>
      </c>
      <c r="L219" t="s">
        <v>21</v>
      </c>
      <c r="M219" t="str">
        <f t="shared" si="9"/>
        <v>OK</v>
      </c>
      <c r="N219" t="str">
        <f t="shared" si="10"/>
        <v>1950s</v>
      </c>
      <c r="O219" t="str">
        <f t="shared" si="11"/>
        <v>N/A</v>
      </c>
      <c r="P219" t="str">
        <f>VLOOKUP(E219,calculated_fields!$F$4:$G$6,2,FALSE)</f>
        <v>Demographics</v>
      </c>
    </row>
    <row r="220" spans="1:16">
      <c r="A220" t="s">
        <v>331</v>
      </c>
      <c r="B220" t="s">
        <v>328</v>
      </c>
      <c r="C220" t="s">
        <v>80</v>
      </c>
      <c r="D220">
        <v>1952</v>
      </c>
      <c r="E220" t="s">
        <v>29</v>
      </c>
      <c r="F220" t="s">
        <v>30</v>
      </c>
      <c r="G220" t="s">
        <v>31</v>
      </c>
      <c r="H220" t="s">
        <v>32</v>
      </c>
      <c r="I220">
        <v>6137.0764920000001</v>
      </c>
      <c r="J220" t="s">
        <v>33</v>
      </c>
      <c r="K220" t="s">
        <v>329</v>
      </c>
      <c r="L220" t="s">
        <v>21</v>
      </c>
      <c r="M220" t="str">
        <f t="shared" si="9"/>
        <v>OK</v>
      </c>
      <c r="N220" t="str">
        <f t="shared" si="10"/>
        <v>1950s</v>
      </c>
      <c r="O220" t="str">
        <f t="shared" si="11"/>
        <v>N/A</v>
      </c>
      <c r="P220" t="str">
        <f>VLOOKUP(E220,calculated_fields!$F$4:$G$6,2,FALSE)</f>
        <v>Economy</v>
      </c>
    </row>
    <row r="221" spans="1:16">
      <c r="A221" t="s">
        <v>332</v>
      </c>
      <c r="B221" t="s">
        <v>328</v>
      </c>
      <c r="C221" t="s">
        <v>80</v>
      </c>
      <c r="D221">
        <v>1957</v>
      </c>
      <c r="E221" t="s">
        <v>15</v>
      </c>
      <c r="F221" t="s">
        <v>16</v>
      </c>
      <c r="G221" t="s">
        <v>17</v>
      </c>
      <c r="H221" t="s">
        <v>18</v>
      </c>
      <c r="I221">
        <v>67.48</v>
      </c>
      <c r="J221" t="s">
        <v>19</v>
      </c>
      <c r="K221" t="s">
        <v>333</v>
      </c>
      <c r="L221" t="s">
        <v>21</v>
      </c>
      <c r="M221" t="str">
        <f t="shared" si="9"/>
        <v>OK</v>
      </c>
      <c r="N221" t="str">
        <f t="shared" si="10"/>
        <v>1950s</v>
      </c>
      <c r="O221" t="str">
        <f t="shared" si="11"/>
        <v>Medium</v>
      </c>
      <c r="P221" t="str">
        <f>VLOOKUP(E221,calculated_fields!$F$4:$G$6,2,FALSE)</f>
        <v>Health</v>
      </c>
    </row>
    <row r="222" spans="1:16">
      <c r="A222" t="s">
        <v>334</v>
      </c>
      <c r="B222" t="s">
        <v>328</v>
      </c>
      <c r="C222" t="s">
        <v>80</v>
      </c>
      <c r="D222">
        <v>1957</v>
      </c>
      <c r="E222" t="s">
        <v>23</v>
      </c>
      <c r="F222" t="s">
        <v>24</v>
      </c>
      <c r="G222" t="s">
        <v>25</v>
      </c>
      <c r="H222" t="s">
        <v>26</v>
      </c>
      <c r="I222">
        <v>6965860</v>
      </c>
      <c r="J222" t="s">
        <v>27</v>
      </c>
      <c r="K222" t="s">
        <v>333</v>
      </c>
      <c r="L222" t="s">
        <v>21</v>
      </c>
      <c r="M222" t="str">
        <f t="shared" si="9"/>
        <v>OK</v>
      </c>
      <c r="N222" t="str">
        <f t="shared" si="10"/>
        <v>1950s</v>
      </c>
      <c r="O222" t="str">
        <f t="shared" si="11"/>
        <v>N/A</v>
      </c>
      <c r="P222" t="str">
        <f>VLOOKUP(E222,calculated_fields!$F$4:$G$6,2,FALSE)</f>
        <v>Demographics</v>
      </c>
    </row>
    <row r="223" spans="1:16">
      <c r="A223" t="s">
        <v>335</v>
      </c>
      <c r="B223" t="s">
        <v>328</v>
      </c>
      <c r="C223" t="s">
        <v>80</v>
      </c>
      <c r="D223">
        <v>1957</v>
      </c>
      <c r="E223" t="s">
        <v>29</v>
      </c>
      <c r="F223" t="s">
        <v>30</v>
      </c>
      <c r="G223" t="s">
        <v>31</v>
      </c>
      <c r="H223" t="s">
        <v>32</v>
      </c>
      <c r="I223">
        <v>8842.5980299999992</v>
      </c>
      <c r="J223" t="s">
        <v>33</v>
      </c>
      <c r="K223" t="s">
        <v>333</v>
      </c>
      <c r="L223" t="s">
        <v>21</v>
      </c>
      <c r="M223" t="str">
        <f t="shared" si="9"/>
        <v>OK</v>
      </c>
      <c r="N223" t="str">
        <f t="shared" si="10"/>
        <v>1950s</v>
      </c>
      <c r="O223" t="str">
        <f t="shared" si="11"/>
        <v>N/A</v>
      </c>
      <c r="P223" t="str">
        <f>VLOOKUP(E223,calculated_fields!$F$4:$G$6,2,FALSE)</f>
        <v>Economy</v>
      </c>
    </row>
    <row r="224" spans="1:16">
      <c r="A224" t="s">
        <v>336</v>
      </c>
      <c r="B224" t="s">
        <v>328</v>
      </c>
      <c r="C224" t="s">
        <v>80</v>
      </c>
      <c r="D224">
        <v>1962</v>
      </c>
      <c r="E224" t="s">
        <v>15</v>
      </c>
      <c r="F224" t="s">
        <v>16</v>
      </c>
      <c r="G224" t="s">
        <v>17</v>
      </c>
      <c r="H224" t="s">
        <v>18</v>
      </c>
      <c r="I224">
        <v>69.540000000000006</v>
      </c>
      <c r="J224" t="s">
        <v>19</v>
      </c>
      <c r="K224" t="s">
        <v>337</v>
      </c>
      <c r="L224" t="s">
        <v>21</v>
      </c>
      <c r="M224" t="str">
        <f t="shared" si="9"/>
        <v>OK</v>
      </c>
      <c r="N224" t="str">
        <f t="shared" si="10"/>
        <v>1960s</v>
      </c>
      <c r="O224" t="str">
        <f t="shared" si="11"/>
        <v>Medium</v>
      </c>
      <c r="P224" t="str">
        <f>VLOOKUP(E224,calculated_fields!$F$4:$G$6,2,FALSE)</f>
        <v>Health</v>
      </c>
    </row>
    <row r="225" spans="1:16">
      <c r="A225" t="s">
        <v>338</v>
      </c>
      <c r="B225" t="s">
        <v>328</v>
      </c>
      <c r="C225" t="s">
        <v>80</v>
      </c>
      <c r="D225">
        <v>1962</v>
      </c>
      <c r="E225" t="s">
        <v>23</v>
      </c>
      <c r="F225" t="s">
        <v>24</v>
      </c>
      <c r="G225" t="s">
        <v>25</v>
      </c>
      <c r="H225" t="s">
        <v>26</v>
      </c>
      <c r="I225">
        <v>7129864</v>
      </c>
      <c r="J225" t="s">
        <v>27</v>
      </c>
      <c r="K225" t="s">
        <v>337</v>
      </c>
      <c r="L225" t="s">
        <v>21</v>
      </c>
      <c r="M225" t="str">
        <f t="shared" si="9"/>
        <v>OK</v>
      </c>
      <c r="N225" t="str">
        <f t="shared" si="10"/>
        <v>1960s</v>
      </c>
      <c r="O225" t="str">
        <f t="shared" si="11"/>
        <v>N/A</v>
      </c>
      <c r="P225" t="str">
        <f>VLOOKUP(E225,calculated_fields!$F$4:$G$6,2,FALSE)</f>
        <v>Demographics</v>
      </c>
    </row>
    <row r="226" spans="1:16">
      <c r="A226" t="s">
        <v>339</v>
      </c>
      <c r="B226" t="s">
        <v>328</v>
      </c>
      <c r="C226" t="s">
        <v>80</v>
      </c>
      <c r="D226">
        <v>1962</v>
      </c>
      <c r="E226" t="s">
        <v>29</v>
      </c>
      <c r="F226" t="s">
        <v>30</v>
      </c>
      <c r="G226" t="s">
        <v>31</v>
      </c>
      <c r="H226" t="s">
        <v>32</v>
      </c>
      <c r="I226">
        <v>10750.72111</v>
      </c>
      <c r="J226" t="s">
        <v>33</v>
      </c>
      <c r="K226" t="s">
        <v>337</v>
      </c>
      <c r="L226" t="s">
        <v>21</v>
      </c>
      <c r="M226" t="str">
        <f t="shared" si="9"/>
        <v>OK</v>
      </c>
      <c r="N226" t="str">
        <f t="shared" si="10"/>
        <v>1960s</v>
      </c>
      <c r="O226" t="str">
        <f t="shared" si="11"/>
        <v>N/A</v>
      </c>
      <c r="P226" t="str">
        <f>VLOOKUP(E226,calculated_fields!$F$4:$G$6,2,FALSE)</f>
        <v>Economy</v>
      </c>
    </row>
    <row r="227" spans="1:16">
      <c r="A227" t="s">
        <v>340</v>
      </c>
      <c r="B227" t="s">
        <v>328</v>
      </c>
      <c r="C227" t="s">
        <v>80</v>
      </c>
      <c r="D227">
        <v>1967</v>
      </c>
      <c r="E227" t="s">
        <v>15</v>
      </c>
      <c r="F227" t="s">
        <v>16</v>
      </c>
      <c r="G227" t="s">
        <v>17</v>
      </c>
      <c r="H227" t="s">
        <v>18</v>
      </c>
      <c r="I227">
        <v>70.14</v>
      </c>
      <c r="J227" t="s">
        <v>19</v>
      </c>
      <c r="K227" t="s">
        <v>341</v>
      </c>
      <c r="L227" t="s">
        <v>21</v>
      </c>
      <c r="M227" t="str">
        <f t="shared" si="9"/>
        <v>OK</v>
      </c>
      <c r="N227" t="str">
        <f t="shared" si="10"/>
        <v>1960s</v>
      </c>
      <c r="O227" t="str">
        <f t="shared" si="11"/>
        <v>High</v>
      </c>
      <c r="P227" t="str">
        <f>VLOOKUP(E227,calculated_fields!$F$4:$G$6,2,FALSE)</f>
        <v>Health</v>
      </c>
    </row>
    <row r="228" spans="1:16">
      <c r="A228" t="s">
        <v>342</v>
      </c>
      <c r="B228" t="s">
        <v>328</v>
      </c>
      <c r="C228" t="s">
        <v>80</v>
      </c>
      <c r="D228">
        <v>1967</v>
      </c>
      <c r="E228" t="s">
        <v>23</v>
      </c>
      <c r="F228" t="s">
        <v>24</v>
      </c>
      <c r="G228" t="s">
        <v>25</v>
      </c>
      <c r="H228" t="s">
        <v>26</v>
      </c>
      <c r="I228">
        <v>7376998</v>
      </c>
      <c r="J228" t="s">
        <v>27</v>
      </c>
      <c r="K228" t="s">
        <v>341</v>
      </c>
      <c r="L228" t="s">
        <v>21</v>
      </c>
      <c r="M228" t="str">
        <f t="shared" si="9"/>
        <v>OK</v>
      </c>
      <c r="N228" t="str">
        <f t="shared" si="10"/>
        <v>1960s</v>
      </c>
      <c r="O228" t="str">
        <f t="shared" si="11"/>
        <v>N/A</v>
      </c>
      <c r="P228" t="str">
        <f>VLOOKUP(E228,calculated_fields!$F$4:$G$6,2,FALSE)</f>
        <v>Demographics</v>
      </c>
    </row>
    <row r="229" spans="1:16">
      <c r="A229" t="s">
        <v>343</v>
      </c>
      <c r="B229" t="s">
        <v>328</v>
      </c>
      <c r="C229" t="s">
        <v>80</v>
      </c>
      <c r="D229">
        <v>1967</v>
      </c>
      <c r="E229" t="s">
        <v>29</v>
      </c>
      <c r="F229" t="s">
        <v>30</v>
      </c>
      <c r="G229" t="s">
        <v>31</v>
      </c>
      <c r="H229" t="s">
        <v>32</v>
      </c>
      <c r="I229">
        <v>12834.6024</v>
      </c>
      <c r="J229" t="s">
        <v>33</v>
      </c>
      <c r="K229" t="s">
        <v>341</v>
      </c>
      <c r="L229" t="s">
        <v>21</v>
      </c>
      <c r="M229" t="str">
        <f t="shared" si="9"/>
        <v>OK</v>
      </c>
      <c r="N229" t="str">
        <f t="shared" si="10"/>
        <v>1960s</v>
      </c>
      <c r="O229" t="str">
        <f t="shared" si="11"/>
        <v>N/A</v>
      </c>
      <c r="P229" t="str">
        <f>VLOOKUP(E229,calculated_fields!$F$4:$G$6,2,FALSE)</f>
        <v>Economy</v>
      </c>
    </row>
    <row r="230" spans="1:16">
      <c r="A230" t="s">
        <v>344</v>
      </c>
      <c r="B230" t="s">
        <v>328</v>
      </c>
      <c r="C230" t="s">
        <v>80</v>
      </c>
      <c r="D230">
        <v>1972</v>
      </c>
      <c r="E230" t="s">
        <v>15</v>
      </c>
      <c r="F230" t="s">
        <v>16</v>
      </c>
      <c r="G230" t="s">
        <v>17</v>
      </c>
      <c r="H230" t="s">
        <v>18</v>
      </c>
      <c r="I230">
        <v>70.63</v>
      </c>
      <c r="J230" t="s">
        <v>19</v>
      </c>
      <c r="K230" t="s">
        <v>345</v>
      </c>
      <c r="L230" t="s">
        <v>21</v>
      </c>
      <c r="M230" t="str">
        <f t="shared" si="9"/>
        <v>OK</v>
      </c>
      <c r="N230" t="str">
        <f t="shared" si="10"/>
        <v>1970s</v>
      </c>
      <c r="O230" t="str">
        <f t="shared" si="11"/>
        <v>High</v>
      </c>
      <c r="P230" t="str">
        <f>VLOOKUP(E230,calculated_fields!$F$4:$G$6,2,FALSE)</f>
        <v>Health</v>
      </c>
    </row>
    <row r="231" spans="1:16">
      <c r="A231" t="s">
        <v>346</v>
      </c>
      <c r="B231" t="s">
        <v>328</v>
      </c>
      <c r="C231" t="s">
        <v>80</v>
      </c>
      <c r="D231">
        <v>1972</v>
      </c>
      <c r="E231" t="s">
        <v>23</v>
      </c>
      <c r="F231" t="s">
        <v>24</v>
      </c>
      <c r="G231" t="s">
        <v>25</v>
      </c>
      <c r="H231" t="s">
        <v>26</v>
      </c>
      <c r="I231">
        <v>7544201</v>
      </c>
      <c r="J231" t="s">
        <v>27</v>
      </c>
      <c r="K231" t="s">
        <v>345</v>
      </c>
      <c r="L231" t="s">
        <v>21</v>
      </c>
      <c r="M231" t="str">
        <f t="shared" si="9"/>
        <v>OK</v>
      </c>
      <c r="N231" t="str">
        <f t="shared" si="10"/>
        <v>1970s</v>
      </c>
      <c r="O231" t="str">
        <f t="shared" si="11"/>
        <v>N/A</v>
      </c>
      <c r="P231" t="str">
        <f>VLOOKUP(E231,calculated_fields!$F$4:$G$6,2,FALSE)</f>
        <v>Demographics</v>
      </c>
    </row>
    <row r="232" spans="1:16">
      <c r="A232" t="s">
        <v>347</v>
      </c>
      <c r="B232" t="s">
        <v>328</v>
      </c>
      <c r="C232" t="s">
        <v>80</v>
      </c>
      <c r="D232">
        <v>1972</v>
      </c>
      <c r="E232" t="s">
        <v>29</v>
      </c>
      <c r="F232" t="s">
        <v>30</v>
      </c>
      <c r="G232" t="s">
        <v>31</v>
      </c>
      <c r="H232" t="s">
        <v>32</v>
      </c>
      <c r="I232">
        <v>16661.625599999999</v>
      </c>
      <c r="J232" t="s">
        <v>33</v>
      </c>
      <c r="K232" t="s">
        <v>345</v>
      </c>
      <c r="L232" t="s">
        <v>21</v>
      </c>
      <c r="M232" t="str">
        <f t="shared" si="9"/>
        <v>OK</v>
      </c>
      <c r="N232" t="str">
        <f t="shared" si="10"/>
        <v>1970s</v>
      </c>
      <c r="O232" t="str">
        <f t="shared" si="11"/>
        <v>N/A</v>
      </c>
      <c r="P232" t="str">
        <f>VLOOKUP(E232,calculated_fields!$F$4:$G$6,2,FALSE)</f>
        <v>Economy</v>
      </c>
    </row>
    <row r="233" spans="1:16">
      <c r="A233" t="s">
        <v>348</v>
      </c>
      <c r="B233" t="s">
        <v>328</v>
      </c>
      <c r="C233" t="s">
        <v>80</v>
      </c>
      <c r="D233">
        <v>1977</v>
      </c>
      <c r="E233" t="s">
        <v>15</v>
      </c>
      <c r="F233" t="s">
        <v>16</v>
      </c>
      <c r="G233" t="s">
        <v>17</v>
      </c>
      <c r="H233" t="s">
        <v>18</v>
      </c>
      <c r="I233">
        <v>72.17</v>
      </c>
      <c r="J233" t="s">
        <v>19</v>
      </c>
      <c r="K233" t="s">
        <v>349</v>
      </c>
      <c r="L233" t="s">
        <v>21</v>
      </c>
      <c r="M233" t="str">
        <f t="shared" si="9"/>
        <v>OK</v>
      </c>
      <c r="N233" t="str">
        <f t="shared" si="10"/>
        <v>1970s</v>
      </c>
      <c r="O233" t="str">
        <f t="shared" si="11"/>
        <v>High</v>
      </c>
      <c r="P233" t="str">
        <f>VLOOKUP(E233,calculated_fields!$F$4:$G$6,2,FALSE)</f>
        <v>Health</v>
      </c>
    </row>
    <row r="234" spans="1:16">
      <c r="A234" t="s">
        <v>350</v>
      </c>
      <c r="B234" t="s">
        <v>328</v>
      </c>
      <c r="C234" t="s">
        <v>80</v>
      </c>
      <c r="D234">
        <v>1977</v>
      </c>
      <c r="E234" t="s">
        <v>23</v>
      </c>
      <c r="F234" t="s">
        <v>24</v>
      </c>
      <c r="G234" t="s">
        <v>25</v>
      </c>
      <c r="H234" t="s">
        <v>26</v>
      </c>
      <c r="I234">
        <v>7568430</v>
      </c>
      <c r="J234" t="s">
        <v>27</v>
      </c>
      <c r="K234" t="s">
        <v>349</v>
      </c>
      <c r="L234" t="s">
        <v>21</v>
      </c>
      <c r="M234" t="str">
        <f t="shared" si="9"/>
        <v>OK</v>
      </c>
      <c r="N234" t="str">
        <f t="shared" si="10"/>
        <v>1970s</v>
      </c>
      <c r="O234" t="str">
        <f t="shared" si="11"/>
        <v>N/A</v>
      </c>
      <c r="P234" t="str">
        <f>VLOOKUP(E234,calculated_fields!$F$4:$G$6,2,FALSE)</f>
        <v>Demographics</v>
      </c>
    </row>
    <row r="235" spans="1:16">
      <c r="A235" t="s">
        <v>351</v>
      </c>
      <c r="B235" t="s">
        <v>328</v>
      </c>
      <c r="C235" t="s">
        <v>80</v>
      </c>
      <c r="D235">
        <v>1977</v>
      </c>
      <c r="E235" t="s">
        <v>29</v>
      </c>
      <c r="F235" t="s">
        <v>30</v>
      </c>
      <c r="G235" t="s">
        <v>31</v>
      </c>
      <c r="H235" t="s">
        <v>32</v>
      </c>
      <c r="I235">
        <v>19749.422299999998</v>
      </c>
      <c r="J235" t="s">
        <v>33</v>
      </c>
      <c r="K235" t="s">
        <v>349</v>
      </c>
      <c r="L235" t="s">
        <v>21</v>
      </c>
      <c r="M235" t="str">
        <f t="shared" si="9"/>
        <v>OK</v>
      </c>
      <c r="N235" t="str">
        <f t="shared" si="10"/>
        <v>1970s</v>
      </c>
      <c r="O235" t="str">
        <f t="shared" si="11"/>
        <v>N/A</v>
      </c>
      <c r="P235" t="str">
        <f>VLOOKUP(E235,calculated_fields!$F$4:$G$6,2,FALSE)</f>
        <v>Economy</v>
      </c>
    </row>
    <row r="236" spans="1:16">
      <c r="A236" t="s">
        <v>352</v>
      </c>
      <c r="B236" t="s">
        <v>328</v>
      </c>
      <c r="C236" t="s">
        <v>80</v>
      </c>
      <c r="D236">
        <v>1982</v>
      </c>
      <c r="E236" t="s">
        <v>15</v>
      </c>
      <c r="F236" t="s">
        <v>16</v>
      </c>
      <c r="G236" t="s">
        <v>17</v>
      </c>
      <c r="H236" t="s">
        <v>18</v>
      </c>
      <c r="I236">
        <v>73.180000000000007</v>
      </c>
      <c r="J236" t="s">
        <v>19</v>
      </c>
      <c r="K236" t="s">
        <v>353</v>
      </c>
      <c r="L236" t="s">
        <v>21</v>
      </c>
      <c r="M236" t="str">
        <f t="shared" si="9"/>
        <v>OK</v>
      </c>
      <c r="N236" t="str">
        <f t="shared" si="10"/>
        <v>1980s</v>
      </c>
      <c r="O236" t="str">
        <f t="shared" si="11"/>
        <v>High</v>
      </c>
      <c r="P236" t="str">
        <f>VLOOKUP(E236,calculated_fields!$F$4:$G$6,2,FALSE)</f>
        <v>Health</v>
      </c>
    </row>
    <row r="237" spans="1:16">
      <c r="A237" t="s">
        <v>354</v>
      </c>
      <c r="B237" t="s">
        <v>328</v>
      </c>
      <c r="C237" t="s">
        <v>80</v>
      </c>
      <c r="D237">
        <v>1982</v>
      </c>
      <c r="E237" t="s">
        <v>23</v>
      </c>
      <c r="F237" t="s">
        <v>24</v>
      </c>
      <c r="G237" t="s">
        <v>25</v>
      </c>
      <c r="H237" t="s">
        <v>26</v>
      </c>
      <c r="I237">
        <v>7574613</v>
      </c>
      <c r="J237" t="s">
        <v>27</v>
      </c>
      <c r="K237" t="s">
        <v>353</v>
      </c>
      <c r="L237" t="s">
        <v>21</v>
      </c>
      <c r="M237" t="str">
        <f t="shared" si="9"/>
        <v>OK</v>
      </c>
      <c r="N237" t="str">
        <f t="shared" si="10"/>
        <v>1980s</v>
      </c>
      <c r="O237" t="str">
        <f t="shared" si="11"/>
        <v>N/A</v>
      </c>
      <c r="P237" t="str">
        <f>VLOOKUP(E237,calculated_fields!$F$4:$G$6,2,FALSE)</f>
        <v>Demographics</v>
      </c>
    </row>
    <row r="238" spans="1:16">
      <c r="A238" t="s">
        <v>355</v>
      </c>
      <c r="B238" t="s">
        <v>328</v>
      </c>
      <c r="C238" t="s">
        <v>80</v>
      </c>
      <c r="D238">
        <v>1982</v>
      </c>
      <c r="E238" t="s">
        <v>29</v>
      </c>
      <c r="F238" t="s">
        <v>30</v>
      </c>
      <c r="G238" t="s">
        <v>31</v>
      </c>
      <c r="H238" t="s">
        <v>32</v>
      </c>
      <c r="I238">
        <v>21597.083620000001</v>
      </c>
      <c r="J238" t="s">
        <v>33</v>
      </c>
      <c r="K238" t="s">
        <v>353</v>
      </c>
      <c r="L238" t="s">
        <v>21</v>
      </c>
      <c r="M238" t="str">
        <f t="shared" si="9"/>
        <v>OK</v>
      </c>
      <c r="N238" t="str">
        <f t="shared" si="10"/>
        <v>1980s</v>
      </c>
      <c r="O238" t="str">
        <f t="shared" si="11"/>
        <v>N/A</v>
      </c>
      <c r="P238" t="str">
        <f>VLOOKUP(E238,calculated_fields!$F$4:$G$6,2,FALSE)</f>
        <v>Economy</v>
      </c>
    </row>
    <row r="239" spans="1:16">
      <c r="A239" t="s">
        <v>356</v>
      </c>
      <c r="B239" t="s">
        <v>328</v>
      </c>
      <c r="C239" t="s">
        <v>80</v>
      </c>
      <c r="D239">
        <v>1987</v>
      </c>
      <c r="E239" t="s">
        <v>15</v>
      </c>
      <c r="F239" t="s">
        <v>16</v>
      </c>
      <c r="G239" t="s">
        <v>17</v>
      </c>
      <c r="H239" t="s">
        <v>18</v>
      </c>
      <c r="I239">
        <v>74.94</v>
      </c>
      <c r="J239" t="s">
        <v>19</v>
      </c>
      <c r="K239" t="s">
        <v>357</v>
      </c>
      <c r="L239" t="s">
        <v>21</v>
      </c>
      <c r="M239" t="str">
        <f t="shared" si="9"/>
        <v>OK</v>
      </c>
      <c r="N239" t="str">
        <f t="shared" si="10"/>
        <v>1980s</v>
      </c>
      <c r="O239" t="str">
        <f t="shared" si="11"/>
        <v>High</v>
      </c>
      <c r="P239" t="str">
        <f>VLOOKUP(E239,calculated_fields!$F$4:$G$6,2,FALSE)</f>
        <v>Health</v>
      </c>
    </row>
    <row r="240" spans="1:16">
      <c r="A240" t="s">
        <v>358</v>
      </c>
      <c r="B240" t="s">
        <v>328</v>
      </c>
      <c r="C240" t="s">
        <v>80</v>
      </c>
      <c r="D240">
        <v>1987</v>
      </c>
      <c r="E240" t="s">
        <v>23</v>
      </c>
      <c r="F240" t="s">
        <v>24</v>
      </c>
      <c r="G240" t="s">
        <v>25</v>
      </c>
      <c r="H240" t="s">
        <v>26</v>
      </c>
      <c r="I240">
        <v>7578903</v>
      </c>
      <c r="J240" t="s">
        <v>27</v>
      </c>
      <c r="K240" t="s">
        <v>357</v>
      </c>
      <c r="L240" t="s">
        <v>21</v>
      </c>
      <c r="M240" t="str">
        <f t="shared" si="9"/>
        <v>OK</v>
      </c>
      <c r="N240" t="str">
        <f t="shared" si="10"/>
        <v>1980s</v>
      </c>
      <c r="O240" t="str">
        <f t="shared" si="11"/>
        <v>N/A</v>
      </c>
      <c r="P240" t="str">
        <f>VLOOKUP(E240,calculated_fields!$F$4:$G$6,2,FALSE)</f>
        <v>Demographics</v>
      </c>
    </row>
    <row r="241" spans="1:16">
      <c r="A241" t="s">
        <v>359</v>
      </c>
      <c r="B241" t="s">
        <v>328</v>
      </c>
      <c r="C241" t="s">
        <v>80</v>
      </c>
      <c r="D241">
        <v>1987</v>
      </c>
      <c r="E241" t="s">
        <v>29</v>
      </c>
      <c r="F241" t="s">
        <v>30</v>
      </c>
      <c r="G241" t="s">
        <v>31</v>
      </c>
      <c r="H241" t="s">
        <v>32</v>
      </c>
      <c r="I241">
        <v>23687.826069999999</v>
      </c>
      <c r="J241" t="s">
        <v>33</v>
      </c>
      <c r="K241" t="s">
        <v>357</v>
      </c>
      <c r="L241" t="s">
        <v>21</v>
      </c>
      <c r="M241" t="str">
        <f t="shared" si="9"/>
        <v>OK</v>
      </c>
      <c r="N241" t="str">
        <f t="shared" si="10"/>
        <v>1980s</v>
      </c>
      <c r="O241" t="str">
        <f t="shared" si="11"/>
        <v>N/A</v>
      </c>
      <c r="P241" t="str">
        <f>VLOOKUP(E241,calculated_fields!$F$4:$G$6,2,FALSE)</f>
        <v>Economy</v>
      </c>
    </row>
    <row r="242" spans="1:16">
      <c r="A242" t="s">
        <v>360</v>
      </c>
      <c r="B242" t="s">
        <v>328</v>
      </c>
      <c r="C242" t="s">
        <v>80</v>
      </c>
      <c r="D242">
        <v>1992</v>
      </c>
      <c r="E242" t="s">
        <v>15</v>
      </c>
      <c r="F242" t="s">
        <v>16</v>
      </c>
      <c r="G242" t="s">
        <v>17</v>
      </c>
      <c r="H242" t="s">
        <v>18</v>
      </c>
      <c r="I242">
        <v>76.040000000000006</v>
      </c>
      <c r="J242" t="s">
        <v>19</v>
      </c>
      <c r="K242" t="s">
        <v>361</v>
      </c>
      <c r="L242" t="s">
        <v>21</v>
      </c>
      <c r="M242" t="str">
        <f t="shared" si="9"/>
        <v>OK</v>
      </c>
      <c r="N242" t="str">
        <f t="shared" si="10"/>
        <v>1990s</v>
      </c>
      <c r="O242" t="str">
        <f t="shared" si="11"/>
        <v>High</v>
      </c>
      <c r="P242" t="str">
        <f>VLOOKUP(E242,calculated_fields!$F$4:$G$6,2,FALSE)</f>
        <v>Health</v>
      </c>
    </row>
    <row r="243" spans="1:16">
      <c r="A243" t="s">
        <v>362</v>
      </c>
      <c r="B243" t="s">
        <v>328</v>
      </c>
      <c r="C243" t="s">
        <v>80</v>
      </c>
      <c r="D243">
        <v>1992</v>
      </c>
      <c r="E243" t="s">
        <v>23</v>
      </c>
      <c r="F243" t="s">
        <v>24</v>
      </c>
      <c r="G243" t="s">
        <v>25</v>
      </c>
      <c r="H243" t="s">
        <v>26</v>
      </c>
      <c r="I243">
        <v>7914969</v>
      </c>
      <c r="J243" t="s">
        <v>27</v>
      </c>
      <c r="K243" t="s">
        <v>361</v>
      </c>
      <c r="L243" t="s">
        <v>21</v>
      </c>
      <c r="M243" t="str">
        <f t="shared" si="9"/>
        <v>OK</v>
      </c>
      <c r="N243" t="str">
        <f t="shared" si="10"/>
        <v>1990s</v>
      </c>
      <c r="O243" t="str">
        <f t="shared" si="11"/>
        <v>N/A</v>
      </c>
      <c r="P243" t="str">
        <f>VLOOKUP(E243,calculated_fields!$F$4:$G$6,2,FALSE)</f>
        <v>Demographics</v>
      </c>
    </row>
    <row r="244" spans="1:16">
      <c r="A244" t="s">
        <v>363</v>
      </c>
      <c r="B244" t="s">
        <v>328</v>
      </c>
      <c r="C244" t="s">
        <v>80</v>
      </c>
      <c r="D244">
        <v>1992</v>
      </c>
      <c r="E244" t="s">
        <v>29</v>
      </c>
      <c r="F244" t="s">
        <v>30</v>
      </c>
      <c r="G244" t="s">
        <v>31</v>
      </c>
      <c r="H244" t="s">
        <v>32</v>
      </c>
      <c r="I244">
        <v>27042.018680000001</v>
      </c>
      <c r="J244" t="s">
        <v>33</v>
      </c>
      <c r="K244" t="s">
        <v>361</v>
      </c>
      <c r="L244" t="s">
        <v>21</v>
      </c>
      <c r="M244" t="str">
        <f t="shared" si="9"/>
        <v>OK</v>
      </c>
      <c r="N244" t="str">
        <f t="shared" si="10"/>
        <v>1990s</v>
      </c>
      <c r="O244" t="str">
        <f t="shared" si="11"/>
        <v>N/A</v>
      </c>
      <c r="P244" t="str">
        <f>VLOOKUP(E244,calculated_fields!$F$4:$G$6,2,FALSE)</f>
        <v>Economy</v>
      </c>
    </row>
    <row r="245" spans="1:16">
      <c r="A245" t="s">
        <v>364</v>
      </c>
      <c r="B245" t="s">
        <v>328</v>
      </c>
      <c r="C245" t="s">
        <v>80</v>
      </c>
      <c r="D245">
        <v>1997</v>
      </c>
      <c r="E245" t="s">
        <v>15</v>
      </c>
      <c r="F245" t="s">
        <v>16</v>
      </c>
      <c r="G245" t="s">
        <v>17</v>
      </c>
      <c r="H245" t="s">
        <v>18</v>
      </c>
      <c r="I245">
        <v>77.510000000000005</v>
      </c>
      <c r="J245" t="s">
        <v>19</v>
      </c>
      <c r="K245" t="s">
        <v>365</v>
      </c>
      <c r="L245" t="s">
        <v>21</v>
      </c>
      <c r="M245" t="str">
        <f t="shared" si="9"/>
        <v>OK</v>
      </c>
      <c r="N245" t="str">
        <f t="shared" si="10"/>
        <v>1990s</v>
      </c>
      <c r="O245" t="str">
        <f t="shared" si="11"/>
        <v>High</v>
      </c>
      <c r="P245" t="str">
        <f>VLOOKUP(E245,calculated_fields!$F$4:$G$6,2,FALSE)</f>
        <v>Health</v>
      </c>
    </row>
    <row r="246" spans="1:16">
      <c r="A246" t="s">
        <v>366</v>
      </c>
      <c r="B246" t="s">
        <v>328</v>
      </c>
      <c r="C246" t="s">
        <v>80</v>
      </c>
      <c r="D246">
        <v>1997</v>
      </c>
      <c r="E246" t="s">
        <v>23</v>
      </c>
      <c r="F246" t="s">
        <v>24</v>
      </c>
      <c r="G246" t="s">
        <v>25</v>
      </c>
      <c r="H246" t="s">
        <v>26</v>
      </c>
      <c r="I246">
        <v>8069876</v>
      </c>
      <c r="J246" t="s">
        <v>27</v>
      </c>
      <c r="K246" t="s">
        <v>365</v>
      </c>
      <c r="L246" t="s">
        <v>21</v>
      </c>
      <c r="M246" t="str">
        <f t="shared" si="9"/>
        <v>OK</v>
      </c>
      <c r="N246" t="str">
        <f t="shared" si="10"/>
        <v>1990s</v>
      </c>
      <c r="O246" t="str">
        <f t="shared" si="11"/>
        <v>N/A</v>
      </c>
      <c r="P246" t="str">
        <f>VLOOKUP(E246,calculated_fields!$F$4:$G$6,2,FALSE)</f>
        <v>Demographics</v>
      </c>
    </row>
    <row r="247" spans="1:16">
      <c r="A247" t="s">
        <v>367</v>
      </c>
      <c r="B247" t="s">
        <v>328</v>
      </c>
      <c r="C247" t="s">
        <v>80</v>
      </c>
      <c r="D247">
        <v>1997</v>
      </c>
      <c r="E247" t="s">
        <v>29</v>
      </c>
      <c r="F247" t="s">
        <v>30</v>
      </c>
      <c r="G247" t="s">
        <v>31</v>
      </c>
      <c r="H247" t="s">
        <v>32</v>
      </c>
      <c r="I247">
        <v>29095.92066</v>
      </c>
      <c r="J247" t="s">
        <v>33</v>
      </c>
      <c r="K247" t="s">
        <v>365</v>
      </c>
      <c r="L247" t="s">
        <v>21</v>
      </c>
      <c r="M247" t="str">
        <f t="shared" si="9"/>
        <v>OK</v>
      </c>
      <c r="N247" t="str">
        <f t="shared" si="10"/>
        <v>1990s</v>
      </c>
      <c r="O247" t="str">
        <f t="shared" si="11"/>
        <v>N/A</v>
      </c>
      <c r="P247" t="str">
        <f>VLOOKUP(E247,calculated_fields!$F$4:$G$6,2,FALSE)</f>
        <v>Economy</v>
      </c>
    </row>
    <row r="248" spans="1:16">
      <c r="A248" t="s">
        <v>368</v>
      </c>
      <c r="B248" t="s">
        <v>328</v>
      </c>
      <c r="C248" t="s">
        <v>80</v>
      </c>
      <c r="D248">
        <v>2002</v>
      </c>
      <c r="E248" t="s">
        <v>15</v>
      </c>
      <c r="F248" t="s">
        <v>16</v>
      </c>
      <c r="G248" t="s">
        <v>17</v>
      </c>
      <c r="H248" t="s">
        <v>18</v>
      </c>
      <c r="I248">
        <v>78.98</v>
      </c>
      <c r="J248" t="s">
        <v>19</v>
      </c>
      <c r="K248" t="s">
        <v>369</v>
      </c>
      <c r="L248" t="s">
        <v>21</v>
      </c>
      <c r="M248" t="str">
        <f t="shared" si="9"/>
        <v>OK</v>
      </c>
      <c r="N248" t="str">
        <f t="shared" si="10"/>
        <v>2000s</v>
      </c>
      <c r="O248" t="str">
        <f t="shared" si="11"/>
        <v>High</v>
      </c>
      <c r="P248" t="str">
        <f>VLOOKUP(E248,calculated_fields!$F$4:$G$6,2,FALSE)</f>
        <v>Health</v>
      </c>
    </row>
    <row r="249" spans="1:16">
      <c r="A249" t="s">
        <v>370</v>
      </c>
      <c r="B249" t="s">
        <v>328</v>
      </c>
      <c r="C249" t="s">
        <v>80</v>
      </c>
      <c r="D249">
        <v>2002</v>
      </c>
      <c r="E249" t="s">
        <v>23</v>
      </c>
      <c r="F249" t="s">
        <v>24</v>
      </c>
      <c r="G249" t="s">
        <v>25</v>
      </c>
      <c r="H249" t="s">
        <v>26</v>
      </c>
      <c r="I249">
        <v>8148312</v>
      </c>
      <c r="J249" t="s">
        <v>27</v>
      </c>
      <c r="K249" t="s">
        <v>369</v>
      </c>
      <c r="L249" t="s">
        <v>21</v>
      </c>
      <c r="M249" t="str">
        <f t="shared" si="9"/>
        <v>OK</v>
      </c>
      <c r="N249" t="str">
        <f t="shared" si="10"/>
        <v>2000s</v>
      </c>
      <c r="O249" t="str">
        <f t="shared" si="11"/>
        <v>N/A</v>
      </c>
      <c r="P249" t="str">
        <f>VLOOKUP(E249,calculated_fields!$F$4:$G$6,2,FALSE)</f>
        <v>Demographics</v>
      </c>
    </row>
    <row r="250" spans="1:16">
      <c r="A250" t="s">
        <v>371</v>
      </c>
      <c r="B250" t="s">
        <v>328</v>
      </c>
      <c r="C250" t="s">
        <v>80</v>
      </c>
      <c r="D250">
        <v>2002</v>
      </c>
      <c r="E250" t="s">
        <v>29</v>
      </c>
      <c r="F250" t="s">
        <v>30</v>
      </c>
      <c r="G250" t="s">
        <v>31</v>
      </c>
      <c r="H250" t="s">
        <v>32</v>
      </c>
      <c r="I250">
        <v>32417.607690000001</v>
      </c>
      <c r="J250" t="s">
        <v>33</v>
      </c>
      <c r="K250" t="s">
        <v>369</v>
      </c>
      <c r="L250" t="s">
        <v>21</v>
      </c>
      <c r="M250" t="str">
        <f t="shared" si="9"/>
        <v>OK</v>
      </c>
      <c r="N250" t="str">
        <f t="shared" si="10"/>
        <v>2000s</v>
      </c>
      <c r="O250" t="str">
        <f t="shared" si="11"/>
        <v>N/A</v>
      </c>
      <c r="P250" t="str">
        <f>VLOOKUP(E250,calculated_fields!$F$4:$G$6,2,FALSE)</f>
        <v>Economy</v>
      </c>
    </row>
    <row r="251" spans="1:16">
      <c r="A251" t="s">
        <v>372</v>
      </c>
      <c r="B251" t="s">
        <v>328</v>
      </c>
      <c r="C251" t="s">
        <v>80</v>
      </c>
      <c r="D251">
        <v>2007</v>
      </c>
      <c r="E251" t="s">
        <v>15</v>
      </c>
      <c r="F251" t="s">
        <v>16</v>
      </c>
      <c r="G251" t="s">
        <v>17</v>
      </c>
      <c r="H251" t="s">
        <v>18</v>
      </c>
      <c r="I251">
        <v>79.828999999999994</v>
      </c>
      <c r="J251" t="s">
        <v>19</v>
      </c>
      <c r="K251" t="s">
        <v>373</v>
      </c>
      <c r="L251" t="s">
        <v>21</v>
      </c>
      <c r="M251" t="str">
        <f t="shared" si="9"/>
        <v>OK</v>
      </c>
      <c r="N251" t="str">
        <f t="shared" si="10"/>
        <v>2000s</v>
      </c>
      <c r="O251" t="str">
        <f t="shared" si="11"/>
        <v>High</v>
      </c>
      <c r="P251" t="str">
        <f>VLOOKUP(E251,calculated_fields!$F$4:$G$6,2,FALSE)</f>
        <v>Health</v>
      </c>
    </row>
    <row r="252" spans="1:16">
      <c r="A252" t="s">
        <v>374</v>
      </c>
      <c r="B252" t="s">
        <v>328</v>
      </c>
      <c r="C252" t="s">
        <v>80</v>
      </c>
      <c r="D252">
        <v>2007</v>
      </c>
      <c r="E252" t="s">
        <v>23</v>
      </c>
      <c r="F252" t="s">
        <v>24</v>
      </c>
      <c r="G252" t="s">
        <v>25</v>
      </c>
      <c r="H252" t="s">
        <v>26</v>
      </c>
      <c r="I252">
        <v>8199783</v>
      </c>
      <c r="J252" t="s">
        <v>27</v>
      </c>
      <c r="K252" t="s">
        <v>373</v>
      </c>
      <c r="L252" t="s">
        <v>21</v>
      </c>
      <c r="M252" t="str">
        <f t="shared" si="9"/>
        <v>OK</v>
      </c>
      <c r="N252" t="str">
        <f t="shared" si="10"/>
        <v>2000s</v>
      </c>
      <c r="O252" t="str">
        <f t="shared" si="11"/>
        <v>N/A</v>
      </c>
      <c r="P252" t="str">
        <f>VLOOKUP(E252,calculated_fields!$F$4:$G$6,2,FALSE)</f>
        <v>Demographics</v>
      </c>
    </row>
    <row r="253" spans="1:16">
      <c r="A253" t="s">
        <v>375</v>
      </c>
      <c r="B253" t="s">
        <v>328</v>
      </c>
      <c r="C253" t="s">
        <v>80</v>
      </c>
      <c r="D253">
        <v>2007</v>
      </c>
      <c r="E253" t="s">
        <v>29</v>
      </c>
      <c r="F253" t="s">
        <v>30</v>
      </c>
      <c r="G253" t="s">
        <v>31</v>
      </c>
      <c r="H253" t="s">
        <v>32</v>
      </c>
      <c r="I253">
        <v>36126.492700000003</v>
      </c>
      <c r="J253" t="s">
        <v>33</v>
      </c>
      <c r="K253" t="s">
        <v>373</v>
      </c>
      <c r="L253" t="s">
        <v>21</v>
      </c>
      <c r="M253" t="str">
        <f t="shared" si="9"/>
        <v>OK</v>
      </c>
      <c r="N253" t="str">
        <f t="shared" si="10"/>
        <v>2000s</v>
      </c>
      <c r="O253" t="str">
        <f t="shared" si="11"/>
        <v>N/A</v>
      </c>
      <c r="P253" t="str">
        <f>VLOOKUP(E253,calculated_fields!$F$4:$G$6,2,FALSE)</f>
        <v>Economy</v>
      </c>
    </row>
    <row r="254" spans="1:16">
      <c r="A254" t="s">
        <v>376</v>
      </c>
      <c r="B254" t="s">
        <v>377</v>
      </c>
      <c r="C254" t="s">
        <v>14</v>
      </c>
      <c r="D254">
        <v>1952</v>
      </c>
      <c r="E254" t="s">
        <v>15</v>
      </c>
      <c r="F254" t="s">
        <v>16</v>
      </c>
      <c r="G254" t="s">
        <v>17</v>
      </c>
      <c r="H254" t="s">
        <v>18</v>
      </c>
      <c r="I254">
        <v>50.938999999999901</v>
      </c>
      <c r="J254" t="s">
        <v>19</v>
      </c>
      <c r="K254" t="s">
        <v>378</v>
      </c>
      <c r="L254" t="s">
        <v>21</v>
      </c>
      <c r="M254" t="str">
        <f t="shared" si="9"/>
        <v>OK</v>
      </c>
      <c r="N254" t="str">
        <f t="shared" si="10"/>
        <v>1950s</v>
      </c>
      <c r="O254" t="str">
        <f t="shared" si="11"/>
        <v>Low</v>
      </c>
      <c r="P254" t="str">
        <f>VLOOKUP(E254,calculated_fields!$F$4:$G$6,2,FALSE)</f>
        <v>Health</v>
      </c>
    </row>
    <row r="255" spans="1:16">
      <c r="A255" t="s">
        <v>379</v>
      </c>
      <c r="B255" t="s">
        <v>377</v>
      </c>
      <c r="C255" t="s">
        <v>14</v>
      </c>
      <c r="D255">
        <v>1952</v>
      </c>
      <c r="E255" t="s">
        <v>23</v>
      </c>
      <c r="F255" t="s">
        <v>24</v>
      </c>
      <c r="G255" t="s">
        <v>25</v>
      </c>
      <c r="H255" t="s">
        <v>26</v>
      </c>
      <c r="I255">
        <v>120447</v>
      </c>
      <c r="J255" t="s">
        <v>27</v>
      </c>
      <c r="K255" t="s">
        <v>378</v>
      </c>
      <c r="L255" t="s">
        <v>21</v>
      </c>
      <c r="M255" t="str">
        <f t="shared" si="9"/>
        <v>OK</v>
      </c>
      <c r="N255" t="str">
        <f t="shared" si="10"/>
        <v>1950s</v>
      </c>
      <c r="O255" t="str">
        <f t="shared" si="11"/>
        <v>N/A</v>
      </c>
      <c r="P255" t="str">
        <f>VLOOKUP(E255,calculated_fields!$F$4:$G$6,2,FALSE)</f>
        <v>Demographics</v>
      </c>
    </row>
    <row r="256" spans="1:16">
      <c r="A256" t="s">
        <v>380</v>
      </c>
      <c r="B256" t="s">
        <v>377</v>
      </c>
      <c r="C256" t="s">
        <v>14</v>
      </c>
      <c r="D256">
        <v>1952</v>
      </c>
      <c r="E256" t="s">
        <v>29</v>
      </c>
      <c r="F256" t="s">
        <v>30</v>
      </c>
      <c r="G256" t="s">
        <v>31</v>
      </c>
      <c r="H256" t="s">
        <v>32</v>
      </c>
      <c r="I256">
        <v>9867.0847649999996</v>
      </c>
      <c r="J256" t="s">
        <v>33</v>
      </c>
      <c r="K256" t="s">
        <v>378</v>
      </c>
      <c r="L256" t="s">
        <v>21</v>
      </c>
      <c r="M256" t="str">
        <f t="shared" si="9"/>
        <v>OK</v>
      </c>
      <c r="N256" t="str">
        <f t="shared" si="10"/>
        <v>1950s</v>
      </c>
      <c r="O256" t="str">
        <f t="shared" si="11"/>
        <v>N/A</v>
      </c>
      <c r="P256" t="str">
        <f>VLOOKUP(E256,calculated_fields!$F$4:$G$6,2,FALSE)</f>
        <v>Economy</v>
      </c>
    </row>
    <row r="257" spans="1:16">
      <c r="A257" t="s">
        <v>381</v>
      </c>
      <c r="B257" t="s">
        <v>377</v>
      </c>
      <c r="C257" t="s">
        <v>14</v>
      </c>
      <c r="D257">
        <v>1957</v>
      </c>
      <c r="E257" t="s">
        <v>15</v>
      </c>
      <c r="F257" t="s">
        <v>16</v>
      </c>
      <c r="G257" t="s">
        <v>17</v>
      </c>
      <c r="H257" t="s">
        <v>18</v>
      </c>
      <c r="I257">
        <v>53.832000000000001</v>
      </c>
      <c r="J257" t="s">
        <v>19</v>
      </c>
      <c r="K257" t="s">
        <v>382</v>
      </c>
      <c r="L257" t="s">
        <v>21</v>
      </c>
      <c r="M257" t="str">
        <f t="shared" si="9"/>
        <v>OK</v>
      </c>
      <c r="N257" t="str">
        <f t="shared" si="10"/>
        <v>1950s</v>
      </c>
      <c r="O257" t="str">
        <f t="shared" si="11"/>
        <v>Low</v>
      </c>
      <c r="P257" t="str">
        <f>VLOOKUP(E257,calculated_fields!$F$4:$G$6,2,FALSE)</f>
        <v>Health</v>
      </c>
    </row>
    <row r="258" spans="1:16">
      <c r="A258" t="s">
        <v>383</v>
      </c>
      <c r="B258" t="s">
        <v>377</v>
      </c>
      <c r="C258" t="s">
        <v>14</v>
      </c>
      <c r="D258">
        <v>1957</v>
      </c>
      <c r="E258" t="s">
        <v>23</v>
      </c>
      <c r="F258" t="s">
        <v>24</v>
      </c>
      <c r="G258" t="s">
        <v>25</v>
      </c>
      <c r="H258" t="s">
        <v>26</v>
      </c>
      <c r="I258">
        <v>138655</v>
      </c>
      <c r="J258" t="s">
        <v>27</v>
      </c>
      <c r="K258" t="s">
        <v>382</v>
      </c>
      <c r="L258" t="s">
        <v>21</v>
      </c>
      <c r="M258" t="str">
        <f t="shared" ref="M258:M321" si="12">IF(AND(ISNUMBER(I258),I258&gt;=0),"OK","Review")</f>
        <v>OK</v>
      </c>
      <c r="N258" t="str">
        <f t="shared" ref="N258:N321" si="13">FLOOR(D258,10)&amp;"s"</f>
        <v>1950s</v>
      </c>
      <c r="O258" t="str">
        <f t="shared" ref="O258:O321" si="14">IF(E258="LIFE_EXP",IF(I258&gt;=70,"High",IF(I258&gt;=55,"Medium","Low")),"N/A")</f>
        <v>N/A</v>
      </c>
      <c r="P258" t="str">
        <f>VLOOKUP(E258,calculated_fields!$F$4:$G$6,2,FALSE)</f>
        <v>Demographics</v>
      </c>
    </row>
    <row r="259" spans="1:16">
      <c r="A259" t="s">
        <v>384</v>
      </c>
      <c r="B259" t="s">
        <v>377</v>
      </c>
      <c r="C259" t="s">
        <v>14</v>
      </c>
      <c r="D259">
        <v>1957</v>
      </c>
      <c r="E259" t="s">
        <v>29</v>
      </c>
      <c r="F259" t="s">
        <v>30</v>
      </c>
      <c r="G259" t="s">
        <v>31</v>
      </c>
      <c r="H259" t="s">
        <v>32</v>
      </c>
      <c r="I259">
        <v>11635.79945</v>
      </c>
      <c r="J259" t="s">
        <v>33</v>
      </c>
      <c r="K259" t="s">
        <v>382</v>
      </c>
      <c r="L259" t="s">
        <v>21</v>
      </c>
      <c r="M259" t="str">
        <f t="shared" si="12"/>
        <v>OK</v>
      </c>
      <c r="N259" t="str">
        <f t="shared" si="13"/>
        <v>1950s</v>
      </c>
      <c r="O259" t="str">
        <f t="shared" si="14"/>
        <v>N/A</v>
      </c>
      <c r="P259" t="str">
        <f>VLOOKUP(E259,calculated_fields!$F$4:$G$6,2,FALSE)</f>
        <v>Economy</v>
      </c>
    </row>
    <row r="260" spans="1:16">
      <c r="A260" t="s">
        <v>385</v>
      </c>
      <c r="B260" t="s">
        <v>377</v>
      </c>
      <c r="C260" t="s">
        <v>14</v>
      </c>
      <c r="D260">
        <v>1962</v>
      </c>
      <c r="E260" t="s">
        <v>15</v>
      </c>
      <c r="F260" t="s">
        <v>16</v>
      </c>
      <c r="G260" t="s">
        <v>17</v>
      </c>
      <c r="H260" t="s">
        <v>18</v>
      </c>
      <c r="I260">
        <v>56.923000000000002</v>
      </c>
      <c r="J260" t="s">
        <v>19</v>
      </c>
      <c r="K260" t="s">
        <v>386</v>
      </c>
      <c r="L260" t="s">
        <v>21</v>
      </c>
      <c r="M260" t="str">
        <f t="shared" si="12"/>
        <v>OK</v>
      </c>
      <c r="N260" t="str">
        <f t="shared" si="13"/>
        <v>1960s</v>
      </c>
      <c r="O260" t="str">
        <f t="shared" si="14"/>
        <v>Medium</v>
      </c>
      <c r="P260" t="str">
        <f>VLOOKUP(E260,calculated_fields!$F$4:$G$6,2,FALSE)</f>
        <v>Health</v>
      </c>
    </row>
    <row r="261" spans="1:16">
      <c r="A261" t="s">
        <v>387</v>
      </c>
      <c r="B261" t="s">
        <v>377</v>
      </c>
      <c r="C261" t="s">
        <v>14</v>
      </c>
      <c r="D261">
        <v>1962</v>
      </c>
      <c r="E261" t="s">
        <v>23</v>
      </c>
      <c r="F261" t="s">
        <v>24</v>
      </c>
      <c r="G261" t="s">
        <v>25</v>
      </c>
      <c r="H261" t="s">
        <v>26</v>
      </c>
      <c r="I261">
        <v>171863</v>
      </c>
      <c r="J261" t="s">
        <v>27</v>
      </c>
      <c r="K261" t="s">
        <v>386</v>
      </c>
      <c r="L261" t="s">
        <v>21</v>
      </c>
      <c r="M261" t="str">
        <f t="shared" si="12"/>
        <v>OK</v>
      </c>
      <c r="N261" t="str">
        <f t="shared" si="13"/>
        <v>1960s</v>
      </c>
      <c r="O261" t="str">
        <f t="shared" si="14"/>
        <v>N/A</v>
      </c>
      <c r="P261" t="str">
        <f>VLOOKUP(E261,calculated_fields!$F$4:$G$6,2,FALSE)</f>
        <v>Demographics</v>
      </c>
    </row>
    <row r="262" spans="1:16">
      <c r="A262" t="s">
        <v>388</v>
      </c>
      <c r="B262" t="s">
        <v>377</v>
      </c>
      <c r="C262" t="s">
        <v>14</v>
      </c>
      <c r="D262">
        <v>1962</v>
      </c>
      <c r="E262" t="s">
        <v>29</v>
      </c>
      <c r="F262" t="s">
        <v>30</v>
      </c>
      <c r="G262" t="s">
        <v>31</v>
      </c>
      <c r="H262" t="s">
        <v>32</v>
      </c>
      <c r="I262">
        <v>12753.27514</v>
      </c>
      <c r="J262" t="s">
        <v>33</v>
      </c>
      <c r="K262" t="s">
        <v>386</v>
      </c>
      <c r="L262" t="s">
        <v>21</v>
      </c>
      <c r="M262" t="str">
        <f t="shared" si="12"/>
        <v>OK</v>
      </c>
      <c r="N262" t="str">
        <f t="shared" si="13"/>
        <v>1960s</v>
      </c>
      <c r="O262" t="str">
        <f t="shared" si="14"/>
        <v>N/A</v>
      </c>
      <c r="P262" t="str">
        <f>VLOOKUP(E262,calculated_fields!$F$4:$G$6,2,FALSE)</f>
        <v>Economy</v>
      </c>
    </row>
    <row r="263" spans="1:16">
      <c r="A263" t="s">
        <v>389</v>
      </c>
      <c r="B263" t="s">
        <v>377</v>
      </c>
      <c r="C263" t="s">
        <v>14</v>
      </c>
      <c r="D263">
        <v>1967</v>
      </c>
      <c r="E263" t="s">
        <v>15</v>
      </c>
      <c r="F263" t="s">
        <v>16</v>
      </c>
      <c r="G263" t="s">
        <v>17</v>
      </c>
      <c r="H263" t="s">
        <v>18</v>
      </c>
      <c r="I263">
        <v>59.923000000000002</v>
      </c>
      <c r="J263" t="s">
        <v>19</v>
      </c>
      <c r="K263" t="s">
        <v>390</v>
      </c>
      <c r="L263" t="s">
        <v>21</v>
      </c>
      <c r="M263" t="str">
        <f t="shared" si="12"/>
        <v>OK</v>
      </c>
      <c r="N263" t="str">
        <f t="shared" si="13"/>
        <v>1960s</v>
      </c>
      <c r="O263" t="str">
        <f t="shared" si="14"/>
        <v>Medium</v>
      </c>
      <c r="P263" t="str">
        <f>VLOOKUP(E263,calculated_fields!$F$4:$G$6,2,FALSE)</f>
        <v>Health</v>
      </c>
    </row>
    <row r="264" spans="1:16">
      <c r="A264" t="s">
        <v>391</v>
      </c>
      <c r="B264" t="s">
        <v>377</v>
      </c>
      <c r="C264" t="s">
        <v>14</v>
      </c>
      <c r="D264">
        <v>1967</v>
      </c>
      <c r="E264" t="s">
        <v>23</v>
      </c>
      <c r="F264" t="s">
        <v>24</v>
      </c>
      <c r="G264" t="s">
        <v>25</v>
      </c>
      <c r="H264" t="s">
        <v>26</v>
      </c>
      <c r="I264">
        <v>202182</v>
      </c>
      <c r="J264" t="s">
        <v>27</v>
      </c>
      <c r="K264" t="s">
        <v>390</v>
      </c>
      <c r="L264" t="s">
        <v>21</v>
      </c>
      <c r="M264" t="str">
        <f t="shared" si="12"/>
        <v>OK</v>
      </c>
      <c r="N264" t="str">
        <f t="shared" si="13"/>
        <v>1960s</v>
      </c>
      <c r="O264" t="str">
        <f t="shared" si="14"/>
        <v>N/A</v>
      </c>
      <c r="P264" t="str">
        <f>VLOOKUP(E264,calculated_fields!$F$4:$G$6,2,FALSE)</f>
        <v>Demographics</v>
      </c>
    </row>
    <row r="265" spans="1:16">
      <c r="A265" t="s">
        <v>392</v>
      </c>
      <c r="B265" t="s">
        <v>377</v>
      </c>
      <c r="C265" t="s">
        <v>14</v>
      </c>
      <c r="D265">
        <v>1967</v>
      </c>
      <c r="E265" t="s">
        <v>29</v>
      </c>
      <c r="F265" t="s">
        <v>30</v>
      </c>
      <c r="G265" t="s">
        <v>31</v>
      </c>
      <c r="H265" t="s">
        <v>32</v>
      </c>
      <c r="I265">
        <v>14804.672699999999</v>
      </c>
      <c r="J265" t="s">
        <v>33</v>
      </c>
      <c r="K265" t="s">
        <v>390</v>
      </c>
      <c r="L265" t="s">
        <v>21</v>
      </c>
      <c r="M265" t="str">
        <f t="shared" si="12"/>
        <v>OK</v>
      </c>
      <c r="N265" t="str">
        <f t="shared" si="13"/>
        <v>1960s</v>
      </c>
      <c r="O265" t="str">
        <f t="shared" si="14"/>
        <v>N/A</v>
      </c>
      <c r="P265" t="str">
        <f>VLOOKUP(E265,calculated_fields!$F$4:$G$6,2,FALSE)</f>
        <v>Economy</v>
      </c>
    </row>
    <row r="266" spans="1:16">
      <c r="A266" t="s">
        <v>393</v>
      </c>
      <c r="B266" t="s">
        <v>377</v>
      </c>
      <c r="C266" t="s">
        <v>14</v>
      </c>
      <c r="D266">
        <v>1972</v>
      </c>
      <c r="E266" t="s">
        <v>15</v>
      </c>
      <c r="F266" t="s">
        <v>16</v>
      </c>
      <c r="G266" t="s">
        <v>17</v>
      </c>
      <c r="H266" t="s">
        <v>18</v>
      </c>
      <c r="I266">
        <v>63.3</v>
      </c>
      <c r="J266" t="s">
        <v>19</v>
      </c>
      <c r="K266" t="s">
        <v>394</v>
      </c>
      <c r="L266" t="s">
        <v>21</v>
      </c>
      <c r="M266" t="str">
        <f t="shared" si="12"/>
        <v>OK</v>
      </c>
      <c r="N266" t="str">
        <f t="shared" si="13"/>
        <v>1970s</v>
      </c>
      <c r="O266" t="str">
        <f t="shared" si="14"/>
        <v>Medium</v>
      </c>
      <c r="P266" t="str">
        <f>VLOOKUP(E266,calculated_fields!$F$4:$G$6,2,FALSE)</f>
        <v>Health</v>
      </c>
    </row>
    <row r="267" spans="1:16">
      <c r="A267" t="s">
        <v>395</v>
      </c>
      <c r="B267" t="s">
        <v>377</v>
      </c>
      <c r="C267" t="s">
        <v>14</v>
      </c>
      <c r="D267">
        <v>1972</v>
      </c>
      <c r="E267" t="s">
        <v>23</v>
      </c>
      <c r="F267" t="s">
        <v>24</v>
      </c>
      <c r="G267" t="s">
        <v>25</v>
      </c>
      <c r="H267" t="s">
        <v>26</v>
      </c>
      <c r="I267">
        <v>230800</v>
      </c>
      <c r="J267" t="s">
        <v>27</v>
      </c>
      <c r="K267" t="s">
        <v>394</v>
      </c>
      <c r="L267" t="s">
        <v>21</v>
      </c>
      <c r="M267" t="str">
        <f t="shared" si="12"/>
        <v>OK</v>
      </c>
      <c r="N267" t="str">
        <f t="shared" si="13"/>
        <v>1970s</v>
      </c>
      <c r="O267" t="str">
        <f t="shared" si="14"/>
        <v>N/A</v>
      </c>
      <c r="P267" t="str">
        <f>VLOOKUP(E267,calculated_fields!$F$4:$G$6,2,FALSE)</f>
        <v>Demographics</v>
      </c>
    </row>
    <row r="268" spans="1:16">
      <c r="A268" t="s">
        <v>396</v>
      </c>
      <c r="B268" t="s">
        <v>377</v>
      </c>
      <c r="C268" t="s">
        <v>14</v>
      </c>
      <c r="D268">
        <v>1972</v>
      </c>
      <c r="E268" t="s">
        <v>29</v>
      </c>
      <c r="F268" t="s">
        <v>30</v>
      </c>
      <c r="G268" t="s">
        <v>31</v>
      </c>
      <c r="H268" t="s">
        <v>32</v>
      </c>
      <c r="I268">
        <v>18268.658390000001</v>
      </c>
      <c r="J268" t="s">
        <v>33</v>
      </c>
      <c r="K268" t="s">
        <v>394</v>
      </c>
      <c r="L268" t="s">
        <v>21</v>
      </c>
      <c r="M268" t="str">
        <f t="shared" si="12"/>
        <v>OK</v>
      </c>
      <c r="N268" t="str">
        <f t="shared" si="13"/>
        <v>1970s</v>
      </c>
      <c r="O268" t="str">
        <f t="shared" si="14"/>
        <v>N/A</v>
      </c>
      <c r="P268" t="str">
        <f>VLOOKUP(E268,calculated_fields!$F$4:$G$6,2,FALSE)</f>
        <v>Economy</v>
      </c>
    </row>
    <row r="269" spans="1:16">
      <c r="A269" t="s">
        <v>397</v>
      </c>
      <c r="B269" t="s">
        <v>377</v>
      </c>
      <c r="C269" t="s">
        <v>14</v>
      </c>
      <c r="D269">
        <v>1977</v>
      </c>
      <c r="E269" t="s">
        <v>15</v>
      </c>
      <c r="F269" t="s">
        <v>16</v>
      </c>
      <c r="G269" t="s">
        <v>17</v>
      </c>
      <c r="H269" t="s">
        <v>18</v>
      </c>
      <c r="I269">
        <v>65.593000000000004</v>
      </c>
      <c r="J269" t="s">
        <v>19</v>
      </c>
      <c r="K269" t="s">
        <v>398</v>
      </c>
      <c r="L269" t="s">
        <v>21</v>
      </c>
      <c r="M269" t="str">
        <f t="shared" si="12"/>
        <v>OK</v>
      </c>
      <c r="N269" t="str">
        <f t="shared" si="13"/>
        <v>1970s</v>
      </c>
      <c r="O269" t="str">
        <f t="shared" si="14"/>
        <v>Medium</v>
      </c>
      <c r="P269" t="str">
        <f>VLOOKUP(E269,calculated_fields!$F$4:$G$6,2,FALSE)</f>
        <v>Health</v>
      </c>
    </row>
    <row r="270" spans="1:16">
      <c r="A270" t="s">
        <v>399</v>
      </c>
      <c r="B270" t="s">
        <v>377</v>
      </c>
      <c r="C270" t="s">
        <v>14</v>
      </c>
      <c r="D270">
        <v>1977</v>
      </c>
      <c r="E270" t="s">
        <v>23</v>
      </c>
      <c r="F270" t="s">
        <v>24</v>
      </c>
      <c r="G270" t="s">
        <v>25</v>
      </c>
      <c r="H270" t="s">
        <v>26</v>
      </c>
      <c r="I270">
        <v>297410</v>
      </c>
      <c r="J270" t="s">
        <v>27</v>
      </c>
      <c r="K270" t="s">
        <v>398</v>
      </c>
      <c r="L270" t="s">
        <v>21</v>
      </c>
      <c r="M270" t="str">
        <f t="shared" si="12"/>
        <v>OK</v>
      </c>
      <c r="N270" t="str">
        <f t="shared" si="13"/>
        <v>1970s</v>
      </c>
      <c r="O270" t="str">
        <f t="shared" si="14"/>
        <v>N/A</v>
      </c>
      <c r="P270" t="str">
        <f>VLOOKUP(E270,calculated_fields!$F$4:$G$6,2,FALSE)</f>
        <v>Demographics</v>
      </c>
    </row>
    <row r="271" spans="1:16">
      <c r="A271" t="s">
        <v>400</v>
      </c>
      <c r="B271" t="s">
        <v>377</v>
      </c>
      <c r="C271" t="s">
        <v>14</v>
      </c>
      <c r="D271">
        <v>1977</v>
      </c>
      <c r="E271" t="s">
        <v>29</v>
      </c>
      <c r="F271" t="s">
        <v>30</v>
      </c>
      <c r="G271" t="s">
        <v>31</v>
      </c>
      <c r="H271" t="s">
        <v>32</v>
      </c>
      <c r="I271">
        <v>19340.10196</v>
      </c>
      <c r="J271" t="s">
        <v>33</v>
      </c>
      <c r="K271" t="s">
        <v>398</v>
      </c>
      <c r="L271" t="s">
        <v>21</v>
      </c>
      <c r="M271" t="str">
        <f t="shared" si="12"/>
        <v>OK</v>
      </c>
      <c r="N271" t="str">
        <f t="shared" si="13"/>
        <v>1970s</v>
      </c>
      <c r="O271" t="str">
        <f t="shared" si="14"/>
        <v>N/A</v>
      </c>
      <c r="P271" t="str">
        <f>VLOOKUP(E271,calculated_fields!$F$4:$G$6,2,FALSE)</f>
        <v>Economy</v>
      </c>
    </row>
    <row r="272" spans="1:16">
      <c r="A272" t="s">
        <v>401</v>
      </c>
      <c r="B272" t="s">
        <v>377</v>
      </c>
      <c r="C272" t="s">
        <v>14</v>
      </c>
      <c r="D272">
        <v>1982</v>
      </c>
      <c r="E272" t="s">
        <v>15</v>
      </c>
      <c r="F272" t="s">
        <v>16</v>
      </c>
      <c r="G272" t="s">
        <v>17</v>
      </c>
      <c r="H272" t="s">
        <v>18</v>
      </c>
      <c r="I272">
        <v>69.051999999999893</v>
      </c>
      <c r="J272" t="s">
        <v>19</v>
      </c>
      <c r="K272" t="s">
        <v>402</v>
      </c>
      <c r="L272" t="s">
        <v>21</v>
      </c>
      <c r="M272" t="str">
        <f t="shared" si="12"/>
        <v>OK</v>
      </c>
      <c r="N272" t="str">
        <f t="shared" si="13"/>
        <v>1980s</v>
      </c>
      <c r="O272" t="str">
        <f t="shared" si="14"/>
        <v>Medium</v>
      </c>
      <c r="P272" t="str">
        <f>VLOOKUP(E272,calculated_fields!$F$4:$G$6,2,FALSE)</f>
        <v>Health</v>
      </c>
    </row>
    <row r="273" spans="1:16">
      <c r="A273" t="s">
        <v>403</v>
      </c>
      <c r="B273" t="s">
        <v>377</v>
      </c>
      <c r="C273" t="s">
        <v>14</v>
      </c>
      <c r="D273">
        <v>1982</v>
      </c>
      <c r="E273" t="s">
        <v>23</v>
      </c>
      <c r="F273" t="s">
        <v>24</v>
      </c>
      <c r="G273" t="s">
        <v>25</v>
      </c>
      <c r="H273" t="s">
        <v>26</v>
      </c>
      <c r="I273">
        <v>377967</v>
      </c>
      <c r="J273" t="s">
        <v>27</v>
      </c>
      <c r="K273" t="s">
        <v>402</v>
      </c>
      <c r="L273" t="s">
        <v>21</v>
      </c>
      <c r="M273" t="str">
        <f t="shared" si="12"/>
        <v>OK</v>
      </c>
      <c r="N273" t="str">
        <f t="shared" si="13"/>
        <v>1980s</v>
      </c>
      <c r="O273" t="str">
        <f t="shared" si="14"/>
        <v>N/A</v>
      </c>
      <c r="P273" t="str">
        <f>VLOOKUP(E273,calculated_fields!$F$4:$G$6,2,FALSE)</f>
        <v>Demographics</v>
      </c>
    </row>
    <row r="274" spans="1:16">
      <c r="A274" t="s">
        <v>404</v>
      </c>
      <c r="B274" t="s">
        <v>377</v>
      </c>
      <c r="C274" t="s">
        <v>14</v>
      </c>
      <c r="D274">
        <v>1982</v>
      </c>
      <c r="E274" t="s">
        <v>29</v>
      </c>
      <c r="F274" t="s">
        <v>30</v>
      </c>
      <c r="G274" t="s">
        <v>31</v>
      </c>
      <c r="H274" t="s">
        <v>32</v>
      </c>
      <c r="I274">
        <v>19211.14731</v>
      </c>
      <c r="J274" t="s">
        <v>33</v>
      </c>
      <c r="K274" t="s">
        <v>402</v>
      </c>
      <c r="L274" t="s">
        <v>21</v>
      </c>
      <c r="M274" t="str">
        <f t="shared" si="12"/>
        <v>OK</v>
      </c>
      <c r="N274" t="str">
        <f t="shared" si="13"/>
        <v>1980s</v>
      </c>
      <c r="O274" t="str">
        <f t="shared" si="14"/>
        <v>N/A</v>
      </c>
      <c r="P274" t="str">
        <f>VLOOKUP(E274,calculated_fields!$F$4:$G$6,2,FALSE)</f>
        <v>Economy</v>
      </c>
    </row>
    <row r="275" spans="1:16">
      <c r="A275" t="s">
        <v>405</v>
      </c>
      <c r="B275" t="s">
        <v>377</v>
      </c>
      <c r="C275" t="s">
        <v>14</v>
      </c>
      <c r="D275">
        <v>1987</v>
      </c>
      <c r="E275" t="s">
        <v>15</v>
      </c>
      <c r="F275" t="s">
        <v>16</v>
      </c>
      <c r="G275" t="s">
        <v>17</v>
      </c>
      <c r="H275" t="s">
        <v>18</v>
      </c>
      <c r="I275">
        <v>70.75</v>
      </c>
      <c r="J275" t="s">
        <v>19</v>
      </c>
      <c r="K275" t="s">
        <v>406</v>
      </c>
      <c r="L275" t="s">
        <v>21</v>
      </c>
      <c r="M275" t="str">
        <f t="shared" si="12"/>
        <v>OK</v>
      </c>
      <c r="N275" t="str">
        <f t="shared" si="13"/>
        <v>1980s</v>
      </c>
      <c r="O275" t="str">
        <f t="shared" si="14"/>
        <v>High</v>
      </c>
      <c r="P275" t="str">
        <f>VLOOKUP(E275,calculated_fields!$F$4:$G$6,2,FALSE)</f>
        <v>Health</v>
      </c>
    </row>
    <row r="276" spans="1:16">
      <c r="A276" t="s">
        <v>407</v>
      </c>
      <c r="B276" t="s">
        <v>377</v>
      </c>
      <c r="C276" t="s">
        <v>14</v>
      </c>
      <c r="D276">
        <v>1987</v>
      </c>
      <c r="E276" t="s">
        <v>23</v>
      </c>
      <c r="F276" t="s">
        <v>24</v>
      </c>
      <c r="G276" t="s">
        <v>25</v>
      </c>
      <c r="H276" t="s">
        <v>26</v>
      </c>
      <c r="I276">
        <v>454612</v>
      </c>
      <c r="J276" t="s">
        <v>27</v>
      </c>
      <c r="K276" t="s">
        <v>406</v>
      </c>
      <c r="L276" t="s">
        <v>21</v>
      </c>
      <c r="M276" t="str">
        <f t="shared" si="12"/>
        <v>OK</v>
      </c>
      <c r="N276" t="str">
        <f t="shared" si="13"/>
        <v>1980s</v>
      </c>
      <c r="O276" t="str">
        <f t="shared" si="14"/>
        <v>N/A</v>
      </c>
      <c r="P276" t="str">
        <f>VLOOKUP(E276,calculated_fields!$F$4:$G$6,2,FALSE)</f>
        <v>Demographics</v>
      </c>
    </row>
    <row r="277" spans="1:16">
      <c r="A277" t="s">
        <v>408</v>
      </c>
      <c r="B277" t="s">
        <v>377</v>
      </c>
      <c r="C277" t="s">
        <v>14</v>
      </c>
      <c r="D277">
        <v>1987</v>
      </c>
      <c r="E277" t="s">
        <v>29</v>
      </c>
      <c r="F277" t="s">
        <v>30</v>
      </c>
      <c r="G277" t="s">
        <v>31</v>
      </c>
      <c r="H277" t="s">
        <v>32</v>
      </c>
      <c r="I277">
        <v>18524.02406</v>
      </c>
      <c r="J277" t="s">
        <v>33</v>
      </c>
      <c r="K277" t="s">
        <v>406</v>
      </c>
      <c r="L277" t="s">
        <v>21</v>
      </c>
      <c r="M277" t="str">
        <f t="shared" si="12"/>
        <v>OK</v>
      </c>
      <c r="N277" t="str">
        <f t="shared" si="13"/>
        <v>1980s</v>
      </c>
      <c r="O277" t="str">
        <f t="shared" si="14"/>
        <v>N/A</v>
      </c>
      <c r="P277" t="str">
        <f>VLOOKUP(E277,calculated_fields!$F$4:$G$6,2,FALSE)</f>
        <v>Economy</v>
      </c>
    </row>
    <row r="278" spans="1:16">
      <c r="A278" t="s">
        <v>409</v>
      </c>
      <c r="B278" t="s">
        <v>377</v>
      </c>
      <c r="C278" t="s">
        <v>14</v>
      </c>
      <c r="D278">
        <v>1992</v>
      </c>
      <c r="E278" t="s">
        <v>15</v>
      </c>
      <c r="F278" t="s">
        <v>16</v>
      </c>
      <c r="G278" t="s">
        <v>17</v>
      </c>
      <c r="H278" t="s">
        <v>18</v>
      </c>
      <c r="I278">
        <v>72.600999999999999</v>
      </c>
      <c r="J278" t="s">
        <v>19</v>
      </c>
      <c r="K278" t="s">
        <v>410</v>
      </c>
      <c r="L278" t="s">
        <v>21</v>
      </c>
      <c r="M278" t="str">
        <f t="shared" si="12"/>
        <v>OK</v>
      </c>
      <c r="N278" t="str">
        <f t="shared" si="13"/>
        <v>1990s</v>
      </c>
      <c r="O278" t="str">
        <f t="shared" si="14"/>
        <v>High</v>
      </c>
      <c r="P278" t="str">
        <f>VLOOKUP(E278,calculated_fields!$F$4:$G$6,2,FALSE)</f>
        <v>Health</v>
      </c>
    </row>
    <row r="279" spans="1:16">
      <c r="A279" t="s">
        <v>411</v>
      </c>
      <c r="B279" t="s">
        <v>377</v>
      </c>
      <c r="C279" t="s">
        <v>14</v>
      </c>
      <c r="D279">
        <v>1992</v>
      </c>
      <c r="E279" t="s">
        <v>23</v>
      </c>
      <c r="F279" t="s">
        <v>24</v>
      </c>
      <c r="G279" t="s">
        <v>25</v>
      </c>
      <c r="H279" t="s">
        <v>26</v>
      </c>
      <c r="I279">
        <v>529491</v>
      </c>
      <c r="J279" t="s">
        <v>27</v>
      </c>
      <c r="K279" t="s">
        <v>410</v>
      </c>
      <c r="L279" t="s">
        <v>21</v>
      </c>
      <c r="M279" t="str">
        <f t="shared" si="12"/>
        <v>OK</v>
      </c>
      <c r="N279" t="str">
        <f t="shared" si="13"/>
        <v>1990s</v>
      </c>
      <c r="O279" t="str">
        <f t="shared" si="14"/>
        <v>N/A</v>
      </c>
      <c r="P279" t="str">
        <f>VLOOKUP(E279,calculated_fields!$F$4:$G$6,2,FALSE)</f>
        <v>Demographics</v>
      </c>
    </row>
    <row r="280" spans="1:16">
      <c r="A280" t="s">
        <v>412</v>
      </c>
      <c r="B280" t="s">
        <v>377</v>
      </c>
      <c r="C280" t="s">
        <v>14</v>
      </c>
      <c r="D280">
        <v>1992</v>
      </c>
      <c r="E280" t="s">
        <v>29</v>
      </c>
      <c r="F280" t="s">
        <v>30</v>
      </c>
      <c r="G280" t="s">
        <v>31</v>
      </c>
      <c r="H280" t="s">
        <v>32</v>
      </c>
      <c r="I280">
        <v>19035.579170000001</v>
      </c>
      <c r="J280" t="s">
        <v>33</v>
      </c>
      <c r="K280" t="s">
        <v>410</v>
      </c>
      <c r="L280" t="s">
        <v>21</v>
      </c>
      <c r="M280" t="str">
        <f t="shared" si="12"/>
        <v>OK</v>
      </c>
      <c r="N280" t="str">
        <f t="shared" si="13"/>
        <v>1990s</v>
      </c>
      <c r="O280" t="str">
        <f t="shared" si="14"/>
        <v>N/A</v>
      </c>
      <c r="P280" t="str">
        <f>VLOOKUP(E280,calculated_fields!$F$4:$G$6,2,FALSE)</f>
        <v>Economy</v>
      </c>
    </row>
    <row r="281" spans="1:16">
      <c r="A281" t="s">
        <v>413</v>
      </c>
      <c r="B281" t="s">
        <v>377</v>
      </c>
      <c r="C281" t="s">
        <v>14</v>
      </c>
      <c r="D281">
        <v>1997</v>
      </c>
      <c r="E281" t="s">
        <v>15</v>
      </c>
      <c r="F281" t="s">
        <v>16</v>
      </c>
      <c r="G281" t="s">
        <v>17</v>
      </c>
      <c r="H281" t="s">
        <v>18</v>
      </c>
      <c r="I281">
        <v>73.924999999999997</v>
      </c>
      <c r="J281" t="s">
        <v>19</v>
      </c>
      <c r="K281" t="s">
        <v>414</v>
      </c>
      <c r="L281" t="s">
        <v>21</v>
      </c>
      <c r="M281" t="str">
        <f t="shared" si="12"/>
        <v>OK</v>
      </c>
      <c r="N281" t="str">
        <f t="shared" si="13"/>
        <v>1990s</v>
      </c>
      <c r="O281" t="str">
        <f t="shared" si="14"/>
        <v>High</v>
      </c>
      <c r="P281" t="str">
        <f>VLOOKUP(E281,calculated_fields!$F$4:$G$6,2,FALSE)</f>
        <v>Health</v>
      </c>
    </row>
    <row r="282" spans="1:16">
      <c r="A282" t="s">
        <v>415</v>
      </c>
      <c r="B282" t="s">
        <v>377</v>
      </c>
      <c r="C282" t="s">
        <v>14</v>
      </c>
      <c r="D282">
        <v>1997</v>
      </c>
      <c r="E282" t="s">
        <v>23</v>
      </c>
      <c r="F282" t="s">
        <v>24</v>
      </c>
      <c r="G282" t="s">
        <v>25</v>
      </c>
      <c r="H282" t="s">
        <v>26</v>
      </c>
      <c r="I282">
        <v>598561</v>
      </c>
      <c r="J282" t="s">
        <v>27</v>
      </c>
      <c r="K282" t="s">
        <v>414</v>
      </c>
      <c r="L282" t="s">
        <v>21</v>
      </c>
      <c r="M282" t="str">
        <f t="shared" si="12"/>
        <v>OK</v>
      </c>
      <c r="N282" t="str">
        <f t="shared" si="13"/>
        <v>1990s</v>
      </c>
      <c r="O282" t="str">
        <f t="shared" si="14"/>
        <v>N/A</v>
      </c>
      <c r="P282" t="str">
        <f>VLOOKUP(E282,calculated_fields!$F$4:$G$6,2,FALSE)</f>
        <v>Demographics</v>
      </c>
    </row>
    <row r="283" spans="1:16">
      <c r="A283" t="s">
        <v>416</v>
      </c>
      <c r="B283" t="s">
        <v>377</v>
      </c>
      <c r="C283" t="s">
        <v>14</v>
      </c>
      <c r="D283">
        <v>1997</v>
      </c>
      <c r="E283" t="s">
        <v>29</v>
      </c>
      <c r="F283" t="s">
        <v>30</v>
      </c>
      <c r="G283" t="s">
        <v>31</v>
      </c>
      <c r="H283" t="s">
        <v>32</v>
      </c>
      <c r="I283">
        <v>20292.016790000001</v>
      </c>
      <c r="J283" t="s">
        <v>33</v>
      </c>
      <c r="K283" t="s">
        <v>414</v>
      </c>
      <c r="L283" t="s">
        <v>21</v>
      </c>
      <c r="M283" t="str">
        <f t="shared" si="12"/>
        <v>OK</v>
      </c>
      <c r="N283" t="str">
        <f t="shared" si="13"/>
        <v>1990s</v>
      </c>
      <c r="O283" t="str">
        <f t="shared" si="14"/>
        <v>N/A</v>
      </c>
      <c r="P283" t="str">
        <f>VLOOKUP(E283,calculated_fields!$F$4:$G$6,2,FALSE)</f>
        <v>Economy</v>
      </c>
    </row>
    <row r="284" spans="1:16">
      <c r="A284" t="s">
        <v>417</v>
      </c>
      <c r="B284" t="s">
        <v>377</v>
      </c>
      <c r="C284" t="s">
        <v>14</v>
      </c>
      <c r="D284">
        <v>2002</v>
      </c>
      <c r="E284" t="s">
        <v>15</v>
      </c>
      <c r="F284" t="s">
        <v>16</v>
      </c>
      <c r="G284" t="s">
        <v>17</v>
      </c>
      <c r="H284" t="s">
        <v>18</v>
      </c>
      <c r="I284">
        <v>74.795000000000002</v>
      </c>
      <c r="J284" t="s">
        <v>19</v>
      </c>
      <c r="K284" t="s">
        <v>418</v>
      </c>
      <c r="L284" t="s">
        <v>21</v>
      </c>
      <c r="M284" t="str">
        <f t="shared" si="12"/>
        <v>OK</v>
      </c>
      <c r="N284" t="str">
        <f t="shared" si="13"/>
        <v>2000s</v>
      </c>
      <c r="O284" t="str">
        <f t="shared" si="14"/>
        <v>High</v>
      </c>
      <c r="P284" t="str">
        <f>VLOOKUP(E284,calculated_fields!$F$4:$G$6,2,FALSE)</f>
        <v>Health</v>
      </c>
    </row>
    <row r="285" spans="1:16">
      <c r="A285" t="s">
        <v>419</v>
      </c>
      <c r="B285" t="s">
        <v>377</v>
      </c>
      <c r="C285" t="s">
        <v>14</v>
      </c>
      <c r="D285">
        <v>2002</v>
      </c>
      <c r="E285" t="s">
        <v>23</v>
      </c>
      <c r="F285" t="s">
        <v>24</v>
      </c>
      <c r="G285" t="s">
        <v>25</v>
      </c>
      <c r="H285" t="s">
        <v>26</v>
      </c>
      <c r="I285">
        <v>656397</v>
      </c>
      <c r="J285" t="s">
        <v>27</v>
      </c>
      <c r="K285" t="s">
        <v>418</v>
      </c>
      <c r="L285" t="s">
        <v>21</v>
      </c>
      <c r="M285" t="str">
        <f t="shared" si="12"/>
        <v>OK</v>
      </c>
      <c r="N285" t="str">
        <f t="shared" si="13"/>
        <v>2000s</v>
      </c>
      <c r="O285" t="str">
        <f t="shared" si="14"/>
        <v>N/A</v>
      </c>
      <c r="P285" t="str">
        <f>VLOOKUP(E285,calculated_fields!$F$4:$G$6,2,FALSE)</f>
        <v>Demographics</v>
      </c>
    </row>
    <row r="286" spans="1:16">
      <c r="A286" t="s">
        <v>420</v>
      </c>
      <c r="B286" t="s">
        <v>377</v>
      </c>
      <c r="C286" t="s">
        <v>14</v>
      </c>
      <c r="D286">
        <v>2002</v>
      </c>
      <c r="E286" t="s">
        <v>29</v>
      </c>
      <c r="F286" t="s">
        <v>30</v>
      </c>
      <c r="G286" t="s">
        <v>31</v>
      </c>
      <c r="H286" t="s">
        <v>32</v>
      </c>
      <c r="I286">
        <v>23403.559270000002</v>
      </c>
      <c r="J286" t="s">
        <v>33</v>
      </c>
      <c r="K286" t="s">
        <v>418</v>
      </c>
      <c r="L286" t="s">
        <v>21</v>
      </c>
      <c r="M286" t="str">
        <f t="shared" si="12"/>
        <v>OK</v>
      </c>
      <c r="N286" t="str">
        <f t="shared" si="13"/>
        <v>2000s</v>
      </c>
      <c r="O286" t="str">
        <f t="shared" si="14"/>
        <v>N/A</v>
      </c>
      <c r="P286" t="str">
        <f>VLOOKUP(E286,calculated_fields!$F$4:$G$6,2,FALSE)</f>
        <v>Economy</v>
      </c>
    </row>
    <row r="287" spans="1:16">
      <c r="A287" t="s">
        <v>421</v>
      </c>
      <c r="B287" t="s">
        <v>377</v>
      </c>
      <c r="C287" t="s">
        <v>14</v>
      </c>
      <c r="D287">
        <v>2007</v>
      </c>
      <c r="E287" t="s">
        <v>15</v>
      </c>
      <c r="F287" t="s">
        <v>16</v>
      </c>
      <c r="G287" t="s">
        <v>17</v>
      </c>
      <c r="H287" t="s">
        <v>18</v>
      </c>
      <c r="I287">
        <v>75.635000000000005</v>
      </c>
      <c r="J287" t="s">
        <v>19</v>
      </c>
      <c r="K287" t="s">
        <v>422</v>
      </c>
      <c r="L287" t="s">
        <v>21</v>
      </c>
      <c r="M287" t="str">
        <f t="shared" si="12"/>
        <v>OK</v>
      </c>
      <c r="N287" t="str">
        <f t="shared" si="13"/>
        <v>2000s</v>
      </c>
      <c r="O287" t="str">
        <f t="shared" si="14"/>
        <v>High</v>
      </c>
      <c r="P287" t="str">
        <f>VLOOKUP(E287,calculated_fields!$F$4:$G$6,2,FALSE)</f>
        <v>Health</v>
      </c>
    </row>
    <row r="288" spans="1:16">
      <c r="A288" t="s">
        <v>423</v>
      </c>
      <c r="B288" t="s">
        <v>377</v>
      </c>
      <c r="C288" t="s">
        <v>14</v>
      </c>
      <c r="D288">
        <v>2007</v>
      </c>
      <c r="E288" t="s">
        <v>23</v>
      </c>
      <c r="F288" t="s">
        <v>24</v>
      </c>
      <c r="G288" t="s">
        <v>25</v>
      </c>
      <c r="H288" t="s">
        <v>26</v>
      </c>
      <c r="I288">
        <v>708573</v>
      </c>
      <c r="J288" t="s">
        <v>27</v>
      </c>
      <c r="K288" t="s">
        <v>422</v>
      </c>
      <c r="L288" t="s">
        <v>21</v>
      </c>
      <c r="M288" t="str">
        <f t="shared" si="12"/>
        <v>OK</v>
      </c>
      <c r="N288" t="str">
        <f t="shared" si="13"/>
        <v>2000s</v>
      </c>
      <c r="O288" t="str">
        <f t="shared" si="14"/>
        <v>N/A</v>
      </c>
      <c r="P288" t="str">
        <f>VLOOKUP(E288,calculated_fields!$F$4:$G$6,2,FALSE)</f>
        <v>Demographics</v>
      </c>
    </row>
    <row r="289" spans="1:16">
      <c r="A289" t="s">
        <v>424</v>
      </c>
      <c r="B289" t="s">
        <v>377</v>
      </c>
      <c r="C289" t="s">
        <v>14</v>
      </c>
      <c r="D289">
        <v>2007</v>
      </c>
      <c r="E289" t="s">
        <v>29</v>
      </c>
      <c r="F289" t="s">
        <v>30</v>
      </c>
      <c r="G289" t="s">
        <v>31</v>
      </c>
      <c r="H289" t="s">
        <v>32</v>
      </c>
      <c r="I289">
        <v>29796.048340000001</v>
      </c>
      <c r="J289" t="s">
        <v>33</v>
      </c>
      <c r="K289" t="s">
        <v>422</v>
      </c>
      <c r="L289" t="s">
        <v>21</v>
      </c>
      <c r="M289" t="str">
        <f t="shared" si="12"/>
        <v>OK</v>
      </c>
      <c r="N289" t="str">
        <f t="shared" si="13"/>
        <v>2000s</v>
      </c>
      <c r="O289" t="str">
        <f t="shared" si="14"/>
        <v>N/A</v>
      </c>
      <c r="P289" t="str">
        <f>VLOOKUP(E289,calculated_fields!$F$4:$G$6,2,FALSE)</f>
        <v>Economy</v>
      </c>
    </row>
    <row r="290" spans="1:16">
      <c r="A290" t="s">
        <v>425</v>
      </c>
      <c r="B290" t="s">
        <v>426</v>
      </c>
      <c r="C290" t="s">
        <v>14</v>
      </c>
      <c r="D290">
        <v>1952</v>
      </c>
      <c r="E290" t="s">
        <v>15</v>
      </c>
      <c r="F290" t="s">
        <v>16</v>
      </c>
      <c r="G290" t="s">
        <v>17</v>
      </c>
      <c r="H290" t="s">
        <v>18</v>
      </c>
      <c r="I290">
        <v>37.484000000000002</v>
      </c>
      <c r="J290" t="s">
        <v>19</v>
      </c>
      <c r="K290" t="s">
        <v>427</v>
      </c>
      <c r="L290" t="s">
        <v>21</v>
      </c>
      <c r="M290" t="str">
        <f t="shared" si="12"/>
        <v>OK</v>
      </c>
      <c r="N290" t="str">
        <f t="shared" si="13"/>
        <v>1950s</v>
      </c>
      <c r="O290" t="str">
        <f t="shared" si="14"/>
        <v>Low</v>
      </c>
      <c r="P290" t="str">
        <f>VLOOKUP(E290,calculated_fields!$F$4:$G$6,2,FALSE)</f>
        <v>Health</v>
      </c>
    </row>
    <row r="291" spans="1:16">
      <c r="A291" t="s">
        <v>428</v>
      </c>
      <c r="B291" t="s">
        <v>426</v>
      </c>
      <c r="C291" t="s">
        <v>14</v>
      </c>
      <c r="D291">
        <v>1952</v>
      </c>
      <c r="E291" t="s">
        <v>23</v>
      </c>
      <c r="F291" t="s">
        <v>24</v>
      </c>
      <c r="G291" t="s">
        <v>25</v>
      </c>
      <c r="H291" t="s">
        <v>26</v>
      </c>
      <c r="I291">
        <v>46886859</v>
      </c>
      <c r="J291" t="s">
        <v>27</v>
      </c>
      <c r="K291" t="s">
        <v>427</v>
      </c>
      <c r="L291" t="s">
        <v>21</v>
      </c>
      <c r="M291" t="str">
        <f t="shared" si="12"/>
        <v>OK</v>
      </c>
      <c r="N291" t="str">
        <f t="shared" si="13"/>
        <v>1950s</v>
      </c>
      <c r="O291" t="str">
        <f t="shared" si="14"/>
        <v>N/A</v>
      </c>
      <c r="P291" t="str">
        <f>VLOOKUP(E291,calculated_fields!$F$4:$G$6,2,FALSE)</f>
        <v>Demographics</v>
      </c>
    </row>
    <row r="292" spans="1:16">
      <c r="A292" t="s">
        <v>429</v>
      </c>
      <c r="B292" t="s">
        <v>426</v>
      </c>
      <c r="C292" t="s">
        <v>14</v>
      </c>
      <c r="D292">
        <v>1952</v>
      </c>
      <c r="E292" t="s">
        <v>29</v>
      </c>
      <c r="F292" t="s">
        <v>30</v>
      </c>
      <c r="G292" t="s">
        <v>31</v>
      </c>
      <c r="H292" t="s">
        <v>32</v>
      </c>
      <c r="I292">
        <v>684.24417159999996</v>
      </c>
      <c r="J292" t="s">
        <v>33</v>
      </c>
      <c r="K292" t="s">
        <v>427</v>
      </c>
      <c r="L292" t="s">
        <v>21</v>
      </c>
      <c r="M292" t="str">
        <f t="shared" si="12"/>
        <v>OK</v>
      </c>
      <c r="N292" t="str">
        <f t="shared" si="13"/>
        <v>1950s</v>
      </c>
      <c r="O292" t="str">
        <f t="shared" si="14"/>
        <v>N/A</v>
      </c>
      <c r="P292" t="str">
        <f>VLOOKUP(E292,calculated_fields!$F$4:$G$6,2,FALSE)</f>
        <v>Economy</v>
      </c>
    </row>
    <row r="293" spans="1:16">
      <c r="A293" t="s">
        <v>430</v>
      </c>
      <c r="B293" t="s">
        <v>426</v>
      </c>
      <c r="C293" t="s">
        <v>14</v>
      </c>
      <c r="D293">
        <v>1957</v>
      </c>
      <c r="E293" t="s">
        <v>15</v>
      </c>
      <c r="F293" t="s">
        <v>16</v>
      </c>
      <c r="G293" t="s">
        <v>17</v>
      </c>
      <c r="H293" t="s">
        <v>18</v>
      </c>
      <c r="I293">
        <v>39.347999999999999</v>
      </c>
      <c r="J293" t="s">
        <v>19</v>
      </c>
      <c r="K293" t="s">
        <v>431</v>
      </c>
      <c r="L293" t="s">
        <v>21</v>
      </c>
      <c r="M293" t="str">
        <f t="shared" si="12"/>
        <v>OK</v>
      </c>
      <c r="N293" t="str">
        <f t="shared" si="13"/>
        <v>1950s</v>
      </c>
      <c r="O293" t="str">
        <f t="shared" si="14"/>
        <v>Low</v>
      </c>
      <c r="P293" t="str">
        <f>VLOOKUP(E293,calculated_fields!$F$4:$G$6,2,FALSE)</f>
        <v>Health</v>
      </c>
    </row>
    <row r="294" spans="1:16">
      <c r="A294" t="s">
        <v>432</v>
      </c>
      <c r="B294" t="s">
        <v>426</v>
      </c>
      <c r="C294" t="s">
        <v>14</v>
      </c>
      <c r="D294">
        <v>1957</v>
      </c>
      <c r="E294" t="s">
        <v>23</v>
      </c>
      <c r="F294" t="s">
        <v>24</v>
      </c>
      <c r="G294" t="s">
        <v>25</v>
      </c>
      <c r="H294" t="s">
        <v>26</v>
      </c>
      <c r="I294">
        <v>51365468</v>
      </c>
      <c r="J294" t="s">
        <v>27</v>
      </c>
      <c r="K294" t="s">
        <v>431</v>
      </c>
      <c r="L294" t="s">
        <v>21</v>
      </c>
      <c r="M294" t="str">
        <f t="shared" si="12"/>
        <v>OK</v>
      </c>
      <c r="N294" t="str">
        <f t="shared" si="13"/>
        <v>1950s</v>
      </c>
      <c r="O294" t="str">
        <f t="shared" si="14"/>
        <v>N/A</v>
      </c>
      <c r="P294" t="str">
        <f>VLOOKUP(E294,calculated_fields!$F$4:$G$6,2,FALSE)</f>
        <v>Demographics</v>
      </c>
    </row>
    <row r="295" spans="1:16">
      <c r="A295" t="s">
        <v>433</v>
      </c>
      <c r="B295" t="s">
        <v>426</v>
      </c>
      <c r="C295" t="s">
        <v>14</v>
      </c>
      <c r="D295">
        <v>1957</v>
      </c>
      <c r="E295" t="s">
        <v>29</v>
      </c>
      <c r="F295" t="s">
        <v>30</v>
      </c>
      <c r="G295" t="s">
        <v>31</v>
      </c>
      <c r="H295" t="s">
        <v>32</v>
      </c>
      <c r="I295">
        <v>661.63745770000003</v>
      </c>
      <c r="J295" t="s">
        <v>33</v>
      </c>
      <c r="K295" t="s">
        <v>431</v>
      </c>
      <c r="L295" t="s">
        <v>21</v>
      </c>
      <c r="M295" t="str">
        <f t="shared" si="12"/>
        <v>OK</v>
      </c>
      <c r="N295" t="str">
        <f t="shared" si="13"/>
        <v>1950s</v>
      </c>
      <c r="O295" t="str">
        <f t="shared" si="14"/>
        <v>N/A</v>
      </c>
      <c r="P295" t="str">
        <f>VLOOKUP(E295,calculated_fields!$F$4:$G$6,2,FALSE)</f>
        <v>Economy</v>
      </c>
    </row>
    <row r="296" spans="1:16">
      <c r="A296" t="s">
        <v>434</v>
      </c>
      <c r="B296" t="s">
        <v>426</v>
      </c>
      <c r="C296" t="s">
        <v>14</v>
      </c>
      <c r="D296">
        <v>1962</v>
      </c>
      <c r="E296" t="s">
        <v>15</v>
      </c>
      <c r="F296" t="s">
        <v>16</v>
      </c>
      <c r="G296" t="s">
        <v>17</v>
      </c>
      <c r="H296" t="s">
        <v>18</v>
      </c>
      <c r="I296">
        <v>41.216000000000001</v>
      </c>
      <c r="J296" t="s">
        <v>19</v>
      </c>
      <c r="K296" t="s">
        <v>435</v>
      </c>
      <c r="L296" t="s">
        <v>21</v>
      </c>
      <c r="M296" t="str">
        <f t="shared" si="12"/>
        <v>OK</v>
      </c>
      <c r="N296" t="str">
        <f t="shared" si="13"/>
        <v>1960s</v>
      </c>
      <c r="O296" t="str">
        <f t="shared" si="14"/>
        <v>Low</v>
      </c>
      <c r="P296" t="str">
        <f>VLOOKUP(E296,calculated_fields!$F$4:$G$6,2,FALSE)</f>
        <v>Health</v>
      </c>
    </row>
    <row r="297" spans="1:16">
      <c r="A297" t="s">
        <v>436</v>
      </c>
      <c r="B297" t="s">
        <v>426</v>
      </c>
      <c r="C297" t="s">
        <v>14</v>
      </c>
      <c r="D297">
        <v>1962</v>
      </c>
      <c r="E297" t="s">
        <v>23</v>
      </c>
      <c r="F297" t="s">
        <v>24</v>
      </c>
      <c r="G297" t="s">
        <v>25</v>
      </c>
      <c r="H297" t="s">
        <v>26</v>
      </c>
      <c r="I297">
        <v>56839289</v>
      </c>
      <c r="J297" t="s">
        <v>27</v>
      </c>
      <c r="K297" t="s">
        <v>435</v>
      </c>
      <c r="L297" t="s">
        <v>21</v>
      </c>
      <c r="M297" t="str">
        <f t="shared" si="12"/>
        <v>OK</v>
      </c>
      <c r="N297" t="str">
        <f t="shared" si="13"/>
        <v>1960s</v>
      </c>
      <c r="O297" t="str">
        <f t="shared" si="14"/>
        <v>N/A</v>
      </c>
      <c r="P297" t="str">
        <f>VLOOKUP(E297,calculated_fields!$F$4:$G$6,2,FALSE)</f>
        <v>Demographics</v>
      </c>
    </row>
    <row r="298" spans="1:16">
      <c r="A298" t="s">
        <v>437</v>
      </c>
      <c r="B298" t="s">
        <v>426</v>
      </c>
      <c r="C298" t="s">
        <v>14</v>
      </c>
      <c r="D298">
        <v>1962</v>
      </c>
      <c r="E298" t="s">
        <v>29</v>
      </c>
      <c r="F298" t="s">
        <v>30</v>
      </c>
      <c r="G298" t="s">
        <v>31</v>
      </c>
      <c r="H298" t="s">
        <v>32</v>
      </c>
      <c r="I298">
        <v>686.34155379999902</v>
      </c>
      <c r="J298" t="s">
        <v>33</v>
      </c>
      <c r="K298" t="s">
        <v>435</v>
      </c>
      <c r="L298" t="s">
        <v>21</v>
      </c>
      <c r="M298" t="str">
        <f t="shared" si="12"/>
        <v>OK</v>
      </c>
      <c r="N298" t="str">
        <f t="shared" si="13"/>
        <v>1960s</v>
      </c>
      <c r="O298" t="str">
        <f t="shared" si="14"/>
        <v>N/A</v>
      </c>
      <c r="P298" t="str">
        <f>VLOOKUP(E298,calculated_fields!$F$4:$G$6,2,FALSE)</f>
        <v>Economy</v>
      </c>
    </row>
    <row r="299" spans="1:16">
      <c r="A299" t="s">
        <v>438</v>
      </c>
      <c r="B299" t="s">
        <v>426</v>
      </c>
      <c r="C299" t="s">
        <v>14</v>
      </c>
      <c r="D299">
        <v>1967</v>
      </c>
      <c r="E299" t="s">
        <v>15</v>
      </c>
      <c r="F299" t="s">
        <v>16</v>
      </c>
      <c r="G299" t="s">
        <v>17</v>
      </c>
      <c r="H299" t="s">
        <v>18</v>
      </c>
      <c r="I299">
        <v>43.453000000000003</v>
      </c>
      <c r="J299" t="s">
        <v>19</v>
      </c>
      <c r="K299" t="s">
        <v>439</v>
      </c>
      <c r="L299" t="s">
        <v>21</v>
      </c>
      <c r="M299" t="str">
        <f t="shared" si="12"/>
        <v>OK</v>
      </c>
      <c r="N299" t="str">
        <f t="shared" si="13"/>
        <v>1960s</v>
      </c>
      <c r="O299" t="str">
        <f t="shared" si="14"/>
        <v>Low</v>
      </c>
      <c r="P299" t="str">
        <f>VLOOKUP(E299,calculated_fields!$F$4:$G$6,2,FALSE)</f>
        <v>Health</v>
      </c>
    </row>
    <row r="300" spans="1:16">
      <c r="A300" t="s">
        <v>440</v>
      </c>
      <c r="B300" t="s">
        <v>426</v>
      </c>
      <c r="C300" t="s">
        <v>14</v>
      </c>
      <c r="D300">
        <v>1967</v>
      </c>
      <c r="E300" t="s">
        <v>23</v>
      </c>
      <c r="F300" t="s">
        <v>24</v>
      </c>
      <c r="G300" t="s">
        <v>25</v>
      </c>
      <c r="H300" t="s">
        <v>26</v>
      </c>
      <c r="I300">
        <v>62821884</v>
      </c>
      <c r="J300" t="s">
        <v>27</v>
      </c>
      <c r="K300" t="s">
        <v>439</v>
      </c>
      <c r="L300" t="s">
        <v>21</v>
      </c>
      <c r="M300" t="str">
        <f t="shared" si="12"/>
        <v>OK</v>
      </c>
      <c r="N300" t="str">
        <f t="shared" si="13"/>
        <v>1960s</v>
      </c>
      <c r="O300" t="str">
        <f t="shared" si="14"/>
        <v>N/A</v>
      </c>
      <c r="P300" t="str">
        <f>VLOOKUP(E300,calculated_fields!$F$4:$G$6,2,FALSE)</f>
        <v>Demographics</v>
      </c>
    </row>
    <row r="301" spans="1:16">
      <c r="A301" t="s">
        <v>441</v>
      </c>
      <c r="B301" t="s">
        <v>426</v>
      </c>
      <c r="C301" t="s">
        <v>14</v>
      </c>
      <c r="D301">
        <v>1967</v>
      </c>
      <c r="E301" t="s">
        <v>29</v>
      </c>
      <c r="F301" t="s">
        <v>30</v>
      </c>
      <c r="G301" t="s">
        <v>31</v>
      </c>
      <c r="H301" t="s">
        <v>32</v>
      </c>
      <c r="I301">
        <v>721.18608619999998</v>
      </c>
      <c r="J301" t="s">
        <v>33</v>
      </c>
      <c r="K301" t="s">
        <v>439</v>
      </c>
      <c r="L301" t="s">
        <v>21</v>
      </c>
      <c r="M301" t="str">
        <f t="shared" si="12"/>
        <v>OK</v>
      </c>
      <c r="N301" t="str">
        <f t="shared" si="13"/>
        <v>1960s</v>
      </c>
      <c r="O301" t="str">
        <f t="shared" si="14"/>
        <v>N/A</v>
      </c>
      <c r="P301" t="str">
        <f>VLOOKUP(E301,calculated_fields!$F$4:$G$6,2,FALSE)</f>
        <v>Economy</v>
      </c>
    </row>
    <row r="302" spans="1:16">
      <c r="A302" t="s">
        <v>442</v>
      </c>
      <c r="B302" t="s">
        <v>426</v>
      </c>
      <c r="C302" t="s">
        <v>14</v>
      </c>
      <c r="D302">
        <v>1972</v>
      </c>
      <c r="E302" t="s">
        <v>15</v>
      </c>
      <c r="F302" t="s">
        <v>16</v>
      </c>
      <c r="G302" t="s">
        <v>17</v>
      </c>
      <c r="H302" t="s">
        <v>18</v>
      </c>
      <c r="I302">
        <v>45.252000000000002</v>
      </c>
      <c r="J302" t="s">
        <v>19</v>
      </c>
      <c r="K302" t="s">
        <v>443</v>
      </c>
      <c r="L302" t="s">
        <v>21</v>
      </c>
      <c r="M302" t="str">
        <f t="shared" si="12"/>
        <v>OK</v>
      </c>
      <c r="N302" t="str">
        <f t="shared" si="13"/>
        <v>1970s</v>
      </c>
      <c r="O302" t="str">
        <f t="shared" si="14"/>
        <v>Low</v>
      </c>
      <c r="P302" t="str">
        <f>VLOOKUP(E302,calculated_fields!$F$4:$G$6,2,FALSE)</f>
        <v>Health</v>
      </c>
    </row>
    <row r="303" spans="1:16">
      <c r="A303" t="s">
        <v>444</v>
      </c>
      <c r="B303" t="s">
        <v>426</v>
      </c>
      <c r="C303" t="s">
        <v>14</v>
      </c>
      <c r="D303">
        <v>1972</v>
      </c>
      <c r="E303" t="s">
        <v>23</v>
      </c>
      <c r="F303" t="s">
        <v>24</v>
      </c>
      <c r="G303" t="s">
        <v>25</v>
      </c>
      <c r="H303" t="s">
        <v>26</v>
      </c>
      <c r="I303">
        <v>70759295</v>
      </c>
      <c r="J303" t="s">
        <v>27</v>
      </c>
      <c r="K303" t="s">
        <v>443</v>
      </c>
      <c r="L303" t="s">
        <v>21</v>
      </c>
      <c r="M303" t="str">
        <f t="shared" si="12"/>
        <v>OK</v>
      </c>
      <c r="N303" t="str">
        <f t="shared" si="13"/>
        <v>1970s</v>
      </c>
      <c r="O303" t="str">
        <f t="shared" si="14"/>
        <v>N/A</v>
      </c>
      <c r="P303" t="str">
        <f>VLOOKUP(E303,calculated_fields!$F$4:$G$6,2,FALSE)</f>
        <v>Demographics</v>
      </c>
    </row>
    <row r="304" spans="1:16">
      <c r="A304" t="s">
        <v>445</v>
      </c>
      <c r="B304" t="s">
        <v>426</v>
      </c>
      <c r="C304" t="s">
        <v>14</v>
      </c>
      <c r="D304">
        <v>1972</v>
      </c>
      <c r="E304" t="s">
        <v>29</v>
      </c>
      <c r="F304" t="s">
        <v>30</v>
      </c>
      <c r="G304" t="s">
        <v>31</v>
      </c>
      <c r="H304" t="s">
        <v>32</v>
      </c>
      <c r="I304">
        <v>630.23362650000001</v>
      </c>
      <c r="J304" t="s">
        <v>33</v>
      </c>
      <c r="K304" t="s">
        <v>443</v>
      </c>
      <c r="L304" t="s">
        <v>21</v>
      </c>
      <c r="M304" t="str">
        <f t="shared" si="12"/>
        <v>OK</v>
      </c>
      <c r="N304" t="str">
        <f t="shared" si="13"/>
        <v>1970s</v>
      </c>
      <c r="O304" t="str">
        <f t="shared" si="14"/>
        <v>N/A</v>
      </c>
      <c r="P304" t="str">
        <f>VLOOKUP(E304,calculated_fields!$F$4:$G$6,2,FALSE)</f>
        <v>Economy</v>
      </c>
    </row>
    <row r="305" spans="1:16">
      <c r="A305" t="s">
        <v>446</v>
      </c>
      <c r="B305" t="s">
        <v>426</v>
      </c>
      <c r="C305" t="s">
        <v>14</v>
      </c>
      <c r="D305">
        <v>1977</v>
      </c>
      <c r="E305" t="s">
        <v>15</v>
      </c>
      <c r="F305" t="s">
        <v>16</v>
      </c>
      <c r="G305" t="s">
        <v>17</v>
      </c>
      <c r="H305" t="s">
        <v>18</v>
      </c>
      <c r="I305">
        <v>46.923000000000002</v>
      </c>
      <c r="J305" t="s">
        <v>19</v>
      </c>
      <c r="K305" t="s">
        <v>447</v>
      </c>
      <c r="L305" t="s">
        <v>21</v>
      </c>
      <c r="M305" t="str">
        <f t="shared" si="12"/>
        <v>OK</v>
      </c>
      <c r="N305" t="str">
        <f t="shared" si="13"/>
        <v>1970s</v>
      </c>
      <c r="O305" t="str">
        <f t="shared" si="14"/>
        <v>Low</v>
      </c>
      <c r="P305" t="str">
        <f>VLOOKUP(E305,calculated_fields!$F$4:$G$6,2,FALSE)</f>
        <v>Health</v>
      </c>
    </row>
    <row r="306" spans="1:16">
      <c r="A306" t="s">
        <v>448</v>
      </c>
      <c r="B306" t="s">
        <v>426</v>
      </c>
      <c r="C306" t="s">
        <v>14</v>
      </c>
      <c r="D306">
        <v>1977</v>
      </c>
      <c r="E306" t="s">
        <v>23</v>
      </c>
      <c r="F306" t="s">
        <v>24</v>
      </c>
      <c r="G306" t="s">
        <v>25</v>
      </c>
      <c r="H306" t="s">
        <v>26</v>
      </c>
      <c r="I306">
        <v>80428306</v>
      </c>
      <c r="J306" t="s">
        <v>27</v>
      </c>
      <c r="K306" t="s">
        <v>447</v>
      </c>
      <c r="L306" t="s">
        <v>21</v>
      </c>
      <c r="M306" t="str">
        <f t="shared" si="12"/>
        <v>OK</v>
      </c>
      <c r="N306" t="str">
        <f t="shared" si="13"/>
        <v>1970s</v>
      </c>
      <c r="O306" t="str">
        <f t="shared" si="14"/>
        <v>N/A</v>
      </c>
      <c r="P306" t="str">
        <f>VLOOKUP(E306,calculated_fields!$F$4:$G$6,2,FALSE)</f>
        <v>Demographics</v>
      </c>
    </row>
    <row r="307" spans="1:16">
      <c r="A307" t="s">
        <v>449</v>
      </c>
      <c r="B307" t="s">
        <v>426</v>
      </c>
      <c r="C307" t="s">
        <v>14</v>
      </c>
      <c r="D307">
        <v>1977</v>
      </c>
      <c r="E307" t="s">
        <v>29</v>
      </c>
      <c r="F307" t="s">
        <v>30</v>
      </c>
      <c r="G307" t="s">
        <v>31</v>
      </c>
      <c r="H307" t="s">
        <v>32</v>
      </c>
      <c r="I307">
        <v>659.87723219999998</v>
      </c>
      <c r="J307" t="s">
        <v>33</v>
      </c>
      <c r="K307" t="s">
        <v>447</v>
      </c>
      <c r="L307" t="s">
        <v>21</v>
      </c>
      <c r="M307" t="str">
        <f t="shared" si="12"/>
        <v>OK</v>
      </c>
      <c r="N307" t="str">
        <f t="shared" si="13"/>
        <v>1970s</v>
      </c>
      <c r="O307" t="str">
        <f t="shared" si="14"/>
        <v>N/A</v>
      </c>
      <c r="P307" t="str">
        <f>VLOOKUP(E307,calculated_fields!$F$4:$G$6,2,FALSE)</f>
        <v>Economy</v>
      </c>
    </row>
    <row r="308" spans="1:16">
      <c r="A308" t="s">
        <v>450</v>
      </c>
      <c r="B308" t="s">
        <v>426</v>
      </c>
      <c r="C308" t="s">
        <v>14</v>
      </c>
      <c r="D308">
        <v>1982</v>
      </c>
      <c r="E308" t="s">
        <v>15</v>
      </c>
      <c r="F308" t="s">
        <v>16</v>
      </c>
      <c r="G308" t="s">
        <v>17</v>
      </c>
      <c r="H308" t="s">
        <v>18</v>
      </c>
      <c r="I308">
        <v>50.008999999999901</v>
      </c>
      <c r="J308" t="s">
        <v>19</v>
      </c>
      <c r="K308" t="s">
        <v>451</v>
      </c>
      <c r="L308" t="s">
        <v>21</v>
      </c>
      <c r="M308" t="str">
        <f t="shared" si="12"/>
        <v>OK</v>
      </c>
      <c r="N308" t="str">
        <f t="shared" si="13"/>
        <v>1980s</v>
      </c>
      <c r="O308" t="str">
        <f t="shared" si="14"/>
        <v>Low</v>
      </c>
      <c r="P308" t="str">
        <f>VLOOKUP(E308,calculated_fields!$F$4:$G$6,2,FALSE)</f>
        <v>Health</v>
      </c>
    </row>
    <row r="309" spans="1:16">
      <c r="A309" t="s">
        <v>452</v>
      </c>
      <c r="B309" t="s">
        <v>426</v>
      </c>
      <c r="C309" t="s">
        <v>14</v>
      </c>
      <c r="D309">
        <v>1982</v>
      </c>
      <c r="E309" t="s">
        <v>23</v>
      </c>
      <c r="F309" t="s">
        <v>24</v>
      </c>
      <c r="G309" t="s">
        <v>25</v>
      </c>
      <c r="H309" t="s">
        <v>26</v>
      </c>
      <c r="I309">
        <v>93074406</v>
      </c>
      <c r="J309" t="s">
        <v>27</v>
      </c>
      <c r="K309" t="s">
        <v>451</v>
      </c>
      <c r="L309" t="s">
        <v>21</v>
      </c>
      <c r="M309" t="str">
        <f t="shared" si="12"/>
        <v>OK</v>
      </c>
      <c r="N309" t="str">
        <f t="shared" si="13"/>
        <v>1980s</v>
      </c>
      <c r="O309" t="str">
        <f t="shared" si="14"/>
        <v>N/A</v>
      </c>
      <c r="P309" t="str">
        <f>VLOOKUP(E309,calculated_fields!$F$4:$G$6,2,FALSE)</f>
        <v>Demographics</v>
      </c>
    </row>
    <row r="310" spans="1:16">
      <c r="A310" t="s">
        <v>453</v>
      </c>
      <c r="B310" t="s">
        <v>426</v>
      </c>
      <c r="C310" t="s">
        <v>14</v>
      </c>
      <c r="D310">
        <v>1982</v>
      </c>
      <c r="E310" t="s">
        <v>29</v>
      </c>
      <c r="F310" t="s">
        <v>30</v>
      </c>
      <c r="G310" t="s">
        <v>31</v>
      </c>
      <c r="H310" t="s">
        <v>32</v>
      </c>
      <c r="I310">
        <v>676.98186559999999</v>
      </c>
      <c r="J310" t="s">
        <v>33</v>
      </c>
      <c r="K310" t="s">
        <v>451</v>
      </c>
      <c r="L310" t="s">
        <v>21</v>
      </c>
      <c r="M310" t="str">
        <f t="shared" si="12"/>
        <v>OK</v>
      </c>
      <c r="N310" t="str">
        <f t="shared" si="13"/>
        <v>1980s</v>
      </c>
      <c r="O310" t="str">
        <f t="shared" si="14"/>
        <v>N/A</v>
      </c>
      <c r="P310" t="str">
        <f>VLOOKUP(E310,calculated_fields!$F$4:$G$6,2,FALSE)</f>
        <v>Economy</v>
      </c>
    </row>
    <row r="311" spans="1:16">
      <c r="A311" t="s">
        <v>454</v>
      </c>
      <c r="B311" t="s">
        <v>426</v>
      </c>
      <c r="C311" t="s">
        <v>14</v>
      </c>
      <c r="D311">
        <v>1987</v>
      </c>
      <c r="E311" t="s">
        <v>15</v>
      </c>
      <c r="F311" t="s">
        <v>16</v>
      </c>
      <c r="G311" t="s">
        <v>17</v>
      </c>
      <c r="H311" t="s">
        <v>18</v>
      </c>
      <c r="I311">
        <v>52.819000000000003</v>
      </c>
      <c r="J311" t="s">
        <v>19</v>
      </c>
      <c r="K311" t="s">
        <v>455</v>
      </c>
      <c r="L311" t="s">
        <v>21</v>
      </c>
      <c r="M311" t="str">
        <f t="shared" si="12"/>
        <v>OK</v>
      </c>
      <c r="N311" t="str">
        <f t="shared" si="13"/>
        <v>1980s</v>
      </c>
      <c r="O311" t="str">
        <f t="shared" si="14"/>
        <v>Low</v>
      </c>
      <c r="P311" t="str">
        <f>VLOOKUP(E311,calculated_fields!$F$4:$G$6,2,FALSE)</f>
        <v>Health</v>
      </c>
    </row>
    <row r="312" spans="1:16">
      <c r="A312" t="s">
        <v>456</v>
      </c>
      <c r="B312" t="s">
        <v>426</v>
      </c>
      <c r="C312" t="s">
        <v>14</v>
      </c>
      <c r="D312">
        <v>1987</v>
      </c>
      <c r="E312" t="s">
        <v>23</v>
      </c>
      <c r="F312" t="s">
        <v>24</v>
      </c>
      <c r="G312" t="s">
        <v>25</v>
      </c>
      <c r="H312" t="s">
        <v>26</v>
      </c>
      <c r="I312">
        <v>103764241</v>
      </c>
      <c r="J312" t="s">
        <v>27</v>
      </c>
      <c r="K312" t="s">
        <v>455</v>
      </c>
      <c r="L312" t="s">
        <v>21</v>
      </c>
      <c r="M312" t="str">
        <f t="shared" si="12"/>
        <v>OK</v>
      </c>
      <c r="N312" t="str">
        <f t="shared" si="13"/>
        <v>1980s</v>
      </c>
      <c r="O312" t="str">
        <f t="shared" si="14"/>
        <v>N/A</v>
      </c>
      <c r="P312" t="str">
        <f>VLOOKUP(E312,calculated_fields!$F$4:$G$6,2,FALSE)</f>
        <v>Demographics</v>
      </c>
    </row>
    <row r="313" spans="1:16">
      <c r="A313" t="s">
        <v>457</v>
      </c>
      <c r="B313" t="s">
        <v>426</v>
      </c>
      <c r="C313" t="s">
        <v>14</v>
      </c>
      <c r="D313">
        <v>1987</v>
      </c>
      <c r="E313" t="s">
        <v>29</v>
      </c>
      <c r="F313" t="s">
        <v>30</v>
      </c>
      <c r="G313" t="s">
        <v>31</v>
      </c>
      <c r="H313" t="s">
        <v>32</v>
      </c>
      <c r="I313">
        <v>751.97940349999999</v>
      </c>
      <c r="J313" t="s">
        <v>33</v>
      </c>
      <c r="K313" t="s">
        <v>455</v>
      </c>
      <c r="L313" t="s">
        <v>21</v>
      </c>
      <c r="M313" t="str">
        <f t="shared" si="12"/>
        <v>OK</v>
      </c>
      <c r="N313" t="str">
        <f t="shared" si="13"/>
        <v>1980s</v>
      </c>
      <c r="O313" t="str">
        <f t="shared" si="14"/>
        <v>N/A</v>
      </c>
      <c r="P313" t="str">
        <f>VLOOKUP(E313,calculated_fields!$F$4:$G$6,2,FALSE)</f>
        <v>Economy</v>
      </c>
    </row>
    <row r="314" spans="1:16">
      <c r="A314" t="s">
        <v>458</v>
      </c>
      <c r="B314" t="s">
        <v>426</v>
      </c>
      <c r="C314" t="s">
        <v>14</v>
      </c>
      <c r="D314">
        <v>1992</v>
      </c>
      <c r="E314" t="s">
        <v>15</v>
      </c>
      <c r="F314" t="s">
        <v>16</v>
      </c>
      <c r="G314" t="s">
        <v>17</v>
      </c>
      <c r="H314" t="s">
        <v>18</v>
      </c>
      <c r="I314">
        <v>56.018000000000001</v>
      </c>
      <c r="J314" t="s">
        <v>19</v>
      </c>
      <c r="K314" t="s">
        <v>459</v>
      </c>
      <c r="L314" t="s">
        <v>21</v>
      </c>
      <c r="M314" t="str">
        <f t="shared" si="12"/>
        <v>OK</v>
      </c>
      <c r="N314" t="str">
        <f t="shared" si="13"/>
        <v>1990s</v>
      </c>
      <c r="O314" t="str">
        <f t="shared" si="14"/>
        <v>Medium</v>
      </c>
      <c r="P314" t="str">
        <f>VLOOKUP(E314,calculated_fields!$F$4:$G$6,2,FALSE)</f>
        <v>Health</v>
      </c>
    </row>
    <row r="315" spans="1:16">
      <c r="A315" t="s">
        <v>460</v>
      </c>
      <c r="B315" t="s">
        <v>426</v>
      </c>
      <c r="C315" t="s">
        <v>14</v>
      </c>
      <c r="D315">
        <v>1992</v>
      </c>
      <c r="E315" t="s">
        <v>23</v>
      </c>
      <c r="F315" t="s">
        <v>24</v>
      </c>
      <c r="G315" t="s">
        <v>25</v>
      </c>
      <c r="H315" t="s">
        <v>26</v>
      </c>
      <c r="I315">
        <v>113704579</v>
      </c>
      <c r="J315" t="s">
        <v>27</v>
      </c>
      <c r="K315" t="s">
        <v>459</v>
      </c>
      <c r="L315" t="s">
        <v>21</v>
      </c>
      <c r="M315" t="str">
        <f t="shared" si="12"/>
        <v>OK</v>
      </c>
      <c r="N315" t="str">
        <f t="shared" si="13"/>
        <v>1990s</v>
      </c>
      <c r="O315" t="str">
        <f t="shared" si="14"/>
        <v>N/A</v>
      </c>
      <c r="P315" t="str">
        <f>VLOOKUP(E315,calculated_fields!$F$4:$G$6,2,FALSE)</f>
        <v>Demographics</v>
      </c>
    </row>
    <row r="316" spans="1:16">
      <c r="A316" t="s">
        <v>461</v>
      </c>
      <c r="B316" t="s">
        <v>426</v>
      </c>
      <c r="C316" t="s">
        <v>14</v>
      </c>
      <c r="D316">
        <v>1992</v>
      </c>
      <c r="E316" t="s">
        <v>29</v>
      </c>
      <c r="F316" t="s">
        <v>30</v>
      </c>
      <c r="G316" t="s">
        <v>31</v>
      </c>
      <c r="H316" t="s">
        <v>32</v>
      </c>
      <c r="I316">
        <v>837.81016429999897</v>
      </c>
      <c r="J316" t="s">
        <v>33</v>
      </c>
      <c r="K316" t="s">
        <v>459</v>
      </c>
      <c r="L316" t="s">
        <v>21</v>
      </c>
      <c r="M316" t="str">
        <f t="shared" si="12"/>
        <v>OK</v>
      </c>
      <c r="N316" t="str">
        <f t="shared" si="13"/>
        <v>1990s</v>
      </c>
      <c r="O316" t="str">
        <f t="shared" si="14"/>
        <v>N/A</v>
      </c>
      <c r="P316" t="str">
        <f>VLOOKUP(E316,calculated_fields!$F$4:$G$6,2,FALSE)</f>
        <v>Economy</v>
      </c>
    </row>
    <row r="317" spans="1:16">
      <c r="A317" t="s">
        <v>462</v>
      </c>
      <c r="B317" t="s">
        <v>426</v>
      </c>
      <c r="C317" t="s">
        <v>14</v>
      </c>
      <c r="D317">
        <v>1997</v>
      </c>
      <c r="E317" t="s">
        <v>15</v>
      </c>
      <c r="F317" t="s">
        <v>16</v>
      </c>
      <c r="G317" t="s">
        <v>17</v>
      </c>
      <c r="H317" t="s">
        <v>18</v>
      </c>
      <c r="I317">
        <v>59.411999999999999</v>
      </c>
      <c r="J317" t="s">
        <v>19</v>
      </c>
      <c r="K317" t="s">
        <v>463</v>
      </c>
      <c r="L317" t="s">
        <v>21</v>
      </c>
      <c r="M317" t="str">
        <f t="shared" si="12"/>
        <v>OK</v>
      </c>
      <c r="N317" t="str">
        <f t="shared" si="13"/>
        <v>1990s</v>
      </c>
      <c r="O317" t="str">
        <f t="shared" si="14"/>
        <v>Medium</v>
      </c>
      <c r="P317" t="str">
        <f>VLOOKUP(E317,calculated_fields!$F$4:$G$6,2,FALSE)</f>
        <v>Health</v>
      </c>
    </row>
    <row r="318" spans="1:16">
      <c r="A318" t="s">
        <v>464</v>
      </c>
      <c r="B318" t="s">
        <v>426</v>
      </c>
      <c r="C318" t="s">
        <v>14</v>
      </c>
      <c r="D318">
        <v>1997</v>
      </c>
      <c r="E318" t="s">
        <v>23</v>
      </c>
      <c r="F318" t="s">
        <v>24</v>
      </c>
      <c r="G318" t="s">
        <v>25</v>
      </c>
      <c r="H318" t="s">
        <v>26</v>
      </c>
      <c r="I318">
        <v>123315288</v>
      </c>
      <c r="J318" t="s">
        <v>27</v>
      </c>
      <c r="K318" t="s">
        <v>463</v>
      </c>
      <c r="L318" t="s">
        <v>21</v>
      </c>
      <c r="M318" t="str">
        <f t="shared" si="12"/>
        <v>OK</v>
      </c>
      <c r="N318" t="str">
        <f t="shared" si="13"/>
        <v>1990s</v>
      </c>
      <c r="O318" t="str">
        <f t="shared" si="14"/>
        <v>N/A</v>
      </c>
      <c r="P318" t="str">
        <f>VLOOKUP(E318,calculated_fields!$F$4:$G$6,2,FALSE)</f>
        <v>Demographics</v>
      </c>
    </row>
    <row r="319" spans="1:16">
      <c r="A319" t="s">
        <v>465</v>
      </c>
      <c r="B319" t="s">
        <v>426</v>
      </c>
      <c r="C319" t="s">
        <v>14</v>
      </c>
      <c r="D319">
        <v>1997</v>
      </c>
      <c r="E319" t="s">
        <v>29</v>
      </c>
      <c r="F319" t="s">
        <v>30</v>
      </c>
      <c r="G319" t="s">
        <v>31</v>
      </c>
      <c r="H319" t="s">
        <v>32</v>
      </c>
      <c r="I319">
        <v>972.77003520000005</v>
      </c>
      <c r="J319" t="s">
        <v>33</v>
      </c>
      <c r="K319" t="s">
        <v>463</v>
      </c>
      <c r="L319" t="s">
        <v>21</v>
      </c>
      <c r="M319" t="str">
        <f t="shared" si="12"/>
        <v>OK</v>
      </c>
      <c r="N319" t="str">
        <f t="shared" si="13"/>
        <v>1990s</v>
      </c>
      <c r="O319" t="str">
        <f t="shared" si="14"/>
        <v>N/A</v>
      </c>
      <c r="P319" t="str">
        <f>VLOOKUP(E319,calculated_fields!$F$4:$G$6,2,FALSE)</f>
        <v>Economy</v>
      </c>
    </row>
    <row r="320" spans="1:16">
      <c r="A320" t="s">
        <v>466</v>
      </c>
      <c r="B320" t="s">
        <v>426</v>
      </c>
      <c r="C320" t="s">
        <v>14</v>
      </c>
      <c r="D320">
        <v>2002</v>
      </c>
      <c r="E320" t="s">
        <v>15</v>
      </c>
      <c r="F320" t="s">
        <v>16</v>
      </c>
      <c r="G320" t="s">
        <v>17</v>
      </c>
      <c r="H320" t="s">
        <v>18</v>
      </c>
      <c r="I320">
        <v>62.012999999999998</v>
      </c>
      <c r="J320" t="s">
        <v>19</v>
      </c>
      <c r="K320" t="s">
        <v>467</v>
      </c>
      <c r="L320" t="s">
        <v>21</v>
      </c>
      <c r="M320" t="str">
        <f t="shared" si="12"/>
        <v>OK</v>
      </c>
      <c r="N320" t="str">
        <f t="shared" si="13"/>
        <v>2000s</v>
      </c>
      <c r="O320" t="str">
        <f t="shared" si="14"/>
        <v>Medium</v>
      </c>
      <c r="P320" t="str">
        <f>VLOOKUP(E320,calculated_fields!$F$4:$G$6,2,FALSE)</f>
        <v>Health</v>
      </c>
    </row>
    <row r="321" spans="1:16">
      <c r="A321" t="s">
        <v>468</v>
      </c>
      <c r="B321" t="s">
        <v>426</v>
      </c>
      <c r="C321" t="s">
        <v>14</v>
      </c>
      <c r="D321">
        <v>2002</v>
      </c>
      <c r="E321" t="s">
        <v>23</v>
      </c>
      <c r="F321" t="s">
        <v>24</v>
      </c>
      <c r="G321" t="s">
        <v>25</v>
      </c>
      <c r="H321" t="s">
        <v>26</v>
      </c>
      <c r="I321">
        <v>135656790</v>
      </c>
      <c r="J321" t="s">
        <v>27</v>
      </c>
      <c r="K321" t="s">
        <v>467</v>
      </c>
      <c r="L321" t="s">
        <v>21</v>
      </c>
      <c r="M321" t="str">
        <f t="shared" si="12"/>
        <v>OK</v>
      </c>
      <c r="N321" t="str">
        <f t="shared" si="13"/>
        <v>2000s</v>
      </c>
      <c r="O321" t="str">
        <f t="shared" si="14"/>
        <v>N/A</v>
      </c>
      <c r="P321" t="str">
        <f>VLOOKUP(E321,calculated_fields!$F$4:$G$6,2,FALSE)</f>
        <v>Demographics</v>
      </c>
    </row>
    <row r="322" spans="1:16">
      <c r="A322" t="s">
        <v>469</v>
      </c>
      <c r="B322" t="s">
        <v>426</v>
      </c>
      <c r="C322" t="s">
        <v>14</v>
      </c>
      <c r="D322">
        <v>2002</v>
      </c>
      <c r="E322" t="s">
        <v>29</v>
      </c>
      <c r="F322" t="s">
        <v>30</v>
      </c>
      <c r="G322" t="s">
        <v>31</v>
      </c>
      <c r="H322" t="s">
        <v>32</v>
      </c>
      <c r="I322">
        <v>1136.3904299999999</v>
      </c>
      <c r="J322" t="s">
        <v>33</v>
      </c>
      <c r="K322" t="s">
        <v>467</v>
      </c>
      <c r="L322" t="s">
        <v>21</v>
      </c>
      <c r="M322" t="str">
        <f t="shared" ref="M322:M385" si="15">IF(AND(ISNUMBER(I322),I322&gt;=0),"OK","Review")</f>
        <v>OK</v>
      </c>
      <c r="N322" t="str">
        <f t="shared" ref="N322:N385" si="16">FLOOR(D322,10)&amp;"s"</f>
        <v>2000s</v>
      </c>
      <c r="O322" t="str">
        <f t="shared" ref="O322:O385" si="17">IF(E322="LIFE_EXP",IF(I322&gt;=70,"High",IF(I322&gt;=55,"Medium","Low")),"N/A")</f>
        <v>N/A</v>
      </c>
      <c r="P322" t="str">
        <f>VLOOKUP(E322,calculated_fields!$F$4:$G$6,2,FALSE)</f>
        <v>Economy</v>
      </c>
    </row>
    <row r="323" spans="1:16">
      <c r="A323" t="s">
        <v>470</v>
      </c>
      <c r="B323" t="s">
        <v>426</v>
      </c>
      <c r="C323" t="s">
        <v>14</v>
      </c>
      <c r="D323">
        <v>2007</v>
      </c>
      <c r="E323" t="s">
        <v>15</v>
      </c>
      <c r="F323" t="s">
        <v>16</v>
      </c>
      <c r="G323" t="s">
        <v>17</v>
      </c>
      <c r="H323" t="s">
        <v>18</v>
      </c>
      <c r="I323">
        <v>64.061999999999998</v>
      </c>
      <c r="J323" t="s">
        <v>19</v>
      </c>
      <c r="K323" t="s">
        <v>471</v>
      </c>
      <c r="L323" t="s">
        <v>21</v>
      </c>
      <c r="M323" t="str">
        <f t="shared" si="15"/>
        <v>OK</v>
      </c>
      <c r="N323" t="str">
        <f t="shared" si="16"/>
        <v>2000s</v>
      </c>
      <c r="O323" t="str">
        <f t="shared" si="17"/>
        <v>Medium</v>
      </c>
      <c r="P323" t="str">
        <f>VLOOKUP(E323,calculated_fields!$F$4:$G$6,2,FALSE)</f>
        <v>Health</v>
      </c>
    </row>
    <row r="324" spans="1:16">
      <c r="A324" t="s">
        <v>472</v>
      </c>
      <c r="B324" t="s">
        <v>426</v>
      </c>
      <c r="C324" t="s">
        <v>14</v>
      </c>
      <c r="D324">
        <v>2007</v>
      </c>
      <c r="E324" t="s">
        <v>23</v>
      </c>
      <c r="F324" t="s">
        <v>24</v>
      </c>
      <c r="G324" t="s">
        <v>25</v>
      </c>
      <c r="H324" t="s">
        <v>26</v>
      </c>
      <c r="I324">
        <v>150448339</v>
      </c>
      <c r="J324" t="s">
        <v>27</v>
      </c>
      <c r="K324" t="s">
        <v>471</v>
      </c>
      <c r="L324" t="s">
        <v>21</v>
      </c>
      <c r="M324" t="str">
        <f t="shared" si="15"/>
        <v>OK</v>
      </c>
      <c r="N324" t="str">
        <f t="shared" si="16"/>
        <v>2000s</v>
      </c>
      <c r="O324" t="str">
        <f t="shared" si="17"/>
        <v>N/A</v>
      </c>
      <c r="P324" t="str">
        <f>VLOOKUP(E324,calculated_fields!$F$4:$G$6,2,FALSE)</f>
        <v>Demographics</v>
      </c>
    </row>
    <row r="325" spans="1:16">
      <c r="A325" t="s">
        <v>473</v>
      </c>
      <c r="B325" t="s">
        <v>426</v>
      </c>
      <c r="C325" t="s">
        <v>14</v>
      </c>
      <c r="D325">
        <v>2007</v>
      </c>
      <c r="E325" t="s">
        <v>29</v>
      </c>
      <c r="F325" t="s">
        <v>30</v>
      </c>
      <c r="G325" t="s">
        <v>31</v>
      </c>
      <c r="H325" t="s">
        <v>32</v>
      </c>
      <c r="I325">
        <v>1391.253792</v>
      </c>
      <c r="J325" t="s">
        <v>33</v>
      </c>
      <c r="K325" t="s">
        <v>471</v>
      </c>
      <c r="L325" t="s">
        <v>21</v>
      </c>
      <c r="M325" t="str">
        <f t="shared" si="15"/>
        <v>OK</v>
      </c>
      <c r="N325" t="str">
        <f t="shared" si="16"/>
        <v>2000s</v>
      </c>
      <c r="O325" t="str">
        <f t="shared" si="17"/>
        <v>N/A</v>
      </c>
      <c r="P325" t="str">
        <f>VLOOKUP(E325,calculated_fields!$F$4:$G$6,2,FALSE)</f>
        <v>Economy</v>
      </c>
    </row>
    <row r="326" spans="1:16">
      <c r="A326" t="s">
        <v>474</v>
      </c>
      <c r="B326" t="s">
        <v>475</v>
      </c>
      <c r="C326" t="s">
        <v>80</v>
      </c>
      <c r="D326">
        <v>1952</v>
      </c>
      <c r="E326" t="s">
        <v>15</v>
      </c>
      <c r="F326" t="s">
        <v>16</v>
      </c>
      <c r="G326" t="s">
        <v>17</v>
      </c>
      <c r="H326" t="s">
        <v>18</v>
      </c>
      <c r="I326">
        <v>68</v>
      </c>
      <c r="J326" t="s">
        <v>19</v>
      </c>
      <c r="K326" t="s">
        <v>476</v>
      </c>
      <c r="L326" t="s">
        <v>21</v>
      </c>
      <c r="M326" t="str">
        <f t="shared" si="15"/>
        <v>OK</v>
      </c>
      <c r="N326" t="str">
        <f t="shared" si="16"/>
        <v>1950s</v>
      </c>
      <c r="O326" t="str">
        <f t="shared" si="17"/>
        <v>Medium</v>
      </c>
      <c r="P326" t="str">
        <f>VLOOKUP(E326,calculated_fields!$F$4:$G$6,2,FALSE)</f>
        <v>Health</v>
      </c>
    </row>
    <row r="327" spans="1:16">
      <c r="A327" t="s">
        <v>477</v>
      </c>
      <c r="B327" t="s">
        <v>475</v>
      </c>
      <c r="C327" t="s">
        <v>80</v>
      </c>
      <c r="D327">
        <v>1952</v>
      </c>
      <c r="E327" t="s">
        <v>23</v>
      </c>
      <c r="F327" t="s">
        <v>24</v>
      </c>
      <c r="G327" t="s">
        <v>25</v>
      </c>
      <c r="H327" t="s">
        <v>26</v>
      </c>
      <c r="I327">
        <v>8730405</v>
      </c>
      <c r="J327" t="s">
        <v>27</v>
      </c>
      <c r="K327" t="s">
        <v>476</v>
      </c>
      <c r="L327" t="s">
        <v>21</v>
      </c>
      <c r="M327" t="str">
        <f t="shared" si="15"/>
        <v>OK</v>
      </c>
      <c r="N327" t="str">
        <f t="shared" si="16"/>
        <v>1950s</v>
      </c>
      <c r="O327" t="str">
        <f t="shared" si="17"/>
        <v>N/A</v>
      </c>
      <c r="P327" t="str">
        <f>VLOOKUP(E327,calculated_fields!$F$4:$G$6,2,FALSE)</f>
        <v>Demographics</v>
      </c>
    </row>
    <row r="328" spans="1:16">
      <c r="A328" t="s">
        <v>478</v>
      </c>
      <c r="B328" t="s">
        <v>475</v>
      </c>
      <c r="C328" t="s">
        <v>80</v>
      </c>
      <c r="D328">
        <v>1952</v>
      </c>
      <c r="E328" t="s">
        <v>29</v>
      </c>
      <c r="F328" t="s">
        <v>30</v>
      </c>
      <c r="G328" t="s">
        <v>31</v>
      </c>
      <c r="H328" t="s">
        <v>32</v>
      </c>
      <c r="I328">
        <v>8343.1051269999898</v>
      </c>
      <c r="J328" t="s">
        <v>33</v>
      </c>
      <c r="K328" t="s">
        <v>476</v>
      </c>
      <c r="L328" t="s">
        <v>21</v>
      </c>
      <c r="M328" t="str">
        <f t="shared" si="15"/>
        <v>OK</v>
      </c>
      <c r="N328" t="str">
        <f t="shared" si="16"/>
        <v>1950s</v>
      </c>
      <c r="O328" t="str">
        <f t="shared" si="17"/>
        <v>N/A</v>
      </c>
      <c r="P328" t="str">
        <f>VLOOKUP(E328,calculated_fields!$F$4:$G$6,2,FALSE)</f>
        <v>Economy</v>
      </c>
    </row>
    <row r="329" spans="1:16">
      <c r="A329" t="s">
        <v>479</v>
      </c>
      <c r="B329" t="s">
        <v>475</v>
      </c>
      <c r="C329" t="s">
        <v>80</v>
      </c>
      <c r="D329">
        <v>1957</v>
      </c>
      <c r="E329" t="s">
        <v>15</v>
      </c>
      <c r="F329" t="s">
        <v>16</v>
      </c>
      <c r="G329" t="s">
        <v>17</v>
      </c>
      <c r="H329" t="s">
        <v>18</v>
      </c>
      <c r="I329">
        <v>69.239999999999995</v>
      </c>
      <c r="J329" t="s">
        <v>19</v>
      </c>
      <c r="K329" t="s">
        <v>480</v>
      </c>
      <c r="L329" t="s">
        <v>21</v>
      </c>
      <c r="M329" t="str">
        <f t="shared" si="15"/>
        <v>OK</v>
      </c>
      <c r="N329" t="str">
        <f t="shared" si="16"/>
        <v>1950s</v>
      </c>
      <c r="O329" t="str">
        <f t="shared" si="17"/>
        <v>Medium</v>
      </c>
      <c r="P329" t="str">
        <f>VLOOKUP(E329,calculated_fields!$F$4:$G$6,2,FALSE)</f>
        <v>Health</v>
      </c>
    </row>
    <row r="330" spans="1:16">
      <c r="A330" t="s">
        <v>481</v>
      </c>
      <c r="B330" t="s">
        <v>475</v>
      </c>
      <c r="C330" t="s">
        <v>80</v>
      </c>
      <c r="D330">
        <v>1957</v>
      </c>
      <c r="E330" t="s">
        <v>23</v>
      </c>
      <c r="F330" t="s">
        <v>24</v>
      </c>
      <c r="G330" t="s">
        <v>25</v>
      </c>
      <c r="H330" t="s">
        <v>26</v>
      </c>
      <c r="I330">
        <v>8989111</v>
      </c>
      <c r="J330" t="s">
        <v>27</v>
      </c>
      <c r="K330" t="s">
        <v>480</v>
      </c>
      <c r="L330" t="s">
        <v>21</v>
      </c>
      <c r="M330" t="str">
        <f t="shared" si="15"/>
        <v>OK</v>
      </c>
      <c r="N330" t="str">
        <f t="shared" si="16"/>
        <v>1950s</v>
      </c>
      <c r="O330" t="str">
        <f t="shared" si="17"/>
        <v>N/A</v>
      </c>
      <c r="P330" t="str">
        <f>VLOOKUP(E330,calculated_fields!$F$4:$G$6,2,FALSE)</f>
        <v>Demographics</v>
      </c>
    </row>
    <row r="331" spans="1:16">
      <c r="A331" t="s">
        <v>482</v>
      </c>
      <c r="B331" t="s">
        <v>475</v>
      </c>
      <c r="C331" t="s">
        <v>80</v>
      </c>
      <c r="D331">
        <v>1957</v>
      </c>
      <c r="E331" t="s">
        <v>29</v>
      </c>
      <c r="F331" t="s">
        <v>30</v>
      </c>
      <c r="G331" t="s">
        <v>31</v>
      </c>
      <c r="H331" t="s">
        <v>32</v>
      </c>
      <c r="I331">
        <v>9714.9606230000009</v>
      </c>
      <c r="J331" t="s">
        <v>33</v>
      </c>
      <c r="K331" t="s">
        <v>480</v>
      </c>
      <c r="L331" t="s">
        <v>21</v>
      </c>
      <c r="M331" t="str">
        <f t="shared" si="15"/>
        <v>OK</v>
      </c>
      <c r="N331" t="str">
        <f t="shared" si="16"/>
        <v>1950s</v>
      </c>
      <c r="O331" t="str">
        <f t="shared" si="17"/>
        <v>N/A</v>
      </c>
      <c r="P331" t="str">
        <f>VLOOKUP(E331,calculated_fields!$F$4:$G$6,2,FALSE)</f>
        <v>Economy</v>
      </c>
    </row>
    <row r="332" spans="1:16">
      <c r="A332" t="s">
        <v>483</v>
      </c>
      <c r="B332" t="s">
        <v>475</v>
      </c>
      <c r="C332" t="s">
        <v>80</v>
      </c>
      <c r="D332">
        <v>1962</v>
      </c>
      <c r="E332" t="s">
        <v>15</v>
      </c>
      <c r="F332" t="s">
        <v>16</v>
      </c>
      <c r="G332" t="s">
        <v>17</v>
      </c>
      <c r="H332" t="s">
        <v>18</v>
      </c>
      <c r="I332">
        <v>70.25</v>
      </c>
      <c r="J332" t="s">
        <v>19</v>
      </c>
      <c r="K332" t="s">
        <v>484</v>
      </c>
      <c r="L332" t="s">
        <v>21</v>
      </c>
      <c r="M332" t="str">
        <f t="shared" si="15"/>
        <v>OK</v>
      </c>
      <c r="N332" t="str">
        <f t="shared" si="16"/>
        <v>1960s</v>
      </c>
      <c r="O332" t="str">
        <f t="shared" si="17"/>
        <v>High</v>
      </c>
      <c r="P332" t="str">
        <f>VLOOKUP(E332,calculated_fields!$F$4:$G$6,2,FALSE)</f>
        <v>Health</v>
      </c>
    </row>
    <row r="333" spans="1:16">
      <c r="A333" t="s">
        <v>485</v>
      </c>
      <c r="B333" t="s">
        <v>475</v>
      </c>
      <c r="C333" t="s">
        <v>80</v>
      </c>
      <c r="D333">
        <v>1962</v>
      </c>
      <c r="E333" t="s">
        <v>23</v>
      </c>
      <c r="F333" t="s">
        <v>24</v>
      </c>
      <c r="G333" t="s">
        <v>25</v>
      </c>
      <c r="H333" t="s">
        <v>26</v>
      </c>
      <c r="I333">
        <v>9218400</v>
      </c>
      <c r="J333" t="s">
        <v>27</v>
      </c>
      <c r="K333" t="s">
        <v>484</v>
      </c>
      <c r="L333" t="s">
        <v>21</v>
      </c>
      <c r="M333" t="str">
        <f t="shared" si="15"/>
        <v>OK</v>
      </c>
      <c r="N333" t="str">
        <f t="shared" si="16"/>
        <v>1960s</v>
      </c>
      <c r="O333" t="str">
        <f t="shared" si="17"/>
        <v>N/A</v>
      </c>
      <c r="P333" t="str">
        <f>VLOOKUP(E333,calculated_fields!$F$4:$G$6,2,FALSE)</f>
        <v>Demographics</v>
      </c>
    </row>
    <row r="334" spans="1:16">
      <c r="A334" t="s">
        <v>486</v>
      </c>
      <c r="B334" t="s">
        <v>475</v>
      </c>
      <c r="C334" t="s">
        <v>80</v>
      </c>
      <c r="D334">
        <v>1962</v>
      </c>
      <c r="E334" t="s">
        <v>29</v>
      </c>
      <c r="F334" t="s">
        <v>30</v>
      </c>
      <c r="G334" t="s">
        <v>31</v>
      </c>
      <c r="H334" t="s">
        <v>32</v>
      </c>
      <c r="I334">
        <v>10991.206759999999</v>
      </c>
      <c r="J334" t="s">
        <v>33</v>
      </c>
      <c r="K334" t="s">
        <v>484</v>
      </c>
      <c r="L334" t="s">
        <v>21</v>
      </c>
      <c r="M334" t="str">
        <f t="shared" si="15"/>
        <v>OK</v>
      </c>
      <c r="N334" t="str">
        <f t="shared" si="16"/>
        <v>1960s</v>
      </c>
      <c r="O334" t="str">
        <f t="shared" si="17"/>
        <v>N/A</v>
      </c>
      <c r="P334" t="str">
        <f>VLOOKUP(E334,calculated_fields!$F$4:$G$6,2,FALSE)</f>
        <v>Economy</v>
      </c>
    </row>
    <row r="335" spans="1:16">
      <c r="A335" t="s">
        <v>487</v>
      </c>
      <c r="B335" t="s">
        <v>475</v>
      </c>
      <c r="C335" t="s">
        <v>80</v>
      </c>
      <c r="D335">
        <v>1967</v>
      </c>
      <c r="E335" t="s">
        <v>15</v>
      </c>
      <c r="F335" t="s">
        <v>16</v>
      </c>
      <c r="G335" t="s">
        <v>17</v>
      </c>
      <c r="H335" t="s">
        <v>18</v>
      </c>
      <c r="I335">
        <v>70.94</v>
      </c>
      <c r="J335" t="s">
        <v>19</v>
      </c>
      <c r="K335" t="s">
        <v>488</v>
      </c>
      <c r="L335" t="s">
        <v>21</v>
      </c>
      <c r="M335" t="str">
        <f t="shared" si="15"/>
        <v>OK</v>
      </c>
      <c r="N335" t="str">
        <f t="shared" si="16"/>
        <v>1960s</v>
      </c>
      <c r="O335" t="str">
        <f t="shared" si="17"/>
        <v>High</v>
      </c>
      <c r="P335" t="str">
        <f>VLOOKUP(E335,calculated_fields!$F$4:$G$6,2,FALSE)</f>
        <v>Health</v>
      </c>
    </row>
    <row r="336" spans="1:16">
      <c r="A336" t="s">
        <v>489</v>
      </c>
      <c r="B336" t="s">
        <v>475</v>
      </c>
      <c r="C336" t="s">
        <v>80</v>
      </c>
      <c r="D336">
        <v>1967</v>
      </c>
      <c r="E336" t="s">
        <v>23</v>
      </c>
      <c r="F336" t="s">
        <v>24</v>
      </c>
      <c r="G336" t="s">
        <v>25</v>
      </c>
      <c r="H336" t="s">
        <v>26</v>
      </c>
      <c r="I336">
        <v>9556500</v>
      </c>
      <c r="J336" t="s">
        <v>27</v>
      </c>
      <c r="K336" t="s">
        <v>488</v>
      </c>
      <c r="L336" t="s">
        <v>21</v>
      </c>
      <c r="M336" t="str">
        <f t="shared" si="15"/>
        <v>OK</v>
      </c>
      <c r="N336" t="str">
        <f t="shared" si="16"/>
        <v>1960s</v>
      </c>
      <c r="O336" t="str">
        <f t="shared" si="17"/>
        <v>N/A</v>
      </c>
      <c r="P336" t="str">
        <f>VLOOKUP(E336,calculated_fields!$F$4:$G$6,2,FALSE)</f>
        <v>Demographics</v>
      </c>
    </row>
    <row r="337" spans="1:16">
      <c r="A337" t="s">
        <v>490</v>
      </c>
      <c r="B337" t="s">
        <v>475</v>
      </c>
      <c r="C337" t="s">
        <v>80</v>
      </c>
      <c r="D337">
        <v>1967</v>
      </c>
      <c r="E337" t="s">
        <v>29</v>
      </c>
      <c r="F337" t="s">
        <v>30</v>
      </c>
      <c r="G337" t="s">
        <v>31</v>
      </c>
      <c r="H337" t="s">
        <v>32</v>
      </c>
      <c r="I337">
        <v>13149.04119</v>
      </c>
      <c r="J337" t="s">
        <v>33</v>
      </c>
      <c r="K337" t="s">
        <v>488</v>
      </c>
      <c r="L337" t="s">
        <v>21</v>
      </c>
      <c r="M337" t="str">
        <f t="shared" si="15"/>
        <v>OK</v>
      </c>
      <c r="N337" t="str">
        <f t="shared" si="16"/>
        <v>1960s</v>
      </c>
      <c r="O337" t="str">
        <f t="shared" si="17"/>
        <v>N/A</v>
      </c>
      <c r="P337" t="str">
        <f>VLOOKUP(E337,calculated_fields!$F$4:$G$6,2,FALSE)</f>
        <v>Economy</v>
      </c>
    </row>
    <row r="338" spans="1:16">
      <c r="A338" t="s">
        <v>491</v>
      </c>
      <c r="B338" t="s">
        <v>475</v>
      </c>
      <c r="C338" t="s">
        <v>80</v>
      </c>
      <c r="D338">
        <v>1972</v>
      </c>
      <c r="E338" t="s">
        <v>15</v>
      </c>
      <c r="F338" t="s">
        <v>16</v>
      </c>
      <c r="G338" t="s">
        <v>17</v>
      </c>
      <c r="H338" t="s">
        <v>18</v>
      </c>
      <c r="I338">
        <v>71.44</v>
      </c>
      <c r="J338" t="s">
        <v>19</v>
      </c>
      <c r="K338" t="s">
        <v>492</v>
      </c>
      <c r="L338" t="s">
        <v>21</v>
      </c>
      <c r="M338" t="str">
        <f t="shared" si="15"/>
        <v>OK</v>
      </c>
      <c r="N338" t="str">
        <f t="shared" si="16"/>
        <v>1970s</v>
      </c>
      <c r="O338" t="str">
        <f t="shared" si="17"/>
        <v>High</v>
      </c>
      <c r="P338" t="str">
        <f>VLOOKUP(E338,calculated_fields!$F$4:$G$6,2,FALSE)</f>
        <v>Health</v>
      </c>
    </row>
    <row r="339" spans="1:16">
      <c r="A339" t="s">
        <v>493</v>
      </c>
      <c r="B339" t="s">
        <v>475</v>
      </c>
      <c r="C339" t="s">
        <v>80</v>
      </c>
      <c r="D339">
        <v>1972</v>
      </c>
      <c r="E339" t="s">
        <v>23</v>
      </c>
      <c r="F339" t="s">
        <v>24</v>
      </c>
      <c r="G339" t="s">
        <v>25</v>
      </c>
      <c r="H339" t="s">
        <v>26</v>
      </c>
      <c r="I339">
        <v>9709100</v>
      </c>
      <c r="J339" t="s">
        <v>27</v>
      </c>
      <c r="K339" t="s">
        <v>492</v>
      </c>
      <c r="L339" t="s">
        <v>21</v>
      </c>
      <c r="M339" t="str">
        <f t="shared" si="15"/>
        <v>OK</v>
      </c>
      <c r="N339" t="str">
        <f t="shared" si="16"/>
        <v>1970s</v>
      </c>
      <c r="O339" t="str">
        <f t="shared" si="17"/>
        <v>N/A</v>
      </c>
      <c r="P339" t="str">
        <f>VLOOKUP(E339,calculated_fields!$F$4:$G$6,2,FALSE)</f>
        <v>Demographics</v>
      </c>
    </row>
    <row r="340" spans="1:16">
      <c r="A340" t="s">
        <v>494</v>
      </c>
      <c r="B340" t="s">
        <v>475</v>
      </c>
      <c r="C340" t="s">
        <v>80</v>
      </c>
      <c r="D340">
        <v>1972</v>
      </c>
      <c r="E340" t="s">
        <v>29</v>
      </c>
      <c r="F340" t="s">
        <v>30</v>
      </c>
      <c r="G340" t="s">
        <v>31</v>
      </c>
      <c r="H340" t="s">
        <v>32</v>
      </c>
      <c r="I340">
        <v>16672.14356</v>
      </c>
      <c r="J340" t="s">
        <v>33</v>
      </c>
      <c r="K340" t="s">
        <v>492</v>
      </c>
      <c r="L340" t="s">
        <v>21</v>
      </c>
      <c r="M340" t="str">
        <f t="shared" si="15"/>
        <v>OK</v>
      </c>
      <c r="N340" t="str">
        <f t="shared" si="16"/>
        <v>1970s</v>
      </c>
      <c r="O340" t="str">
        <f t="shared" si="17"/>
        <v>N/A</v>
      </c>
      <c r="P340" t="str">
        <f>VLOOKUP(E340,calculated_fields!$F$4:$G$6,2,FALSE)</f>
        <v>Economy</v>
      </c>
    </row>
    <row r="341" spans="1:16">
      <c r="A341" t="s">
        <v>495</v>
      </c>
      <c r="B341" t="s">
        <v>475</v>
      </c>
      <c r="C341" t="s">
        <v>80</v>
      </c>
      <c r="D341">
        <v>1977</v>
      </c>
      <c r="E341" t="s">
        <v>15</v>
      </c>
      <c r="F341" t="s">
        <v>16</v>
      </c>
      <c r="G341" t="s">
        <v>17</v>
      </c>
      <c r="H341" t="s">
        <v>18</v>
      </c>
      <c r="I341">
        <v>72.8</v>
      </c>
      <c r="J341" t="s">
        <v>19</v>
      </c>
      <c r="K341" t="s">
        <v>496</v>
      </c>
      <c r="L341" t="s">
        <v>21</v>
      </c>
      <c r="M341" t="str">
        <f t="shared" si="15"/>
        <v>OK</v>
      </c>
      <c r="N341" t="str">
        <f t="shared" si="16"/>
        <v>1970s</v>
      </c>
      <c r="O341" t="str">
        <f t="shared" si="17"/>
        <v>High</v>
      </c>
      <c r="P341" t="str">
        <f>VLOOKUP(E341,calculated_fields!$F$4:$G$6,2,FALSE)</f>
        <v>Health</v>
      </c>
    </row>
    <row r="342" spans="1:16">
      <c r="A342" t="s">
        <v>497</v>
      </c>
      <c r="B342" t="s">
        <v>475</v>
      </c>
      <c r="C342" t="s">
        <v>80</v>
      </c>
      <c r="D342">
        <v>1977</v>
      </c>
      <c r="E342" t="s">
        <v>23</v>
      </c>
      <c r="F342" t="s">
        <v>24</v>
      </c>
      <c r="G342" t="s">
        <v>25</v>
      </c>
      <c r="H342" t="s">
        <v>26</v>
      </c>
      <c r="I342">
        <v>9821800</v>
      </c>
      <c r="J342" t="s">
        <v>27</v>
      </c>
      <c r="K342" t="s">
        <v>496</v>
      </c>
      <c r="L342" t="s">
        <v>21</v>
      </c>
      <c r="M342" t="str">
        <f t="shared" si="15"/>
        <v>OK</v>
      </c>
      <c r="N342" t="str">
        <f t="shared" si="16"/>
        <v>1970s</v>
      </c>
      <c r="O342" t="str">
        <f t="shared" si="17"/>
        <v>N/A</v>
      </c>
      <c r="P342" t="str">
        <f>VLOOKUP(E342,calculated_fields!$F$4:$G$6,2,FALSE)</f>
        <v>Demographics</v>
      </c>
    </row>
    <row r="343" spans="1:16">
      <c r="A343" t="s">
        <v>498</v>
      </c>
      <c r="B343" t="s">
        <v>475</v>
      </c>
      <c r="C343" t="s">
        <v>80</v>
      </c>
      <c r="D343">
        <v>1977</v>
      </c>
      <c r="E343" t="s">
        <v>29</v>
      </c>
      <c r="F343" t="s">
        <v>30</v>
      </c>
      <c r="G343" t="s">
        <v>31</v>
      </c>
      <c r="H343" t="s">
        <v>32</v>
      </c>
      <c r="I343">
        <v>19117.974480000001</v>
      </c>
      <c r="J343" t="s">
        <v>33</v>
      </c>
      <c r="K343" t="s">
        <v>496</v>
      </c>
      <c r="L343" t="s">
        <v>21</v>
      </c>
      <c r="M343" t="str">
        <f t="shared" si="15"/>
        <v>OK</v>
      </c>
      <c r="N343" t="str">
        <f t="shared" si="16"/>
        <v>1970s</v>
      </c>
      <c r="O343" t="str">
        <f t="shared" si="17"/>
        <v>N/A</v>
      </c>
      <c r="P343" t="str">
        <f>VLOOKUP(E343,calculated_fields!$F$4:$G$6,2,FALSE)</f>
        <v>Economy</v>
      </c>
    </row>
    <row r="344" spans="1:16">
      <c r="A344" t="s">
        <v>499</v>
      </c>
      <c r="B344" t="s">
        <v>475</v>
      </c>
      <c r="C344" t="s">
        <v>80</v>
      </c>
      <c r="D344">
        <v>1982</v>
      </c>
      <c r="E344" t="s">
        <v>15</v>
      </c>
      <c r="F344" t="s">
        <v>16</v>
      </c>
      <c r="G344" t="s">
        <v>17</v>
      </c>
      <c r="H344" t="s">
        <v>18</v>
      </c>
      <c r="I344">
        <v>73.930000000000007</v>
      </c>
      <c r="J344" t="s">
        <v>19</v>
      </c>
      <c r="K344" t="s">
        <v>500</v>
      </c>
      <c r="L344" t="s">
        <v>21</v>
      </c>
      <c r="M344" t="str">
        <f t="shared" si="15"/>
        <v>OK</v>
      </c>
      <c r="N344" t="str">
        <f t="shared" si="16"/>
        <v>1980s</v>
      </c>
      <c r="O344" t="str">
        <f t="shared" si="17"/>
        <v>High</v>
      </c>
      <c r="P344" t="str">
        <f>VLOOKUP(E344,calculated_fields!$F$4:$G$6,2,FALSE)</f>
        <v>Health</v>
      </c>
    </row>
    <row r="345" spans="1:16">
      <c r="A345" t="s">
        <v>501</v>
      </c>
      <c r="B345" t="s">
        <v>475</v>
      </c>
      <c r="C345" t="s">
        <v>80</v>
      </c>
      <c r="D345">
        <v>1982</v>
      </c>
      <c r="E345" t="s">
        <v>23</v>
      </c>
      <c r="F345" t="s">
        <v>24</v>
      </c>
      <c r="G345" t="s">
        <v>25</v>
      </c>
      <c r="H345" t="s">
        <v>26</v>
      </c>
      <c r="I345">
        <v>9856303</v>
      </c>
      <c r="J345" t="s">
        <v>27</v>
      </c>
      <c r="K345" t="s">
        <v>500</v>
      </c>
      <c r="L345" t="s">
        <v>21</v>
      </c>
      <c r="M345" t="str">
        <f t="shared" si="15"/>
        <v>OK</v>
      </c>
      <c r="N345" t="str">
        <f t="shared" si="16"/>
        <v>1980s</v>
      </c>
      <c r="O345" t="str">
        <f t="shared" si="17"/>
        <v>N/A</v>
      </c>
      <c r="P345" t="str">
        <f>VLOOKUP(E345,calculated_fields!$F$4:$G$6,2,FALSE)</f>
        <v>Demographics</v>
      </c>
    </row>
    <row r="346" spans="1:16">
      <c r="A346" t="s">
        <v>502</v>
      </c>
      <c r="B346" t="s">
        <v>475</v>
      </c>
      <c r="C346" t="s">
        <v>80</v>
      </c>
      <c r="D346">
        <v>1982</v>
      </c>
      <c r="E346" t="s">
        <v>29</v>
      </c>
      <c r="F346" t="s">
        <v>30</v>
      </c>
      <c r="G346" t="s">
        <v>31</v>
      </c>
      <c r="H346" t="s">
        <v>32</v>
      </c>
      <c r="I346">
        <v>20979.845890000001</v>
      </c>
      <c r="J346" t="s">
        <v>33</v>
      </c>
      <c r="K346" t="s">
        <v>500</v>
      </c>
      <c r="L346" t="s">
        <v>21</v>
      </c>
      <c r="M346" t="str">
        <f t="shared" si="15"/>
        <v>OK</v>
      </c>
      <c r="N346" t="str">
        <f t="shared" si="16"/>
        <v>1980s</v>
      </c>
      <c r="O346" t="str">
        <f t="shared" si="17"/>
        <v>N/A</v>
      </c>
      <c r="P346" t="str">
        <f>VLOOKUP(E346,calculated_fields!$F$4:$G$6,2,FALSE)</f>
        <v>Economy</v>
      </c>
    </row>
    <row r="347" spans="1:16">
      <c r="A347" t="s">
        <v>503</v>
      </c>
      <c r="B347" t="s">
        <v>475</v>
      </c>
      <c r="C347" t="s">
        <v>80</v>
      </c>
      <c r="D347">
        <v>1987</v>
      </c>
      <c r="E347" t="s">
        <v>15</v>
      </c>
      <c r="F347" t="s">
        <v>16</v>
      </c>
      <c r="G347" t="s">
        <v>17</v>
      </c>
      <c r="H347" t="s">
        <v>18</v>
      </c>
      <c r="I347">
        <v>75.349999999999994</v>
      </c>
      <c r="J347" t="s">
        <v>19</v>
      </c>
      <c r="K347" t="s">
        <v>504</v>
      </c>
      <c r="L347" t="s">
        <v>21</v>
      </c>
      <c r="M347" t="str">
        <f t="shared" si="15"/>
        <v>OK</v>
      </c>
      <c r="N347" t="str">
        <f t="shared" si="16"/>
        <v>1980s</v>
      </c>
      <c r="O347" t="str">
        <f t="shared" si="17"/>
        <v>High</v>
      </c>
      <c r="P347" t="str">
        <f>VLOOKUP(E347,calculated_fields!$F$4:$G$6,2,FALSE)</f>
        <v>Health</v>
      </c>
    </row>
    <row r="348" spans="1:16">
      <c r="A348" t="s">
        <v>505</v>
      </c>
      <c r="B348" t="s">
        <v>475</v>
      </c>
      <c r="C348" t="s">
        <v>80</v>
      </c>
      <c r="D348">
        <v>1987</v>
      </c>
      <c r="E348" t="s">
        <v>23</v>
      </c>
      <c r="F348" t="s">
        <v>24</v>
      </c>
      <c r="G348" t="s">
        <v>25</v>
      </c>
      <c r="H348" t="s">
        <v>26</v>
      </c>
      <c r="I348">
        <v>9870200</v>
      </c>
      <c r="J348" t="s">
        <v>27</v>
      </c>
      <c r="K348" t="s">
        <v>504</v>
      </c>
      <c r="L348" t="s">
        <v>21</v>
      </c>
      <c r="M348" t="str">
        <f t="shared" si="15"/>
        <v>OK</v>
      </c>
      <c r="N348" t="str">
        <f t="shared" si="16"/>
        <v>1980s</v>
      </c>
      <c r="O348" t="str">
        <f t="shared" si="17"/>
        <v>N/A</v>
      </c>
      <c r="P348" t="str">
        <f>VLOOKUP(E348,calculated_fields!$F$4:$G$6,2,FALSE)</f>
        <v>Demographics</v>
      </c>
    </row>
    <row r="349" spans="1:16">
      <c r="A349" t="s">
        <v>506</v>
      </c>
      <c r="B349" t="s">
        <v>475</v>
      </c>
      <c r="C349" t="s">
        <v>80</v>
      </c>
      <c r="D349">
        <v>1987</v>
      </c>
      <c r="E349" t="s">
        <v>29</v>
      </c>
      <c r="F349" t="s">
        <v>30</v>
      </c>
      <c r="G349" t="s">
        <v>31</v>
      </c>
      <c r="H349" t="s">
        <v>32</v>
      </c>
      <c r="I349">
        <v>22525.56308</v>
      </c>
      <c r="J349" t="s">
        <v>33</v>
      </c>
      <c r="K349" t="s">
        <v>504</v>
      </c>
      <c r="L349" t="s">
        <v>21</v>
      </c>
      <c r="M349" t="str">
        <f t="shared" si="15"/>
        <v>OK</v>
      </c>
      <c r="N349" t="str">
        <f t="shared" si="16"/>
        <v>1980s</v>
      </c>
      <c r="O349" t="str">
        <f t="shared" si="17"/>
        <v>N/A</v>
      </c>
      <c r="P349" t="str">
        <f>VLOOKUP(E349,calculated_fields!$F$4:$G$6,2,FALSE)</f>
        <v>Economy</v>
      </c>
    </row>
    <row r="350" spans="1:16">
      <c r="A350" t="s">
        <v>507</v>
      </c>
      <c r="B350" t="s">
        <v>475</v>
      </c>
      <c r="C350" t="s">
        <v>80</v>
      </c>
      <c r="D350">
        <v>1992</v>
      </c>
      <c r="E350" t="s">
        <v>15</v>
      </c>
      <c r="F350" t="s">
        <v>16</v>
      </c>
      <c r="G350" t="s">
        <v>17</v>
      </c>
      <c r="H350" t="s">
        <v>18</v>
      </c>
      <c r="I350">
        <v>76.459999999999994</v>
      </c>
      <c r="J350" t="s">
        <v>19</v>
      </c>
      <c r="K350" t="s">
        <v>508</v>
      </c>
      <c r="L350" t="s">
        <v>21</v>
      </c>
      <c r="M350" t="str">
        <f t="shared" si="15"/>
        <v>OK</v>
      </c>
      <c r="N350" t="str">
        <f t="shared" si="16"/>
        <v>1990s</v>
      </c>
      <c r="O350" t="str">
        <f t="shared" si="17"/>
        <v>High</v>
      </c>
      <c r="P350" t="str">
        <f>VLOOKUP(E350,calculated_fields!$F$4:$G$6,2,FALSE)</f>
        <v>Health</v>
      </c>
    </row>
    <row r="351" spans="1:16">
      <c r="A351" t="s">
        <v>509</v>
      </c>
      <c r="B351" t="s">
        <v>475</v>
      </c>
      <c r="C351" t="s">
        <v>80</v>
      </c>
      <c r="D351">
        <v>1992</v>
      </c>
      <c r="E351" t="s">
        <v>23</v>
      </c>
      <c r="F351" t="s">
        <v>24</v>
      </c>
      <c r="G351" t="s">
        <v>25</v>
      </c>
      <c r="H351" t="s">
        <v>26</v>
      </c>
      <c r="I351">
        <v>10045622</v>
      </c>
      <c r="J351" t="s">
        <v>27</v>
      </c>
      <c r="K351" t="s">
        <v>508</v>
      </c>
      <c r="L351" t="s">
        <v>21</v>
      </c>
      <c r="M351" t="str">
        <f t="shared" si="15"/>
        <v>OK</v>
      </c>
      <c r="N351" t="str">
        <f t="shared" si="16"/>
        <v>1990s</v>
      </c>
      <c r="O351" t="str">
        <f t="shared" si="17"/>
        <v>N/A</v>
      </c>
      <c r="P351" t="str">
        <f>VLOOKUP(E351,calculated_fields!$F$4:$G$6,2,FALSE)</f>
        <v>Demographics</v>
      </c>
    </row>
    <row r="352" spans="1:16">
      <c r="A352" t="s">
        <v>510</v>
      </c>
      <c r="B352" t="s">
        <v>475</v>
      </c>
      <c r="C352" t="s">
        <v>80</v>
      </c>
      <c r="D352">
        <v>1992</v>
      </c>
      <c r="E352" t="s">
        <v>29</v>
      </c>
      <c r="F352" t="s">
        <v>30</v>
      </c>
      <c r="G352" t="s">
        <v>31</v>
      </c>
      <c r="H352" t="s">
        <v>32</v>
      </c>
      <c r="I352">
        <v>25575.57069</v>
      </c>
      <c r="J352" t="s">
        <v>33</v>
      </c>
      <c r="K352" t="s">
        <v>508</v>
      </c>
      <c r="L352" t="s">
        <v>21</v>
      </c>
      <c r="M352" t="str">
        <f t="shared" si="15"/>
        <v>OK</v>
      </c>
      <c r="N352" t="str">
        <f t="shared" si="16"/>
        <v>1990s</v>
      </c>
      <c r="O352" t="str">
        <f t="shared" si="17"/>
        <v>N/A</v>
      </c>
      <c r="P352" t="str">
        <f>VLOOKUP(E352,calculated_fields!$F$4:$G$6,2,FALSE)</f>
        <v>Economy</v>
      </c>
    </row>
    <row r="353" spans="1:16">
      <c r="A353" t="s">
        <v>511</v>
      </c>
      <c r="B353" t="s">
        <v>475</v>
      </c>
      <c r="C353" t="s">
        <v>80</v>
      </c>
      <c r="D353">
        <v>1997</v>
      </c>
      <c r="E353" t="s">
        <v>15</v>
      </c>
      <c r="F353" t="s">
        <v>16</v>
      </c>
      <c r="G353" t="s">
        <v>17</v>
      </c>
      <c r="H353" t="s">
        <v>18</v>
      </c>
      <c r="I353">
        <v>77.53</v>
      </c>
      <c r="J353" t="s">
        <v>19</v>
      </c>
      <c r="K353" t="s">
        <v>512</v>
      </c>
      <c r="L353" t="s">
        <v>21</v>
      </c>
      <c r="M353" t="str">
        <f t="shared" si="15"/>
        <v>OK</v>
      </c>
      <c r="N353" t="str">
        <f t="shared" si="16"/>
        <v>1990s</v>
      </c>
      <c r="O353" t="str">
        <f t="shared" si="17"/>
        <v>High</v>
      </c>
      <c r="P353" t="str">
        <f>VLOOKUP(E353,calculated_fields!$F$4:$G$6,2,FALSE)</f>
        <v>Health</v>
      </c>
    </row>
    <row r="354" spans="1:16">
      <c r="A354" t="s">
        <v>513</v>
      </c>
      <c r="B354" t="s">
        <v>475</v>
      </c>
      <c r="C354" t="s">
        <v>80</v>
      </c>
      <c r="D354">
        <v>1997</v>
      </c>
      <c r="E354" t="s">
        <v>23</v>
      </c>
      <c r="F354" t="s">
        <v>24</v>
      </c>
      <c r="G354" t="s">
        <v>25</v>
      </c>
      <c r="H354" t="s">
        <v>26</v>
      </c>
      <c r="I354">
        <v>10199787</v>
      </c>
      <c r="J354" t="s">
        <v>27</v>
      </c>
      <c r="K354" t="s">
        <v>512</v>
      </c>
      <c r="L354" t="s">
        <v>21</v>
      </c>
      <c r="M354" t="str">
        <f t="shared" si="15"/>
        <v>OK</v>
      </c>
      <c r="N354" t="str">
        <f t="shared" si="16"/>
        <v>1990s</v>
      </c>
      <c r="O354" t="str">
        <f t="shared" si="17"/>
        <v>N/A</v>
      </c>
      <c r="P354" t="str">
        <f>VLOOKUP(E354,calculated_fields!$F$4:$G$6,2,FALSE)</f>
        <v>Demographics</v>
      </c>
    </row>
    <row r="355" spans="1:16">
      <c r="A355" t="s">
        <v>514</v>
      </c>
      <c r="B355" t="s">
        <v>475</v>
      </c>
      <c r="C355" t="s">
        <v>80</v>
      </c>
      <c r="D355">
        <v>1997</v>
      </c>
      <c r="E355" t="s">
        <v>29</v>
      </c>
      <c r="F355" t="s">
        <v>30</v>
      </c>
      <c r="G355" t="s">
        <v>31</v>
      </c>
      <c r="H355" t="s">
        <v>32</v>
      </c>
      <c r="I355">
        <v>27561.196629999999</v>
      </c>
      <c r="J355" t="s">
        <v>33</v>
      </c>
      <c r="K355" t="s">
        <v>512</v>
      </c>
      <c r="L355" t="s">
        <v>21</v>
      </c>
      <c r="M355" t="str">
        <f t="shared" si="15"/>
        <v>OK</v>
      </c>
      <c r="N355" t="str">
        <f t="shared" si="16"/>
        <v>1990s</v>
      </c>
      <c r="O355" t="str">
        <f t="shared" si="17"/>
        <v>N/A</v>
      </c>
      <c r="P355" t="str">
        <f>VLOOKUP(E355,calculated_fields!$F$4:$G$6,2,FALSE)</f>
        <v>Economy</v>
      </c>
    </row>
    <row r="356" spans="1:16">
      <c r="A356" t="s">
        <v>515</v>
      </c>
      <c r="B356" t="s">
        <v>475</v>
      </c>
      <c r="C356" t="s">
        <v>80</v>
      </c>
      <c r="D356">
        <v>2002</v>
      </c>
      <c r="E356" t="s">
        <v>15</v>
      </c>
      <c r="F356" t="s">
        <v>16</v>
      </c>
      <c r="G356" t="s">
        <v>17</v>
      </c>
      <c r="H356" t="s">
        <v>18</v>
      </c>
      <c r="I356">
        <v>78.319999999999993</v>
      </c>
      <c r="J356" t="s">
        <v>19</v>
      </c>
      <c r="K356" t="s">
        <v>516</v>
      </c>
      <c r="L356" t="s">
        <v>21</v>
      </c>
      <c r="M356" t="str">
        <f t="shared" si="15"/>
        <v>OK</v>
      </c>
      <c r="N356" t="str">
        <f t="shared" si="16"/>
        <v>2000s</v>
      </c>
      <c r="O356" t="str">
        <f t="shared" si="17"/>
        <v>High</v>
      </c>
      <c r="P356" t="str">
        <f>VLOOKUP(E356,calculated_fields!$F$4:$G$6,2,FALSE)</f>
        <v>Health</v>
      </c>
    </row>
    <row r="357" spans="1:16">
      <c r="A357" t="s">
        <v>517</v>
      </c>
      <c r="B357" t="s">
        <v>475</v>
      </c>
      <c r="C357" t="s">
        <v>80</v>
      </c>
      <c r="D357">
        <v>2002</v>
      </c>
      <c r="E357" t="s">
        <v>23</v>
      </c>
      <c r="F357" t="s">
        <v>24</v>
      </c>
      <c r="G357" t="s">
        <v>25</v>
      </c>
      <c r="H357" t="s">
        <v>26</v>
      </c>
      <c r="I357">
        <v>10311970</v>
      </c>
      <c r="J357" t="s">
        <v>27</v>
      </c>
      <c r="K357" t="s">
        <v>516</v>
      </c>
      <c r="L357" t="s">
        <v>21</v>
      </c>
      <c r="M357" t="str">
        <f t="shared" si="15"/>
        <v>OK</v>
      </c>
      <c r="N357" t="str">
        <f t="shared" si="16"/>
        <v>2000s</v>
      </c>
      <c r="O357" t="str">
        <f t="shared" si="17"/>
        <v>N/A</v>
      </c>
      <c r="P357" t="str">
        <f>VLOOKUP(E357,calculated_fields!$F$4:$G$6,2,FALSE)</f>
        <v>Demographics</v>
      </c>
    </row>
    <row r="358" spans="1:16">
      <c r="A358" t="s">
        <v>518</v>
      </c>
      <c r="B358" t="s">
        <v>475</v>
      </c>
      <c r="C358" t="s">
        <v>80</v>
      </c>
      <c r="D358">
        <v>2002</v>
      </c>
      <c r="E358" t="s">
        <v>29</v>
      </c>
      <c r="F358" t="s">
        <v>30</v>
      </c>
      <c r="G358" t="s">
        <v>31</v>
      </c>
      <c r="H358" t="s">
        <v>32</v>
      </c>
      <c r="I358">
        <v>30485.883750000001</v>
      </c>
      <c r="J358" t="s">
        <v>33</v>
      </c>
      <c r="K358" t="s">
        <v>516</v>
      </c>
      <c r="L358" t="s">
        <v>21</v>
      </c>
      <c r="M358" t="str">
        <f t="shared" si="15"/>
        <v>OK</v>
      </c>
      <c r="N358" t="str">
        <f t="shared" si="16"/>
        <v>2000s</v>
      </c>
      <c r="O358" t="str">
        <f t="shared" si="17"/>
        <v>N/A</v>
      </c>
      <c r="P358" t="str">
        <f>VLOOKUP(E358,calculated_fields!$F$4:$G$6,2,FALSE)</f>
        <v>Economy</v>
      </c>
    </row>
    <row r="359" spans="1:16">
      <c r="A359" t="s">
        <v>519</v>
      </c>
      <c r="B359" t="s">
        <v>475</v>
      </c>
      <c r="C359" t="s">
        <v>80</v>
      </c>
      <c r="D359">
        <v>2007</v>
      </c>
      <c r="E359" t="s">
        <v>15</v>
      </c>
      <c r="F359" t="s">
        <v>16</v>
      </c>
      <c r="G359" t="s">
        <v>17</v>
      </c>
      <c r="H359" t="s">
        <v>18</v>
      </c>
      <c r="I359">
        <v>79.441000000000003</v>
      </c>
      <c r="J359" t="s">
        <v>19</v>
      </c>
      <c r="K359" t="s">
        <v>520</v>
      </c>
      <c r="L359" t="s">
        <v>21</v>
      </c>
      <c r="M359" t="str">
        <f t="shared" si="15"/>
        <v>OK</v>
      </c>
      <c r="N359" t="str">
        <f t="shared" si="16"/>
        <v>2000s</v>
      </c>
      <c r="O359" t="str">
        <f t="shared" si="17"/>
        <v>High</v>
      </c>
      <c r="P359" t="str">
        <f>VLOOKUP(E359,calculated_fields!$F$4:$G$6,2,FALSE)</f>
        <v>Health</v>
      </c>
    </row>
    <row r="360" spans="1:16">
      <c r="A360" t="s">
        <v>521</v>
      </c>
      <c r="B360" t="s">
        <v>475</v>
      </c>
      <c r="C360" t="s">
        <v>80</v>
      </c>
      <c r="D360">
        <v>2007</v>
      </c>
      <c r="E360" t="s">
        <v>23</v>
      </c>
      <c r="F360" t="s">
        <v>24</v>
      </c>
      <c r="G360" t="s">
        <v>25</v>
      </c>
      <c r="H360" t="s">
        <v>26</v>
      </c>
      <c r="I360">
        <v>10392226</v>
      </c>
      <c r="J360" t="s">
        <v>27</v>
      </c>
      <c r="K360" t="s">
        <v>520</v>
      </c>
      <c r="L360" t="s">
        <v>21</v>
      </c>
      <c r="M360" t="str">
        <f t="shared" si="15"/>
        <v>OK</v>
      </c>
      <c r="N360" t="str">
        <f t="shared" si="16"/>
        <v>2000s</v>
      </c>
      <c r="O360" t="str">
        <f t="shared" si="17"/>
        <v>N/A</v>
      </c>
      <c r="P360" t="str">
        <f>VLOOKUP(E360,calculated_fields!$F$4:$G$6,2,FALSE)</f>
        <v>Demographics</v>
      </c>
    </row>
    <row r="361" spans="1:16">
      <c r="A361" t="s">
        <v>522</v>
      </c>
      <c r="B361" t="s">
        <v>475</v>
      </c>
      <c r="C361" t="s">
        <v>80</v>
      </c>
      <c r="D361">
        <v>2007</v>
      </c>
      <c r="E361" t="s">
        <v>29</v>
      </c>
      <c r="F361" t="s">
        <v>30</v>
      </c>
      <c r="G361" t="s">
        <v>31</v>
      </c>
      <c r="H361" t="s">
        <v>32</v>
      </c>
      <c r="I361">
        <v>33692.605080000001</v>
      </c>
      <c r="J361" t="s">
        <v>33</v>
      </c>
      <c r="K361" t="s">
        <v>520</v>
      </c>
      <c r="L361" t="s">
        <v>21</v>
      </c>
      <c r="M361" t="str">
        <f t="shared" si="15"/>
        <v>OK</v>
      </c>
      <c r="N361" t="str">
        <f t="shared" si="16"/>
        <v>2000s</v>
      </c>
      <c r="O361" t="str">
        <f t="shared" si="17"/>
        <v>N/A</v>
      </c>
      <c r="P361" t="str">
        <f>VLOOKUP(E361,calculated_fields!$F$4:$G$6,2,FALSE)</f>
        <v>Economy</v>
      </c>
    </row>
    <row r="362" spans="1:16">
      <c r="A362" t="s">
        <v>523</v>
      </c>
      <c r="B362" t="s">
        <v>524</v>
      </c>
      <c r="C362" t="s">
        <v>130</v>
      </c>
      <c r="D362">
        <v>1952</v>
      </c>
      <c r="E362" t="s">
        <v>15</v>
      </c>
      <c r="F362" t="s">
        <v>16</v>
      </c>
      <c r="G362" t="s">
        <v>17</v>
      </c>
      <c r="H362" t="s">
        <v>18</v>
      </c>
      <c r="I362">
        <v>38.222999999999999</v>
      </c>
      <c r="J362" t="s">
        <v>19</v>
      </c>
      <c r="K362" t="s">
        <v>525</v>
      </c>
      <c r="L362" t="s">
        <v>21</v>
      </c>
      <c r="M362" t="str">
        <f t="shared" si="15"/>
        <v>OK</v>
      </c>
      <c r="N362" t="str">
        <f t="shared" si="16"/>
        <v>1950s</v>
      </c>
      <c r="O362" t="str">
        <f t="shared" si="17"/>
        <v>Low</v>
      </c>
      <c r="P362" t="str">
        <f>VLOOKUP(E362,calculated_fields!$F$4:$G$6,2,FALSE)</f>
        <v>Health</v>
      </c>
    </row>
    <row r="363" spans="1:16">
      <c r="A363" t="s">
        <v>526</v>
      </c>
      <c r="B363" t="s">
        <v>524</v>
      </c>
      <c r="C363" t="s">
        <v>130</v>
      </c>
      <c r="D363">
        <v>1952</v>
      </c>
      <c r="E363" t="s">
        <v>23</v>
      </c>
      <c r="F363" t="s">
        <v>24</v>
      </c>
      <c r="G363" t="s">
        <v>25</v>
      </c>
      <c r="H363" t="s">
        <v>26</v>
      </c>
      <c r="I363">
        <v>1738315</v>
      </c>
      <c r="J363" t="s">
        <v>27</v>
      </c>
      <c r="K363" t="s">
        <v>525</v>
      </c>
      <c r="L363" t="s">
        <v>21</v>
      </c>
      <c r="M363" t="str">
        <f t="shared" si="15"/>
        <v>OK</v>
      </c>
      <c r="N363" t="str">
        <f t="shared" si="16"/>
        <v>1950s</v>
      </c>
      <c r="O363" t="str">
        <f t="shared" si="17"/>
        <v>N/A</v>
      </c>
      <c r="P363" t="str">
        <f>VLOOKUP(E363,calculated_fields!$F$4:$G$6,2,FALSE)</f>
        <v>Demographics</v>
      </c>
    </row>
    <row r="364" spans="1:16">
      <c r="A364" t="s">
        <v>527</v>
      </c>
      <c r="B364" t="s">
        <v>524</v>
      </c>
      <c r="C364" t="s">
        <v>130</v>
      </c>
      <c r="D364">
        <v>1952</v>
      </c>
      <c r="E364" t="s">
        <v>29</v>
      </c>
      <c r="F364" t="s">
        <v>30</v>
      </c>
      <c r="G364" t="s">
        <v>31</v>
      </c>
      <c r="H364" t="s">
        <v>32</v>
      </c>
      <c r="I364">
        <v>1062.7521999999999</v>
      </c>
      <c r="J364" t="s">
        <v>33</v>
      </c>
      <c r="K364" t="s">
        <v>525</v>
      </c>
      <c r="L364" t="s">
        <v>21</v>
      </c>
      <c r="M364" t="str">
        <f t="shared" si="15"/>
        <v>OK</v>
      </c>
      <c r="N364" t="str">
        <f t="shared" si="16"/>
        <v>1950s</v>
      </c>
      <c r="O364" t="str">
        <f t="shared" si="17"/>
        <v>N/A</v>
      </c>
      <c r="P364" t="str">
        <f>VLOOKUP(E364,calculated_fields!$F$4:$G$6,2,FALSE)</f>
        <v>Economy</v>
      </c>
    </row>
    <row r="365" spans="1:16">
      <c r="A365" t="s">
        <v>528</v>
      </c>
      <c r="B365" t="s">
        <v>524</v>
      </c>
      <c r="C365" t="s">
        <v>130</v>
      </c>
      <c r="D365">
        <v>1957</v>
      </c>
      <c r="E365" t="s">
        <v>15</v>
      </c>
      <c r="F365" t="s">
        <v>16</v>
      </c>
      <c r="G365" t="s">
        <v>17</v>
      </c>
      <c r="H365" t="s">
        <v>18</v>
      </c>
      <c r="I365">
        <v>40.357999999999997</v>
      </c>
      <c r="J365" t="s">
        <v>19</v>
      </c>
      <c r="K365" t="s">
        <v>529</v>
      </c>
      <c r="L365" t="s">
        <v>21</v>
      </c>
      <c r="M365" t="str">
        <f t="shared" si="15"/>
        <v>OK</v>
      </c>
      <c r="N365" t="str">
        <f t="shared" si="16"/>
        <v>1950s</v>
      </c>
      <c r="O365" t="str">
        <f t="shared" si="17"/>
        <v>Low</v>
      </c>
      <c r="P365" t="str">
        <f>VLOOKUP(E365,calculated_fields!$F$4:$G$6,2,FALSE)</f>
        <v>Health</v>
      </c>
    </row>
    <row r="366" spans="1:16">
      <c r="A366" t="s">
        <v>530</v>
      </c>
      <c r="B366" t="s">
        <v>524</v>
      </c>
      <c r="C366" t="s">
        <v>130</v>
      </c>
      <c r="D366">
        <v>1957</v>
      </c>
      <c r="E366" t="s">
        <v>23</v>
      </c>
      <c r="F366" t="s">
        <v>24</v>
      </c>
      <c r="G366" t="s">
        <v>25</v>
      </c>
      <c r="H366" t="s">
        <v>26</v>
      </c>
      <c r="I366">
        <v>1925173</v>
      </c>
      <c r="J366" t="s">
        <v>27</v>
      </c>
      <c r="K366" t="s">
        <v>529</v>
      </c>
      <c r="L366" t="s">
        <v>21</v>
      </c>
      <c r="M366" t="str">
        <f t="shared" si="15"/>
        <v>OK</v>
      </c>
      <c r="N366" t="str">
        <f t="shared" si="16"/>
        <v>1950s</v>
      </c>
      <c r="O366" t="str">
        <f t="shared" si="17"/>
        <v>N/A</v>
      </c>
      <c r="P366" t="str">
        <f>VLOOKUP(E366,calculated_fields!$F$4:$G$6,2,FALSE)</f>
        <v>Demographics</v>
      </c>
    </row>
    <row r="367" spans="1:16">
      <c r="A367" t="s">
        <v>531</v>
      </c>
      <c r="B367" t="s">
        <v>524</v>
      </c>
      <c r="C367" t="s">
        <v>130</v>
      </c>
      <c r="D367">
        <v>1957</v>
      </c>
      <c r="E367" t="s">
        <v>29</v>
      </c>
      <c r="F367" t="s">
        <v>30</v>
      </c>
      <c r="G367" t="s">
        <v>31</v>
      </c>
      <c r="H367" t="s">
        <v>32</v>
      </c>
      <c r="I367">
        <v>959.60108049999997</v>
      </c>
      <c r="J367" t="s">
        <v>33</v>
      </c>
      <c r="K367" t="s">
        <v>529</v>
      </c>
      <c r="L367" t="s">
        <v>21</v>
      </c>
      <c r="M367" t="str">
        <f t="shared" si="15"/>
        <v>OK</v>
      </c>
      <c r="N367" t="str">
        <f t="shared" si="16"/>
        <v>1950s</v>
      </c>
      <c r="O367" t="str">
        <f t="shared" si="17"/>
        <v>N/A</v>
      </c>
      <c r="P367" t="str">
        <f>VLOOKUP(E367,calculated_fields!$F$4:$G$6,2,FALSE)</f>
        <v>Economy</v>
      </c>
    </row>
    <row r="368" spans="1:16">
      <c r="A368" t="s">
        <v>532</v>
      </c>
      <c r="B368" t="s">
        <v>524</v>
      </c>
      <c r="C368" t="s">
        <v>130</v>
      </c>
      <c r="D368">
        <v>1962</v>
      </c>
      <c r="E368" t="s">
        <v>15</v>
      </c>
      <c r="F368" t="s">
        <v>16</v>
      </c>
      <c r="G368" t="s">
        <v>17</v>
      </c>
      <c r="H368" t="s">
        <v>18</v>
      </c>
      <c r="I368">
        <v>42.618000000000002</v>
      </c>
      <c r="J368" t="s">
        <v>19</v>
      </c>
      <c r="K368" t="s">
        <v>533</v>
      </c>
      <c r="L368" t="s">
        <v>21</v>
      </c>
      <c r="M368" t="str">
        <f t="shared" si="15"/>
        <v>OK</v>
      </c>
      <c r="N368" t="str">
        <f t="shared" si="16"/>
        <v>1960s</v>
      </c>
      <c r="O368" t="str">
        <f t="shared" si="17"/>
        <v>Low</v>
      </c>
      <c r="P368" t="str">
        <f>VLOOKUP(E368,calculated_fields!$F$4:$G$6,2,FALSE)</f>
        <v>Health</v>
      </c>
    </row>
    <row r="369" spans="1:16">
      <c r="A369" t="s">
        <v>534</v>
      </c>
      <c r="B369" t="s">
        <v>524</v>
      </c>
      <c r="C369" t="s">
        <v>130</v>
      </c>
      <c r="D369">
        <v>1962</v>
      </c>
      <c r="E369" t="s">
        <v>23</v>
      </c>
      <c r="F369" t="s">
        <v>24</v>
      </c>
      <c r="G369" t="s">
        <v>25</v>
      </c>
      <c r="H369" t="s">
        <v>26</v>
      </c>
      <c r="I369">
        <v>2151895</v>
      </c>
      <c r="J369" t="s">
        <v>27</v>
      </c>
      <c r="K369" t="s">
        <v>533</v>
      </c>
      <c r="L369" t="s">
        <v>21</v>
      </c>
      <c r="M369" t="str">
        <f t="shared" si="15"/>
        <v>OK</v>
      </c>
      <c r="N369" t="str">
        <f t="shared" si="16"/>
        <v>1960s</v>
      </c>
      <c r="O369" t="str">
        <f t="shared" si="17"/>
        <v>N/A</v>
      </c>
      <c r="P369" t="str">
        <f>VLOOKUP(E369,calculated_fields!$F$4:$G$6,2,FALSE)</f>
        <v>Demographics</v>
      </c>
    </row>
    <row r="370" spans="1:16">
      <c r="A370" t="s">
        <v>535</v>
      </c>
      <c r="B370" t="s">
        <v>524</v>
      </c>
      <c r="C370" t="s">
        <v>130</v>
      </c>
      <c r="D370">
        <v>1962</v>
      </c>
      <c r="E370" t="s">
        <v>29</v>
      </c>
      <c r="F370" t="s">
        <v>30</v>
      </c>
      <c r="G370" t="s">
        <v>31</v>
      </c>
      <c r="H370" t="s">
        <v>32</v>
      </c>
      <c r="I370">
        <v>949.49906410000006</v>
      </c>
      <c r="J370" t="s">
        <v>33</v>
      </c>
      <c r="K370" t="s">
        <v>533</v>
      </c>
      <c r="L370" t="s">
        <v>21</v>
      </c>
      <c r="M370" t="str">
        <f t="shared" si="15"/>
        <v>OK</v>
      </c>
      <c r="N370" t="str">
        <f t="shared" si="16"/>
        <v>1960s</v>
      </c>
      <c r="O370" t="str">
        <f t="shared" si="17"/>
        <v>N/A</v>
      </c>
      <c r="P370" t="str">
        <f>VLOOKUP(E370,calculated_fields!$F$4:$G$6,2,FALSE)</f>
        <v>Economy</v>
      </c>
    </row>
    <row r="371" spans="1:16">
      <c r="A371" t="s">
        <v>536</v>
      </c>
      <c r="B371" t="s">
        <v>524</v>
      </c>
      <c r="C371" t="s">
        <v>130</v>
      </c>
      <c r="D371">
        <v>1967</v>
      </c>
      <c r="E371" t="s">
        <v>15</v>
      </c>
      <c r="F371" t="s">
        <v>16</v>
      </c>
      <c r="G371" t="s">
        <v>17</v>
      </c>
      <c r="H371" t="s">
        <v>18</v>
      </c>
      <c r="I371">
        <v>44.884999999999998</v>
      </c>
      <c r="J371" t="s">
        <v>19</v>
      </c>
      <c r="K371" t="s">
        <v>537</v>
      </c>
      <c r="L371" t="s">
        <v>21</v>
      </c>
      <c r="M371" t="str">
        <f t="shared" si="15"/>
        <v>OK</v>
      </c>
      <c r="N371" t="str">
        <f t="shared" si="16"/>
        <v>1960s</v>
      </c>
      <c r="O371" t="str">
        <f t="shared" si="17"/>
        <v>Low</v>
      </c>
      <c r="P371" t="str">
        <f>VLOOKUP(E371,calculated_fields!$F$4:$G$6,2,FALSE)</f>
        <v>Health</v>
      </c>
    </row>
    <row r="372" spans="1:16">
      <c r="A372" t="s">
        <v>538</v>
      </c>
      <c r="B372" t="s">
        <v>524</v>
      </c>
      <c r="C372" t="s">
        <v>130</v>
      </c>
      <c r="D372">
        <v>1967</v>
      </c>
      <c r="E372" t="s">
        <v>23</v>
      </c>
      <c r="F372" t="s">
        <v>24</v>
      </c>
      <c r="G372" t="s">
        <v>25</v>
      </c>
      <c r="H372" t="s">
        <v>26</v>
      </c>
      <c r="I372">
        <v>2427334</v>
      </c>
      <c r="J372" t="s">
        <v>27</v>
      </c>
      <c r="K372" t="s">
        <v>537</v>
      </c>
      <c r="L372" t="s">
        <v>21</v>
      </c>
      <c r="M372" t="str">
        <f t="shared" si="15"/>
        <v>OK</v>
      </c>
      <c r="N372" t="str">
        <f t="shared" si="16"/>
        <v>1960s</v>
      </c>
      <c r="O372" t="str">
        <f t="shared" si="17"/>
        <v>N/A</v>
      </c>
      <c r="P372" t="str">
        <f>VLOOKUP(E372,calculated_fields!$F$4:$G$6,2,FALSE)</f>
        <v>Demographics</v>
      </c>
    </row>
    <row r="373" spans="1:16">
      <c r="A373" t="s">
        <v>539</v>
      </c>
      <c r="B373" t="s">
        <v>524</v>
      </c>
      <c r="C373" t="s">
        <v>130</v>
      </c>
      <c r="D373">
        <v>1967</v>
      </c>
      <c r="E373" t="s">
        <v>29</v>
      </c>
      <c r="F373" t="s">
        <v>30</v>
      </c>
      <c r="G373" t="s">
        <v>31</v>
      </c>
      <c r="H373" t="s">
        <v>32</v>
      </c>
      <c r="I373">
        <v>1035.8314109999999</v>
      </c>
      <c r="J373" t="s">
        <v>33</v>
      </c>
      <c r="K373" t="s">
        <v>537</v>
      </c>
      <c r="L373" t="s">
        <v>21</v>
      </c>
      <c r="M373" t="str">
        <f t="shared" si="15"/>
        <v>OK</v>
      </c>
      <c r="N373" t="str">
        <f t="shared" si="16"/>
        <v>1960s</v>
      </c>
      <c r="O373" t="str">
        <f t="shared" si="17"/>
        <v>N/A</v>
      </c>
      <c r="P373" t="str">
        <f>VLOOKUP(E373,calculated_fields!$F$4:$G$6,2,FALSE)</f>
        <v>Economy</v>
      </c>
    </row>
    <row r="374" spans="1:16">
      <c r="A374" t="s">
        <v>540</v>
      </c>
      <c r="B374" t="s">
        <v>524</v>
      </c>
      <c r="C374" t="s">
        <v>130</v>
      </c>
      <c r="D374">
        <v>1972</v>
      </c>
      <c r="E374" t="s">
        <v>15</v>
      </c>
      <c r="F374" t="s">
        <v>16</v>
      </c>
      <c r="G374" t="s">
        <v>17</v>
      </c>
      <c r="H374" t="s">
        <v>18</v>
      </c>
      <c r="I374">
        <v>47.014000000000003</v>
      </c>
      <c r="J374" t="s">
        <v>19</v>
      </c>
      <c r="K374" t="s">
        <v>541</v>
      </c>
      <c r="L374" t="s">
        <v>21</v>
      </c>
      <c r="M374" t="str">
        <f t="shared" si="15"/>
        <v>OK</v>
      </c>
      <c r="N374" t="str">
        <f t="shared" si="16"/>
        <v>1970s</v>
      </c>
      <c r="O374" t="str">
        <f t="shared" si="17"/>
        <v>Low</v>
      </c>
      <c r="P374" t="str">
        <f>VLOOKUP(E374,calculated_fields!$F$4:$G$6,2,FALSE)</f>
        <v>Health</v>
      </c>
    </row>
    <row r="375" spans="1:16">
      <c r="A375" t="s">
        <v>542</v>
      </c>
      <c r="B375" t="s">
        <v>524</v>
      </c>
      <c r="C375" t="s">
        <v>130</v>
      </c>
      <c r="D375">
        <v>1972</v>
      </c>
      <c r="E375" t="s">
        <v>23</v>
      </c>
      <c r="F375" t="s">
        <v>24</v>
      </c>
      <c r="G375" t="s">
        <v>25</v>
      </c>
      <c r="H375" t="s">
        <v>26</v>
      </c>
      <c r="I375">
        <v>2761407</v>
      </c>
      <c r="J375" t="s">
        <v>27</v>
      </c>
      <c r="K375" t="s">
        <v>541</v>
      </c>
      <c r="L375" t="s">
        <v>21</v>
      </c>
      <c r="M375" t="str">
        <f t="shared" si="15"/>
        <v>OK</v>
      </c>
      <c r="N375" t="str">
        <f t="shared" si="16"/>
        <v>1970s</v>
      </c>
      <c r="O375" t="str">
        <f t="shared" si="17"/>
        <v>N/A</v>
      </c>
      <c r="P375" t="str">
        <f>VLOOKUP(E375,calculated_fields!$F$4:$G$6,2,FALSE)</f>
        <v>Demographics</v>
      </c>
    </row>
    <row r="376" spans="1:16">
      <c r="A376" t="s">
        <v>543</v>
      </c>
      <c r="B376" t="s">
        <v>524</v>
      </c>
      <c r="C376" t="s">
        <v>130</v>
      </c>
      <c r="D376">
        <v>1972</v>
      </c>
      <c r="E376" t="s">
        <v>29</v>
      </c>
      <c r="F376" t="s">
        <v>30</v>
      </c>
      <c r="G376" t="s">
        <v>31</v>
      </c>
      <c r="H376" t="s">
        <v>32</v>
      </c>
      <c r="I376">
        <v>1085.796879</v>
      </c>
      <c r="J376" t="s">
        <v>33</v>
      </c>
      <c r="K376" t="s">
        <v>541</v>
      </c>
      <c r="L376" t="s">
        <v>21</v>
      </c>
      <c r="M376" t="str">
        <f t="shared" si="15"/>
        <v>OK</v>
      </c>
      <c r="N376" t="str">
        <f t="shared" si="16"/>
        <v>1970s</v>
      </c>
      <c r="O376" t="str">
        <f t="shared" si="17"/>
        <v>N/A</v>
      </c>
      <c r="P376" t="str">
        <f>VLOOKUP(E376,calculated_fields!$F$4:$G$6,2,FALSE)</f>
        <v>Economy</v>
      </c>
    </row>
    <row r="377" spans="1:16">
      <c r="A377" t="s">
        <v>544</v>
      </c>
      <c r="B377" t="s">
        <v>524</v>
      </c>
      <c r="C377" t="s">
        <v>130</v>
      </c>
      <c r="D377">
        <v>1977</v>
      </c>
      <c r="E377" t="s">
        <v>15</v>
      </c>
      <c r="F377" t="s">
        <v>16</v>
      </c>
      <c r="G377" t="s">
        <v>17</v>
      </c>
      <c r="H377" t="s">
        <v>18</v>
      </c>
      <c r="I377">
        <v>49.19</v>
      </c>
      <c r="J377" t="s">
        <v>19</v>
      </c>
      <c r="K377" t="s">
        <v>545</v>
      </c>
      <c r="L377" t="s">
        <v>21</v>
      </c>
      <c r="M377" t="str">
        <f t="shared" si="15"/>
        <v>OK</v>
      </c>
      <c r="N377" t="str">
        <f t="shared" si="16"/>
        <v>1970s</v>
      </c>
      <c r="O377" t="str">
        <f t="shared" si="17"/>
        <v>Low</v>
      </c>
      <c r="P377" t="str">
        <f>VLOOKUP(E377,calculated_fields!$F$4:$G$6,2,FALSE)</f>
        <v>Health</v>
      </c>
    </row>
    <row r="378" spans="1:16">
      <c r="A378" t="s">
        <v>546</v>
      </c>
      <c r="B378" t="s">
        <v>524</v>
      </c>
      <c r="C378" t="s">
        <v>130</v>
      </c>
      <c r="D378">
        <v>1977</v>
      </c>
      <c r="E378" t="s">
        <v>23</v>
      </c>
      <c r="F378" t="s">
        <v>24</v>
      </c>
      <c r="G378" t="s">
        <v>25</v>
      </c>
      <c r="H378" t="s">
        <v>26</v>
      </c>
      <c r="I378">
        <v>3168267</v>
      </c>
      <c r="J378" t="s">
        <v>27</v>
      </c>
      <c r="K378" t="s">
        <v>545</v>
      </c>
      <c r="L378" t="s">
        <v>21</v>
      </c>
      <c r="M378" t="str">
        <f t="shared" si="15"/>
        <v>OK</v>
      </c>
      <c r="N378" t="str">
        <f t="shared" si="16"/>
        <v>1970s</v>
      </c>
      <c r="O378" t="str">
        <f t="shared" si="17"/>
        <v>N/A</v>
      </c>
      <c r="P378" t="str">
        <f>VLOOKUP(E378,calculated_fields!$F$4:$G$6,2,FALSE)</f>
        <v>Demographics</v>
      </c>
    </row>
    <row r="379" spans="1:16">
      <c r="A379" t="s">
        <v>547</v>
      </c>
      <c r="B379" t="s">
        <v>524</v>
      </c>
      <c r="C379" t="s">
        <v>130</v>
      </c>
      <c r="D379">
        <v>1977</v>
      </c>
      <c r="E379" t="s">
        <v>29</v>
      </c>
      <c r="F379" t="s">
        <v>30</v>
      </c>
      <c r="G379" t="s">
        <v>31</v>
      </c>
      <c r="H379" t="s">
        <v>32</v>
      </c>
      <c r="I379">
        <v>1029.161251</v>
      </c>
      <c r="J379" t="s">
        <v>33</v>
      </c>
      <c r="K379" t="s">
        <v>545</v>
      </c>
      <c r="L379" t="s">
        <v>21</v>
      </c>
      <c r="M379" t="str">
        <f t="shared" si="15"/>
        <v>OK</v>
      </c>
      <c r="N379" t="str">
        <f t="shared" si="16"/>
        <v>1970s</v>
      </c>
      <c r="O379" t="str">
        <f t="shared" si="17"/>
        <v>N/A</v>
      </c>
      <c r="P379" t="str">
        <f>VLOOKUP(E379,calculated_fields!$F$4:$G$6,2,FALSE)</f>
        <v>Economy</v>
      </c>
    </row>
    <row r="380" spans="1:16">
      <c r="A380" t="s">
        <v>548</v>
      </c>
      <c r="B380" t="s">
        <v>524</v>
      </c>
      <c r="C380" t="s">
        <v>130</v>
      </c>
      <c r="D380">
        <v>1982</v>
      </c>
      <c r="E380" t="s">
        <v>15</v>
      </c>
      <c r="F380" t="s">
        <v>16</v>
      </c>
      <c r="G380" t="s">
        <v>17</v>
      </c>
      <c r="H380" t="s">
        <v>18</v>
      </c>
      <c r="I380">
        <v>50.904000000000003</v>
      </c>
      <c r="J380" t="s">
        <v>19</v>
      </c>
      <c r="K380" t="s">
        <v>549</v>
      </c>
      <c r="L380" t="s">
        <v>21</v>
      </c>
      <c r="M380" t="str">
        <f t="shared" si="15"/>
        <v>OK</v>
      </c>
      <c r="N380" t="str">
        <f t="shared" si="16"/>
        <v>1980s</v>
      </c>
      <c r="O380" t="str">
        <f t="shared" si="17"/>
        <v>Low</v>
      </c>
      <c r="P380" t="str">
        <f>VLOOKUP(E380,calculated_fields!$F$4:$G$6,2,FALSE)</f>
        <v>Health</v>
      </c>
    </row>
    <row r="381" spans="1:16">
      <c r="A381" t="s">
        <v>550</v>
      </c>
      <c r="B381" t="s">
        <v>524</v>
      </c>
      <c r="C381" t="s">
        <v>130</v>
      </c>
      <c r="D381">
        <v>1982</v>
      </c>
      <c r="E381" t="s">
        <v>23</v>
      </c>
      <c r="F381" t="s">
        <v>24</v>
      </c>
      <c r="G381" t="s">
        <v>25</v>
      </c>
      <c r="H381" t="s">
        <v>26</v>
      </c>
      <c r="I381">
        <v>3641603</v>
      </c>
      <c r="J381" t="s">
        <v>27</v>
      </c>
      <c r="K381" t="s">
        <v>549</v>
      </c>
      <c r="L381" t="s">
        <v>21</v>
      </c>
      <c r="M381" t="str">
        <f t="shared" si="15"/>
        <v>OK</v>
      </c>
      <c r="N381" t="str">
        <f t="shared" si="16"/>
        <v>1980s</v>
      </c>
      <c r="O381" t="str">
        <f t="shared" si="17"/>
        <v>N/A</v>
      </c>
      <c r="P381" t="str">
        <f>VLOOKUP(E381,calculated_fields!$F$4:$G$6,2,FALSE)</f>
        <v>Demographics</v>
      </c>
    </row>
    <row r="382" spans="1:16">
      <c r="A382" t="s">
        <v>551</v>
      </c>
      <c r="B382" t="s">
        <v>524</v>
      </c>
      <c r="C382" t="s">
        <v>130</v>
      </c>
      <c r="D382">
        <v>1982</v>
      </c>
      <c r="E382" t="s">
        <v>29</v>
      </c>
      <c r="F382" t="s">
        <v>30</v>
      </c>
      <c r="G382" t="s">
        <v>31</v>
      </c>
      <c r="H382" t="s">
        <v>32</v>
      </c>
      <c r="I382">
        <v>1277.897616</v>
      </c>
      <c r="J382" t="s">
        <v>33</v>
      </c>
      <c r="K382" t="s">
        <v>549</v>
      </c>
      <c r="L382" t="s">
        <v>21</v>
      </c>
      <c r="M382" t="str">
        <f t="shared" si="15"/>
        <v>OK</v>
      </c>
      <c r="N382" t="str">
        <f t="shared" si="16"/>
        <v>1980s</v>
      </c>
      <c r="O382" t="str">
        <f t="shared" si="17"/>
        <v>N/A</v>
      </c>
      <c r="P382" t="str">
        <f>VLOOKUP(E382,calculated_fields!$F$4:$G$6,2,FALSE)</f>
        <v>Economy</v>
      </c>
    </row>
    <row r="383" spans="1:16">
      <c r="A383" t="s">
        <v>552</v>
      </c>
      <c r="B383" t="s">
        <v>524</v>
      </c>
      <c r="C383" t="s">
        <v>130</v>
      </c>
      <c r="D383">
        <v>1987</v>
      </c>
      <c r="E383" t="s">
        <v>15</v>
      </c>
      <c r="F383" t="s">
        <v>16</v>
      </c>
      <c r="G383" t="s">
        <v>17</v>
      </c>
      <c r="H383" t="s">
        <v>18</v>
      </c>
      <c r="I383">
        <v>52.337000000000003</v>
      </c>
      <c r="J383" t="s">
        <v>19</v>
      </c>
      <c r="K383" t="s">
        <v>553</v>
      </c>
      <c r="L383" t="s">
        <v>21</v>
      </c>
      <c r="M383" t="str">
        <f t="shared" si="15"/>
        <v>OK</v>
      </c>
      <c r="N383" t="str">
        <f t="shared" si="16"/>
        <v>1980s</v>
      </c>
      <c r="O383" t="str">
        <f t="shared" si="17"/>
        <v>Low</v>
      </c>
      <c r="P383" t="str">
        <f>VLOOKUP(E383,calculated_fields!$F$4:$G$6,2,FALSE)</f>
        <v>Health</v>
      </c>
    </row>
    <row r="384" spans="1:16">
      <c r="A384" t="s">
        <v>554</v>
      </c>
      <c r="B384" t="s">
        <v>524</v>
      </c>
      <c r="C384" t="s">
        <v>130</v>
      </c>
      <c r="D384">
        <v>1987</v>
      </c>
      <c r="E384" t="s">
        <v>23</v>
      </c>
      <c r="F384" t="s">
        <v>24</v>
      </c>
      <c r="G384" t="s">
        <v>25</v>
      </c>
      <c r="H384" t="s">
        <v>26</v>
      </c>
      <c r="I384">
        <v>4243788</v>
      </c>
      <c r="J384" t="s">
        <v>27</v>
      </c>
      <c r="K384" t="s">
        <v>553</v>
      </c>
      <c r="L384" t="s">
        <v>21</v>
      </c>
      <c r="M384" t="str">
        <f t="shared" si="15"/>
        <v>OK</v>
      </c>
      <c r="N384" t="str">
        <f t="shared" si="16"/>
        <v>1980s</v>
      </c>
      <c r="O384" t="str">
        <f t="shared" si="17"/>
        <v>N/A</v>
      </c>
      <c r="P384" t="str">
        <f>VLOOKUP(E384,calculated_fields!$F$4:$G$6,2,FALSE)</f>
        <v>Demographics</v>
      </c>
    </row>
    <row r="385" spans="1:16">
      <c r="A385" t="s">
        <v>555</v>
      </c>
      <c r="B385" t="s">
        <v>524</v>
      </c>
      <c r="C385" t="s">
        <v>130</v>
      </c>
      <c r="D385">
        <v>1987</v>
      </c>
      <c r="E385" t="s">
        <v>29</v>
      </c>
      <c r="F385" t="s">
        <v>30</v>
      </c>
      <c r="G385" t="s">
        <v>31</v>
      </c>
      <c r="H385" t="s">
        <v>32</v>
      </c>
      <c r="I385">
        <v>1225.85601</v>
      </c>
      <c r="J385" t="s">
        <v>33</v>
      </c>
      <c r="K385" t="s">
        <v>553</v>
      </c>
      <c r="L385" t="s">
        <v>21</v>
      </c>
      <c r="M385" t="str">
        <f t="shared" si="15"/>
        <v>OK</v>
      </c>
      <c r="N385" t="str">
        <f t="shared" si="16"/>
        <v>1980s</v>
      </c>
      <c r="O385" t="str">
        <f t="shared" si="17"/>
        <v>N/A</v>
      </c>
      <c r="P385" t="str">
        <f>VLOOKUP(E385,calculated_fields!$F$4:$G$6,2,FALSE)</f>
        <v>Economy</v>
      </c>
    </row>
    <row r="386" spans="1:16">
      <c r="A386" t="s">
        <v>556</v>
      </c>
      <c r="B386" t="s">
        <v>524</v>
      </c>
      <c r="C386" t="s">
        <v>130</v>
      </c>
      <c r="D386">
        <v>1992</v>
      </c>
      <c r="E386" t="s">
        <v>15</v>
      </c>
      <c r="F386" t="s">
        <v>16</v>
      </c>
      <c r="G386" t="s">
        <v>17</v>
      </c>
      <c r="H386" t="s">
        <v>18</v>
      </c>
      <c r="I386">
        <v>53.918999999999997</v>
      </c>
      <c r="J386" t="s">
        <v>19</v>
      </c>
      <c r="K386" t="s">
        <v>557</v>
      </c>
      <c r="L386" t="s">
        <v>21</v>
      </c>
      <c r="M386" t="str">
        <f t="shared" ref="M386:M449" si="18">IF(AND(ISNUMBER(I386),I386&gt;=0),"OK","Review")</f>
        <v>OK</v>
      </c>
      <c r="N386" t="str">
        <f t="shared" ref="N386:N449" si="19">FLOOR(D386,10)&amp;"s"</f>
        <v>1990s</v>
      </c>
      <c r="O386" t="str">
        <f t="shared" ref="O386:O449" si="20">IF(E386="LIFE_EXP",IF(I386&gt;=70,"High",IF(I386&gt;=55,"Medium","Low")),"N/A")</f>
        <v>Low</v>
      </c>
      <c r="P386" t="str">
        <f>VLOOKUP(E386,calculated_fields!$F$4:$G$6,2,FALSE)</f>
        <v>Health</v>
      </c>
    </row>
    <row r="387" spans="1:16">
      <c r="A387" t="s">
        <v>558</v>
      </c>
      <c r="B387" t="s">
        <v>524</v>
      </c>
      <c r="C387" t="s">
        <v>130</v>
      </c>
      <c r="D387">
        <v>1992</v>
      </c>
      <c r="E387" t="s">
        <v>23</v>
      </c>
      <c r="F387" t="s">
        <v>24</v>
      </c>
      <c r="G387" t="s">
        <v>25</v>
      </c>
      <c r="H387" t="s">
        <v>26</v>
      </c>
      <c r="I387">
        <v>4981671</v>
      </c>
      <c r="J387" t="s">
        <v>27</v>
      </c>
      <c r="K387" t="s">
        <v>557</v>
      </c>
      <c r="L387" t="s">
        <v>21</v>
      </c>
      <c r="M387" t="str">
        <f t="shared" si="18"/>
        <v>OK</v>
      </c>
      <c r="N387" t="str">
        <f t="shared" si="19"/>
        <v>1990s</v>
      </c>
      <c r="O387" t="str">
        <f t="shared" si="20"/>
        <v>N/A</v>
      </c>
      <c r="P387" t="str">
        <f>VLOOKUP(E387,calculated_fields!$F$4:$G$6,2,FALSE)</f>
        <v>Demographics</v>
      </c>
    </row>
    <row r="388" spans="1:16">
      <c r="A388" t="s">
        <v>559</v>
      </c>
      <c r="B388" t="s">
        <v>524</v>
      </c>
      <c r="C388" t="s">
        <v>130</v>
      </c>
      <c r="D388">
        <v>1992</v>
      </c>
      <c r="E388" t="s">
        <v>29</v>
      </c>
      <c r="F388" t="s">
        <v>30</v>
      </c>
      <c r="G388" t="s">
        <v>31</v>
      </c>
      <c r="H388" t="s">
        <v>32</v>
      </c>
      <c r="I388">
        <v>1191.2076810000001</v>
      </c>
      <c r="J388" t="s">
        <v>33</v>
      </c>
      <c r="K388" t="s">
        <v>557</v>
      </c>
      <c r="L388" t="s">
        <v>21</v>
      </c>
      <c r="M388" t="str">
        <f t="shared" si="18"/>
        <v>OK</v>
      </c>
      <c r="N388" t="str">
        <f t="shared" si="19"/>
        <v>1990s</v>
      </c>
      <c r="O388" t="str">
        <f t="shared" si="20"/>
        <v>N/A</v>
      </c>
      <c r="P388" t="str">
        <f>VLOOKUP(E388,calculated_fields!$F$4:$G$6,2,FALSE)</f>
        <v>Economy</v>
      </c>
    </row>
    <row r="389" spans="1:16">
      <c r="A389" t="s">
        <v>560</v>
      </c>
      <c r="B389" t="s">
        <v>524</v>
      </c>
      <c r="C389" t="s">
        <v>130</v>
      </c>
      <c r="D389">
        <v>1997</v>
      </c>
      <c r="E389" t="s">
        <v>15</v>
      </c>
      <c r="F389" t="s">
        <v>16</v>
      </c>
      <c r="G389" t="s">
        <v>17</v>
      </c>
      <c r="H389" t="s">
        <v>18</v>
      </c>
      <c r="I389">
        <v>54.777000000000001</v>
      </c>
      <c r="J389" t="s">
        <v>19</v>
      </c>
      <c r="K389" t="s">
        <v>561</v>
      </c>
      <c r="L389" t="s">
        <v>21</v>
      </c>
      <c r="M389" t="str">
        <f t="shared" si="18"/>
        <v>OK</v>
      </c>
      <c r="N389" t="str">
        <f t="shared" si="19"/>
        <v>1990s</v>
      </c>
      <c r="O389" t="str">
        <f t="shared" si="20"/>
        <v>Low</v>
      </c>
      <c r="P389" t="str">
        <f>VLOOKUP(E389,calculated_fields!$F$4:$G$6,2,FALSE)</f>
        <v>Health</v>
      </c>
    </row>
    <row r="390" spans="1:16">
      <c r="A390" t="s">
        <v>562</v>
      </c>
      <c r="B390" t="s">
        <v>524</v>
      </c>
      <c r="C390" t="s">
        <v>130</v>
      </c>
      <c r="D390">
        <v>1997</v>
      </c>
      <c r="E390" t="s">
        <v>23</v>
      </c>
      <c r="F390" t="s">
        <v>24</v>
      </c>
      <c r="G390" t="s">
        <v>25</v>
      </c>
      <c r="H390" t="s">
        <v>26</v>
      </c>
      <c r="I390">
        <v>6066080</v>
      </c>
      <c r="J390" t="s">
        <v>27</v>
      </c>
      <c r="K390" t="s">
        <v>561</v>
      </c>
      <c r="L390" t="s">
        <v>21</v>
      </c>
      <c r="M390" t="str">
        <f t="shared" si="18"/>
        <v>OK</v>
      </c>
      <c r="N390" t="str">
        <f t="shared" si="19"/>
        <v>1990s</v>
      </c>
      <c r="O390" t="str">
        <f t="shared" si="20"/>
        <v>N/A</v>
      </c>
      <c r="P390" t="str">
        <f>VLOOKUP(E390,calculated_fields!$F$4:$G$6,2,FALSE)</f>
        <v>Demographics</v>
      </c>
    </row>
    <row r="391" spans="1:16">
      <c r="A391" t="s">
        <v>563</v>
      </c>
      <c r="B391" t="s">
        <v>524</v>
      </c>
      <c r="C391" t="s">
        <v>130</v>
      </c>
      <c r="D391">
        <v>1997</v>
      </c>
      <c r="E391" t="s">
        <v>29</v>
      </c>
      <c r="F391" t="s">
        <v>30</v>
      </c>
      <c r="G391" t="s">
        <v>31</v>
      </c>
      <c r="H391" t="s">
        <v>32</v>
      </c>
      <c r="I391">
        <v>1232.9752920000001</v>
      </c>
      <c r="J391" t="s">
        <v>33</v>
      </c>
      <c r="K391" t="s">
        <v>561</v>
      </c>
      <c r="L391" t="s">
        <v>21</v>
      </c>
      <c r="M391" t="str">
        <f t="shared" si="18"/>
        <v>OK</v>
      </c>
      <c r="N391" t="str">
        <f t="shared" si="19"/>
        <v>1990s</v>
      </c>
      <c r="O391" t="str">
        <f t="shared" si="20"/>
        <v>N/A</v>
      </c>
      <c r="P391" t="str">
        <f>VLOOKUP(E391,calculated_fields!$F$4:$G$6,2,FALSE)</f>
        <v>Economy</v>
      </c>
    </row>
    <row r="392" spans="1:16">
      <c r="A392" t="s">
        <v>564</v>
      </c>
      <c r="B392" t="s">
        <v>524</v>
      </c>
      <c r="C392" t="s">
        <v>130</v>
      </c>
      <c r="D392">
        <v>2002</v>
      </c>
      <c r="E392" t="s">
        <v>15</v>
      </c>
      <c r="F392" t="s">
        <v>16</v>
      </c>
      <c r="G392" t="s">
        <v>17</v>
      </c>
      <c r="H392" t="s">
        <v>18</v>
      </c>
      <c r="I392">
        <v>54.405999999999999</v>
      </c>
      <c r="J392" t="s">
        <v>19</v>
      </c>
      <c r="K392" t="s">
        <v>565</v>
      </c>
      <c r="L392" t="s">
        <v>21</v>
      </c>
      <c r="M392" t="str">
        <f t="shared" si="18"/>
        <v>OK</v>
      </c>
      <c r="N392" t="str">
        <f t="shared" si="19"/>
        <v>2000s</v>
      </c>
      <c r="O392" t="str">
        <f t="shared" si="20"/>
        <v>Low</v>
      </c>
      <c r="P392" t="str">
        <f>VLOOKUP(E392,calculated_fields!$F$4:$G$6,2,FALSE)</f>
        <v>Health</v>
      </c>
    </row>
    <row r="393" spans="1:16">
      <c r="A393" t="s">
        <v>566</v>
      </c>
      <c r="B393" t="s">
        <v>524</v>
      </c>
      <c r="C393" t="s">
        <v>130</v>
      </c>
      <c r="D393">
        <v>2002</v>
      </c>
      <c r="E393" t="s">
        <v>23</v>
      </c>
      <c r="F393" t="s">
        <v>24</v>
      </c>
      <c r="G393" t="s">
        <v>25</v>
      </c>
      <c r="H393" t="s">
        <v>26</v>
      </c>
      <c r="I393">
        <v>7026113</v>
      </c>
      <c r="J393" t="s">
        <v>27</v>
      </c>
      <c r="K393" t="s">
        <v>565</v>
      </c>
      <c r="L393" t="s">
        <v>21</v>
      </c>
      <c r="M393" t="str">
        <f t="shared" si="18"/>
        <v>OK</v>
      </c>
      <c r="N393" t="str">
        <f t="shared" si="19"/>
        <v>2000s</v>
      </c>
      <c r="O393" t="str">
        <f t="shared" si="20"/>
        <v>N/A</v>
      </c>
      <c r="P393" t="str">
        <f>VLOOKUP(E393,calculated_fields!$F$4:$G$6,2,FALSE)</f>
        <v>Demographics</v>
      </c>
    </row>
    <row r="394" spans="1:16">
      <c r="A394" t="s">
        <v>567</v>
      </c>
      <c r="B394" t="s">
        <v>524</v>
      </c>
      <c r="C394" t="s">
        <v>130</v>
      </c>
      <c r="D394">
        <v>2002</v>
      </c>
      <c r="E394" t="s">
        <v>29</v>
      </c>
      <c r="F394" t="s">
        <v>30</v>
      </c>
      <c r="G394" t="s">
        <v>31</v>
      </c>
      <c r="H394" t="s">
        <v>32</v>
      </c>
      <c r="I394">
        <v>1372.877931</v>
      </c>
      <c r="J394" t="s">
        <v>33</v>
      </c>
      <c r="K394" t="s">
        <v>565</v>
      </c>
      <c r="L394" t="s">
        <v>21</v>
      </c>
      <c r="M394" t="str">
        <f t="shared" si="18"/>
        <v>OK</v>
      </c>
      <c r="N394" t="str">
        <f t="shared" si="19"/>
        <v>2000s</v>
      </c>
      <c r="O394" t="str">
        <f t="shared" si="20"/>
        <v>N/A</v>
      </c>
      <c r="P394" t="str">
        <f>VLOOKUP(E394,calculated_fields!$F$4:$G$6,2,FALSE)</f>
        <v>Economy</v>
      </c>
    </row>
    <row r="395" spans="1:16">
      <c r="A395" t="s">
        <v>568</v>
      </c>
      <c r="B395" t="s">
        <v>524</v>
      </c>
      <c r="C395" t="s">
        <v>130</v>
      </c>
      <c r="D395">
        <v>2007</v>
      </c>
      <c r="E395" t="s">
        <v>15</v>
      </c>
      <c r="F395" t="s">
        <v>16</v>
      </c>
      <c r="G395" t="s">
        <v>17</v>
      </c>
      <c r="H395" t="s">
        <v>18</v>
      </c>
      <c r="I395">
        <v>56.728000000000002</v>
      </c>
      <c r="J395" t="s">
        <v>19</v>
      </c>
      <c r="K395" t="s">
        <v>569</v>
      </c>
      <c r="L395" t="s">
        <v>21</v>
      </c>
      <c r="M395" t="str">
        <f t="shared" si="18"/>
        <v>OK</v>
      </c>
      <c r="N395" t="str">
        <f t="shared" si="19"/>
        <v>2000s</v>
      </c>
      <c r="O395" t="str">
        <f t="shared" si="20"/>
        <v>Medium</v>
      </c>
      <c r="P395" t="str">
        <f>VLOOKUP(E395,calculated_fields!$F$4:$G$6,2,FALSE)</f>
        <v>Health</v>
      </c>
    </row>
    <row r="396" spans="1:16">
      <c r="A396" t="s">
        <v>570</v>
      </c>
      <c r="B396" t="s">
        <v>524</v>
      </c>
      <c r="C396" t="s">
        <v>130</v>
      </c>
      <c r="D396">
        <v>2007</v>
      </c>
      <c r="E396" t="s">
        <v>23</v>
      </c>
      <c r="F396" t="s">
        <v>24</v>
      </c>
      <c r="G396" t="s">
        <v>25</v>
      </c>
      <c r="H396" t="s">
        <v>26</v>
      </c>
      <c r="I396">
        <v>8078314</v>
      </c>
      <c r="J396" t="s">
        <v>27</v>
      </c>
      <c r="K396" t="s">
        <v>569</v>
      </c>
      <c r="L396" t="s">
        <v>21</v>
      </c>
      <c r="M396" t="str">
        <f t="shared" si="18"/>
        <v>OK</v>
      </c>
      <c r="N396" t="str">
        <f t="shared" si="19"/>
        <v>2000s</v>
      </c>
      <c r="O396" t="str">
        <f t="shared" si="20"/>
        <v>N/A</v>
      </c>
      <c r="P396" t="str">
        <f>VLOOKUP(E396,calculated_fields!$F$4:$G$6,2,FALSE)</f>
        <v>Demographics</v>
      </c>
    </row>
    <row r="397" spans="1:16">
      <c r="A397" t="s">
        <v>571</v>
      </c>
      <c r="B397" t="s">
        <v>524</v>
      </c>
      <c r="C397" t="s">
        <v>130</v>
      </c>
      <c r="D397">
        <v>2007</v>
      </c>
      <c r="E397" t="s">
        <v>29</v>
      </c>
      <c r="F397" t="s">
        <v>30</v>
      </c>
      <c r="G397" t="s">
        <v>31</v>
      </c>
      <c r="H397" t="s">
        <v>32</v>
      </c>
      <c r="I397">
        <v>1441.2848730000001</v>
      </c>
      <c r="J397" t="s">
        <v>33</v>
      </c>
      <c r="K397" t="s">
        <v>569</v>
      </c>
      <c r="L397" t="s">
        <v>21</v>
      </c>
      <c r="M397" t="str">
        <f t="shared" si="18"/>
        <v>OK</v>
      </c>
      <c r="N397" t="str">
        <f t="shared" si="19"/>
        <v>2000s</v>
      </c>
      <c r="O397" t="str">
        <f t="shared" si="20"/>
        <v>N/A</v>
      </c>
      <c r="P397" t="str">
        <f>VLOOKUP(E397,calculated_fields!$F$4:$G$6,2,FALSE)</f>
        <v>Economy</v>
      </c>
    </row>
    <row r="398" spans="1:16">
      <c r="A398" t="s">
        <v>572</v>
      </c>
      <c r="B398" t="s">
        <v>573</v>
      </c>
      <c r="C398" t="s">
        <v>229</v>
      </c>
      <c r="D398">
        <v>1952</v>
      </c>
      <c r="E398" t="s">
        <v>15</v>
      </c>
      <c r="F398" t="s">
        <v>16</v>
      </c>
      <c r="G398" t="s">
        <v>17</v>
      </c>
      <c r="H398" t="s">
        <v>18</v>
      </c>
      <c r="I398">
        <v>40.414000000000001</v>
      </c>
      <c r="J398" t="s">
        <v>19</v>
      </c>
      <c r="K398" t="s">
        <v>574</v>
      </c>
      <c r="L398" t="s">
        <v>21</v>
      </c>
      <c r="M398" t="str">
        <f t="shared" si="18"/>
        <v>OK</v>
      </c>
      <c r="N398" t="str">
        <f t="shared" si="19"/>
        <v>1950s</v>
      </c>
      <c r="O398" t="str">
        <f t="shared" si="20"/>
        <v>Low</v>
      </c>
      <c r="P398" t="str">
        <f>VLOOKUP(E398,calculated_fields!$F$4:$G$6,2,FALSE)</f>
        <v>Health</v>
      </c>
    </row>
    <row r="399" spans="1:16">
      <c r="A399" t="s">
        <v>575</v>
      </c>
      <c r="B399" t="s">
        <v>573</v>
      </c>
      <c r="C399" t="s">
        <v>229</v>
      </c>
      <c r="D399">
        <v>1952</v>
      </c>
      <c r="E399" t="s">
        <v>23</v>
      </c>
      <c r="F399" t="s">
        <v>24</v>
      </c>
      <c r="G399" t="s">
        <v>25</v>
      </c>
      <c r="H399" t="s">
        <v>26</v>
      </c>
      <c r="I399">
        <v>2883315</v>
      </c>
      <c r="J399" t="s">
        <v>27</v>
      </c>
      <c r="K399" t="s">
        <v>574</v>
      </c>
      <c r="L399" t="s">
        <v>21</v>
      </c>
      <c r="M399" t="str">
        <f t="shared" si="18"/>
        <v>OK</v>
      </c>
      <c r="N399" t="str">
        <f t="shared" si="19"/>
        <v>1950s</v>
      </c>
      <c r="O399" t="str">
        <f t="shared" si="20"/>
        <v>N/A</v>
      </c>
      <c r="P399" t="str">
        <f>VLOOKUP(E399,calculated_fields!$F$4:$G$6,2,FALSE)</f>
        <v>Demographics</v>
      </c>
    </row>
    <row r="400" spans="1:16">
      <c r="A400" t="s">
        <v>576</v>
      </c>
      <c r="B400" t="s">
        <v>573</v>
      </c>
      <c r="C400" t="s">
        <v>229</v>
      </c>
      <c r="D400">
        <v>1952</v>
      </c>
      <c r="E400" t="s">
        <v>29</v>
      </c>
      <c r="F400" t="s">
        <v>30</v>
      </c>
      <c r="G400" t="s">
        <v>31</v>
      </c>
      <c r="H400" t="s">
        <v>32</v>
      </c>
      <c r="I400">
        <v>2677.3263470000002</v>
      </c>
      <c r="J400" t="s">
        <v>33</v>
      </c>
      <c r="K400" t="s">
        <v>574</v>
      </c>
      <c r="L400" t="s">
        <v>21</v>
      </c>
      <c r="M400" t="str">
        <f t="shared" si="18"/>
        <v>OK</v>
      </c>
      <c r="N400" t="str">
        <f t="shared" si="19"/>
        <v>1950s</v>
      </c>
      <c r="O400" t="str">
        <f t="shared" si="20"/>
        <v>N/A</v>
      </c>
      <c r="P400" t="str">
        <f>VLOOKUP(E400,calculated_fields!$F$4:$G$6,2,FALSE)</f>
        <v>Economy</v>
      </c>
    </row>
    <row r="401" spans="1:16">
      <c r="A401" t="s">
        <v>577</v>
      </c>
      <c r="B401" t="s">
        <v>573</v>
      </c>
      <c r="C401" t="s">
        <v>229</v>
      </c>
      <c r="D401">
        <v>1957</v>
      </c>
      <c r="E401" t="s">
        <v>15</v>
      </c>
      <c r="F401" t="s">
        <v>16</v>
      </c>
      <c r="G401" t="s">
        <v>17</v>
      </c>
      <c r="H401" t="s">
        <v>18</v>
      </c>
      <c r="I401">
        <v>41.89</v>
      </c>
      <c r="J401" t="s">
        <v>19</v>
      </c>
      <c r="K401" t="s">
        <v>578</v>
      </c>
      <c r="L401" t="s">
        <v>21</v>
      </c>
      <c r="M401" t="str">
        <f t="shared" si="18"/>
        <v>OK</v>
      </c>
      <c r="N401" t="str">
        <f t="shared" si="19"/>
        <v>1950s</v>
      </c>
      <c r="O401" t="str">
        <f t="shared" si="20"/>
        <v>Low</v>
      </c>
      <c r="P401" t="str">
        <f>VLOOKUP(E401,calculated_fields!$F$4:$G$6,2,FALSE)</f>
        <v>Health</v>
      </c>
    </row>
    <row r="402" spans="1:16">
      <c r="A402" t="s">
        <v>579</v>
      </c>
      <c r="B402" t="s">
        <v>573</v>
      </c>
      <c r="C402" t="s">
        <v>229</v>
      </c>
      <c r="D402">
        <v>1957</v>
      </c>
      <c r="E402" t="s">
        <v>23</v>
      </c>
      <c r="F402" t="s">
        <v>24</v>
      </c>
      <c r="G402" t="s">
        <v>25</v>
      </c>
      <c r="H402" t="s">
        <v>26</v>
      </c>
      <c r="I402">
        <v>3211738</v>
      </c>
      <c r="J402" t="s">
        <v>27</v>
      </c>
      <c r="K402" t="s">
        <v>578</v>
      </c>
      <c r="L402" t="s">
        <v>21</v>
      </c>
      <c r="M402" t="str">
        <f t="shared" si="18"/>
        <v>OK</v>
      </c>
      <c r="N402" t="str">
        <f t="shared" si="19"/>
        <v>1950s</v>
      </c>
      <c r="O402" t="str">
        <f t="shared" si="20"/>
        <v>N/A</v>
      </c>
      <c r="P402" t="str">
        <f>VLOOKUP(E402,calculated_fields!$F$4:$G$6,2,FALSE)</f>
        <v>Demographics</v>
      </c>
    </row>
    <row r="403" spans="1:16">
      <c r="A403" t="s">
        <v>580</v>
      </c>
      <c r="B403" t="s">
        <v>573</v>
      </c>
      <c r="C403" t="s">
        <v>229</v>
      </c>
      <c r="D403">
        <v>1957</v>
      </c>
      <c r="E403" t="s">
        <v>29</v>
      </c>
      <c r="F403" t="s">
        <v>30</v>
      </c>
      <c r="G403" t="s">
        <v>31</v>
      </c>
      <c r="H403" t="s">
        <v>32</v>
      </c>
      <c r="I403">
        <v>2127.686326</v>
      </c>
      <c r="J403" t="s">
        <v>33</v>
      </c>
      <c r="K403" t="s">
        <v>578</v>
      </c>
      <c r="L403" t="s">
        <v>21</v>
      </c>
      <c r="M403" t="str">
        <f t="shared" si="18"/>
        <v>OK</v>
      </c>
      <c r="N403" t="str">
        <f t="shared" si="19"/>
        <v>1950s</v>
      </c>
      <c r="O403" t="str">
        <f t="shared" si="20"/>
        <v>N/A</v>
      </c>
      <c r="P403" t="str">
        <f>VLOOKUP(E403,calculated_fields!$F$4:$G$6,2,FALSE)</f>
        <v>Economy</v>
      </c>
    </row>
    <row r="404" spans="1:16">
      <c r="A404" t="s">
        <v>581</v>
      </c>
      <c r="B404" t="s">
        <v>573</v>
      </c>
      <c r="C404" t="s">
        <v>229</v>
      </c>
      <c r="D404">
        <v>1962</v>
      </c>
      <c r="E404" t="s">
        <v>15</v>
      </c>
      <c r="F404" t="s">
        <v>16</v>
      </c>
      <c r="G404" t="s">
        <v>17</v>
      </c>
      <c r="H404" t="s">
        <v>18</v>
      </c>
      <c r="I404">
        <v>43.427999999999997</v>
      </c>
      <c r="J404" t="s">
        <v>19</v>
      </c>
      <c r="K404" t="s">
        <v>582</v>
      </c>
      <c r="L404" t="s">
        <v>21</v>
      </c>
      <c r="M404" t="str">
        <f t="shared" si="18"/>
        <v>OK</v>
      </c>
      <c r="N404" t="str">
        <f t="shared" si="19"/>
        <v>1960s</v>
      </c>
      <c r="O404" t="str">
        <f t="shared" si="20"/>
        <v>Low</v>
      </c>
      <c r="P404" t="str">
        <f>VLOOKUP(E404,calculated_fields!$F$4:$G$6,2,FALSE)</f>
        <v>Health</v>
      </c>
    </row>
    <row r="405" spans="1:16">
      <c r="A405" t="s">
        <v>583</v>
      </c>
      <c r="B405" t="s">
        <v>573</v>
      </c>
      <c r="C405" t="s">
        <v>229</v>
      </c>
      <c r="D405">
        <v>1962</v>
      </c>
      <c r="E405" t="s">
        <v>23</v>
      </c>
      <c r="F405" t="s">
        <v>24</v>
      </c>
      <c r="G405" t="s">
        <v>25</v>
      </c>
      <c r="H405" t="s">
        <v>26</v>
      </c>
      <c r="I405">
        <v>3593918</v>
      </c>
      <c r="J405" t="s">
        <v>27</v>
      </c>
      <c r="K405" t="s">
        <v>582</v>
      </c>
      <c r="L405" t="s">
        <v>21</v>
      </c>
      <c r="M405" t="str">
        <f t="shared" si="18"/>
        <v>OK</v>
      </c>
      <c r="N405" t="str">
        <f t="shared" si="19"/>
        <v>1960s</v>
      </c>
      <c r="O405" t="str">
        <f t="shared" si="20"/>
        <v>N/A</v>
      </c>
      <c r="P405" t="str">
        <f>VLOOKUP(E405,calculated_fields!$F$4:$G$6,2,FALSE)</f>
        <v>Demographics</v>
      </c>
    </row>
    <row r="406" spans="1:16">
      <c r="A406" t="s">
        <v>584</v>
      </c>
      <c r="B406" t="s">
        <v>573</v>
      </c>
      <c r="C406" t="s">
        <v>229</v>
      </c>
      <c r="D406">
        <v>1962</v>
      </c>
      <c r="E406" t="s">
        <v>29</v>
      </c>
      <c r="F406" t="s">
        <v>30</v>
      </c>
      <c r="G406" t="s">
        <v>31</v>
      </c>
      <c r="H406" t="s">
        <v>32</v>
      </c>
      <c r="I406">
        <v>2180.972546</v>
      </c>
      <c r="J406" t="s">
        <v>33</v>
      </c>
      <c r="K406" t="s">
        <v>582</v>
      </c>
      <c r="L406" t="s">
        <v>21</v>
      </c>
      <c r="M406" t="str">
        <f t="shared" si="18"/>
        <v>OK</v>
      </c>
      <c r="N406" t="str">
        <f t="shared" si="19"/>
        <v>1960s</v>
      </c>
      <c r="O406" t="str">
        <f t="shared" si="20"/>
        <v>N/A</v>
      </c>
      <c r="P406" t="str">
        <f>VLOOKUP(E406,calculated_fields!$F$4:$G$6,2,FALSE)</f>
        <v>Economy</v>
      </c>
    </row>
    <row r="407" spans="1:16">
      <c r="A407" t="s">
        <v>585</v>
      </c>
      <c r="B407" t="s">
        <v>573</v>
      </c>
      <c r="C407" t="s">
        <v>229</v>
      </c>
      <c r="D407">
        <v>1967</v>
      </c>
      <c r="E407" t="s">
        <v>15</v>
      </c>
      <c r="F407" t="s">
        <v>16</v>
      </c>
      <c r="G407" t="s">
        <v>17</v>
      </c>
      <c r="H407" t="s">
        <v>18</v>
      </c>
      <c r="I407">
        <v>45.031999999999996</v>
      </c>
      <c r="J407" t="s">
        <v>19</v>
      </c>
      <c r="K407" t="s">
        <v>586</v>
      </c>
      <c r="L407" t="s">
        <v>21</v>
      </c>
      <c r="M407" t="str">
        <f t="shared" si="18"/>
        <v>OK</v>
      </c>
      <c r="N407" t="str">
        <f t="shared" si="19"/>
        <v>1960s</v>
      </c>
      <c r="O407" t="str">
        <f t="shared" si="20"/>
        <v>Low</v>
      </c>
      <c r="P407" t="str">
        <f>VLOOKUP(E407,calculated_fields!$F$4:$G$6,2,FALSE)</f>
        <v>Health</v>
      </c>
    </row>
    <row r="408" spans="1:16">
      <c r="A408" t="s">
        <v>587</v>
      </c>
      <c r="B408" t="s">
        <v>573</v>
      </c>
      <c r="C408" t="s">
        <v>229</v>
      </c>
      <c r="D408">
        <v>1967</v>
      </c>
      <c r="E408" t="s">
        <v>23</v>
      </c>
      <c r="F408" t="s">
        <v>24</v>
      </c>
      <c r="G408" t="s">
        <v>25</v>
      </c>
      <c r="H408" t="s">
        <v>26</v>
      </c>
      <c r="I408">
        <v>4040665</v>
      </c>
      <c r="J408" t="s">
        <v>27</v>
      </c>
      <c r="K408" t="s">
        <v>586</v>
      </c>
      <c r="L408" t="s">
        <v>21</v>
      </c>
      <c r="M408" t="str">
        <f t="shared" si="18"/>
        <v>OK</v>
      </c>
      <c r="N408" t="str">
        <f t="shared" si="19"/>
        <v>1960s</v>
      </c>
      <c r="O408" t="str">
        <f t="shared" si="20"/>
        <v>N/A</v>
      </c>
      <c r="P408" t="str">
        <f>VLOOKUP(E408,calculated_fields!$F$4:$G$6,2,FALSE)</f>
        <v>Demographics</v>
      </c>
    </row>
    <row r="409" spans="1:16">
      <c r="A409" t="s">
        <v>588</v>
      </c>
      <c r="B409" t="s">
        <v>573</v>
      </c>
      <c r="C409" t="s">
        <v>229</v>
      </c>
      <c r="D409">
        <v>1967</v>
      </c>
      <c r="E409" t="s">
        <v>29</v>
      </c>
      <c r="F409" t="s">
        <v>30</v>
      </c>
      <c r="G409" t="s">
        <v>31</v>
      </c>
      <c r="H409" t="s">
        <v>32</v>
      </c>
      <c r="I409">
        <v>2586.8860530000002</v>
      </c>
      <c r="J409" t="s">
        <v>33</v>
      </c>
      <c r="K409" t="s">
        <v>586</v>
      </c>
      <c r="L409" t="s">
        <v>21</v>
      </c>
      <c r="M409" t="str">
        <f t="shared" si="18"/>
        <v>OK</v>
      </c>
      <c r="N409" t="str">
        <f t="shared" si="19"/>
        <v>1960s</v>
      </c>
      <c r="O409" t="str">
        <f t="shared" si="20"/>
        <v>N/A</v>
      </c>
      <c r="P409" t="str">
        <f>VLOOKUP(E409,calculated_fields!$F$4:$G$6,2,FALSE)</f>
        <v>Economy</v>
      </c>
    </row>
    <row r="410" spans="1:16">
      <c r="A410" t="s">
        <v>589</v>
      </c>
      <c r="B410" t="s">
        <v>573</v>
      </c>
      <c r="C410" t="s">
        <v>229</v>
      </c>
      <c r="D410">
        <v>1972</v>
      </c>
      <c r="E410" t="s">
        <v>15</v>
      </c>
      <c r="F410" t="s">
        <v>16</v>
      </c>
      <c r="G410" t="s">
        <v>17</v>
      </c>
      <c r="H410" t="s">
        <v>18</v>
      </c>
      <c r="I410">
        <v>46.713999999999999</v>
      </c>
      <c r="J410" t="s">
        <v>19</v>
      </c>
      <c r="K410" t="s">
        <v>590</v>
      </c>
      <c r="L410" t="s">
        <v>21</v>
      </c>
      <c r="M410" t="str">
        <f t="shared" si="18"/>
        <v>OK</v>
      </c>
      <c r="N410" t="str">
        <f t="shared" si="19"/>
        <v>1970s</v>
      </c>
      <c r="O410" t="str">
        <f t="shared" si="20"/>
        <v>Low</v>
      </c>
      <c r="P410" t="str">
        <f>VLOOKUP(E410,calculated_fields!$F$4:$G$6,2,FALSE)</f>
        <v>Health</v>
      </c>
    </row>
    <row r="411" spans="1:16">
      <c r="A411" t="s">
        <v>591</v>
      </c>
      <c r="B411" t="s">
        <v>573</v>
      </c>
      <c r="C411" t="s">
        <v>229</v>
      </c>
      <c r="D411">
        <v>1972</v>
      </c>
      <c r="E411" t="s">
        <v>23</v>
      </c>
      <c r="F411" t="s">
        <v>24</v>
      </c>
      <c r="G411" t="s">
        <v>25</v>
      </c>
      <c r="H411" t="s">
        <v>26</v>
      </c>
      <c r="I411">
        <v>4565872</v>
      </c>
      <c r="J411" t="s">
        <v>27</v>
      </c>
      <c r="K411" t="s">
        <v>590</v>
      </c>
      <c r="L411" t="s">
        <v>21</v>
      </c>
      <c r="M411" t="str">
        <f t="shared" si="18"/>
        <v>OK</v>
      </c>
      <c r="N411" t="str">
        <f t="shared" si="19"/>
        <v>1970s</v>
      </c>
      <c r="O411" t="str">
        <f t="shared" si="20"/>
        <v>N/A</v>
      </c>
      <c r="P411" t="str">
        <f>VLOOKUP(E411,calculated_fields!$F$4:$G$6,2,FALSE)</f>
        <v>Demographics</v>
      </c>
    </row>
    <row r="412" spans="1:16">
      <c r="A412" t="s">
        <v>592</v>
      </c>
      <c r="B412" t="s">
        <v>573</v>
      </c>
      <c r="C412" t="s">
        <v>229</v>
      </c>
      <c r="D412">
        <v>1972</v>
      </c>
      <c r="E412" t="s">
        <v>29</v>
      </c>
      <c r="F412" t="s">
        <v>30</v>
      </c>
      <c r="G412" t="s">
        <v>31</v>
      </c>
      <c r="H412" t="s">
        <v>32</v>
      </c>
      <c r="I412">
        <v>2980.3313389999998</v>
      </c>
      <c r="J412" t="s">
        <v>33</v>
      </c>
      <c r="K412" t="s">
        <v>590</v>
      </c>
      <c r="L412" t="s">
        <v>21</v>
      </c>
      <c r="M412" t="str">
        <f t="shared" si="18"/>
        <v>OK</v>
      </c>
      <c r="N412" t="str">
        <f t="shared" si="19"/>
        <v>1970s</v>
      </c>
      <c r="O412" t="str">
        <f t="shared" si="20"/>
        <v>N/A</v>
      </c>
      <c r="P412" t="str">
        <f>VLOOKUP(E412,calculated_fields!$F$4:$G$6,2,FALSE)</f>
        <v>Economy</v>
      </c>
    </row>
    <row r="413" spans="1:16">
      <c r="A413" t="s">
        <v>593</v>
      </c>
      <c r="B413" t="s">
        <v>573</v>
      </c>
      <c r="C413" t="s">
        <v>229</v>
      </c>
      <c r="D413">
        <v>1977</v>
      </c>
      <c r="E413" t="s">
        <v>15</v>
      </c>
      <c r="F413" t="s">
        <v>16</v>
      </c>
      <c r="G413" t="s">
        <v>17</v>
      </c>
      <c r="H413" t="s">
        <v>18</v>
      </c>
      <c r="I413">
        <v>50.023000000000003</v>
      </c>
      <c r="J413" t="s">
        <v>19</v>
      </c>
      <c r="K413" t="s">
        <v>594</v>
      </c>
      <c r="L413" t="s">
        <v>21</v>
      </c>
      <c r="M413" t="str">
        <f t="shared" si="18"/>
        <v>OK</v>
      </c>
      <c r="N413" t="str">
        <f t="shared" si="19"/>
        <v>1970s</v>
      </c>
      <c r="O413" t="str">
        <f t="shared" si="20"/>
        <v>Low</v>
      </c>
      <c r="P413" t="str">
        <f>VLOOKUP(E413,calculated_fields!$F$4:$G$6,2,FALSE)</f>
        <v>Health</v>
      </c>
    </row>
    <row r="414" spans="1:16">
      <c r="A414" t="s">
        <v>595</v>
      </c>
      <c r="B414" t="s">
        <v>573</v>
      </c>
      <c r="C414" t="s">
        <v>229</v>
      </c>
      <c r="D414">
        <v>1977</v>
      </c>
      <c r="E414" t="s">
        <v>23</v>
      </c>
      <c r="F414" t="s">
        <v>24</v>
      </c>
      <c r="G414" t="s">
        <v>25</v>
      </c>
      <c r="H414" t="s">
        <v>26</v>
      </c>
      <c r="I414">
        <v>5079716</v>
      </c>
      <c r="J414" t="s">
        <v>27</v>
      </c>
      <c r="K414" t="s">
        <v>594</v>
      </c>
      <c r="L414" t="s">
        <v>21</v>
      </c>
      <c r="M414" t="str">
        <f t="shared" si="18"/>
        <v>OK</v>
      </c>
      <c r="N414" t="str">
        <f t="shared" si="19"/>
        <v>1970s</v>
      </c>
      <c r="O414" t="str">
        <f t="shared" si="20"/>
        <v>N/A</v>
      </c>
      <c r="P414" t="str">
        <f>VLOOKUP(E414,calculated_fields!$F$4:$G$6,2,FALSE)</f>
        <v>Demographics</v>
      </c>
    </row>
    <row r="415" spans="1:16">
      <c r="A415" t="s">
        <v>596</v>
      </c>
      <c r="B415" t="s">
        <v>573</v>
      </c>
      <c r="C415" t="s">
        <v>229</v>
      </c>
      <c r="D415">
        <v>1977</v>
      </c>
      <c r="E415" t="s">
        <v>29</v>
      </c>
      <c r="F415" t="s">
        <v>30</v>
      </c>
      <c r="G415" t="s">
        <v>31</v>
      </c>
      <c r="H415" t="s">
        <v>32</v>
      </c>
      <c r="I415">
        <v>3548.0978319999999</v>
      </c>
      <c r="J415" t="s">
        <v>33</v>
      </c>
      <c r="K415" t="s">
        <v>594</v>
      </c>
      <c r="L415" t="s">
        <v>21</v>
      </c>
      <c r="M415" t="str">
        <f t="shared" si="18"/>
        <v>OK</v>
      </c>
      <c r="N415" t="str">
        <f t="shared" si="19"/>
        <v>1970s</v>
      </c>
      <c r="O415" t="str">
        <f t="shared" si="20"/>
        <v>N/A</v>
      </c>
      <c r="P415" t="str">
        <f>VLOOKUP(E415,calculated_fields!$F$4:$G$6,2,FALSE)</f>
        <v>Economy</v>
      </c>
    </row>
    <row r="416" spans="1:16">
      <c r="A416" t="s">
        <v>597</v>
      </c>
      <c r="B416" t="s">
        <v>573</v>
      </c>
      <c r="C416" t="s">
        <v>229</v>
      </c>
      <c r="D416">
        <v>1982</v>
      </c>
      <c r="E416" t="s">
        <v>15</v>
      </c>
      <c r="F416" t="s">
        <v>16</v>
      </c>
      <c r="G416" t="s">
        <v>17</v>
      </c>
      <c r="H416" t="s">
        <v>18</v>
      </c>
      <c r="I416">
        <v>53.859000000000002</v>
      </c>
      <c r="J416" t="s">
        <v>19</v>
      </c>
      <c r="K416" t="s">
        <v>598</v>
      </c>
      <c r="L416" t="s">
        <v>21</v>
      </c>
      <c r="M416" t="str">
        <f t="shared" si="18"/>
        <v>OK</v>
      </c>
      <c r="N416" t="str">
        <f t="shared" si="19"/>
        <v>1980s</v>
      </c>
      <c r="O416" t="str">
        <f t="shared" si="20"/>
        <v>Low</v>
      </c>
      <c r="P416" t="str">
        <f>VLOOKUP(E416,calculated_fields!$F$4:$G$6,2,FALSE)</f>
        <v>Health</v>
      </c>
    </row>
    <row r="417" spans="1:16">
      <c r="A417" t="s">
        <v>599</v>
      </c>
      <c r="B417" t="s">
        <v>573</v>
      </c>
      <c r="C417" t="s">
        <v>229</v>
      </c>
      <c r="D417">
        <v>1982</v>
      </c>
      <c r="E417" t="s">
        <v>23</v>
      </c>
      <c r="F417" t="s">
        <v>24</v>
      </c>
      <c r="G417" t="s">
        <v>25</v>
      </c>
      <c r="H417" t="s">
        <v>26</v>
      </c>
      <c r="I417">
        <v>5642224</v>
      </c>
      <c r="J417" t="s">
        <v>27</v>
      </c>
      <c r="K417" t="s">
        <v>598</v>
      </c>
      <c r="L417" t="s">
        <v>21</v>
      </c>
      <c r="M417" t="str">
        <f t="shared" si="18"/>
        <v>OK</v>
      </c>
      <c r="N417" t="str">
        <f t="shared" si="19"/>
        <v>1980s</v>
      </c>
      <c r="O417" t="str">
        <f t="shared" si="20"/>
        <v>N/A</v>
      </c>
      <c r="P417" t="str">
        <f>VLOOKUP(E417,calculated_fields!$F$4:$G$6,2,FALSE)</f>
        <v>Demographics</v>
      </c>
    </row>
    <row r="418" spans="1:16">
      <c r="A418" t="s">
        <v>600</v>
      </c>
      <c r="B418" t="s">
        <v>573</v>
      </c>
      <c r="C418" t="s">
        <v>229</v>
      </c>
      <c r="D418">
        <v>1982</v>
      </c>
      <c r="E418" t="s">
        <v>29</v>
      </c>
      <c r="F418" t="s">
        <v>30</v>
      </c>
      <c r="G418" t="s">
        <v>31</v>
      </c>
      <c r="H418" t="s">
        <v>32</v>
      </c>
      <c r="I418">
        <v>3156.510452</v>
      </c>
      <c r="J418" t="s">
        <v>33</v>
      </c>
      <c r="K418" t="s">
        <v>598</v>
      </c>
      <c r="L418" t="s">
        <v>21</v>
      </c>
      <c r="M418" t="str">
        <f t="shared" si="18"/>
        <v>OK</v>
      </c>
      <c r="N418" t="str">
        <f t="shared" si="19"/>
        <v>1980s</v>
      </c>
      <c r="O418" t="str">
        <f t="shared" si="20"/>
        <v>N/A</v>
      </c>
      <c r="P418" t="str">
        <f>VLOOKUP(E418,calculated_fields!$F$4:$G$6,2,FALSE)</f>
        <v>Economy</v>
      </c>
    </row>
    <row r="419" spans="1:16">
      <c r="A419" t="s">
        <v>601</v>
      </c>
      <c r="B419" t="s">
        <v>573</v>
      </c>
      <c r="C419" t="s">
        <v>229</v>
      </c>
      <c r="D419">
        <v>1987</v>
      </c>
      <c r="E419" t="s">
        <v>15</v>
      </c>
      <c r="F419" t="s">
        <v>16</v>
      </c>
      <c r="G419" t="s">
        <v>17</v>
      </c>
      <c r="H419" t="s">
        <v>18</v>
      </c>
      <c r="I419">
        <v>57.250999999999998</v>
      </c>
      <c r="J419" t="s">
        <v>19</v>
      </c>
      <c r="K419" t="s">
        <v>602</v>
      </c>
      <c r="L419" t="s">
        <v>21</v>
      </c>
      <c r="M419" t="str">
        <f t="shared" si="18"/>
        <v>OK</v>
      </c>
      <c r="N419" t="str">
        <f t="shared" si="19"/>
        <v>1980s</v>
      </c>
      <c r="O419" t="str">
        <f t="shared" si="20"/>
        <v>Medium</v>
      </c>
      <c r="P419" t="str">
        <f>VLOOKUP(E419,calculated_fields!$F$4:$G$6,2,FALSE)</f>
        <v>Health</v>
      </c>
    </row>
    <row r="420" spans="1:16">
      <c r="A420" t="s">
        <v>603</v>
      </c>
      <c r="B420" t="s">
        <v>573</v>
      </c>
      <c r="C420" t="s">
        <v>229</v>
      </c>
      <c r="D420">
        <v>1987</v>
      </c>
      <c r="E420" t="s">
        <v>23</v>
      </c>
      <c r="F420" t="s">
        <v>24</v>
      </c>
      <c r="G420" t="s">
        <v>25</v>
      </c>
      <c r="H420" t="s">
        <v>26</v>
      </c>
      <c r="I420">
        <v>6156369</v>
      </c>
      <c r="J420" t="s">
        <v>27</v>
      </c>
      <c r="K420" t="s">
        <v>602</v>
      </c>
      <c r="L420" t="s">
        <v>21</v>
      </c>
      <c r="M420" t="str">
        <f t="shared" si="18"/>
        <v>OK</v>
      </c>
      <c r="N420" t="str">
        <f t="shared" si="19"/>
        <v>1980s</v>
      </c>
      <c r="O420" t="str">
        <f t="shared" si="20"/>
        <v>N/A</v>
      </c>
      <c r="P420" t="str">
        <f>VLOOKUP(E420,calculated_fields!$F$4:$G$6,2,FALSE)</f>
        <v>Demographics</v>
      </c>
    </row>
    <row r="421" spans="1:16">
      <c r="A421" t="s">
        <v>604</v>
      </c>
      <c r="B421" t="s">
        <v>573</v>
      </c>
      <c r="C421" t="s">
        <v>229</v>
      </c>
      <c r="D421">
        <v>1987</v>
      </c>
      <c r="E421" t="s">
        <v>29</v>
      </c>
      <c r="F421" t="s">
        <v>30</v>
      </c>
      <c r="G421" t="s">
        <v>31</v>
      </c>
      <c r="H421" t="s">
        <v>32</v>
      </c>
      <c r="I421">
        <v>2753.6914900000002</v>
      </c>
      <c r="J421" t="s">
        <v>33</v>
      </c>
      <c r="K421" t="s">
        <v>602</v>
      </c>
      <c r="L421" t="s">
        <v>21</v>
      </c>
      <c r="M421" t="str">
        <f t="shared" si="18"/>
        <v>OK</v>
      </c>
      <c r="N421" t="str">
        <f t="shared" si="19"/>
        <v>1980s</v>
      </c>
      <c r="O421" t="str">
        <f t="shared" si="20"/>
        <v>N/A</v>
      </c>
      <c r="P421" t="str">
        <f>VLOOKUP(E421,calculated_fields!$F$4:$G$6,2,FALSE)</f>
        <v>Economy</v>
      </c>
    </row>
    <row r="422" spans="1:16">
      <c r="A422" t="s">
        <v>605</v>
      </c>
      <c r="B422" t="s">
        <v>573</v>
      </c>
      <c r="C422" t="s">
        <v>229</v>
      </c>
      <c r="D422">
        <v>1992</v>
      </c>
      <c r="E422" t="s">
        <v>15</v>
      </c>
      <c r="F422" t="s">
        <v>16</v>
      </c>
      <c r="G422" t="s">
        <v>17</v>
      </c>
      <c r="H422" t="s">
        <v>18</v>
      </c>
      <c r="I422">
        <v>59.957000000000001</v>
      </c>
      <c r="J422" t="s">
        <v>19</v>
      </c>
      <c r="K422" t="s">
        <v>606</v>
      </c>
      <c r="L422" t="s">
        <v>21</v>
      </c>
      <c r="M422" t="str">
        <f t="shared" si="18"/>
        <v>OK</v>
      </c>
      <c r="N422" t="str">
        <f t="shared" si="19"/>
        <v>1990s</v>
      </c>
      <c r="O422" t="str">
        <f t="shared" si="20"/>
        <v>Medium</v>
      </c>
      <c r="P422" t="str">
        <f>VLOOKUP(E422,calculated_fields!$F$4:$G$6,2,FALSE)</f>
        <v>Health</v>
      </c>
    </row>
    <row r="423" spans="1:16">
      <c r="A423" t="s">
        <v>607</v>
      </c>
      <c r="B423" t="s">
        <v>573</v>
      </c>
      <c r="C423" t="s">
        <v>229</v>
      </c>
      <c r="D423">
        <v>1992</v>
      </c>
      <c r="E423" t="s">
        <v>23</v>
      </c>
      <c r="F423" t="s">
        <v>24</v>
      </c>
      <c r="G423" t="s">
        <v>25</v>
      </c>
      <c r="H423" t="s">
        <v>26</v>
      </c>
      <c r="I423">
        <v>6893451</v>
      </c>
      <c r="J423" t="s">
        <v>27</v>
      </c>
      <c r="K423" t="s">
        <v>606</v>
      </c>
      <c r="L423" t="s">
        <v>21</v>
      </c>
      <c r="M423" t="str">
        <f t="shared" si="18"/>
        <v>OK</v>
      </c>
      <c r="N423" t="str">
        <f t="shared" si="19"/>
        <v>1990s</v>
      </c>
      <c r="O423" t="str">
        <f t="shared" si="20"/>
        <v>N/A</v>
      </c>
      <c r="P423" t="str">
        <f>VLOOKUP(E423,calculated_fields!$F$4:$G$6,2,FALSE)</f>
        <v>Demographics</v>
      </c>
    </row>
    <row r="424" spans="1:16">
      <c r="A424" t="s">
        <v>608</v>
      </c>
      <c r="B424" t="s">
        <v>573</v>
      </c>
      <c r="C424" t="s">
        <v>229</v>
      </c>
      <c r="D424">
        <v>1992</v>
      </c>
      <c r="E424" t="s">
        <v>29</v>
      </c>
      <c r="F424" t="s">
        <v>30</v>
      </c>
      <c r="G424" t="s">
        <v>31</v>
      </c>
      <c r="H424" t="s">
        <v>32</v>
      </c>
      <c r="I424">
        <v>2961.6996939999999</v>
      </c>
      <c r="J424" t="s">
        <v>33</v>
      </c>
      <c r="K424" t="s">
        <v>606</v>
      </c>
      <c r="L424" t="s">
        <v>21</v>
      </c>
      <c r="M424" t="str">
        <f t="shared" si="18"/>
        <v>OK</v>
      </c>
      <c r="N424" t="str">
        <f t="shared" si="19"/>
        <v>1990s</v>
      </c>
      <c r="O424" t="str">
        <f t="shared" si="20"/>
        <v>N/A</v>
      </c>
      <c r="P424" t="str">
        <f>VLOOKUP(E424,calculated_fields!$F$4:$G$6,2,FALSE)</f>
        <v>Economy</v>
      </c>
    </row>
    <row r="425" spans="1:16">
      <c r="A425" t="s">
        <v>609</v>
      </c>
      <c r="B425" t="s">
        <v>573</v>
      </c>
      <c r="C425" t="s">
        <v>229</v>
      </c>
      <c r="D425">
        <v>1997</v>
      </c>
      <c r="E425" t="s">
        <v>15</v>
      </c>
      <c r="F425" t="s">
        <v>16</v>
      </c>
      <c r="G425" t="s">
        <v>17</v>
      </c>
      <c r="H425" t="s">
        <v>18</v>
      </c>
      <c r="I425">
        <v>62.05</v>
      </c>
      <c r="J425" t="s">
        <v>19</v>
      </c>
      <c r="K425" t="s">
        <v>610</v>
      </c>
      <c r="L425" t="s">
        <v>21</v>
      </c>
      <c r="M425" t="str">
        <f t="shared" si="18"/>
        <v>OK</v>
      </c>
      <c r="N425" t="str">
        <f t="shared" si="19"/>
        <v>1990s</v>
      </c>
      <c r="O425" t="str">
        <f t="shared" si="20"/>
        <v>Medium</v>
      </c>
      <c r="P425" t="str">
        <f>VLOOKUP(E425,calculated_fields!$F$4:$G$6,2,FALSE)</f>
        <v>Health</v>
      </c>
    </row>
    <row r="426" spans="1:16">
      <c r="A426" t="s">
        <v>611</v>
      </c>
      <c r="B426" t="s">
        <v>573</v>
      </c>
      <c r="C426" t="s">
        <v>229</v>
      </c>
      <c r="D426">
        <v>1997</v>
      </c>
      <c r="E426" t="s">
        <v>23</v>
      </c>
      <c r="F426" t="s">
        <v>24</v>
      </c>
      <c r="G426" t="s">
        <v>25</v>
      </c>
      <c r="H426" t="s">
        <v>26</v>
      </c>
      <c r="I426">
        <v>7693188</v>
      </c>
      <c r="J426" t="s">
        <v>27</v>
      </c>
      <c r="K426" t="s">
        <v>610</v>
      </c>
      <c r="L426" t="s">
        <v>21</v>
      </c>
      <c r="M426" t="str">
        <f t="shared" si="18"/>
        <v>OK</v>
      </c>
      <c r="N426" t="str">
        <f t="shared" si="19"/>
        <v>1990s</v>
      </c>
      <c r="O426" t="str">
        <f t="shared" si="20"/>
        <v>N/A</v>
      </c>
      <c r="P426" t="str">
        <f>VLOOKUP(E426,calculated_fields!$F$4:$G$6,2,FALSE)</f>
        <v>Demographics</v>
      </c>
    </row>
    <row r="427" spans="1:16">
      <c r="A427" t="s">
        <v>612</v>
      </c>
      <c r="B427" t="s">
        <v>573</v>
      </c>
      <c r="C427" t="s">
        <v>229</v>
      </c>
      <c r="D427">
        <v>1997</v>
      </c>
      <c r="E427" t="s">
        <v>29</v>
      </c>
      <c r="F427" t="s">
        <v>30</v>
      </c>
      <c r="G427" t="s">
        <v>31</v>
      </c>
      <c r="H427" t="s">
        <v>32</v>
      </c>
      <c r="I427">
        <v>3326.1431910000001</v>
      </c>
      <c r="J427" t="s">
        <v>33</v>
      </c>
      <c r="K427" t="s">
        <v>610</v>
      </c>
      <c r="L427" t="s">
        <v>21</v>
      </c>
      <c r="M427" t="str">
        <f t="shared" si="18"/>
        <v>OK</v>
      </c>
      <c r="N427" t="str">
        <f t="shared" si="19"/>
        <v>1990s</v>
      </c>
      <c r="O427" t="str">
        <f t="shared" si="20"/>
        <v>N/A</v>
      </c>
      <c r="P427" t="str">
        <f>VLOOKUP(E427,calculated_fields!$F$4:$G$6,2,FALSE)</f>
        <v>Economy</v>
      </c>
    </row>
    <row r="428" spans="1:16">
      <c r="A428" t="s">
        <v>613</v>
      </c>
      <c r="B428" t="s">
        <v>573</v>
      </c>
      <c r="C428" t="s">
        <v>229</v>
      </c>
      <c r="D428">
        <v>2002</v>
      </c>
      <c r="E428" t="s">
        <v>15</v>
      </c>
      <c r="F428" t="s">
        <v>16</v>
      </c>
      <c r="G428" t="s">
        <v>17</v>
      </c>
      <c r="H428" t="s">
        <v>18</v>
      </c>
      <c r="I428">
        <v>63.883000000000003</v>
      </c>
      <c r="J428" t="s">
        <v>19</v>
      </c>
      <c r="K428" t="s">
        <v>614</v>
      </c>
      <c r="L428" t="s">
        <v>21</v>
      </c>
      <c r="M428" t="str">
        <f t="shared" si="18"/>
        <v>OK</v>
      </c>
      <c r="N428" t="str">
        <f t="shared" si="19"/>
        <v>2000s</v>
      </c>
      <c r="O428" t="str">
        <f t="shared" si="20"/>
        <v>Medium</v>
      </c>
      <c r="P428" t="str">
        <f>VLOOKUP(E428,calculated_fields!$F$4:$G$6,2,FALSE)</f>
        <v>Health</v>
      </c>
    </row>
    <row r="429" spans="1:16">
      <c r="A429" t="s">
        <v>615</v>
      </c>
      <c r="B429" t="s">
        <v>573</v>
      </c>
      <c r="C429" t="s">
        <v>229</v>
      </c>
      <c r="D429">
        <v>2002</v>
      </c>
      <c r="E429" t="s">
        <v>23</v>
      </c>
      <c r="F429" t="s">
        <v>24</v>
      </c>
      <c r="G429" t="s">
        <v>25</v>
      </c>
      <c r="H429" t="s">
        <v>26</v>
      </c>
      <c r="I429">
        <v>8445134</v>
      </c>
      <c r="J429" t="s">
        <v>27</v>
      </c>
      <c r="K429" t="s">
        <v>614</v>
      </c>
      <c r="L429" t="s">
        <v>21</v>
      </c>
      <c r="M429" t="str">
        <f t="shared" si="18"/>
        <v>OK</v>
      </c>
      <c r="N429" t="str">
        <f t="shared" si="19"/>
        <v>2000s</v>
      </c>
      <c r="O429" t="str">
        <f t="shared" si="20"/>
        <v>N/A</v>
      </c>
      <c r="P429" t="str">
        <f>VLOOKUP(E429,calculated_fields!$F$4:$G$6,2,FALSE)</f>
        <v>Demographics</v>
      </c>
    </row>
    <row r="430" spans="1:16">
      <c r="A430" t="s">
        <v>616</v>
      </c>
      <c r="B430" t="s">
        <v>573</v>
      </c>
      <c r="C430" t="s">
        <v>229</v>
      </c>
      <c r="D430">
        <v>2002</v>
      </c>
      <c r="E430" t="s">
        <v>29</v>
      </c>
      <c r="F430" t="s">
        <v>30</v>
      </c>
      <c r="G430" t="s">
        <v>31</v>
      </c>
      <c r="H430" t="s">
        <v>32</v>
      </c>
      <c r="I430">
        <v>3413.26269</v>
      </c>
      <c r="J430" t="s">
        <v>33</v>
      </c>
      <c r="K430" t="s">
        <v>614</v>
      </c>
      <c r="L430" t="s">
        <v>21</v>
      </c>
      <c r="M430" t="str">
        <f t="shared" si="18"/>
        <v>OK</v>
      </c>
      <c r="N430" t="str">
        <f t="shared" si="19"/>
        <v>2000s</v>
      </c>
      <c r="O430" t="str">
        <f t="shared" si="20"/>
        <v>N/A</v>
      </c>
      <c r="P430" t="str">
        <f>VLOOKUP(E430,calculated_fields!$F$4:$G$6,2,FALSE)</f>
        <v>Economy</v>
      </c>
    </row>
    <row r="431" spans="1:16">
      <c r="A431" t="s">
        <v>617</v>
      </c>
      <c r="B431" t="s">
        <v>573</v>
      </c>
      <c r="C431" t="s">
        <v>229</v>
      </c>
      <c r="D431">
        <v>2007</v>
      </c>
      <c r="E431" t="s">
        <v>15</v>
      </c>
      <c r="F431" t="s">
        <v>16</v>
      </c>
      <c r="G431" t="s">
        <v>17</v>
      </c>
      <c r="H431" t="s">
        <v>18</v>
      </c>
      <c r="I431">
        <v>65.554000000000002</v>
      </c>
      <c r="J431" t="s">
        <v>19</v>
      </c>
      <c r="K431" t="s">
        <v>618</v>
      </c>
      <c r="L431" t="s">
        <v>21</v>
      </c>
      <c r="M431" t="str">
        <f t="shared" si="18"/>
        <v>OK</v>
      </c>
      <c r="N431" t="str">
        <f t="shared" si="19"/>
        <v>2000s</v>
      </c>
      <c r="O431" t="str">
        <f t="shared" si="20"/>
        <v>Medium</v>
      </c>
      <c r="P431" t="str">
        <f>VLOOKUP(E431,calculated_fields!$F$4:$G$6,2,FALSE)</f>
        <v>Health</v>
      </c>
    </row>
    <row r="432" spans="1:16">
      <c r="A432" t="s">
        <v>619</v>
      </c>
      <c r="B432" t="s">
        <v>573</v>
      </c>
      <c r="C432" t="s">
        <v>229</v>
      </c>
      <c r="D432">
        <v>2007</v>
      </c>
      <c r="E432" t="s">
        <v>23</v>
      </c>
      <c r="F432" t="s">
        <v>24</v>
      </c>
      <c r="G432" t="s">
        <v>25</v>
      </c>
      <c r="H432" t="s">
        <v>26</v>
      </c>
      <c r="I432">
        <v>9119152</v>
      </c>
      <c r="J432" t="s">
        <v>27</v>
      </c>
      <c r="K432" t="s">
        <v>618</v>
      </c>
      <c r="L432" t="s">
        <v>21</v>
      </c>
      <c r="M432" t="str">
        <f t="shared" si="18"/>
        <v>OK</v>
      </c>
      <c r="N432" t="str">
        <f t="shared" si="19"/>
        <v>2000s</v>
      </c>
      <c r="O432" t="str">
        <f t="shared" si="20"/>
        <v>N/A</v>
      </c>
      <c r="P432" t="str">
        <f>VLOOKUP(E432,calculated_fields!$F$4:$G$6,2,FALSE)</f>
        <v>Demographics</v>
      </c>
    </row>
    <row r="433" spans="1:16">
      <c r="A433" t="s">
        <v>620</v>
      </c>
      <c r="B433" t="s">
        <v>573</v>
      </c>
      <c r="C433" t="s">
        <v>229</v>
      </c>
      <c r="D433">
        <v>2007</v>
      </c>
      <c r="E433" t="s">
        <v>29</v>
      </c>
      <c r="F433" t="s">
        <v>30</v>
      </c>
      <c r="G433" t="s">
        <v>31</v>
      </c>
      <c r="H433" t="s">
        <v>32</v>
      </c>
      <c r="I433">
        <v>3822.137084</v>
      </c>
      <c r="J433" t="s">
        <v>33</v>
      </c>
      <c r="K433" t="s">
        <v>618</v>
      </c>
      <c r="L433" t="s">
        <v>21</v>
      </c>
      <c r="M433" t="str">
        <f t="shared" si="18"/>
        <v>OK</v>
      </c>
      <c r="N433" t="str">
        <f t="shared" si="19"/>
        <v>2000s</v>
      </c>
      <c r="O433" t="str">
        <f t="shared" si="20"/>
        <v>N/A</v>
      </c>
      <c r="P433" t="str">
        <f>VLOOKUP(E433,calculated_fields!$F$4:$G$6,2,FALSE)</f>
        <v>Economy</v>
      </c>
    </row>
    <row r="434" spans="1:16">
      <c r="A434" t="s">
        <v>621</v>
      </c>
      <c r="B434" t="s">
        <v>622</v>
      </c>
      <c r="C434" t="s">
        <v>80</v>
      </c>
      <c r="D434">
        <v>1952</v>
      </c>
      <c r="E434" t="s">
        <v>15</v>
      </c>
      <c r="F434" t="s">
        <v>16</v>
      </c>
      <c r="G434" t="s">
        <v>17</v>
      </c>
      <c r="H434" t="s">
        <v>18</v>
      </c>
      <c r="I434">
        <v>53.82</v>
      </c>
      <c r="J434" t="s">
        <v>19</v>
      </c>
      <c r="K434" t="s">
        <v>623</v>
      </c>
      <c r="L434" t="s">
        <v>21</v>
      </c>
      <c r="M434" t="str">
        <f t="shared" si="18"/>
        <v>OK</v>
      </c>
      <c r="N434" t="str">
        <f t="shared" si="19"/>
        <v>1950s</v>
      </c>
      <c r="O434" t="str">
        <f t="shared" si="20"/>
        <v>Low</v>
      </c>
      <c r="P434" t="str">
        <f>VLOOKUP(E434,calculated_fields!$F$4:$G$6,2,FALSE)</f>
        <v>Health</v>
      </c>
    </row>
    <row r="435" spans="1:16">
      <c r="A435" t="s">
        <v>624</v>
      </c>
      <c r="B435" t="s">
        <v>622</v>
      </c>
      <c r="C435" t="s">
        <v>80</v>
      </c>
      <c r="D435">
        <v>1952</v>
      </c>
      <c r="E435" t="s">
        <v>23</v>
      </c>
      <c r="F435" t="s">
        <v>24</v>
      </c>
      <c r="G435" t="s">
        <v>25</v>
      </c>
      <c r="H435" t="s">
        <v>26</v>
      </c>
      <c r="I435">
        <v>2791000</v>
      </c>
      <c r="J435" t="s">
        <v>27</v>
      </c>
      <c r="K435" t="s">
        <v>623</v>
      </c>
      <c r="L435" t="s">
        <v>21</v>
      </c>
      <c r="M435" t="str">
        <f t="shared" si="18"/>
        <v>OK</v>
      </c>
      <c r="N435" t="str">
        <f t="shared" si="19"/>
        <v>1950s</v>
      </c>
      <c r="O435" t="str">
        <f t="shared" si="20"/>
        <v>N/A</v>
      </c>
      <c r="P435" t="str">
        <f>VLOOKUP(E435,calculated_fields!$F$4:$G$6,2,FALSE)</f>
        <v>Demographics</v>
      </c>
    </row>
    <row r="436" spans="1:16">
      <c r="A436" t="s">
        <v>625</v>
      </c>
      <c r="B436" t="s">
        <v>622</v>
      </c>
      <c r="C436" t="s">
        <v>80</v>
      </c>
      <c r="D436">
        <v>1952</v>
      </c>
      <c r="E436" t="s">
        <v>29</v>
      </c>
      <c r="F436" t="s">
        <v>30</v>
      </c>
      <c r="G436" t="s">
        <v>31</v>
      </c>
      <c r="H436" t="s">
        <v>32</v>
      </c>
      <c r="I436">
        <v>973.53319480000005</v>
      </c>
      <c r="J436" t="s">
        <v>33</v>
      </c>
      <c r="K436" t="s">
        <v>623</v>
      </c>
      <c r="L436" t="s">
        <v>21</v>
      </c>
      <c r="M436" t="str">
        <f t="shared" si="18"/>
        <v>OK</v>
      </c>
      <c r="N436" t="str">
        <f t="shared" si="19"/>
        <v>1950s</v>
      </c>
      <c r="O436" t="str">
        <f t="shared" si="20"/>
        <v>N/A</v>
      </c>
      <c r="P436" t="str">
        <f>VLOOKUP(E436,calculated_fields!$F$4:$G$6,2,FALSE)</f>
        <v>Economy</v>
      </c>
    </row>
    <row r="437" spans="1:16">
      <c r="A437" t="s">
        <v>626</v>
      </c>
      <c r="B437" t="s">
        <v>622</v>
      </c>
      <c r="C437" t="s">
        <v>80</v>
      </c>
      <c r="D437">
        <v>1957</v>
      </c>
      <c r="E437" t="s">
        <v>15</v>
      </c>
      <c r="F437" t="s">
        <v>16</v>
      </c>
      <c r="G437" t="s">
        <v>17</v>
      </c>
      <c r="H437" t="s">
        <v>18</v>
      </c>
      <c r="I437">
        <v>58.45</v>
      </c>
      <c r="J437" t="s">
        <v>19</v>
      </c>
      <c r="K437" t="s">
        <v>627</v>
      </c>
      <c r="L437" t="s">
        <v>21</v>
      </c>
      <c r="M437" t="str">
        <f t="shared" si="18"/>
        <v>OK</v>
      </c>
      <c r="N437" t="str">
        <f t="shared" si="19"/>
        <v>1950s</v>
      </c>
      <c r="O437" t="str">
        <f t="shared" si="20"/>
        <v>Medium</v>
      </c>
      <c r="P437" t="str">
        <f>VLOOKUP(E437,calculated_fields!$F$4:$G$6,2,FALSE)</f>
        <v>Health</v>
      </c>
    </row>
    <row r="438" spans="1:16">
      <c r="A438" t="s">
        <v>628</v>
      </c>
      <c r="B438" t="s">
        <v>622</v>
      </c>
      <c r="C438" t="s">
        <v>80</v>
      </c>
      <c r="D438">
        <v>1957</v>
      </c>
      <c r="E438" t="s">
        <v>23</v>
      </c>
      <c r="F438" t="s">
        <v>24</v>
      </c>
      <c r="G438" t="s">
        <v>25</v>
      </c>
      <c r="H438" t="s">
        <v>26</v>
      </c>
      <c r="I438">
        <v>3076000</v>
      </c>
      <c r="J438" t="s">
        <v>27</v>
      </c>
      <c r="K438" t="s">
        <v>627</v>
      </c>
      <c r="L438" t="s">
        <v>21</v>
      </c>
      <c r="M438" t="str">
        <f t="shared" si="18"/>
        <v>OK</v>
      </c>
      <c r="N438" t="str">
        <f t="shared" si="19"/>
        <v>1950s</v>
      </c>
      <c r="O438" t="str">
        <f t="shared" si="20"/>
        <v>N/A</v>
      </c>
      <c r="P438" t="str">
        <f>VLOOKUP(E438,calculated_fields!$F$4:$G$6,2,FALSE)</f>
        <v>Demographics</v>
      </c>
    </row>
    <row r="439" spans="1:16">
      <c r="A439" t="s">
        <v>629</v>
      </c>
      <c r="B439" t="s">
        <v>622</v>
      </c>
      <c r="C439" t="s">
        <v>80</v>
      </c>
      <c r="D439">
        <v>1957</v>
      </c>
      <c r="E439" t="s">
        <v>29</v>
      </c>
      <c r="F439" t="s">
        <v>30</v>
      </c>
      <c r="G439" t="s">
        <v>31</v>
      </c>
      <c r="H439" t="s">
        <v>32</v>
      </c>
      <c r="I439">
        <v>1353.989176</v>
      </c>
      <c r="J439" t="s">
        <v>33</v>
      </c>
      <c r="K439" t="s">
        <v>627</v>
      </c>
      <c r="L439" t="s">
        <v>21</v>
      </c>
      <c r="M439" t="str">
        <f t="shared" si="18"/>
        <v>OK</v>
      </c>
      <c r="N439" t="str">
        <f t="shared" si="19"/>
        <v>1950s</v>
      </c>
      <c r="O439" t="str">
        <f t="shared" si="20"/>
        <v>N/A</v>
      </c>
      <c r="P439" t="str">
        <f>VLOOKUP(E439,calculated_fields!$F$4:$G$6,2,FALSE)</f>
        <v>Economy</v>
      </c>
    </row>
    <row r="440" spans="1:16">
      <c r="A440" t="s">
        <v>630</v>
      </c>
      <c r="B440" t="s">
        <v>622</v>
      </c>
      <c r="C440" t="s">
        <v>80</v>
      </c>
      <c r="D440">
        <v>1962</v>
      </c>
      <c r="E440" t="s">
        <v>15</v>
      </c>
      <c r="F440" t="s">
        <v>16</v>
      </c>
      <c r="G440" t="s">
        <v>17</v>
      </c>
      <c r="H440" t="s">
        <v>18</v>
      </c>
      <c r="I440">
        <v>61.93</v>
      </c>
      <c r="J440" t="s">
        <v>19</v>
      </c>
      <c r="K440" t="s">
        <v>631</v>
      </c>
      <c r="L440" t="s">
        <v>21</v>
      </c>
      <c r="M440" t="str">
        <f t="shared" si="18"/>
        <v>OK</v>
      </c>
      <c r="N440" t="str">
        <f t="shared" si="19"/>
        <v>1960s</v>
      </c>
      <c r="O440" t="str">
        <f t="shared" si="20"/>
        <v>Medium</v>
      </c>
      <c r="P440" t="str">
        <f>VLOOKUP(E440,calculated_fields!$F$4:$G$6,2,FALSE)</f>
        <v>Health</v>
      </c>
    </row>
    <row r="441" spans="1:16">
      <c r="A441" t="s">
        <v>632</v>
      </c>
      <c r="B441" t="s">
        <v>622</v>
      </c>
      <c r="C441" t="s">
        <v>80</v>
      </c>
      <c r="D441">
        <v>1962</v>
      </c>
      <c r="E441" t="s">
        <v>23</v>
      </c>
      <c r="F441" t="s">
        <v>24</v>
      </c>
      <c r="G441" t="s">
        <v>25</v>
      </c>
      <c r="H441" t="s">
        <v>26</v>
      </c>
      <c r="I441">
        <v>3349000</v>
      </c>
      <c r="J441" t="s">
        <v>27</v>
      </c>
      <c r="K441" t="s">
        <v>631</v>
      </c>
      <c r="L441" t="s">
        <v>21</v>
      </c>
      <c r="M441" t="str">
        <f t="shared" si="18"/>
        <v>OK</v>
      </c>
      <c r="N441" t="str">
        <f t="shared" si="19"/>
        <v>1960s</v>
      </c>
      <c r="O441" t="str">
        <f t="shared" si="20"/>
        <v>N/A</v>
      </c>
      <c r="P441" t="str">
        <f>VLOOKUP(E441,calculated_fields!$F$4:$G$6,2,FALSE)</f>
        <v>Demographics</v>
      </c>
    </row>
    <row r="442" spans="1:16">
      <c r="A442" t="s">
        <v>633</v>
      </c>
      <c r="B442" t="s">
        <v>622</v>
      </c>
      <c r="C442" t="s">
        <v>80</v>
      </c>
      <c r="D442">
        <v>1962</v>
      </c>
      <c r="E442" t="s">
        <v>29</v>
      </c>
      <c r="F442" t="s">
        <v>30</v>
      </c>
      <c r="G442" t="s">
        <v>31</v>
      </c>
      <c r="H442" t="s">
        <v>32</v>
      </c>
      <c r="I442">
        <v>1709.683679</v>
      </c>
      <c r="J442" t="s">
        <v>33</v>
      </c>
      <c r="K442" t="s">
        <v>631</v>
      </c>
      <c r="L442" t="s">
        <v>21</v>
      </c>
      <c r="M442" t="str">
        <f t="shared" si="18"/>
        <v>OK</v>
      </c>
      <c r="N442" t="str">
        <f t="shared" si="19"/>
        <v>1960s</v>
      </c>
      <c r="O442" t="str">
        <f t="shared" si="20"/>
        <v>N/A</v>
      </c>
      <c r="P442" t="str">
        <f>VLOOKUP(E442,calculated_fields!$F$4:$G$6,2,FALSE)</f>
        <v>Economy</v>
      </c>
    </row>
    <row r="443" spans="1:16">
      <c r="A443" t="s">
        <v>634</v>
      </c>
      <c r="B443" t="s">
        <v>622</v>
      </c>
      <c r="C443" t="s">
        <v>80</v>
      </c>
      <c r="D443">
        <v>1967</v>
      </c>
      <c r="E443" t="s">
        <v>15</v>
      </c>
      <c r="F443" t="s">
        <v>16</v>
      </c>
      <c r="G443" t="s">
        <v>17</v>
      </c>
      <c r="H443" t="s">
        <v>18</v>
      </c>
      <c r="I443">
        <v>64.790000000000006</v>
      </c>
      <c r="J443" t="s">
        <v>19</v>
      </c>
      <c r="K443" t="s">
        <v>635</v>
      </c>
      <c r="L443" t="s">
        <v>21</v>
      </c>
      <c r="M443" t="str">
        <f t="shared" si="18"/>
        <v>OK</v>
      </c>
      <c r="N443" t="str">
        <f t="shared" si="19"/>
        <v>1960s</v>
      </c>
      <c r="O443" t="str">
        <f t="shared" si="20"/>
        <v>Medium</v>
      </c>
      <c r="P443" t="str">
        <f>VLOOKUP(E443,calculated_fields!$F$4:$G$6,2,FALSE)</f>
        <v>Health</v>
      </c>
    </row>
    <row r="444" spans="1:16">
      <c r="A444" t="s">
        <v>636</v>
      </c>
      <c r="B444" t="s">
        <v>622</v>
      </c>
      <c r="C444" t="s">
        <v>80</v>
      </c>
      <c r="D444">
        <v>1967</v>
      </c>
      <c r="E444" t="s">
        <v>23</v>
      </c>
      <c r="F444" t="s">
        <v>24</v>
      </c>
      <c r="G444" t="s">
        <v>25</v>
      </c>
      <c r="H444" t="s">
        <v>26</v>
      </c>
      <c r="I444">
        <v>3585000</v>
      </c>
      <c r="J444" t="s">
        <v>27</v>
      </c>
      <c r="K444" t="s">
        <v>635</v>
      </c>
      <c r="L444" t="s">
        <v>21</v>
      </c>
      <c r="M444" t="str">
        <f t="shared" si="18"/>
        <v>OK</v>
      </c>
      <c r="N444" t="str">
        <f t="shared" si="19"/>
        <v>1960s</v>
      </c>
      <c r="O444" t="str">
        <f t="shared" si="20"/>
        <v>N/A</v>
      </c>
      <c r="P444" t="str">
        <f>VLOOKUP(E444,calculated_fields!$F$4:$G$6,2,FALSE)</f>
        <v>Demographics</v>
      </c>
    </row>
    <row r="445" spans="1:16">
      <c r="A445" t="s">
        <v>637</v>
      </c>
      <c r="B445" t="s">
        <v>622</v>
      </c>
      <c r="C445" t="s">
        <v>80</v>
      </c>
      <c r="D445">
        <v>1967</v>
      </c>
      <c r="E445" t="s">
        <v>29</v>
      </c>
      <c r="F445" t="s">
        <v>30</v>
      </c>
      <c r="G445" t="s">
        <v>31</v>
      </c>
      <c r="H445" t="s">
        <v>32</v>
      </c>
      <c r="I445">
        <v>2172.3524229999998</v>
      </c>
      <c r="J445" t="s">
        <v>33</v>
      </c>
      <c r="K445" t="s">
        <v>635</v>
      </c>
      <c r="L445" t="s">
        <v>21</v>
      </c>
      <c r="M445" t="str">
        <f t="shared" si="18"/>
        <v>OK</v>
      </c>
      <c r="N445" t="str">
        <f t="shared" si="19"/>
        <v>1960s</v>
      </c>
      <c r="O445" t="str">
        <f t="shared" si="20"/>
        <v>N/A</v>
      </c>
      <c r="P445" t="str">
        <f>VLOOKUP(E445,calculated_fields!$F$4:$G$6,2,FALSE)</f>
        <v>Economy</v>
      </c>
    </row>
    <row r="446" spans="1:16">
      <c r="A446" t="s">
        <v>638</v>
      </c>
      <c r="B446" t="s">
        <v>622</v>
      </c>
      <c r="C446" t="s">
        <v>80</v>
      </c>
      <c r="D446">
        <v>1972</v>
      </c>
      <c r="E446" t="s">
        <v>15</v>
      </c>
      <c r="F446" t="s">
        <v>16</v>
      </c>
      <c r="G446" t="s">
        <v>17</v>
      </c>
      <c r="H446" t="s">
        <v>18</v>
      </c>
      <c r="I446">
        <v>67.45</v>
      </c>
      <c r="J446" t="s">
        <v>19</v>
      </c>
      <c r="K446" t="s">
        <v>639</v>
      </c>
      <c r="L446" t="s">
        <v>21</v>
      </c>
      <c r="M446" t="str">
        <f t="shared" si="18"/>
        <v>OK</v>
      </c>
      <c r="N446" t="str">
        <f t="shared" si="19"/>
        <v>1970s</v>
      </c>
      <c r="O446" t="str">
        <f t="shared" si="20"/>
        <v>Medium</v>
      </c>
      <c r="P446" t="str">
        <f>VLOOKUP(E446,calculated_fields!$F$4:$G$6,2,FALSE)</f>
        <v>Health</v>
      </c>
    </row>
    <row r="447" spans="1:16">
      <c r="A447" t="s">
        <v>640</v>
      </c>
      <c r="B447" t="s">
        <v>622</v>
      </c>
      <c r="C447" t="s">
        <v>80</v>
      </c>
      <c r="D447">
        <v>1972</v>
      </c>
      <c r="E447" t="s">
        <v>23</v>
      </c>
      <c r="F447" t="s">
        <v>24</v>
      </c>
      <c r="G447" t="s">
        <v>25</v>
      </c>
      <c r="H447" t="s">
        <v>26</v>
      </c>
      <c r="I447">
        <v>3819000</v>
      </c>
      <c r="J447" t="s">
        <v>27</v>
      </c>
      <c r="K447" t="s">
        <v>639</v>
      </c>
      <c r="L447" t="s">
        <v>21</v>
      </c>
      <c r="M447" t="str">
        <f t="shared" si="18"/>
        <v>OK</v>
      </c>
      <c r="N447" t="str">
        <f t="shared" si="19"/>
        <v>1970s</v>
      </c>
      <c r="O447" t="str">
        <f t="shared" si="20"/>
        <v>N/A</v>
      </c>
      <c r="P447" t="str">
        <f>VLOOKUP(E447,calculated_fields!$F$4:$G$6,2,FALSE)</f>
        <v>Demographics</v>
      </c>
    </row>
    <row r="448" spans="1:16">
      <c r="A448" t="s">
        <v>641</v>
      </c>
      <c r="B448" t="s">
        <v>622</v>
      </c>
      <c r="C448" t="s">
        <v>80</v>
      </c>
      <c r="D448">
        <v>1972</v>
      </c>
      <c r="E448" t="s">
        <v>29</v>
      </c>
      <c r="F448" t="s">
        <v>30</v>
      </c>
      <c r="G448" t="s">
        <v>31</v>
      </c>
      <c r="H448" t="s">
        <v>32</v>
      </c>
      <c r="I448">
        <v>2860.16975</v>
      </c>
      <c r="J448" t="s">
        <v>33</v>
      </c>
      <c r="K448" t="s">
        <v>639</v>
      </c>
      <c r="L448" t="s">
        <v>21</v>
      </c>
      <c r="M448" t="str">
        <f t="shared" si="18"/>
        <v>OK</v>
      </c>
      <c r="N448" t="str">
        <f t="shared" si="19"/>
        <v>1970s</v>
      </c>
      <c r="O448" t="str">
        <f t="shared" si="20"/>
        <v>N/A</v>
      </c>
      <c r="P448" t="str">
        <f>VLOOKUP(E448,calculated_fields!$F$4:$G$6,2,FALSE)</f>
        <v>Economy</v>
      </c>
    </row>
    <row r="449" spans="1:16">
      <c r="A449" t="s">
        <v>642</v>
      </c>
      <c r="B449" t="s">
        <v>622</v>
      </c>
      <c r="C449" t="s">
        <v>80</v>
      </c>
      <c r="D449">
        <v>1977</v>
      </c>
      <c r="E449" t="s">
        <v>15</v>
      </c>
      <c r="F449" t="s">
        <v>16</v>
      </c>
      <c r="G449" t="s">
        <v>17</v>
      </c>
      <c r="H449" t="s">
        <v>18</v>
      </c>
      <c r="I449">
        <v>69.86</v>
      </c>
      <c r="J449" t="s">
        <v>19</v>
      </c>
      <c r="K449" t="s">
        <v>643</v>
      </c>
      <c r="L449" t="s">
        <v>21</v>
      </c>
      <c r="M449" t="str">
        <f t="shared" si="18"/>
        <v>OK</v>
      </c>
      <c r="N449" t="str">
        <f t="shared" si="19"/>
        <v>1970s</v>
      </c>
      <c r="O449" t="str">
        <f t="shared" si="20"/>
        <v>Medium</v>
      </c>
      <c r="P449" t="str">
        <f>VLOOKUP(E449,calculated_fields!$F$4:$G$6,2,FALSE)</f>
        <v>Health</v>
      </c>
    </row>
    <row r="450" spans="1:16">
      <c r="A450" t="s">
        <v>644</v>
      </c>
      <c r="B450" t="s">
        <v>622</v>
      </c>
      <c r="C450" t="s">
        <v>80</v>
      </c>
      <c r="D450">
        <v>1977</v>
      </c>
      <c r="E450" t="s">
        <v>23</v>
      </c>
      <c r="F450" t="s">
        <v>24</v>
      </c>
      <c r="G450" t="s">
        <v>25</v>
      </c>
      <c r="H450" t="s">
        <v>26</v>
      </c>
      <c r="I450">
        <v>4086000</v>
      </c>
      <c r="J450" t="s">
        <v>27</v>
      </c>
      <c r="K450" t="s">
        <v>643</v>
      </c>
      <c r="L450" t="s">
        <v>21</v>
      </c>
      <c r="M450" t="str">
        <f t="shared" ref="M450:M513" si="21">IF(AND(ISNUMBER(I450),I450&gt;=0),"OK","Review")</f>
        <v>OK</v>
      </c>
      <c r="N450" t="str">
        <f t="shared" ref="N450:N513" si="22">FLOOR(D450,10)&amp;"s"</f>
        <v>1970s</v>
      </c>
      <c r="O450" t="str">
        <f t="shared" ref="O450:O513" si="23">IF(E450="LIFE_EXP",IF(I450&gt;=70,"High",IF(I450&gt;=55,"Medium","Low")),"N/A")</f>
        <v>N/A</v>
      </c>
      <c r="P450" t="str">
        <f>VLOOKUP(E450,calculated_fields!$F$4:$G$6,2,FALSE)</f>
        <v>Demographics</v>
      </c>
    </row>
    <row r="451" spans="1:16">
      <c r="A451" t="s">
        <v>645</v>
      </c>
      <c r="B451" t="s">
        <v>622</v>
      </c>
      <c r="C451" t="s">
        <v>80</v>
      </c>
      <c r="D451">
        <v>1977</v>
      </c>
      <c r="E451" t="s">
        <v>29</v>
      </c>
      <c r="F451" t="s">
        <v>30</v>
      </c>
      <c r="G451" t="s">
        <v>31</v>
      </c>
      <c r="H451" t="s">
        <v>32</v>
      </c>
      <c r="I451">
        <v>3528.4813049999998</v>
      </c>
      <c r="J451" t="s">
        <v>33</v>
      </c>
      <c r="K451" t="s">
        <v>643</v>
      </c>
      <c r="L451" t="s">
        <v>21</v>
      </c>
      <c r="M451" t="str">
        <f t="shared" si="21"/>
        <v>OK</v>
      </c>
      <c r="N451" t="str">
        <f t="shared" si="22"/>
        <v>1970s</v>
      </c>
      <c r="O451" t="str">
        <f t="shared" si="23"/>
        <v>N/A</v>
      </c>
      <c r="P451" t="str">
        <f>VLOOKUP(E451,calculated_fields!$F$4:$G$6,2,FALSE)</f>
        <v>Economy</v>
      </c>
    </row>
    <row r="452" spans="1:16">
      <c r="A452" t="s">
        <v>646</v>
      </c>
      <c r="B452" t="s">
        <v>622</v>
      </c>
      <c r="C452" t="s">
        <v>80</v>
      </c>
      <c r="D452">
        <v>1982</v>
      </c>
      <c r="E452" t="s">
        <v>15</v>
      </c>
      <c r="F452" t="s">
        <v>16</v>
      </c>
      <c r="G452" t="s">
        <v>17</v>
      </c>
      <c r="H452" t="s">
        <v>18</v>
      </c>
      <c r="I452">
        <v>70.69</v>
      </c>
      <c r="J452" t="s">
        <v>19</v>
      </c>
      <c r="K452" t="s">
        <v>647</v>
      </c>
      <c r="L452" t="s">
        <v>21</v>
      </c>
      <c r="M452" t="str">
        <f t="shared" si="21"/>
        <v>OK</v>
      </c>
      <c r="N452" t="str">
        <f t="shared" si="22"/>
        <v>1980s</v>
      </c>
      <c r="O452" t="str">
        <f t="shared" si="23"/>
        <v>High</v>
      </c>
      <c r="P452" t="str">
        <f>VLOOKUP(E452,calculated_fields!$F$4:$G$6,2,FALSE)</f>
        <v>Health</v>
      </c>
    </row>
    <row r="453" spans="1:16">
      <c r="A453" t="s">
        <v>648</v>
      </c>
      <c r="B453" t="s">
        <v>622</v>
      </c>
      <c r="C453" t="s">
        <v>80</v>
      </c>
      <c r="D453">
        <v>1982</v>
      </c>
      <c r="E453" t="s">
        <v>23</v>
      </c>
      <c r="F453" t="s">
        <v>24</v>
      </c>
      <c r="G453" t="s">
        <v>25</v>
      </c>
      <c r="H453" t="s">
        <v>26</v>
      </c>
      <c r="I453">
        <v>4172693</v>
      </c>
      <c r="J453" t="s">
        <v>27</v>
      </c>
      <c r="K453" t="s">
        <v>647</v>
      </c>
      <c r="L453" t="s">
        <v>21</v>
      </c>
      <c r="M453" t="str">
        <f t="shared" si="21"/>
        <v>OK</v>
      </c>
      <c r="N453" t="str">
        <f t="shared" si="22"/>
        <v>1980s</v>
      </c>
      <c r="O453" t="str">
        <f t="shared" si="23"/>
        <v>N/A</v>
      </c>
      <c r="P453" t="str">
        <f>VLOOKUP(E453,calculated_fields!$F$4:$G$6,2,FALSE)</f>
        <v>Demographics</v>
      </c>
    </row>
    <row r="454" spans="1:16">
      <c r="A454" t="s">
        <v>649</v>
      </c>
      <c r="B454" t="s">
        <v>622</v>
      </c>
      <c r="C454" t="s">
        <v>80</v>
      </c>
      <c r="D454">
        <v>1982</v>
      </c>
      <c r="E454" t="s">
        <v>29</v>
      </c>
      <c r="F454" t="s">
        <v>30</v>
      </c>
      <c r="G454" t="s">
        <v>31</v>
      </c>
      <c r="H454" t="s">
        <v>32</v>
      </c>
      <c r="I454">
        <v>4126.6131569999998</v>
      </c>
      <c r="J454" t="s">
        <v>33</v>
      </c>
      <c r="K454" t="s">
        <v>647</v>
      </c>
      <c r="L454" t="s">
        <v>21</v>
      </c>
      <c r="M454" t="str">
        <f t="shared" si="21"/>
        <v>OK</v>
      </c>
      <c r="N454" t="str">
        <f t="shared" si="22"/>
        <v>1980s</v>
      </c>
      <c r="O454" t="str">
        <f t="shared" si="23"/>
        <v>N/A</v>
      </c>
      <c r="P454" t="str">
        <f>VLOOKUP(E454,calculated_fields!$F$4:$G$6,2,FALSE)</f>
        <v>Economy</v>
      </c>
    </row>
    <row r="455" spans="1:16">
      <c r="A455" t="s">
        <v>650</v>
      </c>
      <c r="B455" t="s">
        <v>622</v>
      </c>
      <c r="C455" t="s">
        <v>80</v>
      </c>
      <c r="D455">
        <v>1987</v>
      </c>
      <c r="E455" t="s">
        <v>15</v>
      </c>
      <c r="F455" t="s">
        <v>16</v>
      </c>
      <c r="G455" t="s">
        <v>17</v>
      </c>
      <c r="H455" t="s">
        <v>18</v>
      </c>
      <c r="I455">
        <v>71.14</v>
      </c>
      <c r="J455" t="s">
        <v>19</v>
      </c>
      <c r="K455" t="s">
        <v>651</v>
      </c>
      <c r="L455" t="s">
        <v>21</v>
      </c>
      <c r="M455" t="str">
        <f t="shared" si="21"/>
        <v>OK</v>
      </c>
      <c r="N455" t="str">
        <f t="shared" si="22"/>
        <v>1980s</v>
      </c>
      <c r="O455" t="str">
        <f t="shared" si="23"/>
        <v>High</v>
      </c>
      <c r="P455" t="str">
        <f>VLOOKUP(E455,calculated_fields!$F$4:$G$6,2,FALSE)</f>
        <v>Health</v>
      </c>
    </row>
    <row r="456" spans="1:16">
      <c r="A456" t="s">
        <v>652</v>
      </c>
      <c r="B456" t="s">
        <v>622</v>
      </c>
      <c r="C456" t="s">
        <v>80</v>
      </c>
      <c r="D456">
        <v>1987</v>
      </c>
      <c r="E456" t="s">
        <v>23</v>
      </c>
      <c r="F456" t="s">
        <v>24</v>
      </c>
      <c r="G456" t="s">
        <v>25</v>
      </c>
      <c r="H456" t="s">
        <v>26</v>
      </c>
      <c r="I456">
        <v>4338977</v>
      </c>
      <c r="J456" t="s">
        <v>27</v>
      </c>
      <c r="K456" t="s">
        <v>651</v>
      </c>
      <c r="L456" t="s">
        <v>21</v>
      </c>
      <c r="M456" t="str">
        <f t="shared" si="21"/>
        <v>OK</v>
      </c>
      <c r="N456" t="str">
        <f t="shared" si="22"/>
        <v>1980s</v>
      </c>
      <c r="O456" t="str">
        <f t="shared" si="23"/>
        <v>N/A</v>
      </c>
      <c r="P456" t="str">
        <f>VLOOKUP(E456,calculated_fields!$F$4:$G$6,2,FALSE)</f>
        <v>Demographics</v>
      </c>
    </row>
    <row r="457" spans="1:16">
      <c r="A457" t="s">
        <v>653</v>
      </c>
      <c r="B457" t="s">
        <v>622</v>
      </c>
      <c r="C457" t="s">
        <v>80</v>
      </c>
      <c r="D457">
        <v>1987</v>
      </c>
      <c r="E457" t="s">
        <v>29</v>
      </c>
      <c r="F457" t="s">
        <v>30</v>
      </c>
      <c r="G457" t="s">
        <v>31</v>
      </c>
      <c r="H457" t="s">
        <v>32</v>
      </c>
      <c r="I457">
        <v>4314.1147570000003</v>
      </c>
      <c r="J457" t="s">
        <v>33</v>
      </c>
      <c r="K457" t="s">
        <v>651</v>
      </c>
      <c r="L457" t="s">
        <v>21</v>
      </c>
      <c r="M457" t="str">
        <f t="shared" si="21"/>
        <v>OK</v>
      </c>
      <c r="N457" t="str">
        <f t="shared" si="22"/>
        <v>1980s</v>
      </c>
      <c r="O457" t="str">
        <f t="shared" si="23"/>
        <v>N/A</v>
      </c>
      <c r="P457" t="str">
        <f>VLOOKUP(E457,calculated_fields!$F$4:$G$6,2,FALSE)</f>
        <v>Economy</v>
      </c>
    </row>
    <row r="458" spans="1:16">
      <c r="A458" t="s">
        <v>654</v>
      </c>
      <c r="B458" t="s">
        <v>622</v>
      </c>
      <c r="C458" t="s">
        <v>80</v>
      </c>
      <c r="D458">
        <v>1992</v>
      </c>
      <c r="E458" t="s">
        <v>15</v>
      </c>
      <c r="F458" t="s">
        <v>16</v>
      </c>
      <c r="G458" t="s">
        <v>17</v>
      </c>
      <c r="H458" t="s">
        <v>18</v>
      </c>
      <c r="I458">
        <v>72.177999999999997</v>
      </c>
      <c r="J458" t="s">
        <v>19</v>
      </c>
      <c r="K458" t="s">
        <v>655</v>
      </c>
      <c r="L458" t="s">
        <v>21</v>
      </c>
      <c r="M458" t="str">
        <f t="shared" si="21"/>
        <v>OK</v>
      </c>
      <c r="N458" t="str">
        <f t="shared" si="22"/>
        <v>1990s</v>
      </c>
      <c r="O458" t="str">
        <f t="shared" si="23"/>
        <v>High</v>
      </c>
      <c r="P458" t="str">
        <f>VLOOKUP(E458,calculated_fields!$F$4:$G$6,2,FALSE)</f>
        <v>Health</v>
      </c>
    </row>
    <row r="459" spans="1:16">
      <c r="A459" t="s">
        <v>656</v>
      </c>
      <c r="B459" t="s">
        <v>622</v>
      </c>
      <c r="C459" t="s">
        <v>80</v>
      </c>
      <c r="D459">
        <v>1992</v>
      </c>
      <c r="E459" t="s">
        <v>23</v>
      </c>
      <c r="F459" t="s">
        <v>24</v>
      </c>
      <c r="G459" t="s">
        <v>25</v>
      </c>
      <c r="H459" t="s">
        <v>26</v>
      </c>
      <c r="I459">
        <v>4256013</v>
      </c>
      <c r="J459" t="s">
        <v>27</v>
      </c>
      <c r="K459" t="s">
        <v>655</v>
      </c>
      <c r="L459" t="s">
        <v>21</v>
      </c>
      <c r="M459" t="str">
        <f t="shared" si="21"/>
        <v>OK</v>
      </c>
      <c r="N459" t="str">
        <f t="shared" si="22"/>
        <v>1990s</v>
      </c>
      <c r="O459" t="str">
        <f t="shared" si="23"/>
        <v>N/A</v>
      </c>
      <c r="P459" t="str">
        <f>VLOOKUP(E459,calculated_fields!$F$4:$G$6,2,FALSE)</f>
        <v>Demographics</v>
      </c>
    </row>
    <row r="460" spans="1:16">
      <c r="A460" t="s">
        <v>657</v>
      </c>
      <c r="B460" t="s">
        <v>622</v>
      </c>
      <c r="C460" t="s">
        <v>80</v>
      </c>
      <c r="D460">
        <v>1992</v>
      </c>
      <c r="E460" t="s">
        <v>29</v>
      </c>
      <c r="F460" t="s">
        <v>30</v>
      </c>
      <c r="G460" t="s">
        <v>31</v>
      </c>
      <c r="H460" t="s">
        <v>32</v>
      </c>
      <c r="I460">
        <v>2546.7814450000001</v>
      </c>
      <c r="J460" t="s">
        <v>33</v>
      </c>
      <c r="K460" t="s">
        <v>655</v>
      </c>
      <c r="L460" t="s">
        <v>21</v>
      </c>
      <c r="M460" t="str">
        <f t="shared" si="21"/>
        <v>OK</v>
      </c>
      <c r="N460" t="str">
        <f t="shared" si="22"/>
        <v>1990s</v>
      </c>
      <c r="O460" t="str">
        <f t="shared" si="23"/>
        <v>N/A</v>
      </c>
      <c r="P460" t="str">
        <f>VLOOKUP(E460,calculated_fields!$F$4:$G$6,2,FALSE)</f>
        <v>Economy</v>
      </c>
    </row>
    <row r="461" spans="1:16">
      <c r="A461" t="s">
        <v>658</v>
      </c>
      <c r="B461" t="s">
        <v>622</v>
      </c>
      <c r="C461" t="s">
        <v>80</v>
      </c>
      <c r="D461">
        <v>1997</v>
      </c>
      <c r="E461" t="s">
        <v>15</v>
      </c>
      <c r="F461" t="s">
        <v>16</v>
      </c>
      <c r="G461" t="s">
        <v>17</v>
      </c>
      <c r="H461" t="s">
        <v>18</v>
      </c>
      <c r="I461">
        <v>73.244</v>
      </c>
      <c r="J461" t="s">
        <v>19</v>
      </c>
      <c r="K461" t="s">
        <v>659</v>
      </c>
      <c r="L461" t="s">
        <v>21</v>
      </c>
      <c r="M461" t="str">
        <f t="shared" si="21"/>
        <v>OK</v>
      </c>
      <c r="N461" t="str">
        <f t="shared" si="22"/>
        <v>1990s</v>
      </c>
      <c r="O461" t="str">
        <f t="shared" si="23"/>
        <v>High</v>
      </c>
      <c r="P461" t="str">
        <f>VLOOKUP(E461,calculated_fields!$F$4:$G$6,2,FALSE)</f>
        <v>Health</v>
      </c>
    </row>
    <row r="462" spans="1:16">
      <c r="A462" t="s">
        <v>660</v>
      </c>
      <c r="B462" t="s">
        <v>622</v>
      </c>
      <c r="C462" t="s">
        <v>80</v>
      </c>
      <c r="D462">
        <v>1997</v>
      </c>
      <c r="E462" t="s">
        <v>23</v>
      </c>
      <c r="F462" t="s">
        <v>24</v>
      </c>
      <c r="G462" t="s">
        <v>25</v>
      </c>
      <c r="H462" t="s">
        <v>26</v>
      </c>
      <c r="I462">
        <v>3607000</v>
      </c>
      <c r="J462" t="s">
        <v>27</v>
      </c>
      <c r="K462" t="s">
        <v>659</v>
      </c>
      <c r="L462" t="s">
        <v>21</v>
      </c>
      <c r="M462" t="str">
        <f t="shared" si="21"/>
        <v>OK</v>
      </c>
      <c r="N462" t="str">
        <f t="shared" si="22"/>
        <v>1990s</v>
      </c>
      <c r="O462" t="str">
        <f t="shared" si="23"/>
        <v>N/A</v>
      </c>
      <c r="P462" t="str">
        <f>VLOOKUP(E462,calculated_fields!$F$4:$G$6,2,FALSE)</f>
        <v>Demographics</v>
      </c>
    </row>
    <row r="463" spans="1:16">
      <c r="A463" t="s">
        <v>661</v>
      </c>
      <c r="B463" t="s">
        <v>622</v>
      </c>
      <c r="C463" t="s">
        <v>80</v>
      </c>
      <c r="D463">
        <v>1997</v>
      </c>
      <c r="E463" t="s">
        <v>29</v>
      </c>
      <c r="F463" t="s">
        <v>30</v>
      </c>
      <c r="G463" t="s">
        <v>31</v>
      </c>
      <c r="H463" t="s">
        <v>32</v>
      </c>
      <c r="I463">
        <v>4766.355904</v>
      </c>
      <c r="J463" t="s">
        <v>33</v>
      </c>
      <c r="K463" t="s">
        <v>659</v>
      </c>
      <c r="L463" t="s">
        <v>21</v>
      </c>
      <c r="M463" t="str">
        <f t="shared" si="21"/>
        <v>OK</v>
      </c>
      <c r="N463" t="str">
        <f t="shared" si="22"/>
        <v>1990s</v>
      </c>
      <c r="O463" t="str">
        <f t="shared" si="23"/>
        <v>N/A</v>
      </c>
      <c r="P463" t="str">
        <f>VLOOKUP(E463,calculated_fields!$F$4:$G$6,2,FALSE)</f>
        <v>Economy</v>
      </c>
    </row>
    <row r="464" spans="1:16">
      <c r="A464" t="s">
        <v>662</v>
      </c>
      <c r="B464" t="s">
        <v>622</v>
      </c>
      <c r="C464" t="s">
        <v>80</v>
      </c>
      <c r="D464">
        <v>2002</v>
      </c>
      <c r="E464" t="s">
        <v>15</v>
      </c>
      <c r="F464" t="s">
        <v>16</v>
      </c>
      <c r="G464" t="s">
        <v>17</v>
      </c>
      <c r="H464" t="s">
        <v>18</v>
      </c>
      <c r="I464">
        <v>74.09</v>
      </c>
      <c r="J464" t="s">
        <v>19</v>
      </c>
      <c r="K464" t="s">
        <v>663</v>
      </c>
      <c r="L464" t="s">
        <v>21</v>
      </c>
      <c r="M464" t="str">
        <f t="shared" si="21"/>
        <v>OK</v>
      </c>
      <c r="N464" t="str">
        <f t="shared" si="22"/>
        <v>2000s</v>
      </c>
      <c r="O464" t="str">
        <f t="shared" si="23"/>
        <v>High</v>
      </c>
      <c r="P464" t="str">
        <f>VLOOKUP(E464,calculated_fields!$F$4:$G$6,2,FALSE)</f>
        <v>Health</v>
      </c>
    </row>
    <row r="465" spans="1:16">
      <c r="A465" t="s">
        <v>664</v>
      </c>
      <c r="B465" t="s">
        <v>622</v>
      </c>
      <c r="C465" t="s">
        <v>80</v>
      </c>
      <c r="D465">
        <v>2002</v>
      </c>
      <c r="E465" t="s">
        <v>23</v>
      </c>
      <c r="F465" t="s">
        <v>24</v>
      </c>
      <c r="G465" t="s">
        <v>25</v>
      </c>
      <c r="H465" t="s">
        <v>26</v>
      </c>
      <c r="I465">
        <v>4165416</v>
      </c>
      <c r="J465" t="s">
        <v>27</v>
      </c>
      <c r="K465" t="s">
        <v>663</v>
      </c>
      <c r="L465" t="s">
        <v>21</v>
      </c>
      <c r="M465" t="str">
        <f t="shared" si="21"/>
        <v>OK</v>
      </c>
      <c r="N465" t="str">
        <f t="shared" si="22"/>
        <v>2000s</v>
      </c>
      <c r="O465" t="str">
        <f t="shared" si="23"/>
        <v>N/A</v>
      </c>
      <c r="P465" t="str">
        <f>VLOOKUP(E465,calculated_fields!$F$4:$G$6,2,FALSE)</f>
        <v>Demographics</v>
      </c>
    </row>
    <row r="466" spans="1:16">
      <c r="A466" t="s">
        <v>665</v>
      </c>
      <c r="B466" t="s">
        <v>622</v>
      </c>
      <c r="C466" t="s">
        <v>80</v>
      </c>
      <c r="D466">
        <v>2002</v>
      </c>
      <c r="E466" t="s">
        <v>29</v>
      </c>
      <c r="F466" t="s">
        <v>30</v>
      </c>
      <c r="G466" t="s">
        <v>31</v>
      </c>
      <c r="H466" t="s">
        <v>32</v>
      </c>
      <c r="I466">
        <v>6018.9752390000003</v>
      </c>
      <c r="J466" t="s">
        <v>33</v>
      </c>
      <c r="K466" t="s">
        <v>663</v>
      </c>
      <c r="L466" t="s">
        <v>21</v>
      </c>
      <c r="M466" t="str">
        <f t="shared" si="21"/>
        <v>OK</v>
      </c>
      <c r="N466" t="str">
        <f t="shared" si="22"/>
        <v>2000s</v>
      </c>
      <c r="O466" t="str">
        <f t="shared" si="23"/>
        <v>N/A</v>
      </c>
      <c r="P466" t="str">
        <f>VLOOKUP(E466,calculated_fields!$F$4:$G$6,2,FALSE)</f>
        <v>Economy</v>
      </c>
    </row>
    <row r="467" spans="1:16">
      <c r="A467" t="s">
        <v>666</v>
      </c>
      <c r="B467" t="s">
        <v>622</v>
      </c>
      <c r="C467" t="s">
        <v>80</v>
      </c>
      <c r="D467">
        <v>2007</v>
      </c>
      <c r="E467" t="s">
        <v>15</v>
      </c>
      <c r="F467" t="s">
        <v>16</v>
      </c>
      <c r="G467" t="s">
        <v>17</v>
      </c>
      <c r="H467" t="s">
        <v>18</v>
      </c>
      <c r="I467">
        <v>74.852000000000004</v>
      </c>
      <c r="J467" t="s">
        <v>19</v>
      </c>
      <c r="K467" t="s">
        <v>667</v>
      </c>
      <c r="L467" t="s">
        <v>21</v>
      </c>
      <c r="M467" t="str">
        <f t="shared" si="21"/>
        <v>OK</v>
      </c>
      <c r="N467" t="str">
        <f t="shared" si="22"/>
        <v>2000s</v>
      </c>
      <c r="O467" t="str">
        <f t="shared" si="23"/>
        <v>High</v>
      </c>
      <c r="P467" t="str">
        <f>VLOOKUP(E467,calculated_fields!$F$4:$G$6,2,FALSE)</f>
        <v>Health</v>
      </c>
    </row>
    <row r="468" spans="1:16">
      <c r="A468" t="s">
        <v>668</v>
      </c>
      <c r="B468" t="s">
        <v>622</v>
      </c>
      <c r="C468" t="s">
        <v>80</v>
      </c>
      <c r="D468">
        <v>2007</v>
      </c>
      <c r="E468" t="s">
        <v>23</v>
      </c>
      <c r="F468" t="s">
        <v>24</v>
      </c>
      <c r="G468" t="s">
        <v>25</v>
      </c>
      <c r="H468" t="s">
        <v>26</v>
      </c>
      <c r="I468">
        <v>4552198</v>
      </c>
      <c r="J468" t="s">
        <v>27</v>
      </c>
      <c r="K468" t="s">
        <v>667</v>
      </c>
      <c r="L468" t="s">
        <v>21</v>
      </c>
      <c r="M468" t="str">
        <f t="shared" si="21"/>
        <v>OK</v>
      </c>
      <c r="N468" t="str">
        <f t="shared" si="22"/>
        <v>2000s</v>
      </c>
      <c r="O468" t="str">
        <f t="shared" si="23"/>
        <v>N/A</v>
      </c>
      <c r="P468" t="str">
        <f>VLOOKUP(E468,calculated_fields!$F$4:$G$6,2,FALSE)</f>
        <v>Demographics</v>
      </c>
    </row>
    <row r="469" spans="1:16">
      <c r="A469" t="s">
        <v>669</v>
      </c>
      <c r="B469" t="s">
        <v>622</v>
      </c>
      <c r="C469" t="s">
        <v>80</v>
      </c>
      <c r="D469">
        <v>2007</v>
      </c>
      <c r="E469" t="s">
        <v>29</v>
      </c>
      <c r="F469" t="s">
        <v>30</v>
      </c>
      <c r="G469" t="s">
        <v>31</v>
      </c>
      <c r="H469" t="s">
        <v>32</v>
      </c>
      <c r="I469">
        <v>7446.2988029999997</v>
      </c>
      <c r="J469" t="s">
        <v>33</v>
      </c>
      <c r="K469" t="s">
        <v>667</v>
      </c>
      <c r="L469" t="s">
        <v>21</v>
      </c>
      <c r="M469" t="str">
        <f t="shared" si="21"/>
        <v>OK</v>
      </c>
      <c r="N469" t="str">
        <f t="shared" si="22"/>
        <v>2000s</v>
      </c>
      <c r="O469" t="str">
        <f t="shared" si="23"/>
        <v>N/A</v>
      </c>
      <c r="P469" t="str">
        <f>VLOOKUP(E469,calculated_fields!$F$4:$G$6,2,FALSE)</f>
        <v>Economy</v>
      </c>
    </row>
    <row r="470" spans="1:16">
      <c r="A470" t="s">
        <v>670</v>
      </c>
      <c r="B470" t="s">
        <v>671</v>
      </c>
      <c r="C470" t="s">
        <v>130</v>
      </c>
      <c r="D470">
        <v>1952</v>
      </c>
      <c r="E470" t="s">
        <v>15</v>
      </c>
      <c r="F470" t="s">
        <v>16</v>
      </c>
      <c r="G470" t="s">
        <v>17</v>
      </c>
      <c r="H470" t="s">
        <v>18</v>
      </c>
      <c r="I470">
        <v>47.622</v>
      </c>
      <c r="J470" t="s">
        <v>19</v>
      </c>
      <c r="K470" t="s">
        <v>672</v>
      </c>
      <c r="L470" t="s">
        <v>21</v>
      </c>
      <c r="M470" t="str">
        <f t="shared" si="21"/>
        <v>OK</v>
      </c>
      <c r="N470" t="str">
        <f t="shared" si="22"/>
        <v>1950s</v>
      </c>
      <c r="O470" t="str">
        <f t="shared" si="23"/>
        <v>Low</v>
      </c>
      <c r="P470" t="str">
        <f>VLOOKUP(E470,calculated_fields!$F$4:$G$6,2,FALSE)</f>
        <v>Health</v>
      </c>
    </row>
    <row r="471" spans="1:16">
      <c r="A471" t="s">
        <v>673</v>
      </c>
      <c r="B471" t="s">
        <v>671</v>
      </c>
      <c r="C471" t="s">
        <v>130</v>
      </c>
      <c r="D471">
        <v>1952</v>
      </c>
      <c r="E471" t="s">
        <v>23</v>
      </c>
      <c r="F471" t="s">
        <v>24</v>
      </c>
      <c r="G471" t="s">
        <v>25</v>
      </c>
      <c r="H471" t="s">
        <v>26</v>
      </c>
      <c r="I471">
        <v>442308</v>
      </c>
      <c r="J471" t="s">
        <v>27</v>
      </c>
      <c r="K471" t="s">
        <v>672</v>
      </c>
      <c r="L471" t="s">
        <v>21</v>
      </c>
      <c r="M471" t="str">
        <f t="shared" si="21"/>
        <v>OK</v>
      </c>
      <c r="N471" t="str">
        <f t="shared" si="22"/>
        <v>1950s</v>
      </c>
      <c r="O471" t="str">
        <f t="shared" si="23"/>
        <v>N/A</v>
      </c>
      <c r="P471" t="str">
        <f>VLOOKUP(E471,calculated_fields!$F$4:$G$6,2,FALSE)</f>
        <v>Demographics</v>
      </c>
    </row>
    <row r="472" spans="1:16">
      <c r="A472" t="s">
        <v>674</v>
      </c>
      <c r="B472" t="s">
        <v>671</v>
      </c>
      <c r="C472" t="s">
        <v>130</v>
      </c>
      <c r="D472">
        <v>1952</v>
      </c>
      <c r="E472" t="s">
        <v>29</v>
      </c>
      <c r="F472" t="s">
        <v>30</v>
      </c>
      <c r="G472" t="s">
        <v>31</v>
      </c>
      <c r="H472" t="s">
        <v>32</v>
      </c>
      <c r="I472">
        <v>851.24114069999996</v>
      </c>
      <c r="J472" t="s">
        <v>33</v>
      </c>
      <c r="K472" t="s">
        <v>672</v>
      </c>
      <c r="L472" t="s">
        <v>21</v>
      </c>
      <c r="M472" t="str">
        <f t="shared" si="21"/>
        <v>OK</v>
      </c>
      <c r="N472" t="str">
        <f t="shared" si="22"/>
        <v>1950s</v>
      </c>
      <c r="O472" t="str">
        <f t="shared" si="23"/>
        <v>N/A</v>
      </c>
      <c r="P472" t="str">
        <f>VLOOKUP(E472,calculated_fields!$F$4:$G$6,2,FALSE)</f>
        <v>Economy</v>
      </c>
    </row>
    <row r="473" spans="1:16">
      <c r="A473" t="s">
        <v>675</v>
      </c>
      <c r="B473" t="s">
        <v>671</v>
      </c>
      <c r="C473" t="s">
        <v>130</v>
      </c>
      <c r="D473">
        <v>1957</v>
      </c>
      <c r="E473" t="s">
        <v>15</v>
      </c>
      <c r="F473" t="s">
        <v>16</v>
      </c>
      <c r="G473" t="s">
        <v>17</v>
      </c>
      <c r="H473" t="s">
        <v>18</v>
      </c>
      <c r="I473">
        <v>49.618000000000002</v>
      </c>
      <c r="J473" t="s">
        <v>19</v>
      </c>
      <c r="K473" t="s">
        <v>676</v>
      </c>
      <c r="L473" t="s">
        <v>21</v>
      </c>
      <c r="M473" t="str">
        <f t="shared" si="21"/>
        <v>OK</v>
      </c>
      <c r="N473" t="str">
        <f t="shared" si="22"/>
        <v>1950s</v>
      </c>
      <c r="O473" t="str">
        <f t="shared" si="23"/>
        <v>Low</v>
      </c>
      <c r="P473" t="str">
        <f>VLOOKUP(E473,calculated_fields!$F$4:$G$6,2,FALSE)</f>
        <v>Health</v>
      </c>
    </row>
    <row r="474" spans="1:16">
      <c r="A474" t="s">
        <v>677</v>
      </c>
      <c r="B474" t="s">
        <v>671</v>
      </c>
      <c r="C474" t="s">
        <v>130</v>
      </c>
      <c r="D474">
        <v>1957</v>
      </c>
      <c r="E474" t="s">
        <v>23</v>
      </c>
      <c r="F474" t="s">
        <v>24</v>
      </c>
      <c r="G474" t="s">
        <v>25</v>
      </c>
      <c r="H474" t="s">
        <v>26</v>
      </c>
      <c r="I474">
        <v>474639</v>
      </c>
      <c r="J474" t="s">
        <v>27</v>
      </c>
      <c r="K474" t="s">
        <v>676</v>
      </c>
      <c r="L474" t="s">
        <v>21</v>
      </c>
      <c r="M474" t="str">
        <f t="shared" si="21"/>
        <v>OK</v>
      </c>
      <c r="N474" t="str">
        <f t="shared" si="22"/>
        <v>1950s</v>
      </c>
      <c r="O474" t="str">
        <f t="shared" si="23"/>
        <v>N/A</v>
      </c>
      <c r="P474" t="str">
        <f>VLOOKUP(E474,calculated_fields!$F$4:$G$6,2,FALSE)</f>
        <v>Demographics</v>
      </c>
    </row>
    <row r="475" spans="1:16">
      <c r="A475" t="s">
        <v>678</v>
      </c>
      <c r="B475" t="s">
        <v>671</v>
      </c>
      <c r="C475" t="s">
        <v>130</v>
      </c>
      <c r="D475">
        <v>1957</v>
      </c>
      <c r="E475" t="s">
        <v>29</v>
      </c>
      <c r="F475" t="s">
        <v>30</v>
      </c>
      <c r="G475" t="s">
        <v>31</v>
      </c>
      <c r="H475" t="s">
        <v>32</v>
      </c>
      <c r="I475">
        <v>918.23253490000002</v>
      </c>
      <c r="J475" t="s">
        <v>33</v>
      </c>
      <c r="K475" t="s">
        <v>676</v>
      </c>
      <c r="L475" t="s">
        <v>21</v>
      </c>
      <c r="M475" t="str">
        <f t="shared" si="21"/>
        <v>OK</v>
      </c>
      <c r="N475" t="str">
        <f t="shared" si="22"/>
        <v>1950s</v>
      </c>
      <c r="O475" t="str">
        <f t="shared" si="23"/>
        <v>N/A</v>
      </c>
      <c r="P475" t="str">
        <f>VLOOKUP(E475,calculated_fields!$F$4:$G$6,2,FALSE)</f>
        <v>Economy</v>
      </c>
    </row>
    <row r="476" spans="1:16">
      <c r="A476" t="s">
        <v>679</v>
      </c>
      <c r="B476" t="s">
        <v>671</v>
      </c>
      <c r="C476" t="s">
        <v>130</v>
      </c>
      <c r="D476">
        <v>1962</v>
      </c>
      <c r="E476" t="s">
        <v>15</v>
      </c>
      <c r="F476" t="s">
        <v>16</v>
      </c>
      <c r="G476" t="s">
        <v>17</v>
      </c>
      <c r="H476" t="s">
        <v>18</v>
      </c>
      <c r="I476">
        <v>51.52</v>
      </c>
      <c r="J476" t="s">
        <v>19</v>
      </c>
      <c r="K476" t="s">
        <v>680</v>
      </c>
      <c r="L476" t="s">
        <v>21</v>
      </c>
      <c r="M476" t="str">
        <f t="shared" si="21"/>
        <v>OK</v>
      </c>
      <c r="N476" t="str">
        <f t="shared" si="22"/>
        <v>1960s</v>
      </c>
      <c r="O476" t="str">
        <f t="shared" si="23"/>
        <v>Low</v>
      </c>
      <c r="P476" t="str">
        <f>VLOOKUP(E476,calculated_fields!$F$4:$G$6,2,FALSE)</f>
        <v>Health</v>
      </c>
    </row>
    <row r="477" spans="1:16">
      <c r="A477" t="s">
        <v>681</v>
      </c>
      <c r="B477" t="s">
        <v>671</v>
      </c>
      <c r="C477" t="s">
        <v>130</v>
      </c>
      <c r="D477">
        <v>1962</v>
      </c>
      <c r="E477" t="s">
        <v>23</v>
      </c>
      <c r="F477" t="s">
        <v>24</v>
      </c>
      <c r="G477" t="s">
        <v>25</v>
      </c>
      <c r="H477" t="s">
        <v>26</v>
      </c>
      <c r="I477">
        <v>512764</v>
      </c>
      <c r="J477" t="s">
        <v>27</v>
      </c>
      <c r="K477" t="s">
        <v>680</v>
      </c>
      <c r="L477" t="s">
        <v>21</v>
      </c>
      <c r="M477" t="str">
        <f t="shared" si="21"/>
        <v>OK</v>
      </c>
      <c r="N477" t="str">
        <f t="shared" si="22"/>
        <v>1960s</v>
      </c>
      <c r="O477" t="str">
        <f t="shared" si="23"/>
        <v>N/A</v>
      </c>
      <c r="P477" t="str">
        <f>VLOOKUP(E477,calculated_fields!$F$4:$G$6,2,FALSE)</f>
        <v>Demographics</v>
      </c>
    </row>
    <row r="478" spans="1:16">
      <c r="A478" t="s">
        <v>682</v>
      </c>
      <c r="B478" t="s">
        <v>671</v>
      </c>
      <c r="C478" t="s">
        <v>130</v>
      </c>
      <c r="D478">
        <v>1962</v>
      </c>
      <c r="E478" t="s">
        <v>29</v>
      </c>
      <c r="F478" t="s">
        <v>30</v>
      </c>
      <c r="G478" t="s">
        <v>31</v>
      </c>
      <c r="H478" t="s">
        <v>32</v>
      </c>
      <c r="I478">
        <v>983.65397640000003</v>
      </c>
      <c r="J478" t="s">
        <v>33</v>
      </c>
      <c r="K478" t="s">
        <v>680</v>
      </c>
      <c r="L478" t="s">
        <v>21</v>
      </c>
      <c r="M478" t="str">
        <f t="shared" si="21"/>
        <v>OK</v>
      </c>
      <c r="N478" t="str">
        <f t="shared" si="22"/>
        <v>1960s</v>
      </c>
      <c r="O478" t="str">
        <f t="shared" si="23"/>
        <v>N/A</v>
      </c>
      <c r="P478" t="str">
        <f>VLOOKUP(E478,calculated_fields!$F$4:$G$6,2,FALSE)</f>
        <v>Economy</v>
      </c>
    </row>
    <row r="479" spans="1:16">
      <c r="A479" t="s">
        <v>683</v>
      </c>
      <c r="B479" t="s">
        <v>671</v>
      </c>
      <c r="C479" t="s">
        <v>130</v>
      </c>
      <c r="D479">
        <v>1967</v>
      </c>
      <c r="E479" t="s">
        <v>15</v>
      </c>
      <c r="F479" t="s">
        <v>16</v>
      </c>
      <c r="G479" t="s">
        <v>17</v>
      </c>
      <c r="H479" t="s">
        <v>18</v>
      </c>
      <c r="I479">
        <v>53.298000000000002</v>
      </c>
      <c r="J479" t="s">
        <v>19</v>
      </c>
      <c r="K479" t="s">
        <v>684</v>
      </c>
      <c r="L479" t="s">
        <v>21</v>
      </c>
      <c r="M479" t="str">
        <f t="shared" si="21"/>
        <v>OK</v>
      </c>
      <c r="N479" t="str">
        <f t="shared" si="22"/>
        <v>1960s</v>
      </c>
      <c r="O479" t="str">
        <f t="shared" si="23"/>
        <v>Low</v>
      </c>
      <c r="P479" t="str">
        <f>VLOOKUP(E479,calculated_fields!$F$4:$G$6,2,FALSE)</f>
        <v>Health</v>
      </c>
    </row>
    <row r="480" spans="1:16">
      <c r="A480" t="s">
        <v>685</v>
      </c>
      <c r="B480" t="s">
        <v>671</v>
      </c>
      <c r="C480" t="s">
        <v>130</v>
      </c>
      <c r="D480">
        <v>1967</v>
      </c>
      <c r="E480" t="s">
        <v>23</v>
      </c>
      <c r="F480" t="s">
        <v>24</v>
      </c>
      <c r="G480" t="s">
        <v>25</v>
      </c>
      <c r="H480" t="s">
        <v>26</v>
      </c>
      <c r="I480">
        <v>553541</v>
      </c>
      <c r="J480" t="s">
        <v>27</v>
      </c>
      <c r="K480" t="s">
        <v>684</v>
      </c>
      <c r="L480" t="s">
        <v>21</v>
      </c>
      <c r="M480" t="str">
        <f t="shared" si="21"/>
        <v>OK</v>
      </c>
      <c r="N480" t="str">
        <f t="shared" si="22"/>
        <v>1960s</v>
      </c>
      <c r="O480" t="str">
        <f t="shared" si="23"/>
        <v>N/A</v>
      </c>
      <c r="P480" t="str">
        <f>VLOOKUP(E480,calculated_fields!$F$4:$G$6,2,FALSE)</f>
        <v>Demographics</v>
      </c>
    </row>
    <row r="481" spans="1:16">
      <c r="A481" t="s">
        <v>686</v>
      </c>
      <c r="B481" t="s">
        <v>671</v>
      </c>
      <c r="C481" t="s">
        <v>130</v>
      </c>
      <c r="D481">
        <v>1967</v>
      </c>
      <c r="E481" t="s">
        <v>29</v>
      </c>
      <c r="F481" t="s">
        <v>30</v>
      </c>
      <c r="G481" t="s">
        <v>31</v>
      </c>
      <c r="H481" t="s">
        <v>32</v>
      </c>
      <c r="I481">
        <v>1214.709294</v>
      </c>
      <c r="J481" t="s">
        <v>33</v>
      </c>
      <c r="K481" t="s">
        <v>684</v>
      </c>
      <c r="L481" t="s">
        <v>21</v>
      </c>
      <c r="M481" t="str">
        <f t="shared" si="21"/>
        <v>OK</v>
      </c>
      <c r="N481" t="str">
        <f t="shared" si="22"/>
        <v>1960s</v>
      </c>
      <c r="O481" t="str">
        <f t="shared" si="23"/>
        <v>N/A</v>
      </c>
      <c r="P481" t="str">
        <f>VLOOKUP(E481,calculated_fields!$F$4:$G$6,2,FALSE)</f>
        <v>Economy</v>
      </c>
    </row>
    <row r="482" spans="1:16">
      <c r="A482" t="s">
        <v>687</v>
      </c>
      <c r="B482" t="s">
        <v>671</v>
      </c>
      <c r="C482" t="s">
        <v>130</v>
      </c>
      <c r="D482">
        <v>1972</v>
      </c>
      <c r="E482" t="s">
        <v>15</v>
      </c>
      <c r="F482" t="s">
        <v>16</v>
      </c>
      <c r="G482" t="s">
        <v>17</v>
      </c>
      <c r="H482" t="s">
        <v>18</v>
      </c>
      <c r="I482">
        <v>56.024000000000001</v>
      </c>
      <c r="J482" t="s">
        <v>19</v>
      </c>
      <c r="K482" t="s">
        <v>688</v>
      </c>
      <c r="L482" t="s">
        <v>21</v>
      </c>
      <c r="M482" t="str">
        <f t="shared" si="21"/>
        <v>OK</v>
      </c>
      <c r="N482" t="str">
        <f t="shared" si="22"/>
        <v>1970s</v>
      </c>
      <c r="O482" t="str">
        <f t="shared" si="23"/>
        <v>Medium</v>
      </c>
      <c r="P482" t="str">
        <f>VLOOKUP(E482,calculated_fields!$F$4:$G$6,2,FALSE)</f>
        <v>Health</v>
      </c>
    </row>
    <row r="483" spans="1:16">
      <c r="A483" t="s">
        <v>689</v>
      </c>
      <c r="B483" t="s">
        <v>671</v>
      </c>
      <c r="C483" t="s">
        <v>130</v>
      </c>
      <c r="D483">
        <v>1972</v>
      </c>
      <c r="E483" t="s">
        <v>23</v>
      </c>
      <c r="F483" t="s">
        <v>24</v>
      </c>
      <c r="G483" t="s">
        <v>25</v>
      </c>
      <c r="H483" t="s">
        <v>26</v>
      </c>
      <c r="I483">
        <v>619351</v>
      </c>
      <c r="J483" t="s">
        <v>27</v>
      </c>
      <c r="K483" t="s">
        <v>688</v>
      </c>
      <c r="L483" t="s">
        <v>21</v>
      </c>
      <c r="M483" t="str">
        <f t="shared" si="21"/>
        <v>OK</v>
      </c>
      <c r="N483" t="str">
        <f t="shared" si="22"/>
        <v>1970s</v>
      </c>
      <c r="O483" t="str">
        <f t="shared" si="23"/>
        <v>N/A</v>
      </c>
      <c r="P483" t="str">
        <f>VLOOKUP(E483,calculated_fields!$F$4:$G$6,2,FALSE)</f>
        <v>Demographics</v>
      </c>
    </row>
    <row r="484" spans="1:16">
      <c r="A484" t="s">
        <v>690</v>
      </c>
      <c r="B484" t="s">
        <v>671</v>
      </c>
      <c r="C484" t="s">
        <v>130</v>
      </c>
      <c r="D484">
        <v>1972</v>
      </c>
      <c r="E484" t="s">
        <v>29</v>
      </c>
      <c r="F484" t="s">
        <v>30</v>
      </c>
      <c r="G484" t="s">
        <v>31</v>
      </c>
      <c r="H484" t="s">
        <v>32</v>
      </c>
      <c r="I484">
        <v>2263.6111139999998</v>
      </c>
      <c r="J484" t="s">
        <v>33</v>
      </c>
      <c r="K484" t="s">
        <v>688</v>
      </c>
      <c r="L484" t="s">
        <v>21</v>
      </c>
      <c r="M484" t="str">
        <f t="shared" si="21"/>
        <v>OK</v>
      </c>
      <c r="N484" t="str">
        <f t="shared" si="22"/>
        <v>1970s</v>
      </c>
      <c r="O484" t="str">
        <f t="shared" si="23"/>
        <v>N/A</v>
      </c>
      <c r="P484" t="str">
        <f>VLOOKUP(E484,calculated_fields!$F$4:$G$6,2,FALSE)</f>
        <v>Economy</v>
      </c>
    </row>
    <row r="485" spans="1:16">
      <c r="A485" t="s">
        <v>691</v>
      </c>
      <c r="B485" t="s">
        <v>671</v>
      </c>
      <c r="C485" t="s">
        <v>130</v>
      </c>
      <c r="D485">
        <v>1977</v>
      </c>
      <c r="E485" t="s">
        <v>15</v>
      </c>
      <c r="F485" t="s">
        <v>16</v>
      </c>
      <c r="G485" t="s">
        <v>17</v>
      </c>
      <c r="H485" t="s">
        <v>18</v>
      </c>
      <c r="I485">
        <v>59.319000000000003</v>
      </c>
      <c r="J485" t="s">
        <v>19</v>
      </c>
      <c r="K485" t="s">
        <v>692</v>
      </c>
      <c r="L485" t="s">
        <v>21</v>
      </c>
      <c r="M485" t="str">
        <f t="shared" si="21"/>
        <v>OK</v>
      </c>
      <c r="N485" t="str">
        <f t="shared" si="22"/>
        <v>1970s</v>
      </c>
      <c r="O485" t="str">
        <f t="shared" si="23"/>
        <v>Medium</v>
      </c>
      <c r="P485" t="str">
        <f>VLOOKUP(E485,calculated_fields!$F$4:$G$6,2,FALSE)</f>
        <v>Health</v>
      </c>
    </row>
    <row r="486" spans="1:16">
      <c r="A486" t="s">
        <v>693</v>
      </c>
      <c r="B486" t="s">
        <v>671</v>
      </c>
      <c r="C486" t="s">
        <v>130</v>
      </c>
      <c r="D486">
        <v>1977</v>
      </c>
      <c r="E486" t="s">
        <v>23</v>
      </c>
      <c r="F486" t="s">
        <v>24</v>
      </c>
      <c r="G486" t="s">
        <v>25</v>
      </c>
      <c r="H486" t="s">
        <v>26</v>
      </c>
      <c r="I486">
        <v>781472</v>
      </c>
      <c r="J486" t="s">
        <v>27</v>
      </c>
      <c r="K486" t="s">
        <v>692</v>
      </c>
      <c r="L486" t="s">
        <v>21</v>
      </c>
      <c r="M486" t="str">
        <f t="shared" si="21"/>
        <v>OK</v>
      </c>
      <c r="N486" t="str">
        <f t="shared" si="22"/>
        <v>1970s</v>
      </c>
      <c r="O486" t="str">
        <f t="shared" si="23"/>
        <v>N/A</v>
      </c>
      <c r="P486" t="str">
        <f>VLOOKUP(E486,calculated_fields!$F$4:$G$6,2,FALSE)</f>
        <v>Demographics</v>
      </c>
    </row>
    <row r="487" spans="1:16">
      <c r="A487" t="s">
        <v>694</v>
      </c>
      <c r="B487" t="s">
        <v>671</v>
      </c>
      <c r="C487" t="s">
        <v>130</v>
      </c>
      <c r="D487">
        <v>1977</v>
      </c>
      <c r="E487" t="s">
        <v>29</v>
      </c>
      <c r="F487" t="s">
        <v>30</v>
      </c>
      <c r="G487" t="s">
        <v>31</v>
      </c>
      <c r="H487" t="s">
        <v>32</v>
      </c>
      <c r="I487">
        <v>3214.857818</v>
      </c>
      <c r="J487" t="s">
        <v>33</v>
      </c>
      <c r="K487" t="s">
        <v>692</v>
      </c>
      <c r="L487" t="s">
        <v>21</v>
      </c>
      <c r="M487" t="str">
        <f t="shared" si="21"/>
        <v>OK</v>
      </c>
      <c r="N487" t="str">
        <f t="shared" si="22"/>
        <v>1970s</v>
      </c>
      <c r="O487" t="str">
        <f t="shared" si="23"/>
        <v>N/A</v>
      </c>
      <c r="P487" t="str">
        <f>VLOOKUP(E487,calculated_fields!$F$4:$G$6,2,FALSE)</f>
        <v>Economy</v>
      </c>
    </row>
    <row r="488" spans="1:16">
      <c r="A488" t="s">
        <v>695</v>
      </c>
      <c r="B488" t="s">
        <v>671</v>
      </c>
      <c r="C488" t="s">
        <v>130</v>
      </c>
      <c r="D488">
        <v>1982</v>
      </c>
      <c r="E488" t="s">
        <v>15</v>
      </c>
      <c r="F488" t="s">
        <v>16</v>
      </c>
      <c r="G488" t="s">
        <v>17</v>
      </c>
      <c r="H488" t="s">
        <v>18</v>
      </c>
      <c r="I488">
        <v>61.484000000000002</v>
      </c>
      <c r="J488" t="s">
        <v>19</v>
      </c>
      <c r="K488" t="s">
        <v>696</v>
      </c>
      <c r="L488" t="s">
        <v>21</v>
      </c>
      <c r="M488" t="str">
        <f t="shared" si="21"/>
        <v>OK</v>
      </c>
      <c r="N488" t="str">
        <f t="shared" si="22"/>
        <v>1980s</v>
      </c>
      <c r="O488" t="str">
        <f t="shared" si="23"/>
        <v>Medium</v>
      </c>
      <c r="P488" t="str">
        <f>VLOOKUP(E488,calculated_fields!$F$4:$G$6,2,FALSE)</f>
        <v>Health</v>
      </c>
    </row>
    <row r="489" spans="1:16">
      <c r="A489" t="s">
        <v>697</v>
      </c>
      <c r="B489" t="s">
        <v>671</v>
      </c>
      <c r="C489" t="s">
        <v>130</v>
      </c>
      <c r="D489">
        <v>1982</v>
      </c>
      <c r="E489" t="s">
        <v>23</v>
      </c>
      <c r="F489" t="s">
        <v>24</v>
      </c>
      <c r="G489" t="s">
        <v>25</v>
      </c>
      <c r="H489" t="s">
        <v>26</v>
      </c>
      <c r="I489">
        <v>970347</v>
      </c>
      <c r="J489" t="s">
        <v>27</v>
      </c>
      <c r="K489" t="s">
        <v>696</v>
      </c>
      <c r="L489" t="s">
        <v>21</v>
      </c>
      <c r="M489" t="str">
        <f t="shared" si="21"/>
        <v>OK</v>
      </c>
      <c r="N489" t="str">
        <f t="shared" si="22"/>
        <v>1980s</v>
      </c>
      <c r="O489" t="str">
        <f t="shared" si="23"/>
        <v>N/A</v>
      </c>
      <c r="P489" t="str">
        <f>VLOOKUP(E489,calculated_fields!$F$4:$G$6,2,FALSE)</f>
        <v>Demographics</v>
      </c>
    </row>
    <row r="490" spans="1:16">
      <c r="A490" t="s">
        <v>698</v>
      </c>
      <c r="B490" t="s">
        <v>671</v>
      </c>
      <c r="C490" t="s">
        <v>130</v>
      </c>
      <c r="D490">
        <v>1982</v>
      </c>
      <c r="E490" t="s">
        <v>29</v>
      </c>
      <c r="F490" t="s">
        <v>30</v>
      </c>
      <c r="G490" t="s">
        <v>31</v>
      </c>
      <c r="H490" t="s">
        <v>32</v>
      </c>
      <c r="I490">
        <v>4551.1421499999997</v>
      </c>
      <c r="J490" t="s">
        <v>33</v>
      </c>
      <c r="K490" t="s">
        <v>696</v>
      </c>
      <c r="L490" t="s">
        <v>21</v>
      </c>
      <c r="M490" t="str">
        <f t="shared" si="21"/>
        <v>OK</v>
      </c>
      <c r="N490" t="str">
        <f t="shared" si="22"/>
        <v>1980s</v>
      </c>
      <c r="O490" t="str">
        <f t="shared" si="23"/>
        <v>N/A</v>
      </c>
      <c r="P490" t="str">
        <f>VLOOKUP(E490,calculated_fields!$F$4:$G$6,2,FALSE)</f>
        <v>Economy</v>
      </c>
    </row>
    <row r="491" spans="1:16">
      <c r="A491" t="s">
        <v>699</v>
      </c>
      <c r="B491" t="s">
        <v>671</v>
      </c>
      <c r="C491" t="s">
        <v>130</v>
      </c>
      <c r="D491">
        <v>1987</v>
      </c>
      <c r="E491" t="s">
        <v>15</v>
      </c>
      <c r="F491" t="s">
        <v>16</v>
      </c>
      <c r="G491" t="s">
        <v>17</v>
      </c>
      <c r="H491" t="s">
        <v>18</v>
      </c>
      <c r="I491">
        <v>63.622</v>
      </c>
      <c r="J491" t="s">
        <v>19</v>
      </c>
      <c r="K491" t="s">
        <v>700</v>
      </c>
      <c r="L491" t="s">
        <v>21</v>
      </c>
      <c r="M491" t="str">
        <f t="shared" si="21"/>
        <v>OK</v>
      </c>
      <c r="N491" t="str">
        <f t="shared" si="22"/>
        <v>1980s</v>
      </c>
      <c r="O491" t="str">
        <f t="shared" si="23"/>
        <v>Medium</v>
      </c>
      <c r="P491" t="str">
        <f>VLOOKUP(E491,calculated_fields!$F$4:$G$6,2,FALSE)</f>
        <v>Health</v>
      </c>
    </row>
    <row r="492" spans="1:16">
      <c r="A492" t="s">
        <v>701</v>
      </c>
      <c r="B492" t="s">
        <v>671</v>
      </c>
      <c r="C492" t="s">
        <v>130</v>
      </c>
      <c r="D492">
        <v>1987</v>
      </c>
      <c r="E492" t="s">
        <v>23</v>
      </c>
      <c r="F492" t="s">
        <v>24</v>
      </c>
      <c r="G492" t="s">
        <v>25</v>
      </c>
      <c r="H492" t="s">
        <v>26</v>
      </c>
      <c r="I492">
        <v>1151184</v>
      </c>
      <c r="J492" t="s">
        <v>27</v>
      </c>
      <c r="K492" t="s">
        <v>700</v>
      </c>
      <c r="L492" t="s">
        <v>21</v>
      </c>
      <c r="M492" t="str">
        <f t="shared" si="21"/>
        <v>OK</v>
      </c>
      <c r="N492" t="str">
        <f t="shared" si="22"/>
        <v>1980s</v>
      </c>
      <c r="O492" t="str">
        <f t="shared" si="23"/>
        <v>N/A</v>
      </c>
      <c r="P492" t="str">
        <f>VLOOKUP(E492,calculated_fields!$F$4:$G$6,2,FALSE)</f>
        <v>Demographics</v>
      </c>
    </row>
    <row r="493" spans="1:16">
      <c r="A493" t="s">
        <v>702</v>
      </c>
      <c r="B493" t="s">
        <v>671</v>
      </c>
      <c r="C493" t="s">
        <v>130</v>
      </c>
      <c r="D493">
        <v>1987</v>
      </c>
      <c r="E493" t="s">
        <v>29</v>
      </c>
      <c r="F493" t="s">
        <v>30</v>
      </c>
      <c r="G493" t="s">
        <v>31</v>
      </c>
      <c r="H493" t="s">
        <v>32</v>
      </c>
      <c r="I493">
        <v>6205.8838500000002</v>
      </c>
      <c r="J493" t="s">
        <v>33</v>
      </c>
      <c r="K493" t="s">
        <v>700</v>
      </c>
      <c r="L493" t="s">
        <v>21</v>
      </c>
      <c r="M493" t="str">
        <f t="shared" si="21"/>
        <v>OK</v>
      </c>
      <c r="N493" t="str">
        <f t="shared" si="22"/>
        <v>1980s</v>
      </c>
      <c r="O493" t="str">
        <f t="shared" si="23"/>
        <v>N/A</v>
      </c>
      <c r="P493" t="str">
        <f>VLOOKUP(E493,calculated_fields!$F$4:$G$6,2,FALSE)</f>
        <v>Economy</v>
      </c>
    </row>
    <row r="494" spans="1:16">
      <c r="A494" t="s">
        <v>703</v>
      </c>
      <c r="B494" t="s">
        <v>671</v>
      </c>
      <c r="C494" t="s">
        <v>130</v>
      </c>
      <c r="D494">
        <v>1992</v>
      </c>
      <c r="E494" t="s">
        <v>15</v>
      </c>
      <c r="F494" t="s">
        <v>16</v>
      </c>
      <c r="G494" t="s">
        <v>17</v>
      </c>
      <c r="H494" t="s">
        <v>18</v>
      </c>
      <c r="I494">
        <v>62.744999999999997</v>
      </c>
      <c r="J494" t="s">
        <v>19</v>
      </c>
      <c r="K494" t="s">
        <v>704</v>
      </c>
      <c r="L494" t="s">
        <v>21</v>
      </c>
      <c r="M494" t="str">
        <f t="shared" si="21"/>
        <v>OK</v>
      </c>
      <c r="N494" t="str">
        <f t="shared" si="22"/>
        <v>1990s</v>
      </c>
      <c r="O494" t="str">
        <f t="shared" si="23"/>
        <v>Medium</v>
      </c>
      <c r="P494" t="str">
        <f>VLOOKUP(E494,calculated_fields!$F$4:$G$6,2,FALSE)</f>
        <v>Health</v>
      </c>
    </row>
    <row r="495" spans="1:16">
      <c r="A495" t="s">
        <v>705</v>
      </c>
      <c r="B495" t="s">
        <v>671</v>
      </c>
      <c r="C495" t="s">
        <v>130</v>
      </c>
      <c r="D495">
        <v>1992</v>
      </c>
      <c r="E495" t="s">
        <v>23</v>
      </c>
      <c r="F495" t="s">
        <v>24</v>
      </c>
      <c r="G495" t="s">
        <v>25</v>
      </c>
      <c r="H495" t="s">
        <v>26</v>
      </c>
      <c r="I495">
        <v>1342614</v>
      </c>
      <c r="J495" t="s">
        <v>27</v>
      </c>
      <c r="K495" t="s">
        <v>704</v>
      </c>
      <c r="L495" t="s">
        <v>21</v>
      </c>
      <c r="M495" t="str">
        <f t="shared" si="21"/>
        <v>OK</v>
      </c>
      <c r="N495" t="str">
        <f t="shared" si="22"/>
        <v>1990s</v>
      </c>
      <c r="O495" t="str">
        <f t="shared" si="23"/>
        <v>N/A</v>
      </c>
      <c r="P495" t="str">
        <f>VLOOKUP(E495,calculated_fields!$F$4:$G$6,2,FALSE)</f>
        <v>Demographics</v>
      </c>
    </row>
    <row r="496" spans="1:16">
      <c r="A496" t="s">
        <v>706</v>
      </c>
      <c r="B496" t="s">
        <v>671</v>
      </c>
      <c r="C496" t="s">
        <v>130</v>
      </c>
      <c r="D496">
        <v>1992</v>
      </c>
      <c r="E496" t="s">
        <v>29</v>
      </c>
      <c r="F496" t="s">
        <v>30</v>
      </c>
      <c r="G496" t="s">
        <v>31</v>
      </c>
      <c r="H496" t="s">
        <v>32</v>
      </c>
      <c r="I496">
        <v>7954.111645</v>
      </c>
      <c r="J496" t="s">
        <v>33</v>
      </c>
      <c r="K496" t="s">
        <v>704</v>
      </c>
      <c r="L496" t="s">
        <v>21</v>
      </c>
      <c r="M496" t="str">
        <f t="shared" si="21"/>
        <v>OK</v>
      </c>
      <c r="N496" t="str">
        <f t="shared" si="22"/>
        <v>1990s</v>
      </c>
      <c r="O496" t="str">
        <f t="shared" si="23"/>
        <v>N/A</v>
      </c>
      <c r="P496" t="str">
        <f>VLOOKUP(E496,calculated_fields!$F$4:$G$6,2,FALSE)</f>
        <v>Economy</v>
      </c>
    </row>
    <row r="497" spans="1:16">
      <c r="A497" t="s">
        <v>707</v>
      </c>
      <c r="B497" t="s">
        <v>671</v>
      </c>
      <c r="C497" t="s">
        <v>130</v>
      </c>
      <c r="D497">
        <v>1997</v>
      </c>
      <c r="E497" t="s">
        <v>15</v>
      </c>
      <c r="F497" t="s">
        <v>16</v>
      </c>
      <c r="G497" t="s">
        <v>17</v>
      </c>
      <c r="H497" t="s">
        <v>18</v>
      </c>
      <c r="I497">
        <v>52.555999999999997</v>
      </c>
      <c r="J497" t="s">
        <v>19</v>
      </c>
      <c r="K497" t="s">
        <v>708</v>
      </c>
      <c r="L497" t="s">
        <v>21</v>
      </c>
      <c r="M497" t="str">
        <f t="shared" si="21"/>
        <v>OK</v>
      </c>
      <c r="N497" t="str">
        <f t="shared" si="22"/>
        <v>1990s</v>
      </c>
      <c r="O497" t="str">
        <f t="shared" si="23"/>
        <v>Low</v>
      </c>
      <c r="P497" t="str">
        <f>VLOOKUP(E497,calculated_fields!$F$4:$G$6,2,FALSE)</f>
        <v>Health</v>
      </c>
    </row>
    <row r="498" spans="1:16">
      <c r="A498" t="s">
        <v>709</v>
      </c>
      <c r="B498" t="s">
        <v>671</v>
      </c>
      <c r="C498" t="s">
        <v>130</v>
      </c>
      <c r="D498">
        <v>1997</v>
      </c>
      <c r="E498" t="s">
        <v>23</v>
      </c>
      <c r="F498" t="s">
        <v>24</v>
      </c>
      <c r="G498" t="s">
        <v>25</v>
      </c>
      <c r="H498" t="s">
        <v>26</v>
      </c>
      <c r="I498">
        <v>1536536</v>
      </c>
      <c r="J498" t="s">
        <v>27</v>
      </c>
      <c r="K498" t="s">
        <v>708</v>
      </c>
      <c r="L498" t="s">
        <v>21</v>
      </c>
      <c r="M498" t="str">
        <f t="shared" si="21"/>
        <v>OK</v>
      </c>
      <c r="N498" t="str">
        <f t="shared" si="22"/>
        <v>1990s</v>
      </c>
      <c r="O498" t="str">
        <f t="shared" si="23"/>
        <v>N/A</v>
      </c>
      <c r="P498" t="str">
        <f>VLOOKUP(E498,calculated_fields!$F$4:$G$6,2,FALSE)</f>
        <v>Demographics</v>
      </c>
    </row>
    <row r="499" spans="1:16">
      <c r="A499" t="s">
        <v>710</v>
      </c>
      <c r="B499" t="s">
        <v>671</v>
      </c>
      <c r="C499" t="s">
        <v>130</v>
      </c>
      <c r="D499">
        <v>1997</v>
      </c>
      <c r="E499" t="s">
        <v>29</v>
      </c>
      <c r="F499" t="s">
        <v>30</v>
      </c>
      <c r="G499" t="s">
        <v>31</v>
      </c>
      <c r="H499" t="s">
        <v>32</v>
      </c>
      <c r="I499">
        <v>8647.1423130000003</v>
      </c>
      <c r="J499" t="s">
        <v>33</v>
      </c>
      <c r="K499" t="s">
        <v>708</v>
      </c>
      <c r="L499" t="s">
        <v>21</v>
      </c>
      <c r="M499" t="str">
        <f t="shared" si="21"/>
        <v>OK</v>
      </c>
      <c r="N499" t="str">
        <f t="shared" si="22"/>
        <v>1990s</v>
      </c>
      <c r="O499" t="str">
        <f t="shared" si="23"/>
        <v>N/A</v>
      </c>
      <c r="P499" t="str">
        <f>VLOOKUP(E499,calculated_fields!$F$4:$G$6,2,FALSE)</f>
        <v>Economy</v>
      </c>
    </row>
    <row r="500" spans="1:16">
      <c r="A500" t="s">
        <v>711</v>
      </c>
      <c r="B500" t="s">
        <v>671</v>
      </c>
      <c r="C500" t="s">
        <v>130</v>
      </c>
      <c r="D500">
        <v>2002</v>
      </c>
      <c r="E500" t="s">
        <v>15</v>
      </c>
      <c r="F500" t="s">
        <v>16</v>
      </c>
      <c r="G500" t="s">
        <v>17</v>
      </c>
      <c r="H500" t="s">
        <v>18</v>
      </c>
      <c r="I500">
        <v>46.633999999999901</v>
      </c>
      <c r="J500" t="s">
        <v>19</v>
      </c>
      <c r="K500" t="s">
        <v>712</v>
      </c>
      <c r="L500" t="s">
        <v>21</v>
      </c>
      <c r="M500" t="str">
        <f t="shared" si="21"/>
        <v>OK</v>
      </c>
      <c r="N500" t="str">
        <f t="shared" si="22"/>
        <v>2000s</v>
      </c>
      <c r="O500" t="str">
        <f t="shared" si="23"/>
        <v>Low</v>
      </c>
      <c r="P500" t="str">
        <f>VLOOKUP(E500,calculated_fields!$F$4:$G$6,2,FALSE)</f>
        <v>Health</v>
      </c>
    </row>
    <row r="501" spans="1:16">
      <c r="A501" t="s">
        <v>713</v>
      </c>
      <c r="B501" t="s">
        <v>671</v>
      </c>
      <c r="C501" t="s">
        <v>130</v>
      </c>
      <c r="D501">
        <v>2002</v>
      </c>
      <c r="E501" t="s">
        <v>23</v>
      </c>
      <c r="F501" t="s">
        <v>24</v>
      </c>
      <c r="G501" t="s">
        <v>25</v>
      </c>
      <c r="H501" t="s">
        <v>26</v>
      </c>
      <c r="I501">
        <v>1630347</v>
      </c>
      <c r="J501" t="s">
        <v>27</v>
      </c>
      <c r="K501" t="s">
        <v>712</v>
      </c>
      <c r="L501" t="s">
        <v>21</v>
      </c>
      <c r="M501" t="str">
        <f t="shared" si="21"/>
        <v>OK</v>
      </c>
      <c r="N501" t="str">
        <f t="shared" si="22"/>
        <v>2000s</v>
      </c>
      <c r="O501" t="str">
        <f t="shared" si="23"/>
        <v>N/A</v>
      </c>
      <c r="P501" t="str">
        <f>VLOOKUP(E501,calculated_fields!$F$4:$G$6,2,FALSE)</f>
        <v>Demographics</v>
      </c>
    </row>
    <row r="502" spans="1:16">
      <c r="A502" t="s">
        <v>714</v>
      </c>
      <c r="B502" t="s">
        <v>671</v>
      </c>
      <c r="C502" t="s">
        <v>130</v>
      </c>
      <c r="D502">
        <v>2002</v>
      </c>
      <c r="E502" t="s">
        <v>29</v>
      </c>
      <c r="F502" t="s">
        <v>30</v>
      </c>
      <c r="G502" t="s">
        <v>31</v>
      </c>
      <c r="H502" t="s">
        <v>32</v>
      </c>
      <c r="I502">
        <v>11003.605079999999</v>
      </c>
      <c r="J502" t="s">
        <v>33</v>
      </c>
      <c r="K502" t="s">
        <v>712</v>
      </c>
      <c r="L502" t="s">
        <v>21</v>
      </c>
      <c r="M502" t="str">
        <f t="shared" si="21"/>
        <v>OK</v>
      </c>
      <c r="N502" t="str">
        <f t="shared" si="22"/>
        <v>2000s</v>
      </c>
      <c r="O502" t="str">
        <f t="shared" si="23"/>
        <v>N/A</v>
      </c>
      <c r="P502" t="str">
        <f>VLOOKUP(E502,calculated_fields!$F$4:$G$6,2,FALSE)</f>
        <v>Economy</v>
      </c>
    </row>
    <row r="503" spans="1:16">
      <c r="A503" t="s">
        <v>715</v>
      </c>
      <c r="B503" t="s">
        <v>671</v>
      </c>
      <c r="C503" t="s">
        <v>130</v>
      </c>
      <c r="D503">
        <v>2007</v>
      </c>
      <c r="E503" t="s">
        <v>15</v>
      </c>
      <c r="F503" t="s">
        <v>16</v>
      </c>
      <c r="G503" t="s">
        <v>17</v>
      </c>
      <c r="H503" t="s">
        <v>18</v>
      </c>
      <c r="I503">
        <v>50.728000000000002</v>
      </c>
      <c r="J503" t="s">
        <v>19</v>
      </c>
      <c r="K503" t="s">
        <v>716</v>
      </c>
      <c r="L503" t="s">
        <v>21</v>
      </c>
      <c r="M503" t="str">
        <f t="shared" si="21"/>
        <v>OK</v>
      </c>
      <c r="N503" t="str">
        <f t="shared" si="22"/>
        <v>2000s</v>
      </c>
      <c r="O503" t="str">
        <f t="shared" si="23"/>
        <v>Low</v>
      </c>
      <c r="P503" t="str">
        <f>VLOOKUP(E503,calculated_fields!$F$4:$G$6,2,FALSE)</f>
        <v>Health</v>
      </c>
    </row>
    <row r="504" spans="1:16">
      <c r="A504" t="s">
        <v>717</v>
      </c>
      <c r="B504" t="s">
        <v>671</v>
      </c>
      <c r="C504" t="s">
        <v>130</v>
      </c>
      <c r="D504">
        <v>2007</v>
      </c>
      <c r="E504" t="s">
        <v>23</v>
      </c>
      <c r="F504" t="s">
        <v>24</v>
      </c>
      <c r="G504" t="s">
        <v>25</v>
      </c>
      <c r="H504" t="s">
        <v>26</v>
      </c>
      <c r="I504">
        <v>1639131</v>
      </c>
      <c r="J504" t="s">
        <v>27</v>
      </c>
      <c r="K504" t="s">
        <v>716</v>
      </c>
      <c r="L504" t="s">
        <v>21</v>
      </c>
      <c r="M504" t="str">
        <f t="shared" si="21"/>
        <v>OK</v>
      </c>
      <c r="N504" t="str">
        <f t="shared" si="22"/>
        <v>2000s</v>
      </c>
      <c r="O504" t="str">
        <f t="shared" si="23"/>
        <v>N/A</v>
      </c>
      <c r="P504" t="str">
        <f>VLOOKUP(E504,calculated_fields!$F$4:$G$6,2,FALSE)</f>
        <v>Demographics</v>
      </c>
    </row>
    <row r="505" spans="1:16">
      <c r="A505" t="s">
        <v>718</v>
      </c>
      <c r="B505" t="s">
        <v>671</v>
      </c>
      <c r="C505" t="s">
        <v>130</v>
      </c>
      <c r="D505">
        <v>2007</v>
      </c>
      <c r="E505" t="s">
        <v>29</v>
      </c>
      <c r="F505" t="s">
        <v>30</v>
      </c>
      <c r="G505" t="s">
        <v>31</v>
      </c>
      <c r="H505" t="s">
        <v>32</v>
      </c>
      <c r="I505">
        <v>12569.851769999999</v>
      </c>
      <c r="J505" t="s">
        <v>33</v>
      </c>
      <c r="K505" t="s">
        <v>716</v>
      </c>
      <c r="L505" t="s">
        <v>21</v>
      </c>
      <c r="M505" t="str">
        <f t="shared" si="21"/>
        <v>OK</v>
      </c>
      <c r="N505" t="str">
        <f t="shared" si="22"/>
        <v>2000s</v>
      </c>
      <c r="O505" t="str">
        <f t="shared" si="23"/>
        <v>N/A</v>
      </c>
      <c r="P505" t="str">
        <f>VLOOKUP(E505,calculated_fields!$F$4:$G$6,2,FALSE)</f>
        <v>Economy</v>
      </c>
    </row>
    <row r="506" spans="1:16">
      <c r="A506" t="s">
        <v>719</v>
      </c>
      <c r="B506" t="s">
        <v>720</v>
      </c>
      <c r="C506" t="s">
        <v>229</v>
      </c>
      <c r="D506">
        <v>1952</v>
      </c>
      <c r="E506" t="s">
        <v>15</v>
      </c>
      <c r="F506" t="s">
        <v>16</v>
      </c>
      <c r="G506" t="s">
        <v>17</v>
      </c>
      <c r="H506" t="s">
        <v>18</v>
      </c>
      <c r="I506">
        <v>50.917000000000002</v>
      </c>
      <c r="J506" t="s">
        <v>19</v>
      </c>
      <c r="K506" t="s">
        <v>721</v>
      </c>
      <c r="L506" t="s">
        <v>21</v>
      </c>
      <c r="M506" t="str">
        <f t="shared" si="21"/>
        <v>OK</v>
      </c>
      <c r="N506" t="str">
        <f t="shared" si="22"/>
        <v>1950s</v>
      </c>
      <c r="O506" t="str">
        <f t="shared" si="23"/>
        <v>Low</v>
      </c>
      <c r="P506" t="str">
        <f>VLOOKUP(E506,calculated_fields!$F$4:$G$6,2,FALSE)</f>
        <v>Health</v>
      </c>
    </row>
    <row r="507" spans="1:16">
      <c r="A507" t="s">
        <v>722</v>
      </c>
      <c r="B507" t="s">
        <v>720</v>
      </c>
      <c r="C507" t="s">
        <v>229</v>
      </c>
      <c r="D507">
        <v>1952</v>
      </c>
      <c r="E507" t="s">
        <v>23</v>
      </c>
      <c r="F507" t="s">
        <v>24</v>
      </c>
      <c r="G507" t="s">
        <v>25</v>
      </c>
      <c r="H507" t="s">
        <v>26</v>
      </c>
      <c r="I507">
        <v>56602560</v>
      </c>
      <c r="J507" t="s">
        <v>27</v>
      </c>
      <c r="K507" t="s">
        <v>721</v>
      </c>
      <c r="L507" t="s">
        <v>21</v>
      </c>
      <c r="M507" t="str">
        <f t="shared" si="21"/>
        <v>OK</v>
      </c>
      <c r="N507" t="str">
        <f t="shared" si="22"/>
        <v>1950s</v>
      </c>
      <c r="O507" t="str">
        <f t="shared" si="23"/>
        <v>N/A</v>
      </c>
      <c r="P507" t="str">
        <f>VLOOKUP(E507,calculated_fields!$F$4:$G$6,2,FALSE)</f>
        <v>Demographics</v>
      </c>
    </row>
    <row r="508" spans="1:16">
      <c r="A508" t="s">
        <v>723</v>
      </c>
      <c r="B508" t="s">
        <v>720</v>
      </c>
      <c r="C508" t="s">
        <v>229</v>
      </c>
      <c r="D508">
        <v>1952</v>
      </c>
      <c r="E508" t="s">
        <v>29</v>
      </c>
      <c r="F508" t="s">
        <v>30</v>
      </c>
      <c r="G508" t="s">
        <v>31</v>
      </c>
      <c r="H508" t="s">
        <v>32</v>
      </c>
      <c r="I508">
        <v>2108.9443550000001</v>
      </c>
      <c r="J508" t="s">
        <v>33</v>
      </c>
      <c r="K508" t="s">
        <v>721</v>
      </c>
      <c r="L508" t="s">
        <v>21</v>
      </c>
      <c r="M508" t="str">
        <f t="shared" si="21"/>
        <v>OK</v>
      </c>
      <c r="N508" t="str">
        <f t="shared" si="22"/>
        <v>1950s</v>
      </c>
      <c r="O508" t="str">
        <f t="shared" si="23"/>
        <v>N/A</v>
      </c>
      <c r="P508" t="str">
        <f>VLOOKUP(E508,calculated_fields!$F$4:$G$6,2,FALSE)</f>
        <v>Economy</v>
      </c>
    </row>
    <row r="509" spans="1:16">
      <c r="A509" t="s">
        <v>724</v>
      </c>
      <c r="B509" t="s">
        <v>720</v>
      </c>
      <c r="C509" t="s">
        <v>229</v>
      </c>
      <c r="D509">
        <v>1957</v>
      </c>
      <c r="E509" t="s">
        <v>15</v>
      </c>
      <c r="F509" t="s">
        <v>16</v>
      </c>
      <c r="G509" t="s">
        <v>17</v>
      </c>
      <c r="H509" t="s">
        <v>18</v>
      </c>
      <c r="I509">
        <v>53.284999999999997</v>
      </c>
      <c r="J509" t="s">
        <v>19</v>
      </c>
      <c r="K509" t="s">
        <v>725</v>
      </c>
      <c r="L509" t="s">
        <v>21</v>
      </c>
      <c r="M509" t="str">
        <f t="shared" si="21"/>
        <v>OK</v>
      </c>
      <c r="N509" t="str">
        <f t="shared" si="22"/>
        <v>1950s</v>
      </c>
      <c r="O509" t="str">
        <f t="shared" si="23"/>
        <v>Low</v>
      </c>
      <c r="P509" t="str">
        <f>VLOOKUP(E509,calculated_fields!$F$4:$G$6,2,FALSE)</f>
        <v>Health</v>
      </c>
    </row>
    <row r="510" spans="1:16">
      <c r="A510" t="s">
        <v>726</v>
      </c>
      <c r="B510" t="s">
        <v>720</v>
      </c>
      <c r="C510" t="s">
        <v>229</v>
      </c>
      <c r="D510">
        <v>1957</v>
      </c>
      <c r="E510" t="s">
        <v>23</v>
      </c>
      <c r="F510" t="s">
        <v>24</v>
      </c>
      <c r="G510" t="s">
        <v>25</v>
      </c>
      <c r="H510" t="s">
        <v>26</v>
      </c>
      <c r="I510">
        <v>65551171</v>
      </c>
      <c r="J510" t="s">
        <v>27</v>
      </c>
      <c r="K510" t="s">
        <v>725</v>
      </c>
      <c r="L510" t="s">
        <v>21</v>
      </c>
      <c r="M510" t="str">
        <f t="shared" si="21"/>
        <v>OK</v>
      </c>
      <c r="N510" t="str">
        <f t="shared" si="22"/>
        <v>1950s</v>
      </c>
      <c r="O510" t="str">
        <f t="shared" si="23"/>
        <v>N/A</v>
      </c>
      <c r="P510" t="str">
        <f>VLOOKUP(E510,calculated_fields!$F$4:$G$6,2,FALSE)</f>
        <v>Demographics</v>
      </c>
    </row>
    <row r="511" spans="1:16">
      <c r="A511" t="s">
        <v>727</v>
      </c>
      <c r="B511" t="s">
        <v>720</v>
      </c>
      <c r="C511" t="s">
        <v>229</v>
      </c>
      <c r="D511">
        <v>1957</v>
      </c>
      <c r="E511" t="s">
        <v>29</v>
      </c>
      <c r="F511" t="s">
        <v>30</v>
      </c>
      <c r="G511" t="s">
        <v>31</v>
      </c>
      <c r="H511" t="s">
        <v>32</v>
      </c>
      <c r="I511">
        <v>2487.3659889999999</v>
      </c>
      <c r="J511" t="s">
        <v>33</v>
      </c>
      <c r="K511" t="s">
        <v>725</v>
      </c>
      <c r="L511" t="s">
        <v>21</v>
      </c>
      <c r="M511" t="str">
        <f t="shared" si="21"/>
        <v>OK</v>
      </c>
      <c r="N511" t="str">
        <f t="shared" si="22"/>
        <v>1950s</v>
      </c>
      <c r="O511" t="str">
        <f t="shared" si="23"/>
        <v>N/A</v>
      </c>
      <c r="P511" t="str">
        <f>VLOOKUP(E511,calculated_fields!$F$4:$G$6,2,FALSE)</f>
        <v>Economy</v>
      </c>
    </row>
    <row r="512" spans="1:16">
      <c r="A512" t="s">
        <v>728</v>
      </c>
      <c r="B512" t="s">
        <v>720</v>
      </c>
      <c r="C512" t="s">
        <v>229</v>
      </c>
      <c r="D512">
        <v>1962</v>
      </c>
      <c r="E512" t="s">
        <v>15</v>
      </c>
      <c r="F512" t="s">
        <v>16</v>
      </c>
      <c r="G512" t="s">
        <v>17</v>
      </c>
      <c r="H512" t="s">
        <v>18</v>
      </c>
      <c r="I512">
        <v>55.664999999999999</v>
      </c>
      <c r="J512" t="s">
        <v>19</v>
      </c>
      <c r="K512" t="s">
        <v>729</v>
      </c>
      <c r="L512" t="s">
        <v>21</v>
      </c>
      <c r="M512" t="str">
        <f t="shared" si="21"/>
        <v>OK</v>
      </c>
      <c r="N512" t="str">
        <f t="shared" si="22"/>
        <v>1960s</v>
      </c>
      <c r="O512" t="str">
        <f t="shared" si="23"/>
        <v>Medium</v>
      </c>
      <c r="P512" t="str">
        <f>VLOOKUP(E512,calculated_fields!$F$4:$G$6,2,FALSE)</f>
        <v>Health</v>
      </c>
    </row>
    <row r="513" spans="1:16">
      <c r="A513" t="s">
        <v>730</v>
      </c>
      <c r="B513" t="s">
        <v>720</v>
      </c>
      <c r="C513" t="s">
        <v>229</v>
      </c>
      <c r="D513">
        <v>1962</v>
      </c>
      <c r="E513" t="s">
        <v>23</v>
      </c>
      <c r="F513" t="s">
        <v>24</v>
      </c>
      <c r="G513" t="s">
        <v>25</v>
      </c>
      <c r="H513" t="s">
        <v>26</v>
      </c>
      <c r="I513">
        <v>76039390</v>
      </c>
      <c r="J513" t="s">
        <v>27</v>
      </c>
      <c r="K513" t="s">
        <v>729</v>
      </c>
      <c r="L513" t="s">
        <v>21</v>
      </c>
      <c r="M513" t="str">
        <f t="shared" si="21"/>
        <v>OK</v>
      </c>
      <c r="N513" t="str">
        <f t="shared" si="22"/>
        <v>1960s</v>
      </c>
      <c r="O513" t="str">
        <f t="shared" si="23"/>
        <v>N/A</v>
      </c>
      <c r="P513" t="str">
        <f>VLOOKUP(E513,calculated_fields!$F$4:$G$6,2,FALSE)</f>
        <v>Demographics</v>
      </c>
    </row>
    <row r="514" spans="1:16">
      <c r="A514" t="s">
        <v>731</v>
      </c>
      <c r="B514" t="s">
        <v>720</v>
      </c>
      <c r="C514" t="s">
        <v>229</v>
      </c>
      <c r="D514">
        <v>1962</v>
      </c>
      <c r="E514" t="s">
        <v>29</v>
      </c>
      <c r="F514" t="s">
        <v>30</v>
      </c>
      <c r="G514" t="s">
        <v>31</v>
      </c>
      <c r="H514" t="s">
        <v>32</v>
      </c>
      <c r="I514">
        <v>3336.5858020000001</v>
      </c>
      <c r="J514" t="s">
        <v>33</v>
      </c>
      <c r="K514" t="s">
        <v>729</v>
      </c>
      <c r="L514" t="s">
        <v>21</v>
      </c>
      <c r="M514" t="str">
        <f t="shared" ref="M514:M577" si="24">IF(AND(ISNUMBER(I514),I514&gt;=0),"OK","Review")</f>
        <v>OK</v>
      </c>
      <c r="N514" t="str">
        <f t="shared" ref="N514:N577" si="25">FLOOR(D514,10)&amp;"s"</f>
        <v>1960s</v>
      </c>
      <c r="O514" t="str">
        <f t="shared" ref="O514:O577" si="26">IF(E514="LIFE_EXP",IF(I514&gt;=70,"High",IF(I514&gt;=55,"Medium","Low")),"N/A")</f>
        <v>N/A</v>
      </c>
      <c r="P514" t="str">
        <f>VLOOKUP(E514,calculated_fields!$F$4:$G$6,2,FALSE)</f>
        <v>Economy</v>
      </c>
    </row>
    <row r="515" spans="1:16">
      <c r="A515" t="s">
        <v>732</v>
      </c>
      <c r="B515" t="s">
        <v>720</v>
      </c>
      <c r="C515" t="s">
        <v>229</v>
      </c>
      <c r="D515">
        <v>1967</v>
      </c>
      <c r="E515" t="s">
        <v>15</v>
      </c>
      <c r="F515" t="s">
        <v>16</v>
      </c>
      <c r="G515" t="s">
        <v>17</v>
      </c>
      <c r="H515" t="s">
        <v>18</v>
      </c>
      <c r="I515">
        <v>57.631999999999998</v>
      </c>
      <c r="J515" t="s">
        <v>19</v>
      </c>
      <c r="K515" t="s">
        <v>733</v>
      </c>
      <c r="L515" t="s">
        <v>21</v>
      </c>
      <c r="M515" t="str">
        <f t="shared" si="24"/>
        <v>OK</v>
      </c>
      <c r="N515" t="str">
        <f t="shared" si="25"/>
        <v>1960s</v>
      </c>
      <c r="O515" t="str">
        <f t="shared" si="26"/>
        <v>Medium</v>
      </c>
      <c r="P515" t="str">
        <f>VLOOKUP(E515,calculated_fields!$F$4:$G$6,2,FALSE)</f>
        <v>Health</v>
      </c>
    </row>
    <row r="516" spans="1:16">
      <c r="A516" t="s">
        <v>734</v>
      </c>
      <c r="B516" t="s">
        <v>720</v>
      </c>
      <c r="C516" t="s">
        <v>229</v>
      </c>
      <c r="D516">
        <v>1967</v>
      </c>
      <c r="E516" t="s">
        <v>23</v>
      </c>
      <c r="F516" t="s">
        <v>24</v>
      </c>
      <c r="G516" t="s">
        <v>25</v>
      </c>
      <c r="H516" t="s">
        <v>26</v>
      </c>
      <c r="I516">
        <v>88049823</v>
      </c>
      <c r="J516" t="s">
        <v>27</v>
      </c>
      <c r="K516" t="s">
        <v>733</v>
      </c>
      <c r="L516" t="s">
        <v>21</v>
      </c>
      <c r="M516" t="str">
        <f t="shared" si="24"/>
        <v>OK</v>
      </c>
      <c r="N516" t="str">
        <f t="shared" si="25"/>
        <v>1960s</v>
      </c>
      <c r="O516" t="str">
        <f t="shared" si="26"/>
        <v>N/A</v>
      </c>
      <c r="P516" t="str">
        <f>VLOOKUP(E516,calculated_fields!$F$4:$G$6,2,FALSE)</f>
        <v>Demographics</v>
      </c>
    </row>
    <row r="517" spans="1:16">
      <c r="A517" t="s">
        <v>735</v>
      </c>
      <c r="B517" t="s">
        <v>720</v>
      </c>
      <c r="C517" t="s">
        <v>229</v>
      </c>
      <c r="D517">
        <v>1967</v>
      </c>
      <c r="E517" t="s">
        <v>29</v>
      </c>
      <c r="F517" t="s">
        <v>30</v>
      </c>
      <c r="G517" t="s">
        <v>31</v>
      </c>
      <c r="H517" t="s">
        <v>32</v>
      </c>
      <c r="I517">
        <v>3429.8643569999999</v>
      </c>
      <c r="J517" t="s">
        <v>33</v>
      </c>
      <c r="K517" t="s">
        <v>733</v>
      </c>
      <c r="L517" t="s">
        <v>21</v>
      </c>
      <c r="M517" t="str">
        <f t="shared" si="24"/>
        <v>OK</v>
      </c>
      <c r="N517" t="str">
        <f t="shared" si="25"/>
        <v>1960s</v>
      </c>
      <c r="O517" t="str">
        <f t="shared" si="26"/>
        <v>N/A</v>
      </c>
      <c r="P517" t="str">
        <f>VLOOKUP(E517,calculated_fields!$F$4:$G$6,2,FALSE)</f>
        <v>Economy</v>
      </c>
    </row>
    <row r="518" spans="1:16">
      <c r="A518" t="s">
        <v>736</v>
      </c>
      <c r="B518" t="s">
        <v>720</v>
      </c>
      <c r="C518" t="s">
        <v>229</v>
      </c>
      <c r="D518">
        <v>1972</v>
      </c>
      <c r="E518" t="s">
        <v>15</v>
      </c>
      <c r="F518" t="s">
        <v>16</v>
      </c>
      <c r="G518" t="s">
        <v>17</v>
      </c>
      <c r="H518" t="s">
        <v>18</v>
      </c>
      <c r="I518">
        <v>59.503999999999998</v>
      </c>
      <c r="J518" t="s">
        <v>19</v>
      </c>
      <c r="K518" t="s">
        <v>737</v>
      </c>
      <c r="L518" t="s">
        <v>21</v>
      </c>
      <c r="M518" t="str">
        <f t="shared" si="24"/>
        <v>OK</v>
      </c>
      <c r="N518" t="str">
        <f t="shared" si="25"/>
        <v>1970s</v>
      </c>
      <c r="O518" t="str">
        <f t="shared" si="26"/>
        <v>Medium</v>
      </c>
      <c r="P518" t="str">
        <f>VLOOKUP(E518,calculated_fields!$F$4:$G$6,2,FALSE)</f>
        <v>Health</v>
      </c>
    </row>
    <row r="519" spans="1:16">
      <c r="A519" t="s">
        <v>738</v>
      </c>
      <c r="B519" t="s">
        <v>720</v>
      </c>
      <c r="C519" t="s">
        <v>229</v>
      </c>
      <c r="D519">
        <v>1972</v>
      </c>
      <c r="E519" t="s">
        <v>23</v>
      </c>
      <c r="F519" t="s">
        <v>24</v>
      </c>
      <c r="G519" t="s">
        <v>25</v>
      </c>
      <c r="H519" t="s">
        <v>26</v>
      </c>
      <c r="I519">
        <v>100840058</v>
      </c>
      <c r="J519" t="s">
        <v>27</v>
      </c>
      <c r="K519" t="s">
        <v>737</v>
      </c>
      <c r="L519" t="s">
        <v>21</v>
      </c>
      <c r="M519" t="str">
        <f t="shared" si="24"/>
        <v>OK</v>
      </c>
      <c r="N519" t="str">
        <f t="shared" si="25"/>
        <v>1970s</v>
      </c>
      <c r="O519" t="str">
        <f t="shared" si="26"/>
        <v>N/A</v>
      </c>
      <c r="P519" t="str">
        <f>VLOOKUP(E519,calculated_fields!$F$4:$G$6,2,FALSE)</f>
        <v>Demographics</v>
      </c>
    </row>
    <row r="520" spans="1:16">
      <c r="A520" t="s">
        <v>739</v>
      </c>
      <c r="B520" t="s">
        <v>720</v>
      </c>
      <c r="C520" t="s">
        <v>229</v>
      </c>
      <c r="D520">
        <v>1972</v>
      </c>
      <c r="E520" t="s">
        <v>29</v>
      </c>
      <c r="F520" t="s">
        <v>30</v>
      </c>
      <c r="G520" t="s">
        <v>31</v>
      </c>
      <c r="H520" t="s">
        <v>32</v>
      </c>
      <c r="I520">
        <v>4985.7114670000001</v>
      </c>
      <c r="J520" t="s">
        <v>33</v>
      </c>
      <c r="K520" t="s">
        <v>737</v>
      </c>
      <c r="L520" t="s">
        <v>21</v>
      </c>
      <c r="M520" t="str">
        <f t="shared" si="24"/>
        <v>OK</v>
      </c>
      <c r="N520" t="str">
        <f t="shared" si="25"/>
        <v>1970s</v>
      </c>
      <c r="O520" t="str">
        <f t="shared" si="26"/>
        <v>N/A</v>
      </c>
      <c r="P520" t="str">
        <f>VLOOKUP(E520,calculated_fields!$F$4:$G$6,2,FALSE)</f>
        <v>Economy</v>
      </c>
    </row>
    <row r="521" spans="1:16">
      <c r="A521" t="s">
        <v>740</v>
      </c>
      <c r="B521" t="s">
        <v>720</v>
      </c>
      <c r="C521" t="s">
        <v>229</v>
      </c>
      <c r="D521">
        <v>1977</v>
      </c>
      <c r="E521" t="s">
        <v>15</v>
      </c>
      <c r="F521" t="s">
        <v>16</v>
      </c>
      <c r="G521" t="s">
        <v>17</v>
      </c>
      <c r="H521" t="s">
        <v>18</v>
      </c>
      <c r="I521">
        <v>61.488999999999997</v>
      </c>
      <c r="J521" t="s">
        <v>19</v>
      </c>
      <c r="K521" t="s">
        <v>741</v>
      </c>
      <c r="L521" t="s">
        <v>21</v>
      </c>
      <c r="M521" t="str">
        <f t="shared" si="24"/>
        <v>OK</v>
      </c>
      <c r="N521" t="str">
        <f t="shared" si="25"/>
        <v>1970s</v>
      </c>
      <c r="O521" t="str">
        <f t="shared" si="26"/>
        <v>Medium</v>
      </c>
      <c r="P521" t="str">
        <f>VLOOKUP(E521,calculated_fields!$F$4:$G$6,2,FALSE)</f>
        <v>Health</v>
      </c>
    </row>
    <row r="522" spans="1:16">
      <c r="A522" t="s">
        <v>742</v>
      </c>
      <c r="B522" t="s">
        <v>720</v>
      </c>
      <c r="C522" t="s">
        <v>229</v>
      </c>
      <c r="D522">
        <v>1977</v>
      </c>
      <c r="E522" t="s">
        <v>23</v>
      </c>
      <c r="F522" t="s">
        <v>24</v>
      </c>
      <c r="G522" t="s">
        <v>25</v>
      </c>
      <c r="H522" t="s">
        <v>26</v>
      </c>
      <c r="I522">
        <v>114313951</v>
      </c>
      <c r="J522" t="s">
        <v>27</v>
      </c>
      <c r="K522" t="s">
        <v>741</v>
      </c>
      <c r="L522" t="s">
        <v>21</v>
      </c>
      <c r="M522" t="str">
        <f t="shared" si="24"/>
        <v>OK</v>
      </c>
      <c r="N522" t="str">
        <f t="shared" si="25"/>
        <v>1970s</v>
      </c>
      <c r="O522" t="str">
        <f t="shared" si="26"/>
        <v>N/A</v>
      </c>
      <c r="P522" t="str">
        <f>VLOOKUP(E522,calculated_fields!$F$4:$G$6,2,FALSE)</f>
        <v>Demographics</v>
      </c>
    </row>
    <row r="523" spans="1:16">
      <c r="A523" t="s">
        <v>743</v>
      </c>
      <c r="B523" t="s">
        <v>720</v>
      </c>
      <c r="C523" t="s">
        <v>229</v>
      </c>
      <c r="D523">
        <v>1977</v>
      </c>
      <c r="E523" t="s">
        <v>29</v>
      </c>
      <c r="F523" t="s">
        <v>30</v>
      </c>
      <c r="G523" t="s">
        <v>31</v>
      </c>
      <c r="H523" t="s">
        <v>32</v>
      </c>
      <c r="I523">
        <v>6660.1186539999999</v>
      </c>
      <c r="J523" t="s">
        <v>33</v>
      </c>
      <c r="K523" t="s">
        <v>741</v>
      </c>
      <c r="L523" t="s">
        <v>21</v>
      </c>
      <c r="M523" t="str">
        <f t="shared" si="24"/>
        <v>OK</v>
      </c>
      <c r="N523" t="str">
        <f t="shared" si="25"/>
        <v>1970s</v>
      </c>
      <c r="O523" t="str">
        <f t="shared" si="26"/>
        <v>N/A</v>
      </c>
      <c r="P523" t="str">
        <f>VLOOKUP(E523,calculated_fields!$F$4:$G$6,2,FALSE)</f>
        <v>Economy</v>
      </c>
    </row>
    <row r="524" spans="1:16">
      <c r="A524" t="s">
        <v>744</v>
      </c>
      <c r="B524" t="s">
        <v>720</v>
      </c>
      <c r="C524" t="s">
        <v>229</v>
      </c>
      <c r="D524">
        <v>1982</v>
      </c>
      <c r="E524" t="s">
        <v>15</v>
      </c>
      <c r="F524" t="s">
        <v>16</v>
      </c>
      <c r="G524" t="s">
        <v>17</v>
      </c>
      <c r="H524" t="s">
        <v>18</v>
      </c>
      <c r="I524">
        <v>63.335999999999999</v>
      </c>
      <c r="J524" t="s">
        <v>19</v>
      </c>
      <c r="K524" t="s">
        <v>745</v>
      </c>
      <c r="L524" t="s">
        <v>21</v>
      </c>
      <c r="M524" t="str">
        <f t="shared" si="24"/>
        <v>OK</v>
      </c>
      <c r="N524" t="str">
        <f t="shared" si="25"/>
        <v>1980s</v>
      </c>
      <c r="O524" t="str">
        <f t="shared" si="26"/>
        <v>Medium</v>
      </c>
      <c r="P524" t="str">
        <f>VLOOKUP(E524,calculated_fields!$F$4:$G$6,2,FALSE)</f>
        <v>Health</v>
      </c>
    </row>
    <row r="525" spans="1:16">
      <c r="A525" t="s">
        <v>746</v>
      </c>
      <c r="B525" t="s">
        <v>720</v>
      </c>
      <c r="C525" t="s">
        <v>229</v>
      </c>
      <c r="D525">
        <v>1982</v>
      </c>
      <c r="E525" t="s">
        <v>23</v>
      </c>
      <c r="F525" t="s">
        <v>24</v>
      </c>
      <c r="G525" t="s">
        <v>25</v>
      </c>
      <c r="H525" t="s">
        <v>26</v>
      </c>
      <c r="I525">
        <v>128962939</v>
      </c>
      <c r="J525" t="s">
        <v>27</v>
      </c>
      <c r="K525" t="s">
        <v>745</v>
      </c>
      <c r="L525" t="s">
        <v>21</v>
      </c>
      <c r="M525" t="str">
        <f t="shared" si="24"/>
        <v>OK</v>
      </c>
      <c r="N525" t="str">
        <f t="shared" si="25"/>
        <v>1980s</v>
      </c>
      <c r="O525" t="str">
        <f t="shared" si="26"/>
        <v>N/A</v>
      </c>
      <c r="P525" t="str">
        <f>VLOOKUP(E525,calculated_fields!$F$4:$G$6,2,FALSE)</f>
        <v>Demographics</v>
      </c>
    </row>
    <row r="526" spans="1:16">
      <c r="A526" t="s">
        <v>747</v>
      </c>
      <c r="B526" t="s">
        <v>720</v>
      </c>
      <c r="C526" t="s">
        <v>229</v>
      </c>
      <c r="D526">
        <v>1982</v>
      </c>
      <c r="E526" t="s">
        <v>29</v>
      </c>
      <c r="F526" t="s">
        <v>30</v>
      </c>
      <c r="G526" t="s">
        <v>31</v>
      </c>
      <c r="H526" t="s">
        <v>32</v>
      </c>
      <c r="I526">
        <v>7030.8358779999999</v>
      </c>
      <c r="J526" t="s">
        <v>33</v>
      </c>
      <c r="K526" t="s">
        <v>745</v>
      </c>
      <c r="L526" t="s">
        <v>21</v>
      </c>
      <c r="M526" t="str">
        <f t="shared" si="24"/>
        <v>OK</v>
      </c>
      <c r="N526" t="str">
        <f t="shared" si="25"/>
        <v>1980s</v>
      </c>
      <c r="O526" t="str">
        <f t="shared" si="26"/>
        <v>N/A</v>
      </c>
      <c r="P526" t="str">
        <f>VLOOKUP(E526,calculated_fields!$F$4:$G$6,2,FALSE)</f>
        <v>Economy</v>
      </c>
    </row>
    <row r="527" spans="1:16">
      <c r="A527" t="s">
        <v>748</v>
      </c>
      <c r="B527" t="s">
        <v>720</v>
      </c>
      <c r="C527" t="s">
        <v>229</v>
      </c>
      <c r="D527">
        <v>1987</v>
      </c>
      <c r="E527" t="s">
        <v>15</v>
      </c>
      <c r="F527" t="s">
        <v>16</v>
      </c>
      <c r="G527" t="s">
        <v>17</v>
      </c>
      <c r="H527" t="s">
        <v>18</v>
      </c>
      <c r="I527">
        <v>65.204999999999998</v>
      </c>
      <c r="J527" t="s">
        <v>19</v>
      </c>
      <c r="K527" t="s">
        <v>749</v>
      </c>
      <c r="L527" t="s">
        <v>21</v>
      </c>
      <c r="M527" t="str">
        <f t="shared" si="24"/>
        <v>OK</v>
      </c>
      <c r="N527" t="str">
        <f t="shared" si="25"/>
        <v>1980s</v>
      </c>
      <c r="O527" t="str">
        <f t="shared" si="26"/>
        <v>Medium</v>
      </c>
      <c r="P527" t="str">
        <f>VLOOKUP(E527,calculated_fields!$F$4:$G$6,2,FALSE)</f>
        <v>Health</v>
      </c>
    </row>
    <row r="528" spans="1:16">
      <c r="A528" t="s">
        <v>750</v>
      </c>
      <c r="B528" t="s">
        <v>720</v>
      </c>
      <c r="C528" t="s">
        <v>229</v>
      </c>
      <c r="D528">
        <v>1987</v>
      </c>
      <c r="E528" t="s">
        <v>23</v>
      </c>
      <c r="F528" t="s">
        <v>24</v>
      </c>
      <c r="G528" t="s">
        <v>25</v>
      </c>
      <c r="H528" t="s">
        <v>26</v>
      </c>
      <c r="I528">
        <v>142938076</v>
      </c>
      <c r="J528" t="s">
        <v>27</v>
      </c>
      <c r="K528" t="s">
        <v>749</v>
      </c>
      <c r="L528" t="s">
        <v>21</v>
      </c>
      <c r="M528" t="str">
        <f t="shared" si="24"/>
        <v>OK</v>
      </c>
      <c r="N528" t="str">
        <f t="shared" si="25"/>
        <v>1980s</v>
      </c>
      <c r="O528" t="str">
        <f t="shared" si="26"/>
        <v>N/A</v>
      </c>
      <c r="P528" t="str">
        <f>VLOOKUP(E528,calculated_fields!$F$4:$G$6,2,FALSE)</f>
        <v>Demographics</v>
      </c>
    </row>
    <row r="529" spans="1:16">
      <c r="A529" t="s">
        <v>751</v>
      </c>
      <c r="B529" t="s">
        <v>720</v>
      </c>
      <c r="C529" t="s">
        <v>229</v>
      </c>
      <c r="D529">
        <v>1987</v>
      </c>
      <c r="E529" t="s">
        <v>29</v>
      </c>
      <c r="F529" t="s">
        <v>30</v>
      </c>
      <c r="G529" t="s">
        <v>31</v>
      </c>
      <c r="H529" t="s">
        <v>32</v>
      </c>
      <c r="I529">
        <v>7807.0958179999998</v>
      </c>
      <c r="J529" t="s">
        <v>33</v>
      </c>
      <c r="K529" t="s">
        <v>749</v>
      </c>
      <c r="L529" t="s">
        <v>21</v>
      </c>
      <c r="M529" t="str">
        <f t="shared" si="24"/>
        <v>OK</v>
      </c>
      <c r="N529" t="str">
        <f t="shared" si="25"/>
        <v>1980s</v>
      </c>
      <c r="O529" t="str">
        <f t="shared" si="26"/>
        <v>N/A</v>
      </c>
      <c r="P529" t="str">
        <f>VLOOKUP(E529,calculated_fields!$F$4:$G$6,2,FALSE)</f>
        <v>Economy</v>
      </c>
    </row>
    <row r="530" spans="1:16">
      <c r="A530" t="s">
        <v>752</v>
      </c>
      <c r="B530" t="s">
        <v>720</v>
      </c>
      <c r="C530" t="s">
        <v>229</v>
      </c>
      <c r="D530">
        <v>1992</v>
      </c>
      <c r="E530" t="s">
        <v>15</v>
      </c>
      <c r="F530" t="s">
        <v>16</v>
      </c>
      <c r="G530" t="s">
        <v>17</v>
      </c>
      <c r="H530" t="s">
        <v>18</v>
      </c>
      <c r="I530">
        <v>67.057000000000002</v>
      </c>
      <c r="J530" t="s">
        <v>19</v>
      </c>
      <c r="K530" t="s">
        <v>753</v>
      </c>
      <c r="L530" t="s">
        <v>21</v>
      </c>
      <c r="M530" t="str">
        <f t="shared" si="24"/>
        <v>OK</v>
      </c>
      <c r="N530" t="str">
        <f t="shared" si="25"/>
        <v>1990s</v>
      </c>
      <c r="O530" t="str">
        <f t="shared" si="26"/>
        <v>Medium</v>
      </c>
      <c r="P530" t="str">
        <f>VLOOKUP(E530,calculated_fields!$F$4:$G$6,2,FALSE)</f>
        <v>Health</v>
      </c>
    </row>
    <row r="531" spans="1:16">
      <c r="A531" t="s">
        <v>754</v>
      </c>
      <c r="B531" t="s">
        <v>720</v>
      </c>
      <c r="C531" t="s">
        <v>229</v>
      </c>
      <c r="D531">
        <v>1992</v>
      </c>
      <c r="E531" t="s">
        <v>23</v>
      </c>
      <c r="F531" t="s">
        <v>24</v>
      </c>
      <c r="G531" t="s">
        <v>25</v>
      </c>
      <c r="H531" t="s">
        <v>26</v>
      </c>
      <c r="I531">
        <v>155975974</v>
      </c>
      <c r="J531" t="s">
        <v>27</v>
      </c>
      <c r="K531" t="s">
        <v>753</v>
      </c>
      <c r="L531" t="s">
        <v>21</v>
      </c>
      <c r="M531" t="str">
        <f t="shared" si="24"/>
        <v>OK</v>
      </c>
      <c r="N531" t="str">
        <f t="shared" si="25"/>
        <v>1990s</v>
      </c>
      <c r="O531" t="str">
        <f t="shared" si="26"/>
        <v>N/A</v>
      </c>
      <c r="P531" t="str">
        <f>VLOOKUP(E531,calculated_fields!$F$4:$G$6,2,FALSE)</f>
        <v>Demographics</v>
      </c>
    </row>
    <row r="532" spans="1:16">
      <c r="A532" t="s">
        <v>755</v>
      </c>
      <c r="B532" t="s">
        <v>720</v>
      </c>
      <c r="C532" t="s">
        <v>229</v>
      </c>
      <c r="D532">
        <v>1992</v>
      </c>
      <c r="E532" t="s">
        <v>29</v>
      </c>
      <c r="F532" t="s">
        <v>30</v>
      </c>
      <c r="G532" t="s">
        <v>31</v>
      </c>
      <c r="H532" t="s">
        <v>32</v>
      </c>
      <c r="I532">
        <v>6950.2830209999902</v>
      </c>
      <c r="J532" t="s">
        <v>33</v>
      </c>
      <c r="K532" t="s">
        <v>753</v>
      </c>
      <c r="L532" t="s">
        <v>21</v>
      </c>
      <c r="M532" t="str">
        <f t="shared" si="24"/>
        <v>OK</v>
      </c>
      <c r="N532" t="str">
        <f t="shared" si="25"/>
        <v>1990s</v>
      </c>
      <c r="O532" t="str">
        <f t="shared" si="26"/>
        <v>N/A</v>
      </c>
      <c r="P532" t="str">
        <f>VLOOKUP(E532,calculated_fields!$F$4:$G$6,2,FALSE)</f>
        <v>Economy</v>
      </c>
    </row>
    <row r="533" spans="1:16">
      <c r="A533" t="s">
        <v>756</v>
      </c>
      <c r="B533" t="s">
        <v>720</v>
      </c>
      <c r="C533" t="s">
        <v>229</v>
      </c>
      <c r="D533">
        <v>1997</v>
      </c>
      <c r="E533" t="s">
        <v>15</v>
      </c>
      <c r="F533" t="s">
        <v>16</v>
      </c>
      <c r="G533" t="s">
        <v>17</v>
      </c>
      <c r="H533" t="s">
        <v>18</v>
      </c>
      <c r="I533">
        <v>69.388000000000005</v>
      </c>
      <c r="J533" t="s">
        <v>19</v>
      </c>
      <c r="K533" t="s">
        <v>757</v>
      </c>
      <c r="L533" t="s">
        <v>21</v>
      </c>
      <c r="M533" t="str">
        <f t="shared" si="24"/>
        <v>OK</v>
      </c>
      <c r="N533" t="str">
        <f t="shared" si="25"/>
        <v>1990s</v>
      </c>
      <c r="O533" t="str">
        <f t="shared" si="26"/>
        <v>Medium</v>
      </c>
      <c r="P533" t="str">
        <f>VLOOKUP(E533,calculated_fields!$F$4:$G$6,2,FALSE)</f>
        <v>Health</v>
      </c>
    </row>
    <row r="534" spans="1:16">
      <c r="A534" t="s">
        <v>758</v>
      </c>
      <c r="B534" t="s">
        <v>720</v>
      </c>
      <c r="C534" t="s">
        <v>229</v>
      </c>
      <c r="D534">
        <v>1997</v>
      </c>
      <c r="E534" t="s">
        <v>23</v>
      </c>
      <c r="F534" t="s">
        <v>24</v>
      </c>
      <c r="G534" t="s">
        <v>25</v>
      </c>
      <c r="H534" t="s">
        <v>26</v>
      </c>
      <c r="I534">
        <v>168546719</v>
      </c>
      <c r="J534" t="s">
        <v>27</v>
      </c>
      <c r="K534" t="s">
        <v>757</v>
      </c>
      <c r="L534" t="s">
        <v>21</v>
      </c>
      <c r="M534" t="str">
        <f t="shared" si="24"/>
        <v>OK</v>
      </c>
      <c r="N534" t="str">
        <f t="shared" si="25"/>
        <v>1990s</v>
      </c>
      <c r="O534" t="str">
        <f t="shared" si="26"/>
        <v>N/A</v>
      </c>
      <c r="P534" t="str">
        <f>VLOOKUP(E534,calculated_fields!$F$4:$G$6,2,FALSE)</f>
        <v>Demographics</v>
      </c>
    </row>
    <row r="535" spans="1:16">
      <c r="A535" t="s">
        <v>759</v>
      </c>
      <c r="B535" t="s">
        <v>720</v>
      </c>
      <c r="C535" t="s">
        <v>229</v>
      </c>
      <c r="D535">
        <v>1997</v>
      </c>
      <c r="E535" t="s">
        <v>29</v>
      </c>
      <c r="F535" t="s">
        <v>30</v>
      </c>
      <c r="G535" t="s">
        <v>31</v>
      </c>
      <c r="H535" t="s">
        <v>32</v>
      </c>
      <c r="I535">
        <v>7957.9808239999902</v>
      </c>
      <c r="J535" t="s">
        <v>33</v>
      </c>
      <c r="K535" t="s">
        <v>757</v>
      </c>
      <c r="L535" t="s">
        <v>21</v>
      </c>
      <c r="M535" t="str">
        <f t="shared" si="24"/>
        <v>OK</v>
      </c>
      <c r="N535" t="str">
        <f t="shared" si="25"/>
        <v>1990s</v>
      </c>
      <c r="O535" t="str">
        <f t="shared" si="26"/>
        <v>N/A</v>
      </c>
      <c r="P535" t="str">
        <f>VLOOKUP(E535,calculated_fields!$F$4:$G$6,2,FALSE)</f>
        <v>Economy</v>
      </c>
    </row>
    <row r="536" spans="1:16">
      <c r="A536" t="s">
        <v>760</v>
      </c>
      <c r="B536" t="s">
        <v>720</v>
      </c>
      <c r="C536" t="s">
        <v>229</v>
      </c>
      <c r="D536">
        <v>2002</v>
      </c>
      <c r="E536" t="s">
        <v>15</v>
      </c>
      <c r="F536" t="s">
        <v>16</v>
      </c>
      <c r="G536" t="s">
        <v>17</v>
      </c>
      <c r="H536" t="s">
        <v>18</v>
      </c>
      <c r="I536">
        <v>71.006</v>
      </c>
      <c r="J536" t="s">
        <v>19</v>
      </c>
      <c r="K536" t="s">
        <v>761</v>
      </c>
      <c r="L536" t="s">
        <v>21</v>
      </c>
      <c r="M536" t="str">
        <f t="shared" si="24"/>
        <v>OK</v>
      </c>
      <c r="N536" t="str">
        <f t="shared" si="25"/>
        <v>2000s</v>
      </c>
      <c r="O536" t="str">
        <f t="shared" si="26"/>
        <v>High</v>
      </c>
      <c r="P536" t="str">
        <f>VLOOKUP(E536,calculated_fields!$F$4:$G$6,2,FALSE)</f>
        <v>Health</v>
      </c>
    </row>
    <row r="537" spans="1:16">
      <c r="A537" t="s">
        <v>762</v>
      </c>
      <c r="B537" t="s">
        <v>720</v>
      </c>
      <c r="C537" t="s">
        <v>229</v>
      </c>
      <c r="D537">
        <v>2002</v>
      </c>
      <c r="E537" t="s">
        <v>23</v>
      </c>
      <c r="F537" t="s">
        <v>24</v>
      </c>
      <c r="G537" t="s">
        <v>25</v>
      </c>
      <c r="H537" t="s">
        <v>26</v>
      </c>
      <c r="I537">
        <v>179914212</v>
      </c>
      <c r="J537" t="s">
        <v>27</v>
      </c>
      <c r="K537" t="s">
        <v>761</v>
      </c>
      <c r="L537" t="s">
        <v>21</v>
      </c>
      <c r="M537" t="str">
        <f t="shared" si="24"/>
        <v>OK</v>
      </c>
      <c r="N537" t="str">
        <f t="shared" si="25"/>
        <v>2000s</v>
      </c>
      <c r="O537" t="str">
        <f t="shared" si="26"/>
        <v>N/A</v>
      </c>
      <c r="P537" t="str">
        <f>VLOOKUP(E537,calculated_fields!$F$4:$G$6,2,FALSE)</f>
        <v>Demographics</v>
      </c>
    </row>
    <row r="538" spans="1:16">
      <c r="A538" t="s">
        <v>763</v>
      </c>
      <c r="B538" t="s">
        <v>720</v>
      </c>
      <c r="C538" t="s">
        <v>229</v>
      </c>
      <c r="D538">
        <v>2002</v>
      </c>
      <c r="E538" t="s">
        <v>29</v>
      </c>
      <c r="F538" t="s">
        <v>30</v>
      </c>
      <c r="G538" t="s">
        <v>31</v>
      </c>
      <c r="H538" t="s">
        <v>32</v>
      </c>
      <c r="I538">
        <v>8131.2128430000002</v>
      </c>
      <c r="J538" t="s">
        <v>33</v>
      </c>
      <c r="K538" t="s">
        <v>761</v>
      </c>
      <c r="L538" t="s">
        <v>21</v>
      </c>
      <c r="M538" t="str">
        <f t="shared" si="24"/>
        <v>OK</v>
      </c>
      <c r="N538" t="str">
        <f t="shared" si="25"/>
        <v>2000s</v>
      </c>
      <c r="O538" t="str">
        <f t="shared" si="26"/>
        <v>N/A</v>
      </c>
      <c r="P538" t="str">
        <f>VLOOKUP(E538,calculated_fields!$F$4:$G$6,2,FALSE)</f>
        <v>Economy</v>
      </c>
    </row>
    <row r="539" spans="1:16">
      <c r="A539" t="s">
        <v>764</v>
      </c>
      <c r="B539" t="s">
        <v>720</v>
      </c>
      <c r="C539" t="s">
        <v>229</v>
      </c>
      <c r="D539">
        <v>2007</v>
      </c>
      <c r="E539" t="s">
        <v>15</v>
      </c>
      <c r="F539" t="s">
        <v>16</v>
      </c>
      <c r="G539" t="s">
        <v>17</v>
      </c>
      <c r="H539" t="s">
        <v>18</v>
      </c>
      <c r="I539">
        <v>72.39</v>
      </c>
      <c r="J539" t="s">
        <v>19</v>
      </c>
      <c r="K539" t="s">
        <v>765</v>
      </c>
      <c r="L539" t="s">
        <v>21</v>
      </c>
      <c r="M539" t="str">
        <f t="shared" si="24"/>
        <v>OK</v>
      </c>
      <c r="N539" t="str">
        <f t="shared" si="25"/>
        <v>2000s</v>
      </c>
      <c r="O539" t="str">
        <f t="shared" si="26"/>
        <v>High</v>
      </c>
      <c r="P539" t="str">
        <f>VLOOKUP(E539,calculated_fields!$F$4:$G$6,2,FALSE)</f>
        <v>Health</v>
      </c>
    </row>
    <row r="540" spans="1:16">
      <c r="A540" t="s">
        <v>766</v>
      </c>
      <c r="B540" t="s">
        <v>720</v>
      </c>
      <c r="C540" t="s">
        <v>229</v>
      </c>
      <c r="D540">
        <v>2007</v>
      </c>
      <c r="E540" t="s">
        <v>23</v>
      </c>
      <c r="F540" t="s">
        <v>24</v>
      </c>
      <c r="G540" t="s">
        <v>25</v>
      </c>
      <c r="H540" t="s">
        <v>26</v>
      </c>
      <c r="I540">
        <v>190010647</v>
      </c>
      <c r="J540" t="s">
        <v>27</v>
      </c>
      <c r="K540" t="s">
        <v>765</v>
      </c>
      <c r="L540" t="s">
        <v>21</v>
      </c>
      <c r="M540" t="str">
        <f t="shared" si="24"/>
        <v>OK</v>
      </c>
      <c r="N540" t="str">
        <f t="shared" si="25"/>
        <v>2000s</v>
      </c>
      <c r="O540" t="str">
        <f t="shared" si="26"/>
        <v>N/A</v>
      </c>
      <c r="P540" t="str">
        <f>VLOOKUP(E540,calculated_fields!$F$4:$G$6,2,FALSE)</f>
        <v>Demographics</v>
      </c>
    </row>
    <row r="541" spans="1:16">
      <c r="A541" t="s">
        <v>767</v>
      </c>
      <c r="B541" t="s">
        <v>720</v>
      </c>
      <c r="C541" t="s">
        <v>229</v>
      </c>
      <c r="D541">
        <v>2007</v>
      </c>
      <c r="E541" t="s">
        <v>29</v>
      </c>
      <c r="F541" t="s">
        <v>30</v>
      </c>
      <c r="G541" t="s">
        <v>31</v>
      </c>
      <c r="H541" t="s">
        <v>32</v>
      </c>
      <c r="I541">
        <v>9065.8008250000003</v>
      </c>
      <c r="J541" t="s">
        <v>33</v>
      </c>
      <c r="K541" t="s">
        <v>765</v>
      </c>
      <c r="L541" t="s">
        <v>21</v>
      </c>
      <c r="M541" t="str">
        <f t="shared" si="24"/>
        <v>OK</v>
      </c>
      <c r="N541" t="str">
        <f t="shared" si="25"/>
        <v>2000s</v>
      </c>
      <c r="O541" t="str">
        <f t="shared" si="26"/>
        <v>N/A</v>
      </c>
      <c r="P541" t="str">
        <f>VLOOKUP(E541,calculated_fields!$F$4:$G$6,2,FALSE)</f>
        <v>Economy</v>
      </c>
    </row>
    <row r="542" spans="1:16">
      <c r="A542" t="s">
        <v>768</v>
      </c>
      <c r="B542" t="s">
        <v>769</v>
      </c>
      <c r="C542" t="s">
        <v>80</v>
      </c>
      <c r="D542">
        <v>1952</v>
      </c>
      <c r="E542" t="s">
        <v>15</v>
      </c>
      <c r="F542" t="s">
        <v>16</v>
      </c>
      <c r="G542" t="s">
        <v>17</v>
      </c>
      <c r="H542" t="s">
        <v>18</v>
      </c>
      <c r="I542">
        <v>59.6</v>
      </c>
      <c r="J542" t="s">
        <v>19</v>
      </c>
      <c r="K542" t="s">
        <v>770</v>
      </c>
      <c r="L542" t="s">
        <v>21</v>
      </c>
      <c r="M542" t="str">
        <f t="shared" si="24"/>
        <v>OK</v>
      </c>
      <c r="N542" t="str">
        <f t="shared" si="25"/>
        <v>1950s</v>
      </c>
      <c r="O542" t="str">
        <f t="shared" si="26"/>
        <v>Medium</v>
      </c>
      <c r="P542" t="str">
        <f>VLOOKUP(E542,calculated_fields!$F$4:$G$6,2,FALSE)</f>
        <v>Health</v>
      </c>
    </row>
    <row r="543" spans="1:16">
      <c r="A543" t="s">
        <v>771</v>
      </c>
      <c r="B543" t="s">
        <v>769</v>
      </c>
      <c r="C543" t="s">
        <v>80</v>
      </c>
      <c r="D543">
        <v>1952</v>
      </c>
      <c r="E543" t="s">
        <v>23</v>
      </c>
      <c r="F543" t="s">
        <v>24</v>
      </c>
      <c r="G543" t="s">
        <v>25</v>
      </c>
      <c r="H543" t="s">
        <v>26</v>
      </c>
      <c r="I543">
        <v>7274900</v>
      </c>
      <c r="J543" t="s">
        <v>27</v>
      </c>
      <c r="K543" t="s">
        <v>770</v>
      </c>
      <c r="L543" t="s">
        <v>21</v>
      </c>
      <c r="M543" t="str">
        <f t="shared" si="24"/>
        <v>OK</v>
      </c>
      <c r="N543" t="str">
        <f t="shared" si="25"/>
        <v>1950s</v>
      </c>
      <c r="O543" t="str">
        <f t="shared" si="26"/>
        <v>N/A</v>
      </c>
      <c r="P543" t="str">
        <f>VLOOKUP(E543,calculated_fields!$F$4:$G$6,2,FALSE)</f>
        <v>Demographics</v>
      </c>
    </row>
    <row r="544" spans="1:16">
      <c r="A544" t="s">
        <v>772</v>
      </c>
      <c r="B544" t="s">
        <v>769</v>
      </c>
      <c r="C544" t="s">
        <v>80</v>
      </c>
      <c r="D544">
        <v>1952</v>
      </c>
      <c r="E544" t="s">
        <v>29</v>
      </c>
      <c r="F544" t="s">
        <v>30</v>
      </c>
      <c r="G544" t="s">
        <v>31</v>
      </c>
      <c r="H544" t="s">
        <v>32</v>
      </c>
      <c r="I544">
        <v>2444.2866479999998</v>
      </c>
      <c r="J544" t="s">
        <v>33</v>
      </c>
      <c r="K544" t="s">
        <v>770</v>
      </c>
      <c r="L544" t="s">
        <v>21</v>
      </c>
      <c r="M544" t="str">
        <f t="shared" si="24"/>
        <v>OK</v>
      </c>
      <c r="N544" t="str">
        <f t="shared" si="25"/>
        <v>1950s</v>
      </c>
      <c r="O544" t="str">
        <f t="shared" si="26"/>
        <v>N/A</v>
      </c>
      <c r="P544" t="str">
        <f>VLOOKUP(E544,calculated_fields!$F$4:$G$6,2,FALSE)</f>
        <v>Economy</v>
      </c>
    </row>
    <row r="545" spans="1:16">
      <c r="A545" t="s">
        <v>773</v>
      </c>
      <c r="B545" t="s">
        <v>769</v>
      </c>
      <c r="C545" t="s">
        <v>80</v>
      </c>
      <c r="D545">
        <v>1957</v>
      </c>
      <c r="E545" t="s">
        <v>15</v>
      </c>
      <c r="F545" t="s">
        <v>16</v>
      </c>
      <c r="G545" t="s">
        <v>17</v>
      </c>
      <c r="H545" t="s">
        <v>18</v>
      </c>
      <c r="I545">
        <v>66.61</v>
      </c>
      <c r="J545" t="s">
        <v>19</v>
      </c>
      <c r="K545" t="s">
        <v>774</v>
      </c>
      <c r="L545" t="s">
        <v>21</v>
      </c>
      <c r="M545" t="str">
        <f t="shared" si="24"/>
        <v>OK</v>
      </c>
      <c r="N545" t="str">
        <f t="shared" si="25"/>
        <v>1950s</v>
      </c>
      <c r="O545" t="str">
        <f t="shared" si="26"/>
        <v>Medium</v>
      </c>
      <c r="P545" t="str">
        <f>VLOOKUP(E545,calculated_fields!$F$4:$G$6,2,FALSE)</f>
        <v>Health</v>
      </c>
    </row>
    <row r="546" spans="1:16">
      <c r="A546" t="s">
        <v>775</v>
      </c>
      <c r="B546" t="s">
        <v>769</v>
      </c>
      <c r="C546" t="s">
        <v>80</v>
      </c>
      <c r="D546">
        <v>1957</v>
      </c>
      <c r="E546" t="s">
        <v>23</v>
      </c>
      <c r="F546" t="s">
        <v>24</v>
      </c>
      <c r="G546" t="s">
        <v>25</v>
      </c>
      <c r="H546" t="s">
        <v>26</v>
      </c>
      <c r="I546">
        <v>7651254</v>
      </c>
      <c r="J546" t="s">
        <v>27</v>
      </c>
      <c r="K546" t="s">
        <v>774</v>
      </c>
      <c r="L546" t="s">
        <v>21</v>
      </c>
      <c r="M546" t="str">
        <f t="shared" si="24"/>
        <v>OK</v>
      </c>
      <c r="N546" t="str">
        <f t="shared" si="25"/>
        <v>1950s</v>
      </c>
      <c r="O546" t="str">
        <f t="shared" si="26"/>
        <v>N/A</v>
      </c>
      <c r="P546" t="str">
        <f>VLOOKUP(E546,calculated_fields!$F$4:$G$6,2,FALSE)</f>
        <v>Demographics</v>
      </c>
    </row>
    <row r="547" spans="1:16">
      <c r="A547" t="s">
        <v>776</v>
      </c>
      <c r="B547" t="s">
        <v>769</v>
      </c>
      <c r="C547" t="s">
        <v>80</v>
      </c>
      <c r="D547">
        <v>1957</v>
      </c>
      <c r="E547" t="s">
        <v>29</v>
      </c>
      <c r="F547" t="s">
        <v>30</v>
      </c>
      <c r="G547" t="s">
        <v>31</v>
      </c>
      <c r="H547" t="s">
        <v>32</v>
      </c>
      <c r="I547">
        <v>3008.6707270000002</v>
      </c>
      <c r="J547" t="s">
        <v>33</v>
      </c>
      <c r="K547" t="s">
        <v>774</v>
      </c>
      <c r="L547" t="s">
        <v>21</v>
      </c>
      <c r="M547" t="str">
        <f t="shared" si="24"/>
        <v>OK</v>
      </c>
      <c r="N547" t="str">
        <f t="shared" si="25"/>
        <v>1950s</v>
      </c>
      <c r="O547" t="str">
        <f t="shared" si="26"/>
        <v>N/A</v>
      </c>
      <c r="P547" t="str">
        <f>VLOOKUP(E547,calculated_fields!$F$4:$G$6,2,FALSE)</f>
        <v>Economy</v>
      </c>
    </row>
    <row r="548" spans="1:16">
      <c r="A548" t="s">
        <v>777</v>
      </c>
      <c r="B548" t="s">
        <v>769</v>
      </c>
      <c r="C548" t="s">
        <v>80</v>
      </c>
      <c r="D548">
        <v>1962</v>
      </c>
      <c r="E548" t="s">
        <v>15</v>
      </c>
      <c r="F548" t="s">
        <v>16</v>
      </c>
      <c r="G548" t="s">
        <v>17</v>
      </c>
      <c r="H548" t="s">
        <v>18</v>
      </c>
      <c r="I548">
        <v>69.510000000000005</v>
      </c>
      <c r="J548" t="s">
        <v>19</v>
      </c>
      <c r="K548" t="s">
        <v>778</v>
      </c>
      <c r="L548" t="s">
        <v>21</v>
      </c>
      <c r="M548" t="str">
        <f t="shared" si="24"/>
        <v>OK</v>
      </c>
      <c r="N548" t="str">
        <f t="shared" si="25"/>
        <v>1960s</v>
      </c>
      <c r="O548" t="str">
        <f t="shared" si="26"/>
        <v>Medium</v>
      </c>
      <c r="P548" t="str">
        <f>VLOOKUP(E548,calculated_fields!$F$4:$G$6,2,FALSE)</f>
        <v>Health</v>
      </c>
    </row>
    <row r="549" spans="1:16">
      <c r="A549" t="s">
        <v>779</v>
      </c>
      <c r="B549" t="s">
        <v>769</v>
      </c>
      <c r="C549" t="s">
        <v>80</v>
      </c>
      <c r="D549">
        <v>1962</v>
      </c>
      <c r="E549" t="s">
        <v>23</v>
      </c>
      <c r="F549" t="s">
        <v>24</v>
      </c>
      <c r="G549" t="s">
        <v>25</v>
      </c>
      <c r="H549" t="s">
        <v>26</v>
      </c>
      <c r="I549">
        <v>8012946</v>
      </c>
      <c r="J549" t="s">
        <v>27</v>
      </c>
      <c r="K549" t="s">
        <v>778</v>
      </c>
      <c r="L549" t="s">
        <v>21</v>
      </c>
      <c r="M549" t="str">
        <f t="shared" si="24"/>
        <v>OK</v>
      </c>
      <c r="N549" t="str">
        <f t="shared" si="25"/>
        <v>1960s</v>
      </c>
      <c r="O549" t="str">
        <f t="shared" si="26"/>
        <v>N/A</v>
      </c>
      <c r="P549" t="str">
        <f>VLOOKUP(E549,calculated_fields!$F$4:$G$6,2,FALSE)</f>
        <v>Demographics</v>
      </c>
    </row>
    <row r="550" spans="1:16">
      <c r="A550" t="s">
        <v>780</v>
      </c>
      <c r="B550" t="s">
        <v>769</v>
      </c>
      <c r="C550" t="s">
        <v>80</v>
      </c>
      <c r="D550">
        <v>1962</v>
      </c>
      <c r="E550" t="s">
        <v>29</v>
      </c>
      <c r="F550" t="s">
        <v>30</v>
      </c>
      <c r="G550" t="s">
        <v>31</v>
      </c>
      <c r="H550" t="s">
        <v>32</v>
      </c>
      <c r="I550">
        <v>4254.3378389999998</v>
      </c>
      <c r="J550" t="s">
        <v>33</v>
      </c>
      <c r="K550" t="s">
        <v>778</v>
      </c>
      <c r="L550" t="s">
        <v>21</v>
      </c>
      <c r="M550" t="str">
        <f t="shared" si="24"/>
        <v>OK</v>
      </c>
      <c r="N550" t="str">
        <f t="shared" si="25"/>
        <v>1960s</v>
      </c>
      <c r="O550" t="str">
        <f t="shared" si="26"/>
        <v>N/A</v>
      </c>
      <c r="P550" t="str">
        <f>VLOOKUP(E550,calculated_fields!$F$4:$G$6,2,FALSE)</f>
        <v>Economy</v>
      </c>
    </row>
    <row r="551" spans="1:16">
      <c r="A551" t="s">
        <v>781</v>
      </c>
      <c r="B551" t="s">
        <v>769</v>
      </c>
      <c r="C551" t="s">
        <v>80</v>
      </c>
      <c r="D551">
        <v>1967</v>
      </c>
      <c r="E551" t="s">
        <v>15</v>
      </c>
      <c r="F551" t="s">
        <v>16</v>
      </c>
      <c r="G551" t="s">
        <v>17</v>
      </c>
      <c r="H551" t="s">
        <v>18</v>
      </c>
      <c r="I551">
        <v>70.42</v>
      </c>
      <c r="J551" t="s">
        <v>19</v>
      </c>
      <c r="K551" t="s">
        <v>782</v>
      </c>
      <c r="L551" t="s">
        <v>21</v>
      </c>
      <c r="M551" t="str">
        <f t="shared" si="24"/>
        <v>OK</v>
      </c>
      <c r="N551" t="str">
        <f t="shared" si="25"/>
        <v>1960s</v>
      </c>
      <c r="O551" t="str">
        <f t="shared" si="26"/>
        <v>High</v>
      </c>
      <c r="P551" t="str">
        <f>VLOOKUP(E551,calculated_fields!$F$4:$G$6,2,FALSE)</f>
        <v>Health</v>
      </c>
    </row>
    <row r="552" spans="1:16">
      <c r="A552" t="s">
        <v>783</v>
      </c>
      <c r="B552" t="s">
        <v>769</v>
      </c>
      <c r="C552" t="s">
        <v>80</v>
      </c>
      <c r="D552">
        <v>1967</v>
      </c>
      <c r="E552" t="s">
        <v>23</v>
      </c>
      <c r="F552" t="s">
        <v>24</v>
      </c>
      <c r="G552" t="s">
        <v>25</v>
      </c>
      <c r="H552" t="s">
        <v>26</v>
      </c>
      <c r="I552">
        <v>8310226</v>
      </c>
      <c r="J552" t="s">
        <v>27</v>
      </c>
      <c r="K552" t="s">
        <v>782</v>
      </c>
      <c r="L552" t="s">
        <v>21</v>
      </c>
      <c r="M552" t="str">
        <f t="shared" si="24"/>
        <v>OK</v>
      </c>
      <c r="N552" t="str">
        <f t="shared" si="25"/>
        <v>1960s</v>
      </c>
      <c r="O552" t="str">
        <f t="shared" si="26"/>
        <v>N/A</v>
      </c>
      <c r="P552" t="str">
        <f>VLOOKUP(E552,calculated_fields!$F$4:$G$6,2,FALSE)</f>
        <v>Demographics</v>
      </c>
    </row>
    <row r="553" spans="1:16">
      <c r="A553" t="s">
        <v>784</v>
      </c>
      <c r="B553" t="s">
        <v>769</v>
      </c>
      <c r="C553" t="s">
        <v>80</v>
      </c>
      <c r="D553">
        <v>1967</v>
      </c>
      <c r="E553" t="s">
        <v>29</v>
      </c>
      <c r="F553" t="s">
        <v>30</v>
      </c>
      <c r="G553" t="s">
        <v>31</v>
      </c>
      <c r="H553" t="s">
        <v>32</v>
      </c>
      <c r="I553">
        <v>5577.0028000000002</v>
      </c>
      <c r="J553" t="s">
        <v>33</v>
      </c>
      <c r="K553" t="s">
        <v>782</v>
      </c>
      <c r="L553" t="s">
        <v>21</v>
      </c>
      <c r="M553" t="str">
        <f t="shared" si="24"/>
        <v>OK</v>
      </c>
      <c r="N553" t="str">
        <f t="shared" si="25"/>
        <v>1960s</v>
      </c>
      <c r="O553" t="str">
        <f t="shared" si="26"/>
        <v>N/A</v>
      </c>
      <c r="P553" t="str">
        <f>VLOOKUP(E553,calculated_fields!$F$4:$G$6,2,FALSE)</f>
        <v>Economy</v>
      </c>
    </row>
    <row r="554" spans="1:16">
      <c r="A554" t="s">
        <v>785</v>
      </c>
      <c r="B554" t="s">
        <v>769</v>
      </c>
      <c r="C554" t="s">
        <v>80</v>
      </c>
      <c r="D554">
        <v>1972</v>
      </c>
      <c r="E554" t="s">
        <v>15</v>
      </c>
      <c r="F554" t="s">
        <v>16</v>
      </c>
      <c r="G554" t="s">
        <v>17</v>
      </c>
      <c r="H554" t="s">
        <v>18</v>
      </c>
      <c r="I554">
        <v>70.900000000000006</v>
      </c>
      <c r="J554" t="s">
        <v>19</v>
      </c>
      <c r="K554" t="s">
        <v>786</v>
      </c>
      <c r="L554" t="s">
        <v>21</v>
      </c>
      <c r="M554" t="str">
        <f t="shared" si="24"/>
        <v>OK</v>
      </c>
      <c r="N554" t="str">
        <f t="shared" si="25"/>
        <v>1970s</v>
      </c>
      <c r="O554" t="str">
        <f t="shared" si="26"/>
        <v>High</v>
      </c>
      <c r="P554" t="str">
        <f>VLOOKUP(E554,calculated_fields!$F$4:$G$6,2,FALSE)</f>
        <v>Health</v>
      </c>
    </row>
    <row r="555" spans="1:16">
      <c r="A555" t="s">
        <v>787</v>
      </c>
      <c r="B555" t="s">
        <v>769</v>
      </c>
      <c r="C555" t="s">
        <v>80</v>
      </c>
      <c r="D555">
        <v>1972</v>
      </c>
      <c r="E555" t="s">
        <v>23</v>
      </c>
      <c r="F555" t="s">
        <v>24</v>
      </c>
      <c r="G555" t="s">
        <v>25</v>
      </c>
      <c r="H555" t="s">
        <v>26</v>
      </c>
      <c r="I555">
        <v>8576200</v>
      </c>
      <c r="J555" t="s">
        <v>27</v>
      </c>
      <c r="K555" t="s">
        <v>786</v>
      </c>
      <c r="L555" t="s">
        <v>21</v>
      </c>
      <c r="M555" t="str">
        <f t="shared" si="24"/>
        <v>OK</v>
      </c>
      <c r="N555" t="str">
        <f t="shared" si="25"/>
        <v>1970s</v>
      </c>
      <c r="O555" t="str">
        <f t="shared" si="26"/>
        <v>N/A</v>
      </c>
      <c r="P555" t="str">
        <f>VLOOKUP(E555,calculated_fields!$F$4:$G$6,2,FALSE)</f>
        <v>Demographics</v>
      </c>
    </row>
    <row r="556" spans="1:16">
      <c r="A556" t="s">
        <v>788</v>
      </c>
      <c r="B556" t="s">
        <v>769</v>
      </c>
      <c r="C556" t="s">
        <v>80</v>
      </c>
      <c r="D556">
        <v>1972</v>
      </c>
      <c r="E556" t="s">
        <v>29</v>
      </c>
      <c r="F556" t="s">
        <v>30</v>
      </c>
      <c r="G556" t="s">
        <v>31</v>
      </c>
      <c r="H556" t="s">
        <v>32</v>
      </c>
      <c r="I556">
        <v>6597.4943979999998</v>
      </c>
      <c r="J556" t="s">
        <v>33</v>
      </c>
      <c r="K556" t="s">
        <v>786</v>
      </c>
      <c r="L556" t="s">
        <v>21</v>
      </c>
      <c r="M556" t="str">
        <f t="shared" si="24"/>
        <v>OK</v>
      </c>
      <c r="N556" t="str">
        <f t="shared" si="25"/>
        <v>1970s</v>
      </c>
      <c r="O556" t="str">
        <f t="shared" si="26"/>
        <v>N/A</v>
      </c>
      <c r="P556" t="str">
        <f>VLOOKUP(E556,calculated_fields!$F$4:$G$6,2,FALSE)</f>
        <v>Economy</v>
      </c>
    </row>
    <row r="557" spans="1:16">
      <c r="A557" t="s">
        <v>789</v>
      </c>
      <c r="B557" t="s">
        <v>769</v>
      </c>
      <c r="C557" t="s">
        <v>80</v>
      </c>
      <c r="D557">
        <v>1977</v>
      </c>
      <c r="E557" t="s">
        <v>15</v>
      </c>
      <c r="F557" t="s">
        <v>16</v>
      </c>
      <c r="G557" t="s">
        <v>17</v>
      </c>
      <c r="H557" t="s">
        <v>18</v>
      </c>
      <c r="I557">
        <v>70.81</v>
      </c>
      <c r="J557" t="s">
        <v>19</v>
      </c>
      <c r="K557" t="s">
        <v>790</v>
      </c>
      <c r="L557" t="s">
        <v>21</v>
      </c>
      <c r="M557" t="str">
        <f t="shared" si="24"/>
        <v>OK</v>
      </c>
      <c r="N557" t="str">
        <f t="shared" si="25"/>
        <v>1970s</v>
      </c>
      <c r="O557" t="str">
        <f t="shared" si="26"/>
        <v>High</v>
      </c>
      <c r="P557" t="str">
        <f>VLOOKUP(E557,calculated_fields!$F$4:$G$6,2,FALSE)</f>
        <v>Health</v>
      </c>
    </row>
    <row r="558" spans="1:16">
      <c r="A558" t="s">
        <v>791</v>
      </c>
      <c r="B558" t="s">
        <v>769</v>
      </c>
      <c r="C558" t="s">
        <v>80</v>
      </c>
      <c r="D558">
        <v>1977</v>
      </c>
      <c r="E558" t="s">
        <v>23</v>
      </c>
      <c r="F558" t="s">
        <v>24</v>
      </c>
      <c r="G558" t="s">
        <v>25</v>
      </c>
      <c r="H558" t="s">
        <v>26</v>
      </c>
      <c r="I558">
        <v>8797022</v>
      </c>
      <c r="J558" t="s">
        <v>27</v>
      </c>
      <c r="K558" t="s">
        <v>790</v>
      </c>
      <c r="L558" t="s">
        <v>21</v>
      </c>
      <c r="M558" t="str">
        <f t="shared" si="24"/>
        <v>OK</v>
      </c>
      <c r="N558" t="str">
        <f t="shared" si="25"/>
        <v>1970s</v>
      </c>
      <c r="O558" t="str">
        <f t="shared" si="26"/>
        <v>N/A</v>
      </c>
      <c r="P558" t="str">
        <f>VLOOKUP(E558,calculated_fields!$F$4:$G$6,2,FALSE)</f>
        <v>Demographics</v>
      </c>
    </row>
    <row r="559" spans="1:16">
      <c r="A559" t="s">
        <v>792</v>
      </c>
      <c r="B559" t="s">
        <v>769</v>
      </c>
      <c r="C559" t="s">
        <v>80</v>
      </c>
      <c r="D559">
        <v>1977</v>
      </c>
      <c r="E559" t="s">
        <v>29</v>
      </c>
      <c r="F559" t="s">
        <v>30</v>
      </c>
      <c r="G559" t="s">
        <v>31</v>
      </c>
      <c r="H559" t="s">
        <v>32</v>
      </c>
      <c r="I559">
        <v>7612.2404379999998</v>
      </c>
      <c r="J559" t="s">
        <v>33</v>
      </c>
      <c r="K559" t="s">
        <v>790</v>
      </c>
      <c r="L559" t="s">
        <v>21</v>
      </c>
      <c r="M559" t="str">
        <f t="shared" si="24"/>
        <v>OK</v>
      </c>
      <c r="N559" t="str">
        <f t="shared" si="25"/>
        <v>1970s</v>
      </c>
      <c r="O559" t="str">
        <f t="shared" si="26"/>
        <v>N/A</v>
      </c>
      <c r="P559" t="str">
        <f>VLOOKUP(E559,calculated_fields!$F$4:$G$6,2,FALSE)</f>
        <v>Economy</v>
      </c>
    </row>
    <row r="560" spans="1:16">
      <c r="A560" t="s">
        <v>793</v>
      </c>
      <c r="B560" t="s">
        <v>769</v>
      </c>
      <c r="C560" t="s">
        <v>80</v>
      </c>
      <c r="D560">
        <v>1982</v>
      </c>
      <c r="E560" t="s">
        <v>15</v>
      </c>
      <c r="F560" t="s">
        <v>16</v>
      </c>
      <c r="G560" t="s">
        <v>17</v>
      </c>
      <c r="H560" t="s">
        <v>18</v>
      </c>
      <c r="I560">
        <v>71.08</v>
      </c>
      <c r="J560" t="s">
        <v>19</v>
      </c>
      <c r="K560" t="s">
        <v>794</v>
      </c>
      <c r="L560" t="s">
        <v>21</v>
      </c>
      <c r="M560" t="str">
        <f t="shared" si="24"/>
        <v>OK</v>
      </c>
      <c r="N560" t="str">
        <f t="shared" si="25"/>
        <v>1980s</v>
      </c>
      <c r="O560" t="str">
        <f t="shared" si="26"/>
        <v>High</v>
      </c>
      <c r="P560" t="str">
        <f>VLOOKUP(E560,calculated_fields!$F$4:$G$6,2,FALSE)</f>
        <v>Health</v>
      </c>
    </row>
    <row r="561" spans="1:16">
      <c r="A561" t="s">
        <v>795</v>
      </c>
      <c r="B561" t="s">
        <v>769</v>
      </c>
      <c r="C561" t="s">
        <v>80</v>
      </c>
      <c r="D561">
        <v>1982</v>
      </c>
      <c r="E561" t="s">
        <v>23</v>
      </c>
      <c r="F561" t="s">
        <v>24</v>
      </c>
      <c r="G561" t="s">
        <v>25</v>
      </c>
      <c r="H561" t="s">
        <v>26</v>
      </c>
      <c r="I561">
        <v>8892098</v>
      </c>
      <c r="J561" t="s">
        <v>27</v>
      </c>
      <c r="K561" t="s">
        <v>794</v>
      </c>
      <c r="L561" t="s">
        <v>21</v>
      </c>
      <c r="M561" t="str">
        <f t="shared" si="24"/>
        <v>OK</v>
      </c>
      <c r="N561" t="str">
        <f t="shared" si="25"/>
        <v>1980s</v>
      </c>
      <c r="O561" t="str">
        <f t="shared" si="26"/>
        <v>N/A</v>
      </c>
      <c r="P561" t="str">
        <f>VLOOKUP(E561,calculated_fields!$F$4:$G$6,2,FALSE)</f>
        <v>Demographics</v>
      </c>
    </row>
    <row r="562" spans="1:16">
      <c r="A562" t="s">
        <v>796</v>
      </c>
      <c r="B562" t="s">
        <v>769</v>
      </c>
      <c r="C562" t="s">
        <v>80</v>
      </c>
      <c r="D562">
        <v>1982</v>
      </c>
      <c r="E562" t="s">
        <v>29</v>
      </c>
      <c r="F562" t="s">
        <v>30</v>
      </c>
      <c r="G562" t="s">
        <v>31</v>
      </c>
      <c r="H562" t="s">
        <v>32</v>
      </c>
      <c r="I562">
        <v>8224.1916469999996</v>
      </c>
      <c r="J562" t="s">
        <v>33</v>
      </c>
      <c r="K562" t="s">
        <v>794</v>
      </c>
      <c r="L562" t="s">
        <v>21</v>
      </c>
      <c r="M562" t="str">
        <f t="shared" si="24"/>
        <v>OK</v>
      </c>
      <c r="N562" t="str">
        <f t="shared" si="25"/>
        <v>1980s</v>
      </c>
      <c r="O562" t="str">
        <f t="shared" si="26"/>
        <v>N/A</v>
      </c>
      <c r="P562" t="str">
        <f>VLOOKUP(E562,calculated_fields!$F$4:$G$6,2,FALSE)</f>
        <v>Economy</v>
      </c>
    </row>
    <row r="563" spans="1:16">
      <c r="A563" t="s">
        <v>797</v>
      </c>
      <c r="B563" t="s">
        <v>769</v>
      </c>
      <c r="C563" t="s">
        <v>80</v>
      </c>
      <c r="D563">
        <v>1987</v>
      </c>
      <c r="E563" t="s">
        <v>15</v>
      </c>
      <c r="F563" t="s">
        <v>16</v>
      </c>
      <c r="G563" t="s">
        <v>17</v>
      </c>
      <c r="H563" t="s">
        <v>18</v>
      </c>
      <c r="I563">
        <v>71.34</v>
      </c>
      <c r="J563" t="s">
        <v>19</v>
      </c>
      <c r="K563" t="s">
        <v>798</v>
      </c>
      <c r="L563" t="s">
        <v>21</v>
      </c>
      <c r="M563" t="str">
        <f t="shared" si="24"/>
        <v>OK</v>
      </c>
      <c r="N563" t="str">
        <f t="shared" si="25"/>
        <v>1980s</v>
      </c>
      <c r="O563" t="str">
        <f t="shared" si="26"/>
        <v>High</v>
      </c>
      <c r="P563" t="str">
        <f>VLOOKUP(E563,calculated_fields!$F$4:$G$6,2,FALSE)</f>
        <v>Health</v>
      </c>
    </row>
    <row r="564" spans="1:16">
      <c r="A564" t="s">
        <v>799</v>
      </c>
      <c r="B564" t="s">
        <v>769</v>
      </c>
      <c r="C564" t="s">
        <v>80</v>
      </c>
      <c r="D564">
        <v>1987</v>
      </c>
      <c r="E564" t="s">
        <v>23</v>
      </c>
      <c r="F564" t="s">
        <v>24</v>
      </c>
      <c r="G564" t="s">
        <v>25</v>
      </c>
      <c r="H564" t="s">
        <v>26</v>
      </c>
      <c r="I564">
        <v>8971958</v>
      </c>
      <c r="J564" t="s">
        <v>27</v>
      </c>
      <c r="K564" t="s">
        <v>798</v>
      </c>
      <c r="L564" t="s">
        <v>21</v>
      </c>
      <c r="M564" t="str">
        <f t="shared" si="24"/>
        <v>OK</v>
      </c>
      <c r="N564" t="str">
        <f t="shared" si="25"/>
        <v>1980s</v>
      </c>
      <c r="O564" t="str">
        <f t="shared" si="26"/>
        <v>N/A</v>
      </c>
      <c r="P564" t="str">
        <f>VLOOKUP(E564,calculated_fields!$F$4:$G$6,2,FALSE)</f>
        <v>Demographics</v>
      </c>
    </row>
    <row r="565" spans="1:16">
      <c r="A565" t="s">
        <v>800</v>
      </c>
      <c r="B565" t="s">
        <v>769</v>
      </c>
      <c r="C565" t="s">
        <v>80</v>
      </c>
      <c r="D565">
        <v>1987</v>
      </c>
      <c r="E565" t="s">
        <v>29</v>
      </c>
      <c r="F565" t="s">
        <v>30</v>
      </c>
      <c r="G565" t="s">
        <v>31</v>
      </c>
      <c r="H565" t="s">
        <v>32</v>
      </c>
      <c r="I565">
        <v>8239.854824</v>
      </c>
      <c r="J565" t="s">
        <v>33</v>
      </c>
      <c r="K565" t="s">
        <v>798</v>
      </c>
      <c r="L565" t="s">
        <v>21</v>
      </c>
      <c r="M565" t="str">
        <f t="shared" si="24"/>
        <v>OK</v>
      </c>
      <c r="N565" t="str">
        <f t="shared" si="25"/>
        <v>1980s</v>
      </c>
      <c r="O565" t="str">
        <f t="shared" si="26"/>
        <v>N/A</v>
      </c>
      <c r="P565" t="str">
        <f>VLOOKUP(E565,calculated_fields!$F$4:$G$6,2,FALSE)</f>
        <v>Economy</v>
      </c>
    </row>
    <row r="566" spans="1:16">
      <c r="A566" t="s">
        <v>801</v>
      </c>
      <c r="B566" t="s">
        <v>769</v>
      </c>
      <c r="C566" t="s">
        <v>80</v>
      </c>
      <c r="D566">
        <v>1992</v>
      </c>
      <c r="E566" t="s">
        <v>15</v>
      </c>
      <c r="F566" t="s">
        <v>16</v>
      </c>
      <c r="G566" t="s">
        <v>17</v>
      </c>
      <c r="H566" t="s">
        <v>18</v>
      </c>
      <c r="I566">
        <v>71.19</v>
      </c>
      <c r="J566" t="s">
        <v>19</v>
      </c>
      <c r="K566" t="s">
        <v>802</v>
      </c>
      <c r="L566" t="s">
        <v>21</v>
      </c>
      <c r="M566" t="str">
        <f t="shared" si="24"/>
        <v>OK</v>
      </c>
      <c r="N566" t="str">
        <f t="shared" si="25"/>
        <v>1990s</v>
      </c>
      <c r="O566" t="str">
        <f t="shared" si="26"/>
        <v>High</v>
      </c>
      <c r="P566" t="str">
        <f>VLOOKUP(E566,calculated_fields!$F$4:$G$6,2,FALSE)</f>
        <v>Health</v>
      </c>
    </row>
    <row r="567" spans="1:16">
      <c r="A567" t="s">
        <v>803</v>
      </c>
      <c r="B567" t="s">
        <v>769</v>
      </c>
      <c r="C567" t="s">
        <v>80</v>
      </c>
      <c r="D567">
        <v>1992</v>
      </c>
      <c r="E567" t="s">
        <v>23</v>
      </c>
      <c r="F567" t="s">
        <v>24</v>
      </c>
      <c r="G567" t="s">
        <v>25</v>
      </c>
      <c r="H567" t="s">
        <v>26</v>
      </c>
      <c r="I567">
        <v>8658506</v>
      </c>
      <c r="J567" t="s">
        <v>27</v>
      </c>
      <c r="K567" t="s">
        <v>802</v>
      </c>
      <c r="L567" t="s">
        <v>21</v>
      </c>
      <c r="M567" t="str">
        <f t="shared" si="24"/>
        <v>OK</v>
      </c>
      <c r="N567" t="str">
        <f t="shared" si="25"/>
        <v>1990s</v>
      </c>
      <c r="O567" t="str">
        <f t="shared" si="26"/>
        <v>N/A</v>
      </c>
      <c r="P567" t="str">
        <f>VLOOKUP(E567,calculated_fields!$F$4:$G$6,2,FALSE)</f>
        <v>Demographics</v>
      </c>
    </row>
    <row r="568" spans="1:16">
      <c r="A568" t="s">
        <v>804</v>
      </c>
      <c r="B568" t="s">
        <v>769</v>
      </c>
      <c r="C568" t="s">
        <v>80</v>
      </c>
      <c r="D568">
        <v>1992</v>
      </c>
      <c r="E568" t="s">
        <v>29</v>
      </c>
      <c r="F568" t="s">
        <v>30</v>
      </c>
      <c r="G568" t="s">
        <v>31</v>
      </c>
      <c r="H568" t="s">
        <v>32</v>
      </c>
      <c r="I568">
        <v>6302.6234379999996</v>
      </c>
      <c r="J568" t="s">
        <v>33</v>
      </c>
      <c r="K568" t="s">
        <v>802</v>
      </c>
      <c r="L568" t="s">
        <v>21</v>
      </c>
      <c r="M568" t="str">
        <f t="shared" si="24"/>
        <v>OK</v>
      </c>
      <c r="N568" t="str">
        <f t="shared" si="25"/>
        <v>1990s</v>
      </c>
      <c r="O568" t="str">
        <f t="shared" si="26"/>
        <v>N/A</v>
      </c>
      <c r="P568" t="str">
        <f>VLOOKUP(E568,calculated_fields!$F$4:$G$6,2,FALSE)</f>
        <v>Economy</v>
      </c>
    </row>
    <row r="569" spans="1:16">
      <c r="A569" t="s">
        <v>805</v>
      </c>
      <c r="B569" t="s">
        <v>769</v>
      </c>
      <c r="C569" t="s">
        <v>80</v>
      </c>
      <c r="D569">
        <v>1997</v>
      </c>
      <c r="E569" t="s">
        <v>15</v>
      </c>
      <c r="F569" t="s">
        <v>16</v>
      </c>
      <c r="G569" t="s">
        <v>17</v>
      </c>
      <c r="H569" t="s">
        <v>18</v>
      </c>
      <c r="I569">
        <v>70.319999999999993</v>
      </c>
      <c r="J569" t="s">
        <v>19</v>
      </c>
      <c r="K569" t="s">
        <v>806</v>
      </c>
      <c r="L569" t="s">
        <v>21</v>
      </c>
      <c r="M569" t="str">
        <f t="shared" si="24"/>
        <v>OK</v>
      </c>
      <c r="N569" t="str">
        <f t="shared" si="25"/>
        <v>1990s</v>
      </c>
      <c r="O569" t="str">
        <f t="shared" si="26"/>
        <v>High</v>
      </c>
      <c r="P569" t="str">
        <f>VLOOKUP(E569,calculated_fields!$F$4:$G$6,2,FALSE)</f>
        <v>Health</v>
      </c>
    </row>
    <row r="570" spans="1:16">
      <c r="A570" t="s">
        <v>807</v>
      </c>
      <c r="B570" t="s">
        <v>769</v>
      </c>
      <c r="C570" t="s">
        <v>80</v>
      </c>
      <c r="D570">
        <v>1997</v>
      </c>
      <c r="E570" t="s">
        <v>23</v>
      </c>
      <c r="F570" t="s">
        <v>24</v>
      </c>
      <c r="G570" t="s">
        <v>25</v>
      </c>
      <c r="H570" t="s">
        <v>26</v>
      </c>
      <c r="I570">
        <v>8066057</v>
      </c>
      <c r="J570" t="s">
        <v>27</v>
      </c>
      <c r="K570" t="s">
        <v>806</v>
      </c>
      <c r="L570" t="s">
        <v>21</v>
      </c>
      <c r="M570" t="str">
        <f t="shared" si="24"/>
        <v>OK</v>
      </c>
      <c r="N570" t="str">
        <f t="shared" si="25"/>
        <v>1990s</v>
      </c>
      <c r="O570" t="str">
        <f t="shared" si="26"/>
        <v>N/A</v>
      </c>
      <c r="P570" t="str">
        <f>VLOOKUP(E570,calculated_fields!$F$4:$G$6,2,FALSE)</f>
        <v>Demographics</v>
      </c>
    </row>
    <row r="571" spans="1:16">
      <c r="A571" t="s">
        <v>808</v>
      </c>
      <c r="B571" t="s">
        <v>769</v>
      </c>
      <c r="C571" t="s">
        <v>80</v>
      </c>
      <c r="D571">
        <v>1997</v>
      </c>
      <c r="E571" t="s">
        <v>29</v>
      </c>
      <c r="F571" t="s">
        <v>30</v>
      </c>
      <c r="G571" t="s">
        <v>31</v>
      </c>
      <c r="H571" t="s">
        <v>32</v>
      </c>
      <c r="I571">
        <v>5970.3887599999998</v>
      </c>
      <c r="J571" t="s">
        <v>33</v>
      </c>
      <c r="K571" t="s">
        <v>806</v>
      </c>
      <c r="L571" t="s">
        <v>21</v>
      </c>
      <c r="M571" t="str">
        <f t="shared" si="24"/>
        <v>OK</v>
      </c>
      <c r="N571" t="str">
        <f t="shared" si="25"/>
        <v>1990s</v>
      </c>
      <c r="O571" t="str">
        <f t="shared" si="26"/>
        <v>N/A</v>
      </c>
      <c r="P571" t="str">
        <f>VLOOKUP(E571,calculated_fields!$F$4:$G$6,2,FALSE)</f>
        <v>Economy</v>
      </c>
    </row>
    <row r="572" spans="1:16">
      <c r="A572" t="s">
        <v>809</v>
      </c>
      <c r="B572" t="s">
        <v>769</v>
      </c>
      <c r="C572" t="s">
        <v>80</v>
      </c>
      <c r="D572">
        <v>2002</v>
      </c>
      <c r="E572" t="s">
        <v>15</v>
      </c>
      <c r="F572" t="s">
        <v>16</v>
      </c>
      <c r="G572" t="s">
        <v>17</v>
      </c>
      <c r="H572" t="s">
        <v>18</v>
      </c>
      <c r="I572">
        <v>72.14</v>
      </c>
      <c r="J572" t="s">
        <v>19</v>
      </c>
      <c r="K572" t="s">
        <v>810</v>
      </c>
      <c r="L572" t="s">
        <v>21</v>
      </c>
      <c r="M572" t="str">
        <f t="shared" si="24"/>
        <v>OK</v>
      </c>
      <c r="N572" t="str">
        <f t="shared" si="25"/>
        <v>2000s</v>
      </c>
      <c r="O572" t="str">
        <f t="shared" si="26"/>
        <v>High</v>
      </c>
      <c r="P572" t="str">
        <f>VLOOKUP(E572,calculated_fields!$F$4:$G$6,2,FALSE)</f>
        <v>Health</v>
      </c>
    </row>
    <row r="573" spans="1:16">
      <c r="A573" t="s">
        <v>811</v>
      </c>
      <c r="B573" t="s">
        <v>769</v>
      </c>
      <c r="C573" t="s">
        <v>80</v>
      </c>
      <c r="D573">
        <v>2002</v>
      </c>
      <c r="E573" t="s">
        <v>23</v>
      </c>
      <c r="F573" t="s">
        <v>24</v>
      </c>
      <c r="G573" t="s">
        <v>25</v>
      </c>
      <c r="H573" t="s">
        <v>26</v>
      </c>
      <c r="I573">
        <v>7661799</v>
      </c>
      <c r="J573" t="s">
        <v>27</v>
      </c>
      <c r="K573" t="s">
        <v>810</v>
      </c>
      <c r="L573" t="s">
        <v>21</v>
      </c>
      <c r="M573" t="str">
        <f t="shared" si="24"/>
        <v>OK</v>
      </c>
      <c r="N573" t="str">
        <f t="shared" si="25"/>
        <v>2000s</v>
      </c>
      <c r="O573" t="str">
        <f t="shared" si="26"/>
        <v>N/A</v>
      </c>
      <c r="P573" t="str">
        <f>VLOOKUP(E573,calculated_fields!$F$4:$G$6,2,FALSE)</f>
        <v>Demographics</v>
      </c>
    </row>
    <row r="574" spans="1:16">
      <c r="A574" t="s">
        <v>812</v>
      </c>
      <c r="B574" t="s">
        <v>769</v>
      </c>
      <c r="C574" t="s">
        <v>80</v>
      </c>
      <c r="D574">
        <v>2002</v>
      </c>
      <c r="E574" t="s">
        <v>29</v>
      </c>
      <c r="F574" t="s">
        <v>30</v>
      </c>
      <c r="G574" t="s">
        <v>31</v>
      </c>
      <c r="H574" t="s">
        <v>32</v>
      </c>
      <c r="I574">
        <v>7696.7777249999999</v>
      </c>
      <c r="J574" t="s">
        <v>33</v>
      </c>
      <c r="K574" t="s">
        <v>810</v>
      </c>
      <c r="L574" t="s">
        <v>21</v>
      </c>
      <c r="M574" t="str">
        <f t="shared" si="24"/>
        <v>OK</v>
      </c>
      <c r="N574" t="str">
        <f t="shared" si="25"/>
        <v>2000s</v>
      </c>
      <c r="O574" t="str">
        <f t="shared" si="26"/>
        <v>N/A</v>
      </c>
      <c r="P574" t="str">
        <f>VLOOKUP(E574,calculated_fields!$F$4:$G$6,2,FALSE)</f>
        <v>Economy</v>
      </c>
    </row>
    <row r="575" spans="1:16">
      <c r="A575" t="s">
        <v>813</v>
      </c>
      <c r="B575" t="s">
        <v>769</v>
      </c>
      <c r="C575" t="s">
        <v>80</v>
      </c>
      <c r="D575">
        <v>2007</v>
      </c>
      <c r="E575" t="s">
        <v>15</v>
      </c>
      <c r="F575" t="s">
        <v>16</v>
      </c>
      <c r="G575" t="s">
        <v>17</v>
      </c>
      <c r="H575" t="s">
        <v>18</v>
      </c>
      <c r="I575">
        <v>73.004999999999995</v>
      </c>
      <c r="J575" t="s">
        <v>19</v>
      </c>
      <c r="K575" t="s">
        <v>814</v>
      </c>
      <c r="L575" t="s">
        <v>21</v>
      </c>
      <c r="M575" t="str">
        <f t="shared" si="24"/>
        <v>OK</v>
      </c>
      <c r="N575" t="str">
        <f t="shared" si="25"/>
        <v>2000s</v>
      </c>
      <c r="O575" t="str">
        <f t="shared" si="26"/>
        <v>High</v>
      </c>
      <c r="P575" t="str">
        <f>VLOOKUP(E575,calculated_fields!$F$4:$G$6,2,FALSE)</f>
        <v>Health</v>
      </c>
    </row>
    <row r="576" spans="1:16">
      <c r="A576" t="s">
        <v>815</v>
      </c>
      <c r="B576" t="s">
        <v>769</v>
      </c>
      <c r="C576" t="s">
        <v>80</v>
      </c>
      <c r="D576">
        <v>2007</v>
      </c>
      <c r="E576" t="s">
        <v>23</v>
      </c>
      <c r="F576" t="s">
        <v>24</v>
      </c>
      <c r="G576" t="s">
        <v>25</v>
      </c>
      <c r="H576" t="s">
        <v>26</v>
      </c>
      <c r="I576">
        <v>7322858</v>
      </c>
      <c r="J576" t="s">
        <v>27</v>
      </c>
      <c r="K576" t="s">
        <v>814</v>
      </c>
      <c r="L576" t="s">
        <v>21</v>
      </c>
      <c r="M576" t="str">
        <f t="shared" si="24"/>
        <v>OK</v>
      </c>
      <c r="N576" t="str">
        <f t="shared" si="25"/>
        <v>2000s</v>
      </c>
      <c r="O576" t="str">
        <f t="shared" si="26"/>
        <v>N/A</v>
      </c>
      <c r="P576" t="str">
        <f>VLOOKUP(E576,calculated_fields!$F$4:$G$6,2,FALSE)</f>
        <v>Demographics</v>
      </c>
    </row>
    <row r="577" spans="1:16">
      <c r="A577" t="s">
        <v>816</v>
      </c>
      <c r="B577" t="s">
        <v>769</v>
      </c>
      <c r="C577" t="s">
        <v>80</v>
      </c>
      <c r="D577">
        <v>2007</v>
      </c>
      <c r="E577" t="s">
        <v>29</v>
      </c>
      <c r="F577" t="s">
        <v>30</v>
      </c>
      <c r="G577" t="s">
        <v>31</v>
      </c>
      <c r="H577" t="s">
        <v>32</v>
      </c>
      <c r="I577">
        <v>10680.792820000001</v>
      </c>
      <c r="J577" t="s">
        <v>33</v>
      </c>
      <c r="K577" t="s">
        <v>814</v>
      </c>
      <c r="L577" t="s">
        <v>21</v>
      </c>
      <c r="M577" t="str">
        <f t="shared" si="24"/>
        <v>OK</v>
      </c>
      <c r="N577" t="str">
        <f t="shared" si="25"/>
        <v>2000s</v>
      </c>
      <c r="O577" t="str">
        <f t="shared" si="26"/>
        <v>N/A</v>
      </c>
      <c r="P577" t="str">
        <f>VLOOKUP(E577,calculated_fields!$F$4:$G$6,2,FALSE)</f>
        <v>Economy</v>
      </c>
    </row>
    <row r="578" spans="1:16">
      <c r="A578" t="s">
        <v>817</v>
      </c>
      <c r="B578" t="s">
        <v>818</v>
      </c>
      <c r="C578" t="s">
        <v>130</v>
      </c>
      <c r="D578">
        <v>1952</v>
      </c>
      <c r="E578" t="s">
        <v>15</v>
      </c>
      <c r="F578" t="s">
        <v>16</v>
      </c>
      <c r="G578" t="s">
        <v>17</v>
      </c>
      <c r="H578" t="s">
        <v>18</v>
      </c>
      <c r="I578">
        <v>31.975000000000001</v>
      </c>
      <c r="J578" t="s">
        <v>19</v>
      </c>
      <c r="K578" t="s">
        <v>819</v>
      </c>
      <c r="L578" t="s">
        <v>21</v>
      </c>
      <c r="M578" t="str">
        <f t="shared" ref="M578:M641" si="27">IF(AND(ISNUMBER(I578),I578&gt;=0),"OK","Review")</f>
        <v>OK</v>
      </c>
      <c r="N578" t="str">
        <f t="shared" ref="N578:N641" si="28">FLOOR(D578,10)&amp;"s"</f>
        <v>1950s</v>
      </c>
      <c r="O578" t="str">
        <f t="shared" ref="O578:O641" si="29">IF(E578="LIFE_EXP",IF(I578&gt;=70,"High",IF(I578&gt;=55,"Medium","Low")),"N/A")</f>
        <v>Low</v>
      </c>
      <c r="P578" t="str">
        <f>VLOOKUP(E578,calculated_fields!$F$4:$G$6,2,FALSE)</f>
        <v>Health</v>
      </c>
    </row>
    <row r="579" spans="1:16">
      <c r="A579" t="s">
        <v>820</v>
      </c>
      <c r="B579" t="s">
        <v>818</v>
      </c>
      <c r="C579" t="s">
        <v>130</v>
      </c>
      <c r="D579">
        <v>1952</v>
      </c>
      <c r="E579" t="s">
        <v>23</v>
      </c>
      <c r="F579" t="s">
        <v>24</v>
      </c>
      <c r="G579" t="s">
        <v>25</v>
      </c>
      <c r="H579" t="s">
        <v>26</v>
      </c>
      <c r="I579">
        <v>4469979</v>
      </c>
      <c r="J579" t="s">
        <v>27</v>
      </c>
      <c r="K579" t="s">
        <v>819</v>
      </c>
      <c r="L579" t="s">
        <v>21</v>
      </c>
      <c r="M579" t="str">
        <f t="shared" si="27"/>
        <v>OK</v>
      </c>
      <c r="N579" t="str">
        <f t="shared" si="28"/>
        <v>1950s</v>
      </c>
      <c r="O579" t="str">
        <f t="shared" si="29"/>
        <v>N/A</v>
      </c>
      <c r="P579" t="str">
        <f>VLOOKUP(E579,calculated_fields!$F$4:$G$6,2,FALSE)</f>
        <v>Demographics</v>
      </c>
    </row>
    <row r="580" spans="1:16">
      <c r="A580" t="s">
        <v>821</v>
      </c>
      <c r="B580" t="s">
        <v>818</v>
      </c>
      <c r="C580" t="s">
        <v>130</v>
      </c>
      <c r="D580">
        <v>1952</v>
      </c>
      <c r="E580" t="s">
        <v>29</v>
      </c>
      <c r="F580" t="s">
        <v>30</v>
      </c>
      <c r="G580" t="s">
        <v>31</v>
      </c>
      <c r="H580" t="s">
        <v>32</v>
      </c>
      <c r="I580">
        <v>543.25524129999997</v>
      </c>
      <c r="J580" t="s">
        <v>33</v>
      </c>
      <c r="K580" t="s">
        <v>819</v>
      </c>
      <c r="L580" t="s">
        <v>21</v>
      </c>
      <c r="M580" t="str">
        <f t="shared" si="27"/>
        <v>OK</v>
      </c>
      <c r="N580" t="str">
        <f t="shared" si="28"/>
        <v>1950s</v>
      </c>
      <c r="O580" t="str">
        <f t="shared" si="29"/>
        <v>N/A</v>
      </c>
      <c r="P580" t="str">
        <f>VLOOKUP(E580,calculated_fields!$F$4:$G$6,2,FALSE)</f>
        <v>Economy</v>
      </c>
    </row>
    <row r="581" spans="1:16">
      <c r="A581" t="s">
        <v>822</v>
      </c>
      <c r="B581" t="s">
        <v>818</v>
      </c>
      <c r="C581" t="s">
        <v>130</v>
      </c>
      <c r="D581">
        <v>1957</v>
      </c>
      <c r="E581" t="s">
        <v>15</v>
      </c>
      <c r="F581" t="s">
        <v>16</v>
      </c>
      <c r="G581" t="s">
        <v>17</v>
      </c>
      <c r="H581" t="s">
        <v>18</v>
      </c>
      <c r="I581">
        <v>34.905999999999999</v>
      </c>
      <c r="J581" t="s">
        <v>19</v>
      </c>
      <c r="K581" t="s">
        <v>823</v>
      </c>
      <c r="L581" t="s">
        <v>21</v>
      </c>
      <c r="M581" t="str">
        <f t="shared" si="27"/>
        <v>OK</v>
      </c>
      <c r="N581" t="str">
        <f t="shared" si="28"/>
        <v>1950s</v>
      </c>
      <c r="O581" t="str">
        <f t="shared" si="29"/>
        <v>Low</v>
      </c>
      <c r="P581" t="str">
        <f>VLOOKUP(E581,calculated_fields!$F$4:$G$6,2,FALSE)</f>
        <v>Health</v>
      </c>
    </row>
    <row r="582" spans="1:16">
      <c r="A582" t="s">
        <v>824</v>
      </c>
      <c r="B582" t="s">
        <v>818</v>
      </c>
      <c r="C582" t="s">
        <v>130</v>
      </c>
      <c r="D582">
        <v>1957</v>
      </c>
      <c r="E582" t="s">
        <v>23</v>
      </c>
      <c r="F582" t="s">
        <v>24</v>
      </c>
      <c r="G582" t="s">
        <v>25</v>
      </c>
      <c r="H582" t="s">
        <v>26</v>
      </c>
      <c r="I582">
        <v>4713416</v>
      </c>
      <c r="J582" t="s">
        <v>27</v>
      </c>
      <c r="K582" t="s">
        <v>823</v>
      </c>
      <c r="L582" t="s">
        <v>21</v>
      </c>
      <c r="M582" t="str">
        <f t="shared" si="27"/>
        <v>OK</v>
      </c>
      <c r="N582" t="str">
        <f t="shared" si="28"/>
        <v>1950s</v>
      </c>
      <c r="O582" t="str">
        <f t="shared" si="29"/>
        <v>N/A</v>
      </c>
      <c r="P582" t="str">
        <f>VLOOKUP(E582,calculated_fields!$F$4:$G$6,2,FALSE)</f>
        <v>Demographics</v>
      </c>
    </row>
    <row r="583" spans="1:16">
      <c r="A583" t="s">
        <v>825</v>
      </c>
      <c r="B583" t="s">
        <v>818</v>
      </c>
      <c r="C583" t="s">
        <v>130</v>
      </c>
      <c r="D583">
        <v>1957</v>
      </c>
      <c r="E583" t="s">
        <v>29</v>
      </c>
      <c r="F583" t="s">
        <v>30</v>
      </c>
      <c r="G583" t="s">
        <v>31</v>
      </c>
      <c r="H583" t="s">
        <v>32</v>
      </c>
      <c r="I583">
        <v>617.183464799999</v>
      </c>
      <c r="J583" t="s">
        <v>33</v>
      </c>
      <c r="K583" t="s">
        <v>823</v>
      </c>
      <c r="L583" t="s">
        <v>21</v>
      </c>
      <c r="M583" t="str">
        <f t="shared" si="27"/>
        <v>OK</v>
      </c>
      <c r="N583" t="str">
        <f t="shared" si="28"/>
        <v>1950s</v>
      </c>
      <c r="O583" t="str">
        <f t="shared" si="29"/>
        <v>N/A</v>
      </c>
      <c r="P583" t="str">
        <f>VLOOKUP(E583,calculated_fields!$F$4:$G$6,2,FALSE)</f>
        <v>Economy</v>
      </c>
    </row>
    <row r="584" spans="1:16">
      <c r="A584" t="s">
        <v>826</v>
      </c>
      <c r="B584" t="s">
        <v>818</v>
      </c>
      <c r="C584" t="s">
        <v>130</v>
      </c>
      <c r="D584">
        <v>1962</v>
      </c>
      <c r="E584" t="s">
        <v>15</v>
      </c>
      <c r="F584" t="s">
        <v>16</v>
      </c>
      <c r="G584" t="s">
        <v>17</v>
      </c>
      <c r="H584" t="s">
        <v>18</v>
      </c>
      <c r="I584">
        <v>37.814</v>
      </c>
      <c r="J584" t="s">
        <v>19</v>
      </c>
      <c r="K584" t="s">
        <v>827</v>
      </c>
      <c r="L584" t="s">
        <v>21</v>
      </c>
      <c r="M584" t="str">
        <f t="shared" si="27"/>
        <v>OK</v>
      </c>
      <c r="N584" t="str">
        <f t="shared" si="28"/>
        <v>1960s</v>
      </c>
      <c r="O584" t="str">
        <f t="shared" si="29"/>
        <v>Low</v>
      </c>
      <c r="P584" t="str">
        <f>VLOOKUP(E584,calculated_fields!$F$4:$G$6,2,FALSE)</f>
        <v>Health</v>
      </c>
    </row>
    <row r="585" spans="1:16">
      <c r="A585" t="s">
        <v>828</v>
      </c>
      <c r="B585" t="s">
        <v>818</v>
      </c>
      <c r="C585" t="s">
        <v>130</v>
      </c>
      <c r="D585">
        <v>1962</v>
      </c>
      <c r="E585" t="s">
        <v>23</v>
      </c>
      <c r="F585" t="s">
        <v>24</v>
      </c>
      <c r="G585" t="s">
        <v>25</v>
      </c>
      <c r="H585" t="s">
        <v>26</v>
      </c>
      <c r="I585">
        <v>4919632</v>
      </c>
      <c r="J585" t="s">
        <v>27</v>
      </c>
      <c r="K585" t="s">
        <v>827</v>
      </c>
      <c r="L585" t="s">
        <v>21</v>
      </c>
      <c r="M585" t="str">
        <f t="shared" si="27"/>
        <v>OK</v>
      </c>
      <c r="N585" t="str">
        <f t="shared" si="28"/>
        <v>1960s</v>
      </c>
      <c r="O585" t="str">
        <f t="shared" si="29"/>
        <v>N/A</v>
      </c>
      <c r="P585" t="str">
        <f>VLOOKUP(E585,calculated_fields!$F$4:$G$6,2,FALSE)</f>
        <v>Demographics</v>
      </c>
    </row>
    <row r="586" spans="1:16">
      <c r="A586" t="s">
        <v>829</v>
      </c>
      <c r="B586" t="s">
        <v>818</v>
      </c>
      <c r="C586" t="s">
        <v>130</v>
      </c>
      <c r="D586">
        <v>1962</v>
      </c>
      <c r="E586" t="s">
        <v>29</v>
      </c>
      <c r="F586" t="s">
        <v>30</v>
      </c>
      <c r="G586" t="s">
        <v>31</v>
      </c>
      <c r="H586" t="s">
        <v>32</v>
      </c>
      <c r="I586">
        <v>722.51202060000003</v>
      </c>
      <c r="J586" t="s">
        <v>33</v>
      </c>
      <c r="K586" t="s">
        <v>827</v>
      </c>
      <c r="L586" t="s">
        <v>21</v>
      </c>
      <c r="M586" t="str">
        <f t="shared" si="27"/>
        <v>OK</v>
      </c>
      <c r="N586" t="str">
        <f t="shared" si="28"/>
        <v>1960s</v>
      </c>
      <c r="O586" t="str">
        <f t="shared" si="29"/>
        <v>N/A</v>
      </c>
      <c r="P586" t="str">
        <f>VLOOKUP(E586,calculated_fields!$F$4:$G$6,2,FALSE)</f>
        <v>Economy</v>
      </c>
    </row>
    <row r="587" spans="1:16">
      <c r="A587" t="s">
        <v>830</v>
      </c>
      <c r="B587" t="s">
        <v>818</v>
      </c>
      <c r="C587" t="s">
        <v>130</v>
      </c>
      <c r="D587">
        <v>1967</v>
      </c>
      <c r="E587" t="s">
        <v>15</v>
      </c>
      <c r="F587" t="s">
        <v>16</v>
      </c>
      <c r="G587" t="s">
        <v>17</v>
      </c>
      <c r="H587" t="s">
        <v>18</v>
      </c>
      <c r="I587">
        <v>40.697000000000003</v>
      </c>
      <c r="J587" t="s">
        <v>19</v>
      </c>
      <c r="K587" t="s">
        <v>831</v>
      </c>
      <c r="L587" t="s">
        <v>21</v>
      </c>
      <c r="M587" t="str">
        <f t="shared" si="27"/>
        <v>OK</v>
      </c>
      <c r="N587" t="str">
        <f t="shared" si="28"/>
        <v>1960s</v>
      </c>
      <c r="O587" t="str">
        <f t="shared" si="29"/>
        <v>Low</v>
      </c>
      <c r="P587" t="str">
        <f>VLOOKUP(E587,calculated_fields!$F$4:$G$6,2,FALSE)</f>
        <v>Health</v>
      </c>
    </row>
    <row r="588" spans="1:16">
      <c r="A588" t="s">
        <v>832</v>
      </c>
      <c r="B588" t="s">
        <v>818</v>
      </c>
      <c r="C588" t="s">
        <v>130</v>
      </c>
      <c r="D588">
        <v>1967</v>
      </c>
      <c r="E588" t="s">
        <v>23</v>
      </c>
      <c r="F588" t="s">
        <v>24</v>
      </c>
      <c r="G588" t="s">
        <v>25</v>
      </c>
      <c r="H588" t="s">
        <v>26</v>
      </c>
      <c r="I588">
        <v>5127935</v>
      </c>
      <c r="J588" t="s">
        <v>27</v>
      </c>
      <c r="K588" t="s">
        <v>831</v>
      </c>
      <c r="L588" t="s">
        <v>21</v>
      </c>
      <c r="M588" t="str">
        <f t="shared" si="27"/>
        <v>OK</v>
      </c>
      <c r="N588" t="str">
        <f t="shared" si="28"/>
        <v>1960s</v>
      </c>
      <c r="O588" t="str">
        <f t="shared" si="29"/>
        <v>N/A</v>
      </c>
      <c r="P588" t="str">
        <f>VLOOKUP(E588,calculated_fields!$F$4:$G$6,2,FALSE)</f>
        <v>Demographics</v>
      </c>
    </row>
    <row r="589" spans="1:16">
      <c r="A589" t="s">
        <v>833</v>
      </c>
      <c r="B589" t="s">
        <v>818</v>
      </c>
      <c r="C589" t="s">
        <v>130</v>
      </c>
      <c r="D589">
        <v>1967</v>
      </c>
      <c r="E589" t="s">
        <v>29</v>
      </c>
      <c r="F589" t="s">
        <v>30</v>
      </c>
      <c r="G589" t="s">
        <v>31</v>
      </c>
      <c r="H589" t="s">
        <v>32</v>
      </c>
      <c r="I589">
        <v>794.82655969999996</v>
      </c>
      <c r="J589" t="s">
        <v>33</v>
      </c>
      <c r="K589" t="s">
        <v>831</v>
      </c>
      <c r="L589" t="s">
        <v>21</v>
      </c>
      <c r="M589" t="str">
        <f t="shared" si="27"/>
        <v>OK</v>
      </c>
      <c r="N589" t="str">
        <f t="shared" si="28"/>
        <v>1960s</v>
      </c>
      <c r="O589" t="str">
        <f t="shared" si="29"/>
        <v>N/A</v>
      </c>
      <c r="P589" t="str">
        <f>VLOOKUP(E589,calculated_fields!$F$4:$G$6,2,FALSE)</f>
        <v>Economy</v>
      </c>
    </row>
    <row r="590" spans="1:16">
      <c r="A590" t="s">
        <v>834</v>
      </c>
      <c r="B590" t="s">
        <v>818</v>
      </c>
      <c r="C590" t="s">
        <v>130</v>
      </c>
      <c r="D590">
        <v>1972</v>
      </c>
      <c r="E590" t="s">
        <v>15</v>
      </c>
      <c r="F590" t="s">
        <v>16</v>
      </c>
      <c r="G590" t="s">
        <v>17</v>
      </c>
      <c r="H590" t="s">
        <v>18</v>
      </c>
      <c r="I590">
        <v>43.591000000000001</v>
      </c>
      <c r="J590" t="s">
        <v>19</v>
      </c>
      <c r="K590" t="s">
        <v>835</v>
      </c>
      <c r="L590" t="s">
        <v>21</v>
      </c>
      <c r="M590" t="str">
        <f t="shared" si="27"/>
        <v>OK</v>
      </c>
      <c r="N590" t="str">
        <f t="shared" si="28"/>
        <v>1970s</v>
      </c>
      <c r="O590" t="str">
        <f t="shared" si="29"/>
        <v>Low</v>
      </c>
      <c r="P590" t="str">
        <f>VLOOKUP(E590,calculated_fields!$F$4:$G$6,2,FALSE)</f>
        <v>Health</v>
      </c>
    </row>
    <row r="591" spans="1:16">
      <c r="A591" t="s">
        <v>836</v>
      </c>
      <c r="B591" t="s">
        <v>818</v>
      </c>
      <c r="C591" t="s">
        <v>130</v>
      </c>
      <c r="D591">
        <v>1972</v>
      </c>
      <c r="E591" t="s">
        <v>23</v>
      </c>
      <c r="F591" t="s">
        <v>24</v>
      </c>
      <c r="G591" t="s">
        <v>25</v>
      </c>
      <c r="H591" t="s">
        <v>26</v>
      </c>
      <c r="I591">
        <v>5433886</v>
      </c>
      <c r="J591" t="s">
        <v>27</v>
      </c>
      <c r="K591" t="s">
        <v>835</v>
      </c>
      <c r="L591" t="s">
        <v>21</v>
      </c>
      <c r="M591" t="str">
        <f t="shared" si="27"/>
        <v>OK</v>
      </c>
      <c r="N591" t="str">
        <f t="shared" si="28"/>
        <v>1970s</v>
      </c>
      <c r="O591" t="str">
        <f t="shared" si="29"/>
        <v>N/A</v>
      </c>
      <c r="P591" t="str">
        <f>VLOOKUP(E591,calculated_fields!$F$4:$G$6,2,FALSE)</f>
        <v>Demographics</v>
      </c>
    </row>
    <row r="592" spans="1:16">
      <c r="A592" t="s">
        <v>837</v>
      </c>
      <c r="B592" t="s">
        <v>818</v>
      </c>
      <c r="C592" t="s">
        <v>130</v>
      </c>
      <c r="D592">
        <v>1972</v>
      </c>
      <c r="E592" t="s">
        <v>29</v>
      </c>
      <c r="F592" t="s">
        <v>30</v>
      </c>
      <c r="G592" t="s">
        <v>31</v>
      </c>
      <c r="H592" t="s">
        <v>32</v>
      </c>
      <c r="I592">
        <v>854.73597629999995</v>
      </c>
      <c r="J592" t="s">
        <v>33</v>
      </c>
      <c r="K592" t="s">
        <v>835</v>
      </c>
      <c r="L592" t="s">
        <v>21</v>
      </c>
      <c r="M592" t="str">
        <f t="shared" si="27"/>
        <v>OK</v>
      </c>
      <c r="N592" t="str">
        <f t="shared" si="28"/>
        <v>1970s</v>
      </c>
      <c r="O592" t="str">
        <f t="shared" si="29"/>
        <v>N/A</v>
      </c>
      <c r="P592" t="str">
        <f>VLOOKUP(E592,calculated_fields!$F$4:$G$6,2,FALSE)</f>
        <v>Economy</v>
      </c>
    </row>
    <row r="593" spans="1:16">
      <c r="A593" t="s">
        <v>838</v>
      </c>
      <c r="B593" t="s">
        <v>818</v>
      </c>
      <c r="C593" t="s">
        <v>130</v>
      </c>
      <c r="D593">
        <v>1977</v>
      </c>
      <c r="E593" t="s">
        <v>15</v>
      </c>
      <c r="F593" t="s">
        <v>16</v>
      </c>
      <c r="G593" t="s">
        <v>17</v>
      </c>
      <c r="H593" t="s">
        <v>18</v>
      </c>
      <c r="I593">
        <v>46.137</v>
      </c>
      <c r="J593" t="s">
        <v>19</v>
      </c>
      <c r="K593" t="s">
        <v>839</v>
      </c>
      <c r="L593" t="s">
        <v>21</v>
      </c>
      <c r="M593" t="str">
        <f t="shared" si="27"/>
        <v>OK</v>
      </c>
      <c r="N593" t="str">
        <f t="shared" si="28"/>
        <v>1970s</v>
      </c>
      <c r="O593" t="str">
        <f t="shared" si="29"/>
        <v>Low</v>
      </c>
      <c r="P593" t="str">
        <f>VLOOKUP(E593,calculated_fields!$F$4:$G$6,2,FALSE)</f>
        <v>Health</v>
      </c>
    </row>
    <row r="594" spans="1:16">
      <c r="A594" t="s">
        <v>840</v>
      </c>
      <c r="B594" t="s">
        <v>818</v>
      </c>
      <c r="C594" t="s">
        <v>130</v>
      </c>
      <c r="D594">
        <v>1977</v>
      </c>
      <c r="E594" t="s">
        <v>23</v>
      </c>
      <c r="F594" t="s">
        <v>24</v>
      </c>
      <c r="G594" t="s">
        <v>25</v>
      </c>
      <c r="H594" t="s">
        <v>26</v>
      </c>
      <c r="I594">
        <v>5889574</v>
      </c>
      <c r="J594" t="s">
        <v>27</v>
      </c>
      <c r="K594" t="s">
        <v>839</v>
      </c>
      <c r="L594" t="s">
        <v>21</v>
      </c>
      <c r="M594" t="str">
        <f t="shared" si="27"/>
        <v>OK</v>
      </c>
      <c r="N594" t="str">
        <f t="shared" si="28"/>
        <v>1970s</v>
      </c>
      <c r="O594" t="str">
        <f t="shared" si="29"/>
        <v>N/A</v>
      </c>
      <c r="P594" t="str">
        <f>VLOOKUP(E594,calculated_fields!$F$4:$G$6,2,FALSE)</f>
        <v>Demographics</v>
      </c>
    </row>
    <row r="595" spans="1:16">
      <c r="A595" t="s">
        <v>841</v>
      </c>
      <c r="B595" t="s">
        <v>818</v>
      </c>
      <c r="C595" t="s">
        <v>130</v>
      </c>
      <c r="D595">
        <v>1977</v>
      </c>
      <c r="E595" t="s">
        <v>29</v>
      </c>
      <c r="F595" t="s">
        <v>30</v>
      </c>
      <c r="G595" t="s">
        <v>31</v>
      </c>
      <c r="H595" t="s">
        <v>32</v>
      </c>
      <c r="I595">
        <v>743.38703680000003</v>
      </c>
      <c r="J595" t="s">
        <v>33</v>
      </c>
      <c r="K595" t="s">
        <v>839</v>
      </c>
      <c r="L595" t="s">
        <v>21</v>
      </c>
      <c r="M595" t="str">
        <f t="shared" si="27"/>
        <v>OK</v>
      </c>
      <c r="N595" t="str">
        <f t="shared" si="28"/>
        <v>1970s</v>
      </c>
      <c r="O595" t="str">
        <f t="shared" si="29"/>
        <v>N/A</v>
      </c>
      <c r="P595" t="str">
        <f>VLOOKUP(E595,calculated_fields!$F$4:$G$6,2,FALSE)</f>
        <v>Economy</v>
      </c>
    </row>
    <row r="596" spans="1:16">
      <c r="A596" t="s">
        <v>842</v>
      </c>
      <c r="B596" t="s">
        <v>818</v>
      </c>
      <c r="C596" t="s">
        <v>130</v>
      </c>
      <c r="D596">
        <v>1982</v>
      </c>
      <c r="E596" t="s">
        <v>15</v>
      </c>
      <c r="F596" t="s">
        <v>16</v>
      </c>
      <c r="G596" t="s">
        <v>17</v>
      </c>
      <c r="H596" t="s">
        <v>18</v>
      </c>
      <c r="I596">
        <v>48.122</v>
      </c>
      <c r="J596" t="s">
        <v>19</v>
      </c>
      <c r="K596" t="s">
        <v>843</v>
      </c>
      <c r="L596" t="s">
        <v>21</v>
      </c>
      <c r="M596" t="str">
        <f t="shared" si="27"/>
        <v>OK</v>
      </c>
      <c r="N596" t="str">
        <f t="shared" si="28"/>
        <v>1980s</v>
      </c>
      <c r="O596" t="str">
        <f t="shared" si="29"/>
        <v>Low</v>
      </c>
      <c r="P596" t="str">
        <f>VLOOKUP(E596,calculated_fields!$F$4:$G$6,2,FALSE)</f>
        <v>Health</v>
      </c>
    </row>
    <row r="597" spans="1:16">
      <c r="A597" t="s">
        <v>844</v>
      </c>
      <c r="B597" t="s">
        <v>818</v>
      </c>
      <c r="C597" t="s">
        <v>130</v>
      </c>
      <c r="D597">
        <v>1982</v>
      </c>
      <c r="E597" t="s">
        <v>23</v>
      </c>
      <c r="F597" t="s">
        <v>24</v>
      </c>
      <c r="G597" t="s">
        <v>25</v>
      </c>
      <c r="H597" t="s">
        <v>26</v>
      </c>
      <c r="I597">
        <v>6634596</v>
      </c>
      <c r="J597" t="s">
        <v>27</v>
      </c>
      <c r="K597" t="s">
        <v>843</v>
      </c>
      <c r="L597" t="s">
        <v>21</v>
      </c>
      <c r="M597" t="str">
        <f t="shared" si="27"/>
        <v>OK</v>
      </c>
      <c r="N597" t="str">
        <f t="shared" si="28"/>
        <v>1980s</v>
      </c>
      <c r="O597" t="str">
        <f t="shared" si="29"/>
        <v>N/A</v>
      </c>
      <c r="P597" t="str">
        <f>VLOOKUP(E597,calculated_fields!$F$4:$G$6,2,FALSE)</f>
        <v>Demographics</v>
      </c>
    </row>
    <row r="598" spans="1:16">
      <c r="A598" t="s">
        <v>845</v>
      </c>
      <c r="B598" t="s">
        <v>818</v>
      </c>
      <c r="C598" t="s">
        <v>130</v>
      </c>
      <c r="D598">
        <v>1982</v>
      </c>
      <c r="E598" t="s">
        <v>29</v>
      </c>
      <c r="F598" t="s">
        <v>30</v>
      </c>
      <c r="G598" t="s">
        <v>31</v>
      </c>
      <c r="H598" t="s">
        <v>32</v>
      </c>
      <c r="I598">
        <v>807.19858550000004</v>
      </c>
      <c r="J598" t="s">
        <v>33</v>
      </c>
      <c r="K598" t="s">
        <v>843</v>
      </c>
      <c r="L598" t="s">
        <v>21</v>
      </c>
      <c r="M598" t="str">
        <f t="shared" si="27"/>
        <v>OK</v>
      </c>
      <c r="N598" t="str">
        <f t="shared" si="28"/>
        <v>1980s</v>
      </c>
      <c r="O598" t="str">
        <f t="shared" si="29"/>
        <v>N/A</v>
      </c>
      <c r="P598" t="str">
        <f>VLOOKUP(E598,calculated_fields!$F$4:$G$6,2,FALSE)</f>
        <v>Economy</v>
      </c>
    </row>
    <row r="599" spans="1:16">
      <c r="A599" t="s">
        <v>846</v>
      </c>
      <c r="B599" t="s">
        <v>818</v>
      </c>
      <c r="C599" t="s">
        <v>130</v>
      </c>
      <c r="D599">
        <v>1987</v>
      </c>
      <c r="E599" t="s">
        <v>15</v>
      </c>
      <c r="F599" t="s">
        <v>16</v>
      </c>
      <c r="G599" t="s">
        <v>17</v>
      </c>
      <c r="H599" t="s">
        <v>18</v>
      </c>
      <c r="I599">
        <v>49.557000000000002</v>
      </c>
      <c r="J599" t="s">
        <v>19</v>
      </c>
      <c r="K599" t="s">
        <v>847</v>
      </c>
      <c r="L599" t="s">
        <v>21</v>
      </c>
      <c r="M599" t="str">
        <f t="shared" si="27"/>
        <v>OK</v>
      </c>
      <c r="N599" t="str">
        <f t="shared" si="28"/>
        <v>1980s</v>
      </c>
      <c r="O599" t="str">
        <f t="shared" si="29"/>
        <v>Low</v>
      </c>
      <c r="P599" t="str">
        <f>VLOOKUP(E599,calculated_fields!$F$4:$G$6,2,FALSE)</f>
        <v>Health</v>
      </c>
    </row>
    <row r="600" spans="1:16">
      <c r="A600" t="s">
        <v>848</v>
      </c>
      <c r="B600" t="s">
        <v>818</v>
      </c>
      <c r="C600" t="s">
        <v>130</v>
      </c>
      <c r="D600">
        <v>1987</v>
      </c>
      <c r="E600" t="s">
        <v>23</v>
      </c>
      <c r="F600" t="s">
        <v>24</v>
      </c>
      <c r="G600" t="s">
        <v>25</v>
      </c>
      <c r="H600" t="s">
        <v>26</v>
      </c>
      <c r="I600">
        <v>7586551</v>
      </c>
      <c r="J600" t="s">
        <v>27</v>
      </c>
      <c r="K600" t="s">
        <v>847</v>
      </c>
      <c r="L600" t="s">
        <v>21</v>
      </c>
      <c r="M600" t="str">
        <f t="shared" si="27"/>
        <v>OK</v>
      </c>
      <c r="N600" t="str">
        <f t="shared" si="28"/>
        <v>1980s</v>
      </c>
      <c r="O600" t="str">
        <f t="shared" si="29"/>
        <v>N/A</v>
      </c>
      <c r="P600" t="str">
        <f>VLOOKUP(E600,calculated_fields!$F$4:$G$6,2,FALSE)</f>
        <v>Demographics</v>
      </c>
    </row>
    <row r="601" spans="1:16">
      <c r="A601" t="s">
        <v>849</v>
      </c>
      <c r="B601" t="s">
        <v>818</v>
      </c>
      <c r="C601" t="s">
        <v>130</v>
      </c>
      <c r="D601">
        <v>1987</v>
      </c>
      <c r="E601" t="s">
        <v>29</v>
      </c>
      <c r="F601" t="s">
        <v>30</v>
      </c>
      <c r="G601" t="s">
        <v>31</v>
      </c>
      <c r="H601" t="s">
        <v>32</v>
      </c>
      <c r="I601">
        <v>912.06314169999996</v>
      </c>
      <c r="J601" t="s">
        <v>33</v>
      </c>
      <c r="K601" t="s">
        <v>847</v>
      </c>
      <c r="L601" t="s">
        <v>21</v>
      </c>
      <c r="M601" t="str">
        <f t="shared" si="27"/>
        <v>OK</v>
      </c>
      <c r="N601" t="str">
        <f t="shared" si="28"/>
        <v>1980s</v>
      </c>
      <c r="O601" t="str">
        <f t="shared" si="29"/>
        <v>N/A</v>
      </c>
      <c r="P601" t="str">
        <f>VLOOKUP(E601,calculated_fields!$F$4:$G$6,2,FALSE)</f>
        <v>Economy</v>
      </c>
    </row>
    <row r="602" spans="1:16">
      <c r="A602" t="s">
        <v>850</v>
      </c>
      <c r="B602" t="s">
        <v>818</v>
      </c>
      <c r="C602" t="s">
        <v>130</v>
      </c>
      <c r="D602">
        <v>1992</v>
      </c>
      <c r="E602" t="s">
        <v>15</v>
      </c>
      <c r="F602" t="s">
        <v>16</v>
      </c>
      <c r="G602" t="s">
        <v>17</v>
      </c>
      <c r="H602" t="s">
        <v>18</v>
      </c>
      <c r="I602">
        <v>50.26</v>
      </c>
      <c r="J602" t="s">
        <v>19</v>
      </c>
      <c r="K602" t="s">
        <v>851</v>
      </c>
      <c r="L602" t="s">
        <v>21</v>
      </c>
      <c r="M602" t="str">
        <f t="shared" si="27"/>
        <v>OK</v>
      </c>
      <c r="N602" t="str">
        <f t="shared" si="28"/>
        <v>1990s</v>
      </c>
      <c r="O602" t="str">
        <f t="shared" si="29"/>
        <v>Low</v>
      </c>
      <c r="P602" t="str">
        <f>VLOOKUP(E602,calculated_fields!$F$4:$G$6,2,FALSE)</f>
        <v>Health</v>
      </c>
    </row>
    <row r="603" spans="1:16">
      <c r="A603" t="s">
        <v>852</v>
      </c>
      <c r="B603" t="s">
        <v>818</v>
      </c>
      <c r="C603" t="s">
        <v>130</v>
      </c>
      <c r="D603">
        <v>1992</v>
      </c>
      <c r="E603" t="s">
        <v>23</v>
      </c>
      <c r="F603" t="s">
        <v>24</v>
      </c>
      <c r="G603" t="s">
        <v>25</v>
      </c>
      <c r="H603" t="s">
        <v>26</v>
      </c>
      <c r="I603">
        <v>8878303</v>
      </c>
      <c r="J603" t="s">
        <v>27</v>
      </c>
      <c r="K603" t="s">
        <v>851</v>
      </c>
      <c r="L603" t="s">
        <v>21</v>
      </c>
      <c r="M603" t="str">
        <f t="shared" si="27"/>
        <v>OK</v>
      </c>
      <c r="N603" t="str">
        <f t="shared" si="28"/>
        <v>1990s</v>
      </c>
      <c r="O603" t="str">
        <f t="shared" si="29"/>
        <v>N/A</v>
      </c>
      <c r="P603" t="str">
        <f>VLOOKUP(E603,calculated_fields!$F$4:$G$6,2,FALSE)</f>
        <v>Demographics</v>
      </c>
    </row>
    <row r="604" spans="1:16">
      <c r="A604" t="s">
        <v>853</v>
      </c>
      <c r="B604" t="s">
        <v>818</v>
      </c>
      <c r="C604" t="s">
        <v>130</v>
      </c>
      <c r="D604">
        <v>1992</v>
      </c>
      <c r="E604" t="s">
        <v>29</v>
      </c>
      <c r="F604" t="s">
        <v>30</v>
      </c>
      <c r="G604" t="s">
        <v>31</v>
      </c>
      <c r="H604" t="s">
        <v>32</v>
      </c>
      <c r="I604">
        <v>931.75277310000001</v>
      </c>
      <c r="J604" t="s">
        <v>33</v>
      </c>
      <c r="K604" t="s">
        <v>851</v>
      </c>
      <c r="L604" t="s">
        <v>21</v>
      </c>
      <c r="M604" t="str">
        <f t="shared" si="27"/>
        <v>OK</v>
      </c>
      <c r="N604" t="str">
        <f t="shared" si="28"/>
        <v>1990s</v>
      </c>
      <c r="O604" t="str">
        <f t="shared" si="29"/>
        <v>N/A</v>
      </c>
      <c r="P604" t="str">
        <f>VLOOKUP(E604,calculated_fields!$F$4:$G$6,2,FALSE)</f>
        <v>Economy</v>
      </c>
    </row>
    <row r="605" spans="1:16">
      <c r="A605" t="s">
        <v>854</v>
      </c>
      <c r="B605" t="s">
        <v>818</v>
      </c>
      <c r="C605" t="s">
        <v>130</v>
      </c>
      <c r="D605">
        <v>1997</v>
      </c>
      <c r="E605" t="s">
        <v>15</v>
      </c>
      <c r="F605" t="s">
        <v>16</v>
      </c>
      <c r="G605" t="s">
        <v>17</v>
      </c>
      <c r="H605" t="s">
        <v>18</v>
      </c>
      <c r="I605">
        <v>50.323999999999998</v>
      </c>
      <c r="J605" t="s">
        <v>19</v>
      </c>
      <c r="K605" t="s">
        <v>855</v>
      </c>
      <c r="L605" t="s">
        <v>21</v>
      </c>
      <c r="M605" t="str">
        <f t="shared" si="27"/>
        <v>OK</v>
      </c>
      <c r="N605" t="str">
        <f t="shared" si="28"/>
        <v>1990s</v>
      </c>
      <c r="O605" t="str">
        <f t="shared" si="29"/>
        <v>Low</v>
      </c>
      <c r="P605" t="str">
        <f>VLOOKUP(E605,calculated_fields!$F$4:$G$6,2,FALSE)</f>
        <v>Health</v>
      </c>
    </row>
    <row r="606" spans="1:16">
      <c r="A606" t="s">
        <v>856</v>
      </c>
      <c r="B606" t="s">
        <v>818</v>
      </c>
      <c r="C606" t="s">
        <v>130</v>
      </c>
      <c r="D606">
        <v>1997</v>
      </c>
      <c r="E606" t="s">
        <v>23</v>
      </c>
      <c r="F606" t="s">
        <v>24</v>
      </c>
      <c r="G606" t="s">
        <v>25</v>
      </c>
      <c r="H606" t="s">
        <v>26</v>
      </c>
      <c r="I606">
        <v>10352843</v>
      </c>
      <c r="J606" t="s">
        <v>27</v>
      </c>
      <c r="K606" t="s">
        <v>855</v>
      </c>
      <c r="L606" t="s">
        <v>21</v>
      </c>
      <c r="M606" t="str">
        <f t="shared" si="27"/>
        <v>OK</v>
      </c>
      <c r="N606" t="str">
        <f t="shared" si="28"/>
        <v>1990s</v>
      </c>
      <c r="O606" t="str">
        <f t="shared" si="29"/>
        <v>N/A</v>
      </c>
      <c r="P606" t="str">
        <f>VLOOKUP(E606,calculated_fields!$F$4:$G$6,2,FALSE)</f>
        <v>Demographics</v>
      </c>
    </row>
    <row r="607" spans="1:16">
      <c r="A607" t="s">
        <v>857</v>
      </c>
      <c r="B607" t="s">
        <v>818</v>
      </c>
      <c r="C607" t="s">
        <v>130</v>
      </c>
      <c r="D607">
        <v>1997</v>
      </c>
      <c r="E607" t="s">
        <v>29</v>
      </c>
      <c r="F607" t="s">
        <v>30</v>
      </c>
      <c r="G607" t="s">
        <v>31</v>
      </c>
      <c r="H607" t="s">
        <v>32</v>
      </c>
      <c r="I607">
        <v>946.29496180000001</v>
      </c>
      <c r="J607" t="s">
        <v>33</v>
      </c>
      <c r="K607" t="s">
        <v>855</v>
      </c>
      <c r="L607" t="s">
        <v>21</v>
      </c>
      <c r="M607" t="str">
        <f t="shared" si="27"/>
        <v>OK</v>
      </c>
      <c r="N607" t="str">
        <f t="shared" si="28"/>
        <v>1990s</v>
      </c>
      <c r="O607" t="str">
        <f t="shared" si="29"/>
        <v>N/A</v>
      </c>
      <c r="P607" t="str">
        <f>VLOOKUP(E607,calculated_fields!$F$4:$G$6,2,FALSE)</f>
        <v>Economy</v>
      </c>
    </row>
    <row r="608" spans="1:16">
      <c r="A608" t="s">
        <v>858</v>
      </c>
      <c r="B608" t="s">
        <v>818</v>
      </c>
      <c r="C608" t="s">
        <v>130</v>
      </c>
      <c r="D608">
        <v>2002</v>
      </c>
      <c r="E608" t="s">
        <v>15</v>
      </c>
      <c r="F608" t="s">
        <v>16</v>
      </c>
      <c r="G608" t="s">
        <v>17</v>
      </c>
      <c r="H608" t="s">
        <v>18</v>
      </c>
      <c r="I608">
        <v>50.65</v>
      </c>
      <c r="J608" t="s">
        <v>19</v>
      </c>
      <c r="K608" t="s">
        <v>859</v>
      </c>
      <c r="L608" t="s">
        <v>21</v>
      </c>
      <c r="M608" t="str">
        <f t="shared" si="27"/>
        <v>OK</v>
      </c>
      <c r="N608" t="str">
        <f t="shared" si="28"/>
        <v>2000s</v>
      </c>
      <c r="O608" t="str">
        <f t="shared" si="29"/>
        <v>Low</v>
      </c>
      <c r="P608" t="str">
        <f>VLOOKUP(E608,calculated_fields!$F$4:$G$6,2,FALSE)</f>
        <v>Health</v>
      </c>
    </row>
    <row r="609" spans="1:16">
      <c r="A609" t="s">
        <v>860</v>
      </c>
      <c r="B609" t="s">
        <v>818</v>
      </c>
      <c r="C609" t="s">
        <v>130</v>
      </c>
      <c r="D609">
        <v>2002</v>
      </c>
      <c r="E609" t="s">
        <v>23</v>
      </c>
      <c r="F609" t="s">
        <v>24</v>
      </c>
      <c r="G609" t="s">
        <v>25</v>
      </c>
      <c r="H609" t="s">
        <v>26</v>
      </c>
      <c r="I609">
        <v>12251209</v>
      </c>
      <c r="J609" t="s">
        <v>27</v>
      </c>
      <c r="K609" t="s">
        <v>859</v>
      </c>
      <c r="L609" t="s">
        <v>21</v>
      </c>
      <c r="M609" t="str">
        <f t="shared" si="27"/>
        <v>OK</v>
      </c>
      <c r="N609" t="str">
        <f t="shared" si="28"/>
        <v>2000s</v>
      </c>
      <c r="O609" t="str">
        <f t="shared" si="29"/>
        <v>N/A</v>
      </c>
      <c r="P609" t="str">
        <f>VLOOKUP(E609,calculated_fields!$F$4:$G$6,2,FALSE)</f>
        <v>Demographics</v>
      </c>
    </row>
    <row r="610" spans="1:16">
      <c r="A610" t="s">
        <v>861</v>
      </c>
      <c r="B610" t="s">
        <v>818</v>
      </c>
      <c r="C610" t="s">
        <v>130</v>
      </c>
      <c r="D610">
        <v>2002</v>
      </c>
      <c r="E610" t="s">
        <v>29</v>
      </c>
      <c r="F610" t="s">
        <v>30</v>
      </c>
      <c r="G610" t="s">
        <v>31</v>
      </c>
      <c r="H610" t="s">
        <v>32</v>
      </c>
      <c r="I610">
        <v>1037.645221</v>
      </c>
      <c r="J610" t="s">
        <v>33</v>
      </c>
      <c r="K610" t="s">
        <v>859</v>
      </c>
      <c r="L610" t="s">
        <v>21</v>
      </c>
      <c r="M610" t="str">
        <f t="shared" si="27"/>
        <v>OK</v>
      </c>
      <c r="N610" t="str">
        <f t="shared" si="28"/>
        <v>2000s</v>
      </c>
      <c r="O610" t="str">
        <f t="shared" si="29"/>
        <v>N/A</v>
      </c>
      <c r="P610" t="str">
        <f>VLOOKUP(E610,calculated_fields!$F$4:$G$6,2,FALSE)</f>
        <v>Economy</v>
      </c>
    </row>
    <row r="611" spans="1:16">
      <c r="A611" t="s">
        <v>862</v>
      </c>
      <c r="B611" t="s">
        <v>818</v>
      </c>
      <c r="C611" t="s">
        <v>130</v>
      </c>
      <c r="D611">
        <v>2007</v>
      </c>
      <c r="E611" t="s">
        <v>15</v>
      </c>
      <c r="F611" t="s">
        <v>16</v>
      </c>
      <c r="G611" t="s">
        <v>17</v>
      </c>
      <c r="H611" t="s">
        <v>18</v>
      </c>
      <c r="I611">
        <v>52.295000000000002</v>
      </c>
      <c r="J611" t="s">
        <v>19</v>
      </c>
      <c r="K611" t="s">
        <v>863</v>
      </c>
      <c r="L611" t="s">
        <v>21</v>
      </c>
      <c r="M611" t="str">
        <f t="shared" si="27"/>
        <v>OK</v>
      </c>
      <c r="N611" t="str">
        <f t="shared" si="28"/>
        <v>2000s</v>
      </c>
      <c r="O611" t="str">
        <f t="shared" si="29"/>
        <v>Low</v>
      </c>
      <c r="P611" t="str">
        <f>VLOOKUP(E611,calculated_fields!$F$4:$G$6,2,FALSE)</f>
        <v>Health</v>
      </c>
    </row>
    <row r="612" spans="1:16">
      <c r="A612" t="s">
        <v>864</v>
      </c>
      <c r="B612" t="s">
        <v>818</v>
      </c>
      <c r="C612" t="s">
        <v>130</v>
      </c>
      <c r="D612">
        <v>2007</v>
      </c>
      <c r="E612" t="s">
        <v>23</v>
      </c>
      <c r="F612" t="s">
        <v>24</v>
      </c>
      <c r="G612" t="s">
        <v>25</v>
      </c>
      <c r="H612" t="s">
        <v>26</v>
      </c>
      <c r="I612">
        <v>14326203</v>
      </c>
      <c r="J612" t="s">
        <v>27</v>
      </c>
      <c r="K612" t="s">
        <v>863</v>
      </c>
      <c r="L612" t="s">
        <v>21</v>
      </c>
      <c r="M612" t="str">
        <f t="shared" si="27"/>
        <v>OK</v>
      </c>
      <c r="N612" t="str">
        <f t="shared" si="28"/>
        <v>2000s</v>
      </c>
      <c r="O612" t="str">
        <f t="shared" si="29"/>
        <v>N/A</v>
      </c>
      <c r="P612" t="str">
        <f>VLOOKUP(E612,calculated_fields!$F$4:$G$6,2,FALSE)</f>
        <v>Demographics</v>
      </c>
    </row>
    <row r="613" spans="1:16">
      <c r="A613" t="s">
        <v>865</v>
      </c>
      <c r="B613" t="s">
        <v>818</v>
      </c>
      <c r="C613" t="s">
        <v>130</v>
      </c>
      <c r="D613">
        <v>2007</v>
      </c>
      <c r="E613" t="s">
        <v>29</v>
      </c>
      <c r="F613" t="s">
        <v>30</v>
      </c>
      <c r="G613" t="s">
        <v>31</v>
      </c>
      <c r="H613" t="s">
        <v>32</v>
      </c>
      <c r="I613">
        <v>1217.0329939999999</v>
      </c>
      <c r="J613" t="s">
        <v>33</v>
      </c>
      <c r="K613" t="s">
        <v>863</v>
      </c>
      <c r="L613" t="s">
        <v>21</v>
      </c>
      <c r="M613" t="str">
        <f t="shared" si="27"/>
        <v>OK</v>
      </c>
      <c r="N613" t="str">
        <f t="shared" si="28"/>
        <v>2000s</v>
      </c>
      <c r="O613" t="str">
        <f t="shared" si="29"/>
        <v>N/A</v>
      </c>
      <c r="P613" t="str">
        <f>VLOOKUP(E613,calculated_fields!$F$4:$G$6,2,FALSE)</f>
        <v>Economy</v>
      </c>
    </row>
    <row r="614" spans="1:16">
      <c r="A614" t="s">
        <v>866</v>
      </c>
      <c r="B614" t="s">
        <v>867</v>
      </c>
      <c r="C614" t="s">
        <v>130</v>
      </c>
      <c r="D614">
        <v>1952</v>
      </c>
      <c r="E614" t="s">
        <v>15</v>
      </c>
      <c r="F614" t="s">
        <v>16</v>
      </c>
      <c r="G614" t="s">
        <v>17</v>
      </c>
      <c r="H614" t="s">
        <v>18</v>
      </c>
      <c r="I614">
        <v>39.030999999999999</v>
      </c>
      <c r="J614" t="s">
        <v>19</v>
      </c>
      <c r="K614" t="s">
        <v>868</v>
      </c>
      <c r="L614" t="s">
        <v>21</v>
      </c>
      <c r="M614" t="str">
        <f t="shared" si="27"/>
        <v>OK</v>
      </c>
      <c r="N614" t="str">
        <f t="shared" si="28"/>
        <v>1950s</v>
      </c>
      <c r="O614" t="str">
        <f t="shared" si="29"/>
        <v>Low</v>
      </c>
      <c r="P614" t="str">
        <f>VLOOKUP(E614,calculated_fields!$F$4:$G$6,2,FALSE)</f>
        <v>Health</v>
      </c>
    </row>
    <row r="615" spans="1:16">
      <c r="A615" t="s">
        <v>869</v>
      </c>
      <c r="B615" t="s">
        <v>867</v>
      </c>
      <c r="C615" t="s">
        <v>130</v>
      </c>
      <c r="D615">
        <v>1952</v>
      </c>
      <c r="E615" t="s">
        <v>23</v>
      </c>
      <c r="F615" t="s">
        <v>24</v>
      </c>
      <c r="G615" t="s">
        <v>25</v>
      </c>
      <c r="H615" t="s">
        <v>26</v>
      </c>
      <c r="I615">
        <v>2445618</v>
      </c>
      <c r="J615" t="s">
        <v>27</v>
      </c>
      <c r="K615" t="s">
        <v>868</v>
      </c>
      <c r="L615" t="s">
        <v>21</v>
      </c>
      <c r="M615" t="str">
        <f t="shared" si="27"/>
        <v>OK</v>
      </c>
      <c r="N615" t="str">
        <f t="shared" si="28"/>
        <v>1950s</v>
      </c>
      <c r="O615" t="str">
        <f t="shared" si="29"/>
        <v>N/A</v>
      </c>
      <c r="P615" t="str">
        <f>VLOOKUP(E615,calculated_fields!$F$4:$G$6,2,FALSE)</f>
        <v>Demographics</v>
      </c>
    </row>
    <row r="616" spans="1:16">
      <c r="A616" t="s">
        <v>870</v>
      </c>
      <c r="B616" t="s">
        <v>867</v>
      </c>
      <c r="C616" t="s">
        <v>130</v>
      </c>
      <c r="D616">
        <v>1952</v>
      </c>
      <c r="E616" t="s">
        <v>29</v>
      </c>
      <c r="F616" t="s">
        <v>30</v>
      </c>
      <c r="G616" t="s">
        <v>31</v>
      </c>
      <c r="H616" t="s">
        <v>32</v>
      </c>
      <c r="I616">
        <v>339.29645870000002</v>
      </c>
      <c r="J616" t="s">
        <v>33</v>
      </c>
      <c r="K616" t="s">
        <v>868</v>
      </c>
      <c r="L616" t="s">
        <v>21</v>
      </c>
      <c r="M616" t="str">
        <f t="shared" si="27"/>
        <v>OK</v>
      </c>
      <c r="N616" t="str">
        <f t="shared" si="28"/>
        <v>1950s</v>
      </c>
      <c r="O616" t="str">
        <f t="shared" si="29"/>
        <v>N/A</v>
      </c>
      <c r="P616" t="str">
        <f>VLOOKUP(E616,calculated_fields!$F$4:$G$6,2,FALSE)</f>
        <v>Economy</v>
      </c>
    </row>
    <row r="617" spans="1:16">
      <c r="A617" t="s">
        <v>871</v>
      </c>
      <c r="B617" t="s">
        <v>867</v>
      </c>
      <c r="C617" t="s">
        <v>130</v>
      </c>
      <c r="D617">
        <v>1957</v>
      </c>
      <c r="E617" t="s">
        <v>15</v>
      </c>
      <c r="F617" t="s">
        <v>16</v>
      </c>
      <c r="G617" t="s">
        <v>17</v>
      </c>
      <c r="H617" t="s">
        <v>18</v>
      </c>
      <c r="I617">
        <v>40.533000000000001</v>
      </c>
      <c r="J617" t="s">
        <v>19</v>
      </c>
      <c r="K617" t="s">
        <v>872</v>
      </c>
      <c r="L617" t="s">
        <v>21</v>
      </c>
      <c r="M617" t="str">
        <f t="shared" si="27"/>
        <v>OK</v>
      </c>
      <c r="N617" t="str">
        <f t="shared" si="28"/>
        <v>1950s</v>
      </c>
      <c r="O617" t="str">
        <f t="shared" si="29"/>
        <v>Low</v>
      </c>
      <c r="P617" t="str">
        <f>VLOOKUP(E617,calculated_fields!$F$4:$G$6,2,FALSE)</f>
        <v>Health</v>
      </c>
    </row>
    <row r="618" spans="1:16">
      <c r="A618" t="s">
        <v>873</v>
      </c>
      <c r="B618" t="s">
        <v>867</v>
      </c>
      <c r="C618" t="s">
        <v>130</v>
      </c>
      <c r="D618">
        <v>1957</v>
      </c>
      <c r="E618" t="s">
        <v>23</v>
      </c>
      <c r="F618" t="s">
        <v>24</v>
      </c>
      <c r="G618" t="s">
        <v>25</v>
      </c>
      <c r="H618" t="s">
        <v>26</v>
      </c>
      <c r="I618">
        <v>2667518</v>
      </c>
      <c r="J618" t="s">
        <v>27</v>
      </c>
      <c r="K618" t="s">
        <v>872</v>
      </c>
      <c r="L618" t="s">
        <v>21</v>
      </c>
      <c r="M618" t="str">
        <f t="shared" si="27"/>
        <v>OK</v>
      </c>
      <c r="N618" t="str">
        <f t="shared" si="28"/>
        <v>1950s</v>
      </c>
      <c r="O618" t="str">
        <f t="shared" si="29"/>
        <v>N/A</v>
      </c>
      <c r="P618" t="str">
        <f>VLOOKUP(E618,calculated_fields!$F$4:$G$6,2,FALSE)</f>
        <v>Demographics</v>
      </c>
    </row>
    <row r="619" spans="1:16">
      <c r="A619" t="s">
        <v>874</v>
      </c>
      <c r="B619" t="s">
        <v>867</v>
      </c>
      <c r="C619" t="s">
        <v>130</v>
      </c>
      <c r="D619">
        <v>1957</v>
      </c>
      <c r="E619" t="s">
        <v>29</v>
      </c>
      <c r="F619" t="s">
        <v>30</v>
      </c>
      <c r="G619" t="s">
        <v>31</v>
      </c>
      <c r="H619" t="s">
        <v>32</v>
      </c>
      <c r="I619">
        <v>379.56462809999999</v>
      </c>
      <c r="J619" t="s">
        <v>33</v>
      </c>
      <c r="K619" t="s">
        <v>872</v>
      </c>
      <c r="L619" t="s">
        <v>21</v>
      </c>
      <c r="M619" t="str">
        <f t="shared" si="27"/>
        <v>OK</v>
      </c>
      <c r="N619" t="str">
        <f t="shared" si="28"/>
        <v>1950s</v>
      </c>
      <c r="O619" t="str">
        <f t="shared" si="29"/>
        <v>N/A</v>
      </c>
      <c r="P619" t="str">
        <f>VLOOKUP(E619,calculated_fields!$F$4:$G$6,2,FALSE)</f>
        <v>Economy</v>
      </c>
    </row>
    <row r="620" spans="1:16">
      <c r="A620" t="s">
        <v>875</v>
      </c>
      <c r="B620" t="s">
        <v>867</v>
      </c>
      <c r="C620" t="s">
        <v>130</v>
      </c>
      <c r="D620">
        <v>1962</v>
      </c>
      <c r="E620" t="s">
        <v>15</v>
      </c>
      <c r="F620" t="s">
        <v>16</v>
      </c>
      <c r="G620" t="s">
        <v>17</v>
      </c>
      <c r="H620" t="s">
        <v>18</v>
      </c>
      <c r="I620">
        <v>42.045000000000002</v>
      </c>
      <c r="J620" t="s">
        <v>19</v>
      </c>
      <c r="K620" t="s">
        <v>876</v>
      </c>
      <c r="L620" t="s">
        <v>21</v>
      </c>
      <c r="M620" t="str">
        <f t="shared" si="27"/>
        <v>OK</v>
      </c>
      <c r="N620" t="str">
        <f t="shared" si="28"/>
        <v>1960s</v>
      </c>
      <c r="O620" t="str">
        <f t="shared" si="29"/>
        <v>Low</v>
      </c>
      <c r="P620" t="str">
        <f>VLOOKUP(E620,calculated_fields!$F$4:$G$6,2,FALSE)</f>
        <v>Health</v>
      </c>
    </row>
    <row r="621" spans="1:16">
      <c r="A621" t="s">
        <v>877</v>
      </c>
      <c r="B621" t="s">
        <v>867</v>
      </c>
      <c r="C621" t="s">
        <v>130</v>
      </c>
      <c r="D621">
        <v>1962</v>
      </c>
      <c r="E621" t="s">
        <v>23</v>
      </c>
      <c r="F621" t="s">
        <v>24</v>
      </c>
      <c r="G621" t="s">
        <v>25</v>
      </c>
      <c r="H621" t="s">
        <v>26</v>
      </c>
      <c r="I621">
        <v>2961915</v>
      </c>
      <c r="J621" t="s">
        <v>27</v>
      </c>
      <c r="K621" t="s">
        <v>876</v>
      </c>
      <c r="L621" t="s">
        <v>21</v>
      </c>
      <c r="M621" t="str">
        <f t="shared" si="27"/>
        <v>OK</v>
      </c>
      <c r="N621" t="str">
        <f t="shared" si="28"/>
        <v>1960s</v>
      </c>
      <c r="O621" t="str">
        <f t="shared" si="29"/>
        <v>N/A</v>
      </c>
      <c r="P621" t="str">
        <f>VLOOKUP(E621,calculated_fields!$F$4:$G$6,2,FALSE)</f>
        <v>Demographics</v>
      </c>
    </row>
    <row r="622" spans="1:16">
      <c r="A622" t="s">
        <v>878</v>
      </c>
      <c r="B622" t="s">
        <v>867</v>
      </c>
      <c r="C622" t="s">
        <v>130</v>
      </c>
      <c r="D622">
        <v>1962</v>
      </c>
      <c r="E622" t="s">
        <v>29</v>
      </c>
      <c r="F622" t="s">
        <v>30</v>
      </c>
      <c r="G622" t="s">
        <v>31</v>
      </c>
      <c r="H622" t="s">
        <v>32</v>
      </c>
      <c r="I622">
        <v>355.20322729999998</v>
      </c>
      <c r="J622" t="s">
        <v>33</v>
      </c>
      <c r="K622" t="s">
        <v>876</v>
      </c>
      <c r="L622" t="s">
        <v>21</v>
      </c>
      <c r="M622" t="str">
        <f t="shared" si="27"/>
        <v>OK</v>
      </c>
      <c r="N622" t="str">
        <f t="shared" si="28"/>
        <v>1960s</v>
      </c>
      <c r="O622" t="str">
        <f t="shared" si="29"/>
        <v>N/A</v>
      </c>
      <c r="P622" t="str">
        <f>VLOOKUP(E622,calculated_fields!$F$4:$G$6,2,FALSE)</f>
        <v>Economy</v>
      </c>
    </row>
    <row r="623" spans="1:16">
      <c r="A623" t="s">
        <v>879</v>
      </c>
      <c r="B623" t="s">
        <v>867</v>
      </c>
      <c r="C623" t="s">
        <v>130</v>
      </c>
      <c r="D623">
        <v>1967</v>
      </c>
      <c r="E623" t="s">
        <v>15</v>
      </c>
      <c r="F623" t="s">
        <v>16</v>
      </c>
      <c r="G623" t="s">
        <v>17</v>
      </c>
      <c r="H623" t="s">
        <v>18</v>
      </c>
      <c r="I623">
        <v>43.548000000000002</v>
      </c>
      <c r="J623" t="s">
        <v>19</v>
      </c>
      <c r="K623" t="s">
        <v>880</v>
      </c>
      <c r="L623" t="s">
        <v>21</v>
      </c>
      <c r="M623" t="str">
        <f t="shared" si="27"/>
        <v>OK</v>
      </c>
      <c r="N623" t="str">
        <f t="shared" si="28"/>
        <v>1960s</v>
      </c>
      <c r="O623" t="str">
        <f t="shared" si="29"/>
        <v>Low</v>
      </c>
      <c r="P623" t="str">
        <f>VLOOKUP(E623,calculated_fields!$F$4:$G$6,2,FALSE)</f>
        <v>Health</v>
      </c>
    </row>
    <row r="624" spans="1:16">
      <c r="A624" t="s">
        <v>881</v>
      </c>
      <c r="B624" t="s">
        <v>867</v>
      </c>
      <c r="C624" t="s">
        <v>130</v>
      </c>
      <c r="D624">
        <v>1967</v>
      </c>
      <c r="E624" t="s">
        <v>23</v>
      </c>
      <c r="F624" t="s">
        <v>24</v>
      </c>
      <c r="G624" t="s">
        <v>25</v>
      </c>
      <c r="H624" t="s">
        <v>26</v>
      </c>
      <c r="I624">
        <v>3330989</v>
      </c>
      <c r="J624" t="s">
        <v>27</v>
      </c>
      <c r="K624" t="s">
        <v>880</v>
      </c>
      <c r="L624" t="s">
        <v>21</v>
      </c>
      <c r="M624" t="str">
        <f t="shared" si="27"/>
        <v>OK</v>
      </c>
      <c r="N624" t="str">
        <f t="shared" si="28"/>
        <v>1960s</v>
      </c>
      <c r="O624" t="str">
        <f t="shared" si="29"/>
        <v>N/A</v>
      </c>
      <c r="P624" t="str">
        <f>VLOOKUP(E624,calculated_fields!$F$4:$G$6,2,FALSE)</f>
        <v>Demographics</v>
      </c>
    </row>
    <row r="625" spans="1:16">
      <c r="A625" t="s">
        <v>882</v>
      </c>
      <c r="B625" t="s">
        <v>867</v>
      </c>
      <c r="C625" t="s">
        <v>130</v>
      </c>
      <c r="D625">
        <v>1967</v>
      </c>
      <c r="E625" t="s">
        <v>29</v>
      </c>
      <c r="F625" t="s">
        <v>30</v>
      </c>
      <c r="G625" t="s">
        <v>31</v>
      </c>
      <c r="H625" t="s">
        <v>32</v>
      </c>
      <c r="I625">
        <v>412.97751360000001</v>
      </c>
      <c r="J625" t="s">
        <v>33</v>
      </c>
      <c r="K625" t="s">
        <v>880</v>
      </c>
      <c r="L625" t="s">
        <v>21</v>
      </c>
      <c r="M625" t="str">
        <f t="shared" si="27"/>
        <v>OK</v>
      </c>
      <c r="N625" t="str">
        <f t="shared" si="28"/>
        <v>1960s</v>
      </c>
      <c r="O625" t="str">
        <f t="shared" si="29"/>
        <v>N/A</v>
      </c>
      <c r="P625" t="str">
        <f>VLOOKUP(E625,calculated_fields!$F$4:$G$6,2,FALSE)</f>
        <v>Economy</v>
      </c>
    </row>
    <row r="626" spans="1:16">
      <c r="A626" t="s">
        <v>883</v>
      </c>
      <c r="B626" t="s">
        <v>867</v>
      </c>
      <c r="C626" t="s">
        <v>130</v>
      </c>
      <c r="D626">
        <v>1972</v>
      </c>
      <c r="E626" t="s">
        <v>15</v>
      </c>
      <c r="F626" t="s">
        <v>16</v>
      </c>
      <c r="G626" t="s">
        <v>17</v>
      </c>
      <c r="H626" t="s">
        <v>18</v>
      </c>
      <c r="I626">
        <v>44.057000000000002</v>
      </c>
      <c r="J626" t="s">
        <v>19</v>
      </c>
      <c r="K626" t="s">
        <v>884</v>
      </c>
      <c r="L626" t="s">
        <v>21</v>
      </c>
      <c r="M626" t="str">
        <f t="shared" si="27"/>
        <v>OK</v>
      </c>
      <c r="N626" t="str">
        <f t="shared" si="28"/>
        <v>1970s</v>
      </c>
      <c r="O626" t="str">
        <f t="shared" si="29"/>
        <v>Low</v>
      </c>
      <c r="P626" t="str">
        <f>VLOOKUP(E626,calculated_fields!$F$4:$G$6,2,FALSE)</f>
        <v>Health</v>
      </c>
    </row>
    <row r="627" spans="1:16">
      <c r="A627" t="s">
        <v>885</v>
      </c>
      <c r="B627" t="s">
        <v>867</v>
      </c>
      <c r="C627" t="s">
        <v>130</v>
      </c>
      <c r="D627">
        <v>1972</v>
      </c>
      <c r="E627" t="s">
        <v>23</v>
      </c>
      <c r="F627" t="s">
        <v>24</v>
      </c>
      <c r="G627" t="s">
        <v>25</v>
      </c>
      <c r="H627" t="s">
        <v>26</v>
      </c>
      <c r="I627">
        <v>3529983</v>
      </c>
      <c r="J627" t="s">
        <v>27</v>
      </c>
      <c r="K627" t="s">
        <v>884</v>
      </c>
      <c r="L627" t="s">
        <v>21</v>
      </c>
      <c r="M627" t="str">
        <f t="shared" si="27"/>
        <v>OK</v>
      </c>
      <c r="N627" t="str">
        <f t="shared" si="28"/>
        <v>1970s</v>
      </c>
      <c r="O627" t="str">
        <f t="shared" si="29"/>
        <v>N/A</v>
      </c>
      <c r="P627" t="str">
        <f>VLOOKUP(E627,calculated_fields!$F$4:$G$6,2,FALSE)</f>
        <v>Demographics</v>
      </c>
    </row>
    <row r="628" spans="1:16">
      <c r="A628" t="s">
        <v>886</v>
      </c>
      <c r="B628" t="s">
        <v>867</v>
      </c>
      <c r="C628" t="s">
        <v>130</v>
      </c>
      <c r="D628">
        <v>1972</v>
      </c>
      <c r="E628" t="s">
        <v>29</v>
      </c>
      <c r="F628" t="s">
        <v>30</v>
      </c>
      <c r="G628" t="s">
        <v>31</v>
      </c>
      <c r="H628" t="s">
        <v>32</v>
      </c>
      <c r="I628">
        <v>464.0995039</v>
      </c>
      <c r="J628" t="s">
        <v>33</v>
      </c>
      <c r="K628" t="s">
        <v>884</v>
      </c>
      <c r="L628" t="s">
        <v>21</v>
      </c>
      <c r="M628" t="str">
        <f t="shared" si="27"/>
        <v>OK</v>
      </c>
      <c r="N628" t="str">
        <f t="shared" si="28"/>
        <v>1970s</v>
      </c>
      <c r="O628" t="str">
        <f t="shared" si="29"/>
        <v>N/A</v>
      </c>
      <c r="P628" t="str">
        <f>VLOOKUP(E628,calculated_fields!$F$4:$G$6,2,FALSE)</f>
        <v>Economy</v>
      </c>
    </row>
    <row r="629" spans="1:16">
      <c r="A629" t="s">
        <v>887</v>
      </c>
      <c r="B629" t="s">
        <v>867</v>
      </c>
      <c r="C629" t="s">
        <v>130</v>
      </c>
      <c r="D629">
        <v>1977</v>
      </c>
      <c r="E629" t="s">
        <v>15</v>
      </c>
      <c r="F629" t="s">
        <v>16</v>
      </c>
      <c r="G629" t="s">
        <v>17</v>
      </c>
      <c r="H629" t="s">
        <v>18</v>
      </c>
      <c r="I629">
        <v>45.91</v>
      </c>
      <c r="J629" t="s">
        <v>19</v>
      </c>
      <c r="K629" t="s">
        <v>888</v>
      </c>
      <c r="L629" t="s">
        <v>21</v>
      </c>
      <c r="M629" t="str">
        <f t="shared" si="27"/>
        <v>OK</v>
      </c>
      <c r="N629" t="str">
        <f t="shared" si="28"/>
        <v>1970s</v>
      </c>
      <c r="O629" t="str">
        <f t="shared" si="29"/>
        <v>Low</v>
      </c>
      <c r="P629" t="str">
        <f>VLOOKUP(E629,calculated_fields!$F$4:$G$6,2,FALSE)</f>
        <v>Health</v>
      </c>
    </row>
    <row r="630" spans="1:16">
      <c r="A630" t="s">
        <v>889</v>
      </c>
      <c r="B630" t="s">
        <v>867</v>
      </c>
      <c r="C630" t="s">
        <v>130</v>
      </c>
      <c r="D630">
        <v>1977</v>
      </c>
      <c r="E630" t="s">
        <v>23</v>
      </c>
      <c r="F630" t="s">
        <v>24</v>
      </c>
      <c r="G630" t="s">
        <v>25</v>
      </c>
      <c r="H630" t="s">
        <v>26</v>
      </c>
      <c r="I630">
        <v>3834415</v>
      </c>
      <c r="J630" t="s">
        <v>27</v>
      </c>
      <c r="K630" t="s">
        <v>888</v>
      </c>
      <c r="L630" t="s">
        <v>21</v>
      </c>
      <c r="M630" t="str">
        <f t="shared" si="27"/>
        <v>OK</v>
      </c>
      <c r="N630" t="str">
        <f t="shared" si="28"/>
        <v>1970s</v>
      </c>
      <c r="O630" t="str">
        <f t="shared" si="29"/>
        <v>N/A</v>
      </c>
      <c r="P630" t="str">
        <f>VLOOKUP(E630,calculated_fields!$F$4:$G$6,2,FALSE)</f>
        <v>Demographics</v>
      </c>
    </row>
    <row r="631" spans="1:16">
      <c r="A631" t="s">
        <v>890</v>
      </c>
      <c r="B631" t="s">
        <v>867</v>
      </c>
      <c r="C631" t="s">
        <v>130</v>
      </c>
      <c r="D631">
        <v>1977</v>
      </c>
      <c r="E631" t="s">
        <v>29</v>
      </c>
      <c r="F631" t="s">
        <v>30</v>
      </c>
      <c r="G631" t="s">
        <v>31</v>
      </c>
      <c r="H631" t="s">
        <v>32</v>
      </c>
      <c r="I631">
        <v>556.10326510000004</v>
      </c>
      <c r="J631" t="s">
        <v>33</v>
      </c>
      <c r="K631" t="s">
        <v>888</v>
      </c>
      <c r="L631" t="s">
        <v>21</v>
      </c>
      <c r="M631" t="str">
        <f t="shared" si="27"/>
        <v>OK</v>
      </c>
      <c r="N631" t="str">
        <f t="shared" si="28"/>
        <v>1970s</v>
      </c>
      <c r="O631" t="str">
        <f t="shared" si="29"/>
        <v>N/A</v>
      </c>
      <c r="P631" t="str">
        <f>VLOOKUP(E631,calculated_fields!$F$4:$G$6,2,FALSE)</f>
        <v>Economy</v>
      </c>
    </row>
    <row r="632" spans="1:16">
      <c r="A632" t="s">
        <v>891</v>
      </c>
      <c r="B632" t="s">
        <v>867</v>
      </c>
      <c r="C632" t="s">
        <v>130</v>
      </c>
      <c r="D632">
        <v>1982</v>
      </c>
      <c r="E632" t="s">
        <v>15</v>
      </c>
      <c r="F632" t="s">
        <v>16</v>
      </c>
      <c r="G632" t="s">
        <v>17</v>
      </c>
      <c r="H632" t="s">
        <v>18</v>
      </c>
      <c r="I632">
        <v>47.470999999999997</v>
      </c>
      <c r="J632" t="s">
        <v>19</v>
      </c>
      <c r="K632" t="s">
        <v>892</v>
      </c>
      <c r="L632" t="s">
        <v>21</v>
      </c>
      <c r="M632" t="str">
        <f t="shared" si="27"/>
        <v>OK</v>
      </c>
      <c r="N632" t="str">
        <f t="shared" si="28"/>
        <v>1980s</v>
      </c>
      <c r="O632" t="str">
        <f t="shared" si="29"/>
        <v>Low</v>
      </c>
      <c r="P632" t="str">
        <f>VLOOKUP(E632,calculated_fields!$F$4:$G$6,2,FALSE)</f>
        <v>Health</v>
      </c>
    </row>
    <row r="633" spans="1:16">
      <c r="A633" t="s">
        <v>893</v>
      </c>
      <c r="B633" t="s">
        <v>867</v>
      </c>
      <c r="C633" t="s">
        <v>130</v>
      </c>
      <c r="D633">
        <v>1982</v>
      </c>
      <c r="E633" t="s">
        <v>23</v>
      </c>
      <c r="F633" t="s">
        <v>24</v>
      </c>
      <c r="G633" t="s">
        <v>25</v>
      </c>
      <c r="H633" t="s">
        <v>26</v>
      </c>
      <c r="I633">
        <v>4580410</v>
      </c>
      <c r="J633" t="s">
        <v>27</v>
      </c>
      <c r="K633" t="s">
        <v>892</v>
      </c>
      <c r="L633" t="s">
        <v>21</v>
      </c>
      <c r="M633" t="str">
        <f t="shared" si="27"/>
        <v>OK</v>
      </c>
      <c r="N633" t="str">
        <f t="shared" si="28"/>
        <v>1980s</v>
      </c>
      <c r="O633" t="str">
        <f t="shared" si="29"/>
        <v>N/A</v>
      </c>
      <c r="P633" t="str">
        <f>VLOOKUP(E633,calculated_fields!$F$4:$G$6,2,FALSE)</f>
        <v>Demographics</v>
      </c>
    </row>
    <row r="634" spans="1:16">
      <c r="A634" t="s">
        <v>894</v>
      </c>
      <c r="B634" t="s">
        <v>867</v>
      </c>
      <c r="C634" t="s">
        <v>130</v>
      </c>
      <c r="D634">
        <v>1982</v>
      </c>
      <c r="E634" t="s">
        <v>29</v>
      </c>
      <c r="F634" t="s">
        <v>30</v>
      </c>
      <c r="G634" t="s">
        <v>31</v>
      </c>
      <c r="H634" t="s">
        <v>32</v>
      </c>
      <c r="I634">
        <v>559.60323099999903</v>
      </c>
      <c r="J634" t="s">
        <v>33</v>
      </c>
      <c r="K634" t="s">
        <v>892</v>
      </c>
      <c r="L634" t="s">
        <v>21</v>
      </c>
      <c r="M634" t="str">
        <f t="shared" si="27"/>
        <v>OK</v>
      </c>
      <c r="N634" t="str">
        <f t="shared" si="28"/>
        <v>1980s</v>
      </c>
      <c r="O634" t="str">
        <f t="shared" si="29"/>
        <v>N/A</v>
      </c>
      <c r="P634" t="str">
        <f>VLOOKUP(E634,calculated_fields!$F$4:$G$6,2,FALSE)</f>
        <v>Economy</v>
      </c>
    </row>
    <row r="635" spans="1:16">
      <c r="A635" t="s">
        <v>895</v>
      </c>
      <c r="B635" t="s">
        <v>867</v>
      </c>
      <c r="C635" t="s">
        <v>130</v>
      </c>
      <c r="D635">
        <v>1987</v>
      </c>
      <c r="E635" t="s">
        <v>15</v>
      </c>
      <c r="F635" t="s">
        <v>16</v>
      </c>
      <c r="G635" t="s">
        <v>17</v>
      </c>
      <c r="H635" t="s">
        <v>18</v>
      </c>
      <c r="I635">
        <v>48.210999999999999</v>
      </c>
      <c r="J635" t="s">
        <v>19</v>
      </c>
      <c r="K635" t="s">
        <v>896</v>
      </c>
      <c r="L635" t="s">
        <v>21</v>
      </c>
      <c r="M635" t="str">
        <f t="shared" si="27"/>
        <v>OK</v>
      </c>
      <c r="N635" t="str">
        <f t="shared" si="28"/>
        <v>1980s</v>
      </c>
      <c r="O635" t="str">
        <f t="shared" si="29"/>
        <v>Low</v>
      </c>
      <c r="P635" t="str">
        <f>VLOOKUP(E635,calculated_fields!$F$4:$G$6,2,FALSE)</f>
        <v>Health</v>
      </c>
    </row>
    <row r="636" spans="1:16">
      <c r="A636" t="s">
        <v>897</v>
      </c>
      <c r="B636" t="s">
        <v>867</v>
      </c>
      <c r="C636" t="s">
        <v>130</v>
      </c>
      <c r="D636">
        <v>1987</v>
      </c>
      <c r="E636" t="s">
        <v>23</v>
      </c>
      <c r="F636" t="s">
        <v>24</v>
      </c>
      <c r="G636" t="s">
        <v>25</v>
      </c>
      <c r="H636" t="s">
        <v>26</v>
      </c>
      <c r="I636">
        <v>5126023</v>
      </c>
      <c r="J636" t="s">
        <v>27</v>
      </c>
      <c r="K636" t="s">
        <v>896</v>
      </c>
      <c r="L636" t="s">
        <v>21</v>
      </c>
      <c r="M636" t="str">
        <f t="shared" si="27"/>
        <v>OK</v>
      </c>
      <c r="N636" t="str">
        <f t="shared" si="28"/>
        <v>1980s</v>
      </c>
      <c r="O636" t="str">
        <f t="shared" si="29"/>
        <v>N/A</v>
      </c>
      <c r="P636" t="str">
        <f>VLOOKUP(E636,calculated_fields!$F$4:$G$6,2,FALSE)</f>
        <v>Demographics</v>
      </c>
    </row>
    <row r="637" spans="1:16">
      <c r="A637" t="s">
        <v>898</v>
      </c>
      <c r="B637" t="s">
        <v>867</v>
      </c>
      <c r="C637" t="s">
        <v>130</v>
      </c>
      <c r="D637">
        <v>1987</v>
      </c>
      <c r="E637" t="s">
        <v>29</v>
      </c>
      <c r="F637" t="s">
        <v>30</v>
      </c>
      <c r="G637" t="s">
        <v>31</v>
      </c>
      <c r="H637" t="s">
        <v>32</v>
      </c>
      <c r="I637">
        <v>621.81881889999897</v>
      </c>
      <c r="J637" t="s">
        <v>33</v>
      </c>
      <c r="K637" t="s">
        <v>896</v>
      </c>
      <c r="L637" t="s">
        <v>21</v>
      </c>
      <c r="M637" t="str">
        <f t="shared" si="27"/>
        <v>OK</v>
      </c>
      <c r="N637" t="str">
        <f t="shared" si="28"/>
        <v>1980s</v>
      </c>
      <c r="O637" t="str">
        <f t="shared" si="29"/>
        <v>N/A</v>
      </c>
      <c r="P637" t="str">
        <f>VLOOKUP(E637,calculated_fields!$F$4:$G$6,2,FALSE)</f>
        <v>Economy</v>
      </c>
    </row>
    <row r="638" spans="1:16">
      <c r="A638" t="s">
        <v>899</v>
      </c>
      <c r="B638" t="s">
        <v>867</v>
      </c>
      <c r="C638" t="s">
        <v>130</v>
      </c>
      <c r="D638">
        <v>1992</v>
      </c>
      <c r="E638" t="s">
        <v>15</v>
      </c>
      <c r="F638" t="s">
        <v>16</v>
      </c>
      <c r="G638" t="s">
        <v>17</v>
      </c>
      <c r="H638" t="s">
        <v>18</v>
      </c>
      <c r="I638">
        <v>44.735999999999997</v>
      </c>
      <c r="J638" t="s">
        <v>19</v>
      </c>
      <c r="K638" t="s">
        <v>900</v>
      </c>
      <c r="L638" t="s">
        <v>21</v>
      </c>
      <c r="M638" t="str">
        <f t="shared" si="27"/>
        <v>OK</v>
      </c>
      <c r="N638" t="str">
        <f t="shared" si="28"/>
        <v>1990s</v>
      </c>
      <c r="O638" t="str">
        <f t="shared" si="29"/>
        <v>Low</v>
      </c>
      <c r="P638" t="str">
        <f>VLOOKUP(E638,calculated_fields!$F$4:$G$6,2,FALSE)</f>
        <v>Health</v>
      </c>
    </row>
    <row r="639" spans="1:16">
      <c r="A639" t="s">
        <v>901</v>
      </c>
      <c r="B639" t="s">
        <v>867</v>
      </c>
      <c r="C639" t="s">
        <v>130</v>
      </c>
      <c r="D639">
        <v>1992</v>
      </c>
      <c r="E639" t="s">
        <v>23</v>
      </c>
      <c r="F639" t="s">
        <v>24</v>
      </c>
      <c r="G639" t="s">
        <v>25</v>
      </c>
      <c r="H639" t="s">
        <v>26</v>
      </c>
      <c r="I639">
        <v>5809236</v>
      </c>
      <c r="J639" t="s">
        <v>27</v>
      </c>
      <c r="K639" t="s">
        <v>900</v>
      </c>
      <c r="L639" t="s">
        <v>21</v>
      </c>
      <c r="M639" t="str">
        <f t="shared" si="27"/>
        <v>OK</v>
      </c>
      <c r="N639" t="str">
        <f t="shared" si="28"/>
        <v>1990s</v>
      </c>
      <c r="O639" t="str">
        <f t="shared" si="29"/>
        <v>N/A</v>
      </c>
      <c r="P639" t="str">
        <f>VLOOKUP(E639,calculated_fields!$F$4:$G$6,2,FALSE)</f>
        <v>Demographics</v>
      </c>
    </row>
    <row r="640" spans="1:16">
      <c r="A640" t="s">
        <v>902</v>
      </c>
      <c r="B640" t="s">
        <v>867</v>
      </c>
      <c r="C640" t="s">
        <v>130</v>
      </c>
      <c r="D640">
        <v>1992</v>
      </c>
      <c r="E640" t="s">
        <v>29</v>
      </c>
      <c r="F640" t="s">
        <v>30</v>
      </c>
      <c r="G640" t="s">
        <v>31</v>
      </c>
      <c r="H640" t="s">
        <v>32</v>
      </c>
      <c r="I640">
        <v>631.69987779999997</v>
      </c>
      <c r="J640" t="s">
        <v>33</v>
      </c>
      <c r="K640" t="s">
        <v>900</v>
      </c>
      <c r="L640" t="s">
        <v>21</v>
      </c>
      <c r="M640" t="str">
        <f t="shared" si="27"/>
        <v>OK</v>
      </c>
      <c r="N640" t="str">
        <f t="shared" si="28"/>
        <v>1990s</v>
      </c>
      <c r="O640" t="str">
        <f t="shared" si="29"/>
        <v>N/A</v>
      </c>
      <c r="P640" t="str">
        <f>VLOOKUP(E640,calculated_fields!$F$4:$G$6,2,FALSE)</f>
        <v>Economy</v>
      </c>
    </row>
    <row r="641" spans="1:16">
      <c r="A641" t="s">
        <v>903</v>
      </c>
      <c r="B641" t="s">
        <v>867</v>
      </c>
      <c r="C641" t="s">
        <v>130</v>
      </c>
      <c r="D641">
        <v>1997</v>
      </c>
      <c r="E641" t="s">
        <v>15</v>
      </c>
      <c r="F641" t="s">
        <v>16</v>
      </c>
      <c r="G641" t="s">
        <v>17</v>
      </c>
      <c r="H641" t="s">
        <v>18</v>
      </c>
      <c r="I641">
        <v>45.326000000000001</v>
      </c>
      <c r="J641" t="s">
        <v>19</v>
      </c>
      <c r="K641" t="s">
        <v>904</v>
      </c>
      <c r="L641" t="s">
        <v>21</v>
      </c>
      <c r="M641" t="str">
        <f t="shared" si="27"/>
        <v>OK</v>
      </c>
      <c r="N641" t="str">
        <f t="shared" si="28"/>
        <v>1990s</v>
      </c>
      <c r="O641" t="str">
        <f t="shared" si="29"/>
        <v>Low</v>
      </c>
      <c r="P641" t="str">
        <f>VLOOKUP(E641,calculated_fields!$F$4:$G$6,2,FALSE)</f>
        <v>Health</v>
      </c>
    </row>
    <row r="642" spans="1:16">
      <c r="A642" t="s">
        <v>905</v>
      </c>
      <c r="B642" t="s">
        <v>867</v>
      </c>
      <c r="C642" t="s">
        <v>130</v>
      </c>
      <c r="D642">
        <v>1997</v>
      </c>
      <c r="E642" t="s">
        <v>23</v>
      </c>
      <c r="F642" t="s">
        <v>24</v>
      </c>
      <c r="G642" t="s">
        <v>25</v>
      </c>
      <c r="H642" t="s">
        <v>26</v>
      </c>
      <c r="I642">
        <v>6121610</v>
      </c>
      <c r="J642" t="s">
        <v>27</v>
      </c>
      <c r="K642" t="s">
        <v>904</v>
      </c>
      <c r="L642" t="s">
        <v>21</v>
      </c>
      <c r="M642" t="str">
        <f t="shared" ref="M642:M705" si="30">IF(AND(ISNUMBER(I642),I642&gt;=0),"OK","Review")</f>
        <v>OK</v>
      </c>
      <c r="N642" t="str">
        <f t="shared" ref="N642:N705" si="31">FLOOR(D642,10)&amp;"s"</f>
        <v>1990s</v>
      </c>
      <c r="O642" t="str">
        <f t="shared" ref="O642:O705" si="32">IF(E642="LIFE_EXP",IF(I642&gt;=70,"High",IF(I642&gt;=55,"Medium","Low")),"N/A")</f>
        <v>N/A</v>
      </c>
      <c r="P642" t="str">
        <f>VLOOKUP(E642,calculated_fields!$F$4:$G$6,2,FALSE)</f>
        <v>Demographics</v>
      </c>
    </row>
    <row r="643" spans="1:16">
      <c r="A643" t="s">
        <v>906</v>
      </c>
      <c r="B643" t="s">
        <v>867</v>
      </c>
      <c r="C643" t="s">
        <v>130</v>
      </c>
      <c r="D643">
        <v>1997</v>
      </c>
      <c r="E643" t="s">
        <v>29</v>
      </c>
      <c r="F643" t="s">
        <v>30</v>
      </c>
      <c r="G643" t="s">
        <v>31</v>
      </c>
      <c r="H643" t="s">
        <v>32</v>
      </c>
      <c r="I643">
        <v>463.11514779999999</v>
      </c>
      <c r="J643" t="s">
        <v>33</v>
      </c>
      <c r="K643" t="s">
        <v>904</v>
      </c>
      <c r="L643" t="s">
        <v>21</v>
      </c>
      <c r="M643" t="str">
        <f t="shared" si="30"/>
        <v>OK</v>
      </c>
      <c r="N643" t="str">
        <f t="shared" si="31"/>
        <v>1990s</v>
      </c>
      <c r="O643" t="str">
        <f t="shared" si="32"/>
        <v>N/A</v>
      </c>
      <c r="P643" t="str">
        <f>VLOOKUP(E643,calculated_fields!$F$4:$G$6,2,FALSE)</f>
        <v>Economy</v>
      </c>
    </row>
    <row r="644" spans="1:16">
      <c r="A644" t="s">
        <v>907</v>
      </c>
      <c r="B644" t="s">
        <v>867</v>
      </c>
      <c r="C644" t="s">
        <v>130</v>
      </c>
      <c r="D644">
        <v>2002</v>
      </c>
      <c r="E644" t="s">
        <v>15</v>
      </c>
      <c r="F644" t="s">
        <v>16</v>
      </c>
      <c r="G644" t="s">
        <v>17</v>
      </c>
      <c r="H644" t="s">
        <v>18</v>
      </c>
      <c r="I644">
        <v>47.36</v>
      </c>
      <c r="J644" t="s">
        <v>19</v>
      </c>
      <c r="K644" t="s">
        <v>908</v>
      </c>
      <c r="L644" t="s">
        <v>21</v>
      </c>
      <c r="M644" t="str">
        <f t="shared" si="30"/>
        <v>OK</v>
      </c>
      <c r="N644" t="str">
        <f t="shared" si="31"/>
        <v>2000s</v>
      </c>
      <c r="O644" t="str">
        <f t="shared" si="32"/>
        <v>Low</v>
      </c>
      <c r="P644" t="str">
        <f>VLOOKUP(E644,calculated_fields!$F$4:$G$6,2,FALSE)</f>
        <v>Health</v>
      </c>
    </row>
    <row r="645" spans="1:16">
      <c r="A645" t="s">
        <v>909</v>
      </c>
      <c r="B645" t="s">
        <v>867</v>
      </c>
      <c r="C645" t="s">
        <v>130</v>
      </c>
      <c r="D645">
        <v>2002</v>
      </c>
      <c r="E645" t="s">
        <v>23</v>
      </c>
      <c r="F645" t="s">
        <v>24</v>
      </c>
      <c r="G645" t="s">
        <v>25</v>
      </c>
      <c r="H645" t="s">
        <v>26</v>
      </c>
      <c r="I645">
        <v>7021078</v>
      </c>
      <c r="J645" t="s">
        <v>27</v>
      </c>
      <c r="K645" t="s">
        <v>908</v>
      </c>
      <c r="L645" t="s">
        <v>21</v>
      </c>
      <c r="M645" t="str">
        <f t="shared" si="30"/>
        <v>OK</v>
      </c>
      <c r="N645" t="str">
        <f t="shared" si="31"/>
        <v>2000s</v>
      </c>
      <c r="O645" t="str">
        <f t="shared" si="32"/>
        <v>N/A</v>
      </c>
      <c r="P645" t="str">
        <f>VLOOKUP(E645,calculated_fields!$F$4:$G$6,2,FALSE)</f>
        <v>Demographics</v>
      </c>
    </row>
    <row r="646" spans="1:16">
      <c r="A646" t="s">
        <v>910</v>
      </c>
      <c r="B646" t="s">
        <v>867</v>
      </c>
      <c r="C646" t="s">
        <v>130</v>
      </c>
      <c r="D646">
        <v>2002</v>
      </c>
      <c r="E646" t="s">
        <v>29</v>
      </c>
      <c r="F646" t="s">
        <v>30</v>
      </c>
      <c r="G646" t="s">
        <v>31</v>
      </c>
      <c r="H646" t="s">
        <v>32</v>
      </c>
      <c r="I646">
        <v>446.4035126</v>
      </c>
      <c r="J646" t="s">
        <v>33</v>
      </c>
      <c r="K646" t="s">
        <v>908</v>
      </c>
      <c r="L646" t="s">
        <v>21</v>
      </c>
      <c r="M646" t="str">
        <f t="shared" si="30"/>
        <v>OK</v>
      </c>
      <c r="N646" t="str">
        <f t="shared" si="31"/>
        <v>2000s</v>
      </c>
      <c r="O646" t="str">
        <f t="shared" si="32"/>
        <v>N/A</v>
      </c>
      <c r="P646" t="str">
        <f>VLOOKUP(E646,calculated_fields!$F$4:$G$6,2,FALSE)</f>
        <v>Economy</v>
      </c>
    </row>
    <row r="647" spans="1:16">
      <c r="A647" t="s">
        <v>911</v>
      </c>
      <c r="B647" t="s">
        <v>867</v>
      </c>
      <c r="C647" t="s">
        <v>130</v>
      </c>
      <c r="D647">
        <v>2007</v>
      </c>
      <c r="E647" t="s">
        <v>15</v>
      </c>
      <c r="F647" t="s">
        <v>16</v>
      </c>
      <c r="G647" t="s">
        <v>17</v>
      </c>
      <c r="H647" t="s">
        <v>18</v>
      </c>
      <c r="I647">
        <v>49.58</v>
      </c>
      <c r="J647" t="s">
        <v>19</v>
      </c>
      <c r="K647" t="s">
        <v>912</v>
      </c>
      <c r="L647" t="s">
        <v>21</v>
      </c>
      <c r="M647" t="str">
        <f t="shared" si="30"/>
        <v>OK</v>
      </c>
      <c r="N647" t="str">
        <f t="shared" si="31"/>
        <v>2000s</v>
      </c>
      <c r="O647" t="str">
        <f t="shared" si="32"/>
        <v>Low</v>
      </c>
      <c r="P647" t="str">
        <f>VLOOKUP(E647,calculated_fields!$F$4:$G$6,2,FALSE)</f>
        <v>Health</v>
      </c>
    </row>
    <row r="648" spans="1:16">
      <c r="A648" t="s">
        <v>913</v>
      </c>
      <c r="B648" t="s">
        <v>867</v>
      </c>
      <c r="C648" t="s">
        <v>130</v>
      </c>
      <c r="D648">
        <v>2007</v>
      </c>
      <c r="E648" t="s">
        <v>23</v>
      </c>
      <c r="F648" t="s">
        <v>24</v>
      </c>
      <c r="G648" t="s">
        <v>25</v>
      </c>
      <c r="H648" t="s">
        <v>26</v>
      </c>
      <c r="I648">
        <v>8390505</v>
      </c>
      <c r="J648" t="s">
        <v>27</v>
      </c>
      <c r="K648" t="s">
        <v>912</v>
      </c>
      <c r="L648" t="s">
        <v>21</v>
      </c>
      <c r="M648" t="str">
        <f t="shared" si="30"/>
        <v>OK</v>
      </c>
      <c r="N648" t="str">
        <f t="shared" si="31"/>
        <v>2000s</v>
      </c>
      <c r="O648" t="str">
        <f t="shared" si="32"/>
        <v>N/A</v>
      </c>
      <c r="P648" t="str">
        <f>VLOOKUP(E648,calculated_fields!$F$4:$G$6,2,FALSE)</f>
        <v>Demographics</v>
      </c>
    </row>
    <row r="649" spans="1:16">
      <c r="A649" t="s">
        <v>914</v>
      </c>
      <c r="B649" t="s">
        <v>867</v>
      </c>
      <c r="C649" t="s">
        <v>130</v>
      </c>
      <c r="D649">
        <v>2007</v>
      </c>
      <c r="E649" t="s">
        <v>29</v>
      </c>
      <c r="F649" t="s">
        <v>30</v>
      </c>
      <c r="G649" t="s">
        <v>31</v>
      </c>
      <c r="H649" t="s">
        <v>32</v>
      </c>
      <c r="I649">
        <v>430.07069159999998</v>
      </c>
      <c r="J649" t="s">
        <v>33</v>
      </c>
      <c r="K649" t="s">
        <v>912</v>
      </c>
      <c r="L649" t="s">
        <v>21</v>
      </c>
      <c r="M649" t="str">
        <f t="shared" si="30"/>
        <v>OK</v>
      </c>
      <c r="N649" t="str">
        <f t="shared" si="31"/>
        <v>2000s</v>
      </c>
      <c r="O649" t="str">
        <f t="shared" si="32"/>
        <v>N/A</v>
      </c>
      <c r="P649" t="str">
        <f>VLOOKUP(E649,calculated_fields!$F$4:$G$6,2,FALSE)</f>
        <v>Economy</v>
      </c>
    </row>
    <row r="650" spans="1:16">
      <c r="A650" t="s">
        <v>915</v>
      </c>
      <c r="B650" t="s">
        <v>916</v>
      </c>
      <c r="C650" t="s">
        <v>14</v>
      </c>
      <c r="D650">
        <v>1952</v>
      </c>
      <c r="E650" t="s">
        <v>15</v>
      </c>
      <c r="F650" t="s">
        <v>16</v>
      </c>
      <c r="G650" t="s">
        <v>17</v>
      </c>
      <c r="H650" t="s">
        <v>18</v>
      </c>
      <c r="I650">
        <v>39.417000000000002</v>
      </c>
      <c r="J650" t="s">
        <v>19</v>
      </c>
      <c r="K650" t="s">
        <v>917</v>
      </c>
      <c r="L650" t="s">
        <v>21</v>
      </c>
      <c r="M650" t="str">
        <f t="shared" si="30"/>
        <v>OK</v>
      </c>
      <c r="N650" t="str">
        <f t="shared" si="31"/>
        <v>1950s</v>
      </c>
      <c r="O650" t="str">
        <f t="shared" si="32"/>
        <v>Low</v>
      </c>
      <c r="P650" t="str">
        <f>VLOOKUP(E650,calculated_fields!$F$4:$G$6,2,FALSE)</f>
        <v>Health</v>
      </c>
    </row>
    <row r="651" spans="1:16">
      <c r="A651" t="s">
        <v>918</v>
      </c>
      <c r="B651" t="s">
        <v>916</v>
      </c>
      <c r="C651" t="s">
        <v>14</v>
      </c>
      <c r="D651">
        <v>1952</v>
      </c>
      <c r="E651" t="s">
        <v>23</v>
      </c>
      <c r="F651" t="s">
        <v>24</v>
      </c>
      <c r="G651" t="s">
        <v>25</v>
      </c>
      <c r="H651" t="s">
        <v>26</v>
      </c>
      <c r="I651">
        <v>4693836</v>
      </c>
      <c r="J651" t="s">
        <v>27</v>
      </c>
      <c r="K651" t="s">
        <v>917</v>
      </c>
      <c r="L651" t="s">
        <v>21</v>
      </c>
      <c r="M651" t="str">
        <f t="shared" si="30"/>
        <v>OK</v>
      </c>
      <c r="N651" t="str">
        <f t="shared" si="31"/>
        <v>1950s</v>
      </c>
      <c r="O651" t="str">
        <f t="shared" si="32"/>
        <v>N/A</v>
      </c>
      <c r="P651" t="str">
        <f>VLOOKUP(E651,calculated_fields!$F$4:$G$6,2,FALSE)</f>
        <v>Demographics</v>
      </c>
    </row>
    <row r="652" spans="1:16">
      <c r="A652" t="s">
        <v>919</v>
      </c>
      <c r="B652" t="s">
        <v>916</v>
      </c>
      <c r="C652" t="s">
        <v>14</v>
      </c>
      <c r="D652">
        <v>1952</v>
      </c>
      <c r="E652" t="s">
        <v>29</v>
      </c>
      <c r="F652" t="s">
        <v>30</v>
      </c>
      <c r="G652" t="s">
        <v>31</v>
      </c>
      <c r="H652" t="s">
        <v>32</v>
      </c>
      <c r="I652">
        <v>368.46928559999998</v>
      </c>
      <c r="J652" t="s">
        <v>33</v>
      </c>
      <c r="K652" t="s">
        <v>917</v>
      </c>
      <c r="L652" t="s">
        <v>21</v>
      </c>
      <c r="M652" t="str">
        <f t="shared" si="30"/>
        <v>OK</v>
      </c>
      <c r="N652" t="str">
        <f t="shared" si="31"/>
        <v>1950s</v>
      </c>
      <c r="O652" t="str">
        <f t="shared" si="32"/>
        <v>N/A</v>
      </c>
      <c r="P652" t="str">
        <f>VLOOKUP(E652,calculated_fields!$F$4:$G$6,2,FALSE)</f>
        <v>Economy</v>
      </c>
    </row>
    <row r="653" spans="1:16">
      <c r="A653" t="s">
        <v>920</v>
      </c>
      <c r="B653" t="s">
        <v>916</v>
      </c>
      <c r="C653" t="s">
        <v>14</v>
      </c>
      <c r="D653">
        <v>1957</v>
      </c>
      <c r="E653" t="s">
        <v>15</v>
      </c>
      <c r="F653" t="s">
        <v>16</v>
      </c>
      <c r="G653" t="s">
        <v>17</v>
      </c>
      <c r="H653" t="s">
        <v>18</v>
      </c>
      <c r="I653">
        <v>41.366</v>
      </c>
      <c r="J653" t="s">
        <v>19</v>
      </c>
      <c r="K653" t="s">
        <v>921</v>
      </c>
      <c r="L653" t="s">
        <v>21</v>
      </c>
      <c r="M653" t="str">
        <f t="shared" si="30"/>
        <v>OK</v>
      </c>
      <c r="N653" t="str">
        <f t="shared" si="31"/>
        <v>1950s</v>
      </c>
      <c r="O653" t="str">
        <f t="shared" si="32"/>
        <v>Low</v>
      </c>
      <c r="P653" t="str">
        <f>VLOOKUP(E653,calculated_fields!$F$4:$G$6,2,FALSE)</f>
        <v>Health</v>
      </c>
    </row>
    <row r="654" spans="1:16">
      <c r="A654" t="s">
        <v>922</v>
      </c>
      <c r="B654" t="s">
        <v>916</v>
      </c>
      <c r="C654" t="s">
        <v>14</v>
      </c>
      <c r="D654">
        <v>1957</v>
      </c>
      <c r="E654" t="s">
        <v>23</v>
      </c>
      <c r="F654" t="s">
        <v>24</v>
      </c>
      <c r="G654" t="s">
        <v>25</v>
      </c>
      <c r="H654" t="s">
        <v>26</v>
      </c>
      <c r="I654">
        <v>5322536</v>
      </c>
      <c r="J654" t="s">
        <v>27</v>
      </c>
      <c r="K654" t="s">
        <v>921</v>
      </c>
      <c r="L654" t="s">
        <v>21</v>
      </c>
      <c r="M654" t="str">
        <f t="shared" si="30"/>
        <v>OK</v>
      </c>
      <c r="N654" t="str">
        <f t="shared" si="31"/>
        <v>1950s</v>
      </c>
      <c r="O654" t="str">
        <f t="shared" si="32"/>
        <v>N/A</v>
      </c>
      <c r="P654" t="str">
        <f>VLOOKUP(E654,calculated_fields!$F$4:$G$6,2,FALSE)</f>
        <v>Demographics</v>
      </c>
    </row>
    <row r="655" spans="1:16">
      <c r="A655" t="s">
        <v>923</v>
      </c>
      <c r="B655" t="s">
        <v>916</v>
      </c>
      <c r="C655" t="s">
        <v>14</v>
      </c>
      <c r="D655">
        <v>1957</v>
      </c>
      <c r="E655" t="s">
        <v>29</v>
      </c>
      <c r="F655" t="s">
        <v>30</v>
      </c>
      <c r="G655" t="s">
        <v>31</v>
      </c>
      <c r="H655" t="s">
        <v>32</v>
      </c>
      <c r="I655">
        <v>434.03833639999999</v>
      </c>
      <c r="J655" t="s">
        <v>33</v>
      </c>
      <c r="K655" t="s">
        <v>921</v>
      </c>
      <c r="L655" t="s">
        <v>21</v>
      </c>
      <c r="M655" t="str">
        <f t="shared" si="30"/>
        <v>OK</v>
      </c>
      <c r="N655" t="str">
        <f t="shared" si="31"/>
        <v>1950s</v>
      </c>
      <c r="O655" t="str">
        <f t="shared" si="32"/>
        <v>N/A</v>
      </c>
      <c r="P655" t="str">
        <f>VLOOKUP(E655,calculated_fields!$F$4:$G$6,2,FALSE)</f>
        <v>Economy</v>
      </c>
    </row>
    <row r="656" spans="1:16">
      <c r="A656" t="s">
        <v>924</v>
      </c>
      <c r="B656" t="s">
        <v>916</v>
      </c>
      <c r="C656" t="s">
        <v>14</v>
      </c>
      <c r="D656">
        <v>1962</v>
      </c>
      <c r="E656" t="s">
        <v>15</v>
      </c>
      <c r="F656" t="s">
        <v>16</v>
      </c>
      <c r="G656" t="s">
        <v>17</v>
      </c>
      <c r="H656" t="s">
        <v>18</v>
      </c>
      <c r="I656">
        <v>43.414999999999999</v>
      </c>
      <c r="J656" t="s">
        <v>19</v>
      </c>
      <c r="K656" t="s">
        <v>925</v>
      </c>
      <c r="L656" t="s">
        <v>21</v>
      </c>
      <c r="M656" t="str">
        <f t="shared" si="30"/>
        <v>OK</v>
      </c>
      <c r="N656" t="str">
        <f t="shared" si="31"/>
        <v>1960s</v>
      </c>
      <c r="O656" t="str">
        <f t="shared" si="32"/>
        <v>Low</v>
      </c>
      <c r="P656" t="str">
        <f>VLOOKUP(E656,calculated_fields!$F$4:$G$6,2,FALSE)</f>
        <v>Health</v>
      </c>
    </row>
    <row r="657" spans="1:16">
      <c r="A657" t="s">
        <v>926</v>
      </c>
      <c r="B657" t="s">
        <v>916</v>
      </c>
      <c r="C657" t="s">
        <v>14</v>
      </c>
      <c r="D657">
        <v>1962</v>
      </c>
      <c r="E657" t="s">
        <v>23</v>
      </c>
      <c r="F657" t="s">
        <v>24</v>
      </c>
      <c r="G657" t="s">
        <v>25</v>
      </c>
      <c r="H657" t="s">
        <v>26</v>
      </c>
      <c r="I657">
        <v>6083619</v>
      </c>
      <c r="J657" t="s">
        <v>27</v>
      </c>
      <c r="K657" t="s">
        <v>925</v>
      </c>
      <c r="L657" t="s">
        <v>21</v>
      </c>
      <c r="M657" t="str">
        <f t="shared" si="30"/>
        <v>OK</v>
      </c>
      <c r="N657" t="str">
        <f t="shared" si="31"/>
        <v>1960s</v>
      </c>
      <c r="O657" t="str">
        <f t="shared" si="32"/>
        <v>N/A</v>
      </c>
      <c r="P657" t="str">
        <f>VLOOKUP(E657,calculated_fields!$F$4:$G$6,2,FALSE)</f>
        <v>Demographics</v>
      </c>
    </row>
    <row r="658" spans="1:16">
      <c r="A658" t="s">
        <v>927</v>
      </c>
      <c r="B658" t="s">
        <v>916</v>
      </c>
      <c r="C658" t="s">
        <v>14</v>
      </c>
      <c r="D658">
        <v>1962</v>
      </c>
      <c r="E658" t="s">
        <v>29</v>
      </c>
      <c r="F658" t="s">
        <v>30</v>
      </c>
      <c r="G658" t="s">
        <v>31</v>
      </c>
      <c r="H658" t="s">
        <v>32</v>
      </c>
      <c r="I658">
        <v>496.91364759999999</v>
      </c>
      <c r="J658" t="s">
        <v>33</v>
      </c>
      <c r="K658" t="s">
        <v>925</v>
      </c>
      <c r="L658" t="s">
        <v>21</v>
      </c>
      <c r="M658" t="str">
        <f t="shared" si="30"/>
        <v>OK</v>
      </c>
      <c r="N658" t="str">
        <f t="shared" si="31"/>
        <v>1960s</v>
      </c>
      <c r="O658" t="str">
        <f t="shared" si="32"/>
        <v>N/A</v>
      </c>
      <c r="P658" t="str">
        <f>VLOOKUP(E658,calculated_fields!$F$4:$G$6,2,FALSE)</f>
        <v>Economy</v>
      </c>
    </row>
    <row r="659" spans="1:16">
      <c r="A659" t="s">
        <v>928</v>
      </c>
      <c r="B659" t="s">
        <v>916</v>
      </c>
      <c r="C659" t="s">
        <v>14</v>
      </c>
      <c r="D659">
        <v>1967</v>
      </c>
      <c r="E659" t="s">
        <v>15</v>
      </c>
      <c r="F659" t="s">
        <v>16</v>
      </c>
      <c r="G659" t="s">
        <v>17</v>
      </c>
      <c r="H659" t="s">
        <v>18</v>
      </c>
      <c r="I659">
        <v>45.414999999999999</v>
      </c>
      <c r="J659" t="s">
        <v>19</v>
      </c>
      <c r="K659" t="s">
        <v>929</v>
      </c>
      <c r="L659" t="s">
        <v>21</v>
      </c>
      <c r="M659" t="str">
        <f t="shared" si="30"/>
        <v>OK</v>
      </c>
      <c r="N659" t="str">
        <f t="shared" si="31"/>
        <v>1960s</v>
      </c>
      <c r="O659" t="str">
        <f t="shared" si="32"/>
        <v>Low</v>
      </c>
      <c r="P659" t="str">
        <f>VLOOKUP(E659,calculated_fields!$F$4:$G$6,2,FALSE)</f>
        <v>Health</v>
      </c>
    </row>
    <row r="660" spans="1:16">
      <c r="A660" t="s">
        <v>930</v>
      </c>
      <c r="B660" t="s">
        <v>916</v>
      </c>
      <c r="C660" t="s">
        <v>14</v>
      </c>
      <c r="D660">
        <v>1967</v>
      </c>
      <c r="E660" t="s">
        <v>23</v>
      </c>
      <c r="F660" t="s">
        <v>24</v>
      </c>
      <c r="G660" t="s">
        <v>25</v>
      </c>
      <c r="H660" t="s">
        <v>26</v>
      </c>
      <c r="I660">
        <v>6960067</v>
      </c>
      <c r="J660" t="s">
        <v>27</v>
      </c>
      <c r="K660" t="s">
        <v>929</v>
      </c>
      <c r="L660" t="s">
        <v>21</v>
      </c>
      <c r="M660" t="str">
        <f t="shared" si="30"/>
        <v>OK</v>
      </c>
      <c r="N660" t="str">
        <f t="shared" si="31"/>
        <v>1960s</v>
      </c>
      <c r="O660" t="str">
        <f t="shared" si="32"/>
        <v>N/A</v>
      </c>
      <c r="P660" t="str">
        <f>VLOOKUP(E660,calculated_fields!$F$4:$G$6,2,FALSE)</f>
        <v>Demographics</v>
      </c>
    </row>
    <row r="661" spans="1:16">
      <c r="A661" t="s">
        <v>931</v>
      </c>
      <c r="B661" t="s">
        <v>916</v>
      </c>
      <c r="C661" t="s">
        <v>14</v>
      </c>
      <c r="D661">
        <v>1967</v>
      </c>
      <c r="E661" t="s">
        <v>29</v>
      </c>
      <c r="F661" t="s">
        <v>30</v>
      </c>
      <c r="G661" t="s">
        <v>31</v>
      </c>
      <c r="H661" t="s">
        <v>32</v>
      </c>
      <c r="I661">
        <v>523.43231419999995</v>
      </c>
      <c r="J661" t="s">
        <v>33</v>
      </c>
      <c r="K661" t="s">
        <v>929</v>
      </c>
      <c r="L661" t="s">
        <v>21</v>
      </c>
      <c r="M661" t="str">
        <f t="shared" si="30"/>
        <v>OK</v>
      </c>
      <c r="N661" t="str">
        <f t="shared" si="31"/>
        <v>1960s</v>
      </c>
      <c r="O661" t="str">
        <f t="shared" si="32"/>
        <v>N/A</v>
      </c>
      <c r="P661" t="str">
        <f>VLOOKUP(E661,calculated_fields!$F$4:$G$6,2,FALSE)</f>
        <v>Economy</v>
      </c>
    </row>
    <row r="662" spans="1:16">
      <c r="A662" t="s">
        <v>932</v>
      </c>
      <c r="B662" t="s">
        <v>916</v>
      </c>
      <c r="C662" t="s">
        <v>14</v>
      </c>
      <c r="D662">
        <v>1972</v>
      </c>
      <c r="E662" t="s">
        <v>15</v>
      </c>
      <c r="F662" t="s">
        <v>16</v>
      </c>
      <c r="G662" t="s">
        <v>17</v>
      </c>
      <c r="H662" t="s">
        <v>18</v>
      </c>
      <c r="I662">
        <v>40.317</v>
      </c>
      <c r="J662" t="s">
        <v>19</v>
      </c>
      <c r="K662" t="s">
        <v>933</v>
      </c>
      <c r="L662" t="s">
        <v>21</v>
      </c>
      <c r="M662" t="str">
        <f t="shared" si="30"/>
        <v>OK</v>
      </c>
      <c r="N662" t="str">
        <f t="shared" si="31"/>
        <v>1970s</v>
      </c>
      <c r="O662" t="str">
        <f t="shared" si="32"/>
        <v>Low</v>
      </c>
      <c r="P662" t="str">
        <f>VLOOKUP(E662,calculated_fields!$F$4:$G$6,2,FALSE)</f>
        <v>Health</v>
      </c>
    </row>
    <row r="663" spans="1:16">
      <c r="A663" t="s">
        <v>934</v>
      </c>
      <c r="B663" t="s">
        <v>916</v>
      </c>
      <c r="C663" t="s">
        <v>14</v>
      </c>
      <c r="D663">
        <v>1972</v>
      </c>
      <c r="E663" t="s">
        <v>23</v>
      </c>
      <c r="F663" t="s">
        <v>24</v>
      </c>
      <c r="G663" t="s">
        <v>25</v>
      </c>
      <c r="H663" t="s">
        <v>26</v>
      </c>
      <c r="I663">
        <v>7450606</v>
      </c>
      <c r="J663" t="s">
        <v>27</v>
      </c>
      <c r="K663" t="s">
        <v>933</v>
      </c>
      <c r="L663" t="s">
        <v>21</v>
      </c>
      <c r="M663" t="str">
        <f t="shared" si="30"/>
        <v>OK</v>
      </c>
      <c r="N663" t="str">
        <f t="shared" si="31"/>
        <v>1970s</v>
      </c>
      <c r="O663" t="str">
        <f t="shared" si="32"/>
        <v>N/A</v>
      </c>
      <c r="P663" t="str">
        <f>VLOOKUP(E663,calculated_fields!$F$4:$G$6,2,FALSE)</f>
        <v>Demographics</v>
      </c>
    </row>
    <row r="664" spans="1:16">
      <c r="A664" t="s">
        <v>935</v>
      </c>
      <c r="B664" t="s">
        <v>916</v>
      </c>
      <c r="C664" t="s">
        <v>14</v>
      </c>
      <c r="D664">
        <v>1972</v>
      </c>
      <c r="E664" t="s">
        <v>29</v>
      </c>
      <c r="F664" t="s">
        <v>30</v>
      </c>
      <c r="G664" t="s">
        <v>31</v>
      </c>
      <c r="H664" t="s">
        <v>32</v>
      </c>
      <c r="I664">
        <v>421.6240257</v>
      </c>
      <c r="J664" t="s">
        <v>33</v>
      </c>
      <c r="K664" t="s">
        <v>933</v>
      </c>
      <c r="L664" t="s">
        <v>21</v>
      </c>
      <c r="M664" t="str">
        <f t="shared" si="30"/>
        <v>OK</v>
      </c>
      <c r="N664" t="str">
        <f t="shared" si="31"/>
        <v>1970s</v>
      </c>
      <c r="O664" t="str">
        <f t="shared" si="32"/>
        <v>N/A</v>
      </c>
      <c r="P664" t="str">
        <f>VLOOKUP(E664,calculated_fields!$F$4:$G$6,2,FALSE)</f>
        <v>Economy</v>
      </c>
    </row>
    <row r="665" spans="1:16">
      <c r="A665" t="s">
        <v>936</v>
      </c>
      <c r="B665" t="s">
        <v>916</v>
      </c>
      <c r="C665" t="s">
        <v>14</v>
      </c>
      <c r="D665">
        <v>1977</v>
      </c>
      <c r="E665" t="s">
        <v>15</v>
      </c>
      <c r="F665" t="s">
        <v>16</v>
      </c>
      <c r="G665" t="s">
        <v>17</v>
      </c>
      <c r="H665" t="s">
        <v>18</v>
      </c>
      <c r="I665">
        <v>31.22</v>
      </c>
      <c r="J665" t="s">
        <v>19</v>
      </c>
      <c r="K665" t="s">
        <v>937</v>
      </c>
      <c r="L665" t="s">
        <v>21</v>
      </c>
      <c r="M665" t="str">
        <f t="shared" si="30"/>
        <v>OK</v>
      </c>
      <c r="N665" t="str">
        <f t="shared" si="31"/>
        <v>1970s</v>
      </c>
      <c r="O665" t="str">
        <f t="shared" si="32"/>
        <v>Low</v>
      </c>
      <c r="P665" t="str">
        <f>VLOOKUP(E665,calculated_fields!$F$4:$G$6,2,FALSE)</f>
        <v>Health</v>
      </c>
    </row>
    <row r="666" spans="1:16">
      <c r="A666" t="s">
        <v>938</v>
      </c>
      <c r="B666" t="s">
        <v>916</v>
      </c>
      <c r="C666" t="s">
        <v>14</v>
      </c>
      <c r="D666">
        <v>1977</v>
      </c>
      <c r="E666" t="s">
        <v>23</v>
      </c>
      <c r="F666" t="s">
        <v>24</v>
      </c>
      <c r="G666" t="s">
        <v>25</v>
      </c>
      <c r="H666" t="s">
        <v>26</v>
      </c>
      <c r="I666">
        <v>6978607</v>
      </c>
      <c r="J666" t="s">
        <v>27</v>
      </c>
      <c r="K666" t="s">
        <v>937</v>
      </c>
      <c r="L666" t="s">
        <v>21</v>
      </c>
      <c r="M666" t="str">
        <f t="shared" si="30"/>
        <v>OK</v>
      </c>
      <c r="N666" t="str">
        <f t="shared" si="31"/>
        <v>1970s</v>
      </c>
      <c r="O666" t="str">
        <f t="shared" si="32"/>
        <v>N/A</v>
      </c>
      <c r="P666" t="str">
        <f>VLOOKUP(E666,calculated_fields!$F$4:$G$6,2,FALSE)</f>
        <v>Demographics</v>
      </c>
    </row>
    <row r="667" spans="1:16">
      <c r="A667" t="s">
        <v>939</v>
      </c>
      <c r="B667" t="s">
        <v>916</v>
      </c>
      <c r="C667" t="s">
        <v>14</v>
      </c>
      <c r="D667">
        <v>1977</v>
      </c>
      <c r="E667" t="s">
        <v>29</v>
      </c>
      <c r="F667" t="s">
        <v>30</v>
      </c>
      <c r="G667" t="s">
        <v>31</v>
      </c>
      <c r="H667" t="s">
        <v>32</v>
      </c>
      <c r="I667">
        <v>524.97218319999899</v>
      </c>
      <c r="J667" t="s">
        <v>33</v>
      </c>
      <c r="K667" t="s">
        <v>937</v>
      </c>
      <c r="L667" t="s">
        <v>21</v>
      </c>
      <c r="M667" t="str">
        <f t="shared" si="30"/>
        <v>OK</v>
      </c>
      <c r="N667" t="str">
        <f t="shared" si="31"/>
        <v>1970s</v>
      </c>
      <c r="O667" t="str">
        <f t="shared" si="32"/>
        <v>N/A</v>
      </c>
      <c r="P667" t="str">
        <f>VLOOKUP(E667,calculated_fields!$F$4:$G$6,2,FALSE)</f>
        <v>Economy</v>
      </c>
    </row>
    <row r="668" spans="1:16">
      <c r="A668" t="s">
        <v>940</v>
      </c>
      <c r="B668" t="s">
        <v>916</v>
      </c>
      <c r="C668" t="s">
        <v>14</v>
      </c>
      <c r="D668">
        <v>1982</v>
      </c>
      <c r="E668" t="s">
        <v>15</v>
      </c>
      <c r="F668" t="s">
        <v>16</v>
      </c>
      <c r="G668" t="s">
        <v>17</v>
      </c>
      <c r="H668" t="s">
        <v>18</v>
      </c>
      <c r="I668">
        <v>50.957000000000001</v>
      </c>
      <c r="J668" t="s">
        <v>19</v>
      </c>
      <c r="K668" t="s">
        <v>941</v>
      </c>
      <c r="L668" t="s">
        <v>21</v>
      </c>
      <c r="M668" t="str">
        <f t="shared" si="30"/>
        <v>OK</v>
      </c>
      <c r="N668" t="str">
        <f t="shared" si="31"/>
        <v>1980s</v>
      </c>
      <c r="O668" t="str">
        <f t="shared" si="32"/>
        <v>Low</v>
      </c>
      <c r="P668" t="str">
        <f>VLOOKUP(E668,calculated_fields!$F$4:$G$6,2,FALSE)</f>
        <v>Health</v>
      </c>
    </row>
    <row r="669" spans="1:16">
      <c r="A669" t="s">
        <v>942</v>
      </c>
      <c r="B669" t="s">
        <v>916</v>
      </c>
      <c r="C669" t="s">
        <v>14</v>
      </c>
      <c r="D669">
        <v>1982</v>
      </c>
      <c r="E669" t="s">
        <v>23</v>
      </c>
      <c r="F669" t="s">
        <v>24</v>
      </c>
      <c r="G669" t="s">
        <v>25</v>
      </c>
      <c r="H669" t="s">
        <v>26</v>
      </c>
      <c r="I669">
        <v>7272485</v>
      </c>
      <c r="J669" t="s">
        <v>27</v>
      </c>
      <c r="K669" t="s">
        <v>941</v>
      </c>
      <c r="L669" t="s">
        <v>21</v>
      </c>
      <c r="M669" t="str">
        <f t="shared" si="30"/>
        <v>OK</v>
      </c>
      <c r="N669" t="str">
        <f t="shared" si="31"/>
        <v>1980s</v>
      </c>
      <c r="O669" t="str">
        <f t="shared" si="32"/>
        <v>N/A</v>
      </c>
      <c r="P669" t="str">
        <f>VLOOKUP(E669,calculated_fields!$F$4:$G$6,2,FALSE)</f>
        <v>Demographics</v>
      </c>
    </row>
    <row r="670" spans="1:16">
      <c r="A670" t="s">
        <v>943</v>
      </c>
      <c r="B670" t="s">
        <v>916</v>
      </c>
      <c r="C670" t="s">
        <v>14</v>
      </c>
      <c r="D670">
        <v>1982</v>
      </c>
      <c r="E670" t="s">
        <v>29</v>
      </c>
      <c r="F670" t="s">
        <v>30</v>
      </c>
      <c r="G670" t="s">
        <v>31</v>
      </c>
      <c r="H670" t="s">
        <v>32</v>
      </c>
      <c r="I670">
        <v>624.47547840000004</v>
      </c>
      <c r="J670" t="s">
        <v>33</v>
      </c>
      <c r="K670" t="s">
        <v>941</v>
      </c>
      <c r="L670" t="s">
        <v>21</v>
      </c>
      <c r="M670" t="str">
        <f t="shared" si="30"/>
        <v>OK</v>
      </c>
      <c r="N670" t="str">
        <f t="shared" si="31"/>
        <v>1980s</v>
      </c>
      <c r="O670" t="str">
        <f t="shared" si="32"/>
        <v>N/A</v>
      </c>
      <c r="P670" t="str">
        <f>VLOOKUP(E670,calculated_fields!$F$4:$G$6,2,FALSE)</f>
        <v>Economy</v>
      </c>
    </row>
    <row r="671" spans="1:16">
      <c r="A671" t="s">
        <v>944</v>
      </c>
      <c r="B671" t="s">
        <v>916</v>
      </c>
      <c r="C671" t="s">
        <v>14</v>
      </c>
      <c r="D671">
        <v>1987</v>
      </c>
      <c r="E671" t="s">
        <v>15</v>
      </c>
      <c r="F671" t="s">
        <v>16</v>
      </c>
      <c r="G671" t="s">
        <v>17</v>
      </c>
      <c r="H671" t="s">
        <v>18</v>
      </c>
      <c r="I671">
        <v>53.914000000000001</v>
      </c>
      <c r="J671" t="s">
        <v>19</v>
      </c>
      <c r="K671" t="s">
        <v>945</v>
      </c>
      <c r="L671" t="s">
        <v>21</v>
      </c>
      <c r="M671" t="str">
        <f t="shared" si="30"/>
        <v>OK</v>
      </c>
      <c r="N671" t="str">
        <f t="shared" si="31"/>
        <v>1980s</v>
      </c>
      <c r="O671" t="str">
        <f t="shared" si="32"/>
        <v>Low</v>
      </c>
      <c r="P671" t="str">
        <f>VLOOKUP(E671,calculated_fields!$F$4:$G$6,2,FALSE)</f>
        <v>Health</v>
      </c>
    </row>
    <row r="672" spans="1:16">
      <c r="A672" t="s">
        <v>946</v>
      </c>
      <c r="B672" t="s">
        <v>916</v>
      </c>
      <c r="C672" t="s">
        <v>14</v>
      </c>
      <c r="D672">
        <v>1987</v>
      </c>
      <c r="E672" t="s">
        <v>23</v>
      </c>
      <c r="F672" t="s">
        <v>24</v>
      </c>
      <c r="G672" t="s">
        <v>25</v>
      </c>
      <c r="H672" t="s">
        <v>26</v>
      </c>
      <c r="I672">
        <v>8371791</v>
      </c>
      <c r="J672" t="s">
        <v>27</v>
      </c>
      <c r="K672" t="s">
        <v>945</v>
      </c>
      <c r="L672" t="s">
        <v>21</v>
      </c>
      <c r="M672" t="str">
        <f t="shared" si="30"/>
        <v>OK</v>
      </c>
      <c r="N672" t="str">
        <f t="shared" si="31"/>
        <v>1980s</v>
      </c>
      <c r="O672" t="str">
        <f t="shared" si="32"/>
        <v>N/A</v>
      </c>
      <c r="P672" t="str">
        <f>VLOOKUP(E672,calculated_fields!$F$4:$G$6,2,FALSE)</f>
        <v>Demographics</v>
      </c>
    </row>
    <row r="673" spans="1:16">
      <c r="A673" t="s">
        <v>947</v>
      </c>
      <c r="B673" t="s">
        <v>916</v>
      </c>
      <c r="C673" t="s">
        <v>14</v>
      </c>
      <c r="D673">
        <v>1987</v>
      </c>
      <c r="E673" t="s">
        <v>29</v>
      </c>
      <c r="F673" t="s">
        <v>30</v>
      </c>
      <c r="G673" t="s">
        <v>31</v>
      </c>
      <c r="H673" t="s">
        <v>32</v>
      </c>
      <c r="I673">
        <v>683.89557319999994</v>
      </c>
      <c r="J673" t="s">
        <v>33</v>
      </c>
      <c r="K673" t="s">
        <v>945</v>
      </c>
      <c r="L673" t="s">
        <v>21</v>
      </c>
      <c r="M673" t="str">
        <f t="shared" si="30"/>
        <v>OK</v>
      </c>
      <c r="N673" t="str">
        <f t="shared" si="31"/>
        <v>1980s</v>
      </c>
      <c r="O673" t="str">
        <f t="shared" si="32"/>
        <v>N/A</v>
      </c>
      <c r="P673" t="str">
        <f>VLOOKUP(E673,calculated_fields!$F$4:$G$6,2,FALSE)</f>
        <v>Economy</v>
      </c>
    </row>
    <row r="674" spans="1:16">
      <c r="A674" t="s">
        <v>948</v>
      </c>
      <c r="B674" t="s">
        <v>916</v>
      </c>
      <c r="C674" t="s">
        <v>14</v>
      </c>
      <c r="D674">
        <v>1992</v>
      </c>
      <c r="E674" t="s">
        <v>15</v>
      </c>
      <c r="F674" t="s">
        <v>16</v>
      </c>
      <c r="G674" t="s">
        <v>17</v>
      </c>
      <c r="H674" t="s">
        <v>18</v>
      </c>
      <c r="I674">
        <v>55.802999999999997</v>
      </c>
      <c r="J674" t="s">
        <v>19</v>
      </c>
      <c r="K674" t="s">
        <v>949</v>
      </c>
      <c r="L674" t="s">
        <v>21</v>
      </c>
      <c r="M674" t="str">
        <f t="shared" si="30"/>
        <v>OK</v>
      </c>
      <c r="N674" t="str">
        <f t="shared" si="31"/>
        <v>1990s</v>
      </c>
      <c r="O674" t="str">
        <f t="shared" si="32"/>
        <v>Medium</v>
      </c>
      <c r="P674" t="str">
        <f>VLOOKUP(E674,calculated_fields!$F$4:$G$6,2,FALSE)</f>
        <v>Health</v>
      </c>
    </row>
    <row r="675" spans="1:16">
      <c r="A675" t="s">
        <v>950</v>
      </c>
      <c r="B675" t="s">
        <v>916</v>
      </c>
      <c r="C675" t="s">
        <v>14</v>
      </c>
      <c r="D675">
        <v>1992</v>
      </c>
      <c r="E675" t="s">
        <v>23</v>
      </c>
      <c r="F675" t="s">
        <v>24</v>
      </c>
      <c r="G675" t="s">
        <v>25</v>
      </c>
      <c r="H675" t="s">
        <v>26</v>
      </c>
      <c r="I675">
        <v>10150094</v>
      </c>
      <c r="J675" t="s">
        <v>27</v>
      </c>
      <c r="K675" t="s">
        <v>949</v>
      </c>
      <c r="L675" t="s">
        <v>21</v>
      </c>
      <c r="M675" t="str">
        <f t="shared" si="30"/>
        <v>OK</v>
      </c>
      <c r="N675" t="str">
        <f t="shared" si="31"/>
        <v>1990s</v>
      </c>
      <c r="O675" t="str">
        <f t="shared" si="32"/>
        <v>N/A</v>
      </c>
      <c r="P675" t="str">
        <f>VLOOKUP(E675,calculated_fields!$F$4:$G$6,2,FALSE)</f>
        <v>Demographics</v>
      </c>
    </row>
    <row r="676" spans="1:16">
      <c r="A676" t="s">
        <v>951</v>
      </c>
      <c r="B676" t="s">
        <v>916</v>
      </c>
      <c r="C676" t="s">
        <v>14</v>
      </c>
      <c r="D676">
        <v>1992</v>
      </c>
      <c r="E676" t="s">
        <v>29</v>
      </c>
      <c r="F676" t="s">
        <v>30</v>
      </c>
      <c r="G676" t="s">
        <v>31</v>
      </c>
      <c r="H676" t="s">
        <v>32</v>
      </c>
      <c r="I676">
        <v>682.30317549999995</v>
      </c>
      <c r="J676" t="s">
        <v>33</v>
      </c>
      <c r="K676" t="s">
        <v>949</v>
      </c>
      <c r="L676" t="s">
        <v>21</v>
      </c>
      <c r="M676" t="str">
        <f t="shared" si="30"/>
        <v>OK</v>
      </c>
      <c r="N676" t="str">
        <f t="shared" si="31"/>
        <v>1990s</v>
      </c>
      <c r="O676" t="str">
        <f t="shared" si="32"/>
        <v>N/A</v>
      </c>
      <c r="P676" t="str">
        <f>VLOOKUP(E676,calculated_fields!$F$4:$G$6,2,FALSE)</f>
        <v>Economy</v>
      </c>
    </row>
    <row r="677" spans="1:16">
      <c r="A677" t="s">
        <v>952</v>
      </c>
      <c r="B677" t="s">
        <v>916</v>
      </c>
      <c r="C677" t="s">
        <v>14</v>
      </c>
      <c r="D677">
        <v>1997</v>
      </c>
      <c r="E677" t="s">
        <v>15</v>
      </c>
      <c r="F677" t="s">
        <v>16</v>
      </c>
      <c r="G677" t="s">
        <v>17</v>
      </c>
      <c r="H677" t="s">
        <v>18</v>
      </c>
      <c r="I677">
        <v>56.533999999999999</v>
      </c>
      <c r="J677" t="s">
        <v>19</v>
      </c>
      <c r="K677" t="s">
        <v>953</v>
      </c>
      <c r="L677" t="s">
        <v>21</v>
      </c>
      <c r="M677" t="str">
        <f t="shared" si="30"/>
        <v>OK</v>
      </c>
      <c r="N677" t="str">
        <f t="shared" si="31"/>
        <v>1990s</v>
      </c>
      <c r="O677" t="str">
        <f t="shared" si="32"/>
        <v>Medium</v>
      </c>
      <c r="P677" t="str">
        <f>VLOOKUP(E677,calculated_fields!$F$4:$G$6,2,FALSE)</f>
        <v>Health</v>
      </c>
    </row>
    <row r="678" spans="1:16">
      <c r="A678" t="s">
        <v>954</v>
      </c>
      <c r="B678" t="s">
        <v>916</v>
      </c>
      <c r="C678" t="s">
        <v>14</v>
      </c>
      <c r="D678">
        <v>1997</v>
      </c>
      <c r="E678" t="s">
        <v>23</v>
      </c>
      <c r="F678" t="s">
        <v>24</v>
      </c>
      <c r="G678" t="s">
        <v>25</v>
      </c>
      <c r="H678" t="s">
        <v>26</v>
      </c>
      <c r="I678">
        <v>11782962</v>
      </c>
      <c r="J678" t="s">
        <v>27</v>
      </c>
      <c r="K678" t="s">
        <v>953</v>
      </c>
      <c r="L678" t="s">
        <v>21</v>
      </c>
      <c r="M678" t="str">
        <f t="shared" si="30"/>
        <v>OK</v>
      </c>
      <c r="N678" t="str">
        <f t="shared" si="31"/>
        <v>1990s</v>
      </c>
      <c r="O678" t="str">
        <f t="shared" si="32"/>
        <v>N/A</v>
      </c>
      <c r="P678" t="str">
        <f>VLOOKUP(E678,calculated_fields!$F$4:$G$6,2,FALSE)</f>
        <v>Demographics</v>
      </c>
    </row>
    <row r="679" spans="1:16">
      <c r="A679" t="s">
        <v>955</v>
      </c>
      <c r="B679" t="s">
        <v>916</v>
      </c>
      <c r="C679" t="s">
        <v>14</v>
      </c>
      <c r="D679">
        <v>1997</v>
      </c>
      <c r="E679" t="s">
        <v>29</v>
      </c>
      <c r="F679" t="s">
        <v>30</v>
      </c>
      <c r="G679" t="s">
        <v>31</v>
      </c>
      <c r="H679" t="s">
        <v>32</v>
      </c>
      <c r="I679">
        <v>734.28516999999999</v>
      </c>
      <c r="J679" t="s">
        <v>33</v>
      </c>
      <c r="K679" t="s">
        <v>953</v>
      </c>
      <c r="L679" t="s">
        <v>21</v>
      </c>
      <c r="M679" t="str">
        <f t="shared" si="30"/>
        <v>OK</v>
      </c>
      <c r="N679" t="str">
        <f t="shared" si="31"/>
        <v>1990s</v>
      </c>
      <c r="O679" t="str">
        <f t="shared" si="32"/>
        <v>N/A</v>
      </c>
      <c r="P679" t="str">
        <f>VLOOKUP(E679,calculated_fields!$F$4:$G$6,2,FALSE)</f>
        <v>Economy</v>
      </c>
    </row>
    <row r="680" spans="1:16">
      <c r="A680" t="s">
        <v>956</v>
      </c>
      <c r="B680" t="s">
        <v>916</v>
      </c>
      <c r="C680" t="s">
        <v>14</v>
      </c>
      <c r="D680">
        <v>2002</v>
      </c>
      <c r="E680" t="s">
        <v>15</v>
      </c>
      <c r="F680" t="s">
        <v>16</v>
      </c>
      <c r="G680" t="s">
        <v>17</v>
      </c>
      <c r="H680" t="s">
        <v>18</v>
      </c>
      <c r="I680">
        <v>56.752000000000002</v>
      </c>
      <c r="J680" t="s">
        <v>19</v>
      </c>
      <c r="K680" t="s">
        <v>957</v>
      </c>
      <c r="L680" t="s">
        <v>21</v>
      </c>
      <c r="M680" t="str">
        <f t="shared" si="30"/>
        <v>OK</v>
      </c>
      <c r="N680" t="str">
        <f t="shared" si="31"/>
        <v>2000s</v>
      </c>
      <c r="O680" t="str">
        <f t="shared" si="32"/>
        <v>Medium</v>
      </c>
      <c r="P680" t="str">
        <f>VLOOKUP(E680,calculated_fields!$F$4:$G$6,2,FALSE)</f>
        <v>Health</v>
      </c>
    </row>
    <row r="681" spans="1:16">
      <c r="A681" t="s">
        <v>958</v>
      </c>
      <c r="B681" t="s">
        <v>916</v>
      </c>
      <c r="C681" t="s">
        <v>14</v>
      </c>
      <c r="D681">
        <v>2002</v>
      </c>
      <c r="E681" t="s">
        <v>23</v>
      </c>
      <c r="F681" t="s">
        <v>24</v>
      </c>
      <c r="G681" t="s">
        <v>25</v>
      </c>
      <c r="H681" t="s">
        <v>26</v>
      </c>
      <c r="I681">
        <v>12926707</v>
      </c>
      <c r="J681" t="s">
        <v>27</v>
      </c>
      <c r="K681" t="s">
        <v>957</v>
      </c>
      <c r="L681" t="s">
        <v>21</v>
      </c>
      <c r="M681" t="str">
        <f t="shared" si="30"/>
        <v>OK</v>
      </c>
      <c r="N681" t="str">
        <f t="shared" si="31"/>
        <v>2000s</v>
      </c>
      <c r="O681" t="str">
        <f t="shared" si="32"/>
        <v>N/A</v>
      </c>
      <c r="P681" t="str">
        <f>VLOOKUP(E681,calculated_fields!$F$4:$G$6,2,FALSE)</f>
        <v>Demographics</v>
      </c>
    </row>
    <row r="682" spans="1:16">
      <c r="A682" t="s">
        <v>959</v>
      </c>
      <c r="B682" t="s">
        <v>916</v>
      </c>
      <c r="C682" t="s">
        <v>14</v>
      </c>
      <c r="D682">
        <v>2002</v>
      </c>
      <c r="E682" t="s">
        <v>29</v>
      </c>
      <c r="F682" t="s">
        <v>30</v>
      </c>
      <c r="G682" t="s">
        <v>31</v>
      </c>
      <c r="H682" t="s">
        <v>32</v>
      </c>
      <c r="I682">
        <v>896.22601529999895</v>
      </c>
      <c r="J682" t="s">
        <v>33</v>
      </c>
      <c r="K682" t="s">
        <v>957</v>
      </c>
      <c r="L682" t="s">
        <v>21</v>
      </c>
      <c r="M682" t="str">
        <f t="shared" si="30"/>
        <v>OK</v>
      </c>
      <c r="N682" t="str">
        <f t="shared" si="31"/>
        <v>2000s</v>
      </c>
      <c r="O682" t="str">
        <f t="shared" si="32"/>
        <v>N/A</v>
      </c>
      <c r="P682" t="str">
        <f>VLOOKUP(E682,calculated_fields!$F$4:$G$6,2,FALSE)</f>
        <v>Economy</v>
      </c>
    </row>
    <row r="683" spans="1:16">
      <c r="A683" t="s">
        <v>960</v>
      </c>
      <c r="B683" t="s">
        <v>916</v>
      </c>
      <c r="C683" t="s">
        <v>14</v>
      </c>
      <c r="D683">
        <v>2007</v>
      </c>
      <c r="E683" t="s">
        <v>15</v>
      </c>
      <c r="F683" t="s">
        <v>16</v>
      </c>
      <c r="G683" t="s">
        <v>17</v>
      </c>
      <c r="H683" t="s">
        <v>18</v>
      </c>
      <c r="I683">
        <v>59.722999999999999</v>
      </c>
      <c r="J683" t="s">
        <v>19</v>
      </c>
      <c r="K683" t="s">
        <v>961</v>
      </c>
      <c r="L683" t="s">
        <v>21</v>
      </c>
      <c r="M683" t="str">
        <f t="shared" si="30"/>
        <v>OK</v>
      </c>
      <c r="N683" t="str">
        <f t="shared" si="31"/>
        <v>2000s</v>
      </c>
      <c r="O683" t="str">
        <f t="shared" si="32"/>
        <v>Medium</v>
      </c>
      <c r="P683" t="str">
        <f>VLOOKUP(E683,calculated_fields!$F$4:$G$6,2,FALSE)</f>
        <v>Health</v>
      </c>
    </row>
    <row r="684" spans="1:16">
      <c r="A684" t="s">
        <v>962</v>
      </c>
      <c r="B684" t="s">
        <v>916</v>
      </c>
      <c r="C684" t="s">
        <v>14</v>
      </c>
      <c r="D684">
        <v>2007</v>
      </c>
      <c r="E684" t="s">
        <v>23</v>
      </c>
      <c r="F684" t="s">
        <v>24</v>
      </c>
      <c r="G684" t="s">
        <v>25</v>
      </c>
      <c r="H684" t="s">
        <v>26</v>
      </c>
      <c r="I684">
        <v>14131858</v>
      </c>
      <c r="J684" t="s">
        <v>27</v>
      </c>
      <c r="K684" t="s">
        <v>961</v>
      </c>
      <c r="L684" t="s">
        <v>21</v>
      </c>
      <c r="M684" t="str">
        <f t="shared" si="30"/>
        <v>OK</v>
      </c>
      <c r="N684" t="str">
        <f t="shared" si="31"/>
        <v>2000s</v>
      </c>
      <c r="O684" t="str">
        <f t="shared" si="32"/>
        <v>N/A</v>
      </c>
      <c r="P684" t="str">
        <f>VLOOKUP(E684,calculated_fields!$F$4:$G$6,2,FALSE)</f>
        <v>Demographics</v>
      </c>
    </row>
    <row r="685" spans="1:16">
      <c r="A685" t="s">
        <v>963</v>
      </c>
      <c r="B685" t="s">
        <v>916</v>
      </c>
      <c r="C685" t="s">
        <v>14</v>
      </c>
      <c r="D685">
        <v>2007</v>
      </c>
      <c r="E685" t="s">
        <v>29</v>
      </c>
      <c r="F685" t="s">
        <v>30</v>
      </c>
      <c r="G685" t="s">
        <v>31</v>
      </c>
      <c r="H685" t="s">
        <v>32</v>
      </c>
      <c r="I685">
        <v>1713.7786860000001</v>
      </c>
      <c r="J685" t="s">
        <v>33</v>
      </c>
      <c r="K685" t="s">
        <v>961</v>
      </c>
      <c r="L685" t="s">
        <v>21</v>
      </c>
      <c r="M685" t="str">
        <f t="shared" si="30"/>
        <v>OK</v>
      </c>
      <c r="N685" t="str">
        <f t="shared" si="31"/>
        <v>2000s</v>
      </c>
      <c r="O685" t="str">
        <f t="shared" si="32"/>
        <v>N/A</v>
      </c>
      <c r="P685" t="str">
        <f>VLOOKUP(E685,calculated_fields!$F$4:$G$6,2,FALSE)</f>
        <v>Economy</v>
      </c>
    </row>
    <row r="686" spans="1:16">
      <c r="A686" t="s">
        <v>964</v>
      </c>
      <c r="B686" t="s">
        <v>965</v>
      </c>
      <c r="C686" t="s">
        <v>130</v>
      </c>
      <c r="D686">
        <v>1952</v>
      </c>
      <c r="E686" t="s">
        <v>15</v>
      </c>
      <c r="F686" t="s">
        <v>16</v>
      </c>
      <c r="G686" t="s">
        <v>17</v>
      </c>
      <c r="H686" t="s">
        <v>18</v>
      </c>
      <c r="I686">
        <v>38.523000000000003</v>
      </c>
      <c r="J686" t="s">
        <v>19</v>
      </c>
      <c r="K686" t="s">
        <v>966</v>
      </c>
      <c r="L686" t="s">
        <v>21</v>
      </c>
      <c r="M686" t="str">
        <f t="shared" si="30"/>
        <v>OK</v>
      </c>
      <c r="N686" t="str">
        <f t="shared" si="31"/>
        <v>1950s</v>
      </c>
      <c r="O686" t="str">
        <f t="shared" si="32"/>
        <v>Low</v>
      </c>
      <c r="P686" t="str">
        <f>VLOOKUP(E686,calculated_fields!$F$4:$G$6,2,FALSE)</f>
        <v>Health</v>
      </c>
    </row>
    <row r="687" spans="1:16">
      <c r="A687" t="s">
        <v>967</v>
      </c>
      <c r="B687" t="s">
        <v>965</v>
      </c>
      <c r="C687" t="s">
        <v>130</v>
      </c>
      <c r="D687">
        <v>1952</v>
      </c>
      <c r="E687" t="s">
        <v>23</v>
      </c>
      <c r="F687" t="s">
        <v>24</v>
      </c>
      <c r="G687" t="s">
        <v>25</v>
      </c>
      <c r="H687" t="s">
        <v>26</v>
      </c>
      <c r="I687">
        <v>5009067</v>
      </c>
      <c r="J687" t="s">
        <v>27</v>
      </c>
      <c r="K687" t="s">
        <v>966</v>
      </c>
      <c r="L687" t="s">
        <v>21</v>
      </c>
      <c r="M687" t="str">
        <f t="shared" si="30"/>
        <v>OK</v>
      </c>
      <c r="N687" t="str">
        <f t="shared" si="31"/>
        <v>1950s</v>
      </c>
      <c r="O687" t="str">
        <f t="shared" si="32"/>
        <v>N/A</v>
      </c>
      <c r="P687" t="str">
        <f>VLOOKUP(E687,calculated_fields!$F$4:$G$6,2,FALSE)</f>
        <v>Demographics</v>
      </c>
    </row>
    <row r="688" spans="1:16">
      <c r="A688" t="s">
        <v>968</v>
      </c>
      <c r="B688" t="s">
        <v>965</v>
      </c>
      <c r="C688" t="s">
        <v>130</v>
      </c>
      <c r="D688">
        <v>1952</v>
      </c>
      <c r="E688" t="s">
        <v>29</v>
      </c>
      <c r="F688" t="s">
        <v>30</v>
      </c>
      <c r="G688" t="s">
        <v>31</v>
      </c>
      <c r="H688" t="s">
        <v>32</v>
      </c>
      <c r="I688">
        <v>1172.667655</v>
      </c>
      <c r="J688" t="s">
        <v>33</v>
      </c>
      <c r="K688" t="s">
        <v>966</v>
      </c>
      <c r="L688" t="s">
        <v>21</v>
      </c>
      <c r="M688" t="str">
        <f t="shared" si="30"/>
        <v>OK</v>
      </c>
      <c r="N688" t="str">
        <f t="shared" si="31"/>
        <v>1950s</v>
      </c>
      <c r="O688" t="str">
        <f t="shared" si="32"/>
        <v>N/A</v>
      </c>
      <c r="P688" t="str">
        <f>VLOOKUP(E688,calculated_fields!$F$4:$G$6,2,FALSE)</f>
        <v>Economy</v>
      </c>
    </row>
    <row r="689" spans="1:16">
      <c r="A689" t="s">
        <v>969</v>
      </c>
      <c r="B689" t="s">
        <v>965</v>
      </c>
      <c r="C689" t="s">
        <v>130</v>
      </c>
      <c r="D689">
        <v>1957</v>
      </c>
      <c r="E689" t="s">
        <v>15</v>
      </c>
      <c r="F689" t="s">
        <v>16</v>
      </c>
      <c r="G689" t="s">
        <v>17</v>
      </c>
      <c r="H689" t="s">
        <v>18</v>
      </c>
      <c r="I689">
        <v>40.427999999999997</v>
      </c>
      <c r="J689" t="s">
        <v>19</v>
      </c>
      <c r="K689" t="s">
        <v>970</v>
      </c>
      <c r="L689" t="s">
        <v>21</v>
      </c>
      <c r="M689" t="str">
        <f t="shared" si="30"/>
        <v>OK</v>
      </c>
      <c r="N689" t="str">
        <f t="shared" si="31"/>
        <v>1950s</v>
      </c>
      <c r="O689" t="str">
        <f t="shared" si="32"/>
        <v>Low</v>
      </c>
      <c r="P689" t="str">
        <f>VLOOKUP(E689,calculated_fields!$F$4:$G$6,2,FALSE)</f>
        <v>Health</v>
      </c>
    </row>
    <row r="690" spans="1:16">
      <c r="A690" t="s">
        <v>971</v>
      </c>
      <c r="B690" t="s">
        <v>965</v>
      </c>
      <c r="C690" t="s">
        <v>130</v>
      </c>
      <c r="D690">
        <v>1957</v>
      </c>
      <c r="E690" t="s">
        <v>23</v>
      </c>
      <c r="F690" t="s">
        <v>24</v>
      </c>
      <c r="G690" t="s">
        <v>25</v>
      </c>
      <c r="H690" t="s">
        <v>26</v>
      </c>
      <c r="I690">
        <v>5359923</v>
      </c>
      <c r="J690" t="s">
        <v>27</v>
      </c>
      <c r="K690" t="s">
        <v>970</v>
      </c>
      <c r="L690" t="s">
        <v>21</v>
      </c>
      <c r="M690" t="str">
        <f t="shared" si="30"/>
        <v>OK</v>
      </c>
      <c r="N690" t="str">
        <f t="shared" si="31"/>
        <v>1950s</v>
      </c>
      <c r="O690" t="str">
        <f t="shared" si="32"/>
        <v>N/A</v>
      </c>
      <c r="P690" t="str">
        <f>VLOOKUP(E690,calculated_fields!$F$4:$G$6,2,FALSE)</f>
        <v>Demographics</v>
      </c>
    </row>
    <row r="691" spans="1:16">
      <c r="A691" t="s">
        <v>972</v>
      </c>
      <c r="B691" t="s">
        <v>965</v>
      </c>
      <c r="C691" t="s">
        <v>130</v>
      </c>
      <c r="D691">
        <v>1957</v>
      </c>
      <c r="E691" t="s">
        <v>29</v>
      </c>
      <c r="F691" t="s">
        <v>30</v>
      </c>
      <c r="G691" t="s">
        <v>31</v>
      </c>
      <c r="H691" t="s">
        <v>32</v>
      </c>
      <c r="I691">
        <v>1313.0480990000001</v>
      </c>
      <c r="J691" t="s">
        <v>33</v>
      </c>
      <c r="K691" t="s">
        <v>970</v>
      </c>
      <c r="L691" t="s">
        <v>21</v>
      </c>
      <c r="M691" t="str">
        <f t="shared" si="30"/>
        <v>OK</v>
      </c>
      <c r="N691" t="str">
        <f t="shared" si="31"/>
        <v>1950s</v>
      </c>
      <c r="O691" t="str">
        <f t="shared" si="32"/>
        <v>N/A</v>
      </c>
      <c r="P691" t="str">
        <f>VLOOKUP(E691,calculated_fields!$F$4:$G$6,2,FALSE)</f>
        <v>Economy</v>
      </c>
    </row>
    <row r="692" spans="1:16">
      <c r="A692" t="s">
        <v>973</v>
      </c>
      <c r="B692" t="s">
        <v>965</v>
      </c>
      <c r="C692" t="s">
        <v>130</v>
      </c>
      <c r="D692">
        <v>1962</v>
      </c>
      <c r="E692" t="s">
        <v>15</v>
      </c>
      <c r="F692" t="s">
        <v>16</v>
      </c>
      <c r="G692" t="s">
        <v>17</v>
      </c>
      <c r="H692" t="s">
        <v>18</v>
      </c>
      <c r="I692">
        <v>42.643000000000001</v>
      </c>
      <c r="J692" t="s">
        <v>19</v>
      </c>
      <c r="K692" t="s">
        <v>974</v>
      </c>
      <c r="L692" t="s">
        <v>21</v>
      </c>
      <c r="M692" t="str">
        <f t="shared" si="30"/>
        <v>OK</v>
      </c>
      <c r="N692" t="str">
        <f t="shared" si="31"/>
        <v>1960s</v>
      </c>
      <c r="O692" t="str">
        <f t="shared" si="32"/>
        <v>Low</v>
      </c>
      <c r="P692" t="str">
        <f>VLOOKUP(E692,calculated_fields!$F$4:$G$6,2,FALSE)</f>
        <v>Health</v>
      </c>
    </row>
    <row r="693" spans="1:16">
      <c r="A693" t="s">
        <v>975</v>
      </c>
      <c r="B693" t="s">
        <v>965</v>
      </c>
      <c r="C693" t="s">
        <v>130</v>
      </c>
      <c r="D693">
        <v>1962</v>
      </c>
      <c r="E693" t="s">
        <v>23</v>
      </c>
      <c r="F693" t="s">
        <v>24</v>
      </c>
      <c r="G693" t="s">
        <v>25</v>
      </c>
      <c r="H693" t="s">
        <v>26</v>
      </c>
      <c r="I693">
        <v>5793633</v>
      </c>
      <c r="J693" t="s">
        <v>27</v>
      </c>
      <c r="K693" t="s">
        <v>974</v>
      </c>
      <c r="L693" t="s">
        <v>21</v>
      </c>
      <c r="M693" t="str">
        <f t="shared" si="30"/>
        <v>OK</v>
      </c>
      <c r="N693" t="str">
        <f t="shared" si="31"/>
        <v>1960s</v>
      </c>
      <c r="O693" t="str">
        <f t="shared" si="32"/>
        <v>N/A</v>
      </c>
      <c r="P693" t="str">
        <f>VLOOKUP(E693,calculated_fields!$F$4:$G$6,2,FALSE)</f>
        <v>Demographics</v>
      </c>
    </row>
    <row r="694" spans="1:16">
      <c r="A694" t="s">
        <v>976</v>
      </c>
      <c r="B694" t="s">
        <v>965</v>
      </c>
      <c r="C694" t="s">
        <v>130</v>
      </c>
      <c r="D694">
        <v>1962</v>
      </c>
      <c r="E694" t="s">
        <v>29</v>
      </c>
      <c r="F694" t="s">
        <v>30</v>
      </c>
      <c r="G694" t="s">
        <v>31</v>
      </c>
      <c r="H694" t="s">
        <v>32</v>
      </c>
      <c r="I694">
        <v>1399.6074410000001</v>
      </c>
      <c r="J694" t="s">
        <v>33</v>
      </c>
      <c r="K694" t="s">
        <v>974</v>
      </c>
      <c r="L694" t="s">
        <v>21</v>
      </c>
      <c r="M694" t="str">
        <f t="shared" si="30"/>
        <v>OK</v>
      </c>
      <c r="N694" t="str">
        <f t="shared" si="31"/>
        <v>1960s</v>
      </c>
      <c r="O694" t="str">
        <f t="shared" si="32"/>
        <v>N/A</v>
      </c>
      <c r="P694" t="str">
        <f>VLOOKUP(E694,calculated_fields!$F$4:$G$6,2,FALSE)</f>
        <v>Economy</v>
      </c>
    </row>
    <row r="695" spans="1:16">
      <c r="A695" t="s">
        <v>977</v>
      </c>
      <c r="B695" t="s">
        <v>965</v>
      </c>
      <c r="C695" t="s">
        <v>130</v>
      </c>
      <c r="D695">
        <v>1967</v>
      </c>
      <c r="E695" t="s">
        <v>15</v>
      </c>
      <c r="F695" t="s">
        <v>16</v>
      </c>
      <c r="G695" t="s">
        <v>17</v>
      </c>
      <c r="H695" t="s">
        <v>18</v>
      </c>
      <c r="I695">
        <v>44.798999999999999</v>
      </c>
      <c r="J695" t="s">
        <v>19</v>
      </c>
      <c r="K695" t="s">
        <v>978</v>
      </c>
      <c r="L695" t="s">
        <v>21</v>
      </c>
      <c r="M695" t="str">
        <f t="shared" si="30"/>
        <v>OK</v>
      </c>
      <c r="N695" t="str">
        <f t="shared" si="31"/>
        <v>1960s</v>
      </c>
      <c r="O695" t="str">
        <f t="shared" si="32"/>
        <v>Low</v>
      </c>
      <c r="P695" t="str">
        <f>VLOOKUP(E695,calculated_fields!$F$4:$G$6,2,FALSE)</f>
        <v>Health</v>
      </c>
    </row>
    <row r="696" spans="1:16">
      <c r="A696" t="s">
        <v>979</v>
      </c>
      <c r="B696" t="s">
        <v>965</v>
      </c>
      <c r="C696" t="s">
        <v>130</v>
      </c>
      <c r="D696">
        <v>1967</v>
      </c>
      <c r="E696" t="s">
        <v>23</v>
      </c>
      <c r="F696" t="s">
        <v>24</v>
      </c>
      <c r="G696" t="s">
        <v>25</v>
      </c>
      <c r="H696" t="s">
        <v>26</v>
      </c>
      <c r="I696">
        <v>6335506</v>
      </c>
      <c r="J696" t="s">
        <v>27</v>
      </c>
      <c r="K696" t="s">
        <v>978</v>
      </c>
      <c r="L696" t="s">
        <v>21</v>
      </c>
      <c r="M696" t="str">
        <f t="shared" si="30"/>
        <v>OK</v>
      </c>
      <c r="N696" t="str">
        <f t="shared" si="31"/>
        <v>1960s</v>
      </c>
      <c r="O696" t="str">
        <f t="shared" si="32"/>
        <v>N/A</v>
      </c>
      <c r="P696" t="str">
        <f>VLOOKUP(E696,calculated_fields!$F$4:$G$6,2,FALSE)</f>
        <v>Demographics</v>
      </c>
    </row>
    <row r="697" spans="1:16">
      <c r="A697" t="s">
        <v>980</v>
      </c>
      <c r="B697" t="s">
        <v>965</v>
      </c>
      <c r="C697" t="s">
        <v>130</v>
      </c>
      <c r="D697">
        <v>1967</v>
      </c>
      <c r="E697" t="s">
        <v>29</v>
      </c>
      <c r="F697" t="s">
        <v>30</v>
      </c>
      <c r="G697" t="s">
        <v>31</v>
      </c>
      <c r="H697" t="s">
        <v>32</v>
      </c>
      <c r="I697">
        <v>1508.4531480000001</v>
      </c>
      <c r="J697" t="s">
        <v>33</v>
      </c>
      <c r="K697" t="s">
        <v>978</v>
      </c>
      <c r="L697" t="s">
        <v>21</v>
      </c>
      <c r="M697" t="str">
        <f t="shared" si="30"/>
        <v>OK</v>
      </c>
      <c r="N697" t="str">
        <f t="shared" si="31"/>
        <v>1960s</v>
      </c>
      <c r="O697" t="str">
        <f t="shared" si="32"/>
        <v>N/A</v>
      </c>
      <c r="P697" t="str">
        <f>VLOOKUP(E697,calculated_fields!$F$4:$G$6,2,FALSE)</f>
        <v>Economy</v>
      </c>
    </row>
    <row r="698" spans="1:16">
      <c r="A698" t="s">
        <v>981</v>
      </c>
      <c r="B698" t="s">
        <v>965</v>
      </c>
      <c r="C698" t="s">
        <v>130</v>
      </c>
      <c r="D698">
        <v>1972</v>
      </c>
      <c r="E698" t="s">
        <v>15</v>
      </c>
      <c r="F698" t="s">
        <v>16</v>
      </c>
      <c r="G698" t="s">
        <v>17</v>
      </c>
      <c r="H698" t="s">
        <v>18</v>
      </c>
      <c r="I698">
        <v>47.048999999999999</v>
      </c>
      <c r="J698" t="s">
        <v>19</v>
      </c>
      <c r="K698" t="s">
        <v>982</v>
      </c>
      <c r="L698" t="s">
        <v>21</v>
      </c>
      <c r="M698" t="str">
        <f t="shared" si="30"/>
        <v>OK</v>
      </c>
      <c r="N698" t="str">
        <f t="shared" si="31"/>
        <v>1970s</v>
      </c>
      <c r="O698" t="str">
        <f t="shared" si="32"/>
        <v>Low</v>
      </c>
      <c r="P698" t="str">
        <f>VLOOKUP(E698,calculated_fields!$F$4:$G$6,2,FALSE)</f>
        <v>Health</v>
      </c>
    </row>
    <row r="699" spans="1:16">
      <c r="A699" t="s">
        <v>983</v>
      </c>
      <c r="B699" t="s">
        <v>965</v>
      </c>
      <c r="C699" t="s">
        <v>130</v>
      </c>
      <c r="D699">
        <v>1972</v>
      </c>
      <c r="E699" t="s">
        <v>23</v>
      </c>
      <c r="F699" t="s">
        <v>24</v>
      </c>
      <c r="G699" t="s">
        <v>25</v>
      </c>
      <c r="H699" t="s">
        <v>26</v>
      </c>
      <c r="I699">
        <v>7021028</v>
      </c>
      <c r="J699" t="s">
        <v>27</v>
      </c>
      <c r="K699" t="s">
        <v>982</v>
      </c>
      <c r="L699" t="s">
        <v>21</v>
      </c>
      <c r="M699" t="str">
        <f t="shared" si="30"/>
        <v>OK</v>
      </c>
      <c r="N699" t="str">
        <f t="shared" si="31"/>
        <v>1970s</v>
      </c>
      <c r="O699" t="str">
        <f t="shared" si="32"/>
        <v>N/A</v>
      </c>
      <c r="P699" t="str">
        <f>VLOOKUP(E699,calculated_fields!$F$4:$G$6,2,FALSE)</f>
        <v>Demographics</v>
      </c>
    </row>
    <row r="700" spans="1:16">
      <c r="A700" t="s">
        <v>984</v>
      </c>
      <c r="B700" t="s">
        <v>965</v>
      </c>
      <c r="C700" t="s">
        <v>130</v>
      </c>
      <c r="D700">
        <v>1972</v>
      </c>
      <c r="E700" t="s">
        <v>29</v>
      </c>
      <c r="F700" t="s">
        <v>30</v>
      </c>
      <c r="G700" t="s">
        <v>31</v>
      </c>
      <c r="H700" t="s">
        <v>32</v>
      </c>
      <c r="I700">
        <v>1684.146528</v>
      </c>
      <c r="J700" t="s">
        <v>33</v>
      </c>
      <c r="K700" t="s">
        <v>982</v>
      </c>
      <c r="L700" t="s">
        <v>21</v>
      </c>
      <c r="M700" t="str">
        <f t="shared" si="30"/>
        <v>OK</v>
      </c>
      <c r="N700" t="str">
        <f t="shared" si="31"/>
        <v>1970s</v>
      </c>
      <c r="O700" t="str">
        <f t="shared" si="32"/>
        <v>N/A</v>
      </c>
      <c r="P700" t="str">
        <f>VLOOKUP(E700,calculated_fields!$F$4:$G$6,2,FALSE)</f>
        <v>Economy</v>
      </c>
    </row>
    <row r="701" spans="1:16">
      <c r="A701" t="s">
        <v>985</v>
      </c>
      <c r="B701" t="s">
        <v>965</v>
      </c>
      <c r="C701" t="s">
        <v>130</v>
      </c>
      <c r="D701">
        <v>1977</v>
      </c>
      <c r="E701" t="s">
        <v>15</v>
      </c>
      <c r="F701" t="s">
        <v>16</v>
      </c>
      <c r="G701" t="s">
        <v>17</v>
      </c>
      <c r="H701" t="s">
        <v>18</v>
      </c>
      <c r="I701">
        <v>49.354999999999997</v>
      </c>
      <c r="J701" t="s">
        <v>19</v>
      </c>
      <c r="K701" t="s">
        <v>986</v>
      </c>
      <c r="L701" t="s">
        <v>21</v>
      </c>
      <c r="M701" t="str">
        <f t="shared" si="30"/>
        <v>OK</v>
      </c>
      <c r="N701" t="str">
        <f t="shared" si="31"/>
        <v>1970s</v>
      </c>
      <c r="O701" t="str">
        <f t="shared" si="32"/>
        <v>Low</v>
      </c>
      <c r="P701" t="str">
        <f>VLOOKUP(E701,calculated_fields!$F$4:$G$6,2,FALSE)</f>
        <v>Health</v>
      </c>
    </row>
    <row r="702" spans="1:16">
      <c r="A702" t="s">
        <v>987</v>
      </c>
      <c r="B702" t="s">
        <v>965</v>
      </c>
      <c r="C702" t="s">
        <v>130</v>
      </c>
      <c r="D702">
        <v>1977</v>
      </c>
      <c r="E702" t="s">
        <v>23</v>
      </c>
      <c r="F702" t="s">
        <v>24</v>
      </c>
      <c r="G702" t="s">
        <v>25</v>
      </c>
      <c r="H702" t="s">
        <v>26</v>
      </c>
      <c r="I702">
        <v>7959865</v>
      </c>
      <c r="J702" t="s">
        <v>27</v>
      </c>
      <c r="K702" t="s">
        <v>986</v>
      </c>
      <c r="L702" t="s">
        <v>21</v>
      </c>
      <c r="M702" t="str">
        <f t="shared" si="30"/>
        <v>OK</v>
      </c>
      <c r="N702" t="str">
        <f t="shared" si="31"/>
        <v>1970s</v>
      </c>
      <c r="O702" t="str">
        <f t="shared" si="32"/>
        <v>N/A</v>
      </c>
      <c r="P702" t="str">
        <f>VLOOKUP(E702,calculated_fields!$F$4:$G$6,2,FALSE)</f>
        <v>Demographics</v>
      </c>
    </row>
    <row r="703" spans="1:16">
      <c r="A703" t="s">
        <v>988</v>
      </c>
      <c r="B703" t="s">
        <v>965</v>
      </c>
      <c r="C703" t="s">
        <v>130</v>
      </c>
      <c r="D703">
        <v>1977</v>
      </c>
      <c r="E703" t="s">
        <v>29</v>
      </c>
      <c r="F703" t="s">
        <v>30</v>
      </c>
      <c r="G703" t="s">
        <v>31</v>
      </c>
      <c r="H703" t="s">
        <v>32</v>
      </c>
      <c r="I703">
        <v>1783.432873</v>
      </c>
      <c r="J703" t="s">
        <v>33</v>
      </c>
      <c r="K703" t="s">
        <v>986</v>
      </c>
      <c r="L703" t="s">
        <v>21</v>
      </c>
      <c r="M703" t="str">
        <f t="shared" si="30"/>
        <v>OK</v>
      </c>
      <c r="N703" t="str">
        <f t="shared" si="31"/>
        <v>1970s</v>
      </c>
      <c r="O703" t="str">
        <f t="shared" si="32"/>
        <v>N/A</v>
      </c>
      <c r="P703" t="str">
        <f>VLOOKUP(E703,calculated_fields!$F$4:$G$6,2,FALSE)</f>
        <v>Economy</v>
      </c>
    </row>
    <row r="704" spans="1:16">
      <c r="A704" t="s">
        <v>989</v>
      </c>
      <c r="B704" t="s">
        <v>965</v>
      </c>
      <c r="C704" t="s">
        <v>130</v>
      </c>
      <c r="D704">
        <v>1982</v>
      </c>
      <c r="E704" t="s">
        <v>15</v>
      </c>
      <c r="F704" t="s">
        <v>16</v>
      </c>
      <c r="G704" t="s">
        <v>17</v>
      </c>
      <c r="H704" t="s">
        <v>18</v>
      </c>
      <c r="I704">
        <v>52.960999999999999</v>
      </c>
      <c r="J704" t="s">
        <v>19</v>
      </c>
      <c r="K704" t="s">
        <v>990</v>
      </c>
      <c r="L704" t="s">
        <v>21</v>
      </c>
      <c r="M704" t="str">
        <f t="shared" si="30"/>
        <v>OK</v>
      </c>
      <c r="N704" t="str">
        <f t="shared" si="31"/>
        <v>1980s</v>
      </c>
      <c r="O704" t="str">
        <f t="shared" si="32"/>
        <v>Low</v>
      </c>
      <c r="P704" t="str">
        <f>VLOOKUP(E704,calculated_fields!$F$4:$G$6,2,FALSE)</f>
        <v>Health</v>
      </c>
    </row>
    <row r="705" spans="1:16">
      <c r="A705" t="s">
        <v>991</v>
      </c>
      <c r="B705" t="s">
        <v>965</v>
      </c>
      <c r="C705" t="s">
        <v>130</v>
      </c>
      <c r="D705">
        <v>1982</v>
      </c>
      <c r="E705" t="s">
        <v>23</v>
      </c>
      <c r="F705" t="s">
        <v>24</v>
      </c>
      <c r="G705" t="s">
        <v>25</v>
      </c>
      <c r="H705" t="s">
        <v>26</v>
      </c>
      <c r="I705">
        <v>9250831</v>
      </c>
      <c r="J705" t="s">
        <v>27</v>
      </c>
      <c r="K705" t="s">
        <v>990</v>
      </c>
      <c r="L705" t="s">
        <v>21</v>
      </c>
      <c r="M705" t="str">
        <f t="shared" si="30"/>
        <v>OK</v>
      </c>
      <c r="N705" t="str">
        <f t="shared" si="31"/>
        <v>1980s</v>
      </c>
      <c r="O705" t="str">
        <f t="shared" si="32"/>
        <v>N/A</v>
      </c>
      <c r="P705" t="str">
        <f>VLOOKUP(E705,calculated_fields!$F$4:$G$6,2,FALSE)</f>
        <v>Demographics</v>
      </c>
    </row>
    <row r="706" spans="1:16">
      <c r="A706" t="s">
        <v>992</v>
      </c>
      <c r="B706" t="s">
        <v>965</v>
      </c>
      <c r="C706" t="s">
        <v>130</v>
      </c>
      <c r="D706">
        <v>1982</v>
      </c>
      <c r="E706" t="s">
        <v>29</v>
      </c>
      <c r="F706" t="s">
        <v>30</v>
      </c>
      <c r="G706" t="s">
        <v>31</v>
      </c>
      <c r="H706" t="s">
        <v>32</v>
      </c>
      <c r="I706">
        <v>2367.9832820000001</v>
      </c>
      <c r="J706" t="s">
        <v>33</v>
      </c>
      <c r="K706" t="s">
        <v>990</v>
      </c>
      <c r="L706" t="s">
        <v>21</v>
      </c>
      <c r="M706" t="str">
        <f t="shared" ref="M706:M769" si="33">IF(AND(ISNUMBER(I706),I706&gt;=0),"OK","Review")</f>
        <v>OK</v>
      </c>
      <c r="N706" t="str">
        <f t="shared" ref="N706:N769" si="34">FLOOR(D706,10)&amp;"s"</f>
        <v>1980s</v>
      </c>
      <c r="O706" t="str">
        <f t="shared" ref="O706:O769" si="35">IF(E706="LIFE_EXP",IF(I706&gt;=70,"High",IF(I706&gt;=55,"Medium","Low")),"N/A")</f>
        <v>N/A</v>
      </c>
      <c r="P706" t="str">
        <f>VLOOKUP(E706,calculated_fields!$F$4:$G$6,2,FALSE)</f>
        <v>Economy</v>
      </c>
    </row>
    <row r="707" spans="1:16">
      <c r="A707" t="s">
        <v>993</v>
      </c>
      <c r="B707" t="s">
        <v>965</v>
      </c>
      <c r="C707" t="s">
        <v>130</v>
      </c>
      <c r="D707">
        <v>1987</v>
      </c>
      <c r="E707" t="s">
        <v>15</v>
      </c>
      <c r="F707" t="s">
        <v>16</v>
      </c>
      <c r="G707" t="s">
        <v>17</v>
      </c>
      <c r="H707" t="s">
        <v>18</v>
      </c>
      <c r="I707">
        <v>54.984999999999999</v>
      </c>
      <c r="J707" t="s">
        <v>19</v>
      </c>
      <c r="K707" t="s">
        <v>994</v>
      </c>
      <c r="L707" t="s">
        <v>21</v>
      </c>
      <c r="M707" t="str">
        <f t="shared" si="33"/>
        <v>OK</v>
      </c>
      <c r="N707" t="str">
        <f t="shared" si="34"/>
        <v>1980s</v>
      </c>
      <c r="O707" t="str">
        <f t="shared" si="35"/>
        <v>Low</v>
      </c>
      <c r="P707" t="str">
        <f>VLOOKUP(E707,calculated_fields!$F$4:$G$6,2,FALSE)</f>
        <v>Health</v>
      </c>
    </row>
    <row r="708" spans="1:16">
      <c r="A708" t="s">
        <v>995</v>
      </c>
      <c r="B708" t="s">
        <v>965</v>
      </c>
      <c r="C708" t="s">
        <v>130</v>
      </c>
      <c r="D708">
        <v>1987</v>
      </c>
      <c r="E708" t="s">
        <v>23</v>
      </c>
      <c r="F708" t="s">
        <v>24</v>
      </c>
      <c r="G708" t="s">
        <v>25</v>
      </c>
      <c r="H708" t="s">
        <v>26</v>
      </c>
      <c r="I708">
        <v>10780667</v>
      </c>
      <c r="J708" t="s">
        <v>27</v>
      </c>
      <c r="K708" t="s">
        <v>994</v>
      </c>
      <c r="L708" t="s">
        <v>21</v>
      </c>
      <c r="M708" t="str">
        <f t="shared" si="33"/>
        <v>OK</v>
      </c>
      <c r="N708" t="str">
        <f t="shared" si="34"/>
        <v>1980s</v>
      </c>
      <c r="O708" t="str">
        <f t="shared" si="35"/>
        <v>N/A</v>
      </c>
      <c r="P708" t="str">
        <f>VLOOKUP(E708,calculated_fields!$F$4:$G$6,2,FALSE)</f>
        <v>Demographics</v>
      </c>
    </row>
    <row r="709" spans="1:16">
      <c r="A709" t="s">
        <v>996</v>
      </c>
      <c r="B709" t="s">
        <v>965</v>
      </c>
      <c r="C709" t="s">
        <v>130</v>
      </c>
      <c r="D709">
        <v>1987</v>
      </c>
      <c r="E709" t="s">
        <v>29</v>
      </c>
      <c r="F709" t="s">
        <v>30</v>
      </c>
      <c r="G709" t="s">
        <v>31</v>
      </c>
      <c r="H709" t="s">
        <v>32</v>
      </c>
      <c r="I709">
        <v>2602.6642059999999</v>
      </c>
      <c r="J709" t="s">
        <v>33</v>
      </c>
      <c r="K709" t="s">
        <v>994</v>
      </c>
      <c r="L709" t="s">
        <v>21</v>
      </c>
      <c r="M709" t="str">
        <f t="shared" si="33"/>
        <v>OK</v>
      </c>
      <c r="N709" t="str">
        <f t="shared" si="34"/>
        <v>1980s</v>
      </c>
      <c r="O709" t="str">
        <f t="shared" si="35"/>
        <v>N/A</v>
      </c>
      <c r="P709" t="str">
        <f>VLOOKUP(E709,calculated_fields!$F$4:$G$6,2,FALSE)</f>
        <v>Economy</v>
      </c>
    </row>
    <row r="710" spans="1:16">
      <c r="A710" t="s">
        <v>997</v>
      </c>
      <c r="B710" t="s">
        <v>965</v>
      </c>
      <c r="C710" t="s">
        <v>130</v>
      </c>
      <c r="D710">
        <v>1992</v>
      </c>
      <c r="E710" t="s">
        <v>15</v>
      </c>
      <c r="F710" t="s">
        <v>16</v>
      </c>
      <c r="G710" t="s">
        <v>17</v>
      </c>
      <c r="H710" t="s">
        <v>18</v>
      </c>
      <c r="I710">
        <v>54.313999999999901</v>
      </c>
      <c r="J710" t="s">
        <v>19</v>
      </c>
      <c r="K710" t="s">
        <v>998</v>
      </c>
      <c r="L710" t="s">
        <v>21</v>
      </c>
      <c r="M710" t="str">
        <f t="shared" si="33"/>
        <v>OK</v>
      </c>
      <c r="N710" t="str">
        <f t="shared" si="34"/>
        <v>1990s</v>
      </c>
      <c r="O710" t="str">
        <f t="shared" si="35"/>
        <v>Low</v>
      </c>
      <c r="P710" t="str">
        <f>VLOOKUP(E710,calculated_fields!$F$4:$G$6,2,FALSE)</f>
        <v>Health</v>
      </c>
    </row>
    <row r="711" spans="1:16">
      <c r="A711" t="s">
        <v>999</v>
      </c>
      <c r="B711" t="s">
        <v>965</v>
      </c>
      <c r="C711" t="s">
        <v>130</v>
      </c>
      <c r="D711">
        <v>1992</v>
      </c>
      <c r="E711" t="s">
        <v>23</v>
      </c>
      <c r="F711" t="s">
        <v>24</v>
      </c>
      <c r="G711" t="s">
        <v>25</v>
      </c>
      <c r="H711" t="s">
        <v>26</v>
      </c>
      <c r="I711">
        <v>12467171</v>
      </c>
      <c r="J711" t="s">
        <v>27</v>
      </c>
      <c r="K711" t="s">
        <v>998</v>
      </c>
      <c r="L711" t="s">
        <v>21</v>
      </c>
      <c r="M711" t="str">
        <f t="shared" si="33"/>
        <v>OK</v>
      </c>
      <c r="N711" t="str">
        <f t="shared" si="34"/>
        <v>1990s</v>
      </c>
      <c r="O711" t="str">
        <f t="shared" si="35"/>
        <v>N/A</v>
      </c>
      <c r="P711" t="str">
        <f>VLOOKUP(E711,calculated_fields!$F$4:$G$6,2,FALSE)</f>
        <v>Demographics</v>
      </c>
    </row>
    <row r="712" spans="1:16">
      <c r="A712" t="s">
        <v>1000</v>
      </c>
      <c r="B712" t="s">
        <v>965</v>
      </c>
      <c r="C712" t="s">
        <v>130</v>
      </c>
      <c r="D712">
        <v>1992</v>
      </c>
      <c r="E712" t="s">
        <v>29</v>
      </c>
      <c r="F712" t="s">
        <v>30</v>
      </c>
      <c r="G712" t="s">
        <v>31</v>
      </c>
      <c r="H712" t="s">
        <v>32</v>
      </c>
      <c r="I712">
        <v>1793.163278</v>
      </c>
      <c r="J712" t="s">
        <v>33</v>
      </c>
      <c r="K712" t="s">
        <v>998</v>
      </c>
      <c r="L712" t="s">
        <v>21</v>
      </c>
      <c r="M712" t="str">
        <f t="shared" si="33"/>
        <v>OK</v>
      </c>
      <c r="N712" t="str">
        <f t="shared" si="34"/>
        <v>1990s</v>
      </c>
      <c r="O712" t="str">
        <f t="shared" si="35"/>
        <v>N/A</v>
      </c>
      <c r="P712" t="str">
        <f>VLOOKUP(E712,calculated_fields!$F$4:$G$6,2,FALSE)</f>
        <v>Economy</v>
      </c>
    </row>
    <row r="713" spans="1:16">
      <c r="A713" t="s">
        <v>1001</v>
      </c>
      <c r="B713" t="s">
        <v>965</v>
      </c>
      <c r="C713" t="s">
        <v>130</v>
      </c>
      <c r="D713">
        <v>1997</v>
      </c>
      <c r="E713" t="s">
        <v>15</v>
      </c>
      <c r="F713" t="s">
        <v>16</v>
      </c>
      <c r="G713" t="s">
        <v>17</v>
      </c>
      <c r="H713" t="s">
        <v>18</v>
      </c>
      <c r="I713">
        <v>52.198999999999998</v>
      </c>
      <c r="J713" t="s">
        <v>19</v>
      </c>
      <c r="K713" t="s">
        <v>1002</v>
      </c>
      <c r="L713" t="s">
        <v>21</v>
      </c>
      <c r="M713" t="str">
        <f t="shared" si="33"/>
        <v>OK</v>
      </c>
      <c r="N713" t="str">
        <f t="shared" si="34"/>
        <v>1990s</v>
      </c>
      <c r="O713" t="str">
        <f t="shared" si="35"/>
        <v>Low</v>
      </c>
      <c r="P713" t="str">
        <f>VLOOKUP(E713,calculated_fields!$F$4:$G$6,2,FALSE)</f>
        <v>Health</v>
      </c>
    </row>
    <row r="714" spans="1:16">
      <c r="A714" t="s">
        <v>1003</v>
      </c>
      <c r="B714" t="s">
        <v>965</v>
      </c>
      <c r="C714" t="s">
        <v>130</v>
      </c>
      <c r="D714">
        <v>1997</v>
      </c>
      <c r="E714" t="s">
        <v>23</v>
      </c>
      <c r="F714" t="s">
        <v>24</v>
      </c>
      <c r="G714" t="s">
        <v>25</v>
      </c>
      <c r="H714" t="s">
        <v>26</v>
      </c>
      <c r="I714">
        <v>14195809</v>
      </c>
      <c r="J714" t="s">
        <v>27</v>
      </c>
      <c r="K714" t="s">
        <v>1002</v>
      </c>
      <c r="L714" t="s">
        <v>21</v>
      </c>
      <c r="M714" t="str">
        <f t="shared" si="33"/>
        <v>OK</v>
      </c>
      <c r="N714" t="str">
        <f t="shared" si="34"/>
        <v>1990s</v>
      </c>
      <c r="O714" t="str">
        <f t="shared" si="35"/>
        <v>N/A</v>
      </c>
      <c r="P714" t="str">
        <f>VLOOKUP(E714,calculated_fields!$F$4:$G$6,2,FALSE)</f>
        <v>Demographics</v>
      </c>
    </row>
    <row r="715" spans="1:16">
      <c r="A715" t="s">
        <v>1004</v>
      </c>
      <c r="B715" t="s">
        <v>965</v>
      </c>
      <c r="C715" t="s">
        <v>130</v>
      </c>
      <c r="D715">
        <v>1997</v>
      </c>
      <c r="E715" t="s">
        <v>29</v>
      </c>
      <c r="F715" t="s">
        <v>30</v>
      </c>
      <c r="G715" t="s">
        <v>31</v>
      </c>
      <c r="H715" t="s">
        <v>32</v>
      </c>
      <c r="I715">
        <v>1694.3374690000001</v>
      </c>
      <c r="J715" t="s">
        <v>33</v>
      </c>
      <c r="K715" t="s">
        <v>1002</v>
      </c>
      <c r="L715" t="s">
        <v>21</v>
      </c>
      <c r="M715" t="str">
        <f t="shared" si="33"/>
        <v>OK</v>
      </c>
      <c r="N715" t="str">
        <f t="shared" si="34"/>
        <v>1990s</v>
      </c>
      <c r="O715" t="str">
        <f t="shared" si="35"/>
        <v>N/A</v>
      </c>
      <c r="P715" t="str">
        <f>VLOOKUP(E715,calculated_fields!$F$4:$G$6,2,FALSE)</f>
        <v>Economy</v>
      </c>
    </row>
    <row r="716" spans="1:16">
      <c r="A716" t="s">
        <v>1005</v>
      </c>
      <c r="B716" t="s">
        <v>965</v>
      </c>
      <c r="C716" t="s">
        <v>130</v>
      </c>
      <c r="D716">
        <v>2002</v>
      </c>
      <c r="E716" t="s">
        <v>15</v>
      </c>
      <c r="F716" t="s">
        <v>16</v>
      </c>
      <c r="G716" t="s">
        <v>17</v>
      </c>
      <c r="H716" t="s">
        <v>18</v>
      </c>
      <c r="I716">
        <v>49.856000000000002</v>
      </c>
      <c r="J716" t="s">
        <v>19</v>
      </c>
      <c r="K716" t="s">
        <v>1006</v>
      </c>
      <c r="L716" t="s">
        <v>21</v>
      </c>
      <c r="M716" t="str">
        <f t="shared" si="33"/>
        <v>OK</v>
      </c>
      <c r="N716" t="str">
        <f t="shared" si="34"/>
        <v>2000s</v>
      </c>
      <c r="O716" t="str">
        <f t="shared" si="35"/>
        <v>Low</v>
      </c>
      <c r="P716" t="str">
        <f>VLOOKUP(E716,calculated_fields!$F$4:$G$6,2,FALSE)</f>
        <v>Health</v>
      </c>
    </row>
    <row r="717" spans="1:16">
      <c r="A717" t="s">
        <v>1007</v>
      </c>
      <c r="B717" t="s">
        <v>965</v>
      </c>
      <c r="C717" t="s">
        <v>130</v>
      </c>
      <c r="D717">
        <v>2002</v>
      </c>
      <c r="E717" t="s">
        <v>23</v>
      </c>
      <c r="F717" t="s">
        <v>24</v>
      </c>
      <c r="G717" t="s">
        <v>25</v>
      </c>
      <c r="H717" t="s">
        <v>26</v>
      </c>
      <c r="I717">
        <v>15929988</v>
      </c>
      <c r="J717" t="s">
        <v>27</v>
      </c>
      <c r="K717" t="s">
        <v>1006</v>
      </c>
      <c r="L717" t="s">
        <v>21</v>
      </c>
      <c r="M717" t="str">
        <f t="shared" si="33"/>
        <v>OK</v>
      </c>
      <c r="N717" t="str">
        <f t="shared" si="34"/>
        <v>2000s</v>
      </c>
      <c r="O717" t="str">
        <f t="shared" si="35"/>
        <v>N/A</v>
      </c>
      <c r="P717" t="str">
        <f>VLOOKUP(E717,calculated_fields!$F$4:$G$6,2,FALSE)</f>
        <v>Demographics</v>
      </c>
    </row>
    <row r="718" spans="1:16">
      <c r="A718" t="s">
        <v>1008</v>
      </c>
      <c r="B718" t="s">
        <v>965</v>
      </c>
      <c r="C718" t="s">
        <v>130</v>
      </c>
      <c r="D718">
        <v>2002</v>
      </c>
      <c r="E718" t="s">
        <v>29</v>
      </c>
      <c r="F718" t="s">
        <v>30</v>
      </c>
      <c r="G718" t="s">
        <v>31</v>
      </c>
      <c r="H718" t="s">
        <v>32</v>
      </c>
      <c r="I718">
        <v>1934.0114490000001</v>
      </c>
      <c r="J718" t="s">
        <v>33</v>
      </c>
      <c r="K718" t="s">
        <v>1006</v>
      </c>
      <c r="L718" t="s">
        <v>21</v>
      </c>
      <c r="M718" t="str">
        <f t="shared" si="33"/>
        <v>OK</v>
      </c>
      <c r="N718" t="str">
        <f t="shared" si="34"/>
        <v>2000s</v>
      </c>
      <c r="O718" t="str">
        <f t="shared" si="35"/>
        <v>N/A</v>
      </c>
      <c r="P718" t="str">
        <f>VLOOKUP(E718,calculated_fields!$F$4:$G$6,2,FALSE)</f>
        <v>Economy</v>
      </c>
    </row>
    <row r="719" spans="1:16">
      <c r="A719" t="s">
        <v>1009</v>
      </c>
      <c r="B719" t="s">
        <v>965</v>
      </c>
      <c r="C719" t="s">
        <v>130</v>
      </c>
      <c r="D719">
        <v>2007</v>
      </c>
      <c r="E719" t="s">
        <v>15</v>
      </c>
      <c r="F719" t="s">
        <v>16</v>
      </c>
      <c r="G719" t="s">
        <v>17</v>
      </c>
      <c r="H719" t="s">
        <v>18</v>
      </c>
      <c r="I719">
        <v>50.43</v>
      </c>
      <c r="J719" t="s">
        <v>19</v>
      </c>
      <c r="K719" t="s">
        <v>1010</v>
      </c>
      <c r="L719" t="s">
        <v>21</v>
      </c>
      <c r="M719" t="str">
        <f t="shared" si="33"/>
        <v>OK</v>
      </c>
      <c r="N719" t="str">
        <f t="shared" si="34"/>
        <v>2000s</v>
      </c>
      <c r="O719" t="str">
        <f t="shared" si="35"/>
        <v>Low</v>
      </c>
      <c r="P719" t="str">
        <f>VLOOKUP(E719,calculated_fields!$F$4:$G$6,2,FALSE)</f>
        <v>Health</v>
      </c>
    </row>
    <row r="720" spans="1:16">
      <c r="A720" t="s">
        <v>1011</v>
      </c>
      <c r="B720" t="s">
        <v>965</v>
      </c>
      <c r="C720" t="s">
        <v>130</v>
      </c>
      <c r="D720">
        <v>2007</v>
      </c>
      <c r="E720" t="s">
        <v>23</v>
      </c>
      <c r="F720" t="s">
        <v>24</v>
      </c>
      <c r="G720" t="s">
        <v>25</v>
      </c>
      <c r="H720" t="s">
        <v>26</v>
      </c>
      <c r="I720">
        <v>17696293</v>
      </c>
      <c r="J720" t="s">
        <v>27</v>
      </c>
      <c r="K720" t="s">
        <v>1010</v>
      </c>
      <c r="L720" t="s">
        <v>21</v>
      </c>
      <c r="M720" t="str">
        <f t="shared" si="33"/>
        <v>OK</v>
      </c>
      <c r="N720" t="str">
        <f t="shared" si="34"/>
        <v>2000s</v>
      </c>
      <c r="O720" t="str">
        <f t="shared" si="35"/>
        <v>N/A</v>
      </c>
      <c r="P720" t="str">
        <f>VLOOKUP(E720,calculated_fields!$F$4:$G$6,2,FALSE)</f>
        <v>Demographics</v>
      </c>
    </row>
    <row r="721" spans="1:16">
      <c r="A721" t="s">
        <v>1012</v>
      </c>
      <c r="B721" t="s">
        <v>965</v>
      </c>
      <c r="C721" t="s">
        <v>130</v>
      </c>
      <c r="D721">
        <v>2007</v>
      </c>
      <c r="E721" t="s">
        <v>29</v>
      </c>
      <c r="F721" t="s">
        <v>30</v>
      </c>
      <c r="G721" t="s">
        <v>31</v>
      </c>
      <c r="H721" t="s">
        <v>32</v>
      </c>
      <c r="I721">
        <v>2042.0952400000001</v>
      </c>
      <c r="J721" t="s">
        <v>33</v>
      </c>
      <c r="K721" t="s">
        <v>1010</v>
      </c>
      <c r="L721" t="s">
        <v>21</v>
      </c>
      <c r="M721" t="str">
        <f t="shared" si="33"/>
        <v>OK</v>
      </c>
      <c r="N721" t="str">
        <f t="shared" si="34"/>
        <v>2000s</v>
      </c>
      <c r="O721" t="str">
        <f t="shared" si="35"/>
        <v>N/A</v>
      </c>
      <c r="P721" t="str">
        <f>VLOOKUP(E721,calculated_fields!$F$4:$G$6,2,FALSE)</f>
        <v>Economy</v>
      </c>
    </row>
    <row r="722" spans="1:16">
      <c r="A722" t="s">
        <v>1013</v>
      </c>
      <c r="B722" t="s">
        <v>1014</v>
      </c>
      <c r="C722" t="s">
        <v>229</v>
      </c>
      <c r="D722">
        <v>1952</v>
      </c>
      <c r="E722" t="s">
        <v>15</v>
      </c>
      <c r="F722" t="s">
        <v>16</v>
      </c>
      <c r="G722" t="s">
        <v>17</v>
      </c>
      <c r="H722" t="s">
        <v>18</v>
      </c>
      <c r="I722">
        <v>68.75</v>
      </c>
      <c r="J722" t="s">
        <v>19</v>
      </c>
      <c r="K722" t="s">
        <v>1015</v>
      </c>
      <c r="L722" t="s">
        <v>21</v>
      </c>
      <c r="M722" t="str">
        <f t="shared" si="33"/>
        <v>OK</v>
      </c>
      <c r="N722" t="str">
        <f t="shared" si="34"/>
        <v>1950s</v>
      </c>
      <c r="O722" t="str">
        <f t="shared" si="35"/>
        <v>Medium</v>
      </c>
      <c r="P722" t="str">
        <f>VLOOKUP(E722,calculated_fields!$F$4:$G$6,2,FALSE)</f>
        <v>Health</v>
      </c>
    </row>
    <row r="723" spans="1:16">
      <c r="A723" t="s">
        <v>1016</v>
      </c>
      <c r="B723" t="s">
        <v>1014</v>
      </c>
      <c r="C723" t="s">
        <v>229</v>
      </c>
      <c r="D723">
        <v>1952</v>
      </c>
      <c r="E723" t="s">
        <v>23</v>
      </c>
      <c r="F723" t="s">
        <v>24</v>
      </c>
      <c r="G723" t="s">
        <v>25</v>
      </c>
      <c r="H723" t="s">
        <v>26</v>
      </c>
      <c r="I723">
        <v>14785584</v>
      </c>
      <c r="J723" t="s">
        <v>27</v>
      </c>
      <c r="K723" t="s">
        <v>1015</v>
      </c>
      <c r="L723" t="s">
        <v>21</v>
      </c>
      <c r="M723" t="str">
        <f t="shared" si="33"/>
        <v>OK</v>
      </c>
      <c r="N723" t="str">
        <f t="shared" si="34"/>
        <v>1950s</v>
      </c>
      <c r="O723" t="str">
        <f t="shared" si="35"/>
        <v>N/A</v>
      </c>
      <c r="P723" t="str">
        <f>VLOOKUP(E723,calculated_fields!$F$4:$G$6,2,FALSE)</f>
        <v>Demographics</v>
      </c>
    </row>
    <row r="724" spans="1:16">
      <c r="A724" t="s">
        <v>1017</v>
      </c>
      <c r="B724" t="s">
        <v>1014</v>
      </c>
      <c r="C724" t="s">
        <v>229</v>
      </c>
      <c r="D724">
        <v>1952</v>
      </c>
      <c r="E724" t="s">
        <v>29</v>
      </c>
      <c r="F724" t="s">
        <v>30</v>
      </c>
      <c r="G724" t="s">
        <v>31</v>
      </c>
      <c r="H724" t="s">
        <v>32</v>
      </c>
      <c r="I724">
        <v>11367.161120000001</v>
      </c>
      <c r="J724" t="s">
        <v>33</v>
      </c>
      <c r="K724" t="s">
        <v>1015</v>
      </c>
      <c r="L724" t="s">
        <v>21</v>
      </c>
      <c r="M724" t="str">
        <f t="shared" si="33"/>
        <v>OK</v>
      </c>
      <c r="N724" t="str">
        <f t="shared" si="34"/>
        <v>1950s</v>
      </c>
      <c r="O724" t="str">
        <f t="shared" si="35"/>
        <v>N/A</v>
      </c>
      <c r="P724" t="str">
        <f>VLOOKUP(E724,calculated_fields!$F$4:$G$6,2,FALSE)</f>
        <v>Economy</v>
      </c>
    </row>
    <row r="725" spans="1:16">
      <c r="A725" t="s">
        <v>1018</v>
      </c>
      <c r="B725" t="s">
        <v>1014</v>
      </c>
      <c r="C725" t="s">
        <v>229</v>
      </c>
      <c r="D725">
        <v>1957</v>
      </c>
      <c r="E725" t="s">
        <v>15</v>
      </c>
      <c r="F725" t="s">
        <v>16</v>
      </c>
      <c r="G725" t="s">
        <v>17</v>
      </c>
      <c r="H725" t="s">
        <v>18</v>
      </c>
      <c r="I725">
        <v>69.959999999999994</v>
      </c>
      <c r="J725" t="s">
        <v>19</v>
      </c>
      <c r="K725" t="s">
        <v>1019</v>
      </c>
      <c r="L725" t="s">
        <v>21</v>
      </c>
      <c r="M725" t="str">
        <f t="shared" si="33"/>
        <v>OK</v>
      </c>
      <c r="N725" t="str">
        <f t="shared" si="34"/>
        <v>1950s</v>
      </c>
      <c r="O725" t="str">
        <f t="shared" si="35"/>
        <v>Medium</v>
      </c>
      <c r="P725" t="str">
        <f>VLOOKUP(E725,calculated_fields!$F$4:$G$6,2,FALSE)</f>
        <v>Health</v>
      </c>
    </row>
    <row r="726" spans="1:16">
      <c r="A726" t="s">
        <v>1020</v>
      </c>
      <c r="B726" t="s">
        <v>1014</v>
      </c>
      <c r="C726" t="s">
        <v>229</v>
      </c>
      <c r="D726">
        <v>1957</v>
      </c>
      <c r="E726" t="s">
        <v>23</v>
      </c>
      <c r="F726" t="s">
        <v>24</v>
      </c>
      <c r="G726" t="s">
        <v>25</v>
      </c>
      <c r="H726" t="s">
        <v>26</v>
      </c>
      <c r="I726">
        <v>17010154</v>
      </c>
      <c r="J726" t="s">
        <v>27</v>
      </c>
      <c r="K726" t="s">
        <v>1019</v>
      </c>
      <c r="L726" t="s">
        <v>21</v>
      </c>
      <c r="M726" t="str">
        <f t="shared" si="33"/>
        <v>OK</v>
      </c>
      <c r="N726" t="str">
        <f t="shared" si="34"/>
        <v>1950s</v>
      </c>
      <c r="O726" t="str">
        <f t="shared" si="35"/>
        <v>N/A</v>
      </c>
      <c r="P726" t="str">
        <f>VLOOKUP(E726,calculated_fields!$F$4:$G$6,2,FALSE)</f>
        <v>Demographics</v>
      </c>
    </row>
    <row r="727" spans="1:16">
      <c r="A727" t="s">
        <v>1021</v>
      </c>
      <c r="B727" t="s">
        <v>1014</v>
      </c>
      <c r="C727" t="s">
        <v>229</v>
      </c>
      <c r="D727">
        <v>1957</v>
      </c>
      <c r="E727" t="s">
        <v>29</v>
      </c>
      <c r="F727" t="s">
        <v>30</v>
      </c>
      <c r="G727" t="s">
        <v>31</v>
      </c>
      <c r="H727" t="s">
        <v>32</v>
      </c>
      <c r="I727">
        <v>12489.950059999999</v>
      </c>
      <c r="J727" t="s">
        <v>33</v>
      </c>
      <c r="K727" t="s">
        <v>1019</v>
      </c>
      <c r="L727" t="s">
        <v>21</v>
      </c>
      <c r="M727" t="str">
        <f t="shared" si="33"/>
        <v>OK</v>
      </c>
      <c r="N727" t="str">
        <f t="shared" si="34"/>
        <v>1950s</v>
      </c>
      <c r="O727" t="str">
        <f t="shared" si="35"/>
        <v>N/A</v>
      </c>
      <c r="P727" t="str">
        <f>VLOOKUP(E727,calculated_fields!$F$4:$G$6,2,FALSE)</f>
        <v>Economy</v>
      </c>
    </row>
    <row r="728" spans="1:16">
      <c r="A728" t="s">
        <v>1022</v>
      </c>
      <c r="B728" t="s">
        <v>1014</v>
      </c>
      <c r="C728" t="s">
        <v>229</v>
      </c>
      <c r="D728">
        <v>1962</v>
      </c>
      <c r="E728" t="s">
        <v>15</v>
      </c>
      <c r="F728" t="s">
        <v>16</v>
      </c>
      <c r="G728" t="s">
        <v>17</v>
      </c>
      <c r="H728" t="s">
        <v>18</v>
      </c>
      <c r="I728">
        <v>71.3</v>
      </c>
      <c r="J728" t="s">
        <v>19</v>
      </c>
      <c r="K728" t="s">
        <v>1023</v>
      </c>
      <c r="L728" t="s">
        <v>21</v>
      </c>
      <c r="M728" t="str">
        <f t="shared" si="33"/>
        <v>OK</v>
      </c>
      <c r="N728" t="str">
        <f t="shared" si="34"/>
        <v>1960s</v>
      </c>
      <c r="O728" t="str">
        <f t="shared" si="35"/>
        <v>High</v>
      </c>
      <c r="P728" t="str">
        <f>VLOOKUP(E728,calculated_fields!$F$4:$G$6,2,FALSE)</f>
        <v>Health</v>
      </c>
    </row>
    <row r="729" spans="1:16">
      <c r="A729" t="s">
        <v>1024</v>
      </c>
      <c r="B729" t="s">
        <v>1014</v>
      </c>
      <c r="C729" t="s">
        <v>229</v>
      </c>
      <c r="D729">
        <v>1962</v>
      </c>
      <c r="E729" t="s">
        <v>23</v>
      </c>
      <c r="F729" t="s">
        <v>24</v>
      </c>
      <c r="G729" t="s">
        <v>25</v>
      </c>
      <c r="H729" t="s">
        <v>26</v>
      </c>
      <c r="I729">
        <v>18985849</v>
      </c>
      <c r="J729" t="s">
        <v>27</v>
      </c>
      <c r="K729" t="s">
        <v>1023</v>
      </c>
      <c r="L729" t="s">
        <v>21</v>
      </c>
      <c r="M729" t="str">
        <f t="shared" si="33"/>
        <v>OK</v>
      </c>
      <c r="N729" t="str">
        <f t="shared" si="34"/>
        <v>1960s</v>
      </c>
      <c r="O729" t="str">
        <f t="shared" si="35"/>
        <v>N/A</v>
      </c>
      <c r="P729" t="str">
        <f>VLOOKUP(E729,calculated_fields!$F$4:$G$6,2,FALSE)</f>
        <v>Demographics</v>
      </c>
    </row>
    <row r="730" spans="1:16">
      <c r="A730" t="s">
        <v>1025</v>
      </c>
      <c r="B730" t="s">
        <v>1014</v>
      </c>
      <c r="C730" t="s">
        <v>229</v>
      </c>
      <c r="D730">
        <v>1962</v>
      </c>
      <c r="E730" t="s">
        <v>29</v>
      </c>
      <c r="F730" t="s">
        <v>30</v>
      </c>
      <c r="G730" t="s">
        <v>31</v>
      </c>
      <c r="H730" t="s">
        <v>32</v>
      </c>
      <c r="I730">
        <v>13462.485549999999</v>
      </c>
      <c r="J730" t="s">
        <v>33</v>
      </c>
      <c r="K730" t="s">
        <v>1023</v>
      </c>
      <c r="L730" t="s">
        <v>21</v>
      </c>
      <c r="M730" t="str">
        <f t="shared" si="33"/>
        <v>OK</v>
      </c>
      <c r="N730" t="str">
        <f t="shared" si="34"/>
        <v>1960s</v>
      </c>
      <c r="O730" t="str">
        <f t="shared" si="35"/>
        <v>N/A</v>
      </c>
      <c r="P730" t="str">
        <f>VLOOKUP(E730,calculated_fields!$F$4:$G$6,2,FALSE)</f>
        <v>Economy</v>
      </c>
    </row>
    <row r="731" spans="1:16">
      <c r="A731" t="s">
        <v>1026</v>
      </c>
      <c r="B731" t="s">
        <v>1014</v>
      </c>
      <c r="C731" t="s">
        <v>229</v>
      </c>
      <c r="D731">
        <v>1967</v>
      </c>
      <c r="E731" t="s">
        <v>15</v>
      </c>
      <c r="F731" t="s">
        <v>16</v>
      </c>
      <c r="G731" t="s">
        <v>17</v>
      </c>
      <c r="H731" t="s">
        <v>18</v>
      </c>
      <c r="I731">
        <v>72.13</v>
      </c>
      <c r="J731" t="s">
        <v>19</v>
      </c>
      <c r="K731" t="s">
        <v>1027</v>
      </c>
      <c r="L731" t="s">
        <v>21</v>
      </c>
      <c r="M731" t="str">
        <f t="shared" si="33"/>
        <v>OK</v>
      </c>
      <c r="N731" t="str">
        <f t="shared" si="34"/>
        <v>1960s</v>
      </c>
      <c r="O731" t="str">
        <f t="shared" si="35"/>
        <v>High</v>
      </c>
      <c r="P731" t="str">
        <f>VLOOKUP(E731,calculated_fields!$F$4:$G$6,2,FALSE)</f>
        <v>Health</v>
      </c>
    </row>
    <row r="732" spans="1:16">
      <c r="A732" t="s">
        <v>1028</v>
      </c>
      <c r="B732" t="s">
        <v>1014</v>
      </c>
      <c r="C732" t="s">
        <v>229</v>
      </c>
      <c r="D732">
        <v>1967</v>
      </c>
      <c r="E732" t="s">
        <v>23</v>
      </c>
      <c r="F732" t="s">
        <v>24</v>
      </c>
      <c r="G732" t="s">
        <v>25</v>
      </c>
      <c r="H732" t="s">
        <v>26</v>
      </c>
      <c r="I732">
        <v>20819767</v>
      </c>
      <c r="J732" t="s">
        <v>27</v>
      </c>
      <c r="K732" t="s">
        <v>1027</v>
      </c>
      <c r="L732" t="s">
        <v>21</v>
      </c>
      <c r="M732" t="str">
        <f t="shared" si="33"/>
        <v>OK</v>
      </c>
      <c r="N732" t="str">
        <f t="shared" si="34"/>
        <v>1960s</v>
      </c>
      <c r="O732" t="str">
        <f t="shared" si="35"/>
        <v>N/A</v>
      </c>
      <c r="P732" t="str">
        <f>VLOOKUP(E732,calculated_fields!$F$4:$G$6,2,FALSE)</f>
        <v>Demographics</v>
      </c>
    </row>
    <row r="733" spans="1:16">
      <c r="A733" t="s">
        <v>1029</v>
      </c>
      <c r="B733" t="s">
        <v>1014</v>
      </c>
      <c r="C733" t="s">
        <v>229</v>
      </c>
      <c r="D733">
        <v>1967</v>
      </c>
      <c r="E733" t="s">
        <v>29</v>
      </c>
      <c r="F733" t="s">
        <v>30</v>
      </c>
      <c r="G733" t="s">
        <v>31</v>
      </c>
      <c r="H733" t="s">
        <v>32</v>
      </c>
      <c r="I733">
        <v>16076.588030000001</v>
      </c>
      <c r="J733" t="s">
        <v>33</v>
      </c>
      <c r="K733" t="s">
        <v>1027</v>
      </c>
      <c r="L733" t="s">
        <v>21</v>
      </c>
      <c r="M733" t="str">
        <f t="shared" si="33"/>
        <v>OK</v>
      </c>
      <c r="N733" t="str">
        <f t="shared" si="34"/>
        <v>1960s</v>
      </c>
      <c r="O733" t="str">
        <f t="shared" si="35"/>
        <v>N/A</v>
      </c>
      <c r="P733" t="str">
        <f>VLOOKUP(E733,calculated_fields!$F$4:$G$6,2,FALSE)</f>
        <v>Economy</v>
      </c>
    </row>
    <row r="734" spans="1:16">
      <c r="A734" t="s">
        <v>1030</v>
      </c>
      <c r="B734" t="s">
        <v>1014</v>
      </c>
      <c r="C734" t="s">
        <v>229</v>
      </c>
      <c r="D734">
        <v>1972</v>
      </c>
      <c r="E734" t="s">
        <v>15</v>
      </c>
      <c r="F734" t="s">
        <v>16</v>
      </c>
      <c r="G734" t="s">
        <v>17</v>
      </c>
      <c r="H734" t="s">
        <v>18</v>
      </c>
      <c r="I734">
        <v>72.88</v>
      </c>
      <c r="J734" t="s">
        <v>19</v>
      </c>
      <c r="K734" t="s">
        <v>1031</v>
      </c>
      <c r="L734" t="s">
        <v>21</v>
      </c>
      <c r="M734" t="str">
        <f t="shared" si="33"/>
        <v>OK</v>
      </c>
      <c r="N734" t="str">
        <f t="shared" si="34"/>
        <v>1970s</v>
      </c>
      <c r="O734" t="str">
        <f t="shared" si="35"/>
        <v>High</v>
      </c>
      <c r="P734" t="str">
        <f>VLOOKUP(E734,calculated_fields!$F$4:$G$6,2,FALSE)</f>
        <v>Health</v>
      </c>
    </row>
    <row r="735" spans="1:16">
      <c r="A735" t="s">
        <v>1032</v>
      </c>
      <c r="B735" t="s">
        <v>1014</v>
      </c>
      <c r="C735" t="s">
        <v>229</v>
      </c>
      <c r="D735">
        <v>1972</v>
      </c>
      <c r="E735" t="s">
        <v>23</v>
      </c>
      <c r="F735" t="s">
        <v>24</v>
      </c>
      <c r="G735" t="s">
        <v>25</v>
      </c>
      <c r="H735" t="s">
        <v>26</v>
      </c>
      <c r="I735">
        <v>22284500</v>
      </c>
      <c r="J735" t="s">
        <v>27</v>
      </c>
      <c r="K735" t="s">
        <v>1031</v>
      </c>
      <c r="L735" t="s">
        <v>21</v>
      </c>
      <c r="M735" t="str">
        <f t="shared" si="33"/>
        <v>OK</v>
      </c>
      <c r="N735" t="str">
        <f t="shared" si="34"/>
        <v>1970s</v>
      </c>
      <c r="O735" t="str">
        <f t="shared" si="35"/>
        <v>N/A</v>
      </c>
      <c r="P735" t="str">
        <f>VLOOKUP(E735,calculated_fields!$F$4:$G$6,2,FALSE)</f>
        <v>Demographics</v>
      </c>
    </row>
    <row r="736" spans="1:16">
      <c r="A736" t="s">
        <v>1033</v>
      </c>
      <c r="B736" t="s">
        <v>1014</v>
      </c>
      <c r="C736" t="s">
        <v>229</v>
      </c>
      <c r="D736">
        <v>1972</v>
      </c>
      <c r="E736" t="s">
        <v>29</v>
      </c>
      <c r="F736" t="s">
        <v>30</v>
      </c>
      <c r="G736" t="s">
        <v>31</v>
      </c>
      <c r="H736" t="s">
        <v>32</v>
      </c>
      <c r="I736">
        <v>18970.57086</v>
      </c>
      <c r="J736" t="s">
        <v>33</v>
      </c>
      <c r="K736" t="s">
        <v>1031</v>
      </c>
      <c r="L736" t="s">
        <v>21</v>
      </c>
      <c r="M736" t="str">
        <f t="shared" si="33"/>
        <v>OK</v>
      </c>
      <c r="N736" t="str">
        <f t="shared" si="34"/>
        <v>1970s</v>
      </c>
      <c r="O736" t="str">
        <f t="shared" si="35"/>
        <v>N/A</v>
      </c>
      <c r="P736" t="str">
        <f>VLOOKUP(E736,calculated_fields!$F$4:$G$6,2,FALSE)</f>
        <v>Economy</v>
      </c>
    </row>
    <row r="737" spans="1:16">
      <c r="A737" t="s">
        <v>1034</v>
      </c>
      <c r="B737" t="s">
        <v>1014</v>
      </c>
      <c r="C737" t="s">
        <v>229</v>
      </c>
      <c r="D737">
        <v>1977</v>
      </c>
      <c r="E737" t="s">
        <v>15</v>
      </c>
      <c r="F737" t="s">
        <v>16</v>
      </c>
      <c r="G737" t="s">
        <v>17</v>
      </c>
      <c r="H737" t="s">
        <v>18</v>
      </c>
      <c r="I737">
        <v>74.209999999999994</v>
      </c>
      <c r="J737" t="s">
        <v>19</v>
      </c>
      <c r="K737" t="s">
        <v>1035</v>
      </c>
      <c r="L737" t="s">
        <v>21</v>
      </c>
      <c r="M737" t="str">
        <f t="shared" si="33"/>
        <v>OK</v>
      </c>
      <c r="N737" t="str">
        <f t="shared" si="34"/>
        <v>1970s</v>
      </c>
      <c r="O737" t="str">
        <f t="shared" si="35"/>
        <v>High</v>
      </c>
      <c r="P737" t="str">
        <f>VLOOKUP(E737,calculated_fields!$F$4:$G$6,2,FALSE)</f>
        <v>Health</v>
      </c>
    </row>
    <row r="738" spans="1:16">
      <c r="A738" t="s">
        <v>1036</v>
      </c>
      <c r="B738" t="s">
        <v>1014</v>
      </c>
      <c r="C738" t="s">
        <v>229</v>
      </c>
      <c r="D738">
        <v>1977</v>
      </c>
      <c r="E738" t="s">
        <v>23</v>
      </c>
      <c r="F738" t="s">
        <v>24</v>
      </c>
      <c r="G738" t="s">
        <v>25</v>
      </c>
      <c r="H738" t="s">
        <v>26</v>
      </c>
      <c r="I738">
        <v>23796400</v>
      </c>
      <c r="J738" t="s">
        <v>27</v>
      </c>
      <c r="K738" t="s">
        <v>1035</v>
      </c>
      <c r="L738" t="s">
        <v>21</v>
      </c>
      <c r="M738" t="str">
        <f t="shared" si="33"/>
        <v>OK</v>
      </c>
      <c r="N738" t="str">
        <f t="shared" si="34"/>
        <v>1970s</v>
      </c>
      <c r="O738" t="str">
        <f t="shared" si="35"/>
        <v>N/A</v>
      </c>
      <c r="P738" t="str">
        <f>VLOOKUP(E738,calculated_fields!$F$4:$G$6,2,FALSE)</f>
        <v>Demographics</v>
      </c>
    </row>
    <row r="739" spans="1:16">
      <c r="A739" t="s">
        <v>1037</v>
      </c>
      <c r="B739" t="s">
        <v>1014</v>
      </c>
      <c r="C739" t="s">
        <v>229</v>
      </c>
      <c r="D739">
        <v>1977</v>
      </c>
      <c r="E739" t="s">
        <v>29</v>
      </c>
      <c r="F739" t="s">
        <v>30</v>
      </c>
      <c r="G739" t="s">
        <v>31</v>
      </c>
      <c r="H739" t="s">
        <v>32</v>
      </c>
      <c r="I739">
        <v>22090.88306</v>
      </c>
      <c r="J739" t="s">
        <v>33</v>
      </c>
      <c r="K739" t="s">
        <v>1035</v>
      </c>
      <c r="L739" t="s">
        <v>21</v>
      </c>
      <c r="M739" t="str">
        <f t="shared" si="33"/>
        <v>OK</v>
      </c>
      <c r="N739" t="str">
        <f t="shared" si="34"/>
        <v>1970s</v>
      </c>
      <c r="O739" t="str">
        <f t="shared" si="35"/>
        <v>N/A</v>
      </c>
      <c r="P739" t="str">
        <f>VLOOKUP(E739,calculated_fields!$F$4:$G$6,2,FALSE)</f>
        <v>Economy</v>
      </c>
    </row>
    <row r="740" spans="1:16">
      <c r="A740" t="s">
        <v>1038</v>
      </c>
      <c r="B740" t="s">
        <v>1014</v>
      </c>
      <c r="C740" t="s">
        <v>229</v>
      </c>
      <c r="D740">
        <v>1982</v>
      </c>
      <c r="E740" t="s">
        <v>15</v>
      </c>
      <c r="F740" t="s">
        <v>16</v>
      </c>
      <c r="G740" t="s">
        <v>17</v>
      </c>
      <c r="H740" t="s">
        <v>18</v>
      </c>
      <c r="I740">
        <v>75.760000000000005</v>
      </c>
      <c r="J740" t="s">
        <v>19</v>
      </c>
      <c r="K740" t="s">
        <v>1039</v>
      </c>
      <c r="L740" t="s">
        <v>21</v>
      </c>
      <c r="M740" t="str">
        <f t="shared" si="33"/>
        <v>OK</v>
      </c>
      <c r="N740" t="str">
        <f t="shared" si="34"/>
        <v>1980s</v>
      </c>
      <c r="O740" t="str">
        <f t="shared" si="35"/>
        <v>High</v>
      </c>
      <c r="P740" t="str">
        <f>VLOOKUP(E740,calculated_fields!$F$4:$G$6,2,FALSE)</f>
        <v>Health</v>
      </c>
    </row>
    <row r="741" spans="1:16">
      <c r="A741" t="s">
        <v>1040</v>
      </c>
      <c r="B741" t="s">
        <v>1014</v>
      </c>
      <c r="C741" t="s">
        <v>229</v>
      </c>
      <c r="D741">
        <v>1982</v>
      </c>
      <c r="E741" t="s">
        <v>23</v>
      </c>
      <c r="F741" t="s">
        <v>24</v>
      </c>
      <c r="G741" t="s">
        <v>25</v>
      </c>
      <c r="H741" t="s">
        <v>26</v>
      </c>
      <c r="I741">
        <v>25201900</v>
      </c>
      <c r="J741" t="s">
        <v>27</v>
      </c>
      <c r="K741" t="s">
        <v>1039</v>
      </c>
      <c r="L741" t="s">
        <v>21</v>
      </c>
      <c r="M741" t="str">
        <f t="shared" si="33"/>
        <v>OK</v>
      </c>
      <c r="N741" t="str">
        <f t="shared" si="34"/>
        <v>1980s</v>
      </c>
      <c r="O741" t="str">
        <f t="shared" si="35"/>
        <v>N/A</v>
      </c>
      <c r="P741" t="str">
        <f>VLOOKUP(E741,calculated_fields!$F$4:$G$6,2,FALSE)</f>
        <v>Demographics</v>
      </c>
    </row>
    <row r="742" spans="1:16">
      <c r="A742" t="s">
        <v>1041</v>
      </c>
      <c r="B742" t="s">
        <v>1014</v>
      </c>
      <c r="C742" t="s">
        <v>229</v>
      </c>
      <c r="D742">
        <v>1982</v>
      </c>
      <c r="E742" t="s">
        <v>29</v>
      </c>
      <c r="F742" t="s">
        <v>30</v>
      </c>
      <c r="G742" t="s">
        <v>31</v>
      </c>
      <c r="H742" t="s">
        <v>32</v>
      </c>
      <c r="I742">
        <v>22898.792140000001</v>
      </c>
      <c r="J742" t="s">
        <v>33</v>
      </c>
      <c r="K742" t="s">
        <v>1039</v>
      </c>
      <c r="L742" t="s">
        <v>21</v>
      </c>
      <c r="M742" t="str">
        <f t="shared" si="33"/>
        <v>OK</v>
      </c>
      <c r="N742" t="str">
        <f t="shared" si="34"/>
        <v>1980s</v>
      </c>
      <c r="O742" t="str">
        <f t="shared" si="35"/>
        <v>N/A</v>
      </c>
      <c r="P742" t="str">
        <f>VLOOKUP(E742,calculated_fields!$F$4:$G$6,2,FALSE)</f>
        <v>Economy</v>
      </c>
    </row>
    <row r="743" spans="1:16">
      <c r="A743" t="s">
        <v>1042</v>
      </c>
      <c r="B743" t="s">
        <v>1014</v>
      </c>
      <c r="C743" t="s">
        <v>229</v>
      </c>
      <c r="D743">
        <v>1987</v>
      </c>
      <c r="E743" t="s">
        <v>15</v>
      </c>
      <c r="F743" t="s">
        <v>16</v>
      </c>
      <c r="G743" t="s">
        <v>17</v>
      </c>
      <c r="H743" t="s">
        <v>18</v>
      </c>
      <c r="I743">
        <v>76.86</v>
      </c>
      <c r="J743" t="s">
        <v>19</v>
      </c>
      <c r="K743" t="s">
        <v>1043</v>
      </c>
      <c r="L743" t="s">
        <v>21</v>
      </c>
      <c r="M743" t="str">
        <f t="shared" si="33"/>
        <v>OK</v>
      </c>
      <c r="N743" t="str">
        <f t="shared" si="34"/>
        <v>1980s</v>
      </c>
      <c r="O743" t="str">
        <f t="shared" si="35"/>
        <v>High</v>
      </c>
      <c r="P743" t="str">
        <f>VLOOKUP(E743,calculated_fields!$F$4:$G$6,2,FALSE)</f>
        <v>Health</v>
      </c>
    </row>
    <row r="744" spans="1:16">
      <c r="A744" t="s">
        <v>1044</v>
      </c>
      <c r="B744" t="s">
        <v>1014</v>
      </c>
      <c r="C744" t="s">
        <v>229</v>
      </c>
      <c r="D744">
        <v>1987</v>
      </c>
      <c r="E744" t="s">
        <v>23</v>
      </c>
      <c r="F744" t="s">
        <v>24</v>
      </c>
      <c r="G744" t="s">
        <v>25</v>
      </c>
      <c r="H744" t="s">
        <v>26</v>
      </c>
      <c r="I744">
        <v>26549700</v>
      </c>
      <c r="J744" t="s">
        <v>27</v>
      </c>
      <c r="K744" t="s">
        <v>1043</v>
      </c>
      <c r="L744" t="s">
        <v>21</v>
      </c>
      <c r="M744" t="str">
        <f t="shared" si="33"/>
        <v>OK</v>
      </c>
      <c r="N744" t="str">
        <f t="shared" si="34"/>
        <v>1980s</v>
      </c>
      <c r="O744" t="str">
        <f t="shared" si="35"/>
        <v>N/A</v>
      </c>
      <c r="P744" t="str">
        <f>VLOOKUP(E744,calculated_fields!$F$4:$G$6,2,FALSE)</f>
        <v>Demographics</v>
      </c>
    </row>
    <row r="745" spans="1:16">
      <c r="A745" t="s">
        <v>1045</v>
      </c>
      <c r="B745" t="s">
        <v>1014</v>
      </c>
      <c r="C745" t="s">
        <v>229</v>
      </c>
      <c r="D745">
        <v>1987</v>
      </c>
      <c r="E745" t="s">
        <v>29</v>
      </c>
      <c r="F745" t="s">
        <v>30</v>
      </c>
      <c r="G745" t="s">
        <v>31</v>
      </c>
      <c r="H745" t="s">
        <v>32</v>
      </c>
      <c r="I745">
        <v>26626.515029999999</v>
      </c>
      <c r="J745" t="s">
        <v>33</v>
      </c>
      <c r="K745" t="s">
        <v>1043</v>
      </c>
      <c r="L745" t="s">
        <v>21</v>
      </c>
      <c r="M745" t="str">
        <f t="shared" si="33"/>
        <v>OK</v>
      </c>
      <c r="N745" t="str">
        <f t="shared" si="34"/>
        <v>1980s</v>
      </c>
      <c r="O745" t="str">
        <f t="shared" si="35"/>
        <v>N/A</v>
      </c>
      <c r="P745" t="str">
        <f>VLOOKUP(E745,calculated_fields!$F$4:$G$6,2,FALSE)</f>
        <v>Economy</v>
      </c>
    </row>
    <row r="746" spans="1:16">
      <c r="A746" t="s">
        <v>1046</v>
      </c>
      <c r="B746" t="s">
        <v>1014</v>
      </c>
      <c r="C746" t="s">
        <v>229</v>
      </c>
      <c r="D746">
        <v>1992</v>
      </c>
      <c r="E746" t="s">
        <v>15</v>
      </c>
      <c r="F746" t="s">
        <v>16</v>
      </c>
      <c r="G746" t="s">
        <v>17</v>
      </c>
      <c r="H746" t="s">
        <v>18</v>
      </c>
      <c r="I746">
        <v>77.95</v>
      </c>
      <c r="J746" t="s">
        <v>19</v>
      </c>
      <c r="K746" t="s">
        <v>1047</v>
      </c>
      <c r="L746" t="s">
        <v>21</v>
      </c>
      <c r="M746" t="str">
        <f t="shared" si="33"/>
        <v>OK</v>
      </c>
      <c r="N746" t="str">
        <f t="shared" si="34"/>
        <v>1990s</v>
      </c>
      <c r="O746" t="str">
        <f t="shared" si="35"/>
        <v>High</v>
      </c>
      <c r="P746" t="str">
        <f>VLOOKUP(E746,calculated_fields!$F$4:$G$6,2,FALSE)</f>
        <v>Health</v>
      </c>
    </row>
    <row r="747" spans="1:16">
      <c r="A747" t="s">
        <v>1048</v>
      </c>
      <c r="B747" t="s">
        <v>1014</v>
      </c>
      <c r="C747" t="s">
        <v>229</v>
      </c>
      <c r="D747">
        <v>1992</v>
      </c>
      <c r="E747" t="s">
        <v>23</v>
      </c>
      <c r="F747" t="s">
        <v>24</v>
      </c>
      <c r="G747" t="s">
        <v>25</v>
      </c>
      <c r="H747" t="s">
        <v>26</v>
      </c>
      <c r="I747">
        <v>28523502</v>
      </c>
      <c r="J747" t="s">
        <v>27</v>
      </c>
      <c r="K747" t="s">
        <v>1047</v>
      </c>
      <c r="L747" t="s">
        <v>21</v>
      </c>
      <c r="M747" t="str">
        <f t="shared" si="33"/>
        <v>OK</v>
      </c>
      <c r="N747" t="str">
        <f t="shared" si="34"/>
        <v>1990s</v>
      </c>
      <c r="O747" t="str">
        <f t="shared" si="35"/>
        <v>N/A</v>
      </c>
      <c r="P747" t="str">
        <f>VLOOKUP(E747,calculated_fields!$F$4:$G$6,2,FALSE)</f>
        <v>Demographics</v>
      </c>
    </row>
    <row r="748" spans="1:16">
      <c r="A748" t="s">
        <v>1049</v>
      </c>
      <c r="B748" t="s">
        <v>1014</v>
      </c>
      <c r="C748" t="s">
        <v>229</v>
      </c>
      <c r="D748">
        <v>1992</v>
      </c>
      <c r="E748" t="s">
        <v>29</v>
      </c>
      <c r="F748" t="s">
        <v>30</v>
      </c>
      <c r="G748" t="s">
        <v>31</v>
      </c>
      <c r="H748" t="s">
        <v>32</v>
      </c>
      <c r="I748">
        <v>26342.884259999999</v>
      </c>
      <c r="J748" t="s">
        <v>33</v>
      </c>
      <c r="K748" t="s">
        <v>1047</v>
      </c>
      <c r="L748" t="s">
        <v>21</v>
      </c>
      <c r="M748" t="str">
        <f t="shared" si="33"/>
        <v>OK</v>
      </c>
      <c r="N748" t="str">
        <f t="shared" si="34"/>
        <v>1990s</v>
      </c>
      <c r="O748" t="str">
        <f t="shared" si="35"/>
        <v>N/A</v>
      </c>
      <c r="P748" t="str">
        <f>VLOOKUP(E748,calculated_fields!$F$4:$G$6,2,FALSE)</f>
        <v>Economy</v>
      </c>
    </row>
    <row r="749" spans="1:16">
      <c r="A749" t="s">
        <v>1050</v>
      </c>
      <c r="B749" t="s">
        <v>1014</v>
      </c>
      <c r="C749" t="s">
        <v>229</v>
      </c>
      <c r="D749">
        <v>1997</v>
      </c>
      <c r="E749" t="s">
        <v>15</v>
      </c>
      <c r="F749" t="s">
        <v>16</v>
      </c>
      <c r="G749" t="s">
        <v>17</v>
      </c>
      <c r="H749" t="s">
        <v>18</v>
      </c>
      <c r="I749">
        <v>78.61</v>
      </c>
      <c r="J749" t="s">
        <v>19</v>
      </c>
      <c r="K749" t="s">
        <v>1051</v>
      </c>
      <c r="L749" t="s">
        <v>21</v>
      </c>
      <c r="M749" t="str">
        <f t="shared" si="33"/>
        <v>OK</v>
      </c>
      <c r="N749" t="str">
        <f t="shared" si="34"/>
        <v>1990s</v>
      </c>
      <c r="O749" t="str">
        <f t="shared" si="35"/>
        <v>High</v>
      </c>
      <c r="P749" t="str">
        <f>VLOOKUP(E749,calculated_fields!$F$4:$G$6,2,FALSE)</f>
        <v>Health</v>
      </c>
    </row>
    <row r="750" spans="1:16">
      <c r="A750" t="s">
        <v>1052</v>
      </c>
      <c r="B750" t="s">
        <v>1014</v>
      </c>
      <c r="C750" t="s">
        <v>229</v>
      </c>
      <c r="D750">
        <v>1997</v>
      </c>
      <c r="E750" t="s">
        <v>23</v>
      </c>
      <c r="F750" t="s">
        <v>24</v>
      </c>
      <c r="G750" t="s">
        <v>25</v>
      </c>
      <c r="H750" t="s">
        <v>26</v>
      </c>
      <c r="I750">
        <v>30305843</v>
      </c>
      <c r="J750" t="s">
        <v>27</v>
      </c>
      <c r="K750" t="s">
        <v>1051</v>
      </c>
      <c r="L750" t="s">
        <v>21</v>
      </c>
      <c r="M750" t="str">
        <f t="shared" si="33"/>
        <v>OK</v>
      </c>
      <c r="N750" t="str">
        <f t="shared" si="34"/>
        <v>1990s</v>
      </c>
      <c r="O750" t="str">
        <f t="shared" si="35"/>
        <v>N/A</v>
      </c>
      <c r="P750" t="str">
        <f>VLOOKUP(E750,calculated_fields!$F$4:$G$6,2,FALSE)</f>
        <v>Demographics</v>
      </c>
    </row>
    <row r="751" spans="1:16">
      <c r="A751" t="s">
        <v>1053</v>
      </c>
      <c r="B751" t="s">
        <v>1014</v>
      </c>
      <c r="C751" t="s">
        <v>229</v>
      </c>
      <c r="D751">
        <v>1997</v>
      </c>
      <c r="E751" t="s">
        <v>29</v>
      </c>
      <c r="F751" t="s">
        <v>30</v>
      </c>
      <c r="G751" t="s">
        <v>31</v>
      </c>
      <c r="H751" t="s">
        <v>32</v>
      </c>
      <c r="I751">
        <v>28954.925889999999</v>
      </c>
      <c r="J751" t="s">
        <v>33</v>
      </c>
      <c r="K751" t="s">
        <v>1051</v>
      </c>
      <c r="L751" t="s">
        <v>21</v>
      </c>
      <c r="M751" t="str">
        <f t="shared" si="33"/>
        <v>OK</v>
      </c>
      <c r="N751" t="str">
        <f t="shared" si="34"/>
        <v>1990s</v>
      </c>
      <c r="O751" t="str">
        <f t="shared" si="35"/>
        <v>N/A</v>
      </c>
      <c r="P751" t="str">
        <f>VLOOKUP(E751,calculated_fields!$F$4:$G$6,2,FALSE)</f>
        <v>Economy</v>
      </c>
    </row>
    <row r="752" spans="1:16">
      <c r="A752" t="s">
        <v>1054</v>
      </c>
      <c r="B752" t="s">
        <v>1014</v>
      </c>
      <c r="C752" t="s">
        <v>229</v>
      </c>
      <c r="D752">
        <v>2002</v>
      </c>
      <c r="E752" t="s">
        <v>15</v>
      </c>
      <c r="F752" t="s">
        <v>16</v>
      </c>
      <c r="G752" t="s">
        <v>17</v>
      </c>
      <c r="H752" t="s">
        <v>18</v>
      </c>
      <c r="I752">
        <v>79.77</v>
      </c>
      <c r="J752" t="s">
        <v>19</v>
      </c>
      <c r="K752" t="s">
        <v>1055</v>
      </c>
      <c r="L752" t="s">
        <v>21</v>
      </c>
      <c r="M752" t="str">
        <f t="shared" si="33"/>
        <v>OK</v>
      </c>
      <c r="N752" t="str">
        <f t="shared" si="34"/>
        <v>2000s</v>
      </c>
      <c r="O752" t="str">
        <f t="shared" si="35"/>
        <v>High</v>
      </c>
      <c r="P752" t="str">
        <f>VLOOKUP(E752,calculated_fields!$F$4:$G$6,2,FALSE)</f>
        <v>Health</v>
      </c>
    </row>
    <row r="753" spans="1:16">
      <c r="A753" t="s">
        <v>1056</v>
      </c>
      <c r="B753" t="s">
        <v>1014</v>
      </c>
      <c r="C753" t="s">
        <v>229</v>
      </c>
      <c r="D753">
        <v>2002</v>
      </c>
      <c r="E753" t="s">
        <v>23</v>
      </c>
      <c r="F753" t="s">
        <v>24</v>
      </c>
      <c r="G753" t="s">
        <v>25</v>
      </c>
      <c r="H753" t="s">
        <v>26</v>
      </c>
      <c r="I753">
        <v>31902268</v>
      </c>
      <c r="J753" t="s">
        <v>27</v>
      </c>
      <c r="K753" t="s">
        <v>1055</v>
      </c>
      <c r="L753" t="s">
        <v>21</v>
      </c>
      <c r="M753" t="str">
        <f t="shared" si="33"/>
        <v>OK</v>
      </c>
      <c r="N753" t="str">
        <f t="shared" si="34"/>
        <v>2000s</v>
      </c>
      <c r="O753" t="str">
        <f t="shared" si="35"/>
        <v>N/A</v>
      </c>
      <c r="P753" t="str">
        <f>VLOOKUP(E753,calculated_fields!$F$4:$G$6,2,FALSE)</f>
        <v>Demographics</v>
      </c>
    </row>
    <row r="754" spans="1:16">
      <c r="A754" t="s">
        <v>1057</v>
      </c>
      <c r="B754" t="s">
        <v>1014</v>
      </c>
      <c r="C754" t="s">
        <v>229</v>
      </c>
      <c r="D754">
        <v>2002</v>
      </c>
      <c r="E754" t="s">
        <v>29</v>
      </c>
      <c r="F754" t="s">
        <v>30</v>
      </c>
      <c r="G754" t="s">
        <v>31</v>
      </c>
      <c r="H754" t="s">
        <v>32</v>
      </c>
      <c r="I754">
        <v>33328.965069999998</v>
      </c>
      <c r="J754" t="s">
        <v>33</v>
      </c>
      <c r="K754" t="s">
        <v>1055</v>
      </c>
      <c r="L754" t="s">
        <v>21</v>
      </c>
      <c r="M754" t="str">
        <f t="shared" si="33"/>
        <v>OK</v>
      </c>
      <c r="N754" t="str">
        <f t="shared" si="34"/>
        <v>2000s</v>
      </c>
      <c r="O754" t="str">
        <f t="shared" si="35"/>
        <v>N/A</v>
      </c>
      <c r="P754" t="str">
        <f>VLOOKUP(E754,calculated_fields!$F$4:$G$6,2,FALSE)</f>
        <v>Economy</v>
      </c>
    </row>
    <row r="755" spans="1:16">
      <c r="A755" t="s">
        <v>1058</v>
      </c>
      <c r="B755" t="s">
        <v>1014</v>
      </c>
      <c r="C755" t="s">
        <v>229</v>
      </c>
      <c r="D755">
        <v>2007</v>
      </c>
      <c r="E755" t="s">
        <v>15</v>
      </c>
      <c r="F755" t="s">
        <v>16</v>
      </c>
      <c r="G755" t="s">
        <v>17</v>
      </c>
      <c r="H755" t="s">
        <v>18</v>
      </c>
      <c r="I755">
        <v>80.653000000000006</v>
      </c>
      <c r="J755" t="s">
        <v>19</v>
      </c>
      <c r="K755" t="s">
        <v>1059</v>
      </c>
      <c r="L755" t="s">
        <v>21</v>
      </c>
      <c r="M755" t="str">
        <f t="shared" si="33"/>
        <v>OK</v>
      </c>
      <c r="N755" t="str">
        <f t="shared" si="34"/>
        <v>2000s</v>
      </c>
      <c r="O755" t="str">
        <f t="shared" si="35"/>
        <v>High</v>
      </c>
      <c r="P755" t="str">
        <f>VLOOKUP(E755,calculated_fields!$F$4:$G$6,2,FALSE)</f>
        <v>Health</v>
      </c>
    </row>
    <row r="756" spans="1:16">
      <c r="A756" t="s">
        <v>1060</v>
      </c>
      <c r="B756" t="s">
        <v>1014</v>
      </c>
      <c r="C756" t="s">
        <v>229</v>
      </c>
      <c r="D756">
        <v>2007</v>
      </c>
      <c r="E756" t="s">
        <v>23</v>
      </c>
      <c r="F756" t="s">
        <v>24</v>
      </c>
      <c r="G756" t="s">
        <v>25</v>
      </c>
      <c r="H756" t="s">
        <v>26</v>
      </c>
      <c r="I756">
        <v>33390141</v>
      </c>
      <c r="J756" t="s">
        <v>27</v>
      </c>
      <c r="K756" t="s">
        <v>1059</v>
      </c>
      <c r="L756" t="s">
        <v>21</v>
      </c>
      <c r="M756" t="str">
        <f t="shared" si="33"/>
        <v>OK</v>
      </c>
      <c r="N756" t="str">
        <f t="shared" si="34"/>
        <v>2000s</v>
      </c>
      <c r="O756" t="str">
        <f t="shared" si="35"/>
        <v>N/A</v>
      </c>
      <c r="P756" t="str">
        <f>VLOOKUP(E756,calculated_fields!$F$4:$G$6,2,FALSE)</f>
        <v>Demographics</v>
      </c>
    </row>
    <row r="757" spans="1:16">
      <c r="A757" t="s">
        <v>1061</v>
      </c>
      <c r="B757" t="s">
        <v>1014</v>
      </c>
      <c r="C757" t="s">
        <v>229</v>
      </c>
      <c r="D757">
        <v>2007</v>
      </c>
      <c r="E757" t="s">
        <v>29</v>
      </c>
      <c r="F757" t="s">
        <v>30</v>
      </c>
      <c r="G757" t="s">
        <v>31</v>
      </c>
      <c r="H757" t="s">
        <v>32</v>
      </c>
      <c r="I757">
        <v>36319.235009999997</v>
      </c>
      <c r="J757" t="s">
        <v>33</v>
      </c>
      <c r="K757" t="s">
        <v>1059</v>
      </c>
      <c r="L757" t="s">
        <v>21</v>
      </c>
      <c r="M757" t="str">
        <f t="shared" si="33"/>
        <v>OK</v>
      </c>
      <c r="N757" t="str">
        <f t="shared" si="34"/>
        <v>2000s</v>
      </c>
      <c r="O757" t="str">
        <f t="shared" si="35"/>
        <v>N/A</v>
      </c>
      <c r="P757" t="str">
        <f>VLOOKUP(E757,calculated_fields!$F$4:$G$6,2,FALSE)</f>
        <v>Economy</v>
      </c>
    </row>
    <row r="758" spans="1:16">
      <c r="A758" t="s">
        <v>1062</v>
      </c>
      <c r="B758" t="s">
        <v>1063</v>
      </c>
      <c r="C758" t="s">
        <v>130</v>
      </c>
      <c r="D758">
        <v>1952</v>
      </c>
      <c r="E758" t="s">
        <v>15</v>
      </c>
      <c r="F758" t="s">
        <v>16</v>
      </c>
      <c r="G758" t="s">
        <v>17</v>
      </c>
      <c r="H758" t="s">
        <v>18</v>
      </c>
      <c r="I758">
        <v>35.463000000000001</v>
      </c>
      <c r="J758" t="s">
        <v>19</v>
      </c>
      <c r="K758" t="s">
        <v>1064</v>
      </c>
      <c r="L758" t="s">
        <v>21</v>
      </c>
      <c r="M758" t="str">
        <f t="shared" si="33"/>
        <v>OK</v>
      </c>
      <c r="N758" t="str">
        <f t="shared" si="34"/>
        <v>1950s</v>
      </c>
      <c r="O758" t="str">
        <f t="shared" si="35"/>
        <v>Low</v>
      </c>
      <c r="P758" t="str">
        <f>VLOOKUP(E758,calculated_fields!$F$4:$G$6,2,FALSE)</f>
        <v>Health</v>
      </c>
    </row>
    <row r="759" spans="1:16">
      <c r="A759" t="s">
        <v>1065</v>
      </c>
      <c r="B759" t="s">
        <v>1063</v>
      </c>
      <c r="C759" t="s">
        <v>130</v>
      </c>
      <c r="D759">
        <v>1952</v>
      </c>
      <c r="E759" t="s">
        <v>23</v>
      </c>
      <c r="F759" t="s">
        <v>24</v>
      </c>
      <c r="G759" t="s">
        <v>25</v>
      </c>
      <c r="H759" t="s">
        <v>26</v>
      </c>
      <c r="I759">
        <v>1291695</v>
      </c>
      <c r="J759" t="s">
        <v>27</v>
      </c>
      <c r="K759" t="s">
        <v>1064</v>
      </c>
      <c r="L759" t="s">
        <v>21</v>
      </c>
      <c r="M759" t="str">
        <f t="shared" si="33"/>
        <v>OK</v>
      </c>
      <c r="N759" t="str">
        <f t="shared" si="34"/>
        <v>1950s</v>
      </c>
      <c r="O759" t="str">
        <f t="shared" si="35"/>
        <v>N/A</v>
      </c>
      <c r="P759" t="str">
        <f>VLOOKUP(E759,calculated_fields!$F$4:$G$6,2,FALSE)</f>
        <v>Demographics</v>
      </c>
    </row>
    <row r="760" spans="1:16">
      <c r="A760" t="s">
        <v>1066</v>
      </c>
      <c r="B760" t="s">
        <v>1063</v>
      </c>
      <c r="C760" t="s">
        <v>130</v>
      </c>
      <c r="D760">
        <v>1952</v>
      </c>
      <c r="E760" t="s">
        <v>29</v>
      </c>
      <c r="F760" t="s">
        <v>30</v>
      </c>
      <c r="G760" t="s">
        <v>31</v>
      </c>
      <c r="H760" t="s">
        <v>32</v>
      </c>
      <c r="I760">
        <v>1071.3107130000001</v>
      </c>
      <c r="J760" t="s">
        <v>33</v>
      </c>
      <c r="K760" t="s">
        <v>1064</v>
      </c>
      <c r="L760" t="s">
        <v>21</v>
      </c>
      <c r="M760" t="str">
        <f t="shared" si="33"/>
        <v>OK</v>
      </c>
      <c r="N760" t="str">
        <f t="shared" si="34"/>
        <v>1950s</v>
      </c>
      <c r="O760" t="str">
        <f t="shared" si="35"/>
        <v>N/A</v>
      </c>
      <c r="P760" t="str">
        <f>VLOOKUP(E760,calculated_fields!$F$4:$G$6,2,FALSE)</f>
        <v>Economy</v>
      </c>
    </row>
    <row r="761" spans="1:16">
      <c r="A761" t="s">
        <v>1067</v>
      </c>
      <c r="B761" t="s">
        <v>1063</v>
      </c>
      <c r="C761" t="s">
        <v>130</v>
      </c>
      <c r="D761">
        <v>1957</v>
      </c>
      <c r="E761" t="s">
        <v>15</v>
      </c>
      <c r="F761" t="s">
        <v>16</v>
      </c>
      <c r="G761" t="s">
        <v>17</v>
      </c>
      <c r="H761" t="s">
        <v>18</v>
      </c>
      <c r="I761">
        <v>37.463999999999999</v>
      </c>
      <c r="J761" t="s">
        <v>19</v>
      </c>
      <c r="K761" t="s">
        <v>1068</v>
      </c>
      <c r="L761" t="s">
        <v>21</v>
      </c>
      <c r="M761" t="str">
        <f t="shared" si="33"/>
        <v>OK</v>
      </c>
      <c r="N761" t="str">
        <f t="shared" si="34"/>
        <v>1950s</v>
      </c>
      <c r="O761" t="str">
        <f t="shared" si="35"/>
        <v>Low</v>
      </c>
      <c r="P761" t="str">
        <f>VLOOKUP(E761,calculated_fields!$F$4:$G$6,2,FALSE)</f>
        <v>Health</v>
      </c>
    </row>
    <row r="762" spans="1:16">
      <c r="A762" t="s">
        <v>1069</v>
      </c>
      <c r="B762" t="s">
        <v>1063</v>
      </c>
      <c r="C762" t="s">
        <v>130</v>
      </c>
      <c r="D762">
        <v>1957</v>
      </c>
      <c r="E762" t="s">
        <v>23</v>
      </c>
      <c r="F762" t="s">
        <v>24</v>
      </c>
      <c r="G762" t="s">
        <v>25</v>
      </c>
      <c r="H762" t="s">
        <v>26</v>
      </c>
      <c r="I762">
        <v>1392284</v>
      </c>
      <c r="J762" t="s">
        <v>27</v>
      </c>
      <c r="K762" t="s">
        <v>1068</v>
      </c>
      <c r="L762" t="s">
        <v>21</v>
      </c>
      <c r="M762" t="str">
        <f t="shared" si="33"/>
        <v>OK</v>
      </c>
      <c r="N762" t="str">
        <f t="shared" si="34"/>
        <v>1950s</v>
      </c>
      <c r="O762" t="str">
        <f t="shared" si="35"/>
        <v>N/A</v>
      </c>
      <c r="P762" t="str">
        <f>VLOOKUP(E762,calculated_fields!$F$4:$G$6,2,FALSE)</f>
        <v>Demographics</v>
      </c>
    </row>
    <row r="763" spans="1:16">
      <c r="A763" t="s">
        <v>1070</v>
      </c>
      <c r="B763" t="s">
        <v>1063</v>
      </c>
      <c r="C763" t="s">
        <v>130</v>
      </c>
      <c r="D763">
        <v>1957</v>
      </c>
      <c r="E763" t="s">
        <v>29</v>
      </c>
      <c r="F763" t="s">
        <v>30</v>
      </c>
      <c r="G763" t="s">
        <v>31</v>
      </c>
      <c r="H763" t="s">
        <v>32</v>
      </c>
      <c r="I763">
        <v>1190.8443279999999</v>
      </c>
      <c r="J763" t="s">
        <v>33</v>
      </c>
      <c r="K763" t="s">
        <v>1068</v>
      </c>
      <c r="L763" t="s">
        <v>21</v>
      </c>
      <c r="M763" t="str">
        <f t="shared" si="33"/>
        <v>OK</v>
      </c>
      <c r="N763" t="str">
        <f t="shared" si="34"/>
        <v>1950s</v>
      </c>
      <c r="O763" t="str">
        <f t="shared" si="35"/>
        <v>N/A</v>
      </c>
      <c r="P763" t="str">
        <f>VLOOKUP(E763,calculated_fields!$F$4:$G$6,2,FALSE)</f>
        <v>Economy</v>
      </c>
    </row>
    <row r="764" spans="1:16">
      <c r="A764" t="s">
        <v>1071</v>
      </c>
      <c r="B764" t="s">
        <v>1063</v>
      </c>
      <c r="C764" t="s">
        <v>130</v>
      </c>
      <c r="D764">
        <v>1962</v>
      </c>
      <c r="E764" t="s">
        <v>15</v>
      </c>
      <c r="F764" t="s">
        <v>16</v>
      </c>
      <c r="G764" t="s">
        <v>17</v>
      </c>
      <c r="H764" t="s">
        <v>18</v>
      </c>
      <c r="I764">
        <v>39.475000000000001</v>
      </c>
      <c r="J764" t="s">
        <v>19</v>
      </c>
      <c r="K764" t="s">
        <v>1072</v>
      </c>
      <c r="L764" t="s">
        <v>21</v>
      </c>
      <c r="M764" t="str">
        <f t="shared" si="33"/>
        <v>OK</v>
      </c>
      <c r="N764" t="str">
        <f t="shared" si="34"/>
        <v>1960s</v>
      </c>
      <c r="O764" t="str">
        <f t="shared" si="35"/>
        <v>Low</v>
      </c>
      <c r="P764" t="str">
        <f>VLOOKUP(E764,calculated_fields!$F$4:$G$6,2,FALSE)</f>
        <v>Health</v>
      </c>
    </row>
    <row r="765" spans="1:16">
      <c r="A765" t="s">
        <v>1073</v>
      </c>
      <c r="B765" t="s">
        <v>1063</v>
      </c>
      <c r="C765" t="s">
        <v>130</v>
      </c>
      <c r="D765">
        <v>1962</v>
      </c>
      <c r="E765" t="s">
        <v>23</v>
      </c>
      <c r="F765" t="s">
        <v>24</v>
      </c>
      <c r="G765" t="s">
        <v>25</v>
      </c>
      <c r="H765" t="s">
        <v>26</v>
      </c>
      <c r="I765">
        <v>1523478</v>
      </c>
      <c r="J765" t="s">
        <v>27</v>
      </c>
      <c r="K765" t="s">
        <v>1072</v>
      </c>
      <c r="L765" t="s">
        <v>21</v>
      </c>
      <c r="M765" t="str">
        <f t="shared" si="33"/>
        <v>OK</v>
      </c>
      <c r="N765" t="str">
        <f t="shared" si="34"/>
        <v>1960s</v>
      </c>
      <c r="O765" t="str">
        <f t="shared" si="35"/>
        <v>N/A</v>
      </c>
      <c r="P765" t="str">
        <f>VLOOKUP(E765,calculated_fields!$F$4:$G$6,2,FALSE)</f>
        <v>Demographics</v>
      </c>
    </row>
    <row r="766" spans="1:16">
      <c r="A766" t="s">
        <v>1074</v>
      </c>
      <c r="B766" t="s">
        <v>1063</v>
      </c>
      <c r="C766" t="s">
        <v>130</v>
      </c>
      <c r="D766">
        <v>1962</v>
      </c>
      <c r="E766" t="s">
        <v>29</v>
      </c>
      <c r="F766" t="s">
        <v>30</v>
      </c>
      <c r="G766" t="s">
        <v>31</v>
      </c>
      <c r="H766" t="s">
        <v>32</v>
      </c>
      <c r="I766">
        <v>1193.068753</v>
      </c>
      <c r="J766" t="s">
        <v>33</v>
      </c>
      <c r="K766" t="s">
        <v>1072</v>
      </c>
      <c r="L766" t="s">
        <v>21</v>
      </c>
      <c r="M766" t="str">
        <f t="shared" si="33"/>
        <v>OK</v>
      </c>
      <c r="N766" t="str">
        <f t="shared" si="34"/>
        <v>1960s</v>
      </c>
      <c r="O766" t="str">
        <f t="shared" si="35"/>
        <v>N/A</v>
      </c>
      <c r="P766" t="str">
        <f>VLOOKUP(E766,calculated_fields!$F$4:$G$6,2,FALSE)</f>
        <v>Economy</v>
      </c>
    </row>
    <row r="767" spans="1:16">
      <c r="A767" t="s">
        <v>1075</v>
      </c>
      <c r="B767" t="s">
        <v>1063</v>
      </c>
      <c r="C767" t="s">
        <v>130</v>
      </c>
      <c r="D767">
        <v>1967</v>
      </c>
      <c r="E767" t="s">
        <v>15</v>
      </c>
      <c r="F767" t="s">
        <v>16</v>
      </c>
      <c r="G767" t="s">
        <v>17</v>
      </c>
      <c r="H767" t="s">
        <v>18</v>
      </c>
      <c r="I767">
        <v>41.478000000000002</v>
      </c>
      <c r="J767" t="s">
        <v>19</v>
      </c>
      <c r="K767" t="s">
        <v>1076</v>
      </c>
      <c r="L767" t="s">
        <v>21</v>
      </c>
      <c r="M767" t="str">
        <f t="shared" si="33"/>
        <v>OK</v>
      </c>
      <c r="N767" t="str">
        <f t="shared" si="34"/>
        <v>1960s</v>
      </c>
      <c r="O767" t="str">
        <f t="shared" si="35"/>
        <v>Low</v>
      </c>
      <c r="P767" t="str">
        <f>VLOOKUP(E767,calculated_fields!$F$4:$G$6,2,FALSE)</f>
        <v>Health</v>
      </c>
    </row>
    <row r="768" spans="1:16">
      <c r="A768" t="s">
        <v>1077</v>
      </c>
      <c r="B768" t="s">
        <v>1063</v>
      </c>
      <c r="C768" t="s">
        <v>130</v>
      </c>
      <c r="D768">
        <v>1967</v>
      </c>
      <c r="E768" t="s">
        <v>23</v>
      </c>
      <c r="F768" t="s">
        <v>24</v>
      </c>
      <c r="G768" t="s">
        <v>25</v>
      </c>
      <c r="H768" t="s">
        <v>26</v>
      </c>
      <c r="I768">
        <v>1733638</v>
      </c>
      <c r="J768" t="s">
        <v>27</v>
      </c>
      <c r="K768" t="s">
        <v>1076</v>
      </c>
      <c r="L768" t="s">
        <v>21</v>
      </c>
      <c r="M768" t="str">
        <f t="shared" si="33"/>
        <v>OK</v>
      </c>
      <c r="N768" t="str">
        <f t="shared" si="34"/>
        <v>1960s</v>
      </c>
      <c r="O768" t="str">
        <f t="shared" si="35"/>
        <v>N/A</v>
      </c>
      <c r="P768" t="str">
        <f>VLOOKUP(E768,calculated_fields!$F$4:$G$6,2,FALSE)</f>
        <v>Demographics</v>
      </c>
    </row>
    <row r="769" spans="1:16">
      <c r="A769" t="s">
        <v>1078</v>
      </c>
      <c r="B769" t="s">
        <v>1063</v>
      </c>
      <c r="C769" t="s">
        <v>130</v>
      </c>
      <c r="D769">
        <v>1967</v>
      </c>
      <c r="E769" t="s">
        <v>29</v>
      </c>
      <c r="F769" t="s">
        <v>30</v>
      </c>
      <c r="G769" t="s">
        <v>31</v>
      </c>
      <c r="H769" t="s">
        <v>32</v>
      </c>
      <c r="I769">
        <v>1136.056615</v>
      </c>
      <c r="J769" t="s">
        <v>33</v>
      </c>
      <c r="K769" t="s">
        <v>1076</v>
      </c>
      <c r="L769" t="s">
        <v>21</v>
      </c>
      <c r="M769" t="str">
        <f t="shared" si="33"/>
        <v>OK</v>
      </c>
      <c r="N769" t="str">
        <f t="shared" si="34"/>
        <v>1960s</v>
      </c>
      <c r="O769" t="str">
        <f t="shared" si="35"/>
        <v>N/A</v>
      </c>
      <c r="P769" t="str">
        <f>VLOOKUP(E769,calculated_fields!$F$4:$G$6,2,FALSE)</f>
        <v>Economy</v>
      </c>
    </row>
    <row r="770" spans="1:16">
      <c r="A770" t="s">
        <v>1079</v>
      </c>
      <c r="B770" t="s">
        <v>1063</v>
      </c>
      <c r="C770" t="s">
        <v>130</v>
      </c>
      <c r="D770">
        <v>1972</v>
      </c>
      <c r="E770" t="s">
        <v>15</v>
      </c>
      <c r="F770" t="s">
        <v>16</v>
      </c>
      <c r="G770" t="s">
        <v>17</v>
      </c>
      <c r="H770" t="s">
        <v>18</v>
      </c>
      <c r="I770">
        <v>43.457000000000001</v>
      </c>
      <c r="J770" t="s">
        <v>19</v>
      </c>
      <c r="K770" t="s">
        <v>1080</v>
      </c>
      <c r="L770" t="s">
        <v>21</v>
      </c>
      <c r="M770" t="str">
        <f t="shared" ref="M770:M833" si="36">IF(AND(ISNUMBER(I770),I770&gt;=0),"OK","Review")</f>
        <v>OK</v>
      </c>
      <c r="N770" t="str">
        <f t="shared" ref="N770:N833" si="37">FLOOR(D770,10)&amp;"s"</f>
        <v>1970s</v>
      </c>
      <c r="O770" t="str">
        <f t="shared" ref="O770:O833" si="38">IF(E770="LIFE_EXP",IF(I770&gt;=70,"High",IF(I770&gt;=55,"Medium","Low")),"N/A")</f>
        <v>Low</v>
      </c>
      <c r="P770" t="str">
        <f>VLOOKUP(E770,calculated_fields!$F$4:$G$6,2,FALSE)</f>
        <v>Health</v>
      </c>
    </row>
    <row r="771" spans="1:16">
      <c r="A771" t="s">
        <v>1081</v>
      </c>
      <c r="B771" t="s">
        <v>1063</v>
      </c>
      <c r="C771" t="s">
        <v>130</v>
      </c>
      <c r="D771">
        <v>1972</v>
      </c>
      <c r="E771" t="s">
        <v>23</v>
      </c>
      <c r="F771" t="s">
        <v>24</v>
      </c>
      <c r="G771" t="s">
        <v>25</v>
      </c>
      <c r="H771" t="s">
        <v>26</v>
      </c>
      <c r="I771">
        <v>1927260</v>
      </c>
      <c r="J771" t="s">
        <v>27</v>
      </c>
      <c r="K771" t="s">
        <v>1080</v>
      </c>
      <c r="L771" t="s">
        <v>21</v>
      </c>
      <c r="M771" t="str">
        <f t="shared" si="36"/>
        <v>OK</v>
      </c>
      <c r="N771" t="str">
        <f t="shared" si="37"/>
        <v>1970s</v>
      </c>
      <c r="O771" t="str">
        <f t="shared" si="38"/>
        <v>N/A</v>
      </c>
      <c r="P771" t="str">
        <f>VLOOKUP(E771,calculated_fields!$F$4:$G$6,2,FALSE)</f>
        <v>Demographics</v>
      </c>
    </row>
    <row r="772" spans="1:16">
      <c r="A772" t="s">
        <v>1082</v>
      </c>
      <c r="B772" t="s">
        <v>1063</v>
      </c>
      <c r="C772" t="s">
        <v>130</v>
      </c>
      <c r="D772">
        <v>1972</v>
      </c>
      <c r="E772" t="s">
        <v>29</v>
      </c>
      <c r="F772" t="s">
        <v>30</v>
      </c>
      <c r="G772" t="s">
        <v>31</v>
      </c>
      <c r="H772" t="s">
        <v>32</v>
      </c>
      <c r="I772">
        <v>1070.013275</v>
      </c>
      <c r="J772" t="s">
        <v>33</v>
      </c>
      <c r="K772" t="s">
        <v>1080</v>
      </c>
      <c r="L772" t="s">
        <v>21</v>
      </c>
      <c r="M772" t="str">
        <f t="shared" si="36"/>
        <v>OK</v>
      </c>
      <c r="N772" t="str">
        <f t="shared" si="37"/>
        <v>1970s</v>
      </c>
      <c r="O772" t="str">
        <f t="shared" si="38"/>
        <v>N/A</v>
      </c>
      <c r="P772" t="str">
        <f>VLOOKUP(E772,calculated_fields!$F$4:$G$6,2,FALSE)</f>
        <v>Economy</v>
      </c>
    </row>
    <row r="773" spans="1:16">
      <c r="A773" t="s">
        <v>1083</v>
      </c>
      <c r="B773" t="s">
        <v>1063</v>
      </c>
      <c r="C773" t="s">
        <v>130</v>
      </c>
      <c r="D773">
        <v>1977</v>
      </c>
      <c r="E773" t="s">
        <v>15</v>
      </c>
      <c r="F773" t="s">
        <v>16</v>
      </c>
      <c r="G773" t="s">
        <v>17</v>
      </c>
      <c r="H773" t="s">
        <v>18</v>
      </c>
      <c r="I773">
        <v>46.774999999999999</v>
      </c>
      <c r="J773" t="s">
        <v>19</v>
      </c>
      <c r="K773" t="s">
        <v>1084</v>
      </c>
      <c r="L773" t="s">
        <v>21</v>
      </c>
      <c r="M773" t="str">
        <f t="shared" si="36"/>
        <v>OK</v>
      </c>
      <c r="N773" t="str">
        <f t="shared" si="37"/>
        <v>1970s</v>
      </c>
      <c r="O773" t="str">
        <f t="shared" si="38"/>
        <v>Low</v>
      </c>
      <c r="P773" t="str">
        <f>VLOOKUP(E773,calculated_fields!$F$4:$G$6,2,FALSE)</f>
        <v>Health</v>
      </c>
    </row>
    <row r="774" spans="1:16">
      <c r="A774" t="s">
        <v>1085</v>
      </c>
      <c r="B774" t="s">
        <v>1063</v>
      </c>
      <c r="C774" t="s">
        <v>130</v>
      </c>
      <c r="D774">
        <v>1977</v>
      </c>
      <c r="E774" t="s">
        <v>23</v>
      </c>
      <c r="F774" t="s">
        <v>24</v>
      </c>
      <c r="G774" t="s">
        <v>25</v>
      </c>
      <c r="H774" t="s">
        <v>26</v>
      </c>
      <c r="I774">
        <v>2167533</v>
      </c>
      <c r="J774" t="s">
        <v>27</v>
      </c>
      <c r="K774" t="s">
        <v>1084</v>
      </c>
      <c r="L774" t="s">
        <v>21</v>
      </c>
      <c r="M774" t="str">
        <f t="shared" si="36"/>
        <v>OK</v>
      </c>
      <c r="N774" t="str">
        <f t="shared" si="37"/>
        <v>1970s</v>
      </c>
      <c r="O774" t="str">
        <f t="shared" si="38"/>
        <v>N/A</v>
      </c>
      <c r="P774" t="str">
        <f>VLOOKUP(E774,calculated_fields!$F$4:$G$6,2,FALSE)</f>
        <v>Demographics</v>
      </c>
    </row>
    <row r="775" spans="1:16">
      <c r="A775" t="s">
        <v>1086</v>
      </c>
      <c r="B775" t="s">
        <v>1063</v>
      </c>
      <c r="C775" t="s">
        <v>130</v>
      </c>
      <c r="D775">
        <v>1977</v>
      </c>
      <c r="E775" t="s">
        <v>29</v>
      </c>
      <c r="F775" t="s">
        <v>30</v>
      </c>
      <c r="G775" t="s">
        <v>31</v>
      </c>
      <c r="H775" t="s">
        <v>32</v>
      </c>
      <c r="I775">
        <v>1109.3743380000001</v>
      </c>
      <c r="J775" t="s">
        <v>33</v>
      </c>
      <c r="K775" t="s">
        <v>1084</v>
      </c>
      <c r="L775" t="s">
        <v>21</v>
      </c>
      <c r="M775" t="str">
        <f t="shared" si="36"/>
        <v>OK</v>
      </c>
      <c r="N775" t="str">
        <f t="shared" si="37"/>
        <v>1970s</v>
      </c>
      <c r="O775" t="str">
        <f t="shared" si="38"/>
        <v>N/A</v>
      </c>
      <c r="P775" t="str">
        <f>VLOOKUP(E775,calculated_fields!$F$4:$G$6,2,FALSE)</f>
        <v>Economy</v>
      </c>
    </row>
    <row r="776" spans="1:16">
      <c r="A776" t="s">
        <v>1087</v>
      </c>
      <c r="B776" t="s">
        <v>1063</v>
      </c>
      <c r="C776" t="s">
        <v>130</v>
      </c>
      <c r="D776">
        <v>1982</v>
      </c>
      <c r="E776" t="s">
        <v>15</v>
      </c>
      <c r="F776" t="s">
        <v>16</v>
      </c>
      <c r="G776" t="s">
        <v>17</v>
      </c>
      <c r="H776" t="s">
        <v>18</v>
      </c>
      <c r="I776">
        <v>48.295000000000002</v>
      </c>
      <c r="J776" t="s">
        <v>19</v>
      </c>
      <c r="K776" t="s">
        <v>1088</v>
      </c>
      <c r="L776" t="s">
        <v>21</v>
      </c>
      <c r="M776" t="str">
        <f t="shared" si="36"/>
        <v>OK</v>
      </c>
      <c r="N776" t="str">
        <f t="shared" si="37"/>
        <v>1980s</v>
      </c>
      <c r="O776" t="str">
        <f t="shared" si="38"/>
        <v>Low</v>
      </c>
      <c r="P776" t="str">
        <f>VLOOKUP(E776,calculated_fields!$F$4:$G$6,2,FALSE)</f>
        <v>Health</v>
      </c>
    </row>
    <row r="777" spans="1:16">
      <c r="A777" t="s">
        <v>1089</v>
      </c>
      <c r="B777" t="s">
        <v>1063</v>
      </c>
      <c r="C777" t="s">
        <v>130</v>
      </c>
      <c r="D777">
        <v>1982</v>
      </c>
      <c r="E777" t="s">
        <v>23</v>
      </c>
      <c r="F777" t="s">
        <v>24</v>
      </c>
      <c r="G777" t="s">
        <v>25</v>
      </c>
      <c r="H777" t="s">
        <v>26</v>
      </c>
      <c r="I777">
        <v>2476971</v>
      </c>
      <c r="J777" t="s">
        <v>27</v>
      </c>
      <c r="K777" t="s">
        <v>1088</v>
      </c>
      <c r="L777" t="s">
        <v>21</v>
      </c>
      <c r="M777" t="str">
        <f t="shared" si="36"/>
        <v>OK</v>
      </c>
      <c r="N777" t="str">
        <f t="shared" si="37"/>
        <v>1980s</v>
      </c>
      <c r="O777" t="str">
        <f t="shared" si="38"/>
        <v>N/A</v>
      </c>
      <c r="P777" t="str">
        <f>VLOOKUP(E777,calculated_fields!$F$4:$G$6,2,FALSE)</f>
        <v>Demographics</v>
      </c>
    </row>
    <row r="778" spans="1:16">
      <c r="A778" t="s">
        <v>1090</v>
      </c>
      <c r="B778" t="s">
        <v>1063</v>
      </c>
      <c r="C778" t="s">
        <v>130</v>
      </c>
      <c r="D778">
        <v>1982</v>
      </c>
      <c r="E778" t="s">
        <v>29</v>
      </c>
      <c r="F778" t="s">
        <v>30</v>
      </c>
      <c r="G778" t="s">
        <v>31</v>
      </c>
      <c r="H778" t="s">
        <v>32</v>
      </c>
      <c r="I778">
        <v>956.75299070000005</v>
      </c>
      <c r="J778" t="s">
        <v>33</v>
      </c>
      <c r="K778" t="s">
        <v>1088</v>
      </c>
      <c r="L778" t="s">
        <v>21</v>
      </c>
      <c r="M778" t="str">
        <f t="shared" si="36"/>
        <v>OK</v>
      </c>
      <c r="N778" t="str">
        <f t="shared" si="37"/>
        <v>1980s</v>
      </c>
      <c r="O778" t="str">
        <f t="shared" si="38"/>
        <v>N/A</v>
      </c>
      <c r="P778" t="str">
        <f>VLOOKUP(E778,calculated_fields!$F$4:$G$6,2,FALSE)</f>
        <v>Economy</v>
      </c>
    </row>
    <row r="779" spans="1:16">
      <c r="A779" t="s">
        <v>1091</v>
      </c>
      <c r="B779" t="s">
        <v>1063</v>
      </c>
      <c r="C779" t="s">
        <v>130</v>
      </c>
      <c r="D779">
        <v>1987</v>
      </c>
      <c r="E779" t="s">
        <v>15</v>
      </c>
      <c r="F779" t="s">
        <v>16</v>
      </c>
      <c r="G779" t="s">
        <v>17</v>
      </c>
      <c r="H779" t="s">
        <v>18</v>
      </c>
      <c r="I779">
        <v>50.484999999999999</v>
      </c>
      <c r="J779" t="s">
        <v>19</v>
      </c>
      <c r="K779" t="s">
        <v>1092</v>
      </c>
      <c r="L779" t="s">
        <v>21</v>
      </c>
      <c r="M779" t="str">
        <f t="shared" si="36"/>
        <v>OK</v>
      </c>
      <c r="N779" t="str">
        <f t="shared" si="37"/>
        <v>1980s</v>
      </c>
      <c r="O779" t="str">
        <f t="shared" si="38"/>
        <v>Low</v>
      </c>
      <c r="P779" t="str">
        <f>VLOOKUP(E779,calculated_fields!$F$4:$G$6,2,FALSE)</f>
        <v>Health</v>
      </c>
    </row>
    <row r="780" spans="1:16">
      <c r="A780" t="s">
        <v>1093</v>
      </c>
      <c r="B780" t="s">
        <v>1063</v>
      </c>
      <c r="C780" t="s">
        <v>130</v>
      </c>
      <c r="D780">
        <v>1987</v>
      </c>
      <c r="E780" t="s">
        <v>23</v>
      </c>
      <c r="F780" t="s">
        <v>24</v>
      </c>
      <c r="G780" t="s">
        <v>25</v>
      </c>
      <c r="H780" t="s">
        <v>26</v>
      </c>
      <c r="I780">
        <v>2840009</v>
      </c>
      <c r="J780" t="s">
        <v>27</v>
      </c>
      <c r="K780" t="s">
        <v>1092</v>
      </c>
      <c r="L780" t="s">
        <v>21</v>
      </c>
      <c r="M780" t="str">
        <f t="shared" si="36"/>
        <v>OK</v>
      </c>
      <c r="N780" t="str">
        <f t="shared" si="37"/>
        <v>1980s</v>
      </c>
      <c r="O780" t="str">
        <f t="shared" si="38"/>
        <v>N/A</v>
      </c>
      <c r="P780" t="str">
        <f>VLOOKUP(E780,calculated_fields!$F$4:$G$6,2,FALSE)</f>
        <v>Demographics</v>
      </c>
    </row>
    <row r="781" spans="1:16">
      <c r="A781" t="s">
        <v>1094</v>
      </c>
      <c r="B781" t="s">
        <v>1063</v>
      </c>
      <c r="C781" t="s">
        <v>130</v>
      </c>
      <c r="D781">
        <v>1987</v>
      </c>
      <c r="E781" t="s">
        <v>29</v>
      </c>
      <c r="F781" t="s">
        <v>30</v>
      </c>
      <c r="G781" t="s">
        <v>31</v>
      </c>
      <c r="H781" t="s">
        <v>32</v>
      </c>
      <c r="I781">
        <v>844.87635039999998</v>
      </c>
      <c r="J781" t="s">
        <v>33</v>
      </c>
      <c r="K781" t="s">
        <v>1092</v>
      </c>
      <c r="L781" t="s">
        <v>21</v>
      </c>
      <c r="M781" t="str">
        <f t="shared" si="36"/>
        <v>OK</v>
      </c>
      <c r="N781" t="str">
        <f t="shared" si="37"/>
        <v>1980s</v>
      </c>
      <c r="O781" t="str">
        <f t="shared" si="38"/>
        <v>N/A</v>
      </c>
      <c r="P781" t="str">
        <f>VLOOKUP(E781,calculated_fields!$F$4:$G$6,2,FALSE)</f>
        <v>Economy</v>
      </c>
    </row>
    <row r="782" spans="1:16">
      <c r="A782" t="s">
        <v>1095</v>
      </c>
      <c r="B782" t="s">
        <v>1063</v>
      </c>
      <c r="C782" t="s">
        <v>130</v>
      </c>
      <c r="D782">
        <v>1992</v>
      </c>
      <c r="E782" t="s">
        <v>15</v>
      </c>
      <c r="F782" t="s">
        <v>16</v>
      </c>
      <c r="G782" t="s">
        <v>17</v>
      </c>
      <c r="H782" t="s">
        <v>18</v>
      </c>
      <c r="I782">
        <v>49.396000000000001</v>
      </c>
      <c r="J782" t="s">
        <v>19</v>
      </c>
      <c r="K782" t="s">
        <v>1096</v>
      </c>
      <c r="L782" t="s">
        <v>21</v>
      </c>
      <c r="M782" t="str">
        <f t="shared" si="36"/>
        <v>OK</v>
      </c>
      <c r="N782" t="str">
        <f t="shared" si="37"/>
        <v>1990s</v>
      </c>
      <c r="O782" t="str">
        <f t="shared" si="38"/>
        <v>Low</v>
      </c>
      <c r="P782" t="str">
        <f>VLOOKUP(E782,calculated_fields!$F$4:$G$6,2,FALSE)</f>
        <v>Health</v>
      </c>
    </row>
    <row r="783" spans="1:16">
      <c r="A783" t="s">
        <v>1097</v>
      </c>
      <c r="B783" t="s">
        <v>1063</v>
      </c>
      <c r="C783" t="s">
        <v>130</v>
      </c>
      <c r="D783">
        <v>1992</v>
      </c>
      <c r="E783" t="s">
        <v>23</v>
      </c>
      <c r="F783" t="s">
        <v>24</v>
      </c>
      <c r="G783" t="s">
        <v>25</v>
      </c>
      <c r="H783" t="s">
        <v>26</v>
      </c>
      <c r="I783">
        <v>3265124</v>
      </c>
      <c r="J783" t="s">
        <v>27</v>
      </c>
      <c r="K783" t="s">
        <v>1096</v>
      </c>
      <c r="L783" t="s">
        <v>21</v>
      </c>
      <c r="M783" t="str">
        <f t="shared" si="36"/>
        <v>OK</v>
      </c>
      <c r="N783" t="str">
        <f t="shared" si="37"/>
        <v>1990s</v>
      </c>
      <c r="O783" t="str">
        <f t="shared" si="38"/>
        <v>N/A</v>
      </c>
      <c r="P783" t="str">
        <f>VLOOKUP(E783,calculated_fields!$F$4:$G$6,2,FALSE)</f>
        <v>Demographics</v>
      </c>
    </row>
    <row r="784" spans="1:16">
      <c r="A784" t="s">
        <v>1098</v>
      </c>
      <c r="B784" t="s">
        <v>1063</v>
      </c>
      <c r="C784" t="s">
        <v>130</v>
      </c>
      <c r="D784">
        <v>1992</v>
      </c>
      <c r="E784" t="s">
        <v>29</v>
      </c>
      <c r="F784" t="s">
        <v>30</v>
      </c>
      <c r="G784" t="s">
        <v>31</v>
      </c>
      <c r="H784" t="s">
        <v>32</v>
      </c>
      <c r="I784">
        <v>747.90552520000006</v>
      </c>
      <c r="J784" t="s">
        <v>33</v>
      </c>
      <c r="K784" t="s">
        <v>1096</v>
      </c>
      <c r="L784" t="s">
        <v>21</v>
      </c>
      <c r="M784" t="str">
        <f t="shared" si="36"/>
        <v>OK</v>
      </c>
      <c r="N784" t="str">
        <f t="shared" si="37"/>
        <v>1990s</v>
      </c>
      <c r="O784" t="str">
        <f t="shared" si="38"/>
        <v>N/A</v>
      </c>
      <c r="P784" t="str">
        <f>VLOOKUP(E784,calculated_fields!$F$4:$G$6,2,FALSE)</f>
        <v>Economy</v>
      </c>
    </row>
    <row r="785" spans="1:16">
      <c r="A785" t="s">
        <v>1099</v>
      </c>
      <c r="B785" t="s">
        <v>1063</v>
      </c>
      <c r="C785" t="s">
        <v>130</v>
      </c>
      <c r="D785">
        <v>1997</v>
      </c>
      <c r="E785" t="s">
        <v>15</v>
      </c>
      <c r="F785" t="s">
        <v>16</v>
      </c>
      <c r="G785" t="s">
        <v>17</v>
      </c>
      <c r="H785" t="s">
        <v>18</v>
      </c>
      <c r="I785">
        <v>46.066000000000003</v>
      </c>
      <c r="J785" t="s">
        <v>19</v>
      </c>
      <c r="K785" t="s">
        <v>1100</v>
      </c>
      <c r="L785" t="s">
        <v>21</v>
      </c>
      <c r="M785" t="str">
        <f t="shared" si="36"/>
        <v>OK</v>
      </c>
      <c r="N785" t="str">
        <f t="shared" si="37"/>
        <v>1990s</v>
      </c>
      <c r="O785" t="str">
        <f t="shared" si="38"/>
        <v>Low</v>
      </c>
      <c r="P785" t="str">
        <f>VLOOKUP(E785,calculated_fields!$F$4:$G$6,2,FALSE)</f>
        <v>Health</v>
      </c>
    </row>
    <row r="786" spans="1:16">
      <c r="A786" t="s">
        <v>1101</v>
      </c>
      <c r="B786" t="s">
        <v>1063</v>
      </c>
      <c r="C786" t="s">
        <v>130</v>
      </c>
      <c r="D786">
        <v>1997</v>
      </c>
      <c r="E786" t="s">
        <v>23</v>
      </c>
      <c r="F786" t="s">
        <v>24</v>
      </c>
      <c r="G786" t="s">
        <v>25</v>
      </c>
      <c r="H786" t="s">
        <v>26</v>
      </c>
      <c r="I786">
        <v>3696513</v>
      </c>
      <c r="J786" t="s">
        <v>27</v>
      </c>
      <c r="K786" t="s">
        <v>1100</v>
      </c>
      <c r="L786" t="s">
        <v>21</v>
      </c>
      <c r="M786" t="str">
        <f t="shared" si="36"/>
        <v>OK</v>
      </c>
      <c r="N786" t="str">
        <f t="shared" si="37"/>
        <v>1990s</v>
      </c>
      <c r="O786" t="str">
        <f t="shared" si="38"/>
        <v>N/A</v>
      </c>
      <c r="P786" t="str">
        <f>VLOOKUP(E786,calculated_fields!$F$4:$G$6,2,FALSE)</f>
        <v>Demographics</v>
      </c>
    </row>
    <row r="787" spans="1:16">
      <c r="A787" t="s">
        <v>1102</v>
      </c>
      <c r="B787" t="s">
        <v>1063</v>
      </c>
      <c r="C787" t="s">
        <v>130</v>
      </c>
      <c r="D787">
        <v>1997</v>
      </c>
      <c r="E787" t="s">
        <v>29</v>
      </c>
      <c r="F787" t="s">
        <v>30</v>
      </c>
      <c r="G787" t="s">
        <v>31</v>
      </c>
      <c r="H787" t="s">
        <v>32</v>
      </c>
      <c r="I787">
        <v>740.50633170000003</v>
      </c>
      <c r="J787" t="s">
        <v>33</v>
      </c>
      <c r="K787" t="s">
        <v>1100</v>
      </c>
      <c r="L787" t="s">
        <v>21</v>
      </c>
      <c r="M787" t="str">
        <f t="shared" si="36"/>
        <v>OK</v>
      </c>
      <c r="N787" t="str">
        <f t="shared" si="37"/>
        <v>1990s</v>
      </c>
      <c r="O787" t="str">
        <f t="shared" si="38"/>
        <v>N/A</v>
      </c>
      <c r="P787" t="str">
        <f>VLOOKUP(E787,calculated_fields!$F$4:$G$6,2,FALSE)</f>
        <v>Economy</v>
      </c>
    </row>
    <row r="788" spans="1:16">
      <c r="A788" t="s">
        <v>1103</v>
      </c>
      <c r="B788" t="s">
        <v>1063</v>
      </c>
      <c r="C788" t="s">
        <v>130</v>
      </c>
      <c r="D788">
        <v>2002</v>
      </c>
      <c r="E788" t="s">
        <v>15</v>
      </c>
      <c r="F788" t="s">
        <v>16</v>
      </c>
      <c r="G788" t="s">
        <v>17</v>
      </c>
      <c r="H788" t="s">
        <v>18</v>
      </c>
      <c r="I788">
        <v>43.308</v>
      </c>
      <c r="J788" t="s">
        <v>19</v>
      </c>
      <c r="K788" t="s">
        <v>1104</v>
      </c>
      <c r="L788" t="s">
        <v>21</v>
      </c>
      <c r="M788" t="str">
        <f t="shared" si="36"/>
        <v>OK</v>
      </c>
      <c r="N788" t="str">
        <f t="shared" si="37"/>
        <v>2000s</v>
      </c>
      <c r="O788" t="str">
        <f t="shared" si="38"/>
        <v>Low</v>
      </c>
      <c r="P788" t="str">
        <f>VLOOKUP(E788,calculated_fields!$F$4:$G$6,2,FALSE)</f>
        <v>Health</v>
      </c>
    </row>
    <row r="789" spans="1:16">
      <c r="A789" t="s">
        <v>1105</v>
      </c>
      <c r="B789" t="s">
        <v>1063</v>
      </c>
      <c r="C789" t="s">
        <v>130</v>
      </c>
      <c r="D789">
        <v>2002</v>
      </c>
      <c r="E789" t="s">
        <v>23</v>
      </c>
      <c r="F789" t="s">
        <v>24</v>
      </c>
      <c r="G789" t="s">
        <v>25</v>
      </c>
      <c r="H789" t="s">
        <v>26</v>
      </c>
      <c r="I789">
        <v>4048013</v>
      </c>
      <c r="J789" t="s">
        <v>27</v>
      </c>
      <c r="K789" t="s">
        <v>1104</v>
      </c>
      <c r="L789" t="s">
        <v>21</v>
      </c>
      <c r="M789" t="str">
        <f t="shared" si="36"/>
        <v>OK</v>
      </c>
      <c r="N789" t="str">
        <f t="shared" si="37"/>
        <v>2000s</v>
      </c>
      <c r="O789" t="str">
        <f t="shared" si="38"/>
        <v>N/A</v>
      </c>
      <c r="P789" t="str">
        <f>VLOOKUP(E789,calculated_fields!$F$4:$G$6,2,FALSE)</f>
        <v>Demographics</v>
      </c>
    </row>
    <row r="790" spans="1:16">
      <c r="A790" t="s">
        <v>1106</v>
      </c>
      <c r="B790" t="s">
        <v>1063</v>
      </c>
      <c r="C790" t="s">
        <v>130</v>
      </c>
      <c r="D790">
        <v>2002</v>
      </c>
      <c r="E790" t="s">
        <v>29</v>
      </c>
      <c r="F790" t="s">
        <v>30</v>
      </c>
      <c r="G790" t="s">
        <v>31</v>
      </c>
      <c r="H790" t="s">
        <v>32</v>
      </c>
      <c r="I790">
        <v>738.69060679999996</v>
      </c>
      <c r="J790" t="s">
        <v>33</v>
      </c>
      <c r="K790" t="s">
        <v>1104</v>
      </c>
      <c r="L790" t="s">
        <v>21</v>
      </c>
      <c r="M790" t="str">
        <f t="shared" si="36"/>
        <v>OK</v>
      </c>
      <c r="N790" t="str">
        <f t="shared" si="37"/>
        <v>2000s</v>
      </c>
      <c r="O790" t="str">
        <f t="shared" si="38"/>
        <v>N/A</v>
      </c>
      <c r="P790" t="str">
        <f>VLOOKUP(E790,calculated_fields!$F$4:$G$6,2,FALSE)</f>
        <v>Economy</v>
      </c>
    </row>
    <row r="791" spans="1:16">
      <c r="A791" t="s">
        <v>1107</v>
      </c>
      <c r="B791" t="s">
        <v>1063</v>
      </c>
      <c r="C791" t="s">
        <v>130</v>
      </c>
      <c r="D791">
        <v>2007</v>
      </c>
      <c r="E791" t="s">
        <v>15</v>
      </c>
      <c r="F791" t="s">
        <v>16</v>
      </c>
      <c r="G791" t="s">
        <v>17</v>
      </c>
      <c r="H791" t="s">
        <v>18</v>
      </c>
      <c r="I791">
        <v>44.741</v>
      </c>
      <c r="J791" t="s">
        <v>19</v>
      </c>
      <c r="K791" t="s">
        <v>1108</v>
      </c>
      <c r="L791" t="s">
        <v>21</v>
      </c>
      <c r="M791" t="str">
        <f t="shared" si="36"/>
        <v>OK</v>
      </c>
      <c r="N791" t="str">
        <f t="shared" si="37"/>
        <v>2000s</v>
      </c>
      <c r="O791" t="str">
        <f t="shared" si="38"/>
        <v>Low</v>
      </c>
      <c r="P791" t="str">
        <f>VLOOKUP(E791,calculated_fields!$F$4:$G$6,2,FALSE)</f>
        <v>Health</v>
      </c>
    </row>
    <row r="792" spans="1:16">
      <c r="A792" t="s">
        <v>1109</v>
      </c>
      <c r="B792" t="s">
        <v>1063</v>
      </c>
      <c r="C792" t="s">
        <v>130</v>
      </c>
      <c r="D792">
        <v>2007</v>
      </c>
      <c r="E792" t="s">
        <v>23</v>
      </c>
      <c r="F792" t="s">
        <v>24</v>
      </c>
      <c r="G792" t="s">
        <v>25</v>
      </c>
      <c r="H792" t="s">
        <v>26</v>
      </c>
      <c r="I792">
        <v>4369038</v>
      </c>
      <c r="J792" t="s">
        <v>27</v>
      </c>
      <c r="K792" t="s">
        <v>1108</v>
      </c>
      <c r="L792" t="s">
        <v>21</v>
      </c>
      <c r="M792" t="str">
        <f t="shared" si="36"/>
        <v>OK</v>
      </c>
      <c r="N792" t="str">
        <f t="shared" si="37"/>
        <v>2000s</v>
      </c>
      <c r="O792" t="str">
        <f t="shared" si="38"/>
        <v>N/A</v>
      </c>
      <c r="P792" t="str">
        <f>VLOOKUP(E792,calculated_fields!$F$4:$G$6,2,FALSE)</f>
        <v>Demographics</v>
      </c>
    </row>
    <row r="793" spans="1:16">
      <c r="A793" t="s">
        <v>1110</v>
      </c>
      <c r="B793" t="s">
        <v>1063</v>
      </c>
      <c r="C793" t="s">
        <v>130</v>
      </c>
      <c r="D793">
        <v>2007</v>
      </c>
      <c r="E793" t="s">
        <v>29</v>
      </c>
      <c r="F793" t="s">
        <v>30</v>
      </c>
      <c r="G793" t="s">
        <v>31</v>
      </c>
      <c r="H793" t="s">
        <v>32</v>
      </c>
      <c r="I793">
        <v>706.01653699999997</v>
      </c>
      <c r="J793" t="s">
        <v>33</v>
      </c>
      <c r="K793" t="s">
        <v>1108</v>
      </c>
      <c r="L793" t="s">
        <v>21</v>
      </c>
      <c r="M793" t="str">
        <f t="shared" si="36"/>
        <v>OK</v>
      </c>
      <c r="N793" t="str">
        <f t="shared" si="37"/>
        <v>2000s</v>
      </c>
      <c r="O793" t="str">
        <f t="shared" si="38"/>
        <v>N/A</v>
      </c>
      <c r="P793" t="str">
        <f>VLOOKUP(E793,calculated_fields!$F$4:$G$6,2,FALSE)</f>
        <v>Economy</v>
      </c>
    </row>
    <row r="794" spans="1:16">
      <c r="A794" t="s">
        <v>1111</v>
      </c>
      <c r="B794" t="s">
        <v>1112</v>
      </c>
      <c r="C794" t="s">
        <v>130</v>
      </c>
      <c r="D794">
        <v>1952</v>
      </c>
      <c r="E794" t="s">
        <v>15</v>
      </c>
      <c r="F794" t="s">
        <v>16</v>
      </c>
      <c r="G794" t="s">
        <v>17</v>
      </c>
      <c r="H794" t="s">
        <v>18</v>
      </c>
      <c r="I794">
        <v>38.091999999999999</v>
      </c>
      <c r="J794" t="s">
        <v>19</v>
      </c>
      <c r="K794" t="s">
        <v>1113</v>
      </c>
      <c r="L794" t="s">
        <v>21</v>
      </c>
      <c r="M794" t="str">
        <f t="shared" si="36"/>
        <v>OK</v>
      </c>
      <c r="N794" t="str">
        <f t="shared" si="37"/>
        <v>1950s</v>
      </c>
      <c r="O794" t="str">
        <f t="shared" si="38"/>
        <v>Low</v>
      </c>
      <c r="P794" t="str">
        <f>VLOOKUP(E794,calculated_fields!$F$4:$G$6,2,FALSE)</f>
        <v>Health</v>
      </c>
    </row>
    <row r="795" spans="1:16">
      <c r="A795" t="s">
        <v>1114</v>
      </c>
      <c r="B795" t="s">
        <v>1112</v>
      </c>
      <c r="C795" t="s">
        <v>130</v>
      </c>
      <c r="D795">
        <v>1952</v>
      </c>
      <c r="E795" t="s">
        <v>23</v>
      </c>
      <c r="F795" t="s">
        <v>24</v>
      </c>
      <c r="G795" t="s">
        <v>25</v>
      </c>
      <c r="H795" t="s">
        <v>26</v>
      </c>
      <c r="I795">
        <v>2682462</v>
      </c>
      <c r="J795" t="s">
        <v>27</v>
      </c>
      <c r="K795" t="s">
        <v>1113</v>
      </c>
      <c r="L795" t="s">
        <v>21</v>
      </c>
      <c r="M795" t="str">
        <f t="shared" si="36"/>
        <v>OK</v>
      </c>
      <c r="N795" t="str">
        <f t="shared" si="37"/>
        <v>1950s</v>
      </c>
      <c r="O795" t="str">
        <f t="shared" si="38"/>
        <v>N/A</v>
      </c>
      <c r="P795" t="str">
        <f>VLOOKUP(E795,calculated_fields!$F$4:$G$6,2,FALSE)</f>
        <v>Demographics</v>
      </c>
    </row>
    <row r="796" spans="1:16">
      <c r="A796" t="s">
        <v>1115</v>
      </c>
      <c r="B796" t="s">
        <v>1112</v>
      </c>
      <c r="C796" t="s">
        <v>130</v>
      </c>
      <c r="D796">
        <v>1952</v>
      </c>
      <c r="E796" t="s">
        <v>29</v>
      </c>
      <c r="F796" t="s">
        <v>30</v>
      </c>
      <c r="G796" t="s">
        <v>31</v>
      </c>
      <c r="H796" t="s">
        <v>32</v>
      </c>
      <c r="I796">
        <v>1178.665927</v>
      </c>
      <c r="J796" t="s">
        <v>33</v>
      </c>
      <c r="K796" t="s">
        <v>1113</v>
      </c>
      <c r="L796" t="s">
        <v>21</v>
      </c>
      <c r="M796" t="str">
        <f t="shared" si="36"/>
        <v>OK</v>
      </c>
      <c r="N796" t="str">
        <f t="shared" si="37"/>
        <v>1950s</v>
      </c>
      <c r="O796" t="str">
        <f t="shared" si="38"/>
        <v>N/A</v>
      </c>
      <c r="P796" t="str">
        <f>VLOOKUP(E796,calculated_fields!$F$4:$G$6,2,FALSE)</f>
        <v>Economy</v>
      </c>
    </row>
    <row r="797" spans="1:16">
      <c r="A797" t="s">
        <v>1116</v>
      </c>
      <c r="B797" t="s">
        <v>1112</v>
      </c>
      <c r="C797" t="s">
        <v>130</v>
      </c>
      <c r="D797">
        <v>1957</v>
      </c>
      <c r="E797" t="s">
        <v>15</v>
      </c>
      <c r="F797" t="s">
        <v>16</v>
      </c>
      <c r="G797" t="s">
        <v>17</v>
      </c>
      <c r="H797" t="s">
        <v>18</v>
      </c>
      <c r="I797">
        <v>39.881</v>
      </c>
      <c r="J797" t="s">
        <v>19</v>
      </c>
      <c r="K797" t="s">
        <v>1117</v>
      </c>
      <c r="L797" t="s">
        <v>21</v>
      </c>
      <c r="M797" t="str">
        <f t="shared" si="36"/>
        <v>OK</v>
      </c>
      <c r="N797" t="str">
        <f t="shared" si="37"/>
        <v>1950s</v>
      </c>
      <c r="O797" t="str">
        <f t="shared" si="38"/>
        <v>Low</v>
      </c>
      <c r="P797" t="str">
        <f>VLOOKUP(E797,calculated_fields!$F$4:$G$6,2,FALSE)</f>
        <v>Health</v>
      </c>
    </row>
    <row r="798" spans="1:16">
      <c r="A798" t="s">
        <v>1118</v>
      </c>
      <c r="B798" t="s">
        <v>1112</v>
      </c>
      <c r="C798" t="s">
        <v>130</v>
      </c>
      <c r="D798">
        <v>1957</v>
      </c>
      <c r="E798" t="s">
        <v>23</v>
      </c>
      <c r="F798" t="s">
        <v>24</v>
      </c>
      <c r="G798" t="s">
        <v>25</v>
      </c>
      <c r="H798" t="s">
        <v>26</v>
      </c>
      <c r="I798">
        <v>2894855</v>
      </c>
      <c r="J798" t="s">
        <v>27</v>
      </c>
      <c r="K798" t="s">
        <v>1117</v>
      </c>
      <c r="L798" t="s">
        <v>21</v>
      </c>
      <c r="M798" t="str">
        <f t="shared" si="36"/>
        <v>OK</v>
      </c>
      <c r="N798" t="str">
        <f t="shared" si="37"/>
        <v>1950s</v>
      </c>
      <c r="O798" t="str">
        <f t="shared" si="38"/>
        <v>N/A</v>
      </c>
      <c r="P798" t="str">
        <f>VLOOKUP(E798,calculated_fields!$F$4:$G$6,2,FALSE)</f>
        <v>Demographics</v>
      </c>
    </row>
    <row r="799" spans="1:16">
      <c r="A799" t="s">
        <v>1119</v>
      </c>
      <c r="B799" t="s">
        <v>1112</v>
      </c>
      <c r="C799" t="s">
        <v>130</v>
      </c>
      <c r="D799">
        <v>1957</v>
      </c>
      <c r="E799" t="s">
        <v>29</v>
      </c>
      <c r="F799" t="s">
        <v>30</v>
      </c>
      <c r="G799" t="s">
        <v>31</v>
      </c>
      <c r="H799" t="s">
        <v>32</v>
      </c>
      <c r="I799">
        <v>1308.4955769999999</v>
      </c>
      <c r="J799" t="s">
        <v>33</v>
      </c>
      <c r="K799" t="s">
        <v>1117</v>
      </c>
      <c r="L799" t="s">
        <v>21</v>
      </c>
      <c r="M799" t="str">
        <f t="shared" si="36"/>
        <v>OK</v>
      </c>
      <c r="N799" t="str">
        <f t="shared" si="37"/>
        <v>1950s</v>
      </c>
      <c r="O799" t="str">
        <f t="shared" si="38"/>
        <v>N/A</v>
      </c>
      <c r="P799" t="str">
        <f>VLOOKUP(E799,calculated_fields!$F$4:$G$6,2,FALSE)</f>
        <v>Economy</v>
      </c>
    </row>
    <row r="800" spans="1:16">
      <c r="A800" t="s">
        <v>1120</v>
      </c>
      <c r="B800" t="s">
        <v>1112</v>
      </c>
      <c r="C800" t="s">
        <v>130</v>
      </c>
      <c r="D800">
        <v>1962</v>
      </c>
      <c r="E800" t="s">
        <v>15</v>
      </c>
      <c r="F800" t="s">
        <v>16</v>
      </c>
      <c r="G800" t="s">
        <v>17</v>
      </c>
      <c r="H800" t="s">
        <v>18</v>
      </c>
      <c r="I800">
        <v>41.716000000000001</v>
      </c>
      <c r="J800" t="s">
        <v>19</v>
      </c>
      <c r="K800" t="s">
        <v>1121</v>
      </c>
      <c r="L800" t="s">
        <v>21</v>
      </c>
      <c r="M800" t="str">
        <f t="shared" si="36"/>
        <v>OK</v>
      </c>
      <c r="N800" t="str">
        <f t="shared" si="37"/>
        <v>1960s</v>
      </c>
      <c r="O800" t="str">
        <f t="shared" si="38"/>
        <v>Low</v>
      </c>
      <c r="P800" t="str">
        <f>VLOOKUP(E800,calculated_fields!$F$4:$G$6,2,FALSE)</f>
        <v>Health</v>
      </c>
    </row>
    <row r="801" spans="1:16">
      <c r="A801" t="s">
        <v>1122</v>
      </c>
      <c r="B801" t="s">
        <v>1112</v>
      </c>
      <c r="C801" t="s">
        <v>130</v>
      </c>
      <c r="D801">
        <v>1962</v>
      </c>
      <c r="E801" t="s">
        <v>23</v>
      </c>
      <c r="F801" t="s">
        <v>24</v>
      </c>
      <c r="G801" t="s">
        <v>25</v>
      </c>
      <c r="H801" t="s">
        <v>26</v>
      </c>
      <c r="I801">
        <v>3150417</v>
      </c>
      <c r="J801" t="s">
        <v>27</v>
      </c>
      <c r="K801" t="s">
        <v>1121</v>
      </c>
      <c r="L801" t="s">
        <v>21</v>
      </c>
      <c r="M801" t="str">
        <f t="shared" si="36"/>
        <v>OK</v>
      </c>
      <c r="N801" t="str">
        <f t="shared" si="37"/>
        <v>1960s</v>
      </c>
      <c r="O801" t="str">
        <f t="shared" si="38"/>
        <v>N/A</v>
      </c>
      <c r="P801" t="str">
        <f>VLOOKUP(E801,calculated_fields!$F$4:$G$6,2,FALSE)</f>
        <v>Demographics</v>
      </c>
    </row>
    <row r="802" spans="1:16">
      <c r="A802" t="s">
        <v>1123</v>
      </c>
      <c r="B802" t="s">
        <v>1112</v>
      </c>
      <c r="C802" t="s">
        <v>130</v>
      </c>
      <c r="D802">
        <v>1962</v>
      </c>
      <c r="E802" t="s">
        <v>29</v>
      </c>
      <c r="F802" t="s">
        <v>30</v>
      </c>
      <c r="G802" t="s">
        <v>31</v>
      </c>
      <c r="H802" t="s">
        <v>32</v>
      </c>
      <c r="I802">
        <v>1389.817618</v>
      </c>
      <c r="J802" t="s">
        <v>33</v>
      </c>
      <c r="K802" t="s">
        <v>1121</v>
      </c>
      <c r="L802" t="s">
        <v>21</v>
      </c>
      <c r="M802" t="str">
        <f t="shared" si="36"/>
        <v>OK</v>
      </c>
      <c r="N802" t="str">
        <f t="shared" si="37"/>
        <v>1960s</v>
      </c>
      <c r="O802" t="str">
        <f t="shared" si="38"/>
        <v>N/A</v>
      </c>
      <c r="P802" t="str">
        <f>VLOOKUP(E802,calculated_fields!$F$4:$G$6,2,FALSE)</f>
        <v>Economy</v>
      </c>
    </row>
    <row r="803" spans="1:16">
      <c r="A803" t="s">
        <v>1124</v>
      </c>
      <c r="B803" t="s">
        <v>1112</v>
      </c>
      <c r="C803" t="s">
        <v>130</v>
      </c>
      <c r="D803">
        <v>1967</v>
      </c>
      <c r="E803" t="s">
        <v>15</v>
      </c>
      <c r="F803" t="s">
        <v>16</v>
      </c>
      <c r="G803" t="s">
        <v>17</v>
      </c>
      <c r="H803" t="s">
        <v>18</v>
      </c>
      <c r="I803">
        <v>43.600999999999999</v>
      </c>
      <c r="J803" t="s">
        <v>19</v>
      </c>
      <c r="K803" t="s">
        <v>1125</v>
      </c>
      <c r="L803" t="s">
        <v>21</v>
      </c>
      <c r="M803" t="str">
        <f t="shared" si="36"/>
        <v>OK</v>
      </c>
      <c r="N803" t="str">
        <f t="shared" si="37"/>
        <v>1960s</v>
      </c>
      <c r="O803" t="str">
        <f t="shared" si="38"/>
        <v>Low</v>
      </c>
      <c r="P803" t="str">
        <f>VLOOKUP(E803,calculated_fields!$F$4:$G$6,2,FALSE)</f>
        <v>Health</v>
      </c>
    </row>
    <row r="804" spans="1:16">
      <c r="A804" t="s">
        <v>1126</v>
      </c>
      <c r="B804" t="s">
        <v>1112</v>
      </c>
      <c r="C804" t="s">
        <v>130</v>
      </c>
      <c r="D804">
        <v>1967</v>
      </c>
      <c r="E804" t="s">
        <v>23</v>
      </c>
      <c r="F804" t="s">
        <v>24</v>
      </c>
      <c r="G804" t="s">
        <v>25</v>
      </c>
      <c r="H804" t="s">
        <v>26</v>
      </c>
      <c r="I804">
        <v>3495967</v>
      </c>
      <c r="J804" t="s">
        <v>27</v>
      </c>
      <c r="K804" t="s">
        <v>1125</v>
      </c>
      <c r="L804" t="s">
        <v>21</v>
      </c>
      <c r="M804" t="str">
        <f t="shared" si="36"/>
        <v>OK</v>
      </c>
      <c r="N804" t="str">
        <f t="shared" si="37"/>
        <v>1960s</v>
      </c>
      <c r="O804" t="str">
        <f t="shared" si="38"/>
        <v>N/A</v>
      </c>
      <c r="P804" t="str">
        <f>VLOOKUP(E804,calculated_fields!$F$4:$G$6,2,FALSE)</f>
        <v>Demographics</v>
      </c>
    </row>
    <row r="805" spans="1:16">
      <c r="A805" t="s">
        <v>1127</v>
      </c>
      <c r="B805" t="s">
        <v>1112</v>
      </c>
      <c r="C805" t="s">
        <v>130</v>
      </c>
      <c r="D805">
        <v>1967</v>
      </c>
      <c r="E805" t="s">
        <v>29</v>
      </c>
      <c r="F805" t="s">
        <v>30</v>
      </c>
      <c r="G805" t="s">
        <v>31</v>
      </c>
      <c r="H805" t="s">
        <v>32</v>
      </c>
      <c r="I805">
        <v>1196.810565</v>
      </c>
      <c r="J805" t="s">
        <v>33</v>
      </c>
      <c r="K805" t="s">
        <v>1125</v>
      </c>
      <c r="L805" t="s">
        <v>21</v>
      </c>
      <c r="M805" t="str">
        <f t="shared" si="36"/>
        <v>OK</v>
      </c>
      <c r="N805" t="str">
        <f t="shared" si="37"/>
        <v>1960s</v>
      </c>
      <c r="O805" t="str">
        <f t="shared" si="38"/>
        <v>N/A</v>
      </c>
      <c r="P805" t="str">
        <f>VLOOKUP(E805,calculated_fields!$F$4:$G$6,2,FALSE)</f>
        <v>Economy</v>
      </c>
    </row>
    <row r="806" spans="1:16">
      <c r="A806" t="s">
        <v>1128</v>
      </c>
      <c r="B806" t="s">
        <v>1112</v>
      </c>
      <c r="C806" t="s">
        <v>130</v>
      </c>
      <c r="D806">
        <v>1972</v>
      </c>
      <c r="E806" t="s">
        <v>15</v>
      </c>
      <c r="F806" t="s">
        <v>16</v>
      </c>
      <c r="G806" t="s">
        <v>17</v>
      </c>
      <c r="H806" t="s">
        <v>18</v>
      </c>
      <c r="I806">
        <v>45.569000000000003</v>
      </c>
      <c r="J806" t="s">
        <v>19</v>
      </c>
      <c r="K806" t="s">
        <v>1129</v>
      </c>
      <c r="L806" t="s">
        <v>21</v>
      </c>
      <c r="M806" t="str">
        <f t="shared" si="36"/>
        <v>OK</v>
      </c>
      <c r="N806" t="str">
        <f t="shared" si="37"/>
        <v>1970s</v>
      </c>
      <c r="O806" t="str">
        <f t="shared" si="38"/>
        <v>Low</v>
      </c>
      <c r="P806" t="str">
        <f>VLOOKUP(E806,calculated_fields!$F$4:$G$6,2,FALSE)</f>
        <v>Health</v>
      </c>
    </row>
    <row r="807" spans="1:16">
      <c r="A807" t="s">
        <v>1130</v>
      </c>
      <c r="B807" t="s">
        <v>1112</v>
      </c>
      <c r="C807" t="s">
        <v>130</v>
      </c>
      <c r="D807">
        <v>1972</v>
      </c>
      <c r="E807" t="s">
        <v>23</v>
      </c>
      <c r="F807" t="s">
        <v>24</v>
      </c>
      <c r="G807" t="s">
        <v>25</v>
      </c>
      <c r="H807" t="s">
        <v>26</v>
      </c>
      <c r="I807">
        <v>3899068</v>
      </c>
      <c r="J807" t="s">
        <v>27</v>
      </c>
      <c r="K807" t="s">
        <v>1129</v>
      </c>
      <c r="L807" t="s">
        <v>21</v>
      </c>
      <c r="M807" t="str">
        <f t="shared" si="36"/>
        <v>OK</v>
      </c>
      <c r="N807" t="str">
        <f t="shared" si="37"/>
        <v>1970s</v>
      </c>
      <c r="O807" t="str">
        <f t="shared" si="38"/>
        <v>N/A</v>
      </c>
      <c r="P807" t="str">
        <f>VLOOKUP(E807,calculated_fields!$F$4:$G$6,2,FALSE)</f>
        <v>Demographics</v>
      </c>
    </row>
    <row r="808" spans="1:16">
      <c r="A808" t="s">
        <v>1131</v>
      </c>
      <c r="B808" t="s">
        <v>1112</v>
      </c>
      <c r="C808" t="s">
        <v>130</v>
      </c>
      <c r="D808">
        <v>1972</v>
      </c>
      <c r="E808" t="s">
        <v>29</v>
      </c>
      <c r="F808" t="s">
        <v>30</v>
      </c>
      <c r="G808" t="s">
        <v>31</v>
      </c>
      <c r="H808" t="s">
        <v>32</v>
      </c>
      <c r="I808">
        <v>1104.103987</v>
      </c>
      <c r="J808" t="s">
        <v>33</v>
      </c>
      <c r="K808" t="s">
        <v>1129</v>
      </c>
      <c r="L808" t="s">
        <v>21</v>
      </c>
      <c r="M808" t="str">
        <f t="shared" si="36"/>
        <v>OK</v>
      </c>
      <c r="N808" t="str">
        <f t="shared" si="37"/>
        <v>1970s</v>
      </c>
      <c r="O808" t="str">
        <f t="shared" si="38"/>
        <v>N/A</v>
      </c>
      <c r="P808" t="str">
        <f>VLOOKUP(E808,calculated_fields!$F$4:$G$6,2,FALSE)</f>
        <v>Economy</v>
      </c>
    </row>
    <row r="809" spans="1:16">
      <c r="A809" t="s">
        <v>1132</v>
      </c>
      <c r="B809" t="s">
        <v>1112</v>
      </c>
      <c r="C809" t="s">
        <v>130</v>
      </c>
      <c r="D809">
        <v>1977</v>
      </c>
      <c r="E809" t="s">
        <v>15</v>
      </c>
      <c r="F809" t="s">
        <v>16</v>
      </c>
      <c r="G809" t="s">
        <v>17</v>
      </c>
      <c r="H809" t="s">
        <v>18</v>
      </c>
      <c r="I809">
        <v>47.383000000000003</v>
      </c>
      <c r="J809" t="s">
        <v>19</v>
      </c>
      <c r="K809" t="s">
        <v>1133</v>
      </c>
      <c r="L809" t="s">
        <v>21</v>
      </c>
      <c r="M809" t="str">
        <f t="shared" si="36"/>
        <v>OK</v>
      </c>
      <c r="N809" t="str">
        <f t="shared" si="37"/>
        <v>1970s</v>
      </c>
      <c r="O809" t="str">
        <f t="shared" si="38"/>
        <v>Low</v>
      </c>
      <c r="P809" t="str">
        <f>VLOOKUP(E809,calculated_fields!$F$4:$G$6,2,FALSE)</f>
        <v>Health</v>
      </c>
    </row>
    <row r="810" spans="1:16">
      <c r="A810" t="s">
        <v>1134</v>
      </c>
      <c r="B810" t="s">
        <v>1112</v>
      </c>
      <c r="C810" t="s">
        <v>130</v>
      </c>
      <c r="D810">
        <v>1977</v>
      </c>
      <c r="E810" t="s">
        <v>23</v>
      </c>
      <c r="F810" t="s">
        <v>24</v>
      </c>
      <c r="G810" t="s">
        <v>25</v>
      </c>
      <c r="H810" t="s">
        <v>26</v>
      </c>
      <c r="I810">
        <v>4388260</v>
      </c>
      <c r="J810" t="s">
        <v>27</v>
      </c>
      <c r="K810" t="s">
        <v>1133</v>
      </c>
      <c r="L810" t="s">
        <v>21</v>
      </c>
      <c r="M810" t="str">
        <f t="shared" si="36"/>
        <v>OK</v>
      </c>
      <c r="N810" t="str">
        <f t="shared" si="37"/>
        <v>1970s</v>
      </c>
      <c r="O810" t="str">
        <f t="shared" si="38"/>
        <v>N/A</v>
      </c>
      <c r="P810" t="str">
        <f>VLOOKUP(E810,calculated_fields!$F$4:$G$6,2,FALSE)</f>
        <v>Demographics</v>
      </c>
    </row>
    <row r="811" spans="1:16">
      <c r="A811" t="s">
        <v>1135</v>
      </c>
      <c r="B811" t="s">
        <v>1112</v>
      </c>
      <c r="C811" t="s">
        <v>130</v>
      </c>
      <c r="D811">
        <v>1977</v>
      </c>
      <c r="E811" t="s">
        <v>29</v>
      </c>
      <c r="F811" t="s">
        <v>30</v>
      </c>
      <c r="G811" t="s">
        <v>31</v>
      </c>
      <c r="H811" t="s">
        <v>32</v>
      </c>
      <c r="I811">
        <v>1133.98495</v>
      </c>
      <c r="J811" t="s">
        <v>33</v>
      </c>
      <c r="K811" t="s">
        <v>1133</v>
      </c>
      <c r="L811" t="s">
        <v>21</v>
      </c>
      <c r="M811" t="str">
        <f t="shared" si="36"/>
        <v>OK</v>
      </c>
      <c r="N811" t="str">
        <f t="shared" si="37"/>
        <v>1970s</v>
      </c>
      <c r="O811" t="str">
        <f t="shared" si="38"/>
        <v>N/A</v>
      </c>
      <c r="P811" t="str">
        <f>VLOOKUP(E811,calculated_fields!$F$4:$G$6,2,FALSE)</f>
        <v>Economy</v>
      </c>
    </row>
    <row r="812" spans="1:16">
      <c r="A812" t="s">
        <v>1136</v>
      </c>
      <c r="B812" t="s">
        <v>1112</v>
      </c>
      <c r="C812" t="s">
        <v>130</v>
      </c>
      <c r="D812">
        <v>1982</v>
      </c>
      <c r="E812" t="s">
        <v>15</v>
      </c>
      <c r="F812" t="s">
        <v>16</v>
      </c>
      <c r="G812" t="s">
        <v>17</v>
      </c>
      <c r="H812" t="s">
        <v>18</v>
      </c>
      <c r="I812">
        <v>49.517000000000003</v>
      </c>
      <c r="J812" t="s">
        <v>19</v>
      </c>
      <c r="K812" t="s">
        <v>1137</v>
      </c>
      <c r="L812" t="s">
        <v>21</v>
      </c>
      <c r="M812" t="str">
        <f t="shared" si="36"/>
        <v>OK</v>
      </c>
      <c r="N812" t="str">
        <f t="shared" si="37"/>
        <v>1980s</v>
      </c>
      <c r="O812" t="str">
        <f t="shared" si="38"/>
        <v>Low</v>
      </c>
      <c r="P812" t="str">
        <f>VLOOKUP(E812,calculated_fields!$F$4:$G$6,2,FALSE)</f>
        <v>Health</v>
      </c>
    </row>
    <row r="813" spans="1:16">
      <c r="A813" t="s">
        <v>1138</v>
      </c>
      <c r="B813" t="s">
        <v>1112</v>
      </c>
      <c r="C813" t="s">
        <v>130</v>
      </c>
      <c r="D813">
        <v>1982</v>
      </c>
      <c r="E813" t="s">
        <v>23</v>
      </c>
      <c r="F813" t="s">
        <v>24</v>
      </c>
      <c r="G813" t="s">
        <v>25</v>
      </c>
      <c r="H813" t="s">
        <v>26</v>
      </c>
      <c r="I813">
        <v>4875118</v>
      </c>
      <c r="J813" t="s">
        <v>27</v>
      </c>
      <c r="K813" t="s">
        <v>1137</v>
      </c>
      <c r="L813" t="s">
        <v>21</v>
      </c>
      <c r="M813" t="str">
        <f t="shared" si="36"/>
        <v>OK</v>
      </c>
      <c r="N813" t="str">
        <f t="shared" si="37"/>
        <v>1980s</v>
      </c>
      <c r="O813" t="str">
        <f t="shared" si="38"/>
        <v>N/A</v>
      </c>
      <c r="P813" t="str">
        <f>VLOOKUP(E813,calculated_fields!$F$4:$G$6,2,FALSE)</f>
        <v>Demographics</v>
      </c>
    </row>
    <row r="814" spans="1:16">
      <c r="A814" t="s">
        <v>1139</v>
      </c>
      <c r="B814" t="s">
        <v>1112</v>
      </c>
      <c r="C814" t="s">
        <v>130</v>
      </c>
      <c r="D814">
        <v>1982</v>
      </c>
      <c r="E814" t="s">
        <v>29</v>
      </c>
      <c r="F814" t="s">
        <v>30</v>
      </c>
      <c r="G814" t="s">
        <v>31</v>
      </c>
      <c r="H814" t="s">
        <v>32</v>
      </c>
      <c r="I814">
        <v>797.90810060000001</v>
      </c>
      <c r="J814" t="s">
        <v>33</v>
      </c>
      <c r="K814" t="s">
        <v>1137</v>
      </c>
      <c r="L814" t="s">
        <v>21</v>
      </c>
      <c r="M814" t="str">
        <f t="shared" si="36"/>
        <v>OK</v>
      </c>
      <c r="N814" t="str">
        <f t="shared" si="37"/>
        <v>1980s</v>
      </c>
      <c r="O814" t="str">
        <f t="shared" si="38"/>
        <v>N/A</v>
      </c>
      <c r="P814" t="str">
        <f>VLOOKUP(E814,calculated_fields!$F$4:$G$6,2,FALSE)</f>
        <v>Economy</v>
      </c>
    </row>
    <row r="815" spans="1:16">
      <c r="A815" t="s">
        <v>1140</v>
      </c>
      <c r="B815" t="s">
        <v>1112</v>
      </c>
      <c r="C815" t="s">
        <v>130</v>
      </c>
      <c r="D815">
        <v>1987</v>
      </c>
      <c r="E815" t="s">
        <v>15</v>
      </c>
      <c r="F815" t="s">
        <v>16</v>
      </c>
      <c r="G815" t="s">
        <v>17</v>
      </c>
      <c r="H815" t="s">
        <v>18</v>
      </c>
      <c r="I815">
        <v>51.051000000000002</v>
      </c>
      <c r="J815" t="s">
        <v>19</v>
      </c>
      <c r="K815" t="s">
        <v>1141</v>
      </c>
      <c r="L815" t="s">
        <v>21</v>
      </c>
      <c r="M815" t="str">
        <f t="shared" si="36"/>
        <v>OK</v>
      </c>
      <c r="N815" t="str">
        <f t="shared" si="37"/>
        <v>1980s</v>
      </c>
      <c r="O815" t="str">
        <f t="shared" si="38"/>
        <v>Low</v>
      </c>
      <c r="P815" t="str">
        <f>VLOOKUP(E815,calculated_fields!$F$4:$G$6,2,FALSE)</f>
        <v>Health</v>
      </c>
    </row>
    <row r="816" spans="1:16">
      <c r="A816" t="s">
        <v>1142</v>
      </c>
      <c r="B816" t="s">
        <v>1112</v>
      </c>
      <c r="C816" t="s">
        <v>130</v>
      </c>
      <c r="D816">
        <v>1987</v>
      </c>
      <c r="E816" t="s">
        <v>23</v>
      </c>
      <c r="F816" t="s">
        <v>24</v>
      </c>
      <c r="G816" t="s">
        <v>25</v>
      </c>
      <c r="H816" t="s">
        <v>26</v>
      </c>
      <c r="I816">
        <v>5498955</v>
      </c>
      <c r="J816" t="s">
        <v>27</v>
      </c>
      <c r="K816" t="s">
        <v>1141</v>
      </c>
      <c r="L816" t="s">
        <v>21</v>
      </c>
      <c r="M816" t="str">
        <f t="shared" si="36"/>
        <v>OK</v>
      </c>
      <c r="N816" t="str">
        <f t="shared" si="37"/>
        <v>1980s</v>
      </c>
      <c r="O816" t="str">
        <f t="shared" si="38"/>
        <v>N/A</v>
      </c>
      <c r="P816" t="str">
        <f>VLOOKUP(E816,calculated_fields!$F$4:$G$6,2,FALSE)</f>
        <v>Demographics</v>
      </c>
    </row>
    <row r="817" spans="1:16">
      <c r="A817" t="s">
        <v>1143</v>
      </c>
      <c r="B817" t="s">
        <v>1112</v>
      </c>
      <c r="C817" t="s">
        <v>130</v>
      </c>
      <c r="D817">
        <v>1987</v>
      </c>
      <c r="E817" t="s">
        <v>29</v>
      </c>
      <c r="F817" t="s">
        <v>30</v>
      </c>
      <c r="G817" t="s">
        <v>31</v>
      </c>
      <c r="H817" t="s">
        <v>32</v>
      </c>
      <c r="I817">
        <v>952.38612899999998</v>
      </c>
      <c r="J817" t="s">
        <v>33</v>
      </c>
      <c r="K817" t="s">
        <v>1141</v>
      </c>
      <c r="L817" t="s">
        <v>21</v>
      </c>
      <c r="M817" t="str">
        <f t="shared" si="36"/>
        <v>OK</v>
      </c>
      <c r="N817" t="str">
        <f t="shared" si="37"/>
        <v>1980s</v>
      </c>
      <c r="O817" t="str">
        <f t="shared" si="38"/>
        <v>N/A</v>
      </c>
      <c r="P817" t="str">
        <f>VLOOKUP(E817,calculated_fields!$F$4:$G$6,2,FALSE)</f>
        <v>Economy</v>
      </c>
    </row>
    <row r="818" spans="1:16">
      <c r="A818" t="s">
        <v>1144</v>
      </c>
      <c r="B818" t="s">
        <v>1112</v>
      </c>
      <c r="C818" t="s">
        <v>130</v>
      </c>
      <c r="D818">
        <v>1992</v>
      </c>
      <c r="E818" t="s">
        <v>15</v>
      </c>
      <c r="F818" t="s">
        <v>16</v>
      </c>
      <c r="G818" t="s">
        <v>17</v>
      </c>
      <c r="H818" t="s">
        <v>18</v>
      </c>
      <c r="I818">
        <v>51.723999999999997</v>
      </c>
      <c r="J818" t="s">
        <v>19</v>
      </c>
      <c r="K818" t="s">
        <v>1145</v>
      </c>
      <c r="L818" t="s">
        <v>21</v>
      </c>
      <c r="M818" t="str">
        <f t="shared" si="36"/>
        <v>OK</v>
      </c>
      <c r="N818" t="str">
        <f t="shared" si="37"/>
        <v>1990s</v>
      </c>
      <c r="O818" t="str">
        <f t="shared" si="38"/>
        <v>Low</v>
      </c>
      <c r="P818" t="str">
        <f>VLOOKUP(E818,calculated_fields!$F$4:$G$6,2,FALSE)</f>
        <v>Health</v>
      </c>
    </row>
    <row r="819" spans="1:16">
      <c r="A819" t="s">
        <v>1146</v>
      </c>
      <c r="B819" t="s">
        <v>1112</v>
      </c>
      <c r="C819" t="s">
        <v>130</v>
      </c>
      <c r="D819">
        <v>1992</v>
      </c>
      <c r="E819" t="s">
        <v>23</v>
      </c>
      <c r="F819" t="s">
        <v>24</v>
      </c>
      <c r="G819" t="s">
        <v>25</v>
      </c>
      <c r="H819" t="s">
        <v>26</v>
      </c>
      <c r="I819">
        <v>6429417</v>
      </c>
      <c r="J819" t="s">
        <v>27</v>
      </c>
      <c r="K819" t="s">
        <v>1145</v>
      </c>
      <c r="L819" t="s">
        <v>21</v>
      </c>
      <c r="M819" t="str">
        <f t="shared" si="36"/>
        <v>OK</v>
      </c>
      <c r="N819" t="str">
        <f t="shared" si="37"/>
        <v>1990s</v>
      </c>
      <c r="O819" t="str">
        <f t="shared" si="38"/>
        <v>N/A</v>
      </c>
      <c r="P819" t="str">
        <f>VLOOKUP(E819,calculated_fields!$F$4:$G$6,2,FALSE)</f>
        <v>Demographics</v>
      </c>
    </row>
    <row r="820" spans="1:16">
      <c r="A820" t="s">
        <v>1147</v>
      </c>
      <c r="B820" t="s">
        <v>1112</v>
      </c>
      <c r="C820" t="s">
        <v>130</v>
      </c>
      <c r="D820">
        <v>1992</v>
      </c>
      <c r="E820" t="s">
        <v>29</v>
      </c>
      <c r="F820" t="s">
        <v>30</v>
      </c>
      <c r="G820" t="s">
        <v>31</v>
      </c>
      <c r="H820" t="s">
        <v>32</v>
      </c>
      <c r="I820">
        <v>1058.0643</v>
      </c>
      <c r="J820" t="s">
        <v>33</v>
      </c>
      <c r="K820" t="s">
        <v>1145</v>
      </c>
      <c r="L820" t="s">
        <v>21</v>
      </c>
      <c r="M820" t="str">
        <f t="shared" si="36"/>
        <v>OK</v>
      </c>
      <c r="N820" t="str">
        <f t="shared" si="37"/>
        <v>1990s</v>
      </c>
      <c r="O820" t="str">
        <f t="shared" si="38"/>
        <v>N/A</v>
      </c>
      <c r="P820" t="str">
        <f>VLOOKUP(E820,calculated_fields!$F$4:$G$6,2,FALSE)</f>
        <v>Economy</v>
      </c>
    </row>
    <row r="821" spans="1:16">
      <c r="A821" t="s">
        <v>1148</v>
      </c>
      <c r="B821" t="s">
        <v>1112</v>
      </c>
      <c r="C821" t="s">
        <v>130</v>
      </c>
      <c r="D821">
        <v>1997</v>
      </c>
      <c r="E821" t="s">
        <v>15</v>
      </c>
      <c r="F821" t="s">
        <v>16</v>
      </c>
      <c r="G821" t="s">
        <v>17</v>
      </c>
      <c r="H821" t="s">
        <v>18</v>
      </c>
      <c r="I821">
        <v>51.573</v>
      </c>
      <c r="J821" t="s">
        <v>19</v>
      </c>
      <c r="K821" t="s">
        <v>1149</v>
      </c>
      <c r="L821" t="s">
        <v>21</v>
      </c>
      <c r="M821" t="str">
        <f t="shared" si="36"/>
        <v>OK</v>
      </c>
      <c r="N821" t="str">
        <f t="shared" si="37"/>
        <v>1990s</v>
      </c>
      <c r="O821" t="str">
        <f t="shared" si="38"/>
        <v>Low</v>
      </c>
      <c r="P821" t="str">
        <f>VLOOKUP(E821,calculated_fields!$F$4:$G$6,2,FALSE)</f>
        <v>Health</v>
      </c>
    </row>
    <row r="822" spans="1:16">
      <c r="A822" t="s">
        <v>1150</v>
      </c>
      <c r="B822" t="s">
        <v>1112</v>
      </c>
      <c r="C822" t="s">
        <v>130</v>
      </c>
      <c r="D822">
        <v>1997</v>
      </c>
      <c r="E822" t="s">
        <v>23</v>
      </c>
      <c r="F822" t="s">
        <v>24</v>
      </c>
      <c r="G822" t="s">
        <v>25</v>
      </c>
      <c r="H822" t="s">
        <v>26</v>
      </c>
      <c r="I822">
        <v>7562011</v>
      </c>
      <c r="J822" t="s">
        <v>27</v>
      </c>
      <c r="K822" t="s">
        <v>1149</v>
      </c>
      <c r="L822" t="s">
        <v>21</v>
      </c>
      <c r="M822" t="str">
        <f t="shared" si="36"/>
        <v>OK</v>
      </c>
      <c r="N822" t="str">
        <f t="shared" si="37"/>
        <v>1990s</v>
      </c>
      <c r="O822" t="str">
        <f t="shared" si="38"/>
        <v>N/A</v>
      </c>
      <c r="P822" t="str">
        <f>VLOOKUP(E822,calculated_fields!$F$4:$G$6,2,FALSE)</f>
        <v>Demographics</v>
      </c>
    </row>
    <row r="823" spans="1:16">
      <c r="A823" t="s">
        <v>1151</v>
      </c>
      <c r="B823" t="s">
        <v>1112</v>
      </c>
      <c r="C823" t="s">
        <v>130</v>
      </c>
      <c r="D823">
        <v>1997</v>
      </c>
      <c r="E823" t="s">
        <v>29</v>
      </c>
      <c r="F823" t="s">
        <v>30</v>
      </c>
      <c r="G823" t="s">
        <v>31</v>
      </c>
      <c r="H823" t="s">
        <v>32</v>
      </c>
      <c r="I823">
        <v>1004.961353</v>
      </c>
      <c r="J823" t="s">
        <v>33</v>
      </c>
      <c r="K823" t="s">
        <v>1149</v>
      </c>
      <c r="L823" t="s">
        <v>21</v>
      </c>
      <c r="M823" t="str">
        <f t="shared" si="36"/>
        <v>OK</v>
      </c>
      <c r="N823" t="str">
        <f t="shared" si="37"/>
        <v>1990s</v>
      </c>
      <c r="O823" t="str">
        <f t="shared" si="38"/>
        <v>N/A</v>
      </c>
      <c r="P823" t="str">
        <f>VLOOKUP(E823,calculated_fields!$F$4:$G$6,2,FALSE)</f>
        <v>Economy</v>
      </c>
    </row>
    <row r="824" spans="1:16">
      <c r="A824" t="s">
        <v>1152</v>
      </c>
      <c r="B824" t="s">
        <v>1112</v>
      </c>
      <c r="C824" t="s">
        <v>130</v>
      </c>
      <c r="D824">
        <v>2002</v>
      </c>
      <c r="E824" t="s">
        <v>15</v>
      </c>
      <c r="F824" t="s">
        <v>16</v>
      </c>
      <c r="G824" t="s">
        <v>17</v>
      </c>
      <c r="H824" t="s">
        <v>18</v>
      </c>
      <c r="I824">
        <v>50.524999999999999</v>
      </c>
      <c r="J824" t="s">
        <v>19</v>
      </c>
      <c r="K824" t="s">
        <v>1153</v>
      </c>
      <c r="L824" t="s">
        <v>21</v>
      </c>
      <c r="M824" t="str">
        <f t="shared" si="36"/>
        <v>OK</v>
      </c>
      <c r="N824" t="str">
        <f t="shared" si="37"/>
        <v>2000s</v>
      </c>
      <c r="O824" t="str">
        <f t="shared" si="38"/>
        <v>Low</v>
      </c>
      <c r="P824" t="str">
        <f>VLOOKUP(E824,calculated_fields!$F$4:$G$6,2,FALSE)</f>
        <v>Health</v>
      </c>
    </row>
    <row r="825" spans="1:16">
      <c r="A825" t="s">
        <v>1154</v>
      </c>
      <c r="B825" t="s">
        <v>1112</v>
      </c>
      <c r="C825" t="s">
        <v>130</v>
      </c>
      <c r="D825">
        <v>2002</v>
      </c>
      <c r="E825" t="s">
        <v>23</v>
      </c>
      <c r="F825" t="s">
        <v>24</v>
      </c>
      <c r="G825" t="s">
        <v>25</v>
      </c>
      <c r="H825" t="s">
        <v>26</v>
      </c>
      <c r="I825">
        <v>8835739</v>
      </c>
      <c r="J825" t="s">
        <v>27</v>
      </c>
      <c r="K825" t="s">
        <v>1153</v>
      </c>
      <c r="L825" t="s">
        <v>21</v>
      </c>
      <c r="M825" t="str">
        <f t="shared" si="36"/>
        <v>OK</v>
      </c>
      <c r="N825" t="str">
        <f t="shared" si="37"/>
        <v>2000s</v>
      </c>
      <c r="O825" t="str">
        <f t="shared" si="38"/>
        <v>N/A</v>
      </c>
      <c r="P825" t="str">
        <f>VLOOKUP(E825,calculated_fields!$F$4:$G$6,2,FALSE)</f>
        <v>Demographics</v>
      </c>
    </row>
    <row r="826" spans="1:16">
      <c r="A826" t="s">
        <v>1155</v>
      </c>
      <c r="B826" t="s">
        <v>1112</v>
      </c>
      <c r="C826" t="s">
        <v>130</v>
      </c>
      <c r="D826">
        <v>2002</v>
      </c>
      <c r="E826" t="s">
        <v>29</v>
      </c>
      <c r="F826" t="s">
        <v>30</v>
      </c>
      <c r="G826" t="s">
        <v>31</v>
      </c>
      <c r="H826" t="s">
        <v>32</v>
      </c>
      <c r="I826">
        <v>1156.1818599999999</v>
      </c>
      <c r="J826" t="s">
        <v>33</v>
      </c>
      <c r="K826" t="s">
        <v>1153</v>
      </c>
      <c r="L826" t="s">
        <v>21</v>
      </c>
      <c r="M826" t="str">
        <f t="shared" si="36"/>
        <v>OK</v>
      </c>
      <c r="N826" t="str">
        <f t="shared" si="37"/>
        <v>2000s</v>
      </c>
      <c r="O826" t="str">
        <f t="shared" si="38"/>
        <v>N/A</v>
      </c>
      <c r="P826" t="str">
        <f>VLOOKUP(E826,calculated_fields!$F$4:$G$6,2,FALSE)</f>
        <v>Economy</v>
      </c>
    </row>
    <row r="827" spans="1:16">
      <c r="A827" t="s">
        <v>1156</v>
      </c>
      <c r="B827" t="s">
        <v>1112</v>
      </c>
      <c r="C827" t="s">
        <v>130</v>
      </c>
      <c r="D827">
        <v>2007</v>
      </c>
      <c r="E827" t="s">
        <v>15</v>
      </c>
      <c r="F827" t="s">
        <v>16</v>
      </c>
      <c r="G827" t="s">
        <v>17</v>
      </c>
      <c r="H827" t="s">
        <v>18</v>
      </c>
      <c r="I827">
        <v>50.651000000000003</v>
      </c>
      <c r="J827" t="s">
        <v>19</v>
      </c>
      <c r="K827" t="s">
        <v>1157</v>
      </c>
      <c r="L827" t="s">
        <v>21</v>
      </c>
      <c r="M827" t="str">
        <f t="shared" si="36"/>
        <v>OK</v>
      </c>
      <c r="N827" t="str">
        <f t="shared" si="37"/>
        <v>2000s</v>
      </c>
      <c r="O827" t="str">
        <f t="shared" si="38"/>
        <v>Low</v>
      </c>
      <c r="P827" t="str">
        <f>VLOOKUP(E827,calculated_fields!$F$4:$G$6,2,FALSE)</f>
        <v>Health</v>
      </c>
    </row>
    <row r="828" spans="1:16">
      <c r="A828" t="s">
        <v>1158</v>
      </c>
      <c r="B828" t="s">
        <v>1112</v>
      </c>
      <c r="C828" t="s">
        <v>130</v>
      </c>
      <c r="D828">
        <v>2007</v>
      </c>
      <c r="E828" t="s">
        <v>23</v>
      </c>
      <c r="F828" t="s">
        <v>24</v>
      </c>
      <c r="G828" t="s">
        <v>25</v>
      </c>
      <c r="H828" t="s">
        <v>26</v>
      </c>
      <c r="I828">
        <v>10238807</v>
      </c>
      <c r="J828" t="s">
        <v>27</v>
      </c>
      <c r="K828" t="s">
        <v>1157</v>
      </c>
      <c r="L828" t="s">
        <v>21</v>
      </c>
      <c r="M828" t="str">
        <f t="shared" si="36"/>
        <v>OK</v>
      </c>
      <c r="N828" t="str">
        <f t="shared" si="37"/>
        <v>2000s</v>
      </c>
      <c r="O828" t="str">
        <f t="shared" si="38"/>
        <v>N/A</v>
      </c>
      <c r="P828" t="str">
        <f>VLOOKUP(E828,calculated_fields!$F$4:$G$6,2,FALSE)</f>
        <v>Demographics</v>
      </c>
    </row>
    <row r="829" spans="1:16">
      <c r="A829" t="s">
        <v>1159</v>
      </c>
      <c r="B829" t="s">
        <v>1112</v>
      </c>
      <c r="C829" t="s">
        <v>130</v>
      </c>
      <c r="D829">
        <v>2007</v>
      </c>
      <c r="E829" t="s">
        <v>29</v>
      </c>
      <c r="F829" t="s">
        <v>30</v>
      </c>
      <c r="G829" t="s">
        <v>31</v>
      </c>
      <c r="H829" t="s">
        <v>32</v>
      </c>
      <c r="I829">
        <v>1704.0637240000001</v>
      </c>
      <c r="J829" t="s">
        <v>33</v>
      </c>
      <c r="K829" t="s">
        <v>1157</v>
      </c>
      <c r="L829" t="s">
        <v>21</v>
      </c>
      <c r="M829" t="str">
        <f t="shared" si="36"/>
        <v>OK</v>
      </c>
      <c r="N829" t="str">
        <f t="shared" si="37"/>
        <v>2000s</v>
      </c>
      <c r="O829" t="str">
        <f t="shared" si="38"/>
        <v>N/A</v>
      </c>
      <c r="P829" t="str">
        <f>VLOOKUP(E829,calculated_fields!$F$4:$G$6,2,FALSE)</f>
        <v>Economy</v>
      </c>
    </row>
    <row r="830" spans="1:16">
      <c r="A830" t="s">
        <v>1160</v>
      </c>
      <c r="B830" t="s">
        <v>1161</v>
      </c>
      <c r="C830" t="s">
        <v>229</v>
      </c>
      <c r="D830">
        <v>1952</v>
      </c>
      <c r="E830" t="s">
        <v>15</v>
      </c>
      <c r="F830" t="s">
        <v>16</v>
      </c>
      <c r="G830" t="s">
        <v>17</v>
      </c>
      <c r="H830" t="s">
        <v>18</v>
      </c>
      <c r="I830">
        <v>54.744999999999997</v>
      </c>
      <c r="J830" t="s">
        <v>19</v>
      </c>
      <c r="K830" t="s">
        <v>1162</v>
      </c>
      <c r="L830" t="s">
        <v>21</v>
      </c>
      <c r="M830" t="str">
        <f t="shared" si="36"/>
        <v>OK</v>
      </c>
      <c r="N830" t="str">
        <f t="shared" si="37"/>
        <v>1950s</v>
      </c>
      <c r="O830" t="str">
        <f t="shared" si="38"/>
        <v>Low</v>
      </c>
      <c r="P830" t="str">
        <f>VLOOKUP(E830,calculated_fields!$F$4:$G$6,2,FALSE)</f>
        <v>Health</v>
      </c>
    </row>
    <row r="831" spans="1:16">
      <c r="A831" t="s">
        <v>1163</v>
      </c>
      <c r="B831" t="s">
        <v>1161</v>
      </c>
      <c r="C831" t="s">
        <v>229</v>
      </c>
      <c r="D831">
        <v>1952</v>
      </c>
      <c r="E831" t="s">
        <v>23</v>
      </c>
      <c r="F831" t="s">
        <v>24</v>
      </c>
      <c r="G831" t="s">
        <v>25</v>
      </c>
      <c r="H831" t="s">
        <v>26</v>
      </c>
      <c r="I831">
        <v>6377619</v>
      </c>
      <c r="J831" t="s">
        <v>27</v>
      </c>
      <c r="K831" t="s">
        <v>1162</v>
      </c>
      <c r="L831" t="s">
        <v>21</v>
      </c>
      <c r="M831" t="str">
        <f t="shared" si="36"/>
        <v>OK</v>
      </c>
      <c r="N831" t="str">
        <f t="shared" si="37"/>
        <v>1950s</v>
      </c>
      <c r="O831" t="str">
        <f t="shared" si="38"/>
        <v>N/A</v>
      </c>
      <c r="P831" t="str">
        <f>VLOOKUP(E831,calculated_fields!$F$4:$G$6,2,FALSE)</f>
        <v>Demographics</v>
      </c>
    </row>
    <row r="832" spans="1:16">
      <c r="A832" t="s">
        <v>1164</v>
      </c>
      <c r="B832" t="s">
        <v>1161</v>
      </c>
      <c r="C832" t="s">
        <v>229</v>
      </c>
      <c r="D832">
        <v>1952</v>
      </c>
      <c r="E832" t="s">
        <v>29</v>
      </c>
      <c r="F832" t="s">
        <v>30</v>
      </c>
      <c r="G832" t="s">
        <v>31</v>
      </c>
      <c r="H832" t="s">
        <v>32</v>
      </c>
      <c r="I832">
        <v>3939.9787889999998</v>
      </c>
      <c r="J832" t="s">
        <v>33</v>
      </c>
      <c r="K832" t="s">
        <v>1162</v>
      </c>
      <c r="L832" t="s">
        <v>21</v>
      </c>
      <c r="M832" t="str">
        <f t="shared" si="36"/>
        <v>OK</v>
      </c>
      <c r="N832" t="str">
        <f t="shared" si="37"/>
        <v>1950s</v>
      </c>
      <c r="O832" t="str">
        <f t="shared" si="38"/>
        <v>N/A</v>
      </c>
      <c r="P832" t="str">
        <f>VLOOKUP(E832,calculated_fields!$F$4:$G$6,2,FALSE)</f>
        <v>Economy</v>
      </c>
    </row>
    <row r="833" spans="1:16">
      <c r="A833" t="s">
        <v>1165</v>
      </c>
      <c r="B833" t="s">
        <v>1161</v>
      </c>
      <c r="C833" t="s">
        <v>229</v>
      </c>
      <c r="D833">
        <v>1957</v>
      </c>
      <c r="E833" t="s">
        <v>15</v>
      </c>
      <c r="F833" t="s">
        <v>16</v>
      </c>
      <c r="G833" t="s">
        <v>17</v>
      </c>
      <c r="H833" t="s">
        <v>18</v>
      </c>
      <c r="I833">
        <v>56.073999999999998</v>
      </c>
      <c r="J833" t="s">
        <v>19</v>
      </c>
      <c r="K833" t="s">
        <v>1166</v>
      </c>
      <c r="L833" t="s">
        <v>21</v>
      </c>
      <c r="M833" t="str">
        <f t="shared" si="36"/>
        <v>OK</v>
      </c>
      <c r="N833" t="str">
        <f t="shared" si="37"/>
        <v>1950s</v>
      </c>
      <c r="O833" t="str">
        <f t="shared" si="38"/>
        <v>Medium</v>
      </c>
      <c r="P833" t="str">
        <f>VLOOKUP(E833,calculated_fields!$F$4:$G$6,2,FALSE)</f>
        <v>Health</v>
      </c>
    </row>
    <row r="834" spans="1:16">
      <c r="A834" t="s">
        <v>1167</v>
      </c>
      <c r="B834" t="s">
        <v>1161</v>
      </c>
      <c r="C834" t="s">
        <v>229</v>
      </c>
      <c r="D834">
        <v>1957</v>
      </c>
      <c r="E834" t="s">
        <v>23</v>
      </c>
      <c r="F834" t="s">
        <v>24</v>
      </c>
      <c r="G834" t="s">
        <v>25</v>
      </c>
      <c r="H834" t="s">
        <v>26</v>
      </c>
      <c r="I834">
        <v>7048426</v>
      </c>
      <c r="J834" t="s">
        <v>27</v>
      </c>
      <c r="K834" t="s">
        <v>1166</v>
      </c>
      <c r="L834" t="s">
        <v>21</v>
      </c>
      <c r="M834" t="str">
        <f t="shared" ref="M834:M897" si="39">IF(AND(ISNUMBER(I834),I834&gt;=0),"OK","Review")</f>
        <v>OK</v>
      </c>
      <c r="N834" t="str">
        <f t="shared" ref="N834:N897" si="40">FLOOR(D834,10)&amp;"s"</f>
        <v>1950s</v>
      </c>
      <c r="O834" t="str">
        <f t="shared" ref="O834:O897" si="41">IF(E834="LIFE_EXP",IF(I834&gt;=70,"High",IF(I834&gt;=55,"Medium","Low")),"N/A")</f>
        <v>N/A</v>
      </c>
      <c r="P834" t="str">
        <f>VLOOKUP(E834,calculated_fields!$F$4:$G$6,2,FALSE)</f>
        <v>Demographics</v>
      </c>
    </row>
    <row r="835" spans="1:16">
      <c r="A835" t="s">
        <v>1168</v>
      </c>
      <c r="B835" t="s">
        <v>1161</v>
      </c>
      <c r="C835" t="s">
        <v>229</v>
      </c>
      <c r="D835">
        <v>1957</v>
      </c>
      <c r="E835" t="s">
        <v>29</v>
      </c>
      <c r="F835" t="s">
        <v>30</v>
      </c>
      <c r="G835" t="s">
        <v>31</v>
      </c>
      <c r="H835" t="s">
        <v>32</v>
      </c>
      <c r="I835">
        <v>4315.6227230000004</v>
      </c>
      <c r="J835" t="s">
        <v>33</v>
      </c>
      <c r="K835" t="s">
        <v>1166</v>
      </c>
      <c r="L835" t="s">
        <v>21</v>
      </c>
      <c r="M835" t="str">
        <f t="shared" si="39"/>
        <v>OK</v>
      </c>
      <c r="N835" t="str">
        <f t="shared" si="40"/>
        <v>1950s</v>
      </c>
      <c r="O835" t="str">
        <f t="shared" si="41"/>
        <v>N/A</v>
      </c>
      <c r="P835" t="str">
        <f>VLOOKUP(E835,calculated_fields!$F$4:$G$6,2,FALSE)</f>
        <v>Economy</v>
      </c>
    </row>
    <row r="836" spans="1:16">
      <c r="A836" t="s">
        <v>1169</v>
      </c>
      <c r="B836" t="s">
        <v>1161</v>
      </c>
      <c r="C836" t="s">
        <v>229</v>
      </c>
      <c r="D836">
        <v>1962</v>
      </c>
      <c r="E836" t="s">
        <v>15</v>
      </c>
      <c r="F836" t="s">
        <v>16</v>
      </c>
      <c r="G836" t="s">
        <v>17</v>
      </c>
      <c r="H836" t="s">
        <v>18</v>
      </c>
      <c r="I836">
        <v>57.923999999999999</v>
      </c>
      <c r="J836" t="s">
        <v>19</v>
      </c>
      <c r="K836" t="s">
        <v>1170</v>
      </c>
      <c r="L836" t="s">
        <v>21</v>
      </c>
      <c r="M836" t="str">
        <f t="shared" si="39"/>
        <v>OK</v>
      </c>
      <c r="N836" t="str">
        <f t="shared" si="40"/>
        <v>1960s</v>
      </c>
      <c r="O836" t="str">
        <f t="shared" si="41"/>
        <v>Medium</v>
      </c>
      <c r="P836" t="str">
        <f>VLOOKUP(E836,calculated_fields!$F$4:$G$6,2,FALSE)</f>
        <v>Health</v>
      </c>
    </row>
    <row r="837" spans="1:16">
      <c r="A837" t="s">
        <v>1171</v>
      </c>
      <c r="B837" t="s">
        <v>1161</v>
      </c>
      <c r="C837" t="s">
        <v>229</v>
      </c>
      <c r="D837">
        <v>1962</v>
      </c>
      <c r="E837" t="s">
        <v>23</v>
      </c>
      <c r="F837" t="s">
        <v>24</v>
      </c>
      <c r="G837" t="s">
        <v>25</v>
      </c>
      <c r="H837" t="s">
        <v>26</v>
      </c>
      <c r="I837">
        <v>7961258</v>
      </c>
      <c r="J837" t="s">
        <v>27</v>
      </c>
      <c r="K837" t="s">
        <v>1170</v>
      </c>
      <c r="L837" t="s">
        <v>21</v>
      </c>
      <c r="M837" t="str">
        <f t="shared" si="39"/>
        <v>OK</v>
      </c>
      <c r="N837" t="str">
        <f t="shared" si="40"/>
        <v>1960s</v>
      </c>
      <c r="O837" t="str">
        <f t="shared" si="41"/>
        <v>N/A</v>
      </c>
      <c r="P837" t="str">
        <f>VLOOKUP(E837,calculated_fields!$F$4:$G$6,2,FALSE)</f>
        <v>Demographics</v>
      </c>
    </row>
    <row r="838" spans="1:16">
      <c r="A838" t="s">
        <v>1172</v>
      </c>
      <c r="B838" t="s">
        <v>1161</v>
      </c>
      <c r="C838" t="s">
        <v>229</v>
      </c>
      <c r="D838">
        <v>1962</v>
      </c>
      <c r="E838" t="s">
        <v>29</v>
      </c>
      <c r="F838" t="s">
        <v>30</v>
      </c>
      <c r="G838" t="s">
        <v>31</v>
      </c>
      <c r="H838" t="s">
        <v>32</v>
      </c>
      <c r="I838">
        <v>4519.0943310000002</v>
      </c>
      <c r="J838" t="s">
        <v>33</v>
      </c>
      <c r="K838" t="s">
        <v>1170</v>
      </c>
      <c r="L838" t="s">
        <v>21</v>
      </c>
      <c r="M838" t="str">
        <f t="shared" si="39"/>
        <v>OK</v>
      </c>
      <c r="N838" t="str">
        <f t="shared" si="40"/>
        <v>1960s</v>
      </c>
      <c r="O838" t="str">
        <f t="shared" si="41"/>
        <v>N/A</v>
      </c>
      <c r="P838" t="str">
        <f>VLOOKUP(E838,calculated_fields!$F$4:$G$6,2,FALSE)</f>
        <v>Economy</v>
      </c>
    </row>
    <row r="839" spans="1:16">
      <c r="A839" t="s">
        <v>1173</v>
      </c>
      <c r="B839" t="s">
        <v>1161</v>
      </c>
      <c r="C839" t="s">
        <v>229</v>
      </c>
      <c r="D839">
        <v>1967</v>
      </c>
      <c r="E839" t="s">
        <v>15</v>
      </c>
      <c r="F839" t="s">
        <v>16</v>
      </c>
      <c r="G839" t="s">
        <v>17</v>
      </c>
      <c r="H839" t="s">
        <v>18</v>
      </c>
      <c r="I839">
        <v>60.523000000000003</v>
      </c>
      <c r="J839" t="s">
        <v>19</v>
      </c>
      <c r="K839" t="s">
        <v>1174</v>
      </c>
      <c r="L839" t="s">
        <v>21</v>
      </c>
      <c r="M839" t="str">
        <f t="shared" si="39"/>
        <v>OK</v>
      </c>
      <c r="N839" t="str">
        <f t="shared" si="40"/>
        <v>1960s</v>
      </c>
      <c r="O839" t="str">
        <f t="shared" si="41"/>
        <v>Medium</v>
      </c>
      <c r="P839" t="str">
        <f>VLOOKUP(E839,calculated_fields!$F$4:$G$6,2,FALSE)</f>
        <v>Health</v>
      </c>
    </row>
    <row r="840" spans="1:16">
      <c r="A840" t="s">
        <v>1175</v>
      </c>
      <c r="B840" t="s">
        <v>1161</v>
      </c>
      <c r="C840" t="s">
        <v>229</v>
      </c>
      <c r="D840">
        <v>1967</v>
      </c>
      <c r="E840" t="s">
        <v>23</v>
      </c>
      <c r="F840" t="s">
        <v>24</v>
      </c>
      <c r="G840" t="s">
        <v>25</v>
      </c>
      <c r="H840" t="s">
        <v>26</v>
      </c>
      <c r="I840">
        <v>8858908</v>
      </c>
      <c r="J840" t="s">
        <v>27</v>
      </c>
      <c r="K840" t="s">
        <v>1174</v>
      </c>
      <c r="L840" t="s">
        <v>21</v>
      </c>
      <c r="M840" t="str">
        <f t="shared" si="39"/>
        <v>OK</v>
      </c>
      <c r="N840" t="str">
        <f t="shared" si="40"/>
        <v>1960s</v>
      </c>
      <c r="O840" t="str">
        <f t="shared" si="41"/>
        <v>N/A</v>
      </c>
      <c r="P840" t="str">
        <f>VLOOKUP(E840,calculated_fields!$F$4:$G$6,2,FALSE)</f>
        <v>Demographics</v>
      </c>
    </row>
    <row r="841" spans="1:16">
      <c r="A841" t="s">
        <v>1176</v>
      </c>
      <c r="B841" t="s">
        <v>1161</v>
      </c>
      <c r="C841" t="s">
        <v>229</v>
      </c>
      <c r="D841">
        <v>1967</v>
      </c>
      <c r="E841" t="s">
        <v>29</v>
      </c>
      <c r="F841" t="s">
        <v>30</v>
      </c>
      <c r="G841" t="s">
        <v>31</v>
      </c>
      <c r="H841" t="s">
        <v>32</v>
      </c>
      <c r="I841">
        <v>5106.654313</v>
      </c>
      <c r="J841" t="s">
        <v>33</v>
      </c>
      <c r="K841" t="s">
        <v>1174</v>
      </c>
      <c r="L841" t="s">
        <v>21</v>
      </c>
      <c r="M841" t="str">
        <f t="shared" si="39"/>
        <v>OK</v>
      </c>
      <c r="N841" t="str">
        <f t="shared" si="40"/>
        <v>1960s</v>
      </c>
      <c r="O841" t="str">
        <f t="shared" si="41"/>
        <v>N/A</v>
      </c>
      <c r="P841" t="str">
        <f>VLOOKUP(E841,calculated_fields!$F$4:$G$6,2,FALSE)</f>
        <v>Economy</v>
      </c>
    </row>
    <row r="842" spans="1:16">
      <c r="A842" t="s">
        <v>1177</v>
      </c>
      <c r="B842" t="s">
        <v>1161</v>
      </c>
      <c r="C842" t="s">
        <v>229</v>
      </c>
      <c r="D842">
        <v>1972</v>
      </c>
      <c r="E842" t="s">
        <v>15</v>
      </c>
      <c r="F842" t="s">
        <v>16</v>
      </c>
      <c r="G842" t="s">
        <v>17</v>
      </c>
      <c r="H842" t="s">
        <v>18</v>
      </c>
      <c r="I842">
        <v>63.441000000000003</v>
      </c>
      <c r="J842" t="s">
        <v>19</v>
      </c>
      <c r="K842" t="s">
        <v>1178</v>
      </c>
      <c r="L842" t="s">
        <v>21</v>
      </c>
      <c r="M842" t="str">
        <f t="shared" si="39"/>
        <v>OK</v>
      </c>
      <c r="N842" t="str">
        <f t="shared" si="40"/>
        <v>1970s</v>
      </c>
      <c r="O842" t="str">
        <f t="shared" si="41"/>
        <v>Medium</v>
      </c>
      <c r="P842" t="str">
        <f>VLOOKUP(E842,calculated_fields!$F$4:$G$6,2,FALSE)</f>
        <v>Health</v>
      </c>
    </row>
    <row r="843" spans="1:16">
      <c r="A843" t="s">
        <v>1179</v>
      </c>
      <c r="B843" t="s">
        <v>1161</v>
      </c>
      <c r="C843" t="s">
        <v>229</v>
      </c>
      <c r="D843">
        <v>1972</v>
      </c>
      <c r="E843" t="s">
        <v>23</v>
      </c>
      <c r="F843" t="s">
        <v>24</v>
      </c>
      <c r="G843" t="s">
        <v>25</v>
      </c>
      <c r="H843" t="s">
        <v>26</v>
      </c>
      <c r="I843">
        <v>9717524</v>
      </c>
      <c r="J843" t="s">
        <v>27</v>
      </c>
      <c r="K843" t="s">
        <v>1178</v>
      </c>
      <c r="L843" t="s">
        <v>21</v>
      </c>
      <c r="M843" t="str">
        <f t="shared" si="39"/>
        <v>OK</v>
      </c>
      <c r="N843" t="str">
        <f t="shared" si="40"/>
        <v>1970s</v>
      </c>
      <c r="O843" t="str">
        <f t="shared" si="41"/>
        <v>N/A</v>
      </c>
      <c r="P843" t="str">
        <f>VLOOKUP(E843,calculated_fields!$F$4:$G$6,2,FALSE)</f>
        <v>Demographics</v>
      </c>
    </row>
    <row r="844" spans="1:16">
      <c r="A844" t="s">
        <v>1180</v>
      </c>
      <c r="B844" t="s">
        <v>1161</v>
      </c>
      <c r="C844" t="s">
        <v>229</v>
      </c>
      <c r="D844">
        <v>1972</v>
      </c>
      <c r="E844" t="s">
        <v>29</v>
      </c>
      <c r="F844" t="s">
        <v>30</v>
      </c>
      <c r="G844" t="s">
        <v>31</v>
      </c>
      <c r="H844" t="s">
        <v>32</v>
      </c>
      <c r="I844">
        <v>5494.024437</v>
      </c>
      <c r="J844" t="s">
        <v>33</v>
      </c>
      <c r="K844" t="s">
        <v>1178</v>
      </c>
      <c r="L844" t="s">
        <v>21</v>
      </c>
      <c r="M844" t="str">
        <f t="shared" si="39"/>
        <v>OK</v>
      </c>
      <c r="N844" t="str">
        <f t="shared" si="40"/>
        <v>1970s</v>
      </c>
      <c r="O844" t="str">
        <f t="shared" si="41"/>
        <v>N/A</v>
      </c>
      <c r="P844" t="str">
        <f>VLOOKUP(E844,calculated_fields!$F$4:$G$6,2,FALSE)</f>
        <v>Economy</v>
      </c>
    </row>
    <row r="845" spans="1:16">
      <c r="A845" t="s">
        <v>1181</v>
      </c>
      <c r="B845" t="s">
        <v>1161</v>
      </c>
      <c r="C845" t="s">
        <v>229</v>
      </c>
      <c r="D845">
        <v>1977</v>
      </c>
      <c r="E845" t="s">
        <v>15</v>
      </c>
      <c r="F845" t="s">
        <v>16</v>
      </c>
      <c r="G845" t="s">
        <v>17</v>
      </c>
      <c r="H845" t="s">
        <v>18</v>
      </c>
      <c r="I845">
        <v>67.051999999999893</v>
      </c>
      <c r="J845" t="s">
        <v>19</v>
      </c>
      <c r="K845" t="s">
        <v>1182</v>
      </c>
      <c r="L845" t="s">
        <v>21</v>
      </c>
      <c r="M845" t="str">
        <f t="shared" si="39"/>
        <v>OK</v>
      </c>
      <c r="N845" t="str">
        <f t="shared" si="40"/>
        <v>1970s</v>
      </c>
      <c r="O845" t="str">
        <f t="shared" si="41"/>
        <v>Medium</v>
      </c>
      <c r="P845" t="str">
        <f>VLOOKUP(E845,calculated_fields!$F$4:$G$6,2,FALSE)</f>
        <v>Health</v>
      </c>
    </row>
    <row r="846" spans="1:16">
      <c r="A846" t="s">
        <v>1183</v>
      </c>
      <c r="B846" t="s">
        <v>1161</v>
      </c>
      <c r="C846" t="s">
        <v>229</v>
      </c>
      <c r="D846">
        <v>1977</v>
      </c>
      <c r="E846" t="s">
        <v>23</v>
      </c>
      <c r="F846" t="s">
        <v>24</v>
      </c>
      <c r="G846" t="s">
        <v>25</v>
      </c>
      <c r="H846" t="s">
        <v>26</v>
      </c>
      <c r="I846">
        <v>10599793</v>
      </c>
      <c r="J846" t="s">
        <v>27</v>
      </c>
      <c r="K846" t="s">
        <v>1182</v>
      </c>
      <c r="L846" t="s">
        <v>21</v>
      </c>
      <c r="M846" t="str">
        <f t="shared" si="39"/>
        <v>OK</v>
      </c>
      <c r="N846" t="str">
        <f t="shared" si="40"/>
        <v>1970s</v>
      </c>
      <c r="O846" t="str">
        <f t="shared" si="41"/>
        <v>N/A</v>
      </c>
      <c r="P846" t="str">
        <f>VLOOKUP(E846,calculated_fields!$F$4:$G$6,2,FALSE)</f>
        <v>Demographics</v>
      </c>
    </row>
    <row r="847" spans="1:16">
      <c r="A847" t="s">
        <v>1184</v>
      </c>
      <c r="B847" t="s">
        <v>1161</v>
      </c>
      <c r="C847" t="s">
        <v>229</v>
      </c>
      <c r="D847">
        <v>1977</v>
      </c>
      <c r="E847" t="s">
        <v>29</v>
      </c>
      <c r="F847" t="s">
        <v>30</v>
      </c>
      <c r="G847" t="s">
        <v>31</v>
      </c>
      <c r="H847" t="s">
        <v>32</v>
      </c>
      <c r="I847">
        <v>4756.7638360000001</v>
      </c>
      <c r="J847" t="s">
        <v>33</v>
      </c>
      <c r="K847" t="s">
        <v>1182</v>
      </c>
      <c r="L847" t="s">
        <v>21</v>
      </c>
      <c r="M847" t="str">
        <f t="shared" si="39"/>
        <v>OK</v>
      </c>
      <c r="N847" t="str">
        <f t="shared" si="40"/>
        <v>1970s</v>
      </c>
      <c r="O847" t="str">
        <f t="shared" si="41"/>
        <v>N/A</v>
      </c>
      <c r="P847" t="str">
        <f>VLOOKUP(E847,calculated_fields!$F$4:$G$6,2,FALSE)</f>
        <v>Economy</v>
      </c>
    </row>
    <row r="848" spans="1:16">
      <c r="A848" t="s">
        <v>1185</v>
      </c>
      <c r="B848" t="s">
        <v>1161</v>
      </c>
      <c r="C848" t="s">
        <v>229</v>
      </c>
      <c r="D848">
        <v>1982</v>
      </c>
      <c r="E848" t="s">
        <v>15</v>
      </c>
      <c r="F848" t="s">
        <v>16</v>
      </c>
      <c r="G848" t="s">
        <v>17</v>
      </c>
      <c r="H848" t="s">
        <v>18</v>
      </c>
      <c r="I848">
        <v>70.564999999999998</v>
      </c>
      <c r="J848" t="s">
        <v>19</v>
      </c>
      <c r="K848" t="s">
        <v>1186</v>
      </c>
      <c r="L848" t="s">
        <v>21</v>
      </c>
      <c r="M848" t="str">
        <f t="shared" si="39"/>
        <v>OK</v>
      </c>
      <c r="N848" t="str">
        <f t="shared" si="40"/>
        <v>1980s</v>
      </c>
      <c r="O848" t="str">
        <f t="shared" si="41"/>
        <v>High</v>
      </c>
      <c r="P848" t="str">
        <f>VLOOKUP(E848,calculated_fields!$F$4:$G$6,2,FALSE)</f>
        <v>Health</v>
      </c>
    </row>
    <row r="849" spans="1:16">
      <c r="A849" t="s">
        <v>1187</v>
      </c>
      <c r="B849" t="s">
        <v>1161</v>
      </c>
      <c r="C849" t="s">
        <v>229</v>
      </c>
      <c r="D849">
        <v>1982</v>
      </c>
      <c r="E849" t="s">
        <v>23</v>
      </c>
      <c r="F849" t="s">
        <v>24</v>
      </c>
      <c r="G849" t="s">
        <v>25</v>
      </c>
      <c r="H849" t="s">
        <v>26</v>
      </c>
      <c r="I849">
        <v>11487112</v>
      </c>
      <c r="J849" t="s">
        <v>27</v>
      </c>
      <c r="K849" t="s">
        <v>1186</v>
      </c>
      <c r="L849" t="s">
        <v>21</v>
      </c>
      <c r="M849" t="str">
        <f t="shared" si="39"/>
        <v>OK</v>
      </c>
      <c r="N849" t="str">
        <f t="shared" si="40"/>
        <v>1980s</v>
      </c>
      <c r="O849" t="str">
        <f t="shared" si="41"/>
        <v>N/A</v>
      </c>
      <c r="P849" t="str">
        <f>VLOOKUP(E849,calculated_fields!$F$4:$G$6,2,FALSE)</f>
        <v>Demographics</v>
      </c>
    </row>
    <row r="850" spans="1:16">
      <c r="A850" t="s">
        <v>1188</v>
      </c>
      <c r="B850" t="s">
        <v>1161</v>
      </c>
      <c r="C850" t="s">
        <v>229</v>
      </c>
      <c r="D850">
        <v>1982</v>
      </c>
      <c r="E850" t="s">
        <v>29</v>
      </c>
      <c r="F850" t="s">
        <v>30</v>
      </c>
      <c r="G850" t="s">
        <v>31</v>
      </c>
      <c r="H850" t="s">
        <v>32</v>
      </c>
      <c r="I850">
        <v>5095.6657379999997</v>
      </c>
      <c r="J850" t="s">
        <v>33</v>
      </c>
      <c r="K850" t="s">
        <v>1186</v>
      </c>
      <c r="L850" t="s">
        <v>21</v>
      </c>
      <c r="M850" t="str">
        <f t="shared" si="39"/>
        <v>OK</v>
      </c>
      <c r="N850" t="str">
        <f t="shared" si="40"/>
        <v>1980s</v>
      </c>
      <c r="O850" t="str">
        <f t="shared" si="41"/>
        <v>N/A</v>
      </c>
      <c r="P850" t="str">
        <f>VLOOKUP(E850,calculated_fields!$F$4:$G$6,2,FALSE)</f>
        <v>Economy</v>
      </c>
    </row>
    <row r="851" spans="1:16">
      <c r="A851" t="s">
        <v>1189</v>
      </c>
      <c r="B851" t="s">
        <v>1161</v>
      </c>
      <c r="C851" t="s">
        <v>229</v>
      </c>
      <c r="D851">
        <v>1987</v>
      </c>
      <c r="E851" t="s">
        <v>15</v>
      </c>
      <c r="F851" t="s">
        <v>16</v>
      </c>
      <c r="G851" t="s">
        <v>17</v>
      </c>
      <c r="H851" t="s">
        <v>18</v>
      </c>
      <c r="I851">
        <v>72.492000000000004</v>
      </c>
      <c r="J851" t="s">
        <v>19</v>
      </c>
      <c r="K851" t="s">
        <v>1190</v>
      </c>
      <c r="L851" t="s">
        <v>21</v>
      </c>
      <c r="M851" t="str">
        <f t="shared" si="39"/>
        <v>OK</v>
      </c>
      <c r="N851" t="str">
        <f t="shared" si="40"/>
        <v>1980s</v>
      </c>
      <c r="O851" t="str">
        <f t="shared" si="41"/>
        <v>High</v>
      </c>
      <c r="P851" t="str">
        <f>VLOOKUP(E851,calculated_fields!$F$4:$G$6,2,FALSE)</f>
        <v>Health</v>
      </c>
    </row>
    <row r="852" spans="1:16">
      <c r="A852" t="s">
        <v>1191</v>
      </c>
      <c r="B852" t="s">
        <v>1161</v>
      </c>
      <c r="C852" t="s">
        <v>229</v>
      </c>
      <c r="D852">
        <v>1987</v>
      </c>
      <c r="E852" t="s">
        <v>23</v>
      </c>
      <c r="F852" t="s">
        <v>24</v>
      </c>
      <c r="G852" t="s">
        <v>25</v>
      </c>
      <c r="H852" t="s">
        <v>26</v>
      </c>
      <c r="I852">
        <v>12463354</v>
      </c>
      <c r="J852" t="s">
        <v>27</v>
      </c>
      <c r="K852" t="s">
        <v>1190</v>
      </c>
      <c r="L852" t="s">
        <v>21</v>
      </c>
      <c r="M852" t="str">
        <f t="shared" si="39"/>
        <v>OK</v>
      </c>
      <c r="N852" t="str">
        <f t="shared" si="40"/>
        <v>1980s</v>
      </c>
      <c r="O852" t="str">
        <f t="shared" si="41"/>
        <v>N/A</v>
      </c>
      <c r="P852" t="str">
        <f>VLOOKUP(E852,calculated_fields!$F$4:$G$6,2,FALSE)</f>
        <v>Demographics</v>
      </c>
    </row>
    <row r="853" spans="1:16">
      <c r="A853" t="s">
        <v>1192</v>
      </c>
      <c r="B853" t="s">
        <v>1161</v>
      </c>
      <c r="C853" t="s">
        <v>229</v>
      </c>
      <c r="D853">
        <v>1987</v>
      </c>
      <c r="E853" t="s">
        <v>29</v>
      </c>
      <c r="F853" t="s">
        <v>30</v>
      </c>
      <c r="G853" t="s">
        <v>31</v>
      </c>
      <c r="H853" t="s">
        <v>32</v>
      </c>
      <c r="I853">
        <v>5547.0637539999998</v>
      </c>
      <c r="J853" t="s">
        <v>33</v>
      </c>
      <c r="K853" t="s">
        <v>1190</v>
      </c>
      <c r="L853" t="s">
        <v>21</v>
      </c>
      <c r="M853" t="str">
        <f t="shared" si="39"/>
        <v>OK</v>
      </c>
      <c r="N853" t="str">
        <f t="shared" si="40"/>
        <v>1980s</v>
      </c>
      <c r="O853" t="str">
        <f t="shared" si="41"/>
        <v>N/A</v>
      </c>
      <c r="P853" t="str">
        <f>VLOOKUP(E853,calculated_fields!$F$4:$G$6,2,FALSE)</f>
        <v>Economy</v>
      </c>
    </row>
    <row r="854" spans="1:16">
      <c r="A854" t="s">
        <v>1193</v>
      </c>
      <c r="B854" t="s">
        <v>1161</v>
      </c>
      <c r="C854" t="s">
        <v>229</v>
      </c>
      <c r="D854">
        <v>1992</v>
      </c>
      <c r="E854" t="s">
        <v>15</v>
      </c>
      <c r="F854" t="s">
        <v>16</v>
      </c>
      <c r="G854" t="s">
        <v>17</v>
      </c>
      <c r="H854" t="s">
        <v>18</v>
      </c>
      <c r="I854">
        <v>74.126000000000005</v>
      </c>
      <c r="J854" t="s">
        <v>19</v>
      </c>
      <c r="K854" t="s">
        <v>1194</v>
      </c>
      <c r="L854" t="s">
        <v>21</v>
      </c>
      <c r="M854" t="str">
        <f t="shared" si="39"/>
        <v>OK</v>
      </c>
      <c r="N854" t="str">
        <f t="shared" si="40"/>
        <v>1990s</v>
      </c>
      <c r="O854" t="str">
        <f t="shared" si="41"/>
        <v>High</v>
      </c>
      <c r="P854" t="str">
        <f>VLOOKUP(E854,calculated_fields!$F$4:$G$6,2,FALSE)</f>
        <v>Health</v>
      </c>
    </row>
    <row r="855" spans="1:16">
      <c r="A855" t="s">
        <v>1195</v>
      </c>
      <c r="B855" t="s">
        <v>1161</v>
      </c>
      <c r="C855" t="s">
        <v>229</v>
      </c>
      <c r="D855">
        <v>1992</v>
      </c>
      <c r="E855" t="s">
        <v>23</v>
      </c>
      <c r="F855" t="s">
        <v>24</v>
      </c>
      <c r="G855" t="s">
        <v>25</v>
      </c>
      <c r="H855" t="s">
        <v>26</v>
      </c>
      <c r="I855">
        <v>13572994</v>
      </c>
      <c r="J855" t="s">
        <v>27</v>
      </c>
      <c r="K855" t="s">
        <v>1194</v>
      </c>
      <c r="L855" t="s">
        <v>21</v>
      </c>
      <c r="M855" t="str">
        <f t="shared" si="39"/>
        <v>OK</v>
      </c>
      <c r="N855" t="str">
        <f t="shared" si="40"/>
        <v>1990s</v>
      </c>
      <c r="O855" t="str">
        <f t="shared" si="41"/>
        <v>N/A</v>
      </c>
      <c r="P855" t="str">
        <f>VLOOKUP(E855,calculated_fields!$F$4:$G$6,2,FALSE)</f>
        <v>Demographics</v>
      </c>
    </row>
    <row r="856" spans="1:16">
      <c r="A856" t="s">
        <v>1196</v>
      </c>
      <c r="B856" t="s">
        <v>1161</v>
      </c>
      <c r="C856" t="s">
        <v>229</v>
      </c>
      <c r="D856">
        <v>1992</v>
      </c>
      <c r="E856" t="s">
        <v>29</v>
      </c>
      <c r="F856" t="s">
        <v>30</v>
      </c>
      <c r="G856" t="s">
        <v>31</v>
      </c>
      <c r="H856" t="s">
        <v>32</v>
      </c>
      <c r="I856">
        <v>7596.1259639999998</v>
      </c>
      <c r="J856" t="s">
        <v>33</v>
      </c>
      <c r="K856" t="s">
        <v>1194</v>
      </c>
      <c r="L856" t="s">
        <v>21</v>
      </c>
      <c r="M856" t="str">
        <f t="shared" si="39"/>
        <v>OK</v>
      </c>
      <c r="N856" t="str">
        <f t="shared" si="40"/>
        <v>1990s</v>
      </c>
      <c r="O856" t="str">
        <f t="shared" si="41"/>
        <v>N/A</v>
      </c>
      <c r="P856" t="str">
        <f>VLOOKUP(E856,calculated_fields!$F$4:$G$6,2,FALSE)</f>
        <v>Economy</v>
      </c>
    </row>
    <row r="857" spans="1:16">
      <c r="A857" t="s">
        <v>1197</v>
      </c>
      <c r="B857" t="s">
        <v>1161</v>
      </c>
      <c r="C857" t="s">
        <v>229</v>
      </c>
      <c r="D857">
        <v>1997</v>
      </c>
      <c r="E857" t="s">
        <v>15</v>
      </c>
      <c r="F857" t="s">
        <v>16</v>
      </c>
      <c r="G857" t="s">
        <v>17</v>
      </c>
      <c r="H857" t="s">
        <v>18</v>
      </c>
      <c r="I857">
        <v>75.816000000000003</v>
      </c>
      <c r="J857" t="s">
        <v>19</v>
      </c>
      <c r="K857" t="s">
        <v>1198</v>
      </c>
      <c r="L857" t="s">
        <v>21</v>
      </c>
      <c r="M857" t="str">
        <f t="shared" si="39"/>
        <v>OK</v>
      </c>
      <c r="N857" t="str">
        <f t="shared" si="40"/>
        <v>1990s</v>
      </c>
      <c r="O857" t="str">
        <f t="shared" si="41"/>
        <v>High</v>
      </c>
      <c r="P857" t="str">
        <f>VLOOKUP(E857,calculated_fields!$F$4:$G$6,2,FALSE)</f>
        <v>Health</v>
      </c>
    </row>
    <row r="858" spans="1:16">
      <c r="A858" t="s">
        <v>1199</v>
      </c>
      <c r="B858" t="s">
        <v>1161</v>
      </c>
      <c r="C858" t="s">
        <v>229</v>
      </c>
      <c r="D858">
        <v>1997</v>
      </c>
      <c r="E858" t="s">
        <v>23</v>
      </c>
      <c r="F858" t="s">
        <v>24</v>
      </c>
      <c r="G858" t="s">
        <v>25</v>
      </c>
      <c r="H858" t="s">
        <v>26</v>
      </c>
      <c r="I858">
        <v>14599929</v>
      </c>
      <c r="J858" t="s">
        <v>27</v>
      </c>
      <c r="K858" t="s">
        <v>1198</v>
      </c>
      <c r="L858" t="s">
        <v>21</v>
      </c>
      <c r="M858" t="str">
        <f t="shared" si="39"/>
        <v>OK</v>
      </c>
      <c r="N858" t="str">
        <f t="shared" si="40"/>
        <v>1990s</v>
      </c>
      <c r="O858" t="str">
        <f t="shared" si="41"/>
        <v>N/A</v>
      </c>
      <c r="P858" t="str">
        <f>VLOOKUP(E858,calculated_fields!$F$4:$G$6,2,FALSE)</f>
        <v>Demographics</v>
      </c>
    </row>
    <row r="859" spans="1:16">
      <c r="A859" t="s">
        <v>1200</v>
      </c>
      <c r="B859" t="s">
        <v>1161</v>
      </c>
      <c r="C859" t="s">
        <v>229</v>
      </c>
      <c r="D859">
        <v>1997</v>
      </c>
      <c r="E859" t="s">
        <v>29</v>
      </c>
      <c r="F859" t="s">
        <v>30</v>
      </c>
      <c r="G859" t="s">
        <v>31</v>
      </c>
      <c r="H859" t="s">
        <v>32</v>
      </c>
      <c r="I859">
        <v>10118.053180000001</v>
      </c>
      <c r="J859" t="s">
        <v>33</v>
      </c>
      <c r="K859" t="s">
        <v>1198</v>
      </c>
      <c r="L859" t="s">
        <v>21</v>
      </c>
      <c r="M859" t="str">
        <f t="shared" si="39"/>
        <v>OK</v>
      </c>
      <c r="N859" t="str">
        <f t="shared" si="40"/>
        <v>1990s</v>
      </c>
      <c r="O859" t="str">
        <f t="shared" si="41"/>
        <v>N/A</v>
      </c>
      <c r="P859" t="str">
        <f>VLOOKUP(E859,calculated_fields!$F$4:$G$6,2,FALSE)</f>
        <v>Economy</v>
      </c>
    </row>
    <row r="860" spans="1:16">
      <c r="A860" t="s">
        <v>1201</v>
      </c>
      <c r="B860" t="s">
        <v>1161</v>
      </c>
      <c r="C860" t="s">
        <v>229</v>
      </c>
      <c r="D860">
        <v>2002</v>
      </c>
      <c r="E860" t="s">
        <v>15</v>
      </c>
      <c r="F860" t="s">
        <v>16</v>
      </c>
      <c r="G860" t="s">
        <v>17</v>
      </c>
      <c r="H860" t="s">
        <v>18</v>
      </c>
      <c r="I860">
        <v>77.86</v>
      </c>
      <c r="J860" t="s">
        <v>19</v>
      </c>
      <c r="K860" t="s">
        <v>1202</v>
      </c>
      <c r="L860" t="s">
        <v>21</v>
      </c>
      <c r="M860" t="str">
        <f t="shared" si="39"/>
        <v>OK</v>
      </c>
      <c r="N860" t="str">
        <f t="shared" si="40"/>
        <v>2000s</v>
      </c>
      <c r="O860" t="str">
        <f t="shared" si="41"/>
        <v>High</v>
      </c>
      <c r="P860" t="str">
        <f>VLOOKUP(E860,calculated_fields!$F$4:$G$6,2,FALSE)</f>
        <v>Health</v>
      </c>
    </row>
    <row r="861" spans="1:16">
      <c r="A861" t="s">
        <v>1203</v>
      </c>
      <c r="B861" t="s">
        <v>1161</v>
      </c>
      <c r="C861" t="s">
        <v>229</v>
      </c>
      <c r="D861">
        <v>2002</v>
      </c>
      <c r="E861" t="s">
        <v>23</v>
      </c>
      <c r="F861" t="s">
        <v>24</v>
      </c>
      <c r="G861" t="s">
        <v>25</v>
      </c>
      <c r="H861" t="s">
        <v>26</v>
      </c>
      <c r="I861">
        <v>15497046</v>
      </c>
      <c r="J861" t="s">
        <v>27</v>
      </c>
      <c r="K861" t="s">
        <v>1202</v>
      </c>
      <c r="L861" t="s">
        <v>21</v>
      </c>
      <c r="M861" t="str">
        <f t="shared" si="39"/>
        <v>OK</v>
      </c>
      <c r="N861" t="str">
        <f t="shared" si="40"/>
        <v>2000s</v>
      </c>
      <c r="O861" t="str">
        <f t="shared" si="41"/>
        <v>N/A</v>
      </c>
      <c r="P861" t="str">
        <f>VLOOKUP(E861,calculated_fields!$F$4:$G$6,2,FALSE)</f>
        <v>Demographics</v>
      </c>
    </row>
    <row r="862" spans="1:16">
      <c r="A862" t="s">
        <v>1204</v>
      </c>
      <c r="B862" t="s">
        <v>1161</v>
      </c>
      <c r="C862" t="s">
        <v>229</v>
      </c>
      <c r="D862">
        <v>2002</v>
      </c>
      <c r="E862" t="s">
        <v>29</v>
      </c>
      <c r="F862" t="s">
        <v>30</v>
      </c>
      <c r="G862" t="s">
        <v>31</v>
      </c>
      <c r="H862" t="s">
        <v>32</v>
      </c>
      <c r="I862">
        <v>10778.78385</v>
      </c>
      <c r="J862" t="s">
        <v>33</v>
      </c>
      <c r="K862" t="s">
        <v>1202</v>
      </c>
      <c r="L862" t="s">
        <v>21</v>
      </c>
      <c r="M862" t="str">
        <f t="shared" si="39"/>
        <v>OK</v>
      </c>
      <c r="N862" t="str">
        <f t="shared" si="40"/>
        <v>2000s</v>
      </c>
      <c r="O862" t="str">
        <f t="shared" si="41"/>
        <v>N/A</v>
      </c>
      <c r="P862" t="str">
        <f>VLOOKUP(E862,calculated_fields!$F$4:$G$6,2,FALSE)</f>
        <v>Economy</v>
      </c>
    </row>
    <row r="863" spans="1:16">
      <c r="A863" t="s">
        <v>1205</v>
      </c>
      <c r="B863" t="s">
        <v>1161</v>
      </c>
      <c r="C863" t="s">
        <v>229</v>
      </c>
      <c r="D863">
        <v>2007</v>
      </c>
      <c r="E863" t="s">
        <v>15</v>
      </c>
      <c r="F863" t="s">
        <v>16</v>
      </c>
      <c r="G863" t="s">
        <v>17</v>
      </c>
      <c r="H863" t="s">
        <v>18</v>
      </c>
      <c r="I863">
        <v>78.552999999999997</v>
      </c>
      <c r="J863" t="s">
        <v>19</v>
      </c>
      <c r="K863" t="s">
        <v>1206</v>
      </c>
      <c r="L863" t="s">
        <v>21</v>
      </c>
      <c r="M863" t="str">
        <f t="shared" si="39"/>
        <v>OK</v>
      </c>
      <c r="N863" t="str">
        <f t="shared" si="40"/>
        <v>2000s</v>
      </c>
      <c r="O863" t="str">
        <f t="shared" si="41"/>
        <v>High</v>
      </c>
      <c r="P863" t="str">
        <f>VLOOKUP(E863,calculated_fields!$F$4:$G$6,2,FALSE)</f>
        <v>Health</v>
      </c>
    </row>
    <row r="864" spans="1:16">
      <c r="A864" t="s">
        <v>1207</v>
      </c>
      <c r="B864" t="s">
        <v>1161</v>
      </c>
      <c r="C864" t="s">
        <v>229</v>
      </c>
      <c r="D864">
        <v>2007</v>
      </c>
      <c r="E864" t="s">
        <v>23</v>
      </c>
      <c r="F864" t="s">
        <v>24</v>
      </c>
      <c r="G864" t="s">
        <v>25</v>
      </c>
      <c r="H864" t="s">
        <v>26</v>
      </c>
      <c r="I864">
        <v>16284741</v>
      </c>
      <c r="J864" t="s">
        <v>27</v>
      </c>
      <c r="K864" t="s">
        <v>1206</v>
      </c>
      <c r="L864" t="s">
        <v>21</v>
      </c>
      <c r="M864" t="str">
        <f t="shared" si="39"/>
        <v>OK</v>
      </c>
      <c r="N864" t="str">
        <f t="shared" si="40"/>
        <v>2000s</v>
      </c>
      <c r="O864" t="str">
        <f t="shared" si="41"/>
        <v>N/A</v>
      </c>
      <c r="P864" t="str">
        <f>VLOOKUP(E864,calculated_fields!$F$4:$G$6,2,FALSE)</f>
        <v>Demographics</v>
      </c>
    </row>
    <row r="865" spans="1:16">
      <c r="A865" t="s">
        <v>1208</v>
      </c>
      <c r="B865" t="s">
        <v>1161</v>
      </c>
      <c r="C865" t="s">
        <v>229</v>
      </c>
      <c r="D865">
        <v>2007</v>
      </c>
      <c r="E865" t="s">
        <v>29</v>
      </c>
      <c r="F865" t="s">
        <v>30</v>
      </c>
      <c r="G865" t="s">
        <v>31</v>
      </c>
      <c r="H865" t="s">
        <v>32</v>
      </c>
      <c r="I865">
        <v>13171.638849999999</v>
      </c>
      <c r="J865" t="s">
        <v>33</v>
      </c>
      <c r="K865" t="s">
        <v>1206</v>
      </c>
      <c r="L865" t="s">
        <v>21</v>
      </c>
      <c r="M865" t="str">
        <f t="shared" si="39"/>
        <v>OK</v>
      </c>
      <c r="N865" t="str">
        <f t="shared" si="40"/>
        <v>2000s</v>
      </c>
      <c r="O865" t="str">
        <f t="shared" si="41"/>
        <v>N/A</v>
      </c>
      <c r="P865" t="str">
        <f>VLOOKUP(E865,calculated_fields!$F$4:$G$6,2,FALSE)</f>
        <v>Economy</v>
      </c>
    </row>
    <row r="866" spans="1:16">
      <c r="A866" t="s">
        <v>1209</v>
      </c>
      <c r="B866" t="s">
        <v>1210</v>
      </c>
      <c r="C866" t="s">
        <v>14</v>
      </c>
      <c r="D866">
        <v>1952</v>
      </c>
      <c r="E866" t="s">
        <v>15</v>
      </c>
      <c r="F866" t="s">
        <v>16</v>
      </c>
      <c r="G866" t="s">
        <v>17</v>
      </c>
      <c r="H866" t="s">
        <v>18</v>
      </c>
      <c r="I866">
        <v>44</v>
      </c>
      <c r="J866" t="s">
        <v>19</v>
      </c>
      <c r="K866" t="s">
        <v>1211</v>
      </c>
      <c r="L866" t="s">
        <v>21</v>
      </c>
      <c r="M866" t="str">
        <f t="shared" si="39"/>
        <v>OK</v>
      </c>
      <c r="N866" t="str">
        <f t="shared" si="40"/>
        <v>1950s</v>
      </c>
      <c r="O866" t="str">
        <f t="shared" si="41"/>
        <v>Low</v>
      </c>
      <c r="P866" t="str">
        <f>VLOOKUP(E866,calculated_fields!$F$4:$G$6,2,FALSE)</f>
        <v>Health</v>
      </c>
    </row>
    <row r="867" spans="1:16">
      <c r="A867" t="s">
        <v>1212</v>
      </c>
      <c r="B867" t="s">
        <v>1210</v>
      </c>
      <c r="C867" t="s">
        <v>14</v>
      </c>
      <c r="D867">
        <v>1952</v>
      </c>
      <c r="E867" t="s">
        <v>23</v>
      </c>
      <c r="F867" t="s">
        <v>24</v>
      </c>
      <c r="G867" t="s">
        <v>25</v>
      </c>
      <c r="H867" t="s">
        <v>26</v>
      </c>
      <c r="I867">
        <v>556263527</v>
      </c>
      <c r="J867" t="s">
        <v>27</v>
      </c>
      <c r="K867" t="s">
        <v>1211</v>
      </c>
      <c r="L867" t="s">
        <v>21</v>
      </c>
      <c r="M867" t="str">
        <f t="shared" si="39"/>
        <v>OK</v>
      </c>
      <c r="N867" t="str">
        <f t="shared" si="40"/>
        <v>1950s</v>
      </c>
      <c r="O867" t="str">
        <f t="shared" si="41"/>
        <v>N/A</v>
      </c>
      <c r="P867" t="str">
        <f>VLOOKUP(E867,calculated_fields!$F$4:$G$6,2,FALSE)</f>
        <v>Demographics</v>
      </c>
    </row>
    <row r="868" spans="1:16">
      <c r="A868" t="s">
        <v>1213</v>
      </c>
      <c r="B868" t="s">
        <v>1210</v>
      </c>
      <c r="C868" t="s">
        <v>14</v>
      </c>
      <c r="D868">
        <v>1952</v>
      </c>
      <c r="E868" t="s">
        <v>29</v>
      </c>
      <c r="F868" t="s">
        <v>30</v>
      </c>
      <c r="G868" t="s">
        <v>31</v>
      </c>
      <c r="H868" t="s">
        <v>32</v>
      </c>
      <c r="I868">
        <v>400.44861100000003</v>
      </c>
      <c r="J868" t="s">
        <v>33</v>
      </c>
      <c r="K868" t="s">
        <v>1211</v>
      </c>
      <c r="L868" t="s">
        <v>21</v>
      </c>
      <c r="M868" t="str">
        <f t="shared" si="39"/>
        <v>OK</v>
      </c>
      <c r="N868" t="str">
        <f t="shared" si="40"/>
        <v>1950s</v>
      </c>
      <c r="O868" t="str">
        <f t="shared" si="41"/>
        <v>N/A</v>
      </c>
      <c r="P868" t="str">
        <f>VLOOKUP(E868,calculated_fields!$F$4:$G$6,2,FALSE)</f>
        <v>Economy</v>
      </c>
    </row>
    <row r="869" spans="1:16">
      <c r="A869" t="s">
        <v>1214</v>
      </c>
      <c r="B869" t="s">
        <v>1210</v>
      </c>
      <c r="C869" t="s">
        <v>14</v>
      </c>
      <c r="D869">
        <v>1957</v>
      </c>
      <c r="E869" t="s">
        <v>15</v>
      </c>
      <c r="F869" t="s">
        <v>16</v>
      </c>
      <c r="G869" t="s">
        <v>17</v>
      </c>
      <c r="H869" t="s">
        <v>18</v>
      </c>
      <c r="I869">
        <v>50.548960000000001</v>
      </c>
      <c r="J869" t="s">
        <v>19</v>
      </c>
      <c r="K869" t="s">
        <v>1215</v>
      </c>
      <c r="L869" t="s">
        <v>21</v>
      </c>
      <c r="M869" t="str">
        <f t="shared" si="39"/>
        <v>OK</v>
      </c>
      <c r="N869" t="str">
        <f t="shared" si="40"/>
        <v>1950s</v>
      </c>
      <c r="O869" t="str">
        <f t="shared" si="41"/>
        <v>Low</v>
      </c>
      <c r="P869" t="str">
        <f>VLOOKUP(E869,calculated_fields!$F$4:$G$6,2,FALSE)</f>
        <v>Health</v>
      </c>
    </row>
    <row r="870" spans="1:16">
      <c r="A870" t="s">
        <v>1216</v>
      </c>
      <c r="B870" t="s">
        <v>1210</v>
      </c>
      <c r="C870" t="s">
        <v>14</v>
      </c>
      <c r="D870">
        <v>1957</v>
      </c>
      <c r="E870" t="s">
        <v>23</v>
      </c>
      <c r="F870" t="s">
        <v>24</v>
      </c>
      <c r="G870" t="s">
        <v>25</v>
      </c>
      <c r="H870" t="s">
        <v>26</v>
      </c>
      <c r="I870">
        <v>637408000</v>
      </c>
      <c r="J870" t="s">
        <v>27</v>
      </c>
      <c r="K870" t="s">
        <v>1215</v>
      </c>
      <c r="L870" t="s">
        <v>21</v>
      </c>
      <c r="M870" t="str">
        <f t="shared" si="39"/>
        <v>OK</v>
      </c>
      <c r="N870" t="str">
        <f t="shared" si="40"/>
        <v>1950s</v>
      </c>
      <c r="O870" t="str">
        <f t="shared" si="41"/>
        <v>N/A</v>
      </c>
      <c r="P870" t="str">
        <f>VLOOKUP(E870,calculated_fields!$F$4:$G$6,2,FALSE)</f>
        <v>Demographics</v>
      </c>
    </row>
    <row r="871" spans="1:16">
      <c r="A871" t="s">
        <v>1217</v>
      </c>
      <c r="B871" t="s">
        <v>1210</v>
      </c>
      <c r="C871" t="s">
        <v>14</v>
      </c>
      <c r="D871">
        <v>1957</v>
      </c>
      <c r="E871" t="s">
        <v>29</v>
      </c>
      <c r="F871" t="s">
        <v>30</v>
      </c>
      <c r="G871" t="s">
        <v>31</v>
      </c>
      <c r="H871" t="s">
        <v>32</v>
      </c>
      <c r="I871">
        <v>575.9870009</v>
      </c>
      <c r="J871" t="s">
        <v>33</v>
      </c>
      <c r="K871" t="s">
        <v>1215</v>
      </c>
      <c r="L871" t="s">
        <v>21</v>
      </c>
      <c r="M871" t="str">
        <f t="shared" si="39"/>
        <v>OK</v>
      </c>
      <c r="N871" t="str">
        <f t="shared" si="40"/>
        <v>1950s</v>
      </c>
      <c r="O871" t="str">
        <f t="shared" si="41"/>
        <v>N/A</v>
      </c>
      <c r="P871" t="str">
        <f>VLOOKUP(E871,calculated_fields!$F$4:$G$6,2,FALSE)</f>
        <v>Economy</v>
      </c>
    </row>
    <row r="872" spans="1:16">
      <c r="A872" t="s">
        <v>1218</v>
      </c>
      <c r="B872" t="s">
        <v>1210</v>
      </c>
      <c r="C872" t="s">
        <v>14</v>
      </c>
      <c r="D872">
        <v>1962</v>
      </c>
      <c r="E872" t="s">
        <v>15</v>
      </c>
      <c r="F872" t="s">
        <v>16</v>
      </c>
      <c r="G872" t="s">
        <v>17</v>
      </c>
      <c r="H872" t="s">
        <v>18</v>
      </c>
      <c r="I872">
        <v>44.501359999999998</v>
      </c>
      <c r="J872" t="s">
        <v>19</v>
      </c>
      <c r="K872" t="s">
        <v>1219</v>
      </c>
      <c r="L872" t="s">
        <v>21</v>
      </c>
      <c r="M872" t="str">
        <f t="shared" si="39"/>
        <v>OK</v>
      </c>
      <c r="N872" t="str">
        <f t="shared" si="40"/>
        <v>1960s</v>
      </c>
      <c r="O872" t="str">
        <f t="shared" si="41"/>
        <v>Low</v>
      </c>
      <c r="P872" t="str">
        <f>VLOOKUP(E872,calculated_fields!$F$4:$G$6,2,FALSE)</f>
        <v>Health</v>
      </c>
    </row>
    <row r="873" spans="1:16">
      <c r="A873" t="s">
        <v>1220</v>
      </c>
      <c r="B873" t="s">
        <v>1210</v>
      </c>
      <c r="C873" t="s">
        <v>14</v>
      </c>
      <c r="D873">
        <v>1962</v>
      </c>
      <c r="E873" t="s">
        <v>23</v>
      </c>
      <c r="F873" t="s">
        <v>24</v>
      </c>
      <c r="G873" t="s">
        <v>25</v>
      </c>
      <c r="H873" t="s">
        <v>26</v>
      </c>
      <c r="I873">
        <v>665770000</v>
      </c>
      <c r="J873" t="s">
        <v>27</v>
      </c>
      <c r="K873" t="s">
        <v>1219</v>
      </c>
      <c r="L873" t="s">
        <v>21</v>
      </c>
      <c r="M873" t="str">
        <f t="shared" si="39"/>
        <v>OK</v>
      </c>
      <c r="N873" t="str">
        <f t="shared" si="40"/>
        <v>1960s</v>
      </c>
      <c r="O873" t="str">
        <f t="shared" si="41"/>
        <v>N/A</v>
      </c>
      <c r="P873" t="str">
        <f>VLOOKUP(E873,calculated_fields!$F$4:$G$6,2,FALSE)</f>
        <v>Demographics</v>
      </c>
    </row>
    <row r="874" spans="1:16">
      <c r="A874" t="s">
        <v>1221</v>
      </c>
      <c r="B874" t="s">
        <v>1210</v>
      </c>
      <c r="C874" t="s">
        <v>14</v>
      </c>
      <c r="D874">
        <v>1962</v>
      </c>
      <c r="E874" t="s">
        <v>29</v>
      </c>
      <c r="F874" t="s">
        <v>30</v>
      </c>
      <c r="G874" t="s">
        <v>31</v>
      </c>
      <c r="H874" t="s">
        <v>32</v>
      </c>
      <c r="I874">
        <v>487.6740183</v>
      </c>
      <c r="J874" t="s">
        <v>33</v>
      </c>
      <c r="K874" t="s">
        <v>1219</v>
      </c>
      <c r="L874" t="s">
        <v>21</v>
      </c>
      <c r="M874" t="str">
        <f t="shared" si="39"/>
        <v>OK</v>
      </c>
      <c r="N874" t="str">
        <f t="shared" si="40"/>
        <v>1960s</v>
      </c>
      <c r="O874" t="str">
        <f t="shared" si="41"/>
        <v>N/A</v>
      </c>
      <c r="P874" t="str">
        <f>VLOOKUP(E874,calculated_fields!$F$4:$G$6,2,FALSE)</f>
        <v>Economy</v>
      </c>
    </row>
    <row r="875" spans="1:16">
      <c r="A875" t="s">
        <v>1222</v>
      </c>
      <c r="B875" t="s">
        <v>1210</v>
      </c>
      <c r="C875" t="s">
        <v>14</v>
      </c>
      <c r="D875">
        <v>1967</v>
      </c>
      <c r="E875" t="s">
        <v>15</v>
      </c>
      <c r="F875" t="s">
        <v>16</v>
      </c>
      <c r="G875" t="s">
        <v>17</v>
      </c>
      <c r="H875" t="s">
        <v>18</v>
      </c>
      <c r="I875">
        <v>58.381120000000003</v>
      </c>
      <c r="J875" t="s">
        <v>19</v>
      </c>
      <c r="K875" t="s">
        <v>1223</v>
      </c>
      <c r="L875" t="s">
        <v>21</v>
      </c>
      <c r="M875" t="str">
        <f t="shared" si="39"/>
        <v>OK</v>
      </c>
      <c r="N875" t="str">
        <f t="shared" si="40"/>
        <v>1960s</v>
      </c>
      <c r="O875" t="str">
        <f t="shared" si="41"/>
        <v>Medium</v>
      </c>
      <c r="P875" t="str">
        <f>VLOOKUP(E875,calculated_fields!$F$4:$G$6,2,FALSE)</f>
        <v>Health</v>
      </c>
    </row>
    <row r="876" spans="1:16">
      <c r="A876" t="s">
        <v>1224</v>
      </c>
      <c r="B876" t="s">
        <v>1210</v>
      </c>
      <c r="C876" t="s">
        <v>14</v>
      </c>
      <c r="D876">
        <v>1967</v>
      </c>
      <c r="E876" t="s">
        <v>23</v>
      </c>
      <c r="F876" t="s">
        <v>24</v>
      </c>
      <c r="G876" t="s">
        <v>25</v>
      </c>
      <c r="H876" t="s">
        <v>26</v>
      </c>
      <c r="I876">
        <v>754550000</v>
      </c>
      <c r="J876" t="s">
        <v>27</v>
      </c>
      <c r="K876" t="s">
        <v>1223</v>
      </c>
      <c r="L876" t="s">
        <v>21</v>
      </c>
      <c r="M876" t="str">
        <f t="shared" si="39"/>
        <v>OK</v>
      </c>
      <c r="N876" t="str">
        <f t="shared" si="40"/>
        <v>1960s</v>
      </c>
      <c r="O876" t="str">
        <f t="shared" si="41"/>
        <v>N/A</v>
      </c>
      <c r="P876" t="str">
        <f>VLOOKUP(E876,calculated_fields!$F$4:$G$6,2,FALSE)</f>
        <v>Demographics</v>
      </c>
    </row>
    <row r="877" spans="1:16">
      <c r="A877" t="s">
        <v>1225</v>
      </c>
      <c r="B877" t="s">
        <v>1210</v>
      </c>
      <c r="C877" t="s">
        <v>14</v>
      </c>
      <c r="D877">
        <v>1967</v>
      </c>
      <c r="E877" t="s">
        <v>29</v>
      </c>
      <c r="F877" t="s">
        <v>30</v>
      </c>
      <c r="G877" t="s">
        <v>31</v>
      </c>
      <c r="H877" t="s">
        <v>32</v>
      </c>
      <c r="I877">
        <v>612.70569339999997</v>
      </c>
      <c r="J877" t="s">
        <v>33</v>
      </c>
      <c r="K877" t="s">
        <v>1223</v>
      </c>
      <c r="L877" t="s">
        <v>21</v>
      </c>
      <c r="M877" t="str">
        <f t="shared" si="39"/>
        <v>OK</v>
      </c>
      <c r="N877" t="str">
        <f t="shared" si="40"/>
        <v>1960s</v>
      </c>
      <c r="O877" t="str">
        <f t="shared" si="41"/>
        <v>N/A</v>
      </c>
      <c r="P877" t="str">
        <f>VLOOKUP(E877,calculated_fields!$F$4:$G$6,2,FALSE)</f>
        <v>Economy</v>
      </c>
    </row>
    <row r="878" spans="1:16">
      <c r="A878" t="s">
        <v>1226</v>
      </c>
      <c r="B878" t="s">
        <v>1210</v>
      </c>
      <c r="C878" t="s">
        <v>14</v>
      </c>
      <c r="D878">
        <v>1972</v>
      </c>
      <c r="E878" t="s">
        <v>15</v>
      </c>
      <c r="F878" t="s">
        <v>16</v>
      </c>
      <c r="G878" t="s">
        <v>17</v>
      </c>
      <c r="H878" t="s">
        <v>18</v>
      </c>
      <c r="I878">
        <v>63.118879999999997</v>
      </c>
      <c r="J878" t="s">
        <v>19</v>
      </c>
      <c r="K878" t="s">
        <v>1227</v>
      </c>
      <c r="L878" t="s">
        <v>21</v>
      </c>
      <c r="M878" t="str">
        <f t="shared" si="39"/>
        <v>OK</v>
      </c>
      <c r="N878" t="str">
        <f t="shared" si="40"/>
        <v>1970s</v>
      </c>
      <c r="O878" t="str">
        <f t="shared" si="41"/>
        <v>Medium</v>
      </c>
      <c r="P878" t="str">
        <f>VLOOKUP(E878,calculated_fields!$F$4:$G$6,2,FALSE)</f>
        <v>Health</v>
      </c>
    </row>
    <row r="879" spans="1:16">
      <c r="A879" t="s">
        <v>1228</v>
      </c>
      <c r="B879" t="s">
        <v>1210</v>
      </c>
      <c r="C879" t="s">
        <v>14</v>
      </c>
      <c r="D879">
        <v>1972</v>
      </c>
      <c r="E879" t="s">
        <v>23</v>
      </c>
      <c r="F879" t="s">
        <v>24</v>
      </c>
      <c r="G879" t="s">
        <v>25</v>
      </c>
      <c r="H879" t="s">
        <v>26</v>
      </c>
      <c r="I879">
        <v>862030000</v>
      </c>
      <c r="J879" t="s">
        <v>27</v>
      </c>
      <c r="K879" t="s">
        <v>1227</v>
      </c>
      <c r="L879" t="s">
        <v>21</v>
      </c>
      <c r="M879" t="str">
        <f t="shared" si="39"/>
        <v>OK</v>
      </c>
      <c r="N879" t="str">
        <f t="shared" si="40"/>
        <v>1970s</v>
      </c>
      <c r="O879" t="str">
        <f t="shared" si="41"/>
        <v>N/A</v>
      </c>
      <c r="P879" t="str">
        <f>VLOOKUP(E879,calculated_fields!$F$4:$G$6,2,FALSE)</f>
        <v>Demographics</v>
      </c>
    </row>
    <row r="880" spans="1:16">
      <c r="A880" t="s">
        <v>1229</v>
      </c>
      <c r="B880" t="s">
        <v>1210</v>
      </c>
      <c r="C880" t="s">
        <v>14</v>
      </c>
      <c r="D880">
        <v>1972</v>
      </c>
      <c r="E880" t="s">
        <v>29</v>
      </c>
      <c r="F880" t="s">
        <v>30</v>
      </c>
      <c r="G880" t="s">
        <v>31</v>
      </c>
      <c r="H880" t="s">
        <v>32</v>
      </c>
      <c r="I880">
        <v>676.90009210000005</v>
      </c>
      <c r="J880" t="s">
        <v>33</v>
      </c>
      <c r="K880" t="s">
        <v>1227</v>
      </c>
      <c r="L880" t="s">
        <v>21</v>
      </c>
      <c r="M880" t="str">
        <f t="shared" si="39"/>
        <v>OK</v>
      </c>
      <c r="N880" t="str">
        <f t="shared" si="40"/>
        <v>1970s</v>
      </c>
      <c r="O880" t="str">
        <f t="shared" si="41"/>
        <v>N/A</v>
      </c>
      <c r="P880" t="str">
        <f>VLOOKUP(E880,calculated_fields!$F$4:$G$6,2,FALSE)</f>
        <v>Economy</v>
      </c>
    </row>
    <row r="881" spans="1:16">
      <c r="A881" t="s">
        <v>1230</v>
      </c>
      <c r="B881" t="s">
        <v>1210</v>
      </c>
      <c r="C881" t="s">
        <v>14</v>
      </c>
      <c r="D881">
        <v>1977</v>
      </c>
      <c r="E881" t="s">
        <v>15</v>
      </c>
      <c r="F881" t="s">
        <v>16</v>
      </c>
      <c r="G881" t="s">
        <v>17</v>
      </c>
      <c r="H881" t="s">
        <v>18</v>
      </c>
      <c r="I881">
        <v>63.967359999999999</v>
      </c>
      <c r="J881" t="s">
        <v>19</v>
      </c>
      <c r="K881" t="s">
        <v>1231</v>
      </c>
      <c r="L881" t="s">
        <v>21</v>
      </c>
      <c r="M881" t="str">
        <f t="shared" si="39"/>
        <v>OK</v>
      </c>
      <c r="N881" t="str">
        <f t="shared" si="40"/>
        <v>1970s</v>
      </c>
      <c r="O881" t="str">
        <f t="shared" si="41"/>
        <v>Medium</v>
      </c>
      <c r="P881" t="str">
        <f>VLOOKUP(E881,calculated_fields!$F$4:$G$6,2,FALSE)</f>
        <v>Health</v>
      </c>
    </row>
    <row r="882" spans="1:16">
      <c r="A882" t="s">
        <v>1232</v>
      </c>
      <c r="B882" t="s">
        <v>1210</v>
      </c>
      <c r="C882" t="s">
        <v>14</v>
      </c>
      <c r="D882">
        <v>1977</v>
      </c>
      <c r="E882" t="s">
        <v>23</v>
      </c>
      <c r="F882" t="s">
        <v>24</v>
      </c>
      <c r="G882" t="s">
        <v>25</v>
      </c>
      <c r="H882" t="s">
        <v>26</v>
      </c>
      <c r="I882">
        <v>943455000</v>
      </c>
      <c r="J882" t="s">
        <v>27</v>
      </c>
      <c r="K882" t="s">
        <v>1231</v>
      </c>
      <c r="L882" t="s">
        <v>21</v>
      </c>
      <c r="M882" t="str">
        <f t="shared" si="39"/>
        <v>OK</v>
      </c>
      <c r="N882" t="str">
        <f t="shared" si="40"/>
        <v>1970s</v>
      </c>
      <c r="O882" t="str">
        <f t="shared" si="41"/>
        <v>N/A</v>
      </c>
      <c r="P882" t="str">
        <f>VLOOKUP(E882,calculated_fields!$F$4:$G$6,2,FALSE)</f>
        <v>Demographics</v>
      </c>
    </row>
    <row r="883" spans="1:16">
      <c r="A883" t="s">
        <v>1233</v>
      </c>
      <c r="B883" t="s">
        <v>1210</v>
      </c>
      <c r="C883" t="s">
        <v>14</v>
      </c>
      <c r="D883">
        <v>1977</v>
      </c>
      <c r="E883" t="s">
        <v>29</v>
      </c>
      <c r="F883" t="s">
        <v>30</v>
      </c>
      <c r="G883" t="s">
        <v>31</v>
      </c>
      <c r="H883" t="s">
        <v>32</v>
      </c>
      <c r="I883">
        <v>741.23746989999995</v>
      </c>
      <c r="J883" t="s">
        <v>33</v>
      </c>
      <c r="K883" t="s">
        <v>1231</v>
      </c>
      <c r="L883" t="s">
        <v>21</v>
      </c>
      <c r="M883" t="str">
        <f t="shared" si="39"/>
        <v>OK</v>
      </c>
      <c r="N883" t="str">
        <f t="shared" si="40"/>
        <v>1970s</v>
      </c>
      <c r="O883" t="str">
        <f t="shared" si="41"/>
        <v>N/A</v>
      </c>
      <c r="P883" t="str">
        <f>VLOOKUP(E883,calculated_fields!$F$4:$G$6,2,FALSE)</f>
        <v>Economy</v>
      </c>
    </row>
    <row r="884" spans="1:16">
      <c r="A884" t="s">
        <v>1234</v>
      </c>
      <c r="B884" t="s">
        <v>1210</v>
      </c>
      <c r="C884" t="s">
        <v>14</v>
      </c>
      <c r="D884">
        <v>1982</v>
      </c>
      <c r="E884" t="s">
        <v>15</v>
      </c>
      <c r="F884" t="s">
        <v>16</v>
      </c>
      <c r="G884" t="s">
        <v>17</v>
      </c>
      <c r="H884" t="s">
        <v>18</v>
      </c>
      <c r="I884">
        <v>65.525000000000006</v>
      </c>
      <c r="J884" t="s">
        <v>19</v>
      </c>
      <c r="K884" t="s">
        <v>1235</v>
      </c>
      <c r="L884" t="s">
        <v>21</v>
      </c>
      <c r="M884" t="str">
        <f t="shared" si="39"/>
        <v>OK</v>
      </c>
      <c r="N884" t="str">
        <f t="shared" si="40"/>
        <v>1980s</v>
      </c>
      <c r="O884" t="str">
        <f t="shared" si="41"/>
        <v>Medium</v>
      </c>
      <c r="P884" t="str">
        <f>VLOOKUP(E884,calculated_fields!$F$4:$G$6,2,FALSE)</f>
        <v>Health</v>
      </c>
    </row>
    <row r="885" spans="1:16">
      <c r="A885" t="s">
        <v>1236</v>
      </c>
      <c r="B885" t="s">
        <v>1210</v>
      </c>
      <c r="C885" t="s">
        <v>14</v>
      </c>
      <c r="D885">
        <v>1982</v>
      </c>
      <c r="E885" t="s">
        <v>23</v>
      </c>
      <c r="F885" t="s">
        <v>24</v>
      </c>
      <c r="G885" t="s">
        <v>25</v>
      </c>
      <c r="H885" t="s">
        <v>26</v>
      </c>
      <c r="I885">
        <v>1000281000</v>
      </c>
      <c r="J885" t="s">
        <v>27</v>
      </c>
      <c r="K885" t="s">
        <v>1235</v>
      </c>
      <c r="L885" t="s">
        <v>21</v>
      </c>
      <c r="M885" t="str">
        <f t="shared" si="39"/>
        <v>OK</v>
      </c>
      <c r="N885" t="str">
        <f t="shared" si="40"/>
        <v>1980s</v>
      </c>
      <c r="O885" t="str">
        <f t="shared" si="41"/>
        <v>N/A</v>
      </c>
      <c r="P885" t="str">
        <f>VLOOKUP(E885,calculated_fields!$F$4:$G$6,2,FALSE)</f>
        <v>Demographics</v>
      </c>
    </row>
    <row r="886" spans="1:16">
      <c r="A886" t="s">
        <v>1237</v>
      </c>
      <c r="B886" t="s">
        <v>1210</v>
      </c>
      <c r="C886" t="s">
        <v>14</v>
      </c>
      <c r="D886">
        <v>1982</v>
      </c>
      <c r="E886" t="s">
        <v>29</v>
      </c>
      <c r="F886" t="s">
        <v>30</v>
      </c>
      <c r="G886" t="s">
        <v>31</v>
      </c>
      <c r="H886" t="s">
        <v>32</v>
      </c>
      <c r="I886">
        <v>962.42138050000005</v>
      </c>
      <c r="J886" t="s">
        <v>33</v>
      </c>
      <c r="K886" t="s">
        <v>1235</v>
      </c>
      <c r="L886" t="s">
        <v>21</v>
      </c>
      <c r="M886" t="str">
        <f t="shared" si="39"/>
        <v>OK</v>
      </c>
      <c r="N886" t="str">
        <f t="shared" si="40"/>
        <v>1980s</v>
      </c>
      <c r="O886" t="str">
        <f t="shared" si="41"/>
        <v>N/A</v>
      </c>
      <c r="P886" t="str">
        <f>VLOOKUP(E886,calculated_fields!$F$4:$G$6,2,FALSE)</f>
        <v>Economy</v>
      </c>
    </row>
    <row r="887" spans="1:16">
      <c r="A887" t="s">
        <v>1238</v>
      </c>
      <c r="B887" t="s">
        <v>1210</v>
      </c>
      <c r="C887" t="s">
        <v>14</v>
      </c>
      <c r="D887">
        <v>1987</v>
      </c>
      <c r="E887" t="s">
        <v>15</v>
      </c>
      <c r="F887" t="s">
        <v>16</v>
      </c>
      <c r="G887" t="s">
        <v>17</v>
      </c>
      <c r="H887" t="s">
        <v>18</v>
      </c>
      <c r="I887">
        <v>67.274000000000001</v>
      </c>
      <c r="J887" t="s">
        <v>19</v>
      </c>
      <c r="K887" t="s">
        <v>1239</v>
      </c>
      <c r="L887" t="s">
        <v>21</v>
      </c>
      <c r="M887" t="str">
        <f t="shared" si="39"/>
        <v>OK</v>
      </c>
      <c r="N887" t="str">
        <f t="shared" si="40"/>
        <v>1980s</v>
      </c>
      <c r="O887" t="str">
        <f t="shared" si="41"/>
        <v>Medium</v>
      </c>
      <c r="P887" t="str">
        <f>VLOOKUP(E887,calculated_fields!$F$4:$G$6,2,FALSE)</f>
        <v>Health</v>
      </c>
    </row>
    <row r="888" spans="1:16">
      <c r="A888" t="s">
        <v>1240</v>
      </c>
      <c r="B888" t="s">
        <v>1210</v>
      </c>
      <c r="C888" t="s">
        <v>14</v>
      </c>
      <c r="D888">
        <v>1987</v>
      </c>
      <c r="E888" t="s">
        <v>23</v>
      </c>
      <c r="F888" t="s">
        <v>24</v>
      </c>
      <c r="G888" t="s">
        <v>25</v>
      </c>
      <c r="H888" t="s">
        <v>26</v>
      </c>
      <c r="I888">
        <v>1084035000</v>
      </c>
      <c r="J888" t="s">
        <v>27</v>
      </c>
      <c r="K888" t="s">
        <v>1239</v>
      </c>
      <c r="L888" t="s">
        <v>21</v>
      </c>
      <c r="M888" t="str">
        <f t="shared" si="39"/>
        <v>OK</v>
      </c>
      <c r="N888" t="str">
        <f t="shared" si="40"/>
        <v>1980s</v>
      </c>
      <c r="O888" t="str">
        <f t="shared" si="41"/>
        <v>N/A</v>
      </c>
      <c r="P888" t="str">
        <f>VLOOKUP(E888,calculated_fields!$F$4:$G$6,2,FALSE)</f>
        <v>Demographics</v>
      </c>
    </row>
    <row r="889" spans="1:16">
      <c r="A889" t="s">
        <v>1241</v>
      </c>
      <c r="B889" t="s">
        <v>1210</v>
      </c>
      <c r="C889" t="s">
        <v>14</v>
      </c>
      <c r="D889">
        <v>1987</v>
      </c>
      <c r="E889" t="s">
        <v>29</v>
      </c>
      <c r="F889" t="s">
        <v>30</v>
      </c>
      <c r="G889" t="s">
        <v>31</v>
      </c>
      <c r="H889" t="s">
        <v>32</v>
      </c>
      <c r="I889">
        <v>1378.904018</v>
      </c>
      <c r="J889" t="s">
        <v>33</v>
      </c>
      <c r="K889" t="s">
        <v>1239</v>
      </c>
      <c r="L889" t="s">
        <v>21</v>
      </c>
      <c r="M889" t="str">
        <f t="shared" si="39"/>
        <v>OK</v>
      </c>
      <c r="N889" t="str">
        <f t="shared" si="40"/>
        <v>1980s</v>
      </c>
      <c r="O889" t="str">
        <f t="shared" si="41"/>
        <v>N/A</v>
      </c>
      <c r="P889" t="str">
        <f>VLOOKUP(E889,calculated_fields!$F$4:$G$6,2,FALSE)</f>
        <v>Economy</v>
      </c>
    </row>
    <row r="890" spans="1:16">
      <c r="A890" t="s">
        <v>1242</v>
      </c>
      <c r="B890" t="s">
        <v>1210</v>
      </c>
      <c r="C890" t="s">
        <v>14</v>
      </c>
      <c r="D890">
        <v>1992</v>
      </c>
      <c r="E890" t="s">
        <v>15</v>
      </c>
      <c r="F890" t="s">
        <v>16</v>
      </c>
      <c r="G890" t="s">
        <v>17</v>
      </c>
      <c r="H890" t="s">
        <v>18</v>
      </c>
      <c r="I890">
        <v>68.69</v>
      </c>
      <c r="J890" t="s">
        <v>19</v>
      </c>
      <c r="K890" t="s">
        <v>1243</v>
      </c>
      <c r="L890" t="s">
        <v>21</v>
      </c>
      <c r="M890" t="str">
        <f t="shared" si="39"/>
        <v>OK</v>
      </c>
      <c r="N890" t="str">
        <f t="shared" si="40"/>
        <v>1990s</v>
      </c>
      <c r="O890" t="str">
        <f t="shared" si="41"/>
        <v>Medium</v>
      </c>
      <c r="P890" t="str">
        <f>VLOOKUP(E890,calculated_fields!$F$4:$G$6,2,FALSE)</f>
        <v>Health</v>
      </c>
    </row>
    <row r="891" spans="1:16">
      <c r="A891" t="s">
        <v>1244</v>
      </c>
      <c r="B891" t="s">
        <v>1210</v>
      </c>
      <c r="C891" t="s">
        <v>14</v>
      </c>
      <c r="D891">
        <v>1992</v>
      </c>
      <c r="E891" t="s">
        <v>23</v>
      </c>
      <c r="F891" t="s">
        <v>24</v>
      </c>
      <c r="G891" t="s">
        <v>25</v>
      </c>
      <c r="H891" t="s">
        <v>26</v>
      </c>
      <c r="I891">
        <v>1164970000</v>
      </c>
      <c r="J891" t="s">
        <v>27</v>
      </c>
      <c r="K891" t="s">
        <v>1243</v>
      </c>
      <c r="L891" t="s">
        <v>21</v>
      </c>
      <c r="M891" t="str">
        <f t="shared" si="39"/>
        <v>OK</v>
      </c>
      <c r="N891" t="str">
        <f t="shared" si="40"/>
        <v>1990s</v>
      </c>
      <c r="O891" t="str">
        <f t="shared" si="41"/>
        <v>N/A</v>
      </c>
      <c r="P891" t="str">
        <f>VLOOKUP(E891,calculated_fields!$F$4:$G$6,2,FALSE)</f>
        <v>Demographics</v>
      </c>
    </row>
    <row r="892" spans="1:16">
      <c r="A892" t="s">
        <v>1245</v>
      </c>
      <c r="B892" t="s">
        <v>1210</v>
      </c>
      <c r="C892" t="s">
        <v>14</v>
      </c>
      <c r="D892">
        <v>1992</v>
      </c>
      <c r="E892" t="s">
        <v>29</v>
      </c>
      <c r="F892" t="s">
        <v>30</v>
      </c>
      <c r="G892" t="s">
        <v>31</v>
      </c>
      <c r="H892" t="s">
        <v>32</v>
      </c>
      <c r="I892">
        <v>1655.7841579999999</v>
      </c>
      <c r="J892" t="s">
        <v>33</v>
      </c>
      <c r="K892" t="s">
        <v>1243</v>
      </c>
      <c r="L892" t="s">
        <v>21</v>
      </c>
      <c r="M892" t="str">
        <f t="shared" si="39"/>
        <v>OK</v>
      </c>
      <c r="N892" t="str">
        <f t="shared" si="40"/>
        <v>1990s</v>
      </c>
      <c r="O892" t="str">
        <f t="shared" si="41"/>
        <v>N/A</v>
      </c>
      <c r="P892" t="str">
        <f>VLOOKUP(E892,calculated_fields!$F$4:$G$6,2,FALSE)</f>
        <v>Economy</v>
      </c>
    </row>
    <row r="893" spans="1:16">
      <c r="A893" t="s">
        <v>1246</v>
      </c>
      <c r="B893" t="s">
        <v>1210</v>
      </c>
      <c r="C893" t="s">
        <v>14</v>
      </c>
      <c r="D893">
        <v>1997</v>
      </c>
      <c r="E893" t="s">
        <v>15</v>
      </c>
      <c r="F893" t="s">
        <v>16</v>
      </c>
      <c r="G893" t="s">
        <v>17</v>
      </c>
      <c r="H893" t="s">
        <v>18</v>
      </c>
      <c r="I893">
        <v>70.426000000000002</v>
      </c>
      <c r="J893" t="s">
        <v>19</v>
      </c>
      <c r="K893" t="s">
        <v>1247</v>
      </c>
      <c r="L893" t="s">
        <v>21</v>
      </c>
      <c r="M893" t="str">
        <f t="shared" si="39"/>
        <v>OK</v>
      </c>
      <c r="N893" t="str">
        <f t="shared" si="40"/>
        <v>1990s</v>
      </c>
      <c r="O893" t="str">
        <f t="shared" si="41"/>
        <v>High</v>
      </c>
      <c r="P893" t="str">
        <f>VLOOKUP(E893,calculated_fields!$F$4:$G$6,2,FALSE)</f>
        <v>Health</v>
      </c>
    </row>
    <row r="894" spans="1:16">
      <c r="A894" t="s">
        <v>1248</v>
      </c>
      <c r="B894" t="s">
        <v>1210</v>
      </c>
      <c r="C894" t="s">
        <v>14</v>
      </c>
      <c r="D894">
        <v>1997</v>
      </c>
      <c r="E894" t="s">
        <v>23</v>
      </c>
      <c r="F894" t="s">
        <v>24</v>
      </c>
      <c r="G894" t="s">
        <v>25</v>
      </c>
      <c r="H894" t="s">
        <v>26</v>
      </c>
      <c r="I894">
        <v>1230075000</v>
      </c>
      <c r="J894" t="s">
        <v>27</v>
      </c>
      <c r="K894" t="s">
        <v>1247</v>
      </c>
      <c r="L894" t="s">
        <v>21</v>
      </c>
      <c r="M894" t="str">
        <f t="shared" si="39"/>
        <v>OK</v>
      </c>
      <c r="N894" t="str">
        <f t="shared" si="40"/>
        <v>1990s</v>
      </c>
      <c r="O894" t="str">
        <f t="shared" si="41"/>
        <v>N/A</v>
      </c>
      <c r="P894" t="str">
        <f>VLOOKUP(E894,calculated_fields!$F$4:$G$6,2,FALSE)</f>
        <v>Demographics</v>
      </c>
    </row>
    <row r="895" spans="1:16">
      <c r="A895" t="s">
        <v>1249</v>
      </c>
      <c r="B895" t="s">
        <v>1210</v>
      </c>
      <c r="C895" t="s">
        <v>14</v>
      </c>
      <c r="D895">
        <v>1997</v>
      </c>
      <c r="E895" t="s">
        <v>29</v>
      </c>
      <c r="F895" t="s">
        <v>30</v>
      </c>
      <c r="G895" t="s">
        <v>31</v>
      </c>
      <c r="H895" t="s">
        <v>32</v>
      </c>
      <c r="I895">
        <v>2289.234136</v>
      </c>
      <c r="J895" t="s">
        <v>33</v>
      </c>
      <c r="K895" t="s">
        <v>1247</v>
      </c>
      <c r="L895" t="s">
        <v>21</v>
      </c>
      <c r="M895" t="str">
        <f t="shared" si="39"/>
        <v>OK</v>
      </c>
      <c r="N895" t="str">
        <f t="shared" si="40"/>
        <v>1990s</v>
      </c>
      <c r="O895" t="str">
        <f t="shared" si="41"/>
        <v>N/A</v>
      </c>
      <c r="P895" t="str">
        <f>VLOOKUP(E895,calculated_fields!$F$4:$G$6,2,FALSE)</f>
        <v>Economy</v>
      </c>
    </row>
    <row r="896" spans="1:16">
      <c r="A896" t="s">
        <v>1250</v>
      </c>
      <c r="B896" t="s">
        <v>1210</v>
      </c>
      <c r="C896" t="s">
        <v>14</v>
      </c>
      <c r="D896">
        <v>2002</v>
      </c>
      <c r="E896" t="s">
        <v>15</v>
      </c>
      <c r="F896" t="s">
        <v>16</v>
      </c>
      <c r="G896" t="s">
        <v>17</v>
      </c>
      <c r="H896" t="s">
        <v>18</v>
      </c>
      <c r="I896">
        <v>72.028000000000006</v>
      </c>
      <c r="J896" t="s">
        <v>19</v>
      </c>
      <c r="K896" t="s">
        <v>1251</v>
      </c>
      <c r="L896" t="s">
        <v>21</v>
      </c>
      <c r="M896" t="str">
        <f t="shared" si="39"/>
        <v>OK</v>
      </c>
      <c r="N896" t="str">
        <f t="shared" si="40"/>
        <v>2000s</v>
      </c>
      <c r="O896" t="str">
        <f t="shared" si="41"/>
        <v>High</v>
      </c>
      <c r="P896" t="str">
        <f>VLOOKUP(E896,calculated_fields!$F$4:$G$6,2,FALSE)</f>
        <v>Health</v>
      </c>
    </row>
    <row r="897" spans="1:16">
      <c r="A897" t="s">
        <v>1252</v>
      </c>
      <c r="B897" t="s">
        <v>1210</v>
      </c>
      <c r="C897" t="s">
        <v>14</v>
      </c>
      <c r="D897">
        <v>2002</v>
      </c>
      <c r="E897" t="s">
        <v>23</v>
      </c>
      <c r="F897" t="s">
        <v>24</v>
      </c>
      <c r="G897" t="s">
        <v>25</v>
      </c>
      <c r="H897" t="s">
        <v>26</v>
      </c>
      <c r="I897">
        <v>1280400000</v>
      </c>
      <c r="J897" t="s">
        <v>27</v>
      </c>
      <c r="K897" t="s">
        <v>1251</v>
      </c>
      <c r="L897" t="s">
        <v>21</v>
      </c>
      <c r="M897" t="str">
        <f t="shared" si="39"/>
        <v>OK</v>
      </c>
      <c r="N897" t="str">
        <f t="shared" si="40"/>
        <v>2000s</v>
      </c>
      <c r="O897" t="str">
        <f t="shared" si="41"/>
        <v>N/A</v>
      </c>
      <c r="P897" t="str">
        <f>VLOOKUP(E897,calculated_fields!$F$4:$G$6,2,FALSE)</f>
        <v>Demographics</v>
      </c>
    </row>
    <row r="898" spans="1:16">
      <c r="A898" t="s">
        <v>1253</v>
      </c>
      <c r="B898" t="s">
        <v>1210</v>
      </c>
      <c r="C898" t="s">
        <v>14</v>
      </c>
      <c r="D898">
        <v>2002</v>
      </c>
      <c r="E898" t="s">
        <v>29</v>
      </c>
      <c r="F898" t="s">
        <v>30</v>
      </c>
      <c r="G898" t="s">
        <v>31</v>
      </c>
      <c r="H898" t="s">
        <v>32</v>
      </c>
      <c r="I898">
        <v>3119.2808960000002</v>
      </c>
      <c r="J898" t="s">
        <v>33</v>
      </c>
      <c r="K898" t="s">
        <v>1251</v>
      </c>
      <c r="L898" t="s">
        <v>21</v>
      </c>
      <c r="M898" t="str">
        <f t="shared" ref="M898:M961" si="42">IF(AND(ISNUMBER(I898),I898&gt;=0),"OK","Review")</f>
        <v>OK</v>
      </c>
      <c r="N898" t="str">
        <f t="shared" ref="N898:N961" si="43">FLOOR(D898,10)&amp;"s"</f>
        <v>2000s</v>
      </c>
      <c r="O898" t="str">
        <f t="shared" ref="O898:O961" si="44">IF(E898="LIFE_EXP",IF(I898&gt;=70,"High",IF(I898&gt;=55,"Medium","Low")),"N/A")</f>
        <v>N/A</v>
      </c>
      <c r="P898" t="str">
        <f>VLOOKUP(E898,calculated_fields!$F$4:$G$6,2,FALSE)</f>
        <v>Economy</v>
      </c>
    </row>
    <row r="899" spans="1:16">
      <c r="A899" t="s">
        <v>1254</v>
      </c>
      <c r="B899" t="s">
        <v>1210</v>
      </c>
      <c r="C899" t="s">
        <v>14</v>
      </c>
      <c r="D899">
        <v>2007</v>
      </c>
      <c r="E899" t="s">
        <v>15</v>
      </c>
      <c r="F899" t="s">
        <v>16</v>
      </c>
      <c r="G899" t="s">
        <v>17</v>
      </c>
      <c r="H899" t="s">
        <v>18</v>
      </c>
      <c r="I899">
        <v>72.960999999999999</v>
      </c>
      <c r="J899" t="s">
        <v>19</v>
      </c>
      <c r="K899" t="s">
        <v>1255</v>
      </c>
      <c r="L899" t="s">
        <v>21</v>
      </c>
      <c r="M899" t="str">
        <f t="shared" si="42"/>
        <v>OK</v>
      </c>
      <c r="N899" t="str">
        <f t="shared" si="43"/>
        <v>2000s</v>
      </c>
      <c r="O899" t="str">
        <f t="shared" si="44"/>
        <v>High</v>
      </c>
      <c r="P899" t="str">
        <f>VLOOKUP(E899,calculated_fields!$F$4:$G$6,2,FALSE)</f>
        <v>Health</v>
      </c>
    </row>
    <row r="900" spans="1:16">
      <c r="A900" t="s">
        <v>1256</v>
      </c>
      <c r="B900" t="s">
        <v>1210</v>
      </c>
      <c r="C900" t="s">
        <v>14</v>
      </c>
      <c r="D900">
        <v>2007</v>
      </c>
      <c r="E900" t="s">
        <v>23</v>
      </c>
      <c r="F900" t="s">
        <v>24</v>
      </c>
      <c r="G900" t="s">
        <v>25</v>
      </c>
      <c r="H900" t="s">
        <v>26</v>
      </c>
      <c r="I900">
        <v>1318683096</v>
      </c>
      <c r="J900" t="s">
        <v>27</v>
      </c>
      <c r="K900" t="s">
        <v>1255</v>
      </c>
      <c r="L900" t="s">
        <v>21</v>
      </c>
      <c r="M900" t="str">
        <f t="shared" si="42"/>
        <v>OK</v>
      </c>
      <c r="N900" t="str">
        <f t="shared" si="43"/>
        <v>2000s</v>
      </c>
      <c r="O900" t="str">
        <f t="shared" si="44"/>
        <v>N/A</v>
      </c>
      <c r="P900" t="str">
        <f>VLOOKUP(E900,calculated_fields!$F$4:$G$6,2,FALSE)</f>
        <v>Demographics</v>
      </c>
    </row>
    <row r="901" spans="1:16">
      <c r="A901" t="s">
        <v>1257</v>
      </c>
      <c r="B901" t="s">
        <v>1210</v>
      </c>
      <c r="C901" t="s">
        <v>14</v>
      </c>
      <c r="D901">
        <v>2007</v>
      </c>
      <c r="E901" t="s">
        <v>29</v>
      </c>
      <c r="F901" t="s">
        <v>30</v>
      </c>
      <c r="G901" t="s">
        <v>31</v>
      </c>
      <c r="H901" t="s">
        <v>32</v>
      </c>
      <c r="I901">
        <v>4959.1148540000004</v>
      </c>
      <c r="J901" t="s">
        <v>33</v>
      </c>
      <c r="K901" t="s">
        <v>1255</v>
      </c>
      <c r="L901" t="s">
        <v>21</v>
      </c>
      <c r="M901" t="str">
        <f t="shared" si="42"/>
        <v>OK</v>
      </c>
      <c r="N901" t="str">
        <f t="shared" si="43"/>
        <v>2000s</v>
      </c>
      <c r="O901" t="str">
        <f t="shared" si="44"/>
        <v>N/A</v>
      </c>
      <c r="P901" t="str">
        <f>VLOOKUP(E901,calculated_fields!$F$4:$G$6,2,FALSE)</f>
        <v>Economy</v>
      </c>
    </row>
    <row r="902" spans="1:16">
      <c r="A902" t="s">
        <v>1258</v>
      </c>
      <c r="B902" t="s">
        <v>1259</v>
      </c>
      <c r="C902" t="s">
        <v>229</v>
      </c>
      <c r="D902">
        <v>1952</v>
      </c>
      <c r="E902" t="s">
        <v>15</v>
      </c>
      <c r="F902" t="s">
        <v>16</v>
      </c>
      <c r="G902" t="s">
        <v>17</v>
      </c>
      <c r="H902" t="s">
        <v>18</v>
      </c>
      <c r="I902">
        <v>50.643000000000001</v>
      </c>
      <c r="J902" t="s">
        <v>19</v>
      </c>
      <c r="K902" t="s">
        <v>1260</v>
      </c>
      <c r="L902" t="s">
        <v>21</v>
      </c>
      <c r="M902" t="str">
        <f t="shared" si="42"/>
        <v>OK</v>
      </c>
      <c r="N902" t="str">
        <f t="shared" si="43"/>
        <v>1950s</v>
      </c>
      <c r="O902" t="str">
        <f t="shared" si="44"/>
        <v>Low</v>
      </c>
      <c r="P902" t="str">
        <f>VLOOKUP(E902,calculated_fields!$F$4:$G$6,2,FALSE)</f>
        <v>Health</v>
      </c>
    </row>
    <row r="903" spans="1:16">
      <c r="A903" t="s">
        <v>1261</v>
      </c>
      <c r="B903" t="s">
        <v>1259</v>
      </c>
      <c r="C903" t="s">
        <v>229</v>
      </c>
      <c r="D903">
        <v>1952</v>
      </c>
      <c r="E903" t="s">
        <v>23</v>
      </c>
      <c r="F903" t="s">
        <v>24</v>
      </c>
      <c r="G903" t="s">
        <v>25</v>
      </c>
      <c r="H903" t="s">
        <v>26</v>
      </c>
      <c r="I903">
        <v>12350771</v>
      </c>
      <c r="J903" t="s">
        <v>27</v>
      </c>
      <c r="K903" t="s">
        <v>1260</v>
      </c>
      <c r="L903" t="s">
        <v>21</v>
      </c>
      <c r="M903" t="str">
        <f t="shared" si="42"/>
        <v>OK</v>
      </c>
      <c r="N903" t="str">
        <f t="shared" si="43"/>
        <v>1950s</v>
      </c>
      <c r="O903" t="str">
        <f t="shared" si="44"/>
        <v>N/A</v>
      </c>
      <c r="P903" t="str">
        <f>VLOOKUP(E903,calculated_fields!$F$4:$G$6,2,FALSE)</f>
        <v>Demographics</v>
      </c>
    </row>
    <row r="904" spans="1:16">
      <c r="A904" t="s">
        <v>1262</v>
      </c>
      <c r="B904" t="s">
        <v>1259</v>
      </c>
      <c r="C904" t="s">
        <v>229</v>
      </c>
      <c r="D904">
        <v>1952</v>
      </c>
      <c r="E904" t="s">
        <v>29</v>
      </c>
      <c r="F904" t="s">
        <v>30</v>
      </c>
      <c r="G904" t="s">
        <v>31</v>
      </c>
      <c r="H904" t="s">
        <v>32</v>
      </c>
      <c r="I904">
        <v>2144.115096</v>
      </c>
      <c r="J904" t="s">
        <v>33</v>
      </c>
      <c r="K904" t="s">
        <v>1260</v>
      </c>
      <c r="L904" t="s">
        <v>21</v>
      </c>
      <c r="M904" t="str">
        <f t="shared" si="42"/>
        <v>OK</v>
      </c>
      <c r="N904" t="str">
        <f t="shared" si="43"/>
        <v>1950s</v>
      </c>
      <c r="O904" t="str">
        <f t="shared" si="44"/>
        <v>N/A</v>
      </c>
      <c r="P904" t="str">
        <f>VLOOKUP(E904,calculated_fields!$F$4:$G$6,2,FALSE)</f>
        <v>Economy</v>
      </c>
    </row>
    <row r="905" spans="1:16">
      <c r="A905" t="s">
        <v>1263</v>
      </c>
      <c r="B905" t="s">
        <v>1259</v>
      </c>
      <c r="C905" t="s">
        <v>229</v>
      </c>
      <c r="D905">
        <v>1957</v>
      </c>
      <c r="E905" t="s">
        <v>15</v>
      </c>
      <c r="F905" t="s">
        <v>16</v>
      </c>
      <c r="G905" t="s">
        <v>17</v>
      </c>
      <c r="H905" t="s">
        <v>18</v>
      </c>
      <c r="I905">
        <v>55.118000000000002</v>
      </c>
      <c r="J905" t="s">
        <v>19</v>
      </c>
      <c r="K905" t="s">
        <v>1264</v>
      </c>
      <c r="L905" t="s">
        <v>21</v>
      </c>
      <c r="M905" t="str">
        <f t="shared" si="42"/>
        <v>OK</v>
      </c>
      <c r="N905" t="str">
        <f t="shared" si="43"/>
        <v>1950s</v>
      </c>
      <c r="O905" t="str">
        <f t="shared" si="44"/>
        <v>Medium</v>
      </c>
      <c r="P905" t="str">
        <f>VLOOKUP(E905,calculated_fields!$F$4:$G$6,2,FALSE)</f>
        <v>Health</v>
      </c>
    </row>
    <row r="906" spans="1:16">
      <c r="A906" t="s">
        <v>1265</v>
      </c>
      <c r="B906" t="s">
        <v>1259</v>
      </c>
      <c r="C906" t="s">
        <v>229</v>
      </c>
      <c r="D906">
        <v>1957</v>
      </c>
      <c r="E906" t="s">
        <v>23</v>
      </c>
      <c r="F906" t="s">
        <v>24</v>
      </c>
      <c r="G906" t="s">
        <v>25</v>
      </c>
      <c r="H906" t="s">
        <v>26</v>
      </c>
      <c r="I906">
        <v>14485993</v>
      </c>
      <c r="J906" t="s">
        <v>27</v>
      </c>
      <c r="K906" t="s">
        <v>1264</v>
      </c>
      <c r="L906" t="s">
        <v>21</v>
      </c>
      <c r="M906" t="str">
        <f t="shared" si="42"/>
        <v>OK</v>
      </c>
      <c r="N906" t="str">
        <f t="shared" si="43"/>
        <v>1950s</v>
      </c>
      <c r="O906" t="str">
        <f t="shared" si="44"/>
        <v>N/A</v>
      </c>
      <c r="P906" t="str">
        <f>VLOOKUP(E906,calculated_fields!$F$4:$G$6,2,FALSE)</f>
        <v>Demographics</v>
      </c>
    </row>
    <row r="907" spans="1:16">
      <c r="A907" t="s">
        <v>1266</v>
      </c>
      <c r="B907" t="s">
        <v>1259</v>
      </c>
      <c r="C907" t="s">
        <v>229</v>
      </c>
      <c r="D907">
        <v>1957</v>
      </c>
      <c r="E907" t="s">
        <v>29</v>
      </c>
      <c r="F907" t="s">
        <v>30</v>
      </c>
      <c r="G907" t="s">
        <v>31</v>
      </c>
      <c r="H907" t="s">
        <v>32</v>
      </c>
      <c r="I907">
        <v>2323.8055810000001</v>
      </c>
      <c r="J907" t="s">
        <v>33</v>
      </c>
      <c r="K907" t="s">
        <v>1264</v>
      </c>
      <c r="L907" t="s">
        <v>21</v>
      </c>
      <c r="M907" t="str">
        <f t="shared" si="42"/>
        <v>OK</v>
      </c>
      <c r="N907" t="str">
        <f t="shared" si="43"/>
        <v>1950s</v>
      </c>
      <c r="O907" t="str">
        <f t="shared" si="44"/>
        <v>N/A</v>
      </c>
      <c r="P907" t="str">
        <f>VLOOKUP(E907,calculated_fields!$F$4:$G$6,2,FALSE)</f>
        <v>Economy</v>
      </c>
    </row>
    <row r="908" spans="1:16">
      <c r="A908" t="s">
        <v>1267</v>
      </c>
      <c r="B908" t="s">
        <v>1259</v>
      </c>
      <c r="C908" t="s">
        <v>229</v>
      </c>
      <c r="D908">
        <v>1962</v>
      </c>
      <c r="E908" t="s">
        <v>15</v>
      </c>
      <c r="F908" t="s">
        <v>16</v>
      </c>
      <c r="G908" t="s">
        <v>17</v>
      </c>
      <c r="H908" t="s">
        <v>18</v>
      </c>
      <c r="I908">
        <v>57.863</v>
      </c>
      <c r="J908" t="s">
        <v>19</v>
      </c>
      <c r="K908" t="s">
        <v>1268</v>
      </c>
      <c r="L908" t="s">
        <v>21</v>
      </c>
      <c r="M908" t="str">
        <f t="shared" si="42"/>
        <v>OK</v>
      </c>
      <c r="N908" t="str">
        <f t="shared" si="43"/>
        <v>1960s</v>
      </c>
      <c r="O908" t="str">
        <f t="shared" si="44"/>
        <v>Medium</v>
      </c>
      <c r="P908" t="str">
        <f>VLOOKUP(E908,calculated_fields!$F$4:$G$6,2,FALSE)</f>
        <v>Health</v>
      </c>
    </row>
    <row r="909" spans="1:16">
      <c r="A909" t="s">
        <v>1269</v>
      </c>
      <c r="B909" t="s">
        <v>1259</v>
      </c>
      <c r="C909" t="s">
        <v>229</v>
      </c>
      <c r="D909">
        <v>1962</v>
      </c>
      <c r="E909" t="s">
        <v>23</v>
      </c>
      <c r="F909" t="s">
        <v>24</v>
      </c>
      <c r="G909" t="s">
        <v>25</v>
      </c>
      <c r="H909" t="s">
        <v>26</v>
      </c>
      <c r="I909">
        <v>17009885</v>
      </c>
      <c r="J909" t="s">
        <v>27</v>
      </c>
      <c r="K909" t="s">
        <v>1268</v>
      </c>
      <c r="L909" t="s">
        <v>21</v>
      </c>
      <c r="M909" t="str">
        <f t="shared" si="42"/>
        <v>OK</v>
      </c>
      <c r="N909" t="str">
        <f t="shared" si="43"/>
        <v>1960s</v>
      </c>
      <c r="O909" t="str">
        <f t="shared" si="44"/>
        <v>N/A</v>
      </c>
      <c r="P909" t="str">
        <f>VLOOKUP(E909,calculated_fields!$F$4:$G$6,2,FALSE)</f>
        <v>Demographics</v>
      </c>
    </row>
    <row r="910" spans="1:16">
      <c r="A910" t="s">
        <v>1270</v>
      </c>
      <c r="B910" t="s">
        <v>1259</v>
      </c>
      <c r="C910" t="s">
        <v>229</v>
      </c>
      <c r="D910">
        <v>1962</v>
      </c>
      <c r="E910" t="s">
        <v>29</v>
      </c>
      <c r="F910" t="s">
        <v>30</v>
      </c>
      <c r="G910" t="s">
        <v>31</v>
      </c>
      <c r="H910" t="s">
        <v>32</v>
      </c>
      <c r="I910">
        <v>2492.3511090000002</v>
      </c>
      <c r="J910" t="s">
        <v>33</v>
      </c>
      <c r="K910" t="s">
        <v>1268</v>
      </c>
      <c r="L910" t="s">
        <v>21</v>
      </c>
      <c r="M910" t="str">
        <f t="shared" si="42"/>
        <v>OK</v>
      </c>
      <c r="N910" t="str">
        <f t="shared" si="43"/>
        <v>1960s</v>
      </c>
      <c r="O910" t="str">
        <f t="shared" si="44"/>
        <v>N/A</v>
      </c>
      <c r="P910" t="str">
        <f>VLOOKUP(E910,calculated_fields!$F$4:$G$6,2,FALSE)</f>
        <v>Economy</v>
      </c>
    </row>
    <row r="911" spans="1:16">
      <c r="A911" t="s">
        <v>1271</v>
      </c>
      <c r="B911" t="s">
        <v>1259</v>
      </c>
      <c r="C911" t="s">
        <v>229</v>
      </c>
      <c r="D911">
        <v>1967</v>
      </c>
      <c r="E911" t="s">
        <v>15</v>
      </c>
      <c r="F911" t="s">
        <v>16</v>
      </c>
      <c r="G911" t="s">
        <v>17</v>
      </c>
      <c r="H911" t="s">
        <v>18</v>
      </c>
      <c r="I911">
        <v>59.963000000000001</v>
      </c>
      <c r="J911" t="s">
        <v>19</v>
      </c>
      <c r="K911" t="s">
        <v>1272</v>
      </c>
      <c r="L911" t="s">
        <v>21</v>
      </c>
      <c r="M911" t="str">
        <f t="shared" si="42"/>
        <v>OK</v>
      </c>
      <c r="N911" t="str">
        <f t="shared" si="43"/>
        <v>1960s</v>
      </c>
      <c r="O911" t="str">
        <f t="shared" si="44"/>
        <v>Medium</v>
      </c>
      <c r="P911" t="str">
        <f>VLOOKUP(E911,calculated_fields!$F$4:$G$6,2,FALSE)</f>
        <v>Health</v>
      </c>
    </row>
    <row r="912" spans="1:16">
      <c r="A912" t="s">
        <v>1273</v>
      </c>
      <c r="B912" t="s">
        <v>1259</v>
      </c>
      <c r="C912" t="s">
        <v>229</v>
      </c>
      <c r="D912">
        <v>1967</v>
      </c>
      <c r="E912" t="s">
        <v>23</v>
      </c>
      <c r="F912" t="s">
        <v>24</v>
      </c>
      <c r="G912" t="s">
        <v>25</v>
      </c>
      <c r="H912" t="s">
        <v>26</v>
      </c>
      <c r="I912">
        <v>19764027</v>
      </c>
      <c r="J912" t="s">
        <v>27</v>
      </c>
      <c r="K912" t="s">
        <v>1272</v>
      </c>
      <c r="L912" t="s">
        <v>21</v>
      </c>
      <c r="M912" t="str">
        <f t="shared" si="42"/>
        <v>OK</v>
      </c>
      <c r="N912" t="str">
        <f t="shared" si="43"/>
        <v>1960s</v>
      </c>
      <c r="O912" t="str">
        <f t="shared" si="44"/>
        <v>N/A</v>
      </c>
      <c r="P912" t="str">
        <f>VLOOKUP(E912,calculated_fields!$F$4:$G$6,2,FALSE)</f>
        <v>Demographics</v>
      </c>
    </row>
    <row r="913" spans="1:16">
      <c r="A913" t="s">
        <v>1274</v>
      </c>
      <c r="B913" t="s">
        <v>1259</v>
      </c>
      <c r="C913" t="s">
        <v>229</v>
      </c>
      <c r="D913">
        <v>1967</v>
      </c>
      <c r="E913" t="s">
        <v>29</v>
      </c>
      <c r="F913" t="s">
        <v>30</v>
      </c>
      <c r="G913" t="s">
        <v>31</v>
      </c>
      <c r="H913" t="s">
        <v>32</v>
      </c>
      <c r="I913">
        <v>2678.7298390000001</v>
      </c>
      <c r="J913" t="s">
        <v>33</v>
      </c>
      <c r="K913" t="s">
        <v>1272</v>
      </c>
      <c r="L913" t="s">
        <v>21</v>
      </c>
      <c r="M913" t="str">
        <f t="shared" si="42"/>
        <v>OK</v>
      </c>
      <c r="N913" t="str">
        <f t="shared" si="43"/>
        <v>1960s</v>
      </c>
      <c r="O913" t="str">
        <f t="shared" si="44"/>
        <v>N/A</v>
      </c>
      <c r="P913" t="str">
        <f>VLOOKUP(E913,calculated_fields!$F$4:$G$6,2,FALSE)</f>
        <v>Economy</v>
      </c>
    </row>
    <row r="914" spans="1:16">
      <c r="A914" t="s">
        <v>1275</v>
      </c>
      <c r="B914" t="s">
        <v>1259</v>
      </c>
      <c r="C914" t="s">
        <v>229</v>
      </c>
      <c r="D914">
        <v>1972</v>
      </c>
      <c r="E914" t="s">
        <v>15</v>
      </c>
      <c r="F914" t="s">
        <v>16</v>
      </c>
      <c r="G914" t="s">
        <v>17</v>
      </c>
      <c r="H914" t="s">
        <v>18</v>
      </c>
      <c r="I914">
        <v>61.622999999999998</v>
      </c>
      <c r="J914" t="s">
        <v>19</v>
      </c>
      <c r="K914" t="s">
        <v>1276</v>
      </c>
      <c r="L914" t="s">
        <v>21</v>
      </c>
      <c r="M914" t="str">
        <f t="shared" si="42"/>
        <v>OK</v>
      </c>
      <c r="N914" t="str">
        <f t="shared" si="43"/>
        <v>1970s</v>
      </c>
      <c r="O914" t="str">
        <f t="shared" si="44"/>
        <v>Medium</v>
      </c>
      <c r="P914" t="str">
        <f>VLOOKUP(E914,calculated_fields!$F$4:$G$6,2,FALSE)</f>
        <v>Health</v>
      </c>
    </row>
    <row r="915" spans="1:16">
      <c r="A915" t="s">
        <v>1277</v>
      </c>
      <c r="B915" t="s">
        <v>1259</v>
      </c>
      <c r="C915" t="s">
        <v>229</v>
      </c>
      <c r="D915">
        <v>1972</v>
      </c>
      <c r="E915" t="s">
        <v>23</v>
      </c>
      <c r="F915" t="s">
        <v>24</v>
      </c>
      <c r="G915" t="s">
        <v>25</v>
      </c>
      <c r="H915" t="s">
        <v>26</v>
      </c>
      <c r="I915">
        <v>22542890</v>
      </c>
      <c r="J915" t="s">
        <v>27</v>
      </c>
      <c r="K915" t="s">
        <v>1276</v>
      </c>
      <c r="L915" t="s">
        <v>21</v>
      </c>
      <c r="M915" t="str">
        <f t="shared" si="42"/>
        <v>OK</v>
      </c>
      <c r="N915" t="str">
        <f t="shared" si="43"/>
        <v>1970s</v>
      </c>
      <c r="O915" t="str">
        <f t="shared" si="44"/>
        <v>N/A</v>
      </c>
      <c r="P915" t="str">
        <f>VLOOKUP(E915,calculated_fields!$F$4:$G$6,2,FALSE)</f>
        <v>Demographics</v>
      </c>
    </row>
    <row r="916" spans="1:16">
      <c r="A916" t="s">
        <v>1278</v>
      </c>
      <c r="B916" t="s">
        <v>1259</v>
      </c>
      <c r="C916" t="s">
        <v>229</v>
      </c>
      <c r="D916">
        <v>1972</v>
      </c>
      <c r="E916" t="s">
        <v>29</v>
      </c>
      <c r="F916" t="s">
        <v>30</v>
      </c>
      <c r="G916" t="s">
        <v>31</v>
      </c>
      <c r="H916" t="s">
        <v>32</v>
      </c>
      <c r="I916">
        <v>3264.6600410000001</v>
      </c>
      <c r="J916" t="s">
        <v>33</v>
      </c>
      <c r="K916" t="s">
        <v>1276</v>
      </c>
      <c r="L916" t="s">
        <v>21</v>
      </c>
      <c r="M916" t="str">
        <f t="shared" si="42"/>
        <v>OK</v>
      </c>
      <c r="N916" t="str">
        <f t="shared" si="43"/>
        <v>1970s</v>
      </c>
      <c r="O916" t="str">
        <f t="shared" si="44"/>
        <v>N/A</v>
      </c>
      <c r="P916" t="str">
        <f>VLOOKUP(E916,calculated_fields!$F$4:$G$6,2,FALSE)</f>
        <v>Economy</v>
      </c>
    </row>
    <row r="917" spans="1:16">
      <c r="A917" t="s">
        <v>1279</v>
      </c>
      <c r="B917" t="s">
        <v>1259</v>
      </c>
      <c r="C917" t="s">
        <v>229</v>
      </c>
      <c r="D917">
        <v>1977</v>
      </c>
      <c r="E917" t="s">
        <v>15</v>
      </c>
      <c r="F917" t="s">
        <v>16</v>
      </c>
      <c r="G917" t="s">
        <v>17</v>
      </c>
      <c r="H917" t="s">
        <v>18</v>
      </c>
      <c r="I917">
        <v>63.837000000000003</v>
      </c>
      <c r="J917" t="s">
        <v>19</v>
      </c>
      <c r="K917" t="s">
        <v>1280</v>
      </c>
      <c r="L917" t="s">
        <v>21</v>
      </c>
      <c r="M917" t="str">
        <f t="shared" si="42"/>
        <v>OK</v>
      </c>
      <c r="N917" t="str">
        <f t="shared" si="43"/>
        <v>1970s</v>
      </c>
      <c r="O917" t="str">
        <f t="shared" si="44"/>
        <v>Medium</v>
      </c>
      <c r="P917" t="str">
        <f>VLOOKUP(E917,calculated_fields!$F$4:$G$6,2,FALSE)</f>
        <v>Health</v>
      </c>
    </row>
    <row r="918" spans="1:16">
      <c r="A918" t="s">
        <v>1281</v>
      </c>
      <c r="B918" t="s">
        <v>1259</v>
      </c>
      <c r="C918" t="s">
        <v>229</v>
      </c>
      <c r="D918">
        <v>1977</v>
      </c>
      <c r="E918" t="s">
        <v>23</v>
      </c>
      <c r="F918" t="s">
        <v>24</v>
      </c>
      <c r="G918" t="s">
        <v>25</v>
      </c>
      <c r="H918" t="s">
        <v>26</v>
      </c>
      <c r="I918">
        <v>25094412</v>
      </c>
      <c r="J918" t="s">
        <v>27</v>
      </c>
      <c r="K918" t="s">
        <v>1280</v>
      </c>
      <c r="L918" t="s">
        <v>21</v>
      </c>
      <c r="M918" t="str">
        <f t="shared" si="42"/>
        <v>OK</v>
      </c>
      <c r="N918" t="str">
        <f t="shared" si="43"/>
        <v>1970s</v>
      </c>
      <c r="O918" t="str">
        <f t="shared" si="44"/>
        <v>N/A</v>
      </c>
      <c r="P918" t="str">
        <f>VLOOKUP(E918,calculated_fields!$F$4:$G$6,2,FALSE)</f>
        <v>Demographics</v>
      </c>
    </row>
    <row r="919" spans="1:16">
      <c r="A919" t="s">
        <v>1282</v>
      </c>
      <c r="B919" t="s">
        <v>1259</v>
      </c>
      <c r="C919" t="s">
        <v>229</v>
      </c>
      <c r="D919">
        <v>1977</v>
      </c>
      <c r="E919" t="s">
        <v>29</v>
      </c>
      <c r="F919" t="s">
        <v>30</v>
      </c>
      <c r="G919" t="s">
        <v>31</v>
      </c>
      <c r="H919" t="s">
        <v>32</v>
      </c>
      <c r="I919">
        <v>3815.8078700000001</v>
      </c>
      <c r="J919" t="s">
        <v>33</v>
      </c>
      <c r="K919" t="s">
        <v>1280</v>
      </c>
      <c r="L919" t="s">
        <v>21</v>
      </c>
      <c r="M919" t="str">
        <f t="shared" si="42"/>
        <v>OK</v>
      </c>
      <c r="N919" t="str">
        <f t="shared" si="43"/>
        <v>1970s</v>
      </c>
      <c r="O919" t="str">
        <f t="shared" si="44"/>
        <v>N/A</v>
      </c>
      <c r="P919" t="str">
        <f>VLOOKUP(E919,calculated_fields!$F$4:$G$6,2,FALSE)</f>
        <v>Economy</v>
      </c>
    </row>
    <row r="920" spans="1:16">
      <c r="A920" t="s">
        <v>1283</v>
      </c>
      <c r="B920" t="s">
        <v>1259</v>
      </c>
      <c r="C920" t="s">
        <v>229</v>
      </c>
      <c r="D920">
        <v>1982</v>
      </c>
      <c r="E920" t="s">
        <v>15</v>
      </c>
      <c r="F920" t="s">
        <v>16</v>
      </c>
      <c r="G920" t="s">
        <v>17</v>
      </c>
      <c r="H920" t="s">
        <v>18</v>
      </c>
      <c r="I920">
        <v>66.653000000000006</v>
      </c>
      <c r="J920" t="s">
        <v>19</v>
      </c>
      <c r="K920" t="s">
        <v>1284</v>
      </c>
      <c r="L920" t="s">
        <v>21</v>
      </c>
      <c r="M920" t="str">
        <f t="shared" si="42"/>
        <v>OK</v>
      </c>
      <c r="N920" t="str">
        <f t="shared" si="43"/>
        <v>1980s</v>
      </c>
      <c r="O920" t="str">
        <f t="shared" si="44"/>
        <v>Medium</v>
      </c>
      <c r="P920" t="str">
        <f>VLOOKUP(E920,calculated_fields!$F$4:$G$6,2,FALSE)</f>
        <v>Health</v>
      </c>
    </row>
    <row r="921" spans="1:16">
      <c r="A921" t="s">
        <v>1285</v>
      </c>
      <c r="B921" t="s">
        <v>1259</v>
      </c>
      <c r="C921" t="s">
        <v>229</v>
      </c>
      <c r="D921">
        <v>1982</v>
      </c>
      <c r="E921" t="s">
        <v>23</v>
      </c>
      <c r="F921" t="s">
        <v>24</v>
      </c>
      <c r="G921" t="s">
        <v>25</v>
      </c>
      <c r="H921" t="s">
        <v>26</v>
      </c>
      <c r="I921">
        <v>27764644</v>
      </c>
      <c r="J921" t="s">
        <v>27</v>
      </c>
      <c r="K921" t="s">
        <v>1284</v>
      </c>
      <c r="L921" t="s">
        <v>21</v>
      </c>
      <c r="M921" t="str">
        <f t="shared" si="42"/>
        <v>OK</v>
      </c>
      <c r="N921" t="str">
        <f t="shared" si="43"/>
        <v>1980s</v>
      </c>
      <c r="O921" t="str">
        <f t="shared" si="44"/>
        <v>N/A</v>
      </c>
      <c r="P921" t="str">
        <f>VLOOKUP(E921,calculated_fields!$F$4:$G$6,2,FALSE)</f>
        <v>Demographics</v>
      </c>
    </row>
    <row r="922" spans="1:16">
      <c r="A922" t="s">
        <v>1286</v>
      </c>
      <c r="B922" t="s">
        <v>1259</v>
      </c>
      <c r="C922" t="s">
        <v>229</v>
      </c>
      <c r="D922">
        <v>1982</v>
      </c>
      <c r="E922" t="s">
        <v>29</v>
      </c>
      <c r="F922" t="s">
        <v>30</v>
      </c>
      <c r="G922" t="s">
        <v>31</v>
      </c>
      <c r="H922" t="s">
        <v>32</v>
      </c>
      <c r="I922">
        <v>4397.5756590000001</v>
      </c>
      <c r="J922" t="s">
        <v>33</v>
      </c>
      <c r="K922" t="s">
        <v>1284</v>
      </c>
      <c r="L922" t="s">
        <v>21</v>
      </c>
      <c r="M922" t="str">
        <f t="shared" si="42"/>
        <v>OK</v>
      </c>
      <c r="N922" t="str">
        <f t="shared" si="43"/>
        <v>1980s</v>
      </c>
      <c r="O922" t="str">
        <f t="shared" si="44"/>
        <v>N/A</v>
      </c>
      <c r="P922" t="str">
        <f>VLOOKUP(E922,calculated_fields!$F$4:$G$6,2,FALSE)</f>
        <v>Economy</v>
      </c>
    </row>
    <row r="923" spans="1:16">
      <c r="A923" t="s">
        <v>1287</v>
      </c>
      <c r="B923" t="s">
        <v>1259</v>
      </c>
      <c r="C923" t="s">
        <v>229</v>
      </c>
      <c r="D923">
        <v>1987</v>
      </c>
      <c r="E923" t="s">
        <v>15</v>
      </c>
      <c r="F923" t="s">
        <v>16</v>
      </c>
      <c r="G923" t="s">
        <v>17</v>
      </c>
      <c r="H923" t="s">
        <v>18</v>
      </c>
      <c r="I923">
        <v>67.768000000000001</v>
      </c>
      <c r="J923" t="s">
        <v>19</v>
      </c>
      <c r="K923" t="s">
        <v>1288</v>
      </c>
      <c r="L923" t="s">
        <v>21</v>
      </c>
      <c r="M923" t="str">
        <f t="shared" si="42"/>
        <v>OK</v>
      </c>
      <c r="N923" t="str">
        <f t="shared" si="43"/>
        <v>1980s</v>
      </c>
      <c r="O923" t="str">
        <f t="shared" si="44"/>
        <v>Medium</v>
      </c>
      <c r="P923" t="str">
        <f>VLOOKUP(E923,calculated_fields!$F$4:$G$6,2,FALSE)</f>
        <v>Health</v>
      </c>
    </row>
    <row r="924" spans="1:16">
      <c r="A924" t="s">
        <v>1289</v>
      </c>
      <c r="B924" t="s">
        <v>1259</v>
      </c>
      <c r="C924" t="s">
        <v>229</v>
      </c>
      <c r="D924">
        <v>1987</v>
      </c>
      <c r="E924" t="s">
        <v>23</v>
      </c>
      <c r="F924" t="s">
        <v>24</v>
      </c>
      <c r="G924" t="s">
        <v>25</v>
      </c>
      <c r="H924" t="s">
        <v>26</v>
      </c>
      <c r="I924">
        <v>30964245</v>
      </c>
      <c r="J924" t="s">
        <v>27</v>
      </c>
      <c r="K924" t="s">
        <v>1288</v>
      </c>
      <c r="L924" t="s">
        <v>21</v>
      </c>
      <c r="M924" t="str">
        <f t="shared" si="42"/>
        <v>OK</v>
      </c>
      <c r="N924" t="str">
        <f t="shared" si="43"/>
        <v>1980s</v>
      </c>
      <c r="O924" t="str">
        <f t="shared" si="44"/>
        <v>N/A</v>
      </c>
      <c r="P924" t="str">
        <f>VLOOKUP(E924,calculated_fields!$F$4:$G$6,2,FALSE)</f>
        <v>Demographics</v>
      </c>
    </row>
    <row r="925" spans="1:16">
      <c r="A925" t="s">
        <v>1290</v>
      </c>
      <c r="B925" t="s">
        <v>1259</v>
      </c>
      <c r="C925" t="s">
        <v>229</v>
      </c>
      <c r="D925">
        <v>1987</v>
      </c>
      <c r="E925" t="s">
        <v>29</v>
      </c>
      <c r="F925" t="s">
        <v>30</v>
      </c>
      <c r="G925" t="s">
        <v>31</v>
      </c>
      <c r="H925" t="s">
        <v>32</v>
      </c>
      <c r="I925">
        <v>4903.2191000000003</v>
      </c>
      <c r="J925" t="s">
        <v>33</v>
      </c>
      <c r="K925" t="s">
        <v>1288</v>
      </c>
      <c r="L925" t="s">
        <v>21</v>
      </c>
      <c r="M925" t="str">
        <f t="shared" si="42"/>
        <v>OK</v>
      </c>
      <c r="N925" t="str">
        <f t="shared" si="43"/>
        <v>1980s</v>
      </c>
      <c r="O925" t="str">
        <f t="shared" si="44"/>
        <v>N/A</v>
      </c>
      <c r="P925" t="str">
        <f>VLOOKUP(E925,calculated_fields!$F$4:$G$6,2,FALSE)</f>
        <v>Economy</v>
      </c>
    </row>
    <row r="926" spans="1:16">
      <c r="A926" t="s">
        <v>1291</v>
      </c>
      <c r="B926" t="s">
        <v>1259</v>
      </c>
      <c r="C926" t="s">
        <v>229</v>
      </c>
      <c r="D926">
        <v>1992</v>
      </c>
      <c r="E926" t="s">
        <v>15</v>
      </c>
      <c r="F926" t="s">
        <v>16</v>
      </c>
      <c r="G926" t="s">
        <v>17</v>
      </c>
      <c r="H926" t="s">
        <v>18</v>
      </c>
      <c r="I926">
        <v>68.421000000000006</v>
      </c>
      <c r="J926" t="s">
        <v>19</v>
      </c>
      <c r="K926" t="s">
        <v>1292</v>
      </c>
      <c r="L926" t="s">
        <v>21</v>
      </c>
      <c r="M926" t="str">
        <f t="shared" si="42"/>
        <v>OK</v>
      </c>
      <c r="N926" t="str">
        <f t="shared" si="43"/>
        <v>1990s</v>
      </c>
      <c r="O926" t="str">
        <f t="shared" si="44"/>
        <v>Medium</v>
      </c>
      <c r="P926" t="str">
        <f>VLOOKUP(E926,calculated_fields!$F$4:$G$6,2,FALSE)</f>
        <v>Health</v>
      </c>
    </row>
    <row r="927" spans="1:16">
      <c r="A927" t="s">
        <v>1293</v>
      </c>
      <c r="B927" t="s">
        <v>1259</v>
      </c>
      <c r="C927" t="s">
        <v>229</v>
      </c>
      <c r="D927">
        <v>1992</v>
      </c>
      <c r="E927" t="s">
        <v>23</v>
      </c>
      <c r="F927" t="s">
        <v>24</v>
      </c>
      <c r="G927" t="s">
        <v>25</v>
      </c>
      <c r="H927" t="s">
        <v>26</v>
      </c>
      <c r="I927">
        <v>34202721</v>
      </c>
      <c r="J927" t="s">
        <v>27</v>
      </c>
      <c r="K927" t="s">
        <v>1292</v>
      </c>
      <c r="L927" t="s">
        <v>21</v>
      </c>
      <c r="M927" t="str">
        <f t="shared" si="42"/>
        <v>OK</v>
      </c>
      <c r="N927" t="str">
        <f t="shared" si="43"/>
        <v>1990s</v>
      </c>
      <c r="O927" t="str">
        <f t="shared" si="44"/>
        <v>N/A</v>
      </c>
      <c r="P927" t="str">
        <f>VLOOKUP(E927,calculated_fields!$F$4:$G$6,2,FALSE)</f>
        <v>Demographics</v>
      </c>
    </row>
    <row r="928" spans="1:16">
      <c r="A928" t="s">
        <v>1294</v>
      </c>
      <c r="B928" t="s">
        <v>1259</v>
      </c>
      <c r="C928" t="s">
        <v>229</v>
      </c>
      <c r="D928">
        <v>1992</v>
      </c>
      <c r="E928" t="s">
        <v>29</v>
      </c>
      <c r="F928" t="s">
        <v>30</v>
      </c>
      <c r="G928" t="s">
        <v>31</v>
      </c>
      <c r="H928" t="s">
        <v>32</v>
      </c>
      <c r="I928">
        <v>5444.6486169999998</v>
      </c>
      <c r="J928" t="s">
        <v>33</v>
      </c>
      <c r="K928" t="s">
        <v>1292</v>
      </c>
      <c r="L928" t="s">
        <v>21</v>
      </c>
      <c r="M928" t="str">
        <f t="shared" si="42"/>
        <v>OK</v>
      </c>
      <c r="N928" t="str">
        <f t="shared" si="43"/>
        <v>1990s</v>
      </c>
      <c r="O928" t="str">
        <f t="shared" si="44"/>
        <v>N/A</v>
      </c>
      <c r="P928" t="str">
        <f>VLOOKUP(E928,calculated_fields!$F$4:$G$6,2,FALSE)</f>
        <v>Economy</v>
      </c>
    </row>
    <row r="929" spans="1:16">
      <c r="A929" t="s">
        <v>1295</v>
      </c>
      <c r="B929" t="s">
        <v>1259</v>
      </c>
      <c r="C929" t="s">
        <v>229</v>
      </c>
      <c r="D929">
        <v>1997</v>
      </c>
      <c r="E929" t="s">
        <v>15</v>
      </c>
      <c r="F929" t="s">
        <v>16</v>
      </c>
      <c r="G929" t="s">
        <v>17</v>
      </c>
      <c r="H929" t="s">
        <v>18</v>
      </c>
      <c r="I929">
        <v>70.313000000000002</v>
      </c>
      <c r="J929" t="s">
        <v>19</v>
      </c>
      <c r="K929" t="s">
        <v>1296</v>
      </c>
      <c r="L929" t="s">
        <v>21</v>
      </c>
      <c r="M929" t="str">
        <f t="shared" si="42"/>
        <v>OK</v>
      </c>
      <c r="N929" t="str">
        <f t="shared" si="43"/>
        <v>1990s</v>
      </c>
      <c r="O929" t="str">
        <f t="shared" si="44"/>
        <v>High</v>
      </c>
      <c r="P929" t="str">
        <f>VLOOKUP(E929,calculated_fields!$F$4:$G$6,2,FALSE)</f>
        <v>Health</v>
      </c>
    </row>
    <row r="930" spans="1:16">
      <c r="A930" t="s">
        <v>1297</v>
      </c>
      <c r="B930" t="s">
        <v>1259</v>
      </c>
      <c r="C930" t="s">
        <v>229</v>
      </c>
      <c r="D930">
        <v>1997</v>
      </c>
      <c r="E930" t="s">
        <v>23</v>
      </c>
      <c r="F930" t="s">
        <v>24</v>
      </c>
      <c r="G930" t="s">
        <v>25</v>
      </c>
      <c r="H930" t="s">
        <v>26</v>
      </c>
      <c r="I930">
        <v>37657830</v>
      </c>
      <c r="J930" t="s">
        <v>27</v>
      </c>
      <c r="K930" t="s">
        <v>1296</v>
      </c>
      <c r="L930" t="s">
        <v>21</v>
      </c>
      <c r="M930" t="str">
        <f t="shared" si="42"/>
        <v>OK</v>
      </c>
      <c r="N930" t="str">
        <f t="shared" si="43"/>
        <v>1990s</v>
      </c>
      <c r="O930" t="str">
        <f t="shared" si="44"/>
        <v>N/A</v>
      </c>
      <c r="P930" t="str">
        <f>VLOOKUP(E930,calculated_fields!$F$4:$G$6,2,FALSE)</f>
        <v>Demographics</v>
      </c>
    </row>
    <row r="931" spans="1:16">
      <c r="A931" t="s">
        <v>1298</v>
      </c>
      <c r="B931" t="s">
        <v>1259</v>
      </c>
      <c r="C931" t="s">
        <v>229</v>
      </c>
      <c r="D931">
        <v>1997</v>
      </c>
      <c r="E931" t="s">
        <v>29</v>
      </c>
      <c r="F931" t="s">
        <v>30</v>
      </c>
      <c r="G931" t="s">
        <v>31</v>
      </c>
      <c r="H931" t="s">
        <v>32</v>
      </c>
      <c r="I931">
        <v>6117.3617459999996</v>
      </c>
      <c r="J931" t="s">
        <v>33</v>
      </c>
      <c r="K931" t="s">
        <v>1296</v>
      </c>
      <c r="L931" t="s">
        <v>21</v>
      </c>
      <c r="M931" t="str">
        <f t="shared" si="42"/>
        <v>OK</v>
      </c>
      <c r="N931" t="str">
        <f t="shared" si="43"/>
        <v>1990s</v>
      </c>
      <c r="O931" t="str">
        <f t="shared" si="44"/>
        <v>N/A</v>
      </c>
      <c r="P931" t="str">
        <f>VLOOKUP(E931,calculated_fields!$F$4:$G$6,2,FALSE)</f>
        <v>Economy</v>
      </c>
    </row>
    <row r="932" spans="1:16">
      <c r="A932" t="s">
        <v>1299</v>
      </c>
      <c r="B932" t="s">
        <v>1259</v>
      </c>
      <c r="C932" t="s">
        <v>229</v>
      </c>
      <c r="D932">
        <v>2002</v>
      </c>
      <c r="E932" t="s">
        <v>15</v>
      </c>
      <c r="F932" t="s">
        <v>16</v>
      </c>
      <c r="G932" t="s">
        <v>17</v>
      </c>
      <c r="H932" t="s">
        <v>18</v>
      </c>
      <c r="I932">
        <v>71.682000000000002</v>
      </c>
      <c r="J932" t="s">
        <v>19</v>
      </c>
      <c r="K932" t="s">
        <v>1300</v>
      </c>
      <c r="L932" t="s">
        <v>21</v>
      </c>
      <c r="M932" t="str">
        <f t="shared" si="42"/>
        <v>OK</v>
      </c>
      <c r="N932" t="str">
        <f t="shared" si="43"/>
        <v>2000s</v>
      </c>
      <c r="O932" t="str">
        <f t="shared" si="44"/>
        <v>High</v>
      </c>
      <c r="P932" t="str">
        <f>VLOOKUP(E932,calculated_fields!$F$4:$G$6,2,FALSE)</f>
        <v>Health</v>
      </c>
    </row>
    <row r="933" spans="1:16">
      <c r="A933" t="s">
        <v>1301</v>
      </c>
      <c r="B933" t="s">
        <v>1259</v>
      </c>
      <c r="C933" t="s">
        <v>229</v>
      </c>
      <c r="D933">
        <v>2002</v>
      </c>
      <c r="E933" t="s">
        <v>23</v>
      </c>
      <c r="F933" t="s">
        <v>24</v>
      </c>
      <c r="G933" t="s">
        <v>25</v>
      </c>
      <c r="H933" t="s">
        <v>26</v>
      </c>
      <c r="I933">
        <v>41008227</v>
      </c>
      <c r="J933" t="s">
        <v>27</v>
      </c>
      <c r="K933" t="s">
        <v>1300</v>
      </c>
      <c r="L933" t="s">
        <v>21</v>
      </c>
      <c r="M933" t="str">
        <f t="shared" si="42"/>
        <v>OK</v>
      </c>
      <c r="N933" t="str">
        <f t="shared" si="43"/>
        <v>2000s</v>
      </c>
      <c r="O933" t="str">
        <f t="shared" si="44"/>
        <v>N/A</v>
      </c>
      <c r="P933" t="str">
        <f>VLOOKUP(E933,calculated_fields!$F$4:$G$6,2,FALSE)</f>
        <v>Demographics</v>
      </c>
    </row>
    <row r="934" spans="1:16">
      <c r="A934" t="s">
        <v>1302</v>
      </c>
      <c r="B934" t="s">
        <v>1259</v>
      </c>
      <c r="C934" t="s">
        <v>229</v>
      </c>
      <c r="D934">
        <v>2002</v>
      </c>
      <c r="E934" t="s">
        <v>29</v>
      </c>
      <c r="F934" t="s">
        <v>30</v>
      </c>
      <c r="G934" t="s">
        <v>31</v>
      </c>
      <c r="H934" t="s">
        <v>32</v>
      </c>
      <c r="I934">
        <v>5755.2599620000001</v>
      </c>
      <c r="J934" t="s">
        <v>33</v>
      </c>
      <c r="K934" t="s">
        <v>1300</v>
      </c>
      <c r="L934" t="s">
        <v>21</v>
      </c>
      <c r="M934" t="str">
        <f t="shared" si="42"/>
        <v>OK</v>
      </c>
      <c r="N934" t="str">
        <f t="shared" si="43"/>
        <v>2000s</v>
      </c>
      <c r="O934" t="str">
        <f t="shared" si="44"/>
        <v>N/A</v>
      </c>
      <c r="P934" t="str">
        <f>VLOOKUP(E934,calculated_fields!$F$4:$G$6,2,FALSE)</f>
        <v>Economy</v>
      </c>
    </row>
    <row r="935" spans="1:16">
      <c r="A935" t="s">
        <v>1303</v>
      </c>
      <c r="B935" t="s">
        <v>1259</v>
      </c>
      <c r="C935" t="s">
        <v>229</v>
      </c>
      <c r="D935">
        <v>2007</v>
      </c>
      <c r="E935" t="s">
        <v>15</v>
      </c>
      <c r="F935" t="s">
        <v>16</v>
      </c>
      <c r="G935" t="s">
        <v>17</v>
      </c>
      <c r="H935" t="s">
        <v>18</v>
      </c>
      <c r="I935">
        <v>72.888999999999996</v>
      </c>
      <c r="J935" t="s">
        <v>19</v>
      </c>
      <c r="K935" t="s">
        <v>1304</v>
      </c>
      <c r="L935" t="s">
        <v>21</v>
      </c>
      <c r="M935" t="str">
        <f t="shared" si="42"/>
        <v>OK</v>
      </c>
      <c r="N935" t="str">
        <f t="shared" si="43"/>
        <v>2000s</v>
      </c>
      <c r="O935" t="str">
        <f t="shared" si="44"/>
        <v>High</v>
      </c>
      <c r="P935" t="str">
        <f>VLOOKUP(E935,calculated_fields!$F$4:$G$6,2,FALSE)</f>
        <v>Health</v>
      </c>
    </row>
    <row r="936" spans="1:16">
      <c r="A936" t="s">
        <v>1305</v>
      </c>
      <c r="B936" t="s">
        <v>1259</v>
      </c>
      <c r="C936" t="s">
        <v>229</v>
      </c>
      <c r="D936">
        <v>2007</v>
      </c>
      <c r="E936" t="s">
        <v>23</v>
      </c>
      <c r="F936" t="s">
        <v>24</v>
      </c>
      <c r="G936" t="s">
        <v>25</v>
      </c>
      <c r="H936" t="s">
        <v>26</v>
      </c>
      <c r="I936">
        <v>44227550</v>
      </c>
      <c r="J936" t="s">
        <v>27</v>
      </c>
      <c r="K936" t="s">
        <v>1304</v>
      </c>
      <c r="L936" t="s">
        <v>21</v>
      </c>
      <c r="M936" t="str">
        <f t="shared" si="42"/>
        <v>OK</v>
      </c>
      <c r="N936" t="str">
        <f t="shared" si="43"/>
        <v>2000s</v>
      </c>
      <c r="O936" t="str">
        <f t="shared" si="44"/>
        <v>N/A</v>
      </c>
      <c r="P936" t="str">
        <f>VLOOKUP(E936,calculated_fields!$F$4:$G$6,2,FALSE)</f>
        <v>Demographics</v>
      </c>
    </row>
    <row r="937" spans="1:16">
      <c r="A937" t="s">
        <v>1306</v>
      </c>
      <c r="B937" t="s">
        <v>1259</v>
      </c>
      <c r="C937" t="s">
        <v>229</v>
      </c>
      <c r="D937">
        <v>2007</v>
      </c>
      <c r="E937" t="s">
        <v>29</v>
      </c>
      <c r="F937" t="s">
        <v>30</v>
      </c>
      <c r="G937" t="s">
        <v>31</v>
      </c>
      <c r="H937" t="s">
        <v>32</v>
      </c>
      <c r="I937">
        <v>7006.5804189999999</v>
      </c>
      <c r="J937" t="s">
        <v>33</v>
      </c>
      <c r="K937" t="s">
        <v>1304</v>
      </c>
      <c r="L937" t="s">
        <v>21</v>
      </c>
      <c r="M937" t="str">
        <f t="shared" si="42"/>
        <v>OK</v>
      </c>
      <c r="N937" t="str">
        <f t="shared" si="43"/>
        <v>2000s</v>
      </c>
      <c r="O937" t="str">
        <f t="shared" si="44"/>
        <v>N/A</v>
      </c>
      <c r="P937" t="str">
        <f>VLOOKUP(E937,calculated_fields!$F$4:$G$6,2,FALSE)</f>
        <v>Economy</v>
      </c>
    </row>
    <row r="938" spans="1:16">
      <c r="A938" t="s">
        <v>1307</v>
      </c>
      <c r="B938" t="s">
        <v>1308</v>
      </c>
      <c r="C938" t="s">
        <v>130</v>
      </c>
      <c r="D938">
        <v>1952</v>
      </c>
      <c r="E938" t="s">
        <v>15</v>
      </c>
      <c r="F938" t="s">
        <v>16</v>
      </c>
      <c r="G938" t="s">
        <v>17</v>
      </c>
      <c r="H938" t="s">
        <v>18</v>
      </c>
      <c r="I938">
        <v>40.715000000000003</v>
      </c>
      <c r="J938" t="s">
        <v>19</v>
      </c>
      <c r="K938" t="s">
        <v>1309</v>
      </c>
      <c r="L938" t="s">
        <v>21</v>
      </c>
      <c r="M938" t="str">
        <f t="shared" si="42"/>
        <v>OK</v>
      </c>
      <c r="N938" t="str">
        <f t="shared" si="43"/>
        <v>1950s</v>
      </c>
      <c r="O938" t="str">
        <f t="shared" si="44"/>
        <v>Low</v>
      </c>
      <c r="P938" t="str">
        <f>VLOOKUP(E938,calculated_fields!$F$4:$G$6,2,FALSE)</f>
        <v>Health</v>
      </c>
    </row>
    <row r="939" spans="1:16">
      <c r="A939" t="s">
        <v>1310</v>
      </c>
      <c r="B939" t="s">
        <v>1308</v>
      </c>
      <c r="C939" t="s">
        <v>130</v>
      </c>
      <c r="D939">
        <v>1952</v>
      </c>
      <c r="E939" t="s">
        <v>23</v>
      </c>
      <c r="F939" t="s">
        <v>24</v>
      </c>
      <c r="G939" t="s">
        <v>25</v>
      </c>
      <c r="H939" t="s">
        <v>26</v>
      </c>
      <c r="I939">
        <v>153936</v>
      </c>
      <c r="J939" t="s">
        <v>27</v>
      </c>
      <c r="K939" t="s">
        <v>1309</v>
      </c>
      <c r="L939" t="s">
        <v>21</v>
      </c>
      <c r="M939" t="str">
        <f t="shared" si="42"/>
        <v>OK</v>
      </c>
      <c r="N939" t="str">
        <f t="shared" si="43"/>
        <v>1950s</v>
      </c>
      <c r="O939" t="str">
        <f t="shared" si="44"/>
        <v>N/A</v>
      </c>
      <c r="P939" t="str">
        <f>VLOOKUP(E939,calculated_fields!$F$4:$G$6,2,FALSE)</f>
        <v>Demographics</v>
      </c>
    </row>
    <row r="940" spans="1:16">
      <c r="A940" t="s">
        <v>1311</v>
      </c>
      <c r="B940" t="s">
        <v>1308</v>
      </c>
      <c r="C940" t="s">
        <v>130</v>
      </c>
      <c r="D940">
        <v>1952</v>
      </c>
      <c r="E940" t="s">
        <v>29</v>
      </c>
      <c r="F940" t="s">
        <v>30</v>
      </c>
      <c r="G940" t="s">
        <v>31</v>
      </c>
      <c r="H940" t="s">
        <v>32</v>
      </c>
      <c r="I940">
        <v>1102.9909359999999</v>
      </c>
      <c r="J940" t="s">
        <v>33</v>
      </c>
      <c r="K940" t="s">
        <v>1309</v>
      </c>
      <c r="L940" t="s">
        <v>21</v>
      </c>
      <c r="M940" t="str">
        <f t="shared" si="42"/>
        <v>OK</v>
      </c>
      <c r="N940" t="str">
        <f t="shared" si="43"/>
        <v>1950s</v>
      </c>
      <c r="O940" t="str">
        <f t="shared" si="44"/>
        <v>N/A</v>
      </c>
      <c r="P940" t="str">
        <f>VLOOKUP(E940,calculated_fields!$F$4:$G$6,2,FALSE)</f>
        <v>Economy</v>
      </c>
    </row>
    <row r="941" spans="1:16">
      <c r="A941" t="s">
        <v>1312</v>
      </c>
      <c r="B941" t="s">
        <v>1308</v>
      </c>
      <c r="C941" t="s">
        <v>130</v>
      </c>
      <c r="D941">
        <v>1957</v>
      </c>
      <c r="E941" t="s">
        <v>15</v>
      </c>
      <c r="F941" t="s">
        <v>16</v>
      </c>
      <c r="G941" t="s">
        <v>17</v>
      </c>
      <c r="H941" t="s">
        <v>18</v>
      </c>
      <c r="I941">
        <v>42.46</v>
      </c>
      <c r="J941" t="s">
        <v>19</v>
      </c>
      <c r="K941" t="s">
        <v>1313</v>
      </c>
      <c r="L941" t="s">
        <v>21</v>
      </c>
      <c r="M941" t="str">
        <f t="shared" si="42"/>
        <v>OK</v>
      </c>
      <c r="N941" t="str">
        <f t="shared" si="43"/>
        <v>1950s</v>
      </c>
      <c r="O941" t="str">
        <f t="shared" si="44"/>
        <v>Low</v>
      </c>
      <c r="P941" t="str">
        <f>VLOOKUP(E941,calculated_fields!$F$4:$G$6,2,FALSE)</f>
        <v>Health</v>
      </c>
    </row>
    <row r="942" spans="1:16">
      <c r="A942" t="s">
        <v>1314</v>
      </c>
      <c r="B942" t="s">
        <v>1308</v>
      </c>
      <c r="C942" t="s">
        <v>130</v>
      </c>
      <c r="D942">
        <v>1957</v>
      </c>
      <c r="E942" t="s">
        <v>23</v>
      </c>
      <c r="F942" t="s">
        <v>24</v>
      </c>
      <c r="G942" t="s">
        <v>25</v>
      </c>
      <c r="H942" t="s">
        <v>26</v>
      </c>
      <c r="I942">
        <v>170928</v>
      </c>
      <c r="J942" t="s">
        <v>27</v>
      </c>
      <c r="K942" t="s">
        <v>1313</v>
      </c>
      <c r="L942" t="s">
        <v>21</v>
      </c>
      <c r="M942" t="str">
        <f t="shared" si="42"/>
        <v>OK</v>
      </c>
      <c r="N942" t="str">
        <f t="shared" si="43"/>
        <v>1950s</v>
      </c>
      <c r="O942" t="str">
        <f t="shared" si="44"/>
        <v>N/A</v>
      </c>
      <c r="P942" t="str">
        <f>VLOOKUP(E942,calculated_fields!$F$4:$G$6,2,FALSE)</f>
        <v>Demographics</v>
      </c>
    </row>
    <row r="943" spans="1:16">
      <c r="A943" t="s">
        <v>1315</v>
      </c>
      <c r="B943" t="s">
        <v>1308</v>
      </c>
      <c r="C943" t="s">
        <v>130</v>
      </c>
      <c r="D943">
        <v>1957</v>
      </c>
      <c r="E943" t="s">
        <v>29</v>
      </c>
      <c r="F943" t="s">
        <v>30</v>
      </c>
      <c r="G943" t="s">
        <v>31</v>
      </c>
      <c r="H943" t="s">
        <v>32</v>
      </c>
      <c r="I943">
        <v>1211.1485479999999</v>
      </c>
      <c r="J943" t="s">
        <v>33</v>
      </c>
      <c r="K943" t="s">
        <v>1313</v>
      </c>
      <c r="L943" t="s">
        <v>21</v>
      </c>
      <c r="M943" t="str">
        <f t="shared" si="42"/>
        <v>OK</v>
      </c>
      <c r="N943" t="str">
        <f t="shared" si="43"/>
        <v>1950s</v>
      </c>
      <c r="O943" t="str">
        <f t="shared" si="44"/>
        <v>N/A</v>
      </c>
      <c r="P943" t="str">
        <f>VLOOKUP(E943,calculated_fields!$F$4:$G$6,2,FALSE)</f>
        <v>Economy</v>
      </c>
    </row>
    <row r="944" spans="1:16">
      <c r="A944" t="s">
        <v>1316</v>
      </c>
      <c r="B944" t="s">
        <v>1308</v>
      </c>
      <c r="C944" t="s">
        <v>130</v>
      </c>
      <c r="D944">
        <v>1962</v>
      </c>
      <c r="E944" t="s">
        <v>15</v>
      </c>
      <c r="F944" t="s">
        <v>16</v>
      </c>
      <c r="G944" t="s">
        <v>17</v>
      </c>
      <c r="H944" t="s">
        <v>18</v>
      </c>
      <c r="I944">
        <v>44.466999999999999</v>
      </c>
      <c r="J944" t="s">
        <v>19</v>
      </c>
      <c r="K944" t="s">
        <v>1317</v>
      </c>
      <c r="L944" t="s">
        <v>21</v>
      </c>
      <c r="M944" t="str">
        <f t="shared" si="42"/>
        <v>OK</v>
      </c>
      <c r="N944" t="str">
        <f t="shared" si="43"/>
        <v>1960s</v>
      </c>
      <c r="O944" t="str">
        <f t="shared" si="44"/>
        <v>Low</v>
      </c>
      <c r="P944" t="str">
        <f>VLOOKUP(E944,calculated_fields!$F$4:$G$6,2,FALSE)</f>
        <v>Health</v>
      </c>
    </row>
    <row r="945" spans="1:16">
      <c r="A945" t="s">
        <v>1318</v>
      </c>
      <c r="B945" t="s">
        <v>1308</v>
      </c>
      <c r="C945" t="s">
        <v>130</v>
      </c>
      <c r="D945">
        <v>1962</v>
      </c>
      <c r="E945" t="s">
        <v>23</v>
      </c>
      <c r="F945" t="s">
        <v>24</v>
      </c>
      <c r="G945" t="s">
        <v>25</v>
      </c>
      <c r="H945" t="s">
        <v>26</v>
      </c>
      <c r="I945">
        <v>191689</v>
      </c>
      <c r="J945" t="s">
        <v>27</v>
      </c>
      <c r="K945" t="s">
        <v>1317</v>
      </c>
      <c r="L945" t="s">
        <v>21</v>
      </c>
      <c r="M945" t="str">
        <f t="shared" si="42"/>
        <v>OK</v>
      </c>
      <c r="N945" t="str">
        <f t="shared" si="43"/>
        <v>1960s</v>
      </c>
      <c r="O945" t="str">
        <f t="shared" si="44"/>
        <v>N/A</v>
      </c>
      <c r="P945" t="str">
        <f>VLOOKUP(E945,calculated_fields!$F$4:$G$6,2,FALSE)</f>
        <v>Demographics</v>
      </c>
    </row>
    <row r="946" spans="1:16">
      <c r="A946" t="s">
        <v>1319</v>
      </c>
      <c r="B946" t="s">
        <v>1308</v>
      </c>
      <c r="C946" t="s">
        <v>130</v>
      </c>
      <c r="D946">
        <v>1962</v>
      </c>
      <c r="E946" t="s">
        <v>29</v>
      </c>
      <c r="F946" t="s">
        <v>30</v>
      </c>
      <c r="G946" t="s">
        <v>31</v>
      </c>
      <c r="H946" t="s">
        <v>32</v>
      </c>
      <c r="I946">
        <v>1406.6482779999999</v>
      </c>
      <c r="J946" t="s">
        <v>33</v>
      </c>
      <c r="K946" t="s">
        <v>1317</v>
      </c>
      <c r="L946" t="s">
        <v>21</v>
      </c>
      <c r="M946" t="str">
        <f t="shared" si="42"/>
        <v>OK</v>
      </c>
      <c r="N946" t="str">
        <f t="shared" si="43"/>
        <v>1960s</v>
      </c>
      <c r="O946" t="str">
        <f t="shared" si="44"/>
        <v>N/A</v>
      </c>
      <c r="P946" t="str">
        <f>VLOOKUP(E946,calculated_fields!$F$4:$G$6,2,FALSE)</f>
        <v>Economy</v>
      </c>
    </row>
    <row r="947" spans="1:16">
      <c r="A947" t="s">
        <v>1320</v>
      </c>
      <c r="B947" t="s">
        <v>1308</v>
      </c>
      <c r="C947" t="s">
        <v>130</v>
      </c>
      <c r="D947">
        <v>1967</v>
      </c>
      <c r="E947" t="s">
        <v>15</v>
      </c>
      <c r="F947" t="s">
        <v>16</v>
      </c>
      <c r="G947" t="s">
        <v>17</v>
      </c>
      <c r="H947" t="s">
        <v>18</v>
      </c>
      <c r="I947">
        <v>46.472000000000001</v>
      </c>
      <c r="J947" t="s">
        <v>19</v>
      </c>
      <c r="K947" t="s">
        <v>1321</v>
      </c>
      <c r="L947" t="s">
        <v>21</v>
      </c>
      <c r="M947" t="str">
        <f t="shared" si="42"/>
        <v>OK</v>
      </c>
      <c r="N947" t="str">
        <f t="shared" si="43"/>
        <v>1960s</v>
      </c>
      <c r="O947" t="str">
        <f t="shared" si="44"/>
        <v>Low</v>
      </c>
      <c r="P947" t="str">
        <f>VLOOKUP(E947,calculated_fields!$F$4:$G$6,2,FALSE)</f>
        <v>Health</v>
      </c>
    </row>
    <row r="948" spans="1:16">
      <c r="A948" t="s">
        <v>1322</v>
      </c>
      <c r="B948" t="s">
        <v>1308</v>
      </c>
      <c r="C948" t="s">
        <v>130</v>
      </c>
      <c r="D948">
        <v>1967</v>
      </c>
      <c r="E948" t="s">
        <v>23</v>
      </c>
      <c r="F948" t="s">
        <v>24</v>
      </c>
      <c r="G948" t="s">
        <v>25</v>
      </c>
      <c r="H948" t="s">
        <v>26</v>
      </c>
      <c r="I948">
        <v>217378</v>
      </c>
      <c r="J948" t="s">
        <v>27</v>
      </c>
      <c r="K948" t="s">
        <v>1321</v>
      </c>
      <c r="L948" t="s">
        <v>21</v>
      </c>
      <c r="M948" t="str">
        <f t="shared" si="42"/>
        <v>OK</v>
      </c>
      <c r="N948" t="str">
        <f t="shared" si="43"/>
        <v>1960s</v>
      </c>
      <c r="O948" t="str">
        <f t="shared" si="44"/>
        <v>N/A</v>
      </c>
      <c r="P948" t="str">
        <f>VLOOKUP(E948,calculated_fields!$F$4:$G$6,2,FALSE)</f>
        <v>Demographics</v>
      </c>
    </row>
    <row r="949" spans="1:16">
      <c r="A949" t="s">
        <v>1323</v>
      </c>
      <c r="B949" t="s">
        <v>1308</v>
      </c>
      <c r="C949" t="s">
        <v>130</v>
      </c>
      <c r="D949">
        <v>1967</v>
      </c>
      <c r="E949" t="s">
        <v>29</v>
      </c>
      <c r="F949" t="s">
        <v>30</v>
      </c>
      <c r="G949" t="s">
        <v>31</v>
      </c>
      <c r="H949" t="s">
        <v>32</v>
      </c>
      <c r="I949">
        <v>1876.0296430000001</v>
      </c>
      <c r="J949" t="s">
        <v>33</v>
      </c>
      <c r="K949" t="s">
        <v>1321</v>
      </c>
      <c r="L949" t="s">
        <v>21</v>
      </c>
      <c r="M949" t="str">
        <f t="shared" si="42"/>
        <v>OK</v>
      </c>
      <c r="N949" t="str">
        <f t="shared" si="43"/>
        <v>1960s</v>
      </c>
      <c r="O949" t="str">
        <f t="shared" si="44"/>
        <v>N/A</v>
      </c>
      <c r="P949" t="str">
        <f>VLOOKUP(E949,calculated_fields!$F$4:$G$6,2,FALSE)</f>
        <v>Economy</v>
      </c>
    </row>
    <row r="950" spans="1:16">
      <c r="A950" t="s">
        <v>1324</v>
      </c>
      <c r="B950" t="s">
        <v>1308</v>
      </c>
      <c r="C950" t="s">
        <v>130</v>
      </c>
      <c r="D950">
        <v>1972</v>
      </c>
      <c r="E950" t="s">
        <v>15</v>
      </c>
      <c r="F950" t="s">
        <v>16</v>
      </c>
      <c r="G950" t="s">
        <v>17</v>
      </c>
      <c r="H950" t="s">
        <v>18</v>
      </c>
      <c r="I950">
        <v>48.944000000000003</v>
      </c>
      <c r="J950" t="s">
        <v>19</v>
      </c>
      <c r="K950" t="s">
        <v>1325</v>
      </c>
      <c r="L950" t="s">
        <v>21</v>
      </c>
      <c r="M950" t="str">
        <f t="shared" si="42"/>
        <v>OK</v>
      </c>
      <c r="N950" t="str">
        <f t="shared" si="43"/>
        <v>1970s</v>
      </c>
      <c r="O950" t="str">
        <f t="shared" si="44"/>
        <v>Low</v>
      </c>
      <c r="P950" t="str">
        <f>VLOOKUP(E950,calculated_fields!$F$4:$G$6,2,FALSE)</f>
        <v>Health</v>
      </c>
    </row>
    <row r="951" spans="1:16">
      <c r="A951" t="s">
        <v>1326</v>
      </c>
      <c r="B951" t="s">
        <v>1308</v>
      </c>
      <c r="C951" t="s">
        <v>130</v>
      </c>
      <c r="D951">
        <v>1972</v>
      </c>
      <c r="E951" t="s">
        <v>23</v>
      </c>
      <c r="F951" t="s">
        <v>24</v>
      </c>
      <c r="G951" t="s">
        <v>25</v>
      </c>
      <c r="H951" t="s">
        <v>26</v>
      </c>
      <c r="I951">
        <v>250027</v>
      </c>
      <c r="J951" t="s">
        <v>27</v>
      </c>
      <c r="K951" t="s">
        <v>1325</v>
      </c>
      <c r="L951" t="s">
        <v>21</v>
      </c>
      <c r="M951" t="str">
        <f t="shared" si="42"/>
        <v>OK</v>
      </c>
      <c r="N951" t="str">
        <f t="shared" si="43"/>
        <v>1970s</v>
      </c>
      <c r="O951" t="str">
        <f t="shared" si="44"/>
        <v>N/A</v>
      </c>
      <c r="P951" t="str">
        <f>VLOOKUP(E951,calculated_fields!$F$4:$G$6,2,FALSE)</f>
        <v>Demographics</v>
      </c>
    </row>
    <row r="952" spans="1:16">
      <c r="A952" t="s">
        <v>1327</v>
      </c>
      <c r="B952" t="s">
        <v>1308</v>
      </c>
      <c r="C952" t="s">
        <v>130</v>
      </c>
      <c r="D952">
        <v>1972</v>
      </c>
      <c r="E952" t="s">
        <v>29</v>
      </c>
      <c r="F952" t="s">
        <v>30</v>
      </c>
      <c r="G952" t="s">
        <v>31</v>
      </c>
      <c r="H952" t="s">
        <v>32</v>
      </c>
      <c r="I952">
        <v>1937.577675</v>
      </c>
      <c r="J952" t="s">
        <v>33</v>
      </c>
      <c r="K952" t="s">
        <v>1325</v>
      </c>
      <c r="L952" t="s">
        <v>21</v>
      </c>
      <c r="M952" t="str">
        <f t="shared" si="42"/>
        <v>OK</v>
      </c>
      <c r="N952" t="str">
        <f t="shared" si="43"/>
        <v>1970s</v>
      </c>
      <c r="O952" t="str">
        <f t="shared" si="44"/>
        <v>N/A</v>
      </c>
      <c r="P952" t="str">
        <f>VLOOKUP(E952,calculated_fields!$F$4:$G$6,2,FALSE)</f>
        <v>Economy</v>
      </c>
    </row>
    <row r="953" spans="1:16">
      <c r="A953" t="s">
        <v>1328</v>
      </c>
      <c r="B953" t="s">
        <v>1308</v>
      </c>
      <c r="C953" t="s">
        <v>130</v>
      </c>
      <c r="D953">
        <v>1977</v>
      </c>
      <c r="E953" t="s">
        <v>15</v>
      </c>
      <c r="F953" t="s">
        <v>16</v>
      </c>
      <c r="G953" t="s">
        <v>17</v>
      </c>
      <c r="H953" t="s">
        <v>18</v>
      </c>
      <c r="I953">
        <v>50.938999999999901</v>
      </c>
      <c r="J953" t="s">
        <v>19</v>
      </c>
      <c r="K953" t="s">
        <v>1329</v>
      </c>
      <c r="L953" t="s">
        <v>21</v>
      </c>
      <c r="M953" t="str">
        <f t="shared" si="42"/>
        <v>OK</v>
      </c>
      <c r="N953" t="str">
        <f t="shared" si="43"/>
        <v>1970s</v>
      </c>
      <c r="O953" t="str">
        <f t="shared" si="44"/>
        <v>Low</v>
      </c>
      <c r="P953" t="str">
        <f>VLOOKUP(E953,calculated_fields!$F$4:$G$6,2,FALSE)</f>
        <v>Health</v>
      </c>
    </row>
    <row r="954" spans="1:16">
      <c r="A954" t="s">
        <v>1330</v>
      </c>
      <c r="B954" t="s">
        <v>1308</v>
      </c>
      <c r="C954" t="s">
        <v>130</v>
      </c>
      <c r="D954">
        <v>1977</v>
      </c>
      <c r="E954" t="s">
        <v>23</v>
      </c>
      <c r="F954" t="s">
        <v>24</v>
      </c>
      <c r="G954" t="s">
        <v>25</v>
      </c>
      <c r="H954" t="s">
        <v>26</v>
      </c>
      <c r="I954">
        <v>304739</v>
      </c>
      <c r="J954" t="s">
        <v>27</v>
      </c>
      <c r="K954" t="s">
        <v>1329</v>
      </c>
      <c r="L954" t="s">
        <v>21</v>
      </c>
      <c r="M954" t="str">
        <f t="shared" si="42"/>
        <v>OK</v>
      </c>
      <c r="N954" t="str">
        <f t="shared" si="43"/>
        <v>1970s</v>
      </c>
      <c r="O954" t="str">
        <f t="shared" si="44"/>
        <v>N/A</v>
      </c>
      <c r="P954" t="str">
        <f>VLOOKUP(E954,calculated_fields!$F$4:$G$6,2,FALSE)</f>
        <v>Demographics</v>
      </c>
    </row>
    <row r="955" spans="1:16">
      <c r="A955" t="s">
        <v>1331</v>
      </c>
      <c r="B955" t="s">
        <v>1308</v>
      </c>
      <c r="C955" t="s">
        <v>130</v>
      </c>
      <c r="D955">
        <v>1977</v>
      </c>
      <c r="E955" t="s">
        <v>29</v>
      </c>
      <c r="F955" t="s">
        <v>30</v>
      </c>
      <c r="G955" t="s">
        <v>31</v>
      </c>
      <c r="H955" t="s">
        <v>32</v>
      </c>
      <c r="I955">
        <v>1172.6030470000001</v>
      </c>
      <c r="J955" t="s">
        <v>33</v>
      </c>
      <c r="K955" t="s">
        <v>1329</v>
      </c>
      <c r="L955" t="s">
        <v>21</v>
      </c>
      <c r="M955" t="str">
        <f t="shared" si="42"/>
        <v>OK</v>
      </c>
      <c r="N955" t="str">
        <f t="shared" si="43"/>
        <v>1970s</v>
      </c>
      <c r="O955" t="str">
        <f t="shared" si="44"/>
        <v>N/A</v>
      </c>
      <c r="P955" t="str">
        <f>VLOOKUP(E955,calculated_fields!$F$4:$G$6,2,FALSE)</f>
        <v>Economy</v>
      </c>
    </row>
    <row r="956" spans="1:16">
      <c r="A956" t="s">
        <v>1332</v>
      </c>
      <c r="B956" t="s">
        <v>1308</v>
      </c>
      <c r="C956" t="s">
        <v>130</v>
      </c>
      <c r="D956">
        <v>1982</v>
      </c>
      <c r="E956" t="s">
        <v>15</v>
      </c>
      <c r="F956" t="s">
        <v>16</v>
      </c>
      <c r="G956" t="s">
        <v>17</v>
      </c>
      <c r="H956" t="s">
        <v>18</v>
      </c>
      <c r="I956">
        <v>52.933</v>
      </c>
      <c r="J956" t="s">
        <v>19</v>
      </c>
      <c r="K956" t="s">
        <v>1333</v>
      </c>
      <c r="L956" t="s">
        <v>21</v>
      </c>
      <c r="M956" t="str">
        <f t="shared" si="42"/>
        <v>OK</v>
      </c>
      <c r="N956" t="str">
        <f t="shared" si="43"/>
        <v>1980s</v>
      </c>
      <c r="O956" t="str">
        <f t="shared" si="44"/>
        <v>Low</v>
      </c>
      <c r="P956" t="str">
        <f>VLOOKUP(E956,calculated_fields!$F$4:$G$6,2,FALSE)</f>
        <v>Health</v>
      </c>
    </row>
    <row r="957" spans="1:16">
      <c r="A957" t="s">
        <v>1334</v>
      </c>
      <c r="B957" t="s">
        <v>1308</v>
      </c>
      <c r="C957" t="s">
        <v>130</v>
      </c>
      <c r="D957">
        <v>1982</v>
      </c>
      <c r="E957" t="s">
        <v>23</v>
      </c>
      <c r="F957" t="s">
        <v>24</v>
      </c>
      <c r="G957" t="s">
        <v>25</v>
      </c>
      <c r="H957" t="s">
        <v>26</v>
      </c>
      <c r="I957">
        <v>348643</v>
      </c>
      <c r="J957" t="s">
        <v>27</v>
      </c>
      <c r="K957" t="s">
        <v>1333</v>
      </c>
      <c r="L957" t="s">
        <v>21</v>
      </c>
      <c r="M957" t="str">
        <f t="shared" si="42"/>
        <v>OK</v>
      </c>
      <c r="N957" t="str">
        <f t="shared" si="43"/>
        <v>1980s</v>
      </c>
      <c r="O957" t="str">
        <f t="shared" si="44"/>
        <v>N/A</v>
      </c>
      <c r="P957" t="str">
        <f>VLOOKUP(E957,calculated_fields!$F$4:$G$6,2,FALSE)</f>
        <v>Demographics</v>
      </c>
    </row>
    <row r="958" spans="1:16">
      <c r="A958" t="s">
        <v>1335</v>
      </c>
      <c r="B958" t="s">
        <v>1308</v>
      </c>
      <c r="C958" t="s">
        <v>130</v>
      </c>
      <c r="D958">
        <v>1982</v>
      </c>
      <c r="E958" t="s">
        <v>29</v>
      </c>
      <c r="F958" t="s">
        <v>30</v>
      </c>
      <c r="G958" t="s">
        <v>31</v>
      </c>
      <c r="H958" t="s">
        <v>32</v>
      </c>
      <c r="I958">
        <v>1267.100083</v>
      </c>
      <c r="J958" t="s">
        <v>33</v>
      </c>
      <c r="K958" t="s">
        <v>1333</v>
      </c>
      <c r="L958" t="s">
        <v>21</v>
      </c>
      <c r="M958" t="str">
        <f t="shared" si="42"/>
        <v>OK</v>
      </c>
      <c r="N958" t="str">
        <f t="shared" si="43"/>
        <v>1980s</v>
      </c>
      <c r="O958" t="str">
        <f t="shared" si="44"/>
        <v>N/A</v>
      </c>
      <c r="P958" t="str">
        <f>VLOOKUP(E958,calculated_fields!$F$4:$G$6,2,FALSE)</f>
        <v>Economy</v>
      </c>
    </row>
    <row r="959" spans="1:16">
      <c r="A959" t="s">
        <v>1336</v>
      </c>
      <c r="B959" t="s">
        <v>1308</v>
      </c>
      <c r="C959" t="s">
        <v>130</v>
      </c>
      <c r="D959">
        <v>1987</v>
      </c>
      <c r="E959" t="s">
        <v>15</v>
      </c>
      <c r="F959" t="s">
        <v>16</v>
      </c>
      <c r="G959" t="s">
        <v>17</v>
      </c>
      <c r="H959" t="s">
        <v>18</v>
      </c>
      <c r="I959">
        <v>54.926000000000002</v>
      </c>
      <c r="J959" t="s">
        <v>19</v>
      </c>
      <c r="K959" t="s">
        <v>1337</v>
      </c>
      <c r="L959" t="s">
        <v>21</v>
      </c>
      <c r="M959" t="str">
        <f t="shared" si="42"/>
        <v>OK</v>
      </c>
      <c r="N959" t="str">
        <f t="shared" si="43"/>
        <v>1980s</v>
      </c>
      <c r="O959" t="str">
        <f t="shared" si="44"/>
        <v>Low</v>
      </c>
      <c r="P959" t="str">
        <f>VLOOKUP(E959,calculated_fields!$F$4:$G$6,2,FALSE)</f>
        <v>Health</v>
      </c>
    </row>
    <row r="960" spans="1:16">
      <c r="A960" t="s">
        <v>1338</v>
      </c>
      <c r="B960" t="s">
        <v>1308</v>
      </c>
      <c r="C960" t="s">
        <v>130</v>
      </c>
      <c r="D960">
        <v>1987</v>
      </c>
      <c r="E960" t="s">
        <v>23</v>
      </c>
      <c r="F960" t="s">
        <v>24</v>
      </c>
      <c r="G960" t="s">
        <v>25</v>
      </c>
      <c r="H960" t="s">
        <v>26</v>
      </c>
      <c r="I960">
        <v>395114</v>
      </c>
      <c r="J960" t="s">
        <v>27</v>
      </c>
      <c r="K960" t="s">
        <v>1337</v>
      </c>
      <c r="L960" t="s">
        <v>21</v>
      </c>
      <c r="M960" t="str">
        <f t="shared" si="42"/>
        <v>OK</v>
      </c>
      <c r="N960" t="str">
        <f t="shared" si="43"/>
        <v>1980s</v>
      </c>
      <c r="O960" t="str">
        <f t="shared" si="44"/>
        <v>N/A</v>
      </c>
      <c r="P960" t="str">
        <f>VLOOKUP(E960,calculated_fields!$F$4:$G$6,2,FALSE)</f>
        <v>Demographics</v>
      </c>
    </row>
    <row r="961" spans="1:16">
      <c r="A961" t="s">
        <v>1339</v>
      </c>
      <c r="B961" t="s">
        <v>1308</v>
      </c>
      <c r="C961" t="s">
        <v>130</v>
      </c>
      <c r="D961">
        <v>1987</v>
      </c>
      <c r="E961" t="s">
        <v>29</v>
      </c>
      <c r="F961" t="s">
        <v>30</v>
      </c>
      <c r="G961" t="s">
        <v>31</v>
      </c>
      <c r="H961" t="s">
        <v>32</v>
      </c>
      <c r="I961">
        <v>1315.980812</v>
      </c>
      <c r="J961" t="s">
        <v>33</v>
      </c>
      <c r="K961" t="s">
        <v>1337</v>
      </c>
      <c r="L961" t="s">
        <v>21</v>
      </c>
      <c r="M961" t="str">
        <f t="shared" si="42"/>
        <v>OK</v>
      </c>
      <c r="N961" t="str">
        <f t="shared" si="43"/>
        <v>1980s</v>
      </c>
      <c r="O961" t="str">
        <f t="shared" si="44"/>
        <v>N/A</v>
      </c>
      <c r="P961" t="str">
        <f>VLOOKUP(E961,calculated_fields!$F$4:$G$6,2,FALSE)</f>
        <v>Economy</v>
      </c>
    </row>
    <row r="962" spans="1:16">
      <c r="A962" t="s">
        <v>1340</v>
      </c>
      <c r="B962" t="s">
        <v>1308</v>
      </c>
      <c r="C962" t="s">
        <v>130</v>
      </c>
      <c r="D962">
        <v>1992</v>
      </c>
      <c r="E962" t="s">
        <v>15</v>
      </c>
      <c r="F962" t="s">
        <v>16</v>
      </c>
      <c r="G962" t="s">
        <v>17</v>
      </c>
      <c r="H962" t="s">
        <v>18</v>
      </c>
      <c r="I962">
        <v>57.938999999999901</v>
      </c>
      <c r="J962" t="s">
        <v>19</v>
      </c>
      <c r="K962" t="s">
        <v>1341</v>
      </c>
      <c r="L962" t="s">
        <v>21</v>
      </c>
      <c r="M962" t="str">
        <f t="shared" ref="M962:M1025" si="45">IF(AND(ISNUMBER(I962),I962&gt;=0),"OK","Review")</f>
        <v>OK</v>
      </c>
      <c r="N962" t="str">
        <f t="shared" ref="N962:N1025" si="46">FLOOR(D962,10)&amp;"s"</f>
        <v>1990s</v>
      </c>
      <c r="O962" t="str">
        <f t="shared" ref="O962:O1025" si="47">IF(E962="LIFE_EXP",IF(I962&gt;=70,"High",IF(I962&gt;=55,"Medium","Low")),"N/A")</f>
        <v>Medium</v>
      </c>
      <c r="P962" t="str">
        <f>VLOOKUP(E962,calculated_fields!$F$4:$G$6,2,FALSE)</f>
        <v>Health</v>
      </c>
    </row>
    <row r="963" spans="1:16">
      <c r="A963" t="s">
        <v>1342</v>
      </c>
      <c r="B963" t="s">
        <v>1308</v>
      </c>
      <c r="C963" t="s">
        <v>130</v>
      </c>
      <c r="D963">
        <v>1992</v>
      </c>
      <c r="E963" t="s">
        <v>23</v>
      </c>
      <c r="F963" t="s">
        <v>24</v>
      </c>
      <c r="G963" t="s">
        <v>25</v>
      </c>
      <c r="H963" t="s">
        <v>26</v>
      </c>
      <c r="I963">
        <v>454429</v>
      </c>
      <c r="J963" t="s">
        <v>27</v>
      </c>
      <c r="K963" t="s">
        <v>1341</v>
      </c>
      <c r="L963" t="s">
        <v>21</v>
      </c>
      <c r="M963" t="str">
        <f t="shared" si="45"/>
        <v>OK</v>
      </c>
      <c r="N963" t="str">
        <f t="shared" si="46"/>
        <v>1990s</v>
      </c>
      <c r="O963" t="str">
        <f t="shared" si="47"/>
        <v>N/A</v>
      </c>
      <c r="P963" t="str">
        <f>VLOOKUP(E963,calculated_fields!$F$4:$G$6,2,FALSE)</f>
        <v>Demographics</v>
      </c>
    </row>
    <row r="964" spans="1:16">
      <c r="A964" t="s">
        <v>1343</v>
      </c>
      <c r="B964" t="s">
        <v>1308</v>
      </c>
      <c r="C964" t="s">
        <v>130</v>
      </c>
      <c r="D964">
        <v>1992</v>
      </c>
      <c r="E964" t="s">
        <v>29</v>
      </c>
      <c r="F964" t="s">
        <v>30</v>
      </c>
      <c r="G964" t="s">
        <v>31</v>
      </c>
      <c r="H964" t="s">
        <v>32</v>
      </c>
      <c r="I964">
        <v>1246.9073699999999</v>
      </c>
      <c r="J964" t="s">
        <v>33</v>
      </c>
      <c r="K964" t="s">
        <v>1341</v>
      </c>
      <c r="L964" t="s">
        <v>21</v>
      </c>
      <c r="M964" t="str">
        <f t="shared" si="45"/>
        <v>OK</v>
      </c>
      <c r="N964" t="str">
        <f t="shared" si="46"/>
        <v>1990s</v>
      </c>
      <c r="O964" t="str">
        <f t="shared" si="47"/>
        <v>N/A</v>
      </c>
      <c r="P964" t="str">
        <f>VLOOKUP(E964,calculated_fields!$F$4:$G$6,2,FALSE)</f>
        <v>Economy</v>
      </c>
    </row>
    <row r="965" spans="1:16">
      <c r="A965" t="s">
        <v>1344</v>
      </c>
      <c r="B965" t="s">
        <v>1308</v>
      </c>
      <c r="C965" t="s">
        <v>130</v>
      </c>
      <c r="D965">
        <v>1997</v>
      </c>
      <c r="E965" t="s">
        <v>15</v>
      </c>
      <c r="F965" t="s">
        <v>16</v>
      </c>
      <c r="G965" t="s">
        <v>17</v>
      </c>
      <c r="H965" t="s">
        <v>18</v>
      </c>
      <c r="I965">
        <v>60.66</v>
      </c>
      <c r="J965" t="s">
        <v>19</v>
      </c>
      <c r="K965" t="s">
        <v>1345</v>
      </c>
      <c r="L965" t="s">
        <v>21</v>
      </c>
      <c r="M965" t="str">
        <f t="shared" si="45"/>
        <v>OK</v>
      </c>
      <c r="N965" t="str">
        <f t="shared" si="46"/>
        <v>1990s</v>
      </c>
      <c r="O965" t="str">
        <f t="shared" si="47"/>
        <v>Medium</v>
      </c>
      <c r="P965" t="str">
        <f>VLOOKUP(E965,calculated_fields!$F$4:$G$6,2,FALSE)</f>
        <v>Health</v>
      </c>
    </row>
    <row r="966" spans="1:16">
      <c r="A966" t="s">
        <v>1346</v>
      </c>
      <c r="B966" t="s">
        <v>1308</v>
      </c>
      <c r="C966" t="s">
        <v>130</v>
      </c>
      <c r="D966">
        <v>1997</v>
      </c>
      <c r="E966" t="s">
        <v>23</v>
      </c>
      <c r="F966" t="s">
        <v>24</v>
      </c>
      <c r="G966" t="s">
        <v>25</v>
      </c>
      <c r="H966" t="s">
        <v>26</v>
      </c>
      <c r="I966">
        <v>527982</v>
      </c>
      <c r="J966" t="s">
        <v>27</v>
      </c>
      <c r="K966" t="s">
        <v>1345</v>
      </c>
      <c r="L966" t="s">
        <v>21</v>
      </c>
      <c r="M966" t="str">
        <f t="shared" si="45"/>
        <v>OK</v>
      </c>
      <c r="N966" t="str">
        <f t="shared" si="46"/>
        <v>1990s</v>
      </c>
      <c r="O966" t="str">
        <f t="shared" si="47"/>
        <v>N/A</v>
      </c>
      <c r="P966" t="str">
        <f>VLOOKUP(E966,calculated_fields!$F$4:$G$6,2,FALSE)</f>
        <v>Demographics</v>
      </c>
    </row>
    <row r="967" spans="1:16">
      <c r="A967" t="s">
        <v>1347</v>
      </c>
      <c r="B967" t="s">
        <v>1308</v>
      </c>
      <c r="C967" t="s">
        <v>130</v>
      </c>
      <c r="D967">
        <v>1997</v>
      </c>
      <c r="E967" t="s">
        <v>29</v>
      </c>
      <c r="F967" t="s">
        <v>30</v>
      </c>
      <c r="G967" t="s">
        <v>31</v>
      </c>
      <c r="H967" t="s">
        <v>32</v>
      </c>
      <c r="I967">
        <v>1173.6182349999999</v>
      </c>
      <c r="J967" t="s">
        <v>33</v>
      </c>
      <c r="K967" t="s">
        <v>1345</v>
      </c>
      <c r="L967" t="s">
        <v>21</v>
      </c>
      <c r="M967" t="str">
        <f t="shared" si="45"/>
        <v>OK</v>
      </c>
      <c r="N967" t="str">
        <f t="shared" si="46"/>
        <v>1990s</v>
      </c>
      <c r="O967" t="str">
        <f t="shared" si="47"/>
        <v>N/A</v>
      </c>
      <c r="P967" t="str">
        <f>VLOOKUP(E967,calculated_fields!$F$4:$G$6,2,FALSE)</f>
        <v>Economy</v>
      </c>
    </row>
    <row r="968" spans="1:16">
      <c r="A968" t="s">
        <v>1348</v>
      </c>
      <c r="B968" t="s">
        <v>1308</v>
      </c>
      <c r="C968" t="s">
        <v>130</v>
      </c>
      <c r="D968">
        <v>2002</v>
      </c>
      <c r="E968" t="s">
        <v>15</v>
      </c>
      <c r="F968" t="s">
        <v>16</v>
      </c>
      <c r="G968" t="s">
        <v>17</v>
      </c>
      <c r="H968" t="s">
        <v>18</v>
      </c>
      <c r="I968">
        <v>62.973999999999997</v>
      </c>
      <c r="J968" t="s">
        <v>19</v>
      </c>
      <c r="K968" t="s">
        <v>1349</v>
      </c>
      <c r="L968" t="s">
        <v>21</v>
      </c>
      <c r="M968" t="str">
        <f t="shared" si="45"/>
        <v>OK</v>
      </c>
      <c r="N968" t="str">
        <f t="shared" si="46"/>
        <v>2000s</v>
      </c>
      <c r="O968" t="str">
        <f t="shared" si="47"/>
        <v>Medium</v>
      </c>
      <c r="P968" t="str">
        <f>VLOOKUP(E968,calculated_fields!$F$4:$G$6,2,FALSE)</f>
        <v>Health</v>
      </c>
    </row>
    <row r="969" spans="1:16">
      <c r="A969" t="s">
        <v>1350</v>
      </c>
      <c r="B969" t="s">
        <v>1308</v>
      </c>
      <c r="C969" t="s">
        <v>130</v>
      </c>
      <c r="D969">
        <v>2002</v>
      </c>
      <c r="E969" t="s">
        <v>23</v>
      </c>
      <c r="F969" t="s">
        <v>24</v>
      </c>
      <c r="G969" t="s">
        <v>25</v>
      </c>
      <c r="H969" t="s">
        <v>26</v>
      </c>
      <c r="I969">
        <v>614382</v>
      </c>
      <c r="J969" t="s">
        <v>27</v>
      </c>
      <c r="K969" t="s">
        <v>1349</v>
      </c>
      <c r="L969" t="s">
        <v>21</v>
      </c>
      <c r="M969" t="str">
        <f t="shared" si="45"/>
        <v>OK</v>
      </c>
      <c r="N969" t="str">
        <f t="shared" si="46"/>
        <v>2000s</v>
      </c>
      <c r="O969" t="str">
        <f t="shared" si="47"/>
        <v>N/A</v>
      </c>
      <c r="P969" t="str">
        <f>VLOOKUP(E969,calculated_fields!$F$4:$G$6,2,FALSE)</f>
        <v>Demographics</v>
      </c>
    </row>
    <row r="970" spans="1:16">
      <c r="A970" t="s">
        <v>1351</v>
      </c>
      <c r="B970" t="s">
        <v>1308</v>
      </c>
      <c r="C970" t="s">
        <v>130</v>
      </c>
      <c r="D970">
        <v>2002</v>
      </c>
      <c r="E970" t="s">
        <v>29</v>
      </c>
      <c r="F970" t="s">
        <v>30</v>
      </c>
      <c r="G970" t="s">
        <v>31</v>
      </c>
      <c r="H970" t="s">
        <v>32</v>
      </c>
      <c r="I970">
        <v>1075.8115580000001</v>
      </c>
      <c r="J970" t="s">
        <v>33</v>
      </c>
      <c r="K970" t="s">
        <v>1349</v>
      </c>
      <c r="L970" t="s">
        <v>21</v>
      </c>
      <c r="M970" t="str">
        <f t="shared" si="45"/>
        <v>OK</v>
      </c>
      <c r="N970" t="str">
        <f t="shared" si="46"/>
        <v>2000s</v>
      </c>
      <c r="O970" t="str">
        <f t="shared" si="47"/>
        <v>N/A</v>
      </c>
      <c r="P970" t="str">
        <f>VLOOKUP(E970,calculated_fields!$F$4:$G$6,2,FALSE)</f>
        <v>Economy</v>
      </c>
    </row>
    <row r="971" spans="1:16">
      <c r="A971" t="s">
        <v>1352</v>
      </c>
      <c r="B971" t="s">
        <v>1308</v>
      </c>
      <c r="C971" t="s">
        <v>130</v>
      </c>
      <c r="D971">
        <v>2007</v>
      </c>
      <c r="E971" t="s">
        <v>15</v>
      </c>
      <c r="F971" t="s">
        <v>16</v>
      </c>
      <c r="G971" t="s">
        <v>17</v>
      </c>
      <c r="H971" t="s">
        <v>18</v>
      </c>
      <c r="I971">
        <v>65.152000000000001</v>
      </c>
      <c r="J971" t="s">
        <v>19</v>
      </c>
      <c r="K971" t="s">
        <v>1353</v>
      </c>
      <c r="L971" t="s">
        <v>21</v>
      </c>
      <c r="M971" t="str">
        <f t="shared" si="45"/>
        <v>OK</v>
      </c>
      <c r="N971" t="str">
        <f t="shared" si="46"/>
        <v>2000s</v>
      </c>
      <c r="O971" t="str">
        <f t="shared" si="47"/>
        <v>Medium</v>
      </c>
      <c r="P971" t="str">
        <f>VLOOKUP(E971,calculated_fields!$F$4:$G$6,2,FALSE)</f>
        <v>Health</v>
      </c>
    </row>
    <row r="972" spans="1:16">
      <c r="A972" t="s">
        <v>1354</v>
      </c>
      <c r="B972" t="s">
        <v>1308</v>
      </c>
      <c r="C972" t="s">
        <v>130</v>
      </c>
      <c r="D972">
        <v>2007</v>
      </c>
      <c r="E972" t="s">
        <v>23</v>
      </c>
      <c r="F972" t="s">
        <v>24</v>
      </c>
      <c r="G972" t="s">
        <v>25</v>
      </c>
      <c r="H972" t="s">
        <v>26</v>
      </c>
      <c r="I972">
        <v>710960</v>
      </c>
      <c r="J972" t="s">
        <v>27</v>
      </c>
      <c r="K972" t="s">
        <v>1353</v>
      </c>
      <c r="L972" t="s">
        <v>21</v>
      </c>
      <c r="M972" t="str">
        <f t="shared" si="45"/>
        <v>OK</v>
      </c>
      <c r="N972" t="str">
        <f t="shared" si="46"/>
        <v>2000s</v>
      </c>
      <c r="O972" t="str">
        <f t="shared" si="47"/>
        <v>N/A</v>
      </c>
      <c r="P972" t="str">
        <f>VLOOKUP(E972,calculated_fields!$F$4:$G$6,2,FALSE)</f>
        <v>Demographics</v>
      </c>
    </row>
    <row r="973" spans="1:16">
      <c r="A973" t="s">
        <v>1355</v>
      </c>
      <c r="B973" t="s">
        <v>1308</v>
      </c>
      <c r="C973" t="s">
        <v>130</v>
      </c>
      <c r="D973">
        <v>2007</v>
      </c>
      <c r="E973" t="s">
        <v>29</v>
      </c>
      <c r="F973" t="s">
        <v>30</v>
      </c>
      <c r="G973" t="s">
        <v>31</v>
      </c>
      <c r="H973" t="s">
        <v>32</v>
      </c>
      <c r="I973">
        <v>986.14787920000003</v>
      </c>
      <c r="J973" t="s">
        <v>33</v>
      </c>
      <c r="K973" t="s">
        <v>1353</v>
      </c>
      <c r="L973" t="s">
        <v>21</v>
      </c>
      <c r="M973" t="str">
        <f t="shared" si="45"/>
        <v>OK</v>
      </c>
      <c r="N973" t="str">
        <f t="shared" si="46"/>
        <v>2000s</v>
      </c>
      <c r="O973" t="str">
        <f t="shared" si="47"/>
        <v>N/A</v>
      </c>
      <c r="P973" t="str">
        <f>VLOOKUP(E973,calculated_fields!$F$4:$G$6,2,FALSE)</f>
        <v>Economy</v>
      </c>
    </row>
    <row r="974" spans="1:16">
      <c r="A974" t="s">
        <v>1356</v>
      </c>
      <c r="B974" t="s">
        <v>1357</v>
      </c>
      <c r="C974" t="s">
        <v>130</v>
      </c>
      <c r="D974">
        <v>1952</v>
      </c>
      <c r="E974" t="s">
        <v>15</v>
      </c>
      <c r="F974" t="s">
        <v>16</v>
      </c>
      <c r="G974" t="s">
        <v>17</v>
      </c>
      <c r="H974" t="s">
        <v>18</v>
      </c>
      <c r="I974">
        <v>39.143000000000001</v>
      </c>
      <c r="J974" t="s">
        <v>19</v>
      </c>
      <c r="K974" t="s">
        <v>1358</v>
      </c>
      <c r="L974" t="s">
        <v>21</v>
      </c>
      <c r="M974" t="str">
        <f t="shared" si="45"/>
        <v>OK</v>
      </c>
      <c r="N974" t="str">
        <f t="shared" si="46"/>
        <v>1950s</v>
      </c>
      <c r="O974" t="str">
        <f t="shared" si="47"/>
        <v>Low</v>
      </c>
      <c r="P974" t="str">
        <f>VLOOKUP(E974,calculated_fields!$F$4:$G$6,2,FALSE)</f>
        <v>Health</v>
      </c>
    </row>
    <row r="975" spans="1:16">
      <c r="A975" t="s">
        <v>1359</v>
      </c>
      <c r="B975" t="s">
        <v>1357</v>
      </c>
      <c r="C975" t="s">
        <v>130</v>
      </c>
      <c r="D975">
        <v>1952</v>
      </c>
      <c r="E975" t="s">
        <v>23</v>
      </c>
      <c r="F975" t="s">
        <v>24</v>
      </c>
      <c r="G975" t="s">
        <v>25</v>
      </c>
      <c r="H975" t="s">
        <v>26</v>
      </c>
      <c r="I975">
        <v>14100005</v>
      </c>
      <c r="J975" t="s">
        <v>27</v>
      </c>
      <c r="K975" t="s">
        <v>1358</v>
      </c>
      <c r="L975" t="s">
        <v>21</v>
      </c>
      <c r="M975" t="str">
        <f t="shared" si="45"/>
        <v>OK</v>
      </c>
      <c r="N975" t="str">
        <f t="shared" si="46"/>
        <v>1950s</v>
      </c>
      <c r="O975" t="str">
        <f t="shared" si="47"/>
        <v>N/A</v>
      </c>
      <c r="P975" t="str">
        <f>VLOOKUP(E975,calculated_fields!$F$4:$G$6,2,FALSE)</f>
        <v>Demographics</v>
      </c>
    </row>
    <row r="976" spans="1:16">
      <c r="A976" t="s">
        <v>1360</v>
      </c>
      <c r="B976" t="s">
        <v>1357</v>
      </c>
      <c r="C976" t="s">
        <v>130</v>
      </c>
      <c r="D976">
        <v>1952</v>
      </c>
      <c r="E976" t="s">
        <v>29</v>
      </c>
      <c r="F976" t="s">
        <v>30</v>
      </c>
      <c r="G976" t="s">
        <v>31</v>
      </c>
      <c r="H976" t="s">
        <v>32</v>
      </c>
      <c r="I976">
        <v>780.54232569999999</v>
      </c>
      <c r="J976" t="s">
        <v>33</v>
      </c>
      <c r="K976" t="s">
        <v>1358</v>
      </c>
      <c r="L976" t="s">
        <v>21</v>
      </c>
      <c r="M976" t="str">
        <f t="shared" si="45"/>
        <v>OK</v>
      </c>
      <c r="N976" t="str">
        <f t="shared" si="46"/>
        <v>1950s</v>
      </c>
      <c r="O976" t="str">
        <f t="shared" si="47"/>
        <v>N/A</v>
      </c>
      <c r="P976" t="str">
        <f>VLOOKUP(E976,calculated_fields!$F$4:$G$6,2,FALSE)</f>
        <v>Economy</v>
      </c>
    </row>
    <row r="977" spans="1:16">
      <c r="A977" t="s">
        <v>1361</v>
      </c>
      <c r="B977" t="s">
        <v>1357</v>
      </c>
      <c r="C977" t="s">
        <v>130</v>
      </c>
      <c r="D977">
        <v>1957</v>
      </c>
      <c r="E977" t="s">
        <v>15</v>
      </c>
      <c r="F977" t="s">
        <v>16</v>
      </c>
      <c r="G977" t="s">
        <v>17</v>
      </c>
      <c r="H977" t="s">
        <v>18</v>
      </c>
      <c r="I977">
        <v>40.652000000000001</v>
      </c>
      <c r="J977" t="s">
        <v>19</v>
      </c>
      <c r="K977" t="s">
        <v>1362</v>
      </c>
      <c r="L977" t="s">
        <v>21</v>
      </c>
      <c r="M977" t="str">
        <f t="shared" si="45"/>
        <v>OK</v>
      </c>
      <c r="N977" t="str">
        <f t="shared" si="46"/>
        <v>1950s</v>
      </c>
      <c r="O977" t="str">
        <f t="shared" si="47"/>
        <v>Low</v>
      </c>
      <c r="P977" t="str">
        <f>VLOOKUP(E977,calculated_fields!$F$4:$G$6,2,FALSE)</f>
        <v>Health</v>
      </c>
    </row>
    <row r="978" spans="1:16">
      <c r="A978" t="s">
        <v>1363</v>
      </c>
      <c r="B978" t="s">
        <v>1357</v>
      </c>
      <c r="C978" t="s">
        <v>130</v>
      </c>
      <c r="D978">
        <v>1957</v>
      </c>
      <c r="E978" t="s">
        <v>23</v>
      </c>
      <c r="F978" t="s">
        <v>24</v>
      </c>
      <c r="G978" t="s">
        <v>25</v>
      </c>
      <c r="H978" t="s">
        <v>26</v>
      </c>
      <c r="I978">
        <v>15577932</v>
      </c>
      <c r="J978" t="s">
        <v>27</v>
      </c>
      <c r="K978" t="s">
        <v>1362</v>
      </c>
      <c r="L978" t="s">
        <v>21</v>
      </c>
      <c r="M978" t="str">
        <f t="shared" si="45"/>
        <v>OK</v>
      </c>
      <c r="N978" t="str">
        <f t="shared" si="46"/>
        <v>1950s</v>
      </c>
      <c r="O978" t="str">
        <f t="shared" si="47"/>
        <v>N/A</v>
      </c>
      <c r="P978" t="str">
        <f>VLOOKUP(E978,calculated_fields!$F$4:$G$6,2,FALSE)</f>
        <v>Demographics</v>
      </c>
    </row>
    <row r="979" spans="1:16">
      <c r="A979" t="s">
        <v>1364</v>
      </c>
      <c r="B979" t="s">
        <v>1357</v>
      </c>
      <c r="C979" t="s">
        <v>130</v>
      </c>
      <c r="D979">
        <v>1957</v>
      </c>
      <c r="E979" t="s">
        <v>29</v>
      </c>
      <c r="F979" t="s">
        <v>30</v>
      </c>
      <c r="G979" t="s">
        <v>31</v>
      </c>
      <c r="H979" t="s">
        <v>32</v>
      </c>
      <c r="I979">
        <v>905.86023030000001</v>
      </c>
      <c r="J979" t="s">
        <v>33</v>
      </c>
      <c r="K979" t="s">
        <v>1362</v>
      </c>
      <c r="L979" t="s">
        <v>21</v>
      </c>
      <c r="M979" t="str">
        <f t="shared" si="45"/>
        <v>OK</v>
      </c>
      <c r="N979" t="str">
        <f t="shared" si="46"/>
        <v>1950s</v>
      </c>
      <c r="O979" t="str">
        <f t="shared" si="47"/>
        <v>N/A</v>
      </c>
      <c r="P979" t="str">
        <f>VLOOKUP(E979,calculated_fields!$F$4:$G$6,2,FALSE)</f>
        <v>Economy</v>
      </c>
    </row>
    <row r="980" spans="1:16">
      <c r="A980" t="s">
        <v>1365</v>
      </c>
      <c r="B980" t="s">
        <v>1357</v>
      </c>
      <c r="C980" t="s">
        <v>130</v>
      </c>
      <c r="D980">
        <v>1962</v>
      </c>
      <c r="E980" t="s">
        <v>15</v>
      </c>
      <c r="F980" t="s">
        <v>16</v>
      </c>
      <c r="G980" t="s">
        <v>17</v>
      </c>
      <c r="H980" t="s">
        <v>18</v>
      </c>
      <c r="I980">
        <v>42.122</v>
      </c>
      <c r="J980" t="s">
        <v>19</v>
      </c>
      <c r="K980" t="s">
        <v>1366</v>
      </c>
      <c r="L980" t="s">
        <v>21</v>
      </c>
      <c r="M980" t="str">
        <f t="shared" si="45"/>
        <v>OK</v>
      </c>
      <c r="N980" t="str">
        <f t="shared" si="46"/>
        <v>1960s</v>
      </c>
      <c r="O980" t="str">
        <f t="shared" si="47"/>
        <v>Low</v>
      </c>
      <c r="P980" t="str">
        <f>VLOOKUP(E980,calculated_fields!$F$4:$G$6,2,FALSE)</f>
        <v>Health</v>
      </c>
    </row>
    <row r="981" spans="1:16">
      <c r="A981" t="s">
        <v>1367</v>
      </c>
      <c r="B981" t="s">
        <v>1357</v>
      </c>
      <c r="C981" t="s">
        <v>130</v>
      </c>
      <c r="D981">
        <v>1962</v>
      </c>
      <c r="E981" t="s">
        <v>23</v>
      </c>
      <c r="F981" t="s">
        <v>24</v>
      </c>
      <c r="G981" t="s">
        <v>25</v>
      </c>
      <c r="H981" t="s">
        <v>26</v>
      </c>
      <c r="I981">
        <v>17486434</v>
      </c>
      <c r="J981" t="s">
        <v>27</v>
      </c>
      <c r="K981" t="s">
        <v>1366</v>
      </c>
      <c r="L981" t="s">
        <v>21</v>
      </c>
      <c r="M981" t="str">
        <f t="shared" si="45"/>
        <v>OK</v>
      </c>
      <c r="N981" t="str">
        <f t="shared" si="46"/>
        <v>1960s</v>
      </c>
      <c r="O981" t="str">
        <f t="shared" si="47"/>
        <v>N/A</v>
      </c>
      <c r="P981" t="str">
        <f>VLOOKUP(E981,calculated_fields!$F$4:$G$6,2,FALSE)</f>
        <v>Demographics</v>
      </c>
    </row>
    <row r="982" spans="1:16">
      <c r="A982" t="s">
        <v>1368</v>
      </c>
      <c r="B982" t="s">
        <v>1357</v>
      </c>
      <c r="C982" t="s">
        <v>130</v>
      </c>
      <c r="D982">
        <v>1962</v>
      </c>
      <c r="E982" t="s">
        <v>29</v>
      </c>
      <c r="F982" t="s">
        <v>30</v>
      </c>
      <c r="G982" t="s">
        <v>31</v>
      </c>
      <c r="H982" t="s">
        <v>32</v>
      </c>
      <c r="I982">
        <v>896.31463350000001</v>
      </c>
      <c r="J982" t="s">
        <v>33</v>
      </c>
      <c r="K982" t="s">
        <v>1366</v>
      </c>
      <c r="L982" t="s">
        <v>21</v>
      </c>
      <c r="M982" t="str">
        <f t="shared" si="45"/>
        <v>OK</v>
      </c>
      <c r="N982" t="str">
        <f t="shared" si="46"/>
        <v>1960s</v>
      </c>
      <c r="O982" t="str">
        <f t="shared" si="47"/>
        <v>N/A</v>
      </c>
      <c r="P982" t="str">
        <f>VLOOKUP(E982,calculated_fields!$F$4:$G$6,2,FALSE)</f>
        <v>Economy</v>
      </c>
    </row>
    <row r="983" spans="1:16">
      <c r="A983" t="s">
        <v>1369</v>
      </c>
      <c r="B983" t="s">
        <v>1357</v>
      </c>
      <c r="C983" t="s">
        <v>130</v>
      </c>
      <c r="D983">
        <v>1967</v>
      </c>
      <c r="E983" t="s">
        <v>15</v>
      </c>
      <c r="F983" t="s">
        <v>16</v>
      </c>
      <c r="G983" t="s">
        <v>17</v>
      </c>
      <c r="H983" t="s">
        <v>18</v>
      </c>
      <c r="I983">
        <v>44.055999999999997</v>
      </c>
      <c r="J983" t="s">
        <v>19</v>
      </c>
      <c r="K983" t="s">
        <v>1370</v>
      </c>
      <c r="L983" t="s">
        <v>21</v>
      </c>
      <c r="M983" t="str">
        <f t="shared" si="45"/>
        <v>OK</v>
      </c>
      <c r="N983" t="str">
        <f t="shared" si="46"/>
        <v>1960s</v>
      </c>
      <c r="O983" t="str">
        <f t="shared" si="47"/>
        <v>Low</v>
      </c>
      <c r="P983" t="str">
        <f>VLOOKUP(E983,calculated_fields!$F$4:$G$6,2,FALSE)</f>
        <v>Health</v>
      </c>
    </row>
    <row r="984" spans="1:16">
      <c r="A984" t="s">
        <v>1371</v>
      </c>
      <c r="B984" t="s">
        <v>1357</v>
      </c>
      <c r="C984" t="s">
        <v>130</v>
      </c>
      <c r="D984">
        <v>1967</v>
      </c>
      <c r="E984" t="s">
        <v>23</v>
      </c>
      <c r="F984" t="s">
        <v>24</v>
      </c>
      <c r="G984" t="s">
        <v>25</v>
      </c>
      <c r="H984" t="s">
        <v>26</v>
      </c>
      <c r="I984">
        <v>19941073</v>
      </c>
      <c r="J984" t="s">
        <v>27</v>
      </c>
      <c r="K984" t="s">
        <v>1370</v>
      </c>
      <c r="L984" t="s">
        <v>21</v>
      </c>
      <c r="M984" t="str">
        <f t="shared" si="45"/>
        <v>OK</v>
      </c>
      <c r="N984" t="str">
        <f t="shared" si="46"/>
        <v>1960s</v>
      </c>
      <c r="O984" t="str">
        <f t="shared" si="47"/>
        <v>N/A</v>
      </c>
      <c r="P984" t="str">
        <f>VLOOKUP(E984,calculated_fields!$F$4:$G$6,2,FALSE)</f>
        <v>Demographics</v>
      </c>
    </row>
    <row r="985" spans="1:16">
      <c r="A985" t="s">
        <v>1372</v>
      </c>
      <c r="B985" t="s">
        <v>1357</v>
      </c>
      <c r="C985" t="s">
        <v>130</v>
      </c>
      <c r="D985">
        <v>1967</v>
      </c>
      <c r="E985" t="s">
        <v>29</v>
      </c>
      <c r="F985" t="s">
        <v>30</v>
      </c>
      <c r="G985" t="s">
        <v>31</v>
      </c>
      <c r="H985" t="s">
        <v>32</v>
      </c>
      <c r="I985">
        <v>861.59324240000001</v>
      </c>
      <c r="J985" t="s">
        <v>33</v>
      </c>
      <c r="K985" t="s">
        <v>1370</v>
      </c>
      <c r="L985" t="s">
        <v>21</v>
      </c>
      <c r="M985" t="str">
        <f t="shared" si="45"/>
        <v>OK</v>
      </c>
      <c r="N985" t="str">
        <f t="shared" si="46"/>
        <v>1960s</v>
      </c>
      <c r="O985" t="str">
        <f t="shared" si="47"/>
        <v>N/A</v>
      </c>
      <c r="P985" t="str">
        <f>VLOOKUP(E985,calculated_fields!$F$4:$G$6,2,FALSE)</f>
        <v>Economy</v>
      </c>
    </row>
    <row r="986" spans="1:16">
      <c r="A986" t="s">
        <v>1373</v>
      </c>
      <c r="B986" t="s">
        <v>1357</v>
      </c>
      <c r="C986" t="s">
        <v>130</v>
      </c>
      <c r="D986">
        <v>1972</v>
      </c>
      <c r="E986" t="s">
        <v>15</v>
      </c>
      <c r="F986" t="s">
        <v>16</v>
      </c>
      <c r="G986" t="s">
        <v>17</v>
      </c>
      <c r="H986" t="s">
        <v>18</v>
      </c>
      <c r="I986">
        <v>45.988999999999997</v>
      </c>
      <c r="J986" t="s">
        <v>19</v>
      </c>
      <c r="K986" t="s">
        <v>1374</v>
      </c>
      <c r="L986" t="s">
        <v>21</v>
      </c>
      <c r="M986" t="str">
        <f t="shared" si="45"/>
        <v>OK</v>
      </c>
      <c r="N986" t="str">
        <f t="shared" si="46"/>
        <v>1970s</v>
      </c>
      <c r="O986" t="str">
        <f t="shared" si="47"/>
        <v>Low</v>
      </c>
      <c r="P986" t="str">
        <f>VLOOKUP(E986,calculated_fields!$F$4:$G$6,2,FALSE)</f>
        <v>Health</v>
      </c>
    </row>
    <row r="987" spans="1:16">
      <c r="A987" t="s">
        <v>1375</v>
      </c>
      <c r="B987" t="s">
        <v>1357</v>
      </c>
      <c r="C987" t="s">
        <v>130</v>
      </c>
      <c r="D987">
        <v>1972</v>
      </c>
      <c r="E987" t="s">
        <v>23</v>
      </c>
      <c r="F987" t="s">
        <v>24</v>
      </c>
      <c r="G987" t="s">
        <v>25</v>
      </c>
      <c r="H987" t="s">
        <v>26</v>
      </c>
      <c r="I987">
        <v>23007669</v>
      </c>
      <c r="J987" t="s">
        <v>27</v>
      </c>
      <c r="K987" t="s">
        <v>1374</v>
      </c>
      <c r="L987" t="s">
        <v>21</v>
      </c>
      <c r="M987" t="str">
        <f t="shared" si="45"/>
        <v>OK</v>
      </c>
      <c r="N987" t="str">
        <f t="shared" si="46"/>
        <v>1970s</v>
      </c>
      <c r="O987" t="str">
        <f t="shared" si="47"/>
        <v>N/A</v>
      </c>
      <c r="P987" t="str">
        <f>VLOOKUP(E987,calculated_fields!$F$4:$G$6,2,FALSE)</f>
        <v>Demographics</v>
      </c>
    </row>
    <row r="988" spans="1:16">
      <c r="A988" t="s">
        <v>1376</v>
      </c>
      <c r="B988" t="s">
        <v>1357</v>
      </c>
      <c r="C988" t="s">
        <v>130</v>
      </c>
      <c r="D988">
        <v>1972</v>
      </c>
      <c r="E988" t="s">
        <v>29</v>
      </c>
      <c r="F988" t="s">
        <v>30</v>
      </c>
      <c r="G988" t="s">
        <v>31</v>
      </c>
      <c r="H988" t="s">
        <v>32</v>
      </c>
      <c r="I988">
        <v>904.89606849999996</v>
      </c>
      <c r="J988" t="s">
        <v>33</v>
      </c>
      <c r="K988" t="s">
        <v>1374</v>
      </c>
      <c r="L988" t="s">
        <v>21</v>
      </c>
      <c r="M988" t="str">
        <f t="shared" si="45"/>
        <v>OK</v>
      </c>
      <c r="N988" t="str">
        <f t="shared" si="46"/>
        <v>1970s</v>
      </c>
      <c r="O988" t="str">
        <f t="shared" si="47"/>
        <v>N/A</v>
      </c>
      <c r="P988" t="str">
        <f>VLOOKUP(E988,calculated_fields!$F$4:$G$6,2,FALSE)</f>
        <v>Economy</v>
      </c>
    </row>
    <row r="989" spans="1:16">
      <c r="A989" t="s">
        <v>1377</v>
      </c>
      <c r="B989" t="s">
        <v>1357</v>
      </c>
      <c r="C989" t="s">
        <v>130</v>
      </c>
      <c r="D989">
        <v>1977</v>
      </c>
      <c r="E989" t="s">
        <v>15</v>
      </c>
      <c r="F989" t="s">
        <v>16</v>
      </c>
      <c r="G989" t="s">
        <v>17</v>
      </c>
      <c r="H989" t="s">
        <v>18</v>
      </c>
      <c r="I989">
        <v>47.804000000000002</v>
      </c>
      <c r="J989" t="s">
        <v>19</v>
      </c>
      <c r="K989" t="s">
        <v>1378</v>
      </c>
      <c r="L989" t="s">
        <v>21</v>
      </c>
      <c r="M989" t="str">
        <f t="shared" si="45"/>
        <v>OK</v>
      </c>
      <c r="N989" t="str">
        <f t="shared" si="46"/>
        <v>1970s</v>
      </c>
      <c r="O989" t="str">
        <f t="shared" si="47"/>
        <v>Low</v>
      </c>
      <c r="P989" t="str">
        <f>VLOOKUP(E989,calculated_fields!$F$4:$G$6,2,FALSE)</f>
        <v>Health</v>
      </c>
    </row>
    <row r="990" spans="1:16">
      <c r="A990" t="s">
        <v>1379</v>
      </c>
      <c r="B990" t="s">
        <v>1357</v>
      </c>
      <c r="C990" t="s">
        <v>130</v>
      </c>
      <c r="D990">
        <v>1977</v>
      </c>
      <c r="E990" t="s">
        <v>23</v>
      </c>
      <c r="F990" t="s">
        <v>24</v>
      </c>
      <c r="G990" t="s">
        <v>25</v>
      </c>
      <c r="H990" t="s">
        <v>26</v>
      </c>
      <c r="I990">
        <v>26480870</v>
      </c>
      <c r="J990" t="s">
        <v>27</v>
      </c>
      <c r="K990" t="s">
        <v>1378</v>
      </c>
      <c r="L990" t="s">
        <v>21</v>
      </c>
      <c r="M990" t="str">
        <f t="shared" si="45"/>
        <v>OK</v>
      </c>
      <c r="N990" t="str">
        <f t="shared" si="46"/>
        <v>1970s</v>
      </c>
      <c r="O990" t="str">
        <f t="shared" si="47"/>
        <v>N/A</v>
      </c>
      <c r="P990" t="str">
        <f>VLOOKUP(E990,calculated_fields!$F$4:$G$6,2,FALSE)</f>
        <v>Demographics</v>
      </c>
    </row>
    <row r="991" spans="1:16">
      <c r="A991" t="s">
        <v>1380</v>
      </c>
      <c r="B991" t="s">
        <v>1357</v>
      </c>
      <c r="C991" t="s">
        <v>130</v>
      </c>
      <c r="D991">
        <v>1977</v>
      </c>
      <c r="E991" t="s">
        <v>29</v>
      </c>
      <c r="F991" t="s">
        <v>30</v>
      </c>
      <c r="G991" t="s">
        <v>31</v>
      </c>
      <c r="H991" t="s">
        <v>32</v>
      </c>
      <c r="I991">
        <v>795.75728200000003</v>
      </c>
      <c r="J991" t="s">
        <v>33</v>
      </c>
      <c r="K991" t="s">
        <v>1378</v>
      </c>
      <c r="L991" t="s">
        <v>21</v>
      </c>
      <c r="M991" t="str">
        <f t="shared" si="45"/>
        <v>OK</v>
      </c>
      <c r="N991" t="str">
        <f t="shared" si="46"/>
        <v>1970s</v>
      </c>
      <c r="O991" t="str">
        <f t="shared" si="47"/>
        <v>N/A</v>
      </c>
      <c r="P991" t="str">
        <f>VLOOKUP(E991,calculated_fields!$F$4:$G$6,2,FALSE)</f>
        <v>Economy</v>
      </c>
    </row>
    <row r="992" spans="1:16">
      <c r="A992" t="s">
        <v>1381</v>
      </c>
      <c r="B992" t="s">
        <v>1357</v>
      </c>
      <c r="C992" t="s">
        <v>130</v>
      </c>
      <c r="D992">
        <v>1982</v>
      </c>
      <c r="E992" t="s">
        <v>15</v>
      </c>
      <c r="F992" t="s">
        <v>16</v>
      </c>
      <c r="G992" t="s">
        <v>17</v>
      </c>
      <c r="H992" t="s">
        <v>18</v>
      </c>
      <c r="I992">
        <v>47.783999999999999</v>
      </c>
      <c r="J992" t="s">
        <v>19</v>
      </c>
      <c r="K992" t="s">
        <v>1382</v>
      </c>
      <c r="L992" t="s">
        <v>21</v>
      </c>
      <c r="M992" t="str">
        <f t="shared" si="45"/>
        <v>OK</v>
      </c>
      <c r="N992" t="str">
        <f t="shared" si="46"/>
        <v>1980s</v>
      </c>
      <c r="O992" t="str">
        <f t="shared" si="47"/>
        <v>Low</v>
      </c>
      <c r="P992" t="str">
        <f>VLOOKUP(E992,calculated_fields!$F$4:$G$6,2,FALSE)</f>
        <v>Health</v>
      </c>
    </row>
    <row r="993" spans="1:16">
      <c r="A993" t="s">
        <v>1383</v>
      </c>
      <c r="B993" t="s">
        <v>1357</v>
      </c>
      <c r="C993" t="s">
        <v>130</v>
      </c>
      <c r="D993">
        <v>1982</v>
      </c>
      <c r="E993" t="s">
        <v>23</v>
      </c>
      <c r="F993" t="s">
        <v>24</v>
      </c>
      <c r="G993" t="s">
        <v>25</v>
      </c>
      <c r="H993" t="s">
        <v>26</v>
      </c>
      <c r="I993">
        <v>30646495</v>
      </c>
      <c r="J993" t="s">
        <v>27</v>
      </c>
      <c r="K993" t="s">
        <v>1382</v>
      </c>
      <c r="L993" t="s">
        <v>21</v>
      </c>
      <c r="M993" t="str">
        <f t="shared" si="45"/>
        <v>OK</v>
      </c>
      <c r="N993" t="str">
        <f t="shared" si="46"/>
        <v>1980s</v>
      </c>
      <c r="O993" t="str">
        <f t="shared" si="47"/>
        <v>N/A</v>
      </c>
      <c r="P993" t="str">
        <f>VLOOKUP(E993,calculated_fields!$F$4:$G$6,2,FALSE)</f>
        <v>Demographics</v>
      </c>
    </row>
    <row r="994" spans="1:16">
      <c r="A994" t="s">
        <v>1384</v>
      </c>
      <c r="B994" t="s">
        <v>1357</v>
      </c>
      <c r="C994" t="s">
        <v>130</v>
      </c>
      <c r="D994">
        <v>1982</v>
      </c>
      <c r="E994" t="s">
        <v>29</v>
      </c>
      <c r="F994" t="s">
        <v>30</v>
      </c>
      <c r="G994" t="s">
        <v>31</v>
      </c>
      <c r="H994" t="s">
        <v>32</v>
      </c>
      <c r="I994">
        <v>673.74781810000002</v>
      </c>
      <c r="J994" t="s">
        <v>33</v>
      </c>
      <c r="K994" t="s">
        <v>1382</v>
      </c>
      <c r="L994" t="s">
        <v>21</v>
      </c>
      <c r="M994" t="str">
        <f t="shared" si="45"/>
        <v>OK</v>
      </c>
      <c r="N994" t="str">
        <f t="shared" si="46"/>
        <v>1980s</v>
      </c>
      <c r="O994" t="str">
        <f t="shared" si="47"/>
        <v>N/A</v>
      </c>
      <c r="P994" t="str">
        <f>VLOOKUP(E994,calculated_fields!$F$4:$G$6,2,FALSE)</f>
        <v>Economy</v>
      </c>
    </row>
    <row r="995" spans="1:16">
      <c r="A995" t="s">
        <v>1385</v>
      </c>
      <c r="B995" t="s">
        <v>1357</v>
      </c>
      <c r="C995" t="s">
        <v>130</v>
      </c>
      <c r="D995">
        <v>1987</v>
      </c>
      <c r="E995" t="s">
        <v>15</v>
      </c>
      <c r="F995" t="s">
        <v>16</v>
      </c>
      <c r="G995" t="s">
        <v>17</v>
      </c>
      <c r="H995" t="s">
        <v>18</v>
      </c>
      <c r="I995">
        <v>47.411999999999999</v>
      </c>
      <c r="J995" t="s">
        <v>19</v>
      </c>
      <c r="K995" t="s">
        <v>1386</v>
      </c>
      <c r="L995" t="s">
        <v>21</v>
      </c>
      <c r="M995" t="str">
        <f t="shared" si="45"/>
        <v>OK</v>
      </c>
      <c r="N995" t="str">
        <f t="shared" si="46"/>
        <v>1980s</v>
      </c>
      <c r="O995" t="str">
        <f t="shared" si="47"/>
        <v>Low</v>
      </c>
      <c r="P995" t="str">
        <f>VLOOKUP(E995,calculated_fields!$F$4:$G$6,2,FALSE)</f>
        <v>Health</v>
      </c>
    </row>
    <row r="996" spans="1:16">
      <c r="A996" t="s">
        <v>1387</v>
      </c>
      <c r="B996" t="s">
        <v>1357</v>
      </c>
      <c r="C996" t="s">
        <v>130</v>
      </c>
      <c r="D996">
        <v>1987</v>
      </c>
      <c r="E996" t="s">
        <v>23</v>
      </c>
      <c r="F996" t="s">
        <v>24</v>
      </c>
      <c r="G996" t="s">
        <v>25</v>
      </c>
      <c r="H996" t="s">
        <v>26</v>
      </c>
      <c r="I996">
        <v>35481645</v>
      </c>
      <c r="J996" t="s">
        <v>27</v>
      </c>
      <c r="K996" t="s">
        <v>1386</v>
      </c>
      <c r="L996" t="s">
        <v>21</v>
      </c>
      <c r="M996" t="str">
        <f t="shared" si="45"/>
        <v>OK</v>
      </c>
      <c r="N996" t="str">
        <f t="shared" si="46"/>
        <v>1980s</v>
      </c>
      <c r="O996" t="str">
        <f t="shared" si="47"/>
        <v>N/A</v>
      </c>
      <c r="P996" t="str">
        <f>VLOOKUP(E996,calculated_fields!$F$4:$G$6,2,FALSE)</f>
        <v>Demographics</v>
      </c>
    </row>
    <row r="997" spans="1:16">
      <c r="A997" t="s">
        <v>1388</v>
      </c>
      <c r="B997" t="s">
        <v>1357</v>
      </c>
      <c r="C997" t="s">
        <v>130</v>
      </c>
      <c r="D997">
        <v>1987</v>
      </c>
      <c r="E997" t="s">
        <v>29</v>
      </c>
      <c r="F997" t="s">
        <v>30</v>
      </c>
      <c r="G997" t="s">
        <v>31</v>
      </c>
      <c r="H997" t="s">
        <v>32</v>
      </c>
      <c r="I997">
        <v>672.774812</v>
      </c>
      <c r="J997" t="s">
        <v>33</v>
      </c>
      <c r="K997" t="s">
        <v>1386</v>
      </c>
      <c r="L997" t="s">
        <v>21</v>
      </c>
      <c r="M997" t="str">
        <f t="shared" si="45"/>
        <v>OK</v>
      </c>
      <c r="N997" t="str">
        <f t="shared" si="46"/>
        <v>1980s</v>
      </c>
      <c r="O997" t="str">
        <f t="shared" si="47"/>
        <v>N/A</v>
      </c>
      <c r="P997" t="str">
        <f>VLOOKUP(E997,calculated_fields!$F$4:$G$6,2,FALSE)</f>
        <v>Economy</v>
      </c>
    </row>
    <row r="998" spans="1:16">
      <c r="A998" t="s">
        <v>1389</v>
      </c>
      <c r="B998" t="s">
        <v>1357</v>
      </c>
      <c r="C998" t="s">
        <v>130</v>
      </c>
      <c r="D998">
        <v>1992</v>
      </c>
      <c r="E998" t="s">
        <v>15</v>
      </c>
      <c r="F998" t="s">
        <v>16</v>
      </c>
      <c r="G998" t="s">
        <v>17</v>
      </c>
      <c r="H998" t="s">
        <v>18</v>
      </c>
      <c r="I998">
        <v>45.548000000000002</v>
      </c>
      <c r="J998" t="s">
        <v>19</v>
      </c>
      <c r="K998" t="s">
        <v>1390</v>
      </c>
      <c r="L998" t="s">
        <v>21</v>
      </c>
      <c r="M998" t="str">
        <f t="shared" si="45"/>
        <v>OK</v>
      </c>
      <c r="N998" t="str">
        <f t="shared" si="46"/>
        <v>1990s</v>
      </c>
      <c r="O998" t="str">
        <f t="shared" si="47"/>
        <v>Low</v>
      </c>
      <c r="P998" t="str">
        <f>VLOOKUP(E998,calculated_fields!$F$4:$G$6,2,FALSE)</f>
        <v>Health</v>
      </c>
    </row>
    <row r="999" spans="1:16">
      <c r="A999" t="s">
        <v>1391</v>
      </c>
      <c r="B999" t="s">
        <v>1357</v>
      </c>
      <c r="C999" t="s">
        <v>130</v>
      </c>
      <c r="D999">
        <v>1992</v>
      </c>
      <c r="E999" t="s">
        <v>23</v>
      </c>
      <c r="F999" t="s">
        <v>24</v>
      </c>
      <c r="G999" t="s">
        <v>25</v>
      </c>
      <c r="H999" t="s">
        <v>26</v>
      </c>
      <c r="I999">
        <v>41672143</v>
      </c>
      <c r="J999" t="s">
        <v>27</v>
      </c>
      <c r="K999" t="s">
        <v>1390</v>
      </c>
      <c r="L999" t="s">
        <v>21</v>
      </c>
      <c r="M999" t="str">
        <f t="shared" si="45"/>
        <v>OK</v>
      </c>
      <c r="N999" t="str">
        <f t="shared" si="46"/>
        <v>1990s</v>
      </c>
      <c r="O999" t="str">
        <f t="shared" si="47"/>
        <v>N/A</v>
      </c>
      <c r="P999" t="str">
        <f>VLOOKUP(E999,calculated_fields!$F$4:$G$6,2,FALSE)</f>
        <v>Demographics</v>
      </c>
    </row>
    <row r="1000" spans="1:16">
      <c r="A1000" t="s">
        <v>1392</v>
      </c>
      <c r="B1000" t="s">
        <v>1357</v>
      </c>
      <c r="C1000" t="s">
        <v>130</v>
      </c>
      <c r="D1000">
        <v>1992</v>
      </c>
      <c r="E1000" t="s">
        <v>29</v>
      </c>
      <c r="F1000" t="s">
        <v>30</v>
      </c>
      <c r="G1000" t="s">
        <v>31</v>
      </c>
      <c r="H1000" t="s">
        <v>32</v>
      </c>
      <c r="I1000">
        <v>457.71918069999998</v>
      </c>
      <c r="J1000" t="s">
        <v>33</v>
      </c>
      <c r="K1000" t="s">
        <v>1390</v>
      </c>
      <c r="L1000" t="s">
        <v>21</v>
      </c>
      <c r="M1000" t="str">
        <f t="shared" si="45"/>
        <v>OK</v>
      </c>
      <c r="N1000" t="str">
        <f t="shared" si="46"/>
        <v>1990s</v>
      </c>
      <c r="O1000" t="str">
        <f t="shared" si="47"/>
        <v>N/A</v>
      </c>
      <c r="P1000" t="str">
        <f>VLOOKUP(E1000,calculated_fields!$F$4:$G$6,2,FALSE)</f>
        <v>Economy</v>
      </c>
    </row>
    <row r="1001" spans="1:16">
      <c r="A1001" t="s">
        <v>1393</v>
      </c>
      <c r="B1001" t="s">
        <v>1357</v>
      </c>
      <c r="C1001" t="s">
        <v>130</v>
      </c>
      <c r="D1001">
        <v>1997</v>
      </c>
      <c r="E1001" t="s">
        <v>15</v>
      </c>
      <c r="F1001" t="s">
        <v>16</v>
      </c>
      <c r="G1001" t="s">
        <v>17</v>
      </c>
      <c r="H1001" t="s">
        <v>18</v>
      </c>
      <c r="I1001">
        <v>42.587000000000003</v>
      </c>
      <c r="J1001" t="s">
        <v>19</v>
      </c>
      <c r="K1001" t="s">
        <v>1394</v>
      </c>
      <c r="L1001" t="s">
        <v>21</v>
      </c>
      <c r="M1001" t="str">
        <f t="shared" si="45"/>
        <v>OK</v>
      </c>
      <c r="N1001" t="str">
        <f t="shared" si="46"/>
        <v>1990s</v>
      </c>
      <c r="O1001" t="str">
        <f t="shared" si="47"/>
        <v>Low</v>
      </c>
      <c r="P1001" t="str">
        <f>VLOOKUP(E1001,calculated_fields!$F$4:$G$6,2,FALSE)</f>
        <v>Health</v>
      </c>
    </row>
    <row r="1002" spans="1:16">
      <c r="A1002" t="s">
        <v>1395</v>
      </c>
      <c r="B1002" t="s">
        <v>1357</v>
      </c>
      <c r="C1002" t="s">
        <v>130</v>
      </c>
      <c r="D1002">
        <v>1997</v>
      </c>
      <c r="E1002" t="s">
        <v>23</v>
      </c>
      <c r="F1002" t="s">
        <v>24</v>
      </c>
      <c r="G1002" t="s">
        <v>25</v>
      </c>
      <c r="H1002" t="s">
        <v>26</v>
      </c>
      <c r="I1002">
        <v>47798986</v>
      </c>
      <c r="J1002" t="s">
        <v>27</v>
      </c>
      <c r="K1002" t="s">
        <v>1394</v>
      </c>
      <c r="L1002" t="s">
        <v>21</v>
      </c>
      <c r="M1002" t="str">
        <f t="shared" si="45"/>
        <v>OK</v>
      </c>
      <c r="N1002" t="str">
        <f t="shared" si="46"/>
        <v>1990s</v>
      </c>
      <c r="O1002" t="str">
        <f t="shared" si="47"/>
        <v>N/A</v>
      </c>
      <c r="P1002" t="str">
        <f>VLOOKUP(E1002,calculated_fields!$F$4:$G$6,2,FALSE)</f>
        <v>Demographics</v>
      </c>
    </row>
    <row r="1003" spans="1:16">
      <c r="A1003" t="s">
        <v>1396</v>
      </c>
      <c r="B1003" t="s">
        <v>1357</v>
      </c>
      <c r="C1003" t="s">
        <v>130</v>
      </c>
      <c r="D1003">
        <v>1997</v>
      </c>
      <c r="E1003" t="s">
        <v>29</v>
      </c>
      <c r="F1003" t="s">
        <v>30</v>
      </c>
      <c r="G1003" t="s">
        <v>31</v>
      </c>
      <c r="H1003" t="s">
        <v>32</v>
      </c>
      <c r="I1003">
        <v>312.188423</v>
      </c>
      <c r="J1003" t="s">
        <v>33</v>
      </c>
      <c r="K1003" t="s">
        <v>1394</v>
      </c>
      <c r="L1003" t="s">
        <v>21</v>
      </c>
      <c r="M1003" t="str">
        <f t="shared" si="45"/>
        <v>OK</v>
      </c>
      <c r="N1003" t="str">
        <f t="shared" si="46"/>
        <v>1990s</v>
      </c>
      <c r="O1003" t="str">
        <f t="shared" si="47"/>
        <v>N/A</v>
      </c>
      <c r="P1003" t="str">
        <f>VLOOKUP(E1003,calculated_fields!$F$4:$G$6,2,FALSE)</f>
        <v>Economy</v>
      </c>
    </row>
    <row r="1004" spans="1:16">
      <c r="A1004" t="s">
        <v>1397</v>
      </c>
      <c r="B1004" t="s">
        <v>1357</v>
      </c>
      <c r="C1004" t="s">
        <v>130</v>
      </c>
      <c r="D1004">
        <v>2002</v>
      </c>
      <c r="E1004" t="s">
        <v>15</v>
      </c>
      <c r="F1004" t="s">
        <v>16</v>
      </c>
      <c r="G1004" t="s">
        <v>17</v>
      </c>
      <c r="H1004" t="s">
        <v>18</v>
      </c>
      <c r="I1004">
        <v>44.966000000000001</v>
      </c>
      <c r="J1004" t="s">
        <v>19</v>
      </c>
      <c r="K1004" t="s">
        <v>1398</v>
      </c>
      <c r="L1004" t="s">
        <v>21</v>
      </c>
      <c r="M1004" t="str">
        <f t="shared" si="45"/>
        <v>OK</v>
      </c>
      <c r="N1004" t="str">
        <f t="shared" si="46"/>
        <v>2000s</v>
      </c>
      <c r="O1004" t="str">
        <f t="shared" si="47"/>
        <v>Low</v>
      </c>
      <c r="P1004" t="str">
        <f>VLOOKUP(E1004,calculated_fields!$F$4:$G$6,2,FALSE)</f>
        <v>Health</v>
      </c>
    </row>
    <row r="1005" spans="1:16">
      <c r="A1005" t="s">
        <v>1399</v>
      </c>
      <c r="B1005" t="s">
        <v>1357</v>
      </c>
      <c r="C1005" t="s">
        <v>130</v>
      </c>
      <c r="D1005">
        <v>2002</v>
      </c>
      <c r="E1005" t="s">
        <v>23</v>
      </c>
      <c r="F1005" t="s">
        <v>24</v>
      </c>
      <c r="G1005" t="s">
        <v>25</v>
      </c>
      <c r="H1005" t="s">
        <v>26</v>
      </c>
      <c r="I1005">
        <v>55379852</v>
      </c>
      <c r="J1005" t="s">
        <v>27</v>
      </c>
      <c r="K1005" t="s">
        <v>1398</v>
      </c>
      <c r="L1005" t="s">
        <v>21</v>
      </c>
      <c r="M1005" t="str">
        <f t="shared" si="45"/>
        <v>OK</v>
      </c>
      <c r="N1005" t="str">
        <f t="shared" si="46"/>
        <v>2000s</v>
      </c>
      <c r="O1005" t="str">
        <f t="shared" si="47"/>
        <v>N/A</v>
      </c>
      <c r="P1005" t="str">
        <f>VLOOKUP(E1005,calculated_fields!$F$4:$G$6,2,FALSE)</f>
        <v>Demographics</v>
      </c>
    </row>
    <row r="1006" spans="1:16">
      <c r="A1006" t="s">
        <v>1400</v>
      </c>
      <c r="B1006" t="s">
        <v>1357</v>
      </c>
      <c r="C1006" t="s">
        <v>130</v>
      </c>
      <c r="D1006">
        <v>2002</v>
      </c>
      <c r="E1006" t="s">
        <v>29</v>
      </c>
      <c r="F1006" t="s">
        <v>30</v>
      </c>
      <c r="G1006" t="s">
        <v>31</v>
      </c>
      <c r="H1006" t="s">
        <v>32</v>
      </c>
      <c r="I1006">
        <v>241.1658765</v>
      </c>
      <c r="J1006" t="s">
        <v>33</v>
      </c>
      <c r="K1006" t="s">
        <v>1398</v>
      </c>
      <c r="L1006" t="s">
        <v>21</v>
      </c>
      <c r="M1006" t="str">
        <f t="shared" si="45"/>
        <v>OK</v>
      </c>
      <c r="N1006" t="str">
        <f t="shared" si="46"/>
        <v>2000s</v>
      </c>
      <c r="O1006" t="str">
        <f t="shared" si="47"/>
        <v>N/A</v>
      </c>
      <c r="P1006" t="str">
        <f>VLOOKUP(E1006,calculated_fields!$F$4:$G$6,2,FALSE)</f>
        <v>Economy</v>
      </c>
    </row>
    <row r="1007" spans="1:16">
      <c r="A1007" t="s">
        <v>1401</v>
      </c>
      <c r="B1007" t="s">
        <v>1357</v>
      </c>
      <c r="C1007" t="s">
        <v>130</v>
      </c>
      <c r="D1007">
        <v>2007</v>
      </c>
      <c r="E1007" t="s">
        <v>15</v>
      </c>
      <c r="F1007" t="s">
        <v>16</v>
      </c>
      <c r="G1007" t="s">
        <v>17</v>
      </c>
      <c r="H1007" t="s">
        <v>18</v>
      </c>
      <c r="I1007">
        <v>46.462000000000003</v>
      </c>
      <c r="J1007" t="s">
        <v>19</v>
      </c>
      <c r="K1007" t="s">
        <v>1402</v>
      </c>
      <c r="L1007" t="s">
        <v>21</v>
      </c>
      <c r="M1007" t="str">
        <f t="shared" si="45"/>
        <v>OK</v>
      </c>
      <c r="N1007" t="str">
        <f t="shared" si="46"/>
        <v>2000s</v>
      </c>
      <c r="O1007" t="str">
        <f t="shared" si="47"/>
        <v>Low</v>
      </c>
      <c r="P1007" t="str">
        <f>VLOOKUP(E1007,calculated_fields!$F$4:$G$6,2,FALSE)</f>
        <v>Health</v>
      </c>
    </row>
    <row r="1008" spans="1:16">
      <c r="A1008" t="s">
        <v>1403</v>
      </c>
      <c r="B1008" t="s">
        <v>1357</v>
      </c>
      <c r="C1008" t="s">
        <v>130</v>
      </c>
      <c r="D1008">
        <v>2007</v>
      </c>
      <c r="E1008" t="s">
        <v>23</v>
      </c>
      <c r="F1008" t="s">
        <v>24</v>
      </c>
      <c r="G1008" t="s">
        <v>25</v>
      </c>
      <c r="H1008" t="s">
        <v>26</v>
      </c>
      <c r="I1008">
        <v>64606759</v>
      </c>
      <c r="J1008" t="s">
        <v>27</v>
      </c>
      <c r="K1008" t="s">
        <v>1402</v>
      </c>
      <c r="L1008" t="s">
        <v>21</v>
      </c>
      <c r="M1008" t="str">
        <f t="shared" si="45"/>
        <v>OK</v>
      </c>
      <c r="N1008" t="str">
        <f t="shared" si="46"/>
        <v>2000s</v>
      </c>
      <c r="O1008" t="str">
        <f t="shared" si="47"/>
        <v>N/A</v>
      </c>
      <c r="P1008" t="str">
        <f>VLOOKUP(E1008,calculated_fields!$F$4:$G$6,2,FALSE)</f>
        <v>Demographics</v>
      </c>
    </row>
    <row r="1009" spans="1:16">
      <c r="A1009" t="s">
        <v>1404</v>
      </c>
      <c r="B1009" t="s">
        <v>1357</v>
      </c>
      <c r="C1009" t="s">
        <v>130</v>
      </c>
      <c r="D1009">
        <v>2007</v>
      </c>
      <c r="E1009" t="s">
        <v>29</v>
      </c>
      <c r="F1009" t="s">
        <v>30</v>
      </c>
      <c r="G1009" t="s">
        <v>31</v>
      </c>
      <c r="H1009" t="s">
        <v>32</v>
      </c>
      <c r="I1009">
        <v>277.55185870000003</v>
      </c>
      <c r="J1009" t="s">
        <v>33</v>
      </c>
      <c r="K1009" t="s">
        <v>1402</v>
      </c>
      <c r="L1009" t="s">
        <v>21</v>
      </c>
      <c r="M1009" t="str">
        <f t="shared" si="45"/>
        <v>OK</v>
      </c>
      <c r="N1009" t="str">
        <f t="shared" si="46"/>
        <v>2000s</v>
      </c>
      <c r="O1009" t="str">
        <f t="shared" si="47"/>
        <v>N/A</v>
      </c>
      <c r="P1009" t="str">
        <f>VLOOKUP(E1009,calculated_fields!$F$4:$G$6,2,FALSE)</f>
        <v>Economy</v>
      </c>
    </row>
    <row r="1010" spans="1:16">
      <c r="A1010" t="s">
        <v>1405</v>
      </c>
      <c r="B1010" t="s">
        <v>1406</v>
      </c>
      <c r="C1010" t="s">
        <v>130</v>
      </c>
      <c r="D1010">
        <v>1952</v>
      </c>
      <c r="E1010" t="s">
        <v>15</v>
      </c>
      <c r="F1010" t="s">
        <v>16</v>
      </c>
      <c r="G1010" t="s">
        <v>17</v>
      </c>
      <c r="H1010" t="s">
        <v>18</v>
      </c>
      <c r="I1010">
        <v>42.110999999999997</v>
      </c>
      <c r="J1010" t="s">
        <v>19</v>
      </c>
      <c r="K1010" t="s">
        <v>1407</v>
      </c>
      <c r="L1010" t="s">
        <v>21</v>
      </c>
      <c r="M1010" t="str">
        <f t="shared" si="45"/>
        <v>OK</v>
      </c>
      <c r="N1010" t="str">
        <f t="shared" si="46"/>
        <v>1950s</v>
      </c>
      <c r="O1010" t="str">
        <f t="shared" si="47"/>
        <v>Low</v>
      </c>
      <c r="P1010" t="str">
        <f>VLOOKUP(E1010,calculated_fields!$F$4:$G$6,2,FALSE)</f>
        <v>Health</v>
      </c>
    </row>
    <row r="1011" spans="1:16">
      <c r="A1011" t="s">
        <v>1408</v>
      </c>
      <c r="B1011" t="s">
        <v>1406</v>
      </c>
      <c r="C1011" t="s">
        <v>130</v>
      </c>
      <c r="D1011">
        <v>1952</v>
      </c>
      <c r="E1011" t="s">
        <v>23</v>
      </c>
      <c r="F1011" t="s">
        <v>24</v>
      </c>
      <c r="G1011" t="s">
        <v>25</v>
      </c>
      <c r="H1011" t="s">
        <v>26</v>
      </c>
      <c r="I1011">
        <v>854885</v>
      </c>
      <c r="J1011" t="s">
        <v>27</v>
      </c>
      <c r="K1011" t="s">
        <v>1407</v>
      </c>
      <c r="L1011" t="s">
        <v>21</v>
      </c>
      <c r="M1011" t="str">
        <f t="shared" si="45"/>
        <v>OK</v>
      </c>
      <c r="N1011" t="str">
        <f t="shared" si="46"/>
        <v>1950s</v>
      </c>
      <c r="O1011" t="str">
        <f t="shared" si="47"/>
        <v>N/A</v>
      </c>
      <c r="P1011" t="str">
        <f>VLOOKUP(E1011,calculated_fields!$F$4:$G$6,2,FALSE)</f>
        <v>Demographics</v>
      </c>
    </row>
    <row r="1012" spans="1:16">
      <c r="A1012" t="s">
        <v>1409</v>
      </c>
      <c r="B1012" t="s">
        <v>1406</v>
      </c>
      <c r="C1012" t="s">
        <v>130</v>
      </c>
      <c r="D1012">
        <v>1952</v>
      </c>
      <c r="E1012" t="s">
        <v>29</v>
      </c>
      <c r="F1012" t="s">
        <v>30</v>
      </c>
      <c r="G1012" t="s">
        <v>31</v>
      </c>
      <c r="H1012" t="s">
        <v>32</v>
      </c>
      <c r="I1012">
        <v>2125.6214180000002</v>
      </c>
      <c r="J1012" t="s">
        <v>33</v>
      </c>
      <c r="K1012" t="s">
        <v>1407</v>
      </c>
      <c r="L1012" t="s">
        <v>21</v>
      </c>
      <c r="M1012" t="str">
        <f t="shared" si="45"/>
        <v>OK</v>
      </c>
      <c r="N1012" t="str">
        <f t="shared" si="46"/>
        <v>1950s</v>
      </c>
      <c r="O1012" t="str">
        <f t="shared" si="47"/>
        <v>N/A</v>
      </c>
      <c r="P1012" t="str">
        <f>VLOOKUP(E1012,calculated_fields!$F$4:$G$6,2,FALSE)</f>
        <v>Economy</v>
      </c>
    </row>
    <row r="1013" spans="1:16">
      <c r="A1013" t="s">
        <v>1410</v>
      </c>
      <c r="B1013" t="s">
        <v>1406</v>
      </c>
      <c r="C1013" t="s">
        <v>130</v>
      </c>
      <c r="D1013">
        <v>1957</v>
      </c>
      <c r="E1013" t="s">
        <v>15</v>
      </c>
      <c r="F1013" t="s">
        <v>16</v>
      </c>
      <c r="G1013" t="s">
        <v>17</v>
      </c>
      <c r="H1013" t="s">
        <v>18</v>
      </c>
      <c r="I1013">
        <v>45.052999999999997</v>
      </c>
      <c r="J1013" t="s">
        <v>19</v>
      </c>
      <c r="K1013" t="s">
        <v>1411</v>
      </c>
      <c r="L1013" t="s">
        <v>21</v>
      </c>
      <c r="M1013" t="str">
        <f t="shared" si="45"/>
        <v>OK</v>
      </c>
      <c r="N1013" t="str">
        <f t="shared" si="46"/>
        <v>1950s</v>
      </c>
      <c r="O1013" t="str">
        <f t="shared" si="47"/>
        <v>Low</v>
      </c>
      <c r="P1013" t="str">
        <f>VLOOKUP(E1013,calculated_fields!$F$4:$G$6,2,FALSE)</f>
        <v>Health</v>
      </c>
    </row>
    <row r="1014" spans="1:16">
      <c r="A1014" t="s">
        <v>1412</v>
      </c>
      <c r="B1014" t="s">
        <v>1406</v>
      </c>
      <c r="C1014" t="s">
        <v>130</v>
      </c>
      <c r="D1014">
        <v>1957</v>
      </c>
      <c r="E1014" t="s">
        <v>23</v>
      </c>
      <c r="F1014" t="s">
        <v>24</v>
      </c>
      <c r="G1014" t="s">
        <v>25</v>
      </c>
      <c r="H1014" t="s">
        <v>26</v>
      </c>
      <c r="I1014">
        <v>940458</v>
      </c>
      <c r="J1014" t="s">
        <v>27</v>
      </c>
      <c r="K1014" t="s">
        <v>1411</v>
      </c>
      <c r="L1014" t="s">
        <v>21</v>
      </c>
      <c r="M1014" t="str">
        <f t="shared" si="45"/>
        <v>OK</v>
      </c>
      <c r="N1014" t="str">
        <f t="shared" si="46"/>
        <v>1950s</v>
      </c>
      <c r="O1014" t="str">
        <f t="shared" si="47"/>
        <v>N/A</v>
      </c>
      <c r="P1014" t="str">
        <f>VLOOKUP(E1014,calculated_fields!$F$4:$G$6,2,FALSE)</f>
        <v>Demographics</v>
      </c>
    </row>
    <row r="1015" spans="1:16">
      <c r="A1015" t="s">
        <v>1413</v>
      </c>
      <c r="B1015" t="s">
        <v>1406</v>
      </c>
      <c r="C1015" t="s">
        <v>130</v>
      </c>
      <c r="D1015">
        <v>1957</v>
      </c>
      <c r="E1015" t="s">
        <v>29</v>
      </c>
      <c r="F1015" t="s">
        <v>30</v>
      </c>
      <c r="G1015" t="s">
        <v>31</v>
      </c>
      <c r="H1015" t="s">
        <v>32</v>
      </c>
      <c r="I1015">
        <v>2315.056572</v>
      </c>
      <c r="J1015" t="s">
        <v>33</v>
      </c>
      <c r="K1015" t="s">
        <v>1411</v>
      </c>
      <c r="L1015" t="s">
        <v>21</v>
      </c>
      <c r="M1015" t="str">
        <f t="shared" si="45"/>
        <v>OK</v>
      </c>
      <c r="N1015" t="str">
        <f t="shared" si="46"/>
        <v>1950s</v>
      </c>
      <c r="O1015" t="str">
        <f t="shared" si="47"/>
        <v>N/A</v>
      </c>
      <c r="P1015" t="str">
        <f>VLOOKUP(E1015,calculated_fields!$F$4:$G$6,2,FALSE)</f>
        <v>Economy</v>
      </c>
    </row>
    <row r="1016" spans="1:16">
      <c r="A1016" t="s">
        <v>1414</v>
      </c>
      <c r="B1016" t="s">
        <v>1406</v>
      </c>
      <c r="C1016" t="s">
        <v>130</v>
      </c>
      <c r="D1016">
        <v>1962</v>
      </c>
      <c r="E1016" t="s">
        <v>15</v>
      </c>
      <c r="F1016" t="s">
        <v>16</v>
      </c>
      <c r="G1016" t="s">
        <v>17</v>
      </c>
      <c r="H1016" t="s">
        <v>18</v>
      </c>
      <c r="I1016">
        <v>48.435000000000002</v>
      </c>
      <c r="J1016" t="s">
        <v>19</v>
      </c>
      <c r="K1016" t="s">
        <v>1415</v>
      </c>
      <c r="L1016" t="s">
        <v>21</v>
      </c>
      <c r="M1016" t="str">
        <f t="shared" si="45"/>
        <v>OK</v>
      </c>
      <c r="N1016" t="str">
        <f t="shared" si="46"/>
        <v>1960s</v>
      </c>
      <c r="O1016" t="str">
        <f t="shared" si="47"/>
        <v>Low</v>
      </c>
      <c r="P1016" t="str">
        <f>VLOOKUP(E1016,calculated_fields!$F$4:$G$6,2,FALSE)</f>
        <v>Health</v>
      </c>
    </row>
    <row r="1017" spans="1:16">
      <c r="A1017" t="s">
        <v>1416</v>
      </c>
      <c r="B1017" t="s">
        <v>1406</v>
      </c>
      <c r="C1017" t="s">
        <v>130</v>
      </c>
      <c r="D1017">
        <v>1962</v>
      </c>
      <c r="E1017" t="s">
        <v>23</v>
      </c>
      <c r="F1017" t="s">
        <v>24</v>
      </c>
      <c r="G1017" t="s">
        <v>25</v>
      </c>
      <c r="H1017" t="s">
        <v>26</v>
      </c>
      <c r="I1017">
        <v>1047924</v>
      </c>
      <c r="J1017" t="s">
        <v>27</v>
      </c>
      <c r="K1017" t="s">
        <v>1415</v>
      </c>
      <c r="L1017" t="s">
        <v>21</v>
      </c>
      <c r="M1017" t="str">
        <f t="shared" si="45"/>
        <v>OK</v>
      </c>
      <c r="N1017" t="str">
        <f t="shared" si="46"/>
        <v>1960s</v>
      </c>
      <c r="O1017" t="str">
        <f t="shared" si="47"/>
        <v>N/A</v>
      </c>
      <c r="P1017" t="str">
        <f>VLOOKUP(E1017,calculated_fields!$F$4:$G$6,2,FALSE)</f>
        <v>Demographics</v>
      </c>
    </row>
    <row r="1018" spans="1:16">
      <c r="A1018" t="s">
        <v>1417</v>
      </c>
      <c r="B1018" t="s">
        <v>1406</v>
      </c>
      <c r="C1018" t="s">
        <v>130</v>
      </c>
      <c r="D1018">
        <v>1962</v>
      </c>
      <c r="E1018" t="s">
        <v>29</v>
      </c>
      <c r="F1018" t="s">
        <v>30</v>
      </c>
      <c r="G1018" t="s">
        <v>31</v>
      </c>
      <c r="H1018" t="s">
        <v>32</v>
      </c>
      <c r="I1018">
        <v>2464.7831569999998</v>
      </c>
      <c r="J1018" t="s">
        <v>33</v>
      </c>
      <c r="K1018" t="s">
        <v>1415</v>
      </c>
      <c r="L1018" t="s">
        <v>21</v>
      </c>
      <c r="M1018" t="str">
        <f t="shared" si="45"/>
        <v>OK</v>
      </c>
      <c r="N1018" t="str">
        <f t="shared" si="46"/>
        <v>1960s</v>
      </c>
      <c r="O1018" t="str">
        <f t="shared" si="47"/>
        <v>N/A</v>
      </c>
      <c r="P1018" t="str">
        <f>VLOOKUP(E1018,calculated_fields!$F$4:$G$6,2,FALSE)</f>
        <v>Economy</v>
      </c>
    </row>
    <row r="1019" spans="1:16">
      <c r="A1019" t="s">
        <v>1418</v>
      </c>
      <c r="B1019" t="s">
        <v>1406</v>
      </c>
      <c r="C1019" t="s">
        <v>130</v>
      </c>
      <c r="D1019">
        <v>1967</v>
      </c>
      <c r="E1019" t="s">
        <v>15</v>
      </c>
      <c r="F1019" t="s">
        <v>16</v>
      </c>
      <c r="G1019" t="s">
        <v>17</v>
      </c>
      <c r="H1019" t="s">
        <v>18</v>
      </c>
      <c r="I1019">
        <v>52.04</v>
      </c>
      <c r="J1019" t="s">
        <v>19</v>
      </c>
      <c r="K1019" t="s">
        <v>1419</v>
      </c>
      <c r="L1019" t="s">
        <v>21</v>
      </c>
      <c r="M1019" t="str">
        <f t="shared" si="45"/>
        <v>OK</v>
      </c>
      <c r="N1019" t="str">
        <f t="shared" si="46"/>
        <v>1960s</v>
      </c>
      <c r="O1019" t="str">
        <f t="shared" si="47"/>
        <v>Low</v>
      </c>
      <c r="P1019" t="str">
        <f>VLOOKUP(E1019,calculated_fields!$F$4:$G$6,2,FALSE)</f>
        <v>Health</v>
      </c>
    </row>
    <row r="1020" spans="1:16">
      <c r="A1020" t="s">
        <v>1420</v>
      </c>
      <c r="B1020" t="s">
        <v>1406</v>
      </c>
      <c r="C1020" t="s">
        <v>130</v>
      </c>
      <c r="D1020">
        <v>1967</v>
      </c>
      <c r="E1020" t="s">
        <v>23</v>
      </c>
      <c r="F1020" t="s">
        <v>24</v>
      </c>
      <c r="G1020" t="s">
        <v>25</v>
      </c>
      <c r="H1020" t="s">
        <v>26</v>
      </c>
      <c r="I1020">
        <v>1179760</v>
      </c>
      <c r="J1020" t="s">
        <v>27</v>
      </c>
      <c r="K1020" t="s">
        <v>1419</v>
      </c>
      <c r="L1020" t="s">
        <v>21</v>
      </c>
      <c r="M1020" t="str">
        <f t="shared" si="45"/>
        <v>OK</v>
      </c>
      <c r="N1020" t="str">
        <f t="shared" si="46"/>
        <v>1960s</v>
      </c>
      <c r="O1020" t="str">
        <f t="shared" si="47"/>
        <v>N/A</v>
      </c>
      <c r="P1020" t="str">
        <f>VLOOKUP(E1020,calculated_fields!$F$4:$G$6,2,FALSE)</f>
        <v>Demographics</v>
      </c>
    </row>
    <row r="1021" spans="1:16">
      <c r="A1021" t="s">
        <v>1421</v>
      </c>
      <c r="B1021" t="s">
        <v>1406</v>
      </c>
      <c r="C1021" t="s">
        <v>130</v>
      </c>
      <c r="D1021">
        <v>1967</v>
      </c>
      <c r="E1021" t="s">
        <v>29</v>
      </c>
      <c r="F1021" t="s">
        <v>30</v>
      </c>
      <c r="G1021" t="s">
        <v>31</v>
      </c>
      <c r="H1021" t="s">
        <v>32</v>
      </c>
      <c r="I1021">
        <v>2677.9396419999998</v>
      </c>
      <c r="J1021" t="s">
        <v>33</v>
      </c>
      <c r="K1021" t="s">
        <v>1419</v>
      </c>
      <c r="L1021" t="s">
        <v>21</v>
      </c>
      <c r="M1021" t="str">
        <f t="shared" si="45"/>
        <v>OK</v>
      </c>
      <c r="N1021" t="str">
        <f t="shared" si="46"/>
        <v>1960s</v>
      </c>
      <c r="O1021" t="str">
        <f t="shared" si="47"/>
        <v>N/A</v>
      </c>
      <c r="P1021" t="str">
        <f>VLOOKUP(E1021,calculated_fields!$F$4:$G$6,2,FALSE)</f>
        <v>Economy</v>
      </c>
    </row>
    <row r="1022" spans="1:16">
      <c r="A1022" t="s">
        <v>1422</v>
      </c>
      <c r="B1022" t="s">
        <v>1406</v>
      </c>
      <c r="C1022" t="s">
        <v>130</v>
      </c>
      <c r="D1022">
        <v>1972</v>
      </c>
      <c r="E1022" t="s">
        <v>15</v>
      </c>
      <c r="F1022" t="s">
        <v>16</v>
      </c>
      <c r="G1022" t="s">
        <v>17</v>
      </c>
      <c r="H1022" t="s">
        <v>18</v>
      </c>
      <c r="I1022">
        <v>54.906999999999996</v>
      </c>
      <c r="J1022" t="s">
        <v>19</v>
      </c>
      <c r="K1022" t="s">
        <v>1423</v>
      </c>
      <c r="L1022" t="s">
        <v>21</v>
      </c>
      <c r="M1022" t="str">
        <f t="shared" si="45"/>
        <v>OK</v>
      </c>
      <c r="N1022" t="str">
        <f t="shared" si="46"/>
        <v>1970s</v>
      </c>
      <c r="O1022" t="str">
        <f t="shared" si="47"/>
        <v>Low</v>
      </c>
      <c r="P1022" t="str">
        <f>VLOOKUP(E1022,calculated_fields!$F$4:$G$6,2,FALSE)</f>
        <v>Health</v>
      </c>
    </row>
    <row r="1023" spans="1:16">
      <c r="A1023" t="s">
        <v>1424</v>
      </c>
      <c r="B1023" t="s">
        <v>1406</v>
      </c>
      <c r="C1023" t="s">
        <v>130</v>
      </c>
      <c r="D1023">
        <v>1972</v>
      </c>
      <c r="E1023" t="s">
        <v>23</v>
      </c>
      <c r="F1023" t="s">
        <v>24</v>
      </c>
      <c r="G1023" t="s">
        <v>25</v>
      </c>
      <c r="H1023" t="s">
        <v>26</v>
      </c>
      <c r="I1023">
        <v>1340458</v>
      </c>
      <c r="J1023" t="s">
        <v>27</v>
      </c>
      <c r="K1023" t="s">
        <v>1423</v>
      </c>
      <c r="L1023" t="s">
        <v>21</v>
      </c>
      <c r="M1023" t="str">
        <f t="shared" si="45"/>
        <v>OK</v>
      </c>
      <c r="N1023" t="str">
        <f t="shared" si="46"/>
        <v>1970s</v>
      </c>
      <c r="O1023" t="str">
        <f t="shared" si="47"/>
        <v>N/A</v>
      </c>
      <c r="P1023" t="str">
        <f>VLOOKUP(E1023,calculated_fields!$F$4:$G$6,2,FALSE)</f>
        <v>Demographics</v>
      </c>
    </row>
    <row r="1024" spans="1:16">
      <c r="A1024" t="s">
        <v>1425</v>
      </c>
      <c r="B1024" t="s">
        <v>1406</v>
      </c>
      <c r="C1024" t="s">
        <v>130</v>
      </c>
      <c r="D1024">
        <v>1972</v>
      </c>
      <c r="E1024" t="s">
        <v>29</v>
      </c>
      <c r="F1024" t="s">
        <v>30</v>
      </c>
      <c r="G1024" t="s">
        <v>31</v>
      </c>
      <c r="H1024" t="s">
        <v>32</v>
      </c>
      <c r="I1024">
        <v>3213.1526829999998</v>
      </c>
      <c r="J1024" t="s">
        <v>33</v>
      </c>
      <c r="K1024" t="s">
        <v>1423</v>
      </c>
      <c r="L1024" t="s">
        <v>21</v>
      </c>
      <c r="M1024" t="str">
        <f t="shared" si="45"/>
        <v>OK</v>
      </c>
      <c r="N1024" t="str">
        <f t="shared" si="46"/>
        <v>1970s</v>
      </c>
      <c r="O1024" t="str">
        <f t="shared" si="47"/>
        <v>N/A</v>
      </c>
      <c r="P1024" t="str">
        <f>VLOOKUP(E1024,calculated_fields!$F$4:$G$6,2,FALSE)</f>
        <v>Economy</v>
      </c>
    </row>
    <row r="1025" spans="1:16">
      <c r="A1025" t="s">
        <v>1426</v>
      </c>
      <c r="B1025" t="s">
        <v>1406</v>
      </c>
      <c r="C1025" t="s">
        <v>130</v>
      </c>
      <c r="D1025">
        <v>1977</v>
      </c>
      <c r="E1025" t="s">
        <v>15</v>
      </c>
      <c r="F1025" t="s">
        <v>16</v>
      </c>
      <c r="G1025" t="s">
        <v>17</v>
      </c>
      <c r="H1025" t="s">
        <v>18</v>
      </c>
      <c r="I1025">
        <v>55.625</v>
      </c>
      <c r="J1025" t="s">
        <v>19</v>
      </c>
      <c r="K1025" t="s">
        <v>1427</v>
      </c>
      <c r="L1025" t="s">
        <v>21</v>
      </c>
      <c r="M1025" t="str">
        <f t="shared" si="45"/>
        <v>OK</v>
      </c>
      <c r="N1025" t="str">
        <f t="shared" si="46"/>
        <v>1970s</v>
      </c>
      <c r="O1025" t="str">
        <f t="shared" si="47"/>
        <v>Medium</v>
      </c>
      <c r="P1025" t="str">
        <f>VLOOKUP(E1025,calculated_fields!$F$4:$G$6,2,FALSE)</f>
        <v>Health</v>
      </c>
    </row>
    <row r="1026" spans="1:16">
      <c r="A1026" t="s">
        <v>1428</v>
      </c>
      <c r="B1026" t="s">
        <v>1406</v>
      </c>
      <c r="C1026" t="s">
        <v>130</v>
      </c>
      <c r="D1026">
        <v>1977</v>
      </c>
      <c r="E1026" t="s">
        <v>23</v>
      </c>
      <c r="F1026" t="s">
        <v>24</v>
      </c>
      <c r="G1026" t="s">
        <v>25</v>
      </c>
      <c r="H1026" t="s">
        <v>26</v>
      </c>
      <c r="I1026">
        <v>1536769</v>
      </c>
      <c r="J1026" t="s">
        <v>27</v>
      </c>
      <c r="K1026" t="s">
        <v>1427</v>
      </c>
      <c r="L1026" t="s">
        <v>21</v>
      </c>
      <c r="M1026" t="str">
        <f t="shared" ref="M1026:M1089" si="48">IF(AND(ISNUMBER(I1026),I1026&gt;=0),"OK","Review")</f>
        <v>OK</v>
      </c>
      <c r="N1026" t="str">
        <f t="shared" ref="N1026:N1089" si="49">FLOOR(D1026,10)&amp;"s"</f>
        <v>1970s</v>
      </c>
      <c r="O1026" t="str">
        <f t="shared" ref="O1026:O1089" si="50">IF(E1026="LIFE_EXP",IF(I1026&gt;=70,"High",IF(I1026&gt;=55,"Medium","Low")),"N/A")</f>
        <v>N/A</v>
      </c>
      <c r="P1026" t="str">
        <f>VLOOKUP(E1026,calculated_fields!$F$4:$G$6,2,FALSE)</f>
        <v>Demographics</v>
      </c>
    </row>
    <row r="1027" spans="1:16">
      <c r="A1027" t="s">
        <v>1429</v>
      </c>
      <c r="B1027" t="s">
        <v>1406</v>
      </c>
      <c r="C1027" t="s">
        <v>130</v>
      </c>
      <c r="D1027">
        <v>1977</v>
      </c>
      <c r="E1027" t="s">
        <v>29</v>
      </c>
      <c r="F1027" t="s">
        <v>30</v>
      </c>
      <c r="G1027" t="s">
        <v>31</v>
      </c>
      <c r="H1027" t="s">
        <v>32</v>
      </c>
      <c r="I1027">
        <v>3259.1789779999999</v>
      </c>
      <c r="J1027" t="s">
        <v>33</v>
      </c>
      <c r="K1027" t="s">
        <v>1427</v>
      </c>
      <c r="L1027" t="s">
        <v>21</v>
      </c>
      <c r="M1027" t="str">
        <f t="shared" si="48"/>
        <v>OK</v>
      </c>
      <c r="N1027" t="str">
        <f t="shared" si="49"/>
        <v>1970s</v>
      </c>
      <c r="O1027" t="str">
        <f t="shared" si="50"/>
        <v>N/A</v>
      </c>
      <c r="P1027" t="str">
        <f>VLOOKUP(E1027,calculated_fields!$F$4:$G$6,2,FALSE)</f>
        <v>Economy</v>
      </c>
    </row>
    <row r="1028" spans="1:16">
      <c r="A1028" t="s">
        <v>1430</v>
      </c>
      <c r="B1028" t="s">
        <v>1406</v>
      </c>
      <c r="C1028" t="s">
        <v>130</v>
      </c>
      <c r="D1028">
        <v>1982</v>
      </c>
      <c r="E1028" t="s">
        <v>15</v>
      </c>
      <c r="F1028" t="s">
        <v>16</v>
      </c>
      <c r="G1028" t="s">
        <v>17</v>
      </c>
      <c r="H1028" t="s">
        <v>18</v>
      </c>
      <c r="I1028">
        <v>56.695</v>
      </c>
      <c r="J1028" t="s">
        <v>19</v>
      </c>
      <c r="K1028" t="s">
        <v>1431</v>
      </c>
      <c r="L1028" t="s">
        <v>21</v>
      </c>
      <c r="M1028" t="str">
        <f t="shared" si="48"/>
        <v>OK</v>
      </c>
      <c r="N1028" t="str">
        <f t="shared" si="49"/>
        <v>1980s</v>
      </c>
      <c r="O1028" t="str">
        <f t="shared" si="50"/>
        <v>Medium</v>
      </c>
      <c r="P1028" t="str">
        <f>VLOOKUP(E1028,calculated_fields!$F$4:$G$6,2,FALSE)</f>
        <v>Health</v>
      </c>
    </row>
    <row r="1029" spans="1:16">
      <c r="A1029" t="s">
        <v>1432</v>
      </c>
      <c r="B1029" t="s">
        <v>1406</v>
      </c>
      <c r="C1029" t="s">
        <v>130</v>
      </c>
      <c r="D1029">
        <v>1982</v>
      </c>
      <c r="E1029" t="s">
        <v>23</v>
      </c>
      <c r="F1029" t="s">
        <v>24</v>
      </c>
      <c r="G1029" t="s">
        <v>25</v>
      </c>
      <c r="H1029" t="s">
        <v>26</v>
      </c>
      <c r="I1029">
        <v>1774735</v>
      </c>
      <c r="J1029" t="s">
        <v>27</v>
      </c>
      <c r="K1029" t="s">
        <v>1431</v>
      </c>
      <c r="L1029" t="s">
        <v>21</v>
      </c>
      <c r="M1029" t="str">
        <f t="shared" si="48"/>
        <v>OK</v>
      </c>
      <c r="N1029" t="str">
        <f t="shared" si="49"/>
        <v>1980s</v>
      </c>
      <c r="O1029" t="str">
        <f t="shared" si="50"/>
        <v>N/A</v>
      </c>
      <c r="P1029" t="str">
        <f>VLOOKUP(E1029,calculated_fields!$F$4:$G$6,2,FALSE)</f>
        <v>Demographics</v>
      </c>
    </row>
    <row r="1030" spans="1:16">
      <c r="A1030" t="s">
        <v>1433</v>
      </c>
      <c r="B1030" t="s">
        <v>1406</v>
      </c>
      <c r="C1030" t="s">
        <v>130</v>
      </c>
      <c r="D1030">
        <v>1982</v>
      </c>
      <c r="E1030" t="s">
        <v>29</v>
      </c>
      <c r="F1030" t="s">
        <v>30</v>
      </c>
      <c r="G1030" t="s">
        <v>31</v>
      </c>
      <c r="H1030" t="s">
        <v>32</v>
      </c>
      <c r="I1030">
        <v>4879.5075219999999</v>
      </c>
      <c r="J1030" t="s">
        <v>33</v>
      </c>
      <c r="K1030" t="s">
        <v>1431</v>
      </c>
      <c r="L1030" t="s">
        <v>21</v>
      </c>
      <c r="M1030" t="str">
        <f t="shared" si="48"/>
        <v>OK</v>
      </c>
      <c r="N1030" t="str">
        <f t="shared" si="49"/>
        <v>1980s</v>
      </c>
      <c r="O1030" t="str">
        <f t="shared" si="50"/>
        <v>N/A</v>
      </c>
      <c r="P1030" t="str">
        <f>VLOOKUP(E1030,calculated_fields!$F$4:$G$6,2,FALSE)</f>
        <v>Economy</v>
      </c>
    </row>
    <row r="1031" spans="1:16">
      <c r="A1031" t="s">
        <v>1434</v>
      </c>
      <c r="B1031" t="s">
        <v>1406</v>
      </c>
      <c r="C1031" t="s">
        <v>130</v>
      </c>
      <c r="D1031">
        <v>1987</v>
      </c>
      <c r="E1031" t="s">
        <v>15</v>
      </c>
      <c r="F1031" t="s">
        <v>16</v>
      </c>
      <c r="G1031" t="s">
        <v>17</v>
      </c>
      <c r="H1031" t="s">
        <v>18</v>
      </c>
      <c r="I1031">
        <v>57.47</v>
      </c>
      <c r="J1031" t="s">
        <v>19</v>
      </c>
      <c r="K1031" t="s">
        <v>1435</v>
      </c>
      <c r="L1031" t="s">
        <v>21</v>
      </c>
      <c r="M1031" t="str">
        <f t="shared" si="48"/>
        <v>OK</v>
      </c>
      <c r="N1031" t="str">
        <f t="shared" si="49"/>
        <v>1980s</v>
      </c>
      <c r="O1031" t="str">
        <f t="shared" si="50"/>
        <v>Medium</v>
      </c>
      <c r="P1031" t="str">
        <f>VLOOKUP(E1031,calculated_fields!$F$4:$G$6,2,FALSE)</f>
        <v>Health</v>
      </c>
    </row>
    <row r="1032" spans="1:16">
      <c r="A1032" t="s">
        <v>1436</v>
      </c>
      <c r="B1032" t="s">
        <v>1406</v>
      </c>
      <c r="C1032" t="s">
        <v>130</v>
      </c>
      <c r="D1032">
        <v>1987</v>
      </c>
      <c r="E1032" t="s">
        <v>23</v>
      </c>
      <c r="F1032" t="s">
        <v>24</v>
      </c>
      <c r="G1032" t="s">
        <v>25</v>
      </c>
      <c r="H1032" t="s">
        <v>26</v>
      </c>
      <c r="I1032">
        <v>2064095</v>
      </c>
      <c r="J1032" t="s">
        <v>27</v>
      </c>
      <c r="K1032" t="s">
        <v>1435</v>
      </c>
      <c r="L1032" t="s">
        <v>21</v>
      </c>
      <c r="M1032" t="str">
        <f t="shared" si="48"/>
        <v>OK</v>
      </c>
      <c r="N1032" t="str">
        <f t="shared" si="49"/>
        <v>1980s</v>
      </c>
      <c r="O1032" t="str">
        <f t="shared" si="50"/>
        <v>N/A</v>
      </c>
      <c r="P1032" t="str">
        <f>VLOOKUP(E1032,calculated_fields!$F$4:$G$6,2,FALSE)</f>
        <v>Demographics</v>
      </c>
    </row>
    <row r="1033" spans="1:16">
      <c r="A1033" t="s">
        <v>1437</v>
      </c>
      <c r="B1033" t="s">
        <v>1406</v>
      </c>
      <c r="C1033" t="s">
        <v>130</v>
      </c>
      <c r="D1033">
        <v>1987</v>
      </c>
      <c r="E1033" t="s">
        <v>29</v>
      </c>
      <c r="F1033" t="s">
        <v>30</v>
      </c>
      <c r="G1033" t="s">
        <v>31</v>
      </c>
      <c r="H1033" t="s">
        <v>32</v>
      </c>
      <c r="I1033">
        <v>4201.1949369999902</v>
      </c>
      <c r="J1033" t="s">
        <v>33</v>
      </c>
      <c r="K1033" t="s">
        <v>1435</v>
      </c>
      <c r="L1033" t="s">
        <v>21</v>
      </c>
      <c r="M1033" t="str">
        <f t="shared" si="48"/>
        <v>OK</v>
      </c>
      <c r="N1033" t="str">
        <f t="shared" si="49"/>
        <v>1980s</v>
      </c>
      <c r="O1033" t="str">
        <f t="shared" si="50"/>
        <v>N/A</v>
      </c>
      <c r="P1033" t="str">
        <f>VLOOKUP(E1033,calculated_fields!$F$4:$G$6,2,FALSE)</f>
        <v>Economy</v>
      </c>
    </row>
    <row r="1034" spans="1:16">
      <c r="A1034" t="s">
        <v>1438</v>
      </c>
      <c r="B1034" t="s">
        <v>1406</v>
      </c>
      <c r="C1034" t="s">
        <v>130</v>
      </c>
      <c r="D1034">
        <v>1992</v>
      </c>
      <c r="E1034" t="s">
        <v>15</v>
      </c>
      <c r="F1034" t="s">
        <v>16</v>
      </c>
      <c r="G1034" t="s">
        <v>17</v>
      </c>
      <c r="H1034" t="s">
        <v>18</v>
      </c>
      <c r="I1034">
        <v>56.433</v>
      </c>
      <c r="J1034" t="s">
        <v>19</v>
      </c>
      <c r="K1034" t="s">
        <v>1439</v>
      </c>
      <c r="L1034" t="s">
        <v>21</v>
      </c>
      <c r="M1034" t="str">
        <f t="shared" si="48"/>
        <v>OK</v>
      </c>
      <c r="N1034" t="str">
        <f t="shared" si="49"/>
        <v>1990s</v>
      </c>
      <c r="O1034" t="str">
        <f t="shared" si="50"/>
        <v>Medium</v>
      </c>
      <c r="P1034" t="str">
        <f>VLOOKUP(E1034,calculated_fields!$F$4:$G$6,2,FALSE)</f>
        <v>Health</v>
      </c>
    </row>
    <row r="1035" spans="1:16">
      <c r="A1035" t="s">
        <v>1440</v>
      </c>
      <c r="B1035" t="s">
        <v>1406</v>
      </c>
      <c r="C1035" t="s">
        <v>130</v>
      </c>
      <c r="D1035">
        <v>1992</v>
      </c>
      <c r="E1035" t="s">
        <v>23</v>
      </c>
      <c r="F1035" t="s">
        <v>24</v>
      </c>
      <c r="G1035" t="s">
        <v>25</v>
      </c>
      <c r="H1035" t="s">
        <v>26</v>
      </c>
      <c r="I1035">
        <v>2409073</v>
      </c>
      <c r="J1035" t="s">
        <v>27</v>
      </c>
      <c r="K1035" t="s">
        <v>1439</v>
      </c>
      <c r="L1035" t="s">
        <v>21</v>
      </c>
      <c r="M1035" t="str">
        <f t="shared" si="48"/>
        <v>OK</v>
      </c>
      <c r="N1035" t="str">
        <f t="shared" si="49"/>
        <v>1990s</v>
      </c>
      <c r="O1035" t="str">
        <f t="shared" si="50"/>
        <v>N/A</v>
      </c>
      <c r="P1035" t="str">
        <f>VLOOKUP(E1035,calculated_fields!$F$4:$G$6,2,FALSE)</f>
        <v>Demographics</v>
      </c>
    </row>
    <row r="1036" spans="1:16">
      <c r="A1036" t="s">
        <v>1441</v>
      </c>
      <c r="B1036" t="s">
        <v>1406</v>
      </c>
      <c r="C1036" t="s">
        <v>130</v>
      </c>
      <c r="D1036">
        <v>1992</v>
      </c>
      <c r="E1036" t="s">
        <v>29</v>
      </c>
      <c r="F1036" t="s">
        <v>30</v>
      </c>
      <c r="G1036" t="s">
        <v>31</v>
      </c>
      <c r="H1036" t="s">
        <v>32</v>
      </c>
      <c r="I1036">
        <v>4016.2395289999999</v>
      </c>
      <c r="J1036" t="s">
        <v>33</v>
      </c>
      <c r="K1036" t="s">
        <v>1439</v>
      </c>
      <c r="L1036" t="s">
        <v>21</v>
      </c>
      <c r="M1036" t="str">
        <f t="shared" si="48"/>
        <v>OK</v>
      </c>
      <c r="N1036" t="str">
        <f t="shared" si="49"/>
        <v>1990s</v>
      </c>
      <c r="O1036" t="str">
        <f t="shared" si="50"/>
        <v>N/A</v>
      </c>
      <c r="P1036" t="str">
        <f>VLOOKUP(E1036,calculated_fields!$F$4:$G$6,2,FALSE)</f>
        <v>Economy</v>
      </c>
    </row>
    <row r="1037" spans="1:16">
      <c r="A1037" t="s">
        <v>1442</v>
      </c>
      <c r="B1037" t="s">
        <v>1406</v>
      </c>
      <c r="C1037" t="s">
        <v>130</v>
      </c>
      <c r="D1037">
        <v>1997</v>
      </c>
      <c r="E1037" t="s">
        <v>15</v>
      </c>
      <c r="F1037" t="s">
        <v>16</v>
      </c>
      <c r="G1037" t="s">
        <v>17</v>
      </c>
      <c r="H1037" t="s">
        <v>18</v>
      </c>
      <c r="I1037">
        <v>52.962000000000003</v>
      </c>
      <c r="J1037" t="s">
        <v>19</v>
      </c>
      <c r="K1037" t="s">
        <v>1443</v>
      </c>
      <c r="L1037" t="s">
        <v>21</v>
      </c>
      <c r="M1037" t="str">
        <f t="shared" si="48"/>
        <v>OK</v>
      </c>
      <c r="N1037" t="str">
        <f t="shared" si="49"/>
        <v>1990s</v>
      </c>
      <c r="O1037" t="str">
        <f t="shared" si="50"/>
        <v>Low</v>
      </c>
      <c r="P1037" t="str">
        <f>VLOOKUP(E1037,calculated_fields!$F$4:$G$6,2,FALSE)</f>
        <v>Health</v>
      </c>
    </row>
    <row r="1038" spans="1:16">
      <c r="A1038" t="s">
        <v>1444</v>
      </c>
      <c r="B1038" t="s">
        <v>1406</v>
      </c>
      <c r="C1038" t="s">
        <v>130</v>
      </c>
      <c r="D1038">
        <v>1997</v>
      </c>
      <c r="E1038" t="s">
        <v>23</v>
      </c>
      <c r="F1038" t="s">
        <v>24</v>
      </c>
      <c r="G1038" t="s">
        <v>25</v>
      </c>
      <c r="H1038" t="s">
        <v>26</v>
      </c>
      <c r="I1038">
        <v>2800947</v>
      </c>
      <c r="J1038" t="s">
        <v>27</v>
      </c>
      <c r="K1038" t="s">
        <v>1443</v>
      </c>
      <c r="L1038" t="s">
        <v>21</v>
      </c>
      <c r="M1038" t="str">
        <f t="shared" si="48"/>
        <v>OK</v>
      </c>
      <c r="N1038" t="str">
        <f t="shared" si="49"/>
        <v>1990s</v>
      </c>
      <c r="O1038" t="str">
        <f t="shared" si="50"/>
        <v>N/A</v>
      </c>
      <c r="P1038" t="str">
        <f>VLOOKUP(E1038,calculated_fields!$F$4:$G$6,2,FALSE)</f>
        <v>Demographics</v>
      </c>
    </row>
    <row r="1039" spans="1:16">
      <c r="A1039" t="s">
        <v>1445</v>
      </c>
      <c r="B1039" t="s">
        <v>1406</v>
      </c>
      <c r="C1039" t="s">
        <v>130</v>
      </c>
      <c r="D1039">
        <v>1997</v>
      </c>
      <c r="E1039" t="s">
        <v>29</v>
      </c>
      <c r="F1039" t="s">
        <v>30</v>
      </c>
      <c r="G1039" t="s">
        <v>31</v>
      </c>
      <c r="H1039" t="s">
        <v>32</v>
      </c>
      <c r="I1039">
        <v>3484.1643760000002</v>
      </c>
      <c r="J1039" t="s">
        <v>33</v>
      </c>
      <c r="K1039" t="s">
        <v>1443</v>
      </c>
      <c r="L1039" t="s">
        <v>21</v>
      </c>
      <c r="M1039" t="str">
        <f t="shared" si="48"/>
        <v>OK</v>
      </c>
      <c r="N1039" t="str">
        <f t="shared" si="49"/>
        <v>1990s</v>
      </c>
      <c r="O1039" t="str">
        <f t="shared" si="50"/>
        <v>N/A</v>
      </c>
      <c r="P1039" t="str">
        <f>VLOOKUP(E1039,calculated_fields!$F$4:$G$6,2,FALSE)</f>
        <v>Economy</v>
      </c>
    </row>
    <row r="1040" spans="1:16">
      <c r="A1040" t="s">
        <v>1446</v>
      </c>
      <c r="B1040" t="s">
        <v>1406</v>
      </c>
      <c r="C1040" t="s">
        <v>130</v>
      </c>
      <c r="D1040">
        <v>2002</v>
      </c>
      <c r="E1040" t="s">
        <v>15</v>
      </c>
      <c r="F1040" t="s">
        <v>16</v>
      </c>
      <c r="G1040" t="s">
        <v>17</v>
      </c>
      <c r="H1040" t="s">
        <v>18</v>
      </c>
      <c r="I1040">
        <v>52.97</v>
      </c>
      <c r="J1040" t="s">
        <v>19</v>
      </c>
      <c r="K1040" t="s">
        <v>1447</v>
      </c>
      <c r="L1040" t="s">
        <v>21</v>
      </c>
      <c r="M1040" t="str">
        <f t="shared" si="48"/>
        <v>OK</v>
      </c>
      <c r="N1040" t="str">
        <f t="shared" si="49"/>
        <v>2000s</v>
      </c>
      <c r="O1040" t="str">
        <f t="shared" si="50"/>
        <v>Low</v>
      </c>
      <c r="P1040" t="str">
        <f>VLOOKUP(E1040,calculated_fields!$F$4:$G$6,2,FALSE)</f>
        <v>Health</v>
      </c>
    </row>
    <row r="1041" spans="1:16">
      <c r="A1041" t="s">
        <v>1448</v>
      </c>
      <c r="B1041" t="s">
        <v>1406</v>
      </c>
      <c r="C1041" t="s">
        <v>130</v>
      </c>
      <c r="D1041">
        <v>2002</v>
      </c>
      <c r="E1041" t="s">
        <v>23</v>
      </c>
      <c r="F1041" t="s">
        <v>24</v>
      </c>
      <c r="G1041" t="s">
        <v>25</v>
      </c>
      <c r="H1041" t="s">
        <v>26</v>
      </c>
      <c r="I1041">
        <v>3328795</v>
      </c>
      <c r="J1041" t="s">
        <v>27</v>
      </c>
      <c r="K1041" t="s">
        <v>1447</v>
      </c>
      <c r="L1041" t="s">
        <v>21</v>
      </c>
      <c r="M1041" t="str">
        <f t="shared" si="48"/>
        <v>OK</v>
      </c>
      <c r="N1041" t="str">
        <f t="shared" si="49"/>
        <v>2000s</v>
      </c>
      <c r="O1041" t="str">
        <f t="shared" si="50"/>
        <v>N/A</v>
      </c>
      <c r="P1041" t="str">
        <f>VLOOKUP(E1041,calculated_fields!$F$4:$G$6,2,FALSE)</f>
        <v>Demographics</v>
      </c>
    </row>
    <row r="1042" spans="1:16">
      <c r="A1042" t="s">
        <v>1449</v>
      </c>
      <c r="B1042" t="s">
        <v>1406</v>
      </c>
      <c r="C1042" t="s">
        <v>130</v>
      </c>
      <c r="D1042">
        <v>2002</v>
      </c>
      <c r="E1042" t="s">
        <v>29</v>
      </c>
      <c r="F1042" t="s">
        <v>30</v>
      </c>
      <c r="G1042" t="s">
        <v>31</v>
      </c>
      <c r="H1042" t="s">
        <v>32</v>
      </c>
      <c r="I1042">
        <v>3484.0619700000002</v>
      </c>
      <c r="J1042" t="s">
        <v>33</v>
      </c>
      <c r="K1042" t="s">
        <v>1447</v>
      </c>
      <c r="L1042" t="s">
        <v>21</v>
      </c>
      <c r="M1042" t="str">
        <f t="shared" si="48"/>
        <v>OK</v>
      </c>
      <c r="N1042" t="str">
        <f t="shared" si="49"/>
        <v>2000s</v>
      </c>
      <c r="O1042" t="str">
        <f t="shared" si="50"/>
        <v>N/A</v>
      </c>
      <c r="P1042" t="str">
        <f>VLOOKUP(E1042,calculated_fields!$F$4:$G$6,2,FALSE)</f>
        <v>Economy</v>
      </c>
    </row>
    <row r="1043" spans="1:16">
      <c r="A1043" t="s">
        <v>1450</v>
      </c>
      <c r="B1043" t="s">
        <v>1406</v>
      </c>
      <c r="C1043" t="s">
        <v>130</v>
      </c>
      <c r="D1043">
        <v>2007</v>
      </c>
      <c r="E1043" t="s">
        <v>15</v>
      </c>
      <c r="F1043" t="s">
        <v>16</v>
      </c>
      <c r="G1043" t="s">
        <v>17</v>
      </c>
      <c r="H1043" t="s">
        <v>18</v>
      </c>
      <c r="I1043">
        <v>55.322000000000003</v>
      </c>
      <c r="J1043" t="s">
        <v>19</v>
      </c>
      <c r="K1043" t="s">
        <v>1451</v>
      </c>
      <c r="L1043" t="s">
        <v>21</v>
      </c>
      <c r="M1043" t="str">
        <f t="shared" si="48"/>
        <v>OK</v>
      </c>
      <c r="N1043" t="str">
        <f t="shared" si="49"/>
        <v>2000s</v>
      </c>
      <c r="O1043" t="str">
        <f t="shared" si="50"/>
        <v>Medium</v>
      </c>
      <c r="P1043" t="str">
        <f>VLOOKUP(E1043,calculated_fields!$F$4:$G$6,2,FALSE)</f>
        <v>Health</v>
      </c>
    </row>
    <row r="1044" spans="1:16">
      <c r="A1044" t="s">
        <v>1452</v>
      </c>
      <c r="B1044" t="s">
        <v>1406</v>
      </c>
      <c r="C1044" t="s">
        <v>130</v>
      </c>
      <c r="D1044">
        <v>2007</v>
      </c>
      <c r="E1044" t="s">
        <v>23</v>
      </c>
      <c r="F1044" t="s">
        <v>24</v>
      </c>
      <c r="G1044" t="s">
        <v>25</v>
      </c>
      <c r="H1044" t="s">
        <v>26</v>
      </c>
      <c r="I1044">
        <v>3800610</v>
      </c>
      <c r="J1044" t="s">
        <v>27</v>
      </c>
      <c r="K1044" t="s">
        <v>1451</v>
      </c>
      <c r="L1044" t="s">
        <v>21</v>
      </c>
      <c r="M1044" t="str">
        <f t="shared" si="48"/>
        <v>OK</v>
      </c>
      <c r="N1044" t="str">
        <f t="shared" si="49"/>
        <v>2000s</v>
      </c>
      <c r="O1044" t="str">
        <f t="shared" si="50"/>
        <v>N/A</v>
      </c>
      <c r="P1044" t="str">
        <f>VLOOKUP(E1044,calculated_fields!$F$4:$G$6,2,FALSE)</f>
        <v>Demographics</v>
      </c>
    </row>
    <row r="1045" spans="1:16">
      <c r="A1045" t="s">
        <v>1453</v>
      </c>
      <c r="B1045" t="s">
        <v>1406</v>
      </c>
      <c r="C1045" t="s">
        <v>130</v>
      </c>
      <c r="D1045">
        <v>2007</v>
      </c>
      <c r="E1045" t="s">
        <v>29</v>
      </c>
      <c r="F1045" t="s">
        <v>30</v>
      </c>
      <c r="G1045" t="s">
        <v>31</v>
      </c>
      <c r="H1045" t="s">
        <v>32</v>
      </c>
      <c r="I1045">
        <v>3632.5577979999998</v>
      </c>
      <c r="J1045" t="s">
        <v>33</v>
      </c>
      <c r="K1045" t="s">
        <v>1451</v>
      </c>
      <c r="L1045" t="s">
        <v>21</v>
      </c>
      <c r="M1045" t="str">
        <f t="shared" si="48"/>
        <v>OK</v>
      </c>
      <c r="N1045" t="str">
        <f t="shared" si="49"/>
        <v>2000s</v>
      </c>
      <c r="O1045" t="str">
        <f t="shared" si="50"/>
        <v>N/A</v>
      </c>
      <c r="P1045" t="str">
        <f>VLOOKUP(E1045,calculated_fields!$F$4:$G$6,2,FALSE)</f>
        <v>Economy</v>
      </c>
    </row>
    <row r="1046" spans="1:16">
      <c r="A1046" t="s">
        <v>1454</v>
      </c>
      <c r="B1046" t="s">
        <v>1455</v>
      </c>
      <c r="C1046" t="s">
        <v>229</v>
      </c>
      <c r="D1046">
        <v>1952</v>
      </c>
      <c r="E1046" t="s">
        <v>15</v>
      </c>
      <c r="F1046" t="s">
        <v>16</v>
      </c>
      <c r="G1046" t="s">
        <v>17</v>
      </c>
      <c r="H1046" t="s">
        <v>18</v>
      </c>
      <c r="I1046">
        <v>57.206000000000003</v>
      </c>
      <c r="J1046" t="s">
        <v>19</v>
      </c>
      <c r="K1046" t="s">
        <v>1456</v>
      </c>
      <c r="L1046" t="s">
        <v>21</v>
      </c>
      <c r="M1046" t="str">
        <f t="shared" si="48"/>
        <v>OK</v>
      </c>
      <c r="N1046" t="str">
        <f t="shared" si="49"/>
        <v>1950s</v>
      </c>
      <c r="O1046" t="str">
        <f t="shared" si="50"/>
        <v>Medium</v>
      </c>
      <c r="P1046" t="str">
        <f>VLOOKUP(E1046,calculated_fields!$F$4:$G$6,2,FALSE)</f>
        <v>Health</v>
      </c>
    </row>
    <row r="1047" spans="1:16">
      <c r="A1047" t="s">
        <v>1457</v>
      </c>
      <c r="B1047" t="s">
        <v>1455</v>
      </c>
      <c r="C1047" t="s">
        <v>229</v>
      </c>
      <c r="D1047">
        <v>1952</v>
      </c>
      <c r="E1047" t="s">
        <v>23</v>
      </c>
      <c r="F1047" t="s">
        <v>24</v>
      </c>
      <c r="G1047" t="s">
        <v>25</v>
      </c>
      <c r="H1047" t="s">
        <v>26</v>
      </c>
      <c r="I1047">
        <v>926317</v>
      </c>
      <c r="J1047" t="s">
        <v>27</v>
      </c>
      <c r="K1047" t="s">
        <v>1456</v>
      </c>
      <c r="L1047" t="s">
        <v>21</v>
      </c>
      <c r="M1047" t="str">
        <f t="shared" si="48"/>
        <v>OK</v>
      </c>
      <c r="N1047" t="str">
        <f t="shared" si="49"/>
        <v>1950s</v>
      </c>
      <c r="O1047" t="str">
        <f t="shared" si="50"/>
        <v>N/A</v>
      </c>
      <c r="P1047" t="str">
        <f>VLOOKUP(E1047,calculated_fields!$F$4:$G$6,2,FALSE)</f>
        <v>Demographics</v>
      </c>
    </row>
    <row r="1048" spans="1:16">
      <c r="A1048" t="s">
        <v>1458</v>
      </c>
      <c r="B1048" t="s">
        <v>1455</v>
      </c>
      <c r="C1048" t="s">
        <v>229</v>
      </c>
      <c r="D1048">
        <v>1952</v>
      </c>
      <c r="E1048" t="s">
        <v>29</v>
      </c>
      <c r="F1048" t="s">
        <v>30</v>
      </c>
      <c r="G1048" t="s">
        <v>31</v>
      </c>
      <c r="H1048" t="s">
        <v>32</v>
      </c>
      <c r="I1048">
        <v>2627.0094709999998</v>
      </c>
      <c r="J1048" t="s">
        <v>33</v>
      </c>
      <c r="K1048" t="s">
        <v>1456</v>
      </c>
      <c r="L1048" t="s">
        <v>21</v>
      </c>
      <c r="M1048" t="str">
        <f t="shared" si="48"/>
        <v>OK</v>
      </c>
      <c r="N1048" t="str">
        <f t="shared" si="49"/>
        <v>1950s</v>
      </c>
      <c r="O1048" t="str">
        <f t="shared" si="50"/>
        <v>N/A</v>
      </c>
      <c r="P1048" t="str">
        <f>VLOOKUP(E1048,calculated_fields!$F$4:$G$6,2,FALSE)</f>
        <v>Economy</v>
      </c>
    </row>
    <row r="1049" spans="1:16">
      <c r="A1049" t="s">
        <v>1459</v>
      </c>
      <c r="B1049" t="s">
        <v>1455</v>
      </c>
      <c r="C1049" t="s">
        <v>229</v>
      </c>
      <c r="D1049">
        <v>1957</v>
      </c>
      <c r="E1049" t="s">
        <v>15</v>
      </c>
      <c r="F1049" t="s">
        <v>16</v>
      </c>
      <c r="G1049" t="s">
        <v>17</v>
      </c>
      <c r="H1049" t="s">
        <v>18</v>
      </c>
      <c r="I1049">
        <v>60.026000000000003</v>
      </c>
      <c r="J1049" t="s">
        <v>19</v>
      </c>
      <c r="K1049" t="s">
        <v>1460</v>
      </c>
      <c r="L1049" t="s">
        <v>21</v>
      </c>
      <c r="M1049" t="str">
        <f t="shared" si="48"/>
        <v>OK</v>
      </c>
      <c r="N1049" t="str">
        <f t="shared" si="49"/>
        <v>1950s</v>
      </c>
      <c r="O1049" t="str">
        <f t="shared" si="50"/>
        <v>Medium</v>
      </c>
      <c r="P1049" t="str">
        <f>VLOOKUP(E1049,calculated_fields!$F$4:$G$6,2,FALSE)</f>
        <v>Health</v>
      </c>
    </row>
    <row r="1050" spans="1:16">
      <c r="A1050" t="s">
        <v>1461</v>
      </c>
      <c r="B1050" t="s">
        <v>1455</v>
      </c>
      <c r="C1050" t="s">
        <v>229</v>
      </c>
      <c r="D1050">
        <v>1957</v>
      </c>
      <c r="E1050" t="s">
        <v>23</v>
      </c>
      <c r="F1050" t="s">
        <v>24</v>
      </c>
      <c r="G1050" t="s">
        <v>25</v>
      </c>
      <c r="H1050" t="s">
        <v>26</v>
      </c>
      <c r="I1050">
        <v>1112300</v>
      </c>
      <c r="J1050" t="s">
        <v>27</v>
      </c>
      <c r="K1050" t="s">
        <v>1460</v>
      </c>
      <c r="L1050" t="s">
        <v>21</v>
      </c>
      <c r="M1050" t="str">
        <f t="shared" si="48"/>
        <v>OK</v>
      </c>
      <c r="N1050" t="str">
        <f t="shared" si="49"/>
        <v>1950s</v>
      </c>
      <c r="O1050" t="str">
        <f t="shared" si="50"/>
        <v>N/A</v>
      </c>
      <c r="P1050" t="str">
        <f>VLOOKUP(E1050,calculated_fields!$F$4:$G$6,2,FALSE)</f>
        <v>Demographics</v>
      </c>
    </row>
    <row r="1051" spans="1:16">
      <c r="A1051" t="s">
        <v>1462</v>
      </c>
      <c r="B1051" t="s">
        <v>1455</v>
      </c>
      <c r="C1051" t="s">
        <v>229</v>
      </c>
      <c r="D1051">
        <v>1957</v>
      </c>
      <c r="E1051" t="s">
        <v>29</v>
      </c>
      <c r="F1051" t="s">
        <v>30</v>
      </c>
      <c r="G1051" t="s">
        <v>31</v>
      </c>
      <c r="H1051" t="s">
        <v>32</v>
      </c>
      <c r="I1051">
        <v>2990.0108019999998</v>
      </c>
      <c r="J1051" t="s">
        <v>33</v>
      </c>
      <c r="K1051" t="s">
        <v>1460</v>
      </c>
      <c r="L1051" t="s">
        <v>21</v>
      </c>
      <c r="M1051" t="str">
        <f t="shared" si="48"/>
        <v>OK</v>
      </c>
      <c r="N1051" t="str">
        <f t="shared" si="49"/>
        <v>1950s</v>
      </c>
      <c r="O1051" t="str">
        <f t="shared" si="50"/>
        <v>N/A</v>
      </c>
      <c r="P1051" t="str">
        <f>VLOOKUP(E1051,calculated_fields!$F$4:$G$6,2,FALSE)</f>
        <v>Economy</v>
      </c>
    </row>
    <row r="1052" spans="1:16">
      <c r="A1052" t="s">
        <v>1463</v>
      </c>
      <c r="B1052" t="s">
        <v>1455</v>
      </c>
      <c r="C1052" t="s">
        <v>229</v>
      </c>
      <c r="D1052">
        <v>1962</v>
      </c>
      <c r="E1052" t="s">
        <v>15</v>
      </c>
      <c r="F1052" t="s">
        <v>16</v>
      </c>
      <c r="G1052" t="s">
        <v>17</v>
      </c>
      <c r="H1052" t="s">
        <v>18</v>
      </c>
      <c r="I1052">
        <v>62.841999999999999</v>
      </c>
      <c r="J1052" t="s">
        <v>19</v>
      </c>
      <c r="K1052" t="s">
        <v>1464</v>
      </c>
      <c r="L1052" t="s">
        <v>21</v>
      </c>
      <c r="M1052" t="str">
        <f t="shared" si="48"/>
        <v>OK</v>
      </c>
      <c r="N1052" t="str">
        <f t="shared" si="49"/>
        <v>1960s</v>
      </c>
      <c r="O1052" t="str">
        <f t="shared" si="50"/>
        <v>Medium</v>
      </c>
      <c r="P1052" t="str">
        <f>VLOOKUP(E1052,calculated_fields!$F$4:$G$6,2,FALSE)</f>
        <v>Health</v>
      </c>
    </row>
    <row r="1053" spans="1:16">
      <c r="A1053" t="s">
        <v>1465</v>
      </c>
      <c r="B1053" t="s">
        <v>1455</v>
      </c>
      <c r="C1053" t="s">
        <v>229</v>
      </c>
      <c r="D1053">
        <v>1962</v>
      </c>
      <c r="E1053" t="s">
        <v>23</v>
      </c>
      <c r="F1053" t="s">
        <v>24</v>
      </c>
      <c r="G1053" t="s">
        <v>25</v>
      </c>
      <c r="H1053" t="s">
        <v>26</v>
      </c>
      <c r="I1053">
        <v>1345187</v>
      </c>
      <c r="J1053" t="s">
        <v>27</v>
      </c>
      <c r="K1053" t="s">
        <v>1464</v>
      </c>
      <c r="L1053" t="s">
        <v>21</v>
      </c>
      <c r="M1053" t="str">
        <f t="shared" si="48"/>
        <v>OK</v>
      </c>
      <c r="N1053" t="str">
        <f t="shared" si="49"/>
        <v>1960s</v>
      </c>
      <c r="O1053" t="str">
        <f t="shared" si="50"/>
        <v>N/A</v>
      </c>
      <c r="P1053" t="str">
        <f>VLOOKUP(E1053,calculated_fields!$F$4:$G$6,2,FALSE)</f>
        <v>Demographics</v>
      </c>
    </row>
    <row r="1054" spans="1:16">
      <c r="A1054" t="s">
        <v>1466</v>
      </c>
      <c r="B1054" t="s">
        <v>1455</v>
      </c>
      <c r="C1054" t="s">
        <v>229</v>
      </c>
      <c r="D1054">
        <v>1962</v>
      </c>
      <c r="E1054" t="s">
        <v>29</v>
      </c>
      <c r="F1054" t="s">
        <v>30</v>
      </c>
      <c r="G1054" t="s">
        <v>31</v>
      </c>
      <c r="H1054" t="s">
        <v>32</v>
      </c>
      <c r="I1054">
        <v>3460.9370250000002</v>
      </c>
      <c r="J1054" t="s">
        <v>33</v>
      </c>
      <c r="K1054" t="s">
        <v>1464</v>
      </c>
      <c r="L1054" t="s">
        <v>21</v>
      </c>
      <c r="M1054" t="str">
        <f t="shared" si="48"/>
        <v>OK</v>
      </c>
      <c r="N1054" t="str">
        <f t="shared" si="49"/>
        <v>1960s</v>
      </c>
      <c r="O1054" t="str">
        <f t="shared" si="50"/>
        <v>N/A</v>
      </c>
      <c r="P1054" t="str">
        <f>VLOOKUP(E1054,calculated_fields!$F$4:$G$6,2,FALSE)</f>
        <v>Economy</v>
      </c>
    </row>
    <row r="1055" spans="1:16">
      <c r="A1055" t="s">
        <v>1467</v>
      </c>
      <c r="B1055" t="s">
        <v>1455</v>
      </c>
      <c r="C1055" t="s">
        <v>229</v>
      </c>
      <c r="D1055">
        <v>1967</v>
      </c>
      <c r="E1055" t="s">
        <v>15</v>
      </c>
      <c r="F1055" t="s">
        <v>16</v>
      </c>
      <c r="G1055" t="s">
        <v>17</v>
      </c>
      <c r="H1055" t="s">
        <v>18</v>
      </c>
      <c r="I1055">
        <v>65.423999999999893</v>
      </c>
      <c r="J1055" t="s">
        <v>19</v>
      </c>
      <c r="K1055" t="s">
        <v>1468</v>
      </c>
      <c r="L1055" t="s">
        <v>21</v>
      </c>
      <c r="M1055" t="str">
        <f t="shared" si="48"/>
        <v>OK</v>
      </c>
      <c r="N1055" t="str">
        <f t="shared" si="49"/>
        <v>1960s</v>
      </c>
      <c r="O1055" t="str">
        <f t="shared" si="50"/>
        <v>Medium</v>
      </c>
      <c r="P1055" t="str">
        <f>VLOOKUP(E1055,calculated_fields!$F$4:$G$6,2,FALSE)</f>
        <v>Health</v>
      </c>
    </row>
    <row r="1056" spans="1:16">
      <c r="A1056" t="s">
        <v>1469</v>
      </c>
      <c r="B1056" t="s">
        <v>1455</v>
      </c>
      <c r="C1056" t="s">
        <v>229</v>
      </c>
      <c r="D1056">
        <v>1967</v>
      </c>
      <c r="E1056" t="s">
        <v>23</v>
      </c>
      <c r="F1056" t="s">
        <v>24</v>
      </c>
      <c r="G1056" t="s">
        <v>25</v>
      </c>
      <c r="H1056" t="s">
        <v>26</v>
      </c>
      <c r="I1056">
        <v>1588717</v>
      </c>
      <c r="J1056" t="s">
        <v>27</v>
      </c>
      <c r="K1056" t="s">
        <v>1468</v>
      </c>
      <c r="L1056" t="s">
        <v>21</v>
      </c>
      <c r="M1056" t="str">
        <f t="shared" si="48"/>
        <v>OK</v>
      </c>
      <c r="N1056" t="str">
        <f t="shared" si="49"/>
        <v>1960s</v>
      </c>
      <c r="O1056" t="str">
        <f t="shared" si="50"/>
        <v>N/A</v>
      </c>
      <c r="P1056" t="str">
        <f>VLOOKUP(E1056,calculated_fields!$F$4:$G$6,2,FALSE)</f>
        <v>Demographics</v>
      </c>
    </row>
    <row r="1057" spans="1:16">
      <c r="A1057" t="s">
        <v>1470</v>
      </c>
      <c r="B1057" t="s">
        <v>1455</v>
      </c>
      <c r="C1057" t="s">
        <v>229</v>
      </c>
      <c r="D1057">
        <v>1967</v>
      </c>
      <c r="E1057" t="s">
        <v>29</v>
      </c>
      <c r="F1057" t="s">
        <v>30</v>
      </c>
      <c r="G1057" t="s">
        <v>31</v>
      </c>
      <c r="H1057" t="s">
        <v>32</v>
      </c>
      <c r="I1057">
        <v>4161.7278340000003</v>
      </c>
      <c r="J1057" t="s">
        <v>33</v>
      </c>
      <c r="K1057" t="s">
        <v>1468</v>
      </c>
      <c r="L1057" t="s">
        <v>21</v>
      </c>
      <c r="M1057" t="str">
        <f t="shared" si="48"/>
        <v>OK</v>
      </c>
      <c r="N1057" t="str">
        <f t="shared" si="49"/>
        <v>1960s</v>
      </c>
      <c r="O1057" t="str">
        <f t="shared" si="50"/>
        <v>N/A</v>
      </c>
      <c r="P1057" t="str">
        <f>VLOOKUP(E1057,calculated_fields!$F$4:$G$6,2,FALSE)</f>
        <v>Economy</v>
      </c>
    </row>
    <row r="1058" spans="1:16">
      <c r="A1058" t="s">
        <v>1471</v>
      </c>
      <c r="B1058" t="s">
        <v>1455</v>
      </c>
      <c r="C1058" t="s">
        <v>229</v>
      </c>
      <c r="D1058">
        <v>1972</v>
      </c>
      <c r="E1058" t="s">
        <v>15</v>
      </c>
      <c r="F1058" t="s">
        <v>16</v>
      </c>
      <c r="G1058" t="s">
        <v>17</v>
      </c>
      <c r="H1058" t="s">
        <v>18</v>
      </c>
      <c r="I1058">
        <v>67.848999999999904</v>
      </c>
      <c r="J1058" t="s">
        <v>19</v>
      </c>
      <c r="K1058" t="s">
        <v>1472</v>
      </c>
      <c r="L1058" t="s">
        <v>21</v>
      </c>
      <c r="M1058" t="str">
        <f t="shared" si="48"/>
        <v>OK</v>
      </c>
      <c r="N1058" t="str">
        <f t="shared" si="49"/>
        <v>1970s</v>
      </c>
      <c r="O1058" t="str">
        <f t="shared" si="50"/>
        <v>Medium</v>
      </c>
      <c r="P1058" t="str">
        <f>VLOOKUP(E1058,calculated_fields!$F$4:$G$6,2,FALSE)</f>
        <v>Health</v>
      </c>
    </row>
    <row r="1059" spans="1:16">
      <c r="A1059" t="s">
        <v>1473</v>
      </c>
      <c r="B1059" t="s">
        <v>1455</v>
      </c>
      <c r="C1059" t="s">
        <v>229</v>
      </c>
      <c r="D1059">
        <v>1972</v>
      </c>
      <c r="E1059" t="s">
        <v>23</v>
      </c>
      <c r="F1059" t="s">
        <v>24</v>
      </c>
      <c r="G1059" t="s">
        <v>25</v>
      </c>
      <c r="H1059" t="s">
        <v>26</v>
      </c>
      <c r="I1059">
        <v>1834796</v>
      </c>
      <c r="J1059" t="s">
        <v>27</v>
      </c>
      <c r="K1059" t="s">
        <v>1472</v>
      </c>
      <c r="L1059" t="s">
        <v>21</v>
      </c>
      <c r="M1059" t="str">
        <f t="shared" si="48"/>
        <v>OK</v>
      </c>
      <c r="N1059" t="str">
        <f t="shared" si="49"/>
        <v>1970s</v>
      </c>
      <c r="O1059" t="str">
        <f t="shared" si="50"/>
        <v>N/A</v>
      </c>
      <c r="P1059" t="str">
        <f>VLOOKUP(E1059,calculated_fields!$F$4:$G$6,2,FALSE)</f>
        <v>Demographics</v>
      </c>
    </row>
    <row r="1060" spans="1:16">
      <c r="A1060" t="s">
        <v>1474</v>
      </c>
      <c r="B1060" t="s">
        <v>1455</v>
      </c>
      <c r="C1060" t="s">
        <v>229</v>
      </c>
      <c r="D1060">
        <v>1972</v>
      </c>
      <c r="E1060" t="s">
        <v>29</v>
      </c>
      <c r="F1060" t="s">
        <v>30</v>
      </c>
      <c r="G1060" t="s">
        <v>31</v>
      </c>
      <c r="H1060" t="s">
        <v>32</v>
      </c>
      <c r="I1060">
        <v>5118.1469390000002</v>
      </c>
      <c r="J1060" t="s">
        <v>33</v>
      </c>
      <c r="K1060" t="s">
        <v>1472</v>
      </c>
      <c r="L1060" t="s">
        <v>21</v>
      </c>
      <c r="M1060" t="str">
        <f t="shared" si="48"/>
        <v>OK</v>
      </c>
      <c r="N1060" t="str">
        <f t="shared" si="49"/>
        <v>1970s</v>
      </c>
      <c r="O1060" t="str">
        <f t="shared" si="50"/>
        <v>N/A</v>
      </c>
      <c r="P1060" t="str">
        <f>VLOOKUP(E1060,calculated_fields!$F$4:$G$6,2,FALSE)</f>
        <v>Economy</v>
      </c>
    </row>
    <row r="1061" spans="1:16">
      <c r="A1061" t="s">
        <v>1475</v>
      </c>
      <c r="B1061" t="s">
        <v>1455</v>
      </c>
      <c r="C1061" t="s">
        <v>229</v>
      </c>
      <c r="D1061">
        <v>1977</v>
      </c>
      <c r="E1061" t="s">
        <v>15</v>
      </c>
      <c r="F1061" t="s">
        <v>16</v>
      </c>
      <c r="G1061" t="s">
        <v>17</v>
      </c>
      <c r="H1061" t="s">
        <v>18</v>
      </c>
      <c r="I1061">
        <v>70.75</v>
      </c>
      <c r="J1061" t="s">
        <v>19</v>
      </c>
      <c r="K1061" t="s">
        <v>1476</v>
      </c>
      <c r="L1061" t="s">
        <v>21</v>
      </c>
      <c r="M1061" t="str">
        <f t="shared" si="48"/>
        <v>OK</v>
      </c>
      <c r="N1061" t="str">
        <f t="shared" si="49"/>
        <v>1970s</v>
      </c>
      <c r="O1061" t="str">
        <f t="shared" si="50"/>
        <v>High</v>
      </c>
      <c r="P1061" t="str">
        <f>VLOOKUP(E1061,calculated_fields!$F$4:$G$6,2,FALSE)</f>
        <v>Health</v>
      </c>
    </row>
    <row r="1062" spans="1:16">
      <c r="A1062" t="s">
        <v>1477</v>
      </c>
      <c r="B1062" t="s">
        <v>1455</v>
      </c>
      <c r="C1062" t="s">
        <v>229</v>
      </c>
      <c r="D1062">
        <v>1977</v>
      </c>
      <c r="E1062" t="s">
        <v>23</v>
      </c>
      <c r="F1062" t="s">
        <v>24</v>
      </c>
      <c r="G1062" t="s">
        <v>25</v>
      </c>
      <c r="H1062" t="s">
        <v>26</v>
      </c>
      <c r="I1062">
        <v>2108457</v>
      </c>
      <c r="J1062" t="s">
        <v>27</v>
      </c>
      <c r="K1062" t="s">
        <v>1476</v>
      </c>
      <c r="L1062" t="s">
        <v>21</v>
      </c>
      <c r="M1062" t="str">
        <f t="shared" si="48"/>
        <v>OK</v>
      </c>
      <c r="N1062" t="str">
        <f t="shared" si="49"/>
        <v>1970s</v>
      </c>
      <c r="O1062" t="str">
        <f t="shared" si="50"/>
        <v>N/A</v>
      </c>
      <c r="P1062" t="str">
        <f>VLOOKUP(E1062,calculated_fields!$F$4:$G$6,2,FALSE)</f>
        <v>Demographics</v>
      </c>
    </row>
    <row r="1063" spans="1:16">
      <c r="A1063" t="s">
        <v>1478</v>
      </c>
      <c r="B1063" t="s">
        <v>1455</v>
      </c>
      <c r="C1063" t="s">
        <v>229</v>
      </c>
      <c r="D1063">
        <v>1977</v>
      </c>
      <c r="E1063" t="s">
        <v>29</v>
      </c>
      <c r="F1063" t="s">
        <v>30</v>
      </c>
      <c r="G1063" t="s">
        <v>31</v>
      </c>
      <c r="H1063" t="s">
        <v>32</v>
      </c>
      <c r="I1063">
        <v>5926.8769670000001</v>
      </c>
      <c r="J1063" t="s">
        <v>33</v>
      </c>
      <c r="K1063" t="s">
        <v>1476</v>
      </c>
      <c r="L1063" t="s">
        <v>21</v>
      </c>
      <c r="M1063" t="str">
        <f t="shared" si="48"/>
        <v>OK</v>
      </c>
      <c r="N1063" t="str">
        <f t="shared" si="49"/>
        <v>1970s</v>
      </c>
      <c r="O1063" t="str">
        <f t="shared" si="50"/>
        <v>N/A</v>
      </c>
      <c r="P1063" t="str">
        <f>VLOOKUP(E1063,calculated_fields!$F$4:$G$6,2,FALSE)</f>
        <v>Economy</v>
      </c>
    </row>
    <row r="1064" spans="1:16">
      <c r="A1064" t="s">
        <v>1479</v>
      </c>
      <c r="B1064" t="s">
        <v>1455</v>
      </c>
      <c r="C1064" t="s">
        <v>229</v>
      </c>
      <c r="D1064">
        <v>1982</v>
      </c>
      <c r="E1064" t="s">
        <v>15</v>
      </c>
      <c r="F1064" t="s">
        <v>16</v>
      </c>
      <c r="G1064" t="s">
        <v>17</v>
      </c>
      <c r="H1064" t="s">
        <v>18</v>
      </c>
      <c r="I1064">
        <v>73.45</v>
      </c>
      <c r="J1064" t="s">
        <v>19</v>
      </c>
      <c r="K1064" t="s">
        <v>1480</v>
      </c>
      <c r="L1064" t="s">
        <v>21</v>
      </c>
      <c r="M1064" t="str">
        <f t="shared" si="48"/>
        <v>OK</v>
      </c>
      <c r="N1064" t="str">
        <f t="shared" si="49"/>
        <v>1980s</v>
      </c>
      <c r="O1064" t="str">
        <f t="shared" si="50"/>
        <v>High</v>
      </c>
      <c r="P1064" t="str">
        <f>VLOOKUP(E1064,calculated_fields!$F$4:$G$6,2,FALSE)</f>
        <v>Health</v>
      </c>
    </row>
    <row r="1065" spans="1:16">
      <c r="A1065" t="s">
        <v>1481</v>
      </c>
      <c r="B1065" t="s">
        <v>1455</v>
      </c>
      <c r="C1065" t="s">
        <v>229</v>
      </c>
      <c r="D1065">
        <v>1982</v>
      </c>
      <c r="E1065" t="s">
        <v>23</v>
      </c>
      <c r="F1065" t="s">
        <v>24</v>
      </c>
      <c r="G1065" t="s">
        <v>25</v>
      </c>
      <c r="H1065" t="s">
        <v>26</v>
      </c>
      <c r="I1065">
        <v>2424367</v>
      </c>
      <c r="J1065" t="s">
        <v>27</v>
      </c>
      <c r="K1065" t="s">
        <v>1480</v>
      </c>
      <c r="L1065" t="s">
        <v>21</v>
      </c>
      <c r="M1065" t="str">
        <f t="shared" si="48"/>
        <v>OK</v>
      </c>
      <c r="N1065" t="str">
        <f t="shared" si="49"/>
        <v>1980s</v>
      </c>
      <c r="O1065" t="str">
        <f t="shared" si="50"/>
        <v>N/A</v>
      </c>
      <c r="P1065" t="str">
        <f>VLOOKUP(E1065,calculated_fields!$F$4:$G$6,2,FALSE)</f>
        <v>Demographics</v>
      </c>
    </row>
    <row r="1066" spans="1:16">
      <c r="A1066" t="s">
        <v>1482</v>
      </c>
      <c r="B1066" t="s">
        <v>1455</v>
      </c>
      <c r="C1066" t="s">
        <v>229</v>
      </c>
      <c r="D1066">
        <v>1982</v>
      </c>
      <c r="E1066" t="s">
        <v>29</v>
      </c>
      <c r="F1066" t="s">
        <v>30</v>
      </c>
      <c r="G1066" t="s">
        <v>31</v>
      </c>
      <c r="H1066" t="s">
        <v>32</v>
      </c>
      <c r="I1066">
        <v>5262.734751</v>
      </c>
      <c r="J1066" t="s">
        <v>33</v>
      </c>
      <c r="K1066" t="s">
        <v>1480</v>
      </c>
      <c r="L1066" t="s">
        <v>21</v>
      </c>
      <c r="M1066" t="str">
        <f t="shared" si="48"/>
        <v>OK</v>
      </c>
      <c r="N1066" t="str">
        <f t="shared" si="49"/>
        <v>1980s</v>
      </c>
      <c r="O1066" t="str">
        <f t="shared" si="50"/>
        <v>N/A</v>
      </c>
      <c r="P1066" t="str">
        <f>VLOOKUP(E1066,calculated_fields!$F$4:$G$6,2,FALSE)</f>
        <v>Economy</v>
      </c>
    </row>
    <row r="1067" spans="1:16">
      <c r="A1067" t="s">
        <v>1483</v>
      </c>
      <c r="B1067" t="s">
        <v>1455</v>
      </c>
      <c r="C1067" t="s">
        <v>229</v>
      </c>
      <c r="D1067">
        <v>1987</v>
      </c>
      <c r="E1067" t="s">
        <v>15</v>
      </c>
      <c r="F1067" t="s">
        <v>16</v>
      </c>
      <c r="G1067" t="s">
        <v>17</v>
      </c>
      <c r="H1067" t="s">
        <v>18</v>
      </c>
      <c r="I1067">
        <v>74.751999999999995</v>
      </c>
      <c r="J1067" t="s">
        <v>19</v>
      </c>
      <c r="K1067" t="s">
        <v>1484</v>
      </c>
      <c r="L1067" t="s">
        <v>21</v>
      </c>
      <c r="M1067" t="str">
        <f t="shared" si="48"/>
        <v>OK</v>
      </c>
      <c r="N1067" t="str">
        <f t="shared" si="49"/>
        <v>1980s</v>
      </c>
      <c r="O1067" t="str">
        <f t="shared" si="50"/>
        <v>High</v>
      </c>
      <c r="P1067" t="str">
        <f>VLOOKUP(E1067,calculated_fields!$F$4:$G$6,2,FALSE)</f>
        <v>Health</v>
      </c>
    </row>
    <row r="1068" spans="1:16">
      <c r="A1068" t="s">
        <v>1485</v>
      </c>
      <c r="B1068" t="s">
        <v>1455</v>
      </c>
      <c r="C1068" t="s">
        <v>229</v>
      </c>
      <c r="D1068">
        <v>1987</v>
      </c>
      <c r="E1068" t="s">
        <v>23</v>
      </c>
      <c r="F1068" t="s">
        <v>24</v>
      </c>
      <c r="G1068" t="s">
        <v>25</v>
      </c>
      <c r="H1068" t="s">
        <v>26</v>
      </c>
      <c r="I1068">
        <v>2799811</v>
      </c>
      <c r="J1068" t="s">
        <v>27</v>
      </c>
      <c r="K1068" t="s">
        <v>1484</v>
      </c>
      <c r="L1068" t="s">
        <v>21</v>
      </c>
      <c r="M1068" t="str">
        <f t="shared" si="48"/>
        <v>OK</v>
      </c>
      <c r="N1068" t="str">
        <f t="shared" si="49"/>
        <v>1980s</v>
      </c>
      <c r="O1068" t="str">
        <f t="shared" si="50"/>
        <v>N/A</v>
      </c>
      <c r="P1068" t="str">
        <f>VLOOKUP(E1068,calculated_fields!$F$4:$G$6,2,FALSE)</f>
        <v>Demographics</v>
      </c>
    </row>
    <row r="1069" spans="1:16">
      <c r="A1069" t="s">
        <v>1486</v>
      </c>
      <c r="B1069" t="s">
        <v>1455</v>
      </c>
      <c r="C1069" t="s">
        <v>229</v>
      </c>
      <c r="D1069">
        <v>1987</v>
      </c>
      <c r="E1069" t="s">
        <v>29</v>
      </c>
      <c r="F1069" t="s">
        <v>30</v>
      </c>
      <c r="G1069" t="s">
        <v>31</v>
      </c>
      <c r="H1069" t="s">
        <v>32</v>
      </c>
      <c r="I1069">
        <v>5629.9153180000003</v>
      </c>
      <c r="J1069" t="s">
        <v>33</v>
      </c>
      <c r="K1069" t="s">
        <v>1484</v>
      </c>
      <c r="L1069" t="s">
        <v>21</v>
      </c>
      <c r="M1069" t="str">
        <f t="shared" si="48"/>
        <v>OK</v>
      </c>
      <c r="N1069" t="str">
        <f t="shared" si="49"/>
        <v>1980s</v>
      </c>
      <c r="O1069" t="str">
        <f t="shared" si="50"/>
        <v>N/A</v>
      </c>
      <c r="P1069" t="str">
        <f>VLOOKUP(E1069,calculated_fields!$F$4:$G$6,2,FALSE)</f>
        <v>Economy</v>
      </c>
    </row>
    <row r="1070" spans="1:16">
      <c r="A1070" t="s">
        <v>1487</v>
      </c>
      <c r="B1070" t="s">
        <v>1455</v>
      </c>
      <c r="C1070" t="s">
        <v>229</v>
      </c>
      <c r="D1070">
        <v>1992</v>
      </c>
      <c r="E1070" t="s">
        <v>15</v>
      </c>
      <c r="F1070" t="s">
        <v>16</v>
      </c>
      <c r="G1070" t="s">
        <v>17</v>
      </c>
      <c r="H1070" t="s">
        <v>18</v>
      </c>
      <c r="I1070">
        <v>75.712999999999994</v>
      </c>
      <c r="J1070" t="s">
        <v>19</v>
      </c>
      <c r="K1070" t="s">
        <v>1488</v>
      </c>
      <c r="L1070" t="s">
        <v>21</v>
      </c>
      <c r="M1070" t="str">
        <f t="shared" si="48"/>
        <v>OK</v>
      </c>
      <c r="N1070" t="str">
        <f t="shared" si="49"/>
        <v>1990s</v>
      </c>
      <c r="O1070" t="str">
        <f t="shared" si="50"/>
        <v>High</v>
      </c>
      <c r="P1070" t="str">
        <f>VLOOKUP(E1070,calculated_fields!$F$4:$G$6,2,FALSE)</f>
        <v>Health</v>
      </c>
    </row>
    <row r="1071" spans="1:16">
      <c r="A1071" t="s">
        <v>1489</v>
      </c>
      <c r="B1071" t="s">
        <v>1455</v>
      </c>
      <c r="C1071" t="s">
        <v>229</v>
      </c>
      <c r="D1071">
        <v>1992</v>
      </c>
      <c r="E1071" t="s">
        <v>23</v>
      </c>
      <c r="F1071" t="s">
        <v>24</v>
      </c>
      <c r="G1071" t="s">
        <v>25</v>
      </c>
      <c r="H1071" t="s">
        <v>26</v>
      </c>
      <c r="I1071">
        <v>3173216</v>
      </c>
      <c r="J1071" t="s">
        <v>27</v>
      </c>
      <c r="K1071" t="s">
        <v>1488</v>
      </c>
      <c r="L1071" t="s">
        <v>21</v>
      </c>
      <c r="M1071" t="str">
        <f t="shared" si="48"/>
        <v>OK</v>
      </c>
      <c r="N1071" t="str">
        <f t="shared" si="49"/>
        <v>1990s</v>
      </c>
      <c r="O1071" t="str">
        <f t="shared" si="50"/>
        <v>N/A</v>
      </c>
      <c r="P1071" t="str">
        <f>VLOOKUP(E1071,calculated_fields!$F$4:$G$6,2,FALSE)</f>
        <v>Demographics</v>
      </c>
    </row>
    <row r="1072" spans="1:16">
      <c r="A1072" t="s">
        <v>1490</v>
      </c>
      <c r="B1072" t="s">
        <v>1455</v>
      </c>
      <c r="C1072" t="s">
        <v>229</v>
      </c>
      <c r="D1072">
        <v>1992</v>
      </c>
      <c r="E1072" t="s">
        <v>29</v>
      </c>
      <c r="F1072" t="s">
        <v>30</v>
      </c>
      <c r="G1072" t="s">
        <v>31</v>
      </c>
      <c r="H1072" t="s">
        <v>32</v>
      </c>
      <c r="I1072">
        <v>6160.4163170000002</v>
      </c>
      <c r="J1072" t="s">
        <v>33</v>
      </c>
      <c r="K1072" t="s">
        <v>1488</v>
      </c>
      <c r="L1072" t="s">
        <v>21</v>
      </c>
      <c r="M1072" t="str">
        <f t="shared" si="48"/>
        <v>OK</v>
      </c>
      <c r="N1072" t="str">
        <f t="shared" si="49"/>
        <v>1990s</v>
      </c>
      <c r="O1072" t="str">
        <f t="shared" si="50"/>
        <v>N/A</v>
      </c>
      <c r="P1072" t="str">
        <f>VLOOKUP(E1072,calculated_fields!$F$4:$G$6,2,FALSE)</f>
        <v>Economy</v>
      </c>
    </row>
    <row r="1073" spans="1:16">
      <c r="A1073" t="s">
        <v>1491</v>
      </c>
      <c r="B1073" t="s">
        <v>1455</v>
      </c>
      <c r="C1073" t="s">
        <v>229</v>
      </c>
      <c r="D1073">
        <v>1997</v>
      </c>
      <c r="E1073" t="s">
        <v>15</v>
      </c>
      <c r="F1073" t="s">
        <v>16</v>
      </c>
      <c r="G1073" t="s">
        <v>17</v>
      </c>
      <c r="H1073" t="s">
        <v>18</v>
      </c>
      <c r="I1073">
        <v>77.260000000000005</v>
      </c>
      <c r="J1073" t="s">
        <v>19</v>
      </c>
      <c r="K1073" t="s">
        <v>1492</v>
      </c>
      <c r="L1073" t="s">
        <v>21</v>
      </c>
      <c r="M1073" t="str">
        <f t="shared" si="48"/>
        <v>OK</v>
      </c>
      <c r="N1073" t="str">
        <f t="shared" si="49"/>
        <v>1990s</v>
      </c>
      <c r="O1073" t="str">
        <f t="shared" si="50"/>
        <v>High</v>
      </c>
      <c r="P1073" t="str">
        <f>VLOOKUP(E1073,calculated_fields!$F$4:$G$6,2,FALSE)</f>
        <v>Health</v>
      </c>
    </row>
    <row r="1074" spans="1:16">
      <c r="A1074" t="s">
        <v>1493</v>
      </c>
      <c r="B1074" t="s">
        <v>1455</v>
      </c>
      <c r="C1074" t="s">
        <v>229</v>
      </c>
      <c r="D1074">
        <v>1997</v>
      </c>
      <c r="E1074" t="s">
        <v>23</v>
      </c>
      <c r="F1074" t="s">
        <v>24</v>
      </c>
      <c r="G1074" t="s">
        <v>25</v>
      </c>
      <c r="H1074" t="s">
        <v>26</v>
      </c>
      <c r="I1074">
        <v>3518107</v>
      </c>
      <c r="J1074" t="s">
        <v>27</v>
      </c>
      <c r="K1074" t="s">
        <v>1492</v>
      </c>
      <c r="L1074" t="s">
        <v>21</v>
      </c>
      <c r="M1074" t="str">
        <f t="shared" si="48"/>
        <v>OK</v>
      </c>
      <c r="N1074" t="str">
        <f t="shared" si="49"/>
        <v>1990s</v>
      </c>
      <c r="O1074" t="str">
        <f t="shared" si="50"/>
        <v>N/A</v>
      </c>
      <c r="P1074" t="str">
        <f>VLOOKUP(E1074,calculated_fields!$F$4:$G$6,2,FALSE)</f>
        <v>Demographics</v>
      </c>
    </row>
    <row r="1075" spans="1:16">
      <c r="A1075" t="s">
        <v>1494</v>
      </c>
      <c r="B1075" t="s">
        <v>1455</v>
      </c>
      <c r="C1075" t="s">
        <v>229</v>
      </c>
      <c r="D1075">
        <v>1997</v>
      </c>
      <c r="E1075" t="s">
        <v>29</v>
      </c>
      <c r="F1075" t="s">
        <v>30</v>
      </c>
      <c r="G1075" t="s">
        <v>31</v>
      </c>
      <c r="H1075" t="s">
        <v>32</v>
      </c>
      <c r="I1075">
        <v>6677.045314</v>
      </c>
      <c r="J1075" t="s">
        <v>33</v>
      </c>
      <c r="K1075" t="s">
        <v>1492</v>
      </c>
      <c r="L1075" t="s">
        <v>21</v>
      </c>
      <c r="M1075" t="str">
        <f t="shared" si="48"/>
        <v>OK</v>
      </c>
      <c r="N1075" t="str">
        <f t="shared" si="49"/>
        <v>1990s</v>
      </c>
      <c r="O1075" t="str">
        <f t="shared" si="50"/>
        <v>N/A</v>
      </c>
      <c r="P1075" t="str">
        <f>VLOOKUP(E1075,calculated_fields!$F$4:$G$6,2,FALSE)</f>
        <v>Economy</v>
      </c>
    </row>
    <row r="1076" spans="1:16">
      <c r="A1076" t="s">
        <v>1495</v>
      </c>
      <c r="B1076" t="s">
        <v>1455</v>
      </c>
      <c r="C1076" t="s">
        <v>229</v>
      </c>
      <c r="D1076">
        <v>2002</v>
      </c>
      <c r="E1076" t="s">
        <v>15</v>
      </c>
      <c r="F1076" t="s">
        <v>16</v>
      </c>
      <c r="G1076" t="s">
        <v>17</v>
      </c>
      <c r="H1076" t="s">
        <v>18</v>
      </c>
      <c r="I1076">
        <v>78.123000000000005</v>
      </c>
      <c r="J1076" t="s">
        <v>19</v>
      </c>
      <c r="K1076" t="s">
        <v>1496</v>
      </c>
      <c r="L1076" t="s">
        <v>21</v>
      </c>
      <c r="M1076" t="str">
        <f t="shared" si="48"/>
        <v>OK</v>
      </c>
      <c r="N1076" t="str">
        <f t="shared" si="49"/>
        <v>2000s</v>
      </c>
      <c r="O1076" t="str">
        <f t="shared" si="50"/>
        <v>High</v>
      </c>
      <c r="P1076" t="str">
        <f>VLOOKUP(E1076,calculated_fields!$F$4:$G$6,2,FALSE)</f>
        <v>Health</v>
      </c>
    </row>
    <row r="1077" spans="1:16">
      <c r="A1077" t="s">
        <v>1497</v>
      </c>
      <c r="B1077" t="s">
        <v>1455</v>
      </c>
      <c r="C1077" t="s">
        <v>229</v>
      </c>
      <c r="D1077">
        <v>2002</v>
      </c>
      <c r="E1077" t="s">
        <v>23</v>
      </c>
      <c r="F1077" t="s">
        <v>24</v>
      </c>
      <c r="G1077" t="s">
        <v>25</v>
      </c>
      <c r="H1077" t="s">
        <v>26</v>
      </c>
      <c r="I1077">
        <v>3834934</v>
      </c>
      <c r="J1077" t="s">
        <v>27</v>
      </c>
      <c r="K1077" t="s">
        <v>1496</v>
      </c>
      <c r="L1077" t="s">
        <v>21</v>
      </c>
      <c r="M1077" t="str">
        <f t="shared" si="48"/>
        <v>OK</v>
      </c>
      <c r="N1077" t="str">
        <f t="shared" si="49"/>
        <v>2000s</v>
      </c>
      <c r="O1077" t="str">
        <f t="shared" si="50"/>
        <v>N/A</v>
      </c>
      <c r="P1077" t="str">
        <f>VLOOKUP(E1077,calculated_fields!$F$4:$G$6,2,FALSE)</f>
        <v>Demographics</v>
      </c>
    </row>
    <row r="1078" spans="1:16">
      <c r="A1078" t="s">
        <v>1498</v>
      </c>
      <c r="B1078" t="s">
        <v>1455</v>
      </c>
      <c r="C1078" t="s">
        <v>229</v>
      </c>
      <c r="D1078">
        <v>2002</v>
      </c>
      <c r="E1078" t="s">
        <v>29</v>
      </c>
      <c r="F1078" t="s">
        <v>30</v>
      </c>
      <c r="G1078" t="s">
        <v>31</v>
      </c>
      <c r="H1078" t="s">
        <v>32</v>
      </c>
      <c r="I1078">
        <v>7723.4471949999997</v>
      </c>
      <c r="J1078" t="s">
        <v>33</v>
      </c>
      <c r="K1078" t="s">
        <v>1496</v>
      </c>
      <c r="L1078" t="s">
        <v>21</v>
      </c>
      <c r="M1078" t="str">
        <f t="shared" si="48"/>
        <v>OK</v>
      </c>
      <c r="N1078" t="str">
        <f t="shared" si="49"/>
        <v>2000s</v>
      </c>
      <c r="O1078" t="str">
        <f t="shared" si="50"/>
        <v>N/A</v>
      </c>
      <c r="P1078" t="str">
        <f>VLOOKUP(E1078,calculated_fields!$F$4:$G$6,2,FALSE)</f>
        <v>Economy</v>
      </c>
    </row>
    <row r="1079" spans="1:16">
      <c r="A1079" t="s">
        <v>1499</v>
      </c>
      <c r="B1079" t="s">
        <v>1455</v>
      </c>
      <c r="C1079" t="s">
        <v>229</v>
      </c>
      <c r="D1079">
        <v>2007</v>
      </c>
      <c r="E1079" t="s">
        <v>15</v>
      </c>
      <c r="F1079" t="s">
        <v>16</v>
      </c>
      <c r="G1079" t="s">
        <v>17</v>
      </c>
      <c r="H1079" t="s">
        <v>18</v>
      </c>
      <c r="I1079">
        <v>78.781999999999996</v>
      </c>
      <c r="J1079" t="s">
        <v>19</v>
      </c>
      <c r="K1079" t="s">
        <v>1500</v>
      </c>
      <c r="L1079" t="s">
        <v>21</v>
      </c>
      <c r="M1079" t="str">
        <f t="shared" si="48"/>
        <v>OK</v>
      </c>
      <c r="N1079" t="str">
        <f t="shared" si="49"/>
        <v>2000s</v>
      </c>
      <c r="O1079" t="str">
        <f t="shared" si="50"/>
        <v>High</v>
      </c>
      <c r="P1079" t="str">
        <f>VLOOKUP(E1079,calculated_fields!$F$4:$G$6,2,FALSE)</f>
        <v>Health</v>
      </c>
    </row>
    <row r="1080" spans="1:16">
      <c r="A1080" t="s">
        <v>1501</v>
      </c>
      <c r="B1080" t="s">
        <v>1455</v>
      </c>
      <c r="C1080" t="s">
        <v>229</v>
      </c>
      <c r="D1080">
        <v>2007</v>
      </c>
      <c r="E1080" t="s">
        <v>23</v>
      </c>
      <c r="F1080" t="s">
        <v>24</v>
      </c>
      <c r="G1080" t="s">
        <v>25</v>
      </c>
      <c r="H1080" t="s">
        <v>26</v>
      </c>
      <c r="I1080">
        <v>4133884</v>
      </c>
      <c r="J1080" t="s">
        <v>27</v>
      </c>
      <c r="K1080" t="s">
        <v>1500</v>
      </c>
      <c r="L1080" t="s">
        <v>21</v>
      </c>
      <c r="M1080" t="str">
        <f t="shared" si="48"/>
        <v>OK</v>
      </c>
      <c r="N1080" t="str">
        <f t="shared" si="49"/>
        <v>2000s</v>
      </c>
      <c r="O1080" t="str">
        <f t="shared" si="50"/>
        <v>N/A</v>
      </c>
      <c r="P1080" t="str">
        <f>VLOOKUP(E1080,calculated_fields!$F$4:$G$6,2,FALSE)</f>
        <v>Demographics</v>
      </c>
    </row>
    <row r="1081" spans="1:16">
      <c r="A1081" t="s">
        <v>1502</v>
      </c>
      <c r="B1081" t="s">
        <v>1455</v>
      </c>
      <c r="C1081" t="s">
        <v>229</v>
      </c>
      <c r="D1081">
        <v>2007</v>
      </c>
      <c r="E1081" t="s">
        <v>29</v>
      </c>
      <c r="F1081" t="s">
        <v>30</v>
      </c>
      <c r="G1081" t="s">
        <v>31</v>
      </c>
      <c r="H1081" t="s">
        <v>32</v>
      </c>
      <c r="I1081">
        <v>9645.06142</v>
      </c>
      <c r="J1081" t="s">
        <v>33</v>
      </c>
      <c r="K1081" t="s">
        <v>1500</v>
      </c>
      <c r="L1081" t="s">
        <v>21</v>
      </c>
      <c r="M1081" t="str">
        <f t="shared" si="48"/>
        <v>OK</v>
      </c>
      <c r="N1081" t="str">
        <f t="shared" si="49"/>
        <v>2000s</v>
      </c>
      <c r="O1081" t="str">
        <f t="shared" si="50"/>
        <v>N/A</v>
      </c>
      <c r="P1081" t="str">
        <f>VLOOKUP(E1081,calculated_fields!$F$4:$G$6,2,FALSE)</f>
        <v>Economy</v>
      </c>
    </row>
    <row r="1082" spans="1:16">
      <c r="A1082" t="s">
        <v>1503</v>
      </c>
      <c r="B1082" t="s">
        <v>1504</v>
      </c>
      <c r="C1082" t="s">
        <v>130</v>
      </c>
      <c r="D1082">
        <v>1952</v>
      </c>
      <c r="E1082" t="s">
        <v>15</v>
      </c>
      <c r="F1082" t="s">
        <v>16</v>
      </c>
      <c r="G1082" t="s">
        <v>17</v>
      </c>
      <c r="H1082" t="s">
        <v>18</v>
      </c>
      <c r="I1082">
        <v>40.476999999999997</v>
      </c>
      <c r="J1082" t="s">
        <v>19</v>
      </c>
      <c r="K1082" t="s">
        <v>1505</v>
      </c>
      <c r="L1082" t="s">
        <v>21</v>
      </c>
      <c r="M1082" t="str">
        <f t="shared" si="48"/>
        <v>OK</v>
      </c>
      <c r="N1082" t="str">
        <f t="shared" si="49"/>
        <v>1950s</v>
      </c>
      <c r="O1082" t="str">
        <f t="shared" si="50"/>
        <v>Low</v>
      </c>
      <c r="P1082" t="str">
        <f>VLOOKUP(E1082,calculated_fields!$F$4:$G$6,2,FALSE)</f>
        <v>Health</v>
      </c>
    </row>
    <row r="1083" spans="1:16">
      <c r="A1083" t="s">
        <v>1506</v>
      </c>
      <c r="B1083" t="s">
        <v>1504</v>
      </c>
      <c r="C1083" t="s">
        <v>130</v>
      </c>
      <c r="D1083">
        <v>1952</v>
      </c>
      <c r="E1083" t="s">
        <v>23</v>
      </c>
      <c r="F1083" t="s">
        <v>24</v>
      </c>
      <c r="G1083" t="s">
        <v>25</v>
      </c>
      <c r="H1083" t="s">
        <v>26</v>
      </c>
      <c r="I1083">
        <v>2977019</v>
      </c>
      <c r="J1083" t="s">
        <v>27</v>
      </c>
      <c r="K1083" t="s">
        <v>1505</v>
      </c>
      <c r="L1083" t="s">
        <v>21</v>
      </c>
      <c r="M1083" t="str">
        <f t="shared" si="48"/>
        <v>OK</v>
      </c>
      <c r="N1083" t="str">
        <f t="shared" si="49"/>
        <v>1950s</v>
      </c>
      <c r="O1083" t="str">
        <f t="shared" si="50"/>
        <v>N/A</v>
      </c>
      <c r="P1083" t="str">
        <f>VLOOKUP(E1083,calculated_fields!$F$4:$G$6,2,FALSE)</f>
        <v>Demographics</v>
      </c>
    </row>
    <row r="1084" spans="1:16">
      <c r="A1084" t="s">
        <v>1507</v>
      </c>
      <c r="B1084" t="s">
        <v>1504</v>
      </c>
      <c r="C1084" t="s">
        <v>130</v>
      </c>
      <c r="D1084">
        <v>1952</v>
      </c>
      <c r="E1084" t="s">
        <v>29</v>
      </c>
      <c r="F1084" t="s">
        <v>30</v>
      </c>
      <c r="G1084" t="s">
        <v>31</v>
      </c>
      <c r="H1084" t="s">
        <v>32</v>
      </c>
      <c r="I1084">
        <v>1388.594732</v>
      </c>
      <c r="J1084" t="s">
        <v>33</v>
      </c>
      <c r="K1084" t="s">
        <v>1505</v>
      </c>
      <c r="L1084" t="s">
        <v>21</v>
      </c>
      <c r="M1084" t="str">
        <f t="shared" si="48"/>
        <v>OK</v>
      </c>
      <c r="N1084" t="str">
        <f t="shared" si="49"/>
        <v>1950s</v>
      </c>
      <c r="O1084" t="str">
        <f t="shared" si="50"/>
        <v>N/A</v>
      </c>
      <c r="P1084" t="str">
        <f>VLOOKUP(E1084,calculated_fields!$F$4:$G$6,2,FALSE)</f>
        <v>Economy</v>
      </c>
    </row>
    <row r="1085" spans="1:16">
      <c r="A1085" t="s">
        <v>1508</v>
      </c>
      <c r="B1085" t="s">
        <v>1504</v>
      </c>
      <c r="C1085" t="s">
        <v>130</v>
      </c>
      <c r="D1085">
        <v>1957</v>
      </c>
      <c r="E1085" t="s">
        <v>15</v>
      </c>
      <c r="F1085" t="s">
        <v>16</v>
      </c>
      <c r="G1085" t="s">
        <v>17</v>
      </c>
      <c r="H1085" t="s">
        <v>18</v>
      </c>
      <c r="I1085">
        <v>42.469000000000001</v>
      </c>
      <c r="J1085" t="s">
        <v>19</v>
      </c>
      <c r="K1085" t="s">
        <v>1509</v>
      </c>
      <c r="L1085" t="s">
        <v>21</v>
      </c>
      <c r="M1085" t="str">
        <f t="shared" si="48"/>
        <v>OK</v>
      </c>
      <c r="N1085" t="str">
        <f t="shared" si="49"/>
        <v>1950s</v>
      </c>
      <c r="O1085" t="str">
        <f t="shared" si="50"/>
        <v>Low</v>
      </c>
      <c r="P1085" t="str">
        <f>VLOOKUP(E1085,calculated_fields!$F$4:$G$6,2,FALSE)</f>
        <v>Health</v>
      </c>
    </row>
    <row r="1086" spans="1:16">
      <c r="A1086" t="s">
        <v>1510</v>
      </c>
      <c r="B1086" t="s">
        <v>1504</v>
      </c>
      <c r="C1086" t="s">
        <v>130</v>
      </c>
      <c r="D1086">
        <v>1957</v>
      </c>
      <c r="E1086" t="s">
        <v>23</v>
      </c>
      <c r="F1086" t="s">
        <v>24</v>
      </c>
      <c r="G1086" t="s">
        <v>25</v>
      </c>
      <c r="H1086" t="s">
        <v>26</v>
      </c>
      <c r="I1086">
        <v>3300000</v>
      </c>
      <c r="J1086" t="s">
        <v>27</v>
      </c>
      <c r="K1086" t="s">
        <v>1509</v>
      </c>
      <c r="L1086" t="s">
        <v>21</v>
      </c>
      <c r="M1086" t="str">
        <f t="shared" si="48"/>
        <v>OK</v>
      </c>
      <c r="N1086" t="str">
        <f t="shared" si="49"/>
        <v>1950s</v>
      </c>
      <c r="O1086" t="str">
        <f t="shared" si="50"/>
        <v>N/A</v>
      </c>
      <c r="P1086" t="str">
        <f>VLOOKUP(E1086,calculated_fields!$F$4:$G$6,2,FALSE)</f>
        <v>Demographics</v>
      </c>
    </row>
    <row r="1087" spans="1:16">
      <c r="A1087" t="s">
        <v>1511</v>
      </c>
      <c r="B1087" t="s">
        <v>1504</v>
      </c>
      <c r="C1087" t="s">
        <v>130</v>
      </c>
      <c r="D1087">
        <v>1957</v>
      </c>
      <c r="E1087" t="s">
        <v>29</v>
      </c>
      <c r="F1087" t="s">
        <v>30</v>
      </c>
      <c r="G1087" t="s">
        <v>31</v>
      </c>
      <c r="H1087" t="s">
        <v>32</v>
      </c>
      <c r="I1087">
        <v>1500.895925</v>
      </c>
      <c r="J1087" t="s">
        <v>33</v>
      </c>
      <c r="K1087" t="s">
        <v>1509</v>
      </c>
      <c r="L1087" t="s">
        <v>21</v>
      </c>
      <c r="M1087" t="str">
        <f t="shared" si="48"/>
        <v>OK</v>
      </c>
      <c r="N1087" t="str">
        <f t="shared" si="49"/>
        <v>1950s</v>
      </c>
      <c r="O1087" t="str">
        <f t="shared" si="50"/>
        <v>N/A</v>
      </c>
      <c r="P1087" t="str">
        <f>VLOOKUP(E1087,calculated_fields!$F$4:$G$6,2,FALSE)</f>
        <v>Economy</v>
      </c>
    </row>
    <row r="1088" spans="1:16">
      <c r="A1088" t="s">
        <v>1512</v>
      </c>
      <c r="B1088" t="s">
        <v>1504</v>
      </c>
      <c r="C1088" t="s">
        <v>130</v>
      </c>
      <c r="D1088">
        <v>1962</v>
      </c>
      <c r="E1088" t="s">
        <v>15</v>
      </c>
      <c r="F1088" t="s">
        <v>16</v>
      </c>
      <c r="G1088" t="s">
        <v>17</v>
      </c>
      <c r="H1088" t="s">
        <v>18</v>
      </c>
      <c r="I1088">
        <v>44.93</v>
      </c>
      <c r="J1088" t="s">
        <v>19</v>
      </c>
      <c r="K1088" t="s">
        <v>1513</v>
      </c>
      <c r="L1088" t="s">
        <v>21</v>
      </c>
      <c r="M1088" t="str">
        <f t="shared" si="48"/>
        <v>OK</v>
      </c>
      <c r="N1088" t="str">
        <f t="shared" si="49"/>
        <v>1960s</v>
      </c>
      <c r="O1088" t="str">
        <f t="shared" si="50"/>
        <v>Low</v>
      </c>
      <c r="P1088" t="str">
        <f>VLOOKUP(E1088,calculated_fields!$F$4:$G$6,2,FALSE)</f>
        <v>Health</v>
      </c>
    </row>
    <row r="1089" spans="1:16">
      <c r="A1089" t="s">
        <v>1514</v>
      </c>
      <c r="B1089" t="s">
        <v>1504</v>
      </c>
      <c r="C1089" t="s">
        <v>130</v>
      </c>
      <c r="D1089">
        <v>1962</v>
      </c>
      <c r="E1089" t="s">
        <v>23</v>
      </c>
      <c r="F1089" t="s">
        <v>24</v>
      </c>
      <c r="G1089" t="s">
        <v>25</v>
      </c>
      <c r="H1089" t="s">
        <v>26</v>
      </c>
      <c r="I1089">
        <v>3832408</v>
      </c>
      <c r="J1089" t="s">
        <v>27</v>
      </c>
      <c r="K1089" t="s">
        <v>1513</v>
      </c>
      <c r="L1089" t="s">
        <v>21</v>
      </c>
      <c r="M1089" t="str">
        <f t="shared" si="48"/>
        <v>OK</v>
      </c>
      <c r="N1089" t="str">
        <f t="shared" si="49"/>
        <v>1960s</v>
      </c>
      <c r="O1089" t="str">
        <f t="shared" si="50"/>
        <v>N/A</v>
      </c>
      <c r="P1089" t="str">
        <f>VLOOKUP(E1089,calculated_fields!$F$4:$G$6,2,FALSE)</f>
        <v>Demographics</v>
      </c>
    </row>
    <row r="1090" spans="1:16">
      <c r="A1090" t="s">
        <v>1515</v>
      </c>
      <c r="B1090" t="s">
        <v>1504</v>
      </c>
      <c r="C1090" t="s">
        <v>130</v>
      </c>
      <c r="D1090">
        <v>1962</v>
      </c>
      <c r="E1090" t="s">
        <v>29</v>
      </c>
      <c r="F1090" t="s">
        <v>30</v>
      </c>
      <c r="G1090" t="s">
        <v>31</v>
      </c>
      <c r="H1090" t="s">
        <v>32</v>
      </c>
      <c r="I1090">
        <v>1728.869428</v>
      </c>
      <c r="J1090" t="s">
        <v>33</v>
      </c>
      <c r="K1090" t="s">
        <v>1513</v>
      </c>
      <c r="L1090" t="s">
        <v>21</v>
      </c>
      <c r="M1090" t="str">
        <f t="shared" ref="M1090:M1153" si="51">IF(AND(ISNUMBER(I1090),I1090&gt;=0),"OK","Review")</f>
        <v>OK</v>
      </c>
      <c r="N1090" t="str">
        <f t="shared" ref="N1090:N1153" si="52">FLOOR(D1090,10)&amp;"s"</f>
        <v>1960s</v>
      </c>
      <c r="O1090" t="str">
        <f t="shared" ref="O1090:O1153" si="53">IF(E1090="LIFE_EXP",IF(I1090&gt;=70,"High",IF(I1090&gt;=55,"Medium","Low")),"N/A")</f>
        <v>N/A</v>
      </c>
      <c r="P1090" t="str">
        <f>VLOOKUP(E1090,calculated_fields!$F$4:$G$6,2,FALSE)</f>
        <v>Economy</v>
      </c>
    </row>
    <row r="1091" spans="1:16">
      <c r="A1091" t="s">
        <v>1516</v>
      </c>
      <c r="B1091" t="s">
        <v>1504</v>
      </c>
      <c r="C1091" t="s">
        <v>130</v>
      </c>
      <c r="D1091">
        <v>1967</v>
      </c>
      <c r="E1091" t="s">
        <v>15</v>
      </c>
      <c r="F1091" t="s">
        <v>16</v>
      </c>
      <c r="G1091" t="s">
        <v>17</v>
      </c>
      <c r="H1091" t="s">
        <v>18</v>
      </c>
      <c r="I1091">
        <v>47.35</v>
      </c>
      <c r="J1091" t="s">
        <v>19</v>
      </c>
      <c r="K1091" t="s">
        <v>1517</v>
      </c>
      <c r="L1091" t="s">
        <v>21</v>
      </c>
      <c r="M1091" t="str">
        <f t="shared" si="51"/>
        <v>OK</v>
      </c>
      <c r="N1091" t="str">
        <f t="shared" si="52"/>
        <v>1960s</v>
      </c>
      <c r="O1091" t="str">
        <f t="shared" si="53"/>
        <v>Low</v>
      </c>
      <c r="P1091" t="str">
        <f>VLOOKUP(E1091,calculated_fields!$F$4:$G$6,2,FALSE)</f>
        <v>Health</v>
      </c>
    </row>
    <row r="1092" spans="1:16">
      <c r="A1092" t="s">
        <v>1518</v>
      </c>
      <c r="B1092" t="s">
        <v>1504</v>
      </c>
      <c r="C1092" t="s">
        <v>130</v>
      </c>
      <c r="D1092">
        <v>1967</v>
      </c>
      <c r="E1092" t="s">
        <v>23</v>
      </c>
      <c r="F1092" t="s">
        <v>24</v>
      </c>
      <c r="G1092" t="s">
        <v>25</v>
      </c>
      <c r="H1092" t="s">
        <v>26</v>
      </c>
      <c r="I1092">
        <v>4744870</v>
      </c>
      <c r="J1092" t="s">
        <v>27</v>
      </c>
      <c r="K1092" t="s">
        <v>1517</v>
      </c>
      <c r="L1092" t="s">
        <v>21</v>
      </c>
      <c r="M1092" t="str">
        <f t="shared" si="51"/>
        <v>OK</v>
      </c>
      <c r="N1092" t="str">
        <f t="shared" si="52"/>
        <v>1960s</v>
      </c>
      <c r="O1092" t="str">
        <f t="shared" si="53"/>
        <v>N/A</v>
      </c>
      <c r="P1092" t="str">
        <f>VLOOKUP(E1092,calculated_fields!$F$4:$G$6,2,FALSE)</f>
        <v>Demographics</v>
      </c>
    </row>
    <row r="1093" spans="1:16">
      <c r="A1093" t="s">
        <v>1519</v>
      </c>
      <c r="B1093" t="s">
        <v>1504</v>
      </c>
      <c r="C1093" t="s">
        <v>130</v>
      </c>
      <c r="D1093">
        <v>1967</v>
      </c>
      <c r="E1093" t="s">
        <v>29</v>
      </c>
      <c r="F1093" t="s">
        <v>30</v>
      </c>
      <c r="G1093" t="s">
        <v>31</v>
      </c>
      <c r="H1093" t="s">
        <v>32</v>
      </c>
      <c r="I1093">
        <v>2052.0504729999998</v>
      </c>
      <c r="J1093" t="s">
        <v>33</v>
      </c>
      <c r="K1093" t="s">
        <v>1517</v>
      </c>
      <c r="L1093" t="s">
        <v>21</v>
      </c>
      <c r="M1093" t="str">
        <f t="shared" si="51"/>
        <v>OK</v>
      </c>
      <c r="N1093" t="str">
        <f t="shared" si="52"/>
        <v>1960s</v>
      </c>
      <c r="O1093" t="str">
        <f t="shared" si="53"/>
        <v>N/A</v>
      </c>
      <c r="P1093" t="str">
        <f>VLOOKUP(E1093,calculated_fields!$F$4:$G$6,2,FALSE)</f>
        <v>Economy</v>
      </c>
    </row>
    <row r="1094" spans="1:16">
      <c r="A1094" t="s">
        <v>1520</v>
      </c>
      <c r="B1094" t="s">
        <v>1504</v>
      </c>
      <c r="C1094" t="s">
        <v>130</v>
      </c>
      <c r="D1094">
        <v>1972</v>
      </c>
      <c r="E1094" t="s">
        <v>15</v>
      </c>
      <c r="F1094" t="s">
        <v>16</v>
      </c>
      <c r="G1094" t="s">
        <v>17</v>
      </c>
      <c r="H1094" t="s">
        <v>18</v>
      </c>
      <c r="I1094">
        <v>49.801000000000002</v>
      </c>
      <c r="J1094" t="s">
        <v>19</v>
      </c>
      <c r="K1094" t="s">
        <v>1521</v>
      </c>
      <c r="L1094" t="s">
        <v>21</v>
      </c>
      <c r="M1094" t="str">
        <f t="shared" si="51"/>
        <v>OK</v>
      </c>
      <c r="N1094" t="str">
        <f t="shared" si="52"/>
        <v>1970s</v>
      </c>
      <c r="O1094" t="str">
        <f t="shared" si="53"/>
        <v>Low</v>
      </c>
      <c r="P1094" t="str">
        <f>VLOOKUP(E1094,calculated_fields!$F$4:$G$6,2,FALSE)</f>
        <v>Health</v>
      </c>
    </row>
    <row r="1095" spans="1:16">
      <c r="A1095" t="s">
        <v>1522</v>
      </c>
      <c r="B1095" t="s">
        <v>1504</v>
      </c>
      <c r="C1095" t="s">
        <v>130</v>
      </c>
      <c r="D1095">
        <v>1972</v>
      </c>
      <c r="E1095" t="s">
        <v>23</v>
      </c>
      <c r="F1095" t="s">
        <v>24</v>
      </c>
      <c r="G1095" t="s">
        <v>25</v>
      </c>
      <c r="H1095" t="s">
        <v>26</v>
      </c>
      <c r="I1095">
        <v>6071696</v>
      </c>
      <c r="J1095" t="s">
        <v>27</v>
      </c>
      <c r="K1095" t="s">
        <v>1521</v>
      </c>
      <c r="L1095" t="s">
        <v>21</v>
      </c>
      <c r="M1095" t="str">
        <f t="shared" si="51"/>
        <v>OK</v>
      </c>
      <c r="N1095" t="str">
        <f t="shared" si="52"/>
        <v>1970s</v>
      </c>
      <c r="O1095" t="str">
        <f t="shared" si="53"/>
        <v>N/A</v>
      </c>
      <c r="P1095" t="str">
        <f>VLOOKUP(E1095,calculated_fields!$F$4:$G$6,2,FALSE)</f>
        <v>Demographics</v>
      </c>
    </row>
    <row r="1096" spans="1:16">
      <c r="A1096" t="s">
        <v>1523</v>
      </c>
      <c r="B1096" t="s">
        <v>1504</v>
      </c>
      <c r="C1096" t="s">
        <v>130</v>
      </c>
      <c r="D1096">
        <v>1972</v>
      </c>
      <c r="E1096" t="s">
        <v>29</v>
      </c>
      <c r="F1096" t="s">
        <v>30</v>
      </c>
      <c r="G1096" t="s">
        <v>31</v>
      </c>
      <c r="H1096" t="s">
        <v>32</v>
      </c>
      <c r="I1096">
        <v>2378.2011109999999</v>
      </c>
      <c r="J1096" t="s">
        <v>33</v>
      </c>
      <c r="K1096" t="s">
        <v>1521</v>
      </c>
      <c r="L1096" t="s">
        <v>21</v>
      </c>
      <c r="M1096" t="str">
        <f t="shared" si="51"/>
        <v>OK</v>
      </c>
      <c r="N1096" t="str">
        <f t="shared" si="52"/>
        <v>1970s</v>
      </c>
      <c r="O1096" t="str">
        <f t="shared" si="53"/>
        <v>N/A</v>
      </c>
      <c r="P1096" t="str">
        <f>VLOOKUP(E1096,calculated_fields!$F$4:$G$6,2,FALSE)</f>
        <v>Economy</v>
      </c>
    </row>
    <row r="1097" spans="1:16">
      <c r="A1097" t="s">
        <v>1524</v>
      </c>
      <c r="B1097" t="s">
        <v>1504</v>
      </c>
      <c r="C1097" t="s">
        <v>130</v>
      </c>
      <c r="D1097">
        <v>1977</v>
      </c>
      <c r="E1097" t="s">
        <v>15</v>
      </c>
      <c r="F1097" t="s">
        <v>16</v>
      </c>
      <c r="G1097" t="s">
        <v>17</v>
      </c>
      <c r="H1097" t="s">
        <v>18</v>
      </c>
      <c r="I1097">
        <v>52.374000000000002</v>
      </c>
      <c r="J1097" t="s">
        <v>19</v>
      </c>
      <c r="K1097" t="s">
        <v>1525</v>
      </c>
      <c r="L1097" t="s">
        <v>21</v>
      </c>
      <c r="M1097" t="str">
        <f t="shared" si="51"/>
        <v>OK</v>
      </c>
      <c r="N1097" t="str">
        <f t="shared" si="52"/>
        <v>1970s</v>
      </c>
      <c r="O1097" t="str">
        <f t="shared" si="53"/>
        <v>Low</v>
      </c>
      <c r="P1097" t="str">
        <f>VLOOKUP(E1097,calculated_fields!$F$4:$G$6,2,FALSE)</f>
        <v>Health</v>
      </c>
    </row>
    <row r="1098" spans="1:16">
      <c r="A1098" t="s">
        <v>1526</v>
      </c>
      <c r="B1098" t="s">
        <v>1504</v>
      </c>
      <c r="C1098" t="s">
        <v>130</v>
      </c>
      <c r="D1098">
        <v>1977</v>
      </c>
      <c r="E1098" t="s">
        <v>23</v>
      </c>
      <c r="F1098" t="s">
        <v>24</v>
      </c>
      <c r="G1098" t="s">
        <v>25</v>
      </c>
      <c r="H1098" t="s">
        <v>26</v>
      </c>
      <c r="I1098">
        <v>7459574</v>
      </c>
      <c r="J1098" t="s">
        <v>27</v>
      </c>
      <c r="K1098" t="s">
        <v>1525</v>
      </c>
      <c r="L1098" t="s">
        <v>21</v>
      </c>
      <c r="M1098" t="str">
        <f t="shared" si="51"/>
        <v>OK</v>
      </c>
      <c r="N1098" t="str">
        <f t="shared" si="52"/>
        <v>1970s</v>
      </c>
      <c r="O1098" t="str">
        <f t="shared" si="53"/>
        <v>N/A</v>
      </c>
      <c r="P1098" t="str">
        <f>VLOOKUP(E1098,calculated_fields!$F$4:$G$6,2,FALSE)</f>
        <v>Demographics</v>
      </c>
    </row>
    <row r="1099" spans="1:16">
      <c r="A1099" t="s">
        <v>1527</v>
      </c>
      <c r="B1099" t="s">
        <v>1504</v>
      </c>
      <c r="C1099" t="s">
        <v>130</v>
      </c>
      <c r="D1099">
        <v>1977</v>
      </c>
      <c r="E1099" t="s">
        <v>29</v>
      </c>
      <c r="F1099" t="s">
        <v>30</v>
      </c>
      <c r="G1099" t="s">
        <v>31</v>
      </c>
      <c r="H1099" t="s">
        <v>32</v>
      </c>
      <c r="I1099">
        <v>2517.736547</v>
      </c>
      <c r="J1099" t="s">
        <v>33</v>
      </c>
      <c r="K1099" t="s">
        <v>1525</v>
      </c>
      <c r="L1099" t="s">
        <v>21</v>
      </c>
      <c r="M1099" t="str">
        <f t="shared" si="51"/>
        <v>OK</v>
      </c>
      <c r="N1099" t="str">
        <f t="shared" si="52"/>
        <v>1970s</v>
      </c>
      <c r="O1099" t="str">
        <f t="shared" si="53"/>
        <v>N/A</v>
      </c>
      <c r="P1099" t="str">
        <f>VLOOKUP(E1099,calculated_fields!$F$4:$G$6,2,FALSE)</f>
        <v>Economy</v>
      </c>
    </row>
    <row r="1100" spans="1:16">
      <c r="A1100" t="s">
        <v>1528</v>
      </c>
      <c r="B1100" t="s">
        <v>1504</v>
      </c>
      <c r="C1100" t="s">
        <v>130</v>
      </c>
      <c r="D1100">
        <v>1982</v>
      </c>
      <c r="E1100" t="s">
        <v>15</v>
      </c>
      <c r="F1100" t="s">
        <v>16</v>
      </c>
      <c r="G1100" t="s">
        <v>17</v>
      </c>
      <c r="H1100" t="s">
        <v>18</v>
      </c>
      <c r="I1100">
        <v>53.982999999999997</v>
      </c>
      <c r="J1100" t="s">
        <v>19</v>
      </c>
      <c r="K1100" t="s">
        <v>1529</v>
      </c>
      <c r="L1100" t="s">
        <v>21</v>
      </c>
      <c r="M1100" t="str">
        <f t="shared" si="51"/>
        <v>OK</v>
      </c>
      <c r="N1100" t="str">
        <f t="shared" si="52"/>
        <v>1980s</v>
      </c>
      <c r="O1100" t="str">
        <f t="shared" si="53"/>
        <v>Low</v>
      </c>
      <c r="P1100" t="str">
        <f>VLOOKUP(E1100,calculated_fields!$F$4:$G$6,2,FALSE)</f>
        <v>Health</v>
      </c>
    </row>
    <row r="1101" spans="1:16">
      <c r="A1101" t="s">
        <v>1530</v>
      </c>
      <c r="B1101" t="s">
        <v>1504</v>
      </c>
      <c r="C1101" t="s">
        <v>130</v>
      </c>
      <c r="D1101">
        <v>1982</v>
      </c>
      <c r="E1101" t="s">
        <v>23</v>
      </c>
      <c r="F1101" t="s">
        <v>24</v>
      </c>
      <c r="G1101" t="s">
        <v>25</v>
      </c>
      <c r="H1101" t="s">
        <v>26</v>
      </c>
      <c r="I1101">
        <v>9025951</v>
      </c>
      <c r="J1101" t="s">
        <v>27</v>
      </c>
      <c r="K1101" t="s">
        <v>1529</v>
      </c>
      <c r="L1101" t="s">
        <v>21</v>
      </c>
      <c r="M1101" t="str">
        <f t="shared" si="51"/>
        <v>OK</v>
      </c>
      <c r="N1101" t="str">
        <f t="shared" si="52"/>
        <v>1980s</v>
      </c>
      <c r="O1101" t="str">
        <f t="shared" si="53"/>
        <v>N/A</v>
      </c>
      <c r="P1101" t="str">
        <f>VLOOKUP(E1101,calculated_fields!$F$4:$G$6,2,FALSE)</f>
        <v>Demographics</v>
      </c>
    </row>
    <row r="1102" spans="1:16">
      <c r="A1102" t="s">
        <v>1531</v>
      </c>
      <c r="B1102" t="s">
        <v>1504</v>
      </c>
      <c r="C1102" t="s">
        <v>130</v>
      </c>
      <c r="D1102">
        <v>1982</v>
      </c>
      <c r="E1102" t="s">
        <v>29</v>
      </c>
      <c r="F1102" t="s">
        <v>30</v>
      </c>
      <c r="G1102" t="s">
        <v>31</v>
      </c>
      <c r="H1102" t="s">
        <v>32</v>
      </c>
      <c r="I1102">
        <v>2602.710169</v>
      </c>
      <c r="J1102" t="s">
        <v>33</v>
      </c>
      <c r="K1102" t="s">
        <v>1529</v>
      </c>
      <c r="L1102" t="s">
        <v>21</v>
      </c>
      <c r="M1102" t="str">
        <f t="shared" si="51"/>
        <v>OK</v>
      </c>
      <c r="N1102" t="str">
        <f t="shared" si="52"/>
        <v>1980s</v>
      </c>
      <c r="O1102" t="str">
        <f t="shared" si="53"/>
        <v>N/A</v>
      </c>
      <c r="P1102" t="str">
        <f>VLOOKUP(E1102,calculated_fields!$F$4:$G$6,2,FALSE)</f>
        <v>Economy</v>
      </c>
    </row>
    <row r="1103" spans="1:16">
      <c r="A1103" t="s">
        <v>1532</v>
      </c>
      <c r="B1103" t="s">
        <v>1504</v>
      </c>
      <c r="C1103" t="s">
        <v>130</v>
      </c>
      <c r="D1103">
        <v>1987</v>
      </c>
      <c r="E1103" t="s">
        <v>15</v>
      </c>
      <c r="F1103" t="s">
        <v>16</v>
      </c>
      <c r="G1103" t="s">
        <v>17</v>
      </c>
      <c r="H1103" t="s">
        <v>18</v>
      </c>
      <c r="I1103">
        <v>54.655000000000001</v>
      </c>
      <c r="J1103" t="s">
        <v>19</v>
      </c>
      <c r="K1103" t="s">
        <v>1533</v>
      </c>
      <c r="L1103" t="s">
        <v>21</v>
      </c>
      <c r="M1103" t="str">
        <f t="shared" si="51"/>
        <v>OK</v>
      </c>
      <c r="N1103" t="str">
        <f t="shared" si="52"/>
        <v>1980s</v>
      </c>
      <c r="O1103" t="str">
        <f t="shared" si="53"/>
        <v>Low</v>
      </c>
      <c r="P1103" t="str">
        <f>VLOOKUP(E1103,calculated_fields!$F$4:$G$6,2,FALSE)</f>
        <v>Health</v>
      </c>
    </row>
    <row r="1104" spans="1:16">
      <c r="A1104" t="s">
        <v>1534</v>
      </c>
      <c r="B1104" t="s">
        <v>1504</v>
      </c>
      <c r="C1104" t="s">
        <v>130</v>
      </c>
      <c r="D1104">
        <v>1987</v>
      </c>
      <c r="E1104" t="s">
        <v>23</v>
      </c>
      <c r="F1104" t="s">
        <v>24</v>
      </c>
      <c r="G1104" t="s">
        <v>25</v>
      </c>
      <c r="H1104" t="s">
        <v>26</v>
      </c>
      <c r="I1104">
        <v>10761098</v>
      </c>
      <c r="J1104" t="s">
        <v>27</v>
      </c>
      <c r="K1104" t="s">
        <v>1533</v>
      </c>
      <c r="L1104" t="s">
        <v>21</v>
      </c>
      <c r="M1104" t="str">
        <f t="shared" si="51"/>
        <v>OK</v>
      </c>
      <c r="N1104" t="str">
        <f t="shared" si="52"/>
        <v>1980s</v>
      </c>
      <c r="O1104" t="str">
        <f t="shared" si="53"/>
        <v>N/A</v>
      </c>
      <c r="P1104" t="str">
        <f>VLOOKUP(E1104,calculated_fields!$F$4:$G$6,2,FALSE)</f>
        <v>Demographics</v>
      </c>
    </row>
    <row r="1105" spans="1:16">
      <c r="A1105" t="s">
        <v>1535</v>
      </c>
      <c r="B1105" t="s">
        <v>1504</v>
      </c>
      <c r="C1105" t="s">
        <v>130</v>
      </c>
      <c r="D1105">
        <v>1987</v>
      </c>
      <c r="E1105" t="s">
        <v>29</v>
      </c>
      <c r="F1105" t="s">
        <v>30</v>
      </c>
      <c r="G1105" t="s">
        <v>31</v>
      </c>
      <c r="H1105" t="s">
        <v>32</v>
      </c>
      <c r="I1105">
        <v>2156.9560689999998</v>
      </c>
      <c r="J1105" t="s">
        <v>33</v>
      </c>
      <c r="K1105" t="s">
        <v>1533</v>
      </c>
      <c r="L1105" t="s">
        <v>21</v>
      </c>
      <c r="M1105" t="str">
        <f t="shared" si="51"/>
        <v>OK</v>
      </c>
      <c r="N1105" t="str">
        <f t="shared" si="52"/>
        <v>1980s</v>
      </c>
      <c r="O1105" t="str">
        <f t="shared" si="53"/>
        <v>N/A</v>
      </c>
      <c r="P1105" t="str">
        <f>VLOOKUP(E1105,calculated_fields!$F$4:$G$6,2,FALSE)</f>
        <v>Economy</v>
      </c>
    </row>
    <row r="1106" spans="1:16">
      <c r="A1106" t="s">
        <v>1536</v>
      </c>
      <c r="B1106" t="s">
        <v>1504</v>
      </c>
      <c r="C1106" t="s">
        <v>130</v>
      </c>
      <c r="D1106">
        <v>1992</v>
      </c>
      <c r="E1106" t="s">
        <v>15</v>
      </c>
      <c r="F1106" t="s">
        <v>16</v>
      </c>
      <c r="G1106" t="s">
        <v>17</v>
      </c>
      <c r="H1106" t="s">
        <v>18</v>
      </c>
      <c r="I1106">
        <v>52.043999999999997</v>
      </c>
      <c r="J1106" t="s">
        <v>19</v>
      </c>
      <c r="K1106" t="s">
        <v>1537</v>
      </c>
      <c r="L1106" t="s">
        <v>21</v>
      </c>
      <c r="M1106" t="str">
        <f t="shared" si="51"/>
        <v>OK</v>
      </c>
      <c r="N1106" t="str">
        <f t="shared" si="52"/>
        <v>1990s</v>
      </c>
      <c r="O1106" t="str">
        <f t="shared" si="53"/>
        <v>Low</v>
      </c>
      <c r="P1106" t="str">
        <f>VLOOKUP(E1106,calculated_fields!$F$4:$G$6,2,FALSE)</f>
        <v>Health</v>
      </c>
    </row>
    <row r="1107" spans="1:16">
      <c r="A1107" t="s">
        <v>1538</v>
      </c>
      <c r="B1107" t="s">
        <v>1504</v>
      </c>
      <c r="C1107" t="s">
        <v>130</v>
      </c>
      <c r="D1107">
        <v>1992</v>
      </c>
      <c r="E1107" t="s">
        <v>23</v>
      </c>
      <c r="F1107" t="s">
        <v>24</v>
      </c>
      <c r="G1107" t="s">
        <v>25</v>
      </c>
      <c r="H1107" t="s">
        <v>26</v>
      </c>
      <c r="I1107">
        <v>12772596</v>
      </c>
      <c r="J1107" t="s">
        <v>27</v>
      </c>
      <c r="K1107" t="s">
        <v>1537</v>
      </c>
      <c r="L1107" t="s">
        <v>21</v>
      </c>
      <c r="M1107" t="str">
        <f t="shared" si="51"/>
        <v>OK</v>
      </c>
      <c r="N1107" t="str">
        <f t="shared" si="52"/>
        <v>1990s</v>
      </c>
      <c r="O1107" t="str">
        <f t="shared" si="53"/>
        <v>N/A</v>
      </c>
      <c r="P1107" t="str">
        <f>VLOOKUP(E1107,calculated_fields!$F$4:$G$6,2,FALSE)</f>
        <v>Demographics</v>
      </c>
    </row>
    <row r="1108" spans="1:16">
      <c r="A1108" t="s">
        <v>1539</v>
      </c>
      <c r="B1108" t="s">
        <v>1504</v>
      </c>
      <c r="C1108" t="s">
        <v>130</v>
      </c>
      <c r="D1108">
        <v>1992</v>
      </c>
      <c r="E1108" t="s">
        <v>29</v>
      </c>
      <c r="F1108" t="s">
        <v>30</v>
      </c>
      <c r="G1108" t="s">
        <v>31</v>
      </c>
      <c r="H1108" t="s">
        <v>32</v>
      </c>
      <c r="I1108">
        <v>1648.073791</v>
      </c>
      <c r="J1108" t="s">
        <v>33</v>
      </c>
      <c r="K1108" t="s">
        <v>1537</v>
      </c>
      <c r="L1108" t="s">
        <v>21</v>
      </c>
      <c r="M1108" t="str">
        <f t="shared" si="51"/>
        <v>OK</v>
      </c>
      <c r="N1108" t="str">
        <f t="shared" si="52"/>
        <v>1990s</v>
      </c>
      <c r="O1108" t="str">
        <f t="shared" si="53"/>
        <v>N/A</v>
      </c>
      <c r="P1108" t="str">
        <f>VLOOKUP(E1108,calculated_fields!$F$4:$G$6,2,FALSE)</f>
        <v>Economy</v>
      </c>
    </row>
    <row r="1109" spans="1:16">
      <c r="A1109" t="s">
        <v>1540</v>
      </c>
      <c r="B1109" t="s">
        <v>1504</v>
      </c>
      <c r="C1109" t="s">
        <v>130</v>
      </c>
      <c r="D1109">
        <v>1997</v>
      </c>
      <c r="E1109" t="s">
        <v>15</v>
      </c>
      <c r="F1109" t="s">
        <v>16</v>
      </c>
      <c r="G1109" t="s">
        <v>17</v>
      </c>
      <c r="H1109" t="s">
        <v>18</v>
      </c>
      <c r="I1109">
        <v>47.991</v>
      </c>
      <c r="J1109" t="s">
        <v>19</v>
      </c>
      <c r="K1109" t="s">
        <v>1541</v>
      </c>
      <c r="L1109" t="s">
        <v>21</v>
      </c>
      <c r="M1109" t="str">
        <f t="shared" si="51"/>
        <v>OK</v>
      </c>
      <c r="N1109" t="str">
        <f t="shared" si="52"/>
        <v>1990s</v>
      </c>
      <c r="O1109" t="str">
        <f t="shared" si="53"/>
        <v>Low</v>
      </c>
      <c r="P1109" t="str">
        <f>VLOOKUP(E1109,calculated_fields!$F$4:$G$6,2,FALSE)</f>
        <v>Health</v>
      </c>
    </row>
    <row r="1110" spans="1:16">
      <c r="A1110" t="s">
        <v>1542</v>
      </c>
      <c r="B1110" t="s">
        <v>1504</v>
      </c>
      <c r="C1110" t="s">
        <v>130</v>
      </c>
      <c r="D1110">
        <v>1997</v>
      </c>
      <c r="E1110" t="s">
        <v>23</v>
      </c>
      <c r="F1110" t="s">
        <v>24</v>
      </c>
      <c r="G1110" t="s">
        <v>25</v>
      </c>
      <c r="H1110" t="s">
        <v>26</v>
      </c>
      <c r="I1110">
        <v>14625967</v>
      </c>
      <c r="J1110" t="s">
        <v>27</v>
      </c>
      <c r="K1110" t="s">
        <v>1541</v>
      </c>
      <c r="L1110" t="s">
        <v>21</v>
      </c>
      <c r="M1110" t="str">
        <f t="shared" si="51"/>
        <v>OK</v>
      </c>
      <c r="N1110" t="str">
        <f t="shared" si="52"/>
        <v>1990s</v>
      </c>
      <c r="O1110" t="str">
        <f t="shared" si="53"/>
        <v>N/A</v>
      </c>
      <c r="P1110" t="str">
        <f>VLOOKUP(E1110,calculated_fields!$F$4:$G$6,2,FALSE)</f>
        <v>Demographics</v>
      </c>
    </row>
    <row r="1111" spans="1:16">
      <c r="A1111" t="s">
        <v>1543</v>
      </c>
      <c r="B1111" t="s">
        <v>1504</v>
      </c>
      <c r="C1111" t="s">
        <v>130</v>
      </c>
      <c r="D1111">
        <v>1997</v>
      </c>
      <c r="E1111" t="s">
        <v>29</v>
      </c>
      <c r="F1111" t="s">
        <v>30</v>
      </c>
      <c r="G1111" t="s">
        <v>31</v>
      </c>
      <c r="H1111" t="s">
        <v>32</v>
      </c>
      <c r="I1111">
        <v>1786.2654070000001</v>
      </c>
      <c r="J1111" t="s">
        <v>33</v>
      </c>
      <c r="K1111" t="s">
        <v>1541</v>
      </c>
      <c r="L1111" t="s">
        <v>21</v>
      </c>
      <c r="M1111" t="str">
        <f t="shared" si="51"/>
        <v>OK</v>
      </c>
      <c r="N1111" t="str">
        <f t="shared" si="52"/>
        <v>1990s</v>
      </c>
      <c r="O1111" t="str">
        <f t="shared" si="53"/>
        <v>N/A</v>
      </c>
      <c r="P1111" t="str">
        <f>VLOOKUP(E1111,calculated_fields!$F$4:$G$6,2,FALSE)</f>
        <v>Economy</v>
      </c>
    </row>
    <row r="1112" spans="1:16">
      <c r="A1112" t="s">
        <v>1544</v>
      </c>
      <c r="B1112" t="s">
        <v>1504</v>
      </c>
      <c r="C1112" t="s">
        <v>130</v>
      </c>
      <c r="D1112">
        <v>2002</v>
      </c>
      <c r="E1112" t="s">
        <v>15</v>
      </c>
      <c r="F1112" t="s">
        <v>16</v>
      </c>
      <c r="G1112" t="s">
        <v>17</v>
      </c>
      <c r="H1112" t="s">
        <v>18</v>
      </c>
      <c r="I1112">
        <v>46.832000000000001</v>
      </c>
      <c r="J1112" t="s">
        <v>19</v>
      </c>
      <c r="K1112" t="s">
        <v>1545</v>
      </c>
      <c r="L1112" t="s">
        <v>21</v>
      </c>
      <c r="M1112" t="str">
        <f t="shared" si="51"/>
        <v>OK</v>
      </c>
      <c r="N1112" t="str">
        <f t="shared" si="52"/>
        <v>2000s</v>
      </c>
      <c r="O1112" t="str">
        <f t="shared" si="53"/>
        <v>Low</v>
      </c>
      <c r="P1112" t="str">
        <f>VLOOKUP(E1112,calculated_fields!$F$4:$G$6,2,FALSE)</f>
        <v>Health</v>
      </c>
    </row>
    <row r="1113" spans="1:16">
      <c r="A1113" t="s">
        <v>1546</v>
      </c>
      <c r="B1113" t="s">
        <v>1504</v>
      </c>
      <c r="C1113" t="s">
        <v>130</v>
      </c>
      <c r="D1113">
        <v>2002</v>
      </c>
      <c r="E1113" t="s">
        <v>23</v>
      </c>
      <c r="F1113" t="s">
        <v>24</v>
      </c>
      <c r="G1113" t="s">
        <v>25</v>
      </c>
      <c r="H1113" t="s">
        <v>26</v>
      </c>
      <c r="I1113">
        <v>16252726</v>
      </c>
      <c r="J1113" t="s">
        <v>27</v>
      </c>
      <c r="K1113" t="s">
        <v>1545</v>
      </c>
      <c r="L1113" t="s">
        <v>21</v>
      </c>
      <c r="M1113" t="str">
        <f t="shared" si="51"/>
        <v>OK</v>
      </c>
      <c r="N1113" t="str">
        <f t="shared" si="52"/>
        <v>2000s</v>
      </c>
      <c r="O1113" t="str">
        <f t="shared" si="53"/>
        <v>N/A</v>
      </c>
      <c r="P1113" t="str">
        <f>VLOOKUP(E1113,calculated_fields!$F$4:$G$6,2,FALSE)</f>
        <v>Demographics</v>
      </c>
    </row>
    <row r="1114" spans="1:16">
      <c r="A1114" t="s">
        <v>1547</v>
      </c>
      <c r="B1114" t="s">
        <v>1504</v>
      </c>
      <c r="C1114" t="s">
        <v>130</v>
      </c>
      <c r="D1114">
        <v>2002</v>
      </c>
      <c r="E1114" t="s">
        <v>29</v>
      </c>
      <c r="F1114" t="s">
        <v>30</v>
      </c>
      <c r="G1114" t="s">
        <v>31</v>
      </c>
      <c r="H1114" t="s">
        <v>32</v>
      </c>
      <c r="I1114">
        <v>1648.800823</v>
      </c>
      <c r="J1114" t="s">
        <v>33</v>
      </c>
      <c r="K1114" t="s">
        <v>1545</v>
      </c>
      <c r="L1114" t="s">
        <v>21</v>
      </c>
      <c r="M1114" t="str">
        <f t="shared" si="51"/>
        <v>OK</v>
      </c>
      <c r="N1114" t="str">
        <f t="shared" si="52"/>
        <v>2000s</v>
      </c>
      <c r="O1114" t="str">
        <f t="shared" si="53"/>
        <v>N/A</v>
      </c>
      <c r="P1114" t="str">
        <f>VLOOKUP(E1114,calculated_fields!$F$4:$G$6,2,FALSE)</f>
        <v>Economy</v>
      </c>
    </row>
    <row r="1115" spans="1:16">
      <c r="A1115" t="s">
        <v>1548</v>
      </c>
      <c r="B1115" t="s">
        <v>1504</v>
      </c>
      <c r="C1115" t="s">
        <v>130</v>
      </c>
      <c r="D1115">
        <v>2007</v>
      </c>
      <c r="E1115" t="s">
        <v>15</v>
      </c>
      <c r="F1115" t="s">
        <v>16</v>
      </c>
      <c r="G1115" t="s">
        <v>17</v>
      </c>
      <c r="H1115" t="s">
        <v>18</v>
      </c>
      <c r="I1115">
        <v>48.328000000000003</v>
      </c>
      <c r="J1115" t="s">
        <v>19</v>
      </c>
      <c r="K1115" t="s">
        <v>1549</v>
      </c>
      <c r="L1115" t="s">
        <v>21</v>
      </c>
      <c r="M1115" t="str">
        <f t="shared" si="51"/>
        <v>OK</v>
      </c>
      <c r="N1115" t="str">
        <f t="shared" si="52"/>
        <v>2000s</v>
      </c>
      <c r="O1115" t="str">
        <f t="shared" si="53"/>
        <v>Low</v>
      </c>
      <c r="P1115" t="str">
        <f>VLOOKUP(E1115,calculated_fields!$F$4:$G$6,2,FALSE)</f>
        <v>Health</v>
      </c>
    </row>
    <row r="1116" spans="1:16">
      <c r="A1116" t="s">
        <v>1550</v>
      </c>
      <c r="B1116" t="s">
        <v>1504</v>
      </c>
      <c r="C1116" t="s">
        <v>130</v>
      </c>
      <c r="D1116">
        <v>2007</v>
      </c>
      <c r="E1116" t="s">
        <v>23</v>
      </c>
      <c r="F1116" t="s">
        <v>24</v>
      </c>
      <c r="G1116" t="s">
        <v>25</v>
      </c>
      <c r="H1116" t="s">
        <v>26</v>
      </c>
      <c r="I1116">
        <v>18013409</v>
      </c>
      <c r="J1116" t="s">
        <v>27</v>
      </c>
      <c r="K1116" t="s">
        <v>1549</v>
      </c>
      <c r="L1116" t="s">
        <v>21</v>
      </c>
      <c r="M1116" t="str">
        <f t="shared" si="51"/>
        <v>OK</v>
      </c>
      <c r="N1116" t="str">
        <f t="shared" si="52"/>
        <v>2000s</v>
      </c>
      <c r="O1116" t="str">
        <f t="shared" si="53"/>
        <v>N/A</v>
      </c>
      <c r="P1116" t="str">
        <f>VLOOKUP(E1116,calculated_fields!$F$4:$G$6,2,FALSE)</f>
        <v>Demographics</v>
      </c>
    </row>
    <row r="1117" spans="1:16">
      <c r="A1117" t="s">
        <v>1551</v>
      </c>
      <c r="B1117" t="s">
        <v>1504</v>
      </c>
      <c r="C1117" t="s">
        <v>130</v>
      </c>
      <c r="D1117">
        <v>2007</v>
      </c>
      <c r="E1117" t="s">
        <v>29</v>
      </c>
      <c r="F1117" t="s">
        <v>30</v>
      </c>
      <c r="G1117" t="s">
        <v>31</v>
      </c>
      <c r="H1117" t="s">
        <v>32</v>
      </c>
      <c r="I1117">
        <v>1544.7501119999999</v>
      </c>
      <c r="J1117" t="s">
        <v>33</v>
      </c>
      <c r="K1117" t="s">
        <v>1549</v>
      </c>
      <c r="L1117" t="s">
        <v>21</v>
      </c>
      <c r="M1117" t="str">
        <f t="shared" si="51"/>
        <v>OK</v>
      </c>
      <c r="N1117" t="str">
        <f t="shared" si="52"/>
        <v>2000s</v>
      </c>
      <c r="O1117" t="str">
        <f t="shared" si="53"/>
        <v>N/A</v>
      </c>
      <c r="P1117" t="str">
        <f>VLOOKUP(E1117,calculated_fields!$F$4:$G$6,2,FALSE)</f>
        <v>Economy</v>
      </c>
    </row>
    <row r="1118" spans="1:16">
      <c r="A1118" t="s">
        <v>1552</v>
      </c>
      <c r="B1118" t="s">
        <v>1553</v>
      </c>
      <c r="C1118" t="s">
        <v>80</v>
      </c>
      <c r="D1118">
        <v>1952</v>
      </c>
      <c r="E1118" t="s">
        <v>15</v>
      </c>
      <c r="F1118" t="s">
        <v>16</v>
      </c>
      <c r="G1118" t="s">
        <v>17</v>
      </c>
      <c r="H1118" t="s">
        <v>18</v>
      </c>
      <c r="I1118">
        <v>61.21</v>
      </c>
      <c r="J1118" t="s">
        <v>19</v>
      </c>
      <c r="K1118" t="s">
        <v>1554</v>
      </c>
      <c r="L1118" t="s">
        <v>21</v>
      </c>
      <c r="M1118" t="str">
        <f t="shared" si="51"/>
        <v>OK</v>
      </c>
      <c r="N1118" t="str">
        <f t="shared" si="52"/>
        <v>1950s</v>
      </c>
      <c r="O1118" t="str">
        <f t="shared" si="53"/>
        <v>Medium</v>
      </c>
      <c r="P1118" t="str">
        <f>VLOOKUP(E1118,calculated_fields!$F$4:$G$6,2,FALSE)</f>
        <v>Health</v>
      </c>
    </row>
    <row r="1119" spans="1:16">
      <c r="A1119" t="s">
        <v>1555</v>
      </c>
      <c r="B1119" t="s">
        <v>1553</v>
      </c>
      <c r="C1119" t="s">
        <v>80</v>
      </c>
      <c r="D1119">
        <v>1952</v>
      </c>
      <c r="E1119" t="s">
        <v>23</v>
      </c>
      <c r="F1119" t="s">
        <v>24</v>
      </c>
      <c r="G1119" t="s">
        <v>25</v>
      </c>
      <c r="H1119" t="s">
        <v>26</v>
      </c>
      <c r="I1119">
        <v>3882229</v>
      </c>
      <c r="J1119" t="s">
        <v>27</v>
      </c>
      <c r="K1119" t="s">
        <v>1554</v>
      </c>
      <c r="L1119" t="s">
        <v>21</v>
      </c>
      <c r="M1119" t="str">
        <f t="shared" si="51"/>
        <v>OK</v>
      </c>
      <c r="N1119" t="str">
        <f t="shared" si="52"/>
        <v>1950s</v>
      </c>
      <c r="O1119" t="str">
        <f t="shared" si="53"/>
        <v>N/A</v>
      </c>
      <c r="P1119" t="str">
        <f>VLOOKUP(E1119,calculated_fields!$F$4:$G$6,2,FALSE)</f>
        <v>Demographics</v>
      </c>
    </row>
    <row r="1120" spans="1:16">
      <c r="A1120" t="s">
        <v>1556</v>
      </c>
      <c r="B1120" t="s">
        <v>1553</v>
      </c>
      <c r="C1120" t="s">
        <v>80</v>
      </c>
      <c r="D1120">
        <v>1952</v>
      </c>
      <c r="E1120" t="s">
        <v>29</v>
      </c>
      <c r="F1120" t="s">
        <v>30</v>
      </c>
      <c r="G1120" t="s">
        <v>31</v>
      </c>
      <c r="H1120" t="s">
        <v>32</v>
      </c>
      <c r="I1120">
        <v>3119.2365199999999</v>
      </c>
      <c r="J1120" t="s">
        <v>33</v>
      </c>
      <c r="K1120" t="s">
        <v>1554</v>
      </c>
      <c r="L1120" t="s">
        <v>21</v>
      </c>
      <c r="M1120" t="str">
        <f t="shared" si="51"/>
        <v>OK</v>
      </c>
      <c r="N1120" t="str">
        <f t="shared" si="52"/>
        <v>1950s</v>
      </c>
      <c r="O1120" t="str">
        <f t="shared" si="53"/>
        <v>N/A</v>
      </c>
      <c r="P1120" t="str">
        <f>VLOOKUP(E1120,calculated_fields!$F$4:$G$6,2,FALSE)</f>
        <v>Economy</v>
      </c>
    </row>
    <row r="1121" spans="1:16">
      <c r="A1121" t="s">
        <v>1557</v>
      </c>
      <c r="B1121" t="s">
        <v>1553</v>
      </c>
      <c r="C1121" t="s">
        <v>80</v>
      </c>
      <c r="D1121">
        <v>1957</v>
      </c>
      <c r="E1121" t="s">
        <v>15</v>
      </c>
      <c r="F1121" t="s">
        <v>16</v>
      </c>
      <c r="G1121" t="s">
        <v>17</v>
      </c>
      <c r="H1121" t="s">
        <v>18</v>
      </c>
      <c r="I1121">
        <v>64.77</v>
      </c>
      <c r="J1121" t="s">
        <v>19</v>
      </c>
      <c r="K1121" t="s">
        <v>1558</v>
      </c>
      <c r="L1121" t="s">
        <v>21</v>
      </c>
      <c r="M1121" t="str">
        <f t="shared" si="51"/>
        <v>OK</v>
      </c>
      <c r="N1121" t="str">
        <f t="shared" si="52"/>
        <v>1950s</v>
      </c>
      <c r="O1121" t="str">
        <f t="shared" si="53"/>
        <v>Medium</v>
      </c>
      <c r="P1121" t="str">
        <f>VLOOKUP(E1121,calculated_fields!$F$4:$G$6,2,FALSE)</f>
        <v>Health</v>
      </c>
    </row>
    <row r="1122" spans="1:16">
      <c r="A1122" t="s">
        <v>1559</v>
      </c>
      <c r="B1122" t="s">
        <v>1553</v>
      </c>
      <c r="C1122" t="s">
        <v>80</v>
      </c>
      <c r="D1122">
        <v>1957</v>
      </c>
      <c r="E1122" t="s">
        <v>23</v>
      </c>
      <c r="F1122" t="s">
        <v>24</v>
      </c>
      <c r="G1122" t="s">
        <v>25</v>
      </c>
      <c r="H1122" t="s">
        <v>26</v>
      </c>
      <c r="I1122">
        <v>3991242</v>
      </c>
      <c r="J1122" t="s">
        <v>27</v>
      </c>
      <c r="K1122" t="s">
        <v>1558</v>
      </c>
      <c r="L1122" t="s">
        <v>21</v>
      </c>
      <c r="M1122" t="str">
        <f t="shared" si="51"/>
        <v>OK</v>
      </c>
      <c r="N1122" t="str">
        <f t="shared" si="52"/>
        <v>1950s</v>
      </c>
      <c r="O1122" t="str">
        <f t="shared" si="53"/>
        <v>N/A</v>
      </c>
      <c r="P1122" t="str">
        <f>VLOOKUP(E1122,calculated_fields!$F$4:$G$6,2,FALSE)</f>
        <v>Demographics</v>
      </c>
    </row>
    <row r="1123" spans="1:16">
      <c r="A1123" t="s">
        <v>1560</v>
      </c>
      <c r="B1123" t="s">
        <v>1553</v>
      </c>
      <c r="C1123" t="s">
        <v>80</v>
      </c>
      <c r="D1123">
        <v>1957</v>
      </c>
      <c r="E1123" t="s">
        <v>29</v>
      </c>
      <c r="F1123" t="s">
        <v>30</v>
      </c>
      <c r="G1123" t="s">
        <v>31</v>
      </c>
      <c r="H1123" t="s">
        <v>32</v>
      </c>
      <c r="I1123">
        <v>4338.2316170000004</v>
      </c>
      <c r="J1123" t="s">
        <v>33</v>
      </c>
      <c r="K1123" t="s">
        <v>1558</v>
      </c>
      <c r="L1123" t="s">
        <v>21</v>
      </c>
      <c r="M1123" t="str">
        <f t="shared" si="51"/>
        <v>OK</v>
      </c>
      <c r="N1123" t="str">
        <f t="shared" si="52"/>
        <v>1950s</v>
      </c>
      <c r="O1123" t="str">
        <f t="shared" si="53"/>
        <v>N/A</v>
      </c>
      <c r="P1123" t="str">
        <f>VLOOKUP(E1123,calculated_fields!$F$4:$G$6,2,FALSE)</f>
        <v>Economy</v>
      </c>
    </row>
    <row r="1124" spans="1:16">
      <c r="A1124" t="s">
        <v>1561</v>
      </c>
      <c r="B1124" t="s">
        <v>1553</v>
      </c>
      <c r="C1124" t="s">
        <v>80</v>
      </c>
      <c r="D1124">
        <v>1962</v>
      </c>
      <c r="E1124" t="s">
        <v>15</v>
      </c>
      <c r="F1124" t="s">
        <v>16</v>
      </c>
      <c r="G1124" t="s">
        <v>17</v>
      </c>
      <c r="H1124" t="s">
        <v>18</v>
      </c>
      <c r="I1124">
        <v>67.13</v>
      </c>
      <c r="J1124" t="s">
        <v>19</v>
      </c>
      <c r="K1124" t="s">
        <v>1562</v>
      </c>
      <c r="L1124" t="s">
        <v>21</v>
      </c>
      <c r="M1124" t="str">
        <f t="shared" si="51"/>
        <v>OK</v>
      </c>
      <c r="N1124" t="str">
        <f t="shared" si="52"/>
        <v>1960s</v>
      </c>
      <c r="O1124" t="str">
        <f t="shared" si="53"/>
        <v>Medium</v>
      </c>
      <c r="P1124" t="str">
        <f>VLOOKUP(E1124,calculated_fields!$F$4:$G$6,2,FALSE)</f>
        <v>Health</v>
      </c>
    </row>
    <row r="1125" spans="1:16">
      <c r="A1125" t="s">
        <v>1563</v>
      </c>
      <c r="B1125" t="s">
        <v>1553</v>
      </c>
      <c r="C1125" t="s">
        <v>80</v>
      </c>
      <c r="D1125">
        <v>1962</v>
      </c>
      <c r="E1125" t="s">
        <v>23</v>
      </c>
      <c r="F1125" t="s">
        <v>24</v>
      </c>
      <c r="G1125" t="s">
        <v>25</v>
      </c>
      <c r="H1125" t="s">
        <v>26</v>
      </c>
      <c r="I1125">
        <v>4076557</v>
      </c>
      <c r="J1125" t="s">
        <v>27</v>
      </c>
      <c r="K1125" t="s">
        <v>1562</v>
      </c>
      <c r="L1125" t="s">
        <v>21</v>
      </c>
      <c r="M1125" t="str">
        <f t="shared" si="51"/>
        <v>OK</v>
      </c>
      <c r="N1125" t="str">
        <f t="shared" si="52"/>
        <v>1960s</v>
      </c>
      <c r="O1125" t="str">
        <f t="shared" si="53"/>
        <v>N/A</v>
      </c>
      <c r="P1125" t="str">
        <f>VLOOKUP(E1125,calculated_fields!$F$4:$G$6,2,FALSE)</f>
        <v>Demographics</v>
      </c>
    </row>
    <row r="1126" spans="1:16">
      <c r="A1126" t="s">
        <v>1564</v>
      </c>
      <c r="B1126" t="s">
        <v>1553</v>
      </c>
      <c r="C1126" t="s">
        <v>80</v>
      </c>
      <c r="D1126">
        <v>1962</v>
      </c>
      <c r="E1126" t="s">
        <v>29</v>
      </c>
      <c r="F1126" t="s">
        <v>30</v>
      </c>
      <c r="G1126" t="s">
        <v>31</v>
      </c>
      <c r="H1126" t="s">
        <v>32</v>
      </c>
      <c r="I1126">
        <v>5477.8900180000001</v>
      </c>
      <c r="J1126" t="s">
        <v>33</v>
      </c>
      <c r="K1126" t="s">
        <v>1562</v>
      </c>
      <c r="L1126" t="s">
        <v>21</v>
      </c>
      <c r="M1126" t="str">
        <f t="shared" si="51"/>
        <v>OK</v>
      </c>
      <c r="N1126" t="str">
        <f t="shared" si="52"/>
        <v>1960s</v>
      </c>
      <c r="O1126" t="str">
        <f t="shared" si="53"/>
        <v>N/A</v>
      </c>
      <c r="P1126" t="str">
        <f>VLOOKUP(E1126,calculated_fields!$F$4:$G$6,2,FALSE)</f>
        <v>Economy</v>
      </c>
    </row>
    <row r="1127" spans="1:16">
      <c r="A1127" t="s">
        <v>1565</v>
      </c>
      <c r="B1127" t="s">
        <v>1553</v>
      </c>
      <c r="C1127" t="s">
        <v>80</v>
      </c>
      <c r="D1127">
        <v>1967</v>
      </c>
      <c r="E1127" t="s">
        <v>15</v>
      </c>
      <c r="F1127" t="s">
        <v>16</v>
      </c>
      <c r="G1127" t="s">
        <v>17</v>
      </c>
      <c r="H1127" t="s">
        <v>18</v>
      </c>
      <c r="I1127">
        <v>68.5</v>
      </c>
      <c r="J1127" t="s">
        <v>19</v>
      </c>
      <c r="K1127" t="s">
        <v>1566</v>
      </c>
      <c r="L1127" t="s">
        <v>21</v>
      </c>
      <c r="M1127" t="str">
        <f t="shared" si="51"/>
        <v>OK</v>
      </c>
      <c r="N1127" t="str">
        <f t="shared" si="52"/>
        <v>1960s</v>
      </c>
      <c r="O1127" t="str">
        <f t="shared" si="53"/>
        <v>Medium</v>
      </c>
      <c r="P1127" t="str">
        <f>VLOOKUP(E1127,calculated_fields!$F$4:$G$6,2,FALSE)</f>
        <v>Health</v>
      </c>
    </row>
    <row r="1128" spans="1:16">
      <c r="A1128" t="s">
        <v>1567</v>
      </c>
      <c r="B1128" t="s">
        <v>1553</v>
      </c>
      <c r="C1128" t="s">
        <v>80</v>
      </c>
      <c r="D1128">
        <v>1967</v>
      </c>
      <c r="E1128" t="s">
        <v>23</v>
      </c>
      <c r="F1128" t="s">
        <v>24</v>
      </c>
      <c r="G1128" t="s">
        <v>25</v>
      </c>
      <c r="H1128" t="s">
        <v>26</v>
      </c>
      <c r="I1128">
        <v>4174366</v>
      </c>
      <c r="J1128" t="s">
        <v>27</v>
      </c>
      <c r="K1128" t="s">
        <v>1566</v>
      </c>
      <c r="L1128" t="s">
        <v>21</v>
      </c>
      <c r="M1128" t="str">
        <f t="shared" si="51"/>
        <v>OK</v>
      </c>
      <c r="N1128" t="str">
        <f t="shared" si="52"/>
        <v>1960s</v>
      </c>
      <c r="O1128" t="str">
        <f t="shared" si="53"/>
        <v>N/A</v>
      </c>
      <c r="P1128" t="str">
        <f>VLOOKUP(E1128,calculated_fields!$F$4:$G$6,2,FALSE)</f>
        <v>Demographics</v>
      </c>
    </row>
    <row r="1129" spans="1:16">
      <c r="A1129" t="s">
        <v>1568</v>
      </c>
      <c r="B1129" t="s">
        <v>1553</v>
      </c>
      <c r="C1129" t="s">
        <v>80</v>
      </c>
      <c r="D1129">
        <v>1967</v>
      </c>
      <c r="E1129" t="s">
        <v>29</v>
      </c>
      <c r="F1129" t="s">
        <v>30</v>
      </c>
      <c r="G1129" t="s">
        <v>31</v>
      </c>
      <c r="H1129" t="s">
        <v>32</v>
      </c>
      <c r="I1129">
        <v>6960.297861</v>
      </c>
      <c r="J1129" t="s">
        <v>33</v>
      </c>
      <c r="K1129" t="s">
        <v>1566</v>
      </c>
      <c r="L1129" t="s">
        <v>21</v>
      </c>
      <c r="M1129" t="str">
        <f t="shared" si="51"/>
        <v>OK</v>
      </c>
      <c r="N1129" t="str">
        <f t="shared" si="52"/>
        <v>1960s</v>
      </c>
      <c r="O1129" t="str">
        <f t="shared" si="53"/>
        <v>N/A</v>
      </c>
      <c r="P1129" t="str">
        <f>VLOOKUP(E1129,calculated_fields!$F$4:$G$6,2,FALSE)</f>
        <v>Economy</v>
      </c>
    </row>
    <row r="1130" spans="1:16">
      <c r="A1130" t="s">
        <v>1569</v>
      </c>
      <c r="B1130" t="s">
        <v>1553</v>
      </c>
      <c r="C1130" t="s">
        <v>80</v>
      </c>
      <c r="D1130">
        <v>1972</v>
      </c>
      <c r="E1130" t="s">
        <v>15</v>
      </c>
      <c r="F1130" t="s">
        <v>16</v>
      </c>
      <c r="G1130" t="s">
        <v>17</v>
      </c>
      <c r="H1130" t="s">
        <v>18</v>
      </c>
      <c r="I1130">
        <v>69.61</v>
      </c>
      <c r="J1130" t="s">
        <v>19</v>
      </c>
      <c r="K1130" t="s">
        <v>1570</v>
      </c>
      <c r="L1130" t="s">
        <v>21</v>
      </c>
      <c r="M1130" t="str">
        <f t="shared" si="51"/>
        <v>OK</v>
      </c>
      <c r="N1130" t="str">
        <f t="shared" si="52"/>
        <v>1970s</v>
      </c>
      <c r="O1130" t="str">
        <f t="shared" si="53"/>
        <v>Medium</v>
      </c>
      <c r="P1130" t="str">
        <f>VLOOKUP(E1130,calculated_fields!$F$4:$G$6,2,FALSE)</f>
        <v>Health</v>
      </c>
    </row>
    <row r="1131" spans="1:16">
      <c r="A1131" t="s">
        <v>1571</v>
      </c>
      <c r="B1131" t="s">
        <v>1553</v>
      </c>
      <c r="C1131" t="s">
        <v>80</v>
      </c>
      <c r="D1131">
        <v>1972</v>
      </c>
      <c r="E1131" t="s">
        <v>23</v>
      </c>
      <c r="F1131" t="s">
        <v>24</v>
      </c>
      <c r="G1131" t="s">
        <v>25</v>
      </c>
      <c r="H1131" t="s">
        <v>26</v>
      </c>
      <c r="I1131">
        <v>4225310</v>
      </c>
      <c r="J1131" t="s">
        <v>27</v>
      </c>
      <c r="K1131" t="s">
        <v>1570</v>
      </c>
      <c r="L1131" t="s">
        <v>21</v>
      </c>
      <c r="M1131" t="str">
        <f t="shared" si="51"/>
        <v>OK</v>
      </c>
      <c r="N1131" t="str">
        <f t="shared" si="52"/>
        <v>1970s</v>
      </c>
      <c r="O1131" t="str">
        <f t="shared" si="53"/>
        <v>N/A</v>
      </c>
      <c r="P1131" t="str">
        <f>VLOOKUP(E1131,calculated_fields!$F$4:$G$6,2,FALSE)</f>
        <v>Demographics</v>
      </c>
    </row>
    <row r="1132" spans="1:16">
      <c r="A1132" t="s">
        <v>1572</v>
      </c>
      <c r="B1132" t="s">
        <v>1553</v>
      </c>
      <c r="C1132" t="s">
        <v>80</v>
      </c>
      <c r="D1132">
        <v>1972</v>
      </c>
      <c r="E1132" t="s">
        <v>29</v>
      </c>
      <c r="F1132" t="s">
        <v>30</v>
      </c>
      <c r="G1132" t="s">
        <v>31</v>
      </c>
      <c r="H1132" t="s">
        <v>32</v>
      </c>
      <c r="I1132">
        <v>9164.0901269999995</v>
      </c>
      <c r="J1132" t="s">
        <v>33</v>
      </c>
      <c r="K1132" t="s">
        <v>1570</v>
      </c>
      <c r="L1132" t="s">
        <v>21</v>
      </c>
      <c r="M1132" t="str">
        <f t="shared" si="51"/>
        <v>OK</v>
      </c>
      <c r="N1132" t="str">
        <f t="shared" si="52"/>
        <v>1970s</v>
      </c>
      <c r="O1132" t="str">
        <f t="shared" si="53"/>
        <v>N/A</v>
      </c>
      <c r="P1132" t="str">
        <f>VLOOKUP(E1132,calculated_fields!$F$4:$G$6,2,FALSE)</f>
        <v>Economy</v>
      </c>
    </row>
    <row r="1133" spans="1:16">
      <c r="A1133" t="s">
        <v>1573</v>
      </c>
      <c r="B1133" t="s">
        <v>1553</v>
      </c>
      <c r="C1133" t="s">
        <v>80</v>
      </c>
      <c r="D1133">
        <v>1977</v>
      </c>
      <c r="E1133" t="s">
        <v>15</v>
      </c>
      <c r="F1133" t="s">
        <v>16</v>
      </c>
      <c r="G1133" t="s">
        <v>17</v>
      </c>
      <c r="H1133" t="s">
        <v>18</v>
      </c>
      <c r="I1133">
        <v>70.64</v>
      </c>
      <c r="J1133" t="s">
        <v>19</v>
      </c>
      <c r="K1133" t="s">
        <v>1574</v>
      </c>
      <c r="L1133" t="s">
        <v>21</v>
      </c>
      <c r="M1133" t="str">
        <f t="shared" si="51"/>
        <v>OK</v>
      </c>
      <c r="N1133" t="str">
        <f t="shared" si="52"/>
        <v>1970s</v>
      </c>
      <c r="O1133" t="str">
        <f t="shared" si="53"/>
        <v>High</v>
      </c>
      <c r="P1133" t="str">
        <f>VLOOKUP(E1133,calculated_fields!$F$4:$G$6,2,FALSE)</f>
        <v>Health</v>
      </c>
    </row>
    <row r="1134" spans="1:16">
      <c r="A1134" t="s">
        <v>1575</v>
      </c>
      <c r="B1134" t="s">
        <v>1553</v>
      </c>
      <c r="C1134" t="s">
        <v>80</v>
      </c>
      <c r="D1134">
        <v>1977</v>
      </c>
      <c r="E1134" t="s">
        <v>23</v>
      </c>
      <c r="F1134" t="s">
        <v>24</v>
      </c>
      <c r="G1134" t="s">
        <v>25</v>
      </c>
      <c r="H1134" t="s">
        <v>26</v>
      </c>
      <c r="I1134">
        <v>4318673</v>
      </c>
      <c r="J1134" t="s">
        <v>27</v>
      </c>
      <c r="K1134" t="s">
        <v>1574</v>
      </c>
      <c r="L1134" t="s">
        <v>21</v>
      </c>
      <c r="M1134" t="str">
        <f t="shared" si="51"/>
        <v>OK</v>
      </c>
      <c r="N1134" t="str">
        <f t="shared" si="52"/>
        <v>1970s</v>
      </c>
      <c r="O1134" t="str">
        <f t="shared" si="53"/>
        <v>N/A</v>
      </c>
      <c r="P1134" t="str">
        <f>VLOOKUP(E1134,calculated_fields!$F$4:$G$6,2,FALSE)</f>
        <v>Demographics</v>
      </c>
    </row>
    <row r="1135" spans="1:16">
      <c r="A1135" t="s">
        <v>1576</v>
      </c>
      <c r="B1135" t="s">
        <v>1553</v>
      </c>
      <c r="C1135" t="s">
        <v>80</v>
      </c>
      <c r="D1135">
        <v>1977</v>
      </c>
      <c r="E1135" t="s">
        <v>29</v>
      </c>
      <c r="F1135" t="s">
        <v>30</v>
      </c>
      <c r="G1135" t="s">
        <v>31</v>
      </c>
      <c r="H1135" t="s">
        <v>32</v>
      </c>
      <c r="I1135">
        <v>11305.38517</v>
      </c>
      <c r="J1135" t="s">
        <v>33</v>
      </c>
      <c r="K1135" t="s">
        <v>1574</v>
      </c>
      <c r="L1135" t="s">
        <v>21</v>
      </c>
      <c r="M1135" t="str">
        <f t="shared" si="51"/>
        <v>OK</v>
      </c>
      <c r="N1135" t="str">
        <f t="shared" si="52"/>
        <v>1970s</v>
      </c>
      <c r="O1135" t="str">
        <f t="shared" si="53"/>
        <v>N/A</v>
      </c>
      <c r="P1135" t="str">
        <f>VLOOKUP(E1135,calculated_fields!$F$4:$G$6,2,FALSE)</f>
        <v>Economy</v>
      </c>
    </row>
    <row r="1136" spans="1:16">
      <c r="A1136" t="s">
        <v>1577</v>
      </c>
      <c r="B1136" t="s">
        <v>1553</v>
      </c>
      <c r="C1136" t="s">
        <v>80</v>
      </c>
      <c r="D1136">
        <v>1982</v>
      </c>
      <c r="E1136" t="s">
        <v>15</v>
      </c>
      <c r="F1136" t="s">
        <v>16</v>
      </c>
      <c r="G1136" t="s">
        <v>17</v>
      </c>
      <c r="H1136" t="s">
        <v>18</v>
      </c>
      <c r="I1136">
        <v>70.459999999999994</v>
      </c>
      <c r="J1136" t="s">
        <v>19</v>
      </c>
      <c r="K1136" t="s">
        <v>1578</v>
      </c>
      <c r="L1136" t="s">
        <v>21</v>
      </c>
      <c r="M1136" t="str">
        <f t="shared" si="51"/>
        <v>OK</v>
      </c>
      <c r="N1136" t="str">
        <f t="shared" si="52"/>
        <v>1980s</v>
      </c>
      <c r="O1136" t="str">
        <f t="shared" si="53"/>
        <v>High</v>
      </c>
      <c r="P1136" t="str">
        <f>VLOOKUP(E1136,calculated_fields!$F$4:$G$6,2,FALSE)</f>
        <v>Health</v>
      </c>
    </row>
    <row r="1137" spans="1:16">
      <c r="A1137" t="s">
        <v>1579</v>
      </c>
      <c r="B1137" t="s">
        <v>1553</v>
      </c>
      <c r="C1137" t="s">
        <v>80</v>
      </c>
      <c r="D1137">
        <v>1982</v>
      </c>
      <c r="E1137" t="s">
        <v>23</v>
      </c>
      <c r="F1137" t="s">
        <v>24</v>
      </c>
      <c r="G1137" t="s">
        <v>25</v>
      </c>
      <c r="H1137" t="s">
        <v>26</v>
      </c>
      <c r="I1137">
        <v>4413368</v>
      </c>
      <c r="J1137" t="s">
        <v>27</v>
      </c>
      <c r="K1137" t="s">
        <v>1578</v>
      </c>
      <c r="L1137" t="s">
        <v>21</v>
      </c>
      <c r="M1137" t="str">
        <f t="shared" si="51"/>
        <v>OK</v>
      </c>
      <c r="N1137" t="str">
        <f t="shared" si="52"/>
        <v>1980s</v>
      </c>
      <c r="O1137" t="str">
        <f t="shared" si="53"/>
        <v>N/A</v>
      </c>
      <c r="P1137" t="str">
        <f>VLOOKUP(E1137,calculated_fields!$F$4:$G$6,2,FALSE)</f>
        <v>Demographics</v>
      </c>
    </row>
    <row r="1138" spans="1:16">
      <c r="A1138" t="s">
        <v>1580</v>
      </c>
      <c r="B1138" t="s">
        <v>1553</v>
      </c>
      <c r="C1138" t="s">
        <v>80</v>
      </c>
      <c r="D1138">
        <v>1982</v>
      </c>
      <c r="E1138" t="s">
        <v>29</v>
      </c>
      <c r="F1138" t="s">
        <v>30</v>
      </c>
      <c r="G1138" t="s">
        <v>31</v>
      </c>
      <c r="H1138" t="s">
        <v>32</v>
      </c>
      <c r="I1138">
        <v>13221.821840000001</v>
      </c>
      <c r="J1138" t="s">
        <v>33</v>
      </c>
      <c r="K1138" t="s">
        <v>1578</v>
      </c>
      <c r="L1138" t="s">
        <v>21</v>
      </c>
      <c r="M1138" t="str">
        <f t="shared" si="51"/>
        <v>OK</v>
      </c>
      <c r="N1138" t="str">
        <f t="shared" si="52"/>
        <v>1980s</v>
      </c>
      <c r="O1138" t="str">
        <f t="shared" si="53"/>
        <v>N/A</v>
      </c>
      <c r="P1138" t="str">
        <f>VLOOKUP(E1138,calculated_fields!$F$4:$G$6,2,FALSE)</f>
        <v>Economy</v>
      </c>
    </row>
    <row r="1139" spans="1:16">
      <c r="A1139" t="s">
        <v>1581</v>
      </c>
      <c r="B1139" t="s">
        <v>1553</v>
      </c>
      <c r="C1139" t="s">
        <v>80</v>
      </c>
      <c r="D1139">
        <v>1987</v>
      </c>
      <c r="E1139" t="s">
        <v>15</v>
      </c>
      <c r="F1139" t="s">
        <v>16</v>
      </c>
      <c r="G1139" t="s">
        <v>17</v>
      </c>
      <c r="H1139" t="s">
        <v>18</v>
      </c>
      <c r="I1139">
        <v>71.52</v>
      </c>
      <c r="J1139" t="s">
        <v>19</v>
      </c>
      <c r="K1139" t="s">
        <v>1582</v>
      </c>
      <c r="L1139" t="s">
        <v>21</v>
      </c>
      <c r="M1139" t="str">
        <f t="shared" si="51"/>
        <v>OK</v>
      </c>
      <c r="N1139" t="str">
        <f t="shared" si="52"/>
        <v>1980s</v>
      </c>
      <c r="O1139" t="str">
        <f t="shared" si="53"/>
        <v>High</v>
      </c>
      <c r="P1139" t="str">
        <f>VLOOKUP(E1139,calculated_fields!$F$4:$G$6,2,FALSE)</f>
        <v>Health</v>
      </c>
    </row>
    <row r="1140" spans="1:16">
      <c r="A1140" t="s">
        <v>1583</v>
      </c>
      <c r="B1140" t="s">
        <v>1553</v>
      </c>
      <c r="C1140" t="s">
        <v>80</v>
      </c>
      <c r="D1140">
        <v>1987</v>
      </c>
      <c r="E1140" t="s">
        <v>23</v>
      </c>
      <c r="F1140" t="s">
        <v>24</v>
      </c>
      <c r="G1140" t="s">
        <v>25</v>
      </c>
      <c r="H1140" t="s">
        <v>26</v>
      </c>
      <c r="I1140">
        <v>4484310</v>
      </c>
      <c r="J1140" t="s">
        <v>27</v>
      </c>
      <c r="K1140" t="s">
        <v>1582</v>
      </c>
      <c r="L1140" t="s">
        <v>21</v>
      </c>
      <c r="M1140" t="str">
        <f t="shared" si="51"/>
        <v>OK</v>
      </c>
      <c r="N1140" t="str">
        <f t="shared" si="52"/>
        <v>1980s</v>
      </c>
      <c r="O1140" t="str">
        <f t="shared" si="53"/>
        <v>N/A</v>
      </c>
      <c r="P1140" t="str">
        <f>VLOOKUP(E1140,calculated_fields!$F$4:$G$6,2,FALSE)</f>
        <v>Demographics</v>
      </c>
    </row>
    <row r="1141" spans="1:16">
      <c r="A1141" t="s">
        <v>1584</v>
      </c>
      <c r="B1141" t="s">
        <v>1553</v>
      </c>
      <c r="C1141" t="s">
        <v>80</v>
      </c>
      <c r="D1141">
        <v>1987</v>
      </c>
      <c r="E1141" t="s">
        <v>29</v>
      </c>
      <c r="F1141" t="s">
        <v>30</v>
      </c>
      <c r="G1141" t="s">
        <v>31</v>
      </c>
      <c r="H1141" t="s">
        <v>32</v>
      </c>
      <c r="I1141">
        <v>13822.58394</v>
      </c>
      <c r="J1141" t="s">
        <v>33</v>
      </c>
      <c r="K1141" t="s">
        <v>1582</v>
      </c>
      <c r="L1141" t="s">
        <v>21</v>
      </c>
      <c r="M1141" t="str">
        <f t="shared" si="51"/>
        <v>OK</v>
      </c>
      <c r="N1141" t="str">
        <f t="shared" si="52"/>
        <v>1980s</v>
      </c>
      <c r="O1141" t="str">
        <f t="shared" si="53"/>
        <v>N/A</v>
      </c>
      <c r="P1141" t="str">
        <f>VLOOKUP(E1141,calculated_fields!$F$4:$G$6,2,FALSE)</f>
        <v>Economy</v>
      </c>
    </row>
    <row r="1142" spans="1:16">
      <c r="A1142" t="s">
        <v>1585</v>
      </c>
      <c r="B1142" t="s">
        <v>1553</v>
      </c>
      <c r="C1142" t="s">
        <v>80</v>
      </c>
      <c r="D1142">
        <v>1992</v>
      </c>
      <c r="E1142" t="s">
        <v>15</v>
      </c>
      <c r="F1142" t="s">
        <v>16</v>
      </c>
      <c r="G1142" t="s">
        <v>17</v>
      </c>
      <c r="H1142" t="s">
        <v>18</v>
      </c>
      <c r="I1142">
        <v>72.527000000000001</v>
      </c>
      <c r="J1142" t="s">
        <v>19</v>
      </c>
      <c r="K1142" t="s">
        <v>1586</v>
      </c>
      <c r="L1142" t="s">
        <v>21</v>
      </c>
      <c r="M1142" t="str">
        <f t="shared" si="51"/>
        <v>OK</v>
      </c>
      <c r="N1142" t="str">
        <f t="shared" si="52"/>
        <v>1990s</v>
      </c>
      <c r="O1142" t="str">
        <f t="shared" si="53"/>
        <v>High</v>
      </c>
      <c r="P1142" t="str">
        <f>VLOOKUP(E1142,calculated_fields!$F$4:$G$6,2,FALSE)</f>
        <v>Health</v>
      </c>
    </row>
    <row r="1143" spans="1:16">
      <c r="A1143" t="s">
        <v>1587</v>
      </c>
      <c r="B1143" t="s">
        <v>1553</v>
      </c>
      <c r="C1143" t="s">
        <v>80</v>
      </c>
      <c r="D1143">
        <v>1992</v>
      </c>
      <c r="E1143" t="s">
        <v>23</v>
      </c>
      <c r="F1143" t="s">
        <v>24</v>
      </c>
      <c r="G1143" t="s">
        <v>25</v>
      </c>
      <c r="H1143" t="s">
        <v>26</v>
      </c>
      <c r="I1143">
        <v>4494013</v>
      </c>
      <c r="J1143" t="s">
        <v>27</v>
      </c>
      <c r="K1143" t="s">
        <v>1586</v>
      </c>
      <c r="L1143" t="s">
        <v>21</v>
      </c>
      <c r="M1143" t="str">
        <f t="shared" si="51"/>
        <v>OK</v>
      </c>
      <c r="N1143" t="str">
        <f t="shared" si="52"/>
        <v>1990s</v>
      </c>
      <c r="O1143" t="str">
        <f t="shared" si="53"/>
        <v>N/A</v>
      </c>
      <c r="P1143" t="str">
        <f>VLOOKUP(E1143,calculated_fields!$F$4:$G$6,2,FALSE)</f>
        <v>Demographics</v>
      </c>
    </row>
    <row r="1144" spans="1:16">
      <c r="A1144" t="s">
        <v>1588</v>
      </c>
      <c r="B1144" t="s">
        <v>1553</v>
      </c>
      <c r="C1144" t="s">
        <v>80</v>
      </c>
      <c r="D1144">
        <v>1992</v>
      </c>
      <c r="E1144" t="s">
        <v>29</v>
      </c>
      <c r="F1144" t="s">
        <v>30</v>
      </c>
      <c r="G1144" t="s">
        <v>31</v>
      </c>
      <c r="H1144" t="s">
        <v>32</v>
      </c>
      <c r="I1144">
        <v>8447.7948730000007</v>
      </c>
      <c r="J1144" t="s">
        <v>33</v>
      </c>
      <c r="K1144" t="s">
        <v>1586</v>
      </c>
      <c r="L1144" t="s">
        <v>21</v>
      </c>
      <c r="M1144" t="str">
        <f t="shared" si="51"/>
        <v>OK</v>
      </c>
      <c r="N1144" t="str">
        <f t="shared" si="52"/>
        <v>1990s</v>
      </c>
      <c r="O1144" t="str">
        <f t="shared" si="53"/>
        <v>N/A</v>
      </c>
      <c r="P1144" t="str">
        <f>VLOOKUP(E1144,calculated_fields!$F$4:$G$6,2,FALSE)</f>
        <v>Economy</v>
      </c>
    </row>
    <row r="1145" spans="1:16">
      <c r="A1145" t="s">
        <v>1589</v>
      </c>
      <c r="B1145" t="s">
        <v>1553</v>
      </c>
      <c r="C1145" t="s">
        <v>80</v>
      </c>
      <c r="D1145">
        <v>1997</v>
      </c>
      <c r="E1145" t="s">
        <v>15</v>
      </c>
      <c r="F1145" t="s">
        <v>16</v>
      </c>
      <c r="G1145" t="s">
        <v>17</v>
      </c>
      <c r="H1145" t="s">
        <v>18</v>
      </c>
      <c r="I1145">
        <v>73.680000000000007</v>
      </c>
      <c r="J1145" t="s">
        <v>19</v>
      </c>
      <c r="K1145" t="s">
        <v>1590</v>
      </c>
      <c r="L1145" t="s">
        <v>21</v>
      </c>
      <c r="M1145" t="str">
        <f t="shared" si="51"/>
        <v>OK</v>
      </c>
      <c r="N1145" t="str">
        <f t="shared" si="52"/>
        <v>1990s</v>
      </c>
      <c r="O1145" t="str">
        <f t="shared" si="53"/>
        <v>High</v>
      </c>
      <c r="P1145" t="str">
        <f>VLOOKUP(E1145,calculated_fields!$F$4:$G$6,2,FALSE)</f>
        <v>Health</v>
      </c>
    </row>
    <row r="1146" spans="1:16">
      <c r="A1146" t="s">
        <v>1591</v>
      </c>
      <c r="B1146" t="s">
        <v>1553</v>
      </c>
      <c r="C1146" t="s">
        <v>80</v>
      </c>
      <c r="D1146">
        <v>1997</v>
      </c>
      <c r="E1146" t="s">
        <v>23</v>
      </c>
      <c r="F1146" t="s">
        <v>24</v>
      </c>
      <c r="G1146" t="s">
        <v>25</v>
      </c>
      <c r="H1146" t="s">
        <v>26</v>
      </c>
      <c r="I1146">
        <v>4444595</v>
      </c>
      <c r="J1146" t="s">
        <v>27</v>
      </c>
      <c r="K1146" t="s">
        <v>1590</v>
      </c>
      <c r="L1146" t="s">
        <v>21</v>
      </c>
      <c r="M1146" t="str">
        <f t="shared" si="51"/>
        <v>OK</v>
      </c>
      <c r="N1146" t="str">
        <f t="shared" si="52"/>
        <v>1990s</v>
      </c>
      <c r="O1146" t="str">
        <f t="shared" si="53"/>
        <v>N/A</v>
      </c>
      <c r="P1146" t="str">
        <f>VLOOKUP(E1146,calculated_fields!$F$4:$G$6,2,FALSE)</f>
        <v>Demographics</v>
      </c>
    </row>
    <row r="1147" spans="1:16">
      <c r="A1147" t="s">
        <v>1592</v>
      </c>
      <c r="B1147" t="s">
        <v>1553</v>
      </c>
      <c r="C1147" t="s">
        <v>80</v>
      </c>
      <c r="D1147">
        <v>1997</v>
      </c>
      <c r="E1147" t="s">
        <v>29</v>
      </c>
      <c r="F1147" t="s">
        <v>30</v>
      </c>
      <c r="G1147" t="s">
        <v>31</v>
      </c>
      <c r="H1147" t="s">
        <v>32</v>
      </c>
      <c r="I1147">
        <v>9875.6045150000009</v>
      </c>
      <c r="J1147" t="s">
        <v>33</v>
      </c>
      <c r="K1147" t="s">
        <v>1590</v>
      </c>
      <c r="L1147" t="s">
        <v>21</v>
      </c>
      <c r="M1147" t="str">
        <f t="shared" si="51"/>
        <v>OK</v>
      </c>
      <c r="N1147" t="str">
        <f t="shared" si="52"/>
        <v>1990s</v>
      </c>
      <c r="O1147" t="str">
        <f t="shared" si="53"/>
        <v>N/A</v>
      </c>
      <c r="P1147" t="str">
        <f>VLOOKUP(E1147,calculated_fields!$F$4:$G$6,2,FALSE)</f>
        <v>Economy</v>
      </c>
    </row>
    <row r="1148" spans="1:16">
      <c r="A1148" t="s">
        <v>1593</v>
      </c>
      <c r="B1148" t="s">
        <v>1553</v>
      </c>
      <c r="C1148" t="s">
        <v>80</v>
      </c>
      <c r="D1148">
        <v>2002</v>
      </c>
      <c r="E1148" t="s">
        <v>15</v>
      </c>
      <c r="F1148" t="s">
        <v>16</v>
      </c>
      <c r="G1148" t="s">
        <v>17</v>
      </c>
      <c r="H1148" t="s">
        <v>18</v>
      </c>
      <c r="I1148">
        <v>74.876000000000005</v>
      </c>
      <c r="J1148" t="s">
        <v>19</v>
      </c>
      <c r="K1148" t="s">
        <v>1594</v>
      </c>
      <c r="L1148" t="s">
        <v>21</v>
      </c>
      <c r="M1148" t="str">
        <f t="shared" si="51"/>
        <v>OK</v>
      </c>
      <c r="N1148" t="str">
        <f t="shared" si="52"/>
        <v>2000s</v>
      </c>
      <c r="O1148" t="str">
        <f t="shared" si="53"/>
        <v>High</v>
      </c>
      <c r="P1148" t="str">
        <f>VLOOKUP(E1148,calculated_fields!$F$4:$G$6,2,FALSE)</f>
        <v>Health</v>
      </c>
    </row>
    <row r="1149" spans="1:16">
      <c r="A1149" t="s">
        <v>1595</v>
      </c>
      <c r="B1149" t="s">
        <v>1553</v>
      </c>
      <c r="C1149" t="s">
        <v>80</v>
      </c>
      <c r="D1149">
        <v>2002</v>
      </c>
      <c r="E1149" t="s">
        <v>23</v>
      </c>
      <c r="F1149" t="s">
        <v>24</v>
      </c>
      <c r="G1149" t="s">
        <v>25</v>
      </c>
      <c r="H1149" t="s">
        <v>26</v>
      </c>
      <c r="I1149">
        <v>4481020</v>
      </c>
      <c r="J1149" t="s">
        <v>27</v>
      </c>
      <c r="K1149" t="s">
        <v>1594</v>
      </c>
      <c r="L1149" t="s">
        <v>21</v>
      </c>
      <c r="M1149" t="str">
        <f t="shared" si="51"/>
        <v>OK</v>
      </c>
      <c r="N1149" t="str">
        <f t="shared" si="52"/>
        <v>2000s</v>
      </c>
      <c r="O1149" t="str">
        <f t="shared" si="53"/>
        <v>N/A</v>
      </c>
      <c r="P1149" t="str">
        <f>VLOOKUP(E1149,calculated_fields!$F$4:$G$6,2,FALSE)</f>
        <v>Demographics</v>
      </c>
    </row>
    <row r="1150" spans="1:16">
      <c r="A1150" t="s">
        <v>1596</v>
      </c>
      <c r="B1150" t="s">
        <v>1553</v>
      </c>
      <c r="C1150" t="s">
        <v>80</v>
      </c>
      <c r="D1150">
        <v>2002</v>
      </c>
      <c r="E1150" t="s">
        <v>29</v>
      </c>
      <c r="F1150" t="s">
        <v>30</v>
      </c>
      <c r="G1150" t="s">
        <v>31</v>
      </c>
      <c r="H1150" t="s">
        <v>32</v>
      </c>
      <c r="I1150">
        <v>11628.38895</v>
      </c>
      <c r="J1150" t="s">
        <v>33</v>
      </c>
      <c r="K1150" t="s">
        <v>1594</v>
      </c>
      <c r="L1150" t="s">
        <v>21</v>
      </c>
      <c r="M1150" t="str">
        <f t="shared" si="51"/>
        <v>OK</v>
      </c>
      <c r="N1150" t="str">
        <f t="shared" si="52"/>
        <v>2000s</v>
      </c>
      <c r="O1150" t="str">
        <f t="shared" si="53"/>
        <v>N/A</v>
      </c>
      <c r="P1150" t="str">
        <f>VLOOKUP(E1150,calculated_fields!$F$4:$G$6,2,FALSE)</f>
        <v>Economy</v>
      </c>
    </row>
    <row r="1151" spans="1:16">
      <c r="A1151" t="s">
        <v>1597</v>
      </c>
      <c r="B1151" t="s">
        <v>1553</v>
      </c>
      <c r="C1151" t="s">
        <v>80</v>
      </c>
      <c r="D1151">
        <v>2007</v>
      </c>
      <c r="E1151" t="s">
        <v>15</v>
      </c>
      <c r="F1151" t="s">
        <v>16</v>
      </c>
      <c r="G1151" t="s">
        <v>17</v>
      </c>
      <c r="H1151" t="s">
        <v>18</v>
      </c>
      <c r="I1151">
        <v>75.748000000000005</v>
      </c>
      <c r="J1151" t="s">
        <v>19</v>
      </c>
      <c r="K1151" t="s">
        <v>1598</v>
      </c>
      <c r="L1151" t="s">
        <v>21</v>
      </c>
      <c r="M1151" t="str">
        <f t="shared" si="51"/>
        <v>OK</v>
      </c>
      <c r="N1151" t="str">
        <f t="shared" si="52"/>
        <v>2000s</v>
      </c>
      <c r="O1151" t="str">
        <f t="shared" si="53"/>
        <v>High</v>
      </c>
      <c r="P1151" t="str">
        <f>VLOOKUP(E1151,calculated_fields!$F$4:$G$6,2,FALSE)</f>
        <v>Health</v>
      </c>
    </row>
    <row r="1152" spans="1:16">
      <c r="A1152" t="s">
        <v>1599</v>
      </c>
      <c r="B1152" t="s">
        <v>1553</v>
      </c>
      <c r="C1152" t="s">
        <v>80</v>
      </c>
      <c r="D1152">
        <v>2007</v>
      </c>
      <c r="E1152" t="s">
        <v>23</v>
      </c>
      <c r="F1152" t="s">
        <v>24</v>
      </c>
      <c r="G1152" t="s">
        <v>25</v>
      </c>
      <c r="H1152" t="s">
        <v>26</v>
      </c>
      <c r="I1152">
        <v>4493312</v>
      </c>
      <c r="J1152" t="s">
        <v>27</v>
      </c>
      <c r="K1152" t="s">
        <v>1598</v>
      </c>
      <c r="L1152" t="s">
        <v>21</v>
      </c>
      <c r="M1152" t="str">
        <f t="shared" si="51"/>
        <v>OK</v>
      </c>
      <c r="N1152" t="str">
        <f t="shared" si="52"/>
        <v>2000s</v>
      </c>
      <c r="O1152" t="str">
        <f t="shared" si="53"/>
        <v>N/A</v>
      </c>
      <c r="P1152" t="str">
        <f>VLOOKUP(E1152,calculated_fields!$F$4:$G$6,2,FALSE)</f>
        <v>Demographics</v>
      </c>
    </row>
    <row r="1153" spans="1:16">
      <c r="A1153" t="s">
        <v>1600</v>
      </c>
      <c r="B1153" t="s">
        <v>1553</v>
      </c>
      <c r="C1153" t="s">
        <v>80</v>
      </c>
      <c r="D1153">
        <v>2007</v>
      </c>
      <c r="E1153" t="s">
        <v>29</v>
      </c>
      <c r="F1153" t="s">
        <v>30</v>
      </c>
      <c r="G1153" t="s">
        <v>31</v>
      </c>
      <c r="H1153" t="s">
        <v>32</v>
      </c>
      <c r="I1153">
        <v>14619.2227199999</v>
      </c>
      <c r="J1153" t="s">
        <v>33</v>
      </c>
      <c r="K1153" t="s">
        <v>1598</v>
      </c>
      <c r="L1153" t="s">
        <v>21</v>
      </c>
      <c r="M1153" t="str">
        <f t="shared" si="51"/>
        <v>OK</v>
      </c>
      <c r="N1153" t="str">
        <f t="shared" si="52"/>
        <v>2000s</v>
      </c>
      <c r="O1153" t="str">
        <f t="shared" si="53"/>
        <v>N/A</v>
      </c>
      <c r="P1153" t="str">
        <f>VLOOKUP(E1153,calculated_fields!$F$4:$G$6,2,FALSE)</f>
        <v>Economy</v>
      </c>
    </row>
    <row r="1154" spans="1:16">
      <c r="A1154" t="s">
        <v>1601</v>
      </c>
      <c r="B1154" t="s">
        <v>1602</v>
      </c>
      <c r="C1154" t="s">
        <v>229</v>
      </c>
      <c r="D1154">
        <v>1952</v>
      </c>
      <c r="E1154" t="s">
        <v>15</v>
      </c>
      <c r="F1154" t="s">
        <v>16</v>
      </c>
      <c r="G1154" t="s">
        <v>17</v>
      </c>
      <c r="H1154" t="s">
        <v>18</v>
      </c>
      <c r="I1154">
        <v>59.420999999999999</v>
      </c>
      <c r="J1154" t="s">
        <v>19</v>
      </c>
      <c r="K1154" t="s">
        <v>1603</v>
      </c>
      <c r="L1154" t="s">
        <v>21</v>
      </c>
      <c r="M1154" t="str">
        <f t="shared" ref="M1154:M1217" si="54">IF(AND(ISNUMBER(I1154),I1154&gt;=0),"OK","Review")</f>
        <v>OK</v>
      </c>
      <c r="N1154" t="str">
        <f t="shared" ref="N1154:N1217" si="55">FLOOR(D1154,10)&amp;"s"</f>
        <v>1950s</v>
      </c>
      <c r="O1154" t="str">
        <f t="shared" ref="O1154:O1217" si="56">IF(E1154="LIFE_EXP",IF(I1154&gt;=70,"High",IF(I1154&gt;=55,"Medium","Low")),"N/A")</f>
        <v>Medium</v>
      </c>
      <c r="P1154" t="str">
        <f>VLOOKUP(E1154,calculated_fields!$F$4:$G$6,2,FALSE)</f>
        <v>Health</v>
      </c>
    </row>
    <row r="1155" spans="1:16">
      <c r="A1155" t="s">
        <v>1604</v>
      </c>
      <c r="B1155" t="s">
        <v>1602</v>
      </c>
      <c r="C1155" t="s">
        <v>229</v>
      </c>
      <c r="D1155">
        <v>1952</v>
      </c>
      <c r="E1155" t="s">
        <v>23</v>
      </c>
      <c r="F1155" t="s">
        <v>24</v>
      </c>
      <c r="G1155" t="s">
        <v>25</v>
      </c>
      <c r="H1155" t="s">
        <v>26</v>
      </c>
      <c r="I1155">
        <v>6007797</v>
      </c>
      <c r="J1155" t="s">
        <v>27</v>
      </c>
      <c r="K1155" t="s">
        <v>1603</v>
      </c>
      <c r="L1155" t="s">
        <v>21</v>
      </c>
      <c r="M1155" t="str">
        <f t="shared" si="54"/>
        <v>OK</v>
      </c>
      <c r="N1155" t="str">
        <f t="shared" si="55"/>
        <v>1950s</v>
      </c>
      <c r="O1155" t="str">
        <f t="shared" si="56"/>
        <v>N/A</v>
      </c>
      <c r="P1155" t="str">
        <f>VLOOKUP(E1155,calculated_fields!$F$4:$G$6,2,FALSE)</f>
        <v>Demographics</v>
      </c>
    </row>
    <row r="1156" spans="1:16">
      <c r="A1156" t="s">
        <v>1605</v>
      </c>
      <c r="B1156" t="s">
        <v>1602</v>
      </c>
      <c r="C1156" t="s">
        <v>229</v>
      </c>
      <c r="D1156">
        <v>1952</v>
      </c>
      <c r="E1156" t="s">
        <v>29</v>
      </c>
      <c r="F1156" t="s">
        <v>30</v>
      </c>
      <c r="G1156" t="s">
        <v>31</v>
      </c>
      <c r="H1156" t="s">
        <v>32</v>
      </c>
      <c r="I1156">
        <v>5586.5387799999999</v>
      </c>
      <c r="J1156" t="s">
        <v>33</v>
      </c>
      <c r="K1156" t="s">
        <v>1603</v>
      </c>
      <c r="L1156" t="s">
        <v>21</v>
      </c>
      <c r="M1156" t="str">
        <f t="shared" si="54"/>
        <v>OK</v>
      </c>
      <c r="N1156" t="str">
        <f t="shared" si="55"/>
        <v>1950s</v>
      </c>
      <c r="O1156" t="str">
        <f t="shared" si="56"/>
        <v>N/A</v>
      </c>
      <c r="P1156" t="str">
        <f>VLOOKUP(E1156,calculated_fields!$F$4:$G$6,2,FALSE)</f>
        <v>Economy</v>
      </c>
    </row>
    <row r="1157" spans="1:16">
      <c r="A1157" t="s">
        <v>1606</v>
      </c>
      <c r="B1157" t="s">
        <v>1602</v>
      </c>
      <c r="C1157" t="s">
        <v>229</v>
      </c>
      <c r="D1157">
        <v>1957</v>
      </c>
      <c r="E1157" t="s">
        <v>15</v>
      </c>
      <c r="F1157" t="s">
        <v>16</v>
      </c>
      <c r="G1157" t="s">
        <v>17</v>
      </c>
      <c r="H1157" t="s">
        <v>18</v>
      </c>
      <c r="I1157">
        <v>62.325000000000003</v>
      </c>
      <c r="J1157" t="s">
        <v>19</v>
      </c>
      <c r="K1157" t="s">
        <v>1607</v>
      </c>
      <c r="L1157" t="s">
        <v>21</v>
      </c>
      <c r="M1157" t="str">
        <f t="shared" si="54"/>
        <v>OK</v>
      </c>
      <c r="N1157" t="str">
        <f t="shared" si="55"/>
        <v>1950s</v>
      </c>
      <c r="O1157" t="str">
        <f t="shared" si="56"/>
        <v>Medium</v>
      </c>
      <c r="P1157" t="str">
        <f>VLOOKUP(E1157,calculated_fields!$F$4:$G$6,2,FALSE)</f>
        <v>Health</v>
      </c>
    </row>
    <row r="1158" spans="1:16">
      <c r="A1158" t="s">
        <v>1608</v>
      </c>
      <c r="B1158" t="s">
        <v>1602</v>
      </c>
      <c r="C1158" t="s">
        <v>229</v>
      </c>
      <c r="D1158">
        <v>1957</v>
      </c>
      <c r="E1158" t="s">
        <v>23</v>
      </c>
      <c r="F1158" t="s">
        <v>24</v>
      </c>
      <c r="G1158" t="s">
        <v>25</v>
      </c>
      <c r="H1158" t="s">
        <v>26</v>
      </c>
      <c r="I1158">
        <v>6640752</v>
      </c>
      <c r="J1158" t="s">
        <v>27</v>
      </c>
      <c r="K1158" t="s">
        <v>1607</v>
      </c>
      <c r="L1158" t="s">
        <v>21</v>
      </c>
      <c r="M1158" t="str">
        <f t="shared" si="54"/>
        <v>OK</v>
      </c>
      <c r="N1158" t="str">
        <f t="shared" si="55"/>
        <v>1950s</v>
      </c>
      <c r="O1158" t="str">
        <f t="shared" si="56"/>
        <v>N/A</v>
      </c>
      <c r="P1158" t="str">
        <f>VLOOKUP(E1158,calculated_fields!$F$4:$G$6,2,FALSE)</f>
        <v>Demographics</v>
      </c>
    </row>
    <row r="1159" spans="1:16">
      <c r="A1159" t="s">
        <v>1609</v>
      </c>
      <c r="B1159" t="s">
        <v>1602</v>
      </c>
      <c r="C1159" t="s">
        <v>229</v>
      </c>
      <c r="D1159">
        <v>1957</v>
      </c>
      <c r="E1159" t="s">
        <v>29</v>
      </c>
      <c r="F1159" t="s">
        <v>30</v>
      </c>
      <c r="G1159" t="s">
        <v>31</v>
      </c>
      <c r="H1159" t="s">
        <v>32</v>
      </c>
      <c r="I1159">
        <v>6092.1743589999996</v>
      </c>
      <c r="J1159" t="s">
        <v>33</v>
      </c>
      <c r="K1159" t="s">
        <v>1607</v>
      </c>
      <c r="L1159" t="s">
        <v>21</v>
      </c>
      <c r="M1159" t="str">
        <f t="shared" si="54"/>
        <v>OK</v>
      </c>
      <c r="N1159" t="str">
        <f t="shared" si="55"/>
        <v>1950s</v>
      </c>
      <c r="O1159" t="str">
        <f t="shared" si="56"/>
        <v>N/A</v>
      </c>
      <c r="P1159" t="str">
        <f>VLOOKUP(E1159,calculated_fields!$F$4:$G$6,2,FALSE)</f>
        <v>Economy</v>
      </c>
    </row>
    <row r="1160" spans="1:16">
      <c r="A1160" t="s">
        <v>1610</v>
      </c>
      <c r="B1160" t="s">
        <v>1602</v>
      </c>
      <c r="C1160" t="s">
        <v>229</v>
      </c>
      <c r="D1160">
        <v>1962</v>
      </c>
      <c r="E1160" t="s">
        <v>15</v>
      </c>
      <c r="F1160" t="s">
        <v>16</v>
      </c>
      <c r="G1160" t="s">
        <v>17</v>
      </c>
      <c r="H1160" t="s">
        <v>18</v>
      </c>
      <c r="I1160">
        <v>65.245999999999995</v>
      </c>
      <c r="J1160" t="s">
        <v>19</v>
      </c>
      <c r="K1160" t="s">
        <v>1611</v>
      </c>
      <c r="L1160" t="s">
        <v>21</v>
      </c>
      <c r="M1160" t="str">
        <f t="shared" si="54"/>
        <v>OK</v>
      </c>
      <c r="N1160" t="str">
        <f t="shared" si="55"/>
        <v>1960s</v>
      </c>
      <c r="O1160" t="str">
        <f t="shared" si="56"/>
        <v>Medium</v>
      </c>
      <c r="P1160" t="str">
        <f>VLOOKUP(E1160,calculated_fields!$F$4:$G$6,2,FALSE)</f>
        <v>Health</v>
      </c>
    </row>
    <row r="1161" spans="1:16">
      <c r="A1161" t="s">
        <v>1612</v>
      </c>
      <c r="B1161" t="s">
        <v>1602</v>
      </c>
      <c r="C1161" t="s">
        <v>229</v>
      </c>
      <c r="D1161">
        <v>1962</v>
      </c>
      <c r="E1161" t="s">
        <v>23</v>
      </c>
      <c r="F1161" t="s">
        <v>24</v>
      </c>
      <c r="G1161" t="s">
        <v>25</v>
      </c>
      <c r="H1161" t="s">
        <v>26</v>
      </c>
      <c r="I1161">
        <v>7254373</v>
      </c>
      <c r="J1161" t="s">
        <v>27</v>
      </c>
      <c r="K1161" t="s">
        <v>1611</v>
      </c>
      <c r="L1161" t="s">
        <v>21</v>
      </c>
      <c r="M1161" t="str">
        <f t="shared" si="54"/>
        <v>OK</v>
      </c>
      <c r="N1161" t="str">
        <f t="shared" si="55"/>
        <v>1960s</v>
      </c>
      <c r="O1161" t="str">
        <f t="shared" si="56"/>
        <v>N/A</v>
      </c>
      <c r="P1161" t="str">
        <f>VLOOKUP(E1161,calculated_fields!$F$4:$G$6,2,FALSE)</f>
        <v>Demographics</v>
      </c>
    </row>
    <row r="1162" spans="1:16">
      <c r="A1162" t="s">
        <v>1613</v>
      </c>
      <c r="B1162" t="s">
        <v>1602</v>
      </c>
      <c r="C1162" t="s">
        <v>229</v>
      </c>
      <c r="D1162">
        <v>1962</v>
      </c>
      <c r="E1162" t="s">
        <v>29</v>
      </c>
      <c r="F1162" t="s">
        <v>30</v>
      </c>
      <c r="G1162" t="s">
        <v>31</v>
      </c>
      <c r="H1162" t="s">
        <v>32</v>
      </c>
      <c r="I1162">
        <v>5180.7559099999999</v>
      </c>
      <c r="J1162" t="s">
        <v>33</v>
      </c>
      <c r="K1162" t="s">
        <v>1611</v>
      </c>
      <c r="L1162" t="s">
        <v>21</v>
      </c>
      <c r="M1162" t="str">
        <f t="shared" si="54"/>
        <v>OK</v>
      </c>
      <c r="N1162" t="str">
        <f t="shared" si="55"/>
        <v>1960s</v>
      </c>
      <c r="O1162" t="str">
        <f t="shared" si="56"/>
        <v>N/A</v>
      </c>
      <c r="P1162" t="str">
        <f>VLOOKUP(E1162,calculated_fields!$F$4:$G$6,2,FALSE)</f>
        <v>Economy</v>
      </c>
    </row>
    <row r="1163" spans="1:16">
      <c r="A1163" t="s">
        <v>1614</v>
      </c>
      <c r="B1163" t="s">
        <v>1602</v>
      </c>
      <c r="C1163" t="s">
        <v>229</v>
      </c>
      <c r="D1163">
        <v>1967</v>
      </c>
      <c r="E1163" t="s">
        <v>15</v>
      </c>
      <c r="F1163" t="s">
        <v>16</v>
      </c>
      <c r="G1163" t="s">
        <v>17</v>
      </c>
      <c r="H1163" t="s">
        <v>18</v>
      </c>
      <c r="I1163">
        <v>68.290000000000006</v>
      </c>
      <c r="J1163" t="s">
        <v>19</v>
      </c>
      <c r="K1163" t="s">
        <v>1615</v>
      </c>
      <c r="L1163" t="s">
        <v>21</v>
      </c>
      <c r="M1163" t="str">
        <f t="shared" si="54"/>
        <v>OK</v>
      </c>
      <c r="N1163" t="str">
        <f t="shared" si="55"/>
        <v>1960s</v>
      </c>
      <c r="O1163" t="str">
        <f t="shared" si="56"/>
        <v>Medium</v>
      </c>
      <c r="P1163" t="str">
        <f>VLOOKUP(E1163,calculated_fields!$F$4:$G$6,2,FALSE)</f>
        <v>Health</v>
      </c>
    </row>
    <row r="1164" spans="1:16">
      <c r="A1164" t="s">
        <v>1616</v>
      </c>
      <c r="B1164" t="s">
        <v>1602</v>
      </c>
      <c r="C1164" t="s">
        <v>229</v>
      </c>
      <c r="D1164">
        <v>1967</v>
      </c>
      <c r="E1164" t="s">
        <v>23</v>
      </c>
      <c r="F1164" t="s">
        <v>24</v>
      </c>
      <c r="G1164" t="s">
        <v>25</v>
      </c>
      <c r="H1164" t="s">
        <v>26</v>
      </c>
      <c r="I1164">
        <v>8139332</v>
      </c>
      <c r="J1164" t="s">
        <v>27</v>
      </c>
      <c r="K1164" t="s">
        <v>1615</v>
      </c>
      <c r="L1164" t="s">
        <v>21</v>
      </c>
      <c r="M1164" t="str">
        <f t="shared" si="54"/>
        <v>OK</v>
      </c>
      <c r="N1164" t="str">
        <f t="shared" si="55"/>
        <v>1960s</v>
      </c>
      <c r="O1164" t="str">
        <f t="shared" si="56"/>
        <v>N/A</v>
      </c>
      <c r="P1164" t="str">
        <f>VLOOKUP(E1164,calculated_fields!$F$4:$G$6,2,FALSE)</f>
        <v>Demographics</v>
      </c>
    </row>
    <row r="1165" spans="1:16">
      <c r="A1165" t="s">
        <v>1617</v>
      </c>
      <c r="B1165" t="s">
        <v>1602</v>
      </c>
      <c r="C1165" t="s">
        <v>229</v>
      </c>
      <c r="D1165">
        <v>1967</v>
      </c>
      <c r="E1165" t="s">
        <v>29</v>
      </c>
      <c r="F1165" t="s">
        <v>30</v>
      </c>
      <c r="G1165" t="s">
        <v>31</v>
      </c>
      <c r="H1165" t="s">
        <v>32</v>
      </c>
      <c r="I1165">
        <v>5690.2680149999997</v>
      </c>
      <c r="J1165" t="s">
        <v>33</v>
      </c>
      <c r="K1165" t="s">
        <v>1615</v>
      </c>
      <c r="L1165" t="s">
        <v>21</v>
      </c>
      <c r="M1165" t="str">
        <f t="shared" si="54"/>
        <v>OK</v>
      </c>
      <c r="N1165" t="str">
        <f t="shared" si="55"/>
        <v>1960s</v>
      </c>
      <c r="O1165" t="str">
        <f t="shared" si="56"/>
        <v>N/A</v>
      </c>
      <c r="P1165" t="str">
        <f>VLOOKUP(E1165,calculated_fields!$F$4:$G$6,2,FALSE)</f>
        <v>Economy</v>
      </c>
    </row>
    <row r="1166" spans="1:16">
      <c r="A1166" t="s">
        <v>1618</v>
      </c>
      <c r="B1166" t="s">
        <v>1602</v>
      </c>
      <c r="C1166" t="s">
        <v>229</v>
      </c>
      <c r="D1166">
        <v>1972</v>
      </c>
      <c r="E1166" t="s">
        <v>15</v>
      </c>
      <c r="F1166" t="s">
        <v>16</v>
      </c>
      <c r="G1166" t="s">
        <v>17</v>
      </c>
      <c r="H1166" t="s">
        <v>18</v>
      </c>
      <c r="I1166">
        <v>70.722999999999999</v>
      </c>
      <c r="J1166" t="s">
        <v>19</v>
      </c>
      <c r="K1166" t="s">
        <v>1619</v>
      </c>
      <c r="L1166" t="s">
        <v>21</v>
      </c>
      <c r="M1166" t="str">
        <f t="shared" si="54"/>
        <v>OK</v>
      </c>
      <c r="N1166" t="str">
        <f t="shared" si="55"/>
        <v>1970s</v>
      </c>
      <c r="O1166" t="str">
        <f t="shared" si="56"/>
        <v>High</v>
      </c>
      <c r="P1166" t="str">
        <f>VLOOKUP(E1166,calculated_fields!$F$4:$G$6,2,FALSE)</f>
        <v>Health</v>
      </c>
    </row>
    <row r="1167" spans="1:16">
      <c r="A1167" t="s">
        <v>1620</v>
      </c>
      <c r="B1167" t="s">
        <v>1602</v>
      </c>
      <c r="C1167" t="s">
        <v>229</v>
      </c>
      <c r="D1167">
        <v>1972</v>
      </c>
      <c r="E1167" t="s">
        <v>23</v>
      </c>
      <c r="F1167" t="s">
        <v>24</v>
      </c>
      <c r="G1167" t="s">
        <v>25</v>
      </c>
      <c r="H1167" t="s">
        <v>26</v>
      </c>
      <c r="I1167">
        <v>8831348</v>
      </c>
      <c r="J1167" t="s">
        <v>27</v>
      </c>
      <c r="K1167" t="s">
        <v>1619</v>
      </c>
      <c r="L1167" t="s">
        <v>21</v>
      </c>
      <c r="M1167" t="str">
        <f t="shared" si="54"/>
        <v>OK</v>
      </c>
      <c r="N1167" t="str">
        <f t="shared" si="55"/>
        <v>1970s</v>
      </c>
      <c r="O1167" t="str">
        <f t="shared" si="56"/>
        <v>N/A</v>
      </c>
      <c r="P1167" t="str">
        <f>VLOOKUP(E1167,calculated_fields!$F$4:$G$6,2,FALSE)</f>
        <v>Demographics</v>
      </c>
    </row>
    <row r="1168" spans="1:16">
      <c r="A1168" t="s">
        <v>1621</v>
      </c>
      <c r="B1168" t="s">
        <v>1602</v>
      </c>
      <c r="C1168" t="s">
        <v>229</v>
      </c>
      <c r="D1168">
        <v>1972</v>
      </c>
      <c r="E1168" t="s">
        <v>29</v>
      </c>
      <c r="F1168" t="s">
        <v>30</v>
      </c>
      <c r="G1168" t="s">
        <v>31</v>
      </c>
      <c r="H1168" t="s">
        <v>32</v>
      </c>
      <c r="I1168">
        <v>5305.445256</v>
      </c>
      <c r="J1168" t="s">
        <v>33</v>
      </c>
      <c r="K1168" t="s">
        <v>1619</v>
      </c>
      <c r="L1168" t="s">
        <v>21</v>
      </c>
      <c r="M1168" t="str">
        <f t="shared" si="54"/>
        <v>OK</v>
      </c>
      <c r="N1168" t="str">
        <f t="shared" si="55"/>
        <v>1970s</v>
      </c>
      <c r="O1168" t="str">
        <f t="shared" si="56"/>
        <v>N/A</v>
      </c>
      <c r="P1168" t="str">
        <f>VLOOKUP(E1168,calculated_fields!$F$4:$G$6,2,FALSE)</f>
        <v>Economy</v>
      </c>
    </row>
    <row r="1169" spans="1:16">
      <c r="A1169" t="s">
        <v>1622</v>
      </c>
      <c r="B1169" t="s">
        <v>1602</v>
      </c>
      <c r="C1169" t="s">
        <v>229</v>
      </c>
      <c r="D1169">
        <v>1977</v>
      </c>
      <c r="E1169" t="s">
        <v>15</v>
      </c>
      <c r="F1169" t="s">
        <v>16</v>
      </c>
      <c r="G1169" t="s">
        <v>17</v>
      </c>
      <c r="H1169" t="s">
        <v>18</v>
      </c>
      <c r="I1169">
        <v>72.649000000000001</v>
      </c>
      <c r="J1169" t="s">
        <v>19</v>
      </c>
      <c r="K1169" t="s">
        <v>1623</v>
      </c>
      <c r="L1169" t="s">
        <v>21</v>
      </c>
      <c r="M1169" t="str">
        <f t="shared" si="54"/>
        <v>OK</v>
      </c>
      <c r="N1169" t="str">
        <f t="shared" si="55"/>
        <v>1970s</v>
      </c>
      <c r="O1169" t="str">
        <f t="shared" si="56"/>
        <v>High</v>
      </c>
      <c r="P1169" t="str">
        <f>VLOOKUP(E1169,calculated_fields!$F$4:$G$6,2,FALSE)</f>
        <v>Health</v>
      </c>
    </row>
    <row r="1170" spans="1:16">
      <c r="A1170" t="s">
        <v>1624</v>
      </c>
      <c r="B1170" t="s">
        <v>1602</v>
      </c>
      <c r="C1170" t="s">
        <v>229</v>
      </c>
      <c r="D1170">
        <v>1977</v>
      </c>
      <c r="E1170" t="s">
        <v>23</v>
      </c>
      <c r="F1170" t="s">
        <v>24</v>
      </c>
      <c r="G1170" t="s">
        <v>25</v>
      </c>
      <c r="H1170" t="s">
        <v>26</v>
      </c>
      <c r="I1170">
        <v>9537988</v>
      </c>
      <c r="J1170" t="s">
        <v>27</v>
      </c>
      <c r="K1170" t="s">
        <v>1623</v>
      </c>
      <c r="L1170" t="s">
        <v>21</v>
      </c>
      <c r="M1170" t="str">
        <f t="shared" si="54"/>
        <v>OK</v>
      </c>
      <c r="N1170" t="str">
        <f t="shared" si="55"/>
        <v>1970s</v>
      </c>
      <c r="O1170" t="str">
        <f t="shared" si="56"/>
        <v>N/A</v>
      </c>
      <c r="P1170" t="str">
        <f>VLOOKUP(E1170,calculated_fields!$F$4:$G$6,2,FALSE)</f>
        <v>Demographics</v>
      </c>
    </row>
    <row r="1171" spans="1:16">
      <c r="A1171" t="s">
        <v>1625</v>
      </c>
      <c r="B1171" t="s">
        <v>1602</v>
      </c>
      <c r="C1171" t="s">
        <v>229</v>
      </c>
      <c r="D1171">
        <v>1977</v>
      </c>
      <c r="E1171" t="s">
        <v>29</v>
      </c>
      <c r="F1171" t="s">
        <v>30</v>
      </c>
      <c r="G1171" t="s">
        <v>31</v>
      </c>
      <c r="H1171" t="s">
        <v>32</v>
      </c>
      <c r="I1171">
        <v>6380.4949659999902</v>
      </c>
      <c r="J1171" t="s">
        <v>33</v>
      </c>
      <c r="K1171" t="s">
        <v>1623</v>
      </c>
      <c r="L1171" t="s">
        <v>21</v>
      </c>
      <c r="M1171" t="str">
        <f t="shared" si="54"/>
        <v>OK</v>
      </c>
      <c r="N1171" t="str">
        <f t="shared" si="55"/>
        <v>1970s</v>
      </c>
      <c r="O1171" t="str">
        <f t="shared" si="56"/>
        <v>N/A</v>
      </c>
      <c r="P1171" t="str">
        <f>VLOOKUP(E1171,calculated_fields!$F$4:$G$6,2,FALSE)</f>
        <v>Economy</v>
      </c>
    </row>
    <row r="1172" spans="1:16">
      <c r="A1172" t="s">
        <v>1626</v>
      </c>
      <c r="B1172" t="s">
        <v>1602</v>
      </c>
      <c r="C1172" t="s">
        <v>229</v>
      </c>
      <c r="D1172">
        <v>1982</v>
      </c>
      <c r="E1172" t="s">
        <v>15</v>
      </c>
      <c r="F1172" t="s">
        <v>16</v>
      </c>
      <c r="G1172" t="s">
        <v>17</v>
      </c>
      <c r="H1172" t="s">
        <v>18</v>
      </c>
      <c r="I1172">
        <v>73.716999999999999</v>
      </c>
      <c r="J1172" t="s">
        <v>19</v>
      </c>
      <c r="K1172" t="s">
        <v>1627</v>
      </c>
      <c r="L1172" t="s">
        <v>21</v>
      </c>
      <c r="M1172" t="str">
        <f t="shared" si="54"/>
        <v>OK</v>
      </c>
      <c r="N1172" t="str">
        <f t="shared" si="55"/>
        <v>1980s</v>
      </c>
      <c r="O1172" t="str">
        <f t="shared" si="56"/>
        <v>High</v>
      </c>
      <c r="P1172" t="str">
        <f>VLOOKUP(E1172,calculated_fields!$F$4:$G$6,2,FALSE)</f>
        <v>Health</v>
      </c>
    </row>
    <row r="1173" spans="1:16">
      <c r="A1173" t="s">
        <v>1628</v>
      </c>
      <c r="B1173" t="s">
        <v>1602</v>
      </c>
      <c r="C1173" t="s">
        <v>229</v>
      </c>
      <c r="D1173">
        <v>1982</v>
      </c>
      <c r="E1173" t="s">
        <v>23</v>
      </c>
      <c r="F1173" t="s">
        <v>24</v>
      </c>
      <c r="G1173" t="s">
        <v>25</v>
      </c>
      <c r="H1173" t="s">
        <v>26</v>
      </c>
      <c r="I1173">
        <v>9789224</v>
      </c>
      <c r="J1173" t="s">
        <v>27</v>
      </c>
      <c r="K1173" t="s">
        <v>1627</v>
      </c>
      <c r="L1173" t="s">
        <v>21</v>
      </c>
      <c r="M1173" t="str">
        <f t="shared" si="54"/>
        <v>OK</v>
      </c>
      <c r="N1173" t="str">
        <f t="shared" si="55"/>
        <v>1980s</v>
      </c>
      <c r="O1173" t="str">
        <f t="shared" si="56"/>
        <v>N/A</v>
      </c>
      <c r="P1173" t="str">
        <f>VLOOKUP(E1173,calculated_fields!$F$4:$G$6,2,FALSE)</f>
        <v>Demographics</v>
      </c>
    </row>
    <row r="1174" spans="1:16">
      <c r="A1174" t="s">
        <v>1629</v>
      </c>
      <c r="B1174" t="s">
        <v>1602</v>
      </c>
      <c r="C1174" t="s">
        <v>229</v>
      </c>
      <c r="D1174">
        <v>1982</v>
      </c>
      <c r="E1174" t="s">
        <v>29</v>
      </c>
      <c r="F1174" t="s">
        <v>30</v>
      </c>
      <c r="G1174" t="s">
        <v>31</v>
      </c>
      <c r="H1174" t="s">
        <v>32</v>
      </c>
      <c r="I1174">
        <v>7316.9181069999904</v>
      </c>
      <c r="J1174" t="s">
        <v>33</v>
      </c>
      <c r="K1174" t="s">
        <v>1627</v>
      </c>
      <c r="L1174" t="s">
        <v>21</v>
      </c>
      <c r="M1174" t="str">
        <f t="shared" si="54"/>
        <v>OK</v>
      </c>
      <c r="N1174" t="str">
        <f t="shared" si="55"/>
        <v>1980s</v>
      </c>
      <c r="O1174" t="str">
        <f t="shared" si="56"/>
        <v>N/A</v>
      </c>
      <c r="P1174" t="str">
        <f>VLOOKUP(E1174,calculated_fields!$F$4:$G$6,2,FALSE)</f>
        <v>Economy</v>
      </c>
    </row>
    <row r="1175" spans="1:16">
      <c r="A1175" t="s">
        <v>1630</v>
      </c>
      <c r="B1175" t="s">
        <v>1602</v>
      </c>
      <c r="C1175" t="s">
        <v>229</v>
      </c>
      <c r="D1175">
        <v>1987</v>
      </c>
      <c r="E1175" t="s">
        <v>15</v>
      </c>
      <c r="F1175" t="s">
        <v>16</v>
      </c>
      <c r="G1175" t="s">
        <v>17</v>
      </c>
      <c r="H1175" t="s">
        <v>18</v>
      </c>
      <c r="I1175">
        <v>74.173999999999893</v>
      </c>
      <c r="J1175" t="s">
        <v>19</v>
      </c>
      <c r="K1175" t="s">
        <v>1631</v>
      </c>
      <c r="L1175" t="s">
        <v>21</v>
      </c>
      <c r="M1175" t="str">
        <f t="shared" si="54"/>
        <v>OK</v>
      </c>
      <c r="N1175" t="str">
        <f t="shared" si="55"/>
        <v>1980s</v>
      </c>
      <c r="O1175" t="str">
        <f t="shared" si="56"/>
        <v>High</v>
      </c>
      <c r="P1175" t="str">
        <f>VLOOKUP(E1175,calculated_fields!$F$4:$G$6,2,FALSE)</f>
        <v>Health</v>
      </c>
    </row>
    <row r="1176" spans="1:16">
      <c r="A1176" t="s">
        <v>1632</v>
      </c>
      <c r="B1176" t="s">
        <v>1602</v>
      </c>
      <c r="C1176" t="s">
        <v>229</v>
      </c>
      <c r="D1176">
        <v>1987</v>
      </c>
      <c r="E1176" t="s">
        <v>23</v>
      </c>
      <c r="F1176" t="s">
        <v>24</v>
      </c>
      <c r="G1176" t="s">
        <v>25</v>
      </c>
      <c r="H1176" t="s">
        <v>26</v>
      </c>
      <c r="I1176">
        <v>10239839</v>
      </c>
      <c r="J1176" t="s">
        <v>27</v>
      </c>
      <c r="K1176" t="s">
        <v>1631</v>
      </c>
      <c r="L1176" t="s">
        <v>21</v>
      </c>
      <c r="M1176" t="str">
        <f t="shared" si="54"/>
        <v>OK</v>
      </c>
      <c r="N1176" t="str">
        <f t="shared" si="55"/>
        <v>1980s</v>
      </c>
      <c r="O1176" t="str">
        <f t="shared" si="56"/>
        <v>N/A</v>
      </c>
      <c r="P1176" t="str">
        <f>VLOOKUP(E1176,calculated_fields!$F$4:$G$6,2,FALSE)</f>
        <v>Demographics</v>
      </c>
    </row>
    <row r="1177" spans="1:16">
      <c r="A1177" t="s">
        <v>1633</v>
      </c>
      <c r="B1177" t="s">
        <v>1602</v>
      </c>
      <c r="C1177" t="s">
        <v>229</v>
      </c>
      <c r="D1177">
        <v>1987</v>
      </c>
      <c r="E1177" t="s">
        <v>29</v>
      </c>
      <c r="F1177" t="s">
        <v>30</v>
      </c>
      <c r="G1177" t="s">
        <v>31</v>
      </c>
      <c r="H1177" t="s">
        <v>32</v>
      </c>
      <c r="I1177">
        <v>7532.92476299999</v>
      </c>
      <c r="J1177" t="s">
        <v>33</v>
      </c>
      <c r="K1177" t="s">
        <v>1631</v>
      </c>
      <c r="L1177" t="s">
        <v>21</v>
      </c>
      <c r="M1177" t="str">
        <f t="shared" si="54"/>
        <v>OK</v>
      </c>
      <c r="N1177" t="str">
        <f t="shared" si="55"/>
        <v>1980s</v>
      </c>
      <c r="O1177" t="str">
        <f t="shared" si="56"/>
        <v>N/A</v>
      </c>
      <c r="P1177" t="str">
        <f>VLOOKUP(E1177,calculated_fields!$F$4:$G$6,2,FALSE)</f>
        <v>Economy</v>
      </c>
    </row>
    <row r="1178" spans="1:16">
      <c r="A1178" t="s">
        <v>1634</v>
      </c>
      <c r="B1178" t="s">
        <v>1602</v>
      </c>
      <c r="C1178" t="s">
        <v>229</v>
      </c>
      <c r="D1178">
        <v>1992</v>
      </c>
      <c r="E1178" t="s">
        <v>15</v>
      </c>
      <c r="F1178" t="s">
        <v>16</v>
      </c>
      <c r="G1178" t="s">
        <v>17</v>
      </c>
      <c r="H1178" t="s">
        <v>18</v>
      </c>
      <c r="I1178">
        <v>74.414000000000001</v>
      </c>
      <c r="J1178" t="s">
        <v>19</v>
      </c>
      <c r="K1178" t="s">
        <v>1635</v>
      </c>
      <c r="L1178" t="s">
        <v>21</v>
      </c>
      <c r="M1178" t="str">
        <f t="shared" si="54"/>
        <v>OK</v>
      </c>
      <c r="N1178" t="str">
        <f t="shared" si="55"/>
        <v>1990s</v>
      </c>
      <c r="O1178" t="str">
        <f t="shared" si="56"/>
        <v>High</v>
      </c>
      <c r="P1178" t="str">
        <f>VLOOKUP(E1178,calculated_fields!$F$4:$G$6,2,FALSE)</f>
        <v>Health</v>
      </c>
    </row>
    <row r="1179" spans="1:16">
      <c r="A1179" t="s">
        <v>1636</v>
      </c>
      <c r="B1179" t="s">
        <v>1602</v>
      </c>
      <c r="C1179" t="s">
        <v>229</v>
      </c>
      <c r="D1179">
        <v>1992</v>
      </c>
      <c r="E1179" t="s">
        <v>23</v>
      </c>
      <c r="F1179" t="s">
        <v>24</v>
      </c>
      <c r="G1179" t="s">
        <v>25</v>
      </c>
      <c r="H1179" t="s">
        <v>26</v>
      </c>
      <c r="I1179">
        <v>10723260</v>
      </c>
      <c r="J1179" t="s">
        <v>27</v>
      </c>
      <c r="K1179" t="s">
        <v>1635</v>
      </c>
      <c r="L1179" t="s">
        <v>21</v>
      </c>
      <c r="M1179" t="str">
        <f t="shared" si="54"/>
        <v>OK</v>
      </c>
      <c r="N1179" t="str">
        <f t="shared" si="55"/>
        <v>1990s</v>
      </c>
      <c r="O1179" t="str">
        <f t="shared" si="56"/>
        <v>N/A</v>
      </c>
      <c r="P1179" t="str">
        <f>VLOOKUP(E1179,calculated_fields!$F$4:$G$6,2,FALSE)</f>
        <v>Demographics</v>
      </c>
    </row>
    <row r="1180" spans="1:16">
      <c r="A1180" t="s">
        <v>1637</v>
      </c>
      <c r="B1180" t="s">
        <v>1602</v>
      </c>
      <c r="C1180" t="s">
        <v>229</v>
      </c>
      <c r="D1180">
        <v>1992</v>
      </c>
      <c r="E1180" t="s">
        <v>29</v>
      </c>
      <c r="F1180" t="s">
        <v>30</v>
      </c>
      <c r="G1180" t="s">
        <v>31</v>
      </c>
      <c r="H1180" t="s">
        <v>32</v>
      </c>
      <c r="I1180">
        <v>5592.8439630000003</v>
      </c>
      <c r="J1180" t="s">
        <v>33</v>
      </c>
      <c r="K1180" t="s">
        <v>1635</v>
      </c>
      <c r="L1180" t="s">
        <v>21</v>
      </c>
      <c r="M1180" t="str">
        <f t="shared" si="54"/>
        <v>OK</v>
      </c>
      <c r="N1180" t="str">
        <f t="shared" si="55"/>
        <v>1990s</v>
      </c>
      <c r="O1180" t="str">
        <f t="shared" si="56"/>
        <v>N/A</v>
      </c>
      <c r="P1180" t="str">
        <f>VLOOKUP(E1180,calculated_fields!$F$4:$G$6,2,FALSE)</f>
        <v>Economy</v>
      </c>
    </row>
    <row r="1181" spans="1:16">
      <c r="A1181" t="s">
        <v>1638</v>
      </c>
      <c r="B1181" t="s">
        <v>1602</v>
      </c>
      <c r="C1181" t="s">
        <v>229</v>
      </c>
      <c r="D1181">
        <v>1997</v>
      </c>
      <c r="E1181" t="s">
        <v>15</v>
      </c>
      <c r="F1181" t="s">
        <v>16</v>
      </c>
      <c r="G1181" t="s">
        <v>17</v>
      </c>
      <c r="H1181" t="s">
        <v>18</v>
      </c>
      <c r="I1181">
        <v>76.150999999999996</v>
      </c>
      <c r="J1181" t="s">
        <v>19</v>
      </c>
      <c r="K1181" t="s">
        <v>1639</v>
      </c>
      <c r="L1181" t="s">
        <v>21</v>
      </c>
      <c r="M1181" t="str">
        <f t="shared" si="54"/>
        <v>OK</v>
      </c>
      <c r="N1181" t="str">
        <f t="shared" si="55"/>
        <v>1990s</v>
      </c>
      <c r="O1181" t="str">
        <f t="shared" si="56"/>
        <v>High</v>
      </c>
      <c r="P1181" t="str">
        <f>VLOOKUP(E1181,calculated_fields!$F$4:$G$6,2,FALSE)</f>
        <v>Health</v>
      </c>
    </row>
    <row r="1182" spans="1:16">
      <c r="A1182" t="s">
        <v>1640</v>
      </c>
      <c r="B1182" t="s">
        <v>1602</v>
      </c>
      <c r="C1182" t="s">
        <v>229</v>
      </c>
      <c r="D1182">
        <v>1997</v>
      </c>
      <c r="E1182" t="s">
        <v>23</v>
      </c>
      <c r="F1182" t="s">
        <v>24</v>
      </c>
      <c r="G1182" t="s">
        <v>25</v>
      </c>
      <c r="H1182" t="s">
        <v>26</v>
      </c>
      <c r="I1182">
        <v>10983007</v>
      </c>
      <c r="J1182" t="s">
        <v>27</v>
      </c>
      <c r="K1182" t="s">
        <v>1639</v>
      </c>
      <c r="L1182" t="s">
        <v>21</v>
      </c>
      <c r="M1182" t="str">
        <f t="shared" si="54"/>
        <v>OK</v>
      </c>
      <c r="N1182" t="str">
        <f t="shared" si="55"/>
        <v>1990s</v>
      </c>
      <c r="O1182" t="str">
        <f t="shared" si="56"/>
        <v>N/A</v>
      </c>
      <c r="P1182" t="str">
        <f>VLOOKUP(E1182,calculated_fields!$F$4:$G$6,2,FALSE)</f>
        <v>Demographics</v>
      </c>
    </row>
    <row r="1183" spans="1:16">
      <c r="A1183" t="s">
        <v>1641</v>
      </c>
      <c r="B1183" t="s">
        <v>1602</v>
      </c>
      <c r="C1183" t="s">
        <v>229</v>
      </c>
      <c r="D1183">
        <v>1997</v>
      </c>
      <c r="E1183" t="s">
        <v>29</v>
      </c>
      <c r="F1183" t="s">
        <v>30</v>
      </c>
      <c r="G1183" t="s">
        <v>31</v>
      </c>
      <c r="H1183" t="s">
        <v>32</v>
      </c>
      <c r="I1183">
        <v>5431.9904150000002</v>
      </c>
      <c r="J1183" t="s">
        <v>33</v>
      </c>
      <c r="K1183" t="s">
        <v>1639</v>
      </c>
      <c r="L1183" t="s">
        <v>21</v>
      </c>
      <c r="M1183" t="str">
        <f t="shared" si="54"/>
        <v>OK</v>
      </c>
      <c r="N1183" t="str">
        <f t="shared" si="55"/>
        <v>1990s</v>
      </c>
      <c r="O1183" t="str">
        <f t="shared" si="56"/>
        <v>N/A</v>
      </c>
      <c r="P1183" t="str">
        <f>VLOOKUP(E1183,calculated_fields!$F$4:$G$6,2,FALSE)</f>
        <v>Economy</v>
      </c>
    </row>
    <row r="1184" spans="1:16">
      <c r="A1184" t="s">
        <v>1642</v>
      </c>
      <c r="B1184" t="s">
        <v>1602</v>
      </c>
      <c r="C1184" t="s">
        <v>229</v>
      </c>
      <c r="D1184">
        <v>2002</v>
      </c>
      <c r="E1184" t="s">
        <v>15</v>
      </c>
      <c r="F1184" t="s">
        <v>16</v>
      </c>
      <c r="G1184" t="s">
        <v>17</v>
      </c>
      <c r="H1184" t="s">
        <v>18</v>
      </c>
      <c r="I1184">
        <v>77.158000000000001</v>
      </c>
      <c r="J1184" t="s">
        <v>19</v>
      </c>
      <c r="K1184" t="s">
        <v>1643</v>
      </c>
      <c r="L1184" t="s">
        <v>21</v>
      </c>
      <c r="M1184" t="str">
        <f t="shared" si="54"/>
        <v>OK</v>
      </c>
      <c r="N1184" t="str">
        <f t="shared" si="55"/>
        <v>2000s</v>
      </c>
      <c r="O1184" t="str">
        <f t="shared" si="56"/>
        <v>High</v>
      </c>
      <c r="P1184" t="str">
        <f>VLOOKUP(E1184,calculated_fields!$F$4:$G$6,2,FALSE)</f>
        <v>Health</v>
      </c>
    </row>
    <row r="1185" spans="1:16">
      <c r="A1185" t="s">
        <v>1644</v>
      </c>
      <c r="B1185" t="s">
        <v>1602</v>
      </c>
      <c r="C1185" t="s">
        <v>229</v>
      </c>
      <c r="D1185">
        <v>2002</v>
      </c>
      <c r="E1185" t="s">
        <v>23</v>
      </c>
      <c r="F1185" t="s">
        <v>24</v>
      </c>
      <c r="G1185" t="s">
        <v>25</v>
      </c>
      <c r="H1185" t="s">
        <v>26</v>
      </c>
      <c r="I1185">
        <v>11226999</v>
      </c>
      <c r="J1185" t="s">
        <v>27</v>
      </c>
      <c r="K1185" t="s">
        <v>1643</v>
      </c>
      <c r="L1185" t="s">
        <v>21</v>
      </c>
      <c r="M1185" t="str">
        <f t="shared" si="54"/>
        <v>OK</v>
      </c>
      <c r="N1185" t="str">
        <f t="shared" si="55"/>
        <v>2000s</v>
      </c>
      <c r="O1185" t="str">
        <f t="shared" si="56"/>
        <v>N/A</v>
      </c>
      <c r="P1185" t="str">
        <f>VLOOKUP(E1185,calculated_fields!$F$4:$G$6,2,FALSE)</f>
        <v>Demographics</v>
      </c>
    </row>
    <row r="1186" spans="1:16">
      <c r="A1186" t="s">
        <v>1645</v>
      </c>
      <c r="B1186" t="s">
        <v>1602</v>
      </c>
      <c r="C1186" t="s">
        <v>229</v>
      </c>
      <c r="D1186">
        <v>2002</v>
      </c>
      <c r="E1186" t="s">
        <v>29</v>
      </c>
      <c r="F1186" t="s">
        <v>30</v>
      </c>
      <c r="G1186" t="s">
        <v>31</v>
      </c>
      <c r="H1186" t="s">
        <v>32</v>
      </c>
      <c r="I1186">
        <v>6340.6466829999999</v>
      </c>
      <c r="J1186" t="s">
        <v>33</v>
      </c>
      <c r="K1186" t="s">
        <v>1643</v>
      </c>
      <c r="L1186" t="s">
        <v>21</v>
      </c>
      <c r="M1186" t="str">
        <f t="shared" si="54"/>
        <v>OK</v>
      </c>
      <c r="N1186" t="str">
        <f t="shared" si="55"/>
        <v>2000s</v>
      </c>
      <c r="O1186" t="str">
        <f t="shared" si="56"/>
        <v>N/A</v>
      </c>
      <c r="P1186" t="str">
        <f>VLOOKUP(E1186,calculated_fields!$F$4:$G$6,2,FALSE)</f>
        <v>Economy</v>
      </c>
    </row>
    <row r="1187" spans="1:16">
      <c r="A1187" t="s">
        <v>1646</v>
      </c>
      <c r="B1187" t="s">
        <v>1602</v>
      </c>
      <c r="C1187" t="s">
        <v>229</v>
      </c>
      <c r="D1187">
        <v>2007</v>
      </c>
      <c r="E1187" t="s">
        <v>15</v>
      </c>
      <c r="F1187" t="s">
        <v>16</v>
      </c>
      <c r="G1187" t="s">
        <v>17</v>
      </c>
      <c r="H1187" t="s">
        <v>18</v>
      </c>
      <c r="I1187">
        <v>78.272999999999996</v>
      </c>
      <c r="J1187" t="s">
        <v>19</v>
      </c>
      <c r="K1187" t="s">
        <v>1647</v>
      </c>
      <c r="L1187" t="s">
        <v>21</v>
      </c>
      <c r="M1187" t="str">
        <f t="shared" si="54"/>
        <v>OK</v>
      </c>
      <c r="N1187" t="str">
        <f t="shared" si="55"/>
        <v>2000s</v>
      </c>
      <c r="O1187" t="str">
        <f t="shared" si="56"/>
        <v>High</v>
      </c>
      <c r="P1187" t="str">
        <f>VLOOKUP(E1187,calculated_fields!$F$4:$G$6,2,FALSE)</f>
        <v>Health</v>
      </c>
    </row>
    <row r="1188" spans="1:16">
      <c r="A1188" t="s">
        <v>1648</v>
      </c>
      <c r="B1188" t="s">
        <v>1602</v>
      </c>
      <c r="C1188" t="s">
        <v>229</v>
      </c>
      <c r="D1188">
        <v>2007</v>
      </c>
      <c r="E1188" t="s">
        <v>23</v>
      </c>
      <c r="F1188" t="s">
        <v>24</v>
      </c>
      <c r="G1188" t="s">
        <v>25</v>
      </c>
      <c r="H1188" t="s">
        <v>26</v>
      </c>
      <c r="I1188">
        <v>11416987</v>
      </c>
      <c r="J1188" t="s">
        <v>27</v>
      </c>
      <c r="K1188" t="s">
        <v>1647</v>
      </c>
      <c r="L1188" t="s">
        <v>21</v>
      </c>
      <c r="M1188" t="str">
        <f t="shared" si="54"/>
        <v>OK</v>
      </c>
      <c r="N1188" t="str">
        <f t="shared" si="55"/>
        <v>2000s</v>
      </c>
      <c r="O1188" t="str">
        <f t="shared" si="56"/>
        <v>N/A</v>
      </c>
      <c r="P1188" t="str">
        <f>VLOOKUP(E1188,calculated_fields!$F$4:$G$6,2,FALSE)</f>
        <v>Demographics</v>
      </c>
    </row>
    <row r="1189" spans="1:16">
      <c r="A1189" t="s">
        <v>1649</v>
      </c>
      <c r="B1189" t="s">
        <v>1602</v>
      </c>
      <c r="C1189" t="s">
        <v>229</v>
      </c>
      <c r="D1189">
        <v>2007</v>
      </c>
      <c r="E1189" t="s">
        <v>29</v>
      </c>
      <c r="F1189" t="s">
        <v>30</v>
      </c>
      <c r="G1189" t="s">
        <v>31</v>
      </c>
      <c r="H1189" t="s">
        <v>32</v>
      </c>
      <c r="I1189">
        <v>8948.1029230000004</v>
      </c>
      <c r="J1189" t="s">
        <v>33</v>
      </c>
      <c r="K1189" t="s">
        <v>1647</v>
      </c>
      <c r="L1189" t="s">
        <v>21</v>
      </c>
      <c r="M1189" t="str">
        <f t="shared" si="54"/>
        <v>OK</v>
      </c>
      <c r="N1189" t="str">
        <f t="shared" si="55"/>
        <v>2000s</v>
      </c>
      <c r="O1189" t="str">
        <f t="shared" si="56"/>
        <v>N/A</v>
      </c>
      <c r="P1189" t="str">
        <f>VLOOKUP(E1189,calculated_fields!$F$4:$G$6,2,FALSE)</f>
        <v>Economy</v>
      </c>
    </row>
    <row r="1190" spans="1:16">
      <c r="A1190" t="s">
        <v>1650</v>
      </c>
      <c r="B1190" t="s">
        <v>1651</v>
      </c>
      <c r="C1190" t="s">
        <v>80</v>
      </c>
      <c r="D1190">
        <v>1952</v>
      </c>
      <c r="E1190" t="s">
        <v>15</v>
      </c>
      <c r="F1190" t="s">
        <v>16</v>
      </c>
      <c r="G1190" t="s">
        <v>17</v>
      </c>
      <c r="H1190" t="s">
        <v>18</v>
      </c>
      <c r="I1190">
        <v>66.87</v>
      </c>
      <c r="J1190" t="s">
        <v>19</v>
      </c>
      <c r="K1190" t="s">
        <v>1652</v>
      </c>
      <c r="L1190" t="s">
        <v>21</v>
      </c>
      <c r="M1190" t="str">
        <f t="shared" si="54"/>
        <v>OK</v>
      </c>
      <c r="N1190" t="str">
        <f t="shared" si="55"/>
        <v>1950s</v>
      </c>
      <c r="O1190" t="str">
        <f t="shared" si="56"/>
        <v>Medium</v>
      </c>
      <c r="P1190" t="str">
        <f>VLOOKUP(E1190,calculated_fields!$F$4:$G$6,2,FALSE)</f>
        <v>Health</v>
      </c>
    </row>
    <row r="1191" spans="1:16">
      <c r="A1191" t="s">
        <v>1653</v>
      </c>
      <c r="B1191" t="s">
        <v>1651</v>
      </c>
      <c r="C1191" t="s">
        <v>80</v>
      </c>
      <c r="D1191">
        <v>1952</v>
      </c>
      <c r="E1191" t="s">
        <v>23</v>
      </c>
      <c r="F1191" t="s">
        <v>24</v>
      </c>
      <c r="G1191" t="s">
        <v>25</v>
      </c>
      <c r="H1191" t="s">
        <v>26</v>
      </c>
      <c r="I1191">
        <v>9125183</v>
      </c>
      <c r="J1191" t="s">
        <v>27</v>
      </c>
      <c r="K1191" t="s">
        <v>1652</v>
      </c>
      <c r="L1191" t="s">
        <v>21</v>
      </c>
      <c r="M1191" t="str">
        <f t="shared" si="54"/>
        <v>OK</v>
      </c>
      <c r="N1191" t="str">
        <f t="shared" si="55"/>
        <v>1950s</v>
      </c>
      <c r="O1191" t="str">
        <f t="shared" si="56"/>
        <v>N/A</v>
      </c>
      <c r="P1191" t="str">
        <f>VLOOKUP(E1191,calculated_fields!$F$4:$G$6,2,FALSE)</f>
        <v>Demographics</v>
      </c>
    </row>
    <row r="1192" spans="1:16">
      <c r="A1192" t="s">
        <v>1654</v>
      </c>
      <c r="B1192" t="s">
        <v>1651</v>
      </c>
      <c r="C1192" t="s">
        <v>80</v>
      </c>
      <c r="D1192">
        <v>1952</v>
      </c>
      <c r="E1192" t="s">
        <v>29</v>
      </c>
      <c r="F1192" t="s">
        <v>30</v>
      </c>
      <c r="G1192" t="s">
        <v>31</v>
      </c>
      <c r="H1192" t="s">
        <v>32</v>
      </c>
      <c r="I1192">
        <v>6876.1402500000004</v>
      </c>
      <c r="J1192" t="s">
        <v>33</v>
      </c>
      <c r="K1192" t="s">
        <v>1652</v>
      </c>
      <c r="L1192" t="s">
        <v>21</v>
      </c>
      <c r="M1192" t="str">
        <f t="shared" si="54"/>
        <v>OK</v>
      </c>
      <c r="N1192" t="str">
        <f t="shared" si="55"/>
        <v>1950s</v>
      </c>
      <c r="O1192" t="str">
        <f t="shared" si="56"/>
        <v>N/A</v>
      </c>
      <c r="P1192" t="str">
        <f>VLOOKUP(E1192,calculated_fields!$F$4:$G$6,2,FALSE)</f>
        <v>Economy</v>
      </c>
    </row>
    <row r="1193" spans="1:16">
      <c r="A1193" t="s">
        <v>1655</v>
      </c>
      <c r="B1193" t="s">
        <v>1651</v>
      </c>
      <c r="C1193" t="s">
        <v>80</v>
      </c>
      <c r="D1193">
        <v>1957</v>
      </c>
      <c r="E1193" t="s">
        <v>15</v>
      </c>
      <c r="F1193" t="s">
        <v>16</v>
      </c>
      <c r="G1193" t="s">
        <v>17</v>
      </c>
      <c r="H1193" t="s">
        <v>18</v>
      </c>
      <c r="I1193">
        <v>69.03</v>
      </c>
      <c r="J1193" t="s">
        <v>19</v>
      </c>
      <c r="K1193" t="s">
        <v>1656</v>
      </c>
      <c r="L1193" t="s">
        <v>21</v>
      </c>
      <c r="M1193" t="str">
        <f t="shared" si="54"/>
        <v>OK</v>
      </c>
      <c r="N1193" t="str">
        <f t="shared" si="55"/>
        <v>1950s</v>
      </c>
      <c r="O1193" t="str">
        <f t="shared" si="56"/>
        <v>Medium</v>
      </c>
      <c r="P1193" t="str">
        <f>VLOOKUP(E1193,calculated_fields!$F$4:$G$6,2,FALSE)</f>
        <v>Health</v>
      </c>
    </row>
    <row r="1194" spans="1:16">
      <c r="A1194" t="s">
        <v>1657</v>
      </c>
      <c r="B1194" t="s">
        <v>1651</v>
      </c>
      <c r="C1194" t="s">
        <v>80</v>
      </c>
      <c r="D1194">
        <v>1957</v>
      </c>
      <c r="E1194" t="s">
        <v>23</v>
      </c>
      <c r="F1194" t="s">
        <v>24</v>
      </c>
      <c r="G1194" t="s">
        <v>25</v>
      </c>
      <c r="H1194" t="s">
        <v>26</v>
      </c>
      <c r="I1194">
        <v>9513758</v>
      </c>
      <c r="J1194" t="s">
        <v>27</v>
      </c>
      <c r="K1194" t="s">
        <v>1656</v>
      </c>
      <c r="L1194" t="s">
        <v>21</v>
      </c>
      <c r="M1194" t="str">
        <f t="shared" si="54"/>
        <v>OK</v>
      </c>
      <c r="N1194" t="str">
        <f t="shared" si="55"/>
        <v>1950s</v>
      </c>
      <c r="O1194" t="str">
        <f t="shared" si="56"/>
        <v>N/A</v>
      </c>
      <c r="P1194" t="str">
        <f>VLOOKUP(E1194,calculated_fields!$F$4:$G$6,2,FALSE)</f>
        <v>Demographics</v>
      </c>
    </row>
    <row r="1195" spans="1:16">
      <c r="A1195" t="s">
        <v>1658</v>
      </c>
      <c r="B1195" t="s">
        <v>1651</v>
      </c>
      <c r="C1195" t="s">
        <v>80</v>
      </c>
      <c r="D1195">
        <v>1957</v>
      </c>
      <c r="E1195" t="s">
        <v>29</v>
      </c>
      <c r="F1195" t="s">
        <v>30</v>
      </c>
      <c r="G1195" t="s">
        <v>31</v>
      </c>
      <c r="H1195" t="s">
        <v>32</v>
      </c>
      <c r="I1195">
        <v>8256.3439180000005</v>
      </c>
      <c r="J1195" t="s">
        <v>33</v>
      </c>
      <c r="K1195" t="s">
        <v>1656</v>
      </c>
      <c r="L1195" t="s">
        <v>21</v>
      </c>
      <c r="M1195" t="str">
        <f t="shared" si="54"/>
        <v>OK</v>
      </c>
      <c r="N1195" t="str">
        <f t="shared" si="55"/>
        <v>1950s</v>
      </c>
      <c r="O1195" t="str">
        <f t="shared" si="56"/>
        <v>N/A</v>
      </c>
      <c r="P1195" t="str">
        <f>VLOOKUP(E1195,calculated_fields!$F$4:$G$6,2,FALSE)</f>
        <v>Economy</v>
      </c>
    </row>
    <row r="1196" spans="1:16">
      <c r="A1196" t="s">
        <v>1659</v>
      </c>
      <c r="B1196" t="s">
        <v>1651</v>
      </c>
      <c r="C1196" t="s">
        <v>80</v>
      </c>
      <c r="D1196">
        <v>1962</v>
      </c>
      <c r="E1196" t="s">
        <v>15</v>
      </c>
      <c r="F1196" t="s">
        <v>16</v>
      </c>
      <c r="G1196" t="s">
        <v>17</v>
      </c>
      <c r="H1196" t="s">
        <v>18</v>
      </c>
      <c r="I1196">
        <v>69.900000000000006</v>
      </c>
      <c r="J1196" t="s">
        <v>19</v>
      </c>
      <c r="K1196" t="s">
        <v>1660</v>
      </c>
      <c r="L1196" t="s">
        <v>21</v>
      </c>
      <c r="M1196" t="str">
        <f t="shared" si="54"/>
        <v>OK</v>
      </c>
      <c r="N1196" t="str">
        <f t="shared" si="55"/>
        <v>1960s</v>
      </c>
      <c r="O1196" t="str">
        <f t="shared" si="56"/>
        <v>Medium</v>
      </c>
      <c r="P1196" t="str">
        <f>VLOOKUP(E1196,calculated_fields!$F$4:$G$6,2,FALSE)</f>
        <v>Health</v>
      </c>
    </row>
    <row r="1197" spans="1:16">
      <c r="A1197" t="s">
        <v>1661</v>
      </c>
      <c r="B1197" t="s">
        <v>1651</v>
      </c>
      <c r="C1197" t="s">
        <v>80</v>
      </c>
      <c r="D1197">
        <v>1962</v>
      </c>
      <c r="E1197" t="s">
        <v>23</v>
      </c>
      <c r="F1197" t="s">
        <v>24</v>
      </c>
      <c r="G1197" t="s">
        <v>25</v>
      </c>
      <c r="H1197" t="s">
        <v>26</v>
      </c>
      <c r="I1197">
        <v>9620282</v>
      </c>
      <c r="J1197" t="s">
        <v>27</v>
      </c>
      <c r="K1197" t="s">
        <v>1660</v>
      </c>
      <c r="L1197" t="s">
        <v>21</v>
      </c>
      <c r="M1197" t="str">
        <f t="shared" si="54"/>
        <v>OK</v>
      </c>
      <c r="N1197" t="str">
        <f t="shared" si="55"/>
        <v>1960s</v>
      </c>
      <c r="O1197" t="str">
        <f t="shared" si="56"/>
        <v>N/A</v>
      </c>
      <c r="P1197" t="str">
        <f>VLOOKUP(E1197,calculated_fields!$F$4:$G$6,2,FALSE)</f>
        <v>Demographics</v>
      </c>
    </row>
    <row r="1198" spans="1:16">
      <c r="A1198" t="s">
        <v>1662</v>
      </c>
      <c r="B1198" t="s">
        <v>1651</v>
      </c>
      <c r="C1198" t="s">
        <v>80</v>
      </c>
      <c r="D1198">
        <v>1962</v>
      </c>
      <c r="E1198" t="s">
        <v>29</v>
      </c>
      <c r="F1198" t="s">
        <v>30</v>
      </c>
      <c r="G1198" t="s">
        <v>31</v>
      </c>
      <c r="H1198" t="s">
        <v>32</v>
      </c>
      <c r="I1198">
        <v>10136.867130000001</v>
      </c>
      <c r="J1198" t="s">
        <v>33</v>
      </c>
      <c r="K1198" t="s">
        <v>1660</v>
      </c>
      <c r="L1198" t="s">
        <v>21</v>
      </c>
      <c r="M1198" t="str">
        <f t="shared" si="54"/>
        <v>OK</v>
      </c>
      <c r="N1198" t="str">
        <f t="shared" si="55"/>
        <v>1960s</v>
      </c>
      <c r="O1198" t="str">
        <f t="shared" si="56"/>
        <v>N/A</v>
      </c>
      <c r="P1198" t="str">
        <f>VLOOKUP(E1198,calculated_fields!$F$4:$G$6,2,FALSE)</f>
        <v>Economy</v>
      </c>
    </row>
    <row r="1199" spans="1:16">
      <c r="A1199" t="s">
        <v>1663</v>
      </c>
      <c r="B1199" t="s">
        <v>1651</v>
      </c>
      <c r="C1199" t="s">
        <v>80</v>
      </c>
      <c r="D1199">
        <v>1967</v>
      </c>
      <c r="E1199" t="s">
        <v>15</v>
      </c>
      <c r="F1199" t="s">
        <v>16</v>
      </c>
      <c r="G1199" t="s">
        <v>17</v>
      </c>
      <c r="H1199" t="s">
        <v>18</v>
      </c>
      <c r="I1199">
        <v>70.38</v>
      </c>
      <c r="J1199" t="s">
        <v>19</v>
      </c>
      <c r="K1199" t="s">
        <v>1664</v>
      </c>
      <c r="L1199" t="s">
        <v>21</v>
      </c>
      <c r="M1199" t="str">
        <f t="shared" si="54"/>
        <v>OK</v>
      </c>
      <c r="N1199" t="str">
        <f t="shared" si="55"/>
        <v>1960s</v>
      </c>
      <c r="O1199" t="str">
        <f t="shared" si="56"/>
        <v>High</v>
      </c>
      <c r="P1199" t="str">
        <f>VLOOKUP(E1199,calculated_fields!$F$4:$G$6,2,FALSE)</f>
        <v>Health</v>
      </c>
    </row>
    <row r="1200" spans="1:16">
      <c r="A1200" t="s">
        <v>1665</v>
      </c>
      <c r="B1200" t="s">
        <v>1651</v>
      </c>
      <c r="C1200" t="s">
        <v>80</v>
      </c>
      <c r="D1200">
        <v>1967</v>
      </c>
      <c r="E1200" t="s">
        <v>23</v>
      </c>
      <c r="F1200" t="s">
        <v>24</v>
      </c>
      <c r="G1200" t="s">
        <v>25</v>
      </c>
      <c r="H1200" t="s">
        <v>26</v>
      </c>
      <c r="I1200">
        <v>9835109</v>
      </c>
      <c r="J1200" t="s">
        <v>27</v>
      </c>
      <c r="K1200" t="s">
        <v>1664</v>
      </c>
      <c r="L1200" t="s">
        <v>21</v>
      </c>
      <c r="M1200" t="str">
        <f t="shared" si="54"/>
        <v>OK</v>
      </c>
      <c r="N1200" t="str">
        <f t="shared" si="55"/>
        <v>1960s</v>
      </c>
      <c r="O1200" t="str">
        <f t="shared" si="56"/>
        <v>N/A</v>
      </c>
      <c r="P1200" t="str">
        <f>VLOOKUP(E1200,calculated_fields!$F$4:$G$6,2,FALSE)</f>
        <v>Demographics</v>
      </c>
    </row>
    <row r="1201" spans="1:16">
      <c r="A1201" t="s">
        <v>1666</v>
      </c>
      <c r="B1201" t="s">
        <v>1651</v>
      </c>
      <c r="C1201" t="s">
        <v>80</v>
      </c>
      <c r="D1201">
        <v>1967</v>
      </c>
      <c r="E1201" t="s">
        <v>29</v>
      </c>
      <c r="F1201" t="s">
        <v>30</v>
      </c>
      <c r="G1201" t="s">
        <v>31</v>
      </c>
      <c r="H1201" t="s">
        <v>32</v>
      </c>
      <c r="I1201">
        <v>11399.444890000001</v>
      </c>
      <c r="J1201" t="s">
        <v>33</v>
      </c>
      <c r="K1201" t="s">
        <v>1664</v>
      </c>
      <c r="L1201" t="s">
        <v>21</v>
      </c>
      <c r="M1201" t="str">
        <f t="shared" si="54"/>
        <v>OK</v>
      </c>
      <c r="N1201" t="str">
        <f t="shared" si="55"/>
        <v>1960s</v>
      </c>
      <c r="O1201" t="str">
        <f t="shared" si="56"/>
        <v>N/A</v>
      </c>
      <c r="P1201" t="str">
        <f>VLOOKUP(E1201,calculated_fields!$F$4:$G$6,2,FALSE)</f>
        <v>Economy</v>
      </c>
    </row>
    <row r="1202" spans="1:16">
      <c r="A1202" t="s">
        <v>1667</v>
      </c>
      <c r="B1202" t="s">
        <v>1651</v>
      </c>
      <c r="C1202" t="s">
        <v>80</v>
      </c>
      <c r="D1202">
        <v>1972</v>
      </c>
      <c r="E1202" t="s">
        <v>15</v>
      </c>
      <c r="F1202" t="s">
        <v>16</v>
      </c>
      <c r="G1202" t="s">
        <v>17</v>
      </c>
      <c r="H1202" t="s">
        <v>18</v>
      </c>
      <c r="I1202">
        <v>70.290000000000006</v>
      </c>
      <c r="J1202" t="s">
        <v>19</v>
      </c>
      <c r="K1202" t="s">
        <v>1668</v>
      </c>
      <c r="L1202" t="s">
        <v>21</v>
      </c>
      <c r="M1202" t="str">
        <f t="shared" si="54"/>
        <v>OK</v>
      </c>
      <c r="N1202" t="str">
        <f t="shared" si="55"/>
        <v>1970s</v>
      </c>
      <c r="O1202" t="str">
        <f t="shared" si="56"/>
        <v>High</v>
      </c>
      <c r="P1202" t="str">
        <f>VLOOKUP(E1202,calculated_fields!$F$4:$G$6,2,FALSE)</f>
        <v>Health</v>
      </c>
    </row>
    <row r="1203" spans="1:16">
      <c r="A1203" t="s">
        <v>1669</v>
      </c>
      <c r="B1203" t="s">
        <v>1651</v>
      </c>
      <c r="C1203" t="s">
        <v>80</v>
      </c>
      <c r="D1203">
        <v>1972</v>
      </c>
      <c r="E1203" t="s">
        <v>23</v>
      </c>
      <c r="F1203" t="s">
        <v>24</v>
      </c>
      <c r="G1203" t="s">
        <v>25</v>
      </c>
      <c r="H1203" t="s">
        <v>26</v>
      </c>
      <c r="I1203">
        <v>9862158</v>
      </c>
      <c r="J1203" t="s">
        <v>27</v>
      </c>
      <c r="K1203" t="s">
        <v>1668</v>
      </c>
      <c r="L1203" t="s">
        <v>21</v>
      </c>
      <c r="M1203" t="str">
        <f t="shared" si="54"/>
        <v>OK</v>
      </c>
      <c r="N1203" t="str">
        <f t="shared" si="55"/>
        <v>1970s</v>
      </c>
      <c r="O1203" t="str">
        <f t="shared" si="56"/>
        <v>N/A</v>
      </c>
      <c r="P1203" t="str">
        <f>VLOOKUP(E1203,calculated_fields!$F$4:$G$6,2,FALSE)</f>
        <v>Demographics</v>
      </c>
    </row>
    <row r="1204" spans="1:16">
      <c r="A1204" t="s">
        <v>1670</v>
      </c>
      <c r="B1204" t="s">
        <v>1651</v>
      </c>
      <c r="C1204" t="s">
        <v>80</v>
      </c>
      <c r="D1204">
        <v>1972</v>
      </c>
      <c r="E1204" t="s">
        <v>29</v>
      </c>
      <c r="F1204" t="s">
        <v>30</v>
      </c>
      <c r="G1204" t="s">
        <v>31</v>
      </c>
      <c r="H1204" t="s">
        <v>32</v>
      </c>
      <c r="I1204">
        <v>13108.453600000001</v>
      </c>
      <c r="J1204" t="s">
        <v>33</v>
      </c>
      <c r="K1204" t="s">
        <v>1668</v>
      </c>
      <c r="L1204" t="s">
        <v>21</v>
      </c>
      <c r="M1204" t="str">
        <f t="shared" si="54"/>
        <v>OK</v>
      </c>
      <c r="N1204" t="str">
        <f t="shared" si="55"/>
        <v>1970s</v>
      </c>
      <c r="O1204" t="str">
        <f t="shared" si="56"/>
        <v>N/A</v>
      </c>
      <c r="P1204" t="str">
        <f>VLOOKUP(E1204,calculated_fields!$F$4:$G$6,2,FALSE)</f>
        <v>Economy</v>
      </c>
    </row>
    <row r="1205" spans="1:16">
      <c r="A1205" t="s">
        <v>1671</v>
      </c>
      <c r="B1205" t="s">
        <v>1651</v>
      </c>
      <c r="C1205" t="s">
        <v>80</v>
      </c>
      <c r="D1205">
        <v>1977</v>
      </c>
      <c r="E1205" t="s">
        <v>15</v>
      </c>
      <c r="F1205" t="s">
        <v>16</v>
      </c>
      <c r="G1205" t="s">
        <v>17</v>
      </c>
      <c r="H1205" t="s">
        <v>18</v>
      </c>
      <c r="I1205">
        <v>70.709999999999994</v>
      </c>
      <c r="J1205" t="s">
        <v>19</v>
      </c>
      <c r="K1205" t="s">
        <v>1672</v>
      </c>
      <c r="L1205" t="s">
        <v>21</v>
      </c>
      <c r="M1205" t="str">
        <f t="shared" si="54"/>
        <v>OK</v>
      </c>
      <c r="N1205" t="str">
        <f t="shared" si="55"/>
        <v>1970s</v>
      </c>
      <c r="O1205" t="str">
        <f t="shared" si="56"/>
        <v>High</v>
      </c>
      <c r="P1205" t="str">
        <f>VLOOKUP(E1205,calculated_fields!$F$4:$G$6,2,FALSE)</f>
        <v>Health</v>
      </c>
    </row>
    <row r="1206" spans="1:16">
      <c r="A1206" t="s">
        <v>1673</v>
      </c>
      <c r="B1206" t="s">
        <v>1651</v>
      </c>
      <c r="C1206" t="s">
        <v>80</v>
      </c>
      <c r="D1206">
        <v>1977</v>
      </c>
      <c r="E1206" t="s">
        <v>23</v>
      </c>
      <c r="F1206" t="s">
        <v>24</v>
      </c>
      <c r="G1206" t="s">
        <v>25</v>
      </c>
      <c r="H1206" t="s">
        <v>26</v>
      </c>
      <c r="I1206">
        <v>10161915</v>
      </c>
      <c r="J1206" t="s">
        <v>27</v>
      </c>
      <c r="K1206" t="s">
        <v>1672</v>
      </c>
      <c r="L1206" t="s">
        <v>21</v>
      </c>
      <c r="M1206" t="str">
        <f t="shared" si="54"/>
        <v>OK</v>
      </c>
      <c r="N1206" t="str">
        <f t="shared" si="55"/>
        <v>1970s</v>
      </c>
      <c r="O1206" t="str">
        <f t="shared" si="56"/>
        <v>N/A</v>
      </c>
      <c r="P1206" t="str">
        <f>VLOOKUP(E1206,calculated_fields!$F$4:$G$6,2,FALSE)</f>
        <v>Demographics</v>
      </c>
    </row>
    <row r="1207" spans="1:16">
      <c r="A1207" t="s">
        <v>1674</v>
      </c>
      <c r="B1207" t="s">
        <v>1651</v>
      </c>
      <c r="C1207" t="s">
        <v>80</v>
      </c>
      <c r="D1207">
        <v>1977</v>
      </c>
      <c r="E1207" t="s">
        <v>29</v>
      </c>
      <c r="F1207" t="s">
        <v>30</v>
      </c>
      <c r="G1207" t="s">
        <v>31</v>
      </c>
      <c r="H1207" t="s">
        <v>32</v>
      </c>
      <c r="I1207">
        <v>14800.160620000001</v>
      </c>
      <c r="J1207" t="s">
        <v>33</v>
      </c>
      <c r="K1207" t="s">
        <v>1672</v>
      </c>
      <c r="L1207" t="s">
        <v>21</v>
      </c>
      <c r="M1207" t="str">
        <f t="shared" si="54"/>
        <v>OK</v>
      </c>
      <c r="N1207" t="str">
        <f t="shared" si="55"/>
        <v>1970s</v>
      </c>
      <c r="O1207" t="str">
        <f t="shared" si="56"/>
        <v>N/A</v>
      </c>
      <c r="P1207" t="str">
        <f>VLOOKUP(E1207,calculated_fields!$F$4:$G$6,2,FALSE)</f>
        <v>Economy</v>
      </c>
    </row>
    <row r="1208" spans="1:16">
      <c r="A1208" t="s">
        <v>1675</v>
      </c>
      <c r="B1208" t="s">
        <v>1651</v>
      </c>
      <c r="C1208" t="s">
        <v>80</v>
      </c>
      <c r="D1208">
        <v>1982</v>
      </c>
      <c r="E1208" t="s">
        <v>15</v>
      </c>
      <c r="F1208" t="s">
        <v>16</v>
      </c>
      <c r="G1208" t="s">
        <v>17</v>
      </c>
      <c r="H1208" t="s">
        <v>18</v>
      </c>
      <c r="I1208">
        <v>70.959999999999994</v>
      </c>
      <c r="J1208" t="s">
        <v>19</v>
      </c>
      <c r="K1208" t="s">
        <v>1676</v>
      </c>
      <c r="L1208" t="s">
        <v>21</v>
      </c>
      <c r="M1208" t="str">
        <f t="shared" si="54"/>
        <v>OK</v>
      </c>
      <c r="N1208" t="str">
        <f t="shared" si="55"/>
        <v>1980s</v>
      </c>
      <c r="O1208" t="str">
        <f t="shared" si="56"/>
        <v>High</v>
      </c>
      <c r="P1208" t="str">
        <f>VLOOKUP(E1208,calculated_fields!$F$4:$G$6,2,FALSE)</f>
        <v>Health</v>
      </c>
    </row>
    <row r="1209" spans="1:16">
      <c r="A1209" t="s">
        <v>1677</v>
      </c>
      <c r="B1209" t="s">
        <v>1651</v>
      </c>
      <c r="C1209" t="s">
        <v>80</v>
      </c>
      <c r="D1209">
        <v>1982</v>
      </c>
      <c r="E1209" t="s">
        <v>23</v>
      </c>
      <c r="F1209" t="s">
        <v>24</v>
      </c>
      <c r="G1209" t="s">
        <v>25</v>
      </c>
      <c r="H1209" t="s">
        <v>26</v>
      </c>
      <c r="I1209">
        <v>10303704</v>
      </c>
      <c r="J1209" t="s">
        <v>27</v>
      </c>
      <c r="K1209" t="s">
        <v>1676</v>
      </c>
      <c r="L1209" t="s">
        <v>21</v>
      </c>
      <c r="M1209" t="str">
        <f t="shared" si="54"/>
        <v>OK</v>
      </c>
      <c r="N1209" t="str">
        <f t="shared" si="55"/>
        <v>1980s</v>
      </c>
      <c r="O1209" t="str">
        <f t="shared" si="56"/>
        <v>N/A</v>
      </c>
      <c r="P1209" t="str">
        <f>VLOOKUP(E1209,calculated_fields!$F$4:$G$6,2,FALSE)</f>
        <v>Demographics</v>
      </c>
    </row>
    <row r="1210" spans="1:16">
      <c r="A1210" t="s">
        <v>1678</v>
      </c>
      <c r="B1210" t="s">
        <v>1651</v>
      </c>
      <c r="C1210" t="s">
        <v>80</v>
      </c>
      <c r="D1210">
        <v>1982</v>
      </c>
      <c r="E1210" t="s">
        <v>29</v>
      </c>
      <c r="F1210" t="s">
        <v>30</v>
      </c>
      <c r="G1210" t="s">
        <v>31</v>
      </c>
      <c r="H1210" t="s">
        <v>32</v>
      </c>
      <c r="I1210">
        <v>15377.22855</v>
      </c>
      <c r="J1210" t="s">
        <v>33</v>
      </c>
      <c r="K1210" t="s">
        <v>1676</v>
      </c>
      <c r="L1210" t="s">
        <v>21</v>
      </c>
      <c r="M1210" t="str">
        <f t="shared" si="54"/>
        <v>OK</v>
      </c>
      <c r="N1210" t="str">
        <f t="shared" si="55"/>
        <v>1980s</v>
      </c>
      <c r="O1210" t="str">
        <f t="shared" si="56"/>
        <v>N/A</v>
      </c>
      <c r="P1210" t="str">
        <f>VLOOKUP(E1210,calculated_fields!$F$4:$G$6,2,FALSE)</f>
        <v>Economy</v>
      </c>
    </row>
    <row r="1211" spans="1:16">
      <c r="A1211" t="s">
        <v>1679</v>
      </c>
      <c r="B1211" t="s">
        <v>1651</v>
      </c>
      <c r="C1211" t="s">
        <v>80</v>
      </c>
      <c r="D1211">
        <v>1987</v>
      </c>
      <c r="E1211" t="s">
        <v>15</v>
      </c>
      <c r="F1211" t="s">
        <v>16</v>
      </c>
      <c r="G1211" t="s">
        <v>17</v>
      </c>
      <c r="H1211" t="s">
        <v>18</v>
      </c>
      <c r="I1211">
        <v>71.58</v>
      </c>
      <c r="J1211" t="s">
        <v>19</v>
      </c>
      <c r="K1211" t="s">
        <v>1680</v>
      </c>
      <c r="L1211" t="s">
        <v>21</v>
      </c>
      <c r="M1211" t="str">
        <f t="shared" si="54"/>
        <v>OK</v>
      </c>
      <c r="N1211" t="str">
        <f t="shared" si="55"/>
        <v>1980s</v>
      </c>
      <c r="O1211" t="str">
        <f t="shared" si="56"/>
        <v>High</v>
      </c>
      <c r="P1211" t="str">
        <f>VLOOKUP(E1211,calculated_fields!$F$4:$G$6,2,FALSE)</f>
        <v>Health</v>
      </c>
    </row>
    <row r="1212" spans="1:16">
      <c r="A1212" t="s">
        <v>1681</v>
      </c>
      <c r="B1212" t="s">
        <v>1651</v>
      </c>
      <c r="C1212" t="s">
        <v>80</v>
      </c>
      <c r="D1212">
        <v>1987</v>
      </c>
      <c r="E1212" t="s">
        <v>23</v>
      </c>
      <c r="F1212" t="s">
        <v>24</v>
      </c>
      <c r="G1212" t="s">
        <v>25</v>
      </c>
      <c r="H1212" t="s">
        <v>26</v>
      </c>
      <c r="I1212">
        <v>10311597</v>
      </c>
      <c r="J1212" t="s">
        <v>27</v>
      </c>
      <c r="K1212" t="s">
        <v>1680</v>
      </c>
      <c r="L1212" t="s">
        <v>21</v>
      </c>
      <c r="M1212" t="str">
        <f t="shared" si="54"/>
        <v>OK</v>
      </c>
      <c r="N1212" t="str">
        <f t="shared" si="55"/>
        <v>1980s</v>
      </c>
      <c r="O1212" t="str">
        <f t="shared" si="56"/>
        <v>N/A</v>
      </c>
      <c r="P1212" t="str">
        <f>VLOOKUP(E1212,calculated_fields!$F$4:$G$6,2,FALSE)</f>
        <v>Demographics</v>
      </c>
    </row>
    <row r="1213" spans="1:16">
      <c r="A1213" t="s">
        <v>1682</v>
      </c>
      <c r="B1213" t="s">
        <v>1651</v>
      </c>
      <c r="C1213" t="s">
        <v>80</v>
      </c>
      <c r="D1213">
        <v>1987</v>
      </c>
      <c r="E1213" t="s">
        <v>29</v>
      </c>
      <c r="F1213" t="s">
        <v>30</v>
      </c>
      <c r="G1213" t="s">
        <v>31</v>
      </c>
      <c r="H1213" t="s">
        <v>32</v>
      </c>
      <c r="I1213">
        <v>16310.4434</v>
      </c>
      <c r="J1213" t="s">
        <v>33</v>
      </c>
      <c r="K1213" t="s">
        <v>1680</v>
      </c>
      <c r="L1213" t="s">
        <v>21</v>
      </c>
      <c r="M1213" t="str">
        <f t="shared" si="54"/>
        <v>OK</v>
      </c>
      <c r="N1213" t="str">
        <f t="shared" si="55"/>
        <v>1980s</v>
      </c>
      <c r="O1213" t="str">
        <f t="shared" si="56"/>
        <v>N/A</v>
      </c>
      <c r="P1213" t="str">
        <f>VLOOKUP(E1213,calculated_fields!$F$4:$G$6,2,FALSE)</f>
        <v>Economy</v>
      </c>
    </row>
    <row r="1214" spans="1:16">
      <c r="A1214" t="s">
        <v>1683</v>
      </c>
      <c r="B1214" t="s">
        <v>1651</v>
      </c>
      <c r="C1214" t="s">
        <v>80</v>
      </c>
      <c r="D1214">
        <v>1992</v>
      </c>
      <c r="E1214" t="s">
        <v>15</v>
      </c>
      <c r="F1214" t="s">
        <v>16</v>
      </c>
      <c r="G1214" t="s">
        <v>17</v>
      </c>
      <c r="H1214" t="s">
        <v>18</v>
      </c>
      <c r="I1214">
        <v>72.400000000000006</v>
      </c>
      <c r="J1214" t="s">
        <v>19</v>
      </c>
      <c r="K1214" t="s">
        <v>1684</v>
      </c>
      <c r="L1214" t="s">
        <v>21</v>
      </c>
      <c r="M1214" t="str">
        <f t="shared" si="54"/>
        <v>OK</v>
      </c>
      <c r="N1214" t="str">
        <f t="shared" si="55"/>
        <v>1990s</v>
      </c>
      <c r="O1214" t="str">
        <f t="shared" si="56"/>
        <v>High</v>
      </c>
      <c r="P1214" t="str">
        <f>VLOOKUP(E1214,calculated_fields!$F$4:$G$6,2,FALSE)</f>
        <v>Health</v>
      </c>
    </row>
    <row r="1215" spans="1:16">
      <c r="A1215" t="s">
        <v>1685</v>
      </c>
      <c r="B1215" t="s">
        <v>1651</v>
      </c>
      <c r="C1215" t="s">
        <v>80</v>
      </c>
      <c r="D1215">
        <v>1992</v>
      </c>
      <c r="E1215" t="s">
        <v>23</v>
      </c>
      <c r="F1215" t="s">
        <v>24</v>
      </c>
      <c r="G1215" t="s">
        <v>25</v>
      </c>
      <c r="H1215" t="s">
        <v>26</v>
      </c>
      <c r="I1215">
        <v>10315702</v>
      </c>
      <c r="J1215" t="s">
        <v>27</v>
      </c>
      <c r="K1215" t="s">
        <v>1684</v>
      </c>
      <c r="L1215" t="s">
        <v>21</v>
      </c>
      <c r="M1215" t="str">
        <f t="shared" si="54"/>
        <v>OK</v>
      </c>
      <c r="N1215" t="str">
        <f t="shared" si="55"/>
        <v>1990s</v>
      </c>
      <c r="O1215" t="str">
        <f t="shared" si="56"/>
        <v>N/A</v>
      </c>
      <c r="P1215" t="str">
        <f>VLOOKUP(E1215,calculated_fields!$F$4:$G$6,2,FALSE)</f>
        <v>Demographics</v>
      </c>
    </row>
    <row r="1216" spans="1:16">
      <c r="A1216" t="s">
        <v>1686</v>
      </c>
      <c r="B1216" t="s">
        <v>1651</v>
      </c>
      <c r="C1216" t="s">
        <v>80</v>
      </c>
      <c r="D1216">
        <v>1992</v>
      </c>
      <c r="E1216" t="s">
        <v>29</v>
      </c>
      <c r="F1216" t="s">
        <v>30</v>
      </c>
      <c r="G1216" t="s">
        <v>31</v>
      </c>
      <c r="H1216" t="s">
        <v>32</v>
      </c>
      <c r="I1216">
        <v>14297.021220000001</v>
      </c>
      <c r="J1216" t="s">
        <v>33</v>
      </c>
      <c r="K1216" t="s">
        <v>1684</v>
      </c>
      <c r="L1216" t="s">
        <v>21</v>
      </c>
      <c r="M1216" t="str">
        <f t="shared" si="54"/>
        <v>OK</v>
      </c>
      <c r="N1216" t="str">
        <f t="shared" si="55"/>
        <v>1990s</v>
      </c>
      <c r="O1216" t="str">
        <f t="shared" si="56"/>
        <v>N/A</v>
      </c>
      <c r="P1216" t="str">
        <f>VLOOKUP(E1216,calculated_fields!$F$4:$G$6,2,FALSE)</f>
        <v>Economy</v>
      </c>
    </row>
    <row r="1217" spans="1:16">
      <c r="A1217" t="s">
        <v>1687</v>
      </c>
      <c r="B1217" t="s">
        <v>1651</v>
      </c>
      <c r="C1217" t="s">
        <v>80</v>
      </c>
      <c r="D1217">
        <v>1997</v>
      </c>
      <c r="E1217" t="s">
        <v>15</v>
      </c>
      <c r="F1217" t="s">
        <v>16</v>
      </c>
      <c r="G1217" t="s">
        <v>17</v>
      </c>
      <c r="H1217" t="s">
        <v>18</v>
      </c>
      <c r="I1217">
        <v>74.010000000000005</v>
      </c>
      <c r="J1217" t="s">
        <v>19</v>
      </c>
      <c r="K1217" t="s">
        <v>1688</v>
      </c>
      <c r="L1217" t="s">
        <v>21</v>
      </c>
      <c r="M1217" t="str">
        <f t="shared" si="54"/>
        <v>OK</v>
      </c>
      <c r="N1217" t="str">
        <f t="shared" si="55"/>
        <v>1990s</v>
      </c>
      <c r="O1217" t="str">
        <f t="shared" si="56"/>
        <v>High</v>
      </c>
      <c r="P1217" t="str">
        <f>VLOOKUP(E1217,calculated_fields!$F$4:$G$6,2,FALSE)</f>
        <v>Health</v>
      </c>
    </row>
    <row r="1218" spans="1:16">
      <c r="A1218" t="s">
        <v>1689</v>
      </c>
      <c r="B1218" t="s">
        <v>1651</v>
      </c>
      <c r="C1218" t="s">
        <v>80</v>
      </c>
      <c r="D1218">
        <v>1997</v>
      </c>
      <c r="E1218" t="s">
        <v>23</v>
      </c>
      <c r="F1218" t="s">
        <v>24</v>
      </c>
      <c r="G1218" t="s">
        <v>25</v>
      </c>
      <c r="H1218" t="s">
        <v>26</v>
      </c>
      <c r="I1218">
        <v>10300707</v>
      </c>
      <c r="J1218" t="s">
        <v>27</v>
      </c>
      <c r="K1218" t="s">
        <v>1688</v>
      </c>
      <c r="L1218" t="s">
        <v>21</v>
      </c>
      <c r="M1218" t="str">
        <f t="shared" ref="M1218:M1281" si="57">IF(AND(ISNUMBER(I1218),I1218&gt;=0),"OK","Review")</f>
        <v>OK</v>
      </c>
      <c r="N1218" t="str">
        <f t="shared" ref="N1218:N1281" si="58">FLOOR(D1218,10)&amp;"s"</f>
        <v>1990s</v>
      </c>
      <c r="O1218" t="str">
        <f t="shared" ref="O1218:O1281" si="59">IF(E1218="LIFE_EXP",IF(I1218&gt;=70,"High",IF(I1218&gt;=55,"Medium","Low")),"N/A")</f>
        <v>N/A</v>
      </c>
      <c r="P1218" t="str">
        <f>VLOOKUP(E1218,calculated_fields!$F$4:$G$6,2,FALSE)</f>
        <v>Demographics</v>
      </c>
    </row>
    <row r="1219" spans="1:16">
      <c r="A1219" t="s">
        <v>1690</v>
      </c>
      <c r="B1219" t="s">
        <v>1651</v>
      </c>
      <c r="C1219" t="s">
        <v>80</v>
      </c>
      <c r="D1219">
        <v>1997</v>
      </c>
      <c r="E1219" t="s">
        <v>29</v>
      </c>
      <c r="F1219" t="s">
        <v>30</v>
      </c>
      <c r="G1219" t="s">
        <v>31</v>
      </c>
      <c r="H1219" t="s">
        <v>32</v>
      </c>
      <c r="I1219">
        <v>16048.51424</v>
      </c>
      <c r="J1219" t="s">
        <v>33</v>
      </c>
      <c r="K1219" t="s">
        <v>1688</v>
      </c>
      <c r="L1219" t="s">
        <v>21</v>
      </c>
      <c r="M1219" t="str">
        <f t="shared" si="57"/>
        <v>OK</v>
      </c>
      <c r="N1219" t="str">
        <f t="shared" si="58"/>
        <v>1990s</v>
      </c>
      <c r="O1219" t="str">
        <f t="shared" si="59"/>
        <v>N/A</v>
      </c>
      <c r="P1219" t="str">
        <f>VLOOKUP(E1219,calculated_fields!$F$4:$G$6,2,FALSE)</f>
        <v>Economy</v>
      </c>
    </row>
    <row r="1220" spans="1:16">
      <c r="A1220" t="s">
        <v>1691</v>
      </c>
      <c r="B1220" t="s">
        <v>1651</v>
      </c>
      <c r="C1220" t="s">
        <v>80</v>
      </c>
      <c r="D1220">
        <v>2002</v>
      </c>
      <c r="E1220" t="s">
        <v>15</v>
      </c>
      <c r="F1220" t="s">
        <v>16</v>
      </c>
      <c r="G1220" t="s">
        <v>17</v>
      </c>
      <c r="H1220" t="s">
        <v>18</v>
      </c>
      <c r="I1220">
        <v>75.510000000000005</v>
      </c>
      <c r="J1220" t="s">
        <v>19</v>
      </c>
      <c r="K1220" t="s">
        <v>1692</v>
      </c>
      <c r="L1220" t="s">
        <v>21</v>
      </c>
      <c r="M1220" t="str">
        <f t="shared" si="57"/>
        <v>OK</v>
      </c>
      <c r="N1220" t="str">
        <f t="shared" si="58"/>
        <v>2000s</v>
      </c>
      <c r="O1220" t="str">
        <f t="shared" si="59"/>
        <v>High</v>
      </c>
      <c r="P1220" t="str">
        <f>VLOOKUP(E1220,calculated_fields!$F$4:$G$6,2,FALSE)</f>
        <v>Health</v>
      </c>
    </row>
    <row r="1221" spans="1:16">
      <c r="A1221" t="s">
        <v>1693</v>
      </c>
      <c r="B1221" t="s">
        <v>1651</v>
      </c>
      <c r="C1221" t="s">
        <v>80</v>
      </c>
      <c r="D1221">
        <v>2002</v>
      </c>
      <c r="E1221" t="s">
        <v>23</v>
      </c>
      <c r="F1221" t="s">
        <v>24</v>
      </c>
      <c r="G1221" t="s">
        <v>25</v>
      </c>
      <c r="H1221" t="s">
        <v>26</v>
      </c>
      <c r="I1221">
        <v>10256295</v>
      </c>
      <c r="J1221" t="s">
        <v>27</v>
      </c>
      <c r="K1221" t="s">
        <v>1692</v>
      </c>
      <c r="L1221" t="s">
        <v>21</v>
      </c>
      <c r="M1221" t="str">
        <f t="shared" si="57"/>
        <v>OK</v>
      </c>
      <c r="N1221" t="str">
        <f t="shared" si="58"/>
        <v>2000s</v>
      </c>
      <c r="O1221" t="str">
        <f t="shared" si="59"/>
        <v>N/A</v>
      </c>
      <c r="P1221" t="str">
        <f>VLOOKUP(E1221,calculated_fields!$F$4:$G$6,2,FALSE)</f>
        <v>Demographics</v>
      </c>
    </row>
    <row r="1222" spans="1:16">
      <c r="A1222" t="s">
        <v>1694</v>
      </c>
      <c r="B1222" t="s">
        <v>1651</v>
      </c>
      <c r="C1222" t="s">
        <v>80</v>
      </c>
      <c r="D1222">
        <v>2002</v>
      </c>
      <c r="E1222" t="s">
        <v>29</v>
      </c>
      <c r="F1222" t="s">
        <v>30</v>
      </c>
      <c r="G1222" t="s">
        <v>31</v>
      </c>
      <c r="H1222" t="s">
        <v>32</v>
      </c>
      <c r="I1222">
        <v>17596.210219999899</v>
      </c>
      <c r="J1222" t="s">
        <v>33</v>
      </c>
      <c r="K1222" t="s">
        <v>1692</v>
      </c>
      <c r="L1222" t="s">
        <v>21</v>
      </c>
      <c r="M1222" t="str">
        <f t="shared" si="57"/>
        <v>OK</v>
      </c>
      <c r="N1222" t="str">
        <f t="shared" si="58"/>
        <v>2000s</v>
      </c>
      <c r="O1222" t="str">
        <f t="shared" si="59"/>
        <v>N/A</v>
      </c>
      <c r="P1222" t="str">
        <f>VLOOKUP(E1222,calculated_fields!$F$4:$G$6,2,FALSE)</f>
        <v>Economy</v>
      </c>
    </row>
    <row r="1223" spans="1:16">
      <c r="A1223" t="s">
        <v>1695</v>
      </c>
      <c r="B1223" t="s">
        <v>1651</v>
      </c>
      <c r="C1223" t="s">
        <v>80</v>
      </c>
      <c r="D1223">
        <v>2007</v>
      </c>
      <c r="E1223" t="s">
        <v>15</v>
      </c>
      <c r="F1223" t="s">
        <v>16</v>
      </c>
      <c r="G1223" t="s">
        <v>17</v>
      </c>
      <c r="H1223" t="s">
        <v>18</v>
      </c>
      <c r="I1223">
        <v>76.486000000000004</v>
      </c>
      <c r="J1223" t="s">
        <v>19</v>
      </c>
      <c r="K1223" t="s">
        <v>1696</v>
      </c>
      <c r="L1223" t="s">
        <v>21</v>
      </c>
      <c r="M1223" t="str">
        <f t="shared" si="57"/>
        <v>OK</v>
      </c>
      <c r="N1223" t="str">
        <f t="shared" si="58"/>
        <v>2000s</v>
      </c>
      <c r="O1223" t="str">
        <f t="shared" si="59"/>
        <v>High</v>
      </c>
      <c r="P1223" t="str">
        <f>VLOOKUP(E1223,calculated_fields!$F$4:$G$6,2,FALSE)</f>
        <v>Health</v>
      </c>
    </row>
    <row r="1224" spans="1:16">
      <c r="A1224" t="s">
        <v>1697</v>
      </c>
      <c r="B1224" t="s">
        <v>1651</v>
      </c>
      <c r="C1224" t="s">
        <v>80</v>
      </c>
      <c r="D1224">
        <v>2007</v>
      </c>
      <c r="E1224" t="s">
        <v>23</v>
      </c>
      <c r="F1224" t="s">
        <v>24</v>
      </c>
      <c r="G1224" t="s">
        <v>25</v>
      </c>
      <c r="H1224" t="s">
        <v>26</v>
      </c>
      <c r="I1224">
        <v>10228744</v>
      </c>
      <c r="J1224" t="s">
        <v>27</v>
      </c>
      <c r="K1224" t="s">
        <v>1696</v>
      </c>
      <c r="L1224" t="s">
        <v>21</v>
      </c>
      <c r="M1224" t="str">
        <f t="shared" si="57"/>
        <v>OK</v>
      </c>
      <c r="N1224" t="str">
        <f t="shared" si="58"/>
        <v>2000s</v>
      </c>
      <c r="O1224" t="str">
        <f t="shared" si="59"/>
        <v>N/A</v>
      </c>
      <c r="P1224" t="str">
        <f>VLOOKUP(E1224,calculated_fields!$F$4:$G$6,2,FALSE)</f>
        <v>Demographics</v>
      </c>
    </row>
    <row r="1225" spans="1:16">
      <c r="A1225" t="s">
        <v>1698</v>
      </c>
      <c r="B1225" t="s">
        <v>1651</v>
      </c>
      <c r="C1225" t="s">
        <v>80</v>
      </c>
      <c r="D1225">
        <v>2007</v>
      </c>
      <c r="E1225" t="s">
        <v>29</v>
      </c>
      <c r="F1225" t="s">
        <v>30</v>
      </c>
      <c r="G1225" t="s">
        <v>31</v>
      </c>
      <c r="H1225" t="s">
        <v>32</v>
      </c>
      <c r="I1225">
        <v>22833.308509999999</v>
      </c>
      <c r="J1225" t="s">
        <v>33</v>
      </c>
      <c r="K1225" t="s">
        <v>1696</v>
      </c>
      <c r="L1225" t="s">
        <v>21</v>
      </c>
      <c r="M1225" t="str">
        <f t="shared" si="57"/>
        <v>OK</v>
      </c>
      <c r="N1225" t="str">
        <f t="shared" si="58"/>
        <v>2000s</v>
      </c>
      <c r="O1225" t="str">
        <f t="shared" si="59"/>
        <v>N/A</v>
      </c>
      <c r="P1225" t="str">
        <f>VLOOKUP(E1225,calculated_fields!$F$4:$G$6,2,FALSE)</f>
        <v>Economy</v>
      </c>
    </row>
    <row r="1226" spans="1:16">
      <c r="A1226" t="s">
        <v>1699</v>
      </c>
      <c r="B1226" t="s">
        <v>1700</v>
      </c>
      <c r="C1226" t="s">
        <v>80</v>
      </c>
      <c r="D1226">
        <v>1952</v>
      </c>
      <c r="E1226" t="s">
        <v>15</v>
      </c>
      <c r="F1226" t="s">
        <v>16</v>
      </c>
      <c r="G1226" t="s">
        <v>17</v>
      </c>
      <c r="H1226" t="s">
        <v>18</v>
      </c>
      <c r="I1226">
        <v>70.78</v>
      </c>
      <c r="J1226" t="s">
        <v>19</v>
      </c>
      <c r="K1226" t="s">
        <v>1701</v>
      </c>
      <c r="L1226" t="s">
        <v>21</v>
      </c>
      <c r="M1226" t="str">
        <f t="shared" si="57"/>
        <v>OK</v>
      </c>
      <c r="N1226" t="str">
        <f t="shared" si="58"/>
        <v>1950s</v>
      </c>
      <c r="O1226" t="str">
        <f t="shared" si="59"/>
        <v>High</v>
      </c>
      <c r="P1226" t="str">
        <f>VLOOKUP(E1226,calculated_fields!$F$4:$G$6,2,FALSE)</f>
        <v>Health</v>
      </c>
    </row>
    <row r="1227" spans="1:16">
      <c r="A1227" t="s">
        <v>1702</v>
      </c>
      <c r="B1227" t="s">
        <v>1700</v>
      </c>
      <c r="C1227" t="s">
        <v>80</v>
      </c>
      <c r="D1227">
        <v>1952</v>
      </c>
      <c r="E1227" t="s">
        <v>23</v>
      </c>
      <c r="F1227" t="s">
        <v>24</v>
      </c>
      <c r="G1227" t="s">
        <v>25</v>
      </c>
      <c r="H1227" t="s">
        <v>26</v>
      </c>
      <c r="I1227">
        <v>4334000</v>
      </c>
      <c r="J1227" t="s">
        <v>27</v>
      </c>
      <c r="K1227" t="s">
        <v>1701</v>
      </c>
      <c r="L1227" t="s">
        <v>21</v>
      </c>
      <c r="M1227" t="str">
        <f t="shared" si="57"/>
        <v>OK</v>
      </c>
      <c r="N1227" t="str">
        <f t="shared" si="58"/>
        <v>1950s</v>
      </c>
      <c r="O1227" t="str">
        <f t="shared" si="59"/>
        <v>N/A</v>
      </c>
      <c r="P1227" t="str">
        <f>VLOOKUP(E1227,calculated_fields!$F$4:$G$6,2,FALSE)</f>
        <v>Demographics</v>
      </c>
    </row>
    <row r="1228" spans="1:16">
      <c r="A1228" t="s">
        <v>1703</v>
      </c>
      <c r="B1228" t="s">
        <v>1700</v>
      </c>
      <c r="C1228" t="s">
        <v>80</v>
      </c>
      <c r="D1228">
        <v>1952</v>
      </c>
      <c r="E1228" t="s">
        <v>29</v>
      </c>
      <c r="F1228" t="s">
        <v>30</v>
      </c>
      <c r="G1228" t="s">
        <v>31</v>
      </c>
      <c r="H1228" t="s">
        <v>32</v>
      </c>
      <c r="I1228">
        <v>9692.3852449999995</v>
      </c>
      <c r="J1228" t="s">
        <v>33</v>
      </c>
      <c r="K1228" t="s">
        <v>1701</v>
      </c>
      <c r="L1228" t="s">
        <v>21</v>
      </c>
      <c r="M1228" t="str">
        <f t="shared" si="57"/>
        <v>OK</v>
      </c>
      <c r="N1228" t="str">
        <f t="shared" si="58"/>
        <v>1950s</v>
      </c>
      <c r="O1228" t="str">
        <f t="shared" si="59"/>
        <v>N/A</v>
      </c>
      <c r="P1228" t="str">
        <f>VLOOKUP(E1228,calculated_fields!$F$4:$G$6,2,FALSE)</f>
        <v>Economy</v>
      </c>
    </row>
    <row r="1229" spans="1:16">
      <c r="A1229" t="s">
        <v>1704</v>
      </c>
      <c r="B1229" t="s">
        <v>1700</v>
      </c>
      <c r="C1229" t="s">
        <v>80</v>
      </c>
      <c r="D1229">
        <v>1957</v>
      </c>
      <c r="E1229" t="s">
        <v>15</v>
      </c>
      <c r="F1229" t="s">
        <v>16</v>
      </c>
      <c r="G1229" t="s">
        <v>17</v>
      </c>
      <c r="H1229" t="s">
        <v>18</v>
      </c>
      <c r="I1229">
        <v>71.81</v>
      </c>
      <c r="J1229" t="s">
        <v>19</v>
      </c>
      <c r="K1229" t="s">
        <v>1705</v>
      </c>
      <c r="L1229" t="s">
        <v>21</v>
      </c>
      <c r="M1229" t="str">
        <f t="shared" si="57"/>
        <v>OK</v>
      </c>
      <c r="N1229" t="str">
        <f t="shared" si="58"/>
        <v>1950s</v>
      </c>
      <c r="O1229" t="str">
        <f t="shared" si="59"/>
        <v>High</v>
      </c>
      <c r="P1229" t="str">
        <f>VLOOKUP(E1229,calculated_fields!$F$4:$G$6,2,FALSE)</f>
        <v>Health</v>
      </c>
    </row>
    <row r="1230" spans="1:16">
      <c r="A1230" t="s">
        <v>1706</v>
      </c>
      <c r="B1230" t="s">
        <v>1700</v>
      </c>
      <c r="C1230" t="s">
        <v>80</v>
      </c>
      <c r="D1230">
        <v>1957</v>
      </c>
      <c r="E1230" t="s">
        <v>23</v>
      </c>
      <c r="F1230" t="s">
        <v>24</v>
      </c>
      <c r="G1230" t="s">
        <v>25</v>
      </c>
      <c r="H1230" t="s">
        <v>26</v>
      </c>
      <c r="I1230">
        <v>4487831</v>
      </c>
      <c r="J1230" t="s">
        <v>27</v>
      </c>
      <c r="K1230" t="s">
        <v>1705</v>
      </c>
      <c r="L1230" t="s">
        <v>21</v>
      </c>
      <c r="M1230" t="str">
        <f t="shared" si="57"/>
        <v>OK</v>
      </c>
      <c r="N1230" t="str">
        <f t="shared" si="58"/>
        <v>1950s</v>
      </c>
      <c r="O1230" t="str">
        <f t="shared" si="59"/>
        <v>N/A</v>
      </c>
      <c r="P1230" t="str">
        <f>VLOOKUP(E1230,calculated_fields!$F$4:$G$6,2,FALSE)</f>
        <v>Demographics</v>
      </c>
    </row>
    <row r="1231" spans="1:16">
      <c r="A1231" t="s">
        <v>1707</v>
      </c>
      <c r="B1231" t="s">
        <v>1700</v>
      </c>
      <c r="C1231" t="s">
        <v>80</v>
      </c>
      <c r="D1231">
        <v>1957</v>
      </c>
      <c r="E1231" t="s">
        <v>29</v>
      </c>
      <c r="F1231" t="s">
        <v>30</v>
      </c>
      <c r="G1231" t="s">
        <v>31</v>
      </c>
      <c r="H1231" t="s">
        <v>32</v>
      </c>
      <c r="I1231">
        <v>11099.65935</v>
      </c>
      <c r="J1231" t="s">
        <v>33</v>
      </c>
      <c r="K1231" t="s">
        <v>1705</v>
      </c>
      <c r="L1231" t="s">
        <v>21</v>
      </c>
      <c r="M1231" t="str">
        <f t="shared" si="57"/>
        <v>OK</v>
      </c>
      <c r="N1231" t="str">
        <f t="shared" si="58"/>
        <v>1950s</v>
      </c>
      <c r="O1231" t="str">
        <f t="shared" si="59"/>
        <v>N/A</v>
      </c>
      <c r="P1231" t="str">
        <f>VLOOKUP(E1231,calculated_fields!$F$4:$G$6,2,FALSE)</f>
        <v>Economy</v>
      </c>
    </row>
    <row r="1232" spans="1:16">
      <c r="A1232" t="s">
        <v>1708</v>
      </c>
      <c r="B1232" t="s">
        <v>1700</v>
      </c>
      <c r="C1232" t="s">
        <v>80</v>
      </c>
      <c r="D1232">
        <v>1962</v>
      </c>
      <c r="E1232" t="s">
        <v>15</v>
      </c>
      <c r="F1232" t="s">
        <v>16</v>
      </c>
      <c r="G1232" t="s">
        <v>17</v>
      </c>
      <c r="H1232" t="s">
        <v>18</v>
      </c>
      <c r="I1232">
        <v>72.349999999999994</v>
      </c>
      <c r="J1232" t="s">
        <v>19</v>
      </c>
      <c r="K1232" t="s">
        <v>1709</v>
      </c>
      <c r="L1232" t="s">
        <v>21</v>
      </c>
      <c r="M1232" t="str">
        <f t="shared" si="57"/>
        <v>OK</v>
      </c>
      <c r="N1232" t="str">
        <f t="shared" si="58"/>
        <v>1960s</v>
      </c>
      <c r="O1232" t="str">
        <f t="shared" si="59"/>
        <v>High</v>
      </c>
      <c r="P1232" t="str">
        <f>VLOOKUP(E1232,calculated_fields!$F$4:$G$6,2,FALSE)</f>
        <v>Health</v>
      </c>
    </row>
    <row r="1233" spans="1:16">
      <c r="A1233" t="s">
        <v>1710</v>
      </c>
      <c r="B1233" t="s">
        <v>1700</v>
      </c>
      <c r="C1233" t="s">
        <v>80</v>
      </c>
      <c r="D1233">
        <v>1962</v>
      </c>
      <c r="E1233" t="s">
        <v>23</v>
      </c>
      <c r="F1233" t="s">
        <v>24</v>
      </c>
      <c r="G1233" t="s">
        <v>25</v>
      </c>
      <c r="H1233" t="s">
        <v>26</v>
      </c>
      <c r="I1233">
        <v>4646899</v>
      </c>
      <c r="J1233" t="s">
        <v>27</v>
      </c>
      <c r="K1233" t="s">
        <v>1709</v>
      </c>
      <c r="L1233" t="s">
        <v>21</v>
      </c>
      <c r="M1233" t="str">
        <f t="shared" si="57"/>
        <v>OK</v>
      </c>
      <c r="N1233" t="str">
        <f t="shared" si="58"/>
        <v>1960s</v>
      </c>
      <c r="O1233" t="str">
        <f t="shared" si="59"/>
        <v>N/A</v>
      </c>
      <c r="P1233" t="str">
        <f>VLOOKUP(E1233,calculated_fields!$F$4:$G$6,2,FALSE)</f>
        <v>Demographics</v>
      </c>
    </row>
    <row r="1234" spans="1:16">
      <c r="A1234" t="s">
        <v>1711</v>
      </c>
      <c r="B1234" t="s">
        <v>1700</v>
      </c>
      <c r="C1234" t="s">
        <v>80</v>
      </c>
      <c r="D1234">
        <v>1962</v>
      </c>
      <c r="E1234" t="s">
        <v>29</v>
      </c>
      <c r="F1234" t="s">
        <v>30</v>
      </c>
      <c r="G1234" t="s">
        <v>31</v>
      </c>
      <c r="H1234" t="s">
        <v>32</v>
      </c>
      <c r="I1234">
        <v>13583.31351</v>
      </c>
      <c r="J1234" t="s">
        <v>33</v>
      </c>
      <c r="K1234" t="s">
        <v>1709</v>
      </c>
      <c r="L1234" t="s">
        <v>21</v>
      </c>
      <c r="M1234" t="str">
        <f t="shared" si="57"/>
        <v>OK</v>
      </c>
      <c r="N1234" t="str">
        <f t="shared" si="58"/>
        <v>1960s</v>
      </c>
      <c r="O1234" t="str">
        <f t="shared" si="59"/>
        <v>N/A</v>
      </c>
      <c r="P1234" t="str">
        <f>VLOOKUP(E1234,calculated_fields!$F$4:$G$6,2,FALSE)</f>
        <v>Economy</v>
      </c>
    </row>
    <row r="1235" spans="1:16">
      <c r="A1235" t="s">
        <v>1712</v>
      </c>
      <c r="B1235" t="s">
        <v>1700</v>
      </c>
      <c r="C1235" t="s">
        <v>80</v>
      </c>
      <c r="D1235">
        <v>1967</v>
      </c>
      <c r="E1235" t="s">
        <v>15</v>
      </c>
      <c r="F1235" t="s">
        <v>16</v>
      </c>
      <c r="G1235" t="s">
        <v>17</v>
      </c>
      <c r="H1235" t="s">
        <v>18</v>
      </c>
      <c r="I1235">
        <v>72.959999999999994</v>
      </c>
      <c r="J1235" t="s">
        <v>19</v>
      </c>
      <c r="K1235" t="s">
        <v>1713</v>
      </c>
      <c r="L1235" t="s">
        <v>21</v>
      </c>
      <c r="M1235" t="str">
        <f t="shared" si="57"/>
        <v>OK</v>
      </c>
      <c r="N1235" t="str">
        <f t="shared" si="58"/>
        <v>1960s</v>
      </c>
      <c r="O1235" t="str">
        <f t="shared" si="59"/>
        <v>High</v>
      </c>
      <c r="P1235" t="str">
        <f>VLOOKUP(E1235,calculated_fields!$F$4:$G$6,2,FALSE)</f>
        <v>Health</v>
      </c>
    </row>
    <row r="1236" spans="1:16">
      <c r="A1236" t="s">
        <v>1714</v>
      </c>
      <c r="B1236" t="s">
        <v>1700</v>
      </c>
      <c r="C1236" t="s">
        <v>80</v>
      </c>
      <c r="D1236">
        <v>1967</v>
      </c>
      <c r="E1236" t="s">
        <v>23</v>
      </c>
      <c r="F1236" t="s">
        <v>24</v>
      </c>
      <c r="G1236" t="s">
        <v>25</v>
      </c>
      <c r="H1236" t="s">
        <v>26</v>
      </c>
      <c r="I1236">
        <v>4838800</v>
      </c>
      <c r="J1236" t="s">
        <v>27</v>
      </c>
      <c r="K1236" t="s">
        <v>1713</v>
      </c>
      <c r="L1236" t="s">
        <v>21</v>
      </c>
      <c r="M1236" t="str">
        <f t="shared" si="57"/>
        <v>OK</v>
      </c>
      <c r="N1236" t="str">
        <f t="shared" si="58"/>
        <v>1960s</v>
      </c>
      <c r="O1236" t="str">
        <f t="shared" si="59"/>
        <v>N/A</v>
      </c>
      <c r="P1236" t="str">
        <f>VLOOKUP(E1236,calculated_fields!$F$4:$G$6,2,FALSE)</f>
        <v>Demographics</v>
      </c>
    </row>
    <row r="1237" spans="1:16">
      <c r="A1237" t="s">
        <v>1715</v>
      </c>
      <c r="B1237" t="s">
        <v>1700</v>
      </c>
      <c r="C1237" t="s">
        <v>80</v>
      </c>
      <c r="D1237">
        <v>1967</v>
      </c>
      <c r="E1237" t="s">
        <v>29</v>
      </c>
      <c r="F1237" t="s">
        <v>30</v>
      </c>
      <c r="G1237" t="s">
        <v>31</v>
      </c>
      <c r="H1237" t="s">
        <v>32</v>
      </c>
      <c r="I1237">
        <v>15937.211230000001</v>
      </c>
      <c r="J1237" t="s">
        <v>33</v>
      </c>
      <c r="K1237" t="s">
        <v>1713</v>
      </c>
      <c r="L1237" t="s">
        <v>21</v>
      </c>
      <c r="M1237" t="str">
        <f t="shared" si="57"/>
        <v>OK</v>
      </c>
      <c r="N1237" t="str">
        <f t="shared" si="58"/>
        <v>1960s</v>
      </c>
      <c r="O1237" t="str">
        <f t="shared" si="59"/>
        <v>N/A</v>
      </c>
      <c r="P1237" t="str">
        <f>VLOOKUP(E1237,calculated_fields!$F$4:$G$6,2,FALSE)</f>
        <v>Economy</v>
      </c>
    </row>
    <row r="1238" spans="1:16">
      <c r="A1238" t="s">
        <v>1716</v>
      </c>
      <c r="B1238" t="s">
        <v>1700</v>
      </c>
      <c r="C1238" t="s">
        <v>80</v>
      </c>
      <c r="D1238">
        <v>1972</v>
      </c>
      <c r="E1238" t="s">
        <v>15</v>
      </c>
      <c r="F1238" t="s">
        <v>16</v>
      </c>
      <c r="G1238" t="s">
        <v>17</v>
      </c>
      <c r="H1238" t="s">
        <v>18</v>
      </c>
      <c r="I1238">
        <v>73.47</v>
      </c>
      <c r="J1238" t="s">
        <v>19</v>
      </c>
      <c r="K1238" t="s">
        <v>1717</v>
      </c>
      <c r="L1238" t="s">
        <v>21</v>
      </c>
      <c r="M1238" t="str">
        <f t="shared" si="57"/>
        <v>OK</v>
      </c>
      <c r="N1238" t="str">
        <f t="shared" si="58"/>
        <v>1970s</v>
      </c>
      <c r="O1238" t="str">
        <f t="shared" si="59"/>
        <v>High</v>
      </c>
      <c r="P1238" t="str">
        <f>VLOOKUP(E1238,calculated_fields!$F$4:$G$6,2,FALSE)</f>
        <v>Health</v>
      </c>
    </row>
    <row r="1239" spans="1:16">
      <c r="A1239" t="s">
        <v>1718</v>
      </c>
      <c r="B1239" t="s">
        <v>1700</v>
      </c>
      <c r="C1239" t="s">
        <v>80</v>
      </c>
      <c r="D1239">
        <v>1972</v>
      </c>
      <c r="E1239" t="s">
        <v>23</v>
      </c>
      <c r="F1239" t="s">
        <v>24</v>
      </c>
      <c r="G1239" t="s">
        <v>25</v>
      </c>
      <c r="H1239" t="s">
        <v>26</v>
      </c>
      <c r="I1239">
        <v>4991596</v>
      </c>
      <c r="J1239" t="s">
        <v>27</v>
      </c>
      <c r="K1239" t="s">
        <v>1717</v>
      </c>
      <c r="L1239" t="s">
        <v>21</v>
      </c>
      <c r="M1239" t="str">
        <f t="shared" si="57"/>
        <v>OK</v>
      </c>
      <c r="N1239" t="str">
        <f t="shared" si="58"/>
        <v>1970s</v>
      </c>
      <c r="O1239" t="str">
        <f t="shared" si="59"/>
        <v>N/A</v>
      </c>
      <c r="P1239" t="str">
        <f>VLOOKUP(E1239,calculated_fields!$F$4:$G$6,2,FALSE)</f>
        <v>Demographics</v>
      </c>
    </row>
    <row r="1240" spans="1:16">
      <c r="A1240" t="s">
        <v>1719</v>
      </c>
      <c r="B1240" t="s">
        <v>1700</v>
      </c>
      <c r="C1240" t="s">
        <v>80</v>
      </c>
      <c r="D1240">
        <v>1972</v>
      </c>
      <c r="E1240" t="s">
        <v>29</v>
      </c>
      <c r="F1240" t="s">
        <v>30</v>
      </c>
      <c r="G1240" t="s">
        <v>31</v>
      </c>
      <c r="H1240" t="s">
        <v>32</v>
      </c>
      <c r="I1240">
        <v>18866.20721</v>
      </c>
      <c r="J1240" t="s">
        <v>33</v>
      </c>
      <c r="K1240" t="s">
        <v>1717</v>
      </c>
      <c r="L1240" t="s">
        <v>21</v>
      </c>
      <c r="M1240" t="str">
        <f t="shared" si="57"/>
        <v>OK</v>
      </c>
      <c r="N1240" t="str">
        <f t="shared" si="58"/>
        <v>1970s</v>
      </c>
      <c r="O1240" t="str">
        <f t="shared" si="59"/>
        <v>N/A</v>
      </c>
      <c r="P1240" t="str">
        <f>VLOOKUP(E1240,calculated_fields!$F$4:$G$6,2,FALSE)</f>
        <v>Economy</v>
      </c>
    </row>
    <row r="1241" spans="1:16">
      <c r="A1241" t="s">
        <v>1720</v>
      </c>
      <c r="B1241" t="s">
        <v>1700</v>
      </c>
      <c r="C1241" t="s">
        <v>80</v>
      </c>
      <c r="D1241">
        <v>1977</v>
      </c>
      <c r="E1241" t="s">
        <v>15</v>
      </c>
      <c r="F1241" t="s">
        <v>16</v>
      </c>
      <c r="G1241" t="s">
        <v>17</v>
      </c>
      <c r="H1241" t="s">
        <v>18</v>
      </c>
      <c r="I1241">
        <v>74.69</v>
      </c>
      <c r="J1241" t="s">
        <v>19</v>
      </c>
      <c r="K1241" t="s">
        <v>1721</v>
      </c>
      <c r="L1241" t="s">
        <v>21</v>
      </c>
      <c r="M1241" t="str">
        <f t="shared" si="57"/>
        <v>OK</v>
      </c>
      <c r="N1241" t="str">
        <f t="shared" si="58"/>
        <v>1970s</v>
      </c>
      <c r="O1241" t="str">
        <f t="shared" si="59"/>
        <v>High</v>
      </c>
      <c r="P1241" t="str">
        <f>VLOOKUP(E1241,calculated_fields!$F$4:$G$6,2,FALSE)</f>
        <v>Health</v>
      </c>
    </row>
    <row r="1242" spans="1:16">
      <c r="A1242" t="s">
        <v>1722</v>
      </c>
      <c r="B1242" t="s">
        <v>1700</v>
      </c>
      <c r="C1242" t="s">
        <v>80</v>
      </c>
      <c r="D1242">
        <v>1977</v>
      </c>
      <c r="E1242" t="s">
        <v>23</v>
      </c>
      <c r="F1242" t="s">
        <v>24</v>
      </c>
      <c r="G1242" t="s">
        <v>25</v>
      </c>
      <c r="H1242" t="s">
        <v>26</v>
      </c>
      <c r="I1242">
        <v>5088419</v>
      </c>
      <c r="J1242" t="s">
        <v>27</v>
      </c>
      <c r="K1242" t="s">
        <v>1721</v>
      </c>
      <c r="L1242" t="s">
        <v>21</v>
      </c>
      <c r="M1242" t="str">
        <f t="shared" si="57"/>
        <v>OK</v>
      </c>
      <c r="N1242" t="str">
        <f t="shared" si="58"/>
        <v>1970s</v>
      </c>
      <c r="O1242" t="str">
        <f t="shared" si="59"/>
        <v>N/A</v>
      </c>
      <c r="P1242" t="str">
        <f>VLOOKUP(E1242,calculated_fields!$F$4:$G$6,2,FALSE)</f>
        <v>Demographics</v>
      </c>
    </row>
    <row r="1243" spans="1:16">
      <c r="A1243" t="s">
        <v>1723</v>
      </c>
      <c r="B1243" t="s">
        <v>1700</v>
      </c>
      <c r="C1243" t="s">
        <v>80</v>
      </c>
      <c r="D1243">
        <v>1977</v>
      </c>
      <c r="E1243" t="s">
        <v>29</v>
      </c>
      <c r="F1243" t="s">
        <v>30</v>
      </c>
      <c r="G1243" t="s">
        <v>31</v>
      </c>
      <c r="H1243" t="s">
        <v>32</v>
      </c>
      <c r="I1243">
        <v>20422.9015</v>
      </c>
      <c r="J1243" t="s">
        <v>33</v>
      </c>
      <c r="K1243" t="s">
        <v>1721</v>
      </c>
      <c r="L1243" t="s">
        <v>21</v>
      </c>
      <c r="M1243" t="str">
        <f t="shared" si="57"/>
        <v>OK</v>
      </c>
      <c r="N1243" t="str">
        <f t="shared" si="58"/>
        <v>1970s</v>
      </c>
      <c r="O1243" t="str">
        <f t="shared" si="59"/>
        <v>N/A</v>
      </c>
      <c r="P1243" t="str">
        <f>VLOOKUP(E1243,calculated_fields!$F$4:$G$6,2,FALSE)</f>
        <v>Economy</v>
      </c>
    </row>
    <row r="1244" spans="1:16">
      <c r="A1244" t="s">
        <v>1724</v>
      </c>
      <c r="B1244" t="s">
        <v>1700</v>
      </c>
      <c r="C1244" t="s">
        <v>80</v>
      </c>
      <c r="D1244">
        <v>1982</v>
      </c>
      <c r="E1244" t="s">
        <v>15</v>
      </c>
      <c r="F1244" t="s">
        <v>16</v>
      </c>
      <c r="G1244" t="s">
        <v>17</v>
      </c>
      <c r="H1244" t="s">
        <v>18</v>
      </c>
      <c r="I1244">
        <v>74.63</v>
      </c>
      <c r="J1244" t="s">
        <v>19</v>
      </c>
      <c r="K1244" t="s">
        <v>1725</v>
      </c>
      <c r="L1244" t="s">
        <v>21</v>
      </c>
      <c r="M1244" t="str">
        <f t="shared" si="57"/>
        <v>OK</v>
      </c>
      <c r="N1244" t="str">
        <f t="shared" si="58"/>
        <v>1980s</v>
      </c>
      <c r="O1244" t="str">
        <f t="shared" si="59"/>
        <v>High</v>
      </c>
      <c r="P1244" t="str">
        <f>VLOOKUP(E1244,calculated_fields!$F$4:$G$6,2,FALSE)</f>
        <v>Health</v>
      </c>
    </row>
    <row r="1245" spans="1:16">
      <c r="A1245" t="s">
        <v>1726</v>
      </c>
      <c r="B1245" t="s">
        <v>1700</v>
      </c>
      <c r="C1245" t="s">
        <v>80</v>
      </c>
      <c r="D1245">
        <v>1982</v>
      </c>
      <c r="E1245" t="s">
        <v>23</v>
      </c>
      <c r="F1245" t="s">
        <v>24</v>
      </c>
      <c r="G1245" t="s">
        <v>25</v>
      </c>
      <c r="H1245" t="s">
        <v>26</v>
      </c>
      <c r="I1245">
        <v>5117810</v>
      </c>
      <c r="J1245" t="s">
        <v>27</v>
      </c>
      <c r="K1245" t="s">
        <v>1725</v>
      </c>
      <c r="L1245" t="s">
        <v>21</v>
      </c>
      <c r="M1245" t="str">
        <f t="shared" si="57"/>
        <v>OK</v>
      </c>
      <c r="N1245" t="str">
        <f t="shared" si="58"/>
        <v>1980s</v>
      </c>
      <c r="O1245" t="str">
        <f t="shared" si="59"/>
        <v>N/A</v>
      </c>
      <c r="P1245" t="str">
        <f>VLOOKUP(E1245,calculated_fields!$F$4:$G$6,2,FALSE)</f>
        <v>Demographics</v>
      </c>
    </row>
    <row r="1246" spans="1:16">
      <c r="A1246" t="s">
        <v>1727</v>
      </c>
      <c r="B1246" t="s">
        <v>1700</v>
      </c>
      <c r="C1246" t="s">
        <v>80</v>
      </c>
      <c r="D1246">
        <v>1982</v>
      </c>
      <c r="E1246" t="s">
        <v>29</v>
      </c>
      <c r="F1246" t="s">
        <v>30</v>
      </c>
      <c r="G1246" t="s">
        <v>31</v>
      </c>
      <c r="H1246" t="s">
        <v>32</v>
      </c>
      <c r="I1246">
        <v>21688.04048</v>
      </c>
      <c r="J1246" t="s">
        <v>33</v>
      </c>
      <c r="K1246" t="s">
        <v>1725</v>
      </c>
      <c r="L1246" t="s">
        <v>21</v>
      </c>
      <c r="M1246" t="str">
        <f t="shared" si="57"/>
        <v>OK</v>
      </c>
      <c r="N1246" t="str">
        <f t="shared" si="58"/>
        <v>1980s</v>
      </c>
      <c r="O1246" t="str">
        <f t="shared" si="59"/>
        <v>N/A</v>
      </c>
      <c r="P1246" t="str">
        <f>VLOOKUP(E1246,calculated_fields!$F$4:$G$6,2,FALSE)</f>
        <v>Economy</v>
      </c>
    </row>
    <row r="1247" spans="1:16">
      <c r="A1247" t="s">
        <v>1728</v>
      </c>
      <c r="B1247" t="s">
        <v>1700</v>
      </c>
      <c r="C1247" t="s">
        <v>80</v>
      </c>
      <c r="D1247">
        <v>1987</v>
      </c>
      <c r="E1247" t="s">
        <v>15</v>
      </c>
      <c r="F1247" t="s">
        <v>16</v>
      </c>
      <c r="G1247" t="s">
        <v>17</v>
      </c>
      <c r="H1247" t="s">
        <v>18</v>
      </c>
      <c r="I1247">
        <v>74.8</v>
      </c>
      <c r="J1247" t="s">
        <v>19</v>
      </c>
      <c r="K1247" t="s">
        <v>1729</v>
      </c>
      <c r="L1247" t="s">
        <v>21</v>
      </c>
      <c r="M1247" t="str">
        <f t="shared" si="57"/>
        <v>OK</v>
      </c>
      <c r="N1247" t="str">
        <f t="shared" si="58"/>
        <v>1980s</v>
      </c>
      <c r="O1247" t="str">
        <f t="shared" si="59"/>
        <v>High</v>
      </c>
      <c r="P1247" t="str">
        <f>VLOOKUP(E1247,calculated_fields!$F$4:$G$6,2,FALSE)</f>
        <v>Health</v>
      </c>
    </row>
    <row r="1248" spans="1:16">
      <c r="A1248" t="s">
        <v>1730</v>
      </c>
      <c r="B1248" t="s">
        <v>1700</v>
      </c>
      <c r="C1248" t="s">
        <v>80</v>
      </c>
      <c r="D1248">
        <v>1987</v>
      </c>
      <c r="E1248" t="s">
        <v>23</v>
      </c>
      <c r="F1248" t="s">
        <v>24</v>
      </c>
      <c r="G1248" t="s">
        <v>25</v>
      </c>
      <c r="H1248" t="s">
        <v>26</v>
      </c>
      <c r="I1248">
        <v>5127024</v>
      </c>
      <c r="J1248" t="s">
        <v>27</v>
      </c>
      <c r="K1248" t="s">
        <v>1729</v>
      </c>
      <c r="L1248" t="s">
        <v>21</v>
      </c>
      <c r="M1248" t="str">
        <f t="shared" si="57"/>
        <v>OK</v>
      </c>
      <c r="N1248" t="str">
        <f t="shared" si="58"/>
        <v>1980s</v>
      </c>
      <c r="O1248" t="str">
        <f t="shared" si="59"/>
        <v>N/A</v>
      </c>
      <c r="P1248" t="str">
        <f>VLOOKUP(E1248,calculated_fields!$F$4:$G$6,2,FALSE)</f>
        <v>Demographics</v>
      </c>
    </row>
    <row r="1249" spans="1:16">
      <c r="A1249" t="s">
        <v>1731</v>
      </c>
      <c r="B1249" t="s">
        <v>1700</v>
      </c>
      <c r="C1249" t="s">
        <v>80</v>
      </c>
      <c r="D1249">
        <v>1987</v>
      </c>
      <c r="E1249" t="s">
        <v>29</v>
      </c>
      <c r="F1249" t="s">
        <v>30</v>
      </c>
      <c r="G1249" t="s">
        <v>31</v>
      </c>
      <c r="H1249" t="s">
        <v>32</v>
      </c>
      <c r="I1249">
        <v>25116.175810000001</v>
      </c>
      <c r="J1249" t="s">
        <v>33</v>
      </c>
      <c r="K1249" t="s">
        <v>1729</v>
      </c>
      <c r="L1249" t="s">
        <v>21</v>
      </c>
      <c r="M1249" t="str">
        <f t="shared" si="57"/>
        <v>OK</v>
      </c>
      <c r="N1249" t="str">
        <f t="shared" si="58"/>
        <v>1980s</v>
      </c>
      <c r="O1249" t="str">
        <f t="shared" si="59"/>
        <v>N/A</v>
      </c>
      <c r="P1249" t="str">
        <f>VLOOKUP(E1249,calculated_fields!$F$4:$G$6,2,FALSE)</f>
        <v>Economy</v>
      </c>
    </row>
    <row r="1250" spans="1:16">
      <c r="A1250" t="s">
        <v>1732</v>
      </c>
      <c r="B1250" t="s">
        <v>1700</v>
      </c>
      <c r="C1250" t="s">
        <v>80</v>
      </c>
      <c r="D1250">
        <v>1992</v>
      </c>
      <c r="E1250" t="s">
        <v>15</v>
      </c>
      <c r="F1250" t="s">
        <v>16</v>
      </c>
      <c r="G1250" t="s">
        <v>17</v>
      </c>
      <c r="H1250" t="s">
        <v>18</v>
      </c>
      <c r="I1250">
        <v>75.33</v>
      </c>
      <c r="J1250" t="s">
        <v>19</v>
      </c>
      <c r="K1250" t="s">
        <v>1733</v>
      </c>
      <c r="L1250" t="s">
        <v>21</v>
      </c>
      <c r="M1250" t="str">
        <f t="shared" si="57"/>
        <v>OK</v>
      </c>
      <c r="N1250" t="str">
        <f t="shared" si="58"/>
        <v>1990s</v>
      </c>
      <c r="O1250" t="str">
        <f t="shared" si="59"/>
        <v>High</v>
      </c>
      <c r="P1250" t="str">
        <f>VLOOKUP(E1250,calculated_fields!$F$4:$G$6,2,FALSE)</f>
        <v>Health</v>
      </c>
    </row>
    <row r="1251" spans="1:16">
      <c r="A1251" t="s">
        <v>1734</v>
      </c>
      <c r="B1251" t="s">
        <v>1700</v>
      </c>
      <c r="C1251" t="s">
        <v>80</v>
      </c>
      <c r="D1251">
        <v>1992</v>
      </c>
      <c r="E1251" t="s">
        <v>23</v>
      </c>
      <c r="F1251" t="s">
        <v>24</v>
      </c>
      <c r="G1251" t="s">
        <v>25</v>
      </c>
      <c r="H1251" t="s">
        <v>26</v>
      </c>
      <c r="I1251">
        <v>5171393</v>
      </c>
      <c r="J1251" t="s">
        <v>27</v>
      </c>
      <c r="K1251" t="s">
        <v>1733</v>
      </c>
      <c r="L1251" t="s">
        <v>21</v>
      </c>
      <c r="M1251" t="str">
        <f t="shared" si="57"/>
        <v>OK</v>
      </c>
      <c r="N1251" t="str">
        <f t="shared" si="58"/>
        <v>1990s</v>
      </c>
      <c r="O1251" t="str">
        <f t="shared" si="59"/>
        <v>N/A</v>
      </c>
      <c r="P1251" t="str">
        <f>VLOOKUP(E1251,calculated_fields!$F$4:$G$6,2,FALSE)</f>
        <v>Demographics</v>
      </c>
    </row>
    <row r="1252" spans="1:16">
      <c r="A1252" t="s">
        <v>1735</v>
      </c>
      <c r="B1252" t="s">
        <v>1700</v>
      </c>
      <c r="C1252" t="s">
        <v>80</v>
      </c>
      <c r="D1252">
        <v>1992</v>
      </c>
      <c r="E1252" t="s">
        <v>29</v>
      </c>
      <c r="F1252" t="s">
        <v>30</v>
      </c>
      <c r="G1252" t="s">
        <v>31</v>
      </c>
      <c r="H1252" t="s">
        <v>32</v>
      </c>
      <c r="I1252">
        <v>26406.739850000002</v>
      </c>
      <c r="J1252" t="s">
        <v>33</v>
      </c>
      <c r="K1252" t="s">
        <v>1733</v>
      </c>
      <c r="L1252" t="s">
        <v>21</v>
      </c>
      <c r="M1252" t="str">
        <f t="shared" si="57"/>
        <v>OK</v>
      </c>
      <c r="N1252" t="str">
        <f t="shared" si="58"/>
        <v>1990s</v>
      </c>
      <c r="O1252" t="str">
        <f t="shared" si="59"/>
        <v>N/A</v>
      </c>
      <c r="P1252" t="str">
        <f>VLOOKUP(E1252,calculated_fields!$F$4:$G$6,2,FALSE)</f>
        <v>Economy</v>
      </c>
    </row>
    <row r="1253" spans="1:16">
      <c r="A1253" t="s">
        <v>1736</v>
      </c>
      <c r="B1253" t="s">
        <v>1700</v>
      </c>
      <c r="C1253" t="s">
        <v>80</v>
      </c>
      <c r="D1253">
        <v>1997</v>
      </c>
      <c r="E1253" t="s">
        <v>15</v>
      </c>
      <c r="F1253" t="s">
        <v>16</v>
      </c>
      <c r="G1253" t="s">
        <v>17</v>
      </c>
      <c r="H1253" t="s">
        <v>18</v>
      </c>
      <c r="I1253">
        <v>76.11</v>
      </c>
      <c r="J1253" t="s">
        <v>19</v>
      </c>
      <c r="K1253" t="s">
        <v>1737</v>
      </c>
      <c r="L1253" t="s">
        <v>21</v>
      </c>
      <c r="M1253" t="str">
        <f t="shared" si="57"/>
        <v>OK</v>
      </c>
      <c r="N1253" t="str">
        <f t="shared" si="58"/>
        <v>1990s</v>
      </c>
      <c r="O1253" t="str">
        <f t="shared" si="59"/>
        <v>High</v>
      </c>
      <c r="P1253" t="str">
        <f>VLOOKUP(E1253,calculated_fields!$F$4:$G$6,2,FALSE)</f>
        <v>Health</v>
      </c>
    </row>
    <row r="1254" spans="1:16">
      <c r="A1254" t="s">
        <v>1738</v>
      </c>
      <c r="B1254" t="s">
        <v>1700</v>
      </c>
      <c r="C1254" t="s">
        <v>80</v>
      </c>
      <c r="D1254">
        <v>1997</v>
      </c>
      <c r="E1254" t="s">
        <v>23</v>
      </c>
      <c r="F1254" t="s">
        <v>24</v>
      </c>
      <c r="G1254" t="s">
        <v>25</v>
      </c>
      <c r="H1254" t="s">
        <v>26</v>
      </c>
      <c r="I1254">
        <v>5283663</v>
      </c>
      <c r="J1254" t="s">
        <v>27</v>
      </c>
      <c r="K1254" t="s">
        <v>1737</v>
      </c>
      <c r="L1254" t="s">
        <v>21</v>
      </c>
      <c r="M1254" t="str">
        <f t="shared" si="57"/>
        <v>OK</v>
      </c>
      <c r="N1254" t="str">
        <f t="shared" si="58"/>
        <v>1990s</v>
      </c>
      <c r="O1254" t="str">
        <f t="shared" si="59"/>
        <v>N/A</v>
      </c>
      <c r="P1254" t="str">
        <f>VLOOKUP(E1254,calculated_fields!$F$4:$G$6,2,FALSE)</f>
        <v>Demographics</v>
      </c>
    </row>
    <row r="1255" spans="1:16">
      <c r="A1255" t="s">
        <v>1739</v>
      </c>
      <c r="B1255" t="s">
        <v>1700</v>
      </c>
      <c r="C1255" t="s">
        <v>80</v>
      </c>
      <c r="D1255">
        <v>1997</v>
      </c>
      <c r="E1255" t="s">
        <v>29</v>
      </c>
      <c r="F1255" t="s">
        <v>30</v>
      </c>
      <c r="G1255" t="s">
        <v>31</v>
      </c>
      <c r="H1255" t="s">
        <v>32</v>
      </c>
      <c r="I1255">
        <v>29804.345669999999</v>
      </c>
      <c r="J1255" t="s">
        <v>33</v>
      </c>
      <c r="K1255" t="s">
        <v>1737</v>
      </c>
      <c r="L1255" t="s">
        <v>21</v>
      </c>
      <c r="M1255" t="str">
        <f t="shared" si="57"/>
        <v>OK</v>
      </c>
      <c r="N1255" t="str">
        <f t="shared" si="58"/>
        <v>1990s</v>
      </c>
      <c r="O1255" t="str">
        <f t="shared" si="59"/>
        <v>N/A</v>
      </c>
      <c r="P1255" t="str">
        <f>VLOOKUP(E1255,calculated_fields!$F$4:$G$6,2,FALSE)</f>
        <v>Economy</v>
      </c>
    </row>
    <row r="1256" spans="1:16">
      <c r="A1256" t="s">
        <v>1740</v>
      </c>
      <c r="B1256" t="s">
        <v>1700</v>
      </c>
      <c r="C1256" t="s">
        <v>80</v>
      </c>
      <c r="D1256">
        <v>2002</v>
      </c>
      <c r="E1256" t="s">
        <v>15</v>
      </c>
      <c r="F1256" t="s">
        <v>16</v>
      </c>
      <c r="G1256" t="s">
        <v>17</v>
      </c>
      <c r="H1256" t="s">
        <v>18</v>
      </c>
      <c r="I1256">
        <v>77.180000000000007</v>
      </c>
      <c r="J1256" t="s">
        <v>19</v>
      </c>
      <c r="K1256" t="s">
        <v>1741</v>
      </c>
      <c r="L1256" t="s">
        <v>21</v>
      </c>
      <c r="M1256" t="str">
        <f t="shared" si="57"/>
        <v>OK</v>
      </c>
      <c r="N1256" t="str">
        <f t="shared" si="58"/>
        <v>2000s</v>
      </c>
      <c r="O1256" t="str">
        <f t="shared" si="59"/>
        <v>High</v>
      </c>
      <c r="P1256" t="str">
        <f>VLOOKUP(E1256,calculated_fields!$F$4:$G$6,2,FALSE)</f>
        <v>Health</v>
      </c>
    </row>
    <row r="1257" spans="1:16">
      <c r="A1257" t="s">
        <v>1742</v>
      </c>
      <c r="B1257" t="s">
        <v>1700</v>
      </c>
      <c r="C1257" t="s">
        <v>80</v>
      </c>
      <c r="D1257">
        <v>2002</v>
      </c>
      <c r="E1257" t="s">
        <v>23</v>
      </c>
      <c r="F1257" t="s">
        <v>24</v>
      </c>
      <c r="G1257" t="s">
        <v>25</v>
      </c>
      <c r="H1257" t="s">
        <v>26</v>
      </c>
      <c r="I1257">
        <v>5374693</v>
      </c>
      <c r="J1257" t="s">
        <v>27</v>
      </c>
      <c r="K1257" t="s">
        <v>1741</v>
      </c>
      <c r="L1257" t="s">
        <v>21</v>
      </c>
      <c r="M1257" t="str">
        <f t="shared" si="57"/>
        <v>OK</v>
      </c>
      <c r="N1257" t="str">
        <f t="shared" si="58"/>
        <v>2000s</v>
      </c>
      <c r="O1257" t="str">
        <f t="shared" si="59"/>
        <v>N/A</v>
      </c>
      <c r="P1257" t="str">
        <f>VLOOKUP(E1257,calculated_fields!$F$4:$G$6,2,FALSE)</f>
        <v>Demographics</v>
      </c>
    </row>
    <row r="1258" spans="1:16">
      <c r="A1258" t="s">
        <v>1743</v>
      </c>
      <c r="B1258" t="s">
        <v>1700</v>
      </c>
      <c r="C1258" t="s">
        <v>80</v>
      </c>
      <c r="D1258">
        <v>2002</v>
      </c>
      <c r="E1258" t="s">
        <v>29</v>
      </c>
      <c r="F1258" t="s">
        <v>30</v>
      </c>
      <c r="G1258" t="s">
        <v>31</v>
      </c>
      <c r="H1258" t="s">
        <v>32</v>
      </c>
      <c r="I1258">
        <v>32166.500059999998</v>
      </c>
      <c r="J1258" t="s">
        <v>33</v>
      </c>
      <c r="K1258" t="s">
        <v>1741</v>
      </c>
      <c r="L1258" t="s">
        <v>21</v>
      </c>
      <c r="M1258" t="str">
        <f t="shared" si="57"/>
        <v>OK</v>
      </c>
      <c r="N1258" t="str">
        <f t="shared" si="58"/>
        <v>2000s</v>
      </c>
      <c r="O1258" t="str">
        <f t="shared" si="59"/>
        <v>N/A</v>
      </c>
      <c r="P1258" t="str">
        <f>VLOOKUP(E1258,calculated_fields!$F$4:$G$6,2,FALSE)</f>
        <v>Economy</v>
      </c>
    </row>
    <row r="1259" spans="1:16">
      <c r="A1259" t="s">
        <v>1744</v>
      </c>
      <c r="B1259" t="s">
        <v>1700</v>
      </c>
      <c r="C1259" t="s">
        <v>80</v>
      </c>
      <c r="D1259">
        <v>2007</v>
      </c>
      <c r="E1259" t="s">
        <v>15</v>
      </c>
      <c r="F1259" t="s">
        <v>16</v>
      </c>
      <c r="G1259" t="s">
        <v>17</v>
      </c>
      <c r="H1259" t="s">
        <v>18</v>
      </c>
      <c r="I1259">
        <v>78.331999999999994</v>
      </c>
      <c r="J1259" t="s">
        <v>19</v>
      </c>
      <c r="K1259" t="s">
        <v>1745</v>
      </c>
      <c r="L1259" t="s">
        <v>21</v>
      </c>
      <c r="M1259" t="str">
        <f t="shared" si="57"/>
        <v>OK</v>
      </c>
      <c r="N1259" t="str">
        <f t="shared" si="58"/>
        <v>2000s</v>
      </c>
      <c r="O1259" t="str">
        <f t="shared" si="59"/>
        <v>High</v>
      </c>
      <c r="P1259" t="str">
        <f>VLOOKUP(E1259,calculated_fields!$F$4:$G$6,2,FALSE)</f>
        <v>Health</v>
      </c>
    </row>
    <row r="1260" spans="1:16">
      <c r="A1260" t="s">
        <v>1746</v>
      </c>
      <c r="B1260" t="s">
        <v>1700</v>
      </c>
      <c r="C1260" t="s">
        <v>80</v>
      </c>
      <c r="D1260">
        <v>2007</v>
      </c>
      <c r="E1260" t="s">
        <v>23</v>
      </c>
      <c r="F1260" t="s">
        <v>24</v>
      </c>
      <c r="G1260" t="s">
        <v>25</v>
      </c>
      <c r="H1260" t="s">
        <v>26</v>
      </c>
      <c r="I1260">
        <v>5468120</v>
      </c>
      <c r="J1260" t="s">
        <v>27</v>
      </c>
      <c r="K1260" t="s">
        <v>1745</v>
      </c>
      <c r="L1260" t="s">
        <v>21</v>
      </c>
      <c r="M1260" t="str">
        <f t="shared" si="57"/>
        <v>OK</v>
      </c>
      <c r="N1260" t="str">
        <f t="shared" si="58"/>
        <v>2000s</v>
      </c>
      <c r="O1260" t="str">
        <f t="shared" si="59"/>
        <v>N/A</v>
      </c>
      <c r="P1260" t="str">
        <f>VLOOKUP(E1260,calculated_fields!$F$4:$G$6,2,FALSE)</f>
        <v>Demographics</v>
      </c>
    </row>
    <row r="1261" spans="1:16">
      <c r="A1261" t="s">
        <v>1747</v>
      </c>
      <c r="B1261" t="s">
        <v>1700</v>
      </c>
      <c r="C1261" t="s">
        <v>80</v>
      </c>
      <c r="D1261">
        <v>2007</v>
      </c>
      <c r="E1261" t="s">
        <v>29</v>
      </c>
      <c r="F1261" t="s">
        <v>30</v>
      </c>
      <c r="G1261" t="s">
        <v>31</v>
      </c>
      <c r="H1261" t="s">
        <v>32</v>
      </c>
      <c r="I1261">
        <v>35278.418740000001</v>
      </c>
      <c r="J1261" t="s">
        <v>33</v>
      </c>
      <c r="K1261" t="s">
        <v>1745</v>
      </c>
      <c r="L1261" t="s">
        <v>21</v>
      </c>
      <c r="M1261" t="str">
        <f t="shared" si="57"/>
        <v>OK</v>
      </c>
      <c r="N1261" t="str">
        <f t="shared" si="58"/>
        <v>2000s</v>
      </c>
      <c r="O1261" t="str">
        <f t="shared" si="59"/>
        <v>N/A</v>
      </c>
      <c r="P1261" t="str">
        <f>VLOOKUP(E1261,calculated_fields!$F$4:$G$6,2,FALSE)</f>
        <v>Economy</v>
      </c>
    </row>
    <row r="1262" spans="1:16">
      <c r="A1262" t="s">
        <v>1748</v>
      </c>
      <c r="B1262" t="s">
        <v>1749</v>
      </c>
      <c r="C1262" t="s">
        <v>130</v>
      </c>
      <c r="D1262">
        <v>1952</v>
      </c>
      <c r="E1262" t="s">
        <v>15</v>
      </c>
      <c r="F1262" t="s">
        <v>16</v>
      </c>
      <c r="G1262" t="s">
        <v>17</v>
      </c>
      <c r="H1262" t="s">
        <v>18</v>
      </c>
      <c r="I1262">
        <v>34.811999999999998</v>
      </c>
      <c r="J1262" t="s">
        <v>19</v>
      </c>
      <c r="K1262" t="s">
        <v>1750</v>
      </c>
      <c r="L1262" t="s">
        <v>21</v>
      </c>
      <c r="M1262" t="str">
        <f t="shared" si="57"/>
        <v>OK</v>
      </c>
      <c r="N1262" t="str">
        <f t="shared" si="58"/>
        <v>1950s</v>
      </c>
      <c r="O1262" t="str">
        <f t="shared" si="59"/>
        <v>Low</v>
      </c>
      <c r="P1262" t="str">
        <f>VLOOKUP(E1262,calculated_fields!$F$4:$G$6,2,FALSE)</f>
        <v>Health</v>
      </c>
    </row>
    <row r="1263" spans="1:16">
      <c r="A1263" t="s">
        <v>1751</v>
      </c>
      <c r="B1263" t="s">
        <v>1749</v>
      </c>
      <c r="C1263" t="s">
        <v>130</v>
      </c>
      <c r="D1263">
        <v>1952</v>
      </c>
      <c r="E1263" t="s">
        <v>23</v>
      </c>
      <c r="F1263" t="s">
        <v>24</v>
      </c>
      <c r="G1263" t="s">
        <v>25</v>
      </c>
      <c r="H1263" t="s">
        <v>26</v>
      </c>
      <c r="I1263">
        <v>63149</v>
      </c>
      <c r="J1263" t="s">
        <v>27</v>
      </c>
      <c r="K1263" t="s">
        <v>1750</v>
      </c>
      <c r="L1263" t="s">
        <v>21</v>
      </c>
      <c r="M1263" t="str">
        <f t="shared" si="57"/>
        <v>OK</v>
      </c>
      <c r="N1263" t="str">
        <f t="shared" si="58"/>
        <v>1950s</v>
      </c>
      <c r="O1263" t="str">
        <f t="shared" si="59"/>
        <v>N/A</v>
      </c>
      <c r="P1263" t="str">
        <f>VLOOKUP(E1263,calculated_fields!$F$4:$G$6,2,FALSE)</f>
        <v>Demographics</v>
      </c>
    </row>
    <row r="1264" spans="1:16">
      <c r="A1264" t="s">
        <v>1752</v>
      </c>
      <c r="B1264" t="s">
        <v>1749</v>
      </c>
      <c r="C1264" t="s">
        <v>130</v>
      </c>
      <c r="D1264">
        <v>1952</v>
      </c>
      <c r="E1264" t="s">
        <v>29</v>
      </c>
      <c r="F1264" t="s">
        <v>30</v>
      </c>
      <c r="G1264" t="s">
        <v>31</v>
      </c>
      <c r="H1264" t="s">
        <v>32</v>
      </c>
      <c r="I1264">
        <v>2669.5294749999998</v>
      </c>
      <c r="J1264" t="s">
        <v>33</v>
      </c>
      <c r="K1264" t="s">
        <v>1750</v>
      </c>
      <c r="L1264" t="s">
        <v>21</v>
      </c>
      <c r="M1264" t="str">
        <f t="shared" si="57"/>
        <v>OK</v>
      </c>
      <c r="N1264" t="str">
        <f t="shared" si="58"/>
        <v>1950s</v>
      </c>
      <c r="O1264" t="str">
        <f t="shared" si="59"/>
        <v>N/A</v>
      </c>
      <c r="P1264" t="str">
        <f>VLOOKUP(E1264,calculated_fields!$F$4:$G$6,2,FALSE)</f>
        <v>Economy</v>
      </c>
    </row>
    <row r="1265" spans="1:16">
      <c r="A1265" t="s">
        <v>1753</v>
      </c>
      <c r="B1265" t="s">
        <v>1749</v>
      </c>
      <c r="C1265" t="s">
        <v>130</v>
      </c>
      <c r="D1265">
        <v>1957</v>
      </c>
      <c r="E1265" t="s">
        <v>15</v>
      </c>
      <c r="F1265" t="s">
        <v>16</v>
      </c>
      <c r="G1265" t="s">
        <v>17</v>
      </c>
      <c r="H1265" t="s">
        <v>18</v>
      </c>
      <c r="I1265">
        <v>37.328000000000003</v>
      </c>
      <c r="J1265" t="s">
        <v>19</v>
      </c>
      <c r="K1265" t="s">
        <v>1754</v>
      </c>
      <c r="L1265" t="s">
        <v>21</v>
      </c>
      <c r="M1265" t="str">
        <f t="shared" si="57"/>
        <v>OK</v>
      </c>
      <c r="N1265" t="str">
        <f t="shared" si="58"/>
        <v>1950s</v>
      </c>
      <c r="O1265" t="str">
        <f t="shared" si="59"/>
        <v>Low</v>
      </c>
      <c r="P1265" t="str">
        <f>VLOOKUP(E1265,calculated_fields!$F$4:$G$6,2,FALSE)</f>
        <v>Health</v>
      </c>
    </row>
    <row r="1266" spans="1:16">
      <c r="A1266" t="s">
        <v>1755</v>
      </c>
      <c r="B1266" t="s">
        <v>1749</v>
      </c>
      <c r="C1266" t="s">
        <v>130</v>
      </c>
      <c r="D1266">
        <v>1957</v>
      </c>
      <c r="E1266" t="s">
        <v>23</v>
      </c>
      <c r="F1266" t="s">
        <v>24</v>
      </c>
      <c r="G1266" t="s">
        <v>25</v>
      </c>
      <c r="H1266" t="s">
        <v>26</v>
      </c>
      <c r="I1266">
        <v>71851</v>
      </c>
      <c r="J1266" t="s">
        <v>27</v>
      </c>
      <c r="K1266" t="s">
        <v>1754</v>
      </c>
      <c r="L1266" t="s">
        <v>21</v>
      </c>
      <c r="M1266" t="str">
        <f t="shared" si="57"/>
        <v>OK</v>
      </c>
      <c r="N1266" t="str">
        <f t="shared" si="58"/>
        <v>1950s</v>
      </c>
      <c r="O1266" t="str">
        <f t="shared" si="59"/>
        <v>N/A</v>
      </c>
      <c r="P1266" t="str">
        <f>VLOOKUP(E1266,calculated_fields!$F$4:$G$6,2,FALSE)</f>
        <v>Demographics</v>
      </c>
    </row>
    <row r="1267" spans="1:16">
      <c r="A1267" t="s">
        <v>1756</v>
      </c>
      <c r="B1267" t="s">
        <v>1749</v>
      </c>
      <c r="C1267" t="s">
        <v>130</v>
      </c>
      <c r="D1267">
        <v>1957</v>
      </c>
      <c r="E1267" t="s">
        <v>29</v>
      </c>
      <c r="F1267" t="s">
        <v>30</v>
      </c>
      <c r="G1267" t="s">
        <v>31</v>
      </c>
      <c r="H1267" t="s">
        <v>32</v>
      </c>
      <c r="I1267">
        <v>2864.9690759999999</v>
      </c>
      <c r="J1267" t="s">
        <v>33</v>
      </c>
      <c r="K1267" t="s">
        <v>1754</v>
      </c>
      <c r="L1267" t="s">
        <v>21</v>
      </c>
      <c r="M1267" t="str">
        <f t="shared" si="57"/>
        <v>OK</v>
      </c>
      <c r="N1267" t="str">
        <f t="shared" si="58"/>
        <v>1950s</v>
      </c>
      <c r="O1267" t="str">
        <f t="shared" si="59"/>
        <v>N/A</v>
      </c>
      <c r="P1267" t="str">
        <f>VLOOKUP(E1267,calculated_fields!$F$4:$G$6,2,FALSE)</f>
        <v>Economy</v>
      </c>
    </row>
    <row r="1268" spans="1:16">
      <c r="A1268" t="s">
        <v>1757</v>
      </c>
      <c r="B1268" t="s">
        <v>1749</v>
      </c>
      <c r="C1268" t="s">
        <v>130</v>
      </c>
      <c r="D1268">
        <v>1962</v>
      </c>
      <c r="E1268" t="s">
        <v>15</v>
      </c>
      <c r="F1268" t="s">
        <v>16</v>
      </c>
      <c r="G1268" t="s">
        <v>17</v>
      </c>
      <c r="H1268" t="s">
        <v>18</v>
      </c>
      <c r="I1268">
        <v>39.692999999999998</v>
      </c>
      <c r="J1268" t="s">
        <v>19</v>
      </c>
      <c r="K1268" t="s">
        <v>1758</v>
      </c>
      <c r="L1268" t="s">
        <v>21</v>
      </c>
      <c r="M1268" t="str">
        <f t="shared" si="57"/>
        <v>OK</v>
      </c>
      <c r="N1268" t="str">
        <f t="shared" si="58"/>
        <v>1960s</v>
      </c>
      <c r="O1268" t="str">
        <f t="shared" si="59"/>
        <v>Low</v>
      </c>
      <c r="P1268" t="str">
        <f>VLOOKUP(E1268,calculated_fields!$F$4:$G$6,2,FALSE)</f>
        <v>Health</v>
      </c>
    </row>
    <row r="1269" spans="1:16">
      <c r="A1269" t="s">
        <v>1759</v>
      </c>
      <c r="B1269" t="s">
        <v>1749</v>
      </c>
      <c r="C1269" t="s">
        <v>130</v>
      </c>
      <c r="D1269">
        <v>1962</v>
      </c>
      <c r="E1269" t="s">
        <v>23</v>
      </c>
      <c r="F1269" t="s">
        <v>24</v>
      </c>
      <c r="G1269" t="s">
        <v>25</v>
      </c>
      <c r="H1269" t="s">
        <v>26</v>
      </c>
      <c r="I1269">
        <v>89898</v>
      </c>
      <c r="J1269" t="s">
        <v>27</v>
      </c>
      <c r="K1269" t="s">
        <v>1758</v>
      </c>
      <c r="L1269" t="s">
        <v>21</v>
      </c>
      <c r="M1269" t="str">
        <f t="shared" si="57"/>
        <v>OK</v>
      </c>
      <c r="N1269" t="str">
        <f t="shared" si="58"/>
        <v>1960s</v>
      </c>
      <c r="O1269" t="str">
        <f t="shared" si="59"/>
        <v>N/A</v>
      </c>
      <c r="P1269" t="str">
        <f>VLOOKUP(E1269,calculated_fields!$F$4:$G$6,2,FALSE)</f>
        <v>Demographics</v>
      </c>
    </row>
    <row r="1270" spans="1:16">
      <c r="A1270" t="s">
        <v>1760</v>
      </c>
      <c r="B1270" t="s">
        <v>1749</v>
      </c>
      <c r="C1270" t="s">
        <v>130</v>
      </c>
      <c r="D1270">
        <v>1962</v>
      </c>
      <c r="E1270" t="s">
        <v>29</v>
      </c>
      <c r="F1270" t="s">
        <v>30</v>
      </c>
      <c r="G1270" t="s">
        <v>31</v>
      </c>
      <c r="H1270" t="s">
        <v>32</v>
      </c>
      <c r="I1270">
        <v>3020.9892629999999</v>
      </c>
      <c r="J1270" t="s">
        <v>33</v>
      </c>
      <c r="K1270" t="s">
        <v>1758</v>
      </c>
      <c r="L1270" t="s">
        <v>21</v>
      </c>
      <c r="M1270" t="str">
        <f t="shared" si="57"/>
        <v>OK</v>
      </c>
      <c r="N1270" t="str">
        <f t="shared" si="58"/>
        <v>1960s</v>
      </c>
      <c r="O1270" t="str">
        <f t="shared" si="59"/>
        <v>N/A</v>
      </c>
      <c r="P1270" t="str">
        <f>VLOOKUP(E1270,calculated_fields!$F$4:$G$6,2,FALSE)</f>
        <v>Economy</v>
      </c>
    </row>
    <row r="1271" spans="1:16">
      <c r="A1271" t="s">
        <v>1761</v>
      </c>
      <c r="B1271" t="s">
        <v>1749</v>
      </c>
      <c r="C1271" t="s">
        <v>130</v>
      </c>
      <c r="D1271">
        <v>1967</v>
      </c>
      <c r="E1271" t="s">
        <v>15</v>
      </c>
      <c r="F1271" t="s">
        <v>16</v>
      </c>
      <c r="G1271" t="s">
        <v>17</v>
      </c>
      <c r="H1271" t="s">
        <v>18</v>
      </c>
      <c r="I1271">
        <v>42.073999999999998</v>
      </c>
      <c r="J1271" t="s">
        <v>19</v>
      </c>
      <c r="K1271" t="s">
        <v>1762</v>
      </c>
      <c r="L1271" t="s">
        <v>21</v>
      </c>
      <c r="M1271" t="str">
        <f t="shared" si="57"/>
        <v>OK</v>
      </c>
      <c r="N1271" t="str">
        <f t="shared" si="58"/>
        <v>1960s</v>
      </c>
      <c r="O1271" t="str">
        <f t="shared" si="59"/>
        <v>Low</v>
      </c>
      <c r="P1271" t="str">
        <f>VLOOKUP(E1271,calculated_fields!$F$4:$G$6,2,FALSE)</f>
        <v>Health</v>
      </c>
    </row>
    <row r="1272" spans="1:16">
      <c r="A1272" t="s">
        <v>1763</v>
      </c>
      <c r="B1272" t="s">
        <v>1749</v>
      </c>
      <c r="C1272" t="s">
        <v>130</v>
      </c>
      <c r="D1272">
        <v>1967</v>
      </c>
      <c r="E1272" t="s">
        <v>23</v>
      </c>
      <c r="F1272" t="s">
        <v>24</v>
      </c>
      <c r="G1272" t="s">
        <v>25</v>
      </c>
      <c r="H1272" t="s">
        <v>26</v>
      </c>
      <c r="I1272">
        <v>127617</v>
      </c>
      <c r="J1272" t="s">
        <v>27</v>
      </c>
      <c r="K1272" t="s">
        <v>1762</v>
      </c>
      <c r="L1272" t="s">
        <v>21</v>
      </c>
      <c r="M1272" t="str">
        <f t="shared" si="57"/>
        <v>OK</v>
      </c>
      <c r="N1272" t="str">
        <f t="shared" si="58"/>
        <v>1960s</v>
      </c>
      <c r="O1272" t="str">
        <f t="shared" si="59"/>
        <v>N/A</v>
      </c>
      <c r="P1272" t="str">
        <f>VLOOKUP(E1272,calculated_fields!$F$4:$G$6,2,FALSE)</f>
        <v>Demographics</v>
      </c>
    </row>
    <row r="1273" spans="1:16">
      <c r="A1273" t="s">
        <v>1764</v>
      </c>
      <c r="B1273" t="s">
        <v>1749</v>
      </c>
      <c r="C1273" t="s">
        <v>130</v>
      </c>
      <c r="D1273">
        <v>1967</v>
      </c>
      <c r="E1273" t="s">
        <v>29</v>
      </c>
      <c r="F1273" t="s">
        <v>30</v>
      </c>
      <c r="G1273" t="s">
        <v>31</v>
      </c>
      <c r="H1273" t="s">
        <v>32</v>
      </c>
      <c r="I1273">
        <v>3020.0505130000001</v>
      </c>
      <c r="J1273" t="s">
        <v>33</v>
      </c>
      <c r="K1273" t="s">
        <v>1762</v>
      </c>
      <c r="L1273" t="s">
        <v>21</v>
      </c>
      <c r="M1273" t="str">
        <f t="shared" si="57"/>
        <v>OK</v>
      </c>
      <c r="N1273" t="str">
        <f t="shared" si="58"/>
        <v>1960s</v>
      </c>
      <c r="O1273" t="str">
        <f t="shared" si="59"/>
        <v>N/A</v>
      </c>
      <c r="P1273" t="str">
        <f>VLOOKUP(E1273,calculated_fields!$F$4:$G$6,2,FALSE)</f>
        <v>Economy</v>
      </c>
    </row>
    <row r="1274" spans="1:16">
      <c r="A1274" t="s">
        <v>1765</v>
      </c>
      <c r="B1274" t="s">
        <v>1749</v>
      </c>
      <c r="C1274" t="s">
        <v>130</v>
      </c>
      <c r="D1274">
        <v>1972</v>
      </c>
      <c r="E1274" t="s">
        <v>15</v>
      </c>
      <c r="F1274" t="s">
        <v>16</v>
      </c>
      <c r="G1274" t="s">
        <v>17</v>
      </c>
      <c r="H1274" t="s">
        <v>18</v>
      </c>
      <c r="I1274">
        <v>44.366</v>
      </c>
      <c r="J1274" t="s">
        <v>19</v>
      </c>
      <c r="K1274" t="s">
        <v>1766</v>
      </c>
      <c r="L1274" t="s">
        <v>21</v>
      </c>
      <c r="M1274" t="str">
        <f t="shared" si="57"/>
        <v>OK</v>
      </c>
      <c r="N1274" t="str">
        <f t="shared" si="58"/>
        <v>1970s</v>
      </c>
      <c r="O1274" t="str">
        <f t="shared" si="59"/>
        <v>Low</v>
      </c>
      <c r="P1274" t="str">
        <f>VLOOKUP(E1274,calculated_fields!$F$4:$G$6,2,FALSE)</f>
        <v>Health</v>
      </c>
    </row>
    <row r="1275" spans="1:16">
      <c r="A1275" t="s">
        <v>1767</v>
      </c>
      <c r="B1275" t="s">
        <v>1749</v>
      </c>
      <c r="C1275" t="s">
        <v>130</v>
      </c>
      <c r="D1275">
        <v>1972</v>
      </c>
      <c r="E1275" t="s">
        <v>23</v>
      </c>
      <c r="F1275" t="s">
        <v>24</v>
      </c>
      <c r="G1275" t="s">
        <v>25</v>
      </c>
      <c r="H1275" t="s">
        <v>26</v>
      </c>
      <c r="I1275">
        <v>178848</v>
      </c>
      <c r="J1275" t="s">
        <v>27</v>
      </c>
      <c r="K1275" t="s">
        <v>1766</v>
      </c>
      <c r="L1275" t="s">
        <v>21</v>
      </c>
      <c r="M1275" t="str">
        <f t="shared" si="57"/>
        <v>OK</v>
      </c>
      <c r="N1275" t="str">
        <f t="shared" si="58"/>
        <v>1970s</v>
      </c>
      <c r="O1275" t="str">
        <f t="shared" si="59"/>
        <v>N/A</v>
      </c>
      <c r="P1275" t="str">
        <f>VLOOKUP(E1275,calculated_fields!$F$4:$G$6,2,FALSE)</f>
        <v>Demographics</v>
      </c>
    </row>
    <row r="1276" spans="1:16">
      <c r="A1276" t="s">
        <v>1768</v>
      </c>
      <c r="B1276" t="s">
        <v>1749</v>
      </c>
      <c r="C1276" t="s">
        <v>130</v>
      </c>
      <c r="D1276">
        <v>1972</v>
      </c>
      <c r="E1276" t="s">
        <v>29</v>
      </c>
      <c r="F1276" t="s">
        <v>30</v>
      </c>
      <c r="G1276" t="s">
        <v>31</v>
      </c>
      <c r="H1276" t="s">
        <v>32</v>
      </c>
      <c r="I1276">
        <v>3694.212352</v>
      </c>
      <c r="J1276" t="s">
        <v>33</v>
      </c>
      <c r="K1276" t="s">
        <v>1766</v>
      </c>
      <c r="L1276" t="s">
        <v>21</v>
      </c>
      <c r="M1276" t="str">
        <f t="shared" si="57"/>
        <v>OK</v>
      </c>
      <c r="N1276" t="str">
        <f t="shared" si="58"/>
        <v>1970s</v>
      </c>
      <c r="O1276" t="str">
        <f t="shared" si="59"/>
        <v>N/A</v>
      </c>
      <c r="P1276" t="str">
        <f>VLOOKUP(E1276,calculated_fields!$F$4:$G$6,2,FALSE)</f>
        <v>Economy</v>
      </c>
    </row>
    <row r="1277" spans="1:16">
      <c r="A1277" t="s">
        <v>1769</v>
      </c>
      <c r="B1277" t="s">
        <v>1749</v>
      </c>
      <c r="C1277" t="s">
        <v>130</v>
      </c>
      <c r="D1277">
        <v>1977</v>
      </c>
      <c r="E1277" t="s">
        <v>15</v>
      </c>
      <c r="F1277" t="s">
        <v>16</v>
      </c>
      <c r="G1277" t="s">
        <v>17</v>
      </c>
      <c r="H1277" t="s">
        <v>18</v>
      </c>
      <c r="I1277">
        <v>46.518999999999998</v>
      </c>
      <c r="J1277" t="s">
        <v>19</v>
      </c>
      <c r="K1277" t="s">
        <v>1770</v>
      </c>
      <c r="L1277" t="s">
        <v>21</v>
      </c>
      <c r="M1277" t="str">
        <f t="shared" si="57"/>
        <v>OK</v>
      </c>
      <c r="N1277" t="str">
        <f t="shared" si="58"/>
        <v>1970s</v>
      </c>
      <c r="O1277" t="str">
        <f t="shared" si="59"/>
        <v>Low</v>
      </c>
      <c r="P1277" t="str">
        <f>VLOOKUP(E1277,calculated_fields!$F$4:$G$6,2,FALSE)</f>
        <v>Health</v>
      </c>
    </row>
    <row r="1278" spans="1:16">
      <c r="A1278" t="s">
        <v>1771</v>
      </c>
      <c r="B1278" t="s">
        <v>1749</v>
      </c>
      <c r="C1278" t="s">
        <v>130</v>
      </c>
      <c r="D1278">
        <v>1977</v>
      </c>
      <c r="E1278" t="s">
        <v>23</v>
      </c>
      <c r="F1278" t="s">
        <v>24</v>
      </c>
      <c r="G1278" t="s">
        <v>25</v>
      </c>
      <c r="H1278" t="s">
        <v>26</v>
      </c>
      <c r="I1278">
        <v>228694</v>
      </c>
      <c r="J1278" t="s">
        <v>27</v>
      </c>
      <c r="K1278" t="s">
        <v>1770</v>
      </c>
      <c r="L1278" t="s">
        <v>21</v>
      </c>
      <c r="M1278" t="str">
        <f t="shared" si="57"/>
        <v>OK</v>
      </c>
      <c r="N1278" t="str">
        <f t="shared" si="58"/>
        <v>1970s</v>
      </c>
      <c r="O1278" t="str">
        <f t="shared" si="59"/>
        <v>N/A</v>
      </c>
      <c r="P1278" t="str">
        <f>VLOOKUP(E1278,calculated_fields!$F$4:$G$6,2,FALSE)</f>
        <v>Demographics</v>
      </c>
    </row>
    <row r="1279" spans="1:16">
      <c r="A1279" t="s">
        <v>1772</v>
      </c>
      <c r="B1279" t="s">
        <v>1749</v>
      </c>
      <c r="C1279" t="s">
        <v>130</v>
      </c>
      <c r="D1279">
        <v>1977</v>
      </c>
      <c r="E1279" t="s">
        <v>29</v>
      </c>
      <c r="F1279" t="s">
        <v>30</v>
      </c>
      <c r="G1279" t="s">
        <v>31</v>
      </c>
      <c r="H1279" t="s">
        <v>32</v>
      </c>
      <c r="I1279">
        <v>3081.7610220000001</v>
      </c>
      <c r="J1279" t="s">
        <v>33</v>
      </c>
      <c r="K1279" t="s">
        <v>1770</v>
      </c>
      <c r="L1279" t="s">
        <v>21</v>
      </c>
      <c r="M1279" t="str">
        <f t="shared" si="57"/>
        <v>OK</v>
      </c>
      <c r="N1279" t="str">
        <f t="shared" si="58"/>
        <v>1970s</v>
      </c>
      <c r="O1279" t="str">
        <f t="shared" si="59"/>
        <v>N/A</v>
      </c>
      <c r="P1279" t="str">
        <f>VLOOKUP(E1279,calculated_fields!$F$4:$G$6,2,FALSE)</f>
        <v>Economy</v>
      </c>
    </row>
    <row r="1280" spans="1:16">
      <c r="A1280" t="s">
        <v>1773</v>
      </c>
      <c r="B1280" t="s">
        <v>1749</v>
      </c>
      <c r="C1280" t="s">
        <v>130</v>
      </c>
      <c r="D1280">
        <v>1982</v>
      </c>
      <c r="E1280" t="s">
        <v>15</v>
      </c>
      <c r="F1280" t="s">
        <v>16</v>
      </c>
      <c r="G1280" t="s">
        <v>17</v>
      </c>
      <c r="H1280" t="s">
        <v>18</v>
      </c>
      <c r="I1280">
        <v>48.811999999999998</v>
      </c>
      <c r="J1280" t="s">
        <v>19</v>
      </c>
      <c r="K1280" t="s">
        <v>1774</v>
      </c>
      <c r="L1280" t="s">
        <v>21</v>
      </c>
      <c r="M1280" t="str">
        <f t="shared" si="57"/>
        <v>OK</v>
      </c>
      <c r="N1280" t="str">
        <f t="shared" si="58"/>
        <v>1980s</v>
      </c>
      <c r="O1280" t="str">
        <f t="shared" si="59"/>
        <v>Low</v>
      </c>
      <c r="P1280" t="str">
        <f>VLOOKUP(E1280,calculated_fields!$F$4:$G$6,2,FALSE)</f>
        <v>Health</v>
      </c>
    </row>
    <row r="1281" spans="1:16">
      <c r="A1281" t="s">
        <v>1775</v>
      </c>
      <c r="B1281" t="s">
        <v>1749</v>
      </c>
      <c r="C1281" t="s">
        <v>130</v>
      </c>
      <c r="D1281">
        <v>1982</v>
      </c>
      <c r="E1281" t="s">
        <v>23</v>
      </c>
      <c r="F1281" t="s">
        <v>24</v>
      </c>
      <c r="G1281" t="s">
        <v>25</v>
      </c>
      <c r="H1281" t="s">
        <v>26</v>
      </c>
      <c r="I1281">
        <v>305991</v>
      </c>
      <c r="J1281" t="s">
        <v>27</v>
      </c>
      <c r="K1281" t="s">
        <v>1774</v>
      </c>
      <c r="L1281" t="s">
        <v>21</v>
      </c>
      <c r="M1281" t="str">
        <f t="shared" si="57"/>
        <v>OK</v>
      </c>
      <c r="N1281" t="str">
        <f t="shared" si="58"/>
        <v>1980s</v>
      </c>
      <c r="O1281" t="str">
        <f t="shared" si="59"/>
        <v>N/A</v>
      </c>
      <c r="P1281" t="str">
        <f>VLOOKUP(E1281,calculated_fields!$F$4:$G$6,2,FALSE)</f>
        <v>Demographics</v>
      </c>
    </row>
    <row r="1282" spans="1:16">
      <c r="A1282" t="s">
        <v>1776</v>
      </c>
      <c r="B1282" t="s">
        <v>1749</v>
      </c>
      <c r="C1282" t="s">
        <v>130</v>
      </c>
      <c r="D1282">
        <v>1982</v>
      </c>
      <c r="E1282" t="s">
        <v>29</v>
      </c>
      <c r="F1282" t="s">
        <v>30</v>
      </c>
      <c r="G1282" t="s">
        <v>31</v>
      </c>
      <c r="H1282" t="s">
        <v>32</v>
      </c>
      <c r="I1282">
        <v>2879.4680669999998</v>
      </c>
      <c r="J1282" t="s">
        <v>33</v>
      </c>
      <c r="K1282" t="s">
        <v>1774</v>
      </c>
      <c r="L1282" t="s">
        <v>21</v>
      </c>
      <c r="M1282" t="str">
        <f t="shared" ref="M1282:M1345" si="60">IF(AND(ISNUMBER(I1282),I1282&gt;=0),"OK","Review")</f>
        <v>OK</v>
      </c>
      <c r="N1282" t="str">
        <f t="shared" ref="N1282:N1345" si="61">FLOOR(D1282,10)&amp;"s"</f>
        <v>1980s</v>
      </c>
      <c r="O1282" t="str">
        <f t="shared" ref="O1282:O1345" si="62">IF(E1282="LIFE_EXP",IF(I1282&gt;=70,"High",IF(I1282&gt;=55,"Medium","Low")),"N/A")</f>
        <v>N/A</v>
      </c>
      <c r="P1282" t="str">
        <f>VLOOKUP(E1282,calculated_fields!$F$4:$G$6,2,FALSE)</f>
        <v>Economy</v>
      </c>
    </row>
    <row r="1283" spans="1:16">
      <c r="A1283" t="s">
        <v>1777</v>
      </c>
      <c r="B1283" t="s">
        <v>1749</v>
      </c>
      <c r="C1283" t="s">
        <v>130</v>
      </c>
      <c r="D1283">
        <v>1987</v>
      </c>
      <c r="E1283" t="s">
        <v>15</v>
      </c>
      <c r="F1283" t="s">
        <v>16</v>
      </c>
      <c r="G1283" t="s">
        <v>17</v>
      </c>
      <c r="H1283" t="s">
        <v>18</v>
      </c>
      <c r="I1283">
        <v>50.04</v>
      </c>
      <c r="J1283" t="s">
        <v>19</v>
      </c>
      <c r="K1283" t="s">
        <v>1778</v>
      </c>
      <c r="L1283" t="s">
        <v>21</v>
      </c>
      <c r="M1283" t="str">
        <f t="shared" si="60"/>
        <v>OK</v>
      </c>
      <c r="N1283" t="str">
        <f t="shared" si="61"/>
        <v>1980s</v>
      </c>
      <c r="O1283" t="str">
        <f t="shared" si="62"/>
        <v>Low</v>
      </c>
      <c r="P1283" t="str">
        <f>VLOOKUP(E1283,calculated_fields!$F$4:$G$6,2,FALSE)</f>
        <v>Health</v>
      </c>
    </row>
    <row r="1284" spans="1:16">
      <c r="A1284" t="s">
        <v>1779</v>
      </c>
      <c r="B1284" t="s">
        <v>1749</v>
      </c>
      <c r="C1284" t="s">
        <v>130</v>
      </c>
      <c r="D1284">
        <v>1987</v>
      </c>
      <c r="E1284" t="s">
        <v>23</v>
      </c>
      <c r="F1284" t="s">
        <v>24</v>
      </c>
      <c r="G1284" t="s">
        <v>25</v>
      </c>
      <c r="H1284" t="s">
        <v>26</v>
      </c>
      <c r="I1284">
        <v>311025</v>
      </c>
      <c r="J1284" t="s">
        <v>27</v>
      </c>
      <c r="K1284" t="s">
        <v>1778</v>
      </c>
      <c r="L1284" t="s">
        <v>21</v>
      </c>
      <c r="M1284" t="str">
        <f t="shared" si="60"/>
        <v>OK</v>
      </c>
      <c r="N1284" t="str">
        <f t="shared" si="61"/>
        <v>1980s</v>
      </c>
      <c r="O1284" t="str">
        <f t="shared" si="62"/>
        <v>N/A</v>
      </c>
      <c r="P1284" t="str">
        <f>VLOOKUP(E1284,calculated_fields!$F$4:$G$6,2,FALSE)</f>
        <v>Demographics</v>
      </c>
    </row>
    <row r="1285" spans="1:16">
      <c r="A1285" t="s">
        <v>1780</v>
      </c>
      <c r="B1285" t="s">
        <v>1749</v>
      </c>
      <c r="C1285" t="s">
        <v>130</v>
      </c>
      <c r="D1285">
        <v>1987</v>
      </c>
      <c r="E1285" t="s">
        <v>29</v>
      </c>
      <c r="F1285" t="s">
        <v>30</v>
      </c>
      <c r="G1285" t="s">
        <v>31</v>
      </c>
      <c r="H1285" t="s">
        <v>32</v>
      </c>
      <c r="I1285">
        <v>2880.1025679999998</v>
      </c>
      <c r="J1285" t="s">
        <v>33</v>
      </c>
      <c r="K1285" t="s">
        <v>1778</v>
      </c>
      <c r="L1285" t="s">
        <v>21</v>
      </c>
      <c r="M1285" t="str">
        <f t="shared" si="60"/>
        <v>OK</v>
      </c>
      <c r="N1285" t="str">
        <f t="shared" si="61"/>
        <v>1980s</v>
      </c>
      <c r="O1285" t="str">
        <f t="shared" si="62"/>
        <v>N/A</v>
      </c>
      <c r="P1285" t="str">
        <f>VLOOKUP(E1285,calculated_fields!$F$4:$G$6,2,FALSE)</f>
        <v>Economy</v>
      </c>
    </row>
    <row r="1286" spans="1:16">
      <c r="A1286" t="s">
        <v>1781</v>
      </c>
      <c r="B1286" t="s">
        <v>1749</v>
      </c>
      <c r="C1286" t="s">
        <v>130</v>
      </c>
      <c r="D1286">
        <v>1992</v>
      </c>
      <c r="E1286" t="s">
        <v>15</v>
      </c>
      <c r="F1286" t="s">
        <v>16</v>
      </c>
      <c r="G1286" t="s">
        <v>17</v>
      </c>
      <c r="H1286" t="s">
        <v>18</v>
      </c>
      <c r="I1286">
        <v>51.603999999999999</v>
      </c>
      <c r="J1286" t="s">
        <v>19</v>
      </c>
      <c r="K1286" t="s">
        <v>1782</v>
      </c>
      <c r="L1286" t="s">
        <v>21</v>
      </c>
      <c r="M1286" t="str">
        <f t="shared" si="60"/>
        <v>OK</v>
      </c>
      <c r="N1286" t="str">
        <f t="shared" si="61"/>
        <v>1990s</v>
      </c>
      <c r="O1286" t="str">
        <f t="shared" si="62"/>
        <v>Low</v>
      </c>
      <c r="P1286" t="str">
        <f>VLOOKUP(E1286,calculated_fields!$F$4:$G$6,2,FALSE)</f>
        <v>Health</v>
      </c>
    </row>
    <row r="1287" spans="1:16">
      <c r="A1287" t="s">
        <v>1783</v>
      </c>
      <c r="B1287" t="s">
        <v>1749</v>
      </c>
      <c r="C1287" t="s">
        <v>130</v>
      </c>
      <c r="D1287">
        <v>1992</v>
      </c>
      <c r="E1287" t="s">
        <v>23</v>
      </c>
      <c r="F1287" t="s">
        <v>24</v>
      </c>
      <c r="G1287" t="s">
        <v>25</v>
      </c>
      <c r="H1287" t="s">
        <v>26</v>
      </c>
      <c r="I1287">
        <v>384156</v>
      </c>
      <c r="J1287" t="s">
        <v>27</v>
      </c>
      <c r="K1287" t="s">
        <v>1782</v>
      </c>
      <c r="L1287" t="s">
        <v>21</v>
      </c>
      <c r="M1287" t="str">
        <f t="shared" si="60"/>
        <v>OK</v>
      </c>
      <c r="N1287" t="str">
        <f t="shared" si="61"/>
        <v>1990s</v>
      </c>
      <c r="O1287" t="str">
        <f t="shared" si="62"/>
        <v>N/A</v>
      </c>
      <c r="P1287" t="str">
        <f>VLOOKUP(E1287,calculated_fields!$F$4:$G$6,2,FALSE)</f>
        <v>Demographics</v>
      </c>
    </row>
    <row r="1288" spans="1:16">
      <c r="A1288" t="s">
        <v>1784</v>
      </c>
      <c r="B1288" t="s">
        <v>1749</v>
      </c>
      <c r="C1288" t="s">
        <v>130</v>
      </c>
      <c r="D1288">
        <v>1992</v>
      </c>
      <c r="E1288" t="s">
        <v>29</v>
      </c>
      <c r="F1288" t="s">
        <v>30</v>
      </c>
      <c r="G1288" t="s">
        <v>31</v>
      </c>
      <c r="H1288" t="s">
        <v>32</v>
      </c>
      <c r="I1288">
        <v>2377.1561919999999</v>
      </c>
      <c r="J1288" t="s">
        <v>33</v>
      </c>
      <c r="K1288" t="s">
        <v>1782</v>
      </c>
      <c r="L1288" t="s">
        <v>21</v>
      </c>
      <c r="M1288" t="str">
        <f t="shared" si="60"/>
        <v>OK</v>
      </c>
      <c r="N1288" t="str">
        <f t="shared" si="61"/>
        <v>1990s</v>
      </c>
      <c r="O1288" t="str">
        <f t="shared" si="62"/>
        <v>N/A</v>
      </c>
      <c r="P1288" t="str">
        <f>VLOOKUP(E1288,calculated_fields!$F$4:$G$6,2,FALSE)</f>
        <v>Economy</v>
      </c>
    </row>
    <row r="1289" spans="1:16">
      <c r="A1289" t="s">
        <v>1785</v>
      </c>
      <c r="B1289" t="s">
        <v>1749</v>
      </c>
      <c r="C1289" t="s">
        <v>130</v>
      </c>
      <c r="D1289">
        <v>1997</v>
      </c>
      <c r="E1289" t="s">
        <v>15</v>
      </c>
      <c r="F1289" t="s">
        <v>16</v>
      </c>
      <c r="G1289" t="s">
        <v>17</v>
      </c>
      <c r="H1289" t="s">
        <v>18</v>
      </c>
      <c r="I1289">
        <v>53.156999999999996</v>
      </c>
      <c r="J1289" t="s">
        <v>19</v>
      </c>
      <c r="K1289" t="s">
        <v>1786</v>
      </c>
      <c r="L1289" t="s">
        <v>21</v>
      </c>
      <c r="M1289" t="str">
        <f t="shared" si="60"/>
        <v>OK</v>
      </c>
      <c r="N1289" t="str">
        <f t="shared" si="61"/>
        <v>1990s</v>
      </c>
      <c r="O1289" t="str">
        <f t="shared" si="62"/>
        <v>Low</v>
      </c>
      <c r="P1289" t="str">
        <f>VLOOKUP(E1289,calculated_fields!$F$4:$G$6,2,FALSE)</f>
        <v>Health</v>
      </c>
    </row>
    <row r="1290" spans="1:16">
      <c r="A1290" t="s">
        <v>1787</v>
      </c>
      <c r="B1290" t="s">
        <v>1749</v>
      </c>
      <c r="C1290" t="s">
        <v>130</v>
      </c>
      <c r="D1290">
        <v>1997</v>
      </c>
      <c r="E1290" t="s">
        <v>23</v>
      </c>
      <c r="F1290" t="s">
        <v>24</v>
      </c>
      <c r="G1290" t="s">
        <v>25</v>
      </c>
      <c r="H1290" t="s">
        <v>26</v>
      </c>
      <c r="I1290">
        <v>417908</v>
      </c>
      <c r="J1290" t="s">
        <v>27</v>
      </c>
      <c r="K1290" t="s">
        <v>1786</v>
      </c>
      <c r="L1290" t="s">
        <v>21</v>
      </c>
      <c r="M1290" t="str">
        <f t="shared" si="60"/>
        <v>OK</v>
      </c>
      <c r="N1290" t="str">
        <f t="shared" si="61"/>
        <v>1990s</v>
      </c>
      <c r="O1290" t="str">
        <f t="shared" si="62"/>
        <v>N/A</v>
      </c>
      <c r="P1290" t="str">
        <f>VLOOKUP(E1290,calculated_fields!$F$4:$G$6,2,FALSE)</f>
        <v>Demographics</v>
      </c>
    </row>
    <row r="1291" spans="1:16">
      <c r="A1291" t="s">
        <v>1788</v>
      </c>
      <c r="B1291" t="s">
        <v>1749</v>
      </c>
      <c r="C1291" t="s">
        <v>130</v>
      </c>
      <c r="D1291">
        <v>1997</v>
      </c>
      <c r="E1291" t="s">
        <v>29</v>
      </c>
      <c r="F1291" t="s">
        <v>30</v>
      </c>
      <c r="G1291" t="s">
        <v>31</v>
      </c>
      <c r="H1291" t="s">
        <v>32</v>
      </c>
      <c r="I1291">
        <v>1895.0169840000001</v>
      </c>
      <c r="J1291" t="s">
        <v>33</v>
      </c>
      <c r="K1291" t="s">
        <v>1786</v>
      </c>
      <c r="L1291" t="s">
        <v>21</v>
      </c>
      <c r="M1291" t="str">
        <f t="shared" si="60"/>
        <v>OK</v>
      </c>
      <c r="N1291" t="str">
        <f t="shared" si="61"/>
        <v>1990s</v>
      </c>
      <c r="O1291" t="str">
        <f t="shared" si="62"/>
        <v>N/A</v>
      </c>
      <c r="P1291" t="str">
        <f>VLOOKUP(E1291,calculated_fields!$F$4:$G$6,2,FALSE)</f>
        <v>Economy</v>
      </c>
    </row>
    <row r="1292" spans="1:16">
      <c r="A1292" t="s">
        <v>1789</v>
      </c>
      <c r="B1292" t="s">
        <v>1749</v>
      </c>
      <c r="C1292" t="s">
        <v>130</v>
      </c>
      <c r="D1292">
        <v>2002</v>
      </c>
      <c r="E1292" t="s">
        <v>15</v>
      </c>
      <c r="F1292" t="s">
        <v>16</v>
      </c>
      <c r="G1292" t="s">
        <v>17</v>
      </c>
      <c r="H1292" t="s">
        <v>18</v>
      </c>
      <c r="I1292">
        <v>53.372999999999998</v>
      </c>
      <c r="J1292" t="s">
        <v>19</v>
      </c>
      <c r="K1292" t="s">
        <v>1790</v>
      </c>
      <c r="L1292" t="s">
        <v>21</v>
      </c>
      <c r="M1292" t="str">
        <f t="shared" si="60"/>
        <v>OK</v>
      </c>
      <c r="N1292" t="str">
        <f t="shared" si="61"/>
        <v>2000s</v>
      </c>
      <c r="O1292" t="str">
        <f t="shared" si="62"/>
        <v>Low</v>
      </c>
      <c r="P1292" t="str">
        <f>VLOOKUP(E1292,calculated_fields!$F$4:$G$6,2,FALSE)</f>
        <v>Health</v>
      </c>
    </row>
    <row r="1293" spans="1:16">
      <c r="A1293" t="s">
        <v>1791</v>
      </c>
      <c r="B1293" t="s">
        <v>1749</v>
      </c>
      <c r="C1293" t="s">
        <v>130</v>
      </c>
      <c r="D1293">
        <v>2002</v>
      </c>
      <c r="E1293" t="s">
        <v>23</v>
      </c>
      <c r="F1293" t="s">
        <v>24</v>
      </c>
      <c r="G1293" t="s">
        <v>25</v>
      </c>
      <c r="H1293" t="s">
        <v>26</v>
      </c>
      <c r="I1293">
        <v>447416</v>
      </c>
      <c r="J1293" t="s">
        <v>27</v>
      </c>
      <c r="K1293" t="s">
        <v>1790</v>
      </c>
      <c r="L1293" t="s">
        <v>21</v>
      </c>
      <c r="M1293" t="str">
        <f t="shared" si="60"/>
        <v>OK</v>
      </c>
      <c r="N1293" t="str">
        <f t="shared" si="61"/>
        <v>2000s</v>
      </c>
      <c r="O1293" t="str">
        <f t="shared" si="62"/>
        <v>N/A</v>
      </c>
      <c r="P1293" t="str">
        <f>VLOOKUP(E1293,calculated_fields!$F$4:$G$6,2,FALSE)</f>
        <v>Demographics</v>
      </c>
    </row>
    <row r="1294" spans="1:16">
      <c r="A1294" t="s">
        <v>1792</v>
      </c>
      <c r="B1294" t="s">
        <v>1749</v>
      </c>
      <c r="C1294" t="s">
        <v>130</v>
      </c>
      <c r="D1294">
        <v>2002</v>
      </c>
      <c r="E1294" t="s">
        <v>29</v>
      </c>
      <c r="F1294" t="s">
        <v>30</v>
      </c>
      <c r="G1294" t="s">
        <v>31</v>
      </c>
      <c r="H1294" t="s">
        <v>32</v>
      </c>
      <c r="I1294">
        <v>1908.260867</v>
      </c>
      <c r="J1294" t="s">
        <v>33</v>
      </c>
      <c r="K1294" t="s">
        <v>1790</v>
      </c>
      <c r="L1294" t="s">
        <v>21</v>
      </c>
      <c r="M1294" t="str">
        <f t="shared" si="60"/>
        <v>OK</v>
      </c>
      <c r="N1294" t="str">
        <f t="shared" si="61"/>
        <v>2000s</v>
      </c>
      <c r="O1294" t="str">
        <f t="shared" si="62"/>
        <v>N/A</v>
      </c>
      <c r="P1294" t="str">
        <f>VLOOKUP(E1294,calculated_fields!$F$4:$G$6,2,FALSE)</f>
        <v>Economy</v>
      </c>
    </row>
    <row r="1295" spans="1:16">
      <c r="A1295" t="s">
        <v>1793</v>
      </c>
      <c r="B1295" t="s">
        <v>1749</v>
      </c>
      <c r="C1295" t="s">
        <v>130</v>
      </c>
      <c r="D1295">
        <v>2007</v>
      </c>
      <c r="E1295" t="s">
        <v>15</v>
      </c>
      <c r="F1295" t="s">
        <v>16</v>
      </c>
      <c r="G1295" t="s">
        <v>17</v>
      </c>
      <c r="H1295" t="s">
        <v>18</v>
      </c>
      <c r="I1295">
        <v>54.790999999999997</v>
      </c>
      <c r="J1295" t="s">
        <v>19</v>
      </c>
      <c r="K1295" t="s">
        <v>1794</v>
      </c>
      <c r="L1295" t="s">
        <v>21</v>
      </c>
      <c r="M1295" t="str">
        <f t="shared" si="60"/>
        <v>OK</v>
      </c>
      <c r="N1295" t="str">
        <f t="shared" si="61"/>
        <v>2000s</v>
      </c>
      <c r="O1295" t="str">
        <f t="shared" si="62"/>
        <v>Low</v>
      </c>
      <c r="P1295" t="str">
        <f>VLOOKUP(E1295,calculated_fields!$F$4:$G$6,2,FALSE)</f>
        <v>Health</v>
      </c>
    </row>
    <row r="1296" spans="1:16">
      <c r="A1296" t="s">
        <v>1795</v>
      </c>
      <c r="B1296" t="s">
        <v>1749</v>
      </c>
      <c r="C1296" t="s">
        <v>130</v>
      </c>
      <c r="D1296">
        <v>2007</v>
      </c>
      <c r="E1296" t="s">
        <v>23</v>
      </c>
      <c r="F1296" t="s">
        <v>24</v>
      </c>
      <c r="G1296" t="s">
        <v>25</v>
      </c>
      <c r="H1296" t="s">
        <v>26</v>
      </c>
      <c r="I1296">
        <v>496374</v>
      </c>
      <c r="J1296" t="s">
        <v>27</v>
      </c>
      <c r="K1296" t="s">
        <v>1794</v>
      </c>
      <c r="L1296" t="s">
        <v>21</v>
      </c>
      <c r="M1296" t="str">
        <f t="shared" si="60"/>
        <v>OK</v>
      </c>
      <c r="N1296" t="str">
        <f t="shared" si="61"/>
        <v>2000s</v>
      </c>
      <c r="O1296" t="str">
        <f t="shared" si="62"/>
        <v>N/A</v>
      </c>
      <c r="P1296" t="str">
        <f>VLOOKUP(E1296,calculated_fields!$F$4:$G$6,2,FALSE)</f>
        <v>Demographics</v>
      </c>
    </row>
    <row r="1297" spans="1:16">
      <c r="A1297" t="s">
        <v>1796</v>
      </c>
      <c r="B1297" t="s">
        <v>1749</v>
      </c>
      <c r="C1297" t="s">
        <v>130</v>
      </c>
      <c r="D1297">
        <v>2007</v>
      </c>
      <c r="E1297" t="s">
        <v>29</v>
      </c>
      <c r="F1297" t="s">
        <v>30</v>
      </c>
      <c r="G1297" t="s">
        <v>31</v>
      </c>
      <c r="H1297" t="s">
        <v>32</v>
      </c>
      <c r="I1297">
        <v>2082.4815669999998</v>
      </c>
      <c r="J1297" t="s">
        <v>33</v>
      </c>
      <c r="K1297" t="s">
        <v>1794</v>
      </c>
      <c r="L1297" t="s">
        <v>21</v>
      </c>
      <c r="M1297" t="str">
        <f t="shared" si="60"/>
        <v>OK</v>
      </c>
      <c r="N1297" t="str">
        <f t="shared" si="61"/>
        <v>2000s</v>
      </c>
      <c r="O1297" t="str">
        <f t="shared" si="62"/>
        <v>N/A</v>
      </c>
      <c r="P1297" t="str">
        <f>VLOOKUP(E1297,calculated_fields!$F$4:$G$6,2,FALSE)</f>
        <v>Economy</v>
      </c>
    </row>
    <row r="1298" spans="1:16">
      <c r="A1298" t="s">
        <v>1797</v>
      </c>
      <c r="B1298" t="s">
        <v>1798</v>
      </c>
      <c r="C1298" t="s">
        <v>229</v>
      </c>
      <c r="D1298">
        <v>1952</v>
      </c>
      <c r="E1298" t="s">
        <v>15</v>
      </c>
      <c r="F1298" t="s">
        <v>16</v>
      </c>
      <c r="G1298" t="s">
        <v>17</v>
      </c>
      <c r="H1298" t="s">
        <v>18</v>
      </c>
      <c r="I1298">
        <v>45.927999999999997</v>
      </c>
      <c r="J1298" t="s">
        <v>19</v>
      </c>
      <c r="K1298" t="s">
        <v>1799</v>
      </c>
      <c r="L1298" t="s">
        <v>21</v>
      </c>
      <c r="M1298" t="str">
        <f t="shared" si="60"/>
        <v>OK</v>
      </c>
      <c r="N1298" t="str">
        <f t="shared" si="61"/>
        <v>1950s</v>
      </c>
      <c r="O1298" t="str">
        <f t="shared" si="62"/>
        <v>Low</v>
      </c>
      <c r="P1298" t="str">
        <f>VLOOKUP(E1298,calculated_fields!$F$4:$G$6,2,FALSE)</f>
        <v>Health</v>
      </c>
    </row>
    <row r="1299" spans="1:16">
      <c r="A1299" t="s">
        <v>1800</v>
      </c>
      <c r="B1299" t="s">
        <v>1798</v>
      </c>
      <c r="C1299" t="s">
        <v>229</v>
      </c>
      <c r="D1299">
        <v>1952</v>
      </c>
      <c r="E1299" t="s">
        <v>23</v>
      </c>
      <c r="F1299" t="s">
        <v>24</v>
      </c>
      <c r="G1299" t="s">
        <v>25</v>
      </c>
      <c r="H1299" t="s">
        <v>26</v>
      </c>
      <c r="I1299">
        <v>2491346</v>
      </c>
      <c r="J1299" t="s">
        <v>27</v>
      </c>
      <c r="K1299" t="s">
        <v>1799</v>
      </c>
      <c r="L1299" t="s">
        <v>21</v>
      </c>
      <c r="M1299" t="str">
        <f t="shared" si="60"/>
        <v>OK</v>
      </c>
      <c r="N1299" t="str">
        <f t="shared" si="61"/>
        <v>1950s</v>
      </c>
      <c r="O1299" t="str">
        <f t="shared" si="62"/>
        <v>N/A</v>
      </c>
      <c r="P1299" t="str">
        <f>VLOOKUP(E1299,calculated_fields!$F$4:$G$6,2,FALSE)</f>
        <v>Demographics</v>
      </c>
    </row>
    <row r="1300" spans="1:16">
      <c r="A1300" t="s">
        <v>1801</v>
      </c>
      <c r="B1300" t="s">
        <v>1798</v>
      </c>
      <c r="C1300" t="s">
        <v>229</v>
      </c>
      <c r="D1300">
        <v>1952</v>
      </c>
      <c r="E1300" t="s">
        <v>29</v>
      </c>
      <c r="F1300" t="s">
        <v>30</v>
      </c>
      <c r="G1300" t="s">
        <v>31</v>
      </c>
      <c r="H1300" t="s">
        <v>32</v>
      </c>
      <c r="I1300">
        <v>1397.7171370000001</v>
      </c>
      <c r="J1300" t="s">
        <v>33</v>
      </c>
      <c r="K1300" t="s">
        <v>1799</v>
      </c>
      <c r="L1300" t="s">
        <v>21</v>
      </c>
      <c r="M1300" t="str">
        <f t="shared" si="60"/>
        <v>OK</v>
      </c>
      <c r="N1300" t="str">
        <f t="shared" si="61"/>
        <v>1950s</v>
      </c>
      <c r="O1300" t="str">
        <f t="shared" si="62"/>
        <v>N/A</v>
      </c>
      <c r="P1300" t="str">
        <f>VLOOKUP(E1300,calculated_fields!$F$4:$G$6,2,FALSE)</f>
        <v>Economy</v>
      </c>
    </row>
    <row r="1301" spans="1:16">
      <c r="A1301" t="s">
        <v>1802</v>
      </c>
      <c r="B1301" t="s">
        <v>1798</v>
      </c>
      <c r="C1301" t="s">
        <v>229</v>
      </c>
      <c r="D1301">
        <v>1957</v>
      </c>
      <c r="E1301" t="s">
        <v>15</v>
      </c>
      <c r="F1301" t="s">
        <v>16</v>
      </c>
      <c r="G1301" t="s">
        <v>17</v>
      </c>
      <c r="H1301" t="s">
        <v>18</v>
      </c>
      <c r="I1301">
        <v>49.828000000000003</v>
      </c>
      <c r="J1301" t="s">
        <v>19</v>
      </c>
      <c r="K1301" t="s">
        <v>1803</v>
      </c>
      <c r="L1301" t="s">
        <v>21</v>
      </c>
      <c r="M1301" t="str">
        <f t="shared" si="60"/>
        <v>OK</v>
      </c>
      <c r="N1301" t="str">
        <f t="shared" si="61"/>
        <v>1950s</v>
      </c>
      <c r="O1301" t="str">
        <f t="shared" si="62"/>
        <v>Low</v>
      </c>
      <c r="P1301" t="str">
        <f>VLOOKUP(E1301,calculated_fields!$F$4:$G$6,2,FALSE)</f>
        <v>Health</v>
      </c>
    </row>
    <row r="1302" spans="1:16">
      <c r="A1302" t="s">
        <v>1804</v>
      </c>
      <c r="B1302" t="s">
        <v>1798</v>
      </c>
      <c r="C1302" t="s">
        <v>229</v>
      </c>
      <c r="D1302">
        <v>1957</v>
      </c>
      <c r="E1302" t="s">
        <v>23</v>
      </c>
      <c r="F1302" t="s">
        <v>24</v>
      </c>
      <c r="G1302" t="s">
        <v>25</v>
      </c>
      <c r="H1302" t="s">
        <v>26</v>
      </c>
      <c r="I1302">
        <v>2923186</v>
      </c>
      <c r="J1302" t="s">
        <v>27</v>
      </c>
      <c r="K1302" t="s">
        <v>1803</v>
      </c>
      <c r="L1302" t="s">
        <v>21</v>
      </c>
      <c r="M1302" t="str">
        <f t="shared" si="60"/>
        <v>OK</v>
      </c>
      <c r="N1302" t="str">
        <f t="shared" si="61"/>
        <v>1950s</v>
      </c>
      <c r="O1302" t="str">
        <f t="shared" si="62"/>
        <v>N/A</v>
      </c>
      <c r="P1302" t="str">
        <f>VLOOKUP(E1302,calculated_fields!$F$4:$G$6,2,FALSE)</f>
        <v>Demographics</v>
      </c>
    </row>
    <row r="1303" spans="1:16">
      <c r="A1303" t="s">
        <v>1805</v>
      </c>
      <c r="B1303" t="s">
        <v>1798</v>
      </c>
      <c r="C1303" t="s">
        <v>229</v>
      </c>
      <c r="D1303">
        <v>1957</v>
      </c>
      <c r="E1303" t="s">
        <v>29</v>
      </c>
      <c r="F1303" t="s">
        <v>30</v>
      </c>
      <c r="G1303" t="s">
        <v>31</v>
      </c>
      <c r="H1303" t="s">
        <v>32</v>
      </c>
      <c r="I1303">
        <v>1544.4029949999999</v>
      </c>
      <c r="J1303" t="s">
        <v>33</v>
      </c>
      <c r="K1303" t="s">
        <v>1803</v>
      </c>
      <c r="L1303" t="s">
        <v>21</v>
      </c>
      <c r="M1303" t="str">
        <f t="shared" si="60"/>
        <v>OK</v>
      </c>
      <c r="N1303" t="str">
        <f t="shared" si="61"/>
        <v>1950s</v>
      </c>
      <c r="O1303" t="str">
        <f t="shared" si="62"/>
        <v>N/A</v>
      </c>
      <c r="P1303" t="str">
        <f>VLOOKUP(E1303,calculated_fields!$F$4:$G$6,2,FALSE)</f>
        <v>Economy</v>
      </c>
    </row>
    <row r="1304" spans="1:16">
      <c r="A1304" t="s">
        <v>1806</v>
      </c>
      <c r="B1304" t="s">
        <v>1798</v>
      </c>
      <c r="C1304" t="s">
        <v>229</v>
      </c>
      <c r="D1304">
        <v>1962</v>
      </c>
      <c r="E1304" t="s">
        <v>15</v>
      </c>
      <c r="F1304" t="s">
        <v>16</v>
      </c>
      <c r="G1304" t="s">
        <v>17</v>
      </c>
      <c r="H1304" t="s">
        <v>18</v>
      </c>
      <c r="I1304">
        <v>53.459000000000003</v>
      </c>
      <c r="J1304" t="s">
        <v>19</v>
      </c>
      <c r="K1304" t="s">
        <v>1807</v>
      </c>
      <c r="L1304" t="s">
        <v>21</v>
      </c>
      <c r="M1304" t="str">
        <f t="shared" si="60"/>
        <v>OK</v>
      </c>
      <c r="N1304" t="str">
        <f t="shared" si="61"/>
        <v>1960s</v>
      </c>
      <c r="O1304" t="str">
        <f t="shared" si="62"/>
        <v>Low</v>
      </c>
      <c r="P1304" t="str">
        <f>VLOOKUP(E1304,calculated_fields!$F$4:$G$6,2,FALSE)</f>
        <v>Health</v>
      </c>
    </row>
    <row r="1305" spans="1:16">
      <c r="A1305" t="s">
        <v>1808</v>
      </c>
      <c r="B1305" t="s">
        <v>1798</v>
      </c>
      <c r="C1305" t="s">
        <v>229</v>
      </c>
      <c r="D1305">
        <v>1962</v>
      </c>
      <c r="E1305" t="s">
        <v>23</v>
      </c>
      <c r="F1305" t="s">
        <v>24</v>
      </c>
      <c r="G1305" t="s">
        <v>25</v>
      </c>
      <c r="H1305" t="s">
        <v>26</v>
      </c>
      <c r="I1305">
        <v>3453434</v>
      </c>
      <c r="J1305" t="s">
        <v>27</v>
      </c>
      <c r="K1305" t="s">
        <v>1807</v>
      </c>
      <c r="L1305" t="s">
        <v>21</v>
      </c>
      <c r="M1305" t="str">
        <f t="shared" si="60"/>
        <v>OK</v>
      </c>
      <c r="N1305" t="str">
        <f t="shared" si="61"/>
        <v>1960s</v>
      </c>
      <c r="O1305" t="str">
        <f t="shared" si="62"/>
        <v>N/A</v>
      </c>
      <c r="P1305" t="str">
        <f>VLOOKUP(E1305,calculated_fields!$F$4:$G$6,2,FALSE)</f>
        <v>Demographics</v>
      </c>
    </row>
    <row r="1306" spans="1:16">
      <c r="A1306" t="s">
        <v>1809</v>
      </c>
      <c r="B1306" t="s">
        <v>1798</v>
      </c>
      <c r="C1306" t="s">
        <v>229</v>
      </c>
      <c r="D1306">
        <v>1962</v>
      </c>
      <c r="E1306" t="s">
        <v>29</v>
      </c>
      <c r="F1306" t="s">
        <v>30</v>
      </c>
      <c r="G1306" t="s">
        <v>31</v>
      </c>
      <c r="H1306" t="s">
        <v>32</v>
      </c>
      <c r="I1306">
        <v>1662.1373590000001</v>
      </c>
      <c r="J1306" t="s">
        <v>33</v>
      </c>
      <c r="K1306" t="s">
        <v>1807</v>
      </c>
      <c r="L1306" t="s">
        <v>21</v>
      </c>
      <c r="M1306" t="str">
        <f t="shared" si="60"/>
        <v>OK</v>
      </c>
      <c r="N1306" t="str">
        <f t="shared" si="61"/>
        <v>1960s</v>
      </c>
      <c r="O1306" t="str">
        <f t="shared" si="62"/>
        <v>N/A</v>
      </c>
      <c r="P1306" t="str">
        <f>VLOOKUP(E1306,calculated_fields!$F$4:$G$6,2,FALSE)</f>
        <v>Economy</v>
      </c>
    </row>
    <row r="1307" spans="1:16">
      <c r="A1307" t="s">
        <v>1810</v>
      </c>
      <c r="B1307" t="s">
        <v>1798</v>
      </c>
      <c r="C1307" t="s">
        <v>229</v>
      </c>
      <c r="D1307">
        <v>1967</v>
      </c>
      <c r="E1307" t="s">
        <v>15</v>
      </c>
      <c r="F1307" t="s">
        <v>16</v>
      </c>
      <c r="G1307" t="s">
        <v>17</v>
      </c>
      <c r="H1307" t="s">
        <v>18</v>
      </c>
      <c r="I1307">
        <v>56.750999999999998</v>
      </c>
      <c r="J1307" t="s">
        <v>19</v>
      </c>
      <c r="K1307" t="s">
        <v>1811</v>
      </c>
      <c r="L1307" t="s">
        <v>21</v>
      </c>
      <c r="M1307" t="str">
        <f t="shared" si="60"/>
        <v>OK</v>
      </c>
      <c r="N1307" t="str">
        <f t="shared" si="61"/>
        <v>1960s</v>
      </c>
      <c r="O1307" t="str">
        <f t="shared" si="62"/>
        <v>Medium</v>
      </c>
      <c r="P1307" t="str">
        <f>VLOOKUP(E1307,calculated_fields!$F$4:$G$6,2,FALSE)</f>
        <v>Health</v>
      </c>
    </row>
    <row r="1308" spans="1:16">
      <c r="A1308" t="s">
        <v>1812</v>
      </c>
      <c r="B1308" t="s">
        <v>1798</v>
      </c>
      <c r="C1308" t="s">
        <v>229</v>
      </c>
      <c r="D1308">
        <v>1967</v>
      </c>
      <c r="E1308" t="s">
        <v>23</v>
      </c>
      <c r="F1308" t="s">
        <v>24</v>
      </c>
      <c r="G1308" t="s">
        <v>25</v>
      </c>
      <c r="H1308" t="s">
        <v>26</v>
      </c>
      <c r="I1308">
        <v>4049146</v>
      </c>
      <c r="J1308" t="s">
        <v>27</v>
      </c>
      <c r="K1308" t="s">
        <v>1811</v>
      </c>
      <c r="L1308" t="s">
        <v>21</v>
      </c>
      <c r="M1308" t="str">
        <f t="shared" si="60"/>
        <v>OK</v>
      </c>
      <c r="N1308" t="str">
        <f t="shared" si="61"/>
        <v>1960s</v>
      </c>
      <c r="O1308" t="str">
        <f t="shared" si="62"/>
        <v>N/A</v>
      </c>
      <c r="P1308" t="str">
        <f>VLOOKUP(E1308,calculated_fields!$F$4:$G$6,2,FALSE)</f>
        <v>Demographics</v>
      </c>
    </row>
    <row r="1309" spans="1:16">
      <c r="A1309" t="s">
        <v>1813</v>
      </c>
      <c r="B1309" t="s">
        <v>1798</v>
      </c>
      <c r="C1309" t="s">
        <v>229</v>
      </c>
      <c r="D1309">
        <v>1967</v>
      </c>
      <c r="E1309" t="s">
        <v>29</v>
      </c>
      <c r="F1309" t="s">
        <v>30</v>
      </c>
      <c r="G1309" t="s">
        <v>31</v>
      </c>
      <c r="H1309" t="s">
        <v>32</v>
      </c>
      <c r="I1309">
        <v>1653.7230029999901</v>
      </c>
      <c r="J1309" t="s">
        <v>33</v>
      </c>
      <c r="K1309" t="s">
        <v>1811</v>
      </c>
      <c r="L1309" t="s">
        <v>21</v>
      </c>
      <c r="M1309" t="str">
        <f t="shared" si="60"/>
        <v>OK</v>
      </c>
      <c r="N1309" t="str">
        <f t="shared" si="61"/>
        <v>1960s</v>
      </c>
      <c r="O1309" t="str">
        <f t="shared" si="62"/>
        <v>N/A</v>
      </c>
      <c r="P1309" t="str">
        <f>VLOOKUP(E1309,calculated_fields!$F$4:$G$6,2,FALSE)</f>
        <v>Economy</v>
      </c>
    </row>
    <row r="1310" spans="1:16">
      <c r="A1310" t="s">
        <v>1814</v>
      </c>
      <c r="B1310" t="s">
        <v>1798</v>
      </c>
      <c r="C1310" t="s">
        <v>229</v>
      </c>
      <c r="D1310">
        <v>1972</v>
      </c>
      <c r="E1310" t="s">
        <v>15</v>
      </c>
      <c r="F1310" t="s">
        <v>16</v>
      </c>
      <c r="G1310" t="s">
        <v>17</v>
      </c>
      <c r="H1310" t="s">
        <v>18</v>
      </c>
      <c r="I1310">
        <v>59.631</v>
      </c>
      <c r="J1310" t="s">
        <v>19</v>
      </c>
      <c r="K1310" t="s">
        <v>1815</v>
      </c>
      <c r="L1310" t="s">
        <v>21</v>
      </c>
      <c r="M1310" t="str">
        <f t="shared" si="60"/>
        <v>OK</v>
      </c>
      <c r="N1310" t="str">
        <f t="shared" si="61"/>
        <v>1970s</v>
      </c>
      <c r="O1310" t="str">
        <f t="shared" si="62"/>
        <v>Medium</v>
      </c>
      <c r="P1310" t="str">
        <f>VLOOKUP(E1310,calculated_fields!$F$4:$G$6,2,FALSE)</f>
        <v>Health</v>
      </c>
    </row>
    <row r="1311" spans="1:16">
      <c r="A1311" t="s">
        <v>1816</v>
      </c>
      <c r="B1311" t="s">
        <v>1798</v>
      </c>
      <c r="C1311" t="s">
        <v>229</v>
      </c>
      <c r="D1311">
        <v>1972</v>
      </c>
      <c r="E1311" t="s">
        <v>23</v>
      </c>
      <c r="F1311" t="s">
        <v>24</v>
      </c>
      <c r="G1311" t="s">
        <v>25</v>
      </c>
      <c r="H1311" t="s">
        <v>26</v>
      </c>
      <c r="I1311">
        <v>4671329</v>
      </c>
      <c r="J1311" t="s">
        <v>27</v>
      </c>
      <c r="K1311" t="s">
        <v>1815</v>
      </c>
      <c r="L1311" t="s">
        <v>21</v>
      </c>
      <c r="M1311" t="str">
        <f t="shared" si="60"/>
        <v>OK</v>
      </c>
      <c r="N1311" t="str">
        <f t="shared" si="61"/>
        <v>1970s</v>
      </c>
      <c r="O1311" t="str">
        <f t="shared" si="62"/>
        <v>N/A</v>
      </c>
      <c r="P1311" t="str">
        <f>VLOOKUP(E1311,calculated_fields!$F$4:$G$6,2,FALSE)</f>
        <v>Demographics</v>
      </c>
    </row>
    <row r="1312" spans="1:16">
      <c r="A1312" t="s">
        <v>1817</v>
      </c>
      <c r="B1312" t="s">
        <v>1798</v>
      </c>
      <c r="C1312" t="s">
        <v>229</v>
      </c>
      <c r="D1312">
        <v>1972</v>
      </c>
      <c r="E1312" t="s">
        <v>29</v>
      </c>
      <c r="F1312" t="s">
        <v>30</v>
      </c>
      <c r="G1312" t="s">
        <v>31</v>
      </c>
      <c r="H1312" t="s">
        <v>32</v>
      </c>
      <c r="I1312">
        <v>2189.874499</v>
      </c>
      <c r="J1312" t="s">
        <v>33</v>
      </c>
      <c r="K1312" t="s">
        <v>1815</v>
      </c>
      <c r="L1312" t="s">
        <v>21</v>
      </c>
      <c r="M1312" t="str">
        <f t="shared" si="60"/>
        <v>OK</v>
      </c>
      <c r="N1312" t="str">
        <f t="shared" si="61"/>
        <v>1970s</v>
      </c>
      <c r="O1312" t="str">
        <f t="shared" si="62"/>
        <v>N/A</v>
      </c>
      <c r="P1312" t="str">
        <f>VLOOKUP(E1312,calculated_fields!$F$4:$G$6,2,FALSE)</f>
        <v>Economy</v>
      </c>
    </row>
    <row r="1313" spans="1:16">
      <c r="A1313" t="s">
        <v>1818</v>
      </c>
      <c r="B1313" t="s">
        <v>1798</v>
      </c>
      <c r="C1313" t="s">
        <v>229</v>
      </c>
      <c r="D1313">
        <v>1977</v>
      </c>
      <c r="E1313" t="s">
        <v>15</v>
      </c>
      <c r="F1313" t="s">
        <v>16</v>
      </c>
      <c r="G1313" t="s">
        <v>17</v>
      </c>
      <c r="H1313" t="s">
        <v>18</v>
      </c>
      <c r="I1313">
        <v>61.787999999999997</v>
      </c>
      <c r="J1313" t="s">
        <v>19</v>
      </c>
      <c r="K1313" t="s">
        <v>1819</v>
      </c>
      <c r="L1313" t="s">
        <v>21</v>
      </c>
      <c r="M1313" t="str">
        <f t="shared" si="60"/>
        <v>OK</v>
      </c>
      <c r="N1313" t="str">
        <f t="shared" si="61"/>
        <v>1970s</v>
      </c>
      <c r="O1313" t="str">
        <f t="shared" si="62"/>
        <v>Medium</v>
      </c>
      <c r="P1313" t="str">
        <f>VLOOKUP(E1313,calculated_fields!$F$4:$G$6,2,FALSE)</f>
        <v>Health</v>
      </c>
    </row>
    <row r="1314" spans="1:16">
      <c r="A1314" t="s">
        <v>1820</v>
      </c>
      <c r="B1314" t="s">
        <v>1798</v>
      </c>
      <c r="C1314" t="s">
        <v>229</v>
      </c>
      <c r="D1314">
        <v>1977</v>
      </c>
      <c r="E1314" t="s">
        <v>23</v>
      </c>
      <c r="F1314" t="s">
        <v>24</v>
      </c>
      <c r="G1314" t="s">
        <v>25</v>
      </c>
      <c r="H1314" t="s">
        <v>26</v>
      </c>
      <c r="I1314">
        <v>5302800</v>
      </c>
      <c r="J1314" t="s">
        <v>27</v>
      </c>
      <c r="K1314" t="s">
        <v>1819</v>
      </c>
      <c r="L1314" t="s">
        <v>21</v>
      </c>
      <c r="M1314" t="str">
        <f t="shared" si="60"/>
        <v>OK</v>
      </c>
      <c r="N1314" t="str">
        <f t="shared" si="61"/>
        <v>1970s</v>
      </c>
      <c r="O1314" t="str">
        <f t="shared" si="62"/>
        <v>N/A</v>
      </c>
      <c r="P1314" t="str">
        <f>VLOOKUP(E1314,calculated_fields!$F$4:$G$6,2,FALSE)</f>
        <v>Demographics</v>
      </c>
    </row>
    <row r="1315" spans="1:16">
      <c r="A1315" t="s">
        <v>1821</v>
      </c>
      <c r="B1315" t="s">
        <v>1798</v>
      </c>
      <c r="C1315" t="s">
        <v>229</v>
      </c>
      <c r="D1315">
        <v>1977</v>
      </c>
      <c r="E1315" t="s">
        <v>29</v>
      </c>
      <c r="F1315" t="s">
        <v>30</v>
      </c>
      <c r="G1315" t="s">
        <v>31</v>
      </c>
      <c r="H1315" t="s">
        <v>32</v>
      </c>
      <c r="I1315">
        <v>2681.9888999999998</v>
      </c>
      <c r="J1315" t="s">
        <v>33</v>
      </c>
      <c r="K1315" t="s">
        <v>1819</v>
      </c>
      <c r="L1315" t="s">
        <v>21</v>
      </c>
      <c r="M1315" t="str">
        <f t="shared" si="60"/>
        <v>OK</v>
      </c>
      <c r="N1315" t="str">
        <f t="shared" si="61"/>
        <v>1970s</v>
      </c>
      <c r="O1315" t="str">
        <f t="shared" si="62"/>
        <v>N/A</v>
      </c>
      <c r="P1315" t="str">
        <f>VLOOKUP(E1315,calculated_fields!$F$4:$G$6,2,FALSE)</f>
        <v>Economy</v>
      </c>
    </row>
    <row r="1316" spans="1:16">
      <c r="A1316" t="s">
        <v>1822</v>
      </c>
      <c r="B1316" t="s">
        <v>1798</v>
      </c>
      <c r="C1316" t="s">
        <v>229</v>
      </c>
      <c r="D1316">
        <v>1982</v>
      </c>
      <c r="E1316" t="s">
        <v>15</v>
      </c>
      <c r="F1316" t="s">
        <v>16</v>
      </c>
      <c r="G1316" t="s">
        <v>17</v>
      </c>
      <c r="H1316" t="s">
        <v>18</v>
      </c>
      <c r="I1316">
        <v>63.726999999999997</v>
      </c>
      <c r="J1316" t="s">
        <v>19</v>
      </c>
      <c r="K1316" t="s">
        <v>1823</v>
      </c>
      <c r="L1316" t="s">
        <v>21</v>
      </c>
      <c r="M1316" t="str">
        <f t="shared" si="60"/>
        <v>OK</v>
      </c>
      <c r="N1316" t="str">
        <f t="shared" si="61"/>
        <v>1980s</v>
      </c>
      <c r="O1316" t="str">
        <f t="shared" si="62"/>
        <v>Medium</v>
      </c>
      <c r="P1316" t="str">
        <f>VLOOKUP(E1316,calculated_fields!$F$4:$G$6,2,FALSE)</f>
        <v>Health</v>
      </c>
    </row>
    <row r="1317" spans="1:16">
      <c r="A1317" t="s">
        <v>1824</v>
      </c>
      <c r="B1317" t="s">
        <v>1798</v>
      </c>
      <c r="C1317" t="s">
        <v>229</v>
      </c>
      <c r="D1317">
        <v>1982</v>
      </c>
      <c r="E1317" t="s">
        <v>23</v>
      </c>
      <c r="F1317" t="s">
        <v>24</v>
      </c>
      <c r="G1317" t="s">
        <v>25</v>
      </c>
      <c r="H1317" t="s">
        <v>26</v>
      </c>
      <c r="I1317">
        <v>5968349</v>
      </c>
      <c r="J1317" t="s">
        <v>27</v>
      </c>
      <c r="K1317" t="s">
        <v>1823</v>
      </c>
      <c r="L1317" t="s">
        <v>21</v>
      </c>
      <c r="M1317" t="str">
        <f t="shared" si="60"/>
        <v>OK</v>
      </c>
      <c r="N1317" t="str">
        <f t="shared" si="61"/>
        <v>1980s</v>
      </c>
      <c r="O1317" t="str">
        <f t="shared" si="62"/>
        <v>N/A</v>
      </c>
      <c r="P1317" t="str">
        <f>VLOOKUP(E1317,calculated_fields!$F$4:$G$6,2,FALSE)</f>
        <v>Demographics</v>
      </c>
    </row>
    <row r="1318" spans="1:16">
      <c r="A1318" t="s">
        <v>1825</v>
      </c>
      <c r="B1318" t="s">
        <v>1798</v>
      </c>
      <c r="C1318" t="s">
        <v>229</v>
      </c>
      <c r="D1318">
        <v>1982</v>
      </c>
      <c r="E1318" t="s">
        <v>29</v>
      </c>
      <c r="F1318" t="s">
        <v>30</v>
      </c>
      <c r="G1318" t="s">
        <v>31</v>
      </c>
      <c r="H1318" t="s">
        <v>32</v>
      </c>
      <c r="I1318">
        <v>2861.0923859999998</v>
      </c>
      <c r="J1318" t="s">
        <v>33</v>
      </c>
      <c r="K1318" t="s">
        <v>1823</v>
      </c>
      <c r="L1318" t="s">
        <v>21</v>
      </c>
      <c r="M1318" t="str">
        <f t="shared" si="60"/>
        <v>OK</v>
      </c>
      <c r="N1318" t="str">
        <f t="shared" si="61"/>
        <v>1980s</v>
      </c>
      <c r="O1318" t="str">
        <f t="shared" si="62"/>
        <v>N/A</v>
      </c>
      <c r="P1318" t="str">
        <f>VLOOKUP(E1318,calculated_fields!$F$4:$G$6,2,FALSE)</f>
        <v>Economy</v>
      </c>
    </row>
    <row r="1319" spans="1:16">
      <c r="A1319" t="s">
        <v>1826</v>
      </c>
      <c r="B1319" t="s">
        <v>1798</v>
      </c>
      <c r="C1319" t="s">
        <v>229</v>
      </c>
      <c r="D1319">
        <v>1987</v>
      </c>
      <c r="E1319" t="s">
        <v>15</v>
      </c>
      <c r="F1319" t="s">
        <v>16</v>
      </c>
      <c r="G1319" t="s">
        <v>17</v>
      </c>
      <c r="H1319" t="s">
        <v>18</v>
      </c>
      <c r="I1319">
        <v>66.046000000000006</v>
      </c>
      <c r="J1319" t="s">
        <v>19</v>
      </c>
      <c r="K1319" t="s">
        <v>1827</v>
      </c>
      <c r="L1319" t="s">
        <v>21</v>
      </c>
      <c r="M1319" t="str">
        <f t="shared" si="60"/>
        <v>OK</v>
      </c>
      <c r="N1319" t="str">
        <f t="shared" si="61"/>
        <v>1980s</v>
      </c>
      <c r="O1319" t="str">
        <f t="shared" si="62"/>
        <v>Medium</v>
      </c>
      <c r="P1319" t="str">
        <f>VLOOKUP(E1319,calculated_fields!$F$4:$G$6,2,FALSE)</f>
        <v>Health</v>
      </c>
    </row>
    <row r="1320" spans="1:16">
      <c r="A1320" t="s">
        <v>1828</v>
      </c>
      <c r="B1320" t="s">
        <v>1798</v>
      </c>
      <c r="C1320" t="s">
        <v>229</v>
      </c>
      <c r="D1320">
        <v>1987</v>
      </c>
      <c r="E1320" t="s">
        <v>23</v>
      </c>
      <c r="F1320" t="s">
        <v>24</v>
      </c>
      <c r="G1320" t="s">
        <v>25</v>
      </c>
      <c r="H1320" t="s">
        <v>26</v>
      </c>
      <c r="I1320">
        <v>6655297</v>
      </c>
      <c r="J1320" t="s">
        <v>27</v>
      </c>
      <c r="K1320" t="s">
        <v>1827</v>
      </c>
      <c r="L1320" t="s">
        <v>21</v>
      </c>
      <c r="M1320" t="str">
        <f t="shared" si="60"/>
        <v>OK</v>
      </c>
      <c r="N1320" t="str">
        <f t="shared" si="61"/>
        <v>1980s</v>
      </c>
      <c r="O1320" t="str">
        <f t="shared" si="62"/>
        <v>N/A</v>
      </c>
      <c r="P1320" t="str">
        <f>VLOOKUP(E1320,calculated_fields!$F$4:$G$6,2,FALSE)</f>
        <v>Demographics</v>
      </c>
    </row>
    <row r="1321" spans="1:16">
      <c r="A1321" t="s">
        <v>1829</v>
      </c>
      <c r="B1321" t="s">
        <v>1798</v>
      </c>
      <c r="C1321" t="s">
        <v>229</v>
      </c>
      <c r="D1321">
        <v>1987</v>
      </c>
      <c r="E1321" t="s">
        <v>29</v>
      </c>
      <c r="F1321" t="s">
        <v>30</v>
      </c>
      <c r="G1321" t="s">
        <v>31</v>
      </c>
      <c r="H1321" t="s">
        <v>32</v>
      </c>
      <c r="I1321">
        <v>2899.8421750000002</v>
      </c>
      <c r="J1321" t="s">
        <v>33</v>
      </c>
      <c r="K1321" t="s">
        <v>1827</v>
      </c>
      <c r="L1321" t="s">
        <v>21</v>
      </c>
      <c r="M1321" t="str">
        <f t="shared" si="60"/>
        <v>OK</v>
      </c>
      <c r="N1321" t="str">
        <f t="shared" si="61"/>
        <v>1980s</v>
      </c>
      <c r="O1321" t="str">
        <f t="shared" si="62"/>
        <v>N/A</v>
      </c>
      <c r="P1321" t="str">
        <f>VLOOKUP(E1321,calculated_fields!$F$4:$G$6,2,FALSE)</f>
        <v>Economy</v>
      </c>
    </row>
    <row r="1322" spans="1:16">
      <c r="A1322" t="s">
        <v>1830</v>
      </c>
      <c r="B1322" t="s">
        <v>1798</v>
      </c>
      <c r="C1322" t="s">
        <v>229</v>
      </c>
      <c r="D1322">
        <v>1992</v>
      </c>
      <c r="E1322" t="s">
        <v>15</v>
      </c>
      <c r="F1322" t="s">
        <v>16</v>
      </c>
      <c r="G1322" t="s">
        <v>17</v>
      </c>
      <c r="H1322" t="s">
        <v>18</v>
      </c>
      <c r="I1322">
        <v>68.456999999999994</v>
      </c>
      <c r="J1322" t="s">
        <v>19</v>
      </c>
      <c r="K1322" t="s">
        <v>1831</v>
      </c>
      <c r="L1322" t="s">
        <v>21</v>
      </c>
      <c r="M1322" t="str">
        <f t="shared" si="60"/>
        <v>OK</v>
      </c>
      <c r="N1322" t="str">
        <f t="shared" si="61"/>
        <v>1990s</v>
      </c>
      <c r="O1322" t="str">
        <f t="shared" si="62"/>
        <v>Medium</v>
      </c>
      <c r="P1322" t="str">
        <f>VLOOKUP(E1322,calculated_fields!$F$4:$G$6,2,FALSE)</f>
        <v>Health</v>
      </c>
    </row>
    <row r="1323" spans="1:16">
      <c r="A1323" t="s">
        <v>1832</v>
      </c>
      <c r="B1323" t="s">
        <v>1798</v>
      </c>
      <c r="C1323" t="s">
        <v>229</v>
      </c>
      <c r="D1323">
        <v>1992</v>
      </c>
      <c r="E1323" t="s">
        <v>23</v>
      </c>
      <c r="F1323" t="s">
        <v>24</v>
      </c>
      <c r="G1323" t="s">
        <v>25</v>
      </c>
      <c r="H1323" t="s">
        <v>26</v>
      </c>
      <c r="I1323">
        <v>7351181</v>
      </c>
      <c r="J1323" t="s">
        <v>27</v>
      </c>
      <c r="K1323" t="s">
        <v>1831</v>
      </c>
      <c r="L1323" t="s">
        <v>21</v>
      </c>
      <c r="M1323" t="str">
        <f t="shared" si="60"/>
        <v>OK</v>
      </c>
      <c r="N1323" t="str">
        <f t="shared" si="61"/>
        <v>1990s</v>
      </c>
      <c r="O1323" t="str">
        <f t="shared" si="62"/>
        <v>N/A</v>
      </c>
      <c r="P1323" t="str">
        <f>VLOOKUP(E1323,calculated_fields!$F$4:$G$6,2,FALSE)</f>
        <v>Demographics</v>
      </c>
    </row>
    <row r="1324" spans="1:16">
      <c r="A1324" t="s">
        <v>1833</v>
      </c>
      <c r="B1324" t="s">
        <v>1798</v>
      </c>
      <c r="C1324" t="s">
        <v>229</v>
      </c>
      <c r="D1324">
        <v>1992</v>
      </c>
      <c r="E1324" t="s">
        <v>29</v>
      </c>
      <c r="F1324" t="s">
        <v>30</v>
      </c>
      <c r="G1324" t="s">
        <v>31</v>
      </c>
      <c r="H1324" t="s">
        <v>32</v>
      </c>
      <c r="I1324">
        <v>3044.2142140000001</v>
      </c>
      <c r="J1324" t="s">
        <v>33</v>
      </c>
      <c r="K1324" t="s">
        <v>1831</v>
      </c>
      <c r="L1324" t="s">
        <v>21</v>
      </c>
      <c r="M1324" t="str">
        <f t="shared" si="60"/>
        <v>OK</v>
      </c>
      <c r="N1324" t="str">
        <f t="shared" si="61"/>
        <v>1990s</v>
      </c>
      <c r="O1324" t="str">
        <f t="shared" si="62"/>
        <v>N/A</v>
      </c>
      <c r="P1324" t="str">
        <f>VLOOKUP(E1324,calculated_fields!$F$4:$G$6,2,FALSE)</f>
        <v>Economy</v>
      </c>
    </row>
    <row r="1325" spans="1:16">
      <c r="A1325" t="s">
        <v>1834</v>
      </c>
      <c r="B1325" t="s">
        <v>1798</v>
      </c>
      <c r="C1325" t="s">
        <v>229</v>
      </c>
      <c r="D1325">
        <v>1997</v>
      </c>
      <c r="E1325" t="s">
        <v>15</v>
      </c>
      <c r="F1325" t="s">
        <v>16</v>
      </c>
      <c r="G1325" t="s">
        <v>17</v>
      </c>
      <c r="H1325" t="s">
        <v>18</v>
      </c>
      <c r="I1325">
        <v>69.956999999999994</v>
      </c>
      <c r="J1325" t="s">
        <v>19</v>
      </c>
      <c r="K1325" t="s">
        <v>1835</v>
      </c>
      <c r="L1325" t="s">
        <v>21</v>
      </c>
      <c r="M1325" t="str">
        <f t="shared" si="60"/>
        <v>OK</v>
      </c>
      <c r="N1325" t="str">
        <f t="shared" si="61"/>
        <v>1990s</v>
      </c>
      <c r="O1325" t="str">
        <f t="shared" si="62"/>
        <v>Medium</v>
      </c>
      <c r="P1325" t="str">
        <f>VLOOKUP(E1325,calculated_fields!$F$4:$G$6,2,FALSE)</f>
        <v>Health</v>
      </c>
    </row>
    <row r="1326" spans="1:16">
      <c r="A1326" t="s">
        <v>1836</v>
      </c>
      <c r="B1326" t="s">
        <v>1798</v>
      </c>
      <c r="C1326" t="s">
        <v>229</v>
      </c>
      <c r="D1326">
        <v>1997</v>
      </c>
      <c r="E1326" t="s">
        <v>23</v>
      </c>
      <c r="F1326" t="s">
        <v>24</v>
      </c>
      <c r="G1326" t="s">
        <v>25</v>
      </c>
      <c r="H1326" t="s">
        <v>26</v>
      </c>
      <c r="I1326">
        <v>7992357</v>
      </c>
      <c r="J1326" t="s">
        <v>27</v>
      </c>
      <c r="K1326" t="s">
        <v>1835</v>
      </c>
      <c r="L1326" t="s">
        <v>21</v>
      </c>
      <c r="M1326" t="str">
        <f t="shared" si="60"/>
        <v>OK</v>
      </c>
      <c r="N1326" t="str">
        <f t="shared" si="61"/>
        <v>1990s</v>
      </c>
      <c r="O1326" t="str">
        <f t="shared" si="62"/>
        <v>N/A</v>
      </c>
      <c r="P1326" t="str">
        <f>VLOOKUP(E1326,calculated_fields!$F$4:$G$6,2,FALSE)</f>
        <v>Demographics</v>
      </c>
    </row>
    <row r="1327" spans="1:16">
      <c r="A1327" t="s">
        <v>1837</v>
      </c>
      <c r="B1327" t="s">
        <v>1798</v>
      </c>
      <c r="C1327" t="s">
        <v>229</v>
      </c>
      <c r="D1327">
        <v>1997</v>
      </c>
      <c r="E1327" t="s">
        <v>29</v>
      </c>
      <c r="F1327" t="s">
        <v>30</v>
      </c>
      <c r="G1327" t="s">
        <v>31</v>
      </c>
      <c r="H1327" t="s">
        <v>32</v>
      </c>
      <c r="I1327">
        <v>3614.1012850000002</v>
      </c>
      <c r="J1327" t="s">
        <v>33</v>
      </c>
      <c r="K1327" t="s">
        <v>1835</v>
      </c>
      <c r="L1327" t="s">
        <v>21</v>
      </c>
      <c r="M1327" t="str">
        <f t="shared" si="60"/>
        <v>OK</v>
      </c>
      <c r="N1327" t="str">
        <f t="shared" si="61"/>
        <v>1990s</v>
      </c>
      <c r="O1327" t="str">
        <f t="shared" si="62"/>
        <v>N/A</v>
      </c>
      <c r="P1327" t="str">
        <f>VLOOKUP(E1327,calculated_fields!$F$4:$G$6,2,FALSE)</f>
        <v>Economy</v>
      </c>
    </row>
    <row r="1328" spans="1:16">
      <c r="A1328" t="s">
        <v>1838</v>
      </c>
      <c r="B1328" t="s">
        <v>1798</v>
      </c>
      <c r="C1328" t="s">
        <v>229</v>
      </c>
      <c r="D1328">
        <v>2002</v>
      </c>
      <c r="E1328" t="s">
        <v>15</v>
      </c>
      <c r="F1328" t="s">
        <v>16</v>
      </c>
      <c r="G1328" t="s">
        <v>17</v>
      </c>
      <c r="H1328" t="s">
        <v>18</v>
      </c>
      <c r="I1328">
        <v>70.846999999999994</v>
      </c>
      <c r="J1328" t="s">
        <v>19</v>
      </c>
      <c r="K1328" t="s">
        <v>1839</v>
      </c>
      <c r="L1328" t="s">
        <v>21</v>
      </c>
      <c r="M1328" t="str">
        <f t="shared" si="60"/>
        <v>OK</v>
      </c>
      <c r="N1328" t="str">
        <f t="shared" si="61"/>
        <v>2000s</v>
      </c>
      <c r="O1328" t="str">
        <f t="shared" si="62"/>
        <v>High</v>
      </c>
      <c r="P1328" t="str">
        <f>VLOOKUP(E1328,calculated_fields!$F$4:$G$6,2,FALSE)</f>
        <v>Health</v>
      </c>
    </row>
    <row r="1329" spans="1:16">
      <c r="A1329" t="s">
        <v>1840</v>
      </c>
      <c r="B1329" t="s">
        <v>1798</v>
      </c>
      <c r="C1329" t="s">
        <v>229</v>
      </c>
      <c r="D1329">
        <v>2002</v>
      </c>
      <c r="E1329" t="s">
        <v>23</v>
      </c>
      <c r="F1329" t="s">
        <v>24</v>
      </c>
      <c r="G1329" t="s">
        <v>25</v>
      </c>
      <c r="H1329" t="s">
        <v>26</v>
      </c>
      <c r="I1329">
        <v>8650322</v>
      </c>
      <c r="J1329" t="s">
        <v>27</v>
      </c>
      <c r="K1329" t="s">
        <v>1839</v>
      </c>
      <c r="L1329" t="s">
        <v>21</v>
      </c>
      <c r="M1329" t="str">
        <f t="shared" si="60"/>
        <v>OK</v>
      </c>
      <c r="N1329" t="str">
        <f t="shared" si="61"/>
        <v>2000s</v>
      </c>
      <c r="O1329" t="str">
        <f t="shared" si="62"/>
        <v>N/A</v>
      </c>
      <c r="P1329" t="str">
        <f>VLOOKUP(E1329,calculated_fields!$F$4:$G$6,2,FALSE)</f>
        <v>Demographics</v>
      </c>
    </row>
    <row r="1330" spans="1:16">
      <c r="A1330" t="s">
        <v>1841</v>
      </c>
      <c r="B1330" t="s">
        <v>1798</v>
      </c>
      <c r="C1330" t="s">
        <v>229</v>
      </c>
      <c r="D1330">
        <v>2002</v>
      </c>
      <c r="E1330" t="s">
        <v>29</v>
      </c>
      <c r="F1330" t="s">
        <v>30</v>
      </c>
      <c r="G1330" t="s">
        <v>31</v>
      </c>
      <c r="H1330" t="s">
        <v>32</v>
      </c>
      <c r="I1330">
        <v>4563.8081540000003</v>
      </c>
      <c r="J1330" t="s">
        <v>33</v>
      </c>
      <c r="K1330" t="s">
        <v>1839</v>
      </c>
      <c r="L1330" t="s">
        <v>21</v>
      </c>
      <c r="M1330" t="str">
        <f t="shared" si="60"/>
        <v>OK</v>
      </c>
      <c r="N1330" t="str">
        <f t="shared" si="61"/>
        <v>2000s</v>
      </c>
      <c r="O1330" t="str">
        <f t="shared" si="62"/>
        <v>N/A</v>
      </c>
      <c r="P1330" t="str">
        <f>VLOOKUP(E1330,calculated_fields!$F$4:$G$6,2,FALSE)</f>
        <v>Economy</v>
      </c>
    </row>
    <row r="1331" spans="1:16">
      <c r="A1331" t="s">
        <v>1842</v>
      </c>
      <c r="B1331" t="s">
        <v>1798</v>
      </c>
      <c r="C1331" t="s">
        <v>229</v>
      </c>
      <c r="D1331">
        <v>2007</v>
      </c>
      <c r="E1331" t="s">
        <v>15</v>
      </c>
      <c r="F1331" t="s">
        <v>16</v>
      </c>
      <c r="G1331" t="s">
        <v>17</v>
      </c>
      <c r="H1331" t="s">
        <v>18</v>
      </c>
      <c r="I1331">
        <v>72.234999999999999</v>
      </c>
      <c r="J1331" t="s">
        <v>19</v>
      </c>
      <c r="K1331" t="s">
        <v>1843</v>
      </c>
      <c r="L1331" t="s">
        <v>21</v>
      </c>
      <c r="M1331" t="str">
        <f t="shared" si="60"/>
        <v>OK</v>
      </c>
      <c r="N1331" t="str">
        <f t="shared" si="61"/>
        <v>2000s</v>
      </c>
      <c r="O1331" t="str">
        <f t="shared" si="62"/>
        <v>High</v>
      </c>
      <c r="P1331" t="str">
        <f>VLOOKUP(E1331,calculated_fields!$F$4:$G$6,2,FALSE)</f>
        <v>Health</v>
      </c>
    </row>
    <row r="1332" spans="1:16">
      <c r="A1332" t="s">
        <v>1844</v>
      </c>
      <c r="B1332" t="s">
        <v>1798</v>
      </c>
      <c r="C1332" t="s">
        <v>229</v>
      </c>
      <c r="D1332">
        <v>2007</v>
      </c>
      <c r="E1332" t="s">
        <v>23</v>
      </c>
      <c r="F1332" t="s">
        <v>24</v>
      </c>
      <c r="G1332" t="s">
        <v>25</v>
      </c>
      <c r="H1332" t="s">
        <v>26</v>
      </c>
      <c r="I1332">
        <v>9319622</v>
      </c>
      <c r="J1332" t="s">
        <v>27</v>
      </c>
      <c r="K1332" t="s">
        <v>1843</v>
      </c>
      <c r="L1332" t="s">
        <v>21</v>
      </c>
      <c r="M1332" t="str">
        <f t="shared" si="60"/>
        <v>OK</v>
      </c>
      <c r="N1332" t="str">
        <f t="shared" si="61"/>
        <v>2000s</v>
      </c>
      <c r="O1332" t="str">
        <f t="shared" si="62"/>
        <v>N/A</v>
      </c>
      <c r="P1332" t="str">
        <f>VLOOKUP(E1332,calculated_fields!$F$4:$G$6,2,FALSE)</f>
        <v>Demographics</v>
      </c>
    </row>
    <row r="1333" spans="1:16">
      <c r="A1333" t="s">
        <v>1845</v>
      </c>
      <c r="B1333" t="s">
        <v>1798</v>
      </c>
      <c r="C1333" t="s">
        <v>229</v>
      </c>
      <c r="D1333">
        <v>2007</v>
      </c>
      <c r="E1333" t="s">
        <v>29</v>
      </c>
      <c r="F1333" t="s">
        <v>30</v>
      </c>
      <c r="G1333" t="s">
        <v>31</v>
      </c>
      <c r="H1333" t="s">
        <v>32</v>
      </c>
      <c r="I1333">
        <v>6025.3747519999997</v>
      </c>
      <c r="J1333" t="s">
        <v>33</v>
      </c>
      <c r="K1333" t="s">
        <v>1843</v>
      </c>
      <c r="L1333" t="s">
        <v>21</v>
      </c>
      <c r="M1333" t="str">
        <f t="shared" si="60"/>
        <v>OK</v>
      </c>
      <c r="N1333" t="str">
        <f t="shared" si="61"/>
        <v>2000s</v>
      </c>
      <c r="O1333" t="str">
        <f t="shared" si="62"/>
        <v>N/A</v>
      </c>
      <c r="P1333" t="str">
        <f>VLOOKUP(E1333,calculated_fields!$F$4:$G$6,2,FALSE)</f>
        <v>Economy</v>
      </c>
    </row>
    <row r="1334" spans="1:16">
      <c r="A1334" t="s">
        <v>1846</v>
      </c>
      <c r="B1334" t="s">
        <v>1847</v>
      </c>
      <c r="C1334" t="s">
        <v>229</v>
      </c>
      <c r="D1334">
        <v>1952</v>
      </c>
      <c r="E1334" t="s">
        <v>15</v>
      </c>
      <c r="F1334" t="s">
        <v>16</v>
      </c>
      <c r="G1334" t="s">
        <v>17</v>
      </c>
      <c r="H1334" t="s">
        <v>18</v>
      </c>
      <c r="I1334">
        <v>48.356999999999999</v>
      </c>
      <c r="J1334" t="s">
        <v>19</v>
      </c>
      <c r="K1334" t="s">
        <v>1848</v>
      </c>
      <c r="L1334" t="s">
        <v>21</v>
      </c>
      <c r="M1334" t="str">
        <f t="shared" si="60"/>
        <v>OK</v>
      </c>
      <c r="N1334" t="str">
        <f t="shared" si="61"/>
        <v>1950s</v>
      </c>
      <c r="O1334" t="str">
        <f t="shared" si="62"/>
        <v>Low</v>
      </c>
      <c r="P1334" t="str">
        <f>VLOOKUP(E1334,calculated_fields!$F$4:$G$6,2,FALSE)</f>
        <v>Health</v>
      </c>
    </row>
    <row r="1335" spans="1:16">
      <c r="A1335" t="s">
        <v>1849</v>
      </c>
      <c r="B1335" t="s">
        <v>1847</v>
      </c>
      <c r="C1335" t="s">
        <v>229</v>
      </c>
      <c r="D1335">
        <v>1952</v>
      </c>
      <c r="E1335" t="s">
        <v>23</v>
      </c>
      <c r="F1335" t="s">
        <v>24</v>
      </c>
      <c r="G1335" t="s">
        <v>25</v>
      </c>
      <c r="H1335" t="s">
        <v>26</v>
      </c>
      <c r="I1335">
        <v>3548753</v>
      </c>
      <c r="J1335" t="s">
        <v>27</v>
      </c>
      <c r="K1335" t="s">
        <v>1848</v>
      </c>
      <c r="L1335" t="s">
        <v>21</v>
      </c>
      <c r="M1335" t="str">
        <f t="shared" si="60"/>
        <v>OK</v>
      </c>
      <c r="N1335" t="str">
        <f t="shared" si="61"/>
        <v>1950s</v>
      </c>
      <c r="O1335" t="str">
        <f t="shared" si="62"/>
        <v>N/A</v>
      </c>
      <c r="P1335" t="str">
        <f>VLOOKUP(E1335,calculated_fields!$F$4:$G$6,2,FALSE)</f>
        <v>Demographics</v>
      </c>
    </row>
    <row r="1336" spans="1:16">
      <c r="A1336" t="s">
        <v>1850</v>
      </c>
      <c r="B1336" t="s">
        <v>1847</v>
      </c>
      <c r="C1336" t="s">
        <v>229</v>
      </c>
      <c r="D1336">
        <v>1952</v>
      </c>
      <c r="E1336" t="s">
        <v>29</v>
      </c>
      <c r="F1336" t="s">
        <v>30</v>
      </c>
      <c r="G1336" t="s">
        <v>31</v>
      </c>
      <c r="H1336" t="s">
        <v>32</v>
      </c>
      <c r="I1336">
        <v>3522.110717</v>
      </c>
      <c r="J1336" t="s">
        <v>33</v>
      </c>
      <c r="K1336" t="s">
        <v>1848</v>
      </c>
      <c r="L1336" t="s">
        <v>21</v>
      </c>
      <c r="M1336" t="str">
        <f t="shared" si="60"/>
        <v>OK</v>
      </c>
      <c r="N1336" t="str">
        <f t="shared" si="61"/>
        <v>1950s</v>
      </c>
      <c r="O1336" t="str">
        <f t="shared" si="62"/>
        <v>N/A</v>
      </c>
      <c r="P1336" t="str">
        <f>VLOOKUP(E1336,calculated_fields!$F$4:$G$6,2,FALSE)</f>
        <v>Economy</v>
      </c>
    </row>
    <row r="1337" spans="1:16">
      <c r="A1337" t="s">
        <v>1851</v>
      </c>
      <c r="B1337" t="s">
        <v>1847</v>
      </c>
      <c r="C1337" t="s">
        <v>229</v>
      </c>
      <c r="D1337">
        <v>1957</v>
      </c>
      <c r="E1337" t="s">
        <v>15</v>
      </c>
      <c r="F1337" t="s">
        <v>16</v>
      </c>
      <c r="G1337" t="s">
        <v>17</v>
      </c>
      <c r="H1337" t="s">
        <v>18</v>
      </c>
      <c r="I1337">
        <v>51.356000000000002</v>
      </c>
      <c r="J1337" t="s">
        <v>19</v>
      </c>
      <c r="K1337" t="s">
        <v>1852</v>
      </c>
      <c r="L1337" t="s">
        <v>21</v>
      </c>
      <c r="M1337" t="str">
        <f t="shared" si="60"/>
        <v>OK</v>
      </c>
      <c r="N1337" t="str">
        <f t="shared" si="61"/>
        <v>1950s</v>
      </c>
      <c r="O1337" t="str">
        <f t="shared" si="62"/>
        <v>Low</v>
      </c>
      <c r="P1337" t="str">
        <f>VLOOKUP(E1337,calculated_fields!$F$4:$G$6,2,FALSE)</f>
        <v>Health</v>
      </c>
    </row>
    <row r="1338" spans="1:16">
      <c r="A1338" t="s">
        <v>1853</v>
      </c>
      <c r="B1338" t="s">
        <v>1847</v>
      </c>
      <c r="C1338" t="s">
        <v>229</v>
      </c>
      <c r="D1338">
        <v>1957</v>
      </c>
      <c r="E1338" t="s">
        <v>23</v>
      </c>
      <c r="F1338" t="s">
        <v>24</v>
      </c>
      <c r="G1338" t="s">
        <v>25</v>
      </c>
      <c r="H1338" t="s">
        <v>26</v>
      </c>
      <c r="I1338">
        <v>4058385</v>
      </c>
      <c r="J1338" t="s">
        <v>27</v>
      </c>
      <c r="K1338" t="s">
        <v>1852</v>
      </c>
      <c r="L1338" t="s">
        <v>21</v>
      </c>
      <c r="M1338" t="str">
        <f t="shared" si="60"/>
        <v>OK</v>
      </c>
      <c r="N1338" t="str">
        <f t="shared" si="61"/>
        <v>1950s</v>
      </c>
      <c r="O1338" t="str">
        <f t="shared" si="62"/>
        <v>N/A</v>
      </c>
      <c r="P1338" t="str">
        <f>VLOOKUP(E1338,calculated_fields!$F$4:$G$6,2,FALSE)</f>
        <v>Demographics</v>
      </c>
    </row>
    <row r="1339" spans="1:16">
      <c r="A1339" t="s">
        <v>1854</v>
      </c>
      <c r="B1339" t="s">
        <v>1847</v>
      </c>
      <c r="C1339" t="s">
        <v>229</v>
      </c>
      <c r="D1339">
        <v>1957</v>
      </c>
      <c r="E1339" t="s">
        <v>29</v>
      </c>
      <c r="F1339" t="s">
        <v>30</v>
      </c>
      <c r="G1339" t="s">
        <v>31</v>
      </c>
      <c r="H1339" t="s">
        <v>32</v>
      </c>
      <c r="I1339">
        <v>3780.5466510000001</v>
      </c>
      <c r="J1339" t="s">
        <v>33</v>
      </c>
      <c r="K1339" t="s">
        <v>1852</v>
      </c>
      <c r="L1339" t="s">
        <v>21</v>
      </c>
      <c r="M1339" t="str">
        <f t="shared" si="60"/>
        <v>OK</v>
      </c>
      <c r="N1339" t="str">
        <f t="shared" si="61"/>
        <v>1950s</v>
      </c>
      <c r="O1339" t="str">
        <f t="shared" si="62"/>
        <v>N/A</v>
      </c>
      <c r="P1339" t="str">
        <f>VLOOKUP(E1339,calculated_fields!$F$4:$G$6,2,FALSE)</f>
        <v>Economy</v>
      </c>
    </row>
    <row r="1340" spans="1:16">
      <c r="A1340" t="s">
        <v>1855</v>
      </c>
      <c r="B1340" t="s">
        <v>1847</v>
      </c>
      <c r="C1340" t="s">
        <v>229</v>
      </c>
      <c r="D1340">
        <v>1962</v>
      </c>
      <c r="E1340" t="s">
        <v>15</v>
      </c>
      <c r="F1340" t="s">
        <v>16</v>
      </c>
      <c r="G1340" t="s">
        <v>17</v>
      </c>
      <c r="H1340" t="s">
        <v>18</v>
      </c>
      <c r="I1340">
        <v>54.64</v>
      </c>
      <c r="J1340" t="s">
        <v>19</v>
      </c>
      <c r="K1340" t="s">
        <v>1856</v>
      </c>
      <c r="L1340" t="s">
        <v>21</v>
      </c>
      <c r="M1340" t="str">
        <f t="shared" si="60"/>
        <v>OK</v>
      </c>
      <c r="N1340" t="str">
        <f t="shared" si="61"/>
        <v>1960s</v>
      </c>
      <c r="O1340" t="str">
        <f t="shared" si="62"/>
        <v>Low</v>
      </c>
      <c r="P1340" t="str">
        <f>VLOOKUP(E1340,calculated_fields!$F$4:$G$6,2,FALSE)</f>
        <v>Health</v>
      </c>
    </row>
    <row r="1341" spans="1:16">
      <c r="A1341" t="s">
        <v>1857</v>
      </c>
      <c r="B1341" t="s">
        <v>1847</v>
      </c>
      <c r="C1341" t="s">
        <v>229</v>
      </c>
      <c r="D1341">
        <v>1962</v>
      </c>
      <c r="E1341" t="s">
        <v>23</v>
      </c>
      <c r="F1341" t="s">
        <v>24</v>
      </c>
      <c r="G1341" t="s">
        <v>25</v>
      </c>
      <c r="H1341" t="s">
        <v>26</v>
      </c>
      <c r="I1341">
        <v>4681707</v>
      </c>
      <c r="J1341" t="s">
        <v>27</v>
      </c>
      <c r="K1341" t="s">
        <v>1856</v>
      </c>
      <c r="L1341" t="s">
        <v>21</v>
      </c>
      <c r="M1341" t="str">
        <f t="shared" si="60"/>
        <v>OK</v>
      </c>
      <c r="N1341" t="str">
        <f t="shared" si="61"/>
        <v>1960s</v>
      </c>
      <c r="O1341" t="str">
        <f t="shared" si="62"/>
        <v>N/A</v>
      </c>
      <c r="P1341" t="str">
        <f>VLOOKUP(E1341,calculated_fields!$F$4:$G$6,2,FALSE)</f>
        <v>Demographics</v>
      </c>
    </row>
    <row r="1342" spans="1:16">
      <c r="A1342" t="s">
        <v>1858</v>
      </c>
      <c r="B1342" t="s">
        <v>1847</v>
      </c>
      <c r="C1342" t="s">
        <v>229</v>
      </c>
      <c r="D1342">
        <v>1962</v>
      </c>
      <c r="E1342" t="s">
        <v>29</v>
      </c>
      <c r="F1342" t="s">
        <v>30</v>
      </c>
      <c r="G1342" t="s">
        <v>31</v>
      </c>
      <c r="H1342" t="s">
        <v>32</v>
      </c>
      <c r="I1342">
        <v>4086.1140780000001</v>
      </c>
      <c r="J1342" t="s">
        <v>33</v>
      </c>
      <c r="K1342" t="s">
        <v>1856</v>
      </c>
      <c r="L1342" t="s">
        <v>21</v>
      </c>
      <c r="M1342" t="str">
        <f t="shared" si="60"/>
        <v>OK</v>
      </c>
      <c r="N1342" t="str">
        <f t="shared" si="61"/>
        <v>1960s</v>
      </c>
      <c r="O1342" t="str">
        <f t="shared" si="62"/>
        <v>N/A</v>
      </c>
      <c r="P1342" t="str">
        <f>VLOOKUP(E1342,calculated_fields!$F$4:$G$6,2,FALSE)</f>
        <v>Economy</v>
      </c>
    </row>
    <row r="1343" spans="1:16">
      <c r="A1343" t="s">
        <v>1859</v>
      </c>
      <c r="B1343" t="s">
        <v>1847</v>
      </c>
      <c r="C1343" t="s">
        <v>229</v>
      </c>
      <c r="D1343">
        <v>1967</v>
      </c>
      <c r="E1343" t="s">
        <v>15</v>
      </c>
      <c r="F1343" t="s">
        <v>16</v>
      </c>
      <c r="G1343" t="s">
        <v>17</v>
      </c>
      <c r="H1343" t="s">
        <v>18</v>
      </c>
      <c r="I1343">
        <v>56.677999999999997</v>
      </c>
      <c r="J1343" t="s">
        <v>19</v>
      </c>
      <c r="K1343" t="s">
        <v>1860</v>
      </c>
      <c r="L1343" t="s">
        <v>21</v>
      </c>
      <c r="M1343" t="str">
        <f t="shared" si="60"/>
        <v>OK</v>
      </c>
      <c r="N1343" t="str">
        <f t="shared" si="61"/>
        <v>1960s</v>
      </c>
      <c r="O1343" t="str">
        <f t="shared" si="62"/>
        <v>Medium</v>
      </c>
      <c r="P1343" t="str">
        <f>VLOOKUP(E1343,calculated_fields!$F$4:$G$6,2,FALSE)</f>
        <v>Health</v>
      </c>
    </row>
    <row r="1344" spans="1:16">
      <c r="A1344" t="s">
        <v>1861</v>
      </c>
      <c r="B1344" t="s">
        <v>1847</v>
      </c>
      <c r="C1344" t="s">
        <v>229</v>
      </c>
      <c r="D1344">
        <v>1967</v>
      </c>
      <c r="E1344" t="s">
        <v>23</v>
      </c>
      <c r="F1344" t="s">
        <v>24</v>
      </c>
      <c r="G1344" t="s">
        <v>25</v>
      </c>
      <c r="H1344" t="s">
        <v>26</v>
      </c>
      <c r="I1344">
        <v>5432424</v>
      </c>
      <c r="J1344" t="s">
        <v>27</v>
      </c>
      <c r="K1344" t="s">
        <v>1860</v>
      </c>
      <c r="L1344" t="s">
        <v>21</v>
      </c>
      <c r="M1344" t="str">
        <f t="shared" si="60"/>
        <v>OK</v>
      </c>
      <c r="N1344" t="str">
        <f t="shared" si="61"/>
        <v>1960s</v>
      </c>
      <c r="O1344" t="str">
        <f t="shared" si="62"/>
        <v>N/A</v>
      </c>
      <c r="P1344" t="str">
        <f>VLOOKUP(E1344,calculated_fields!$F$4:$G$6,2,FALSE)</f>
        <v>Demographics</v>
      </c>
    </row>
    <row r="1345" spans="1:16">
      <c r="A1345" t="s">
        <v>1862</v>
      </c>
      <c r="B1345" t="s">
        <v>1847</v>
      </c>
      <c r="C1345" t="s">
        <v>229</v>
      </c>
      <c r="D1345">
        <v>1967</v>
      </c>
      <c r="E1345" t="s">
        <v>29</v>
      </c>
      <c r="F1345" t="s">
        <v>30</v>
      </c>
      <c r="G1345" t="s">
        <v>31</v>
      </c>
      <c r="H1345" t="s">
        <v>32</v>
      </c>
      <c r="I1345">
        <v>4579.0742149999996</v>
      </c>
      <c r="J1345" t="s">
        <v>33</v>
      </c>
      <c r="K1345" t="s">
        <v>1860</v>
      </c>
      <c r="L1345" t="s">
        <v>21</v>
      </c>
      <c r="M1345" t="str">
        <f t="shared" si="60"/>
        <v>OK</v>
      </c>
      <c r="N1345" t="str">
        <f t="shared" si="61"/>
        <v>1960s</v>
      </c>
      <c r="O1345" t="str">
        <f t="shared" si="62"/>
        <v>N/A</v>
      </c>
      <c r="P1345" t="str">
        <f>VLOOKUP(E1345,calculated_fields!$F$4:$G$6,2,FALSE)</f>
        <v>Economy</v>
      </c>
    </row>
    <row r="1346" spans="1:16">
      <c r="A1346" t="s">
        <v>1863</v>
      </c>
      <c r="B1346" t="s">
        <v>1847</v>
      </c>
      <c r="C1346" t="s">
        <v>229</v>
      </c>
      <c r="D1346">
        <v>1972</v>
      </c>
      <c r="E1346" t="s">
        <v>15</v>
      </c>
      <c r="F1346" t="s">
        <v>16</v>
      </c>
      <c r="G1346" t="s">
        <v>17</v>
      </c>
      <c r="H1346" t="s">
        <v>18</v>
      </c>
      <c r="I1346">
        <v>58.795999999999999</v>
      </c>
      <c r="J1346" t="s">
        <v>19</v>
      </c>
      <c r="K1346" t="s">
        <v>1864</v>
      </c>
      <c r="L1346" t="s">
        <v>21</v>
      </c>
      <c r="M1346" t="str">
        <f t="shared" ref="M1346:M1409" si="63">IF(AND(ISNUMBER(I1346),I1346&gt;=0),"OK","Review")</f>
        <v>OK</v>
      </c>
      <c r="N1346" t="str">
        <f t="shared" ref="N1346:N1409" si="64">FLOOR(D1346,10)&amp;"s"</f>
        <v>1970s</v>
      </c>
      <c r="O1346" t="str">
        <f t="shared" ref="O1346:O1409" si="65">IF(E1346="LIFE_EXP",IF(I1346&gt;=70,"High",IF(I1346&gt;=55,"Medium","Low")),"N/A")</f>
        <v>Medium</v>
      </c>
      <c r="P1346" t="str">
        <f>VLOOKUP(E1346,calculated_fields!$F$4:$G$6,2,FALSE)</f>
        <v>Health</v>
      </c>
    </row>
    <row r="1347" spans="1:16">
      <c r="A1347" t="s">
        <v>1865</v>
      </c>
      <c r="B1347" t="s">
        <v>1847</v>
      </c>
      <c r="C1347" t="s">
        <v>229</v>
      </c>
      <c r="D1347">
        <v>1972</v>
      </c>
      <c r="E1347" t="s">
        <v>23</v>
      </c>
      <c r="F1347" t="s">
        <v>24</v>
      </c>
      <c r="G1347" t="s">
        <v>25</v>
      </c>
      <c r="H1347" t="s">
        <v>26</v>
      </c>
      <c r="I1347">
        <v>6298651</v>
      </c>
      <c r="J1347" t="s">
        <v>27</v>
      </c>
      <c r="K1347" t="s">
        <v>1864</v>
      </c>
      <c r="L1347" t="s">
        <v>21</v>
      </c>
      <c r="M1347" t="str">
        <f t="shared" si="63"/>
        <v>OK</v>
      </c>
      <c r="N1347" t="str">
        <f t="shared" si="64"/>
        <v>1970s</v>
      </c>
      <c r="O1347" t="str">
        <f t="shared" si="65"/>
        <v>N/A</v>
      </c>
      <c r="P1347" t="str">
        <f>VLOOKUP(E1347,calculated_fields!$F$4:$G$6,2,FALSE)</f>
        <v>Demographics</v>
      </c>
    </row>
    <row r="1348" spans="1:16">
      <c r="A1348" t="s">
        <v>1866</v>
      </c>
      <c r="B1348" t="s">
        <v>1847</v>
      </c>
      <c r="C1348" t="s">
        <v>229</v>
      </c>
      <c r="D1348">
        <v>1972</v>
      </c>
      <c r="E1348" t="s">
        <v>29</v>
      </c>
      <c r="F1348" t="s">
        <v>30</v>
      </c>
      <c r="G1348" t="s">
        <v>31</v>
      </c>
      <c r="H1348" t="s">
        <v>32</v>
      </c>
      <c r="I1348">
        <v>5280.9947099999999</v>
      </c>
      <c r="J1348" t="s">
        <v>33</v>
      </c>
      <c r="K1348" t="s">
        <v>1864</v>
      </c>
      <c r="L1348" t="s">
        <v>21</v>
      </c>
      <c r="M1348" t="str">
        <f t="shared" si="63"/>
        <v>OK</v>
      </c>
      <c r="N1348" t="str">
        <f t="shared" si="64"/>
        <v>1970s</v>
      </c>
      <c r="O1348" t="str">
        <f t="shared" si="65"/>
        <v>N/A</v>
      </c>
      <c r="P1348" t="str">
        <f>VLOOKUP(E1348,calculated_fields!$F$4:$G$6,2,FALSE)</f>
        <v>Economy</v>
      </c>
    </row>
    <row r="1349" spans="1:16">
      <c r="A1349" t="s">
        <v>1867</v>
      </c>
      <c r="B1349" t="s">
        <v>1847</v>
      </c>
      <c r="C1349" t="s">
        <v>229</v>
      </c>
      <c r="D1349">
        <v>1977</v>
      </c>
      <c r="E1349" t="s">
        <v>15</v>
      </c>
      <c r="F1349" t="s">
        <v>16</v>
      </c>
      <c r="G1349" t="s">
        <v>17</v>
      </c>
      <c r="H1349" t="s">
        <v>18</v>
      </c>
      <c r="I1349">
        <v>61.31</v>
      </c>
      <c r="J1349" t="s">
        <v>19</v>
      </c>
      <c r="K1349" t="s">
        <v>1868</v>
      </c>
      <c r="L1349" t="s">
        <v>21</v>
      </c>
      <c r="M1349" t="str">
        <f t="shared" si="63"/>
        <v>OK</v>
      </c>
      <c r="N1349" t="str">
        <f t="shared" si="64"/>
        <v>1970s</v>
      </c>
      <c r="O1349" t="str">
        <f t="shared" si="65"/>
        <v>Medium</v>
      </c>
      <c r="P1349" t="str">
        <f>VLOOKUP(E1349,calculated_fields!$F$4:$G$6,2,FALSE)</f>
        <v>Health</v>
      </c>
    </row>
    <row r="1350" spans="1:16">
      <c r="A1350" t="s">
        <v>1869</v>
      </c>
      <c r="B1350" t="s">
        <v>1847</v>
      </c>
      <c r="C1350" t="s">
        <v>229</v>
      </c>
      <c r="D1350">
        <v>1977</v>
      </c>
      <c r="E1350" t="s">
        <v>23</v>
      </c>
      <c r="F1350" t="s">
        <v>24</v>
      </c>
      <c r="G1350" t="s">
        <v>25</v>
      </c>
      <c r="H1350" t="s">
        <v>26</v>
      </c>
      <c r="I1350">
        <v>7278866</v>
      </c>
      <c r="J1350" t="s">
        <v>27</v>
      </c>
      <c r="K1350" t="s">
        <v>1868</v>
      </c>
      <c r="L1350" t="s">
        <v>21</v>
      </c>
      <c r="M1350" t="str">
        <f t="shared" si="63"/>
        <v>OK</v>
      </c>
      <c r="N1350" t="str">
        <f t="shared" si="64"/>
        <v>1970s</v>
      </c>
      <c r="O1350" t="str">
        <f t="shared" si="65"/>
        <v>N/A</v>
      </c>
      <c r="P1350" t="str">
        <f>VLOOKUP(E1350,calculated_fields!$F$4:$G$6,2,FALSE)</f>
        <v>Demographics</v>
      </c>
    </row>
    <row r="1351" spans="1:16">
      <c r="A1351" t="s">
        <v>1870</v>
      </c>
      <c r="B1351" t="s">
        <v>1847</v>
      </c>
      <c r="C1351" t="s">
        <v>229</v>
      </c>
      <c r="D1351">
        <v>1977</v>
      </c>
      <c r="E1351" t="s">
        <v>29</v>
      </c>
      <c r="F1351" t="s">
        <v>30</v>
      </c>
      <c r="G1351" t="s">
        <v>31</v>
      </c>
      <c r="H1351" t="s">
        <v>32</v>
      </c>
      <c r="I1351">
        <v>6679.6232600000003</v>
      </c>
      <c r="J1351" t="s">
        <v>33</v>
      </c>
      <c r="K1351" t="s">
        <v>1868</v>
      </c>
      <c r="L1351" t="s">
        <v>21</v>
      </c>
      <c r="M1351" t="str">
        <f t="shared" si="63"/>
        <v>OK</v>
      </c>
      <c r="N1351" t="str">
        <f t="shared" si="64"/>
        <v>1970s</v>
      </c>
      <c r="O1351" t="str">
        <f t="shared" si="65"/>
        <v>N/A</v>
      </c>
      <c r="P1351" t="str">
        <f>VLOOKUP(E1351,calculated_fields!$F$4:$G$6,2,FALSE)</f>
        <v>Economy</v>
      </c>
    </row>
    <row r="1352" spans="1:16">
      <c r="A1352" t="s">
        <v>1871</v>
      </c>
      <c r="B1352" t="s">
        <v>1847</v>
      </c>
      <c r="C1352" t="s">
        <v>229</v>
      </c>
      <c r="D1352">
        <v>1982</v>
      </c>
      <c r="E1352" t="s">
        <v>15</v>
      </c>
      <c r="F1352" t="s">
        <v>16</v>
      </c>
      <c r="G1352" t="s">
        <v>17</v>
      </c>
      <c r="H1352" t="s">
        <v>18</v>
      </c>
      <c r="I1352">
        <v>64.341999999999999</v>
      </c>
      <c r="J1352" t="s">
        <v>19</v>
      </c>
      <c r="K1352" t="s">
        <v>1872</v>
      </c>
      <c r="L1352" t="s">
        <v>21</v>
      </c>
      <c r="M1352" t="str">
        <f t="shared" si="63"/>
        <v>OK</v>
      </c>
      <c r="N1352" t="str">
        <f t="shared" si="64"/>
        <v>1980s</v>
      </c>
      <c r="O1352" t="str">
        <f t="shared" si="65"/>
        <v>Medium</v>
      </c>
      <c r="P1352" t="str">
        <f>VLOOKUP(E1352,calculated_fields!$F$4:$G$6,2,FALSE)</f>
        <v>Health</v>
      </c>
    </row>
    <row r="1353" spans="1:16">
      <c r="A1353" t="s">
        <v>1873</v>
      </c>
      <c r="B1353" t="s">
        <v>1847</v>
      </c>
      <c r="C1353" t="s">
        <v>229</v>
      </c>
      <c r="D1353">
        <v>1982</v>
      </c>
      <c r="E1353" t="s">
        <v>23</v>
      </c>
      <c r="F1353" t="s">
        <v>24</v>
      </c>
      <c r="G1353" t="s">
        <v>25</v>
      </c>
      <c r="H1353" t="s">
        <v>26</v>
      </c>
      <c r="I1353">
        <v>8365850</v>
      </c>
      <c r="J1353" t="s">
        <v>27</v>
      </c>
      <c r="K1353" t="s">
        <v>1872</v>
      </c>
      <c r="L1353" t="s">
        <v>21</v>
      </c>
      <c r="M1353" t="str">
        <f t="shared" si="63"/>
        <v>OK</v>
      </c>
      <c r="N1353" t="str">
        <f t="shared" si="64"/>
        <v>1980s</v>
      </c>
      <c r="O1353" t="str">
        <f t="shared" si="65"/>
        <v>N/A</v>
      </c>
      <c r="P1353" t="str">
        <f>VLOOKUP(E1353,calculated_fields!$F$4:$G$6,2,FALSE)</f>
        <v>Demographics</v>
      </c>
    </row>
    <row r="1354" spans="1:16">
      <c r="A1354" t="s">
        <v>1874</v>
      </c>
      <c r="B1354" t="s">
        <v>1847</v>
      </c>
      <c r="C1354" t="s">
        <v>229</v>
      </c>
      <c r="D1354">
        <v>1982</v>
      </c>
      <c r="E1354" t="s">
        <v>29</v>
      </c>
      <c r="F1354" t="s">
        <v>30</v>
      </c>
      <c r="G1354" t="s">
        <v>31</v>
      </c>
      <c r="H1354" t="s">
        <v>32</v>
      </c>
      <c r="I1354">
        <v>7213.7912669999996</v>
      </c>
      <c r="J1354" t="s">
        <v>33</v>
      </c>
      <c r="K1354" t="s">
        <v>1872</v>
      </c>
      <c r="L1354" t="s">
        <v>21</v>
      </c>
      <c r="M1354" t="str">
        <f t="shared" si="63"/>
        <v>OK</v>
      </c>
      <c r="N1354" t="str">
        <f t="shared" si="64"/>
        <v>1980s</v>
      </c>
      <c r="O1354" t="str">
        <f t="shared" si="65"/>
        <v>N/A</v>
      </c>
      <c r="P1354" t="str">
        <f>VLOOKUP(E1354,calculated_fields!$F$4:$G$6,2,FALSE)</f>
        <v>Economy</v>
      </c>
    </row>
    <row r="1355" spans="1:16">
      <c r="A1355" t="s">
        <v>1875</v>
      </c>
      <c r="B1355" t="s">
        <v>1847</v>
      </c>
      <c r="C1355" t="s">
        <v>229</v>
      </c>
      <c r="D1355">
        <v>1987</v>
      </c>
      <c r="E1355" t="s">
        <v>15</v>
      </c>
      <c r="F1355" t="s">
        <v>16</v>
      </c>
      <c r="G1355" t="s">
        <v>17</v>
      </c>
      <c r="H1355" t="s">
        <v>18</v>
      </c>
      <c r="I1355">
        <v>67.230999999999995</v>
      </c>
      <c r="J1355" t="s">
        <v>19</v>
      </c>
      <c r="K1355" t="s">
        <v>1876</v>
      </c>
      <c r="L1355" t="s">
        <v>21</v>
      </c>
      <c r="M1355" t="str">
        <f t="shared" si="63"/>
        <v>OK</v>
      </c>
      <c r="N1355" t="str">
        <f t="shared" si="64"/>
        <v>1980s</v>
      </c>
      <c r="O1355" t="str">
        <f t="shared" si="65"/>
        <v>Medium</v>
      </c>
      <c r="P1355" t="str">
        <f>VLOOKUP(E1355,calculated_fields!$F$4:$G$6,2,FALSE)</f>
        <v>Health</v>
      </c>
    </row>
    <row r="1356" spans="1:16">
      <c r="A1356" t="s">
        <v>1877</v>
      </c>
      <c r="B1356" t="s">
        <v>1847</v>
      </c>
      <c r="C1356" t="s">
        <v>229</v>
      </c>
      <c r="D1356">
        <v>1987</v>
      </c>
      <c r="E1356" t="s">
        <v>23</v>
      </c>
      <c r="F1356" t="s">
        <v>24</v>
      </c>
      <c r="G1356" t="s">
        <v>25</v>
      </c>
      <c r="H1356" t="s">
        <v>26</v>
      </c>
      <c r="I1356">
        <v>9545158</v>
      </c>
      <c r="J1356" t="s">
        <v>27</v>
      </c>
      <c r="K1356" t="s">
        <v>1876</v>
      </c>
      <c r="L1356" t="s">
        <v>21</v>
      </c>
      <c r="M1356" t="str">
        <f t="shared" si="63"/>
        <v>OK</v>
      </c>
      <c r="N1356" t="str">
        <f t="shared" si="64"/>
        <v>1980s</v>
      </c>
      <c r="O1356" t="str">
        <f t="shared" si="65"/>
        <v>N/A</v>
      </c>
      <c r="P1356" t="str">
        <f>VLOOKUP(E1356,calculated_fields!$F$4:$G$6,2,FALSE)</f>
        <v>Demographics</v>
      </c>
    </row>
    <row r="1357" spans="1:16">
      <c r="A1357" t="s">
        <v>1878</v>
      </c>
      <c r="B1357" t="s">
        <v>1847</v>
      </c>
      <c r="C1357" t="s">
        <v>229</v>
      </c>
      <c r="D1357">
        <v>1987</v>
      </c>
      <c r="E1357" t="s">
        <v>29</v>
      </c>
      <c r="F1357" t="s">
        <v>30</v>
      </c>
      <c r="G1357" t="s">
        <v>31</v>
      </c>
      <c r="H1357" t="s">
        <v>32</v>
      </c>
      <c r="I1357">
        <v>6481.7769930000004</v>
      </c>
      <c r="J1357" t="s">
        <v>33</v>
      </c>
      <c r="K1357" t="s">
        <v>1876</v>
      </c>
      <c r="L1357" t="s">
        <v>21</v>
      </c>
      <c r="M1357" t="str">
        <f t="shared" si="63"/>
        <v>OK</v>
      </c>
      <c r="N1357" t="str">
        <f t="shared" si="64"/>
        <v>1980s</v>
      </c>
      <c r="O1357" t="str">
        <f t="shared" si="65"/>
        <v>N/A</v>
      </c>
      <c r="P1357" t="str">
        <f>VLOOKUP(E1357,calculated_fields!$F$4:$G$6,2,FALSE)</f>
        <v>Economy</v>
      </c>
    </row>
    <row r="1358" spans="1:16">
      <c r="A1358" t="s">
        <v>1879</v>
      </c>
      <c r="B1358" t="s">
        <v>1847</v>
      </c>
      <c r="C1358" t="s">
        <v>229</v>
      </c>
      <c r="D1358">
        <v>1992</v>
      </c>
      <c r="E1358" t="s">
        <v>15</v>
      </c>
      <c r="F1358" t="s">
        <v>16</v>
      </c>
      <c r="G1358" t="s">
        <v>17</v>
      </c>
      <c r="H1358" t="s">
        <v>18</v>
      </c>
      <c r="I1358">
        <v>69.613</v>
      </c>
      <c r="J1358" t="s">
        <v>19</v>
      </c>
      <c r="K1358" t="s">
        <v>1880</v>
      </c>
      <c r="L1358" t="s">
        <v>21</v>
      </c>
      <c r="M1358" t="str">
        <f t="shared" si="63"/>
        <v>OK</v>
      </c>
      <c r="N1358" t="str">
        <f t="shared" si="64"/>
        <v>1990s</v>
      </c>
      <c r="O1358" t="str">
        <f t="shared" si="65"/>
        <v>Medium</v>
      </c>
      <c r="P1358" t="str">
        <f>VLOOKUP(E1358,calculated_fields!$F$4:$G$6,2,FALSE)</f>
        <v>Health</v>
      </c>
    </row>
    <row r="1359" spans="1:16">
      <c r="A1359" t="s">
        <v>1881</v>
      </c>
      <c r="B1359" t="s">
        <v>1847</v>
      </c>
      <c r="C1359" t="s">
        <v>229</v>
      </c>
      <c r="D1359">
        <v>1992</v>
      </c>
      <c r="E1359" t="s">
        <v>23</v>
      </c>
      <c r="F1359" t="s">
        <v>24</v>
      </c>
      <c r="G1359" t="s">
        <v>25</v>
      </c>
      <c r="H1359" t="s">
        <v>26</v>
      </c>
      <c r="I1359">
        <v>10748394</v>
      </c>
      <c r="J1359" t="s">
        <v>27</v>
      </c>
      <c r="K1359" t="s">
        <v>1880</v>
      </c>
      <c r="L1359" t="s">
        <v>21</v>
      </c>
      <c r="M1359" t="str">
        <f t="shared" si="63"/>
        <v>OK</v>
      </c>
      <c r="N1359" t="str">
        <f t="shared" si="64"/>
        <v>1990s</v>
      </c>
      <c r="O1359" t="str">
        <f t="shared" si="65"/>
        <v>N/A</v>
      </c>
      <c r="P1359" t="str">
        <f>VLOOKUP(E1359,calculated_fields!$F$4:$G$6,2,FALSE)</f>
        <v>Demographics</v>
      </c>
    </row>
    <row r="1360" spans="1:16">
      <c r="A1360" t="s">
        <v>1882</v>
      </c>
      <c r="B1360" t="s">
        <v>1847</v>
      </c>
      <c r="C1360" t="s">
        <v>229</v>
      </c>
      <c r="D1360">
        <v>1992</v>
      </c>
      <c r="E1360" t="s">
        <v>29</v>
      </c>
      <c r="F1360" t="s">
        <v>30</v>
      </c>
      <c r="G1360" t="s">
        <v>31</v>
      </c>
      <c r="H1360" t="s">
        <v>32</v>
      </c>
      <c r="I1360">
        <v>7103.7025949999997</v>
      </c>
      <c r="J1360" t="s">
        <v>33</v>
      </c>
      <c r="K1360" t="s">
        <v>1880</v>
      </c>
      <c r="L1360" t="s">
        <v>21</v>
      </c>
      <c r="M1360" t="str">
        <f t="shared" si="63"/>
        <v>OK</v>
      </c>
      <c r="N1360" t="str">
        <f t="shared" si="64"/>
        <v>1990s</v>
      </c>
      <c r="O1360" t="str">
        <f t="shared" si="65"/>
        <v>N/A</v>
      </c>
      <c r="P1360" t="str">
        <f>VLOOKUP(E1360,calculated_fields!$F$4:$G$6,2,FALSE)</f>
        <v>Economy</v>
      </c>
    </row>
    <row r="1361" spans="1:16">
      <c r="A1361" t="s">
        <v>1883</v>
      </c>
      <c r="B1361" t="s">
        <v>1847</v>
      </c>
      <c r="C1361" t="s">
        <v>229</v>
      </c>
      <c r="D1361">
        <v>1997</v>
      </c>
      <c r="E1361" t="s">
        <v>15</v>
      </c>
      <c r="F1361" t="s">
        <v>16</v>
      </c>
      <c r="G1361" t="s">
        <v>17</v>
      </c>
      <c r="H1361" t="s">
        <v>18</v>
      </c>
      <c r="I1361">
        <v>72.311999999999998</v>
      </c>
      <c r="J1361" t="s">
        <v>19</v>
      </c>
      <c r="K1361" t="s">
        <v>1884</v>
      </c>
      <c r="L1361" t="s">
        <v>21</v>
      </c>
      <c r="M1361" t="str">
        <f t="shared" si="63"/>
        <v>OK</v>
      </c>
      <c r="N1361" t="str">
        <f t="shared" si="64"/>
        <v>1990s</v>
      </c>
      <c r="O1361" t="str">
        <f t="shared" si="65"/>
        <v>High</v>
      </c>
      <c r="P1361" t="str">
        <f>VLOOKUP(E1361,calculated_fields!$F$4:$G$6,2,FALSE)</f>
        <v>Health</v>
      </c>
    </row>
    <row r="1362" spans="1:16">
      <c r="A1362" t="s">
        <v>1885</v>
      </c>
      <c r="B1362" t="s">
        <v>1847</v>
      </c>
      <c r="C1362" t="s">
        <v>229</v>
      </c>
      <c r="D1362">
        <v>1997</v>
      </c>
      <c r="E1362" t="s">
        <v>23</v>
      </c>
      <c r="F1362" t="s">
        <v>24</v>
      </c>
      <c r="G1362" t="s">
        <v>25</v>
      </c>
      <c r="H1362" t="s">
        <v>26</v>
      </c>
      <c r="I1362">
        <v>11911819</v>
      </c>
      <c r="J1362" t="s">
        <v>27</v>
      </c>
      <c r="K1362" t="s">
        <v>1884</v>
      </c>
      <c r="L1362" t="s">
        <v>21</v>
      </c>
      <c r="M1362" t="str">
        <f t="shared" si="63"/>
        <v>OK</v>
      </c>
      <c r="N1362" t="str">
        <f t="shared" si="64"/>
        <v>1990s</v>
      </c>
      <c r="O1362" t="str">
        <f t="shared" si="65"/>
        <v>N/A</v>
      </c>
      <c r="P1362" t="str">
        <f>VLOOKUP(E1362,calculated_fields!$F$4:$G$6,2,FALSE)</f>
        <v>Demographics</v>
      </c>
    </row>
    <row r="1363" spans="1:16">
      <c r="A1363" t="s">
        <v>1886</v>
      </c>
      <c r="B1363" t="s">
        <v>1847</v>
      </c>
      <c r="C1363" t="s">
        <v>229</v>
      </c>
      <c r="D1363">
        <v>1997</v>
      </c>
      <c r="E1363" t="s">
        <v>29</v>
      </c>
      <c r="F1363" t="s">
        <v>30</v>
      </c>
      <c r="G1363" t="s">
        <v>31</v>
      </c>
      <c r="H1363" t="s">
        <v>32</v>
      </c>
      <c r="I1363">
        <v>7429.4558769999903</v>
      </c>
      <c r="J1363" t="s">
        <v>33</v>
      </c>
      <c r="K1363" t="s">
        <v>1884</v>
      </c>
      <c r="L1363" t="s">
        <v>21</v>
      </c>
      <c r="M1363" t="str">
        <f t="shared" si="63"/>
        <v>OK</v>
      </c>
      <c r="N1363" t="str">
        <f t="shared" si="64"/>
        <v>1990s</v>
      </c>
      <c r="O1363" t="str">
        <f t="shared" si="65"/>
        <v>N/A</v>
      </c>
      <c r="P1363" t="str">
        <f>VLOOKUP(E1363,calculated_fields!$F$4:$G$6,2,FALSE)</f>
        <v>Economy</v>
      </c>
    </row>
    <row r="1364" spans="1:16">
      <c r="A1364" t="s">
        <v>1887</v>
      </c>
      <c r="B1364" t="s">
        <v>1847</v>
      </c>
      <c r="C1364" t="s">
        <v>229</v>
      </c>
      <c r="D1364">
        <v>2002</v>
      </c>
      <c r="E1364" t="s">
        <v>15</v>
      </c>
      <c r="F1364" t="s">
        <v>16</v>
      </c>
      <c r="G1364" t="s">
        <v>17</v>
      </c>
      <c r="H1364" t="s">
        <v>18</v>
      </c>
      <c r="I1364">
        <v>74.173000000000002</v>
      </c>
      <c r="J1364" t="s">
        <v>19</v>
      </c>
      <c r="K1364" t="s">
        <v>1888</v>
      </c>
      <c r="L1364" t="s">
        <v>21</v>
      </c>
      <c r="M1364" t="str">
        <f t="shared" si="63"/>
        <v>OK</v>
      </c>
      <c r="N1364" t="str">
        <f t="shared" si="64"/>
        <v>2000s</v>
      </c>
      <c r="O1364" t="str">
        <f t="shared" si="65"/>
        <v>High</v>
      </c>
      <c r="P1364" t="str">
        <f>VLOOKUP(E1364,calculated_fields!$F$4:$G$6,2,FALSE)</f>
        <v>Health</v>
      </c>
    </row>
    <row r="1365" spans="1:16">
      <c r="A1365" t="s">
        <v>1889</v>
      </c>
      <c r="B1365" t="s">
        <v>1847</v>
      </c>
      <c r="C1365" t="s">
        <v>229</v>
      </c>
      <c r="D1365">
        <v>2002</v>
      </c>
      <c r="E1365" t="s">
        <v>23</v>
      </c>
      <c r="F1365" t="s">
        <v>24</v>
      </c>
      <c r="G1365" t="s">
        <v>25</v>
      </c>
      <c r="H1365" t="s">
        <v>26</v>
      </c>
      <c r="I1365">
        <v>12921234</v>
      </c>
      <c r="J1365" t="s">
        <v>27</v>
      </c>
      <c r="K1365" t="s">
        <v>1888</v>
      </c>
      <c r="L1365" t="s">
        <v>21</v>
      </c>
      <c r="M1365" t="str">
        <f t="shared" si="63"/>
        <v>OK</v>
      </c>
      <c r="N1365" t="str">
        <f t="shared" si="64"/>
        <v>2000s</v>
      </c>
      <c r="O1365" t="str">
        <f t="shared" si="65"/>
        <v>N/A</v>
      </c>
      <c r="P1365" t="str">
        <f>VLOOKUP(E1365,calculated_fields!$F$4:$G$6,2,FALSE)</f>
        <v>Demographics</v>
      </c>
    </row>
    <row r="1366" spans="1:16">
      <c r="A1366" t="s">
        <v>1890</v>
      </c>
      <c r="B1366" t="s">
        <v>1847</v>
      </c>
      <c r="C1366" t="s">
        <v>229</v>
      </c>
      <c r="D1366">
        <v>2002</v>
      </c>
      <c r="E1366" t="s">
        <v>29</v>
      </c>
      <c r="F1366" t="s">
        <v>30</v>
      </c>
      <c r="G1366" t="s">
        <v>31</v>
      </c>
      <c r="H1366" t="s">
        <v>32</v>
      </c>
      <c r="I1366">
        <v>5773.0445120000004</v>
      </c>
      <c r="J1366" t="s">
        <v>33</v>
      </c>
      <c r="K1366" t="s">
        <v>1888</v>
      </c>
      <c r="L1366" t="s">
        <v>21</v>
      </c>
      <c r="M1366" t="str">
        <f t="shared" si="63"/>
        <v>OK</v>
      </c>
      <c r="N1366" t="str">
        <f t="shared" si="64"/>
        <v>2000s</v>
      </c>
      <c r="O1366" t="str">
        <f t="shared" si="65"/>
        <v>N/A</v>
      </c>
      <c r="P1366" t="str">
        <f>VLOOKUP(E1366,calculated_fields!$F$4:$G$6,2,FALSE)</f>
        <v>Economy</v>
      </c>
    </row>
    <row r="1367" spans="1:16">
      <c r="A1367" t="s">
        <v>1891</v>
      </c>
      <c r="B1367" t="s">
        <v>1847</v>
      </c>
      <c r="C1367" t="s">
        <v>229</v>
      </c>
      <c r="D1367">
        <v>2007</v>
      </c>
      <c r="E1367" t="s">
        <v>15</v>
      </c>
      <c r="F1367" t="s">
        <v>16</v>
      </c>
      <c r="G1367" t="s">
        <v>17</v>
      </c>
      <c r="H1367" t="s">
        <v>18</v>
      </c>
      <c r="I1367">
        <v>74.994</v>
      </c>
      <c r="J1367" t="s">
        <v>19</v>
      </c>
      <c r="K1367" t="s">
        <v>1892</v>
      </c>
      <c r="L1367" t="s">
        <v>21</v>
      </c>
      <c r="M1367" t="str">
        <f t="shared" si="63"/>
        <v>OK</v>
      </c>
      <c r="N1367" t="str">
        <f t="shared" si="64"/>
        <v>2000s</v>
      </c>
      <c r="O1367" t="str">
        <f t="shared" si="65"/>
        <v>High</v>
      </c>
      <c r="P1367" t="str">
        <f>VLOOKUP(E1367,calculated_fields!$F$4:$G$6,2,FALSE)</f>
        <v>Health</v>
      </c>
    </row>
    <row r="1368" spans="1:16">
      <c r="A1368" t="s">
        <v>1893</v>
      </c>
      <c r="B1368" t="s">
        <v>1847</v>
      </c>
      <c r="C1368" t="s">
        <v>229</v>
      </c>
      <c r="D1368">
        <v>2007</v>
      </c>
      <c r="E1368" t="s">
        <v>23</v>
      </c>
      <c r="F1368" t="s">
        <v>24</v>
      </c>
      <c r="G1368" t="s">
        <v>25</v>
      </c>
      <c r="H1368" t="s">
        <v>26</v>
      </c>
      <c r="I1368">
        <v>13755680</v>
      </c>
      <c r="J1368" t="s">
        <v>27</v>
      </c>
      <c r="K1368" t="s">
        <v>1892</v>
      </c>
      <c r="L1368" t="s">
        <v>21</v>
      </c>
      <c r="M1368" t="str">
        <f t="shared" si="63"/>
        <v>OK</v>
      </c>
      <c r="N1368" t="str">
        <f t="shared" si="64"/>
        <v>2000s</v>
      </c>
      <c r="O1368" t="str">
        <f t="shared" si="65"/>
        <v>N/A</v>
      </c>
      <c r="P1368" t="str">
        <f>VLOOKUP(E1368,calculated_fields!$F$4:$G$6,2,FALSE)</f>
        <v>Demographics</v>
      </c>
    </row>
    <row r="1369" spans="1:16">
      <c r="A1369" t="s">
        <v>1894</v>
      </c>
      <c r="B1369" t="s">
        <v>1847</v>
      </c>
      <c r="C1369" t="s">
        <v>229</v>
      </c>
      <c r="D1369">
        <v>2007</v>
      </c>
      <c r="E1369" t="s">
        <v>29</v>
      </c>
      <c r="F1369" t="s">
        <v>30</v>
      </c>
      <c r="G1369" t="s">
        <v>31</v>
      </c>
      <c r="H1369" t="s">
        <v>32</v>
      </c>
      <c r="I1369">
        <v>6873.262326</v>
      </c>
      <c r="J1369" t="s">
        <v>33</v>
      </c>
      <c r="K1369" t="s">
        <v>1892</v>
      </c>
      <c r="L1369" t="s">
        <v>21</v>
      </c>
      <c r="M1369" t="str">
        <f t="shared" si="63"/>
        <v>OK</v>
      </c>
      <c r="N1369" t="str">
        <f t="shared" si="64"/>
        <v>2000s</v>
      </c>
      <c r="O1369" t="str">
        <f t="shared" si="65"/>
        <v>N/A</v>
      </c>
      <c r="P1369" t="str">
        <f>VLOOKUP(E1369,calculated_fields!$F$4:$G$6,2,FALSE)</f>
        <v>Economy</v>
      </c>
    </row>
    <row r="1370" spans="1:16">
      <c r="A1370" t="s">
        <v>1895</v>
      </c>
      <c r="B1370" t="s">
        <v>1896</v>
      </c>
      <c r="C1370" t="s">
        <v>130</v>
      </c>
      <c r="D1370">
        <v>1952</v>
      </c>
      <c r="E1370" t="s">
        <v>15</v>
      </c>
      <c r="F1370" t="s">
        <v>16</v>
      </c>
      <c r="G1370" t="s">
        <v>17</v>
      </c>
      <c r="H1370" t="s">
        <v>18</v>
      </c>
      <c r="I1370">
        <v>41.893000000000001</v>
      </c>
      <c r="J1370" t="s">
        <v>19</v>
      </c>
      <c r="K1370" t="s">
        <v>1897</v>
      </c>
      <c r="L1370" t="s">
        <v>21</v>
      </c>
      <c r="M1370" t="str">
        <f t="shared" si="63"/>
        <v>OK</v>
      </c>
      <c r="N1370" t="str">
        <f t="shared" si="64"/>
        <v>1950s</v>
      </c>
      <c r="O1370" t="str">
        <f t="shared" si="65"/>
        <v>Low</v>
      </c>
      <c r="P1370" t="str">
        <f>VLOOKUP(E1370,calculated_fields!$F$4:$G$6,2,FALSE)</f>
        <v>Health</v>
      </c>
    </row>
    <row r="1371" spans="1:16">
      <c r="A1371" t="s">
        <v>1898</v>
      </c>
      <c r="B1371" t="s">
        <v>1896</v>
      </c>
      <c r="C1371" t="s">
        <v>130</v>
      </c>
      <c r="D1371">
        <v>1952</v>
      </c>
      <c r="E1371" t="s">
        <v>23</v>
      </c>
      <c r="F1371" t="s">
        <v>24</v>
      </c>
      <c r="G1371" t="s">
        <v>25</v>
      </c>
      <c r="H1371" t="s">
        <v>26</v>
      </c>
      <c r="I1371">
        <v>22223309</v>
      </c>
      <c r="J1371" t="s">
        <v>27</v>
      </c>
      <c r="K1371" t="s">
        <v>1897</v>
      </c>
      <c r="L1371" t="s">
        <v>21</v>
      </c>
      <c r="M1371" t="str">
        <f t="shared" si="63"/>
        <v>OK</v>
      </c>
      <c r="N1371" t="str">
        <f t="shared" si="64"/>
        <v>1950s</v>
      </c>
      <c r="O1371" t="str">
        <f t="shared" si="65"/>
        <v>N/A</v>
      </c>
      <c r="P1371" t="str">
        <f>VLOOKUP(E1371,calculated_fields!$F$4:$G$6,2,FALSE)</f>
        <v>Demographics</v>
      </c>
    </row>
    <row r="1372" spans="1:16">
      <c r="A1372" t="s">
        <v>1899</v>
      </c>
      <c r="B1372" t="s">
        <v>1896</v>
      </c>
      <c r="C1372" t="s">
        <v>130</v>
      </c>
      <c r="D1372">
        <v>1952</v>
      </c>
      <c r="E1372" t="s">
        <v>29</v>
      </c>
      <c r="F1372" t="s">
        <v>30</v>
      </c>
      <c r="G1372" t="s">
        <v>31</v>
      </c>
      <c r="H1372" t="s">
        <v>32</v>
      </c>
      <c r="I1372">
        <v>1418.822445</v>
      </c>
      <c r="J1372" t="s">
        <v>33</v>
      </c>
      <c r="K1372" t="s">
        <v>1897</v>
      </c>
      <c r="L1372" t="s">
        <v>21</v>
      </c>
      <c r="M1372" t="str">
        <f t="shared" si="63"/>
        <v>OK</v>
      </c>
      <c r="N1372" t="str">
        <f t="shared" si="64"/>
        <v>1950s</v>
      </c>
      <c r="O1372" t="str">
        <f t="shared" si="65"/>
        <v>N/A</v>
      </c>
      <c r="P1372" t="str">
        <f>VLOOKUP(E1372,calculated_fields!$F$4:$G$6,2,FALSE)</f>
        <v>Economy</v>
      </c>
    </row>
    <row r="1373" spans="1:16">
      <c r="A1373" t="s">
        <v>1900</v>
      </c>
      <c r="B1373" t="s">
        <v>1896</v>
      </c>
      <c r="C1373" t="s">
        <v>130</v>
      </c>
      <c r="D1373">
        <v>1957</v>
      </c>
      <c r="E1373" t="s">
        <v>15</v>
      </c>
      <c r="F1373" t="s">
        <v>16</v>
      </c>
      <c r="G1373" t="s">
        <v>17</v>
      </c>
      <c r="H1373" t="s">
        <v>18</v>
      </c>
      <c r="I1373">
        <v>44.444000000000003</v>
      </c>
      <c r="J1373" t="s">
        <v>19</v>
      </c>
      <c r="K1373" t="s">
        <v>1901</v>
      </c>
      <c r="L1373" t="s">
        <v>21</v>
      </c>
      <c r="M1373" t="str">
        <f t="shared" si="63"/>
        <v>OK</v>
      </c>
      <c r="N1373" t="str">
        <f t="shared" si="64"/>
        <v>1950s</v>
      </c>
      <c r="O1373" t="str">
        <f t="shared" si="65"/>
        <v>Low</v>
      </c>
      <c r="P1373" t="str">
        <f>VLOOKUP(E1373,calculated_fields!$F$4:$G$6,2,FALSE)</f>
        <v>Health</v>
      </c>
    </row>
    <row r="1374" spans="1:16">
      <c r="A1374" t="s">
        <v>1902</v>
      </c>
      <c r="B1374" t="s">
        <v>1896</v>
      </c>
      <c r="C1374" t="s">
        <v>130</v>
      </c>
      <c r="D1374">
        <v>1957</v>
      </c>
      <c r="E1374" t="s">
        <v>23</v>
      </c>
      <c r="F1374" t="s">
        <v>24</v>
      </c>
      <c r="G1374" t="s">
        <v>25</v>
      </c>
      <c r="H1374" t="s">
        <v>26</v>
      </c>
      <c r="I1374">
        <v>25009741</v>
      </c>
      <c r="J1374" t="s">
        <v>27</v>
      </c>
      <c r="K1374" t="s">
        <v>1901</v>
      </c>
      <c r="L1374" t="s">
        <v>21</v>
      </c>
      <c r="M1374" t="str">
        <f t="shared" si="63"/>
        <v>OK</v>
      </c>
      <c r="N1374" t="str">
        <f t="shared" si="64"/>
        <v>1950s</v>
      </c>
      <c r="O1374" t="str">
        <f t="shared" si="65"/>
        <v>N/A</v>
      </c>
      <c r="P1374" t="str">
        <f>VLOOKUP(E1374,calculated_fields!$F$4:$G$6,2,FALSE)</f>
        <v>Demographics</v>
      </c>
    </row>
    <row r="1375" spans="1:16">
      <c r="A1375" t="s">
        <v>1903</v>
      </c>
      <c r="B1375" t="s">
        <v>1896</v>
      </c>
      <c r="C1375" t="s">
        <v>130</v>
      </c>
      <c r="D1375">
        <v>1957</v>
      </c>
      <c r="E1375" t="s">
        <v>29</v>
      </c>
      <c r="F1375" t="s">
        <v>30</v>
      </c>
      <c r="G1375" t="s">
        <v>31</v>
      </c>
      <c r="H1375" t="s">
        <v>32</v>
      </c>
      <c r="I1375">
        <v>1458.915272</v>
      </c>
      <c r="J1375" t="s">
        <v>33</v>
      </c>
      <c r="K1375" t="s">
        <v>1901</v>
      </c>
      <c r="L1375" t="s">
        <v>21</v>
      </c>
      <c r="M1375" t="str">
        <f t="shared" si="63"/>
        <v>OK</v>
      </c>
      <c r="N1375" t="str">
        <f t="shared" si="64"/>
        <v>1950s</v>
      </c>
      <c r="O1375" t="str">
        <f t="shared" si="65"/>
        <v>N/A</v>
      </c>
      <c r="P1375" t="str">
        <f>VLOOKUP(E1375,calculated_fields!$F$4:$G$6,2,FALSE)</f>
        <v>Economy</v>
      </c>
    </row>
    <row r="1376" spans="1:16">
      <c r="A1376" t="s">
        <v>1904</v>
      </c>
      <c r="B1376" t="s">
        <v>1896</v>
      </c>
      <c r="C1376" t="s">
        <v>130</v>
      </c>
      <c r="D1376">
        <v>1962</v>
      </c>
      <c r="E1376" t="s">
        <v>15</v>
      </c>
      <c r="F1376" t="s">
        <v>16</v>
      </c>
      <c r="G1376" t="s">
        <v>17</v>
      </c>
      <c r="H1376" t="s">
        <v>18</v>
      </c>
      <c r="I1376">
        <v>46.991999999999997</v>
      </c>
      <c r="J1376" t="s">
        <v>19</v>
      </c>
      <c r="K1376" t="s">
        <v>1905</v>
      </c>
      <c r="L1376" t="s">
        <v>21</v>
      </c>
      <c r="M1376" t="str">
        <f t="shared" si="63"/>
        <v>OK</v>
      </c>
      <c r="N1376" t="str">
        <f t="shared" si="64"/>
        <v>1960s</v>
      </c>
      <c r="O1376" t="str">
        <f t="shared" si="65"/>
        <v>Low</v>
      </c>
      <c r="P1376" t="str">
        <f>VLOOKUP(E1376,calculated_fields!$F$4:$G$6,2,FALSE)</f>
        <v>Health</v>
      </c>
    </row>
    <row r="1377" spans="1:16">
      <c r="A1377" t="s">
        <v>1906</v>
      </c>
      <c r="B1377" t="s">
        <v>1896</v>
      </c>
      <c r="C1377" t="s">
        <v>130</v>
      </c>
      <c r="D1377">
        <v>1962</v>
      </c>
      <c r="E1377" t="s">
        <v>23</v>
      </c>
      <c r="F1377" t="s">
        <v>24</v>
      </c>
      <c r="G1377" t="s">
        <v>25</v>
      </c>
      <c r="H1377" t="s">
        <v>26</v>
      </c>
      <c r="I1377">
        <v>28173309</v>
      </c>
      <c r="J1377" t="s">
        <v>27</v>
      </c>
      <c r="K1377" t="s">
        <v>1905</v>
      </c>
      <c r="L1377" t="s">
        <v>21</v>
      </c>
      <c r="M1377" t="str">
        <f t="shared" si="63"/>
        <v>OK</v>
      </c>
      <c r="N1377" t="str">
        <f t="shared" si="64"/>
        <v>1960s</v>
      </c>
      <c r="O1377" t="str">
        <f t="shared" si="65"/>
        <v>N/A</v>
      </c>
      <c r="P1377" t="str">
        <f>VLOOKUP(E1377,calculated_fields!$F$4:$G$6,2,FALSE)</f>
        <v>Demographics</v>
      </c>
    </row>
    <row r="1378" spans="1:16">
      <c r="A1378" t="s">
        <v>1907</v>
      </c>
      <c r="B1378" t="s">
        <v>1896</v>
      </c>
      <c r="C1378" t="s">
        <v>130</v>
      </c>
      <c r="D1378">
        <v>1962</v>
      </c>
      <c r="E1378" t="s">
        <v>29</v>
      </c>
      <c r="F1378" t="s">
        <v>30</v>
      </c>
      <c r="G1378" t="s">
        <v>31</v>
      </c>
      <c r="H1378" t="s">
        <v>32</v>
      </c>
      <c r="I1378">
        <v>1693.335853</v>
      </c>
      <c r="J1378" t="s">
        <v>33</v>
      </c>
      <c r="K1378" t="s">
        <v>1905</v>
      </c>
      <c r="L1378" t="s">
        <v>21</v>
      </c>
      <c r="M1378" t="str">
        <f t="shared" si="63"/>
        <v>OK</v>
      </c>
      <c r="N1378" t="str">
        <f t="shared" si="64"/>
        <v>1960s</v>
      </c>
      <c r="O1378" t="str">
        <f t="shared" si="65"/>
        <v>N/A</v>
      </c>
      <c r="P1378" t="str">
        <f>VLOOKUP(E1378,calculated_fields!$F$4:$G$6,2,FALSE)</f>
        <v>Economy</v>
      </c>
    </row>
    <row r="1379" spans="1:16">
      <c r="A1379" t="s">
        <v>1908</v>
      </c>
      <c r="B1379" t="s">
        <v>1896</v>
      </c>
      <c r="C1379" t="s">
        <v>130</v>
      </c>
      <c r="D1379">
        <v>1967</v>
      </c>
      <c r="E1379" t="s">
        <v>15</v>
      </c>
      <c r="F1379" t="s">
        <v>16</v>
      </c>
      <c r="G1379" t="s">
        <v>17</v>
      </c>
      <c r="H1379" t="s">
        <v>18</v>
      </c>
      <c r="I1379">
        <v>49.292999999999999</v>
      </c>
      <c r="J1379" t="s">
        <v>19</v>
      </c>
      <c r="K1379" t="s">
        <v>1909</v>
      </c>
      <c r="L1379" t="s">
        <v>21</v>
      </c>
      <c r="M1379" t="str">
        <f t="shared" si="63"/>
        <v>OK</v>
      </c>
      <c r="N1379" t="str">
        <f t="shared" si="64"/>
        <v>1960s</v>
      </c>
      <c r="O1379" t="str">
        <f t="shared" si="65"/>
        <v>Low</v>
      </c>
      <c r="P1379" t="str">
        <f>VLOOKUP(E1379,calculated_fields!$F$4:$G$6,2,FALSE)</f>
        <v>Health</v>
      </c>
    </row>
    <row r="1380" spans="1:16">
      <c r="A1380" t="s">
        <v>1910</v>
      </c>
      <c r="B1380" t="s">
        <v>1896</v>
      </c>
      <c r="C1380" t="s">
        <v>130</v>
      </c>
      <c r="D1380">
        <v>1967</v>
      </c>
      <c r="E1380" t="s">
        <v>23</v>
      </c>
      <c r="F1380" t="s">
        <v>24</v>
      </c>
      <c r="G1380" t="s">
        <v>25</v>
      </c>
      <c r="H1380" t="s">
        <v>26</v>
      </c>
      <c r="I1380">
        <v>31681188</v>
      </c>
      <c r="J1380" t="s">
        <v>27</v>
      </c>
      <c r="K1380" t="s">
        <v>1909</v>
      </c>
      <c r="L1380" t="s">
        <v>21</v>
      </c>
      <c r="M1380" t="str">
        <f t="shared" si="63"/>
        <v>OK</v>
      </c>
      <c r="N1380" t="str">
        <f t="shared" si="64"/>
        <v>1960s</v>
      </c>
      <c r="O1380" t="str">
        <f t="shared" si="65"/>
        <v>N/A</v>
      </c>
      <c r="P1380" t="str">
        <f>VLOOKUP(E1380,calculated_fields!$F$4:$G$6,2,FALSE)</f>
        <v>Demographics</v>
      </c>
    </row>
    <row r="1381" spans="1:16">
      <c r="A1381" t="s">
        <v>1911</v>
      </c>
      <c r="B1381" t="s">
        <v>1896</v>
      </c>
      <c r="C1381" t="s">
        <v>130</v>
      </c>
      <c r="D1381">
        <v>1967</v>
      </c>
      <c r="E1381" t="s">
        <v>29</v>
      </c>
      <c r="F1381" t="s">
        <v>30</v>
      </c>
      <c r="G1381" t="s">
        <v>31</v>
      </c>
      <c r="H1381" t="s">
        <v>32</v>
      </c>
      <c r="I1381">
        <v>1814.8807280000001</v>
      </c>
      <c r="J1381" t="s">
        <v>33</v>
      </c>
      <c r="K1381" t="s">
        <v>1909</v>
      </c>
      <c r="L1381" t="s">
        <v>21</v>
      </c>
      <c r="M1381" t="str">
        <f t="shared" si="63"/>
        <v>OK</v>
      </c>
      <c r="N1381" t="str">
        <f t="shared" si="64"/>
        <v>1960s</v>
      </c>
      <c r="O1381" t="str">
        <f t="shared" si="65"/>
        <v>N/A</v>
      </c>
      <c r="P1381" t="str">
        <f>VLOOKUP(E1381,calculated_fields!$F$4:$G$6,2,FALSE)</f>
        <v>Economy</v>
      </c>
    </row>
    <row r="1382" spans="1:16">
      <c r="A1382" t="s">
        <v>1912</v>
      </c>
      <c r="B1382" t="s">
        <v>1896</v>
      </c>
      <c r="C1382" t="s">
        <v>130</v>
      </c>
      <c r="D1382">
        <v>1972</v>
      </c>
      <c r="E1382" t="s">
        <v>15</v>
      </c>
      <c r="F1382" t="s">
        <v>16</v>
      </c>
      <c r="G1382" t="s">
        <v>17</v>
      </c>
      <c r="H1382" t="s">
        <v>18</v>
      </c>
      <c r="I1382">
        <v>51.137</v>
      </c>
      <c r="J1382" t="s">
        <v>19</v>
      </c>
      <c r="K1382" t="s">
        <v>1913</v>
      </c>
      <c r="L1382" t="s">
        <v>21</v>
      </c>
      <c r="M1382" t="str">
        <f t="shared" si="63"/>
        <v>OK</v>
      </c>
      <c r="N1382" t="str">
        <f t="shared" si="64"/>
        <v>1970s</v>
      </c>
      <c r="O1382" t="str">
        <f t="shared" si="65"/>
        <v>Low</v>
      </c>
      <c r="P1382" t="str">
        <f>VLOOKUP(E1382,calculated_fields!$F$4:$G$6,2,FALSE)</f>
        <v>Health</v>
      </c>
    </row>
    <row r="1383" spans="1:16">
      <c r="A1383" t="s">
        <v>1914</v>
      </c>
      <c r="B1383" t="s">
        <v>1896</v>
      </c>
      <c r="C1383" t="s">
        <v>130</v>
      </c>
      <c r="D1383">
        <v>1972</v>
      </c>
      <c r="E1383" t="s">
        <v>23</v>
      </c>
      <c r="F1383" t="s">
        <v>24</v>
      </c>
      <c r="G1383" t="s">
        <v>25</v>
      </c>
      <c r="H1383" t="s">
        <v>26</v>
      </c>
      <c r="I1383">
        <v>34807417</v>
      </c>
      <c r="J1383" t="s">
        <v>27</v>
      </c>
      <c r="K1383" t="s">
        <v>1913</v>
      </c>
      <c r="L1383" t="s">
        <v>21</v>
      </c>
      <c r="M1383" t="str">
        <f t="shared" si="63"/>
        <v>OK</v>
      </c>
      <c r="N1383" t="str">
        <f t="shared" si="64"/>
        <v>1970s</v>
      </c>
      <c r="O1383" t="str">
        <f t="shared" si="65"/>
        <v>N/A</v>
      </c>
      <c r="P1383" t="str">
        <f>VLOOKUP(E1383,calculated_fields!$F$4:$G$6,2,FALSE)</f>
        <v>Demographics</v>
      </c>
    </row>
    <row r="1384" spans="1:16">
      <c r="A1384" t="s">
        <v>1915</v>
      </c>
      <c r="B1384" t="s">
        <v>1896</v>
      </c>
      <c r="C1384" t="s">
        <v>130</v>
      </c>
      <c r="D1384">
        <v>1972</v>
      </c>
      <c r="E1384" t="s">
        <v>29</v>
      </c>
      <c r="F1384" t="s">
        <v>30</v>
      </c>
      <c r="G1384" t="s">
        <v>31</v>
      </c>
      <c r="H1384" t="s">
        <v>32</v>
      </c>
      <c r="I1384">
        <v>2024.008147</v>
      </c>
      <c r="J1384" t="s">
        <v>33</v>
      </c>
      <c r="K1384" t="s">
        <v>1913</v>
      </c>
      <c r="L1384" t="s">
        <v>21</v>
      </c>
      <c r="M1384" t="str">
        <f t="shared" si="63"/>
        <v>OK</v>
      </c>
      <c r="N1384" t="str">
        <f t="shared" si="64"/>
        <v>1970s</v>
      </c>
      <c r="O1384" t="str">
        <f t="shared" si="65"/>
        <v>N/A</v>
      </c>
      <c r="P1384" t="str">
        <f>VLOOKUP(E1384,calculated_fields!$F$4:$G$6,2,FALSE)</f>
        <v>Economy</v>
      </c>
    </row>
    <row r="1385" spans="1:16">
      <c r="A1385" t="s">
        <v>1916</v>
      </c>
      <c r="B1385" t="s">
        <v>1896</v>
      </c>
      <c r="C1385" t="s">
        <v>130</v>
      </c>
      <c r="D1385">
        <v>1977</v>
      </c>
      <c r="E1385" t="s">
        <v>15</v>
      </c>
      <c r="F1385" t="s">
        <v>16</v>
      </c>
      <c r="G1385" t="s">
        <v>17</v>
      </c>
      <c r="H1385" t="s">
        <v>18</v>
      </c>
      <c r="I1385">
        <v>53.319000000000003</v>
      </c>
      <c r="J1385" t="s">
        <v>19</v>
      </c>
      <c r="K1385" t="s">
        <v>1917</v>
      </c>
      <c r="L1385" t="s">
        <v>21</v>
      </c>
      <c r="M1385" t="str">
        <f t="shared" si="63"/>
        <v>OK</v>
      </c>
      <c r="N1385" t="str">
        <f t="shared" si="64"/>
        <v>1970s</v>
      </c>
      <c r="O1385" t="str">
        <f t="shared" si="65"/>
        <v>Low</v>
      </c>
      <c r="P1385" t="str">
        <f>VLOOKUP(E1385,calculated_fields!$F$4:$G$6,2,FALSE)</f>
        <v>Health</v>
      </c>
    </row>
    <row r="1386" spans="1:16">
      <c r="A1386" t="s">
        <v>1918</v>
      </c>
      <c r="B1386" t="s">
        <v>1896</v>
      </c>
      <c r="C1386" t="s">
        <v>130</v>
      </c>
      <c r="D1386">
        <v>1977</v>
      </c>
      <c r="E1386" t="s">
        <v>23</v>
      </c>
      <c r="F1386" t="s">
        <v>24</v>
      </c>
      <c r="G1386" t="s">
        <v>25</v>
      </c>
      <c r="H1386" t="s">
        <v>26</v>
      </c>
      <c r="I1386">
        <v>38783863</v>
      </c>
      <c r="J1386" t="s">
        <v>27</v>
      </c>
      <c r="K1386" t="s">
        <v>1917</v>
      </c>
      <c r="L1386" t="s">
        <v>21</v>
      </c>
      <c r="M1386" t="str">
        <f t="shared" si="63"/>
        <v>OK</v>
      </c>
      <c r="N1386" t="str">
        <f t="shared" si="64"/>
        <v>1970s</v>
      </c>
      <c r="O1386" t="str">
        <f t="shared" si="65"/>
        <v>N/A</v>
      </c>
      <c r="P1386" t="str">
        <f>VLOOKUP(E1386,calculated_fields!$F$4:$G$6,2,FALSE)</f>
        <v>Demographics</v>
      </c>
    </row>
    <row r="1387" spans="1:16">
      <c r="A1387" t="s">
        <v>1919</v>
      </c>
      <c r="B1387" t="s">
        <v>1896</v>
      </c>
      <c r="C1387" t="s">
        <v>130</v>
      </c>
      <c r="D1387">
        <v>1977</v>
      </c>
      <c r="E1387" t="s">
        <v>29</v>
      </c>
      <c r="F1387" t="s">
        <v>30</v>
      </c>
      <c r="G1387" t="s">
        <v>31</v>
      </c>
      <c r="H1387" t="s">
        <v>32</v>
      </c>
      <c r="I1387">
        <v>2785.4935820000001</v>
      </c>
      <c r="J1387" t="s">
        <v>33</v>
      </c>
      <c r="K1387" t="s">
        <v>1917</v>
      </c>
      <c r="L1387" t="s">
        <v>21</v>
      </c>
      <c r="M1387" t="str">
        <f t="shared" si="63"/>
        <v>OK</v>
      </c>
      <c r="N1387" t="str">
        <f t="shared" si="64"/>
        <v>1970s</v>
      </c>
      <c r="O1387" t="str">
        <f t="shared" si="65"/>
        <v>N/A</v>
      </c>
      <c r="P1387" t="str">
        <f>VLOOKUP(E1387,calculated_fields!$F$4:$G$6,2,FALSE)</f>
        <v>Economy</v>
      </c>
    </row>
    <row r="1388" spans="1:16">
      <c r="A1388" t="s">
        <v>1920</v>
      </c>
      <c r="B1388" t="s">
        <v>1896</v>
      </c>
      <c r="C1388" t="s">
        <v>130</v>
      </c>
      <c r="D1388">
        <v>1982</v>
      </c>
      <c r="E1388" t="s">
        <v>15</v>
      </c>
      <c r="F1388" t="s">
        <v>16</v>
      </c>
      <c r="G1388" t="s">
        <v>17</v>
      </c>
      <c r="H1388" t="s">
        <v>18</v>
      </c>
      <c r="I1388">
        <v>56.006</v>
      </c>
      <c r="J1388" t="s">
        <v>19</v>
      </c>
      <c r="K1388" t="s">
        <v>1921</v>
      </c>
      <c r="L1388" t="s">
        <v>21</v>
      </c>
      <c r="M1388" t="str">
        <f t="shared" si="63"/>
        <v>OK</v>
      </c>
      <c r="N1388" t="str">
        <f t="shared" si="64"/>
        <v>1980s</v>
      </c>
      <c r="O1388" t="str">
        <f t="shared" si="65"/>
        <v>Medium</v>
      </c>
      <c r="P1388" t="str">
        <f>VLOOKUP(E1388,calculated_fields!$F$4:$G$6,2,FALSE)</f>
        <v>Health</v>
      </c>
    </row>
    <row r="1389" spans="1:16">
      <c r="A1389" t="s">
        <v>1922</v>
      </c>
      <c r="B1389" t="s">
        <v>1896</v>
      </c>
      <c r="C1389" t="s">
        <v>130</v>
      </c>
      <c r="D1389">
        <v>1982</v>
      </c>
      <c r="E1389" t="s">
        <v>23</v>
      </c>
      <c r="F1389" t="s">
        <v>24</v>
      </c>
      <c r="G1389" t="s">
        <v>25</v>
      </c>
      <c r="H1389" t="s">
        <v>26</v>
      </c>
      <c r="I1389">
        <v>45681811</v>
      </c>
      <c r="J1389" t="s">
        <v>27</v>
      </c>
      <c r="K1389" t="s">
        <v>1921</v>
      </c>
      <c r="L1389" t="s">
        <v>21</v>
      </c>
      <c r="M1389" t="str">
        <f t="shared" si="63"/>
        <v>OK</v>
      </c>
      <c r="N1389" t="str">
        <f t="shared" si="64"/>
        <v>1980s</v>
      </c>
      <c r="O1389" t="str">
        <f t="shared" si="65"/>
        <v>N/A</v>
      </c>
      <c r="P1389" t="str">
        <f>VLOOKUP(E1389,calculated_fields!$F$4:$G$6,2,FALSE)</f>
        <v>Demographics</v>
      </c>
    </row>
    <row r="1390" spans="1:16">
      <c r="A1390" t="s">
        <v>1923</v>
      </c>
      <c r="B1390" t="s">
        <v>1896</v>
      </c>
      <c r="C1390" t="s">
        <v>130</v>
      </c>
      <c r="D1390">
        <v>1982</v>
      </c>
      <c r="E1390" t="s">
        <v>29</v>
      </c>
      <c r="F1390" t="s">
        <v>30</v>
      </c>
      <c r="G1390" t="s">
        <v>31</v>
      </c>
      <c r="H1390" t="s">
        <v>32</v>
      </c>
      <c r="I1390">
        <v>3503.729636</v>
      </c>
      <c r="J1390" t="s">
        <v>33</v>
      </c>
      <c r="K1390" t="s">
        <v>1921</v>
      </c>
      <c r="L1390" t="s">
        <v>21</v>
      </c>
      <c r="M1390" t="str">
        <f t="shared" si="63"/>
        <v>OK</v>
      </c>
      <c r="N1390" t="str">
        <f t="shared" si="64"/>
        <v>1980s</v>
      </c>
      <c r="O1390" t="str">
        <f t="shared" si="65"/>
        <v>N/A</v>
      </c>
      <c r="P1390" t="str">
        <f>VLOOKUP(E1390,calculated_fields!$F$4:$G$6,2,FALSE)</f>
        <v>Economy</v>
      </c>
    </row>
    <row r="1391" spans="1:16">
      <c r="A1391" t="s">
        <v>1924</v>
      </c>
      <c r="B1391" t="s">
        <v>1896</v>
      </c>
      <c r="C1391" t="s">
        <v>130</v>
      </c>
      <c r="D1391">
        <v>1987</v>
      </c>
      <c r="E1391" t="s">
        <v>15</v>
      </c>
      <c r="F1391" t="s">
        <v>16</v>
      </c>
      <c r="G1391" t="s">
        <v>17</v>
      </c>
      <c r="H1391" t="s">
        <v>18</v>
      </c>
      <c r="I1391">
        <v>59.796999999999997</v>
      </c>
      <c r="J1391" t="s">
        <v>19</v>
      </c>
      <c r="K1391" t="s">
        <v>1925</v>
      </c>
      <c r="L1391" t="s">
        <v>21</v>
      </c>
      <c r="M1391" t="str">
        <f t="shared" si="63"/>
        <v>OK</v>
      </c>
      <c r="N1391" t="str">
        <f t="shared" si="64"/>
        <v>1980s</v>
      </c>
      <c r="O1391" t="str">
        <f t="shared" si="65"/>
        <v>Medium</v>
      </c>
      <c r="P1391" t="str">
        <f>VLOOKUP(E1391,calculated_fields!$F$4:$G$6,2,FALSE)</f>
        <v>Health</v>
      </c>
    </row>
    <row r="1392" spans="1:16">
      <c r="A1392" t="s">
        <v>1926</v>
      </c>
      <c r="B1392" t="s">
        <v>1896</v>
      </c>
      <c r="C1392" t="s">
        <v>130</v>
      </c>
      <c r="D1392">
        <v>1987</v>
      </c>
      <c r="E1392" t="s">
        <v>23</v>
      </c>
      <c r="F1392" t="s">
        <v>24</v>
      </c>
      <c r="G1392" t="s">
        <v>25</v>
      </c>
      <c r="H1392" t="s">
        <v>26</v>
      </c>
      <c r="I1392">
        <v>52799062</v>
      </c>
      <c r="J1392" t="s">
        <v>27</v>
      </c>
      <c r="K1392" t="s">
        <v>1925</v>
      </c>
      <c r="L1392" t="s">
        <v>21</v>
      </c>
      <c r="M1392" t="str">
        <f t="shared" si="63"/>
        <v>OK</v>
      </c>
      <c r="N1392" t="str">
        <f t="shared" si="64"/>
        <v>1980s</v>
      </c>
      <c r="O1392" t="str">
        <f t="shared" si="65"/>
        <v>N/A</v>
      </c>
      <c r="P1392" t="str">
        <f>VLOOKUP(E1392,calculated_fields!$F$4:$G$6,2,FALSE)</f>
        <v>Demographics</v>
      </c>
    </row>
    <row r="1393" spans="1:16">
      <c r="A1393" t="s">
        <v>1927</v>
      </c>
      <c r="B1393" t="s">
        <v>1896</v>
      </c>
      <c r="C1393" t="s">
        <v>130</v>
      </c>
      <c r="D1393">
        <v>1987</v>
      </c>
      <c r="E1393" t="s">
        <v>29</v>
      </c>
      <c r="F1393" t="s">
        <v>30</v>
      </c>
      <c r="G1393" t="s">
        <v>31</v>
      </c>
      <c r="H1393" t="s">
        <v>32</v>
      </c>
      <c r="I1393">
        <v>3885.4607099999998</v>
      </c>
      <c r="J1393" t="s">
        <v>33</v>
      </c>
      <c r="K1393" t="s">
        <v>1925</v>
      </c>
      <c r="L1393" t="s">
        <v>21</v>
      </c>
      <c r="M1393" t="str">
        <f t="shared" si="63"/>
        <v>OK</v>
      </c>
      <c r="N1393" t="str">
        <f t="shared" si="64"/>
        <v>1980s</v>
      </c>
      <c r="O1393" t="str">
        <f t="shared" si="65"/>
        <v>N/A</v>
      </c>
      <c r="P1393" t="str">
        <f>VLOOKUP(E1393,calculated_fields!$F$4:$G$6,2,FALSE)</f>
        <v>Economy</v>
      </c>
    </row>
    <row r="1394" spans="1:16">
      <c r="A1394" t="s">
        <v>1928</v>
      </c>
      <c r="B1394" t="s">
        <v>1896</v>
      </c>
      <c r="C1394" t="s">
        <v>130</v>
      </c>
      <c r="D1394">
        <v>1992</v>
      </c>
      <c r="E1394" t="s">
        <v>15</v>
      </c>
      <c r="F1394" t="s">
        <v>16</v>
      </c>
      <c r="G1394" t="s">
        <v>17</v>
      </c>
      <c r="H1394" t="s">
        <v>18</v>
      </c>
      <c r="I1394">
        <v>63.673999999999999</v>
      </c>
      <c r="J1394" t="s">
        <v>19</v>
      </c>
      <c r="K1394" t="s">
        <v>1929</v>
      </c>
      <c r="L1394" t="s">
        <v>21</v>
      </c>
      <c r="M1394" t="str">
        <f t="shared" si="63"/>
        <v>OK</v>
      </c>
      <c r="N1394" t="str">
        <f t="shared" si="64"/>
        <v>1990s</v>
      </c>
      <c r="O1394" t="str">
        <f t="shared" si="65"/>
        <v>Medium</v>
      </c>
      <c r="P1394" t="str">
        <f>VLOOKUP(E1394,calculated_fields!$F$4:$G$6,2,FALSE)</f>
        <v>Health</v>
      </c>
    </row>
    <row r="1395" spans="1:16">
      <c r="A1395" t="s">
        <v>1930</v>
      </c>
      <c r="B1395" t="s">
        <v>1896</v>
      </c>
      <c r="C1395" t="s">
        <v>130</v>
      </c>
      <c r="D1395">
        <v>1992</v>
      </c>
      <c r="E1395" t="s">
        <v>23</v>
      </c>
      <c r="F1395" t="s">
        <v>24</v>
      </c>
      <c r="G1395" t="s">
        <v>25</v>
      </c>
      <c r="H1395" t="s">
        <v>26</v>
      </c>
      <c r="I1395">
        <v>59402198</v>
      </c>
      <c r="J1395" t="s">
        <v>27</v>
      </c>
      <c r="K1395" t="s">
        <v>1929</v>
      </c>
      <c r="L1395" t="s">
        <v>21</v>
      </c>
      <c r="M1395" t="str">
        <f t="shared" si="63"/>
        <v>OK</v>
      </c>
      <c r="N1395" t="str">
        <f t="shared" si="64"/>
        <v>1990s</v>
      </c>
      <c r="O1395" t="str">
        <f t="shared" si="65"/>
        <v>N/A</v>
      </c>
      <c r="P1395" t="str">
        <f>VLOOKUP(E1395,calculated_fields!$F$4:$G$6,2,FALSE)</f>
        <v>Demographics</v>
      </c>
    </row>
    <row r="1396" spans="1:16">
      <c r="A1396" t="s">
        <v>1931</v>
      </c>
      <c r="B1396" t="s">
        <v>1896</v>
      </c>
      <c r="C1396" t="s">
        <v>130</v>
      </c>
      <c r="D1396">
        <v>1992</v>
      </c>
      <c r="E1396" t="s">
        <v>29</v>
      </c>
      <c r="F1396" t="s">
        <v>30</v>
      </c>
      <c r="G1396" t="s">
        <v>31</v>
      </c>
      <c r="H1396" t="s">
        <v>32</v>
      </c>
      <c r="I1396">
        <v>3794.7551950000002</v>
      </c>
      <c r="J1396" t="s">
        <v>33</v>
      </c>
      <c r="K1396" t="s">
        <v>1929</v>
      </c>
      <c r="L1396" t="s">
        <v>21</v>
      </c>
      <c r="M1396" t="str">
        <f t="shared" si="63"/>
        <v>OK</v>
      </c>
      <c r="N1396" t="str">
        <f t="shared" si="64"/>
        <v>1990s</v>
      </c>
      <c r="O1396" t="str">
        <f t="shared" si="65"/>
        <v>N/A</v>
      </c>
      <c r="P1396" t="str">
        <f>VLOOKUP(E1396,calculated_fields!$F$4:$G$6,2,FALSE)</f>
        <v>Economy</v>
      </c>
    </row>
    <row r="1397" spans="1:16">
      <c r="A1397" t="s">
        <v>1932</v>
      </c>
      <c r="B1397" t="s">
        <v>1896</v>
      </c>
      <c r="C1397" t="s">
        <v>130</v>
      </c>
      <c r="D1397">
        <v>1997</v>
      </c>
      <c r="E1397" t="s">
        <v>15</v>
      </c>
      <c r="F1397" t="s">
        <v>16</v>
      </c>
      <c r="G1397" t="s">
        <v>17</v>
      </c>
      <c r="H1397" t="s">
        <v>18</v>
      </c>
      <c r="I1397">
        <v>67.216999999999999</v>
      </c>
      <c r="J1397" t="s">
        <v>19</v>
      </c>
      <c r="K1397" t="s">
        <v>1933</v>
      </c>
      <c r="L1397" t="s">
        <v>21</v>
      </c>
      <c r="M1397" t="str">
        <f t="shared" si="63"/>
        <v>OK</v>
      </c>
      <c r="N1397" t="str">
        <f t="shared" si="64"/>
        <v>1990s</v>
      </c>
      <c r="O1397" t="str">
        <f t="shared" si="65"/>
        <v>Medium</v>
      </c>
      <c r="P1397" t="str">
        <f>VLOOKUP(E1397,calculated_fields!$F$4:$G$6,2,FALSE)</f>
        <v>Health</v>
      </c>
    </row>
    <row r="1398" spans="1:16">
      <c r="A1398" t="s">
        <v>1934</v>
      </c>
      <c r="B1398" t="s">
        <v>1896</v>
      </c>
      <c r="C1398" t="s">
        <v>130</v>
      </c>
      <c r="D1398">
        <v>1997</v>
      </c>
      <c r="E1398" t="s">
        <v>23</v>
      </c>
      <c r="F1398" t="s">
        <v>24</v>
      </c>
      <c r="G1398" t="s">
        <v>25</v>
      </c>
      <c r="H1398" t="s">
        <v>26</v>
      </c>
      <c r="I1398">
        <v>66134291</v>
      </c>
      <c r="J1398" t="s">
        <v>27</v>
      </c>
      <c r="K1398" t="s">
        <v>1933</v>
      </c>
      <c r="L1398" t="s">
        <v>21</v>
      </c>
      <c r="M1398" t="str">
        <f t="shared" si="63"/>
        <v>OK</v>
      </c>
      <c r="N1398" t="str">
        <f t="shared" si="64"/>
        <v>1990s</v>
      </c>
      <c r="O1398" t="str">
        <f t="shared" si="65"/>
        <v>N/A</v>
      </c>
      <c r="P1398" t="str">
        <f>VLOOKUP(E1398,calculated_fields!$F$4:$G$6,2,FALSE)</f>
        <v>Demographics</v>
      </c>
    </row>
    <row r="1399" spans="1:16">
      <c r="A1399" t="s">
        <v>1935</v>
      </c>
      <c r="B1399" t="s">
        <v>1896</v>
      </c>
      <c r="C1399" t="s">
        <v>130</v>
      </c>
      <c r="D1399">
        <v>1997</v>
      </c>
      <c r="E1399" t="s">
        <v>29</v>
      </c>
      <c r="F1399" t="s">
        <v>30</v>
      </c>
      <c r="G1399" t="s">
        <v>31</v>
      </c>
      <c r="H1399" t="s">
        <v>32</v>
      </c>
      <c r="I1399">
        <v>4173.1817970000002</v>
      </c>
      <c r="J1399" t="s">
        <v>33</v>
      </c>
      <c r="K1399" t="s">
        <v>1933</v>
      </c>
      <c r="L1399" t="s">
        <v>21</v>
      </c>
      <c r="M1399" t="str">
        <f t="shared" si="63"/>
        <v>OK</v>
      </c>
      <c r="N1399" t="str">
        <f t="shared" si="64"/>
        <v>1990s</v>
      </c>
      <c r="O1399" t="str">
        <f t="shared" si="65"/>
        <v>N/A</v>
      </c>
      <c r="P1399" t="str">
        <f>VLOOKUP(E1399,calculated_fields!$F$4:$G$6,2,FALSE)</f>
        <v>Economy</v>
      </c>
    </row>
    <row r="1400" spans="1:16">
      <c r="A1400" t="s">
        <v>1936</v>
      </c>
      <c r="B1400" t="s">
        <v>1896</v>
      </c>
      <c r="C1400" t="s">
        <v>130</v>
      </c>
      <c r="D1400">
        <v>2002</v>
      </c>
      <c r="E1400" t="s">
        <v>15</v>
      </c>
      <c r="F1400" t="s">
        <v>16</v>
      </c>
      <c r="G1400" t="s">
        <v>17</v>
      </c>
      <c r="H1400" t="s">
        <v>18</v>
      </c>
      <c r="I1400">
        <v>69.805999999999997</v>
      </c>
      <c r="J1400" t="s">
        <v>19</v>
      </c>
      <c r="K1400" t="s">
        <v>1937</v>
      </c>
      <c r="L1400" t="s">
        <v>21</v>
      </c>
      <c r="M1400" t="str">
        <f t="shared" si="63"/>
        <v>OK</v>
      </c>
      <c r="N1400" t="str">
        <f t="shared" si="64"/>
        <v>2000s</v>
      </c>
      <c r="O1400" t="str">
        <f t="shared" si="65"/>
        <v>Medium</v>
      </c>
      <c r="P1400" t="str">
        <f>VLOOKUP(E1400,calculated_fields!$F$4:$G$6,2,FALSE)</f>
        <v>Health</v>
      </c>
    </row>
    <row r="1401" spans="1:16">
      <c r="A1401" t="s">
        <v>1938</v>
      </c>
      <c r="B1401" t="s">
        <v>1896</v>
      </c>
      <c r="C1401" t="s">
        <v>130</v>
      </c>
      <c r="D1401">
        <v>2002</v>
      </c>
      <c r="E1401" t="s">
        <v>23</v>
      </c>
      <c r="F1401" t="s">
        <v>24</v>
      </c>
      <c r="G1401" t="s">
        <v>25</v>
      </c>
      <c r="H1401" t="s">
        <v>26</v>
      </c>
      <c r="I1401">
        <v>73312559</v>
      </c>
      <c r="J1401" t="s">
        <v>27</v>
      </c>
      <c r="K1401" t="s">
        <v>1937</v>
      </c>
      <c r="L1401" t="s">
        <v>21</v>
      </c>
      <c r="M1401" t="str">
        <f t="shared" si="63"/>
        <v>OK</v>
      </c>
      <c r="N1401" t="str">
        <f t="shared" si="64"/>
        <v>2000s</v>
      </c>
      <c r="O1401" t="str">
        <f t="shared" si="65"/>
        <v>N/A</v>
      </c>
      <c r="P1401" t="str">
        <f>VLOOKUP(E1401,calculated_fields!$F$4:$G$6,2,FALSE)</f>
        <v>Demographics</v>
      </c>
    </row>
    <row r="1402" spans="1:16">
      <c r="A1402" t="s">
        <v>1939</v>
      </c>
      <c r="B1402" t="s">
        <v>1896</v>
      </c>
      <c r="C1402" t="s">
        <v>130</v>
      </c>
      <c r="D1402">
        <v>2002</v>
      </c>
      <c r="E1402" t="s">
        <v>29</v>
      </c>
      <c r="F1402" t="s">
        <v>30</v>
      </c>
      <c r="G1402" t="s">
        <v>31</v>
      </c>
      <c r="H1402" t="s">
        <v>32</v>
      </c>
      <c r="I1402">
        <v>4754.6044140000004</v>
      </c>
      <c r="J1402" t="s">
        <v>33</v>
      </c>
      <c r="K1402" t="s">
        <v>1937</v>
      </c>
      <c r="L1402" t="s">
        <v>21</v>
      </c>
      <c r="M1402" t="str">
        <f t="shared" si="63"/>
        <v>OK</v>
      </c>
      <c r="N1402" t="str">
        <f t="shared" si="64"/>
        <v>2000s</v>
      </c>
      <c r="O1402" t="str">
        <f t="shared" si="65"/>
        <v>N/A</v>
      </c>
      <c r="P1402" t="str">
        <f>VLOOKUP(E1402,calculated_fields!$F$4:$G$6,2,FALSE)</f>
        <v>Economy</v>
      </c>
    </row>
    <row r="1403" spans="1:16">
      <c r="A1403" t="s">
        <v>1940</v>
      </c>
      <c r="B1403" t="s">
        <v>1896</v>
      </c>
      <c r="C1403" t="s">
        <v>130</v>
      </c>
      <c r="D1403">
        <v>2007</v>
      </c>
      <c r="E1403" t="s">
        <v>15</v>
      </c>
      <c r="F1403" t="s">
        <v>16</v>
      </c>
      <c r="G1403" t="s">
        <v>17</v>
      </c>
      <c r="H1403" t="s">
        <v>18</v>
      </c>
      <c r="I1403">
        <v>71.337999999999994</v>
      </c>
      <c r="J1403" t="s">
        <v>19</v>
      </c>
      <c r="K1403" t="s">
        <v>1941</v>
      </c>
      <c r="L1403" t="s">
        <v>21</v>
      </c>
      <c r="M1403" t="str">
        <f t="shared" si="63"/>
        <v>OK</v>
      </c>
      <c r="N1403" t="str">
        <f t="shared" si="64"/>
        <v>2000s</v>
      </c>
      <c r="O1403" t="str">
        <f t="shared" si="65"/>
        <v>High</v>
      </c>
      <c r="P1403" t="str">
        <f>VLOOKUP(E1403,calculated_fields!$F$4:$G$6,2,FALSE)</f>
        <v>Health</v>
      </c>
    </row>
    <row r="1404" spans="1:16">
      <c r="A1404" t="s">
        <v>1942</v>
      </c>
      <c r="B1404" t="s">
        <v>1896</v>
      </c>
      <c r="C1404" t="s">
        <v>130</v>
      </c>
      <c r="D1404">
        <v>2007</v>
      </c>
      <c r="E1404" t="s">
        <v>23</v>
      </c>
      <c r="F1404" t="s">
        <v>24</v>
      </c>
      <c r="G1404" t="s">
        <v>25</v>
      </c>
      <c r="H1404" t="s">
        <v>26</v>
      </c>
      <c r="I1404">
        <v>80264543</v>
      </c>
      <c r="J1404" t="s">
        <v>27</v>
      </c>
      <c r="K1404" t="s">
        <v>1941</v>
      </c>
      <c r="L1404" t="s">
        <v>21</v>
      </c>
      <c r="M1404" t="str">
        <f t="shared" si="63"/>
        <v>OK</v>
      </c>
      <c r="N1404" t="str">
        <f t="shared" si="64"/>
        <v>2000s</v>
      </c>
      <c r="O1404" t="str">
        <f t="shared" si="65"/>
        <v>N/A</v>
      </c>
      <c r="P1404" t="str">
        <f>VLOOKUP(E1404,calculated_fields!$F$4:$G$6,2,FALSE)</f>
        <v>Demographics</v>
      </c>
    </row>
    <row r="1405" spans="1:16">
      <c r="A1405" t="s">
        <v>1943</v>
      </c>
      <c r="B1405" t="s">
        <v>1896</v>
      </c>
      <c r="C1405" t="s">
        <v>130</v>
      </c>
      <c r="D1405">
        <v>2007</v>
      </c>
      <c r="E1405" t="s">
        <v>29</v>
      </c>
      <c r="F1405" t="s">
        <v>30</v>
      </c>
      <c r="G1405" t="s">
        <v>31</v>
      </c>
      <c r="H1405" t="s">
        <v>32</v>
      </c>
      <c r="I1405">
        <v>5581.1809979999998</v>
      </c>
      <c r="J1405" t="s">
        <v>33</v>
      </c>
      <c r="K1405" t="s">
        <v>1941</v>
      </c>
      <c r="L1405" t="s">
        <v>21</v>
      </c>
      <c r="M1405" t="str">
        <f t="shared" si="63"/>
        <v>OK</v>
      </c>
      <c r="N1405" t="str">
        <f t="shared" si="64"/>
        <v>2000s</v>
      </c>
      <c r="O1405" t="str">
        <f t="shared" si="65"/>
        <v>N/A</v>
      </c>
      <c r="P1405" t="str">
        <f>VLOOKUP(E1405,calculated_fields!$F$4:$G$6,2,FALSE)</f>
        <v>Economy</v>
      </c>
    </row>
    <row r="1406" spans="1:16">
      <c r="A1406" t="s">
        <v>1944</v>
      </c>
      <c r="B1406" t="s">
        <v>1945</v>
      </c>
      <c r="C1406" t="s">
        <v>229</v>
      </c>
      <c r="D1406">
        <v>1952</v>
      </c>
      <c r="E1406" t="s">
        <v>15</v>
      </c>
      <c r="F1406" t="s">
        <v>16</v>
      </c>
      <c r="G1406" t="s">
        <v>17</v>
      </c>
      <c r="H1406" t="s">
        <v>18</v>
      </c>
      <c r="I1406">
        <v>45.262</v>
      </c>
      <c r="J1406" t="s">
        <v>19</v>
      </c>
      <c r="K1406" t="s">
        <v>1946</v>
      </c>
      <c r="L1406" t="s">
        <v>21</v>
      </c>
      <c r="M1406" t="str">
        <f t="shared" si="63"/>
        <v>OK</v>
      </c>
      <c r="N1406" t="str">
        <f t="shared" si="64"/>
        <v>1950s</v>
      </c>
      <c r="O1406" t="str">
        <f t="shared" si="65"/>
        <v>Low</v>
      </c>
      <c r="P1406" t="str">
        <f>VLOOKUP(E1406,calculated_fields!$F$4:$G$6,2,FALSE)</f>
        <v>Health</v>
      </c>
    </row>
    <row r="1407" spans="1:16">
      <c r="A1407" t="s">
        <v>1947</v>
      </c>
      <c r="B1407" t="s">
        <v>1945</v>
      </c>
      <c r="C1407" t="s">
        <v>229</v>
      </c>
      <c r="D1407">
        <v>1952</v>
      </c>
      <c r="E1407" t="s">
        <v>23</v>
      </c>
      <c r="F1407" t="s">
        <v>24</v>
      </c>
      <c r="G1407" t="s">
        <v>25</v>
      </c>
      <c r="H1407" t="s">
        <v>26</v>
      </c>
      <c r="I1407">
        <v>2042865</v>
      </c>
      <c r="J1407" t="s">
        <v>27</v>
      </c>
      <c r="K1407" t="s">
        <v>1946</v>
      </c>
      <c r="L1407" t="s">
        <v>21</v>
      </c>
      <c r="M1407" t="str">
        <f t="shared" si="63"/>
        <v>OK</v>
      </c>
      <c r="N1407" t="str">
        <f t="shared" si="64"/>
        <v>1950s</v>
      </c>
      <c r="O1407" t="str">
        <f t="shared" si="65"/>
        <v>N/A</v>
      </c>
      <c r="P1407" t="str">
        <f>VLOOKUP(E1407,calculated_fields!$F$4:$G$6,2,FALSE)</f>
        <v>Demographics</v>
      </c>
    </row>
    <row r="1408" spans="1:16">
      <c r="A1408" t="s">
        <v>1948</v>
      </c>
      <c r="B1408" t="s">
        <v>1945</v>
      </c>
      <c r="C1408" t="s">
        <v>229</v>
      </c>
      <c r="D1408">
        <v>1952</v>
      </c>
      <c r="E1408" t="s">
        <v>29</v>
      </c>
      <c r="F1408" t="s">
        <v>30</v>
      </c>
      <c r="G1408" t="s">
        <v>31</v>
      </c>
      <c r="H1408" t="s">
        <v>32</v>
      </c>
      <c r="I1408">
        <v>3048.3029000000001</v>
      </c>
      <c r="J1408" t="s">
        <v>33</v>
      </c>
      <c r="K1408" t="s">
        <v>1946</v>
      </c>
      <c r="L1408" t="s">
        <v>21</v>
      </c>
      <c r="M1408" t="str">
        <f t="shared" si="63"/>
        <v>OK</v>
      </c>
      <c r="N1408" t="str">
        <f t="shared" si="64"/>
        <v>1950s</v>
      </c>
      <c r="O1408" t="str">
        <f t="shared" si="65"/>
        <v>N/A</v>
      </c>
      <c r="P1408" t="str">
        <f>VLOOKUP(E1408,calculated_fields!$F$4:$G$6,2,FALSE)</f>
        <v>Economy</v>
      </c>
    </row>
    <row r="1409" spans="1:16">
      <c r="A1409" t="s">
        <v>1949</v>
      </c>
      <c r="B1409" t="s">
        <v>1945</v>
      </c>
      <c r="C1409" t="s">
        <v>229</v>
      </c>
      <c r="D1409">
        <v>1957</v>
      </c>
      <c r="E1409" t="s">
        <v>15</v>
      </c>
      <c r="F1409" t="s">
        <v>16</v>
      </c>
      <c r="G1409" t="s">
        <v>17</v>
      </c>
      <c r="H1409" t="s">
        <v>18</v>
      </c>
      <c r="I1409">
        <v>48.57</v>
      </c>
      <c r="J1409" t="s">
        <v>19</v>
      </c>
      <c r="K1409" t="s">
        <v>1950</v>
      </c>
      <c r="L1409" t="s">
        <v>21</v>
      </c>
      <c r="M1409" t="str">
        <f t="shared" si="63"/>
        <v>OK</v>
      </c>
      <c r="N1409" t="str">
        <f t="shared" si="64"/>
        <v>1950s</v>
      </c>
      <c r="O1409" t="str">
        <f t="shared" si="65"/>
        <v>Low</v>
      </c>
      <c r="P1409" t="str">
        <f>VLOOKUP(E1409,calculated_fields!$F$4:$G$6,2,FALSE)</f>
        <v>Health</v>
      </c>
    </row>
    <row r="1410" spans="1:16">
      <c r="A1410" t="s">
        <v>1951</v>
      </c>
      <c r="B1410" t="s">
        <v>1945</v>
      </c>
      <c r="C1410" t="s">
        <v>229</v>
      </c>
      <c r="D1410">
        <v>1957</v>
      </c>
      <c r="E1410" t="s">
        <v>23</v>
      </c>
      <c r="F1410" t="s">
        <v>24</v>
      </c>
      <c r="G1410" t="s">
        <v>25</v>
      </c>
      <c r="H1410" t="s">
        <v>26</v>
      </c>
      <c r="I1410">
        <v>2355805</v>
      </c>
      <c r="J1410" t="s">
        <v>27</v>
      </c>
      <c r="K1410" t="s">
        <v>1950</v>
      </c>
      <c r="L1410" t="s">
        <v>21</v>
      </c>
      <c r="M1410" t="str">
        <f t="shared" ref="M1410:M1473" si="66">IF(AND(ISNUMBER(I1410),I1410&gt;=0),"OK","Review")</f>
        <v>OK</v>
      </c>
      <c r="N1410" t="str">
        <f t="shared" ref="N1410:N1473" si="67">FLOOR(D1410,10)&amp;"s"</f>
        <v>1950s</v>
      </c>
      <c r="O1410" t="str">
        <f t="shared" ref="O1410:O1473" si="68">IF(E1410="LIFE_EXP",IF(I1410&gt;=70,"High",IF(I1410&gt;=55,"Medium","Low")),"N/A")</f>
        <v>N/A</v>
      </c>
      <c r="P1410" t="str">
        <f>VLOOKUP(E1410,calculated_fields!$F$4:$G$6,2,FALSE)</f>
        <v>Demographics</v>
      </c>
    </row>
    <row r="1411" spans="1:16">
      <c r="A1411" t="s">
        <v>1952</v>
      </c>
      <c r="B1411" t="s">
        <v>1945</v>
      </c>
      <c r="C1411" t="s">
        <v>229</v>
      </c>
      <c r="D1411">
        <v>1957</v>
      </c>
      <c r="E1411" t="s">
        <v>29</v>
      </c>
      <c r="F1411" t="s">
        <v>30</v>
      </c>
      <c r="G1411" t="s">
        <v>31</v>
      </c>
      <c r="H1411" t="s">
        <v>32</v>
      </c>
      <c r="I1411">
        <v>3421.5232179999998</v>
      </c>
      <c r="J1411" t="s">
        <v>33</v>
      </c>
      <c r="K1411" t="s">
        <v>1950</v>
      </c>
      <c r="L1411" t="s">
        <v>21</v>
      </c>
      <c r="M1411" t="str">
        <f t="shared" si="66"/>
        <v>OK</v>
      </c>
      <c r="N1411" t="str">
        <f t="shared" si="67"/>
        <v>1950s</v>
      </c>
      <c r="O1411" t="str">
        <f t="shared" si="68"/>
        <v>N/A</v>
      </c>
      <c r="P1411" t="str">
        <f>VLOOKUP(E1411,calculated_fields!$F$4:$G$6,2,FALSE)</f>
        <v>Economy</v>
      </c>
    </row>
    <row r="1412" spans="1:16">
      <c r="A1412" t="s">
        <v>1953</v>
      </c>
      <c r="B1412" t="s">
        <v>1945</v>
      </c>
      <c r="C1412" t="s">
        <v>229</v>
      </c>
      <c r="D1412">
        <v>1962</v>
      </c>
      <c r="E1412" t="s">
        <v>15</v>
      </c>
      <c r="F1412" t="s">
        <v>16</v>
      </c>
      <c r="G1412" t="s">
        <v>17</v>
      </c>
      <c r="H1412" t="s">
        <v>18</v>
      </c>
      <c r="I1412">
        <v>52.307000000000002</v>
      </c>
      <c r="J1412" t="s">
        <v>19</v>
      </c>
      <c r="K1412" t="s">
        <v>1954</v>
      </c>
      <c r="L1412" t="s">
        <v>21</v>
      </c>
      <c r="M1412" t="str">
        <f t="shared" si="66"/>
        <v>OK</v>
      </c>
      <c r="N1412" t="str">
        <f t="shared" si="67"/>
        <v>1960s</v>
      </c>
      <c r="O1412" t="str">
        <f t="shared" si="68"/>
        <v>Low</v>
      </c>
      <c r="P1412" t="str">
        <f>VLOOKUP(E1412,calculated_fields!$F$4:$G$6,2,FALSE)</f>
        <v>Health</v>
      </c>
    </row>
    <row r="1413" spans="1:16">
      <c r="A1413" t="s">
        <v>1955</v>
      </c>
      <c r="B1413" t="s">
        <v>1945</v>
      </c>
      <c r="C1413" t="s">
        <v>229</v>
      </c>
      <c r="D1413">
        <v>1962</v>
      </c>
      <c r="E1413" t="s">
        <v>23</v>
      </c>
      <c r="F1413" t="s">
        <v>24</v>
      </c>
      <c r="G1413" t="s">
        <v>25</v>
      </c>
      <c r="H1413" t="s">
        <v>26</v>
      </c>
      <c r="I1413">
        <v>2747687</v>
      </c>
      <c r="J1413" t="s">
        <v>27</v>
      </c>
      <c r="K1413" t="s">
        <v>1954</v>
      </c>
      <c r="L1413" t="s">
        <v>21</v>
      </c>
      <c r="M1413" t="str">
        <f t="shared" si="66"/>
        <v>OK</v>
      </c>
      <c r="N1413" t="str">
        <f t="shared" si="67"/>
        <v>1960s</v>
      </c>
      <c r="O1413" t="str">
        <f t="shared" si="68"/>
        <v>N/A</v>
      </c>
      <c r="P1413" t="str">
        <f>VLOOKUP(E1413,calculated_fields!$F$4:$G$6,2,FALSE)</f>
        <v>Demographics</v>
      </c>
    </row>
    <row r="1414" spans="1:16">
      <c r="A1414" t="s">
        <v>1956</v>
      </c>
      <c r="B1414" t="s">
        <v>1945</v>
      </c>
      <c r="C1414" t="s">
        <v>229</v>
      </c>
      <c r="D1414">
        <v>1962</v>
      </c>
      <c r="E1414" t="s">
        <v>29</v>
      </c>
      <c r="F1414" t="s">
        <v>30</v>
      </c>
      <c r="G1414" t="s">
        <v>31</v>
      </c>
      <c r="H1414" t="s">
        <v>32</v>
      </c>
      <c r="I1414">
        <v>3776.8036269999998</v>
      </c>
      <c r="J1414" t="s">
        <v>33</v>
      </c>
      <c r="K1414" t="s">
        <v>1954</v>
      </c>
      <c r="L1414" t="s">
        <v>21</v>
      </c>
      <c r="M1414" t="str">
        <f t="shared" si="66"/>
        <v>OK</v>
      </c>
      <c r="N1414" t="str">
        <f t="shared" si="67"/>
        <v>1960s</v>
      </c>
      <c r="O1414" t="str">
        <f t="shared" si="68"/>
        <v>N/A</v>
      </c>
      <c r="P1414" t="str">
        <f>VLOOKUP(E1414,calculated_fields!$F$4:$G$6,2,FALSE)</f>
        <v>Economy</v>
      </c>
    </row>
    <row r="1415" spans="1:16">
      <c r="A1415" t="s">
        <v>1957</v>
      </c>
      <c r="B1415" t="s">
        <v>1945</v>
      </c>
      <c r="C1415" t="s">
        <v>229</v>
      </c>
      <c r="D1415">
        <v>1967</v>
      </c>
      <c r="E1415" t="s">
        <v>15</v>
      </c>
      <c r="F1415" t="s">
        <v>16</v>
      </c>
      <c r="G1415" t="s">
        <v>17</v>
      </c>
      <c r="H1415" t="s">
        <v>18</v>
      </c>
      <c r="I1415">
        <v>55.854999999999997</v>
      </c>
      <c r="J1415" t="s">
        <v>19</v>
      </c>
      <c r="K1415" t="s">
        <v>1958</v>
      </c>
      <c r="L1415" t="s">
        <v>21</v>
      </c>
      <c r="M1415" t="str">
        <f t="shared" si="66"/>
        <v>OK</v>
      </c>
      <c r="N1415" t="str">
        <f t="shared" si="67"/>
        <v>1960s</v>
      </c>
      <c r="O1415" t="str">
        <f t="shared" si="68"/>
        <v>Medium</v>
      </c>
      <c r="P1415" t="str">
        <f>VLOOKUP(E1415,calculated_fields!$F$4:$G$6,2,FALSE)</f>
        <v>Health</v>
      </c>
    </row>
    <row r="1416" spans="1:16">
      <c r="A1416" t="s">
        <v>1959</v>
      </c>
      <c r="B1416" t="s">
        <v>1945</v>
      </c>
      <c r="C1416" t="s">
        <v>229</v>
      </c>
      <c r="D1416">
        <v>1967</v>
      </c>
      <c r="E1416" t="s">
        <v>23</v>
      </c>
      <c r="F1416" t="s">
        <v>24</v>
      </c>
      <c r="G1416" t="s">
        <v>25</v>
      </c>
      <c r="H1416" t="s">
        <v>26</v>
      </c>
      <c r="I1416">
        <v>3232927</v>
      </c>
      <c r="J1416" t="s">
        <v>27</v>
      </c>
      <c r="K1416" t="s">
        <v>1958</v>
      </c>
      <c r="L1416" t="s">
        <v>21</v>
      </c>
      <c r="M1416" t="str">
        <f t="shared" si="66"/>
        <v>OK</v>
      </c>
      <c r="N1416" t="str">
        <f t="shared" si="67"/>
        <v>1960s</v>
      </c>
      <c r="O1416" t="str">
        <f t="shared" si="68"/>
        <v>N/A</v>
      </c>
      <c r="P1416" t="str">
        <f>VLOOKUP(E1416,calculated_fields!$F$4:$G$6,2,FALSE)</f>
        <v>Demographics</v>
      </c>
    </row>
    <row r="1417" spans="1:16">
      <c r="A1417" t="s">
        <v>1960</v>
      </c>
      <c r="B1417" t="s">
        <v>1945</v>
      </c>
      <c r="C1417" t="s">
        <v>229</v>
      </c>
      <c r="D1417">
        <v>1967</v>
      </c>
      <c r="E1417" t="s">
        <v>29</v>
      </c>
      <c r="F1417" t="s">
        <v>30</v>
      </c>
      <c r="G1417" t="s">
        <v>31</v>
      </c>
      <c r="H1417" t="s">
        <v>32</v>
      </c>
      <c r="I1417">
        <v>4358.5953929999996</v>
      </c>
      <c r="J1417" t="s">
        <v>33</v>
      </c>
      <c r="K1417" t="s">
        <v>1958</v>
      </c>
      <c r="L1417" t="s">
        <v>21</v>
      </c>
      <c r="M1417" t="str">
        <f t="shared" si="66"/>
        <v>OK</v>
      </c>
      <c r="N1417" t="str">
        <f t="shared" si="67"/>
        <v>1960s</v>
      </c>
      <c r="O1417" t="str">
        <f t="shared" si="68"/>
        <v>N/A</v>
      </c>
      <c r="P1417" t="str">
        <f>VLOOKUP(E1417,calculated_fields!$F$4:$G$6,2,FALSE)</f>
        <v>Economy</v>
      </c>
    </row>
    <row r="1418" spans="1:16">
      <c r="A1418" t="s">
        <v>1961</v>
      </c>
      <c r="B1418" t="s">
        <v>1945</v>
      </c>
      <c r="C1418" t="s">
        <v>229</v>
      </c>
      <c r="D1418">
        <v>1972</v>
      </c>
      <c r="E1418" t="s">
        <v>15</v>
      </c>
      <c r="F1418" t="s">
        <v>16</v>
      </c>
      <c r="G1418" t="s">
        <v>17</v>
      </c>
      <c r="H1418" t="s">
        <v>18</v>
      </c>
      <c r="I1418">
        <v>58.207000000000001</v>
      </c>
      <c r="J1418" t="s">
        <v>19</v>
      </c>
      <c r="K1418" t="s">
        <v>1962</v>
      </c>
      <c r="L1418" t="s">
        <v>21</v>
      </c>
      <c r="M1418" t="str">
        <f t="shared" si="66"/>
        <v>OK</v>
      </c>
      <c r="N1418" t="str">
        <f t="shared" si="67"/>
        <v>1970s</v>
      </c>
      <c r="O1418" t="str">
        <f t="shared" si="68"/>
        <v>Medium</v>
      </c>
      <c r="P1418" t="str">
        <f>VLOOKUP(E1418,calculated_fields!$F$4:$G$6,2,FALSE)</f>
        <v>Health</v>
      </c>
    </row>
    <row r="1419" spans="1:16">
      <c r="A1419" t="s">
        <v>1963</v>
      </c>
      <c r="B1419" t="s">
        <v>1945</v>
      </c>
      <c r="C1419" t="s">
        <v>229</v>
      </c>
      <c r="D1419">
        <v>1972</v>
      </c>
      <c r="E1419" t="s">
        <v>23</v>
      </c>
      <c r="F1419" t="s">
        <v>24</v>
      </c>
      <c r="G1419" t="s">
        <v>25</v>
      </c>
      <c r="H1419" t="s">
        <v>26</v>
      </c>
      <c r="I1419">
        <v>3790903</v>
      </c>
      <c r="J1419" t="s">
        <v>27</v>
      </c>
      <c r="K1419" t="s">
        <v>1962</v>
      </c>
      <c r="L1419" t="s">
        <v>21</v>
      </c>
      <c r="M1419" t="str">
        <f t="shared" si="66"/>
        <v>OK</v>
      </c>
      <c r="N1419" t="str">
        <f t="shared" si="67"/>
        <v>1970s</v>
      </c>
      <c r="O1419" t="str">
        <f t="shared" si="68"/>
        <v>N/A</v>
      </c>
      <c r="P1419" t="str">
        <f>VLOOKUP(E1419,calculated_fields!$F$4:$G$6,2,FALSE)</f>
        <v>Demographics</v>
      </c>
    </row>
    <row r="1420" spans="1:16">
      <c r="A1420" t="s">
        <v>1964</v>
      </c>
      <c r="B1420" t="s">
        <v>1945</v>
      </c>
      <c r="C1420" t="s">
        <v>229</v>
      </c>
      <c r="D1420">
        <v>1972</v>
      </c>
      <c r="E1420" t="s">
        <v>29</v>
      </c>
      <c r="F1420" t="s">
        <v>30</v>
      </c>
      <c r="G1420" t="s">
        <v>31</v>
      </c>
      <c r="H1420" t="s">
        <v>32</v>
      </c>
      <c r="I1420">
        <v>4520.2460080000001</v>
      </c>
      <c r="J1420" t="s">
        <v>33</v>
      </c>
      <c r="K1420" t="s">
        <v>1962</v>
      </c>
      <c r="L1420" t="s">
        <v>21</v>
      </c>
      <c r="M1420" t="str">
        <f t="shared" si="66"/>
        <v>OK</v>
      </c>
      <c r="N1420" t="str">
        <f t="shared" si="67"/>
        <v>1970s</v>
      </c>
      <c r="O1420" t="str">
        <f t="shared" si="68"/>
        <v>N/A</v>
      </c>
      <c r="P1420" t="str">
        <f>VLOOKUP(E1420,calculated_fields!$F$4:$G$6,2,FALSE)</f>
        <v>Economy</v>
      </c>
    </row>
    <row r="1421" spans="1:16">
      <c r="A1421" t="s">
        <v>1965</v>
      </c>
      <c r="B1421" t="s">
        <v>1945</v>
      </c>
      <c r="C1421" t="s">
        <v>229</v>
      </c>
      <c r="D1421">
        <v>1977</v>
      </c>
      <c r="E1421" t="s">
        <v>15</v>
      </c>
      <c r="F1421" t="s">
        <v>16</v>
      </c>
      <c r="G1421" t="s">
        <v>17</v>
      </c>
      <c r="H1421" t="s">
        <v>18</v>
      </c>
      <c r="I1421">
        <v>56.695999999999998</v>
      </c>
      <c r="J1421" t="s">
        <v>19</v>
      </c>
      <c r="K1421" t="s">
        <v>1966</v>
      </c>
      <c r="L1421" t="s">
        <v>21</v>
      </c>
      <c r="M1421" t="str">
        <f t="shared" si="66"/>
        <v>OK</v>
      </c>
      <c r="N1421" t="str">
        <f t="shared" si="67"/>
        <v>1970s</v>
      </c>
      <c r="O1421" t="str">
        <f t="shared" si="68"/>
        <v>Medium</v>
      </c>
      <c r="P1421" t="str">
        <f>VLOOKUP(E1421,calculated_fields!$F$4:$G$6,2,FALSE)</f>
        <v>Health</v>
      </c>
    </row>
    <row r="1422" spans="1:16">
      <c r="A1422" t="s">
        <v>1967</v>
      </c>
      <c r="B1422" t="s">
        <v>1945</v>
      </c>
      <c r="C1422" t="s">
        <v>229</v>
      </c>
      <c r="D1422">
        <v>1977</v>
      </c>
      <c r="E1422" t="s">
        <v>23</v>
      </c>
      <c r="F1422" t="s">
        <v>24</v>
      </c>
      <c r="G1422" t="s">
        <v>25</v>
      </c>
      <c r="H1422" t="s">
        <v>26</v>
      </c>
      <c r="I1422">
        <v>4282586</v>
      </c>
      <c r="J1422" t="s">
        <v>27</v>
      </c>
      <c r="K1422" t="s">
        <v>1966</v>
      </c>
      <c r="L1422" t="s">
        <v>21</v>
      </c>
      <c r="M1422" t="str">
        <f t="shared" si="66"/>
        <v>OK</v>
      </c>
      <c r="N1422" t="str">
        <f t="shared" si="67"/>
        <v>1970s</v>
      </c>
      <c r="O1422" t="str">
        <f t="shared" si="68"/>
        <v>N/A</v>
      </c>
      <c r="P1422" t="str">
        <f>VLOOKUP(E1422,calculated_fields!$F$4:$G$6,2,FALSE)</f>
        <v>Demographics</v>
      </c>
    </row>
    <row r="1423" spans="1:16">
      <c r="A1423" t="s">
        <v>1968</v>
      </c>
      <c r="B1423" t="s">
        <v>1945</v>
      </c>
      <c r="C1423" t="s">
        <v>229</v>
      </c>
      <c r="D1423">
        <v>1977</v>
      </c>
      <c r="E1423" t="s">
        <v>29</v>
      </c>
      <c r="F1423" t="s">
        <v>30</v>
      </c>
      <c r="G1423" t="s">
        <v>31</v>
      </c>
      <c r="H1423" t="s">
        <v>32</v>
      </c>
      <c r="I1423">
        <v>5138.9223739999998</v>
      </c>
      <c r="J1423" t="s">
        <v>33</v>
      </c>
      <c r="K1423" t="s">
        <v>1966</v>
      </c>
      <c r="L1423" t="s">
        <v>21</v>
      </c>
      <c r="M1423" t="str">
        <f t="shared" si="66"/>
        <v>OK</v>
      </c>
      <c r="N1423" t="str">
        <f t="shared" si="67"/>
        <v>1970s</v>
      </c>
      <c r="O1423" t="str">
        <f t="shared" si="68"/>
        <v>N/A</v>
      </c>
      <c r="P1423" t="str">
        <f>VLOOKUP(E1423,calculated_fields!$F$4:$G$6,2,FALSE)</f>
        <v>Economy</v>
      </c>
    </row>
    <row r="1424" spans="1:16">
      <c r="A1424" t="s">
        <v>1969</v>
      </c>
      <c r="B1424" t="s">
        <v>1945</v>
      </c>
      <c r="C1424" t="s">
        <v>229</v>
      </c>
      <c r="D1424">
        <v>1982</v>
      </c>
      <c r="E1424" t="s">
        <v>15</v>
      </c>
      <c r="F1424" t="s">
        <v>16</v>
      </c>
      <c r="G1424" t="s">
        <v>17</v>
      </c>
      <c r="H1424" t="s">
        <v>18</v>
      </c>
      <c r="I1424">
        <v>56.603999999999999</v>
      </c>
      <c r="J1424" t="s">
        <v>19</v>
      </c>
      <c r="K1424" t="s">
        <v>1970</v>
      </c>
      <c r="L1424" t="s">
        <v>21</v>
      </c>
      <c r="M1424" t="str">
        <f t="shared" si="66"/>
        <v>OK</v>
      </c>
      <c r="N1424" t="str">
        <f t="shared" si="67"/>
        <v>1980s</v>
      </c>
      <c r="O1424" t="str">
        <f t="shared" si="68"/>
        <v>Medium</v>
      </c>
      <c r="P1424" t="str">
        <f>VLOOKUP(E1424,calculated_fields!$F$4:$G$6,2,FALSE)</f>
        <v>Health</v>
      </c>
    </row>
    <row r="1425" spans="1:16">
      <c r="A1425" t="s">
        <v>1971</v>
      </c>
      <c r="B1425" t="s">
        <v>1945</v>
      </c>
      <c r="C1425" t="s">
        <v>229</v>
      </c>
      <c r="D1425">
        <v>1982</v>
      </c>
      <c r="E1425" t="s">
        <v>23</v>
      </c>
      <c r="F1425" t="s">
        <v>24</v>
      </c>
      <c r="G1425" t="s">
        <v>25</v>
      </c>
      <c r="H1425" t="s">
        <v>26</v>
      </c>
      <c r="I1425">
        <v>4474873</v>
      </c>
      <c r="J1425" t="s">
        <v>27</v>
      </c>
      <c r="K1425" t="s">
        <v>1970</v>
      </c>
      <c r="L1425" t="s">
        <v>21</v>
      </c>
      <c r="M1425" t="str">
        <f t="shared" si="66"/>
        <v>OK</v>
      </c>
      <c r="N1425" t="str">
        <f t="shared" si="67"/>
        <v>1980s</v>
      </c>
      <c r="O1425" t="str">
        <f t="shared" si="68"/>
        <v>N/A</v>
      </c>
      <c r="P1425" t="str">
        <f>VLOOKUP(E1425,calculated_fields!$F$4:$G$6,2,FALSE)</f>
        <v>Demographics</v>
      </c>
    </row>
    <row r="1426" spans="1:16">
      <c r="A1426" t="s">
        <v>1972</v>
      </c>
      <c r="B1426" t="s">
        <v>1945</v>
      </c>
      <c r="C1426" t="s">
        <v>229</v>
      </c>
      <c r="D1426">
        <v>1982</v>
      </c>
      <c r="E1426" t="s">
        <v>29</v>
      </c>
      <c r="F1426" t="s">
        <v>30</v>
      </c>
      <c r="G1426" t="s">
        <v>31</v>
      </c>
      <c r="H1426" t="s">
        <v>32</v>
      </c>
      <c r="I1426">
        <v>4098.3441750000002</v>
      </c>
      <c r="J1426" t="s">
        <v>33</v>
      </c>
      <c r="K1426" t="s">
        <v>1970</v>
      </c>
      <c r="L1426" t="s">
        <v>21</v>
      </c>
      <c r="M1426" t="str">
        <f t="shared" si="66"/>
        <v>OK</v>
      </c>
      <c r="N1426" t="str">
        <f t="shared" si="67"/>
        <v>1980s</v>
      </c>
      <c r="O1426" t="str">
        <f t="shared" si="68"/>
        <v>N/A</v>
      </c>
      <c r="P1426" t="str">
        <f>VLOOKUP(E1426,calculated_fields!$F$4:$G$6,2,FALSE)</f>
        <v>Economy</v>
      </c>
    </row>
    <row r="1427" spans="1:16">
      <c r="A1427" t="s">
        <v>1973</v>
      </c>
      <c r="B1427" t="s">
        <v>1945</v>
      </c>
      <c r="C1427" t="s">
        <v>229</v>
      </c>
      <c r="D1427">
        <v>1987</v>
      </c>
      <c r="E1427" t="s">
        <v>15</v>
      </c>
      <c r="F1427" t="s">
        <v>16</v>
      </c>
      <c r="G1427" t="s">
        <v>17</v>
      </c>
      <c r="H1427" t="s">
        <v>18</v>
      </c>
      <c r="I1427">
        <v>63.154000000000003</v>
      </c>
      <c r="J1427" t="s">
        <v>19</v>
      </c>
      <c r="K1427" t="s">
        <v>1974</v>
      </c>
      <c r="L1427" t="s">
        <v>21</v>
      </c>
      <c r="M1427" t="str">
        <f t="shared" si="66"/>
        <v>OK</v>
      </c>
      <c r="N1427" t="str">
        <f t="shared" si="67"/>
        <v>1980s</v>
      </c>
      <c r="O1427" t="str">
        <f t="shared" si="68"/>
        <v>Medium</v>
      </c>
      <c r="P1427" t="str">
        <f>VLOOKUP(E1427,calculated_fields!$F$4:$G$6,2,FALSE)</f>
        <v>Health</v>
      </c>
    </row>
    <row r="1428" spans="1:16">
      <c r="A1428" t="s">
        <v>1975</v>
      </c>
      <c r="B1428" t="s">
        <v>1945</v>
      </c>
      <c r="C1428" t="s">
        <v>229</v>
      </c>
      <c r="D1428">
        <v>1987</v>
      </c>
      <c r="E1428" t="s">
        <v>23</v>
      </c>
      <c r="F1428" t="s">
        <v>24</v>
      </c>
      <c r="G1428" t="s">
        <v>25</v>
      </c>
      <c r="H1428" t="s">
        <v>26</v>
      </c>
      <c r="I1428">
        <v>4842194</v>
      </c>
      <c r="J1428" t="s">
        <v>27</v>
      </c>
      <c r="K1428" t="s">
        <v>1974</v>
      </c>
      <c r="L1428" t="s">
        <v>21</v>
      </c>
      <c r="M1428" t="str">
        <f t="shared" si="66"/>
        <v>OK</v>
      </c>
      <c r="N1428" t="str">
        <f t="shared" si="67"/>
        <v>1980s</v>
      </c>
      <c r="O1428" t="str">
        <f t="shared" si="68"/>
        <v>N/A</v>
      </c>
      <c r="P1428" t="str">
        <f>VLOOKUP(E1428,calculated_fields!$F$4:$G$6,2,FALSE)</f>
        <v>Demographics</v>
      </c>
    </row>
    <row r="1429" spans="1:16">
      <c r="A1429" t="s">
        <v>1976</v>
      </c>
      <c r="B1429" t="s">
        <v>1945</v>
      </c>
      <c r="C1429" t="s">
        <v>229</v>
      </c>
      <c r="D1429">
        <v>1987</v>
      </c>
      <c r="E1429" t="s">
        <v>29</v>
      </c>
      <c r="F1429" t="s">
        <v>30</v>
      </c>
      <c r="G1429" t="s">
        <v>31</v>
      </c>
      <c r="H1429" t="s">
        <v>32</v>
      </c>
      <c r="I1429">
        <v>4140.4420970000001</v>
      </c>
      <c r="J1429" t="s">
        <v>33</v>
      </c>
      <c r="K1429" t="s">
        <v>1974</v>
      </c>
      <c r="L1429" t="s">
        <v>21</v>
      </c>
      <c r="M1429" t="str">
        <f t="shared" si="66"/>
        <v>OK</v>
      </c>
      <c r="N1429" t="str">
        <f t="shared" si="67"/>
        <v>1980s</v>
      </c>
      <c r="O1429" t="str">
        <f t="shared" si="68"/>
        <v>N/A</v>
      </c>
      <c r="P1429" t="str">
        <f>VLOOKUP(E1429,calculated_fields!$F$4:$G$6,2,FALSE)</f>
        <v>Economy</v>
      </c>
    </row>
    <row r="1430" spans="1:16">
      <c r="A1430" t="s">
        <v>1977</v>
      </c>
      <c r="B1430" t="s">
        <v>1945</v>
      </c>
      <c r="C1430" t="s">
        <v>229</v>
      </c>
      <c r="D1430">
        <v>1992</v>
      </c>
      <c r="E1430" t="s">
        <v>15</v>
      </c>
      <c r="F1430" t="s">
        <v>16</v>
      </c>
      <c r="G1430" t="s">
        <v>17</v>
      </c>
      <c r="H1430" t="s">
        <v>18</v>
      </c>
      <c r="I1430">
        <v>66.798000000000002</v>
      </c>
      <c r="J1430" t="s">
        <v>19</v>
      </c>
      <c r="K1430" t="s">
        <v>1978</v>
      </c>
      <c r="L1430" t="s">
        <v>21</v>
      </c>
      <c r="M1430" t="str">
        <f t="shared" si="66"/>
        <v>OK</v>
      </c>
      <c r="N1430" t="str">
        <f t="shared" si="67"/>
        <v>1990s</v>
      </c>
      <c r="O1430" t="str">
        <f t="shared" si="68"/>
        <v>Medium</v>
      </c>
      <c r="P1430" t="str">
        <f>VLOOKUP(E1430,calculated_fields!$F$4:$G$6,2,FALSE)</f>
        <v>Health</v>
      </c>
    </row>
    <row r="1431" spans="1:16">
      <c r="A1431" t="s">
        <v>1979</v>
      </c>
      <c r="B1431" t="s">
        <v>1945</v>
      </c>
      <c r="C1431" t="s">
        <v>229</v>
      </c>
      <c r="D1431">
        <v>1992</v>
      </c>
      <c r="E1431" t="s">
        <v>23</v>
      </c>
      <c r="F1431" t="s">
        <v>24</v>
      </c>
      <c r="G1431" t="s">
        <v>25</v>
      </c>
      <c r="H1431" t="s">
        <v>26</v>
      </c>
      <c r="I1431">
        <v>5274649</v>
      </c>
      <c r="J1431" t="s">
        <v>27</v>
      </c>
      <c r="K1431" t="s">
        <v>1978</v>
      </c>
      <c r="L1431" t="s">
        <v>21</v>
      </c>
      <c r="M1431" t="str">
        <f t="shared" si="66"/>
        <v>OK</v>
      </c>
      <c r="N1431" t="str">
        <f t="shared" si="67"/>
        <v>1990s</v>
      </c>
      <c r="O1431" t="str">
        <f t="shared" si="68"/>
        <v>N/A</v>
      </c>
      <c r="P1431" t="str">
        <f>VLOOKUP(E1431,calculated_fields!$F$4:$G$6,2,FALSE)</f>
        <v>Demographics</v>
      </c>
    </row>
    <row r="1432" spans="1:16">
      <c r="A1432" t="s">
        <v>1980</v>
      </c>
      <c r="B1432" t="s">
        <v>1945</v>
      </c>
      <c r="C1432" t="s">
        <v>229</v>
      </c>
      <c r="D1432">
        <v>1992</v>
      </c>
      <c r="E1432" t="s">
        <v>29</v>
      </c>
      <c r="F1432" t="s">
        <v>30</v>
      </c>
      <c r="G1432" t="s">
        <v>31</v>
      </c>
      <c r="H1432" t="s">
        <v>32</v>
      </c>
      <c r="I1432">
        <v>4444.2317000000003</v>
      </c>
      <c r="J1432" t="s">
        <v>33</v>
      </c>
      <c r="K1432" t="s">
        <v>1978</v>
      </c>
      <c r="L1432" t="s">
        <v>21</v>
      </c>
      <c r="M1432" t="str">
        <f t="shared" si="66"/>
        <v>OK</v>
      </c>
      <c r="N1432" t="str">
        <f t="shared" si="67"/>
        <v>1990s</v>
      </c>
      <c r="O1432" t="str">
        <f t="shared" si="68"/>
        <v>N/A</v>
      </c>
      <c r="P1432" t="str">
        <f>VLOOKUP(E1432,calculated_fields!$F$4:$G$6,2,FALSE)</f>
        <v>Economy</v>
      </c>
    </row>
    <row r="1433" spans="1:16">
      <c r="A1433" t="s">
        <v>1981</v>
      </c>
      <c r="B1433" t="s">
        <v>1945</v>
      </c>
      <c r="C1433" t="s">
        <v>229</v>
      </c>
      <c r="D1433">
        <v>1997</v>
      </c>
      <c r="E1433" t="s">
        <v>15</v>
      </c>
      <c r="F1433" t="s">
        <v>16</v>
      </c>
      <c r="G1433" t="s">
        <v>17</v>
      </c>
      <c r="H1433" t="s">
        <v>18</v>
      </c>
      <c r="I1433">
        <v>69.534999999999997</v>
      </c>
      <c r="J1433" t="s">
        <v>19</v>
      </c>
      <c r="K1433" t="s">
        <v>1982</v>
      </c>
      <c r="L1433" t="s">
        <v>21</v>
      </c>
      <c r="M1433" t="str">
        <f t="shared" si="66"/>
        <v>OK</v>
      </c>
      <c r="N1433" t="str">
        <f t="shared" si="67"/>
        <v>1990s</v>
      </c>
      <c r="O1433" t="str">
        <f t="shared" si="68"/>
        <v>Medium</v>
      </c>
      <c r="P1433" t="str">
        <f>VLOOKUP(E1433,calculated_fields!$F$4:$G$6,2,FALSE)</f>
        <v>Health</v>
      </c>
    </row>
    <row r="1434" spans="1:16">
      <c r="A1434" t="s">
        <v>1983</v>
      </c>
      <c r="B1434" t="s">
        <v>1945</v>
      </c>
      <c r="C1434" t="s">
        <v>229</v>
      </c>
      <c r="D1434">
        <v>1997</v>
      </c>
      <c r="E1434" t="s">
        <v>23</v>
      </c>
      <c r="F1434" t="s">
        <v>24</v>
      </c>
      <c r="G1434" t="s">
        <v>25</v>
      </c>
      <c r="H1434" t="s">
        <v>26</v>
      </c>
      <c r="I1434">
        <v>5783439</v>
      </c>
      <c r="J1434" t="s">
        <v>27</v>
      </c>
      <c r="K1434" t="s">
        <v>1982</v>
      </c>
      <c r="L1434" t="s">
        <v>21</v>
      </c>
      <c r="M1434" t="str">
        <f t="shared" si="66"/>
        <v>OK</v>
      </c>
      <c r="N1434" t="str">
        <f t="shared" si="67"/>
        <v>1990s</v>
      </c>
      <c r="O1434" t="str">
        <f t="shared" si="68"/>
        <v>N/A</v>
      </c>
      <c r="P1434" t="str">
        <f>VLOOKUP(E1434,calculated_fields!$F$4:$G$6,2,FALSE)</f>
        <v>Demographics</v>
      </c>
    </row>
    <row r="1435" spans="1:16">
      <c r="A1435" t="s">
        <v>1984</v>
      </c>
      <c r="B1435" t="s">
        <v>1945</v>
      </c>
      <c r="C1435" t="s">
        <v>229</v>
      </c>
      <c r="D1435">
        <v>1997</v>
      </c>
      <c r="E1435" t="s">
        <v>29</v>
      </c>
      <c r="F1435" t="s">
        <v>30</v>
      </c>
      <c r="G1435" t="s">
        <v>31</v>
      </c>
      <c r="H1435" t="s">
        <v>32</v>
      </c>
      <c r="I1435">
        <v>5154.8254960000004</v>
      </c>
      <c r="J1435" t="s">
        <v>33</v>
      </c>
      <c r="K1435" t="s">
        <v>1982</v>
      </c>
      <c r="L1435" t="s">
        <v>21</v>
      </c>
      <c r="M1435" t="str">
        <f t="shared" si="66"/>
        <v>OK</v>
      </c>
      <c r="N1435" t="str">
        <f t="shared" si="67"/>
        <v>1990s</v>
      </c>
      <c r="O1435" t="str">
        <f t="shared" si="68"/>
        <v>N/A</v>
      </c>
      <c r="P1435" t="str">
        <f>VLOOKUP(E1435,calculated_fields!$F$4:$G$6,2,FALSE)</f>
        <v>Economy</v>
      </c>
    </row>
    <row r="1436" spans="1:16">
      <c r="A1436" t="s">
        <v>1985</v>
      </c>
      <c r="B1436" t="s">
        <v>1945</v>
      </c>
      <c r="C1436" t="s">
        <v>229</v>
      </c>
      <c r="D1436">
        <v>2002</v>
      </c>
      <c r="E1436" t="s">
        <v>15</v>
      </c>
      <c r="F1436" t="s">
        <v>16</v>
      </c>
      <c r="G1436" t="s">
        <v>17</v>
      </c>
      <c r="H1436" t="s">
        <v>18</v>
      </c>
      <c r="I1436">
        <v>70.733999999999995</v>
      </c>
      <c r="J1436" t="s">
        <v>19</v>
      </c>
      <c r="K1436" t="s">
        <v>1986</v>
      </c>
      <c r="L1436" t="s">
        <v>21</v>
      </c>
      <c r="M1436" t="str">
        <f t="shared" si="66"/>
        <v>OK</v>
      </c>
      <c r="N1436" t="str">
        <f t="shared" si="67"/>
        <v>2000s</v>
      </c>
      <c r="O1436" t="str">
        <f t="shared" si="68"/>
        <v>High</v>
      </c>
      <c r="P1436" t="str">
        <f>VLOOKUP(E1436,calculated_fields!$F$4:$G$6,2,FALSE)</f>
        <v>Health</v>
      </c>
    </row>
    <row r="1437" spans="1:16">
      <c r="A1437" t="s">
        <v>1987</v>
      </c>
      <c r="B1437" t="s">
        <v>1945</v>
      </c>
      <c r="C1437" t="s">
        <v>229</v>
      </c>
      <c r="D1437">
        <v>2002</v>
      </c>
      <c r="E1437" t="s">
        <v>23</v>
      </c>
      <c r="F1437" t="s">
        <v>24</v>
      </c>
      <c r="G1437" t="s">
        <v>25</v>
      </c>
      <c r="H1437" t="s">
        <v>26</v>
      </c>
      <c r="I1437">
        <v>6353681</v>
      </c>
      <c r="J1437" t="s">
        <v>27</v>
      </c>
      <c r="K1437" t="s">
        <v>1986</v>
      </c>
      <c r="L1437" t="s">
        <v>21</v>
      </c>
      <c r="M1437" t="str">
        <f t="shared" si="66"/>
        <v>OK</v>
      </c>
      <c r="N1437" t="str">
        <f t="shared" si="67"/>
        <v>2000s</v>
      </c>
      <c r="O1437" t="str">
        <f t="shared" si="68"/>
        <v>N/A</v>
      </c>
      <c r="P1437" t="str">
        <f>VLOOKUP(E1437,calculated_fields!$F$4:$G$6,2,FALSE)</f>
        <v>Demographics</v>
      </c>
    </row>
    <row r="1438" spans="1:16">
      <c r="A1438" t="s">
        <v>1988</v>
      </c>
      <c r="B1438" t="s">
        <v>1945</v>
      </c>
      <c r="C1438" t="s">
        <v>229</v>
      </c>
      <c r="D1438">
        <v>2002</v>
      </c>
      <c r="E1438" t="s">
        <v>29</v>
      </c>
      <c r="F1438" t="s">
        <v>30</v>
      </c>
      <c r="G1438" t="s">
        <v>31</v>
      </c>
      <c r="H1438" t="s">
        <v>32</v>
      </c>
      <c r="I1438">
        <v>5351.5686659999901</v>
      </c>
      <c r="J1438" t="s">
        <v>33</v>
      </c>
      <c r="K1438" t="s">
        <v>1986</v>
      </c>
      <c r="L1438" t="s">
        <v>21</v>
      </c>
      <c r="M1438" t="str">
        <f t="shared" si="66"/>
        <v>OK</v>
      </c>
      <c r="N1438" t="str">
        <f t="shared" si="67"/>
        <v>2000s</v>
      </c>
      <c r="O1438" t="str">
        <f t="shared" si="68"/>
        <v>N/A</v>
      </c>
      <c r="P1438" t="str">
        <f>VLOOKUP(E1438,calculated_fields!$F$4:$G$6,2,FALSE)</f>
        <v>Economy</v>
      </c>
    </row>
    <row r="1439" spans="1:16">
      <c r="A1439" t="s">
        <v>1989</v>
      </c>
      <c r="B1439" t="s">
        <v>1945</v>
      </c>
      <c r="C1439" t="s">
        <v>229</v>
      </c>
      <c r="D1439">
        <v>2007</v>
      </c>
      <c r="E1439" t="s">
        <v>15</v>
      </c>
      <c r="F1439" t="s">
        <v>16</v>
      </c>
      <c r="G1439" t="s">
        <v>17</v>
      </c>
      <c r="H1439" t="s">
        <v>18</v>
      </c>
      <c r="I1439">
        <v>71.878</v>
      </c>
      <c r="J1439" t="s">
        <v>19</v>
      </c>
      <c r="K1439" t="s">
        <v>1990</v>
      </c>
      <c r="L1439" t="s">
        <v>21</v>
      </c>
      <c r="M1439" t="str">
        <f t="shared" si="66"/>
        <v>OK</v>
      </c>
      <c r="N1439" t="str">
        <f t="shared" si="67"/>
        <v>2000s</v>
      </c>
      <c r="O1439" t="str">
        <f t="shared" si="68"/>
        <v>High</v>
      </c>
      <c r="P1439" t="str">
        <f>VLOOKUP(E1439,calculated_fields!$F$4:$G$6,2,FALSE)</f>
        <v>Health</v>
      </c>
    </row>
    <row r="1440" spans="1:16">
      <c r="A1440" t="s">
        <v>1991</v>
      </c>
      <c r="B1440" t="s">
        <v>1945</v>
      </c>
      <c r="C1440" t="s">
        <v>229</v>
      </c>
      <c r="D1440">
        <v>2007</v>
      </c>
      <c r="E1440" t="s">
        <v>23</v>
      </c>
      <c r="F1440" t="s">
        <v>24</v>
      </c>
      <c r="G1440" t="s">
        <v>25</v>
      </c>
      <c r="H1440" t="s">
        <v>26</v>
      </c>
      <c r="I1440">
        <v>6939688</v>
      </c>
      <c r="J1440" t="s">
        <v>27</v>
      </c>
      <c r="K1440" t="s">
        <v>1990</v>
      </c>
      <c r="L1440" t="s">
        <v>21</v>
      </c>
      <c r="M1440" t="str">
        <f t="shared" si="66"/>
        <v>OK</v>
      </c>
      <c r="N1440" t="str">
        <f t="shared" si="67"/>
        <v>2000s</v>
      </c>
      <c r="O1440" t="str">
        <f t="shared" si="68"/>
        <v>N/A</v>
      </c>
      <c r="P1440" t="str">
        <f>VLOOKUP(E1440,calculated_fields!$F$4:$G$6,2,FALSE)</f>
        <v>Demographics</v>
      </c>
    </row>
    <row r="1441" spans="1:16">
      <c r="A1441" t="s">
        <v>1992</v>
      </c>
      <c r="B1441" t="s">
        <v>1945</v>
      </c>
      <c r="C1441" t="s">
        <v>229</v>
      </c>
      <c r="D1441">
        <v>2007</v>
      </c>
      <c r="E1441" t="s">
        <v>29</v>
      </c>
      <c r="F1441" t="s">
        <v>30</v>
      </c>
      <c r="G1441" t="s">
        <v>31</v>
      </c>
      <c r="H1441" t="s">
        <v>32</v>
      </c>
      <c r="I1441">
        <v>5728.3535140000004</v>
      </c>
      <c r="J1441" t="s">
        <v>33</v>
      </c>
      <c r="K1441" t="s">
        <v>1990</v>
      </c>
      <c r="L1441" t="s">
        <v>21</v>
      </c>
      <c r="M1441" t="str">
        <f t="shared" si="66"/>
        <v>OK</v>
      </c>
      <c r="N1441" t="str">
        <f t="shared" si="67"/>
        <v>2000s</v>
      </c>
      <c r="O1441" t="str">
        <f t="shared" si="68"/>
        <v>N/A</v>
      </c>
      <c r="P1441" t="str">
        <f>VLOOKUP(E1441,calculated_fields!$F$4:$G$6,2,FALSE)</f>
        <v>Economy</v>
      </c>
    </row>
    <row r="1442" spans="1:16">
      <c r="A1442" t="s">
        <v>1993</v>
      </c>
      <c r="B1442" t="s">
        <v>1994</v>
      </c>
      <c r="C1442" t="s">
        <v>130</v>
      </c>
      <c r="D1442">
        <v>1952</v>
      </c>
      <c r="E1442" t="s">
        <v>15</v>
      </c>
      <c r="F1442" t="s">
        <v>16</v>
      </c>
      <c r="G1442" t="s">
        <v>17</v>
      </c>
      <c r="H1442" t="s">
        <v>18</v>
      </c>
      <c r="I1442">
        <v>34.481999999999999</v>
      </c>
      <c r="J1442" t="s">
        <v>19</v>
      </c>
      <c r="K1442" t="s">
        <v>1995</v>
      </c>
      <c r="L1442" t="s">
        <v>21</v>
      </c>
      <c r="M1442" t="str">
        <f t="shared" si="66"/>
        <v>OK</v>
      </c>
      <c r="N1442" t="str">
        <f t="shared" si="67"/>
        <v>1950s</v>
      </c>
      <c r="O1442" t="str">
        <f t="shared" si="68"/>
        <v>Low</v>
      </c>
      <c r="P1442" t="str">
        <f>VLOOKUP(E1442,calculated_fields!$F$4:$G$6,2,FALSE)</f>
        <v>Health</v>
      </c>
    </row>
    <row r="1443" spans="1:16">
      <c r="A1443" t="s">
        <v>1996</v>
      </c>
      <c r="B1443" t="s">
        <v>1994</v>
      </c>
      <c r="C1443" t="s">
        <v>130</v>
      </c>
      <c r="D1443">
        <v>1952</v>
      </c>
      <c r="E1443" t="s">
        <v>23</v>
      </c>
      <c r="F1443" t="s">
        <v>24</v>
      </c>
      <c r="G1443" t="s">
        <v>25</v>
      </c>
      <c r="H1443" t="s">
        <v>26</v>
      </c>
      <c r="I1443">
        <v>216964</v>
      </c>
      <c r="J1443" t="s">
        <v>27</v>
      </c>
      <c r="K1443" t="s">
        <v>1995</v>
      </c>
      <c r="L1443" t="s">
        <v>21</v>
      </c>
      <c r="M1443" t="str">
        <f t="shared" si="66"/>
        <v>OK</v>
      </c>
      <c r="N1443" t="str">
        <f t="shared" si="67"/>
        <v>1950s</v>
      </c>
      <c r="O1443" t="str">
        <f t="shared" si="68"/>
        <v>N/A</v>
      </c>
      <c r="P1443" t="str">
        <f>VLOOKUP(E1443,calculated_fields!$F$4:$G$6,2,FALSE)</f>
        <v>Demographics</v>
      </c>
    </row>
    <row r="1444" spans="1:16">
      <c r="A1444" t="s">
        <v>1997</v>
      </c>
      <c r="B1444" t="s">
        <v>1994</v>
      </c>
      <c r="C1444" t="s">
        <v>130</v>
      </c>
      <c r="D1444">
        <v>1952</v>
      </c>
      <c r="E1444" t="s">
        <v>29</v>
      </c>
      <c r="F1444" t="s">
        <v>30</v>
      </c>
      <c r="G1444" t="s">
        <v>31</v>
      </c>
      <c r="H1444" t="s">
        <v>32</v>
      </c>
      <c r="I1444">
        <v>375.64312310000003</v>
      </c>
      <c r="J1444" t="s">
        <v>33</v>
      </c>
      <c r="K1444" t="s">
        <v>1995</v>
      </c>
      <c r="L1444" t="s">
        <v>21</v>
      </c>
      <c r="M1444" t="str">
        <f t="shared" si="66"/>
        <v>OK</v>
      </c>
      <c r="N1444" t="str">
        <f t="shared" si="67"/>
        <v>1950s</v>
      </c>
      <c r="O1444" t="str">
        <f t="shared" si="68"/>
        <v>N/A</v>
      </c>
      <c r="P1444" t="str">
        <f>VLOOKUP(E1444,calculated_fields!$F$4:$G$6,2,FALSE)</f>
        <v>Economy</v>
      </c>
    </row>
    <row r="1445" spans="1:16">
      <c r="A1445" t="s">
        <v>1998</v>
      </c>
      <c r="B1445" t="s">
        <v>1994</v>
      </c>
      <c r="C1445" t="s">
        <v>130</v>
      </c>
      <c r="D1445">
        <v>1957</v>
      </c>
      <c r="E1445" t="s">
        <v>15</v>
      </c>
      <c r="F1445" t="s">
        <v>16</v>
      </c>
      <c r="G1445" t="s">
        <v>17</v>
      </c>
      <c r="H1445" t="s">
        <v>18</v>
      </c>
      <c r="I1445">
        <v>35.982999999999997</v>
      </c>
      <c r="J1445" t="s">
        <v>19</v>
      </c>
      <c r="K1445" t="s">
        <v>1999</v>
      </c>
      <c r="L1445" t="s">
        <v>21</v>
      </c>
      <c r="M1445" t="str">
        <f t="shared" si="66"/>
        <v>OK</v>
      </c>
      <c r="N1445" t="str">
        <f t="shared" si="67"/>
        <v>1950s</v>
      </c>
      <c r="O1445" t="str">
        <f t="shared" si="68"/>
        <v>Low</v>
      </c>
      <c r="P1445" t="str">
        <f>VLOOKUP(E1445,calculated_fields!$F$4:$G$6,2,FALSE)</f>
        <v>Health</v>
      </c>
    </row>
    <row r="1446" spans="1:16">
      <c r="A1446" t="s">
        <v>2000</v>
      </c>
      <c r="B1446" t="s">
        <v>1994</v>
      </c>
      <c r="C1446" t="s">
        <v>130</v>
      </c>
      <c r="D1446">
        <v>1957</v>
      </c>
      <c r="E1446" t="s">
        <v>23</v>
      </c>
      <c r="F1446" t="s">
        <v>24</v>
      </c>
      <c r="G1446" t="s">
        <v>25</v>
      </c>
      <c r="H1446" t="s">
        <v>26</v>
      </c>
      <c r="I1446">
        <v>232922</v>
      </c>
      <c r="J1446" t="s">
        <v>27</v>
      </c>
      <c r="K1446" t="s">
        <v>1999</v>
      </c>
      <c r="L1446" t="s">
        <v>21</v>
      </c>
      <c r="M1446" t="str">
        <f t="shared" si="66"/>
        <v>OK</v>
      </c>
      <c r="N1446" t="str">
        <f t="shared" si="67"/>
        <v>1950s</v>
      </c>
      <c r="O1446" t="str">
        <f t="shared" si="68"/>
        <v>N/A</v>
      </c>
      <c r="P1446" t="str">
        <f>VLOOKUP(E1446,calculated_fields!$F$4:$G$6,2,FALSE)</f>
        <v>Demographics</v>
      </c>
    </row>
    <row r="1447" spans="1:16">
      <c r="A1447" t="s">
        <v>2001</v>
      </c>
      <c r="B1447" t="s">
        <v>1994</v>
      </c>
      <c r="C1447" t="s">
        <v>130</v>
      </c>
      <c r="D1447">
        <v>1957</v>
      </c>
      <c r="E1447" t="s">
        <v>29</v>
      </c>
      <c r="F1447" t="s">
        <v>30</v>
      </c>
      <c r="G1447" t="s">
        <v>31</v>
      </c>
      <c r="H1447" t="s">
        <v>32</v>
      </c>
      <c r="I1447">
        <v>426.09640810000002</v>
      </c>
      <c r="J1447" t="s">
        <v>33</v>
      </c>
      <c r="K1447" t="s">
        <v>1999</v>
      </c>
      <c r="L1447" t="s">
        <v>21</v>
      </c>
      <c r="M1447" t="str">
        <f t="shared" si="66"/>
        <v>OK</v>
      </c>
      <c r="N1447" t="str">
        <f t="shared" si="67"/>
        <v>1950s</v>
      </c>
      <c r="O1447" t="str">
        <f t="shared" si="68"/>
        <v>N/A</v>
      </c>
      <c r="P1447" t="str">
        <f>VLOOKUP(E1447,calculated_fields!$F$4:$G$6,2,FALSE)</f>
        <v>Economy</v>
      </c>
    </row>
    <row r="1448" spans="1:16">
      <c r="A1448" t="s">
        <v>2002</v>
      </c>
      <c r="B1448" t="s">
        <v>1994</v>
      </c>
      <c r="C1448" t="s">
        <v>130</v>
      </c>
      <c r="D1448">
        <v>1962</v>
      </c>
      <c r="E1448" t="s">
        <v>15</v>
      </c>
      <c r="F1448" t="s">
        <v>16</v>
      </c>
      <c r="G1448" t="s">
        <v>17</v>
      </c>
      <c r="H1448" t="s">
        <v>18</v>
      </c>
      <c r="I1448">
        <v>37.484999999999999</v>
      </c>
      <c r="J1448" t="s">
        <v>19</v>
      </c>
      <c r="K1448" t="s">
        <v>2003</v>
      </c>
      <c r="L1448" t="s">
        <v>21</v>
      </c>
      <c r="M1448" t="str">
        <f t="shared" si="66"/>
        <v>OK</v>
      </c>
      <c r="N1448" t="str">
        <f t="shared" si="67"/>
        <v>1960s</v>
      </c>
      <c r="O1448" t="str">
        <f t="shared" si="68"/>
        <v>Low</v>
      </c>
      <c r="P1448" t="str">
        <f>VLOOKUP(E1448,calculated_fields!$F$4:$G$6,2,FALSE)</f>
        <v>Health</v>
      </c>
    </row>
    <row r="1449" spans="1:16">
      <c r="A1449" t="s">
        <v>2004</v>
      </c>
      <c r="B1449" t="s">
        <v>1994</v>
      </c>
      <c r="C1449" t="s">
        <v>130</v>
      </c>
      <c r="D1449">
        <v>1962</v>
      </c>
      <c r="E1449" t="s">
        <v>23</v>
      </c>
      <c r="F1449" t="s">
        <v>24</v>
      </c>
      <c r="G1449" t="s">
        <v>25</v>
      </c>
      <c r="H1449" t="s">
        <v>26</v>
      </c>
      <c r="I1449">
        <v>249220</v>
      </c>
      <c r="J1449" t="s">
        <v>27</v>
      </c>
      <c r="K1449" t="s">
        <v>2003</v>
      </c>
      <c r="L1449" t="s">
        <v>21</v>
      </c>
      <c r="M1449" t="str">
        <f t="shared" si="66"/>
        <v>OK</v>
      </c>
      <c r="N1449" t="str">
        <f t="shared" si="67"/>
        <v>1960s</v>
      </c>
      <c r="O1449" t="str">
        <f t="shared" si="68"/>
        <v>N/A</v>
      </c>
      <c r="P1449" t="str">
        <f>VLOOKUP(E1449,calculated_fields!$F$4:$G$6,2,FALSE)</f>
        <v>Demographics</v>
      </c>
    </row>
    <row r="1450" spans="1:16">
      <c r="A1450" t="s">
        <v>2005</v>
      </c>
      <c r="B1450" t="s">
        <v>1994</v>
      </c>
      <c r="C1450" t="s">
        <v>130</v>
      </c>
      <c r="D1450">
        <v>1962</v>
      </c>
      <c r="E1450" t="s">
        <v>29</v>
      </c>
      <c r="F1450" t="s">
        <v>30</v>
      </c>
      <c r="G1450" t="s">
        <v>31</v>
      </c>
      <c r="H1450" t="s">
        <v>32</v>
      </c>
      <c r="I1450">
        <v>582.84197139999901</v>
      </c>
      <c r="J1450" t="s">
        <v>33</v>
      </c>
      <c r="K1450" t="s">
        <v>2003</v>
      </c>
      <c r="L1450" t="s">
        <v>21</v>
      </c>
      <c r="M1450" t="str">
        <f t="shared" si="66"/>
        <v>OK</v>
      </c>
      <c r="N1450" t="str">
        <f t="shared" si="67"/>
        <v>1960s</v>
      </c>
      <c r="O1450" t="str">
        <f t="shared" si="68"/>
        <v>N/A</v>
      </c>
      <c r="P1450" t="str">
        <f>VLOOKUP(E1450,calculated_fields!$F$4:$G$6,2,FALSE)</f>
        <v>Economy</v>
      </c>
    </row>
    <row r="1451" spans="1:16">
      <c r="A1451" t="s">
        <v>2006</v>
      </c>
      <c r="B1451" t="s">
        <v>1994</v>
      </c>
      <c r="C1451" t="s">
        <v>130</v>
      </c>
      <c r="D1451">
        <v>1967</v>
      </c>
      <c r="E1451" t="s">
        <v>15</v>
      </c>
      <c r="F1451" t="s">
        <v>16</v>
      </c>
      <c r="G1451" t="s">
        <v>17</v>
      </c>
      <c r="H1451" t="s">
        <v>18</v>
      </c>
      <c r="I1451">
        <v>38.987000000000002</v>
      </c>
      <c r="J1451" t="s">
        <v>19</v>
      </c>
      <c r="K1451" t="s">
        <v>2007</v>
      </c>
      <c r="L1451" t="s">
        <v>21</v>
      </c>
      <c r="M1451" t="str">
        <f t="shared" si="66"/>
        <v>OK</v>
      </c>
      <c r="N1451" t="str">
        <f t="shared" si="67"/>
        <v>1960s</v>
      </c>
      <c r="O1451" t="str">
        <f t="shared" si="68"/>
        <v>Low</v>
      </c>
      <c r="P1451" t="str">
        <f>VLOOKUP(E1451,calculated_fields!$F$4:$G$6,2,FALSE)</f>
        <v>Health</v>
      </c>
    </row>
    <row r="1452" spans="1:16">
      <c r="A1452" t="s">
        <v>2008</v>
      </c>
      <c r="B1452" t="s">
        <v>1994</v>
      </c>
      <c r="C1452" t="s">
        <v>130</v>
      </c>
      <c r="D1452">
        <v>1967</v>
      </c>
      <c r="E1452" t="s">
        <v>23</v>
      </c>
      <c r="F1452" t="s">
        <v>24</v>
      </c>
      <c r="G1452" t="s">
        <v>25</v>
      </c>
      <c r="H1452" t="s">
        <v>26</v>
      </c>
      <c r="I1452">
        <v>259864</v>
      </c>
      <c r="J1452" t="s">
        <v>27</v>
      </c>
      <c r="K1452" t="s">
        <v>2007</v>
      </c>
      <c r="L1452" t="s">
        <v>21</v>
      </c>
      <c r="M1452" t="str">
        <f t="shared" si="66"/>
        <v>OK</v>
      </c>
      <c r="N1452" t="str">
        <f t="shared" si="67"/>
        <v>1960s</v>
      </c>
      <c r="O1452" t="str">
        <f t="shared" si="68"/>
        <v>N/A</v>
      </c>
      <c r="P1452" t="str">
        <f>VLOOKUP(E1452,calculated_fields!$F$4:$G$6,2,FALSE)</f>
        <v>Demographics</v>
      </c>
    </row>
    <row r="1453" spans="1:16">
      <c r="A1453" t="s">
        <v>2009</v>
      </c>
      <c r="B1453" t="s">
        <v>1994</v>
      </c>
      <c r="C1453" t="s">
        <v>130</v>
      </c>
      <c r="D1453">
        <v>1967</v>
      </c>
      <c r="E1453" t="s">
        <v>29</v>
      </c>
      <c r="F1453" t="s">
        <v>30</v>
      </c>
      <c r="G1453" t="s">
        <v>31</v>
      </c>
      <c r="H1453" t="s">
        <v>32</v>
      </c>
      <c r="I1453">
        <v>915.59600250000005</v>
      </c>
      <c r="J1453" t="s">
        <v>33</v>
      </c>
      <c r="K1453" t="s">
        <v>2007</v>
      </c>
      <c r="L1453" t="s">
        <v>21</v>
      </c>
      <c r="M1453" t="str">
        <f t="shared" si="66"/>
        <v>OK</v>
      </c>
      <c r="N1453" t="str">
        <f t="shared" si="67"/>
        <v>1960s</v>
      </c>
      <c r="O1453" t="str">
        <f t="shared" si="68"/>
        <v>N/A</v>
      </c>
      <c r="P1453" t="str">
        <f>VLOOKUP(E1453,calculated_fields!$F$4:$G$6,2,FALSE)</f>
        <v>Economy</v>
      </c>
    </row>
    <row r="1454" spans="1:16">
      <c r="A1454" t="s">
        <v>2010</v>
      </c>
      <c r="B1454" t="s">
        <v>1994</v>
      </c>
      <c r="C1454" t="s">
        <v>130</v>
      </c>
      <c r="D1454">
        <v>1972</v>
      </c>
      <c r="E1454" t="s">
        <v>15</v>
      </c>
      <c r="F1454" t="s">
        <v>16</v>
      </c>
      <c r="G1454" t="s">
        <v>17</v>
      </c>
      <c r="H1454" t="s">
        <v>18</v>
      </c>
      <c r="I1454">
        <v>40.515999999999998</v>
      </c>
      <c r="J1454" t="s">
        <v>19</v>
      </c>
      <c r="K1454" t="s">
        <v>2011</v>
      </c>
      <c r="L1454" t="s">
        <v>21</v>
      </c>
      <c r="M1454" t="str">
        <f t="shared" si="66"/>
        <v>OK</v>
      </c>
      <c r="N1454" t="str">
        <f t="shared" si="67"/>
        <v>1970s</v>
      </c>
      <c r="O1454" t="str">
        <f t="shared" si="68"/>
        <v>Low</v>
      </c>
      <c r="P1454" t="str">
        <f>VLOOKUP(E1454,calculated_fields!$F$4:$G$6,2,FALSE)</f>
        <v>Health</v>
      </c>
    </row>
    <row r="1455" spans="1:16">
      <c r="A1455" t="s">
        <v>2012</v>
      </c>
      <c r="B1455" t="s">
        <v>1994</v>
      </c>
      <c r="C1455" t="s">
        <v>130</v>
      </c>
      <c r="D1455">
        <v>1972</v>
      </c>
      <c r="E1455" t="s">
        <v>23</v>
      </c>
      <c r="F1455" t="s">
        <v>24</v>
      </c>
      <c r="G1455" t="s">
        <v>25</v>
      </c>
      <c r="H1455" t="s">
        <v>26</v>
      </c>
      <c r="I1455">
        <v>277603</v>
      </c>
      <c r="J1455" t="s">
        <v>27</v>
      </c>
      <c r="K1455" t="s">
        <v>2011</v>
      </c>
      <c r="L1455" t="s">
        <v>21</v>
      </c>
      <c r="M1455" t="str">
        <f t="shared" si="66"/>
        <v>OK</v>
      </c>
      <c r="N1455" t="str">
        <f t="shared" si="67"/>
        <v>1970s</v>
      </c>
      <c r="O1455" t="str">
        <f t="shared" si="68"/>
        <v>N/A</v>
      </c>
      <c r="P1455" t="str">
        <f>VLOOKUP(E1455,calculated_fields!$F$4:$G$6,2,FALSE)</f>
        <v>Demographics</v>
      </c>
    </row>
    <row r="1456" spans="1:16">
      <c r="A1456" t="s">
        <v>2013</v>
      </c>
      <c r="B1456" t="s">
        <v>1994</v>
      </c>
      <c r="C1456" t="s">
        <v>130</v>
      </c>
      <c r="D1456">
        <v>1972</v>
      </c>
      <c r="E1456" t="s">
        <v>29</v>
      </c>
      <c r="F1456" t="s">
        <v>30</v>
      </c>
      <c r="G1456" t="s">
        <v>31</v>
      </c>
      <c r="H1456" t="s">
        <v>32</v>
      </c>
      <c r="I1456">
        <v>672.41225710000003</v>
      </c>
      <c r="J1456" t="s">
        <v>33</v>
      </c>
      <c r="K1456" t="s">
        <v>2011</v>
      </c>
      <c r="L1456" t="s">
        <v>21</v>
      </c>
      <c r="M1456" t="str">
        <f t="shared" si="66"/>
        <v>OK</v>
      </c>
      <c r="N1456" t="str">
        <f t="shared" si="67"/>
        <v>1970s</v>
      </c>
      <c r="O1456" t="str">
        <f t="shared" si="68"/>
        <v>N/A</v>
      </c>
      <c r="P1456" t="str">
        <f>VLOOKUP(E1456,calculated_fields!$F$4:$G$6,2,FALSE)</f>
        <v>Economy</v>
      </c>
    </row>
    <row r="1457" spans="1:16">
      <c r="A1457" t="s">
        <v>2014</v>
      </c>
      <c r="B1457" t="s">
        <v>1994</v>
      </c>
      <c r="C1457" t="s">
        <v>130</v>
      </c>
      <c r="D1457">
        <v>1977</v>
      </c>
      <c r="E1457" t="s">
        <v>15</v>
      </c>
      <c r="F1457" t="s">
        <v>16</v>
      </c>
      <c r="G1457" t="s">
        <v>17</v>
      </c>
      <c r="H1457" t="s">
        <v>18</v>
      </c>
      <c r="I1457">
        <v>42.024000000000001</v>
      </c>
      <c r="J1457" t="s">
        <v>19</v>
      </c>
      <c r="K1457" t="s">
        <v>2015</v>
      </c>
      <c r="L1457" t="s">
        <v>21</v>
      </c>
      <c r="M1457" t="str">
        <f t="shared" si="66"/>
        <v>OK</v>
      </c>
      <c r="N1457" t="str">
        <f t="shared" si="67"/>
        <v>1970s</v>
      </c>
      <c r="O1457" t="str">
        <f t="shared" si="68"/>
        <v>Low</v>
      </c>
      <c r="P1457" t="str">
        <f>VLOOKUP(E1457,calculated_fields!$F$4:$G$6,2,FALSE)</f>
        <v>Health</v>
      </c>
    </row>
    <row r="1458" spans="1:16">
      <c r="A1458" t="s">
        <v>2016</v>
      </c>
      <c r="B1458" t="s">
        <v>1994</v>
      </c>
      <c r="C1458" t="s">
        <v>130</v>
      </c>
      <c r="D1458">
        <v>1977</v>
      </c>
      <c r="E1458" t="s">
        <v>23</v>
      </c>
      <c r="F1458" t="s">
        <v>24</v>
      </c>
      <c r="G1458" t="s">
        <v>25</v>
      </c>
      <c r="H1458" t="s">
        <v>26</v>
      </c>
      <c r="I1458">
        <v>192675</v>
      </c>
      <c r="J1458" t="s">
        <v>27</v>
      </c>
      <c r="K1458" t="s">
        <v>2015</v>
      </c>
      <c r="L1458" t="s">
        <v>21</v>
      </c>
      <c r="M1458" t="str">
        <f t="shared" si="66"/>
        <v>OK</v>
      </c>
      <c r="N1458" t="str">
        <f t="shared" si="67"/>
        <v>1970s</v>
      </c>
      <c r="O1458" t="str">
        <f t="shared" si="68"/>
        <v>N/A</v>
      </c>
      <c r="P1458" t="str">
        <f>VLOOKUP(E1458,calculated_fields!$F$4:$G$6,2,FALSE)</f>
        <v>Demographics</v>
      </c>
    </row>
    <row r="1459" spans="1:16">
      <c r="A1459" t="s">
        <v>2017</v>
      </c>
      <c r="B1459" t="s">
        <v>1994</v>
      </c>
      <c r="C1459" t="s">
        <v>130</v>
      </c>
      <c r="D1459">
        <v>1977</v>
      </c>
      <c r="E1459" t="s">
        <v>29</v>
      </c>
      <c r="F1459" t="s">
        <v>30</v>
      </c>
      <c r="G1459" t="s">
        <v>31</v>
      </c>
      <c r="H1459" t="s">
        <v>32</v>
      </c>
      <c r="I1459">
        <v>958.5668124</v>
      </c>
      <c r="J1459" t="s">
        <v>33</v>
      </c>
      <c r="K1459" t="s">
        <v>2015</v>
      </c>
      <c r="L1459" t="s">
        <v>21</v>
      </c>
      <c r="M1459" t="str">
        <f t="shared" si="66"/>
        <v>OK</v>
      </c>
      <c r="N1459" t="str">
        <f t="shared" si="67"/>
        <v>1970s</v>
      </c>
      <c r="O1459" t="str">
        <f t="shared" si="68"/>
        <v>N/A</v>
      </c>
      <c r="P1459" t="str">
        <f>VLOOKUP(E1459,calculated_fields!$F$4:$G$6,2,FALSE)</f>
        <v>Economy</v>
      </c>
    </row>
    <row r="1460" spans="1:16">
      <c r="A1460" t="s">
        <v>2018</v>
      </c>
      <c r="B1460" t="s">
        <v>1994</v>
      </c>
      <c r="C1460" t="s">
        <v>130</v>
      </c>
      <c r="D1460">
        <v>1982</v>
      </c>
      <c r="E1460" t="s">
        <v>15</v>
      </c>
      <c r="F1460" t="s">
        <v>16</v>
      </c>
      <c r="G1460" t="s">
        <v>17</v>
      </c>
      <c r="H1460" t="s">
        <v>18</v>
      </c>
      <c r="I1460">
        <v>43.661999999999999</v>
      </c>
      <c r="J1460" t="s">
        <v>19</v>
      </c>
      <c r="K1460" t="s">
        <v>2019</v>
      </c>
      <c r="L1460" t="s">
        <v>21</v>
      </c>
      <c r="M1460" t="str">
        <f t="shared" si="66"/>
        <v>OK</v>
      </c>
      <c r="N1460" t="str">
        <f t="shared" si="67"/>
        <v>1980s</v>
      </c>
      <c r="O1460" t="str">
        <f t="shared" si="68"/>
        <v>Low</v>
      </c>
      <c r="P1460" t="str">
        <f>VLOOKUP(E1460,calculated_fields!$F$4:$G$6,2,FALSE)</f>
        <v>Health</v>
      </c>
    </row>
    <row r="1461" spans="1:16">
      <c r="A1461" t="s">
        <v>2020</v>
      </c>
      <c r="B1461" t="s">
        <v>1994</v>
      </c>
      <c r="C1461" t="s">
        <v>130</v>
      </c>
      <c r="D1461">
        <v>1982</v>
      </c>
      <c r="E1461" t="s">
        <v>23</v>
      </c>
      <c r="F1461" t="s">
        <v>24</v>
      </c>
      <c r="G1461" t="s">
        <v>25</v>
      </c>
      <c r="H1461" t="s">
        <v>26</v>
      </c>
      <c r="I1461">
        <v>285483</v>
      </c>
      <c r="J1461" t="s">
        <v>27</v>
      </c>
      <c r="K1461" t="s">
        <v>2019</v>
      </c>
      <c r="L1461" t="s">
        <v>21</v>
      </c>
      <c r="M1461" t="str">
        <f t="shared" si="66"/>
        <v>OK</v>
      </c>
      <c r="N1461" t="str">
        <f t="shared" si="67"/>
        <v>1980s</v>
      </c>
      <c r="O1461" t="str">
        <f t="shared" si="68"/>
        <v>N/A</v>
      </c>
      <c r="P1461" t="str">
        <f>VLOOKUP(E1461,calculated_fields!$F$4:$G$6,2,FALSE)</f>
        <v>Demographics</v>
      </c>
    </row>
    <row r="1462" spans="1:16">
      <c r="A1462" t="s">
        <v>2021</v>
      </c>
      <c r="B1462" t="s">
        <v>1994</v>
      </c>
      <c r="C1462" t="s">
        <v>130</v>
      </c>
      <c r="D1462">
        <v>1982</v>
      </c>
      <c r="E1462" t="s">
        <v>29</v>
      </c>
      <c r="F1462" t="s">
        <v>30</v>
      </c>
      <c r="G1462" t="s">
        <v>31</v>
      </c>
      <c r="H1462" t="s">
        <v>32</v>
      </c>
      <c r="I1462">
        <v>927.82534269999996</v>
      </c>
      <c r="J1462" t="s">
        <v>33</v>
      </c>
      <c r="K1462" t="s">
        <v>2019</v>
      </c>
      <c r="L1462" t="s">
        <v>21</v>
      </c>
      <c r="M1462" t="str">
        <f t="shared" si="66"/>
        <v>OK</v>
      </c>
      <c r="N1462" t="str">
        <f t="shared" si="67"/>
        <v>1980s</v>
      </c>
      <c r="O1462" t="str">
        <f t="shared" si="68"/>
        <v>N/A</v>
      </c>
      <c r="P1462" t="str">
        <f>VLOOKUP(E1462,calculated_fields!$F$4:$G$6,2,FALSE)</f>
        <v>Economy</v>
      </c>
    </row>
    <row r="1463" spans="1:16">
      <c r="A1463" t="s">
        <v>2022</v>
      </c>
      <c r="B1463" t="s">
        <v>1994</v>
      </c>
      <c r="C1463" t="s">
        <v>130</v>
      </c>
      <c r="D1463">
        <v>1987</v>
      </c>
      <c r="E1463" t="s">
        <v>15</v>
      </c>
      <c r="F1463" t="s">
        <v>16</v>
      </c>
      <c r="G1463" t="s">
        <v>17</v>
      </c>
      <c r="H1463" t="s">
        <v>18</v>
      </c>
      <c r="I1463">
        <v>45.664000000000001</v>
      </c>
      <c r="J1463" t="s">
        <v>19</v>
      </c>
      <c r="K1463" t="s">
        <v>2023</v>
      </c>
      <c r="L1463" t="s">
        <v>21</v>
      </c>
      <c r="M1463" t="str">
        <f t="shared" si="66"/>
        <v>OK</v>
      </c>
      <c r="N1463" t="str">
        <f t="shared" si="67"/>
        <v>1980s</v>
      </c>
      <c r="O1463" t="str">
        <f t="shared" si="68"/>
        <v>Low</v>
      </c>
      <c r="P1463" t="str">
        <f>VLOOKUP(E1463,calculated_fields!$F$4:$G$6,2,FALSE)</f>
        <v>Health</v>
      </c>
    </row>
    <row r="1464" spans="1:16">
      <c r="A1464" t="s">
        <v>2024</v>
      </c>
      <c r="B1464" t="s">
        <v>1994</v>
      </c>
      <c r="C1464" t="s">
        <v>130</v>
      </c>
      <c r="D1464">
        <v>1987</v>
      </c>
      <c r="E1464" t="s">
        <v>23</v>
      </c>
      <c r="F1464" t="s">
        <v>24</v>
      </c>
      <c r="G1464" t="s">
        <v>25</v>
      </c>
      <c r="H1464" t="s">
        <v>26</v>
      </c>
      <c r="I1464">
        <v>341244</v>
      </c>
      <c r="J1464" t="s">
        <v>27</v>
      </c>
      <c r="K1464" t="s">
        <v>2023</v>
      </c>
      <c r="L1464" t="s">
        <v>21</v>
      </c>
      <c r="M1464" t="str">
        <f t="shared" si="66"/>
        <v>OK</v>
      </c>
      <c r="N1464" t="str">
        <f t="shared" si="67"/>
        <v>1980s</v>
      </c>
      <c r="O1464" t="str">
        <f t="shared" si="68"/>
        <v>N/A</v>
      </c>
      <c r="P1464" t="str">
        <f>VLOOKUP(E1464,calculated_fields!$F$4:$G$6,2,FALSE)</f>
        <v>Demographics</v>
      </c>
    </row>
    <row r="1465" spans="1:16">
      <c r="A1465" t="s">
        <v>2025</v>
      </c>
      <c r="B1465" t="s">
        <v>1994</v>
      </c>
      <c r="C1465" t="s">
        <v>130</v>
      </c>
      <c r="D1465">
        <v>1987</v>
      </c>
      <c r="E1465" t="s">
        <v>29</v>
      </c>
      <c r="F1465" t="s">
        <v>30</v>
      </c>
      <c r="G1465" t="s">
        <v>31</v>
      </c>
      <c r="H1465" t="s">
        <v>32</v>
      </c>
      <c r="I1465">
        <v>966.89681489999998</v>
      </c>
      <c r="J1465" t="s">
        <v>33</v>
      </c>
      <c r="K1465" t="s">
        <v>2023</v>
      </c>
      <c r="L1465" t="s">
        <v>21</v>
      </c>
      <c r="M1465" t="str">
        <f t="shared" si="66"/>
        <v>OK</v>
      </c>
      <c r="N1465" t="str">
        <f t="shared" si="67"/>
        <v>1980s</v>
      </c>
      <c r="O1465" t="str">
        <f t="shared" si="68"/>
        <v>N/A</v>
      </c>
      <c r="P1465" t="str">
        <f>VLOOKUP(E1465,calculated_fields!$F$4:$G$6,2,FALSE)</f>
        <v>Economy</v>
      </c>
    </row>
    <row r="1466" spans="1:16">
      <c r="A1466" t="s">
        <v>2026</v>
      </c>
      <c r="B1466" t="s">
        <v>1994</v>
      </c>
      <c r="C1466" t="s">
        <v>130</v>
      </c>
      <c r="D1466">
        <v>1992</v>
      </c>
      <c r="E1466" t="s">
        <v>15</v>
      </c>
      <c r="F1466" t="s">
        <v>16</v>
      </c>
      <c r="G1466" t="s">
        <v>17</v>
      </c>
      <c r="H1466" t="s">
        <v>18</v>
      </c>
      <c r="I1466">
        <v>47.545000000000002</v>
      </c>
      <c r="J1466" t="s">
        <v>19</v>
      </c>
      <c r="K1466" t="s">
        <v>2027</v>
      </c>
      <c r="L1466" t="s">
        <v>21</v>
      </c>
      <c r="M1466" t="str">
        <f t="shared" si="66"/>
        <v>OK</v>
      </c>
      <c r="N1466" t="str">
        <f t="shared" si="67"/>
        <v>1990s</v>
      </c>
      <c r="O1466" t="str">
        <f t="shared" si="68"/>
        <v>Low</v>
      </c>
      <c r="P1466" t="str">
        <f>VLOOKUP(E1466,calculated_fields!$F$4:$G$6,2,FALSE)</f>
        <v>Health</v>
      </c>
    </row>
    <row r="1467" spans="1:16">
      <c r="A1467" t="s">
        <v>2028</v>
      </c>
      <c r="B1467" t="s">
        <v>1994</v>
      </c>
      <c r="C1467" t="s">
        <v>130</v>
      </c>
      <c r="D1467">
        <v>1992</v>
      </c>
      <c r="E1467" t="s">
        <v>23</v>
      </c>
      <c r="F1467" t="s">
        <v>24</v>
      </c>
      <c r="G1467" t="s">
        <v>25</v>
      </c>
      <c r="H1467" t="s">
        <v>26</v>
      </c>
      <c r="I1467">
        <v>387838</v>
      </c>
      <c r="J1467" t="s">
        <v>27</v>
      </c>
      <c r="K1467" t="s">
        <v>2027</v>
      </c>
      <c r="L1467" t="s">
        <v>21</v>
      </c>
      <c r="M1467" t="str">
        <f t="shared" si="66"/>
        <v>OK</v>
      </c>
      <c r="N1467" t="str">
        <f t="shared" si="67"/>
        <v>1990s</v>
      </c>
      <c r="O1467" t="str">
        <f t="shared" si="68"/>
        <v>N/A</v>
      </c>
      <c r="P1467" t="str">
        <f>VLOOKUP(E1467,calculated_fields!$F$4:$G$6,2,FALSE)</f>
        <v>Demographics</v>
      </c>
    </row>
    <row r="1468" spans="1:16">
      <c r="A1468" t="s">
        <v>2029</v>
      </c>
      <c r="B1468" t="s">
        <v>1994</v>
      </c>
      <c r="C1468" t="s">
        <v>130</v>
      </c>
      <c r="D1468">
        <v>1992</v>
      </c>
      <c r="E1468" t="s">
        <v>29</v>
      </c>
      <c r="F1468" t="s">
        <v>30</v>
      </c>
      <c r="G1468" t="s">
        <v>31</v>
      </c>
      <c r="H1468" t="s">
        <v>32</v>
      </c>
      <c r="I1468">
        <v>1132.055034</v>
      </c>
      <c r="J1468" t="s">
        <v>33</v>
      </c>
      <c r="K1468" t="s">
        <v>2027</v>
      </c>
      <c r="L1468" t="s">
        <v>21</v>
      </c>
      <c r="M1468" t="str">
        <f t="shared" si="66"/>
        <v>OK</v>
      </c>
      <c r="N1468" t="str">
        <f t="shared" si="67"/>
        <v>1990s</v>
      </c>
      <c r="O1468" t="str">
        <f t="shared" si="68"/>
        <v>N/A</v>
      </c>
      <c r="P1468" t="str">
        <f>VLOOKUP(E1468,calculated_fields!$F$4:$G$6,2,FALSE)</f>
        <v>Economy</v>
      </c>
    </row>
    <row r="1469" spans="1:16">
      <c r="A1469" t="s">
        <v>2030</v>
      </c>
      <c r="B1469" t="s">
        <v>1994</v>
      </c>
      <c r="C1469" t="s">
        <v>130</v>
      </c>
      <c r="D1469">
        <v>1997</v>
      </c>
      <c r="E1469" t="s">
        <v>15</v>
      </c>
      <c r="F1469" t="s">
        <v>16</v>
      </c>
      <c r="G1469" t="s">
        <v>17</v>
      </c>
      <c r="H1469" t="s">
        <v>18</v>
      </c>
      <c r="I1469">
        <v>48.244999999999997</v>
      </c>
      <c r="J1469" t="s">
        <v>19</v>
      </c>
      <c r="K1469" t="s">
        <v>2031</v>
      </c>
      <c r="L1469" t="s">
        <v>21</v>
      </c>
      <c r="M1469" t="str">
        <f t="shared" si="66"/>
        <v>OK</v>
      </c>
      <c r="N1469" t="str">
        <f t="shared" si="67"/>
        <v>1990s</v>
      </c>
      <c r="O1469" t="str">
        <f t="shared" si="68"/>
        <v>Low</v>
      </c>
      <c r="P1469" t="str">
        <f>VLOOKUP(E1469,calculated_fields!$F$4:$G$6,2,FALSE)</f>
        <v>Health</v>
      </c>
    </row>
    <row r="1470" spans="1:16">
      <c r="A1470" t="s">
        <v>2032</v>
      </c>
      <c r="B1470" t="s">
        <v>1994</v>
      </c>
      <c r="C1470" t="s">
        <v>130</v>
      </c>
      <c r="D1470">
        <v>1997</v>
      </c>
      <c r="E1470" t="s">
        <v>23</v>
      </c>
      <c r="F1470" t="s">
        <v>24</v>
      </c>
      <c r="G1470" t="s">
        <v>25</v>
      </c>
      <c r="H1470" t="s">
        <v>26</v>
      </c>
      <c r="I1470">
        <v>439971</v>
      </c>
      <c r="J1470" t="s">
        <v>27</v>
      </c>
      <c r="K1470" t="s">
        <v>2031</v>
      </c>
      <c r="L1470" t="s">
        <v>21</v>
      </c>
      <c r="M1470" t="str">
        <f t="shared" si="66"/>
        <v>OK</v>
      </c>
      <c r="N1470" t="str">
        <f t="shared" si="67"/>
        <v>1990s</v>
      </c>
      <c r="O1470" t="str">
        <f t="shared" si="68"/>
        <v>N/A</v>
      </c>
      <c r="P1470" t="str">
        <f>VLOOKUP(E1470,calculated_fields!$F$4:$G$6,2,FALSE)</f>
        <v>Demographics</v>
      </c>
    </row>
    <row r="1471" spans="1:16">
      <c r="A1471" t="s">
        <v>2033</v>
      </c>
      <c r="B1471" t="s">
        <v>1994</v>
      </c>
      <c r="C1471" t="s">
        <v>130</v>
      </c>
      <c r="D1471">
        <v>1997</v>
      </c>
      <c r="E1471" t="s">
        <v>29</v>
      </c>
      <c r="F1471" t="s">
        <v>30</v>
      </c>
      <c r="G1471" t="s">
        <v>31</v>
      </c>
      <c r="H1471" t="s">
        <v>32</v>
      </c>
      <c r="I1471">
        <v>2814.480755</v>
      </c>
      <c r="J1471" t="s">
        <v>33</v>
      </c>
      <c r="K1471" t="s">
        <v>2031</v>
      </c>
      <c r="L1471" t="s">
        <v>21</v>
      </c>
      <c r="M1471" t="str">
        <f t="shared" si="66"/>
        <v>OK</v>
      </c>
      <c r="N1471" t="str">
        <f t="shared" si="67"/>
        <v>1990s</v>
      </c>
      <c r="O1471" t="str">
        <f t="shared" si="68"/>
        <v>N/A</v>
      </c>
      <c r="P1471" t="str">
        <f>VLOOKUP(E1471,calculated_fields!$F$4:$G$6,2,FALSE)</f>
        <v>Economy</v>
      </c>
    </row>
    <row r="1472" spans="1:16">
      <c r="A1472" t="s">
        <v>2034</v>
      </c>
      <c r="B1472" t="s">
        <v>1994</v>
      </c>
      <c r="C1472" t="s">
        <v>130</v>
      </c>
      <c r="D1472">
        <v>2002</v>
      </c>
      <c r="E1472" t="s">
        <v>15</v>
      </c>
      <c r="F1472" t="s">
        <v>16</v>
      </c>
      <c r="G1472" t="s">
        <v>17</v>
      </c>
      <c r="H1472" t="s">
        <v>18</v>
      </c>
      <c r="I1472">
        <v>49.347999999999999</v>
      </c>
      <c r="J1472" t="s">
        <v>19</v>
      </c>
      <c r="K1472" t="s">
        <v>2035</v>
      </c>
      <c r="L1472" t="s">
        <v>21</v>
      </c>
      <c r="M1472" t="str">
        <f t="shared" si="66"/>
        <v>OK</v>
      </c>
      <c r="N1472" t="str">
        <f t="shared" si="67"/>
        <v>2000s</v>
      </c>
      <c r="O1472" t="str">
        <f t="shared" si="68"/>
        <v>Low</v>
      </c>
      <c r="P1472" t="str">
        <f>VLOOKUP(E1472,calculated_fields!$F$4:$G$6,2,FALSE)</f>
        <v>Health</v>
      </c>
    </row>
    <row r="1473" spans="1:16">
      <c r="A1473" t="s">
        <v>2036</v>
      </c>
      <c r="B1473" t="s">
        <v>1994</v>
      </c>
      <c r="C1473" t="s">
        <v>130</v>
      </c>
      <c r="D1473">
        <v>2002</v>
      </c>
      <c r="E1473" t="s">
        <v>23</v>
      </c>
      <c r="F1473" t="s">
        <v>24</v>
      </c>
      <c r="G1473" t="s">
        <v>25</v>
      </c>
      <c r="H1473" t="s">
        <v>26</v>
      </c>
      <c r="I1473">
        <v>495627</v>
      </c>
      <c r="J1473" t="s">
        <v>27</v>
      </c>
      <c r="K1473" t="s">
        <v>2035</v>
      </c>
      <c r="L1473" t="s">
        <v>21</v>
      </c>
      <c r="M1473" t="str">
        <f t="shared" si="66"/>
        <v>OK</v>
      </c>
      <c r="N1473" t="str">
        <f t="shared" si="67"/>
        <v>2000s</v>
      </c>
      <c r="O1473" t="str">
        <f t="shared" si="68"/>
        <v>N/A</v>
      </c>
      <c r="P1473" t="str">
        <f>VLOOKUP(E1473,calculated_fields!$F$4:$G$6,2,FALSE)</f>
        <v>Demographics</v>
      </c>
    </row>
    <row r="1474" spans="1:16">
      <c r="A1474" t="s">
        <v>2037</v>
      </c>
      <c r="B1474" t="s">
        <v>1994</v>
      </c>
      <c r="C1474" t="s">
        <v>130</v>
      </c>
      <c r="D1474">
        <v>2002</v>
      </c>
      <c r="E1474" t="s">
        <v>29</v>
      </c>
      <c r="F1474" t="s">
        <v>30</v>
      </c>
      <c r="G1474" t="s">
        <v>31</v>
      </c>
      <c r="H1474" t="s">
        <v>32</v>
      </c>
      <c r="I1474">
        <v>7703.4958999999999</v>
      </c>
      <c r="J1474" t="s">
        <v>33</v>
      </c>
      <c r="K1474" t="s">
        <v>2035</v>
      </c>
      <c r="L1474" t="s">
        <v>21</v>
      </c>
      <c r="M1474" t="str">
        <f t="shared" ref="M1474:M1537" si="69">IF(AND(ISNUMBER(I1474),I1474&gt;=0),"OK","Review")</f>
        <v>OK</v>
      </c>
      <c r="N1474" t="str">
        <f t="shared" ref="N1474:N1537" si="70">FLOOR(D1474,10)&amp;"s"</f>
        <v>2000s</v>
      </c>
      <c r="O1474" t="str">
        <f t="shared" ref="O1474:O1537" si="71">IF(E1474="LIFE_EXP",IF(I1474&gt;=70,"High",IF(I1474&gt;=55,"Medium","Low")),"N/A")</f>
        <v>N/A</v>
      </c>
      <c r="P1474" t="str">
        <f>VLOOKUP(E1474,calculated_fields!$F$4:$G$6,2,FALSE)</f>
        <v>Economy</v>
      </c>
    </row>
    <row r="1475" spans="1:16">
      <c r="A1475" t="s">
        <v>2038</v>
      </c>
      <c r="B1475" t="s">
        <v>1994</v>
      </c>
      <c r="C1475" t="s">
        <v>130</v>
      </c>
      <c r="D1475">
        <v>2007</v>
      </c>
      <c r="E1475" t="s">
        <v>15</v>
      </c>
      <c r="F1475" t="s">
        <v>16</v>
      </c>
      <c r="G1475" t="s">
        <v>17</v>
      </c>
      <c r="H1475" t="s">
        <v>18</v>
      </c>
      <c r="I1475">
        <v>51.578999999999901</v>
      </c>
      <c r="J1475" t="s">
        <v>19</v>
      </c>
      <c r="K1475" t="s">
        <v>2039</v>
      </c>
      <c r="L1475" t="s">
        <v>21</v>
      </c>
      <c r="M1475" t="str">
        <f t="shared" si="69"/>
        <v>OK</v>
      </c>
      <c r="N1475" t="str">
        <f t="shared" si="70"/>
        <v>2000s</v>
      </c>
      <c r="O1475" t="str">
        <f t="shared" si="71"/>
        <v>Low</v>
      </c>
      <c r="P1475" t="str">
        <f>VLOOKUP(E1475,calculated_fields!$F$4:$G$6,2,FALSE)</f>
        <v>Health</v>
      </c>
    </row>
    <row r="1476" spans="1:16">
      <c r="A1476" t="s">
        <v>2040</v>
      </c>
      <c r="B1476" t="s">
        <v>1994</v>
      </c>
      <c r="C1476" t="s">
        <v>130</v>
      </c>
      <c r="D1476">
        <v>2007</v>
      </c>
      <c r="E1476" t="s">
        <v>23</v>
      </c>
      <c r="F1476" t="s">
        <v>24</v>
      </c>
      <c r="G1476" t="s">
        <v>25</v>
      </c>
      <c r="H1476" t="s">
        <v>26</v>
      </c>
      <c r="I1476">
        <v>551201</v>
      </c>
      <c r="J1476" t="s">
        <v>27</v>
      </c>
      <c r="K1476" t="s">
        <v>2039</v>
      </c>
      <c r="L1476" t="s">
        <v>21</v>
      </c>
      <c r="M1476" t="str">
        <f t="shared" si="69"/>
        <v>OK</v>
      </c>
      <c r="N1476" t="str">
        <f t="shared" si="70"/>
        <v>2000s</v>
      </c>
      <c r="O1476" t="str">
        <f t="shared" si="71"/>
        <v>N/A</v>
      </c>
      <c r="P1476" t="str">
        <f>VLOOKUP(E1476,calculated_fields!$F$4:$G$6,2,FALSE)</f>
        <v>Demographics</v>
      </c>
    </row>
    <row r="1477" spans="1:16">
      <c r="A1477" t="s">
        <v>2041</v>
      </c>
      <c r="B1477" t="s">
        <v>1994</v>
      </c>
      <c r="C1477" t="s">
        <v>130</v>
      </c>
      <c r="D1477">
        <v>2007</v>
      </c>
      <c r="E1477" t="s">
        <v>29</v>
      </c>
      <c r="F1477" t="s">
        <v>30</v>
      </c>
      <c r="G1477" t="s">
        <v>31</v>
      </c>
      <c r="H1477" t="s">
        <v>32</v>
      </c>
      <c r="I1477">
        <v>12154.089749999999</v>
      </c>
      <c r="J1477" t="s">
        <v>33</v>
      </c>
      <c r="K1477" t="s">
        <v>2039</v>
      </c>
      <c r="L1477" t="s">
        <v>21</v>
      </c>
      <c r="M1477" t="str">
        <f t="shared" si="69"/>
        <v>OK</v>
      </c>
      <c r="N1477" t="str">
        <f t="shared" si="70"/>
        <v>2000s</v>
      </c>
      <c r="O1477" t="str">
        <f t="shared" si="71"/>
        <v>N/A</v>
      </c>
      <c r="P1477" t="str">
        <f>VLOOKUP(E1477,calculated_fields!$F$4:$G$6,2,FALSE)</f>
        <v>Economy</v>
      </c>
    </row>
    <row r="1478" spans="1:16">
      <c r="A1478" t="s">
        <v>2042</v>
      </c>
      <c r="B1478" t="s">
        <v>2043</v>
      </c>
      <c r="C1478" t="s">
        <v>130</v>
      </c>
      <c r="D1478">
        <v>1952</v>
      </c>
      <c r="E1478" t="s">
        <v>15</v>
      </c>
      <c r="F1478" t="s">
        <v>16</v>
      </c>
      <c r="G1478" t="s">
        <v>17</v>
      </c>
      <c r="H1478" t="s">
        <v>18</v>
      </c>
      <c r="I1478">
        <v>35.927999999999997</v>
      </c>
      <c r="J1478" t="s">
        <v>19</v>
      </c>
      <c r="K1478" t="s">
        <v>2044</v>
      </c>
      <c r="L1478" t="s">
        <v>21</v>
      </c>
      <c r="M1478" t="str">
        <f t="shared" si="69"/>
        <v>OK</v>
      </c>
      <c r="N1478" t="str">
        <f t="shared" si="70"/>
        <v>1950s</v>
      </c>
      <c r="O1478" t="str">
        <f t="shared" si="71"/>
        <v>Low</v>
      </c>
      <c r="P1478" t="str">
        <f>VLOOKUP(E1478,calculated_fields!$F$4:$G$6,2,FALSE)</f>
        <v>Health</v>
      </c>
    </row>
    <row r="1479" spans="1:16">
      <c r="A1479" t="s">
        <v>2045</v>
      </c>
      <c r="B1479" t="s">
        <v>2043</v>
      </c>
      <c r="C1479" t="s">
        <v>130</v>
      </c>
      <c r="D1479">
        <v>1952</v>
      </c>
      <c r="E1479" t="s">
        <v>23</v>
      </c>
      <c r="F1479" t="s">
        <v>24</v>
      </c>
      <c r="G1479" t="s">
        <v>25</v>
      </c>
      <c r="H1479" t="s">
        <v>26</v>
      </c>
      <c r="I1479">
        <v>1438760</v>
      </c>
      <c r="J1479" t="s">
        <v>27</v>
      </c>
      <c r="K1479" t="s">
        <v>2044</v>
      </c>
      <c r="L1479" t="s">
        <v>21</v>
      </c>
      <c r="M1479" t="str">
        <f t="shared" si="69"/>
        <v>OK</v>
      </c>
      <c r="N1479" t="str">
        <f t="shared" si="70"/>
        <v>1950s</v>
      </c>
      <c r="O1479" t="str">
        <f t="shared" si="71"/>
        <v>N/A</v>
      </c>
      <c r="P1479" t="str">
        <f>VLOOKUP(E1479,calculated_fields!$F$4:$G$6,2,FALSE)</f>
        <v>Demographics</v>
      </c>
    </row>
    <row r="1480" spans="1:16">
      <c r="A1480" t="s">
        <v>2046</v>
      </c>
      <c r="B1480" t="s">
        <v>2043</v>
      </c>
      <c r="C1480" t="s">
        <v>130</v>
      </c>
      <c r="D1480">
        <v>1952</v>
      </c>
      <c r="E1480" t="s">
        <v>29</v>
      </c>
      <c r="F1480" t="s">
        <v>30</v>
      </c>
      <c r="G1480" t="s">
        <v>31</v>
      </c>
      <c r="H1480" t="s">
        <v>32</v>
      </c>
      <c r="I1480">
        <v>328.94055709999998</v>
      </c>
      <c r="J1480" t="s">
        <v>33</v>
      </c>
      <c r="K1480" t="s">
        <v>2044</v>
      </c>
      <c r="L1480" t="s">
        <v>21</v>
      </c>
      <c r="M1480" t="str">
        <f t="shared" si="69"/>
        <v>OK</v>
      </c>
      <c r="N1480" t="str">
        <f t="shared" si="70"/>
        <v>1950s</v>
      </c>
      <c r="O1480" t="str">
        <f t="shared" si="71"/>
        <v>N/A</v>
      </c>
      <c r="P1480" t="str">
        <f>VLOOKUP(E1480,calculated_fields!$F$4:$G$6,2,FALSE)</f>
        <v>Economy</v>
      </c>
    </row>
    <row r="1481" spans="1:16">
      <c r="A1481" t="s">
        <v>2047</v>
      </c>
      <c r="B1481" t="s">
        <v>2043</v>
      </c>
      <c r="C1481" t="s">
        <v>130</v>
      </c>
      <c r="D1481">
        <v>1957</v>
      </c>
      <c r="E1481" t="s">
        <v>15</v>
      </c>
      <c r="F1481" t="s">
        <v>16</v>
      </c>
      <c r="G1481" t="s">
        <v>17</v>
      </c>
      <c r="H1481" t="s">
        <v>18</v>
      </c>
      <c r="I1481">
        <v>38.046999999999997</v>
      </c>
      <c r="J1481" t="s">
        <v>19</v>
      </c>
      <c r="K1481" t="s">
        <v>2048</v>
      </c>
      <c r="L1481" t="s">
        <v>21</v>
      </c>
      <c r="M1481" t="str">
        <f t="shared" si="69"/>
        <v>OK</v>
      </c>
      <c r="N1481" t="str">
        <f t="shared" si="70"/>
        <v>1950s</v>
      </c>
      <c r="O1481" t="str">
        <f t="shared" si="71"/>
        <v>Low</v>
      </c>
      <c r="P1481" t="str">
        <f>VLOOKUP(E1481,calculated_fields!$F$4:$G$6,2,FALSE)</f>
        <v>Health</v>
      </c>
    </row>
    <row r="1482" spans="1:16">
      <c r="A1482" t="s">
        <v>2049</v>
      </c>
      <c r="B1482" t="s">
        <v>2043</v>
      </c>
      <c r="C1482" t="s">
        <v>130</v>
      </c>
      <c r="D1482">
        <v>1957</v>
      </c>
      <c r="E1482" t="s">
        <v>23</v>
      </c>
      <c r="F1482" t="s">
        <v>24</v>
      </c>
      <c r="G1482" t="s">
        <v>25</v>
      </c>
      <c r="H1482" t="s">
        <v>26</v>
      </c>
      <c r="I1482">
        <v>1542611</v>
      </c>
      <c r="J1482" t="s">
        <v>27</v>
      </c>
      <c r="K1482" t="s">
        <v>2048</v>
      </c>
      <c r="L1482" t="s">
        <v>21</v>
      </c>
      <c r="M1482" t="str">
        <f t="shared" si="69"/>
        <v>OK</v>
      </c>
      <c r="N1482" t="str">
        <f t="shared" si="70"/>
        <v>1950s</v>
      </c>
      <c r="O1482" t="str">
        <f t="shared" si="71"/>
        <v>N/A</v>
      </c>
      <c r="P1482" t="str">
        <f>VLOOKUP(E1482,calculated_fields!$F$4:$G$6,2,FALSE)</f>
        <v>Demographics</v>
      </c>
    </row>
    <row r="1483" spans="1:16">
      <c r="A1483" t="s">
        <v>2050</v>
      </c>
      <c r="B1483" t="s">
        <v>2043</v>
      </c>
      <c r="C1483" t="s">
        <v>130</v>
      </c>
      <c r="D1483">
        <v>1957</v>
      </c>
      <c r="E1483" t="s">
        <v>29</v>
      </c>
      <c r="F1483" t="s">
        <v>30</v>
      </c>
      <c r="G1483" t="s">
        <v>31</v>
      </c>
      <c r="H1483" t="s">
        <v>32</v>
      </c>
      <c r="I1483">
        <v>344.16188590000002</v>
      </c>
      <c r="J1483" t="s">
        <v>33</v>
      </c>
      <c r="K1483" t="s">
        <v>2048</v>
      </c>
      <c r="L1483" t="s">
        <v>21</v>
      </c>
      <c r="M1483" t="str">
        <f t="shared" si="69"/>
        <v>OK</v>
      </c>
      <c r="N1483" t="str">
        <f t="shared" si="70"/>
        <v>1950s</v>
      </c>
      <c r="O1483" t="str">
        <f t="shared" si="71"/>
        <v>N/A</v>
      </c>
      <c r="P1483" t="str">
        <f>VLOOKUP(E1483,calculated_fields!$F$4:$G$6,2,FALSE)</f>
        <v>Economy</v>
      </c>
    </row>
    <row r="1484" spans="1:16">
      <c r="A1484" t="s">
        <v>2051</v>
      </c>
      <c r="B1484" t="s">
        <v>2043</v>
      </c>
      <c r="C1484" t="s">
        <v>130</v>
      </c>
      <c r="D1484">
        <v>1962</v>
      </c>
      <c r="E1484" t="s">
        <v>15</v>
      </c>
      <c r="F1484" t="s">
        <v>16</v>
      </c>
      <c r="G1484" t="s">
        <v>17</v>
      </c>
      <c r="H1484" t="s">
        <v>18</v>
      </c>
      <c r="I1484">
        <v>40.158000000000001</v>
      </c>
      <c r="J1484" t="s">
        <v>19</v>
      </c>
      <c r="K1484" t="s">
        <v>2052</v>
      </c>
      <c r="L1484" t="s">
        <v>21</v>
      </c>
      <c r="M1484" t="str">
        <f t="shared" si="69"/>
        <v>OK</v>
      </c>
      <c r="N1484" t="str">
        <f t="shared" si="70"/>
        <v>1960s</v>
      </c>
      <c r="O1484" t="str">
        <f t="shared" si="71"/>
        <v>Low</v>
      </c>
      <c r="P1484" t="str">
        <f>VLOOKUP(E1484,calculated_fields!$F$4:$G$6,2,FALSE)</f>
        <v>Health</v>
      </c>
    </row>
    <row r="1485" spans="1:16">
      <c r="A1485" t="s">
        <v>2053</v>
      </c>
      <c r="B1485" t="s">
        <v>2043</v>
      </c>
      <c r="C1485" t="s">
        <v>130</v>
      </c>
      <c r="D1485">
        <v>1962</v>
      </c>
      <c r="E1485" t="s">
        <v>23</v>
      </c>
      <c r="F1485" t="s">
        <v>24</v>
      </c>
      <c r="G1485" t="s">
        <v>25</v>
      </c>
      <c r="H1485" t="s">
        <v>26</v>
      </c>
      <c r="I1485">
        <v>1666618</v>
      </c>
      <c r="J1485" t="s">
        <v>27</v>
      </c>
      <c r="K1485" t="s">
        <v>2052</v>
      </c>
      <c r="L1485" t="s">
        <v>21</v>
      </c>
      <c r="M1485" t="str">
        <f t="shared" si="69"/>
        <v>OK</v>
      </c>
      <c r="N1485" t="str">
        <f t="shared" si="70"/>
        <v>1960s</v>
      </c>
      <c r="O1485" t="str">
        <f t="shared" si="71"/>
        <v>N/A</v>
      </c>
      <c r="P1485" t="str">
        <f>VLOOKUP(E1485,calculated_fields!$F$4:$G$6,2,FALSE)</f>
        <v>Demographics</v>
      </c>
    </row>
    <row r="1486" spans="1:16">
      <c r="A1486" t="s">
        <v>2054</v>
      </c>
      <c r="B1486" t="s">
        <v>2043</v>
      </c>
      <c r="C1486" t="s">
        <v>130</v>
      </c>
      <c r="D1486">
        <v>1962</v>
      </c>
      <c r="E1486" t="s">
        <v>29</v>
      </c>
      <c r="F1486" t="s">
        <v>30</v>
      </c>
      <c r="G1486" t="s">
        <v>31</v>
      </c>
      <c r="H1486" t="s">
        <v>32</v>
      </c>
      <c r="I1486">
        <v>380.99584329999999</v>
      </c>
      <c r="J1486" t="s">
        <v>33</v>
      </c>
      <c r="K1486" t="s">
        <v>2052</v>
      </c>
      <c r="L1486" t="s">
        <v>21</v>
      </c>
      <c r="M1486" t="str">
        <f t="shared" si="69"/>
        <v>OK</v>
      </c>
      <c r="N1486" t="str">
        <f t="shared" si="70"/>
        <v>1960s</v>
      </c>
      <c r="O1486" t="str">
        <f t="shared" si="71"/>
        <v>N/A</v>
      </c>
      <c r="P1486" t="str">
        <f>VLOOKUP(E1486,calculated_fields!$F$4:$G$6,2,FALSE)</f>
        <v>Economy</v>
      </c>
    </row>
    <row r="1487" spans="1:16">
      <c r="A1487" t="s">
        <v>2055</v>
      </c>
      <c r="B1487" t="s">
        <v>2043</v>
      </c>
      <c r="C1487" t="s">
        <v>130</v>
      </c>
      <c r="D1487">
        <v>1967</v>
      </c>
      <c r="E1487" t="s">
        <v>15</v>
      </c>
      <c r="F1487" t="s">
        <v>16</v>
      </c>
      <c r="G1487" t="s">
        <v>17</v>
      </c>
      <c r="H1487" t="s">
        <v>18</v>
      </c>
      <c r="I1487">
        <v>42.188999999999901</v>
      </c>
      <c r="J1487" t="s">
        <v>19</v>
      </c>
      <c r="K1487" t="s">
        <v>2056</v>
      </c>
      <c r="L1487" t="s">
        <v>21</v>
      </c>
      <c r="M1487" t="str">
        <f t="shared" si="69"/>
        <v>OK</v>
      </c>
      <c r="N1487" t="str">
        <f t="shared" si="70"/>
        <v>1960s</v>
      </c>
      <c r="O1487" t="str">
        <f t="shared" si="71"/>
        <v>Low</v>
      </c>
      <c r="P1487" t="str">
        <f>VLOOKUP(E1487,calculated_fields!$F$4:$G$6,2,FALSE)</f>
        <v>Health</v>
      </c>
    </row>
    <row r="1488" spans="1:16">
      <c r="A1488" t="s">
        <v>2057</v>
      </c>
      <c r="B1488" t="s">
        <v>2043</v>
      </c>
      <c r="C1488" t="s">
        <v>130</v>
      </c>
      <c r="D1488">
        <v>1967</v>
      </c>
      <c r="E1488" t="s">
        <v>23</v>
      </c>
      <c r="F1488" t="s">
        <v>24</v>
      </c>
      <c r="G1488" t="s">
        <v>25</v>
      </c>
      <c r="H1488" t="s">
        <v>26</v>
      </c>
      <c r="I1488">
        <v>1820319</v>
      </c>
      <c r="J1488" t="s">
        <v>27</v>
      </c>
      <c r="K1488" t="s">
        <v>2056</v>
      </c>
      <c r="L1488" t="s">
        <v>21</v>
      </c>
      <c r="M1488" t="str">
        <f t="shared" si="69"/>
        <v>OK</v>
      </c>
      <c r="N1488" t="str">
        <f t="shared" si="70"/>
        <v>1960s</v>
      </c>
      <c r="O1488" t="str">
        <f t="shared" si="71"/>
        <v>N/A</v>
      </c>
      <c r="P1488" t="str">
        <f>VLOOKUP(E1488,calculated_fields!$F$4:$G$6,2,FALSE)</f>
        <v>Demographics</v>
      </c>
    </row>
    <row r="1489" spans="1:16">
      <c r="A1489" t="s">
        <v>2058</v>
      </c>
      <c r="B1489" t="s">
        <v>2043</v>
      </c>
      <c r="C1489" t="s">
        <v>130</v>
      </c>
      <c r="D1489">
        <v>1967</v>
      </c>
      <c r="E1489" t="s">
        <v>29</v>
      </c>
      <c r="F1489" t="s">
        <v>30</v>
      </c>
      <c r="G1489" t="s">
        <v>31</v>
      </c>
      <c r="H1489" t="s">
        <v>32</v>
      </c>
      <c r="I1489">
        <v>468.79496990000001</v>
      </c>
      <c r="J1489" t="s">
        <v>33</v>
      </c>
      <c r="K1489" t="s">
        <v>2056</v>
      </c>
      <c r="L1489" t="s">
        <v>21</v>
      </c>
      <c r="M1489" t="str">
        <f t="shared" si="69"/>
        <v>OK</v>
      </c>
      <c r="N1489" t="str">
        <f t="shared" si="70"/>
        <v>1960s</v>
      </c>
      <c r="O1489" t="str">
        <f t="shared" si="71"/>
        <v>N/A</v>
      </c>
      <c r="P1489" t="str">
        <f>VLOOKUP(E1489,calculated_fields!$F$4:$G$6,2,FALSE)</f>
        <v>Economy</v>
      </c>
    </row>
    <row r="1490" spans="1:16">
      <c r="A1490" t="s">
        <v>2059</v>
      </c>
      <c r="B1490" t="s">
        <v>2043</v>
      </c>
      <c r="C1490" t="s">
        <v>130</v>
      </c>
      <c r="D1490">
        <v>1972</v>
      </c>
      <c r="E1490" t="s">
        <v>15</v>
      </c>
      <c r="F1490" t="s">
        <v>16</v>
      </c>
      <c r="G1490" t="s">
        <v>17</v>
      </c>
      <c r="H1490" t="s">
        <v>18</v>
      </c>
      <c r="I1490">
        <v>44.142000000000003</v>
      </c>
      <c r="J1490" t="s">
        <v>19</v>
      </c>
      <c r="K1490" t="s">
        <v>2060</v>
      </c>
      <c r="L1490" t="s">
        <v>21</v>
      </c>
      <c r="M1490" t="str">
        <f t="shared" si="69"/>
        <v>OK</v>
      </c>
      <c r="N1490" t="str">
        <f t="shared" si="70"/>
        <v>1970s</v>
      </c>
      <c r="O1490" t="str">
        <f t="shared" si="71"/>
        <v>Low</v>
      </c>
      <c r="P1490" t="str">
        <f>VLOOKUP(E1490,calculated_fields!$F$4:$G$6,2,FALSE)</f>
        <v>Health</v>
      </c>
    </row>
    <row r="1491" spans="1:16">
      <c r="A1491" t="s">
        <v>2061</v>
      </c>
      <c r="B1491" t="s">
        <v>2043</v>
      </c>
      <c r="C1491" t="s">
        <v>130</v>
      </c>
      <c r="D1491">
        <v>1972</v>
      </c>
      <c r="E1491" t="s">
        <v>23</v>
      </c>
      <c r="F1491" t="s">
        <v>24</v>
      </c>
      <c r="G1491" t="s">
        <v>25</v>
      </c>
      <c r="H1491" t="s">
        <v>26</v>
      </c>
      <c r="I1491">
        <v>2260187</v>
      </c>
      <c r="J1491" t="s">
        <v>27</v>
      </c>
      <c r="K1491" t="s">
        <v>2060</v>
      </c>
      <c r="L1491" t="s">
        <v>21</v>
      </c>
      <c r="M1491" t="str">
        <f t="shared" si="69"/>
        <v>OK</v>
      </c>
      <c r="N1491" t="str">
        <f t="shared" si="70"/>
        <v>1970s</v>
      </c>
      <c r="O1491" t="str">
        <f t="shared" si="71"/>
        <v>N/A</v>
      </c>
      <c r="P1491" t="str">
        <f>VLOOKUP(E1491,calculated_fields!$F$4:$G$6,2,FALSE)</f>
        <v>Demographics</v>
      </c>
    </row>
    <row r="1492" spans="1:16">
      <c r="A1492" t="s">
        <v>2062</v>
      </c>
      <c r="B1492" t="s">
        <v>2043</v>
      </c>
      <c r="C1492" t="s">
        <v>130</v>
      </c>
      <c r="D1492">
        <v>1972</v>
      </c>
      <c r="E1492" t="s">
        <v>29</v>
      </c>
      <c r="F1492" t="s">
        <v>30</v>
      </c>
      <c r="G1492" t="s">
        <v>31</v>
      </c>
      <c r="H1492" t="s">
        <v>32</v>
      </c>
      <c r="I1492">
        <v>514.32420819999902</v>
      </c>
      <c r="J1492" t="s">
        <v>33</v>
      </c>
      <c r="K1492" t="s">
        <v>2060</v>
      </c>
      <c r="L1492" t="s">
        <v>21</v>
      </c>
      <c r="M1492" t="str">
        <f t="shared" si="69"/>
        <v>OK</v>
      </c>
      <c r="N1492" t="str">
        <f t="shared" si="70"/>
        <v>1970s</v>
      </c>
      <c r="O1492" t="str">
        <f t="shared" si="71"/>
        <v>N/A</v>
      </c>
      <c r="P1492" t="str">
        <f>VLOOKUP(E1492,calculated_fields!$F$4:$G$6,2,FALSE)</f>
        <v>Economy</v>
      </c>
    </row>
    <row r="1493" spans="1:16">
      <c r="A1493" t="s">
        <v>2063</v>
      </c>
      <c r="B1493" t="s">
        <v>2043</v>
      </c>
      <c r="C1493" t="s">
        <v>130</v>
      </c>
      <c r="D1493">
        <v>1977</v>
      </c>
      <c r="E1493" t="s">
        <v>15</v>
      </c>
      <c r="F1493" t="s">
        <v>16</v>
      </c>
      <c r="G1493" t="s">
        <v>17</v>
      </c>
      <c r="H1493" t="s">
        <v>18</v>
      </c>
      <c r="I1493">
        <v>44.534999999999997</v>
      </c>
      <c r="J1493" t="s">
        <v>19</v>
      </c>
      <c r="K1493" t="s">
        <v>2064</v>
      </c>
      <c r="L1493" t="s">
        <v>21</v>
      </c>
      <c r="M1493" t="str">
        <f t="shared" si="69"/>
        <v>OK</v>
      </c>
      <c r="N1493" t="str">
        <f t="shared" si="70"/>
        <v>1970s</v>
      </c>
      <c r="O1493" t="str">
        <f t="shared" si="71"/>
        <v>Low</v>
      </c>
      <c r="P1493" t="str">
        <f>VLOOKUP(E1493,calculated_fields!$F$4:$G$6,2,FALSE)</f>
        <v>Health</v>
      </c>
    </row>
    <row r="1494" spans="1:16">
      <c r="A1494" t="s">
        <v>2065</v>
      </c>
      <c r="B1494" t="s">
        <v>2043</v>
      </c>
      <c r="C1494" t="s">
        <v>130</v>
      </c>
      <c r="D1494">
        <v>1977</v>
      </c>
      <c r="E1494" t="s">
        <v>23</v>
      </c>
      <c r="F1494" t="s">
        <v>24</v>
      </c>
      <c r="G1494" t="s">
        <v>25</v>
      </c>
      <c r="H1494" t="s">
        <v>26</v>
      </c>
      <c r="I1494">
        <v>2512642</v>
      </c>
      <c r="J1494" t="s">
        <v>27</v>
      </c>
      <c r="K1494" t="s">
        <v>2064</v>
      </c>
      <c r="L1494" t="s">
        <v>21</v>
      </c>
      <c r="M1494" t="str">
        <f t="shared" si="69"/>
        <v>OK</v>
      </c>
      <c r="N1494" t="str">
        <f t="shared" si="70"/>
        <v>1970s</v>
      </c>
      <c r="O1494" t="str">
        <f t="shared" si="71"/>
        <v>N/A</v>
      </c>
      <c r="P1494" t="str">
        <f>VLOOKUP(E1494,calculated_fields!$F$4:$G$6,2,FALSE)</f>
        <v>Demographics</v>
      </c>
    </row>
    <row r="1495" spans="1:16">
      <c r="A1495" t="s">
        <v>2066</v>
      </c>
      <c r="B1495" t="s">
        <v>2043</v>
      </c>
      <c r="C1495" t="s">
        <v>130</v>
      </c>
      <c r="D1495">
        <v>1977</v>
      </c>
      <c r="E1495" t="s">
        <v>29</v>
      </c>
      <c r="F1495" t="s">
        <v>30</v>
      </c>
      <c r="G1495" t="s">
        <v>31</v>
      </c>
      <c r="H1495" t="s">
        <v>32</v>
      </c>
      <c r="I1495">
        <v>505.75380769999998</v>
      </c>
      <c r="J1495" t="s">
        <v>33</v>
      </c>
      <c r="K1495" t="s">
        <v>2064</v>
      </c>
      <c r="L1495" t="s">
        <v>21</v>
      </c>
      <c r="M1495" t="str">
        <f t="shared" si="69"/>
        <v>OK</v>
      </c>
      <c r="N1495" t="str">
        <f t="shared" si="70"/>
        <v>1970s</v>
      </c>
      <c r="O1495" t="str">
        <f t="shared" si="71"/>
        <v>N/A</v>
      </c>
      <c r="P1495" t="str">
        <f>VLOOKUP(E1495,calculated_fields!$F$4:$G$6,2,FALSE)</f>
        <v>Economy</v>
      </c>
    </row>
    <row r="1496" spans="1:16">
      <c r="A1496" t="s">
        <v>2067</v>
      </c>
      <c r="B1496" t="s">
        <v>2043</v>
      </c>
      <c r="C1496" t="s">
        <v>130</v>
      </c>
      <c r="D1496">
        <v>1982</v>
      </c>
      <c r="E1496" t="s">
        <v>15</v>
      </c>
      <c r="F1496" t="s">
        <v>16</v>
      </c>
      <c r="G1496" t="s">
        <v>17</v>
      </c>
      <c r="H1496" t="s">
        <v>18</v>
      </c>
      <c r="I1496">
        <v>43.89</v>
      </c>
      <c r="J1496" t="s">
        <v>19</v>
      </c>
      <c r="K1496" t="s">
        <v>2068</v>
      </c>
      <c r="L1496" t="s">
        <v>21</v>
      </c>
      <c r="M1496" t="str">
        <f t="shared" si="69"/>
        <v>OK</v>
      </c>
      <c r="N1496" t="str">
        <f t="shared" si="70"/>
        <v>1980s</v>
      </c>
      <c r="O1496" t="str">
        <f t="shared" si="71"/>
        <v>Low</v>
      </c>
      <c r="P1496" t="str">
        <f>VLOOKUP(E1496,calculated_fields!$F$4:$G$6,2,FALSE)</f>
        <v>Health</v>
      </c>
    </row>
    <row r="1497" spans="1:16">
      <c r="A1497" t="s">
        <v>2069</v>
      </c>
      <c r="B1497" t="s">
        <v>2043</v>
      </c>
      <c r="C1497" t="s">
        <v>130</v>
      </c>
      <c r="D1497">
        <v>1982</v>
      </c>
      <c r="E1497" t="s">
        <v>23</v>
      </c>
      <c r="F1497" t="s">
        <v>24</v>
      </c>
      <c r="G1497" t="s">
        <v>25</v>
      </c>
      <c r="H1497" t="s">
        <v>26</v>
      </c>
      <c r="I1497">
        <v>2637297</v>
      </c>
      <c r="J1497" t="s">
        <v>27</v>
      </c>
      <c r="K1497" t="s">
        <v>2068</v>
      </c>
      <c r="L1497" t="s">
        <v>21</v>
      </c>
      <c r="M1497" t="str">
        <f t="shared" si="69"/>
        <v>OK</v>
      </c>
      <c r="N1497" t="str">
        <f t="shared" si="70"/>
        <v>1980s</v>
      </c>
      <c r="O1497" t="str">
        <f t="shared" si="71"/>
        <v>N/A</v>
      </c>
      <c r="P1497" t="str">
        <f>VLOOKUP(E1497,calculated_fields!$F$4:$G$6,2,FALSE)</f>
        <v>Demographics</v>
      </c>
    </row>
    <row r="1498" spans="1:16">
      <c r="A1498" t="s">
        <v>2070</v>
      </c>
      <c r="B1498" t="s">
        <v>2043</v>
      </c>
      <c r="C1498" t="s">
        <v>130</v>
      </c>
      <c r="D1498">
        <v>1982</v>
      </c>
      <c r="E1498" t="s">
        <v>29</v>
      </c>
      <c r="F1498" t="s">
        <v>30</v>
      </c>
      <c r="G1498" t="s">
        <v>31</v>
      </c>
      <c r="H1498" t="s">
        <v>32</v>
      </c>
      <c r="I1498">
        <v>524.87584930000003</v>
      </c>
      <c r="J1498" t="s">
        <v>33</v>
      </c>
      <c r="K1498" t="s">
        <v>2068</v>
      </c>
      <c r="L1498" t="s">
        <v>21</v>
      </c>
      <c r="M1498" t="str">
        <f t="shared" si="69"/>
        <v>OK</v>
      </c>
      <c r="N1498" t="str">
        <f t="shared" si="70"/>
        <v>1980s</v>
      </c>
      <c r="O1498" t="str">
        <f t="shared" si="71"/>
        <v>N/A</v>
      </c>
      <c r="P1498" t="str">
        <f>VLOOKUP(E1498,calculated_fields!$F$4:$G$6,2,FALSE)</f>
        <v>Economy</v>
      </c>
    </row>
    <row r="1499" spans="1:16">
      <c r="A1499" t="s">
        <v>2071</v>
      </c>
      <c r="B1499" t="s">
        <v>2043</v>
      </c>
      <c r="C1499" t="s">
        <v>130</v>
      </c>
      <c r="D1499">
        <v>1987</v>
      </c>
      <c r="E1499" t="s">
        <v>15</v>
      </c>
      <c r="F1499" t="s">
        <v>16</v>
      </c>
      <c r="G1499" t="s">
        <v>17</v>
      </c>
      <c r="H1499" t="s">
        <v>18</v>
      </c>
      <c r="I1499">
        <v>46.453000000000003</v>
      </c>
      <c r="J1499" t="s">
        <v>19</v>
      </c>
      <c r="K1499" t="s">
        <v>2072</v>
      </c>
      <c r="L1499" t="s">
        <v>21</v>
      </c>
      <c r="M1499" t="str">
        <f t="shared" si="69"/>
        <v>OK</v>
      </c>
      <c r="N1499" t="str">
        <f t="shared" si="70"/>
        <v>1980s</v>
      </c>
      <c r="O1499" t="str">
        <f t="shared" si="71"/>
        <v>Low</v>
      </c>
      <c r="P1499" t="str">
        <f>VLOOKUP(E1499,calculated_fields!$F$4:$G$6,2,FALSE)</f>
        <v>Health</v>
      </c>
    </row>
    <row r="1500" spans="1:16">
      <c r="A1500" t="s">
        <v>2073</v>
      </c>
      <c r="B1500" t="s">
        <v>2043</v>
      </c>
      <c r="C1500" t="s">
        <v>130</v>
      </c>
      <c r="D1500">
        <v>1987</v>
      </c>
      <c r="E1500" t="s">
        <v>23</v>
      </c>
      <c r="F1500" t="s">
        <v>24</v>
      </c>
      <c r="G1500" t="s">
        <v>25</v>
      </c>
      <c r="H1500" t="s">
        <v>26</v>
      </c>
      <c r="I1500">
        <v>2915959</v>
      </c>
      <c r="J1500" t="s">
        <v>27</v>
      </c>
      <c r="K1500" t="s">
        <v>2072</v>
      </c>
      <c r="L1500" t="s">
        <v>21</v>
      </c>
      <c r="M1500" t="str">
        <f t="shared" si="69"/>
        <v>OK</v>
      </c>
      <c r="N1500" t="str">
        <f t="shared" si="70"/>
        <v>1980s</v>
      </c>
      <c r="O1500" t="str">
        <f t="shared" si="71"/>
        <v>N/A</v>
      </c>
      <c r="P1500" t="str">
        <f>VLOOKUP(E1500,calculated_fields!$F$4:$G$6,2,FALSE)</f>
        <v>Demographics</v>
      </c>
    </row>
    <row r="1501" spans="1:16">
      <c r="A1501" t="s">
        <v>2074</v>
      </c>
      <c r="B1501" t="s">
        <v>2043</v>
      </c>
      <c r="C1501" t="s">
        <v>130</v>
      </c>
      <c r="D1501">
        <v>1987</v>
      </c>
      <c r="E1501" t="s">
        <v>29</v>
      </c>
      <c r="F1501" t="s">
        <v>30</v>
      </c>
      <c r="G1501" t="s">
        <v>31</v>
      </c>
      <c r="H1501" t="s">
        <v>32</v>
      </c>
      <c r="I1501">
        <v>521.13413330000003</v>
      </c>
      <c r="J1501" t="s">
        <v>33</v>
      </c>
      <c r="K1501" t="s">
        <v>2072</v>
      </c>
      <c r="L1501" t="s">
        <v>21</v>
      </c>
      <c r="M1501" t="str">
        <f t="shared" si="69"/>
        <v>OK</v>
      </c>
      <c r="N1501" t="str">
        <f t="shared" si="70"/>
        <v>1980s</v>
      </c>
      <c r="O1501" t="str">
        <f t="shared" si="71"/>
        <v>N/A</v>
      </c>
      <c r="P1501" t="str">
        <f>VLOOKUP(E1501,calculated_fields!$F$4:$G$6,2,FALSE)</f>
        <v>Economy</v>
      </c>
    </row>
    <row r="1502" spans="1:16">
      <c r="A1502" t="s">
        <v>2075</v>
      </c>
      <c r="B1502" t="s">
        <v>2043</v>
      </c>
      <c r="C1502" t="s">
        <v>130</v>
      </c>
      <c r="D1502">
        <v>1992</v>
      </c>
      <c r="E1502" t="s">
        <v>15</v>
      </c>
      <c r="F1502" t="s">
        <v>16</v>
      </c>
      <c r="G1502" t="s">
        <v>17</v>
      </c>
      <c r="H1502" t="s">
        <v>18</v>
      </c>
      <c r="I1502">
        <v>49.991</v>
      </c>
      <c r="J1502" t="s">
        <v>19</v>
      </c>
      <c r="K1502" t="s">
        <v>2076</v>
      </c>
      <c r="L1502" t="s">
        <v>21</v>
      </c>
      <c r="M1502" t="str">
        <f t="shared" si="69"/>
        <v>OK</v>
      </c>
      <c r="N1502" t="str">
        <f t="shared" si="70"/>
        <v>1990s</v>
      </c>
      <c r="O1502" t="str">
        <f t="shared" si="71"/>
        <v>Low</v>
      </c>
      <c r="P1502" t="str">
        <f>VLOOKUP(E1502,calculated_fields!$F$4:$G$6,2,FALSE)</f>
        <v>Health</v>
      </c>
    </row>
    <row r="1503" spans="1:16">
      <c r="A1503" t="s">
        <v>2077</v>
      </c>
      <c r="B1503" t="s">
        <v>2043</v>
      </c>
      <c r="C1503" t="s">
        <v>130</v>
      </c>
      <c r="D1503">
        <v>1992</v>
      </c>
      <c r="E1503" t="s">
        <v>23</v>
      </c>
      <c r="F1503" t="s">
        <v>24</v>
      </c>
      <c r="G1503" t="s">
        <v>25</v>
      </c>
      <c r="H1503" t="s">
        <v>26</v>
      </c>
      <c r="I1503">
        <v>3668440</v>
      </c>
      <c r="J1503" t="s">
        <v>27</v>
      </c>
      <c r="K1503" t="s">
        <v>2076</v>
      </c>
      <c r="L1503" t="s">
        <v>21</v>
      </c>
      <c r="M1503" t="str">
        <f t="shared" si="69"/>
        <v>OK</v>
      </c>
      <c r="N1503" t="str">
        <f t="shared" si="70"/>
        <v>1990s</v>
      </c>
      <c r="O1503" t="str">
        <f t="shared" si="71"/>
        <v>N/A</v>
      </c>
      <c r="P1503" t="str">
        <f>VLOOKUP(E1503,calculated_fields!$F$4:$G$6,2,FALSE)</f>
        <v>Demographics</v>
      </c>
    </row>
    <row r="1504" spans="1:16">
      <c r="A1504" t="s">
        <v>2078</v>
      </c>
      <c r="B1504" t="s">
        <v>2043</v>
      </c>
      <c r="C1504" t="s">
        <v>130</v>
      </c>
      <c r="D1504">
        <v>1992</v>
      </c>
      <c r="E1504" t="s">
        <v>29</v>
      </c>
      <c r="F1504" t="s">
        <v>30</v>
      </c>
      <c r="G1504" t="s">
        <v>31</v>
      </c>
      <c r="H1504" t="s">
        <v>32</v>
      </c>
      <c r="I1504">
        <v>582.85851019999996</v>
      </c>
      <c r="J1504" t="s">
        <v>33</v>
      </c>
      <c r="K1504" t="s">
        <v>2076</v>
      </c>
      <c r="L1504" t="s">
        <v>21</v>
      </c>
      <c r="M1504" t="str">
        <f t="shared" si="69"/>
        <v>OK</v>
      </c>
      <c r="N1504" t="str">
        <f t="shared" si="70"/>
        <v>1990s</v>
      </c>
      <c r="O1504" t="str">
        <f t="shared" si="71"/>
        <v>N/A</v>
      </c>
      <c r="P1504" t="str">
        <f>VLOOKUP(E1504,calculated_fields!$F$4:$G$6,2,FALSE)</f>
        <v>Economy</v>
      </c>
    </row>
    <row r="1505" spans="1:16">
      <c r="A1505" t="s">
        <v>2079</v>
      </c>
      <c r="B1505" t="s">
        <v>2043</v>
      </c>
      <c r="C1505" t="s">
        <v>130</v>
      </c>
      <c r="D1505">
        <v>1997</v>
      </c>
      <c r="E1505" t="s">
        <v>15</v>
      </c>
      <c r="F1505" t="s">
        <v>16</v>
      </c>
      <c r="G1505" t="s">
        <v>17</v>
      </c>
      <c r="H1505" t="s">
        <v>18</v>
      </c>
      <c r="I1505">
        <v>53.378</v>
      </c>
      <c r="J1505" t="s">
        <v>19</v>
      </c>
      <c r="K1505" t="s">
        <v>2080</v>
      </c>
      <c r="L1505" t="s">
        <v>21</v>
      </c>
      <c r="M1505" t="str">
        <f t="shared" si="69"/>
        <v>OK</v>
      </c>
      <c r="N1505" t="str">
        <f t="shared" si="70"/>
        <v>1990s</v>
      </c>
      <c r="O1505" t="str">
        <f t="shared" si="71"/>
        <v>Low</v>
      </c>
      <c r="P1505" t="str">
        <f>VLOOKUP(E1505,calculated_fields!$F$4:$G$6,2,FALSE)</f>
        <v>Health</v>
      </c>
    </row>
    <row r="1506" spans="1:16">
      <c r="A1506" t="s">
        <v>2081</v>
      </c>
      <c r="B1506" t="s">
        <v>2043</v>
      </c>
      <c r="C1506" t="s">
        <v>130</v>
      </c>
      <c r="D1506">
        <v>1997</v>
      </c>
      <c r="E1506" t="s">
        <v>23</v>
      </c>
      <c r="F1506" t="s">
        <v>24</v>
      </c>
      <c r="G1506" t="s">
        <v>25</v>
      </c>
      <c r="H1506" t="s">
        <v>26</v>
      </c>
      <c r="I1506">
        <v>4058319</v>
      </c>
      <c r="J1506" t="s">
        <v>27</v>
      </c>
      <c r="K1506" t="s">
        <v>2080</v>
      </c>
      <c r="L1506" t="s">
        <v>21</v>
      </c>
      <c r="M1506" t="str">
        <f t="shared" si="69"/>
        <v>OK</v>
      </c>
      <c r="N1506" t="str">
        <f t="shared" si="70"/>
        <v>1990s</v>
      </c>
      <c r="O1506" t="str">
        <f t="shared" si="71"/>
        <v>N/A</v>
      </c>
      <c r="P1506" t="str">
        <f>VLOOKUP(E1506,calculated_fields!$F$4:$G$6,2,FALSE)</f>
        <v>Demographics</v>
      </c>
    </row>
    <row r="1507" spans="1:16">
      <c r="A1507" t="s">
        <v>2082</v>
      </c>
      <c r="B1507" t="s">
        <v>2043</v>
      </c>
      <c r="C1507" t="s">
        <v>130</v>
      </c>
      <c r="D1507">
        <v>1997</v>
      </c>
      <c r="E1507" t="s">
        <v>29</v>
      </c>
      <c r="F1507" t="s">
        <v>30</v>
      </c>
      <c r="G1507" t="s">
        <v>31</v>
      </c>
      <c r="H1507" t="s">
        <v>32</v>
      </c>
      <c r="I1507">
        <v>913.47078999999997</v>
      </c>
      <c r="J1507" t="s">
        <v>33</v>
      </c>
      <c r="K1507" t="s">
        <v>2080</v>
      </c>
      <c r="L1507" t="s">
        <v>21</v>
      </c>
      <c r="M1507" t="str">
        <f t="shared" si="69"/>
        <v>OK</v>
      </c>
      <c r="N1507" t="str">
        <f t="shared" si="70"/>
        <v>1990s</v>
      </c>
      <c r="O1507" t="str">
        <f t="shared" si="71"/>
        <v>N/A</v>
      </c>
      <c r="P1507" t="str">
        <f>VLOOKUP(E1507,calculated_fields!$F$4:$G$6,2,FALSE)</f>
        <v>Economy</v>
      </c>
    </row>
    <row r="1508" spans="1:16">
      <c r="A1508" t="s">
        <v>2083</v>
      </c>
      <c r="B1508" t="s">
        <v>2043</v>
      </c>
      <c r="C1508" t="s">
        <v>130</v>
      </c>
      <c r="D1508">
        <v>2002</v>
      </c>
      <c r="E1508" t="s">
        <v>15</v>
      </c>
      <c r="F1508" t="s">
        <v>16</v>
      </c>
      <c r="G1508" t="s">
        <v>17</v>
      </c>
      <c r="H1508" t="s">
        <v>18</v>
      </c>
      <c r="I1508">
        <v>55.24</v>
      </c>
      <c r="J1508" t="s">
        <v>19</v>
      </c>
      <c r="K1508" t="s">
        <v>2084</v>
      </c>
      <c r="L1508" t="s">
        <v>21</v>
      </c>
      <c r="M1508" t="str">
        <f t="shared" si="69"/>
        <v>OK</v>
      </c>
      <c r="N1508" t="str">
        <f t="shared" si="70"/>
        <v>2000s</v>
      </c>
      <c r="O1508" t="str">
        <f t="shared" si="71"/>
        <v>Medium</v>
      </c>
      <c r="P1508" t="str">
        <f>VLOOKUP(E1508,calculated_fields!$F$4:$G$6,2,FALSE)</f>
        <v>Health</v>
      </c>
    </row>
    <row r="1509" spans="1:16">
      <c r="A1509" t="s">
        <v>2085</v>
      </c>
      <c r="B1509" t="s">
        <v>2043</v>
      </c>
      <c r="C1509" t="s">
        <v>130</v>
      </c>
      <c r="D1509">
        <v>2002</v>
      </c>
      <c r="E1509" t="s">
        <v>23</v>
      </c>
      <c r="F1509" t="s">
        <v>24</v>
      </c>
      <c r="G1509" t="s">
        <v>25</v>
      </c>
      <c r="H1509" t="s">
        <v>26</v>
      </c>
      <c r="I1509">
        <v>4414865</v>
      </c>
      <c r="J1509" t="s">
        <v>27</v>
      </c>
      <c r="K1509" t="s">
        <v>2084</v>
      </c>
      <c r="L1509" t="s">
        <v>21</v>
      </c>
      <c r="M1509" t="str">
        <f t="shared" si="69"/>
        <v>OK</v>
      </c>
      <c r="N1509" t="str">
        <f t="shared" si="70"/>
        <v>2000s</v>
      </c>
      <c r="O1509" t="str">
        <f t="shared" si="71"/>
        <v>N/A</v>
      </c>
      <c r="P1509" t="str">
        <f>VLOOKUP(E1509,calculated_fields!$F$4:$G$6,2,FALSE)</f>
        <v>Demographics</v>
      </c>
    </row>
    <row r="1510" spans="1:16">
      <c r="A1510" t="s">
        <v>2086</v>
      </c>
      <c r="B1510" t="s">
        <v>2043</v>
      </c>
      <c r="C1510" t="s">
        <v>130</v>
      </c>
      <c r="D1510">
        <v>2002</v>
      </c>
      <c r="E1510" t="s">
        <v>29</v>
      </c>
      <c r="F1510" t="s">
        <v>30</v>
      </c>
      <c r="G1510" t="s">
        <v>31</v>
      </c>
      <c r="H1510" t="s">
        <v>32</v>
      </c>
      <c r="I1510">
        <v>765.35000149999996</v>
      </c>
      <c r="J1510" t="s">
        <v>33</v>
      </c>
      <c r="K1510" t="s">
        <v>2084</v>
      </c>
      <c r="L1510" t="s">
        <v>21</v>
      </c>
      <c r="M1510" t="str">
        <f t="shared" si="69"/>
        <v>OK</v>
      </c>
      <c r="N1510" t="str">
        <f t="shared" si="70"/>
        <v>2000s</v>
      </c>
      <c r="O1510" t="str">
        <f t="shared" si="71"/>
        <v>N/A</v>
      </c>
      <c r="P1510" t="str">
        <f>VLOOKUP(E1510,calculated_fields!$F$4:$G$6,2,FALSE)</f>
        <v>Economy</v>
      </c>
    </row>
    <row r="1511" spans="1:16">
      <c r="A1511" t="s">
        <v>2087</v>
      </c>
      <c r="B1511" t="s">
        <v>2043</v>
      </c>
      <c r="C1511" t="s">
        <v>130</v>
      </c>
      <c r="D1511">
        <v>2007</v>
      </c>
      <c r="E1511" t="s">
        <v>15</v>
      </c>
      <c r="F1511" t="s">
        <v>16</v>
      </c>
      <c r="G1511" t="s">
        <v>17</v>
      </c>
      <c r="H1511" t="s">
        <v>18</v>
      </c>
      <c r="I1511">
        <v>58.04</v>
      </c>
      <c r="J1511" t="s">
        <v>19</v>
      </c>
      <c r="K1511" t="s">
        <v>2088</v>
      </c>
      <c r="L1511" t="s">
        <v>21</v>
      </c>
      <c r="M1511" t="str">
        <f t="shared" si="69"/>
        <v>OK</v>
      </c>
      <c r="N1511" t="str">
        <f t="shared" si="70"/>
        <v>2000s</v>
      </c>
      <c r="O1511" t="str">
        <f t="shared" si="71"/>
        <v>Medium</v>
      </c>
      <c r="P1511" t="str">
        <f>VLOOKUP(E1511,calculated_fields!$F$4:$G$6,2,FALSE)</f>
        <v>Health</v>
      </c>
    </row>
    <row r="1512" spans="1:16">
      <c r="A1512" t="s">
        <v>2089</v>
      </c>
      <c r="B1512" t="s">
        <v>2043</v>
      </c>
      <c r="C1512" t="s">
        <v>130</v>
      </c>
      <c r="D1512">
        <v>2007</v>
      </c>
      <c r="E1512" t="s">
        <v>23</v>
      </c>
      <c r="F1512" t="s">
        <v>24</v>
      </c>
      <c r="G1512" t="s">
        <v>25</v>
      </c>
      <c r="H1512" t="s">
        <v>26</v>
      </c>
      <c r="I1512">
        <v>4906585</v>
      </c>
      <c r="J1512" t="s">
        <v>27</v>
      </c>
      <c r="K1512" t="s">
        <v>2088</v>
      </c>
      <c r="L1512" t="s">
        <v>21</v>
      </c>
      <c r="M1512" t="str">
        <f t="shared" si="69"/>
        <v>OK</v>
      </c>
      <c r="N1512" t="str">
        <f t="shared" si="70"/>
        <v>2000s</v>
      </c>
      <c r="O1512" t="str">
        <f t="shared" si="71"/>
        <v>N/A</v>
      </c>
      <c r="P1512" t="str">
        <f>VLOOKUP(E1512,calculated_fields!$F$4:$G$6,2,FALSE)</f>
        <v>Demographics</v>
      </c>
    </row>
    <row r="1513" spans="1:16">
      <c r="A1513" t="s">
        <v>2090</v>
      </c>
      <c r="B1513" t="s">
        <v>2043</v>
      </c>
      <c r="C1513" t="s">
        <v>130</v>
      </c>
      <c r="D1513">
        <v>2007</v>
      </c>
      <c r="E1513" t="s">
        <v>29</v>
      </c>
      <c r="F1513" t="s">
        <v>30</v>
      </c>
      <c r="G1513" t="s">
        <v>31</v>
      </c>
      <c r="H1513" t="s">
        <v>32</v>
      </c>
      <c r="I1513">
        <v>641.36952359999998</v>
      </c>
      <c r="J1513" t="s">
        <v>33</v>
      </c>
      <c r="K1513" t="s">
        <v>2088</v>
      </c>
      <c r="L1513" t="s">
        <v>21</v>
      </c>
      <c r="M1513" t="str">
        <f t="shared" si="69"/>
        <v>OK</v>
      </c>
      <c r="N1513" t="str">
        <f t="shared" si="70"/>
        <v>2000s</v>
      </c>
      <c r="O1513" t="str">
        <f t="shared" si="71"/>
        <v>N/A</v>
      </c>
      <c r="P1513" t="str">
        <f>VLOOKUP(E1513,calculated_fields!$F$4:$G$6,2,FALSE)</f>
        <v>Economy</v>
      </c>
    </row>
    <row r="1514" spans="1:16">
      <c r="A1514" t="s">
        <v>2091</v>
      </c>
      <c r="B1514" t="s">
        <v>2092</v>
      </c>
      <c r="C1514" t="s">
        <v>130</v>
      </c>
      <c r="D1514">
        <v>1952</v>
      </c>
      <c r="E1514" t="s">
        <v>15</v>
      </c>
      <c r="F1514" t="s">
        <v>16</v>
      </c>
      <c r="G1514" t="s">
        <v>17</v>
      </c>
      <c r="H1514" t="s">
        <v>18</v>
      </c>
      <c r="I1514">
        <v>34.078000000000003</v>
      </c>
      <c r="J1514" t="s">
        <v>19</v>
      </c>
      <c r="K1514" t="s">
        <v>2093</v>
      </c>
      <c r="L1514" t="s">
        <v>21</v>
      </c>
      <c r="M1514" t="str">
        <f t="shared" si="69"/>
        <v>OK</v>
      </c>
      <c r="N1514" t="str">
        <f t="shared" si="70"/>
        <v>1950s</v>
      </c>
      <c r="O1514" t="str">
        <f t="shared" si="71"/>
        <v>Low</v>
      </c>
      <c r="P1514" t="str">
        <f>VLOOKUP(E1514,calculated_fields!$F$4:$G$6,2,FALSE)</f>
        <v>Health</v>
      </c>
    </row>
    <row r="1515" spans="1:16">
      <c r="A1515" t="s">
        <v>2094</v>
      </c>
      <c r="B1515" t="s">
        <v>2092</v>
      </c>
      <c r="C1515" t="s">
        <v>130</v>
      </c>
      <c r="D1515">
        <v>1952</v>
      </c>
      <c r="E1515" t="s">
        <v>23</v>
      </c>
      <c r="F1515" t="s">
        <v>24</v>
      </c>
      <c r="G1515" t="s">
        <v>25</v>
      </c>
      <c r="H1515" t="s">
        <v>26</v>
      </c>
      <c r="I1515">
        <v>20860941</v>
      </c>
      <c r="J1515" t="s">
        <v>27</v>
      </c>
      <c r="K1515" t="s">
        <v>2093</v>
      </c>
      <c r="L1515" t="s">
        <v>21</v>
      </c>
      <c r="M1515" t="str">
        <f t="shared" si="69"/>
        <v>OK</v>
      </c>
      <c r="N1515" t="str">
        <f t="shared" si="70"/>
        <v>1950s</v>
      </c>
      <c r="O1515" t="str">
        <f t="shared" si="71"/>
        <v>N/A</v>
      </c>
      <c r="P1515" t="str">
        <f>VLOOKUP(E1515,calculated_fields!$F$4:$G$6,2,FALSE)</f>
        <v>Demographics</v>
      </c>
    </row>
    <row r="1516" spans="1:16">
      <c r="A1516" t="s">
        <v>2095</v>
      </c>
      <c r="B1516" t="s">
        <v>2092</v>
      </c>
      <c r="C1516" t="s">
        <v>130</v>
      </c>
      <c r="D1516">
        <v>1952</v>
      </c>
      <c r="E1516" t="s">
        <v>29</v>
      </c>
      <c r="F1516" t="s">
        <v>30</v>
      </c>
      <c r="G1516" t="s">
        <v>31</v>
      </c>
      <c r="H1516" t="s">
        <v>32</v>
      </c>
      <c r="I1516">
        <v>362.14627960000001</v>
      </c>
      <c r="J1516" t="s">
        <v>33</v>
      </c>
      <c r="K1516" t="s">
        <v>2093</v>
      </c>
      <c r="L1516" t="s">
        <v>21</v>
      </c>
      <c r="M1516" t="str">
        <f t="shared" si="69"/>
        <v>OK</v>
      </c>
      <c r="N1516" t="str">
        <f t="shared" si="70"/>
        <v>1950s</v>
      </c>
      <c r="O1516" t="str">
        <f t="shared" si="71"/>
        <v>N/A</v>
      </c>
      <c r="P1516" t="str">
        <f>VLOOKUP(E1516,calculated_fields!$F$4:$G$6,2,FALSE)</f>
        <v>Economy</v>
      </c>
    </row>
    <row r="1517" spans="1:16">
      <c r="A1517" t="s">
        <v>2096</v>
      </c>
      <c r="B1517" t="s">
        <v>2092</v>
      </c>
      <c r="C1517" t="s">
        <v>130</v>
      </c>
      <c r="D1517">
        <v>1957</v>
      </c>
      <c r="E1517" t="s">
        <v>15</v>
      </c>
      <c r="F1517" t="s">
        <v>16</v>
      </c>
      <c r="G1517" t="s">
        <v>17</v>
      </c>
      <c r="H1517" t="s">
        <v>18</v>
      </c>
      <c r="I1517">
        <v>36.667000000000002</v>
      </c>
      <c r="J1517" t="s">
        <v>19</v>
      </c>
      <c r="K1517" t="s">
        <v>2097</v>
      </c>
      <c r="L1517" t="s">
        <v>21</v>
      </c>
      <c r="M1517" t="str">
        <f t="shared" si="69"/>
        <v>OK</v>
      </c>
      <c r="N1517" t="str">
        <f t="shared" si="70"/>
        <v>1950s</v>
      </c>
      <c r="O1517" t="str">
        <f t="shared" si="71"/>
        <v>Low</v>
      </c>
      <c r="P1517" t="str">
        <f>VLOOKUP(E1517,calculated_fields!$F$4:$G$6,2,FALSE)</f>
        <v>Health</v>
      </c>
    </row>
    <row r="1518" spans="1:16">
      <c r="A1518" t="s">
        <v>2098</v>
      </c>
      <c r="B1518" t="s">
        <v>2092</v>
      </c>
      <c r="C1518" t="s">
        <v>130</v>
      </c>
      <c r="D1518">
        <v>1957</v>
      </c>
      <c r="E1518" t="s">
        <v>23</v>
      </c>
      <c r="F1518" t="s">
        <v>24</v>
      </c>
      <c r="G1518" t="s">
        <v>25</v>
      </c>
      <c r="H1518" t="s">
        <v>26</v>
      </c>
      <c r="I1518">
        <v>22815614</v>
      </c>
      <c r="J1518" t="s">
        <v>27</v>
      </c>
      <c r="K1518" t="s">
        <v>2097</v>
      </c>
      <c r="L1518" t="s">
        <v>21</v>
      </c>
      <c r="M1518" t="str">
        <f t="shared" si="69"/>
        <v>OK</v>
      </c>
      <c r="N1518" t="str">
        <f t="shared" si="70"/>
        <v>1950s</v>
      </c>
      <c r="O1518" t="str">
        <f t="shared" si="71"/>
        <v>N/A</v>
      </c>
      <c r="P1518" t="str">
        <f>VLOOKUP(E1518,calculated_fields!$F$4:$G$6,2,FALSE)</f>
        <v>Demographics</v>
      </c>
    </row>
    <row r="1519" spans="1:16">
      <c r="A1519" t="s">
        <v>2099</v>
      </c>
      <c r="B1519" t="s">
        <v>2092</v>
      </c>
      <c r="C1519" t="s">
        <v>130</v>
      </c>
      <c r="D1519">
        <v>1957</v>
      </c>
      <c r="E1519" t="s">
        <v>29</v>
      </c>
      <c r="F1519" t="s">
        <v>30</v>
      </c>
      <c r="G1519" t="s">
        <v>31</v>
      </c>
      <c r="H1519" t="s">
        <v>32</v>
      </c>
      <c r="I1519">
        <v>378.90416320000003</v>
      </c>
      <c r="J1519" t="s">
        <v>33</v>
      </c>
      <c r="K1519" t="s">
        <v>2097</v>
      </c>
      <c r="L1519" t="s">
        <v>21</v>
      </c>
      <c r="M1519" t="str">
        <f t="shared" si="69"/>
        <v>OK</v>
      </c>
      <c r="N1519" t="str">
        <f t="shared" si="70"/>
        <v>1950s</v>
      </c>
      <c r="O1519" t="str">
        <f t="shared" si="71"/>
        <v>N/A</v>
      </c>
      <c r="P1519" t="str">
        <f>VLOOKUP(E1519,calculated_fields!$F$4:$G$6,2,FALSE)</f>
        <v>Economy</v>
      </c>
    </row>
    <row r="1520" spans="1:16">
      <c r="A1520" t="s">
        <v>2100</v>
      </c>
      <c r="B1520" t="s">
        <v>2092</v>
      </c>
      <c r="C1520" t="s">
        <v>130</v>
      </c>
      <c r="D1520">
        <v>1962</v>
      </c>
      <c r="E1520" t="s">
        <v>15</v>
      </c>
      <c r="F1520" t="s">
        <v>16</v>
      </c>
      <c r="G1520" t="s">
        <v>17</v>
      </c>
      <c r="H1520" t="s">
        <v>18</v>
      </c>
      <c r="I1520">
        <v>40.058999999999997</v>
      </c>
      <c r="J1520" t="s">
        <v>19</v>
      </c>
      <c r="K1520" t="s">
        <v>2101</v>
      </c>
      <c r="L1520" t="s">
        <v>21</v>
      </c>
      <c r="M1520" t="str">
        <f t="shared" si="69"/>
        <v>OK</v>
      </c>
      <c r="N1520" t="str">
        <f t="shared" si="70"/>
        <v>1960s</v>
      </c>
      <c r="O1520" t="str">
        <f t="shared" si="71"/>
        <v>Low</v>
      </c>
      <c r="P1520" t="str">
        <f>VLOOKUP(E1520,calculated_fields!$F$4:$G$6,2,FALSE)</f>
        <v>Health</v>
      </c>
    </row>
    <row r="1521" spans="1:16">
      <c r="A1521" t="s">
        <v>2102</v>
      </c>
      <c r="B1521" t="s">
        <v>2092</v>
      </c>
      <c r="C1521" t="s">
        <v>130</v>
      </c>
      <c r="D1521">
        <v>1962</v>
      </c>
      <c r="E1521" t="s">
        <v>23</v>
      </c>
      <c r="F1521" t="s">
        <v>24</v>
      </c>
      <c r="G1521" t="s">
        <v>25</v>
      </c>
      <c r="H1521" t="s">
        <v>26</v>
      </c>
      <c r="I1521">
        <v>25145372</v>
      </c>
      <c r="J1521" t="s">
        <v>27</v>
      </c>
      <c r="K1521" t="s">
        <v>2101</v>
      </c>
      <c r="L1521" t="s">
        <v>21</v>
      </c>
      <c r="M1521" t="str">
        <f t="shared" si="69"/>
        <v>OK</v>
      </c>
      <c r="N1521" t="str">
        <f t="shared" si="70"/>
        <v>1960s</v>
      </c>
      <c r="O1521" t="str">
        <f t="shared" si="71"/>
        <v>N/A</v>
      </c>
      <c r="P1521" t="str">
        <f>VLOOKUP(E1521,calculated_fields!$F$4:$G$6,2,FALSE)</f>
        <v>Demographics</v>
      </c>
    </row>
    <row r="1522" spans="1:16">
      <c r="A1522" t="s">
        <v>2103</v>
      </c>
      <c r="B1522" t="s">
        <v>2092</v>
      </c>
      <c r="C1522" t="s">
        <v>130</v>
      </c>
      <c r="D1522">
        <v>1962</v>
      </c>
      <c r="E1522" t="s">
        <v>29</v>
      </c>
      <c r="F1522" t="s">
        <v>30</v>
      </c>
      <c r="G1522" t="s">
        <v>31</v>
      </c>
      <c r="H1522" t="s">
        <v>32</v>
      </c>
      <c r="I1522">
        <v>419.45641610000001</v>
      </c>
      <c r="J1522" t="s">
        <v>33</v>
      </c>
      <c r="K1522" t="s">
        <v>2101</v>
      </c>
      <c r="L1522" t="s">
        <v>21</v>
      </c>
      <c r="M1522" t="str">
        <f t="shared" si="69"/>
        <v>OK</v>
      </c>
      <c r="N1522" t="str">
        <f t="shared" si="70"/>
        <v>1960s</v>
      </c>
      <c r="O1522" t="str">
        <f t="shared" si="71"/>
        <v>N/A</v>
      </c>
      <c r="P1522" t="str">
        <f>VLOOKUP(E1522,calculated_fields!$F$4:$G$6,2,FALSE)</f>
        <v>Economy</v>
      </c>
    </row>
    <row r="1523" spans="1:16">
      <c r="A1523" t="s">
        <v>2104</v>
      </c>
      <c r="B1523" t="s">
        <v>2092</v>
      </c>
      <c r="C1523" t="s">
        <v>130</v>
      </c>
      <c r="D1523">
        <v>1967</v>
      </c>
      <c r="E1523" t="s">
        <v>15</v>
      </c>
      <c r="F1523" t="s">
        <v>16</v>
      </c>
      <c r="G1523" t="s">
        <v>17</v>
      </c>
      <c r="H1523" t="s">
        <v>18</v>
      </c>
      <c r="I1523">
        <v>42.115000000000002</v>
      </c>
      <c r="J1523" t="s">
        <v>19</v>
      </c>
      <c r="K1523" t="s">
        <v>2105</v>
      </c>
      <c r="L1523" t="s">
        <v>21</v>
      </c>
      <c r="M1523" t="str">
        <f t="shared" si="69"/>
        <v>OK</v>
      </c>
      <c r="N1523" t="str">
        <f t="shared" si="70"/>
        <v>1960s</v>
      </c>
      <c r="O1523" t="str">
        <f t="shared" si="71"/>
        <v>Low</v>
      </c>
      <c r="P1523" t="str">
        <f>VLOOKUP(E1523,calculated_fields!$F$4:$G$6,2,FALSE)</f>
        <v>Health</v>
      </c>
    </row>
    <row r="1524" spans="1:16">
      <c r="A1524" t="s">
        <v>2106</v>
      </c>
      <c r="B1524" t="s">
        <v>2092</v>
      </c>
      <c r="C1524" t="s">
        <v>130</v>
      </c>
      <c r="D1524">
        <v>1967</v>
      </c>
      <c r="E1524" t="s">
        <v>23</v>
      </c>
      <c r="F1524" t="s">
        <v>24</v>
      </c>
      <c r="G1524" t="s">
        <v>25</v>
      </c>
      <c r="H1524" t="s">
        <v>26</v>
      </c>
      <c r="I1524">
        <v>27860297</v>
      </c>
      <c r="J1524" t="s">
        <v>27</v>
      </c>
      <c r="K1524" t="s">
        <v>2105</v>
      </c>
      <c r="L1524" t="s">
        <v>21</v>
      </c>
      <c r="M1524" t="str">
        <f t="shared" si="69"/>
        <v>OK</v>
      </c>
      <c r="N1524" t="str">
        <f t="shared" si="70"/>
        <v>1960s</v>
      </c>
      <c r="O1524" t="str">
        <f t="shared" si="71"/>
        <v>N/A</v>
      </c>
      <c r="P1524" t="str">
        <f>VLOOKUP(E1524,calculated_fields!$F$4:$G$6,2,FALSE)</f>
        <v>Demographics</v>
      </c>
    </row>
    <row r="1525" spans="1:16">
      <c r="A1525" t="s">
        <v>2107</v>
      </c>
      <c r="B1525" t="s">
        <v>2092</v>
      </c>
      <c r="C1525" t="s">
        <v>130</v>
      </c>
      <c r="D1525">
        <v>1967</v>
      </c>
      <c r="E1525" t="s">
        <v>29</v>
      </c>
      <c r="F1525" t="s">
        <v>30</v>
      </c>
      <c r="G1525" t="s">
        <v>31</v>
      </c>
      <c r="H1525" t="s">
        <v>32</v>
      </c>
      <c r="I1525">
        <v>516.11864379999997</v>
      </c>
      <c r="J1525" t="s">
        <v>33</v>
      </c>
      <c r="K1525" t="s">
        <v>2105</v>
      </c>
      <c r="L1525" t="s">
        <v>21</v>
      </c>
      <c r="M1525" t="str">
        <f t="shared" si="69"/>
        <v>OK</v>
      </c>
      <c r="N1525" t="str">
        <f t="shared" si="70"/>
        <v>1960s</v>
      </c>
      <c r="O1525" t="str">
        <f t="shared" si="71"/>
        <v>N/A</v>
      </c>
      <c r="P1525" t="str">
        <f>VLOOKUP(E1525,calculated_fields!$F$4:$G$6,2,FALSE)</f>
        <v>Economy</v>
      </c>
    </row>
    <row r="1526" spans="1:16">
      <c r="A1526" t="s">
        <v>2108</v>
      </c>
      <c r="B1526" t="s">
        <v>2092</v>
      </c>
      <c r="C1526" t="s">
        <v>130</v>
      </c>
      <c r="D1526">
        <v>1972</v>
      </c>
      <c r="E1526" t="s">
        <v>15</v>
      </c>
      <c r="F1526" t="s">
        <v>16</v>
      </c>
      <c r="G1526" t="s">
        <v>17</v>
      </c>
      <c r="H1526" t="s">
        <v>18</v>
      </c>
      <c r="I1526">
        <v>43.515000000000001</v>
      </c>
      <c r="J1526" t="s">
        <v>19</v>
      </c>
      <c r="K1526" t="s">
        <v>2109</v>
      </c>
      <c r="L1526" t="s">
        <v>21</v>
      </c>
      <c r="M1526" t="str">
        <f t="shared" si="69"/>
        <v>OK</v>
      </c>
      <c r="N1526" t="str">
        <f t="shared" si="70"/>
        <v>1970s</v>
      </c>
      <c r="O1526" t="str">
        <f t="shared" si="71"/>
        <v>Low</v>
      </c>
      <c r="P1526" t="str">
        <f>VLOOKUP(E1526,calculated_fields!$F$4:$G$6,2,FALSE)</f>
        <v>Health</v>
      </c>
    </row>
    <row r="1527" spans="1:16">
      <c r="A1527" t="s">
        <v>2110</v>
      </c>
      <c r="B1527" t="s">
        <v>2092</v>
      </c>
      <c r="C1527" t="s">
        <v>130</v>
      </c>
      <c r="D1527">
        <v>1972</v>
      </c>
      <c r="E1527" t="s">
        <v>23</v>
      </c>
      <c r="F1527" t="s">
        <v>24</v>
      </c>
      <c r="G1527" t="s">
        <v>25</v>
      </c>
      <c r="H1527" t="s">
        <v>26</v>
      </c>
      <c r="I1527">
        <v>30770372</v>
      </c>
      <c r="J1527" t="s">
        <v>27</v>
      </c>
      <c r="K1527" t="s">
        <v>2109</v>
      </c>
      <c r="L1527" t="s">
        <v>21</v>
      </c>
      <c r="M1527" t="str">
        <f t="shared" si="69"/>
        <v>OK</v>
      </c>
      <c r="N1527" t="str">
        <f t="shared" si="70"/>
        <v>1970s</v>
      </c>
      <c r="O1527" t="str">
        <f t="shared" si="71"/>
        <v>N/A</v>
      </c>
      <c r="P1527" t="str">
        <f>VLOOKUP(E1527,calculated_fields!$F$4:$G$6,2,FALSE)</f>
        <v>Demographics</v>
      </c>
    </row>
    <row r="1528" spans="1:16">
      <c r="A1528" t="s">
        <v>2111</v>
      </c>
      <c r="B1528" t="s">
        <v>2092</v>
      </c>
      <c r="C1528" t="s">
        <v>130</v>
      </c>
      <c r="D1528">
        <v>1972</v>
      </c>
      <c r="E1528" t="s">
        <v>29</v>
      </c>
      <c r="F1528" t="s">
        <v>30</v>
      </c>
      <c r="G1528" t="s">
        <v>31</v>
      </c>
      <c r="H1528" t="s">
        <v>32</v>
      </c>
      <c r="I1528">
        <v>566.24394419999999</v>
      </c>
      <c r="J1528" t="s">
        <v>33</v>
      </c>
      <c r="K1528" t="s">
        <v>2109</v>
      </c>
      <c r="L1528" t="s">
        <v>21</v>
      </c>
      <c r="M1528" t="str">
        <f t="shared" si="69"/>
        <v>OK</v>
      </c>
      <c r="N1528" t="str">
        <f t="shared" si="70"/>
        <v>1970s</v>
      </c>
      <c r="O1528" t="str">
        <f t="shared" si="71"/>
        <v>N/A</v>
      </c>
      <c r="P1528" t="str">
        <f>VLOOKUP(E1528,calculated_fields!$F$4:$G$6,2,FALSE)</f>
        <v>Economy</v>
      </c>
    </row>
    <row r="1529" spans="1:16">
      <c r="A1529" t="s">
        <v>2112</v>
      </c>
      <c r="B1529" t="s">
        <v>2092</v>
      </c>
      <c r="C1529" t="s">
        <v>130</v>
      </c>
      <c r="D1529">
        <v>1977</v>
      </c>
      <c r="E1529" t="s">
        <v>15</v>
      </c>
      <c r="F1529" t="s">
        <v>16</v>
      </c>
      <c r="G1529" t="s">
        <v>17</v>
      </c>
      <c r="H1529" t="s">
        <v>18</v>
      </c>
      <c r="I1529">
        <v>44.51</v>
      </c>
      <c r="J1529" t="s">
        <v>19</v>
      </c>
      <c r="K1529" t="s">
        <v>2113</v>
      </c>
      <c r="L1529" t="s">
        <v>21</v>
      </c>
      <c r="M1529" t="str">
        <f t="shared" si="69"/>
        <v>OK</v>
      </c>
      <c r="N1529" t="str">
        <f t="shared" si="70"/>
        <v>1970s</v>
      </c>
      <c r="O1529" t="str">
        <f t="shared" si="71"/>
        <v>Low</v>
      </c>
      <c r="P1529" t="str">
        <f>VLOOKUP(E1529,calculated_fields!$F$4:$G$6,2,FALSE)</f>
        <v>Health</v>
      </c>
    </row>
    <row r="1530" spans="1:16">
      <c r="A1530" t="s">
        <v>2114</v>
      </c>
      <c r="B1530" t="s">
        <v>2092</v>
      </c>
      <c r="C1530" t="s">
        <v>130</v>
      </c>
      <c r="D1530">
        <v>1977</v>
      </c>
      <c r="E1530" t="s">
        <v>23</v>
      </c>
      <c r="F1530" t="s">
        <v>24</v>
      </c>
      <c r="G1530" t="s">
        <v>25</v>
      </c>
      <c r="H1530" t="s">
        <v>26</v>
      </c>
      <c r="I1530">
        <v>34617799</v>
      </c>
      <c r="J1530" t="s">
        <v>27</v>
      </c>
      <c r="K1530" t="s">
        <v>2113</v>
      </c>
      <c r="L1530" t="s">
        <v>21</v>
      </c>
      <c r="M1530" t="str">
        <f t="shared" si="69"/>
        <v>OK</v>
      </c>
      <c r="N1530" t="str">
        <f t="shared" si="70"/>
        <v>1970s</v>
      </c>
      <c r="O1530" t="str">
        <f t="shared" si="71"/>
        <v>N/A</v>
      </c>
      <c r="P1530" t="str">
        <f>VLOOKUP(E1530,calculated_fields!$F$4:$G$6,2,FALSE)</f>
        <v>Demographics</v>
      </c>
    </row>
    <row r="1531" spans="1:16">
      <c r="A1531" t="s">
        <v>2115</v>
      </c>
      <c r="B1531" t="s">
        <v>2092</v>
      </c>
      <c r="C1531" t="s">
        <v>130</v>
      </c>
      <c r="D1531">
        <v>1977</v>
      </c>
      <c r="E1531" t="s">
        <v>29</v>
      </c>
      <c r="F1531" t="s">
        <v>30</v>
      </c>
      <c r="G1531" t="s">
        <v>31</v>
      </c>
      <c r="H1531" t="s">
        <v>32</v>
      </c>
      <c r="I1531">
        <v>556.80838340000003</v>
      </c>
      <c r="J1531" t="s">
        <v>33</v>
      </c>
      <c r="K1531" t="s">
        <v>2113</v>
      </c>
      <c r="L1531" t="s">
        <v>21</v>
      </c>
      <c r="M1531" t="str">
        <f t="shared" si="69"/>
        <v>OK</v>
      </c>
      <c r="N1531" t="str">
        <f t="shared" si="70"/>
        <v>1970s</v>
      </c>
      <c r="O1531" t="str">
        <f t="shared" si="71"/>
        <v>N/A</v>
      </c>
      <c r="P1531" t="str">
        <f>VLOOKUP(E1531,calculated_fields!$F$4:$G$6,2,FALSE)</f>
        <v>Economy</v>
      </c>
    </row>
    <row r="1532" spans="1:16">
      <c r="A1532" t="s">
        <v>2116</v>
      </c>
      <c r="B1532" t="s">
        <v>2092</v>
      </c>
      <c r="C1532" t="s">
        <v>130</v>
      </c>
      <c r="D1532">
        <v>1982</v>
      </c>
      <c r="E1532" t="s">
        <v>15</v>
      </c>
      <c r="F1532" t="s">
        <v>16</v>
      </c>
      <c r="G1532" t="s">
        <v>17</v>
      </c>
      <c r="H1532" t="s">
        <v>18</v>
      </c>
      <c r="I1532">
        <v>44.915999999999997</v>
      </c>
      <c r="J1532" t="s">
        <v>19</v>
      </c>
      <c r="K1532" t="s">
        <v>2117</v>
      </c>
      <c r="L1532" t="s">
        <v>21</v>
      </c>
      <c r="M1532" t="str">
        <f t="shared" si="69"/>
        <v>OK</v>
      </c>
      <c r="N1532" t="str">
        <f t="shared" si="70"/>
        <v>1980s</v>
      </c>
      <c r="O1532" t="str">
        <f t="shared" si="71"/>
        <v>Low</v>
      </c>
      <c r="P1532" t="str">
        <f>VLOOKUP(E1532,calculated_fields!$F$4:$G$6,2,FALSE)</f>
        <v>Health</v>
      </c>
    </row>
    <row r="1533" spans="1:16">
      <c r="A1533" t="s">
        <v>2118</v>
      </c>
      <c r="B1533" t="s">
        <v>2092</v>
      </c>
      <c r="C1533" t="s">
        <v>130</v>
      </c>
      <c r="D1533">
        <v>1982</v>
      </c>
      <c r="E1533" t="s">
        <v>23</v>
      </c>
      <c r="F1533" t="s">
        <v>24</v>
      </c>
      <c r="G1533" t="s">
        <v>25</v>
      </c>
      <c r="H1533" t="s">
        <v>26</v>
      </c>
      <c r="I1533">
        <v>38111756</v>
      </c>
      <c r="J1533" t="s">
        <v>27</v>
      </c>
      <c r="K1533" t="s">
        <v>2117</v>
      </c>
      <c r="L1533" t="s">
        <v>21</v>
      </c>
      <c r="M1533" t="str">
        <f t="shared" si="69"/>
        <v>OK</v>
      </c>
      <c r="N1533" t="str">
        <f t="shared" si="70"/>
        <v>1980s</v>
      </c>
      <c r="O1533" t="str">
        <f t="shared" si="71"/>
        <v>N/A</v>
      </c>
      <c r="P1533" t="str">
        <f>VLOOKUP(E1533,calculated_fields!$F$4:$G$6,2,FALSE)</f>
        <v>Demographics</v>
      </c>
    </row>
    <row r="1534" spans="1:16">
      <c r="A1534" t="s">
        <v>2119</v>
      </c>
      <c r="B1534" t="s">
        <v>2092</v>
      </c>
      <c r="C1534" t="s">
        <v>130</v>
      </c>
      <c r="D1534">
        <v>1982</v>
      </c>
      <c r="E1534" t="s">
        <v>29</v>
      </c>
      <c r="F1534" t="s">
        <v>30</v>
      </c>
      <c r="G1534" t="s">
        <v>31</v>
      </c>
      <c r="H1534" t="s">
        <v>32</v>
      </c>
      <c r="I1534">
        <v>577.86074710000003</v>
      </c>
      <c r="J1534" t="s">
        <v>33</v>
      </c>
      <c r="K1534" t="s">
        <v>2117</v>
      </c>
      <c r="L1534" t="s">
        <v>21</v>
      </c>
      <c r="M1534" t="str">
        <f t="shared" si="69"/>
        <v>OK</v>
      </c>
      <c r="N1534" t="str">
        <f t="shared" si="70"/>
        <v>1980s</v>
      </c>
      <c r="O1534" t="str">
        <f t="shared" si="71"/>
        <v>N/A</v>
      </c>
      <c r="P1534" t="str">
        <f>VLOOKUP(E1534,calculated_fields!$F$4:$G$6,2,FALSE)</f>
        <v>Economy</v>
      </c>
    </row>
    <row r="1535" spans="1:16">
      <c r="A1535" t="s">
        <v>2120</v>
      </c>
      <c r="B1535" t="s">
        <v>2092</v>
      </c>
      <c r="C1535" t="s">
        <v>130</v>
      </c>
      <c r="D1535">
        <v>1987</v>
      </c>
      <c r="E1535" t="s">
        <v>15</v>
      </c>
      <c r="F1535" t="s">
        <v>16</v>
      </c>
      <c r="G1535" t="s">
        <v>17</v>
      </c>
      <c r="H1535" t="s">
        <v>18</v>
      </c>
      <c r="I1535">
        <v>46.683999999999997</v>
      </c>
      <c r="J1535" t="s">
        <v>19</v>
      </c>
      <c r="K1535" t="s">
        <v>2121</v>
      </c>
      <c r="L1535" t="s">
        <v>21</v>
      </c>
      <c r="M1535" t="str">
        <f t="shared" si="69"/>
        <v>OK</v>
      </c>
      <c r="N1535" t="str">
        <f t="shared" si="70"/>
        <v>1980s</v>
      </c>
      <c r="O1535" t="str">
        <f t="shared" si="71"/>
        <v>Low</v>
      </c>
      <c r="P1535" t="str">
        <f>VLOOKUP(E1535,calculated_fields!$F$4:$G$6,2,FALSE)</f>
        <v>Health</v>
      </c>
    </row>
    <row r="1536" spans="1:16">
      <c r="A1536" t="s">
        <v>2122</v>
      </c>
      <c r="B1536" t="s">
        <v>2092</v>
      </c>
      <c r="C1536" t="s">
        <v>130</v>
      </c>
      <c r="D1536">
        <v>1987</v>
      </c>
      <c r="E1536" t="s">
        <v>23</v>
      </c>
      <c r="F1536" t="s">
        <v>24</v>
      </c>
      <c r="G1536" t="s">
        <v>25</v>
      </c>
      <c r="H1536" t="s">
        <v>26</v>
      </c>
      <c r="I1536">
        <v>42999530</v>
      </c>
      <c r="J1536" t="s">
        <v>27</v>
      </c>
      <c r="K1536" t="s">
        <v>2121</v>
      </c>
      <c r="L1536" t="s">
        <v>21</v>
      </c>
      <c r="M1536" t="str">
        <f t="shared" si="69"/>
        <v>OK</v>
      </c>
      <c r="N1536" t="str">
        <f t="shared" si="70"/>
        <v>1980s</v>
      </c>
      <c r="O1536" t="str">
        <f t="shared" si="71"/>
        <v>N/A</v>
      </c>
      <c r="P1536" t="str">
        <f>VLOOKUP(E1536,calculated_fields!$F$4:$G$6,2,FALSE)</f>
        <v>Demographics</v>
      </c>
    </row>
    <row r="1537" spans="1:16">
      <c r="A1537" t="s">
        <v>2123</v>
      </c>
      <c r="B1537" t="s">
        <v>2092</v>
      </c>
      <c r="C1537" t="s">
        <v>130</v>
      </c>
      <c r="D1537">
        <v>1987</v>
      </c>
      <c r="E1537" t="s">
        <v>29</v>
      </c>
      <c r="F1537" t="s">
        <v>30</v>
      </c>
      <c r="G1537" t="s">
        <v>31</v>
      </c>
      <c r="H1537" t="s">
        <v>32</v>
      </c>
      <c r="I1537">
        <v>573.74131420000003</v>
      </c>
      <c r="J1537" t="s">
        <v>33</v>
      </c>
      <c r="K1537" t="s">
        <v>2121</v>
      </c>
      <c r="L1537" t="s">
        <v>21</v>
      </c>
      <c r="M1537" t="str">
        <f t="shared" si="69"/>
        <v>OK</v>
      </c>
      <c r="N1537" t="str">
        <f t="shared" si="70"/>
        <v>1980s</v>
      </c>
      <c r="O1537" t="str">
        <f t="shared" si="71"/>
        <v>N/A</v>
      </c>
      <c r="P1537" t="str">
        <f>VLOOKUP(E1537,calculated_fields!$F$4:$G$6,2,FALSE)</f>
        <v>Economy</v>
      </c>
    </row>
    <row r="1538" spans="1:16">
      <c r="A1538" t="s">
        <v>2124</v>
      </c>
      <c r="B1538" t="s">
        <v>2092</v>
      </c>
      <c r="C1538" t="s">
        <v>130</v>
      </c>
      <c r="D1538">
        <v>1992</v>
      </c>
      <c r="E1538" t="s">
        <v>15</v>
      </c>
      <c r="F1538" t="s">
        <v>16</v>
      </c>
      <c r="G1538" t="s">
        <v>17</v>
      </c>
      <c r="H1538" t="s">
        <v>18</v>
      </c>
      <c r="I1538">
        <v>48.091000000000001</v>
      </c>
      <c r="J1538" t="s">
        <v>19</v>
      </c>
      <c r="K1538" t="s">
        <v>2125</v>
      </c>
      <c r="L1538" t="s">
        <v>21</v>
      </c>
      <c r="M1538" t="str">
        <f t="shared" ref="M1538:M1601" si="72">IF(AND(ISNUMBER(I1538),I1538&gt;=0),"OK","Review")</f>
        <v>OK</v>
      </c>
      <c r="N1538" t="str">
        <f t="shared" ref="N1538:N1601" si="73">FLOOR(D1538,10)&amp;"s"</f>
        <v>1990s</v>
      </c>
      <c r="O1538" t="str">
        <f t="shared" ref="O1538:O1601" si="74">IF(E1538="LIFE_EXP",IF(I1538&gt;=70,"High",IF(I1538&gt;=55,"Medium","Low")),"N/A")</f>
        <v>Low</v>
      </c>
      <c r="P1538" t="str">
        <f>VLOOKUP(E1538,calculated_fields!$F$4:$G$6,2,FALSE)</f>
        <v>Health</v>
      </c>
    </row>
    <row r="1539" spans="1:16">
      <c r="A1539" t="s">
        <v>2126</v>
      </c>
      <c r="B1539" t="s">
        <v>2092</v>
      </c>
      <c r="C1539" t="s">
        <v>130</v>
      </c>
      <c r="D1539">
        <v>1992</v>
      </c>
      <c r="E1539" t="s">
        <v>23</v>
      </c>
      <c r="F1539" t="s">
        <v>24</v>
      </c>
      <c r="G1539" t="s">
        <v>25</v>
      </c>
      <c r="H1539" t="s">
        <v>26</v>
      </c>
      <c r="I1539">
        <v>52088559</v>
      </c>
      <c r="J1539" t="s">
        <v>27</v>
      </c>
      <c r="K1539" t="s">
        <v>2125</v>
      </c>
      <c r="L1539" t="s">
        <v>21</v>
      </c>
      <c r="M1539" t="str">
        <f t="shared" si="72"/>
        <v>OK</v>
      </c>
      <c r="N1539" t="str">
        <f t="shared" si="73"/>
        <v>1990s</v>
      </c>
      <c r="O1539" t="str">
        <f t="shared" si="74"/>
        <v>N/A</v>
      </c>
      <c r="P1539" t="str">
        <f>VLOOKUP(E1539,calculated_fields!$F$4:$G$6,2,FALSE)</f>
        <v>Demographics</v>
      </c>
    </row>
    <row r="1540" spans="1:16">
      <c r="A1540" t="s">
        <v>2127</v>
      </c>
      <c r="B1540" t="s">
        <v>2092</v>
      </c>
      <c r="C1540" t="s">
        <v>130</v>
      </c>
      <c r="D1540">
        <v>1992</v>
      </c>
      <c r="E1540" t="s">
        <v>29</v>
      </c>
      <c r="F1540" t="s">
        <v>30</v>
      </c>
      <c r="G1540" t="s">
        <v>31</v>
      </c>
      <c r="H1540" t="s">
        <v>32</v>
      </c>
      <c r="I1540">
        <v>421.35346529999998</v>
      </c>
      <c r="J1540" t="s">
        <v>33</v>
      </c>
      <c r="K1540" t="s">
        <v>2125</v>
      </c>
      <c r="L1540" t="s">
        <v>21</v>
      </c>
      <c r="M1540" t="str">
        <f t="shared" si="72"/>
        <v>OK</v>
      </c>
      <c r="N1540" t="str">
        <f t="shared" si="73"/>
        <v>1990s</v>
      </c>
      <c r="O1540" t="str">
        <f t="shared" si="74"/>
        <v>N/A</v>
      </c>
      <c r="P1540" t="str">
        <f>VLOOKUP(E1540,calculated_fields!$F$4:$G$6,2,FALSE)</f>
        <v>Economy</v>
      </c>
    </row>
    <row r="1541" spans="1:16">
      <c r="A1541" t="s">
        <v>2128</v>
      </c>
      <c r="B1541" t="s">
        <v>2092</v>
      </c>
      <c r="C1541" t="s">
        <v>130</v>
      </c>
      <c r="D1541">
        <v>1997</v>
      </c>
      <c r="E1541" t="s">
        <v>15</v>
      </c>
      <c r="F1541" t="s">
        <v>16</v>
      </c>
      <c r="G1541" t="s">
        <v>17</v>
      </c>
      <c r="H1541" t="s">
        <v>18</v>
      </c>
      <c r="I1541">
        <v>49.402000000000001</v>
      </c>
      <c r="J1541" t="s">
        <v>19</v>
      </c>
      <c r="K1541" t="s">
        <v>2129</v>
      </c>
      <c r="L1541" t="s">
        <v>21</v>
      </c>
      <c r="M1541" t="str">
        <f t="shared" si="72"/>
        <v>OK</v>
      </c>
      <c r="N1541" t="str">
        <f t="shared" si="73"/>
        <v>1990s</v>
      </c>
      <c r="O1541" t="str">
        <f t="shared" si="74"/>
        <v>Low</v>
      </c>
      <c r="P1541" t="str">
        <f>VLOOKUP(E1541,calculated_fields!$F$4:$G$6,2,FALSE)</f>
        <v>Health</v>
      </c>
    </row>
    <row r="1542" spans="1:16">
      <c r="A1542" t="s">
        <v>2130</v>
      </c>
      <c r="B1542" t="s">
        <v>2092</v>
      </c>
      <c r="C1542" t="s">
        <v>130</v>
      </c>
      <c r="D1542">
        <v>1997</v>
      </c>
      <c r="E1542" t="s">
        <v>23</v>
      </c>
      <c r="F1542" t="s">
        <v>24</v>
      </c>
      <c r="G1542" t="s">
        <v>25</v>
      </c>
      <c r="H1542" t="s">
        <v>26</v>
      </c>
      <c r="I1542">
        <v>59861301</v>
      </c>
      <c r="J1542" t="s">
        <v>27</v>
      </c>
      <c r="K1542" t="s">
        <v>2129</v>
      </c>
      <c r="L1542" t="s">
        <v>21</v>
      </c>
      <c r="M1542" t="str">
        <f t="shared" si="72"/>
        <v>OK</v>
      </c>
      <c r="N1542" t="str">
        <f t="shared" si="73"/>
        <v>1990s</v>
      </c>
      <c r="O1542" t="str">
        <f t="shared" si="74"/>
        <v>N/A</v>
      </c>
      <c r="P1542" t="str">
        <f>VLOOKUP(E1542,calculated_fields!$F$4:$G$6,2,FALSE)</f>
        <v>Demographics</v>
      </c>
    </row>
    <row r="1543" spans="1:16">
      <c r="A1543" t="s">
        <v>2131</v>
      </c>
      <c r="B1543" t="s">
        <v>2092</v>
      </c>
      <c r="C1543" t="s">
        <v>130</v>
      </c>
      <c r="D1543">
        <v>1997</v>
      </c>
      <c r="E1543" t="s">
        <v>29</v>
      </c>
      <c r="F1543" t="s">
        <v>30</v>
      </c>
      <c r="G1543" t="s">
        <v>31</v>
      </c>
      <c r="H1543" t="s">
        <v>32</v>
      </c>
      <c r="I1543">
        <v>515.88940130000003</v>
      </c>
      <c r="J1543" t="s">
        <v>33</v>
      </c>
      <c r="K1543" t="s">
        <v>2129</v>
      </c>
      <c r="L1543" t="s">
        <v>21</v>
      </c>
      <c r="M1543" t="str">
        <f t="shared" si="72"/>
        <v>OK</v>
      </c>
      <c r="N1543" t="str">
        <f t="shared" si="73"/>
        <v>1990s</v>
      </c>
      <c r="O1543" t="str">
        <f t="shared" si="74"/>
        <v>N/A</v>
      </c>
      <c r="P1543" t="str">
        <f>VLOOKUP(E1543,calculated_fields!$F$4:$G$6,2,FALSE)</f>
        <v>Economy</v>
      </c>
    </row>
    <row r="1544" spans="1:16">
      <c r="A1544" t="s">
        <v>2132</v>
      </c>
      <c r="B1544" t="s">
        <v>2092</v>
      </c>
      <c r="C1544" t="s">
        <v>130</v>
      </c>
      <c r="D1544">
        <v>2002</v>
      </c>
      <c r="E1544" t="s">
        <v>15</v>
      </c>
      <c r="F1544" t="s">
        <v>16</v>
      </c>
      <c r="G1544" t="s">
        <v>17</v>
      </c>
      <c r="H1544" t="s">
        <v>18</v>
      </c>
      <c r="I1544">
        <v>50.725000000000001</v>
      </c>
      <c r="J1544" t="s">
        <v>19</v>
      </c>
      <c r="K1544" t="s">
        <v>2133</v>
      </c>
      <c r="L1544" t="s">
        <v>21</v>
      </c>
      <c r="M1544" t="str">
        <f t="shared" si="72"/>
        <v>OK</v>
      </c>
      <c r="N1544" t="str">
        <f t="shared" si="73"/>
        <v>2000s</v>
      </c>
      <c r="O1544" t="str">
        <f t="shared" si="74"/>
        <v>Low</v>
      </c>
      <c r="P1544" t="str">
        <f>VLOOKUP(E1544,calculated_fields!$F$4:$G$6,2,FALSE)</f>
        <v>Health</v>
      </c>
    </row>
    <row r="1545" spans="1:16">
      <c r="A1545" t="s">
        <v>2134</v>
      </c>
      <c r="B1545" t="s">
        <v>2092</v>
      </c>
      <c r="C1545" t="s">
        <v>130</v>
      </c>
      <c r="D1545">
        <v>2002</v>
      </c>
      <c r="E1545" t="s">
        <v>23</v>
      </c>
      <c r="F1545" t="s">
        <v>24</v>
      </c>
      <c r="G1545" t="s">
        <v>25</v>
      </c>
      <c r="H1545" t="s">
        <v>26</v>
      </c>
      <c r="I1545">
        <v>67946797</v>
      </c>
      <c r="J1545" t="s">
        <v>27</v>
      </c>
      <c r="K1545" t="s">
        <v>2133</v>
      </c>
      <c r="L1545" t="s">
        <v>21</v>
      </c>
      <c r="M1545" t="str">
        <f t="shared" si="72"/>
        <v>OK</v>
      </c>
      <c r="N1545" t="str">
        <f t="shared" si="73"/>
        <v>2000s</v>
      </c>
      <c r="O1545" t="str">
        <f t="shared" si="74"/>
        <v>N/A</v>
      </c>
      <c r="P1545" t="str">
        <f>VLOOKUP(E1545,calculated_fields!$F$4:$G$6,2,FALSE)</f>
        <v>Demographics</v>
      </c>
    </row>
    <row r="1546" spans="1:16">
      <c r="A1546" t="s">
        <v>2135</v>
      </c>
      <c r="B1546" t="s">
        <v>2092</v>
      </c>
      <c r="C1546" t="s">
        <v>130</v>
      </c>
      <c r="D1546">
        <v>2002</v>
      </c>
      <c r="E1546" t="s">
        <v>29</v>
      </c>
      <c r="F1546" t="s">
        <v>30</v>
      </c>
      <c r="G1546" t="s">
        <v>31</v>
      </c>
      <c r="H1546" t="s">
        <v>32</v>
      </c>
      <c r="I1546">
        <v>530.05353190000005</v>
      </c>
      <c r="J1546" t="s">
        <v>33</v>
      </c>
      <c r="K1546" t="s">
        <v>2133</v>
      </c>
      <c r="L1546" t="s">
        <v>21</v>
      </c>
      <c r="M1546" t="str">
        <f t="shared" si="72"/>
        <v>OK</v>
      </c>
      <c r="N1546" t="str">
        <f t="shared" si="73"/>
        <v>2000s</v>
      </c>
      <c r="O1546" t="str">
        <f t="shared" si="74"/>
        <v>N/A</v>
      </c>
      <c r="P1546" t="str">
        <f>VLOOKUP(E1546,calculated_fields!$F$4:$G$6,2,FALSE)</f>
        <v>Economy</v>
      </c>
    </row>
    <row r="1547" spans="1:16">
      <c r="A1547" t="s">
        <v>2136</v>
      </c>
      <c r="B1547" t="s">
        <v>2092</v>
      </c>
      <c r="C1547" t="s">
        <v>130</v>
      </c>
      <c r="D1547">
        <v>2007</v>
      </c>
      <c r="E1547" t="s">
        <v>15</v>
      </c>
      <c r="F1547" t="s">
        <v>16</v>
      </c>
      <c r="G1547" t="s">
        <v>17</v>
      </c>
      <c r="H1547" t="s">
        <v>18</v>
      </c>
      <c r="I1547">
        <v>52.947000000000003</v>
      </c>
      <c r="J1547" t="s">
        <v>19</v>
      </c>
      <c r="K1547" t="s">
        <v>2137</v>
      </c>
      <c r="L1547" t="s">
        <v>21</v>
      </c>
      <c r="M1547" t="str">
        <f t="shared" si="72"/>
        <v>OK</v>
      </c>
      <c r="N1547" t="str">
        <f t="shared" si="73"/>
        <v>2000s</v>
      </c>
      <c r="O1547" t="str">
        <f t="shared" si="74"/>
        <v>Low</v>
      </c>
      <c r="P1547" t="str">
        <f>VLOOKUP(E1547,calculated_fields!$F$4:$G$6,2,FALSE)</f>
        <v>Health</v>
      </c>
    </row>
    <row r="1548" spans="1:16">
      <c r="A1548" t="s">
        <v>2138</v>
      </c>
      <c r="B1548" t="s">
        <v>2092</v>
      </c>
      <c r="C1548" t="s">
        <v>130</v>
      </c>
      <c r="D1548">
        <v>2007</v>
      </c>
      <c r="E1548" t="s">
        <v>23</v>
      </c>
      <c r="F1548" t="s">
        <v>24</v>
      </c>
      <c r="G1548" t="s">
        <v>25</v>
      </c>
      <c r="H1548" t="s">
        <v>26</v>
      </c>
      <c r="I1548">
        <v>76511887</v>
      </c>
      <c r="J1548" t="s">
        <v>27</v>
      </c>
      <c r="K1548" t="s">
        <v>2137</v>
      </c>
      <c r="L1548" t="s">
        <v>21</v>
      </c>
      <c r="M1548" t="str">
        <f t="shared" si="72"/>
        <v>OK</v>
      </c>
      <c r="N1548" t="str">
        <f t="shared" si="73"/>
        <v>2000s</v>
      </c>
      <c r="O1548" t="str">
        <f t="shared" si="74"/>
        <v>N/A</v>
      </c>
      <c r="P1548" t="str">
        <f>VLOOKUP(E1548,calculated_fields!$F$4:$G$6,2,FALSE)</f>
        <v>Demographics</v>
      </c>
    </row>
    <row r="1549" spans="1:16">
      <c r="A1549" t="s">
        <v>2139</v>
      </c>
      <c r="B1549" t="s">
        <v>2092</v>
      </c>
      <c r="C1549" t="s">
        <v>130</v>
      </c>
      <c r="D1549">
        <v>2007</v>
      </c>
      <c r="E1549" t="s">
        <v>29</v>
      </c>
      <c r="F1549" t="s">
        <v>30</v>
      </c>
      <c r="G1549" t="s">
        <v>31</v>
      </c>
      <c r="H1549" t="s">
        <v>32</v>
      </c>
      <c r="I1549">
        <v>690.80557590000001</v>
      </c>
      <c r="J1549" t="s">
        <v>33</v>
      </c>
      <c r="K1549" t="s">
        <v>2137</v>
      </c>
      <c r="L1549" t="s">
        <v>21</v>
      </c>
      <c r="M1549" t="str">
        <f t="shared" si="72"/>
        <v>OK</v>
      </c>
      <c r="N1549" t="str">
        <f t="shared" si="73"/>
        <v>2000s</v>
      </c>
      <c r="O1549" t="str">
        <f t="shared" si="74"/>
        <v>N/A</v>
      </c>
      <c r="P1549" t="str">
        <f>VLOOKUP(E1549,calculated_fields!$F$4:$G$6,2,FALSE)</f>
        <v>Economy</v>
      </c>
    </row>
    <row r="1550" spans="1:16">
      <c r="A1550" t="s">
        <v>2140</v>
      </c>
      <c r="B1550" t="s">
        <v>2141</v>
      </c>
      <c r="C1550" t="s">
        <v>80</v>
      </c>
      <c r="D1550">
        <v>1952</v>
      </c>
      <c r="E1550" t="s">
        <v>15</v>
      </c>
      <c r="F1550" t="s">
        <v>16</v>
      </c>
      <c r="G1550" t="s">
        <v>17</v>
      </c>
      <c r="H1550" t="s">
        <v>18</v>
      </c>
      <c r="I1550">
        <v>66.55</v>
      </c>
      <c r="J1550" t="s">
        <v>19</v>
      </c>
      <c r="K1550" t="s">
        <v>2142</v>
      </c>
      <c r="L1550" t="s">
        <v>21</v>
      </c>
      <c r="M1550" t="str">
        <f t="shared" si="72"/>
        <v>OK</v>
      </c>
      <c r="N1550" t="str">
        <f t="shared" si="73"/>
        <v>1950s</v>
      </c>
      <c r="O1550" t="str">
        <f t="shared" si="74"/>
        <v>Medium</v>
      </c>
      <c r="P1550" t="str">
        <f>VLOOKUP(E1550,calculated_fields!$F$4:$G$6,2,FALSE)</f>
        <v>Health</v>
      </c>
    </row>
    <row r="1551" spans="1:16">
      <c r="A1551" t="s">
        <v>2143</v>
      </c>
      <c r="B1551" t="s">
        <v>2141</v>
      </c>
      <c r="C1551" t="s">
        <v>80</v>
      </c>
      <c r="D1551">
        <v>1952</v>
      </c>
      <c r="E1551" t="s">
        <v>23</v>
      </c>
      <c r="F1551" t="s">
        <v>24</v>
      </c>
      <c r="G1551" t="s">
        <v>25</v>
      </c>
      <c r="H1551" t="s">
        <v>26</v>
      </c>
      <c r="I1551">
        <v>4090500</v>
      </c>
      <c r="J1551" t="s">
        <v>27</v>
      </c>
      <c r="K1551" t="s">
        <v>2142</v>
      </c>
      <c r="L1551" t="s">
        <v>21</v>
      </c>
      <c r="M1551" t="str">
        <f t="shared" si="72"/>
        <v>OK</v>
      </c>
      <c r="N1551" t="str">
        <f t="shared" si="73"/>
        <v>1950s</v>
      </c>
      <c r="O1551" t="str">
        <f t="shared" si="74"/>
        <v>N/A</v>
      </c>
      <c r="P1551" t="str">
        <f>VLOOKUP(E1551,calculated_fields!$F$4:$G$6,2,FALSE)</f>
        <v>Demographics</v>
      </c>
    </row>
    <row r="1552" spans="1:16">
      <c r="A1552" t="s">
        <v>2144</v>
      </c>
      <c r="B1552" t="s">
        <v>2141</v>
      </c>
      <c r="C1552" t="s">
        <v>80</v>
      </c>
      <c r="D1552">
        <v>1952</v>
      </c>
      <c r="E1552" t="s">
        <v>29</v>
      </c>
      <c r="F1552" t="s">
        <v>30</v>
      </c>
      <c r="G1552" t="s">
        <v>31</v>
      </c>
      <c r="H1552" t="s">
        <v>32</v>
      </c>
      <c r="I1552">
        <v>6424.5190709999997</v>
      </c>
      <c r="J1552" t="s">
        <v>33</v>
      </c>
      <c r="K1552" t="s">
        <v>2142</v>
      </c>
      <c r="L1552" t="s">
        <v>21</v>
      </c>
      <c r="M1552" t="str">
        <f t="shared" si="72"/>
        <v>OK</v>
      </c>
      <c r="N1552" t="str">
        <f t="shared" si="73"/>
        <v>1950s</v>
      </c>
      <c r="O1552" t="str">
        <f t="shared" si="74"/>
        <v>N/A</v>
      </c>
      <c r="P1552" t="str">
        <f>VLOOKUP(E1552,calculated_fields!$F$4:$G$6,2,FALSE)</f>
        <v>Economy</v>
      </c>
    </row>
    <row r="1553" spans="1:16">
      <c r="A1553" t="s">
        <v>2145</v>
      </c>
      <c r="B1553" t="s">
        <v>2141</v>
      </c>
      <c r="C1553" t="s">
        <v>80</v>
      </c>
      <c r="D1553">
        <v>1957</v>
      </c>
      <c r="E1553" t="s">
        <v>15</v>
      </c>
      <c r="F1553" t="s">
        <v>16</v>
      </c>
      <c r="G1553" t="s">
        <v>17</v>
      </c>
      <c r="H1553" t="s">
        <v>18</v>
      </c>
      <c r="I1553">
        <v>67.489999999999995</v>
      </c>
      <c r="J1553" t="s">
        <v>19</v>
      </c>
      <c r="K1553" t="s">
        <v>2146</v>
      </c>
      <c r="L1553" t="s">
        <v>21</v>
      </c>
      <c r="M1553" t="str">
        <f t="shared" si="72"/>
        <v>OK</v>
      </c>
      <c r="N1553" t="str">
        <f t="shared" si="73"/>
        <v>1950s</v>
      </c>
      <c r="O1553" t="str">
        <f t="shared" si="74"/>
        <v>Medium</v>
      </c>
      <c r="P1553" t="str">
        <f>VLOOKUP(E1553,calculated_fields!$F$4:$G$6,2,FALSE)</f>
        <v>Health</v>
      </c>
    </row>
    <row r="1554" spans="1:16">
      <c r="A1554" t="s">
        <v>2147</v>
      </c>
      <c r="B1554" t="s">
        <v>2141</v>
      </c>
      <c r="C1554" t="s">
        <v>80</v>
      </c>
      <c r="D1554">
        <v>1957</v>
      </c>
      <c r="E1554" t="s">
        <v>23</v>
      </c>
      <c r="F1554" t="s">
        <v>24</v>
      </c>
      <c r="G1554" t="s">
        <v>25</v>
      </c>
      <c r="H1554" t="s">
        <v>26</v>
      </c>
      <c r="I1554">
        <v>4324000</v>
      </c>
      <c r="J1554" t="s">
        <v>27</v>
      </c>
      <c r="K1554" t="s">
        <v>2146</v>
      </c>
      <c r="L1554" t="s">
        <v>21</v>
      </c>
      <c r="M1554" t="str">
        <f t="shared" si="72"/>
        <v>OK</v>
      </c>
      <c r="N1554" t="str">
        <f t="shared" si="73"/>
        <v>1950s</v>
      </c>
      <c r="O1554" t="str">
        <f t="shared" si="74"/>
        <v>N/A</v>
      </c>
      <c r="P1554" t="str">
        <f>VLOOKUP(E1554,calculated_fields!$F$4:$G$6,2,FALSE)</f>
        <v>Demographics</v>
      </c>
    </row>
    <row r="1555" spans="1:16">
      <c r="A1555" t="s">
        <v>2148</v>
      </c>
      <c r="B1555" t="s">
        <v>2141</v>
      </c>
      <c r="C1555" t="s">
        <v>80</v>
      </c>
      <c r="D1555">
        <v>1957</v>
      </c>
      <c r="E1555" t="s">
        <v>29</v>
      </c>
      <c r="F1555" t="s">
        <v>30</v>
      </c>
      <c r="G1555" t="s">
        <v>31</v>
      </c>
      <c r="H1555" t="s">
        <v>32</v>
      </c>
      <c r="I1555">
        <v>7545.4153859999997</v>
      </c>
      <c r="J1555" t="s">
        <v>33</v>
      </c>
      <c r="K1555" t="s">
        <v>2146</v>
      </c>
      <c r="L1555" t="s">
        <v>21</v>
      </c>
      <c r="M1555" t="str">
        <f t="shared" si="72"/>
        <v>OK</v>
      </c>
      <c r="N1555" t="str">
        <f t="shared" si="73"/>
        <v>1950s</v>
      </c>
      <c r="O1555" t="str">
        <f t="shared" si="74"/>
        <v>N/A</v>
      </c>
      <c r="P1555" t="str">
        <f>VLOOKUP(E1555,calculated_fields!$F$4:$G$6,2,FALSE)</f>
        <v>Economy</v>
      </c>
    </row>
    <row r="1556" spans="1:16">
      <c r="A1556" t="s">
        <v>2149</v>
      </c>
      <c r="B1556" t="s">
        <v>2141</v>
      </c>
      <c r="C1556" t="s">
        <v>80</v>
      </c>
      <c r="D1556">
        <v>1962</v>
      </c>
      <c r="E1556" t="s">
        <v>15</v>
      </c>
      <c r="F1556" t="s">
        <v>16</v>
      </c>
      <c r="G1556" t="s">
        <v>17</v>
      </c>
      <c r="H1556" t="s">
        <v>18</v>
      </c>
      <c r="I1556">
        <v>68.75</v>
      </c>
      <c r="J1556" t="s">
        <v>19</v>
      </c>
      <c r="K1556" t="s">
        <v>2150</v>
      </c>
      <c r="L1556" t="s">
        <v>21</v>
      </c>
      <c r="M1556" t="str">
        <f t="shared" si="72"/>
        <v>OK</v>
      </c>
      <c r="N1556" t="str">
        <f t="shared" si="73"/>
        <v>1960s</v>
      </c>
      <c r="O1556" t="str">
        <f t="shared" si="74"/>
        <v>Medium</v>
      </c>
      <c r="P1556" t="str">
        <f>VLOOKUP(E1556,calculated_fields!$F$4:$G$6,2,FALSE)</f>
        <v>Health</v>
      </c>
    </row>
    <row r="1557" spans="1:16">
      <c r="A1557" t="s">
        <v>2151</v>
      </c>
      <c r="B1557" t="s">
        <v>2141</v>
      </c>
      <c r="C1557" t="s">
        <v>80</v>
      </c>
      <c r="D1557">
        <v>1962</v>
      </c>
      <c r="E1557" t="s">
        <v>23</v>
      </c>
      <c r="F1557" t="s">
        <v>24</v>
      </c>
      <c r="G1557" t="s">
        <v>25</v>
      </c>
      <c r="H1557" t="s">
        <v>26</v>
      </c>
      <c r="I1557">
        <v>4491443</v>
      </c>
      <c r="J1557" t="s">
        <v>27</v>
      </c>
      <c r="K1557" t="s">
        <v>2150</v>
      </c>
      <c r="L1557" t="s">
        <v>21</v>
      </c>
      <c r="M1557" t="str">
        <f t="shared" si="72"/>
        <v>OK</v>
      </c>
      <c r="N1557" t="str">
        <f t="shared" si="73"/>
        <v>1960s</v>
      </c>
      <c r="O1557" t="str">
        <f t="shared" si="74"/>
        <v>N/A</v>
      </c>
      <c r="P1557" t="str">
        <f>VLOOKUP(E1557,calculated_fields!$F$4:$G$6,2,FALSE)</f>
        <v>Demographics</v>
      </c>
    </row>
    <row r="1558" spans="1:16">
      <c r="A1558" t="s">
        <v>2152</v>
      </c>
      <c r="B1558" t="s">
        <v>2141</v>
      </c>
      <c r="C1558" t="s">
        <v>80</v>
      </c>
      <c r="D1558">
        <v>1962</v>
      </c>
      <c r="E1558" t="s">
        <v>29</v>
      </c>
      <c r="F1558" t="s">
        <v>30</v>
      </c>
      <c r="G1558" t="s">
        <v>31</v>
      </c>
      <c r="H1558" t="s">
        <v>32</v>
      </c>
      <c r="I1558">
        <v>9371.8425609999995</v>
      </c>
      <c r="J1558" t="s">
        <v>33</v>
      </c>
      <c r="K1558" t="s">
        <v>2150</v>
      </c>
      <c r="L1558" t="s">
        <v>21</v>
      </c>
      <c r="M1558" t="str">
        <f t="shared" si="72"/>
        <v>OK</v>
      </c>
      <c r="N1558" t="str">
        <f t="shared" si="73"/>
        <v>1960s</v>
      </c>
      <c r="O1558" t="str">
        <f t="shared" si="74"/>
        <v>N/A</v>
      </c>
      <c r="P1558" t="str">
        <f>VLOOKUP(E1558,calculated_fields!$F$4:$G$6,2,FALSE)</f>
        <v>Economy</v>
      </c>
    </row>
    <row r="1559" spans="1:16">
      <c r="A1559" t="s">
        <v>2153</v>
      </c>
      <c r="B1559" t="s">
        <v>2141</v>
      </c>
      <c r="C1559" t="s">
        <v>80</v>
      </c>
      <c r="D1559">
        <v>1967</v>
      </c>
      <c r="E1559" t="s">
        <v>15</v>
      </c>
      <c r="F1559" t="s">
        <v>16</v>
      </c>
      <c r="G1559" t="s">
        <v>17</v>
      </c>
      <c r="H1559" t="s">
        <v>18</v>
      </c>
      <c r="I1559">
        <v>69.83</v>
      </c>
      <c r="J1559" t="s">
        <v>19</v>
      </c>
      <c r="K1559" t="s">
        <v>2154</v>
      </c>
      <c r="L1559" t="s">
        <v>21</v>
      </c>
      <c r="M1559" t="str">
        <f t="shared" si="72"/>
        <v>OK</v>
      </c>
      <c r="N1559" t="str">
        <f t="shared" si="73"/>
        <v>1960s</v>
      </c>
      <c r="O1559" t="str">
        <f t="shared" si="74"/>
        <v>Medium</v>
      </c>
      <c r="P1559" t="str">
        <f>VLOOKUP(E1559,calculated_fields!$F$4:$G$6,2,FALSE)</f>
        <v>Health</v>
      </c>
    </row>
    <row r="1560" spans="1:16">
      <c r="A1560" t="s">
        <v>2155</v>
      </c>
      <c r="B1560" t="s">
        <v>2141</v>
      </c>
      <c r="C1560" t="s">
        <v>80</v>
      </c>
      <c r="D1560">
        <v>1967</v>
      </c>
      <c r="E1560" t="s">
        <v>23</v>
      </c>
      <c r="F1560" t="s">
        <v>24</v>
      </c>
      <c r="G1560" t="s">
        <v>25</v>
      </c>
      <c r="H1560" t="s">
        <v>26</v>
      </c>
      <c r="I1560">
        <v>4605744</v>
      </c>
      <c r="J1560" t="s">
        <v>27</v>
      </c>
      <c r="K1560" t="s">
        <v>2154</v>
      </c>
      <c r="L1560" t="s">
        <v>21</v>
      </c>
      <c r="M1560" t="str">
        <f t="shared" si="72"/>
        <v>OK</v>
      </c>
      <c r="N1560" t="str">
        <f t="shared" si="73"/>
        <v>1960s</v>
      </c>
      <c r="O1560" t="str">
        <f t="shared" si="74"/>
        <v>N/A</v>
      </c>
      <c r="P1560" t="str">
        <f>VLOOKUP(E1560,calculated_fields!$F$4:$G$6,2,FALSE)</f>
        <v>Demographics</v>
      </c>
    </row>
    <row r="1561" spans="1:16">
      <c r="A1561" t="s">
        <v>2156</v>
      </c>
      <c r="B1561" t="s">
        <v>2141</v>
      </c>
      <c r="C1561" t="s">
        <v>80</v>
      </c>
      <c r="D1561">
        <v>1967</v>
      </c>
      <c r="E1561" t="s">
        <v>29</v>
      </c>
      <c r="F1561" t="s">
        <v>30</v>
      </c>
      <c r="G1561" t="s">
        <v>31</v>
      </c>
      <c r="H1561" t="s">
        <v>32</v>
      </c>
      <c r="I1561">
        <v>10921.636259999999</v>
      </c>
      <c r="J1561" t="s">
        <v>33</v>
      </c>
      <c r="K1561" t="s">
        <v>2154</v>
      </c>
      <c r="L1561" t="s">
        <v>21</v>
      </c>
      <c r="M1561" t="str">
        <f t="shared" si="72"/>
        <v>OK</v>
      </c>
      <c r="N1561" t="str">
        <f t="shared" si="73"/>
        <v>1960s</v>
      </c>
      <c r="O1561" t="str">
        <f t="shared" si="74"/>
        <v>N/A</v>
      </c>
      <c r="P1561" t="str">
        <f>VLOOKUP(E1561,calculated_fields!$F$4:$G$6,2,FALSE)</f>
        <v>Economy</v>
      </c>
    </row>
    <row r="1562" spans="1:16">
      <c r="A1562" t="s">
        <v>2157</v>
      </c>
      <c r="B1562" t="s">
        <v>2141</v>
      </c>
      <c r="C1562" t="s">
        <v>80</v>
      </c>
      <c r="D1562">
        <v>1972</v>
      </c>
      <c r="E1562" t="s">
        <v>15</v>
      </c>
      <c r="F1562" t="s">
        <v>16</v>
      </c>
      <c r="G1562" t="s">
        <v>17</v>
      </c>
      <c r="H1562" t="s">
        <v>18</v>
      </c>
      <c r="I1562">
        <v>70.87</v>
      </c>
      <c r="J1562" t="s">
        <v>19</v>
      </c>
      <c r="K1562" t="s">
        <v>2158</v>
      </c>
      <c r="L1562" t="s">
        <v>21</v>
      </c>
      <c r="M1562" t="str">
        <f t="shared" si="72"/>
        <v>OK</v>
      </c>
      <c r="N1562" t="str">
        <f t="shared" si="73"/>
        <v>1970s</v>
      </c>
      <c r="O1562" t="str">
        <f t="shared" si="74"/>
        <v>High</v>
      </c>
      <c r="P1562" t="str">
        <f>VLOOKUP(E1562,calculated_fields!$F$4:$G$6,2,FALSE)</f>
        <v>Health</v>
      </c>
    </row>
    <row r="1563" spans="1:16">
      <c r="A1563" t="s">
        <v>2159</v>
      </c>
      <c r="B1563" t="s">
        <v>2141</v>
      </c>
      <c r="C1563" t="s">
        <v>80</v>
      </c>
      <c r="D1563">
        <v>1972</v>
      </c>
      <c r="E1563" t="s">
        <v>23</v>
      </c>
      <c r="F1563" t="s">
        <v>24</v>
      </c>
      <c r="G1563" t="s">
        <v>25</v>
      </c>
      <c r="H1563" t="s">
        <v>26</v>
      </c>
      <c r="I1563">
        <v>4639657</v>
      </c>
      <c r="J1563" t="s">
        <v>27</v>
      </c>
      <c r="K1563" t="s">
        <v>2158</v>
      </c>
      <c r="L1563" t="s">
        <v>21</v>
      </c>
      <c r="M1563" t="str">
        <f t="shared" si="72"/>
        <v>OK</v>
      </c>
      <c r="N1563" t="str">
        <f t="shared" si="73"/>
        <v>1970s</v>
      </c>
      <c r="O1563" t="str">
        <f t="shared" si="74"/>
        <v>N/A</v>
      </c>
      <c r="P1563" t="str">
        <f>VLOOKUP(E1563,calculated_fields!$F$4:$G$6,2,FALSE)</f>
        <v>Demographics</v>
      </c>
    </row>
    <row r="1564" spans="1:16">
      <c r="A1564" t="s">
        <v>2160</v>
      </c>
      <c r="B1564" t="s">
        <v>2141</v>
      </c>
      <c r="C1564" t="s">
        <v>80</v>
      </c>
      <c r="D1564">
        <v>1972</v>
      </c>
      <c r="E1564" t="s">
        <v>29</v>
      </c>
      <c r="F1564" t="s">
        <v>30</v>
      </c>
      <c r="G1564" t="s">
        <v>31</v>
      </c>
      <c r="H1564" t="s">
        <v>32</v>
      </c>
      <c r="I1564">
        <v>14358.875899999999</v>
      </c>
      <c r="J1564" t="s">
        <v>33</v>
      </c>
      <c r="K1564" t="s">
        <v>2158</v>
      </c>
      <c r="L1564" t="s">
        <v>21</v>
      </c>
      <c r="M1564" t="str">
        <f t="shared" si="72"/>
        <v>OK</v>
      </c>
      <c r="N1564" t="str">
        <f t="shared" si="73"/>
        <v>1970s</v>
      </c>
      <c r="O1564" t="str">
        <f t="shared" si="74"/>
        <v>N/A</v>
      </c>
      <c r="P1564" t="str">
        <f>VLOOKUP(E1564,calculated_fields!$F$4:$G$6,2,FALSE)</f>
        <v>Economy</v>
      </c>
    </row>
    <row r="1565" spans="1:16">
      <c r="A1565" t="s">
        <v>2161</v>
      </c>
      <c r="B1565" t="s">
        <v>2141</v>
      </c>
      <c r="C1565" t="s">
        <v>80</v>
      </c>
      <c r="D1565">
        <v>1977</v>
      </c>
      <c r="E1565" t="s">
        <v>15</v>
      </c>
      <c r="F1565" t="s">
        <v>16</v>
      </c>
      <c r="G1565" t="s">
        <v>17</v>
      </c>
      <c r="H1565" t="s">
        <v>18</v>
      </c>
      <c r="I1565">
        <v>72.52</v>
      </c>
      <c r="J1565" t="s">
        <v>19</v>
      </c>
      <c r="K1565" t="s">
        <v>2162</v>
      </c>
      <c r="L1565" t="s">
        <v>21</v>
      </c>
      <c r="M1565" t="str">
        <f t="shared" si="72"/>
        <v>OK</v>
      </c>
      <c r="N1565" t="str">
        <f t="shared" si="73"/>
        <v>1970s</v>
      </c>
      <c r="O1565" t="str">
        <f t="shared" si="74"/>
        <v>High</v>
      </c>
      <c r="P1565" t="str">
        <f>VLOOKUP(E1565,calculated_fields!$F$4:$G$6,2,FALSE)</f>
        <v>Health</v>
      </c>
    </row>
    <row r="1566" spans="1:16">
      <c r="A1566" t="s">
        <v>2163</v>
      </c>
      <c r="B1566" t="s">
        <v>2141</v>
      </c>
      <c r="C1566" t="s">
        <v>80</v>
      </c>
      <c r="D1566">
        <v>1977</v>
      </c>
      <c r="E1566" t="s">
        <v>23</v>
      </c>
      <c r="F1566" t="s">
        <v>24</v>
      </c>
      <c r="G1566" t="s">
        <v>25</v>
      </c>
      <c r="H1566" t="s">
        <v>26</v>
      </c>
      <c r="I1566">
        <v>4738902</v>
      </c>
      <c r="J1566" t="s">
        <v>27</v>
      </c>
      <c r="K1566" t="s">
        <v>2162</v>
      </c>
      <c r="L1566" t="s">
        <v>21</v>
      </c>
      <c r="M1566" t="str">
        <f t="shared" si="72"/>
        <v>OK</v>
      </c>
      <c r="N1566" t="str">
        <f t="shared" si="73"/>
        <v>1970s</v>
      </c>
      <c r="O1566" t="str">
        <f t="shared" si="74"/>
        <v>N/A</v>
      </c>
      <c r="P1566" t="str">
        <f>VLOOKUP(E1566,calculated_fields!$F$4:$G$6,2,FALSE)</f>
        <v>Demographics</v>
      </c>
    </row>
    <row r="1567" spans="1:16">
      <c r="A1567" t="s">
        <v>2164</v>
      </c>
      <c r="B1567" t="s">
        <v>2141</v>
      </c>
      <c r="C1567" t="s">
        <v>80</v>
      </c>
      <c r="D1567">
        <v>1977</v>
      </c>
      <c r="E1567" t="s">
        <v>29</v>
      </c>
      <c r="F1567" t="s">
        <v>30</v>
      </c>
      <c r="G1567" t="s">
        <v>31</v>
      </c>
      <c r="H1567" t="s">
        <v>32</v>
      </c>
      <c r="I1567">
        <v>15605.42283</v>
      </c>
      <c r="J1567" t="s">
        <v>33</v>
      </c>
      <c r="K1567" t="s">
        <v>2162</v>
      </c>
      <c r="L1567" t="s">
        <v>21</v>
      </c>
      <c r="M1567" t="str">
        <f t="shared" si="72"/>
        <v>OK</v>
      </c>
      <c r="N1567" t="str">
        <f t="shared" si="73"/>
        <v>1970s</v>
      </c>
      <c r="O1567" t="str">
        <f t="shared" si="74"/>
        <v>N/A</v>
      </c>
      <c r="P1567" t="str">
        <f>VLOOKUP(E1567,calculated_fields!$F$4:$G$6,2,FALSE)</f>
        <v>Economy</v>
      </c>
    </row>
    <row r="1568" spans="1:16">
      <c r="A1568" t="s">
        <v>2165</v>
      </c>
      <c r="B1568" t="s">
        <v>2141</v>
      </c>
      <c r="C1568" t="s">
        <v>80</v>
      </c>
      <c r="D1568">
        <v>1982</v>
      </c>
      <c r="E1568" t="s">
        <v>15</v>
      </c>
      <c r="F1568" t="s">
        <v>16</v>
      </c>
      <c r="G1568" t="s">
        <v>17</v>
      </c>
      <c r="H1568" t="s">
        <v>18</v>
      </c>
      <c r="I1568">
        <v>74.55</v>
      </c>
      <c r="J1568" t="s">
        <v>19</v>
      </c>
      <c r="K1568" t="s">
        <v>2166</v>
      </c>
      <c r="L1568" t="s">
        <v>21</v>
      </c>
      <c r="M1568" t="str">
        <f t="shared" si="72"/>
        <v>OK</v>
      </c>
      <c r="N1568" t="str">
        <f t="shared" si="73"/>
        <v>1980s</v>
      </c>
      <c r="O1568" t="str">
        <f t="shared" si="74"/>
        <v>High</v>
      </c>
      <c r="P1568" t="str">
        <f>VLOOKUP(E1568,calculated_fields!$F$4:$G$6,2,FALSE)</f>
        <v>Health</v>
      </c>
    </row>
    <row r="1569" spans="1:16">
      <c r="A1569" t="s">
        <v>2167</v>
      </c>
      <c r="B1569" t="s">
        <v>2141</v>
      </c>
      <c r="C1569" t="s">
        <v>80</v>
      </c>
      <c r="D1569">
        <v>1982</v>
      </c>
      <c r="E1569" t="s">
        <v>23</v>
      </c>
      <c r="F1569" t="s">
        <v>24</v>
      </c>
      <c r="G1569" t="s">
        <v>25</v>
      </c>
      <c r="H1569" t="s">
        <v>26</v>
      </c>
      <c r="I1569">
        <v>4826933</v>
      </c>
      <c r="J1569" t="s">
        <v>27</v>
      </c>
      <c r="K1569" t="s">
        <v>2166</v>
      </c>
      <c r="L1569" t="s">
        <v>21</v>
      </c>
      <c r="M1569" t="str">
        <f t="shared" si="72"/>
        <v>OK</v>
      </c>
      <c r="N1569" t="str">
        <f t="shared" si="73"/>
        <v>1980s</v>
      </c>
      <c r="O1569" t="str">
        <f t="shared" si="74"/>
        <v>N/A</v>
      </c>
      <c r="P1569" t="str">
        <f>VLOOKUP(E1569,calculated_fields!$F$4:$G$6,2,FALSE)</f>
        <v>Demographics</v>
      </c>
    </row>
    <row r="1570" spans="1:16">
      <c r="A1570" t="s">
        <v>2168</v>
      </c>
      <c r="B1570" t="s">
        <v>2141</v>
      </c>
      <c r="C1570" t="s">
        <v>80</v>
      </c>
      <c r="D1570">
        <v>1982</v>
      </c>
      <c r="E1570" t="s">
        <v>29</v>
      </c>
      <c r="F1570" t="s">
        <v>30</v>
      </c>
      <c r="G1570" t="s">
        <v>31</v>
      </c>
      <c r="H1570" t="s">
        <v>32</v>
      </c>
      <c r="I1570">
        <v>18533.157609999998</v>
      </c>
      <c r="J1570" t="s">
        <v>33</v>
      </c>
      <c r="K1570" t="s">
        <v>2166</v>
      </c>
      <c r="L1570" t="s">
        <v>21</v>
      </c>
      <c r="M1570" t="str">
        <f t="shared" si="72"/>
        <v>OK</v>
      </c>
      <c r="N1570" t="str">
        <f t="shared" si="73"/>
        <v>1980s</v>
      </c>
      <c r="O1570" t="str">
        <f t="shared" si="74"/>
        <v>N/A</v>
      </c>
      <c r="P1570" t="str">
        <f>VLOOKUP(E1570,calculated_fields!$F$4:$G$6,2,FALSE)</f>
        <v>Economy</v>
      </c>
    </row>
    <row r="1571" spans="1:16">
      <c r="A1571" t="s">
        <v>2169</v>
      </c>
      <c r="B1571" t="s">
        <v>2141</v>
      </c>
      <c r="C1571" t="s">
        <v>80</v>
      </c>
      <c r="D1571">
        <v>1987</v>
      </c>
      <c r="E1571" t="s">
        <v>15</v>
      </c>
      <c r="F1571" t="s">
        <v>16</v>
      </c>
      <c r="G1571" t="s">
        <v>17</v>
      </c>
      <c r="H1571" t="s">
        <v>18</v>
      </c>
      <c r="I1571">
        <v>74.83</v>
      </c>
      <c r="J1571" t="s">
        <v>19</v>
      </c>
      <c r="K1571" t="s">
        <v>2170</v>
      </c>
      <c r="L1571" t="s">
        <v>21</v>
      </c>
      <c r="M1571" t="str">
        <f t="shared" si="72"/>
        <v>OK</v>
      </c>
      <c r="N1571" t="str">
        <f t="shared" si="73"/>
        <v>1980s</v>
      </c>
      <c r="O1571" t="str">
        <f t="shared" si="74"/>
        <v>High</v>
      </c>
      <c r="P1571" t="str">
        <f>VLOOKUP(E1571,calculated_fields!$F$4:$G$6,2,FALSE)</f>
        <v>Health</v>
      </c>
    </row>
    <row r="1572" spans="1:16">
      <c r="A1572" t="s">
        <v>2171</v>
      </c>
      <c r="B1572" t="s">
        <v>2141</v>
      </c>
      <c r="C1572" t="s">
        <v>80</v>
      </c>
      <c r="D1572">
        <v>1987</v>
      </c>
      <c r="E1572" t="s">
        <v>23</v>
      </c>
      <c r="F1572" t="s">
        <v>24</v>
      </c>
      <c r="G1572" t="s">
        <v>25</v>
      </c>
      <c r="H1572" t="s">
        <v>26</v>
      </c>
      <c r="I1572">
        <v>4931729</v>
      </c>
      <c r="J1572" t="s">
        <v>27</v>
      </c>
      <c r="K1572" t="s">
        <v>2170</v>
      </c>
      <c r="L1572" t="s">
        <v>21</v>
      </c>
      <c r="M1572" t="str">
        <f t="shared" si="72"/>
        <v>OK</v>
      </c>
      <c r="N1572" t="str">
        <f t="shared" si="73"/>
        <v>1980s</v>
      </c>
      <c r="O1572" t="str">
        <f t="shared" si="74"/>
        <v>N/A</v>
      </c>
      <c r="P1572" t="str">
        <f>VLOOKUP(E1572,calculated_fields!$F$4:$G$6,2,FALSE)</f>
        <v>Demographics</v>
      </c>
    </row>
    <row r="1573" spans="1:16">
      <c r="A1573" t="s">
        <v>2172</v>
      </c>
      <c r="B1573" t="s">
        <v>2141</v>
      </c>
      <c r="C1573" t="s">
        <v>80</v>
      </c>
      <c r="D1573">
        <v>1987</v>
      </c>
      <c r="E1573" t="s">
        <v>29</v>
      </c>
      <c r="F1573" t="s">
        <v>30</v>
      </c>
      <c r="G1573" t="s">
        <v>31</v>
      </c>
      <c r="H1573" t="s">
        <v>32</v>
      </c>
      <c r="I1573">
        <v>21141.01223</v>
      </c>
      <c r="J1573" t="s">
        <v>33</v>
      </c>
      <c r="K1573" t="s">
        <v>2170</v>
      </c>
      <c r="L1573" t="s">
        <v>21</v>
      </c>
      <c r="M1573" t="str">
        <f t="shared" si="72"/>
        <v>OK</v>
      </c>
      <c r="N1573" t="str">
        <f t="shared" si="73"/>
        <v>1980s</v>
      </c>
      <c r="O1573" t="str">
        <f t="shared" si="74"/>
        <v>N/A</v>
      </c>
      <c r="P1573" t="str">
        <f>VLOOKUP(E1573,calculated_fields!$F$4:$G$6,2,FALSE)</f>
        <v>Economy</v>
      </c>
    </row>
    <row r="1574" spans="1:16">
      <c r="A1574" t="s">
        <v>2173</v>
      </c>
      <c r="B1574" t="s">
        <v>2141</v>
      </c>
      <c r="C1574" t="s">
        <v>80</v>
      </c>
      <c r="D1574">
        <v>1992</v>
      </c>
      <c r="E1574" t="s">
        <v>15</v>
      </c>
      <c r="F1574" t="s">
        <v>16</v>
      </c>
      <c r="G1574" t="s">
        <v>17</v>
      </c>
      <c r="H1574" t="s">
        <v>18</v>
      </c>
      <c r="I1574">
        <v>75.7</v>
      </c>
      <c r="J1574" t="s">
        <v>19</v>
      </c>
      <c r="K1574" t="s">
        <v>2174</v>
      </c>
      <c r="L1574" t="s">
        <v>21</v>
      </c>
      <c r="M1574" t="str">
        <f t="shared" si="72"/>
        <v>OK</v>
      </c>
      <c r="N1574" t="str">
        <f t="shared" si="73"/>
        <v>1990s</v>
      </c>
      <c r="O1574" t="str">
        <f t="shared" si="74"/>
        <v>High</v>
      </c>
      <c r="P1574" t="str">
        <f>VLOOKUP(E1574,calculated_fields!$F$4:$G$6,2,FALSE)</f>
        <v>Health</v>
      </c>
    </row>
    <row r="1575" spans="1:16">
      <c r="A1575" t="s">
        <v>2175</v>
      </c>
      <c r="B1575" t="s">
        <v>2141</v>
      </c>
      <c r="C1575" t="s">
        <v>80</v>
      </c>
      <c r="D1575">
        <v>1992</v>
      </c>
      <c r="E1575" t="s">
        <v>23</v>
      </c>
      <c r="F1575" t="s">
        <v>24</v>
      </c>
      <c r="G1575" t="s">
        <v>25</v>
      </c>
      <c r="H1575" t="s">
        <v>26</v>
      </c>
      <c r="I1575">
        <v>5041039</v>
      </c>
      <c r="J1575" t="s">
        <v>27</v>
      </c>
      <c r="K1575" t="s">
        <v>2174</v>
      </c>
      <c r="L1575" t="s">
        <v>21</v>
      </c>
      <c r="M1575" t="str">
        <f t="shared" si="72"/>
        <v>OK</v>
      </c>
      <c r="N1575" t="str">
        <f t="shared" si="73"/>
        <v>1990s</v>
      </c>
      <c r="O1575" t="str">
        <f t="shared" si="74"/>
        <v>N/A</v>
      </c>
      <c r="P1575" t="str">
        <f>VLOOKUP(E1575,calculated_fields!$F$4:$G$6,2,FALSE)</f>
        <v>Demographics</v>
      </c>
    </row>
    <row r="1576" spans="1:16">
      <c r="A1576" t="s">
        <v>2176</v>
      </c>
      <c r="B1576" t="s">
        <v>2141</v>
      </c>
      <c r="C1576" t="s">
        <v>80</v>
      </c>
      <c r="D1576">
        <v>1992</v>
      </c>
      <c r="E1576" t="s">
        <v>29</v>
      </c>
      <c r="F1576" t="s">
        <v>30</v>
      </c>
      <c r="G1576" t="s">
        <v>31</v>
      </c>
      <c r="H1576" t="s">
        <v>32</v>
      </c>
      <c r="I1576">
        <v>20647.164990000001</v>
      </c>
      <c r="J1576" t="s">
        <v>33</v>
      </c>
      <c r="K1576" t="s">
        <v>2174</v>
      </c>
      <c r="L1576" t="s">
        <v>21</v>
      </c>
      <c r="M1576" t="str">
        <f t="shared" si="72"/>
        <v>OK</v>
      </c>
      <c r="N1576" t="str">
        <f t="shared" si="73"/>
        <v>1990s</v>
      </c>
      <c r="O1576" t="str">
        <f t="shared" si="74"/>
        <v>N/A</v>
      </c>
      <c r="P1576" t="str">
        <f>VLOOKUP(E1576,calculated_fields!$F$4:$G$6,2,FALSE)</f>
        <v>Economy</v>
      </c>
    </row>
    <row r="1577" spans="1:16">
      <c r="A1577" t="s">
        <v>2177</v>
      </c>
      <c r="B1577" t="s">
        <v>2141</v>
      </c>
      <c r="C1577" t="s">
        <v>80</v>
      </c>
      <c r="D1577">
        <v>1997</v>
      </c>
      <c r="E1577" t="s">
        <v>15</v>
      </c>
      <c r="F1577" t="s">
        <v>16</v>
      </c>
      <c r="G1577" t="s">
        <v>17</v>
      </c>
      <c r="H1577" t="s">
        <v>18</v>
      </c>
      <c r="I1577">
        <v>77.13</v>
      </c>
      <c r="J1577" t="s">
        <v>19</v>
      </c>
      <c r="K1577" t="s">
        <v>2178</v>
      </c>
      <c r="L1577" t="s">
        <v>21</v>
      </c>
      <c r="M1577" t="str">
        <f t="shared" si="72"/>
        <v>OK</v>
      </c>
      <c r="N1577" t="str">
        <f t="shared" si="73"/>
        <v>1990s</v>
      </c>
      <c r="O1577" t="str">
        <f t="shared" si="74"/>
        <v>High</v>
      </c>
      <c r="P1577" t="str">
        <f>VLOOKUP(E1577,calculated_fields!$F$4:$G$6,2,FALSE)</f>
        <v>Health</v>
      </c>
    </row>
    <row r="1578" spans="1:16">
      <c r="A1578" t="s">
        <v>2179</v>
      </c>
      <c r="B1578" t="s">
        <v>2141</v>
      </c>
      <c r="C1578" t="s">
        <v>80</v>
      </c>
      <c r="D1578">
        <v>1997</v>
      </c>
      <c r="E1578" t="s">
        <v>23</v>
      </c>
      <c r="F1578" t="s">
        <v>24</v>
      </c>
      <c r="G1578" t="s">
        <v>25</v>
      </c>
      <c r="H1578" t="s">
        <v>26</v>
      </c>
      <c r="I1578">
        <v>5134406</v>
      </c>
      <c r="J1578" t="s">
        <v>27</v>
      </c>
      <c r="K1578" t="s">
        <v>2178</v>
      </c>
      <c r="L1578" t="s">
        <v>21</v>
      </c>
      <c r="M1578" t="str">
        <f t="shared" si="72"/>
        <v>OK</v>
      </c>
      <c r="N1578" t="str">
        <f t="shared" si="73"/>
        <v>1990s</v>
      </c>
      <c r="O1578" t="str">
        <f t="shared" si="74"/>
        <v>N/A</v>
      </c>
      <c r="P1578" t="str">
        <f>VLOOKUP(E1578,calculated_fields!$F$4:$G$6,2,FALSE)</f>
        <v>Demographics</v>
      </c>
    </row>
    <row r="1579" spans="1:16">
      <c r="A1579" t="s">
        <v>2180</v>
      </c>
      <c r="B1579" t="s">
        <v>2141</v>
      </c>
      <c r="C1579" t="s">
        <v>80</v>
      </c>
      <c r="D1579">
        <v>1997</v>
      </c>
      <c r="E1579" t="s">
        <v>29</v>
      </c>
      <c r="F1579" t="s">
        <v>30</v>
      </c>
      <c r="G1579" t="s">
        <v>31</v>
      </c>
      <c r="H1579" t="s">
        <v>32</v>
      </c>
      <c r="I1579">
        <v>23723.950199999999</v>
      </c>
      <c r="J1579" t="s">
        <v>33</v>
      </c>
      <c r="K1579" t="s">
        <v>2178</v>
      </c>
      <c r="L1579" t="s">
        <v>21</v>
      </c>
      <c r="M1579" t="str">
        <f t="shared" si="72"/>
        <v>OK</v>
      </c>
      <c r="N1579" t="str">
        <f t="shared" si="73"/>
        <v>1990s</v>
      </c>
      <c r="O1579" t="str">
        <f t="shared" si="74"/>
        <v>N/A</v>
      </c>
      <c r="P1579" t="str">
        <f>VLOOKUP(E1579,calculated_fields!$F$4:$G$6,2,FALSE)</f>
        <v>Economy</v>
      </c>
    </row>
    <row r="1580" spans="1:16">
      <c r="A1580" t="s">
        <v>2181</v>
      </c>
      <c r="B1580" t="s">
        <v>2141</v>
      </c>
      <c r="C1580" t="s">
        <v>80</v>
      </c>
      <c r="D1580">
        <v>2002</v>
      </c>
      <c r="E1580" t="s">
        <v>15</v>
      </c>
      <c r="F1580" t="s">
        <v>16</v>
      </c>
      <c r="G1580" t="s">
        <v>17</v>
      </c>
      <c r="H1580" t="s">
        <v>18</v>
      </c>
      <c r="I1580">
        <v>78.37</v>
      </c>
      <c r="J1580" t="s">
        <v>19</v>
      </c>
      <c r="K1580" t="s">
        <v>2182</v>
      </c>
      <c r="L1580" t="s">
        <v>21</v>
      </c>
      <c r="M1580" t="str">
        <f t="shared" si="72"/>
        <v>OK</v>
      </c>
      <c r="N1580" t="str">
        <f t="shared" si="73"/>
        <v>2000s</v>
      </c>
      <c r="O1580" t="str">
        <f t="shared" si="74"/>
        <v>High</v>
      </c>
      <c r="P1580" t="str">
        <f>VLOOKUP(E1580,calculated_fields!$F$4:$G$6,2,FALSE)</f>
        <v>Health</v>
      </c>
    </row>
    <row r="1581" spans="1:16">
      <c r="A1581" t="s">
        <v>2183</v>
      </c>
      <c r="B1581" t="s">
        <v>2141</v>
      </c>
      <c r="C1581" t="s">
        <v>80</v>
      </c>
      <c r="D1581">
        <v>2002</v>
      </c>
      <c r="E1581" t="s">
        <v>23</v>
      </c>
      <c r="F1581" t="s">
        <v>24</v>
      </c>
      <c r="G1581" t="s">
        <v>25</v>
      </c>
      <c r="H1581" t="s">
        <v>26</v>
      </c>
      <c r="I1581">
        <v>5193039</v>
      </c>
      <c r="J1581" t="s">
        <v>27</v>
      </c>
      <c r="K1581" t="s">
        <v>2182</v>
      </c>
      <c r="L1581" t="s">
        <v>21</v>
      </c>
      <c r="M1581" t="str">
        <f t="shared" si="72"/>
        <v>OK</v>
      </c>
      <c r="N1581" t="str">
        <f t="shared" si="73"/>
        <v>2000s</v>
      </c>
      <c r="O1581" t="str">
        <f t="shared" si="74"/>
        <v>N/A</v>
      </c>
      <c r="P1581" t="str">
        <f>VLOOKUP(E1581,calculated_fields!$F$4:$G$6,2,FALSE)</f>
        <v>Demographics</v>
      </c>
    </row>
    <row r="1582" spans="1:16">
      <c r="A1582" t="s">
        <v>2184</v>
      </c>
      <c r="B1582" t="s">
        <v>2141</v>
      </c>
      <c r="C1582" t="s">
        <v>80</v>
      </c>
      <c r="D1582">
        <v>2002</v>
      </c>
      <c r="E1582" t="s">
        <v>29</v>
      </c>
      <c r="F1582" t="s">
        <v>30</v>
      </c>
      <c r="G1582" t="s">
        <v>31</v>
      </c>
      <c r="H1582" t="s">
        <v>32</v>
      </c>
      <c r="I1582">
        <v>28204.59057</v>
      </c>
      <c r="J1582" t="s">
        <v>33</v>
      </c>
      <c r="K1582" t="s">
        <v>2182</v>
      </c>
      <c r="L1582" t="s">
        <v>21</v>
      </c>
      <c r="M1582" t="str">
        <f t="shared" si="72"/>
        <v>OK</v>
      </c>
      <c r="N1582" t="str">
        <f t="shared" si="73"/>
        <v>2000s</v>
      </c>
      <c r="O1582" t="str">
        <f t="shared" si="74"/>
        <v>N/A</v>
      </c>
      <c r="P1582" t="str">
        <f>VLOOKUP(E1582,calculated_fields!$F$4:$G$6,2,FALSE)</f>
        <v>Economy</v>
      </c>
    </row>
    <row r="1583" spans="1:16">
      <c r="A1583" t="s">
        <v>2185</v>
      </c>
      <c r="B1583" t="s">
        <v>2141</v>
      </c>
      <c r="C1583" t="s">
        <v>80</v>
      </c>
      <c r="D1583">
        <v>2007</v>
      </c>
      <c r="E1583" t="s">
        <v>15</v>
      </c>
      <c r="F1583" t="s">
        <v>16</v>
      </c>
      <c r="G1583" t="s">
        <v>17</v>
      </c>
      <c r="H1583" t="s">
        <v>18</v>
      </c>
      <c r="I1583">
        <v>79.313000000000002</v>
      </c>
      <c r="J1583" t="s">
        <v>19</v>
      </c>
      <c r="K1583" t="s">
        <v>2186</v>
      </c>
      <c r="L1583" t="s">
        <v>21</v>
      </c>
      <c r="M1583" t="str">
        <f t="shared" si="72"/>
        <v>OK</v>
      </c>
      <c r="N1583" t="str">
        <f t="shared" si="73"/>
        <v>2000s</v>
      </c>
      <c r="O1583" t="str">
        <f t="shared" si="74"/>
        <v>High</v>
      </c>
      <c r="P1583" t="str">
        <f>VLOOKUP(E1583,calculated_fields!$F$4:$G$6,2,FALSE)</f>
        <v>Health</v>
      </c>
    </row>
    <row r="1584" spans="1:16">
      <c r="A1584" t="s">
        <v>2187</v>
      </c>
      <c r="B1584" t="s">
        <v>2141</v>
      </c>
      <c r="C1584" t="s">
        <v>80</v>
      </c>
      <c r="D1584">
        <v>2007</v>
      </c>
      <c r="E1584" t="s">
        <v>23</v>
      </c>
      <c r="F1584" t="s">
        <v>24</v>
      </c>
      <c r="G1584" t="s">
        <v>25</v>
      </c>
      <c r="H1584" t="s">
        <v>26</v>
      </c>
      <c r="I1584">
        <v>5238460</v>
      </c>
      <c r="J1584" t="s">
        <v>27</v>
      </c>
      <c r="K1584" t="s">
        <v>2186</v>
      </c>
      <c r="L1584" t="s">
        <v>21</v>
      </c>
      <c r="M1584" t="str">
        <f t="shared" si="72"/>
        <v>OK</v>
      </c>
      <c r="N1584" t="str">
        <f t="shared" si="73"/>
        <v>2000s</v>
      </c>
      <c r="O1584" t="str">
        <f t="shared" si="74"/>
        <v>N/A</v>
      </c>
      <c r="P1584" t="str">
        <f>VLOOKUP(E1584,calculated_fields!$F$4:$G$6,2,FALSE)</f>
        <v>Demographics</v>
      </c>
    </row>
    <row r="1585" spans="1:16">
      <c r="A1585" t="s">
        <v>2188</v>
      </c>
      <c r="B1585" t="s">
        <v>2141</v>
      </c>
      <c r="C1585" t="s">
        <v>80</v>
      </c>
      <c r="D1585">
        <v>2007</v>
      </c>
      <c r="E1585" t="s">
        <v>29</v>
      </c>
      <c r="F1585" t="s">
        <v>30</v>
      </c>
      <c r="G1585" t="s">
        <v>31</v>
      </c>
      <c r="H1585" t="s">
        <v>32</v>
      </c>
      <c r="I1585">
        <v>33207.0844</v>
      </c>
      <c r="J1585" t="s">
        <v>33</v>
      </c>
      <c r="K1585" t="s">
        <v>2186</v>
      </c>
      <c r="L1585" t="s">
        <v>21</v>
      </c>
      <c r="M1585" t="str">
        <f t="shared" si="72"/>
        <v>OK</v>
      </c>
      <c r="N1585" t="str">
        <f t="shared" si="73"/>
        <v>2000s</v>
      </c>
      <c r="O1585" t="str">
        <f t="shared" si="74"/>
        <v>N/A</v>
      </c>
      <c r="P1585" t="str">
        <f>VLOOKUP(E1585,calculated_fields!$F$4:$G$6,2,FALSE)</f>
        <v>Economy</v>
      </c>
    </row>
    <row r="1586" spans="1:16">
      <c r="A1586" t="s">
        <v>2189</v>
      </c>
      <c r="B1586" t="s">
        <v>2190</v>
      </c>
      <c r="C1586" t="s">
        <v>80</v>
      </c>
      <c r="D1586">
        <v>1952</v>
      </c>
      <c r="E1586" t="s">
        <v>15</v>
      </c>
      <c r="F1586" t="s">
        <v>16</v>
      </c>
      <c r="G1586" t="s">
        <v>17</v>
      </c>
      <c r="H1586" t="s">
        <v>18</v>
      </c>
      <c r="I1586">
        <v>67.41</v>
      </c>
      <c r="J1586" t="s">
        <v>19</v>
      </c>
      <c r="K1586" t="s">
        <v>2191</v>
      </c>
      <c r="L1586" t="s">
        <v>21</v>
      </c>
      <c r="M1586" t="str">
        <f t="shared" si="72"/>
        <v>OK</v>
      </c>
      <c r="N1586" t="str">
        <f t="shared" si="73"/>
        <v>1950s</v>
      </c>
      <c r="O1586" t="str">
        <f t="shared" si="74"/>
        <v>Medium</v>
      </c>
      <c r="P1586" t="str">
        <f>VLOOKUP(E1586,calculated_fields!$F$4:$G$6,2,FALSE)</f>
        <v>Health</v>
      </c>
    </row>
    <row r="1587" spans="1:16">
      <c r="A1587" t="s">
        <v>2192</v>
      </c>
      <c r="B1587" t="s">
        <v>2190</v>
      </c>
      <c r="C1587" t="s">
        <v>80</v>
      </c>
      <c r="D1587">
        <v>1952</v>
      </c>
      <c r="E1587" t="s">
        <v>23</v>
      </c>
      <c r="F1587" t="s">
        <v>24</v>
      </c>
      <c r="G1587" t="s">
        <v>25</v>
      </c>
      <c r="H1587" t="s">
        <v>26</v>
      </c>
      <c r="I1587">
        <v>42459667</v>
      </c>
      <c r="J1587" t="s">
        <v>27</v>
      </c>
      <c r="K1587" t="s">
        <v>2191</v>
      </c>
      <c r="L1587" t="s">
        <v>21</v>
      </c>
      <c r="M1587" t="str">
        <f t="shared" si="72"/>
        <v>OK</v>
      </c>
      <c r="N1587" t="str">
        <f t="shared" si="73"/>
        <v>1950s</v>
      </c>
      <c r="O1587" t="str">
        <f t="shared" si="74"/>
        <v>N/A</v>
      </c>
      <c r="P1587" t="str">
        <f>VLOOKUP(E1587,calculated_fields!$F$4:$G$6,2,FALSE)</f>
        <v>Demographics</v>
      </c>
    </row>
    <row r="1588" spans="1:16">
      <c r="A1588" t="s">
        <v>2193</v>
      </c>
      <c r="B1588" t="s">
        <v>2190</v>
      </c>
      <c r="C1588" t="s">
        <v>80</v>
      </c>
      <c r="D1588">
        <v>1952</v>
      </c>
      <c r="E1588" t="s">
        <v>29</v>
      </c>
      <c r="F1588" t="s">
        <v>30</v>
      </c>
      <c r="G1588" t="s">
        <v>31</v>
      </c>
      <c r="H1588" t="s">
        <v>32</v>
      </c>
      <c r="I1588">
        <v>7029.8093269999999</v>
      </c>
      <c r="J1588" t="s">
        <v>33</v>
      </c>
      <c r="K1588" t="s">
        <v>2191</v>
      </c>
      <c r="L1588" t="s">
        <v>21</v>
      </c>
      <c r="M1588" t="str">
        <f t="shared" si="72"/>
        <v>OK</v>
      </c>
      <c r="N1588" t="str">
        <f t="shared" si="73"/>
        <v>1950s</v>
      </c>
      <c r="O1588" t="str">
        <f t="shared" si="74"/>
        <v>N/A</v>
      </c>
      <c r="P1588" t="str">
        <f>VLOOKUP(E1588,calculated_fields!$F$4:$G$6,2,FALSE)</f>
        <v>Economy</v>
      </c>
    </row>
    <row r="1589" spans="1:16">
      <c r="A1589" t="s">
        <v>2194</v>
      </c>
      <c r="B1589" t="s">
        <v>2190</v>
      </c>
      <c r="C1589" t="s">
        <v>80</v>
      </c>
      <c r="D1589">
        <v>1957</v>
      </c>
      <c r="E1589" t="s">
        <v>15</v>
      </c>
      <c r="F1589" t="s">
        <v>16</v>
      </c>
      <c r="G1589" t="s">
        <v>17</v>
      </c>
      <c r="H1589" t="s">
        <v>18</v>
      </c>
      <c r="I1589">
        <v>68.930000000000007</v>
      </c>
      <c r="J1589" t="s">
        <v>19</v>
      </c>
      <c r="K1589" t="s">
        <v>2195</v>
      </c>
      <c r="L1589" t="s">
        <v>21</v>
      </c>
      <c r="M1589" t="str">
        <f t="shared" si="72"/>
        <v>OK</v>
      </c>
      <c r="N1589" t="str">
        <f t="shared" si="73"/>
        <v>1950s</v>
      </c>
      <c r="O1589" t="str">
        <f t="shared" si="74"/>
        <v>Medium</v>
      </c>
      <c r="P1589" t="str">
        <f>VLOOKUP(E1589,calculated_fields!$F$4:$G$6,2,FALSE)</f>
        <v>Health</v>
      </c>
    </row>
    <row r="1590" spans="1:16">
      <c r="A1590" t="s">
        <v>2196</v>
      </c>
      <c r="B1590" t="s">
        <v>2190</v>
      </c>
      <c r="C1590" t="s">
        <v>80</v>
      </c>
      <c r="D1590">
        <v>1957</v>
      </c>
      <c r="E1590" t="s">
        <v>23</v>
      </c>
      <c r="F1590" t="s">
        <v>24</v>
      </c>
      <c r="G1590" t="s">
        <v>25</v>
      </c>
      <c r="H1590" t="s">
        <v>26</v>
      </c>
      <c r="I1590">
        <v>44310863</v>
      </c>
      <c r="J1590" t="s">
        <v>27</v>
      </c>
      <c r="K1590" t="s">
        <v>2195</v>
      </c>
      <c r="L1590" t="s">
        <v>21</v>
      </c>
      <c r="M1590" t="str">
        <f t="shared" si="72"/>
        <v>OK</v>
      </c>
      <c r="N1590" t="str">
        <f t="shared" si="73"/>
        <v>1950s</v>
      </c>
      <c r="O1590" t="str">
        <f t="shared" si="74"/>
        <v>N/A</v>
      </c>
      <c r="P1590" t="str">
        <f>VLOOKUP(E1590,calculated_fields!$F$4:$G$6,2,FALSE)</f>
        <v>Demographics</v>
      </c>
    </row>
    <row r="1591" spans="1:16">
      <c r="A1591" t="s">
        <v>2197</v>
      </c>
      <c r="B1591" t="s">
        <v>2190</v>
      </c>
      <c r="C1591" t="s">
        <v>80</v>
      </c>
      <c r="D1591">
        <v>1957</v>
      </c>
      <c r="E1591" t="s">
        <v>29</v>
      </c>
      <c r="F1591" t="s">
        <v>30</v>
      </c>
      <c r="G1591" t="s">
        <v>31</v>
      </c>
      <c r="H1591" t="s">
        <v>32</v>
      </c>
      <c r="I1591">
        <v>8662.8348979999992</v>
      </c>
      <c r="J1591" t="s">
        <v>33</v>
      </c>
      <c r="K1591" t="s">
        <v>2195</v>
      </c>
      <c r="L1591" t="s">
        <v>21</v>
      </c>
      <c r="M1591" t="str">
        <f t="shared" si="72"/>
        <v>OK</v>
      </c>
      <c r="N1591" t="str">
        <f t="shared" si="73"/>
        <v>1950s</v>
      </c>
      <c r="O1591" t="str">
        <f t="shared" si="74"/>
        <v>N/A</v>
      </c>
      <c r="P1591" t="str">
        <f>VLOOKUP(E1591,calculated_fields!$F$4:$G$6,2,FALSE)</f>
        <v>Economy</v>
      </c>
    </row>
    <row r="1592" spans="1:16">
      <c r="A1592" t="s">
        <v>2198</v>
      </c>
      <c r="B1592" t="s">
        <v>2190</v>
      </c>
      <c r="C1592" t="s">
        <v>80</v>
      </c>
      <c r="D1592">
        <v>1962</v>
      </c>
      <c r="E1592" t="s">
        <v>15</v>
      </c>
      <c r="F1592" t="s">
        <v>16</v>
      </c>
      <c r="G1592" t="s">
        <v>17</v>
      </c>
      <c r="H1592" t="s">
        <v>18</v>
      </c>
      <c r="I1592">
        <v>70.510000000000005</v>
      </c>
      <c r="J1592" t="s">
        <v>19</v>
      </c>
      <c r="K1592" t="s">
        <v>2199</v>
      </c>
      <c r="L1592" t="s">
        <v>21</v>
      </c>
      <c r="M1592" t="str">
        <f t="shared" si="72"/>
        <v>OK</v>
      </c>
      <c r="N1592" t="str">
        <f t="shared" si="73"/>
        <v>1960s</v>
      </c>
      <c r="O1592" t="str">
        <f t="shared" si="74"/>
        <v>High</v>
      </c>
      <c r="P1592" t="str">
        <f>VLOOKUP(E1592,calculated_fields!$F$4:$G$6,2,FALSE)</f>
        <v>Health</v>
      </c>
    </row>
    <row r="1593" spans="1:16">
      <c r="A1593" t="s">
        <v>2200</v>
      </c>
      <c r="B1593" t="s">
        <v>2190</v>
      </c>
      <c r="C1593" t="s">
        <v>80</v>
      </c>
      <c r="D1593">
        <v>1962</v>
      </c>
      <c r="E1593" t="s">
        <v>23</v>
      </c>
      <c r="F1593" t="s">
        <v>24</v>
      </c>
      <c r="G1593" t="s">
        <v>25</v>
      </c>
      <c r="H1593" t="s">
        <v>26</v>
      </c>
      <c r="I1593">
        <v>47124000</v>
      </c>
      <c r="J1593" t="s">
        <v>27</v>
      </c>
      <c r="K1593" t="s">
        <v>2199</v>
      </c>
      <c r="L1593" t="s">
        <v>21</v>
      </c>
      <c r="M1593" t="str">
        <f t="shared" si="72"/>
        <v>OK</v>
      </c>
      <c r="N1593" t="str">
        <f t="shared" si="73"/>
        <v>1960s</v>
      </c>
      <c r="O1593" t="str">
        <f t="shared" si="74"/>
        <v>N/A</v>
      </c>
      <c r="P1593" t="str">
        <f>VLOOKUP(E1593,calculated_fields!$F$4:$G$6,2,FALSE)</f>
        <v>Demographics</v>
      </c>
    </row>
    <row r="1594" spans="1:16">
      <c r="A1594" t="s">
        <v>2201</v>
      </c>
      <c r="B1594" t="s">
        <v>2190</v>
      </c>
      <c r="C1594" t="s">
        <v>80</v>
      </c>
      <c r="D1594">
        <v>1962</v>
      </c>
      <c r="E1594" t="s">
        <v>29</v>
      </c>
      <c r="F1594" t="s">
        <v>30</v>
      </c>
      <c r="G1594" t="s">
        <v>31</v>
      </c>
      <c r="H1594" t="s">
        <v>32</v>
      </c>
      <c r="I1594">
        <v>10560.48553</v>
      </c>
      <c r="J1594" t="s">
        <v>33</v>
      </c>
      <c r="K1594" t="s">
        <v>2199</v>
      </c>
      <c r="L1594" t="s">
        <v>21</v>
      </c>
      <c r="M1594" t="str">
        <f t="shared" si="72"/>
        <v>OK</v>
      </c>
      <c r="N1594" t="str">
        <f t="shared" si="73"/>
        <v>1960s</v>
      </c>
      <c r="O1594" t="str">
        <f t="shared" si="74"/>
        <v>N/A</v>
      </c>
      <c r="P1594" t="str">
        <f>VLOOKUP(E1594,calculated_fields!$F$4:$G$6,2,FALSE)</f>
        <v>Economy</v>
      </c>
    </row>
    <row r="1595" spans="1:16">
      <c r="A1595" t="s">
        <v>2202</v>
      </c>
      <c r="B1595" t="s">
        <v>2190</v>
      </c>
      <c r="C1595" t="s">
        <v>80</v>
      </c>
      <c r="D1595">
        <v>1967</v>
      </c>
      <c r="E1595" t="s">
        <v>15</v>
      </c>
      <c r="F1595" t="s">
        <v>16</v>
      </c>
      <c r="G1595" t="s">
        <v>17</v>
      </c>
      <c r="H1595" t="s">
        <v>18</v>
      </c>
      <c r="I1595">
        <v>71.55</v>
      </c>
      <c r="J1595" t="s">
        <v>19</v>
      </c>
      <c r="K1595" t="s">
        <v>2203</v>
      </c>
      <c r="L1595" t="s">
        <v>21</v>
      </c>
      <c r="M1595" t="str">
        <f t="shared" si="72"/>
        <v>OK</v>
      </c>
      <c r="N1595" t="str">
        <f t="shared" si="73"/>
        <v>1960s</v>
      </c>
      <c r="O1595" t="str">
        <f t="shared" si="74"/>
        <v>High</v>
      </c>
      <c r="P1595" t="str">
        <f>VLOOKUP(E1595,calculated_fields!$F$4:$G$6,2,FALSE)</f>
        <v>Health</v>
      </c>
    </row>
    <row r="1596" spans="1:16">
      <c r="A1596" t="s">
        <v>2204</v>
      </c>
      <c r="B1596" t="s">
        <v>2190</v>
      </c>
      <c r="C1596" t="s">
        <v>80</v>
      </c>
      <c r="D1596">
        <v>1967</v>
      </c>
      <c r="E1596" t="s">
        <v>23</v>
      </c>
      <c r="F1596" t="s">
        <v>24</v>
      </c>
      <c r="G1596" t="s">
        <v>25</v>
      </c>
      <c r="H1596" t="s">
        <v>26</v>
      </c>
      <c r="I1596">
        <v>49569000</v>
      </c>
      <c r="J1596" t="s">
        <v>27</v>
      </c>
      <c r="K1596" t="s">
        <v>2203</v>
      </c>
      <c r="L1596" t="s">
        <v>21</v>
      </c>
      <c r="M1596" t="str">
        <f t="shared" si="72"/>
        <v>OK</v>
      </c>
      <c r="N1596" t="str">
        <f t="shared" si="73"/>
        <v>1960s</v>
      </c>
      <c r="O1596" t="str">
        <f t="shared" si="74"/>
        <v>N/A</v>
      </c>
      <c r="P1596" t="str">
        <f>VLOOKUP(E1596,calculated_fields!$F$4:$G$6,2,FALSE)</f>
        <v>Demographics</v>
      </c>
    </row>
    <row r="1597" spans="1:16">
      <c r="A1597" t="s">
        <v>2205</v>
      </c>
      <c r="B1597" t="s">
        <v>2190</v>
      </c>
      <c r="C1597" t="s">
        <v>80</v>
      </c>
      <c r="D1597">
        <v>1967</v>
      </c>
      <c r="E1597" t="s">
        <v>29</v>
      </c>
      <c r="F1597" t="s">
        <v>30</v>
      </c>
      <c r="G1597" t="s">
        <v>31</v>
      </c>
      <c r="H1597" t="s">
        <v>32</v>
      </c>
      <c r="I1597">
        <v>12999.917659999999</v>
      </c>
      <c r="J1597" t="s">
        <v>33</v>
      </c>
      <c r="K1597" t="s">
        <v>2203</v>
      </c>
      <c r="L1597" t="s">
        <v>21</v>
      </c>
      <c r="M1597" t="str">
        <f t="shared" si="72"/>
        <v>OK</v>
      </c>
      <c r="N1597" t="str">
        <f t="shared" si="73"/>
        <v>1960s</v>
      </c>
      <c r="O1597" t="str">
        <f t="shared" si="74"/>
        <v>N/A</v>
      </c>
      <c r="P1597" t="str">
        <f>VLOOKUP(E1597,calculated_fields!$F$4:$G$6,2,FALSE)</f>
        <v>Economy</v>
      </c>
    </row>
    <row r="1598" spans="1:16">
      <c r="A1598" t="s">
        <v>2206</v>
      </c>
      <c r="B1598" t="s">
        <v>2190</v>
      </c>
      <c r="C1598" t="s">
        <v>80</v>
      </c>
      <c r="D1598">
        <v>1972</v>
      </c>
      <c r="E1598" t="s">
        <v>15</v>
      </c>
      <c r="F1598" t="s">
        <v>16</v>
      </c>
      <c r="G1598" t="s">
        <v>17</v>
      </c>
      <c r="H1598" t="s">
        <v>18</v>
      </c>
      <c r="I1598">
        <v>72.38</v>
      </c>
      <c r="J1598" t="s">
        <v>19</v>
      </c>
      <c r="K1598" t="s">
        <v>2207</v>
      </c>
      <c r="L1598" t="s">
        <v>21</v>
      </c>
      <c r="M1598" t="str">
        <f t="shared" si="72"/>
        <v>OK</v>
      </c>
      <c r="N1598" t="str">
        <f t="shared" si="73"/>
        <v>1970s</v>
      </c>
      <c r="O1598" t="str">
        <f t="shared" si="74"/>
        <v>High</v>
      </c>
      <c r="P1598" t="str">
        <f>VLOOKUP(E1598,calculated_fields!$F$4:$G$6,2,FALSE)</f>
        <v>Health</v>
      </c>
    </row>
    <row r="1599" spans="1:16">
      <c r="A1599" t="s">
        <v>2208</v>
      </c>
      <c r="B1599" t="s">
        <v>2190</v>
      </c>
      <c r="C1599" t="s">
        <v>80</v>
      </c>
      <c r="D1599">
        <v>1972</v>
      </c>
      <c r="E1599" t="s">
        <v>23</v>
      </c>
      <c r="F1599" t="s">
        <v>24</v>
      </c>
      <c r="G1599" t="s">
        <v>25</v>
      </c>
      <c r="H1599" t="s">
        <v>26</v>
      </c>
      <c r="I1599">
        <v>51732000</v>
      </c>
      <c r="J1599" t="s">
        <v>27</v>
      </c>
      <c r="K1599" t="s">
        <v>2207</v>
      </c>
      <c r="L1599" t="s">
        <v>21</v>
      </c>
      <c r="M1599" t="str">
        <f t="shared" si="72"/>
        <v>OK</v>
      </c>
      <c r="N1599" t="str">
        <f t="shared" si="73"/>
        <v>1970s</v>
      </c>
      <c r="O1599" t="str">
        <f t="shared" si="74"/>
        <v>N/A</v>
      </c>
      <c r="P1599" t="str">
        <f>VLOOKUP(E1599,calculated_fields!$F$4:$G$6,2,FALSE)</f>
        <v>Demographics</v>
      </c>
    </row>
    <row r="1600" spans="1:16">
      <c r="A1600" t="s">
        <v>2209</v>
      </c>
      <c r="B1600" t="s">
        <v>2190</v>
      </c>
      <c r="C1600" t="s">
        <v>80</v>
      </c>
      <c r="D1600">
        <v>1972</v>
      </c>
      <c r="E1600" t="s">
        <v>29</v>
      </c>
      <c r="F1600" t="s">
        <v>30</v>
      </c>
      <c r="G1600" t="s">
        <v>31</v>
      </c>
      <c r="H1600" t="s">
        <v>32</v>
      </c>
      <c r="I1600">
        <v>16107.191709999999</v>
      </c>
      <c r="J1600" t="s">
        <v>33</v>
      </c>
      <c r="K1600" t="s">
        <v>2207</v>
      </c>
      <c r="L1600" t="s">
        <v>21</v>
      </c>
      <c r="M1600" t="str">
        <f t="shared" si="72"/>
        <v>OK</v>
      </c>
      <c r="N1600" t="str">
        <f t="shared" si="73"/>
        <v>1970s</v>
      </c>
      <c r="O1600" t="str">
        <f t="shared" si="74"/>
        <v>N/A</v>
      </c>
      <c r="P1600" t="str">
        <f>VLOOKUP(E1600,calculated_fields!$F$4:$G$6,2,FALSE)</f>
        <v>Economy</v>
      </c>
    </row>
    <row r="1601" spans="1:16">
      <c r="A1601" t="s">
        <v>2210</v>
      </c>
      <c r="B1601" t="s">
        <v>2190</v>
      </c>
      <c r="C1601" t="s">
        <v>80</v>
      </c>
      <c r="D1601">
        <v>1977</v>
      </c>
      <c r="E1601" t="s">
        <v>15</v>
      </c>
      <c r="F1601" t="s">
        <v>16</v>
      </c>
      <c r="G1601" t="s">
        <v>17</v>
      </c>
      <c r="H1601" t="s">
        <v>18</v>
      </c>
      <c r="I1601">
        <v>73.83</v>
      </c>
      <c r="J1601" t="s">
        <v>19</v>
      </c>
      <c r="K1601" t="s">
        <v>2211</v>
      </c>
      <c r="L1601" t="s">
        <v>21</v>
      </c>
      <c r="M1601" t="str">
        <f t="shared" si="72"/>
        <v>OK</v>
      </c>
      <c r="N1601" t="str">
        <f t="shared" si="73"/>
        <v>1970s</v>
      </c>
      <c r="O1601" t="str">
        <f t="shared" si="74"/>
        <v>High</v>
      </c>
      <c r="P1601" t="str">
        <f>VLOOKUP(E1601,calculated_fields!$F$4:$G$6,2,FALSE)</f>
        <v>Health</v>
      </c>
    </row>
    <row r="1602" spans="1:16">
      <c r="A1602" t="s">
        <v>2212</v>
      </c>
      <c r="B1602" t="s">
        <v>2190</v>
      </c>
      <c r="C1602" t="s">
        <v>80</v>
      </c>
      <c r="D1602">
        <v>1977</v>
      </c>
      <c r="E1602" t="s">
        <v>23</v>
      </c>
      <c r="F1602" t="s">
        <v>24</v>
      </c>
      <c r="G1602" t="s">
        <v>25</v>
      </c>
      <c r="H1602" t="s">
        <v>26</v>
      </c>
      <c r="I1602">
        <v>53165019</v>
      </c>
      <c r="J1602" t="s">
        <v>27</v>
      </c>
      <c r="K1602" t="s">
        <v>2211</v>
      </c>
      <c r="L1602" t="s">
        <v>21</v>
      </c>
      <c r="M1602" t="str">
        <f t="shared" ref="M1602:M1665" si="75">IF(AND(ISNUMBER(I1602),I1602&gt;=0),"OK","Review")</f>
        <v>OK</v>
      </c>
      <c r="N1602" t="str">
        <f t="shared" ref="N1602:N1665" si="76">FLOOR(D1602,10)&amp;"s"</f>
        <v>1970s</v>
      </c>
      <c r="O1602" t="str">
        <f t="shared" ref="O1602:O1665" si="77">IF(E1602="LIFE_EXP",IF(I1602&gt;=70,"High",IF(I1602&gt;=55,"Medium","Low")),"N/A")</f>
        <v>N/A</v>
      </c>
      <c r="P1602" t="str">
        <f>VLOOKUP(E1602,calculated_fields!$F$4:$G$6,2,FALSE)</f>
        <v>Demographics</v>
      </c>
    </row>
    <row r="1603" spans="1:16">
      <c r="A1603" t="s">
        <v>2213</v>
      </c>
      <c r="B1603" t="s">
        <v>2190</v>
      </c>
      <c r="C1603" t="s">
        <v>80</v>
      </c>
      <c r="D1603">
        <v>1977</v>
      </c>
      <c r="E1603" t="s">
        <v>29</v>
      </c>
      <c r="F1603" t="s">
        <v>30</v>
      </c>
      <c r="G1603" t="s">
        <v>31</v>
      </c>
      <c r="H1603" t="s">
        <v>32</v>
      </c>
      <c r="I1603">
        <v>18292.635139999999</v>
      </c>
      <c r="J1603" t="s">
        <v>33</v>
      </c>
      <c r="K1603" t="s">
        <v>2211</v>
      </c>
      <c r="L1603" t="s">
        <v>21</v>
      </c>
      <c r="M1603" t="str">
        <f t="shared" si="75"/>
        <v>OK</v>
      </c>
      <c r="N1603" t="str">
        <f t="shared" si="76"/>
        <v>1970s</v>
      </c>
      <c r="O1603" t="str">
        <f t="shared" si="77"/>
        <v>N/A</v>
      </c>
      <c r="P1603" t="str">
        <f>VLOOKUP(E1603,calculated_fields!$F$4:$G$6,2,FALSE)</f>
        <v>Economy</v>
      </c>
    </row>
    <row r="1604" spans="1:16">
      <c r="A1604" t="s">
        <v>2214</v>
      </c>
      <c r="B1604" t="s">
        <v>2190</v>
      </c>
      <c r="C1604" t="s">
        <v>80</v>
      </c>
      <c r="D1604">
        <v>1982</v>
      </c>
      <c r="E1604" t="s">
        <v>15</v>
      </c>
      <c r="F1604" t="s">
        <v>16</v>
      </c>
      <c r="G1604" t="s">
        <v>17</v>
      </c>
      <c r="H1604" t="s">
        <v>18</v>
      </c>
      <c r="I1604">
        <v>74.89</v>
      </c>
      <c r="J1604" t="s">
        <v>19</v>
      </c>
      <c r="K1604" t="s">
        <v>2215</v>
      </c>
      <c r="L1604" t="s">
        <v>21</v>
      </c>
      <c r="M1604" t="str">
        <f t="shared" si="75"/>
        <v>OK</v>
      </c>
      <c r="N1604" t="str">
        <f t="shared" si="76"/>
        <v>1980s</v>
      </c>
      <c r="O1604" t="str">
        <f t="shared" si="77"/>
        <v>High</v>
      </c>
      <c r="P1604" t="str">
        <f>VLOOKUP(E1604,calculated_fields!$F$4:$G$6,2,FALSE)</f>
        <v>Health</v>
      </c>
    </row>
    <row r="1605" spans="1:16">
      <c r="A1605" t="s">
        <v>2216</v>
      </c>
      <c r="B1605" t="s">
        <v>2190</v>
      </c>
      <c r="C1605" t="s">
        <v>80</v>
      </c>
      <c r="D1605">
        <v>1982</v>
      </c>
      <c r="E1605" t="s">
        <v>23</v>
      </c>
      <c r="F1605" t="s">
        <v>24</v>
      </c>
      <c r="G1605" t="s">
        <v>25</v>
      </c>
      <c r="H1605" t="s">
        <v>26</v>
      </c>
      <c r="I1605">
        <v>54433565</v>
      </c>
      <c r="J1605" t="s">
        <v>27</v>
      </c>
      <c r="K1605" t="s">
        <v>2215</v>
      </c>
      <c r="L1605" t="s">
        <v>21</v>
      </c>
      <c r="M1605" t="str">
        <f t="shared" si="75"/>
        <v>OK</v>
      </c>
      <c r="N1605" t="str">
        <f t="shared" si="76"/>
        <v>1980s</v>
      </c>
      <c r="O1605" t="str">
        <f t="shared" si="77"/>
        <v>N/A</v>
      </c>
      <c r="P1605" t="str">
        <f>VLOOKUP(E1605,calculated_fields!$F$4:$G$6,2,FALSE)</f>
        <v>Demographics</v>
      </c>
    </row>
    <row r="1606" spans="1:16">
      <c r="A1606" t="s">
        <v>2217</v>
      </c>
      <c r="B1606" t="s">
        <v>2190</v>
      </c>
      <c r="C1606" t="s">
        <v>80</v>
      </c>
      <c r="D1606">
        <v>1982</v>
      </c>
      <c r="E1606" t="s">
        <v>29</v>
      </c>
      <c r="F1606" t="s">
        <v>30</v>
      </c>
      <c r="G1606" t="s">
        <v>31</v>
      </c>
      <c r="H1606" t="s">
        <v>32</v>
      </c>
      <c r="I1606">
        <v>20293.89746</v>
      </c>
      <c r="J1606" t="s">
        <v>33</v>
      </c>
      <c r="K1606" t="s">
        <v>2215</v>
      </c>
      <c r="L1606" t="s">
        <v>21</v>
      </c>
      <c r="M1606" t="str">
        <f t="shared" si="75"/>
        <v>OK</v>
      </c>
      <c r="N1606" t="str">
        <f t="shared" si="76"/>
        <v>1980s</v>
      </c>
      <c r="O1606" t="str">
        <f t="shared" si="77"/>
        <v>N/A</v>
      </c>
      <c r="P1606" t="str">
        <f>VLOOKUP(E1606,calculated_fields!$F$4:$G$6,2,FALSE)</f>
        <v>Economy</v>
      </c>
    </row>
    <row r="1607" spans="1:16">
      <c r="A1607" t="s">
        <v>2218</v>
      </c>
      <c r="B1607" t="s">
        <v>2190</v>
      </c>
      <c r="C1607" t="s">
        <v>80</v>
      </c>
      <c r="D1607">
        <v>1987</v>
      </c>
      <c r="E1607" t="s">
        <v>15</v>
      </c>
      <c r="F1607" t="s">
        <v>16</v>
      </c>
      <c r="G1607" t="s">
        <v>17</v>
      </c>
      <c r="H1607" t="s">
        <v>18</v>
      </c>
      <c r="I1607">
        <v>76.34</v>
      </c>
      <c r="J1607" t="s">
        <v>19</v>
      </c>
      <c r="K1607" t="s">
        <v>2219</v>
      </c>
      <c r="L1607" t="s">
        <v>21</v>
      </c>
      <c r="M1607" t="str">
        <f t="shared" si="75"/>
        <v>OK</v>
      </c>
      <c r="N1607" t="str">
        <f t="shared" si="76"/>
        <v>1980s</v>
      </c>
      <c r="O1607" t="str">
        <f t="shared" si="77"/>
        <v>High</v>
      </c>
      <c r="P1607" t="str">
        <f>VLOOKUP(E1607,calculated_fields!$F$4:$G$6,2,FALSE)</f>
        <v>Health</v>
      </c>
    </row>
    <row r="1608" spans="1:16">
      <c r="A1608" t="s">
        <v>2220</v>
      </c>
      <c r="B1608" t="s">
        <v>2190</v>
      </c>
      <c r="C1608" t="s">
        <v>80</v>
      </c>
      <c r="D1608">
        <v>1987</v>
      </c>
      <c r="E1608" t="s">
        <v>23</v>
      </c>
      <c r="F1608" t="s">
        <v>24</v>
      </c>
      <c r="G1608" t="s">
        <v>25</v>
      </c>
      <c r="H1608" t="s">
        <v>26</v>
      </c>
      <c r="I1608">
        <v>55630100</v>
      </c>
      <c r="J1608" t="s">
        <v>27</v>
      </c>
      <c r="K1608" t="s">
        <v>2219</v>
      </c>
      <c r="L1608" t="s">
        <v>21</v>
      </c>
      <c r="M1608" t="str">
        <f t="shared" si="75"/>
        <v>OK</v>
      </c>
      <c r="N1608" t="str">
        <f t="shared" si="76"/>
        <v>1980s</v>
      </c>
      <c r="O1608" t="str">
        <f t="shared" si="77"/>
        <v>N/A</v>
      </c>
      <c r="P1608" t="str">
        <f>VLOOKUP(E1608,calculated_fields!$F$4:$G$6,2,FALSE)</f>
        <v>Demographics</v>
      </c>
    </row>
    <row r="1609" spans="1:16">
      <c r="A1609" t="s">
        <v>2221</v>
      </c>
      <c r="B1609" t="s">
        <v>2190</v>
      </c>
      <c r="C1609" t="s">
        <v>80</v>
      </c>
      <c r="D1609">
        <v>1987</v>
      </c>
      <c r="E1609" t="s">
        <v>29</v>
      </c>
      <c r="F1609" t="s">
        <v>30</v>
      </c>
      <c r="G1609" t="s">
        <v>31</v>
      </c>
      <c r="H1609" t="s">
        <v>32</v>
      </c>
      <c r="I1609">
        <v>22066.442139999999</v>
      </c>
      <c r="J1609" t="s">
        <v>33</v>
      </c>
      <c r="K1609" t="s">
        <v>2219</v>
      </c>
      <c r="L1609" t="s">
        <v>21</v>
      </c>
      <c r="M1609" t="str">
        <f t="shared" si="75"/>
        <v>OK</v>
      </c>
      <c r="N1609" t="str">
        <f t="shared" si="76"/>
        <v>1980s</v>
      </c>
      <c r="O1609" t="str">
        <f t="shared" si="77"/>
        <v>N/A</v>
      </c>
      <c r="P1609" t="str">
        <f>VLOOKUP(E1609,calculated_fields!$F$4:$G$6,2,FALSE)</f>
        <v>Economy</v>
      </c>
    </row>
    <row r="1610" spans="1:16">
      <c r="A1610" t="s">
        <v>2222</v>
      </c>
      <c r="B1610" t="s">
        <v>2190</v>
      </c>
      <c r="C1610" t="s">
        <v>80</v>
      </c>
      <c r="D1610">
        <v>1992</v>
      </c>
      <c r="E1610" t="s">
        <v>15</v>
      </c>
      <c r="F1610" t="s">
        <v>16</v>
      </c>
      <c r="G1610" t="s">
        <v>17</v>
      </c>
      <c r="H1610" t="s">
        <v>18</v>
      </c>
      <c r="I1610">
        <v>77.459999999999994</v>
      </c>
      <c r="J1610" t="s">
        <v>19</v>
      </c>
      <c r="K1610" t="s">
        <v>2223</v>
      </c>
      <c r="L1610" t="s">
        <v>21</v>
      </c>
      <c r="M1610" t="str">
        <f t="shared" si="75"/>
        <v>OK</v>
      </c>
      <c r="N1610" t="str">
        <f t="shared" si="76"/>
        <v>1990s</v>
      </c>
      <c r="O1610" t="str">
        <f t="shared" si="77"/>
        <v>High</v>
      </c>
      <c r="P1610" t="str">
        <f>VLOOKUP(E1610,calculated_fields!$F$4:$G$6,2,FALSE)</f>
        <v>Health</v>
      </c>
    </row>
    <row r="1611" spans="1:16">
      <c r="A1611" t="s">
        <v>2224</v>
      </c>
      <c r="B1611" t="s">
        <v>2190</v>
      </c>
      <c r="C1611" t="s">
        <v>80</v>
      </c>
      <c r="D1611">
        <v>1992</v>
      </c>
      <c r="E1611" t="s">
        <v>23</v>
      </c>
      <c r="F1611" t="s">
        <v>24</v>
      </c>
      <c r="G1611" t="s">
        <v>25</v>
      </c>
      <c r="H1611" t="s">
        <v>26</v>
      </c>
      <c r="I1611">
        <v>57374179</v>
      </c>
      <c r="J1611" t="s">
        <v>27</v>
      </c>
      <c r="K1611" t="s">
        <v>2223</v>
      </c>
      <c r="L1611" t="s">
        <v>21</v>
      </c>
      <c r="M1611" t="str">
        <f t="shared" si="75"/>
        <v>OK</v>
      </c>
      <c r="N1611" t="str">
        <f t="shared" si="76"/>
        <v>1990s</v>
      </c>
      <c r="O1611" t="str">
        <f t="shared" si="77"/>
        <v>N/A</v>
      </c>
      <c r="P1611" t="str">
        <f>VLOOKUP(E1611,calculated_fields!$F$4:$G$6,2,FALSE)</f>
        <v>Demographics</v>
      </c>
    </row>
    <row r="1612" spans="1:16">
      <c r="A1612" t="s">
        <v>2225</v>
      </c>
      <c r="B1612" t="s">
        <v>2190</v>
      </c>
      <c r="C1612" t="s">
        <v>80</v>
      </c>
      <c r="D1612">
        <v>1992</v>
      </c>
      <c r="E1612" t="s">
        <v>29</v>
      </c>
      <c r="F1612" t="s">
        <v>30</v>
      </c>
      <c r="G1612" t="s">
        <v>31</v>
      </c>
      <c r="H1612" t="s">
        <v>32</v>
      </c>
      <c r="I1612">
        <v>24703.796149999998</v>
      </c>
      <c r="J1612" t="s">
        <v>33</v>
      </c>
      <c r="K1612" t="s">
        <v>2223</v>
      </c>
      <c r="L1612" t="s">
        <v>21</v>
      </c>
      <c r="M1612" t="str">
        <f t="shared" si="75"/>
        <v>OK</v>
      </c>
      <c r="N1612" t="str">
        <f t="shared" si="76"/>
        <v>1990s</v>
      </c>
      <c r="O1612" t="str">
        <f t="shared" si="77"/>
        <v>N/A</v>
      </c>
      <c r="P1612" t="str">
        <f>VLOOKUP(E1612,calculated_fields!$F$4:$G$6,2,FALSE)</f>
        <v>Economy</v>
      </c>
    </row>
    <row r="1613" spans="1:16">
      <c r="A1613" t="s">
        <v>2226</v>
      </c>
      <c r="B1613" t="s">
        <v>2190</v>
      </c>
      <c r="C1613" t="s">
        <v>80</v>
      </c>
      <c r="D1613">
        <v>1997</v>
      </c>
      <c r="E1613" t="s">
        <v>15</v>
      </c>
      <c r="F1613" t="s">
        <v>16</v>
      </c>
      <c r="G1613" t="s">
        <v>17</v>
      </c>
      <c r="H1613" t="s">
        <v>18</v>
      </c>
      <c r="I1613">
        <v>78.64</v>
      </c>
      <c r="J1613" t="s">
        <v>19</v>
      </c>
      <c r="K1613" t="s">
        <v>2227</v>
      </c>
      <c r="L1613" t="s">
        <v>21</v>
      </c>
      <c r="M1613" t="str">
        <f t="shared" si="75"/>
        <v>OK</v>
      </c>
      <c r="N1613" t="str">
        <f t="shared" si="76"/>
        <v>1990s</v>
      </c>
      <c r="O1613" t="str">
        <f t="shared" si="77"/>
        <v>High</v>
      </c>
      <c r="P1613" t="str">
        <f>VLOOKUP(E1613,calculated_fields!$F$4:$G$6,2,FALSE)</f>
        <v>Health</v>
      </c>
    </row>
    <row r="1614" spans="1:16">
      <c r="A1614" t="s">
        <v>2228</v>
      </c>
      <c r="B1614" t="s">
        <v>2190</v>
      </c>
      <c r="C1614" t="s">
        <v>80</v>
      </c>
      <c r="D1614">
        <v>1997</v>
      </c>
      <c r="E1614" t="s">
        <v>23</v>
      </c>
      <c r="F1614" t="s">
        <v>24</v>
      </c>
      <c r="G1614" t="s">
        <v>25</v>
      </c>
      <c r="H1614" t="s">
        <v>26</v>
      </c>
      <c r="I1614">
        <v>58623428</v>
      </c>
      <c r="J1614" t="s">
        <v>27</v>
      </c>
      <c r="K1614" t="s">
        <v>2227</v>
      </c>
      <c r="L1614" t="s">
        <v>21</v>
      </c>
      <c r="M1614" t="str">
        <f t="shared" si="75"/>
        <v>OK</v>
      </c>
      <c r="N1614" t="str">
        <f t="shared" si="76"/>
        <v>1990s</v>
      </c>
      <c r="O1614" t="str">
        <f t="shared" si="77"/>
        <v>N/A</v>
      </c>
      <c r="P1614" t="str">
        <f>VLOOKUP(E1614,calculated_fields!$F$4:$G$6,2,FALSE)</f>
        <v>Demographics</v>
      </c>
    </row>
    <row r="1615" spans="1:16">
      <c r="A1615" t="s">
        <v>2229</v>
      </c>
      <c r="B1615" t="s">
        <v>2190</v>
      </c>
      <c r="C1615" t="s">
        <v>80</v>
      </c>
      <c r="D1615">
        <v>1997</v>
      </c>
      <c r="E1615" t="s">
        <v>29</v>
      </c>
      <c r="F1615" t="s">
        <v>30</v>
      </c>
      <c r="G1615" t="s">
        <v>31</v>
      </c>
      <c r="H1615" t="s">
        <v>32</v>
      </c>
      <c r="I1615">
        <v>25889.78487</v>
      </c>
      <c r="J1615" t="s">
        <v>33</v>
      </c>
      <c r="K1615" t="s">
        <v>2227</v>
      </c>
      <c r="L1615" t="s">
        <v>21</v>
      </c>
      <c r="M1615" t="str">
        <f t="shared" si="75"/>
        <v>OK</v>
      </c>
      <c r="N1615" t="str">
        <f t="shared" si="76"/>
        <v>1990s</v>
      </c>
      <c r="O1615" t="str">
        <f t="shared" si="77"/>
        <v>N/A</v>
      </c>
      <c r="P1615" t="str">
        <f>VLOOKUP(E1615,calculated_fields!$F$4:$G$6,2,FALSE)</f>
        <v>Economy</v>
      </c>
    </row>
    <row r="1616" spans="1:16">
      <c r="A1616" t="s">
        <v>2230</v>
      </c>
      <c r="B1616" t="s">
        <v>2190</v>
      </c>
      <c r="C1616" t="s">
        <v>80</v>
      </c>
      <c r="D1616">
        <v>2002</v>
      </c>
      <c r="E1616" t="s">
        <v>15</v>
      </c>
      <c r="F1616" t="s">
        <v>16</v>
      </c>
      <c r="G1616" t="s">
        <v>17</v>
      </c>
      <c r="H1616" t="s">
        <v>18</v>
      </c>
      <c r="I1616">
        <v>79.59</v>
      </c>
      <c r="J1616" t="s">
        <v>19</v>
      </c>
      <c r="K1616" t="s">
        <v>2231</v>
      </c>
      <c r="L1616" t="s">
        <v>21</v>
      </c>
      <c r="M1616" t="str">
        <f t="shared" si="75"/>
        <v>OK</v>
      </c>
      <c r="N1616" t="str">
        <f t="shared" si="76"/>
        <v>2000s</v>
      </c>
      <c r="O1616" t="str">
        <f t="shared" si="77"/>
        <v>High</v>
      </c>
      <c r="P1616" t="str">
        <f>VLOOKUP(E1616,calculated_fields!$F$4:$G$6,2,FALSE)</f>
        <v>Health</v>
      </c>
    </row>
    <row r="1617" spans="1:16">
      <c r="A1617" t="s">
        <v>2232</v>
      </c>
      <c r="B1617" t="s">
        <v>2190</v>
      </c>
      <c r="C1617" t="s">
        <v>80</v>
      </c>
      <c r="D1617">
        <v>2002</v>
      </c>
      <c r="E1617" t="s">
        <v>23</v>
      </c>
      <c r="F1617" t="s">
        <v>24</v>
      </c>
      <c r="G1617" t="s">
        <v>25</v>
      </c>
      <c r="H1617" t="s">
        <v>26</v>
      </c>
      <c r="I1617">
        <v>59925035</v>
      </c>
      <c r="J1617" t="s">
        <v>27</v>
      </c>
      <c r="K1617" t="s">
        <v>2231</v>
      </c>
      <c r="L1617" t="s">
        <v>21</v>
      </c>
      <c r="M1617" t="str">
        <f t="shared" si="75"/>
        <v>OK</v>
      </c>
      <c r="N1617" t="str">
        <f t="shared" si="76"/>
        <v>2000s</v>
      </c>
      <c r="O1617" t="str">
        <f t="shared" si="77"/>
        <v>N/A</v>
      </c>
      <c r="P1617" t="str">
        <f>VLOOKUP(E1617,calculated_fields!$F$4:$G$6,2,FALSE)</f>
        <v>Demographics</v>
      </c>
    </row>
    <row r="1618" spans="1:16">
      <c r="A1618" t="s">
        <v>2233</v>
      </c>
      <c r="B1618" t="s">
        <v>2190</v>
      </c>
      <c r="C1618" t="s">
        <v>80</v>
      </c>
      <c r="D1618">
        <v>2002</v>
      </c>
      <c r="E1618" t="s">
        <v>29</v>
      </c>
      <c r="F1618" t="s">
        <v>30</v>
      </c>
      <c r="G1618" t="s">
        <v>31</v>
      </c>
      <c r="H1618" t="s">
        <v>32</v>
      </c>
      <c r="I1618">
        <v>28926.032340000002</v>
      </c>
      <c r="J1618" t="s">
        <v>33</v>
      </c>
      <c r="K1618" t="s">
        <v>2231</v>
      </c>
      <c r="L1618" t="s">
        <v>21</v>
      </c>
      <c r="M1618" t="str">
        <f t="shared" si="75"/>
        <v>OK</v>
      </c>
      <c r="N1618" t="str">
        <f t="shared" si="76"/>
        <v>2000s</v>
      </c>
      <c r="O1618" t="str">
        <f t="shared" si="77"/>
        <v>N/A</v>
      </c>
      <c r="P1618" t="str">
        <f>VLOOKUP(E1618,calculated_fields!$F$4:$G$6,2,FALSE)</f>
        <v>Economy</v>
      </c>
    </row>
    <row r="1619" spans="1:16">
      <c r="A1619" t="s">
        <v>2234</v>
      </c>
      <c r="B1619" t="s">
        <v>2190</v>
      </c>
      <c r="C1619" t="s">
        <v>80</v>
      </c>
      <c r="D1619">
        <v>2007</v>
      </c>
      <c r="E1619" t="s">
        <v>15</v>
      </c>
      <c r="F1619" t="s">
        <v>16</v>
      </c>
      <c r="G1619" t="s">
        <v>17</v>
      </c>
      <c r="H1619" t="s">
        <v>18</v>
      </c>
      <c r="I1619">
        <v>80.656999999999996</v>
      </c>
      <c r="J1619" t="s">
        <v>19</v>
      </c>
      <c r="K1619" t="s">
        <v>2235</v>
      </c>
      <c r="L1619" t="s">
        <v>21</v>
      </c>
      <c r="M1619" t="str">
        <f t="shared" si="75"/>
        <v>OK</v>
      </c>
      <c r="N1619" t="str">
        <f t="shared" si="76"/>
        <v>2000s</v>
      </c>
      <c r="O1619" t="str">
        <f t="shared" si="77"/>
        <v>High</v>
      </c>
      <c r="P1619" t="str">
        <f>VLOOKUP(E1619,calculated_fields!$F$4:$G$6,2,FALSE)</f>
        <v>Health</v>
      </c>
    </row>
    <row r="1620" spans="1:16">
      <c r="A1620" t="s">
        <v>2236</v>
      </c>
      <c r="B1620" t="s">
        <v>2190</v>
      </c>
      <c r="C1620" t="s">
        <v>80</v>
      </c>
      <c r="D1620">
        <v>2007</v>
      </c>
      <c r="E1620" t="s">
        <v>23</v>
      </c>
      <c r="F1620" t="s">
        <v>24</v>
      </c>
      <c r="G1620" t="s">
        <v>25</v>
      </c>
      <c r="H1620" t="s">
        <v>26</v>
      </c>
      <c r="I1620">
        <v>61083916</v>
      </c>
      <c r="J1620" t="s">
        <v>27</v>
      </c>
      <c r="K1620" t="s">
        <v>2235</v>
      </c>
      <c r="L1620" t="s">
        <v>21</v>
      </c>
      <c r="M1620" t="str">
        <f t="shared" si="75"/>
        <v>OK</v>
      </c>
      <c r="N1620" t="str">
        <f t="shared" si="76"/>
        <v>2000s</v>
      </c>
      <c r="O1620" t="str">
        <f t="shared" si="77"/>
        <v>N/A</v>
      </c>
      <c r="P1620" t="str">
        <f>VLOOKUP(E1620,calculated_fields!$F$4:$G$6,2,FALSE)</f>
        <v>Demographics</v>
      </c>
    </row>
    <row r="1621" spans="1:16">
      <c r="A1621" t="s">
        <v>2237</v>
      </c>
      <c r="B1621" t="s">
        <v>2190</v>
      </c>
      <c r="C1621" t="s">
        <v>80</v>
      </c>
      <c r="D1621">
        <v>2007</v>
      </c>
      <c r="E1621" t="s">
        <v>29</v>
      </c>
      <c r="F1621" t="s">
        <v>30</v>
      </c>
      <c r="G1621" t="s">
        <v>31</v>
      </c>
      <c r="H1621" t="s">
        <v>32</v>
      </c>
      <c r="I1621">
        <v>30470.0167</v>
      </c>
      <c r="J1621" t="s">
        <v>33</v>
      </c>
      <c r="K1621" t="s">
        <v>2235</v>
      </c>
      <c r="L1621" t="s">
        <v>21</v>
      </c>
      <c r="M1621" t="str">
        <f t="shared" si="75"/>
        <v>OK</v>
      </c>
      <c r="N1621" t="str">
        <f t="shared" si="76"/>
        <v>2000s</v>
      </c>
      <c r="O1621" t="str">
        <f t="shared" si="77"/>
        <v>N/A</v>
      </c>
      <c r="P1621" t="str">
        <f>VLOOKUP(E1621,calculated_fields!$F$4:$G$6,2,FALSE)</f>
        <v>Economy</v>
      </c>
    </row>
    <row r="1622" spans="1:16">
      <c r="A1622" t="s">
        <v>2238</v>
      </c>
      <c r="B1622" t="s">
        <v>2239</v>
      </c>
      <c r="C1622" t="s">
        <v>130</v>
      </c>
      <c r="D1622">
        <v>1952</v>
      </c>
      <c r="E1622" t="s">
        <v>15</v>
      </c>
      <c r="F1622" t="s">
        <v>16</v>
      </c>
      <c r="G1622" t="s">
        <v>17</v>
      </c>
      <c r="H1622" t="s">
        <v>18</v>
      </c>
      <c r="I1622">
        <v>37.003</v>
      </c>
      <c r="J1622" t="s">
        <v>19</v>
      </c>
      <c r="K1622" t="s">
        <v>2240</v>
      </c>
      <c r="L1622" t="s">
        <v>21</v>
      </c>
      <c r="M1622" t="str">
        <f t="shared" si="75"/>
        <v>OK</v>
      </c>
      <c r="N1622" t="str">
        <f t="shared" si="76"/>
        <v>1950s</v>
      </c>
      <c r="O1622" t="str">
        <f t="shared" si="77"/>
        <v>Low</v>
      </c>
      <c r="P1622" t="str">
        <f>VLOOKUP(E1622,calculated_fields!$F$4:$G$6,2,FALSE)</f>
        <v>Health</v>
      </c>
    </row>
    <row r="1623" spans="1:16">
      <c r="A1623" t="s">
        <v>2241</v>
      </c>
      <c r="B1623" t="s">
        <v>2239</v>
      </c>
      <c r="C1623" t="s">
        <v>130</v>
      </c>
      <c r="D1623">
        <v>1952</v>
      </c>
      <c r="E1623" t="s">
        <v>23</v>
      </c>
      <c r="F1623" t="s">
        <v>24</v>
      </c>
      <c r="G1623" t="s">
        <v>25</v>
      </c>
      <c r="H1623" t="s">
        <v>26</v>
      </c>
      <c r="I1623">
        <v>420702</v>
      </c>
      <c r="J1623" t="s">
        <v>27</v>
      </c>
      <c r="K1623" t="s">
        <v>2240</v>
      </c>
      <c r="L1623" t="s">
        <v>21</v>
      </c>
      <c r="M1623" t="str">
        <f t="shared" si="75"/>
        <v>OK</v>
      </c>
      <c r="N1623" t="str">
        <f t="shared" si="76"/>
        <v>1950s</v>
      </c>
      <c r="O1623" t="str">
        <f t="shared" si="77"/>
        <v>N/A</v>
      </c>
      <c r="P1623" t="str">
        <f>VLOOKUP(E1623,calculated_fields!$F$4:$G$6,2,FALSE)</f>
        <v>Demographics</v>
      </c>
    </row>
    <row r="1624" spans="1:16">
      <c r="A1624" t="s">
        <v>2242</v>
      </c>
      <c r="B1624" t="s">
        <v>2239</v>
      </c>
      <c r="C1624" t="s">
        <v>130</v>
      </c>
      <c r="D1624">
        <v>1952</v>
      </c>
      <c r="E1624" t="s">
        <v>29</v>
      </c>
      <c r="F1624" t="s">
        <v>30</v>
      </c>
      <c r="G1624" t="s">
        <v>31</v>
      </c>
      <c r="H1624" t="s">
        <v>32</v>
      </c>
      <c r="I1624">
        <v>4293.4764750000004</v>
      </c>
      <c r="J1624" t="s">
        <v>33</v>
      </c>
      <c r="K1624" t="s">
        <v>2240</v>
      </c>
      <c r="L1624" t="s">
        <v>21</v>
      </c>
      <c r="M1624" t="str">
        <f t="shared" si="75"/>
        <v>OK</v>
      </c>
      <c r="N1624" t="str">
        <f t="shared" si="76"/>
        <v>1950s</v>
      </c>
      <c r="O1624" t="str">
        <f t="shared" si="77"/>
        <v>N/A</v>
      </c>
      <c r="P1624" t="str">
        <f>VLOOKUP(E1624,calculated_fields!$F$4:$G$6,2,FALSE)</f>
        <v>Economy</v>
      </c>
    </row>
    <row r="1625" spans="1:16">
      <c r="A1625" t="s">
        <v>2243</v>
      </c>
      <c r="B1625" t="s">
        <v>2239</v>
      </c>
      <c r="C1625" t="s">
        <v>130</v>
      </c>
      <c r="D1625">
        <v>1957</v>
      </c>
      <c r="E1625" t="s">
        <v>15</v>
      </c>
      <c r="F1625" t="s">
        <v>16</v>
      </c>
      <c r="G1625" t="s">
        <v>17</v>
      </c>
      <c r="H1625" t="s">
        <v>18</v>
      </c>
      <c r="I1625">
        <v>38.999000000000002</v>
      </c>
      <c r="J1625" t="s">
        <v>19</v>
      </c>
      <c r="K1625" t="s">
        <v>2244</v>
      </c>
      <c r="L1625" t="s">
        <v>21</v>
      </c>
      <c r="M1625" t="str">
        <f t="shared" si="75"/>
        <v>OK</v>
      </c>
      <c r="N1625" t="str">
        <f t="shared" si="76"/>
        <v>1950s</v>
      </c>
      <c r="O1625" t="str">
        <f t="shared" si="77"/>
        <v>Low</v>
      </c>
      <c r="P1625" t="str">
        <f>VLOOKUP(E1625,calculated_fields!$F$4:$G$6,2,FALSE)</f>
        <v>Health</v>
      </c>
    </row>
    <row r="1626" spans="1:16">
      <c r="A1626" t="s">
        <v>2245</v>
      </c>
      <c r="B1626" t="s">
        <v>2239</v>
      </c>
      <c r="C1626" t="s">
        <v>130</v>
      </c>
      <c r="D1626">
        <v>1957</v>
      </c>
      <c r="E1626" t="s">
        <v>23</v>
      </c>
      <c r="F1626" t="s">
        <v>24</v>
      </c>
      <c r="G1626" t="s">
        <v>25</v>
      </c>
      <c r="H1626" t="s">
        <v>26</v>
      </c>
      <c r="I1626">
        <v>434904</v>
      </c>
      <c r="J1626" t="s">
        <v>27</v>
      </c>
      <c r="K1626" t="s">
        <v>2244</v>
      </c>
      <c r="L1626" t="s">
        <v>21</v>
      </c>
      <c r="M1626" t="str">
        <f t="shared" si="75"/>
        <v>OK</v>
      </c>
      <c r="N1626" t="str">
        <f t="shared" si="76"/>
        <v>1950s</v>
      </c>
      <c r="O1626" t="str">
        <f t="shared" si="77"/>
        <v>N/A</v>
      </c>
      <c r="P1626" t="str">
        <f>VLOOKUP(E1626,calculated_fields!$F$4:$G$6,2,FALSE)</f>
        <v>Demographics</v>
      </c>
    </row>
    <row r="1627" spans="1:16">
      <c r="A1627" t="s">
        <v>2246</v>
      </c>
      <c r="B1627" t="s">
        <v>2239</v>
      </c>
      <c r="C1627" t="s">
        <v>130</v>
      </c>
      <c r="D1627">
        <v>1957</v>
      </c>
      <c r="E1627" t="s">
        <v>29</v>
      </c>
      <c r="F1627" t="s">
        <v>30</v>
      </c>
      <c r="G1627" t="s">
        <v>31</v>
      </c>
      <c r="H1627" t="s">
        <v>32</v>
      </c>
      <c r="I1627">
        <v>4976.1980990000002</v>
      </c>
      <c r="J1627" t="s">
        <v>33</v>
      </c>
      <c r="K1627" t="s">
        <v>2244</v>
      </c>
      <c r="L1627" t="s">
        <v>21</v>
      </c>
      <c r="M1627" t="str">
        <f t="shared" si="75"/>
        <v>OK</v>
      </c>
      <c r="N1627" t="str">
        <f t="shared" si="76"/>
        <v>1950s</v>
      </c>
      <c r="O1627" t="str">
        <f t="shared" si="77"/>
        <v>N/A</v>
      </c>
      <c r="P1627" t="str">
        <f>VLOOKUP(E1627,calculated_fields!$F$4:$G$6,2,FALSE)</f>
        <v>Economy</v>
      </c>
    </row>
    <row r="1628" spans="1:16">
      <c r="A1628" t="s">
        <v>2247</v>
      </c>
      <c r="B1628" t="s">
        <v>2239</v>
      </c>
      <c r="C1628" t="s">
        <v>130</v>
      </c>
      <c r="D1628">
        <v>1962</v>
      </c>
      <c r="E1628" t="s">
        <v>15</v>
      </c>
      <c r="F1628" t="s">
        <v>16</v>
      </c>
      <c r="G1628" t="s">
        <v>17</v>
      </c>
      <c r="H1628" t="s">
        <v>18</v>
      </c>
      <c r="I1628">
        <v>40.488999999999997</v>
      </c>
      <c r="J1628" t="s">
        <v>19</v>
      </c>
      <c r="K1628" t="s">
        <v>2248</v>
      </c>
      <c r="L1628" t="s">
        <v>21</v>
      </c>
      <c r="M1628" t="str">
        <f t="shared" si="75"/>
        <v>OK</v>
      </c>
      <c r="N1628" t="str">
        <f t="shared" si="76"/>
        <v>1960s</v>
      </c>
      <c r="O1628" t="str">
        <f t="shared" si="77"/>
        <v>Low</v>
      </c>
      <c r="P1628" t="str">
        <f>VLOOKUP(E1628,calculated_fields!$F$4:$G$6,2,FALSE)</f>
        <v>Health</v>
      </c>
    </row>
    <row r="1629" spans="1:16">
      <c r="A1629" t="s">
        <v>2249</v>
      </c>
      <c r="B1629" t="s">
        <v>2239</v>
      </c>
      <c r="C1629" t="s">
        <v>130</v>
      </c>
      <c r="D1629">
        <v>1962</v>
      </c>
      <c r="E1629" t="s">
        <v>23</v>
      </c>
      <c r="F1629" t="s">
        <v>24</v>
      </c>
      <c r="G1629" t="s">
        <v>25</v>
      </c>
      <c r="H1629" t="s">
        <v>26</v>
      </c>
      <c r="I1629">
        <v>455661</v>
      </c>
      <c r="J1629" t="s">
        <v>27</v>
      </c>
      <c r="K1629" t="s">
        <v>2248</v>
      </c>
      <c r="L1629" t="s">
        <v>21</v>
      </c>
      <c r="M1629" t="str">
        <f t="shared" si="75"/>
        <v>OK</v>
      </c>
      <c r="N1629" t="str">
        <f t="shared" si="76"/>
        <v>1960s</v>
      </c>
      <c r="O1629" t="str">
        <f t="shared" si="77"/>
        <v>N/A</v>
      </c>
      <c r="P1629" t="str">
        <f>VLOOKUP(E1629,calculated_fields!$F$4:$G$6,2,FALSE)</f>
        <v>Demographics</v>
      </c>
    </row>
    <row r="1630" spans="1:16">
      <c r="A1630" t="s">
        <v>2250</v>
      </c>
      <c r="B1630" t="s">
        <v>2239</v>
      </c>
      <c r="C1630" t="s">
        <v>130</v>
      </c>
      <c r="D1630">
        <v>1962</v>
      </c>
      <c r="E1630" t="s">
        <v>29</v>
      </c>
      <c r="F1630" t="s">
        <v>30</v>
      </c>
      <c r="G1630" t="s">
        <v>31</v>
      </c>
      <c r="H1630" t="s">
        <v>32</v>
      </c>
      <c r="I1630">
        <v>6631.4592220000004</v>
      </c>
      <c r="J1630" t="s">
        <v>33</v>
      </c>
      <c r="K1630" t="s">
        <v>2248</v>
      </c>
      <c r="L1630" t="s">
        <v>21</v>
      </c>
      <c r="M1630" t="str">
        <f t="shared" si="75"/>
        <v>OK</v>
      </c>
      <c r="N1630" t="str">
        <f t="shared" si="76"/>
        <v>1960s</v>
      </c>
      <c r="O1630" t="str">
        <f t="shared" si="77"/>
        <v>N/A</v>
      </c>
      <c r="P1630" t="str">
        <f>VLOOKUP(E1630,calculated_fields!$F$4:$G$6,2,FALSE)</f>
        <v>Economy</v>
      </c>
    </row>
    <row r="1631" spans="1:16">
      <c r="A1631" t="s">
        <v>2251</v>
      </c>
      <c r="B1631" t="s">
        <v>2239</v>
      </c>
      <c r="C1631" t="s">
        <v>130</v>
      </c>
      <c r="D1631">
        <v>1967</v>
      </c>
      <c r="E1631" t="s">
        <v>15</v>
      </c>
      <c r="F1631" t="s">
        <v>16</v>
      </c>
      <c r="G1631" t="s">
        <v>17</v>
      </c>
      <c r="H1631" t="s">
        <v>18</v>
      </c>
      <c r="I1631">
        <v>44.597999999999999</v>
      </c>
      <c r="J1631" t="s">
        <v>19</v>
      </c>
      <c r="K1631" t="s">
        <v>2252</v>
      </c>
      <c r="L1631" t="s">
        <v>21</v>
      </c>
      <c r="M1631" t="str">
        <f t="shared" si="75"/>
        <v>OK</v>
      </c>
      <c r="N1631" t="str">
        <f t="shared" si="76"/>
        <v>1960s</v>
      </c>
      <c r="O1631" t="str">
        <f t="shared" si="77"/>
        <v>Low</v>
      </c>
      <c r="P1631" t="str">
        <f>VLOOKUP(E1631,calculated_fields!$F$4:$G$6,2,FALSE)</f>
        <v>Health</v>
      </c>
    </row>
    <row r="1632" spans="1:16">
      <c r="A1632" t="s">
        <v>2253</v>
      </c>
      <c r="B1632" t="s">
        <v>2239</v>
      </c>
      <c r="C1632" t="s">
        <v>130</v>
      </c>
      <c r="D1632">
        <v>1967</v>
      </c>
      <c r="E1632" t="s">
        <v>23</v>
      </c>
      <c r="F1632" t="s">
        <v>24</v>
      </c>
      <c r="G1632" t="s">
        <v>25</v>
      </c>
      <c r="H1632" t="s">
        <v>26</v>
      </c>
      <c r="I1632">
        <v>489004</v>
      </c>
      <c r="J1632" t="s">
        <v>27</v>
      </c>
      <c r="K1632" t="s">
        <v>2252</v>
      </c>
      <c r="L1632" t="s">
        <v>21</v>
      </c>
      <c r="M1632" t="str">
        <f t="shared" si="75"/>
        <v>OK</v>
      </c>
      <c r="N1632" t="str">
        <f t="shared" si="76"/>
        <v>1960s</v>
      </c>
      <c r="O1632" t="str">
        <f t="shared" si="77"/>
        <v>N/A</v>
      </c>
      <c r="P1632" t="str">
        <f>VLOOKUP(E1632,calculated_fields!$F$4:$G$6,2,FALSE)</f>
        <v>Demographics</v>
      </c>
    </row>
    <row r="1633" spans="1:16">
      <c r="A1633" t="s">
        <v>2254</v>
      </c>
      <c r="B1633" t="s">
        <v>2239</v>
      </c>
      <c r="C1633" t="s">
        <v>130</v>
      </c>
      <c r="D1633">
        <v>1967</v>
      </c>
      <c r="E1633" t="s">
        <v>29</v>
      </c>
      <c r="F1633" t="s">
        <v>30</v>
      </c>
      <c r="G1633" t="s">
        <v>31</v>
      </c>
      <c r="H1633" t="s">
        <v>32</v>
      </c>
      <c r="I1633">
        <v>8358.7619869999999</v>
      </c>
      <c r="J1633" t="s">
        <v>33</v>
      </c>
      <c r="K1633" t="s">
        <v>2252</v>
      </c>
      <c r="L1633" t="s">
        <v>21</v>
      </c>
      <c r="M1633" t="str">
        <f t="shared" si="75"/>
        <v>OK</v>
      </c>
      <c r="N1633" t="str">
        <f t="shared" si="76"/>
        <v>1960s</v>
      </c>
      <c r="O1633" t="str">
        <f t="shared" si="77"/>
        <v>N/A</v>
      </c>
      <c r="P1633" t="str">
        <f>VLOOKUP(E1633,calculated_fields!$F$4:$G$6,2,FALSE)</f>
        <v>Economy</v>
      </c>
    </row>
    <row r="1634" spans="1:16">
      <c r="A1634" t="s">
        <v>2255</v>
      </c>
      <c r="B1634" t="s">
        <v>2239</v>
      </c>
      <c r="C1634" t="s">
        <v>130</v>
      </c>
      <c r="D1634">
        <v>1972</v>
      </c>
      <c r="E1634" t="s">
        <v>15</v>
      </c>
      <c r="F1634" t="s">
        <v>16</v>
      </c>
      <c r="G1634" t="s">
        <v>17</v>
      </c>
      <c r="H1634" t="s">
        <v>18</v>
      </c>
      <c r="I1634">
        <v>48.69</v>
      </c>
      <c r="J1634" t="s">
        <v>19</v>
      </c>
      <c r="K1634" t="s">
        <v>2256</v>
      </c>
      <c r="L1634" t="s">
        <v>21</v>
      </c>
      <c r="M1634" t="str">
        <f t="shared" si="75"/>
        <v>OK</v>
      </c>
      <c r="N1634" t="str">
        <f t="shared" si="76"/>
        <v>1970s</v>
      </c>
      <c r="O1634" t="str">
        <f t="shared" si="77"/>
        <v>Low</v>
      </c>
      <c r="P1634" t="str">
        <f>VLOOKUP(E1634,calculated_fields!$F$4:$G$6,2,FALSE)</f>
        <v>Health</v>
      </c>
    </row>
    <row r="1635" spans="1:16">
      <c r="A1635" t="s">
        <v>2257</v>
      </c>
      <c r="B1635" t="s">
        <v>2239</v>
      </c>
      <c r="C1635" t="s">
        <v>130</v>
      </c>
      <c r="D1635">
        <v>1972</v>
      </c>
      <c r="E1635" t="s">
        <v>23</v>
      </c>
      <c r="F1635" t="s">
        <v>24</v>
      </c>
      <c r="G1635" t="s">
        <v>25</v>
      </c>
      <c r="H1635" t="s">
        <v>26</v>
      </c>
      <c r="I1635">
        <v>537977</v>
      </c>
      <c r="J1635" t="s">
        <v>27</v>
      </c>
      <c r="K1635" t="s">
        <v>2256</v>
      </c>
      <c r="L1635" t="s">
        <v>21</v>
      </c>
      <c r="M1635" t="str">
        <f t="shared" si="75"/>
        <v>OK</v>
      </c>
      <c r="N1635" t="str">
        <f t="shared" si="76"/>
        <v>1970s</v>
      </c>
      <c r="O1635" t="str">
        <f t="shared" si="77"/>
        <v>N/A</v>
      </c>
      <c r="P1635" t="str">
        <f>VLOOKUP(E1635,calculated_fields!$F$4:$G$6,2,FALSE)</f>
        <v>Demographics</v>
      </c>
    </row>
    <row r="1636" spans="1:16">
      <c r="A1636" t="s">
        <v>2258</v>
      </c>
      <c r="B1636" t="s">
        <v>2239</v>
      </c>
      <c r="C1636" t="s">
        <v>130</v>
      </c>
      <c r="D1636">
        <v>1972</v>
      </c>
      <c r="E1636" t="s">
        <v>29</v>
      </c>
      <c r="F1636" t="s">
        <v>30</v>
      </c>
      <c r="G1636" t="s">
        <v>31</v>
      </c>
      <c r="H1636" t="s">
        <v>32</v>
      </c>
      <c r="I1636">
        <v>11401.948410000001</v>
      </c>
      <c r="J1636" t="s">
        <v>33</v>
      </c>
      <c r="K1636" t="s">
        <v>2256</v>
      </c>
      <c r="L1636" t="s">
        <v>21</v>
      </c>
      <c r="M1636" t="str">
        <f t="shared" si="75"/>
        <v>OK</v>
      </c>
      <c r="N1636" t="str">
        <f t="shared" si="76"/>
        <v>1970s</v>
      </c>
      <c r="O1636" t="str">
        <f t="shared" si="77"/>
        <v>N/A</v>
      </c>
      <c r="P1636" t="str">
        <f>VLOOKUP(E1636,calculated_fields!$F$4:$G$6,2,FALSE)</f>
        <v>Economy</v>
      </c>
    </row>
    <row r="1637" spans="1:16">
      <c r="A1637" t="s">
        <v>2259</v>
      </c>
      <c r="B1637" t="s">
        <v>2239</v>
      </c>
      <c r="C1637" t="s">
        <v>130</v>
      </c>
      <c r="D1637">
        <v>1977</v>
      </c>
      <c r="E1637" t="s">
        <v>15</v>
      </c>
      <c r="F1637" t="s">
        <v>16</v>
      </c>
      <c r="G1637" t="s">
        <v>17</v>
      </c>
      <c r="H1637" t="s">
        <v>18</v>
      </c>
      <c r="I1637">
        <v>52.79</v>
      </c>
      <c r="J1637" t="s">
        <v>19</v>
      </c>
      <c r="K1637" t="s">
        <v>2260</v>
      </c>
      <c r="L1637" t="s">
        <v>21</v>
      </c>
      <c r="M1637" t="str">
        <f t="shared" si="75"/>
        <v>OK</v>
      </c>
      <c r="N1637" t="str">
        <f t="shared" si="76"/>
        <v>1970s</v>
      </c>
      <c r="O1637" t="str">
        <f t="shared" si="77"/>
        <v>Low</v>
      </c>
      <c r="P1637" t="str">
        <f>VLOOKUP(E1637,calculated_fields!$F$4:$G$6,2,FALSE)</f>
        <v>Health</v>
      </c>
    </row>
    <row r="1638" spans="1:16">
      <c r="A1638" t="s">
        <v>2261</v>
      </c>
      <c r="B1638" t="s">
        <v>2239</v>
      </c>
      <c r="C1638" t="s">
        <v>130</v>
      </c>
      <c r="D1638">
        <v>1977</v>
      </c>
      <c r="E1638" t="s">
        <v>23</v>
      </c>
      <c r="F1638" t="s">
        <v>24</v>
      </c>
      <c r="G1638" t="s">
        <v>25</v>
      </c>
      <c r="H1638" t="s">
        <v>26</v>
      </c>
      <c r="I1638">
        <v>706367</v>
      </c>
      <c r="J1638" t="s">
        <v>27</v>
      </c>
      <c r="K1638" t="s">
        <v>2260</v>
      </c>
      <c r="L1638" t="s">
        <v>21</v>
      </c>
      <c r="M1638" t="str">
        <f t="shared" si="75"/>
        <v>OK</v>
      </c>
      <c r="N1638" t="str">
        <f t="shared" si="76"/>
        <v>1970s</v>
      </c>
      <c r="O1638" t="str">
        <f t="shared" si="77"/>
        <v>N/A</v>
      </c>
      <c r="P1638" t="str">
        <f>VLOOKUP(E1638,calculated_fields!$F$4:$G$6,2,FALSE)</f>
        <v>Demographics</v>
      </c>
    </row>
    <row r="1639" spans="1:16">
      <c r="A1639" t="s">
        <v>2262</v>
      </c>
      <c r="B1639" t="s">
        <v>2239</v>
      </c>
      <c r="C1639" t="s">
        <v>130</v>
      </c>
      <c r="D1639">
        <v>1977</v>
      </c>
      <c r="E1639" t="s">
        <v>29</v>
      </c>
      <c r="F1639" t="s">
        <v>30</v>
      </c>
      <c r="G1639" t="s">
        <v>31</v>
      </c>
      <c r="H1639" t="s">
        <v>32</v>
      </c>
      <c r="I1639">
        <v>21745.573280000001</v>
      </c>
      <c r="J1639" t="s">
        <v>33</v>
      </c>
      <c r="K1639" t="s">
        <v>2260</v>
      </c>
      <c r="L1639" t="s">
        <v>21</v>
      </c>
      <c r="M1639" t="str">
        <f t="shared" si="75"/>
        <v>OK</v>
      </c>
      <c r="N1639" t="str">
        <f t="shared" si="76"/>
        <v>1970s</v>
      </c>
      <c r="O1639" t="str">
        <f t="shared" si="77"/>
        <v>N/A</v>
      </c>
      <c r="P1639" t="str">
        <f>VLOOKUP(E1639,calculated_fields!$F$4:$G$6,2,FALSE)</f>
        <v>Economy</v>
      </c>
    </row>
    <row r="1640" spans="1:16">
      <c r="A1640" t="s">
        <v>2263</v>
      </c>
      <c r="B1640" t="s">
        <v>2239</v>
      </c>
      <c r="C1640" t="s">
        <v>130</v>
      </c>
      <c r="D1640">
        <v>1982</v>
      </c>
      <c r="E1640" t="s">
        <v>15</v>
      </c>
      <c r="F1640" t="s">
        <v>16</v>
      </c>
      <c r="G1640" t="s">
        <v>17</v>
      </c>
      <c r="H1640" t="s">
        <v>18</v>
      </c>
      <c r="I1640">
        <v>56.563999999999901</v>
      </c>
      <c r="J1640" t="s">
        <v>19</v>
      </c>
      <c r="K1640" t="s">
        <v>2264</v>
      </c>
      <c r="L1640" t="s">
        <v>21</v>
      </c>
      <c r="M1640" t="str">
        <f t="shared" si="75"/>
        <v>OK</v>
      </c>
      <c r="N1640" t="str">
        <f t="shared" si="76"/>
        <v>1980s</v>
      </c>
      <c r="O1640" t="str">
        <f t="shared" si="77"/>
        <v>Medium</v>
      </c>
      <c r="P1640" t="str">
        <f>VLOOKUP(E1640,calculated_fields!$F$4:$G$6,2,FALSE)</f>
        <v>Health</v>
      </c>
    </row>
    <row r="1641" spans="1:16">
      <c r="A1641" t="s">
        <v>2265</v>
      </c>
      <c r="B1641" t="s">
        <v>2239</v>
      </c>
      <c r="C1641" t="s">
        <v>130</v>
      </c>
      <c r="D1641">
        <v>1982</v>
      </c>
      <c r="E1641" t="s">
        <v>23</v>
      </c>
      <c r="F1641" t="s">
        <v>24</v>
      </c>
      <c r="G1641" t="s">
        <v>25</v>
      </c>
      <c r="H1641" t="s">
        <v>26</v>
      </c>
      <c r="I1641">
        <v>753874</v>
      </c>
      <c r="J1641" t="s">
        <v>27</v>
      </c>
      <c r="K1641" t="s">
        <v>2264</v>
      </c>
      <c r="L1641" t="s">
        <v>21</v>
      </c>
      <c r="M1641" t="str">
        <f t="shared" si="75"/>
        <v>OK</v>
      </c>
      <c r="N1641" t="str">
        <f t="shared" si="76"/>
        <v>1980s</v>
      </c>
      <c r="O1641" t="str">
        <f t="shared" si="77"/>
        <v>N/A</v>
      </c>
      <c r="P1641" t="str">
        <f>VLOOKUP(E1641,calculated_fields!$F$4:$G$6,2,FALSE)</f>
        <v>Demographics</v>
      </c>
    </row>
    <row r="1642" spans="1:16">
      <c r="A1642" t="s">
        <v>2266</v>
      </c>
      <c r="B1642" t="s">
        <v>2239</v>
      </c>
      <c r="C1642" t="s">
        <v>130</v>
      </c>
      <c r="D1642">
        <v>1982</v>
      </c>
      <c r="E1642" t="s">
        <v>29</v>
      </c>
      <c r="F1642" t="s">
        <v>30</v>
      </c>
      <c r="G1642" t="s">
        <v>31</v>
      </c>
      <c r="H1642" t="s">
        <v>32</v>
      </c>
      <c r="I1642">
        <v>15113.361940000001</v>
      </c>
      <c r="J1642" t="s">
        <v>33</v>
      </c>
      <c r="K1642" t="s">
        <v>2264</v>
      </c>
      <c r="L1642" t="s">
        <v>21</v>
      </c>
      <c r="M1642" t="str">
        <f t="shared" si="75"/>
        <v>OK</v>
      </c>
      <c r="N1642" t="str">
        <f t="shared" si="76"/>
        <v>1980s</v>
      </c>
      <c r="O1642" t="str">
        <f t="shared" si="77"/>
        <v>N/A</v>
      </c>
      <c r="P1642" t="str">
        <f>VLOOKUP(E1642,calculated_fields!$F$4:$G$6,2,FALSE)</f>
        <v>Economy</v>
      </c>
    </row>
    <row r="1643" spans="1:16">
      <c r="A1643" t="s">
        <v>2267</v>
      </c>
      <c r="B1643" t="s">
        <v>2239</v>
      </c>
      <c r="C1643" t="s">
        <v>130</v>
      </c>
      <c r="D1643">
        <v>1987</v>
      </c>
      <c r="E1643" t="s">
        <v>15</v>
      </c>
      <c r="F1643" t="s">
        <v>16</v>
      </c>
      <c r="G1643" t="s">
        <v>17</v>
      </c>
      <c r="H1643" t="s">
        <v>18</v>
      </c>
      <c r="I1643">
        <v>60.19</v>
      </c>
      <c r="J1643" t="s">
        <v>19</v>
      </c>
      <c r="K1643" t="s">
        <v>2268</v>
      </c>
      <c r="L1643" t="s">
        <v>21</v>
      </c>
      <c r="M1643" t="str">
        <f t="shared" si="75"/>
        <v>OK</v>
      </c>
      <c r="N1643" t="str">
        <f t="shared" si="76"/>
        <v>1980s</v>
      </c>
      <c r="O1643" t="str">
        <f t="shared" si="77"/>
        <v>Medium</v>
      </c>
      <c r="P1643" t="str">
        <f>VLOOKUP(E1643,calculated_fields!$F$4:$G$6,2,FALSE)</f>
        <v>Health</v>
      </c>
    </row>
    <row r="1644" spans="1:16">
      <c r="A1644" t="s">
        <v>2269</v>
      </c>
      <c r="B1644" t="s">
        <v>2239</v>
      </c>
      <c r="C1644" t="s">
        <v>130</v>
      </c>
      <c r="D1644">
        <v>1987</v>
      </c>
      <c r="E1644" t="s">
        <v>23</v>
      </c>
      <c r="F1644" t="s">
        <v>24</v>
      </c>
      <c r="G1644" t="s">
        <v>25</v>
      </c>
      <c r="H1644" t="s">
        <v>26</v>
      </c>
      <c r="I1644">
        <v>880397</v>
      </c>
      <c r="J1644" t="s">
        <v>27</v>
      </c>
      <c r="K1644" t="s">
        <v>2268</v>
      </c>
      <c r="L1644" t="s">
        <v>21</v>
      </c>
      <c r="M1644" t="str">
        <f t="shared" si="75"/>
        <v>OK</v>
      </c>
      <c r="N1644" t="str">
        <f t="shared" si="76"/>
        <v>1980s</v>
      </c>
      <c r="O1644" t="str">
        <f t="shared" si="77"/>
        <v>N/A</v>
      </c>
      <c r="P1644" t="str">
        <f>VLOOKUP(E1644,calculated_fields!$F$4:$G$6,2,FALSE)</f>
        <v>Demographics</v>
      </c>
    </row>
    <row r="1645" spans="1:16">
      <c r="A1645" t="s">
        <v>2270</v>
      </c>
      <c r="B1645" t="s">
        <v>2239</v>
      </c>
      <c r="C1645" t="s">
        <v>130</v>
      </c>
      <c r="D1645">
        <v>1987</v>
      </c>
      <c r="E1645" t="s">
        <v>29</v>
      </c>
      <c r="F1645" t="s">
        <v>30</v>
      </c>
      <c r="G1645" t="s">
        <v>31</v>
      </c>
      <c r="H1645" t="s">
        <v>32</v>
      </c>
      <c r="I1645">
        <v>11864.408439999999</v>
      </c>
      <c r="J1645" t="s">
        <v>33</v>
      </c>
      <c r="K1645" t="s">
        <v>2268</v>
      </c>
      <c r="L1645" t="s">
        <v>21</v>
      </c>
      <c r="M1645" t="str">
        <f t="shared" si="75"/>
        <v>OK</v>
      </c>
      <c r="N1645" t="str">
        <f t="shared" si="76"/>
        <v>1980s</v>
      </c>
      <c r="O1645" t="str">
        <f t="shared" si="77"/>
        <v>N/A</v>
      </c>
      <c r="P1645" t="str">
        <f>VLOOKUP(E1645,calculated_fields!$F$4:$G$6,2,FALSE)</f>
        <v>Economy</v>
      </c>
    </row>
    <row r="1646" spans="1:16">
      <c r="A1646" t="s">
        <v>2271</v>
      </c>
      <c r="B1646" t="s">
        <v>2239</v>
      </c>
      <c r="C1646" t="s">
        <v>130</v>
      </c>
      <c r="D1646">
        <v>1992</v>
      </c>
      <c r="E1646" t="s">
        <v>15</v>
      </c>
      <c r="F1646" t="s">
        <v>16</v>
      </c>
      <c r="G1646" t="s">
        <v>17</v>
      </c>
      <c r="H1646" t="s">
        <v>18</v>
      </c>
      <c r="I1646">
        <v>61.366</v>
      </c>
      <c r="J1646" t="s">
        <v>19</v>
      </c>
      <c r="K1646" t="s">
        <v>2272</v>
      </c>
      <c r="L1646" t="s">
        <v>21</v>
      </c>
      <c r="M1646" t="str">
        <f t="shared" si="75"/>
        <v>OK</v>
      </c>
      <c r="N1646" t="str">
        <f t="shared" si="76"/>
        <v>1990s</v>
      </c>
      <c r="O1646" t="str">
        <f t="shared" si="77"/>
        <v>Medium</v>
      </c>
      <c r="P1646" t="str">
        <f>VLOOKUP(E1646,calculated_fields!$F$4:$G$6,2,FALSE)</f>
        <v>Health</v>
      </c>
    </row>
    <row r="1647" spans="1:16">
      <c r="A1647" t="s">
        <v>2273</v>
      </c>
      <c r="B1647" t="s">
        <v>2239</v>
      </c>
      <c r="C1647" t="s">
        <v>130</v>
      </c>
      <c r="D1647">
        <v>1992</v>
      </c>
      <c r="E1647" t="s">
        <v>23</v>
      </c>
      <c r="F1647" t="s">
        <v>24</v>
      </c>
      <c r="G1647" t="s">
        <v>25</v>
      </c>
      <c r="H1647" t="s">
        <v>26</v>
      </c>
      <c r="I1647">
        <v>985739</v>
      </c>
      <c r="J1647" t="s">
        <v>27</v>
      </c>
      <c r="K1647" t="s">
        <v>2272</v>
      </c>
      <c r="L1647" t="s">
        <v>21</v>
      </c>
      <c r="M1647" t="str">
        <f t="shared" si="75"/>
        <v>OK</v>
      </c>
      <c r="N1647" t="str">
        <f t="shared" si="76"/>
        <v>1990s</v>
      </c>
      <c r="O1647" t="str">
        <f t="shared" si="77"/>
        <v>N/A</v>
      </c>
      <c r="P1647" t="str">
        <f>VLOOKUP(E1647,calculated_fields!$F$4:$G$6,2,FALSE)</f>
        <v>Demographics</v>
      </c>
    </row>
    <row r="1648" spans="1:16">
      <c r="A1648" t="s">
        <v>2274</v>
      </c>
      <c r="B1648" t="s">
        <v>2239</v>
      </c>
      <c r="C1648" t="s">
        <v>130</v>
      </c>
      <c r="D1648">
        <v>1992</v>
      </c>
      <c r="E1648" t="s">
        <v>29</v>
      </c>
      <c r="F1648" t="s">
        <v>30</v>
      </c>
      <c r="G1648" t="s">
        <v>31</v>
      </c>
      <c r="H1648" t="s">
        <v>32</v>
      </c>
      <c r="I1648">
        <v>13522.157520000001</v>
      </c>
      <c r="J1648" t="s">
        <v>33</v>
      </c>
      <c r="K1648" t="s">
        <v>2272</v>
      </c>
      <c r="L1648" t="s">
        <v>21</v>
      </c>
      <c r="M1648" t="str">
        <f t="shared" si="75"/>
        <v>OK</v>
      </c>
      <c r="N1648" t="str">
        <f t="shared" si="76"/>
        <v>1990s</v>
      </c>
      <c r="O1648" t="str">
        <f t="shared" si="77"/>
        <v>N/A</v>
      </c>
      <c r="P1648" t="str">
        <f>VLOOKUP(E1648,calculated_fields!$F$4:$G$6,2,FALSE)</f>
        <v>Economy</v>
      </c>
    </row>
    <row r="1649" spans="1:16">
      <c r="A1649" t="s">
        <v>2275</v>
      </c>
      <c r="B1649" t="s">
        <v>2239</v>
      </c>
      <c r="C1649" t="s">
        <v>130</v>
      </c>
      <c r="D1649">
        <v>1997</v>
      </c>
      <c r="E1649" t="s">
        <v>15</v>
      </c>
      <c r="F1649" t="s">
        <v>16</v>
      </c>
      <c r="G1649" t="s">
        <v>17</v>
      </c>
      <c r="H1649" t="s">
        <v>18</v>
      </c>
      <c r="I1649">
        <v>60.460999999999999</v>
      </c>
      <c r="J1649" t="s">
        <v>19</v>
      </c>
      <c r="K1649" t="s">
        <v>2276</v>
      </c>
      <c r="L1649" t="s">
        <v>21</v>
      </c>
      <c r="M1649" t="str">
        <f t="shared" si="75"/>
        <v>OK</v>
      </c>
      <c r="N1649" t="str">
        <f t="shared" si="76"/>
        <v>1990s</v>
      </c>
      <c r="O1649" t="str">
        <f t="shared" si="77"/>
        <v>Medium</v>
      </c>
      <c r="P1649" t="str">
        <f>VLOOKUP(E1649,calculated_fields!$F$4:$G$6,2,FALSE)</f>
        <v>Health</v>
      </c>
    </row>
    <row r="1650" spans="1:16">
      <c r="A1650" t="s">
        <v>2277</v>
      </c>
      <c r="B1650" t="s">
        <v>2239</v>
      </c>
      <c r="C1650" t="s">
        <v>130</v>
      </c>
      <c r="D1650">
        <v>1997</v>
      </c>
      <c r="E1650" t="s">
        <v>23</v>
      </c>
      <c r="F1650" t="s">
        <v>24</v>
      </c>
      <c r="G1650" t="s">
        <v>25</v>
      </c>
      <c r="H1650" t="s">
        <v>26</v>
      </c>
      <c r="I1650">
        <v>1126189</v>
      </c>
      <c r="J1650" t="s">
        <v>27</v>
      </c>
      <c r="K1650" t="s">
        <v>2276</v>
      </c>
      <c r="L1650" t="s">
        <v>21</v>
      </c>
      <c r="M1650" t="str">
        <f t="shared" si="75"/>
        <v>OK</v>
      </c>
      <c r="N1650" t="str">
        <f t="shared" si="76"/>
        <v>1990s</v>
      </c>
      <c r="O1650" t="str">
        <f t="shared" si="77"/>
        <v>N/A</v>
      </c>
      <c r="P1650" t="str">
        <f>VLOOKUP(E1650,calculated_fields!$F$4:$G$6,2,FALSE)</f>
        <v>Demographics</v>
      </c>
    </row>
    <row r="1651" spans="1:16">
      <c r="A1651" t="s">
        <v>2278</v>
      </c>
      <c r="B1651" t="s">
        <v>2239</v>
      </c>
      <c r="C1651" t="s">
        <v>130</v>
      </c>
      <c r="D1651">
        <v>1997</v>
      </c>
      <c r="E1651" t="s">
        <v>29</v>
      </c>
      <c r="F1651" t="s">
        <v>30</v>
      </c>
      <c r="G1651" t="s">
        <v>31</v>
      </c>
      <c r="H1651" t="s">
        <v>32</v>
      </c>
      <c r="I1651">
        <v>14722.84188</v>
      </c>
      <c r="J1651" t="s">
        <v>33</v>
      </c>
      <c r="K1651" t="s">
        <v>2276</v>
      </c>
      <c r="L1651" t="s">
        <v>21</v>
      </c>
      <c r="M1651" t="str">
        <f t="shared" si="75"/>
        <v>OK</v>
      </c>
      <c r="N1651" t="str">
        <f t="shared" si="76"/>
        <v>1990s</v>
      </c>
      <c r="O1651" t="str">
        <f t="shared" si="77"/>
        <v>N/A</v>
      </c>
      <c r="P1651" t="str">
        <f>VLOOKUP(E1651,calculated_fields!$F$4:$G$6,2,FALSE)</f>
        <v>Economy</v>
      </c>
    </row>
    <row r="1652" spans="1:16">
      <c r="A1652" t="s">
        <v>2279</v>
      </c>
      <c r="B1652" t="s">
        <v>2239</v>
      </c>
      <c r="C1652" t="s">
        <v>130</v>
      </c>
      <c r="D1652">
        <v>2002</v>
      </c>
      <c r="E1652" t="s">
        <v>15</v>
      </c>
      <c r="F1652" t="s">
        <v>16</v>
      </c>
      <c r="G1652" t="s">
        <v>17</v>
      </c>
      <c r="H1652" t="s">
        <v>18</v>
      </c>
      <c r="I1652">
        <v>56.761000000000003</v>
      </c>
      <c r="J1652" t="s">
        <v>19</v>
      </c>
      <c r="K1652" t="s">
        <v>2280</v>
      </c>
      <c r="L1652" t="s">
        <v>21</v>
      </c>
      <c r="M1652" t="str">
        <f t="shared" si="75"/>
        <v>OK</v>
      </c>
      <c r="N1652" t="str">
        <f t="shared" si="76"/>
        <v>2000s</v>
      </c>
      <c r="O1652" t="str">
        <f t="shared" si="77"/>
        <v>Medium</v>
      </c>
      <c r="P1652" t="str">
        <f>VLOOKUP(E1652,calculated_fields!$F$4:$G$6,2,FALSE)</f>
        <v>Health</v>
      </c>
    </row>
    <row r="1653" spans="1:16">
      <c r="A1653" t="s">
        <v>2281</v>
      </c>
      <c r="B1653" t="s">
        <v>2239</v>
      </c>
      <c r="C1653" t="s">
        <v>130</v>
      </c>
      <c r="D1653">
        <v>2002</v>
      </c>
      <c r="E1653" t="s">
        <v>23</v>
      </c>
      <c r="F1653" t="s">
        <v>24</v>
      </c>
      <c r="G1653" t="s">
        <v>25</v>
      </c>
      <c r="H1653" t="s">
        <v>26</v>
      </c>
      <c r="I1653">
        <v>1299304</v>
      </c>
      <c r="J1653" t="s">
        <v>27</v>
      </c>
      <c r="K1653" t="s">
        <v>2280</v>
      </c>
      <c r="L1653" t="s">
        <v>21</v>
      </c>
      <c r="M1653" t="str">
        <f t="shared" si="75"/>
        <v>OK</v>
      </c>
      <c r="N1653" t="str">
        <f t="shared" si="76"/>
        <v>2000s</v>
      </c>
      <c r="O1653" t="str">
        <f t="shared" si="77"/>
        <v>N/A</v>
      </c>
      <c r="P1653" t="str">
        <f>VLOOKUP(E1653,calculated_fields!$F$4:$G$6,2,FALSE)</f>
        <v>Demographics</v>
      </c>
    </row>
    <row r="1654" spans="1:16">
      <c r="A1654" t="s">
        <v>2282</v>
      </c>
      <c r="B1654" t="s">
        <v>2239</v>
      </c>
      <c r="C1654" t="s">
        <v>130</v>
      </c>
      <c r="D1654">
        <v>2002</v>
      </c>
      <c r="E1654" t="s">
        <v>29</v>
      </c>
      <c r="F1654" t="s">
        <v>30</v>
      </c>
      <c r="G1654" t="s">
        <v>31</v>
      </c>
      <c r="H1654" t="s">
        <v>32</v>
      </c>
      <c r="I1654">
        <v>12521.71392</v>
      </c>
      <c r="J1654" t="s">
        <v>33</v>
      </c>
      <c r="K1654" t="s">
        <v>2280</v>
      </c>
      <c r="L1654" t="s">
        <v>21</v>
      </c>
      <c r="M1654" t="str">
        <f t="shared" si="75"/>
        <v>OK</v>
      </c>
      <c r="N1654" t="str">
        <f t="shared" si="76"/>
        <v>2000s</v>
      </c>
      <c r="O1654" t="str">
        <f t="shared" si="77"/>
        <v>N/A</v>
      </c>
      <c r="P1654" t="str">
        <f>VLOOKUP(E1654,calculated_fields!$F$4:$G$6,2,FALSE)</f>
        <v>Economy</v>
      </c>
    </row>
    <row r="1655" spans="1:16">
      <c r="A1655" t="s">
        <v>2283</v>
      </c>
      <c r="B1655" t="s">
        <v>2239</v>
      </c>
      <c r="C1655" t="s">
        <v>130</v>
      </c>
      <c r="D1655">
        <v>2007</v>
      </c>
      <c r="E1655" t="s">
        <v>15</v>
      </c>
      <c r="F1655" t="s">
        <v>16</v>
      </c>
      <c r="G1655" t="s">
        <v>17</v>
      </c>
      <c r="H1655" t="s">
        <v>18</v>
      </c>
      <c r="I1655">
        <v>56.734999999999999</v>
      </c>
      <c r="J1655" t="s">
        <v>19</v>
      </c>
      <c r="K1655" t="s">
        <v>2284</v>
      </c>
      <c r="L1655" t="s">
        <v>21</v>
      </c>
      <c r="M1655" t="str">
        <f t="shared" si="75"/>
        <v>OK</v>
      </c>
      <c r="N1655" t="str">
        <f t="shared" si="76"/>
        <v>2000s</v>
      </c>
      <c r="O1655" t="str">
        <f t="shared" si="77"/>
        <v>Medium</v>
      </c>
      <c r="P1655" t="str">
        <f>VLOOKUP(E1655,calculated_fields!$F$4:$G$6,2,FALSE)</f>
        <v>Health</v>
      </c>
    </row>
    <row r="1656" spans="1:16">
      <c r="A1656" t="s">
        <v>2285</v>
      </c>
      <c r="B1656" t="s">
        <v>2239</v>
      </c>
      <c r="C1656" t="s">
        <v>130</v>
      </c>
      <c r="D1656">
        <v>2007</v>
      </c>
      <c r="E1656" t="s">
        <v>23</v>
      </c>
      <c r="F1656" t="s">
        <v>24</v>
      </c>
      <c r="G1656" t="s">
        <v>25</v>
      </c>
      <c r="H1656" t="s">
        <v>26</v>
      </c>
      <c r="I1656">
        <v>1454867</v>
      </c>
      <c r="J1656" t="s">
        <v>27</v>
      </c>
      <c r="K1656" t="s">
        <v>2284</v>
      </c>
      <c r="L1656" t="s">
        <v>21</v>
      </c>
      <c r="M1656" t="str">
        <f t="shared" si="75"/>
        <v>OK</v>
      </c>
      <c r="N1656" t="str">
        <f t="shared" si="76"/>
        <v>2000s</v>
      </c>
      <c r="O1656" t="str">
        <f t="shared" si="77"/>
        <v>N/A</v>
      </c>
      <c r="P1656" t="str">
        <f>VLOOKUP(E1656,calculated_fields!$F$4:$G$6,2,FALSE)</f>
        <v>Demographics</v>
      </c>
    </row>
    <row r="1657" spans="1:16">
      <c r="A1657" t="s">
        <v>2286</v>
      </c>
      <c r="B1657" t="s">
        <v>2239</v>
      </c>
      <c r="C1657" t="s">
        <v>130</v>
      </c>
      <c r="D1657">
        <v>2007</v>
      </c>
      <c r="E1657" t="s">
        <v>29</v>
      </c>
      <c r="F1657" t="s">
        <v>30</v>
      </c>
      <c r="G1657" t="s">
        <v>31</v>
      </c>
      <c r="H1657" t="s">
        <v>32</v>
      </c>
      <c r="I1657">
        <v>13206.48452</v>
      </c>
      <c r="J1657" t="s">
        <v>33</v>
      </c>
      <c r="K1657" t="s">
        <v>2284</v>
      </c>
      <c r="L1657" t="s">
        <v>21</v>
      </c>
      <c r="M1657" t="str">
        <f t="shared" si="75"/>
        <v>OK</v>
      </c>
      <c r="N1657" t="str">
        <f t="shared" si="76"/>
        <v>2000s</v>
      </c>
      <c r="O1657" t="str">
        <f t="shared" si="77"/>
        <v>N/A</v>
      </c>
      <c r="P1657" t="str">
        <f>VLOOKUP(E1657,calculated_fields!$F$4:$G$6,2,FALSE)</f>
        <v>Economy</v>
      </c>
    </row>
    <row r="1658" spans="1:16">
      <c r="A1658" t="s">
        <v>2287</v>
      </c>
      <c r="B1658" t="s">
        <v>2288</v>
      </c>
      <c r="C1658" t="s">
        <v>130</v>
      </c>
      <c r="D1658">
        <v>1952</v>
      </c>
      <c r="E1658" t="s">
        <v>15</v>
      </c>
      <c r="F1658" t="s">
        <v>16</v>
      </c>
      <c r="G1658" t="s">
        <v>17</v>
      </c>
      <c r="H1658" t="s">
        <v>18</v>
      </c>
      <c r="I1658">
        <v>30</v>
      </c>
      <c r="J1658" t="s">
        <v>19</v>
      </c>
      <c r="K1658" t="s">
        <v>2289</v>
      </c>
      <c r="L1658" t="s">
        <v>21</v>
      </c>
      <c r="M1658" t="str">
        <f t="shared" si="75"/>
        <v>OK</v>
      </c>
      <c r="N1658" t="str">
        <f t="shared" si="76"/>
        <v>1950s</v>
      </c>
      <c r="O1658" t="str">
        <f t="shared" si="77"/>
        <v>Low</v>
      </c>
      <c r="P1658" t="str">
        <f>VLOOKUP(E1658,calculated_fields!$F$4:$G$6,2,FALSE)</f>
        <v>Health</v>
      </c>
    </row>
    <row r="1659" spans="1:16">
      <c r="A1659" t="s">
        <v>2290</v>
      </c>
      <c r="B1659" t="s">
        <v>2288</v>
      </c>
      <c r="C1659" t="s">
        <v>130</v>
      </c>
      <c r="D1659">
        <v>1952</v>
      </c>
      <c r="E1659" t="s">
        <v>23</v>
      </c>
      <c r="F1659" t="s">
        <v>24</v>
      </c>
      <c r="G1659" t="s">
        <v>25</v>
      </c>
      <c r="H1659" t="s">
        <v>26</v>
      </c>
      <c r="I1659">
        <v>284320</v>
      </c>
      <c r="J1659" t="s">
        <v>27</v>
      </c>
      <c r="K1659" t="s">
        <v>2289</v>
      </c>
      <c r="L1659" t="s">
        <v>21</v>
      </c>
      <c r="M1659" t="str">
        <f t="shared" si="75"/>
        <v>OK</v>
      </c>
      <c r="N1659" t="str">
        <f t="shared" si="76"/>
        <v>1950s</v>
      </c>
      <c r="O1659" t="str">
        <f t="shared" si="77"/>
        <v>N/A</v>
      </c>
      <c r="P1659" t="str">
        <f>VLOOKUP(E1659,calculated_fields!$F$4:$G$6,2,FALSE)</f>
        <v>Demographics</v>
      </c>
    </row>
    <row r="1660" spans="1:16">
      <c r="A1660" t="s">
        <v>2291</v>
      </c>
      <c r="B1660" t="s">
        <v>2288</v>
      </c>
      <c r="C1660" t="s">
        <v>130</v>
      </c>
      <c r="D1660">
        <v>1952</v>
      </c>
      <c r="E1660" t="s">
        <v>29</v>
      </c>
      <c r="F1660" t="s">
        <v>30</v>
      </c>
      <c r="G1660" t="s">
        <v>31</v>
      </c>
      <c r="H1660" t="s">
        <v>32</v>
      </c>
      <c r="I1660">
        <v>485.23065910000003</v>
      </c>
      <c r="J1660" t="s">
        <v>33</v>
      </c>
      <c r="K1660" t="s">
        <v>2289</v>
      </c>
      <c r="L1660" t="s">
        <v>21</v>
      </c>
      <c r="M1660" t="str">
        <f t="shared" si="75"/>
        <v>OK</v>
      </c>
      <c r="N1660" t="str">
        <f t="shared" si="76"/>
        <v>1950s</v>
      </c>
      <c r="O1660" t="str">
        <f t="shared" si="77"/>
        <v>N/A</v>
      </c>
      <c r="P1660" t="str">
        <f>VLOOKUP(E1660,calculated_fields!$F$4:$G$6,2,FALSE)</f>
        <v>Economy</v>
      </c>
    </row>
    <row r="1661" spans="1:16">
      <c r="A1661" t="s">
        <v>2292</v>
      </c>
      <c r="B1661" t="s">
        <v>2288</v>
      </c>
      <c r="C1661" t="s">
        <v>130</v>
      </c>
      <c r="D1661">
        <v>1957</v>
      </c>
      <c r="E1661" t="s">
        <v>15</v>
      </c>
      <c r="F1661" t="s">
        <v>16</v>
      </c>
      <c r="G1661" t="s">
        <v>17</v>
      </c>
      <c r="H1661" t="s">
        <v>18</v>
      </c>
      <c r="I1661">
        <v>32.064999999999998</v>
      </c>
      <c r="J1661" t="s">
        <v>19</v>
      </c>
      <c r="K1661" t="s">
        <v>2293</v>
      </c>
      <c r="L1661" t="s">
        <v>21</v>
      </c>
      <c r="M1661" t="str">
        <f t="shared" si="75"/>
        <v>OK</v>
      </c>
      <c r="N1661" t="str">
        <f t="shared" si="76"/>
        <v>1950s</v>
      </c>
      <c r="O1661" t="str">
        <f t="shared" si="77"/>
        <v>Low</v>
      </c>
      <c r="P1661" t="str">
        <f>VLOOKUP(E1661,calculated_fields!$F$4:$G$6,2,FALSE)</f>
        <v>Health</v>
      </c>
    </row>
    <row r="1662" spans="1:16">
      <c r="A1662" t="s">
        <v>2294</v>
      </c>
      <c r="B1662" t="s">
        <v>2288</v>
      </c>
      <c r="C1662" t="s">
        <v>130</v>
      </c>
      <c r="D1662">
        <v>1957</v>
      </c>
      <c r="E1662" t="s">
        <v>23</v>
      </c>
      <c r="F1662" t="s">
        <v>24</v>
      </c>
      <c r="G1662" t="s">
        <v>25</v>
      </c>
      <c r="H1662" t="s">
        <v>26</v>
      </c>
      <c r="I1662">
        <v>323150</v>
      </c>
      <c r="J1662" t="s">
        <v>27</v>
      </c>
      <c r="K1662" t="s">
        <v>2293</v>
      </c>
      <c r="L1662" t="s">
        <v>21</v>
      </c>
      <c r="M1662" t="str">
        <f t="shared" si="75"/>
        <v>OK</v>
      </c>
      <c r="N1662" t="str">
        <f t="shared" si="76"/>
        <v>1950s</v>
      </c>
      <c r="O1662" t="str">
        <f t="shared" si="77"/>
        <v>N/A</v>
      </c>
      <c r="P1662" t="str">
        <f>VLOOKUP(E1662,calculated_fields!$F$4:$G$6,2,FALSE)</f>
        <v>Demographics</v>
      </c>
    </row>
    <row r="1663" spans="1:16">
      <c r="A1663" t="s">
        <v>2295</v>
      </c>
      <c r="B1663" t="s">
        <v>2288</v>
      </c>
      <c r="C1663" t="s">
        <v>130</v>
      </c>
      <c r="D1663">
        <v>1957</v>
      </c>
      <c r="E1663" t="s">
        <v>29</v>
      </c>
      <c r="F1663" t="s">
        <v>30</v>
      </c>
      <c r="G1663" t="s">
        <v>31</v>
      </c>
      <c r="H1663" t="s">
        <v>32</v>
      </c>
      <c r="I1663">
        <v>520.92671110000003</v>
      </c>
      <c r="J1663" t="s">
        <v>33</v>
      </c>
      <c r="K1663" t="s">
        <v>2293</v>
      </c>
      <c r="L1663" t="s">
        <v>21</v>
      </c>
      <c r="M1663" t="str">
        <f t="shared" si="75"/>
        <v>OK</v>
      </c>
      <c r="N1663" t="str">
        <f t="shared" si="76"/>
        <v>1950s</v>
      </c>
      <c r="O1663" t="str">
        <f t="shared" si="77"/>
        <v>N/A</v>
      </c>
      <c r="P1663" t="str">
        <f>VLOOKUP(E1663,calculated_fields!$F$4:$G$6,2,FALSE)</f>
        <v>Economy</v>
      </c>
    </row>
    <row r="1664" spans="1:16">
      <c r="A1664" t="s">
        <v>2296</v>
      </c>
      <c r="B1664" t="s">
        <v>2288</v>
      </c>
      <c r="C1664" t="s">
        <v>130</v>
      </c>
      <c r="D1664">
        <v>1962</v>
      </c>
      <c r="E1664" t="s">
        <v>15</v>
      </c>
      <c r="F1664" t="s">
        <v>16</v>
      </c>
      <c r="G1664" t="s">
        <v>17</v>
      </c>
      <c r="H1664" t="s">
        <v>18</v>
      </c>
      <c r="I1664">
        <v>33.896000000000001</v>
      </c>
      <c r="J1664" t="s">
        <v>19</v>
      </c>
      <c r="K1664" t="s">
        <v>2297</v>
      </c>
      <c r="L1664" t="s">
        <v>21</v>
      </c>
      <c r="M1664" t="str">
        <f t="shared" si="75"/>
        <v>OK</v>
      </c>
      <c r="N1664" t="str">
        <f t="shared" si="76"/>
        <v>1960s</v>
      </c>
      <c r="O1664" t="str">
        <f t="shared" si="77"/>
        <v>Low</v>
      </c>
      <c r="P1664" t="str">
        <f>VLOOKUP(E1664,calculated_fields!$F$4:$G$6,2,FALSE)</f>
        <v>Health</v>
      </c>
    </row>
    <row r="1665" spans="1:16">
      <c r="A1665" t="s">
        <v>2298</v>
      </c>
      <c r="B1665" t="s">
        <v>2288</v>
      </c>
      <c r="C1665" t="s">
        <v>130</v>
      </c>
      <c r="D1665">
        <v>1962</v>
      </c>
      <c r="E1665" t="s">
        <v>23</v>
      </c>
      <c r="F1665" t="s">
        <v>24</v>
      </c>
      <c r="G1665" t="s">
        <v>25</v>
      </c>
      <c r="H1665" t="s">
        <v>26</v>
      </c>
      <c r="I1665">
        <v>374020</v>
      </c>
      <c r="J1665" t="s">
        <v>27</v>
      </c>
      <c r="K1665" t="s">
        <v>2297</v>
      </c>
      <c r="L1665" t="s">
        <v>21</v>
      </c>
      <c r="M1665" t="str">
        <f t="shared" si="75"/>
        <v>OK</v>
      </c>
      <c r="N1665" t="str">
        <f t="shared" si="76"/>
        <v>1960s</v>
      </c>
      <c r="O1665" t="str">
        <f t="shared" si="77"/>
        <v>N/A</v>
      </c>
      <c r="P1665" t="str">
        <f>VLOOKUP(E1665,calculated_fields!$F$4:$G$6,2,FALSE)</f>
        <v>Demographics</v>
      </c>
    </row>
    <row r="1666" spans="1:16">
      <c r="A1666" t="s">
        <v>2299</v>
      </c>
      <c r="B1666" t="s">
        <v>2288</v>
      </c>
      <c r="C1666" t="s">
        <v>130</v>
      </c>
      <c r="D1666">
        <v>1962</v>
      </c>
      <c r="E1666" t="s">
        <v>29</v>
      </c>
      <c r="F1666" t="s">
        <v>30</v>
      </c>
      <c r="G1666" t="s">
        <v>31</v>
      </c>
      <c r="H1666" t="s">
        <v>32</v>
      </c>
      <c r="I1666">
        <v>599.65027599999996</v>
      </c>
      <c r="J1666" t="s">
        <v>33</v>
      </c>
      <c r="K1666" t="s">
        <v>2297</v>
      </c>
      <c r="L1666" t="s">
        <v>21</v>
      </c>
      <c r="M1666" t="str">
        <f t="shared" ref="M1666:M1729" si="78">IF(AND(ISNUMBER(I1666),I1666&gt;=0),"OK","Review")</f>
        <v>OK</v>
      </c>
      <c r="N1666" t="str">
        <f t="shared" ref="N1666:N1729" si="79">FLOOR(D1666,10)&amp;"s"</f>
        <v>1960s</v>
      </c>
      <c r="O1666" t="str">
        <f t="shared" ref="O1666:O1729" si="80">IF(E1666="LIFE_EXP",IF(I1666&gt;=70,"High",IF(I1666&gt;=55,"Medium","Low")),"N/A")</f>
        <v>N/A</v>
      </c>
      <c r="P1666" t="str">
        <f>VLOOKUP(E1666,calculated_fields!$F$4:$G$6,2,FALSE)</f>
        <v>Economy</v>
      </c>
    </row>
    <row r="1667" spans="1:16">
      <c r="A1667" t="s">
        <v>2300</v>
      </c>
      <c r="B1667" t="s">
        <v>2288</v>
      </c>
      <c r="C1667" t="s">
        <v>130</v>
      </c>
      <c r="D1667">
        <v>1967</v>
      </c>
      <c r="E1667" t="s">
        <v>15</v>
      </c>
      <c r="F1667" t="s">
        <v>16</v>
      </c>
      <c r="G1667" t="s">
        <v>17</v>
      </c>
      <c r="H1667" t="s">
        <v>18</v>
      </c>
      <c r="I1667">
        <v>35.856999999999999</v>
      </c>
      <c r="J1667" t="s">
        <v>19</v>
      </c>
      <c r="K1667" t="s">
        <v>2301</v>
      </c>
      <c r="L1667" t="s">
        <v>21</v>
      </c>
      <c r="M1667" t="str">
        <f t="shared" si="78"/>
        <v>OK</v>
      </c>
      <c r="N1667" t="str">
        <f t="shared" si="79"/>
        <v>1960s</v>
      </c>
      <c r="O1667" t="str">
        <f t="shared" si="80"/>
        <v>Low</v>
      </c>
      <c r="P1667" t="str">
        <f>VLOOKUP(E1667,calculated_fields!$F$4:$G$6,2,FALSE)</f>
        <v>Health</v>
      </c>
    </row>
    <row r="1668" spans="1:16">
      <c r="A1668" t="s">
        <v>2302</v>
      </c>
      <c r="B1668" t="s">
        <v>2288</v>
      </c>
      <c r="C1668" t="s">
        <v>130</v>
      </c>
      <c r="D1668">
        <v>1967</v>
      </c>
      <c r="E1668" t="s">
        <v>23</v>
      </c>
      <c r="F1668" t="s">
        <v>24</v>
      </c>
      <c r="G1668" t="s">
        <v>25</v>
      </c>
      <c r="H1668" t="s">
        <v>26</v>
      </c>
      <c r="I1668">
        <v>439593</v>
      </c>
      <c r="J1668" t="s">
        <v>27</v>
      </c>
      <c r="K1668" t="s">
        <v>2301</v>
      </c>
      <c r="L1668" t="s">
        <v>21</v>
      </c>
      <c r="M1668" t="str">
        <f t="shared" si="78"/>
        <v>OK</v>
      </c>
      <c r="N1668" t="str">
        <f t="shared" si="79"/>
        <v>1960s</v>
      </c>
      <c r="O1668" t="str">
        <f t="shared" si="80"/>
        <v>N/A</v>
      </c>
      <c r="P1668" t="str">
        <f>VLOOKUP(E1668,calculated_fields!$F$4:$G$6,2,FALSE)</f>
        <v>Demographics</v>
      </c>
    </row>
    <row r="1669" spans="1:16">
      <c r="A1669" t="s">
        <v>2303</v>
      </c>
      <c r="B1669" t="s">
        <v>2288</v>
      </c>
      <c r="C1669" t="s">
        <v>130</v>
      </c>
      <c r="D1669">
        <v>1967</v>
      </c>
      <c r="E1669" t="s">
        <v>29</v>
      </c>
      <c r="F1669" t="s">
        <v>30</v>
      </c>
      <c r="G1669" t="s">
        <v>31</v>
      </c>
      <c r="H1669" t="s">
        <v>32</v>
      </c>
      <c r="I1669">
        <v>734.78291239999999</v>
      </c>
      <c r="J1669" t="s">
        <v>33</v>
      </c>
      <c r="K1669" t="s">
        <v>2301</v>
      </c>
      <c r="L1669" t="s">
        <v>21</v>
      </c>
      <c r="M1669" t="str">
        <f t="shared" si="78"/>
        <v>OK</v>
      </c>
      <c r="N1669" t="str">
        <f t="shared" si="79"/>
        <v>1960s</v>
      </c>
      <c r="O1669" t="str">
        <f t="shared" si="80"/>
        <v>N/A</v>
      </c>
      <c r="P1669" t="str">
        <f>VLOOKUP(E1669,calculated_fields!$F$4:$G$6,2,FALSE)</f>
        <v>Economy</v>
      </c>
    </row>
    <row r="1670" spans="1:16">
      <c r="A1670" t="s">
        <v>2304</v>
      </c>
      <c r="B1670" t="s">
        <v>2288</v>
      </c>
      <c r="C1670" t="s">
        <v>130</v>
      </c>
      <c r="D1670">
        <v>1972</v>
      </c>
      <c r="E1670" t="s">
        <v>15</v>
      </c>
      <c r="F1670" t="s">
        <v>16</v>
      </c>
      <c r="G1670" t="s">
        <v>17</v>
      </c>
      <c r="H1670" t="s">
        <v>18</v>
      </c>
      <c r="I1670">
        <v>38.308</v>
      </c>
      <c r="J1670" t="s">
        <v>19</v>
      </c>
      <c r="K1670" t="s">
        <v>2305</v>
      </c>
      <c r="L1670" t="s">
        <v>21</v>
      </c>
      <c r="M1670" t="str">
        <f t="shared" si="78"/>
        <v>OK</v>
      </c>
      <c r="N1670" t="str">
        <f t="shared" si="79"/>
        <v>1970s</v>
      </c>
      <c r="O1670" t="str">
        <f t="shared" si="80"/>
        <v>Low</v>
      </c>
      <c r="P1670" t="str">
        <f>VLOOKUP(E1670,calculated_fields!$F$4:$G$6,2,FALSE)</f>
        <v>Health</v>
      </c>
    </row>
    <row r="1671" spans="1:16">
      <c r="A1671" t="s">
        <v>2306</v>
      </c>
      <c r="B1671" t="s">
        <v>2288</v>
      </c>
      <c r="C1671" t="s">
        <v>130</v>
      </c>
      <c r="D1671">
        <v>1972</v>
      </c>
      <c r="E1671" t="s">
        <v>23</v>
      </c>
      <c r="F1671" t="s">
        <v>24</v>
      </c>
      <c r="G1671" t="s">
        <v>25</v>
      </c>
      <c r="H1671" t="s">
        <v>26</v>
      </c>
      <c r="I1671">
        <v>517101</v>
      </c>
      <c r="J1671" t="s">
        <v>27</v>
      </c>
      <c r="K1671" t="s">
        <v>2305</v>
      </c>
      <c r="L1671" t="s">
        <v>21</v>
      </c>
      <c r="M1671" t="str">
        <f t="shared" si="78"/>
        <v>OK</v>
      </c>
      <c r="N1671" t="str">
        <f t="shared" si="79"/>
        <v>1970s</v>
      </c>
      <c r="O1671" t="str">
        <f t="shared" si="80"/>
        <v>N/A</v>
      </c>
      <c r="P1671" t="str">
        <f>VLOOKUP(E1671,calculated_fields!$F$4:$G$6,2,FALSE)</f>
        <v>Demographics</v>
      </c>
    </row>
    <row r="1672" spans="1:16">
      <c r="A1672" t="s">
        <v>2307</v>
      </c>
      <c r="B1672" t="s">
        <v>2288</v>
      </c>
      <c r="C1672" t="s">
        <v>130</v>
      </c>
      <c r="D1672">
        <v>1972</v>
      </c>
      <c r="E1672" t="s">
        <v>29</v>
      </c>
      <c r="F1672" t="s">
        <v>30</v>
      </c>
      <c r="G1672" t="s">
        <v>31</v>
      </c>
      <c r="H1672" t="s">
        <v>32</v>
      </c>
      <c r="I1672">
        <v>756.08683629999996</v>
      </c>
      <c r="J1672" t="s">
        <v>33</v>
      </c>
      <c r="K1672" t="s">
        <v>2305</v>
      </c>
      <c r="L1672" t="s">
        <v>21</v>
      </c>
      <c r="M1672" t="str">
        <f t="shared" si="78"/>
        <v>OK</v>
      </c>
      <c r="N1672" t="str">
        <f t="shared" si="79"/>
        <v>1970s</v>
      </c>
      <c r="O1672" t="str">
        <f t="shared" si="80"/>
        <v>N/A</v>
      </c>
      <c r="P1672" t="str">
        <f>VLOOKUP(E1672,calculated_fields!$F$4:$G$6,2,FALSE)</f>
        <v>Economy</v>
      </c>
    </row>
    <row r="1673" spans="1:16">
      <c r="A1673" t="s">
        <v>2308</v>
      </c>
      <c r="B1673" t="s">
        <v>2288</v>
      </c>
      <c r="C1673" t="s">
        <v>130</v>
      </c>
      <c r="D1673">
        <v>1977</v>
      </c>
      <c r="E1673" t="s">
        <v>15</v>
      </c>
      <c r="F1673" t="s">
        <v>16</v>
      </c>
      <c r="G1673" t="s">
        <v>17</v>
      </c>
      <c r="H1673" t="s">
        <v>18</v>
      </c>
      <c r="I1673">
        <v>41.841999999999999</v>
      </c>
      <c r="J1673" t="s">
        <v>19</v>
      </c>
      <c r="K1673" t="s">
        <v>2309</v>
      </c>
      <c r="L1673" t="s">
        <v>21</v>
      </c>
      <c r="M1673" t="str">
        <f t="shared" si="78"/>
        <v>OK</v>
      </c>
      <c r="N1673" t="str">
        <f t="shared" si="79"/>
        <v>1970s</v>
      </c>
      <c r="O1673" t="str">
        <f t="shared" si="80"/>
        <v>Low</v>
      </c>
      <c r="P1673" t="str">
        <f>VLOOKUP(E1673,calculated_fields!$F$4:$G$6,2,FALSE)</f>
        <v>Health</v>
      </c>
    </row>
    <row r="1674" spans="1:16">
      <c r="A1674" t="s">
        <v>2310</v>
      </c>
      <c r="B1674" t="s">
        <v>2288</v>
      </c>
      <c r="C1674" t="s">
        <v>130</v>
      </c>
      <c r="D1674">
        <v>1977</v>
      </c>
      <c r="E1674" t="s">
        <v>23</v>
      </c>
      <c r="F1674" t="s">
        <v>24</v>
      </c>
      <c r="G1674" t="s">
        <v>25</v>
      </c>
      <c r="H1674" t="s">
        <v>26</v>
      </c>
      <c r="I1674">
        <v>608274</v>
      </c>
      <c r="J1674" t="s">
        <v>27</v>
      </c>
      <c r="K1674" t="s">
        <v>2309</v>
      </c>
      <c r="L1674" t="s">
        <v>21</v>
      </c>
      <c r="M1674" t="str">
        <f t="shared" si="78"/>
        <v>OK</v>
      </c>
      <c r="N1674" t="str">
        <f t="shared" si="79"/>
        <v>1970s</v>
      </c>
      <c r="O1674" t="str">
        <f t="shared" si="80"/>
        <v>N/A</v>
      </c>
      <c r="P1674" t="str">
        <f>VLOOKUP(E1674,calculated_fields!$F$4:$G$6,2,FALSE)</f>
        <v>Demographics</v>
      </c>
    </row>
    <row r="1675" spans="1:16">
      <c r="A1675" t="s">
        <v>2311</v>
      </c>
      <c r="B1675" t="s">
        <v>2288</v>
      </c>
      <c r="C1675" t="s">
        <v>130</v>
      </c>
      <c r="D1675">
        <v>1977</v>
      </c>
      <c r="E1675" t="s">
        <v>29</v>
      </c>
      <c r="F1675" t="s">
        <v>30</v>
      </c>
      <c r="G1675" t="s">
        <v>31</v>
      </c>
      <c r="H1675" t="s">
        <v>32</v>
      </c>
      <c r="I1675">
        <v>884.75525070000003</v>
      </c>
      <c r="J1675" t="s">
        <v>33</v>
      </c>
      <c r="K1675" t="s">
        <v>2309</v>
      </c>
      <c r="L1675" t="s">
        <v>21</v>
      </c>
      <c r="M1675" t="str">
        <f t="shared" si="78"/>
        <v>OK</v>
      </c>
      <c r="N1675" t="str">
        <f t="shared" si="79"/>
        <v>1970s</v>
      </c>
      <c r="O1675" t="str">
        <f t="shared" si="80"/>
        <v>N/A</v>
      </c>
      <c r="P1675" t="str">
        <f>VLOOKUP(E1675,calculated_fields!$F$4:$G$6,2,FALSE)</f>
        <v>Economy</v>
      </c>
    </row>
    <row r="1676" spans="1:16">
      <c r="A1676" t="s">
        <v>2312</v>
      </c>
      <c r="B1676" t="s">
        <v>2288</v>
      </c>
      <c r="C1676" t="s">
        <v>130</v>
      </c>
      <c r="D1676">
        <v>1982</v>
      </c>
      <c r="E1676" t="s">
        <v>15</v>
      </c>
      <c r="F1676" t="s">
        <v>16</v>
      </c>
      <c r="G1676" t="s">
        <v>17</v>
      </c>
      <c r="H1676" t="s">
        <v>18</v>
      </c>
      <c r="I1676">
        <v>45.58</v>
      </c>
      <c r="J1676" t="s">
        <v>19</v>
      </c>
      <c r="K1676" t="s">
        <v>2313</v>
      </c>
      <c r="L1676" t="s">
        <v>21</v>
      </c>
      <c r="M1676" t="str">
        <f t="shared" si="78"/>
        <v>OK</v>
      </c>
      <c r="N1676" t="str">
        <f t="shared" si="79"/>
        <v>1980s</v>
      </c>
      <c r="O1676" t="str">
        <f t="shared" si="80"/>
        <v>Low</v>
      </c>
      <c r="P1676" t="str">
        <f>VLOOKUP(E1676,calculated_fields!$F$4:$G$6,2,FALSE)</f>
        <v>Health</v>
      </c>
    </row>
    <row r="1677" spans="1:16">
      <c r="A1677" t="s">
        <v>2314</v>
      </c>
      <c r="B1677" t="s">
        <v>2288</v>
      </c>
      <c r="C1677" t="s">
        <v>130</v>
      </c>
      <c r="D1677">
        <v>1982</v>
      </c>
      <c r="E1677" t="s">
        <v>23</v>
      </c>
      <c r="F1677" t="s">
        <v>24</v>
      </c>
      <c r="G1677" t="s">
        <v>25</v>
      </c>
      <c r="H1677" t="s">
        <v>26</v>
      </c>
      <c r="I1677">
        <v>715523</v>
      </c>
      <c r="J1677" t="s">
        <v>27</v>
      </c>
      <c r="K1677" t="s">
        <v>2313</v>
      </c>
      <c r="L1677" t="s">
        <v>21</v>
      </c>
      <c r="M1677" t="str">
        <f t="shared" si="78"/>
        <v>OK</v>
      </c>
      <c r="N1677" t="str">
        <f t="shared" si="79"/>
        <v>1980s</v>
      </c>
      <c r="O1677" t="str">
        <f t="shared" si="80"/>
        <v>N/A</v>
      </c>
      <c r="P1677" t="str">
        <f>VLOOKUP(E1677,calculated_fields!$F$4:$G$6,2,FALSE)</f>
        <v>Demographics</v>
      </c>
    </row>
    <row r="1678" spans="1:16">
      <c r="A1678" t="s">
        <v>2315</v>
      </c>
      <c r="B1678" t="s">
        <v>2288</v>
      </c>
      <c r="C1678" t="s">
        <v>130</v>
      </c>
      <c r="D1678">
        <v>1982</v>
      </c>
      <c r="E1678" t="s">
        <v>29</v>
      </c>
      <c r="F1678" t="s">
        <v>30</v>
      </c>
      <c r="G1678" t="s">
        <v>31</v>
      </c>
      <c r="H1678" t="s">
        <v>32</v>
      </c>
      <c r="I1678">
        <v>835.80961079999895</v>
      </c>
      <c r="J1678" t="s">
        <v>33</v>
      </c>
      <c r="K1678" t="s">
        <v>2313</v>
      </c>
      <c r="L1678" t="s">
        <v>21</v>
      </c>
      <c r="M1678" t="str">
        <f t="shared" si="78"/>
        <v>OK</v>
      </c>
      <c r="N1678" t="str">
        <f t="shared" si="79"/>
        <v>1980s</v>
      </c>
      <c r="O1678" t="str">
        <f t="shared" si="80"/>
        <v>N/A</v>
      </c>
      <c r="P1678" t="str">
        <f>VLOOKUP(E1678,calculated_fields!$F$4:$G$6,2,FALSE)</f>
        <v>Economy</v>
      </c>
    </row>
    <row r="1679" spans="1:16">
      <c r="A1679" t="s">
        <v>2316</v>
      </c>
      <c r="B1679" t="s">
        <v>2288</v>
      </c>
      <c r="C1679" t="s">
        <v>130</v>
      </c>
      <c r="D1679">
        <v>1987</v>
      </c>
      <c r="E1679" t="s">
        <v>15</v>
      </c>
      <c r="F1679" t="s">
        <v>16</v>
      </c>
      <c r="G1679" t="s">
        <v>17</v>
      </c>
      <c r="H1679" t="s">
        <v>18</v>
      </c>
      <c r="I1679">
        <v>49.265000000000001</v>
      </c>
      <c r="J1679" t="s">
        <v>19</v>
      </c>
      <c r="K1679" t="s">
        <v>2317</v>
      </c>
      <c r="L1679" t="s">
        <v>21</v>
      </c>
      <c r="M1679" t="str">
        <f t="shared" si="78"/>
        <v>OK</v>
      </c>
      <c r="N1679" t="str">
        <f t="shared" si="79"/>
        <v>1980s</v>
      </c>
      <c r="O1679" t="str">
        <f t="shared" si="80"/>
        <v>Low</v>
      </c>
      <c r="P1679" t="str">
        <f>VLOOKUP(E1679,calculated_fields!$F$4:$G$6,2,FALSE)</f>
        <v>Health</v>
      </c>
    </row>
    <row r="1680" spans="1:16">
      <c r="A1680" t="s">
        <v>2318</v>
      </c>
      <c r="B1680" t="s">
        <v>2288</v>
      </c>
      <c r="C1680" t="s">
        <v>130</v>
      </c>
      <c r="D1680">
        <v>1987</v>
      </c>
      <c r="E1680" t="s">
        <v>23</v>
      </c>
      <c r="F1680" t="s">
        <v>24</v>
      </c>
      <c r="G1680" t="s">
        <v>25</v>
      </c>
      <c r="H1680" t="s">
        <v>26</v>
      </c>
      <c r="I1680">
        <v>848406</v>
      </c>
      <c r="J1680" t="s">
        <v>27</v>
      </c>
      <c r="K1680" t="s">
        <v>2317</v>
      </c>
      <c r="L1680" t="s">
        <v>21</v>
      </c>
      <c r="M1680" t="str">
        <f t="shared" si="78"/>
        <v>OK</v>
      </c>
      <c r="N1680" t="str">
        <f t="shared" si="79"/>
        <v>1980s</v>
      </c>
      <c r="O1680" t="str">
        <f t="shared" si="80"/>
        <v>N/A</v>
      </c>
      <c r="P1680" t="str">
        <f>VLOOKUP(E1680,calculated_fields!$F$4:$G$6,2,FALSE)</f>
        <v>Demographics</v>
      </c>
    </row>
    <row r="1681" spans="1:16">
      <c r="A1681" t="s">
        <v>2319</v>
      </c>
      <c r="B1681" t="s">
        <v>2288</v>
      </c>
      <c r="C1681" t="s">
        <v>130</v>
      </c>
      <c r="D1681">
        <v>1987</v>
      </c>
      <c r="E1681" t="s">
        <v>29</v>
      </c>
      <c r="F1681" t="s">
        <v>30</v>
      </c>
      <c r="G1681" t="s">
        <v>31</v>
      </c>
      <c r="H1681" t="s">
        <v>32</v>
      </c>
      <c r="I1681">
        <v>611.65886109999997</v>
      </c>
      <c r="J1681" t="s">
        <v>33</v>
      </c>
      <c r="K1681" t="s">
        <v>2317</v>
      </c>
      <c r="L1681" t="s">
        <v>21</v>
      </c>
      <c r="M1681" t="str">
        <f t="shared" si="78"/>
        <v>OK</v>
      </c>
      <c r="N1681" t="str">
        <f t="shared" si="79"/>
        <v>1980s</v>
      </c>
      <c r="O1681" t="str">
        <f t="shared" si="80"/>
        <v>N/A</v>
      </c>
      <c r="P1681" t="str">
        <f>VLOOKUP(E1681,calculated_fields!$F$4:$G$6,2,FALSE)</f>
        <v>Economy</v>
      </c>
    </row>
    <row r="1682" spans="1:16">
      <c r="A1682" t="s">
        <v>2320</v>
      </c>
      <c r="B1682" t="s">
        <v>2288</v>
      </c>
      <c r="C1682" t="s">
        <v>130</v>
      </c>
      <c r="D1682">
        <v>1992</v>
      </c>
      <c r="E1682" t="s">
        <v>15</v>
      </c>
      <c r="F1682" t="s">
        <v>16</v>
      </c>
      <c r="G1682" t="s">
        <v>17</v>
      </c>
      <c r="H1682" t="s">
        <v>18</v>
      </c>
      <c r="I1682">
        <v>52.643999999999998</v>
      </c>
      <c r="J1682" t="s">
        <v>19</v>
      </c>
      <c r="K1682" t="s">
        <v>2321</v>
      </c>
      <c r="L1682" t="s">
        <v>21</v>
      </c>
      <c r="M1682" t="str">
        <f t="shared" si="78"/>
        <v>OK</v>
      </c>
      <c r="N1682" t="str">
        <f t="shared" si="79"/>
        <v>1990s</v>
      </c>
      <c r="O1682" t="str">
        <f t="shared" si="80"/>
        <v>Low</v>
      </c>
      <c r="P1682" t="str">
        <f>VLOOKUP(E1682,calculated_fields!$F$4:$G$6,2,FALSE)</f>
        <v>Health</v>
      </c>
    </row>
    <row r="1683" spans="1:16">
      <c r="A1683" t="s">
        <v>2322</v>
      </c>
      <c r="B1683" t="s">
        <v>2288</v>
      </c>
      <c r="C1683" t="s">
        <v>130</v>
      </c>
      <c r="D1683">
        <v>1992</v>
      </c>
      <c r="E1683" t="s">
        <v>23</v>
      </c>
      <c r="F1683" t="s">
        <v>24</v>
      </c>
      <c r="G1683" t="s">
        <v>25</v>
      </c>
      <c r="H1683" t="s">
        <v>26</v>
      </c>
      <c r="I1683">
        <v>1025384</v>
      </c>
      <c r="J1683" t="s">
        <v>27</v>
      </c>
      <c r="K1683" t="s">
        <v>2321</v>
      </c>
      <c r="L1683" t="s">
        <v>21</v>
      </c>
      <c r="M1683" t="str">
        <f t="shared" si="78"/>
        <v>OK</v>
      </c>
      <c r="N1683" t="str">
        <f t="shared" si="79"/>
        <v>1990s</v>
      </c>
      <c r="O1683" t="str">
        <f t="shared" si="80"/>
        <v>N/A</v>
      </c>
      <c r="P1683" t="str">
        <f>VLOOKUP(E1683,calculated_fields!$F$4:$G$6,2,FALSE)</f>
        <v>Demographics</v>
      </c>
    </row>
    <row r="1684" spans="1:16">
      <c r="A1684" t="s">
        <v>2323</v>
      </c>
      <c r="B1684" t="s">
        <v>2288</v>
      </c>
      <c r="C1684" t="s">
        <v>130</v>
      </c>
      <c r="D1684">
        <v>1992</v>
      </c>
      <c r="E1684" t="s">
        <v>29</v>
      </c>
      <c r="F1684" t="s">
        <v>30</v>
      </c>
      <c r="G1684" t="s">
        <v>31</v>
      </c>
      <c r="H1684" t="s">
        <v>32</v>
      </c>
      <c r="I1684">
        <v>665.62441260000003</v>
      </c>
      <c r="J1684" t="s">
        <v>33</v>
      </c>
      <c r="K1684" t="s">
        <v>2321</v>
      </c>
      <c r="L1684" t="s">
        <v>21</v>
      </c>
      <c r="M1684" t="str">
        <f t="shared" si="78"/>
        <v>OK</v>
      </c>
      <c r="N1684" t="str">
        <f t="shared" si="79"/>
        <v>1990s</v>
      </c>
      <c r="O1684" t="str">
        <f t="shared" si="80"/>
        <v>N/A</v>
      </c>
      <c r="P1684" t="str">
        <f>VLOOKUP(E1684,calculated_fields!$F$4:$G$6,2,FALSE)</f>
        <v>Economy</v>
      </c>
    </row>
    <row r="1685" spans="1:16">
      <c r="A1685" t="s">
        <v>2324</v>
      </c>
      <c r="B1685" t="s">
        <v>2288</v>
      </c>
      <c r="C1685" t="s">
        <v>130</v>
      </c>
      <c r="D1685">
        <v>1997</v>
      </c>
      <c r="E1685" t="s">
        <v>15</v>
      </c>
      <c r="F1685" t="s">
        <v>16</v>
      </c>
      <c r="G1685" t="s">
        <v>17</v>
      </c>
      <c r="H1685" t="s">
        <v>18</v>
      </c>
      <c r="I1685">
        <v>55.860999999999997</v>
      </c>
      <c r="J1685" t="s">
        <v>19</v>
      </c>
      <c r="K1685" t="s">
        <v>2325</v>
      </c>
      <c r="L1685" t="s">
        <v>21</v>
      </c>
      <c r="M1685" t="str">
        <f t="shared" si="78"/>
        <v>OK</v>
      </c>
      <c r="N1685" t="str">
        <f t="shared" si="79"/>
        <v>1990s</v>
      </c>
      <c r="O1685" t="str">
        <f t="shared" si="80"/>
        <v>Medium</v>
      </c>
      <c r="P1685" t="str">
        <f>VLOOKUP(E1685,calculated_fields!$F$4:$G$6,2,FALSE)</f>
        <v>Health</v>
      </c>
    </row>
    <row r="1686" spans="1:16">
      <c r="A1686" t="s">
        <v>2326</v>
      </c>
      <c r="B1686" t="s">
        <v>2288</v>
      </c>
      <c r="C1686" t="s">
        <v>130</v>
      </c>
      <c r="D1686">
        <v>1997</v>
      </c>
      <c r="E1686" t="s">
        <v>23</v>
      </c>
      <c r="F1686" t="s">
        <v>24</v>
      </c>
      <c r="G1686" t="s">
        <v>25</v>
      </c>
      <c r="H1686" t="s">
        <v>26</v>
      </c>
      <c r="I1686">
        <v>1235767</v>
      </c>
      <c r="J1686" t="s">
        <v>27</v>
      </c>
      <c r="K1686" t="s">
        <v>2325</v>
      </c>
      <c r="L1686" t="s">
        <v>21</v>
      </c>
      <c r="M1686" t="str">
        <f t="shared" si="78"/>
        <v>OK</v>
      </c>
      <c r="N1686" t="str">
        <f t="shared" si="79"/>
        <v>1990s</v>
      </c>
      <c r="O1686" t="str">
        <f t="shared" si="80"/>
        <v>N/A</v>
      </c>
      <c r="P1686" t="str">
        <f>VLOOKUP(E1686,calculated_fields!$F$4:$G$6,2,FALSE)</f>
        <v>Demographics</v>
      </c>
    </row>
    <row r="1687" spans="1:16">
      <c r="A1687" t="s">
        <v>2327</v>
      </c>
      <c r="B1687" t="s">
        <v>2288</v>
      </c>
      <c r="C1687" t="s">
        <v>130</v>
      </c>
      <c r="D1687">
        <v>1997</v>
      </c>
      <c r="E1687" t="s">
        <v>29</v>
      </c>
      <c r="F1687" t="s">
        <v>30</v>
      </c>
      <c r="G1687" t="s">
        <v>31</v>
      </c>
      <c r="H1687" t="s">
        <v>32</v>
      </c>
      <c r="I1687">
        <v>653.73017040000002</v>
      </c>
      <c r="J1687" t="s">
        <v>33</v>
      </c>
      <c r="K1687" t="s">
        <v>2325</v>
      </c>
      <c r="L1687" t="s">
        <v>21</v>
      </c>
      <c r="M1687" t="str">
        <f t="shared" si="78"/>
        <v>OK</v>
      </c>
      <c r="N1687" t="str">
        <f t="shared" si="79"/>
        <v>1990s</v>
      </c>
      <c r="O1687" t="str">
        <f t="shared" si="80"/>
        <v>N/A</v>
      </c>
      <c r="P1687" t="str">
        <f>VLOOKUP(E1687,calculated_fields!$F$4:$G$6,2,FALSE)</f>
        <v>Economy</v>
      </c>
    </row>
    <row r="1688" spans="1:16">
      <c r="A1688" t="s">
        <v>2328</v>
      </c>
      <c r="B1688" t="s">
        <v>2288</v>
      </c>
      <c r="C1688" t="s">
        <v>130</v>
      </c>
      <c r="D1688">
        <v>2002</v>
      </c>
      <c r="E1688" t="s">
        <v>15</v>
      </c>
      <c r="F1688" t="s">
        <v>16</v>
      </c>
      <c r="G1688" t="s">
        <v>17</v>
      </c>
      <c r="H1688" t="s">
        <v>18</v>
      </c>
      <c r="I1688">
        <v>58.040999999999997</v>
      </c>
      <c r="J1688" t="s">
        <v>19</v>
      </c>
      <c r="K1688" t="s">
        <v>2329</v>
      </c>
      <c r="L1688" t="s">
        <v>21</v>
      </c>
      <c r="M1688" t="str">
        <f t="shared" si="78"/>
        <v>OK</v>
      </c>
      <c r="N1688" t="str">
        <f t="shared" si="79"/>
        <v>2000s</v>
      </c>
      <c r="O1688" t="str">
        <f t="shared" si="80"/>
        <v>Medium</v>
      </c>
      <c r="P1688" t="str">
        <f>VLOOKUP(E1688,calculated_fields!$F$4:$G$6,2,FALSE)</f>
        <v>Health</v>
      </c>
    </row>
    <row r="1689" spans="1:16">
      <c r="A1689" t="s">
        <v>2330</v>
      </c>
      <c r="B1689" t="s">
        <v>2288</v>
      </c>
      <c r="C1689" t="s">
        <v>130</v>
      </c>
      <c r="D1689">
        <v>2002</v>
      </c>
      <c r="E1689" t="s">
        <v>23</v>
      </c>
      <c r="F1689" t="s">
        <v>24</v>
      </c>
      <c r="G1689" t="s">
        <v>25</v>
      </c>
      <c r="H1689" t="s">
        <v>26</v>
      </c>
      <c r="I1689">
        <v>1457766</v>
      </c>
      <c r="J1689" t="s">
        <v>27</v>
      </c>
      <c r="K1689" t="s">
        <v>2329</v>
      </c>
      <c r="L1689" t="s">
        <v>21</v>
      </c>
      <c r="M1689" t="str">
        <f t="shared" si="78"/>
        <v>OK</v>
      </c>
      <c r="N1689" t="str">
        <f t="shared" si="79"/>
        <v>2000s</v>
      </c>
      <c r="O1689" t="str">
        <f t="shared" si="80"/>
        <v>N/A</v>
      </c>
      <c r="P1689" t="str">
        <f>VLOOKUP(E1689,calculated_fields!$F$4:$G$6,2,FALSE)</f>
        <v>Demographics</v>
      </c>
    </row>
    <row r="1690" spans="1:16">
      <c r="A1690" t="s">
        <v>2331</v>
      </c>
      <c r="B1690" t="s">
        <v>2288</v>
      </c>
      <c r="C1690" t="s">
        <v>130</v>
      </c>
      <c r="D1690">
        <v>2002</v>
      </c>
      <c r="E1690" t="s">
        <v>29</v>
      </c>
      <c r="F1690" t="s">
        <v>30</v>
      </c>
      <c r="G1690" t="s">
        <v>31</v>
      </c>
      <c r="H1690" t="s">
        <v>32</v>
      </c>
      <c r="I1690">
        <v>660.58559969999999</v>
      </c>
      <c r="J1690" t="s">
        <v>33</v>
      </c>
      <c r="K1690" t="s">
        <v>2329</v>
      </c>
      <c r="L1690" t="s">
        <v>21</v>
      </c>
      <c r="M1690" t="str">
        <f t="shared" si="78"/>
        <v>OK</v>
      </c>
      <c r="N1690" t="str">
        <f t="shared" si="79"/>
        <v>2000s</v>
      </c>
      <c r="O1690" t="str">
        <f t="shared" si="80"/>
        <v>N/A</v>
      </c>
      <c r="P1690" t="str">
        <f>VLOOKUP(E1690,calculated_fields!$F$4:$G$6,2,FALSE)</f>
        <v>Economy</v>
      </c>
    </row>
    <row r="1691" spans="1:16">
      <c r="A1691" t="s">
        <v>2332</v>
      </c>
      <c r="B1691" t="s">
        <v>2288</v>
      </c>
      <c r="C1691" t="s">
        <v>130</v>
      </c>
      <c r="D1691">
        <v>2007</v>
      </c>
      <c r="E1691" t="s">
        <v>15</v>
      </c>
      <c r="F1691" t="s">
        <v>16</v>
      </c>
      <c r="G1691" t="s">
        <v>17</v>
      </c>
      <c r="H1691" t="s">
        <v>18</v>
      </c>
      <c r="I1691">
        <v>59.448</v>
      </c>
      <c r="J1691" t="s">
        <v>19</v>
      </c>
      <c r="K1691" t="s">
        <v>2333</v>
      </c>
      <c r="L1691" t="s">
        <v>21</v>
      </c>
      <c r="M1691" t="str">
        <f t="shared" si="78"/>
        <v>OK</v>
      </c>
      <c r="N1691" t="str">
        <f t="shared" si="79"/>
        <v>2000s</v>
      </c>
      <c r="O1691" t="str">
        <f t="shared" si="80"/>
        <v>Medium</v>
      </c>
      <c r="P1691" t="str">
        <f>VLOOKUP(E1691,calculated_fields!$F$4:$G$6,2,FALSE)</f>
        <v>Health</v>
      </c>
    </row>
    <row r="1692" spans="1:16">
      <c r="A1692" t="s">
        <v>2334</v>
      </c>
      <c r="B1692" t="s">
        <v>2288</v>
      </c>
      <c r="C1692" t="s">
        <v>130</v>
      </c>
      <c r="D1692">
        <v>2007</v>
      </c>
      <c r="E1692" t="s">
        <v>23</v>
      </c>
      <c r="F1692" t="s">
        <v>24</v>
      </c>
      <c r="G1692" t="s">
        <v>25</v>
      </c>
      <c r="H1692" t="s">
        <v>26</v>
      </c>
      <c r="I1692">
        <v>1688359</v>
      </c>
      <c r="J1692" t="s">
        <v>27</v>
      </c>
      <c r="K1692" t="s">
        <v>2333</v>
      </c>
      <c r="L1692" t="s">
        <v>21</v>
      </c>
      <c r="M1692" t="str">
        <f t="shared" si="78"/>
        <v>OK</v>
      </c>
      <c r="N1692" t="str">
        <f t="shared" si="79"/>
        <v>2000s</v>
      </c>
      <c r="O1692" t="str">
        <f t="shared" si="80"/>
        <v>N/A</v>
      </c>
      <c r="P1692" t="str">
        <f>VLOOKUP(E1692,calculated_fields!$F$4:$G$6,2,FALSE)</f>
        <v>Demographics</v>
      </c>
    </row>
    <row r="1693" spans="1:16">
      <c r="A1693" t="s">
        <v>2335</v>
      </c>
      <c r="B1693" t="s">
        <v>2288</v>
      </c>
      <c r="C1693" t="s">
        <v>130</v>
      </c>
      <c r="D1693">
        <v>2007</v>
      </c>
      <c r="E1693" t="s">
        <v>29</v>
      </c>
      <c r="F1693" t="s">
        <v>30</v>
      </c>
      <c r="G1693" t="s">
        <v>31</v>
      </c>
      <c r="H1693" t="s">
        <v>32</v>
      </c>
      <c r="I1693">
        <v>752.74972649999995</v>
      </c>
      <c r="J1693" t="s">
        <v>33</v>
      </c>
      <c r="K1693" t="s">
        <v>2333</v>
      </c>
      <c r="L1693" t="s">
        <v>21</v>
      </c>
      <c r="M1693" t="str">
        <f t="shared" si="78"/>
        <v>OK</v>
      </c>
      <c r="N1693" t="str">
        <f t="shared" si="79"/>
        <v>2000s</v>
      </c>
      <c r="O1693" t="str">
        <f t="shared" si="80"/>
        <v>N/A</v>
      </c>
      <c r="P1693" t="str">
        <f>VLOOKUP(E1693,calculated_fields!$F$4:$G$6,2,FALSE)</f>
        <v>Economy</v>
      </c>
    </row>
    <row r="1694" spans="1:16">
      <c r="A1694" t="s">
        <v>2336</v>
      </c>
      <c r="B1694" t="s">
        <v>2337</v>
      </c>
      <c r="C1694" t="s">
        <v>80</v>
      </c>
      <c r="D1694">
        <v>1952</v>
      </c>
      <c r="E1694" t="s">
        <v>15</v>
      </c>
      <c r="F1694" t="s">
        <v>16</v>
      </c>
      <c r="G1694" t="s">
        <v>17</v>
      </c>
      <c r="H1694" t="s">
        <v>18</v>
      </c>
      <c r="I1694">
        <v>67.5</v>
      </c>
      <c r="J1694" t="s">
        <v>19</v>
      </c>
      <c r="K1694" t="s">
        <v>2338</v>
      </c>
      <c r="L1694" t="s">
        <v>21</v>
      </c>
      <c r="M1694" t="str">
        <f t="shared" si="78"/>
        <v>OK</v>
      </c>
      <c r="N1694" t="str">
        <f t="shared" si="79"/>
        <v>1950s</v>
      </c>
      <c r="O1694" t="str">
        <f t="shared" si="80"/>
        <v>Medium</v>
      </c>
      <c r="P1694" t="str">
        <f>VLOOKUP(E1694,calculated_fields!$F$4:$G$6,2,FALSE)</f>
        <v>Health</v>
      </c>
    </row>
    <row r="1695" spans="1:16">
      <c r="A1695" t="s">
        <v>2339</v>
      </c>
      <c r="B1695" t="s">
        <v>2337</v>
      </c>
      <c r="C1695" t="s">
        <v>80</v>
      </c>
      <c r="D1695">
        <v>1952</v>
      </c>
      <c r="E1695" t="s">
        <v>23</v>
      </c>
      <c r="F1695" t="s">
        <v>24</v>
      </c>
      <c r="G1695" t="s">
        <v>25</v>
      </c>
      <c r="H1695" t="s">
        <v>26</v>
      </c>
      <c r="I1695">
        <v>69145952</v>
      </c>
      <c r="J1695" t="s">
        <v>27</v>
      </c>
      <c r="K1695" t="s">
        <v>2338</v>
      </c>
      <c r="L1695" t="s">
        <v>21</v>
      </c>
      <c r="M1695" t="str">
        <f t="shared" si="78"/>
        <v>OK</v>
      </c>
      <c r="N1695" t="str">
        <f t="shared" si="79"/>
        <v>1950s</v>
      </c>
      <c r="O1695" t="str">
        <f t="shared" si="80"/>
        <v>N/A</v>
      </c>
      <c r="P1695" t="str">
        <f>VLOOKUP(E1695,calculated_fields!$F$4:$G$6,2,FALSE)</f>
        <v>Demographics</v>
      </c>
    </row>
    <row r="1696" spans="1:16">
      <c r="A1696" t="s">
        <v>2340</v>
      </c>
      <c r="B1696" t="s">
        <v>2337</v>
      </c>
      <c r="C1696" t="s">
        <v>80</v>
      </c>
      <c r="D1696">
        <v>1952</v>
      </c>
      <c r="E1696" t="s">
        <v>29</v>
      </c>
      <c r="F1696" t="s">
        <v>30</v>
      </c>
      <c r="G1696" t="s">
        <v>31</v>
      </c>
      <c r="H1696" t="s">
        <v>32</v>
      </c>
      <c r="I1696">
        <v>7144.1143929999998</v>
      </c>
      <c r="J1696" t="s">
        <v>33</v>
      </c>
      <c r="K1696" t="s">
        <v>2338</v>
      </c>
      <c r="L1696" t="s">
        <v>21</v>
      </c>
      <c r="M1696" t="str">
        <f t="shared" si="78"/>
        <v>OK</v>
      </c>
      <c r="N1696" t="str">
        <f t="shared" si="79"/>
        <v>1950s</v>
      </c>
      <c r="O1696" t="str">
        <f t="shared" si="80"/>
        <v>N/A</v>
      </c>
      <c r="P1696" t="str">
        <f>VLOOKUP(E1696,calculated_fields!$F$4:$G$6,2,FALSE)</f>
        <v>Economy</v>
      </c>
    </row>
    <row r="1697" spans="1:16">
      <c r="A1697" t="s">
        <v>2341</v>
      </c>
      <c r="B1697" t="s">
        <v>2337</v>
      </c>
      <c r="C1697" t="s">
        <v>80</v>
      </c>
      <c r="D1697">
        <v>1957</v>
      </c>
      <c r="E1697" t="s">
        <v>15</v>
      </c>
      <c r="F1697" t="s">
        <v>16</v>
      </c>
      <c r="G1697" t="s">
        <v>17</v>
      </c>
      <c r="H1697" t="s">
        <v>18</v>
      </c>
      <c r="I1697">
        <v>69.099999999999994</v>
      </c>
      <c r="J1697" t="s">
        <v>19</v>
      </c>
      <c r="K1697" t="s">
        <v>2342</v>
      </c>
      <c r="L1697" t="s">
        <v>21</v>
      </c>
      <c r="M1697" t="str">
        <f t="shared" si="78"/>
        <v>OK</v>
      </c>
      <c r="N1697" t="str">
        <f t="shared" si="79"/>
        <v>1950s</v>
      </c>
      <c r="O1697" t="str">
        <f t="shared" si="80"/>
        <v>Medium</v>
      </c>
      <c r="P1697" t="str">
        <f>VLOOKUP(E1697,calculated_fields!$F$4:$G$6,2,FALSE)</f>
        <v>Health</v>
      </c>
    </row>
    <row r="1698" spans="1:16">
      <c r="A1698" t="s">
        <v>2343</v>
      </c>
      <c r="B1698" t="s">
        <v>2337</v>
      </c>
      <c r="C1698" t="s">
        <v>80</v>
      </c>
      <c r="D1698">
        <v>1957</v>
      </c>
      <c r="E1698" t="s">
        <v>23</v>
      </c>
      <c r="F1698" t="s">
        <v>24</v>
      </c>
      <c r="G1698" t="s">
        <v>25</v>
      </c>
      <c r="H1698" t="s">
        <v>26</v>
      </c>
      <c r="I1698">
        <v>71019069</v>
      </c>
      <c r="J1698" t="s">
        <v>27</v>
      </c>
      <c r="K1698" t="s">
        <v>2342</v>
      </c>
      <c r="L1698" t="s">
        <v>21</v>
      </c>
      <c r="M1698" t="str">
        <f t="shared" si="78"/>
        <v>OK</v>
      </c>
      <c r="N1698" t="str">
        <f t="shared" si="79"/>
        <v>1950s</v>
      </c>
      <c r="O1698" t="str">
        <f t="shared" si="80"/>
        <v>N/A</v>
      </c>
      <c r="P1698" t="str">
        <f>VLOOKUP(E1698,calculated_fields!$F$4:$G$6,2,FALSE)</f>
        <v>Demographics</v>
      </c>
    </row>
    <row r="1699" spans="1:16">
      <c r="A1699" t="s">
        <v>2344</v>
      </c>
      <c r="B1699" t="s">
        <v>2337</v>
      </c>
      <c r="C1699" t="s">
        <v>80</v>
      </c>
      <c r="D1699">
        <v>1957</v>
      </c>
      <c r="E1699" t="s">
        <v>29</v>
      </c>
      <c r="F1699" t="s">
        <v>30</v>
      </c>
      <c r="G1699" t="s">
        <v>31</v>
      </c>
      <c r="H1699" t="s">
        <v>32</v>
      </c>
      <c r="I1699">
        <v>10187.826650000001</v>
      </c>
      <c r="J1699" t="s">
        <v>33</v>
      </c>
      <c r="K1699" t="s">
        <v>2342</v>
      </c>
      <c r="L1699" t="s">
        <v>21</v>
      </c>
      <c r="M1699" t="str">
        <f t="shared" si="78"/>
        <v>OK</v>
      </c>
      <c r="N1699" t="str">
        <f t="shared" si="79"/>
        <v>1950s</v>
      </c>
      <c r="O1699" t="str">
        <f t="shared" si="80"/>
        <v>N/A</v>
      </c>
      <c r="P1699" t="str">
        <f>VLOOKUP(E1699,calculated_fields!$F$4:$G$6,2,FALSE)</f>
        <v>Economy</v>
      </c>
    </row>
    <row r="1700" spans="1:16">
      <c r="A1700" t="s">
        <v>2345</v>
      </c>
      <c r="B1700" t="s">
        <v>2337</v>
      </c>
      <c r="C1700" t="s">
        <v>80</v>
      </c>
      <c r="D1700">
        <v>1962</v>
      </c>
      <c r="E1700" t="s">
        <v>15</v>
      </c>
      <c r="F1700" t="s">
        <v>16</v>
      </c>
      <c r="G1700" t="s">
        <v>17</v>
      </c>
      <c r="H1700" t="s">
        <v>18</v>
      </c>
      <c r="I1700">
        <v>70.3</v>
      </c>
      <c r="J1700" t="s">
        <v>19</v>
      </c>
      <c r="K1700" t="s">
        <v>2346</v>
      </c>
      <c r="L1700" t="s">
        <v>21</v>
      </c>
      <c r="M1700" t="str">
        <f t="shared" si="78"/>
        <v>OK</v>
      </c>
      <c r="N1700" t="str">
        <f t="shared" si="79"/>
        <v>1960s</v>
      </c>
      <c r="O1700" t="str">
        <f t="shared" si="80"/>
        <v>High</v>
      </c>
      <c r="P1700" t="str">
        <f>VLOOKUP(E1700,calculated_fields!$F$4:$G$6,2,FALSE)</f>
        <v>Health</v>
      </c>
    </row>
    <row r="1701" spans="1:16">
      <c r="A1701" t="s">
        <v>2347</v>
      </c>
      <c r="B1701" t="s">
        <v>2337</v>
      </c>
      <c r="C1701" t="s">
        <v>80</v>
      </c>
      <c r="D1701">
        <v>1962</v>
      </c>
      <c r="E1701" t="s">
        <v>23</v>
      </c>
      <c r="F1701" t="s">
        <v>24</v>
      </c>
      <c r="G1701" t="s">
        <v>25</v>
      </c>
      <c r="H1701" t="s">
        <v>26</v>
      </c>
      <c r="I1701">
        <v>73739117</v>
      </c>
      <c r="J1701" t="s">
        <v>27</v>
      </c>
      <c r="K1701" t="s">
        <v>2346</v>
      </c>
      <c r="L1701" t="s">
        <v>21</v>
      </c>
      <c r="M1701" t="str">
        <f t="shared" si="78"/>
        <v>OK</v>
      </c>
      <c r="N1701" t="str">
        <f t="shared" si="79"/>
        <v>1960s</v>
      </c>
      <c r="O1701" t="str">
        <f t="shared" si="80"/>
        <v>N/A</v>
      </c>
      <c r="P1701" t="str">
        <f>VLOOKUP(E1701,calculated_fields!$F$4:$G$6,2,FALSE)</f>
        <v>Demographics</v>
      </c>
    </row>
    <row r="1702" spans="1:16">
      <c r="A1702" t="s">
        <v>2348</v>
      </c>
      <c r="B1702" t="s">
        <v>2337</v>
      </c>
      <c r="C1702" t="s">
        <v>80</v>
      </c>
      <c r="D1702">
        <v>1962</v>
      </c>
      <c r="E1702" t="s">
        <v>29</v>
      </c>
      <c r="F1702" t="s">
        <v>30</v>
      </c>
      <c r="G1702" t="s">
        <v>31</v>
      </c>
      <c r="H1702" t="s">
        <v>32</v>
      </c>
      <c r="I1702">
        <v>12902.46291</v>
      </c>
      <c r="J1702" t="s">
        <v>33</v>
      </c>
      <c r="K1702" t="s">
        <v>2346</v>
      </c>
      <c r="L1702" t="s">
        <v>21</v>
      </c>
      <c r="M1702" t="str">
        <f t="shared" si="78"/>
        <v>OK</v>
      </c>
      <c r="N1702" t="str">
        <f t="shared" si="79"/>
        <v>1960s</v>
      </c>
      <c r="O1702" t="str">
        <f t="shared" si="80"/>
        <v>N/A</v>
      </c>
      <c r="P1702" t="str">
        <f>VLOOKUP(E1702,calculated_fields!$F$4:$G$6,2,FALSE)</f>
        <v>Economy</v>
      </c>
    </row>
    <row r="1703" spans="1:16">
      <c r="A1703" t="s">
        <v>2349</v>
      </c>
      <c r="B1703" t="s">
        <v>2337</v>
      </c>
      <c r="C1703" t="s">
        <v>80</v>
      </c>
      <c r="D1703">
        <v>1967</v>
      </c>
      <c r="E1703" t="s">
        <v>15</v>
      </c>
      <c r="F1703" t="s">
        <v>16</v>
      </c>
      <c r="G1703" t="s">
        <v>17</v>
      </c>
      <c r="H1703" t="s">
        <v>18</v>
      </c>
      <c r="I1703">
        <v>70.8</v>
      </c>
      <c r="J1703" t="s">
        <v>19</v>
      </c>
      <c r="K1703" t="s">
        <v>2350</v>
      </c>
      <c r="L1703" t="s">
        <v>21</v>
      </c>
      <c r="M1703" t="str">
        <f t="shared" si="78"/>
        <v>OK</v>
      </c>
      <c r="N1703" t="str">
        <f t="shared" si="79"/>
        <v>1960s</v>
      </c>
      <c r="O1703" t="str">
        <f t="shared" si="80"/>
        <v>High</v>
      </c>
      <c r="P1703" t="str">
        <f>VLOOKUP(E1703,calculated_fields!$F$4:$G$6,2,FALSE)</f>
        <v>Health</v>
      </c>
    </row>
    <row r="1704" spans="1:16">
      <c r="A1704" t="s">
        <v>2351</v>
      </c>
      <c r="B1704" t="s">
        <v>2337</v>
      </c>
      <c r="C1704" t="s">
        <v>80</v>
      </c>
      <c r="D1704">
        <v>1967</v>
      </c>
      <c r="E1704" t="s">
        <v>23</v>
      </c>
      <c r="F1704" t="s">
        <v>24</v>
      </c>
      <c r="G1704" t="s">
        <v>25</v>
      </c>
      <c r="H1704" t="s">
        <v>26</v>
      </c>
      <c r="I1704">
        <v>76368453</v>
      </c>
      <c r="J1704" t="s">
        <v>27</v>
      </c>
      <c r="K1704" t="s">
        <v>2350</v>
      </c>
      <c r="L1704" t="s">
        <v>21</v>
      </c>
      <c r="M1704" t="str">
        <f t="shared" si="78"/>
        <v>OK</v>
      </c>
      <c r="N1704" t="str">
        <f t="shared" si="79"/>
        <v>1960s</v>
      </c>
      <c r="O1704" t="str">
        <f t="shared" si="80"/>
        <v>N/A</v>
      </c>
      <c r="P1704" t="str">
        <f>VLOOKUP(E1704,calculated_fields!$F$4:$G$6,2,FALSE)</f>
        <v>Demographics</v>
      </c>
    </row>
    <row r="1705" spans="1:16">
      <c r="A1705" t="s">
        <v>2352</v>
      </c>
      <c r="B1705" t="s">
        <v>2337</v>
      </c>
      <c r="C1705" t="s">
        <v>80</v>
      </c>
      <c r="D1705">
        <v>1967</v>
      </c>
      <c r="E1705" t="s">
        <v>29</v>
      </c>
      <c r="F1705" t="s">
        <v>30</v>
      </c>
      <c r="G1705" t="s">
        <v>31</v>
      </c>
      <c r="H1705" t="s">
        <v>32</v>
      </c>
      <c r="I1705">
        <v>14745.625609999999</v>
      </c>
      <c r="J1705" t="s">
        <v>33</v>
      </c>
      <c r="K1705" t="s">
        <v>2350</v>
      </c>
      <c r="L1705" t="s">
        <v>21</v>
      </c>
      <c r="M1705" t="str">
        <f t="shared" si="78"/>
        <v>OK</v>
      </c>
      <c r="N1705" t="str">
        <f t="shared" si="79"/>
        <v>1960s</v>
      </c>
      <c r="O1705" t="str">
        <f t="shared" si="80"/>
        <v>N/A</v>
      </c>
      <c r="P1705" t="str">
        <f>VLOOKUP(E1705,calculated_fields!$F$4:$G$6,2,FALSE)</f>
        <v>Economy</v>
      </c>
    </row>
    <row r="1706" spans="1:16">
      <c r="A1706" t="s">
        <v>2353</v>
      </c>
      <c r="B1706" t="s">
        <v>2337</v>
      </c>
      <c r="C1706" t="s">
        <v>80</v>
      </c>
      <c r="D1706">
        <v>1972</v>
      </c>
      <c r="E1706" t="s">
        <v>15</v>
      </c>
      <c r="F1706" t="s">
        <v>16</v>
      </c>
      <c r="G1706" t="s">
        <v>17</v>
      </c>
      <c r="H1706" t="s">
        <v>18</v>
      </c>
      <c r="I1706">
        <v>71</v>
      </c>
      <c r="J1706" t="s">
        <v>19</v>
      </c>
      <c r="K1706" t="s">
        <v>2354</v>
      </c>
      <c r="L1706" t="s">
        <v>21</v>
      </c>
      <c r="M1706" t="str">
        <f t="shared" si="78"/>
        <v>OK</v>
      </c>
      <c r="N1706" t="str">
        <f t="shared" si="79"/>
        <v>1970s</v>
      </c>
      <c r="O1706" t="str">
        <f t="shared" si="80"/>
        <v>High</v>
      </c>
      <c r="P1706" t="str">
        <f>VLOOKUP(E1706,calculated_fields!$F$4:$G$6,2,FALSE)</f>
        <v>Health</v>
      </c>
    </row>
    <row r="1707" spans="1:16">
      <c r="A1707" t="s">
        <v>2355</v>
      </c>
      <c r="B1707" t="s">
        <v>2337</v>
      </c>
      <c r="C1707" t="s">
        <v>80</v>
      </c>
      <c r="D1707">
        <v>1972</v>
      </c>
      <c r="E1707" t="s">
        <v>23</v>
      </c>
      <c r="F1707" t="s">
        <v>24</v>
      </c>
      <c r="G1707" t="s">
        <v>25</v>
      </c>
      <c r="H1707" t="s">
        <v>26</v>
      </c>
      <c r="I1707">
        <v>78717088</v>
      </c>
      <c r="J1707" t="s">
        <v>27</v>
      </c>
      <c r="K1707" t="s">
        <v>2354</v>
      </c>
      <c r="L1707" t="s">
        <v>21</v>
      </c>
      <c r="M1707" t="str">
        <f t="shared" si="78"/>
        <v>OK</v>
      </c>
      <c r="N1707" t="str">
        <f t="shared" si="79"/>
        <v>1970s</v>
      </c>
      <c r="O1707" t="str">
        <f t="shared" si="80"/>
        <v>N/A</v>
      </c>
      <c r="P1707" t="str">
        <f>VLOOKUP(E1707,calculated_fields!$F$4:$G$6,2,FALSE)</f>
        <v>Demographics</v>
      </c>
    </row>
    <row r="1708" spans="1:16">
      <c r="A1708" t="s">
        <v>2356</v>
      </c>
      <c r="B1708" t="s">
        <v>2337</v>
      </c>
      <c r="C1708" t="s">
        <v>80</v>
      </c>
      <c r="D1708">
        <v>1972</v>
      </c>
      <c r="E1708" t="s">
        <v>29</v>
      </c>
      <c r="F1708" t="s">
        <v>30</v>
      </c>
      <c r="G1708" t="s">
        <v>31</v>
      </c>
      <c r="H1708" t="s">
        <v>32</v>
      </c>
      <c r="I1708">
        <v>18016.180270000001</v>
      </c>
      <c r="J1708" t="s">
        <v>33</v>
      </c>
      <c r="K1708" t="s">
        <v>2354</v>
      </c>
      <c r="L1708" t="s">
        <v>21</v>
      </c>
      <c r="M1708" t="str">
        <f t="shared" si="78"/>
        <v>OK</v>
      </c>
      <c r="N1708" t="str">
        <f t="shared" si="79"/>
        <v>1970s</v>
      </c>
      <c r="O1708" t="str">
        <f t="shared" si="80"/>
        <v>N/A</v>
      </c>
      <c r="P1708" t="str">
        <f>VLOOKUP(E1708,calculated_fields!$F$4:$G$6,2,FALSE)</f>
        <v>Economy</v>
      </c>
    </row>
    <row r="1709" spans="1:16">
      <c r="A1709" t="s">
        <v>2357</v>
      </c>
      <c r="B1709" t="s">
        <v>2337</v>
      </c>
      <c r="C1709" t="s">
        <v>80</v>
      </c>
      <c r="D1709">
        <v>1977</v>
      </c>
      <c r="E1709" t="s">
        <v>15</v>
      </c>
      <c r="F1709" t="s">
        <v>16</v>
      </c>
      <c r="G1709" t="s">
        <v>17</v>
      </c>
      <c r="H1709" t="s">
        <v>18</v>
      </c>
      <c r="I1709">
        <v>72.5</v>
      </c>
      <c r="J1709" t="s">
        <v>19</v>
      </c>
      <c r="K1709" t="s">
        <v>2358</v>
      </c>
      <c r="L1709" t="s">
        <v>21</v>
      </c>
      <c r="M1709" t="str">
        <f t="shared" si="78"/>
        <v>OK</v>
      </c>
      <c r="N1709" t="str">
        <f t="shared" si="79"/>
        <v>1970s</v>
      </c>
      <c r="O1709" t="str">
        <f t="shared" si="80"/>
        <v>High</v>
      </c>
      <c r="P1709" t="str">
        <f>VLOOKUP(E1709,calculated_fields!$F$4:$G$6,2,FALSE)</f>
        <v>Health</v>
      </c>
    </row>
    <row r="1710" spans="1:16">
      <c r="A1710" t="s">
        <v>2359</v>
      </c>
      <c r="B1710" t="s">
        <v>2337</v>
      </c>
      <c r="C1710" t="s">
        <v>80</v>
      </c>
      <c r="D1710">
        <v>1977</v>
      </c>
      <c r="E1710" t="s">
        <v>23</v>
      </c>
      <c r="F1710" t="s">
        <v>24</v>
      </c>
      <c r="G1710" t="s">
        <v>25</v>
      </c>
      <c r="H1710" t="s">
        <v>26</v>
      </c>
      <c r="I1710">
        <v>78160773</v>
      </c>
      <c r="J1710" t="s">
        <v>27</v>
      </c>
      <c r="K1710" t="s">
        <v>2358</v>
      </c>
      <c r="L1710" t="s">
        <v>21</v>
      </c>
      <c r="M1710" t="str">
        <f t="shared" si="78"/>
        <v>OK</v>
      </c>
      <c r="N1710" t="str">
        <f t="shared" si="79"/>
        <v>1970s</v>
      </c>
      <c r="O1710" t="str">
        <f t="shared" si="80"/>
        <v>N/A</v>
      </c>
      <c r="P1710" t="str">
        <f>VLOOKUP(E1710,calculated_fields!$F$4:$G$6,2,FALSE)</f>
        <v>Demographics</v>
      </c>
    </row>
    <row r="1711" spans="1:16">
      <c r="A1711" t="s">
        <v>2360</v>
      </c>
      <c r="B1711" t="s">
        <v>2337</v>
      </c>
      <c r="C1711" t="s">
        <v>80</v>
      </c>
      <c r="D1711">
        <v>1977</v>
      </c>
      <c r="E1711" t="s">
        <v>29</v>
      </c>
      <c r="F1711" t="s">
        <v>30</v>
      </c>
      <c r="G1711" t="s">
        <v>31</v>
      </c>
      <c r="H1711" t="s">
        <v>32</v>
      </c>
      <c r="I1711">
        <v>20512.92123</v>
      </c>
      <c r="J1711" t="s">
        <v>33</v>
      </c>
      <c r="K1711" t="s">
        <v>2358</v>
      </c>
      <c r="L1711" t="s">
        <v>21</v>
      </c>
      <c r="M1711" t="str">
        <f t="shared" si="78"/>
        <v>OK</v>
      </c>
      <c r="N1711" t="str">
        <f t="shared" si="79"/>
        <v>1970s</v>
      </c>
      <c r="O1711" t="str">
        <f t="shared" si="80"/>
        <v>N/A</v>
      </c>
      <c r="P1711" t="str">
        <f>VLOOKUP(E1711,calculated_fields!$F$4:$G$6,2,FALSE)</f>
        <v>Economy</v>
      </c>
    </row>
    <row r="1712" spans="1:16">
      <c r="A1712" t="s">
        <v>2361</v>
      </c>
      <c r="B1712" t="s">
        <v>2337</v>
      </c>
      <c r="C1712" t="s">
        <v>80</v>
      </c>
      <c r="D1712">
        <v>1982</v>
      </c>
      <c r="E1712" t="s">
        <v>15</v>
      </c>
      <c r="F1712" t="s">
        <v>16</v>
      </c>
      <c r="G1712" t="s">
        <v>17</v>
      </c>
      <c r="H1712" t="s">
        <v>18</v>
      </c>
      <c r="I1712">
        <v>73.8</v>
      </c>
      <c r="J1712" t="s">
        <v>19</v>
      </c>
      <c r="K1712" t="s">
        <v>2362</v>
      </c>
      <c r="L1712" t="s">
        <v>21</v>
      </c>
      <c r="M1712" t="str">
        <f t="shared" si="78"/>
        <v>OK</v>
      </c>
      <c r="N1712" t="str">
        <f t="shared" si="79"/>
        <v>1980s</v>
      </c>
      <c r="O1712" t="str">
        <f t="shared" si="80"/>
        <v>High</v>
      </c>
      <c r="P1712" t="str">
        <f>VLOOKUP(E1712,calculated_fields!$F$4:$G$6,2,FALSE)</f>
        <v>Health</v>
      </c>
    </row>
    <row r="1713" spans="1:16">
      <c r="A1713" t="s">
        <v>2363</v>
      </c>
      <c r="B1713" t="s">
        <v>2337</v>
      </c>
      <c r="C1713" t="s">
        <v>80</v>
      </c>
      <c r="D1713">
        <v>1982</v>
      </c>
      <c r="E1713" t="s">
        <v>23</v>
      </c>
      <c r="F1713" t="s">
        <v>24</v>
      </c>
      <c r="G1713" t="s">
        <v>25</v>
      </c>
      <c r="H1713" t="s">
        <v>26</v>
      </c>
      <c r="I1713">
        <v>78335266</v>
      </c>
      <c r="J1713" t="s">
        <v>27</v>
      </c>
      <c r="K1713" t="s">
        <v>2362</v>
      </c>
      <c r="L1713" t="s">
        <v>21</v>
      </c>
      <c r="M1713" t="str">
        <f t="shared" si="78"/>
        <v>OK</v>
      </c>
      <c r="N1713" t="str">
        <f t="shared" si="79"/>
        <v>1980s</v>
      </c>
      <c r="O1713" t="str">
        <f t="shared" si="80"/>
        <v>N/A</v>
      </c>
      <c r="P1713" t="str">
        <f>VLOOKUP(E1713,calculated_fields!$F$4:$G$6,2,FALSE)</f>
        <v>Demographics</v>
      </c>
    </row>
    <row r="1714" spans="1:16">
      <c r="A1714" t="s">
        <v>2364</v>
      </c>
      <c r="B1714" t="s">
        <v>2337</v>
      </c>
      <c r="C1714" t="s">
        <v>80</v>
      </c>
      <c r="D1714">
        <v>1982</v>
      </c>
      <c r="E1714" t="s">
        <v>29</v>
      </c>
      <c r="F1714" t="s">
        <v>30</v>
      </c>
      <c r="G1714" t="s">
        <v>31</v>
      </c>
      <c r="H1714" t="s">
        <v>32</v>
      </c>
      <c r="I1714">
        <v>22031.532739999999</v>
      </c>
      <c r="J1714" t="s">
        <v>33</v>
      </c>
      <c r="K1714" t="s">
        <v>2362</v>
      </c>
      <c r="L1714" t="s">
        <v>21</v>
      </c>
      <c r="M1714" t="str">
        <f t="shared" si="78"/>
        <v>OK</v>
      </c>
      <c r="N1714" t="str">
        <f t="shared" si="79"/>
        <v>1980s</v>
      </c>
      <c r="O1714" t="str">
        <f t="shared" si="80"/>
        <v>N/A</v>
      </c>
      <c r="P1714" t="str">
        <f>VLOOKUP(E1714,calculated_fields!$F$4:$G$6,2,FALSE)</f>
        <v>Economy</v>
      </c>
    </row>
    <row r="1715" spans="1:16">
      <c r="A1715" t="s">
        <v>2365</v>
      </c>
      <c r="B1715" t="s">
        <v>2337</v>
      </c>
      <c r="C1715" t="s">
        <v>80</v>
      </c>
      <c r="D1715">
        <v>1987</v>
      </c>
      <c r="E1715" t="s">
        <v>15</v>
      </c>
      <c r="F1715" t="s">
        <v>16</v>
      </c>
      <c r="G1715" t="s">
        <v>17</v>
      </c>
      <c r="H1715" t="s">
        <v>18</v>
      </c>
      <c r="I1715">
        <v>74.846999999999994</v>
      </c>
      <c r="J1715" t="s">
        <v>19</v>
      </c>
      <c r="K1715" t="s">
        <v>2366</v>
      </c>
      <c r="L1715" t="s">
        <v>21</v>
      </c>
      <c r="M1715" t="str">
        <f t="shared" si="78"/>
        <v>OK</v>
      </c>
      <c r="N1715" t="str">
        <f t="shared" si="79"/>
        <v>1980s</v>
      </c>
      <c r="O1715" t="str">
        <f t="shared" si="80"/>
        <v>High</v>
      </c>
      <c r="P1715" t="str">
        <f>VLOOKUP(E1715,calculated_fields!$F$4:$G$6,2,FALSE)</f>
        <v>Health</v>
      </c>
    </row>
    <row r="1716" spans="1:16">
      <c r="A1716" t="s">
        <v>2367</v>
      </c>
      <c r="B1716" t="s">
        <v>2337</v>
      </c>
      <c r="C1716" t="s">
        <v>80</v>
      </c>
      <c r="D1716">
        <v>1987</v>
      </c>
      <c r="E1716" t="s">
        <v>23</v>
      </c>
      <c r="F1716" t="s">
        <v>24</v>
      </c>
      <c r="G1716" t="s">
        <v>25</v>
      </c>
      <c r="H1716" t="s">
        <v>26</v>
      </c>
      <c r="I1716">
        <v>77718298</v>
      </c>
      <c r="J1716" t="s">
        <v>27</v>
      </c>
      <c r="K1716" t="s">
        <v>2366</v>
      </c>
      <c r="L1716" t="s">
        <v>21</v>
      </c>
      <c r="M1716" t="str">
        <f t="shared" si="78"/>
        <v>OK</v>
      </c>
      <c r="N1716" t="str">
        <f t="shared" si="79"/>
        <v>1980s</v>
      </c>
      <c r="O1716" t="str">
        <f t="shared" si="80"/>
        <v>N/A</v>
      </c>
      <c r="P1716" t="str">
        <f>VLOOKUP(E1716,calculated_fields!$F$4:$G$6,2,FALSE)</f>
        <v>Demographics</v>
      </c>
    </row>
    <row r="1717" spans="1:16">
      <c r="A1717" t="s">
        <v>2368</v>
      </c>
      <c r="B1717" t="s">
        <v>2337</v>
      </c>
      <c r="C1717" t="s">
        <v>80</v>
      </c>
      <c r="D1717">
        <v>1987</v>
      </c>
      <c r="E1717" t="s">
        <v>29</v>
      </c>
      <c r="F1717" t="s">
        <v>30</v>
      </c>
      <c r="G1717" t="s">
        <v>31</v>
      </c>
      <c r="H1717" t="s">
        <v>32</v>
      </c>
      <c r="I1717">
        <v>24639.185659999999</v>
      </c>
      <c r="J1717" t="s">
        <v>33</v>
      </c>
      <c r="K1717" t="s">
        <v>2366</v>
      </c>
      <c r="L1717" t="s">
        <v>21</v>
      </c>
      <c r="M1717" t="str">
        <f t="shared" si="78"/>
        <v>OK</v>
      </c>
      <c r="N1717" t="str">
        <f t="shared" si="79"/>
        <v>1980s</v>
      </c>
      <c r="O1717" t="str">
        <f t="shared" si="80"/>
        <v>N/A</v>
      </c>
      <c r="P1717" t="str">
        <f>VLOOKUP(E1717,calculated_fields!$F$4:$G$6,2,FALSE)</f>
        <v>Economy</v>
      </c>
    </row>
    <row r="1718" spans="1:16">
      <c r="A1718" t="s">
        <v>2369</v>
      </c>
      <c r="B1718" t="s">
        <v>2337</v>
      </c>
      <c r="C1718" t="s">
        <v>80</v>
      </c>
      <c r="D1718">
        <v>1992</v>
      </c>
      <c r="E1718" t="s">
        <v>15</v>
      </c>
      <c r="F1718" t="s">
        <v>16</v>
      </c>
      <c r="G1718" t="s">
        <v>17</v>
      </c>
      <c r="H1718" t="s">
        <v>18</v>
      </c>
      <c r="I1718">
        <v>76.069999999999993</v>
      </c>
      <c r="J1718" t="s">
        <v>19</v>
      </c>
      <c r="K1718" t="s">
        <v>2370</v>
      </c>
      <c r="L1718" t="s">
        <v>21</v>
      </c>
      <c r="M1718" t="str">
        <f t="shared" si="78"/>
        <v>OK</v>
      </c>
      <c r="N1718" t="str">
        <f t="shared" si="79"/>
        <v>1990s</v>
      </c>
      <c r="O1718" t="str">
        <f t="shared" si="80"/>
        <v>High</v>
      </c>
      <c r="P1718" t="str">
        <f>VLOOKUP(E1718,calculated_fields!$F$4:$G$6,2,FALSE)</f>
        <v>Health</v>
      </c>
    </row>
    <row r="1719" spans="1:16">
      <c r="A1719" t="s">
        <v>2371</v>
      </c>
      <c r="B1719" t="s">
        <v>2337</v>
      </c>
      <c r="C1719" t="s">
        <v>80</v>
      </c>
      <c r="D1719">
        <v>1992</v>
      </c>
      <c r="E1719" t="s">
        <v>23</v>
      </c>
      <c r="F1719" t="s">
        <v>24</v>
      </c>
      <c r="G1719" t="s">
        <v>25</v>
      </c>
      <c r="H1719" t="s">
        <v>26</v>
      </c>
      <c r="I1719">
        <v>80597764</v>
      </c>
      <c r="J1719" t="s">
        <v>27</v>
      </c>
      <c r="K1719" t="s">
        <v>2370</v>
      </c>
      <c r="L1719" t="s">
        <v>21</v>
      </c>
      <c r="M1719" t="str">
        <f t="shared" si="78"/>
        <v>OK</v>
      </c>
      <c r="N1719" t="str">
        <f t="shared" si="79"/>
        <v>1990s</v>
      </c>
      <c r="O1719" t="str">
        <f t="shared" si="80"/>
        <v>N/A</v>
      </c>
      <c r="P1719" t="str">
        <f>VLOOKUP(E1719,calculated_fields!$F$4:$G$6,2,FALSE)</f>
        <v>Demographics</v>
      </c>
    </row>
    <row r="1720" spans="1:16">
      <c r="A1720" t="s">
        <v>2372</v>
      </c>
      <c r="B1720" t="s">
        <v>2337</v>
      </c>
      <c r="C1720" t="s">
        <v>80</v>
      </c>
      <c r="D1720">
        <v>1992</v>
      </c>
      <c r="E1720" t="s">
        <v>29</v>
      </c>
      <c r="F1720" t="s">
        <v>30</v>
      </c>
      <c r="G1720" t="s">
        <v>31</v>
      </c>
      <c r="H1720" t="s">
        <v>32</v>
      </c>
      <c r="I1720">
        <v>26505.303169999999</v>
      </c>
      <c r="J1720" t="s">
        <v>33</v>
      </c>
      <c r="K1720" t="s">
        <v>2370</v>
      </c>
      <c r="L1720" t="s">
        <v>21</v>
      </c>
      <c r="M1720" t="str">
        <f t="shared" si="78"/>
        <v>OK</v>
      </c>
      <c r="N1720" t="str">
        <f t="shared" si="79"/>
        <v>1990s</v>
      </c>
      <c r="O1720" t="str">
        <f t="shared" si="80"/>
        <v>N/A</v>
      </c>
      <c r="P1720" t="str">
        <f>VLOOKUP(E1720,calculated_fields!$F$4:$G$6,2,FALSE)</f>
        <v>Economy</v>
      </c>
    </row>
    <row r="1721" spans="1:16">
      <c r="A1721" t="s">
        <v>2373</v>
      </c>
      <c r="B1721" t="s">
        <v>2337</v>
      </c>
      <c r="C1721" t="s">
        <v>80</v>
      </c>
      <c r="D1721">
        <v>1997</v>
      </c>
      <c r="E1721" t="s">
        <v>15</v>
      </c>
      <c r="F1721" t="s">
        <v>16</v>
      </c>
      <c r="G1721" t="s">
        <v>17</v>
      </c>
      <c r="H1721" t="s">
        <v>18</v>
      </c>
      <c r="I1721">
        <v>77.34</v>
      </c>
      <c r="J1721" t="s">
        <v>19</v>
      </c>
      <c r="K1721" t="s">
        <v>2374</v>
      </c>
      <c r="L1721" t="s">
        <v>21</v>
      </c>
      <c r="M1721" t="str">
        <f t="shared" si="78"/>
        <v>OK</v>
      </c>
      <c r="N1721" t="str">
        <f t="shared" si="79"/>
        <v>1990s</v>
      </c>
      <c r="O1721" t="str">
        <f t="shared" si="80"/>
        <v>High</v>
      </c>
      <c r="P1721" t="str">
        <f>VLOOKUP(E1721,calculated_fields!$F$4:$G$6,2,FALSE)</f>
        <v>Health</v>
      </c>
    </row>
    <row r="1722" spans="1:16">
      <c r="A1722" t="s">
        <v>2375</v>
      </c>
      <c r="B1722" t="s">
        <v>2337</v>
      </c>
      <c r="C1722" t="s">
        <v>80</v>
      </c>
      <c r="D1722">
        <v>1997</v>
      </c>
      <c r="E1722" t="s">
        <v>23</v>
      </c>
      <c r="F1722" t="s">
        <v>24</v>
      </c>
      <c r="G1722" t="s">
        <v>25</v>
      </c>
      <c r="H1722" t="s">
        <v>26</v>
      </c>
      <c r="I1722">
        <v>82011073</v>
      </c>
      <c r="J1722" t="s">
        <v>27</v>
      </c>
      <c r="K1722" t="s">
        <v>2374</v>
      </c>
      <c r="L1722" t="s">
        <v>21</v>
      </c>
      <c r="M1722" t="str">
        <f t="shared" si="78"/>
        <v>OK</v>
      </c>
      <c r="N1722" t="str">
        <f t="shared" si="79"/>
        <v>1990s</v>
      </c>
      <c r="O1722" t="str">
        <f t="shared" si="80"/>
        <v>N/A</v>
      </c>
      <c r="P1722" t="str">
        <f>VLOOKUP(E1722,calculated_fields!$F$4:$G$6,2,FALSE)</f>
        <v>Demographics</v>
      </c>
    </row>
    <row r="1723" spans="1:16">
      <c r="A1723" t="s">
        <v>2376</v>
      </c>
      <c r="B1723" t="s">
        <v>2337</v>
      </c>
      <c r="C1723" t="s">
        <v>80</v>
      </c>
      <c r="D1723">
        <v>1997</v>
      </c>
      <c r="E1723" t="s">
        <v>29</v>
      </c>
      <c r="F1723" t="s">
        <v>30</v>
      </c>
      <c r="G1723" t="s">
        <v>31</v>
      </c>
      <c r="H1723" t="s">
        <v>32</v>
      </c>
      <c r="I1723">
        <v>27788.884160000001</v>
      </c>
      <c r="J1723" t="s">
        <v>33</v>
      </c>
      <c r="K1723" t="s">
        <v>2374</v>
      </c>
      <c r="L1723" t="s">
        <v>21</v>
      </c>
      <c r="M1723" t="str">
        <f t="shared" si="78"/>
        <v>OK</v>
      </c>
      <c r="N1723" t="str">
        <f t="shared" si="79"/>
        <v>1990s</v>
      </c>
      <c r="O1723" t="str">
        <f t="shared" si="80"/>
        <v>N/A</v>
      </c>
      <c r="P1723" t="str">
        <f>VLOOKUP(E1723,calculated_fields!$F$4:$G$6,2,FALSE)</f>
        <v>Economy</v>
      </c>
    </row>
    <row r="1724" spans="1:16">
      <c r="A1724" t="s">
        <v>2377</v>
      </c>
      <c r="B1724" t="s">
        <v>2337</v>
      </c>
      <c r="C1724" t="s">
        <v>80</v>
      </c>
      <c r="D1724">
        <v>2002</v>
      </c>
      <c r="E1724" t="s">
        <v>15</v>
      </c>
      <c r="F1724" t="s">
        <v>16</v>
      </c>
      <c r="G1724" t="s">
        <v>17</v>
      </c>
      <c r="H1724" t="s">
        <v>18</v>
      </c>
      <c r="I1724">
        <v>78.67</v>
      </c>
      <c r="J1724" t="s">
        <v>19</v>
      </c>
      <c r="K1724" t="s">
        <v>2378</v>
      </c>
      <c r="L1724" t="s">
        <v>21</v>
      </c>
      <c r="M1724" t="str">
        <f t="shared" si="78"/>
        <v>OK</v>
      </c>
      <c r="N1724" t="str">
        <f t="shared" si="79"/>
        <v>2000s</v>
      </c>
      <c r="O1724" t="str">
        <f t="shared" si="80"/>
        <v>High</v>
      </c>
      <c r="P1724" t="str">
        <f>VLOOKUP(E1724,calculated_fields!$F$4:$G$6,2,FALSE)</f>
        <v>Health</v>
      </c>
    </row>
    <row r="1725" spans="1:16">
      <c r="A1725" t="s">
        <v>2379</v>
      </c>
      <c r="B1725" t="s">
        <v>2337</v>
      </c>
      <c r="C1725" t="s">
        <v>80</v>
      </c>
      <c r="D1725">
        <v>2002</v>
      </c>
      <c r="E1725" t="s">
        <v>23</v>
      </c>
      <c r="F1725" t="s">
        <v>24</v>
      </c>
      <c r="G1725" t="s">
        <v>25</v>
      </c>
      <c r="H1725" t="s">
        <v>26</v>
      </c>
      <c r="I1725">
        <v>82350671</v>
      </c>
      <c r="J1725" t="s">
        <v>27</v>
      </c>
      <c r="K1725" t="s">
        <v>2378</v>
      </c>
      <c r="L1725" t="s">
        <v>21</v>
      </c>
      <c r="M1725" t="str">
        <f t="shared" si="78"/>
        <v>OK</v>
      </c>
      <c r="N1725" t="str">
        <f t="shared" si="79"/>
        <v>2000s</v>
      </c>
      <c r="O1725" t="str">
        <f t="shared" si="80"/>
        <v>N/A</v>
      </c>
      <c r="P1725" t="str">
        <f>VLOOKUP(E1725,calculated_fields!$F$4:$G$6,2,FALSE)</f>
        <v>Demographics</v>
      </c>
    </row>
    <row r="1726" spans="1:16">
      <c r="A1726" t="s">
        <v>2380</v>
      </c>
      <c r="B1726" t="s">
        <v>2337</v>
      </c>
      <c r="C1726" t="s">
        <v>80</v>
      </c>
      <c r="D1726">
        <v>2002</v>
      </c>
      <c r="E1726" t="s">
        <v>29</v>
      </c>
      <c r="F1726" t="s">
        <v>30</v>
      </c>
      <c r="G1726" t="s">
        <v>31</v>
      </c>
      <c r="H1726" t="s">
        <v>32</v>
      </c>
      <c r="I1726">
        <v>30035.80198</v>
      </c>
      <c r="J1726" t="s">
        <v>33</v>
      </c>
      <c r="K1726" t="s">
        <v>2378</v>
      </c>
      <c r="L1726" t="s">
        <v>21</v>
      </c>
      <c r="M1726" t="str">
        <f t="shared" si="78"/>
        <v>OK</v>
      </c>
      <c r="N1726" t="str">
        <f t="shared" si="79"/>
        <v>2000s</v>
      </c>
      <c r="O1726" t="str">
        <f t="shared" si="80"/>
        <v>N/A</v>
      </c>
      <c r="P1726" t="str">
        <f>VLOOKUP(E1726,calculated_fields!$F$4:$G$6,2,FALSE)</f>
        <v>Economy</v>
      </c>
    </row>
    <row r="1727" spans="1:16">
      <c r="A1727" t="s">
        <v>2381</v>
      </c>
      <c r="B1727" t="s">
        <v>2337</v>
      </c>
      <c r="C1727" t="s">
        <v>80</v>
      </c>
      <c r="D1727">
        <v>2007</v>
      </c>
      <c r="E1727" t="s">
        <v>15</v>
      </c>
      <c r="F1727" t="s">
        <v>16</v>
      </c>
      <c r="G1727" t="s">
        <v>17</v>
      </c>
      <c r="H1727" t="s">
        <v>18</v>
      </c>
      <c r="I1727">
        <v>79.406000000000006</v>
      </c>
      <c r="J1727" t="s">
        <v>19</v>
      </c>
      <c r="K1727" t="s">
        <v>2382</v>
      </c>
      <c r="L1727" t="s">
        <v>21</v>
      </c>
      <c r="M1727" t="str">
        <f t="shared" si="78"/>
        <v>OK</v>
      </c>
      <c r="N1727" t="str">
        <f t="shared" si="79"/>
        <v>2000s</v>
      </c>
      <c r="O1727" t="str">
        <f t="shared" si="80"/>
        <v>High</v>
      </c>
      <c r="P1727" t="str">
        <f>VLOOKUP(E1727,calculated_fields!$F$4:$G$6,2,FALSE)</f>
        <v>Health</v>
      </c>
    </row>
    <row r="1728" spans="1:16">
      <c r="A1728" t="s">
        <v>2383</v>
      </c>
      <c r="B1728" t="s">
        <v>2337</v>
      </c>
      <c r="C1728" t="s">
        <v>80</v>
      </c>
      <c r="D1728">
        <v>2007</v>
      </c>
      <c r="E1728" t="s">
        <v>23</v>
      </c>
      <c r="F1728" t="s">
        <v>24</v>
      </c>
      <c r="G1728" t="s">
        <v>25</v>
      </c>
      <c r="H1728" t="s">
        <v>26</v>
      </c>
      <c r="I1728">
        <v>82400996</v>
      </c>
      <c r="J1728" t="s">
        <v>27</v>
      </c>
      <c r="K1728" t="s">
        <v>2382</v>
      </c>
      <c r="L1728" t="s">
        <v>21</v>
      </c>
      <c r="M1728" t="str">
        <f t="shared" si="78"/>
        <v>OK</v>
      </c>
      <c r="N1728" t="str">
        <f t="shared" si="79"/>
        <v>2000s</v>
      </c>
      <c r="O1728" t="str">
        <f t="shared" si="80"/>
        <v>N/A</v>
      </c>
      <c r="P1728" t="str">
        <f>VLOOKUP(E1728,calculated_fields!$F$4:$G$6,2,FALSE)</f>
        <v>Demographics</v>
      </c>
    </row>
    <row r="1729" spans="1:16">
      <c r="A1729" t="s">
        <v>2384</v>
      </c>
      <c r="B1729" t="s">
        <v>2337</v>
      </c>
      <c r="C1729" t="s">
        <v>80</v>
      </c>
      <c r="D1729">
        <v>2007</v>
      </c>
      <c r="E1729" t="s">
        <v>29</v>
      </c>
      <c r="F1729" t="s">
        <v>30</v>
      </c>
      <c r="G1729" t="s">
        <v>31</v>
      </c>
      <c r="H1729" t="s">
        <v>32</v>
      </c>
      <c r="I1729">
        <v>32170.37442</v>
      </c>
      <c r="J1729" t="s">
        <v>33</v>
      </c>
      <c r="K1729" t="s">
        <v>2382</v>
      </c>
      <c r="L1729" t="s">
        <v>21</v>
      </c>
      <c r="M1729" t="str">
        <f t="shared" si="78"/>
        <v>OK</v>
      </c>
      <c r="N1729" t="str">
        <f t="shared" si="79"/>
        <v>2000s</v>
      </c>
      <c r="O1729" t="str">
        <f t="shared" si="80"/>
        <v>N/A</v>
      </c>
      <c r="P1729" t="str">
        <f>VLOOKUP(E1729,calculated_fields!$F$4:$G$6,2,FALSE)</f>
        <v>Economy</v>
      </c>
    </row>
    <row r="1730" spans="1:16">
      <c r="A1730" t="s">
        <v>2385</v>
      </c>
      <c r="B1730" t="s">
        <v>2386</v>
      </c>
      <c r="C1730" t="s">
        <v>130</v>
      </c>
      <c r="D1730">
        <v>1952</v>
      </c>
      <c r="E1730" t="s">
        <v>15</v>
      </c>
      <c r="F1730" t="s">
        <v>16</v>
      </c>
      <c r="G1730" t="s">
        <v>17</v>
      </c>
      <c r="H1730" t="s">
        <v>18</v>
      </c>
      <c r="I1730">
        <v>43.149000000000001</v>
      </c>
      <c r="J1730" t="s">
        <v>19</v>
      </c>
      <c r="K1730" t="s">
        <v>2387</v>
      </c>
      <c r="L1730" t="s">
        <v>21</v>
      </c>
      <c r="M1730" t="str">
        <f t="shared" ref="M1730:M1793" si="81">IF(AND(ISNUMBER(I1730),I1730&gt;=0),"OK","Review")</f>
        <v>OK</v>
      </c>
      <c r="N1730" t="str">
        <f t="shared" ref="N1730:N1793" si="82">FLOOR(D1730,10)&amp;"s"</f>
        <v>1950s</v>
      </c>
      <c r="O1730" t="str">
        <f t="shared" ref="O1730:O1793" si="83">IF(E1730="LIFE_EXP",IF(I1730&gt;=70,"High",IF(I1730&gt;=55,"Medium","Low")),"N/A")</f>
        <v>Low</v>
      </c>
      <c r="P1730" t="str">
        <f>VLOOKUP(E1730,calculated_fields!$F$4:$G$6,2,FALSE)</f>
        <v>Health</v>
      </c>
    </row>
    <row r="1731" spans="1:16">
      <c r="A1731" t="s">
        <v>2388</v>
      </c>
      <c r="B1731" t="s">
        <v>2386</v>
      </c>
      <c r="C1731" t="s">
        <v>130</v>
      </c>
      <c r="D1731">
        <v>1952</v>
      </c>
      <c r="E1731" t="s">
        <v>23</v>
      </c>
      <c r="F1731" t="s">
        <v>24</v>
      </c>
      <c r="G1731" t="s">
        <v>25</v>
      </c>
      <c r="H1731" t="s">
        <v>26</v>
      </c>
      <c r="I1731">
        <v>5581001</v>
      </c>
      <c r="J1731" t="s">
        <v>27</v>
      </c>
      <c r="K1731" t="s">
        <v>2387</v>
      </c>
      <c r="L1731" t="s">
        <v>21</v>
      </c>
      <c r="M1731" t="str">
        <f t="shared" si="81"/>
        <v>OK</v>
      </c>
      <c r="N1731" t="str">
        <f t="shared" si="82"/>
        <v>1950s</v>
      </c>
      <c r="O1731" t="str">
        <f t="shared" si="83"/>
        <v>N/A</v>
      </c>
      <c r="P1731" t="str">
        <f>VLOOKUP(E1731,calculated_fields!$F$4:$G$6,2,FALSE)</f>
        <v>Demographics</v>
      </c>
    </row>
    <row r="1732" spans="1:16">
      <c r="A1732" t="s">
        <v>2389</v>
      </c>
      <c r="B1732" t="s">
        <v>2386</v>
      </c>
      <c r="C1732" t="s">
        <v>130</v>
      </c>
      <c r="D1732">
        <v>1952</v>
      </c>
      <c r="E1732" t="s">
        <v>29</v>
      </c>
      <c r="F1732" t="s">
        <v>30</v>
      </c>
      <c r="G1732" t="s">
        <v>31</v>
      </c>
      <c r="H1732" t="s">
        <v>32</v>
      </c>
      <c r="I1732">
        <v>911.29893709999999</v>
      </c>
      <c r="J1732" t="s">
        <v>33</v>
      </c>
      <c r="K1732" t="s">
        <v>2387</v>
      </c>
      <c r="L1732" t="s">
        <v>21</v>
      </c>
      <c r="M1732" t="str">
        <f t="shared" si="81"/>
        <v>OK</v>
      </c>
      <c r="N1732" t="str">
        <f t="shared" si="82"/>
        <v>1950s</v>
      </c>
      <c r="O1732" t="str">
        <f t="shared" si="83"/>
        <v>N/A</v>
      </c>
      <c r="P1732" t="str">
        <f>VLOOKUP(E1732,calculated_fields!$F$4:$G$6,2,FALSE)</f>
        <v>Economy</v>
      </c>
    </row>
    <row r="1733" spans="1:16">
      <c r="A1733" t="s">
        <v>2390</v>
      </c>
      <c r="B1733" t="s">
        <v>2386</v>
      </c>
      <c r="C1733" t="s">
        <v>130</v>
      </c>
      <c r="D1733">
        <v>1957</v>
      </c>
      <c r="E1733" t="s">
        <v>15</v>
      </c>
      <c r="F1733" t="s">
        <v>16</v>
      </c>
      <c r="G1733" t="s">
        <v>17</v>
      </c>
      <c r="H1733" t="s">
        <v>18</v>
      </c>
      <c r="I1733">
        <v>44.779000000000003</v>
      </c>
      <c r="J1733" t="s">
        <v>19</v>
      </c>
      <c r="K1733" t="s">
        <v>2391</v>
      </c>
      <c r="L1733" t="s">
        <v>21</v>
      </c>
      <c r="M1733" t="str">
        <f t="shared" si="81"/>
        <v>OK</v>
      </c>
      <c r="N1733" t="str">
        <f t="shared" si="82"/>
        <v>1950s</v>
      </c>
      <c r="O1733" t="str">
        <f t="shared" si="83"/>
        <v>Low</v>
      </c>
      <c r="P1733" t="str">
        <f>VLOOKUP(E1733,calculated_fields!$F$4:$G$6,2,FALSE)</f>
        <v>Health</v>
      </c>
    </row>
    <row r="1734" spans="1:16">
      <c r="A1734" t="s">
        <v>2392</v>
      </c>
      <c r="B1734" t="s">
        <v>2386</v>
      </c>
      <c r="C1734" t="s">
        <v>130</v>
      </c>
      <c r="D1734">
        <v>1957</v>
      </c>
      <c r="E1734" t="s">
        <v>23</v>
      </c>
      <c r="F1734" t="s">
        <v>24</v>
      </c>
      <c r="G1734" t="s">
        <v>25</v>
      </c>
      <c r="H1734" t="s">
        <v>26</v>
      </c>
      <c r="I1734">
        <v>6391288</v>
      </c>
      <c r="J1734" t="s">
        <v>27</v>
      </c>
      <c r="K1734" t="s">
        <v>2391</v>
      </c>
      <c r="L1734" t="s">
        <v>21</v>
      </c>
      <c r="M1734" t="str">
        <f t="shared" si="81"/>
        <v>OK</v>
      </c>
      <c r="N1734" t="str">
        <f t="shared" si="82"/>
        <v>1950s</v>
      </c>
      <c r="O1734" t="str">
        <f t="shared" si="83"/>
        <v>N/A</v>
      </c>
      <c r="P1734" t="str">
        <f>VLOOKUP(E1734,calculated_fields!$F$4:$G$6,2,FALSE)</f>
        <v>Demographics</v>
      </c>
    </row>
    <row r="1735" spans="1:16">
      <c r="A1735" t="s">
        <v>2393</v>
      </c>
      <c r="B1735" t="s">
        <v>2386</v>
      </c>
      <c r="C1735" t="s">
        <v>130</v>
      </c>
      <c r="D1735">
        <v>1957</v>
      </c>
      <c r="E1735" t="s">
        <v>29</v>
      </c>
      <c r="F1735" t="s">
        <v>30</v>
      </c>
      <c r="G1735" t="s">
        <v>31</v>
      </c>
      <c r="H1735" t="s">
        <v>32</v>
      </c>
      <c r="I1735">
        <v>1043.56153699999</v>
      </c>
      <c r="J1735" t="s">
        <v>33</v>
      </c>
      <c r="K1735" t="s">
        <v>2391</v>
      </c>
      <c r="L1735" t="s">
        <v>21</v>
      </c>
      <c r="M1735" t="str">
        <f t="shared" si="81"/>
        <v>OK</v>
      </c>
      <c r="N1735" t="str">
        <f t="shared" si="82"/>
        <v>1950s</v>
      </c>
      <c r="O1735" t="str">
        <f t="shared" si="83"/>
        <v>N/A</v>
      </c>
      <c r="P1735" t="str">
        <f>VLOOKUP(E1735,calculated_fields!$F$4:$G$6,2,FALSE)</f>
        <v>Economy</v>
      </c>
    </row>
    <row r="1736" spans="1:16">
      <c r="A1736" t="s">
        <v>2394</v>
      </c>
      <c r="B1736" t="s">
        <v>2386</v>
      </c>
      <c r="C1736" t="s">
        <v>130</v>
      </c>
      <c r="D1736">
        <v>1962</v>
      </c>
      <c r="E1736" t="s">
        <v>15</v>
      </c>
      <c r="F1736" t="s">
        <v>16</v>
      </c>
      <c r="G1736" t="s">
        <v>17</v>
      </c>
      <c r="H1736" t="s">
        <v>18</v>
      </c>
      <c r="I1736">
        <v>46.451999999999998</v>
      </c>
      <c r="J1736" t="s">
        <v>19</v>
      </c>
      <c r="K1736" t="s">
        <v>2395</v>
      </c>
      <c r="L1736" t="s">
        <v>21</v>
      </c>
      <c r="M1736" t="str">
        <f t="shared" si="81"/>
        <v>OK</v>
      </c>
      <c r="N1736" t="str">
        <f t="shared" si="82"/>
        <v>1960s</v>
      </c>
      <c r="O1736" t="str">
        <f t="shared" si="83"/>
        <v>Low</v>
      </c>
      <c r="P1736" t="str">
        <f>VLOOKUP(E1736,calculated_fields!$F$4:$G$6,2,FALSE)</f>
        <v>Health</v>
      </c>
    </row>
    <row r="1737" spans="1:16">
      <c r="A1737" t="s">
        <v>2396</v>
      </c>
      <c r="B1737" t="s">
        <v>2386</v>
      </c>
      <c r="C1737" t="s">
        <v>130</v>
      </c>
      <c r="D1737">
        <v>1962</v>
      </c>
      <c r="E1737" t="s">
        <v>23</v>
      </c>
      <c r="F1737" t="s">
        <v>24</v>
      </c>
      <c r="G1737" t="s">
        <v>25</v>
      </c>
      <c r="H1737" t="s">
        <v>26</v>
      </c>
      <c r="I1737">
        <v>7355248</v>
      </c>
      <c r="J1737" t="s">
        <v>27</v>
      </c>
      <c r="K1737" t="s">
        <v>2395</v>
      </c>
      <c r="L1737" t="s">
        <v>21</v>
      </c>
      <c r="M1737" t="str">
        <f t="shared" si="81"/>
        <v>OK</v>
      </c>
      <c r="N1737" t="str">
        <f t="shared" si="82"/>
        <v>1960s</v>
      </c>
      <c r="O1737" t="str">
        <f t="shared" si="83"/>
        <v>N/A</v>
      </c>
      <c r="P1737" t="str">
        <f>VLOOKUP(E1737,calculated_fields!$F$4:$G$6,2,FALSE)</f>
        <v>Demographics</v>
      </c>
    </row>
    <row r="1738" spans="1:16">
      <c r="A1738" t="s">
        <v>2397</v>
      </c>
      <c r="B1738" t="s">
        <v>2386</v>
      </c>
      <c r="C1738" t="s">
        <v>130</v>
      </c>
      <c r="D1738">
        <v>1962</v>
      </c>
      <c r="E1738" t="s">
        <v>29</v>
      </c>
      <c r="F1738" t="s">
        <v>30</v>
      </c>
      <c r="G1738" t="s">
        <v>31</v>
      </c>
      <c r="H1738" t="s">
        <v>32</v>
      </c>
      <c r="I1738">
        <v>1190.0411180000001</v>
      </c>
      <c r="J1738" t="s">
        <v>33</v>
      </c>
      <c r="K1738" t="s">
        <v>2395</v>
      </c>
      <c r="L1738" t="s">
        <v>21</v>
      </c>
      <c r="M1738" t="str">
        <f t="shared" si="81"/>
        <v>OK</v>
      </c>
      <c r="N1738" t="str">
        <f t="shared" si="82"/>
        <v>1960s</v>
      </c>
      <c r="O1738" t="str">
        <f t="shared" si="83"/>
        <v>N/A</v>
      </c>
      <c r="P1738" t="str">
        <f>VLOOKUP(E1738,calculated_fields!$F$4:$G$6,2,FALSE)</f>
        <v>Economy</v>
      </c>
    </row>
    <row r="1739" spans="1:16">
      <c r="A1739" t="s">
        <v>2398</v>
      </c>
      <c r="B1739" t="s">
        <v>2386</v>
      </c>
      <c r="C1739" t="s">
        <v>130</v>
      </c>
      <c r="D1739">
        <v>1967</v>
      </c>
      <c r="E1739" t="s">
        <v>15</v>
      </c>
      <c r="F1739" t="s">
        <v>16</v>
      </c>
      <c r="G1739" t="s">
        <v>17</v>
      </c>
      <c r="H1739" t="s">
        <v>18</v>
      </c>
      <c r="I1739">
        <v>48.072000000000003</v>
      </c>
      <c r="J1739" t="s">
        <v>19</v>
      </c>
      <c r="K1739" t="s">
        <v>2399</v>
      </c>
      <c r="L1739" t="s">
        <v>21</v>
      </c>
      <c r="M1739" t="str">
        <f t="shared" si="81"/>
        <v>OK</v>
      </c>
      <c r="N1739" t="str">
        <f t="shared" si="82"/>
        <v>1960s</v>
      </c>
      <c r="O1739" t="str">
        <f t="shared" si="83"/>
        <v>Low</v>
      </c>
      <c r="P1739" t="str">
        <f>VLOOKUP(E1739,calculated_fields!$F$4:$G$6,2,FALSE)</f>
        <v>Health</v>
      </c>
    </row>
    <row r="1740" spans="1:16">
      <c r="A1740" t="s">
        <v>2400</v>
      </c>
      <c r="B1740" t="s">
        <v>2386</v>
      </c>
      <c r="C1740" t="s">
        <v>130</v>
      </c>
      <c r="D1740">
        <v>1967</v>
      </c>
      <c r="E1740" t="s">
        <v>23</v>
      </c>
      <c r="F1740" t="s">
        <v>24</v>
      </c>
      <c r="G1740" t="s">
        <v>25</v>
      </c>
      <c r="H1740" t="s">
        <v>26</v>
      </c>
      <c r="I1740">
        <v>8490213</v>
      </c>
      <c r="J1740" t="s">
        <v>27</v>
      </c>
      <c r="K1740" t="s">
        <v>2399</v>
      </c>
      <c r="L1740" t="s">
        <v>21</v>
      </c>
      <c r="M1740" t="str">
        <f t="shared" si="81"/>
        <v>OK</v>
      </c>
      <c r="N1740" t="str">
        <f t="shared" si="82"/>
        <v>1960s</v>
      </c>
      <c r="O1740" t="str">
        <f t="shared" si="83"/>
        <v>N/A</v>
      </c>
      <c r="P1740" t="str">
        <f>VLOOKUP(E1740,calculated_fields!$F$4:$G$6,2,FALSE)</f>
        <v>Demographics</v>
      </c>
    </row>
    <row r="1741" spans="1:16">
      <c r="A1741" t="s">
        <v>2401</v>
      </c>
      <c r="B1741" t="s">
        <v>2386</v>
      </c>
      <c r="C1741" t="s">
        <v>130</v>
      </c>
      <c r="D1741">
        <v>1967</v>
      </c>
      <c r="E1741" t="s">
        <v>29</v>
      </c>
      <c r="F1741" t="s">
        <v>30</v>
      </c>
      <c r="G1741" t="s">
        <v>31</v>
      </c>
      <c r="H1741" t="s">
        <v>32</v>
      </c>
      <c r="I1741">
        <v>1125.6971599999999</v>
      </c>
      <c r="J1741" t="s">
        <v>33</v>
      </c>
      <c r="K1741" t="s">
        <v>2399</v>
      </c>
      <c r="L1741" t="s">
        <v>21</v>
      </c>
      <c r="M1741" t="str">
        <f t="shared" si="81"/>
        <v>OK</v>
      </c>
      <c r="N1741" t="str">
        <f t="shared" si="82"/>
        <v>1960s</v>
      </c>
      <c r="O1741" t="str">
        <f t="shared" si="83"/>
        <v>N/A</v>
      </c>
      <c r="P1741" t="str">
        <f>VLOOKUP(E1741,calculated_fields!$F$4:$G$6,2,FALSE)</f>
        <v>Economy</v>
      </c>
    </row>
    <row r="1742" spans="1:16">
      <c r="A1742" t="s">
        <v>2402</v>
      </c>
      <c r="B1742" t="s">
        <v>2386</v>
      </c>
      <c r="C1742" t="s">
        <v>130</v>
      </c>
      <c r="D1742">
        <v>1972</v>
      </c>
      <c r="E1742" t="s">
        <v>15</v>
      </c>
      <c r="F1742" t="s">
        <v>16</v>
      </c>
      <c r="G1742" t="s">
        <v>17</v>
      </c>
      <c r="H1742" t="s">
        <v>18</v>
      </c>
      <c r="I1742">
        <v>49.875</v>
      </c>
      <c r="J1742" t="s">
        <v>19</v>
      </c>
      <c r="K1742" t="s">
        <v>2403</v>
      </c>
      <c r="L1742" t="s">
        <v>21</v>
      </c>
      <c r="M1742" t="str">
        <f t="shared" si="81"/>
        <v>OK</v>
      </c>
      <c r="N1742" t="str">
        <f t="shared" si="82"/>
        <v>1970s</v>
      </c>
      <c r="O1742" t="str">
        <f t="shared" si="83"/>
        <v>Low</v>
      </c>
      <c r="P1742" t="str">
        <f>VLOOKUP(E1742,calculated_fields!$F$4:$G$6,2,FALSE)</f>
        <v>Health</v>
      </c>
    </row>
    <row r="1743" spans="1:16">
      <c r="A1743" t="s">
        <v>2404</v>
      </c>
      <c r="B1743" t="s">
        <v>2386</v>
      </c>
      <c r="C1743" t="s">
        <v>130</v>
      </c>
      <c r="D1743">
        <v>1972</v>
      </c>
      <c r="E1743" t="s">
        <v>23</v>
      </c>
      <c r="F1743" t="s">
        <v>24</v>
      </c>
      <c r="G1743" t="s">
        <v>25</v>
      </c>
      <c r="H1743" t="s">
        <v>26</v>
      </c>
      <c r="I1743">
        <v>9354120</v>
      </c>
      <c r="J1743" t="s">
        <v>27</v>
      </c>
      <c r="K1743" t="s">
        <v>2403</v>
      </c>
      <c r="L1743" t="s">
        <v>21</v>
      </c>
      <c r="M1743" t="str">
        <f t="shared" si="81"/>
        <v>OK</v>
      </c>
      <c r="N1743" t="str">
        <f t="shared" si="82"/>
        <v>1970s</v>
      </c>
      <c r="O1743" t="str">
        <f t="shared" si="83"/>
        <v>N/A</v>
      </c>
      <c r="P1743" t="str">
        <f>VLOOKUP(E1743,calculated_fields!$F$4:$G$6,2,FALSE)</f>
        <v>Demographics</v>
      </c>
    </row>
    <row r="1744" spans="1:16">
      <c r="A1744" t="s">
        <v>2405</v>
      </c>
      <c r="B1744" t="s">
        <v>2386</v>
      </c>
      <c r="C1744" t="s">
        <v>130</v>
      </c>
      <c r="D1744">
        <v>1972</v>
      </c>
      <c r="E1744" t="s">
        <v>29</v>
      </c>
      <c r="F1744" t="s">
        <v>30</v>
      </c>
      <c r="G1744" t="s">
        <v>31</v>
      </c>
      <c r="H1744" t="s">
        <v>32</v>
      </c>
      <c r="I1744">
        <v>1178.223708</v>
      </c>
      <c r="J1744" t="s">
        <v>33</v>
      </c>
      <c r="K1744" t="s">
        <v>2403</v>
      </c>
      <c r="L1744" t="s">
        <v>21</v>
      </c>
      <c r="M1744" t="str">
        <f t="shared" si="81"/>
        <v>OK</v>
      </c>
      <c r="N1744" t="str">
        <f t="shared" si="82"/>
        <v>1970s</v>
      </c>
      <c r="O1744" t="str">
        <f t="shared" si="83"/>
        <v>N/A</v>
      </c>
      <c r="P1744" t="str">
        <f>VLOOKUP(E1744,calculated_fields!$F$4:$G$6,2,FALSE)</f>
        <v>Economy</v>
      </c>
    </row>
    <row r="1745" spans="1:16">
      <c r="A1745" t="s">
        <v>2406</v>
      </c>
      <c r="B1745" t="s">
        <v>2386</v>
      </c>
      <c r="C1745" t="s">
        <v>130</v>
      </c>
      <c r="D1745">
        <v>1977</v>
      </c>
      <c r="E1745" t="s">
        <v>15</v>
      </c>
      <c r="F1745" t="s">
        <v>16</v>
      </c>
      <c r="G1745" t="s">
        <v>17</v>
      </c>
      <c r="H1745" t="s">
        <v>18</v>
      </c>
      <c r="I1745">
        <v>51.756</v>
      </c>
      <c r="J1745" t="s">
        <v>19</v>
      </c>
      <c r="K1745" t="s">
        <v>2407</v>
      </c>
      <c r="L1745" t="s">
        <v>21</v>
      </c>
      <c r="M1745" t="str">
        <f t="shared" si="81"/>
        <v>OK</v>
      </c>
      <c r="N1745" t="str">
        <f t="shared" si="82"/>
        <v>1970s</v>
      </c>
      <c r="O1745" t="str">
        <f t="shared" si="83"/>
        <v>Low</v>
      </c>
      <c r="P1745" t="str">
        <f>VLOOKUP(E1745,calculated_fields!$F$4:$G$6,2,FALSE)</f>
        <v>Health</v>
      </c>
    </row>
    <row r="1746" spans="1:16">
      <c r="A1746" t="s">
        <v>2408</v>
      </c>
      <c r="B1746" t="s">
        <v>2386</v>
      </c>
      <c r="C1746" t="s">
        <v>130</v>
      </c>
      <c r="D1746">
        <v>1977</v>
      </c>
      <c r="E1746" t="s">
        <v>23</v>
      </c>
      <c r="F1746" t="s">
        <v>24</v>
      </c>
      <c r="G1746" t="s">
        <v>25</v>
      </c>
      <c r="H1746" t="s">
        <v>26</v>
      </c>
      <c r="I1746">
        <v>10538093</v>
      </c>
      <c r="J1746" t="s">
        <v>27</v>
      </c>
      <c r="K1746" t="s">
        <v>2407</v>
      </c>
      <c r="L1746" t="s">
        <v>21</v>
      </c>
      <c r="M1746" t="str">
        <f t="shared" si="81"/>
        <v>OK</v>
      </c>
      <c r="N1746" t="str">
        <f t="shared" si="82"/>
        <v>1970s</v>
      </c>
      <c r="O1746" t="str">
        <f t="shared" si="83"/>
        <v>N/A</v>
      </c>
      <c r="P1746" t="str">
        <f>VLOOKUP(E1746,calculated_fields!$F$4:$G$6,2,FALSE)</f>
        <v>Demographics</v>
      </c>
    </row>
    <row r="1747" spans="1:16">
      <c r="A1747" t="s">
        <v>2409</v>
      </c>
      <c r="B1747" t="s">
        <v>2386</v>
      </c>
      <c r="C1747" t="s">
        <v>130</v>
      </c>
      <c r="D1747">
        <v>1977</v>
      </c>
      <c r="E1747" t="s">
        <v>29</v>
      </c>
      <c r="F1747" t="s">
        <v>30</v>
      </c>
      <c r="G1747" t="s">
        <v>31</v>
      </c>
      <c r="H1747" t="s">
        <v>32</v>
      </c>
      <c r="I1747">
        <v>993.22395710000001</v>
      </c>
      <c r="J1747" t="s">
        <v>33</v>
      </c>
      <c r="K1747" t="s">
        <v>2407</v>
      </c>
      <c r="L1747" t="s">
        <v>21</v>
      </c>
      <c r="M1747" t="str">
        <f t="shared" si="81"/>
        <v>OK</v>
      </c>
      <c r="N1747" t="str">
        <f t="shared" si="82"/>
        <v>1970s</v>
      </c>
      <c r="O1747" t="str">
        <f t="shared" si="83"/>
        <v>N/A</v>
      </c>
      <c r="P1747" t="str">
        <f>VLOOKUP(E1747,calculated_fields!$F$4:$G$6,2,FALSE)</f>
        <v>Economy</v>
      </c>
    </row>
    <row r="1748" spans="1:16">
      <c r="A1748" t="s">
        <v>2410</v>
      </c>
      <c r="B1748" t="s">
        <v>2386</v>
      </c>
      <c r="C1748" t="s">
        <v>130</v>
      </c>
      <c r="D1748">
        <v>1982</v>
      </c>
      <c r="E1748" t="s">
        <v>15</v>
      </c>
      <c r="F1748" t="s">
        <v>16</v>
      </c>
      <c r="G1748" t="s">
        <v>17</v>
      </c>
      <c r="H1748" t="s">
        <v>18</v>
      </c>
      <c r="I1748">
        <v>53.744</v>
      </c>
      <c r="J1748" t="s">
        <v>19</v>
      </c>
      <c r="K1748" t="s">
        <v>2411</v>
      </c>
      <c r="L1748" t="s">
        <v>21</v>
      </c>
      <c r="M1748" t="str">
        <f t="shared" si="81"/>
        <v>OK</v>
      </c>
      <c r="N1748" t="str">
        <f t="shared" si="82"/>
        <v>1980s</v>
      </c>
      <c r="O1748" t="str">
        <f t="shared" si="83"/>
        <v>Low</v>
      </c>
      <c r="P1748" t="str">
        <f>VLOOKUP(E1748,calculated_fields!$F$4:$G$6,2,FALSE)</f>
        <v>Health</v>
      </c>
    </row>
    <row r="1749" spans="1:16">
      <c r="A1749" t="s">
        <v>2412</v>
      </c>
      <c r="B1749" t="s">
        <v>2386</v>
      </c>
      <c r="C1749" t="s">
        <v>130</v>
      </c>
      <c r="D1749">
        <v>1982</v>
      </c>
      <c r="E1749" t="s">
        <v>23</v>
      </c>
      <c r="F1749" t="s">
        <v>24</v>
      </c>
      <c r="G1749" t="s">
        <v>25</v>
      </c>
      <c r="H1749" t="s">
        <v>26</v>
      </c>
      <c r="I1749">
        <v>11400338</v>
      </c>
      <c r="J1749" t="s">
        <v>27</v>
      </c>
      <c r="K1749" t="s">
        <v>2411</v>
      </c>
      <c r="L1749" t="s">
        <v>21</v>
      </c>
      <c r="M1749" t="str">
        <f t="shared" si="81"/>
        <v>OK</v>
      </c>
      <c r="N1749" t="str">
        <f t="shared" si="82"/>
        <v>1980s</v>
      </c>
      <c r="O1749" t="str">
        <f t="shared" si="83"/>
        <v>N/A</v>
      </c>
      <c r="P1749" t="str">
        <f>VLOOKUP(E1749,calculated_fields!$F$4:$G$6,2,FALSE)</f>
        <v>Demographics</v>
      </c>
    </row>
    <row r="1750" spans="1:16">
      <c r="A1750" t="s">
        <v>2413</v>
      </c>
      <c r="B1750" t="s">
        <v>2386</v>
      </c>
      <c r="C1750" t="s">
        <v>130</v>
      </c>
      <c r="D1750">
        <v>1982</v>
      </c>
      <c r="E1750" t="s">
        <v>29</v>
      </c>
      <c r="F1750" t="s">
        <v>30</v>
      </c>
      <c r="G1750" t="s">
        <v>31</v>
      </c>
      <c r="H1750" t="s">
        <v>32</v>
      </c>
      <c r="I1750">
        <v>876.03256899999997</v>
      </c>
      <c r="J1750" t="s">
        <v>33</v>
      </c>
      <c r="K1750" t="s">
        <v>2411</v>
      </c>
      <c r="L1750" t="s">
        <v>21</v>
      </c>
      <c r="M1750" t="str">
        <f t="shared" si="81"/>
        <v>OK</v>
      </c>
      <c r="N1750" t="str">
        <f t="shared" si="82"/>
        <v>1980s</v>
      </c>
      <c r="O1750" t="str">
        <f t="shared" si="83"/>
        <v>N/A</v>
      </c>
      <c r="P1750" t="str">
        <f>VLOOKUP(E1750,calculated_fields!$F$4:$G$6,2,FALSE)</f>
        <v>Economy</v>
      </c>
    </row>
    <row r="1751" spans="1:16">
      <c r="A1751" t="s">
        <v>2414</v>
      </c>
      <c r="B1751" t="s">
        <v>2386</v>
      </c>
      <c r="C1751" t="s">
        <v>130</v>
      </c>
      <c r="D1751">
        <v>1987</v>
      </c>
      <c r="E1751" t="s">
        <v>15</v>
      </c>
      <c r="F1751" t="s">
        <v>16</v>
      </c>
      <c r="G1751" t="s">
        <v>17</v>
      </c>
      <c r="H1751" t="s">
        <v>18</v>
      </c>
      <c r="I1751">
        <v>55.728999999999999</v>
      </c>
      <c r="J1751" t="s">
        <v>19</v>
      </c>
      <c r="K1751" t="s">
        <v>2415</v>
      </c>
      <c r="L1751" t="s">
        <v>21</v>
      </c>
      <c r="M1751" t="str">
        <f t="shared" si="81"/>
        <v>OK</v>
      </c>
      <c r="N1751" t="str">
        <f t="shared" si="82"/>
        <v>1980s</v>
      </c>
      <c r="O1751" t="str">
        <f t="shared" si="83"/>
        <v>Medium</v>
      </c>
      <c r="P1751" t="str">
        <f>VLOOKUP(E1751,calculated_fields!$F$4:$G$6,2,FALSE)</f>
        <v>Health</v>
      </c>
    </row>
    <row r="1752" spans="1:16">
      <c r="A1752" t="s">
        <v>2416</v>
      </c>
      <c r="B1752" t="s">
        <v>2386</v>
      </c>
      <c r="C1752" t="s">
        <v>130</v>
      </c>
      <c r="D1752">
        <v>1987</v>
      </c>
      <c r="E1752" t="s">
        <v>23</v>
      </c>
      <c r="F1752" t="s">
        <v>24</v>
      </c>
      <c r="G1752" t="s">
        <v>25</v>
      </c>
      <c r="H1752" t="s">
        <v>26</v>
      </c>
      <c r="I1752">
        <v>14168101</v>
      </c>
      <c r="J1752" t="s">
        <v>27</v>
      </c>
      <c r="K1752" t="s">
        <v>2415</v>
      </c>
      <c r="L1752" t="s">
        <v>21</v>
      </c>
      <c r="M1752" t="str">
        <f t="shared" si="81"/>
        <v>OK</v>
      </c>
      <c r="N1752" t="str">
        <f t="shared" si="82"/>
        <v>1980s</v>
      </c>
      <c r="O1752" t="str">
        <f t="shared" si="83"/>
        <v>N/A</v>
      </c>
      <c r="P1752" t="str">
        <f>VLOOKUP(E1752,calculated_fields!$F$4:$G$6,2,FALSE)</f>
        <v>Demographics</v>
      </c>
    </row>
    <row r="1753" spans="1:16">
      <c r="A1753" t="s">
        <v>2417</v>
      </c>
      <c r="B1753" t="s">
        <v>2386</v>
      </c>
      <c r="C1753" t="s">
        <v>130</v>
      </c>
      <c r="D1753">
        <v>1987</v>
      </c>
      <c r="E1753" t="s">
        <v>29</v>
      </c>
      <c r="F1753" t="s">
        <v>30</v>
      </c>
      <c r="G1753" t="s">
        <v>31</v>
      </c>
      <c r="H1753" t="s">
        <v>32</v>
      </c>
      <c r="I1753">
        <v>847.00611349999997</v>
      </c>
      <c r="J1753" t="s">
        <v>33</v>
      </c>
      <c r="K1753" t="s">
        <v>2415</v>
      </c>
      <c r="L1753" t="s">
        <v>21</v>
      </c>
      <c r="M1753" t="str">
        <f t="shared" si="81"/>
        <v>OK</v>
      </c>
      <c r="N1753" t="str">
        <f t="shared" si="82"/>
        <v>1980s</v>
      </c>
      <c r="O1753" t="str">
        <f t="shared" si="83"/>
        <v>N/A</v>
      </c>
      <c r="P1753" t="str">
        <f>VLOOKUP(E1753,calculated_fields!$F$4:$G$6,2,FALSE)</f>
        <v>Economy</v>
      </c>
    </row>
    <row r="1754" spans="1:16">
      <c r="A1754" t="s">
        <v>2418</v>
      </c>
      <c r="B1754" t="s">
        <v>2386</v>
      </c>
      <c r="C1754" t="s">
        <v>130</v>
      </c>
      <c r="D1754">
        <v>1992</v>
      </c>
      <c r="E1754" t="s">
        <v>15</v>
      </c>
      <c r="F1754" t="s">
        <v>16</v>
      </c>
      <c r="G1754" t="s">
        <v>17</v>
      </c>
      <c r="H1754" t="s">
        <v>18</v>
      </c>
      <c r="I1754">
        <v>57.500999999999998</v>
      </c>
      <c r="J1754" t="s">
        <v>19</v>
      </c>
      <c r="K1754" t="s">
        <v>2419</v>
      </c>
      <c r="L1754" t="s">
        <v>21</v>
      </c>
      <c r="M1754" t="str">
        <f t="shared" si="81"/>
        <v>OK</v>
      </c>
      <c r="N1754" t="str">
        <f t="shared" si="82"/>
        <v>1990s</v>
      </c>
      <c r="O1754" t="str">
        <f t="shared" si="83"/>
        <v>Medium</v>
      </c>
      <c r="P1754" t="str">
        <f>VLOOKUP(E1754,calculated_fields!$F$4:$G$6,2,FALSE)</f>
        <v>Health</v>
      </c>
    </row>
    <row r="1755" spans="1:16">
      <c r="A1755" t="s">
        <v>2420</v>
      </c>
      <c r="B1755" t="s">
        <v>2386</v>
      </c>
      <c r="C1755" t="s">
        <v>130</v>
      </c>
      <c r="D1755">
        <v>1992</v>
      </c>
      <c r="E1755" t="s">
        <v>23</v>
      </c>
      <c r="F1755" t="s">
        <v>24</v>
      </c>
      <c r="G1755" t="s">
        <v>25</v>
      </c>
      <c r="H1755" t="s">
        <v>26</v>
      </c>
      <c r="I1755">
        <v>16278738</v>
      </c>
      <c r="J1755" t="s">
        <v>27</v>
      </c>
      <c r="K1755" t="s">
        <v>2419</v>
      </c>
      <c r="L1755" t="s">
        <v>21</v>
      </c>
      <c r="M1755" t="str">
        <f t="shared" si="81"/>
        <v>OK</v>
      </c>
      <c r="N1755" t="str">
        <f t="shared" si="82"/>
        <v>1990s</v>
      </c>
      <c r="O1755" t="str">
        <f t="shared" si="83"/>
        <v>N/A</v>
      </c>
      <c r="P1755" t="str">
        <f>VLOOKUP(E1755,calculated_fields!$F$4:$G$6,2,FALSE)</f>
        <v>Demographics</v>
      </c>
    </row>
    <row r="1756" spans="1:16">
      <c r="A1756" t="s">
        <v>2421</v>
      </c>
      <c r="B1756" t="s">
        <v>2386</v>
      </c>
      <c r="C1756" t="s">
        <v>130</v>
      </c>
      <c r="D1756">
        <v>1992</v>
      </c>
      <c r="E1756" t="s">
        <v>29</v>
      </c>
      <c r="F1756" t="s">
        <v>30</v>
      </c>
      <c r="G1756" t="s">
        <v>31</v>
      </c>
      <c r="H1756" t="s">
        <v>32</v>
      </c>
      <c r="I1756">
        <v>925.06015400000001</v>
      </c>
      <c r="J1756" t="s">
        <v>33</v>
      </c>
      <c r="K1756" t="s">
        <v>2419</v>
      </c>
      <c r="L1756" t="s">
        <v>21</v>
      </c>
      <c r="M1756" t="str">
        <f t="shared" si="81"/>
        <v>OK</v>
      </c>
      <c r="N1756" t="str">
        <f t="shared" si="82"/>
        <v>1990s</v>
      </c>
      <c r="O1756" t="str">
        <f t="shared" si="83"/>
        <v>N/A</v>
      </c>
      <c r="P1756" t="str">
        <f>VLOOKUP(E1756,calculated_fields!$F$4:$G$6,2,FALSE)</f>
        <v>Economy</v>
      </c>
    </row>
    <row r="1757" spans="1:16">
      <c r="A1757" t="s">
        <v>2422</v>
      </c>
      <c r="B1757" t="s">
        <v>2386</v>
      </c>
      <c r="C1757" t="s">
        <v>130</v>
      </c>
      <c r="D1757">
        <v>1997</v>
      </c>
      <c r="E1757" t="s">
        <v>15</v>
      </c>
      <c r="F1757" t="s">
        <v>16</v>
      </c>
      <c r="G1757" t="s">
        <v>17</v>
      </c>
      <c r="H1757" t="s">
        <v>18</v>
      </c>
      <c r="I1757">
        <v>58.555999999999997</v>
      </c>
      <c r="J1757" t="s">
        <v>19</v>
      </c>
      <c r="K1757" t="s">
        <v>2423</v>
      </c>
      <c r="L1757" t="s">
        <v>21</v>
      </c>
      <c r="M1757" t="str">
        <f t="shared" si="81"/>
        <v>OK</v>
      </c>
      <c r="N1757" t="str">
        <f t="shared" si="82"/>
        <v>1990s</v>
      </c>
      <c r="O1757" t="str">
        <f t="shared" si="83"/>
        <v>Medium</v>
      </c>
      <c r="P1757" t="str">
        <f>VLOOKUP(E1757,calculated_fields!$F$4:$G$6,2,FALSE)</f>
        <v>Health</v>
      </c>
    </row>
    <row r="1758" spans="1:16">
      <c r="A1758" t="s">
        <v>2424</v>
      </c>
      <c r="B1758" t="s">
        <v>2386</v>
      </c>
      <c r="C1758" t="s">
        <v>130</v>
      </c>
      <c r="D1758">
        <v>1997</v>
      </c>
      <c r="E1758" t="s">
        <v>23</v>
      </c>
      <c r="F1758" t="s">
        <v>24</v>
      </c>
      <c r="G1758" t="s">
        <v>25</v>
      </c>
      <c r="H1758" t="s">
        <v>26</v>
      </c>
      <c r="I1758">
        <v>18418288</v>
      </c>
      <c r="J1758" t="s">
        <v>27</v>
      </c>
      <c r="K1758" t="s">
        <v>2423</v>
      </c>
      <c r="L1758" t="s">
        <v>21</v>
      </c>
      <c r="M1758" t="str">
        <f t="shared" si="81"/>
        <v>OK</v>
      </c>
      <c r="N1758" t="str">
        <f t="shared" si="82"/>
        <v>1990s</v>
      </c>
      <c r="O1758" t="str">
        <f t="shared" si="83"/>
        <v>N/A</v>
      </c>
      <c r="P1758" t="str">
        <f>VLOOKUP(E1758,calculated_fields!$F$4:$G$6,2,FALSE)</f>
        <v>Demographics</v>
      </c>
    </row>
    <row r="1759" spans="1:16">
      <c r="A1759" t="s">
        <v>2425</v>
      </c>
      <c r="B1759" t="s">
        <v>2386</v>
      </c>
      <c r="C1759" t="s">
        <v>130</v>
      </c>
      <c r="D1759">
        <v>1997</v>
      </c>
      <c r="E1759" t="s">
        <v>29</v>
      </c>
      <c r="F1759" t="s">
        <v>30</v>
      </c>
      <c r="G1759" t="s">
        <v>31</v>
      </c>
      <c r="H1759" t="s">
        <v>32</v>
      </c>
      <c r="I1759">
        <v>1005.245812</v>
      </c>
      <c r="J1759" t="s">
        <v>33</v>
      </c>
      <c r="K1759" t="s">
        <v>2423</v>
      </c>
      <c r="L1759" t="s">
        <v>21</v>
      </c>
      <c r="M1759" t="str">
        <f t="shared" si="81"/>
        <v>OK</v>
      </c>
      <c r="N1759" t="str">
        <f t="shared" si="82"/>
        <v>1990s</v>
      </c>
      <c r="O1759" t="str">
        <f t="shared" si="83"/>
        <v>N/A</v>
      </c>
      <c r="P1759" t="str">
        <f>VLOOKUP(E1759,calculated_fields!$F$4:$G$6,2,FALSE)</f>
        <v>Economy</v>
      </c>
    </row>
    <row r="1760" spans="1:16">
      <c r="A1760" t="s">
        <v>2426</v>
      </c>
      <c r="B1760" t="s">
        <v>2386</v>
      </c>
      <c r="C1760" t="s">
        <v>130</v>
      </c>
      <c r="D1760">
        <v>2002</v>
      </c>
      <c r="E1760" t="s">
        <v>15</v>
      </c>
      <c r="F1760" t="s">
        <v>16</v>
      </c>
      <c r="G1760" t="s">
        <v>17</v>
      </c>
      <c r="H1760" t="s">
        <v>18</v>
      </c>
      <c r="I1760">
        <v>58.453000000000003</v>
      </c>
      <c r="J1760" t="s">
        <v>19</v>
      </c>
      <c r="K1760" t="s">
        <v>2427</v>
      </c>
      <c r="L1760" t="s">
        <v>21</v>
      </c>
      <c r="M1760" t="str">
        <f t="shared" si="81"/>
        <v>OK</v>
      </c>
      <c r="N1760" t="str">
        <f t="shared" si="82"/>
        <v>2000s</v>
      </c>
      <c r="O1760" t="str">
        <f t="shared" si="83"/>
        <v>Medium</v>
      </c>
      <c r="P1760" t="str">
        <f>VLOOKUP(E1760,calculated_fields!$F$4:$G$6,2,FALSE)</f>
        <v>Health</v>
      </c>
    </row>
    <row r="1761" spans="1:16">
      <c r="A1761" t="s">
        <v>2428</v>
      </c>
      <c r="B1761" t="s">
        <v>2386</v>
      </c>
      <c r="C1761" t="s">
        <v>130</v>
      </c>
      <c r="D1761">
        <v>2002</v>
      </c>
      <c r="E1761" t="s">
        <v>23</v>
      </c>
      <c r="F1761" t="s">
        <v>24</v>
      </c>
      <c r="G1761" t="s">
        <v>25</v>
      </c>
      <c r="H1761" t="s">
        <v>26</v>
      </c>
      <c r="I1761">
        <v>20550751</v>
      </c>
      <c r="J1761" t="s">
        <v>27</v>
      </c>
      <c r="K1761" t="s">
        <v>2427</v>
      </c>
      <c r="L1761" t="s">
        <v>21</v>
      </c>
      <c r="M1761" t="str">
        <f t="shared" si="81"/>
        <v>OK</v>
      </c>
      <c r="N1761" t="str">
        <f t="shared" si="82"/>
        <v>2000s</v>
      </c>
      <c r="O1761" t="str">
        <f t="shared" si="83"/>
        <v>N/A</v>
      </c>
      <c r="P1761" t="str">
        <f>VLOOKUP(E1761,calculated_fields!$F$4:$G$6,2,FALSE)</f>
        <v>Demographics</v>
      </c>
    </row>
    <row r="1762" spans="1:16">
      <c r="A1762" t="s">
        <v>2429</v>
      </c>
      <c r="B1762" t="s">
        <v>2386</v>
      </c>
      <c r="C1762" t="s">
        <v>130</v>
      </c>
      <c r="D1762">
        <v>2002</v>
      </c>
      <c r="E1762" t="s">
        <v>29</v>
      </c>
      <c r="F1762" t="s">
        <v>30</v>
      </c>
      <c r="G1762" t="s">
        <v>31</v>
      </c>
      <c r="H1762" t="s">
        <v>32</v>
      </c>
      <c r="I1762">
        <v>1111.9845779999901</v>
      </c>
      <c r="J1762" t="s">
        <v>33</v>
      </c>
      <c r="K1762" t="s">
        <v>2427</v>
      </c>
      <c r="L1762" t="s">
        <v>21</v>
      </c>
      <c r="M1762" t="str">
        <f t="shared" si="81"/>
        <v>OK</v>
      </c>
      <c r="N1762" t="str">
        <f t="shared" si="82"/>
        <v>2000s</v>
      </c>
      <c r="O1762" t="str">
        <f t="shared" si="83"/>
        <v>N/A</v>
      </c>
      <c r="P1762" t="str">
        <f>VLOOKUP(E1762,calculated_fields!$F$4:$G$6,2,FALSE)</f>
        <v>Economy</v>
      </c>
    </row>
    <row r="1763" spans="1:16">
      <c r="A1763" t="s">
        <v>2430</v>
      </c>
      <c r="B1763" t="s">
        <v>2386</v>
      </c>
      <c r="C1763" t="s">
        <v>130</v>
      </c>
      <c r="D1763">
        <v>2007</v>
      </c>
      <c r="E1763" t="s">
        <v>15</v>
      </c>
      <c r="F1763" t="s">
        <v>16</v>
      </c>
      <c r="G1763" t="s">
        <v>17</v>
      </c>
      <c r="H1763" t="s">
        <v>18</v>
      </c>
      <c r="I1763">
        <v>60.021999999999998</v>
      </c>
      <c r="J1763" t="s">
        <v>19</v>
      </c>
      <c r="K1763" t="s">
        <v>2431</v>
      </c>
      <c r="L1763" t="s">
        <v>21</v>
      </c>
      <c r="M1763" t="str">
        <f t="shared" si="81"/>
        <v>OK</v>
      </c>
      <c r="N1763" t="str">
        <f t="shared" si="82"/>
        <v>2000s</v>
      </c>
      <c r="O1763" t="str">
        <f t="shared" si="83"/>
        <v>Medium</v>
      </c>
      <c r="P1763" t="str">
        <f>VLOOKUP(E1763,calculated_fields!$F$4:$G$6,2,FALSE)</f>
        <v>Health</v>
      </c>
    </row>
    <row r="1764" spans="1:16">
      <c r="A1764" t="s">
        <v>2432</v>
      </c>
      <c r="B1764" t="s">
        <v>2386</v>
      </c>
      <c r="C1764" t="s">
        <v>130</v>
      </c>
      <c r="D1764">
        <v>2007</v>
      </c>
      <c r="E1764" t="s">
        <v>23</v>
      </c>
      <c r="F1764" t="s">
        <v>24</v>
      </c>
      <c r="G1764" t="s">
        <v>25</v>
      </c>
      <c r="H1764" t="s">
        <v>26</v>
      </c>
      <c r="I1764">
        <v>22873338</v>
      </c>
      <c r="J1764" t="s">
        <v>27</v>
      </c>
      <c r="K1764" t="s">
        <v>2431</v>
      </c>
      <c r="L1764" t="s">
        <v>21</v>
      </c>
      <c r="M1764" t="str">
        <f t="shared" si="81"/>
        <v>OK</v>
      </c>
      <c r="N1764" t="str">
        <f t="shared" si="82"/>
        <v>2000s</v>
      </c>
      <c r="O1764" t="str">
        <f t="shared" si="83"/>
        <v>N/A</v>
      </c>
      <c r="P1764" t="str">
        <f>VLOOKUP(E1764,calculated_fields!$F$4:$G$6,2,FALSE)</f>
        <v>Demographics</v>
      </c>
    </row>
    <row r="1765" spans="1:16">
      <c r="A1765" t="s">
        <v>2433</v>
      </c>
      <c r="B1765" t="s">
        <v>2386</v>
      </c>
      <c r="C1765" t="s">
        <v>130</v>
      </c>
      <c r="D1765">
        <v>2007</v>
      </c>
      <c r="E1765" t="s">
        <v>29</v>
      </c>
      <c r="F1765" t="s">
        <v>30</v>
      </c>
      <c r="G1765" t="s">
        <v>31</v>
      </c>
      <c r="H1765" t="s">
        <v>32</v>
      </c>
      <c r="I1765">
        <v>1327.6089099999999</v>
      </c>
      <c r="J1765" t="s">
        <v>33</v>
      </c>
      <c r="K1765" t="s">
        <v>2431</v>
      </c>
      <c r="L1765" t="s">
        <v>21</v>
      </c>
      <c r="M1765" t="str">
        <f t="shared" si="81"/>
        <v>OK</v>
      </c>
      <c r="N1765" t="str">
        <f t="shared" si="82"/>
        <v>2000s</v>
      </c>
      <c r="O1765" t="str">
        <f t="shared" si="83"/>
        <v>N/A</v>
      </c>
      <c r="P1765" t="str">
        <f>VLOOKUP(E1765,calculated_fields!$F$4:$G$6,2,FALSE)</f>
        <v>Economy</v>
      </c>
    </row>
    <row r="1766" spans="1:16">
      <c r="A1766" t="s">
        <v>2434</v>
      </c>
      <c r="B1766" t="s">
        <v>2435</v>
      </c>
      <c r="C1766" t="s">
        <v>80</v>
      </c>
      <c r="D1766">
        <v>1952</v>
      </c>
      <c r="E1766" t="s">
        <v>15</v>
      </c>
      <c r="F1766" t="s">
        <v>16</v>
      </c>
      <c r="G1766" t="s">
        <v>17</v>
      </c>
      <c r="H1766" t="s">
        <v>18</v>
      </c>
      <c r="I1766">
        <v>65.86</v>
      </c>
      <c r="J1766" t="s">
        <v>19</v>
      </c>
      <c r="K1766" t="s">
        <v>2436</v>
      </c>
      <c r="L1766" t="s">
        <v>21</v>
      </c>
      <c r="M1766" t="str">
        <f t="shared" si="81"/>
        <v>OK</v>
      </c>
      <c r="N1766" t="str">
        <f t="shared" si="82"/>
        <v>1950s</v>
      </c>
      <c r="O1766" t="str">
        <f t="shared" si="83"/>
        <v>Medium</v>
      </c>
      <c r="P1766" t="str">
        <f>VLOOKUP(E1766,calculated_fields!$F$4:$G$6,2,FALSE)</f>
        <v>Health</v>
      </c>
    </row>
    <row r="1767" spans="1:16">
      <c r="A1767" t="s">
        <v>2437</v>
      </c>
      <c r="B1767" t="s">
        <v>2435</v>
      </c>
      <c r="C1767" t="s">
        <v>80</v>
      </c>
      <c r="D1767">
        <v>1952</v>
      </c>
      <c r="E1767" t="s">
        <v>23</v>
      </c>
      <c r="F1767" t="s">
        <v>24</v>
      </c>
      <c r="G1767" t="s">
        <v>25</v>
      </c>
      <c r="H1767" t="s">
        <v>26</v>
      </c>
      <c r="I1767">
        <v>7733250</v>
      </c>
      <c r="J1767" t="s">
        <v>27</v>
      </c>
      <c r="K1767" t="s">
        <v>2436</v>
      </c>
      <c r="L1767" t="s">
        <v>21</v>
      </c>
      <c r="M1767" t="str">
        <f t="shared" si="81"/>
        <v>OK</v>
      </c>
      <c r="N1767" t="str">
        <f t="shared" si="82"/>
        <v>1950s</v>
      </c>
      <c r="O1767" t="str">
        <f t="shared" si="83"/>
        <v>N/A</v>
      </c>
      <c r="P1767" t="str">
        <f>VLOOKUP(E1767,calculated_fields!$F$4:$G$6,2,FALSE)</f>
        <v>Demographics</v>
      </c>
    </row>
    <row r="1768" spans="1:16">
      <c r="A1768" t="s">
        <v>2438</v>
      </c>
      <c r="B1768" t="s">
        <v>2435</v>
      </c>
      <c r="C1768" t="s">
        <v>80</v>
      </c>
      <c r="D1768">
        <v>1952</v>
      </c>
      <c r="E1768" t="s">
        <v>29</v>
      </c>
      <c r="F1768" t="s">
        <v>30</v>
      </c>
      <c r="G1768" t="s">
        <v>31</v>
      </c>
      <c r="H1768" t="s">
        <v>32</v>
      </c>
      <c r="I1768">
        <v>3530.690067</v>
      </c>
      <c r="J1768" t="s">
        <v>33</v>
      </c>
      <c r="K1768" t="s">
        <v>2436</v>
      </c>
      <c r="L1768" t="s">
        <v>21</v>
      </c>
      <c r="M1768" t="str">
        <f t="shared" si="81"/>
        <v>OK</v>
      </c>
      <c r="N1768" t="str">
        <f t="shared" si="82"/>
        <v>1950s</v>
      </c>
      <c r="O1768" t="str">
        <f t="shared" si="83"/>
        <v>N/A</v>
      </c>
      <c r="P1768" t="str">
        <f>VLOOKUP(E1768,calculated_fields!$F$4:$G$6,2,FALSE)</f>
        <v>Economy</v>
      </c>
    </row>
    <row r="1769" spans="1:16">
      <c r="A1769" t="s">
        <v>2439</v>
      </c>
      <c r="B1769" t="s">
        <v>2435</v>
      </c>
      <c r="C1769" t="s">
        <v>80</v>
      </c>
      <c r="D1769">
        <v>1957</v>
      </c>
      <c r="E1769" t="s">
        <v>15</v>
      </c>
      <c r="F1769" t="s">
        <v>16</v>
      </c>
      <c r="G1769" t="s">
        <v>17</v>
      </c>
      <c r="H1769" t="s">
        <v>18</v>
      </c>
      <c r="I1769">
        <v>67.86</v>
      </c>
      <c r="J1769" t="s">
        <v>19</v>
      </c>
      <c r="K1769" t="s">
        <v>2440</v>
      </c>
      <c r="L1769" t="s">
        <v>21</v>
      </c>
      <c r="M1769" t="str">
        <f t="shared" si="81"/>
        <v>OK</v>
      </c>
      <c r="N1769" t="str">
        <f t="shared" si="82"/>
        <v>1950s</v>
      </c>
      <c r="O1769" t="str">
        <f t="shared" si="83"/>
        <v>Medium</v>
      </c>
      <c r="P1769" t="str">
        <f>VLOOKUP(E1769,calculated_fields!$F$4:$G$6,2,FALSE)</f>
        <v>Health</v>
      </c>
    </row>
    <row r="1770" spans="1:16">
      <c r="A1770" t="s">
        <v>2441</v>
      </c>
      <c r="B1770" t="s">
        <v>2435</v>
      </c>
      <c r="C1770" t="s">
        <v>80</v>
      </c>
      <c r="D1770">
        <v>1957</v>
      </c>
      <c r="E1770" t="s">
        <v>23</v>
      </c>
      <c r="F1770" t="s">
        <v>24</v>
      </c>
      <c r="G1770" t="s">
        <v>25</v>
      </c>
      <c r="H1770" t="s">
        <v>26</v>
      </c>
      <c r="I1770">
        <v>8096218</v>
      </c>
      <c r="J1770" t="s">
        <v>27</v>
      </c>
      <c r="K1770" t="s">
        <v>2440</v>
      </c>
      <c r="L1770" t="s">
        <v>21</v>
      </c>
      <c r="M1770" t="str">
        <f t="shared" si="81"/>
        <v>OK</v>
      </c>
      <c r="N1770" t="str">
        <f t="shared" si="82"/>
        <v>1950s</v>
      </c>
      <c r="O1770" t="str">
        <f t="shared" si="83"/>
        <v>N/A</v>
      </c>
      <c r="P1770" t="str">
        <f>VLOOKUP(E1770,calculated_fields!$F$4:$G$6,2,FALSE)</f>
        <v>Demographics</v>
      </c>
    </row>
    <row r="1771" spans="1:16">
      <c r="A1771" t="s">
        <v>2442</v>
      </c>
      <c r="B1771" t="s">
        <v>2435</v>
      </c>
      <c r="C1771" t="s">
        <v>80</v>
      </c>
      <c r="D1771">
        <v>1957</v>
      </c>
      <c r="E1771" t="s">
        <v>29</v>
      </c>
      <c r="F1771" t="s">
        <v>30</v>
      </c>
      <c r="G1771" t="s">
        <v>31</v>
      </c>
      <c r="H1771" t="s">
        <v>32</v>
      </c>
      <c r="I1771">
        <v>4916.2998889999999</v>
      </c>
      <c r="J1771" t="s">
        <v>33</v>
      </c>
      <c r="K1771" t="s">
        <v>2440</v>
      </c>
      <c r="L1771" t="s">
        <v>21</v>
      </c>
      <c r="M1771" t="str">
        <f t="shared" si="81"/>
        <v>OK</v>
      </c>
      <c r="N1771" t="str">
        <f t="shared" si="82"/>
        <v>1950s</v>
      </c>
      <c r="O1771" t="str">
        <f t="shared" si="83"/>
        <v>N/A</v>
      </c>
      <c r="P1771" t="str">
        <f>VLOOKUP(E1771,calculated_fields!$F$4:$G$6,2,FALSE)</f>
        <v>Economy</v>
      </c>
    </row>
    <row r="1772" spans="1:16">
      <c r="A1772" t="s">
        <v>2443</v>
      </c>
      <c r="B1772" t="s">
        <v>2435</v>
      </c>
      <c r="C1772" t="s">
        <v>80</v>
      </c>
      <c r="D1772">
        <v>1962</v>
      </c>
      <c r="E1772" t="s">
        <v>15</v>
      </c>
      <c r="F1772" t="s">
        <v>16</v>
      </c>
      <c r="G1772" t="s">
        <v>17</v>
      </c>
      <c r="H1772" t="s">
        <v>18</v>
      </c>
      <c r="I1772">
        <v>69.510000000000005</v>
      </c>
      <c r="J1772" t="s">
        <v>19</v>
      </c>
      <c r="K1772" t="s">
        <v>2444</v>
      </c>
      <c r="L1772" t="s">
        <v>21</v>
      </c>
      <c r="M1772" t="str">
        <f t="shared" si="81"/>
        <v>OK</v>
      </c>
      <c r="N1772" t="str">
        <f t="shared" si="82"/>
        <v>1960s</v>
      </c>
      <c r="O1772" t="str">
        <f t="shared" si="83"/>
        <v>Medium</v>
      </c>
      <c r="P1772" t="str">
        <f>VLOOKUP(E1772,calculated_fields!$F$4:$G$6,2,FALSE)</f>
        <v>Health</v>
      </c>
    </row>
    <row r="1773" spans="1:16">
      <c r="A1773" t="s">
        <v>2445</v>
      </c>
      <c r="B1773" t="s">
        <v>2435</v>
      </c>
      <c r="C1773" t="s">
        <v>80</v>
      </c>
      <c r="D1773">
        <v>1962</v>
      </c>
      <c r="E1773" t="s">
        <v>23</v>
      </c>
      <c r="F1773" t="s">
        <v>24</v>
      </c>
      <c r="G1773" t="s">
        <v>25</v>
      </c>
      <c r="H1773" t="s">
        <v>26</v>
      </c>
      <c r="I1773">
        <v>8448233</v>
      </c>
      <c r="J1773" t="s">
        <v>27</v>
      </c>
      <c r="K1773" t="s">
        <v>2444</v>
      </c>
      <c r="L1773" t="s">
        <v>21</v>
      </c>
      <c r="M1773" t="str">
        <f t="shared" si="81"/>
        <v>OK</v>
      </c>
      <c r="N1773" t="str">
        <f t="shared" si="82"/>
        <v>1960s</v>
      </c>
      <c r="O1773" t="str">
        <f t="shared" si="83"/>
        <v>N/A</v>
      </c>
      <c r="P1773" t="str">
        <f>VLOOKUP(E1773,calculated_fields!$F$4:$G$6,2,FALSE)</f>
        <v>Demographics</v>
      </c>
    </row>
    <row r="1774" spans="1:16">
      <c r="A1774" t="s">
        <v>2446</v>
      </c>
      <c r="B1774" t="s">
        <v>2435</v>
      </c>
      <c r="C1774" t="s">
        <v>80</v>
      </c>
      <c r="D1774">
        <v>1962</v>
      </c>
      <c r="E1774" t="s">
        <v>29</v>
      </c>
      <c r="F1774" t="s">
        <v>30</v>
      </c>
      <c r="G1774" t="s">
        <v>31</v>
      </c>
      <c r="H1774" t="s">
        <v>32</v>
      </c>
      <c r="I1774">
        <v>6017.1907329999904</v>
      </c>
      <c r="J1774" t="s">
        <v>33</v>
      </c>
      <c r="K1774" t="s">
        <v>2444</v>
      </c>
      <c r="L1774" t="s">
        <v>21</v>
      </c>
      <c r="M1774" t="str">
        <f t="shared" si="81"/>
        <v>OK</v>
      </c>
      <c r="N1774" t="str">
        <f t="shared" si="82"/>
        <v>1960s</v>
      </c>
      <c r="O1774" t="str">
        <f t="shared" si="83"/>
        <v>N/A</v>
      </c>
      <c r="P1774" t="str">
        <f>VLOOKUP(E1774,calculated_fields!$F$4:$G$6,2,FALSE)</f>
        <v>Economy</v>
      </c>
    </row>
    <row r="1775" spans="1:16">
      <c r="A1775" t="s">
        <v>2447</v>
      </c>
      <c r="B1775" t="s">
        <v>2435</v>
      </c>
      <c r="C1775" t="s">
        <v>80</v>
      </c>
      <c r="D1775">
        <v>1967</v>
      </c>
      <c r="E1775" t="s">
        <v>15</v>
      </c>
      <c r="F1775" t="s">
        <v>16</v>
      </c>
      <c r="G1775" t="s">
        <v>17</v>
      </c>
      <c r="H1775" t="s">
        <v>18</v>
      </c>
      <c r="I1775">
        <v>71</v>
      </c>
      <c r="J1775" t="s">
        <v>19</v>
      </c>
      <c r="K1775" t="s">
        <v>2448</v>
      </c>
      <c r="L1775" t="s">
        <v>21</v>
      </c>
      <c r="M1775" t="str">
        <f t="shared" si="81"/>
        <v>OK</v>
      </c>
      <c r="N1775" t="str">
        <f t="shared" si="82"/>
        <v>1960s</v>
      </c>
      <c r="O1775" t="str">
        <f t="shared" si="83"/>
        <v>High</v>
      </c>
      <c r="P1775" t="str">
        <f>VLOOKUP(E1775,calculated_fields!$F$4:$G$6,2,FALSE)</f>
        <v>Health</v>
      </c>
    </row>
    <row r="1776" spans="1:16">
      <c r="A1776" t="s">
        <v>2449</v>
      </c>
      <c r="B1776" t="s">
        <v>2435</v>
      </c>
      <c r="C1776" t="s">
        <v>80</v>
      </c>
      <c r="D1776">
        <v>1967</v>
      </c>
      <c r="E1776" t="s">
        <v>23</v>
      </c>
      <c r="F1776" t="s">
        <v>24</v>
      </c>
      <c r="G1776" t="s">
        <v>25</v>
      </c>
      <c r="H1776" t="s">
        <v>26</v>
      </c>
      <c r="I1776">
        <v>8716441</v>
      </c>
      <c r="J1776" t="s">
        <v>27</v>
      </c>
      <c r="K1776" t="s">
        <v>2448</v>
      </c>
      <c r="L1776" t="s">
        <v>21</v>
      </c>
      <c r="M1776" t="str">
        <f t="shared" si="81"/>
        <v>OK</v>
      </c>
      <c r="N1776" t="str">
        <f t="shared" si="82"/>
        <v>1960s</v>
      </c>
      <c r="O1776" t="str">
        <f t="shared" si="83"/>
        <v>N/A</v>
      </c>
      <c r="P1776" t="str">
        <f>VLOOKUP(E1776,calculated_fields!$F$4:$G$6,2,FALSE)</f>
        <v>Demographics</v>
      </c>
    </row>
    <row r="1777" spans="1:16">
      <c r="A1777" t="s">
        <v>2450</v>
      </c>
      <c r="B1777" t="s">
        <v>2435</v>
      </c>
      <c r="C1777" t="s">
        <v>80</v>
      </c>
      <c r="D1777">
        <v>1967</v>
      </c>
      <c r="E1777" t="s">
        <v>29</v>
      </c>
      <c r="F1777" t="s">
        <v>30</v>
      </c>
      <c r="G1777" t="s">
        <v>31</v>
      </c>
      <c r="H1777" t="s">
        <v>32</v>
      </c>
      <c r="I1777">
        <v>8513.0970159999997</v>
      </c>
      <c r="J1777" t="s">
        <v>33</v>
      </c>
      <c r="K1777" t="s">
        <v>2448</v>
      </c>
      <c r="L1777" t="s">
        <v>21</v>
      </c>
      <c r="M1777" t="str">
        <f t="shared" si="81"/>
        <v>OK</v>
      </c>
      <c r="N1777" t="str">
        <f t="shared" si="82"/>
        <v>1960s</v>
      </c>
      <c r="O1777" t="str">
        <f t="shared" si="83"/>
        <v>N/A</v>
      </c>
      <c r="P1777" t="str">
        <f>VLOOKUP(E1777,calculated_fields!$F$4:$G$6,2,FALSE)</f>
        <v>Economy</v>
      </c>
    </row>
    <row r="1778" spans="1:16">
      <c r="A1778" t="s">
        <v>2451</v>
      </c>
      <c r="B1778" t="s">
        <v>2435</v>
      </c>
      <c r="C1778" t="s">
        <v>80</v>
      </c>
      <c r="D1778">
        <v>1972</v>
      </c>
      <c r="E1778" t="s">
        <v>15</v>
      </c>
      <c r="F1778" t="s">
        <v>16</v>
      </c>
      <c r="G1778" t="s">
        <v>17</v>
      </c>
      <c r="H1778" t="s">
        <v>18</v>
      </c>
      <c r="I1778">
        <v>72.34</v>
      </c>
      <c r="J1778" t="s">
        <v>19</v>
      </c>
      <c r="K1778" t="s">
        <v>2452</v>
      </c>
      <c r="L1778" t="s">
        <v>21</v>
      </c>
      <c r="M1778" t="str">
        <f t="shared" si="81"/>
        <v>OK</v>
      </c>
      <c r="N1778" t="str">
        <f t="shared" si="82"/>
        <v>1970s</v>
      </c>
      <c r="O1778" t="str">
        <f t="shared" si="83"/>
        <v>High</v>
      </c>
      <c r="P1778" t="str">
        <f>VLOOKUP(E1778,calculated_fields!$F$4:$G$6,2,FALSE)</f>
        <v>Health</v>
      </c>
    </row>
    <row r="1779" spans="1:16">
      <c r="A1779" t="s">
        <v>2453</v>
      </c>
      <c r="B1779" t="s">
        <v>2435</v>
      </c>
      <c r="C1779" t="s">
        <v>80</v>
      </c>
      <c r="D1779">
        <v>1972</v>
      </c>
      <c r="E1779" t="s">
        <v>23</v>
      </c>
      <c r="F1779" t="s">
        <v>24</v>
      </c>
      <c r="G1779" t="s">
        <v>25</v>
      </c>
      <c r="H1779" t="s">
        <v>26</v>
      </c>
      <c r="I1779">
        <v>8888628</v>
      </c>
      <c r="J1779" t="s">
        <v>27</v>
      </c>
      <c r="K1779" t="s">
        <v>2452</v>
      </c>
      <c r="L1779" t="s">
        <v>21</v>
      </c>
      <c r="M1779" t="str">
        <f t="shared" si="81"/>
        <v>OK</v>
      </c>
      <c r="N1779" t="str">
        <f t="shared" si="82"/>
        <v>1970s</v>
      </c>
      <c r="O1779" t="str">
        <f t="shared" si="83"/>
        <v>N/A</v>
      </c>
      <c r="P1779" t="str">
        <f>VLOOKUP(E1779,calculated_fields!$F$4:$G$6,2,FALSE)</f>
        <v>Demographics</v>
      </c>
    </row>
    <row r="1780" spans="1:16">
      <c r="A1780" t="s">
        <v>2454</v>
      </c>
      <c r="B1780" t="s">
        <v>2435</v>
      </c>
      <c r="C1780" t="s">
        <v>80</v>
      </c>
      <c r="D1780">
        <v>1972</v>
      </c>
      <c r="E1780" t="s">
        <v>29</v>
      </c>
      <c r="F1780" t="s">
        <v>30</v>
      </c>
      <c r="G1780" t="s">
        <v>31</v>
      </c>
      <c r="H1780" t="s">
        <v>32</v>
      </c>
      <c r="I1780">
        <v>12724.82957</v>
      </c>
      <c r="J1780" t="s">
        <v>33</v>
      </c>
      <c r="K1780" t="s">
        <v>2452</v>
      </c>
      <c r="L1780" t="s">
        <v>21</v>
      </c>
      <c r="M1780" t="str">
        <f t="shared" si="81"/>
        <v>OK</v>
      </c>
      <c r="N1780" t="str">
        <f t="shared" si="82"/>
        <v>1970s</v>
      </c>
      <c r="O1780" t="str">
        <f t="shared" si="83"/>
        <v>N/A</v>
      </c>
      <c r="P1780" t="str">
        <f>VLOOKUP(E1780,calculated_fields!$F$4:$G$6,2,FALSE)</f>
        <v>Economy</v>
      </c>
    </row>
    <row r="1781" spans="1:16">
      <c r="A1781" t="s">
        <v>2455</v>
      </c>
      <c r="B1781" t="s">
        <v>2435</v>
      </c>
      <c r="C1781" t="s">
        <v>80</v>
      </c>
      <c r="D1781">
        <v>1977</v>
      </c>
      <c r="E1781" t="s">
        <v>15</v>
      </c>
      <c r="F1781" t="s">
        <v>16</v>
      </c>
      <c r="G1781" t="s">
        <v>17</v>
      </c>
      <c r="H1781" t="s">
        <v>18</v>
      </c>
      <c r="I1781">
        <v>73.680000000000007</v>
      </c>
      <c r="J1781" t="s">
        <v>19</v>
      </c>
      <c r="K1781" t="s">
        <v>2456</v>
      </c>
      <c r="L1781" t="s">
        <v>21</v>
      </c>
      <c r="M1781" t="str">
        <f t="shared" si="81"/>
        <v>OK</v>
      </c>
      <c r="N1781" t="str">
        <f t="shared" si="82"/>
        <v>1970s</v>
      </c>
      <c r="O1781" t="str">
        <f t="shared" si="83"/>
        <v>High</v>
      </c>
      <c r="P1781" t="str">
        <f>VLOOKUP(E1781,calculated_fields!$F$4:$G$6,2,FALSE)</f>
        <v>Health</v>
      </c>
    </row>
    <row r="1782" spans="1:16">
      <c r="A1782" t="s">
        <v>2457</v>
      </c>
      <c r="B1782" t="s">
        <v>2435</v>
      </c>
      <c r="C1782" t="s">
        <v>80</v>
      </c>
      <c r="D1782">
        <v>1977</v>
      </c>
      <c r="E1782" t="s">
        <v>23</v>
      </c>
      <c r="F1782" t="s">
        <v>24</v>
      </c>
      <c r="G1782" t="s">
        <v>25</v>
      </c>
      <c r="H1782" t="s">
        <v>26</v>
      </c>
      <c r="I1782">
        <v>9308479</v>
      </c>
      <c r="J1782" t="s">
        <v>27</v>
      </c>
      <c r="K1782" t="s">
        <v>2456</v>
      </c>
      <c r="L1782" t="s">
        <v>21</v>
      </c>
      <c r="M1782" t="str">
        <f t="shared" si="81"/>
        <v>OK</v>
      </c>
      <c r="N1782" t="str">
        <f t="shared" si="82"/>
        <v>1970s</v>
      </c>
      <c r="O1782" t="str">
        <f t="shared" si="83"/>
        <v>N/A</v>
      </c>
      <c r="P1782" t="str">
        <f>VLOOKUP(E1782,calculated_fields!$F$4:$G$6,2,FALSE)</f>
        <v>Demographics</v>
      </c>
    </row>
    <row r="1783" spans="1:16">
      <c r="A1783" t="s">
        <v>2458</v>
      </c>
      <c r="B1783" t="s">
        <v>2435</v>
      </c>
      <c r="C1783" t="s">
        <v>80</v>
      </c>
      <c r="D1783">
        <v>1977</v>
      </c>
      <c r="E1783" t="s">
        <v>29</v>
      </c>
      <c r="F1783" t="s">
        <v>30</v>
      </c>
      <c r="G1783" t="s">
        <v>31</v>
      </c>
      <c r="H1783" t="s">
        <v>32</v>
      </c>
      <c r="I1783">
        <v>14195.52428</v>
      </c>
      <c r="J1783" t="s">
        <v>33</v>
      </c>
      <c r="K1783" t="s">
        <v>2456</v>
      </c>
      <c r="L1783" t="s">
        <v>21</v>
      </c>
      <c r="M1783" t="str">
        <f t="shared" si="81"/>
        <v>OK</v>
      </c>
      <c r="N1783" t="str">
        <f t="shared" si="82"/>
        <v>1970s</v>
      </c>
      <c r="O1783" t="str">
        <f t="shared" si="83"/>
        <v>N/A</v>
      </c>
      <c r="P1783" t="str">
        <f>VLOOKUP(E1783,calculated_fields!$F$4:$G$6,2,FALSE)</f>
        <v>Economy</v>
      </c>
    </row>
    <row r="1784" spans="1:16">
      <c r="A1784" t="s">
        <v>2459</v>
      </c>
      <c r="B1784" t="s">
        <v>2435</v>
      </c>
      <c r="C1784" t="s">
        <v>80</v>
      </c>
      <c r="D1784">
        <v>1982</v>
      </c>
      <c r="E1784" t="s">
        <v>15</v>
      </c>
      <c r="F1784" t="s">
        <v>16</v>
      </c>
      <c r="G1784" t="s">
        <v>17</v>
      </c>
      <c r="H1784" t="s">
        <v>18</v>
      </c>
      <c r="I1784">
        <v>75.239999999999995</v>
      </c>
      <c r="J1784" t="s">
        <v>19</v>
      </c>
      <c r="K1784" t="s">
        <v>2460</v>
      </c>
      <c r="L1784" t="s">
        <v>21</v>
      </c>
      <c r="M1784" t="str">
        <f t="shared" si="81"/>
        <v>OK</v>
      </c>
      <c r="N1784" t="str">
        <f t="shared" si="82"/>
        <v>1980s</v>
      </c>
      <c r="O1784" t="str">
        <f t="shared" si="83"/>
        <v>High</v>
      </c>
      <c r="P1784" t="str">
        <f>VLOOKUP(E1784,calculated_fields!$F$4:$G$6,2,FALSE)</f>
        <v>Health</v>
      </c>
    </row>
    <row r="1785" spans="1:16">
      <c r="A1785" t="s">
        <v>2461</v>
      </c>
      <c r="B1785" t="s">
        <v>2435</v>
      </c>
      <c r="C1785" t="s">
        <v>80</v>
      </c>
      <c r="D1785">
        <v>1982</v>
      </c>
      <c r="E1785" t="s">
        <v>23</v>
      </c>
      <c r="F1785" t="s">
        <v>24</v>
      </c>
      <c r="G1785" t="s">
        <v>25</v>
      </c>
      <c r="H1785" t="s">
        <v>26</v>
      </c>
      <c r="I1785">
        <v>9786480</v>
      </c>
      <c r="J1785" t="s">
        <v>27</v>
      </c>
      <c r="K1785" t="s">
        <v>2460</v>
      </c>
      <c r="L1785" t="s">
        <v>21</v>
      </c>
      <c r="M1785" t="str">
        <f t="shared" si="81"/>
        <v>OK</v>
      </c>
      <c r="N1785" t="str">
        <f t="shared" si="82"/>
        <v>1980s</v>
      </c>
      <c r="O1785" t="str">
        <f t="shared" si="83"/>
        <v>N/A</v>
      </c>
      <c r="P1785" t="str">
        <f>VLOOKUP(E1785,calculated_fields!$F$4:$G$6,2,FALSE)</f>
        <v>Demographics</v>
      </c>
    </row>
    <row r="1786" spans="1:16">
      <c r="A1786" t="s">
        <v>2462</v>
      </c>
      <c r="B1786" t="s">
        <v>2435</v>
      </c>
      <c r="C1786" t="s">
        <v>80</v>
      </c>
      <c r="D1786">
        <v>1982</v>
      </c>
      <c r="E1786" t="s">
        <v>29</v>
      </c>
      <c r="F1786" t="s">
        <v>30</v>
      </c>
      <c r="G1786" t="s">
        <v>31</v>
      </c>
      <c r="H1786" t="s">
        <v>32</v>
      </c>
      <c r="I1786">
        <v>15268.420889999999</v>
      </c>
      <c r="J1786" t="s">
        <v>33</v>
      </c>
      <c r="K1786" t="s">
        <v>2460</v>
      </c>
      <c r="L1786" t="s">
        <v>21</v>
      </c>
      <c r="M1786" t="str">
        <f t="shared" si="81"/>
        <v>OK</v>
      </c>
      <c r="N1786" t="str">
        <f t="shared" si="82"/>
        <v>1980s</v>
      </c>
      <c r="O1786" t="str">
        <f t="shared" si="83"/>
        <v>N/A</v>
      </c>
      <c r="P1786" t="str">
        <f>VLOOKUP(E1786,calculated_fields!$F$4:$G$6,2,FALSE)</f>
        <v>Economy</v>
      </c>
    </row>
    <row r="1787" spans="1:16">
      <c r="A1787" t="s">
        <v>2463</v>
      </c>
      <c r="B1787" t="s">
        <v>2435</v>
      </c>
      <c r="C1787" t="s">
        <v>80</v>
      </c>
      <c r="D1787">
        <v>1987</v>
      </c>
      <c r="E1787" t="s">
        <v>15</v>
      </c>
      <c r="F1787" t="s">
        <v>16</v>
      </c>
      <c r="G1787" t="s">
        <v>17</v>
      </c>
      <c r="H1787" t="s">
        <v>18</v>
      </c>
      <c r="I1787">
        <v>76.67</v>
      </c>
      <c r="J1787" t="s">
        <v>19</v>
      </c>
      <c r="K1787" t="s">
        <v>2464</v>
      </c>
      <c r="L1787" t="s">
        <v>21</v>
      </c>
      <c r="M1787" t="str">
        <f t="shared" si="81"/>
        <v>OK</v>
      </c>
      <c r="N1787" t="str">
        <f t="shared" si="82"/>
        <v>1980s</v>
      </c>
      <c r="O1787" t="str">
        <f t="shared" si="83"/>
        <v>High</v>
      </c>
      <c r="P1787" t="str">
        <f>VLOOKUP(E1787,calculated_fields!$F$4:$G$6,2,FALSE)</f>
        <v>Health</v>
      </c>
    </row>
    <row r="1788" spans="1:16">
      <c r="A1788" t="s">
        <v>2465</v>
      </c>
      <c r="B1788" t="s">
        <v>2435</v>
      </c>
      <c r="C1788" t="s">
        <v>80</v>
      </c>
      <c r="D1788">
        <v>1987</v>
      </c>
      <c r="E1788" t="s">
        <v>23</v>
      </c>
      <c r="F1788" t="s">
        <v>24</v>
      </c>
      <c r="G1788" t="s">
        <v>25</v>
      </c>
      <c r="H1788" t="s">
        <v>26</v>
      </c>
      <c r="I1788">
        <v>9974490</v>
      </c>
      <c r="J1788" t="s">
        <v>27</v>
      </c>
      <c r="K1788" t="s">
        <v>2464</v>
      </c>
      <c r="L1788" t="s">
        <v>21</v>
      </c>
      <c r="M1788" t="str">
        <f t="shared" si="81"/>
        <v>OK</v>
      </c>
      <c r="N1788" t="str">
        <f t="shared" si="82"/>
        <v>1980s</v>
      </c>
      <c r="O1788" t="str">
        <f t="shared" si="83"/>
        <v>N/A</v>
      </c>
      <c r="P1788" t="str">
        <f>VLOOKUP(E1788,calculated_fields!$F$4:$G$6,2,FALSE)</f>
        <v>Demographics</v>
      </c>
    </row>
    <row r="1789" spans="1:16">
      <c r="A1789" t="s">
        <v>2466</v>
      </c>
      <c r="B1789" t="s">
        <v>2435</v>
      </c>
      <c r="C1789" t="s">
        <v>80</v>
      </c>
      <c r="D1789">
        <v>1987</v>
      </c>
      <c r="E1789" t="s">
        <v>29</v>
      </c>
      <c r="F1789" t="s">
        <v>30</v>
      </c>
      <c r="G1789" t="s">
        <v>31</v>
      </c>
      <c r="H1789" t="s">
        <v>32</v>
      </c>
      <c r="I1789">
        <v>16120.528389999999</v>
      </c>
      <c r="J1789" t="s">
        <v>33</v>
      </c>
      <c r="K1789" t="s">
        <v>2464</v>
      </c>
      <c r="L1789" t="s">
        <v>21</v>
      </c>
      <c r="M1789" t="str">
        <f t="shared" si="81"/>
        <v>OK</v>
      </c>
      <c r="N1789" t="str">
        <f t="shared" si="82"/>
        <v>1980s</v>
      </c>
      <c r="O1789" t="str">
        <f t="shared" si="83"/>
        <v>N/A</v>
      </c>
      <c r="P1789" t="str">
        <f>VLOOKUP(E1789,calculated_fields!$F$4:$G$6,2,FALSE)</f>
        <v>Economy</v>
      </c>
    </row>
    <row r="1790" spans="1:16">
      <c r="A1790" t="s">
        <v>2467</v>
      </c>
      <c r="B1790" t="s">
        <v>2435</v>
      </c>
      <c r="C1790" t="s">
        <v>80</v>
      </c>
      <c r="D1790">
        <v>1992</v>
      </c>
      <c r="E1790" t="s">
        <v>15</v>
      </c>
      <c r="F1790" t="s">
        <v>16</v>
      </c>
      <c r="G1790" t="s">
        <v>17</v>
      </c>
      <c r="H1790" t="s">
        <v>18</v>
      </c>
      <c r="I1790">
        <v>77.03</v>
      </c>
      <c r="J1790" t="s">
        <v>19</v>
      </c>
      <c r="K1790" t="s">
        <v>2468</v>
      </c>
      <c r="L1790" t="s">
        <v>21</v>
      </c>
      <c r="M1790" t="str">
        <f t="shared" si="81"/>
        <v>OK</v>
      </c>
      <c r="N1790" t="str">
        <f t="shared" si="82"/>
        <v>1990s</v>
      </c>
      <c r="O1790" t="str">
        <f t="shared" si="83"/>
        <v>High</v>
      </c>
      <c r="P1790" t="str">
        <f>VLOOKUP(E1790,calculated_fields!$F$4:$G$6,2,FALSE)</f>
        <v>Health</v>
      </c>
    </row>
    <row r="1791" spans="1:16">
      <c r="A1791" t="s">
        <v>2469</v>
      </c>
      <c r="B1791" t="s">
        <v>2435</v>
      </c>
      <c r="C1791" t="s">
        <v>80</v>
      </c>
      <c r="D1791">
        <v>1992</v>
      </c>
      <c r="E1791" t="s">
        <v>23</v>
      </c>
      <c r="F1791" t="s">
        <v>24</v>
      </c>
      <c r="G1791" t="s">
        <v>25</v>
      </c>
      <c r="H1791" t="s">
        <v>26</v>
      </c>
      <c r="I1791">
        <v>10325429</v>
      </c>
      <c r="J1791" t="s">
        <v>27</v>
      </c>
      <c r="K1791" t="s">
        <v>2468</v>
      </c>
      <c r="L1791" t="s">
        <v>21</v>
      </c>
      <c r="M1791" t="str">
        <f t="shared" si="81"/>
        <v>OK</v>
      </c>
      <c r="N1791" t="str">
        <f t="shared" si="82"/>
        <v>1990s</v>
      </c>
      <c r="O1791" t="str">
        <f t="shared" si="83"/>
        <v>N/A</v>
      </c>
      <c r="P1791" t="str">
        <f>VLOOKUP(E1791,calculated_fields!$F$4:$G$6,2,FALSE)</f>
        <v>Demographics</v>
      </c>
    </row>
    <row r="1792" spans="1:16">
      <c r="A1792" t="s">
        <v>2470</v>
      </c>
      <c r="B1792" t="s">
        <v>2435</v>
      </c>
      <c r="C1792" t="s">
        <v>80</v>
      </c>
      <c r="D1792">
        <v>1992</v>
      </c>
      <c r="E1792" t="s">
        <v>29</v>
      </c>
      <c r="F1792" t="s">
        <v>30</v>
      </c>
      <c r="G1792" t="s">
        <v>31</v>
      </c>
      <c r="H1792" t="s">
        <v>32</v>
      </c>
      <c r="I1792">
        <v>17541.496340000002</v>
      </c>
      <c r="J1792" t="s">
        <v>33</v>
      </c>
      <c r="K1792" t="s">
        <v>2468</v>
      </c>
      <c r="L1792" t="s">
        <v>21</v>
      </c>
      <c r="M1792" t="str">
        <f t="shared" si="81"/>
        <v>OK</v>
      </c>
      <c r="N1792" t="str">
        <f t="shared" si="82"/>
        <v>1990s</v>
      </c>
      <c r="O1792" t="str">
        <f t="shared" si="83"/>
        <v>N/A</v>
      </c>
      <c r="P1792" t="str">
        <f>VLOOKUP(E1792,calculated_fields!$F$4:$G$6,2,FALSE)</f>
        <v>Economy</v>
      </c>
    </row>
    <row r="1793" spans="1:16">
      <c r="A1793" t="s">
        <v>2471</v>
      </c>
      <c r="B1793" t="s">
        <v>2435</v>
      </c>
      <c r="C1793" t="s">
        <v>80</v>
      </c>
      <c r="D1793">
        <v>1997</v>
      </c>
      <c r="E1793" t="s">
        <v>15</v>
      </c>
      <c r="F1793" t="s">
        <v>16</v>
      </c>
      <c r="G1793" t="s">
        <v>17</v>
      </c>
      <c r="H1793" t="s">
        <v>18</v>
      </c>
      <c r="I1793">
        <v>77.869</v>
      </c>
      <c r="J1793" t="s">
        <v>19</v>
      </c>
      <c r="K1793" t="s">
        <v>2472</v>
      </c>
      <c r="L1793" t="s">
        <v>21</v>
      </c>
      <c r="M1793" t="str">
        <f t="shared" si="81"/>
        <v>OK</v>
      </c>
      <c r="N1793" t="str">
        <f t="shared" si="82"/>
        <v>1990s</v>
      </c>
      <c r="O1793" t="str">
        <f t="shared" si="83"/>
        <v>High</v>
      </c>
      <c r="P1793" t="str">
        <f>VLOOKUP(E1793,calculated_fields!$F$4:$G$6,2,FALSE)</f>
        <v>Health</v>
      </c>
    </row>
    <row r="1794" spans="1:16">
      <c r="A1794" t="s">
        <v>2473</v>
      </c>
      <c r="B1794" t="s">
        <v>2435</v>
      </c>
      <c r="C1794" t="s">
        <v>80</v>
      </c>
      <c r="D1794">
        <v>1997</v>
      </c>
      <c r="E1794" t="s">
        <v>23</v>
      </c>
      <c r="F1794" t="s">
        <v>24</v>
      </c>
      <c r="G1794" t="s">
        <v>25</v>
      </c>
      <c r="H1794" t="s">
        <v>26</v>
      </c>
      <c r="I1794">
        <v>10502372</v>
      </c>
      <c r="J1794" t="s">
        <v>27</v>
      </c>
      <c r="K1794" t="s">
        <v>2472</v>
      </c>
      <c r="L1794" t="s">
        <v>21</v>
      </c>
      <c r="M1794" t="str">
        <f t="shared" ref="M1794:M1857" si="84">IF(AND(ISNUMBER(I1794),I1794&gt;=0),"OK","Review")</f>
        <v>OK</v>
      </c>
      <c r="N1794" t="str">
        <f t="shared" ref="N1794:N1857" si="85">FLOOR(D1794,10)&amp;"s"</f>
        <v>1990s</v>
      </c>
      <c r="O1794" t="str">
        <f t="shared" ref="O1794:O1857" si="86">IF(E1794="LIFE_EXP",IF(I1794&gt;=70,"High",IF(I1794&gt;=55,"Medium","Low")),"N/A")</f>
        <v>N/A</v>
      </c>
      <c r="P1794" t="str">
        <f>VLOOKUP(E1794,calculated_fields!$F$4:$G$6,2,FALSE)</f>
        <v>Demographics</v>
      </c>
    </row>
    <row r="1795" spans="1:16">
      <c r="A1795" t="s">
        <v>2474</v>
      </c>
      <c r="B1795" t="s">
        <v>2435</v>
      </c>
      <c r="C1795" t="s">
        <v>80</v>
      </c>
      <c r="D1795">
        <v>1997</v>
      </c>
      <c r="E1795" t="s">
        <v>29</v>
      </c>
      <c r="F1795" t="s">
        <v>30</v>
      </c>
      <c r="G1795" t="s">
        <v>31</v>
      </c>
      <c r="H1795" t="s">
        <v>32</v>
      </c>
      <c r="I1795">
        <v>18747.69814</v>
      </c>
      <c r="J1795" t="s">
        <v>33</v>
      </c>
      <c r="K1795" t="s">
        <v>2472</v>
      </c>
      <c r="L1795" t="s">
        <v>21</v>
      </c>
      <c r="M1795" t="str">
        <f t="shared" si="84"/>
        <v>OK</v>
      </c>
      <c r="N1795" t="str">
        <f t="shared" si="85"/>
        <v>1990s</v>
      </c>
      <c r="O1795" t="str">
        <f t="shared" si="86"/>
        <v>N/A</v>
      </c>
      <c r="P1795" t="str">
        <f>VLOOKUP(E1795,calculated_fields!$F$4:$G$6,2,FALSE)</f>
        <v>Economy</v>
      </c>
    </row>
    <row r="1796" spans="1:16">
      <c r="A1796" t="s">
        <v>2475</v>
      </c>
      <c r="B1796" t="s">
        <v>2435</v>
      </c>
      <c r="C1796" t="s">
        <v>80</v>
      </c>
      <c r="D1796">
        <v>2002</v>
      </c>
      <c r="E1796" t="s">
        <v>15</v>
      </c>
      <c r="F1796" t="s">
        <v>16</v>
      </c>
      <c r="G1796" t="s">
        <v>17</v>
      </c>
      <c r="H1796" t="s">
        <v>18</v>
      </c>
      <c r="I1796">
        <v>78.256</v>
      </c>
      <c r="J1796" t="s">
        <v>19</v>
      </c>
      <c r="K1796" t="s">
        <v>2476</v>
      </c>
      <c r="L1796" t="s">
        <v>21</v>
      </c>
      <c r="M1796" t="str">
        <f t="shared" si="84"/>
        <v>OK</v>
      </c>
      <c r="N1796" t="str">
        <f t="shared" si="85"/>
        <v>2000s</v>
      </c>
      <c r="O1796" t="str">
        <f t="shared" si="86"/>
        <v>High</v>
      </c>
      <c r="P1796" t="str">
        <f>VLOOKUP(E1796,calculated_fields!$F$4:$G$6,2,FALSE)</f>
        <v>Health</v>
      </c>
    </row>
    <row r="1797" spans="1:16">
      <c r="A1797" t="s">
        <v>2477</v>
      </c>
      <c r="B1797" t="s">
        <v>2435</v>
      </c>
      <c r="C1797" t="s">
        <v>80</v>
      </c>
      <c r="D1797">
        <v>2002</v>
      </c>
      <c r="E1797" t="s">
        <v>23</v>
      </c>
      <c r="F1797" t="s">
        <v>24</v>
      </c>
      <c r="G1797" t="s">
        <v>25</v>
      </c>
      <c r="H1797" t="s">
        <v>26</v>
      </c>
      <c r="I1797">
        <v>10603863</v>
      </c>
      <c r="J1797" t="s">
        <v>27</v>
      </c>
      <c r="K1797" t="s">
        <v>2476</v>
      </c>
      <c r="L1797" t="s">
        <v>21</v>
      </c>
      <c r="M1797" t="str">
        <f t="shared" si="84"/>
        <v>OK</v>
      </c>
      <c r="N1797" t="str">
        <f t="shared" si="85"/>
        <v>2000s</v>
      </c>
      <c r="O1797" t="str">
        <f t="shared" si="86"/>
        <v>N/A</v>
      </c>
      <c r="P1797" t="str">
        <f>VLOOKUP(E1797,calculated_fields!$F$4:$G$6,2,FALSE)</f>
        <v>Demographics</v>
      </c>
    </row>
    <row r="1798" spans="1:16">
      <c r="A1798" t="s">
        <v>2478</v>
      </c>
      <c r="B1798" t="s">
        <v>2435</v>
      </c>
      <c r="C1798" t="s">
        <v>80</v>
      </c>
      <c r="D1798">
        <v>2002</v>
      </c>
      <c r="E1798" t="s">
        <v>29</v>
      </c>
      <c r="F1798" t="s">
        <v>30</v>
      </c>
      <c r="G1798" t="s">
        <v>31</v>
      </c>
      <c r="H1798" t="s">
        <v>32</v>
      </c>
      <c r="I1798">
        <v>22514.254799999999</v>
      </c>
      <c r="J1798" t="s">
        <v>33</v>
      </c>
      <c r="K1798" t="s">
        <v>2476</v>
      </c>
      <c r="L1798" t="s">
        <v>21</v>
      </c>
      <c r="M1798" t="str">
        <f t="shared" si="84"/>
        <v>OK</v>
      </c>
      <c r="N1798" t="str">
        <f t="shared" si="85"/>
        <v>2000s</v>
      </c>
      <c r="O1798" t="str">
        <f t="shared" si="86"/>
        <v>N/A</v>
      </c>
      <c r="P1798" t="str">
        <f>VLOOKUP(E1798,calculated_fields!$F$4:$G$6,2,FALSE)</f>
        <v>Economy</v>
      </c>
    </row>
    <row r="1799" spans="1:16">
      <c r="A1799" t="s">
        <v>2479</v>
      </c>
      <c r="B1799" t="s">
        <v>2435</v>
      </c>
      <c r="C1799" t="s">
        <v>80</v>
      </c>
      <c r="D1799">
        <v>2007</v>
      </c>
      <c r="E1799" t="s">
        <v>15</v>
      </c>
      <c r="F1799" t="s">
        <v>16</v>
      </c>
      <c r="G1799" t="s">
        <v>17</v>
      </c>
      <c r="H1799" t="s">
        <v>18</v>
      </c>
      <c r="I1799">
        <v>79.483000000000004</v>
      </c>
      <c r="J1799" t="s">
        <v>19</v>
      </c>
      <c r="K1799" t="s">
        <v>2480</v>
      </c>
      <c r="L1799" t="s">
        <v>21</v>
      </c>
      <c r="M1799" t="str">
        <f t="shared" si="84"/>
        <v>OK</v>
      </c>
      <c r="N1799" t="str">
        <f t="shared" si="85"/>
        <v>2000s</v>
      </c>
      <c r="O1799" t="str">
        <f t="shared" si="86"/>
        <v>High</v>
      </c>
      <c r="P1799" t="str">
        <f>VLOOKUP(E1799,calculated_fields!$F$4:$G$6,2,FALSE)</f>
        <v>Health</v>
      </c>
    </row>
    <row r="1800" spans="1:16">
      <c r="A1800" t="s">
        <v>2481</v>
      </c>
      <c r="B1800" t="s">
        <v>2435</v>
      </c>
      <c r="C1800" t="s">
        <v>80</v>
      </c>
      <c r="D1800">
        <v>2007</v>
      </c>
      <c r="E1800" t="s">
        <v>23</v>
      </c>
      <c r="F1800" t="s">
        <v>24</v>
      </c>
      <c r="G1800" t="s">
        <v>25</v>
      </c>
      <c r="H1800" t="s">
        <v>26</v>
      </c>
      <c r="I1800">
        <v>10706290</v>
      </c>
      <c r="J1800" t="s">
        <v>27</v>
      </c>
      <c r="K1800" t="s">
        <v>2480</v>
      </c>
      <c r="L1800" t="s">
        <v>21</v>
      </c>
      <c r="M1800" t="str">
        <f t="shared" si="84"/>
        <v>OK</v>
      </c>
      <c r="N1800" t="str">
        <f t="shared" si="85"/>
        <v>2000s</v>
      </c>
      <c r="O1800" t="str">
        <f t="shared" si="86"/>
        <v>N/A</v>
      </c>
      <c r="P1800" t="str">
        <f>VLOOKUP(E1800,calculated_fields!$F$4:$G$6,2,FALSE)</f>
        <v>Demographics</v>
      </c>
    </row>
    <row r="1801" spans="1:16">
      <c r="A1801" t="s">
        <v>2482</v>
      </c>
      <c r="B1801" t="s">
        <v>2435</v>
      </c>
      <c r="C1801" t="s">
        <v>80</v>
      </c>
      <c r="D1801">
        <v>2007</v>
      </c>
      <c r="E1801" t="s">
        <v>29</v>
      </c>
      <c r="F1801" t="s">
        <v>30</v>
      </c>
      <c r="G1801" t="s">
        <v>31</v>
      </c>
      <c r="H1801" t="s">
        <v>32</v>
      </c>
      <c r="I1801">
        <v>27538.41188</v>
      </c>
      <c r="J1801" t="s">
        <v>33</v>
      </c>
      <c r="K1801" t="s">
        <v>2480</v>
      </c>
      <c r="L1801" t="s">
        <v>21</v>
      </c>
      <c r="M1801" t="str">
        <f t="shared" si="84"/>
        <v>OK</v>
      </c>
      <c r="N1801" t="str">
        <f t="shared" si="85"/>
        <v>2000s</v>
      </c>
      <c r="O1801" t="str">
        <f t="shared" si="86"/>
        <v>N/A</v>
      </c>
      <c r="P1801" t="str">
        <f>VLOOKUP(E1801,calculated_fields!$F$4:$G$6,2,FALSE)</f>
        <v>Economy</v>
      </c>
    </row>
    <row r="1802" spans="1:16">
      <c r="A1802" t="s">
        <v>2483</v>
      </c>
      <c r="B1802" t="s">
        <v>2484</v>
      </c>
      <c r="C1802" t="s">
        <v>229</v>
      </c>
      <c r="D1802">
        <v>1952</v>
      </c>
      <c r="E1802" t="s">
        <v>15</v>
      </c>
      <c r="F1802" t="s">
        <v>16</v>
      </c>
      <c r="G1802" t="s">
        <v>17</v>
      </c>
      <c r="H1802" t="s">
        <v>18</v>
      </c>
      <c r="I1802">
        <v>42.023000000000003</v>
      </c>
      <c r="J1802" t="s">
        <v>19</v>
      </c>
      <c r="K1802" t="s">
        <v>2485</v>
      </c>
      <c r="L1802" t="s">
        <v>21</v>
      </c>
      <c r="M1802" t="str">
        <f t="shared" si="84"/>
        <v>OK</v>
      </c>
      <c r="N1802" t="str">
        <f t="shared" si="85"/>
        <v>1950s</v>
      </c>
      <c r="O1802" t="str">
        <f t="shared" si="86"/>
        <v>Low</v>
      </c>
      <c r="P1802" t="str">
        <f>VLOOKUP(E1802,calculated_fields!$F$4:$G$6,2,FALSE)</f>
        <v>Health</v>
      </c>
    </row>
    <row r="1803" spans="1:16">
      <c r="A1803" t="s">
        <v>2486</v>
      </c>
      <c r="B1803" t="s">
        <v>2484</v>
      </c>
      <c r="C1803" t="s">
        <v>229</v>
      </c>
      <c r="D1803">
        <v>1952</v>
      </c>
      <c r="E1803" t="s">
        <v>23</v>
      </c>
      <c r="F1803" t="s">
        <v>24</v>
      </c>
      <c r="G1803" t="s">
        <v>25</v>
      </c>
      <c r="H1803" t="s">
        <v>26</v>
      </c>
      <c r="I1803">
        <v>3146381</v>
      </c>
      <c r="J1803" t="s">
        <v>27</v>
      </c>
      <c r="K1803" t="s">
        <v>2485</v>
      </c>
      <c r="L1803" t="s">
        <v>21</v>
      </c>
      <c r="M1803" t="str">
        <f t="shared" si="84"/>
        <v>OK</v>
      </c>
      <c r="N1803" t="str">
        <f t="shared" si="85"/>
        <v>1950s</v>
      </c>
      <c r="O1803" t="str">
        <f t="shared" si="86"/>
        <v>N/A</v>
      </c>
      <c r="P1803" t="str">
        <f>VLOOKUP(E1803,calculated_fields!$F$4:$G$6,2,FALSE)</f>
        <v>Demographics</v>
      </c>
    </row>
    <row r="1804" spans="1:16">
      <c r="A1804" t="s">
        <v>2487</v>
      </c>
      <c r="B1804" t="s">
        <v>2484</v>
      </c>
      <c r="C1804" t="s">
        <v>229</v>
      </c>
      <c r="D1804">
        <v>1952</v>
      </c>
      <c r="E1804" t="s">
        <v>29</v>
      </c>
      <c r="F1804" t="s">
        <v>30</v>
      </c>
      <c r="G1804" t="s">
        <v>31</v>
      </c>
      <c r="H1804" t="s">
        <v>32</v>
      </c>
      <c r="I1804">
        <v>2428.2377689999998</v>
      </c>
      <c r="J1804" t="s">
        <v>33</v>
      </c>
      <c r="K1804" t="s">
        <v>2485</v>
      </c>
      <c r="L1804" t="s">
        <v>21</v>
      </c>
      <c r="M1804" t="str">
        <f t="shared" si="84"/>
        <v>OK</v>
      </c>
      <c r="N1804" t="str">
        <f t="shared" si="85"/>
        <v>1950s</v>
      </c>
      <c r="O1804" t="str">
        <f t="shared" si="86"/>
        <v>N/A</v>
      </c>
      <c r="P1804" t="str">
        <f>VLOOKUP(E1804,calculated_fields!$F$4:$G$6,2,FALSE)</f>
        <v>Economy</v>
      </c>
    </row>
    <row r="1805" spans="1:16">
      <c r="A1805" t="s">
        <v>2488</v>
      </c>
      <c r="B1805" t="s">
        <v>2484</v>
      </c>
      <c r="C1805" t="s">
        <v>229</v>
      </c>
      <c r="D1805">
        <v>1957</v>
      </c>
      <c r="E1805" t="s">
        <v>15</v>
      </c>
      <c r="F1805" t="s">
        <v>16</v>
      </c>
      <c r="G1805" t="s">
        <v>17</v>
      </c>
      <c r="H1805" t="s">
        <v>18</v>
      </c>
      <c r="I1805">
        <v>44.142000000000003</v>
      </c>
      <c r="J1805" t="s">
        <v>19</v>
      </c>
      <c r="K1805" t="s">
        <v>2489</v>
      </c>
      <c r="L1805" t="s">
        <v>21</v>
      </c>
      <c r="M1805" t="str">
        <f t="shared" si="84"/>
        <v>OK</v>
      </c>
      <c r="N1805" t="str">
        <f t="shared" si="85"/>
        <v>1950s</v>
      </c>
      <c r="O1805" t="str">
        <f t="shared" si="86"/>
        <v>Low</v>
      </c>
      <c r="P1805" t="str">
        <f>VLOOKUP(E1805,calculated_fields!$F$4:$G$6,2,FALSE)</f>
        <v>Health</v>
      </c>
    </row>
    <row r="1806" spans="1:16">
      <c r="A1806" t="s">
        <v>2490</v>
      </c>
      <c r="B1806" t="s">
        <v>2484</v>
      </c>
      <c r="C1806" t="s">
        <v>229</v>
      </c>
      <c r="D1806">
        <v>1957</v>
      </c>
      <c r="E1806" t="s">
        <v>23</v>
      </c>
      <c r="F1806" t="s">
        <v>24</v>
      </c>
      <c r="G1806" t="s">
        <v>25</v>
      </c>
      <c r="H1806" t="s">
        <v>26</v>
      </c>
      <c r="I1806">
        <v>3640876</v>
      </c>
      <c r="J1806" t="s">
        <v>27</v>
      </c>
      <c r="K1806" t="s">
        <v>2489</v>
      </c>
      <c r="L1806" t="s">
        <v>21</v>
      </c>
      <c r="M1806" t="str">
        <f t="shared" si="84"/>
        <v>OK</v>
      </c>
      <c r="N1806" t="str">
        <f t="shared" si="85"/>
        <v>1950s</v>
      </c>
      <c r="O1806" t="str">
        <f t="shared" si="86"/>
        <v>N/A</v>
      </c>
      <c r="P1806" t="str">
        <f>VLOOKUP(E1806,calculated_fields!$F$4:$G$6,2,FALSE)</f>
        <v>Demographics</v>
      </c>
    </row>
    <row r="1807" spans="1:16">
      <c r="A1807" t="s">
        <v>2491</v>
      </c>
      <c r="B1807" t="s">
        <v>2484</v>
      </c>
      <c r="C1807" t="s">
        <v>229</v>
      </c>
      <c r="D1807">
        <v>1957</v>
      </c>
      <c r="E1807" t="s">
        <v>29</v>
      </c>
      <c r="F1807" t="s">
        <v>30</v>
      </c>
      <c r="G1807" t="s">
        <v>31</v>
      </c>
      <c r="H1807" t="s">
        <v>32</v>
      </c>
      <c r="I1807">
        <v>2617.1559670000001</v>
      </c>
      <c r="J1807" t="s">
        <v>33</v>
      </c>
      <c r="K1807" t="s">
        <v>2489</v>
      </c>
      <c r="L1807" t="s">
        <v>21</v>
      </c>
      <c r="M1807" t="str">
        <f t="shared" si="84"/>
        <v>OK</v>
      </c>
      <c r="N1807" t="str">
        <f t="shared" si="85"/>
        <v>1950s</v>
      </c>
      <c r="O1807" t="str">
        <f t="shared" si="86"/>
        <v>N/A</v>
      </c>
      <c r="P1807" t="str">
        <f>VLOOKUP(E1807,calculated_fields!$F$4:$G$6,2,FALSE)</f>
        <v>Economy</v>
      </c>
    </row>
    <row r="1808" spans="1:16">
      <c r="A1808" t="s">
        <v>2492</v>
      </c>
      <c r="B1808" t="s">
        <v>2484</v>
      </c>
      <c r="C1808" t="s">
        <v>229</v>
      </c>
      <c r="D1808">
        <v>1962</v>
      </c>
      <c r="E1808" t="s">
        <v>15</v>
      </c>
      <c r="F1808" t="s">
        <v>16</v>
      </c>
      <c r="G1808" t="s">
        <v>17</v>
      </c>
      <c r="H1808" t="s">
        <v>18</v>
      </c>
      <c r="I1808">
        <v>46.953999999999901</v>
      </c>
      <c r="J1808" t="s">
        <v>19</v>
      </c>
      <c r="K1808" t="s">
        <v>2493</v>
      </c>
      <c r="L1808" t="s">
        <v>21</v>
      </c>
      <c r="M1808" t="str">
        <f t="shared" si="84"/>
        <v>OK</v>
      </c>
      <c r="N1808" t="str">
        <f t="shared" si="85"/>
        <v>1960s</v>
      </c>
      <c r="O1808" t="str">
        <f t="shared" si="86"/>
        <v>Low</v>
      </c>
      <c r="P1808" t="str">
        <f>VLOOKUP(E1808,calculated_fields!$F$4:$G$6,2,FALSE)</f>
        <v>Health</v>
      </c>
    </row>
    <row r="1809" spans="1:16">
      <c r="A1809" t="s">
        <v>2494</v>
      </c>
      <c r="B1809" t="s">
        <v>2484</v>
      </c>
      <c r="C1809" t="s">
        <v>229</v>
      </c>
      <c r="D1809">
        <v>1962</v>
      </c>
      <c r="E1809" t="s">
        <v>23</v>
      </c>
      <c r="F1809" t="s">
        <v>24</v>
      </c>
      <c r="G1809" t="s">
        <v>25</v>
      </c>
      <c r="H1809" t="s">
        <v>26</v>
      </c>
      <c r="I1809">
        <v>4208858</v>
      </c>
      <c r="J1809" t="s">
        <v>27</v>
      </c>
      <c r="K1809" t="s">
        <v>2493</v>
      </c>
      <c r="L1809" t="s">
        <v>21</v>
      </c>
      <c r="M1809" t="str">
        <f t="shared" si="84"/>
        <v>OK</v>
      </c>
      <c r="N1809" t="str">
        <f t="shared" si="85"/>
        <v>1960s</v>
      </c>
      <c r="O1809" t="str">
        <f t="shared" si="86"/>
        <v>N/A</v>
      </c>
      <c r="P1809" t="str">
        <f>VLOOKUP(E1809,calculated_fields!$F$4:$G$6,2,FALSE)</f>
        <v>Demographics</v>
      </c>
    </row>
    <row r="1810" spans="1:16">
      <c r="A1810" t="s">
        <v>2495</v>
      </c>
      <c r="B1810" t="s">
        <v>2484</v>
      </c>
      <c r="C1810" t="s">
        <v>229</v>
      </c>
      <c r="D1810">
        <v>1962</v>
      </c>
      <c r="E1810" t="s">
        <v>29</v>
      </c>
      <c r="F1810" t="s">
        <v>30</v>
      </c>
      <c r="G1810" t="s">
        <v>31</v>
      </c>
      <c r="H1810" t="s">
        <v>32</v>
      </c>
      <c r="I1810">
        <v>2750.364446</v>
      </c>
      <c r="J1810" t="s">
        <v>33</v>
      </c>
      <c r="K1810" t="s">
        <v>2493</v>
      </c>
      <c r="L1810" t="s">
        <v>21</v>
      </c>
      <c r="M1810" t="str">
        <f t="shared" si="84"/>
        <v>OK</v>
      </c>
      <c r="N1810" t="str">
        <f t="shared" si="85"/>
        <v>1960s</v>
      </c>
      <c r="O1810" t="str">
        <f t="shared" si="86"/>
        <v>N/A</v>
      </c>
      <c r="P1810" t="str">
        <f>VLOOKUP(E1810,calculated_fields!$F$4:$G$6,2,FALSE)</f>
        <v>Economy</v>
      </c>
    </row>
    <row r="1811" spans="1:16">
      <c r="A1811" t="s">
        <v>2496</v>
      </c>
      <c r="B1811" t="s">
        <v>2484</v>
      </c>
      <c r="C1811" t="s">
        <v>229</v>
      </c>
      <c r="D1811">
        <v>1967</v>
      </c>
      <c r="E1811" t="s">
        <v>15</v>
      </c>
      <c r="F1811" t="s">
        <v>16</v>
      </c>
      <c r="G1811" t="s">
        <v>17</v>
      </c>
      <c r="H1811" t="s">
        <v>18</v>
      </c>
      <c r="I1811">
        <v>50.015999999999998</v>
      </c>
      <c r="J1811" t="s">
        <v>19</v>
      </c>
      <c r="K1811" t="s">
        <v>2497</v>
      </c>
      <c r="L1811" t="s">
        <v>21</v>
      </c>
      <c r="M1811" t="str">
        <f t="shared" si="84"/>
        <v>OK</v>
      </c>
      <c r="N1811" t="str">
        <f t="shared" si="85"/>
        <v>1960s</v>
      </c>
      <c r="O1811" t="str">
        <f t="shared" si="86"/>
        <v>Low</v>
      </c>
      <c r="P1811" t="str">
        <f>VLOOKUP(E1811,calculated_fields!$F$4:$G$6,2,FALSE)</f>
        <v>Health</v>
      </c>
    </row>
    <row r="1812" spans="1:16">
      <c r="A1812" t="s">
        <v>2498</v>
      </c>
      <c r="B1812" t="s">
        <v>2484</v>
      </c>
      <c r="C1812" t="s">
        <v>229</v>
      </c>
      <c r="D1812">
        <v>1967</v>
      </c>
      <c r="E1812" t="s">
        <v>23</v>
      </c>
      <c r="F1812" t="s">
        <v>24</v>
      </c>
      <c r="G1812" t="s">
        <v>25</v>
      </c>
      <c r="H1812" t="s">
        <v>26</v>
      </c>
      <c r="I1812">
        <v>4690773</v>
      </c>
      <c r="J1812" t="s">
        <v>27</v>
      </c>
      <c r="K1812" t="s">
        <v>2497</v>
      </c>
      <c r="L1812" t="s">
        <v>21</v>
      </c>
      <c r="M1812" t="str">
        <f t="shared" si="84"/>
        <v>OK</v>
      </c>
      <c r="N1812" t="str">
        <f t="shared" si="85"/>
        <v>1960s</v>
      </c>
      <c r="O1812" t="str">
        <f t="shared" si="86"/>
        <v>N/A</v>
      </c>
      <c r="P1812" t="str">
        <f>VLOOKUP(E1812,calculated_fields!$F$4:$G$6,2,FALSE)</f>
        <v>Demographics</v>
      </c>
    </row>
    <row r="1813" spans="1:16">
      <c r="A1813" t="s">
        <v>2499</v>
      </c>
      <c r="B1813" t="s">
        <v>2484</v>
      </c>
      <c r="C1813" t="s">
        <v>229</v>
      </c>
      <c r="D1813">
        <v>1967</v>
      </c>
      <c r="E1813" t="s">
        <v>29</v>
      </c>
      <c r="F1813" t="s">
        <v>30</v>
      </c>
      <c r="G1813" t="s">
        <v>31</v>
      </c>
      <c r="H1813" t="s">
        <v>32</v>
      </c>
      <c r="I1813">
        <v>3242.5311470000001</v>
      </c>
      <c r="J1813" t="s">
        <v>33</v>
      </c>
      <c r="K1813" t="s">
        <v>2497</v>
      </c>
      <c r="L1813" t="s">
        <v>21</v>
      </c>
      <c r="M1813" t="str">
        <f t="shared" si="84"/>
        <v>OK</v>
      </c>
      <c r="N1813" t="str">
        <f t="shared" si="85"/>
        <v>1960s</v>
      </c>
      <c r="O1813" t="str">
        <f t="shared" si="86"/>
        <v>N/A</v>
      </c>
      <c r="P1813" t="str">
        <f>VLOOKUP(E1813,calculated_fields!$F$4:$G$6,2,FALSE)</f>
        <v>Economy</v>
      </c>
    </row>
    <row r="1814" spans="1:16">
      <c r="A1814" t="s">
        <v>2500</v>
      </c>
      <c r="B1814" t="s">
        <v>2484</v>
      </c>
      <c r="C1814" t="s">
        <v>229</v>
      </c>
      <c r="D1814">
        <v>1972</v>
      </c>
      <c r="E1814" t="s">
        <v>15</v>
      </c>
      <c r="F1814" t="s">
        <v>16</v>
      </c>
      <c r="G1814" t="s">
        <v>17</v>
      </c>
      <c r="H1814" t="s">
        <v>18</v>
      </c>
      <c r="I1814">
        <v>53.738</v>
      </c>
      <c r="J1814" t="s">
        <v>19</v>
      </c>
      <c r="K1814" t="s">
        <v>2501</v>
      </c>
      <c r="L1814" t="s">
        <v>21</v>
      </c>
      <c r="M1814" t="str">
        <f t="shared" si="84"/>
        <v>OK</v>
      </c>
      <c r="N1814" t="str">
        <f t="shared" si="85"/>
        <v>1970s</v>
      </c>
      <c r="O1814" t="str">
        <f t="shared" si="86"/>
        <v>Low</v>
      </c>
      <c r="P1814" t="str">
        <f>VLOOKUP(E1814,calculated_fields!$F$4:$G$6,2,FALSE)</f>
        <v>Health</v>
      </c>
    </row>
    <row r="1815" spans="1:16">
      <c r="A1815" t="s">
        <v>2502</v>
      </c>
      <c r="B1815" t="s">
        <v>2484</v>
      </c>
      <c r="C1815" t="s">
        <v>229</v>
      </c>
      <c r="D1815">
        <v>1972</v>
      </c>
      <c r="E1815" t="s">
        <v>23</v>
      </c>
      <c r="F1815" t="s">
        <v>24</v>
      </c>
      <c r="G1815" t="s">
        <v>25</v>
      </c>
      <c r="H1815" t="s">
        <v>26</v>
      </c>
      <c r="I1815">
        <v>5149581</v>
      </c>
      <c r="J1815" t="s">
        <v>27</v>
      </c>
      <c r="K1815" t="s">
        <v>2501</v>
      </c>
      <c r="L1815" t="s">
        <v>21</v>
      </c>
      <c r="M1815" t="str">
        <f t="shared" si="84"/>
        <v>OK</v>
      </c>
      <c r="N1815" t="str">
        <f t="shared" si="85"/>
        <v>1970s</v>
      </c>
      <c r="O1815" t="str">
        <f t="shared" si="86"/>
        <v>N/A</v>
      </c>
      <c r="P1815" t="str">
        <f>VLOOKUP(E1815,calculated_fields!$F$4:$G$6,2,FALSE)</f>
        <v>Demographics</v>
      </c>
    </row>
    <row r="1816" spans="1:16">
      <c r="A1816" t="s">
        <v>2503</v>
      </c>
      <c r="B1816" t="s">
        <v>2484</v>
      </c>
      <c r="C1816" t="s">
        <v>229</v>
      </c>
      <c r="D1816">
        <v>1972</v>
      </c>
      <c r="E1816" t="s">
        <v>29</v>
      </c>
      <c r="F1816" t="s">
        <v>30</v>
      </c>
      <c r="G1816" t="s">
        <v>31</v>
      </c>
      <c r="H1816" t="s">
        <v>32</v>
      </c>
      <c r="I1816">
        <v>4031.4082709999998</v>
      </c>
      <c r="J1816" t="s">
        <v>33</v>
      </c>
      <c r="K1816" t="s">
        <v>2501</v>
      </c>
      <c r="L1816" t="s">
        <v>21</v>
      </c>
      <c r="M1816" t="str">
        <f t="shared" si="84"/>
        <v>OK</v>
      </c>
      <c r="N1816" t="str">
        <f t="shared" si="85"/>
        <v>1970s</v>
      </c>
      <c r="O1816" t="str">
        <f t="shared" si="86"/>
        <v>N/A</v>
      </c>
      <c r="P1816" t="str">
        <f>VLOOKUP(E1816,calculated_fields!$F$4:$G$6,2,FALSE)</f>
        <v>Economy</v>
      </c>
    </row>
    <row r="1817" spans="1:16">
      <c r="A1817" t="s">
        <v>2504</v>
      </c>
      <c r="B1817" t="s">
        <v>2484</v>
      </c>
      <c r="C1817" t="s">
        <v>229</v>
      </c>
      <c r="D1817">
        <v>1977</v>
      </c>
      <c r="E1817" t="s">
        <v>15</v>
      </c>
      <c r="F1817" t="s">
        <v>16</v>
      </c>
      <c r="G1817" t="s">
        <v>17</v>
      </c>
      <c r="H1817" t="s">
        <v>18</v>
      </c>
      <c r="I1817">
        <v>56.029000000000003</v>
      </c>
      <c r="J1817" t="s">
        <v>19</v>
      </c>
      <c r="K1817" t="s">
        <v>2505</v>
      </c>
      <c r="L1817" t="s">
        <v>21</v>
      </c>
      <c r="M1817" t="str">
        <f t="shared" si="84"/>
        <v>OK</v>
      </c>
      <c r="N1817" t="str">
        <f t="shared" si="85"/>
        <v>1970s</v>
      </c>
      <c r="O1817" t="str">
        <f t="shared" si="86"/>
        <v>Medium</v>
      </c>
      <c r="P1817" t="str">
        <f>VLOOKUP(E1817,calculated_fields!$F$4:$G$6,2,FALSE)</f>
        <v>Health</v>
      </c>
    </row>
    <row r="1818" spans="1:16">
      <c r="A1818" t="s">
        <v>2506</v>
      </c>
      <c r="B1818" t="s">
        <v>2484</v>
      </c>
      <c r="C1818" t="s">
        <v>229</v>
      </c>
      <c r="D1818">
        <v>1977</v>
      </c>
      <c r="E1818" t="s">
        <v>23</v>
      </c>
      <c r="F1818" t="s">
        <v>24</v>
      </c>
      <c r="G1818" t="s">
        <v>25</v>
      </c>
      <c r="H1818" t="s">
        <v>26</v>
      </c>
      <c r="I1818">
        <v>5703430</v>
      </c>
      <c r="J1818" t="s">
        <v>27</v>
      </c>
      <c r="K1818" t="s">
        <v>2505</v>
      </c>
      <c r="L1818" t="s">
        <v>21</v>
      </c>
      <c r="M1818" t="str">
        <f t="shared" si="84"/>
        <v>OK</v>
      </c>
      <c r="N1818" t="str">
        <f t="shared" si="85"/>
        <v>1970s</v>
      </c>
      <c r="O1818" t="str">
        <f t="shared" si="86"/>
        <v>N/A</v>
      </c>
      <c r="P1818" t="str">
        <f>VLOOKUP(E1818,calculated_fields!$F$4:$G$6,2,FALSE)</f>
        <v>Demographics</v>
      </c>
    </row>
    <row r="1819" spans="1:16">
      <c r="A1819" t="s">
        <v>2507</v>
      </c>
      <c r="B1819" t="s">
        <v>2484</v>
      </c>
      <c r="C1819" t="s">
        <v>229</v>
      </c>
      <c r="D1819">
        <v>1977</v>
      </c>
      <c r="E1819" t="s">
        <v>29</v>
      </c>
      <c r="F1819" t="s">
        <v>30</v>
      </c>
      <c r="G1819" t="s">
        <v>31</v>
      </c>
      <c r="H1819" t="s">
        <v>32</v>
      </c>
      <c r="I1819">
        <v>4879.9927479999997</v>
      </c>
      <c r="J1819" t="s">
        <v>33</v>
      </c>
      <c r="K1819" t="s">
        <v>2505</v>
      </c>
      <c r="L1819" t="s">
        <v>21</v>
      </c>
      <c r="M1819" t="str">
        <f t="shared" si="84"/>
        <v>OK</v>
      </c>
      <c r="N1819" t="str">
        <f t="shared" si="85"/>
        <v>1970s</v>
      </c>
      <c r="O1819" t="str">
        <f t="shared" si="86"/>
        <v>N/A</v>
      </c>
      <c r="P1819" t="str">
        <f>VLOOKUP(E1819,calculated_fields!$F$4:$G$6,2,FALSE)</f>
        <v>Economy</v>
      </c>
    </row>
    <row r="1820" spans="1:16">
      <c r="A1820" t="s">
        <v>2508</v>
      </c>
      <c r="B1820" t="s">
        <v>2484</v>
      </c>
      <c r="C1820" t="s">
        <v>229</v>
      </c>
      <c r="D1820">
        <v>1982</v>
      </c>
      <c r="E1820" t="s">
        <v>15</v>
      </c>
      <c r="F1820" t="s">
        <v>16</v>
      </c>
      <c r="G1820" t="s">
        <v>17</v>
      </c>
      <c r="H1820" t="s">
        <v>18</v>
      </c>
      <c r="I1820">
        <v>58.137</v>
      </c>
      <c r="J1820" t="s">
        <v>19</v>
      </c>
      <c r="K1820" t="s">
        <v>2509</v>
      </c>
      <c r="L1820" t="s">
        <v>21</v>
      </c>
      <c r="M1820" t="str">
        <f t="shared" si="84"/>
        <v>OK</v>
      </c>
      <c r="N1820" t="str">
        <f t="shared" si="85"/>
        <v>1980s</v>
      </c>
      <c r="O1820" t="str">
        <f t="shared" si="86"/>
        <v>Medium</v>
      </c>
      <c r="P1820" t="str">
        <f>VLOOKUP(E1820,calculated_fields!$F$4:$G$6,2,FALSE)</f>
        <v>Health</v>
      </c>
    </row>
    <row r="1821" spans="1:16">
      <c r="A1821" t="s">
        <v>2510</v>
      </c>
      <c r="B1821" t="s">
        <v>2484</v>
      </c>
      <c r="C1821" t="s">
        <v>229</v>
      </c>
      <c r="D1821">
        <v>1982</v>
      </c>
      <c r="E1821" t="s">
        <v>23</v>
      </c>
      <c r="F1821" t="s">
        <v>24</v>
      </c>
      <c r="G1821" t="s">
        <v>25</v>
      </c>
      <c r="H1821" t="s">
        <v>26</v>
      </c>
      <c r="I1821">
        <v>6395630</v>
      </c>
      <c r="J1821" t="s">
        <v>27</v>
      </c>
      <c r="K1821" t="s">
        <v>2509</v>
      </c>
      <c r="L1821" t="s">
        <v>21</v>
      </c>
      <c r="M1821" t="str">
        <f t="shared" si="84"/>
        <v>OK</v>
      </c>
      <c r="N1821" t="str">
        <f t="shared" si="85"/>
        <v>1980s</v>
      </c>
      <c r="O1821" t="str">
        <f t="shared" si="86"/>
        <v>N/A</v>
      </c>
      <c r="P1821" t="str">
        <f>VLOOKUP(E1821,calculated_fields!$F$4:$G$6,2,FALSE)</f>
        <v>Demographics</v>
      </c>
    </row>
    <row r="1822" spans="1:16">
      <c r="A1822" t="s">
        <v>2511</v>
      </c>
      <c r="B1822" t="s">
        <v>2484</v>
      </c>
      <c r="C1822" t="s">
        <v>229</v>
      </c>
      <c r="D1822">
        <v>1982</v>
      </c>
      <c r="E1822" t="s">
        <v>29</v>
      </c>
      <c r="F1822" t="s">
        <v>30</v>
      </c>
      <c r="G1822" t="s">
        <v>31</v>
      </c>
      <c r="H1822" t="s">
        <v>32</v>
      </c>
      <c r="I1822">
        <v>4820.4947899999997</v>
      </c>
      <c r="J1822" t="s">
        <v>33</v>
      </c>
      <c r="K1822" t="s">
        <v>2509</v>
      </c>
      <c r="L1822" t="s">
        <v>21</v>
      </c>
      <c r="M1822" t="str">
        <f t="shared" si="84"/>
        <v>OK</v>
      </c>
      <c r="N1822" t="str">
        <f t="shared" si="85"/>
        <v>1980s</v>
      </c>
      <c r="O1822" t="str">
        <f t="shared" si="86"/>
        <v>N/A</v>
      </c>
      <c r="P1822" t="str">
        <f>VLOOKUP(E1822,calculated_fields!$F$4:$G$6,2,FALSE)</f>
        <v>Economy</v>
      </c>
    </row>
    <row r="1823" spans="1:16">
      <c r="A1823" t="s">
        <v>2512</v>
      </c>
      <c r="B1823" t="s">
        <v>2484</v>
      </c>
      <c r="C1823" t="s">
        <v>229</v>
      </c>
      <c r="D1823">
        <v>1987</v>
      </c>
      <c r="E1823" t="s">
        <v>15</v>
      </c>
      <c r="F1823" t="s">
        <v>16</v>
      </c>
      <c r="G1823" t="s">
        <v>17</v>
      </c>
      <c r="H1823" t="s">
        <v>18</v>
      </c>
      <c r="I1823">
        <v>60.781999999999996</v>
      </c>
      <c r="J1823" t="s">
        <v>19</v>
      </c>
      <c r="K1823" t="s">
        <v>2513</v>
      </c>
      <c r="L1823" t="s">
        <v>21</v>
      </c>
      <c r="M1823" t="str">
        <f t="shared" si="84"/>
        <v>OK</v>
      </c>
      <c r="N1823" t="str">
        <f t="shared" si="85"/>
        <v>1980s</v>
      </c>
      <c r="O1823" t="str">
        <f t="shared" si="86"/>
        <v>Medium</v>
      </c>
      <c r="P1823" t="str">
        <f>VLOOKUP(E1823,calculated_fields!$F$4:$G$6,2,FALSE)</f>
        <v>Health</v>
      </c>
    </row>
    <row r="1824" spans="1:16">
      <c r="A1824" t="s">
        <v>2514</v>
      </c>
      <c r="B1824" t="s">
        <v>2484</v>
      </c>
      <c r="C1824" t="s">
        <v>229</v>
      </c>
      <c r="D1824">
        <v>1987</v>
      </c>
      <c r="E1824" t="s">
        <v>23</v>
      </c>
      <c r="F1824" t="s">
        <v>24</v>
      </c>
      <c r="G1824" t="s">
        <v>25</v>
      </c>
      <c r="H1824" t="s">
        <v>26</v>
      </c>
      <c r="I1824">
        <v>7326406</v>
      </c>
      <c r="J1824" t="s">
        <v>27</v>
      </c>
      <c r="K1824" t="s">
        <v>2513</v>
      </c>
      <c r="L1824" t="s">
        <v>21</v>
      </c>
      <c r="M1824" t="str">
        <f t="shared" si="84"/>
        <v>OK</v>
      </c>
      <c r="N1824" t="str">
        <f t="shared" si="85"/>
        <v>1980s</v>
      </c>
      <c r="O1824" t="str">
        <f t="shared" si="86"/>
        <v>N/A</v>
      </c>
      <c r="P1824" t="str">
        <f>VLOOKUP(E1824,calculated_fields!$F$4:$G$6,2,FALSE)</f>
        <v>Demographics</v>
      </c>
    </row>
    <row r="1825" spans="1:16">
      <c r="A1825" t="s">
        <v>2515</v>
      </c>
      <c r="B1825" t="s">
        <v>2484</v>
      </c>
      <c r="C1825" t="s">
        <v>229</v>
      </c>
      <c r="D1825">
        <v>1987</v>
      </c>
      <c r="E1825" t="s">
        <v>29</v>
      </c>
      <c r="F1825" t="s">
        <v>30</v>
      </c>
      <c r="G1825" t="s">
        <v>31</v>
      </c>
      <c r="H1825" t="s">
        <v>32</v>
      </c>
      <c r="I1825">
        <v>4246.4859740000002</v>
      </c>
      <c r="J1825" t="s">
        <v>33</v>
      </c>
      <c r="K1825" t="s">
        <v>2513</v>
      </c>
      <c r="L1825" t="s">
        <v>21</v>
      </c>
      <c r="M1825" t="str">
        <f t="shared" si="84"/>
        <v>OK</v>
      </c>
      <c r="N1825" t="str">
        <f t="shared" si="85"/>
        <v>1980s</v>
      </c>
      <c r="O1825" t="str">
        <f t="shared" si="86"/>
        <v>N/A</v>
      </c>
      <c r="P1825" t="str">
        <f>VLOOKUP(E1825,calculated_fields!$F$4:$G$6,2,FALSE)</f>
        <v>Economy</v>
      </c>
    </row>
    <row r="1826" spans="1:16">
      <c r="A1826" t="s">
        <v>2516</v>
      </c>
      <c r="B1826" t="s">
        <v>2484</v>
      </c>
      <c r="C1826" t="s">
        <v>229</v>
      </c>
      <c r="D1826">
        <v>1992</v>
      </c>
      <c r="E1826" t="s">
        <v>15</v>
      </c>
      <c r="F1826" t="s">
        <v>16</v>
      </c>
      <c r="G1826" t="s">
        <v>17</v>
      </c>
      <c r="H1826" t="s">
        <v>18</v>
      </c>
      <c r="I1826">
        <v>63.372999999999998</v>
      </c>
      <c r="J1826" t="s">
        <v>19</v>
      </c>
      <c r="K1826" t="s">
        <v>2517</v>
      </c>
      <c r="L1826" t="s">
        <v>21</v>
      </c>
      <c r="M1826" t="str">
        <f t="shared" si="84"/>
        <v>OK</v>
      </c>
      <c r="N1826" t="str">
        <f t="shared" si="85"/>
        <v>1990s</v>
      </c>
      <c r="O1826" t="str">
        <f t="shared" si="86"/>
        <v>Medium</v>
      </c>
      <c r="P1826" t="str">
        <f>VLOOKUP(E1826,calculated_fields!$F$4:$G$6,2,FALSE)</f>
        <v>Health</v>
      </c>
    </row>
    <row r="1827" spans="1:16">
      <c r="A1827" t="s">
        <v>2518</v>
      </c>
      <c r="B1827" t="s">
        <v>2484</v>
      </c>
      <c r="C1827" t="s">
        <v>229</v>
      </c>
      <c r="D1827">
        <v>1992</v>
      </c>
      <c r="E1827" t="s">
        <v>23</v>
      </c>
      <c r="F1827" t="s">
        <v>24</v>
      </c>
      <c r="G1827" t="s">
        <v>25</v>
      </c>
      <c r="H1827" t="s">
        <v>26</v>
      </c>
      <c r="I1827">
        <v>8486949</v>
      </c>
      <c r="J1827" t="s">
        <v>27</v>
      </c>
      <c r="K1827" t="s">
        <v>2517</v>
      </c>
      <c r="L1827" t="s">
        <v>21</v>
      </c>
      <c r="M1827" t="str">
        <f t="shared" si="84"/>
        <v>OK</v>
      </c>
      <c r="N1827" t="str">
        <f t="shared" si="85"/>
        <v>1990s</v>
      </c>
      <c r="O1827" t="str">
        <f t="shared" si="86"/>
        <v>N/A</v>
      </c>
      <c r="P1827" t="str">
        <f>VLOOKUP(E1827,calculated_fields!$F$4:$G$6,2,FALSE)</f>
        <v>Demographics</v>
      </c>
    </row>
    <row r="1828" spans="1:16">
      <c r="A1828" t="s">
        <v>2519</v>
      </c>
      <c r="B1828" t="s">
        <v>2484</v>
      </c>
      <c r="C1828" t="s">
        <v>229</v>
      </c>
      <c r="D1828">
        <v>1992</v>
      </c>
      <c r="E1828" t="s">
        <v>29</v>
      </c>
      <c r="F1828" t="s">
        <v>30</v>
      </c>
      <c r="G1828" t="s">
        <v>31</v>
      </c>
      <c r="H1828" t="s">
        <v>32</v>
      </c>
      <c r="I1828">
        <v>4439.4508400000004</v>
      </c>
      <c r="J1828" t="s">
        <v>33</v>
      </c>
      <c r="K1828" t="s">
        <v>2517</v>
      </c>
      <c r="L1828" t="s">
        <v>21</v>
      </c>
      <c r="M1828" t="str">
        <f t="shared" si="84"/>
        <v>OK</v>
      </c>
      <c r="N1828" t="str">
        <f t="shared" si="85"/>
        <v>1990s</v>
      </c>
      <c r="O1828" t="str">
        <f t="shared" si="86"/>
        <v>N/A</v>
      </c>
      <c r="P1828" t="str">
        <f>VLOOKUP(E1828,calculated_fields!$F$4:$G$6,2,FALSE)</f>
        <v>Economy</v>
      </c>
    </row>
    <row r="1829" spans="1:16">
      <c r="A1829" t="s">
        <v>2520</v>
      </c>
      <c r="B1829" t="s">
        <v>2484</v>
      </c>
      <c r="C1829" t="s">
        <v>229</v>
      </c>
      <c r="D1829">
        <v>1997</v>
      </c>
      <c r="E1829" t="s">
        <v>15</v>
      </c>
      <c r="F1829" t="s">
        <v>16</v>
      </c>
      <c r="G1829" t="s">
        <v>17</v>
      </c>
      <c r="H1829" t="s">
        <v>18</v>
      </c>
      <c r="I1829">
        <v>66.322000000000003</v>
      </c>
      <c r="J1829" t="s">
        <v>19</v>
      </c>
      <c r="K1829" t="s">
        <v>2521</v>
      </c>
      <c r="L1829" t="s">
        <v>21</v>
      </c>
      <c r="M1829" t="str">
        <f t="shared" si="84"/>
        <v>OK</v>
      </c>
      <c r="N1829" t="str">
        <f t="shared" si="85"/>
        <v>1990s</v>
      </c>
      <c r="O1829" t="str">
        <f t="shared" si="86"/>
        <v>Medium</v>
      </c>
      <c r="P1829" t="str">
        <f>VLOOKUP(E1829,calculated_fields!$F$4:$G$6,2,FALSE)</f>
        <v>Health</v>
      </c>
    </row>
    <row r="1830" spans="1:16">
      <c r="A1830" t="s">
        <v>2522</v>
      </c>
      <c r="B1830" t="s">
        <v>2484</v>
      </c>
      <c r="C1830" t="s">
        <v>229</v>
      </c>
      <c r="D1830">
        <v>1997</v>
      </c>
      <c r="E1830" t="s">
        <v>23</v>
      </c>
      <c r="F1830" t="s">
        <v>24</v>
      </c>
      <c r="G1830" t="s">
        <v>25</v>
      </c>
      <c r="H1830" t="s">
        <v>26</v>
      </c>
      <c r="I1830">
        <v>9803875</v>
      </c>
      <c r="J1830" t="s">
        <v>27</v>
      </c>
      <c r="K1830" t="s">
        <v>2521</v>
      </c>
      <c r="L1830" t="s">
        <v>21</v>
      </c>
      <c r="M1830" t="str">
        <f t="shared" si="84"/>
        <v>OK</v>
      </c>
      <c r="N1830" t="str">
        <f t="shared" si="85"/>
        <v>1990s</v>
      </c>
      <c r="O1830" t="str">
        <f t="shared" si="86"/>
        <v>N/A</v>
      </c>
      <c r="P1830" t="str">
        <f>VLOOKUP(E1830,calculated_fields!$F$4:$G$6,2,FALSE)</f>
        <v>Demographics</v>
      </c>
    </row>
    <row r="1831" spans="1:16">
      <c r="A1831" t="s">
        <v>2523</v>
      </c>
      <c r="B1831" t="s">
        <v>2484</v>
      </c>
      <c r="C1831" t="s">
        <v>229</v>
      </c>
      <c r="D1831">
        <v>1997</v>
      </c>
      <c r="E1831" t="s">
        <v>29</v>
      </c>
      <c r="F1831" t="s">
        <v>30</v>
      </c>
      <c r="G1831" t="s">
        <v>31</v>
      </c>
      <c r="H1831" t="s">
        <v>32</v>
      </c>
      <c r="I1831">
        <v>4684.3138070000005</v>
      </c>
      <c r="J1831" t="s">
        <v>33</v>
      </c>
      <c r="K1831" t="s">
        <v>2521</v>
      </c>
      <c r="L1831" t="s">
        <v>21</v>
      </c>
      <c r="M1831" t="str">
        <f t="shared" si="84"/>
        <v>OK</v>
      </c>
      <c r="N1831" t="str">
        <f t="shared" si="85"/>
        <v>1990s</v>
      </c>
      <c r="O1831" t="str">
        <f t="shared" si="86"/>
        <v>N/A</v>
      </c>
      <c r="P1831" t="str">
        <f>VLOOKUP(E1831,calculated_fields!$F$4:$G$6,2,FALSE)</f>
        <v>Economy</v>
      </c>
    </row>
    <row r="1832" spans="1:16">
      <c r="A1832" t="s">
        <v>2524</v>
      </c>
      <c r="B1832" t="s">
        <v>2484</v>
      </c>
      <c r="C1832" t="s">
        <v>229</v>
      </c>
      <c r="D1832">
        <v>2002</v>
      </c>
      <c r="E1832" t="s">
        <v>15</v>
      </c>
      <c r="F1832" t="s">
        <v>16</v>
      </c>
      <c r="G1832" t="s">
        <v>17</v>
      </c>
      <c r="H1832" t="s">
        <v>18</v>
      </c>
      <c r="I1832">
        <v>68.977999999999994</v>
      </c>
      <c r="J1832" t="s">
        <v>19</v>
      </c>
      <c r="K1832" t="s">
        <v>2525</v>
      </c>
      <c r="L1832" t="s">
        <v>21</v>
      </c>
      <c r="M1832" t="str">
        <f t="shared" si="84"/>
        <v>OK</v>
      </c>
      <c r="N1832" t="str">
        <f t="shared" si="85"/>
        <v>2000s</v>
      </c>
      <c r="O1832" t="str">
        <f t="shared" si="86"/>
        <v>Medium</v>
      </c>
      <c r="P1832" t="str">
        <f>VLOOKUP(E1832,calculated_fields!$F$4:$G$6,2,FALSE)</f>
        <v>Health</v>
      </c>
    </row>
    <row r="1833" spans="1:16">
      <c r="A1833" t="s">
        <v>2526</v>
      </c>
      <c r="B1833" t="s">
        <v>2484</v>
      </c>
      <c r="C1833" t="s">
        <v>229</v>
      </c>
      <c r="D1833">
        <v>2002</v>
      </c>
      <c r="E1833" t="s">
        <v>23</v>
      </c>
      <c r="F1833" t="s">
        <v>24</v>
      </c>
      <c r="G1833" t="s">
        <v>25</v>
      </c>
      <c r="H1833" t="s">
        <v>26</v>
      </c>
      <c r="I1833">
        <v>11178650</v>
      </c>
      <c r="J1833" t="s">
        <v>27</v>
      </c>
      <c r="K1833" t="s">
        <v>2525</v>
      </c>
      <c r="L1833" t="s">
        <v>21</v>
      </c>
      <c r="M1833" t="str">
        <f t="shared" si="84"/>
        <v>OK</v>
      </c>
      <c r="N1833" t="str">
        <f t="shared" si="85"/>
        <v>2000s</v>
      </c>
      <c r="O1833" t="str">
        <f t="shared" si="86"/>
        <v>N/A</v>
      </c>
      <c r="P1833" t="str">
        <f>VLOOKUP(E1833,calculated_fields!$F$4:$G$6,2,FALSE)</f>
        <v>Demographics</v>
      </c>
    </row>
    <row r="1834" spans="1:16">
      <c r="A1834" t="s">
        <v>2527</v>
      </c>
      <c r="B1834" t="s">
        <v>2484</v>
      </c>
      <c r="C1834" t="s">
        <v>229</v>
      </c>
      <c r="D1834">
        <v>2002</v>
      </c>
      <c r="E1834" t="s">
        <v>29</v>
      </c>
      <c r="F1834" t="s">
        <v>30</v>
      </c>
      <c r="G1834" t="s">
        <v>31</v>
      </c>
      <c r="H1834" t="s">
        <v>32</v>
      </c>
      <c r="I1834">
        <v>4858.347495</v>
      </c>
      <c r="J1834" t="s">
        <v>33</v>
      </c>
      <c r="K1834" t="s">
        <v>2525</v>
      </c>
      <c r="L1834" t="s">
        <v>21</v>
      </c>
      <c r="M1834" t="str">
        <f t="shared" si="84"/>
        <v>OK</v>
      </c>
      <c r="N1834" t="str">
        <f t="shared" si="85"/>
        <v>2000s</v>
      </c>
      <c r="O1834" t="str">
        <f t="shared" si="86"/>
        <v>N/A</v>
      </c>
      <c r="P1834" t="str">
        <f>VLOOKUP(E1834,calculated_fields!$F$4:$G$6,2,FALSE)</f>
        <v>Economy</v>
      </c>
    </row>
    <row r="1835" spans="1:16">
      <c r="A1835" t="s">
        <v>2528</v>
      </c>
      <c r="B1835" t="s">
        <v>2484</v>
      </c>
      <c r="C1835" t="s">
        <v>229</v>
      </c>
      <c r="D1835">
        <v>2007</v>
      </c>
      <c r="E1835" t="s">
        <v>15</v>
      </c>
      <c r="F1835" t="s">
        <v>16</v>
      </c>
      <c r="G1835" t="s">
        <v>17</v>
      </c>
      <c r="H1835" t="s">
        <v>18</v>
      </c>
      <c r="I1835">
        <v>70.259</v>
      </c>
      <c r="J1835" t="s">
        <v>19</v>
      </c>
      <c r="K1835" t="s">
        <v>2529</v>
      </c>
      <c r="L1835" t="s">
        <v>21</v>
      </c>
      <c r="M1835" t="str">
        <f t="shared" si="84"/>
        <v>OK</v>
      </c>
      <c r="N1835" t="str">
        <f t="shared" si="85"/>
        <v>2000s</v>
      </c>
      <c r="O1835" t="str">
        <f t="shared" si="86"/>
        <v>High</v>
      </c>
      <c r="P1835" t="str">
        <f>VLOOKUP(E1835,calculated_fields!$F$4:$G$6,2,FALSE)</f>
        <v>Health</v>
      </c>
    </row>
    <row r="1836" spans="1:16">
      <c r="A1836" t="s">
        <v>2530</v>
      </c>
      <c r="B1836" t="s">
        <v>2484</v>
      </c>
      <c r="C1836" t="s">
        <v>229</v>
      </c>
      <c r="D1836">
        <v>2007</v>
      </c>
      <c r="E1836" t="s">
        <v>23</v>
      </c>
      <c r="F1836" t="s">
        <v>24</v>
      </c>
      <c r="G1836" t="s">
        <v>25</v>
      </c>
      <c r="H1836" t="s">
        <v>26</v>
      </c>
      <c r="I1836">
        <v>12572928</v>
      </c>
      <c r="J1836" t="s">
        <v>27</v>
      </c>
      <c r="K1836" t="s">
        <v>2529</v>
      </c>
      <c r="L1836" t="s">
        <v>21</v>
      </c>
      <c r="M1836" t="str">
        <f t="shared" si="84"/>
        <v>OK</v>
      </c>
      <c r="N1836" t="str">
        <f t="shared" si="85"/>
        <v>2000s</v>
      </c>
      <c r="O1836" t="str">
        <f t="shared" si="86"/>
        <v>N/A</v>
      </c>
      <c r="P1836" t="str">
        <f>VLOOKUP(E1836,calculated_fields!$F$4:$G$6,2,FALSE)</f>
        <v>Demographics</v>
      </c>
    </row>
    <row r="1837" spans="1:16">
      <c r="A1837" t="s">
        <v>2531</v>
      </c>
      <c r="B1837" t="s">
        <v>2484</v>
      </c>
      <c r="C1837" t="s">
        <v>229</v>
      </c>
      <c r="D1837">
        <v>2007</v>
      </c>
      <c r="E1837" t="s">
        <v>29</v>
      </c>
      <c r="F1837" t="s">
        <v>30</v>
      </c>
      <c r="G1837" t="s">
        <v>31</v>
      </c>
      <c r="H1837" t="s">
        <v>32</v>
      </c>
      <c r="I1837">
        <v>5186.0500030000003</v>
      </c>
      <c r="J1837" t="s">
        <v>33</v>
      </c>
      <c r="K1837" t="s">
        <v>2529</v>
      </c>
      <c r="L1837" t="s">
        <v>21</v>
      </c>
      <c r="M1837" t="str">
        <f t="shared" si="84"/>
        <v>OK</v>
      </c>
      <c r="N1837" t="str">
        <f t="shared" si="85"/>
        <v>2000s</v>
      </c>
      <c r="O1837" t="str">
        <f t="shared" si="86"/>
        <v>N/A</v>
      </c>
      <c r="P1837" t="str">
        <f>VLOOKUP(E1837,calculated_fields!$F$4:$G$6,2,FALSE)</f>
        <v>Economy</v>
      </c>
    </row>
    <row r="1838" spans="1:16">
      <c r="A1838" t="s">
        <v>2532</v>
      </c>
      <c r="B1838" t="s">
        <v>2533</v>
      </c>
      <c r="C1838" t="s">
        <v>130</v>
      </c>
      <c r="D1838">
        <v>1952</v>
      </c>
      <c r="E1838" t="s">
        <v>15</v>
      </c>
      <c r="F1838" t="s">
        <v>16</v>
      </c>
      <c r="G1838" t="s">
        <v>17</v>
      </c>
      <c r="H1838" t="s">
        <v>18</v>
      </c>
      <c r="I1838">
        <v>33.609000000000002</v>
      </c>
      <c r="J1838" t="s">
        <v>19</v>
      </c>
      <c r="K1838" t="s">
        <v>2534</v>
      </c>
      <c r="L1838" t="s">
        <v>21</v>
      </c>
      <c r="M1838" t="str">
        <f t="shared" si="84"/>
        <v>OK</v>
      </c>
      <c r="N1838" t="str">
        <f t="shared" si="85"/>
        <v>1950s</v>
      </c>
      <c r="O1838" t="str">
        <f t="shared" si="86"/>
        <v>Low</v>
      </c>
      <c r="P1838" t="str">
        <f>VLOOKUP(E1838,calculated_fields!$F$4:$G$6,2,FALSE)</f>
        <v>Health</v>
      </c>
    </row>
    <row r="1839" spans="1:16">
      <c r="A1839" t="s">
        <v>2535</v>
      </c>
      <c r="B1839" t="s">
        <v>2533</v>
      </c>
      <c r="C1839" t="s">
        <v>130</v>
      </c>
      <c r="D1839">
        <v>1952</v>
      </c>
      <c r="E1839" t="s">
        <v>23</v>
      </c>
      <c r="F1839" t="s">
        <v>24</v>
      </c>
      <c r="G1839" t="s">
        <v>25</v>
      </c>
      <c r="H1839" t="s">
        <v>26</v>
      </c>
      <c r="I1839">
        <v>2664249</v>
      </c>
      <c r="J1839" t="s">
        <v>27</v>
      </c>
      <c r="K1839" t="s">
        <v>2534</v>
      </c>
      <c r="L1839" t="s">
        <v>21</v>
      </c>
      <c r="M1839" t="str">
        <f t="shared" si="84"/>
        <v>OK</v>
      </c>
      <c r="N1839" t="str">
        <f t="shared" si="85"/>
        <v>1950s</v>
      </c>
      <c r="O1839" t="str">
        <f t="shared" si="86"/>
        <v>N/A</v>
      </c>
      <c r="P1839" t="str">
        <f>VLOOKUP(E1839,calculated_fields!$F$4:$G$6,2,FALSE)</f>
        <v>Demographics</v>
      </c>
    </row>
    <row r="1840" spans="1:16">
      <c r="A1840" t="s">
        <v>2536</v>
      </c>
      <c r="B1840" t="s">
        <v>2533</v>
      </c>
      <c r="C1840" t="s">
        <v>130</v>
      </c>
      <c r="D1840">
        <v>1952</v>
      </c>
      <c r="E1840" t="s">
        <v>29</v>
      </c>
      <c r="F1840" t="s">
        <v>30</v>
      </c>
      <c r="G1840" t="s">
        <v>31</v>
      </c>
      <c r="H1840" t="s">
        <v>32</v>
      </c>
      <c r="I1840">
        <v>510.19649229999999</v>
      </c>
      <c r="J1840" t="s">
        <v>33</v>
      </c>
      <c r="K1840" t="s">
        <v>2534</v>
      </c>
      <c r="L1840" t="s">
        <v>21</v>
      </c>
      <c r="M1840" t="str">
        <f t="shared" si="84"/>
        <v>OK</v>
      </c>
      <c r="N1840" t="str">
        <f t="shared" si="85"/>
        <v>1950s</v>
      </c>
      <c r="O1840" t="str">
        <f t="shared" si="86"/>
        <v>N/A</v>
      </c>
      <c r="P1840" t="str">
        <f>VLOOKUP(E1840,calculated_fields!$F$4:$G$6,2,FALSE)</f>
        <v>Economy</v>
      </c>
    </row>
    <row r="1841" spans="1:16">
      <c r="A1841" t="s">
        <v>2537</v>
      </c>
      <c r="B1841" t="s">
        <v>2533</v>
      </c>
      <c r="C1841" t="s">
        <v>130</v>
      </c>
      <c r="D1841">
        <v>1957</v>
      </c>
      <c r="E1841" t="s">
        <v>15</v>
      </c>
      <c r="F1841" t="s">
        <v>16</v>
      </c>
      <c r="G1841" t="s">
        <v>17</v>
      </c>
      <c r="H1841" t="s">
        <v>18</v>
      </c>
      <c r="I1841">
        <v>34.558</v>
      </c>
      <c r="J1841" t="s">
        <v>19</v>
      </c>
      <c r="K1841" t="s">
        <v>2538</v>
      </c>
      <c r="L1841" t="s">
        <v>21</v>
      </c>
      <c r="M1841" t="str">
        <f t="shared" si="84"/>
        <v>OK</v>
      </c>
      <c r="N1841" t="str">
        <f t="shared" si="85"/>
        <v>1950s</v>
      </c>
      <c r="O1841" t="str">
        <f t="shared" si="86"/>
        <v>Low</v>
      </c>
      <c r="P1841" t="str">
        <f>VLOOKUP(E1841,calculated_fields!$F$4:$G$6,2,FALSE)</f>
        <v>Health</v>
      </c>
    </row>
    <row r="1842" spans="1:16">
      <c r="A1842" t="s">
        <v>2539</v>
      </c>
      <c r="B1842" t="s">
        <v>2533</v>
      </c>
      <c r="C1842" t="s">
        <v>130</v>
      </c>
      <c r="D1842">
        <v>1957</v>
      </c>
      <c r="E1842" t="s">
        <v>23</v>
      </c>
      <c r="F1842" t="s">
        <v>24</v>
      </c>
      <c r="G1842" t="s">
        <v>25</v>
      </c>
      <c r="H1842" t="s">
        <v>26</v>
      </c>
      <c r="I1842">
        <v>2876726</v>
      </c>
      <c r="J1842" t="s">
        <v>27</v>
      </c>
      <c r="K1842" t="s">
        <v>2538</v>
      </c>
      <c r="L1842" t="s">
        <v>21</v>
      </c>
      <c r="M1842" t="str">
        <f t="shared" si="84"/>
        <v>OK</v>
      </c>
      <c r="N1842" t="str">
        <f t="shared" si="85"/>
        <v>1950s</v>
      </c>
      <c r="O1842" t="str">
        <f t="shared" si="86"/>
        <v>N/A</v>
      </c>
      <c r="P1842" t="str">
        <f>VLOOKUP(E1842,calculated_fields!$F$4:$G$6,2,FALSE)</f>
        <v>Demographics</v>
      </c>
    </row>
    <row r="1843" spans="1:16">
      <c r="A1843" t="s">
        <v>2540</v>
      </c>
      <c r="B1843" t="s">
        <v>2533</v>
      </c>
      <c r="C1843" t="s">
        <v>130</v>
      </c>
      <c r="D1843">
        <v>1957</v>
      </c>
      <c r="E1843" t="s">
        <v>29</v>
      </c>
      <c r="F1843" t="s">
        <v>30</v>
      </c>
      <c r="G1843" t="s">
        <v>31</v>
      </c>
      <c r="H1843" t="s">
        <v>32</v>
      </c>
      <c r="I1843">
        <v>576.26702450000005</v>
      </c>
      <c r="J1843" t="s">
        <v>33</v>
      </c>
      <c r="K1843" t="s">
        <v>2538</v>
      </c>
      <c r="L1843" t="s">
        <v>21</v>
      </c>
      <c r="M1843" t="str">
        <f t="shared" si="84"/>
        <v>OK</v>
      </c>
      <c r="N1843" t="str">
        <f t="shared" si="85"/>
        <v>1950s</v>
      </c>
      <c r="O1843" t="str">
        <f t="shared" si="86"/>
        <v>N/A</v>
      </c>
      <c r="P1843" t="str">
        <f>VLOOKUP(E1843,calculated_fields!$F$4:$G$6,2,FALSE)</f>
        <v>Economy</v>
      </c>
    </row>
    <row r="1844" spans="1:16">
      <c r="A1844" t="s">
        <v>2541</v>
      </c>
      <c r="B1844" t="s">
        <v>2533</v>
      </c>
      <c r="C1844" t="s">
        <v>130</v>
      </c>
      <c r="D1844">
        <v>1962</v>
      </c>
      <c r="E1844" t="s">
        <v>15</v>
      </c>
      <c r="F1844" t="s">
        <v>16</v>
      </c>
      <c r="G1844" t="s">
        <v>17</v>
      </c>
      <c r="H1844" t="s">
        <v>18</v>
      </c>
      <c r="I1844">
        <v>35.753</v>
      </c>
      <c r="J1844" t="s">
        <v>19</v>
      </c>
      <c r="K1844" t="s">
        <v>2542</v>
      </c>
      <c r="L1844" t="s">
        <v>21</v>
      </c>
      <c r="M1844" t="str">
        <f t="shared" si="84"/>
        <v>OK</v>
      </c>
      <c r="N1844" t="str">
        <f t="shared" si="85"/>
        <v>1960s</v>
      </c>
      <c r="O1844" t="str">
        <f t="shared" si="86"/>
        <v>Low</v>
      </c>
      <c r="P1844" t="str">
        <f>VLOOKUP(E1844,calculated_fields!$F$4:$G$6,2,FALSE)</f>
        <v>Health</v>
      </c>
    </row>
    <row r="1845" spans="1:16">
      <c r="A1845" t="s">
        <v>2543</v>
      </c>
      <c r="B1845" t="s">
        <v>2533</v>
      </c>
      <c r="C1845" t="s">
        <v>130</v>
      </c>
      <c r="D1845">
        <v>1962</v>
      </c>
      <c r="E1845" t="s">
        <v>23</v>
      </c>
      <c r="F1845" t="s">
        <v>24</v>
      </c>
      <c r="G1845" t="s">
        <v>25</v>
      </c>
      <c r="H1845" t="s">
        <v>26</v>
      </c>
      <c r="I1845">
        <v>3140003</v>
      </c>
      <c r="J1845" t="s">
        <v>27</v>
      </c>
      <c r="K1845" t="s">
        <v>2542</v>
      </c>
      <c r="L1845" t="s">
        <v>21</v>
      </c>
      <c r="M1845" t="str">
        <f t="shared" si="84"/>
        <v>OK</v>
      </c>
      <c r="N1845" t="str">
        <f t="shared" si="85"/>
        <v>1960s</v>
      </c>
      <c r="O1845" t="str">
        <f t="shared" si="86"/>
        <v>N/A</v>
      </c>
      <c r="P1845" t="str">
        <f>VLOOKUP(E1845,calculated_fields!$F$4:$G$6,2,FALSE)</f>
        <v>Demographics</v>
      </c>
    </row>
    <row r="1846" spans="1:16">
      <c r="A1846" t="s">
        <v>2544</v>
      </c>
      <c r="B1846" t="s">
        <v>2533</v>
      </c>
      <c r="C1846" t="s">
        <v>130</v>
      </c>
      <c r="D1846">
        <v>1962</v>
      </c>
      <c r="E1846" t="s">
        <v>29</v>
      </c>
      <c r="F1846" t="s">
        <v>30</v>
      </c>
      <c r="G1846" t="s">
        <v>31</v>
      </c>
      <c r="H1846" t="s">
        <v>32</v>
      </c>
      <c r="I1846">
        <v>686.37367389999997</v>
      </c>
      <c r="J1846" t="s">
        <v>33</v>
      </c>
      <c r="K1846" t="s">
        <v>2542</v>
      </c>
      <c r="L1846" t="s">
        <v>21</v>
      </c>
      <c r="M1846" t="str">
        <f t="shared" si="84"/>
        <v>OK</v>
      </c>
      <c r="N1846" t="str">
        <f t="shared" si="85"/>
        <v>1960s</v>
      </c>
      <c r="O1846" t="str">
        <f t="shared" si="86"/>
        <v>N/A</v>
      </c>
      <c r="P1846" t="str">
        <f>VLOOKUP(E1846,calculated_fields!$F$4:$G$6,2,FALSE)</f>
        <v>Economy</v>
      </c>
    </row>
    <row r="1847" spans="1:16">
      <c r="A1847" t="s">
        <v>2545</v>
      </c>
      <c r="B1847" t="s">
        <v>2533</v>
      </c>
      <c r="C1847" t="s">
        <v>130</v>
      </c>
      <c r="D1847">
        <v>1967</v>
      </c>
      <c r="E1847" t="s">
        <v>15</v>
      </c>
      <c r="F1847" t="s">
        <v>16</v>
      </c>
      <c r="G1847" t="s">
        <v>17</v>
      </c>
      <c r="H1847" t="s">
        <v>18</v>
      </c>
      <c r="I1847">
        <v>37.197000000000003</v>
      </c>
      <c r="J1847" t="s">
        <v>19</v>
      </c>
      <c r="K1847" t="s">
        <v>2546</v>
      </c>
      <c r="L1847" t="s">
        <v>21</v>
      </c>
      <c r="M1847" t="str">
        <f t="shared" si="84"/>
        <v>OK</v>
      </c>
      <c r="N1847" t="str">
        <f t="shared" si="85"/>
        <v>1960s</v>
      </c>
      <c r="O1847" t="str">
        <f t="shared" si="86"/>
        <v>Low</v>
      </c>
      <c r="P1847" t="str">
        <f>VLOOKUP(E1847,calculated_fields!$F$4:$G$6,2,FALSE)</f>
        <v>Health</v>
      </c>
    </row>
    <row r="1848" spans="1:16">
      <c r="A1848" t="s">
        <v>2547</v>
      </c>
      <c r="B1848" t="s">
        <v>2533</v>
      </c>
      <c r="C1848" t="s">
        <v>130</v>
      </c>
      <c r="D1848">
        <v>1967</v>
      </c>
      <c r="E1848" t="s">
        <v>23</v>
      </c>
      <c r="F1848" t="s">
        <v>24</v>
      </c>
      <c r="G1848" t="s">
        <v>25</v>
      </c>
      <c r="H1848" t="s">
        <v>26</v>
      </c>
      <c r="I1848">
        <v>3451418</v>
      </c>
      <c r="J1848" t="s">
        <v>27</v>
      </c>
      <c r="K1848" t="s">
        <v>2546</v>
      </c>
      <c r="L1848" t="s">
        <v>21</v>
      </c>
      <c r="M1848" t="str">
        <f t="shared" si="84"/>
        <v>OK</v>
      </c>
      <c r="N1848" t="str">
        <f t="shared" si="85"/>
        <v>1960s</v>
      </c>
      <c r="O1848" t="str">
        <f t="shared" si="86"/>
        <v>N/A</v>
      </c>
      <c r="P1848" t="str">
        <f>VLOOKUP(E1848,calculated_fields!$F$4:$G$6,2,FALSE)</f>
        <v>Demographics</v>
      </c>
    </row>
    <row r="1849" spans="1:16">
      <c r="A1849" t="s">
        <v>2548</v>
      </c>
      <c r="B1849" t="s">
        <v>2533</v>
      </c>
      <c r="C1849" t="s">
        <v>130</v>
      </c>
      <c r="D1849">
        <v>1967</v>
      </c>
      <c r="E1849" t="s">
        <v>29</v>
      </c>
      <c r="F1849" t="s">
        <v>30</v>
      </c>
      <c r="G1849" t="s">
        <v>31</v>
      </c>
      <c r="H1849" t="s">
        <v>32</v>
      </c>
      <c r="I1849">
        <v>708.75954090000005</v>
      </c>
      <c r="J1849" t="s">
        <v>33</v>
      </c>
      <c r="K1849" t="s">
        <v>2546</v>
      </c>
      <c r="L1849" t="s">
        <v>21</v>
      </c>
      <c r="M1849" t="str">
        <f t="shared" si="84"/>
        <v>OK</v>
      </c>
      <c r="N1849" t="str">
        <f t="shared" si="85"/>
        <v>1960s</v>
      </c>
      <c r="O1849" t="str">
        <f t="shared" si="86"/>
        <v>N/A</v>
      </c>
      <c r="P1849" t="str">
        <f>VLOOKUP(E1849,calculated_fields!$F$4:$G$6,2,FALSE)</f>
        <v>Economy</v>
      </c>
    </row>
    <row r="1850" spans="1:16">
      <c r="A1850" t="s">
        <v>2549</v>
      </c>
      <c r="B1850" t="s">
        <v>2533</v>
      </c>
      <c r="C1850" t="s">
        <v>130</v>
      </c>
      <c r="D1850">
        <v>1972</v>
      </c>
      <c r="E1850" t="s">
        <v>15</v>
      </c>
      <c r="F1850" t="s">
        <v>16</v>
      </c>
      <c r="G1850" t="s">
        <v>17</v>
      </c>
      <c r="H1850" t="s">
        <v>18</v>
      </c>
      <c r="I1850">
        <v>38.841999999999999</v>
      </c>
      <c r="J1850" t="s">
        <v>19</v>
      </c>
      <c r="K1850" t="s">
        <v>2550</v>
      </c>
      <c r="L1850" t="s">
        <v>21</v>
      </c>
      <c r="M1850" t="str">
        <f t="shared" si="84"/>
        <v>OK</v>
      </c>
      <c r="N1850" t="str">
        <f t="shared" si="85"/>
        <v>1970s</v>
      </c>
      <c r="O1850" t="str">
        <f t="shared" si="86"/>
        <v>Low</v>
      </c>
      <c r="P1850" t="str">
        <f>VLOOKUP(E1850,calculated_fields!$F$4:$G$6,2,FALSE)</f>
        <v>Health</v>
      </c>
    </row>
    <row r="1851" spans="1:16">
      <c r="A1851" t="s">
        <v>2551</v>
      </c>
      <c r="B1851" t="s">
        <v>2533</v>
      </c>
      <c r="C1851" t="s">
        <v>130</v>
      </c>
      <c r="D1851">
        <v>1972</v>
      </c>
      <c r="E1851" t="s">
        <v>23</v>
      </c>
      <c r="F1851" t="s">
        <v>24</v>
      </c>
      <c r="G1851" t="s">
        <v>25</v>
      </c>
      <c r="H1851" t="s">
        <v>26</v>
      </c>
      <c r="I1851">
        <v>3811387</v>
      </c>
      <c r="J1851" t="s">
        <v>27</v>
      </c>
      <c r="K1851" t="s">
        <v>2550</v>
      </c>
      <c r="L1851" t="s">
        <v>21</v>
      </c>
      <c r="M1851" t="str">
        <f t="shared" si="84"/>
        <v>OK</v>
      </c>
      <c r="N1851" t="str">
        <f t="shared" si="85"/>
        <v>1970s</v>
      </c>
      <c r="O1851" t="str">
        <f t="shared" si="86"/>
        <v>N/A</v>
      </c>
      <c r="P1851" t="str">
        <f>VLOOKUP(E1851,calculated_fields!$F$4:$G$6,2,FALSE)</f>
        <v>Demographics</v>
      </c>
    </row>
    <row r="1852" spans="1:16">
      <c r="A1852" t="s">
        <v>2552</v>
      </c>
      <c r="B1852" t="s">
        <v>2533</v>
      </c>
      <c r="C1852" t="s">
        <v>130</v>
      </c>
      <c r="D1852">
        <v>1972</v>
      </c>
      <c r="E1852" t="s">
        <v>29</v>
      </c>
      <c r="F1852" t="s">
        <v>30</v>
      </c>
      <c r="G1852" t="s">
        <v>31</v>
      </c>
      <c r="H1852" t="s">
        <v>32</v>
      </c>
      <c r="I1852">
        <v>741.66623070000003</v>
      </c>
      <c r="J1852" t="s">
        <v>33</v>
      </c>
      <c r="K1852" t="s">
        <v>2550</v>
      </c>
      <c r="L1852" t="s">
        <v>21</v>
      </c>
      <c r="M1852" t="str">
        <f t="shared" si="84"/>
        <v>OK</v>
      </c>
      <c r="N1852" t="str">
        <f t="shared" si="85"/>
        <v>1970s</v>
      </c>
      <c r="O1852" t="str">
        <f t="shared" si="86"/>
        <v>N/A</v>
      </c>
      <c r="P1852" t="str">
        <f>VLOOKUP(E1852,calculated_fields!$F$4:$G$6,2,FALSE)</f>
        <v>Economy</v>
      </c>
    </row>
    <row r="1853" spans="1:16">
      <c r="A1853" t="s">
        <v>2553</v>
      </c>
      <c r="B1853" t="s">
        <v>2533</v>
      </c>
      <c r="C1853" t="s">
        <v>130</v>
      </c>
      <c r="D1853">
        <v>1977</v>
      </c>
      <c r="E1853" t="s">
        <v>15</v>
      </c>
      <c r="F1853" t="s">
        <v>16</v>
      </c>
      <c r="G1853" t="s">
        <v>17</v>
      </c>
      <c r="H1853" t="s">
        <v>18</v>
      </c>
      <c r="I1853">
        <v>40.762</v>
      </c>
      <c r="J1853" t="s">
        <v>19</v>
      </c>
      <c r="K1853" t="s">
        <v>2554</v>
      </c>
      <c r="L1853" t="s">
        <v>21</v>
      </c>
      <c r="M1853" t="str">
        <f t="shared" si="84"/>
        <v>OK</v>
      </c>
      <c r="N1853" t="str">
        <f t="shared" si="85"/>
        <v>1970s</v>
      </c>
      <c r="O1853" t="str">
        <f t="shared" si="86"/>
        <v>Low</v>
      </c>
      <c r="P1853" t="str">
        <f>VLOOKUP(E1853,calculated_fields!$F$4:$G$6,2,FALSE)</f>
        <v>Health</v>
      </c>
    </row>
    <row r="1854" spans="1:16">
      <c r="A1854" t="s">
        <v>2555</v>
      </c>
      <c r="B1854" t="s">
        <v>2533</v>
      </c>
      <c r="C1854" t="s">
        <v>130</v>
      </c>
      <c r="D1854">
        <v>1977</v>
      </c>
      <c r="E1854" t="s">
        <v>23</v>
      </c>
      <c r="F1854" t="s">
        <v>24</v>
      </c>
      <c r="G1854" t="s">
        <v>25</v>
      </c>
      <c r="H1854" t="s">
        <v>26</v>
      </c>
      <c r="I1854">
        <v>4227026</v>
      </c>
      <c r="J1854" t="s">
        <v>27</v>
      </c>
      <c r="K1854" t="s">
        <v>2554</v>
      </c>
      <c r="L1854" t="s">
        <v>21</v>
      </c>
      <c r="M1854" t="str">
        <f t="shared" si="84"/>
        <v>OK</v>
      </c>
      <c r="N1854" t="str">
        <f t="shared" si="85"/>
        <v>1970s</v>
      </c>
      <c r="O1854" t="str">
        <f t="shared" si="86"/>
        <v>N/A</v>
      </c>
      <c r="P1854" t="str">
        <f>VLOOKUP(E1854,calculated_fields!$F$4:$G$6,2,FALSE)</f>
        <v>Demographics</v>
      </c>
    </row>
    <row r="1855" spans="1:16">
      <c r="A1855" t="s">
        <v>2556</v>
      </c>
      <c r="B1855" t="s">
        <v>2533</v>
      </c>
      <c r="C1855" t="s">
        <v>130</v>
      </c>
      <c r="D1855">
        <v>1977</v>
      </c>
      <c r="E1855" t="s">
        <v>29</v>
      </c>
      <c r="F1855" t="s">
        <v>30</v>
      </c>
      <c r="G1855" t="s">
        <v>31</v>
      </c>
      <c r="H1855" t="s">
        <v>32</v>
      </c>
      <c r="I1855">
        <v>874.68586429999903</v>
      </c>
      <c r="J1855" t="s">
        <v>33</v>
      </c>
      <c r="K1855" t="s">
        <v>2554</v>
      </c>
      <c r="L1855" t="s">
        <v>21</v>
      </c>
      <c r="M1855" t="str">
        <f t="shared" si="84"/>
        <v>OK</v>
      </c>
      <c r="N1855" t="str">
        <f t="shared" si="85"/>
        <v>1970s</v>
      </c>
      <c r="O1855" t="str">
        <f t="shared" si="86"/>
        <v>N/A</v>
      </c>
      <c r="P1855" t="str">
        <f>VLOOKUP(E1855,calculated_fields!$F$4:$G$6,2,FALSE)</f>
        <v>Economy</v>
      </c>
    </row>
    <row r="1856" spans="1:16">
      <c r="A1856" t="s">
        <v>2557</v>
      </c>
      <c r="B1856" t="s">
        <v>2533</v>
      </c>
      <c r="C1856" t="s">
        <v>130</v>
      </c>
      <c r="D1856">
        <v>1982</v>
      </c>
      <c r="E1856" t="s">
        <v>15</v>
      </c>
      <c r="F1856" t="s">
        <v>16</v>
      </c>
      <c r="G1856" t="s">
        <v>17</v>
      </c>
      <c r="H1856" t="s">
        <v>18</v>
      </c>
      <c r="I1856">
        <v>42.890999999999998</v>
      </c>
      <c r="J1856" t="s">
        <v>19</v>
      </c>
      <c r="K1856" t="s">
        <v>2558</v>
      </c>
      <c r="L1856" t="s">
        <v>21</v>
      </c>
      <c r="M1856" t="str">
        <f t="shared" si="84"/>
        <v>OK</v>
      </c>
      <c r="N1856" t="str">
        <f t="shared" si="85"/>
        <v>1980s</v>
      </c>
      <c r="O1856" t="str">
        <f t="shared" si="86"/>
        <v>Low</v>
      </c>
      <c r="P1856" t="str">
        <f>VLOOKUP(E1856,calculated_fields!$F$4:$G$6,2,FALSE)</f>
        <v>Health</v>
      </c>
    </row>
    <row r="1857" spans="1:16">
      <c r="A1857" t="s">
        <v>2559</v>
      </c>
      <c r="B1857" t="s">
        <v>2533</v>
      </c>
      <c r="C1857" t="s">
        <v>130</v>
      </c>
      <c r="D1857">
        <v>1982</v>
      </c>
      <c r="E1857" t="s">
        <v>23</v>
      </c>
      <c r="F1857" t="s">
        <v>24</v>
      </c>
      <c r="G1857" t="s">
        <v>25</v>
      </c>
      <c r="H1857" t="s">
        <v>26</v>
      </c>
      <c r="I1857">
        <v>4710497</v>
      </c>
      <c r="J1857" t="s">
        <v>27</v>
      </c>
      <c r="K1857" t="s">
        <v>2558</v>
      </c>
      <c r="L1857" t="s">
        <v>21</v>
      </c>
      <c r="M1857" t="str">
        <f t="shared" si="84"/>
        <v>OK</v>
      </c>
      <c r="N1857" t="str">
        <f t="shared" si="85"/>
        <v>1980s</v>
      </c>
      <c r="O1857" t="str">
        <f t="shared" si="86"/>
        <v>N/A</v>
      </c>
      <c r="P1857" t="str">
        <f>VLOOKUP(E1857,calculated_fields!$F$4:$G$6,2,FALSE)</f>
        <v>Demographics</v>
      </c>
    </row>
    <row r="1858" spans="1:16">
      <c r="A1858" t="s">
        <v>2560</v>
      </c>
      <c r="B1858" t="s">
        <v>2533</v>
      </c>
      <c r="C1858" t="s">
        <v>130</v>
      </c>
      <c r="D1858">
        <v>1982</v>
      </c>
      <c r="E1858" t="s">
        <v>29</v>
      </c>
      <c r="F1858" t="s">
        <v>30</v>
      </c>
      <c r="G1858" t="s">
        <v>31</v>
      </c>
      <c r="H1858" t="s">
        <v>32</v>
      </c>
      <c r="I1858">
        <v>857.2503577</v>
      </c>
      <c r="J1858" t="s">
        <v>33</v>
      </c>
      <c r="K1858" t="s">
        <v>2558</v>
      </c>
      <c r="L1858" t="s">
        <v>21</v>
      </c>
      <c r="M1858" t="str">
        <f t="shared" ref="M1858:M1921" si="87">IF(AND(ISNUMBER(I1858),I1858&gt;=0),"OK","Review")</f>
        <v>OK</v>
      </c>
      <c r="N1858" t="str">
        <f t="shared" ref="N1858:N1921" si="88">FLOOR(D1858,10)&amp;"s"</f>
        <v>1980s</v>
      </c>
      <c r="O1858" t="str">
        <f t="shared" ref="O1858:O1921" si="89">IF(E1858="LIFE_EXP",IF(I1858&gt;=70,"High",IF(I1858&gt;=55,"Medium","Low")),"N/A")</f>
        <v>N/A</v>
      </c>
      <c r="P1858" t="str">
        <f>VLOOKUP(E1858,calculated_fields!$F$4:$G$6,2,FALSE)</f>
        <v>Economy</v>
      </c>
    </row>
    <row r="1859" spans="1:16">
      <c r="A1859" t="s">
        <v>2561</v>
      </c>
      <c r="B1859" t="s">
        <v>2533</v>
      </c>
      <c r="C1859" t="s">
        <v>130</v>
      </c>
      <c r="D1859">
        <v>1987</v>
      </c>
      <c r="E1859" t="s">
        <v>15</v>
      </c>
      <c r="F1859" t="s">
        <v>16</v>
      </c>
      <c r="G1859" t="s">
        <v>17</v>
      </c>
      <c r="H1859" t="s">
        <v>18</v>
      </c>
      <c r="I1859">
        <v>45.552</v>
      </c>
      <c r="J1859" t="s">
        <v>19</v>
      </c>
      <c r="K1859" t="s">
        <v>2562</v>
      </c>
      <c r="L1859" t="s">
        <v>21</v>
      </c>
      <c r="M1859" t="str">
        <f t="shared" si="87"/>
        <v>OK</v>
      </c>
      <c r="N1859" t="str">
        <f t="shared" si="88"/>
        <v>1980s</v>
      </c>
      <c r="O1859" t="str">
        <f t="shared" si="89"/>
        <v>Low</v>
      </c>
      <c r="P1859" t="str">
        <f>VLOOKUP(E1859,calculated_fields!$F$4:$G$6,2,FALSE)</f>
        <v>Health</v>
      </c>
    </row>
    <row r="1860" spans="1:16">
      <c r="A1860" t="s">
        <v>2563</v>
      </c>
      <c r="B1860" t="s">
        <v>2533</v>
      </c>
      <c r="C1860" t="s">
        <v>130</v>
      </c>
      <c r="D1860">
        <v>1987</v>
      </c>
      <c r="E1860" t="s">
        <v>23</v>
      </c>
      <c r="F1860" t="s">
        <v>24</v>
      </c>
      <c r="G1860" t="s">
        <v>25</v>
      </c>
      <c r="H1860" t="s">
        <v>26</v>
      </c>
      <c r="I1860">
        <v>5650262</v>
      </c>
      <c r="J1860" t="s">
        <v>27</v>
      </c>
      <c r="K1860" t="s">
        <v>2562</v>
      </c>
      <c r="L1860" t="s">
        <v>21</v>
      </c>
      <c r="M1860" t="str">
        <f t="shared" si="87"/>
        <v>OK</v>
      </c>
      <c r="N1860" t="str">
        <f t="shared" si="88"/>
        <v>1980s</v>
      </c>
      <c r="O1860" t="str">
        <f t="shared" si="89"/>
        <v>N/A</v>
      </c>
      <c r="P1860" t="str">
        <f>VLOOKUP(E1860,calculated_fields!$F$4:$G$6,2,FALSE)</f>
        <v>Demographics</v>
      </c>
    </row>
    <row r="1861" spans="1:16">
      <c r="A1861" t="s">
        <v>2564</v>
      </c>
      <c r="B1861" t="s">
        <v>2533</v>
      </c>
      <c r="C1861" t="s">
        <v>130</v>
      </c>
      <c r="D1861">
        <v>1987</v>
      </c>
      <c r="E1861" t="s">
        <v>29</v>
      </c>
      <c r="F1861" t="s">
        <v>30</v>
      </c>
      <c r="G1861" t="s">
        <v>31</v>
      </c>
      <c r="H1861" t="s">
        <v>32</v>
      </c>
      <c r="I1861">
        <v>805.57247179999899</v>
      </c>
      <c r="J1861" t="s">
        <v>33</v>
      </c>
      <c r="K1861" t="s">
        <v>2562</v>
      </c>
      <c r="L1861" t="s">
        <v>21</v>
      </c>
      <c r="M1861" t="str">
        <f t="shared" si="87"/>
        <v>OK</v>
      </c>
      <c r="N1861" t="str">
        <f t="shared" si="88"/>
        <v>1980s</v>
      </c>
      <c r="O1861" t="str">
        <f t="shared" si="89"/>
        <v>N/A</v>
      </c>
      <c r="P1861" t="str">
        <f>VLOOKUP(E1861,calculated_fields!$F$4:$G$6,2,FALSE)</f>
        <v>Economy</v>
      </c>
    </row>
    <row r="1862" spans="1:16">
      <c r="A1862" t="s">
        <v>2565</v>
      </c>
      <c r="B1862" t="s">
        <v>2533</v>
      </c>
      <c r="C1862" t="s">
        <v>130</v>
      </c>
      <c r="D1862">
        <v>1992</v>
      </c>
      <c r="E1862" t="s">
        <v>15</v>
      </c>
      <c r="F1862" t="s">
        <v>16</v>
      </c>
      <c r="G1862" t="s">
        <v>17</v>
      </c>
      <c r="H1862" t="s">
        <v>18</v>
      </c>
      <c r="I1862">
        <v>48.576000000000001</v>
      </c>
      <c r="J1862" t="s">
        <v>19</v>
      </c>
      <c r="K1862" t="s">
        <v>2566</v>
      </c>
      <c r="L1862" t="s">
        <v>21</v>
      </c>
      <c r="M1862" t="str">
        <f t="shared" si="87"/>
        <v>OK</v>
      </c>
      <c r="N1862" t="str">
        <f t="shared" si="88"/>
        <v>1990s</v>
      </c>
      <c r="O1862" t="str">
        <f t="shared" si="89"/>
        <v>Low</v>
      </c>
      <c r="P1862" t="str">
        <f>VLOOKUP(E1862,calculated_fields!$F$4:$G$6,2,FALSE)</f>
        <v>Health</v>
      </c>
    </row>
    <row r="1863" spans="1:16">
      <c r="A1863" t="s">
        <v>2567</v>
      </c>
      <c r="B1863" t="s">
        <v>2533</v>
      </c>
      <c r="C1863" t="s">
        <v>130</v>
      </c>
      <c r="D1863">
        <v>1992</v>
      </c>
      <c r="E1863" t="s">
        <v>23</v>
      </c>
      <c r="F1863" t="s">
        <v>24</v>
      </c>
      <c r="G1863" t="s">
        <v>25</v>
      </c>
      <c r="H1863" t="s">
        <v>26</v>
      </c>
      <c r="I1863">
        <v>6990574</v>
      </c>
      <c r="J1863" t="s">
        <v>27</v>
      </c>
      <c r="K1863" t="s">
        <v>2566</v>
      </c>
      <c r="L1863" t="s">
        <v>21</v>
      </c>
      <c r="M1863" t="str">
        <f t="shared" si="87"/>
        <v>OK</v>
      </c>
      <c r="N1863" t="str">
        <f t="shared" si="88"/>
        <v>1990s</v>
      </c>
      <c r="O1863" t="str">
        <f t="shared" si="89"/>
        <v>N/A</v>
      </c>
      <c r="P1863" t="str">
        <f>VLOOKUP(E1863,calculated_fields!$F$4:$G$6,2,FALSE)</f>
        <v>Demographics</v>
      </c>
    </row>
    <row r="1864" spans="1:16">
      <c r="A1864" t="s">
        <v>2568</v>
      </c>
      <c r="B1864" t="s">
        <v>2533</v>
      </c>
      <c r="C1864" t="s">
        <v>130</v>
      </c>
      <c r="D1864">
        <v>1992</v>
      </c>
      <c r="E1864" t="s">
        <v>29</v>
      </c>
      <c r="F1864" t="s">
        <v>30</v>
      </c>
      <c r="G1864" t="s">
        <v>31</v>
      </c>
      <c r="H1864" t="s">
        <v>32</v>
      </c>
      <c r="I1864">
        <v>794.34843839999996</v>
      </c>
      <c r="J1864" t="s">
        <v>33</v>
      </c>
      <c r="K1864" t="s">
        <v>2566</v>
      </c>
      <c r="L1864" t="s">
        <v>21</v>
      </c>
      <c r="M1864" t="str">
        <f t="shared" si="87"/>
        <v>OK</v>
      </c>
      <c r="N1864" t="str">
        <f t="shared" si="88"/>
        <v>1990s</v>
      </c>
      <c r="O1864" t="str">
        <f t="shared" si="89"/>
        <v>N/A</v>
      </c>
      <c r="P1864" t="str">
        <f>VLOOKUP(E1864,calculated_fields!$F$4:$G$6,2,FALSE)</f>
        <v>Economy</v>
      </c>
    </row>
    <row r="1865" spans="1:16">
      <c r="A1865" t="s">
        <v>2569</v>
      </c>
      <c r="B1865" t="s">
        <v>2533</v>
      </c>
      <c r="C1865" t="s">
        <v>130</v>
      </c>
      <c r="D1865">
        <v>1997</v>
      </c>
      <c r="E1865" t="s">
        <v>15</v>
      </c>
      <c r="F1865" t="s">
        <v>16</v>
      </c>
      <c r="G1865" t="s">
        <v>17</v>
      </c>
      <c r="H1865" t="s">
        <v>18</v>
      </c>
      <c r="I1865">
        <v>51.454999999999998</v>
      </c>
      <c r="J1865" t="s">
        <v>19</v>
      </c>
      <c r="K1865" t="s">
        <v>2570</v>
      </c>
      <c r="L1865" t="s">
        <v>21</v>
      </c>
      <c r="M1865" t="str">
        <f t="shared" si="87"/>
        <v>OK</v>
      </c>
      <c r="N1865" t="str">
        <f t="shared" si="88"/>
        <v>1990s</v>
      </c>
      <c r="O1865" t="str">
        <f t="shared" si="89"/>
        <v>Low</v>
      </c>
      <c r="P1865" t="str">
        <f>VLOOKUP(E1865,calculated_fields!$F$4:$G$6,2,FALSE)</f>
        <v>Health</v>
      </c>
    </row>
    <row r="1866" spans="1:16">
      <c r="A1866" t="s">
        <v>2571</v>
      </c>
      <c r="B1866" t="s">
        <v>2533</v>
      </c>
      <c r="C1866" t="s">
        <v>130</v>
      </c>
      <c r="D1866">
        <v>1997</v>
      </c>
      <c r="E1866" t="s">
        <v>23</v>
      </c>
      <c r="F1866" t="s">
        <v>24</v>
      </c>
      <c r="G1866" t="s">
        <v>25</v>
      </c>
      <c r="H1866" t="s">
        <v>26</v>
      </c>
      <c r="I1866">
        <v>8048834</v>
      </c>
      <c r="J1866" t="s">
        <v>27</v>
      </c>
      <c r="K1866" t="s">
        <v>2570</v>
      </c>
      <c r="L1866" t="s">
        <v>21</v>
      </c>
      <c r="M1866" t="str">
        <f t="shared" si="87"/>
        <v>OK</v>
      </c>
      <c r="N1866" t="str">
        <f t="shared" si="88"/>
        <v>1990s</v>
      </c>
      <c r="O1866" t="str">
        <f t="shared" si="89"/>
        <v>N/A</v>
      </c>
      <c r="P1866" t="str">
        <f>VLOOKUP(E1866,calculated_fields!$F$4:$G$6,2,FALSE)</f>
        <v>Demographics</v>
      </c>
    </row>
    <row r="1867" spans="1:16">
      <c r="A1867" t="s">
        <v>2572</v>
      </c>
      <c r="B1867" t="s">
        <v>2533</v>
      </c>
      <c r="C1867" t="s">
        <v>130</v>
      </c>
      <c r="D1867">
        <v>1997</v>
      </c>
      <c r="E1867" t="s">
        <v>29</v>
      </c>
      <c r="F1867" t="s">
        <v>30</v>
      </c>
      <c r="G1867" t="s">
        <v>31</v>
      </c>
      <c r="H1867" t="s">
        <v>32</v>
      </c>
      <c r="I1867">
        <v>869.449766799999</v>
      </c>
      <c r="J1867" t="s">
        <v>33</v>
      </c>
      <c r="K1867" t="s">
        <v>2570</v>
      </c>
      <c r="L1867" t="s">
        <v>21</v>
      </c>
      <c r="M1867" t="str">
        <f t="shared" si="87"/>
        <v>OK</v>
      </c>
      <c r="N1867" t="str">
        <f t="shared" si="88"/>
        <v>1990s</v>
      </c>
      <c r="O1867" t="str">
        <f t="shared" si="89"/>
        <v>N/A</v>
      </c>
      <c r="P1867" t="str">
        <f>VLOOKUP(E1867,calculated_fields!$F$4:$G$6,2,FALSE)</f>
        <v>Economy</v>
      </c>
    </row>
    <row r="1868" spans="1:16">
      <c r="A1868" t="s">
        <v>2573</v>
      </c>
      <c r="B1868" t="s">
        <v>2533</v>
      </c>
      <c r="C1868" t="s">
        <v>130</v>
      </c>
      <c r="D1868">
        <v>2002</v>
      </c>
      <c r="E1868" t="s">
        <v>15</v>
      </c>
      <c r="F1868" t="s">
        <v>16</v>
      </c>
      <c r="G1868" t="s">
        <v>17</v>
      </c>
      <c r="H1868" t="s">
        <v>18</v>
      </c>
      <c r="I1868">
        <v>53.676000000000002</v>
      </c>
      <c r="J1868" t="s">
        <v>19</v>
      </c>
      <c r="K1868" t="s">
        <v>2574</v>
      </c>
      <c r="L1868" t="s">
        <v>21</v>
      </c>
      <c r="M1868" t="str">
        <f t="shared" si="87"/>
        <v>OK</v>
      </c>
      <c r="N1868" t="str">
        <f t="shared" si="88"/>
        <v>2000s</v>
      </c>
      <c r="O1868" t="str">
        <f t="shared" si="89"/>
        <v>Low</v>
      </c>
      <c r="P1868" t="str">
        <f>VLOOKUP(E1868,calculated_fields!$F$4:$G$6,2,FALSE)</f>
        <v>Health</v>
      </c>
    </row>
    <row r="1869" spans="1:16">
      <c r="A1869" t="s">
        <v>2575</v>
      </c>
      <c r="B1869" t="s">
        <v>2533</v>
      </c>
      <c r="C1869" t="s">
        <v>130</v>
      </c>
      <c r="D1869">
        <v>2002</v>
      </c>
      <c r="E1869" t="s">
        <v>23</v>
      </c>
      <c r="F1869" t="s">
        <v>24</v>
      </c>
      <c r="G1869" t="s">
        <v>25</v>
      </c>
      <c r="H1869" t="s">
        <v>26</v>
      </c>
      <c r="I1869">
        <v>8807818</v>
      </c>
      <c r="J1869" t="s">
        <v>27</v>
      </c>
      <c r="K1869" t="s">
        <v>2574</v>
      </c>
      <c r="L1869" t="s">
        <v>21</v>
      </c>
      <c r="M1869" t="str">
        <f t="shared" si="87"/>
        <v>OK</v>
      </c>
      <c r="N1869" t="str">
        <f t="shared" si="88"/>
        <v>2000s</v>
      </c>
      <c r="O1869" t="str">
        <f t="shared" si="89"/>
        <v>N/A</v>
      </c>
      <c r="P1869" t="str">
        <f>VLOOKUP(E1869,calculated_fields!$F$4:$G$6,2,FALSE)</f>
        <v>Demographics</v>
      </c>
    </row>
    <row r="1870" spans="1:16">
      <c r="A1870" t="s">
        <v>2576</v>
      </c>
      <c r="B1870" t="s">
        <v>2533</v>
      </c>
      <c r="C1870" t="s">
        <v>130</v>
      </c>
      <c r="D1870">
        <v>2002</v>
      </c>
      <c r="E1870" t="s">
        <v>29</v>
      </c>
      <c r="F1870" t="s">
        <v>30</v>
      </c>
      <c r="G1870" t="s">
        <v>31</v>
      </c>
      <c r="H1870" t="s">
        <v>32</v>
      </c>
      <c r="I1870">
        <v>945.58358369999996</v>
      </c>
      <c r="J1870" t="s">
        <v>33</v>
      </c>
      <c r="K1870" t="s">
        <v>2574</v>
      </c>
      <c r="L1870" t="s">
        <v>21</v>
      </c>
      <c r="M1870" t="str">
        <f t="shared" si="87"/>
        <v>OK</v>
      </c>
      <c r="N1870" t="str">
        <f t="shared" si="88"/>
        <v>2000s</v>
      </c>
      <c r="O1870" t="str">
        <f t="shared" si="89"/>
        <v>N/A</v>
      </c>
      <c r="P1870" t="str">
        <f>VLOOKUP(E1870,calculated_fields!$F$4:$G$6,2,FALSE)</f>
        <v>Economy</v>
      </c>
    </row>
    <row r="1871" spans="1:16">
      <c r="A1871" t="s">
        <v>2577</v>
      </c>
      <c r="B1871" t="s">
        <v>2533</v>
      </c>
      <c r="C1871" t="s">
        <v>130</v>
      </c>
      <c r="D1871">
        <v>2007</v>
      </c>
      <c r="E1871" t="s">
        <v>15</v>
      </c>
      <c r="F1871" t="s">
        <v>16</v>
      </c>
      <c r="G1871" t="s">
        <v>17</v>
      </c>
      <c r="H1871" t="s">
        <v>18</v>
      </c>
      <c r="I1871">
        <v>56.006999999999998</v>
      </c>
      <c r="J1871" t="s">
        <v>19</v>
      </c>
      <c r="K1871" t="s">
        <v>2578</v>
      </c>
      <c r="L1871" t="s">
        <v>21</v>
      </c>
      <c r="M1871" t="str">
        <f t="shared" si="87"/>
        <v>OK</v>
      </c>
      <c r="N1871" t="str">
        <f t="shared" si="88"/>
        <v>2000s</v>
      </c>
      <c r="O1871" t="str">
        <f t="shared" si="89"/>
        <v>Medium</v>
      </c>
      <c r="P1871" t="str">
        <f>VLOOKUP(E1871,calculated_fields!$F$4:$G$6,2,FALSE)</f>
        <v>Health</v>
      </c>
    </row>
    <row r="1872" spans="1:16">
      <c r="A1872" t="s">
        <v>2579</v>
      </c>
      <c r="B1872" t="s">
        <v>2533</v>
      </c>
      <c r="C1872" t="s">
        <v>130</v>
      </c>
      <c r="D1872">
        <v>2007</v>
      </c>
      <c r="E1872" t="s">
        <v>23</v>
      </c>
      <c r="F1872" t="s">
        <v>24</v>
      </c>
      <c r="G1872" t="s">
        <v>25</v>
      </c>
      <c r="H1872" t="s">
        <v>26</v>
      </c>
      <c r="I1872">
        <v>9947814</v>
      </c>
      <c r="J1872" t="s">
        <v>27</v>
      </c>
      <c r="K1872" t="s">
        <v>2578</v>
      </c>
      <c r="L1872" t="s">
        <v>21</v>
      </c>
      <c r="M1872" t="str">
        <f t="shared" si="87"/>
        <v>OK</v>
      </c>
      <c r="N1872" t="str">
        <f t="shared" si="88"/>
        <v>2000s</v>
      </c>
      <c r="O1872" t="str">
        <f t="shared" si="89"/>
        <v>N/A</v>
      </c>
      <c r="P1872" t="str">
        <f>VLOOKUP(E1872,calculated_fields!$F$4:$G$6,2,FALSE)</f>
        <v>Demographics</v>
      </c>
    </row>
    <row r="1873" spans="1:16">
      <c r="A1873" t="s">
        <v>2580</v>
      </c>
      <c r="B1873" t="s">
        <v>2533</v>
      </c>
      <c r="C1873" t="s">
        <v>130</v>
      </c>
      <c r="D1873">
        <v>2007</v>
      </c>
      <c r="E1873" t="s">
        <v>29</v>
      </c>
      <c r="F1873" t="s">
        <v>30</v>
      </c>
      <c r="G1873" t="s">
        <v>31</v>
      </c>
      <c r="H1873" t="s">
        <v>32</v>
      </c>
      <c r="I1873">
        <v>942.6542111</v>
      </c>
      <c r="J1873" t="s">
        <v>33</v>
      </c>
      <c r="K1873" t="s">
        <v>2578</v>
      </c>
      <c r="L1873" t="s">
        <v>21</v>
      </c>
      <c r="M1873" t="str">
        <f t="shared" si="87"/>
        <v>OK</v>
      </c>
      <c r="N1873" t="str">
        <f t="shared" si="88"/>
        <v>2000s</v>
      </c>
      <c r="O1873" t="str">
        <f t="shared" si="89"/>
        <v>N/A</v>
      </c>
      <c r="P1873" t="str">
        <f>VLOOKUP(E1873,calculated_fields!$F$4:$G$6,2,FALSE)</f>
        <v>Economy</v>
      </c>
    </row>
    <row r="1874" spans="1:16">
      <c r="A1874" t="s">
        <v>2581</v>
      </c>
      <c r="B1874" t="s">
        <v>2582</v>
      </c>
      <c r="C1874" t="s">
        <v>130</v>
      </c>
      <c r="D1874">
        <v>1952</v>
      </c>
      <c r="E1874" t="s">
        <v>15</v>
      </c>
      <c r="F1874" t="s">
        <v>16</v>
      </c>
      <c r="G1874" t="s">
        <v>17</v>
      </c>
      <c r="H1874" t="s">
        <v>18</v>
      </c>
      <c r="I1874">
        <v>32.5</v>
      </c>
      <c r="J1874" t="s">
        <v>19</v>
      </c>
      <c r="K1874" t="s">
        <v>2583</v>
      </c>
      <c r="L1874" t="s">
        <v>21</v>
      </c>
      <c r="M1874" t="str">
        <f t="shared" si="87"/>
        <v>OK</v>
      </c>
      <c r="N1874" t="str">
        <f t="shared" si="88"/>
        <v>1950s</v>
      </c>
      <c r="O1874" t="str">
        <f t="shared" si="89"/>
        <v>Low</v>
      </c>
      <c r="P1874" t="str">
        <f>VLOOKUP(E1874,calculated_fields!$F$4:$G$6,2,FALSE)</f>
        <v>Health</v>
      </c>
    </row>
    <row r="1875" spans="1:16">
      <c r="A1875" t="s">
        <v>2584</v>
      </c>
      <c r="B1875" t="s">
        <v>2582</v>
      </c>
      <c r="C1875" t="s">
        <v>130</v>
      </c>
      <c r="D1875">
        <v>1952</v>
      </c>
      <c r="E1875" t="s">
        <v>23</v>
      </c>
      <c r="F1875" t="s">
        <v>24</v>
      </c>
      <c r="G1875" t="s">
        <v>25</v>
      </c>
      <c r="H1875" t="s">
        <v>26</v>
      </c>
      <c r="I1875">
        <v>580653</v>
      </c>
      <c r="J1875" t="s">
        <v>27</v>
      </c>
      <c r="K1875" t="s">
        <v>2583</v>
      </c>
      <c r="L1875" t="s">
        <v>21</v>
      </c>
      <c r="M1875" t="str">
        <f t="shared" si="87"/>
        <v>OK</v>
      </c>
      <c r="N1875" t="str">
        <f t="shared" si="88"/>
        <v>1950s</v>
      </c>
      <c r="O1875" t="str">
        <f t="shared" si="89"/>
        <v>N/A</v>
      </c>
      <c r="P1875" t="str">
        <f>VLOOKUP(E1875,calculated_fields!$F$4:$G$6,2,FALSE)</f>
        <v>Demographics</v>
      </c>
    </row>
    <row r="1876" spans="1:16">
      <c r="A1876" t="s">
        <v>2585</v>
      </c>
      <c r="B1876" t="s">
        <v>2582</v>
      </c>
      <c r="C1876" t="s">
        <v>130</v>
      </c>
      <c r="D1876">
        <v>1952</v>
      </c>
      <c r="E1876" t="s">
        <v>29</v>
      </c>
      <c r="F1876" t="s">
        <v>30</v>
      </c>
      <c r="G1876" t="s">
        <v>31</v>
      </c>
      <c r="H1876" t="s">
        <v>32</v>
      </c>
      <c r="I1876">
        <v>299.85031900000001</v>
      </c>
      <c r="J1876" t="s">
        <v>33</v>
      </c>
      <c r="K1876" t="s">
        <v>2583</v>
      </c>
      <c r="L1876" t="s">
        <v>21</v>
      </c>
      <c r="M1876" t="str">
        <f t="shared" si="87"/>
        <v>OK</v>
      </c>
      <c r="N1876" t="str">
        <f t="shared" si="88"/>
        <v>1950s</v>
      </c>
      <c r="O1876" t="str">
        <f t="shared" si="89"/>
        <v>N/A</v>
      </c>
      <c r="P1876" t="str">
        <f>VLOOKUP(E1876,calculated_fields!$F$4:$G$6,2,FALSE)</f>
        <v>Economy</v>
      </c>
    </row>
    <row r="1877" spans="1:16">
      <c r="A1877" t="s">
        <v>2586</v>
      </c>
      <c r="B1877" t="s">
        <v>2582</v>
      </c>
      <c r="C1877" t="s">
        <v>130</v>
      </c>
      <c r="D1877">
        <v>1957</v>
      </c>
      <c r="E1877" t="s">
        <v>15</v>
      </c>
      <c r="F1877" t="s">
        <v>16</v>
      </c>
      <c r="G1877" t="s">
        <v>17</v>
      </c>
      <c r="H1877" t="s">
        <v>18</v>
      </c>
      <c r="I1877">
        <v>33.488999999999997</v>
      </c>
      <c r="J1877" t="s">
        <v>19</v>
      </c>
      <c r="K1877" t="s">
        <v>2587</v>
      </c>
      <c r="L1877" t="s">
        <v>21</v>
      </c>
      <c r="M1877" t="str">
        <f t="shared" si="87"/>
        <v>OK</v>
      </c>
      <c r="N1877" t="str">
        <f t="shared" si="88"/>
        <v>1950s</v>
      </c>
      <c r="O1877" t="str">
        <f t="shared" si="89"/>
        <v>Low</v>
      </c>
      <c r="P1877" t="str">
        <f>VLOOKUP(E1877,calculated_fields!$F$4:$G$6,2,FALSE)</f>
        <v>Health</v>
      </c>
    </row>
    <row r="1878" spans="1:16">
      <c r="A1878" t="s">
        <v>2588</v>
      </c>
      <c r="B1878" t="s">
        <v>2582</v>
      </c>
      <c r="C1878" t="s">
        <v>130</v>
      </c>
      <c r="D1878">
        <v>1957</v>
      </c>
      <c r="E1878" t="s">
        <v>23</v>
      </c>
      <c r="F1878" t="s">
        <v>24</v>
      </c>
      <c r="G1878" t="s">
        <v>25</v>
      </c>
      <c r="H1878" t="s">
        <v>26</v>
      </c>
      <c r="I1878">
        <v>601095</v>
      </c>
      <c r="J1878" t="s">
        <v>27</v>
      </c>
      <c r="K1878" t="s">
        <v>2587</v>
      </c>
      <c r="L1878" t="s">
        <v>21</v>
      </c>
      <c r="M1878" t="str">
        <f t="shared" si="87"/>
        <v>OK</v>
      </c>
      <c r="N1878" t="str">
        <f t="shared" si="88"/>
        <v>1950s</v>
      </c>
      <c r="O1878" t="str">
        <f t="shared" si="89"/>
        <v>N/A</v>
      </c>
      <c r="P1878" t="str">
        <f>VLOOKUP(E1878,calculated_fields!$F$4:$G$6,2,FALSE)</f>
        <v>Demographics</v>
      </c>
    </row>
    <row r="1879" spans="1:16">
      <c r="A1879" t="s">
        <v>2589</v>
      </c>
      <c r="B1879" t="s">
        <v>2582</v>
      </c>
      <c r="C1879" t="s">
        <v>130</v>
      </c>
      <c r="D1879">
        <v>1957</v>
      </c>
      <c r="E1879" t="s">
        <v>29</v>
      </c>
      <c r="F1879" t="s">
        <v>30</v>
      </c>
      <c r="G1879" t="s">
        <v>31</v>
      </c>
      <c r="H1879" t="s">
        <v>32</v>
      </c>
      <c r="I1879">
        <v>431.79045660000003</v>
      </c>
      <c r="J1879" t="s">
        <v>33</v>
      </c>
      <c r="K1879" t="s">
        <v>2587</v>
      </c>
      <c r="L1879" t="s">
        <v>21</v>
      </c>
      <c r="M1879" t="str">
        <f t="shared" si="87"/>
        <v>OK</v>
      </c>
      <c r="N1879" t="str">
        <f t="shared" si="88"/>
        <v>1950s</v>
      </c>
      <c r="O1879" t="str">
        <f t="shared" si="89"/>
        <v>N/A</v>
      </c>
      <c r="P1879" t="str">
        <f>VLOOKUP(E1879,calculated_fields!$F$4:$G$6,2,FALSE)</f>
        <v>Economy</v>
      </c>
    </row>
    <row r="1880" spans="1:16">
      <c r="A1880" t="s">
        <v>2590</v>
      </c>
      <c r="B1880" t="s">
        <v>2582</v>
      </c>
      <c r="C1880" t="s">
        <v>130</v>
      </c>
      <c r="D1880">
        <v>1962</v>
      </c>
      <c r="E1880" t="s">
        <v>15</v>
      </c>
      <c r="F1880" t="s">
        <v>16</v>
      </c>
      <c r="G1880" t="s">
        <v>17</v>
      </c>
      <c r="H1880" t="s">
        <v>18</v>
      </c>
      <c r="I1880">
        <v>34.488</v>
      </c>
      <c r="J1880" t="s">
        <v>19</v>
      </c>
      <c r="K1880" t="s">
        <v>2591</v>
      </c>
      <c r="L1880" t="s">
        <v>21</v>
      </c>
      <c r="M1880" t="str">
        <f t="shared" si="87"/>
        <v>OK</v>
      </c>
      <c r="N1880" t="str">
        <f t="shared" si="88"/>
        <v>1960s</v>
      </c>
      <c r="O1880" t="str">
        <f t="shared" si="89"/>
        <v>Low</v>
      </c>
      <c r="P1880" t="str">
        <f>VLOOKUP(E1880,calculated_fields!$F$4:$G$6,2,FALSE)</f>
        <v>Health</v>
      </c>
    </row>
    <row r="1881" spans="1:16">
      <c r="A1881" t="s">
        <v>2592</v>
      </c>
      <c r="B1881" t="s">
        <v>2582</v>
      </c>
      <c r="C1881" t="s">
        <v>130</v>
      </c>
      <c r="D1881">
        <v>1962</v>
      </c>
      <c r="E1881" t="s">
        <v>23</v>
      </c>
      <c r="F1881" t="s">
        <v>24</v>
      </c>
      <c r="G1881" t="s">
        <v>25</v>
      </c>
      <c r="H1881" t="s">
        <v>26</v>
      </c>
      <c r="I1881">
        <v>627820</v>
      </c>
      <c r="J1881" t="s">
        <v>27</v>
      </c>
      <c r="K1881" t="s">
        <v>2591</v>
      </c>
      <c r="L1881" t="s">
        <v>21</v>
      </c>
      <c r="M1881" t="str">
        <f t="shared" si="87"/>
        <v>OK</v>
      </c>
      <c r="N1881" t="str">
        <f t="shared" si="88"/>
        <v>1960s</v>
      </c>
      <c r="O1881" t="str">
        <f t="shared" si="89"/>
        <v>N/A</v>
      </c>
      <c r="P1881" t="str">
        <f>VLOOKUP(E1881,calculated_fields!$F$4:$G$6,2,FALSE)</f>
        <v>Demographics</v>
      </c>
    </row>
    <row r="1882" spans="1:16">
      <c r="A1882" t="s">
        <v>2593</v>
      </c>
      <c r="B1882" t="s">
        <v>2582</v>
      </c>
      <c r="C1882" t="s">
        <v>130</v>
      </c>
      <c r="D1882">
        <v>1962</v>
      </c>
      <c r="E1882" t="s">
        <v>29</v>
      </c>
      <c r="F1882" t="s">
        <v>30</v>
      </c>
      <c r="G1882" t="s">
        <v>31</v>
      </c>
      <c r="H1882" t="s">
        <v>32</v>
      </c>
      <c r="I1882">
        <v>522.03437250000002</v>
      </c>
      <c r="J1882" t="s">
        <v>33</v>
      </c>
      <c r="K1882" t="s">
        <v>2591</v>
      </c>
      <c r="L1882" t="s">
        <v>21</v>
      </c>
      <c r="M1882" t="str">
        <f t="shared" si="87"/>
        <v>OK</v>
      </c>
      <c r="N1882" t="str">
        <f t="shared" si="88"/>
        <v>1960s</v>
      </c>
      <c r="O1882" t="str">
        <f t="shared" si="89"/>
        <v>N/A</v>
      </c>
      <c r="P1882" t="str">
        <f>VLOOKUP(E1882,calculated_fields!$F$4:$G$6,2,FALSE)</f>
        <v>Economy</v>
      </c>
    </row>
    <row r="1883" spans="1:16">
      <c r="A1883" t="s">
        <v>2594</v>
      </c>
      <c r="B1883" t="s">
        <v>2582</v>
      </c>
      <c r="C1883" t="s">
        <v>130</v>
      </c>
      <c r="D1883">
        <v>1967</v>
      </c>
      <c r="E1883" t="s">
        <v>15</v>
      </c>
      <c r="F1883" t="s">
        <v>16</v>
      </c>
      <c r="G1883" t="s">
        <v>17</v>
      </c>
      <c r="H1883" t="s">
        <v>18</v>
      </c>
      <c r="I1883">
        <v>35.491999999999997</v>
      </c>
      <c r="J1883" t="s">
        <v>19</v>
      </c>
      <c r="K1883" t="s">
        <v>2595</v>
      </c>
      <c r="L1883" t="s">
        <v>21</v>
      </c>
      <c r="M1883" t="str">
        <f t="shared" si="87"/>
        <v>OK</v>
      </c>
      <c r="N1883" t="str">
        <f t="shared" si="88"/>
        <v>1960s</v>
      </c>
      <c r="O1883" t="str">
        <f t="shared" si="89"/>
        <v>Low</v>
      </c>
      <c r="P1883" t="str">
        <f>VLOOKUP(E1883,calculated_fields!$F$4:$G$6,2,FALSE)</f>
        <v>Health</v>
      </c>
    </row>
    <row r="1884" spans="1:16">
      <c r="A1884" t="s">
        <v>2596</v>
      </c>
      <c r="B1884" t="s">
        <v>2582</v>
      </c>
      <c r="C1884" t="s">
        <v>130</v>
      </c>
      <c r="D1884">
        <v>1967</v>
      </c>
      <c r="E1884" t="s">
        <v>23</v>
      </c>
      <c r="F1884" t="s">
        <v>24</v>
      </c>
      <c r="G1884" t="s">
        <v>25</v>
      </c>
      <c r="H1884" t="s">
        <v>26</v>
      </c>
      <c r="I1884">
        <v>601287</v>
      </c>
      <c r="J1884" t="s">
        <v>27</v>
      </c>
      <c r="K1884" t="s">
        <v>2595</v>
      </c>
      <c r="L1884" t="s">
        <v>21</v>
      </c>
      <c r="M1884" t="str">
        <f t="shared" si="87"/>
        <v>OK</v>
      </c>
      <c r="N1884" t="str">
        <f t="shared" si="88"/>
        <v>1960s</v>
      </c>
      <c r="O1884" t="str">
        <f t="shared" si="89"/>
        <v>N/A</v>
      </c>
      <c r="P1884" t="str">
        <f>VLOOKUP(E1884,calculated_fields!$F$4:$G$6,2,FALSE)</f>
        <v>Demographics</v>
      </c>
    </row>
    <row r="1885" spans="1:16">
      <c r="A1885" t="s">
        <v>2597</v>
      </c>
      <c r="B1885" t="s">
        <v>2582</v>
      </c>
      <c r="C1885" t="s">
        <v>130</v>
      </c>
      <c r="D1885">
        <v>1967</v>
      </c>
      <c r="E1885" t="s">
        <v>29</v>
      </c>
      <c r="F1885" t="s">
        <v>30</v>
      </c>
      <c r="G1885" t="s">
        <v>31</v>
      </c>
      <c r="H1885" t="s">
        <v>32</v>
      </c>
      <c r="I1885">
        <v>715.58064019999995</v>
      </c>
      <c r="J1885" t="s">
        <v>33</v>
      </c>
      <c r="K1885" t="s">
        <v>2595</v>
      </c>
      <c r="L1885" t="s">
        <v>21</v>
      </c>
      <c r="M1885" t="str">
        <f t="shared" si="87"/>
        <v>OK</v>
      </c>
      <c r="N1885" t="str">
        <f t="shared" si="88"/>
        <v>1960s</v>
      </c>
      <c r="O1885" t="str">
        <f t="shared" si="89"/>
        <v>N/A</v>
      </c>
      <c r="P1885" t="str">
        <f>VLOOKUP(E1885,calculated_fields!$F$4:$G$6,2,FALSE)</f>
        <v>Economy</v>
      </c>
    </row>
    <row r="1886" spans="1:16">
      <c r="A1886" t="s">
        <v>2598</v>
      </c>
      <c r="B1886" t="s">
        <v>2582</v>
      </c>
      <c r="C1886" t="s">
        <v>130</v>
      </c>
      <c r="D1886">
        <v>1972</v>
      </c>
      <c r="E1886" t="s">
        <v>15</v>
      </c>
      <c r="F1886" t="s">
        <v>16</v>
      </c>
      <c r="G1886" t="s">
        <v>17</v>
      </c>
      <c r="H1886" t="s">
        <v>18</v>
      </c>
      <c r="I1886">
        <v>36.485999999999997</v>
      </c>
      <c r="J1886" t="s">
        <v>19</v>
      </c>
      <c r="K1886" t="s">
        <v>2599</v>
      </c>
      <c r="L1886" t="s">
        <v>21</v>
      </c>
      <c r="M1886" t="str">
        <f t="shared" si="87"/>
        <v>OK</v>
      </c>
      <c r="N1886" t="str">
        <f t="shared" si="88"/>
        <v>1970s</v>
      </c>
      <c r="O1886" t="str">
        <f t="shared" si="89"/>
        <v>Low</v>
      </c>
      <c r="P1886" t="str">
        <f>VLOOKUP(E1886,calculated_fields!$F$4:$G$6,2,FALSE)</f>
        <v>Health</v>
      </c>
    </row>
    <row r="1887" spans="1:16">
      <c r="A1887" t="s">
        <v>2600</v>
      </c>
      <c r="B1887" t="s">
        <v>2582</v>
      </c>
      <c r="C1887" t="s">
        <v>130</v>
      </c>
      <c r="D1887">
        <v>1972</v>
      </c>
      <c r="E1887" t="s">
        <v>23</v>
      </c>
      <c r="F1887" t="s">
        <v>24</v>
      </c>
      <c r="G1887" t="s">
        <v>25</v>
      </c>
      <c r="H1887" t="s">
        <v>26</v>
      </c>
      <c r="I1887">
        <v>625361</v>
      </c>
      <c r="J1887" t="s">
        <v>27</v>
      </c>
      <c r="K1887" t="s">
        <v>2599</v>
      </c>
      <c r="L1887" t="s">
        <v>21</v>
      </c>
      <c r="M1887" t="str">
        <f t="shared" si="87"/>
        <v>OK</v>
      </c>
      <c r="N1887" t="str">
        <f t="shared" si="88"/>
        <v>1970s</v>
      </c>
      <c r="O1887" t="str">
        <f t="shared" si="89"/>
        <v>N/A</v>
      </c>
      <c r="P1887" t="str">
        <f>VLOOKUP(E1887,calculated_fields!$F$4:$G$6,2,FALSE)</f>
        <v>Demographics</v>
      </c>
    </row>
    <row r="1888" spans="1:16">
      <c r="A1888" t="s">
        <v>2601</v>
      </c>
      <c r="B1888" t="s">
        <v>2582</v>
      </c>
      <c r="C1888" t="s">
        <v>130</v>
      </c>
      <c r="D1888">
        <v>1972</v>
      </c>
      <c r="E1888" t="s">
        <v>29</v>
      </c>
      <c r="F1888" t="s">
        <v>30</v>
      </c>
      <c r="G1888" t="s">
        <v>31</v>
      </c>
      <c r="H1888" t="s">
        <v>32</v>
      </c>
      <c r="I1888">
        <v>820.22458759999995</v>
      </c>
      <c r="J1888" t="s">
        <v>33</v>
      </c>
      <c r="K1888" t="s">
        <v>2599</v>
      </c>
      <c r="L1888" t="s">
        <v>21</v>
      </c>
      <c r="M1888" t="str">
        <f t="shared" si="87"/>
        <v>OK</v>
      </c>
      <c r="N1888" t="str">
        <f t="shared" si="88"/>
        <v>1970s</v>
      </c>
      <c r="O1888" t="str">
        <f t="shared" si="89"/>
        <v>N/A</v>
      </c>
      <c r="P1888" t="str">
        <f>VLOOKUP(E1888,calculated_fields!$F$4:$G$6,2,FALSE)</f>
        <v>Economy</v>
      </c>
    </row>
    <row r="1889" spans="1:16">
      <c r="A1889" t="s">
        <v>2602</v>
      </c>
      <c r="B1889" t="s">
        <v>2582</v>
      </c>
      <c r="C1889" t="s">
        <v>130</v>
      </c>
      <c r="D1889">
        <v>1977</v>
      </c>
      <c r="E1889" t="s">
        <v>15</v>
      </c>
      <c r="F1889" t="s">
        <v>16</v>
      </c>
      <c r="G1889" t="s">
        <v>17</v>
      </c>
      <c r="H1889" t="s">
        <v>18</v>
      </c>
      <c r="I1889">
        <v>37.465000000000003</v>
      </c>
      <c r="J1889" t="s">
        <v>19</v>
      </c>
      <c r="K1889" t="s">
        <v>2603</v>
      </c>
      <c r="L1889" t="s">
        <v>21</v>
      </c>
      <c r="M1889" t="str">
        <f t="shared" si="87"/>
        <v>OK</v>
      </c>
      <c r="N1889" t="str">
        <f t="shared" si="88"/>
        <v>1970s</v>
      </c>
      <c r="O1889" t="str">
        <f t="shared" si="89"/>
        <v>Low</v>
      </c>
      <c r="P1889" t="str">
        <f>VLOOKUP(E1889,calculated_fields!$F$4:$G$6,2,FALSE)</f>
        <v>Health</v>
      </c>
    </row>
    <row r="1890" spans="1:16">
      <c r="A1890" t="s">
        <v>2604</v>
      </c>
      <c r="B1890" t="s">
        <v>2582</v>
      </c>
      <c r="C1890" t="s">
        <v>130</v>
      </c>
      <c r="D1890">
        <v>1977</v>
      </c>
      <c r="E1890" t="s">
        <v>23</v>
      </c>
      <c r="F1890" t="s">
        <v>24</v>
      </c>
      <c r="G1890" t="s">
        <v>25</v>
      </c>
      <c r="H1890" t="s">
        <v>26</v>
      </c>
      <c r="I1890">
        <v>745228</v>
      </c>
      <c r="J1890" t="s">
        <v>27</v>
      </c>
      <c r="K1890" t="s">
        <v>2603</v>
      </c>
      <c r="L1890" t="s">
        <v>21</v>
      </c>
      <c r="M1890" t="str">
        <f t="shared" si="87"/>
        <v>OK</v>
      </c>
      <c r="N1890" t="str">
        <f t="shared" si="88"/>
        <v>1970s</v>
      </c>
      <c r="O1890" t="str">
        <f t="shared" si="89"/>
        <v>N/A</v>
      </c>
      <c r="P1890" t="str">
        <f>VLOOKUP(E1890,calculated_fields!$F$4:$G$6,2,FALSE)</f>
        <v>Demographics</v>
      </c>
    </row>
    <row r="1891" spans="1:16">
      <c r="A1891" t="s">
        <v>2605</v>
      </c>
      <c r="B1891" t="s">
        <v>2582</v>
      </c>
      <c r="C1891" t="s">
        <v>130</v>
      </c>
      <c r="D1891">
        <v>1977</v>
      </c>
      <c r="E1891" t="s">
        <v>29</v>
      </c>
      <c r="F1891" t="s">
        <v>30</v>
      </c>
      <c r="G1891" t="s">
        <v>31</v>
      </c>
      <c r="H1891" t="s">
        <v>32</v>
      </c>
      <c r="I1891">
        <v>764.72596279999902</v>
      </c>
      <c r="J1891" t="s">
        <v>33</v>
      </c>
      <c r="K1891" t="s">
        <v>2603</v>
      </c>
      <c r="L1891" t="s">
        <v>21</v>
      </c>
      <c r="M1891" t="str">
        <f t="shared" si="87"/>
        <v>OK</v>
      </c>
      <c r="N1891" t="str">
        <f t="shared" si="88"/>
        <v>1970s</v>
      </c>
      <c r="O1891" t="str">
        <f t="shared" si="89"/>
        <v>N/A</v>
      </c>
      <c r="P1891" t="str">
        <f>VLOOKUP(E1891,calculated_fields!$F$4:$G$6,2,FALSE)</f>
        <v>Economy</v>
      </c>
    </row>
    <row r="1892" spans="1:16">
      <c r="A1892" t="s">
        <v>2606</v>
      </c>
      <c r="B1892" t="s">
        <v>2582</v>
      </c>
      <c r="C1892" t="s">
        <v>130</v>
      </c>
      <c r="D1892">
        <v>1982</v>
      </c>
      <c r="E1892" t="s">
        <v>15</v>
      </c>
      <c r="F1892" t="s">
        <v>16</v>
      </c>
      <c r="G1892" t="s">
        <v>17</v>
      </c>
      <c r="H1892" t="s">
        <v>18</v>
      </c>
      <c r="I1892">
        <v>39.326999999999998</v>
      </c>
      <c r="J1892" t="s">
        <v>19</v>
      </c>
      <c r="K1892" t="s">
        <v>2607</v>
      </c>
      <c r="L1892" t="s">
        <v>21</v>
      </c>
      <c r="M1892" t="str">
        <f t="shared" si="87"/>
        <v>OK</v>
      </c>
      <c r="N1892" t="str">
        <f t="shared" si="88"/>
        <v>1980s</v>
      </c>
      <c r="O1892" t="str">
        <f t="shared" si="89"/>
        <v>Low</v>
      </c>
      <c r="P1892" t="str">
        <f>VLOOKUP(E1892,calculated_fields!$F$4:$G$6,2,FALSE)</f>
        <v>Health</v>
      </c>
    </row>
    <row r="1893" spans="1:16">
      <c r="A1893" t="s">
        <v>2608</v>
      </c>
      <c r="B1893" t="s">
        <v>2582</v>
      </c>
      <c r="C1893" t="s">
        <v>130</v>
      </c>
      <c r="D1893">
        <v>1982</v>
      </c>
      <c r="E1893" t="s">
        <v>23</v>
      </c>
      <c r="F1893" t="s">
        <v>24</v>
      </c>
      <c r="G1893" t="s">
        <v>25</v>
      </c>
      <c r="H1893" t="s">
        <v>26</v>
      </c>
      <c r="I1893">
        <v>825987</v>
      </c>
      <c r="J1893" t="s">
        <v>27</v>
      </c>
      <c r="K1893" t="s">
        <v>2607</v>
      </c>
      <c r="L1893" t="s">
        <v>21</v>
      </c>
      <c r="M1893" t="str">
        <f t="shared" si="87"/>
        <v>OK</v>
      </c>
      <c r="N1893" t="str">
        <f t="shared" si="88"/>
        <v>1980s</v>
      </c>
      <c r="O1893" t="str">
        <f t="shared" si="89"/>
        <v>N/A</v>
      </c>
      <c r="P1893" t="str">
        <f>VLOOKUP(E1893,calculated_fields!$F$4:$G$6,2,FALSE)</f>
        <v>Demographics</v>
      </c>
    </row>
    <row r="1894" spans="1:16">
      <c r="A1894" t="s">
        <v>2609</v>
      </c>
      <c r="B1894" t="s">
        <v>2582</v>
      </c>
      <c r="C1894" t="s">
        <v>130</v>
      </c>
      <c r="D1894">
        <v>1982</v>
      </c>
      <c r="E1894" t="s">
        <v>29</v>
      </c>
      <c r="F1894" t="s">
        <v>30</v>
      </c>
      <c r="G1894" t="s">
        <v>31</v>
      </c>
      <c r="H1894" t="s">
        <v>32</v>
      </c>
      <c r="I1894">
        <v>838.12396709999996</v>
      </c>
      <c r="J1894" t="s">
        <v>33</v>
      </c>
      <c r="K1894" t="s">
        <v>2607</v>
      </c>
      <c r="L1894" t="s">
        <v>21</v>
      </c>
      <c r="M1894" t="str">
        <f t="shared" si="87"/>
        <v>OK</v>
      </c>
      <c r="N1894" t="str">
        <f t="shared" si="88"/>
        <v>1980s</v>
      </c>
      <c r="O1894" t="str">
        <f t="shared" si="89"/>
        <v>N/A</v>
      </c>
      <c r="P1894" t="str">
        <f>VLOOKUP(E1894,calculated_fields!$F$4:$G$6,2,FALSE)</f>
        <v>Economy</v>
      </c>
    </row>
    <row r="1895" spans="1:16">
      <c r="A1895" t="s">
        <v>2610</v>
      </c>
      <c r="B1895" t="s">
        <v>2582</v>
      </c>
      <c r="C1895" t="s">
        <v>130</v>
      </c>
      <c r="D1895">
        <v>1987</v>
      </c>
      <c r="E1895" t="s">
        <v>15</v>
      </c>
      <c r="F1895" t="s">
        <v>16</v>
      </c>
      <c r="G1895" t="s">
        <v>17</v>
      </c>
      <c r="H1895" t="s">
        <v>18</v>
      </c>
      <c r="I1895">
        <v>41.244999999999997</v>
      </c>
      <c r="J1895" t="s">
        <v>19</v>
      </c>
      <c r="K1895" t="s">
        <v>2611</v>
      </c>
      <c r="L1895" t="s">
        <v>21</v>
      </c>
      <c r="M1895" t="str">
        <f t="shared" si="87"/>
        <v>OK</v>
      </c>
      <c r="N1895" t="str">
        <f t="shared" si="88"/>
        <v>1980s</v>
      </c>
      <c r="O1895" t="str">
        <f t="shared" si="89"/>
        <v>Low</v>
      </c>
      <c r="P1895" t="str">
        <f>VLOOKUP(E1895,calculated_fields!$F$4:$G$6,2,FALSE)</f>
        <v>Health</v>
      </c>
    </row>
    <row r="1896" spans="1:16">
      <c r="A1896" t="s">
        <v>2612</v>
      </c>
      <c r="B1896" t="s">
        <v>2582</v>
      </c>
      <c r="C1896" t="s">
        <v>130</v>
      </c>
      <c r="D1896">
        <v>1987</v>
      </c>
      <c r="E1896" t="s">
        <v>23</v>
      </c>
      <c r="F1896" t="s">
        <v>24</v>
      </c>
      <c r="G1896" t="s">
        <v>25</v>
      </c>
      <c r="H1896" t="s">
        <v>26</v>
      </c>
      <c r="I1896">
        <v>927524</v>
      </c>
      <c r="J1896" t="s">
        <v>27</v>
      </c>
      <c r="K1896" t="s">
        <v>2611</v>
      </c>
      <c r="L1896" t="s">
        <v>21</v>
      </c>
      <c r="M1896" t="str">
        <f t="shared" si="87"/>
        <v>OK</v>
      </c>
      <c r="N1896" t="str">
        <f t="shared" si="88"/>
        <v>1980s</v>
      </c>
      <c r="O1896" t="str">
        <f t="shared" si="89"/>
        <v>N/A</v>
      </c>
      <c r="P1896" t="str">
        <f>VLOOKUP(E1896,calculated_fields!$F$4:$G$6,2,FALSE)</f>
        <v>Demographics</v>
      </c>
    </row>
    <row r="1897" spans="1:16">
      <c r="A1897" t="s">
        <v>2613</v>
      </c>
      <c r="B1897" t="s">
        <v>2582</v>
      </c>
      <c r="C1897" t="s">
        <v>130</v>
      </c>
      <c r="D1897">
        <v>1987</v>
      </c>
      <c r="E1897" t="s">
        <v>29</v>
      </c>
      <c r="F1897" t="s">
        <v>30</v>
      </c>
      <c r="G1897" t="s">
        <v>31</v>
      </c>
      <c r="H1897" t="s">
        <v>32</v>
      </c>
      <c r="I1897">
        <v>736.41539209999996</v>
      </c>
      <c r="J1897" t="s">
        <v>33</v>
      </c>
      <c r="K1897" t="s">
        <v>2611</v>
      </c>
      <c r="L1897" t="s">
        <v>21</v>
      </c>
      <c r="M1897" t="str">
        <f t="shared" si="87"/>
        <v>OK</v>
      </c>
      <c r="N1897" t="str">
        <f t="shared" si="88"/>
        <v>1980s</v>
      </c>
      <c r="O1897" t="str">
        <f t="shared" si="89"/>
        <v>N/A</v>
      </c>
      <c r="P1897" t="str">
        <f>VLOOKUP(E1897,calculated_fields!$F$4:$G$6,2,FALSE)</f>
        <v>Economy</v>
      </c>
    </row>
    <row r="1898" spans="1:16">
      <c r="A1898" t="s">
        <v>2614</v>
      </c>
      <c r="B1898" t="s">
        <v>2582</v>
      </c>
      <c r="C1898" t="s">
        <v>130</v>
      </c>
      <c r="D1898">
        <v>1992</v>
      </c>
      <c r="E1898" t="s">
        <v>15</v>
      </c>
      <c r="F1898" t="s">
        <v>16</v>
      </c>
      <c r="G1898" t="s">
        <v>17</v>
      </c>
      <c r="H1898" t="s">
        <v>18</v>
      </c>
      <c r="I1898">
        <v>43.265999999999998</v>
      </c>
      <c r="J1898" t="s">
        <v>19</v>
      </c>
      <c r="K1898" t="s">
        <v>2615</v>
      </c>
      <c r="L1898" t="s">
        <v>21</v>
      </c>
      <c r="M1898" t="str">
        <f t="shared" si="87"/>
        <v>OK</v>
      </c>
      <c r="N1898" t="str">
        <f t="shared" si="88"/>
        <v>1990s</v>
      </c>
      <c r="O1898" t="str">
        <f t="shared" si="89"/>
        <v>Low</v>
      </c>
      <c r="P1898" t="str">
        <f>VLOOKUP(E1898,calculated_fields!$F$4:$G$6,2,FALSE)</f>
        <v>Health</v>
      </c>
    </row>
    <row r="1899" spans="1:16">
      <c r="A1899" t="s">
        <v>2616</v>
      </c>
      <c r="B1899" t="s">
        <v>2582</v>
      </c>
      <c r="C1899" t="s">
        <v>130</v>
      </c>
      <c r="D1899">
        <v>1992</v>
      </c>
      <c r="E1899" t="s">
        <v>23</v>
      </c>
      <c r="F1899" t="s">
        <v>24</v>
      </c>
      <c r="G1899" t="s">
        <v>25</v>
      </c>
      <c r="H1899" t="s">
        <v>26</v>
      </c>
      <c r="I1899">
        <v>1050938</v>
      </c>
      <c r="J1899" t="s">
        <v>27</v>
      </c>
      <c r="K1899" t="s">
        <v>2615</v>
      </c>
      <c r="L1899" t="s">
        <v>21</v>
      </c>
      <c r="M1899" t="str">
        <f t="shared" si="87"/>
        <v>OK</v>
      </c>
      <c r="N1899" t="str">
        <f t="shared" si="88"/>
        <v>1990s</v>
      </c>
      <c r="O1899" t="str">
        <f t="shared" si="89"/>
        <v>N/A</v>
      </c>
      <c r="P1899" t="str">
        <f>VLOOKUP(E1899,calculated_fields!$F$4:$G$6,2,FALSE)</f>
        <v>Demographics</v>
      </c>
    </row>
    <row r="1900" spans="1:16">
      <c r="A1900" t="s">
        <v>2617</v>
      </c>
      <c r="B1900" t="s">
        <v>2582</v>
      </c>
      <c r="C1900" t="s">
        <v>130</v>
      </c>
      <c r="D1900">
        <v>1992</v>
      </c>
      <c r="E1900" t="s">
        <v>29</v>
      </c>
      <c r="F1900" t="s">
        <v>30</v>
      </c>
      <c r="G1900" t="s">
        <v>31</v>
      </c>
      <c r="H1900" t="s">
        <v>32</v>
      </c>
      <c r="I1900">
        <v>745.53987059999997</v>
      </c>
      <c r="J1900" t="s">
        <v>33</v>
      </c>
      <c r="K1900" t="s">
        <v>2615</v>
      </c>
      <c r="L1900" t="s">
        <v>21</v>
      </c>
      <c r="M1900" t="str">
        <f t="shared" si="87"/>
        <v>OK</v>
      </c>
      <c r="N1900" t="str">
        <f t="shared" si="88"/>
        <v>1990s</v>
      </c>
      <c r="O1900" t="str">
        <f t="shared" si="89"/>
        <v>N/A</v>
      </c>
      <c r="P1900" t="str">
        <f>VLOOKUP(E1900,calculated_fields!$F$4:$G$6,2,FALSE)</f>
        <v>Economy</v>
      </c>
    </row>
    <row r="1901" spans="1:16">
      <c r="A1901" t="s">
        <v>2618</v>
      </c>
      <c r="B1901" t="s">
        <v>2582</v>
      </c>
      <c r="C1901" t="s">
        <v>130</v>
      </c>
      <c r="D1901">
        <v>1997</v>
      </c>
      <c r="E1901" t="s">
        <v>15</v>
      </c>
      <c r="F1901" t="s">
        <v>16</v>
      </c>
      <c r="G1901" t="s">
        <v>17</v>
      </c>
      <c r="H1901" t="s">
        <v>18</v>
      </c>
      <c r="I1901">
        <v>44.872999999999998</v>
      </c>
      <c r="J1901" t="s">
        <v>19</v>
      </c>
      <c r="K1901" t="s">
        <v>2619</v>
      </c>
      <c r="L1901" t="s">
        <v>21</v>
      </c>
      <c r="M1901" t="str">
        <f t="shared" si="87"/>
        <v>OK</v>
      </c>
      <c r="N1901" t="str">
        <f t="shared" si="88"/>
        <v>1990s</v>
      </c>
      <c r="O1901" t="str">
        <f t="shared" si="89"/>
        <v>Low</v>
      </c>
      <c r="P1901" t="str">
        <f>VLOOKUP(E1901,calculated_fields!$F$4:$G$6,2,FALSE)</f>
        <v>Health</v>
      </c>
    </row>
    <row r="1902" spans="1:16">
      <c r="A1902" t="s">
        <v>2620</v>
      </c>
      <c r="B1902" t="s">
        <v>2582</v>
      </c>
      <c r="C1902" t="s">
        <v>130</v>
      </c>
      <c r="D1902">
        <v>1997</v>
      </c>
      <c r="E1902" t="s">
        <v>23</v>
      </c>
      <c r="F1902" t="s">
        <v>24</v>
      </c>
      <c r="G1902" t="s">
        <v>25</v>
      </c>
      <c r="H1902" t="s">
        <v>26</v>
      </c>
      <c r="I1902">
        <v>1193708</v>
      </c>
      <c r="J1902" t="s">
        <v>27</v>
      </c>
      <c r="K1902" t="s">
        <v>2619</v>
      </c>
      <c r="L1902" t="s">
        <v>21</v>
      </c>
      <c r="M1902" t="str">
        <f t="shared" si="87"/>
        <v>OK</v>
      </c>
      <c r="N1902" t="str">
        <f t="shared" si="88"/>
        <v>1990s</v>
      </c>
      <c r="O1902" t="str">
        <f t="shared" si="89"/>
        <v>N/A</v>
      </c>
      <c r="P1902" t="str">
        <f>VLOOKUP(E1902,calculated_fields!$F$4:$G$6,2,FALSE)</f>
        <v>Demographics</v>
      </c>
    </row>
    <row r="1903" spans="1:16">
      <c r="A1903" t="s">
        <v>2621</v>
      </c>
      <c r="B1903" t="s">
        <v>2582</v>
      </c>
      <c r="C1903" t="s">
        <v>130</v>
      </c>
      <c r="D1903">
        <v>1997</v>
      </c>
      <c r="E1903" t="s">
        <v>29</v>
      </c>
      <c r="F1903" t="s">
        <v>30</v>
      </c>
      <c r="G1903" t="s">
        <v>31</v>
      </c>
      <c r="H1903" t="s">
        <v>32</v>
      </c>
      <c r="I1903">
        <v>796.66446810000002</v>
      </c>
      <c r="J1903" t="s">
        <v>33</v>
      </c>
      <c r="K1903" t="s">
        <v>2619</v>
      </c>
      <c r="L1903" t="s">
        <v>21</v>
      </c>
      <c r="M1903" t="str">
        <f t="shared" si="87"/>
        <v>OK</v>
      </c>
      <c r="N1903" t="str">
        <f t="shared" si="88"/>
        <v>1990s</v>
      </c>
      <c r="O1903" t="str">
        <f t="shared" si="89"/>
        <v>N/A</v>
      </c>
      <c r="P1903" t="str">
        <f>VLOOKUP(E1903,calculated_fields!$F$4:$G$6,2,FALSE)</f>
        <v>Economy</v>
      </c>
    </row>
    <row r="1904" spans="1:16">
      <c r="A1904" t="s">
        <v>2622</v>
      </c>
      <c r="B1904" t="s">
        <v>2582</v>
      </c>
      <c r="C1904" t="s">
        <v>130</v>
      </c>
      <c r="D1904">
        <v>2002</v>
      </c>
      <c r="E1904" t="s">
        <v>15</v>
      </c>
      <c r="F1904" t="s">
        <v>16</v>
      </c>
      <c r="G1904" t="s">
        <v>17</v>
      </c>
      <c r="H1904" t="s">
        <v>18</v>
      </c>
      <c r="I1904">
        <v>45.503999999999998</v>
      </c>
      <c r="J1904" t="s">
        <v>19</v>
      </c>
      <c r="K1904" t="s">
        <v>2623</v>
      </c>
      <c r="L1904" t="s">
        <v>21</v>
      </c>
      <c r="M1904" t="str">
        <f t="shared" si="87"/>
        <v>OK</v>
      </c>
      <c r="N1904" t="str">
        <f t="shared" si="88"/>
        <v>2000s</v>
      </c>
      <c r="O1904" t="str">
        <f t="shared" si="89"/>
        <v>Low</v>
      </c>
      <c r="P1904" t="str">
        <f>VLOOKUP(E1904,calculated_fields!$F$4:$G$6,2,FALSE)</f>
        <v>Health</v>
      </c>
    </row>
    <row r="1905" spans="1:16">
      <c r="A1905" t="s">
        <v>2624</v>
      </c>
      <c r="B1905" t="s">
        <v>2582</v>
      </c>
      <c r="C1905" t="s">
        <v>130</v>
      </c>
      <c r="D1905">
        <v>2002</v>
      </c>
      <c r="E1905" t="s">
        <v>23</v>
      </c>
      <c r="F1905" t="s">
        <v>24</v>
      </c>
      <c r="G1905" t="s">
        <v>25</v>
      </c>
      <c r="H1905" t="s">
        <v>26</v>
      </c>
      <c r="I1905">
        <v>1332459</v>
      </c>
      <c r="J1905" t="s">
        <v>27</v>
      </c>
      <c r="K1905" t="s">
        <v>2623</v>
      </c>
      <c r="L1905" t="s">
        <v>21</v>
      </c>
      <c r="M1905" t="str">
        <f t="shared" si="87"/>
        <v>OK</v>
      </c>
      <c r="N1905" t="str">
        <f t="shared" si="88"/>
        <v>2000s</v>
      </c>
      <c r="O1905" t="str">
        <f t="shared" si="89"/>
        <v>N/A</v>
      </c>
      <c r="P1905" t="str">
        <f>VLOOKUP(E1905,calculated_fields!$F$4:$G$6,2,FALSE)</f>
        <v>Demographics</v>
      </c>
    </row>
    <row r="1906" spans="1:16">
      <c r="A1906" t="s">
        <v>2625</v>
      </c>
      <c r="B1906" t="s">
        <v>2582</v>
      </c>
      <c r="C1906" t="s">
        <v>130</v>
      </c>
      <c r="D1906">
        <v>2002</v>
      </c>
      <c r="E1906" t="s">
        <v>29</v>
      </c>
      <c r="F1906" t="s">
        <v>30</v>
      </c>
      <c r="G1906" t="s">
        <v>31</v>
      </c>
      <c r="H1906" t="s">
        <v>32</v>
      </c>
      <c r="I1906">
        <v>575.70471759999998</v>
      </c>
      <c r="J1906" t="s">
        <v>33</v>
      </c>
      <c r="K1906" t="s">
        <v>2623</v>
      </c>
      <c r="L1906" t="s">
        <v>21</v>
      </c>
      <c r="M1906" t="str">
        <f t="shared" si="87"/>
        <v>OK</v>
      </c>
      <c r="N1906" t="str">
        <f t="shared" si="88"/>
        <v>2000s</v>
      </c>
      <c r="O1906" t="str">
        <f t="shared" si="89"/>
        <v>N/A</v>
      </c>
      <c r="P1906" t="str">
        <f>VLOOKUP(E1906,calculated_fields!$F$4:$G$6,2,FALSE)</f>
        <v>Economy</v>
      </c>
    </row>
    <row r="1907" spans="1:16">
      <c r="A1907" t="s">
        <v>2626</v>
      </c>
      <c r="B1907" t="s">
        <v>2582</v>
      </c>
      <c r="C1907" t="s">
        <v>130</v>
      </c>
      <c r="D1907">
        <v>2007</v>
      </c>
      <c r="E1907" t="s">
        <v>15</v>
      </c>
      <c r="F1907" t="s">
        <v>16</v>
      </c>
      <c r="G1907" t="s">
        <v>17</v>
      </c>
      <c r="H1907" t="s">
        <v>18</v>
      </c>
      <c r="I1907">
        <v>46.387999999999998</v>
      </c>
      <c r="J1907" t="s">
        <v>19</v>
      </c>
      <c r="K1907" t="s">
        <v>2627</v>
      </c>
      <c r="L1907" t="s">
        <v>21</v>
      </c>
      <c r="M1907" t="str">
        <f t="shared" si="87"/>
        <v>OK</v>
      </c>
      <c r="N1907" t="str">
        <f t="shared" si="88"/>
        <v>2000s</v>
      </c>
      <c r="O1907" t="str">
        <f t="shared" si="89"/>
        <v>Low</v>
      </c>
      <c r="P1907" t="str">
        <f>VLOOKUP(E1907,calculated_fields!$F$4:$G$6,2,FALSE)</f>
        <v>Health</v>
      </c>
    </row>
    <row r="1908" spans="1:16">
      <c r="A1908" t="s">
        <v>2628</v>
      </c>
      <c r="B1908" t="s">
        <v>2582</v>
      </c>
      <c r="C1908" t="s">
        <v>130</v>
      </c>
      <c r="D1908">
        <v>2007</v>
      </c>
      <c r="E1908" t="s">
        <v>23</v>
      </c>
      <c r="F1908" t="s">
        <v>24</v>
      </c>
      <c r="G1908" t="s">
        <v>25</v>
      </c>
      <c r="H1908" t="s">
        <v>26</v>
      </c>
      <c r="I1908">
        <v>1472041</v>
      </c>
      <c r="J1908" t="s">
        <v>27</v>
      </c>
      <c r="K1908" t="s">
        <v>2627</v>
      </c>
      <c r="L1908" t="s">
        <v>21</v>
      </c>
      <c r="M1908" t="str">
        <f t="shared" si="87"/>
        <v>OK</v>
      </c>
      <c r="N1908" t="str">
        <f t="shared" si="88"/>
        <v>2000s</v>
      </c>
      <c r="O1908" t="str">
        <f t="shared" si="89"/>
        <v>N/A</v>
      </c>
      <c r="P1908" t="str">
        <f>VLOOKUP(E1908,calculated_fields!$F$4:$G$6,2,FALSE)</f>
        <v>Demographics</v>
      </c>
    </row>
    <row r="1909" spans="1:16">
      <c r="A1909" t="s">
        <v>2629</v>
      </c>
      <c r="B1909" t="s">
        <v>2582</v>
      </c>
      <c r="C1909" t="s">
        <v>130</v>
      </c>
      <c r="D1909">
        <v>2007</v>
      </c>
      <c r="E1909" t="s">
        <v>29</v>
      </c>
      <c r="F1909" t="s">
        <v>30</v>
      </c>
      <c r="G1909" t="s">
        <v>31</v>
      </c>
      <c r="H1909" t="s">
        <v>32</v>
      </c>
      <c r="I1909">
        <v>579.23174299999903</v>
      </c>
      <c r="J1909" t="s">
        <v>33</v>
      </c>
      <c r="K1909" t="s">
        <v>2627</v>
      </c>
      <c r="L1909" t="s">
        <v>21</v>
      </c>
      <c r="M1909" t="str">
        <f t="shared" si="87"/>
        <v>OK</v>
      </c>
      <c r="N1909" t="str">
        <f t="shared" si="88"/>
        <v>2000s</v>
      </c>
      <c r="O1909" t="str">
        <f t="shared" si="89"/>
        <v>N/A</v>
      </c>
      <c r="P1909" t="str">
        <f>VLOOKUP(E1909,calculated_fields!$F$4:$G$6,2,FALSE)</f>
        <v>Economy</v>
      </c>
    </row>
    <row r="1910" spans="1:16">
      <c r="A1910" t="s">
        <v>2630</v>
      </c>
      <c r="B1910" t="s">
        <v>2631</v>
      </c>
      <c r="C1910" t="s">
        <v>229</v>
      </c>
      <c r="D1910">
        <v>1952</v>
      </c>
      <c r="E1910" t="s">
        <v>15</v>
      </c>
      <c r="F1910" t="s">
        <v>16</v>
      </c>
      <c r="G1910" t="s">
        <v>17</v>
      </c>
      <c r="H1910" t="s">
        <v>18</v>
      </c>
      <c r="I1910">
        <v>37.579000000000001</v>
      </c>
      <c r="J1910" t="s">
        <v>19</v>
      </c>
      <c r="K1910" t="s">
        <v>2632</v>
      </c>
      <c r="L1910" t="s">
        <v>21</v>
      </c>
      <c r="M1910" t="str">
        <f t="shared" si="87"/>
        <v>OK</v>
      </c>
      <c r="N1910" t="str">
        <f t="shared" si="88"/>
        <v>1950s</v>
      </c>
      <c r="O1910" t="str">
        <f t="shared" si="89"/>
        <v>Low</v>
      </c>
      <c r="P1910" t="str">
        <f>VLOOKUP(E1910,calculated_fields!$F$4:$G$6,2,FALSE)</f>
        <v>Health</v>
      </c>
    </row>
    <row r="1911" spans="1:16">
      <c r="A1911" t="s">
        <v>2633</v>
      </c>
      <c r="B1911" t="s">
        <v>2631</v>
      </c>
      <c r="C1911" t="s">
        <v>229</v>
      </c>
      <c r="D1911">
        <v>1952</v>
      </c>
      <c r="E1911" t="s">
        <v>23</v>
      </c>
      <c r="F1911" t="s">
        <v>24</v>
      </c>
      <c r="G1911" t="s">
        <v>25</v>
      </c>
      <c r="H1911" t="s">
        <v>26</v>
      </c>
      <c r="I1911">
        <v>3201488</v>
      </c>
      <c r="J1911" t="s">
        <v>27</v>
      </c>
      <c r="K1911" t="s">
        <v>2632</v>
      </c>
      <c r="L1911" t="s">
        <v>21</v>
      </c>
      <c r="M1911" t="str">
        <f t="shared" si="87"/>
        <v>OK</v>
      </c>
      <c r="N1911" t="str">
        <f t="shared" si="88"/>
        <v>1950s</v>
      </c>
      <c r="O1911" t="str">
        <f t="shared" si="89"/>
        <v>N/A</v>
      </c>
      <c r="P1911" t="str">
        <f>VLOOKUP(E1911,calculated_fields!$F$4:$G$6,2,FALSE)</f>
        <v>Demographics</v>
      </c>
    </row>
    <row r="1912" spans="1:16">
      <c r="A1912" t="s">
        <v>2634</v>
      </c>
      <c r="B1912" t="s">
        <v>2631</v>
      </c>
      <c r="C1912" t="s">
        <v>229</v>
      </c>
      <c r="D1912">
        <v>1952</v>
      </c>
      <c r="E1912" t="s">
        <v>29</v>
      </c>
      <c r="F1912" t="s">
        <v>30</v>
      </c>
      <c r="G1912" t="s">
        <v>31</v>
      </c>
      <c r="H1912" t="s">
        <v>32</v>
      </c>
      <c r="I1912">
        <v>1840.366939</v>
      </c>
      <c r="J1912" t="s">
        <v>33</v>
      </c>
      <c r="K1912" t="s">
        <v>2632</v>
      </c>
      <c r="L1912" t="s">
        <v>21</v>
      </c>
      <c r="M1912" t="str">
        <f t="shared" si="87"/>
        <v>OK</v>
      </c>
      <c r="N1912" t="str">
        <f t="shared" si="88"/>
        <v>1950s</v>
      </c>
      <c r="O1912" t="str">
        <f t="shared" si="89"/>
        <v>N/A</v>
      </c>
      <c r="P1912" t="str">
        <f>VLOOKUP(E1912,calculated_fields!$F$4:$G$6,2,FALSE)</f>
        <v>Economy</v>
      </c>
    </row>
    <row r="1913" spans="1:16">
      <c r="A1913" t="s">
        <v>2635</v>
      </c>
      <c r="B1913" t="s">
        <v>2631</v>
      </c>
      <c r="C1913" t="s">
        <v>229</v>
      </c>
      <c r="D1913">
        <v>1957</v>
      </c>
      <c r="E1913" t="s">
        <v>15</v>
      </c>
      <c r="F1913" t="s">
        <v>16</v>
      </c>
      <c r="G1913" t="s">
        <v>17</v>
      </c>
      <c r="H1913" t="s">
        <v>18</v>
      </c>
      <c r="I1913">
        <v>40.695999999999998</v>
      </c>
      <c r="J1913" t="s">
        <v>19</v>
      </c>
      <c r="K1913" t="s">
        <v>2636</v>
      </c>
      <c r="L1913" t="s">
        <v>21</v>
      </c>
      <c r="M1913" t="str">
        <f t="shared" si="87"/>
        <v>OK</v>
      </c>
      <c r="N1913" t="str">
        <f t="shared" si="88"/>
        <v>1950s</v>
      </c>
      <c r="O1913" t="str">
        <f t="shared" si="89"/>
        <v>Low</v>
      </c>
      <c r="P1913" t="str">
        <f>VLOOKUP(E1913,calculated_fields!$F$4:$G$6,2,FALSE)</f>
        <v>Health</v>
      </c>
    </row>
    <row r="1914" spans="1:16">
      <c r="A1914" t="s">
        <v>2637</v>
      </c>
      <c r="B1914" t="s">
        <v>2631</v>
      </c>
      <c r="C1914" t="s">
        <v>229</v>
      </c>
      <c r="D1914">
        <v>1957</v>
      </c>
      <c r="E1914" t="s">
        <v>23</v>
      </c>
      <c r="F1914" t="s">
        <v>24</v>
      </c>
      <c r="G1914" t="s">
        <v>25</v>
      </c>
      <c r="H1914" t="s">
        <v>26</v>
      </c>
      <c r="I1914">
        <v>3507701</v>
      </c>
      <c r="J1914" t="s">
        <v>27</v>
      </c>
      <c r="K1914" t="s">
        <v>2636</v>
      </c>
      <c r="L1914" t="s">
        <v>21</v>
      </c>
      <c r="M1914" t="str">
        <f t="shared" si="87"/>
        <v>OK</v>
      </c>
      <c r="N1914" t="str">
        <f t="shared" si="88"/>
        <v>1950s</v>
      </c>
      <c r="O1914" t="str">
        <f t="shared" si="89"/>
        <v>N/A</v>
      </c>
      <c r="P1914" t="str">
        <f>VLOOKUP(E1914,calculated_fields!$F$4:$G$6,2,FALSE)</f>
        <v>Demographics</v>
      </c>
    </row>
    <row r="1915" spans="1:16">
      <c r="A1915" t="s">
        <v>2638</v>
      </c>
      <c r="B1915" t="s">
        <v>2631</v>
      </c>
      <c r="C1915" t="s">
        <v>229</v>
      </c>
      <c r="D1915">
        <v>1957</v>
      </c>
      <c r="E1915" t="s">
        <v>29</v>
      </c>
      <c r="F1915" t="s">
        <v>30</v>
      </c>
      <c r="G1915" t="s">
        <v>31</v>
      </c>
      <c r="H1915" t="s">
        <v>32</v>
      </c>
      <c r="I1915">
        <v>1726.887882</v>
      </c>
      <c r="J1915" t="s">
        <v>33</v>
      </c>
      <c r="K1915" t="s">
        <v>2636</v>
      </c>
      <c r="L1915" t="s">
        <v>21</v>
      </c>
      <c r="M1915" t="str">
        <f t="shared" si="87"/>
        <v>OK</v>
      </c>
      <c r="N1915" t="str">
        <f t="shared" si="88"/>
        <v>1950s</v>
      </c>
      <c r="O1915" t="str">
        <f t="shared" si="89"/>
        <v>N/A</v>
      </c>
      <c r="P1915" t="str">
        <f>VLOOKUP(E1915,calculated_fields!$F$4:$G$6,2,FALSE)</f>
        <v>Economy</v>
      </c>
    </row>
    <row r="1916" spans="1:16">
      <c r="A1916" t="s">
        <v>2639</v>
      </c>
      <c r="B1916" t="s">
        <v>2631</v>
      </c>
      <c r="C1916" t="s">
        <v>229</v>
      </c>
      <c r="D1916">
        <v>1962</v>
      </c>
      <c r="E1916" t="s">
        <v>15</v>
      </c>
      <c r="F1916" t="s">
        <v>16</v>
      </c>
      <c r="G1916" t="s">
        <v>17</v>
      </c>
      <c r="H1916" t="s">
        <v>18</v>
      </c>
      <c r="I1916">
        <v>43.59</v>
      </c>
      <c r="J1916" t="s">
        <v>19</v>
      </c>
      <c r="K1916" t="s">
        <v>2640</v>
      </c>
      <c r="L1916" t="s">
        <v>21</v>
      </c>
      <c r="M1916" t="str">
        <f t="shared" si="87"/>
        <v>OK</v>
      </c>
      <c r="N1916" t="str">
        <f t="shared" si="88"/>
        <v>1960s</v>
      </c>
      <c r="O1916" t="str">
        <f t="shared" si="89"/>
        <v>Low</v>
      </c>
      <c r="P1916" t="str">
        <f>VLOOKUP(E1916,calculated_fields!$F$4:$G$6,2,FALSE)</f>
        <v>Health</v>
      </c>
    </row>
    <row r="1917" spans="1:16">
      <c r="A1917" t="s">
        <v>2641</v>
      </c>
      <c r="B1917" t="s">
        <v>2631</v>
      </c>
      <c r="C1917" t="s">
        <v>229</v>
      </c>
      <c r="D1917">
        <v>1962</v>
      </c>
      <c r="E1917" t="s">
        <v>23</v>
      </c>
      <c r="F1917" t="s">
        <v>24</v>
      </c>
      <c r="G1917" t="s">
        <v>25</v>
      </c>
      <c r="H1917" t="s">
        <v>26</v>
      </c>
      <c r="I1917">
        <v>3880130</v>
      </c>
      <c r="J1917" t="s">
        <v>27</v>
      </c>
      <c r="K1917" t="s">
        <v>2640</v>
      </c>
      <c r="L1917" t="s">
        <v>21</v>
      </c>
      <c r="M1917" t="str">
        <f t="shared" si="87"/>
        <v>OK</v>
      </c>
      <c r="N1917" t="str">
        <f t="shared" si="88"/>
        <v>1960s</v>
      </c>
      <c r="O1917" t="str">
        <f t="shared" si="89"/>
        <v>N/A</v>
      </c>
      <c r="P1917" t="str">
        <f>VLOOKUP(E1917,calculated_fields!$F$4:$G$6,2,FALSE)</f>
        <v>Demographics</v>
      </c>
    </row>
    <row r="1918" spans="1:16">
      <c r="A1918" t="s">
        <v>2642</v>
      </c>
      <c r="B1918" t="s">
        <v>2631</v>
      </c>
      <c r="C1918" t="s">
        <v>229</v>
      </c>
      <c r="D1918">
        <v>1962</v>
      </c>
      <c r="E1918" t="s">
        <v>29</v>
      </c>
      <c r="F1918" t="s">
        <v>30</v>
      </c>
      <c r="G1918" t="s">
        <v>31</v>
      </c>
      <c r="H1918" t="s">
        <v>32</v>
      </c>
      <c r="I1918">
        <v>1796.5890320000001</v>
      </c>
      <c r="J1918" t="s">
        <v>33</v>
      </c>
      <c r="K1918" t="s">
        <v>2640</v>
      </c>
      <c r="L1918" t="s">
        <v>21</v>
      </c>
      <c r="M1918" t="str">
        <f t="shared" si="87"/>
        <v>OK</v>
      </c>
      <c r="N1918" t="str">
        <f t="shared" si="88"/>
        <v>1960s</v>
      </c>
      <c r="O1918" t="str">
        <f t="shared" si="89"/>
        <v>N/A</v>
      </c>
      <c r="P1918" t="str">
        <f>VLOOKUP(E1918,calculated_fields!$F$4:$G$6,2,FALSE)</f>
        <v>Economy</v>
      </c>
    </row>
    <row r="1919" spans="1:16">
      <c r="A1919" t="s">
        <v>2643</v>
      </c>
      <c r="B1919" t="s">
        <v>2631</v>
      </c>
      <c r="C1919" t="s">
        <v>229</v>
      </c>
      <c r="D1919">
        <v>1967</v>
      </c>
      <c r="E1919" t="s">
        <v>15</v>
      </c>
      <c r="F1919" t="s">
        <v>16</v>
      </c>
      <c r="G1919" t="s">
        <v>17</v>
      </c>
      <c r="H1919" t="s">
        <v>18</v>
      </c>
      <c r="I1919">
        <v>46.243000000000002</v>
      </c>
      <c r="J1919" t="s">
        <v>19</v>
      </c>
      <c r="K1919" t="s">
        <v>2644</v>
      </c>
      <c r="L1919" t="s">
        <v>21</v>
      </c>
      <c r="M1919" t="str">
        <f t="shared" si="87"/>
        <v>OK</v>
      </c>
      <c r="N1919" t="str">
        <f t="shared" si="88"/>
        <v>1960s</v>
      </c>
      <c r="O1919" t="str">
        <f t="shared" si="89"/>
        <v>Low</v>
      </c>
      <c r="P1919" t="str">
        <f>VLOOKUP(E1919,calculated_fields!$F$4:$G$6,2,FALSE)</f>
        <v>Health</v>
      </c>
    </row>
    <row r="1920" spans="1:16">
      <c r="A1920" t="s">
        <v>2645</v>
      </c>
      <c r="B1920" t="s">
        <v>2631</v>
      </c>
      <c r="C1920" t="s">
        <v>229</v>
      </c>
      <c r="D1920">
        <v>1967</v>
      </c>
      <c r="E1920" t="s">
        <v>23</v>
      </c>
      <c r="F1920" t="s">
        <v>24</v>
      </c>
      <c r="G1920" t="s">
        <v>25</v>
      </c>
      <c r="H1920" t="s">
        <v>26</v>
      </c>
      <c r="I1920">
        <v>4318137</v>
      </c>
      <c r="J1920" t="s">
        <v>27</v>
      </c>
      <c r="K1920" t="s">
        <v>2644</v>
      </c>
      <c r="L1920" t="s">
        <v>21</v>
      </c>
      <c r="M1920" t="str">
        <f t="shared" si="87"/>
        <v>OK</v>
      </c>
      <c r="N1920" t="str">
        <f t="shared" si="88"/>
        <v>1960s</v>
      </c>
      <c r="O1920" t="str">
        <f t="shared" si="89"/>
        <v>N/A</v>
      </c>
      <c r="P1920" t="str">
        <f>VLOOKUP(E1920,calculated_fields!$F$4:$G$6,2,FALSE)</f>
        <v>Demographics</v>
      </c>
    </row>
    <row r="1921" spans="1:16">
      <c r="A1921" t="s">
        <v>2646</v>
      </c>
      <c r="B1921" t="s">
        <v>2631</v>
      </c>
      <c r="C1921" t="s">
        <v>229</v>
      </c>
      <c r="D1921">
        <v>1967</v>
      </c>
      <c r="E1921" t="s">
        <v>29</v>
      </c>
      <c r="F1921" t="s">
        <v>30</v>
      </c>
      <c r="G1921" t="s">
        <v>31</v>
      </c>
      <c r="H1921" t="s">
        <v>32</v>
      </c>
      <c r="I1921">
        <v>1452.0576659999999</v>
      </c>
      <c r="J1921" t="s">
        <v>33</v>
      </c>
      <c r="K1921" t="s">
        <v>2644</v>
      </c>
      <c r="L1921" t="s">
        <v>21</v>
      </c>
      <c r="M1921" t="str">
        <f t="shared" si="87"/>
        <v>OK</v>
      </c>
      <c r="N1921" t="str">
        <f t="shared" si="88"/>
        <v>1960s</v>
      </c>
      <c r="O1921" t="str">
        <f t="shared" si="89"/>
        <v>N/A</v>
      </c>
      <c r="P1921" t="str">
        <f>VLOOKUP(E1921,calculated_fields!$F$4:$G$6,2,FALSE)</f>
        <v>Economy</v>
      </c>
    </row>
    <row r="1922" spans="1:16">
      <c r="A1922" t="s">
        <v>2647</v>
      </c>
      <c r="B1922" t="s">
        <v>2631</v>
      </c>
      <c r="C1922" t="s">
        <v>229</v>
      </c>
      <c r="D1922">
        <v>1972</v>
      </c>
      <c r="E1922" t="s">
        <v>15</v>
      </c>
      <c r="F1922" t="s">
        <v>16</v>
      </c>
      <c r="G1922" t="s">
        <v>17</v>
      </c>
      <c r="H1922" t="s">
        <v>18</v>
      </c>
      <c r="I1922">
        <v>48.042000000000002</v>
      </c>
      <c r="J1922" t="s">
        <v>19</v>
      </c>
      <c r="K1922" t="s">
        <v>2648</v>
      </c>
      <c r="L1922" t="s">
        <v>21</v>
      </c>
      <c r="M1922" t="str">
        <f t="shared" ref="M1922:M1985" si="90">IF(AND(ISNUMBER(I1922),I1922&gt;=0),"OK","Review")</f>
        <v>OK</v>
      </c>
      <c r="N1922" t="str">
        <f t="shared" ref="N1922:N1985" si="91">FLOOR(D1922,10)&amp;"s"</f>
        <v>1970s</v>
      </c>
      <c r="O1922" t="str">
        <f t="shared" ref="O1922:O1985" si="92">IF(E1922="LIFE_EXP",IF(I1922&gt;=70,"High",IF(I1922&gt;=55,"Medium","Low")),"N/A")</f>
        <v>Low</v>
      </c>
      <c r="P1922" t="str">
        <f>VLOOKUP(E1922,calculated_fields!$F$4:$G$6,2,FALSE)</f>
        <v>Health</v>
      </c>
    </row>
    <row r="1923" spans="1:16">
      <c r="A1923" t="s">
        <v>2649</v>
      </c>
      <c r="B1923" t="s">
        <v>2631</v>
      </c>
      <c r="C1923" t="s">
        <v>229</v>
      </c>
      <c r="D1923">
        <v>1972</v>
      </c>
      <c r="E1923" t="s">
        <v>23</v>
      </c>
      <c r="F1923" t="s">
        <v>24</v>
      </c>
      <c r="G1923" t="s">
        <v>25</v>
      </c>
      <c r="H1923" t="s">
        <v>26</v>
      </c>
      <c r="I1923">
        <v>4698301</v>
      </c>
      <c r="J1923" t="s">
        <v>27</v>
      </c>
      <c r="K1923" t="s">
        <v>2648</v>
      </c>
      <c r="L1923" t="s">
        <v>21</v>
      </c>
      <c r="M1923" t="str">
        <f t="shared" si="90"/>
        <v>OK</v>
      </c>
      <c r="N1923" t="str">
        <f t="shared" si="91"/>
        <v>1970s</v>
      </c>
      <c r="O1923" t="str">
        <f t="shared" si="92"/>
        <v>N/A</v>
      </c>
      <c r="P1923" t="str">
        <f>VLOOKUP(E1923,calculated_fields!$F$4:$G$6,2,FALSE)</f>
        <v>Demographics</v>
      </c>
    </row>
    <row r="1924" spans="1:16">
      <c r="A1924" t="s">
        <v>2650</v>
      </c>
      <c r="B1924" t="s">
        <v>2631</v>
      </c>
      <c r="C1924" t="s">
        <v>229</v>
      </c>
      <c r="D1924">
        <v>1972</v>
      </c>
      <c r="E1924" t="s">
        <v>29</v>
      </c>
      <c r="F1924" t="s">
        <v>30</v>
      </c>
      <c r="G1924" t="s">
        <v>31</v>
      </c>
      <c r="H1924" t="s">
        <v>32</v>
      </c>
      <c r="I1924">
        <v>1654.456946</v>
      </c>
      <c r="J1924" t="s">
        <v>33</v>
      </c>
      <c r="K1924" t="s">
        <v>2648</v>
      </c>
      <c r="L1924" t="s">
        <v>21</v>
      </c>
      <c r="M1924" t="str">
        <f t="shared" si="90"/>
        <v>OK</v>
      </c>
      <c r="N1924" t="str">
        <f t="shared" si="91"/>
        <v>1970s</v>
      </c>
      <c r="O1924" t="str">
        <f t="shared" si="92"/>
        <v>N/A</v>
      </c>
      <c r="P1924" t="str">
        <f>VLOOKUP(E1924,calculated_fields!$F$4:$G$6,2,FALSE)</f>
        <v>Economy</v>
      </c>
    </row>
    <row r="1925" spans="1:16">
      <c r="A1925" t="s">
        <v>2651</v>
      </c>
      <c r="B1925" t="s">
        <v>2631</v>
      </c>
      <c r="C1925" t="s">
        <v>229</v>
      </c>
      <c r="D1925">
        <v>1977</v>
      </c>
      <c r="E1925" t="s">
        <v>15</v>
      </c>
      <c r="F1925" t="s">
        <v>16</v>
      </c>
      <c r="G1925" t="s">
        <v>17</v>
      </c>
      <c r="H1925" t="s">
        <v>18</v>
      </c>
      <c r="I1925">
        <v>49.923000000000002</v>
      </c>
      <c r="J1925" t="s">
        <v>19</v>
      </c>
      <c r="K1925" t="s">
        <v>2652</v>
      </c>
      <c r="L1925" t="s">
        <v>21</v>
      </c>
      <c r="M1925" t="str">
        <f t="shared" si="90"/>
        <v>OK</v>
      </c>
      <c r="N1925" t="str">
        <f t="shared" si="91"/>
        <v>1970s</v>
      </c>
      <c r="O1925" t="str">
        <f t="shared" si="92"/>
        <v>Low</v>
      </c>
      <c r="P1925" t="str">
        <f>VLOOKUP(E1925,calculated_fields!$F$4:$G$6,2,FALSE)</f>
        <v>Health</v>
      </c>
    </row>
    <row r="1926" spans="1:16">
      <c r="A1926" t="s">
        <v>2653</v>
      </c>
      <c r="B1926" t="s">
        <v>2631</v>
      </c>
      <c r="C1926" t="s">
        <v>229</v>
      </c>
      <c r="D1926">
        <v>1977</v>
      </c>
      <c r="E1926" t="s">
        <v>23</v>
      </c>
      <c r="F1926" t="s">
        <v>24</v>
      </c>
      <c r="G1926" t="s">
        <v>25</v>
      </c>
      <c r="H1926" t="s">
        <v>26</v>
      </c>
      <c r="I1926">
        <v>4908554</v>
      </c>
      <c r="J1926" t="s">
        <v>27</v>
      </c>
      <c r="K1926" t="s">
        <v>2652</v>
      </c>
      <c r="L1926" t="s">
        <v>21</v>
      </c>
      <c r="M1926" t="str">
        <f t="shared" si="90"/>
        <v>OK</v>
      </c>
      <c r="N1926" t="str">
        <f t="shared" si="91"/>
        <v>1970s</v>
      </c>
      <c r="O1926" t="str">
        <f t="shared" si="92"/>
        <v>N/A</v>
      </c>
      <c r="P1926" t="str">
        <f>VLOOKUP(E1926,calculated_fields!$F$4:$G$6,2,FALSE)</f>
        <v>Demographics</v>
      </c>
    </row>
    <row r="1927" spans="1:16">
      <c r="A1927" t="s">
        <v>2654</v>
      </c>
      <c r="B1927" t="s">
        <v>2631</v>
      </c>
      <c r="C1927" t="s">
        <v>229</v>
      </c>
      <c r="D1927">
        <v>1977</v>
      </c>
      <c r="E1927" t="s">
        <v>29</v>
      </c>
      <c r="F1927" t="s">
        <v>30</v>
      </c>
      <c r="G1927" t="s">
        <v>31</v>
      </c>
      <c r="H1927" t="s">
        <v>32</v>
      </c>
      <c r="I1927">
        <v>1874.298931</v>
      </c>
      <c r="J1927" t="s">
        <v>33</v>
      </c>
      <c r="K1927" t="s">
        <v>2652</v>
      </c>
      <c r="L1927" t="s">
        <v>21</v>
      </c>
      <c r="M1927" t="str">
        <f t="shared" si="90"/>
        <v>OK</v>
      </c>
      <c r="N1927" t="str">
        <f t="shared" si="91"/>
        <v>1970s</v>
      </c>
      <c r="O1927" t="str">
        <f t="shared" si="92"/>
        <v>N/A</v>
      </c>
      <c r="P1927" t="str">
        <f>VLOOKUP(E1927,calculated_fields!$F$4:$G$6,2,FALSE)</f>
        <v>Economy</v>
      </c>
    </row>
    <row r="1928" spans="1:16">
      <c r="A1928" t="s">
        <v>2655</v>
      </c>
      <c r="B1928" t="s">
        <v>2631</v>
      </c>
      <c r="C1928" t="s">
        <v>229</v>
      </c>
      <c r="D1928">
        <v>1982</v>
      </c>
      <c r="E1928" t="s">
        <v>15</v>
      </c>
      <c r="F1928" t="s">
        <v>16</v>
      </c>
      <c r="G1928" t="s">
        <v>17</v>
      </c>
      <c r="H1928" t="s">
        <v>18</v>
      </c>
      <c r="I1928">
        <v>51.460999999999999</v>
      </c>
      <c r="J1928" t="s">
        <v>19</v>
      </c>
      <c r="K1928" t="s">
        <v>2656</v>
      </c>
      <c r="L1928" t="s">
        <v>21</v>
      </c>
      <c r="M1928" t="str">
        <f t="shared" si="90"/>
        <v>OK</v>
      </c>
      <c r="N1928" t="str">
        <f t="shared" si="91"/>
        <v>1980s</v>
      </c>
      <c r="O1928" t="str">
        <f t="shared" si="92"/>
        <v>Low</v>
      </c>
      <c r="P1928" t="str">
        <f>VLOOKUP(E1928,calculated_fields!$F$4:$G$6,2,FALSE)</f>
        <v>Health</v>
      </c>
    </row>
    <row r="1929" spans="1:16">
      <c r="A1929" t="s">
        <v>2657</v>
      </c>
      <c r="B1929" t="s">
        <v>2631</v>
      </c>
      <c r="C1929" t="s">
        <v>229</v>
      </c>
      <c r="D1929">
        <v>1982</v>
      </c>
      <c r="E1929" t="s">
        <v>23</v>
      </c>
      <c r="F1929" t="s">
        <v>24</v>
      </c>
      <c r="G1929" t="s">
        <v>25</v>
      </c>
      <c r="H1929" t="s">
        <v>26</v>
      </c>
      <c r="I1929">
        <v>5198399</v>
      </c>
      <c r="J1929" t="s">
        <v>27</v>
      </c>
      <c r="K1929" t="s">
        <v>2656</v>
      </c>
      <c r="L1929" t="s">
        <v>21</v>
      </c>
      <c r="M1929" t="str">
        <f t="shared" si="90"/>
        <v>OK</v>
      </c>
      <c r="N1929" t="str">
        <f t="shared" si="91"/>
        <v>1980s</v>
      </c>
      <c r="O1929" t="str">
        <f t="shared" si="92"/>
        <v>N/A</v>
      </c>
      <c r="P1929" t="str">
        <f>VLOOKUP(E1929,calculated_fields!$F$4:$G$6,2,FALSE)</f>
        <v>Demographics</v>
      </c>
    </row>
    <row r="1930" spans="1:16">
      <c r="A1930" t="s">
        <v>2658</v>
      </c>
      <c r="B1930" t="s">
        <v>2631</v>
      </c>
      <c r="C1930" t="s">
        <v>229</v>
      </c>
      <c r="D1930">
        <v>1982</v>
      </c>
      <c r="E1930" t="s">
        <v>29</v>
      </c>
      <c r="F1930" t="s">
        <v>30</v>
      </c>
      <c r="G1930" t="s">
        <v>31</v>
      </c>
      <c r="H1930" t="s">
        <v>32</v>
      </c>
      <c r="I1930">
        <v>2011.159549</v>
      </c>
      <c r="J1930" t="s">
        <v>33</v>
      </c>
      <c r="K1930" t="s">
        <v>2656</v>
      </c>
      <c r="L1930" t="s">
        <v>21</v>
      </c>
      <c r="M1930" t="str">
        <f t="shared" si="90"/>
        <v>OK</v>
      </c>
      <c r="N1930" t="str">
        <f t="shared" si="91"/>
        <v>1980s</v>
      </c>
      <c r="O1930" t="str">
        <f t="shared" si="92"/>
        <v>N/A</v>
      </c>
      <c r="P1930" t="str">
        <f>VLOOKUP(E1930,calculated_fields!$F$4:$G$6,2,FALSE)</f>
        <v>Economy</v>
      </c>
    </row>
    <row r="1931" spans="1:16">
      <c r="A1931" t="s">
        <v>2659</v>
      </c>
      <c r="B1931" t="s">
        <v>2631</v>
      </c>
      <c r="C1931" t="s">
        <v>229</v>
      </c>
      <c r="D1931">
        <v>1987</v>
      </c>
      <c r="E1931" t="s">
        <v>15</v>
      </c>
      <c r="F1931" t="s">
        <v>16</v>
      </c>
      <c r="G1931" t="s">
        <v>17</v>
      </c>
      <c r="H1931" t="s">
        <v>18</v>
      </c>
      <c r="I1931">
        <v>53.636000000000003</v>
      </c>
      <c r="J1931" t="s">
        <v>19</v>
      </c>
      <c r="K1931" t="s">
        <v>2660</v>
      </c>
      <c r="L1931" t="s">
        <v>21</v>
      </c>
      <c r="M1931" t="str">
        <f t="shared" si="90"/>
        <v>OK</v>
      </c>
      <c r="N1931" t="str">
        <f t="shared" si="91"/>
        <v>1980s</v>
      </c>
      <c r="O1931" t="str">
        <f t="shared" si="92"/>
        <v>Low</v>
      </c>
      <c r="P1931" t="str">
        <f>VLOOKUP(E1931,calculated_fields!$F$4:$G$6,2,FALSE)</f>
        <v>Health</v>
      </c>
    </row>
    <row r="1932" spans="1:16">
      <c r="A1932" t="s">
        <v>2661</v>
      </c>
      <c r="B1932" t="s">
        <v>2631</v>
      </c>
      <c r="C1932" t="s">
        <v>229</v>
      </c>
      <c r="D1932">
        <v>1987</v>
      </c>
      <c r="E1932" t="s">
        <v>23</v>
      </c>
      <c r="F1932" t="s">
        <v>24</v>
      </c>
      <c r="G1932" t="s">
        <v>25</v>
      </c>
      <c r="H1932" t="s">
        <v>26</v>
      </c>
      <c r="I1932">
        <v>5756203</v>
      </c>
      <c r="J1932" t="s">
        <v>27</v>
      </c>
      <c r="K1932" t="s">
        <v>2660</v>
      </c>
      <c r="L1932" t="s">
        <v>21</v>
      </c>
      <c r="M1932" t="str">
        <f t="shared" si="90"/>
        <v>OK</v>
      </c>
      <c r="N1932" t="str">
        <f t="shared" si="91"/>
        <v>1980s</v>
      </c>
      <c r="O1932" t="str">
        <f t="shared" si="92"/>
        <v>N/A</v>
      </c>
      <c r="P1932" t="str">
        <f>VLOOKUP(E1932,calculated_fields!$F$4:$G$6,2,FALSE)</f>
        <v>Demographics</v>
      </c>
    </row>
    <row r="1933" spans="1:16">
      <c r="A1933" t="s">
        <v>2662</v>
      </c>
      <c r="B1933" t="s">
        <v>2631</v>
      </c>
      <c r="C1933" t="s">
        <v>229</v>
      </c>
      <c r="D1933">
        <v>1987</v>
      </c>
      <c r="E1933" t="s">
        <v>29</v>
      </c>
      <c r="F1933" t="s">
        <v>30</v>
      </c>
      <c r="G1933" t="s">
        <v>31</v>
      </c>
      <c r="H1933" t="s">
        <v>32</v>
      </c>
      <c r="I1933">
        <v>1823.015995</v>
      </c>
      <c r="J1933" t="s">
        <v>33</v>
      </c>
      <c r="K1933" t="s">
        <v>2660</v>
      </c>
      <c r="L1933" t="s">
        <v>21</v>
      </c>
      <c r="M1933" t="str">
        <f t="shared" si="90"/>
        <v>OK</v>
      </c>
      <c r="N1933" t="str">
        <f t="shared" si="91"/>
        <v>1980s</v>
      </c>
      <c r="O1933" t="str">
        <f t="shared" si="92"/>
        <v>N/A</v>
      </c>
      <c r="P1933" t="str">
        <f>VLOOKUP(E1933,calculated_fields!$F$4:$G$6,2,FALSE)</f>
        <v>Economy</v>
      </c>
    </row>
    <row r="1934" spans="1:16">
      <c r="A1934" t="s">
        <v>2663</v>
      </c>
      <c r="B1934" t="s">
        <v>2631</v>
      </c>
      <c r="C1934" t="s">
        <v>229</v>
      </c>
      <c r="D1934">
        <v>1992</v>
      </c>
      <c r="E1934" t="s">
        <v>15</v>
      </c>
      <c r="F1934" t="s">
        <v>16</v>
      </c>
      <c r="G1934" t="s">
        <v>17</v>
      </c>
      <c r="H1934" t="s">
        <v>18</v>
      </c>
      <c r="I1934">
        <v>55.088999999999999</v>
      </c>
      <c r="J1934" t="s">
        <v>19</v>
      </c>
      <c r="K1934" t="s">
        <v>2664</v>
      </c>
      <c r="L1934" t="s">
        <v>21</v>
      </c>
      <c r="M1934" t="str">
        <f t="shared" si="90"/>
        <v>OK</v>
      </c>
      <c r="N1934" t="str">
        <f t="shared" si="91"/>
        <v>1990s</v>
      </c>
      <c r="O1934" t="str">
        <f t="shared" si="92"/>
        <v>Medium</v>
      </c>
      <c r="P1934" t="str">
        <f>VLOOKUP(E1934,calculated_fields!$F$4:$G$6,2,FALSE)</f>
        <v>Health</v>
      </c>
    </row>
    <row r="1935" spans="1:16">
      <c r="A1935" t="s">
        <v>2665</v>
      </c>
      <c r="B1935" t="s">
        <v>2631</v>
      </c>
      <c r="C1935" t="s">
        <v>229</v>
      </c>
      <c r="D1935">
        <v>1992</v>
      </c>
      <c r="E1935" t="s">
        <v>23</v>
      </c>
      <c r="F1935" t="s">
        <v>24</v>
      </c>
      <c r="G1935" t="s">
        <v>25</v>
      </c>
      <c r="H1935" t="s">
        <v>26</v>
      </c>
      <c r="I1935">
        <v>6326682</v>
      </c>
      <c r="J1935" t="s">
        <v>27</v>
      </c>
      <c r="K1935" t="s">
        <v>2664</v>
      </c>
      <c r="L1935" t="s">
        <v>21</v>
      </c>
      <c r="M1935" t="str">
        <f t="shared" si="90"/>
        <v>OK</v>
      </c>
      <c r="N1935" t="str">
        <f t="shared" si="91"/>
        <v>1990s</v>
      </c>
      <c r="O1935" t="str">
        <f t="shared" si="92"/>
        <v>N/A</v>
      </c>
      <c r="P1935" t="str">
        <f>VLOOKUP(E1935,calculated_fields!$F$4:$G$6,2,FALSE)</f>
        <v>Demographics</v>
      </c>
    </row>
    <row r="1936" spans="1:16">
      <c r="A1936" t="s">
        <v>2666</v>
      </c>
      <c r="B1936" t="s">
        <v>2631</v>
      </c>
      <c r="C1936" t="s">
        <v>229</v>
      </c>
      <c r="D1936">
        <v>1992</v>
      </c>
      <c r="E1936" t="s">
        <v>29</v>
      </c>
      <c r="F1936" t="s">
        <v>30</v>
      </c>
      <c r="G1936" t="s">
        <v>31</v>
      </c>
      <c r="H1936" t="s">
        <v>32</v>
      </c>
      <c r="I1936">
        <v>1456.3095169999999</v>
      </c>
      <c r="J1936" t="s">
        <v>33</v>
      </c>
      <c r="K1936" t="s">
        <v>2664</v>
      </c>
      <c r="L1936" t="s">
        <v>21</v>
      </c>
      <c r="M1936" t="str">
        <f t="shared" si="90"/>
        <v>OK</v>
      </c>
      <c r="N1936" t="str">
        <f t="shared" si="91"/>
        <v>1990s</v>
      </c>
      <c r="O1936" t="str">
        <f t="shared" si="92"/>
        <v>N/A</v>
      </c>
      <c r="P1936" t="str">
        <f>VLOOKUP(E1936,calculated_fields!$F$4:$G$6,2,FALSE)</f>
        <v>Economy</v>
      </c>
    </row>
    <row r="1937" spans="1:16">
      <c r="A1937" t="s">
        <v>2667</v>
      </c>
      <c r="B1937" t="s">
        <v>2631</v>
      </c>
      <c r="C1937" t="s">
        <v>229</v>
      </c>
      <c r="D1937">
        <v>1997</v>
      </c>
      <c r="E1937" t="s">
        <v>15</v>
      </c>
      <c r="F1937" t="s">
        <v>16</v>
      </c>
      <c r="G1937" t="s">
        <v>17</v>
      </c>
      <c r="H1937" t="s">
        <v>18</v>
      </c>
      <c r="I1937">
        <v>56.670999999999999</v>
      </c>
      <c r="J1937" t="s">
        <v>19</v>
      </c>
      <c r="K1937" t="s">
        <v>2668</v>
      </c>
      <c r="L1937" t="s">
        <v>21</v>
      </c>
      <c r="M1937" t="str">
        <f t="shared" si="90"/>
        <v>OK</v>
      </c>
      <c r="N1937" t="str">
        <f t="shared" si="91"/>
        <v>1990s</v>
      </c>
      <c r="O1937" t="str">
        <f t="shared" si="92"/>
        <v>Medium</v>
      </c>
      <c r="P1937" t="str">
        <f>VLOOKUP(E1937,calculated_fields!$F$4:$G$6,2,FALSE)</f>
        <v>Health</v>
      </c>
    </row>
    <row r="1938" spans="1:16">
      <c r="A1938" t="s">
        <v>2669</v>
      </c>
      <c r="B1938" t="s">
        <v>2631</v>
      </c>
      <c r="C1938" t="s">
        <v>229</v>
      </c>
      <c r="D1938">
        <v>1997</v>
      </c>
      <c r="E1938" t="s">
        <v>23</v>
      </c>
      <c r="F1938" t="s">
        <v>24</v>
      </c>
      <c r="G1938" t="s">
        <v>25</v>
      </c>
      <c r="H1938" t="s">
        <v>26</v>
      </c>
      <c r="I1938">
        <v>6913545</v>
      </c>
      <c r="J1938" t="s">
        <v>27</v>
      </c>
      <c r="K1938" t="s">
        <v>2668</v>
      </c>
      <c r="L1938" t="s">
        <v>21</v>
      </c>
      <c r="M1938" t="str">
        <f t="shared" si="90"/>
        <v>OK</v>
      </c>
      <c r="N1938" t="str">
        <f t="shared" si="91"/>
        <v>1990s</v>
      </c>
      <c r="O1938" t="str">
        <f t="shared" si="92"/>
        <v>N/A</v>
      </c>
      <c r="P1938" t="str">
        <f>VLOOKUP(E1938,calculated_fields!$F$4:$G$6,2,FALSE)</f>
        <v>Demographics</v>
      </c>
    </row>
    <row r="1939" spans="1:16">
      <c r="A1939" t="s">
        <v>2670</v>
      </c>
      <c r="B1939" t="s">
        <v>2631</v>
      </c>
      <c r="C1939" t="s">
        <v>229</v>
      </c>
      <c r="D1939">
        <v>1997</v>
      </c>
      <c r="E1939" t="s">
        <v>29</v>
      </c>
      <c r="F1939" t="s">
        <v>30</v>
      </c>
      <c r="G1939" t="s">
        <v>31</v>
      </c>
      <c r="H1939" t="s">
        <v>32</v>
      </c>
      <c r="I1939">
        <v>1341.7269309999999</v>
      </c>
      <c r="J1939" t="s">
        <v>33</v>
      </c>
      <c r="K1939" t="s">
        <v>2668</v>
      </c>
      <c r="L1939" t="s">
        <v>21</v>
      </c>
      <c r="M1939" t="str">
        <f t="shared" si="90"/>
        <v>OK</v>
      </c>
      <c r="N1939" t="str">
        <f t="shared" si="91"/>
        <v>1990s</v>
      </c>
      <c r="O1939" t="str">
        <f t="shared" si="92"/>
        <v>N/A</v>
      </c>
      <c r="P1939" t="str">
        <f>VLOOKUP(E1939,calculated_fields!$F$4:$G$6,2,FALSE)</f>
        <v>Economy</v>
      </c>
    </row>
    <row r="1940" spans="1:16">
      <c r="A1940" t="s">
        <v>2671</v>
      </c>
      <c r="B1940" t="s">
        <v>2631</v>
      </c>
      <c r="C1940" t="s">
        <v>229</v>
      </c>
      <c r="D1940">
        <v>2002</v>
      </c>
      <c r="E1940" t="s">
        <v>15</v>
      </c>
      <c r="F1940" t="s">
        <v>16</v>
      </c>
      <c r="G1940" t="s">
        <v>17</v>
      </c>
      <c r="H1940" t="s">
        <v>18</v>
      </c>
      <c r="I1940">
        <v>58.137</v>
      </c>
      <c r="J1940" t="s">
        <v>19</v>
      </c>
      <c r="K1940" t="s">
        <v>2672</v>
      </c>
      <c r="L1940" t="s">
        <v>21</v>
      </c>
      <c r="M1940" t="str">
        <f t="shared" si="90"/>
        <v>OK</v>
      </c>
      <c r="N1940" t="str">
        <f t="shared" si="91"/>
        <v>2000s</v>
      </c>
      <c r="O1940" t="str">
        <f t="shared" si="92"/>
        <v>Medium</v>
      </c>
      <c r="P1940" t="str">
        <f>VLOOKUP(E1940,calculated_fields!$F$4:$G$6,2,FALSE)</f>
        <v>Health</v>
      </c>
    </row>
    <row r="1941" spans="1:16">
      <c r="A1941" t="s">
        <v>2673</v>
      </c>
      <c r="B1941" t="s">
        <v>2631</v>
      </c>
      <c r="C1941" t="s">
        <v>229</v>
      </c>
      <c r="D1941">
        <v>2002</v>
      </c>
      <c r="E1941" t="s">
        <v>23</v>
      </c>
      <c r="F1941" t="s">
        <v>24</v>
      </c>
      <c r="G1941" t="s">
        <v>25</v>
      </c>
      <c r="H1941" t="s">
        <v>26</v>
      </c>
      <c r="I1941">
        <v>7607651</v>
      </c>
      <c r="J1941" t="s">
        <v>27</v>
      </c>
      <c r="K1941" t="s">
        <v>2672</v>
      </c>
      <c r="L1941" t="s">
        <v>21</v>
      </c>
      <c r="M1941" t="str">
        <f t="shared" si="90"/>
        <v>OK</v>
      </c>
      <c r="N1941" t="str">
        <f t="shared" si="91"/>
        <v>2000s</v>
      </c>
      <c r="O1941" t="str">
        <f t="shared" si="92"/>
        <v>N/A</v>
      </c>
      <c r="P1941" t="str">
        <f>VLOOKUP(E1941,calculated_fields!$F$4:$G$6,2,FALSE)</f>
        <v>Demographics</v>
      </c>
    </row>
    <row r="1942" spans="1:16">
      <c r="A1942" t="s">
        <v>2674</v>
      </c>
      <c r="B1942" t="s">
        <v>2631</v>
      </c>
      <c r="C1942" t="s">
        <v>229</v>
      </c>
      <c r="D1942">
        <v>2002</v>
      </c>
      <c r="E1942" t="s">
        <v>29</v>
      </c>
      <c r="F1942" t="s">
        <v>30</v>
      </c>
      <c r="G1942" t="s">
        <v>31</v>
      </c>
      <c r="H1942" t="s">
        <v>32</v>
      </c>
      <c r="I1942">
        <v>1270.364932</v>
      </c>
      <c r="J1942" t="s">
        <v>33</v>
      </c>
      <c r="K1942" t="s">
        <v>2672</v>
      </c>
      <c r="L1942" t="s">
        <v>21</v>
      </c>
      <c r="M1942" t="str">
        <f t="shared" si="90"/>
        <v>OK</v>
      </c>
      <c r="N1942" t="str">
        <f t="shared" si="91"/>
        <v>2000s</v>
      </c>
      <c r="O1942" t="str">
        <f t="shared" si="92"/>
        <v>N/A</v>
      </c>
      <c r="P1942" t="str">
        <f>VLOOKUP(E1942,calculated_fields!$F$4:$G$6,2,FALSE)</f>
        <v>Economy</v>
      </c>
    </row>
    <row r="1943" spans="1:16">
      <c r="A1943" t="s">
        <v>2675</v>
      </c>
      <c r="B1943" t="s">
        <v>2631</v>
      </c>
      <c r="C1943" t="s">
        <v>229</v>
      </c>
      <c r="D1943">
        <v>2007</v>
      </c>
      <c r="E1943" t="s">
        <v>15</v>
      </c>
      <c r="F1943" t="s">
        <v>16</v>
      </c>
      <c r="G1943" t="s">
        <v>17</v>
      </c>
      <c r="H1943" t="s">
        <v>18</v>
      </c>
      <c r="I1943">
        <v>60.915999999999997</v>
      </c>
      <c r="J1943" t="s">
        <v>19</v>
      </c>
      <c r="K1943" t="s">
        <v>2676</v>
      </c>
      <c r="L1943" t="s">
        <v>21</v>
      </c>
      <c r="M1943" t="str">
        <f t="shared" si="90"/>
        <v>OK</v>
      </c>
      <c r="N1943" t="str">
        <f t="shared" si="91"/>
        <v>2000s</v>
      </c>
      <c r="O1943" t="str">
        <f t="shared" si="92"/>
        <v>Medium</v>
      </c>
      <c r="P1943" t="str">
        <f>VLOOKUP(E1943,calculated_fields!$F$4:$G$6,2,FALSE)</f>
        <v>Health</v>
      </c>
    </row>
    <row r="1944" spans="1:16">
      <c r="A1944" t="s">
        <v>2677</v>
      </c>
      <c r="B1944" t="s">
        <v>2631</v>
      </c>
      <c r="C1944" t="s">
        <v>229</v>
      </c>
      <c r="D1944">
        <v>2007</v>
      </c>
      <c r="E1944" t="s">
        <v>23</v>
      </c>
      <c r="F1944" t="s">
        <v>24</v>
      </c>
      <c r="G1944" t="s">
        <v>25</v>
      </c>
      <c r="H1944" t="s">
        <v>26</v>
      </c>
      <c r="I1944">
        <v>8502814</v>
      </c>
      <c r="J1944" t="s">
        <v>27</v>
      </c>
      <c r="K1944" t="s">
        <v>2676</v>
      </c>
      <c r="L1944" t="s">
        <v>21</v>
      </c>
      <c r="M1944" t="str">
        <f t="shared" si="90"/>
        <v>OK</v>
      </c>
      <c r="N1944" t="str">
        <f t="shared" si="91"/>
        <v>2000s</v>
      </c>
      <c r="O1944" t="str">
        <f t="shared" si="92"/>
        <v>N/A</v>
      </c>
      <c r="P1944" t="str">
        <f>VLOOKUP(E1944,calculated_fields!$F$4:$G$6,2,FALSE)</f>
        <v>Demographics</v>
      </c>
    </row>
    <row r="1945" spans="1:16">
      <c r="A1945" t="s">
        <v>2678</v>
      </c>
      <c r="B1945" t="s">
        <v>2631</v>
      </c>
      <c r="C1945" t="s">
        <v>229</v>
      </c>
      <c r="D1945">
        <v>2007</v>
      </c>
      <c r="E1945" t="s">
        <v>29</v>
      </c>
      <c r="F1945" t="s">
        <v>30</v>
      </c>
      <c r="G1945" t="s">
        <v>31</v>
      </c>
      <c r="H1945" t="s">
        <v>32</v>
      </c>
      <c r="I1945">
        <v>1201.637154</v>
      </c>
      <c r="J1945" t="s">
        <v>33</v>
      </c>
      <c r="K1945" t="s">
        <v>2676</v>
      </c>
      <c r="L1945" t="s">
        <v>21</v>
      </c>
      <c r="M1945" t="str">
        <f t="shared" si="90"/>
        <v>OK</v>
      </c>
      <c r="N1945" t="str">
        <f t="shared" si="91"/>
        <v>2000s</v>
      </c>
      <c r="O1945" t="str">
        <f t="shared" si="92"/>
        <v>N/A</v>
      </c>
      <c r="P1945" t="str">
        <f>VLOOKUP(E1945,calculated_fields!$F$4:$G$6,2,FALSE)</f>
        <v>Economy</v>
      </c>
    </row>
    <row r="1946" spans="1:16">
      <c r="A1946" t="s">
        <v>2679</v>
      </c>
      <c r="B1946" t="s">
        <v>2680</v>
      </c>
      <c r="C1946" t="s">
        <v>229</v>
      </c>
      <c r="D1946">
        <v>1952</v>
      </c>
      <c r="E1946" t="s">
        <v>15</v>
      </c>
      <c r="F1946" t="s">
        <v>16</v>
      </c>
      <c r="G1946" t="s">
        <v>17</v>
      </c>
      <c r="H1946" t="s">
        <v>18</v>
      </c>
      <c r="I1946">
        <v>41.911999999999999</v>
      </c>
      <c r="J1946" t="s">
        <v>19</v>
      </c>
      <c r="K1946" t="s">
        <v>2681</v>
      </c>
      <c r="L1946" t="s">
        <v>21</v>
      </c>
      <c r="M1946" t="str">
        <f t="shared" si="90"/>
        <v>OK</v>
      </c>
      <c r="N1946" t="str">
        <f t="shared" si="91"/>
        <v>1950s</v>
      </c>
      <c r="O1946" t="str">
        <f t="shared" si="92"/>
        <v>Low</v>
      </c>
      <c r="P1946" t="str">
        <f>VLOOKUP(E1946,calculated_fields!$F$4:$G$6,2,FALSE)</f>
        <v>Health</v>
      </c>
    </row>
    <row r="1947" spans="1:16">
      <c r="A1947" t="s">
        <v>2682</v>
      </c>
      <c r="B1947" t="s">
        <v>2680</v>
      </c>
      <c r="C1947" t="s">
        <v>229</v>
      </c>
      <c r="D1947">
        <v>1952</v>
      </c>
      <c r="E1947" t="s">
        <v>23</v>
      </c>
      <c r="F1947" t="s">
        <v>24</v>
      </c>
      <c r="G1947" t="s">
        <v>25</v>
      </c>
      <c r="H1947" t="s">
        <v>26</v>
      </c>
      <c r="I1947">
        <v>1517453</v>
      </c>
      <c r="J1947" t="s">
        <v>27</v>
      </c>
      <c r="K1947" t="s">
        <v>2681</v>
      </c>
      <c r="L1947" t="s">
        <v>21</v>
      </c>
      <c r="M1947" t="str">
        <f t="shared" si="90"/>
        <v>OK</v>
      </c>
      <c r="N1947" t="str">
        <f t="shared" si="91"/>
        <v>1950s</v>
      </c>
      <c r="O1947" t="str">
        <f t="shared" si="92"/>
        <v>N/A</v>
      </c>
      <c r="P1947" t="str">
        <f>VLOOKUP(E1947,calculated_fields!$F$4:$G$6,2,FALSE)</f>
        <v>Demographics</v>
      </c>
    </row>
    <row r="1948" spans="1:16">
      <c r="A1948" t="s">
        <v>2683</v>
      </c>
      <c r="B1948" t="s">
        <v>2680</v>
      </c>
      <c r="C1948" t="s">
        <v>229</v>
      </c>
      <c r="D1948">
        <v>1952</v>
      </c>
      <c r="E1948" t="s">
        <v>29</v>
      </c>
      <c r="F1948" t="s">
        <v>30</v>
      </c>
      <c r="G1948" t="s">
        <v>31</v>
      </c>
      <c r="H1948" t="s">
        <v>32</v>
      </c>
      <c r="I1948">
        <v>2194.9262039999999</v>
      </c>
      <c r="J1948" t="s">
        <v>33</v>
      </c>
      <c r="K1948" t="s">
        <v>2681</v>
      </c>
      <c r="L1948" t="s">
        <v>21</v>
      </c>
      <c r="M1948" t="str">
        <f t="shared" si="90"/>
        <v>OK</v>
      </c>
      <c r="N1948" t="str">
        <f t="shared" si="91"/>
        <v>1950s</v>
      </c>
      <c r="O1948" t="str">
        <f t="shared" si="92"/>
        <v>N/A</v>
      </c>
      <c r="P1948" t="str">
        <f>VLOOKUP(E1948,calculated_fields!$F$4:$G$6,2,FALSE)</f>
        <v>Economy</v>
      </c>
    </row>
    <row r="1949" spans="1:16">
      <c r="A1949" t="s">
        <v>2684</v>
      </c>
      <c r="B1949" t="s">
        <v>2680</v>
      </c>
      <c r="C1949" t="s">
        <v>229</v>
      </c>
      <c r="D1949">
        <v>1957</v>
      </c>
      <c r="E1949" t="s">
        <v>15</v>
      </c>
      <c r="F1949" t="s">
        <v>16</v>
      </c>
      <c r="G1949" t="s">
        <v>17</v>
      </c>
      <c r="H1949" t="s">
        <v>18</v>
      </c>
      <c r="I1949">
        <v>44.664999999999999</v>
      </c>
      <c r="J1949" t="s">
        <v>19</v>
      </c>
      <c r="K1949" t="s">
        <v>2685</v>
      </c>
      <c r="L1949" t="s">
        <v>21</v>
      </c>
      <c r="M1949" t="str">
        <f t="shared" si="90"/>
        <v>OK</v>
      </c>
      <c r="N1949" t="str">
        <f t="shared" si="91"/>
        <v>1950s</v>
      </c>
      <c r="O1949" t="str">
        <f t="shared" si="92"/>
        <v>Low</v>
      </c>
      <c r="P1949" t="str">
        <f>VLOOKUP(E1949,calculated_fields!$F$4:$G$6,2,FALSE)</f>
        <v>Health</v>
      </c>
    </row>
    <row r="1950" spans="1:16">
      <c r="A1950" t="s">
        <v>2686</v>
      </c>
      <c r="B1950" t="s">
        <v>2680</v>
      </c>
      <c r="C1950" t="s">
        <v>229</v>
      </c>
      <c r="D1950">
        <v>1957</v>
      </c>
      <c r="E1950" t="s">
        <v>23</v>
      </c>
      <c r="F1950" t="s">
        <v>24</v>
      </c>
      <c r="G1950" t="s">
        <v>25</v>
      </c>
      <c r="H1950" t="s">
        <v>26</v>
      </c>
      <c r="I1950">
        <v>1770390</v>
      </c>
      <c r="J1950" t="s">
        <v>27</v>
      </c>
      <c r="K1950" t="s">
        <v>2685</v>
      </c>
      <c r="L1950" t="s">
        <v>21</v>
      </c>
      <c r="M1950" t="str">
        <f t="shared" si="90"/>
        <v>OK</v>
      </c>
      <c r="N1950" t="str">
        <f t="shared" si="91"/>
        <v>1950s</v>
      </c>
      <c r="O1950" t="str">
        <f t="shared" si="92"/>
        <v>N/A</v>
      </c>
      <c r="P1950" t="str">
        <f>VLOOKUP(E1950,calculated_fields!$F$4:$G$6,2,FALSE)</f>
        <v>Demographics</v>
      </c>
    </row>
    <row r="1951" spans="1:16">
      <c r="A1951" t="s">
        <v>2687</v>
      </c>
      <c r="B1951" t="s">
        <v>2680</v>
      </c>
      <c r="C1951" t="s">
        <v>229</v>
      </c>
      <c r="D1951">
        <v>1957</v>
      </c>
      <c r="E1951" t="s">
        <v>29</v>
      </c>
      <c r="F1951" t="s">
        <v>30</v>
      </c>
      <c r="G1951" t="s">
        <v>31</v>
      </c>
      <c r="H1951" t="s">
        <v>32</v>
      </c>
      <c r="I1951">
        <v>2220.4876819999999</v>
      </c>
      <c r="J1951" t="s">
        <v>33</v>
      </c>
      <c r="K1951" t="s">
        <v>2685</v>
      </c>
      <c r="L1951" t="s">
        <v>21</v>
      </c>
      <c r="M1951" t="str">
        <f t="shared" si="90"/>
        <v>OK</v>
      </c>
      <c r="N1951" t="str">
        <f t="shared" si="91"/>
        <v>1950s</v>
      </c>
      <c r="O1951" t="str">
        <f t="shared" si="92"/>
        <v>N/A</v>
      </c>
      <c r="P1951" t="str">
        <f>VLOOKUP(E1951,calculated_fields!$F$4:$G$6,2,FALSE)</f>
        <v>Economy</v>
      </c>
    </row>
    <row r="1952" spans="1:16">
      <c r="A1952" t="s">
        <v>2688</v>
      </c>
      <c r="B1952" t="s">
        <v>2680</v>
      </c>
      <c r="C1952" t="s">
        <v>229</v>
      </c>
      <c r="D1952">
        <v>1962</v>
      </c>
      <c r="E1952" t="s">
        <v>15</v>
      </c>
      <c r="F1952" t="s">
        <v>16</v>
      </c>
      <c r="G1952" t="s">
        <v>17</v>
      </c>
      <c r="H1952" t="s">
        <v>18</v>
      </c>
      <c r="I1952">
        <v>48.040999999999997</v>
      </c>
      <c r="J1952" t="s">
        <v>19</v>
      </c>
      <c r="K1952" t="s">
        <v>2689</v>
      </c>
      <c r="L1952" t="s">
        <v>21</v>
      </c>
      <c r="M1952" t="str">
        <f t="shared" si="90"/>
        <v>OK</v>
      </c>
      <c r="N1952" t="str">
        <f t="shared" si="91"/>
        <v>1960s</v>
      </c>
      <c r="O1952" t="str">
        <f t="shared" si="92"/>
        <v>Low</v>
      </c>
      <c r="P1952" t="str">
        <f>VLOOKUP(E1952,calculated_fields!$F$4:$G$6,2,FALSE)</f>
        <v>Health</v>
      </c>
    </row>
    <row r="1953" spans="1:16">
      <c r="A1953" t="s">
        <v>2690</v>
      </c>
      <c r="B1953" t="s">
        <v>2680</v>
      </c>
      <c r="C1953" t="s">
        <v>229</v>
      </c>
      <c r="D1953">
        <v>1962</v>
      </c>
      <c r="E1953" t="s">
        <v>23</v>
      </c>
      <c r="F1953" t="s">
        <v>24</v>
      </c>
      <c r="G1953" t="s">
        <v>25</v>
      </c>
      <c r="H1953" t="s">
        <v>26</v>
      </c>
      <c r="I1953">
        <v>2090162</v>
      </c>
      <c r="J1953" t="s">
        <v>27</v>
      </c>
      <c r="K1953" t="s">
        <v>2689</v>
      </c>
      <c r="L1953" t="s">
        <v>21</v>
      </c>
      <c r="M1953" t="str">
        <f t="shared" si="90"/>
        <v>OK</v>
      </c>
      <c r="N1953" t="str">
        <f t="shared" si="91"/>
        <v>1960s</v>
      </c>
      <c r="O1953" t="str">
        <f t="shared" si="92"/>
        <v>N/A</v>
      </c>
      <c r="P1953" t="str">
        <f>VLOOKUP(E1953,calculated_fields!$F$4:$G$6,2,FALSE)</f>
        <v>Demographics</v>
      </c>
    </row>
    <row r="1954" spans="1:16">
      <c r="A1954" t="s">
        <v>2691</v>
      </c>
      <c r="B1954" t="s">
        <v>2680</v>
      </c>
      <c r="C1954" t="s">
        <v>229</v>
      </c>
      <c r="D1954">
        <v>1962</v>
      </c>
      <c r="E1954" t="s">
        <v>29</v>
      </c>
      <c r="F1954" t="s">
        <v>30</v>
      </c>
      <c r="G1954" t="s">
        <v>31</v>
      </c>
      <c r="H1954" t="s">
        <v>32</v>
      </c>
      <c r="I1954">
        <v>2291.1568349999998</v>
      </c>
      <c r="J1954" t="s">
        <v>33</v>
      </c>
      <c r="K1954" t="s">
        <v>2689</v>
      </c>
      <c r="L1954" t="s">
        <v>21</v>
      </c>
      <c r="M1954" t="str">
        <f t="shared" si="90"/>
        <v>OK</v>
      </c>
      <c r="N1954" t="str">
        <f t="shared" si="91"/>
        <v>1960s</v>
      </c>
      <c r="O1954" t="str">
        <f t="shared" si="92"/>
        <v>N/A</v>
      </c>
      <c r="P1954" t="str">
        <f>VLOOKUP(E1954,calculated_fields!$F$4:$G$6,2,FALSE)</f>
        <v>Economy</v>
      </c>
    </row>
    <row r="1955" spans="1:16">
      <c r="A1955" t="s">
        <v>2692</v>
      </c>
      <c r="B1955" t="s">
        <v>2680</v>
      </c>
      <c r="C1955" t="s">
        <v>229</v>
      </c>
      <c r="D1955">
        <v>1967</v>
      </c>
      <c r="E1955" t="s">
        <v>15</v>
      </c>
      <c r="F1955" t="s">
        <v>16</v>
      </c>
      <c r="G1955" t="s">
        <v>17</v>
      </c>
      <c r="H1955" t="s">
        <v>18</v>
      </c>
      <c r="I1955">
        <v>50.923999999999999</v>
      </c>
      <c r="J1955" t="s">
        <v>19</v>
      </c>
      <c r="K1955" t="s">
        <v>2693</v>
      </c>
      <c r="L1955" t="s">
        <v>21</v>
      </c>
      <c r="M1955" t="str">
        <f t="shared" si="90"/>
        <v>OK</v>
      </c>
      <c r="N1955" t="str">
        <f t="shared" si="91"/>
        <v>1960s</v>
      </c>
      <c r="O1955" t="str">
        <f t="shared" si="92"/>
        <v>Low</v>
      </c>
      <c r="P1955" t="str">
        <f>VLOOKUP(E1955,calculated_fields!$F$4:$G$6,2,FALSE)</f>
        <v>Health</v>
      </c>
    </row>
    <row r="1956" spans="1:16">
      <c r="A1956" t="s">
        <v>2694</v>
      </c>
      <c r="B1956" t="s">
        <v>2680</v>
      </c>
      <c r="C1956" t="s">
        <v>229</v>
      </c>
      <c r="D1956">
        <v>1967</v>
      </c>
      <c r="E1956" t="s">
        <v>23</v>
      </c>
      <c r="F1956" t="s">
        <v>24</v>
      </c>
      <c r="G1956" t="s">
        <v>25</v>
      </c>
      <c r="H1956" t="s">
        <v>26</v>
      </c>
      <c r="I1956">
        <v>2500689</v>
      </c>
      <c r="J1956" t="s">
        <v>27</v>
      </c>
      <c r="K1956" t="s">
        <v>2693</v>
      </c>
      <c r="L1956" t="s">
        <v>21</v>
      </c>
      <c r="M1956" t="str">
        <f t="shared" si="90"/>
        <v>OK</v>
      </c>
      <c r="N1956" t="str">
        <f t="shared" si="91"/>
        <v>1960s</v>
      </c>
      <c r="O1956" t="str">
        <f t="shared" si="92"/>
        <v>N/A</v>
      </c>
      <c r="P1956" t="str">
        <f>VLOOKUP(E1956,calculated_fields!$F$4:$G$6,2,FALSE)</f>
        <v>Demographics</v>
      </c>
    </row>
    <row r="1957" spans="1:16">
      <c r="A1957" t="s">
        <v>2695</v>
      </c>
      <c r="B1957" t="s">
        <v>2680</v>
      </c>
      <c r="C1957" t="s">
        <v>229</v>
      </c>
      <c r="D1957">
        <v>1967</v>
      </c>
      <c r="E1957" t="s">
        <v>29</v>
      </c>
      <c r="F1957" t="s">
        <v>30</v>
      </c>
      <c r="G1957" t="s">
        <v>31</v>
      </c>
      <c r="H1957" t="s">
        <v>32</v>
      </c>
      <c r="I1957">
        <v>2538.269358</v>
      </c>
      <c r="J1957" t="s">
        <v>33</v>
      </c>
      <c r="K1957" t="s">
        <v>2693</v>
      </c>
      <c r="L1957" t="s">
        <v>21</v>
      </c>
      <c r="M1957" t="str">
        <f t="shared" si="90"/>
        <v>OK</v>
      </c>
      <c r="N1957" t="str">
        <f t="shared" si="91"/>
        <v>1960s</v>
      </c>
      <c r="O1957" t="str">
        <f t="shared" si="92"/>
        <v>N/A</v>
      </c>
      <c r="P1957" t="str">
        <f>VLOOKUP(E1957,calculated_fields!$F$4:$G$6,2,FALSE)</f>
        <v>Economy</v>
      </c>
    </row>
    <row r="1958" spans="1:16">
      <c r="A1958" t="s">
        <v>2696</v>
      </c>
      <c r="B1958" t="s">
        <v>2680</v>
      </c>
      <c r="C1958" t="s">
        <v>229</v>
      </c>
      <c r="D1958">
        <v>1972</v>
      </c>
      <c r="E1958" t="s">
        <v>15</v>
      </c>
      <c r="F1958" t="s">
        <v>16</v>
      </c>
      <c r="G1958" t="s">
        <v>17</v>
      </c>
      <c r="H1958" t="s">
        <v>18</v>
      </c>
      <c r="I1958">
        <v>53.883999999999901</v>
      </c>
      <c r="J1958" t="s">
        <v>19</v>
      </c>
      <c r="K1958" t="s">
        <v>2697</v>
      </c>
      <c r="L1958" t="s">
        <v>21</v>
      </c>
      <c r="M1958" t="str">
        <f t="shared" si="90"/>
        <v>OK</v>
      </c>
      <c r="N1958" t="str">
        <f t="shared" si="91"/>
        <v>1970s</v>
      </c>
      <c r="O1958" t="str">
        <f t="shared" si="92"/>
        <v>Low</v>
      </c>
      <c r="P1958" t="str">
        <f>VLOOKUP(E1958,calculated_fields!$F$4:$G$6,2,FALSE)</f>
        <v>Health</v>
      </c>
    </row>
    <row r="1959" spans="1:16">
      <c r="A1959" t="s">
        <v>2698</v>
      </c>
      <c r="B1959" t="s">
        <v>2680</v>
      </c>
      <c r="C1959" t="s">
        <v>229</v>
      </c>
      <c r="D1959">
        <v>1972</v>
      </c>
      <c r="E1959" t="s">
        <v>23</v>
      </c>
      <c r="F1959" t="s">
        <v>24</v>
      </c>
      <c r="G1959" t="s">
        <v>25</v>
      </c>
      <c r="H1959" t="s">
        <v>26</v>
      </c>
      <c r="I1959">
        <v>2965146</v>
      </c>
      <c r="J1959" t="s">
        <v>27</v>
      </c>
      <c r="K1959" t="s">
        <v>2697</v>
      </c>
      <c r="L1959" t="s">
        <v>21</v>
      </c>
      <c r="M1959" t="str">
        <f t="shared" si="90"/>
        <v>OK</v>
      </c>
      <c r="N1959" t="str">
        <f t="shared" si="91"/>
        <v>1970s</v>
      </c>
      <c r="O1959" t="str">
        <f t="shared" si="92"/>
        <v>N/A</v>
      </c>
      <c r="P1959" t="str">
        <f>VLOOKUP(E1959,calculated_fields!$F$4:$G$6,2,FALSE)</f>
        <v>Demographics</v>
      </c>
    </row>
    <row r="1960" spans="1:16">
      <c r="A1960" t="s">
        <v>2699</v>
      </c>
      <c r="B1960" t="s">
        <v>2680</v>
      </c>
      <c r="C1960" t="s">
        <v>229</v>
      </c>
      <c r="D1960">
        <v>1972</v>
      </c>
      <c r="E1960" t="s">
        <v>29</v>
      </c>
      <c r="F1960" t="s">
        <v>30</v>
      </c>
      <c r="G1960" t="s">
        <v>31</v>
      </c>
      <c r="H1960" t="s">
        <v>32</v>
      </c>
      <c r="I1960">
        <v>2529.842345</v>
      </c>
      <c r="J1960" t="s">
        <v>33</v>
      </c>
      <c r="K1960" t="s">
        <v>2697</v>
      </c>
      <c r="L1960" t="s">
        <v>21</v>
      </c>
      <c r="M1960" t="str">
        <f t="shared" si="90"/>
        <v>OK</v>
      </c>
      <c r="N1960" t="str">
        <f t="shared" si="91"/>
        <v>1970s</v>
      </c>
      <c r="O1960" t="str">
        <f t="shared" si="92"/>
        <v>N/A</v>
      </c>
      <c r="P1960" t="str">
        <f>VLOOKUP(E1960,calculated_fields!$F$4:$G$6,2,FALSE)</f>
        <v>Economy</v>
      </c>
    </row>
    <row r="1961" spans="1:16">
      <c r="A1961" t="s">
        <v>2700</v>
      </c>
      <c r="B1961" t="s">
        <v>2680</v>
      </c>
      <c r="C1961" t="s">
        <v>229</v>
      </c>
      <c r="D1961">
        <v>1977</v>
      </c>
      <c r="E1961" t="s">
        <v>15</v>
      </c>
      <c r="F1961" t="s">
        <v>16</v>
      </c>
      <c r="G1961" t="s">
        <v>17</v>
      </c>
      <c r="H1961" t="s">
        <v>18</v>
      </c>
      <c r="I1961">
        <v>57.402000000000001</v>
      </c>
      <c r="J1961" t="s">
        <v>19</v>
      </c>
      <c r="K1961" t="s">
        <v>2701</v>
      </c>
      <c r="L1961" t="s">
        <v>21</v>
      </c>
      <c r="M1961" t="str">
        <f t="shared" si="90"/>
        <v>OK</v>
      </c>
      <c r="N1961" t="str">
        <f t="shared" si="91"/>
        <v>1970s</v>
      </c>
      <c r="O1961" t="str">
        <f t="shared" si="92"/>
        <v>Medium</v>
      </c>
      <c r="P1961" t="str">
        <f>VLOOKUP(E1961,calculated_fields!$F$4:$G$6,2,FALSE)</f>
        <v>Health</v>
      </c>
    </row>
    <row r="1962" spans="1:16">
      <c r="A1962" t="s">
        <v>2702</v>
      </c>
      <c r="B1962" t="s">
        <v>2680</v>
      </c>
      <c r="C1962" t="s">
        <v>229</v>
      </c>
      <c r="D1962">
        <v>1977</v>
      </c>
      <c r="E1962" t="s">
        <v>23</v>
      </c>
      <c r="F1962" t="s">
        <v>24</v>
      </c>
      <c r="G1962" t="s">
        <v>25</v>
      </c>
      <c r="H1962" t="s">
        <v>26</v>
      </c>
      <c r="I1962">
        <v>3055235</v>
      </c>
      <c r="J1962" t="s">
        <v>27</v>
      </c>
      <c r="K1962" t="s">
        <v>2701</v>
      </c>
      <c r="L1962" t="s">
        <v>21</v>
      </c>
      <c r="M1962" t="str">
        <f t="shared" si="90"/>
        <v>OK</v>
      </c>
      <c r="N1962" t="str">
        <f t="shared" si="91"/>
        <v>1970s</v>
      </c>
      <c r="O1962" t="str">
        <f t="shared" si="92"/>
        <v>N/A</v>
      </c>
      <c r="P1962" t="str">
        <f>VLOOKUP(E1962,calculated_fields!$F$4:$G$6,2,FALSE)</f>
        <v>Demographics</v>
      </c>
    </row>
    <row r="1963" spans="1:16">
      <c r="A1963" t="s">
        <v>2703</v>
      </c>
      <c r="B1963" t="s">
        <v>2680</v>
      </c>
      <c r="C1963" t="s">
        <v>229</v>
      </c>
      <c r="D1963">
        <v>1977</v>
      </c>
      <c r="E1963" t="s">
        <v>29</v>
      </c>
      <c r="F1963" t="s">
        <v>30</v>
      </c>
      <c r="G1963" t="s">
        <v>31</v>
      </c>
      <c r="H1963" t="s">
        <v>32</v>
      </c>
      <c r="I1963">
        <v>3203.2080660000001</v>
      </c>
      <c r="J1963" t="s">
        <v>33</v>
      </c>
      <c r="K1963" t="s">
        <v>2701</v>
      </c>
      <c r="L1963" t="s">
        <v>21</v>
      </c>
      <c r="M1963" t="str">
        <f t="shared" si="90"/>
        <v>OK</v>
      </c>
      <c r="N1963" t="str">
        <f t="shared" si="91"/>
        <v>1970s</v>
      </c>
      <c r="O1963" t="str">
        <f t="shared" si="92"/>
        <v>N/A</v>
      </c>
      <c r="P1963" t="str">
        <f>VLOOKUP(E1963,calculated_fields!$F$4:$G$6,2,FALSE)</f>
        <v>Economy</v>
      </c>
    </row>
    <row r="1964" spans="1:16">
      <c r="A1964" t="s">
        <v>2704</v>
      </c>
      <c r="B1964" t="s">
        <v>2680</v>
      </c>
      <c r="C1964" t="s">
        <v>229</v>
      </c>
      <c r="D1964">
        <v>1982</v>
      </c>
      <c r="E1964" t="s">
        <v>15</v>
      </c>
      <c r="F1964" t="s">
        <v>16</v>
      </c>
      <c r="G1964" t="s">
        <v>17</v>
      </c>
      <c r="H1964" t="s">
        <v>18</v>
      </c>
      <c r="I1964">
        <v>60.908999999999999</v>
      </c>
      <c r="J1964" t="s">
        <v>19</v>
      </c>
      <c r="K1964" t="s">
        <v>2705</v>
      </c>
      <c r="L1964" t="s">
        <v>21</v>
      </c>
      <c r="M1964" t="str">
        <f t="shared" si="90"/>
        <v>OK</v>
      </c>
      <c r="N1964" t="str">
        <f t="shared" si="91"/>
        <v>1980s</v>
      </c>
      <c r="O1964" t="str">
        <f t="shared" si="92"/>
        <v>Medium</v>
      </c>
      <c r="P1964" t="str">
        <f>VLOOKUP(E1964,calculated_fields!$F$4:$G$6,2,FALSE)</f>
        <v>Health</v>
      </c>
    </row>
    <row r="1965" spans="1:16">
      <c r="A1965" t="s">
        <v>2706</v>
      </c>
      <c r="B1965" t="s">
        <v>2680</v>
      </c>
      <c r="C1965" t="s">
        <v>229</v>
      </c>
      <c r="D1965">
        <v>1982</v>
      </c>
      <c r="E1965" t="s">
        <v>23</v>
      </c>
      <c r="F1965" t="s">
        <v>24</v>
      </c>
      <c r="G1965" t="s">
        <v>25</v>
      </c>
      <c r="H1965" t="s">
        <v>26</v>
      </c>
      <c r="I1965">
        <v>3669448</v>
      </c>
      <c r="J1965" t="s">
        <v>27</v>
      </c>
      <c r="K1965" t="s">
        <v>2705</v>
      </c>
      <c r="L1965" t="s">
        <v>21</v>
      </c>
      <c r="M1965" t="str">
        <f t="shared" si="90"/>
        <v>OK</v>
      </c>
      <c r="N1965" t="str">
        <f t="shared" si="91"/>
        <v>1980s</v>
      </c>
      <c r="O1965" t="str">
        <f t="shared" si="92"/>
        <v>N/A</v>
      </c>
      <c r="P1965" t="str">
        <f>VLOOKUP(E1965,calculated_fields!$F$4:$G$6,2,FALSE)</f>
        <v>Demographics</v>
      </c>
    </row>
    <row r="1966" spans="1:16">
      <c r="A1966" t="s">
        <v>2707</v>
      </c>
      <c r="B1966" t="s">
        <v>2680</v>
      </c>
      <c r="C1966" t="s">
        <v>229</v>
      </c>
      <c r="D1966">
        <v>1982</v>
      </c>
      <c r="E1966" t="s">
        <v>29</v>
      </c>
      <c r="F1966" t="s">
        <v>30</v>
      </c>
      <c r="G1966" t="s">
        <v>31</v>
      </c>
      <c r="H1966" t="s">
        <v>32</v>
      </c>
      <c r="I1966">
        <v>3121.7607939999998</v>
      </c>
      <c r="J1966" t="s">
        <v>33</v>
      </c>
      <c r="K1966" t="s">
        <v>2705</v>
      </c>
      <c r="L1966" t="s">
        <v>21</v>
      </c>
      <c r="M1966" t="str">
        <f t="shared" si="90"/>
        <v>OK</v>
      </c>
      <c r="N1966" t="str">
        <f t="shared" si="91"/>
        <v>1980s</v>
      </c>
      <c r="O1966" t="str">
        <f t="shared" si="92"/>
        <v>N/A</v>
      </c>
      <c r="P1966" t="str">
        <f>VLOOKUP(E1966,calculated_fields!$F$4:$G$6,2,FALSE)</f>
        <v>Economy</v>
      </c>
    </row>
    <row r="1967" spans="1:16">
      <c r="A1967" t="s">
        <v>2708</v>
      </c>
      <c r="B1967" t="s">
        <v>2680</v>
      </c>
      <c r="C1967" t="s">
        <v>229</v>
      </c>
      <c r="D1967">
        <v>1987</v>
      </c>
      <c r="E1967" t="s">
        <v>15</v>
      </c>
      <c r="F1967" t="s">
        <v>16</v>
      </c>
      <c r="G1967" t="s">
        <v>17</v>
      </c>
      <c r="H1967" t="s">
        <v>18</v>
      </c>
      <c r="I1967">
        <v>64.492000000000004</v>
      </c>
      <c r="J1967" t="s">
        <v>19</v>
      </c>
      <c r="K1967" t="s">
        <v>2709</v>
      </c>
      <c r="L1967" t="s">
        <v>21</v>
      </c>
      <c r="M1967" t="str">
        <f t="shared" si="90"/>
        <v>OK</v>
      </c>
      <c r="N1967" t="str">
        <f t="shared" si="91"/>
        <v>1980s</v>
      </c>
      <c r="O1967" t="str">
        <f t="shared" si="92"/>
        <v>Medium</v>
      </c>
      <c r="P1967" t="str">
        <f>VLOOKUP(E1967,calculated_fields!$F$4:$G$6,2,FALSE)</f>
        <v>Health</v>
      </c>
    </row>
    <row r="1968" spans="1:16">
      <c r="A1968" t="s">
        <v>2710</v>
      </c>
      <c r="B1968" t="s">
        <v>2680</v>
      </c>
      <c r="C1968" t="s">
        <v>229</v>
      </c>
      <c r="D1968">
        <v>1987</v>
      </c>
      <c r="E1968" t="s">
        <v>23</v>
      </c>
      <c r="F1968" t="s">
        <v>24</v>
      </c>
      <c r="G1968" t="s">
        <v>25</v>
      </c>
      <c r="H1968" t="s">
        <v>26</v>
      </c>
      <c r="I1968">
        <v>4372203</v>
      </c>
      <c r="J1968" t="s">
        <v>27</v>
      </c>
      <c r="K1968" t="s">
        <v>2709</v>
      </c>
      <c r="L1968" t="s">
        <v>21</v>
      </c>
      <c r="M1968" t="str">
        <f t="shared" si="90"/>
        <v>OK</v>
      </c>
      <c r="N1968" t="str">
        <f t="shared" si="91"/>
        <v>1980s</v>
      </c>
      <c r="O1968" t="str">
        <f t="shared" si="92"/>
        <v>N/A</v>
      </c>
      <c r="P1968" t="str">
        <f>VLOOKUP(E1968,calculated_fields!$F$4:$G$6,2,FALSE)</f>
        <v>Demographics</v>
      </c>
    </row>
    <row r="1969" spans="1:16">
      <c r="A1969" t="s">
        <v>2711</v>
      </c>
      <c r="B1969" t="s">
        <v>2680</v>
      </c>
      <c r="C1969" t="s">
        <v>229</v>
      </c>
      <c r="D1969">
        <v>1987</v>
      </c>
      <c r="E1969" t="s">
        <v>29</v>
      </c>
      <c r="F1969" t="s">
        <v>30</v>
      </c>
      <c r="G1969" t="s">
        <v>31</v>
      </c>
      <c r="H1969" t="s">
        <v>32</v>
      </c>
      <c r="I1969">
        <v>3023.0966990000002</v>
      </c>
      <c r="J1969" t="s">
        <v>33</v>
      </c>
      <c r="K1969" t="s">
        <v>2709</v>
      </c>
      <c r="L1969" t="s">
        <v>21</v>
      </c>
      <c r="M1969" t="str">
        <f t="shared" si="90"/>
        <v>OK</v>
      </c>
      <c r="N1969" t="str">
        <f t="shared" si="91"/>
        <v>1980s</v>
      </c>
      <c r="O1969" t="str">
        <f t="shared" si="92"/>
        <v>N/A</v>
      </c>
      <c r="P1969" t="str">
        <f>VLOOKUP(E1969,calculated_fields!$F$4:$G$6,2,FALSE)</f>
        <v>Economy</v>
      </c>
    </row>
    <row r="1970" spans="1:16">
      <c r="A1970" t="s">
        <v>2712</v>
      </c>
      <c r="B1970" t="s">
        <v>2680</v>
      </c>
      <c r="C1970" t="s">
        <v>229</v>
      </c>
      <c r="D1970">
        <v>1992</v>
      </c>
      <c r="E1970" t="s">
        <v>15</v>
      </c>
      <c r="F1970" t="s">
        <v>16</v>
      </c>
      <c r="G1970" t="s">
        <v>17</v>
      </c>
      <c r="H1970" t="s">
        <v>18</v>
      </c>
      <c r="I1970">
        <v>66.399000000000001</v>
      </c>
      <c r="J1970" t="s">
        <v>19</v>
      </c>
      <c r="K1970" t="s">
        <v>2713</v>
      </c>
      <c r="L1970" t="s">
        <v>21</v>
      </c>
      <c r="M1970" t="str">
        <f t="shared" si="90"/>
        <v>OK</v>
      </c>
      <c r="N1970" t="str">
        <f t="shared" si="91"/>
        <v>1990s</v>
      </c>
      <c r="O1970" t="str">
        <f t="shared" si="92"/>
        <v>Medium</v>
      </c>
      <c r="P1970" t="str">
        <f>VLOOKUP(E1970,calculated_fields!$F$4:$G$6,2,FALSE)</f>
        <v>Health</v>
      </c>
    </row>
    <row r="1971" spans="1:16">
      <c r="A1971" t="s">
        <v>2714</v>
      </c>
      <c r="B1971" t="s">
        <v>2680</v>
      </c>
      <c r="C1971" t="s">
        <v>229</v>
      </c>
      <c r="D1971">
        <v>1992</v>
      </c>
      <c r="E1971" t="s">
        <v>23</v>
      </c>
      <c r="F1971" t="s">
        <v>24</v>
      </c>
      <c r="G1971" t="s">
        <v>25</v>
      </c>
      <c r="H1971" t="s">
        <v>26</v>
      </c>
      <c r="I1971">
        <v>5077347</v>
      </c>
      <c r="J1971" t="s">
        <v>27</v>
      </c>
      <c r="K1971" t="s">
        <v>2713</v>
      </c>
      <c r="L1971" t="s">
        <v>21</v>
      </c>
      <c r="M1971" t="str">
        <f t="shared" si="90"/>
        <v>OK</v>
      </c>
      <c r="N1971" t="str">
        <f t="shared" si="91"/>
        <v>1990s</v>
      </c>
      <c r="O1971" t="str">
        <f t="shared" si="92"/>
        <v>N/A</v>
      </c>
      <c r="P1971" t="str">
        <f>VLOOKUP(E1971,calculated_fields!$F$4:$G$6,2,FALSE)</f>
        <v>Demographics</v>
      </c>
    </row>
    <row r="1972" spans="1:16">
      <c r="A1972" t="s">
        <v>2715</v>
      </c>
      <c r="B1972" t="s">
        <v>2680</v>
      </c>
      <c r="C1972" t="s">
        <v>229</v>
      </c>
      <c r="D1972">
        <v>1992</v>
      </c>
      <c r="E1972" t="s">
        <v>29</v>
      </c>
      <c r="F1972" t="s">
        <v>30</v>
      </c>
      <c r="G1972" t="s">
        <v>31</v>
      </c>
      <c r="H1972" t="s">
        <v>32</v>
      </c>
      <c r="I1972">
        <v>3081.6946029999999</v>
      </c>
      <c r="J1972" t="s">
        <v>33</v>
      </c>
      <c r="K1972" t="s">
        <v>2713</v>
      </c>
      <c r="L1972" t="s">
        <v>21</v>
      </c>
      <c r="M1972" t="str">
        <f t="shared" si="90"/>
        <v>OK</v>
      </c>
      <c r="N1972" t="str">
        <f t="shared" si="91"/>
        <v>1990s</v>
      </c>
      <c r="O1972" t="str">
        <f t="shared" si="92"/>
        <v>N/A</v>
      </c>
      <c r="P1972" t="str">
        <f>VLOOKUP(E1972,calculated_fields!$F$4:$G$6,2,FALSE)</f>
        <v>Economy</v>
      </c>
    </row>
    <row r="1973" spans="1:16">
      <c r="A1973" t="s">
        <v>2716</v>
      </c>
      <c r="B1973" t="s">
        <v>2680</v>
      </c>
      <c r="C1973" t="s">
        <v>229</v>
      </c>
      <c r="D1973">
        <v>1997</v>
      </c>
      <c r="E1973" t="s">
        <v>15</v>
      </c>
      <c r="F1973" t="s">
        <v>16</v>
      </c>
      <c r="G1973" t="s">
        <v>17</v>
      </c>
      <c r="H1973" t="s">
        <v>18</v>
      </c>
      <c r="I1973">
        <v>67.658999999999907</v>
      </c>
      <c r="J1973" t="s">
        <v>19</v>
      </c>
      <c r="K1973" t="s">
        <v>2717</v>
      </c>
      <c r="L1973" t="s">
        <v>21</v>
      </c>
      <c r="M1973" t="str">
        <f t="shared" si="90"/>
        <v>OK</v>
      </c>
      <c r="N1973" t="str">
        <f t="shared" si="91"/>
        <v>1990s</v>
      </c>
      <c r="O1973" t="str">
        <f t="shared" si="92"/>
        <v>Medium</v>
      </c>
      <c r="P1973" t="str">
        <f>VLOOKUP(E1973,calculated_fields!$F$4:$G$6,2,FALSE)</f>
        <v>Health</v>
      </c>
    </row>
    <row r="1974" spans="1:16">
      <c r="A1974" t="s">
        <v>2718</v>
      </c>
      <c r="B1974" t="s">
        <v>2680</v>
      </c>
      <c r="C1974" t="s">
        <v>229</v>
      </c>
      <c r="D1974">
        <v>1997</v>
      </c>
      <c r="E1974" t="s">
        <v>23</v>
      </c>
      <c r="F1974" t="s">
        <v>24</v>
      </c>
      <c r="G1974" t="s">
        <v>25</v>
      </c>
      <c r="H1974" t="s">
        <v>26</v>
      </c>
      <c r="I1974">
        <v>5867957</v>
      </c>
      <c r="J1974" t="s">
        <v>27</v>
      </c>
      <c r="K1974" t="s">
        <v>2717</v>
      </c>
      <c r="L1974" t="s">
        <v>21</v>
      </c>
      <c r="M1974" t="str">
        <f t="shared" si="90"/>
        <v>OK</v>
      </c>
      <c r="N1974" t="str">
        <f t="shared" si="91"/>
        <v>1990s</v>
      </c>
      <c r="O1974" t="str">
        <f t="shared" si="92"/>
        <v>N/A</v>
      </c>
      <c r="P1974" t="str">
        <f>VLOOKUP(E1974,calculated_fields!$F$4:$G$6,2,FALSE)</f>
        <v>Demographics</v>
      </c>
    </row>
    <row r="1975" spans="1:16">
      <c r="A1975" t="s">
        <v>2719</v>
      </c>
      <c r="B1975" t="s">
        <v>2680</v>
      </c>
      <c r="C1975" t="s">
        <v>229</v>
      </c>
      <c r="D1975">
        <v>1997</v>
      </c>
      <c r="E1975" t="s">
        <v>29</v>
      </c>
      <c r="F1975" t="s">
        <v>30</v>
      </c>
      <c r="G1975" t="s">
        <v>31</v>
      </c>
      <c r="H1975" t="s">
        <v>32</v>
      </c>
      <c r="I1975">
        <v>3160.4549059999999</v>
      </c>
      <c r="J1975" t="s">
        <v>33</v>
      </c>
      <c r="K1975" t="s">
        <v>2717</v>
      </c>
      <c r="L1975" t="s">
        <v>21</v>
      </c>
      <c r="M1975" t="str">
        <f t="shared" si="90"/>
        <v>OK</v>
      </c>
      <c r="N1975" t="str">
        <f t="shared" si="91"/>
        <v>1990s</v>
      </c>
      <c r="O1975" t="str">
        <f t="shared" si="92"/>
        <v>N/A</v>
      </c>
      <c r="P1975" t="str">
        <f>VLOOKUP(E1975,calculated_fields!$F$4:$G$6,2,FALSE)</f>
        <v>Economy</v>
      </c>
    </row>
    <row r="1976" spans="1:16">
      <c r="A1976" t="s">
        <v>2720</v>
      </c>
      <c r="B1976" t="s">
        <v>2680</v>
      </c>
      <c r="C1976" t="s">
        <v>229</v>
      </c>
      <c r="D1976">
        <v>2002</v>
      </c>
      <c r="E1976" t="s">
        <v>15</v>
      </c>
      <c r="F1976" t="s">
        <v>16</v>
      </c>
      <c r="G1976" t="s">
        <v>17</v>
      </c>
      <c r="H1976" t="s">
        <v>18</v>
      </c>
      <c r="I1976">
        <v>68.564999999999998</v>
      </c>
      <c r="J1976" t="s">
        <v>19</v>
      </c>
      <c r="K1976" t="s">
        <v>2721</v>
      </c>
      <c r="L1976" t="s">
        <v>21</v>
      </c>
      <c r="M1976" t="str">
        <f t="shared" si="90"/>
        <v>OK</v>
      </c>
      <c r="N1976" t="str">
        <f t="shared" si="91"/>
        <v>2000s</v>
      </c>
      <c r="O1976" t="str">
        <f t="shared" si="92"/>
        <v>Medium</v>
      </c>
      <c r="P1976" t="str">
        <f>VLOOKUP(E1976,calculated_fields!$F$4:$G$6,2,FALSE)</f>
        <v>Health</v>
      </c>
    </row>
    <row r="1977" spans="1:16">
      <c r="A1977" t="s">
        <v>2722</v>
      </c>
      <c r="B1977" t="s">
        <v>2680</v>
      </c>
      <c r="C1977" t="s">
        <v>229</v>
      </c>
      <c r="D1977">
        <v>2002</v>
      </c>
      <c r="E1977" t="s">
        <v>23</v>
      </c>
      <c r="F1977" t="s">
        <v>24</v>
      </c>
      <c r="G1977" t="s">
        <v>25</v>
      </c>
      <c r="H1977" t="s">
        <v>26</v>
      </c>
      <c r="I1977">
        <v>6677328</v>
      </c>
      <c r="J1977" t="s">
        <v>27</v>
      </c>
      <c r="K1977" t="s">
        <v>2721</v>
      </c>
      <c r="L1977" t="s">
        <v>21</v>
      </c>
      <c r="M1977" t="str">
        <f t="shared" si="90"/>
        <v>OK</v>
      </c>
      <c r="N1977" t="str">
        <f t="shared" si="91"/>
        <v>2000s</v>
      </c>
      <c r="O1977" t="str">
        <f t="shared" si="92"/>
        <v>N/A</v>
      </c>
      <c r="P1977" t="str">
        <f>VLOOKUP(E1977,calculated_fields!$F$4:$G$6,2,FALSE)</f>
        <v>Demographics</v>
      </c>
    </row>
    <row r="1978" spans="1:16">
      <c r="A1978" t="s">
        <v>2723</v>
      </c>
      <c r="B1978" t="s">
        <v>2680</v>
      </c>
      <c r="C1978" t="s">
        <v>229</v>
      </c>
      <c r="D1978">
        <v>2002</v>
      </c>
      <c r="E1978" t="s">
        <v>29</v>
      </c>
      <c r="F1978" t="s">
        <v>30</v>
      </c>
      <c r="G1978" t="s">
        <v>31</v>
      </c>
      <c r="H1978" t="s">
        <v>32</v>
      </c>
      <c r="I1978">
        <v>3099.7286600000002</v>
      </c>
      <c r="J1978" t="s">
        <v>33</v>
      </c>
      <c r="K1978" t="s">
        <v>2721</v>
      </c>
      <c r="L1978" t="s">
        <v>21</v>
      </c>
      <c r="M1978" t="str">
        <f t="shared" si="90"/>
        <v>OK</v>
      </c>
      <c r="N1978" t="str">
        <f t="shared" si="91"/>
        <v>2000s</v>
      </c>
      <c r="O1978" t="str">
        <f t="shared" si="92"/>
        <v>N/A</v>
      </c>
      <c r="P1978" t="str">
        <f>VLOOKUP(E1978,calculated_fields!$F$4:$G$6,2,FALSE)</f>
        <v>Economy</v>
      </c>
    </row>
    <row r="1979" spans="1:16">
      <c r="A1979" t="s">
        <v>2724</v>
      </c>
      <c r="B1979" t="s">
        <v>2680</v>
      </c>
      <c r="C1979" t="s">
        <v>229</v>
      </c>
      <c r="D1979">
        <v>2007</v>
      </c>
      <c r="E1979" t="s">
        <v>15</v>
      </c>
      <c r="F1979" t="s">
        <v>16</v>
      </c>
      <c r="G1979" t="s">
        <v>17</v>
      </c>
      <c r="H1979" t="s">
        <v>18</v>
      </c>
      <c r="I1979">
        <v>70.197999999999993</v>
      </c>
      <c r="J1979" t="s">
        <v>19</v>
      </c>
      <c r="K1979" t="s">
        <v>2725</v>
      </c>
      <c r="L1979" t="s">
        <v>21</v>
      </c>
      <c r="M1979" t="str">
        <f t="shared" si="90"/>
        <v>OK</v>
      </c>
      <c r="N1979" t="str">
        <f t="shared" si="91"/>
        <v>2000s</v>
      </c>
      <c r="O1979" t="str">
        <f t="shared" si="92"/>
        <v>High</v>
      </c>
      <c r="P1979" t="str">
        <f>VLOOKUP(E1979,calculated_fields!$F$4:$G$6,2,FALSE)</f>
        <v>Health</v>
      </c>
    </row>
    <row r="1980" spans="1:16">
      <c r="A1980" t="s">
        <v>2726</v>
      </c>
      <c r="B1980" t="s">
        <v>2680</v>
      </c>
      <c r="C1980" t="s">
        <v>229</v>
      </c>
      <c r="D1980">
        <v>2007</v>
      </c>
      <c r="E1980" t="s">
        <v>23</v>
      </c>
      <c r="F1980" t="s">
        <v>24</v>
      </c>
      <c r="G1980" t="s">
        <v>25</v>
      </c>
      <c r="H1980" t="s">
        <v>26</v>
      </c>
      <c r="I1980">
        <v>7483763</v>
      </c>
      <c r="J1980" t="s">
        <v>27</v>
      </c>
      <c r="K1980" t="s">
        <v>2725</v>
      </c>
      <c r="L1980" t="s">
        <v>21</v>
      </c>
      <c r="M1980" t="str">
        <f t="shared" si="90"/>
        <v>OK</v>
      </c>
      <c r="N1980" t="str">
        <f t="shared" si="91"/>
        <v>2000s</v>
      </c>
      <c r="O1980" t="str">
        <f t="shared" si="92"/>
        <v>N/A</v>
      </c>
      <c r="P1980" t="str">
        <f>VLOOKUP(E1980,calculated_fields!$F$4:$G$6,2,FALSE)</f>
        <v>Demographics</v>
      </c>
    </row>
    <row r="1981" spans="1:16">
      <c r="A1981" t="s">
        <v>2727</v>
      </c>
      <c r="B1981" t="s">
        <v>2680</v>
      </c>
      <c r="C1981" t="s">
        <v>229</v>
      </c>
      <c r="D1981">
        <v>2007</v>
      </c>
      <c r="E1981" t="s">
        <v>29</v>
      </c>
      <c r="F1981" t="s">
        <v>30</v>
      </c>
      <c r="G1981" t="s">
        <v>31</v>
      </c>
      <c r="H1981" t="s">
        <v>32</v>
      </c>
      <c r="I1981">
        <v>3548.3308459999998</v>
      </c>
      <c r="J1981" t="s">
        <v>33</v>
      </c>
      <c r="K1981" t="s">
        <v>2725</v>
      </c>
      <c r="L1981" t="s">
        <v>21</v>
      </c>
      <c r="M1981" t="str">
        <f t="shared" si="90"/>
        <v>OK</v>
      </c>
      <c r="N1981" t="str">
        <f t="shared" si="91"/>
        <v>2000s</v>
      </c>
      <c r="O1981" t="str">
        <f t="shared" si="92"/>
        <v>N/A</v>
      </c>
      <c r="P1981" t="str">
        <f>VLOOKUP(E1981,calculated_fields!$F$4:$G$6,2,FALSE)</f>
        <v>Economy</v>
      </c>
    </row>
    <row r="1982" spans="1:16">
      <c r="A1982" t="s">
        <v>2728</v>
      </c>
      <c r="B1982" t="s">
        <v>2729</v>
      </c>
      <c r="C1982" t="s">
        <v>14</v>
      </c>
      <c r="D1982">
        <v>1952</v>
      </c>
      <c r="E1982" t="s">
        <v>15</v>
      </c>
      <c r="F1982" t="s">
        <v>16</v>
      </c>
      <c r="G1982" t="s">
        <v>17</v>
      </c>
      <c r="H1982" t="s">
        <v>18</v>
      </c>
      <c r="I1982">
        <v>60.96</v>
      </c>
      <c r="J1982" t="s">
        <v>19</v>
      </c>
      <c r="K1982" t="s">
        <v>2730</v>
      </c>
      <c r="L1982" t="s">
        <v>21</v>
      </c>
      <c r="M1982" t="str">
        <f t="shared" si="90"/>
        <v>OK</v>
      </c>
      <c r="N1982" t="str">
        <f t="shared" si="91"/>
        <v>1950s</v>
      </c>
      <c r="O1982" t="str">
        <f t="shared" si="92"/>
        <v>Medium</v>
      </c>
      <c r="P1982" t="str">
        <f>VLOOKUP(E1982,calculated_fields!$F$4:$G$6,2,FALSE)</f>
        <v>Health</v>
      </c>
    </row>
    <row r="1983" spans="1:16">
      <c r="A1983" t="s">
        <v>2731</v>
      </c>
      <c r="B1983" t="s">
        <v>2729</v>
      </c>
      <c r="C1983" t="s">
        <v>14</v>
      </c>
      <c r="D1983">
        <v>1952</v>
      </c>
      <c r="E1983" t="s">
        <v>23</v>
      </c>
      <c r="F1983" t="s">
        <v>24</v>
      </c>
      <c r="G1983" t="s">
        <v>25</v>
      </c>
      <c r="H1983" t="s">
        <v>26</v>
      </c>
      <c r="I1983">
        <v>2125900</v>
      </c>
      <c r="J1983" t="s">
        <v>27</v>
      </c>
      <c r="K1983" t="s">
        <v>2730</v>
      </c>
      <c r="L1983" t="s">
        <v>21</v>
      </c>
      <c r="M1983" t="str">
        <f t="shared" si="90"/>
        <v>OK</v>
      </c>
      <c r="N1983" t="str">
        <f t="shared" si="91"/>
        <v>1950s</v>
      </c>
      <c r="O1983" t="str">
        <f t="shared" si="92"/>
        <v>N/A</v>
      </c>
      <c r="P1983" t="str">
        <f>VLOOKUP(E1983,calculated_fields!$F$4:$G$6,2,FALSE)</f>
        <v>Demographics</v>
      </c>
    </row>
    <row r="1984" spans="1:16">
      <c r="A1984" t="s">
        <v>2732</v>
      </c>
      <c r="B1984" t="s">
        <v>2729</v>
      </c>
      <c r="C1984" t="s">
        <v>14</v>
      </c>
      <c r="D1984">
        <v>1952</v>
      </c>
      <c r="E1984" t="s">
        <v>29</v>
      </c>
      <c r="F1984" t="s">
        <v>30</v>
      </c>
      <c r="G1984" t="s">
        <v>31</v>
      </c>
      <c r="H1984" t="s">
        <v>32</v>
      </c>
      <c r="I1984">
        <v>3054.4212090000001</v>
      </c>
      <c r="J1984" t="s">
        <v>33</v>
      </c>
      <c r="K1984" t="s">
        <v>2730</v>
      </c>
      <c r="L1984" t="s">
        <v>21</v>
      </c>
      <c r="M1984" t="str">
        <f t="shared" si="90"/>
        <v>OK</v>
      </c>
      <c r="N1984" t="str">
        <f t="shared" si="91"/>
        <v>1950s</v>
      </c>
      <c r="O1984" t="str">
        <f t="shared" si="92"/>
        <v>N/A</v>
      </c>
      <c r="P1984" t="str">
        <f>VLOOKUP(E1984,calculated_fields!$F$4:$G$6,2,FALSE)</f>
        <v>Economy</v>
      </c>
    </row>
    <row r="1985" spans="1:16">
      <c r="A1985" t="s">
        <v>2733</v>
      </c>
      <c r="B1985" t="s">
        <v>2729</v>
      </c>
      <c r="C1985" t="s">
        <v>14</v>
      </c>
      <c r="D1985">
        <v>1957</v>
      </c>
      <c r="E1985" t="s">
        <v>15</v>
      </c>
      <c r="F1985" t="s">
        <v>16</v>
      </c>
      <c r="G1985" t="s">
        <v>17</v>
      </c>
      <c r="H1985" t="s">
        <v>18</v>
      </c>
      <c r="I1985">
        <v>64.75</v>
      </c>
      <c r="J1985" t="s">
        <v>19</v>
      </c>
      <c r="K1985" t="s">
        <v>2734</v>
      </c>
      <c r="L1985" t="s">
        <v>21</v>
      </c>
      <c r="M1985" t="str">
        <f t="shared" si="90"/>
        <v>OK</v>
      </c>
      <c r="N1985" t="str">
        <f t="shared" si="91"/>
        <v>1950s</v>
      </c>
      <c r="O1985" t="str">
        <f t="shared" si="92"/>
        <v>Medium</v>
      </c>
      <c r="P1985" t="str">
        <f>VLOOKUP(E1985,calculated_fields!$F$4:$G$6,2,FALSE)</f>
        <v>Health</v>
      </c>
    </row>
    <row r="1986" spans="1:16">
      <c r="A1986" t="s">
        <v>2735</v>
      </c>
      <c r="B1986" t="s">
        <v>2729</v>
      </c>
      <c r="C1986" t="s">
        <v>14</v>
      </c>
      <c r="D1986">
        <v>1957</v>
      </c>
      <c r="E1986" t="s">
        <v>23</v>
      </c>
      <c r="F1986" t="s">
        <v>24</v>
      </c>
      <c r="G1986" t="s">
        <v>25</v>
      </c>
      <c r="H1986" t="s">
        <v>26</v>
      </c>
      <c r="I1986">
        <v>2736300</v>
      </c>
      <c r="J1986" t="s">
        <v>27</v>
      </c>
      <c r="K1986" t="s">
        <v>2734</v>
      </c>
      <c r="L1986" t="s">
        <v>21</v>
      </c>
      <c r="M1986" t="str">
        <f t="shared" ref="M1986:M2049" si="93">IF(AND(ISNUMBER(I1986),I1986&gt;=0),"OK","Review")</f>
        <v>OK</v>
      </c>
      <c r="N1986" t="str">
        <f t="shared" ref="N1986:N2049" si="94">FLOOR(D1986,10)&amp;"s"</f>
        <v>1950s</v>
      </c>
      <c r="O1986" t="str">
        <f t="shared" ref="O1986:O2049" si="95">IF(E1986="LIFE_EXP",IF(I1986&gt;=70,"High",IF(I1986&gt;=55,"Medium","Low")),"N/A")</f>
        <v>N/A</v>
      </c>
      <c r="P1986" t="str">
        <f>VLOOKUP(E1986,calculated_fields!$F$4:$G$6,2,FALSE)</f>
        <v>Demographics</v>
      </c>
    </row>
    <row r="1987" spans="1:16">
      <c r="A1987" t="s">
        <v>2736</v>
      </c>
      <c r="B1987" t="s">
        <v>2729</v>
      </c>
      <c r="C1987" t="s">
        <v>14</v>
      </c>
      <c r="D1987">
        <v>1957</v>
      </c>
      <c r="E1987" t="s">
        <v>29</v>
      </c>
      <c r="F1987" t="s">
        <v>30</v>
      </c>
      <c r="G1987" t="s">
        <v>31</v>
      </c>
      <c r="H1987" t="s">
        <v>32</v>
      </c>
      <c r="I1987">
        <v>3629.0764570000001</v>
      </c>
      <c r="J1987" t="s">
        <v>33</v>
      </c>
      <c r="K1987" t="s">
        <v>2734</v>
      </c>
      <c r="L1987" t="s">
        <v>21</v>
      </c>
      <c r="M1987" t="str">
        <f t="shared" si="93"/>
        <v>OK</v>
      </c>
      <c r="N1987" t="str">
        <f t="shared" si="94"/>
        <v>1950s</v>
      </c>
      <c r="O1987" t="str">
        <f t="shared" si="95"/>
        <v>N/A</v>
      </c>
      <c r="P1987" t="str">
        <f>VLOOKUP(E1987,calculated_fields!$F$4:$G$6,2,FALSE)</f>
        <v>Economy</v>
      </c>
    </row>
    <row r="1988" spans="1:16">
      <c r="A1988" t="s">
        <v>2737</v>
      </c>
      <c r="B1988" t="s">
        <v>2729</v>
      </c>
      <c r="C1988" t="s">
        <v>14</v>
      </c>
      <c r="D1988">
        <v>1962</v>
      </c>
      <c r="E1988" t="s">
        <v>15</v>
      </c>
      <c r="F1988" t="s">
        <v>16</v>
      </c>
      <c r="G1988" t="s">
        <v>17</v>
      </c>
      <c r="H1988" t="s">
        <v>18</v>
      </c>
      <c r="I1988">
        <v>67.650000000000006</v>
      </c>
      <c r="J1988" t="s">
        <v>19</v>
      </c>
      <c r="K1988" t="s">
        <v>2738</v>
      </c>
      <c r="L1988" t="s">
        <v>21</v>
      </c>
      <c r="M1988" t="str">
        <f t="shared" si="93"/>
        <v>OK</v>
      </c>
      <c r="N1988" t="str">
        <f t="shared" si="94"/>
        <v>1960s</v>
      </c>
      <c r="O1988" t="str">
        <f t="shared" si="95"/>
        <v>Medium</v>
      </c>
      <c r="P1988" t="str">
        <f>VLOOKUP(E1988,calculated_fields!$F$4:$G$6,2,FALSE)</f>
        <v>Health</v>
      </c>
    </row>
    <row r="1989" spans="1:16">
      <c r="A1989" t="s">
        <v>2739</v>
      </c>
      <c r="B1989" t="s">
        <v>2729</v>
      </c>
      <c r="C1989" t="s">
        <v>14</v>
      </c>
      <c r="D1989">
        <v>1962</v>
      </c>
      <c r="E1989" t="s">
        <v>23</v>
      </c>
      <c r="F1989" t="s">
        <v>24</v>
      </c>
      <c r="G1989" t="s">
        <v>25</v>
      </c>
      <c r="H1989" t="s">
        <v>26</v>
      </c>
      <c r="I1989">
        <v>3305200</v>
      </c>
      <c r="J1989" t="s">
        <v>27</v>
      </c>
      <c r="K1989" t="s">
        <v>2738</v>
      </c>
      <c r="L1989" t="s">
        <v>21</v>
      </c>
      <c r="M1989" t="str">
        <f t="shared" si="93"/>
        <v>OK</v>
      </c>
      <c r="N1989" t="str">
        <f t="shared" si="94"/>
        <v>1960s</v>
      </c>
      <c r="O1989" t="str">
        <f t="shared" si="95"/>
        <v>N/A</v>
      </c>
      <c r="P1989" t="str">
        <f>VLOOKUP(E1989,calculated_fields!$F$4:$G$6,2,FALSE)</f>
        <v>Demographics</v>
      </c>
    </row>
    <row r="1990" spans="1:16">
      <c r="A1990" t="s">
        <v>2740</v>
      </c>
      <c r="B1990" t="s">
        <v>2729</v>
      </c>
      <c r="C1990" t="s">
        <v>14</v>
      </c>
      <c r="D1990">
        <v>1962</v>
      </c>
      <c r="E1990" t="s">
        <v>29</v>
      </c>
      <c r="F1990" t="s">
        <v>30</v>
      </c>
      <c r="G1990" t="s">
        <v>31</v>
      </c>
      <c r="H1990" t="s">
        <v>32</v>
      </c>
      <c r="I1990">
        <v>4692.6482719999904</v>
      </c>
      <c r="J1990" t="s">
        <v>33</v>
      </c>
      <c r="K1990" t="s">
        <v>2738</v>
      </c>
      <c r="L1990" t="s">
        <v>21</v>
      </c>
      <c r="M1990" t="str">
        <f t="shared" si="93"/>
        <v>OK</v>
      </c>
      <c r="N1990" t="str">
        <f t="shared" si="94"/>
        <v>1960s</v>
      </c>
      <c r="O1990" t="str">
        <f t="shared" si="95"/>
        <v>N/A</v>
      </c>
      <c r="P1990" t="str">
        <f>VLOOKUP(E1990,calculated_fields!$F$4:$G$6,2,FALSE)</f>
        <v>Economy</v>
      </c>
    </row>
    <row r="1991" spans="1:16">
      <c r="A1991" t="s">
        <v>2741</v>
      </c>
      <c r="B1991" t="s">
        <v>2729</v>
      </c>
      <c r="C1991" t="s">
        <v>14</v>
      </c>
      <c r="D1991">
        <v>1967</v>
      </c>
      <c r="E1991" t="s">
        <v>15</v>
      </c>
      <c r="F1991" t="s">
        <v>16</v>
      </c>
      <c r="G1991" t="s">
        <v>17</v>
      </c>
      <c r="H1991" t="s">
        <v>18</v>
      </c>
      <c r="I1991">
        <v>70</v>
      </c>
      <c r="J1991" t="s">
        <v>19</v>
      </c>
      <c r="K1991" t="s">
        <v>2742</v>
      </c>
      <c r="L1991" t="s">
        <v>21</v>
      </c>
      <c r="M1991" t="str">
        <f t="shared" si="93"/>
        <v>OK</v>
      </c>
      <c r="N1991" t="str">
        <f t="shared" si="94"/>
        <v>1960s</v>
      </c>
      <c r="O1991" t="str">
        <f t="shared" si="95"/>
        <v>High</v>
      </c>
      <c r="P1991" t="str">
        <f>VLOOKUP(E1991,calculated_fields!$F$4:$G$6,2,FALSE)</f>
        <v>Health</v>
      </c>
    </row>
    <row r="1992" spans="1:16">
      <c r="A1992" t="s">
        <v>2743</v>
      </c>
      <c r="B1992" t="s">
        <v>2729</v>
      </c>
      <c r="C1992" t="s">
        <v>14</v>
      </c>
      <c r="D1992">
        <v>1967</v>
      </c>
      <c r="E1992" t="s">
        <v>23</v>
      </c>
      <c r="F1992" t="s">
        <v>24</v>
      </c>
      <c r="G1992" t="s">
        <v>25</v>
      </c>
      <c r="H1992" t="s">
        <v>26</v>
      </c>
      <c r="I1992">
        <v>3722800</v>
      </c>
      <c r="J1992" t="s">
        <v>27</v>
      </c>
      <c r="K1992" t="s">
        <v>2742</v>
      </c>
      <c r="L1992" t="s">
        <v>21</v>
      </c>
      <c r="M1992" t="str">
        <f t="shared" si="93"/>
        <v>OK</v>
      </c>
      <c r="N1992" t="str">
        <f t="shared" si="94"/>
        <v>1960s</v>
      </c>
      <c r="O1992" t="str">
        <f t="shared" si="95"/>
        <v>N/A</v>
      </c>
      <c r="P1992" t="str">
        <f>VLOOKUP(E1992,calculated_fields!$F$4:$G$6,2,FALSE)</f>
        <v>Demographics</v>
      </c>
    </row>
    <row r="1993" spans="1:16">
      <c r="A1993" t="s">
        <v>2744</v>
      </c>
      <c r="B1993" t="s">
        <v>2729</v>
      </c>
      <c r="C1993" t="s">
        <v>14</v>
      </c>
      <c r="D1993">
        <v>1967</v>
      </c>
      <c r="E1993" t="s">
        <v>29</v>
      </c>
      <c r="F1993" t="s">
        <v>30</v>
      </c>
      <c r="G1993" t="s">
        <v>31</v>
      </c>
      <c r="H1993" t="s">
        <v>32</v>
      </c>
      <c r="I1993">
        <v>6197.9628140000004</v>
      </c>
      <c r="J1993" t="s">
        <v>33</v>
      </c>
      <c r="K1993" t="s">
        <v>2742</v>
      </c>
      <c r="L1993" t="s">
        <v>21</v>
      </c>
      <c r="M1993" t="str">
        <f t="shared" si="93"/>
        <v>OK</v>
      </c>
      <c r="N1993" t="str">
        <f t="shared" si="94"/>
        <v>1960s</v>
      </c>
      <c r="O1993" t="str">
        <f t="shared" si="95"/>
        <v>N/A</v>
      </c>
      <c r="P1993" t="str">
        <f>VLOOKUP(E1993,calculated_fields!$F$4:$G$6,2,FALSE)</f>
        <v>Economy</v>
      </c>
    </row>
    <row r="1994" spans="1:16">
      <c r="A1994" t="s">
        <v>2745</v>
      </c>
      <c r="B1994" t="s">
        <v>2729</v>
      </c>
      <c r="C1994" t="s">
        <v>14</v>
      </c>
      <c r="D1994">
        <v>1972</v>
      </c>
      <c r="E1994" t="s">
        <v>15</v>
      </c>
      <c r="F1994" t="s">
        <v>16</v>
      </c>
      <c r="G1994" t="s">
        <v>17</v>
      </c>
      <c r="H1994" t="s">
        <v>18</v>
      </c>
      <c r="I1994">
        <v>72</v>
      </c>
      <c r="J1994" t="s">
        <v>19</v>
      </c>
      <c r="K1994" t="s">
        <v>2746</v>
      </c>
      <c r="L1994" t="s">
        <v>21</v>
      </c>
      <c r="M1994" t="str">
        <f t="shared" si="93"/>
        <v>OK</v>
      </c>
      <c r="N1994" t="str">
        <f t="shared" si="94"/>
        <v>1970s</v>
      </c>
      <c r="O1994" t="str">
        <f t="shared" si="95"/>
        <v>High</v>
      </c>
      <c r="P1994" t="str">
        <f>VLOOKUP(E1994,calculated_fields!$F$4:$G$6,2,FALSE)</f>
        <v>Health</v>
      </c>
    </row>
    <row r="1995" spans="1:16">
      <c r="A1995" t="s">
        <v>2747</v>
      </c>
      <c r="B1995" t="s">
        <v>2729</v>
      </c>
      <c r="C1995" t="s">
        <v>14</v>
      </c>
      <c r="D1995">
        <v>1972</v>
      </c>
      <c r="E1995" t="s">
        <v>23</v>
      </c>
      <c r="F1995" t="s">
        <v>24</v>
      </c>
      <c r="G1995" t="s">
        <v>25</v>
      </c>
      <c r="H1995" t="s">
        <v>26</v>
      </c>
      <c r="I1995">
        <v>4115700</v>
      </c>
      <c r="J1995" t="s">
        <v>27</v>
      </c>
      <c r="K1995" t="s">
        <v>2746</v>
      </c>
      <c r="L1995" t="s">
        <v>21</v>
      </c>
      <c r="M1995" t="str">
        <f t="shared" si="93"/>
        <v>OK</v>
      </c>
      <c r="N1995" t="str">
        <f t="shared" si="94"/>
        <v>1970s</v>
      </c>
      <c r="O1995" t="str">
        <f t="shared" si="95"/>
        <v>N/A</v>
      </c>
      <c r="P1995" t="str">
        <f>VLOOKUP(E1995,calculated_fields!$F$4:$G$6,2,FALSE)</f>
        <v>Demographics</v>
      </c>
    </row>
    <row r="1996" spans="1:16">
      <c r="A1996" t="s">
        <v>2748</v>
      </c>
      <c r="B1996" t="s">
        <v>2729</v>
      </c>
      <c r="C1996" t="s">
        <v>14</v>
      </c>
      <c r="D1996">
        <v>1972</v>
      </c>
      <c r="E1996" t="s">
        <v>29</v>
      </c>
      <c r="F1996" t="s">
        <v>30</v>
      </c>
      <c r="G1996" t="s">
        <v>31</v>
      </c>
      <c r="H1996" t="s">
        <v>32</v>
      </c>
      <c r="I1996">
        <v>8315.9281449999999</v>
      </c>
      <c r="J1996" t="s">
        <v>33</v>
      </c>
      <c r="K1996" t="s">
        <v>2746</v>
      </c>
      <c r="L1996" t="s">
        <v>21</v>
      </c>
      <c r="M1996" t="str">
        <f t="shared" si="93"/>
        <v>OK</v>
      </c>
      <c r="N1996" t="str">
        <f t="shared" si="94"/>
        <v>1970s</v>
      </c>
      <c r="O1996" t="str">
        <f t="shared" si="95"/>
        <v>N/A</v>
      </c>
      <c r="P1996" t="str">
        <f>VLOOKUP(E1996,calculated_fields!$F$4:$G$6,2,FALSE)</f>
        <v>Economy</v>
      </c>
    </row>
    <row r="1997" spans="1:16">
      <c r="A1997" t="s">
        <v>2749</v>
      </c>
      <c r="B1997" t="s">
        <v>2729</v>
      </c>
      <c r="C1997" t="s">
        <v>14</v>
      </c>
      <c r="D1997">
        <v>1977</v>
      </c>
      <c r="E1997" t="s">
        <v>15</v>
      </c>
      <c r="F1997" t="s">
        <v>16</v>
      </c>
      <c r="G1997" t="s">
        <v>17</v>
      </c>
      <c r="H1997" t="s">
        <v>18</v>
      </c>
      <c r="I1997">
        <v>73.599999999999994</v>
      </c>
      <c r="J1997" t="s">
        <v>19</v>
      </c>
      <c r="K1997" t="s">
        <v>2750</v>
      </c>
      <c r="L1997" t="s">
        <v>21</v>
      </c>
      <c r="M1997" t="str">
        <f t="shared" si="93"/>
        <v>OK</v>
      </c>
      <c r="N1997" t="str">
        <f t="shared" si="94"/>
        <v>1970s</v>
      </c>
      <c r="O1997" t="str">
        <f t="shared" si="95"/>
        <v>High</v>
      </c>
      <c r="P1997" t="str">
        <f>VLOOKUP(E1997,calculated_fields!$F$4:$G$6,2,FALSE)</f>
        <v>Health</v>
      </c>
    </row>
    <row r="1998" spans="1:16">
      <c r="A1998" t="s">
        <v>2751</v>
      </c>
      <c r="B1998" t="s">
        <v>2729</v>
      </c>
      <c r="C1998" t="s">
        <v>14</v>
      </c>
      <c r="D1998">
        <v>1977</v>
      </c>
      <c r="E1998" t="s">
        <v>23</v>
      </c>
      <c r="F1998" t="s">
        <v>24</v>
      </c>
      <c r="G1998" t="s">
        <v>25</v>
      </c>
      <c r="H1998" t="s">
        <v>26</v>
      </c>
      <c r="I1998">
        <v>4583700</v>
      </c>
      <c r="J1998" t="s">
        <v>27</v>
      </c>
      <c r="K1998" t="s">
        <v>2750</v>
      </c>
      <c r="L1998" t="s">
        <v>21</v>
      </c>
      <c r="M1998" t="str">
        <f t="shared" si="93"/>
        <v>OK</v>
      </c>
      <c r="N1998" t="str">
        <f t="shared" si="94"/>
        <v>1970s</v>
      </c>
      <c r="O1998" t="str">
        <f t="shared" si="95"/>
        <v>N/A</v>
      </c>
      <c r="P1998" t="str">
        <f>VLOOKUP(E1998,calculated_fields!$F$4:$G$6,2,FALSE)</f>
        <v>Demographics</v>
      </c>
    </row>
    <row r="1999" spans="1:16">
      <c r="A1999" t="s">
        <v>2752</v>
      </c>
      <c r="B1999" t="s">
        <v>2729</v>
      </c>
      <c r="C1999" t="s">
        <v>14</v>
      </c>
      <c r="D1999">
        <v>1977</v>
      </c>
      <c r="E1999" t="s">
        <v>29</v>
      </c>
      <c r="F1999" t="s">
        <v>30</v>
      </c>
      <c r="G1999" t="s">
        <v>31</v>
      </c>
      <c r="H1999" t="s">
        <v>32</v>
      </c>
      <c r="I1999">
        <v>11186.141250000001</v>
      </c>
      <c r="J1999" t="s">
        <v>33</v>
      </c>
      <c r="K1999" t="s">
        <v>2750</v>
      </c>
      <c r="L1999" t="s">
        <v>21</v>
      </c>
      <c r="M1999" t="str">
        <f t="shared" si="93"/>
        <v>OK</v>
      </c>
      <c r="N1999" t="str">
        <f t="shared" si="94"/>
        <v>1970s</v>
      </c>
      <c r="O1999" t="str">
        <f t="shared" si="95"/>
        <v>N/A</v>
      </c>
      <c r="P1999" t="str">
        <f>VLOOKUP(E1999,calculated_fields!$F$4:$G$6,2,FALSE)</f>
        <v>Economy</v>
      </c>
    </row>
    <row r="2000" spans="1:16">
      <c r="A2000" t="s">
        <v>2753</v>
      </c>
      <c r="B2000" t="s">
        <v>2729</v>
      </c>
      <c r="C2000" t="s">
        <v>14</v>
      </c>
      <c r="D2000">
        <v>1982</v>
      </c>
      <c r="E2000" t="s">
        <v>15</v>
      </c>
      <c r="F2000" t="s">
        <v>16</v>
      </c>
      <c r="G2000" t="s">
        <v>17</v>
      </c>
      <c r="H2000" t="s">
        <v>18</v>
      </c>
      <c r="I2000">
        <v>75.45</v>
      </c>
      <c r="J2000" t="s">
        <v>19</v>
      </c>
      <c r="K2000" t="s">
        <v>2754</v>
      </c>
      <c r="L2000" t="s">
        <v>21</v>
      </c>
      <c r="M2000" t="str">
        <f t="shared" si="93"/>
        <v>OK</v>
      </c>
      <c r="N2000" t="str">
        <f t="shared" si="94"/>
        <v>1980s</v>
      </c>
      <c r="O2000" t="str">
        <f t="shared" si="95"/>
        <v>High</v>
      </c>
      <c r="P2000" t="str">
        <f>VLOOKUP(E2000,calculated_fields!$F$4:$G$6,2,FALSE)</f>
        <v>Health</v>
      </c>
    </row>
    <row r="2001" spans="1:16">
      <c r="A2001" t="s">
        <v>2755</v>
      </c>
      <c r="B2001" t="s">
        <v>2729</v>
      </c>
      <c r="C2001" t="s">
        <v>14</v>
      </c>
      <c r="D2001">
        <v>1982</v>
      </c>
      <c r="E2001" t="s">
        <v>23</v>
      </c>
      <c r="F2001" t="s">
        <v>24</v>
      </c>
      <c r="G2001" t="s">
        <v>25</v>
      </c>
      <c r="H2001" t="s">
        <v>26</v>
      </c>
      <c r="I2001">
        <v>5264500</v>
      </c>
      <c r="J2001" t="s">
        <v>27</v>
      </c>
      <c r="K2001" t="s">
        <v>2754</v>
      </c>
      <c r="L2001" t="s">
        <v>21</v>
      </c>
      <c r="M2001" t="str">
        <f t="shared" si="93"/>
        <v>OK</v>
      </c>
      <c r="N2001" t="str">
        <f t="shared" si="94"/>
        <v>1980s</v>
      </c>
      <c r="O2001" t="str">
        <f t="shared" si="95"/>
        <v>N/A</v>
      </c>
      <c r="P2001" t="str">
        <f>VLOOKUP(E2001,calculated_fields!$F$4:$G$6,2,FALSE)</f>
        <v>Demographics</v>
      </c>
    </row>
    <row r="2002" spans="1:16">
      <c r="A2002" t="s">
        <v>2756</v>
      </c>
      <c r="B2002" t="s">
        <v>2729</v>
      </c>
      <c r="C2002" t="s">
        <v>14</v>
      </c>
      <c r="D2002">
        <v>1982</v>
      </c>
      <c r="E2002" t="s">
        <v>29</v>
      </c>
      <c r="F2002" t="s">
        <v>30</v>
      </c>
      <c r="G2002" t="s">
        <v>31</v>
      </c>
      <c r="H2002" t="s">
        <v>32</v>
      </c>
      <c r="I2002">
        <v>14560.530510000001</v>
      </c>
      <c r="J2002" t="s">
        <v>33</v>
      </c>
      <c r="K2002" t="s">
        <v>2754</v>
      </c>
      <c r="L2002" t="s">
        <v>21</v>
      </c>
      <c r="M2002" t="str">
        <f t="shared" si="93"/>
        <v>OK</v>
      </c>
      <c r="N2002" t="str">
        <f t="shared" si="94"/>
        <v>1980s</v>
      </c>
      <c r="O2002" t="str">
        <f t="shared" si="95"/>
        <v>N/A</v>
      </c>
      <c r="P2002" t="str">
        <f>VLOOKUP(E2002,calculated_fields!$F$4:$G$6,2,FALSE)</f>
        <v>Economy</v>
      </c>
    </row>
    <row r="2003" spans="1:16">
      <c r="A2003" t="s">
        <v>2757</v>
      </c>
      <c r="B2003" t="s">
        <v>2729</v>
      </c>
      <c r="C2003" t="s">
        <v>14</v>
      </c>
      <c r="D2003">
        <v>1987</v>
      </c>
      <c r="E2003" t="s">
        <v>15</v>
      </c>
      <c r="F2003" t="s">
        <v>16</v>
      </c>
      <c r="G2003" t="s">
        <v>17</v>
      </c>
      <c r="H2003" t="s">
        <v>18</v>
      </c>
      <c r="I2003">
        <v>76.2</v>
      </c>
      <c r="J2003" t="s">
        <v>19</v>
      </c>
      <c r="K2003" t="s">
        <v>2758</v>
      </c>
      <c r="L2003" t="s">
        <v>21</v>
      </c>
      <c r="M2003" t="str">
        <f t="shared" si="93"/>
        <v>OK</v>
      </c>
      <c r="N2003" t="str">
        <f t="shared" si="94"/>
        <v>1980s</v>
      </c>
      <c r="O2003" t="str">
        <f t="shared" si="95"/>
        <v>High</v>
      </c>
      <c r="P2003" t="str">
        <f>VLOOKUP(E2003,calculated_fields!$F$4:$G$6,2,FALSE)</f>
        <v>Health</v>
      </c>
    </row>
    <row r="2004" spans="1:16">
      <c r="A2004" t="s">
        <v>2759</v>
      </c>
      <c r="B2004" t="s">
        <v>2729</v>
      </c>
      <c r="C2004" t="s">
        <v>14</v>
      </c>
      <c r="D2004">
        <v>1987</v>
      </c>
      <c r="E2004" t="s">
        <v>23</v>
      </c>
      <c r="F2004" t="s">
        <v>24</v>
      </c>
      <c r="G2004" t="s">
        <v>25</v>
      </c>
      <c r="H2004" t="s">
        <v>26</v>
      </c>
      <c r="I2004">
        <v>5584510</v>
      </c>
      <c r="J2004" t="s">
        <v>27</v>
      </c>
      <c r="K2004" t="s">
        <v>2758</v>
      </c>
      <c r="L2004" t="s">
        <v>21</v>
      </c>
      <c r="M2004" t="str">
        <f t="shared" si="93"/>
        <v>OK</v>
      </c>
      <c r="N2004" t="str">
        <f t="shared" si="94"/>
        <v>1980s</v>
      </c>
      <c r="O2004" t="str">
        <f t="shared" si="95"/>
        <v>N/A</v>
      </c>
      <c r="P2004" t="str">
        <f>VLOOKUP(E2004,calculated_fields!$F$4:$G$6,2,FALSE)</f>
        <v>Demographics</v>
      </c>
    </row>
    <row r="2005" spans="1:16">
      <c r="A2005" t="s">
        <v>2760</v>
      </c>
      <c r="B2005" t="s">
        <v>2729</v>
      </c>
      <c r="C2005" t="s">
        <v>14</v>
      </c>
      <c r="D2005">
        <v>1987</v>
      </c>
      <c r="E2005" t="s">
        <v>29</v>
      </c>
      <c r="F2005" t="s">
        <v>30</v>
      </c>
      <c r="G2005" t="s">
        <v>31</v>
      </c>
      <c r="H2005" t="s">
        <v>32</v>
      </c>
      <c r="I2005">
        <v>20038.472689999999</v>
      </c>
      <c r="J2005" t="s">
        <v>33</v>
      </c>
      <c r="K2005" t="s">
        <v>2758</v>
      </c>
      <c r="L2005" t="s">
        <v>21</v>
      </c>
      <c r="M2005" t="str">
        <f t="shared" si="93"/>
        <v>OK</v>
      </c>
      <c r="N2005" t="str">
        <f t="shared" si="94"/>
        <v>1980s</v>
      </c>
      <c r="O2005" t="str">
        <f t="shared" si="95"/>
        <v>N/A</v>
      </c>
      <c r="P2005" t="str">
        <f>VLOOKUP(E2005,calculated_fields!$F$4:$G$6,2,FALSE)</f>
        <v>Economy</v>
      </c>
    </row>
    <row r="2006" spans="1:16">
      <c r="A2006" t="s">
        <v>2761</v>
      </c>
      <c r="B2006" t="s">
        <v>2729</v>
      </c>
      <c r="C2006" t="s">
        <v>14</v>
      </c>
      <c r="D2006">
        <v>1992</v>
      </c>
      <c r="E2006" t="s">
        <v>15</v>
      </c>
      <c r="F2006" t="s">
        <v>16</v>
      </c>
      <c r="G2006" t="s">
        <v>17</v>
      </c>
      <c r="H2006" t="s">
        <v>18</v>
      </c>
      <c r="I2006">
        <v>77.600999999999999</v>
      </c>
      <c r="J2006" t="s">
        <v>19</v>
      </c>
      <c r="K2006" t="s">
        <v>2762</v>
      </c>
      <c r="L2006" t="s">
        <v>21</v>
      </c>
      <c r="M2006" t="str">
        <f t="shared" si="93"/>
        <v>OK</v>
      </c>
      <c r="N2006" t="str">
        <f t="shared" si="94"/>
        <v>1990s</v>
      </c>
      <c r="O2006" t="str">
        <f t="shared" si="95"/>
        <v>High</v>
      </c>
      <c r="P2006" t="str">
        <f>VLOOKUP(E2006,calculated_fields!$F$4:$G$6,2,FALSE)</f>
        <v>Health</v>
      </c>
    </row>
    <row r="2007" spans="1:16">
      <c r="A2007" t="s">
        <v>2763</v>
      </c>
      <c r="B2007" t="s">
        <v>2729</v>
      </c>
      <c r="C2007" t="s">
        <v>14</v>
      </c>
      <c r="D2007">
        <v>1992</v>
      </c>
      <c r="E2007" t="s">
        <v>23</v>
      </c>
      <c r="F2007" t="s">
        <v>24</v>
      </c>
      <c r="G2007" t="s">
        <v>25</v>
      </c>
      <c r="H2007" t="s">
        <v>26</v>
      </c>
      <c r="I2007">
        <v>5829696</v>
      </c>
      <c r="J2007" t="s">
        <v>27</v>
      </c>
      <c r="K2007" t="s">
        <v>2762</v>
      </c>
      <c r="L2007" t="s">
        <v>21</v>
      </c>
      <c r="M2007" t="str">
        <f t="shared" si="93"/>
        <v>OK</v>
      </c>
      <c r="N2007" t="str">
        <f t="shared" si="94"/>
        <v>1990s</v>
      </c>
      <c r="O2007" t="str">
        <f t="shared" si="95"/>
        <v>N/A</v>
      </c>
      <c r="P2007" t="str">
        <f>VLOOKUP(E2007,calculated_fields!$F$4:$G$6,2,FALSE)</f>
        <v>Demographics</v>
      </c>
    </row>
    <row r="2008" spans="1:16">
      <c r="A2008" t="s">
        <v>2764</v>
      </c>
      <c r="B2008" t="s">
        <v>2729</v>
      </c>
      <c r="C2008" t="s">
        <v>14</v>
      </c>
      <c r="D2008">
        <v>1992</v>
      </c>
      <c r="E2008" t="s">
        <v>29</v>
      </c>
      <c r="F2008" t="s">
        <v>30</v>
      </c>
      <c r="G2008" t="s">
        <v>31</v>
      </c>
      <c r="H2008" t="s">
        <v>32</v>
      </c>
      <c r="I2008">
        <v>24757.603009999999</v>
      </c>
      <c r="J2008" t="s">
        <v>33</v>
      </c>
      <c r="K2008" t="s">
        <v>2762</v>
      </c>
      <c r="L2008" t="s">
        <v>21</v>
      </c>
      <c r="M2008" t="str">
        <f t="shared" si="93"/>
        <v>OK</v>
      </c>
      <c r="N2008" t="str">
        <f t="shared" si="94"/>
        <v>1990s</v>
      </c>
      <c r="O2008" t="str">
        <f t="shared" si="95"/>
        <v>N/A</v>
      </c>
      <c r="P2008" t="str">
        <f>VLOOKUP(E2008,calculated_fields!$F$4:$G$6,2,FALSE)</f>
        <v>Economy</v>
      </c>
    </row>
    <row r="2009" spans="1:16">
      <c r="A2009" t="s">
        <v>2765</v>
      </c>
      <c r="B2009" t="s">
        <v>2729</v>
      </c>
      <c r="C2009" t="s">
        <v>14</v>
      </c>
      <c r="D2009">
        <v>1997</v>
      </c>
      <c r="E2009" t="s">
        <v>15</v>
      </c>
      <c r="F2009" t="s">
        <v>16</v>
      </c>
      <c r="G2009" t="s">
        <v>17</v>
      </c>
      <c r="H2009" t="s">
        <v>18</v>
      </c>
      <c r="I2009">
        <v>80</v>
      </c>
      <c r="J2009" t="s">
        <v>19</v>
      </c>
      <c r="K2009" t="s">
        <v>2766</v>
      </c>
      <c r="L2009" t="s">
        <v>21</v>
      </c>
      <c r="M2009" t="str">
        <f t="shared" si="93"/>
        <v>OK</v>
      </c>
      <c r="N2009" t="str">
        <f t="shared" si="94"/>
        <v>1990s</v>
      </c>
      <c r="O2009" t="str">
        <f t="shared" si="95"/>
        <v>High</v>
      </c>
      <c r="P2009" t="str">
        <f>VLOOKUP(E2009,calculated_fields!$F$4:$G$6,2,FALSE)</f>
        <v>Health</v>
      </c>
    </row>
    <row r="2010" spans="1:16">
      <c r="A2010" t="s">
        <v>2767</v>
      </c>
      <c r="B2010" t="s">
        <v>2729</v>
      </c>
      <c r="C2010" t="s">
        <v>14</v>
      </c>
      <c r="D2010">
        <v>1997</v>
      </c>
      <c r="E2010" t="s">
        <v>23</v>
      </c>
      <c r="F2010" t="s">
        <v>24</v>
      </c>
      <c r="G2010" t="s">
        <v>25</v>
      </c>
      <c r="H2010" t="s">
        <v>26</v>
      </c>
      <c r="I2010">
        <v>6495918</v>
      </c>
      <c r="J2010" t="s">
        <v>27</v>
      </c>
      <c r="K2010" t="s">
        <v>2766</v>
      </c>
      <c r="L2010" t="s">
        <v>21</v>
      </c>
      <c r="M2010" t="str">
        <f t="shared" si="93"/>
        <v>OK</v>
      </c>
      <c r="N2010" t="str">
        <f t="shared" si="94"/>
        <v>1990s</v>
      </c>
      <c r="O2010" t="str">
        <f t="shared" si="95"/>
        <v>N/A</v>
      </c>
      <c r="P2010" t="str">
        <f>VLOOKUP(E2010,calculated_fields!$F$4:$G$6,2,FALSE)</f>
        <v>Demographics</v>
      </c>
    </row>
    <row r="2011" spans="1:16">
      <c r="A2011" t="s">
        <v>2768</v>
      </c>
      <c r="B2011" t="s">
        <v>2729</v>
      </c>
      <c r="C2011" t="s">
        <v>14</v>
      </c>
      <c r="D2011">
        <v>1997</v>
      </c>
      <c r="E2011" t="s">
        <v>29</v>
      </c>
      <c r="F2011" t="s">
        <v>30</v>
      </c>
      <c r="G2011" t="s">
        <v>31</v>
      </c>
      <c r="H2011" t="s">
        <v>32</v>
      </c>
      <c r="I2011">
        <v>28377.63219</v>
      </c>
      <c r="J2011" t="s">
        <v>33</v>
      </c>
      <c r="K2011" t="s">
        <v>2766</v>
      </c>
      <c r="L2011" t="s">
        <v>21</v>
      </c>
      <c r="M2011" t="str">
        <f t="shared" si="93"/>
        <v>OK</v>
      </c>
      <c r="N2011" t="str">
        <f t="shared" si="94"/>
        <v>1990s</v>
      </c>
      <c r="O2011" t="str">
        <f t="shared" si="95"/>
        <v>N/A</v>
      </c>
      <c r="P2011" t="str">
        <f>VLOOKUP(E2011,calculated_fields!$F$4:$G$6,2,FALSE)</f>
        <v>Economy</v>
      </c>
    </row>
    <row r="2012" spans="1:16">
      <c r="A2012" t="s">
        <v>2769</v>
      </c>
      <c r="B2012" t="s">
        <v>2729</v>
      </c>
      <c r="C2012" t="s">
        <v>14</v>
      </c>
      <c r="D2012">
        <v>2002</v>
      </c>
      <c r="E2012" t="s">
        <v>15</v>
      </c>
      <c r="F2012" t="s">
        <v>16</v>
      </c>
      <c r="G2012" t="s">
        <v>17</v>
      </c>
      <c r="H2012" t="s">
        <v>18</v>
      </c>
      <c r="I2012">
        <v>81.495000000000005</v>
      </c>
      <c r="J2012" t="s">
        <v>19</v>
      </c>
      <c r="K2012" t="s">
        <v>2770</v>
      </c>
      <c r="L2012" t="s">
        <v>21</v>
      </c>
      <c r="M2012" t="str">
        <f t="shared" si="93"/>
        <v>OK</v>
      </c>
      <c r="N2012" t="str">
        <f t="shared" si="94"/>
        <v>2000s</v>
      </c>
      <c r="O2012" t="str">
        <f t="shared" si="95"/>
        <v>High</v>
      </c>
      <c r="P2012" t="str">
        <f>VLOOKUP(E2012,calculated_fields!$F$4:$G$6,2,FALSE)</f>
        <v>Health</v>
      </c>
    </row>
    <row r="2013" spans="1:16">
      <c r="A2013" t="s">
        <v>2771</v>
      </c>
      <c r="B2013" t="s">
        <v>2729</v>
      </c>
      <c r="C2013" t="s">
        <v>14</v>
      </c>
      <c r="D2013">
        <v>2002</v>
      </c>
      <c r="E2013" t="s">
        <v>23</v>
      </c>
      <c r="F2013" t="s">
        <v>24</v>
      </c>
      <c r="G2013" t="s">
        <v>25</v>
      </c>
      <c r="H2013" t="s">
        <v>26</v>
      </c>
      <c r="I2013">
        <v>6762476</v>
      </c>
      <c r="J2013" t="s">
        <v>27</v>
      </c>
      <c r="K2013" t="s">
        <v>2770</v>
      </c>
      <c r="L2013" t="s">
        <v>21</v>
      </c>
      <c r="M2013" t="str">
        <f t="shared" si="93"/>
        <v>OK</v>
      </c>
      <c r="N2013" t="str">
        <f t="shared" si="94"/>
        <v>2000s</v>
      </c>
      <c r="O2013" t="str">
        <f t="shared" si="95"/>
        <v>N/A</v>
      </c>
      <c r="P2013" t="str">
        <f>VLOOKUP(E2013,calculated_fields!$F$4:$G$6,2,FALSE)</f>
        <v>Demographics</v>
      </c>
    </row>
    <row r="2014" spans="1:16">
      <c r="A2014" t="s">
        <v>2772</v>
      </c>
      <c r="B2014" t="s">
        <v>2729</v>
      </c>
      <c r="C2014" t="s">
        <v>14</v>
      </c>
      <c r="D2014">
        <v>2002</v>
      </c>
      <c r="E2014" t="s">
        <v>29</v>
      </c>
      <c r="F2014" t="s">
        <v>30</v>
      </c>
      <c r="G2014" t="s">
        <v>31</v>
      </c>
      <c r="H2014" t="s">
        <v>32</v>
      </c>
      <c r="I2014">
        <v>30209.015159999999</v>
      </c>
      <c r="J2014" t="s">
        <v>33</v>
      </c>
      <c r="K2014" t="s">
        <v>2770</v>
      </c>
      <c r="L2014" t="s">
        <v>21</v>
      </c>
      <c r="M2014" t="str">
        <f t="shared" si="93"/>
        <v>OK</v>
      </c>
      <c r="N2014" t="str">
        <f t="shared" si="94"/>
        <v>2000s</v>
      </c>
      <c r="O2014" t="str">
        <f t="shared" si="95"/>
        <v>N/A</v>
      </c>
      <c r="P2014" t="str">
        <f>VLOOKUP(E2014,calculated_fields!$F$4:$G$6,2,FALSE)</f>
        <v>Economy</v>
      </c>
    </row>
    <row r="2015" spans="1:16">
      <c r="A2015" t="s">
        <v>2773</v>
      </c>
      <c r="B2015" t="s">
        <v>2729</v>
      </c>
      <c r="C2015" t="s">
        <v>14</v>
      </c>
      <c r="D2015">
        <v>2007</v>
      </c>
      <c r="E2015" t="s">
        <v>15</v>
      </c>
      <c r="F2015" t="s">
        <v>16</v>
      </c>
      <c r="G2015" t="s">
        <v>17</v>
      </c>
      <c r="H2015" t="s">
        <v>18</v>
      </c>
      <c r="I2015">
        <v>82.207999999999998</v>
      </c>
      <c r="J2015" t="s">
        <v>19</v>
      </c>
      <c r="K2015" t="s">
        <v>2774</v>
      </c>
      <c r="L2015" t="s">
        <v>21</v>
      </c>
      <c r="M2015" t="str">
        <f t="shared" si="93"/>
        <v>OK</v>
      </c>
      <c r="N2015" t="str">
        <f t="shared" si="94"/>
        <v>2000s</v>
      </c>
      <c r="O2015" t="str">
        <f t="shared" si="95"/>
        <v>High</v>
      </c>
      <c r="P2015" t="str">
        <f>VLOOKUP(E2015,calculated_fields!$F$4:$G$6,2,FALSE)</f>
        <v>Health</v>
      </c>
    </row>
    <row r="2016" spans="1:16">
      <c r="A2016" t="s">
        <v>2775</v>
      </c>
      <c r="B2016" t="s">
        <v>2729</v>
      </c>
      <c r="C2016" t="s">
        <v>14</v>
      </c>
      <c r="D2016">
        <v>2007</v>
      </c>
      <c r="E2016" t="s">
        <v>23</v>
      </c>
      <c r="F2016" t="s">
        <v>24</v>
      </c>
      <c r="G2016" t="s">
        <v>25</v>
      </c>
      <c r="H2016" t="s">
        <v>26</v>
      </c>
      <c r="I2016">
        <v>6980412</v>
      </c>
      <c r="J2016" t="s">
        <v>27</v>
      </c>
      <c r="K2016" t="s">
        <v>2774</v>
      </c>
      <c r="L2016" t="s">
        <v>21</v>
      </c>
      <c r="M2016" t="str">
        <f t="shared" si="93"/>
        <v>OK</v>
      </c>
      <c r="N2016" t="str">
        <f t="shared" si="94"/>
        <v>2000s</v>
      </c>
      <c r="O2016" t="str">
        <f t="shared" si="95"/>
        <v>N/A</v>
      </c>
      <c r="P2016" t="str">
        <f>VLOOKUP(E2016,calculated_fields!$F$4:$G$6,2,FALSE)</f>
        <v>Demographics</v>
      </c>
    </row>
    <row r="2017" spans="1:16">
      <c r="A2017" t="s">
        <v>2776</v>
      </c>
      <c r="B2017" t="s">
        <v>2729</v>
      </c>
      <c r="C2017" t="s">
        <v>14</v>
      </c>
      <c r="D2017">
        <v>2007</v>
      </c>
      <c r="E2017" t="s">
        <v>29</v>
      </c>
      <c r="F2017" t="s">
        <v>30</v>
      </c>
      <c r="G2017" t="s">
        <v>31</v>
      </c>
      <c r="H2017" t="s">
        <v>32</v>
      </c>
      <c r="I2017">
        <v>39724.978669999997</v>
      </c>
      <c r="J2017" t="s">
        <v>33</v>
      </c>
      <c r="K2017" t="s">
        <v>2774</v>
      </c>
      <c r="L2017" t="s">
        <v>21</v>
      </c>
      <c r="M2017" t="str">
        <f t="shared" si="93"/>
        <v>OK</v>
      </c>
      <c r="N2017" t="str">
        <f t="shared" si="94"/>
        <v>2000s</v>
      </c>
      <c r="O2017" t="str">
        <f t="shared" si="95"/>
        <v>N/A</v>
      </c>
      <c r="P2017" t="str">
        <f>VLOOKUP(E2017,calculated_fields!$F$4:$G$6,2,FALSE)</f>
        <v>Economy</v>
      </c>
    </row>
    <row r="2018" spans="1:16">
      <c r="A2018" t="s">
        <v>2777</v>
      </c>
      <c r="B2018" t="s">
        <v>2778</v>
      </c>
      <c r="C2018" t="s">
        <v>80</v>
      </c>
      <c r="D2018">
        <v>1952</v>
      </c>
      <c r="E2018" t="s">
        <v>15</v>
      </c>
      <c r="F2018" t="s">
        <v>16</v>
      </c>
      <c r="G2018" t="s">
        <v>17</v>
      </c>
      <c r="H2018" t="s">
        <v>18</v>
      </c>
      <c r="I2018">
        <v>64.03</v>
      </c>
      <c r="J2018" t="s">
        <v>19</v>
      </c>
      <c r="K2018" t="s">
        <v>2779</v>
      </c>
      <c r="L2018" t="s">
        <v>21</v>
      </c>
      <c r="M2018" t="str">
        <f t="shared" si="93"/>
        <v>OK</v>
      </c>
      <c r="N2018" t="str">
        <f t="shared" si="94"/>
        <v>1950s</v>
      </c>
      <c r="O2018" t="str">
        <f t="shared" si="95"/>
        <v>Medium</v>
      </c>
      <c r="P2018" t="str">
        <f>VLOOKUP(E2018,calculated_fields!$F$4:$G$6,2,FALSE)</f>
        <v>Health</v>
      </c>
    </row>
    <row r="2019" spans="1:16">
      <c r="A2019" t="s">
        <v>2780</v>
      </c>
      <c r="B2019" t="s">
        <v>2778</v>
      </c>
      <c r="C2019" t="s">
        <v>80</v>
      </c>
      <c r="D2019">
        <v>1952</v>
      </c>
      <c r="E2019" t="s">
        <v>23</v>
      </c>
      <c r="F2019" t="s">
        <v>24</v>
      </c>
      <c r="G2019" t="s">
        <v>25</v>
      </c>
      <c r="H2019" t="s">
        <v>26</v>
      </c>
      <c r="I2019">
        <v>9504000</v>
      </c>
      <c r="J2019" t="s">
        <v>27</v>
      </c>
      <c r="K2019" t="s">
        <v>2779</v>
      </c>
      <c r="L2019" t="s">
        <v>21</v>
      </c>
      <c r="M2019" t="str">
        <f t="shared" si="93"/>
        <v>OK</v>
      </c>
      <c r="N2019" t="str">
        <f t="shared" si="94"/>
        <v>1950s</v>
      </c>
      <c r="O2019" t="str">
        <f t="shared" si="95"/>
        <v>N/A</v>
      </c>
      <c r="P2019" t="str">
        <f>VLOOKUP(E2019,calculated_fields!$F$4:$G$6,2,FALSE)</f>
        <v>Demographics</v>
      </c>
    </row>
    <row r="2020" spans="1:16">
      <c r="A2020" t="s">
        <v>2781</v>
      </c>
      <c r="B2020" t="s">
        <v>2778</v>
      </c>
      <c r="C2020" t="s">
        <v>80</v>
      </c>
      <c r="D2020">
        <v>1952</v>
      </c>
      <c r="E2020" t="s">
        <v>29</v>
      </c>
      <c r="F2020" t="s">
        <v>30</v>
      </c>
      <c r="G2020" t="s">
        <v>31</v>
      </c>
      <c r="H2020" t="s">
        <v>32</v>
      </c>
      <c r="I2020">
        <v>5263.6738160000004</v>
      </c>
      <c r="J2020" t="s">
        <v>33</v>
      </c>
      <c r="K2020" t="s">
        <v>2779</v>
      </c>
      <c r="L2020" t="s">
        <v>21</v>
      </c>
      <c r="M2020" t="str">
        <f t="shared" si="93"/>
        <v>OK</v>
      </c>
      <c r="N2020" t="str">
        <f t="shared" si="94"/>
        <v>1950s</v>
      </c>
      <c r="O2020" t="str">
        <f t="shared" si="95"/>
        <v>N/A</v>
      </c>
      <c r="P2020" t="str">
        <f>VLOOKUP(E2020,calculated_fields!$F$4:$G$6,2,FALSE)</f>
        <v>Economy</v>
      </c>
    </row>
    <row r="2021" spans="1:16">
      <c r="A2021" t="s">
        <v>2782</v>
      </c>
      <c r="B2021" t="s">
        <v>2778</v>
      </c>
      <c r="C2021" t="s">
        <v>80</v>
      </c>
      <c r="D2021">
        <v>1957</v>
      </c>
      <c r="E2021" t="s">
        <v>15</v>
      </c>
      <c r="F2021" t="s">
        <v>16</v>
      </c>
      <c r="G2021" t="s">
        <v>17</v>
      </c>
      <c r="H2021" t="s">
        <v>18</v>
      </c>
      <c r="I2021">
        <v>66.41</v>
      </c>
      <c r="J2021" t="s">
        <v>19</v>
      </c>
      <c r="K2021" t="s">
        <v>2783</v>
      </c>
      <c r="L2021" t="s">
        <v>21</v>
      </c>
      <c r="M2021" t="str">
        <f t="shared" si="93"/>
        <v>OK</v>
      </c>
      <c r="N2021" t="str">
        <f t="shared" si="94"/>
        <v>1950s</v>
      </c>
      <c r="O2021" t="str">
        <f t="shared" si="95"/>
        <v>Medium</v>
      </c>
      <c r="P2021" t="str">
        <f>VLOOKUP(E2021,calculated_fields!$F$4:$G$6,2,FALSE)</f>
        <v>Health</v>
      </c>
    </row>
    <row r="2022" spans="1:16">
      <c r="A2022" t="s">
        <v>2784</v>
      </c>
      <c r="B2022" t="s">
        <v>2778</v>
      </c>
      <c r="C2022" t="s">
        <v>80</v>
      </c>
      <c r="D2022">
        <v>1957</v>
      </c>
      <c r="E2022" t="s">
        <v>23</v>
      </c>
      <c r="F2022" t="s">
        <v>24</v>
      </c>
      <c r="G2022" t="s">
        <v>25</v>
      </c>
      <c r="H2022" t="s">
        <v>26</v>
      </c>
      <c r="I2022">
        <v>9839000</v>
      </c>
      <c r="J2022" t="s">
        <v>27</v>
      </c>
      <c r="K2022" t="s">
        <v>2783</v>
      </c>
      <c r="L2022" t="s">
        <v>21</v>
      </c>
      <c r="M2022" t="str">
        <f t="shared" si="93"/>
        <v>OK</v>
      </c>
      <c r="N2022" t="str">
        <f t="shared" si="94"/>
        <v>1950s</v>
      </c>
      <c r="O2022" t="str">
        <f t="shared" si="95"/>
        <v>N/A</v>
      </c>
      <c r="P2022" t="str">
        <f>VLOOKUP(E2022,calculated_fields!$F$4:$G$6,2,FALSE)</f>
        <v>Demographics</v>
      </c>
    </row>
    <row r="2023" spans="1:16">
      <c r="A2023" t="s">
        <v>2785</v>
      </c>
      <c r="B2023" t="s">
        <v>2778</v>
      </c>
      <c r="C2023" t="s">
        <v>80</v>
      </c>
      <c r="D2023">
        <v>1957</v>
      </c>
      <c r="E2023" t="s">
        <v>29</v>
      </c>
      <c r="F2023" t="s">
        <v>30</v>
      </c>
      <c r="G2023" t="s">
        <v>31</v>
      </c>
      <c r="H2023" t="s">
        <v>32</v>
      </c>
      <c r="I2023">
        <v>6040.1800110000004</v>
      </c>
      <c r="J2023" t="s">
        <v>33</v>
      </c>
      <c r="K2023" t="s">
        <v>2783</v>
      </c>
      <c r="L2023" t="s">
        <v>21</v>
      </c>
      <c r="M2023" t="str">
        <f t="shared" si="93"/>
        <v>OK</v>
      </c>
      <c r="N2023" t="str">
        <f t="shared" si="94"/>
        <v>1950s</v>
      </c>
      <c r="O2023" t="str">
        <f t="shared" si="95"/>
        <v>N/A</v>
      </c>
      <c r="P2023" t="str">
        <f>VLOOKUP(E2023,calculated_fields!$F$4:$G$6,2,FALSE)</f>
        <v>Economy</v>
      </c>
    </row>
    <row r="2024" spans="1:16">
      <c r="A2024" t="s">
        <v>2786</v>
      </c>
      <c r="B2024" t="s">
        <v>2778</v>
      </c>
      <c r="C2024" t="s">
        <v>80</v>
      </c>
      <c r="D2024">
        <v>1962</v>
      </c>
      <c r="E2024" t="s">
        <v>15</v>
      </c>
      <c r="F2024" t="s">
        <v>16</v>
      </c>
      <c r="G2024" t="s">
        <v>17</v>
      </c>
      <c r="H2024" t="s">
        <v>18</v>
      </c>
      <c r="I2024">
        <v>67.959999999999994</v>
      </c>
      <c r="J2024" t="s">
        <v>19</v>
      </c>
      <c r="K2024" t="s">
        <v>2787</v>
      </c>
      <c r="L2024" t="s">
        <v>21</v>
      </c>
      <c r="M2024" t="str">
        <f t="shared" si="93"/>
        <v>OK</v>
      </c>
      <c r="N2024" t="str">
        <f t="shared" si="94"/>
        <v>1960s</v>
      </c>
      <c r="O2024" t="str">
        <f t="shared" si="95"/>
        <v>Medium</v>
      </c>
      <c r="P2024" t="str">
        <f>VLOOKUP(E2024,calculated_fields!$F$4:$G$6,2,FALSE)</f>
        <v>Health</v>
      </c>
    </row>
    <row r="2025" spans="1:16">
      <c r="A2025" t="s">
        <v>2788</v>
      </c>
      <c r="B2025" t="s">
        <v>2778</v>
      </c>
      <c r="C2025" t="s">
        <v>80</v>
      </c>
      <c r="D2025">
        <v>1962</v>
      </c>
      <c r="E2025" t="s">
        <v>23</v>
      </c>
      <c r="F2025" t="s">
        <v>24</v>
      </c>
      <c r="G2025" t="s">
        <v>25</v>
      </c>
      <c r="H2025" t="s">
        <v>26</v>
      </c>
      <c r="I2025">
        <v>10063000</v>
      </c>
      <c r="J2025" t="s">
        <v>27</v>
      </c>
      <c r="K2025" t="s">
        <v>2787</v>
      </c>
      <c r="L2025" t="s">
        <v>21</v>
      </c>
      <c r="M2025" t="str">
        <f t="shared" si="93"/>
        <v>OK</v>
      </c>
      <c r="N2025" t="str">
        <f t="shared" si="94"/>
        <v>1960s</v>
      </c>
      <c r="O2025" t="str">
        <f t="shared" si="95"/>
        <v>N/A</v>
      </c>
      <c r="P2025" t="str">
        <f>VLOOKUP(E2025,calculated_fields!$F$4:$G$6,2,FALSE)</f>
        <v>Demographics</v>
      </c>
    </row>
    <row r="2026" spans="1:16">
      <c r="A2026" t="s">
        <v>2789</v>
      </c>
      <c r="B2026" t="s">
        <v>2778</v>
      </c>
      <c r="C2026" t="s">
        <v>80</v>
      </c>
      <c r="D2026">
        <v>1962</v>
      </c>
      <c r="E2026" t="s">
        <v>29</v>
      </c>
      <c r="F2026" t="s">
        <v>30</v>
      </c>
      <c r="G2026" t="s">
        <v>31</v>
      </c>
      <c r="H2026" t="s">
        <v>32</v>
      </c>
      <c r="I2026">
        <v>7550.3598769999999</v>
      </c>
      <c r="J2026" t="s">
        <v>33</v>
      </c>
      <c r="K2026" t="s">
        <v>2787</v>
      </c>
      <c r="L2026" t="s">
        <v>21</v>
      </c>
      <c r="M2026" t="str">
        <f t="shared" si="93"/>
        <v>OK</v>
      </c>
      <c r="N2026" t="str">
        <f t="shared" si="94"/>
        <v>1960s</v>
      </c>
      <c r="O2026" t="str">
        <f t="shared" si="95"/>
        <v>N/A</v>
      </c>
      <c r="P2026" t="str">
        <f>VLOOKUP(E2026,calculated_fields!$F$4:$G$6,2,FALSE)</f>
        <v>Economy</v>
      </c>
    </row>
    <row r="2027" spans="1:16">
      <c r="A2027" t="s">
        <v>2790</v>
      </c>
      <c r="B2027" t="s">
        <v>2778</v>
      </c>
      <c r="C2027" t="s">
        <v>80</v>
      </c>
      <c r="D2027">
        <v>1967</v>
      </c>
      <c r="E2027" t="s">
        <v>15</v>
      </c>
      <c r="F2027" t="s">
        <v>16</v>
      </c>
      <c r="G2027" t="s">
        <v>17</v>
      </c>
      <c r="H2027" t="s">
        <v>18</v>
      </c>
      <c r="I2027">
        <v>69.5</v>
      </c>
      <c r="J2027" t="s">
        <v>19</v>
      </c>
      <c r="K2027" t="s">
        <v>2791</v>
      </c>
      <c r="L2027" t="s">
        <v>21</v>
      </c>
      <c r="M2027" t="str">
        <f t="shared" si="93"/>
        <v>OK</v>
      </c>
      <c r="N2027" t="str">
        <f t="shared" si="94"/>
        <v>1960s</v>
      </c>
      <c r="O2027" t="str">
        <f t="shared" si="95"/>
        <v>Medium</v>
      </c>
      <c r="P2027" t="str">
        <f>VLOOKUP(E2027,calculated_fields!$F$4:$G$6,2,FALSE)</f>
        <v>Health</v>
      </c>
    </row>
    <row r="2028" spans="1:16">
      <c r="A2028" t="s">
        <v>2792</v>
      </c>
      <c r="B2028" t="s">
        <v>2778</v>
      </c>
      <c r="C2028" t="s">
        <v>80</v>
      </c>
      <c r="D2028">
        <v>1967</v>
      </c>
      <c r="E2028" t="s">
        <v>23</v>
      </c>
      <c r="F2028" t="s">
        <v>24</v>
      </c>
      <c r="G2028" t="s">
        <v>25</v>
      </c>
      <c r="H2028" t="s">
        <v>26</v>
      </c>
      <c r="I2028">
        <v>10223422</v>
      </c>
      <c r="J2028" t="s">
        <v>27</v>
      </c>
      <c r="K2028" t="s">
        <v>2791</v>
      </c>
      <c r="L2028" t="s">
        <v>21</v>
      </c>
      <c r="M2028" t="str">
        <f t="shared" si="93"/>
        <v>OK</v>
      </c>
      <c r="N2028" t="str">
        <f t="shared" si="94"/>
        <v>1960s</v>
      </c>
      <c r="O2028" t="str">
        <f t="shared" si="95"/>
        <v>N/A</v>
      </c>
      <c r="P2028" t="str">
        <f>VLOOKUP(E2028,calculated_fields!$F$4:$G$6,2,FALSE)</f>
        <v>Demographics</v>
      </c>
    </row>
    <row r="2029" spans="1:16">
      <c r="A2029" t="s">
        <v>2793</v>
      </c>
      <c r="B2029" t="s">
        <v>2778</v>
      </c>
      <c r="C2029" t="s">
        <v>80</v>
      </c>
      <c r="D2029">
        <v>1967</v>
      </c>
      <c r="E2029" t="s">
        <v>29</v>
      </c>
      <c r="F2029" t="s">
        <v>30</v>
      </c>
      <c r="G2029" t="s">
        <v>31</v>
      </c>
      <c r="H2029" t="s">
        <v>32</v>
      </c>
      <c r="I2029">
        <v>9326.6446699999997</v>
      </c>
      <c r="J2029" t="s">
        <v>33</v>
      </c>
      <c r="K2029" t="s">
        <v>2791</v>
      </c>
      <c r="L2029" t="s">
        <v>21</v>
      </c>
      <c r="M2029" t="str">
        <f t="shared" si="93"/>
        <v>OK</v>
      </c>
      <c r="N2029" t="str">
        <f t="shared" si="94"/>
        <v>1960s</v>
      </c>
      <c r="O2029" t="str">
        <f t="shared" si="95"/>
        <v>N/A</v>
      </c>
      <c r="P2029" t="str">
        <f>VLOOKUP(E2029,calculated_fields!$F$4:$G$6,2,FALSE)</f>
        <v>Economy</v>
      </c>
    </row>
    <row r="2030" spans="1:16">
      <c r="A2030" t="s">
        <v>2794</v>
      </c>
      <c r="B2030" t="s">
        <v>2778</v>
      </c>
      <c r="C2030" t="s">
        <v>80</v>
      </c>
      <c r="D2030">
        <v>1972</v>
      </c>
      <c r="E2030" t="s">
        <v>15</v>
      </c>
      <c r="F2030" t="s">
        <v>16</v>
      </c>
      <c r="G2030" t="s">
        <v>17</v>
      </c>
      <c r="H2030" t="s">
        <v>18</v>
      </c>
      <c r="I2030">
        <v>69.760000000000005</v>
      </c>
      <c r="J2030" t="s">
        <v>19</v>
      </c>
      <c r="K2030" t="s">
        <v>2795</v>
      </c>
      <c r="L2030" t="s">
        <v>21</v>
      </c>
      <c r="M2030" t="str">
        <f t="shared" si="93"/>
        <v>OK</v>
      </c>
      <c r="N2030" t="str">
        <f t="shared" si="94"/>
        <v>1970s</v>
      </c>
      <c r="O2030" t="str">
        <f t="shared" si="95"/>
        <v>Medium</v>
      </c>
      <c r="P2030" t="str">
        <f>VLOOKUP(E2030,calculated_fields!$F$4:$G$6,2,FALSE)</f>
        <v>Health</v>
      </c>
    </row>
    <row r="2031" spans="1:16">
      <c r="A2031" t="s">
        <v>2796</v>
      </c>
      <c r="B2031" t="s">
        <v>2778</v>
      </c>
      <c r="C2031" t="s">
        <v>80</v>
      </c>
      <c r="D2031">
        <v>1972</v>
      </c>
      <c r="E2031" t="s">
        <v>23</v>
      </c>
      <c r="F2031" t="s">
        <v>24</v>
      </c>
      <c r="G2031" t="s">
        <v>25</v>
      </c>
      <c r="H2031" t="s">
        <v>26</v>
      </c>
      <c r="I2031">
        <v>10394091</v>
      </c>
      <c r="J2031" t="s">
        <v>27</v>
      </c>
      <c r="K2031" t="s">
        <v>2795</v>
      </c>
      <c r="L2031" t="s">
        <v>21</v>
      </c>
      <c r="M2031" t="str">
        <f t="shared" si="93"/>
        <v>OK</v>
      </c>
      <c r="N2031" t="str">
        <f t="shared" si="94"/>
        <v>1970s</v>
      </c>
      <c r="O2031" t="str">
        <f t="shared" si="95"/>
        <v>N/A</v>
      </c>
      <c r="P2031" t="str">
        <f>VLOOKUP(E2031,calculated_fields!$F$4:$G$6,2,FALSE)</f>
        <v>Demographics</v>
      </c>
    </row>
    <row r="2032" spans="1:16">
      <c r="A2032" t="s">
        <v>2797</v>
      </c>
      <c r="B2032" t="s">
        <v>2778</v>
      </c>
      <c r="C2032" t="s">
        <v>80</v>
      </c>
      <c r="D2032">
        <v>1972</v>
      </c>
      <c r="E2032" t="s">
        <v>29</v>
      </c>
      <c r="F2032" t="s">
        <v>30</v>
      </c>
      <c r="G2032" t="s">
        <v>31</v>
      </c>
      <c r="H2032" t="s">
        <v>32</v>
      </c>
      <c r="I2032">
        <v>10168.65611</v>
      </c>
      <c r="J2032" t="s">
        <v>33</v>
      </c>
      <c r="K2032" t="s">
        <v>2795</v>
      </c>
      <c r="L2032" t="s">
        <v>21</v>
      </c>
      <c r="M2032" t="str">
        <f t="shared" si="93"/>
        <v>OK</v>
      </c>
      <c r="N2032" t="str">
        <f t="shared" si="94"/>
        <v>1970s</v>
      </c>
      <c r="O2032" t="str">
        <f t="shared" si="95"/>
        <v>N/A</v>
      </c>
      <c r="P2032" t="str">
        <f>VLOOKUP(E2032,calculated_fields!$F$4:$G$6,2,FALSE)</f>
        <v>Economy</v>
      </c>
    </row>
    <row r="2033" spans="1:16">
      <c r="A2033" t="s">
        <v>2798</v>
      </c>
      <c r="B2033" t="s">
        <v>2778</v>
      </c>
      <c r="C2033" t="s">
        <v>80</v>
      </c>
      <c r="D2033">
        <v>1977</v>
      </c>
      <c r="E2033" t="s">
        <v>15</v>
      </c>
      <c r="F2033" t="s">
        <v>16</v>
      </c>
      <c r="G2033" t="s">
        <v>17</v>
      </c>
      <c r="H2033" t="s">
        <v>18</v>
      </c>
      <c r="I2033">
        <v>69.95</v>
      </c>
      <c r="J2033" t="s">
        <v>19</v>
      </c>
      <c r="K2033" t="s">
        <v>2799</v>
      </c>
      <c r="L2033" t="s">
        <v>21</v>
      </c>
      <c r="M2033" t="str">
        <f t="shared" si="93"/>
        <v>OK</v>
      </c>
      <c r="N2033" t="str">
        <f t="shared" si="94"/>
        <v>1970s</v>
      </c>
      <c r="O2033" t="str">
        <f t="shared" si="95"/>
        <v>Medium</v>
      </c>
      <c r="P2033" t="str">
        <f>VLOOKUP(E2033,calculated_fields!$F$4:$G$6,2,FALSE)</f>
        <v>Health</v>
      </c>
    </row>
    <row r="2034" spans="1:16">
      <c r="A2034" t="s">
        <v>2800</v>
      </c>
      <c r="B2034" t="s">
        <v>2778</v>
      </c>
      <c r="C2034" t="s">
        <v>80</v>
      </c>
      <c r="D2034">
        <v>1977</v>
      </c>
      <c r="E2034" t="s">
        <v>23</v>
      </c>
      <c r="F2034" t="s">
        <v>24</v>
      </c>
      <c r="G2034" t="s">
        <v>25</v>
      </c>
      <c r="H2034" t="s">
        <v>26</v>
      </c>
      <c r="I2034">
        <v>10637171</v>
      </c>
      <c r="J2034" t="s">
        <v>27</v>
      </c>
      <c r="K2034" t="s">
        <v>2799</v>
      </c>
      <c r="L2034" t="s">
        <v>21</v>
      </c>
      <c r="M2034" t="str">
        <f t="shared" si="93"/>
        <v>OK</v>
      </c>
      <c r="N2034" t="str">
        <f t="shared" si="94"/>
        <v>1970s</v>
      </c>
      <c r="O2034" t="str">
        <f t="shared" si="95"/>
        <v>N/A</v>
      </c>
      <c r="P2034" t="str">
        <f>VLOOKUP(E2034,calculated_fields!$F$4:$G$6,2,FALSE)</f>
        <v>Demographics</v>
      </c>
    </row>
    <row r="2035" spans="1:16">
      <c r="A2035" t="s">
        <v>2801</v>
      </c>
      <c r="B2035" t="s">
        <v>2778</v>
      </c>
      <c r="C2035" t="s">
        <v>80</v>
      </c>
      <c r="D2035">
        <v>1977</v>
      </c>
      <c r="E2035" t="s">
        <v>29</v>
      </c>
      <c r="F2035" t="s">
        <v>30</v>
      </c>
      <c r="G2035" t="s">
        <v>31</v>
      </c>
      <c r="H2035" t="s">
        <v>32</v>
      </c>
      <c r="I2035">
        <v>11674.837369999999</v>
      </c>
      <c r="J2035" t="s">
        <v>33</v>
      </c>
      <c r="K2035" t="s">
        <v>2799</v>
      </c>
      <c r="L2035" t="s">
        <v>21</v>
      </c>
      <c r="M2035" t="str">
        <f t="shared" si="93"/>
        <v>OK</v>
      </c>
      <c r="N2035" t="str">
        <f t="shared" si="94"/>
        <v>1970s</v>
      </c>
      <c r="O2035" t="str">
        <f t="shared" si="95"/>
        <v>N/A</v>
      </c>
      <c r="P2035" t="str">
        <f>VLOOKUP(E2035,calculated_fields!$F$4:$G$6,2,FALSE)</f>
        <v>Economy</v>
      </c>
    </row>
    <row r="2036" spans="1:16">
      <c r="A2036" t="s">
        <v>2802</v>
      </c>
      <c r="B2036" t="s">
        <v>2778</v>
      </c>
      <c r="C2036" t="s">
        <v>80</v>
      </c>
      <c r="D2036">
        <v>1982</v>
      </c>
      <c r="E2036" t="s">
        <v>15</v>
      </c>
      <c r="F2036" t="s">
        <v>16</v>
      </c>
      <c r="G2036" t="s">
        <v>17</v>
      </c>
      <c r="H2036" t="s">
        <v>18</v>
      </c>
      <c r="I2036">
        <v>69.39</v>
      </c>
      <c r="J2036" t="s">
        <v>19</v>
      </c>
      <c r="K2036" t="s">
        <v>2803</v>
      </c>
      <c r="L2036" t="s">
        <v>21</v>
      </c>
      <c r="M2036" t="str">
        <f t="shared" si="93"/>
        <v>OK</v>
      </c>
      <c r="N2036" t="str">
        <f t="shared" si="94"/>
        <v>1980s</v>
      </c>
      <c r="O2036" t="str">
        <f t="shared" si="95"/>
        <v>Medium</v>
      </c>
      <c r="P2036" t="str">
        <f>VLOOKUP(E2036,calculated_fields!$F$4:$G$6,2,FALSE)</f>
        <v>Health</v>
      </c>
    </row>
    <row r="2037" spans="1:16">
      <c r="A2037" t="s">
        <v>2804</v>
      </c>
      <c r="B2037" t="s">
        <v>2778</v>
      </c>
      <c r="C2037" t="s">
        <v>80</v>
      </c>
      <c r="D2037">
        <v>1982</v>
      </c>
      <c r="E2037" t="s">
        <v>23</v>
      </c>
      <c r="F2037" t="s">
        <v>24</v>
      </c>
      <c r="G2037" t="s">
        <v>25</v>
      </c>
      <c r="H2037" t="s">
        <v>26</v>
      </c>
      <c r="I2037">
        <v>10705535</v>
      </c>
      <c r="J2037" t="s">
        <v>27</v>
      </c>
      <c r="K2037" t="s">
        <v>2803</v>
      </c>
      <c r="L2037" t="s">
        <v>21</v>
      </c>
      <c r="M2037" t="str">
        <f t="shared" si="93"/>
        <v>OK</v>
      </c>
      <c r="N2037" t="str">
        <f t="shared" si="94"/>
        <v>1980s</v>
      </c>
      <c r="O2037" t="str">
        <f t="shared" si="95"/>
        <v>N/A</v>
      </c>
      <c r="P2037" t="str">
        <f>VLOOKUP(E2037,calculated_fields!$F$4:$G$6,2,FALSE)</f>
        <v>Demographics</v>
      </c>
    </row>
    <row r="2038" spans="1:16">
      <c r="A2038" t="s">
        <v>2805</v>
      </c>
      <c r="B2038" t="s">
        <v>2778</v>
      </c>
      <c r="C2038" t="s">
        <v>80</v>
      </c>
      <c r="D2038">
        <v>1982</v>
      </c>
      <c r="E2038" t="s">
        <v>29</v>
      </c>
      <c r="F2038" t="s">
        <v>30</v>
      </c>
      <c r="G2038" t="s">
        <v>31</v>
      </c>
      <c r="H2038" t="s">
        <v>32</v>
      </c>
      <c r="I2038">
        <v>12545.990659999999</v>
      </c>
      <c r="J2038" t="s">
        <v>33</v>
      </c>
      <c r="K2038" t="s">
        <v>2803</v>
      </c>
      <c r="L2038" t="s">
        <v>21</v>
      </c>
      <c r="M2038" t="str">
        <f t="shared" si="93"/>
        <v>OK</v>
      </c>
      <c r="N2038" t="str">
        <f t="shared" si="94"/>
        <v>1980s</v>
      </c>
      <c r="O2038" t="str">
        <f t="shared" si="95"/>
        <v>N/A</v>
      </c>
      <c r="P2038" t="str">
        <f>VLOOKUP(E2038,calculated_fields!$F$4:$G$6,2,FALSE)</f>
        <v>Economy</v>
      </c>
    </row>
    <row r="2039" spans="1:16">
      <c r="A2039" t="s">
        <v>2806</v>
      </c>
      <c r="B2039" t="s">
        <v>2778</v>
      </c>
      <c r="C2039" t="s">
        <v>80</v>
      </c>
      <c r="D2039">
        <v>1987</v>
      </c>
      <c r="E2039" t="s">
        <v>15</v>
      </c>
      <c r="F2039" t="s">
        <v>16</v>
      </c>
      <c r="G2039" t="s">
        <v>17</v>
      </c>
      <c r="H2039" t="s">
        <v>18</v>
      </c>
      <c r="I2039">
        <v>69.58</v>
      </c>
      <c r="J2039" t="s">
        <v>19</v>
      </c>
      <c r="K2039" t="s">
        <v>2807</v>
      </c>
      <c r="L2039" t="s">
        <v>21</v>
      </c>
      <c r="M2039" t="str">
        <f t="shared" si="93"/>
        <v>OK</v>
      </c>
      <c r="N2039" t="str">
        <f t="shared" si="94"/>
        <v>1980s</v>
      </c>
      <c r="O2039" t="str">
        <f t="shared" si="95"/>
        <v>Medium</v>
      </c>
      <c r="P2039" t="str">
        <f>VLOOKUP(E2039,calculated_fields!$F$4:$G$6,2,FALSE)</f>
        <v>Health</v>
      </c>
    </row>
    <row r="2040" spans="1:16">
      <c r="A2040" t="s">
        <v>2808</v>
      </c>
      <c r="B2040" t="s">
        <v>2778</v>
      </c>
      <c r="C2040" t="s">
        <v>80</v>
      </c>
      <c r="D2040">
        <v>1987</v>
      </c>
      <c r="E2040" t="s">
        <v>23</v>
      </c>
      <c r="F2040" t="s">
        <v>24</v>
      </c>
      <c r="G2040" t="s">
        <v>25</v>
      </c>
      <c r="H2040" t="s">
        <v>26</v>
      </c>
      <c r="I2040">
        <v>10612740</v>
      </c>
      <c r="J2040" t="s">
        <v>27</v>
      </c>
      <c r="K2040" t="s">
        <v>2807</v>
      </c>
      <c r="L2040" t="s">
        <v>21</v>
      </c>
      <c r="M2040" t="str">
        <f t="shared" si="93"/>
        <v>OK</v>
      </c>
      <c r="N2040" t="str">
        <f t="shared" si="94"/>
        <v>1980s</v>
      </c>
      <c r="O2040" t="str">
        <f t="shared" si="95"/>
        <v>N/A</v>
      </c>
      <c r="P2040" t="str">
        <f>VLOOKUP(E2040,calculated_fields!$F$4:$G$6,2,FALSE)</f>
        <v>Demographics</v>
      </c>
    </row>
    <row r="2041" spans="1:16">
      <c r="A2041" t="s">
        <v>2809</v>
      </c>
      <c r="B2041" t="s">
        <v>2778</v>
      </c>
      <c r="C2041" t="s">
        <v>80</v>
      </c>
      <c r="D2041">
        <v>1987</v>
      </c>
      <c r="E2041" t="s">
        <v>29</v>
      </c>
      <c r="F2041" t="s">
        <v>30</v>
      </c>
      <c r="G2041" t="s">
        <v>31</v>
      </c>
      <c r="H2041" t="s">
        <v>32</v>
      </c>
      <c r="I2041">
        <v>12986.47998</v>
      </c>
      <c r="J2041" t="s">
        <v>33</v>
      </c>
      <c r="K2041" t="s">
        <v>2807</v>
      </c>
      <c r="L2041" t="s">
        <v>21</v>
      </c>
      <c r="M2041" t="str">
        <f t="shared" si="93"/>
        <v>OK</v>
      </c>
      <c r="N2041" t="str">
        <f t="shared" si="94"/>
        <v>1980s</v>
      </c>
      <c r="O2041" t="str">
        <f t="shared" si="95"/>
        <v>N/A</v>
      </c>
      <c r="P2041" t="str">
        <f>VLOOKUP(E2041,calculated_fields!$F$4:$G$6,2,FALSE)</f>
        <v>Economy</v>
      </c>
    </row>
    <row r="2042" spans="1:16">
      <c r="A2042" t="s">
        <v>2810</v>
      </c>
      <c r="B2042" t="s">
        <v>2778</v>
      </c>
      <c r="C2042" t="s">
        <v>80</v>
      </c>
      <c r="D2042">
        <v>1992</v>
      </c>
      <c r="E2042" t="s">
        <v>15</v>
      </c>
      <c r="F2042" t="s">
        <v>16</v>
      </c>
      <c r="G2042" t="s">
        <v>17</v>
      </c>
      <c r="H2042" t="s">
        <v>18</v>
      </c>
      <c r="I2042">
        <v>69.17</v>
      </c>
      <c r="J2042" t="s">
        <v>19</v>
      </c>
      <c r="K2042" t="s">
        <v>2811</v>
      </c>
      <c r="L2042" t="s">
        <v>21</v>
      </c>
      <c r="M2042" t="str">
        <f t="shared" si="93"/>
        <v>OK</v>
      </c>
      <c r="N2042" t="str">
        <f t="shared" si="94"/>
        <v>1990s</v>
      </c>
      <c r="O2042" t="str">
        <f t="shared" si="95"/>
        <v>Medium</v>
      </c>
      <c r="P2042" t="str">
        <f>VLOOKUP(E2042,calculated_fields!$F$4:$G$6,2,FALSE)</f>
        <v>Health</v>
      </c>
    </row>
    <row r="2043" spans="1:16">
      <c r="A2043" t="s">
        <v>2812</v>
      </c>
      <c r="B2043" t="s">
        <v>2778</v>
      </c>
      <c r="C2043" t="s">
        <v>80</v>
      </c>
      <c r="D2043">
        <v>1992</v>
      </c>
      <c r="E2043" t="s">
        <v>23</v>
      </c>
      <c r="F2043" t="s">
        <v>24</v>
      </c>
      <c r="G2043" t="s">
        <v>25</v>
      </c>
      <c r="H2043" t="s">
        <v>26</v>
      </c>
      <c r="I2043">
        <v>10348684</v>
      </c>
      <c r="J2043" t="s">
        <v>27</v>
      </c>
      <c r="K2043" t="s">
        <v>2811</v>
      </c>
      <c r="L2043" t="s">
        <v>21</v>
      </c>
      <c r="M2043" t="str">
        <f t="shared" si="93"/>
        <v>OK</v>
      </c>
      <c r="N2043" t="str">
        <f t="shared" si="94"/>
        <v>1990s</v>
      </c>
      <c r="O2043" t="str">
        <f t="shared" si="95"/>
        <v>N/A</v>
      </c>
      <c r="P2043" t="str">
        <f>VLOOKUP(E2043,calculated_fields!$F$4:$G$6,2,FALSE)</f>
        <v>Demographics</v>
      </c>
    </row>
    <row r="2044" spans="1:16">
      <c r="A2044" t="s">
        <v>2813</v>
      </c>
      <c r="B2044" t="s">
        <v>2778</v>
      </c>
      <c r="C2044" t="s">
        <v>80</v>
      </c>
      <c r="D2044">
        <v>1992</v>
      </c>
      <c r="E2044" t="s">
        <v>29</v>
      </c>
      <c r="F2044" t="s">
        <v>30</v>
      </c>
      <c r="G2044" t="s">
        <v>31</v>
      </c>
      <c r="H2044" t="s">
        <v>32</v>
      </c>
      <c r="I2044">
        <v>10535.628549999999</v>
      </c>
      <c r="J2044" t="s">
        <v>33</v>
      </c>
      <c r="K2044" t="s">
        <v>2811</v>
      </c>
      <c r="L2044" t="s">
        <v>21</v>
      </c>
      <c r="M2044" t="str">
        <f t="shared" si="93"/>
        <v>OK</v>
      </c>
      <c r="N2044" t="str">
        <f t="shared" si="94"/>
        <v>1990s</v>
      </c>
      <c r="O2044" t="str">
        <f t="shared" si="95"/>
        <v>N/A</v>
      </c>
      <c r="P2044" t="str">
        <f>VLOOKUP(E2044,calculated_fields!$F$4:$G$6,2,FALSE)</f>
        <v>Economy</v>
      </c>
    </row>
    <row r="2045" spans="1:16">
      <c r="A2045" t="s">
        <v>2814</v>
      </c>
      <c r="B2045" t="s">
        <v>2778</v>
      </c>
      <c r="C2045" t="s">
        <v>80</v>
      </c>
      <c r="D2045">
        <v>1997</v>
      </c>
      <c r="E2045" t="s">
        <v>15</v>
      </c>
      <c r="F2045" t="s">
        <v>16</v>
      </c>
      <c r="G2045" t="s">
        <v>17</v>
      </c>
      <c r="H2045" t="s">
        <v>18</v>
      </c>
      <c r="I2045">
        <v>71.040000000000006</v>
      </c>
      <c r="J2045" t="s">
        <v>19</v>
      </c>
      <c r="K2045" t="s">
        <v>2815</v>
      </c>
      <c r="L2045" t="s">
        <v>21</v>
      </c>
      <c r="M2045" t="str">
        <f t="shared" si="93"/>
        <v>OK</v>
      </c>
      <c r="N2045" t="str">
        <f t="shared" si="94"/>
        <v>1990s</v>
      </c>
      <c r="O2045" t="str">
        <f t="shared" si="95"/>
        <v>High</v>
      </c>
      <c r="P2045" t="str">
        <f>VLOOKUP(E2045,calculated_fields!$F$4:$G$6,2,FALSE)</f>
        <v>Health</v>
      </c>
    </row>
    <row r="2046" spans="1:16">
      <c r="A2046" t="s">
        <v>2816</v>
      </c>
      <c r="B2046" t="s">
        <v>2778</v>
      </c>
      <c r="C2046" t="s">
        <v>80</v>
      </c>
      <c r="D2046">
        <v>1997</v>
      </c>
      <c r="E2046" t="s">
        <v>23</v>
      </c>
      <c r="F2046" t="s">
        <v>24</v>
      </c>
      <c r="G2046" t="s">
        <v>25</v>
      </c>
      <c r="H2046" t="s">
        <v>26</v>
      </c>
      <c r="I2046">
        <v>10244684</v>
      </c>
      <c r="J2046" t="s">
        <v>27</v>
      </c>
      <c r="K2046" t="s">
        <v>2815</v>
      </c>
      <c r="L2046" t="s">
        <v>21</v>
      </c>
      <c r="M2046" t="str">
        <f t="shared" si="93"/>
        <v>OK</v>
      </c>
      <c r="N2046" t="str">
        <f t="shared" si="94"/>
        <v>1990s</v>
      </c>
      <c r="O2046" t="str">
        <f t="shared" si="95"/>
        <v>N/A</v>
      </c>
      <c r="P2046" t="str">
        <f>VLOOKUP(E2046,calculated_fields!$F$4:$G$6,2,FALSE)</f>
        <v>Demographics</v>
      </c>
    </row>
    <row r="2047" spans="1:16">
      <c r="A2047" t="s">
        <v>2817</v>
      </c>
      <c r="B2047" t="s">
        <v>2778</v>
      </c>
      <c r="C2047" t="s">
        <v>80</v>
      </c>
      <c r="D2047">
        <v>1997</v>
      </c>
      <c r="E2047" t="s">
        <v>29</v>
      </c>
      <c r="F2047" t="s">
        <v>30</v>
      </c>
      <c r="G2047" t="s">
        <v>31</v>
      </c>
      <c r="H2047" t="s">
        <v>32</v>
      </c>
      <c r="I2047">
        <v>11712.7768</v>
      </c>
      <c r="J2047" t="s">
        <v>33</v>
      </c>
      <c r="K2047" t="s">
        <v>2815</v>
      </c>
      <c r="L2047" t="s">
        <v>21</v>
      </c>
      <c r="M2047" t="str">
        <f t="shared" si="93"/>
        <v>OK</v>
      </c>
      <c r="N2047" t="str">
        <f t="shared" si="94"/>
        <v>1990s</v>
      </c>
      <c r="O2047" t="str">
        <f t="shared" si="95"/>
        <v>N/A</v>
      </c>
      <c r="P2047" t="str">
        <f>VLOOKUP(E2047,calculated_fields!$F$4:$G$6,2,FALSE)</f>
        <v>Economy</v>
      </c>
    </row>
    <row r="2048" spans="1:16">
      <c r="A2048" t="s">
        <v>2818</v>
      </c>
      <c r="B2048" t="s">
        <v>2778</v>
      </c>
      <c r="C2048" t="s">
        <v>80</v>
      </c>
      <c r="D2048">
        <v>2002</v>
      </c>
      <c r="E2048" t="s">
        <v>15</v>
      </c>
      <c r="F2048" t="s">
        <v>16</v>
      </c>
      <c r="G2048" t="s">
        <v>17</v>
      </c>
      <c r="H2048" t="s">
        <v>18</v>
      </c>
      <c r="I2048">
        <v>72.59</v>
      </c>
      <c r="J2048" t="s">
        <v>19</v>
      </c>
      <c r="K2048" t="s">
        <v>2819</v>
      </c>
      <c r="L2048" t="s">
        <v>21</v>
      </c>
      <c r="M2048" t="str">
        <f t="shared" si="93"/>
        <v>OK</v>
      </c>
      <c r="N2048" t="str">
        <f t="shared" si="94"/>
        <v>2000s</v>
      </c>
      <c r="O2048" t="str">
        <f t="shared" si="95"/>
        <v>High</v>
      </c>
      <c r="P2048" t="str">
        <f>VLOOKUP(E2048,calculated_fields!$F$4:$G$6,2,FALSE)</f>
        <v>Health</v>
      </c>
    </row>
    <row r="2049" spans="1:16">
      <c r="A2049" t="s">
        <v>2820</v>
      </c>
      <c r="B2049" t="s">
        <v>2778</v>
      </c>
      <c r="C2049" t="s">
        <v>80</v>
      </c>
      <c r="D2049">
        <v>2002</v>
      </c>
      <c r="E2049" t="s">
        <v>23</v>
      </c>
      <c r="F2049" t="s">
        <v>24</v>
      </c>
      <c r="G2049" t="s">
        <v>25</v>
      </c>
      <c r="H2049" t="s">
        <v>26</v>
      </c>
      <c r="I2049">
        <v>10083313</v>
      </c>
      <c r="J2049" t="s">
        <v>27</v>
      </c>
      <c r="K2049" t="s">
        <v>2819</v>
      </c>
      <c r="L2049" t="s">
        <v>21</v>
      </c>
      <c r="M2049" t="str">
        <f t="shared" si="93"/>
        <v>OK</v>
      </c>
      <c r="N2049" t="str">
        <f t="shared" si="94"/>
        <v>2000s</v>
      </c>
      <c r="O2049" t="str">
        <f t="shared" si="95"/>
        <v>N/A</v>
      </c>
      <c r="P2049" t="str">
        <f>VLOOKUP(E2049,calculated_fields!$F$4:$G$6,2,FALSE)</f>
        <v>Demographics</v>
      </c>
    </row>
    <row r="2050" spans="1:16">
      <c r="A2050" t="s">
        <v>2821</v>
      </c>
      <c r="B2050" t="s">
        <v>2778</v>
      </c>
      <c r="C2050" t="s">
        <v>80</v>
      </c>
      <c r="D2050">
        <v>2002</v>
      </c>
      <c r="E2050" t="s">
        <v>29</v>
      </c>
      <c r="F2050" t="s">
        <v>30</v>
      </c>
      <c r="G2050" t="s">
        <v>31</v>
      </c>
      <c r="H2050" t="s">
        <v>32</v>
      </c>
      <c r="I2050">
        <v>14843.93556</v>
      </c>
      <c r="J2050" t="s">
        <v>33</v>
      </c>
      <c r="K2050" t="s">
        <v>2819</v>
      </c>
      <c r="L2050" t="s">
        <v>21</v>
      </c>
      <c r="M2050" t="str">
        <f t="shared" ref="M2050:M2113" si="96">IF(AND(ISNUMBER(I2050),I2050&gt;=0),"OK","Review")</f>
        <v>OK</v>
      </c>
      <c r="N2050" t="str">
        <f t="shared" ref="N2050:N2113" si="97">FLOOR(D2050,10)&amp;"s"</f>
        <v>2000s</v>
      </c>
      <c r="O2050" t="str">
        <f t="shared" ref="O2050:O2113" si="98">IF(E2050="LIFE_EXP",IF(I2050&gt;=70,"High",IF(I2050&gt;=55,"Medium","Low")),"N/A")</f>
        <v>N/A</v>
      </c>
      <c r="P2050" t="str">
        <f>VLOOKUP(E2050,calculated_fields!$F$4:$G$6,2,FALSE)</f>
        <v>Economy</v>
      </c>
    </row>
    <row r="2051" spans="1:16">
      <c r="A2051" t="s">
        <v>2822</v>
      </c>
      <c r="B2051" t="s">
        <v>2778</v>
      </c>
      <c r="C2051" t="s">
        <v>80</v>
      </c>
      <c r="D2051">
        <v>2007</v>
      </c>
      <c r="E2051" t="s">
        <v>15</v>
      </c>
      <c r="F2051" t="s">
        <v>16</v>
      </c>
      <c r="G2051" t="s">
        <v>17</v>
      </c>
      <c r="H2051" t="s">
        <v>18</v>
      </c>
      <c r="I2051">
        <v>73.337999999999994</v>
      </c>
      <c r="J2051" t="s">
        <v>19</v>
      </c>
      <c r="K2051" t="s">
        <v>2823</v>
      </c>
      <c r="L2051" t="s">
        <v>21</v>
      </c>
      <c r="M2051" t="str">
        <f t="shared" si="96"/>
        <v>OK</v>
      </c>
      <c r="N2051" t="str">
        <f t="shared" si="97"/>
        <v>2000s</v>
      </c>
      <c r="O2051" t="str">
        <f t="shared" si="98"/>
        <v>High</v>
      </c>
      <c r="P2051" t="str">
        <f>VLOOKUP(E2051,calculated_fields!$F$4:$G$6,2,FALSE)</f>
        <v>Health</v>
      </c>
    </row>
    <row r="2052" spans="1:16">
      <c r="A2052" t="s">
        <v>2824</v>
      </c>
      <c r="B2052" t="s">
        <v>2778</v>
      </c>
      <c r="C2052" t="s">
        <v>80</v>
      </c>
      <c r="D2052">
        <v>2007</v>
      </c>
      <c r="E2052" t="s">
        <v>23</v>
      </c>
      <c r="F2052" t="s">
        <v>24</v>
      </c>
      <c r="G2052" t="s">
        <v>25</v>
      </c>
      <c r="H2052" t="s">
        <v>26</v>
      </c>
      <c r="I2052">
        <v>9956108</v>
      </c>
      <c r="J2052" t="s">
        <v>27</v>
      </c>
      <c r="K2052" t="s">
        <v>2823</v>
      </c>
      <c r="L2052" t="s">
        <v>21</v>
      </c>
      <c r="M2052" t="str">
        <f t="shared" si="96"/>
        <v>OK</v>
      </c>
      <c r="N2052" t="str">
        <f t="shared" si="97"/>
        <v>2000s</v>
      </c>
      <c r="O2052" t="str">
        <f t="shared" si="98"/>
        <v>N/A</v>
      </c>
      <c r="P2052" t="str">
        <f>VLOOKUP(E2052,calculated_fields!$F$4:$G$6,2,FALSE)</f>
        <v>Demographics</v>
      </c>
    </row>
    <row r="2053" spans="1:16">
      <c r="A2053" t="s">
        <v>2825</v>
      </c>
      <c r="B2053" t="s">
        <v>2778</v>
      </c>
      <c r="C2053" t="s">
        <v>80</v>
      </c>
      <c r="D2053">
        <v>2007</v>
      </c>
      <c r="E2053" t="s">
        <v>29</v>
      </c>
      <c r="F2053" t="s">
        <v>30</v>
      </c>
      <c r="G2053" t="s">
        <v>31</v>
      </c>
      <c r="H2053" t="s">
        <v>32</v>
      </c>
      <c r="I2053">
        <v>18008.944439999999</v>
      </c>
      <c r="J2053" t="s">
        <v>33</v>
      </c>
      <c r="K2053" t="s">
        <v>2823</v>
      </c>
      <c r="L2053" t="s">
        <v>21</v>
      </c>
      <c r="M2053" t="str">
        <f t="shared" si="96"/>
        <v>OK</v>
      </c>
      <c r="N2053" t="str">
        <f t="shared" si="97"/>
        <v>2000s</v>
      </c>
      <c r="O2053" t="str">
        <f t="shared" si="98"/>
        <v>N/A</v>
      </c>
      <c r="P2053" t="str">
        <f>VLOOKUP(E2053,calculated_fields!$F$4:$G$6,2,FALSE)</f>
        <v>Economy</v>
      </c>
    </row>
    <row r="2054" spans="1:16">
      <c r="A2054" t="s">
        <v>2826</v>
      </c>
      <c r="B2054" t="s">
        <v>2827</v>
      </c>
      <c r="C2054" t="s">
        <v>80</v>
      </c>
      <c r="D2054">
        <v>1952</v>
      </c>
      <c r="E2054" t="s">
        <v>15</v>
      </c>
      <c r="F2054" t="s">
        <v>16</v>
      </c>
      <c r="G2054" t="s">
        <v>17</v>
      </c>
      <c r="H2054" t="s">
        <v>18</v>
      </c>
      <c r="I2054">
        <v>72.489999999999995</v>
      </c>
      <c r="J2054" t="s">
        <v>19</v>
      </c>
      <c r="K2054" t="s">
        <v>2828</v>
      </c>
      <c r="L2054" t="s">
        <v>21</v>
      </c>
      <c r="M2054" t="str">
        <f t="shared" si="96"/>
        <v>OK</v>
      </c>
      <c r="N2054" t="str">
        <f t="shared" si="97"/>
        <v>1950s</v>
      </c>
      <c r="O2054" t="str">
        <f t="shared" si="98"/>
        <v>High</v>
      </c>
      <c r="P2054" t="str">
        <f>VLOOKUP(E2054,calculated_fields!$F$4:$G$6,2,FALSE)</f>
        <v>Health</v>
      </c>
    </row>
    <row r="2055" spans="1:16">
      <c r="A2055" t="s">
        <v>2829</v>
      </c>
      <c r="B2055" t="s">
        <v>2827</v>
      </c>
      <c r="C2055" t="s">
        <v>80</v>
      </c>
      <c r="D2055">
        <v>1952</v>
      </c>
      <c r="E2055" t="s">
        <v>23</v>
      </c>
      <c r="F2055" t="s">
        <v>24</v>
      </c>
      <c r="G2055" t="s">
        <v>25</v>
      </c>
      <c r="H2055" t="s">
        <v>26</v>
      </c>
      <c r="I2055">
        <v>147962</v>
      </c>
      <c r="J2055" t="s">
        <v>27</v>
      </c>
      <c r="K2055" t="s">
        <v>2828</v>
      </c>
      <c r="L2055" t="s">
        <v>21</v>
      </c>
      <c r="M2055" t="str">
        <f t="shared" si="96"/>
        <v>OK</v>
      </c>
      <c r="N2055" t="str">
        <f t="shared" si="97"/>
        <v>1950s</v>
      </c>
      <c r="O2055" t="str">
        <f t="shared" si="98"/>
        <v>N/A</v>
      </c>
      <c r="P2055" t="str">
        <f>VLOOKUP(E2055,calculated_fields!$F$4:$G$6,2,FALSE)</f>
        <v>Demographics</v>
      </c>
    </row>
    <row r="2056" spans="1:16">
      <c r="A2056" t="s">
        <v>2830</v>
      </c>
      <c r="B2056" t="s">
        <v>2827</v>
      </c>
      <c r="C2056" t="s">
        <v>80</v>
      </c>
      <c r="D2056">
        <v>1952</v>
      </c>
      <c r="E2056" t="s">
        <v>29</v>
      </c>
      <c r="F2056" t="s">
        <v>30</v>
      </c>
      <c r="G2056" t="s">
        <v>31</v>
      </c>
      <c r="H2056" t="s">
        <v>32</v>
      </c>
      <c r="I2056">
        <v>7267.6884280000004</v>
      </c>
      <c r="J2056" t="s">
        <v>33</v>
      </c>
      <c r="K2056" t="s">
        <v>2828</v>
      </c>
      <c r="L2056" t="s">
        <v>21</v>
      </c>
      <c r="M2056" t="str">
        <f t="shared" si="96"/>
        <v>OK</v>
      </c>
      <c r="N2056" t="str">
        <f t="shared" si="97"/>
        <v>1950s</v>
      </c>
      <c r="O2056" t="str">
        <f t="shared" si="98"/>
        <v>N/A</v>
      </c>
      <c r="P2056" t="str">
        <f>VLOOKUP(E2056,calculated_fields!$F$4:$G$6,2,FALSE)</f>
        <v>Economy</v>
      </c>
    </row>
    <row r="2057" spans="1:16">
      <c r="A2057" t="s">
        <v>2831</v>
      </c>
      <c r="B2057" t="s">
        <v>2827</v>
      </c>
      <c r="C2057" t="s">
        <v>80</v>
      </c>
      <c r="D2057">
        <v>1957</v>
      </c>
      <c r="E2057" t="s">
        <v>15</v>
      </c>
      <c r="F2057" t="s">
        <v>16</v>
      </c>
      <c r="G2057" t="s">
        <v>17</v>
      </c>
      <c r="H2057" t="s">
        <v>18</v>
      </c>
      <c r="I2057">
        <v>73.47</v>
      </c>
      <c r="J2057" t="s">
        <v>19</v>
      </c>
      <c r="K2057" t="s">
        <v>2832</v>
      </c>
      <c r="L2057" t="s">
        <v>21</v>
      </c>
      <c r="M2057" t="str">
        <f t="shared" si="96"/>
        <v>OK</v>
      </c>
      <c r="N2057" t="str">
        <f t="shared" si="97"/>
        <v>1950s</v>
      </c>
      <c r="O2057" t="str">
        <f t="shared" si="98"/>
        <v>High</v>
      </c>
      <c r="P2057" t="str">
        <f>VLOOKUP(E2057,calculated_fields!$F$4:$G$6,2,FALSE)</f>
        <v>Health</v>
      </c>
    </row>
    <row r="2058" spans="1:16">
      <c r="A2058" t="s">
        <v>2833</v>
      </c>
      <c r="B2058" t="s">
        <v>2827</v>
      </c>
      <c r="C2058" t="s">
        <v>80</v>
      </c>
      <c r="D2058">
        <v>1957</v>
      </c>
      <c r="E2058" t="s">
        <v>23</v>
      </c>
      <c r="F2058" t="s">
        <v>24</v>
      </c>
      <c r="G2058" t="s">
        <v>25</v>
      </c>
      <c r="H2058" t="s">
        <v>26</v>
      </c>
      <c r="I2058">
        <v>165110</v>
      </c>
      <c r="J2058" t="s">
        <v>27</v>
      </c>
      <c r="K2058" t="s">
        <v>2832</v>
      </c>
      <c r="L2058" t="s">
        <v>21</v>
      </c>
      <c r="M2058" t="str">
        <f t="shared" si="96"/>
        <v>OK</v>
      </c>
      <c r="N2058" t="str">
        <f t="shared" si="97"/>
        <v>1950s</v>
      </c>
      <c r="O2058" t="str">
        <f t="shared" si="98"/>
        <v>N/A</v>
      </c>
      <c r="P2058" t="str">
        <f>VLOOKUP(E2058,calculated_fields!$F$4:$G$6,2,FALSE)</f>
        <v>Demographics</v>
      </c>
    </row>
    <row r="2059" spans="1:16">
      <c r="A2059" t="s">
        <v>2834</v>
      </c>
      <c r="B2059" t="s">
        <v>2827</v>
      </c>
      <c r="C2059" t="s">
        <v>80</v>
      </c>
      <c r="D2059">
        <v>1957</v>
      </c>
      <c r="E2059" t="s">
        <v>29</v>
      </c>
      <c r="F2059" t="s">
        <v>30</v>
      </c>
      <c r="G2059" t="s">
        <v>31</v>
      </c>
      <c r="H2059" t="s">
        <v>32</v>
      </c>
      <c r="I2059">
        <v>9244.0014119999996</v>
      </c>
      <c r="J2059" t="s">
        <v>33</v>
      </c>
      <c r="K2059" t="s">
        <v>2832</v>
      </c>
      <c r="L2059" t="s">
        <v>21</v>
      </c>
      <c r="M2059" t="str">
        <f t="shared" si="96"/>
        <v>OK</v>
      </c>
      <c r="N2059" t="str">
        <f t="shared" si="97"/>
        <v>1950s</v>
      </c>
      <c r="O2059" t="str">
        <f t="shared" si="98"/>
        <v>N/A</v>
      </c>
      <c r="P2059" t="str">
        <f>VLOOKUP(E2059,calculated_fields!$F$4:$G$6,2,FALSE)</f>
        <v>Economy</v>
      </c>
    </row>
    <row r="2060" spans="1:16">
      <c r="A2060" t="s">
        <v>2835</v>
      </c>
      <c r="B2060" t="s">
        <v>2827</v>
      </c>
      <c r="C2060" t="s">
        <v>80</v>
      </c>
      <c r="D2060">
        <v>1962</v>
      </c>
      <c r="E2060" t="s">
        <v>15</v>
      </c>
      <c r="F2060" t="s">
        <v>16</v>
      </c>
      <c r="G2060" t="s">
        <v>17</v>
      </c>
      <c r="H2060" t="s">
        <v>18</v>
      </c>
      <c r="I2060">
        <v>73.680000000000007</v>
      </c>
      <c r="J2060" t="s">
        <v>19</v>
      </c>
      <c r="K2060" t="s">
        <v>2836</v>
      </c>
      <c r="L2060" t="s">
        <v>21</v>
      </c>
      <c r="M2060" t="str">
        <f t="shared" si="96"/>
        <v>OK</v>
      </c>
      <c r="N2060" t="str">
        <f t="shared" si="97"/>
        <v>1960s</v>
      </c>
      <c r="O2060" t="str">
        <f t="shared" si="98"/>
        <v>High</v>
      </c>
      <c r="P2060" t="str">
        <f>VLOOKUP(E2060,calculated_fields!$F$4:$G$6,2,FALSE)</f>
        <v>Health</v>
      </c>
    </row>
    <row r="2061" spans="1:16">
      <c r="A2061" t="s">
        <v>2837</v>
      </c>
      <c r="B2061" t="s">
        <v>2827</v>
      </c>
      <c r="C2061" t="s">
        <v>80</v>
      </c>
      <c r="D2061">
        <v>1962</v>
      </c>
      <c r="E2061" t="s">
        <v>23</v>
      </c>
      <c r="F2061" t="s">
        <v>24</v>
      </c>
      <c r="G2061" t="s">
        <v>25</v>
      </c>
      <c r="H2061" t="s">
        <v>26</v>
      </c>
      <c r="I2061">
        <v>182053</v>
      </c>
      <c r="J2061" t="s">
        <v>27</v>
      </c>
      <c r="K2061" t="s">
        <v>2836</v>
      </c>
      <c r="L2061" t="s">
        <v>21</v>
      </c>
      <c r="M2061" t="str">
        <f t="shared" si="96"/>
        <v>OK</v>
      </c>
      <c r="N2061" t="str">
        <f t="shared" si="97"/>
        <v>1960s</v>
      </c>
      <c r="O2061" t="str">
        <f t="shared" si="98"/>
        <v>N/A</v>
      </c>
      <c r="P2061" t="str">
        <f>VLOOKUP(E2061,calculated_fields!$F$4:$G$6,2,FALSE)</f>
        <v>Demographics</v>
      </c>
    </row>
    <row r="2062" spans="1:16">
      <c r="A2062" t="s">
        <v>2838</v>
      </c>
      <c r="B2062" t="s">
        <v>2827</v>
      </c>
      <c r="C2062" t="s">
        <v>80</v>
      </c>
      <c r="D2062">
        <v>1962</v>
      </c>
      <c r="E2062" t="s">
        <v>29</v>
      </c>
      <c r="F2062" t="s">
        <v>30</v>
      </c>
      <c r="G2062" t="s">
        <v>31</v>
      </c>
      <c r="H2062" t="s">
        <v>32</v>
      </c>
      <c r="I2062">
        <v>10350.15906</v>
      </c>
      <c r="J2062" t="s">
        <v>33</v>
      </c>
      <c r="K2062" t="s">
        <v>2836</v>
      </c>
      <c r="L2062" t="s">
        <v>21</v>
      </c>
      <c r="M2062" t="str">
        <f t="shared" si="96"/>
        <v>OK</v>
      </c>
      <c r="N2062" t="str">
        <f t="shared" si="97"/>
        <v>1960s</v>
      </c>
      <c r="O2062" t="str">
        <f t="shared" si="98"/>
        <v>N/A</v>
      </c>
      <c r="P2062" t="str">
        <f>VLOOKUP(E2062,calculated_fields!$F$4:$G$6,2,FALSE)</f>
        <v>Economy</v>
      </c>
    </row>
    <row r="2063" spans="1:16">
      <c r="A2063" t="s">
        <v>2839</v>
      </c>
      <c r="B2063" t="s">
        <v>2827</v>
      </c>
      <c r="C2063" t="s">
        <v>80</v>
      </c>
      <c r="D2063">
        <v>1967</v>
      </c>
      <c r="E2063" t="s">
        <v>15</v>
      </c>
      <c r="F2063" t="s">
        <v>16</v>
      </c>
      <c r="G2063" t="s">
        <v>17</v>
      </c>
      <c r="H2063" t="s">
        <v>18</v>
      </c>
      <c r="I2063">
        <v>73.73</v>
      </c>
      <c r="J2063" t="s">
        <v>19</v>
      </c>
      <c r="K2063" t="s">
        <v>2840</v>
      </c>
      <c r="L2063" t="s">
        <v>21</v>
      </c>
      <c r="M2063" t="str">
        <f t="shared" si="96"/>
        <v>OK</v>
      </c>
      <c r="N2063" t="str">
        <f t="shared" si="97"/>
        <v>1960s</v>
      </c>
      <c r="O2063" t="str">
        <f t="shared" si="98"/>
        <v>High</v>
      </c>
      <c r="P2063" t="str">
        <f>VLOOKUP(E2063,calculated_fields!$F$4:$G$6,2,FALSE)</f>
        <v>Health</v>
      </c>
    </row>
    <row r="2064" spans="1:16">
      <c r="A2064" t="s">
        <v>2841</v>
      </c>
      <c r="B2064" t="s">
        <v>2827</v>
      </c>
      <c r="C2064" t="s">
        <v>80</v>
      </c>
      <c r="D2064">
        <v>1967</v>
      </c>
      <c r="E2064" t="s">
        <v>23</v>
      </c>
      <c r="F2064" t="s">
        <v>24</v>
      </c>
      <c r="G2064" t="s">
        <v>25</v>
      </c>
      <c r="H2064" t="s">
        <v>26</v>
      </c>
      <c r="I2064">
        <v>198676</v>
      </c>
      <c r="J2064" t="s">
        <v>27</v>
      </c>
      <c r="K2064" t="s">
        <v>2840</v>
      </c>
      <c r="L2064" t="s">
        <v>21</v>
      </c>
      <c r="M2064" t="str">
        <f t="shared" si="96"/>
        <v>OK</v>
      </c>
      <c r="N2064" t="str">
        <f t="shared" si="97"/>
        <v>1960s</v>
      </c>
      <c r="O2064" t="str">
        <f t="shared" si="98"/>
        <v>N/A</v>
      </c>
      <c r="P2064" t="str">
        <f>VLOOKUP(E2064,calculated_fields!$F$4:$G$6,2,FALSE)</f>
        <v>Demographics</v>
      </c>
    </row>
    <row r="2065" spans="1:16">
      <c r="A2065" t="s">
        <v>2842</v>
      </c>
      <c r="B2065" t="s">
        <v>2827</v>
      </c>
      <c r="C2065" t="s">
        <v>80</v>
      </c>
      <c r="D2065">
        <v>1967</v>
      </c>
      <c r="E2065" t="s">
        <v>29</v>
      </c>
      <c r="F2065" t="s">
        <v>30</v>
      </c>
      <c r="G2065" t="s">
        <v>31</v>
      </c>
      <c r="H2065" t="s">
        <v>32</v>
      </c>
      <c r="I2065">
        <v>13319.89568</v>
      </c>
      <c r="J2065" t="s">
        <v>33</v>
      </c>
      <c r="K2065" t="s">
        <v>2840</v>
      </c>
      <c r="L2065" t="s">
        <v>21</v>
      </c>
      <c r="M2065" t="str">
        <f t="shared" si="96"/>
        <v>OK</v>
      </c>
      <c r="N2065" t="str">
        <f t="shared" si="97"/>
        <v>1960s</v>
      </c>
      <c r="O2065" t="str">
        <f t="shared" si="98"/>
        <v>N/A</v>
      </c>
      <c r="P2065" t="str">
        <f>VLOOKUP(E2065,calculated_fields!$F$4:$G$6,2,FALSE)</f>
        <v>Economy</v>
      </c>
    </row>
    <row r="2066" spans="1:16">
      <c r="A2066" t="s">
        <v>2843</v>
      </c>
      <c r="B2066" t="s">
        <v>2827</v>
      </c>
      <c r="C2066" t="s">
        <v>80</v>
      </c>
      <c r="D2066">
        <v>1972</v>
      </c>
      <c r="E2066" t="s">
        <v>15</v>
      </c>
      <c r="F2066" t="s">
        <v>16</v>
      </c>
      <c r="G2066" t="s">
        <v>17</v>
      </c>
      <c r="H2066" t="s">
        <v>18</v>
      </c>
      <c r="I2066">
        <v>74.459999999999994</v>
      </c>
      <c r="J2066" t="s">
        <v>19</v>
      </c>
      <c r="K2066" t="s">
        <v>2844</v>
      </c>
      <c r="L2066" t="s">
        <v>21</v>
      </c>
      <c r="M2066" t="str">
        <f t="shared" si="96"/>
        <v>OK</v>
      </c>
      <c r="N2066" t="str">
        <f t="shared" si="97"/>
        <v>1970s</v>
      </c>
      <c r="O2066" t="str">
        <f t="shared" si="98"/>
        <v>High</v>
      </c>
      <c r="P2066" t="str">
        <f>VLOOKUP(E2066,calculated_fields!$F$4:$G$6,2,FALSE)</f>
        <v>Health</v>
      </c>
    </row>
    <row r="2067" spans="1:16">
      <c r="A2067" t="s">
        <v>2845</v>
      </c>
      <c r="B2067" t="s">
        <v>2827</v>
      </c>
      <c r="C2067" t="s">
        <v>80</v>
      </c>
      <c r="D2067">
        <v>1972</v>
      </c>
      <c r="E2067" t="s">
        <v>23</v>
      </c>
      <c r="F2067" t="s">
        <v>24</v>
      </c>
      <c r="G2067" t="s">
        <v>25</v>
      </c>
      <c r="H2067" t="s">
        <v>26</v>
      </c>
      <c r="I2067">
        <v>209275</v>
      </c>
      <c r="J2067" t="s">
        <v>27</v>
      </c>
      <c r="K2067" t="s">
        <v>2844</v>
      </c>
      <c r="L2067" t="s">
        <v>21</v>
      </c>
      <c r="M2067" t="str">
        <f t="shared" si="96"/>
        <v>OK</v>
      </c>
      <c r="N2067" t="str">
        <f t="shared" si="97"/>
        <v>1970s</v>
      </c>
      <c r="O2067" t="str">
        <f t="shared" si="98"/>
        <v>N/A</v>
      </c>
      <c r="P2067" t="str">
        <f>VLOOKUP(E2067,calculated_fields!$F$4:$G$6,2,FALSE)</f>
        <v>Demographics</v>
      </c>
    </row>
    <row r="2068" spans="1:16">
      <c r="A2068" t="s">
        <v>2846</v>
      </c>
      <c r="B2068" t="s">
        <v>2827</v>
      </c>
      <c r="C2068" t="s">
        <v>80</v>
      </c>
      <c r="D2068">
        <v>1972</v>
      </c>
      <c r="E2068" t="s">
        <v>29</v>
      </c>
      <c r="F2068" t="s">
        <v>30</v>
      </c>
      <c r="G2068" t="s">
        <v>31</v>
      </c>
      <c r="H2068" t="s">
        <v>32</v>
      </c>
      <c r="I2068">
        <v>15798.063620000001</v>
      </c>
      <c r="J2068" t="s">
        <v>33</v>
      </c>
      <c r="K2068" t="s">
        <v>2844</v>
      </c>
      <c r="L2068" t="s">
        <v>21</v>
      </c>
      <c r="M2068" t="str">
        <f t="shared" si="96"/>
        <v>OK</v>
      </c>
      <c r="N2068" t="str">
        <f t="shared" si="97"/>
        <v>1970s</v>
      </c>
      <c r="O2068" t="str">
        <f t="shared" si="98"/>
        <v>N/A</v>
      </c>
      <c r="P2068" t="str">
        <f>VLOOKUP(E2068,calculated_fields!$F$4:$G$6,2,FALSE)</f>
        <v>Economy</v>
      </c>
    </row>
    <row r="2069" spans="1:16">
      <c r="A2069" t="s">
        <v>2847</v>
      </c>
      <c r="B2069" t="s">
        <v>2827</v>
      </c>
      <c r="C2069" t="s">
        <v>80</v>
      </c>
      <c r="D2069">
        <v>1977</v>
      </c>
      <c r="E2069" t="s">
        <v>15</v>
      </c>
      <c r="F2069" t="s">
        <v>16</v>
      </c>
      <c r="G2069" t="s">
        <v>17</v>
      </c>
      <c r="H2069" t="s">
        <v>18</v>
      </c>
      <c r="I2069">
        <v>76.11</v>
      </c>
      <c r="J2069" t="s">
        <v>19</v>
      </c>
      <c r="K2069" t="s">
        <v>2848</v>
      </c>
      <c r="L2069" t="s">
        <v>21</v>
      </c>
      <c r="M2069" t="str">
        <f t="shared" si="96"/>
        <v>OK</v>
      </c>
      <c r="N2069" t="str">
        <f t="shared" si="97"/>
        <v>1970s</v>
      </c>
      <c r="O2069" t="str">
        <f t="shared" si="98"/>
        <v>High</v>
      </c>
      <c r="P2069" t="str">
        <f>VLOOKUP(E2069,calculated_fields!$F$4:$G$6,2,FALSE)</f>
        <v>Health</v>
      </c>
    </row>
    <row r="2070" spans="1:16">
      <c r="A2070" t="s">
        <v>2849</v>
      </c>
      <c r="B2070" t="s">
        <v>2827</v>
      </c>
      <c r="C2070" t="s">
        <v>80</v>
      </c>
      <c r="D2070">
        <v>1977</v>
      </c>
      <c r="E2070" t="s">
        <v>23</v>
      </c>
      <c r="F2070" t="s">
        <v>24</v>
      </c>
      <c r="G2070" t="s">
        <v>25</v>
      </c>
      <c r="H2070" t="s">
        <v>26</v>
      </c>
      <c r="I2070">
        <v>221823</v>
      </c>
      <c r="J2070" t="s">
        <v>27</v>
      </c>
      <c r="K2070" t="s">
        <v>2848</v>
      </c>
      <c r="L2070" t="s">
        <v>21</v>
      </c>
      <c r="M2070" t="str">
        <f t="shared" si="96"/>
        <v>OK</v>
      </c>
      <c r="N2070" t="str">
        <f t="shared" si="97"/>
        <v>1970s</v>
      </c>
      <c r="O2070" t="str">
        <f t="shared" si="98"/>
        <v>N/A</v>
      </c>
      <c r="P2070" t="str">
        <f>VLOOKUP(E2070,calculated_fields!$F$4:$G$6,2,FALSE)</f>
        <v>Demographics</v>
      </c>
    </row>
    <row r="2071" spans="1:16">
      <c r="A2071" t="s">
        <v>2850</v>
      </c>
      <c r="B2071" t="s">
        <v>2827</v>
      </c>
      <c r="C2071" t="s">
        <v>80</v>
      </c>
      <c r="D2071">
        <v>1977</v>
      </c>
      <c r="E2071" t="s">
        <v>29</v>
      </c>
      <c r="F2071" t="s">
        <v>30</v>
      </c>
      <c r="G2071" t="s">
        <v>31</v>
      </c>
      <c r="H2071" t="s">
        <v>32</v>
      </c>
      <c r="I2071">
        <v>19654.962469999999</v>
      </c>
      <c r="J2071" t="s">
        <v>33</v>
      </c>
      <c r="K2071" t="s">
        <v>2848</v>
      </c>
      <c r="L2071" t="s">
        <v>21</v>
      </c>
      <c r="M2071" t="str">
        <f t="shared" si="96"/>
        <v>OK</v>
      </c>
      <c r="N2071" t="str">
        <f t="shared" si="97"/>
        <v>1970s</v>
      </c>
      <c r="O2071" t="str">
        <f t="shared" si="98"/>
        <v>N/A</v>
      </c>
      <c r="P2071" t="str">
        <f>VLOOKUP(E2071,calculated_fields!$F$4:$G$6,2,FALSE)</f>
        <v>Economy</v>
      </c>
    </row>
    <row r="2072" spans="1:16">
      <c r="A2072" t="s">
        <v>2851</v>
      </c>
      <c r="B2072" t="s">
        <v>2827</v>
      </c>
      <c r="C2072" t="s">
        <v>80</v>
      </c>
      <c r="D2072">
        <v>1982</v>
      </c>
      <c r="E2072" t="s">
        <v>15</v>
      </c>
      <c r="F2072" t="s">
        <v>16</v>
      </c>
      <c r="G2072" t="s">
        <v>17</v>
      </c>
      <c r="H2072" t="s">
        <v>18</v>
      </c>
      <c r="I2072">
        <v>76.989999999999995</v>
      </c>
      <c r="J2072" t="s">
        <v>19</v>
      </c>
      <c r="K2072" t="s">
        <v>2852</v>
      </c>
      <c r="L2072" t="s">
        <v>21</v>
      </c>
      <c r="M2072" t="str">
        <f t="shared" si="96"/>
        <v>OK</v>
      </c>
      <c r="N2072" t="str">
        <f t="shared" si="97"/>
        <v>1980s</v>
      </c>
      <c r="O2072" t="str">
        <f t="shared" si="98"/>
        <v>High</v>
      </c>
      <c r="P2072" t="str">
        <f>VLOOKUP(E2072,calculated_fields!$F$4:$G$6,2,FALSE)</f>
        <v>Health</v>
      </c>
    </row>
    <row r="2073" spans="1:16">
      <c r="A2073" t="s">
        <v>2853</v>
      </c>
      <c r="B2073" t="s">
        <v>2827</v>
      </c>
      <c r="C2073" t="s">
        <v>80</v>
      </c>
      <c r="D2073">
        <v>1982</v>
      </c>
      <c r="E2073" t="s">
        <v>23</v>
      </c>
      <c r="F2073" t="s">
        <v>24</v>
      </c>
      <c r="G2073" t="s">
        <v>25</v>
      </c>
      <c r="H2073" t="s">
        <v>26</v>
      </c>
      <c r="I2073">
        <v>233997</v>
      </c>
      <c r="J2073" t="s">
        <v>27</v>
      </c>
      <c r="K2073" t="s">
        <v>2852</v>
      </c>
      <c r="L2073" t="s">
        <v>21</v>
      </c>
      <c r="M2073" t="str">
        <f t="shared" si="96"/>
        <v>OK</v>
      </c>
      <c r="N2073" t="str">
        <f t="shared" si="97"/>
        <v>1980s</v>
      </c>
      <c r="O2073" t="str">
        <f t="shared" si="98"/>
        <v>N/A</v>
      </c>
      <c r="P2073" t="str">
        <f>VLOOKUP(E2073,calculated_fields!$F$4:$G$6,2,FALSE)</f>
        <v>Demographics</v>
      </c>
    </row>
    <row r="2074" spans="1:16">
      <c r="A2074" t="s">
        <v>2854</v>
      </c>
      <c r="B2074" t="s">
        <v>2827</v>
      </c>
      <c r="C2074" t="s">
        <v>80</v>
      </c>
      <c r="D2074">
        <v>1982</v>
      </c>
      <c r="E2074" t="s">
        <v>29</v>
      </c>
      <c r="F2074" t="s">
        <v>30</v>
      </c>
      <c r="G2074" t="s">
        <v>31</v>
      </c>
      <c r="H2074" t="s">
        <v>32</v>
      </c>
      <c r="I2074">
        <v>23269.607499999998</v>
      </c>
      <c r="J2074" t="s">
        <v>33</v>
      </c>
      <c r="K2074" t="s">
        <v>2852</v>
      </c>
      <c r="L2074" t="s">
        <v>21</v>
      </c>
      <c r="M2074" t="str">
        <f t="shared" si="96"/>
        <v>OK</v>
      </c>
      <c r="N2074" t="str">
        <f t="shared" si="97"/>
        <v>1980s</v>
      </c>
      <c r="O2074" t="str">
        <f t="shared" si="98"/>
        <v>N/A</v>
      </c>
      <c r="P2074" t="str">
        <f>VLOOKUP(E2074,calculated_fields!$F$4:$G$6,2,FALSE)</f>
        <v>Economy</v>
      </c>
    </row>
    <row r="2075" spans="1:16">
      <c r="A2075" t="s">
        <v>2855</v>
      </c>
      <c r="B2075" t="s">
        <v>2827</v>
      </c>
      <c r="C2075" t="s">
        <v>80</v>
      </c>
      <c r="D2075">
        <v>1987</v>
      </c>
      <c r="E2075" t="s">
        <v>15</v>
      </c>
      <c r="F2075" t="s">
        <v>16</v>
      </c>
      <c r="G2075" t="s">
        <v>17</v>
      </c>
      <c r="H2075" t="s">
        <v>18</v>
      </c>
      <c r="I2075">
        <v>77.23</v>
      </c>
      <c r="J2075" t="s">
        <v>19</v>
      </c>
      <c r="K2075" t="s">
        <v>2856</v>
      </c>
      <c r="L2075" t="s">
        <v>21</v>
      </c>
      <c r="M2075" t="str">
        <f t="shared" si="96"/>
        <v>OK</v>
      </c>
      <c r="N2075" t="str">
        <f t="shared" si="97"/>
        <v>1980s</v>
      </c>
      <c r="O2075" t="str">
        <f t="shared" si="98"/>
        <v>High</v>
      </c>
      <c r="P2075" t="str">
        <f>VLOOKUP(E2075,calculated_fields!$F$4:$G$6,2,FALSE)</f>
        <v>Health</v>
      </c>
    </row>
    <row r="2076" spans="1:16">
      <c r="A2076" t="s">
        <v>2857</v>
      </c>
      <c r="B2076" t="s">
        <v>2827</v>
      </c>
      <c r="C2076" t="s">
        <v>80</v>
      </c>
      <c r="D2076">
        <v>1987</v>
      </c>
      <c r="E2076" t="s">
        <v>23</v>
      </c>
      <c r="F2076" t="s">
        <v>24</v>
      </c>
      <c r="G2076" t="s">
        <v>25</v>
      </c>
      <c r="H2076" t="s">
        <v>26</v>
      </c>
      <c r="I2076">
        <v>244676</v>
      </c>
      <c r="J2076" t="s">
        <v>27</v>
      </c>
      <c r="K2076" t="s">
        <v>2856</v>
      </c>
      <c r="L2076" t="s">
        <v>21</v>
      </c>
      <c r="M2076" t="str">
        <f t="shared" si="96"/>
        <v>OK</v>
      </c>
      <c r="N2076" t="str">
        <f t="shared" si="97"/>
        <v>1980s</v>
      </c>
      <c r="O2076" t="str">
        <f t="shared" si="98"/>
        <v>N/A</v>
      </c>
      <c r="P2076" t="str">
        <f>VLOOKUP(E2076,calculated_fields!$F$4:$G$6,2,FALSE)</f>
        <v>Demographics</v>
      </c>
    </row>
    <row r="2077" spans="1:16">
      <c r="A2077" t="s">
        <v>2858</v>
      </c>
      <c r="B2077" t="s">
        <v>2827</v>
      </c>
      <c r="C2077" t="s">
        <v>80</v>
      </c>
      <c r="D2077">
        <v>1987</v>
      </c>
      <c r="E2077" t="s">
        <v>29</v>
      </c>
      <c r="F2077" t="s">
        <v>30</v>
      </c>
      <c r="G2077" t="s">
        <v>31</v>
      </c>
      <c r="H2077" t="s">
        <v>32</v>
      </c>
      <c r="I2077">
        <v>26923.206279999999</v>
      </c>
      <c r="J2077" t="s">
        <v>33</v>
      </c>
      <c r="K2077" t="s">
        <v>2856</v>
      </c>
      <c r="L2077" t="s">
        <v>21</v>
      </c>
      <c r="M2077" t="str">
        <f t="shared" si="96"/>
        <v>OK</v>
      </c>
      <c r="N2077" t="str">
        <f t="shared" si="97"/>
        <v>1980s</v>
      </c>
      <c r="O2077" t="str">
        <f t="shared" si="98"/>
        <v>N/A</v>
      </c>
      <c r="P2077" t="str">
        <f>VLOOKUP(E2077,calculated_fields!$F$4:$G$6,2,FALSE)</f>
        <v>Economy</v>
      </c>
    </row>
    <row r="2078" spans="1:16">
      <c r="A2078" t="s">
        <v>2859</v>
      </c>
      <c r="B2078" t="s">
        <v>2827</v>
      </c>
      <c r="C2078" t="s">
        <v>80</v>
      </c>
      <c r="D2078">
        <v>1992</v>
      </c>
      <c r="E2078" t="s">
        <v>15</v>
      </c>
      <c r="F2078" t="s">
        <v>16</v>
      </c>
      <c r="G2078" t="s">
        <v>17</v>
      </c>
      <c r="H2078" t="s">
        <v>18</v>
      </c>
      <c r="I2078">
        <v>78.77</v>
      </c>
      <c r="J2078" t="s">
        <v>19</v>
      </c>
      <c r="K2078" t="s">
        <v>2860</v>
      </c>
      <c r="L2078" t="s">
        <v>21</v>
      </c>
      <c r="M2078" t="str">
        <f t="shared" si="96"/>
        <v>OK</v>
      </c>
      <c r="N2078" t="str">
        <f t="shared" si="97"/>
        <v>1990s</v>
      </c>
      <c r="O2078" t="str">
        <f t="shared" si="98"/>
        <v>High</v>
      </c>
      <c r="P2078" t="str">
        <f>VLOOKUP(E2078,calculated_fields!$F$4:$G$6,2,FALSE)</f>
        <v>Health</v>
      </c>
    </row>
    <row r="2079" spans="1:16">
      <c r="A2079" t="s">
        <v>2861</v>
      </c>
      <c r="B2079" t="s">
        <v>2827</v>
      </c>
      <c r="C2079" t="s">
        <v>80</v>
      </c>
      <c r="D2079">
        <v>1992</v>
      </c>
      <c r="E2079" t="s">
        <v>23</v>
      </c>
      <c r="F2079" t="s">
        <v>24</v>
      </c>
      <c r="G2079" t="s">
        <v>25</v>
      </c>
      <c r="H2079" t="s">
        <v>26</v>
      </c>
      <c r="I2079">
        <v>259012</v>
      </c>
      <c r="J2079" t="s">
        <v>27</v>
      </c>
      <c r="K2079" t="s">
        <v>2860</v>
      </c>
      <c r="L2079" t="s">
        <v>21</v>
      </c>
      <c r="M2079" t="str">
        <f t="shared" si="96"/>
        <v>OK</v>
      </c>
      <c r="N2079" t="str">
        <f t="shared" si="97"/>
        <v>1990s</v>
      </c>
      <c r="O2079" t="str">
        <f t="shared" si="98"/>
        <v>N/A</v>
      </c>
      <c r="P2079" t="str">
        <f>VLOOKUP(E2079,calculated_fields!$F$4:$G$6,2,FALSE)</f>
        <v>Demographics</v>
      </c>
    </row>
    <row r="2080" spans="1:16">
      <c r="A2080" t="s">
        <v>2862</v>
      </c>
      <c r="B2080" t="s">
        <v>2827</v>
      </c>
      <c r="C2080" t="s">
        <v>80</v>
      </c>
      <c r="D2080">
        <v>1992</v>
      </c>
      <c r="E2080" t="s">
        <v>29</v>
      </c>
      <c r="F2080" t="s">
        <v>30</v>
      </c>
      <c r="G2080" t="s">
        <v>31</v>
      </c>
      <c r="H2080" t="s">
        <v>32</v>
      </c>
      <c r="I2080">
        <v>25144.39201</v>
      </c>
      <c r="J2080" t="s">
        <v>33</v>
      </c>
      <c r="K2080" t="s">
        <v>2860</v>
      </c>
      <c r="L2080" t="s">
        <v>21</v>
      </c>
      <c r="M2080" t="str">
        <f t="shared" si="96"/>
        <v>OK</v>
      </c>
      <c r="N2080" t="str">
        <f t="shared" si="97"/>
        <v>1990s</v>
      </c>
      <c r="O2080" t="str">
        <f t="shared" si="98"/>
        <v>N/A</v>
      </c>
      <c r="P2080" t="str">
        <f>VLOOKUP(E2080,calculated_fields!$F$4:$G$6,2,FALSE)</f>
        <v>Economy</v>
      </c>
    </row>
    <row r="2081" spans="1:16">
      <c r="A2081" t="s">
        <v>2863</v>
      </c>
      <c r="B2081" t="s">
        <v>2827</v>
      </c>
      <c r="C2081" t="s">
        <v>80</v>
      </c>
      <c r="D2081">
        <v>1997</v>
      </c>
      <c r="E2081" t="s">
        <v>15</v>
      </c>
      <c r="F2081" t="s">
        <v>16</v>
      </c>
      <c r="G2081" t="s">
        <v>17</v>
      </c>
      <c r="H2081" t="s">
        <v>18</v>
      </c>
      <c r="I2081">
        <v>78.95</v>
      </c>
      <c r="J2081" t="s">
        <v>19</v>
      </c>
      <c r="K2081" t="s">
        <v>2864</v>
      </c>
      <c r="L2081" t="s">
        <v>21</v>
      </c>
      <c r="M2081" t="str">
        <f t="shared" si="96"/>
        <v>OK</v>
      </c>
      <c r="N2081" t="str">
        <f t="shared" si="97"/>
        <v>1990s</v>
      </c>
      <c r="O2081" t="str">
        <f t="shared" si="98"/>
        <v>High</v>
      </c>
      <c r="P2081" t="str">
        <f>VLOOKUP(E2081,calculated_fields!$F$4:$G$6,2,FALSE)</f>
        <v>Health</v>
      </c>
    </row>
    <row r="2082" spans="1:16">
      <c r="A2082" t="s">
        <v>2865</v>
      </c>
      <c r="B2082" t="s">
        <v>2827</v>
      </c>
      <c r="C2082" t="s">
        <v>80</v>
      </c>
      <c r="D2082">
        <v>1997</v>
      </c>
      <c r="E2082" t="s">
        <v>23</v>
      </c>
      <c r="F2082" t="s">
        <v>24</v>
      </c>
      <c r="G2082" t="s">
        <v>25</v>
      </c>
      <c r="H2082" t="s">
        <v>26</v>
      </c>
      <c r="I2082">
        <v>271192</v>
      </c>
      <c r="J2082" t="s">
        <v>27</v>
      </c>
      <c r="K2082" t="s">
        <v>2864</v>
      </c>
      <c r="L2082" t="s">
        <v>21</v>
      </c>
      <c r="M2082" t="str">
        <f t="shared" si="96"/>
        <v>OK</v>
      </c>
      <c r="N2082" t="str">
        <f t="shared" si="97"/>
        <v>1990s</v>
      </c>
      <c r="O2082" t="str">
        <f t="shared" si="98"/>
        <v>N/A</v>
      </c>
      <c r="P2082" t="str">
        <f>VLOOKUP(E2082,calculated_fields!$F$4:$G$6,2,FALSE)</f>
        <v>Demographics</v>
      </c>
    </row>
    <row r="2083" spans="1:16">
      <c r="A2083" t="s">
        <v>2866</v>
      </c>
      <c r="B2083" t="s">
        <v>2827</v>
      </c>
      <c r="C2083" t="s">
        <v>80</v>
      </c>
      <c r="D2083">
        <v>1997</v>
      </c>
      <c r="E2083" t="s">
        <v>29</v>
      </c>
      <c r="F2083" t="s">
        <v>30</v>
      </c>
      <c r="G2083" t="s">
        <v>31</v>
      </c>
      <c r="H2083" t="s">
        <v>32</v>
      </c>
      <c r="I2083">
        <v>28061.09966</v>
      </c>
      <c r="J2083" t="s">
        <v>33</v>
      </c>
      <c r="K2083" t="s">
        <v>2864</v>
      </c>
      <c r="L2083" t="s">
        <v>21</v>
      </c>
      <c r="M2083" t="str">
        <f t="shared" si="96"/>
        <v>OK</v>
      </c>
      <c r="N2083" t="str">
        <f t="shared" si="97"/>
        <v>1990s</v>
      </c>
      <c r="O2083" t="str">
        <f t="shared" si="98"/>
        <v>N/A</v>
      </c>
      <c r="P2083" t="str">
        <f>VLOOKUP(E2083,calculated_fields!$F$4:$G$6,2,FALSE)</f>
        <v>Economy</v>
      </c>
    </row>
    <row r="2084" spans="1:16">
      <c r="A2084" t="s">
        <v>2867</v>
      </c>
      <c r="B2084" t="s">
        <v>2827</v>
      </c>
      <c r="C2084" t="s">
        <v>80</v>
      </c>
      <c r="D2084">
        <v>2002</v>
      </c>
      <c r="E2084" t="s">
        <v>15</v>
      </c>
      <c r="F2084" t="s">
        <v>16</v>
      </c>
      <c r="G2084" t="s">
        <v>17</v>
      </c>
      <c r="H2084" t="s">
        <v>18</v>
      </c>
      <c r="I2084">
        <v>80.5</v>
      </c>
      <c r="J2084" t="s">
        <v>19</v>
      </c>
      <c r="K2084" t="s">
        <v>2868</v>
      </c>
      <c r="L2084" t="s">
        <v>21</v>
      </c>
      <c r="M2084" t="str">
        <f t="shared" si="96"/>
        <v>OK</v>
      </c>
      <c r="N2084" t="str">
        <f t="shared" si="97"/>
        <v>2000s</v>
      </c>
      <c r="O2084" t="str">
        <f t="shared" si="98"/>
        <v>High</v>
      </c>
      <c r="P2084" t="str">
        <f>VLOOKUP(E2084,calculated_fields!$F$4:$G$6,2,FALSE)</f>
        <v>Health</v>
      </c>
    </row>
    <row r="2085" spans="1:16">
      <c r="A2085" t="s">
        <v>2869</v>
      </c>
      <c r="B2085" t="s">
        <v>2827</v>
      </c>
      <c r="C2085" t="s">
        <v>80</v>
      </c>
      <c r="D2085">
        <v>2002</v>
      </c>
      <c r="E2085" t="s">
        <v>23</v>
      </c>
      <c r="F2085" t="s">
        <v>24</v>
      </c>
      <c r="G2085" t="s">
        <v>25</v>
      </c>
      <c r="H2085" t="s">
        <v>26</v>
      </c>
      <c r="I2085">
        <v>288030</v>
      </c>
      <c r="J2085" t="s">
        <v>27</v>
      </c>
      <c r="K2085" t="s">
        <v>2868</v>
      </c>
      <c r="L2085" t="s">
        <v>21</v>
      </c>
      <c r="M2085" t="str">
        <f t="shared" si="96"/>
        <v>OK</v>
      </c>
      <c r="N2085" t="str">
        <f t="shared" si="97"/>
        <v>2000s</v>
      </c>
      <c r="O2085" t="str">
        <f t="shared" si="98"/>
        <v>N/A</v>
      </c>
      <c r="P2085" t="str">
        <f>VLOOKUP(E2085,calculated_fields!$F$4:$G$6,2,FALSE)</f>
        <v>Demographics</v>
      </c>
    </row>
    <row r="2086" spans="1:16">
      <c r="A2086" t="s">
        <v>2870</v>
      </c>
      <c r="B2086" t="s">
        <v>2827</v>
      </c>
      <c r="C2086" t="s">
        <v>80</v>
      </c>
      <c r="D2086">
        <v>2002</v>
      </c>
      <c r="E2086" t="s">
        <v>29</v>
      </c>
      <c r="F2086" t="s">
        <v>30</v>
      </c>
      <c r="G2086" t="s">
        <v>31</v>
      </c>
      <c r="H2086" t="s">
        <v>32</v>
      </c>
      <c r="I2086">
        <v>31163.201959999999</v>
      </c>
      <c r="J2086" t="s">
        <v>33</v>
      </c>
      <c r="K2086" t="s">
        <v>2868</v>
      </c>
      <c r="L2086" t="s">
        <v>21</v>
      </c>
      <c r="M2086" t="str">
        <f t="shared" si="96"/>
        <v>OK</v>
      </c>
      <c r="N2086" t="str">
        <f t="shared" si="97"/>
        <v>2000s</v>
      </c>
      <c r="O2086" t="str">
        <f t="shared" si="98"/>
        <v>N/A</v>
      </c>
      <c r="P2086" t="str">
        <f>VLOOKUP(E2086,calculated_fields!$F$4:$G$6,2,FALSE)</f>
        <v>Economy</v>
      </c>
    </row>
    <row r="2087" spans="1:16">
      <c r="A2087" t="s">
        <v>2871</v>
      </c>
      <c r="B2087" t="s">
        <v>2827</v>
      </c>
      <c r="C2087" t="s">
        <v>80</v>
      </c>
      <c r="D2087">
        <v>2007</v>
      </c>
      <c r="E2087" t="s">
        <v>15</v>
      </c>
      <c r="F2087" t="s">
        <v>16</v>
      </c>
      <c r="G2087" t="s">
        <v>17</v>
      </c>
      <c r="H2087" t="s">
        <v>18</v>
      </c>
      <c r="I2087">
        <v>81.757000000000005</v>
      </c>
      <c r="J2087" t="s">
        <v>19</v>
      </c>
      <c r="K2087" t="s">
        <v>2872</v>
      </c>
      <c r="L2087" t="s">
        <v>21</v>
      </c>
      <c r="M2087" t="str">
        <f t="shared" si="96"/>
        <v>OK</v>
      </c>
      <c r="N2087" t="str">
        <f t="shared" si="97"/>
        <v>2000s</v>
      </c>
      <c r="O2087" t="str">
        <f t="shared" si="98"/>
        <v>High</v>
      </c>
      <c r="P2087" t="str">
        <f>VLOOKUP(E2087,calculated_fields!$F$4:$G$6,2,FALSE)</f>
        <v>Health</v>
      </c>
    </row>
    <row r="2088" spans="1:16">
      <c r="A2088" t="s">
        <v>2873</v>
      </c>
      <c r="B2088" t="s">
        <v>2827</v>
      </c>
      <c r="C2088" t="s">
        <v>80</v>
      </c>
      <c r="D2088">
        <v>2007</v>
      </c>
      <c r="E2088" t="s">
        <v>23</v>
      </c>
      <c r="F2088" t="s">
        <v>24</v>
      </c>
      <c r="G2088" t="s">
        <v>25</v>
      </c>
      <c r="H2088" t="s">
        <v>26</v>
      </c>
      <c r="I2088">
        <v>301931</v>
      </c>
      <c r="J2088" t="s">
        <v>27</v>
      </c>
      <c r="K2088" t="s">
        <v>2872</v>
      </c>
      <c r="L2088" t="s">
        <v>21</v>
      </c>
      <c r="M2088" t="str">
        <f t="shared" si="96"/>
        <v>OK</v>
      </c>
      <c r="N2088" t="str">
        <f t="shared" si="97"/>
        <v>2000s</v>
      </c>
      <c r="O2088" t="str">
        <f t="shared" si="98"/>
        <v>N/A</v>
      </c>
      <c r="P2088" t="str">
        <f>VLOOKUP(E2088,calculated_fields!$F$4:$G$6,2,FALSE)</f>
        <v>Demographics</v>
      </c>
    </row>
    <row r="2089" spans="1:16">
      <c r="A2089" t="s">
        <v>2874</v>
      </c>
      <c r="B2089" t="s">
        <v>2827</v>
      </c>
      <c r="C2089" t="s">
        <v>80</v>
      </c>
      <c r="D2089">
        <v>2007</v>
      </c>
      <c r="E2089" t="s">
        <v>29</v>
      </c>
      <c r="F2089" t="s">
        <v>30</v>
      </c>
      <c r="G2089" t="s">
        <v>31</v>
      </c>
      <c r="H2089" t="s">
        <v>32</v>
      </c>
      <c r="I2089">
        <v>36180.789190000003</v>
      </c>
      <c r="J2089" t="s">
        <v>33</v>
      </c>
      <c r="K2089" t="s">
        <v>2872</v>
      </c>
      <c r="L2089" t="s">
        <v>21</v>
      </c>
      <c r="M2089" t="str">
        <f t="shared" si="96"/>
        <v>OK</v>
      </c>
      <c r="N2089" t="str">
        <f t="shared" si="97"/>
        <v>2000s</v>
      </c>
      <c r="O2089" t="str">
        <f t="shared" si="98"/>
        <v>N/A</v>
      </c>
      <c r="P2089" t="str">
        <f>VLOOKUP(E2089,calculated_fields!$F$4:$G$6,2,FALSE)</f>
        <v>Economy</v>
      </c>
    </row>
    <row r="2090" spans="1:16">
      <c r="A2090" t="s">
        <v>2875</v>
      </c>
      <c r="B2090" t="s">
        <v>2876</v>
      </c>
      <c r="C2090" t="s">
        <v>14</v>
      </c>
      <c r="D2090">
        <v>1952</v>
      </c>
      <c r="E2090" t="s">
        <v>15</v>
      </c>
      <c r="F2090" t="s">
        <v>16</v>
      </c>
      <c r="G2090" t="s">
        <v>17</v>
      </c>
      <c r="H2090" t="s">
        <v>18</v>
      </c>
      <c r="I2090">
        <v>37.372999999999998</v>
      </c>
      <c r="J2090" t="s">
        <v>19</v>
      </c>
      <c r="K2090" t="s">
        <v>2877</v>
      </c>
      <c r="L2090" t="s">
        <v>21</v>
      </c>
      <c r="M2090" t="str">
        <f t="shared" si="96"/>
        <v>OK</v>
      </c>
      <c r="N2090" t="str">
        <f t="shared" si="97"/>
        <v>1950s</v>
      </c>
      <c r="O2090" t="str">
        <f t="shared" si="98"/>
        <v>Low</v>
      </c>
      <c r="P2090" t="str">
        <f>VLOOKUP(E2090,calculated_fields!$F$4:$G$6,2,FALSE)</f>
        <v>Health</v>
      </c>
    </row>
    <row r="2091" spans="1:16">
      <c r="A2091" t="s">
        <v>2878</v>
      </c>
      <c r="B2091" t="s">
        <v>2876</v>
      </c>
      <c r="C2091" t="s">
        <v>14</v>
      </c>
      <c r="D2091">
        <v>1952</v>
      </c>
      <c r="E2091" t="s">
        <v>23</v>
      </c>
      <c r="F2091" t="s">
        <v>24</v>
      </c>
      <c r="G2091" t="s">
        <v>25</v>
      </c>
      <c r="H2091" t="s">
        <v>26</v>
      </c>
      <c r="I2091">
        <v>372000000</v>
      </c>
      <c r="J2091" t="s">
        <v>27</v>
      </c>
      <c r="K2091" t="s">
        <v>2877</v>
      </c>
      <c r="L2091" t="s">
        <v>21</v>
      </c>
      <c r="M2091" t="str">
        <f t="shared" si="96"/>
        <v>OK</v>
      </c>
      <c r="N2091" t="str">
        <f t="shared" si="97"/>
        <v>1950s</v>
      </c>
      <c r="O2091" t="str">
        <f t="shared" si="98"/>
        <v>N/A</v>
      </c>
      <c r="P2091" t="str">
        <f>VLOOKUP(E2091,calculated_fields!$F$4:$G$6,2,FALSE)</f>
        <v>Demographics</v>
      </c>
    </row>
    <row r="2092" spans="1:16">
      <c r="A2092" t="s">
        <v>2879</v>
      </c>
      <c r="B2092" t="s">
        <v>2876</v>
      </c>
      <c r="C2092" t="s">
        <v>14</v>
      </c>
      <c r="D2092">
        <v>1952</v>
      </c>
      <c r="E2092" t="s">
        <v>29</v>
      </c>
      <c r="F2092" t="s">
        <v>30</v>
      </c>
      <c r="G2092" t="s">
        <v>31</v>
      </c>
      <c r="H2092" t="s">
        <v>32</v>
      </c>
      <c r="I2092">
        <v>546.56574929999999</v>
      </c>
      <c r="J2092" t="s">
        <v>33</v>
      </c>
      <c r="K2092" t="s">
        <v>2877</v>
      </c>
      <c r="L2092" t="s">
        <v>21</v>
      </c>
      <c r="M2092" t="str">
        <f t="shared" si="96"/>
        <v>OK</v>
      </c>
      <c r="N2092" t="str">
        <f t="shared" si="97"/>
        <v>1950s</v>
      </c>
      <c r="O2092" t="str">
        <f t="shared" si="98"/>
        <v>N/A</v>
      </c>
      <c r="P2092" t="str">
        <f>VLOOKUP(E2092,calculated_fields!$F$4:$G$6,2,FALSE)</f>
        <v>Economy</v>
      </c>
    </row>
    <row r="2093" spans="1:16">
      <c r="A2093" t="s">
        <v>2880</v>
      </c>
      <c r="B2093" t="s">
        <v>2876</v>
      </c>
      <c r="C2093" t="s">
        <v>14</v>
      </c>
      <c r="D2093">
        <v>1957</v>
      </c>
      <c r="E2093" t="s">
        <v>15</v>
      </c>
      <c r="F2093" t="s">
        <v>16</v>
      </c>
      <c r="G2093" t="s">
        <v>17</v>
      </c>
      <c r="H2093" t="s">
        <v>18</v>
      </c>
      <c r="I2093">
        <v>40.249000000000002</v>
      </c>
      <c r="J2093" t="s">
        <v>19</v>
      </c>
      <c r="K2093" t="s">
        <v>2881</v>
      </c>
      <c r="L2093" t="s">
        <v>21</v>
      </c>
      <c r="M2093" t="str">
        <f t="shared" si="96"/>
        <v>OK</v>
      </c>
      <c r="N2093" t="str">
        <f t="shared" si="97"/>
        <v>1950s</v>
      </c>
      <c r="O2093" t="str">
        <f t="shared" si="98"/>
        <v>Low</v>
      </c>
      <c r="P2093" t="str">
        <f>VLOOKUP(E2093,calculated_fields!$F$4:$G$6,2,FALSE)</f>
        <v>Health</v>
      </c>
    </row>
    <row r="2094" spans="1:16">
      <c r="A2094" t="s">
        <v>2882</v>
      </c>
      <c r="B2094" t="s">
        <v>2876</v>
      </c>
      <c r="C2094" t="s">
        <v>14</v>
      </c>
      <c r="D2094">
        <v>1957</v>
      </c>
      <c r="E2094" t="s">
        <v>23</v>
      </c>
      <c r="F2094" t="s">
        <v>24</v>
      </c>
      <c r="G2094" t="s">
        <v>25</v>
      </c>
      <c r="H2094" t="s">
        <v>26</v>
      </c>
      <c r="I2094">
        <v>409000000</v>
      </c>
      <c r="J2094" t="s">
        <v>27</v>
      </c>
      <c r="K2094" t="s">
        <v>2881</v>
      </c>
      <c r="L2094" t="s">
        <v>21</v>
      </c>
      <c r="M2094" t="str">
        <f t="shared" si="96"/>
        <v>OK</v>
      </c>
      <c r="N2094" t="str">
        <f t="shared" si="97"/>
        <v>1950s</v>
      </c>
      <c r="O2094" t="str">
        <f t="shared" si="98"/>
        <v>N/A</v>
      </c>
      <c r="P2094" t="str">
        <f>VLOOKUP(E2094,calculated_fields!$F$4:$G$6,2,FALSE)</f>
        <v>Demographics</v>
      </c>
    </row>
    <row r="2095" spans="1:16">
      <c r="A2095" t="s">
        <v>2883</v>
      </c>
      <c r="B2095" t="s">
        <v>2876</v>
      </c>
      <c r="C2095" t="s">
        <v>14</v>
      </c>
      <c r="D2095">
        <v>1957</v>
      </c>
      <c r="E2095" t="s">
        <v>29</v>
      </c>
      <c r="F2095" t="s">
        <v>30</v>
      </c>
      <c r="G2095" t="s">
        <v>31</v>
      </c>
      <c r="H2095" t="s">
        <v>32</v>
      </c>
      <c r="I2095">
        <v>590.06199600000002</v>
      </c>
      <c r="J2095" t="s">
        <v>33</v>
      </c>
      <c r="K2095" t="s">
        <v>2881</v>
      </c>
      <c r="L2095" t="s">
        <v>21</v>
      </c>
      <c r="M2095" t="str">
        <f t="shared" si="96"/>
        <v>OK</v>
      </c>
      <c r="N2095" t="str">
        <f t="shared" si="97"/>
        <v>1950s</v>
      </c>
      <c r="O2095" t="str">
        <f t="shared" si="98"/>
        <v>N/A</v>
      </c>
      <c r="P2095" t="str">
        <f>VLOOKUP(E2095,calculated_fields!$F$4:$G$6,2,FALSE)</f>
        <v>Economy</v>
      </c>
    </row>
    <row r="2096" spans="1:16">
      <c r="A2096" t="s">
        <v>2884</v>
      </c>
      <c r="B2096" t="s">
        <v>2876</v>
      </c>
      <c r="C2096" t="s">
        <v>14</v>
      </c>
      <c r="D2096">
        <v>1962</v>
      </c>
      <c r="E2096" t="s">
        <v>15</v>
      </c>
      <c r="F2096" t="s">
        <v>16</v>
      </c>
      <c r="G2096" t="s">
        <v>17</v>
      </c>
      <c r="H2096" t="s">
        <v>18</v>
      </c>
      <c r="I2096">
        <v>43.604999999999997</v>
      </c>
      <c r="J2096" t="s">
        <v>19</v>
      </c>
      <c r="K2096" t="s">
        <v>2885</v>
      </c>
      <c r="L2096" t="s">
        <v>21</v>
      </c>
      <c r="M2096" t="str">
        <f t="shared" si="96"/>
        <v>OK</v>
      </c>
      <c r="N2096" t="str">
        <f t="shared" si="97"/>
        <v>1960s</v>
      </c>
      <c r="O2096" t="str">
        <f t="shared" si="98"/>
        <v>Low</v>
      </c>
      <c r="P2096" t="str">
        <f>VLOOKUP(E2096,calculated_fields!$F$4:$G$6,2,FALSE)</f>
        <v>Health</v>
      </c>
    </row>
    <row r="2097" spans="1:16">
      <c r="A2097" t="s">
        <v>2886</v>
      </c>
      <c r="B2097" t="s">
        <v>2876</v>
      </c>
      <c r="C2097" t="s">
        <v>14</v>
      </c>
      <c r="D2097">
        <v>1962</v>
      </c>
      <c r="E2097" t="s">
        <v>23</v>
      </c>
      <c r="F2097" t="s">
        <v>24</v>
      </c>
      <c r="G2097" t="s">
        <v>25</v>
      </c>
      <c r="H2097" t="s">
        <v>26</v>
      </c>
      <c r="I2097">
        <v>454000000</v>
      </c>
      <c r="J2097" t="s">
        <v>27</v>
      </c>
      <c r="K2097" t="s">
        <v>2885</v>
      </c>
      <c r="L2097" t="s">
        <v>21</v>
      </c>
      <c r="M2097" t="str">
        <f t="shared" si="96"/>
        <v>OK</v>
      </c>
      <c r="N2097" t="str">
        <f t="shared" si="97"/>
        <v>1960s</v>
      </c>
      <c r="O2097" t="str">
        <f t="shared" si="98"/>
        <v>N/A</v>
      </c>
      <c r="P2097" t="str">
        <f>VLOOKUP(E2097,calculated_fields!$F$4:$G$6,2,FALSE)</f>
        <v>Demographics</v>
      </c>
    </row>
    <row r="2098" spans="1:16">
      <c r="A2098" t="s">
        <v>2887</v>
      </c>
      <c r="B2098" t="s">
        <v>2876</v>
      </c>
      <c r="C2098" t="s">
        <v>14</v>
      </c>
      <c r="D2098">
        <v>1962</v>
      </c>
      <c r="E2098" t="s">
        <v>29</v>
      </c>
      <c r="F2098" t="s">
        <v>30</v>
      </c>
      <c r="G2098" t="s">
        <v>31</v>
      </c>
      <c r="H2098" t="s">
        <v>32</v>
      </c>
      <c r="I2098">
        <v>658.34715089999997</v>
      </c>
      <c r="J2098" t="s">
        <v>33</v>
      </c>
      <c r="K2098" t="s">
        <v>2885</v>
      </c>
      <c r="L2098" t="s">
        <v>21</v>
      </c>
      <c r="M2098" t="str">
        <f t="shared" si="96"/>
        <v>OK</v>
      </c>
      <c r="N2098" t="str">
        <f t="shared" si="97"/>
        <v>1960s</v>
      </c>
      <c r="O2098" t="str">
        <f t="shared" si="98"/>
        <v>N/A</v>
      </c>
      <c r="P2098" t="str">
        <f>VLOOKUP(E2098,calculated_fields!$F$4:$G$6,2,FALSE)</f>
        <v>Economy</v>
      </c>
    </row>
    <row r="2099" spans="1:16">
      <c r="A2099" t="s">
        <v>2888</v>
      </c>
      <c r="B2099" t="s">
        <v>2876</v>
      </c>
      <c r="C2099" t="s">
        <v>14</v>
      </c>
      <c r="D2099">
        <v>1967</v>
      </c>
      <c r="E2099" t="s">
        <v>15</v>
      </c>
      <c r="F2099" t="s">
        <v>16</v>
      </c>
      <c r="G2099" t="s">
        <v>17</v>
      </c>
      <c r="H2099" t="s">
        <v>18</v>
      </c>
      <c r="I2099">
        <v>47.192999999999998</v>
      </c>
      <c r="J2099" t="s">
        <v>19</v>
      </c>
      <c r="K2099" t="s">
        <v>2889</v>
      </c>
      <c r="L2099" t="s">
        <v>21</v>
      </c>
      <c r="M2099" t="str">
        <f t="shared" si="96"/>
        <v>OK</v>
      </c>
      <c r="N2099" t="str">
        <f t="shared" si="97"/>
        <v>1960s</v>
      </c>
      <c r="O2099" t="str">
        <f t="shared" si="98"/>
        <v>Low</v>
      </c>
      <c r="P2099" t="str">
        <f>VLOOKUP(E2099,calculated_fields!$F$4:$G$6,2,FALSE)</f>
        <v>Health</v>
      </c>
    </row>
    <row r="2100" spans="1:16">
      <c r="A2100" t="s">
        <v>2890</v>
      </c>
      <c r="B2100" t="s">
        <v>2876</v>
      </c>
      <c r="C2100" t="s">
        <v>14</v>
      </c>
      <c r="D2100">
        <v>1967</v>
      </c>
      <c r="E2100" t="s">
        <v>23</v>
      </c>
      <c r="F2100" t="s">
        <v>24</v>
      </c>
      <c r="G2100" t="s">
        <v>25</v>
      </c>
      <c r="H2100" t="s">
        <v>26</v>
      </c>
      <c r="I2100">
        <v>506000000</v>
      </c>
      <c r="J2100" t="s">
        <v>27</v>
      </c>
      <c r="K2100" t="s">
        <v>2889</v>
      </c>
      <c r="L2100" t="s">
        <v>21</v>
      </c>
      <c r="M2100" t="str">
        <f t="shared" si="96"/>
        <v>OK</v>
      </c>
      <c r="N2100" t="str">
        <f t="shared" si="97"/>
        <v>1960s</v>
      </c>
      <c r="O2100" t="str">
        <f t="shared" si="98"/>
        <v>N/A</v>
      </c>
      <c r="P2100" t="str">
        <f>VLOOKUP(E2100,calculated_fields!$F$4:$G$6,2,FALSE)</f>
        <v>Demographics</v>
      </c>
    </row>
    <row r="2101" spans="1:16">
      <c r="A2101" t="s">
        <v>2891</v>
      </c>
      <c r="B2101" t="s">
        <v>2876</v>
      </c>
      <c r="C2101" t="s">
        <v>14</v>
      </c>
      <c r="D2101">
        <v>1967</v>
      </c>
      <c r="E2101" t="s">
        <v>29</v>
      </c>
      <c r="F2101" t="s">
        <v>30</v>
      </c>
      <c r="G2101" t="s">
        <v>31</v>
      </c>
      <c r="H2101" t="s">
        <v>32</v>
      </c>
      <c r="I2101">
        <v>700.77061070000002</v>
      </c>
      <c r="J2101" t="s">
        <v>33</v>
      </c>
      <c r="K2101" t="s">
        <v>2889</v>
      </c>
      <c r="L2101" t="s">
        <v>21</v>
      </c>
      <c r="M2101" t="str">
        <f t="shared" si="96"/>
        <v>OK</v>
      </c>
      <c r="N2101" t="str">
        <f t="shared" si="97"/>
        <v>1960s</v>
      </c>
      <c r="O2101" t="str">
        <f t="shared" si="98"/>
        <v>N/A</v>
      </c>
      <c r="P2101" t="str">
        <f>VLOOKUP(E2101,calculated_fields!$F$4:$G$6,2,FALSE)</f>
        <v>Economy</v>
      </c>
    </row>
    <row r="2102" spans="1:16">
      <c r="A2102" t="s">
        <v>2892</v>
      </c>
      <c r="B2102" t="s">
        <v>2876</v>
      </c>
      <c r="C2102" t="s">
        <v>14</v>
      </c>
      <c r="D2102">
        <v>1972</v>
      </c>
      <c r="E2102" t="s">
        <v>15</v>
      </c>
      <c r="F2102" t="s">
        <v>16</v>
      </c>
      <c r="G2102" t="s">
        <v>17</v>
      </c>
      <c r="H2102" t="s">
        <v>18</v>
      </c>
      <c r="I2102">
        <v>50.651000000000003</v>
      </c>
      <c r="J2102" t="s">
        <v>19</v>
      </c>
      <c r="K2102" t="s">
        <v>2893</v>
      </c>
      <c r="L2102" t="s">
        <v>21</v>
      </c>
      <c r="M2102" t="str">
        <f t="shared" si="96"/>
        <v>OK</v>
      </c>
      <c r="N2102" t="str">
        <f t="shared" si="97"/>
        <v>1970s</v>
      </c>
      <c r="O2102" t="str">
        <f t="shared" si="98"/>
        <v>Low</v>
      </c>
      <c r="P2102" t="str">
        <f>VLOOKUP(E2102,calculated_fields!$F$4:$G$6,2,FALSE)</f>
        <v>Health</v>
      </c>
    </row>
    <row r="2103" spans="1:16">
      <c r="A2103" t="s">
        <v>2894</v>
      </c>
      <c r="B2103" t="s">
        <v>2876</v>
      </c>
      <c r="C2103" t="s">
        <v>14</v>
      </c>
      <c r="D2103">
        <v>1972</v>
      </c>
      <c r="E2103" t="s">
        <v>23</v>
      </c>
      <c r="F2103" t="s">
        <v>24</v>
      </c>
      <c r="G2103" t="s">
        <v>25</v>
      </c>
      <c r="H2103" t="s">
        <v>26</v>
      </c>
      <c r="I2103">
        <v>567000000</v>
      </c>
      <c r="J2103" t="s">
        <v>27</v>
      </c>
      <c r="K2103" t="s">
        <v>2893</v>
      </c>
      <c r="L2103" t="s">
        <v>21</v>
      </c>
      <c r="M2103" t="str">
        <f t="shared" si="96"/>
        <v>OK</v>
      </c>
      <c r="N2103" t="str">
        <f t="shared" si="97"/>
        <v>1970s</v>
      </c>
      <c r="O2103" t="str">
        <f t="shared" si="98"/>
        <v>N/A</v>
      </c>
      <c r="P2103" t="str">
        <f>VLOOKUP(E2103,calculated_fields!$F$4:$G$6,2,FALSE)</f>
        <v>Demographics</v>
      </c>
    </row>
    <row r="2104" spans="1:16">
      <c r="A2104" t="s">
        <v>2895</v>
      </c>
      <c r="B2104" t="s">
        <v>2876</v>
      </c>
      <c r="C2104" t="s">
        <v>14</v>
      </c>
      <c r="D2104">
        <v>1972</v>
      </c>
      <c r="E2104" t="s">
        <v>29</v>
      </c>
      <c r="F2104" t="s">
        <v>30</v>
      </c>
      <c r="G2104" t="s">
        <v>31</v>
      </c>
      <c r="H2104" t="s">
        <v>32</v>
      </c>
      <c r="I2104">
        <v>724.03252699999996</v>
      </c>
      <c r="J2104" t="s">
        <v>33</v>
      </c>
      <c r="K2104" t="s">
        <v>2893</v>
      </c>
      <c r="L2104" t="s">
        <v>21</v>
      </c>
      <c r="M2104" t="str">
        <f t="shared" si="96"/>
        <v>OK</v>
      </c>
      <c r="N2104" t="str">
        <f t="shared" si="97"/>
        <v>1970s</v>
      </c>
      <c r="O2104" t="str">
        <f t="shared" si="98"/>
        <v>N/A</v>
      </c>
      <c r="P2104" t="str">
        <f>VLOOKUP(E2104,calculated_fields!$F$4:$G$6,2,FALSE)</f>
        <v>Economy</v>
      </c>
    </row>
    <row r="2105" spans="1:16">
      <c r="A2105" t="s">
        <v>2896</v>
      </c>
      <c r="B2105" t="s">
        <v>2876</v>
      </c>
      <c r="C2105" t="s">
        <v>14</v>
      </c>
      <c r="D2105">
        <v>1977</v>
      </c>
      <c r="E2105" t="s">
        <v>15</v>
      </c>
      <c r="F2105" t="s">
        <v>16</v>
      </c>
      <c r="G2105" t="s">
        <v>17</v>
      </c>
      <c r="H2105" t="s">
        <v>18</v>
      </c>
      <c r="I2105">
        <v>54.207999999999998</v>
      </c>
      <c r="J2105" t="s">
        <v>19</v>
      </c>
      <c r="K2105" t="s">
        <v>2897</v>
      </c>
      <c r="L2105" t="s">
        <v>21</v>
      </c>
      <c r="M2105" t="str">
        <f t="shared" si="96"/>
        <v>OK</v>
      </c>
      <c r="N2105" t="str">
        <f t="shared" si="97"/>
        <v>1970s</v>
      </c>
      <c r="O2105" t="str">
        <f t="shared" si="98"/>
        <v>Low</v>
      </c>
      <c r="P2105" t="str">
        <f>VLOOKUP(E2105,calculated_fields!$F$4:$G$6,2,FALSE)</f>
        <v>Health</v>
      </c>
    </row>
    <row r="2106" spans="1:16">
      <c r="A2106" t="s">
        <v>2898</v>
      </c>
      <c r="B2106" t="s">
        <v>2876</v>
      </c>
      <c r="C2106" t="s">
        <v>14</v>
      </c>
      <c r="D2106">
        <v>1977</v>
      </c>
      <c r="E2106" t="s">
        <v>23</v>
      </c>
      <c r="F2106" t="s">
        <v>24</v>
      </c>
      <c r="G2106" t="s">
        <v>25</v>
      </c>
      <c r="H2106" t="s">
        <v>26</v>
      </c>
      <c r="I2106">
        <v>634000000</v>
      </c>
      <c r="J2106" t="s">
        <v>27</v>
      </c>
      <c r="K2106" t="s">
        <v>2897</v>
      </c>
      <c r="L2106" t="s">
        <v>21</v>
      </c>
      <c r="M2106" t="str">
        <f t="shared" si="96"/>
        <v>OK</v>
      </c>
      <c r="N2106" t="str">
        <f t="shared" si="97"/>
        <v>1970s</v>
      </c>
      <c r="O2106" t="str">
        <f t="shared" si="98"/>
        <v>N/A</v>
      </c>
      <c r="P2106" t="str">
        <f>VLOOKUP(E2106,calculated_fields!$F$4:$G$6,2,FALSE)</f>
        <v>Demographics</v>
      </c>
    </row>
    <row r="2107" spans="1:16">
      <c r="A2107" t="s">
        <v>2899</v>
      </c>
      <c r="B2107" t="s">
        <v>2876</v>
      </c>
      <c r="C2107" t="s">
        <v>14</v>
      </c>
      <c r="D2107">
        <v>1977</v>
      </c>
      <c r="E2107" t="s">
        <v>29</v>
      </c>
      <c r="F2107" t="s">
        <v>30</v>
      </c>
      <c r="G2107" t="s">
        <v>31</v>
      </c>
      <c r="H2107" t="s">
        <v>32</v>
      </c>
      <c r="I2107">
        <v>813.33732299999997</v>
      </c>
      <c r="J2107" t="s">
        <v>33</v>
      </c>
      <c r="K2107" t="s">
        <v>2897</v>
      </c>
      <c r="L2107" t="s">
        <v>21</v>
      </c>
      <c r="M2107" t="str">
        <f t="shared" si="96"/>
        <v>OK</v>
      </c>
      <c r="N2107" t="str">
        <f t="shared" si="97"/>
        <v>1970s</v>
      </c>
      <c r="O2107" t="str">
        <f t="shared" si="98"/>
        <v>N/A</v>
      </c>
      <c r="P2107" t="str">
        <f>VLOOKUP(E2107,calculated_fields!$F$4:$G$6,2,FALSE)</f>
        <v>Economy</v>
      </c>
    </row>
    <row r="2108" spans="1:16">
      <c r="A2108" t="s">
        <v>2900</v>
      </c>
      <c r="B2108" t="s">
        <v>2876</v>
      </c>
      <c r="C2108" t="s">
        <v>14</v>
      </c>
      <c r="D2108">
        <v>1982</v>
      </c>
      <c r="E2108" t="s">
        <v>15</v>
      </c>
      <c r="F2108" t="s">
        <v>16</v>
      </c>
      <c r="G2108" t="s">
        <v>17</v>
      </c>
      <c r="H2108" t="s">
        <v>18</v>
      </c>
      <c r="I2108">
        <v>56.595999999999997</v>
      </c>
      <c r="J2108" t="s">
        <v>19</v>
      </c>
      <c r="K2108" t="s">
        <v>2901</v>
      </c>
      <c r="L2108" t="s">
        <v>21</v>
      </c>
      <c r="M2108" t="str">
        <f t="shared" si="96"/>
        <v>OK</v>
      </c>
      <c r="N2108" t="str">
        <f t="shared" si="97"/>
        <v>1980s</v>
      </c>
      <c r="O2108" t="str">
        <f t="shared" si="98"/>
        <v>Medium</v>
      </c>
      <c r="P2108" t="str">
        <f>VLOOKUP(E2108,calculated_fields!$F$4:$G$6,2,FALSE)</f>
        <v>Health</v>
      </c>
    </row>
    <row r="2109" spans="1:16">
      <c r="A2109" t="s">
        <v>2902</v>
      </c>
      <c r="B2109" t="s">
        <v>2876</v>
      </c>
      <c r="C2109" t="s">
        <v>14</v>
      </c>
      <c r="D2109">
        <v>1982</v>
      </c>
      <c r="E2109" t="s">
        <v>23</v>
      </c>
      <c r="F2109" t="s">
        <v>24</v>
      </c>
      <c r="G2109" t="s">
        <v>25</v>
      </c>
      <c r="H2109" t="s">
        <v>26</v>
      </c>
      <c r="I2109">
        <v>708000000</v>
      </c>
      <c r="J2109" t="s">
        <v>27</v>
      </c>
      <c r="K2109" t="s">
        <v>2901</v>
      </c>
      <c r="L2109" t="s">
        <v>21</v>
      </c>
      <c r="M2109" t="str">
        <f t="shared" si="96"/>
        <v>OK</v>
      </c>
      <c r="N2109" t="str">
        <f t="shared" si="97"/>
        <v>1980s</v>
      </c>
      <c r="O2109" t="str">
        <f t="shared" si="98"/>
        <v>N/A</v>
      </c>
      <c r="P2109" t="str">
        <f>VLOOKUP(E2109,calculated_fields!$F$4:$G$6,2,FALSE)</f>
        <v>Demographics</v>
      </c>
    </row>
    <row r="2110" spans="1:16">
      <c r="A2110" t="s">
        <v>2903</v>
      </c>
      <c r="B2110" t="s">
        <v>2876</v>
      </c>
      <c r="C2110" t="s">
        <v>14</v>
      </c>
      <c r="D2110">
        <v>1982</v>
      </c>
      <c r="E2110" t="s">
        <v>29</v>
      </c>
      <c r="F2110" t="s">
        <v>30</v>
      </c>
      <c r="G2110" t="s">
        <v>31</v>
      </c>
      <c r="H2110" t="s">
        <v>32</v>
      </c>
      <c r="I2110">
        <v>855.72353769999995</v>
      </c>
      <c r="J2110" t="s">
        <v>33</v>
      </c>
      <c r="K2110" t="s">
        <v>2901</v>
      </c>
      <c r="L2110" t="s">
        <v>21</v>
      </c>
      <c r="M2110" t="str">
        <f t="shared" si="96"/>
        <v>OK</v>
      </c>
      <c r="N2110" t="str">
        <f t="shared" si="97"/>
        <v>1980s</v>
      </c>
      <c r="O2110" t="str">
        <f t="shared" si="98"/>
        <v>N/A</v>
      </c>
      <c r="P2110" t="str">
        <f>VLOOKUP(E2110,calculated_fields!$F$4:$G$6,2,FALSE)</f>
        <v>Economy</v>
      </c>
    </row>
    <row r="2111" spans="1:16">
      <c r="A2111" t="s">
        <v>2904</v>
      </c>
      <c r="B2111" t="s">
        <v>2876</v>
      </c>
      <c r="C2111" t="s">
        <v>14</v>
      </c>
      <c r="D2111">
        <v>1987</v>
      </c>
      <c r="E2111" t="s">
        <v>15</v>
      </c>
      <c r="F2111" t="s">
        <v>16</v>
      </c>
      <c r="G2111" t="s">
        <v>17</v>
      </c>
      <c r="H2111" t="s">
        <v>18</v>
      </c>
      <c r="I2111">
        <v>58.552999999999997</v>
      </c>
      <c r="J2111" t="s">
        <v>19</v>
      </c>
      <c r="K2111" t="s">
        <v>2905</v>
      </c>
      <c r="L2111" t="s">
        <v>21</v>
      </c>
      <c r="M2111" t="str">
        <f t="shared" si="96"/>
        <v>OK</v>
      </c>
      <c r="N2111" t="str">
        <f t="shared" si="97"/>
        <v>1980s</v>
      </c>
      <c r="O2111" t="str">
        <f t="shared" si="98"/>
        <v>Medium</v>
      </c>
      <c r="P2111" t="str">
        <f>VLOOKUP(E2111,calculated_fields!$F$4:$G$6,2,FALSE)</f>
        <v>Health</v>
      </c>
    </row>
    <row r="2112" spans="1:16">
      <c r="A2112" t="s">
        <v>2906</v>
      </c>
      <c r="B2112" t="s">
        <v>2876</v>
      </c>
      <c r="C2112" t="s">
        <v>14</v>
      </c>
      <c r="D2112">
        <v>1987</v>
      </c>
      <c r="E2112" t="s">
        <v>23</v>
      </c>
      <c r="F2112" t="s">
        <v>24</v>
      </c>
      <c r="G2112" t="s">
        <v>25</v>
      </c>
      <c r="H2112" t="s">
        <v>26</v>
      </c>
      <c r="I2112">
        <v>788000000</v>
      </c>
      <c r="J2112" t="s">
        <v>27</v>
      </c>
      <c r="K2112" t="s">
        <v>2905</v>
      </c>
      <c r="L2112" t="s">
        <v>21</v>
      </c>
      <c r="M2112" t="str">
        <f t="shared" si="96"/>
        <v>OK</v>
      </c>
      <c r="N2112" t="str">
        <f t="shared" si="97"/>
        <v>1980s</v>
      </c>
      <c r="O2112" t="str">
        <f t="shared" si="98"/>
        <v>N/A</v>
      </c>
      <c r="P2112" t="str">
        <f>VLOOKUP(E2112,calculated_fields!$F$4:$G$6,2,FALSE)</f>
        <v>Demographics</v>
      </c>
    </row>
    <row r="2113" spans="1:16">
      <c r="A2113" t="s">
        <v>2907</v>
      </c>
      <c r="B2113" t="s">
        <v>2876</v>
      </c>
      <c r="C2113" t="s">
        <v>14</v>
      </c>
      <c r="D2113">
        <v>1987</v>
      </c>
      <c r="E2113" t="s">
        <v>29</v>
      </c>
      <c r="F2113" t="s">
        <v>30</v>
      </c>
      <c r="G2113" t="s">
        <v>31</v>
      </c>
      <c r="H2113" t="s">
        <v>32</v>
      </c>
      <c r="I2113">
        <v>976.51267559999997</v>
      </c>
      <c r="J2113" t="s">
        <v>33</v>
      </c>
      <c r="K2113" t="s">
        <v>2905</v>
      </c>
      <c r="L2113" t="s">
        <v>21</v>
      </c>
      <c r="M2113" t="str">
        <f t="shared" si="96"/>
        <v>OK</v>
      </c>
      <c r="N2113" t="str">
        <f t="shared" si="97"/>
        <v>1980s</v>
      </c>
      <c r="O2113" t="str">
        <f t="shared" si="98"/>
        <v>N/A</v>
      </c>
      <c r="P2113" t="str">
        <f>VLOOKUP(E2113,calculated_fields!$F$4:$G$6,2,FALSE)</f>
        <v>Economy</v>
      </c>
    </row>
    <row r="2114" spans="1:16">
      <c r="A2114" t="s">
        <v>2908</v>
      </c>
      <c r="B2114" t="s">
        <v>2876</v>
      </c>
      <c r="C2114" t="s">
        <v>14</v>
      </c>
      <c r="D2114">
        <v>1992</v>
      </c>
      <c r="E2114" t="s">
        <v>15</v>
      </c>
      <c r="F2114" t="s">
        <v>16</v>
      </c>
      <c r="G2114" t="s">
        <v>17</v>
      </c>
      <c r="H2114" t="s">
        <v>18</v>
      </c>
      <c r="I2114">
        <v>60.222999999999999</v>
      </c>
      <c r="J2114" t="s">
        <v>19</v>
      </c>
      <c r="K2114" t="s">
        <v>2909</v>
      </c>
      <c r="L2114" t="s">
        <v>21</v>
      </c>
      <c r="M2114" t="str">
        <f t="shared" ref="M2114:M2177" si="99">IF(AND(ISNUMBER(I2114),I2114&gt;=0),"OK","Review")</f>
        <v>OK</v>
      </c>
      <c r="N2114" t="str">
        <f t="shared" ref="N2114:N2177" si="100">FLOOR(D2114,10)&amp;"s"</f>
        <v>1990s</v>
      </c>
      <c r="O2114" t="str">
        <f t="shared" ref="O2114:O2177" si="101">IF(E2114="LIFE_EXP",IF(I2114&gt;=70,"High",IF(I2114&gt;=55,"Medium","Low")),"N/A")</f>
        <v>Medium</v>
      </c>
      <c r="P2114" t="str">
        <f>VLOOKUP(E2114,calculated_fields!$F$4:$G$6,2,FALSE)</f>
        <v>Health</v>
      </c>
    </row>
    <row r="2115" spans="1:16">
      <c r="A2115" t="s">
        <v>2910</v>
      </c>
      <c r="B2115" t="s">
        <v>2876</v>
      </c>
      <c r="C2115" t="s">
        <v>14</v>
      </c>
      <c r="D2115">
        <v>1992</v>
      </c>
      <c r="E2115" t="s">
        <v>23</v>
      </c>
      <c r="F2115" t="s">
        <v>24</v>
      </c>
      <c r="G2115" t="s">
        <v>25</v>
      </c>
      <c r="H2115" t="s">
        <v>26</v>
      </c>
      <c r="I2115">
        <v>872000000</v>
      </c>
      <c r="J2115" t="s">
        <v>27</v>
      </c>
      <c r="K2115" t="s">
        <v>2909</v>
      </c>
      <c r="L2115" t="s">
        <v>21</v>
      </c>
      <c r="M2115" t="str">
        <f t="shared" si="99"/>
        <v>OK</v>
      </c>
      <c r="N2115" t="str">
        <f t="shared" si="100"/>
        <v>1990s</v>
      </c>
      <c r="O2115" t="str">
        <f t="shared" si="101"/>
        <v>N/A</v>
      </c>
      <c r="P2115" t="str">
        <f>VLOOKUP(E2115,calculated_fields!$F$4:$G$6,2,FALSE)</f>
        <v>Demographics</v>
      </c>
    </row>
    <row r="2116" spans="1:16">
      <c r="A2116" t="s">
        <v>2911</v>
      </c>
      <c r="B2116" t="s">
        <v>2876</v>
      </c>
      <c r="C2116" t="s">
        <v>14</v>
      </c>
      <c r="D2116">
        <v>1992</v>
      </c>
      <c r="E2116" t="s">
        <v>29</v>
      </c>
      <c r="F2116" t="s">
        <v>30</v>
      </c>
      <c r="G2116" t="s">
        <v>31</v>
      </c>
      <c r="H2116" t="s">
        <v>32</v>
      </c>
      <c r="I2116">
        <v>1164.4068090000001</v>
      </c>
      <c r="J2116" t="s">
        <v>33</v>
      </c>
      <c r="K2116" t="s">
        <v>2909</v>
      </c>
      <c r="L2116" t="s">
        <v>21</v>
      </c>
      <c r="M2116" t="str">
        <f t="shared" si="99"/>
        <v>OK</v>
      </c>
      <c r="N2116" t="str">
        <f t="shared" si="100"/>
        <v>1990s</v>
      </c>
      <c r="O2116" t="str">
        <f t="shared" si="101"/>
        <v>N/A</v>
      </c>
      <c r="P2116" t="str">
        <f>VLOOKUP(E2116,calculated_fields!$F$4:$G$6,2,FALSE)</f>
        <v>Economy</v>
      </c>
    </row>
    <row r="2117" spans="1:16">
      <c r="A2117" t="s">
        <v>2912</v>
      </c>
      <c r="B2117" t="s">
        <v>2876</v>
      </c>
      <c r="C2117" t="s">
        <v>14</v>
      </c>
      <c r="D2117">
        <v>1997</v>
      </c>
      <c r="E2117" t="s">
        <v>15</v>
      </c>
      <c r="F2117" t="s">
        <v>16</v>
      </c>
      <c r="G2117" t="s">
        <v>17</v>
      </c>
      <c r="H2117" t="s">
        <v>18</v>
      </c>
      <c r="I2117">
        <v>61.765000000000001</v>
      </c>
      <c r="J2117" t="s">
        <v>19</v>
      </c>
      <c r="K2117" t="s">
        <v>2913</v>
      </c>
      <c r="L2117" t="s">
        <v>21</v>
      </c>
      <c r="M2117" t="str">
        <f t="shared" si="99"/>
        <v>OK</v>
      </c>
      <c r="N2117" t="str">
        <f t="shared" si="100"/>
        <v>1990s</v>
      </c>
      <c r="O2117" t="str">
        <f t="shared" si="101"/>
        <v>Medium</v>
      </c>
      <c r="P2117" t="str">
        <f>VLOOKUP(E2117,calculated_fields!$F$4:$G$6,2,FALSE)</f>
        <v>Health</v>
      </c>
    </row>
    <row r="2118" spans="1:16">
      <c r="A2118" t="s">
        <v>2914</v>
      </c>
      <c r="B2118" t="s">
        <v>2876</v>
      </c>
      <c r="C2118" t="s">
        <v>14</v>
      </c>
      <c r="D2118">
        <v>1997</v>
      </c>
      <c r="E2118" t="s">
        <v>23</v>
      </c>
      <c r="F2118" t="s">
        <v>24</v>
      </c>
      <c r="G2118" t="s">
        <v>25</v>
      </c>
      <c r="H2118" t="s">
        <v>26</v>
      </c>
      <c r="I2118">
        <v>959000000</v>
      </c>
      <c r="J2118" t="s">
        <v>27</v>
      </c>
      <c r="K2118" t="s">
        <v>2913</v>
      </c>
      <c r="L2118" t="s">
        <v>21</v>
      </c>
      <c r="M2118" t="str">
        <f t="shared" si="99"/>
        <v>OK</v>
      </c>
      <c r="N2118" t="str">
        <f t="shared" si="100"/>
        <v>1990s</v>
      </c>
      <c r="O2118" t="str">
        <f t="shared" si="101"/>
        <v>N/A</v>
      </c>
      <c r="P2118" t="str">
        <f>VLOOKUP(E2118,calculated_fields!$F$4:$G$6,2,FALSE)</f>
        <v>Demographics</v>
      </c>
    </row>
    <row r="2119" spans="1:16">
      <c r="A2119" t="s">
        <v>2915</v>
      </c>
      <c r="B2119" t="s">
        <v>2876</v>
      </c>
      <c r="C2119" t="s">
        <v>14</v>
      </c>
      <c r="D2119">
        <v>1997</v>
      </c>
      <c r="E2119" t="s">
        <v>29</v>
      </c>
      <c r="F2119" t="s">
        <v>30</v>
      </c>
      <c r="G2119" t="s">
        <v>31</v>
      </c>
      <c r="H2119" t="s">
        <v>32</v>
      </c>
      <c r="I2119">
        <v>1458.817442</v>
      </c>
      <c r="J2119" t="s">
        <v>33</v>
      </c>
      <c r="K2119" t="s">
        <v>2913</v>
      </c>
      <c r="L2119" t="s">
        <v>21</v>
      </c>
      <c r="M2119" t="str">
        <f t="shared" si="99"/>
        <v>OK</v>
      </c>
      <c r="N2119" t="str">
        <f t="shared" si="100"/>
        <v>1990s</v>
      </c>
      <c r="O2119" t="str">
        <f t="shared" si="101"/>
        <v>N/A</v>
      </c>
      <c r="P2119" t="str">
        <f>VLOOKUP(E2119,calculated_fields!$F$4:$G$6,2,FALSE)</f>
        <v>Economy</v>
      </c>
    </row>
    <row r="2120" spans="1:16">
      <c r="A2120" t="s">
        <v>2916</v>
      </c>
      <c r="B2120" t="s">
        <v>2876</v>
      </c>
      <c r="C2120" t="s">
        <v>14</v>
      </c>
      <c r="D2120">
        <v>2002</v>
      </c>
      <c r="E2120" t="s">
        <v>15</v>
      </c>
      <c r="F2120" t="s">
        <v>16</v>
      </c>
      <c r="G2120" t="s">
        <v>17</v>
      </c>
      <c r="H2120" t="s">
        <v>18</v>
      </c>
      <c r="I2120">
        <v>62.878999999999998</v>
      </c>
      <c r="J2120" t="s">
        <v>19</v>
      </c>
      <c r="K2120" t="s">
        <v>2917</v>
      </c>
      <c r="L2120" t="s">
        <v>21</v>
      </c>
      <c r="M2120" t="str">
        <f t="shared" si="99"/>
        <v>OK</v>
      </c>
      <c r="N2120" t="str">
        <f t="shared" si="100"/>
        <v>2000s</v>
      </c>
      <c r="O2120" t="str">
        <f t="shared" si="101"/>
        <v>Medium</v>
      </c>
      <c r="P2120" t="str">
        <f>VLOOKUP(E2120,calculated_fields!$F$4:$G$6,2,FALSE)</f>
        <v>Health</v>
      </c>
    </row>
    <row r="2121" spans="1:16">
      <c r="A2121" t="s">
        <v>2918</v>
      </c>
      <c r="B2121" t="s">
        <v>2876</v>
      </c>
      <c r="C2121" t="s">
        <v>14</v>
      </c>
      <c r="D2121">
        <v>2002</v>
      </c>
      <c r="E2121" t="s">
        <v>23</v>
      </c>
      <c r="F2121" t="s">
        <v>24</v>
      </c>
      <c r="G2121" t="s">
        <v>25</v>
      </c>
      <c r="H2121" t="s">
        <v>26</v>
      </c>
      <c r="I2121">
        <v>1034172547</v>
      </c>
      <c r="J2121" t="s">
        <v>27</v>
      </c>
      <c r="K2121" t="s">
        <v>2917</v>
      </c>
      <c r="L2121" t="s">
        <v>21</v>
      </c>
      <c r="M2121" t="str">
        <f t="shared" si="99"/>
        <v>OK</v>
      </c>
      <c r="N2121" t="str">
        <f t="shared" si="100"/>
        <v>2000s</v>
      </c>
      <c r="O2121" t="str">
        <f t="shared" si="101"/>
        <v>N/A</v>
      </c>
      <c r="P2121" t="str">
        <f>VLOOKUP(E2121,calculated_fields!$F$4:$G$6,2,FALSE)</f>
        <v>Demographics</v>
      </c>
    </row>
    <row r="2122" spans="1:16">
      <c r="A2122" t="s">
        <v>2919</v>
      </c>
      <c r="B2122" t="s">
        <v>2876</v>
      </c>
      <c r="C2122" t="s">
        <v>14</v>
      </c>
      <c r="D2122">
        <v>2002</v>
      </c>
      <c r="E2122" t="s">
        <v>29</v>
      </c>
      <c r="F2122" t="s">
        <v>30</v>
      </c>
      <c r="G2122" t="s">
        <v>31</v>
      </c>
      <c r="H2122" t="s">
        <v>32</v>
      </c>
      <c r="I2122">
        <v>1746.769454</v>
      </c>
      <c r="J2122" t="s">
        <v>33</v>
      </c>
      <c r="K2122" t="s">
        <v>2917</v>
      </c>
      <c r="L2122" t="s">
        <v>21</v>
      </c>
      <c r="M2122" t="str">
        <f t="shared" si="99"/>
        <v>OK</v>
      </c>
      <c r="N2122" t="str">
        <f t="shared" si="100"/>
        <v>2000s</v>
      </c>
      <c r="O2122" t="str">
        <f t="shared" si="101"/>
        <v>N/A</v>
      </c>
      <c r="P2122" t="str">
        <f>VLOOKUP(E2122,calculated_fields!$F$4:$G$6,2,FALSE)</f>
        <v>Economy</v>
      </c>
    </row>
    <row r="2123" spans="1:16">
      <c r="A2123" t="s">
        <v>2920</v>
      </c>
      <c r="B2123" t="s">
        <v>2876</v>
      </c>
      <c r="C2123" t="s">
        <v>14</v>
      </c>
      <c r="D2123">
        <v>2007</v>
      </c>
      <c r="E2123" t="s">
        <v>15</v>
      </c>
      <c r="F2123" t="s">
        <v>16</v>
      </c>
      <c r="G2123" t="s">
        <v>17</v>
      </c>
      <c r="H2123" t="s">
        <v>18</v>
      </c>
      <c r="I2123">
        <v>64.697999999999993</v>
      </c>
      <c r="J2123" t="s">
        <v>19</v>
      </c>
      <c r="K2123" t="s">
        <v>2921</v>
      </c>
      <c r="L2123" t="s">
        <v>21</v>
      </c>
      <c r="M2123" t="str">
        <f t="shared" si="99"/>
        <v>OK</v>
      </c>
      <c r="N2123" t="str">
        <f t="shared" si="100"/>
        <v>2000s</v>
      </c>
      <c r="O2123" t="str">
        <f t="shared" si="101"/>
        <v>Medium</v>
      </c>
      <c r="P2123" t="str">
        <f>VLOOKUP(E2123,calculated_fields!$F$4:$G$6,2,FALSE)</f>
        <v>Health</v>
      </c>
    </row>
    <row r="2124" spans="1:16">
      <c r="A2124" t="s">
        <v>2922</v>
      </c>
      <c r="B2124" t="s">
        <v>2876</v>
      </c>
      <c r="C2124" t="s">
        <v>14</v>
      </c>
      <c r="D2124">
        <v>2007</v>
      </c>
      <c r="E2124" t="s">
        <v>23</v>
      </c>
      <c r="F2124" t="s">
        <v>24</v>
      </c>
      <c r="G2124" t="s">
        <v>25</v>
      </c>
      <c r="H2124" t="s">
        <v>26</v>
      </c>
      <c r="I2124">
        <v>1110396331</v>
      </c>
      <c r="J2124" t="s">
        <v>27</v>
      </c>
      <c r="K2124" t="s">
        <v>2921</v>
      </c>
      <c r="L2124" t="s">
        <v>21</v>
      </c>
      <c r="M2124" t="str">
        <f t="shared" si="99"/>
        <v>OK</v>
      </c>
      <c r="N2124" t="str">
        <f t="shared" si="100"/>
        <v>2000s</v>
      </c>
      <c r="O2124" t="str">
        <f t="shared" si="101"/>
        <v>N/A</v>
      </c>
      <c r="P2124" t="str">
        <f>VLOOKUP(E2124,calculated_fields!$F$4:$G$6,2,FALSE)</f>
        <v>Demographics</v>
      </c>
    </row>
    <row r="2125" spans="1:16">
      <c r="A2125" t="s">
        <v>2923</v>
      </c>
      <c r="B2125" t="s">
        <v>2876</v>
      </c>
      <c r="C2125" t="s">
        <v>14</v>
      </c>
      <c r="D2125">
        <v>2007</v>
      </c>
      <c r="E2125" t="s">
        <v>29</v>
      </c>
      <c r="F2125" t="s">
        <v>30</v>
      </c>
      <c r="G2125" t="s">
        <v>31</v>
      </c>
      <c r="H2125" t="s">
        <v>32</v>
      </c>
      <c r="I2125">
        <v>2452.210407</v>
      </c>
      <c r="J2125" t="s">
        <v>33</v>
      </c>
      <c r="K2125" t="s">
        <v>2921</v>
      </c>
      <c r="L2125" t="s">
        <v>21</v>
      </c>
      <c r="M2125" t="str">
        <f t="shared" si="99"/>
        <v>OK</v>
      </c>
      <c r="N2125" t="str">
        <f t="shared" si="100"/>
        <v>2000s</v>
      </c>
      <c r="O2125" t="str">
        <f t="shared" si="101"/>
        <v>N/A</v>
      </c>
      <c r="P2125" t="str">
        <f>VLOOKUP(E2125,calculated_fields!$F$4:$G$6,2,FALSE)</f>
        <v>Economy</v>
      </c>
    </row>
    <row r="2126" spans="1:16">
      <c r="A2126" t="s">
        <v>2924</v>
      </c>
      <c r="B2126" t="s">
        <v>2925</v>
      </c>
      <c r="C2126" t="s">
        <v>14</v>
      </c>
      <c r="D2126">
        <v>1952</v>
      </c>
      <c r="E2126" t="s">
        <v>15</v>
      </c>
      <c r="F2126" t="s">
        <v>16</v>
      </c>
      <c r="G2126" t="s">
        <v>17</v>
      </c>
      <c r="H2126" t="s">
        <v>18</v>
      </c>
      <c r="I2126">
        <v>37.468000000000004</v>
      </c>
      <c r="J2126" t="s">
        <v>19</v>
      </c>
      <c r="K2126" t="s">
        <v>2926</v>
      </c>
      <c r="L2126" t="s">
        <v>21</v>
      </c>
      <c r="M2126" t="str">
        <f t="shared" si="99"/>
        <v>OK</v>
      </c>
      <c r="N2126" t="str">
        <f t="shared" si="100"/>
        <v>1950s</v>
      </c>
      <c r="O2126" t="str">
        <f t="shared" si="101"/>
        <v>Low</v>
      </c>
      <c r="P2126" t="str">
        <f>VLOOKUP(E2126,calculated_fields!$F$4:$G$6,2,FALSE)</f>
        <v>Health</v>
      </c>
    </row>
    <row r="2127" spans="1:16">
      <c r="A2127" t="s">
        <v>2927</v>
      </c>
      <c r="B2127" t="s">
        <v>2925</v>
      </c>
      <c r="C2127" t="s">
        <v>14</v>
      </c>
      <c r="D2127">
        <v>1952</v>
      </c>
      <c r="E2127" t="s">
        <v>23</v>
      </c>
      <c r="F2127" t="s">
        <v>24</v>
      </c>
      <c r="G2127" t="s">
        <v>25</v>
      </c>
      <c r="H2127" t="s">
        <v>26</v>
      </c>
      <c r="I2127">
        <v>82052000</v>
      </c>
      <c r="J2127" t="s">
        <v>27</v>
      </c>
      <c r="K2127" t="s">
        <v>2926</v>
      </c>
      <c r="L2127" t="s">
        <v>21</v>
      </c>
      <c r="M2127" t="str">
        <f t="shared" si="99"/>
        <v>OK</v>
      </c>
      <c r="N2127" t="str">
        <f t="shared" si="100"/>
        <v>1950s</v>
      </c>
      <c r="O2127" t="str">
        <f t="shared" si="101"/>
        <v>N/A</v>
      </c>
      <c r="P2127" t="str">
        <f>VLOOKUP(E2127,calculated_fields!$F$4:$G$6,2,FALSE)</f>
        <v>Demographics</v>
      </c>
    </row>
    <row r="2128" spans="1:16">
      <c r="A2128" t="s">
        <v>2928</v>
      </c>
      <c r="B2128" t="s">
        <v>2925</v>
      </c>
      <c r="C2128" t="s">
        <v>14</v>
      </c>
      <c r="D2128">
        <v>1952</v>
      </c>
      <c r="E2128" t="s">
        <v>29</v>
      </c>
      <c r="F2128" t="s">
        <v>30</v>
      </c>
      <c r="G2128" t="s">
        <v>31</v>
      </c>
      <c r="H2128" t="s">
        <v>32</v>
      </c>
      <c r="I2128">
        <v>749.6816546</v>
      </c>
      <c r="J2128" t="s">
        <v>33</v>
      </c>
      <c r="K2128" t="s">
        <v>2926</v>
      </c>
      <c r="L2128" t="s">
        <v>21</v>
      </c>
      <c r="M2128" t="str">
        <f t="shared" si="99"/>
        <v>OK</v>
      </c>
      <c r="N2128" t="str">
        <f t="shared" si="100"/>
        <v>1950s</v>
      </c>
      <c r="O2128" t="str">
        <f t="shared" si="101"/>
        <v>N/A</v>
      </c>
      <c r="P2128" t="str">
        <f>VLOOKUP(E2128,calculated_fields!$F$4:$G$6,2,FALSE)</f>
        <v>Economy</v>
      </c>
    </row>
    <row r="2129" spans="1:16">
      <c r="A2129" t="s">
        <v>2929</v>
      </c>
      <c r="B2129" t="s">
        <v>2925</v>
      </c>
      <c r="C2129" t="s">
        <v>14</v>
      </c>
      <c r="D2129">
        <v>1957</v>
      </c>
      <c r="E2129" t="s">
        <v>15</v>
      </c>
      <c r="F2129" t="s">
        <v>16</v>
      </c>
      <c r="G2129" t="s">
        <v>17</v>
      </c>
      <c r="H2129" t="s">
        <v>18</v>
      </c>
      <c r="I2129">
        <v>39.917999999999999</v>
      </c>
      <c r="J2129" t="s">
        <v>19</v>
      </c>
      <c r="K2129" t="s">
        <v>2930</v>
      </c>
      <c r="L2129" t="s">
        <v>21</v>
      </c>
      <c r="M2129" t="str">
        <f t="shared" si="99"/>
        <v>OK</v>
      </c>
      <c r="N2129" t="str">
        <f t="shared" si="100"/>
        <v>1950s</v>
      </c>
      <c r="O2129" t="str">
        <f t="shared" si="101"/>
        <v>Low</v>
      </c>
      <c r="P2129" t="str">
        <f>VLOOKUP(E2129,calculated_fields!$F$4:$G$6,2,FALSE)</f>
        <v>Health</v>
      </c>
    </row>
    <row r="2130" spans="1:16">
      <c r="A2130" t="s">
        <v>2931</v>
      </c>
      <c r="B2130" t="s">
        <v>2925</v>
      </c>
      <c r="C2130" t="s">
        <v>14</v>
      </c>
      <c r="D2130">
        <v>1957</v>
      </c>
      <c r="E2130" t="s">
        <v>23</v>
      </c>
      <c r="F2130" t="s">
        <v>24</v>
      </c>
      <c r="G2130" t="s">
        <v>25</v>
      </c>
      <c r="H2130" t="s">
        <v>26</v>
      </c>
      <c r="I2130">
        <v>90124000</v>
      </c>
      <c r="J2130" t="s">
        <v>27</v>
      </c>
      <c r="K2130" t="s">
        <v>2930</v>
      </c>
      <c r="L2130" t="s">
        <v>21</v>
      </c>
      <c r="M2130" t="str">
        <f t="shared" si="99"/>
        <v>OK</v>
      </c>
      <c r="N2130" t="str">
        <f t="shared" si="100"/>
        <v>1950s</v>
      </c>
      <c r="O2130" t="str">
        <f t="shared" si="101"/>
        <v>N/A</v>
      </c>
      <c r="P2130" t="str">
        <f>VLOOKUP(E2130,calculated_fields!$F$4:$G$6,2,FALSE)</f>
        <v>Demographics</v>
      </c>
    </row>
    <row r="2131" spans="1:16">
      <c r="A2131" t="s">
        <v>2932</v>
      </c>
      <c r="B2131" t="s">
        <v>2925</v>
      </c>
      <c r="C2131" t="s">
        <v>14</v>
      </c>
      <c r="D2131">
        <v>1957</v>
      </c>
      <c r="E2131" t="s">
        <v>29</v>
      </c>
      <c r="F2131" t="s">
        <v>30</v>
      </c>
      <c r="G2131" t="s">
        <v>31</v>
      </c>
      <c r="H2131" t="s">
        <v>32</v>
      </c>
      <c r="I2131">
        <v>858.90027069999996</v>
      </c>
      <c r="J2131" t="s">
        <v>33</v>
      </c>
      <c r="K2131" t="s">
        <v>2930</v>
      </c>
      <c r="L2131" t="s">
        <v>21</v>
      </c>
      <c r="M2131" t="str">
        <f t="shared" si="99"/>
        <v>OK</v>
      </c>
      <c r="N2131" t="str">
        <f t="shared" si="100"/>
        <v>1950s</v>
      </c>
      <c r="O2131" t="str">
        <f t="shared" si="101"/>
        <v>N/A</v>
      </c>
      <c r="P2131" t="str">
        <f>VLOOKUP(E2131,calculated_fields!$F$4:$G$6,2,FALSE)</f>
        <v>Economy</v>
      </c>
    </row>
    <row r="2132" spans="1:16">
      <c r="A2132" t="s">
        <v>2933</v>
      </c>
      <c r="B2132" t="s">
        <v>2925</v>
      </c>
      <c r="C2132" t="s">
        <v>14</v>
      </c>
      <c r="D2132">
        <v>1962</v>
      </c>
      <c r="E2132" t="s">
        <v>15</v>
      </c>
      <c r="F2132" t="s">
        <v>16</v>
      </c>
      <c r="G2132" t="s">
        <v>17</v>
      </c>
      <c r="H2132" t="s">
        <v>18</v>
      </c>
      <c r="I2132">
        <v>42.518000000000001</v>
      </c>
      <c r="J2132" t="s">
        <v>19</v>
      </c>
      <c r="K2132" t="s">
        <v>2934</v>
      </c>
      <c r="L2132" t="s">
        <v>21</v>
      </c>
      <c r="M2132" t="str">
        <f t="shared" si="99"/>
        <v>OK</v>
      </c>
      <c r="N2132" t="str">
        <f t="shared" si="100"/>
        <v>1960s</v>
      </c>
      <c r="O2132" t="str">
        <f t="shared" si="101"/>
        <v>Low</v>
      </c>
      <c r="P2132" t="str">
        <f>VLOOKUP(E2132,calculated_fields!$F$4:$G$6,2,FALSE)</f>
        <v>Health</v>
      </c>
    </row>
    <row r="2133" spans="1:16">
      <c r="A2133" t="s">
        <v>2935</v>
      </c>
      <c r="B2133" t="s">
        <v>2925</v>
      </c>
      <c r="C2133" t="s">
        <v>14</v>
      </c>
      <c r="D2133">
        <v>1962</v>
      </c>
      <c r="E2133" t="s">
        <v>23</v>
      </c>
      <c r="F2133" t="s">
        <v>24</v>
      </c>
      <c r="G2133" t="s">
        <v>25</v>
      </c>
      <c r="H2133" t="s">
        <v>26</v>
      </c>
      <c r="I2133">
        <v>99028000</v>
      </c>
      <c r="J2133" t="s">
        <v>27</v>
      </c>
      <c r="K2133" t="s">
        <v>2934</v>
      </c>
      <c r="L2133" t="s">
        <v>21</v>
      </c>
      <c r="M2133" t="str">
        <f t="shared" si="99"/>
        <v>OK</v>
      </c>
      <c r="N2133" t="str">
        <f t="shared" si="100"/>
        <v>1960s</v>
      </c>
      <c r="O2133" t="str">
        <f t="shared" si="101"/>
        <v>N/A</v>
      </c>
      <c r="P2133" t="str">
        <f>VLOOKUP(E2133,calculated_fields!$F$4:$G$6,2,FALSE)</f>
        <v>Demographics</v>
      </c>
    </row>
    <row r="2134" spans="1:16">
      <c r="A2134" t="s">
        <v>2936</v>
      </c>
      <c r="B2134" t="s">
        <v>2925</v>
      </c>
      <c r="C2134" t="s">
        <v>14</v>
      </c>
      <c r="D2134">
        <v>1962</v>
      </c>
      <c r="E2134" t="s">
        <v>29</v>
      </c>
      <c r="F2134" t="s">
        <v>30</v>
      </c>
      <c r="G2134" t="s">
        <v>31</v>
      </c>
      <c r="H2134" t="s">
        <v>32</v>
      </c>
      <c r="I2134">
        <v>849.28977009999903</v>
      </c>
      <c r="J2134" t="s">
        <v>33</v>
      </c>
      <c r="K2134" t="s">
        <v>2934</v>
      </c>
      <c r="L2134" t="s">
        <v>21</v>
      </c>
      <c r="M2134" t="str">
        <f t="shared" si="99"/>
        <v>OK</v>
      </c>
      <c r="N2134" t="str">
        <f t="shared" si="100"/>
        <v>1960s</v>
      </c>
      <c r="O2134" t="str">
        <f t="shared" si="101"/>
        <v>N/A</v>
      </c>
      <c r="P2134" t="str">
        <f>VLOOKUP(E2134,calculated_fields!$F$4:$G$6,2,FALSE)</f>
        <v>Economy</v>
      </c>
    </row>
    <row r="2135" spans="1:16">
      <c r="A2135" t="s">
        <v>2937</v>
      </c>
      <c r="B2135" t="s">
        <v>2925</v>
      </c>
      <c r="C2135" t="s">
        <v>14</v>
      </c>
      <c r="D2135">
        <v>1967</v>
      </c>
      <c r="E2135" t="s">
        <v>15</v>
      </c>
      <c r="F2135" t="s">
        <v>16</v>
      </c>
      <c r="G2135" t="s">
        <v>17</v>
      </c>
      <c r="H2135" t="s">
        <v>18</v>
      </c>
      <c r="I2135">
        <v>45.963999999999999</v>
      </c>
      <c r="J2135" t="s">
        <v>19</v>
      </c>
      <c r="K2135" t="s">
        <v>2938</v>
      </c>
      <c r="L2135" t="s">
        <v>21</v>
      </c>
      <c r="M2135" t="str">
        <f t="shared" si="99"/>
        <v>OK</v>
      </c>
      <c r="N2135" t="str">
        <f t="shared" si="100"/>
        <v>1960s</v>
      </c>
      <c r="O2135" t="str">
        <f t="shared" si="101"/>
        <v>Low</v>
      </c>
      <c r="P2135" t="str">
        <f>VLOOKUP(E2135,calculated_fields!$F$4:$G$6,2,FALSE)</f>
        <v>Health</v>
      </c>
    </row>
    <row r="2136" spans="1:16">
      <c r="A2136" t="s">
        <v>2939</v>
      </c>
      <c r="B2136" t="s">
        <v>2925</v>
      </c>
      <c r="C2136" t="s">
        <v>14</v>
      </c>
      <c r="D2136">
        <v>1967</v>
      </c>
      <c r="E2136" t="s">
        <v>23</v>
      </c>
      <c r="F2136" t="s">
        <v>24</v>
      </c>
      <c r="G2136" t="s">
        <v>25</v>
      </c>
      <c r="H2136" t="s">
        <v>26</v>
      </c>
      <c r="I2136">
        <v>109343000</v>
      </c>
      <c r="J2136" t="s">
        <v>27</v>
      </c>
      <c r="K2136" t="s">
        <v>2938</v>
      </c>
      <c r="L2136" t="s">
        <v>21</v>
      </c>
      <c r="M2136" t="str">
        <f t="shared" si="99"/>
        <v>OK</v>
      </c>
      <c r="N2136" t="str">
        <f t="shared" si="100"/>
        <v>1960s</v>
      </c>
      <c r="O2136" t="str">
        <f t="shared" si="101"/>
        <v>N/A</v>
      </c>
      <c r="P2136" t="str">
        <f>VLOOKUP(E2136,calculated_fields!$F$4:$G$6,2,FALSE)</f>
        <v>Demographics</v>
      </c>
    </row>
    <row r="2137" spans="1:16">
      <c r="A2137" t="s">
        <v>2940</v>
      </c>
      <c r="B2137" t="s">
        <v>2925</v>
      </c>
      <c r="C2137" t="s">
        <v>14</v>
      </c>
      <c r="D2137">
        <v>1967</v>
      </c>
      <c r="E2137" t="s">
        <v>29</v>
      </c>
      <c r="F2137" t="s">
        <v>30</v>
      </c>
      <c r="G2137" t="s">
        <v>31</v>
      </c>
      <c r="H2137" t="s">
        <v>32</v>
      </c>
      <c r="I2137">
        <v>762.43177209999999</v>
      </c>
      <c r="J2137" t="s">
        <v>33</v>
      </c>
      <c r="K2137" t="s">
        <v>2938</v>
      </c>
      <c r="L2137" t="s">
        <v>21</v>
      </c>
      <c r="M2137" t="str">
        <f t="shared" si="99"/>
        <v>OK</v>
      </c>
      <c r="N2137" t="str">
        <f t="shared" si="100"/>
        <v>1960s</v>
      </c>
      <c r="O2137" t="str">
        <f t="shared" si="101"/>
        <v>N/A</v>
      </c>
      <c r="P2137" t="str">
        <f>VLOOKUP(E2137,calculated_fields!$F$4:$G$6,2,FALSE)</f>
        <v>Economy</v>
      </c>
    </row>
    <row r="2138" spans="1:16">
      <c r="A2138" t="s">
        <v>2941</v>
      </c>
      <c r="B2138" t="s">
        <v>2925</v>
      </c>
      <c r="C2138" t="s">
        <v>14</v>
      </c>
      <c r="D2138">
        <v>1972</v>
      </c>
      <c r="E2138" t="s">
        <v>15</v>
      </c>
      <c r="F2138" t="s">
        <v>16</v>
      </c>
      <c r="G2138" t="s">
        <v>17</v>
      </c>
      <c r="H2138" t="s">
        <v>18</v>
      </c>
      <c r="I2138">
        <v>49.203000000000003</v>
      </c>
      <c r="J2138" t="s">
        <v>19</v>
      </c>
      <c r="K2138" t="s">
        <v>2942</v>
      </c>
      <c r="L2138" t="s">
        <v>21</v>
      </c>
      <c r="M2138" t="str">
        <f t="shared" si="99"/>
        <v>OK</v>
      </c>
      <c r="N2138" t="str">
        <f t="shared" si="100"/>
        <v>1970s</v>
      </c>
      <c r="O2138" t="str">
        <f t="shared" si="101"/>
        <v>Low</v>
      </c>
      <c r="P2138" t="str">
        <f>VLOOKUP(E2138,calculated_fields!$F$4:$G$6,2,FALSE)</f>
        <v>Health</v>
      </c>
    </row>
    <row r="2139" spans="1:16">
      <c r="A2139" t="s">
        <v>2943</v>
      </c>
      <c r="B2139" t="s">
        <v>2925</v>
      </c>
      <c r="C2139" t="s">
        <v>14</v>
      </c>
      <c r="D2139">
        <v>1972</v>
      </c>
      <c r="E2139" t="s">
        <v>23</v>
      </c>
      <c r="F2139" t="s">
        <v>24</v>
      </c>
      <c r="G2139" t="s">
        <v>25</v>
      </c>
      <c r="H2139" t="s">
        <v>26</v>
      </c>
      <c r="I2139">
        <v>121282000</v>
      </c>
      <c r="J2139" t="s">
        <v>27</v>
      </c>
      <c r="K2139" t="s">
        <v>2942</v>
      </c>
      <c r="L2139" t="s">
        <v>21</v>
      </c>
      <c r="M2139" t="str">
        <f t="shared" si="99"/>
        <v>OK</v>
      </c>
      <c r="N2139" t="str">
        <f t="shared" si="100"/>
        <v>1970s</v>
      </c>
      <c r="O2139" t="str">
        <f t="shared" si="101"/>
        <v>N/A</v>
      </c>
      <c r="P2139" t="str">
        <f>VLOOKUP(E2139,calculated_fields!$F$4:$G$6,2,FALSE)</f>
        <v>Demographics</v>
      </c>
    </row>
    <row r="2140" spans="1:16">
      <c r="A2140" t="s">
        <v>2944</v>
      </c>
      <c r="B2140" t="s">
        <v>2925</v>
      </c>
      <c r="C2140" t="s">
        <v>14</v>
      </c>
      <c r="D2140">
        <v>1972</v>
      </c>
      <c r="E2140" t="s">
        <v>29</v>
      </c>
      <c r="F2140" t="s">
        <v>30</v>
      </c>
      <c r="G2140" t="s">
        <v>31</v>
      </c>
      <c r="H2140" t="s">
        <v>32</v>
      </c>
      <c r="I2140">
        <v>1111.1079070000001</v>
      </c>
      <c r="J2140" t="s">
        <v>33</v>
      </c>
      <c r="K2140" t="s">
        <v>2942</v>
      </c>
      <c r="L2140" t="s">
        <v>21</v>
      </c>
      <c r="M2140" t="str">
        <f t="shared" si="99"/>
        <v>OK</v>
      </c>
      <c r="N2140" t="str">
        <f t="shared" si="100"/>
        <v>1970s</v>
      </c>
      <c r="O2140" t="str">
        <f t="shared" si="101"/>
        <v>N/A</v>
      </c>
      <c r="P2140" t="str">
        <f>VLOOKUP(E2140,calculated_fields!$F$4:$G$6,2,FALSE)</f>
        <v>Economy</v>
      </c>
    </row>
    <row r="2141" spans="1:16">
      <c r="A2141" t="s">
        <v>2945</v>
      </c>
      <c r="B2141" t="s">
        <v>2925</v>
      </c>
      <c r="C2141" t="s">
        <v>14</v>
      </c>
      <c r="D2141">
        <v>1977</v>
      </c>
      <c r="E2141" t="s">
        <v>15</v>
      </c>
      <c r="F2141" t="s">
        <v>16</v>
      </c>
      <c r="G2141" t="s">
        <v>17</v>
      </c>
      <c r="H2141" t="s">
        <v>18</v>
      </c>
      <c r="I2141">
        <v>52.701999999999998</v>
      </c>
      <c r="J2141" t="s">
        <v>19</v>
      </c>
      <c r="K2141" t="s">
        <v>2946</v>
      </c>
      <c r="L2141" t="s">
        <v>21</v>
      </c>
      <c r="M2141" t="str">
        <f t="shared" si="99"/>
        <v>OK</v>
      </c>
      <c r="N2141" t="str">
        <f t="shared" si="100"/>
        <v>1970s</v>
      </c>
      <c r="O2141" t="str">
        <f t="shared" si="101"/>
        <v>Low</v>
      </c>
      <c r="P2141" t="str">
        <f>VLOOKUP(E2141,calculated_fields!$F$4:$G$6,2,FALSE)</f>
        <v>Health</v>
      </c>
    </row>
    <row r="2142" spans="1:16">
      <c r="A2142" t="s">
        <v>2947</v>
      </c>
      <c r="B2142" t="s">
        <v>2925</v>
      </c>
      <c r="C2142" t="s">
        <v>14</v>
      </c>
      <c r="D2142">
        <v>1977</v>
      </c>
      <c r="E2142" t="s">
        <v>23</v>
      </c>
      <c r="F2142" t="s">
        <v>24</v>
      </c>
      <c r="G2142" t="s">
        <v>25</v>
      </c>
      <c r="H2142" t="s">
        <v>26</v>
      </c>
      <c r="I2142">
        <v>136725000</v>
      </c>
      <c r="J2142" t="s">
        <v>27</v>
      </c>
      <c r="K2142" t="s">
        <v>2946</v>
      </c>
      <c r="L2142" t="s">
        <v>21</v>
      </c>
      <c r="M2142" t="str">
        <f t="shared" si="99"/>
        <v>OK</v>
      </c>
      <c r="N2142" t="str">
        <f t="shared" si="100"/>
        <v>1970s</v>
      </c>
      <c r="O2142" t="str">
        <f t="shared" si="101"/>
        <v>N/A</v>
      </c>
      <c r="P2142" t="str">
        <f>VLOOKUP(E2142,calculated_fields!$F$4:$G$6,2,FALSE)</f>
        <v>Demographics</v>
      </c>
    </row>
    <row r="2143" spans="1:16">
      <c r="A2143" t="s">
        <v>2948</v>
      </c>
      <c r="B2143" t="s">
        <v>2925</v>
      </c>
      <c r="C2143" t="s">
        <v>14</v>
      </c>
      <c r="D2143">
        <v>1977</v>
      </c>
      <c r="E2143" t="s">
        <v>29</v>
      </c>
      <c r="F2143" t="s">
        <v>30</v>
      </c>
      <c r="G2143" t="s">
        <v>31</v>
      </c>
      <c r="H2143" t="s">
        <v>32</v>
      </c>
      <c r="I2143">
        <v>1382.7020560000001</v>
      </c>
      <c r="J2143" t="s">
        <v>33</v>
      </c>
      <c r="K2143" t="s">
        <v>2946</v>
      </c>
      <c r="L2143" t="s">
        <v>21</v>
      </c>
      <c r="M2143" t="str">
        <f t="shared" si="99"/>
        <v>OK</v>
      </c>
      <c r="N2143" t="str">
        <f t="shared" si="100"/>
        <v>1970s</v>
      </c>
      <c r="O2143" t="str">
        <f t="shared" si="101"/>
        <v>N/A</v>
      </c>
      <c r="P2143" t="str">
        <f>VLOOKUP(E2143,calculated_fields!$F$4:$G$6,2,FALSE)</f>
        <v>Economy</v>
      </c>
    </row>
    <row r="2144" spans="1:16">
      <c r="A2144" t="s">
        <v>2949</v>
      </c>
      <c r="B2144" t="s">
        <v>2925</v>
      </c>
      <c r="C2144" t="s">
        <v>14</v>
      </c>
      <c r="D2144">
        <v>1982</v>
      </c>
      <c r="E2144" t="s">
        <v>15</v>
      </c>
      <c r="F2144" t="s">
        <v>16</v>
      </c>
      <c r="G2144" t="s">
        <v>17</v>
      </c>
      <c r="H2144" t="s">
        <v>18</v>
      </c>
      <c r="I2144">
        <v>56.158999999999999</v>
      </c>
      <c r="J2144" t="s">
        <v>19</v>
      </c>
      <c r="K2144" t="s">
        <v>2950</v>
      </c>
      <c r="L2144" t="s">
        <v>21</v>
      </c>
      <c r="M2144" t="str">
        <f t="shared" si="99"/>
        <v>OK</v>
      </c>
      <c r="N2144" t="str">
        <f t="shared" si="100"/>
        <v>1980s</v>
      </c>
      <c r="O2144" t="str">
        <f t="shared" si="101"/>
        <v>Medium</v>
      </c>
      <c r="P2144" t="str">
        <f>VLOOKUP(E2144,calculated_fields!$F$4:$G$6,2,FALSE)</f>
        <v>Health</v>
      </c>
    </row>
    <row r="2145" spans="1:16">
      <c r="A2145" t="s">
        <v>2951</v>
      </c>
      <c r="B2145" t="s">
        <v>2925</v>
      </c>
      <c r="C2145" t="s">
        <v>14</v>
      </c>
      <c r="D2145">
        <v>1982</v>
      </c>
      <c r="E2145" t="s">
        <v>23</v>
      </c>
      <c r="F2145" t="s">
        <v>24</v>
      </c>
      <c r="G2145" t="s">
        <v>25</v>
      </c>
      <c r="H2145" t="s">
        <v>26</v>
      </c>
      <c r="I2145">
        <v>153343000</v>
      </c>
      <c r="J2145" t="s">
        <v>27</v>
      </c>
      <c r="K2145" t="s">
        <v>2950</v>
      </c>
      <c r="L2145" t="s">
        <v>21</v>
      </c>
      <c r="M2145" t="str">
        <f t="shared" si="99"/>
        <v>OK</v>
      </c>
      <c r="N2145" t="str">
        <f t="shared" si="100"/>
        <v>1980s</v>
      </c>
      <c r="O2145" t="str">
        <f t="shared" si="101"/>
        <v>N/A</v>
      </c>
      <c r="P2145" t="str">
        <f>VLOOKUP(E2145,calculated_fields!$F$4:$G$6,2,FALSE)</f>
        <v>Demographics</v>
      </c>
    </row>
    <row r="2146" spans="1:16">
      <c r="A2146" t="s">
        <v>2952</v>
      </c>
      <c r="B2146" t="s">
        <v>2925</v>
      </c>
      <c r="C2146" t="s">
        <v>14</v>
      </c>
      <c r="D2146">
        <v>1982</v>
      </c>
      <c r="E2146" t="s">
        <v>29</v>
      </c>
      <c r="F2146" t="s">
        <v>30</v>
      </c>
      <c r="G2146" t="s">
        <v>31</v>
      </c>
      <c r="H2146" t="s">
        <v>32</v>
      </c>
      <c r="I2146">
        <v>1516.8729880000001</v>
      </c>
      <c r="J2146" t="s">
        <v>33</v>
      </c>
      <c r="K2146" t="s">
        <v>2950</v>
      </c>
      <c r="L2146" t="s">
        <v>21</v>
      </c>
      <c r="M2146" t="str">
        <f t="shared" si="99"/>
        <v>OK</v>
      </c>
      <c r="N2146" t="str">
        <f t="shared" si="100"/>
        <v>1980s</v>
      </c>
      <c r="O2146" t="str">
        <f t="shared" si="101"/>
        <v>N/A</v>
      </c>
      <c r="P2146" t="str">
        <f>VLOOKUP(E2146,calculated_fields!$F$4:$G$6,2,FALSE)</f>
        <v>Economy</v>
      </c>
    </row>
    <row r="2147" spans="1:16">
      <c r="A2147" t="s">
        <v>2953</v>
      </c>
      <c r="B2147" t="s">
        <v>2925</v>
      </c>
      <c r="C2147" t="s">
        <v>14</v>
      </c>
      <c r="D2147">
        <v>1987</v>
      </c>
      <c r="E2147" t="s">
        <v>15</v>
      </c>
      <c r="F2147" t="s">
        <v>16</v>
      </c>
      <c r="G2147" t="s">
        <v>17</v>
      </c>
      <c r="H2147" t="s">
        <v>18</v>
      </c>
      <c r="I2147">
        <v>60.137</v>
      </c>
      <c r="J2147" t="s">
        <v>19</v>
      </c>
      <c r="K2147" t="s">
        <v>2954</v>
      </c>
      <c r="L2147" t="s">
        <v>21</v>
      </c>
      <c r="M2147" t="str">
        <f t="shared" si="99"/>
        <v>OK</v>
      </c>
      <c r="N2147" t="str">
        <f t="shared" si="100"/>
        <v>1980s</v>
      </c>
      <c r="O2147" t="str">
        <f t="shared" si="101"/>
        <v>Medium</v>
      </c>
      <c r="P2147" t="str">
        <f>VLOOKUP(E2147,calculated_fields!$F$4:$G$6,2,FALSE)</f>
        <v>Health</v>
      </c>
    </row>
    <row r="2148" spans="1:16">
      <c r="A2148" t="s">
        <v>2955</v>
      </c>
      <c r="B2148" t="s">
        <v>2925</v>
      </c>
      <c r="C2148" t="s">
        <v>14</v>
      </c>
      <c r="D2148">
        <v>1987</v>
      </c>
      <c r="E2148" t="s">
        <v>23</v>
      </c>
      <c r="F2148" t="s">
        <v>24</v>
      </c>
      <c r="G2148" t="s">
        <v>25</v>
      </c>
      <c r="H2148" t="s">
        <v>26</v>
      </c>
      <c r="I2148">
        <v>169276000</v>
      </c>
      <c r="J2148" t="s">
        <v>27</v>
      </c>
      <c r="K2148" t="s">
        <v>2954</v>
      </c>
      <c r="L2148" t="s">
        <v>21</v>
      </c>
      <c r="M2148" t="str">
        <f t="shared" si="99"/>
        <v>OK</v>
      </c>
      <c r="N2148" t="str">
        <f t="shared" si="100"/>
        <v>1980s</v>
      </c>
      <c r="O2148" t="str">
        <f t="shared" si="101"/>
        <v>N/A</v>
      </c>
      <c r="P2148" t="str">
        <f>VLOOKUP(E2148,calculated_fields!$F$4:$G$6,2,FALSE)</f>
        <v>Demographics</v>
      </c>
    </row>
    <row r="2149" spans="1:16">
      <c r="A2149" t="s">
        <v>2956</v>
      </c>
      <c r="B2149" t="s">
        <v>2925</v>
      </c>
      <c r="C2149" t="s">
        <v>14</v>
      </c>
      <c r="D2149">
        <v>1987</v>
      </c>
      <c r="E2149" t="s">
        <v>29</v>
      </c>
      <c r="F2149" t="s">
        <v>30</v>
      </c>
      <c r="G2149" t="s">
        <v>31</v>
      </c>
      <c r="H2149" t="s">
        <v>32</v>
      </c>
      <c r="I2149">
        <v>1748.356961</v>
      </c>
      <c r="J2149" t="s">
        <v>33</v>
      </c>
      <c r="K2149" t="s">
        <v>2954</v>
      </c>
      <c r="L2149" t="s">
        <v>21</v>
      </c>
      <c r="M2149" t="str">
        <f t="shared" si="99"/>
        <v>OK</v>
      </c>
      <c r="N2149" t="str">
        <f t="shared" si="100"/>
        <v>1980s</v>
      </c>
      <c r="O2149" t="str">
        <f t="shared" si="101"/>
        <v>N/A</v>
      </c>
      <c r="P2149" t="str">
        <f>VLOOKUP(E2149,calculated_fields!$F$4:$G$6,2,FALSE)</f>
        <v>Economy</v>
      </c>
    </row>
    <row r="2150" spans="1:16">
      <c r="A2150" t="s">
        <v>2957</v>
      </c>
      <c r="B2150" t="s">
        <v>2925</v>
      </c>
      <c r="C2150" t="s">
        <v>14</v>
      </c>
      <c r="D2150">
        <v>1992</v>
      </c>
      <c r="E2150" t="s">
        <v>15</v>
      </c>
      <c r="F2150" t="s">
        <v>16</v>
      </c>
      <c r="G2150" t="s">
        <v>17</v>
      </c>
      <c r="H2150" t="s">
        <v>18</v>
      </c>
      <c r="I2150">
        <v>62.680999999999997</v>
      </c>
      <c r="J2150" t="s">
        <v>19</v>
      </c>
      <c r="K2150" t="s">
        <v>2958</v>
      </c>
      <c r="L2150" t="s">
        <v>21</v>
      </c>
      <c r="M2150" t="str">
        <f t="shared" si="99"/>
        <v>OK</v>
      </c>
      <c r="N2150" t="str">
        <f t="shared" si="100"/>
        <v>1990s</v>
      </c>
      <c r="O2150" t="str">
        <f t="shared" si="101"/>
        <v>Medium</v>
      </c>
      <c r="P2150" t="str">
        <f>VLOOKUP(E2150,calculated_fields!$F$4:$G$6,2,FALSE)</f>
        <v>Health</v>
      </c>
    </row>
    <row r="2151" spans="1:16">
      <c r="A2151" t="s">
        <v>2959</v>
      </c>
      <c r="B2151" t="s">
        <v>2925</v>
      </c>
      <c r="C2151" t="s">
        <v>14</v>
      </c>
      <c r="D2151">
        <v>1992</v>
      </c>
      <c r="E2151" t="s">
        <v>23</v>
      </c>
      <c r="F2151" t="s">
        <v>24</v>
      </c>
      <c r="G2151" t="s">
        <v>25</v>
      </c>
      <c r="H2151" t="s">
        <v>26</v>
      </c>
      <c r="I2151">
        <v>184816000</v>
      </c>
      <c r="J2151" t="s">
        <v>27</v>
      </c>
      <c r="K2151" t="s">
        <v>2958</v>
      </c>
      <c r="L2151" t="s">
        <v>21</v>
      </c>
      <c r="M2151" t="str">
        <f t="shared" si="99"/>
        <v>OK</v>
      </c>
      <c r="N2151" t="str">
        <f t="shared" si="100"/>
        <v>1990s</v>
      </c>
      <c r="O2151" t="str">
        <f t="shared" si="101"/>
        <v>N/A</v>
      </c>
      <c r="P2151" t="str">
        <f>VLOOKUP(E2151,calculated_fields!$F$4:$G$6,2,FALSE)</f>
        <v>Demographics</v>
      </c>
    </row>
    <row r="2152" spans="1:16">
      <c r="A2152" t="s">
        <v>2960</v>
      </c>
      <c r="B2152" t="s">
        <v>2925</v>
      </c>
      <c r="C2152" t="s">
        <v>14</v>
      </c>
      <c r="D2152">
        <v>1992</v>
      </c>
      <c r="E2152" t="s">
        <v>29</v>
      </c>
      <c r="F2152" t="s">
        <v>30</v>
      </c>
      <c r="G2152" t="s">
        <v>31</v>
      </c>
      <c r="H2152" t="s">
        <v>32</v>
      </c>
      <c r="I2152">
        <v>2383.1408980000001</v>
      </c>
      <c r="J2152" t="s">
        <v>33</v>
      </c>
      <c r="K2152" t="s">
        <v>2958</v>
      </c>
      <c r="L2152" t="s">
        <v>21</v>
      </c>
      <c r="M2152" t="str">
        <f t="shared" si="99"/>
        <v>OK</v>
      </c>
      <c r="N2152" t="str">
        <f t="shared" si="100"/>
        <v>1990s</v>
      </c>
      <c r="O2152" t="str">
        <f t="shared" si="101"/>
        <v>N/A</v>
      </c>
      <c r="P2152" t="str">
        <f>VLOOKUP(E2152,calculated_fields!$F$4:$G$6,2,FALSE)</f>
        <v>Economy</v>
      </c>
    </row>
    <row r="2153" spans="1:16">
      <c r="A2153" t="s">
        <v>2961</v>
      </c>
      <c r="B2153" t="s">
        <v>2925</v>
      </c>
      <c r="C2153" t="s">
        <v>14</v>
      </c>
      <c r="D2153">
        <v>1997</v>
      </c>
      <c r="E2153" t="s">
        <v>15</v>
      </c>
      <c r="F2153" t="s">
        <v>16</v>
      </c>
      <c r="G2153" t="s">
        <v>17</v>
      </c>
      <c r="H2153" t="s">
        <v>18</v>
      </c>
      <c r="I2153">
        <v>66.040999999999997</v>
      </c>
      <c r="J2153" t="s">
        <v>19</v>
      </c>
      <c r="K2153" t="s">
        <v>2962</v>
      </c>
      <c r="L2153" t="s">
        <v>21</v>
      </c>
      <c r="M2153" t="str">
        <f t="shared" si="99"/>
        <v>OK</v>
      </c>
      <c r="N2153" t="str">
        <f t="shared" si="100"/>
        <v>1990s</v>
      </c>
      <c r="O2153" t="str">
        <f t="shared" si="101"/>
        <v>Medium</v>
      </c>
      <c r="P2153" t="str">
        <f>VLOOKUP(E2153,calculated_fields!$F$4:$G$6,2,FALSE)</f>
        <v>Health</v>
      </c>
    </row>
    <row r="2154" spans="1:16">
      <c r="A2154" t="s">
        <v>2963</v>
      </c>
      <c r="B2154" t="s">
        <v>2925</v>
      </c>
      <c r="C2154" t="s">
        <v>14</v>
      </c>
      <c r="D2154">
        <v>1997</v>
      </c>
      <c r="E2154" t="s">
        <v>23</v>
      </c>
      <c r="F2154" t="s">
        <v>24</v>
      </c>
      <c r="G2154" t="s">
        <v>25</v>
      </c>
      <c r="H2154" t="s">
        <v>26</v>
      </c>
      <c r="I2154">
        <v>199278000</v>
      </c>
      <c r="J2154" t="s">
        <v>27</v>
      </c>
      <c r="K2154" t="s">
        <v>2962</v>
      </c>
      <c r="L2154" t="s">
        <v>21</v>
      </c>
      <c r="M2154" t="str">
        <f t="shared" si="99"/>
        <v>OK</v>
      </c>
      <c r="N2154" t="str">
        <f t="shared" si="100"/>
        <v>1990s</v>
      </c>
      <c r="O2154" t="str">
        <f t="shared" si="101"/>
        <v>N/A</v>
      </c>
      <c r="P2154" t="str">
        <f>VLOOKUP(E2154,calculated_fields!$F$4:$G$6,2,FALSE)</f>
        <v>Demographics</v>
      </c>
    </row>
    <row r="2155" spans="1:16">
      <c r="A2155" t="s">
        <v>2964</v>
      </c>
      <c r="B2155" t="s">
        <v>2925</v>
      </c>
      <c r="C2155" t="s">
        <v>14</v>
      </c>
      <c r="D2155">
        <v>1997</v>
      </c>
      <c r="E2155" t="s">
        <v>29</v>
      </c>
      <c r="F2155" t="s">
        <v>30</v>
      </c>
      <c r="G2155" t="s">
        <v>31</v>
      </c>
      <c r="H2155" t="s">
        <v>32</v>
      </c>
      <c r="I2155">
        <v>3119.335603</v>
      </c>
      <c r="J2155" t="s">
        <v>33</v>
      </c>
      <c r="K2155" t="s">
        <v>2962</v>
      </c>
      <c r="L2155" t="s">
        <v>21</v>
      </c>
      <c r="M2155" t="str">
        <f t="shared" si="99"/>
        <v>OK</v>
      </c>
      <c r="N2155" t="str">
        <f t="shared" si="100"/>
        <v>1990s</v>
      </c>
      <c r="O2155" t="str">
        <f t="shared" si="101"/>
        <v>N/A</v>
      </c>
      <c r="P2155" t="str">
        <f>VLOOKUP(E2155,calculated_fields!$F$4:$G$6,2,FALSE)</f>
        <v>Economy</v>
      </c>
    </row>
    <row r="2156" spans="1:16">
      <c r="A2156" t="s">
        <v>2965</v>
      </c>
      <c r="B2156" t="s">
        <v>2925</v>
      </c>
      <c r="C2156" t="s">
        <v>14</v>
      </c>
      <c r="D2156">
        <v>2002</v>
      </c>
      <c r="E2156" t="s">
        <v>15</v>
      </c>
      <c r="F2156" t="s">
        <v>16</v>
      </c>
      <c r="G2156" t="s">
        <v>17</v>
      </c>
      <c r="H2156" t="s">
        <v>18</v>
      </c>
      <c r="I2156">
        <v>68.587999999999994</v>
      </c>
      <c r="J2156" t="s">
        <v>19</v>
      </c>
      <c r="K2156" t="s">
        <v>2966</v>
      </c>
      <c r="L2156" t="s">
        <v>21</v>
      </c>
      <c r="M2156" t="str">
        <f t="shared" si="99"/>
        <v>OK</v>
      </c>
      <c r="N2156" t="str">
        <f t="shared" si="100"/>
        <v>2000s</v>
      </c>
      <c r="O2156" t="str">
        <f t="shared" si="101"/>
        <v>Medium</v>
      </c>
      <c r="P2156" t="str">
        <f>VLOOKUP(E2156,calculated_fields!$F$4:$G$6,2,FALSE)</f>
        <v>Health</v>
      </c>
    </row>
    <row r="2157" spans="1:16">
      <c r="A2157" t="s">
        <v>2967</v>
      </c>
      <c r="B2157" t="s">
        <v>2925</v>
      </c>
      <c r="C2157" t="s">
        <v>14</v>
      </c>
      <c r="D2157">
        <v>2002</v>
      </c>
      <c r="E2157" t="s">
        <v>23</v>
      </c>
      <c r="F2157" t="s">
        <v>24</v>
      </c>
      <c r="G2157" t="s">
        <v>25</v>
      </c>
      <c r="H2157" t="s">
        <v>26</v>
      </c>
      <c r="I2157">
        <v>211060000</v>
      </c>
      <c r="J2157" t="s">
        <v>27</v>
      </c>
      <c r="K2157" t="s">
        <v>2966</v>
      </c>
      <c r="L2157" t="s">
        <v>21</v>
      </c>
      <c r="M2157" t="str">
        <f t="shared" si="99"/>
        <v>OK</v>
      </c>
      <c r="N2157" t="str">
        <f t="shared" si="100"/>
        <v>2000s</v>
      </c>
      <c r="O2157" t="str">
        <f t="shared" si="101"/>
        <v>N/A</v>
      </c>
      <c r="P2157" t="str">
        <f>VLOOKUP(E2157,calculated_fields!$F$4:$G$6,2,FALSE)</f>
        <v>Demographics</v>
      </c>
    </row>
    <row r="2158" spans="1:16">
      <c r="A2158" t="s">
        <v>2968</v>
      </c>
      <c r="B2158" t="s">
        <v>2925</v>
      </c>
      <c r="C2158" t="s">
        <v>14</v>
      </c>
      <c r="D2158">
        <v>2002</v>
      </c>
      <c r="E2158" t="s">
        <v>29</v>
      </c>
      <c r="F2158" t="s">
        <v>30</v>
      </c>
      <c r="G2158" t="s">
        <v>31</v>
      </c>
      <c r="H2158" t="s">
        <v>32</v>
      </c>
      <c r="I2158">
        <v>2873.9128700000001</v>
      </c>
      <c r="J2158" t="s">
        <v>33</v>
      </c>
      <c r="K2158" t="s">
        <v>2966</v>
      </c>
      <c r="L2158" t="s">
        <v>21</v>
      </c>
      <c r="M2158" t="str">
        <f t="shared" si="99"/>
        <v>OK</v>
      </c>
      <c r="N2158" t="str">
        <f t="shared" si="100"/>
        <v>2000s</v>
      </c>
      <c r="O2158" t="str">
        <f t="shared" si="101"/>
        <v>N/A</v>
      </c>
      <c r="P2158" t="str">
        <f>VLOOKUP(E2158,calculated_fields!$F$4:$G$6,2,FALSE)</f>
        <v>Economy</v>
      </c>
    </row>
    <row r="2159" spans="1:16">
      <c r="A2159" t="s">
        <v>2969</v>
      </c>
      <c r="B2159" t="s">
        <v>2925</v>
      </c>
      <c r="C2159" t="s">
        <v>14</v>
      </c>
      <c r="D2159">
        <v>2007</v>
      </c>
      <c r="E2159" t="s">
        <v>15</v>
      </c>
      <c r="F2159" t="s">
        <v>16</v>
      </c>
      <c r="G2159" t="s">
        <v>17</v>
      </c>
      <c r="H2159" t="s">
        <v>18</v>
      </c>
      <c r="I2159">
        <v>70.650000000000006</v>
      </c>
      <c r="J2159" t="s">
        <v>19</v>
      </c>
      <c r="K2159" t="s">
        <v>2970</v>
      </c>
      <c r="L2159" t="s">
        <v>21</v>
      </c>
      <c r="M2159" t="str">
        <f t="shared" si="99"/>
        <v>OK</v>
      </c>
      <c r="N2159" t="str">
        <f t="shared" si="100"/>
        <v>2000s</v>
      </c>
      <c r="O2159" t="str">
        <f t="shared" si="101"/>
        <v>High</v>
      </c>
      <c r="P2159" t="str">
        <f>VLOOKUP(E2159,calculated_fields!$F$4:$G$6,2,FALSE)</f>
        <v>Health</v>
      </c>
    </row>
    <row r="2160" spans="1:16">
      <c r="A2160" t="s">
        <v>2971</v>
      </c>
      <c r="B2160" t="s">
        <v>2925</v>
      </c>
      <c r="C2160" t="s">
        <v>14</v>
      </c>
      <c r="D2160">
        <v>2007</v>
      </c>
      <c r="E2160" t="s">
        <v>23</v>
      </c>
      <c r="F2160" t="s">
        <v>24</v>
      </c>
      <c r="G2160" t="s">
        <v>25</v>
      </c>
      <c r="H2160" t="s">
        <v>26</v>
      </c>
      <c r="I2160">
        <v>223547000</v>
      </c>
      <c r="J2160" t="s">
        <v>27</v>
      </c>
      <c r="K2160" t="s">
        <v>2970</v>
      </c>
      <c r="L2160" t="s">
        <v>21</v>
      </c>
      <c r="M2160" t="str">
        <f t="shared" si="99"/>
        <v>OK</v>
      </c>
      <c r="N2160" t="str">
        <f t="shared" si="100"/>
        <v>2000s</v>
      </c>
      <c r="O2160" t="str">
        <f t="shared" si="101"/>
        <v>N/A</v>
      </c>
      <c r="P2160" t="str">
        <f>VLOOKUP(E2160,calculated_fields!$F$4:$G$6,2,FALSE)</f>
        <v>Demographics</v>
      </c>
    </row>
    <row r="2161" spans="1:16">
      <c r="A2161" t="s">
        <v>2972</v>
      </c>
      <c r="B2161" t="s">
        <v>2925</v>
      </c>
      <c r="C2161" t="s">
        <v>14</v>
      </c>
      <c r="D2161">
        <v>2007</v>
      </c>
      <c r="E2161" t="s">
        <v>29</v>
      </c>
      <c r="F2161" t="s">
        <v>30</v>
      </c>
      <c r="G2161" t="s">
        <v>31</v>
      </c>
      <c r="H2161" t="s">
        <v>32</v>
      </c>
      <c r="I2161">
        <v>3540.6515639999998</v>
      </c>
      <c r="J2161" t="s">
        <v>33</v>
      </c>
      <c r="K2161" t="s">
        <v>2970</v>
      </c>
      <c r="L2161" t="s">
        <v>21</v>
      </c>
      <c r="M2161" t="str">
        <f t="shared" si="99"/>
        <v>OK</v>
      </c>
      <c r="N2161" t="str">
        <f t="shared" si="100"/>
        <v>2000s</v>
      </c>
      <c r="O2161" t="str">
        <f t="shared" si="101"/>
        <v>N/A</v>
      </c>
      <c r="P2161" t="str">
        <f>VLOOKUP(E2161,calculated_fields!$F$4:$G$6,2,FALSE)</f>
        <v>Economy</v>
      </c>
    </row>
    <row r="2162" spans="1:16">
      <c r="A2162" t="s">
        <v>2973</v>
      </c>
      <c r="B2162" t="s">
        <v>2974</v>
      </c>
      <c r="C2162" t="s">
        <v>14</v>
      </c>
      <c r="D2162">
        <v>1952</v>
      </c>
      <c r="E2162" t="s">
        <v>15</v>
      </c>
      <c r="F2162" t="s">
        <v>16</v>
      </c>
      <c r="G2162" t="s">
        <v>17</v>
      </c>
      <c r="H2162" t="s">
        <v>18</v>
      </c>
      <c r="I2162">
        <v>44.869</v>
      </c>
      <c r="J2162" t="s">
        <v>19</v>
      </c>
      <c r="K2162" t="s">
        <v>2975</v>
      </c>
      <c r="L2162" t="s">
        <v>21</v>
      </c>
      <c r="M2162" t="str">
        <f t="shared" si="99"/>
        <v>OK</v>
      </c>
      <c r="N2162" t="str">
        <f t="shared" si="100"/>
        <v>1950s</v>
      </c>
      <c r="O2162" t="str">
        <f t="shared" si="101"/>
        <v>Low</v>
      </c>
      <c r="P2162" t="str">
        <f>VLOOKUP(E2162,calculated_fields!$F$4:$G$6,2,FALSE)</f>
        <v>Health</v>
      </c>
    </row>
    <row r="2163" spans="1:16">
      <c r="A2163" t="s">
        <v>2976</v>
      </c>
      <c r="B2163" t="s">
        <v>2974</v>
      </c>
      <c r="C2163" t="s">
        <v>14</v>
      </c>
      <c r="D2163">
        <v>1952</v>
      </c>
      <c r="E2163" t="s">
        <v>23</v>
      </c>
      <c r="F2163" t="s">
        <v>24</v>
      </c>
      <c r="G2163" t="s">
        <v>25</v>
      </c>
      <c r="H2163" t="s">
        <v>26</v>
      </c>
      <c r="I2163">
        <v>17272000</v>
      </c>
      <c r="J2163" t="s">
        <v>27</v>
      </c>
      <c r="K2163" t="s">
        <v>2975</v>
      </c>
      <c r="L2163" t="s">
        <v>21</v>
      </c>
      <c r="M2163" t="str">
        <f t="shared" si="99"/>
        <v>OK</v>
      </c>
      <c r="N2163" t="str">
        <f t="shared" si="100"/>
        <v>1950s</v>
      </c>
      <c r="O2163" t="str">
        <f t="shared" si="101"/>
        <v>N/A</v>
      </c>
      <c r="P2163" t="str">
        <f>VLOOKUP(E2163,calculated_fields!$F$4:$G$6,2,FALSE)</f>
        <v>Demographics</v>
      </c>
    </row>
    <row r="2164" spans="1:16">
      <c r="A2164" t="s">
        <v>2977</v>
      </c>
      <c r="B2164" t="s">
        <v>2974</v>
      </c>
      <c r="C2164" t="s">
        <v>14</v>
      </c>
      <c r="D2164">
        <v>1952</v>
      </c>
      <c r="E2164" t="s">
        <v>29</v>
      </c>
      <c r="F2164" t="s">
        <v>30</v>
      </c>
      <c r="G2164" t="s">
        <v>31</v>
      </c>
      <c r="H2164" t="s">
        <v>32</v>
      </c>
      <c r="I2164">
        <v>3035.3260019999998</v>
      </c>
      <c r="J2164" t="s">
        <v>33</v>
      </c>
      <c r="K2164" t="s">
        <v>2975</v>
      </c>
      <c r="L2164" t="s">
        <v>21</v>
      </c>
      <c r="M2164" t="str">
        <f t="shared" si="99"/>
        <v>OK</v>
      </c>
      <c r="N2164" t="str">
        <f t="shared" si="100"/>
        <v>1950s</v>
      </c>
      <c r="O2164" t="str">
        <f t="shared" si="101"/>
        <v>N/A</v>
      </c>
      <c r="P2164" t="str">
        <f>VLOOKUP(E2164,calculated_fields!$F$4:$G$6,2,FALSE)</f>
        <v>Economy</v>
      </c>
    </row>
    <row r="2165" spans="1:16">
      <c r="A2165" t="s">
        <v>2978</v>
      </c>
      <c r="B2165" t="s">
        <v>2974</v>
      </c>
      <c r="C2165" t="s">
        <v>14</v>
      </c>
      <c r="D2165">
        <v>1957</v>
      </c>
      <c r="E2165" t="s">
        <v>15</v>
      </c>
      <c r="F2165" t="s">
        <v>16</v>
      </c>
      <c r="G2165" t="s">
        <v>17</v>
      </c>
      <c r="H2165" t="s">
        <v>18</v>
      </c>
      <c r="I2165">
        <v>47.180999999999997</v>
      </c>
      <c r="J2165" t="s">
        <v>19</v>
      </c>
      <c r="K2165" t="s">
        <v>2979</v>
      </c>
      <c r="L2165" t="s">
        <v>21</v>
      </c>
      <c r="M2165" t="str">
        <f t="shared" si="99"/>
        <v>OK</v>
      </c>
      <c r="N2165" t="str">
        <f t="shared" si="100"/>
        <v>1950s</v>
      </c>
      <c r="O2165" t="str">
        <f t="shared" si="101"/>
        <v>Low</v>
      </c>
      <c r="P2165" t="str">
        <f>VLOOKUP(E2165,calculated_fields!$F$4:$G$6,2,FALSE)</f>
        <v>Health</v>
      </c>
    </row>
    <row r="2166" spans="1:16">
      <c r="A2166" t="s">
        <v>2980</v>
      </c>
      <c r="B2166" t="s">
        <v>2974</v>
      </c>
      <c r="C2166" t="s">
        <v>14</v>
      </c>
      <c r="D2166">
        <v>1957</v>
      </c>
      <c r="E2166" t="s">
        <v>23</v>
      </c>
      <c r="F2166" t="s">
        <v>24</v>
      </c>
      <c r="G2166" t="s">
        <v>25</v>
      </c>
      <c r="H2166" t="s">
        <v>26</v>
      </c>
      <c r="I2166">
        <v>19792000</v>
      </c>
      <c r="J2166" t="s">
        <v>27</v>
      </c>
      <c r="K2166" t="s">
        <v>2979</v>
      </c>
      <c r="L2166" t="s">
        <v>21</v>
      </c>
      <c r="M2166" t="str">
        <f t="shared" si="99"/>
        <v>OK</v>
      </c>
      <c r="N2166" t="str">
        <f t="shared" si="100"/>
        <v>1950s</v>
      </c>
      <c r="O2166" t="str">
        <f t="shared" si="101"/>
        <v>N/A</v>
      </c>
      <c r="P2166" t="str">
        <f>VLOOKUP(E2166,calculated_fields!$F$4:$G$6,2,FALSE)</f>
        <v>Demographics</v>
      </c>
    </row>
    <row r="2167" spans="1:16">
      <c r="A2167" t="s">
        <v>2981</v>
      </c>
      <c r="B2167" t="s">
        <v>2974</v>
      </c>
      <c r="C2167" t="s">
        <v>14</v>
      </c>
      <c r="D2167">
        <v>1957</v>
      </c>
      <c r="E2167" t="s">
        <v>29</v>
      </c>
      <c r="F2167" t="s">
        <v>30</v>
      </c>
      <c r="G2167" t="s">
        <v>31</v>
      </c>
      <c r="H2167" t="s">
        <v>32</v>
      </c>
      <c r="I2167">
        <v>3290.2576429999999</v>
      </c>
      <c r="J2167" t="s">
        <v>33</v>
      </c>
      <c r="K2167" t="s">
        <v>2979</v>
      </c>
      <c r="L2167" t="s">
        <v>21</v>
      </c>
      <c r="M2167" t="str">
        <f t="shared" si="99"/>
        <v>OK</v>
      </c>
      <c r="N2167" t="str">
        <f t="shared" si="100"/>
        <v>1950s</v>
      </c>
      <c r="O2167" t="str">
        <f t="shared" si="101"/>
        <v>N/A</v>
      </c>
      <c r="P2167" t="str">
        <f>VLOOKUP(E2167,calculated_fields!$F$4:$G$6,2,FALSE)</f>
        <v>Economy</v>
      </c>
    </row>
    <row r="2168" spans="1:16">
      <c r="A2168" t="s">
        <v>2982</v>
      </c>
      <c r="B2168" t="s">
        <v>2974</v>
      </c>
      <c r="C2168" t="s">
        <v>14</v>
      </c>
      <c r="D2168">
        <v>1962</v>
      </c>
      <c r="E2168" t="s">
        <v>15</v>
      </c>
      <c r="F2168" t="s">
        <v>16</v>
      </c>
      <c r="G2168" t="s">
        <v>17</v>
      </c>
      <c r="H2168" t="s">
        <v>18</v>
      </c>
      <c r="I2168">
        <v>49.325000000000003</v>
      </c>
      <c r="J2168" t="s">
        <v>19</v>
      </c>
      <c r="K2168" t="s">
        <v>2983</v>
      </c>
      <c r="L2168" t="s">
        <v>21</v>
      </c>
      <c r="M2168" t="str">
        <f t="shared" si="99"/>
        <v>OK</v>
      </c>
      <c r="N2168" t="str">
        <f t="shared" si="100"/>
        <v>1960s</v>
      </c>
      <c r="O2168" t="str">
        <f t="shared" si="101"/>
        <v>Low</v>
      </c>
      <c r="P2168" t="str">
        <f>VLOOKUP(E2168,calculated_fields!$F$4:$G$6,2,FALSE)</f>
        <v>Health</v>
      </c>
    </row>
    <row r="2169" spans="1:16">
      <c r="A2169" t="s">
        <v>2984</v>
      </c>
      <c r="B2169" t="s">
        <v>2974</v>
      </c>
      <c r="C2169" t="s">
        <v>14</v>
      </c>
      <c r="D2169">
        <v>1962</v>
      </c>
      <c r="E2169" t="s">
        <v>23</v>
      </c>
      <c r="F2169" t="s">
        <v>24</v>
      </c>
      <c r="G2169" t="s">
        <v>25</v>
      </c>
      <c r="H2169" t="s">
        <v>26</v>
      </c>
      <c r="I2169">
        <v>22874000</v>
      </c>
      <c r="J2169" t="s">
        <v>27</v>
      </c>
      <c r="K2169" t="s">
        <v>2983</v>
      </c>
      <c r="L2169" t="s">
        <v>21</v>
      </c>
      <c r="M2169" t="str">
        <f t="shared" si="99"/>
        <v>OK</v>
      </c>
      <c r="N2169" t="str">
        <f t="shared" si="100"/>
        <v>1960s</v>
      </c>
      <c r="O2169" t="str">
        <f t="shared" si="101"/>
        <v>N/A</v>
      </c>
      <c r="P2169" t="str">
        <f>VLOOKUP(E2169,calculated_fields!$F$4:$G$6,2,FALSE)</f>
        <v>Demographics</v>
      </c>
    </row>
    <row r="2170" spans="1:16">
      <c r="A2170" t="s">
        <v>2985</v>
      </c>
      <c r="B2170" t="s">
        <v>2974</v>
      </c>
      <c r="C2170" t="s">
        <v>14</v>
      </c>
      <c r="D2170">
        <v>1962</v>
      </c>
      <c r="E2170" t="s">
        <v>29</v>
      </c>
      <c r="F2170" t="s">
        <v>30</v>
      </c>
      <c r="G2170" t="s">
        <v>31</v>
      </c>
      <c r="H2170" t="s">
        <v>32</v>
      </c>
      <c r="I2170">
        <v>4187.3298020000002</v>
      </c>
      <c r="J2170" t="s">
        <v>33</v>
      </c>
      <c r="K2170" t="s">
        <v>2983</v>
      </c>
      <c r="L2170" t="s">
        <v>21</v>
      </c>
      <c r="M2170" t="str">
        <f t="shared" si="99"/>
        <v>OK</v>
      </c>
      <c r="N2170" t="str">
        <f t="shared" si="100"/>
        <v>1960s</v>
      </c>
      <c r="O2170" t="str">
        <f t="shared" si="101"/>
        <v>N/A</v>
      </c>
      <c r="P2170" t="str">
        <f>VLOOKUP(E2170,calculated_fields!$F$4:$G$6,2,FALSE)</f>
        <v>Economy</v>
      </c>
    </row>
    <row r="2171" spans="1:16">
      <c r="A2171" t="s">
        <v>2986</v>
      </c>
      <c r="B2171" t="s">
        <v>2974</v>
      </c>
      <c r="C2171" t="s">
        <v>14</v>
      </c>
      <c r="D2171">
        <v>1967</v>
      </c>
      <c r="E2171" t="s">
        <v>15</v>
      </c>
      <c r="F2171" t="s">
        <v>16</v>
      </c>
      <c r="G2171" t="s">
        <v>17</v>
      </c>
      <c r="H2171" t="s">
        <v>18</v>
      </c>
      <c r="I2171">
        <v>52.469000000000001</v>
      </c>
      <c r="J2171" t="s">
        <v>19</v>
      </c>
      <c r="K2171" t="s">
        <v>2987</v>
      </c>
      <c r="L2171" t="s">
        <v>21</v>
      </c>
      <c r="M2171" t="str">
        <f t="shared" si="99"/>
        <v>OK</v>
      </c>
      <c r="N2171" t="str">
        <f t="shared" si="100"/>
        <v>1960s</v>
      </c>
      <c r="O2171" t="str">
        <f t="shared" si="101"/>
        <v>Low</v>
      </c>
      <c r="P2171" t="str">
        <f>VLOOKUP(E2171,calculated_fields!$F$4:$G$6,2,FALSE)</f>
        <v>Health</v>
      </c>
    </row>
    <row r="2172" spans="1:16">
      <c r="A2172" t="s">
        <v>2988</v>
      </c>
      <c r="B2172" t="s">
        <v>2974</v>
      </c>
      <c r="C2172" t="s">
        <v>14</v>
      </c>
      <c r="D2172">
        <v>1967</v>
      </c>
      <c r="E2172" t="s">
        <v>23</v>
      </c>
      <c r="F2172" t="s">
        <v>24</v>
      </c>
      <c r="G2172" t="s">
        <v>25</v>
      </c>
      <c r="H2172" t="s">
        <v>26</v>
      </c>
      <c r="I2172">
        <v>26538000</v>
      </c>
      <c r="J2172" t="s">
        <v>27</v>
      </c>
      <c r="K2172" t="s">
        <v>2987</v>
      </c>
      <c r="L2172" t="s">
        <v>21</v>
      </c>
      <c r="M2172" t="str">
        <f t="shared" si="99"/>
        <v>OK</v>
      </c>
      <c r="N2172" t="str">
        <f t="shared" si="100"/>
        <v>1960s</v>
      </c>
      <c r="O2172" t="str">
        <f t="shared" si="101"/>
        <v>N/A</v>
      </c>
      <c r="P2172" t="str">
        <f>VLOOKUP(E2172,calculated_fields!$F$4:$G$6,2,FALSE)</f>
        <v>Demographics</v>
      </c>
    </row>
    <row r="2173" spans="1:16">
      <c r="A2173" t="s">
        <v>2989</v>
      </c>
      <c r="B2173" t="s">
        <v>2974</v>
      </c>
      <c r="C2173" t="s">
        <v>14</v>
      </c>
      <c r="D2173">
        <v>1967</v>
      </c>
      <c r="E2173" t="s">
        <v>29</v>
      </c>
      <c r="F2173" t="s">
        <v>30</v>
      </c>
      <c r="G2173" t="s">
        <v>31</v>
      </c>
      <c r="H2173" t="s">
        <v>32</v>
      </c>
      <c r="I2173">
        <v>5906.7318049999903</v>
      </c>
      <c r="J2173" t="s">
        <v>33</v>
      </c>
      <c r="K2173" t="s">
        <v>2987</v>
      </c>
      <c r="L2173" t="s">
        <v>21</v>
      </c>
      <c r="M2173" t="str">
        <f t="shared" si="99"/>
        <v>OK</v>
      </c>
      <c r="N2173" t="str">
        <f t="shared" si="100"/>
        <v>1960s</v>
      </c>
      <c r="O2173" t="str">
        <f t="shared" si="101"/>
        <v>N/A</v>
      </c>
      <c r="P2173" t="str">
        <f>VLOOKUP(E2173,calculated_fields!$F$4:$G$6,2,FALSE)</f>
        <v>Economy</v>
      </c>
    </row>
    <row r="2174" spans="1:16">
      <c r="A2174" t="s">
        <v>2990</v>
      </c>
      <c r="B2174" t="s">
        <v>2974</v>
      </c>
      <c r="C2174" t="s">
        <v>14</v>
      </c>
      <c r="D2174">
        <v>1972</v>
      </c>
      <c r="E2174" t="s">
        <v>15</v>
      </c>
      <c r="F2174" t="s">
        <v>16</v>
      </c>
      <c r="G2174" t="s">
        <v>17</v>
      </c>
      <c r="H2174" t="s">
        <v>18</v>
      </c>
      <c r="I2174">
        <v>55.234000000000002</v>
      </c>
      <c r="J2174" t="s">
        <v>19</v>
      </c>
      <c r="K2174" t="s">
        <v>2991</v>
      </c>
      <c r="L2174" t="s">
        <v>21</v>
      </c>
      <c r="M2174" t="str">
        <f t="shared" si="99"/>
        <v>OK</v>
      </c>
      <c r="N2174" t="str">
        <f t="shared" si="100"/>
        <v>1970s</v>
      </c>
      <c r="O2174" t="str">
        <f t="shared" si="101"/>
        <v>Medium</v>
      </c>
      <c r="P2174" t="str">
        <f>VLOOKUP(E2174,calculated_fields!$F$4:$G$6,2,FALSE)</f>
        <v>Health</v>
      </c>
    </row>
    <row r="2175" spans="1:16">
      <c r="A2175" t="s">
        <v>2992</v>
      </c>
      <c r="B2175" t="s">
        <v>2974</v>
      </c>
      <c r="C2175" t="s">
        <v>14</v>
      </c>
      <c r="D2175">
        <v>1972</v>
      </c>
      <c r="E2175" t="s">
        <v>23</v>
      </c>
      <c r="F2175" t="s">
        <v>24</v>
      </c>
      <c r="G2175" t="s">
        <v>25</v>
      </c>
      <c r="H2175" t="s">
        <v>26</v>
      </c>
      <c r="I2175">
        <v>30614000</v>
      </c>
      <c r="J2175" t="s">
        <v>27</v>
      </c>
      <c r="K2175" t="s">
        <v>2991</v>
      </c>
      <c r="L2175" t="s">
        <v>21</v>
      </c>
      <c r="M2175" t="str">
        <f t="shared" si="99"/>
        <v>OK</v>
      </c>
      <c r="N2175" t="str">
        <f t="shared" si="100"/>
        <v>1970s</v>
      </c>
      <c r="O2175" t="str">
        <f t="shared" si="101"/>
        <v>N/A</v>
      </c>
      <c r="P2175" t="str">
        <f>VLOOKUP(E2175,calculated_fields!$F$4:$G$6,2,FALSE)</f>
        <v>Demographics</v>
      </c>
    </row>
    <row r="2176" spans="1:16">
      <c r="A2176" t="s">
        <v>2993</v>
      </c>
      <c r="B2176" t="s">
        <v>2974</v>
      </c>
      <c r="C2176" t="s">
        <v>14</v>
      </c>
      <c r="D2176">
        <v>1972</v>
      </c>
      <c r="E2176" t="s">
        <v>29</v>
      </c>
      <c r="F2176" t="s">
        <v>30</v>
      </c>
      <c r="G2176" t="s">
        <v>31</v>
      </c>
      <c r="H2176" t="s">
        <v>32</v>
      </c>
      <c r="I2176">
        <v>9613.8186069999992</v>
      </c>
      <c r="J2176" t="s">
        <v>33</v>
      </c>
      <c r="K2176" t="s">
        <v>2991</v>
      </c>
      <c r="L2176" t="s">
        <v>21</v>
      </c>
      <c r="M2176" t="str">
        <f t="shared" si="99"/>
        <v>OK</v>
      </c>
      <c r="N2176" t="str">
        <f t="shared" si="100"/>
        <v>1970s</v>
      </c>
      <c r="O2176" t="str">
        <f t="shared" si="101"/>
        <v>N/A</v>
      </c>
      <c r="P2176" t="str">
        <f>VLOOKUP(E2176,calculated_fields!$F$4:$G$6,2,FALSE)</f>
        <v>Economy</v>
      </c>
    </row>
    <row r="2177" spans="1:16">
      <c r="A2177" t="s">
        <v>2994</v>
      </c>
      <c r="B2177" t="s">
        <v>2974</v>
      </c>
      <c r="C2177" t="s">
        <v>14</v>
      </c>
      <c r="D2177">
        <v>1977</v>
      </c>
      <c r="E2177" t="s">
        <v>15</v>
      </c>
      <c r="F2177" t="s">
        <v>16</v>
      </c>
      <c r="G2177" t="s">
        <v>17</v>
      </c>
      <c r="H2177" t="s">
        <v>18</v>
      </c>
      <c r="I2177">
        <v>57.701999999999998</v>
      </c>
      <c r="J2177" t="s">
        <v>19</v>
      </c>
      <c r="K2177" t="s">
        <v>2995</v>
      </c>
      <c r="L2177" t="s">
        <v>21</v>
      </c>
      <c r="M2177" t="str">
        <f t="shared" si="99"/>
        <v>OK</v>
      </c>
      <c r="N2177" t="str">
        <f t="shared" si="100"/>
        <v>1970s</v>
      </c>
      <c r="O2177" t="str">
        <f t="shared" si="101"/>
        <v>Medium</v>
      </c>
      <c r="P2177" t="str">
        <f>VLOOKUP(E2177,calculated_fields!$F$4:$G$6,2,FALSE)</f>
        <v>Health</v>
      </c>
    </row>
    <row r="2178" spans="1:16">
      <c r="A2178" t="s">
        <v>2996</v>
      </c>
      <c r="B2178" t="s">
        <v>2974</v>
      </c>
      <c r="C2178" t="s">
        <v>14</v>
      </c>
      <c r="D2178">
        <v>1977</v>
      </c>
      <c r="E2178" t="s">
        <v>23</v>
      </c>
      <c r="F2178" t="s">
        <v>24</v>
      </c>
      <c r="G2178" t="s">
        <v>25</v>
      </c>
      <c r="H2178" t="s">
        <v>26</v>
      </c>
      <c r="I2178">
        <v>35480679</v>
      </c>
      <c r="J2178" t="s">
        <v>27</v>
      </c>
      <c r="K2178" t="s">
        <v>2995</v>
      </c>
      <c r="L2178" t="s">
        <v>21</v>
      </c>
      <c r="M2178" t="str">
        <f t="shared" ref="M2178:M2241" si="102">IF(AND(ISNUMBER(I2178),I2178&gt;=0),"OK","Review")</f>
        <v>OK</v>
      </c>
      <c r="N2178" t="str">
        <f t="shared" ref="N2178:N2241" si="103">FLOOR(D2178,10)&amp;"s"</f>
        <v>1970s</v>
      </c>
      <c r="O2178" t="str">
        <f t="shared" ref="O2178:O2241" si="104">IF(E2178="LIFE_EXP",IF(I2178&gt;=70,"High",IF(I2178&gt;=55,"Medium","Low")),"N/A")</f>
        <v>N/A</v>
      </c>
      <c r="P2178" t="str">
        <f>VLOOKUP(E2178,calculated_fields!$F$4:$G$6,2,FALSE)</f>
        <v>Demographics</v>
      </c>
    </row>
    <row r="2179" spans="1:16">
      <c r="A2179" t="s">
        <v>2997</v>
      </c>
      <c r="B2179" t="s">
        <v>2974</v>
      </c>
      <c r="C2179" t="s">
        <v>14</v>
      </c>
      <c r="D2179">
        <v>1977</v>
      </c>
      <c r="E2179" t="s">
        <v>29</v>
      </c>
      <c r="F2179" t="s">
        <v>30</v>
      </c>
      <c r="G2179" t="s">
        <v>31</v>
      </c>
      <c r="H2179" t="s">
        <v>32</v>
      </c>
      <c r="I2179">
        <v>11888.595079999999</v>
      </c>
      <c r="J2179" t="s">
        <v>33</v>
      </c>
      <c r="K2179" t="s">
        <v>2995</v>
      </c>
      <c r="L2179" t="s">
        <v>21</v>
      </c>
      <c r="M2179" t="str">
        <f t="shared" si="102"/>
        <v>OK</v>
      </c>
      <c r="N2179" t="str">
        <f t="shared" si="103"/>
        <v>1970s</v>
      </c>
      <c r="O2179" t="str">
        <f t="shared" si="104"/>
        <v>N/A</v>
      </c>
      <c r="P2179" t="str">
        <f>VLOOKUP(E2179,calculated_fields!$F$4:$G$6,2,FALSE)</f>
        <v>Economy</v>
      </c>
    </row>
    <row r="2180" spans="1:16">
      <c r="A2180" t="s">
        <v>2998</v>
      </c>
      <c r="B2180" t="s">
        <v>2974</v>
      </c>
      <c r="C2180" t="s">
        <v>14</v>
      </c>
      <c r="D2180">
        <v>1982</v>
      </c>
      <c r="E2180" t="s">
        <v>15</v>
      </c>
      <c r="F2180" t="s">
        <v>16</v>
      </c>
      <c r="G2180" t="s">
        <v>17</v>
      </c>
      <c r="H2180" t="s">
        <v>18</v>
      </c>
      <c r="I2180">
        <v>59.62</v>
      </c>
      <c r="J2180" t="s">
        <v>19</v>
      </c>
      <c r="K2180" t="s">
        <v>2999</v>
      </c>
      <c r="L2180" t="s">
        <v>21</v>
      </c>
      <c r="M2180" t="str">
        <f t="shared" si="102"/>
        <v>OK</v>
      </c>
      <c r="N2180" t="str">
        <f t="shared" si="103"/>
        <v>1980s</v>
      </c>
      <c r="O2180" t="str">
        <f t="shared" si="104"/>
        <v>Medium</v>
      </c>
      <c r="P2180" t="str">
        <f>VLOOKUP(E2180,calculated_fields!$F$4:$G$6,2,FALSE)</f>
        <v>Health</v>
      </c>
    </row>
    <row r="2181" spans="1:16">
      <c r="A2181" t="s">
        <v>3000</v>
      </c>
      <c r="B2181" t="s">
        <v>2974</v>
      </c>
      <c r="C2181" t="s">
        <v>14</v>
      </c>
      <c r="D2181">
        <v>1982</v>
      </c>
      <c r="E2181" t="s">
        <v>23</v>
      </c>
      <c r="F2181" t="s">
        <v>24</v>
      </c>
      <c r="G2181" t="s">
        <v>25</v>
      </c>
      <c r="H2181" t="s">
        <v>26</v>
      </c>
      <c r="I2181">
        <v>43072751</v>
      </c>
      <c r="J2181" t="s">
        <v>27</v>
      </c>
      <c r="K2181" t="s">
        <v>2999</v>
      </c>
      <c r="L2181" t="s">
        <v>21</v>
      </c>
      <c r="M2181" t="str">
        <f t="shared" si="102"/>
        <v>OK</v>
      </c>
      <c r="N2181" t="str">
        <f t="shared" si="103"/>
        <v>1980s</v>
      </c>
      <c r="O2181" t="str">
        <f t="shared" si="104"/>
        <v>N/A</v>
      </c>
      <c r="P2181" t="str">
        <f>VLOOKUP(E2181,calculated_fields!$F$4:$G$6,2,FALSE)</f>
        <v>Demographics</v>
      </c>
    </row>
    <row r="2182" spans="1:16">
      <c r="A2182" t="s">
        <v>3001</v>
      </c>
      <c r="B2182" t="s">
        <v>2974</v>
      </c>
      <c r="C2182" t="s">
        <v>14</v>
      </c>
      <c r="D2182">
        <v>1982</v>
      </c>
      <c r="E2182" t="s">
        <v>29</v>
      </c>
      <c r="F2182" t="s">
        <v>30</v>
      </c>
      <c r="G2182" t="s">
        <v>31</v>
      </c>
      <c r="H2182" t="s">
        <v>32</v>
      </c>
      <c r="I2182">
        <v>7608.3346019999999</v>
      </c>
      <c r="J2182" t="s">
        <v>33</v>
      </c>
      <c r="K2182" t="s">
        <v>2999</v>
      </c>
      <c r="L2182" t="s">
        <v>21</v>
      </c>
      <c r="M2182" t="str">
        <f t="shared" si="102"/>
        <v>OK</v>
      </c>
      <c r="N2182" t="str">
        <f t="shared" si="103"/>
        <v>1980s</v>
      </c>
      <c r="O2182" t="str">
        <f t="shared" si="104"/>
        <v>N/A</v>
      </c>
      <c r="P2182" t="str">
        <f>VLOOKUP(E2182,calculated_fields!$F$4:$G$6,2,FALSE)</f>
        <v>Economy</v>
      </c>
    </row>
    <row r="2183" spans="1:16">
      <c r="A2183" t="s">
        <v>3002</v>
      </c>
      <c r="B2183" t="s">
        <v>2974</v>
      </c>
      <c r="C2183" t="s">
        <v>14</v>
      </c>
      <c r="D2183">
        <v>1987</v>
      </c>
      <c r="E2183" t="s">
        <v>15</v>
      </c>
      <c r="F2183" t="s">
        <v>16</v>
      </c>
      <c r="G2183" t="s">
        <v>17</v>
      </c>
      <c r="H2183" t="s">
        <v>18</v>
      </c>
      <c r="I2183">
        <v>63.04</v>
      </c>
      <c r="J2183" t="s">
        <v>19</v>
      </c>
      <c r="K2183" t="s">
        <v>3003</v>
      </c>
      <c r="L2183" t="s">
        <v>21</v>
      </c>
      <c r="M2183" t="str">
        <f t="shared" si="102"/>
        <v>OK</v>
      </c>
      <c r="N2183" t="str">
        <f t="shared" si="103"/>
        <v>1980s</v>
      </c>
      <c r="O2183" t="str">
        <f t="shared" si="104"/>
        <v>Medium</v>
      </c>
      <c r="P2183" t="str">
        <f>VLOOKUP(E2183,calculated_fields!$F$4:$G$6,2,FALSE)</f>
        <v>Health</v>
      </c>
    </row>
    <row r="2184" spans="1:16">
      <c r="A2184" t="s">
        <v>3004</v>
      </c>
      <c r="B2184" t="s">
        <v>2974</v>
      </c>
      <c r="C2184" t="s">
        <v>14</v>
      </c>
      <c r="D2184">
        <v>1987</v>
      </c>
      <c r="E2184" t="s">
        <v>23</v>
      </c>
      <c r="F2184" t="s">
        <v>24</v>
      </c>
      <c r="G2184" t="s">
        <v>25</v>
      </c>
      <c r="H2184" t="s">
        <v>26</v>
      </c>
      <c r="I2184">
        <v>51889696</v>
      </c>
      <c r="J2184" t="s">
        <v>27</v>
      </c>
      <c r="K2184" t="s">
        <v>3003</v>
      </c>
      <c r="L2184" t="s">
        <v>21</v>
      </c>
      <c r="M2184" t="str">
        <f t="shared" si="102"/>
        <v>OK</v>
      </c>
      <c r="N2184" t="str">
        <f t="shared" si="103"/>
        <v>1980s</v>
      </c>
      <c r="O2184" t="str">
        <f t="shared" si="104"/>
        <v>N/A</v>
      </c>
      <c r="P2184" t="str">
        <f>VLOOKUP(E2184,calculated_fields!$F$4:$G$6,2,FALSE)</f>
        <v>Demographics</v>
      </c>
    </row>
    <row r="2185" spans="1:16">
      <c r="A2185" t="s">
        <v>3005</v>
      </c>
      <c r="B2185" t="s">
        <v>2974</v>
      </c>
      <c r="C2185" t="s">
        <v>14</v>
      </c>
      <c r="D2185">
        <v>1987</v>
      </c>
      <c r="E2185" t="s">
        <v>29</v>
      </c>
      <c r="F2185" t="s">
        <v>30</v>
      </c>
      <c r="G2185" t="s">
        <v>31</v>
      </c>
      <c r="H2185" t="s">
        <v>32</v>
      </c>
      <c r="I2185">
        <v>6642.8813710000004</v>
      </c>
      <c r="J2185" t="s">
        <v>33</v>
      </c>
      <c r="K2185" t="s">
        <v>3003</v>
      </c>
      <c r="L2185" t="s">
        <v>21</v>
      </c>
      <c r="M2185" t="str">
        <f t="shared" si="102"/>
        <v>OK</v>
      </c>
      <c r="N2185" t="str">
        <f t="shared" si="103"/>
        <v>1980s</v>
      </c>
      <c r="O2185" t="str">
        <f t="shared" si="104"/>
        <v>N/A</v>
      </c>
      <c r="P2185" t="str">
        <f>VLOOKUP(E2185,calculated_fields!$F$4:$G$6,2,FALSE)</f>
        <v>Economy</v>
      </c>
    </row>
    <row r="2186" spans="1:16">
      <c r="A2186" t="s">
        <v>3006</v>
      </c>
      <c r="B2186" t="s">
        <v>2974</v>
      </c>
      <c r="C2186" t="s">
        <v>14</v>
      </c>
      <c r="D2186">
        <v>1992</v>
      </c>
      <c r="E2186" t="s">
        <v>15</v>
      </c>
      <c r="F2186" t="s">
        <v>16</v>
      </c>
      <c r="G2186" t="s">
        <v>17</v>
      </c>
      <c r="H2186" t="s">
        <v>18</v>
      </c>
      <c r="I2186">
        <v>65.742000000000004</v>
      </c>
      <c r="J2186" t="s">
        <v>19</v>
      </c>
      <c r="K2186" t="s">
        <v>3007</v>
      </c>
      <c r="L2186" t="s">
        <v>21</v>
      </c>
      <c r="M2186" t="str">
        <f t="shared" si="102"/>
        <v>OK</v>
      </c>
      <c r="N2186" t="str">
        <f t="shared" si="103"/>
        <v>1990s</v>
      </c>
      <c r="O2186" t="str">
        <f t="shared" si="104"/>
        <v>Medium</v>
      </c>
      <c r="P2186" t="str">
        <f>VLOOKUP(E2186,calculated_fields!$F$4:$G$6,2,FALSE)</f>
        <v>Health</v>
      </c>
    </row>
    <row r="2187" spans="1:16">
      <c r="A2187" t="s">
        <v>3008</v>
      </c>
      <c r="B2187" t="s">
        <v>2974</v>
      </c>
      <c r="C2187" t="s">
        <v>14</v>
      </c>
      <c r="D2187">
        <v>1992</v>
      </c>
      <c r="E2187" t="s">
        <v>23</v>
      </c>
      <c r="F2187" t="s">
        <v>24</v>
      </c>
      <c r="G2187" t="s">
        <v>25</v>
      </c>
      <c r="H2187" t="s">
        <v>26</v>
      </c>
      <c r="I2187">
        <v>60397973</v>
      </c>
      <c r="J2187" t="s">
        <v>27</v>
      </c>
      <c r="K2187" t="s">
        <v>3007</v>
      </c>
      <c r="L2187" t="s">
        <v>21</v>
      </c>
      <c r="M2187" t="str">
        <f t="shared" si="102"/>
        <v>OK</v>
      </c>
      <c r="N2187" t="str">
        <f t="shared" si="103"/>
        <v>1990s</v>
      </c>
      <c r="O2187" t="str">
        <f t="shared" si="104"/>
        <v>N/A</v>
      </c>
      <c r="P2187" t="str">
        <f>VLOOKUP(E2187,calculated_fields!$F$4:$G$6,2,FALSE)</f>
        <v>Demographics</v>
      </c>
    </row>
    <row r="2188" spans="1:16">
      <c r="A2188" t="s">
        <v>3009</v>
      </c>
      <c r="B2188" t="s">
        <v>2974</v>
      </c>
      <c r="C2188" t="s">
        <v>14</v>
      </c>
      <c r="D2188">
        <v>1992</v>
      </c>
      <c r="E2188" t="s">
        <v>29</v>
      </c>
      <c r="F2188" t="s">
        <v>30</v>
      </c>
      <c r="G2188" t="s">
        <v>31</v>
      </c>
      <c r="H2188" t="s">
        <v>32</v>
      </c>
      <c r="I2188">
        <v>7235.6531879999902</v>
      </c>
      <c r="J2188" t="s">
        <v>33</v>
      </c>
      <c r="K2188" t="s">
        <v>3007</v>
      </c>
      <c r="L2188" t="s">
        <v>21</v>
      </c>
      <c r="M2188" t="str">
        <f t="shared" si="102"/>
        <v>OK</v>
      </c>
      <c r="N2188" t="str">
        <f t="shared" si="103"/>
        <v>1990s</v>
      </c>
      <c r="O2188" t="str">
        <f t="shared" si="104"/>
        <v>N/A</v>
      </c>
      <c r="P2188" t="str">
        <f>VLOOKUP(E2188,calculated_fields!$F$4:$G$6,2,FALSE)</f>
        <v>Economy</v>
      </c>
    </row>
    <row r="2189" spans="1:16">
      <c r="A2189" t="s">
        <v>3010</v>
      </c>
      <c r="B2189" t="s">
        <v>2974</v>
      </c>
      <c r="C2189" t="s">
        <v>14</v>
      </c>
      <c r="D2189">
        <v>1997</v>
      </c>
      <c r="E2189" t="s">
        <v>15</v>
      </c>
      <c r="F2189" t="s">
        <v>16</v>
      </c>
      <c r="G2189" t="s">
        <v>17</v>
      </c>
      <c r="H2189" t="s">
        <v>18</v>
      </c>
      <c r="I2189">
        <v>68.042000000000002</v>
      </c>
      <c r="J2189" t="s">
        <v>19</v>
      </c>
      <c r="K2189" t="s">
        <v>3011</v>
      </c>
      <c r="L2189" t="s">
        <v>21</v>
      </c>
      <c r="M2189" t="str">
        <f t="shared" si="102"/>
        <v>OK</v>
      </c>
      <c r="N2189" t="str">
        <f t="shared" si="103"/>
        <v>1990s</v>
      </c>
      <c r="O2189" t="str">
        <f t="shared" si="104"/>
        <v>Medium</v>
      </c>
      <c r="P2189" t="str">
        <f>VLOOKUP(E2189,calculated_fields!$F$4:$G$6,2,FALSE)</f>
        <v>Health</v>
      </c>
    </row>
    <row r="2190" spans="1:16">
      <c r="A2190" t="s">
        <v>3012</v>
      </c>
      <c r="B2190" t="s">
        <v>2974</v>
      </c>
      <c r="C2190" t="s">
        <v>14</v>
      </c>
      <c r="D2190">
        <v>1997</v>
      </c>
      <c r="E2190" t="s">
        <v>23</v>
      </c>
      <c r="F2190" t="s">
        <v>24</v>
      </c>
      <c r="G2190" t="s">
        <v>25</v>
      </c>
      <c r="H2190" t="s">
        <v>26</v>
      </c>
      <c r="I2190">
        <v>63327987</v>
      </c>
      <c r="J2190" t="s">
        <v>27</v>
      </c>
      <c r="K2190" t="s">
        <v>3011</v>
      </c>
      <c r="L2190" t="s">
        <v>21</v>
      </c>
      <c r="M2190" t="str">
        <f t="shared" si="102"/>
        <v>OK</v>
      </c>
      <c r="N2190" t="str">
        <f t="shared" si="103"/>
        <v>1990s</v>
      </c>
      <c r="O2190" t="str">
        <f t="shared" si="104"/>
        <v>N/A</v>
      </c>
      <c r="P2190" t="str">
        <f>VLOOKUP(E2190,calculated_fields!$F$4:$G$6,2,FALSE)</f>
        <v>Demographics</v>
      </c>
    </row>
    <row r="2191" spans="1:16">
      <c r="A2191" t="s">
        <v>3013</v>
      </c>
      <c r="B2191" t="s">
        <v>2974</v>
      </c>
      <c r="C2191" t="s">
        <v>14</v>
      </c>
      <c r="D2191">
        <v>1997</v>
      </c>
      <c r="E2191" t="s">
        <v>29</v>
      </c>
      <c r="F2191" t="s">
        <v>30</v>
      </c>
      <c r="G2191" t="s">
        <v>31</v>
      </c>
      <c r="H2191" t="s">
        <v>32</v>
      </c>
      <c r="I2191">
        <v>8263.5903010000002</v>
      </c>
      <c r="J2191" t="s">
        <v>33</v>
      </c>
      <c r="K2191" t="s">
        <v>3011</v>
      </c>
      <c r="L2191" t="s">
        <v>21</v>
      </c>
      <c r="M2191" t="str">
        <f t="shared" si="102"/>
        <v>OK</v>
      </c>
      <c r="N2191" t="str">
        <f t="shared" si="103"/>
        <v>1990s</v>
      </c>
      <c r="O2191" t="str">
        <f t="shared" si="104"/>
        <v>N/A</v>
      </c>
      <c r="P2191" t="str">
        <f>VLOOKUP(E2191,calculated_fields!$F$4:$G$6,2,FALSE)</f>
        <v>Economy</v>
      </c>
    </row>
    <row r="2192" spans="1:16">
      <c r="A2192" t="s">
        <v>3014</v>
      </c>
      <c r="B2192" t="s">
        <v>2974</v>
      </c>
      <c r="C2192" t="s">
        <v>14</v>
      </c>
      <c r="D2192">
        <v>2002</v>
      </c>
      <c r="E2192" t="s">
        <v>15</v>
      </c>
      <c r="F2192" t="s">
        <v>16</v>
      </c>
      <c r="G2192" t="s">
        <v>17</v>
      </c>
      <c r="H2192" t="s">
        <v>18</v>
      </c>
      <c r="I2192">
        <v>69.450999999999993</v>
      </c>
      <c r="J2192" t="s">
        <v>19</v>
      </c>
      <c r="K2192" t="s">
        <v>3015</v>
      </c>
      <c r="L2192" t="s">
        <v>21</v>
      </c>
      <c r="M2192" t="str">
        <f t="shared" si="102"/>
        <v>OK</v>
      </c>
      <c r="N2192" t="str">
        <f t="shared" si="103"/>
        <v>2000s</v>
      </c>
      <c r="O2192" t="str">
        <f t="shared" si="104"/>
        <v>Medium</v>
      </c>
      <c r="P2192" t="str">
        <f>VLOOKUP(E2192,calculated_fields!$F$4:$G$6,2,FALSE)</f>
        <v>Health</v>
      </c>
    </row>
    <row r="2193" spans="1:16">
      <c r="A2193" t="s">
        <v>3016</v>
      </c>
      <c r="B2193" t="s">
        <v>2974</v>
      </c>
      <c r="C2193" t="s">
        <v>14</v>
      </c>
      <c r="D2193">
        <v>2002</v>
      </c>
      <c r="E2193" t="s">
        <v>23</v>
      </c>
      <c r="F2193" t="s">
        <v>24</v>
      </c>
      <c r="G2193" t="s">
        <v>25</v>
      </c>
      <c r="H2193" t="s">
        <v>26</v>
      </c>
      <c r="I2193">
        <v>66907826</v>
      </c>
      <c r="J2193" t="s">
        <v>27</v>
      </c>
      <c r="K2193" t="s">
        <v>3015</v>
      </c>
      <c r="L2193" t="s">
        <v>21</v>
      </c>
      <c r="M2193" t="str">
        <f t="shared" si="102"/>
        <v>OK</v>
      </c>
      <c r="N2193" t="str">
        <f t="shared" si="103"/>
        <v>2000s</v>
      </c>
      <c r="O2193" t="str">
        <f t="shared" si="104"/>
        <v>N/A</v>
      </c>
      <c r="P2193" t="str">
        <f>VLOOKUP(E2193,calculated_fields!$F$4:$G$6,2,FALSE)</f>
        <v>Demographics</v>
      </c>
    </row>
    <row r="2194" spans="1:16">
      <c r="A2194" t="s">
        <v>3017</v>
      </c>
      <c r="B2194" t="s">
        <v>2974</v>
      </c>
      <c r="C2194" t="s">
        <v>14</v>
      </c>
      <c r="D2194">
        <v>2002</v>
      </c>
      <c r="E2194" t="s">
        <v>29</v>
      </c>
      <c r="F2194" t="s">
        <v>30</v>
      </c>
      <c r="G2194" t="s">
        <v>31</v>
      </c>
      <c r="H2194" t="s">
        <v>32</v>
      </c>
      <c r="I2194">
        <v>9240.7619749999994</v>
      </c>
      <c r="J2194" t="s">
        <v>33</v>
      </c>
      <c r="K2194" t="s">
        <v>3015</v>
      </c>
      <c r="L2194" t="s">
        <v>21</v>
      </c>
      <c r="M2194" t="str">
        <f t="shared" si="102"/>
        <v>OK</v>
      </c>
      <c r="N2194" t="str">
        <f t="shared" si="103"/>
        <v>2000s</v>
      </c>
      <c r="O2194" t="str">
        <f t="shared" si="104"/>
        <v>N/A</v>
      </c>
      <c r="P2194" t="str">
        <f>VLOOKUP(E2194,calculated_fields!$F$4:$G$6,2,FALSE)</f>
        <v>Economy</v>
      </c>
    </row>
    <row r="2195" spans="1:16">
      <c r="A2195" t="s">
        <v>3018</v>
      </c>
      <c r="B2195" t="s">
        <v>2974</v>
      </c>
      <c r="C2195" t="s">
        <v>14</v>
      </c>
      <c r="D2195">
        <v>2007</v>
      </c>
      <c r="E2195" t="s">
        <v>15</v>
      </c>
      <c r="F2195" t="s">
        <v>16</v>
      </c>
      <c r="G2195" t="s">
        <v>17</v>
      </c>
      <c r="H2195" t="s">
        <v>18</v>
      </c>
      <c r="I2195">
        <v>70.963999999999999</v>
      </c>
      <c r="J2195" t="s">
        <v>19</v>
      </c>
      <c r="K2195" t="s">
        <v>3019</v>
      </c>
      <c r="L2195" t="s">
        <v>21</v>
      </c>
      <c r="M2195" t="str">
        <f t="shared" si="102"/>
        <v>OK</v>
      </c>
      <c r="N2195" t="str">
        <f t="shared" si="103"/>
        <v>2000s</v>
      </c>
      <c r="O2195" t="str">
        <f t="shared" si="104"/>
        <v>High</v>
      </c>
      <c r="P2195" t="str">
        <f>VLOOKUP(E2195,calculated_fields!$F$4:$G$6,2,FALSE)</f>
        <v>Health</v>
      </c>
    </row>
    <row r="2196" spans="1:16">
      <c r="A2196" t="s">
        <v>3020</v>
      </c>
      <c r="B2196" t="s">
        <v>2974</v>
      </c>
      <c r="C2196" t="s">
        <v>14</v>
      </c>
      <c r="D2196">
        <v>2007</v>
      </c>
      <c r="E2196" t="s">
        <v>23</v>
      </c>
      <c r="F2196" t="s">
        <v>24</v>
      </c>
      <c r="G2196" t="s">
        <v>25</v>
      </c>
      <c r="H2196" t="s">
        <v>26</v>
      </c>
      <c r="I2196">
        <v>69453570</v>
      </c>
      <c r="J2196" t="s">
        <v>27</v>
      </c>
      <c r="K2196" t="s">
        <v>3019</v>
      </c>
      <c r="L2196" t="s">
        <v>21</v>
      </c>
      <c r="M2196" t="str">
        <f t="shared" si="102"/>
        <v>OK</v>
      </c>
      <c r="N2196" t="str">
        <f t="shared" si="103"/>
        <v>2000s</v>
      </c>
      <c r="O2196" t="str">
        <f t="shared" si="104"/>
        <v>N/A</v>
      </c>
      <c r="P2196" t="str">
        <f>VLOOKUP(E2196,calculated_fields!$F$4:$G$6,2,FALSE)</f>
        <v>Demographics</v>
      </c>
    </row>
    <row r="2197" spans="1:16">
      <c r="A2197" t="s">
        <v>3021</v>
      </c>
      <c r="B2197" t="s">
        <v>2974</v>
      </c>
      <c r="C2197" t="s">
        <v>14</v>
      </c>
      <c r="D2197">
        <v>2007</v>
      </c>
      <c r="E2197" t="s">
        <v>29</v>
      </c>
      <c r="F2197" t="s">
        <v>30</v>
      </c>
      <c r="G2197" t="s">
        <v>31</v>
      </c>
      <c r="H2197" t="s">
        <v>32</v>
      </c>
      <c r="I2197">
        <v>11605.71449</v>
      </c>
      <c r="J2197" t="s">
        <v>33</v>
      </c>
      <c r="K2197" t="s">
        <v>3019</v>
      </c>
      <c r="L2197" t="s">
        <v>21</v>
      </c>
      <c r="M2197" t="str">
        <f t="shared" si="102"/>
        <v>OK</v>
      </c>
      <c r="N2197" t="str">
        <f t="shared" si="103"/>
        <v>2000s</v>
      </c>
      <c r="O2197" t="str">
        <f t="shared" si="104"/>
        <v>N/A</v>
      </c>
      <c r="P2197" t="str">
        <f>VLOOKUP(E2197,calculated_fields!$F$4:$G$6,2,FALSE)</f>
        <v>Economy</v>
      </c>
    </row>
    <row r="2198" spans="1:16">
      <c r="A2198" t="s">
        <v>3022</v>
      </c>
      <c r="B2198" t="s">
        <v>3023</v>
      </c>
      <c r="C2198" t="s">
        <v>14</v>
      </c>
      <c r="D2198">
        <v>1952</v>
      </c>
      <c r="E2198" t="s">
        <v>15</v>
      </c>
      <c r="F2198" t="s">
        <v>16</v>
      </c>
      <c r="G2198" t="s">
        <v>17</v>
      </c>
      <c r="H2198" t="s">
        <v>18</v>
      </c>
      <c r="I2198">
        <v>45.32</v>
      </c>
      <c r="J2198" t="s">
        <v>19</v>
      </c>
      <c r="K2198" t="s">
        <v>3024</v>
      </c>
      <c r="L2198" t="s">
        <v>21</v>
      </c>
      <c r="M2198" t="str">
        <f t="shared" si="102"/>
        <v>OK</v>
      </c>
      <c r="N2198" t="str">
        <f t="shared" si="103"/>
        <v>1950s</v>
      </c>
      <c r="O2198" t="str">
        <f t="shared" si="104"/>
        <v>Low</v>
      </c>
      <c r="P2198" t="str">
        <f>VLOOKUP(E2198,calculated_fields!$F$4:$G$6,2,FALSE)</f>
        <v>Health</v>
      </c>
    </row>
    <row r="2199" spans="1:16">
      <c r="A2199" t="s">
        <v>3025</v>
      </c>
      <c r="B2199" t="s">
        <v>3023</v>
      </c>
      <c r="C2199" t="s">
        <v>14</v>
      </c>
      <c r="D2199">
        <v>1952</v>
      </c>
      <c r="E2199" t="s">
        <v>23</v>
      </c>
      <c r="F2199" t="s">
        <v>24</v>
      </c>
      <c r="G2199" t="s">
        <v>25</v>
      </c>
      <c r="H2199" t="s">
        <v>26</v>
      </c>
      <c r="I2199">
        <v>5441766</v>
      </c>
      <c r="J2199" t="s">
        <v>27</v>
      </c>
      <c r="K2199" t="s">
        <v>3024</v>
      </c>
      <c r="L2199" t="s">
        <v>21</v>
      </c>
      <c r="M2199" t="str">
        <f t="shared" si="102"/>
        <v>OK</v>
      </c>
      <c r="N2199" t="str">
        <f t="shared" si="103"/>
        <v>1950s</v>
      </c>
      <c r="O2199" t="str">
        <f t="shared" si="104"/>
        <v>N/A</v>
      </c>
      <c r="P2199" t="str">
        <f>VLOOKUP(E2199,calculated_fields!$F$4:$G$6,2,FALSE)</f>
        <v>Demographics</v>
      </c>
    </row>
    <row r="2200" spans="1:16">
      <c r="A2200" t="s">
        <v>3026</v>
      </c>
      <c r="B2200" t="s">
        <v>3023</v>
      </c>
      <c r="C2200" t="s">
        <v>14</v>
      </c>
      <c r="D2200">
        <v>1952</v>
      </c>
      <c r="E2200" t="s">
        <v>29</v>
      </c>
      <c r="F2200" t="s">
        <v>30</v>
      </c>
      <c r="G2200" t="s">
        <v>31</v>
      </c>
      <c r="H2200" t="s">
        <v>32</v>
      </c>
      <c r="I2200">
        <v>4129.7660560000004</v>
      </c>
      <c r="J2200" t="s">
        <v>33</v>
      </c>
      <c r="K2200" t="s">
        <v>3024</v>
      </c>
      <c r="L2200" t="s">
        <v>21</v>
      </c>
      <c r="M2200" t="str">
        <f t="shared" si="102"/>
        <v>OK</v>
      </c>
      <c r="N2200" t="str">
        <f t="shared" si="103"/>
        <v>1950s</v>
      </c>
      <c r="O2200" t="str">
        <f t="shared" si="104"/>
        <v>N/A</v>
      </c>
      <c r="P2200" t="str">
        <f>VLOOKUP(E2200,calculated_fields!$F$4:$G$6,2,FALSE)</f>
        <v>Economy</v>
      </c>
    </row>
    <row r="2201" spans="1:16">
      <c r="A2201" t="s">
        <v>3027</v>
      </c>
      <c r="B2201" t="s">
        <v>3023</v>
      </c>
      <c r="C2201" t="s">
        <v>14</v>
      </c>
      <c r="D2201">
        <v>1957</v>
      </c>
      <c r="E2201" t="s">
        <v>15</v>
      </c>
      <c r="F2201" t="s">
        <v>16</v>
      </c>
      <c r="G2201" t="s">
        <v>17</v>
      </c>
      <c r="H2201" t="s">
        <v>18</v>
      </c>
      <c r="I2201">
        <v>48.436999999999998</v>
      </c>
      <c r="J2201" t="s">
        <v>19</v>
      </c>
      <c r="K2201" t="s">
        <v>3028</v>
      </c>
      <c r="L2201" t="s">
        <v>21</v>
      </c>
      <c r="M2201" t="str">
        <f t="shared" si="102"/>
        <v>OK</v>
      </c>
      <c r="N2201" t="str">
        <f t="shared" si="103"/>
        <v>1950s</v>
      </c>
      <c r="O2201" t="str">
        <f t="shared" si="104"/>
        <v>Low</v>
      </c>
      <c r="P2201" t="str">
        <f>VLOOKUP(E2201,calculated_fields!$F$4:$G$6,2,FALSE)</f>
        <v>Health</v>
      </c>
    </row>
    <row r="2202" spans="1:16">
      <c r="A2202" t="s">
        <v>3029</v>
      </c>
      <c r="B2202" t="s">
        <v>3023</v>
      </c>
      <c r="C2202" t="s">
        <v>14</v>
      </c>
      <c r="D2202">
        <v>1957</v>
      </c>
      <c r="E2202" t="s">
        <v>23</v>
      </c>
      <c r="F2202" t="s">
        <v>24</v>
      </c>
      <c r="G2202" t="s">
        <v>25</v>
      </c>
      <c r="H2202" t="s">
        <v>26</v>
      </c>
      <c r="I2202">
        <v>6248643</v>
      </c>
      <c r="J2202" t="s">
        <v>27</v>
      </c>
      <c r="K2202" t="s">
        <v>3028</v>
      </c>
      <c r="L2202" t="s">
        <v>21</v>
      </c>
      <c r="M2202" t="str">
        <f t="shared" si="102"/>
        <v>OK</v>
      </c>
      <c r="N2202" t="str">
        <f t="shared" si="103"/>
        <v>1950s</v>
      </c>
      <c r="O2202" t="str">
        <f t="shared" si="104"/>
        <v>N/A</v>
      </c>
      <c r="P2202" t="str">
        <f>VLOOKUP(E2202,calculated_fields!$F$4:$G$6,2,FALSE)</f>
        <v>Demographics</v>
      </c>
    </row>
    <row r="2203" spans="1:16">
      <c r="A2203" t="s">
        <v>3030</v>
      </c>
      <c r="B2203" t="s">
        <v>3023</v>
      </c>
      <c r="C2203" t="s">
        <v>14</v>
      </c>
      <c r="D2203">
        <v>1957</v>
      </c>
      <c r="E2203" t="s">
        <v>29</v>
      </c>
      <c r="F2203" t="s">
        <v>30</v>
      </c>
      <c r="G2203" t="s">
        <v>31</v>
      </c>
      <c r="H2203" t="s">
        <v>32</v>
      </c>
      <c r="I2203">
        <v>6229.3335619999998</v>
      </c>
      <c r="J2203" t="s">
        <v>33</v>
      </c>
      <c r="K2203" t="s">
        <v>3028</v>
      </c>
      <c r="L2203" t="s">
        <v>21</v>
      </c>
      <c r="M2203" t="str">
        <f t="shared" si="102"/>
        <v>OK</v>
      </c>
      <c r="N2203" t="str">
        <f t="shared" si="103"/>
        <v>1950s</v>
      </c>
      <c r="O2203" t="str">
        <f t="shared" si="104"/>
        <v>N/A</v>
      </c>
      <c r="P2203" t="str">
        <f>VLOOKUP(E2203,calculated_fields!$F$4:$G$6,2,FALSE)</f>
        <v>Economy</v>
      </c>
    </row>
    <row r="2204" spans="1:16">
      <c r="A2204" t="s">
        <v>3031</v>
      </c>
      <c r="B2204" t="s">
        <v>3023</v>
      </c>
      <c r="C2204" t="s">
        <v>14</v>
      </c>
      <c r="D2204">
        <v>1962</v>
      </c>
      <c r="E2204" t="s">
        <v>15</v>
      </c>
      <c r="F2204" t="s">
        <v>16</v>
      </c>
      <c r="G2204" t="s">
        <v>17</v>
      </c>
      <c r="H2204" t="s">
        <v>18</v>
      </c>
      <c r="I2204">
        <v>51.457000000000001</v>
      </c>
      <c r="J2204" t="s">
        <v>19</v>
      </c>
      <c r="K2204" t="s">
        <v>3032</v>
      </c>
      <c r="L2204" t="s">
        <v>21</v>
      </c>
      <c r="M2204" t="str">
        <f t="shared" si="102"/>
        <v>OK</v>
      </c>
      <c r="N2204" t="str">
        <f t="shared" si="103"/>
        <v>1960s</v>
      </c>
      <c r="O2204" t="str">
        <f t="shared" si="104"/>
        <v>Low</v>
      </c>
      <c r="P2204" t="str">
        <f>VLOOKUP(E2204,calculated_fields!$F$4:$G$6,2,FALSE)</f>
        <v>Health</v>
      </c>
    </row>
    <row r="2205" spans="1:16">
      <c r="A2205" t="s">
        <v>3033</v>
      </c>
      <c r="B2205" t="s">
        <v>3023</v>
      </c>
      <c r="C2205" t="s">
        <v>14</v>
      </c>
      <c r="D2205">
        <v>1962</v>
      </c>
      <c r="E2205" t="s">
        <v>23</v>
      </c>
      <c r="F2205" t="s">
        <v>24</v>
      </c>
      <c r="G2205" t="s">
        <v>25</v>
      </c>
      <c r="H2205" t="s">
        <v>26</v>
      </c>
      <c r="I2205">
        <v>7240260</v>
      </c>
      <c r="J2205" t="s">
        <v>27</v>
      </c>
      <c r="K2205" t="s">
        <v>3032</v>
      </c>
      <c r="L2205" t="s">
        <v>21</v>
      </c>
      <c r="M2205" t="str">
        <f t="shared" si="102"/>
        <v>OK</v>
      </c>
      <c r="N2205" t="str">
        <f t="shared" si="103"/>
        <v>1960s</v>
      </c>
      <c r="O2205" t="str">
        <f t="shared" si="104"/>
        <v>N/A</v>
      </c>
      <c r="P2205" t="str">
        <f>VLOOKUP(E2205,calculated_fields!$F$4:$G$6,2,FALSE)</f>
        <v>Demographics</v>
      </c>
    </row>
    <row r="2206" spans="1:16">
      <c r="A2206" t="s">
        <v>3034</v>
      </c>
      <c r="B2206" t="s">
        <v>3023</v>
      </c>
      <c r="C2206" t="s">
        <v>14</v>
      </c>
      <c r="D2206">
        <v>1962</v>
      </c>
      <c r="E2206" t="s">
        <v>29</v>
      </c>
      <c r="F2206" t="s">
        <v>30</v>
      </c>
      <c r="G2206" t="s">
        <v>31</v>
      </c>
      <c r="H2206" t="s">
        <v>32</v>
      </c>
      <c r="I2206">
        <v>8341.7378150000004</v>
      </c>
      <c r="J2206" t="s">
        <v>33</v>
      </c>
      <c r="K2206" t="s">
        <v>3032</v>
      </c>
      <c r="L2206" t="s">
        <v>21</v>
      </c>
      <c r="M2206" t="str">
        <f t="shared" si="102"/>
        <v>OK</v>
      </c>
      <c r="N2206" t="str">
        <f t="shared" si="103"/>
        <v>1960s</v>
      </c>
      <c r="O2206" t="str">
        <f t="shared" si="104"/>
        <v>N/A</v>
      </c>
      <c r="P2206" t="str">
        <f>VLOOKUP(E2206,calculated_fields!$F$4:$G$6,2,FALSE)</f>
        <v>Economy</v>
      </c>
    </row>
    <row r="2207" spans="1:16">
      <c r="A2207" t="s">
        <v>3035</v>
      </c>
      <c r="B2207" t="s">
        <v>3023</v>
      </c>
      <c r="C2207" t="s">
        <v>14</v>
      </c>
      <c r="D2207">
        <v>1967</v>
      </c>
      <c r="E2207" t="s">
        <v>15</v>
      </c>
      <c r="F2207" t="s">
        <v>16</v>
      </c>
      <c r="G2207" t="s">
        <v>17</v>
      </c>
      <c r="H2207" t="s">
        <v>18</v>
      </c>
      <c r="I2207">
        <v>54.459000000000003</v>
      </c>
      <c r="J2207" t="s">
        <v>19</v>
      </c>
      <c r="K2207" t="s">
        <v>3036</v>
      </c>
      <c r="L2207" t="s">
        <v>21</v>
      </c>
      <c r="M2207" t="str">
        <f t="shared" si="102"/>
        <v>OK</v>
      </c>
      <c r="N2207" t="str">
        <f t="shared" si="103"/>
        <v>1960s</v>
      </c>
      <c r="O2207" t="str">
        <f t="shared" si="104"/>
        <v>Low</v>
      </c>
      <c r="P2207" t="str">
        <f>VLOOKUP(E2207,calculated_fields!$F$4:$G$6,2,FALSE)</f>
        <v>Health</v>
      </c>
    </row>
    <row r="2208" spans="1:16">
      <c r="A2208" t="s">
        <v>3037</v>
      </c>
      <c r="B2208" t="s">
        <v>3023</v>
      </c>
      <c r="C2208" t="s">
        <v>14</v>
      </c>
      <c r="D2208">
        <v>1967</v>
      </c>
      <c r="E2208" t="s">
        <v>23</v>
      </c>
      <c r="F2208" t="s">
        <v>24</v>
      </c>
      <c r="G2208" t="s">
        <v>25</v>
      </c>
      <c r="H2208" t="s">
        <v>26</v>
      </c>
      <c r="I2208">
        <v>8519282</v>
      </c>
      <c r="J2208" t="s">
        <v>27</v>
      </c>
      <c r="K2208" t="s">
        <v>3036</v>
      </c>
      <c r="L2208" t="s">
        <v>21</v>
      </c>
      <c r="M2208" t="str">
        <f t="shared" si="102"/>
        <v>OK</v>
      </c>
      <c r="N2208" t="str">
        <f t="shared" si="103"/>
        <v>1960s</v>
      </c>
      <c r="O2208" t="str">
        <f t="shared" si="104"/>
        <v>N/A</v>
      </c>
      <c r="P2208" t="str">
        <f>VLOOKUP(E2208,calculated_fields!$F$4:$G$6,2,FALSE)</f>
        <v>Demographics</v>
      </c>
    </row>
    <row r="2209" spans="1:16">
      <c r="A2209" t="s">
        <v>3038</v>
      </c>
      <c r="B2209" t="s">
        <v>3023</v>
      </c>
      <c r="C2209" t="s">
        <v>14</v>
      </c>
      <c r="D2209">
        <v>1967</v>
      </c>
      <c r="E2209" t="s">
        <v>29</v>
      </c>
      <c r="F2209" t="s">
        <v>30</v>
      </c>
      <c r="G2209" t="s">
        <v>31</v>
      </c>
      <c r="H2209" t="s">
        <v>32</v>
      </c>
      <c r="I2209">
        <v>8931.4598110000006</v>
      </c>
      <c r="J2209" t="s">
        <v>33</v>
      </c>
      <c r="K2209" t="s">
        <v>3036</v>
      </c>
      <c r="L2209" t="s">
        <v>21</v>
      </c>
      <c r="M2209" t="str">
        <f t="shared" si="102"/>
        <v>OK</v>
      </c>
      <c r="N2209" t="str">
        <f t="shared" si="103"/>
        <v>1960s</v>
      </c>
      <c r="O2209" t="str">
        <f t="shared" si="104"/>
        <v>N/A</v>
      </c>
      <c r="P2209" t="str">
        <f>VLOOKUP(E2209,calculated_fields!$F$4:$G$6,2,FALSE)</f>
        <v>Economy</v>
      </c>
    </row>
    <row r="2210" spans="1:16">
      <c r="A2210" t="s">
        <v>3039</v>
      </c>
      <c r="B2210" t="s">
        <v>3023</v>
      </c>
      <c r="C2210" t="s">
        <v>14</v>
      </c>
      <c r="D2210">
        <v>1972</v>
      </c>
      <c r="E2210" t="s">
        <v>15</v>
      </c>
      <c r="F2210" t="s">
        <v>16</v>
      </c>
      <c r="G2210" t="s">
        <v>17</v>
      </c>
      <c r="H2210" t="s">
        <v>18</v>
      </c>
      <c r="I2210">
        <v>56.95</v>
      </c>
      <c r="J2210" t="s">
        <v>19</v>
      </c>
      <c r="K2210" t="s">
        <v>3040</v>
      </c>
      <c r="L2210" t="s">
        <v>21</v>
      </c>
      <c r="M2210" t="str">
        <f t="shared" si="102"/>
        <v>OK</v>
      </c>
      <c r="N2210" t="str">
        <f t="shared" si="103"/>
        <v>1970s</v>
      </c>
      <c r="O2210" t="str">
        <f t="shared" si="104"/>
        <v>Medium</v>
      </c>
      <c r="P2210" t="str">
        <f>VLOOKUP(E2210,calculated_fields!$F$4:$G$6,2,FALSE)</f>
        <v>Health</v>
      </c>
    </row>
    <row r="2211" spans="1:16">
      <c r="A2211" t="s">
        <v>3041</v>
      </c>
      <c r="B2211" t="s">
        <v>3023</v>
      </c>
      <c r="C2211" t="s">
        <v>14</v>
      </c>
      <c r="D2211">
        <v>1972</v>
      </c>
      <c r="E2211" t="s">
        <v>23</v>
      </c>
      <c r="F2211" t="s">
        <v>24</v>
      </c>
      <c r="G2211" t="s">
        <v>25</v>
      </c>
      <c r="H2211" t="s">
        <v>26</v>
      </c>
      <c r="I2211">
        <v>10061506</v>
      </c>
      <c r="J2211" t="s">
        <v>27</v>
      </c>
      <c r="K2211" t="s">
        <v>3040</v>
      </c>
      <c r="L2211" t="s">
        <v>21</v>
      </c>
      <c r="M2211" t="str">
        <f t="shared" si="102"/>
        <v>OK</v>
      </c>
      <c r="N2211" t="str">
        <f t="shared" si="103"/>
        <v>1970s</v>
      </c>
      <c r="O2211" t="str">
        <f t="shared" si="104"/>
        <v>N/A</v>
      </c>
      <c r="P2211" t="str">
        <f>VLOOKUP(E2211,calculated_fields!$F$4:$G$6,2,FALSE)</f>
        <v>Demographics</v>
      </c>
    </row>
    <row r="2212" spans="1:16">
      <c r="A2212" t="s">
        <v>3042</v>
      </c>
      <c r="B2212" t="s">
        <v>3023</v>
      </c>
      <c r="C2212" t="s">
        <v>14</v>
      </c>
      <c r="D2212">
        <v>1972</v>
      </c>
      <c r="E2212" t="s">
        <v>29</v>
      </c>
      <c r="F2212" t="s">
        <v>30</v>
      </c>
      <c r="G2212" t="s">
        <v>31</v>
      </c>
      <c r="H2212" t="s">
        <v>32</v>
      </c>
      <c r="I2212">
        <v>9576.0375960000001</v>
      </c>
      <c r="J2212" t="s">
        <v>33</v>
      </c>
      <c r="K2212" t="s">
        <v>3040</v>
      </c>
      <c r="L2212" t="s">
        <v>21</v>
      </c>
      <c r="M2212" t="str">
        <f t="shared" si="102"/>
        <v>OK</v>
      </c>
      <c r="N2212" t="str">
        <f t="shared" si="103"/>
        <v>1970s</v>
      </c>
      <c r="O2212" t="str">
        <f t="shared" si="104"/>
        <v>N/A</v>
      </c>
      <c r="P2212" t="str">
        <f>VLOOKUP(E2212,calculated_fields!$F$4:$G$6,2,FALSE)</f>
        <v>Economy</v>
      </c>
    </row>
    <row r="2213" spans="1:16">
      <c r="A2213" t="s">
        <v>3043</v>
      </c>
      <c r="B2213" t="s">
        <v>3023</v>
      </c>
      <c r="C2213" t="s">
        <v>14</v>
      </c>
      <c r="D2213">
        <v>1977</v>
      </c>
      <c r="E2213" t="s">
        <v>15</v>
      </c>
      <c r="F2213" t="s">
        <v>16</v>
      </c>
      <c r="G2213" t="s">
        <v>17</v>
      </c>
      <c r="H2213" t="s">
        <v>18</v>
      </c>
      <c r="I2213">
        <v>60.412999999999997</v>
      </c>
      <c r="J2213" t="s">
        <v>19</v>
      </c>
      <c r="K2213" t="s">
        <v>3044</v>
      </c>
      <c r="L2213" t="s">
        <v>21</v>
      </c>
      <c r="M2213" t="str">
        <f t="shared" si="102"/>
        <v>OK</v>
      </c>
      <c r="N2213" t="str">
        <f t="shared" si="103"/>
        <v>1970s</v>
      </c>
      <c r="O2213" t="str">
        <f t="shared" si="104"/>
        <v>Medium</v>
      </c>
      <c r="P2213" t="str">
        <f>VLOOKUP(E2213,calculated_fields!$F$4:$G$6,2,FALSE)</f>
        <v>Health</v>
      </c>
    </row>
    <row r="2214" spans="1:16">
      <c r="A2214" t="s">
        <v>3045</v>
      </c>
      <c r="B2214" t="s">
        <v>3023</v>
      </c>
      <c r="C2214" t="s">
        <v>14</v>
      </c>
      <c r="D2214">
        <v>1977</v>
      </c>
      <c r="E2214" t="s">
        <v>23</v>
      </c>
      <c r="F2214" t="s">
        <v>24</v>
      </c>
      <c r="G2214" t="s">
        <v>25</v>
      </c>
      <c r="H2214" t="s">
        <v>26</v>
      </c>
      <c r="I2214">
        <v>11882916</v>
      </c>
      <c r="J2214" t="s">
        <v>27</v>
      </c>
      <c r="K2214" t="s">
        <v>3044</v>
      </c>
      <c r="L2214" t="s">
        <v>21</v>
      </c>
      <c r="M2214" t="str">
        <f t="shared" si="102"/>
        <v>OK</v>
      </c>
      <c r="N2214" t="str">
        <f t="shared" si="103"/>
        <v>1970s</v>
      </c>
      <c r="O2214" t="str">
        <f t="shared" si="104"/>
        <v>N/A</v>
      </c>
      <c r="P2214" t="str">
        <f>VLOOKUP(E2214,calculated_fields!$F$4:$G$6,2,FALSE)</f>
        <v>Demographics</v>
      </c>
    </row>
    <row r="2215" spans="1:16">
      <c r="A2215" t="s">
        <v>3046</v>
      </c>
      <c r="B2215" t="s">
        <v>3023</v>
      </c>
      <c r="C2215" t="s">
        <v>14</v>
      </c>
      <c r="D2215">
        <v>1977</v>
      </c>
      <c r="E2215" t="s">
        <v>29</v>
      </c>
      <c r="F2215" t="s">
        <v>30</v>
      </c>
      <c r="G2215" t="s">
        <v>31</v>
      </c>
      <c r="H2215" t="s">
        <v>32</v>
      </c>
      <c r="I2215">
        <v>14688.235070000001</v>
      </c>
      <c r="J2215" t="s">
        <v>33</v>
      </c>
      <c r="K2215" t="s">
        <v>3044</v>
      </c>
      <c r="L2215" t="s">
        <v>21</v>
      </c>
      <c r="M2215" t="str">
        <f t="shared" si="102"/>
        <v>OK</v>
      </c>
      <c r="N2215" t="str">
        <f t="shared" si="103"/>
        <v>1970s</v>
      </c>
      <c r="O2215" t="str">
        <f t="shared" si="104"/>
        <v>N/A</v>
      </c>
      <c r="P2215" t="str">
        <f>VLOOKUP(E2215,calculated_fields!$F$4:$G$6,2,FALSE)</f>
        <v>Economy</v>
      </c>
    </row>
    <row r="2216" spans="1:16">
      <c r="A2216" t="s">
        <v>3047</v>
      </c>
      <c r="B2216" t="s">
        <v>3023</v>
      </c>
      <c r="C2216" t="s">
        <v>14</v>
      </c>
      <c r="D2216">
        <v>1982</v>
      </c>
      <c r="E2216" t="s">
        <v>15</v>
      </c>
      <c r="F2216" t="s">
        <v>16</v>
      </c>
      <c r="G2216" t="s">
        <v>17</v>
      </c>
      <c r="H2216" t="s">
        <v>18</v>
      </c>
      <c r="I2216">
        <v>62.037999999999997</v>
      </c>
      <c r="J2216" t="s">
        <v>19</v>
      </c>
      <c r="K2216" t="s">
        <v>3048</v>
      </c>
      <c r="L2216" t="s">
        <v>21</v>
      </c>
      <c r="M2216" t="str">
        <f t="shared" si="102"/>
        <v>OK</v>
      </c>
      <c r="N2216" t="str">
        <f t="shared" si="103"/>
        <v>1980s</v>
      </c>
      <c r="O2216" t="str">
        <f t="shared" si="104"/>
        <v>Medium</v>
      </c>
      <c r="P2216" t="str">
        <f>VLOOKUP(E2216,calculated_fields!$F$4:$G$6,2,FALSE)</f>
        <v>Health</v>
      </c>
    </row>
    <row r="2217" spans="1:16">
      <c r="A2217" t="s">
        <v>3049</v>
      </c>
      <c r="B2217" t="s">
        <v>3023</v>
      </c>
      <c r="C2217" t="s">
        <v>14</v>
      </c>
      <c r="D2217">
        <v>1982</v>
      </c>
      <c r="E2217" t="s">
        <v>23</v>
      </c>
      <c r="F2217" t="s">
        <v>24</v>
      </c>
      <c r="G2217" t="s">
        <v>25</v>
      </c>
      <c r="H2217" t="s">
        <v>26</v>
      </c>
      <c r="I2217">
        <v>14173318</v>
      </c>
      <c r="J2217" t="s">
        <v>27</v>
      </c>
      <c r="K2217" t="s">
        <v>3048</v>
      </c>
      <c r="L2217" t="s">
        <v>21</v>
      </c>
      <c r="M2217" t="str">
        <f t="shared" si="102"/>
        <v>OK</v>
      </c>
      <c r="N2217" t="str">
        <f t="shared" si="103"/>
        <v>1980s</v>
      </c>
      <c r="O2217" t="str">
        <f t="shared" si="104"/>
        <v>N/A</v>
      </c>
      <c r="P2217" t="str">
        <f>VLOOKUP(E2217,calculated_fields!$F$4:$G$6,2,FALSE)</f>
        <v>Demographics</v>
      </c>
    </row>
    <row r="2218" spans="1:16">
      <c r="A2218" t="s">
        <v>3050</v>
      </c>
      <c r="B2218" t="s">
        <v>3023</v>
      </c>
      <c r="C2218" t="s">
        <v>14</v>
      </c>
      <c r="D2218">
        <v>1982</v>
      </c>
      <c r="E2218" t="s">
        <v>29</v>
      </c>
      <c r="F2218" t="s">
        <v>30</v>
      </c>
      <c r="G2218" t="s">
        <v>31</v>
      </c>
      <c r="H2218" t="s">
        <v>32</v>
      </c>
      <c r="I2218">
        <v>14517.90711</v>
      </c>
      <c r="J2218" t="s">
        <v>33</v>
      </c>
      <c r="K2218" t="s">
        <v>3048</v>
      </c>
      <c r="L2218" t="s">
        <v>21</v>
      </c>
      <c r="M2218" t="str">
        <f t="shared" si="102"/>
        <v>OK</v>
      </c>
      <c r="N2218" t="str">
        <f t="shared" si="103"/>
        <v>1980s</v>
      </c>
      <c r="O2218" t="str">
        <f t="shared" si="104"/>
        <v>N/A</v>
      </c>
      <c r="P2218" t="str">
        <f>VLOOKUP(E2218,calculated_fields!$F$4:$G$6,2,FALSE)</f>
        <v>Economy</v>
      </c>
    </row>
    <row r="2219" spans="1:16">
      <c r="A2219" t="s">
        <v>3051</v>
      </c>
      <c r="B2219" t="s">
        <v>3023</v>
      </c>
      <c r="C2219" t="s">
        <v>14</v>
      </c>
      <c r="D2219">
        <v>1987</v>
      </c>
      <c r="E2219" t="s">
        <v>15</v>
      </c>
      <c r="F2219" t="s">
        <v>16</v>
      </c>
      <c r="G2219" t="s">
        <v>17</v>
      </c>
      <c r="H2219" t="s">
        <v>18</v>
      </c>
      <c r="I2219">
        <v>65.043999999999997</v>
      </c>
      <c r="J2219" t="s">
        <v>19</v>
      </c>
      <c r="K2219" t="s">
        <v>3052</v>
      </c>
      <c r="L2219" t="s">
        <v>21</v>
      </c>
      <c r="M2219" t="str">
        <f t="shared" si="102"/>
        <v>OK</v>
      </c>
      <c r="N2219" t="str">
        <f t="shared" si="103"/>
        <v>1980s</v>
      </c>
      <c r="O2219" t="str">
        <f t="shared" si="104"/>
        <v>Medium</v>
      </c>
      <c r="P2219" t="str">
        <f>VLOOKUP(E2219,calculated_fields!$F$4:$G$6,2,FALSE)</f>
        <v>Health</v>
      </c>
    </row>
    <row r="2220" spans="1:16">
      <c r="A2220" t="s">
        <v>3053</v>
      </c>
      <c r="B2220" t="s">
        <v>3023</v>
      </c>
      <c r="C2220" t="s">
        <v>14</v>
      </c>
      <c r="D2220">
        <v>1987</v>
      </c>
      <c r="E2220" t="s">
        <v>23</v>
      </c>
      <c r="F2220" t="s">
        <v>24</v>
      </c>
      <c r="G2220" t="s">
        <v>25</v>
      </c>
      <c r="H2220" t="s">
        <v>26</v>
      </c>
      <c r="I2220">
        <v>16543189</v>
      </c>
      <c r="J2220" t="s">
        <v>27</v>
      </c>
      <c r="K2220" t="s">
        <v>3052</v>
      </c>
      <c r="L2220" t="s">
        <v>21</v>
      </c>
      <c r="M2220" t="str">
        <f t="shared" si="102"/>
        <v>OK</v>
      </c>
      <c r="N2220" t="str">
        <f t="shared" si="103"/>
        <v>1980s</v>
      </c>
      <c r="O2220" t="str">
        <f t="shared" si="104"/>
        <v>N/A</v>
      </c>
      <c r="P2220" t="str">
        <f>VLOOKUP(E2220,calculated_fields!$F$4:$G$6,2,FALSE)</f>
        <v>Demographics</v>
      </c>
    </row>
    <row r="2221" spans="1:16">
      <c r="A2221" t="s">
        <v>3054</v>
      </c>
      <c r="B2221" t="s">
        <v>3023</v>
      </c>
      <c r="C2221" t="s">
        <v>14</v>
      </c>
      <c r="D2221">
        <v>1987</v>
      </c>
      <c r="E2221" t="s">
        <v>29</v>
      </c>
      <c r="F2221" t="s">
        <v>30</v>
      </c>
      <c r="G2221" t="s">
        <v>31</v>
      </c>
      <c r="H2221" t="s">
        <v>32</v>
      </c>
      <c r="I2221">
        <v>11643.572679999999</v>
      </c>
      <c r="J2221" t="s">
        <v>33</v>
      </c>
      <c r="K2221" t="s">
        <v>3052</v>
      </c>
      <c r="L2221" t="s">
        <v>21</v>
      </c>
      <c r="M2221" t="str">
        <f t="shared" si="102"/>
        <v>OK</v>
      </c>
      <c r="N2221" t="str">
        <f t="shared" si="103"/>
        <v>1980s</v>
      </c>
      <c r="O2221" t="str">
        <f t="shared" si="104"/>
        <v>N/A</v>
      </c>
      <c r="P2221" t="str">
        <f>VLOOKUP(E2221,calculated_fields!$F$4:$G$6,2,FALSE)</f>
        <v>Economy</v>
      </c>
    </row>
    <row r="2222" spans="1:16">
      <c r="A2222" t="s">
        <v>3055</v>
      </c>
      <c r="B2222" t="s">
        <v>3023</v>
      </c>
      <c r="C2222" t="s">
        <v>14</v>
      </c>
      <c r="D2222">
        <v>1992</v>
      </c>
      <c r="E2222" t="s">
        <v>15</v>
      </c>
      <c r="F2222" t="s">
        <v>16</v>
      </c>
      <c r="G2222" t="s">
        <v>17</v>
      </c>
      <c r="H2222" t="s">
        <v>18</v>
      </c>
      <c r="I2222">
        <v>59.460999999999999</v>
      </c>
      <c r="J2222" t="s">
        <v>19</v>
      </c>
      <c r="K2222" t="s">
        <v>3056</v>
      </c>
      <c r="L2222" t="s">
        <v>21</v>
      </c>
      <c r="M2222" t="str">
        <f t="shared" si="102"/>
        <v>OK</v>
      </c>
      <c r="N2222" t="str">
        <f t="shared" si="103"/>
        <v>1990s</v>
      </c>
      <c r="O2222" t="str">
        <f t="shared" si="104"/>
        <v>Medium</v>
      </c>
      <c r="P2222" t="str">
        <f>VLOOKUP(E2222,calculated_fields!$F$4:$G$6,2,FALSE)</f>
        <v>Health</v>
      </c>
    </row>
    <row r="2223" spans="1:16">
      <c r="A2223" t="s">
        <v>3057</v>
      </c>
      <c r="B2223" t="s">
        <v>3023</v>
      </c>
      <c r="C2223" t="s">
        <v>14</v>
      </c>
      <c r="D2223">
        <v>1992</v>
      </c>
      <c r="E2223" t="s">
        <v>23</v>
      </c>
      <c r="F2223" t="s">
        <v>24</v>
      </c>
      <c r="G2223" t="s">
        <v>25</v>
      </c>
      <c r="H2223" t="s">
        <v>26</v>
      </c>
      <c r="I2223">
        <v>17861905</v>
      </c>
      <c r="J2223" t="s">
        <v>27</v>
      </c>
      <c r="K2223" t="s">
        <v>3056</v>
      </c>
      <c r="L2223" t="s">
        <v>21</v>
      </c>
      <c r="M2223" t="str">
        <f t="shared" si="102"/>
        <v>OK</v>
      </c>
      <c r="N2223" t="str">
        <f t="shared" si="103"/>
        <v>1990s</v>
      </c>
      <c r="O2223" t="str">
        <f t="shared" si="104"/>
        <v>N/A</v>
      </c>
      <c r="P2223" t="str">
        <f>VLOOKUP(E2223,calculated_fields!$F$4:$G$6,2,FALSE)</f>
        <v>Demographics</v>
      </c>
    </row>
    <row r="2224" spans="1:16">
      <c r="A2224" t="s">
        <v>3058</v>
      </c>
      <c r="B2224" t="s">
        <v>3023</v>
      </c>
      <c r="C2224" t="s">
        <v>14</v>
      </c>
      <c r="D2224">
        <v>1992</v>
      </c>
      <c r="E2224" t="s">
        <v>29</v>
      </c>
      <c r="F2224" t="s">
        <v>30</v>
      </c>
      <c r="G2224" t="s">
        <v>31</v>
      </c>
      <c r="H2224" t="s">
        <v>32</v>
      </c>
      <c r="I2224">
        <v>3745.6406870000001</v>
      </c>
      <c r="J2224" t="s">
        <v>33</v>
      </c>
      <c r="K2224" t="s">
        <v>3056</v>
      </c>
      <c r="L2224" t="s">
        <v>21</v>
      </c>
      <c r="M2224" t="str">
        <f t="shared" si="102"/>
        <v>OK</v>
      </c>
      <c r="N2224" t="str">
        <f t="shared" si="103"/>
        <v>1990s</v>
      </c>
      <c r="O2224" t="str">
        <f t="shared" si="104"/>
        <v>N/A</v>
      </c>
      <c r="P2224" t="str">
        <f>VLOOKUP(E2224,calculated_fields!$F$4:$G$6,2,FALSE)</f>
        <v>Economy</v>
      </c>
    </row>
    <row r="2225" spans="1:16">
      <c r="A2225" t="s">
        <v>3059</v>
      </c>
      <c r="B2225" t="s">
        <v>3023</v>
      </c>
      <c r="C2225" t="s">
        <v>14</v>
      </c>
      <c r="D2225">
        <v>1997</v>
      </c>
      <c r="E2225" t="s">
        <v>15</v>
      </c>
      <c r="F2225" t="s">
        <v>16</v>
      </c>
      <c r="G2225" t="s">
        <v>17</v>
      </c>
      <c r="H2225" t="s">
        <v>18</v>
      </c>
      <c r="I2225">
        <v>58.811</v>
      </c>
      <c r="J2225" t="s">
        <v>19</v>
      </c>
      <c r="K2225" t="s">
        <v>3060</v>
      </c>
      <c r="L2225" t="s">
        <v>21</v>
      </c>
      <c r="M2225" t="str">
        <f t="shared" si="102"/>
        <v>OK</v>
      </c>
      <c r="N2225" t="str">
        <f t="shared" si="103"/>
        <v>1990s</v>
      </c>
      <c r="O2225" t="str">
        <f t="shared" si="104"/>
        <v>Medium</v>
      </c>
      <c r="P2225" t="str">
        <f>VLOOKUP(E2225,calculated_fields!$F$4:$G$6,2,FALSE)</f>
        <v>Health</v>
      </c>
    </row>
    <row r="2226" spans="1:16">
      <c r="A2226" t="s">
        <v>3061</v>
      </c>
      <c r="B2226" t="s">
        <v>3023</v>
      </c>
      <c r="C2226" t="s">
        <v>14</v>
      </c>
      <c r="D2226">
        <v>1997</v>
      </c>
      <c r="E2226" t="s">
        <v>23</v>
      </c>
      <c r="F2226" t="s">
        <v>24</v>
      </c>
      <c r="G2226" t="s">
        <v>25</v>
      </c>
      <c r="H2226" t="s">
        <v>26</v>
      </c>
      <c r="I2226">
        <v>20775703</v>
      </c>
      <c r="J2226" t="s">
        <v>27</v>
      </c>
      <c r="K2226" t="s">
        <v>3060</v>
      </c>
      <c r="L2226" t="s">
        <v>21</v>
      </c>
      <c r="M2226" t="str">
        <f t="shared" si="102"/>
        <v>OK</v>
      </c>
      <c r="N2226" t="str">
        <f t="shared" si="103"/>
        <v>1990s</v>
      </c>
      <c r="O2226" t="str">
        <f t="shared" si="104"/>
        <v>N/A</v>
      </c>
      <c r="P2226" t="str">
        <f>VLOOKUP(E2226,calculated_fields!$F$4:$G$6,2,FALSE)</f>
        <v>Demographics</v>
      </c>
    </row>
    <row r="2227" spans="1:16">
      <c r="A2227" t="s">
        <v>3062</v>
      </c>
      <c r="B2227" t="s">
        <v>3023</v>
      </c>
      <c r="C2227" t="s">
        <v>14</v>
      </c>
      <c r="D2227">
        <v>1997</v>
      </c>
      <c r="E2227" t="s">
        <v>29</v>
      </c>
      <c r="F2227" t="s">
        <v>30</v>
      </c>
      <c r="G2227" t="s">
        <v>31</v>
      </c>
      <c r="H2227" t="s">
        <v>32</v>
      </c>
      <c r="I2227">
        <v>3076.239795</v>
      </c>
      <c r="J2227" t="s">
        <v>33</v>
      </c>
      <c r="K2227" t="s">
        <v>3060</v>
      </c>
      <c r="L2227" t="s">
        <v>21</v>
      </c>
      <c r="M2227" t="str">
        <f t="shared" si="102"/>
        <v>OK</v>
      </c>
      <c r="N2227" t="str">
        <f t="shared" si="103"/>
        <v>1990s</v>
      </c>
      <c r="O2227" t="str">
        <f t="shared" si="104"/>
        <v>N/A</v>
      </c>
      <c r="P2227" t="str">
        <f>VLOOKUP(E2227,calculated_fields!$F$4:$G$6,2,FALSE)</f>
        <v>Economy</v>
      </c>
    </row>
    <row r="2228" spans="1:16">
      <c r="A2228" t="s">
        <v>3063</v>
      </c>
      <c r="B2228" t="s">
        <v>3023</v>
      </c>
      <c r="C2228" t="s">
        <v>14</v>
      </c>
      <c r="D2228">
        <v>2002</v>
      </c>
      <c r="E2228" t="s">
        <v>15</v>
      </c>
      <c r="F2228" t="s">
        <v>16</v>
      </c>
      <c r="G2228" t="s">
        <v>17</v>
      </c>
      <c r="H2228" t="s">
        <v>18</v>
      </c>
      <c r="I2228">
        <v>57.045999999999999</v>
      </c>
      <c r="J2228" t="s">
        <v>19</v>
      </c>
      <c r="K2228" t="s">
        <v>3064</v>
      </c>
      <c r="L2228" t="s">
        <v>21</v>
      </c>
      <c r="M2228" t="str">
        <f t="shared" si="102"/>
        <v>OK</v>
      </c>
      <c r="N2228" t="str">
        <f t="shared" si="103"/>
        <v>2000s</v>
      </c>
      <c r="O2228" t="str">
        <f t="shared" si="104"/>
        <v>Medium</v>
      </c>
      <c r="P2228" t="str">
        <f>VLOOKUP(E2228,calculated_fields!$F$4:$G$6,2,FALSE)</f>
        <v>Health</v>
      </c>
    </row>
    <row r="2229" spans="1:16">
      <c r="A2229" t="s">
        <v>3065</v>
      </c>
      <c r="B2229" t="s">
        <v>3023</v>
      </c>
      <c r="C2229" t="s">
        <v>14</v>
      </c>
      <c r="D2229">
        <v>2002</v>
      </c>
      <c r="E2229" t="s">
        <v>23</v>
      </c>
      <c r="F2229" t="s">
        <v>24</v>
      </c>
      <c r="G2229" t="s">
        <v>25</v>
      </c>
      <c r="H2229" t="s">
        <v>26</v>
      </c>
      <c r="I2229">
        <v>24001816</v>
      </c>
      <c r="J2229" t="s">
        <v>27</v>
      </c>
      <c r="K2229" t="s">
        <v>3064</v>
      </c>
      <c r="L2229" t="s">
        <v>21</v>
      </c>
      <c r="M2229" t="str">
        <f t="shared" si="102"/>
        <v>OK</v>
      </c>
      <c r="N2229" t="str">
        <f t="shared" si="103"/>
        <v>2000s</v>
      </c>
      <c r="O2229" t="str">
        <f t="shared" si="104"/>
        <v>N/A</v>
      </c>
      <c r="P2229" t="str">
        <f>VLOOKUP(E2229,calculated_fields!$F$4:$G$6,2,FALSE)</f>
        <v>Demographics</v>
      </c>
    </row>
    <row r="2230" spans="1:16">
      <c r="A2230" t="s">
        <v>3066</v>
      </c>
      <c r="B2230" t="s">
        <v>3023</v>
      </c>
      <c r="C2230" t="s">
        <v>14</v>
      </c>
      <c r="D2230">
        <v>2002</v>
      </c>
      <c r="E2230" t="s">
        <v>29</v>
      </c>
      <c r="F2230" t="s">
        <v>30</v>
      </c>
      <c r="G2230" t="s">
        <v>31</v>
      </c>
      <c r="H2230" t="s">
        <v>32</v>
      </c>
      <c r="I2230">
        <v>4390.7173119999998</v>
      </c>
      <c r="J2230" t="s">
        <v>33</v>
      </c>
      <c r="K2230" t="s">
        <v>3064</v>
      </c>
      <c r="L2230" t="s">
        <v>21</v>
      </c>
      <c r="M2230" t="str">
        <f t="shared" si="102"/>
        <v>OK</v>
      </c>
      <c r="N2230" t="str">
        <f t="shared" si="103"/>
        <v>2000s</v>
      </c>
      <c r="O2230" t="str">
        <f t="shared" si="104"/>
        <v>N/A</v>
      </c>
      <c r="P2230" t="str">
        <f>VLOOKUP(E2230,calculated_fields!$F$4:$G$6,2,FALSE)</f>
        <v>Economy</v>
      </c>
    </row>
    <row r="2231" spans="1:16">
      <c r="A2231" t="s">
        <v>3067</v>
      </c>
      <c r="B2231" t="s">
        <v>3023</v>
      </c>
      <c r="C2231" t="s">
        <v>14</v>
      </c>
      <c r="D2231">
        <v>2007</v>
      </c>
      <c r="E2231" t="s">
        <v>15</v>
      </c>
      <c r="F2231" t="s">
        <v>16</v>
      </c>
      <c r="G2231" t="s">
        <v>17</v>
      </c>
      <c r="H2231" t="s">
        <v>18</v>
      </c>
      <c r="I2231">
        <v>59.545000000000002</v>
      </c>
      <c r="J2231" t="s">
        <v>19</v>
      </c>
      <c r="K2231" t="s">
        <v>3068</v>
      </c>
      <c r="L2231" t="s">
        <v>21</v>
      </c>
      <c r="M2231" t="str">
        <f t="shared" si="102"/>
        <v>OK</v>
      </c>
      <c r="N2231" t="str">
        <f t="shared" si="103"/>
        <v>2000s</v>
      </c>
      <c r="O2231" t="str">
        <f t="shared" si="104"/>
        <v>Medium</v>
      </c>
      <c r="P2231" t="str">
        <f>VLOOKUP(E2231,calculated_fields!$F$4:$G$6,2,FALSE)</f>
        <v>Health</v>
      </c>
    </row>
    <row r="2232" spans="1:16">
      <c r="A2232" t="s">
        <v>3069</v>
      </c>
      <c r="B2232" t="s">
        <v>3023</v>
      </c>
      <c r="C2232" t="s">
        <v>14</v>
      </c>
      <c r="D2232">
        <v>2007</v>
      </c>
      <c r="E2232" t="s">
        <v>23</v>
      </c>
      <c r="F2232" t="s">
        <v>24</v>
      </c>
      <c r="G2232" t="s">
        <v>25</v>
      </c>
      <c r="H2232" t="s">
        <v>26</v>
      </c>
      <c r="I2232">
        <v>27499638</v>
      </c>
      <c r="J2232" t="s">
        <v>27</v>
      </c>
      <c r="K2232" t="s">
        <v>3068</v>
      </c>
      <c r="L2232" t="s">
        <v>21</v>
      </c>
      <c r="M2232" t="str">
        <f t="shared" si="102"/>
        <v>OK</v>
      </c>
      <c r="N2232" t="str">
        <f t="shared" si="103"/>
        <v>2000s</v>
      </c>
      <c r="O2232" t="str">
        <f t="shared" si="104"/>
        <v>N/A</v>
      </c>
      <c r="P2232" t="str">
        <f>VLOOKUP(E2232,calculated_fields!$F$4:$G$6,2,FALSE)</f>
        <v>Demographics</v>
      </c>
    </row>
    <row r="2233" spans="1:16">
      <c r="A2233" t="s">
        <v>3070</v>
      </c>
      <c r="B2233" t="s">
        <v>3023</v>
      </c>
      <c r="C2233" t="s">
        <v>14</v>
      </c>
      <c r="D2233">
        <v>2007</v>
      </c>
      <c r="E2233" t="s">
        <v>29</v>
      </c>
      <c r="F2233" t="s">
        <v>30</v>
      </c>
      <c r="G2233" t="s">
        <v>31</v>
      </c>
      <c r="H2233" t="s">
        <v>32</v>
      </c>
      <c r="I2233">
        <v>4471.0619059999999</v>
      </c>
      <c r="J2233" t="s">
        <v>33</v>
      </c>
      <c r="K2233" t="s">
        <v>3068</v>
      </c>
      <c r="L2233" t="s">
        <v>21</v>
      </c>
      <c r="M2233" t="str">
        <f t="shared" si="102"/>
        <v>OK</v>
      </c>
      <c r="N2233" t="str">
        <f t="shared" si="103"/>
        <v>2000s</v>
      </c>
      <c r="O2233" t="str">
        <f t="shared" si="104"/>
        <v>N/A</v>
      </c>
      <c r="P2233" t="str">
        <f>VLOOKUP(E2233,calculated_fields!$F$4:$G$6,2,FALSE)</f>
        <v>Economy</v>
      </c>
    </row>
    <row r="2234" spans="1:16">
      <c r="A2234" t="s">
        <v>3071</v>
      </c>
      <c r="B2234" t="s">
        <v>3072</v>
      </c>
      <c r="C2234" t="s">
        <v>80</v>
      </c>
      <c r="D2234">
        <v>1952</v>
      </c>
      <c r="E2234" t="s">
        <v>15</v>
      </c>
      <c r="F2234" t="s">
        <v>16</v>
      </c>
      <c r="G2234" t="s">
        <v>17</v>
      </c>
      <c r="H2234" t="s">
        <v>18</v>
      </c>
      <c r="I2234">
        <v>66.91</v>
      </c>
      <c r="J2234" t="s">
        <v>19</v>
      </c>
      <c r="K2234" t="s">
        <v>3073</v>
      </c>
      <c r="L2234" t="s">
        <v>21</v>
      </c>
      <c r="M2234" t="str">
        <f t="shared" si="102"/>
        <v>OK</v>
      </c>
      <c r="N2234" t="str">
        <f t="shared" si="103"/>
        <v>1950s</v>
      </c>
      <c r="O2234" t="str">
        <f t="shared" si="104"/>
        <v>Medium</v>
      </c>
      <c r="P2234" t="str">
        <f>VLOOKUP(E2234,calculated_fields!$F$4:$G$6,2,FALSE)</f>
        <v>Health</v>
      </c>
    </row>
    <row r="2235" spans="1:16">
      <c r="A2235" t="s">
        <v>3074</v>
      </c>
      <c r="B2235" t="s">
        <v>3072</v>
      </c>
      <c r="C2235" t="s">
        <v>80</v>
      </c>
      <c r="D2235">
        <v>1952</v>
      </c>
      <c r="E2235" t="s">
        <v>23</v>
      </c>
      <c r="F2235" t="s">
        <v>24</v>
      </c>
      <c r="G2235" t="s">
        <v>25</v>
      </c>
      <c r="H2235" t="s">
        <v>26</v>
      </c>
      <c r="I2235">
        <v>2952156</v>
      </c>
      <c r="J2235" t="s">
        <v>27</v>
      </c>
      <c r="K2235" t="s">
        <v>3073</v>
      </c>
      <c r="L2235" t="s">
        <v>21</v>
      </c>
      <c r="M2235" t="str">
        <f t="shared" si="102"/>
        <v>OK</v>
      </c>
      <c r="N2235" t="str">
        <f t="shared" si="103"/>
        <v>1950s</v>
      </c>
      <c r="O2235" t="str">
        <f t="shared" si="104"/>
        <v>N/A</v>
      </c>
      <c r="P2235" t="str">
        <f>VLOOKUP(E2235,calculated_fields!$F$4:$G$6,2,FALSE)</f>
        <v>Demographics</v>
      </c>
    </row>
    <row r="2236" spans="1:16">
      <c r="A2236" t="s">
        <v>3075</v>
      </c>
      <c r="B2236" t="s">
        <v>3072</v>
      </c>
      <c r="C2236" t="s">
        <v>80</v>
      </c>
      <c r="D2236">
        <v>1952</v>
      </c>
      <c r="E2236" t="s">
        <v>29</v>
      </c>
      <c r="F2236" t="s">
        <v>30</v>
      </c>
      <c r="G2236" t="s">
        <v>31</v>
      </c>
      <c r="H2236" t="s">
        <v>32</v>
      </c>
      <c r="I2236">
        <v>5210.2803279999998</v>
      </c>
      <c r="J2236" t="s">
        <v>33</v>
      </c>
      <c r="K2236" t="s">
        <v>3073</v>
      </c>
      <c r="L2236" t="s">
        <v>21</v>
      </c>
      <c r="M2236" t="str">
        <f t="shared" si="102"/>
        <v>OK</v>
      </c>
      <c r="N2236" t="str">
        <f t="shared" si="103"/>
        <v>1950s</v>
      </c>
      <c r="O2236" t="str">
        <f t="shared" si="104"/>
        <v>N/A</v>
      </c>
      <c r="P2236" t="str">
        <f>VLOOKUP(E2236,calculated_fields!$F$4:$G$6,2,FALSE)</f>
        <v>Economy</v>
      </c>
    </row>
    <row r="2237" spans="1:16">
      <c r="A2237" t="s">
        <v>3076</v>
      </c>
      <c r="B2237" t="s">
        <v>3072</v>
      </c>
      <c r="C2237" t="s">
        <v>80</v>
      </c>
      <c r="D2237">
        <v>1957</v>
      </c>
      <c r="E2237" t="s">
        <v>15</v>
      </c>
      <c r="F2237" t="s">
        <v>16</v>
      </c>
      <c r="G2237" t="s">
        <v>17</v>
      </c>
      <c r="H2237" t="s">
        <v>18</v>
      </c>
      <c r="I2237">
        <v>68.900000000000006</v>
      </c>
      <c r="J2237" t="s">
        <v>19</v>
      </c>
      <c r="K2237" t="s">
        <v>3077</v>
      </c>
      <c r="L2237" t="s">
        <v>21</v>
      </c>
      <c r="M2237" t="str">
        <f t="shared" si="102"/>
        <v>OK</v>
      </c>
      <c r="N2237" t="str">
        <f t="shared" si="103"/>
        <v>1950s</v>
      </c>
      <c r="O2237" t="str">
        <f t="shared" si="104"/>
        <v>Medium</v>
      </c>
      <c r="P2237" t="str">
        <f>VLOOKUP(E2237,calculated_fields!$F$4:$G$6,2,FALSE)</f>
        <v>Health</v>
      </c>
    </row>
    <row r="2238" spans="1:16">
      <c r="A2238" t="s">
        <v>3078</v>
      </c>
      <c r="B2238" t="s">
        <v>3072</v>
      </c>
      <c r="C2238" t="s">
        <v>80</v>
      </c>
      <c r="D2238">
        <v>1957</v>
      </c>
      <c r="E2238" t="s">
        <v>23</v>
      </c>
      <c r="F2238" t="s">
        <v>24</v>
      </c>
      <c r="G2238" t="s">
        <v>25</v>
      </c>
      <c r="H2238" t="s">
        <v>26</v>
      </c>
      <c r="I2238">
        <v>2878220</v>
      </c>
      <c r="J2238" t="s">
        <v>27</v>
      </c>
      <c r="K2238" t="s">
        <v>3077</v>
      </c>
      <c r="L2238" t="s">
        <v>21</v>
      </c>
      <c r="M2238" t="str">
        <f t="shared" si="102"/>
        <v>OK</v>
      </c>
      <c r="N2238" t="str">
        <f t="shared" si="103"/>
        <v>1950s</v>
      </c>
      <c r="O2238" t="str">
        <f t="shared" si="104"/>
        <v>N/A</v>
      </c>
      <c r="P2238" t="str">
        <f>VLOOKUP(E2238,calculated_fields!$F$4:$G$6,2,FALSE)</f>
        <v>Demographics</v>
      </c>
    </row>
    <row r="2239" spans="1:16">
      <c r="A2239" t="s">
        <v>3079</v>
      </c>
      <c r="B2239" t="s">
        <v>3072</v>
      </c>
      <c r="C2239" t="s">
        <v>80</v>
      </c>
      <c r="D2239">
        <v>1957</v>
      </c>
      <c r="E2239" t="s">
        <v>29</v>
      </c>
      <c r="F2239" t="s">
        <v>30</v>
      </c>
      <c r="G2239" t="s">
        <v>31</v>
      </c>
      <c r="H2239" t="s">
        <v>32</v>
      </c>
      <c r="I2239">
        <v>5599.0778719999998</v>
      </c>
      <c r="J2239" t="s">
        <v>33</v>
      </c>
      <c r="K2239" t="s">
        <v>3077</v>
      </c>
      <c r="L2239" t="s">
        <v>21</v>
      </c>
      <c r="M2239" t="str">
        <f t="shared" si="102"/>
        <v>OK</v>
      </c>
      <c r="N2239" t="str">
        <f t="shared" si="103"/>
        <v>1950s</v>
      </c>
      <c r="O2239" t="str">
        <f t="shared" si="104"/>
        <v>N/A</v>
      </c>
      <c r="P2239" t="str">
        <f>VLOOKUP(E2239,calculated_fields!$F$4:$G$6,2,FALSE)</f>
        <v>Economy</v>
      </c>
    </row>
    <row r="2240" spans="1:16">
      <c r="A2240" t="s">
        <v>3080</v>
      </c>
      <c r="B2240" t="s">
        <v>3072</v>
      </c>
      <c r="C2240" t="s">
        <v>80</v>
      </c>
      <c r="D2240">
        <v>1962</v>
      </c>
      <c r="E2240" t="s">
        <v>15</v>
      </c>
      <c r="F2240" t="s">
        <v>16</v>
      </c>
      <c r="G2240" t="s">
        <v>17</v>
      </c>
      <c r="H2240" t="s">
        <v>18</v>
      </c>
      <c r="I2240">
        <v>70.290000000000006</v>
      </c>
      <c r="J2240" t="s">
        <v>19</v>
      </c>
      <c r="K2240" t="s">
        <v>3081</v>
      </c>
      <c r="L2240" t="s">
        <v>21</v>
      </c>
      <c r="M2240" t="str">
        <f t="shared" si="102"/>
        <v>OK</v>
      </c>
      <c r="N2240" t="str">
        <f t="shared" si="103"/>
        <v>1960s</v>
      </c>
      <c r="O2240" t="str">
        <f t="shared" si="104"/>
        <v>High</v>
      </c>
      <c r="P2240" t="str">
        <f>VLOOKUP(E2240,calculated_fields!$F$4:$G$6,2,FALSE)</f>
        <v>Health</v>
      </c>
    </row>
    <row r="2241" spans="1:16">
      <c r="A2241" t="s">
        <v>3082</v>
      </c>
      <c r="B2241" t="s">
        <v>3072</v>
      </c>
      <c r="C2241" t="s">
        <v>80</v>
      </c>
      <c r="D2241">
        <v>1962</v>
      </c>
      <c r="E2241" t="s">
        <v>23</v>
      </c>
      <c r="F2241" t="s">
        <v>24</v>
      </c>
      <c r="G2241" t="s">
        <v>25</v>
      </c>
      <c r="H2241" t="s">
        <v>26</v>
      </c>
      <c r="I2241">
        <v>2830000</v>
      </c>
      <c r="J2241" t="s">
        <v>27</v>
      </c>
      <c r="K2241" t="s">
        <v>3081</v>
      </c>
      <c r="L2241" t="s">
        <v>21</v>
      </c>
      <c r="M2241" t="str">
        <f t="shared" si="102"/>
        <v>OK</v>
      </c>
      <c r="N2241" t="str">
        <f t="shared" si="103"/>
        <v>1960s</v>
      </c>
      <c r="O2241" t="str">
        <f t="shared" si="104"/>
        <v>N/A</v>
      </c>
      <c r="P2241" t="str">
        <f>VLOOKUP(E2241,calculated_fields!$F$4:$G$6,2,FALSE)</f>
        <v>Demographics</v>
      </c>
    </row>
    <row r="2242" spans="1:16">
      <c r="A2242" t="s">
        <v>3083</v>
      </c>
      <c r="B2242" t="s">
        <v>3072</v>
      </c>
      <c r="C2242" t="s">
        <v>80</v>
      </c>
      <c r="D2242">
        <v>1962</v>
      </c>
      <c r="E2242" t="s">
        <v>29</v>
      </c>
      <c r="F2242" t="s">
        <v>30</v>
      </c>
      <c r="G2242" t="s">
        <v>31</v>
      </c>
      <c r="H2242" t="s">
        <v>32</v>
      </c>
      <c r="I2242">
        <v>6631.5973139999996</v>
      </c>
      <c r="J2242" t="s">
        <v>33</v>
      </c>
      <c r="K2242" t="s">
        <v>3081</v>
      </c>
      <c r="L2242" t="s">
        <v>21</v>
      </c>
      <c r="M2242" t="str">
        <f t="shared" ref="M2242:M2305" si="105">IF(AND(ISNUMBER(I2242),I2242&gt;=0),"OK","Review")</f>
        <v>OK</v>
      </c>
      <c r="N2242" t="str">
        <f t="shared" ref="N2242:N2305" si="106">FLOOR(D2242,10)&amp;"s"</f>
        <v>1960s</v>
      </c>
      <c r="O2242" t="str">
        <f t="shared" ref="O2242:O2305" si="107">IF(E2242="LIFE_EXP",IF(I2242&gt;=70,"High",IF(I2242&gt;=55,"Medium","Low")),"N/A")</f>
        <v>N/A</v>
      </c>
      <c r="P2242" t="str">
        <f>VLOOKUP(E2242,calculated_fields!$F$4:$G$6,2,FALSE)</f>
        <v>Economy</v>
      </c>
    </row>
    <row r="2243" spans="1:16">
      <c r="A2243" t="s">
        <v>3084</v>
      </c>
      <c r="B2243" t="s">
        <v>3072</v>
      </c>
      <c r="C2243" t="s">
        <v>80</v>
      </c>
      <c r="D2243">
        <v>1967</v>
      </c>
      <c r="E2243" t="s">
        <v>15</v>
      </c>
      <c r="F2243" t="s">
        <v>16</v>
      </c>
      <c r="G2243" t="s">
        <v>17</v>
      </c>
      <c r="H2243" t="s">
        <v>18</v>
      </c>
      <c r="I2243">
        <v>71.08</v>
      </c>
      <c r="J2243" t="s">
        <v>19</v>
      </c>
      <c r="K2243" t="s">
        <v>3085</v>
      </c>
      <c r="L2243" t="s">
        <v>21</v>
      </c>
      <c r="M2243" t="str">
        <f t="shared" si="105"/>
        <v>OK</v>
      </c>
      <c r="N2243" t="str">
        <f t="shared" si="106"/>
        <v>1960s</v>
      </c>
      <c r="O2243" t="str">
        <f t="shared" si="107"/>
        <v>High</v>
      </c>
      <c r="P2243" t="str">
        <f>VLOOKUP(E2243,calculated_fields!$F$4:$G$6,2,FALSE)</f>
        <v>Health</v>
      </c>
    </row>
    <row r="2244" spans="1:16">
      <c r="A2244" t="s">
        <v>3086</v>
      </c>
      <c r="B2244" t="s">
        <v>3072</v>
      </c>
      <c r="C2244" t="s">
        <v>80</v>
      </c>
      <c r="D2244">
        <v>1967</v>
      </c>
      <c r="E2244" t="s">
        <v>23</v>
      </c>
      <c r="F2244" t="s">
        <v>24</v>
      </c>
      <c r="G2244" t="s">
        <v>25</v>
      </c>
      <c r="H2244" t="s">
        <v>26</v>
      </c>
      <c r="I2244">
        <v>2900100</v>
      </c>
      <c r="J2244" t="s">
        <v>27</v>
      </c>
      <c r="K2244" t="s">
        <v>3085</v>
      </c>
      <c r="L2244" t="s">
        <v>21</v>
      </c>
      <c r="M2244" t="str">
        <f t="shared" si="105"/>
        <v>OK</v>
      </c>
      <c r="N2244" t="str">
        <f t="shared" si="106"/>
        <v>1960s</v>
      </c>
      <c r="O2244" t="str">
        <f t="shared" si="107"/>
        <v>N/A</v>
      </c>
      <c r="P2244" t="str">
        <f>VLOOKUP(E2244,calculated_fields!$F$4:$G$6,2,FALSE)</f>
        <v>Demographics</v>
      </c>
    </row>
    <row r="2245" spans="1:16">
      <c r="A2245" t="s">
        <v>3087</v>
      </c>
      <c r="B2245" t="s">
        <v>3072</v>
      </c>
      <c r="C2245" t="s">
        <v>80</v>
      </c>
      <c r="D2245">
        <v>1967</v>
      </c>
      <c r="E2245" t="s">
        <v>29</v>
      </c>
      <c r="F2245" t="s">
        <v>30</v>
      </c>
      <c r="G2245" t="s">
        <v>31</v>
      </c>
      <c r="H2245" t="s">
        <v>32</v>
      </c>
      <c r="I2245">
        <v>7655.5689629999997</v>
      </c>
      <c r="J2245" t="s">
        <v>33</v>
      </c>
      <c r="K2245" t="s">
        <v>3085</v>
      </c>
      <c r="L2245" t="s">
        <v>21</v>
      </c>
      <c r="M2245" t="str">
        <f t="shared" si="105"/>
        <v>OK</v>
      </c>
      <c r="N2245" t="str">
        <f t="shared" si="106"/>
        <v>1960s</v>
      </c>
      <c r="O2245" t="str">
        <f t="shared" si="107"/>
        <v>N/A</v>
      </c>
      <c r="P2245" t="str">
        <f>VLOOKUP(E2245,calculated_fields!$F$4:$G$6,2,FALSE)</f>
        <v>Economy</v>
      </c>
    </row>
    <row r="2246" spans="1:16">
      <c r="A2246" t="s">
        <v>3088</v>
      </c>
      <c r="B2246" t="s">
        <v>3072</v>
      </c>
      <c r="C2246" t="s">
        <v>80</v>
      </c>
      <c r="D2246">
        <v>1972</v>
      </c>
      <c r="E2246" t="s">
        <v>15</v>
      </c>
      <c r="F2246" t="s">
        <v>16</v>
      </c>
      <c r="G2246" t="s">
        <v>17</v>
      </c>
      <c r="H2246" t="s">
        <v>18</v>
      </c>
      <c r="I2246">
        <v>71.28</v>
      </c>
      <c r="J2246" t="s">
        <v>19</v>
      </c>
      <c r="K2246" t="s">
        <v>3089</v>
      </c>
      <c r="L2246" t="s">
        <v>21</v>
      </c>
      <c r="M2246" t="str">
        <f t="shared" si="105"/>
        <v>OK</v>
      </c>
      <c r="N2246" t="str">
        <f t="shared" si="106"/>
        <v>1970s</v>
      </c>
      <c r="O2246" t="str">
        <f t="shared" si="107"/>
        <v>High</v>
      </c>
      <c r="P2246" t="str">
        <f>VLOOKUP(E2246,calculated_fields!$F$4:$G$6,2,FALSE)</f>
        <v>Health</v>
      </c>
    </row>
    <row r="2247" spans="1:16">
      <c r="A2247" t="s">
        <v>3090</v>
      </c>
      <c r="B2247" t="s">
        <v>3072</v>
      </c>
      <c r="C2247" t="s">
        <v>80</v>
      </c>
      <c r="D2247">
        <v>1972</v>
      </c>
      <c r="E2247" t="s">
        <v>23</v>
      </c>
      <c r="F2247" t="s">
        <v>24</v>
      </c>
      <c r="G2247" t="s">
        <v>25</v>
      </c>
      <c r="H2247" t="s">
        <v>26</v>
      </c>
      <c r="I2247">
        <v>3024400</v>
      </c>
      <c r="J2247" t="s">
        <v>27</v>
      </c>
      <c r="K2247" t="s">
        <v>3089</v>
      </c>
      <c r="L2247" t="s">
        <v>21</v>
      </c>
      <c r="M2247" t="str">
        <f t="shared" si="105"/>
        <v>OK</v>
      </c>
      <c r="N2247" t="str">
        <f t="shared" si="106"/>
        <v>1970s</v>
      </c>
      <c r="O2247" t="str">
        <f t="shared" si="107"/>
        <v>N/A</v>
      </c>
      <c r="P2247" t="str">
        <f>VLOOKUP(E2247,calculated_fields!$F$4:$G$6,2,FALSE)</f>
        <v>Demographics</v>
      </c>
    </row>
    <row r="2248" spans="1:16">
      <c r="A2248" t="s">
        <v>3091</v>
      </c>
      <c r="B2248" t="s">
        <v>3072</v>
      </c>
      <c r="C2248" t="s">
        <v>80</v>
      </c>
      <c r="D2248">
        <v>1972</v>
      </c>
      <c r="E2248" t="s">
        <v>29</v>
      </c>
      <c r="F2248" t="s">
        <v>30</v>
      </c>
      <c r="G2248" t="s">
        <v>31</v>
      </c>
      <c r="H2248" t="s">
        <v>32</v>
      </c>
      <c r="I2248">
        <v>9530.7728960000004</v>
      </c>
      <c r="J2248" t="s">
        <v>33</v>
      </c>
      <c r="K2248" t="s">
        <v>3089</v>
      </c>
      <c r="L2248" t="s">
        <v>21</v>
      </c>
      <c r="M2248" t="str">
        <f t="shared" si="105"/>
        <v>OK</v>
      </c>
      <c r="N2248" t="str">
        <f t="shared" si="106"/>
        <v>1970s</v>
      </c>
      <c r="O2248" t="str">
        <f t="shared" si="107"/>
        <v>N/A</v>
      </c>
      <c r="P2248" t="str">
        <f>VLOOKUP(E2248,calculated_fields!$F$4:$G$6,2,FALSE)</f>
        <v>Economy</v>
      </c>
    </row>
    <row r="2249" spans="1:16">
      <c r="A2249" t="s">
        <v>3092</v>
      </c>
      <c r="B2249" t="s">
        <v>3072</v>
      </c>
      <c r="C2249" t="s">
        <v>80</v>
      </c>
      <c r="D2249">
        <v>1977</v>
      </c>
      <c r="E2249" t="s">
        <v>15</v>
      </c>
      <c r="F2249" t="s">
        <v>16</v>
      </c>
      <c r="G2249" t="s">
        <v>17</v>
      </c>
      <c r="H2249" t="s">
        <v>18</v>
      </c>
      <c r="I2249">
        <v>72.03</v>
      </c>
      <c r="J2249" t="s">
        <v>19</v>
      </c>
      <c r="K2249" t="s">
        <v>3093</v>
      </c>
      <c r="L2249" t="s">
        <v>21</v>
      </c>
      <c r="M2249" t="str">
        <f t="shared" si="105"/>
        <v>OK</v>
      </c>
      <c r="N2249" t="str">
        <f t="shared" si="106"/>
        <v>1970s</v>
      </c>
      <c r="O2249" t="str">
        <f t="shared" si="107"/>
        <v>High</v>
      </c>
      <c r="P2249" t="str">
        <f>VLOOKUP(E2249,calculated_fields!$F$4:$G$6,2,FALSE)</f>
        <v>Health</v>
      </c>
    </row>
    <row r="2250" spans="1:16">
      <c r="A2250" t="s">
        <v>3094</v>
      </c>
      <c r="B2250" t="s">
        <v>3072</v>
      </c>
      <c r="C2250" t="s">
        <v>80</v>
      </c>
      <c r="D2250">
        <v>1977</v>
      </c>
      <c r="E2250" t="s">
        <v>23</v>
      </c>
      <c r="F2250" t="s">
        <v>24</v>
      </c>
      <c r="G2250" t="s">
        <v>25</v>
      </c>
      <c r="H2250" t="s">
        <v>26</v>
      </c>
      <c r="I2250">
        <v>3271900</v>
      </c>
      <c r="J2250" t="s">
        <v>27</v>
      </c>
      <c r="K2250" t="s">
        <v>3093</v>
      </c>
      <c r="L2250" t="s">
        <v>21</v>
      </c>
      <c r="M2250" t="str">
        <f t="shared" si="105"/>
        <v>OK</v>
      </c>
      <c r="N2250" t="str">
        <f t="shared" si="106"/>
        <v>1970s</v>
      </c>
      <c r="O2250" t="str">
        <f t="shared" si="107"/>
        <v>N/A</v>
      </c>
      <c r="P2250" t="str">
        <f>VLOOKUP(E2250,calculated_fields!$F$4:$G$6,2,FALSE)</f>
        <v>Demographics</v>
      </c>
    </row>
    <row r="2251" spans="1:16">
      <c r="A2251" t="s">
        <v>3095</v>
      </c>
      <c r="B2251" t="s">
        <v>3072</v>
      </c>
      <c r="C2251" t="s">
        <v>80</v>
      </c>
      <c r="D2251">
        <v>1977</v>
      </c>
      <c r="E2251" t="s">
        <v>29</v>
      </c>
      <c r="F2251" t="s">
        <v>30</v>
      </c>
      <c r="G2251" t="s">
        <v>31</v>
      </c>
      <c r="H2251" t="s">
        <v>32</v>
      </c>
      <c r="I2251">
        <v>11150.98113</v>
      </c>
      <c r="J2251" t="s">
        <v>33</v>
      </c>
      <c r="K2251" t="s">
        <v>3093</v>
      </c>
      <c r="L2251" t="s">
        <v>21</v>
      </c>
      <c r="M2251" t="str">
        <f t="shared" si="105"/>
        <v>OK</v>
      </c>
      <c r="N2251" t="str">
        <f t="shared" si="106"/>
        <v>1970s</v>
      </c>
      <c r="O2251" t="str">
        <f t="shared" si="107"/>
        <v>N/A</v>
      </c>
      <c r="P2251" t="str">
        <f>VLOOKUP(E2251,calculated_fields!$F$4:$G$6,2,FALSE)</f>
        <v>Economy</v>
      </c>
    </row>
    <row r="2252" spans="1:16">
      <c r="A2252" t="s">
        <v>3096</v>
      </c>
      <c r="B2252" t="s">
        <v>3072</v>
      </c>
      <c r="C2252" t="s">
        <v>80</v>
      </c>
      <c r="D2252">
        <v>1982</v>
      </c>
      <c r="E2252" t="s">
        <v>15</v>
      </c>
      <c r="F2252" t="s">
        <v>16</v>
      </c>
      <c r="G2252" t="s">
        <v>17</v>
      </c>
      <c r="H2252" t="s">
        <v>18</v>
      </c>
      <c r="I2252">
        <v>73.099999999999994</v>
      </c>
      <c r="J2252" t="s">
        <v>19</v>
      </c>
      <c r="K2252" t="s">
        <v>3097</v>
      </c>
      <c r="L2252" t="s">
        <v>21</v>
      </c>
      <c r="M2252" t="str">
        <f t="shared" si="105"/>
        <v>OK</v>
      </c>
      <c r="N2252" t="str">
        <f t="shared" si="106"/>
        <v>1980s</v>
      </c>
      <c r="O2252" t="str">
        <f t="shared" si="107"/>
        <v>High</v>
      </c>
      <c r="P2252" t="str">
        <f>VLOOKUP(E2252,calculated_fields!$F$4:$G$6,2,FALSE)</f>
        <v>Health</v>
      </c>
    </row>
    <row r="2253" spans="1:16">
      <c r="A2253" t="s">
        <v>3098</v>
      </c>
      <c r="B2253" t="s">
        <v>3072</v>
      </c>
      <c r="C2253" t="s">
        <v>80</v>
      </c>
      <c r="D2253">
        <v>1982</v>
      </c>
      <c r="E2253" t="s">
        <v>23</v>
      </c>
      <c r="F2253" t="s">
        <v>24</v>
      </c>
      <c r="G2253" t="s">
        <v>25</v>
      </c>
      <c r="H2253" t="s">
        <v>26</v>
      </c>
      <c r="I2253">
        <v>3480000</v>
      </c>
      <c r="J2253" t="s">
        <v>27</v>
      </c>
      <c r="K2253" t="s">
        <v>3097</v>
      </c>
      <c r="L2253" t="s">
        <v>21</v>
      </c>
      <c r="M2253" t="str">
        <f t="shared" si="105"/>
        <v>OK</v>
      </c>
      <c r="N2253" t="str">
        <f t="shared" si="106"/>
        <v>1980s</v>
      </c>
      <c r="O2253" t="str">
        <f t="shared" si="107"/>
        <v>N/A</v>
      </c>
      <c r="P2253" t="str">
        <f>VLOOKUP(E2253,calculated_fields!$F$4:$G$6,2,FALSE)</f>
        <v>Demographics</v>
      </c>
    </row>
    <row r="2254" spans="1:16">
      <c r="A2254" t="s">
        <v>3099</v>
      </c>
      <c r="B2254" t="s">
        <v>3072</v>
      </c>
      <c r="C2254" t="s">
        <v>80</v>
      </c>
      <c r="D2254">
        <v>1982</v>
      </c>
      <c r="E2254" t="s">
        <v>29</v>
      </c>
      <c r="F2254" t="s">
        <v>30</v>
      </c>
      <c r="G2254" t="s">
        <v>31</v>
      </c>
      <c r="H2254" t="s">
        <v>32</v>
      </c>
      <c r="I2254">
        <v>12618.32141</v>
      </c>
      <c r="J2254" t="s">
        <v>33</v>
      </c>
      <c r="K2254" t="s">
        <v>3097</v>
      </c>
      <c r="L2254" t="s">
        <v>21</v>
      </c>
      <c r="M2254" t="str">
        <f t="shared" si="105"/>
        <v>OK</v>
      </c>
      <c r="N2254" t="str">
        <f t="shared" si="106"/>
        <v>1980s</v>
      </c>
      <c r="O2254" t="str">
        <f t="shared" si="107"/>
        <v>N/A</v>
      </c>
      <c r="P2254" t="str">
        <f>VLOOKUP(E2254,calculated_fields!$F$4:$G$6,2,FALSE)</f>
        <v>Economy</v>
      </c>
    </row>
    <row r="2255" spans="1:16">
      <c r="A2255" t="s">
        <v>3100</v>
      </c>
      <c r="B2255" t="s">
        <v>3072</v>
      </c>
      <c r="C2255" t="s">
        <v>80</v>
      </c>
      <c r="D2255">
        <v>1987</v>
      </c>
      <c r="E2255" t="s">
        <v>15</v>
      </c>
      <c r="F2255" t="s">
        <v>16</v>
      </c>
      <c r="G2255" t="s">
        <v>17</v>
      </c>
      <c r="H2255" t="s">
        <v>18</v>
      </c>
      <c r="I2255">
        <v>74.36</v>
      </c>
      <c r="J2255" t="s">
        <v>19</v>
      </c>
      <c r="K2255" t="s">
        <v>3101</v>
      </c>
      <c r="L2255" t="s">
        <v>21</v>
      </c>
      <c r="M2255" t="str">
        <f t="shared" si="105"/>
        <v>OK</v>
      </c>
      <c r="N2255" t="str">
        <f t="shared" si="106"/>
        <v>1980s</v>
      </c>
      <c r="O2255" t="str">
        <f t="shared" si="107"/>
        <v>High</v>
      </c>
      <c r="P2255" t="str">
        <f>VLOOKUP(E2255,calculated_fields!$F$4:$G$6,2,FALSE)</f>
        <v>Health</v>
      </c>
    </row>
    <row r="2256" spans="1:16">
      <c r="A2256" t="s">
        <v>3102</v>
      </c>
      <c r="B2256" t="s">
        <v>3072</v>
      </c>
      <c r="C2256" t="s">
        <v>80</v>
      </c>
      <c r="D2256">
        <v>1987</v>
      </c>
      <c r="E2256" t="s">
        <v>23</v>
      </c>
      <c r="F2256" t="s">
        <v>24</v>
      </c>
      <c r="G2256" t="s">
        <v>25</v>
      </c>
      <c r="H2256" t="s">
        <v>26</v>
      </c>
      <c r="I2256">
        <v>3539900</v>
      </c>
      <c r="J2256" t="s">
        <v>27</v>
      </c>
      <c r="K2256" t="s">
        <v>3101</v>
      </c>
      <c r="L2256" t="s">
        <v>21</v>
      </c>
      <c r="M2256" t="str">
        <f t="shared" si="105"/>
        <v>OK</v>
      </c>
      <c r="N2256" t="str">
        <f t="shared" si="106"/>
        <v>1980s</v>
      </c>
      <c r="O2256" t="str">
        <f t="shared" si="107"/>
        <v>N/A</v>
      </c>
      <c r="P2256" t="str">
        <f>VLOOKUP(E2256,calculated_fields!$F$4:$G$6,2,FALSE)</f>
        <v>Demographics</v>
      </c>
    </row>
    <row r="2257" spans="1:16">
      <c r="A2257" t="s">
        <v>3103</v>
      </c>
      <c r="B2257" t="s">
        <v>3072</v>
      </c>
      <c r="C2257" t="s">
        <v>80</v>
      </c>
      <c r="D2257">
        <v>1987</v>
      </c>
      <c r="E2257" t="s">
        <v>29</v>
      </c>
      <c r="F2257" t="s">
        <v>30</v>
      </c>
      <c r="G2257" t="s">
        <v>31</v>
      </c>
      <c r="H2257" t="s">
        <v>32</v>
      </c>
      <c r="I2257">
        <v>13872.86652</v>
      </c>
      <c r="J2257" t="s">
        <v>33</v>
      </c>
      <c r="K2257" t="s">
        <v>3101</v>
      </c>
      <c r="L2257" t="s">
        <v>21</v>
      </c>
      <c r="M2257" t="str">
        <f t="shared" si="105"/>
        <v>OK</v>
      </c>
      <c r="N2257" t="str">
        <f t="shared" si="106"/>
        <v>1980s</v>
      </c>
      <c r="O2257" t="str">
        <f t="shared" si="107"/>
        <v>N/A</v>
      </c>
      <c r="P2257" t="str">
        <f>VLOOKUP(E2257,calculated_fields!$F$4:$G$6,2,FALSE)</f>
        <v>Economy</v>
      </c>
    </row>
    <row r="2258" spans="1:16">
      <c r="A2258" t="s">
        <v>3104</v>
      </c>
      <c r="B2258" t="s">
        <v>3072</v>
      </c>
      <c r="C2258" t="s">
        <v>80</v>
      </c>
      <c r="D2258">
        <v>1992</v>
      </c>
      <c r="E2258" t="s">
        <v>15</v>
      </c>
      <c r="F2258" t="s">
        <v>16</v>
      </c>
      <c r="G2258" t="s">
        <v>17</v>
      </c>
      <c r="H2258" t="s">
        <v>18</v>
      </c>
      <c r="I2258">
        <v>75.466999999999999</v>
      </c>
      <c r="J2258" t="s">
        <v>19</v>
      </c>
      <c r="K2258" t="s">
        <v>3105</v>
      </c>
      <c r="L2258" t="s">
        <v>21</v>
      </c>
      <c r="M2258" t="str">
        <f t="shared" si="105"/>
        <v>OK</v>
      </c>
      <c r="N2258" t="str">
        <f t="shared" si="106"/>
        <v>1990s</v>
      </c>
      <c r="O2258" t="str">
        <f t="shared" si="107"/>
        <v>High</v>
      </c>
      <c r="P2258" t="str">
        <f>VLOOKUP(E2258,calculated_fields!$F$4:$G$6,2,FALSE)</f>
        <v>Health</v>
      </c>
    </row>
    <row r="2259" spans="1:16">
      <c r="A2259" t="s">
        <v>3106</v>
      </c>
      <c r="B2259" t="s">
        <v>3072</v>
      </c>
      <c r="C2259" t="s">
        <v>80</v>
      </c>
      <c r="D2259">
        <v>1992</v>
      </c>
      <c r="E2259" t="s">
        <v>23</v>
      </c>
      <c r="F2259" t="s">
        <v>24</v>
      </c>
      <c r="G2259" t="s">
        <v>25</v>
      </c>
      <c r="H2259" t="s">
        <v>26</v>
      </c>
      <c r="I2259">
        <v>3557761</v>
      </c>
      <c r="J2259" t="s">
        <v>27</v>
      </c>
      <c r="K2259" t="s">
        <v>3105</v>
      </c>
      <c r="L2259" t="s">
        <v>21</v>
      </c>
      <c r="M2259" t="str">
        <f t="shared" si="105"/>
        <v>OK</v>
      </c>
      <c r="N2259" t="str">
        <f t="shared" si="106"/>
        <v>1990s</v>
      </c>
      <c r="O2259" t="str">
        <f t="shared" si="107"/>
        <v>N/A</v>
      </c>
      <c r="P2259" t="str">
        <f>VLOOKUP(E2259,calculated_fields!$F$4:$G$6,2,FALSE)</f>
        <v>Demographics</v>
      </c>
    </row>
    <row r="2260" spans="1:16">
      <c r="A2260" t="s">
        <v>3107</v>
      </c>
      <c r="B2260" t="s">
        <v>3072</v>
      </c>
      <c r="C2260" t="s">
        <v>80</v>
      </c>
      <c r="D2260">
        <v>1992</v>
      </c>
      <c r="E2260" t="s">
        <v>29</v>
      </c>
      <c r="F2260" t="s">
        <v>30</v>
      </c>
      <c r="G2260" t="s">
        <v>31</v>
      </c>
      <c r="H2260" t="s">
        <v>32</v>
      </c>
      <c r="I2260">
        <v>17558.815549999999</v>
      </c>
      <c r="J2260" t="s">
        <v>33</v>
      </c>
      <c r="K2260" t="s">
        <v>3105</v>
      </c>
      <c r="L2260" t="s">
        <v>21</v>
      </c>
      <c r="M2260" t="str">
        <f t="shared" si="105"/>
        <v>OK</v>
      </c>
      <c r="N2260" t="str">
        <f t="shared" si="106"/>
        <v>1990s</v>
      </c>
      <c r="O2260" t="str">
        <f t="shared" si="107"/>
        <v>N/A</v>
      </c>
      <c r="P2260" t="str">
        <f>VLOOKUP(E2260,calculated_fields!$F$4:$G$6,2,FALSE)</f>
        <v>Economy</v>
      </c>
    </row>
    <row r="2261" spans="1:16">
      <c r="A2261" t="s">
        <v>3108</v>
      </c>
      <c r="B2261" t="s">
        <v>3072</v>
      </c>
      <c r="C2261" t="s">
        <v>80</v>
      </c>
      <c r="D2261">
        <v>1997</v>
      </c>
      <c r="E2261" t="s">
        <v>15</v>
      </c>
      <c r="F2261" t="s">
        <v>16</v>
      </c>
      <c r="G2261" t="s">
        <v>17</v>
      </c>
      <c r="H2261" t="s">
        <v>18</v>
      </c>
      <c r="I2261">
        <v>76.122</v>
      </c>
      <c r="J2261" t="s">
        <v>19</v>
      </c>
      <c r="K2261" t="s">
        <v>3109</v>
      </c>
      <c r="L2261" t="s">
        <v>21</v>
      </c>
      <c r="M2261" t="str">
        <f t="shared" si="105"/>
        <v>OK</v>
      </c>
      <c r="N2261" t="str">
        <f t="shared" si="106"/>
        <v>1990s</v>
      </c>
      <c r="O2261" t="str">
        <f t="shared" si="107"/>
        <v>High</v>
      </c>
      <c r="P2261" t="str">
        <f>VLOOKUP(E2261,calculated_fields!$F$4:$G$6,2,FALSE)</f>
        <v>Health</v>
      </c>
    </row>
    <row r="2262" spans="1:16">
      <c r="A2262" t="s">
        <v>3110</v>
      </c>
      <c r="B2262" t="s">
        <v>3072</v>
      </c>
      <c r="C2262" t="s">
        <v>80</v>
      </c>
      <c r="D2262">
        <v>1997</v>
      </c>
      <c r="E2262" t="s">
        <v>23</v>
      </c>
      <c r="F2262" t="s">
        <v>24</v>
      </c>
      <c r="G2262" t="s">
        <v>25</v>
      </c>
      <c r="H2262" t="s">
        <v>26</v>
      </c>
      <c r="I2262">
        <v>3667233</v>
      </c>
      <c r="J2262" t="s">
        <v>27</v>
      </c>
      <c r="K2262" t="s">
        <v>3109</v>
      </c>
      <c r="L2262" t="s">
        <v>21</v>
      </c>
      <c r="M2262" t="str">
        <f t="shared" si="105"/>
        <v>OK</v>
      </c>
      <c r="N2262" t="str">
        <f t="shared" si="106"/>
        <v>1990s</v>
      </c>
      <c r="O2262" t="str">
        <f t="shared" si="107"/>
        <v>N/A</v>
      </c>
      <c r="P2262" t="str">
        <f>VLOOKUP(E2262,calculated_fields!$F$4:$G$6,2,FALSE)</f>
        <v>Demographics</v>
      </c>
    </row>
    <row r="2263" spans="1:16">
      <c r="A2263" t="s">
        <v>3111</v>
      </c>
      <c r="B2263" t="s">
        <v>3072</v>
      </c>
      <c r="C2263" t="s">
        <v>80</v>
      </c>
      <c r="D2263">
        <v>1997</v>
      </c>
      <c r="E2263" t="s">
        <v>29</v>
      </c>
      <c r="F2263" t="s">
        <v>30</v>
      </c>
      <c r="G2263" t="s">
        <v>31</v>
      </c>
      <c r="H2263" t="s">
        <v>32</v>
      </c>
      <c r="I2263">
        <v>24521.94713</v>
      </c>
      <c r="J2263" t="s">
        <v>33</v>
      </c>
      <c r="K2263" t="s">
        <v>3109</v>
      </c>
      <c r="L2263" t="s">
        <v>21</v>
      </c>
      <c r="M2263" t="str">
        <f t="shared" si="105"/>
        <v>OK</v>
      </c>
      <c r="N2263" t="str">
        <f t="shared" si="106"/>
        <v>1990s</v>
      </c>
      <c r="O2263" t="str">
        <f t="shared" si="107"/>
        <v>N/A</v>
      </c>
      <c r="P2263" t="str">
        <f>VLOOKUP(E2263,calculated_fields!$F$4:$G$6,2,FALSE)</f>
        <v>Economy</v>
      </c>
    </row>
    <row r="2264" spans="1:16">
      <c r="A2264" t="s">
        <v>3112</v>
      </c>
      <c r="B2264" t="s">
        <v>3072</v>
      </c>
      <c r="C2264" t="s">
        <v>80</v>
      </c>
      <c r="D2264">
        <v>2002</v>
      </c>
      <c r="E2264" t="s">
        <v>15</v>
      </c>
      <c r="F2264" t="s">
        <v>16</v>
      </c>
      <c r="G2264" t="s">
        <v>17</v>
      </c>
      <c r="H2264" t="s">
        <v>18</v>
      </c>
      <c r="I2264">
        <v>77.783000000000001</v>
      </c>
      <c r="J2264" t="s">
        <v>19</v>
      </c>
      <c r="K2264" t="s">
        <v>3113</v>
      </c>
      <c r="L2264" t="s">
        <v>21</v>
      </c>
      <c r="M2264" t="str">
        <f t="shared" si="105"/>
        <v>OK</v>
      </c>
      <c r="N2264" t="str">
        <f t="shared" si="106"/>
        <v>2000s</v>
      </c>
      <c r="O2264" t="str">
        <f t="shared" si="107"/>
        <v>High</v>
      </c>
      <c r="P2264" t="str">
        <f>VLOOKUP(E2264,calculated_fields!$F$4:$G$6,2,FALSE)</f>
        <v>Health</v>
      </c>
    </row>
    <row r="2265" spans="1:16">
      <c r="A2265" t="s">
        <v>3114</v>
      </c>
      <c r="B2265" t="s">
        <v>3072</v>
      </c>
      <c r="C2265" t="s">
        <v>80</v>
      </c>
      <c r="D2265">
        <v>2002</v>
      </c>
      <c r="E2265" t="s">
        <v>23</v>
      </c>
      <c r="F2265" t="s">
        <v>24</v>
      </c>
      <c r="G2265" t="s">
        <v>25</v>
      </c>
      <c r="H2265" t="s">
        <v>26</v>
      </c>
      <c r="I2265">
        <v>3879155</v>
      </c>
      <c r="J2265" t="s">
        <v>27</v>
      </c>
      <c r="K2265" t="s">
        <v>3113</v>
      </c>
      <c r="L2265" t="s">
        <v>21</v>
      </c>
      <c r="M2265" t="str">
        <f t="shared" si="105"/>
        <v>OK</v>
      </c>
      <c r="N2265" t="str">
        <f t="shared" si="106"/>
        <v>2000s</v>
      </c>
      <c r="O2265" t="str">
        <f t="shared" si="107"/>
        <v>N/A</v>
      </c>
      <c r="P2265" t="str">
        <f>VLOOKUP(E2265,calculated_fields!$F$4:$G$6,2,FALSE)</f>
        <v>Demographics</v>
      </c>
    </row>
    <row r="2266" spans="1:16">
      <c r="A2266" t="s">
        <v>3115</v>
      </c>
      <c r="B2266" t="s">
        <v>3072</v>
      </c>
      <c r="C2266" t="s">
        <v>80</v>
      </c>
      <c r="D2266">
        <v>2002</v>
      </c>
      <c r="E2266" t="s">
        <v>29</v>
      </c>
      <c r="F2266" t="s">
        <v>30</v>
      </c>
      <c r="G2266" t="s">
        <v>31</v>
      </c>
      <c r="H2266" t="s">
        <v>32</v>
      </c>
      <c r="I2266">
        <v>34077.04939</v>
      </c>
      <c r="J2266" t="s">
        <v>33</v>
      </c>
      <c r="K2266" t="s">
        <v>3113</v>
      </c>
      <c r="L2266" t="s">
        <v>21</v>
      </c>
      <c r="M2266" t="str">
        <f t="shared" si="105"/>
        <v>OK</v>
      </c>
      <c r="N2266" t="str">
        <f t="shared" si="106"/>
        <v>2000s</v>
      </c>
      <c r="O2266" t="str">
        <f t="shared" si="107"/>
        <v>N/A</v>
      </c>
      <c r="P2266" t="str">
        <f>VLOOKUP(E2266,calculated_fields!$F$4:$G$6,2,FALSE)</f>
        <v>Economy</v>
      </c>
    </row>
    <row r="2267" spans="1:16">
      <c r="A2267" t="s">
        <v>3116</v>
      </c>
      <c r="B2267" t="s">
        <v>3072</v>
      </c>
      <c r="C2267" t="s">
        <v>80</v>
      </c>
      <c r="D2267">
        <v>2007</v>
      </c>
      <c r="E2267" t="s">
        <v>15</v>
      </c>
      <c r="F2267" t="s">
        <v>16</v>
      </c>
      <c r="G2267" t="s">
        <v>17</v>
      </c>
      <c r="H2267" t="s">
        <v>18</v>
      </c>
      <c r="I2267">
        <v>78.885000000000005</v>
      </c>
      <c r="J2267" t="s">
        <v>19</v>
      </c>
      <c r="K2267" t="s">
        <v>3117</v>
      </c>
      <c r="L2267" t="s">
        <v>21</v>
      </c>
      <c r="M2267" t="str">
        <f t="shared" si="105"/>
        <v>OK</v>
      </c>
      <c r="N2267" t="str">
        <f t="shared" si="106"/>
        <v>2000s</v>
      </c>
      <c r="O2267" t="str">
        <f t="shared" si="107"/>
        <v>High</v>
      </c>
      <c r="P2267" t="str">
        <f>VLOOKUP(E2267,calculated_fields!$F$4:$G$6,2,FALSE)</f>
        <v>Health</v>
      </c>
    </row>
    <row r="2268" spans="1:16">
      <c r="A2268" t="s">
        <v>3118</v>
      </c>
      <c r="B2268" t="s">
        <v>3072</v>
      </c>
      <c r="C2268" t="s">
        <v>80</v>
      </c>
      <c r="D2268">
        <v>2007</v>
      </c>
      <c r="E2268" t="s">
        <v>23</v>
      </c>
      <c r="F2268" t="s">
        <v>24</v>
      </c>
      <c r="G2268" t="s">
        <v>25</v>
      </c>
      <c r="H2268" t="s">
        <v>26</v>
      </c>
      <c r="I2268">
        <v>4109086</v>
      </c>
      <c r="J2268" t="s">
        <v>27</v>
      </c>
      <c r="K2268" t="s">
        <v>3117</v>
      </c>
      <c r="L2268" t="s">
        <v>21</v>
      </c>
      <c r="M2268" t="str">
        <f t="shared" si="105"/>
        <v>OK</v>
      </c>
      <c r="N2268" t="str">
        <f t="shared" si="106"/>
        <v>2000s</v>
      </c>
      <c r="O2268" t="str">
        <f t="shared" si="107"/>
        <v>N/A</v>
      </c>
      <c r="P2268" t="str">
        <f>VLOOKUP(E2268,calculated_fields!$F$4:$G$6,2,FALSE)</f>
        <v>Demographics</v>
      </c>
    </row>
    <row r="2269" spans="1:16">
      <c r="A2269" t="s">
        <v>3119</v>
      </c>
      <c r="B2269" t="s">
        <v>3072</v>
      </c>
      <c r="C2269" t="s">
        <v>80</v>
      </c>
      <c r="D2269">
        <v>2007</v>
      </c>
      <c r="E2269" t="s">
        <v>29</v>
      </c>
      <c r="F2269" t="s">
        <v>30</v>
      </c>
      <c r="G2269" t="s">
        <v>31</v>
      </c>
      <c r="H2269" t="s">
        <v>32</v>
      </c>
      <c r="I2269">
        <v>40675.996350000001</v>
      </c>
      <c r="J2269" t="s">
        <v>33</v>
      </c>
      <c r="K2269" t="s">
        <v>3117</v>
      </c>
      <c r="L2269" t="s">
        <v>21</v>
      </c>
      <c r="M2269" t="str">
        <f t="shared" si="105"/>
        <v>OK</v>
      </c>
      <c r="N2269" t="str">
        <f t="shared" si="106"/>
        <v>2000s</v>
      </c>
      <c r="O2269" t="str">
        <f t="shared" si="107"/>
        <v>N/A</v>
      </c>
      <c r="P2269" t="str">
        <f>VLOOKUP(E2269,calculated_fields!$F$4:$G$6,2,FALSE)</f>
        <v>Economy</v>
      </c>
    </row>
    <row r="2270" spans="1:16">
      <c r="A2270" t="s">
        <v>3120</v>
      </c>
      <c r="B2270" t="s">
        <v>3121</v>
      </c>
      <c r="C2270" t="s">
        <v>14</v>
      </c>
      <c r="D2270">
        <v>1952</v>
      </c>
      <c r="E2270" t="s">
        <v>15</v>
      </c>
      <c r="F2270" t="s">
        <v>16</v>
      </c>
      <c r="G2270" t="s">
        <v>17</v>
      </c>
      <c r="H2270" t="s">
        <v>18</v>
      </c>
      <c r="I2270">
        <v>65.39</v>
      </c>
      <c r="J2270" t="s">
        <v>19</v>
      </c>
      <c r="K2270" t="s">
        <v>3122</v>
      </c>
      <c r="L2270" t="s">
        <v>21</v>
      </c>
      <c r="M2270" t="str">
        <f t="shared" si="105"/>
        <v>OK</v>
      </c>
      <c r="N2270" t="str">
        <f t="shared" si="106"/>
        <v>1950s</v>
      </c>
      <c r="O2270" t="str">
        <f t="shared" si="107"/>
        <v>Medium</v>
      </c>
      <c r="P2270" t="str">
        <f>VLOOKUP(E2270,calculated_fields!$F$4:$G$6,2,FALSE)</f>
        <v>Health</v>
      </c>
    </row>
    <row r="2271" spans="1:16">
      <c r="A2271" t="s">
        <v>3123</v>
      </c>
      <c r="B2271" t="s">
        <v>3121</v>
      </c>
      <c r="C2271" t="s">
        <v>14</v>
      </c>
      <c r="D2271">
        <v>1952</v>
      </c>
      <c r="E2271" t="s">
        <v>23</v>
      </c>
      <c r="F2271" t="s">
        <v>24</v>
      </c>
      <c r="G2271" t="s">
        <v>25</v>
      </c>
      <c r="H2271" t="s">
        <v>26</v>
      </c>
      <c r="I2271">
        <v>1620914</v>
      </c>
      <c r="J2271" t="s">
        <v>27</v>
      </c>
      <c r="K2271" t="s">
        <v>3122</v>
      </c>
      <c r="L2271" t="s">
        <v>21</v>
      </c>
      <c r="M2271" t="str">
        <f t="shared" si="105"/>
        <v>OK</v>
      </c>
      <c r="N2271" t="str">
        <f t="shared" si="106"/>
        <v>1950s</v>
      </c>
      <c r="O2271" t="str">
        <f t="shared" si="107"/>
        <v>N/A</v>
      </c>
      <c r="P2271" t="str">
        <f>VLOOKUP(E2271,calculated_fields!$F$4:$G$6,2,FALSE)</f>
        <v>Demographics</v>
      </c>
    </row>
    <row r="2272" spans="1:16">
      <c r="A2272" t="s">
        <v>3124</v>
      </c>
      <c r="B2272" t="s">
        <v>3121</v>
      </c>
      <c r="C2272" t="s">
        <v>14</v>
      </c>
      <c r="D2272">
        <v>1952</v>
      </c>
      <c r="E2272" t="s">
        <v>29</v>
      </c>
      <c r="F2272" t="s">
        <v>30</v>
      </c>
      <c r="G2272" t="s">
        <v>31</v>
      </c>
      <c r="H2272" t="s">
        <v>32</v>
      </c>
      <c r="I2272">
        <v>4086.5221280000001</v>
      </c>
      <c r="J2272" t="s">
        <v>33</v>
      </c>
      <c r="K2272" t="s">
        <v>3122</v>
      </c>
      <c r="L2272" t="s">
        <v>21</v>
      </c>
      <c r="M2272" t="str">
        <f t="shared" si="105"/>
        <v>OK</v>
      </c>
      <c r="N2272" t="str">
        <f t="shared" si="106"/>
        <v>1950s</v>
      </c>
      <c r="O2272" t="str">
        <f t="shared" si="107"/>
        <v>N/A</v>
      </c>
      <c r="P2272" t="str">
        <f>VLOOKUP(E2272,calculated_fields!$F$4:$G$6,2,FALSE)</f>
        <v>Economy</v>
      </c>
    </row>
    <row r="2273" spans="1:16">
      <c r="A2273" t="s">
        <v>3125</v>
      </c>
      <c r="B2273" t="s">
        <v>3121</v>
      </c>
      <c r="C2273" t="s">
        <v>14</v>
      </c>
      <c r="D2273">
        <v>1957</v>
      </c>
      <c r="E2273" t="s">
        <v>15</v>
      </c>
      <c r="F2273" t="s">
        <v>16</v>
      </c>
      <c r="G2273" t="s">
        <v>17</v>
      </c>
      <c r="H2273" t="s">
        <v>18</v>
      </c>
      <c r="I2273">
        <v>67.84</v>
      </c>
      <c r="J2273" t="s">
        <v>19</v>
      </c>
      <c r="K2273" t="s">
        <v>3126</v>
      </c>
      <c r="L2273" t="s">
        <v>21</v>
      </c>
      <c r="M2273" t="str">
        <f t="shared" si="105"/>
        <v>OK</v>
      </c>
      <c r="N2273" t="str">
        <f t="shared" si="106"/>
        <v>1950s</v>
      </c>
      <c r="O2273" t="str">
        <f t="shared" si="107"/>
        <v>Medium</v>
      </c>
      <c r="P2273" t="str">
        <f>VLOOKUP(E2273,calculated_fields!$F$4:$G$6,2,FALSE)</f>
        <v>Health</v>
      </c>
    </row>
    <row r="2274" spans="1:16">
      <c r="A2274" t="s">
        <v>3127</v>
      </c>
      <c r="B2274" t="s">
        <v>3121</v>
      </c>
      <c r="C2274" t="s">
        <v>14</v>
      </c>
      <c r="D2274">
        <v>1957</v>
      </c>
      <c r="E2274" t="s">
        <v>23</v>
      </c>
      <c r="F2274" t="s">
        <v>24</v>
      </c>
      <c r="G2274" t="s">
        <v>25</v>
      </c>
      <c r="H2274" t="s">
        <v>26</v>
      </c>
      <c r="I2274">
        <v>1944401</v>
      </c>
      <c r="J2274" t="s">
        <v>27</v>
      </c>
      <c r="K2274" t="s">
        <v>3126</v>
      </c>
      <c r="L2274" t="s">
        <v>21</v>
      </c>
      <c r="M2274" t="str">
        <f t="shared" si="105"/>
        <v>OK</v>
      </c>
      <c r="N2274" t="str">
        <f t="shared" si="106"/>
        <v>1950s</v>
      </c>
      <c r="O2274" t="str">
        <f t="shared" si="107"/>
        <v>N/A</v>
      </c>
      <c r="P2274" t="str">
        <f>VLOOKUP(E2274,calculated_fields!$F$4:$G$6,2,FALSE)</f>
        <v>Demographics</v>
      </c>
    </row>
    <row r="2275" spans="1:16">
      <c r="A2275" t="s">
        <v>3128</v>
      </c>
      <c r="B2275" t="s">
        <v>3121</v>
      </c>
      <c r="C2275" t="s">
        <v>14</v>
      </c>
      <c r="D2275">
        <v>1957</v>
      </c>
      <c r="E2275" t="s">
        <v>29</v>
      </c>
      <c r="F2275" t="s">
        <v>30</v>
      </c>
      <c r="G2275" t="s">
        <v>31</v>
      </c>
      <c r="H2275" t="s">
        <v>32</v>
      </c>
      <c r="I2275">
        <v>5385.2784510000001</v>
      </c>
      <c r="J2275" t="s">
        <v>33</v>
      </c>
      <c r="K2275" t="s">
        <v>3126</v>
      </c>
      <c r="L2275" t="s">
        <v>21</v>
      </c>
      <c r="M2275" t="str">
        <f t="shared" si="105"/>
        <v>OK</v>
      </c>
      <c r="N2275" t="str">
        <f t="shared" si="106"/>
        <v>1950s</v>
      </c>
      <c r="O2275" t="str">
        <f t="shared" si="107"/>
        <v>N/A</v>
      </c>
      <c r="P2275" t="str">
        <f>VLOOKUP(E2275,calculated_fields!$F$4:$G$6,2,FALSE)</f>
        <v>Economy</v>
      </c>
    </row>
    <row r="2276" spans="1:16">
      <c r="A2276" t="s">
        <v>3129</v>
      </c>
      <c r="B2276" t="s">
        <v>3121</v>
      </c>
      <c r="C2276" t="s">
        <v>14</v>
      </c>
      <c r="D2276">
        <v>1962</v>
      </c>
      <c r="E2276" t="s">
        <v>15</v>
      </c>
      <c r="F2276" t="s">
        <v>16</v>
      </c>
      <c r="G2276" t="s">
        <v>17</v>
      </c>
      <c r="H2276" t="s">
        <v>18</v>
      </c>
      <c r="I2276">
        <v>69.39</v>
      </c>
      <c r="J2276" t="s">
        <v>19</v>
      </c>
      <c r="K2276" t="s">
        <v>3130</v>
      </c>
      <c r="L2276" t="s">
        <v>21</v>
      </c>
      <c r="M2276" t="str">
        <f t="shared" si="105"/>
        <v>OK</v>
      </c>
      <c r="N2276" t="str">
        <f t="shared" si="106"/>
        <v>1960s</v>
      </c>
      <c r="O2276" t="str">
        <f t="shared" si="107"/>
        <v>Medium</v>
      </c>
      <c r="P2276" t="str">
        <f>VLOOKUP(E2276,calculated_fields!$F$4:$G$6,2,FALSE)</f>
        <v>Health</v>
      </c>
    </row>
    <row r="2277" spans="1:16">
      <c r="A2277" t="s">
        <v>3131</v>
      </c>
      <c r="B2277" t="s">
        <v>3121</v>
      </c>
      <c r="C2277" t="s">
        <v>14</v>
      </c>
      <c r="D2277">
        <v>1962</v>
      </c>
      <c r="E2277" t="s">
        <v>23</v>
      </c>
      <c r="F2277" t="s">
        <v>24</v>
      </c>
      <c r="G2277" t="s">
        <v>25</v>
      </c>
      <c r="H2277" t="s">
        <v>26</v>
      </c>
      <c r="I2277">
        <v>2310904</v>
      </c>
      <c r="J2277" t="s">
        <v>27</v>
      </c>
      <c r="K2277" t="s">
        <v>3130</v>
      </c>
      <c r="L2277" t="s">
        <v>21</v>
      </c>
      <c r="M2277" t="str">
        <f t="shared" si="105"/>
        <v>OK</v>
      </c>
      <c r="N2277" t="str">
        <f t="shared" si="106"/>
        <v>1960s</v>
      </c>
      <c r="O2277" t="str">
        <f t="shared" si="107"/>
        <v>N/A</v>
      </c>
      <c r="P2277" t="str">
        <f>VLOOKUP(E2277,calculated_fields!$F$4:$G$6,2,FALSE)</f>
        <v>Demographics</v>
      </c>
    </row>
    <row r="2278" spans="1:16">
      <c r="A2278" t="s">
        <v>3132</v>
      </c>
      <c r="B2278" t="s">
        <v>3121</v>
      </c>
      <c r="C2278" t="s">
        <v>14</v>
      </c>
      <c r="D2278">
        <v>1962</v>
      </c>
      <c r="E2278" t="s">
        <v>29</v>
      </c>
      <c r="F2278" t="s">
        <v>30</v>
      </c>
      <c r="G2278" t="s">
        <v>31</v>
      </c>
      <c r="H2278" t="s">
        <v>32</v>
      </c>
      <c r="I2278">
        <v>7105.6307059999999</v>
      </c>
      <c r="J2278" t="s">
        <v>33</v>
      </c>
      <c r="K2278" t="s">
        <v>3130</v>
      </c>
      <c r="L2278" t="s">
        <v>21</v>
      </c>
      <c r="M2278" t="str">
        <f t="shared" si="105"/>
        <v>OK</v>
      </c>
      <c r="N2278" t="str">
        <f t="shared" si="106"/>
        <v>1960s</v>
      </c>
      <c r="O2278" t="str">
        <f t="shared" si="107"/>
        <v>N/A</v>
      </c>
      <c r="P2278" t="str">
        <f>VLOOKUP(E2278,calculated_fields!$F$4:$G$6,2,FALSE)</f>
        <v>Economy</v>
      </c>
    </row>
    <row r="2279" spans="1:16">
      <c r="A2279" t="s">
        <v>3133</v>
      </c>
      <c r="B2279" t="s">
        <v>3121</v>
      </c>
      <c r="C2279" t="s">
        <v>14</v>
      </c>
      <c r="D2279">
        <v>1967</v>
      </c>
      <c r="E2279" t="s">
        <v>15</v>
      </c>
      <c r="F2279" t="s">
        <v>16</v>
      </c>
      <c r="G2279" t="s">
        <v>17</v>
      </c>
      <c r="H2279" t="s">
        <v>18</v>
      </c>
      <c r="I2279">
        <v>70.75</v>
      </c>
      <c r="J2279" t="s">
        <v>19</v>
      </c>
      <c r="K2279" t="s">
        <v>3134</v>
      </c>
      <c r="L2279" t="s">
        <v>21</v>
      </c>
      <c r="M2279" t="str">
        <f t="shared" si="105"/>
        <v>OK</v>
      </c>
      <c r="N2279" t="str">
        <f t="shared" si="106"/>
        <v>1960s</v>
      </c>
      <c r="O2279" t="str">
        <f t="shared" si="107"/>
        <v>High</v>
      </c>
      <c r="P2279" t="str">
        <f>VLOOKUP(E2279,calculated_fields!$F$4:$G$6,2,FALSE)</f>
        <v>Health</v>
      </c>
    </row>
    <row r="2280" spans="1:16">
      <c r="A2280" t="s">
        <v>3135</v>
      </c>
      <c r="B2280" t="s">
        <v>3121</v>
      </c>
      <c r="C2280" t="s">
        <v>14</v>
      </c>
      <c r="D2280">
        <v>1967</v>
      </c>
      <c r="E2280" t="s">
        <v>23</v>
      </c>
      <c r="F2280" t="s">
        <v>24</v>
      </c>
      <c r="G2280" t="s">
        <v>25</v>
      </c>
      <c r="H2280" t="s">
        <v>26</v>
      </c>
      <c r="I2280">
        <v>2693585</v>
      </c>
      <c r="J2280" t="s">
        <v>27</v>
      </c>
      <c r="K2280" t="s">
        <v>3134</v>
      </c>
      <c r="L2280" t="s">
        <v>21</v>
      </c>
      <c r="M2280" t="str">
        <f t="shared" si="105"/>
        <v>OK</v>
      </c>
      <c r="N2280" t="str">
        <f t="shared" si="106"/>
        <v>1960s</v>
      </c>
      <c r="O2280" t="str">
        <f t="shared" si="107"/>
        <v>N/A</v>
      </c>
      <c r="P2280" t="str">
        <f>VLOOKUP(E2280,calculated_fields!$F$4:$G$6,2,FALSE)</f>
        <v>Demographics</v>
      </c>
    </row>
    <row r="2281" spans="1:16">
      <c r="A2281" t="s">
        <v>3136</v>
      </c>
      <c r="B2281" t="s">
        <v>3121</v>
      </c>
      <c r="C2281" t="s">
        <v>14</v>
      </c>
      <c r="D2281">
        <v>1967</v>
      </c>
      <c r="E2281" t="s">
        <v>29</v>
      </c>
      <c r="F2281" t="s">
        <v>30</v>
      </c>
      <c r="G2281" t="s">
        <v>31</v>
      </c>
      <c r="H2281" t="s">
        <v>32</v>
      </c>
      <c r="I2281">
        <v>8393.7414040000003</v>
      </c>
      <c r="J2281" t="s">
        <v>33</v>
      </c>
      <c r="K2281" t="s">
        <v>3134</v>
      </c>
      <c r="L2281" t="s">
        <v>21</v>
      </c>
      <c r="M2281" t="str">
        <f t="shared" si="105"/>
        <v>OK</v>
      </c>
      <c r="N2281" t="str">
        <f t="shared" si="106"/>
        <v>1960s</v>
      </c>
      <c r="O2281" t="str">
        <f t="shared" si="107"/>
        <v>N/A</v>
      </c>
      <c r="P2281" t="str">
        <f>VLOOKUP(E2281,calculated_fields!$F$4:$G$6,2,FALSE)</f>
        <v>Economy</v>
      </c>
    </row>
    <row r="2282" spans="1:16">
      <c r="A2282" t="s">
        <v>3137</v>
      </c>
      <c r="B2282" t="s">
        <v>3121</v>
      </c>
      <c r="C2282" t="s">
        <v>14</v>
      </c>
      <c r="D2282">
        <v>1972</v>
      </c>
      <c r="E2282" t="s">
        <v>15</v>
      </c>
      <c r="F2282" t="s">
        <v>16</v>
      </c>
      <c r="G2282" t="s">
        <v>17</v>
      </c>
      <c r="H2282" t="s">
        <v>18</v>
      </c>
      <c r="I2282">
        <v>71.63</v>
      </c>
      <c r="J2282" t="s">
        <v>19</v>
      </c>
      <c r="K2282" t="s">
        <v>3138</v>
      </c>
      <c r="L2282" t="s">
        <v>21</v>
      </c>
      <c r="M2282" t="str">
        <f t="shared" si="105"/>
        <v>OK</v>
      </c>
      <c r="N2282" t="str">
        <f t="shared" si="106"/>
        <v>1970s</v>
      </c>
      <c r="O2282" t="str">
        <f t="shared" si="107"/>
        <v>High</v>
      </c>
      <c r="P2282" t="str">
        <f>VLOOKUP(E2282,calculated_fields!$F$4:$G$6,2,FALSE)</f>
        <v>Health</v>
      </c>
    </row>
    <row r="2283" spans="1:16">
      <c r="A2283" t="s">
        <v>3139</v>
      </c>
      <c r="B2283" t="s">
        <v>3121</v>
      </c>
      <c r="C2283" t="s">
        <v>14</v>
      </c>
      <c r="D2283">
        <v>1972</v>
      </c>
      <c r="E2283" t="s">
        <v>23</v>
      </c>
      <c r="F2283" t="s">
        <v>24</v>
      </c>
      <c r="G2283" t="s">
        <v>25</v>
      </c>
      <c r="H2283" t="s">
        <v>26</v>
      </c>
      <c r="I2283">
        <v>3095893</v>
      </c>
      <c r="J2283" t="s">
        <v>27</v>
      </c>
      <c r="K2283" t="s">
        <v>3138</v>
      </c>
      <c r="L2283" t="s">
        <v>21</v>
      </c>
      <c r="M2283" t="str">
        <f t="shared" si="105"/>
        <v>OK</v>
      </c>
      <c r="N2283" t="str">
        <f t="shared" si="106"/>
        <v>1970s</v>
      </c>
      <c r="O2283" t="str">
        <f t="shared" si="107"/>
        <v>N/A</v>
      </c>
      <c r="P2283" t="str">
        <f>VLOOKUP(E2283,calculated_fields!$F$4:$G$6,2,FALSE)</f>
        <v>Demographics</v>
      </c>
    </row>
    <row r="2284" spans="1:16">
      <c r="A2284" t="s">
        <v>3140</v>
      </c>
      <c r="B2284" t="s">
        <v>3121</v>
      </c>
      <c r="C2284" t="s">
        <v>14</v>
      </c>
      <c r="D2284">
        <v>1972</v>
      </c>
      <c r="E2284" t="s">
        <v>29</v>
      </c>
      <c r="F2284" t="s">
        <v>30</v>
      </c>
      <c r="G2284" t="s">
        <v>31</v>
      </c>
      <c r="H2284" t="s">
        <v>32</v>
      </c>
      <c r="I2284">
        <v>12786.93223</v>
      </c>
      <c r="J2284" t="s">
        <v>33</v>
      </c>
      <c r="K2284" t="s">
        <v>3138</v>
      </c>
      <c r="L2284" t="s">
        <v>21</v>
      </c>
      <c r="M2284" t="str">
        <f t="shared" si="105"/>
        <v>OK</v>
      </c>
      <c r="N2284" t="str">
        <f t="shared" si="106"/>
        <v>1970s</v>
      </c>
      <c r="O2284" t="str">
        <f t="shared" si="107"/>
        <v>N/A</v>
      </c>
      <c r="P2284" t="str">
        <f>VLOOKUP(E2284,calculated_fields!$F$4:$G$6,2,FALSE)</f>
        <v>Economy</v>
      </c>
    </row>
    <row r="2285" spans="1:16">
      <c r="A2285" t="s">
        <v>3141</v>
      </c>
      <c r="B2285" t="s">
        <v>3121</v>
      </c>
      <c r="C2285" t="s">
        <v>14</v>
      </c>
      <c r="D2285">
        <v>1977</v>
      </c>
      <c r="E2285" t="s">
        <v>15</v>
      </c>
      <c r="F2285" t="s">
        <v>16</v>
      </c>
      <c r="G2285" t="s">
        <v>17</v>
      </c>
      <c r="H2285" t="s">
        <v>18</v>
      </c>
      <c r="I2285">
        <v>73.06</v>
      </c>
      <c r="J2285" t="s">
        <v>19</v>
      </c>
      <c r="K2285" t="s">
        <v>3142</v>
      </c>
      <c r="L2285" t="s">
        <v>21</v>
      </c>
      <c r="M2285" t="str">
        <f t="shared" si="105"/>
        <v>OK</v>
      </c>
      <c r="N2285" t="str">
        <f t="shared" si="106"/>
        <v>1970s</v>
      </c>
      <c r="O2285" t="str">
        <f t="shared" si="107"/>
        <v>High</v>
      </c>
      <c r="P2285" t="str">
        <f>VLOOKUP(E2285,calculated_fields!$F$4:$G$6,2,FALSE)</f>
        <v>Health</v>
      </c>
    </row>
    <row r="2286" spans="1:16">
      <c r="A2286" t="s">
        <v>3143</v>
      </c>
      <c r="B2286" t="s">
        <v>3121</v>
      </c>
      <c r="C2286" t="s">
        <v>14</v>
      </c>
      <c r="D2286">
        <v>1977</v>
      </c>
      <c r="E2286" t="s">
        <v>23</v>
      </c>
      <c r="F2286" t="s">
        <v>24</v>
      </c>
      <c r="G2286" t="s">
        <v>25</v>
      </c>
      <c r="H2286" t="s">
        <v>26</v>
      </c>
      <c r="I2286">
        <v>3495918</v>
      </c>
      <c r="J2286" t="s">
        <v>27</v>
      </c>
      <c r="K2286" t="s">
        <v>3142</v>
      </c>
      <c r="L2286" t="s">
        <v>21</v>
      </c>
      <c r="M2286" t="str">
        <f t="shared" si="105"/>
        <v>OK</v>
      </c>
      <c r="N2286" t="str">
        <f t="shared" si="106"/>
        <v>1970s</v>
      </c>
      <c r="O2286" t="str">
        <f t="shared" si="107"/>
        <v>N/A</v>
      </c>
      <c r="P2286" t="str">
        <f>VLOOKUP(E2286,calculated_fields!$F$4:$G$6,2,FALSE)</f>
        <v>Demographics</v>
      </c>
    </row>
    <row r="2287" spans="1:16">
      <c r="A2287" t="s">
        <v>3144</v>
      </c>
      <c r="B2287" t="s">
        <v>3121</v>
      </c>
      <c r="C2287" t="s">
        <v>14</v>
      </c>
      <c r="D2287">
        <v>1977</v>
      </c>
      <c r="E2287" t="s">
        <v>29</v>
      </c>
      <c r="F2287" t="s">
        <v>30</v>
      </c>
      <c r="G2287" t="s">
        <v>31</v>
      </c>
      <c r="H2287" t="s">
        <v>32</v>
      </c>
      <c r="I2287">
        <v>13306.619210000001</v>
      </c>
      <c r="J2287" t="s">
        <v>33</v>
      </c>
      <c r="K2287" t="s">
        <v>3142</v>
      </c>
      <c r="L2287" t="s">
        <v>21</v>
      </c>
      <c r="M2287" t="str">
        <f t="shared" si="105"/>
        <v>OK</v>
      </c>
      <c r="N2287" t="str">
        <f t="shared" si="106"/>
        <v>1970s</v>
      </c>
      <c r="O2287" t="str">
        <f t="shared" si="107"/>
        <v>N/A</v>
      </c>
      <c r="P2287" t="str">
        <f>VLOOKUP(E2287,calculated_fields!$F$4:$G$6,2,FALSE)</f>
        <v>Economy</v>
      </c>
    </row>
    <row r="2288" spans="1:16">
      <c r="A2288" t="s">
        <v>3145</v>
      </c>
      <c r="B2288" t="s">
        <v>3121</v>
      </c>
      <c r="C2288" t="s">
        <v>14</v>
      </c>
      <c r="D2288">
        <v>1982</v>
      </c>
      <c r="E2288" t="s">
        <v>15</v>
      </c>
      <c r="F2288" t="s">
        <v>16</v>
      </c>
      <c r="G2288" t="s">
        <v>17</v>
      </c>
      <c r="H2288" t="s">
        <v>18</v>
      </c>
      <c r="I2288">
        <v>74.45</v>
      </c>
      <c r="J2288" t="s">
        <v>19</v>
      </c>
      <c r="K2288" t="s">
        <v>3146</v>
      </c>
      <c r="L2288" t="s">
        <v>21</v>
      </c>
      <c r="M2288" t="str">
        <f t="shared" si="105"/>
        <v>OK</v>
      </c>
      <c r="N2288" t="str">
        <f t="shared" si="106"/>
        <v>1980s</v>
      </c>
      <c r="O2288" t="str">
        <f t="shared" si="107"/>
        <v>High</v>
      </c>
      <c r="P2288" t="str">
        <f>VLOOKUP(E2288,calculated_fields!$F$4:$G$6,2,FALSE)</f>
        <v>Health</v>
      </c>
    </row>
    <row r="2289" spans="1:16">
      <c r="A2289" t="s">
        <v>3147</v>
      </c>
      <c r="B2289" t="s">
        <v>3121</v>
      </c>
      <c r="C2289" t="s">
        <v>14</v>
      </c>
      <c r="D2289">
        <v>1982</v>
      </c>
      <c r="E2289" t="s">
        <v>23</v>
      </c>
      <c r="F2289" t="s">
        <v>24</v>
      </c>
      <c r="G2289" t="s">
        <v>25</v>
      </c>
      <c r="H2289" t="s">
        <v>26</v>
      </c>
      <c r="I2289">
        <v>3858421</v>
      </c>
      <c r="J2289" t="s">
        <v>27</v>
      </c>
      <c r="K2289" t="s">
        <v>3146</v>
      </c>
      <c r="L2289" t="s">
        <v>21</v>
      </c>
      <c r="M2289" t="str">
        <f t="shared" si="105"/>
        <v>OK</v>
      </c>
      <c r="N2289" t="str">
        <f t="shared" si="106"/>
        <v>1980s</v>
      </c>
      <c r="O2289" t="str">
        <f t="shared" si="107"/>
        <v>N/A</v>
      </c>
      <c r="P2289" t="str">
        <f>VLOOKUP(E2289,calculated_fields!$F$4:$G$6,2,FALSE)</f>
        <v>Demographics</v>
      </c>
    </row>
    <row r="2290" spans="1:16">
      <c r="A2290" t="s">
        <v>3148</v>
      </c>
      <c r="B2290" t="s">
        <v>3121</v>
      </c>
      <c r="C2290" t="s">
        <v>14</v>
      </c>
      <c r="D2290">
        <v>1982</v>
      </c>
      <c r="E2290" t="s">
        <v>29</v>
      </c>
      <c r="F2290" t="s">
        <v>30</v>
      </c>
      <c r="G2290" t="s">
        <v>31</v>
      </c>
      <c r="H2290" t="s">
        <v>32</v>
      </c>
      <c r="I2290">
        <v>15367.029200000001</v>
      </c>
      <c r="J2290" t="s">
        <v>33</v>
      </c>
      <c r="K2290" t="s">
        <v>3146</v>
      </c>
      <c r="L2290" t="s">
        <v>21</v>
      </c>
      <c r="M2290" t="str">
        <f t="shared" si="105"/>
        <v>OK</v>
      </c>
      <c r="N2290" t="str">
        <f t="shared" si="106"/>
        <v>1980s</v>
      </c>
      <c r="O2290" t="str">
        <f t="shared" si="107"/>
        <v>N/A</v>
      </c>
      <c r="P2290" t="str">
        <f>VLOOKUP(E2290,calculated_fields!$F$4:$G$6,2,FALSE)</f>
        <v>Economy</v>
      </c>
    </row>
    <row r="2291" spans="1:16">
      <c r="A2291" t="s">
        <v>3149</v>
      </c>
      <c r="B2291" t="s">
        <v>3121</v>
      </c>
      <c r="C2291" t="s">
        <v>14</v>
      </c>
      <c r="D2291">
        <v>1987</v>
      </c>
      <c r="E2291" t="s">
        <v>15</v>
      </c>
      <c r="F2291" t="s">
        <v>16</v>
      </c>
      <c r="G2291" t="s">
        <v>17</v>
      </c>
      <c r="H2291" t="s">
        <v>18</v>
      </c>
      <c r="I2291">
        <v>75.599999999999994</v>
      </c>
      <c r="J2291" t="s">
        <v>19</v>
      </c>
      <c r="K2291" t="s">
        <v>3150</v>
      </c>
      <c r="L2291" t="s">
        <v>21</v>
      </c>
      <c r="M2291" t="str">
        <f t="shared" si="105"/>
        <v>OK</v>
      </c>
      <c r="N2291" t="str">
        <f t="shared" si="106"/>
        <v>1980s</v>
      </c>
      <c r="O2291" t="str">
        <f t="shared" si="107"/>
        <v>High</v>
      </c>
      <c r="P2291" t="str">
        <f>VLOOKUP(E2291,calculated_fields!$F$4:$G$6,2,FALSE)</f>
        <v>Health</v>
      </c>
    </row>
    <row r="2292" spans="1:16">
      <c r="A2292" t="s">
        <v>3151</v>
      </c>
      <c r="B2292" t="s">
        <v>3121</v>
      </c>
      <c r="C2292" t="s">
        <v>14</v>
      </c>
      <c r="D2292">
        <v>1987</v>
      </c>
      <c r="E2292" t="s">
        <v>23</v>
      </c>
      <c r="F2292" t="s">
        <v>24</v>
      </c>
      <c r="G2292" t="s">
        <v>25</v>
      </c>
      <c r="H2292" t="s">
        <v>26</v>
      </c>
      <c r="I2292">
        <v>4203148</v>
      </c>
      <c r="J2292" t="s">
        <v>27</v>
      </c>
      <c r="K2292" t="s">
        <v>3150</v>
      </c>
      <c r="L2292" t="s">
        <v>21</v>
      </c>
      <c r="M2292" t="str">
        <f t="shared" si="105"/>
        <v>OK</v>
      </c>
      <c r="N2292" t="str">
        <f t="shared" si="106"/>
        <v>1980s</v>
      </c>
      <c r="O2292" t="str">
        <f t="shared" si="107"/>
        <v>N/A</v>
      </c>
      <c r="P2292" t="str">
        <f>VLOOKUP(E2292,calculated_fields!$F$4:$G$6,2,FALSE)</f>
        <v>Demographics</v>
      </c>
    </row>
    <row r="2293" spans="1:16">
      <c r="A2293" t="s">
        <v>3152</v>
      </c>
      <c r="B2293" t="s">
        <v>3121</v>
      </c>
      <c r="C2293" t="s">
        <v>14</v>
      </c>
      <c r="D2293">
        <v>1987</v>
      </c>
      <c r="E2293" t="s">
        <v>29</v>
      </c>
      <c r="F2293" t="s">
        <v>30</v>
      </c>
      <c r="G2293" t="s">
        <v>31</v>
      </c>
      <c r="H2293" t="s">
        <v>32</v>
      </c>
      <c r="I2293">
        <v>17122.479859999999</v>
      </c>
      <c r="J2293" t="s">
        <v>33</v>
      </c>
      <c r="K2293" t="s">
        <v>3150</v>
      </c>
      <c r="L2293" t="s">
        <v>21</v>
      </c>
      <c r="M2293" t="str">
        <f t="shared" si="105"/>
        <v>OK</v>
      </c>
      <c r="N2293" t="str">
        <f t="shared" si="106"/>
        <v>1980s</v>
      </c>
      <c r="O2293" t="str">
        <f t="shared" si="107"/>
        <v>N/A</v>
      </c>
      <c r="P2293" t="str">
        <f>VLOOKUP(E2293,calculated_fields!$F$4:$G$6,2,FALSE)</f>
        <v>Economy</v>
      </c>
    </row>
    <row r="2294" spans="1:16">
      <c r="A2294" t="s">
        <v>3153</v>
      </c>
      <c r="B2294" t="s">
        <v>3121</v>
      </c>
      <c r="C2294" t="s">
        <v>14</v>
      </c>
      <c r="D2294">
        <v>1992</v>
      </c>
      <c r="E2294" t="s">
        <v>15</v>
      </c>
      <c r="F2294" t="s">
        <v>16</v>
      </c>
      <c r="G2294" t="s">
        <v>17</v>
      </c>
      <c r="H2294" t="s">
        <v>18</v>
      </c>
      <c r="I2294">
        <v>76.930000000000007</v>
      </c>
      <c r="J2294" t="s">
        <v>19</v>
      </c>
      <c r="K2294" t="s">
        <v>3154</v>
      </c>
      <c r="L2294" t="s">
        <v>21</v>
      </c>
      <c r="M2294" t="str">
        <f t="shared" si="105"/>
        <v>OK</v>
      </c>
      <c r="N2294" t="str">
        <f t="shared" si="106"/>
        <v>1990s</v>
      </c>
      <c r="O2294" t="str">
        <f t="shared" si="107"/>
        <v>High</v>
      </c>
      <c r="P2294" t="str">
        <f>VLOOKUP(E2294,calculated_fields!$F$4:$G$6,2,FALSE)</f>
        <v>Health</v>
      </c>
    </row>
    <row r="2295" spans="1:16">
      <c r="A2295" t="s">
        <v>3155</v>
      </c>
      <c r="B2295" t="s">
        <v>3121</v>
      </c>
      <c r="C2295" t="s">
        <v>14</v>
      </c>
      <c r="D2295">
        <v>1992</v>
      </c>
      <c r="E2295" t="s">
        <v>23</v>
      </c>
      <c r="F2295" t="s">
        <v>24</v>
      </c>
      <c r="G2295" t="s">
        <v>25</v>
      </c>
      <c r="H2295" t="s">
        <v>26</v>
      </c>
      <c r="I2295">
        <v>4936550</v>
      </c>
      <c r="J2295" t="s">
        <v>27</v>
      </c>
      <c r="K2295" t="s">
        <v>3154</v>
      </c>
      <c r="L2295" t="s">
        <v>21</v>
      </c>
      <c r="M2295" t="str">
        <f t="shared" si="105"/>
        <v>OK</v>
      </c>
      <c r="N2295" t="str">
        <f t="shared" si="106"/>
        <v>1990s</v>
      </c>
      <c r="O2295" t="str">
        <f t="shared" si="107"/>
        <v>N/A</v>
      </c>
      <c r="P2295" t="str">
        <f>VLOOKUP(E2295,calculated_fields!$F$4:$G$6,2,FALSE)</f>
        <v>Demographics</v>
      </c>
    </row>
    <row r="2296" spans="1:16">
      <c r="A2296" t="s">
        <v>3156</v>
      </c>
      <c r="B2296" t="s">
        <v>3121</v>
      </c>
      <c r="C2296" t="s">
        <v>14</v>
      </c>
      <c r="D2296">
        <v>1992</v>
      </c>
      <c r="E2296" t="s">
        <v>29</v>
      </c>
      <c r="F2296" t="s">
        <v>30</v>
      </c>
      <c r="G2296" t="s">
        <v>31</v>
      </c>
      <c r="H2296" t="s">
        <v>32</v>
      </c>
      <c r="I2296">
        <v>18051.522540000002</v>
      </c>
      <c r="J2296" t="s">
        <v>33</v>
      </c>
      <c r="K2296" t="s">
        <v>3154</v>
      </c>
      <c r="L2296" t="s">
        <v>21</v>
      </c>
      <c r="M2296" t="str">
        <f t="shared" si="105"/>
        <v>OK</v>
      </c>
      <c r="N2296" t="str">
        <f t="shared" si="106"/>
        <v>1990s</v>
      </c>
      <c r="O2296" t="str">
        <f t="shared" si="107"/>
        <v>N/A</v>
      </c>
      <c r="P2296" t="str">
        <f>VLOOKUP(E2296,calculated_fields!$F$4:$G$6,2,FALSE)</f>
        <v>Economy</v>
      </c>
    </row>
    <row r="2297" spans="1:16">
      <c r="A2297" t="s">
        <v>3157</v>
      </c>
      <c r="B2297" t="s">
        <v>3121</v>
      </c>
      <c r="C2297" t="s">
        <v>14</v>
      </c>
      <c r="D2297">
        <v>1997</v>
      </c>
      <c r="E2297" t="s">
        <v>15</v>
      </c>
      <c r="F2297" t="s">
        <v>16</v>
      </c>
      <c r="G2297" t="s">
        <v>17</v>
      </c>
      <c r="H2297" t="s">
        <v>18</v>
      </c>
      <c r="I2297">
        <v>78.268999999999906</v>
      </c>
      <c r="J2297" t="s">
        <v>19</v>
      </c>
      <c r="K2297" t="s">
        <v>3158</v>
      </c>
      <c r="L2297" t="s">
        <v>21</v>
      </c>
      <c r="M2297" t="str">
        <f t="shared" si="105"/>
        <v>OK</v>
      </c>
      <c r="N2297" t="str">
        <f t="shared" si="106"/>
        <v>1990s</v>
      </c>
      <c r="O2297" t="str">
        <f t="shared" si="107"/>
        <v>High</v>
      </c>
      <c r="P2297" t="str">
        <f>VLOOKUP(E2297,calculated_fields!$F$4:$G$6,2,FALSE)</f>
        <v>Health</v>
      </c>
    </row>
    <row r="2298" spans="1:16">
      <c r="A2298" t="s">
        <v>3159</v>
      </c>
      <c r="B2298" t="s">
        <v>3121</v>
      </c>
      <c r="C2298" t="s">
        <v>14</v>
      </c>
      <c r="D2298">
        <v>1997</v>
      </c>
      <c r="E2298" t="s">
        <v>23</v>
      </c>
      <c r="F2298" t="s">
        <v>24</v>
      </c>
      <c r="G2298" t="s">
        <v>25</v>
      </c>
      <c r="H2298" t="s">
        <v>26</v>
      </c>
      <c r="I2298">
        <v>5531387</v>
      </c>
      <c r="J2298" t="s">
        <v>27</v>
      </c>
      <c r="K2298" t="s">
        <v>3158</v>
      </c>
      <c r="L2298" t="s">
        <v>21</v>
      </c>
      <c r="M2298" t="str">
        <f t="shared" si="105"/>
        <v>OK</v>
      </c>
      <c r="N2298" t="str">
        <f t="shared" si="106"/>
        <v>1990s</v>
      </c>
      <c r="O2298" t="str">
        <f t="shared" si="107"/>
        <v>N/A</v>
      </c>
      <c r="P2298" t="str">
        <f>VLOOKUP(E2298,calculated_fields!$F$4:$G$6,2,FALSE)</f>
        <v>Demographics</v>
      </c>
    </row>
    <row r="2299" spans="1:16">
      <c r="A2299" t="s">
        <v>3160</v>
      </c>
      <c r="B2299" t="s">
        <v>3121</v>
      </c>
      <c r="C2299" t="s">
        <v>14</v>
      </c>
      <c r="D2299">
        <v>1997</v>
      </c>
      <c r="E2299" t="s">
        <v>29</v>
      </c>
      <c r="F2299" t="s">
        <v>30</v>
      </c>
      <c r="G2299" t="s">
        <v>31</v>
      </c>
      <c r="H2299" t="s">
        <v>32</v>
      </c>
      <c r="I2299">
        <v>20896.609240000002</v>
      </c>
      <c r="J2299" t="s">
        <v>33</v>
      </c>
      <c r="K2299" t="s">
        <v>3158</v>
      </c>
      <c r="L2299" t="s">
        <v>21</v>
      </c>
      <c r="M2299" t="str">
        <f t="shared" si="105"/>
        <v>OK</v>
      </c>
      <c r="N2299" t="str">
        <f t="shared" si="106"/>
        <v>1990s</v>
      </c>
      <c r="O2299" t="str">
        <f t="shared" si="107"/>
        <v>N/A</v>
      </c>
      <c r="P2299" t="str">
        <f>VLOOKUP(E2299,calculated_fields!$F$4:$G$6,2,FALSE)</f>
        <v>Economy</v>
      </c>
    </row>
    <row r="2300" spans="1:16">
      <c r="A2300" t="s">
        <v>3161</v>
      </c>
      <c r="B2300" t="s">
        <v>3121</v>
      </c>
      <c r="C2300" t="s">
        <v>14</v>
      </c>
      <c r="D2300">
        <v>2002</v>
      </c>
      <c r="E2300" t="s">
        <v>15</v>
      </c>
      <c r="F2300" t="s">
        <v>16</v>
      </c>
      <c r="G2300" t="s">
        <v>17</v>
      </c>
      <c r="H2300" t="s">
        <v>18</v>
      </c>
      <c r="I2300">
        <v>79.695999999999998</v>
      </c>
      <c r="J2300" t="s">
        <v>19</v>
      </c>
      <c r="K2300" t="s">
        <v>3162</v>
      </c>
      <c r="L2300" t="s">
        <v>21</v>
      </c>
      <c r="M2300" t="str">
        <f t="shared" si="105"/>
        <v>OK</v>
      </c>
      <c r="N2300" t="str">
        <f t="shared" si="106"/>
        <v>2000s</v>
      </c>
      <c r="O2300" t="str">
        <f t="shared" si="107"/>
        <v>High</v>
      </c>
      <c r="P2300" t="str">
        <f>VLOOKUP(E2300,calculated_fields!$F$4:$G$6,2,FALSE)</f>
        <v>Health</v>
      </c>
    </row>
    <row r="2301" spans="1:16">
      <c r="A2301" t="s">
        <v>3163</v>
      </c>
      <c r="B2301" t="s">
        <v>3121</v>
      </c>
      <c r="C2301" t="s">
        <v>14</v>
      </c>
      <c r="D2301">
        <v>2002</v>
      </c>
      <c r="E2301" t="s">
        <v>23</v>
      </c>
      <c r="F2301" t="s">
        <v>24</v>
      </c>
      <c r="G2301" t="s">
        <v>25</v>
      </c>
      <c r="H2301" t="s">
        <v>26</v>
      </c>
      <c r="I2301">
        <v>6029529</v>
      </c>
      <c r="J2301" t="s">
        <v>27</v>
      </c>
      <c r="K2301" t="s">
        <v>3162</v>
      </c>
      <c r="L2301" t="s">
        <v>21</v>
      </c>
      <c r="M2301" t="str">
        <f t="shared" si="105"/>
        <v>OK</v>
      </c>
      <c r="N2301" t="str">
        <f t="shared" si="106"/>
        <v>2000s</v>
      </c>
      <c r="O2301" t="str">
        <f t="shared" si="107"/>
        <v>N/A</v>
      </c>
      <c r="P2301" t="str">
        <f>VLOOKUP(E2301,calculated_fields!$F$4:$G$6,2,FALSE)</f>
        <v>Demographics</v>
      </c>
    </row>
    <row r="2302" spans="1:16">
      <c r="A2302" t="s">
        <v>3164</v>
      </c>
      <c r="B2302" t="s">
        <v>3121</v>
      </c>
      <c r="C2302" t="s">
        <v>14</v>
      </c>
      <c r="D2302">
        <v>2002</v>
      </c>
      <c r="E2302" t="s">
        <v>29</v>
      </c>
      <c r="F2302" t="s">
        <v>30</v>
      </c>
      <c r="G2302" t="s">
        <v>31</v>
      </c>
      <c r="H2302" t="s">
        <v>32</v>
      </c>
      <c r="I2302">
        <v>21905.595140000001</v>
      </c>
      <c r="J2302" t="s">
        <v>33</v>
      </c>
      <c r="K2302" t="s">
        <v>3162</v>
      </c>
      <c r="L2302" t="s">
        <v>21</v>
      </c>
      <c r="M2302" t="str">
        <f t="shared" si="105"/>
        <v>OK</v>
      </c>
      <c r="N2302" t="str">
        <f t="shared" si="106"/>
        <v>2000s</v>
      </c>
      <c r="O2302" t="str">
        <f t="shared" si="107"/>
        <v>N/A</v>
      </c>
      <c r="P2302" t="str">
        <f>VLOOKUP(E2302,calculated_fields!$F$4:$G$6,2,FALSE)</f>
        <v>Economy</v>
      </c>
    </row>
    <row r="2303" spans="1:16">
      <c r="A2303" t="s">
        <v>3165</v>
      </c>
      <c r="B2303" t="s">
        <v>3121</v>
      </c>
      <c r="C2303" t="s">
        <v>14</v>
      </c>
      <c r="D2303">
        <v>2007</v>
      </c>
      <c r="E2303" t="s">
        <v>15</v>
      </c>
      <c r="F2303" t="s">
        <v>16</v>
      </c>
      <c r="G2303" t="s">
        <v>17</v>
      </c>
      <c r="H2303" t="s">
        <v>18</v>
      </c>
      <c r="I2303">
        <v>80.745000000000005</v>
      </c>
      <c r="J2303" t="s">
        <v>19</v>
      </c>
      <c r="K2303" t="s">
        <v>3166</v>
      </c>
      <c r="L2303" t="s">
        <v>21</v>
      </c>
      <c r="M2303" t="str">
        <f t="shared" si="105"/>
        <v>OK</v>
      </c>
      <c r="N2303" t="str">
        <f t="shared" si="106"/>
        <v>2000s</v>
      </c>
      <c r="O2303" t="str">
        <f t="shared" si="107"/>
        <v>High</v>
      </c>
      <c r="P2303" t="str">
        <f>VLOOKUP(E2303,calculated_fields!$F$4:$G$6,2,FALSE)</f>
        <v>Health</v>
      </c>
    </row>
    <row r="2304" spans="1:16">
      <c r="A2304" t="s">
        <v>3167</v>
      </c>
      <c r="B2304" t="s">
        <v>3121</v>
      </c>
      <c r="C2304" t="s">
        <v>14</v>
      </c>
      <c r="D2304">
        <v>2007</v>
      </c>
      <c r="E2304" t="s">
        <v>23</v>
      </c>
      <c r="F2304" t="s">
        <v>24</v>
      </c>
      <c r="G2304" t="s">
        <v>25</v>
      </c>
      <c r="H2304" t="s">
        <v>26</v>
      </c>
      <c r="I2304">
        <v>6426679</v>
      </c>
      <c r="J2304" t="s">
        <v>27</v>
      </c>
      <c r="K2304" t="s">
        <v>3166</v>
      </c>
      <c r="L2304" t="s">
        <v>21</v>
      </c>
      <c r="M2304" t="str">
        <f t="shared" si="105"/>
        <v>OK</v>
      </c>
      <c r="N2304" t="str">
        <f t="shared" si="106"/>
        <v>2000s</v>
      </c>
      <c r="O2304" t="str">
        <f t="shared" si="107"/>
        <v>N/A</v>
      </c>
      <c r="P2304" t="str">
        <f>VLOOKUP(E2304,calculated_fields!$F$4:$G$6,2,FALSE)</f>
        <v>Demographics</v>
      </c>
    </row>
    <row r="2305" spans="1:16">
      <c r="A2305" t="s">
        <v>3168</v>
      </c>
      <c r="B2305" t="s">
        <v>3121</v>
      </c>
      <c r="C2305" t="s">
        <v>14</v>
      </c>
      <c r="D2305">
        <v>2007</v>
      </c>
      <c r="E2305" t="s">
        <v>29</v>
      </c>
      <c r="F2305" t="s">
        <v>30</v>
      </c>
      <c r="G2305" t="s">
        <v>31</v>
      </c>
      <c r="H2305" t="s">
        <v>32</v>
      </c>
      <c r="I2305">
        <v>25523.277099999999</v>
      </c>
      <c r="J2305" t="s">
        <v>33</v>
      </c>
      <c r="K2305" t="s">
        <v>3166</v>
      </c>
      <c r="L2305" t="s">
        <v>21</v>
      </c>
      <c r="M2305" t="str">
        <f t="shared" si="105"/>
        <v>OK</v>
      </c>
      <c r="N2305" t="str">
        <f t="shared" si="106"/>
        <v>2000s</v>
      </c>
      <c r="O2305" t="str">
        <f t="shared" si="107"/>
        <v>N/A</v>
      </c>
      <c r="P2305" t="str">
        <f>VLOOKUP(E2305,calculated_fields!$F$4:$G$6,2,FALSE)</f>
        <v>Economy</v>
      </c>
    </row>
    <row r="2306" spans="1:16">
      <c r="A2306" t="s">
        <v>3169</v>
      </c>
      <c r="B2306" t="s">
        <v>3170</v>
      </c>
      <c r="C2306" t="s">
        <v>80</v>
      </c>
      <c r="D2306">
        <v>1952</v>
      </c>
      <c r="E2306" t="s">
        <v>15</v>
      </c>
      <c r="F2306" t="s">
        <v>16</v>
      </c>
      <c r="G2306" t="s">
        <v>17</v>
      </c>
      <c r="H2306" t="s">
        <v>18</v>
      </c>
      <c r="I2306">
        <v>65.94</v>
      </c>
      <c r="J2306" t="s">
        <v>19</v>
      </c>
      <c r="K2306" t="s">
        <v>3171</v>
      </c>
      <c r="L2306" t="s">
        <v>21</v>
      </c>
      <c r="M2306" t="str">
        <f t="shared" ref="M2306:M2369" si="108">IF(AND(ISNUMBER(I2306),I2306&gt;=0),"OK","Review")</f>
        <v>OK</v>
      </c>
      <c r="N2306" t="str">
        <f t="shared" ref="N2306:N2369" si="109">FLOOR(D2306,10)&amp;"s"</f>
        <v>1950s</v>
      </c>
      <c r="O2306" t="str">
        <f t="shared" ref="O2306:O2369" si="110">IF(E2306="LIFE_EXP",IF(I2306&gt;=70,"High",IF(I2306&gt;=55,"Medium","Low")),"N/A")</f>
        <v>Medium</v>
      </c>
      <c r="P2306" t="str">
        <f>VLOOKUP(E2306,calculated_fields!$F$4:$G$6,2,FALSE)</f>
        <v>Health</v>
      </c>
    </row>
    <row r="2307" spans="1:16">
      <c r="A2307" t="s">
        <v>3172</v>
      </c>
      <c r="B2307" t="s">
        <v>3170</v>
      </c>
      <c r="C2307" t="s">
        <v>80</v>
      </c>
      <c r="D2307">
        <v>1952</v>
      </c>
      <c r="E2307" t="s">
        <v>23</v>
      </c>
      <c r="F2307" t="s">
        <v>24</v>
      </c>
      <c r="G2307" t="s">
        <v>25</v>
      </c>
      <c r="H2307" t="s">
        <v>26</v>
      </c>
      <c r="I2307">
        <v>47666000</v>
      </c>
      <c r="J2307" t="s">
        <v>27</v>
      </c>
      <c r="K2307" t="s">
        <v>3171</v>
      </c>
      <c r="L2307" t="s">
        <v>21</v>
      </c>
      <c r="M2307" t="str">
        <f t="shared" si="108"/>
        <v>OK</v>
      </c>
      <c r="N2307" t="str">
        <f t="shared" si="109"/>
        <v>1950s</v>
      </c>
      <c r="O2307" t="str">
        <f t="shared" si="110"/>
        <v>N/A</v>
      </c>
      <c r="P2307" t="str">
        <f>VLOOKUP(E2307,calculated_fields!$F$4:$G$6,2,FALSE)</f>
        <v>Demographics</v>
      </c>
    </row>
    <row r="2308" spans="1:16">
      <c r="A2308" t="s">
        <v>3173</v>
      </c>
      <c r="B2308" t="s">
        <v>3170</v>
      </c>
      <c r="C2308" t="s">
        <v>80</v>
      </c>
      <c r="D2308">
        <v>1952</v>
      </c>
      <c r="E2308" t="s">
        <v>29</v>
      </c>
      <c r="F2308" t="s">
        <v>30</v>
      </c>
      <c r="G2308" t="s">
        <v>31</v>
      </c>
      <c r="H2308" t="s">
        <v>32</v>
      </c>
      <c r="I2308">
        <v>4931.4041549999902</v>
      </c>
      <c r="J2308" t="s">
        <v>33</v>
      </c>
      <c r="K2308" t="s">
        <v>3171</v>
      </c>
      <c r="L2308" t="s">
        <v>21</v>
      </c>
      <c r="M2308" t="str">
        <f t="shared" si="108"/>
        <v>OK</v>
      </c>
      <c r="N2308" t="str">
        <f t="shared" si="109"/>
        <v>1950s</v>
      </c>
      <c r="O2308" t="str">
        <f t="shared" si="110"/>
        <v>N/A</v>
      </c>
      <c r="P2308" t="str">
        <f>VLOOKUP(E2308,calculated_fields!$F$4:$G$6,2,FALSE)</f>
        <v>Economy</v>
      </c>
    </row>
    <row r="2309" spans="1:16">
      <c r="A2309" t="s">
        <v>3174</v>
      </c>
      <c r="B2309" t="s">
        <v>3170</v>
      </c>
      <c r="C2309" t="s">
        <v>80</v>
      </c>
      <c r="D2309">
        <v>1957</v>
      </c>
      <c r="E2309" t="s">
        <v>15</v>
      </c>
      <c r="F2309" t="s">
        <v>16</v>
      </c>
      <c r="G2309" t="s">
        <v>17</v>
      </c>
      <c r="H2309" t="s">
        <v>18</v>
      </c>
      <c r="I2309">
        <v>67.81</v>
      </c>
      <c r="J2309" t="s">
        <v>19</v>
      </c>
      <c r="K2309" t="s">
        <v>3175</v>
      </c>
      <c r="L2309" t="s">
        <v>21</v>
      </c>
      <c r="M2309" t="str">
        <f t="shared" si="108"/>
        <v>OK</v>
      </c>
      <c r="N2309" t="str">
        <f t="shared" si="109"/>
        <v>1950s</v>
      </c>
      <c r="O2309" t="str">
        <f t="shared" si="110"/>
        <v>Medium</v>
      </c>
      <c r="P2309" t="str">
        <f>VLOOKUP(E2309,calculated_fields!$F$4:$G$6,2,FALSE)</f>
        <v>Health</v>
      </c>
    </row>
    <row r="2310" spans="1:16">
      <c r="A2310" t="s">
        <v>3176</v>
      </c>
      <c r="B2310" t="s">
        <v>3170</v>
      </c>
      <c r="C2310" t="s">
        <v>80</v>
      </c>
      <c r="D2310">
        <v>1957</v>
      </c>
      <c r="E2310" t="s">
        <v>23</v>
      </c>
      <c r="F2310" t="s">
        <v>24</v>
      </c>
      <c r="G2310" t="s">
        <v>25</v>
      </c>
      <c r="H2310" t="s">
        <v>26</v>
      </c>
      <c r="I2310">
        <v>49182000</v>
      </c>
      <c r="J2310" t="s">
        <v>27</v>
      </c>
      <c r="K2310" t="s">
        <v>3175</v>
      </c>
      <c r="L2310" t="s">
        <v>21</v>
      </c>
      <c r="M2310" t="str">
        <f t="shared" si="108"/>
        <v>OK</v>
      </c>
      <c r="N2310" t="str">
        <f t="shared" si="109"/>
        <v>1950s</v>
      </c>
      <c r="O2310" t="str">
        <f t="shared" si="110"/>
        <v>N/A</v>
      </c>
      <c r="P2310" t="str">
        <f>VLOOKUP(E2310,calculated_fields!$F$4:$G$6,2,FALSE)</f>
        <v>Demographics</v>
      </c>
    </row>
    <row r="2311" spans="1:16">
      <c r="A2311" t="s">
        <v>3177</v>
      </c>
      <c r="B2311" t="s">
        <v>3170</v>
      </c>
      <c r="C2311" t="s">
        <v>80</v>
      </c>
      <c r="D2311">
        <v>1957</v>
      </c>
      <c r="E2311" t="s">
        <v>29</v>
      </c>
      <c r="F2311" t="s">
        <v>30</v>
      </c>
      <c r="G2311" t="s">
        <v>31</v>
      </c>
      <c r="H2311" t="s">
        <v>32</v>
      </c>
      <c r="I2311">
        <v>6248.6562320000003</v>
      </c>
      <c r="J2311" t="s">
        <v>33</v>
      </c>
      <c r="K2311" t="s">
        <v>3175</v>
      </c>
      <c r="L2311" t="s">
        <v>21</v>
      </c>
      <c r="M2311" t="str">
        <f t="shared" si="108"/>
        <v>OK</v>
      </c>
      <c r="N2311" t="str">
        <f t="shared" si="109"/>
        <v>1950s</v>
      </c>
      <c r="O2311" t="str">
        <f t="shared" si="110"/>
        <v>N/A</v>
      </c>
      <c r="P2311" t="str">
        <f>VLOOKUP(E2311,calculated_fields!$F$4:$G$6,2,FALSE)</f>
        <v>Economy</v>
      </c>
    </row>
    <row r="2312" spans="1:16">
      <c r="A2312" t="s">
        <v>3178</v>
      </c>
      <c r="B2312" t="s">
        <v>3170</v>
      </c>
      <c r="C2312" t="s">
        <v>80</v>
      </c>
      <c r="D2312">
        <v>1962</v>
      </c>
      <c r="E2312" t="s">
        <v>15</v>
      </c>
      <c r="F2312" t="s">
        <v>16</v>
      </c>
      <c r="G2312" t="s">
        <v>17</v>
      </c>
      <c r="H2312" t="s">
        <v>18</v>
      </c>
      <c r="I2312">
        <v>69.239999999999995</v>
      </c>
      <c r="J2312" t="s">
        <v>19</v>
      </c>
      <c r="K2312" t="s">
        <v>3179</v>
      </c>
      <c r="L2312" t="s">
        <v>21</v>
      </c>
      <c r="M2312" t="str">
        <f t="shared" si="108"/>
        <v>OK</v>
      </c>
      <c r="N2312" t="str">
        <f t="shared" si="109"/>
        <v>1960s</v>
      </c>
      <c r="O2312" t="str">
        <f t="shared" si="110"/>
        <v>Medium</v>
      </c>
      <c r="P2312" t="str">
        <f>VLOOKUP(E2312,calculated_fields!$F$4:$G$6,2,FALSE)</f>
        <v>Health</v>
      </c>
    </row>
    <row r="2313" spans="1:16">
      <c r="A2313" t="s">
        <v>3180</v>
      </c>
      <c r="B2313" t="s">
        <v>3170</v>
      </c>
      <c r="C2313" t="s">
        <v>80</v>
      </c>
      <c r="D2313">
        <v>1962</v>
      </c>
      <c r="E2313" t="s">
        <v>23</v>
      </c>
      <c r="F2313" t="s">
        <v>24</v>
      </c>
      <c r="G2313" t="s">
        <v>25</v>
      </c>
      <c r="H2313" t="s">
        <v>26</v>
      </c>
      <c r="I2313">
        <v>50843200</v>
      </c>
      <c r="J2313" t="s">
        <v>27</v>
      </c>
      <c r="K2313" t="s">
        <v>3179</v>
      </c>
      <c r="L2313" t="s">
        <v>21</v>
      </c>
      <c r="M2313" t="str">
        <f t="shared" si="108"/>
        <v>OK</v>
      </c>
      <c r="N2313" t="str">
        <f t="shared" si="109"/>
        <v>1960s</v>
      </c>
      <c r="O2313" t="str">
        <f t="shared" si="110"/>
        <v>N/A</v>
      </c>
      <c r="P2313" t="str">
        <f>VLOOKUP(E2313,calculated_fields!$F$4:$G$6,2,FALSE)</f>
        <v>Demographics</v>
      </c>
    </row>
    <row r="2314" spans="1:16">
      <c r="A2314" t="s">
        <v>3181</v>
      </c>
      <c r="B2314" t="s">
        <v>3170</v>
      </c>
      <c r="C2314" t="s">
        <v>80</v>
      </c>
      <c r="D2314">
        <v>1962</v>
      </c>
      <c r="E2314" t="s">
        <v>29</v>
      </c>
      <c r="F2314" t="s">
        <v>30</v>
      </c>
      <c r="G2314" t="s">
        <v>31</v>
      </c>
      <c r="H2314" t="s">
        <v>32</v>
      </c>
      <c r="I2314">
        <v>8243.5823400000008</v>
      </c>
      <c r="J2314" t="s">
        <v>33</v>
      </c>
      <c r="K2314" t="s">
        <v>3179</v>
      </c>
      <c r="L2314" t="s">
        <v>21</v>
      </c>
      <c r="M2314" t="str">
        <f t="shared" si="108"/>
        <v>OK</v>
      </c>
      <c r="N2314" t="str">
        <f t="shared" si="109"/>
        <v>1960s</v>
      </c>
      <c r="O2314" t="str">
        <f t="shared" si="110"/>
        <v>N/A</v>
      </c>
      <c r="P2314" t="str">
        <f>VLOOKUP(E2314,calculated_fields!$F$4:$G$6,2,FALSE)</f>
        <v>Economy</v>
      </c>
    </row>
    <row r="2315" spans="1:16">
      <c r="A2315" t="s">
        <v>3182</v>
      </c>
      <c r="B2315" t="s">
        <v>3170</v>
      </c>
      <c r="C2315" t="s">
        <v>80</v>
      </c>
      <c r="D2315">
        <v>1967</v>
      </c>
      <c r="E2315" t="s">
        <v>15</v>
      </c>
      <c r="F2315" t="s">
        <v>16</v>
      </c>
      <c r="G2315" t="s">
        <v>17</v>
      </c>
      <c r="H2315" t="s">
        <v>18</v>
      </c>
      <c r="I2315">
        <v>71.06</v>
      </c>
      <c r="J2315" t="s">
        <v>19</v>
      </c>
      <c r="K2315" t="s">
        <v>3183</v>
      </c>
      <c r="L2315" t="s">
        <v>21</v>
      </c>
      <c r="M2315" t="str">
        <f t="shared" si="108"/>
        <v>OK</v>
      </c>
      <c r="N2315" t="str">
        <f t="shared" si="109"/>
        <v>1960s</v>
      </c>
      <c r="O2315" t="str">
        <f t="shared" si="110"/>
        <v>High</v>
      </c>
      <c r="P2315" t="str">
        <f>VLOOKUP(E2315,calculated_fields!$F$4:$G$6,2,FALSE)</f>
        <v>Health</v>
      </c>
    </row>
    <row r="2316" spans="1:16">
      <c r="A2316" t="s">
        <v>3184</v>
      </c>
      <c r="B2316" t="s">
        <v>3170</v>
      </c>
      <c r="C2316" t="s">
        <v>80</v>
      </c>
      <c r="D2316">
        <v>1967</v>
      </c>
      <c r="E2316" t="s">
        <v>23</v>
      </c>
      <c r="F2316" t="s">
        <v>24</v>
      </c>
      <c r="G2316" t="s">
        <v>25</v>
      </c>
      <c r="H2316" t="s">
        <v>26</v>
      </c>
      <c r="I2316">
        <v>52667100</v>
      </c>
      <c r="J2316" t="s">
        <v>27</v>
      </c>
      <c r="K2316" t="s">
        <v>3183</v>
      </c>
      <c r="L2316" t="s">
        <v>21</v>
      </c>
      <c r="M2316" t="str">
        <f t="shared" si="108"/>
        <v>OK</v>
      </c>
      <c r="N2316" t="str">
        <f t="shared" si="109"/>
        <v>1960s</v>
      </c>
      <c r="O2316" t="str">
        <f t="shared" si="110"/>
        <v>N/A</v>
      </c>
      <c r="P2316" t="str">
        <f>VLOOKUP(E2316,calculated_fields!$F$4:$G$6,2,FALSE)</f>
        <v>Demographics</v>
      </c>
    </row>
    <row r="2317" spans="1:16">
      <c r="A2317" t="s">
        <v>3185</v>
      </c>
      <c r="B2317" t="s">
        <v>3170</v>
      </c>
      <c r="C2317" t="s">
        <v>80</v>
      </c>
      <c r="D2317">
        <v>1967</v>
      </c>
      <c r="E2317" t="s">
        <v>29</v>
      </c>
      <c r="F2317" t="s">
        <v>30</v>
      </c>
      <c r="G2317" t="s">
        <v>31</v>
      </c>
      <c r="H2317" t="s">
        <v>32</v>
      </c>
      <c r="I2317">
        <v>10022.401309999999</v>
      </c>
      <c r="J2317" t="s">
        <v>33</v>
      </c>
      <c r="K2317" t="s">
        <v>3183</v>
      </c>
      <c r="L2317" t="s">
        <v>21</v>
      </c>
      <c r="M2317" t="str">
        <f t="shared" si="108"/>
        <v>OK</v>
      </c>
      <c r="N2317" t="str">
        <f t="shared" si="109"/>
        <v>1960s</v>
      </c>
      <c r="O2317" t="str">
        <f t="shared" si="110"/>
        <v>N/A</v>
      </c>
      <c r="P2317" t="str">
        <f>VLOOKUP(E2317,calculated_fields!$F$4:$G$6,2,FALSE)</f>
        <v>Economy</v>
      </c>
    </row>
    <row r="2318" spans="1:16">
      <c r="A2318" t="s">
        <v>3186</v>
      </c>
      <c r="B2318" t="s">
        <v>3170</v>
      </c>
      <c r="C2318" t="s">
        <v>80</v>
      </c>
      <c r="D2318">
        <v>1972</v>
      </c>
      <c r="E2318" t="s">
        <v>15</v>
      </c>
      <c r="F2318" t="s">
        <v>16</v>
      </c>
      <c r="G2318" t="s">
        <v>17</v>
      </c>
      <c r="H2318" t="s">
        <v>18</v>
      </c>
      <c r="I2318">
        <v>72.19</v>
      </c>
      <c r="J2318" t="s">
        <v>19</v>
      </c>
      <c r="K2318" t="s">
        <v>3187</v>
      </c>
      <c r="L2318" t="s">
        <v>21</v>
      </c>
      <c r="M2318" t="str">
        <f t="shared" si="108"/>
        <v>OK</v>
      </c>
      <c r="N2318" t="str">
        <f t="shared" si="109"/>
        <v>1970s</v>
      </c>
      <c r="O2318" t="str">
        <f t="shared" si="110"/>
        <v>High</v>
      </c>
      <c r="P2318" t="str">
        <f>VLOOKUP(E2318,calculated_fields!$F$4:$G$6,2,FALSE)</f>
        <v>Health</v>
      </c>
    </row>
    <row r="2319" spans="1:16">
      <c r="A2319" t="s">
        <v>3188</v>
      </c>
      <c r="B2319" t="s">
        <v>3170</v>
      </c>
      <c r="C2319" t="s">
        <v>80</v>
      </c>
      <c r="D2319">
        <v>1972</v>
      </c>
      <c r="E2319" t="s">
        <v>23</v>
      </c>
      <c r="F2319" t="s">
        <v>24</v>
      </c>
      <c r="G2319" t="s">
        <v>25</v>
      </c>
      <c r="H2319" t="s">
        <v>26</v>
      </c>
      <c r="I2319">
        <v>54365564</v>
      </c>
      <c r="J2319" t="s">
        <v>27</v>
      </c>
      <c r="K2319" t="s">
        <v>3187</v>
      </c>
      <c r="L2319" t="s">
        <v>21</v>
      </c>
      <c r="M2319" t="str">
        <f t="shared" si="108"/>
        <v>OK</v>
      </c>
      <c r="N2319" t="str">
        <f t="shared" si="109"/>
        <v>1970s</v>
      </c>
      <c r="O2319" t="str">
        <f t="shared" si="110"/>
        <v>N/A</v>
      </c>
      <c r="P2319" t="str">
        <f>VLOOKUP(E2319,calculated_fields!$F$4:$G$6,2,FALSE)</f>
        <v>Demographics</v>
      </c>
    </row>
    <row r="2320" spans="1:16">
      <c r="A2320" t="s">
        <v>3189</v>
      </c>
      <c r="B2320" t="s">
        <v>3170</v>
      </c>
      <c r="C2320" t="s">
        <v>80</v>
      </c>
      <c r="D2320">
        <v>1972</v>
      </c>
      <c r="E2320" t="s">
        <v>29</v>
      </c>
      <c r="F2320" t="s">
        <v>30</v>
      </c>
      <c r="G2320" t="s">
        <v>31</v>
      </c>
      <c r="H2320" t="s">
        <v>32</v>
      </c>
      <c r="I2320">
        <v>12269.27378</v>
      </c>
      <c r="J2320" t="s">
        <v>33</v>
      </c>
      <c r="K2320" t="s">
        <v>3187</v>
      </c>
      <c r="L2320" t="s">
        <v>21</v>
      </c>
      <c r="M2320" t="str">
        <f t="shared" si="108"/>
        <v>OK</v>
      </c>
      <c r="N2320" t="str">
        <f t="shared" si="109"/>
        <v>1970s</v>
      </c>
      <c r="O2320" t="str">
        <f t="shared" si="110"/>
        <v>N/A</v>
      </c>
      <c r="P2320" t="str">
        <f>VLOOKUP(E2320,calculated_fields!$F$4:$G$6,2,FALSE)</f>
        <v>Economy</v>
      </c>
    </row>
    <row r="2321" spans="1:16">
      <c r="A2321" t="s">
        <v>3190</v>
      </c>
      <c r="B2321" t="s">
        <v>3170</v>
      </c>
      <c r="C2321" t="s">
        <v>80</v>
      </c>
      <c r="D2321">
        <v>1977</v>
      </c>
      <c r="E2321" t="s">
        <v>15</v>
      </c>
      <c r="F2321" t="s">
        <v>16</v>
      </c>
      <c r="G2321" t="s">
        <v>17</v>
      </c>
      <c r="H2321" t="s">
        <v>18</v>
      </c>
      <c r="I2321">
        <v>73.48</v>
      </c>
      <c r="J2321" t="s">
        <v>19</v>
      </c>
      <c r="K2321" t="s">
        <v>3191</v>
      </c>
      <c r="L2321" t="s">
        <v>21</v>
      </c>
      <c r="M2321" t="str">
        <f t="shared" si="108"/>
        <v>OK</v>
      </c>
      <c r="N2321" t="str">
        <f t="shared" si="109"/>
        <v>1970s</v>
      </c>
      <c r="O2321" t="str">
        <f t="shared" si="110"/>
        <v>High</v>
      </c>
      <c r="P2321" t="str">
        <f>VLOOKUP(E2321,calculated_fields!$F$4:$G$6,2,FALSE)</f>
        <v>Health</v>
      </c>
    </row>
    <row r="2322" spans="1:16">
      <c r="A2322" t="s">
        <v>3192</v>
      </c>
      <c r="B2322" t="s">
        <v>3170</v>
      </c>
      <c r="C2322" t="s">
        <v>80</v>
      </c>
      <c r="D2322">
        <v>1977</v>
      </c>
      <c r="E2322" t="s">
        <v>23</v>
      </c>
      <c r="F2322" t="s">
        <v>24</v>
      </c>
      <c r="G2322" t="s">
        <v>25</v>
      </c>
      <c r="H2322" t="s">
        <v>26</v>
      </c>
      <c r="I2322">
        <v>56059245</v>
      </c>
      <c r="J2322" t="s">
        <v>27</v>
      </c>
      <c r="K2322" t="s">
        <v>3191</v>
      </c>
      <c r="L2322" t="s">
        <v>21</v>
      </c>
      <c r="M2322" t="str">
        <f t="shared" si="108"/>
        <v>OK</v>
      </c>
      <c r="N2322" t="str">
        <f t="shared" si="109"/>
        <v>1970s</v>
      </c>
      <c r="O2322" t="str">
        <f t="shared" si="110"/>
        <v>N/A</v>
      </c>
      <c r="P2322" t="str">
        <f>VLOOKUP(E2322,calculated_fields!$F$4:$G$6,2,FALSE)</f>
        <v>Demographics</v>
      </c>
    </row>
    <row r="2323" spans="1:16">
      <c r="A2323" t="s">
        <v>3193</v>
      </c>
      <c r="B2323" t="s">
        <v>3170</v>
      </c>
      <c r="C2323" t="s">
        <v>80</v>
      </c>
      <c r="D2323">
        <v>1977</v>
      </c>
      <c r="E2323" t="s">
        <v>29</v>
      </c>
      <c r="F2323" t="s">
        <v>30</v>
      </c>
      <c r="G2323" t="s">
        <v>31</v>
      </c>
      <c r="H2323" t="s">
        <v>32</v>
      </c>
      <c r="I2323">
        <v>14255.98475</v>
      </c>
      <c r="J2323" t="s">
        <v>33</v>
      </c>
      <c r="K2323" t="s">
        <v>3191</v>
      </c>
      <c r="L2323" t="s">
        <v>21</v>
      </c>
      <c r="M2323" t="str">
        <f t="shared" si="108"/>
        <v>OK</v>
      </c>
      <c r="N2323" t="str">
        <f t="shared" si="109"/>
        <v>1970s</v>
      </c>
      <c r="O2323" t="str">
        <f t="shared" si="110"/>
        <v>N/A</v>
      </c>
      <c r="P2323" t="str">
        <f>VLOOKUP(E2323,calculated_fields!$F$4:$G$6,2,FALSE)</f>
        <v>Economy</v>
      </c>
    </row>
    <row r="2324" spans="1:16">
      <c r="A2324" t="s">
        <v>3194</v>
      </c>
      <c r="B2324" t="s">
        <v>3170</v>
      </c>
      <c r="C2324" t="s">
        <v>80</v>
      </c>
      <c r="D2324">
        <v>1982</v>
      </c>
      <c r="E2324" t="s">
        <v>15</v>
      </c>
      <c r="F2324" t="s">
        <v>16</v>
      </c>
      <c r="G2324" t="s">
        <v>17</v>
      </c>
      <c r="H2324" t="s">
        <v>18</v>
      </c>
      <c r="I2324">
        <v>74.98</v>
      </c>
      <c r="J2324" t="s">
        <v>19</v>
      </c>
      <c r="K2324" t="s">
        <v>3195</v>
      </c>
      <c r="L2324" t="s">
        <v>21</v>
      </c>
      <c r="M2324" t="str">
        <f t="shared" si="108"/>
        <v>OK</v>
      </c>
      <c r="N2324" t="str">
        <f t="shared" si="109"/>
        <v>1980s</v>
      </c>
      <c r="O2324" t="str">
        <f t="shared" si="110"/>
        <v>High</v>
      </c>
      <c r="P2324" t="str">
        <f>VLOOKUP(E2324,calculated_fields!$F$4:$G$6,2,FALSE)</f>
        <v>Health</v>
      </c>
    </row>
    <row r="2325" spans="1:16">
      <c r="A2325" t="s">
        <v>3196</v>
      </c>
      <c r="B2325" t="s">
        <v>3170</v>
      </c>
      <c r="C2325" t="s">
        <v>80</v>
      </c>
      <c r="D2325">
        <v>1982</v>
      </c>
      <c r="E2325" t="s">
        <v>23</v>
      </c>
      <c r="F2325" t="s">
        <v>24</v>
      </c>
      <c r="G2325" t="s">
        <v>25</v>
      </c>
      <c r="H2325" t="s">
        <v>26</v>
      </c>
      <c r="I2325">
        <v>56535636</v>
      </c>
      <c r="J2325" t="s">
        <v>27</v>
      </c>
      <c r="K2325" t="s">
        <v>3195</v>
      </c>
      <c r="L2325" t="s">
        <v>21</v>
      </c>
      <c r="M2325" t="str">
        <f t="shared" si="108"/>
        <v>OK</v>
      </c>
      <c r="N2325" t="str">
        <f t="shared" si="109"/>
        <v>1980s</v>
      </c>
      <c r="O2325" t="str">
        <f t="shared" si="110"/>
        <v>N/A</v>
      </c>
      <c r="P2325" t="str">
        <f>VLOOKUP(E2325,calculated_fields!$F$4:$G$6,2,FALSE)</f>
        <v>Demographics</v>
      </c>
    </row>
    <row r="2326" spans="1:16">
      <c r="A2326" t="s">
        <v>3197</v>
      </c>
      <c r="B2326" t="s">
        <v>3170</v>
      </c>
      <c r="C2326" t="s">
        <v>80</v>
      </c>
      <c r="D2326">
        <v>1982</v>
      </c>
      <c r="E2326" t="s">
        <v>29</v>
      </c>
      <c r="F2326" t="s">
        <v>30</v>
      </c>
      <c r="G2326" t="s">
        <v>31</v>
      </c>
      <c r="H2326" t="s">
        <v>32</v>
      </c>
      <c r="I2326">
        <v>16537.483499999998</v>
      </c>
      <c r="J2326" t="s">
        <v>33</v>
      </c>
      <c r="K2326" t="s">
        <v>3195</v>
      </c>
      <c r="L2326" t="s">
        <v>21</v>
      </c>
      <c r="M2326" t="str">
        <f t="shared" si="108"/>
        <v>OK</v>
      </c>
      <c r="N2326" t="str">
        <f t="shared" si="109"/>
        <v>1980s</v>
      </c>
      <c r="O2326" t="str">
        <f t="shared" si="110"/>
        <v>N/A</v>
      </c>
      <c r="P2326" t="str">
        <f>VLOOKUP(E2326,calculated_fields!$F$4:$G$6,2,FALSE)</f>
        <v>Economy</v>
      </c>
    </row>
    <row r="2327" spans="1:16">
      <c r="A2327" t="s">
        <v>3198</v>
      </c>
      <c r="B2327" t="s">
        <v>3170</v>
      </c>
      <c r="C2327" t="s">
        <v>80</v>
      </c>
      <c r="D2327">
        <v>1987</v>
      </c>
      <c r="E2327" t="s">
        <v>15</v>
      </c>
      <c r="F2327" t="s">
        <v>16</v>
      </c>
      <c r="G2327" t="s">
        <v>17</v>
      </c>
      <c r="H2327" t="s">
        <v>18</v>
      </c>
      <c r="I2327">
        <v>76.42</v>
      </c>
      <c r="J2327" t="s">
        <v>19</v>
      </c>
      <c r="K2327" t="s">
        <v>3199</v>
      </c>
      <c r="L2327" t="s">
        <v>21</v>
      </c>
      <c r="M2327" t="str">
        <f t="shared" si="108"/>
        <v>OK</v>
      </c>
      <c r="N2327" t="str">
        <f t="shared" si="109"/>
        <v>1980s</v>
      </c>
      <c r="O2327" t="str">
        <f t="shared" si="110"/>
        <v>High</v>
      </c>
      <c r="P2327" t="str">
        <f>VLOOKUP(E2327,calculated_fields!$F$4:$G$6,2,FALSE)</f>
        <v>Health</v>
      </c>
    </row>
    <row r="2328" spans="1:16">
      <c r="A2328" t="s">
        <v>3200</v>
      </c>
      <c r="B2328" t="s">
        <v>3170</v>
      </c>
      <c r="C2328" t="s">
        <v>80</v>
      </c>
      <c r="D2328">
        <v>1987</v>
      </c>
      <c r="E2328" t="s">
        <v>23</v>
      </c>
      <c r="F2328" t="s">
        <v>24</v>
      </c>
      <c r="G2328" t="s">
        <v>25</v>
      </c>
      <c r="H2328" t="s">
        <v>26</v>
      </c>
      <c r="I2328">
        <v>56729703</v>
      </c>
      <c r="J2328" t="s">
        <v>27</v>
      </c>
      <c r="K2328" t="s">
        <v>3199</v>
      </c>
      <c r="L2328" t="s">
        <v>21</v>
      </c>
      <c r="M2328" t="str">
        <f t="shared" si="108"/>
        <v>OK</v>
      </c>
      <c r="N2328" t="str">
        <f t="shared" si="109"/>
        <v>1980s</v>
      </c>
      <c r="O2328" t="str">
        <f t="shared" si="110"/>
        <v>N/A</v>
      </c>
      <c r="P2328" t="str">
        <f>VLOOKUP(E2328,calculated_fields!$F$4:$G$6,2,FALSE)</f>
        <v>Demographics</v>
      </c>
    </row>
    <row r="2329" spans="1:16">
      <c r="A2329" t="s">
        <v>3201</v>
      </c>
      <c r="B2329" t="s">
        <v>3170</v>
      </c>
      <c r="C2329" t="s">
        <v>80</v>
      </c>
      <c r="D2329">
        <v>1987</v>
      </c>
      <c r="E2329" t="s">
        <v>29</v>
      </c>
      <c r="F2329" t="s">
        <v>30</v>
      </c>
      <c r="G2329" t="s">
        <v>31</v>
      </c>
      <c r="H2329" t="s">
        <v>32</v>
      </c>
      <c r="I2329">
        <v>19207.234820000001</v>
      </c>
      <c r="J2329" t="s">
        <v>33</v>
      </c>
      <c r="K2329" t="s">
        <v>3199</v>
      </c>
      <c r="L2329" t="s">
        <v>21</v>
      </c>
      <c r="M2329" t="str">
        <f t="shared" si="108"/>
        <v>OK</v>
      </c>
      <c r="N2329" t="str">
        <f t="shared" si="109"/>
        <v>1980s</v>
      </c>
      <c r="O2329" t="str">
        <f t="shared" si="110"/>
        <v>N/A</v>
      </c>
      <c r="P2329" t="str">
        <f>VLOOKUP(E2329,calculated_fields!$F$4:$G$6,2,FALSE)</f>
        <v>Economy</v>
      </c>
    </row>
    <row r="2330" spans="1:16">
      <c r="A2330" t="s">
        <v>3202</v>
      </c>
      <c r="B2330" t="s">
        <v>3170</v>
      </c>
      <c r="C2330" t="s">
        <v>80</v>
      </c>
      <c r="D2330">
        <v>1992</v>
      </c>
      <c r="E2330" t="s">
        <v>15</v>
      </c>
      <c r="F2330" t="s">
        <v>16</v>
      </c>
      <c r="G2330" t="s">
        <v>17</v>
      </c>
      <c r="H2330" t="s">
        <v>18</v>
      </c>
      <c r="I2330">
        <v>77.44</v>
      </c>
      <c r="J2330" t="s">
        <v>19</v>
      </c>
      <c r="K2330" t="s">
        <v>3203</v>
      </c>
      <c r="L2330" t="s">
        <v>21</v>
      </c>
      <c r="M2330" t="str">
        <f t="shared" si="108"/>
        <v>OK</v>
      </c>
      <c r="N2330" t="str">
        <f t="shared" si="109"/>
        <v>1990s</v>
      </c>
      <c r="O2330" t="str">
        <f t="shared" si="110"/>
        <v>High</v>
      </c>
      <c r="P2330" t="str">
        <f>VLOOKUP(E2330,calculated_fields!$F$4:$G$6,2,FALSE)</f>
        <v>Health</v>
      </c>
    </row>
    <row r="2331" spans="1:16">
      <c r="A2331" t="s">
        <v>3204</v>
      </c>
      <c r="B2331" t="s">
        <v>3170</v>
      </c>
      <c r="C2331" t="s">
        <v>80</v>
      </c>
      <c r="D2331">
        <v>1992</v>
      </c>
      <c r="E2331" t="s">
        <v>23</v>
      </c>
      <c r="F2331" t="s">
        <v>24</v>
      </c>
      <c r="G2331" t="s">
        <v>25</v>
      </c>
      <c r="H2331" t="s">
        <v>26</v>
      </c>
      <c r="I2331">
        <v>56840847</v>
      </c>
      <c r="J2331" t="s">
        <v>27</v>
      </c>
      <c r="K2331" t="s">
        <v>3203</v>
      </c>
      <c r="L2331" t="s">
        <v>21</v>
      </c>
      <c r="M2331" t="str">
        <f t="shared" si="108"/>
        <v>OK</v>
      </c>
      <c r="N2331" t="str">
        <f t="shared" si="109"/>
        <v>1990s</v>
      </c>
      <c r="O2331" t="str">
        <f t="shared" si="110"/>
        <v>N/A</v>
      </c>
      <c r="P2331" t="str">
        <f>VLOOKUP(E2331,calculated_fields!$F$4:$G$6,2,FALSE)</f>
        <v>Demographics</v>
      </c>
    </row>
    <row r="2332" spans="1:16">
      <c r="A2332" t="s">
        <v>3205</v>
      </c>
      <c r="B2332" t="s">
        <v>3170</v>
      </c>
      <c r="C2332" t="s">
        <v>80</v>
      </c>
      <c r="D2332">
        <v>1992</v>
      </c>
      <c r="E2332" t="s">
        <v>29</v>
      </c>
      <c r="F2332" t="s">
        <v>30</v>
      </c>
      <c r="G2332" t="s">
        <v>31</v>
      </c>
      <c r="H2332" t="s">
        <v>32</v>
      </c>
      <c r="I2332">
        <v>22013.64486</v>
      </c>
      <c r="J2332" t="s">
        <v>33</v>
      </c>
      <c r="K2332" t="s">
        <v>3203</v>
      </c>
      <c r="L2332" t="s">
        <v>21</v>
      </c>
      <c r="M2332" t="str">
        <f t="shared" si="108"/>
        <v>OK</v>
      </c>
      <c r="N2332" t="str">
        <f t="shared" si="109"/>
        <v>1990s</v>
      </c>
      <c r="O2332" t="str">
        <f t="shared" si="110"/>
        <v>N/A</v>
      </c>
      <c r="P2332" t="str">
        <f>VLOOKUP(E2332,calculated_fields!$F$4:$G$6,2,FALSE)</f>
        <v>Economy</v>
      </c>
    </row>
    <row r="2333" spans="1:16">
      <c r="A2333" t="s">
        <v>3206</v>
      </c>
      <c r="B2333" t="s">
        <v>3170</v>
      </c>
      <c r="C2333" t="s">
        <v>80</v>
      </c>
      <c r="D2333">
        <v>1997</v>
      </c>
      <c r="E2333" t="s">
        <v>15</v>
      </c>
      <c r="F2333" t="s">
        <v>16</v>
      </c>
      <c r="G2333" t="s">
        <v>17</v>
      </c>
      <c r="H2333" t="s">
        <v>18</v>
      </c>
      <c r="I2333">
        <v>78.819999999999993</v>
      </c>
      <c r="J2333" t="s">
        <v>19</v>
      </c>
      <c r="K2333" t="s">
        <v>3207</v>
      </c>
      <c r="L2333" t="s">
        <v>21</v>
      </c>
      <c r="M2333" t="str">
        <f t="shared" si="108"/>
        <v>OK</v>
      </c>
      <c r="N2333" t="str">
        <f t="shared" si="109"/>
        <v>1990s</v>
      </c>
      <c r="O2333" t="str">
        <f t="shared" si="110"/>
        <v>High</v>
      </c>
      <c r="P2333" t="str">
        <f>VLOOKUP(E2333,calculated_fields!$F$4:$G$6,2,FALSE)</f>
        <v>Health</v>
      </c>
    </row>
    <row r="2334" spans="1:16">
      <c r="A2334" t="s">
        <v>3208</v>
      </c>
      <c r="B2334" t="s">
        <v>3170</v>
      </c>
      <c r="C2334" t="s">
        <v>80</v>
      </c>
      <c r="D2334">
        <v>1997</v>
      </c>
      <c r="E2334" t="s">
        <v>23</v>
      </c>
      <c r="F2334" t="s">
        <v>24</v>
      </c>
      <c r="G2334" t="s">
        <v>25</v>
      </c>
      <c r="H2334" t="s">
        <v>26</v>
      </c>
      <c r="I2334">
        <v>57479469</v>
      </c>
      <c r="J2334" t="s">
        <v>27</v>
      </c>
      <c r="K2334" t="s">
        <v>3207</v>
      </c>
      <c r="L2334" t="s">
        <v>21</v>
      </c>
      <c r="M2334" t="str">
        <f t="shared" si="108"/>
        <v>OK</v>
      </c>
      <c r="N2334" t="str">
        <f t="shared" si="109"/>
        <v>1990s</v>
      </c>
      <c r="O2334" t="str">
        <f t="shared" si="110"/>
        <v>N/A</v>
      </c>
      <c r="P2334" t="str">
        <f>VLOOKUP(E2334,calculated_fields!$F$4:$G$6,2,FALSE)</f>
        <v>Demographics</v>
      </c>
    </row>
    <row r="2335" spans="1:16">
      <c r="A2335" t="s">
        <v>3209</v>
      </c>
      <c r="B2335" t="s">
        <v>3170</v>
      </c>
      <c r="C2335" t="s">
        <v>80</v>
      </c>
      <c r="D2335">
        <v>1997</v>
      </c>
      <c r="E2335" t="s">
        <v>29</v>
      </c>
      <c r="F2335" t="s">
        <v>30</v>
      </c>
      <c r="G2335" t="s">
        <v>31</v>
      </c>
      <c r="H2335" t="s">
        <v>32</v>
      </c>
      <c r="I2335">
        <v>24675.024460000001</v>
      </c>
      <c r="J2335" t="s">
        <v>33</v>
      </c>
      <c r="K2335" t="s">
        <v>3207</v>
      </c>
      <c r="L2335" t="s">
        <v>21</v>
      </c>
      <c r="M2335" t="str">
        <f t="shared" si="108"/>
        <v>OK</v>
      </c>
      <c r="N2335" t="str">
        <f t="shared" si="109"/>
        <v>1990s</v>
      </c>
      <c r="O2335" t="str">
        <f t="shared" si="110"/>
        <v>N/A</v>
      </c>
      <c r="P2335" t="str">
        <f>VLOOKUP(E2335,calculated_fields!$F$4:$G$6,2,FALSE)</f>
        <v>Economy</v>
      </c>
    </row>
    <row r="2336" spans="1:16">
      <c r="A2336" t="s">
        <v>3210</v>
      </c>
      <c r="B2336" t="s">
        <v>3170</v>
      </c>
      <c r="C2336" t="s">
        <v>80</v>
      </c>
      <c r="D2336">
        <v>2002</v>
      </c>
      <c r="E2336" t="s">
        <v>15</v>
      </c>
      <c r="F2336" t="s">
        <v>16</v>
      </c>
      <c r="G2336" t="s">
        <v>17</v>
      </c>
      <c r="H2336" t="s">
        <v>18</v>
      </c>
      <c r="I2336">
        <v>80.239999999999995</v>
      </c>
      <c r="J2336" t="s">
        <v>19</v>
      </c>
      <c r="K2336" t="s">
        <v>3211</v>
      </c>
      <c r="L2336" t="s">
        <v>21</v>
      </c>
      <c r="M2336" t="str">
        <f t="shared" si="108"/>
        <v>OK</v>
      </c>
      <c r="N2336" t="str">
        <f t="shared" si="109"/>
        <v>2000s</v>
      </c>
      <c r="O2336" t="str">
        <f t="shared" si="110"/>
        <v>High</v>
      </c>
      <c r="P2336" t="str">
        <f>VLOOKUP(E2336,calculated_fields!$F$4:$G$6,2,FALSE)</f>
        <v>Health</v>
      </c>
    </row>
    <row r="2337" spans="1:16">
      <c r="A2337" t="s">
        <v>3212</v>
      </c>
      <c r="B2337" t="s">
        <v>3170</v>
      </c>
      <c r="C2337" t="s">
        <v>80</v>
      </c>
      <c r="D2337">
        <v>2002</v>
      </c>
      <c r="E2337" t="s">
        <v>23</v>
      </c>
      <c r="F2337" t="s">
        <v>24</v>
      </c>
      <c r="G2337" t="s">
        <v>25</v>
      </c>
      <c r="H2337" t="s">
        <v>26</v>
      </c>
      <c r="I2337">
        <v>57926999</v>
      </c>
      <c r="J2337" t="s">
        <v>27</v>
      </c>
      <c r="K2337" t="s">
        <v>3211</v>
      </c>
      <c r="L2337" t="s">
        <v>21</v>
      </c>
      <c r="M2337" t="str">
        <f t="shared" si="108"/>
        <v>OK</v>
      </c>
      <c r="N2337" t="str">
        <f t="shared" si="109"/>
        <v>2000s</v>
      </c>
      <c r="O2337" t="str">
        <f t="shared" si="110"/>
        <v>N/A</v>
      </c>
      <c r="P2337" t="str">
        <f>VLOOKUP(E2337,calculated_fields!$F$4:$G$6,2,FALSE)</f>
        <v>Demographics</v>
      </c>
    </row>
    <row r="2338" spans="1:16">
      <c r="A2338" t="s">
        <v>3213</v>
      </c>
      <c r="B2338" t="s">
        <v>3170</v>
      </c>
      <c r="C2338" t="s">
        <v>80</v>
      </c>
      <c r="D2338">
        <v>2002</v>
      </c>
      <c r="E2338" t="s">
        <v>29</v>
      </c>
      <c r="F2338" t="s">
        <v>30</v>
      </c>
      <c r="G2338" t="s">
        <v>31</v>
      </c>
      <c r="H2338" t="s">
        <v>32</v>
      </c>
      <c r="I2338">
        <v>27968.098170000001</v>
      </c>
      <c r="J2338" t="s">
        <v>33</v>
      </c>
      <c r="K2338" t="s">
        <v>3211</v>
      </c>
      <c r="L2338" t="s">
        <v>21</v>
      </c>
      <c r="M2338" t="str">
        <f t="shared" si="108"/>
        <v>OK</v>
      </c>
      <c r="N2338" t="str">
        <f t="shared" si="109"/>
        <v>2000s</v>
      </c>
      <c r="O2338" t="str">
        <f t="shared" si="110"/>
        <v>N/A</v>
      </c>
      <c r="P2338" t="str">
        <f>VLOOKUP(E2338,calculated_fields!$F$4:$G$6,2,FALSE)</f>
        <v>Economy</v>
      </c>
    </row>
    <row r="2339" spans="1:16">
      <c r="A2339" t="s">
        <v>3214</v>
      </c>
      <c r="B2339" t="s">
        <v>3170</v>
      </c>
      <c r="C2339" t="s">
        <v>80</v>
      </c>
      <c r="D2339">
        <v>2007</v>
      </c>
      <c r="E2339" t="s">
        <v>15</v>
      </c>
      <c r="F2339" t="s">
        <v>16</v>
      </c>
      <c r="G2339" t="s">
        <v>17</v>
      </c>
      <c r="H2339" t="s">
        <v>18</v>
      </c>
      <c r="I2339">
        <v>80.546000000000006</v>
      </c>
      <c r="J2339" t="s">
        <v>19</v>
      </c>
      <c r="K2339" t="s">
        <v>3215</v>
      </c>
      <c r="L2339" t="s">
        <v>21</v>
      </c>
      <c r="M2339" t="str">
        <f t="shared" si="108"/>
        <v>OK</v>
      </c>
      <c r="N2339" t="str">
        <f t="shared" si="109"/>
        <v>2000s</v>
      </c>
      <c r="O2339" t="str">
        <f t="shared" si="110"/>
        <v>High</v>
      </c>
      <c r="P2339" t="str">
        <f>VLOOKUP(E2339,calculated_fields!$F$4:$G$6,2,FALSE)</f>
        <v>Health</v>
      </c>
    </row>
    <row r="2340" spans="1:16">
      <c r="A2340" t="s">
        <v>3216</v>
      </c>
      <c r="B2340" t="s">
        <v>3170</v>
      </c>
      <c r="C2340" t="s">
        <v>80</v>
      </c>
      <c r="D2340">
        <v>2007</v>
      </c>
      <c r="E2340" t="s">
        <v>23</v>
      </c>
      <c r="F2340" t="s">
        <v>24</v>
      </c>
      <c r="G2340" t="s">
        <v>25</v>
      </c>
      <c r="H2340" t="s">
        <v>26</v>
      </c>
      <c r="I2340">
        <v>58147733</v>
      </c>
      <c r="J2340" t="s">
        <v>27</v>
      </c>
      <c r="K2340" t="s">
        <v>3215</v>
      </c>
      <c r="L2340" t="s">
        <v>21</v>
      </c>
      <c r="M2340" t="str">
        <f t="shared" si="108"/>
        <v>OK</v>
      </c>
      <c r="N2340" t="str">
        <f t="shared" si="109"/>
        <v>2000s</v>
      </c>
      <c r="O2340" t="str">
        <f t="shared" si="110"/>
        <v>N/A</v>
      </c>
      <c r="P2340" t="str">
        <f>VLOOKUP(E2340,calculated_fields!$F$4:$G$6,2,FALSE)</f>
        <v>Demographics</v>
      </c>
    </row>
    <row r="2341" spans="1:16">
      <c r="A2341" t="s">
        <v>3217</v>
      </c>
      <c r="B2341" t="s">
        <v>3170</v>
      </c>
      <c r="C2341" t="s">
        <v>80</v>
      </c>
      <c r="D2341">
        <v>2007</v>
      </c>
      <c r="E2341" t="s">
        <v>29</v>
      </c>
      <c r="F2341" t="s">
        <v>30</v>
      </c>
      <c r="G2341" t="s">
        <v>31</v>
      </c>
      <c r="H2341" t="s">
        <v>32</v>
      </c>
      <c r="I2341">
        <v>28569.719700000001</v>
      </c>
      <c r="J2341" t="s">
        <v>33</v>
      </c>
      <c r="K2341" t="s">
        <v>3215</v>
      </c>
      <c r="L2341" t="s">
        <v>21</v>
      </c>
      <c r="M2341" t="str">
        <f t="shared" si="108"/>
        <v>OK</v>
      </c>
      <c r="N2341" t="str">
        <f t="shared" si="109"/>
        <v>2000s</v>
      </c>
      <c r="O2341" t="str">
        <f t="shared" si="110"/>
        <v>N/A</v>
      </c>
      <c r="P2341" t="str">
        <f>VLOOKUP(E2341,calculated_fields!$F$4:$G$6,2,FALSE)</f>
        <v>Economy</v>
      </c>
    </row>
    <row r="2342" spans="1:16">
      <c r="A2342" t="s">
        <v>3218</v>
      </c>
      <c r="B2342" t="s">
        <v>3219</v>
      </c>
      <c r="C2342" t="s">
        <v>229</v>
      </c>
      <c r="D2342">
        <v>1952</v>
      </c>
      <c r="E2342" t="s">
        <v>15</v>
      </c>
      <c r="F2342" t="s">
        <v>16</v>
      </c>
      <c r="G2342" t="s">
        <v>17</v>
      </c>
      <c r="H2342" t="s">
        <v>18</v>
      </c>
      <c r="I2342">
        <v>58.53</v>
      </c>
      <c r="J2342" t="s">
        <v>19</v>
      </c>
      <c r="K2342" t="s">
        <v>3220</v>
      </c>
      <c r="L2342" t="s">
        <v>21</v>
      </c>
      <c r="M2342" t="str">
        <f t="shared" si="108"/>
        <v>OK</v>
      </c>
      <c r="N2342" t="str">
        <f t="shared" si="109"/>
        <v>1950s</v>
      </c>
      <c r="O2342" t="str">
        <f t="shared" si="110"/>
        <v>Medium</v>
      </c>
      <c r="P2342" t="str">
        <f>VLOOKUP(E2342,calculated_fields!$F$4:$G$6,2,FALSE)</f>
        <v>Health</v>
      </c>
    </row>
    <row r="2343" spans="1:16">
      <c r="A2343" t="s">
        <v>3221</v>
      </c>
      <c r="B2343" t="s">
        <v>3219</v>
      </c>
      <c r="C2343" t="s">
        <v>229</v>
      </c>
      <c r="D2343">
        <v>1952</v>
      </c>
      <c r="E2343" t="s">
        <v>23</v>
      </c>
      <c r="F2343" t="s">
        <v>24</v>
      </c>
      <c r="G2343" t="s">
        <v>25</v>
      </c>
      <c r="H2343" t="s">
        <v>26</v>
      </c>
      <c r="I2343">
        <v>1426095</v>
      </c>
      <c r="J2343" t="s">
        <v>27</v>
      </c>
      <c r="K2343" t="s">
        <v>3220</v>
      </c>
      <c r="L2343" t="s">
        <v>21</v>
      </c>
      <c r="M2343" t="str">
        <f t="shared" si="108"/>
        <v>OK</v>
      </c>
      <c r="N2343" t="str">
        <f t="shared" si="109"/>
        <v>1950s</v>
      </c>
      <c r="O2343" t="str">
        <f t="shared" si="110"/>
        <v>N/A</v>
      </c>
      <c r="P2343" t="str">
        <f>VLOOKUP(E2343,calculated_fields!$F$4:$G$6,2,FALSE)</f>
        <v>Demographics</v>
      </c>
    </row>
    <row r="2344" spans="1:16">
      <c r="A2344" t="s">
        <v>3222</v>
      </c>
      <c r="B2344" t="s">
        <v>3219</v>
      </c>
      <c r="C2344" t="s">
        <v>229</v>
      </c>
      <c r="D2344">
        <v>1952</v>
      </c>
      <c r="E2344" t="s">
        <v>29</v>
      </c>
      <c r="F2344" t="s">
        <v>30</v>
      </c>
      <c r="G2344" t="s">
        <v>31</v>
      </c>
      <c r="H2344" t="s">
        <v>32</v>
      </c>
      <c r="I2344">
        <v>2898.5308810000001</v>
      </c>
      <c r="J2344" t="s">
        <v>33</v>
      </c>
      <c r="K2344" t="s">
        <v>3220</v>
      </c>
      <c r="L2344" t="s">
        <v>21</v>
      </c>
      <c r="M2344" t="str">
        <f t="shared" si="108"/>
        <v>OK</v>
      </c>
      <c r="N2344" t="str">
        <f t="shared" si="109"/>
        <v>1950s</v>
      </c>
      <c r="O2344" t="str">
        <f t="shared" si="110"/>
        <v>N/A</v>
      </c>
      <c r="P2344" t="str">
        <f>VLOOKUP(E2344,calculated_fields!$F$4:$G$6,2,FALSE)</f>
        <v>Economy</v>
      </c>
    </row>
    <row r="2345" spans="1:16">
      <c r="A2345" t="s">
        <v>3223</v>
      </c>
      <c r="B2345" t="s">
        <v>3219</v>
      </c>
      <c r="C2345" t="s">
        <v>229</v>
      </c>
      <c r="D2345">
        <v>1957</v>
      </c>
      <c r="E2345" t="s">
        <v>15</v>
      </c>
      <c r="F2345" t="s">
        <v>16</v>
      </c>
      <c r="G2345" t="s">
        <v>17</v>
      </c>
      <c r="H2345" t="s">
        <v>18</v>
      </c>
      <c r="I2345">
        <v>62.61</v>
      </c>
      <c r="J2345" t="s">
        <v>19</v>
      </c>
      <c r="K2345" t="s">
        <v>3224</v>
      </c>
      <c r="L2345" t="s">
        <v>21</v>
      </c>
      <c r="M2345" t="str">
        <f t="shared" si="108"/>
        <v>OK</v>
      </c>
      <c r="N2345" t="str">
        <f t="shared" si="109"/>
        <v>1950s</v>
      </c>
      <c r="O2345" t="str">
        <f t="shared" si="110"/>
        <v>Medium</v>
      </c>
      <c r="P2345" t="str">
        <f>VLOOKUP(E2345,calculated_fields!$F$4:$G$6,2,FALSE)</f>
        <v>Health</v>
      </c>
    </row>
    <row r="2346" spans="1:16">
      <c r="A2346" t="s">
        <v>3225</v>
      </c>
      <c r="B2346" t="s">
        <v>3219</v>
      </c>
      <c r="C2346" t="s">
        <v>229</v>
      </c>
      <c r="D2346">
        <v>1957</v>
      </c>
      <c r="E2346" t="s">
        <v>23</v>
      </c>
      <c r="F2346" t="s">
        <v>24</v>
      </c>
      <c r="G2346" t="s">
        <v>25</v>
      </c>
      <c r="H2346" t="s">
        <v>26</v>
      </c>
      <c r="I2346">
        <v>1535090</v>
      </c>
      <c r="J2346" t="s">
        <v>27</v>
      </c>
      <c r="K2346" t="s">
        <v>3224</v>
      </c>
      <c r="L2346" t="s">
        <v>21</v>
      </c>
      <c r="M2346" t="str">
        <f t="shared" si="108"/>
        <v>OK</v>
      </c>
      <c r="N2346" t="str">
        <f t="shared" si="109"/>
        <v>1950s</v>
      </c>
      <c r="O2346" t="str">
        <f t="shared" si="110"/>
        <v>N/A</v>
      </c>
      <c r="P2346" t="str">
        <f>VLOOKUP(E2346,calculated_fields!$F$4:$G$6,2,FALSE)</f>
        <v>Demographics</v>
      </c>
    </row>
    <row r="2347" spans="1:16">
      <c r="A2347" t="s">
        <v>3226</v>
      </c>
      <c r="B2347" t="s">
        <v>3219</v>
      </c>
      <c r="C2347" t="s">
        <v>229</v>
      </c>
      <c r="D2347">
        <v>1957</v>
      </c>
      <c r="E2347" t="s">
        <v>29</v>
      </c>
      <c r="F2347" t="s">
        <v>30</v>
      </c>
      <c r="G2347" t="s">
        <v>31</v>
      </c>
      <c r="H2347" t="s">
        <v>32</v>
      </c>
      <c r="I2347">
        <v>4756.5257810000003</v>
      </c>
      <c r="J2347" t="s">
        <v>33</v>
      </c>
      <c r="K2347" t="s">
        <v>3224</v>
      </c>
      <c r="L2347" t="s">
        <v>21</v>
      </c>
      <c r="M2347" t="str">
        <f t="shared" si="108"/>
        <v>OK</v>
      </c>
      <c r="N2347" t="str">
        <f t="shared" si="109"/>
        <v>1950s</v>
      </c>
      <c r="O2347" t="str">
        <f t="shared" si="110"/>
        <v>N/A</v>
      </c>
      <c r="P2347" t="str">
        <f>VLOOKUP(E2347,calculated_fields!$F$4:$G$6,2,FALSE)</f>
        <v>Economy</v>
      </c>
    </row>
    <row r="2348" spans="1:16">
      <c r="A2348" t="s">
        <v>3227</v>
      </c>
      <c r="B2348" t="s">
        <v>3219</v>
      </c>
      <c r="C2348" t="s">
        <v>229</v>
      </c>
      <c r="D2348">
        <v>1962</v>
      </c>
      <c r="E2348" t="s">
        <v>15</v>
      </c>
      <c r="F2348" t="s">
        <v>16</v>
      </c>
      <c r="G2348" t="s">
        <v>17</v>
      </c>
      <c r="H2348" t="s">
        <v>18</v>
      </c>
      <c r="I2348">
        <v>65.61</v>
      </c>
      <c r="J2348" t="s">
        <v>19</v>
      </c>
      <c r="K2348" t="s">
        <v>3228</v>
      </c>
      <c r="L2348" t="s">
        <v>21</v>
      </c>
      <c r="M2348" t="str">
        <f t="shared" si="108"/>
        <v>OK</v>
      </c>
      <c r="N2348" t="str">
        <f t="shared" si="109"/>
        <v>1960s</v>
      </c>
      <c r="O2348" t="str">
        <f t="shared" si="110"/>
        <v>Medium</v>
      </c>
      <c r="P2348" t="str">
        <f>VLOOKUP(E2348,calculated_fields!$F$4:$G$6,2,FALSE)</f>
        <v>Health</v>
      </c>
    </row>
    <row r="2349" spans="1:16">
      <c r="A2349" t="s">
        <v>3229</v>
      </c>
      <c r="B2349" t="s">
        <v>3219</v>
      </c>
      <c r="C2349" t="s">
        <v>229</v>
      </c>
      <c r="D2349">
        <v>1962</v>
      </c>
      <c r="E2349" t="s">
        <v>23</v>
      </c>
      <c r="F2349" t="s">
        <v>24</v>
      </c>
      <c r="G2349" t="s">
        <v>25</v>
      </c>
      <c r="H2349" t="s">
        <v>26</v>
      </c>
      <c r="I2349">
        <v>1665128</v>
      </c>
      <c r="J2349" t="s">
        <v>27</v>
      </c>
      <c r="K2349" t="s">
        <v>3228</v>
      </c>
      <c r="L2349" t="s">
        <v>21</v>
      </c>
      <c r="M2349" t="str">
        <f t="shared" si="108"/>
        <v>OK</v>
      </c>
      <c r="N2349" t="str">
        <f t="shared" si="109"/>
        <v>1960s</v>
      </c>
      <c r="O2349" t="str">
        <f t="shared" si="110"/>
        <v>N/A</v>
      </c>
      <c r="P2349" t="str">
        <f>VLOOKUP(E2349,calculated_fields!$F$4:$G$6,2,FALSE)</f>
        <v>Demographics</v>
      </c>
    </row>
    <row r="2350" spans="1:16">
      <c r="A2350" t="s">
        <v>3230</v>
      </c>
      <c r="B2350" t="s">
        <v>3219</v>
      </c>
      <c r="C2350" t="s">
        <v>229</v>
      </c>
      <c r="D2350">
        <v>1962</v>
      </c>
      <c r="E2350" t="s">
        <v>29</v>
      </c>
      <c r="F2350" t="s">
        <v>30</v>
      </c>
      <c r="G2350" t="s">
        <v>31</v>
      </c>
      <c r="H2350" t="s">
        <v>32</v>
      </c>
      <c r="I2350">
        <v>5246.107524</v>
      </c>
      <c r="J2350" t="s">
        <v>33</v>
      </c>
      <c r="K2350" t="s">
        <v>3228</v>
      </c>
      <c r="L2350" t="s">
        <v>21</v>
      </c>
      <c r="M2350" t="str">
        <f t="shared" si="108"/>
        <v>OK</v>
      </c>
      <c r="N2350" t="str">
        <f t="shared" si="109"/>
        <v>1960s</v>
      </c>
      <c r="O2350" t="str">
        <f t="shared" si="110"/>
        <v>N/A</v>
      </c>
      <c r="P2350" t="str">
        <f>VLOOKUP(E2350,calculated_fields!$F$4:$G$6,2,FALSE)</f>
        <v>Economy</v>
      </c>
    </row>
    <row r="2351" spans="1:16">
      <c r="A2351" t="s">
        <v>3231</v>
      </c>
      <c r="B2351" t="s">
        <v>3219</v>
      </c>
      <c r="C2351" t="s">
        <v>229</v>
      </c>
      <c r="D2351">
        <v>1967</v>
      </c>
      <c r="E2351" t="s">
        <v>15</v>
      </c>
      <c r="F2351" t="s">
        <v>16</v>
      </c>
      <c r="G2351" t="s">
        <v>17</v>
      </c>
      <c r="H2351" t="s">
        <v>18</v>
      </c>
      <c r="I2351">
        <v>67.510000000000005</v>
      </c>
      <c r="J2351" t="s">
        <v>19</v>
      </c>
      <c r="K2351" t="s">
        <v>3232</v>
      </c>
      <c r="L2351" t="s">
        <v>21</v>
      </c>
      <c r="M2351" t="str">
        <f t="shared" si="108"/>
        <v>OK</v>
      </c>
      <c r="N2351" t="str">
        <f t="shared" si="109"/>
        <v>1960s</v>
      </c>
      <c r="O2351" t="str">
        <f t="shared" si="110"/>
        <v>Medium</v>
      </c>
      <c r="P2351" t="str">
        <f>VLOOKUP(E2351,calculated_fields!$F$4:$G$6,2,FALSE)</f>
        <v>Health</v>
      </c>
    </row>
    <row r="2352" spans="1:16">
      <c r="A2352" t="s">
        <v>3233</v>
      </c>
      <c r="B2352" t="s">
        <v>3219</v>
      </c>
      <c r="C2352" t="s">
        <v>229</v>
      </c>
      <c r="D2352">
        <v>1967</v>
      </c>
      <c r="E2352" t="s">
        <v>23</v>
      </c>
      <c r="F2352" t="s">
        <v>24</v>
      </c>
      <c r="G2352" t="s">
        <v>25</v>
      </c>
      <c r="H2352" t="s">
        <v>26</v>
      </c>
      <c r="I2352">
        <v>1861096</v>
      </c>
      <c r="J2352" t="s">
        <v>27</v>
      </c>
      <c r="K2352" t="s">
        <v>3232</v>
      </c>
      <c r="L2352" t="s">
        <v>21</v>
      </c>
      <c r="M2352" t="str">
        <f t="shared" si="108"/>
        <v>OK</v>
      </c>
      <c r="N2352" t="str">
        <f t="shared" si="109"/>
        <v>1960s</v>
      </c>
      <c r="O2352" t="str">
        <f t="shared" si="110"/>
        <v>N/A</v>
      </c>
      <c r="P2352" t="str">
        <f>VLOOKUP(E2352,calculated_fields!$F$4:$G$6,2,FALSE)</f>
        <v>Demographics</v>
      </c>
    </row>
    <row r="2353" spans="1:16">
      <c r="A2353" t="s">
        <v>3234</v>
      </c>
      <c r="B2353" t="s">
        <v>3219</v>
      </c>
      <c r="C2353" t="s">
        <v>229</v>
      </c>
      <c r="D2353">
        <v>1967</v>
      </c>
      <c r="E2353" t="s">
        <v>29</v>
      </c>
      <c r="F2353" t="s">
        <v>30</v>
      </c>
      <c r="G2353" t="s">
        <v>31</v>
      </c>
      <c r="H2353" t="s">
        <v>32</v>
      </c>
      <c r="I2353">
        <v>6124.7034509999903</v>
      </c>
      <c r="J2353" t="s">
        <v>33</v>
      </c>
      <c r="K2353" t="s">
        <v>3232</v>
      </c>
      <c r="L2353" t="s">
        <v>21</v>
      </c>
      <c r="M2353" t="str">
        <f t="shared" si="108"/>
        <v>OK</v>
      </c>
      <c r="N2353" t="str">
        <f t="shared" si="109"/>
        <v>1960s</v>
      </c>
      <c r="O2353" t="str">
        <f t="shared" si="110"/>
        <v>N/A</v>
      </c>
      <c r="P2353" t="str">
        <f>VLOOKUP(E2353,calculated_fields!$F$4:$G$6,2,FALSE)</f>
        <v>Economy</v>
      </c>
    </row>
    <row r="2354" spans="1:16">
      <c r="A2354" t="s">
        <v>3235</v>
      </c>
      <c r="B2354" t="s">
        <v>3219</v>
      </c>
      <c r="C2354" t="s">
        <v>229</v>
      </c>
      <c r="D2354">
        <v>1972</v>
      </c>
      <c r="E2354" t="s">
        <v>15</v>
      </c>
      <c r="F2354" t="s">
        <v>16</v>
      </c>
      <c r="G2354" t="s">
        <v>17</v>
      </c>
      <c r="H2354" t="s">
        <v>18</v>
      </c>
      <c r="I2354">
        <v>69</v>
      </c>
      <c r="J2354" t="s">
        <v>19</v>
      </c>
      <c r="K2354" t="s">
        <v>3236</v>
      </c>
      <c r="L2354" t="s">
        <v>21</v>
      </c>
      <c r="M2354" t="str">
        <f t="shared" si="108"/>
        <v>OK</v>
      </c>
      <c r="N2354" t="str">
        <f t="shared" si="109"/>
        <v>1970s</v>
      </c>
      <c r="O2354" t="str">
        <f t="shared" si="110"/>
        <v>Medium</v>
      </c>
      <c r="P2354" t="str">
        <f>VLOOKUP(E2354,calculated_fields!$F$4:$G$6,2,FALSE)</f>
        <v>Health</v>
      </c>
    </row>
    <row r="2355" spans="1:16">
      <c r="A2355" t="s">
        <v>3237</v>
      </c>
      <c r="B2355" t="s">
        <v>3219</v>
      </c>
      <c r="C2355" t="s">
        <v>229</v>
      </c>
      <c r="D2355">
        <v>1972</v>
      </c>
      <c r="E2355" t="s">
        <v>23</v>
      </c>
      <c r="F2355" t="s">
        <v>24</v>
      </c>
      <c r="G2355" t="s">
        <v>25</v>
      </c>
      <c r="H2355" t="s">
        <v>26</v>
      </c>
      <c r="I2355">
        <v>1997616</v>
      </c>
      <c r="J2355" t="s">
        <v>27</v>
      </c>
      <c r="K2355" t="s">
        <v>3236</v>
      </c>
      <c r="L2355" t="s">
        <v>21</v>
      </c>
      <c r="M2355" t="str">
        <f t="shared" si="108"/>
        <v>OK</v>
      </c>
      <c r="N2355" t="str">
        <f t="shared" si="109"/>
        <v>1970s</v>
      </c>
      <c r="O2355" t="str">
        <f t="shared" si="110"/>
        <v>N/A</v>
      </c>
      <c r="P2355" t="str">
        <f>VLOOKUP(E2355,calculated_fields!$F$4:$G$6,2,FALSE)</f>
        <v>Demographics</v>
      </c>
    </row>
    <row r="2356" spans="1:16">
      <c r="A2356" t="s">
        <v>3238</v>
      </c>
      <c r="B2356" t="s">
        <v>3219</v>
      </c>
      <c r="C2356" t="s">
        <v>229</v>
      </c>
      <c r="D2356">
        <v>1972</v>
      </c>
      <c r="E2356" t="s">
        <v>29</v>
      </c>
      <c r="F2356" t="s">
        <v>30</v>
      </c>
      <c r="G2356" t="s">
        <v>31</v>
      </c>
      <c r="H2356" t="s">
        <v>32</v>
      </c>
      <c r="I2356">
        <v>7433.8892930000002</v>
      </c>
      <c r="J2356" t="s">
        <v>33</v>
      </c>
      <c r="K2356" t="s">
        <v>3236</v>
      </c>
      <c r="L2356" t="s">
        <v>21</v>
      </c>
      <c r="M2356" t="str">
        <f t="shared" si="108"/>
        <v>OK</v>
      </c>
      <c r="N2356" t="str">
        <f t="shared" si="109"/>
        <v>1970s</v>
      </c>
      <c r="O2356" t="str">
        <f t="shared" si="110"/>
        <v>N/A</v>
      </c>
      <c r="P2356" t="str">
        <f>VLOOKUP(E2356,calculated_fields!$F$4:$G$6,2,FALSE)</f>
        <v>Economy</v>
      </c>
    </row>
    <row r="2357" spans="1:16">
      <c r="A2357" t="s">
        <v>3239</v>
      </c>
      <c r="B2357" t="s">
        <v>3219</v>
      </c>
      <c r="C2357" t="s">
        <v>229</v>
      </c>
      <c r="D2357">
        <v>1977</v>
      </c>
      <c r="E2357" t="s">
        <v>15</v>
      </c>
      <c r="F2357" t="s">
        <v>16</v>
      </c>
      <c r="G2357" t="s">
        <v>17</v>
      </c>
      <c r="H2357" t="s">
        <v>18</v>
      </c>
      <c r="I2357">
        <v>70.11</v>
      </c>
      <c r="J2357" t="s">
        <v>19</v>
      </c>
      <c r="K2357" t="s">
        <v>3240</v>
      </c>
      <c r="L2357" t="s">
        <v>21</v>
      </c>
      <c r="M2357" t="str">
        <f t="shared" si="108"/>
        <v>OK</v>
      </c>
      <c r="N2357" t="str">
        <f t="shared" si="109"/>
        <v>1970s</v>
      </c>
      <c r="O2357" t="str">
        <f t="shared" si="110"/>
        <v>High</v>
      </c>
      <c r="P2357" t="str">
        <f>VLOOKUP(E2357,calculated_fields!$F$4:$G$6,2,FALSE)</f>
        <v>Health</v>
      </c>
    </row>
    <row r="2358" spans="1:16">
      <c r="A2358" t="s">
        <v>3241</v>
      </c>
      <c r="B2358" t="s">
        <v>3219</v>
      </c>
      <c r="C2358" t="s">
        <v>229</v>
      </c>
      <c r="D2358">
        <v>1977</v>
      </c>
      <c r="E2358" t="s">
        <v>23</v>
      </c>
      <c r="F2358" t="s">
        <v>24</v>
      </c>
      <c r="G2358" t="s">
        <v>25</v>
      </c>
      <c r="H2358" t="s">
        <v>26</v>
      </c>
      <c r="I2358">
        <v>2156814</v>
      </c>
      <c r="J2358" t="s">
        <v>27</v>
      </c>
      <c r="K2358" t="s">
        <v>3240</v>
      </c>
      <c r="L2358" t="s">
        <v>21</v>
      </c>
      <c r="M2358" t="str">
        <f t="shared" si="108"/>
        <v>OK</v>
      </c>
      <c r="N2358" t="str">
        <f t="shared" si="109"/>
        <v>1970s</v>
      </c>
      <c r="O2358" t="str">
        <f t="shared" si="110"/>
        <v>N/A</v>
      </c>
      <c r="P2358" t="str">
        <f>VLOOKUP(E2358,calculated_fields!$F$4:$G$6,2,FALSE)</f>
        <v>Demographics</v>
      </c>
    </row>
    <row r="2359" spans="1:16">
      <c r="A2359" t="s">
        <v>3242</v>
      </c>
      <c r="B2359" t="s">
        <v>3219</v>
      </c>
      <c r="C2359" t="s">
        <v>229</v>
      </c>
      <c r="D2359">
        <v>1977</v>
      </c>
      <c r="E2359" t="s">
        <v>29</v>
      </c>
      <c r="F2359" t="s">
        <v>30</v>
      </c>
      <c r="G2359" t="s">
        <v>31</v>
      </c>
      <c r="H2359" t="s">
        <v>32</v>
      </c>
      <c r="I2359">
        <v>6650.195573</v>
      </c>
      <c r="J2359" t="s">
        <v>33</v>
      </c>
      <c r="K2359" t="s">
        <v>3240</v>
      </c>
      <c r="L2359" t="s">
        <v>21</v>
      </c>
      <c r="M2359" t="str">
        <f t="shared" si="108"/>
        <v>OK</v>
      </c>
      <c r="N2359" t="str">
        <f t="shared" si="109"/>
        <v>1970s</v>
      </c>
      <c r="O2359" t="str">
        <f t="shared" si="110"/>
        <v>N/A</v>
      </c>
      <c r="P2359" t="str">
        <f>VLOOKUP(E2359,calculated_fields!$F$4:$G$6,2,FALSE)</f>
        <v>Economy</v>
      </c>
    </row>
    <row r="2360" spans="1:16">
      <c r="A2360" t="s">
        <v>3243</v>
      </c>
      <c r="B2360" t="s">
        <v>3219</v>
      </c>
      <c r="C2360" t="s">
        <v>229</v>
      </c>
      <c r="D2360">
        <v>1982</v>
      </c>
      <c r="E2360" t="s">
        <v>15</v>
      </c>
      <c r="F2360" t="s">
        <v>16</v>
      </c>
      <c r="G2360" t="s">
        <v>17</v>
      </c>
      <c r="H2360" t="s">
        <v>18</v>
      </c>
      <c r="I2360">
        <v>71.209999999999994</v>
      </c>
      <c r="J2360" t="s">
        <v>19</v>
      </c>
      <c r="K2360" t="s">
        <v>3244</v>
      </c>
      <c r="L2360" t="s">
        <v>21</v>
      </c>
      <c r="M2360" t="str">
        <f t="shared" si="108"/>
        <v>OK</v>
      </c>
      <c r="N2360" t="str">
        <f t="shared" si="109"/>
        <v>1980s</v>
      </c>
      <c r="O2360" t="str">
        <f t="shared" si="110"/>
        <v>High</v>
      </c>
      <c r="P2360" t="str">
        <f>VLOOKUP(E2360,calculated_fields!$F$4:$G$6,2,FALSE)</f>
        <v>Health</v>
      </c>
    </row>
    <row r="2361" spans="1:16">
      <c r="A2361" t="s">
        <v>3245</v>
      </c>
      <c r="B2361" t="s">
        <v>3219</v>
      </c>
      <c r="C2361" t="s">
        <v>229</v>
      </c>
      <c r="D2361">
        <v>1982</v>
      </c>
      <c r="E2361" t="s">
        <v>23</v>
      </c>
      <c r="F2361" t="s">
        <v>24</v>
      </c>
      <c r="G2361" t="s">
        <v>25</v>
      </c>
      <c r="H2361" t="s">
        <v>26</v>
      </c>
      <c r="I2361">
        <v>2298309</v>
      </c>
      <c r="J2361" t="s">
        <v>27</v>
      </c>
      <c r="K2361" t="s">
        <v>3244</v>
      </c>
      <c r="L2361" t="s">
        <v>21</v>
      </c>
      <c r="M2361" t="str">
        <f t="shared" si="108"/>
        <v>OK</v>
      </c>
      <c r="N2361" t="str">
        <f t="shared" si="109"/>
        <v>1980s</v>
      </c>
      <c r="O2361" t="str">
        <f t="shared" si="110"/>
        <v>N/A</v>
      </c>
      <c r="P2361" t="str">
        <f>VLOOKUP(E2361,calculated_fields!$F$4:$G$6,2,FALSE)</f>
        <v>Demographics</v>
      </c>
    </row>
    <row r="2362" spans="1:16">
      <c r="A2362" t="s">
        <v>3246</v>
      </c>
      <c r="B2362" t="s">
        <v>3219</v>
      </c>
      <c r="C2362" t="s">
        <v>229</v>
      </c>
      <c r="D2362">
        <v>1982</v>
      </c>
      <c r="E2362" t="s">
        <v>29</v>
      </c>
      <c r="F2362" t="s">
        <v>30</v>
      </c>
      <c r="G2362" t="s">
        <v>31</v>
      </c>
      <c r="H2362" t="s">
        <v>32</v>
      </c>
      <c r="I2362">
        <v>6068.0513499999997</v>
      </c>
      <c r="J2362" t="s">
        <v>33</v>
      </c>
      <c r="K2362" t="s">
        <v>3244</v>
      </c>
      <c r="L2362" t="s">
        <v>21</v>
      </c>
      <c r="M2362" t="str">
        <f t="shared" si="108"/>
        <v>OK</v>
      </c>
      <c r="N2362" t="str">
        <f t="shared" si="109"/>
        <v>1980s</v>
      </c>
      <c r="O2362" t="str">
        <f t="shared" si="110"/>
        <v>N/A</v>
      </c>
      <c r="P2362" t="str">
        <f>VLOOKUP(E2362,calculated_fields!$F$4:$G$6,2,FALSE)</f>
        <v>Economy</v>
      </c>
    </row>
    <row r="2363" spans="1:16">
      <c r="A2363" t="s">
        <v>3247</v>
      </c>
      <c r="B2363" t="s">
        <v>3219</v>
      </c>
      <c r="C2363" t="s">
        <v>229</v>
      </c>
      <c r="D2363">
        <v>1987</v>
      </c>
      <c r="E2363" t="s">
        <v>15</v>
      </c>
      <c r="F2363" t="s">
        <v>16</v>
      </c>
      <c r="G2363" t="s">
        <v>17</v>
      </c>
      <c r="H2363" t="s">
        <v>18</v>
      </c>
      <c r="I2363">
        <v>71.77</v>
      </c>
      <c r="J2363" t="s">
        <v>19</v>
      </c>
      <c r="K2363" t="s">
        <v>3248</v>
      </c>
      <c r="L2363" t="s">
        <v>21</v>
      </c>
      <c r="M2363" t="str">
        <f t="shared" si="108"/>
        <v>OK</v>
      </c>
      <c r="N2363" t="str">
        <f t="shared" si="109"/>
        <v>1980s</v>
      </c>
      <c r="O2363" t="str">
        <f t="shared" si="110"/>
        <v>High</v>
      </c>
      <c r="P2363" t="str">
        <f>VLOOKUP(E2363,calculated_fields!$F$4:$G$6,2,FALSE)</f>
        <v>Health</v>
      </c>
    </row>
    <row r="2364" spans="1:16">
      <c r="A2364" t="s">
        <v>3249</v>
      </c>
      <c r="B2364" t="s">
        <v>3219</v>
      </c>
      <c r="C2364" t="s">
        <v>229</v>
      </c>
      <c r="D2364">
        <v>1987</v>
      </c>
      <c r="E2364" t="s">
        <v>23</v>
      </c>
      <c r="F2364" t="s">
        <v>24</v>
      </c>
      <c r="G2364" t="s">
        <v>25</v>
      </c>
      <c r="H2364" t="s">
        <v>26</v>
      </c>
      <c r="I2364">
        <v>2326606</v>
      </c>
      <c r="J2364" t="s">
        <v>27</v>
      </c>
      <c r="K2364" t="s">
        <v>3248</v>
      </c>
      <c r="L2364" t="s">
        <v>21</v>
      </c>
      <c r="M2364" t="str">
        <f t="shared" si="108"/>
        <v>OK</v>
      </c>
      <c r="N2364" t="str">
        <f t="shared" si="109"/>
        <v>1980s</v>
      </c>
      <c r="O2364" t="str">
        <f t="shared" si="110"/>
        <v>N/A</v>
      </c>
      <c r="P2364" t="str">
        <f>VLOOKUP(E2364,calculated_fields!$F$4:$G$6,2,FALSE)</f>
        <v>Demographics</v>
      </c>
    </row>
    <row r="2365" spans="1:16">
      <c r="A2365" t="s">
        <v>3250</v>
      </c>
      <c r="B2365" t="s">
        <v>3219</v>
      </c>
      <c r="C2365" t="s">
        <v>229</v>
      </c>
      <c r="D2365">
        <v>1987</v>
      </c>
      <c r="E2365" t="s">
        <v>29</v>
      </c>
      <c r="F2365" t="s">
        <v>30</v>
      </c>
      <c r="G2365" t="s">
        <v>31</v>
      </c>
      <c r="H2365" t="s">
        <v>32</v>
      </c>
      <c r="I2365">
        <v>6351.2374950000003</v>
      </c>
      <c r="J2365" t="s">
        <v>33</v>
      </c>
      <c r="K2365" t="s">
        <v>3248</v>
      </c>
      <c r="L2365" t="s">
        <v>21</v>
      </c>
      <c r="M2365" t="str">
        <f t="shared" si="108"/>
        <v>OK</v>
      </c>
      <c r="N2365" t="str">
        <f t="shared" si="109"/>
        <v>1980s</v>
      </c>
      <c r="O2365" t="str">
        <f t="shared" si="110"/>
        <v>N/A</v>
      </c>
      <c r="P2365" t="str">
        <f>VLOOKUP(E2365,calculated_fields!$F$4:$G$6,2,FALSE)</f>
        <v>Economy</v>
      </c>
    </row>
    <row r="2366" spans="1:16">
      <c r="A2366" t="s">
        <v>3251</v>
      </c>
      <c r="B2366" t="s">
        <v>3219</v>
      </c>
      <c r="C2366" t="s">
        <v>229</v>
      </c>
      <c r="D2366">
        <v>1992</v>
      </c>
      <c r="E2366" t="s">
        <v>15</v>
      </c>
      <c r="F2366" t="s">
        <v>16</v>
      </c>
      <c r="G2366" t="s">
        <v>17</v>
      </c>
      <c r="H2366" t="s">
        <v>18</v>
      </c>
      <c r="I2366">
        <v>71.766000000000005</v>
      </c>
      <c r="J2366" t="s">
        <v>19</v>
      </c>
      <c r="K2366" t="s">
        <v>3252</v>
      </c>
      <c r="L2366" t="s">
        <v>21</v>
      </c>
      <c r="M2366" t="str">
        <f t="shared" si="108"/>
        <v>OK</v>
      </c>
      <c r="N2366" t="str">
        <f t="shared" si="109"/>
        <v>1990s</v>
      </c>
      <c r="O2366" t="str">
        <f t="shared" si="110"/>
        <v>High</v>
      </c>
      <c r="P2366" t="str">
        <f>VLOOKUP(E2366,calculated_fields!$F$4:$G$6,2,FALSE)</f>
        <v>Health</v>
      </c>
    </row>
    <row r="2367" spans="1:16">
      <c r="A2367" t="s">
        <v>3253</v>
      </c>
      <c r="B2367" t="s">
        <v>3219</v>
      </c>
      <c r="C2367" t="s">
        <v>229</v>
      </c>
      <c r="D2367">
        <v>1992</v>
      </c>
      <c r="E2367" t="s">
        <v>23</v>
      </c>
      <c r="F2367" t="s">
        <v>24</v>
      </c>
      <c r="G2367" t="s">
        <v>25</v>
      </c>
      <c r="H2367" t="s">
        <v>26</v>
      </c>
      <c r="I2367">
        <v>2378618</v>
      </c>
      <c r="J2367" t="s">
        <v>27</v>
      </c>
      <c r="K2367" t="s">
        <v>3252</v>
      </c>
      <c r="L2367" t="s">
        <v>21</v>
      </c>
      <c r="M2367" t="str">
        <f t="shared" si="108"/>
        <v>OK</v>
      </c>
      <c r="N2367" t="str">
        <f t="shared" si="109"/>
        <v>1990s</v>
      </c>
      <c r="O2367" t="str">
        <f t="shared" si="110"/>
        <v>N/A</v>
      </c>
      <c r="P2367" t="str">
        <f>VLOOKUP(E2367,calculated_fields!$F$4:$G$6,2,FALSE)</f>
        <v>Demographics</v>
      </c>
    </row>
    <row r="2368" spans="1:16">
      <c r="A2368" t="s">
        <v>3254</v>
      </c>
      <c r="B2368" t="s">
        <v>3219</v>
      </c>
      <c r="C2368" t="s">
        <v>229</v>
      </c>
      <c r="D2368">
        <v>1992</v>
      </c>
      <c r="E2368" t="s">
        <v>29</v>
      </c>
      <c r="F2368" t="s">
        <v>30</v>
      </c>
      <c r="G2368" t="s">
        <v>31</v>
      </c>
      <c r="H2368" t="s">
        <v>32</v>
      </c>
      <c r="I2368">
        <v>7404.9236849999998</v>
      </c>
      <c r="J2368" t="s">
        <v>33</v>
      </c>
      <c r="K2368" t="s">
        <v>3252</v>
      </c>
      <c r="L2368" t="s">
        <v>21</v>
      </c>
      <c r="M2368" t="str">
        <f t="shared" si="108"/>
        <v>OK</v>
      </c>
      <c r="N2368" t="str">
        <f t="shared" si="109"/>
        <v>1990s</v>
      </c>
      <c r="O2368" t="str">
        <f t="shared" si="110"/>
        <v>N/A</v>
      </c>
      <c r="P2368" t="str">
        <f>VLOOKUP(E2368,calculated_fields!$F$4:$G$6,2,FALSE)</f>
        <v>Economy</v>
      </c>
    </row>
    <row r="2369" spans="1:16">
      <c r="A2369" t="s">
        <v>3255</v>
      </c>
      <c r="B2369" t="s">
        <v>3219</v>
      </c>
      <c r="C2369" t="s">
        <v>229</v>
      </c>
      <c r="D2369">
        <v>1997</v>
      </c>
      <c r="E2369" t="s">
        <v>15</v>
      </c>
      <c r="F2369" t="s">
        <v>16</v>
      </c>
      <c r="G2369" t="s">
        <v>17</v>
      </c>
      <c r="H2369" t="s">
        <v>18</v>
      </c>
      <c r="I2369">
        <v>72.262</v>
      </c>
      <c r="J2369" t="s">
        <v>19</v>
      </c>
      <c r="K2369" t="s">
        <v>3256</v>
      </c>
      <c r="L2369" t="s">
        <v>21</v>
      </c>
      <c r="M2369" t="str">
        <f t="shared" si="108"/>
        <v>OK</v>
      </c>
      <c r="N2369" t="str">
        <f t="shared" si="109"/>
        <v>1990s</v>
      </c>
      <c r="O2369" t="str">
        <f t="shared" si="110"/>
        <v>High</v>
      </c>
      <c r="P2369" t="str">
        <f>VLOOKUP(E2369,calculated_fields!$F$4:$G$6,2,FALSE)</f>
        <v>Health</v>
      </c>
    </row>
    <row r="2370" spans="1:16">
      <c r="A2370" t="s">
        <v>3257</v>
      </c>
      <c r="B2370" t="s">
        <v>3219</v>
      </c>
      <c r="C2370" t="s">
        <v>229</v>
      </c>
      <c r="D2370">
        <v>1997</v>
      </c>
      <c r="E2370" t="s">
        <v>23</v>
      </c>
      <c r="F2370" t="s">
        <v>24</v>
      </c>
      <c r="G2370" t="s">
        <v>25</v>
      </c>
      <c r="H2370" t="s">
        <v>26</v>
      </c>
      <c r="I2370">
        <v>2531311</v>
      </c>
      <c r="J2370" t="s">
        <v>27</v>
      </c>
      <c r="K2370" t="s">
        <v>3256</v>
      </c>
      <c r="L2370" t="s">
        <v>21</v>
      </c>
      <c r="M2370" t="str">
        <f t="shared" ref="M2370:M2433" si="111">IF(AND(ISNUMBER(I2370),I2370&gt;=0),"OK","Review")</f>
        <v>OK</v>
      </c>
      <c r="N2370" t="str">
        <f t="shared" ref="N2370:N2433" si="112">FLOOR(D2370,10)&amp;"s"</f>
        <v>1990s</v>
      </c>
      <c r="O2370" t="str">
        <f t="shared" ref="O2370:O2433" si="113">IF(E2370="LIFE_EXP",IF(I2370&gt;=70,"High",IF(I2370&gt;=55,"Medium","Low")),"N/A")</f>
        <v>N/A</v>
      </c>
      <c r="P2370" t="str">
        <f>VLOOKUP(E2370,calculated_fields!$F$4:$G$6,2,FALSE)</f>
        <v>Demographics</v>
      </c>
    </row>
    <row r="2371" spans="1:16">
      <c r="A2371" t="s">
        <v>3258</v>
      </c>
      <c r="B2371" t="s">
        <v>3219</v>
      </c>
      <c r="C2371" t="s">
        <v>229</v>
      </c>
      <c r="D2371">
        <v>1997</v>
      </c>
      <c r="E2371" t="s">
        <v>29</v>
      </c>
      <c r="F2371" t="s">
        <v>30</v>
      </c>
      <c r="G2371" t="s">
        <v>31</v>
      </c>
      <c r="H2371" t="s">
        <v>32</v>
      </c>
      <c r="I2371">
        <v>7121.924704</v>
      </c>
      <c r="J2371" t="s">
        <v>33</v>
      </c>
      <c r="K2371" t="s">
        <v>3256</v>
      </c>
      <c r="L2371" t="s">
        <v>21</v>
      </c>
      <c r="M2371" t="str">
        <f t="shared" si="111"/>
        <v>OK</v>
      </c>
      <c r="N2371" t="str">
        <f t="shared" si="112"/>
        <v>1990s</v>
      </c>
      <c r="O2371" t="str">
        <f t="shared" si="113"/>
        <v>N/A</v>
      </c>
      <c r="P2371" t="str">
        <f>VLOOKUP(E2371,calculated_fields!$F$4:$G$6,2,FALSE)</f>
        <v>Economy</v>
      </c>
    </row>
    <row r="2372" spans="1:16">
      <c r="A2372" t="s">
        <v>3259</v>
      </c>
      <c r="B2372" t="s">
        <v>3219</v>
      </c>
      <c r="C2372" t="s">
        <v>229</v>
      </c>
      <c r="D2372">
        <v>2002</v>
      </c>
      <c r="E2372" t="s">
        <v>15</v>
      </c>
      <c r="F2372" t="s">
        <v>16</v>
      </c>
      <c r="G2372" t="s">
        <v>17</v>
      </c>
      <c r="H2372" t="s">
        <v>18</v>
      </c>
      <c r="I2372">
        <v>72.046999999999997</v>
      </c>
      <c r="J2372" t="s">
        <v>19</v>
      </c>
      <c r="K2372" t="s">
        <v>3260</v>
      </c>
      <c r="L2372" t="s">
        <v>21</v>
      </c>
      <c r="M2372" t="str">
        <f t="shared" si="111"/>
        <v>OK</v>
      </c>
      <c r="N2372" t="str">
        <f t="shared" si="112"/>
        <v>2000s</v>
      </c>
      <c r="O2372" t="str">
        <f t="shared" si="113"/>
        <v>High</v>
      </c>
      <c r="P2372" t="str">
        <f>VLOOKUP(E2372,calculated_fields!$F$4:$G$6,2,FALSE)</f>
        <v>Health</v>
      </c>
    </row>
    <row r="2373" spans="1:16">
      <c r="A2373" t="s">
        <v>3261</v>
      </c>
      <c r="B2373" t="s">
        <v>3219</v>
      </c>
      <c r="C2373" t="s">
        <v>229</v>
      </c>
      <c r="D2373">
        <v>2002</v>
      </c>
      <c r="E2373" t="s">
        <v>23</v>
      </c>
      <c r="F2373" t="s">
        <v>24</v>
      </c>
      <c r="G2373" t="s">
        <v>25</v>
      </c>
      <c r="H2373" t="s">
        <v>26</v>
      </c>
      <c r="I2373">
        <v>2664659</v>
      </c>
      <c r="J2373" t="s">
        <v>27</v>
      </c>
      <c r="K2373" t="s">
        <v>3260</v>
      </c>
      <c r="L2373" t="s">
        <v>21</v>
      </c>
      <c r="M2373" t="str">
        <f t="shared" si="111"/>
        <v>OK</v>
      </c>
      <c r="N2373" t="str">
        <f t="shared" si="112"/>
        <v>2000s</v>
      </c>
      <c r="O2373" t="str">
        <f t="shared" si="113"/>
        <v>N/A</v>
      </c>
      <c r="P2373" t="str">
        <f>VLOOKUP(E2373,calculated_fields!$F$4:$G$6,2,FALSE)</f>
        <v>Demographics</v>
      </c>
    </row>
    <row r="2374" spans="1:16">
      <c r="A2374" t="s">
        <v>3262</v>
      </c>
      <c r="B2374" t="s">
        <v>3219</v>
      </c>
      <c r="C2374" t="s">
        <v>229</v>
      </c>
      <c r="D2374">
        <v>2002</v>
      </c>
      <c r="E2374" t="s">
        <v>29</v>
      </c>
      <c r="F2374" t="s">
        <v>30</v>
      </c>
      <c r="G2374" t="s">
        <v>31</v>
      </c>
      <c r="H2374" t="s">
        <v>32</v>
      </c>
      <c r="I2374">
        <v>6994.7748609999999</v>
      </c>
      <c r="J2374" t="s">
        <v>33</v>
      </c>
      <c r="K2374" t="s">
        <v>3260</v>
      </c>
      <c r="L2374" t="s">
        <v>21</v>
      </c>
      <c r="M2374" t="str">
        <f t="shared" si="111"/>
        <v>OK</v>
      </c>
      <c r="N2374" t="str">
        <f t="shared" si="112"/>
        <v>2000s</v>
      </c>
      <c r="O2374" t="str">
        <f t="shared" si="113"/>
        <v>N/A</v>
      </c>
      <c r="P2374" t="str">
        <f>VLOOKUP(E2374,calculated_fields!$F$4:$G$6,2,FALSE)</f>
        <v>Economy</v>
      </c>
    </row>
    <row r="2375" spans="1:16">
      <c r="A2375" t="s">
        <v>3263</v>
      </c>
      <c r="B2375" t="s">
        <v>3219</v>
      </c>
      <c r="C2375" t="s">
        <v>229</v>
      </c>
      <c r="D2375">
        <v>2007</v>
      </c>
      <c r="E2375" t="s">
        <v>15</v>
      </c>
      <c r="F2375" t="s">
        <v>16</v>
      </c>
      <c r="G2375" t="s">
        <v>17</v>
      </c>
      <c r="H2375" t="s">
        <v>18</v>
      </c>
      <c r="I2375">
        <v>72.566999999999993</v>
      </c>
      <c r="J2375" t="s">
        <v>19</v>
      </c>
      <c r="K2375" t="s">
        <v>3264</v>
      </c>
      <c r="L2375" t="s">
        <v>21</v>
      </c>
      <c r="M2375" t="str">
        <f t="shared" si="111"/>
        <v>OK</v>
      </c>
      <c r="N2375" t="str">
        <f t="shared" si="112"/>
        <v>2000s</v>
      </c>
      <c r="O2375" t="str">
        <f t="shared" si="113"/>
        <v>High</v>
      </c>
      <c r="P2375" t="str">
        <f>VLOOKUP(E2375,calculated_fields!$F$4:$G$6,2,FALSE)</f>
        <v>Health</v>
      </c>
    </row>
    <row r="2376" spans="1:16">
      <c r="A2376" t="s">
        <v>3265</v>
      </c>
      <c r="B2376" t="s">
        <v>3219</v>
      </c>
      <c r="C2376" t="s">
        <v>229</v>
      </c>
      <c r="D2376">
        <v>2007</v>
      </c>
      <c r="E2376" t="s">
        <v>23</v>
      </c>
      <c r="F2376" t="s">
        <v>24</v>
      </c>
      <c r="G2376" t="s">
        <v>25</v>
      </c>
      <c r="H2376" t="s">
        <v>26</v>
      </c>
      <c r="I2376">
        <v>2780132</v>
      </c>
      <c r="J2376" t="s">
        <v>27</v>
      </c>
      <c r="K2376" t="s">
        <v>3264</v>
      </c>
      <c r="L2376" t="s">
        <v>21</v>
      </c>
      <c r="M2376" t="str">
        <f t="shared" si="111"/>
        <v>OK</v>
      </c>
      <c r="N2376" t="str">
        <f t="shared" si="112"/>
        <v>2000s</v>
      </c>
      <c r="O2376" t="str">
        <f t="shared" si="113"/>
        <v>N/A</v>
      </c>
      <c r="P2376" t="str">
        <f>VLOOKUP(E2376,calculated_fields!$F$4:$G$6,2,FALSE)</f>
        <v>Demographics</v>
      </c>
    </row>
    <row r="2377" spans="1:16">
      <c r="A2377" t="s">
        <v>3266</v>
      </c>
      <c r="B2377" t="s">
        <v>3219</v>
      </c>
      <c r="C2377" t="s">
        <v>229</v>
      </c>
      <c r="D2377">
        <v>2007</v>
      </c>
      <c r="E2377" t="s">
        <v>29</v>
      </c>
      <c r="F2377" t="s">
        <v>30</v>
      </c>
      <c r="G2377" t="s">
        <v>31</v>
      </c>
      <c r="H2377" t="s">
        <v>32</v>
      </c>
      <c r="I2377">
        <v>7320.8802619999997</v>
      </c>
      <c r="J2377" t="s">
        <v>33</v>
      </c>
      <c r="K2377" t="s">
        <v>3264</v>
      </c>
      <c r="L2377" t="s">
        <v>21</v>
      </c>
      <c r="M2377" t="str">
        <f t="shared" si="111"/>
        <v>OK</v>
      </c>
      <c r="N2377" t="str">
        <f t="shared" si="112"/>
        <v>2000s</v>
      </c>
      <c r="O2377" t="str">
        <f t="shared" si="113"/>
        <v>N/A</v>
      </c>
      <c r="P2377" t="str">
        <f>VLOOKUP(E2377,calculated_fields!$F$4:$G$6,2,FALSE)</f>
        <v>Economy</v>
      </c>
    </row>
    <row r="2378" spans="1:16">
      <c r="A2378" t="s">
        <v>3267</v>
      </c>
      <c r="B2378" t="s">
        <v>3268</v>
      </c>
      <c r="C2378" t="s">
        <v>14</v>
      </c>
      <c r="D2378">
        <v>1952</v>
      </c>
      <c r="E2378" t="s">
        <v>15</v>
      </c>
      <c r="F2378" t="s">
        <v>16</v>
      </c>
      <c r="G2378" t="s">
        <v>17</v>
      </c>
      <c r="H2378" t="s">
        <v>18</v>
      </c>
      <c r="I2378">
        <v>63.03</v>
      </c>
      <c r="J2378" t="s">
        <v>19</v>
      </c>
      <c r="K2378" t="s">
        <v>3269</v>
      </c>
      <c r="L2378" t="s">
        <v>21</v>
      </c>
      <c r="M2378" t="str">
        <f t="shared" si="111"/>
        <v>OK</v>
      </c>
      <c r="N2378" t="str">
        <f t="shared" si="112"/>
        <v>1950s</v>
      </c>
      <c r="O2378" t="str">
        <f t="shared" si="113"/>
        <v>Medium</v>
      </c>
      <c r="P2378" t="str">
        <f>VLOOKUP(E2378,calculated_fields!$F$4:$G$6,2,FALSE)</f>
        <v>Health</v>
      </c>
    </row>
    <row r="2379" spans="1:16">
      <c r="A2379" t="s">
        <v>3270</v>
      </c>
      <c r="B2379" t="s">
        <v>3268</v>
      </c>
      <c r="C2379" t="s">
        <v>14</v>
      </c>
      <c r="D2379">
        <v>1952</v>
      </c>
      <c r="E2379" t="s">
        <v>23</v>
      </c>
      <c r="F2379" t="s">
        <v>24</v>
      </c>
      <c r="G2379" t="s">
        <v>25</v>
      </c>
      <c r="H2379" t="s">
        <v>26</v>
      </c>
      <c r="I2379">
        <v>86459025</v>
      </c>
      <c r="J2379" t="s">
        <v>27</v>
      </c>
      <c r="K2379" t="s">
        <v>3269</v>
      </c>
      <c r="L2379" t="s">
        <v>21</v>
      </c>
      <c r="M2379" t="str">
        <f t="shared" si="111"/>
        <v>OK</v>
      </c>
      <c r="N2379" t="str">
        <f t="shared" si="112"/>
        <v>1950s</v>
      </c>
      <c r="O2379" t="str">
        <f t="shared" si="113"/>
        <v>N/A</v>
      </c>
      <c r="P2379" t="str">
        <f>VLOOKUP(E2379,calculated_fields!$F$4:$G$6,2,FALSE)</f>
        <v>Demographics</v>
      </c>
    </row>
    <row r="2380" spans="1:16">
      <c r="A2380" t="s">
        <v>3271</v>
      </c>
      <c r="B2380" t="s">
        <v>3268</v>
      </c>
      <c r="C2380" t="s">
        <v>14</v>
      </c>
      <c r="D2380">
        <v>1952</v>
      </c>
      <c r="E2380" t="s">
        <v>29</v>
      </c>
      <c r="F2380" t="s">
        <v>30</v>
      </c>
      <c r="G2380" t="s">
        <v>31</v>
      </c>
      <c r="H2380" t="s">
        <v>32</v>
      </c>
      <c r="I2380">
        <v>3216.9563469999998</v>
      </c>
      <c r="J2380" t="s">
        <v>33</v>
      </c>
      <c r="K2380" t="s">
        <v>3269</v>
      </c>
      <c r="L2380" t="s">
        <v>21</v>
      </c>
      <c r="M2380" t="str">
        <f t="shared" si="111"/>
        <v>OK</v>
      </c>
      <c r="N2380" t="str">
        <f t="shared" si="112"/>
        <v>1950s</v>
      </c>
      <c r="O2380" t="str">
        <f t="shared" si="113"/>
        <v>N/A</v>
      </c>
      <c r="P2380" t="str">
        <f>VLOOKUP(E2380,calculated_fields!$F$4:$G$6,2,FALSE)</f>
        <v>Economy</v>
      </c>
    </row>
    <row r="2381" spans="1:16">
      <c r="A2381" t="s">
        <v>3272</v>
      </c>
      <c r="B2381" t="s">
        <v>3268</v>
      </c>
      <c r="C2381" t="s">
        <v>14</v>
      </c>
      <c r="D2381">
        <v>1957</v>
      </c>
      <c r="E2381" t="s">
        <v>15</v>
      </c>
      <c r="F2381" t="s">
        <v>16</v>
      </c>
      <c r="G2381" t="s">
        <v>17</v>
      </c>
      <c r="H2381" t="s">
        <v>18</v>
      </c>
      <c r="I2381">
        <v>65.5</v>
      </c>
      <c r="J2381" t="s">
        <v>19</v>
      </c>
      <c r="K2381" t="s">
        <v>3273</v>
      </c>
      <c r="L2381" t="s">
        <v>21</v>
      </c>
      <c r="M2381" t="str">
        <f t="shared" si="111"/>
        <v>OK</v>
      </c>
      <c r="N2381" t="str">
        <f t="shared" si="112"/>
        <v>1950s</v>
      </c>
      <c r="O2381" t="str">
        <f t="shared" si="113"/>
        <v>Medium</v>
      </c>
      <c r="P2381" t="str">
        <f>VLOOKUP(E2381,calculated_fields!$F$4:$G$6,2,FALSE)</f>
        <v>Health</v>
      </c>
    </row>
    <row r="2382" spans="1:16">
      <c r="A2382" t="s">
        <v>3274</v>
      </c>
      <c r="B2382" t="s">
        <v>3268</v>
      </c>
      <c r="C2382" t="s">
        <v>14</v>
      </c>
      <c r="D2382">
        <v>1957</v>
      </c>
      <c r="E2382" t="s">
        <v>23</v>
      </c>
      <c r="F2382" t="s">
        <v>24</v>
      </c>
      <c r="G2382" t="s">
        <v>25</v>
      </c>
      <c r="H2382" t="s">
        <v>26</v>
      </c>
      <c r="I2382">
        <v>91563009</v>
      </c>
      <c r="J2382" t="s">
        <v>27</v>
      </c>
      <c r="K2382" t="s">
        <v>3273</v>
      </c>
      <c r="L2382" t="s">
        <v>21</v>
      </c>
      <c r="M2382" t="str">
        <f t="shared" si="111"/>
        <v>OK</v>
      </c>
      <c r="N2382" t="str">
        <f t="shared" si="112"/>
        <v>1950s</v>
      </c>
      <c r="O2382" t="str">
        <f t="shared" si="113"/>
        <v>N/A</v>
      </c>
      <c r="P2382" t="str">
        <f>VLOOKUP(E2382,calculated_fields!$F$4:$G$6,2,FALSE)</f>
        <v>Demographics</v>
      </c>
    </row>
    <row r="2383" spans="1:16">
      <c r="A2383" t="s">
        <v>3275</v>
      </c>
      <c r="B2383" t="s">
        <v>3268</v>
      </c>
      <c r="C2383" t="s">
        <v>14</v>
      </c>
      <c r="D2383">
        <v>1957</v>
      </c>
      <c r="E2383" t="s">
        <v>29</v>
      </c>
      <c r="F2383" t="s">
        <v>30</v>
      </c>
      <c r="G2383" t="s">
        <v>31</v>
      </c>
      <c r="H2383" t="s">
        <v>32</v>
      </c>
      <c r="I2383">
        <v>4317.6943650000003</v>
      </c>
      <c r="J2383" t="s">
        <v>33</v>
      </c>
      <c r="K2383" t="s">
        <v>3273</v>
      </c>
      <c r="L2383" t="s">
        <v>21</v>
      </c>
      <c r="M2383" t="str">
        <f t="shared" si="111"/>
        <v>OK</v>
      </c>
      <c r="N2383" t="str">
        <f t="shared" si="112"/>
        <v>1950s</v>
      </c>
      <c r="O2383" t="str">
        <f t="shared" si="113"/>
        <v>N/A</v>
      </c>
      <c r="P2383" t="str">
        <f>VLOOKUP(E2383,calculated_fields!$F$4:$G$6,2,FALSE)</f>
        <v>Economy</v>
      </c>
    </row>
    <row r="2384" spans="1:16">
      <c r="A2384" t="s">
        <v>3276</v>
      </c>
      <c r="B2384" t="s">
        <v>3268</v>
      </c>
      <c r="C2384" t="s">
        <v>14</v>
      </c>
      <c r="D2384">
        <v>1962</v>
      </c>
      <c r="E2384" t="s">
        <v>15</v>
      </c>
      <c r="F2384" t="s">
        <v>16</v>
      </c>
      <c r="G2384" t="s">
        <v>17</v>
      </c>
      <c r="H2384" t="s">
        <v>18</v>
      </c>
      <c r="I2384">
        <v>68.73</v>
      </c>
      <c r="J2384" t="s">
        <v>19</v>
      </c>
      <c r="K2384" t="s">
        <v>3277</v>
      </c>
      <c r="L2384" t="s">
        <v>21</v>
      </c>
      <c r="M2384" t="str">
        <f t="shared" si="111"/>
        <v>OK</v>
      </c>
      <c r="N2384" t="str">
        <f t="shared" si="112"/>
        <v>1960s</v>
      </c>
      <c r="O2384" t="str">
        <f t="shared" si="113"/>
        <v>Medium</v>
      </c>
      <c r="P2384" t="str">
        <f>VLOOKUP(E2384,calculated_fields!$F$4:$G$6,2,FALSE)</f>
        <v>Health</v>
      </c>
    </row>
    <row r="2385" spans="1:16">
      <c r="A2385" t="s">
        <v>3278</v>
      </c>
      <c r="B2385" t="s">
        <v>3268</v>
      </c>
      <c r="C2385" t="s">
        <v>14</v>
      </c>
      <c r="D2385">
        <v>1962</v>
      </c>
      <c r="E2385" t="s">
        <v>23</v>
      </c>
      <c r="F2385" t="s">
        <v>24</v>
      </c>
      <c r="G2385" t="s">
        <v>25</v>
      </c>
      <c r="H2385" t="s">
        <v>26</v>
      </c>
      <c r="I2385">
        <v>95831757</v>
      </c>
      <c r="J2385" t="s">
        <v>27</v>
      </c>
      <c r="K2385" t="s">
        <v>3277</v>
      </c>
      <c r="L2385" t="s">
        <v>21</v>
      </c>
      <c r="M2385" t="str">
        <f t="shared" si="111"/>
        <v>OK</v>
      </c>
      <c r="N2385" t="str">
        <f t="shared" si="112"/>
        <v>1960s</v>
      </c>
      <c r="O2385" t="str">
        <f t="shared" si="113"/>
        <v>N/A</v>
      </c>
      <c r="P2385" t="str">
        <f>VLOOKUP(E2385,calculated_fields!$F$4:$G$6,2,FALSE)</f>
        <v>Demographics</v>
      </c>
    </row>
    <row r="2386" spans="1:16">
      <c r="A2386" t="s">
        <v>3279</v>
      </c>
      <c r="B2386" t="s">
        <v>3268</v>
      </c>
      <c r="C2386" t="s">
        <v>14</v>
      </c>
      <c r="D2386">
        <v>1962</v>
      </c>
      <c r="E2386" t="s">
        <v>29</v>
      </c>
      <c r="F2386" t="s">
        <v>30</v>
      </c>
      <c r="G2386" t="s">
        <v>31</v>
      </c>
      <c r="H2386" t="s">
        <v>32</v>
      </c>
      <c r="I2386">
        <v>6576.649461</v>
      </c>
      <c r="J2386" t="s">
        <v>33</v>
      </c>
      <c r="K2386" t="s">
        <v>3277</v>
      </c>
      <c r="L2386" t="s">
        <v>21</v>
      </c>
      <c r="M2386" t="str">
        <f t="shared" si="111"/>
        <v>OK</v>
      </c>
      <c r="N2386" t="str">
        <f t="shared" si="112"/>
        <v>1960s</v>
      </c>
      <c r="O2386" t="str">
        <f t="shared" si="113"/>
        <v>N/A</v>
      </c>
      <c r="P2386" t="str">
        <f>VLOOKUP(E2386,calculated_fields!$F$4:$G$6,2,FALSE)</f>
        <v>Economy</v>
      </c>
    </row>
    <row r="2387" spans="1:16">
      <c r="A2387" t="s">
        <v>3280</v>
      </c>
      <c r="B2387" t="s">
        <v>3268</v>
      </c>
      <c r="C2387" t="s">
        <v>14</v>
      </c>
      <c r="D2387">
        <v>1967</v>
      </c>
      <c r="E2387" t="s">
        <v>15</v>
      </c>
      <c r="F2387" t="s">
        <v>16</v>
      </c>
      <c r="G2387" t="s">
        <v>17</v>
      </c>
      <c r="H2387" t="s">
        <v>18</v>
      </c>
      <c r="I2387">
        <v>71.430000000000007</v>
      </c>
      <c r="J2387" t="s">
        <v>19</v>
      </c>
      <c r="K2387" t="s">
        <v>3281</v>
      </c>
      <c r="L2387" t="s">
        <v>21</v>
      </c>
      <c r="M2387" t="str">
        <f t="shared" si="111"/>
        <v>OK</v>
      </c>
      <c r="N2387" t="str">
        <f t="shared" si="112"/>
        <v>1960s</v>
      </c>
      <c r="O2387" t="str">
        <f t="shared" si="113"/>
        <v>High</v>
      </c>
      <c r="P2387" t="str">
        <f>VLOOKUP(E2387,calculated_fields!$F$4:$G$6,2,FALSE)</f>
        <v>Health</v>
      </c>
    </row>
    <row r="2388" spans="1:16">
      <c r="A2388" t="s">
        <v>3282</v>
      </c>
      <c r="B2388" t="s">
        <v>3268</v>
      </c>
      <c r="C2388" t="s">
        <v>14</v>
      </c>
      <c r="D2388">
        <v>1967</v>
      </c>
      <c r="E2388" t="s">
        <v>23</v>
      </c>
      <c r="F2388" t="s">
        <v>24</v>
      </c>
      <c r="G2388" t="s">
        <v>25</v>
      </c>
      <c r="H2388" t="s">
        <v>26</v>
      </c>
      <c r="I2388">
        <v>100825279</v>
      </c>
      <c r="J2388" t="s">
        <v>27</v>
      </c>
      <c r="K2388" t="s">
        <v>3281</v>
      </c>
      <c r="L2388" t="s">
        <v>21</v>
      </c>
      <c r="M2388" t="str">
        <f t="shared" si="111"/>
        <v>OK</v>
      </c>
      <c r="N2388" t="str">
        <f t="shared" si="112"/>
        <v>1960s</v>
      </c>
      <c r="O2388" t="str">
        <f t="shared" si="113"/>
        <v>N/A</v>
      </c>
      <c r="P2388" t="str">
        <f>VLOOKUP(E2388,calculated_fields!$F$4:$G$6,2,FALSE)</f>
        <v>Demographics</v>
      </c>
    </row>
    <row r="2389" spans="1:16">
      <c r="A2389" t="s">
        <v>3283</v>
      </c>
      <c r="B2389" t="s">
        <v>3268</v>
      </c>
      <c r="C2389" t="s">
        <v>14</v>
      </c>
      <c r="D2389">
        <v>1967</v>
      </c>
      <c r="E2389" t="s">
        <v>29</v>
      </c>
      <c r="F2389" t="s">
        <v>30</v>
      </c>
      <c r="G2389" t="s">
        <v>31</v>
      </c>
      <c r="H2389" t="s">
        <v>32</v>
      </c>
      <c r="I2389">
        <v>9847.7886070000004</v>
      </c>
      <c r="J2389" t="s">
        <v>33</v>
      </c>
      <c r="K2389" t="s">
        <v>3281</v>
      </c>
      <c r="L2389" t="s">
        <v>21</v>
      </c>
      <c r="M2389" t="str">
        <f t="shared" si="111"/>
        <v>OK</v>
      </c>
      <c r="N2389" t="str">
        <f t="shared" si="112"/>
        <v>1960s</v>
      </c>
      <c r="O2389" t="str">
        <f t="shared" si="113"/>
        <v>N/A</v>
      </c>
      <c r="P2389" t="str">
        <f>VLOOKUP(E2389,calculated_fields!$F$4:$G$6,2,FALSE)</f>
        <v>Economy</v>
      </c>
    </row>
    <row r="2390" spans="1:16">
      <c r="A2390" t="s">
        <v>3284</v>
      </c>
      <c r="B2390" t="s">
        <v>3268</v>
      </c>
      <c r="C2390" t="s">
        <v>14</v>
      </c>
      <c r="D2390">
        <v>1972</v>
      </c>
      <c r="E2390" t="s">
        <v>15</v>
      </c>
      <c r="F2390" t="s">
        <v>16</v>
      </c>
      <c r="G2390" t="s">
        <v>17</v>
      </c>
      <c r="H2390" t="s">
        <v>18</v>
      </c>
      <c r="I2390">
        <v>73.42</v>
      </c>
      <c r="J2390" t="s">
        <v>19</v>
      </c>
      <c r="K2390" t="s">
        <v>3285</v>
      </c>
      <c r="L2390" t="s">
        <v>21</v>
      </c>
      <c r="M2390" t="str">
        <f t="shared" si="111"/>
        <v>OK</v>
      </c>
      <c r="N2390" t="str">
        <f t="shared" si="112"/>
        <v>1970s</v>
      </c>
      <c r="O2390" t="str">
        <f t="shared" si="113"/>
        <v>High</v>
      </c>
      <c r="P2390" t="str">
        <f>VLOOKUP(E2390,calculated_fields!$F$4:$G$6,2,FALSE)</f>
        <v>Health</v>
      </c>
    </row>
    <row r="2391" spans="1:16">
      <c r="A2391" t="s">
        <v>3286</v>
      </c>
      <c r="B2391" t="s">
        <v>3268</v>
      </c>
      <c r="C2391" t="s">
        <v>14</v>
      </c>
      <c r="D2391">
        <v>1972</v>
      </c>
      <c r="E2391" t="s">
        <v>23</v>
      </c>
      <c r="F2391" t="s">
        <v>24</v>
      </c>
      <c r="G2391" t="s">
        <v>25</v>
      </c>
      <c r="H2391" t="s">
        <v>26</v>
      </c>
      <c r="I2391">
        <v>107188273</v>
      </c>
      <c r="J2391" t="s">
        <v>27</v>
      </c>
      <c r="K2391" t="s">
        <v>3285</v>
      </c>
      <c r="L2391" t="s">
        <v>21</v>
      </c>
      <c r="M2391" t="str">
        <f t="shared" si="111"/>
        <v>OK</v>
      </c>
      <c r="N2391" t="str">
        <f t="shared" si="112"/>
        <v>1970s</v>
      </c>
      <c r="O2391" t="str">
        <f t="shared" si="113"/>
        <v>N/A</v>
      </c>
      <c r="P2391" t="str">
        <f>VLOOKUP(E2391,calculated_fields!$F$4:$G$6,2,FALSE)</f>
        <v>Demographics</v>
      </c>
    </row>
    <row r="2392" spans="1:16">
      <c r="A2392" t="s">
        <v>3287</v>
      </c>
      <c r="B2392" t="s">
        <v>3268</v>
      </c>
      <c r="C2392" t="s">
        <v>14</v>
      </c>
      <c r="D2392">
        <v>1972</v>
      </c>
      <c r="E2392" t="s">
        <v>29</v>
      </c>
      <c r="F2392" t="s">
        <v>30</v>
      </c>
      <c r="G2392" t="s">
        <v>31</v>
      </c>
      <c r="H2392" t="s">
        <v>32</v>
      </c>
      <c r="I2392">
        <v>14778.78636</v>
      </c>
      <c r="J2392" t="s">
        <v>33</v>
      </c>
      <c r="K2392" t="s">
        <v>3285</v>
      </c>
      <c r="L2392" t="s">
        <v>21</v>
      </c>
      <c r="M2392" t="str">
        <f t="shared" si="111"/>
        <v>OK</v>
      </c>
      <c r="N2392" t="str">
        <f t="shared" si="112"/>
        <v>1970s</v>
      </c>
      <c r="O2392" t="str">
        <f t="shared" si="113"/>
        <v>N/A</v>
      </c>
      <c r="P2392" t="str">
        <f>VLOOKUP(E2392,calculated_fields!$F$4:$G$6,2,FALSE)</f>
        <v>Economy</v>
      </c>
    </row>
    <row r="2393" spans="1:16">
      <c r="A2393" t="s">
        <v>3288</v>
      </c>
      <c r="B2393" t="s">
        <v>3268</v>
      </c>
      <c r="C2393" t="s">
        <v>14</v>
      </c>
      <c r="D2393">
        <v>1977</v>
      </c>
      <c r="E2393" t="s">
        <v>15</v>
      </c>
      <c r="F2393" t="s">
        <v>16</v>
      </c>
      <c r="G2393" t="s">
        <v>17</v>
      </c>
      <c r="H2393" t="s">
        <v>18</v>
      </c>
      <c r="I2393">
        <v>75.38</v>
      </c>
      <c r="J2393" t="s">
        <v>19</v>
      </c>
      <c r="K2393" t="s">
        <v>3289</v>
      </c>
      <c r="L2393" t="s">
        <v>21</v>
      </c>
      <c r="M2393" t="str">
        <f t="shared" si="111"/>
        <v>OK</v>
      </c>
      <c r="N2393" t="str">
        <f t="shared" si="112"/>
        <v>1970s</v>
      </c>
      <c r="O2393" t="str">
        <f t="shared" si="113"/>
        <v>High</v>
      </c>
      <c r="P2393" t="str">
        <f>VLOOKUP(E2393,calculated_fields!$F$4:$G$6,2,FALSE)</f>
        <v>Health</v>
      </c>
    </row>
    <row r="2394" spans="1:16">
      <c r="A2394" t="s">
        <v>3290</v>
      </c>
      <c r="B2394" t="s">
        <v>3268</v>
      </c>
      <c r="C2394" t="s">
        <v>14</v>
      </c>
      <c r="D2394">
        <v>1977</v>
      </c>
      <c r="E2394" t="s">
        <v>23</v>
      </c>
      <c r="F2394" t="s">
        <v>24</v>
      </c>
      <c r="G2394" t="s">
        <v>25</v>
      </c>
      <c r="H2394" t="s">
        <v>26</v>
      </c>
      <c r="I2394">
        <v>113872473</v>
      </c>
      <c r="J2394" t="s">
        <v>27</v>
      </c>
      <c r="K2394" t="s">
        <v>3289</v>
      </c>
      <c r="L2394" t="s">
        <v>21</v>
      </c>
      <c r="M2394" t="str">
        <f t="shared" si="111"/>
        <v>OK</v>
      </c>
      <c r="N2394" t="str">
        <f t="shared" si="112"/>
        <v>1970s</v>
      </c>
      <c r="O2394" t="str">
        <f t="shared" si="113"/>
        <v>N/A</v>
      </c>
      <c r="P2394" t="str">
        <f>VLOOKUP(E2394,calculated_fields!$F$4:$G$6,2,FALSE)</f>
        <v>Demographics</v>
      </c>
    </row>
    <row r="2395" spans="1:16">
      <c r="A2395" t="s">
        <v>3291</v>
      </c>
      <c r="B2395" t="s">
        <v>3268</v>
      </c>
      <c r="C2395" t="s">
        <v>14</v>
      </c>
      <c r="D2395">
        <v>1977</v>
      </c>
      <c r="E2395" t="s">
        <v>29</v>
      </c>
      <c r="F2395" t="s">
        <v>30</v>
      </c>
      <c r="G2395" t="s">
        <v>31</v>
      </c>
      <c r="H2395" t="s">
        <v>32</v>
      </c>
      <c r="I2395">
        <v>16610.37701</v>
      </c>
      <c r="J2395" t="s">
        <v>33</v>
      </c>
      <c r="K2395" t="s">
        <v>3289</v>
      </c>
      <c r="L2395" t="s">
        <v>21</v>
      </c>
      <c r="M2395" t="str">
        <f t="shared" si="111"/>
        <v>OK</v>
      </c>
      <c r="N2395" t="str">
        <f t="shared" si="112"/>
        <v>1970s</v>
      </c>
      <c r="O2395" t="str">
        <f t="shared" si="113"/>
        <v>N/A</v>
      </c>
      <c r="P2395" t="str">
        <f>VLOOKUP(E2395,calculated_fields!$F$4:$G$6,2,FALSE)</f>
        <v>Economy</v>
      </c>
    </row>
    <row r="2396" spans="1:16">
      <c r="A2396" t="s">
        <v>3292</v>
      </c>
      <c r="B2396" t="s">
        <v>3268</v>
      </c>
      <c r="C2396" t="s">
        <v>14</v>
      </c>
      <c r="D2396">
        <v>1982</v>
      </c>
      <c r="E2396" t="s">
        <v>15</v>
      </c>
      <c r="F2396" t="s">
        <v>16</v>
      </c>
      <c r="G2396" t="s">
        <v>17</v>
      </c>
      <c r="H2396" t="s">
        <v>18</v>
      </c>
      <c r="I2396">
        <v>77.11</v>
      </c>
      <c r="J2396" t="s">
        <v>19</v>
      </c>
      <c r="K2396" t="s">
        <v>3293</v>
      </c>
      <c r="L2396" t="s">
        <v>21</v>
      </c>
      <c r="M2396" t="str">
        <f t="shared" si="111"/>
        <v>OK</v>
      </c>
      <c r="N2396" t="str">
        <f t="shared" si="112"/>
        <v>1980s</v>
      </c>
      <c r="O2396" t="str">
        <f t="shared" si="113"/>
        <v>High</v>
      </c>
      <c r="P2396" t="str">
        <f>VLOOKUP(E2396,calculated_fields!$F$4:$G$6,2,FALSE)</f>
        <v>Health</v>
      </c>
    </row>
    <row r="2397" spans="1:16">
      <c r="A2397" t="s">
        <v>3294</v>
      </c>
      <c r="B2397" t="s">
        <v>3268</v>
      </c>
      <c r="C2397" t="s">
        <v>14</v>
      </c>
      <c r="D2397">
        <v>1982</v>
      </c>
      <c r="E2397" t="s">
        <v>23</v>
      </c>
      <c r="F2397" t="s">
        <v>24</v>
      </c>
      <c r="G2397" t="s">
        <v>25</v>
      </c>
      <c r="H2397" t="s">
        <v>26</v>
      </c>
      <c r="I2397">
        <v>118454974</v>
      </c>
      <c r="J2397" t="s">
        <v>27</v>
      </c>
      <c r="K2397" t="s">
        <v>3293</v>
      </c>
      <c r="L2397" t="s">
        <v>21</v>
      </c>
      <c r="M2397" t="str">
        <f t="shared" si="111"/>
        <v>OK</v>
      </c>
      <c r="N2397" t="str">
        <f t="shared" si="112"/>
        <v>1980s</v>
      </c>
      <c r="O2397" t="str">
        <f t="shared" si="113"/>
        <v>N/A</v>
      </c>
      <c r="P2397" t="str">
        <f>VLOOKUP(E2397,calculated_fields!$F$4:$G$6,2,FALSE)</f>
        <v>Demographics</v>
      </c>
    </row>
    <row r="2398" spans="1:16">
      <c r="A2398" t="s">
        <v>3295</v>
      </c>
      <c r="B2398" t="s">
        <v>3268</v>
      </c>
      <c r="C2398" t="s">
        <v>14</v>
      </c>
      <c r="D2398">
        <v>1982</v>
      </c>
      <c r="E2398" t="s">
        <v>29</v>
      </c>
      <c r="F2398" t="s">
        <v>30</v>
      </c>
      <c r="G2398" t="s">
        <v>31</v>
      </c>
      <c r="H2398" t="s">
        <v>32</v>
      </c>
      <c r="I2398">
        <v>19384.10571</v>
      </c>
      <c r="J2398" t="s">
        <v>33</v>
      </c>
      <c r="K2398" t="s">
        <v>3293</v>
      </c>
      <c r="L2398" t="s">
        <v>21</v>
      </c>
      <c r="M2398" t="str">
        <f t="shared" si="111"/>
        <v>OK</v>
      </c>
      <c r="N2398" t="str">
        <f t="shared" si="112"/>
        <v>1980s</v>
      </c>
      <c r="O2398" t="str">
        <f t="shared" si="113"/>
        <v>N/A</v>
      </c>
      <c r="P2398" t="str">
        <f>VLOOKUP(E2398,calculated_fields!$F$4:$G$6,2,FALSE)</f>
        <v>Economy</v>
      </c>
    </row>
    <row r="2399" spans="1:16">
      <c r="A2399" t="s">
        <v>3296</v>
      </c>
      <c r="B2399" t="s">
        <v>3268</v>
      </c>
      <c r="C2399" t="s">
        <v>14</v>
      </c>
      <c r="D2399">
        <v>1987</v>
      </c>
      <c r="E2399" t="s">
        <v>15</v>
      </c>
      <c r="F2399" t="s">
        <v>16</v>
      </c>
      <c r="G2399" t="s">
        <v>17</v>
      </c>
      <c r="H2399" t="s">
        <v>18</v>
      </c>
      <c r="I2399">
        <v>78.67</v>
      </c>
      <c r="J2399" t="s">
        <v>19</v>
      </c>
      <c r="K2399" t="s">
        <v>3297</v>
      </c>
      <c r="L2399" t="s">
        <v>21</v>
      </c>
      <c r="M2399" t="str">
        <f t="shared" si="111"/>
        <v>OK</v>
      </c>
      <c r="N2399" t="str">
        <f t="shared" si="112"/>
        <v>1980s</v>
      </c>
      <c r="O2399" t="str">
        <f t="shared" si="113"/>
        <v>High</v>
      </c>
      <c r="P2399" t="str">
        <f>VLOOKUP(E2399,calculated_fields!$F$4:$G$6,2,FALSE)</f>
        <v>Health</v>
      </c>
    </row>
    <row r="2400" spans="1:16">
      <c r="A2400" t="s">
        <v>3298</v>
      </c>
      <c r="B2400" t="s">
        <v>3268</v>
      </c>
      <c r="C2400" t="s">
        <v>14</v>
      </c>
      <c r="D2400">
        <v>1987</v>
      </c>
      <c r="E2400" t="s">
        <v>23</v>
      </c>
      <c r="F2400" t="s">
        <v>24</v>
      </c>
      <c r="G2400" t="s">
        <v>25</v>
      </c>
      <c r="H2400" t="s">
        <v>26</v>
      </c>
      <c r="I2400">
        <v>122091325</v>
      </c>
      <c r="J2400" t="s">
        <v>27</v>
      </c>
      <c r="K2400" t="s">
        <v>3297</v>
      </c>
      <c r="L2400" t="s">
        <v>21</v>
      </c>
      <c r="M2400" t="str">
        <f t="shared" si="111"/>
        <v>OK</v>
      </c>
      <c r="N2400" t="str">
        <f t="shared" si="112"/>
        <v>1980s</v>
      </c>
      <c r="O2400" t="str">
        <f t="shared" si="113"/>
        <v>N/A</v>
      </c>
      <c r="P2400" t="str">
        <f>VLOOKUP(E2400,calculated_fields!$F$4:$G$6,2,FALSE)</f>
        <v>Demographics</v>
      </c>
    </row>
    <row r="2401" spans="1:16">
      <c r="A2401" t="s">
        <v>3299</v>
      </c>
      <c r="B2401" t="s">
        <v>3268</v>
      </c>
      <c r="C2401" t="s">
        <v>14</v>
      </c>
      <c r="D2401">
        <v>1987</v>
      </c>
      <c r="E2401" t="s">
        <v>29</v>
      </c>
      <c r="F2401" t="s">
        <v>30</v>
      </c>
      <c r="G2401" t="s">
        <v>31</v>
      </c>
      <c r="H2401" t="s">
        <v>32</v>
      </c>
      <c r="I2401">
        <v>22375.941889999998</v>
      </c>
      <c r="J2401" t="s">
        <v>33</v>
      </c>
      <c r="K2401" t="s">
        <v>3297</v>
      </c>
      <c r="L2401" t="s">
        <v>21</v>
      </c>
      <c r="M2401" t="str">
        <f t="shared" si="111"/>
        <v>OK</v>
      </c>
      <c r="N2401" t="str">
        <f t="shared" si="112"/>
        <v>1980s</v>
      </c>
      <c r="O2401" t="str">
        <f t="shared" si="113"/>
        <v>N/A</v>
      </c>
      <c r="P2401" t="str">
        <f>VLOOKUP(E2401,calculated_fields!$F$4:$G$6,2,FALSE)</f>
        <v>Economy</v>
      </c>
    </row>
    <row r="2402" spans="1:16">
      <c r="A2402" t="s">
        <v>3300</v>
      </c>
      <c r="B2402" t="s">
        <v>3268</v>
      </c>
      <c r="C2402" t="s">
        <v>14</v>
      </c>
      <c r="D2402">
        <v>1992</v>
      </c>
      <c r="E2402" t="s">
        <v>15</v>
      </c>
      <c r="F2402" t="s">
        <v>16</v>
      </c>
      <c r="G2402" t="s">
        <v>17</v>
      </c>
      <c r="H2402" t="s">
        <v>18</v>
      </c>
      <c r="I2402">
        <v>79.36</v>
      </c>
      <c r="J2402" t="s">
        <v>19</v>
      </c>
      <c r="K2402" t="s">
        <v>3301</v>
      </c>
      <c r="L2402" t="s">
        <v>21</v>
      </c>
      <c r="M2402" t="str">
        <f t="shared" si="111"/>
        <v>OK</v>
      </c>
      <c r="N2402" t="str">
        <f t="shared" si="112"/>
        <v>1990s</v>
      </c>
      <c r="O2402" t="str">
        <f t="shared" si="113"/>
        <v>High</v>
      </c>
      <c r="P2402" t="str">
        <f>VLOOKUP(E2402,calculated_fields!$F$4:$G$6,2,FALSE)</f>
        <v>Health</v>
      </c>
    </row>
    <row r="2403" spans="1:16">
      <c r="A2403" t="s">
        <v>3302</v>
      </c>
      <c r="B2403" t="s">
        <v>3268</v>
      </c>
      <c r="C2403" t="s">
        <v>14</v>
      </c>
      <c r="D2403">
        <v>1992</v>
      </c>
      <c r="E2403" t="s">
        <v>23</v>
      </c>
      <c r="F2403" t="s">
        <v>24</v>
      </c>
      <c r="G2403" t="s">
        <v>25</v>
      </c>
      <c r="H2403" t="s">
        <v>26</v>
      </c>
      <c r="I2403">
        <v>124329269</v>
      </c>
      <c r="J2403" t="s">
        <v>27</v>
      </c>
      <c r="K2403" t="s">
        <v>3301</v>
      </c>
      <c r="L2403" t="s">
        <v>21</v>
      </c>
      <c r="M2403" t="str">
        <f t="shared" si="111"/>
        <v>OK</v>
      </c>
      <c r="N2403" t="str">
        <f t="shared" si="112"/>
        <v>1990s</v>
      </c>
      <c r="O2403" t="str">
        <f t="shared" si="113"/>
        <v>N/A</v>
      </c>
      <c r="P2403" t="str">
        <f>VLOOKUP(E2403,calculated_fields!$F$4:$G$6,2,FALSE)</f>
        <v>Demographics</v>
      </c>
    </row>
    <row r="2404" spans="1:16">
      <c r="A2404" t="s">
        <v>3303</v>
      </c>
      <c r="B2404" t="s">
        <v>3268</v>
      </c>
      <c r="C2404" t="s">
        <v>14</v>
      </c>
      <c r="D2404">
        <v>1992</v>
      </c>
      <c r="E2404" t="s">
        <v>29</v>
      </c>
      <c r="F2404" t="s">
        <v>30</v>
      </c>
      <c r="G2404" t="s">
        <v>31</v>
      </c>
      <c r="H2404" t="s">
        <v>32</v>
      </c>
      <c r="I2404">
        <v>26824.895110000001</v>
      </c>
      <c r="J2404" t="s">
        <v>33</v>
      </c>
      <c r="K2404" t="s">
        <v>3301</v>
      </c>
      <c r="L2404" t="s">
        <v>21</v>
      </c>
      <c r="M2404" t="str">
        <f t="shared" si="111"/>
        <v>OK</v>
      </c>
      <c r="N2404" t="str">
        <f t="shared" si="112"/>
        <v>1990s</v>
      </c>
      <c r="O2404" t="str">
        <f t="shared" si="113"/>
        <v>N/A</v>
      </c>
      <c r="P2404" t="str">
        <f>VLOOKUP(E2404,calculated_fields!$F$4:$G$6,2,FALSE)</f>
        <v>Economy</v>
      </c>
    </row>
    <row r="2405" spans="1:16">
      <c r="A2405" t="s">
        <v>3304</v>
      </c>
      <c r="B2405" t="s">
        <v>3268</v>
      </c>
      <c r="C2405" t="s">
        <v>14</v>
      </c>
      <c r="D2405">
        <v>1997</v>
      </c>
      <c r="E2405" t="s">
        <v>15</v>
      </c>
      <c r="F2405" t="s">
        <v>16</v>
      </c>
      <c r="G2405" t="s">
        <v>17</v>
      </c>
      <c r="H2405" t="s">
        <v>18</v>
      </c>
      <c r="I2405">
        <v>80.69</v>
      </c>
      <c r="J2405" t="s">
        <v>19</v>
      </c>
      <c r="K2405" t="s">
        <v>3305</v>
      </c>
      <c r="L2405" t="s">
        <v>21</v>
      </c>
      <c r="M2405" t="str">
        <f t="shared" si="111"/>
        <v>OK</v>
      </c>
      <c r="N2405" t="str">
        <f t="shared" si="112"/>
        <v>1990s</v>
      </c>
      <c r="O2405" t="str">
        <f t="shared" si="113"/>
        <v>High</v>
      </c>
      <c r="P2405" t="str">
        <f>VLOOKUP(E2405,calculated_fields!$F$4:$G$6,2,FALSE)</f>
        <v>Health</v>
      </c>
    </row>
    <row r="2406" spans="1:16">
      <c r="A2406" t="s">
        <v>3306</v>
      </c>
      <c r="B2406" t="s">
        <v>3268</v>
      </c>
      <c r="C2406" t="s">
        <v>14</v>
      </c>
      <c r="D2406">
        <v>1997</v>
      </c>
      <c r="E2406" t="s">
        <v>23</v>
      </c>
      <c r="F2406" t="s">
        <v>24</v>
      </c>
      <c r="G2406" t="s">
        <v>25</v>
      </c>
      <c r="H2406" t="s">
        <v>26</v>
      </c>
      <c r="I2406">
        <v>125956499</v>
      </c>
      <c r="J2406" t="s">
        <v>27</v>
      </c>
      <c r="K2406" t="s">
        <v>3305</v>
      </c>
      <c r="L2406" t="s">
        <v>21</v>
      </c>
      <c r="M2406" t="str">
        <f t="shared" si="111"/>
        <v>OK</v>
      </c>
      <c r="N2406" t="str">
        <f t="shared" si="112"/>
        <v>1990s</v>
      </c>
      <c r="O2406" t="str">
        <f t="shared" si="113"/>
        <v>N/A</v>
      </c>
      <c r="P2406" t="str">
        <f>VLOOKUP(E2406,calculated_fields!$F$4:$G$6,2,FALSE)</f>
        <v>Demographics</v>
      </c>
    </row>
    <row r="2407" spans="1:16">
      <c r="A2407" t="s">
        <v>3307</v>
      </c>
      <c r="B2407" t="s">
        <v>3268</v>
      </c>
      <c r="C2407" t="s">
        <v>14</v>
      </c>
      <c r="D2407">
        <v>1997</v>
      </c>
      <c r="E2407" t="s">
        <v>29</v>
      </c>
      <c r="F2407" t="s">
        <v>30</v>
      </c>
      <c r="G2407" t="s">
        <v>31</v>
      </c>
      <c r="H2407" t="s">
        <v>32</v>
      </c>
      <c r="I2407">
        <v>28816.584989999999</v>
      </c>
      <c r="J2407" t="s">
        <v>33</v>
      </c>
      <c r="K2407" t="s">
        <v>3305</v>
      </c>
      <c r="L2407" t="s">
        <v>21</v>
      </c>
      <c r="M2407" t="str">
        <f t="shared" si="111"/>
        <v>OK</v>
      </c>
      <c r="N2407" t="str">
        <f t="shared" si="112"/>
        <v>1990s</v>
      </c>
      <c r="O2407" t="str">
        <f t="shared" si="113"/>
        <v>N/A</v>
      </c>
      <c r="P2407" t="str">
        <f>VLOOKUP(E2407,calculated_fields!$F$4:$G$6,2,FALSE)</f>
        <v>Economy</v>
      </c>
    </row>
    <row r="2408" spans="1:16">
      <c r="A2408" t="s">
        <v>3308</v>
      </c>
      <c r="B2408" t="s">
        <v>3268</v>
      </c>
      <c r="C2408" t="s">
        <v>14</v>
      </c>
      <c r="D2408">
        <v>2002</v>
      </c>
      <c r="E2408" t="s">
        <v>15</v>
      </c>
      <c r="F2408" t="s">
        <v>16</v>
      </c>
      <c r="G2408" t="s">
        <v>17</v>
      </c>
      <c r="H2408" t="s">
        <v>18</v>
      </c>
      <c r="I2408">
        <v>82</v>
      </c>
      <c r="J2408" t="s">
        <v>19</v>
      </c>
      <c r="K2408" t="s">
        <v>3309</v>
      </c>
      <c r="L2408" t="s">
        <v>21</v>
      </c>
      <c r="M2408" t="str">
        <f t="shared" si="111"/>
        <v>OK</v>
      </c>
      <c r="N2408" t="str">
        <f t="shared" si="112"/>
        <v>2000s</v>
      </c>
      <c r="O2408" t="str">
        <f t="shared" si="113"/>
        <v>High</v>
      </c>
      <c r="P2408" t="str">
        <f>VLOOKUP(E2408,calculated_fields!$F$4:$G$6,2,FALSE)</f>
        <v>Health</v>
      </c>
    </row>
    <row r="2409" spans="1:16">
      <c r="A2409" t="s">
        <v>3310</v>
      </c>
      <c r="B2409" t="s">
        <v>3268</v>
      </c>
      <c r="C2409" t="s">
        <v>14</v>
      </c>
      <c r="D2409">
        <v>2002</v>
      </c>
      <c r="E2409" t="s">
        <v>23</v>
      </c>
      <c r="F2409" t="s">
        <v>24</v>
      </c>
      <c r="G2409" t="s">
        <v>25</v>
      </c>
      <c r="H2409" t="s">
        <v>26</v>
      </c>
      <c r="I2409">
        <v>127065841</v>
      </c>
      <c r="J2409" t="s">
        <v>27</v>
      </c>
      <c r="K2409" t="s">
        <v>3309</v>
      </c>
      <c r="L2409" t="s">
        <v>21</v>
      </c>
      <c r="M2409" t="str">
        <f t="shared" si="111"/>
        <v>OK</v>
      </c>
      <c r="N2409" t="str">
        <f t="shared" si="112"/>
        <v>2000s</v>
      </c>
      <c r="O2409" t="str">
        <f t="shared" si="113"/>
        <v>N/A</v>
      </c>
      <c r="P2409" t="str">
        <f>VLOOKUP(E2409,calculated_fields!$F$4:$G$6,2,FALSE)</f>
        <v>Demographics</v>
      </c>
    </row>
    <row r="2410" spans="1:16">
      <c r="A2410" t="s">
        <v>3311</v>
      </c>
      <c r="B2410" t="s">
        <v>3268</v>
      </c>
      <c r="C2410" t="s">
        <v>14</v>
      </c>
      <c r="D2410">
        <v>2002</v>
      </c>
      <c r="E2410" t="s">
        <v>29</v>
      </c>
      <c r="F2410" t="s">
        <v>30</v>
      </c>
      <c r="G2410" t="s">
        <v>31</v>
      </c>
      <c r="H2410" t="s">
        <v>32</v>
      </c>
      <c r="I2410">
        <v>28604.591899999999</v>
      </c>
      <c r="J2410" t="s">
        <v>33</v>
      </c>
      <c r="K2410" t="s">
        <v>3309</v>
      </c>
      <c r="L2410" t="s">
        <v>21</v>
      </c>
      <c r="M2410" t="str">
        <f t="shared" si="111"/>
        <v>OK</v>
      </c>
      <c r="N2410" t="str">
        <f t="shared" si="112"/>
        <v>2000s</v>
      </c>
      <c r="O2410" t="str">
        <f t="shared" si="113"/>
        <v>N/A</v>
      </c>
      <c r="P2410" t="str">
        <f>VLOOKUP(E2410,calculated_fields!$F$4:$G$6,2,FALSE)</f>
        <v>Economy</v>
      </c>
    </row>
    <row r="2411" spans="1:16">
      <c r="A2411" t="s">
        <v>3312</v>
      </c>
      <c r="B2411" t="s">
        <v>3268</v>
      </c>
      <c r="C2411" t="s">
        <v>14</v>
      </c>
      <c r="D2411">
        <v>2007</v>
      </c>
      <c r="E2411" t="s">
        <v>15</v>
      </c>
      <c r="F2411" t="s">
        <v>16</v>
      </c>
      <c r="G2411" t="s">
        <v>17</v>
      </c>
      <c r="H2411" t="s">
        <v>18</v>
      </c>
      <c r="I2411">
        <v>82.602999999999994</v>
      </c>
      <c r="J2411" t="s">
        <v>19</v>
      </c>
      <c r="K2411" t="s">
        <v>3313</v>
      </c>
      <c r="L2411" t="s">
        <v>21</v>
      </c>
      <c r="M2411" t="str">
        <f t="shared" si="111"/>
        <v>OK</v>
      </c>
      <c r="N2411" t="str">
        <f t="shared" si="112"/>
        <v>2000s</v>
      </c>
      <c r="O2411" t="str">
        <f t="shared" si="113"/>
        <v>High</v>
      </c>
      <c r="P2411" t="str">
        <f>VLOOKUP(E2411,calculated_fields!$F$4:$G$6,2,FALSE)</f>
        <v>Health</v>
      </c>
    </row>
    <row r="2412" spans="1:16">
      <c r="A2412" t="s">
        <v>3314</v>
      </c>
      <c r="B2412" t="s">
        <v>3268</v>
      </c>
      <c r="C2412" t="s">
        <v>14</v>
      </c>
      <c r="D2412">
        <v>2007</v>
      </c>
      <c r="E2412" t="s">
        <v>23</v>
      </c>
      <c r="F2412" t="s">
        <v>24</v>
      </c>
      <c r="G2412" t="s">
        <v>25</v>
      </c>
      <c r="H2412" t="s">
        <v>26</v>
      </c>
      <c r="I2412">
        <v>127467972</v>
      </c>
      <c r="J2412" t="s">
        <v>27</v>
      </c>
      <c r="K2412" t="s">
        <v>3313</v>
      </c>
      <c r="L2412" t="s">
        <v>21</v>
      </c>
      <c r="M2412" t="str">
        <f t="shared" si="111"/>
        <v>OK</v>
      </c>
      <c r="N2412" t="str">
        <f t="shared" si="112"/>
        <v>2000s</v>
      </c>
      <c r="O2412" t="str">
        <f t="shared" si="113"/>
        <v>N/A</v>
      </c>
      <c r="P2412" t="str">
        <f>VLOOKUP(E2412,calculated_fields!$F$4:$G$6,2,FALSE)</f>
        <v>Demographics</v>
      </c>
    </row>
    <row r="2413" spans="1:16">
      <c r="A2413" t="s">
        <v>3315</v>
      </c>
      <c r="B2413" t="s">
        <v>3268</v>
      </c>
      <c r="C2413" t="s">
        <v>14</v>
      </c>
      <c r="D2413">
        <v>2007</v>
      </c>
      <c r="E2413" t="s">
        <v>29</v>
      </c>
      <c r="F2413" t="s">
        <v>30</v>
      </c>
      <c r="G2413" t="s">
        <v>31</v>
      </c>
      <c r="H2413" t="s">
        <v>32</v>
      </c>
      <c r="I2413">
        <v>31656.068060000001</v>
      </c>
      <c r="J2413" t="s">
        <v>33</v>
      </c>
      <c r="K2413" t="s">
        <v>3313</v>
      </c>
      <c r="L2413" t="s">
        <v>21</v>
      </c>
      <c r="M2413" t="str">
        <f t="shared" si="111"/>
        <v>OK</v>
      </c>
      <c r="N2413" t="str">
        <f t="shared" si="112"/>
        <v>2000s</v>
      </c>
      <c r="O2413" t="str">
        <f t="shared" si="113"/>
        <v>N/A</v>
      </c>
      <c r="P2413" t="str">
        <f>VLOOKUP(E2413,calculated_fields!$F$4:$G$6,2,FALSE)</f>
        <v>Economy</v>
      </c>
    </row>
    <row r="2414" spans="1:16">
      <c r="A2414" t="s">
        <v>3316</v>
      </c>
      <c r="B2414" t="s">
        <v>3317</v>
      </c>
      <c r="C2414" t="s">
        <v>14</v>
      </c>
      <c r="D2414">
        <v>1952</v>
      </c>
      <c r="E2414" t="s">
        <v>15</v>
      </c>
      <c r="F2414" t="s">
        <v>16</v>
      </c>
      <c r="G2414" t="s">
        <v>17</v>
      </c>
      <c r="H2414" t="s">
        <v>18</v>
      </c>
      <c r="I2414">
        <v>43.158000000000001</v>
      </c>
      <c r="J2414" t="s">
        <v>19</v>
      </c>
      <c r="K2414" t="s">
        <v>3318</v>
      </c>
      <c r="L2414" t="s">
        <v>21</v>
      </c>
      <c r="M2414" t="str">
        <f t="shared" si="111"/>
        <v>OK</v>
      </c>
      <c r="N2414" t="str">
        <f t="shared" si="112"/>
        <v>1950s</v>
      </c>
      <c r="O2414" t="str">
        <f t="shared" si="113"/>
        <v>Low</v>
      </c>
      <c r="P2414" t="str">
        <f>VLOOKUP(E2414,calculated_fields!$F$4:$G$6,2,FALSE)</f>
        <v>Health</v>
      </c>
    </row>
    <row r="2415" spans="1:16">
      <c r="A2415" t="s">
        <v>3319</v>
      </c>
      <c r="B2415" t="s">
        <v>3317</v>
      </c>
      <c r="C2415" t="s">
        <v>14</v>
      </c>
      <c r="D2415">
        <v>1952</v>
      </c>
      <c r="E2415" t="s">
        <v>23</v>
      </c>
      <c r="F2415" t="s">
        <v>24</v>
      </c>
      <c r="G2415" t="s">
        <v>25</v>
      </c>
      <c r="H2415" t="s">
        <v>26</v>
      </c>
      <c r="I2415">
        <v>607914</v>
      </c>
      <c r="J2415" t="s">
        <v>27</v>
      </c>
      <c r="K2415" t="s">
        <v>3318</v>
      </c>
      <c r="L2415" t="s">
        <v>21</v>
      </c>
      <c r="M2415" t="str">
        <f t="shared" si="111"/>
        <v>OK</v>
      </c>
      <c r="N2415" t="str">
        <f t="shared" si="112"/>
        <v>1950s</v>
      </c>
      <c r="O2415" t="str">
        <f t="shared" si="113"/>
        <v>N/A</v>
      </c>
      <c r="P2415" t="str">
        <f>VLOOKUP(E2415,calculated_fields!$F$4:$G$6,2,FALSE)</f>
        <v>Demographics</v>
      </c>
    </row>
    <row r="2416" spans="1:16">
      <c r="A2416" t="s">
        <v>3320</v>
      </c>
      <c r="B2416" t="s">
        <v>3317</v>
      </c>
      <c r="C2416" t="s">
        <v>14</v>
      </c>
      <c r="D2416">
        <v>1952</v>
      </c>
      <c r="E2416" t="s">
        <v>29</v>
      </c>
      <c r="F2416" t="s">
        <v>30</v>
      </c>
      <c r="G2416" t="s">
        <v>31</v>
      </c>
      <c r="H2416" t="s">
        <v>32</v>
      </c>
      <c r="I2416">
        <v>1546.907807</v>
      </c>
      <c r="J2416" t="s">
        <v>33</v>
      </c>
      <c r="K2416" t="s">
        <v>3318</v>
      </c>
      <c r="L2416" t="s">
        <v>21</v>
      </c>
      <c r="M2416" t="str">
        <f t="shared" si="111"/>
        <v>OK</v>
      </c>
      <c r="N2416" t="str">
        <f t="shared" si="112"/>
        <v>1950s</v>
      </c>
      <c r="O2416" t="str">
        <f t="shared" si="113"/>
        <v>N/A</v>
      </c>
      <c r="P2416" t="str">
        <f>VLOOKUP(E2416,calculated_fields!$F$4:$G$6,2,FALSE)</f>
        <v>Economy</v>
      </c>
    </row>
    <row r="2417" spans="1:16">
      <c r="A2417" t="s">
        <v>3321</v>
      </c>
      <c r="B2417" t="s">
        <v>3317</v>
      </c>
      <c r="C2417" t="s">
        <v>14</v>
      </c>
      <c r="D2417">
        <v>1957</v>
      </c>
      <c r="E2417" t="s">
        <v>15</v>
      </c>
      <c r="F2417" t="s">
        <v>16</v>
      </c>
      <c r="G2417" t="s">
        <v>17</v>
      </c>
      <c r="H2417" t="s">
        <v>18</v>
      </c>
      <c r="I2417">
        <v>45.668999999999997</v>
      </c>
      <c r="J2417" t="s">
        <v>19</v>
      </c>
      <c r="K2417" t="s">
        <v>3322</v>
      </c>
      <c r="L2417" t="s">
        <v>21</v>
      </c>
      <c r="M2417" t="str">
        <f t="shared" si="111"/>
        <v>OK</v>
      </c>
      <c r="N2417" t="str">
        <f t="shared" si="112"/>
        <v>1950s</v>
      </c>
      <c r="O2417" t="str">
        <f t="shared" si="113"/>
        <v>Low</v>
      </c>
      <c r="P2417" t="str">
        <f>VLOOKUP(E2417,calculated_fields!$F$4:$G$6,2,FALSE)</f>
        <v>Health</v>
      </c>
    </row>
    <row r="2418" spans="1:16">
      <c r="A2418" t="s">
        <v>3323</v>
      </c>
      <c r="B2418" t="s">
        <v>3317</v>
      </c>
      <c r="C2418" t="s">
        <v>14</v>
      </c>
      <c r="D2418">
        <v>1957</v>
      </c>
      <c r="E2418" t="s">
        <v>23</v>
      </c>
      <c r="F2418" t="s">
        <v>24</v>
      </c>
      <c r="G2418" t="s">
        <v>25</v>
      </c>
      <c r="H2418" t="s">
        <v>26</v>
      </c>
      <c r="I2418">
        <v>746559</v>
      </c>
      <c r="J2418" t="s">
        <v>27</v>
      </c>
      <c r="K2418" t="s">
        <v>3322</v>
      </c>
      <c r="L2418" t="s">
        <v>21</v>
      </c>
      <c r="M2418" t="str">
        <f t="shared" si="111"/>
        <v>OK</v>
      </c>
      <c r="N2418" t="str">
        <f t="shared" si="112"/>
        <v>1950s</v>
      </c>
      <c r="O2418" t="str">
        <f t="shared" si="113"/>
        <v>N/A</v>
      </c>
      <c r="P2418" t="str">
        <f>VLOOKUP(E2418,calculated_fields!$F$4:$G$6,2,FALSE)</f>
        <v>Demographics</v>
      </c>
    </row>
    <row r="2419" spans="1:16">
      <c r="A2419" t="s">
        <v>3324</v>
      </c>
      <c r="B2419" t="s">
        <v>3317</v>
      </c>
      <c r="C2419" t="s">
        <v>14</v>
      </c>
      <c r="D2419">
        <v>1957</v>
      </c>
      <c r="E2419" t="s">
        <v>29</v>
      </c>
      <c r="F2419" t="s">
        <v>30</v>
      </c>
      <c r="G2419" t="s">
        <v>31</v>
      </c>
      <c r="H2419" t="s">
        <v>32</v>
      </c>
      <c r="I2419">
        <v>1886.0805909999999</v>
      </c>
      <c r="J2419" t="s">
        <v>33</v>
      </c>
      <c r="K2419" t="s">
        <v>3322</v>
      </c>
      <c r="L2419" t="s">
        <v>21</v>
      </c>
      <c r="M2419" t="str">
        <f t="shared" si="111"/>
        <v>OK</v>
      </c>
      <c r="N2419" t="str">
        <f t="shared" si="112"/>
        <v>1950s</v>
      </c>
      <c r="O2419" t="str">
        <f t="shared" si="113"/>
        <v>N/A</v>
      </c>
      <c r="P2419" t="str">
        <f>VLOOKUP(E2419,calculated_fields!$F$4:$G$6,2,FALSE)</f>
        <v>Economy</v>
      </c>
    </row>
    <row r="2420" spans="1:16">
      <c r="A2420" t="s">
        <v>3325</v>
      </c>
      <c r="B2420" t="s">
        <v>3317</v>
      </c>
      <c r="C2420" t="s">
        <v>14</v>
      </c>
      <c r="D2420">
        <v>1962</v>
      </c>
      <c r="E2420" t="s">
        <v>15</v>
      </c>
      <c r="F2420" t="s">
        <v>16</v>
      </c>
      <c r="G2420" t="s">
        <v>17</v>
      </c>
      <c r="H2420" t="s">
        <v>18</v>
      </c>
      <c r="I2420">
        <v>48.125999999999998</v>
      </c>
      <c r="J2420" t="s">
        <v>19</v>
      </c>
      <c r="K2420" t="s">
        <v>3326</v>
      </c>
      <c r="L2420" t="s">
        <v>21</v>
      </c>
      <c r="M2420" t="str">
        <f t="shared" si="111"/>
        <v>OK</v>
      </c>
      <c r="N2420" t="str">
        <f t="shared" si="112"/>
        <v>1960s</v>
      </c>
      <c r="O2420" t="str">
        <f t="shared" si="113"/>
        <v>Low</v>
      </c>
      <c r="P2420" t="str">
        <f>VLOOKUP(E2420,calculated_fields!$F$4:$G$6,2,FALSE)</f>
        <v>Health</v>
      </c>
    </row>
    <row r="2421" spans="1:16">
      <c r="A2421" t="s">
        <v>3327</v>
      </c>
      <c r="B2421" t="s">
        <v>3317</v>
      </c>
      <c r="C2421" t="s">
        <v>14</v>
      </c>
      <c r="D2421">
        <v>1962</v>
      </c>
      <c r="E2421" t="s">
        <v>23</v>
      </c>
      <c r="F2421" t="s">
        <v>24</v>
      </c>
      <c r="G2421" t="s">
        <v>25</v>
      </c>
      <c r="H2421" t="s">
        <v>26</v>
      </c>
      <c r="I2421">
        <v>933559</v>
      </c>
      <c r="J2421" t="s">
        <v>27</v>
      </c>
      <c r="K2421" t="s">
        <v>3326</v>
      </c>
      <c r="L2421" t="s">
        <v>21</v>
      </c>
      <c r="M2421" t="str">
        <f t="shared" si="111"/>
        <v>OK</v>
      </c>
      <c r="N2421" t="str">
        <f t="shared" si="112"/>
        <v>1960s</v>
      </c>
      <c r="O2421" t="str">
        <f t="shared" si="113"/>
        <v>N/A</v>
      </c>
      <c r="P2421" t="str">
        <f>VLOOKUP(E2421,calculated_fields!$F$4:$G$6,2,FALSE)</f>
        <v>Demographics</v>
      </c>
    </row>
    <row r="2422" spans="1:16">
      <c r="A2422" t="s">
        <v>3328</v>
      </c>
      <c r="B2422" t="s">
        <v>3317</v>
      </c>
      <c r="C2422" t="s">
        <v>14</v>
      </c>
      <c r="D2422">
        <v>1962</v>
      </c>
      <c r="E2422" t="s">
        <v>29</v>
      </c>
      <c r="F2422" t="s">
        <v>30</v>
      </c>
      <c r="G2422" t="s">
        <v>31</v>
      </c>
      <c r="H2422" t="s">
        <v>32</v>
      </c>
      <c r="I2422">
        <v>2348.0091579999998</v>
      </c>
      <c r="J2422" t="s">
        <v>33</v>
      </c>
      <c r="K2422" t="s">
        <v>3326</v>
      </c>
      <c r="L2422" t="s">
        <v>21</v>
      </c>
      <c r="M2422" t="str">
        <f t="shared" si="111"/>
        <v>OK</v>
      </c>
      <c r="N2422" t="str">
        <f t="shared" si="112"/>
        <v>1960s</v>
      </c>
      <c r="O2422" t="str">
        <f t="shared" si="113"/>
        <v>N/A</v>
      </c>
      <c r="P2422" t="str">
        <f>VLOOKUP(E2422,calculated_fields!$F$4:$G$6,2,FALSE)</f>
        <v>Economy</v>
      </c>
    </row>
    <row r="2423" spans="1:16">
      <c r="A2423" t="s">
        <v>3329</v>
      </c>
      <c r="B2423" t="s">
        <v>3317</v>
      </c>
      <c r="C2423" t="s">
        <v>14</v>
      </c>
      <c r="D2423">
        <v>1967</v>
      </c>
      <c r="E2423" t="s">
        <v>15</v>
      </c>
      <c r="F2423" t="s">
        <v>16</v>
      </c>
      <c r="G2423" t="s">
        <v>17</v>
      </c>
      <c r="H2423" t="s">
        <v>18</v>
      </c>
      <c r="I2423">
        <v>51.628999999999998</v>
      </c>
      <c r="J2423" t="s">
        <v>19</v>
      </c>
      <c r="K2423" t="s">
        <v>3330</v>
      </c>
      <c r="L2423" t="s">
        <v>21</v>
      </c>
      <c r="M2423" t="str">
        <f t="shared" si="111"/>
        <v>OK</v>
      </c>
      <c r="N2423" t="str">
        <f t="shared" si="112"/>
        <v>1960s</v>
      </c>
      <c r="O2423" t="str">
        <f t="shared" si="113"/>
        <v>Low</v>
      </c>
      <c r="P2423" t="str">
        <f>VLOOKUP(E2423,calculated_fields!$F$4:$G$6,2,FALSE)</f>
        <v>Health</v>
      </c>
    </row>
    <row r="2424" spans="1:16">
      <c r="A2424" t="s">
        <v>3331</v>
      </c>
      <c r="B2424" t="s">
        <v>3317</v>
      </c>
      <c r="C2424" t="s">
        <v>14</v>
      </c>
      <c r="D2424">
        <v>1967</v>
      </c>
      <c r="E2424" t="s">
        <v>23</v>
      </c>
      <c r="F2424" t="s">
        <v>24</v>
      </c>
      <c r="G2424" t="s">
        <v>25</v>
      </c>
      <c r="H2424" t="s">
        <v>26</v>
      </c>
      <c r="I2424">
        <v>1255058</v>
      </c>
      <c r="J2424" t="s">
        <v>27</v>
      </c>
      <c r="K2424" t="s">
        <v>3330</v>
      </c>
      <c r="L2424" t="s">
        <v>21</v>
      </c>
      <c r="M2424" t="str">
        <f t="shared" si="111"/>
        <v>OK</v>
      </c>
      <c r="N2424" t="str">
        <f t="shared" si="112"/>
        <v>1960s</v>
      </c>
      <c r="O2424" t="str">
        <f t="shared" si="113"/>
        <v>N/A</v>
      </c>
      <c r="P2424" t="str">
        <f>VLOOKUP(E2424,calculated_fields!$F$4:$G$6,2,FALSE)</f>
        <v>Demographics</v>
      </c>
    </row>
    <row r="2425" spans="1:16">
      <c r="A2425" t="s">
        <v>3332</v>
      </c>
      <c r="B2425" t="s">
        <v>3317</v>
      </c>
      <c r="C2425" t="s">
        <v>14</v>
      </c>
      <c r="D2425">
        <v>1967</v>
      </c>
      <c r="E2425" t="s">
        <v>29</v>
      </c>
      <c r="F2425" t="s">
        <v>30</v>
      </c>
      <c r="G2425" t="s">
        <v>31</v>
      </c>
      <c r="H2425" t="s">
        <v>32</v>
      </c>
      <c r="I2425">
        <v>2741.7962520000001</v>
      </c>
      <c r="J2425" t="s">
        <v>33</v>
      </c>
      <c r="K2425" t="s">
        <v>3330</v>
      </c>
      <c r="L2425" t="s">
        <v>21</v>
      </c>
      <c r="M2425" t="str">
        <f t="shared" si="111"/>
        <v>OK</v>
      </c>
      <c r="N2425" t="str">
        <f t="shared" si="112"/>
        <v>1960s</v>
      </c>
      <c r="O2425" t="str">
        <f t="shared" si="113"/>
        <v>N/A</v>
      </c>
      <c r="P2425" t="str">
        <f>VLOOKUP(E2425,calculated_fields!$F$4:$G$6,2,FALSE)</f>
        <v>Economy</v>
      </c>
    </row>
    <row r="2426" spans="1:16">
      <c r="A2426" t="s">
        <v>3333</v>
      </c>
      <c r="B2426" t="s">
        <v>3317</v>
      </c>
      <c r="C2426" t="s">
        <v>14</v>
      </c>
      <c r="D2426">
        <v>1972</v>
      </c>
      <c r="E2426" t="s">
        <v>15</v>
      </c>
      <c r="F2426" t="s">
        <v>16</v>
      </c>
      <c r="G2426" t="s">
        <v>17</v>
      </c>
      <c r="H2426" t="s">
        <v>18</v>
      </c>
      <c r="I2426">
        <v>56.527999999999999</v>
      </c>
      <c r="J2426" t="s">
        <v>19</v>
      </c>
      <c r="K2426" t="s">
        <v>3334</v>
      </c>
      <c r="L2426" t="s">
        <v>21</v>
      </c>
      <c r="M2426" t="str">
        <f t="shared" si="111"/>
        <v>OK</v>
      </c>
      <c r="N2426" t="str">
        <f t="shared" si="112"/>
        <v>1970s</v>
      </c>
      <c r="O2426" t="str">
        <f t="shared" si="113"/>
        <v>Medium</v>
      </c>
      <c r="P2426" t="str">
        <f>VLOOKUP(E2426,calculated_fields!$F$4:$G$6,2,FALSE)</f>
        <v>Health</v>
      </c>
    </row>
    <row r="2427" spans="1:16">
      <c r="A2427" t="s">
        <v>3335</v>
      </c>
      <c r="B2427" t="s">
        <v>3317</v>
      </c>
      <c r="C2427" t="s">
        <v>14</v>
      </c>
      <c r="D2427">
        <v>1972</v>
      </c>
      <c r="E2427" t="s">
        <v>23</v>
      </c>
      <c r="F2427" t="s">
        <v>24</v>
      </c>
      <c r="G2427" t="s">
        <v>25</v>
      </c>
      <c r="H2427" t="s">
        <v>26</v>
      </c>
      <c r="I2427">
        <v>1613551</v>
      </c>
      <c r="J2427" t="s">
        <v>27</v>
      </c>
      <c r="K2427" t="s">
        <v>3334</v>
      </c>
      <c r="L2427" t="s">
        <v>21</v>
      </c>
      <c r="M2427" t="str">
        <f t="shared" si="111"/>
        <v>OK</v>
      </c>
      <c r="N2427" t="str">
        <f t="shared" si="112"/>
        <v>1970s</v>
      </c>
      <c r="O2427" t="str">
        <f t="shared" si="113"/>
        <v>N/A</v>
      </c>
      <c r="P2427" t="str">
        <f>VLOOKUP(E2427,calculated_fields!$F$4:$G$6,2,FALSE)</f>
        <v>Demographics</v>
      </c>
    </row>
    <row r="2428" spans="1:16">
      <c r="A2428" t="s">
        <v>3336</v>
      </c>
      <c r="B2428" t="s">
        <v>3317</v>
      </c>
      <c r="C2428" t="s">
        <v>14</v>
      </c>
      <c r="D2428">
        <v>1972</v>
      </c>
      <c r="E2428" t="s">
        <v>29</v>
      </c>
      <c r="F2428" t="s">
        <v>30</v>
      </c>
      <c r="G2428" t="s">
        <v>31</v>
      </c>
      <c r="H2428" t="s">
        <v>32</v>
      </c>
      <c r="I2428">
        <v>2110.8563089999998</v>
      </c>
      <c r="J2428" t="s">
        <v>33</v>
      </c>
      <c r="K2428" t="s">
        <v>3334</v>
      </c>
      <c r="L2428" t="s">
        <v>21</v>
      </c>
      <c r="M2428" t="str">
        <f t="shared" si="111"/>
        <v>OK</v>
      </c>
      <c r="N2428" t="str">
        <f t="shared" si="112"/>
        <v>1970s</v>
      </c>
      <c r="O2428" t="str">
        <f t="shared" si="113"/>
        <v>N/A</v>
      </c>
      <c r="P2428" t="str">
        <f>VLOOKUP(E2428,calculated_fields!$F$4:$G$6,2,FALSE)</f>
        <v>Economy</v>
      </c>
    </row>
    <row r="2429" spans="1:16">
      <c r="A2429" t="s">
        <v>3337</v>
      </c>
      <c r="B2429" t="s">
        <v>3317</v>
      </c>
      <c r="C2429" t="s">
        <v>14</v>
      </c>
      <c r="D2429">
        <v>1977</v>
      </c>
      <c r="E2429" t="s">
        <v>15</v>
      </c>
      <c r="F2429" t="s">
        <v>16</v>
      </c>
      <c r="G2429" t="s">
        <v>17</v>
      </c>
      <c r="H2429" t="s">
        <v>18</v>
      </c>
      <c r="I2429">
        <v>61.133999999999901</v>
      </c>
      <c r="J2429" t="s">
        <v>19</v>
      </c>
      <c r="K2429" t="s">
        <v>3338</v>
      </c>
      <c r="L2429" t="s">
        <v>21</v>
      </c>
      <c r="M2429" t="str">
        <f t="shared" si="111"/>
        <v>OK</v>
      </c>
      <c r="N2429" t="str">
        <f t="shared" si="112"/>
        <v>1970s</v>
      </c>
      <c r="O2429" t="str">
        <f t="shared" si="113"/>
        <v>Medium</v>
      </c>
      <c r="P2429" t="str">
        <f>VLOOKUP(E2429,calculated_fields!$F$4:$G$6,2,FALSE)</f>
        <v>Health</v>
      </c>
    </row>
    <row r="2430" spans="1:16">
      <c r="A2430" t="s">
        <v>3339</v>
      </c>
      <c r="B2430" t="s">
        <v>3317</v>
      </c>
      <c r="C2430" t="s">
        <v>14</v>
      </c>
      <c r="D2430">
        <v>1977</v>
      </c>
      <c r="E2430" t="s">
        <v>23</v>
      </c>
      <c r="F2430" t="s">
        <v>24</v>
      </c>
      <c r="G2430" t="s">
        <v>25</v>
      </c>
      <c r="H2430" t="s">
        <v>26</v>
      </c>
      <c r="I2430">
        <v>1937652</v>
      </c>
      <c r="J2430" t="s">
        <v>27</v>
      </c>
      <c r="K2430" t="s">
        <v>3338</v>
      </c>
      <c r="L2430" t="s">
        <v>21</v>
      </c>
      <c r="M2430" t="str">
        <f t="shared" si="111"/>
        <v>OK</v>
      </c>
      <c r="N2430" t="str">
        <f t="shared" si="112"/>
        <v>1970s</v>
      </c>
      <c r="O2430" t="str">
        <f t="shared" si="113"/>
        <v>N/A</v>
      </c>
      <c r="P2430" t="str">
        <f>VLOOKUP(E2430,calculated_fields!$F$4:$G$6,2,FALSE)</f>
        <v>Demographics</v>
      </c>
    </row>
    <row r="2431" spans="1:16">
      <c r="A2431" t="s">
        <v>3340</v>
      </c>
      <c r="B2431" t="s">
        <v>3317</v>
      </c>
      <c r="C2431" t="s">
        <v>14</v>
      </c>
      <c r="D2431">
        <v>1977</v>
      </c>
      <c r="E2431" t="s">
        <v>29</v>
      </c>
      <c r="F2431" t="s">
        <v>30</v>
      </c>
      <c r="G2431" t="s">
        <v>31</v>
      </c>
      <c r="H2431" t="s">
        <v>32</v>
      </c>
      <c r="I2431">
        <v>2852.351568</v>
      </c>
      <c r="J2431" t="s">
        <v>33</v>
      </c>
      <c r="K2431" t="s">
        <v>3338</v>
      </c>
      <c r="L2431" t="s">
        <v>21</v>
      </c>
      <c r="M2431" t="str">
        <f t="shared" si="111"/>
        <v>OK</v>
      </c>
      <c r="N2431" t="str">
        <f t="shared" si="112"/>
        <v>1970s</v>
      </c>
      <c r="O2431" t="str">
        <f t="shared" si="113"/>
        <v>N/A</v>
      </c>
      <c r="P2431" t="str">
        <f>VLOOKUP(E2431,calculated_fields!$F$4:$G$6,2,FALSE)</f>
        <v>Economy</v>
      </c>
    </row>
    <row r="2432" spans="1:16">
      <c r="A2432" t="s">
        <v>3341</v>
      </c>
      <c r="B2432" t="s">
        <v>3317</v>
      </c>
      <c r="C2432" t="s">
        <v>14</v>
      </c>
      <c r="D2432">
        <v>1982</v>
      </c>
      <c r="E2432" t="s">
        <v>15</v>
      </c>
      <c r="F2432" t="s">
        <v>16</v>
      </c>
      <c r="G2432" t="s">
        <v>17</v>
      </c>
      <c r="H2432" t="s">
        <v>18</v>
      </c>
      <c r="I2432">
        <v>63.738999999999997</v>
      </c>
      <c r="J2432" t="s">
        <v>19</v>
      </c>
      <c r="K2432" t="s">
        <v>3342</v>
      </c>
      <c r="L2432" t="s">
        <v>21</v>
      </c>
      <c r="M2432" t="str">
        <f t="shared" si="111"/>
        <v>OK</v>
      </c>
      <c r="N2432" t="str">
        <f t="shared" si="112"/>
        <v>1980s</v>
      </c>
      <c r="O2432" t="str">
        <f t="shared" si="113"/>
        <v>Medium</v>
      </c>
      <c r="P2432" t="str">
        <f>VLOOKUP(E2432,calculated_fields!$F$4:$G$6,2,FALSE)</f>
        <v>Health</v>
      </c>
    </row>
    <row r="2433" spans="1:16">
      <c r="A2433" t="s">
        <v>3343</v>
      </c>
      <c r="B2433" t="s">
        <v>3317</v>
      </c>
      <c r="C2433" t="s">
        <v>14</v>
      </c>
      <c r="D2433">
        <v>1982</v>
      </c>
      <c r="E2433" t="s">
        <v>23</v>
      </c>
      <c r="F2433" t="s">
        <v>24</v>
      </c>
      <c r="G2433" t="s">
        <v>25</v>
      </c>
      <c r="H2433" t="s">
        <v>26</v>
      </c>
      <c r="I2433">
        <v>2347031</v>
      </c>
      <c r="J2433" t="s">
        <v>27</v>
      </c>
      <c r="K2433" t="s">
        <v>3342</v>
      </c>
      <c r="L2433" t="s">
        <v>21</v>
      </c>
      <c r="M2433" t="str">
        <f t="shared" si="111"/>
        <v>OK</v>
      </c>
      <c r="N2433" t="str">
        <f t="shared" si="112"/>
        <v>1980s</v>
      </c>
      <c r="O2433" t="str">
        <f t="shared" si="113"/>
        <v>N/A</v>
      </c>
      <c r="P2433" t="str">
        <f>VLOOKUP(E2433,calculated_fields!$F$4:$G$6,2,FALSE)</f>
        <v>Demographics</v>
      </c>
    </row>
    <row r="2434" spans="1:16">
      <c r="A2434" t="s">
        <v>3344</v>
      </c>
      <c r="B2434" t="s">
        <v>3317</v>
      </c>
      <c r="C2434" t="s">
        <v>14</v>
      </c>
      <c r="D2434">
        <v>1982</v>
      </c>
      <c r="E2434" t="s">
        <v>29</v>
      </c>
      <c r="F2434" t="s">
        <v>30</v>
      </c>
      <c r="G2434" t="s">
        <v>31</v>
      </c>
      <c r="H2434" t="s">
        <v>32</v>
      </c>
      <c r="I2434">
        <v>4161.4159589999999</v>
      </c>
      <c r="J2434" t="s">
        <v>33</v>
      </c>
      <c r="K2434" t="s">
        <v>3342</v>
      </c>
      <c r="L2434" t="s">
        <v>21</v>
      </c>
      <c r="M2434" t="str">
        <f t="shared" ref="M2434:M2497" si="114">IF(AND(ISNUMBER(I2434),I2434&gt;=0),"OK","Review")</f>
        <v>OK</v>
      </c>
      <c r="N2434" t="str">
        <f t="shared" ref="N2434:N2497" si="115">FLOOR(D2434,10)&amp;"s"</f>
        <v>1980s</v>
      </c>
      <c r="O2434" t="str">
        <f t="shared" ref="O2434:O2497" si="116">IF(E2434="LIFE_EXP",IF(I2434&gt;=70,"High",IF(I2434&gt;=55,"Medium","Low")),"N/A")</f>
        <v>N/A</v>
      </c>
      <c r="P2434" t="str">
        <f>VLOOKUP(E2434,calculated_fields!$F$4:$G$6,2,FALSE)</f>
        <v>Economy</v>
      </c>
    </row>
    <row r="2435" spans="1:16">
      <c r="A2435" t="s">
        <v>3345</v>
      </c>
      <c r="B2435" t="s">
        <v>3317</v>
      </c>
      <c r="C2435" t="s">
        <v>14</v>
      </c>
      <c r="D2435">
        <v>1987</v>
      </c>
      <c r="E2435" t="s">
        <v>15</v>
      </c>
      <c r="F2435" t="s">
        <v>16</v>
      </c>
      <c r="G2435" t="s">
        <v>17</v>
      </c>
      <c r="H2435" t="s">
        <v>18</v>
      </c>
      <c r="I2435">
        <v>65.869</v>
      </c>
      <c r="J2435" t="s">
        <v>19</v>
      </c>
      <c r="K2435" t="s">
        <v>3346</v>
      </c>
      <c r="L2435" t="s">
        <v>21</v>
      </c>
      <c r="M2435" t="str">
        <f t="shared" si="114"/>
        <v>OK</v>
      </c>
      <c r="N2435" t="str">
        <f t="shared" si="115"/>
        <v>1980s</v>
      </c>
      <c r="O2435" t="str">
        <f t="shared" si="116"/>
        <v>Medium</v>
      </c>
      <c r="P2435" t="str">
        <f>VLOOKUP(E2435,calculated_fields!$F$4:$G$6,2,FALSE)</f>
        <v>Health</v>
      </c>
    </row>
    <row r="2436" spans="1:16">
      <c r="A2436" t="s">
        <v>3347</v>
      </c>
      <c r="B2436" t="s">
        <v>3317</v>
      </c>
      <c r="C2436" t="s">
        <v>14</v>
      </c>
      <c r="D2436">
        <v>1987</v>
      </c>
      <c r="E2436" t="s">
        <v>23</v>
      </c>
      <c r="F2436" t="s">
        <v>24</v>
      </c>
      <c r="G2436" t="s">
        <v>25</v>
      </c>
      <c r="H2436" t="s">
        <v>26</v>
      </c>
      <c r="I2436">
        <v>2820042</v>
      </c>
      <c r="J2436" t="s">
        <v>27</v>
      </c>
      <c r="K2436" t="s">
        <v>3346</v>
      </c>
      <c r="L2436" t="s">
        <v>21</v>
      </c>
      <c r="M2436" t="str">
        <f t="shared" si="114"/>
        <v>OK</v>
      </c>
      <c r="N2436" t="str">
        <f t="shared" si="115"/>
        <v>1980s</v>
      </c>
      <c r="O2436" t="str">
        <f t="shared" si="116"/>
        <v>N/A</v>
      </c>
      <c r="P2436" t="str">
        <f>VLOOKUP(E2436,calculated_fields!$F$4:$G$6,2,FALSE)</f>
        <v>Demographics</v>
      </c>
    </row>
    <row r="2437" spans="1:16">
      <c r="A2437" t="s">
        <v>3348</v>
      </c>
      <c r="B2437" t="s">
        <v>3317</v>
      </c>
      <c r="C2437" t="s">
        <v>14</v>
      </c>
      <c r="D2437">
        <v>1987</v>
      </c>
      <c r="E2437" t="s">
        <v>29</v>
      </c>
      <c r="F2437" t="s">
        <v>30</v>
      </c>
      <c r="G2437" t="s">
        <v>31</v>
      </c>
      <c r="H2437" t="s">
        <v>32</v>
      </c>
      <c r="I2437">
        <v>4448.6799119999996</v>
      </c>
      <c r="J2437" t="s">
        <v>33</v>
      </c>
      <c r="K2437" t="s">
        <v>3346</v>
      </c>
      <c r="L2437" t="s">
        <v>21</v>
      </c>
      <c r="M2437" t="str">
        <f t="shared" si="114"/>
        <v>OK</v>
      </c>
      <c r="N2437" t="str">
        <f t="shared" si="115"/>
        <v>1980s</v>
      </c>
      <c r="O2437" t="str">
        <f t="shared" si="116"/>
        <v>N/A</v>
      </c>
      <c r="P2437" t="str">
        <f>VLOOKUP(E2437,calculated_fields!$F$4:$G$6,2,FALSE)</f>
        <v>Economy</v>
      </c>
    </row>
    <row r="2438" spans="1:16">
      <c r="A2438" t="s">
        <v>3349</v>
      </c>
      <c r="B2438" t="s">
        <v>3317</v>
      </c>
      <c r="C2438" t="s">
        <v>14</v>
      </c>
      <c r="D2438">
        <v>1992</v>
      </c>
      <c r="E2438" t="s">
        <v>15</v>
      </c>
      <c r="F2438" t="s">
        <v>16</v>
      </c>
      <c r="G2438" t="s">
        <v>17</v>
      </c>
      <c r="H2438" t="s">
        <v>18</v>
      </c>
      <c r="I2438">
        <v>68.015000000000001</v>
      </c>
      <c r="J2438" t="s">
        <v>19</v>
      </c>
      <c r="K2438" t="s">
        <v>3350</v>
      </c>
      <c r="L2438" t="s">
        <v>21</v>
      </c>
      <c r="M2438" t="str">
        <f t="shared" si="114"/>
        <v>OK</v>
      </c>
      <c r="N2438" t="str">
        <f t="shared" si="115"/>
        <v>1990s</v>
      </c>
      <c r="O2438" t="str">
        <f t="shared" si="116"/>
        <v>Medium</v>
      </c>
      <c r="P2438" t="str">
        <f>VLOOKUP(E2438,calculated_fields!$F$4:$G$6,2,FALSE)</f>
        <v>Health</v>
      </c>
    </row>
    <row r="2439" spans="1:16">
      <c r="A2439" t="s">
        <v>3351</v>
      </c>
      <c r="B2439" t="s">
        <v>3317</v>
      </c>
      <c r="C2439" t="s">
        <v>14</v>
      </c>
      <c r="D2439">
        <v>1992</v>
      </c>
      <c r="E2439" t="s">
        <v>23</v>
      </c>
      <c r="F2439" t="s">
        <v>24</v>
      </c>
      <c r="G2439" t="s">
        <v>25</v>
      </c>
      <c r="H2439" t="s">
        <v>26</v>
      </c>
      <c r="I2439">
        <v>3867409</v>
      </c>
      <c r="J2439" t="s">
        <v>27</v>
      </c>
      <c r="K2439" t="s">
        <v>3350</v>
      </c>
      <c r="L2439" t="s">
        <v>21</v>
      </c>
      <c r="M2439" t="str">
        <f t="shared" si="114"/>
        <v>OK</v>
      </c>
      <c r="N2439" t="str">
        <f t="shared" si="115"/>
        <v>1990s</v>
      </c>
      <c r="O2439" t="str">
        <f t="shared" si="116"/>
        <v>N/A</v>
      </c>
      <c r="P2439" t="str">
        <f>VLOOKUP(E2439,calculated_fields!$F$4:$G$6,2,FALSE)</f>
        <v>Demographics</v>
      </c>
    </row>
    <row r="2440" spans="1:16">
      <c r="A2440" t="s">
        <v>3352</v>
      </c>
      <c r="B2440" t="s">
        <v>3317</v>
      </c>
      <c r="C2440" t="s">
        <v>14</v>
      </c>
      <c r="D2440">
        <v>1992</v>
      </c>
      <c r="E2440" t="s">
        <v>29</v>
      </c>
      <c r="F2440" t="s">
        <v>30</v>
      </c>
      <c r="G2440" t="s">
        <v>31</v>
      </c>
      <c r="H2440" t="s">
        <v>32</v>
      </c>
      <c r="I2440">
        <v>3431.5936470000001</v>
      </c>
      <c r="J2440" t="s">
        <v>33</v>
      </c>
      <c r="K2440" t="s">
        <v>3350</v>
      </c>
      <c r="L2440" t="s">
        <v>21</v>
      </c>
      <c r="M2440" t="str">
        <f t="shared" si="114"/>
        <v>OK</v>
      </c>
      <c r="N2440" t="str">
        <f t="shared" si="115"/>
        <v>1990s</v>
      </c>
      <c r="O2440" t="str">
        <f t="shared" si="116"/>
        <v>N/A</v>
      </c>
      <c r="P2440" t="str">
        <f>VLOOKUP(E2440,calculated_fields!$F$4:$G$6,2,FALSE)</f>
        <v>Economy</v>
      </c>
    </row>
    <row r="2441" spans="1:16">
      <c r="A2441" t="s">
        <v>3353</v>
      </c>
      <c r="B2441" t="s">
        <v>3317</v>
      </c>
      <c r="C2441" t="s">
        <v>14</v>
      </c>
      <c r="D2441">
        <v>1997</v>
      </c>
      <c r="E2441" t="s">
        <v>15</v>
      </c>
      <c r="F2441" t="s">
        <v>16</v>
      </c>
      <c r="G2441" t="s">
        <v>17</v>
      </c>
      <c r="H2441" t="s">
        <v>18</v>
      </c>
      <c r="I2441">
        <v>69.771999999999906</v>
      </c>
      <c r="J2441" t="s">
        <v>19</v>
      </c>
      <c r="K2441" t="s">
        <v>3354</v>
      </c>
      <c r="L2441" t="s">
        <v>21</v>
      </c>
      <c r="M2441" t="str">
        <f t="shared" si="114"/>
        <v>OK</v>
      </c>
      <c r="N2441" t="str">
        <f t="shared" si="115"/>
        <v>1990s</v>
      </c>
      <c r="O2441" t="str">
        <f t="shared" si="116"/>
        <v>Medium</v>
      </c>
      <c r="P2441" t="str">
        <f>VLOOKUP(E2441,calculated_fields!$F$4:$G$6,2,FALSE)</f>
        <v>Health</v>
      </c>
    </row>
    <row r="2442" spans="1:16">
      <c r="A2442" t="s">
        <v>3355</v>
      </c>
      <c r="B2442" t="s">
        <v>3317</v>
      </c>
      <c r="C2442" t="s">
        <v>14</v>
      </c>
      <c r="D2442">
        <v>1997</v>
      </c>
      <c r="E2442" t="s">
        <v>23</v>
      </c>
      <c r="F2442" t="s">
        <v>24</v>
      </c>
      <c r="G2442" t="s">
        <v>25</v>
      </c>
      <c r="H2442" t="s">
        <v>26</v>
      </c>
      <c r="I2442">
        <v>4526235</v>
      </c>
      <c r="J2442" t="s">
        <v>27</v>
      </c>
      <c r="K2442" t="s">
        <v>3354</v>
      </c>
      <c r="L2442" t="s">
        <v>21</v>
      </c>
      <c r="M2442" t="str">
        <f t="shared" si="114"/>
        <v>OK</v>
      </c>
      <c r="N2442" t="str">
        <f t="shared" si="115"/>
        <v>1990s</v>
      </c>
      <c r="O2442" t="str">
        <f t="shared" si="116"/>
        <v>N/A</v>
      </c>
      <c r="P2442" t="str">
        <f>VLOOKUP(E2442,calculated_fields!$F$4:$G$6,2,FALSE)</f>
        <v>Demographics</v>
      </c>
    </row>
    <row r="2443" spans="1:16">
      <c r="A2443" t="s">
        <v>3356</v>
      </c>
      <c r="B2443" t="s">
        <v>3317</v>
      </c>
      <c r="C2443" t="s">
        <v>14</v>
      </c>
      <c r="D2443">
        <v>1997</v>
      </c>
      <c r="E2443" t="s">
        <v>29</v>
      </c>
      <c r="F2443" t="s">
        <v>30</v>
      </c>
      <c r="G2443" t="s">
        <v>31</v>
      </c>
      <c r="H2443" t="s">
        <v>32</v>
      </c>
      <c r="I2443">
        <v>3645.3795719999998</v>
      </c>
      <c r="J2443" t="s">
        <v>33</v>
      </c>
      <c r="K2443" t="s">
        <v>3354</v>
      </c>
      <c r="L2443" t="s">
        <v>21</v>
      </c>
      <c r="M2443" t="str">
        <f t="shared" si="114"/>
        <v>OK</v>
      </c>
      <c r="N2443" t="str">
        <f t="shared" si="115"/>
        <v>1990s</v>
      </c>
      <c r="O2443" t="str">
        <f t="shared" si="116"/>
        <v>N/A</v>
      </c>
      <c r="P2443" t="str">
        <f>VLOOKUP(E2443,calculated_fields!$F$4:$G$6,2,FALSE)</f>
        <v>Economy</v>
      </c>
    </row>
    <row r="2444" spans="1:16">
      <c r="A2444" t="s">
        <v>3357</v>
      </c>
      <c r="B2444" t="s">
        <v>3317</v>
      </c>
      <c r="C2444" t="s">
        <v>14</v>
      </c>
      <c r="D2444">
        <v>2002</v>
      </c>
      <c r="E2444" t="s">
        <v>15</v>
      </c>
      <c r="F2444" t="s">
        <v>16</v>
      </c>
      <c r="G2444" t="s">
        <v>17</v>
      </c>
      <c r="H2444" t="s">
        <v>18</v>
      </c>
      <c r="I2444">
        <v>71.263000000000005</v>
      </c>
      <c r="J2444" t="s">
        <v>19</v>
      </c>
      <c r="K2444" t="s">
        <v>3358</v>
      </c>
      <c r="L2444" t="s">
        <v>21</v>
      </c>
      <c r="M2444" t="str">
        <f t="shared" si="114"/>
        <v>OK</v>
      </c>
      <c r="N2444" t="str">
        <f t="shared" si="115"/>
        <v>2000s</v>
      </c>
      <c r="O2444" t="str">
        <f t="shared" si="116"/>
        <v>High</v>
      </c>
      <c r="P2444" t="str">
        <f>VLOOKUP(E2444,calculated_fields!$F$4:$G$6,2,FALSE)</f>
        <v>Health</v>
      </c>
    </row>
    <row r="2445" spans="1:16">
      <c r="A2445" t="s">
        <v>3359</v>
      </c>
      <c r="B2445" t="s">
        <v>3317</v>
      </c>
      <c r="C2445" t="s">
        <v>14</v>
      </c>
      <c r="D2445">
        <v>2002</v>
      </c>
      <c r="E2445" t="s">
        <v>23</v>
      </c>
      <c r="F2445" t="s">
        <v>24</v>
      </c>
      <c r="G2445" t="s">
        <v>25</v>
      </c>
      <c r="H2445" t="s">
        <v>26</v>
      </c>
      <c r="I2445">
        <v>5307470</v>
      </c>
      <c r="J2445" t="s">
        <v>27</v>
      </c>
      <c r="K2445" t="s">
        <v>3358</v>
      </c>
      <c r="L2445" t="s">
        <v>21</v>
      </c>
      <c r="M2445" t="str">
        <f t="shared" si="114"/>
        <v>OK</v>
      </c>
      <c r="N2445" t="str">
        <f t="shared" si="115"/>
        <v>2000s</v>
      </c>
      <c r="O2445" t="str">
        <f t="shared" si="116"/>
        <v>N/A</v>
      </c>
      <c r="P2445" t="str">
        <f>VLOOKUP(E2445,calculated_fields!$F$4:$G$6,2,FALSE)</f>
        <v>Demographics</v>
      </c>
    </row>
    <row r="2446" spans="1:16">
      <c r="A2446" t="s">
        <v>3360</v>
      </c>
      <c r="B2446" t="s">
        <v>3317</v>
      </c>
      <c r="C2446" t="s">
        <v>14</v>
      </c>
      <c r="D2446">
        <v>2002</v>
      </c>
      <c r="E2446" t="s">
        <v>29</v>
      </c>
      <c r="F2446" t="s">
        <v>30</v>
      </c>
      <c r="G2446" t="s">
        <v>31</v>
      </c>
      <c r="H2446" t="s">
        <v>32</v>
      </c>
      <c r="I2446">
        <v>3844.9171940000001</v>
      </c>
      <c r="J2446" t="s">
        <v>33</v>
      </c>
      <c r="K2446" t="s">
        <v>3358</v>
      </c>
      <c r="L2446" t="s">
        <v>21</v>
      </c>
      <c r="M2446" t="str">
        <f t="shared" si="114"/>
        <v>OK</v>
      </c>
      <c r="N2446" t="str">
        <f t="shared" si="115"/>
        <v>2000s</v>
      </c>
      <c r="O2446" t="str">
        <f t="shared" si="116"/>
        <v>N/A</v>
      </c>
      <c r="P2446" t="str">
        <f>VLOOKUP(E2446,calculated_fields!$F$4:$G$6,2,FALSE)</f>
        <v>Economy</v>
      </c>
    </row>
    <row r="2447" spans="1:16">
      <c r="A2447" t="s">
        <v>3361</v>
      </c>
      <c r="B2447" t="s">
        <v>3317</v>
      </c>
      <c r="C2447" t="s">
        <v>14</v>
      </c>
      <c r="D2447">
        <v>2007</v>
      </c>
      <c r="E2447" t="s">
        <v>15</v>
      </c>
      <c r="F2447" t="s">
        <v>16</v>
      </c>
      <c r="G2447" t="s">
        <v>17</v>
      </c>
      <c r="H2447" t="s">
        <v>18</v>
      </c>
      <c r="I2447">
        <v>72.534999999999997</v>
      </c>
      <c r="J2447" t="s">
        <v>19</v>
      </c>
      <c r="K2447" t="s">
        <v>3362</v>
      </c>
      <c r="L2447" t="s">
        <v>21</v>
      </c>
      <c r="M2447" t="str">
        <f t="shared" si="114"/>
        <v>OK</v>
      </c>
      <c r="N2447" t="str">
        <f t="shared" si="115"/>
        <v>2000s</v>
      </c>
      <c r="O2447" t="str">
        <f t="shared" si="116"/>
        <v>High</v>
      </c>
      <c r="P2447" t="str">
        <f>VLOOKUP(E2447,calculated_fields!$F$4:$G$6,2,FALSE)</f>
        <v>Health</v>
      </c>
    </row>
    <row r="2448" spans="1:16">
      <c r="A2448" t="s">
        <v>3363</v>
      </c>
      <c r="B2448" t="s">
        <v>3317</v>
      </c>
      <c r="C2448" t="s">
        <v>14</v>
      </c>
      <c r="D2448">
        <v>2007</v>
      </c>
      <c r="E2448" t="s">
        <v>23</v>
      </c>
      <c r="F2448" t="s">
        <v>24</v>
      </c>
      <c r="G2448" t="s">
        <v>25</v>
      </c>
      <c r="H2448" t="s">
        <v>26</v>
      </c>
      <c r="I2448">
        <v>6053193</v>
      </c>
      <c r="J2448" t="s">
        <v>27</v>
      </c>
      <c r="K2448" t="s">
        <v>3362</v>
      </c>
      <c r="L2448" t="s">
        <v>21</v>
      </c>
      <c r="M2448" t="str">
        <f t="shared" si="114"/>
        <v>OK</v>
      </c>
      <c r="N2448" t="str">
        <f t="shared" si="115"/>
        <v>2000s</v>
      </c>
      <c r="O2448" t="str">
        <f t="shared" si="116"/>
        <v>N/A</v>
      </c>
      <c r="P2448" t="str">
        <f>VLOOKUP(E2448,calculated_fields!$F$4:$G$6,2,FALSE)</f>
        <v>Demographics</v>
      </c>
    </row>
    <row r="2449" spans="1:16">
      <c r="A2449" t="s">
        <v>3364</v>
      </c>
      <c r="B2449" t="s">
        <v>3317</v>
      </c>
      <c r="C2449" t="s">
        <v>14</v>
      </c>
      <c r="D2449">
        <v>2007</v>
      </c>
      <c r="E2449" t="s">
        <v>29</v>
      </c>
      <c r="F2449" t="s">
        <v>30</v>
      </c>
      <c r="G2449" t="s">
        <v>31</v>
      </c>
      <c r="H2449" t="s">
        <v>32</v>
      </c>
      <c r="I2449">
        <v>4519.4611709999999</v>
      </c>
      <c r="J2449" t="s">
        <v>33</v>
      </c>
      <c r="K2449" t="s">
        <v>3362</v>
      </c>
      <c r="L2449" t="s">
        <v>21</v>
      </c>
      <c r="M2449" t="str">
        <f t="shared" si="114"/>
        <v>OK</v>
      </c>
      <c r="N2449" t="str">
        <f t="shared" si="115"/>
        <v>2000s</v>
      </c>
      <c r="O2449" t="str">
        <f t="shared" si="116"/>
        <v>N/A</v>
      </c>
      <c r="P2449" t="str">
        <f>VLOOKUP(E2449,calculated_fields!$F$4:$G$6,2,FALSE)</f>
        <v>Economy</v>
      </c>
    </row>
    <row r="2450" spans="1:16">
      <c r="A2450" t="s">
        <v>3365</v>
      </c>
      <c r="B2450" t="s">
        <v>3366</v>
      </c>
      <c r="C2450" t="s">
        <v>130</v>
      </c>
      <c r="D2450">
        <v>1952</v>
      </c>
      <c r="E2450" t="s">
        <v>15</v>
      </c>
      <c r="F2450" t="s">
        <v>16</v>
      </c>
      <c r="G2450" t="s">
        <v>17</v>
      </c>
      <c r="H2450" t="s">
        <v>18</v>
      </c>
      <c r="I2450">
        <v>42.27</v>
      </c>
      <c r="J2450" t="s">
        <v>19</v>
      </c>
      <c r="K2450" t="s">
        <v>3367</v>
      </c>
      <c r="L2450" t="s">
        <v>21</v>
      </c>
      <c r="M2450" t="str">
        <f t="shared" si="114"/>
        <v>OK</v>
      </c>
      <c r="N2450" t="str">
        <f t="shared" si="115"/>
        <v>1950s</v>
      </c>
      <c r="O2450" t="str">
        <f t="shared" si="116"/>
        <v>Low</v>
      </c>
      <c r="P2450" t="str">
        <f>VLOOKUP(E2450,calculated_fields!$F$4:$G$6,2,FALSE)</f>
        <v>Health</v>
      </c>
    </row>
    <row r="2451" spans="1:16">
      <c r="A2451" t="s">
        <v>3368</v>
      </c>
      <c r="B2451" t="s">
        <v>3366</v>
      </c>
      <c r="C2451" t="s">
        <v>130</v>
      </c>
      <c r="D2451">
        <v>1952</v>
      </c>
      <c r="E2451" t="s">
        <v>23</v>
      </c>
      <c r="F2451" t="s">
        <v>24</v>
      </c>
      <c r="G2451" t="s">
        <v>25</v>
      </c>
      <c r="H2451" t="s">
        <v>26</v>
      </c>
      <c r="I2451">
        <v>6464046</v>
      </c>
      <c r="J2451" t="s">
        <v>27</v>
      </c>
      <c r="K2451" t="s">
        <v>3367</v>
      </c>
      <c r="L2451" t="s">
        <v>21</v>
      </c>
      <c r="M2451" t="str">
        <f t="shared" si="114"/>
        <v>OK</v>
      </c>
      <c r="N2451" t="str">
        <f t="shared" si="115"/>
        <v>1950s</v>
      </c>
      <c r="O2451" t="str">
        <f t="shared" si="116"/>
        <v>N/A</v>
      </c>
      <c r="P2451" t="str">
        <f>VLOOKUP(E2451,calculated_fields!$F$4:$G$6,2,FALSE)</f>
        <v>Demographics</v>
      </c>
    </row>
    <row r="2452" spans="1:16">
      <c r="A2452" t="s">
        <v>3369</v>
      </c>
      <c r="B2452" t="s">
        <v>3366</v>
      </c>
      <c r="C2452" t="s">
        <v>130</v>
      </c>
      <c r="D2452">
        <v>1952</v>
      </c>
      <c r="E2452" t="s">
        <v>29</v>
      </c>
      <c r="F2452" t="s">
        <v>30</v>
      </c>
      <c r="G2452" t="s">
        <v>31</v>
      </c>
      <c r="H2452" t="s">
        <v>32</v>
      </c>
      <c r="I2452">
        <v>853.54091899999901</v>
      </c>
      <c r="J2452" t="s">
        <v>33</v>
      </c>
      <c r="K2452" t="s">
        <v>3367</v>
      </c>
      <c r="L2452" t="s">
        <v>21</v>
      </c>
      <c r="M2452" t="str">
        <f t="shared" si="114"/>
        <v>OK</v>
      </c>
      <c r="N2452" t="str">
        <f t="shared" si="115"/>
        <v>1950s</v>
      </c>
      <c r="O2452" t="str">
        <f t="shared" si="116"/>
        <v>N/A</v>
      </c>
      <c r="P2452" t="str">
        <f>VLOOKUP(E2452,calculated_fields!$F$4:$G$6,2,FALSE)</f>
        <v>Economy</v>
      </c>
    </row>
    <row r="2453" spans="1:16">
      <c r="A2453" t="s">
        <v>3370</v>
      </c>
      <c r="B2453" t="s">
        <v>3366</v>
      </c>
      <c r="C2453" t="s">
        <v>130</v>
      </c>
      <c r="D2453">
        <v>1957</v>
      </c>
      <c r="E2453" t="s">
        <v>15</v>
      </c>
      <c r="F2453" t="s">
        <v>16</v>
      </c>
      <c r="G2453" t="s">
        <v>17</v>
      </c>
      <c r="H2453" t="s">
        <v>18</v>
      </c>
      <c r="I2453">
        <v>44.686</v>
      </c>
      <c r="J2453" t="s">
        <v>19</v>
      </c>
      <c r="K2453" t="s">
        <v>3371</v>
      </c>
      <c r="L2453" t="s">
        <v>21</v>
      </c>
      <c r="M2453" t="str">
        <f t="shared" si="114"/>
        <v>OK</v>
      </c>
      <c r="N2453" t="str">
        <f t="shared" si="115"/>
        <v>1950s</v>
      </c>
      <c r="O2453" t="str">
        <f t="shared" si="116"/>
        <v>Low</v>
      </c>
      <c r="P2453" t="str">
        <f>VLOOKUP(E2453,calculated_fields!$F$4:$G$6,2,FALSE)</f>
        <v>Health</v>
      </c>
    </row>
    <row r="2454" spans="1:16">
      <c r="A2454" t="s">
        <v>3372</v>
      </c>
      <c r="B2454" t="s">
        <v>3366</v>
      </c>
      <c r="C2454" t="s">
        <v>130</v>
      </c>
      <c r="D2454">
        <v>1957</v>
      </c>
      <c r="E2454" t="s">
        <v>23</v>
      </c>
      <c r="F2454" t="s">
        <v>24</v>
      </c>
      <c r="G2454" t="s">
        <v>25</v>
      </c>
      <c r="H2454" t="s">
        <v>26</v>
      </c>
      <c r="I2454">
        <v>7454779</v>
      </c>
      <c r="J2454" t="s">
        <v>27</v>
      </c>
      <c r="K2454" t="s">
        <v>3371</v>
      </c>
      <c r="L2454" t="s">
        <v>21</v>
      </c>
      <c r="M2454" t="str">
        <f t="shared" si="114"/>
        <v>OK</v>
      </c>
      <c r="N2454" t="str">
        <f t="shared" si="115"/>
        <v>1950s</v>
      </c>
      <c r="O2454" t="str">
        <f t="shared" si="116"/>
        <v>N/A</v>
      </c>
      <c r="P2454" t="str">
        <f>VLOOKUP(E2454,calculated_fields!$F$4:$G$6,2,FALSE)</f>
        <v>Demographics</v>
      </c>
    </row>
    <row r="2455" spans="1:16">
      <c r="A2455" t="s">
        <v>3373</v>
      </c>
      <c r="B2455" t="s">
        <v>3366</v>
      </c>
      <c r="C2455" t="s">
        <v>130</v>
      </c>
      <c r="D2455">
        <v>1957</v>
      </c>
      <c r="E2455" t="s">
        <v>29</v>
      </c>
      <c r="F2455" t="s">
        <v>30</v>
      </c>
      <c r="G2455" t="s">
        <v>31</v>
      </c>
      <c r="H2455" t="s">
        <v>32</v>
      </c>
      <c r="I2455">
        <v>944.43831520000003</v>
      </c>
      <c r="J2455" t="s">
        <v>33</v>
      </c>
      <c r="K2455" t="s">
        <v>3371</v>
      </c>
      <c r="L2455" t="s">
        <v>21</v>
      </c>
      <c r="M2455" t="str">
        <f t="shared" si="114"/>
        <v>OK</v>
      </c>
      <c r="N2455" t="str">
        <f t="shared" si="115"/>
        <v>1950s</v>
      </c>
      <c r="O2455" t="str">
        <f t="shared" si="116"/>
        <v>N/A</v>
      </c>
      <c r="P2455" t="str">
        <f>VLOOKUP(E2455,calculated_fields!$F$4:$G$6,2,FALSE)</f>
        <v>Economy</v>
      </c>
    </row>
    <row r="2456" spans="1:16">
      <c r="A2456" t="s">
        <v>3374</v>
      </c>
      <c r="B2456" t="s">
        <v>3366</v>
      </c>
      <c r="C2456" t="s">
        <v>130</v>
      </c>
      <c r="D2456">
        <v>1962</v>
      </c>
      <c r="E2456" t="s">
        <v>15</v>
      </c>
      <c r="F2456" t="s">
        <v>16</v>
      </c>
      <c r="G2456" t="s">
        <v>17</v>
      </c>
      <c r="H2456" t="s">
        <v>18</v>
      </c>
      <c r="I2456">
        <v>47.948999999999998</v>
      </c>
      <c r="J2456" t="s">
        <v>19</v>
      </c>
      <c r="K2456" t="s">
        <v>3375</v>
      </c>
      <c r="L2456" t="s">
        <v>21</v>
      </c>
      <c r="M2456" t="str">
        <f t="shared" si="114"/>
        <v>OK</v>
      </c>
      <c r="N2456" t="str">
        <f t="shared" si="115"/>
        <v>1960s</v>
      </c>
      <c r="O2456" t="str">
        <f t="shared" si="116"/>
        <v>Low</v>
      </c>
      <c r="P2456" t="str">
        <f>VLOOKUP(E2456,calculated_fields!$F$4:$G$6,2,FALSE)</f>
        <v>Health</v>
      </c>
    </row>
    <row r="2457" spans="1:16">
      <c r="A2457" t="s">
        <v>3376</v>
      </c>
      <c r="B2457" t="s">
        <v>3366</v>
      </c>
      <c r="C2457" t="s">
        <v>130</v>
      </c>
      <c r="D2457">
        <v>1962</v>
      </c>
      <c r="E2457" t="s">
        <v>23</v>
      </c>
      <c r="F2457" t="s">
        <v>24</v>
      </c>
      <c r="G2457" t="s">
        <v>25</v>
      </c>
      <c r="H2457" t="s">
        <v>26</v>
      </c>
      <c r="I2457">
        <v>8678557</v>
      </c>
      <c r="J2457" t="s">
        <v>27</v>
      </c>
      <c r="K2457" t="s">
        <v>3375</v>
      </c>
      <c r="L2457" t="s">
        <v>21</v>
      </c>
      <c r="M2457" t="str">
        <f t="shared" si="114"/>
        <v>OK</v>
      </c>
      <c r="N2457" t="str">
        <f t="shared" si="115"/>
        <v>1960s</v>
      </c>
      <c r="O2457" t="str">
        <f t="shared" si="116"/>
        <v>N/A</v>
      </c>
      <c r="P2457" t="str">
        <f>VLOOKUP(E2457,calculated_fields!$F$4:$G$6,2,FALSE)</f>
        <v>Demographics</v>
      </c>
    </row>
    <row r="2458" spans="1:16">
      <c r="A2458" t="s">
        <v>3377</v>
      </c>
      <c r="B2458" t="s">
        <v>3366</v>
      </c>
      <c r="C2458" t="s">
        <v>130</v>
      </c>
      <c r="D2458">
        <v>1962</v>
      </c>
      <c r="E2458" t="s">
        <v>29</v>
      </c>
      <c r="F2458" t="s">
        <v>30</v>
      </c>
      <c r="G2458" t="s">
        <v>31</v>
      </c>
      <c r="H2458" t="s">
        <v>32</v>
      </c>
      <c r="I2458">
        <v>896.96637320000002</v>
      </c>
      <c r="J2458" t="s">
        <v>33</v>
      </c>
      <c r="K2458" t="s">
        <v>3375</v>
      </c>
      <c r="L2458" t="s">
        <v>21</v>
      </c>
      <c r="M2458" t="str">
        <f t="shared" si="114"/>
        <v>OK</v>
      </c>
      <c r="N2458" t="str">
        <f t="shared" si="115"/>
        <v>1960s</v>
      </c>
      <c r="O2458" t="str">
        <f t="shared" si="116"/>
        <v>N/A</v>
      </c>
      <c r="P2458" t="str">
        <f>VLOOKUP(E2458,calculated_fields!$F$4:$G$6,2,FALSE)</f>
        <v>Economy</v>
      </c>
    </row>
    <row r="2459" spans="1:16">
      <c r="A2459" t="s">
        <v>3378</v>
      </c>
      <c r="B2459" t="s">
        <v>3366</v>
      </c>
      <c r="C2459" t="s">
        <v>130</v>
      </c>
      <c r="D2459">
        <v>1967</v>
      </c>
      <c r="E2459" t="s">
        <v>15</v>
      </c>
      <c r="F2459" t="s">
        <v>16</v>
      </c>
      <c r="G2459" t="s">
        <v>17</v>
      </c>
      <c r="H2459" t="s">
        <v>18</v>
      </c>
      <c r="I2459">
        <v>50.654000000000003</v>
      </c>
      <c r="J2459" t="s">
        <v>19</v>
      </c>
      <c r="K2459" t="s">
        <v>3379</v>
      </c>
      <c r="L2459" t="s">
        <v>21</v>
      </c>
      <c r="M2459" t="str">
        <f t="shared" si="114"/>
        <v>OK</v>
      </c>
      <c r="N2459" t="str">
        <f t="shared" si="115"/>
        <v>1960s</v>
      </c>
      <c r="O2459" t="str">
        <f t="shared" si="116"/>
        <v>Low</v>
      </c>
      <c r="P2459" t="str">
        <f>VLOOKUP(E2459,calculated_fields!$F$4:$G$6,2,FALSE)</f>
        <v>Health</v>
      </c>
    </row>
    <row r="2460" spans="1:16">
      <c r="A2460" t="s">
        <v>3380</v>
      </c>
      <c r="B2460" t="s">
        <v>3366</v>
      </c>
      <c r="C2460" t="s">
        <v>130</v>
      </c>
      <c r="D2460">
        <v>1967</v>
      </c>
      <c r="E2460" t="s">
        <v>23</v>
      </c>
      <c r="F2460" t="s">
        <v>24</v>
      </c>
      <c r="G2460" t="s">
        <v>25</v>
      </c>
      <c r="H2460" t="s">
        <v>26</v>
      </c>
      <c r="I2460">
        <v>10191512</v>
      </c>
      <c r="J2460" t="s">
        <v>27</v>
      </c>
      <c r="K2460" t="s">
        <v>3379</v>
      </c>
      <c r="L2460" t="s">
        <v>21</v>
      </c>
      <c r="M2460" t="str">
        <f t="shared" si="114"/>
        <v>OK</v>
      </c>
      <c r="N2460" t="str">
        <f t="shared" si="115"/>
        <v>1960s</v>
      </c>
      <c r="O2460" t="str">
        <f t="shared" si="116"/>
        <v>N/A</v>
      </c>
      <c r="P2460" t="str">
        <f>VLOOKUP(E2460,calculated_fields!$F$4:$G$6,2,FALSE)</f>
        <v>Demographics</v>
      </c>
    </row>
    <row r="2461" spans="1:16">
      <c r="A2461" t="s">
        <v>3381</v>
      </c>
      <c r="B2461" t="s">
        <v>3366</v>
      </c>
      <c r="C2461" t="s">
        <v>130</v>
      </c>
      <c r="D2461">
        <v>1967</v>
      </c>
      <c r="E2461" t="s">
        <v>29</v>
      </c>
      <c r="F2461" t="s">
        <v>30</v>
      </c>
      <c r="G2461" t="s">
        <v>31</v>
      </c>
      <c r="H2461" t="s">
        <v>32</v>
      </c>
      <c r="I2461">
        <v>1056.736457</v>
      </c>
      <c r="J2461" t="s">
        <v>33</v>
      </c>
      <c r="K2461" t="s">
        <v>3379</v>
      </c>
      <c r="L2461" t="s">
        <v>21</v>
      </c>
      <c r="M2461" t="str">
        <f t="shared" si="114"/>
        <v>OK</v>
      </c>
      <c r="N2461" t="str">
        <f t="shared" si="115"/>
        <v>1960s</v>
      </c>
      <c r="O2461" t="str">
        <f t="shared" si="116"/>
        <v>N/A</v>
      </c>
      <c r="P2461" t="str">
        <f>VLOOKUP(E2461,calculated_fields!$F$4:$G$6,2,FALSE)</f>
        <v>Economy</v>
      </c>
    </row>
    <row r="2462" spans="1:16">
      <c r="A2462" t="s">
        <v>3382</v>
      </c>
      <c r="B2462" t="s">
        <v>3366</v>
      </c>
      <c r="C2462" t="s">
        <v>130</v>
      </c>
      <c r="D2462">
        <v>1972</v>
      </c>
      <c r="E2462" t="s">
        <v>15</v>
      </c>
      <c r="F2462" t="s">
        <v>16</v>
      </c>
      <c r="G2462" t="s">
        <v>17</v>
      </c>
      <c r="H2462" t="s">
        <v>18</v>
      </c>
      <c r="I2462">
        <v>53.558999999999997</v>
      </c>
      <c r="J2462" t="s">
        <v>19</v>
      </c>
      <c r="K2462" t="s">
        <v>3383</v>
      </c>
      <c r="L2462" t="s">
        <v>21</v>
      </c>
      <c r="M2462" t="str">
        <f t="shared" si="114"/>
        <v>OK</v>
      </c>
      <c r="N2462" t="str">
        <f t="shared" si="115"/>
        <v>1970s</v>
      </c>
      <c r="O2462" t="str">
        <f t="shared" si="116"/>
        <v>Low</v>
      </c>
      <c r="P2462" t="str">
        <f>VLOOKUP(E2462,calculated_fields!$F$4:$G$6,2,FALSE)</f>
        <v>Health</v>
      </c>
    </row>
    <row r="2463" spans="1:16">
      <c r="A2463" t="s">
        <v>3384</v>
      </c>
      <c r="B2463" t="s">
        <v>3366</v>
      </c>
      <c r="C2463" t="s">
        <v>130</v>
      </c>
      <c r="D2463">
        <v>1972</v>
      </c>
      <c r="E2463" t="s">
        <v>23</v>
      </c>
      <c r="F2463" t="s">
        <v>24</v>
      </c>
      <c r="G2463" t="s">
        <v>25</v>
      </c>
      <c r="H2463" t="s">
        <v>26</v>
      </c>
      <c r="I2463">
        <v>12044785</v>
      </c>
      <c r="J2463" t="s">
        <v>27</v>
      </c>
      <c r="K2463" t="s">
        <v>3383</v>
      </c>
      <c r="L2463" t="s">
        <v>21</v>
      </c>
      <c r="M2463" t="str">
        <f t="shared" si="114"/>
        <v>OK</v>
      </c>
      <c r="N2463" t="str">
        <f t="shared" si="115"/>
        <v>1970s</v>
      </c>
      <c r="O2463" t="str">
        <f t="shared" si="116"/>
        <v>N/A</v>
      </c>
      <c r="P2463" t="str">
        <f>VLOOKUP(E2463,calculated_fields!$F$4:$G$6,2,FALSE)</f>
        <v>Demographics</v>
      </c>
    </row>
    <row r="2464" spans="1:16">
      <c r="A2464" t="s">
        <v>3385</v>
      </c>
      <c r="B2464" t="s">
        <v>3366</v>
      </c>
      <c r="C2464" t="s">
        <v>130</v>
      </c>
      <c r="D2464">
        <v>1972</v>
      </c>
      <c r="E2464" t="s">
        <v>29</v>
      </c>
      <c r="F2464" t="s">
        <v>30</v>
      </c>
      <c r="G2464" t="s">
        <v>31</v>
      </c>
      <c r="H2464" t="s">
        <v>32</v>
      </c>
      <c r="I2464">
        <v>1222.359968</v>
      </c>
      <c r="J2464" t="s">
        <v>33</v>
      </c>
      <c r="K2464" t="s">
        <v>3383</v>
      </c>
      <c r="L2464" t="s">
        <v>21</v>
      </c>
      <c r="M2464" t="str">
        <f t="shared" si="114"/>
        <v>OK</v>
      </c>
      <c r="N2464" t="str">
        <f t="shared" si="115"/>
        <v>1970s</v>
      </c>
      <c r="O2464" t="str">
        <f t="shared" si="116"/>
        <v>N/A</v>
      </c>
      <c r="P2464" t="str">
        <f>VLOOKUP(E2464,calculated_fields!$F$4:$G$6,2,FALSE)</f>
        <v>Economy</v>
      </c>
    </row>
    <row r="2465" spans="1:16">
      <c r="A2465" t="s">
        <v>3386</v>
      </c>
      <c r="B2465" t="s">
        <v>3366</v>
      </c>
      <c r="C2465" t="s">
        <v>130</v>
      </c>
      <c r="D2465">
        <v>1977</v>
      </c>
      <c r="E2465" t="s">
        <v>15</v>
      </c>
      <c r="F2465" t="s">
        <v>16</v>
      </c>
      <c r="G2465" t="s">
        <v>17</v>
      </c>
      <c r="H2465" t="s">
        <v>18</v>
      </c>
      <c r="I2465">
        <v>56.155000000000001</v>
      </c>
      <c r="J2465" t="s">
        <v>19</v>
      </c>
      <c r="K2465" t="s">
        <v>3387</v>
      </c>
      <c r="L2465" t="s">
        <v>21</v>
      </c>
      <c r="M2465" t="str">
        <f t="shared" si="114"/>
        <v>OK</v>
      </c>
      <c r="N2465" t="str">
        <f t="shared" si="115"/>
        <v>1970s</v>
      </c>
      <c r="O2465" t="str">
        <f t="shared" si="116"/>
        <v>Medium</v>
      </c>
      <c r="P2465" t="str">
        <f>VLOOKUP(E2465,calculated_fields!$F$4:$G$6,2,FALSE)</f>
        <v>Health</v>
      </c>
    </row>
    <row r="2466" spans="1:16">
      <c r="A2466" t="s">
        <v>3388</v>
      </c>
      <c r="B2466" t="s">
        <v>3366</v>
      </c>
      <c r="C2466" t="s">
        <v>130</v>
      </c>
      <c r="D2466">
        <v>1977</v>
      </c>
      <c r="E2466" t="s">
        <v>23</v>
      </c>
      <c r="F2466" t="s">
        <v>24</v>
      </c>
      <c r="G2466" t="s">
        <v>25</v>
      </c>
      <c r="H2466" t="s">
        <v>26</v>
      </c>
      <c r="I2466">
        <v>14500404</v>
      </c>
      <c r="J2466" t="s">
        <v>27</v>
      </c>
      <c r="K2466" t="s">
        <v>3387</v>
      </c>
      <c r="L2466" t="s">
        <v>21</v>
      </c>
      <c r="M2466" t="str">
        <f t="shared" si="114"/>
        <v>OK</v>
      </c>
      <c r="N2466" t="str">
        <f t="shared" si="115"/>
        <v>1970s</v>
      </c>
      <c r="O2466" t="str">
        <f t="shared" si="116"/>
        <v>N/A</v>
      </c>
      <c r="P2466" t="str">
        <f>VLOOKUP(E2466,calculated_fields!$F$4:$G$6,2,FALSE)</f>
        <v>Demographics</v>
      </c>
    </row>
    <row r="2467" spans="1:16">
      <c r="A2467" t="s">
        <v>3389</v>
      </c>
      <c r="B2467" t="s">
        <v>3366</v>
      </c>
      <c r="C2467" t="s">
        <v>130</v>
      </c>
      <c r="D2467">
        <v>1977</v>
      </c>
      <c r="E2467" t="s">
        <v>29</v>
      </c>
      <c r="F2467" t="s">
        <v>30</v>
      </c>
      <c r="G2467" t="s">
        <v>31</v>
      </c>
      <c r="H2467" t="s">
        <v>32</v>
      </c>
      <c r="I2467">
        <v>1267.613204</v>
      </c>
      <c r="J2467" t="s">
        <v>33</v>
      </c>
      <c r="K2467" t="s">
        <v>3387</v>
      </c>
      <c r="L2467" t="s">
        <v>21</v>
      </c>
      <c r="M2467" t="str">
        <f t="shared" si="114"/>
        <v>OK</v>
      </c>
      <c r="N2467" t="str">
        <f t="shared" si="115"/>
        <v>1970s</v>
      </c>
      <c r="O2467" t="str">
        <f t="shared" si="116"/>
        <v>N/A</v>
      </c>
      <c r="P2467" t="str">
        <f>VLOOKUP(E2467,calculated_fields!$F$4:$G$6,2,FALSE)</f>
        <v>Economy</v>
      </c>
    </row>
    <row r="2468" spans="1:16">
      <c r="A2468" t="s">
        <v>3390</v>
      </c>
      <c r="B2468" t="s">
        <v>3366</v>
      </c>
      <c r="C2468" t="s">
        <v>130</v>
      </c>
      <c r="D2468">
        <v>1982</v>
      </c>
      <c r="E2468" t="s">
        <v>15</v>
      </c>
      <c r="F2468" t="s">
        <v>16</v>
      </c>
      <c r="G2468" t="s">
        <v>17</v>
      </c>
      <c r="H2468" t="s">
        <v>18</v>
      </c>
      <c r="I2468">
        <v>58.765999999999998</v>
      </c>
      <c r="J2468" t="s">
        <v>19</v>
      </c>
      <c r="K2468" t="s">
        <v>3391</v>
      </c>
      <c r="L2468" t="s">
        <v>21</v>
      </c>
      <c r="M2468" t="str">
        <f t="shared" si="114"/>
        <v>OK</v>
      </c>
      <c r="N2468" t="str">
        <f t="shared" si="115"/>
        <v>1980s</v>
      </c>
      <c r="O2468" t="str">
        <f t="shared" si="116"/>
        <v>Medium</v>
      </c>
      <c r="P2468" t="str">
        <f>VLOOKUP(E2468,calculated_fields!$F$4:$G$6,2,FALSE)</f>
        <v>Health</v>
      </c>
    </row>
    <row r="2469" spans="1:16">
      <c r="A2469" t="s">
        <v>3392</v>
      </c>
      <c r="B2469" t="s">
        <v>3366</v>
      </c>
      <c r="C2469" t="s">
        <v>130</v>
      </c>
      <c r="D2469">
        <v>1982</v>
      </c>
      <c r="E2469" t="s">
        <v>23</v>
      </c>
      <c r="F2469" t="s">
        <v>24</v>
      </c>
      <c r="G2469" t="s">
        <v>25</v>
      </c>
      <c r="H2469" t="s">
        <v>26</v>
      </c>
      <c r="I2469">
        <v>17661452</v>
      </c>
      <c r="J2469" t="s">
        <v>27</v>
      </c>
      <c r="K2469" t="s">
        <v>3391</v>
      </c>
      <c r="L2469" t="s">
        <v>21</v>
      </c>
      <c r="M2469" t="str">
        <f t="shared" si="114"/>
        <v>OK</v>
      </c>
      <c r="N2469" t="str">
        <f t="shared" si="115"/>
        <v>1980s</v>
      </c>
      <c r="O2469" t="str">
        <f t="shared" si="116"/>
        <v>N/A</v>
      </c>
      <c r="P2469" t="str">
        <f>VLOOKUP(E2469,calculated_fields!$F$4:$G$6,2,FALSE)</f>
        <v>Demographics</v>
      </c>
    </row>
    <row r="2470" spans="1:16">
      <c r="A2470" t="s">
        <v>3393</v>
      </c>
      <c r="B2470" t="s">
        <v>3366</v>
      </c>
      <c r="C2470" t="s">
        <v>130</v>
      </c>
      <c r="D2470">
        <v>1982</v>
      </c>
      <c r="E2470" t="s">
        <v>29</v>
      </c>
      <c r="F2470" t="s">
        <v>30</v>
      </c>
      <c r="G2470" t="s">
        <v>31</v>
      </c>
      <c r="H2470" t="s">
        <v>32</v>
      </c>
      <c r="I2470">
        <v>1348.2257910000001</v>
      </c>
      <c r="J2470" t="s">
        <v>33</v>
      </c>
      <c r="K2470" t="s">
        <v>3391</v>
      </c>
      <c r="L2470" t="s">
        <v>21</v>
      </c>
      <c r="M2470" t="str">
        <f t="shared" si="114"/>
        <v>OK</v>
      </c>
      <c r="N2470" t="str">
        <f t="shared" si="115"/>
        <v>1980s</v>
      </c>
      <c r="O2470" t="str">
        <f t="shared" si="116"/>
        <v>N/A</v>
      </c>
      <c r="P2470" t="str">
        <f>VLOOKUP(E2470,calculated_fields!$F$4:$G$6,2,FALSE)</f>
        <v>Economy</v>
      </c>
    </row>
    <row r="2471" spans="1:16">
      <c r="A2471" t="s">
        <v>3394</v>
      </c>
      <c r="B2471" t="s">
        <v>3366</v>
      </c>
      <c r="C2471" t="s">
        <v>130</v>
      </c>
      <c r="D2471">
        <v>1987</v>
      </c>
      <c r="E2471" t="s">
        <v>15</v>
      </c>
      <c r="F2471" t="s">
        <v>16</v>
      </c>
      <c r="G2471" t="s">
        <v>17</v>
      </c>
      <c r="H2471" t="s">
        <v>18</v>
      </c>
      <c r="I2471">
        <v>59.338999999999999</v>
      </c>
      <c r="J2471" t="s">
        <v>19</v>
      </c>
      <c r="K2471" t="s">
        <v>3395</v>
      </c>
      <c r="L2471" t="s">
        <v>21</v>
      </c>
      <c r="M2471" t="str">
        <f t="shared" si="114"/>
        <v>OK</v>
      </c>
      <c r="N2471" t="str">
        <f t="shared" si="115"/>
        <v>1980s</v>
      </c>
      <c r="O2471" t="str">
        <f t="shared" si="116"/>
        <v>Medium</v>
      </c>
      <c r="P2471" t="str">
        <f>VLOOKUP(E2471,calculated_fields!$F$4:$G$6,2,FALSE)</f>
        <v>Health</v>
      </c>
    </row>
    <row r="2472" spans="1:16">
      <c r="A2472" t="s">
        <v>3396</v>
      </c>
      <c r="B2472" t="s">
        <v>3366</v>
      </c>
      <c r="C2472" t="s">
        <v>130</v>
      </c>
      <c r="D2472">
        <v>1987</v>
      </c>
      <c r="E2472" t="s">
        <v>23</v>
      </c>
      <c r="F2472" t="s">
        <v>24</v>
      </c>
      <c r="G2472" t="s">
        <v>25</v>
      </c>
      <c r="H2472" t="s">
        <v>26</v>
      </c>
      <c r="I2472">
        <v>21198082</v>
      </c>
      <c r="J2472" t="s">
        <v>27</v>
      </c>
      <c r="K2472" t="s">
        <v>3395</v>
      </c>
      <c r="L2472" t="s">
        <v>21</v>
      </c>
      <c r="M2472" t="str">
        <f t="shared" si="114"/>
        <v>OK</v>
      </c>
      <c r="N2472" t="str">
        <f t="shared" si="115"/>
        <v>1980s</v>
      </c>
      <c r="O2472" t="str">
        <f t="shared" si="116"/>
        <v>N/A</v>
      </c>
      <c r="P2472" t="str">
        <f>VLOOKUP(E2472,calculated_fields!$F$4:$G$6,2,FALSE)</f>
        <v>Demographics</v>
      </c>
    </row>
    <row r="2473" spans="1:16">
      <c r="A2473" t="s">
        <v>3397</v>
      </c>
      <c r="B2473" t="s">
        <v>3366</v>
      </c>
      <c r="C2473" t="s">
        <v>130</v>
      </c>
      <c r="D2473">
        <v>1987</v>
      </c>
      <c r="E2473" t="s">
        <v>29</v>
      </c>
      <c r="F2473" t="s">
        <v>30</v>
      </c>
      <c r="G2473" t="s">
        <v>31</v>
      </c>
      <c r="H2473" t="s">
        <v>32</v>
      </c>
      <c r="I2473">
        <v>1361.936856</v>
      </c>
      <c r="J2473" t="s">
        <v>33</v>
      </c>
      <c r="K2473" t="s">
        <v>3395</v>
      </c>
      <c r="L2473" t="s">
        <v>21</v>
      </c>
      <c r="M2473" t="str">
        <f t="shared" si="114"/>
        <v>OK</v>
      </c>
      <c r="N2473" t="str">
        <f t="shared" si="115"/>
        <v>1980s</v>
      </c>
      <c r="O2473" t="str">
        <f t="shared" si="116"/>
        <v>N/A</v>
      </c>
      <c r="P2473" t="str">
        <f>VLOOKUP(E2473,calculated_fields!$F$4:$G$6,2,FALSE)</f>
        <v>Economy</v>
      </c>
    </row>
    <row r="2474" spans="1:16">
      <c r="A2474" t="s">
        <v>3398</v>
      </c>
      <c r="B2474" t="s">
        <v>3366</v>
      </c>
      <c r="C2474" t="s">
        <v>130</v>
      </c>
      <c r="D2474">
        <v>1992</v>
      </c>
      <c r="E2474" t="s">
        <v>15</v>
      </c>
      <c r="F2474" t="s">
        <v>16</v>
      </c>
      <c r="G2474" t="s">
        <v>17</v>
      </c>
      <c r="H2474" t="s">
        <v>18</v>
      </c>
      <c r="I2474">
        <v>59.284999999999997</v>
      </c>
      <c r="J2474" t="s">
        <v>19</v>
      </c>
      <c r="K2474" t="s">
        <v>3399</v>
      </c>
      <c r="L2474" t="s">
        <v>21</v>
      </c>
      <c r="M2474" t="str">
        <f t="shared" si="114"/>
        <v>OK</v>
      </c>
      <c r="N2474" t="str">
        <f t="shared" si="115"/>
        <v>1990s</v>
      </c>
      <c r="O2474" t="str">
        <f t="shared" si="116"/>
        <v>Medium</v>
      </c>
      <c r="P2474" t="str">
        <f>VLOOKUP(E2474,calculated_fields!$F$4:$G$6,2,FALSE)</f>
        <v>Health</v>
      </c>
    </row>
    <row r="2475" spans="1:16">
      <c r="A2475" t="s">
        <v>3400</v>
      </c>
      <c r="B2475" t="s">
        <v>3366</v>
      </c>
      <c r="C2475" t="s">
        <v>130</v>
      </c>
      <c r="D2475">
        <v>1992</v>
      </c>
      <c r="E2475" t="s">
        <v>23</v>
      </c>
      <c r="F2475" t="s">
        <v>24</v>
      </c>
      <c r="G2475" t="s">
        <v>25</v>
      </c>
      <c r="H2475" t="s">
        <v>26</v>
      </c>
      <c r="I2475">
        <v>25020539</v>
      </c>
      <c r="J2475" t="s">
        <v>27</v>
      </c>
      <c r="K2475" t="s">
        <v>3399</v>
      </c>
      <c r="L2475" t="s">
        <v>21</v>
      </c>
      <c r="M2475" t="str">
        <f t="shared" si="114"/>
        <v>OK</v>
      </c>
      <c r="N2475" t="str">
        <f t="shared" si="115"/>
        <v>1990s</v>
      </c>
      <c r="O2475" t="str">
        <f t="shared" si="116"/>
        <v>N/A</v>
      </c>
      <c r="P2475" t="str">
        <f>VLOOKUP(E2475,calculated_fields!$F$4:$G$6,2,FALSE)</f>
        <v>Demographics</v>
      </c>
    </row>
    <row r="2476" spans="1:16">
      <c r="A2476" t="s">
        <v>3401</v>
      </c>
      <c r="B2476" t="s">
        <v>3366</v>
      </c>
      <c r="C2476" t="s">
        <v>130</v>
      </c>
      <c r="D2476">
        <v>1992</v>
      </c>
      <c r="E2476" t="s">
        <v>29</v>
      </c>
      <c r="F2476" t="s">
        <v>30</v>
      </c>
      <c r="G2476" t="s">
        <v>31</v>
      </c>
      <c r="H2476" t="s">
        <v>32</v>
      </c>
      <c r="I2476">
        <v>1341.9217209999999</v>
      </c>
      <c r="J2476" t="s">
        <v>33</v>
      </c>
      <c r="K2476" t="s">
        <v>3399</v>
      </c>
      <c r="L2476" t="s">
        <v>21</v>
      </c>
      <c r="M2476" t="str">
        <f t="shared" si="114"/>
        <v>OK</v>
      </c>
      <c r="N2476" t="str">
        <f t="shared" si="115"/>
        <v>1990s</v>
      </c>
      <c r="O2476" t="str">
        <f t="shared" si="116"/>
        <v>N/A</v>
      </c>
      <c r="P2476" t="str">
        <f>VLOOKUP(E2476,calculated_fields!$F$4:$G$6,2,FALSE)</f>
        <v>Economy</v>
      </c>
    </row>
    <row r="2477" spans="1:16">
      <c r="A2477" t="s">
        <v>3402</v>
      </c>
      <c r="B2477" t="s">
        <v>3366</v>
      </c>
      <c r="C2477" t="s">
        <v>130</v>
      </c>
      <c r="D2477">
        <v>1997</v>
      </c>
      <c r="E2477" t="s">
        <v>15</v>
      </c>
      <c r="F2477" t="s">
        <v>16</v>
      </c>
      <c r="G2477" t="s">
        <v>17</v>
      </c>
      <c r="H2477" t="s">
        <v>18</v>
      </c>
      <c r="I2477">
        <v>54.406999999999996</v>
      </c>
      <c r="J2477" t="s">
        <v>19</v>
      </c>
      <c r="K2477" t="s">
        <v>3403</v>
      </c>
      <c r="L2477" t="s">
        <v>21</v>
      </c>
      <c r="M2477" t="str">
        <f t="shared" si="114"/>
        <v>OK</v>
      </c>
      <c r="N2477" t="str">
        <f t="shared" si="115"/>
        <v>1990s</v>
      </c>
      <c r="O2477" t="str">
        <f t="shared" si="116"/>
        <v>Low</v>
      </c>
      <c r="P2477" t="str">
        <f>VLOOKUP(E2477,calculated_fields!$F$4:$G$6,2,FALSE)</f>
        <v>Health</v>
      </c>
    </row>
    <row r="2478" spans="1:16">
      <c r="A2478" t="s">
        <v>3404</v>
      </c>
      <c r="B2478" t="s">
        <v>3366</v>
      </c>
      <c r="C2478" t="s">
        <v>130</v>
      </c>
      <c r="D2478">
        <v>1997</v>
      </c>
      <c r="E2478" t="s">
        <v>23</v>
      </c>
      <c r="F2478" t="s">
        <v>24</v>
      </c>
      <c r="G2478" t="s">
        <v>25</v>
      </c>
      <c r="H2478" t="s">
        <v>26</v>
      </c>
      <c r="I2478">
        <v>28263827</v>
      </c>
      <c r="J2478" t="s">
        <v>27</v>
      </c>
      <c r="K2478" t="s">
        <v>3403</v>
      </c>
      <c r="L2478" t="s">
        <v>21</v>
      </c>
      <c r="M2478" t="str">
        <f t="shared" si="114"/>
        <v>OK</v>
      </c>
      <c r="N2478" t="str">
        <f t="shared" si="115"/>
        <v>1990s</v>
      </c>
      <c r="O2478" t="str">
        <f t="shared" si="116"/>
        <v>N/A</v>
      </c>
      <c r="P2478" t="str">
        <f>VLOOKUP(E2478,calculated_fields!$F$4:$G$6,2,FALSE)</f>
        <v>Demographics</v>
      </c>
    </row>
    <row r="2479" spans="1:16">
      <c r="A2479" t="s">
        <v>3405</v>
      </c>
      <c r="B2479" t="s">
        <v>3366</v>
      </c>
      <c r="C2479" t="s">
        <v>130</v>
      </c>
      <c r="D2479">
        <v>1997</v>
      </c>
      <c r="E2479" t="s">
        <v>29</v>
      </c>
      <c r="F2479" t="s">
        <v>30</v>
      </c>
      <c r="G2479" t="s">
        <v>31</v>
      </c>
      <c r="H2479" t="s">
        <v>32</v>
      </c>
      <c r="I2479">
        <v>1360.485021</v>
      </c>
      <c r="J2479" t="s">
        <v>33</v>
      </c>
      <c r="K2479" t="s">
        <v>3403</v>
      </c>
      <c r="L2479" t="s">
        <v>21</v>
      </c>
      <c r="M2479" t="str">
        <f t="shared" si="114"/>
        <v>OK</v>
      </c>
      <c r="N2479" t="str">
        <f t="shared" si="115"/>
        <v>1990s</v>
      </c>
      <c r="O2479" t="str">
        <f t="shared" si="116"/>
        <v>N/A</v>
      </c>
      <c r="P2479" t="str">
        <f>VLOOKUP(E2479,calculated_fields!$F$4:$G$6,2,FALSE)</f>
        <v>Economy</v>
      </c>
    </row>
    <row r="2480" spans="1:16">
      <c r="A2480" t="s">
        <v>3406</v>
      </c>
      <c r="B2480" t="s">
        <v>3366</v>
      </c>
      <c r="C2480" t="s">
        <v>130</v>
      </c>
      <c r="D2480">
        <v>2002</v>
      </c>
      <c r="E2480" t="s">
        <v>15</v>
      </c>
      <c r="F2480" t="s">
        <v>16</v>
      </c>
      <c r="G2480" t="s">
        <v>17</v>
      </c>
      <c r="H2480" t="s">
        <v>18</v>
      </c>
      <c r="I2480">
        <v>50.991999999999997</v>
      </c>
      <c r="J2480" t="s">
        <v>19</v>
      </c>
      <c r="K2480" t="s">
        <v>3407</v>
      </c>
      <c r="L2480" t="s">
        <v>21</v>
      </c>
      <c r="M2480" t="str">
        <f t="shared" si="114"/>
        <v>OK</v>
      </c>
      <c r="N2480" t="str">
        <f t="shared" si="115"/>
        <v>2000s</v>
      </c>
      <c r="O2480" t="str">
        <f t="shared" si="116"/>
        <v>Low</v>
      </c>
      <c r="P2480" t="str">
        <f>VLOOKUP(E2480,calculated_fields!$F$4:$G$6,2,FALSE)</f>
        <v>Health</v>
      </c>
    </row>
    <row r="2481" spans="1:16">
      <c r="A2481" t="s">
        <v>3408</v>
      </c>
      <c r="B2481" t="s">
        <v>3366</v>
      </c>
      <c r="C2481" t="s">
        <v>130</v>
      </c>
      <c r="D2481">
        <v>2002</v>
      </c>
      <c r="E2481" t="s">
        <v>23</v>
      </c>
      <c r="F2481" t="s">
        <v>24</v>
      </c>
      <c r="G2481" t="s">
        <v>25</v>
      </c>
      <c r="H2481" t="s">
        <v>26</v>
      </c>
      <c r="I2481">
        <v>31386842</v>
      </c>
      <c r="J2481" t="s">
        <v>27</v>
      </c>
      <c r="K2481" t="s">
        <v>3407</v>
      </c>
      <c r="L2481" t="s">
        <v>21</v>
      </c>
      <c r="M2481" t="str">
        <f t="shared" si="114"/>
        <v>OK</v>
      </c>
      <c r="N2481" t="str">
        <f t="shared" si="115"/>
        <v>2000s</v>
      </c>
      <c r="O2481" t="str">
        <f t="shared" si="116"/>
        <v>N/A</v>
      </c>
      <c r="P2481" t="str">
        <f>VLOOKUP(E2481,calculated_fields!$F$4:$G$6,2,FALSE)</f>
        <v>Demographics</v>
      </c>
    </row>
    <row r="2482" spans="1:16">
      <c r="A2482" t="s">
        <v>3409</v>
      </c>
      <c r="B2482" t="s">
        <v>3366</v>
      </c>
      <c r="C2482" t="s">
        <v>130</v>
      </c>
      <c r="D2482">
        <v>2002</v>
      </c>
      <c r="E2482" t="s">
        <v>29</v>
      </c>
      <c r="F2482" t="s">
        <v>30</v>
      </c>
      <c r="G2482" t="s">
        <v>31</v>
      </c>
      <c r="H2482" t="s">
        <v>32</v>
      </c>
      <c r="I2482">
        <v>1287.5147320000001</v>
      </c>
      <c r="J2482" t="s">
        <v>33</v>
      </c>
      <c r="K2482" t="s">
        <v>3407</v>
      </c>
      <c r="L2482" t="s">
        <v>21</v>
      </c>
      <c r="M2482" t="str">
        <f t="shared" si="114"/>
        <v>OK</v>
      </c>
      <c r="N2482" t="str">
        <f t="shared" si="115"/>
        <v>2000s</v>
      </c>
      <c r="O2482" t="str">
        <f t="shared" si="116"/>
        <v>N/A</v>
      </c>
      <c r="P2482" t="str">
        <f>VLOOKUP(E2482,calculated_fields!$F$4:$G$6,2,FALSE)</f>
        <v>Economy</v>
      </c>
    </row>
    <row r="2483" spans="1:16">
      <c r="A2483" t="s">
        <v>3410</v>
      </c>
      <c r="B2483" t="s">
        <v>3366</v>
      </c>
      <c r="C2483" t="s">
        <v>130</v>
      </c>
      <c r="D2483">
        <v>2007</v>
      </c>
      <c r="E2483" t="s">
        <v>15</v>
      </c>
      <c r="F2483" t="s">
        <v>16</v>
      </c>
      <c r="G2483" t="s">
        <v>17</v>
      </c>
      <c r="H2483" t="s">
        <v>18</v>
      </c>
      <c r="I2483">
        <v>54.11</v>
      </c>
      <c r="J2483" t="s">
        <v>19</v>
      </c>
      <c r="K2483" t="s">
        <v>3411</v>
      </c>
      <c r="L2483" t="s">
        <v>21</v>
      </c>
      <c r="M2483" t="str">
        <f t="shared" si="114"/>
        <v>OK</v>
      </c>
      <c r="N2483" t="str">
        <f t="shared" si="115"/>
        <v>2000s</v>
      </c>
      <c r="O2483" t="str">
        <f t="shared" si="116"/>
        <v>Low</v>
      </c>
      <c r="P2483" t="str">
        <f>VLOOKUP(E2483,calculated_fields!$F$4:$G$6,2,FALSE)</f>
        <v>Health</v>
      </c>
    </row>
    <row r="2484" spans="1:16">
      <c r="A2484" t="s">
        <v>3412</v>
      </c>
      <c r="B2484" t="s">
        <v>3366</v>
      </c>
      <c r="C2484" t="s">
        <v>130</v>
      </c>
      <c r="D2484">
        <v>2007</v>
      </c>
      <c r="E2484" t="s">
        <v>23</v>
      </c>
      <c r="F2484" t="s">
        <v>24</v>
      </c>
      <c r="G2484" t="s">
        <v>25</v>
      </c>
      <c r="H2484" t="s">
        <v>26</v>
      </c>
      <c r="I2484">
        <v>35610177</v>
      </c>
      <c r="J2484" t="s">
        <v>27</v>
      </c>
      <c r="K2484" t="s">
        <v>3411</v>
      </c>
      <c r="L2484" t="s">
        <v>21</v>
      </c>
      <c r="M2484" t="str">
        <f t="shared" si="114"/>
        <v>OK</v>
      </c>
      <c r="N2484" t="str">
        <f t="shared" si="115"/>
        <v>2000s</v>
      </c>
      <c r="O2484" t="str">
        <f t="shared" si="116"/>
        <v>N/A</v>
      </c>
      <c r="P2484" t="str">
        <f>VLOOKUP(E2484,calculated_fields!$F$4:$G$6,2,FALSE)</f>
        <v>Demographics</v>
      </c>
    </row>
    <row r="2485" spans="1:16">
      <c r="A2485" t="s">
        <v>3413</v>
      </c>
      <c r="B2485" t="s">
        <v>3366</v>
      </c>
      <c r="C2485" t="s">
        <v>130</v>
      </c>
      <c r="D2485">
        <v>2007</v>
      </c>
      <c r="E2485" t="s">
        <v>29</v>
      </c>
      <c r="F2485" t="s">
        <v>30</v>
      </c>
      <c r="G2485" t="s">
        <v>31</v>
      </c>
      <c r="H2485" t="s">
        <v>32</v>
      </c>
      <c r="I2485">
        <v>1463.249282</v>
      </c>
      <c r="J2485" t="s">
        <v>33</v>
      </c>
      <c r="K2485" t="s">
        <v>3411</v>
      </c>
      <c r="L2485" t="s">
        <v>21</v>
      </c>
      <c r="M2485" t="str">
        <f t="shared" si="114"/>
        <v>OK</v>
      </c>
      <c r="N2485" t="str">
        <f t="shared" si="115"/>
        <v>2000s</v>
      </c>
      <c r="O2485" t="str">
        <f t="shared" si="116"/>
        <v>N/A</v>
      </c>
      <c r="P2485" t="str">
        <f>VLOOKUP(E2485,calculated_fields!$F$4:$G$6,2,FALSE)</f>
        <v>Economy</v>
      </c>
    </row>
    <row r="2486" spans="1:16">
      <c r="A2486" t="s">
        <v>3414</v>
      </c>
      <c r="B2486" t="s">
        <v>3415</v>
      </c>
      <c r="C2486" t="s">
        <v>14</v>
      </c>
      <c r="D2486">
        <v>1952</v>
      </c>
      <c r="E2486" t="s">
        <v>15</v>
      </c>
      <c r="F2486" t="s">
        <v>16</v>
      </c>
      <c r="G2486" t="s">
        <v>17</v>
      </c>
      <c r="H2486" t="s">
        <v>18</v>
      </c>
      <c r="I2486">
        <v>50.055999999999997</v>
      </c>
      <c r="J2486" t="s">
        <v>19</v>
      </c>
      <c r="K2486" t="s">
        <v>3416</v>
      </c>
      <c r="L2486" t="s">
        <v>21</v>
      </c>
      <c r="M2486" t="str">
        <f t="shared" si="114"/>
        <v>OK</v>
      </c>
      <c r="N2486" t="str">
        <f t="shared" si="115"/>
        <v>1950s</v>
      </c>
      <c r="O2486" t="str">
        <f t="shared" si="116"/>
        <v>Low</v>
      </c>
      <c r="P2486" t="str">
        <f>VLOOKUP(E2486,calculated_fields!$F$4:$G$6,2,FALSE)</f>
        <v>Health</v>
      </c>
    </row>
    <row r="2487" spans="1:16">
      <c r="A2487" t="s">
        <v>3417</v>
      </c>
      <c r="B2487" t="s">
        <v>3415</v>
      </c>
      <c r="C2487" t="s">
        <v>14</v>
      </c>
      <c r="D2487">
        <v>1952</v>
      </c>
      <c r="E2487" t="s">
        <v>23</v>
      </c>
      <c r="F2487" t="s">
        <v>24</v>
      </c>
      <c r="G2487" t="s">
        <v>25</v>
      </c>
      <c r="H2487" t="s">
        <v>26</v>
      </c>
      <c r="I2487">
        <v>8865488</v>
      </c>
      <c r="J2487" t="s">
        <v>27</v>
      </c>
      <c r="K2487" t="s">
        <v>3416</v>
      </c>
      <c r="L2487" t="s">
        <v>21</v>
      </c>
      <c r="M2487" t="str">
        <f t="shared" si="114"/>
        <v>OK</v>
      </c>
      <c r="N2487" t="str">
        <f t="shared" si="115"/>
        <v>1950s</v>
      </c>
      <c r="O2487" t="str">
        <f t="shared" si="116"/>
        <v>N/A</v>
      </c>
      <c r="P2487" t="str">
        <f>VLOOKUP(E2487,calculated_fields!$F$4:$G$6,2,FALSE)</f>
        <v>Demographics</v>
      </c>
    </row>
    <row r="2488" spans="1:16">
      <c r="A2488" t="s">
        <v>3418</v>
      </c>
      <c r="B2488" t="s">
        <v>3415</v>
      </c>
      <c r="C2488" t="s">
        <v>14</v>
      </c>
      <c r="D2488">
        <v>1952</v>
      </c>
      <c r="E2488" t="s">
        <v>29</v>
      </c>
      <c r="F2488" t="s">
        <v>30</v>
      </c>
      <c r="G2488" t="s">
        <v>31</v>
      </c>
      <c r="H2488" t="s">
        <v>32</v>
      </c>
      <c r="I2488">
        <v>1088.2777579999999</v>
      </c>
      <c r="J2488" t="s">
        <v>33</v>
      </c>
      <c r="K2488" t="s">
        <v>3416</v>
      </c>
      <c r="L2488" t="s">
        <v>21</v>
      </c>
      <c r="M2488" t="str">
        <f t="shared" si="114"/>
        <v>OK</v>
      </c>
      <c r="N2488" t="str">
        <f t="shared" si="115"/>
        <v>1950s</v>
      </c>
      <c r="O2488" t="str">
        <f t="shared" si="116"/>
        <v>N/A</v>
      </c>
      <c r="P2488" t="str">
        <f>VLOOKUP(E2488,calculated_fields!$F$4:$G$6,2,FALSE)</f>
        <v>Economy</v>
      </c>
    </row>
    <row r="2489" spans="1:16">
      <c r="A2489" t="s">
        <v>3419</v>
      </c>
      <c r="B2489" t="s">
        <v>3415</v>
      </c>
      <c r="C2489" t="s">
        <v>14</v>
      </c>
      <c r="D2489">
        <v>1957</v>
      </c>
      <c r="E2489" t="s">
        <v>15</v>
      </c>
      <c r="F2489" t="s">
        <v>16</v>
      </c>
      <c r="G2489" t="s">
        <v>17</v>
      </c>
      <c r="H2489" t="s">
        <v>18</v>
      </c>
      <c r="I2489">
        <v>54.081000000000003</v>
      </c>
      <c r="J2489" t="s">
        <v>19</v>
      </c>
      <c r="K2489" t="s">
        <v>3420</v>
      </c>
      <c r="L2489" t="s">
        <v>21</v>
      </c>
      <c r="M2489" t="str">
        <f t="shared" si="114"/>
        <v>OK</v>
      </c>
      <c r="N2489" t="str">
        <f t="shared" si="115"/>
        <v>1950s</v>
      </c>
      <c r="O2489" t="str">
        <f t="shared" si="116"/>
        <v>Low</v>
      </c>
      <c r="P2489" t="str">
        <f>VLOOKUP(E2489,calculated_fields!$F$4:$G$6,2,FALSE)</f>
        <v>Health</v>
      </c>
    </row>
    <row r="2490" spans="1:16">
      <c r="A2490" t="s">
        <v>3421</v>
      </c>
      <c r="B2490" t="s">
        <v>3415</v>
      </c>
      <c r="C2490" t="s">
        <v>14</v>
      </c>
      <c r="D2490">
        <v>1957</v>
      </c>
      <c r="E2490" t="s">
        <v>23</v>
      </c>
      <c r="F2490" t="s">
        <v>24</v>
      </c>
      <c r="G2490" t="s">
        <v>25</v>
      </c>
      <c r="H2490" t="s">
        <v>26</v>
      </c>
      <c r="I2490">
        <v>9411381</v>
      </c>
      <c r="J2490" t="s">
        <v>27</v>
      </c>
      <c r="K2490" t="s">
        <v>3420</v>
      </c>
      <c r="L2490" t="s">
        <v>21</v>
      </c>
      <c r="M2490" t="str">
        <f t="shared" si="114"/>
        <v>OK</v>
      </c>
      <c r="N2490" t="str">
        <f t="shared" si="115"/>
        <v>1950s</v>
      </c>
      <c r="O2490" t="str">
        <f t="shared" si="116"/>
        <v>N/A</v>
      </c>
      <c r="P2490" t="str">
        <f>VLOOKUP(E2490,calculated_fields!$F$4:$G$6,2,FALSE)</f>
        <v>Demographics</v>
      </c>
    </row>
    <row r="2491" spans="1:16">
      <c r="A2491" t="s">
        <v>3422</v>
      </c>
      <c r="B2491" t="s">
        <v>3415</v>
      </c>
      <c r="C2491" t="s">
        <v>14</v>
      </c>
      <c r="D2491">
        <v>1957</v>
      </c>
      <c r="E2491" t="s">
        <v>29</v>
      </c>
      <c r="F2491" t="s">
        <v>30</v>
      </c>
      <c r="G2491" t="s">
        <v>31</v>
      </c>
      <c r="H2491" t="s">
        <v>32</v>
      </c>
      <c r="I2491">
        <v>1571.1346550000001</v>
      </c>
      <c r="J2491" t="s">
        <v>33</v>
      </c>
      <c r="K2491" t="s">
        <v>3420</v>
      </c>
      <c r="L2491" t="s">
        <v>21</v>
      </c>
      <c r="M2491" t="str">
        <f t="shared" si="114"/>
        <v>OK</v>
      </c>
      <c r="N2491" t="str">
        <f t="shared" si="115"/>
        <v>1950s</v>
      </c>
      <c r="O2491" t="str">
        <f t="shared" si="116"/>
        <v>N/A</v>
      </c>
      <c r="P2491" t="str">
        <f>VLOOKUP(E2491,calculated_fields!$F$4:$G$6,2,FALSE)</f>
        <v>Economy</v>
      </c>
    </row>
    <row r="2492" spans="1:16">
      <c r="A2492" t="s">
        <v>3423</v>
      </c>
      <c r="B2492" t="s">
        <v>3415</v>
      </c>
      <c r="C2492" t="s">
        <v>14</v>
      </c>
      <c r="D2492">
        <v>1962</v>
      </c>
      <c r="E2492" t="s">
        <v>15</v>
      </c>
      <c r="F2492" t="s">
        <v>16</v>
      </c>
      <c r="G2492" t="s">
        <v>17</v>
      </c>
      <c r="H2492" t="s">
        <v>18</v>
      </c>
      <c r="I2492">
        <v>56.655999999999999</v>
      </c>
      <c r="J2492" t="s">
        <v>19</v>
      </c>
      <c r="K2492" t="s">
        <v>3424</v>
      </c>
      <c r="L2492" t="s">
        <v>21</v>
      </c>
      <c r="M2492" t="str">
        <f t="shared" si="114"/>
        <v>OK</v>
      </c>
      <c r="N2492" t="str">
        <f t="shared" si="115"/>
        <v>1960s</v>
      </c>
      <c r="O2492" t="str">
        <f t="shared" si="116"/>
        <v>Medium</v>
      </c>
      <c r="P2492" t="str">
        <f>VLOOKUP(E2492,calculated_fields!$F$4:$G$6,2,FALSE)</f>
        <v>Health</v>
      </c>
    </row>
    <row r="2493" spans="1:16">
      <c r="A2493" t="s">
        <v>3425</v>
      </c>
      <c r="B2493" t="s">
        <v>3415</v>
      </c>
      <c r="C2493" t="s">
        <v>14</v>
      </c>
      <c r="D2493">
        <v>1962</v>
      </c>
      <c r="E2493" t="s">
        <v>23</v>
      </c>
      <c r="F2493" t="s">
        <v>24</v>
      </c>
      <c r="G2493" t="s">
        <v>25</v>
      </c>
      <c r="H2493" t="s">
        <v>26</v>
      </c>
      <c r="I2493">
        <v>10917494</v>
      </c>
      <c r="J2493" t="s">
        <v>27</v>
      </c>
      <c r="K2493" t="s">
        <v>3424</v>
      </c>
      <c r="L2493" t="s">
        <v>21</v>
      </c>
      <c r="M2493" t="str">
        <f t="shared" si="114"/>
        <v>OK</v>
      </c>
      <c r="N2493" t="str">
        <f t="shared" si="115"/>
        <v>1960s</v>
      </c>
      <c r="O2493" t="str">
        <f t="shared" si="116"/>
        <v>N/A</v>
      </c>
      <c r="P2493" t="str">
        <f>VLOOKUP(E2493,calculated_fields!$F$4:$G$6,2,FALSE)</f>
        <v>Demographics</v>
      </c>
    </row>
    <row r="2494" spans="1:16">
      <c r="A2494" t="s">
        <v>3426</v>
      </c>
      <c r="B2494" t="s">
        <v>3415</v>
      </c>
      <c r="C2494" t="s">
        <v>14</v>
      </c>
      <c r="D2494">
        <v>1962</v>
      </c>
      <c r="E2494" t="s">
        <v>29</v>
      </c>
      <c r="F2494" t="s">
        <v>30</v>
      </c>
      <c r="G2494" t="s">
        <v>31</v>
      </c>
      <c r="H2494" t="s">
        <v>32</v>
      </c>
      <c r="I2494">
        <v>1621.6935980000001</v>
      </c>
      <c r="J2494" t="s">
        <v>33</v>
      </c>
      <c r="K2494" t="s">
        <v>3424</v>
      </c>
      <c r="L2494" t="s">
        <v>21</v>
      </c>
      <c r="M2494" t="str">
        <f t="shared" si="114"/>
        <v>OK</v>
      </c>
      <c r="N2494" t="str">
        <f t="shared" si="115"/>
        <v>1960s</v>
      </c>
      <c r="O2494" t="str">
        <f t="shared" si="116"/>
        <v>N/A</v>
      </c>
      <c r="P2494" t="str">
        <f>VLOOKUP(E2494,calculated_fields!$F$4:$G$6,2,FALSE)</f>
        <v>Economy</v>
      </c>
    </row>
    <row r="2495" spans="1:16">
      <c r="A2495" t="s">
        <v>3427</v>
      </c>
      <c r="B2495" t="s">
        <v>3415</v>
      </c>
      <c r="C2495" t="s">
        <v>14</v>
      </c>
      <c r="D2495">
        <v>1967</v>
      </c>
      <c r="E2495" t="s">
        <v>15</v>
      </c>
      <c r="F2495" t="s">
        <v>16</v>
      </c>
      <c r="G2495" t="s">
        <v>17</v>
      </c>
      <c r="H2495" t="s">
        <v>18</v>
      </c>
      <c r="I2495">
        <v>59.942</v>
      </c>
      <c r="J2495" t="s">
        <v>19</v>
      </c>
      <c r="K2495" t="s">
        <v>3428</v>
      </c>
      <c r="L2495" t="s">
        <v>21</v>
      </c>
      <c r="M2495" t="str">
        <f t="shared" si="114"/>
        <v>OK</v>
      </c>
      <c r="N2495" t="str">
        <f t="shared" si="115"/>
        <v>1960s</v>
      </c>
      <c r="O2495" t="str">
        <f t="shared" si="116"/>
        <v>Medium</v>
      </c>
      <c r="P2495" t="str">
        <f>VLOOKUP(E2495,calculated_fields!$F$4:$G$6,2,FALSE)</f>
        <v>Health</v>
      </c>
    </row>
    <row r="2496" spans="1:16">
      <c r="A2496" t="s">
        <v>3429</v>
      </c>
      <c r="B2496" t="s">
        <v>3415</v>
      </c>
      <c r="C2496" t="s">
        <v>14</v>
      </c>
      <c r="D2496">
        <v>1967</v>
      </c>
      <c r="E2496" t="s">
        <v>23</v>
      </c>
      <c r="F2496" t="s">
        <v>24</v>
      </c>
      <c r="G2496" t="s">
        <v>25</v>
      </c>
      <c r="H2496" t="s">
        <v>26</v>
      </c>
      <c r="I2496">
        <v>12617009</v>
      </c>
      <c r="J2496" t="s">
        <v>27</v>
      </c>
      <c r="K2496" t="s">
        <v>3428</v>
      </c>
      <c r="L2496" t="s">
        <v>21</v>
      </c>
      <c r="M2496" t="str">
        <f t="shared" si="114"/>
        <v>OK</v>
      </c>
      <c r="N2496" t="str">
        <f t="shared" si="115"/>
        <v>1960s</v>
      </c>
      <c r="O2496" t="str">
        <f t="shared" si="116"/>
        <v>N/A</v>
      </c>
      <c r="P2496" t="str">
        <f>VLOOKUP(E2496,calculated_fields!$F$4:$G$6,2,FALSE)</f>
        <v>Demographics</v>
      </c>
    </row>
    <row r="2497" spans="1:16">
      <c r="A2497" t="s">
        <v>3430</v>
      </c>
      <c r="B2497" t="s">
        <v>3415</v>
      </c>
      <c r="C2497" t="s">
        <v>14</v>
      </c>
      <c r="D2497">
        <v>1967</v>
      </c>
      <c r="E2497" t="s">
        <v>29</v>
      </c>
      <c r="F2497" t="s">
        <v>30</v>
      </c>
      <c r="G2497" t="s">
        <v>31</v>
      </c>
      <c r="H2497" t="s">
        <v>32</v>
      </c>
      <c r="I2497">
        <v>2143.5406090000001</v>
      </c>
      <c r="J2497" t="s">
        <v>33</v>
      </c>
      <c r="K2497" t="s">
        <v>3428</v>
      </c>
      <c r="L2497" t="s">
        <v>21</v>
      </c>
      <c r="M2497" t="str">
        <f t="shared" si="114"/>
        <v>OK</v>
      </c>
      <c r="N2497" t="str">
        <f t="shared" si="115"/>
        <v>1960s</v>
      </c>
      <c r="O2497" t="str">
        <f t="shared" si="116"/>
        <v>N/A</v>
      </c>
      <c r="P2497" t="str">
        <f>VLOOKUP(E2497,calculated_fields!$F$4:$G$6,2,FALSE)</f>
        <v>Economy</v>
      </c>
    </row>
    <row r="2498" spans="1:16">
      <c r="A2498" t="s">
        <v>3431</v>
      </c>
      <c r="B2498" t="s">
        <v>3415</v>
      </c>
      <c r="C2498" t="s">
        <v>14</v>
      </c>
      <c r="D2498">
        <v>1972</v>
      </c>
      <c r="E2498" t="s">
        <v>15</v>
      </c>
      <c r="F2498" t="s">
        <v>16</v>
      </c>
      <c r="G2498" t="s">
        <v>17</v>
      </c>
      <c r="H2498" t="s">
        <v>18</v>
      </c>
      <c r="I2498">
        <v>63.982999999999997</v>
      </c>
      <c r="J2498" t="s">
        <v>19</v>
      </c>
      <c r="K2498" t="s">
        <v>3432</v>
      </c>
      <c r="L2498" t="s">
        <v>21</v>
      </c>
      <c r="M2498" t="str">
        <f t="shared" ref="M2498:M2561" si="117">IF(AND(ISNUMBER(I2498),I2498&gt;=0),"OK","Review")</f>
        <v>OK</v>
      </c>
      <c r="N2498" t="str">
        <f t="shared" ref="N2498:N2561" si="118">FLOOR(D2498,10)&amp;"s"</f>
        <v>1970s</v>
      </c>
      <c r="O2498" t="str">
        <f t="shared" ref="O2498:O2561" si="119">IF(E2498="LIFE_EXP",IF(I2498&gt;=70,"High",IF(I2498&gt;=55,"Medium","Low")),"N/A")</f>
        <v>Medium</v>
      </c>
      <c r="P2498" t="str">
        <f>VLOOKUP(E2498,calculated_fields!$F$4:$G$6,2,FALSE)</f>
        <v>Health</v>
      </c>
    </row>
    <row r="2499" spans="1:16">
      <c r="A2499" t="s">
        <v>3433</v>
      </c>
      <c r="B2499" t="s">
        <v>3415</v>
      </c>
      <c r="C2499" t="s">
        <v>14</v>
      </c>
      <c r="D2499">
        <v>1972</v>
      </c>
      <c r="E2499" t="s">
        <v>23</v>
      </c>
      <c r="F2499" t="s">
        <v>24</v>
      </c>
      <c r="G2499" t="s">
        <v>25</v>
      </c>
      <c r="H2499" t="s">
        <v>26</v>
      </c>
      <c r="I2499">
        <v>14781241</v>
      </c>
      <c r="J2499" t="s">
        <v>27</v>
      </c>
      <c r="K2499" t="s">
        <v>3432</v>
      </c>
      <c r="L2499" t="s">
        <v>21</v>
      </c>
      <c r="M2499" t="str">
        <f t="shared" si="117"/>
        <v>OK</v>
      </c>
      <c r="N2499" t="str">
        <f t="shared" si="118"/>
        <v>1970s</v>
      </c>
      <c r="O2499" t="str">
        <f t="shared" si="119"/>
        <v>N/A</v>
      </c>
      <c r="P2499" t="str">
        <f>VLOOKUP(E2499,calculated_fields!$F$4:$G$6,2,FALSE)</f>
        <v>Demographics</v>
      </c>
    </row>
    <row r="2500" spans="1:16">
      <c r="A2500" t="s">
        <v>3434</v>
      </c>
      <c r="B2500" t="s">
        <v>3415</v>
      </c>
      <c r="C2500" t="s">
        <v>14</v>
      </c>
      <c r="D2500">
        <v>1972</v>
      </c>
      <c r="E2500" t="s">
        <v>29</v>
      </c>
      <c r="F2500" t="s">
        <v>30</v>
      </c>
      <c r="G2500" t="s">
        <v>31</v>
      </c>
      <c r="H2500" t="s">
        <v>32</v>
      </c>
      <c r="I2500">
        <v>3701.6215029999998</v>
      </c>
      <c r="J2500" t="s">
        <v>33</v>
      </c>
      <c r="K2500" t="s">
        <v>3432</v>
      </c>
      <c r="L2500" t="s">
        <v>21</v>
      </c>
      <c r="M2500" t="str">
        <f t="shared" si="117"/>
        <v>OK</v>
      </c>
      <c r="N2500" t="str">
        <f t="shared" si="118"/>
        <v>1970s</v>
      </c>
      <c r="O2500" t="str">
        <f t="shared" si="119"/>
        <v>N/A</v>
      </c>
      <c r="P2500" t="str">
        <f>VLOOKUP(E2500,calculated_fields!$F$4:$G$6,2,FALSE)</f>
        <v>Economy</v>
      </c>
    </row>
    <row r="2501" spans="1:16">
      <c r="A2501" t="s">
        <v>3435</v>
      </c>
      <c r="B2501" t="s">
        <v>3415</v>
      </c>
      <c r="C2501" t="s">
        <v>14</v>
      </c>
      <c r="D2501">
        <v>1977</v>
      </c>
      <c r="E2501" t="s">
        <v>15</v>
      </c>
      <c r="F2501" t="s">
        <v>16</v>
      </c>
      <c r="G2501" t="s">
        <v>17</v>
      </c>
      <c r="H2501" t="s">
        <v>18</v>
      </c>
      <c r="I2501">
        <v>67.158999999999907</v>
      </c>
      <c r="J2501" t="s">
        <v>19</v>
      </c>
      <c r="K2501" t="s">
        <v>3436</v>
      </c>
      <c r="L2501" t="s">
        <v>21</v>
      </c>
      <c r="M2501" t="str">
        <f t="shared" si="117"/>
        <v>OK</v>
      </c>
      <c r="N2501" t="str">
        <f t="shared" si="118"/>
        <v>1970s</v>
      </c>
      <c r="O2501" t="str">
        <f t="shared" si="119"/>
        <v>Medium</v>
      </c>
      <c r="P2501" t="str">
        <f>VLOOKUP(E2501,calculated_fields!$F$4:$G$6,2,FALSE)</f>
        <v>Health</v>
      </c>
    </row>
    <row r="2502" spans="1:16">
      <c r="A2502" t="s">
        <v>3437</v>
      </c>
      <c r="B2502" t="s">
        <v>3415</v>
      </c>
      <c r="C2502" t="s">
        <v>14</v>
      </c>
      <c r="D2502">
        <v>1977</v>
      </c>
      <c r="E2502" t="s">
        <v>23</v>
      </c>
      <c r="F2502" t="s">
        <v>24</v>
      </c>
      <c r="G2502" t="s">
        <v>25</v>
      </c>
      <c r="H2502" t="s">
        <v>26</v>
      </c>
      <c r="I2502">
        <v>16325320</v>
      </c>
      <c r="J2502" t="s">
        <v>27</v>
      </c>
      <c r="K2502" t="s">
        <v>3436</v>
      </c>
      <c r="L2502" t="s">
        <v>21</v>
      </c>
      <c r="M2502" t="str">
        <f t="shared" si="117"/>
        <v>OK</v>
      </c>
      <c r="N2502" t="str">
        <f t="shared" si="118"/>
        <v>1970s</v>
      </c>
      <c r="O2502" t="str">
        <f t="shared" si="119"/>
        <v>N/A</v>
      </c>
      <c r="P2502" t="str">
        <f>VLOOKUP(E2502,calculated_fields!$F$4:$G$6,2,FALSE)</f>
        <v>Demographics</v>
      </c>
    </row>
    <row r="2503" spans="1:16">
      <c r="A2503" t="s">
        <v>3438</v>
      </c>
      <c r="B2503" t="s">
        <v>3415</v>
      </c>
      <c r="C2503" t="s">
        <v>14</v>
      </c>
      <c r="D2503">
        <v>1977</v>
      </c>
      <c r="E2503" t="s">
        <v>29</v>
      </c>
      <c r="F2503" t="s">
        <v>30</v>
      </c>
      <c r="G2503" t="s">
        <v>31</v>
      </c>
      <c r="H2503" t="s">
        <v>32</v>
      </c>
      <c r="I2503">
        <v>4106.3012490000001</v>
      </c>
      <c r="J2503" t="s">
        <v>33</v>
      </c>
      <c r="K2503" t="s">
        <v>3436</v>
      </c>
      <c r="L2503" t="s">
        <v>21</v>
      </c>
      <c r="M2503" t="str">
        <f t="shared" si="117"/>
        <v>OK</v>
      </c>
      <c r="N2503" t="str">
        <f t="shared" si="118"/>
        <v>1970s</v>
      </c>
      <c r="O2503" t="str">
        <f t="shared" si="119"/>
        <v>N/A</v>
      </c>
      <c r="P2503" t="str">
        <f>VLOOKUP(E2503,calculated_fields!$F$4:$G$6,2,FALSE)</f>
        <v>Economy</v>
      </c>
    </row>
    <row r="2504" spans="1:16">
      <c r="A2504" t="s">
        <v>3439</v>
      </c>
      <c r="B2504" t="s">
        <v>3415</v>
      </c>
      <c r="C2504" t="s">
        <v>14</v>
      </c>
      <c r="D2504">
        <v>1982</v>
      </c>
      <c r="E2504" t="s">
        <v>15</v>
      </c>
      <c r="F2504" t="s">
        <v>16</v>
      </c>
      <c r="G2504" t="s">
        <v>17</v>
      </c>
      <c r="H2504" t="s">
        <v>18</v>
      </c>
      <c r="I2504">
        <v>69.099999999999994</v>
      </c>
      <c r="J2504" t="s">
        <v>19</v>
      </c>
      <c r="K2504" t="s">
        <v>3440</v>
      </c>
      <c r="L2504" t="s">
        <v>21</v>
      </c>
      <c r="M2504" t="str">
        <f t="shared" si="117"/>
        <v>OK</v>
      </c>
      <c r="N2504" t="str">
        <f t="shared" si="118"/>
        <v>1980s</v>
      </c>
      <c r="O2504" t="str">
        <f t="shared" si="119"/>
        <v>Medium</v>
      </c>
      <c r="P2504" t="str">
        <f>VLOOKUP(E2504,calculated_fields!$F$4:$G$6,2,FALSE)</f>
        <v>Health</v>
      </c>
    </row>
    <row r="2505" spans="1:16">
      <c r="A2505" t="s">
        <v>3441</v>
      </c>
      <c r="B2505" t="s">
        <v>3415</v>
      </c>
      <c r="C2505" t="s">
        <v>14</v>
      </c>
      <c r="D2505">
        <v>1982</v>
      </c>
      <c r="E2505" t="s">
        <v>23</v>
      </c>
      <c r="F2505" t="s">
        <v>24</v>
      </c>
      <c r="G2505" t="s">
        <v>25</v>
      </c>
      <c r="H2505" t="s">
        <v>26</v>
      </c>
      <c r="I2505">
        <v>17647518</v>
      </c>
      <c r="J2505" t="s">
        <v>27</v>
      </c>
      <c r="K2505" t="s">
        <v>3440</v>
      </c>
      <c r="L2505" t="s">
        <v>21</v>
      </c>
      <c r="M2505" t="str">
        <f t="shared" si="117"/>
        <v>OK</v>
      </c>
      <c r="N2505" t="str">
        <f t="shared" si="118"/>
        <v>1980s</v>
      </c>
      <c r="O2505" t="str">
        <f t="shared" si="119"/>
        <v>N/A</v>
      </c>
      <c r="P2505" t="str">
        <f>VLOOKUP(E2505,calculated_fields!$F$4:$G$6,2,FALSE)</f>
        <v>Demographics</v>
      </c>
    </row>
    <row r="2506" spans="1:16">
      <c r="A2506" t="s">
        <v>3442</v>
      </c>
      <c r="B2506" t="s">
        <v>3415</v>
      </c>
      <c r="C2506" t="s">
        <v>14</v>
      </c>
      <c r="D2506">
        <v>1982</v>
      </c>
      <c r="E2506" t="s">
        <v>29</v>
      </c>
      <c r="F2506" t="s">
        <v>30</v>
      </c>
      <c r="G2506" t="s">
        <v>31</v>
      </c>
      <c r="H2506" t="s">
        <v>32</v>
      </c>
      <c r="I2506">
        <v>4106.5252929999997</v>
      </c>
      <c r="J2506" t="s">
        <v>33</v>
      </c>
      <c r="K2506" t="s">
        <v>3440</v>
      </c>
      <c r="L2506" t="s">
        <v>21</v>
      </c>
      <c r="M2506" t="str">
        <f t="shared" si="117"/>
        <v>OK</v>
      </c>
      <c r="N2506" t="str">
        <f t="shared" si="118"/>
        <v>1980s</v>
      </c>
      <c r="O2506" t="str">
        <f t="shared" si="119"/>
        <v>N/A</v>
      </c>
      <c r="P2506" t="str">
        <f>VLOOKUP(E2506,calculated_fields!$F$4:$G$6,2,FALSE)</f>
        <v>Economy</v>
      </c>
    </row>
    <row r="2507" spans="1:16">
      <c r="A2507" t="s">
        <v>3443</v>
      </c>
      <c r="B2507" t="s">
        <v>3415</v>
      </c>
      <c r="C2507" t="s">
        <v>14</v>
      </c>
      <c r="D2507">
        <v>1987</v>
      </c>
      <c r="E2507" t="s">
        <v>15</v>
      </c>
      <c r="F2507" t="s">
        <v>16</v>
      </c>
      <c r="G2507" t="s">
        <v>17</v>
      </c>
      <c r="H2507" t="s">
        <v>18</v>
      </c>
      <c r="I2507">
        <v>70.646999999999906</v>
      </c>
      <c r="J2507" t="s">
        <v>19</v>
      </c>
      <c r="K2507" t="s">
        <v>3444</v>
      </c>
      <c r="L2507" t="s">
        <v>21</v>
      </c>
      <c r="M2507" t="str">
        <f t="shared" si="117"/>
        <v>OK</v>
      </c>
      <c r="N2507" t="str">
        <f t="shared" si="118"/>
        <v>1980s</v>
      </c>
      <c r="O2507" t="str">
        <f t="shared" si="119"/>
        <v>High</v>
      </c>
      <c r="P2507" t="str">
        <f>VLOOKUP(E2507,calculated_fields!$F$4:$G$6,2,FALSE)</f>
        <v>Health</v>
      </c>
    </row>
    <row r="2508" spans="1:16">
      <c r="A2508" t="s">
        <v>3445</v>
      </c>
      <c r="B2508" t="s">
        <v>3415</v>
      </c>
      <c r="C2508" t="s">
        <v>14</v>
      </c>
      <c r="D2508">
        <v>1987</v>
      </c>
      <c r="E2508" t="s">
        <v>23</v>
      </c>
      <c r="F2508" t="s">
        <v>24</v>
      </c>
      <c r="G2508" t="s">
        <v>25</v>
      </c>
      <c r="H2508" t="s">
        <v>26</v>
      </c>
      <c r="I2508">
        <v>19067554</v>
      </c>
      <c r="J2508" t="s">
        <v>27</v>
      </c>
      <c r="K2508" t="s">
        <v>3444</v>
      </c>
      <c r="L2508" t="s">
        <v>21</v>
      </c>
      <c r="M2508" t="str">
        <f t="shared" si="117"/>
        <v>OK</v>
      </c>
      <c r="N2508" t="str">
        <f t="shared" si="118"/>
        <v>1980s</v>
      </c>
      <c r="O2508" t="str">
        <f t="shared" si="119"/>
        <v>N/A</v>
      </c>
      <c r="P2508" t="str">
        <f>VLOOKUP(E2508,calculated_fields!$F$4:$G$6,2,FALSE)</f>
        <v>Demographics</v>
      </c>
    </row>
    <row r="2509" spans="1:16">
      <c r="A2509" t="s">
        <v>3446</v>
      </c>
      <c r="B2509" t="s">
        <v>3415</v>
      </c>
      <c r="C2509" t="s">
        <v>14</v>
      </c>
      <c r="D2509">
        <v>1987</v>
      </c>
      <c r="E2509" t="s">
        <v>29</v>
      </c>
      <c r="F2509" t="s">
        <v>30</v>
      </c>
      <c r="G2509" t="s">
        <v>31</v>
      </c>
      <c r="H2509" t="s">
        <v>32</v>
      </c>
      <c r="I2509">
        <v>4106.4923150000004</v>
      </c>
      <c r="J2509" t="s">
        <v>33</v>
      </c>
      <c r="K2509" t="s">
        <v>3444</v>
      </c>
      <c r="L2509" t="s">
        <v>21</v>
      </c>
      <c r="M2509" t="str">
        <f t="shared" si="117"/>
        <v>OK</v>
      </c>
      <c r="N2509" t="str">
        <f t="shared" si="118"/>
        <v>1980s</v>
      </c>
      <c r="O2509" t="str">
        <f t="shared" si="119"/>
        <v>N/A</v>
      </c>
      <c r="P2509" t="str">
        <f>VLOOKUP(E2509,calculated_fields!$F$4:$G$6,2,FALSE)</f>
        <v>Economy</v>
      </c>
    </row>
    <row r="2510" spans="1:16">
      <c r="A2510" t="s">
        <v>3447</v>
      </c>
      <c r="B2510" t="s">
        <v>3415</v>
      </c>
      <c r="C2510" t="s">
        <v>14</v>
      </c>
      <c r="D2510">
        <v>1992</v>
      </c>
      <c r="E2510" t="s">
        <v>15</v>
      </c>
      <c r="F2510" t="s">
        <v>16</v>
      </c>
      <c r="G2510" t="s">
        <v>17</v>
      </c>
      <c r="H2510" t="s">
        <v>18</v>
      </c>
      <c r="I2510">
        <v>69.977999999999994</v>
      </c>
      <c r="J2510" t="s">
        <v>19</v>
      </c>
      <c r="K2510" t="s">
        <v>3448</v>
      </c>
      <c r="L2510" t="s">
        <v>21</v>
      </c>
      <c r="M2510" t="str">
        <f t="shared" si="117"/>
        <v>OK</v>
      </c>
      <c r="N2510" t="str">
        <f t="shared" si="118"/>
        <v>1990s</v>
      </c>
      <c r="O2510" t="str">
        <f t="shared" si="119"/>
        <v>Medium</v>
      </c>
      <c r="P2510" t="str">
        <f>VLOOKUP(E2510,calculated_fields!$F$4:$G$6,2,FALSE)</f>
        <v>Health</v>
      </c>
    </row>
    <row r="2511" spans="1:16">
      <c r="A2511" t="s">
        <v>3449</v>
      </c>
      <c r="B2511" t="s">
        <v>3415</v>
      </c>
      <c r="C2511" t="s">
        <v>14</v>
      </c>
      <c r="D2511">
        <v>1992</v>
      </c>
      <c r="E2511" t="s">
        <v>23</v>
      </c>
      <c r="F2511" t="s">
        <v>24</v>
      </c>
      <c r="G2511" t="s">
        <v>25</v>
      </c>
      <c r="H2511" t="s">
        <v>26</v>
      </c>
      <c r="I2511">
        <v>20711375</v>
      </c>
      <c r="J2511" t="s">
        <v>27</v>
      </c>
      <c r="K2511" t="s">
        <v>3448</v>
      </c>
      <c r="L2511" t="s">
        <v>21</v>
      </c>
      <c r="M2511" t="str">
        <f t="shared" si="117"/>
        <v>OK</v>
      </c>
      <c r="N2511" t="str">
        <f t="shared" si="118"/>
        <v>1990s</v>
      </c>
      <c r="O2511" t="str">
        <f t="shared" si="119"/>
        <v>N/A</v>
      </c>
      <c r="P2511" t="str">
        <f>VLOOKUP(E2511,calculated_fields!$F$4:$G$6,2,FALSE)</f>
        <v>Demographics</v>
      </c>
    </row>
    <row r="2512" spans="1:16">
      <c r="A2512" t="s">
        <v>3450</v>
      </c>
      <c r="B2512" t="s">
        <v>3415</v>
      </c>
      <c r="C2512" t="s">
        <v>14</v>
      </c>
      <c r="D2512">
        <v>1992</v>
      </c>
      <c r="E2512" t="s">
        <v>29</v>
      </c>
      <c r="F2512" t="s">
        <v>30</v>
      </c>
      <c r="G2512" t="s">
        <v>31</v>
      </c>
      <c r="H2512" t="s">
        <v>32</v>
      </c>
      <c r="I2512">
        <v>3726.0635069999998</v>
      </c>
      <c r="J2512" t="s">
        <v>33</v>
      </c>
      <c r="K2512" t="s">
        <v>3448</v>
      </c>
      <c r="L2512" t="s">
        <v>21</v>
      </c>
      <c r="M2512" t="str">
        <f t="shared" si="117"/>
        <v>OK</v>
      </c>
      <c r="N2512" t="str">
        <f t="shared" si="118"/>
        <v>1990s</v>
      </c>
      <c r="O2512" t="str">
        <f t="shared" si="119"/>
        <v>N/A</v>
      </c>
      <c r="P2512" t="str">
        <f>VLOOKUP(E2512,calculated_fields!$F$4:$G$6,2,FALSE)</f>
        <v>Economy</v>
      </c>
    </row>
    <row r="2513" spans="1:16">
      <c r="A2513" t="s">
        <v>3451</v>
      </c>
      <c r="B2513" t="s">
        <v>3415</v>
      </c>
      <c r="C2513" t="s">
        <v>14</v>
      </c>
      <c r="D2513">
        <v>1997</v>
      </c>
      <c r="E2513" t="s">
        <v>15</v>
      </c>
      <c r="F2513" t="s">
        <v>16</v>
      </c>
      <c r="G2513" t="s">
        <v>17</v>
      </c>
      <c r="H2513" t="s">
        <v>18</v>
      </c>
      <c r="I2513">
        <v>67.727000000000004</v>
      </c>
      <c r="J2513" t="s">
        <v>19</v>
      </c>
      <c r="K2513" t="s">
        <v>3452</v>
      </c>
      <c r="L2513" t="s">
        <v>21</v>
      </c>
      <c r="M2513" t="str">
        <f t="shared" si="117"/>
        <v>OK</v>
      </c>
      <c r="N2513" t="str">
        <f t="shared" si="118"/>
        <v>1990s</v>
      </c>
      <c r="O2513" t="str">
        <f t="shared" si="119"/>
        <v>Medium</v>
      </c>
      <c r="P2513" t="str">
        <f>VLOOKUP(E2513,calculated_fields!$F$4:$G$6,2,FALSE)</f>
        <v>Health</v>
      </c>
    </row>
    <row r="2514" spans="1:16">
      <c r="A2514" t="s">
        <v>3453</v>
      </c>
      <c r="B2514" t="s">
        <v>3415</v>
      </c>
      <c r="C2514" t="s">
        <v>14</v>
      </c>
      <c r="D2514">
        <v>1997</v>
      </c>
      <c r="E2514" t="s">
        <v>23</v>
      </c>
      <c r="F2514" t="s">
        <v>24</v>
      </c>
      <c r="G2514" t="s">
        <v>25</v>
      </c>
      <c r="H2514" t="s">
        <v>26</v>
      </c>
      <c r="I2514">
        <v>21585105</v>
      </c>
      <c r="J2514" t="s">
        <v>27</v>
      </c>
      <c r="K2514" t="s">
        <v>3452</v>
      </c>
      <c r="L2514" t="s">
        <v>21</v>
      </c>
      <c r="M2514" t="str">
        <f t="shared" si="117"/>
        <v>OK</v>
      </c>
      <c r="N2514" t="str">
        <f t="shared" si="118"/>
        <v>1990s</v>
      </c>
      <c r="O2514" t="str">
        <f t="shared" si="119"/>
        <v>N/A</v>
      </c>
      <c r="P2514" t="str">
        <f>VLOOKUP(E2514,calculated_fields!$F$4:$G$6,2,FALSE)</f>
        <v>Demographics</v>
      </c>
    </row>
    <row r="2515" spans="1:16">
      <c r="A2515" t="s">
        <v>3454</v>
      </c>
      <c r="B2515" t="s">
        <v>3415</v>
      </c>
      <c r="C2515" t="s">
        <v>14</v>
      </c>
      <c r="D2515">
        <v>1997</v>
      </c>
      <c r="E2515" t="s">
        <v>29</v>
      </c>
      <c r="F2515" t="s">
        <v>30</v>
      </c>
      <c r="G2515" t="s">
        <v>31</v>
      </c>
      <c r="H2515" t="s">
        <v>32</v>
      </c>
      <c r="I2515">
        <v>1690.7568140000001</v>
      </c>
      <c r="J2515" t="s">
        <v>33</v>
      </c>
      <c r="K2515" t="s">
        <v>3452</v>
      </c>
      <c r="L2515" t="s">
        <v>21</v>
      </c>
      <c r="M2515" t="str">
        <f t="shared" si="117"/>
        <v>OK</v>
      </c>
      <c r="N2515" t="str">
        <f t="shared" si="118"/>
        <v>1990s</v>
      </c>
      <c r="O2515" t="str">
        <f t="shared" si="119"/>
        <v>N/A</v>
      </c>
      <c r="P2515" t="str">
        <f>VLOOKUP(E2515,calculated_fields!$F$4:$G$6,2,FALSE)</f>
        <v>Economy</v>
      </c>
    </row>
    <row r="2516" spans="1:16">
      <c r="A2516" t="s">
        <v>3455</v>
      </c>
      <c r="B2516" t="s">
        <v>3415</v>
      </c>
      <c r="C2516" t="s">
        <v>14</v>
      </c>
      <c r="D2516">
        <v>2002</v>
      </c>
      <c r="E2516" t="s">
        <v>15</v>
      </c>
      <c r="F2516" t="s">
        <v>16</v>
      </c>
      <c r="G2516" t="s">
        <v>17</v>
      </c>
      <c r="H2516" t="s">
        <v>18</v>
      </c>
      <c r="I2516">
        <v>66.661999999999907</v>
      </c>
      <c r="J2516" t="s">
        <v>19</v>
      </c>
      <c r="K2516" t="s">
        <v>3456</v>
      </c>
      <c r="L2516" t="s">
        <v>21</v>
      </c>
      <c r="M2516" t="str">
        <f t="shared" si="117"/>
        <v>OK</v>
      </c>
      <c r="N2516" t="str">
        <f t="shared" si="118"/>
        <v>2000s</v>
      </c>
      <c r="O2516" t="str">
        <f t="shared" si="119"/>
        <v>Medium</v>
      </c>
      <c r="P2516" t="str">
        <f>VLOOKUP(E2516,calculated_fields!$F$4:$G$6,2,FALSE)</f>
        <v>Health</v>
      </c>
    </row>
    <row r="2517" spans="1:16">
      <c r="A2517" t="s">
        <v>3457</v>
      </c>
      <c r="B2517" t="s">
        <v>3415</v>
      </c>
      <c r="C2517" t="s">
        <v>14</v>
      </c>
      <c r="D2517">
        <v>2002</v>
      </c>
      <c r="E2517" t="s">
        <v>23</v>
      </c>
      <c r="F2517" t="s">
        <v>24</v>
      </c>
      <c r="G2517" t="s">
        <v>25</v>
      </c>
      <c r="H2517" t="s">
        <v>26</v>
      </c>
      <c r="I2517">
        <v>22215365</v>
      </c>
      <c r="J2517" t="s">
        <v>27</v>
      </c>
      <c r="K2517" t="s">
        <v>3456</v>
      </c>
      <c r="L2517" t="s">
        <v>21</v>
      </c>
      <c r="M2517" t="str">
        <f t="shared" si="117"/>
        <v>OK</v>
      </c>
      <c r="N2517" t="str">
        <f t="shared" si="118"/>
        <v>2000s</v>
      </c>
      <c r="O2517" t="str">
        <f t="shared" si="119"/>
        <v>N/A</v>
      </c>
      <c r="P2517" t="str">
        <f>VLOOKUP(E2517,calculated_fields!$F$4:$G$6,2,FALSE)</f>
        <v>Demographics</v>
      </c>
    </row>
    <row r="2518" spans="1:16">
      <c r="A2518" t="s">
        <v>3458</v>
      </c>
      <c r="B2518" t="s">
        <v>3415</v>
      </c>
      <c r="C2518" t="s">
        <v>14</v>
      </c>
      <c r="D2518">
        <v>2002</v>
      </c>
      <c r="E2518" t="s">
        <v>29</v>
      </c>
      <c r="F2518" t="s">
        <v>30</v>
      </c>
      <c r="G2518" t="s">
        <v>31</v>
      </c>
      <c r="H2518" t="s">
        <v>32</v>
      </c>
      <c r="I2518">
        <v>1646.758151</v>
      </c>
      <c r="J2518" t="s">
        <v>33</v>
      </c>
      <c r="K2518" t="s">
        <v>3456</v>
      </c>
      <c r="L2518" t="s">
        <v>21</v>
      </c>
      <c r="M2518" t="str">
        <f t="shared" si="117"/>
        <v>OK</v>
      </c>
      <c r="N2518" t="str">
        <f t="shared" si="118"/>
        <v>2000s</v>
      </c>
      <c r="O2518" t="str">
        <f t="shared" si="119"/>
        <v>N/A</v>
      </c>
      <c r="P2518" t="str">
        <f>VLOOKUP(E2518,calculated_fields!$F$4:$G$6,2,FALSE)</f>
        <v>Economy</v>
      </c>
    </row>
    <row r="2519" spans="1:16">
      <c r="A2519" t="s">
        <v>3459</v>
      </c>
      <c r="B2519" t="s">
        <v>3415</v>
      </c>
      <c r="C2519" t="s">
        <v>14</v>
      </c>
      <c r="D2519">
        <v>2007</v>
      </c>
      <c r="E2519" t="s">
        <v>15</v>
      </c>
      <c r="F2519" t="s">
        <v>16</v>
      </c>
      <c r="G2519" t="s">
        <v>17</v>
      </c>
      <c r="H2519" t="s">
        <v>18</v>
      </c>
      <c r="I2519">
        <v>67.296999999999997</v>
      </c>
      <c r="J2519" t="s">
        <v>19</v>
      </c>
      <c r="K2519" t="s">
        <v>3460</v>
      </c>
      <c r="L2519" t="s">
        <v>21</v>
      </c>
      <c r="M2519" t="str">
        <f t="shared" si="117"/>
        <v>OK</v>
      </c>
      <c r="N2519" t="str">
        <f t="shared" si="118"/>
        <v>2000s</v>
      </c>
      <c r="O2519" t="str">
        <f t="shared" si="119"/>
        <v>Medium</v>
      </c>
      <c r="P2519" t="str">
        <f>VLOOKUP(E2519,calculated_fields!$F$4:$G$6,2,FALSE)</f>
        <v>Health</v>
      </c>
    </row>
    <row r="2520" spans="1:16">
      <c r="A2520" t="s">
        <v>3461</v>
      </c>
      <c r="B2520" t="s">
        <v>3415</v>
      </c>
      <c r="C2520" t="s">
        <v>14</v>
      </c>
      <c r="D2520">
        <v>2007</v>
      </c>
      <c r="E2520" t="s">
        <v>23</v>
      </c>
      <c r="F2520" t="s">
        <v>24</v>
      </c>
      <c r="G2520" t="s">
        <v>25</v>
      </c>
      <c r="H2520" t="s">
        <v>26</v>
      </c>
      <c r="I2520">
        <v>23301725</v>
      </c>
      <c r="J2520" t="s">
        <v>27</v>
      </c>
      <c r="K2520" t="s">
        <v>3460</v>
      </c>
      <c r="L2520" t="s">
        <v>21</v>
      </c>
      <c r="M2520" t="str">
        <f t="shared" si="117"/>
        <v>OK</v>
      </c>
      <c r="N2520" t="str">
        <f t="shared" si="118"/>
        <v>2000s</v>
      </c>
      <c r="O2520" t="str">
        <f t="shared" si="119"/>
        <v>N/A</v>
      </c>
      <c r="P2520" t="str">
        <f>VLOOKUP(E2520,calculated_fields!$F$4:$G$6,2,FALSE)</f>
        <v>Demographics</v>
      </c>
    </row>
    <row r="2521" spans="1:16">
      <c r="A2521" t="s">
        <v>3462</v>
      </c>
      <c r="B2521" t="s">
        <v>3415</v>
      </c>
      <c r="C2521" t="s">
        <v>14</v>
      </c>
      <c r="D2521">
        <v>2007</v>
      </c>
      <c r="E2521" t="s">
        <v>29</v>
      </c>
      <c r="F2521" t="s">
        <v>30</v>
      </c>
      <c r="G2521" t="s">
        <v>31</v>
      </c>
      <c r="H2521" t="s">
        <v>32</v>
      </c>
      <c r="I2521">
        <v>1593.06548</v>
      </c>
      <c r="J2521" t="s">
        <v>33</v>
      </c>
      <c r="K2521" t="s">
        <v>3460</v>
      </c>
      <c r="L2521" t="s">
        <v>21</v>
      </c>
      <c r="M2521" t="str">
        <f t="shared" si="117"/>
        <v>OK</v>
      </c>
      <c r="N2521" t="str">
        <f t="shared" si="118"/>
        <v>2000s</v>
      </c>
      <c r="O2521" t="str">
        <f t="shared" si="119"/>
        <v>N/A</v>
      </c>
      <c r="P2521" t="str">
        <f>VLOOKUP(E2521,calculated_fields!$F$4:$G$6,2,FALSE)</f>
        <v>Economy</v>
      </c>
    </row>
    <row r="2522" spans="1:16">
      <c r="A2522" t="s">
        <v>3463</v>
      </c>
      <c r="B2522" t="s">
        <v>3464</v>
      </c>
      <c r="C2522" t="s">
        <v>14</v>
      </c>
      <c r="D2522">
        <v>1952</v>
      </c>
      <c r="E2522" t="s">
        <v>15</v>
      </c>
      <c r="F2522" t="s">
        <v>16</v>
      </c>
      <c r="G2522" t="s">
        <v>17</v>
      </c>
      <c r="H2522" t="s">
        <v>18</v>
      </c>
      <c r="I2522">
        <v>47.453000000000003</v>
      </c>
      <c r="J2522" t="s">
        <v>19</v>
      </c>
      <c r="K2522" t="s">
        <v>3465</v>
      </c>
      <c r="L2522" t="s">
        <v>21</v>
      </c>
      <c r="M2522" t="str">
        <f t="shared" si="117"/>
        <v>OK</v>
      </c>
      <c r="N2522" t="str">
        <f t="shared" si="118"/>
        <v>1950s</v>
      </c>
      <c r="O2522" t="str">
        <f t="shared" si="119"/>
        <v>Low</v>
      </c>
      <c r="P2522" t="str">
        <f>VLOOKUP(E2522,calculated_fields!$F$4:$G$6,2,FALSE)</f>
        <v>Health</v>
      </c>
    </row>
    <row r="2523" spans="1:16">
      <c r="A2523" t="s">
        <v>3466</v>
      </c>
      <c r="B2523" t="s">
        <v>3464</v>
      </c>
      <c r="C2523" t="s">
        <v>14</v>
      </c>
      <c r="D2523">
        <v>1952</v>
      </c>
      <c r="E2523" t="s">
        <v>23</v>
      </c>
      <c r="F2523" t="s">
        <v>24</v>
      </c>
      <c r="G2523" t="s">
        <v>25</v>
      </c>
      <c r="H2523" t="s">
        <v>26</v>
      </c>
      <c r="I2523">
        <v>20947571</v>
      </c>
      <c r="J2523" t="s">
        <v>27</v>
      </c>
      <c r="K2523" t="s">
        <v>3465</v>
      </c>
      <c r="L2523" t="s">
        <v>21</v>
      </c>
      <c r="M2523" t="str">
        <f t="shared" si="117"/>
        <v>OK</v>
      </c>
      <c r="N2523" t="str">
        <f t="shared" si="118"/>
        <v>1950s</v>
      </c>
      <c r="O2523" t="str">
        <f t="shared" si="119"/>
        <v>N/A</v>
      </c>
      <c r="P2523" t="str">
        <f>VLOOKUP(E2523,calculated_fields!$F$4:$G$6,2,FALSE)</f>
        <v>Demographics</v>
      </c>
    </row>
    <row r="2524" spans="1:16">
      <c r="A2524" t="s">
        <v>3467</v>
      </c>
      <c r="B2524" t="s">
        <v>3464</v>
      </c>
      <c r="C2524" t="s">
        <v>14</v>
      </c>
      <c r="D2524">
        <v>1952</v>
      </c>
      <c r="E2524" t="s">
        <v>29</v>
      </c>
      <c r="F2524" t="s">
        <v>30</v>
      </c>
      <c r="G2524" t="s">
        <v>31</v>
      </c>
      <c r="H2524" t="s">
        <v>32</v>
      </c>
      <c r="I2524">
        <v>1030.592226</v>
      </c>
      <c r="J2524" t="s">
        <v>33</v>
      </c>
      <c r="K2524" t="s">
        <v>3465</v>
      </c>
      <c r="L2524" t="s">
        <v>21</v>
      </c>
      <c r="M2524" t="str">
        <f t="shared" si="117"/>
        <v>OK</v>
      </c>
      <c r="N2524" t="str">
        <f t="shared" si="118"/>
        <v>1950s</v>
      </c>
      <c r="O2524" t="str">
        <f t="shared" si="119"/>
        <v>N/A</v>
      </c>
      <c r="P2524" t="str">
        <f>VLOOKUP(E2524,calculated_fields!$F$4:$G$6,2,FALSE)</f>
        <v>Economy</v>
      </c>
    </row>
    <row r="2525" spans="1:16">
      <c r="A2525" t="s">
        <v>3468</v>
      </c>
      <c r="B2525" t="s">
        <v>3464</v>
      </c>
      <c r="C2525" t="s">
        <v>14</v>
      </c>
      <c r="D2525">
        <v>1957</v>
      </c>
      <c r="E2525" t="s">
        <v>15</v>
      </c>
      <c r="F2525" t="s">
        <v>16</v>
      </c>
      <c r="G2525" t="s">
        <v>17</v>
      </c>
      <c r="H2525" t="s">
        <v>18</v>
      </c>
      <c r="I2525">
        <v>52.680999999999997</v>
      </c>
      <c r="J2525" t="s">
        <v>19</v>
      </c>
      <c r="K2525" t="s">
        <v>3469</v>
      </c>
      <c r="L2525" t="s">
        <v>21</v>
      </c>
      <c r="M2525" t="str">
        <f t="shared" si="117"/>
        <v>OK</v>
      </c>
      <c r="N2525" t="str">
        <f t="shared" si="118"/>
        <v>1950s</v>
      </c>
      <c r="O2525" t="str">
        <f t="shared" si="119"/>
        <v>Low</v>
      </c>
      <c r="P2525" t="str">
        <f>VLOOKUP(E2525,calculated_fields!$F$4:$G$6,2,FALSE)</f>
        <v>Health</v>
      </c>
    </row>
    <row r="2526" spans="1:16">
      <c r="A2526" t="s">
        <v>3470</v>
      </c>
      <c r="B2526" t="s">
        <v>3464</v>
      </c>
      <c r="C2526" t="s">
        <v>14</v>
      </c>
      <c r="D2526">
        <v>1957</v>
      </c>
      <c r="E2526" t="s">
        <v>23</v>
      </c>
      <c r="F2526" t="s">
        <v>24</v>
      </c>
      <c r="G2526" t="s">
        <v>25</v>
      </c>
      <c r="H2526" t="s">
        <v>26</v>
      </c>
      <c r="I2526">
        <v>22611552</v>
      </c>
      <c r="J2526" t="s">
        <v>27</v>
      </c>
      <c r="K2526" t="s">
        <v>3469</v>
      </c>
      <c r="L2526" t="s">
        <v>21</v>
      </c>
      <c r="M2526" t="str">
        <f t="shared" si="117"/>
        <v>OK</v>
      </c>
      <c r="N2526" t="str">
        <f t="shared" si="118"/>
        <v>1950s</v>
      </c>
      <c r="O2526" t="str">
        <f t="shared" si="119"/>
        <v>N/A</v>
      </c>
      <c r="P2526" t="str">
        <f>VLOOKUP(E2526,calculated_fields!$F$4:$G$6,2,FALSE)</f>
        <v>Demographics</v>
      </c>
    </row>
    <row r="2527" spans="1:16">
      <c r="A2527" t="s">
        <v>3471</v>
      </c>
      <c r="B2527" t="s">
        <v>3464</v>
      </c>
      <c r="C2527" t="s">
        <v>14</v>
      </c>
      <c r="D2527">
        <v>1957</v>
      </c>
      <c r="E2527" t="s">
        <v>29</v>
      </c>
      <c r="F2527" t="s">
        <v>30</v>
      </c>
      <c r="G2527" t="s">
        <v>31</v>
      </c>
      <c r="H2527" t="s">
        <v>32</v>
      </c>
      <c r="I2527">
        <v>1487.593537</v>
      </c>
      <c r="J2527" t="s">
        <v>33</v>
      </c>
      <c r="K2527" t="s">
        <v>3469</v>
      </c>
      <c r="L2527" t="s">
        <v>21</v>
      </c>
      <c r="M2527" t="str">
        <f t="shared" si="117"/>
        <v>OK</v>
      </c>
      <c r="N2527" t="str">
        <f t="shared" si="118"/>
        <v>1950s</v>
      </c>
      <c r="O2527" t="str">
        <f t="shared" si="119"/>
        <v>N/A</v>
      </c>
      <c r="P2527" t="str">
        <f>VLOOKUP(E2527,calculated_fields!$F$4:$G$6,2,FALSE)</f>
        <v>Economy</v>
      </c>
    </row>
    <row r="2528" spans="1:16">
      <c r="A2528" t="s">
        <v>3472</v>
      </c>
      <c r="B2528" t="s">
        <v>3464</v>
      </c>
      <c r="C2528" t="s">
        <v>14</v>
      </c>
      <c r="D2528">
        <v>1962</v>
      </c>
      <c r="E2528" t="s">
        <v>15</v>
      </c>
      <c r="F2528" t="s">
        <v>16</v>
      </c>
      <c r="G2528" t="s">
        <v>17</v>
      </c>
      <c r="H2528" t="s">
        <v>18</v>
      </c>
      <c r="I2528">
        <v>55.292000000000002</v>
      </c>
      <c r="J2528" t="s">
        <v>19</v>
      </c>
      <c r="K2528" t="s">
        <v>3473</v>
      </c>
      <c r="L2528" t="s">
        <v>21</v>
      </c>
      <c r="M2528" t="str">
        <f t="shared" si="117"/>
        <v>OK</v>
      </c>
      <c r="N2528" t="str">
        <f t="shared" si="118"/>
        <v>1960s</v>
      </c>
      <c r="O2528" t="str">
        <f t="shared" si="119"/>
        <v>Medium</v>
      </c>
      <c r="P2528" t="str">
        <f>VLOOKUP(E2528,calculated_fields!$F$4:$G$6,2,FALSE)</f>
        <v>Health</v>
      </c>
    </row>
    <row r="2529" spans="1:16">
      <c r="A2529" t="s">
        <v>3474</v>
      </c>
      <c r="B2529" t="s">
        <v>3464</v>
      </c>
      <c r="C2529" t="s">
        <v>14</v>
      </c>
      <c r="D2529">
        <v>1962</v>
      </c>
      <c r="E2529" t="s">
        <v>23</v>
      </c>
      <c r="F2529" t="s">
        <v>24</v>
      </c>
      <c r="G2529" t="s">
        <v>25</v>
      </c>
      <c r="H2529" t="s">
        <v>26</v>
      </c>
      <c r="I2529">
        <v>26420307</v>
      </c>
      <c r="J2529" t="s">
        <v>27</v>
      </c>
      <c r="K2529" t="s">
        <v>3473</v>
      </c>
      <c r="L2529" t="s">
        <v>21</v>
      </c>
      <c r="M2529" t="str">
        <f t="shared" si="117"/>
        <v>OK</v>
      </c>
      <c r="N2529" t="str">
        <f t="shared" si="118"/>
        <v>1960s</v>
      </c>
      <c r="O2529" t="str">
        <f t="shared" si="119"/>
        <v>N/A</v>
      </c>
      <c r="P2529" t="str">
        <f>VLOOKUP(E2529,calculated_fields!$F$4:$G$6,2,FALSE)</f>
        <v>Demographics</v>
      </c>
    </row>
    <row r="2530" spans="1:16">
      <c r="A2530" t="s">
        <v>3475</v>
      </c>
      <c r="B2530" t="s">
        <v>3464</v>
      </c>
      <c r="C2530" t="s">
        <v>14</v>
      </c>
      <c r="D2530">
        <v>1962</v>
      </c>
      <c r="E2530" t="s">
        <v>29</v>
      </c>
      <c r="F2530" t="s">
        <v>30</v>
      </c>
      <c r="G2530" t="s">
        <v>31</v>
      </c>
      <c r="H2530" t="s">
        <v>32</v>
      </c>
      <c r="I2530">
        <v>1536.3443870000001</v>
      </c>
      <c r="J2530" t="s">
        <v>33</v>
      </c>
      <c r="K2530" t="s">
        <v>3473</v>
      </c>
      <c r="L2530" t="s">
        <v>21</v>
      </c>
      <c r="M2530" t="str">
        <f t="shared" si="117"/>
        <v>OK</v>
      </c>
      <c r="N2530" t="str">
        <f t="shared" si="118"/>
        <v>1960s</v>
      </c>
      <c r="O2530" t="str">
        <f t="shared" si="119"/>
        <v>N/A</v>
      </c>
      <c r="P2530" t="str">
        <f>VLOOKUP(E2530,calculated_fields!$F$4:$G$6,2,FALSE)</f>
        <v>Economy</v>
      </c>
    </row>
    <row r="2531" spans="1:16">
      <c r="A2531" t="s">
        <v>3476</v>
      </c>
      <c r="B2531" t="s">
        <v>3464</v>
      </c>
      <c r="C2531" t="s">
        <v>14</v>
      </c>
      <c r="D2531">
        <v>1967</v>
      </c>
      <c r="E2531" t="s">
        <v>15</v>
      </c>
      <c r="F2531" t="s">
        <v>16</v>
      </c>
      <c r="G2531" t="s">
        <v>17</v>
      </c>
      <c r="H2531" t="s">
        <v>18</v>
      </c>
      <c r="I2531">
        <v>57.716000000000001</v>
      </c>
      <c r="J2531" t="s">
        <v>19</v>
      </c>
      <c r="K2531" t="s">
        <v>3477</v>
      </c>
      <c r="L2531" t="s">
        <v>21</v>
      </c>
      <c r="M2531" t="str">
        <f t="shared" si="117"/>
        <v>OK</v>
      </c>
      <c r="N2531" t="str">
        <f t="shared" si="118"/>
        <v>1960s</v>
      </c>
      <c r="O2531" t="str">
        <f t="shared" si="119"/>
        <v>Medium</v>
      </c>
      <c r="P2531" t="str">
        <f>VLOOKUP(E2531,calculated_fields!$F$4:$G$6,2,FALSE)</f>
        <v>Health</v>
      </c>
    </row>
    <row r="2532" spans="1:16">
      <c r="A2532" t="s">
        <v>3478</v>
      </c>
      <c r="B2532" t="s">
        <v>3464</v>
      </c>
      <c r="C2532" t="s">
        <v>14</v>
      </c>
      <c r="D2532">
        <v>1967</v>
      </c>
      <c r="E2532" t="s">
        <v>23</v>
      </c>
      <c r="F2532" t="s">
        <v>24</v>
      </c>
      <c r="G2532" t="s">
        <v>25</v>
      </c>
      <c r="H2532" t="s">
        <v>26</v>
      </c>
      <c r="I2532">
        <v>30131000</v>
      </c>
      <c r="J2532" t="s">
        <v>27</v>
      </c>
      <c r="K2532" t="s">
        <v>3477</v>
      </c>
      <c r="L2532" t="s">
        <v>21</v>
      </c>
      <c r="M2532" t="str">
        <f t="shared" si="117"/>
        <v>OK</v>
      </c>
      <c r="N2532" t="str">
        <f t="shared" si="118"/>
        <v>1960s</v>
      </c>
      <c r="O2532" t="str">
        <f t="shared" si="119"/>
        <v>N/A</v>
      </c>
      <c r="P2532" t="str">
        <f>VLOOKUP(E2532,calculated_fields!$F$4:$G$6,2,FALSE)</f>
        <v>Demographics</v>
      </c>
    </row>
    <row r="2533" spans="1:16">
      <c r="A2533" t="s">
        <v>3479</v>
      </c>
      <c r="B2533" t="s">
        <v>3464</v>
      </c>
      <c r="C2533" t="s">
        <v>14</v>
      </c>
      <c r="D2533">
        <v>1967</v>
      </c>
      <c r="E2533" t="s">
        <v>29</v>
      </c>
      <c r="F2533" t="s">
        <v>30</v>
      </c>
      <c r="G2533" t="s">
        <v>31</v>
      </c>
      <c r="H2533" t="s">
        <v>32</v>
      </c>
      <c r="I2533">
        <v>2029.2281419999999</v>
      </c>
      <c r="J2533" t="s">
        <v>33</v>
      </c>
      <c r="K2533" t="s">
        <v>3477</v>
      </c>
      <c r="L2533" t="s">
        <v>21</v>
      </c>
      <c r="M2533" t="str">
        <f t="shared" si="117"/>
        <v>OK</v>
      </c>
      <c r="N2533" t="str">
        <f t="shared" si="118"/>
        <v>1960s</v>
      </c>
      <c r="O2533" t="str">
        <f t="shared" si="119"/>
        <v>N/A</v>
      </c>
      <c r="P2533" t="str">
        <f>VLOOKUP(E2533,calculated_fields!$F$4:$G$6,2,FALSE)</f>
        <v>Economy</v>
      </c>
    </row>
    <row r="2534" spans="1:16">
      <c r="A2534" t="s">
        <v>3480</v>
      </c>
      <c r="B2534" t="s">
        <v>3464</v>
      </c>
      <c r="C2534" t="s">
        <v>14</v>
      </c>
      <c r="D2534">
        <v>1972</v>
      </c>
      <c r="E2534" t="s">
        <v>15</v>
      </c>
      <c r="F2534" t="s">
        <v>16</v>
      </c>
      <c r="G2534" t="s">
        <v>17</v>
      </c>
      <c r="H2534" t="s">
        <v>18</v>
      </c>
      <c r="I2534">
        <v>62.612000000000002</v>
      </c>
      <c r="J2534" t="s">
        <v>19</v>
      </c>
      <c r="K2534" t="s">
        <v>3481</v>
      </c>
      <c r="L2534" t="s">
        <v>21</v>
      </c>
      <c r="M2534" t="str">
        <f t="shared" si="117"/>
        <v>OK</v>
      </c>
      <c r="N2534" t="str">
        <f t="shared" si="118"/>
        <v>1970s</v>
      </c>
      <c r="O2534" t="str">
        <f t="shared" si="119"/>
        <v>Medium</v>
      </c>
      <c r="P2534" t="str">
        <f>VLOOKUP(E2534,calculated_fields!$F$4:$G$6,2,FALSE)</f>
        <v>Health</v>
      </c>
    </row>
    <row r="2535" spans="1:16">
      <c r="A2535" t="s">
        <v>3482</v>
      </c>
      <c r="B2535" t="s">
        <v>3464</v>
      </c>
      <c r="C2535" t="s">
        <v>14</v>
      </c>
      <c r="D2535">
        <v>1972</v>
      </c>
      <c r="E2535" t="s">
        <v>23</v>
      </c>
      <c r="F2535" t="s">
        <v>24</v>
      </c>
      <c r="G2535" t="s">
        <v>25</v>
      </c>
      <c r="H2535" t="s">
        <v>26</v>
      </c>
      <c r="I2535">
        <v>33505000</v>
      </c>
      <c r="J2535" t="s">
        <v>27</v>
      </c>
      <c r="K2535" t="s">
        <v>3481</v>
      </c>
      <c r="L2535" t="s">
        <v>21</v>
      </c>
      <c r="M2535" t="str">
        <f t="shared" si="117"/>
        <v>OK</v>
      </c>
      <c r="N2535" t="str">
        <f t="shared" si="118"/>
        <v>1970s</v>
      </c>
      <c r="O2535" t="str">
        <f t="shared" si="119"/>
        <v>N/A</v>
      </c>
      <c r="P2535" t="str">
        <f>VLOOKUP(E2535,calculated_fields!$F$4:$G$6,2,FALSE)</f>
        <v>Demographics</v>
      </c>
    </row>
    <row r="2536" spans="1:16">
      <c r="A2536" t="s">
        <v>3483</v>
      </c>
      <c r="B2536" t="s">
        <v>3464</v>
      </c>
      <c r="C2536" t="s">
        <v>14</v>
      </c>
      <c r="D2536">
        <v>1972</v>
      </c>
      <c r="E2536" t="s">
        <v>29</v>
      </c>
      <c r="F2536" t="s">
        <v>30</v>
      </c>
      <c r="G2536" t="s">
        <v>31</v>
      </c>
      <c r="H2536" t="s">
        <v>32</v>
      </c>
      <c r="I2536">
        <v>3030.8766500000002</v>
      </c>
      <c r="J2536" t="s">
        <v>33</v>
      </c>
      <c r="K2536" t="s">
        <v>3481</v>
      </c>
      <c r="L2536" t="s">
        <v>21</v>
      </c>
      <c r="M2536" t="str">
        <f t="shared" si="117"/>
        <v>OK</v>
      </c>
      <c r="N2536" t="str">
        <f t="shared" si="118"/>
        <v>1970s</v>
      </c>
      <c r="O2536" t="str">
        <f t="shared" si="119"/>
        <v>N/A</v>
      </c>
      <c r="P2536" t="str">
        <f>VLOOKUP(E2536,calculated_fields!$F$4:$G$6,2,FALSE)</f>
        <v>Economy</v>
      </c>
    </row>
    <row r="2537" spans="1:16">
      <c r="A2537" t="s">
        <v>3484</v>
      </c>
      <c r="B2537" t="s">
        <v>3464</v>
      </c>
      <c r="C2537" t="s">
        <v>14</v>
      </c>
      <c r="D2537">
        <v>1977</v>
      </c>
      <c r="E2537" t="s">
        <v>15</v>
      </c>
      <c r="F2537" t="s">
        <v>16</v>
      </c>
      <c r="G2537" t="s">
        <v>17</v>
      </c>
      <c r="H2537" t="s">
        <v>18</v>
      </c>
      <c r="I2537">
        <v>64.766000000000005</v>
      </c>
      <c r="J2537" t="s">
        <v>19</v>
      </c>
      <c r="K2537" t="s">
        <v>3485</v>
      </c>
      <c r="L2537" t="s">
        <v>21</v>
      </c>
      <c r="M2537" t="str">
        <f t="shared" si="117"/>
        <v>OK</v>
      </c>
      <c r="N2537" t="str">
        <f t="shared" si="118"/>
        <v>1970s</v>
      </c>
      <c r="O2537" t="str">
        <f t="shared" si="119"/>
        <v>Medium</v>
      </c>
      <c r="P2537" t="str">
        <f>VLOOKUP(E2537,calculated_fields!$F$4:$G$6,2,FALSE)</f>
        <v>Health</v>
      </c>
    </row>
    <row r="2538" spans="1:16">
      <c r="A2538" t="s">
        <v>3486</v>
      </c>
      <c r="B2538" t="s">
        <v>3464</v>
      </c>
      <c r="C2538" t="s">
        <v>14</v>
      </c>
      <c r="D2538">
        <v>1977</v>
      </c>
      <c r="E2538" t="s">
        <v>23</v>
      </c>
      <c r="F2538" t="s">
        <v>24</v>
      </c>
      <c r="G2538" t="s">
        <v>25</v>
      </c>
      <c r="H2538" t="s">
        <v>26</v>
      </c>
      <c r="I2538">
        <v>36436000</v>
      </c>
      <c r="J2538" t="s">
        <v>27</v>
      </c>
      <c r="K2538" t="s">
        <v>3485</v>
      </c>
      <c r="L2538" t="s">
        <v>21</v>
      </c>
      <c r="M2538" t="str">
        <f t="shared" si="117"/>
        <v>OK</v>
      </c>
      <c r="N2538" t="str">
        <f t="shared" si="118"/>
        <v>1970s</v>
      </c>
      <c r="O2538" t="str">
        <f t="shared" si="119"/>
        <v>N/A</v>
      </c>
      <c r="P2538" t="str">
        <f>VLOOKUP(E2538,calculated_fields!$F$4:$G$6,2,FALSE)</f>
        <v>Demographics</v>
      </c>
    </row>
    <row r="2539" spans="1:16">
      <c r="A2539" t="s">
        <v>3487</v>
      </c>
      <c r="B2539" t="s">
        <v>3464</v>
      </c>
      <c r="C2539" t="s">
        <v>14</v>
      </c>
      <c r="D2539">
        <v>1977</v>
      </c>
      <c r="E2539" t="s">
        <v>29</v>
      </c>
      <c r="F2539" t="s">
        <v>30</v>
      </c>
      <c r="G2539" t="s">
        <v>31</v>
      </c>
      <c r="H2539" t="s">
        <v>32</v>
      </c>
      <c r="I2539">
        <v>4657.22102</v>
      </c>
      <c r="J2539" t="s">
        <v>33</v>
      </c>
      <c r="K2539" t="s">
        <v>3485</v>
      </c>
      <c r="L2539" t="s">
        <v>21</v>
      </c>
      <c r="M2539" t="str">
        <f t="shared" si="117"/>
        <v>OK</v>
      </c>
      <c r="N2539" t="str">
        <f t="shared" si="118"/>
        <v>1970s</v>
      </c>
      <c r="O2539" t="str">
        <f t="shared" si="119"/>
        <v>N/A</v>
      </c>
      <c r="P2539" t="str">
        <f>VLOOKUP(E2539,calculated_fields!$F$4:$G$6,2,FALSE)</f>
        <v>Economy</v>
      </c>
    </row>
    <row r="2540" spans="1:16">
      <c r="A2540" t="s">
        <v>3488</v>
      </c>
      <c r="B2540" t="s">
        <v>3464</v>
      </c>
      <c r="C2540" t="s">
        <v>14</v>
      </c>
      <c r="D2540">
        <v>1982</v>
      </c>
      <c r="E2540" t="s">
        <v>15</v>
      </c>
      <c r="F2540" t="s">
        <v>16</v>
      </c>
      <c r="G2540" t="s">
        <v>17</v>
      </c>
      <c r="H2540" t="s">
        <v>18</v>
      </c>
      <c r="I2540">
        <v>67.123000000000005</v>
      </c>
      <c r="J2540" t="s">
        <v>19</v>
      </c>
      <c r="K2540" t="s">
        <v>3489</v>
      </c>
      <c r="L2540" t="s">
        <v>21</v>
      </c>
      <c r="M2540" t="str">
        <f t="shared" si="117"/>
        <v>OK</v>
      </c>
      <c r="N2540" t="str">
        <f t="shared" si="118"/>
        <v>1980s</v>
      </c>
      <c r="O2540" t="str">
        <f t="shared" si="119"/>
        <v>Medium</v>
      </c>
      <c r="P2540" t="str">
        <f>VLOOKUP(E2540,calculated_fields!$F$4:$G$6,2,FALSE)</f>
        <v>Health</v>
      </c>
    </row>
    <row r="2541" spans="1:16">
      <c r="A2541" t="s">
        <v>3490</v>
      </c>
      <c r="B2541" t="s">
        <v>3464</v>
      </c>
      <c r="C2541" t="s">
        <v>14</v>
      </c>
      <c r="D2541">
        <v>1982</v>
      </c>
      <c r="E2541" t="s">
        <v>23</v>
      </c>
      <c r="F2541" t="s">
        <v>24</v>
      </c>
      <c r="G2541" t="s">
        <v>25</v>
      </c>
      <c r="H2541" t="s">
        <v>26</v>
      </c>
      <c r="I2541">
        <v>39326000</v>
      </c>
      <c r="J2541" t="s">
        <v>27</v>
      </c>
      <c r="K2541" t="s">
        <v>3489</v>
      </c>
      <c r="L2541" t="s">
        <v>21</v>
      </c>
      <c r="M2541" t="str">
        <f t="shared" si="117"/>
        <v>OK</v>
      </c>
      <c r="N2541" t="str">
        <f t="shared" si="118"/>
        <v>1980s</v>
      </c>
      <c r="O2541" t="str">
        <f t="shared" si="119"/>
        <v>N/A</v>
      </c>
      <c r="P2541" t="str">
        <f>VLOOKUP(E2541,calculated_fields!$F$4:$G$6,2,FALSE)</f>
        <v>Demographics</v>
      </c>
    </row>
    <row r="2542" spans="1:16">
      <c r="A2542" t="s">
        <v>3491</v>
      </c>
      <c r="B2542" t="s">
        <v>3464</v>
      </c>
      <c r="C2542" t="s">
        <v>14</v>
      </c>
      <c r="D2542">
        <v>1982</v>
      </c>
      <c r="E2542" t="s">
        <v>29</v>
      </c>
      <c r="F2542" t="s">
        <v>30</v>
      </c>
      <c r="G2542" t="s">
        <v>31</v>
      </c>
      <c r="H2542" t="s">
        <v>32</v>
      </c>
      <c r="I2542">
        <v>5622.9424639999997</v>
      </c>
      <c r="J2542" t="s">
        <v>33</v>
      </c>
      <c r="K2542" t="s">
        <v>3489</v>
      </c>
      <c r="L2542" t="s">
        <v>21</v>
      </c>
      <c r="M2542" t="str">
        <f t="shared" si="117"/>
        <v>OK</v>
      </c>
      <c r="N2542" t="str">
        <f t="shared" si="118"/>
        <v>1980s</v>
      </c>
      <c r="O2542" t="str">
        <f t="shared" si="119"/>
        <v>N/A</v>
      </c>
      <c r="P2542" t="str">
        <f>VLOOKUP(E2542,calculated_fields!$F$4:$G$6,2,FALSE)</f>
        <v>Economy</v>
      </c>
    </row>
    <row r="2543" spans="1:16">
      <c r="A2543" t="s">
        <v>3492</v>
      </c>
      <c r="B2543" t="s">
        <v>3464</v>
      </c>
      <c r="C2543" t="s">
        <v>14</v>
      </c>
      <c r="D2543">
        <v>1987</v>
      </c>
      <c r="E2543" t="s">
        <v>15</v>
      </c>
      <c r="F2543" t="s">
        <v>16</v>
      </c>
      <c r="G2543" t="s">
        <v>17</v>
      </c>
      <c r="H2543" t="s">
        <v>18</v>
      </c>
      <c r="I2543">
        <v>69.81</v>
      </c>
      <c r="J2543" t="s">
        <v>19</v>
      </c>
      <c r="K2543" t="s">
        <v>3493</v>
      </c>
      <c r="L2543" t="s">
        <v>21</v>
      </c>
      <c r="M2543" t="str">
        <f t="shared" si="117"/>
        <v>OK</v>
      </c>
      <c r="N2543" t="str">
        <f t="shared" si="118"/>
        <v>1980s</v>
      </c>
      <c r="O2543" t="str">
        <f t="shared" si="119"/>
        <v>Medium</v>
      </c>
      <c r="P2543" t="str">
        <f>VLOOKUP(E2543,calculated_fields!$F$4:$G$6,2,FALSE)</f>
        <v>Health</v>
      </c>
    </row>
    <row r="2544" spans="1:16">
      <c r="A2544" t="s">
        <v>3494</v>
      </c>
      <c r="B2544" t="s">
        <v>3464</v>
      </c>
      <c r="C2544" t="s">
        <v>14</v>
      </c>
      <c r="D2544">
        <v>1987</v>
      </c>
      <c r="E2544" t="s">
        <v>23</v>
      </c>
      <c r="F2544" t="s">
        <v>24</v>
      </c>
      <c r="G2544" t="s">
        <v>25</v>
      </c>
      <c r="H2544" t="s">
        <v>26</v>
      </c>
      <c r="I2544">
        <v>41622000</v>
      </c>
      <c r="J2544" t="s">
        <v>27</v>
      </c>
      <c r="K2544" t="s">
        <v>3493</v>
      </c>
      <c r="L2544" t="s">
        <v>21</v>
      </c>
      <c r="M2544" t="str">
        <f t="shared" si="117"/>
        <v>OK</v>
      </c>
      <c r="N2544" t="str">
        <f t="shared" si="118"/>
        <v>1980s</v>
      </c>
      <c r="O2544" t="str">
        <f t="shared" si="119"/>
        <v>N/A</v>
      </c>
      <c r="P2544" t="str">
        <f>VLOOKUP(E2544,calculated_fields!$F$4:$G$6,2,FALSE)</f>
        <v>Demographics</v>
      </c>
    </row>
    <row r="2545" spans="1:16">
      <c r="A2545" t="s">
        <v>3495</v>
      </c>
      <c r="B2545" t="s">
        <v>3464</v>
      </c>
      <c r="C2545" t="s">
        <v>14</v>
      </c>
      <c r="D2545">
        <v>1987</v>
      </c>
      <c r="E2545" t="s">
        <v>29</v>
      </c>
      <c r="F2545" t="s">
        <v>30</v>
      </c>
      <c r="G2545" t="s">
        <v>31</v>
      </c>
      <c r="H2545" t="s">
        <v>32</v>
      </c>
      <c r="I2545">
        <v>8533.0888049999994</v>
      </c>
      <c r="J2545" t="s">
        <v>33</v>
      </c>
      <c r="K2545" t="s">
        <v>3493</v>
      </c>
      <c r="L2545" t="s">
        <v>21</v>
      </c>
      <c r="M2545" t="str">
        <f t="shared" si="117"/>
        <v>OK</v>
      </c>
      <c r="N2545" t="str">
        <f t="shared" si="118"/>
        <v>1980s</v>
      </c>
      <c r="O2545" t="str">
        <f t="shared" si="119"/>
        <v>N/A</v>
      </c>
      <c r="P2545" t="str">
        <f>VLOOKUP(E2545,calculated_fields!$F$4:$G$6,2,FALSE)</f>
        <v>Economy</v>
      </c>
    </row>
    <row r="2546" spans="1:16">
      <c r="A2546" t="s">
        <v>3496</v>
      </c>
      <c r="B2546" t="s">
        <v>3464</v>
      </c>
      <c r="C2546" t="s">
        <v>14</v>
      </c>
      <c r="D2546">
        <v>1992</v>
      </c>
      <c r="E2546" t="s">
        <v>15</v>
      </c>
      <c r="F2546" t="s">
        <v>16</v>
      </c>
      <c r="G2546" t="s">
        <v>17</v>
      </c>
      <c r="H2546" t="s">
        <v>18</v>
      </c>
      <c r="I2546">
        <v>72.244</v>
      </c>
      <c r="J2546" t="s">
        <v>19</v>
      </c>
      <c r="K2546" t="s">
        <v>3497</v>
      </c>
      <c r="L2546" t="s">
        <v>21</v>
      </c>
      <c r="M2546" t="str">
        <f t="shared" si="117"/>
        <v>OK</v>
      </c>
      <c r="N2546" t="str">
        <f t="shared" si="118"/>
        <v>1990s</v>
      </c>
      <c r="O2546" t="str">
        <f t="shared" si="119"/>
        <v>High</v>
      </c>
      <c r="P2546" t="str">
        <f>VLOOKUP(E2546,calculated_fields!$F$4:$G$6,2,FALSE)</f>
        <v>Health</v>
      </c>
    </row>
    <row r="2547" spans="1:16">
      <c r="A2547" t="s">
        <v>3498</v>
      </c>
      <c r="B2547" t="s">
        <v>3464</v>
      </c>
      <c r="C2547" t="s">
        <v>14</v>
      </c>
      <c r="D2547">
        <v>1992</v>
      </c>
      <c r="E2547" t="s">
        <v>23</v>
      </c>
      <c r="F2547" t="s">
        <v>24</v>
      </c>
      <c r="G2547" t="s">
        <v>25</v>
      </c>
      <c r="H2547" t="s">
        <v>26</v>
      </c>
      <c r="I2547">
        <v>43805450</v>
      </c>
      <c r="J2547" t="s">
        <v>27</v>
      </c>
      <c r="K2547" t="s">
        <v>3497</v>
      </c>
      <c r="L2547" t="s">
        <v>21</v>
      </c>
      <c r="M2547" t="str">
        <f t="shared" si="117"/>
        <v>OK</v>
      </c>
      <c r="N2547" t="str">
        <f t="shared" si="118"/>
        <v>1990s</v>
      </c>
      <c r="O2547" t="str">
        <f t="shared" si="119"/>
        <v>N/A</v>
      </c>
      <c r="P2547" t="str">
        <f>VLOOKUP(E2547,calculated_fields!$F$4:$G$6,2,FALSE)</f>
        <v>Demographics</v>
      </c>
    </row>
    <row r="2548" spans="1:16">
      <c r="A2548" t="s">
        <v>3499</v>
      </c>
      <c r="B2548" t="s">
        <v>3464</v>
      </c>
      <c r="C2548" t="s">
        <v>14</v>
      </c>
      <c r="D2548">
        <v>1992</v>
      </c>
      <c r="E2548" t="s">
        <v>29</v>
      </c>
      <c r="F2548" t="s">
        <v>30</v>
      </c>
      <c r="G2548" t="s">
        <v>31</v>
      </c>
      <c r="H2548" t="s">
        <v>32</v>
      </c>
      <c r="I2548">
        <v>12104.27872</v>
      </c>
      <c r="J2548" t="s">
        <v>33</v>
      </c>
      <c r="K2548" t="s">
        <v>3497</v>
      </c>
      <c r="L2548" t="s">
        <v>21</v>
      </c>
      <c r="M2548" t="str">
        <f t="shared" si="117"/>
        <v>OK</v>
      </c>
      <c r="N2548" t="str">
        <f t="shared" si="118"/>
        <v>1990s</v>
      </c>
      <c r="O2548" t="str">
        <f t="shared" si="119"/>
        <v>N/A</v>
      </c>
      <c r="P2548" t="str">
        <f>VLOOKUP(E2548,calculated_fields!$F$4:$G$6,2,FALSE)</f>
        <v>Economy</v>
      </c>
    </row>
    <row r="2549" spans="1:16">
      <c r="A2549" t="s">
        <v>3500</v>
      </c>
      <c r="B2549" t="s">
        <v>3464</v>
      </c>
      <c r="C2549" t="s">
        <v>14</v>
      </c>
      <c r="D2549">
        <v>1997</v>
      </c>
      <c r="E2549" t="s">
        <v>15</v>
      </c>
      <c r="F2549" t="s">
        <v>16</v>
      </c>
      <c r="G2549" t="s">
        <v>17</v>
      </c>
      <c r="H2549" t="s">
        <v>18</v>
      </c>
      <c r="I2549">
        <v>74.646999999999906</v>
      </c>
      <c r="J2549" t="s">
        <v>19</v>
      </c>
      <c r="K2549" t="s">
        <v>3501</v>
      </c>
      <c r="L2549" t="s">
        <v>21</v>
      </c>
      <c r="M2549" t="str">
        <f t="shared" si="117"/>
        <v>OK</v>
      </c>
      <c r="N2549" t="str">
        <f t="shared" si="118"/>
        <v>1990s</v>
      </c>
      <c r="O2549" t="str">
        <f t="shared" si="119"/>
        <v>High</v>
      </c>
      <c r="P2549" t="str">
        <f>VLOOKUP(E2549,calculated_fields!$F$4:$G$6,2,FALSE)</f>
        <v>Health</v>
      </c>
    </row>
    <row r="2550" spans="1:16">
      <c r="A2550" t="s">
        <v>3502</v>
      </c>
      <c r="B2550" t="s">
        <v>3464</v>
      </c>
      <c r="C2550" t="s">
        <v>14</v>
      </c>
      <c r="D2550">
        <v>1997</v>
      </c>
      <c r="E2550" t="s">
        <v>23</v>
      </c>
      <c r="F2550" t="s">
        <v>24</v>
      </c>
      <c r="G2550" t="s">
        <v>25</v>
      </c>
      <c r="H2550" t="s">
        <v>26</v>
      </c>
      <c r="I2550">
        <v>46173816</v>
      </c>
      <c r="J2550" t="s">
        <v>27</v>
      </c>
      <c r="K2550" t="s">
        <v>3501</v>
      </c>
      <c r="L2550" t="s">
        <v>21</v>
      </c>
      <c r="M2550" t="str">
        <f t="shared" si="117"/>
        <v>OK</v>
      </c>
      <c r="N2550" t="str">
        <f t="shared" si="118"/>
        <v>1990s</v>
      </c>
      <c r="O2550" t="str">
        <f t="shared" si="119"/>
        <v>N/A</v>
      </c>
      <c r="P2550" t="str">
        <f>VLOOKUP(E2550,calculated_fields!$F$4:$G$6,2,FALSE)</f>
        <v>Demographics</v>
      </c>
    </row>
    <row r="2551" spans="1:16">
      <c r="A2551" t="s">
        <v>3503</v>
      </c>
      <c r="B2551" t="s">
        <v>3464</v>
      </c>
      <c r="C2551" t="s">
        <v>14</v>
      </c>
      <c r="D2551">
        <v>1997</v>
      </c>
      <c r="E2551" t="s">
        <v>29</v>
      </c>
      <c r="F2551" t="s">
        <v>30</v>
      </c>
      <c r="G2551" t="s">
        <v>31</v>
      </c>
      <c r="H2551" t="s">
        <v>32</v>
      </c>
      <c r="I2551">
        <v>15993.527959999999</v>
      </c>
      <c r="J2551" t="s">
        <v>33</v>
      </c>
      <c r="K2551" t="s">
        <v>3501</v>
      </c>
      <c r="L2551" t="s">
        <v>21</v>
      </c>
      <c r="M2551" t="str">
        <f t="shared" si="117"/>
        <v>OK</v>
      </c>
      <c r="N2551" t="str">
        <f t="shared" si="118"/>
        <v>1990s</v>
      </c>
      <c r="O2551" t="str">
        <f t="shared" si="119"/>
        <v>N/A</v>
      </c>
      <c r="P2551" t="str">
        <f>VLOOKUP(E2551,calculated_fields!$F$4:$G$6,2,FALSE)</f>
        <v>Economy</v>
      </c>
    </row>
    <row r="2552" spans="1:16">
      <c r="A2552" t="s">
        <v>3504</v>
      </c>
      <c r="B2552" t="s">
        <v>3464</v>
      </c>
      <c r="C2552" t="s">
        <v>14</v>
      </c>
      <c r="D2552">
        <v>2002</v>
      </c>
      <c r="E2552" t="s">
        <v>15</v>
      </c>
      <c r="F2552" t="s">
        <v>16</v>
      </c>
      <c r="G2552" t="s">
        <v>17</v>
      </c>
      <c r="H2552" t="s">
        <v>18</v>
      </c>
      <c r="I2552">
        <v>77.045000000000002</v>
      </c>
      <c r="J2552" t="s">
        <v>19</v>
      </c>
      <c r="K2552" t="s">
        <v>3505</v>
      </c>
      <c r="L2552" t="s">
        <v>21</v>
      </c>
      <c r="M2552" t="str">
        <f t="shared" si="117"/>
        <v>OK</v>
      </c>
      <c r="N2552" t="str">
        <f t="shared" si="118"/>
        <v>2000s</v>
      </c>
      <c r="O2552" t="str">
        <f t="shared" si="119"/>
        <v>High</v>
      </c>
      <c r="P2552" t="str">
        <f>VLOOKUP(E2552,calculated_fields!$F$4:$G$6,2,FALSE)</f>
        <v>Health</v>
      </c>
    </row>
    <row r="2553" spans="1:16">
      <c r="A2553" t="s">
        <v>3506</v>
      </c>
      <c r="B2553" t="s">
        <v>3464</v>
      </c>
      <c r="C2553" t="s">
        <v>14</v>
      </c>
      <c r="D2553">
        <v>2002</v>
      </c>
      <c r="E2553" t="s">
        <v>23</v>
      </c>
      <c r="F2553" t="s">
        <v>24</v>
      </c>
      <c r="G2553" t="s">
        <v>25</v>
      </c>
      <c r="H2553" t="s">
        <v>26</v>
      </c>
      <c r="I2553">
        <v>47969150</v>
      </c>
      <c r="J2553" t="s">
        <v>27</v>
      </c>
      <c r="K2553" t="s">
        <v>3505</v>
      </c>
      <c r="L2553" t="s">
        <v>21</v>
      </c>
      <c r="M2553" t="str">
        <f t="shared" si="117"/>
        <v>OK</v>
      </c>
      <c r="N2553" t="str">
        <f t="shared" si="118"/>
        <v>2000s</v>
      </c>
      <c r="O2553" t="str">
        <f t="shared" si="119"/>
        <v>N/A</v>
      </c>
      <c r="P2553" t="str">
        <f>VLOOKUP(E2553,calculated_fields!$F$4:$G$6,2,FALSE)</f>
        <v>Demographics</v>
      </c>
    </row>
    <row r="2554" spans="1:16">
      <c r="A2554" t="s">
        <v>3507</v>
      </c>
      <c r="B2554" t="s">
        <v>3464</v>
      </c>
      <c r="C2554" t="s">
        <v>14</v>
      </c>
      <c r="D2554">
        <v>2002</v>
      </c>
      <c r="E2554" t="s">
        <v>29</v>
      </c>
      <c r="F2554" t="s">
        <v>30</v>
      </c>
      <c r="G2554" t="s">
        <v>31</v>
      </c>
      <c r="H2554" t="s">
        <v>32</v>
      </c>
      <c r="I2554">
        <v>19233.98818</v>
      </c>
      <c r="J2554" t="s">
        <v>33</v>
      </c>
      <c r="K2554" t="s">
        <v>3505</v>
      </c>
      <c r="L2554" t="s">
        <v>21</v>
      </c>
      <c r="M2554" t="str">
        <f t="shared" si="117"/>
        <v>OK</v>
      </c>
      <c r="N2554" t="str">
        <f t="shared" si="118"/>
        <v>2000s</v>
      </c>
      <c r="O2554" t="str">
        <f t="shared" si="119"/>
        <v>N/A</v>
      </c>
      <c r="P2554" t="str">
        <f>VLOOKUP(E2554,calculated_fields!$F$4:$G$6,2,FALSE)</f>
        <v>Economy</v>
      </c>
    </row>
    <row r="2555" spans="1:16">
      <c r="A2555" t="s">
        <v>3508</v>
      </c>
      <c r="B2555" t="s">
        <v>3464</v>
      </c>
      <c r="C2555" t="s">
        <v>14</v>
      </c>
      <c r="D2555">
        <v>2007</v>
      </c>
      <c r="E2555" t="s">
        <v>15</v>
      </c>
      <c r="F2555" t="s">
        <v>16</v>
      </c>
      <c r="G2555" t="s">
        <v>17</v>
      </c>
      <c r="H2555" t="s">
        <v>18</v>
      </c>
      <c r="I2555">
        <v>78.623000000000005</v>
      </c>
      <c r="J2555" t="s">
        <v>19</v>
      </c>
      <c r="K2555" t="s">
        <v>3509</v>
      </c>
      <c r="L2555" t="s">
        <v>21</v>
      </c>
      <c r="M2555" t="str">
        <f t="shared" si="117"/>
        <v>OK</v>
      </c>
      <c r="N2555" t="str">
        <f t="shared" si="118"/>
        <v>2000s</v>
      </c>
      <c r="O2555" t="str">
        <f t="shared" si="119"/>
        <v>High</v>
      </c>
      <c r="P2555" t="str">
        <f>VLOOKUP(E2555,calculated_fields!$F$4:$G$6,2,FALSE)</f>
        <v>Health</v>
      </c>
    </row>
    <row r="2556" spans="1:16">
      <c r="A2556" t="s">
        <v>3510</v>
      </c>
      <c r="B2556" t="s">
        <v>3464</v>
      </c>
      <c r="C2556" t="s">
        <v>14</v>
      </c>
      <c r="D2556">
        <v>2007</v>
      </c>
      <c r="E2556" t="s">
        <v>23</v>
      </c>
      <c r="F2556" t="s">
        <v>24</v>
      </c>
      <c r="G2556" t="s">
        <v>25</v>
      </c>
      <c r="H2556" t="s">
        <v>26</v>
      </c>
      <c r="I2556">
        <v>49044790</v>
      </c>
      <c r="J2556" t="s">
        <v>27</v>
      </c>
      <c r="K2556" t="s">
        <v>3509</v>
      </c>
      <c r="L2556" t="s">
        <v>21</v>
      </c>
      <c r="M2556" t="str">
        <f t="shared" si="117"/>
        <v>OK</v>
      </c>
      <c r="N2556" t="str">
        <f t="shared" si="118"/>
        <v>2000s</v>
      </c>
      <c r="O2556" t="str">
        <f t="shared" si="119"/>
        <v>N/A</v>
      </c>
      <c r="P2556" t="str">
        <f>VLOOKUP(E2556,calculated_fields!$F$4:$G$6,2,FALSE)</f>
        <v>Demographics</v>
      </c>
    </row>
    <row r="2557" spans="1:16">
      <c r="A2557" t="s">
        <v>3511</v>
      </c>
      <c r="B2557" t="s">
        <v>3464</v>
      </c>
      <c r="C2557" t="s">
        <v>14</v>
      </c>
      <c r="D2557">
        <v>2007</v>
      </c>
      <c r="E2557" t="s">
        <v>29</v>
      </c>
      <c r="F2557" t="s">
        <v>30</v>
      </c>
      <c r="G2557" t="s">
        <v>31</v>
      </c>
      <c r="H2557" t="s">
        <v>32</v>
      </c>
      <c r="I2557">
        <v>23348.139729999999</v>
      </c>
      <c r="J2557" t="s">
        <v>33</v>
      </c>
      <c r="K2557" t="s">
        <v>3509</v>
      </c>
      <c r="L2557" t="s">
        <v>21</v>
      </c>
      <c r="M2557" t="str">
        <f t="shared" si="117"/>
        <v>OK</v>
      </c>
      <c r="N2557" t="str">
        <f t="shared" si="118"/>
        <v>2000s</v>
      </c>
      <c r="O2557" t="str">
        <f t="shared" si="119"/>
        <v>N/A</v>
      </c>
      <c r="P2557" t="str">
        <f>VLOOKUP(E2557,calculated_fields!$F$4:$G$6,2,FALSE)</f>
        <v>Economy</v>
      </c>
    </row>
    <row r="2558" spans="1:16">
      <c r="A2558" t="s">
        <v>3512</v>
      </c>
      <c r="B2558" t="s">
        <v>3513</v>
      </c>
      <c r="C2558" t="s">
        <v>14</v>
      </c>
      <c r="D2558">
        <v>1952</v>
      </c>
      <c r="E2558" t="s">
        <v>15</v>
      </c>
      <c r="F2558" t="s">
        <v>16</v>
      </c>
      <c r="G2558" t="s">
        <v>17</v>
      </c>
      <c r="H2558" t="s">
        <v>18</v>
      </c>
      <c r="I2558">
        <v>55.564999999999998</v>
      </c>
      <c r="J2558" t="s">
        <v>19</v>
      </c>
      <c r="K2558" t="s">
        <v>3514</v>
      </c>
      <c r="L2558" t="s">
        <v>21</v>
      </c>
      <c r="M2558" t="str">
        <f t="shared" si="117"/>
        <v>OK</v>
      </c>
      <c r="N2558" t="str">
        <f t="shared" si="118"/>
        <v>1950s</v>
      </c>
      <c r="O2558" t="str">
        <f t="shared" si="119"/>
        <v>Medium</v>
      </c>
      <c r="P2558" t="str">
        <f>VLOOKUP(E2558,calculated_fields!$F$4:$G$6,2,FALSE)</f>
        <v>Health</v>
      </c>
    </row>
    <row r="2559" spans="1:16">
      <c r="A2559" t="s">
        <v>3515</v>
      </c>
      <c r="B2559" t="s">
        <v>3513</v>
      </c>
      <c r="C2559" t="s">
        <v>14</v>
      </c>
      <c r="D2559">
        <v>1952</v>
      </c>
      <c r="E2559" t="s">
        <v>23</v>
      </c>
      <c r="F2559" t="s">
        <v>24</v>
      </c>
      <c r="G2559" t="s">
        <v>25</v>
      </c>
      <c r="H2559" t="s">
        <v>26</v>
      </c>
      <c r="I2559">
        <v>160000</v>
      </c>
      <c r="J2559" t="s">
        <v>27</v>
      </c>
      <c r="K2559" t="s">
        <v>3514</v>
      </c>
      <c r="L2559" t="s">
        <v>21</v>
      </c>
      <c r="M2559" t="str">
        <f t="shared" si="117"/>
        <v>OK</v>
      </c>
      <c r="N2559" t="str">
        <f t="shared" si="118"/>
        <v>1950s</v>
      </c>
      <c r="O2559" t="str">
        <f t="shared" si="119"/>
        <v>N/A</v>
      </c>
      <c r="P2559" t="str">
        <f>VLOOKUP(E2559,calculated_fields!$F$4:$G$6,2,FALSE)</f>
        <v>Demographics</v>
      </c>
    </row>
    <row r="2560" spans="1:16">
      <c r="A2560" t="s">
        <v>3516</v>
      </c>
      <c r="B2560" t="s">
        <v>3513</v>
      </c>
      <c r="C2560" t="s">
        <v>14</v>
      </c>
      <c r="D2560">
        <v>1952</v>
      </c>
      <c r="E2560" t="s">
        <v>29</v>
      </c>
      <c r="F2560" t="s">
        <v>30</v>
      </c>
      <c r="G2560" t="s">
        <v>31</v>
      </c>
      <c r="H2560" t="s">
        <v>32</v>
      </c>
      <c r="I2560">
        <v>108382.3529</v>
      </c>
      <c r="J2560" t="s">
        <v>33</v>
      </c>
      <c r="K2560" t="s">
        <v>3514</v>
      </c>
      <c r="L2560" t="s">
        <v>21</v>
      </c>
      <c r="M2560" t="str">
        <f t="shared" si="117"/>
        <v>OK</v>
      </c>
      <c r="N2560" t="str">
        <f t="shared" si="118"/>
        <v>1950s</v>
      </c>
      <c r="O2560" t="str">
        <f t="shared" si="119"/>
        <v>N/A</v>
      </c>
      <c r="P2560" t="str">
        <f>VLOOKUP(E2560,calculated_fields!$F$4:$G$6,2,FALSE)</f>
        <v>Economy</v>
      </c>
    </row>
    <row r="2561" spans="1:16">
      <c r="A2561" t="s">
        <v>3517</v>
      </c>
      <c r="B2561" t="s">
        <v>3513</v>
      </c>
      <c r="C2561" t="s">
        <v>14</v>
      </c>
      <c r="D2561">
        <v>1957</v>
      </c>
      <c r="E2561" t="s">
        <v>15</v>
      </c>
      <c r="F2561" t="s">
        <v>16</v>
      </c>
      <c r="G2561" t="s">
        <v>17</v>
      </c>
      <c r="H2561" t="s">
        <v>18</v>
      </c>
      <c r="I2561">
        <v>58.033000000000001</v>
      </c>
      <c r="J2561" t="s">
        <v>19</v>
      </c>
      <c r="K2561" t="s">
        <v>3518</v>
      </c>
      <c r="L2561" t="s">
        <v>21</v>
      </c>
      <c r="M2561" t="str">
        <f t="shared" si="117"/>
        <v>OK</v>
      </c>
      <c r="N2561" t="str">
        <f t="shared" si="118"/>
        <v>1950s</v>
      </c>
      <c r="O2561" t="str">
        <f t="shared" si="119"/>
        <v>Medium</v>
      </c>
      <c r="P2561" t="str">
        <f>VLOOKUP(E2561,calculated_fields!$F$4:$G$6,2,FALSE)</f>
        <v>Health</v>
      </c>
    </row>
    <row r="2562" spans="1:16">
      <c r="A2562" t="s">
        <v>3519</v>
      </c>
      <c r="B2562" t="s">
        <v>3513</v>
      </c>
      <c r="C2562" t="s">
        <v>14</v>
      </c>
      <c r="D2562">
        <v>1957</v>
      </c>
      <c r="E2562" t="s">
        <v>23</v>
      </c>
      <c r="F2562" t="s">
        <v>24</v>
      </c>
      <c r="G2562" t="s">
        <v>25</v>
      </c>
      <c r="H2562" t="s">
        <v>26</v>
      </c>
      <c r="I2562">
        <v>212846</v>
      </c>
      <c r="J2562" t="s">
        <v>27</v>
      </c>
      <c r="K2562" t="s">
        <v>3518</v>
      </c>
      <c r="L2562" t="s">
        <v>21</v>
      </c>
      <c r="M2562" t="str">
        <f t="shared" ref="M2562:M2625" si="120">IF(AND(ISNUMBER(I2562),I2562&gt;=0),"OK","Review")</f>
        <v>OK</v>
      </c>
      <c r="N2562" t="str">
        <f t="shared" ref="N2562:N2625" si="121">FLOOR(D2562,10)&amp;"s"</f>
        <v>1950s</v>
      </c>
      <c r="O2562" t="str">
        <f t="shared" ref="O2562:O2625" si="122">IF(E2562="LIFE_EXP",IF(I2562&gt;=70,"High",IF(I2562&gt;=55,"Medium","Low")),"N/A")</f>
        <v>N/A</v>
      </c>
      <c r="P2562" t="str">
        <f>VLOOKUP(E2562,calculated_fields!$F$4:$G$6,2,FALSE)</f>
        <v>Demographics</v>
      </c>
    </row>
    <row r="2563" spans="1:16">
      <c r="A2563" t="s">
        <v>3520</v>
      </c>
      <c r="B2563" t="s">
        <v>3513</v>
      </c>
      <c r="C2563" t="s">
        <v>14</v>
      </c>
      <c r="D2563">
        <v>1957</v>
      </c>
      <c r="E2563" t="s">
        <v>29</v>
      </c>
      <c r="F2563" t="s">
        <v>30</v>
      </c>
      <c r="G2563" t="s">
        <v>31</v>
      </c>
      <c r="H2563" t="s">
        <v>32</v>
      </c>
      <c r="I2563">
        <v>113523.1329</v>
      </c>
      <c r="J2563" t="s">
        <v>33</v>
      </c>
      <c r="K2563" t="s">
        <v>3518</v>
      </c>
      <c r="L2563" t="s">
        <v>21</v>
      </c>
      <c r="M2563" t="str">
        <f t="shared" si="120"/>
        <v>OK</v>
      </c>
      <c r="N2563" t="str">
        <f t="shared" si="121"/>
        <v>1950s</v>
      </c>
      <c r="O2563" t="str">
        <f t="shared" si="122"/>
        <v>N/A</v>
      </c>
      <c r="P2563" t="str">
        <f>VLOOKUP(E2563,calculated_fields!$F$4:$G$6,2,FALSE)</f>
        <v>Economy</v>
      </c>
    </row>
    <row r="2564" spans="1:16">
      <c r="A2564" t="s">
        <v>3521</v>
      </c>
      <c r="B2564" t="s">
        <v>3513</v>
      </c>
      <c r="C2564" t="s">
        <v>14</v>
      </c>
      <c r="D2564">
        <v>1962</v>
      </c>
      <c r="E2564" t="s">
        <v>15</v>
      </c>
      <c r="F2564" t="s">
        <v>16</v>
      </c>
      <c r="G2564" t="s">
        <v>17</v>
      </c>
      <c r="H2564" t="s">
        <v>18</v>
      </c>
      <c r="I2564">
        <v>60.47</v>
      </c>
      <c r="J2564" t="s">
        <v>19</v>
      </c>
      <c r="K2564" t="s">
        <v>3522</v>
      </c>
      <c r="L2564" t="s">
        <v>21</v>
      </c>
      <c r="M2564" t="str">
        <f t="shared" si="120"/>
        <v>OK</v>
      </c>
      <c r="N2564" t="str">
        <f t="shared" si="121"/>
        <v>1960s</v>
      </c>
      <c r="O2564" t="str">
        <f t="shared" si="122"/>
        <v>Medium</v>
      </c>
      <c r="P2564" t="str">
        <f>VLOOKUP(E2564,calculated_fields!$F$4:$G$6,2,FALSE)</f>
        <v>Health</v>
      </c>
    </row>
    <row r="2565" spans="1:16">
      <c r="A2565" t="s">
        <v>3523</v>
      </c>
      <c r="B2565" t="s">
        <v>3513</v>
      </c>
      <c r="C2565" t="s">
        <v>14</v>
      </c>
      <c r="D2565">
        <v>1962</v>
      </c>
      <c r="E2565" t="s">
        <v>23</v>
      </c>
      <c r="F2565" t="s">
        <v>24</v>
      </c>
      <c r="G2565" t="s">
        <v>25</v>
      </c>
      <c r="H2565" t="s">
        <v>26</v>
      </c>
      <c r="I2565">
        <v>358266</v>
      </c>
      <c r="J2565" t="s">
        <v>27</v>
      </c>
      <c r="K2565" t="s">
        <v>3522</v>
      </c>
      <c r="L2565" t="s">
        <v>21</v>
      </c>
      <c r="M2565" t="str">
        <f t="shared" si="120"/>
        <v>OK</v>
      </c>
      <c r="N2565" t="str">
        <f t="shared" si="121"/>
        <v>1960s</v>
      </c>
      <c r="O2565" t="str">
        <f t="shared" si="122"/>
        <v>N/A</v>
      </c>
      <c r="P2565" t="str">
        <f>VLOOKUP(E2565,calculated_fields!$F$4:$G$6,2,FALSE)</f>
        <v>Demographics</v>
      </c>
    </row>
    <row r="2566" spans="1:16">
      <c r="A2566" t="s">
        <v>3524</v>
      </c>
      <c r="B2566" t="s">
        <v>3513</v>
      </c>
      <c r="C2566" t="s">
        <v>14</v>
      </c>
      <c r="D2566">
        <v>1962</v>
      </c>
      <c r="E2566" t="s">
        <v>29</v>
      </c>
      <c r="F2566" t="s">
        <v>30</v>
      </c>
      <c r="G2566" t="s">
        <v>31</v>
      </c>
      <c r="H2566" t="s">
        <v>32</v>
      </c>
      <c r="I2566">
        <v>95458.11176</v>
      </c>
      <c r="J2566" t="s">
        <v>33</v>
      </c>
      <c r="K2566" t="s">
        <v>3522</v>
      </c>
      <c r="L2566" t="s">
        <v>21</v>
      </c>
      <c r="M2566" t="str">
        <f t="shared" si="120"/>
        <v>OK</v>
      </c>
      <c r="N2566" t="str">
        <f t="shared" si="121"/>
        <v>1960s</v>
      </c>
      <c r="O2566" t="str">
        <f t="shared" si="122"/>
        <v>N/A</v>
      </c>
      <c r="P2566" t="str">
        <f>VLOOKUP(E2566,calculated_fields!$F$4:$G$6,2,FALSE)</f>
        <v>Economy</v>
      </c>
    </row>
    <row r="2567" spans="1:16">
      <c r="A2567" t="s">
        <v>3525</v>
      </c>
      <c r="B2567" t="s">
        <v>3513</v>
      </c>
      <c r="C2567" t="s">
        <v>14</v>
      </c>
      <c r="D2567">
        <v>1967</v>
      </c>
      <c r="E2567" t="s">
        <v>15</v>
      </c>
      <c r="F2567" t="s">
        <v>16</v>
      </c>
      <c r="G2567" t="s">
        <v>17</v>
      </c>
      <c r="H2567" t="s">
        <v>18</v>
      </c>
      <c r="I2567">
        <v>64.623999999999995</v>
      </c>
      <c r="J2567" t="s">
        <v>19</v>
      </c>
      <c r="K2567" t="s">
        <v>3526</v>
      </c>
      <c r="L2567" t="s">
        <v>21</v>
      </c>
      <c r="M2567" t="str">
        <f t="shared" si="120"/>
        <v>OK</v>
      </c>
      <c r="N2567" t="str">
        <f t="shared" si="121"/>
        <v>1960s</v>
      </c>
      <c r="O2567" t="str">
        <f t="shared" si="122"/>
        <v>Medium</v>
      </c>
      <c r="P2567" t="str">
        <f>VLOOKUP(E2567,calculated_fields!$F$4:$G$6,2,FALSE)</f>
        <v>Health</v>
      </c>
    </row>
    <row r="2568" spans="1:16">
      <c r="A2568" t="s">
        <v>3527</v>
      </c>
      <c r="B2568" t="s">
        <v>3513</v>
      </c>
      <c r="C2568" t="s">
        <v>14</v>
      </c>
      <c r="D2568">
        <v>1967</v>
      </c>
      <c r="E2568" t="s">
        <v>23</v>
      </c>
      <c r="F2568" t="s">
        <v>24</v>
      </c>
      <c r="G2568" t="s">
        <v>25</v>
      </c>
      <c r="H2568" t="s">
        <v>26</v>
      </c>
      <c r="I2568">
        <v>575003</v>
      </c>
      <c r="J2568" t="s">
        <v>27</v>
      </c>
      <c r="K2568" t="s">
        <v>3526</v>
      </c>
      <c r="L2568" t="s">
        <v>21</v>
      </c>
      <c r="M2568" t="str">
        <f t="shared" si="120"/>
        <v>OK</v>
      </c>
      <c r="N2568" t="str">
        <f t="shared" si="121"/>
        <v>1960s</v>
      </c>
      <c r="O2568" t="str">
        <f t="shared" si="122"/>
        <v>N/A</v>
      </c>
      <c r="P2568" t="str">
        <f>VLOOKUP(E2568,calculated_fields!$F$4:$G$6,2,FALSE)</f>
        <v>Demographics</v>
      </c>
    </row>
    <row r="2569" spans="1:16">
      <c r="A2569" t="s">
        <v>3528</v>
      </c>
      <c r="B2569" t="s">
        <v>3513</v>
      </c>
      <c r="C2569" t="s">
        <v>14</v>
      </c>
      <c r="D2569">
        <v>1967</v>
      </c>
      <c r="E2569" t="s">
        <v>29</v>
      </c>
      <c r="F2569" t="s">
        <v>30</v>
      </c>
      <c r="G2569" t="s">
        <v>31</v>
      </c>
      <c r="H2569" t="s">
        <v>32</v>
      </c>
      <c r="I2569">
        <v>80894.883260000002</v>
      </c>
      <c r="J2569" t="s">
        <v>33</v>
      </c>
      <c r="K2569" t="s">
        <v>3526</v>
      </c>
      <c r="L2569" t="s">
        <v>21</v>
      </c>
      <c r="M2569" t="str">
        <f t="shared" si="120"/>
        <v>OK</v>
      </c>
      <c r="N2569" t="str">
        <f t="shared" si="121"/>
        <v>1960s</v>
      </c>
      <c r="O2569" t="str">
        <f t="shared" si="122"/>
        <v>N/A</v>
      </c>
      <c r="P2569" t="str">
        <f>VLOOKUP(E2569,calculated_fields!$F$4:$G$6,2,FALSE)</f>
        <v>Economy</v>
      </c>
    </row>
    <row r="2570" spans="1:16">
      <c r="A2570" t="s">
        <v>3529</v>
      </c>
      <c r="B2570" t="s">
        <v>3513</v>
      </c>
      <c r="C2570" t="s">
        <v>14</v>
      </c>
      <c r="D2570">
        <v>1972</v>
      </c>
      <c r="E2570" t="s">
        <v>15</v>
      </c>
      <c r="F2570" t="s">
        <v>16</v>
      </c>
      <c r="G2570" t="s">
        <v>17</v>
      </c>
      <c r="H2570" t="s">
        <v>18</v>
      </c>
      <c r="I2570">
        <v>67.712000000000003</v>
      </c>
      <c r="J2570" t="s">
        <v>19</v>
      </c>
      <c r="K2570" t="s">
        <v>3530</v>
      </c>
      <c r="L2570" t="s">
        <v>21</v>
      </c>
      <c r="M2570" t="str">
        <f t="shared" si="120"/>
        <v>OK</v>
      </c>
      <c r="N2570" t="str">
        <f t="shared" si="121"/>
        <v>1970s</v>
      </c>
      <c r="O2570" t="str">
        <f t="shared" si="122"/>
        <v>Medium</v>
      </c>
      <c r="P2570" t="str">
        <f>VLOOKUP(E2570,calculated_fields!$F$4:$G$6,2,FALSE)</f>
        <v>Health</v>
      </c>
    </row>
    <row r="2571" spans="1:16">
      <c r="A2571" t="s">
        <v>3531</v>
      </c>
      <c r="B2571" t="s">
        <v>3513</v>
      </c>
      <c r="C2571" t="s">
        <v>14</v>
      </c>
      <c r="D2571">
        <v>1972</v>
      </c>
      <c r="E2571" t="s">
        <v>23</v>
      </c>
      <c r="F2571" t="s">
        <v>24</v>
      </c>
      <c r="G2571" t="s">
        <v>25</v>
      </c>
      <c r="H2571" t="s">
        <v>26</v>
      </c>
      <c r="I2571">
        <v>841934</v>
      </c>
      <c r="J2571" t="s">
        <v>27</v>
      </c>
      <c r="K2571" t="s">
        <v>3530</v>
      </c>
      <c r="L2571" t="s">
        <v>21</v>
      </c>
      <c r="M2571" t="str">
        <f t="shared" si="120"/>
        <v>OK</v>
      </c>
      <c r="N2571" t="str">
        <f t="shared" si="121"/>
        <v>1970s</v>
      </c>
      <c r="O2571" t="str">
        <f t="shared" si="122"/>
        <v>N/A</v>
      </c>
      <c r="P2571" t="str">
        <f>VLOOKUP(E2571,calculated_fields!$F$4:$G$6,2,FALSE)</f>
        <v>Demographics</v>
      </c>
    </row>
    <row r="2572" spans="1:16">
      <c r="A2572" t="s">
        <v>3532</v>
      </c>
      <c r="B2572" t="s">
        <v>3513</v>
      </c>
      <c r="C2572" t="s">
        <v>14</v>
      </c>
      <c r="D2572">
        <v>1972</v>
      </c>
      <c r="E2572" t="s">
        <v>29</v>
      </c>
      <c r="F2572" t="s">
        <v>30</v>
      </c>
      <c r="G2572" t="s">
        <v>31</v>
      </c>
      <c r="H2572" t="s">
        <v>32</v>
      </c>
      <c r="I2572">
        <v>109347.867</v>
      </c>
      <c r="J2572" t="s">
        <v>33</v>
      </c>
      <c r="K2572" t="s">
        <v>3530</v>
      </c>
      <c r="L2572" t="s">
        <v>21</v>
      </c>
      <c r="M2572" t="str">
        <f t="shared" si="120"/>
        <v>OK</v>
      </c>
      <c r="N2572" t="str">
        <f t="shared" si="121"/>
        <v>1970s</v>
      </c>
      <c r="O2572" t="str">
        <f t="shared" si="122"/>
        <v>N/A</v>
      </c>
      <c r="P2572" t="str">
        <f>VLOOKUP(E2572,calculated_fields!$F$4:$G$6,2,FALSE)</f>
        <v>Economy</v>
      </c>
    </row>
    <row r="2573" spans="1:16">
      <c r="A2573" t="s">
        <v>3533</v>
      </c>
      <c r="B2573" t="s">
        <v>3513</v>
      </c>
      <c r="C2573" t="s">
        <v>14</v>
      </c>
      <c r="D2573">
        <v>1977</v>
      </c>
      <c r="E2573" t="s">
        <v>15</v>
      </c>
      <c r="F2573" t="s">
        <v>16</v>
      </c>
      <c r="G2573" t="s">
        <v>17</v>
      </c>
      <c r="H2573" t="s">
        <v>18</v>
      </c>
      <c r="I2573">
        <v>69.343000000000004</v>
      </c>
      <c r="J2573" t="s">
        <v>19</v>
      </c>
      <c r="K2573" t="s">
        <v>3534</v>
      </c>
      <c r="L2573" t="s">
        <v>21</v>
      </c>
      <c r="M2573" t="str">
        <f t="shared" si="120"/>
        <v>OK</v>
      </c>
      <c r="N2573" t="str">
        <f t="shared" si="121"/>
        <v>1970s</v>
      </c>
      <c r="O2573" t="str">
        <f t="shared" si="122"/>
        <v>Medium</v>
      </c>
      <c r="P2573" t="str">
        <f>VLOOKUP(E2573,calculated_fields!$F$4:$G$6,2,FALSE)</f>
        <v>Health</v>
      </c>
    </row>
    <row r="2574" spans="1:16">
      <c r="A2574" t="s">
        <v>3535</v>
      </c>
      <c r="B2574" t="s">
        <v>3513</v>
      </c>
      <c r="C2574" t="s">
        <v>14</v>
      </c>
      <c r="D2574">
        <v>1977</v>
      </c>
      <c r="E2574" t="s">
        <v>23</v>
      </c>
      <c r="F2574" t="s">
        <v>24</v>
      </c>
      <c r="G2574" t="s">
        <v>25</v>
      </c>
      <c r="H2574" t="s">
        <v>26</v>
      </c>
      <c r="I2574">
        <v>1140357</v>
      </c>
      <c r="J2574" t="s">
        <v>27</v>
      </c>
      <c r="K2574" t="s">
        <v>3534</v>
      </c>
      <c r="L2574" t="s">
        <v>21</v>
      </c>
      <c r="M2574" t="str">
        <f t="shared" si="120"/>
        <v>OK</v>
      </c>
      <c r="N2574" t="str">
        <f t="shared" si="121"/>
        <v>1970s</v>
      </c>
      <c r="O2574" t="str">
        <f t="shared" si="122"/>
        <v>N/A</v>
      </c>
      <c r="P2574" t="str">
        <f>VLOOKUP(E2574,calculated_fields!$F$4:$G$6,2,FALSE)</f>
        <v>Demographics</v>
      </c>
    </row>
    <row r="2575" spans="1:16">
      <c r="A2575" t="s">
        <v>3536</v>
      </c>
      <c r="B2575" t="s">
        <v>3513</v>
      </c>
      <c r="C2575" t="s">
        <v>14</v>
      </c>
      <c r="D2575">
        <v>1977</v>
      </c>
      <c r="E2575" t="s">
        <v>29</v>
      </c>
      <c r="F2575" t="s">
        <v>30</v>
      </c>
      <c r="G2575" t="s">
        <v>31</v>
      </c>
      <c r="H2575" t="s">
        <v>32</v>
      </c>
      <c r="I2575">
        <v>59265.477140000003</v>
      </c>
      <c r="J2575" t="s">
        <v>33</v>
      </c>
      <c r="K2575" t="s">
        <v>3534</v>
      </c>
      <c r="L2575" t="s">
        <v>21</v>
      </c>
      <c r="M2575" t="str">
        <f t="shared" si="120"/>
        <v>OK</v>
      </c>
      <c r="N2575" t="str">
        <f t="shared" si="121"/>
        <v>1970s</v>
      </c>
      <c r="O2575" t="str">
        <f t="shared" si="122"/>
        <v>N/A</v>
      </c>
      <c r="P2575" t="str">
        <f>VLOOKUP(E2575,calculated_fields!$F$4:$G$6,2,FALSE)</f>
        <v>Economy</v>
      </c>
    </row>
    <row r="2576" spans="1:16">
      <c r="A2576" t="s">
        <v>3537</v>
      </c>
      <c r="B2576" t="s">
        <v>3513</v>
      </c>
      <c r="C2576" t="s">
        <v>14</v>
      </c>
      <c r="D2576">
        <v>1982</v>
      </c>
      <c r="E2576" t="s">
        <v>15</v>
      </c>
      <c r="F2576" t="s">
        <v>16</v>
      </c>
      <c r="G2576" t="s">
        <v>17</v>
      </c>
      <c r="H2576" t="s">
        <v>18</v>
      </c>
      <c r="I2576">
        <v>71.308999999999997</v>
      </c>
      <c r="J2576" t="s">
        <v>19</v>
      </c>
      <c r="K2576" t="s">
        <v>3538</v>
      </c>
      <c r="L2576" t="s">
        <v>21</v>
      </c>
      <c r="M2576" t="str">
        <f t="shared" si="120"/>
        <v>OK</v>
      </c>
      <c r="N2576" t="str">
        <f t="shared" si="121"/>
        <v>1980s</v>
      </c>
      <c r="O2576" t="str">
        <f t="shared" si="122"/>
        <v>High</v>
      </c>
      <c r="P2576" t="str">
        <f>VLOOKUP(E2576,calculated_fields!$F$4:$G$6,2,FALSE)</f>
        <v>Health</v>
      </c>
    </row>
    <row r="2577" spans="1:16">
      <c r="A2577" t="s">
        <v>3539</v>
      </c>
      <c r="B2577" t="s">
        <v>3513</v>
      </c>
      <c r="C2577" t="s">
        <v>14</v>
      </c>
      <c r="D2577">
        <v>1982</v>
      </c>
      <c r="E2577" t="s">
        <v>23</v>
      </c>
      <c r="F2577" t="s">
        <v>24</v>
      </c>
      <c r="G2577" t="s">
        <v>25</v>
      </c>
      <c r="H2577" t="s">
        <v>26</v>
      </c>
      <c r="I2577">
        <v>1497494</v>
      </c>
      <c r="J2577" t="s">
        <v>27</v>
      </c>
      <c r="K2577" t="s">
        <v>3538</v>
      </c>
      <c r="L2577" t="s">
        <v>21</v>
      </c>
      <c r="M2577" t="str">
        <f t="shared" si="120"/>
        <v>OK</v>
      </c>
      <c r="N2577" t="str">
        <f t="shared" si="121"/>
        <v>1980s</v>
      </c>
      <c r="O2577" t="str">
        <f t="shared" si="122"/>
        <v>N/A</v>
      </c>
      <c r="P2577" t="str">
        <f>VLOOKUP(E2577,calculated_fields!$F$4:$G$6,2,FALSE)</f>
        <v>Demographics</v>
      </c>
    </row>
    <row r="2578" spans="1:16">
      <c r="A2578" t="s">
        <v>3540</v>
      </c>
      <c r="B2578" t="s">
        <v>3513</v>
      </c>
      <c r="C2578" t="s">
        <v>14</v>
      </c>
      <c r="D2578">
        <v>1982</v>
      </c>
      <c r="E2578" t="s">
        <v>29</v>
      </c>
      <c r="F2578" t="s">
        <v>30</v>
      </c>
      <c r="G2578" t="s">
        <v>31</v>
      </c>
      <c r="H2578" t="s">
        <v>32</v>
      </c>
      <c r="I2578">
        <v>31354.03573</v>
      </c>
      <c r="J2578" t="s">
        <v>33</v>
      </c>
      <c r="K2578" t="s">
        <v>3538</v>
      </c>
      <c r="L2578" t="s">
        <v>21</v>
      </c>
      <c r="M2578" t="str">
        <f t="shared" si="120"/>
        <v>OK</v>
      </c>
      <c r="N2578" t="str">
        <f t="shared" si="121"/>
        <v>1980s</v>
      </c>
      <c r="O2578" t="str">
        <f t="shared" si="122"/>
        <v>N/A</v>
      </c>
      <c r="P2578" t="str">
        <f>VLOOKUP(E2578,calculated_fields!$F$4:$G$6,2,FALSE)</f>
        <v>Economy</v>
      </c>
    </row>
    <row r="2579" spans="1:16">
      <c r="A2579" t="s">
        <v>3541</v>
      </c>
      <c r="B2579" t="s">
        <v>3513</v>
      </c>
      <c r="C2579" t="s">
        <v>14</v>
      </c>
      <c r="D2579">
        <v>1987</v>
      </c>
      <c r="E2579" t="s">
        <v>15</v>
      </c>
      <c r="F2579" t="s">
        <v>16</v>
      </c>
      <c r="G2579" t="s">
        <v>17</v>
      </c>
      <c r="H2579" t="s">
        <v>18</v>
      </c>
      <c r="I2579">
        <v>74.173999999999893</v>
      </c>
      <c r="J2579" t="s">
        <v>19</v>
      </c>
      <c r="K2579" t="s">
        <v>3542</v>
      </c>
      <c r="L2579" t="s">
        <v>21</v>
      </c>
      <c r="M2579" t="str">
        <f t="shared" si="120"/>
        <v>OK</v>
      </c>
      <c r="N2579" t="str">
        <f t="shared" si="121"/>
        <v>1980s</v>
      </c>
      <c r="O2579" t="str">
        <f t="shared" si="122"/>
        <v>High</v>
      </c>
      <c r="P2579" t="str">
        <f>VLOOKUP(E2579,calculated_fields!$F$4:$G$6,2,FALSE)</f>
        <v>Health</v>
      </c>
    </row>
    <row r="2580" spans="1:16">
      <c r="A2580" t="s">
        <v>3543</v>
      </c>
      <c r="B2580" t="s">
        <v>3513</v>
      </c>
      <c r="C2580" t="s">
        <v>14</v>
      </c>
      <c r="D2580">
        <v>1987</v>
      </c>
      <c r="E2580" t="s">
        <v>23</v>
      </c>
      <c r="F2580" t="s">
        <v>24</v>
      </c>
      <c r="G2580" t="s">
        <v>25</v>
      </c>
      <c r="H2580" t="s">
        <v>26</v>
      </c>
      <c r="I2580">
        <v>1891487</v>
      </c>
      <c r="J2580" t="s">
        <v>27</v>
      </c>
      <c r="K2580" t="s">
        <v>3542</v>
      </c>
      <c r="L2580" t="s">
        <v>21</v>
      </c>
      <c r="M2580" t="str">
        <f t="shared" si="120"/>
        <v>OK</v>
      </c>
      <c r="N2580" t="str">
        <f t="shared" si="121"/>
        <v>1980s</v>
      </c>
      <c r="O2580" t="str">
        <f t="shared" si="122"/>
        <v>N/A</v>
      </c>
      <c r="P2580" t="str">
        <f>VLOOKUP(E2580,calculated_fields!$F$4:$G$6,2,FALSE)</f>
        <v>Demographics</v>
      </c>
    </row>
    <row r="2581" spans="1:16">
      <c r="A2581" t="s">
        <v>3544</v>
      </c>
      <c r="B2581" t="s">
        <v>3513</v>
      </c>
      <c r="C2581" t="s">
        <v>14</v>
      </c>
      <c r="D2581">
        <v>1987</v>
      </c>
      <c r="E2581" t="s">
        <v>29</v>
      </c>
      <c r="F2581" t="s">
        <v>30</v>
      </c>
      <c r="G2581" t="s">
        <v>31</v>
      </c>
      <c r="H2581" t="s">
        <v>32</v>
      </c>
      <c r="I2581">
        <v>28118.429980000001</v>
      </c>
      <c r="J2581" t="s">
        <v>33</v>
      </c>
      <c r="K2581" t="s">
        <v>3542</v>
      </c>
      <c r="L2581" t="s">
        <v>21</v>
      </c>
      <c r="M2581" t="str">
        <f t="shared" si="120"/>
        <v>OK</v>
      </c>
      <c r="N2581" t="str">
        <f t="shared" si="121"/>
        <v>1980s</v>
      </c>
      <c r="O2581" t="str">
        <f t="shared" si="122"/>
        <v>N/A</v>
      </c>
      <c r="P2581" t="str">
        <f>VLOOKUP(E2581,calculated_fields!$F$4:$G$6,2,FALSE)</f>
        <v>Economy</v>
      </c>
    </row>
    <row r="2582" spans="1:16">
      <c r="A2582" t="s">
        <v>3545</v>
      </c>
      <c r="B2582" t="s">
        <v>3513</v>
      </c>
      <c r="C2582" t="s">
        <v>14</v>
      </c>
      <c r="D2582">
        <v>1992</v>
      </c>
      <c r="E2582" t="s">
        <v>15</v>
      </c>
      <c r="F2582" t="s">
        <v>16</v>
      </c>
      <c r="G2582" t="s">
        <v>17</v>
      </c>
      <c r="H2582" t="s">
        <v>18</v>
      </c>
      <c r="I2582">
        <v>75.19</v>
      </c>
      <c r="J2582" t="s">
        <v>19</v>
      </c>
      <c r="K2582" t="s">
        <v>3546</v>
      </c>
      <c r="L2582" t="s">
        <v>21</v>
      </c>
      <c r="M2582" t="str">
        <f t="shared" si="120"/>
        <v>OK</v>
      </c>
      <c r="N2582" t="str">
        <f t="shared" si="121"/>
        <v>1990s</v>
      </c>
      <c r="O2582" t="str">
        <f t="shared" si="122"/>
        <v>High</v>
      </c>
      <c r="P2582" t="str">
        <f>VLOOKUP(E2582,calculated_fields!$F$4:$G$6,2,FALSE)</f>
        <v>Health</v>
      </c>
    </row>
    <row r="2583" spans="1:16">
      <c r="A2583" t="s">
        <v>3547</v>
      </c>
      <c r="B2583" t="s">
        <v>3513</v>
      </c>
      <c r="C2583" t="s">
        <v>14</v>
      </c>
      <c r="D2583">
        <v>1992</v>
      </c>
      <c r="E2583" t="s">
        <v>23</v>
      </c>
      <c r="F2583" t="s">
        <v>24</v>
      </c>
      <c r="G2583" t="s">
        <v>25</v>
      </c>
      <c r="H2583" t="s">
        <v>26</v>
      </c>
      <c r="I2583">
        <v>1418095</v>
      </c>
      <c r="J2583" t="s">
        <v>27</v>
      </c>
      <c r="K2583" t="s">
        <v>3546</v>
      </c>
      <c r="L2583" t="s">
        <v>21</v>
      </c>
      <c r="M2583" t="str">
        <f t="shared" si="120"/>
        <v>OK</v>
      </c>
      <c r="N2583" t="str">
        <f t="shared" si="121"/>
        <v>1990s</v>
      </c>
      <c r="O2583" t="str">
        <f t="shared" si="122"/>
        <v>N/A</v>
      </c>
      <c r="P2583" t="str">
        <f>VLOOKUP(E2583,calculated_fields!$F$4:$G$6,2,FALSE)</f>
        <v>Demographics</v>
      </c>
    </row>
    <row r="2584" spans="1:16">
      <c r="A2584" t="s">
        <v>3548</v>
      </c>
      <c r="B2584" t="s">
        <v>3513</v>
      </c>
      <c r="C2584" t="s">
        <v>14</v>
      </c>
      <c r="D2584">
        <v>1992</v>
      </c>
      <c r="E2584" t="s">
        <v>29</v>
      </c>
      <c r="F2584" t="s">
        <v>30</v>
      </c>
      <c r="G2584" t="s">
        <v>31</v>
      </c>
      <c r="H2584" t="s">
        <v>32</v>
      </c>
      <c r="I2584">
        <v>34932.919589999998</v>
      </c>
      <c r="J2584" t="s">
        <v>33</v>
      </c>
      <c r="K2584" t="s">
        <v>3546</v>
      </c>
      <c r="L2584" t="s">
        <v>21</v>
      </c>
      <c r="M2584" t="str">
        <f t="shared" si="120"/>
        <v>OK</v>
      </c>
      <c r="N2584" t="str">
        <f t="shared" si="121"/>
        <v>1990s</v>
      </c>
      <c r="O2584" t="str">
        <f t="shared" si="122"/>
        <v>N/A</v>
      </c>
      <c r="P2584" t="str">
        <f>VLOOKUP(E2584,calculated_fields!$F$4:$G$6,2,FALSE)</f>
        <v>Economy</v>
      </c>
    </row>
    <row r="2585" spans="1:16">
      <c r="A2585" t="s">
        <v>3549</v>
      </c>
      <c r="B2585" t="s">
        <v>3513</v>
      </c>
      <c r="C2585" t="s">
        <v>14</v>
      </c>
      <c r="D2585">
        <v>1997</v>
      </c>
      <c r="E2585" t="s">
        <v>15</v>
      </c>
      <c r="F2585" t="s">
        <v>16</v>
      </c>
      <c r="G2585" t="s">
        <v>17</v>
      </c>
      <c r="H2585" t="s">
        <v>18</v>
      </c>
      <c r="I2585">
        <v>76.156000000000006</v>
      </c>
      <c r="J2585" t="s">
        <v>19</v>
      </c>
      <c r="K2585" t="s">
        <v>3550</v>
      </c>
      <c r="L2585" t="s">
        <v>21</v>
      </c>
      <c r="M2585" t="str">
        <f t="shared" si="120"/>
        <v>OK</v>
      </c>
      <c r="N2585" t="str">
        <f t="shared" si="121"/>
        <v>1990s</v>
      </c>
      <c r="O2585" t="str">
        <f t="shared" si="122"/>
        <v>High</v>
      </c>
      <c r="P2585" t="str">
        <f>VLOOKUP(E2585,calculated_fields!$F$4:$G$6,2,FALSE)</f>
        <v>Health</v>
      </c>
    </row>
    <row r="2586" spans="1:16">
      <c r="A2586" t="s">
        <v>3551</v>
      </c>
      <c r="B2586" t="s">
        <v>3513</v>
      </c>
      <c r="C2586" t="s">
        <v>14</v>
      </c>
      <c r="D2586">
        <v>1997</v>
      </c>
      <c r="E2586" t="s">
        <v>23</v>
      </c>
      <c r="F2586" t="s">
        <v>24</v>
      </c>
      <c r="G2586" t="s">
        <v>25</v>
      </c>
      <c r="H2586" t="s">
        <v>26</v>
      </c>
      <c r="I2586">
        <v>1765345</v>
      </c>
      <c r="J2586" t="s">
        <v>27</v>
      </c>
      <c r="K2586" t="s">
        <v>3550</v>
      </c>
      <c r="L2586" t="s">
        <v>21</v>
      </c>
      <c r="M2586" t="str">
        <f t="shared" si="120"/>
        <v>OK</v>
      </c>
      <c r="N2586" t="str">
        <f t="shared" si="121"/>
        <v>1990s</v>
      </c>
      <c r="O2586" t="str">
        <f t="shared" si="122"/>
        <v>N/A</v>
      </c>
      <c r="P2586" t="str">
        <f>VLOOKUP(E2586,calculated_fields!$F$4:$G$6,2,FALSE)</f>
        <v>Demographics</v>
      </c>
    </row>
    <row r="2587" spans="1:16">
      <c r="A2587" t="s">
        <v>3552</v>
      </c>
      <c r="B2587" t="s">
        <v>3513</v>
      </c>
      <c r="C2587" t="s">
        <v>14</v>
      </c>
      <c r="D2587">
        <v>1997</v>
      </c>
      <c r="E2587" t="s">
        <v>29</v>
      </c>
      <c r="F2587" t="s">
        <v>30</v>
      </c>
      <c r="G2587" t="s">
        <v>31</v>
      </c>
      <c r="H2587" t="s">
        <v>32</v>
      </c>
      <c r="I2587">
        <v>40300.619960000004</v>
      </c>
      <c r="J2587" t="s">
        <v>33</v>
      </c>
      <c r="K2587" t="s">
        <v>3550</v>
      </c>
      <c r="L2587" t="s">
        <v>21</v>
      </c>
      <c r="M2587" t="str">
        <f t="shared" si="120"/>
        <v>OK</v>
      </c>
      <c r="N2587" t="str">
        <f t="shared" si="121"/>
        <v>1990s</v>
      </c>
      <c r="O2587" t="str">
        <f t="shared" si="122"/>
        <v>N/A</v>
      </c>
      <c r="P2587" t="str">
        <f>VLOOKUP(E2587,calculated_fields!$F$4:$G$6,2,FALSE)</f>
        <v>Economy</v>
      </c>
    </row>
    <row r="2588" spans="1:16">
      <c r="A2588" t="s">
        <v>3553</v>
      </c>
      <c r="B2588" t="s">
        <v>3513</v>
      </c>
      <c r="C2588" t="s">
        <v>14</v>
      </c>
      <c r="D2588">
        <v>2002</v>
      </c>
      <c r="E2588" t="s">
        <v>15</v>
      </c>
      <c r="F2588" t="s">
        <v>16</v>
      </c>
      <c r="G2588" t="s">
        <v>17</v>
      </c>
      <c r="H2588" t="s">
        <v>18</v>
      </c>
      <c r="I2588">
        <v>76.903999999999996</v>
      </c>
      <c r="J2588" t="s">
        <v>19</v>
      </c>
      <c r="K2588" t="s">
        <v>3554</v>
      </c>
      <c r="L2588" t="s">
        <v>21</v>
      </c>
      <c r="M2588" t="str">
        <f t="shared" si="120"/>
        <v>OK</v>
      </c>
      <c r="N2588" t="str">
        <f t="shared" si="121"/>
        <v>2000s</v>
      </c>
      <c r="O2588" t="str">
        <f t="shared" si="122"/>
        <v>High</v>
      </c>
      <c r="P2588" t="str">
        <f>VLOOKUP(E2588,calculated_fields!$F$4:$G$6,2,FALSE)</f>
        <v>Health</v>
      </c>
    </row>
    <row r="2589" spans="1:16">
      <c r="A2589" t="s">
        <v>3555</v>
      </c>
      <c r="B2589" t="s">
        <v>3513</v>
      </c>
      <c r="C2589" t="s">
        <v>14</v>
      </c>
      <c r="D2589">
        <v>2002</v>
      </c>
      <c r="E2589" t="s">
        <v>23</v>
      </c>
      <c r="F2589" t="s">
        <v>24</v>
      </c>
      <c r="G2589" t="s">
        <v>25</v>
      </c>
      <c r="H2589" t="s">
        <v>26</v>
      </c>
      <c r="I2589">
        <v>2111561</v>
      </c>
      <c r="J2589" t="s">
        <v>27</v>
      </c>
      <c r="K2589" t="s">
        <v>3554</v>
      </c>
      <c r="L2589" t="s">
        <v>21</v>
      </c>
      <c r="M2589" t="str">
        <f t="shared" si="120"/>
        <v>OK</v>
      </c>
      <c r="N2589" t="str">
        <f t="shared" si="121"/>
        <v>2000s</v>
      </c>
      <c r="O2589" t="str">
        <f t="shared" si="122"/>
        <v>N/A</v>
      </c>
      <c r="P2589" t="str">
        <f>VLOOKUP(E2589,calculated_fields!$F$4:$G$6,2,FALSE)</f>
        <v>Demographics</v>
      </c>
    </row>
    <row r="2590" spans="1:16">
      <c r="A2590" t="s">
        <v>3556</v>
      </c>
      <c r="B2590" t="s">
        <v>3513</v>
      </c>
      <c r="C2590" t="s">
        <v>14</v>
      </c>
      <c r="D2590">
        <v>2002</v>
      </c>
      <c r="E2590" t="s">
        <v>29</v>
      </c>
      <c r="F2590" t="s">
        <v>30</v>
      </c>
      <c r="G2590" t="s">
        <v>31</v>
      </c>
      <c r="H2590" t="s">
        <v>32</v>
      </c>
      <c r="I2590">
        <v>35110.105660000001</v>
      </c>
      <c r="J2590" t="s">
        <v>33</v>
      </c>
      <c r="K2590" t="s">
        <v>3554</v>
      </c>
      <c r="L2590" t="s">
        <v>21</v>
      </c>
      <c r="M2590" t="str">
        <f t="shared" si="120"/>
        <v>OK</v>
      </c>
      <c r="N2590" t="str">
        <f t="shared" si="121"/>
        <v>2000s</v>
      </c>
      <c r="O2590" t="str">
        <f t="shared" si="122"/>
        <v>N/A</v>
      </c>
      <c r="P2590" t="str">
        <f>VLOOKUP(E2590,calculated_fields!$F$4:$G$6,2,FALSE)</f>
        <v>Economy</v>
      </c>
    </row>
    <row r="2591" spans="1:16">
      <c r="A2591" t="s">
        <v>3557</v>
      </c>
      <c r="B2591" t="s">
        <v>3513</v>
      </c>
      <c r="C2591" t="s">
        <v>14</v>
      </c>
      <c r="D2591">
        <v>2007</v>
      </c>
      <c r="E2591" t="s">
        <v>15</v>
      </c>
      <c r="F2591" t="s">
        <v>16</v>
      </c>
      <c r="G2591" t="s">
        <v>17</v>
      </c>
      <c r="H2591" t="s">
        <v>18</v>
      </c>
      <c r="I2591">
        <v>77.587999999999994</v>
      </c>
      <c r="J2591" t="s">
        <v>19</v>
      </c>
      <c r="K2591" t="s">
        <v>3558</v>
      </c>
      <c r="L2591" t="s">
        <v>21</v>
      </c>
      <c r="M2591" t="str">
        <f t="shared" si="120"/>
        <v>OK</v>
      </c>
      <c r="N2591" t="str">
        <f t="shared" si="121"/>
        <v>2000s</v>
      </c>
      <c r="O2591" t="str">
        <f t="shared" si="122"/>
        <v>High</v>
      </c>
      <c r="P2591" t="str">
        <f>VLOOKUP(E2591,calculated_fields!$F$4:$G$6,2,FALSE)</f>
        <v>Health</v>
      </c>
    </row>
    <row r="2592" spans="1:16">
      <c r="A2592" t="s">
        <v>3559</v>
      </c>
      <c r="B2592" t="s">
        <v>3513</v>
      </c>
      <c r="C2592" t="s">
        <v>14</v>
      </c>
      <c r="D2592">
        <v>2007</v>
      </c>
      <c r="E2592" t="s">
        <v>23</v>
      </c>
      <c r="F2592" t="s">
        <v>24</v>
      </c>
      <c r="G2592" t="s">
        <v>25</v>
      </c>
      <c r="H2592" t="s">
        <v>26</v>
      </c>
      <c r="I2592">
        <v>2505559</v>
      </c>
      <c r="J2592" t="s">
        <v>27</v>
      </c>
      <c r="K2592" t="s">
        <v>3558</v>
      </c>
      <c r="L2592" t="s">
        <v>21</v>
      </c>
      <c r="M2592" t="str">
        <f t="shared" si="120"/>
        <v>OK</v>
      </c>
      <c r="N2592" t="str">
        <f t="shared" si="121"/>
        <v>2000s</v>
      </c>
      <c r="O2592" t="str">
        <f t="shared" si="122"/>
        <v>N/A</v>
      </c>
      <c r="P2592" t="str">
        <f>VLOOKUP(E2592,calculated_fields!$F$4:$G$6,2,FALSE)</f>
        <v>Demographics</v>
      </c>
    </row>
    <row r="2593" spans="1:16">
      <c r="A2593" t="s">
        <v>3560</v>
      </c>
      <c r="B2593" t="s">
        <v>3513</v>
      </c>
      <c r="C2593" t="s">
        <v>14</v>
      </c>
      <c r="D2593">
        <v>2007</v>
      </c>
      <c r="E2593" t="s">
        <v>29</v>
      </c>
      <c r="F2593" t="s">
        <v>30</v>
      </c>
      <c r="G2593" t="s">
        <v>31</v>
      </c>
      <c r="H2593" t="s">
        <v>32</v>
      </c>
      <c r="I2593">
        <v>47306.989780000004</v>
      </c>
      <c r="J2593" t="s">
        <v>33</v>
      </c>
      <c r="K2593" t="s">
        <v>3558</v>
      </c>
      <c r="L2593" t="s">
        <v>21</v>
      </c>
      <c r="M2593" t="str">
        <f t="shared" si="120"/>
        <v>OK</v>
      </c>
      <c r="N2593" t="str">
        <f t="shared" si="121"/>
        <v>2000s</v>
      </c>
      <c r="O2593" t="str">
        <f t="shared" si="122"/>
        <v>N/A</v>
      </c>
      <c r="P2593" t="str">
        <f>VLOOKUP(E2593,calculated_fields!$F$4:$G$6,2,FALSE)</f>
        <v>Economy</v>
      </c>
    </row>
    <row r="2594" spans="1:16">
      <c r="A2594" t="s">
        <v>3561</v>
      </c>
      <c r="B2594" t="s">
        <v>3562</v>
      </c>
      <c r="C2594" t="s">
        <v>14</v>
      </c>
      <c r="D2594">
        <v>1952</v>
      </c>
      <c r="E2594" t="s">
        <v>15</v>
      </c>
      <c r="F2594" t="s">
        <v>16</v>
      </c>
      <c r="G2594" t="s">
        <v>17</v>
      </c>
      <c r="H2594" t="s">
        <v>18</v>
      </c>
      <c r="I2594">
        <v>55.927999999999997</v>
      </c>
      <c r="J2594" t="s">
        <v>19</v>
      </c>
      <c r="K2594" t="s">
        <v>3563</v>
      </c>
      <c r="L2594" t="s">
        <v>21</v>
      </c>
      <c r="M2594" t="str">
        <f t="shared" si="120"/>
        <v>OK</v>
      </c>
      <c r="N2594" t="str">
        <f t="shared" si="121"/>
        <v>1950s</v>
      </c>
      <c r="O2594" t="str">
        <f t="shared" si="122"/>
        <v>Medium</v>
      </c>
      <c r="P2594" t="str">
        <f>VLOOKUP(E2594,calculated_fields!$F$4:$G$6,2,FALSE)</f>
        <v>Health</v>
      </c>
    </row>
    <row r="2595" spans="1:16">
      <c r="A2595" t="s">
        <v>3564</v>
      </c>
      <c r="B2595" t="s">
        <v>3562</v>
      </c>
      <c r="C2595" t="s">
        <v>14</v>
      </c>
      <c r="D2595">
        <v>1952</v>
      </c>
      <c r="E2595" t="s">
        <v>23</v>
      </c>
      <c r="F2595" t="s">
        <v>24</v>
      </c>
      <c r="G2595" t="s">
        <v>25</v>
      </c>
      <c r="H2595" t="s">
        <v>26</v>
      </c>
      <c r="I2595">
        <v>1439529</v>
      </c>
      <c r="J2595" t="s">
        <v>27</v>
      </c>
      <c r="K2595" t="s">
        <v>3563</v>
      </c>
      <c r="L2595" t="s">
        <v>21</v>
      </c>
      <c r="M2595" t="str">
        <f t="shared" si="120"/>
        <v>OK</v>
      </c>
      <c r="N2595" t="str">
        <f t="shared" si="121"/>
        <v>1950s</v>
      </c>
      <c r="O2595" t="str">
        <f t="shared" si="122"/>
        <v>N/A</v>
      </c>
      <c r="P2595" t="str">
        <f>VLOOKUP(E2595,calculated_fields!$F$4:$G$6,2,FALSE)</f>
        <v>Demographics</v>
      </c>
    </row>
    <row r="2596" spans="1:16">
      <c r="A2596" t="s">
        <v>3565</v>
      </c>
      <c r="B2596" t="s">
        <v>3562</v>
      </c>
      <c r="C2596" t="s">
        <v>14</v>
      </c>
      <c r="D2596">
        <v>1952</v>
      </c>
      <c r="E2596" t="s">
        <v>29</v>
      </c>
      <c r="F2596" t="s">
        <v>30</v>
      </c>
      <c r="G2596" t="s">
        <v>31</v>
      </c>
      <c r="H2596" t="s">
        <v>32</v>
      </c>
      <c r="I2596">
        <v>4834.804067</v>
      </c>
      <c r="J2596" t="s">
        <v>33</v>
      </c>
      <c r="K2596" t="s">
        <v>3563</v>
      </c>
      <c r="L2596" t="s">
        <v>21</v>
      </c>
      <c r="M2596" t="str">
        <f t="shared" si="120"/>
        <v>OK</v>
      </c>
      <c r="N2596" t="str">
        <f t="shared" si="121"/>
        <v>1950s</v>
      </c>
      <c r="O2596" t="str">
        <f t="shared" si="122"/>
        <v>N/A</v>
      </c>
      <c r="P2596" t="str">
        <f>VLOOKUP(E2596,calculated_fields!$F$4:$G$6,2,FALSE)</f>
        <v>Economy</v>
      </c>
    </row>
    <row r="2597" spans="1:16">
      <c r="A2597" t="s">
        <v>3566</v>
      </c>
      <c r="B2597" t="s">
        <v>3562</v>
      </c>
      <c r="C2597" t="s">
        <v>14</v>
      </c>
      <c r="D2597">
        <v>1957</v>
      </c>
      <c r="E2597" t="s">
        <v>15</v>
      </c>
      <c r="F2597" t="s">
        <v>16</v>
      </c>
      <c r="G2597" t="s">
        <v>17</v>
      </c>
      <c r="H2597" t="s">
        <v>18</v>
      </c>
      <c r="I2597">
        <v>59.488999999999997</v>
      </c>
      <c r="J2597" t="s">
        <v>19</v>
      </c>
      <c r="K2597" t="s">
        <v>3567</v>
      </c>
      <c r="L2597" t="s">
        <v>21</v>
      </c>
      <c r="M2597" t="str">
        <f t="shared" si="120"/>
        <v>OK</v>
      </c>
      <c r="N2597" t="str">
        <f t="shared" si="121"/>
        <v>1950s</v>
      </c>
      <c r="O2597" t="str">
        <f t="shared" si="122"/>
        <v>Medium</v>
      </c>
      <c r="P2597" t="str">
        <f>VLOOKUP(E2597,calculated_fields!$F$4:$G$6,2,FALSE)</f>
        <v>Health</v>
      </c>
    </row>
    <row r="2598" spans="1:16">
      <c r="A2598" t="s">
        <v>3568</v>
      </c>
      <c r="B2598" t="s">
        <v>3562</v>
      </c>
      <c r="C2598" t="s">
        <v>14</v>
      </c>
      <c r="D2598">
        <v>1957</v>
      </c>
      <c r="E2598" t="s">
        <v>23</v>
      </c>
      <c r="F2598" t="s">
        <v>24</v>
      </c>
      <c r="G2598" t="s">
        <v>25</v>
      </c>
      <c r="H2598" t="s">
        <v>26</v>
      </c>
      <c r="I2598">
        <v>1647412</v>
      </c>
      <c r="J2598" t="s">
        <v>27</v>
      </c>
      <c r="K2598" t="s">
        <v>3567</v>
      </c>
      <c r="L2598" t="s">
        <v>21</v>
      </c>
      <c r="M2598" t="str">
        <f t="shared" si="120"/>
        <v>OK</v>
      </c>
      <c r="N2598" t="str">
        <f t="shared" si="121"/>
        <v>1950s</v>
      </c>
      <c r="O2598" t="str">
        <f t="shared" si="122"/>
        <v>N/A</v>
      </c>
      <c r="P2598" t="str">
        <f>VLOOKUP(E2598,calculated_fields!$F$4:$G$6,2,FALSE)</f>
        <v>Demographics</v>
      </c>
    </row>
    <row r="2599" spans="1:16">
      <c r="A2599" t="s">
        <v>3569</v>
      </c>
      <c r="B2599" t="s">
        <v>3562</v>
      </c>
      <c r="C2599" t="s">
        <v>14</v>
      </c>
      <c r="D2599">
        <v>1957</v>
      </c>
      <c r="E2599" t="s">
        <v>29</v>
      </c>
      <c r="F2599" t="s">
        <v>30</v>
      </c>
      <c r="G2599" t="s">
        <v>31</v>
      </c>
      <c r="H2599" t="s">
        <v>32</v>
      </c>
      <c r="I2599">
        <v>6089.7869339999997</v>
      </c>
      <c r="J2599" t="s">
        <v>33</v>
      </c>
      <c r="K2599" t="s">
        <v>3567</v>
      </c>
      <c r="L2599" t="s">
        <v>21</v>
      </c>
      <c r="M2599" t="str">
        <f t="shared" si="120"/>
        <v>OK</v>
      </c>
      <c r="N2599" t="str">
        <f t="shared" si="121"/>
        <v>1950s</v>
      </c>
      <c r="O2599" t="str">
        <f t="shared" si="122"/>
        <v>N/A</v>
      </c>
      <c r="P2599" t="str">
        <f>VLOOKUP(E2599,calculated_fields!$F$4:$G$6,2,FALSE)</f>
        <v>Economy</v>
      </c>
    </row>
    <row r="2600" spans="1:16">
      <c r="A2600" t="s">
        <v>3570</v>
      </c>
      <c r="B2600" t="s">
        <v>3562</v>
      </c>
      <c r="C2600" t="s">
        <v>14</v>
      </c>
      <c r="D2600">
        <v>1962</v>
      </c>
      <c r="E2600" t="s">
        <v>15</v>
      </c>
      <c r="F2600" t="s">
        <v>16</v>
      </c>
      <c r="G2600" t="s">
        <v>17</v>
      </c>
      <c r="H2600" t="s">
        <v>18</v>
      </c>
      <c r="I2600">
        <v>62.094000000000001</v>
      </c>
      <c r="J2600" t="s">
        <v>19</v>
      </c>
      <c r="K2600" t="s">
        <v>3571</v>
      </c>
      <c r="L2600" t="s">
        <v>21</v>
      </c>
      <c r="M2600" t="str">
        <f t="shared" si="120"/>
        <v>OK</v>
      </c>
      <c r="N2600" t="str">
        <f t="shared" si="121"/>
        <v>1960s</v>
      </c>
      <c r="O2600" t="str">
        <f t="shared" si="122"/>
        <v>Medium</v>
      </c>
      <c r="P2600" t="str">
        <f>VLOOKUP(E2600,calculated_fields!$F$4:$G$6,2,FALSE)</f>
        <v>Health</v>
      </c>
    </row>
    <row r="2601" spans="1:16">
      <c r="A2601" t="s">
        <v>3572</v>
      </c>
      <c r="B2601" t="s">
        <v>3562</v>
      </c>
      <c r="C2601" t="s">
        <v>14</v>
      </c>
      <c r="D2601">
        <v>1962</v>
      </c>
      <c r="E2601" t="s">
        <v>23</v>
      </c>
      <c r="F2601" t="s">
        <v>24</v>
      </c>
      <c r="G2601" t="s">
        <v>25</v>
      </c>
      <c r="H2601" t="s">
        <v>26</v>
      </c>
      <c r="I2601">
        <v>1886848</v>
      </c>
      <c r="J2601" t="s">
        <v>27</v>
      </c>
      <c r="K2601" t="s">
        <v>3571</v>
      </c>
      <c r="L2601" t="s">
        <v>21</v>
      </c>
      <c r="M2601" t="str">
        <f t="shared" si="120"/>
        <v>OK</v>
      </c>
      <c r="N2601" t="str">
        <f t="shared" si="121"/>
        <v>1960s</v>
      </c>
      <c r="O2601" t="str">
        <f t="shared" si="122"/>
        <v>N/A</v>
      </c>
      <c r="P2601" t="str">
        <f>VLOOKUP(E2601,calculated_fields!$F$4:$G$6,2,FALSE)</f>
        <v>Demographics</v>
      </c>
    </row>
    <row r="2602" spans="1:16">
      <c r="A2602" t="s">
        <v>3573</v>
      </c>
      <c r="B2602" t="s">
        <v>3562</v>
      </c>
      <c r="C2602" t="s">
        <v>14</v>
      </c>
      <c r="D2602">
        <v>1962</v>
      </c>
      <c r="E2602" t="s">
        <v>29</v>
      </c>
      <c r="F2602" t="s">
        <v>30</v>
      </c>
      <c r="G2602" t="s">
        <v>31</v>
      </c>
      <c r="H2602" t="s">
        <v>32</v>
      </c>
      <c r="I2602">
        <v>5714.5606109999999</v>
      </c>
      <c r="J2602" t="s">
        <v>33</v>
      </c>
      <c r="K2602" t="s">
        <v>3571</v>
      </c>
      <c r="L2602" t="s">
        <v>21</v>
      </c>
      <c r="M2602" t="str">
        <f t="shared" si="120"/>
        <v>OK</v>
      </c>
      <c r="N2602" t="str">
        <f t="shared" si="121"/>
        <v>1960s</v>
      </c>
      <c r="O2602" t="str">
        <f t="shared" si="122"/>
        <v>N/A</v>
      </c>
      <c r="P2602" t="str">
        <f>VLOOKUP(E2602,calculated_fields!$F$4:$G$6,2,FALSE)</f>
        <v>Economy</v>
      </c>
    </row>
    <row r="2603" spans="1:16">
      <c r="A2603" t="s">
        <v>3574</v>
      </c>
      <c r="B2603" t="s">
        <v>3562</v>
      </c>
      <c r="C2603" t="s">
        <v>14</v>
      </c>
      <c r="D2603">
        <v>1967</v>
      </c>
      <c r="E2603" t="s">
        <v>15</v>
      </c>
      <c r="F2603" t="s">
        <v>16</v>
      </c>
      <c r="G2603" t="s">
        <v>17</v>
      </c>
      <c r="H2603" t="s">
        <v>18</v>
      </c>
      <c r="I2603">
        <v>63.87</v>
      </c>
      <c r="J2603" t="s">
        <v>19</v>
      </c>
      <c r="K2603" t="s">
        <v>3575</v>
      </c>
      <c r="L2603" t="s">
        <v>21</v>
      </c>
      <c r="M2603" t="str">
        <f t="shared" si="120"/>
        <v>OK</v>
      </c>
      <c r="N2603" t="str">
        <f t="shared" si="121"/>
        <v>1960s</v>
      </c>
      <c r="O2603" t="str">
        <f t="shared" si="122"/>
        <v>Medium</v>
      </c>
      <c r="P2603" t="str">
        <f>VLOOKUP(E2603,calculated_fields!$F$4:$G$6,2,FALSE)</f>
        <v>Health</v>
      </c>
    </row>
    <row r="2604" spans="1:16">
      <c r="A2604" t="s">
        <v>3576</v>
      </c>
      <c r="B2604" t="s">
        <v>3562</v>
      </c>
      <c r="C2604" t="s">
        <v>14</v>
      </c>
      <c r="D2604">
        <v>1967</v>
      </c>
      <c r="E2604" t="s">
        <v>23</v>
      </c>
      <c r="F2604" t="s">
        <v>24</v>
      </c>
      <c r="G2604" t="s">
        <v>25</v>
      </c>
      <c r="H2604" t="s">
        <v>26</v>
      </c>
      <c r="I2604">
        <v>2186894</v>
      </c>
      <c r="J2604" t="s">
        <v>27</v>
      </c>
      <c r="K2604" t="s">
        <v>3575</v>
      </c>
      <c r="L2604" t="s">
        <v>21</v>
      </c>
      <c r="M2604" t="str">
        <f t="shared" si="120"/>
        <v>OK</v>
      </c>
      <c r="N2604" t="str">
        <f t="shared" si="121"/>
        <v>1960s</v>
      </c>
      <c r="O2604" t="str">
        <f t="shared" si="122"/>
        <v>N/A</v>
      </c>
      <c r="P2604" t="str">
        <f>VLOOKUP(E2604,calculated_fields!$F$4:$G$6,2,FALSE)</f>
        <v>Demographics</v>
      </c>
    </row>
    <row r="2605" spans="1:16">
      <c r="A2605" t="s">
        <v>3577</v>
      </c>
      <c r="B2605" t="s">
        <v>3562</v>
      </c>
      <c r="C2605" t="s">
        <v>14</v>
      </c>
      <c r="D2605">
        <v>1967</v>
      </c>
      <c r="E2605" t="s">
        <v>29</v>
      </c>
      <c r="F2605" t="s">
        <v>30</v>
      </c>
      <c r="G2605" t="s">
        <v>31</v>
      </c>
      <c r="H2605" t="s">
        <v>32</v>
      </c>
      <c r="I2605">
        <v>6006.9830419999998</v>
      </c>
      <c r="J2605" t="s">
        <v>33</v>
      </c>
      <c r="K2605" t="s">
        <v>3575</v>
      </c>
      <c r="L2605" t="s">
        <v>21</v>
      </c>
      <c r="M2605" t="str">
        <f t="shared" si="120"/>
        <v>OK</v>
      </c>
      <c r="N2605" t="str">
        <f t="shared" si="121"/>
        <v>1960s</v>
      </c>
      <c r="O2605" t="str">
        <f t="shared" si="122"/>
        <v>N/A</v>
      </c>
      <c r="P2605" t="str">
        <f>VLOOKUP(E2605,calculated_fields!$F$4:$G$6,2,FALSE)</f>
        <v>Economy</v>
      </c>
    </row>
    <row r="2606" spans="1:16">
      <c r="A2606" t="s">
        <v>3578</v>
      </c>
      <c r="B2606" t="s">
        <v>3562</v>
      </c>
      <c r="C2606" t="s">
        <v>14</v>
      </c>
      <c r="D2606">
        <v>1972</v>
      </c>
      <c r="E2606" t="s">
        <v>15</v>
      </c>
      <c r="F2606" t="s">
        <v>16</v>
      </c>
      <c r="G2606" t="s">
        <v>17</v>
      </c>
      <c r="H2606" t="s">
        <v>18</v>
      </c>
      <c r="I2606">
        <v>65.421000000000006</v>
      </c>
      <c r="J2606" t="s">
        <v>19</v>
      </c>
      <c r="K2606" t="s">
        <v>3579</v>
      </c>
      <c r="L2606" t="s">
        <v>21</v>
      </c>
      <c r="M2606" t="str">
        <f t="shared" si="120"/>
        <v>OK</v>
      </c>
      <c r="N2606" t="str">
        <f t="shared" si="121"/>
        <v>1970s</v>
      </c>
      <c r="O2606" t="str">
        <f t="shared" si="122"/>
        <v>Medium</v>
      </c>
      <c r="P2606" t="str">
        <f>VLOOKUP(E2606,calculated_fields!$F$4:$G$6,2,FALSE)</f>
        <v>Health</v>
      </c>
    </row>
    <row r="2607" spans="1:16">
      <c r="A2607" t="s">
        <v>3580</v>
      </c>
      <c r="B2607" t="s">
        <v>3562</v>
      </c>
      <c r="C2607" t="s">
        <v>14</v>
      </c>
      <c r="D2607">
        <v>1972</v>
      </c>
      <c r="E2607" t="s">
        <v>23</v>
      </c>
      <c r="F2607" t="s">
        <v>24</v>
      </c>
      <c r="G2607" t="s">
        <v>25</v>
      </c>
      <c r="H2607" t="s">
        <v>26</v>
      </c>
      <c r="I2607">
        <v>2680018</v>
      </c>
      <c r="J2607" t="s">
        <v>27</v>
      </c>
      <c r="K2607" t="s">
        <v>3579</v>
      </c>
      <c r="L2607" t="s">
        <v>21</v>
      </c>
      <c r="M2607" t="str">
        <f t="shared" si="120"/>
        <v>OK</v>
      </c>
      <c r="N2607" t="str">
        <f t="shared" si="121"/>
        <v>1970s</v>
      </c>
      <c r="O2607" t="str">
        <f t="shared" si="122"/>
        <v>N/A</v>
      </c>
      <c r="P2607" t="str">
        <f>VLOOKUP(E2607,calculated_fields!$F$4:$G$6,2,FALSE)</f>
        <v>Demographics</v>
      </c>
    </row>
    <row r="2608" spans="1:16">
      <c r="A2608" t="s">
        <v>3581</v>
      </c>
      <c r="B2608" t="s">
        <v>3562</v>
      </c>
      <c r="C2608" t="s">
        <v>14</v>
      </c>
      <c r="D2608">
        <v>1972</v>
      </c>
      <c r="E2608" t="s">
        <v>29</v>
      </c>
      <c r="F2608" t="s">
        <v>30</v>
      </c>
      <c r="G2608" t="s">
        <v>31</v>
      </c>
      <c r="H2608" t="s">
        <v>32</v>
      </c>
      <c r="I2608">
        <v>7486.3843409999999</v>
      </c>
      <c r="J2608" t="s">
        <v>33</v>
      </c>
      <c r="K2608" t="s">
        <v>3579</v>
      </c>
      <c r="L2608" t="s">
        <v>21</v>
      </c>
      <c r="M2608" t="str">
        <f t="shared" si="120"/>
        <v>OK</v>
      </c>
      <c r="N2608" t="str">
        <f t="shared" si="121"/>
        <v>1970s</v>
      </c>
      <c r="O2608" t="str">
        <f t="shared" si="122"/>
        <v>N/A</v>
      </c>
      <c r="P2608" t="str">
        <f>VLOOKUP(E2608,calculated_fields!$F$4:$G$6,2,FALSE)</f>
        <v>Economy</v>
      </c>
    </row>
    <row r="2609" spans="1:16">
      <c r="A2609" t="s">
        <v>3582</v>
      </c>
      <c r="B2609" t="s">
        <v>3562</v>
      </c>
      <c r="C2609" t="s">
        <v>14</v>
      </c>
      <c r="D2609">
        <v>1977</v>
      </c>
      <c r="E2609" t="s">
        <v>15</v>
      </c>
      <c r="F2609" t="s">
        <v>16</v>
      </c>
      <c r="G2609" t="s">
        <v>17</v>
      </c>
      <c r="H2609" t="s">
        <v>18</v>
      </c>
      <c r="I2609">
        <v>66.098999999999904</v>
      </c>
      <c r="J2609" t="s">
        <v>19</v>
      </c>
      <c r="K2609" t="s">
        <v>3583</v>
      </c>
      <c r="L2609" t="s">
        <v>21</v>
      </c>
      <c r="M2609" t="str">
        <f t="shared" si="120"/>
        <v>OK</v>
      </c>
      <c r="N2609" t="str">
        <f t="shared" si="121"/>
        <v>1970s</v>
      </c>
      <c r="O2609" t="str">
        <f t="shared" si="122"/>
        <v>Medium</v>
      </c>
      <c r="P2609" t="str">
        <f>VLOOKUP(E2609,calculated_fields!$F$4:$G$6,2,FALSE)</f>
        <v>Health</v>
      </c>
    </row>
    <row r="2610" spans="1:16">
      <c r="A2610" t="s">
        <v>3584</v>
      </c>
      <c r="B2610" t="s">
        <v>3562</v>
      </c>
      <c r="C2610" t="s">
        <v>14</v>
      </c>
      <c r="D2610">
        <v>1977</v>
      </c>
      <c r="E2610" t="s">
        <v>23</v>
      </c>
      <c r="F2610" t="s">
        <v>24</v>
      </c>
      <c r="G2610" t="s">
        <v>25</v>
      </c>
      <c r="H2610" t="s">
        <v>26</v>
      </c>
      <c r="I2610">
        <v>3115787</v>
      </c>
      <c r="J2610" t="s">
        <v>27</v>
      </c>
      <c r="K2610" t="s">
        <v>3583</v>
      </c>
      <c r="L2610" t="s">
        <v>21</v>
      </c>
      <c r="M2610" t="str">
        <f t="shared" si="120"/>
        <v>OK</v>
      </c>
      <c r="N2610" t="str">
        <f t="shared" si="121"/>
        <v>1970s</v>
      </c>
      <c r="O2610" t="str">
        <f t="shared" si="122"/>
        <v>N/A</v>
      </c>
      <c r="P2610" t="str">
        <f>VLOOKUP(E2610,calculated_fields!$F$4:$G$6,2,FALSE)</f>
        <v>Demographics</v>
      </c>
    </row>
    <row r="2611" spans="1:16">
      <c r="A2611" t="s">
        <v>3585</v>
      </c>
      <c r="B2611" t="s">
        <v>3562</v>
      </c>
      <c r="C2611" t="s">
        <v>14</v>
      </c>
      <c r="D2611">
        <v>1977</v>
      </c>
      <c r="E2611" t="s">
        <v>29</v>
      </c>
      <c r="F2611" t="s">
        <v>30</v>
      </c>
      <c r="G2611" t="s">
        <v>31</v>
      </c>
      <c r="H2611" t="s">
        <v>32</v>
      </c>
      <c r="I2611">
        <v>8659.6968359999992</v>
      </c>
      <c r="J2611" t="s">
        <v>33</v>
      </c>
      <c r="K2611" t="s">
        <v>3583</v>
      </c>
      <c r="L2611" t="s">
        <v>21</v>
      </c>
      <c r="M2611" t="str">
        <f t="shared" si="120"/>
        <v>OK</v>
      </c>
      <c r="N2611" t="str">
        <f t="shared" si="121"/>
        <v>1970s</v>
      </c>
      <c r="O2611" t="str">
        <f t="shared" si="122"/>
        <v>N/A</v>
      </c>
      <c r="P2611" t="str">
        <f>VLOOKUP(E2611,calculated_fields!$F$4:$G$6,2,FALSE)</f>
        <v>Economy</v>
      </c>
    </row>
    <row r="2612" spans="1:16">
      <c r="A2612" t="s">
        <v>3586</v>
      </c>
      <c r="B2612" t="s">
        <v>3562</v>
      </c>
      <c r="C2612" t="s">
        <v>14</v>
      </c>
      <c r="D2612">
        <v>1982</v>
      </c>
      <c r="E2612" t="s">
        <v>15</v>
      </c>
      <c r="F2612" t="s">
        <v>16</v>
      </c>
      <c r="G2612" t="s">
        <v>17</v>
      </c>
      <c r="H2612" t="s">
        <v>18</v>
      </c>
      <c r="I2612">
        <v>66.983000000000004</v>
      </c>
      <c r="J2612" t="s">
        <v>19</v>
      </c>
      <c r="K2612" t="s">
        <v>3587</v>
      </c>
      <c r="L2612" t="s">
        <v>21</v>
      </c>
      <c r="M2612" t="str">
        <f t="shared" si="120"/>
        <v>OK</v>
      </c>
      <c r="N2612" t="str">
        <f t="shared" si="121"/>
        <v>1980s</v>
      </c>
      <c r="O2612" t="str">
        <f t="shared" si="122"/>
        <v>Medium</v>
      </c>
      <c r="P2612" t="str">
        <f>VLOOKUP(E2612,calculated_fields!$F$4:$G$6,2,FALSE)</f>
        <v>Health</v>
      </c>
    </row>
    <row r="2613" spans="1:16">
      <c r="A2613" t="s">
        <v>3588</v>
      </c>
      <c r="B2613" t="s">
        <v>3562</v>
      </c>
      <c r="C2613" t="s">
        <v>14</v>
      </c>
      <c r="D2613">
        <v>1982</v>
      </c>
      <c r="E2613" t="s">
        <v>23</v>
      </c>
      <c r="F2613" t="s">
        <v>24</v>
      </c>
      <c r="G2613" t="s">
        <v>25</v>
      </c>
      <c r="H2613" t="s">
        <v>26</v>
      </c>
      <c r="I2613">
        <v>3086876</v>
      </c>
      <c r="J2613" t="s">
        <v>27</v>
      </c>
      <c r="K2613" t="s">
        <v>3587</v>
      </c>
      <c r="L2613" t="s">
        <v>21</v>
      </c>
      <c r="M2613" t="str">
        <f t="shared" si="120"/>
        <v>OK</v>
      </c>
      <c r="N2613" t="str">
        <f t="shared" si="121"/>
        <v>1980s</v>
      </c>
      <c r="O2613" t="str">
        <f t="shared" si="122"/>
        <v>N/A</v>
      </c>
      <c r="P2613" t="str">
        <f>VLOOKUP(E2613,calculated_fields!$F$4:$G$6,2,FALSE)</f>
        <v>Demographics</v>
      </c>
    </row>
    <row r="2614" spans="1:16">
      <c r="A2614" t="s">
        <v>3589</v>
      </c>
      <c r="B2614" t="s">
        <v>3562</v>
      </c>
      <c r="C2614" t="s">
        <v>14</v>
      </c>
      <c r="D2614">
        <v>1982</v>
      </c>
      <c r="E2614" t="s">
        <v>29</v>
      </c>
      <c r="F2614" t="s">
        <v>30</v>
      </c>
      <c r="G2614" t="s">
        <v>31</v>
      </c>
      <c r="H2614" t="s">
        <v>32</v>
      </c>
      <c r="I2614">
        <v>7640.5195209999902</v>
      </c>
      <c r="J2614" t="s">
        <v>33</v>
      </c>
      <c r="K2614" t="s">
        <v>3587</v>
      </c>
      <c r="L2614" t="s">
        <v>21</v>
      </c>
      <c r="M2614" t="str">
        <f t="shared" si="120"/>
        <v>OK</v>
      </c>
      <c r="N2614" t="str">
        <f t="shared" si="121"/>
        <v>1980s</v>
      </c>
      <c r="O2614" t="str">
        <f t="shared" si="122"/>
        <v>N/A</v>
      </c>
      <c r="P2614" t="str">
        <f>VLOOKUP(E2614,calculated_fields!$F$4:$G$6,2,FALSE)</f>
        <v>Economy</v>
      </c>
    </row>
    <row r="2615" spans="1:16">
      <c r="A2615" t="s">
        <v>3590</v>
      </c>
      <c r="B2615" t="s">
        <v>3562</v>
      </c>
      <c r="C2615" t="s">
        <v>14</v>
      </c>
      <c r="D2615">
        <v>1987</v>
      </c>
      <c r="E2615" t="s">
        <v>15</v>
      </c>
      <c r="F2615" t="s">
        <v>16</v>
      </c>
      <c r="G2615" t="s">
        <v>17</v>
      </c>
      <c r="H2615" t="s">
        <v>18</v>
      </c>
      <c r="I2615">
        <v>67.926000000000002</v>
      </c>
      <c r="J2615" t="s">
        <v>19</v>
      </c>
      <c r="K2615" t="s">
        <v>3591</v>
      </c>
      <c r="L2615" t="s">
        <v>21</v>
      </c>
      <c r="M2615" t="str">
        <f t="shared" si="120"/>
        <v>OK</v>
      </c>
      <c r="N2615" t="str">
        <f t="shared" si="121"/>
        <v>1980s</v>
      </c>
      <c r="O2615" t="str">
        <f t="shared" si="122"/>
        <v>Medium</v>
      </c>
      <c r="P2615" t="str">
        <f>VLOOKUP(E2615,calculated_fields!$F$4:$G$6,2,FALSE)</f>
        <v>Health</v>
      </c>
    </row>
    <row r="2616" spans="1:16">
      <c r="A2616" t="s">
        <v>3592</v>
      </c>
      <c r="B2616" t="s">
        <v>3562</v>
      </c>
      <c r="C2616" t="s">
        <v>14</v>
      </c>
      <c r="D2616">
        <v>1987</v>
      </c>
      <c r="E2616" t="s">
        <v>23</v>
      </c>
      <c r="F2616" t="s">
        <v>24</v>
      </c>
      <c r="G2616" t="s">
        <v>25</v>
      </c>
      <c r="H2616" t="s">
        <v>26</v>
      </c>
      <c r="I2616">
        <v>3089353</v>
      </c>
      <c r="J2616" t="s">
        <v>27</v>
      </c>
      <c r="K2616" t="s">
        <v>3591</v>
      </c>
      <c r="L2616" t="s">
        <v>21</v>
      </c>
      <c r="M2616" t="str">
        <f t="shared" si="120"/>
        <v>OK</v>
      </c>
      <c r="N2616" t="str">
        <f t="shared" si="121"/>
        <v>1980s</v>
      </c>
      <c r="O2616" t="str">
        <f t="shared" si="122"/>
        <v>N/A</v>
      </c>
      <c r="P2616" t="str">
        <f>VLOOKUP(E2616,calculated_fields!$F$4:$G$6,2,FALSE)</f>
        <v>Demographics</v>
      </c>
    </row>
    <row r="2617" spans="1:16">
      <c r="A2617" t="s">
        <v>3593</v>
      </c>
      <c r="B2617" t="s">
        <v>3562</v>
      </c>
      <c r="C2617" t="s">
        <v>14</v>
      </c>
      <c r="D2617">
        <v>1987</v>
      </c>
      <c r="E2617" t="s">
        <v>29</v>
      </c>
      <c r="F2617" t="s">
        <v>30</v>
      </c>
      <c r="G2617" t="s">
        <v>31</v>
      </c>
      <c r="H2617" t="s">
        <v>32</v>
      </c>
      <c r="I2617">
        <v>5377.0913289999999</v>
      </c>
      <c r="J2617" t="s">
        <v>33</v>
      </c>
      <c r="K2617" t="s">
        <v>3591</v>
      </c>
      <c r="L2617" t="s">
        <v>21</v>
      </c>
      <c r="M2617" t="str">
        <f t="shared" si="120"/>
        <v>OK</v>
      </c>
      <c r="N2617" t="str">
        <f t="shared" si="121"/>
        <v>1980s</v>
      </c>
      <c r="O2617" t="str">
        <f t="shared" si="122"/>
        <v>N/A</v>
      </c>
      <c r="P2617" t="str">
        <f>VLOOKUP(E2617,calculated_fields!$F$4:$G$6,2,FALSE)</f>
        <v>Economy</v>
      </c>
    </row>
    <row r="2618" spans="1:16">
      <c r="A2618" t="s">
        <v>3594</v>
      </c>
      <c r="B2618" t="s">
        <v>3562</v>
      </c>
      <c r="C2618" t="s">
        <v>14</v>
      </c>
      <c r="D2618">
        <v>1992</v>
      </c>
      <c r="E2618" t="s">
        <v>15</v>
      </c>
      <c r="F2618" t="s">
        <v>16</v>
      </c>
      <c r="G2618" t="s">
        <v>17</v>
      </c>
      <c r="H2618" t="s">
        <v>18</v>
      </c>
      <c r="I2618">
        <v>69.292000000000002</v>
      </c>
      <c r="J2618" t="s">
        <v>19</v>
      </c>
      <c r="K2618" t="s">
        <v>3595</v>
      </c>
      <c r="L2618" t="s">
        <v>21</v>
      </c>
      <c r="M2618" t="str">
        <f t="shared" si="120"/>
        <v>OK</v>
      </c>
      <c r="N2618" t="str">
        <f t="shared" si="121"/>
        <v>1990s</v>
      </c>
      <c r="O2618" t="str">
        <f t="shared" si="122"/>
        <v>Medium</v>
      </c>
      <c r="P2618" t="str">
        <f>VLOOKUP(E2618,calculated_fields!$F$4:$G$6,2,FALSE)</f>
        <v>Health</v>
      </c>
    </row>
    <row r="2619" spans="1:16">
      <c r="A2619" t="s">
        <v>3596</v>
      </c>
      <c r="B2619" t="s">
        <v>3562</v>
      </c>
      <c r="C2619" t="s">
        <v>14</v>
      </c>
      <c r="D2619">
        <v>1992</v>
      </c>
      <c r="E2619" t="s">
        <v>23</v>
      </c>
      <c r="F2619" t="s">
        <v>24</v>
      </c>
      <c r="G2619" t="s">
        <v>25</v>
      </c>
      <c r="H2619" t="s">
        <v>26</v>
      </c>
      <c r="I2619">
        <v>3219994</v>
      </c>
      <c r="J2619" t="s">
        <v>27</v>
      </c>
      <c r="K2619" t="s">
        <v>3595</v>
      </c>
      <c r="L2619" t="s">
        <v>21</v>
      </c>
      <c r="M2619" t="str">
        <f t="shared" si="120"/>
        <v>OK</v>
      </c>
      <c r="N2619" t="str">
        <f t="shared" si="121"/>
        <v>1990s</v>
      </c>
      <c r="O2619" t="str">
        <f t="shared" si="122"/>
        <v>N/A</v>
      </c>
      <c r="P2619" t="str">
        <f>VLOOKUP(E2619,calculated_fields!$F$4:$G$6,2,FALSE)</f>
        <v>Demographics</v>
      </c>
    </row>
    <row r="2620" spans="1:16">
      <c r="A2620" t="s">
        <v>3597</v>
      </c>
      <c r="B2620" t="s">
        <v>3562</v>
      </c>
      <c r="C2620" t="s">
        <v>14</v>
      </c>
      <c r="D2620">
        <v>1992</v>
      </c>
      <c r="E2620" t="s">
        <v>29</v>
      </c>
      <c r="F2620" t="s">
        <v>30</v>
      </c>
      <c r="G2620" t="s">
        <v>31</v>
      </c>
      <c r="H2620" t="s">
        <v>32</v>
      </c>
      <c r="I2620">
        <v>6890.8068540000004</v>
      </c>
      <c r="J2620" t="s">
        <v>33</v>
      </c>
      <c r="K2620" t="s">
        <v>3595</v>
      </c>
      <c r="L2620" t="s">
        <v>21</v>
      </c>
      <c r="M2620" t="str">
        <f t="shared" si="120"/>
        <v>OK</v>
      </c>
      <c r="N2620" t="str">
        <f t="shared" si="121"/>
        <v>1990s</v>
      </c>
      <c r="O2620" t="str">
        <f t="shared" si="122"/>
        <v>N/A</v>
      </c>
      <c r="P2620" t="str">
        <f>VLOOKUP(E2620,calculated_fields!$F$4:$G$6,2,FALSE)</f>
        <v>Economy</v>
      </c>
    </row>
    <row r="2621" spans="1:16">
      <c r="A2621" t="s">
        <v>3598</v>
      </c>
      <c r="B2621" t="s">
        <v>3562</v>
      </c>
      <c r="C2621" t="s">
        <v>14</v>
      </c>
      <c r="D2621">
        <v>1997</v>
      </c>
      <c r="E2621" t="s">
        <v>15</v>
      </c>
      <c r="F2621" t="s">
        <v>16</v>
      </c>
      <c r="G2621" t="s">
        <v>17</v>
      </c>
      <c r="H2621" t="s">
        <v>18</v>
      </c>
      <c r="I2621">
        <v>70.265000000000001</v>
      </c>
      <c r="J2621" t="s">
        <v>19</v>
      </c>
      <c r="K2621" t="s">
        <v>3599</v>
      </c>
      <c r="L2621" t="s">
        <v>21</v>
      </c>
      <c r="M2621" t="str">
        <f t="shared" si="120"/>
        <v>OK</v>
      </c>
      <c r="N2621" t="str">
        <f t="shared" si="121"/>
        <v>1990s</v>
      </c>
      <c r="O2621" t="str">
        <f t="shared" si="122"/>
        <v>High</v>
      </c>
      <c r="P2621" t="str">
        <f>VLOOKUP(E2621,calculated_fields!$F$4:$G$6,2,FALSE)</f>
        <v>Health</v>
      </c>
    </row>
    <row r="2622" spans="1:16">
      <c r="A2622" t="s">
        <v>3600</v>
      </c>
      <c r="B2622" t="s">
        <v>3562</v>
      </c>
      <c r="C2622" t="s">
        <v>14</v>
      </c>
      <c r="D2622">
        <v>1997</v>
      </c>
      <c r="E2622" t="s">
        <v>23</v>
      </c>
      <c r="F2622" t="s">
        <v>24</v>
      </c>
      <c r="G2622" t="s">
        <v>25</v>
      </c>
      <c r="H2622" t="s">
        <v>26</v>
      </c>
      <c r="I2622">
        <v>3430388</v>
      </c>
      <c r="J2622" t="s">
        <v>27</v>
      </c>
      <c r="K2622" t="s">
        <v>3599</v>
      </c>
      <c r="L2622" t="s">
        <v>21</v>
      </c>
      <c r="M2622" t="str">
        <f t="shared" si="120"/>
        <v>OK</v>
      </c>
      <c r="N2622" t="str">
        <f t="shared" si="121"/>
        <v>1990s</v>
      </c>
      <c r="O2622" t="str">
        <f t="shared" si="122"/>
        <v>N/A</v>
      </c>
      <c r="P2622" t="str">
        <f>VLOOKUP(E2622,calculated_fields!$F$4:$G$6,2,FALSE)</f>
        <v>Demographics</v>
      </c>
    </row>
    <row r="2623" spans="1:16">
      <c r="A2623" t="s">
        <v>3601</v>
      </c>
      <c r="B2623" t="s">
        <v>3562</v>
      </c>
      <c r="C2623" t="s">
        <v>14</v>
      </c>
      <c r="D2623">
        <v>1997</v>
      </c>
      <c r="E2623" t="s">
        <v>29</v>
      </c>
      <c r="F2623" t="s">
        <v>30</v>
      </c>
      <c r="G2623" t="s">
        <v>31</v>
      </c>
      <c r="H2623" t="s">
        <v>32</v>
      </c>
      <c r="I2623">
        <v>8754.9638500000001</v>
      </c>
      <c r="J2623" t="s">
        <v>33</v>
      </c>
      <c r="K2623" t="s">
        <v>3599</v>
      </c>
      <c r="L2623" t="s">
        <v>21</v>
      </c>
      <c r="M2623" t="str">
        <f t="shared" si="120"/>
        <v>OK</v>
      </c>
      <c r="N2623" t="str">
        <f t="shared" si="121"/>
        <v>1990s</v>
      </c>
      <c r="O2623" t="str">
        <f t="shared" si="122"/>
        <v>N/A</v>
      </c>
      <c r="P2623" t="str">
        <f>VLOOKUP(E2623,calculated_fields!$F$4:$G$6,2,FALSE)</f>
        <v>Economy</v>
      </c>
    </row>
    <row r="2624" spans="1:16">
      <c r="A2624" t="s">
        <v>3602</v>
      </c>
      <c r="B2624" t="s">
        <v>3562</v>
      </c>
      <c r="C2624" t="s">
        <v>14</v>
      </c>
      <c r="D2624">
        <v>2002</v>
      </c>
      <c r="E2624" t="s">
        <v>15</v>
      </c>
      <c r="F2624" t="s">
        <v>16</v>
      </c>
      <c r="G2624" t="s">
        <v>17</v>
      </c>
      <c r="H2624" t="s">
        <v>18</v>
      </c>
      <c r="I2624">
        <v>71.028000000000006</v>
      </c>
      <c r="J2624" t="s">
        <v>19</v>
      </c>
      <c r="K2624" t="s">
        <v>3603</v>
      </c>
      <c r="L2624" t="s">
        <v>21</v>
      </c>
      <c r="M2624" t="str">
        <f t="shared" si="120"/>
        <v>OK</v>
      </c>
      <c r="N2624" t="str">
        <f t="shared" si="121"/>
        <v>2000s</v>
      </c>
      <c r="O2624" t="str">
        <f t="shared" si="122"/>
        <v>High</v>
      </c>
      <c r="P2624" t="str">
        <f>VLOOKUP(E2624,calculated_fields!$F$4:$G$6,2,FALSE)</f>
        <v>Health</v>
      </c>
    </row>
    <row r="2625" spans="1:16">
      <c r="A2625" t="s">
        <v>3604</v>
      </c>
      <c r="B2625" t="s">
        <v>3562</v>
      </c>
      <c r="C2625" t="s">
        <v>14</v>
      </c>
      <c r="D2625">
        <v>2002</v>
      </c>
      <c r="E2625" t="s">
        <v>23</v>
      </c>
      <c r="F2625" t="s">
        <v>24</v>
      </c>
      <c r="G2625" t="s">
        <v>25</v>
      </c>
      <c r="H2625" t="s">
        <v>26</v>
      </c>
      <c r="I2625">
        <v>3677780</v>
      </c>
      <c r="J2625" t="s">
        <v>27</v>
      </c>
      <c r="K2625" t="s">
        <v>3603</v>
      </c>
      <c r="L2625" t="s">
        <v>21</v>
      </c>
      <c r="M2625" t="str">
        <f t="shared" si="120"/>
        <v>OK</v>
      </c>
      <c r="N2625" t="str">
        <f t="shared" si="121"/>
        <v>2000s</v>
      </c>
      <c r="O2625" t="str">
        <f t="shared" si="122"/>
        <v>N/A</v>
      </c>
      <c r="P2625" t="str">
        <f>VLOOKUP(E2625,calculated_fields!$F$4:$G$6,2,FALSE)</f>
        <v>Demographics</v>
      </c>
    </row>
    <row r="2626" spans="1:16">
      <c r="A2626" t="s">
        <v>3605</v>
      </c>
      <c r="B2626" t="s">
        <v>3562</v>
      </c>
      <c r="C2626" t="s">
        <v>14</v>
      </c>
      <c r="D2626">
        <v>2002</v>
      </c>
      <c r="E2626" t="s">
        <v>29</v>
      </c>
      <c r="F2626" t="s">
        <v>30</v>
      </c>
      <c r="G2626" t="s">
        <v>31</v>
      </c>
      <c r="H2626" t="s">
        <v>32</v>
      </c>
      <c r="I2626">
        <v>9313.9388299999991</v>
      </c>
      <c r="J2626" t="s">
        <v>33</v>
      </c>
      <c r="K2626" t="s">
        <v>3603</v>
      </c>
      <c r="L2626" t="s">
        <v>21</v>
      </c>
      <c r="M2626" t="str">
        <f t="shared" ref="M2626:M2689" si="123">IF(AND(ISNUMBER(I2626),I2626&gt;=0),"OK","Review")</f>
        <v>OK</v>
      </c>
      <c r="N2626" t="str">
        <f t="shared" ref="N2626:N2689" si="124">FLOOR(D2626,10)&amp;"s"</f>
        <v>2000s</v>
      </c>
      <c r="O2626" t="str">
        <f t="shared" ref="O2626:O2689" si="125">IF(E2626="LIFE_EXP",IF(I2626&gt;=70,"High",IF(I2626&gt;=55,"Medium","Low")),"N/A")</f>
        <v>N/A</v>
      </c>
      <c r="P2626" t="str">
        <f>VLOOKUP(E2626,calculated_fields!$F$4:$G$6,2,FALSE)</f>
        <v>Economy</v>
      </c>
    </row>
    <row r="2627" spans="1:16">
      <c r="A2627" t="s">
        <v>3606</v>
      </c>
      <c r="B2627" t="s">
        <v>3562</v>
      </c>
      <c r="C2627" t="s">
        <v>14</v>
      </c>
      <c r="D2627">
        <v>2007</v>
      </c>
      <c r="E2627" t="s">
        <v>15</v>
      </c>
      <c r="F2627" t="s">
        <v>16</v>
      </c>
      <c r="G2627" t="s">
        <v>17</v>
      </c>
      <c r="H2627" t="s">
        <v>18</v>
      </c>
      <c r="I2627">
        <v>71.992999999999995</v>
      </c>
      <c r="J2627" t="s">
        <v>19</v>
      </c>
      <c r="K2627" t="s">
        <v>3607</v>
      </c>
      <c r="L2627" t="s">
        <v>21</v>
      </c>
      <c r="M2627" t="str">
        <f t="shared" si="123"/>
        <v>OK</v>
      </c>
      <c r="N2627" t="str">
        <f t="shared" si="124"/>
        <v>2000s</v>
      </c>
      <c r="O2627" t="str">
        <f t="shared" si="125"/>
        <v>High</v>
      </c>
      <c r="P2627" t="str">
        <f>VLOOKUP(E2627,calculated_fields!$F$4:$G$6,2,FALSE)</f>
        <v>Health</v>
      </c>
    </row>
    <row r="2628" spans="1:16">
      <c r="A2628" t="s">
        <v>3608</v>
      </c>
      <c r="B2628" t="s">
        <v>3562</v>
      </c>
      <c r="C2628" t="s">
        <v>14</v>
      </c>
      <c r="D2628">
        <v>2007</v>
      </c>
      <c r="E2628" t="s">
        <v>23</v>
      </c>
      <c r="F2628" t="s">
        <v>24</v>
      </c>
      <c r="G2628" t="s">
        <v>25</v>
      </c>
      <c r="H2628" t="s">
        <v>26</v>
      </c>
      <c r="I2628">
        <v>3921278</v>
      </c>
      <c r="J2628" t="s">
        <v>27</v>
      </c>
      <c r="K2628" t="s">
        <v>3607</v>
      </c>
      <c r="L2628" t="s">
        <v>21</v>
      </c>
      <c r="M2628" t="str">
        <f t="shared" si="123"/>
        <v>OK</v>
      </c>
      <c r="N2628" t="str">
        <f t="shared" si="124"/>
        <v>2000s</v>
      </c>
      <c r="O2628" t="str">
        <f t="shared" si="125"/>
        <v>N/A</v>
      </c>
      <c r="P2628" t="str">
        <f>VLOOKUP(E2628,calculated_fields!$F$4:$G$6,2,FALSE)</f>
        <v>Demographics</v>
      </c>
    </row>
    <row r="2629" spans="1:16">
      <c r="A2629" t="s">
        <v>3609</v>
      </c>
      <c r="B2629" t="s">
        <v>3562</v>
      </c>
      <c r="C2629" t="s">
        <v>14</v>
      </c>
      <c r="D2629">
        <v>2007</v>
      </c>
      <c r="E2629" t="s">
        <v>29</v>
      </c>
      <c r="F2629" t="s">
        <v>30</v>
      </c>
      <c r="G2629" t="s">
        <v>31</v>
      </c>
      <c r="H2629" t="s">
        <v>32</v>
      </c>
      <c r="I2629">
        <v>10461.05868</v>
      </c>
      <c r="J2629" t="s">
        <v>33</v>
      </c>
      <c r="K2629" t="s">
        <v>3607</v>
      </c>
      <c r="L2629" t="s">
        <v>21</v>
      </c>
      <c r="M2629" t="str">
        <f t="shared" si="123"/>
        <v>OK</v>
      </c>
      <c r="N2629" t="str">
        <f t="shared" si="124"/>
        <v>2000s</v>
      </c>
      <c r="O2629" t="str">
        <f t="shared" si="125"/>
        <v>N/A</v>
      </c>
      <c r="P2629" t="str">
        <f>VLOOKUP(E2629,calculated_fields!$F$4:$G$6,2,FALSE)</f>
        <v>Economy</v>
      </c>
    </row>
    <row r="2630" spans="1:16">
      <c r="A2630" t="s">
        <v>3610</v>
      </c>
      <c r="B2630" t="s">
        <v>3611</v>
      </c>
      <c r="C2630" t="s">
        <v>130</v>
      </c>
      <c r="D2630">
        <v>1952</v>
      </c>
      <c r="E2630" t="s">
        <v>15</v>
      </c>
      <c r="F2630" t="s">
        <v>16</v>
      </c>
      <c r="G2630" t="s">
        <v>17</v>
      </c>
      <c r="H2630" t="s">
        <v>18</v>
      </c>
      <c r="I2630">
        <v>42.137999999999998</v>
      </c>
      <c r="J2630" t="s">
        <v>19</v>
      </c>
      <c r="K2630" t="s">
        <v>3612</v>
      </c>
      <c r="L2630" t="s">
        <v>21</v>
      </c>
      <c r="M2630" t="str">
        <f t="shared" si="123"/>
        <v>OK</v>
      </c>
      <c r="N2630" t="str">
        <f t="shared" si="124"/>
        <v>1950s</v>
      </c>
      <c r="O2630" t="str">
        <f t="shared" si="125"/>
        <v>Low</v>
      </c>
      <c r="P2630" t="str">
        <f>VLOOKUP(E2630,calculated_fields!$F$4:$G$6,2,FALSE)</f>
        <v>Health</v>
      </c>
    </row>
    <row r="2631" spans="1:16">
      <c r="A2631" t="s">
        <v>3613</v>
      </c>
      <c r="B2631" t="s">
        <v>3611</v>
      </c>
      <c r="C2631" t="s">
        <v>130</v>
      </c>
      <c r="D2631">
        <v>1952</v>
      </c>
      <c r="E2631" t="s">
        <v>23</v>
      </c>
      <c r="F2631" t="s">
        <v>24</v>
      </c>
      <c r="G2631" t="s">
        <v>25</v>
      </c>
      <c r="H2631" t="s">
        <v>26</v>
      </c>
      <c r="I2631">
        <v>748747</v>
      </c>
      <c r="J2631" t="s">
        <v>27</v>
      </c>
      <c r="K2631" t="s">
        <v>3612</v>
      </c>
      <c r="L2631" t="s">
        <v>21</v>
      </c>
      <c r="M2631" t="str">
        <f t="shared" si="123"/>
        <v>OK</v>
      </c>
      <c r="N2631" t="str">
        <f t="shared" si="124"/>
        <v>1950s</v>
      </c>
      <c r="O2631" t="str">
        <f t="shared" si="125"/>
        <v>N/A</v>
      </c>
      <c r="P2631" t="str">
        <f>VLOOKUP(E2631,calculated_fields!$F$4:$G$6,2,FALSE)</f>
        <v>Demographics</v>
      </c>
    </row>
    <row r="2632" spans="1:16">
      <c r="A2632" t="s">
        <v>3614</v>
      </c>
      <c r="B2632" t="s">
        <v>3611</v>
      </c>
      <c r="C2632" t="s">
        <v>130</v>
      </c>
      <c r="D2632">
        <v>1952</v>
      </c>
      <c r="E2632" t="s">
        <v>29</v>
      </c>
      <c r="F2632" t="s">
        <v>30</v>
      </c>
      <c r="G2632" t="s">
        <v>31</v>
      </c>
      <c r="H2632" t="s">
        <v>32</v>
      </c>
      <c r="I2632">
        <v>298.8462121</v>
      </c>
      <c r="J2632" t="s">
        <v>33</v>
      </c>
      <c r="K2632" t="s">
        <v>3612</v>
      </c>
      <c r="L2632" t="s">
        <v>21</v>
      </c>
      <c r="M2632" t="str">
        <f t="shared" si="123"/>
        <v>OK</v>
      </c>
      <c r="N2632" t="str">
        <f t="shared" si="124"/>
        <v>1950s</v>
      </c>
      <c r="O2632" t="str">
        <f t="shared" si="125"/>
        <v>N/A</v>
      </c>
      <c r="P2632" t="str">
        <f>VLOOKUP(E2632,calculated_fields!$F$4:$G$6,2,FALSE)</f>
        <v>Economy</v>
      </c>
    </row>
    <row r="2633" spans="1:16">
      <c r="A2633" t="s">
        <v>3615</v>
      </c>
      <c r="B2633" t="s">
        <v>3611</v>
      </c>
      <c r="C2633" t="s">
        <v>130</v>
      </c>
      <c r="D2633">
        <v>1957</v>
      </c>
      <c r="E2633" t="s">
        <v>15</v>
      </c>
      <c r="F2633" t="s">
        <v>16</v>
      </c>
      <c r="G2633" t="s">
        <v>17</v>
      </c>
      <c r="H2633" t="s">
        <v>18</v>
      </c>
      <c r="I2633">
        <v>45.046999999999997</v>
      </c>
      <c r="J2633" t="s">
        <v>19</v>
      </c>
      <c r="K2633" t="s">
        <v>3616</v>
      </c>
      <c r="L2633" t="s">
        <v>21</v>
      </c>
      <c r="M2633" t="str">
        <f t="shared" si="123"/>
        <v>OK</v>
      </c>
      <c r="N2633" t="str">
        <f t="shared" si="124"/>
        <v>1950s</v>
      </c>
      <c r="O2633" t="str">
        <f t="shared" si="125"/>
        <v>Low</v>
      </c>
      <c r="P2633" t="str">
        <f>VLOOKUP(E2633,calculated_fields!$F$4:$G$6,2,FALSE)</f>
        <v>Health</v>
      </c>
    </row>
    <row r="2634" spans="1:16">
      <c r="A2634" t="s">
        <v>3617</v>
      </c>
      <c r="B2634" t="s">
        <v>3611</v>
      </c>
      <c r="C2634" t="s">
        <v>130</v>
      </c>
      <c r="D2634">
        <v>1957</v>
      </c>
      <c r="E2634" t="s">
        <v>23</v>
      </c>
      <c r="F2634" t="s">
        <v>24</v>
      </c>
      <c r="G2634" t="s">
        <v>25</v>
      </c>
      <c r="H2634" t="s">
        <v>26</v>
      </c>
      <c r="I2634">
        <v>813338</v>
      </c>
      <c r="J2634" t="s">
        <v>27</v>
      </c>
      <c r="K2634" t="s">
        <v>3616</v>
      </c>
      <c r="L2634" t="s">
        <v>21</v>
      </c>
      <c r="M2634" t="str">
        <f t="shared" si="123"/>
        <v>OK</v>
      </c>
      <c r="N2634" t="str">
        <f t="shared" si="124"/>
        <v>1950s</v>
      </c>
      <c r="O2634" t="str">
        <f t="shared" si="125"/>
        <v>N/A</v>
      </c>
      <c r="P2634" t="str">
        <f>VLOOKUP(E2634,calculated_fields!$F$4:$G$6,2,FALSE)</f>
        <v>Demographics</v>
      </c>
    </row>
    <row r="2635" spans="1:16">
      <c r="A2635" t="s">
        <v>3618</v>
      </c>
      <c r="B2635" t="s">
        <v>3611</v>
      </c>
      <c r="C2635" t="s">
        <v>130</v>
      </c>
      <c r="D2635">
        <v>1957</v>
      </c>
      <c r="E2635" t="s">
        <v>29</v>
      </c>
      <c r="F2635" t="s">
        <v>30</v>
      </c>
      <c r="G2635" t="s">
        <v>31</v>
      </c>
      <c r="H2635" t="s">
        <v>32</v>
      </c>
      <c r="I2635">
        <v>335.99711509999997</v>
      </c>
      <c r="J2635" t="s">
        <v>33</v>
      </c>
      <c r="K2635" t="s">
        <v>3616</v>
      </c>
      <c r="L2635" t="s">
        <v>21</v>
      </c>
      <c r="M2635" t="str">
        <f t="shared" si="123"/>
        <v>OK</v>
      </c>
      <c r="N2635" t="str">
        <f t="shared" si="124"/>
        <v>1950s</v>
      </c>
      <c r="O2635" t="str">
        <f t="shared" si="125"/>
        <v>N/A</v>
      </c>
      <c r="P2635" t="str">
        <f>VLOOKUP(E2635,calculated_fields!$F$4:$G$6,2,FALSE)</f>
        <v>Economy</v>
      </c>
    </row>
    <row r="2636" spans="1:16">
      <c r="A2636" t="s">
        <v>3619</v>
      </c>
      <c r="B2636" t="s">
        <v>3611</v>
      </c>
      <c r="C2636" t="s">
        <v>130</v>
      </c>
      <c r="D2636">
        <v>1962</v>
      </c>
      <c r="E2636" t="s">
        <v>15</v>
      </c>
      <c r="F2636" t="s">
        <v>16</v>
      </c>
      <c r="G2636" t="s">
        <v>17</v>
      </c>
      <c r="H2636" t="s">
        <v>18</v>
      </c>
      <c r="I2636">
        <v>47.747</v>
      </c>
      <c r="J2636" t="s">
        <v>19</v>
      </c>
      <c r="K2636" t="s">
        <v>3620</v>
      </c>
      <c r="L2636" t="s">
        <v>21</v>
      </c>
      <c r="M2636" t="str">
        <f t="shared" si="123"/>
        <v>OK</v>
      </c>
      <c r="N2636" t="str">
        <f t="shared" si="124"/>
        <v>1960s</v>
      </c>
      <c r="O2636" t="str">
        <f t="shared" si="125"/>
        <v>Low</v>
      </c>
      <c r="P2636" t="str">
        <f>VLOOKUP(E2636,calculated_fields!$F$4:$G$6,2,FALSE)</f>
        <v>Health</v>
      </c>
    </row>
    <row r="2637" spans="1:16">
      <c r="A2637" t="s">
        <v>3621</v>
      </c>
      <c r="B2637" t="s">
        <v>3611</v>
      </c>
      <c r="C2637" t="s">
        <v>130</v>
      </c>
      <c r="D2637">
        <v>1962</v>
      </c>
      <c r="E2637" t="s">
        <v>23</v>
      </c>
      <c r="F2637" t="s">
        <v>24</v>
      </c>
      <c r="G2637" t="s">
        <v>25</v>
      </c>
      <c r="H2637" t="s">
        <v>26</v>
      </c>
      <c r="I2637">
        <v>893143</v>
      </c>
      <c r="J2637" t="s">
        <v>27</v>
      </c>
      <c r="K2637" t="s">
        <v>3620</v>
      </c>
      <c r="L2637" t="s">
        <v>21</v>
      </c>
      <c r="M2637" t="str">
        <f t="shared" si="123"/>
        <v>OK</v>
      </c>
      <c r="N2637" t="str">
        <f t="shared" si="124"/>
        <v>1960s</v>
      </c>
      <c r="O2637" t="str">
        <f t="shared" si="125"/>
        <v>N/A</v>
      </c>
      <c r="P2637" t="str">
        <f>VLOOKUP(E2637,calculated_fields!$F$4:$G$6,2,FALSE)</f>
        <v>Demographics</v>
      </c>
    </row>
    <row r="2638" spans="1:16">
      <c r="A2638" t="s">
        <v>3622</v>
      </c>
      <c r="B2638" t="s">
        <v>3611</v>
      </c>
      <c r="C2638" t="s">
        <v>130</v>
      </c>
      <c r="D2638">
        <v>1962</v>
      </c>
      <c r="E2638" t="s">
        <v>29</v>
      </c>
      <c r="F2638" t="s">
        <v>30</v>
      </c>
      <c r="G2638" t="s">
        <v>31</v>
      </c>
      <c r="H2638" t="s">
        <v>32</v>
      </c>
      <c r="I2638">
        <v>411.80062659999999</v>
      </c>
      <c r="J2638" t="s">
        <v>33</v>
      </c>
      <c r="K2638" t="s">
        <v>3620</v>
      </c>
      <c r="L2638" t="s">
        <v>21</v>
      </c>
      <c r="M2638" t="str">
        <f t="shared" si="123"/>
        <v>OK</v>
      </c>
      <c r="N2638" t="str">
        <f t="shared" si="124"/>
        <v>1960s</v>
      </c>
      <c r="O2638" t="str">
        <f t="shared" si="125"/>
        <v>N/A</v>
      </c>
      <c r="P2638" t="str">
        <f>VLOOKUP(E2638,calculated_fields!$F$4:$G$6,2,FALSE)</f>
        <v>Economy</v>
      </c>
    </row>
    <row r="2639" spans="1:16">
      <c r="A2639" t="s">
        <v>3623</v>
      </c>
      <c r="B2639" t="s">
        <v>3611</v>
      </c>
      <c r="C2639" t="s">
        <v>130</v>
      </c>
      <c r="D2639">
        <v>1967</v>
      </c>
      <c r="E2639" t="s">
        <v>15</v>
      </c>
      <c r="F2639" t="s">
        <v>16</v>
      </c>
      <c r="G2639" t="s">
        <v>17</v>
      </c>
      <c r="H2639" t="s">
        <v>18</v>
      </c>
      <c r="I2639">
        <v>48.491999999999997</v>
      </c>
      <c r="J2639" t="s">
        <v>19</v>
      </c>
      <c r="K2639" t="s">
        <v>3624</v>
      </c>
      <c r="L2639" t="s">
        <v>21</v>
      </c>
      <c r="M2639" t="str">
        <f t="shared" si="123"/>
        <v>OK</v>
      </c>
      <c r="N2639" t="str">
        <f t="shared" si="124"/>
        <v>1960s</v>
      </c>
      <c r="O2639" t="str">
        <f t="shared" si="125"/>
        <v>Low</v>
      </c>
      <c r="P2639" t="str">
        <f>VLOOKUP(E2639,calculated_fields!$F$4:$G$6,2,FALSE)</f>
        <v>Health</v>
      </c>
    </row>
    <row r="2640" spans="1:16">
      <c r="A2640" t="s">
        <v>3625</v>
      </c>
      <c r="B2640" t="s">
        <v>3611</v>
      </c>
      <c r="C2640" t="s">
        <v>130</v>
      </c>
      <c r="D2640">
        <v>1967</v>
      </c>
      <c r="E2640" t="s">
        <v>23</v>
      </c>
      <c r="F2640" t="s">
        <v>24</v>
      </c>
      <c r="G2640" t="s">
        <v>25</v>
      </c>
      <c r="H2640" t="s">
        <v>26</v>
      </c>
      <c r="I2640">
        <v>996380</v>
      </c>
      <c r="J2640" t="s">
        <v>27</v>
      </c>
      <c r="K2640" t="s">
        <v>3624</v>
      </c>
      <c r="L2640" t="s">
        <v>21</v>
      </c>
      <c r="M2640" t="str">
        <f t="shared" si="123"/>
        <v>OK</v>
      </c>
      <c r="N2640" t="str">
        <f t="shared" si="124"/>
        <v>1960s</v>
      </c>
      <c r="O2640" t="str">
        <f t="shared" si="125"/>
        <v>N/A</v>
      </c>
      <c r="P2640" t="str">
        <f>VLOOKUP(E2640,calculated_fields!$F$4:$G$6,2,FALSE)</f>
        <v>Demographics</v>
      </c>
    </row>
    <row r="2641" spans="1:16">
      <c r="A2641" t="s">
        <v>3626</v>
      </c>
      <c r="B2641" t="s">
        <v>3611</v>
      </c>
      <c r="C2641" t="s">
        <v>130</v>
      </c>
      <c r="D2641">
        <v>1967</v>
      </c>
      <c r="E2641" t="s">
        <v>29</v>
      </c>
      <c r="F2641" t="s">
        <v>30</v>
      </c>
      <c r="G2641" t="s">
        <v>31</v>
      </c>
      <c r="H2641" t="s">
        <v>32</v>
      </c>
      <c r="I2641">
        <v>498.6390265</v>
      </c>
      <c r="J2641" t="s">
        <v>33</v>
      </c>
      <c r="K2641" t="s">
        <v>3624</v>
      </c>
      <c r="L2641" t="s">
        <v>21</v>
      </c>
      <c r="M2641" t="str">
        <f t="shared" si="123"/>
        <v>OK</v>
      </c>
      <c r="N2641" t="str">
        <f t="shared" si="124"/>
        <v>1960s</v>
      </c>
      <c r="O2641" t="str">
        <f t="shared" si="125"/>
        <v>N/A</v>
      </c>
      <c r="P2641" t="str">
        <f>VLOOKUP(E2641,calculated_fields!$F$4:$G$6,2,FALSE)</f>
        <v>Economy</v>
      </c>
    </row>
    <row r="2642" spans="1:16">
      <c r="A2642" t="s">
        <v>3627</v>
      </c>
      <c r="B2642" t="s">
        <v>3611</v>
      </c>
      <c r="C2642" t="s">
        <v>130</v>
      </c>
      <c r="D2642">
        <v>1972</v>
      </c>
      <c r="E2642" t="s">
        <v>15</v>
      </c>
      <c r="F2642" t="s">
        <v>16</v>
      </c>
      <c r="G2642" t="s">
        <v>17</v>
      </c>
      <c r="H2642" t="s">
        <v>18</v>
      </c>
      <c r="I2642">
        <v>49.767000000000003</v>
      </c>
      <c r="J2642" t="s">
        <v>19</v>
      </c>
      <c r="K2642" t="s">
        <v>3628</v>
      </c>
      <c r="L2642" t="s">
        <v>21</v>
      </c>
      <c r="M2642" t="str">
        <f t="shared" si="123"/>
        <v>OK</v>
      </c>
      <c r="N2642" t="str">
        <f t="shared" si="124"/>
        <v>1970s</v>
      </c>
      <c r="O2642" t="str">
        <f t="shared" si="125"/>
        <v>Low</v>
      </c>
      <c r="P2642" t="str">
        <f>VLOOKUP(E2642,calculated_fields!$F$4:$G$6,2,FALSE)</f>
        <v>Health</v>
      </c>
    </row>
    <row r="2643" spans="1:16">
      <c r="A2643" t="s">
        <v>3629</v>
      </c>
      <c r="B2643" t="s">
        <v>3611</v>
      </c>
      <c r="C2643" t="s">
        <v>130</v>
      </c>
      <c r="D2643">
        <v>1972</v>
      </c>
      <c r="E2643" t="s">
        <v>23</v>
      </c>
      <c r="F2643" t="s">
        <v>24</v>
      </c>
      <c r="G2643" t="s">
        <v>25</v>
      </c>
      <c r="H2643" t="s">
        <v>26</v>
      </c>
      <c r="I2643">
        <v>1116779</v>
      </c>
      <c r="J2643" t="s">
        <v>27</v>
      </c>
      <c r="K2643" t="s">
        <v>3628</v>
      </c>
      <c r="L2643" t="s">
        <v>21</v>
      </c>
      <c r="M2643" t="str">
        <f t="shared" si="123"/>
        <v>OK</v>
      </c>
      <c r="N2643" t="str">
        <f t="shared" si="124"/>
        <v>1970s</v>
      </c>
      <c r="O2643" t="str">
        <f t="shared" si="125"/>
        <v>N/A</v>
      </c>
      <c r="P2643" t="str">
        <f>VLOOKUP(E2643,calculated_fields!$F$4:$G$6,2,FALSE)</f>
        <v>Demographics</v>
      </c>
    </row>
    <row r="2644" spans="1:16">
      <c r="A2644" t="s">
        <v>3630</v>
      </c>
      <c r="B2644" t="s">
        <v>3611</v>
      </c>
      <c r="C2644" t="s">
        <v>130</v>
      </c>
      <c r="D2644">
        <v>1972</v>
      </c>
      <c r="E2644" t="s">
        <v>29</v>
      </c>
      <c r="F2644" t="s">
        <v>30</v>
      </c>
      <c r="G2644" t="s">
        <v>31</v>
      </c>
      <c r="H2644" t="s">
        <v>32</v>
      </c>
      <c r="I2644">
        <v>496.58159219999999</v>
      </c>
      <c r="J2644" t="s">
        <v>33</v>
      </c>
      <c r="K2644" t="s">
        <v>3628</v>
      </c>
      <c r="L2644" t="s">
        <v>21</v>
      </c>
      <c r="M2644" t="str">
        <f t="shared" si="123"/>
        <v>OK</v>
      </c>
      <c r="N2644" t="str">
        <f t="shared" si="124"/>
        <v>1970s</v>
      </c>
      <c r="O2644" t="str">
        <f t="shared" si="125"/>
        <v>N/A</v>
      </c>
      <c r="P2644" t="str">
        <f>VLOOKUP(E2644,calculated_fields!$F$4:$G$6,2,FALSE)</f>
        <v>Economy</v>
      </c>
    </row>
    <row r="2645" spans="1:16">
      <c r="A2645" t="s">
        <v>3631</v>
      </c>
      <c r="B2645" t="s">
        <v>3611</v>
      </c>
      <c r="C2645" t="s">
        <v>130</v>
      </c>
      <c r="D2645">
        <v>1977</v>
      </c>
      <c r="E2645" t="s">
        <v>15</v>
      </c>
      <c r="F2645" t="s">
        <v>16</v>
      </c>
      <c r="G2645" t="s">
        <v>17</v>
      </c>
      <c r="H2645" t="s">
        <v>18</v>
      </c>
      <c r="I2645">
        <v>52.207999999999998</v>
      </c>
      <c r="J2645" t="s">
        <v>19</v>
      </c>
      <c r="K2645" t="s">
        <v>3632</v>
      </c>
      <c r="L2645" t="s">
        <v>21</v>
      </c>
      <c r="M2645" t="str">
        <f t="shared" si="123"/>
        <v>OK</v>
      </c>
      <c r="N2645" t="str">
        <f t="shared" si="124"/>
        <v>1970s</v>
      </c>
      <c r="O2645" t="str">
        <f t="shared" si="125"/>
        <v>Low</v>
      </c>
      <c r="P2645" t="str">
        <f>VLOOKUP(E2645,calculated_fields!$F$4:$G$6,2,FALSE)</f>
        <v>Health</v>
      </c>
    </row>
    <row r="2646" spans="1:16">
      <c r="A2646" t="s">
        <v>3633</v>
      </c>
      <c r="B2646" t="s">
        <v>3611</v>
      </c>
      <c r="C2646" t="s">
        <v>130</v>
      </c>
      <c r="D2646">
        <v>1977</v>
      </c>
      <c r="E2646" t="s">
        <v>23</v>
      </c>
      <c r="F2646" t="s">
        <v>24</v>
      </c>
      <c r="G2646" t="s">
        <v>25</v>
      </c>
      <c r="H2646" t="s">
        <v>26</v>
      </c>
      <c r="I2646">
        <v>1251524</v>
      </c>
      <c r="J2646" t="s">
        <v>27</v>
      </c>
      <c r="K2646" t="s">
        <v>3632</v>
      </c>
      <c r="L2646" t="s">
        <v>21</v>
      </c>
      <c r="M2646" t="str">
        <f t="shared" si="123"/>
        <v>OK</v>
      </c>
      <c r="N2646" t="str">
        <f t="shared" si="124"/>
        <v>1970s</v>
      </c>
      <c r="O2646" t="str">
        <f t="shared" si="125"/>
        <v>N/A</v>
      </c>
      <c r="P2646" t="str">
        <f>VLOOKUP(E2646,calculated_fields!$F$4:$G$6,2,FALSE)</f>
        <v>Demographics</v>
      </c>
    </row>
    <row r="2647" spans="1:16">
      <c r="A2647" t="s">
        <v>3634</v>
      </c>
      <c r="B2647" t="s">
        <v>3611</v>
      </c>
      <c r="C2647" t="s">
        <v>130</v>
      </c>
      <c r="D2647">
        <v>1977</v>
      </c>
      <c r="E2647" t="s">
        <v>29</v>
      </c>
      <c r="F2647" t="s">
        <v>30</v>
      </c>
      <c r="G2647" t="s">
        <v>31</v>
      </c>
      <c r="H2647" t="s">
        <v>32</v>
      </c>
      <c r="I2647">
        <v>745.36954079999998</v>
      </c>
      <c r="J2647" t="s">
        <v>33</v>
      </c>
      <c r="K2647" t="s">
        <v>3632</v>
      </c>
      <c r="L2647" t="s">
        <v>21</v>
      </c>
      <c r="M2647" t="str">
        <f t="shared" si="123"/>
        <v>OK</v>
      </c>
      <c r="N2647" t="str">
        <f t="shared" si="124"/>
        <v>1970s</v>
      </c>
      <c r="O2647" t="str">
        <f t="shared" si="125"/>
        <v>N/A</v>
      </c>
      <c r="P2647" t="str">
        <f>VLOOKUP(E2647,calculated_fields!$F$4:$G$6,2,FALSE)</f>
        <v>Economy</v>
      </c>
    </row>
    <row r="2648" spans="1:16">
      <c r="A2648" t="s">
        <v>3635</v>
      </c>
      <c r="B2648" t="s">
        <v>3611</v>
      </c>
      <c r="C2648" t="s">
        <v>130</v>
      </c>
      <c r="D2648">
        <v>1982</v>
      </c>
      <c r="E2648" t="s">
        <v>15</v>
      </c>
      <c r="F2648" t="s">
        <v>16</v>
      </c>
      <c r="G2648" t="s">
        <v>17</v>
      </c>
      <c r="H2648" t="s">
        <v>18</v>
      </c>
      <c r="I2648">
        <v>55.078000000000003</v>
      </c>
      <c r="J2648" t="s">
        <v>19</v>
      </c>
      <c r="K2648" t="s">
        <v>3636</v>
      </c>
      <c r="L2648" t="s">
        <v>21</v>
      </c>
      <c r="M2648" t="str">
        <f t="shared" si="123"/>
        <v>OK</v>
      </c>
      <c r="N2648" t="str">
        <f t="shared" si="124"/>
        <v>1980s</v>
      </c>
      <c r="O2648" t="str">
        <f t="shared" si="125"/>
        <v>Medium</v>
      </c>
      <c r="P2648" t="str">
        <f>VLOOKUP(E2648,calculated_fields!$F$4:$G$6,2,FALSE)</f>
        <v>Health</v>
      </c>
    </row>
    <row r="2649" spans="1:16">
      <c r="A2649" t="s">
        <v>3637</v>
      </c>
      <c r="B2649" t="s">
        <v>3611</v>
      </c>
      <c r="C2649" t="s">
        <v>130</v>
      </c>
      <c r="D2649">
        <v>1982</v>
      </c>
      <c r="E2649" t="s">
        <v>23</v>
      </c>
      <c r="F2649" t="s">
        <v>24</v>
      </c>
      <c r="G2649" t="s">
        <v>25</v>
      </c>
      <c r="H2649" t="s">
        <v>26</v>
      </c>
      <c r="I2649">
        <v>1411807</v>
      </c>
      <c r="J2649" t="s">
        <v>27</v>
      </c>
      <c r="K2649" t="s">
        <v>3636</v>
      </c>
      <c r="L2649" t="s">
        <v>21</v>
      </c>
      <c r="M2649" t="str">
        <f t="shared" si="123"/>
        <v>OK</v>
      </c>
      <c r="N2649" t="str">
        <f t="shared" si="124"/>
        <v>1980s</v>
      </c>
      <c r="O2649" t="str">
        <f t="shared" si="125"/>
        <v>N/A</v>
      </c>
      <c r="P2649" t="str">
        <f>VLOOKUP(E2649,calculated_fields!$F$4:$G$6,2,FALSE)</f>
        <v>Demographics</v>
      </c>
    </row>
    <row r="2650" spans="1:16">
      <c r="A2650" t="s">
        <v>3638</v>
      </c>
      <c r="B2650" t="s">
        <v>3611</v>
      </c>
      <c r="C2650" t="s">
        <v>130</v>
      </c>
      <c r="D2650">
        <v>1982</v>
      </c>
      <c r="E2650" t="s">
        <v>29</v>
      </c>
      <c r="F2650" t="s">
        <v>30</v>
      </c>
      <c r="G2650" t="s">
        <v>31</v>
      </c>
      <c r="H2650" t="s">
        <v>32</v>
      </c>
      <c r="I2650">
        <v>797.26310739999997</v>
      </c>
      <c r="J2650" t="s">
        <v>33</v>
      </c>
      <c r="K2650" t="s">
        <v>3636</v>
      </c>
      <c r="L2650" t="s">
        <v>21</v>
      </c>
      <c r="M2650" t="str">
        <f t="shared" si="123"/>
        <v>OK</v>
      </c>
      <c r="N2650" t="str">
        <f t="shared" si="124"/>
        <v>1980s</v>
      </c>
      <c r="O2650" t="str">
        <f t="shared" si="125"/>
        <v>N/A</v>
      </c>
      <c r="P2650" t="str">
        <f>VLOOKUP(E2650,calculated_fields!$F$4:$G$6,2,FALSE)</f>
        <v>Economy</v>
      </c>
    </row>
    <row r="2651" spans="1:16">
      <c r="A2651" t="s">
        <v>3639</v>
      </c>
      <c r="B2651" t="s">
        <v>3611</v>
      </c>
      <c r="C2651" t="s">
        <v>130</v>
      </c>
      <c r="D2651">
        <v>1987</v>
      </c>
      <c r="E2651" t="s">
        <v>15</v>
      </c>
      <c r="F2651" t="s">
        <v>16</v>
      </c>
      <c r="G2651" t="s">
        <v>17</v>
      </c>
      <c r="H2651" t="s">
        <v>18</v>
      </c>
      <c r="I2651">
        <v>57.18</v>
      </c>
      <c r="J2651" t="s">
        <v>19</v>
      </c>
      <c r="K2651" t="s">
        <v>3640</v>
      </c>
      <c r="L2651" t="s">
        <v>21</v>
      </c>
      <c r="M2651" t="str">
        <f t="shared" si="123"/>
        <v>OK</v>
      </c>
      <c r="N2651" t="str">
        <f t="shared" si="124"/>
        <v>1980s</v>
      </c>
      <c r="O2651" t="str">
        <f t="shared" si="125"/>
        <v>Medium</v>
      </c>
      <c r="P2651" t="str">
        <f>VLOOKUP(E2651,calculated_fields!$F$4:$G$6,2,FALSE)</f>
        <v>Health</v>
      </c>
    </row>
    <row r="2652" spans="1:16">
      <c r="A2652" t="s">
        <v>3641</v>
      </c>
      <c r="B2652" t="s">
        <v>3611</v>
      </c>
      <c r="C2652" t="s">
        <v>130</v>
      </c>
      <c r="D2652">
        <v>1987</v>
      </c>
      <c r="E2652" t="s">
        <v>23</v>
      </c>
      <c r="F2652" t="s">
        <v>24</v>
      </c>
      <c r="G2652" t="s">
        <v>25</v>
      </c>
      <c r="H2652" t="s">
        <v>26</v>
      </c>
      <c r="I2652">
        <v>1599200</v>
      </c>
      <c r="J2652" t="s">
        <v>27</v>
      </c>
      <c r="K2652" t="s">
        <v>3640</v>
      </c>
      <c r="L2652" t="s">
        <v>21</v>
      </c>
      <c r="M2652" t="str">
        <f t="shared" si="123"/>
        <v>OK</v>
      </c>
      <c r="N2652" t="str">
        <f t="shared" si="124"/>
        <v>1980s</v>
      </c>
      <c r="O2652" t="str">
        <f t="shared" si="125"/>
        <v>N/A</v>
      </c>
      <c r="P2652" t="str">
        <f>VLOOKUP(E2652,calculated_fields!$F$4:$G$6,2,FALSE)</f>
        <v>Demographics</v>
      </c>
    </row>
    <row r="2653" spans="1:16">
      <c r="A2653" t="s">
        <v>3642</v>
      </c>
      <c r="B2653" t="s">
        <v>3611</v>
      </c>
      <c r="C2653" t="s">
        <v>130</v>
      </c>
      <c r="D2653">
        <v>1987</v>
      </c>
      <c r="E2653" t="s">
        <v>29</v>
      </c>
      <c r="F2653" t="s">
        <v>30</v>
      </c>
      <c r="G2653" t="s">
        <v>31</v>
      </c>
      <c r="H2653" t="s">
        <v>32</v>
      </c>
      <c r="I2653">
        <v>773.99321409999902</v>
      </c>
      <c r="J2653" t="s">
        <v>33</v>
      </c>
      <c r="K2653" t="s">
        <v>3640</v>
      </c>
      <c r="L2653" t="s">
        <v>21</v>
      </c>
      <c r="M2653" t="str">
        <f t="shared" si="123"/>
        <v>OK</v>
      </c>
      <c r="N2653" t="str">
        <f t="shared" si="124"/>
        <v>1980s</v>
      </c>
      <c r="O2653" t="str">
        <f t="shared" si="125"/>
        <v>N/A</v>
      </c>
      <c r="P2653" t="str">
        <f>VLOOKUP(E2653,calculated_fields!$F$4:$G$6,2,FALSE)</f>
        <v>Economy</v>
      </c>
    </row>
    <row r="2654" spans="1:16">
      <c r="A2654" t="s">
        <v>3643</v>
      </c>
      <c r="B2654" t="s">
        <v>3611</v>
      </c>
      <c r="C2654" t="s">
        <v>130</v>
      </c>
      <c r="D2654">
        <v>1992</v>
      </c>
      <c r="E2654" t="s">
        <v>15</v>
      </c>
      <c r="F2654" t="s">
        <v>16</v>
      </c>
      <c r="G2654" t="s">
        <v>17</v>
      </c>
      <c r="H2654" t="s">
        <v>18</v>
      </c>
      <c r="I2654">
        <v>59.685000000000002</v>
      </c>
      <c r="J2654" t="s">
        <v>19</v>
      </c>
      <c r="K2654" t="s">
        <v>3644</v>
      </c>
      <c r="L2654" t="s">
        <v>21</v>
      </c>
      <c r="M2654" t="str">
        <f t="shared" si="123"/>
        <v>OK</v>
      </c>
      <c r="N2654" t="str">
        <f t="shared" si="124"/>
        <v>1990s</v>
      </c>
      <c r="O2654" t="str">
        <f t="shared" si="125"/>
        <v>Medium</v>
      </c>
      <c r="P2654" t="str">
        <f>VLOOKUP(E2654,calculated_fields!$F$4:$G$6,2,FALSE)</f>
        <v>Health</v>
      </c>
    </row>
    <row r="2655" spans="1:16">
      <c r="A2655" t="s">
        <v>3645</v>
      </c>
      <c r="B2655" t="s">
        <v>3611</v>
      </c>
      <c r="C2655" t="s">
        <v>130</v>
      </c>
      <c r="D2655">
        <v>1992</v>
      </c>
      <c r="E2655" t="s">
        <v>23</v>
      </c>
      <c r="F2655" t="s">
        <v>24</v>
      </c>
      <c r="G2655" t="s">
        <v>25</v>
      </c>
      <c r="H2655" t="s">
        <v>26</v>
      </c>
      <c r="I2655">
        <v>1803195</v>
      </c>
      <c r="J2655" t="s">
        <v>27</v>
      </c>
      <c r="K2655" t="s">
        <v>3644</v>
      </c>
      <c r="L2655" t="s">
        <v>21</v>
      </c>
      <c r="M2655" t="str">
        <f t="shared" si="123"/>
        <v>OK</v>
      </c>
      <c r="N2655" t="str">
        <f t="shared" si="124"/>
        <v>1990s</v>
      </c>
      <c r="O2655" t="str">
        <f t="shared" si="125"/>
        <v>N/A</v>
      </c>
      <c r="P2655" t="str">
        <f>VLOOKUP(E2655,calculated_fields!$F$4:$G$6,2,FALSE)</f>
        <v>Demographics</v>
      </c>
    </row>
    <row r="2656" spans="1:16">
      <c r="A2656" t="s">
        <v>3646</v>
      </c>
      <c r="B2656" t="s">
        <v>3611</v>
      </c>
      <c r="C2656" t="s">
        <v>130</v>
      </c>
      <c r="D2656">
        <v>1992</v>
      </c>
      <c r="E2656" t="s">
        <v>29</v>
      </c>
      <c r="F2656" t="s">
        <v>30</v>
      </c>
      <c r="G2656" t="s">
        <v>31</v>
      </c>
      <c r="H2656" t="s">
        <v>32</v>
      </c>
      <c r="I2656">
        <v>977.48627250000004</v>
      </c>
      <c r="J2656" t="s">
        <v>33</v>
      </c>
      <c r="K2656" t="s">
        <v>3644</v>
      </c>
      <c r="L2656" t="s">
        <v>21</v>
      </c>
      <c r="M2656" t="str">
        <f t="shared" si="123"/>
        <v>OK</v>
      </c>
      <c r="N2656" t="str">
        <f t="shared" si="124"/>
        <v>1990s</v>
      </c>
      <c r="O2656" t="str">
        <f t="shared" si="125"/>
        <v>N/A</v>
      </c>
      <c r="P2656" t="str">
        <f>VLOOKUP(E2656,calculated_fields!$F$4:$G$6,2,FALSE)</f>
        <v>Economy</v>
      </c>
    </row>
    <row r="2657" spans="1:16">
      <c r="A2657" t="s">
        <v>3647</v>
      </c>
      <c r="B2657" t="s">
        <v>3611</v>
      </c>
      <c r="C2657" t="s">
        <v>130</v>
      </c>
      <c r="D2657">
        <v>1997</v>
      </c>
      <c r="E2657" t="s">
        <v>15</v>
      </c>
      <c r="F2657" t="s">
        <v>16</v>
      </c>
      <c r="G2657" t="s">
        <v>17</v>
      </c>
      <c r="H2657" t="s">
        <v>18</v>
      </c>
      <c r="I2657">
        <v>55.558</v>
      </c>
      <c r="J2657" t="s">
        <v>19</v>
      </c>
      <c r="K2657" t="s">
        <v>3648</v>
      </c>
      <c r="L2657" t="s">
        <v>21</v>
      </c>
      <c r="M2657" t="str">
        <f t="shared" si="123"/>
        <v>OK</v>
      </c>
      <c r="N2657" t="str">
        <f t="shared" si="124"/>
        <v>1990s</v>
      </c>
      <c r="O2657" t="str">
        <f t="shared" si="125"/>
        <v>Medium</v>
      </c>
      <c r="P2657" t="str">
        <f>VLOOKUP(E2657,calculated_fields!$F$4:$G$6,2,FALSE)</f>
        <v>Health</v>
      </c>
    </row>
    <row r="2658" spans="1:16">
      <c r="A2658" t="s">
        <v>3649</v>
      </c>
      <c r="B2658" t="s">
        <v>3611</v>
      </c>
      <c r="C2658" t="s">
        <v>130</v>
      </c>
      <c r="D2658">
        <v>1997</v>
      </c>
      <c r="E2658" t="s">
        <v>23</v>
      </c>
      <c r="F2658" t="s">
        <v>24</v>
      </c>
      <c r="G2658" t="s">
        <v>25</v>
      </c>
      <c r="H2658" t="s">
        <v>26</v>
      </c>
      <c r="I2658">
        <v>1982823</v>
      </c>
      <c r="J2658" t="s">
        <v>27</v>
      </c>
      <c r="K2658" t="s">
        <v>3648</v>
      </c>
      <c r="L2658" t="s">
        <v>21</v>
      </c>
      <c r="M2658" t="str">
        <f t="shared" si="123"/>
        <v>OK</v>
      </c>
      <c r="N2658" t="str">
        <f t="shared" si="124"/>
        <v>1990s</v>
      </c>
      <c r="O2658" t="str">
        <f t="shared" si="125"/>
        <v>N/A</v>
      </c>
      <c r="P2658" t="str">
        <f>VLOOKUP(E2658,calculated_fields!$F$4:$G$6,2,FALSE)</f>
        <v>Demographics</v>
      </c>
    </row>
    <row r="2659" spans="1:16">
      <c r="A2659" t="s">
        <v>3650</v>
      </c>
      <c r="B2659" t="s">
        <v>3611</v>
      </c>
      <c r="C2659" t="s">
        <v>130</v>
      </c>
      <c r="D2659">
        <v>1997</v>
      </c>
      <c r="E2659" t="s">
        <v>29</v>
      </c>
      <c r="F2659" t="s">
        <v>30</v>
      </c>
      <c r="G2659" t="s">
        <v>31</v>
      </c>
      <c r="H2659" t="s">
        <v>32</v>
      </c>
      <c r="I2659">
        <v>1186.1479939999999</v>
      </c>
      <c r="J2659" t="s">
        <v>33</v>
      </c>
      <c r="K2659" t="s">
        <v>3648</v>
      </c>
      <c r="L2659" t="s">
        <v>21</v>
      </c>
      <c r="M2659" t="str">
        <f t="shared" si="123"/>
        <v>OK</v>
      </c>
      <c r="N2659" t="str">
        <f t="shared" si="124"/>
        <v>1990s</v>
      </c>
      <c r="O2659" t="str">
        <f t="shared" si="125"/>
        <v>N/A</v>
      </c>
      <c r="P2659" t="str">
        <f>VLOOKUP(E2659,calculated_fields!$F$4:$G$6,2,FALSE)</f>
        <v>Economy</v>
      </c>
    </row>
    <row r="2660" spans="1:16">
      <c r="A2660" t="s">
        <v>3651</v>
      </c>
      <c r="B2660" t="s">
        <v>3611</v>
      </c>
      <c r="C2660" t="s">
        <v>130</v>
      </c>
      <c r="D2660">
        <v>2002</v>
      </c>
      <c r="E2660" t="s">
        <v>15</v>
      </c>
      <c r="F2660" t="s">
        <v>16</v>
      </c>
      <c r="G2660" t="s">
        <v>17</v>
      </c>
      <c r="H2660" t="s">
        <v>18</v>
      </c>
      <c r="I2660">
        <v>44.593000000000004</v>
      </c>
      <c r="J2660" t="s">
        <v>19</v>
      </c>
      <c r="K2660" t="s">
        <v>3652</v>
      </c>
      <c r="L2660" t="s">
        <v>21</v>
      </c>
      <c r="M2660" t="str">
        <f t="shared" si="123"/>
        <v>OK</v>
      </c>
      <c r="N2660" t="str">
        <f t="shared" si="124"/>
        <v>2000s</v>
      </c>
      <c r="O2660" t="str">
        <f t="shared" si="125"/>
        <v>Low</v>
      </c>
      <c r="P2660" t="str">
        <f>VLOOKUP(E2660,calculated_fields!$F$4:$G$6,2,FALSE)</f>
        <v>Health</v>
      </c>
    </row>
    <row r="2661" spans="1:16">
      <c r="A2661" t="s">
        <v>3653</v>
      </c>
      <c r="B2661" t="s">
        <v>3611</v>
      </c>
      <c r="C2661" t="s">
        <v>130</v>
      </c>
      <c r="D2661">
        <v>2002</v>
      </c>
      <c r="E2661" t="s">
        <v>23</v>
      </c>
      <c r="F2661" t="s">
        <v>24</v>
      </c>
      <c r="G2661" t="s">
        <v>25</v>
      </c>
      <c r="H2661" t="s">
        <v>26</v>
      </c>
      <c r="I2661">
        <v>2046772</v>
      </c>
      <c r="J2661" t="s">
        <v>27</v>
      </c>
      <c r="K2661" t="s">
        <v>3652</v>
      </c>
      <c r="L2661" t="s">
        <v>21</v>
      </c>
      <c r="M2661" t="str">
        <f t="shared" si="123"/>
        <v>OK</v>
      </c>
      <c r="N2661" t="str">
        <f t="shared" si="124"/>
        <v>2000s</v>
      </c>
      <c r="O2661" t="str">
        <f t="shared" si="125"/>
        <v>N/A</v>
      </c>
      <c r="P2661" t="str">
        <f>VLOOKUP(E2661,calculated_fields!$F$4:$G$6,2,FALSE)</f>
        <v>Demographics</v>
      </c>
    </row>
    <row r="2662" spans="1:16">
      <c r="A2662" t="s">
        <v>3654</v>
      </c>
      <c r="B2662" t="s">
        <v>3611</v>
      </c>
      <c r="C2662" t="s">
        <v>130</v>
      </c>
      <c r="D2662">
        <v>2002</v>
      </c>
      <c r="E2662" t="s">
        <v>29</v>
      </c>
      <c r="F2662" t="s">
        <v>30</v>
      </c>
      <c r="G2662" t="s">
        <v>31</v>
      </c>
      <c r="H2662" t="s">
        <v>32</v>
      </c>
      <c r="I2662">
        <v>1275.184575</v>
      </c>
      <c r="J2662" t="s">
        <v>33</v>
      </c>
      <c r="K2662" t="s">
        <v>3652</v>
      </c>
      <c r="L2662" t="s">
        <v>21</v>
      </c>
      <c r="M2662" t="str">
        <f t="shared" si="123"/>
        <v>OK</v>
      </c>
      <c r="N2662" t="str">
        <f t="shared" si="124"/>
        <v>2000s</v>
      </c>
      <c r="O2662" t="str">
        <f t="shared" si="125"/>
        <v>N/A</v>
      </c>
      <c r="P2662" t="str">
        <f>VLOOKUP(E2662,calculated_fields!$F$4:$G$6,2,FALSE)</f>
        <v>Economy</v>
      </c>
    </row>
    <row r="2663" spans="1:16">
      <c r="A2663" t="s">
        <v>3655</v>
      </c>
      <c r="B2663" t="s">
        <v>3611</v>
      </c>
      <c r="C2663" t="s">
        <v>130</v>
      </c>
      <c r="D2663">
        <v>2007</v>
      </c>
      <c r="E2663" t="s">
        <v>15</v>
      </c>
      <c r="F2663" t="s">
        <v>16</v>
      </c>
      <c r="G2663" t="s">
        <v>17</v>
      </c>
      <c r="H2663" t="s">
        <v>18</v>
      </c>
      <c r="I2663">
        <v>42.591999999999999</v>
      </c>
      <c r="J2663" t="s">
        <v>19</v>
      </c>
      <c r="K2663" t="s">
        <v>3656</v>
      </c>
      <c r="L2663" t="s">
        <v>21</v>
      </c>
      <c r="M2663" t="str">
        <f t="shared" si="123"/>
        <v>OK</v>
      </c>
      <c r="N2663" t="str">
        <f t="shared" si="124"/>
        <v>2000s</v>
      </c>
      <c r="O2663" t="str">
        <f t="shared" si="125"/>
        <v>Low</v>
      </c>
      <c r="P2663" t="str">
        <f>VLOOKUP(E2663,calculated_fields!$F$4:$G$6,2,FALSE)</f>
        <v>Health</v>
      </c>
    </row>
    <row r="2664" spans="1:16">
      <c r="A2664" t="s">
        <v>3657</v>
      </c>
      <c r="B2664" t="s">
        <v>3611</v>
      </c>
      <c r="C2664" t="s">
        <v>130</v>
      </c>
      <c r="D2664">
        <v>2007</v>
      </c>
      <c r="E2664" t="s">
        <v>23</v>
      </c>
      <c r="F2664" t="s">
        <v>24</v>
      </c>
      <c r="G2664" t="s">
        <v>25</v>
      </c>
      <c r="H2664" t="s">
        <v>26</v>
      </c>
      <c r="I2664">
        <v>2012649</v>
      </c>
      <c r="J2664" t="s">
        <v>27</v>
      </c>
      <c r="K2664" t="s">
        <v>3656</v>
      </c>
      <c r="L2664" t="s">
        <v>21</v>
      </c>
      <c r="M2664" t="str">
        <f t="shared" si="123"/>
        <v>OK</v>
      </c>
      <c r="N2664" t="str">
        <f t="shared" si="124"/>
        <v>2000s</v>
      </c>
      <c r="O2664" t="str">
        <f t="shared" si="125"/>
        <v>N/A</v>
      </c>
      <c r="P2664" t="str">
        <f>VLOOKUP(E2664,calculated_fields!$F$4:$G$6,2,FALSE)</f>
        <v>Demographics</v>
      </c>
    </row>
    <row r="2665" spans="1:16">
      <c r="A2665" t="s">
        <v>3658</v>
      </c>
      <c r="B2665" t="s">
        <v>3611</v>
      </c>
      <c r="C2665" t="s">
        <v>130</v>
      </c>
      <c r="D2665">
        <v>2007</v>
      </c>
      <c r="E2665" t="s">
        <v>29</v>
      </c>
      <c r="F2665" t="s">
        <v>30</v>
      </c>
      <c r="G2665" t="s">
        <v>31</v>
      </c>
      <c r="H2665" t="s">
        <v>32</v>
      </c>
      <c r="I2665">
        <v>1569.3314419999999</v>
      </c>
      <c r="J2665" t="s">
        <v>33</v>
      </c>
      <c r="K2665" t="s">
        <v>3656</v>
      </c>
      <c r="L2665" t="s">
        <v>21</v>
      </c>
      <c r="M2665" t="str">
        <f t="shared" si="123"/>
        <v>OK</v>
      </c>
      <c r="N2665" t="str">
        <f t="shared" si="124"/>
        <v>2000s</v>
      </c>
      <c r="O2665" t="str">
        <f t="shared" si="125"/>
        <v>N/A</v>
      </c>
      <c r="P2665" t="str">
        <f>VLOOKUP(E2665,calculated_fields!$F$4:$G$6,2,FALSE)</f>
        <v>Economy</v>
      </c>
    </row>
    <row r="2666" spans="1:16">
      <c r="A2666" t="s">
        <v>3659</v>
      </c>
      <c r="B2666" t="s">
        <v>3660</v>
      </c>
      <c r="C2666" t="s">
        <v>130</v>
      </c>
      <c r="D2666">
        <v>1952</v>
      </c>
      <c r="E2666" t="s">
        <v>15</v>
      </c>
      <c r="F2666" t="s">
        <v>16</v>
      </c>
      <c r="G2666" t="s">
        <v>17</v>
      </c>
      <c r="H2666" t="s">
        <v>18</v>
      </c>
      <c r="I2666">
        <v>38.479999999999997</v>
      </c>
      <c r="J2666" t="s">
        <v>19</v>
      </c>
      <c r="K2666" t="s">
        <v>3661</v>
      </c>
      <c r="L2666" t="s">
        <v>21</v>
      </c>
      <c r="M2666" t="str">
        <f t="shared" si="123"/>
        <v>OK</v>
      </c>
      <c r="N2666" t="str">
        <f t="shared" si="124"/>
        <v>1950s</v>
      </c>
      <c r="O2666" t="str">
        <f t="shared" si="125"/>
        <v>Low</v>
      </c>
      <c r="P2666" t="str">
        <f>VLOOKUP(E2666,calculated_fields!$F$4:$G$6,2,FALSE)</f>
        <v>Health</v>
      </c>
    </row>
    <row r="2667" spans="1:16">
      <c r="A2667" t="s">
        <v>3662</v>
      </c>
      <c r="B2667" t="s">
        <v>3660</v>
      </c>
      <c r="C2667" t="s">
        <v>130</v>
      </c>
      <c r="D2667">
        <v>1952</v>
      </c>
      <c r="E2667" t="s">
        <v>23</v>
      </c>
      <c r="F2667" t="s">
        <v>24</v>
      </c>
      <c r="G2667" t="s">
        <v>25</v>
      </c>
      <c r="H2667" t="s">
        <v>26</v>
      </c>
      <c r="I2667">
        <v>863308</v>
      </c>
      <c r="J2667" t="s">
        <v>27</v>
      </c>
      <c r="K2667" t="s">
        <v>3661</v>
      </c>
      <c r="L2667" t="s">
        <v>21</v>
      </c>
      <c r="M2667" t="str">
        <f t="shared" si="123"/>
        <v>OK</v>
      </c>
      <c r="N2667" t="str">
        <f t="shared" si="124"/>
        <v>1950s</v>
      </c>
      <c r="O2667" t="str">
        <f t="shared" si="125"/>
        <v>N/A</v>
      </c>
      <c r="P2667" t="str">
        <f>VLOOKUP(E2667,calculated_fields!$F$4:$G$6,2,FALSE)</f>
        <v>Demographics</v>
      </c>
    </row>
    <row r="2668" spans="1:16">
      <c r="A2668" t="s">
        <v>3663</v>
      </c>
      <c r="B2668" t="s">
        <v>3660</v>
      </c>
      <c r="C2668" t="s">
        <v>130</v>
      </c>
      <c r="D2668">
        <v>1952</v>
      </c>
      <c r="E2668" t="s">
        <v>29</v>
      </c>
      <c r="F2668" t="s">
        <v>30</v>
      </c>
      <c r="G2668" t="s">
        <v>31</v>
      </c>
      <c r="H2668" t="s">
        <v>32</v>
      </c>
      <c r="I2668">
        <v>575.57299609999995</v>
      </c>
      <c r="J2668" t="s">
        <v>33</v>
      </c>
      <c r="K2668" t="s">
        <v>3661</v>
      </c>
      <c r="L2668" t="s">
        <v>21</v>
      </c>
      <c r="M2668" t="str">
        <f t="shared" si="123"/>
        <v>OK</v>
      </c>
      <c r="N2668" t="str">
        <f t="shared" si="124"/>
        <v>1950s</v>
      </c>
      <c r="O2668" t="str">
        <f t="shared" si="125"/>
        <v>N/A</v>
      </c>
      <c r="P2668" t="str">
        <f>VLOOKUP(E2668,calculated_fields!$F$4:$G$6,2,FALSE)</f>
        <v>Economy</v>
      </c>
    </row>
    <row r="2669" spans="1:16">
      <c r="A2669" t="s">
        <v>3664</v>
      </c>
      <c r="B2669" t="s">
        <v>3660</v>
      </c>
      <c r="C2669" t="s">
        <v>130</v>
      </c>
      <c r="D2669">
        <v>1957</v>
      </c>
      <c r="E2669" t="s">
        <v>15</v>
      </c>
      <c r="F2669" t="s">
        <v>16</v>
      </c>
      <c r="G2669" t="s">
        <v>17</v>
      </c>
      <c r="H2669" t="s">
        <v>18</v>
      </c>
      <c r="I2669">
        <v>39.485999999999997</v>
      </c>
      <c r="J2669" t="s">
        <v>19</v>
      </c>
      <c r="K2669" t="s">
        <v>3665</v>
      </c>
      <c r="L2669" t="s">
        <v>21</v>
      </c>
      <c r="M2669" t="str">
        <f t="shared" si="123"/>
        <v>OK</v>
      </c>
      <c r="N2669" t="str">
        <f t="shared" si="124"/>
        <v>1950s</v>
      </c>
      <c r="O2669" t="str">
        <f t="shared" si="125"/>
        <v>Low</v>
      </c>
      <c r="P2669" t="str">
        <f>VLOOKUP(E2669,calculated_fields!$F$4:$G$6,2,FALSE)</f>
        <v>Health</v>
      </c>
    </row>
    <row r="2670" spans="1:16">
      <c r="A2670" t="s">
        <v>3666</v>
      </c>
      <c r="B2670" t="s">
        <v>3660</v>
      </c>
      <c r="C2670" t="s">
        <v>130</v>
      </c>
      <c r="D2670">
        <v>1957</v>
      </c>
      <c r="E2670" t="s">
        <v>23</v>
      </c>
      <c r="F2670" t="s">
        <v>24</v>
      </c>
      <c r="G2670" t="s">
        <v>25</v>
      </c>
      <c r="H2670" t="s">
        <v>26</v>
      </c>
      <c r="I2670">
        <v>975950</v>
      </c>
      <c r="J2670" t="s">
        <v>27</v>
      </c>
      <c r="K2670" t="s">
        <v>3665</v>
      </c>
      <c r="L2670" t="s">
        <v>21</v>
      </c>
      <c r="M2670" t="str">
        <f t="shared" si="123"/>
        <v>OK</v>
      </c>
      <c r="N2670" t="str">
        <f t="shared" si="124"/>
        <v>1950s</v>
      </c>
      <c r="O2670" t="str">
        <f t="shared" si="125"/>
        <v>N/A</v>
      </c>
      <c r="P2670" t="str">
        <f>VLOOKUP(E2670,calculated_fields!$F$4:$G$6,2,FALSE)</f>
        <v>Demographics</v>
      </c>
    </row>
    <row r="2671" spans="1:16">
      <c r="A2671" t="s">
        <v>3667</v>
      </c>
      <c r="B2671" t="s">
        <v>3660</v>
      </c>
      <c r="C2671" t="s">
        <v>130</v>
      </c>
      <c r="D2671">
        <v>1957</v>
      </c>
      <c r="E2671" t="s">
        <v>29</v>
      </c>
      <c r="F2671" t="s">
        <v>30</v>
      </c>
      <c r="G2671" t="s">
        <v>31</v>
      </c>
      <c r="H2671" t="s">
        <v>32</v>
      </c>
      <c r="I2671">
        <v>620.96999010000002</v>
      </c>
      <c r="J2671" t="s">
        <v>33</v>
      </c>
      <c r="K2671" t="s">
        <v>3665</v>
      </c>
      <c r="L2671" t="s">
        <v>21</v>
      </c>
      <c r="M2671" t="str">
        <f t="shared" si="123"/>
        <v>OK</v>
      </c>
      <c r="N2671" t="str">
        <f t="shared" si="124"/>
        <v>1950s</v>
      </c>
      <c r="O2671" t="str">
        <f t="shared" si="125"/>
        <v>N/A</v>
      </c>
      <c r="P2671" t="str">
        <f>VLOOKUP(E2671,calculated_fields!$F$4:$G$6,2,FALSE)</f>
        <v>Economy</v>
      </c>
    </row>
    <row r="2672" spans="1:16">
      <c r="A2672" t="s">
        <v>3668</v>
      </c>
      <c r="B2672" t="s">
        <v>3660</v>
      </c>
      <c r="C2672" t="s">
        <v>130</v>
      </c>
      <c r="D2672">
        <v>1962</v>
      </c>
      <c r="E2672" t="s">
        <v>15</v>
      </c>
      <c r="F2672" t="s">
        <v>16</v>
      </c>
      <c r="G2672" t="s">
        <v>17</v>
      </c>
      <c r="H2672" t="s">
        <v>18</v>
      </c>
      <c r="I2672">
        <v>40.502000000000002</v>
      </c>
      <c r="J2672" t="s">
        <v>19</v>
      </c>
      <c r="K2672" t="s">
        <v>3669</v>
      </c>
      <c r="L2672" t="s">
        <v>21</v>
      </c>
      <c r="M2672" t="str">
        <f t="shared" si="123"/>
        <v>OK</v>
      </c>
      <c r="N2672" t="str">
        <f t="shared" si="124"/>
        <v>1960s</v>
      </c>
      <c r="O2672" t="str">
        <f t="shared" si="125"/>
        <v>Low</v>
      </c>
      <c r="P2672" t="str">
        <f>VLOOKUP(E2672,calculated_fields!$F$4:$G$6,2,FALSE)</f>
        <v>Health</v>
      </c>
    </row>
    <row r="2673" spans="1:16">
      <c r="A2673" t="s">
        <v>3670</v>
      </c>
      <c r="B2673" t="s">
        <v>3660</v>
      </c>
      <c r="C2673" t="s">
        <v>130</v>
      </c>
      <c r="D2673">
        <v>1962</v>
      </c>
      <c r="E2673" t="s">
        <v>23</v>
      </c>
      <c r="F2673" t="s">
        <v>24</v>
      </c>
      <c r="G2673" t="s">
        <v>25</v>
      </c>
      <c r="H2673" t="s">
        <v>26</v>
      </c>
      <c r="I2673">
        <v>1112796</v>
      </c>
      <c r="J2673" t="s">
        <v>27</v>
      </c>
      <c r="K2673" t="s">
        <v>3669</v>
      </c>
      <c r="L2673" t="s">
        <v>21</v>
      </c>
      <c r="M2673" t="str">
        <f t="shared" si="123"/>
        <v>OK</v>
      </c>
      <c r="N2673" t="str">
        <f t="shared" si="124"/>
        <v>1960s</v>
      </c>
      <c r="O2673" t="str">
        <f t="shared" si="125"/>
        <v>N/A</v>
      </c>
      <c r="P2673" t="str">
        <f>VLOOKUP(E2673,calculated_fields!$F$4:$G$6,2,FALSE)</f>
        <v>Demographics</v>
      </c>
    </row>
    <row r="2674" spans="1:16">
      <c r="A2674" t="s">
        <v>3671</v>
      </c>
      <c r="B2674" t="s">
        <v>3660</v>
      </c>
      <c r="C2674" t="s">
        <v>130</v>
      </c>
      <c r="D2674">
        <v>1962</v>
      </c>
      <c r="E2674" t="s">
        <v>29</v>
      </c>
      <c r="F2674" t="s">
        <v>30</v>
      </c>
      <c r="G2674" t="s">
        <v>31</v>
      </c>
      <c r="H2674" t="s">
        <v>32</v>
      </c>
      <c r="I2674">
        <v>634.19516250000004</v>
      </c>
      <c r="J2674" t="s">
        <v>33</v>
      </c>
      <c r="K2674" t="s">
        <v>3669</v>
      </c>
      <c r="L2674" t="s">
        <v>21</v>
      </c>
      <c r="M2674" t="str">
        <f t="shared" si="123"/>
        <v>OK</v>
      </c>
      <c r="N2674" t="str">
        <f t="shared" si="124"/>
        <v>1960s</v>
      </c>
      <c r="O2674" t="str">
        <f t="shared" si="125"/>
        <v>N/A</v>
      </c>
      <c r="P2674" t="str">
        <f>VLOOKUP(E2674,calculated_fields!$F$4:$G$6,2,FALSE)</f>
        <v>Economy</v>
      </c>
    </row>
    <row r="2675" spans="1:16">
      <c r="A2675" t="s">
        <v>3672</v>
      </c>
      <c r="B2675" t="s">
        <v>3660</v>
      </c>
      <c r="C2675" t="s">
        <v>130</v>
      </c>
      <c r="D2675">
        <v>1967</v>
      </c>
      <c r="E2675" t="s">
        <v>15</v>
      </c>
      <c r="F2675" t="s">
        <v>16</v>
      </c>
      <c r="G2675" t="s">
        <v>17</v>
      </c>
      <c r="H2675" t="s">
        <v>18</v>
      </c>
      <c r="I2675">
        <v>41.536000000000001</v>
      </c>
      <c r="J2675" t="s">
        <v>19</v>
      </c>
      <c r="K2675" t="s">
        <v>3673</v>
      </c>
      <c r="L2675" t="s">
        <v>21</v>
      </c>
      <c r="M2675" t="str">
        <f t="shared" si="123"/>
        <v>OK</v>
      </c>
      <c r="N2675" t="str">
        <f t="shared" si="124"/>
        <v>1960s</v>
      </c>
      <c r="O2675" t="str">
        <f t="shared" si="125"/>
        <v>Low</v>
      </c>
      <c r="P2675" t="str">
        <f>VLOOKUP(E2675,calculated_fields!$F$4:$G$6,2,FALSE)</f>
        <v>Health</v>
      </c>
    </row>
    <row r="2676" spans="1:16">
      <c r="A2676" t="s">
        <v>3674</v>
      </c>
      <c r="B2676" t="s">
        <v>3660</v>
      </c>
      <c r="C2676" t="s">
        <v>130</v>
      </c>
      <c r="D2676">
        <v>1967</v>
      </c>
      <c r="E2676" t="s">
        <v>23</v>
      </c>
      <c r="F2676" t="s">
        <v>24</v>
      </c>
      <c r="G2676" t="s">
        <v>25</v>
      </c>
      <c r="H2676" t="s">
        <v>26</v>
      </c>
      <c r="I2676">
        <v>1279406</v>
      </c>
      <c r="J2676" t="s">
        <v>27</v>
      </c>
      <c r="K2676" t="s">
        <v>3673</v>
      </c>
      <c r="L2676" t="s">
        <v>21</v>
      </c>
      <c r="M2676" t="str">
        <f t="shared" si="123"/>
        <v>OK</v>
      </c>
      <c r="N2676" t="str">
        <f t="shared" si="124"/>
        <v>1960s</v>
      </c>
      <c r="O2676" t="str">
        <f t="shared" si="125"/>
        <v>N/A</v>
      </c>
      <c r="P2676" t="str">
        <f>VLOOKUP(E2676,calculated_fields!$F$4:$G$6,2,FALSE)</f>
        <v>Demographics</v>
      </c>
    </row>
    <row r="2677" spans="1:16">
      <c r="A2677" t="s">
        <v>3675</v>
      </c>
      <c r="B2677" t="s">
        <v>3660</v>
      </c>
      <c r="C2677" t="s">
        <v>130</v>
      </c>
      <c r="D2677">
        <v>1967</v>
      </c>
      <c r="E2677" t="s">
        <v>29</v>
      </c>
      <c r="F2677" t="s">
        <v>30</v>
      </c>
      <c r="G2677" t="s">
        <v>31</v>
      </c>
      <c r="H2677" t="s">
        <v>32</v>
      </c>
      <c r="I2677">
        <v>713.60364829999901</v>
      </c>
      <c r="J2677" t="s">
        <v>33</v>
      </c>
      <c r="K2677" t="s">
        <v>3673</v>
      </c>
      <c r="L2677" t="s">
        <v>21</v>
      </c>
      <c r="M2677" t="str">
        <f t="shared" si="123"/>
        <v>OK</v>
      </c>
      <c r="N2677" t="str">
        <f t="shared" si="124"/>
        <v>1960s</v>
      </c>
      <c r="O2677" t="str">
        <f t="shared" si="125"/>
        <v>N/A</v>
      </c>
      <c r="P2677" t="str">
        <f>VLOOKUP(E2677,calculated_fields!$F$4:$G$6,2,FALSE)</f>
        <v>Economy</v>
      </c>
    </row>
    <row r="2678" spans="1:16">
      <c r="A2678" t="s">
        <v>3676</v>
      </c>
      <c r="B2678" t="s">
        <v>3660</v>
      </c>
      <c r="C2678" t="s">
        <v>130</v>
      </c>
      <c r="D2678">
        <v>1972</v>
      </c>
      <c r="E2678" t="s">
        <v>15</v>
      </c>
      <c r="F2678" t="s">
        <v>16</v>
      </c>
      <c r="G2678" t="s">
        <v>17</v>
      </c>
      <c r="H2678" t="s">
        <v>18</v>
      </c>
      <c r="I2678">
        <v>42.613999999999997</v>
      </c>
      <c r="J2678" t="s">
        <v>19</v>
      </c>
      <c r="K2678" t="s">
        <v>3677</v>
      </c>
      <c r="L2678" t="s">
        <v>21</v>
      </c>
      <c r="M2678" t="str">
        <f t="shared" si="123"/>
        <v>OK</v>
      </c>
      <c r="N2678" t="str">
        <f t="shared" si="124"/>
        <v>1970s</v>
      </c>
      <c r="O2678" t="str">
        <f t="shared" si="125"/>
        <v>Low</v>
      </c>
      <c r="P2678" t="str">
        <f>VLOOKUP(E2678,calculated_fields!$F$4:$G$6,2,FALSE)</f>
        <v>Health</v>
      </c>
    </row>
    <row r="2679" spans="1:16">
      <c r="A2679" t="s">
        <v>3678</v>
      </c>
      <c r="B2679" t="s">
        <v>3660</v>
      </c>
      <c r="C2679" t="s">
        <v>130</v>
      </c>
      <c r="D2679">
        <v>1972</v>
      </c>
      <c r="E2679" t="s">
        <v>23</v>
      </c>
      <c r="F2679" t="s">
        <v>24</v>
      </c>
      <c r="G2679" t="s">
        <v>25</v>
      </c>
      <c r="H2679" t="s">
        <v>26</v>
      </c>
      <c r="I2679">
        <v>1482628</v>
      </c>
      <c r="J2679" t="s">
        <v>27</v>
      </c>
      <c r="K2679" t="s">
        <v>3677</v>
      </c>
      <c r="L2679" t="s">
        <v>21</v>
      </c>
      <c r="M2679" t="str">
        <f t="shared" si="123"/>
        <v>OK</v>
      </c>
      <c r="N2679" t="str">
        <f t="shared" si="124"/>
        <v>1970s</v>
      </c>
      <c r="O2679" t="str">
        <f t="shared" si="125"/>
        <v>N/A</v>
      </c>
      <c r="P2679" t="str">
        <f>VLOOKUP(E2679,calculated_fields!$F$4:$G$6,2,FALSE)</f>
        <v>Demographics</v>
      </c>
    </row>
    <row r="2680" spans="1:16">
      <c r="A2680" t="s">
        <v>3679</v>
      </c>
      <c r="B2680" t="s">
        <v>3660</v>
      </c>
      <c r="C2680" t="s">
        <v>130</v>
      </c>
      <c r="D2680">
        <v>1972</v>
      </c>
      <c r="E2680" t="s">
        <v>29</v>
      </c>
      <c r="F2680" t="s">
        <v>30</v>
      </c>
      <c r="G2680" t="s">
        <v>31</v>
      </c>
      <c r="H2680" t="s">
        <v>32</v>
      </c>
      <c r="I2680">
        <v>803.00545350000004</v>
      </c>
      <c r="J2680" t="s">
        <v>33</v>
      </c>
      <c r="K2680" t="s">
        <v>3677</v>
      </c>
      <c r="L2680" t="s">
        <v>21</v>
      </c>
      <c r="M2680" t="str">
        <f t="shared" si="123"/>
        <v>OK</v>
      </c>
      <c r="N2680" t="str">
        <f t="shared" si="124"/>
        <v>1970s</v>
      </c>
      <c r="O2680" t="str">
        <f t="shared" si="125"/>
        <v>N/A</v>
      </c>
      <c r="P2680" t="str">
        <f>VLOOKUP(E2680,calculated_fields!$F$4:$G$6,2,FALSE)</f>
        <v>Economy</v>
      </c>
    </row>
    <row r="2681" spans="1:16">
      <c r="A2681" t="s">
        <v>3680</v>
      </c>
      <c r="B2681" t="s">
        <v>3660</v>
      </c>
      <c r="C2681" t="s">
        <v>130</v>
      </c>
      <c r="D2681">
        <v>1977</v>
      </c>
      <c r="E2681" t="s">
        <v>15</v>
      </c>
      <c r="F2681" t="s">
        <v>16</v>
      </c>
      <c r="G2681" t="s">
        <v>17</v>
      </c>
      <c r="H2681" t="s">
        <v>18</v>
      </c>
      <c r="I2681">
        <v>43.764000000000003</v>
      </c>
      <c r="J2681" t="s">
        <v>19</v>
      </c>
      <c r="K2681" t="s">
        <v>3681</v>
      </c>
      <c r="L2681" t="s">
        <v>21</v>
      </c>
      <c r="M2681" t="str">
        <f t="shared" si="123"/>
        <v>OK</v>
      </c>
      <c r="N2681" t="str">
        <f t="shared" si="124"/>
        <v>1970s</v>
      </c>
      <c r="O2681" t="str">
        <f t="shared" si="125"/>
        <v>Low</v>
      </c>
      <c r="P2681" t="str">
        <f>VLOOKUP(E2681,calculated_fields!$F$4:$G$6,2,FALSE)</f>
        <v>Health</v>
      </c>
    </row>
    <row r="2682" spans="1:16">
      <c r="A2682" t="s">
        <v>3682</v>
      </c>
      <c r="B2682" t="s">
        <v>3660</v>
      </c>
      <c r="C2682" t="s">
        <v>130</v>
      </c>
      <c r="D2682">
        <v>1977</v>
      </c>
      <c r="E2682" t="s">
        <v>23</v>
      </c>
      <c r="F2682" t="s">
        <v>24</v>
      </c>
      <c r="G2682" t="s">
        <v>25</v>
      </c>
      <c r="H2682" t="s">
        <v>26</v>
      </c>
      <c r="I2682">
        <v>1703617</v>
      </c>
      <c r="J2682" t="s">
        <v>27</v>
      </c>
      <c r="K2682" t="s">
        <v>3681</v>
      </c>
      <c r="L2682" t="s">
        <v>21</v>
      </c>
      <c r="M2682" t="str">
        <f t="shared" si="123"/>
        <v>OK</v>
      </c>
      <c r="N2682" t="str">
        <f t="shared" si="124"/>
        <v>1970s</v>
      </c>
      <c r="O2682" t="str">
        <f t="shared" si="125"/>
        <v>N/A</v>
      </c>
      <c r="P2682" t="str">
        <f>VLOOKUP(E2682,calculated_fields!$F$4:$G$6,2,FALSE)</f>
        <v>Demographics</v>
      </c>
    </row>
    <row r="2683" spans="1:16">
      <c r="A2683" t="s">
        <v>3683</v>
      </c>
      <c r="B2683" t="s">
        <v>3660</v>
      </c>
      <c r="C2683" t="s">
        <v>130</v>
      </c>
      <c r="D2683">
        <v>1977</v>
      </c>
      <c r="E2683" t="s">
        <v>29</v>
      </c>
      <c r="F2683" t="s">
        <v>30</v>
      </c>
      <c r="G2683" t="s">
        <v>31</v>
      </c>
      <c r="H2683" t="s">
        <v>32</v>
      </c>
      <c r="I2683">
        <v>640.32243829999902</v>
      </c>
      <c r="J2683" t="s">
        <v>33</v>
      </c>
      <c r="K2683" t="s">
        <v>3681</v>
      </c>
      <c r="L2683" t="s">
        <v>21</v>
      </c>
      <c r="M2683" t="str">
        <f t="shared" si="123"/>
        <v>OK</v>
      </c>
      <c r="N2683" t="str">
        <f t="shared" si="124"/>
        <v>1970s</v>
      </c>
      <c r="O2683" t="str">
        <f t="shared" si="125"/>
        <v>N/A</v>
      </c>
      <c r="P2683" t="str">
        <f>VLOOKUP(E2683,calculated_fields!$F$4:$G$6,2,FALSE)</f>
        <v>Economy</v>
      </c>
    </row>
    <row r="2684" spans="1:16">
      <c r="A2684" t="s">
        <v>3684</v>
      </c>
      <c r="B2684" t="s">
        <v>3660</v>
      </c>
      <c r="C2684" t="s">
        <v>130</v>
      </c>
      <c r="D2684">
        <v>1982</v>
      </c>
      <c r="E2684" t="s">
        <v>15</v>
      </c>
      <c r="F2684" t="s">
        <v>16</v>
      </c>
      <c r="G2684" t="s">
        <v>17</v>
      </c>
      <c r="H2684" t="s">
        <v>18</v>
      </c>
      <c r="I2684">
        <v>44.851999999999997</v>
      </c>
      <c r="J2684" t="s">
        <v>19</v>
      </c>
      <c r="K2684" t="s">
        <v>3685</v>
      </c>
      <c r="L2684" t="s">
        <v>21</v>
      </c>
      <c r="M2684" t="str">
        <f t="shared" si="123"/>
        <v>OK</v>
      </c>
      <c r="N2684" t="str">
        <f t="shared" si="124"/>
        <v>1980s</v>
      </c>
      <c r="O2684" t="str">
        <f t="shared" si="125"/>
        <v>Low</v>
      </c>
      <c r="P2684" t="str">
        <f>VLOOKUP(E2684,calculated_fields!$F$4:$G$6,2,FALSE)</f>
        <v>Health</v>
      </c>
    </row>
    <row r="2685" spans="1:16">
      <c r="A2685" t="s">
        <v>3686</v>
      </c>
      <c r="B2685" t="s">
        <v>3660</v>
      </c>
      <c r="C2685" t="s">
        <v>130</v>
      </c>
      <c r="D2685">
        <v>1982</v>
      </c>
      <c r="E2685" t="s">
        <v>23</v>
      </c>
      <c r="F2685" t="s">
        <v>24</v>
      </c>
      <c r="G2685" t="s">
        <v>25</v>
      </c>
      <c r="H2685" t="s">
        <v>26</v>
      </c>
      <c r="I2685">
        <v>1956875</v>
      </c>
      <c r="J2685" t="s">
        <v>27</v>
      </c>
      <c r="K2685" t="s">
        <v>3685</v>
      </c>
      <c r="L2685" t="s">
        <v>21</v>
      </c>
      <c r="M2685" t="str">
        <f t="shared" si="123"/>
        <v>OK</v>
      </c>
      <c r="N2685" t="str">
        <f t="shared" si="124"/>
        <v>1980s</v>
      </c>
      <c r="O2685" t="str">
        <f t="shared" si="125"/>
        <v>N/A</v>
      </c>
      <c r="P2685" t="str">
        <f>VLOOKUP(E2685,calculated_fields!$F$4:$G$6,2,FALSE)</f>
        <v>Demographics</v>
      </c>
    </row>
    <row r="2686" spans="1:16">
      <c r="A2686" t="s">
        <v>3687</v>
      </c>
      <c r="B2686" t="s">
        <v>3660</v>
      </c>
      <c r="C2686" t="s">
        <v>130</v>
      </c>
      <c r="D2686">
        <v>1982</v>
      </c>
      <c r="E2686" t="s">
        <v>29</v>
      </c>
      <c r="F2686" t="s">
        <v>30</v>
      </c>
      <c r="G2686" t="s">
        <v>31</v>
      </c>
      <c r="H2686" t="s">
        <v>32</v>
      </c>
      <c r="I2686">
        <v>572.19956939999997</v>
      </c>
      <c r="J2686" t="s">
        <v>33</v>
      </c>
      <c r="K2686" t="s">
        <v>3685</v>
      </c>
      <c r="L2686" t="s">
        <v>21</v>
      </c>
      <c r="M2686" t="str">
        <f t="shared" si="123"/>
        <v>OK</v>
      </c>
      <c r="N2686" t="str">
        <f t="shared" si="124"/>
        <v>1980s</v>
      </c>
      <c r="O2686" t="str">
        <f t="shared" si="125"/>
        <v>N/A</v>
      </c>
      <c r="P2686" t="str">
        <f>VLOOKUP(E2686,calculated_fields!$F$4:$G$6,2,FALSE)</f>
        <v>Economy</v>
      </c>
    </row>
    <row r="2687" spans="1:16">
      <c r="A2687" t="s">
        <v>3688</v>
      </c>
      <c r="B2687" t="s">
        <v>3660</v>
      </c>
      <c r="C2687" t="s">
        <v>130</v>
      </c>
      <c r="D2687">
        <v>1987</v>
      </c>
      <c r="E2687" t="s">
        <v>15</v>
      </c>
      <c r="F2687" t="s">
        <v>16</v>
      </c>
      <c r="G2687" t="s">
        <v>17</v>
      </c>
      <c r="H2687" t="s">
        <v>18</v>
      </c>
      <c r="I2687">
        <v>46.027000000000001</v>
      </c>
      <c r="J2687" t="s">
        <v>19</v>
      </c>
      <c r="K2687" t="s">
        <v>3689</v>
      </c>
      <c r="L2687" t="s">
        <v>21</v>
      </c>
      <c r="M2687" t="str">
        <f t="shared" si="123"/>
        <v>OK</v>
      </c>
      <c r="N2687" t="str">
        <f t="shared" si="124"/>
        <v>1980s</v>
      </c>
      <c r="O2687" t="str">
        <f t="shared" si="125"/>
        <v>Low</v>
      </c>
      <c r="P2687" t="str">
        <f>VLOOKUP(E2687,calculated_fields!$F$4:$G$6,2,FALSE)</f>
        <v>Health</v>
      </c>
    </row>
    <row r="2688" spans="1:16">
      <c r="A2688" t="s">
        <v>3690</v>
      </c>
      <c r="B2688" t="s">
        <v>3660</v>
      </c>
      <c r="C2688" t="s">
        <v>130</v>
      </c>
      <c r="D2688">
        <v>1987</v>
      </c>
      <c r="E2688" t="s">
        <v>23</v>
      </c>
      <c r="F2688" t="s">
        <v>24</v>
      </c>
      <c r="G2688" t="s">
        <v>25</v>
      </c>
      <c r="H2688" t="s">
        <v>26</v>
      </c>
      <c r="I2688">
        <v>2269414</v>
      </c>
      <c r="J2688" t="s">
        <v>27</v>
      </c>
      <c r="K2688" t="s">
        <v>3689</v>
      </c>
      <c r="L2688" t="s">
        <v>21</v>
      </c>
      <c r="M2688" t="str">
        <f t="shared" si="123"/>
        <v>OK</v>
      </c>
      <c r="N2688" t="str">
        <f t="shared" si="124"/>
        <v>1980s</v>
      </c>
      <c r="O2688" t="str">
        <f t="shared" si="125"/>
        <v>N/A</v>
      </c>
      <c r="P2688" t="str">
        <f>VLOOKUP(E2688,calculated_fields!$F$4:$G$6,2,FALSE)</f>
        <v>Demographics</v>
      </c>
    </row>
    <row r="2689" spans="1:16">
      <c r="A2689" t="s">
        <v>3691</v>
      </c>
      <c r="B2689" t="s">
        <v>3660</v>
      </c>
      <c r="C2689" t="s">
        <v>130</v>
      </c>
      <c r="D2689">
        <v>1987</v>
      </c>
      <c r="E2689" t="s">
        <v>29</v>
      </c>
      <c r="F2689" t="s">
        <v>30</v>
      </c>
      <c r="G2689" t="s">
        <v>31</v>
      </c>
      <c r="H2689" t="s">
        <v>32</v>
      </c>
      <c r="I2689">
        <v>506.11385730000001</v>
      </c>
      <c r="J2689" t="s">
        <v>33</v>
      </c>
      <c r="K2689" t="s">
        <v>3689</v>
      </c>
      <c r="L2689" t="s">
        <v>21</v>
      </c>
      <c r="M2689" t="str">
        <f t="shared" si="123"/>
        <v>OK</v>
      </c>
      <c r="N2689" t="str">
        <f t="shared" si="124"/>
        <v>1980s</v>
      </c>
      <c r="O2689" t="str">
        <f t="shared" si="125"/>
        <v>N/A</v>
      </c>
      <c r="P2689" t="str">
        <f>VLOOKUP(E2689,calculated_fields!$F$4:$G$6,2,FALSE)</f>
        <v>Economy</v>
      </c>
    </row>
    <row r="2690" spans="1:16">
      <c r="A2690" t="s">
        <v>3692</v>
      </c>
      <c r="B2690" t="s">
        <v>3660</v>
      </c>
      <c r="C2690" t="s">
        <v>130</v>
      </c>
      <c r="D2690">
        <v>1992</v>
      </c>
      <c r="E2690" t="s">
        <v>15</v>
      </c>
      <c r="F2690" t="s">
        <v>16</v>
      </c>
      <c r="G2690" t="s">
        <v>17</v>
      </c>
      <c r="H2690" t="s">
        <v>18</v>
      </c>
      <c r="I2690">
        <v>40.802</v>
      </c>
      <c r="J2690" t="s">
        <v>19</v>
      </c>
      <c r="K2690" t="s">
        <v>3693</v>
      </c>
      <c r="L2690" t="s">
        <v>21</v>
      </c>
      <c r="M2690" t="str">
        <f t="shared" ref="M2690:M2753" si="126">IF(AND(ISNUMBER(I2690),I2690&gt;=0),"OK","Review")</f>
        <v>OK</v>
      </c>
      <c r="N2690" t="str">
        <f t="shared" ref="N2690:N2753" si="127">FLOOR(D2690,10)&amp;"s"</f>
        <v>1990s</v>
      </c>
      <c r="O2690" t="str">
        <f t="shared" ref="O2690:O2753" si="128">IF(E2690="LIFE_EXP",IF(I2690&gt;=70,"High",IF(I2690&gt;=55,"Medium","Low")),"N/A")</f>
        <v>Low</v>
      </c>
      <c r="P2690" t="str">
        <f>VLOOKUP(E2690,calculated_fields!$F$4:$G$6,2,FALSE)</f>
        <v>Health</v>
      </c>
    </row>
    <row r="2691" spans="1:16">
      <c r="A2691" t="s">
        <v>3694</v>
      </c>
      <c r="B2691" t="s">
        <v>3660</v>
      </c>
      <c r="C2691" t="s">
        <v>130</v>
      </c>
      <c r="D2691">
        <v>1992</v>
      </c>
      <c r="E2691" t="s">
        <v>23</v>
      </c>
      <c r="F2691" t="s">
        <v>24</v>
      </c>
      <c r="G2691" t="s">
        <v>25</v>
      </c>
      <c r="H2691" t="s">
        <v>26</v>
      </c>
      <c r="I2691">
        <v>1912974</v>
      </c>
      <c r="J2691" t="s">
        <v>27</v>
      </c>
      <c r="K2691" t="s">
        <v>3693</v>
      </c>
      <c r="L2691" t="s">
        <v>21</v>
      </c>
      <c r="M2691" t="str">
        <f t="shared" si="126"/>
        <v>OK</v>
      </c>
      <c r="N2691" t="str">
        <f t="shared" si="127"/>
        <v>1990s</v>
      </c>
      <c r="O2691" t="str">
        <f t="shared" si="128"/>
        <v>N/A</v>
      </c>
      <c r="P2691" t="str">
        <f>VLOOKUP(E2691,calculated_fields!$F$4:$G$6,2,FALSE)</f>
        <v>Demographics</v>
      </c>
    </row>
    <row r="2692" spans="1:16">
      <c r="A2692" t="s">
        <v>3695</v>
      </c>
      <c r="B2692" t="s">
        <v>3660</v>
      </c>
      <c r="C2692" t="s">
        <v>130</v>
      </c>
      <c r="D2692">
        <v>1992</v>
      </c>
      <c r="E2692" t="s">
        <v>29</v>
      </c>
      <c r="F2692" t="s">
        <v>30</v>
      </c>
      <c r="G2692" t="s">
        <v>31</v>
      </c>
      <c r="H2692" t="s">
        <v>32</v>
      </c>
      <c r="I2692">
        <v>636.62291909999999</v>
      </c>
      <c r="J2692" t="s">
        <v>33</v>
      </c>
      <c r="K2692" t="s">
        <v>3693</v>
      </c>
      <c r="L2692" t="s">
        <v>21</v>
      </c>
      <c r="M2692" t="str">
        <f t="shared" si="126"/>
        <v>OK</v>
      </c>
      <c r="N2692" t="str">
        <f t="shared" si="127"/>
        <v>1990s</v>
      </c>
      <c r="O2692" t="str">
        <f t="shared" si="128"/>
        <v>N/A</v>
      </c>
      <c r="P2692" t="str">
        <f>VLOOKUP(E2692,calculated_fields!$F$4:$G$6,2,FALSE)</f>
        <v>Economy</v>
      </c>
    </row>
    <row r="2693" spans="1:16">
      <c r="A2693" t="s">
        <v>3696</v>
      </c>
      <c r="B2693" t="s">
        <v>3660</v>
      </c>
      <c r="C2693" t="s">
        <v>130</v>
      </c>
      <c r="D2693">
        <v>1997</v>
      </c>
      <c r="E2693" t="s">
        <v>15</v>
      </c>
      <c r="F2693" t="s">
        <v>16</v>
      </c>
      <c r="G2693" t="s">
        <v>17</v>
      </c>
      <c r="H2693" t="s">
        <v>18</v>
      </c>
      <c r="I2693">
        <v>42.220999999999997</v>
      </c>
      <c r="J2693" t="s">
        <v>19</v>
      </c>
      <c r="K2693" t="s">
        <v>3697</v>
      </c>
      <c r="L2693" t="s">
        <v>21</v>
      </c>
      <c r="M2693" t="str">
        <f t="shared" si="126"/>
        <v>OK</v>
      </c>
      <c r="N2693" t="str">
        <f t="shared" si="127"/>
        <v>1990s</v>
      </c>
      <c r="O2693" t="str">
        <f t="shared" si="128"/>
        <v>Low</v>
      </c>
      <c r="P2693" t="str">
        <f>VLOOKUP(E2693,calculated_fields!$F$4:$G$6,2,FALSE)</f>
        <v>Health</v>
      </c>
    </row>
    <row r="2694" spans="1:16">
      <c r="A2694" t="s">
        <v>3698</v>
      </c>
      <c r="B2694" t="s">
        <v>3660</v>
      </c>
      <c r="C2694" t="s">
        <v>130</v>
      </c>
      <c r="D2694">
        <v>1997</v>
      </c>
      <c r="E2694" t="s">
        <v>23</v>
      </c>
      <c r="F2694" t="s">
        <v>24</v>
      </c>
      <c r="G2694" t="s">
        <v>25</v>
      </c>
      <c r="H2694" t="s">
        <v>26</v>
      </c>
      <c r="I2694">
        <v>2200725</v>
      </c>
      <c r="J2694" t="s">
        <v>27</v>
      </c>
      <c r="K2694" t="s">
        <v>3697</v>
      </c>
      <c r="L2694" t="s">
        <v>21</v>
      </c>
      <c r="M2694" t="str">
        <f t="shared" si="126"/>
        <v>OK</v>
      </c>
      <c r="N2694" t="str">
        <f t="shared" si="127"/>
        <v>1990s</v>
      </c>
      <c r="O2694" t="str">
        <f t="shared" si="128"/>
        <v>N/A</v>
      </c>
      <c r="P2694" t="str">
        <f>VLOOKUP(E2694,calculated_fields!$F$4:$G$6,2,FALSE)</f>
        <v>Demographics</v>
      </c>
    </row>
    <row r="2695" spans="1:16">
      <c r="A2695" t="s">
        <v>3699</v>
      </c>
      <c r="B2695" t="s">
        <v>3660</v>
      </c>
      <c r="C2695" t="s">
        <v>130</v>
      </c>
      <c r="D2695">
        <v>1997</v>
      </c>
      <c r="E2695" t="s">
        <v>29</v>
      </c>
      <c r="F2695" t="s">
        <v>30</v>
      </c>
      <c r="G2695" t="s">
        <v>31</v>
      </c>
      <c r="H2695" t="s">
        <v>32</v>
      </c>
      <c r="I2695">
        <v>609.17395079999994</v>
      </c>
      <c r="J2695" t="s">
        <v>33</v>
      </c>
      <c r="K2695" t="s">
        <v>3697</v>
      </c>
      <c r="L2695" t="s">
        <v>21</v>
      </c>
      <c r="M2695" t="str">
        <f t="shared" si="126"/>
        <v>OK</v>
      </c>
      <c r="N2695" t="str">
        <f t="shared" si="127"/>
        <v>1990s</v>
      </c>
      <c r="O2695" t="str">
        <f t="shared" si="128"/>
        <v>N/A</v>
      </c>
      <c r="P2695" t="str">
        <f>VLOOKUP(E2695,calculated_fields!$F$4:$G$6,2,FALSE)</f>
        <v>Economy</v>
      </c>
    </row>
    <row r="2696" spans="1:16">
      <c r="A2696" t="s">
        <v>3700</v>
      </c>
      <c r="B2696" t="s">
        <v>3660</v>
      </c>
      <c r="C2696" t="s">
        <v>130</v>
      </c>
      <c r="D2696">
        <v>2002</v>
      </c>
      <c r="E2696" t="s">
        <v>15</v>
      </c>
      <c r="F2696" t="s">
        <v>16</v>
      </c>
      <c r="G2696" t="s">
        <v>17</v>
      </c>
      <c r="H2696" t="s">
        <v>18</v>
      </c>
      <c r="I2696">
        <v>43.753</v>
      </c>
      <c r="J2696" t="s">
        <v>19</v>
      </c>
      <c r="K2696" t="s">
        <v>3701</v>
      </c>
      <c r="L2696" t="s">
        <v>21</v>
      </c>
      <c r="M2696" t="str">
        <f t="shared" si="126"/>
        <v>OK</v>
      </c>
      <c r="N2696" t="str">
        <f t="shared" si="127"/>
        <v>2000s</v>
      </c>
      <c r="O2696" t="str">
        <f t="shared" si="128"/>
        <v>Low</v>
      </c>
      <c r="P2696" t="str">
        <f>VLOOKUP(E2696,calculated_fields!$F$4:$G$6,2,FALSE)</f>
        <v>Health</v>
      </c>
    </row>
    <row r="2697" spans="1:16">
      <c r="A2697" t="s">
        <v>3702</v>
      </c>
      <c r="B2697" t="s">
        <v>3660</v>
      </c>
      <c r="C2697" t="s">
        <v>130</v>
      </c>
      <c r="D2697">
        <v>2002</v>
      </c>
      <c r="E2697" t="s">
        <v>23</v>
      </c>
      <c r="F2697" t="s">
        <v>24</v>
      </c>
      <c r="G2697" t="s">
        <v>25</v>
      </c>
      <c r="H2697" t="s">
        <v>26</v>
      </c>
      <c r="I2697">
        <v>2814651</v>
      </c>
      <c r="J2697" t="s">
        <v>27</v>
      </c>
      <c r="K2697" t="s">
        <v>3701</v>
      </c>
      <c r="L2697" t="s">
        <v>21</v>
      </c>
      <c r="M2697" t="str">
        <f t="shared" si="126"/>
        <v>OK</v>
      </c>
      <c r="N2697" t="str">
        <f t="shared" si="127"/>
        <v>2000s</v>
      </c>
      <c r="O2697" t="str">
        <f t="shared" si="128"/>
        <v>N/A</v>
      </c>
      <c r="P2697" t="str">
        <f>VLOOKUP(E2697,calculated_fields!$F$4:$G$6,2,FALSE)</f>
        <v>Demographics</v>
      </c>
    </row>
    <row r="2698" spans="1:16">
      <c r="A2698" t="s">
        <v>3703</v>
      </c>
      <c r="B2698" t="s">
        <v>3660</v>
      </c>
      <c r="C2698" t="s">
        <v>130</v>
      </c>
      <c r="D2698">
        <v>2002</v>
      </c>
      <c r="E2698" t="s">
        <v>29</v>
      </c>
      <c r="F2698" t="s">
        <v>30</v>
      </c>
      <c r="G2698" t="s">
        <v>31</v>
      </c>
      <c r="H2698" t="s">
        <v>32</v>
      </c>
      <c r="I2698">
        <v>531.48236789999999</v>
      </c>
      <c r="J2698" t="s">
        <v>33</v>
      </c>
      <c r="K2698" t="s">
        <v>3701</v>
      </c>
      <c r="L2698" t="s">
        <v>21</v>
      </c>
      <c r="M2698" t="str">
        <f t="shared" si="126"/>
        <v>OK</v>
      </c>
      <c r="N2698" t="str">
        <f t="shared" si="127"/>
        <v>2000s</v>
      </c>
      <c r="O2698" t="str">
        <f t="shared" si="128"/>
        <v>N/A</v>
      </c>
      <c r="P2698" t="str">
        <f>VLOOKUP(E2698,calculated_fields!$F$4:$G$6,2,FALSE)</f>
        <v>Economy</v>
      </c>
    </row>
    <row r="2699" spans="1:16">
      <c r="A2699" t="s">
        <v>3704</v>
      </c>
      <c r="B2699" t="s">
        <v>3660</v>
      </c>
      <c r="C2699" t="s">
        <v>130</v>
      </c>
      <c r="D2699">
        <v>2007</v>
      </c>
      <c r="E2699" t="s">
        <v>15</v>
      </c>
      <c r="F2699" t="s">
        <v>16</v>
      </c>
      <c r="G2699" t="s">
        <v>17</v>
      </c>
      <c r="H2699" t="s">
        <v>18</v>
      </c>
      <c r="I2699">
        <v>45.677999999999997</v>
      </c>
      <c r="J2699" t="s">
        <v>19</v>
      </c>
      <c r="K2699" t="s">
        <v>3705</v>
      </c>
      <c r="L2699" t="s">
        <v>21</v>
      </c>
      <c r="M2699" t="str">
        <f t="shared" si="126"/>
        <v>OK</v>
      </c>
      <c r="N2699" t="str">
        <f t="shared" si="127"/>
        <v>2000s</v>
      </c>
      <c r="O2699" t="str">
        <f t="shared" si="128"/>
        <v>Low</v>
      </c>
      <c r="P2699" t="str">
        <f>VLOOKUP(E2699,calculated_fields!$F$4:$G$6,2,FALSE)</f>
        <v>Health</v>
      </c>
    </row>
    <row r="2700" spans="1:16">
      <c r="A2700" t="s">
        <v>3706</v>
      </c>
      <c r="B2700" t="s">
        <v>3660</v>
      </c>
      <c r="C2700" t="s">
        <v>130</v>
      </c>
      <c r="D2700">
        <v>2007</v>
      </c>
      <c r="E2700" t="s">
        <v>23</v>
      </c>
      <c r="F2700" t="s">
        <v>24</v>
      </c>
      <c r="G2700" t="s">
        <v>25</v>
      </c>
      <c r="H2700" t="s">
        <v>26</v>
      </c>
      <c r="I2700">
        <v>3193942</v>
      </c>
      <c r="J2700" t="s">
        <v>27</v>
      </c>
      <c r="K2700" t="s">
        <v>3705</v>
      </c>
      <c r="L2700" t="s">
        <v>21</v>
      </c>
      <c r="M2700" t="str">
        <f t="shared" si="126"/>
        <v>OK</v>
      </c>
      <c r="N2700" t="str">
        <f t="shared" si="127"/>
        <v>2000s</v>
      </c>
      <c r="O2700" t="str">
        <f t="shared" si="128"/>
        <v>N/A</v>
      </c>
      <c r="P2700" t="str">
        <f>VLOOKUP(E2700,calculated_fields!$F$4:$G$6,2,FALSE)</f>
        <v>Demographics</v>
      </c>
    </row>
    <row r="2701" spans="1:16">
      <c r="A2701" t="s">
        <v>3707</v>
      </c>
      <c r="B2701" t="s">
        <v>3660</v>
      </c>
      <c r="C2701" t="s">
        <v>130</v>
      </c>
      <c r="D2701">
        <v>2007</v>
      </c>
      <c r="E2701" t="s">
        <v>29</v>
      </c>
      <c r="F2701" t="s">
        <v>30</v>
      </c>
      <c r="G2701" t="s">
        <v>31</v>
      </c>
      <c r="H2701" t="s">
        <v>32</v>
      </c>
      <c r="I2701">
        <v>414.5073415</v>
      </c>
      <c r="J2701" t="s">
        <v>33</v>
      </c>
      <c r="K2701" t="s">
        <v>3705</v>
      </c>
      <c r="L2701" t="s">
        <v>21</v>
      </c>
      <c r="M2701" t="str">
        <f t="shared" si="126"/>
        <v>OK</v>
      </c>
      <c r="N2701" t="str">
        <f t="shared" si="127"/>
        <v>2000s</v>
      </c>
      <c r="O2701" t="str">
        <f t="shared" si="128"/>
        <v>N/A</v>
      </c>
      <c r="P2701" t="str">
        <f>VLOOKUP(E2701,calculated_fields!$F$4:$G$6,2,FALSE)</f>
        <v>Economy</v>
      </c>
    </row>
    <row r="2702" spans="1:16">
      <c r="A2702" t="s">
        <v>3708</v>
      </c>
      <c r="B2702" t="s">
        <v>3709</v>
      </c>
      <c r="C2702" t="s">
        <v>130</v>
      </c>
      <c r="D2702">
        <v>1952</v>
      </c>
      <c r="E2702" t="s">
        <v>15</v>
      </c>
      <c r="F2702" t="s">
        <v>16</v>
      </c>
      <c r="G2702" t="s">
        <v>17</v>
      </c>
      <c r="H2702" t="s">
        <v>18</v>
      </c>
      <c r="I2702">
        <v>42.722999999999999</v>
      </c>
      <c r="J2702" t="s">
        <v>19</v>
      </c>
      <c r="K2702" t="s">
        <v>3710</v>
      </c>
      <c r="L2702" t="s">
        <v>21</v>
      </c>
      <c r="M2702" t="str">
        <f t="shared" si="126"/>
        <v>OK</v>
      </c>
      <c r="N2702" t="str">
        <f t="shared" si="127"/>
        <v>1950s</v>
      </c>
      <c r="O2702" t="str">
        <f t="shared" si="128"/>
        <v>Low</v>
      </c>
      <c r="P2702" t="str">
        <f>VLOOKUP(E2702,calculated_fields!$F$4:$G$6,2,FALSE)</f>
        <v>Health</v>
      </c>
    </row>
    <row r="2703" spans="1:16">
      <c r="A2703" t="s">
        <v>3711</v>
      </c>
      <c r="B2703" t="s">
        <v>3709</v>
      </c>
      <c r="C2703" t="s">
        <v>130</v>
      </c>
      <c r="D2703">
        <v>1952</v>
      </c>
      <c r="E2703" t="s">
        <v>23</v>
      </c>
      <c r="F2703" t="s">
        <v>24</v>
      </c>
      <c r="G2703" t="s">
        <v>25</v>
      </c>
      <c r="H2703" t="s">
        <v>26</v>
      </c>
      <c r="I2703">
        <v>1019729</v>
      </c>
      <c r="J2703" t="s">
        <v>27</v>
      </c>
      <c r="K2703" t="s">
        <v>3710</v>
      </c>
      <c r="L2703" t="s">
        <v>21</v>
      </c>
      <c r="M2703" t="str">
        <f t="shared" si="126"/>
        <v>OK</v>
      </c>
      <c r="N2703" t="str">
        <f t="shared" si="127"/>
        <v>1950s</v>
      </c>
      <c r="O2703" t="str">
        <f t="shared" si="128"/>
        <v>N/A</v>
      </c>
      <c r="P2703" t="str">
        <f>VLOOKUP(E2703,calculated_fields!$F$4:$G$6,2,FALSE)</f>
        <v>Demographics</v>
      </c>
    </row>
    <row r="2704" spans="1:16">
      <c r="A2704" t="s">
        <v>3712</v>
      </c>
      <c r="B2704" t="s">
        <v>3709</v>
      </c>
      <c r="C2704" t="s">
        <v>130</v>
      </c>
      <c r="D2704">
        <v>1952</v>
      </c>
      <c r="E2704" t="s">
        <v>29</v>
      </c>
      <c r="F2704" t="s">
        <v>30</v>
      </c>
      <c r="G2704" t="s">
        <v>31</v>
      </c>
      <c r="H2704" t="s">
        <v>32</v>
      </c>
      <c r="I2704">
        <v>2387.5480600000001</v>
      </c>
      <c r="J2704" t="s">
        <v>33</v>
      </c>
      <c r="K2704" t="s">
        <v>3710</v>
      </c>
      <c r="L2704" t="s">
        <v>21</v>
      </c>
      <c r="M2704" t="str">
        <f t="shared" si="126"/>
        <v>OK</v>
      </c>
      <c r="N2704" t="str">
        <f t="shared" si="127"/>
        <v>1950s</v>
      </c>
      <c r="O2704" t="str">
        <f t="shared" si="128"/>
        <v>N/A</v>
      </c>
      <c r="P2704" t="str">
        <f>VLOOKUP(E2704,calculated_fields!$F$4:$G$6,2,FALSE)</f>
        <v>Economy</v>
      </c>
    </row>
    <row r="2705" spans="1:16">
      <c r="A2705" t="s">
        <v>3713</v>
      </c>
      <c r="B2705" t="s">
        <v>3709</v>
      </c>
      <c r="C2705" t="s">
        <v>130</v>
      </c>
      <c r="D2705">
        <v>1957</v>
      </c>
      <c r="E2705" t="s">
        <v>15</v>
      </c>
      <c r="F2705" t="s">
        <v>16</v>
      </c>
      <c r="G2705" t="s">
        <v>17</v>
      </c>
      <c r="H2705" t="s">
        <v>18</v>
      </c>
      <c r="I2705">
        <v>45.289000000000001</v>
      </c>
      <c r="J2705" t="s">
        <v>19</v>
      </c>
      <c r="K2705" t="s">
        <v>3714</v>
      </c>
      <c r="L2705" t="s">
        <v>21</v>
      </c>
      <c r="M2705" t="str">
        <f t="shared" si="126"/>
        <v>OK</v>
      </c>
      <c r="N2705" t="str">
        <f t="shared" si="127"/>
        <v>1950s</v>
      </c>
      <c r="O2705" t="str">
        <f t="shared" si="128"/>
        <v>Low</v>
      </c>
      <c r="P2705" t="str">
        <f>VLOOKUP(E2705,calculated_fields!$F$4:$G$6,2,FALSE)</f>
        <v>Health</v>
      </c>
    </row>
    <row r="2706" spans="1:16">
      <c r="A2706" t="s">
        <v>3715</v>
      </c>
      <c r="B2706" t="s">
        <v>3709</v>
      </c>
      <c r="C2706" t="s">
        <v>130</v>
      </c>
      <c r="D2706">
        <v>1957</v>
      </c>
      <c r="E2706" t="s">
        <v>23</v>
      </c>
      <c r="F2706" t="s">
        <v>24</v>
      </c>
      <c r="G2706" t="s">
        <v>25</v>
      </c>
      <c r="H2706" t="s">
        <v>26</v>
      </c>
      <c r="I2706">
        <v>1201578</v>
      </c>
      <c r="J2706" t="s">
        <v>27</v>
      </c>
      <c r="K2706" t="s">
        <v>3714</v>
      </c>
      <c r="L2706" t="s">
        <v>21</v>
      </c>
      <c r="M2706" t="str">
        <f t="shared" si="126"/>
        <v>OK</v>
      </c>
      <c r="N2706" t="str">
        <f t="shared" si="127"/>
        <v>1950s</v>
      </c>
      <c r="O2706" t="str">
        <f t="shared" si="128"/>
        <v>N/A</v>
      </c>
      <c r="P2706" t="str">
        <f>VLOOKUP(E2706,calculated_fields!$F$4:$G$6,2,FALSE)</f>
        <v>Demographics</v>
      </c>
    </row>
    <row r="2707" spans="1:16">
      <c r="A2707" t="s">
        <v>3716</v>
      </c>
      <c r="B2707" t="s">
        <v>3709</v>
      </c>
      <c r="C2707" t="s">
        <v>130</v>
      </c>
      <c r="D2707">
        <v>1957</v>
      </c>
      <c r="E2707" t="s">
        <v>29</v>
      </c>
      <c r="F2707" t="s">
        <v>30</v>
      </c>
      <c r="G2707" t="s">
        <v>31</v>
      </c>
      <c r="H2707" t="s">
        <v>32</v>
      </c>
      <c r="I2707">
        <v>3448.2843950000001</v>
      </c>
      <c r="J2707" t="s">
        <v>33</v>
      </c>
      <c r="K2707" t="s">
        <v>3714</v>
      </c>
      <c r="L2707" t="s">
        <v>21</v>
      </c>
      <c r="M2707" t="str">
        <f t="shared" si="126"/>
        <v>OK</v>
      </c>
      <c r="N2707" t="str">
        <f t="shared" si="127"/>
        <v>1950s</v>
      </c>
      <c r="O2707" t="str">
        <f t="shared" si="128"/>
        <v>N/A</v>
      </c>
      <c r="P2707" t="str">
        <f>VLOOKUP(E2707,calculated_fields!$F$4:$G$6,2,FALSE)</f>
        <v>Economy</v>
      </c>
    </row>
    <row r="2708" spans="1:16">
      <c r="A2708" t="s">
        <v>3717</v>
      </c>
      <c r="B2708" t="s">
        <v>3709</v>
      </c>
      <c r="C2708" t="s">
        <v>130</v>
      </c>
      <c r="D2708">
        <v>1962</v>
      </c>
      <c r="E2708" t="s">
        <v>15</v>
      </c>
      <c r="F2708" t="s">
        <v>16</v>
      </c>
      <c r="G2708" t="s">
        <v>17</v>
      </c>
      <c r="H2708" t="s">
        <v>18</v>
      </c>
      <c r="I2708">
        <v>47.808</v>
      </c>
      <c r="J2708" t="s">
        <v>19</v>
      </c>
      <c r="K2708" t="s">
        <v>3718</v>
      </c>
      <c r="L2708" t="s">
        <v>21</v>
      </c>
      <c r="M2708" t="str">
        <f t="shared" si="126"/>
        <v>OK</v>
      </c>
      <c r="N2708" t="str">
        <f t="shared" si="127"/>
        <v>1960s</v>
      </c>
      <c r="O2708" t="str">
        <f t="shared" si="128"/>
        <v>Low</v>
      </c>
      <c r="P2708" t="str">
        <f>VLOOKUP(E2708,calculated_fields!$F$4:$G$6,2,FALSE)</f>
        <v>Health</v>
      </c>
    </row>
    <row r="2709" spans="1:16">
      <c r="A2709" t="s">
        <v>3719</v>
      </c>
      <c r="B2709" t="s">
        <v>3709</v>
      </c>
      <c r="C2709" t="s">
        <v>130</v>
      </c>
      <c r="D2709">
        <v>1962</v>
      </c>
      <c r="E2709" t="s">
        <v>23</v>
      </c>
      <c r="F2709" t="s">
        <v>24</v>
      </c>
      <c r="G2709" t="s">
        <v>25</v>
      </c>
      <c r="H2709" t="s">
        <v>26</v>
      </c>
      <c r="I2709">
        <v>1441863</v>
      </c>
      <c r="J2709" t="s">
        <v>27</v>
      </c>
      <c r="K2709" t="s">
        <v>3718</v>
      </c>
      <c r="L2709" t="s">
        <v>21</v>
      </c>
      <c r="M2709" t="str">
        <f t="shared" si="126"/>
        <v>OK</v>
      </c>
      <c r="N2709" t="str">
        <f t="shared" si="127"/>
        <v>1960s</v>
      </c>
      <c r="O2709" t="str">
        <f t="shared" si="128"/>
        <v>N/A</v>
      </c>
      <c r="P2709" t="str">
        <f>VLOOKUP(E2709,calculated_fields!$F$4:$G$6,2,FALSE)</f>
        <v>Demographics</v>
      </c>
    </row>
    <row r="2710" spans="1:16">
      <c r="A2710" t="s">
        <v>3720</v>
      </c>
      <c r="B2710" t="s">
        <v>3709</v>
      </c>
      <c r="C2710" t="s">
        <v>130</v>
      </c>
      <c r="D2710">
        <v>1962</v>
      </c>
      <c r="E2710" t="s">
        <v>29</v>
      </c>
      <c r="F2710" t="s">
        <v>30</v>
      </c>
      <c r="G2710" t="s">
        <v>31</v>
      </c>
      <c r="H2710" t="s">
        <v>32</v>
      </c>
      <c r="I2710">
        <v>6757.0308160000004</v>
      </c>
      <c r="J2710" t="s">
        <v>33</v>
      </c>
      <c r="K2710" t="s">
        <v>3718</v>
      </c>
      <c r="L2710" t="s">
        <v>21</v>
      </c>
      <c r="M2710" t="str">
        <f t="shared" si="126"/>
        <v>OK</v>
      </c>
      <c r="N2710" t="str">
        <f t="shared" si="127"/>
        <v>1960s</v>
      </c>
      <c r="O2710" t="str">
        <f t="shared" si="128"/>
        <v>N/A</v>
      </c>
      <c r="P2710" t="str">
        <f>VLOOKUP(E2710,calculated_fields!$F$4:$G$6,2,FALSE)</f>
        <v>Economy</v>
      </c>
    </row>
    <row r="2711" spans="1:16">
      <c r="A2711" t="s">
        <v>3721</v>
      </c>
      <c r="B2711" t="s">
        <v>3709</v>
      </c>
      <c r="C2711" t="s">
        <v>130</v>
      </c>
      <c r="D2711">
        <v>1967</v>
      </c>
      <c r="E2711" t="s">
        <v>15</v>
      </c>
      <c r="F2711" t="s">
        <v>16</v>
      </c>
      <c r="G2711" t="s">
        <v>17</v>
      </c>
      <c r="H2711" t="s">
        <v>18</v>
      </c>
      <c r="I2711">
        <v>50.226999999999997</v>
      </c>
      <c r="J2711" t="s">
        <v>19</v>
      </c>
      <c r="K2711" t="s">
        <v>3722</v>
      </c>
      <c r="L2711" t="s">
        <v>21</v>
      </c>
      <c r="M2711" t="str">
        <f t="shared" si="126"/>
        <v>OK</v>
      </c>
      <c r="N2711" t="str">
        <f t="shared" si="127"/>
        <v>1960s</v>
      </c>
      <c r="O2711" t="str">
        <f t="shared" si="128"/>
        <v>Low</v>
      </c>
      <c r="P2711" t="str">
        <f>VLOOKUP(E2711,calculated_fields!$F$4:$G$6,2,FALSE)</f>
        <v>Health</v>
      </c>
    </row>
    <row r="2712" spans="1:16">
      <c r="A2712" t="s">
        <v>3723</v>
      </c>
      <c r="B2712" t="s">
        <v>3709</v>
      </c>
      <c r="C2712" t="s">
        <v>130</v>
      </c>
      <c r="D2712">
        <v>1967</v>
      </c>
      <c r="E2712" t="s">
        <v>23</v>
      </c>
      <c r="F2712" t="s">
        <v>24</v>
      </c>
      <c r="G2712" t="s">
        <v>25</v>
      </c>
      <c r="H2712" t="s">
        <v>26</v>
      </c>
      <c r="I2712">
        <v>1759224</v>
      </c>
      <c r="J2712" t="s">
        <v>27</v>
      </c>
      <c r="K2712" t="s">
        <v>3722</v>
      </c>
      <c r="L2712" t="s">
        <v>21</v>
      </c>
      <c r="M2712" t="str">
        <f t="shared" si="126"/>
        <v>OK</v>
      </c>
      <c r="N2712" t="str">
        <f t="shared" si="127"/>
        <v>1960s</v>
      </c>
      <c r="O2712" t="str">
        <f t="shared" si="128"/>
        <v>N/A</v>
      </c>
      <c r="P2712" t="str">
        <f>VLOOKUP(E2712,calculated_fields!$F$4:$G$6,2,FALSE)</f>
        <v>Demographics</v>
      </c>
    </row>
    <row r="2713" spans="1:16">
      <c r="A2713" t="s">
        <v>3724</v>
      </c>
      <c r="B2713" t="s">
        <v>3709</v>
      </c>
      <c r="C2713" t="s">
        <v>130</v>
      </c>
      <c r="D2713">
        <v>1967</v>
      </c>
      <c r="E2713" t="s">
        <v>29</v>
      </c>
      <c r="F2713" t="s">
        <v>30</v>
      </c>
      <c r="G2713" t="s">
        <v>31</v>
      </c>
      <c r="H2713" t="s">
        <v>32</v>
      </c>
      <c r="I2713">
        <v>18772.751690000001</v>
      </c>
      <c r="J2713" t="s">
        <v>33</v>
      </c>
      <c r="K2713" t="s">
        <v>3722</v>
      </c>
      <c r="L2713" t="s">
        <v>21</v>
      </c>
      <c r="M2713" t="str">
        <f t="shared" si="126"/>
        <v>OK</v>
      </c>
      <c r="N2713" t="str">
        <f t="shared" si="127"/>
        <v>1960s</v>
      </c>
      <c r="O2713" t="str">
        <f t="shared" si="128"/>
        <v>N/A</v>
      </c>
      <c r="P2713" t="str">
        <f>VLOOKUP(E2713,calculated_fields!$F$4:$G$6,2,FALSE)</f>
        <v>Economy</v>
      </c>
    </row>
    <row r="2714" spans="1:16">
      <c r="A2714" t="s">
        <v>3725</v>
      </c>
      <c r="B2714" t="s">
        <v>3709</v>
      </c>
      <c r="C2714" t="s">
        <v>130</v>
      </c>
      <c r="D2714">
        <v>1972</v>
      </c>
      <c r="E2714" t="s">
        <v>15</v>
      </c>
      <c r="F2714" t="s">
        <v>16</v>
      </c>
      <c r="G2714" t="s">
        <v>17</v>
      </c>
      <c r="H2714" t="s">
        <v>18</v>
      </c>
      <c r="I2714">
        <v>52.773000000000003</v>
      </c>
      <c r="J2714" t="s">
        <v>19</v>
      </c>
      <c r="K2714" t="s">
        <v>3726</v>
      </c>
      <c r="L2714" t="s">
        <v>21</v>
      </c>
      <c r="M2714" t="str">
        <f t="shared" si="126"/>
        <v>OK</v>
      </c>
      <c r="N2714" t="str">
        <f t="shared" si="127"/>
        <v>1970s</v>
      </c>
      <c r="O2714" t="str">
        <f t="shared" si="128"/>
        <v>Low</v>
      </c>
      <c r="P2714" t="str">
        <f>VLOOKUP(E2714,calculated_fields!$F$4:$G$6,2,FALSE)</f>
        <v>Health</v>
      </c>
    </row>
    <row r="2715" spans="1:16">
      <c r="A2715" t="s">
        <v>3727</v>
      </c>
      <c r="B2715" t="s">
        <v>3709</v>
      </c>
      <c r="C2715" t="s">
        <v>130</v>
      </c>
      <c r="D2715">
        <v>1972</v>
      </c>
      <c r="E2715" t="s">
        <v>23</v>
      </c>
      <c r="F2715" t="s">
        <v>24</v>
      </c>
      <c r="G2715" t="s">
        <v>25</v>
      </c>
      <c r="H2715" t="s">
        <v>26</v>
      </c>
      <c r="I2715">
        <v>2183877</v>
      </c>
      <c r="J2715" t="s">
        <v>27</v>
      </c>
      <c r="K2715" t="s">
        <v>3726</v>
      </c>
      <c r="L2715" t="s">
        <v>21</v>
      </c>
      <c r="M2715" t="str">
        <f t="shared" si="126"/>
        <v>OK</v>
      </c>
      <c r="N2715" t="str">
        <f t="shared" si="127"/>
        <v>1970s</v>
      </c>
      <c r="O2715" t="str">
        <f t="shared" si="128"/>
        <v>N/A</v>
      </c>
      <c r="P2715" t="str">
        <f>VLOOKUP(E2715,calculated_fields!$F$4:$G$6,2,FALSE)</f>
        <v>Demographics</v>
      </c>
    </row>
    <row r="2716" spans="1:16">
      <c r="A2716" t="s">
        <v>3728</v>
      </c>
      <c r="B2716" t="s">
        <v>3709</v>
      </c>
      <c r="C2716" t="s">
        <v>130</v>
      </c>
      <c r="D2716">
        <v>1972</v>
      </c>
      <c r="E2716" t="s">
        <v>29</v>
      </c>
      <c r="F2716" t="s">
        <v>30</v>
      </c>
      <c r="G2716" t="s">
        <v>31</v>
      </c>
      <c r="H2716" t="s">
        <v>32</v>
      </c>
      <c r="I2716">
        <v>21011.497210000001</v>
      </c>
      <c r="J2716" t="s">
        <v>33</v>
      </c>
      <c r="K2716" t="s">
        <v>3726</v>
      </c>
      <c r="L2716" t="s">
        <v>21</v>
      </c>
      <c r="M2716" t="str">
        <f t="shared" si="126"/>
        <v>OK</v>
      </c>
      <c r="N2716" t="str">
        <f t="shared" si="127"/>
        <v>1970s</v>
      </c>
      <c r="O2716" t="str">
        <f t="shared" si="128"/>
        <v>N/A</v>
      </c>
      <c r="P2716" t="str">
        <f>VLOOKUP(E2716,calculated_fields!$F$4:$G$6,2,FALSE)</f>
        <v>Economy</v>
      </c>
    </row>
    <row r="2717" spans="1:16">
      <c r="A2717" t="s">
        <v>3729</v>
      </c>
      <c r="B2717" t="s">
        <v>3709</v>
      </c>
      <c r="C2717" t="s">
        <v>130</v>
      </c>
      <c r="D2717">
        <v>1977</v>
      </c>
      <c r="E2717" t="s">
        <v>15</v>
      </c>
      <c r="F2717" t="s">
        <v>16</v>
      </c>
      <c r="G2717" t="s">
        <v>17</v>
      </c>
      <c r="H2717" t="s">
        <v>18</v>
      </c>
      <c r="I2717">
        <v>57.442</v>
      </c>
      <c r="J2717" t="s">
        <v>19</v>
      </c>
      <c r="K2717" t="s">
        <v>3730</v>
      </c>
      <c r="L2717" t="s">
        <v>21</v>
      </c>
      <c r="M2717" t="str">
        <f t="shared" si="126"/>
        <v>OK</v>
      </c>
      <c r="N2717" t="str">
        <f t="shared" si="127"/>
        <v>1970s</v>
      </c>
      <c r="O2717" t="str">
        <f t="shared" si="128"/>
        <v>Medium</v>
      </c>
      <c r="P2717" t="str">
        <f>VLOOKUP(E2717,calculated_fields!$F$4:$G$6,2,FALSE)</f>
        <v>Health</v>
      </c>
    </row>
    <row r="2718" spans="1:16">
      <c r="A2718" t="s">
        <v>3731</v>
      </c>
      <c r="B2718" t="s">
        <v>3709</v>
      </c>
      <c r="C2718" t="s">
        <v>130</v>
      </c>
      <c r="D2718">
        <v>1977</v>
      </c>
      <c r="E2718" t="s">
        <v>23</v>
      </c>
      <c r="F2718" t="s">
        <v>24</v>
      </c>
      <c r="G2718" t="s">
        <v>25</v>
      </c>
      <c r="H2718" t="s">
        <v>26</v>
      </c>
      <c r="I2718">
        <v>2721783</v>
      </c>
      <c r="J2718" t="s">
        <v>27</v>
      </c>
      <c r="K2718" t="s">
        <v>3730</v>
      </c>
      <c r="L2718" t="s">
        <v>21</v>
      </c>
      <c r="M2718" t="str">
        <f t="shared" si="126"/>
        <v>OK</v>
      </c>
      <c r="N2718" t="str">
        <f t="shared" si="127"/>
        <v>1970s</v>
      </c>
      <c r="O2718" t="str">
        <f t="shared" si="128"/>
        <v>N/A</v>
      </c>
      <c r="P2718" t="str">
        <f>VLOOKUP(E2718,calculated_fields!$F$4:$G$6,2,FALSE)</f>
        <v>Demographics</v>
      </c>
    </row>
    <row r="2719" spans="1:16">
      <c r="A2719" t="s">
        <v>3732</v>
      </c>
      <c r="B2719" t="s">
        <v>3709</v>
      </c>
      <c r="C2719" t="s">
        <v>130</v>
      </c>
      <c r="D2719">
        <v>1977</v>
      </c>
      <c r="E2719" t="s">
        <v>29</v>
      </c>
      <c r="F2719" t="s">
        <v>30</v>
      </c>
      <c r="G2719" t="s">
        <v>31</v>
      </c>
      <c r="H2719" t="s">
        <v>32</v>
      </c>
      <c r="I2719">
        <v>21951.211759999998</v>
      </c>
      <c r="J2719" t="s">
        <v>33</v>
      </c>
      <c r="K2719" t="s">
        <v>3730</v>
      </c>
      <c r="L2719" t="s">
        <v>21</v>
      </c>
      <c r="M2719" t="str">
        <f t="shared" si="126"/>
        <v>OK</v>
      </c>
      <c r="N2719" t="str">
        <f t="shared" si="127"/>
        <v>1970s</v>
      </c>
      <c r="O2719" t="str">
        <f t="shared" si="128"/>
        <v>N/A</v>
      </c>
      <c r="P2719" t="str">
        <f>VLOOKUP(E2719,calculated_fields!$F$4:$G$6,2,FALSE)</f>
        <v>Economy</v>
      </c>
    </row>
    <row r="2720" spans="1:16">
      <c r="A2720" t="s">
        <v>3733</v>
      </c>
      <c r="B2720" t="s">
        <v>3709</v>
      </c>
      <c r="C2720" t="s">
        <v>130</v>
      </c>
      <c r="D2720">
        <v>1982</v>
      </c>
      <c r="E2720" t="s">
        <v>15</v>
      </c>
      <c r="F2720" t="s">
        <v>16</v>
      </c>
      <c r="G2720" t="s">
        <v>17</v>
      </c>
      <c r="H2720" t="s">
        <v>18</v>
      </c>
      <c r="I2720">
        <v>62.155000000000001</v>
      </c>
      <c r="J2720" t="s">
        <v>19</v>
      </c>
      <c r="K2720" t="s">
        <v>3734</v>
      </c>
      <c r="L2720" t="s">
        <v>21</v>
      </c>
      <c r="M2720" t="str">
        <f t="shared" si="126"/>
        <v>OK</v>
      </c>
      <c r="N2720" t="str">
        <f t="shared" si="127"/>
        <v>1980s</v>
      </c>
      <c r="O2720" t="str">
        <f t="shared" si="128"/>
        <v>Medium</v>
      </c>
      <c r="P2720" t="str">
        <f>VLOOKUP(E2720,calculated_fields!$F$4:$G$6,2,FALSE)</f>
        <v>Health</v>
      </c>
    </row>
    <row r="2721" spans="1:16">
      <c r="A2721" t="s">
        <v>3735</v>
      </c>
      <c r="B2721" t="s">
        <v>3709</v>
      </c>
      <c r="C2721" t="s">
        <v>130</v>
      </c>
      <c r="D2721">
        <v>1982</v>
      </c>
      <c r="E2721" t="s">
        <v>23</v>
      </c>
      <c r="F2721" t="s">
        <v>24</v>
      </c>
      <c r="G2721" t="s">
        <v>25</v>
      </c>
      <c r="H2721" t="s">
        <v>26</v>
      </c>
      <c r="I2721">
        <v>3344074</v>
      </c>
      <c r="J2721" t="s">
        <v>27</v>
      </c>
      <c r="K2721" t="s">
        <v>3734</v>
      </c>
      <c r="L2721" t="s">
        <v>21</v>
      </c>
      <c r="M2721" t="str">
        <f t="shared" si="126"/>
        <v>OK</v>
      </c>
      <c r="N2721" t="str">
        <f t="shared" si="127"/>
        <v>1980s</v>
      </c>
      <c r="O2721" t="str">
        <f t="shared" si="128"/>
        <v>N/A</v>
      </c>
      <c r="P2721" t="str">
        <f>VLOOKUP(E2721,calculated_fields!$F$4:$G$6,2,FALSE)</f>
        <v>Demographics</v>
      </c>
    </row>
    <row r="2722" spans="1:16">
      <c r="A2722" t="s">
        <v>3736</v>
      </c>
      <c r="B2722" t="s">
        <v>3709</v>
      </c>
      <c r="C2722" t="s">
        <v>130</v>
      </c>
      <c r="D2722">
        <v>1982</v>
      </c>
      <c r="E2722" t="s">
        <v>29</v>
      </c>
      <c r="F2722" t="s">
        <v>30</v>
      </c>
      <c r="G2722" t="s">
        <v>31</v>
      </c>
      <c r="H2722" t="s">
        <v>32</v>
      </c>
      <c r="I2722">
        <v>17364.275379999999</v>
      </c>
      <c r="J2722" t="s">
        <v>33</v>
      </c>
      <c r="K2722" t="s">
        <v>3734</v>
      </c>
      <c r="L2722" t="s">
        <v>21</v>
      </c>
      <c r="M2722" t="str">
        <f t="shared" si="126"/>
        <v>OK</v>
      </c>
      <c r="N2722" t="str">
        <f t="shared" si="127"/>
        <v>1980s</v>
      </c>
      <c r="O2722" t="str">
        <f t="shared" si="128"/>
        <v>N/A</v>
      </c>
      <c r="P2722" t="str">
        <f>VLOOKUP(E2722,calculated_fields!$F$4:$G$6,2,FALSE)</f>
        <v>Economy</v>
      </c>
    </row>
    <row r="2723" spans="1:16">
      <c r="A2723" t="s">
        <v>3737</v>
      </c>
      <c r="B2723" t="s">
        <v>3709</v>
      </c>
      <c r="C2723" t="s">
        <v>130</v>
      </c>
      <c r="D2723">
        <v>1987</v>
      </c>
      <c r="E2723" t="s">
        <v>15</v>
      </c>
      <c r="F2723" t="s">
        <v>16</v>
      </c>
      <c r="G2723" t="s">
        <v>17</v>
      </c>
      <c r="H2723" t="s">
        <v>18</v>
      </c>
      <c r="I2723">
        <v>66.233999999999995</v>
      </c>
      <c r="J2723" t="s">
        <v>19</v>
      </c>
      <c r="K2723" t="s">
        <v>3738</v>
      </c>
      <c r="L2723" t="s">
        <v>21</v>
      </c>
      <c r="M2723" t="str">
        <f t="shared" si="126"/>
        <v>OK</v>
      </c>
      <c r="N2723" t="str">
        <f t="shared" si="127"/>
        <v>1980s</v>
      </c>
      <c r="O2723" t="str">
        <f t="shared" si="128"/>
        <v>Medium</v>
      </c>
      <c r="P2723" t="str">
        <f>VLOOKUP(E2723,calculated_fields!$F$4:$G$6,2,FALSE)</f>
        <v>Health</v>
      </c>
    </row>
    <row r="2724" spans="1:16">
      <c r="A2724" t="s">
        <v>3739</v>
      </c>
      <c r="B2724" t="s">
        <v>3709</v>
      </c>
      <c r="C2724" t="s">
        <v>130</v>
      </c>
      <c r="D2724">
        <v>1987</v>
      </c>
      <c r="E2724" t="s">
        <v>23</v>
      </c>
      <c r="F2724" t="s">
        <v>24</v>
      </c>
      <c r="G2724" t="s">
        <v>25</v>
      </c>
      <c r="H2724" t="s">
        <v>26</v>
      </c>
      <c r="I2724">
        <v>3799845</v>
      </c>
      <c r="J2724" t="s">
        <v>27</v>
      </c>
      <c r="K2724" t="s">
        <v>3738</v>
      </c>
      <c r="L2724" t="s">
        <v>21</v>
      </c>
      <c r="M2724" t="str">
        <f t="shared" si="126"/>
        <v>OK</v>
      </c>
      <c r="N2724" t="str">
        <f t="shared" si="127"/>
        <v>1980s</v>
      </c>
      <c r="O2724" t="str">
        <f t="shared" si="128"/>
        <v>N/A</v>
      </c>
      <c r="P2724" t="str">
        <f>VLOOKUP(E2724,calculated_fields!$F$4:$G$6,2,FALSE)</f>
        <v>Demographics</v>
      </c>
    </row>
    <row r="2725" spans="1:16">
      <c r="A2725" t="s">
        <v>3740</v>
      </c>
      <c r="B2725" t="s">
        <v>3709</v>
      </c>
      <c r="C2725" t="s">
        <v>130</v>
      </c>
      <c r="D2725">
        <v>1987</v>
      </c>
      <c r="E2725" t="s">
        <v>29</v>
      </c>
      <c r="F2725" t="s">
        <v>30</v>
      </c>
      <c r="G2725" t="s">
        <v>31</v>
      </c>
      <c r="H2725" t="s">
        <v>32</v>
      </c>
      <c r="I2725">
        <v>11770.5898</v>
      </c>
      <c r="J2725" t="s">
        <v>33</v>
      </c>
      <c r="K2725" t="s">
        <v>3738</v>
      </c>
      <c r="L2725" t="s">
        <v>21</v>
      </c>
      <c r="M2725" t="str">
        <f t="shared" si="126"/>
        <v>OK</v>
      </c>
      <c r="N2725" t="str">
        <f t="shared" si="127"/>
        <v>1980s</v>
      </c>
      <c r="O2725" t="str">
        <f t="shared" si="128"/>
        <v>N/A</v>
      </c>
      <c r="P2725" t="str">
        <f>VLOOKUP(E2725,calculated_fields!$F$4:$G$6,2,FALSE)</f>
        <v>Economy</v>
      </c>
    </row>
    <row r="2726" spans="1:16">
      <c r="A2726" t="s">
        <v>3741</v>
      </c>
      <c r="B2726" t="s">
        <v>3709</v>
      </c>
      <c r="C2726" t="s">
        <v>130</v>
      </c>
      <c r="D2726">
        <v>1992</v>
      </c>
      <c r="E2726" t="s">
        <v>15</v>
      </c>
      <c r="F2726" t="s">
        <v>16</v>
      </c>
      <c r="G2726" t="s">
        <v>17</v>
      </c>
      <c r="H2726" t="s">
        <v>18</v>
      </c>
      <c r="I2726">
        <v>68.754999999999995</v>
      </c>
      <c r="J2726" t="s">
        <v>19</v>
      </c>
      <c r="K2726" t="s">
        <v>3742</v>
      </c>
      <c r="L2726" t="s">
        <v>21</v>
      </c>
      <c r="M2726" t="str">
        <f t="shared" si="126"/>
        <v>OK</v>
      </c>
      <c r="N2726" t="str">
        <f t="shared" si="127"/>
        <v>1990s</v>
      </c>
      <c r="O2726" t="str">
        <f t="shared" si="128"/>
        <v>Medium</v>
      </c>
      <c r="P2726" t="str">
        <f>VLOOKUP(E2726,calculated_fields!$F$4:$G$6,2,FALSE)</f>
        <v>Health</v>
      </c>
    </row>
    <row r="2727" spans="1:16">
      <c r="A2727" t="s">
        <v>3743</v>
      </c>
      <c r="B2727" t="s">
        <v>3709</v>
      </c>
      <c r="C2727" t="s">
        <v>130</v>
      </c>
      <c r="D2727">
        <v>1992</v>
      </c>
      <c r="E2727" t="s">
        <v>23</v>
      </c>
      <c r="F2727" t="s">
        <v>24</v>
      </c>
      <c r="G2727" t="s">
        <v>25</v>
      </c>
      <c r="H2727" t="s">
        <v>26</v>
      </c>
      <c r="I2727">
        <v>4364501</v>
      </c>
      <c r="J2727" t="s">
        <v>27</v>
      </c>
      <c r="K2727" t="s">
        <v>3742</v>
      </c>
      <c r="L2727" t="s">
        <v>21</v>
      </c>
      <c r="M2727" t="str">
        <f t="shared" si="126"/>
        <v>OK</v>
      </c>
      <c r="N2727" t="str">
        <f t="shared" si="127"/>
        <v>1990s</v>
      </c>
      <c r="O2727" t="str">
        <f t="shared" si="128"/>
        <v>N/A</v>
      </c>
      <c r="P2727" t="str">
        <f>VLOOKUP(E2727,calculated_fields!$F$4:$G$6,2,FALSE)</f>
        <v>Demographics</v>
      </c>
    </row>
    <row r="2728" spans="1:16">
      <c r="A2728" t="s">
        <v>3744</v>
      </c>
      <c r="B2728" t="s">
        <v>3709</v>
      </c>
      <c r="C2728" t="s">
        <v>130</v>
      </c>
      <c r="D2728">
        <v>1992</v>
      </c>
      <c r="E2728" t="s">
        <v>29</v>
      </c>
      <c r="F2728" t="s">
        <v>30</v>
      </c>
      <c r="G2728" t="s">
        <v>31</v>
      </c>
      <c r="H2728" t="s">
        <v>32</v>
      </c>
      <c r="I2728">
        <v>9640.1385009999995</v>
      </c>
      <c r="J2728" t="s">
        <v>33</v>
      </c>
      <c r="K2728" t="s">
        <v>3742</v>
      </c>
      <c r="L2728" t="s">
        <v>21</v>
      </c>
      <c r="M2728" t="str">
        <f t="shared" si="126"/>
        <v>OK</v>
      </c>
      <c r="N2728" t="str">
        <f t="shared" si="127"/>
        <v>1990s</v>
      </c>
      <c r="O2728" t="str">
        <f t="shared" si="128"/>
        <v>N/A</v>
      </c>
      <c r="P2728" t="str">
        <f>VLOOKUP(E2728,calculated_fields!$F$4:$G$6,2,FALSE)</f>
        <v>Economy</v>
      </c>
    </row>
    <row r="2729" spans="1:16">
      <c r="A2729" t="s">
        <v>3745</v>
      </c>
      <c r="B2729" t="s">
        <v>3709</v>
      </c>
      <c r="C2729" t="s">
        <v>130</v>
      </c>
      <c r="D2729">
        <v>1997</v>
      </c>
      <c r="E2729" t="s">
        <v>15</v>
      </c>
      <c r="F2729" t="s">
        <v>16</v>
      </c>
      <c r="G2729" t="s">
        <v>17</v>
      </c>
      <c r="H2729" t="s">
        <v>18</v>
      </c>
      <c r="I2729">
        <v>71.555000000000007</v>
      </c>
      <c r="J2729" t="s">
        <v>19</v>
      </c>
      <c r="K2729" t="s">
        <v>3746</v>
      </c>
      <c r="L2729" t="s">
        <v>21</v>
      </c>
      <c r="M2729" t="str">
        <f t="shared" si="126"/>
        <v>OK</v>
      </c>
      <c r="N2729" t="str">
        <f t="shared" si="127"/>
        <v>1990s</v>
      </c>
      <c r="O2729" t="str">
        <f t="shared" si="128"/>
        <v>High</v>
      </c>
      <c r="P2729" t="str">
        <f>VLOOKUP(E2729,calculated_fields!$F$4:$G$6,2,FALSE)</f>
        <v>Health</v>
      </c>
    </row>
    <row r="2730" spans="1:16">
      <c r="A2730" t="s">
        <v>3747</v>
      </c>
      <c r="B2730" t="s">
        <v>3709</v>
      </c>
      <c r="C2730" t="s">
        <v>130</v>
      </c>
      <c r="D2730">
        <v>1997</v>
      </c>
      <c r="E2730" t="s">
        <v>23</v>
      </c>
      <c r="F2730" t="s">
        <v>24</v>
      </c>
      <c r="G2730" t="s">
        <v>25</v>
      </c>
      <c r="H2730" t="s">
        <v>26</v>
      </c>
      <c r="I2730">
        <v>4759670</v>
      </c>
      <c r="J2730" t="s">
        <v>27</v>
      </c>
      <c r="K2730" t="s">
        <v>3746</v>
      </c>
      <c r="L2730" t="s">
        <v>21</v>
      </c>
      <c r="M2730" t="str">
        <f t="shared" si="126"/>
        <v>OK</v>
      </c>
      <c r="N2730" t="str">
        <f t="shared" si="127"/>
        <v>1990s</v>
      </c>
      <c r="O2730" t="str">
        <f t="shared" si="128"/>
        <v>N/A</v>
      </c>
      <c r="P2730" t="str">
        <f>VLOOKUP(E2730,calculated_fields!$F$4:$G$6,2,FALSE)</f>
        <v>Demographics</v>
      </c>
    </row>
    <row r="2731" spans="1:16">
      <c r="A2731" t="s">
        <v>3748</v>
      </c>
      <c r="B2731" t="s">
        <v>3709</v>
      </c>
      <c r="C2731" t="s">
        <v>130</v>
      </c>
      <c r="D2731">
        <v>1997</v>
      </c>
      <c r="E2731" t="s">
        <v>29</v>
      </c>
      <c r="F2731" t="s">
        <v>30</v>
      </c>
      <c r="G2731" t="s">
        <v>31</v>
      </c>
      <c r="H2731" t="s">
        <v>32</v>
      </c>
      <c r="I2731">
        <v>9467.4460560000007</v>
      </c>
      <c r="J2731" t="s">
        <v>33</v>
      </c>
      <c r="K2731" t="s">
        <v>3746</v>
      </c>
      <c r="L2731" t="s">
        <v>21</v>
      </c>
      <c r="M2731" t="str">
        <f t="shared" si="126"/>
        <v>OK</v>
      </c>
      <c r="N2731" t="str">
        <f t="shared" si="127"/>
        <v>1990s</v>
      </c>
      <c r="O2731" t="str">
        <f t="shared" si="128"/>
        <v>N/A</v>
      </c>
      <c r="P2731" t="str">
        <f>VLOOKUP(E2731,calculated_fields!$F$4:$G$6,2,FALSE)</f>
        <v>Economy</v>
      </c>
    </row>
    <row r="2732" spans="1:16">
      <c r="A2732" t="s">
        <v>3749</v>
      </c>
      <c r="B2732" t="s">
        <v>3709</v>
      </c>
      <c r="C2732" t="s">
        <v>130</v>
      </c>
      <c r="D2732">
        <v>2002</v>
      </c>
      <c r="E2732" t="s">
        <v>15</v>
      </c>
      <c r="F2732" t="s">
        <v>16</v>
      </c>
      <c r="G2732" t="s">
        <v>17</v>
      </c>
      <c r="H2732" t="s">
        <v>18</v>
      </c>
      <c r="I2732">
        <v>72.736999999999995</v>
      </c>
      <c r="J2732" t="s">
        <v>19</v>
      </c>
      <c r="K2732" t="s">
        <v>3750</v>
      </c>
      <c r="L2732" t="s">
        <v>21</v>
      </c>
      <c r="M2732" t="str">
        <f t="shared" si="126"/>
        <v>OK</v>
      </c>
      <c r="N2732" t="str">
        <f t="shared" si="127"/>
        <v>2000s</v>
      </c>
      <c r="O2732" t="str">
        <f t="shared" si="128"/>
        <v>High</v>
      </c>
      <c r="P2732" t="str">
        <f>VLOOKUP(E2732,calculated_fields!$F$4:$G$6,2,FALSE)</f>
        <v>Health</v>
      </c>
    </row>
    <row r="2733" spans="1:16">
      <c r="A2733" t="s">
        <v>3751</v>
      </c>
      <c r="B2733" t="s">
        <v>3709</v>
      </c>
      <c r="C2733" t="s">
        <v>130</v>
      </c>
      <c r="D2733">
        <v>2002</v>
      </c>
      <c r="E2733" t="s">
        <v>23</v>
      </c>
      <c r="F2733" t="s">
        <v>24</v>
      </c>
      <c r="G2733" t="s">
        <v>25</v>
      </c>
      <c r="H2733" t="s">
        <v>26</v>
      </c>
      <c r="I2733">
        <v>5368585</v>
      </c>
      <c r="J2733" t="s">
        <v>27</v>
      </c>
      <c r="K2733" t="s">
        <v>3750</v>
      </c>
      <c r="L2733" t="s">
        <v>21</v>
      </c>
      <c r="M2733" t="str">
        <f t="shared" si="126"/>
        <v>OK</v>
      </c>
      <c r="N2733" t="str">
        <f t="shared" si="127"/>
        <v>2000s</v>
      </c>
      <c r="O2733" t="str">
        <f t="shared" si="128"/>
        <v>N/A</v>
      </c>
      <c r="P2733" t="str">
        <f>VLOOKUP(E2733,calculated_fields!$F$4:$G$6,2,FALSE)</f>
        <v>Demographics</v>
      </c>
    </row>
    <row r="2734" spans="1:16">
      <c r="A2734" t="s">
        <v>3752</v>
      </c>
      <c r="B2734" t="s">
        <v>3709</v>
      </c>
      <c r="C2734" t="s">
        <v>130</v>
      </c>
      <c r="D2734">
        <v>2002</v>
      </c>
      <c r="E2734" t="s">
        <v>29</v>
      </c>
      <c r="F2734" t="s">
        <v>30</v>
      </c>
      <c r="G2734" t="s">
        <v>31</v>
      </c>
      <c r="H2734" t="s">
        <v>32</v>
      </c>
      <c r="I2734">
        <v>9534.6774669999995</v>
      </c>
      <c r="J2734" t="s">
        <v>33</v>
      </c>
      <c r="K2734" t="s">
        <v>3750</v>
      </c>
      <c r="L2734" t="s">
        <v>21</v>
      </c>
      <c r="M2734" t="str">
        <f t="shared" si="126"/>
        <v>OK</v>
      </c>
      <c r="N2734" t="str">
        <f t="shared" si="127"/>
        <v>2000s</v>
      </c>
      <c r="O2734" t="str">
        <f t="shared" si="128"/>
        <v>N/A</v>
      </c>
      <c r="P2734" t="str">
        <f>VLOOKUP(E2734,calculated_fields!$F$4:$G$6,2,FALSE)</f>
        <v>Economy</v>
      </c>
    </row>
    <row r="2735" spans="1:16">
      <c r="A2735" t="s">
        <v>3753</v>
      </c>
      <c r="B2735" t="s">
        <v>3709</v>
      </c>
      <c r="C2735" t="s">
        <v>130</v>
      </c>
      <c r="D2735">
        <v>2007</v>
      </c>
      <c r="E2735" t="s">
        <v>15</v>
      </c>
      <c r="F2735" t="s">
        <v>16</v>
      </c>
      <c r="G2735" t="s">
        <v>17</v>
      </c>
      <c r="H2735" t="s">
        <v>18</v>
      </c>
      <c r="I2735">
        <v>73.951999999999998</v>
      </c>
      <c r="J2735" t="s">
        <v>19</v>
      </c>
      <c r="K2735" t="s">
        <v>3754</v>
      </c>
      <c r="L2735" t="s">
        <v>21</v>
      </c>
      <c r="M2735" t="str">
        <f t="shared" si="126"/>
        <v>OK</v>
      </c>
      <c r="N2735" t="str">
        <f t="shared" si="127"/>
        <v>2000s</v>
      </c>
      <c r="O2735" t="str">
        <f t="shared" si="128"/>
        <v>High</v>
      </c>
      <c r="P2735" t="str">
        <f>VLOOKUP(E2735,calculated_fields!$F$4:$G$6,2,FALSE)</f>
        <v>Health</v>
      </c>
    </row>
    <row r="2736" spans="1:16">
      <c r="A2736" t="s">
        <v>3755</v>
      </c>
      <c r="B2736" t="s">
        <v>3709</v>
      </c>
      <c r="C2736" t="s">
        <v>130</v>
      </c>
      <c r="D2736">
        <v>2007</v>
      </c>
      <c r="E2736" t="s">
        <v>23</v>
      </c>
      <c r="F2736" t="s">
        <v>24</v>
      </c>
      <c r="G2736" t="s">
        <v>25</v>
      </c>
      <c r="H2736" t="s">
        <v>26</v>
      </c>
      <c r="I2736">
        <v>6036914</v>
      </c>
      <c r="J2736" t="s">
        <v>27</v>
      </c>
      <c r="K2736" t="s">
        <v>3754</v>
      </c>
      <c r="L2736" t="s">
        <v>21</v>
      </c>
      <c r="M2736" t="str">
        <f t="shared" si="126"/>
        <v>OK</v>
      </c>
      <c r="N2736" t="str">
        <f t="shared" si="127"/>
        <v>2000s</v>
      </c>
      <c r="O2736" t="str">
        <f t="shared" si="128"/>
        <v>N/A</v>
      </c>
      <c r="P2736" t="str">
        <f>VLOOKUP(E2736,calculated_fields!$F$4:$G$6,2,FALSE)</f>
        <v>Demographics</v>
      </c>
    </row>
    <row r="2737" spans="1:16">
      <c r="A2737" t="s">
        <v>3756</v>
      </c>
      <c r="B2737" t="s">
        <v>3709</v>
      </c>
      <c r="C2737" t="s">
        <v>130</v>
      </c>
      <c r="D2737">
        <v>2007</v>
      </c>
      <c r="E2737" t="s">
        <v>29</v>
      </c>
      <c r="F2737" t="s">
        <v>30</v>
      </c>
      <c r="G2737" t="s">
        <v>31</v>
      </c>
      <c r="H2737" t="s">
        <v>32</v>
      </c>
      <c r="I2737">
        <v>12057.49928</v>
      </c>
      <c r="J2737" t="s">
        <v>33</v>
      </c>
      <c r="K2737" t="s">
        <v>3754</v>
      </c>
      <c r="L2737" t="s">
        <v>21</v>
      </c>
      <c r="M2737" t="str">
        <f t="shared" si="126"/>
        <v>OK</v>
      </c>
      <c r="N2737" t="str">
        <f t="shared" si="127"/>
        <v>2000s</v>
      </c>
      <c r="O2737" t="str">
        <f t="shared" si="128"/>
        <v>N/A</v>
      </c>
      <c r="P2737" t="str">
        <f>VLOOKUP(E2737,calculated_fields!$F$4:$G$6,2,FALSE)</f>
        <v>Economy</v>
      </c>
    </row>
    <row r="2738" spans="1:16">
      <c r="A2738" t="s">
        <v>3757</v>
      </c>
      <c r="B2738" t="s">
        <v>3758</v>
      </c>
      <c r="C2738" t="s">
        <v>130</v>
      </c>
      <c r="D2738">
        <v>1952</v>
      </c>
      <c r="E2738" t="s">
        <v>15</v>
      </c>
      <c r="F2738" t="s">
        <v>16</v>
      </c>
      <c r="G2738" t="s">
        <v>17</v>
      </c>
      <c r="H2738" t="s">
        <v>18</v>
      </c>
      <c r="I2738">
        <v>36.680999999999997</v>
      </c>
      <c r="J2738" t="s">
        <v>19</v>
      </c>
      <c r="K2738" t="s">
        <v>3759</v>
      </c>
      <c r="L2738" t="s">
        <v>21</v>
      </c>
      <c r="M2738" t="str">
        <f t="shared" si="126"/>
        <v>OK</v>
      </c>
      <c r="N2738" t="str">
        <f t="shared" si="127"/>
        <v>1950s</v>
      </c>
      <c r="O2738" t="str">
        <f t="shared" si="128"/>
        <v>Low</v>
      </c>
      <c r="P2738" t="str">
        <f>VLOOKUP(E2738,calculated_fields!$F$4:$G$6,2,FALSE)</f>
        <v>Health</v>
      </c>
    </row>
    <row r="2739" spans="1:16">
      <c r="A2739" t="s">
        <v>3760</v>
      </c>
      <c r="B2739" t="s">
        <v>3758</v>
      </c>
      <c r="C2739" t="s">
        <v>130</v>
      </c>
      <c r="D2739">
        <v>1952</v>
      </c>
      <c r="E2739" t="s">
        <v>23</v>
      </c>
      <c r="F2739" t="s">
        <v>24</v>
      </c>
      <c r="G2739" t="s">
        <v>25</v>
      </c>
      <c r="H2739" t="s">
        <v>26</v>
      </c>
      <c r="I2739">
        <v>4762912</v>
      </c>
      <c r="J2739" t="s">
        <v>27</v>
      </c>
      <c r="K2739" t="s">
        <v>3759</v>
      </c>
      <c r="L2739" t="s">
        <v>21</v>
      </c>
      <c r="M2739" t="str">
        <f t="shared" si="126"/>
        <v>OK</v>
      </c>
      <c r="N2739" t="str">
        <f t="shared" si="127"/>
        <v>1950s</v>
      </c>
      <c r="O2739" t="str">
        <f t="shared" si="128"/>
        <v>N/A</v>
      </c>
      <c r="P2739" t="str">
        <f>VLOOKUP(E2739,calculated_fields!$F$4:$G$6,2,FALSE)</f>
        <v>Demographics</v>
      </c>
    </row>
    <row r="2740" spans="1:16">
      <c r="A2740" t="s">
        <v>3761</v>
      </c>
      <c r="B2740" t="s">
        <v>3758</v>
      </c>
      <c r="C2740" t="s">
        <v>130</v>
      </c>
      <c r="D2740">
        <v>1952</v>
      </c>
      <c r="E2740" t="s">
        <v>29</v>
      </c>
      <c r="F2740" t="s">
        <v>30</v>
      </c>
      <c r="G2740" t="s">
        <v>31</v>
      </c>
      <c r="H2740" t="s">
        <v>32</v>
      </c>
      <c r="I2740">
        <v>1443.0117150000001</v>
      </c>
      <c r="J2740" t="s">
        <v>33</v>
      </c>
      <c r="K2740" t="s">
        <v>3759</v>
      </c>
      <c r="L2740" t="s">
        <v>21</v>
      </c>
      <c r="M2740" t="str">
        <f t="shared" si="126"/>
        <v>OK</v>
      </c>
      <c r="N2740" t="str">
        <f t="shared" si="127"/>
        <v>1950s</v>
      </c>
      <c r="O2740" t="str">
        <f t="shared" si="128"/>
        <v>N/A</v>
      </c>
      <c r="P2740" t="str">
        <f>VLOOKUP(E2740,calculated_fields!$F$4:$G$6,2,FALSE)</f>
        <v>Economy</v>
      </c>
    </row>
    <row r="2741" spans="1:16">
      <c r="A2741" t="s">
        <v>3762</v>
      </c>
      <c r="B2741" t="s">
        <v>3758</v>
      </c>
      <c r="C2741" t="s">
        <v>130</v>
      </c>
      <c r="D2741">
        <v>1957</v>
      </c>
      <c r="E2741" t="s">
        <v>15</v>
      </c>
      <c r="F2741" t="s">
        <v>16</v>
      </c>
      <c r="G2741" t="s">
        <v>17</v>
      </c>
      <c r="H2741" t="s">
        <v>18</v>
      </c>
      <c r="I2741">
        <v>38.865000000000002</v>
      </c>
      <c r="J2741" t="s">
        <v>19</v>
      </c>
      <c r="K2741" t="s">
        <v>3763</v>
      </c>
      <c r="L2741" t="s">
        <v>21</v>
      </c>
      <c r="M2741" t="str">
        <f t="shared" si="126"/>
        <v>OK</v>
      </c>
      <c r="N2741" t="str">
        <f t="shared" si="127"/>
        <v>1950s</v>
      </c>
      <c r="O2741" t="str">
        <f t="shared" si="128"/>
        <v>Low</v>
      </c>
      <c r="P2741" t="str">
        <f>VLOOKUP(E2741,calculated_fields!$F$4:$G$6,2,FALSE)</f>
        <v>Health</v>
      </c>
    </row>
    <row r="2742" spans="1:16">
      <c r="A2742" t="s">
        <v>3764</v>
      </c>
      <c r="B2742" t="s">
        <v>3758</v>
      </c>
      <c r="C2742" t="s">
        <v>130</v>
      </c>
      <c r="D2742">
        <v>1957</v>
      </c>
      <c r="E2742" t="s">
        <v>23</v>
      </c>
      <c r="F2742" t="s">
        <v>24</v>
      </c>
      <c r="G2742" t="s">
        <v>25</v>
      </c>
      <c r="H2742" t="s">
        <v>26</v>
      </c>
      <c r="I2742">
        <v>5181679</v>
      </c>
      <c r="J2742" t="s">
        <v>27</v>
      </c>
      <c r="K2742" t="s">
        <v>3763</v>
      </c>
      <c r="L2742" t="s">
        <v>21</v>
      </c>
      <c r="M2742" t="str">
        <f t="shared" si="126"/>
        <v>OK</v>
      </c>
      <c r="N2742" t="str">
        <f t="shared" si="127"/>
        <v>1950s</v>
      </c>
      <c r="O2742" t="str">
        <f t="shared" si="128"/>
        <v>N/A</v>
      </c>
      <c r="P2742" t="str">
        <f>VLOOKUP(E2742,calculated_fields!$F$4:$G$6,2,FALSE)</f>
        <v>Demographics</v>
      </c>
    </row>
    <row r="2743" spans="1:16">
      <c r="A2743" t="s">
        <v>3765</v>
      </c>
      <c r="B2743" t="s">
        <v>3758</v>
      </c>
      <c r="C2743" t="s">
        <v>130</v>
      </c>
      <c r="D2743">
        <v>1957</v>
      </c>
      <c r="E2743" t="s">
        <v>29</v>
      </c>
      <c r="F2743" t="s">
        <v>30</v>
      </c>
      <c r="G2743" t="s">
        <v>31</v>
      </c>
      <c r="H2743" t="s">
        <v>32</v>
      </c>
      <c r="I2743">
        <v>1589.2027499999999</v>
      </c>
      <c r="J2743" t="s">
        <v>33</v>
      </c>
      <c r="K2743" t="s">
        <v>3763</v>
      </c>
      <c r="L2743" t="s">
        <v>21</v>
      </c>
      <c r="M2743" t="str">
        <f t="shared" si="126"/>
        <v>OK</v>
      </c>
      <c r="N2743" t="str">
        <f t="shared" si="127"/>
        <v>1950s</v>
      </c>
      <c r="O2743" t="str">
        <f t="shared" si="128"/>
        <v>N/A</v>
      </c>
      <c r="P2743" t="str">
        <f>VLOOKUP(E2743,calculated_fields!$F$4:$G$6,2,FALSE)</f>
        <v>Economy</v>
      </c>
    </row>
    <row r="2744" spans="1:16">
      <c r="A2744" t="s">
        <v>3766</v>
      </c>
      <c r="B2744" t="s">
        <v>3758</v>
      </c>
      <c r="C2744" t="s">
        <v>130</v>
      </c>
      <c r="D2744">
        <v>1962</v>
      </c>
      <c r="E2744" t="s">
        <v>15</v>
      </c>
      <c r="F2744" t="s">
        <v>16</v>
      </c>
      <c r="G2744" t="s">
        <v>17</v>
      </c>
      <c r="H2744" t="s">
        <v>18</v>
      </c>
      <c r="I2744">
        <v>40.847999999999999</v>
      </c>
      <c r="J2744" t="s">
        <v>19</v>
      </c>
      <c r="K2744" t="s">
        <v>3767</v>
      </c>
      <c r="L2744" t="s">
        <v>21</v>
      </c>
      <c r="M2744" t="str">
        <f t="shared" si="126"/>
        <v>OK</v>
      </c>
      <c r="N2744" t="str">
        <f t="shared" si="127"/>
        <v>1960s</v>
      </c>
      <c r="O2744" t="str">
        <f t="shared" si="128"/>
        <v>Low</v>
      </c>
      <c r="P2744" t="str">
        <f>VLOOKUP(E2744,calculated_fields!$F$4:$G$6,2,FALSE)</f>
        <v>Health</v>
      </c>
    </row>
    <row r="2745" spans="1:16">
      <c r="A2745" t="s">
        <v>3768</v>
      </c>
      <c r="B2745" t="s">
        <v>3758</v>
      </c>
      <c r="C2745" t="s">
        <v>130</v>
      </c>
      <c r="D2745">
        <v>1962</v>
      </c>
      <c r="E2745" t="s">
        <v>23</v>
      </c>
      <c r="F2745" t="s">
        <v>24</v>
      </c>
      <c r="G2745" t="s">
        <v>25</v>
      </c>
      <c r="H2745" t="s">
        <v>26</v>
      </c>
      <c r="I2745">
        <v>5703324</v>
      </c>
      <c r="J2745" t="s">
        <v>27</v>
      </c>
      <c r="K2745" t="s">
        <v>3767</v>
      </c>
      <c r="L2745" t="s">
        <v>21</v>
      </c>
      <c r="M2745" t="str">
        <f t="shared" si="126"/>
        <v>OK</v>
      </c>
      <c r="N2745" t="str">
        <f t="shared" si="127"/>
        <v>1960s</v>
      </c>
      <c r="O2745" t="str">
        <f t="shared" si="128"/>
        <v>N/A</v>
      </c>
      <c r="P2745" t="str">
        <f>VLOOKUP(E2745,calculated_fields!$F$4:$G$6,2,FALSE)</f>
        <v>Demographics</v>
      </c>
    </row>
    <row r="2746" spans="1:16">
      <c r="A2746" t="s">
        <v>3769</v>
      </c>
      <c r="B2746" t="s">
        <v>3758</v>
      </c>
      <c r="C2746" t="s">
        <v>130</v>
      </c>
      <c r="D2746">
        <v>1962</v>
      </c>
      <c r="E2746" t="s">
        <v>29</v>
      </c>
      <c r="F2746" t="s">
        <v>30</v>
      </c>
      <c r="G2746" t="s">
        <v>31</v>
      </c>
      <c r="H2746" t="s">
        <v>32</v>
      </c>
      <c r="I2746">
        <v>1643.3871099999999</v>
      </c>
      <c r="J2746" t="s">
        <v>33</v>
      </c>
      <c r="K2746" t="s">
        <v>3767</v>
      </c>
      <c r="L2746" t="s">
        <v>21</v>
      </c>
      <c r="M2746" t="str">
        <f t="shared" si="126"/>
        <v>OK</v>
      </c>
      <c r="N2746" t="str">
        <f t="shared" si="127"/>
        <v>1960s</v>
      </c>
      <c r="O2746" t="str">
        <f t="shared" si="128"/>
        <v>N/A</v>
      </c>
      <c r="P2746" t="str">
        <f>VLOOKUP(E2746,calculated_fields!$F$4:$G$6,2,FALSE)</f>
        <v>Economy</v>
      </c>
    </row>
    <row r="2747" spans="1:16">
      <c r="A2747" t="s">
        <v>3770</v>
      </c>
      <c r="B2747" t="s">
        <v>3758</v>
      </c>
      <c r="C2747" t="s">
        <v>130</v>
      </c>
      <c r="D2747">
        <v>1967</v>
      </c>
      <c r="E2747" t="s">
        <v>15</v>
      </c>
      <c r="F2747" t="s">
        <v>16</v>
      </c>
      <c r="G2747" t="s">
        <v>17</v>
      </c>
      <c r="H2747" t="s">
        <v>18</v>
      </c>
      <c r="I2747">
        <v>42.881</v>
      </c>
      <c r="J2747" t="s">
        <v>19</v>
      </c>
      <c r="K2747" t="s">
        <v>3771</v>
      </c>
      <c r="L2747" t="s">
        <v>21</v>
      </c>
      <c r="M2747" t="str">
        <f t="shared" si="126"/>
        <v>OK</v>
      </c>
      <c r="N2747" t="str">
        <f t="shared" si="127"/>
        <v>1960s</v>
      </c>
      <c r="O2747" t="str">
        <f t="shared" si="128"/>
        <v>Low</v>
      </c>
      <c r="P2747" t="str">
        <f>VLOOKUP(E2747,calculated_fields!$F$4:$G$6,2,FALSE)</f>
        <v>Health</v>
      </c>
    </row>
    <row r="2748" spans="1:16">
      <c r="A2748" t="s">
        <v>3772</v>
      </c>
      <c r="B2748" t="s">
        <v>3758</v>
      </c>
      <c r="C2748" t="s">
        <v>130</v>
      </c>
      <c r="D2748">
        <v>1967</v>
      </c>
      <c r="E2748" t="s">
        <v>23</v>
      </c>
      <c r="F2748" t="s">
        <v>24</v>
      </c>
      <c r="G2748" t="s">
        <v>25</v>
      </c>
      <c r="H2748" t="s">
        <v>26</v>
      </c>
      <c r="I2748">
        <v>6334556</v>
      </c>
      <c r="J2748" t="s">
        <v>27</v>
      </c>
      <c r="K2748" t="s">
        <v>3771</v>
      </c>
      <c r="L2748" t="s">
        <v>21</v>
      </c>
      <c r="M2748" t="str">
        <f t="shared" si="126"/>
        <v>OK</v>
      </c>
      <c r="N2748" t="str">
        <f t="shared" si="127"/>
        <v>1960s</v>
      </c>
      <c r="O2748" t="str">
        <f t="shared" si="128"/>
        <v>N/A</v>
      </c>
      <c r="P2748" t="str">
        <f>VLOOKUP(E2748,calculated_fields!$F$4:$G$6,2,FALSE)</f>
        <v>Demographics</v>
      </c>
    </row>
    <row r="2749" spans="1:16">
      <c r="A2749" t="s">
        <v>3773</v>
      </c>
      <c r="B2749" t="s">
        <v>3758</v>
      </c>
      <c r="C2749" t="s">
        <v>130</v>
      </c>
      <c r="D2749">
        <v>1967</v>
      </c>
      <c r="E2749" t="s">
        <v>29</v>
      </c>
      <c r="F2749" t="s">
        <v>30</v>
      </c>
      <c r="G2749" t="s">
        <v>31</v>
      </c>
      <c r="H2749" t="s">
        <v>32</v>
      </c>
      <c r="I2749">
        <v>1634.047282</v>
      </c>
      <c r="J2749" t="s">
        <v>33</v>
      </c>
      <c r="K2749" t="s">
        <v>3771</v>
      </c>
      <c r="L2749" t="s">
        <v>21</v>
      </c>
      <c r="M2749" t="str">
        <f t="shared" si="126"/>
        <v>OK</v>
      </c>
      <c r="N2749" t="str">
        <f t="shared" si="127"/>
        <v>1960s</v>
      </c>
      <c r="O2749" t="str">
        <f t="shared" si="128"/>
        <v>N/A</v>
      </c>
      <c r="P2749" t="str">
        <f>VLOOKUP(E2749,calculated_fields!$F$4:$G$6,2,FALSE)</f>
        <v>Economy</v>
      </c>
    </row>
    <row r="2750" spans="1:16">
      <c r="A2750" t="s">
        <v>3774</v>
      </c>
      <c r="B2750" t="s">
        <v>3758</v>
      </c>
      <c r="C2750" t="s">
        <v>130</v>
      </c>
      <c r="D2750">
        <v>1972</v>
      </c>
      <c r="E2750" t="s">
        <v>15</v>
      </c>
      <c r="F2750" t="s">
        <v>16</v>
      </c>
      <c r="G2750" t="s">
        <v>17</v>
      </c>
      <c r="H2750" t="s">
        <v>18</v>
      </c>
      <c r="I2750">
        <v>44.850999999999999</v>
      </c>
      <c r="J2750" t="s">
        <v>19</v>
      </c>
      <c r="K2750" t="s">
        <v>3775</v>
      </c>
      <c r="L2750" t="s">
        <v>21</v>
      </c>
      <c r="M2750" t="str">
        <f t="shared" si="126"/>
        <v>OK</v>
      </c>
      <c r="N2750" t="str">
        <f t="shared" si="127"/>
        <v>1970s</v>
      </c>
      <c r="O2750" t="str">
        <f t="shared" si="128"/>
        <v>Low</v>
      </c>
      <c r="P2750" t="str">
        <f>VLOOKUP(E2750,calculated_fields!$F$4:$G$6,2,FALSE)</f>
        <v>Health</v>
      </c>
    </row>
    <row r="2751" spans="1:16">
      <c r="A2751" t="s">
        <v>3776</v>
      </c>
      <c r="B2751" t="s">
        <v>3758</v>
      </c>
      <c r="C2751" t="s">
        <v>130</v>
      </c>
      <c r="D2751">
        <v>1972</v>
      </c>
      <c r="E2751" t="s">
        <v>23</v>
      </c>
      <c r="F2751" t="s">
        <v>24</v>
      </c>
      <c r="G2751" t="s">
        <v>25</v>
      </c>
      <c r="H2751" t="s">
        <v>26</v>
      </c>
      <c r="I2751">
        <v>7082430</v>
      </c>
      <c r="J2751" t="s">
        <v>27</v>
      </c>
      <c r="K2751" t="s">
        <v>3775</v>
      </c>
      <c r="L2751" t="s">
        <v>21</v>
      </c>
      <c r="M2751" t="str">
        <f t="shared" si="126"/>
        <v>OK</v>
      </c>
      <c r="N2751" t="str">
        <f t="shared" si="127"/>
        <v>1970s</v>
      </c>
      <c r="O2751" t="str">
        <f t="shared" si="128"/>
        <v>N/A</v>
      </c>
      <c r="P2751" t="str">
        <f>VLOOKUP(E2751,calculated_fields!$F$4:$G$6,2,FALSE)</f>
        <v>Demographics</v>
      </c>
    </row>
    <row r="2752" spans="1:16">
      <c r="A2752" t="s">
        <v>3777</v>
      </c>
      <c r="B2752" t="s">
        <v>3758</v>
      </c>
      <c r="C2752" t="s">
        <v>130</v>
      </c>
      <c r="D2752">
        <v>1972</v>
      </c>
      <c r="E2752" t="s">
        <v>29</v>
      </c>
      <c r="F2752" t="s">
        <v>30</v>
      </c>
      <c r="G2752" t="s">
        <v>31</v>
      </c>
      <c r="H2752" t="s">
        <v>32</v>
      </c>
      <c r="I2752">
        <v>1748.5629819999999</v>
      </c>
      <c r="J2752" t="s">
        <v>33</v>
      </c>
      <c r="K2752" t="s">
        <v>3775</v>
      </c>
      <c r="L2752" t="s">
        <v>21</v>
      </c>
      <c r="M2752" t="str">
        <f t="shared" si="126"/>
        <v>OK</v>
      </c>
      <c r="N2752" t="str">
        <f t="shared" si="127"/>
        <v>1970s</v>
      </c>
      <c r="O2752" t="str">
        <f t="shared" si="128"/>
        <v>N/A</v>
      </c>
      <c r="P2752" t="str">
        <f>VLOOKUP(E2752,calculated_fields!$F$4:$G$6,2,FALSE)</f>
        <v>Economy</v>
      </c>
    </row>
    <row r="2753" spans="1:16">
      <c r="A2753" t="s">
        <v>3778</v>
      </c>
      <c r="B2753" t="s">
        <v>3758</v>
      </c>
      <c r="C2753" t="s">
        <v>130</v>
      </c>
      <c r="D2753">
        <v>1977</v>
      </c>
      <c r="E2753" t="s">
        <v>15</v>
      </c>
      <c r="F2753" t="s">
        <v>16</v>
      </c>
      <c r="G2753" t="s">
        <v>17</v>
      </c>
      <c r="H2753" t="s">
        <v>18</v>
      </c>
      <c r="I2753">
        <v>46.881</v>
      </c>
      <c r="J2753" t="s">
        <v>19</v>
      </c>
      <c r="K2753" t="s">
        <v>3779</v>
      </c>
      <c r="L2753" t="s">
        <v>21</v>
      </c>
      <c r="M2753" t="str">
        <f t="shared" si="126"/>
        <v>OK</v>
      </c>
      <c r="N2753" t="str">
        <f t="shared" si="127"/>
        <v>1970s</v>
      </c>
      <c r="O2753" t="str">
        <f t="shared" si="128"/>
        <v>Low</v>
      </c>
      <c r="P2753" t="str">
        <f>VLOOKUP(E2753,calculated_fields!$F$4:$G$6,2,FALSE)</f>
        <v>Health</v>
      </c>
    </row>
    <row r="2754" spans="1:16">
      <c r="A2754" t="s">
        <v>3780</v>
      </c>
      <c r="B2754" t="s">
        <v>3758</v>
      </c>
      <c r="C2754" t="s">
        <v>130</v>
      </c>
      <c r="D2754">
        <v>1977</v>
      </c>
      <c r="E2754" t="s">
        <v>23</v>
      </c>
      <c r="F2754" t="s">
        <v>24</v>
      </c>
      <c r="G2754" t="s">
        <v>25</v>
      </c>
      <c r="H2754" t="s">
        <v>26</v>
      </c>
      <c r="I2754">
        <v>8007166</v>
      </c>
      <c r="J2754" t="s">
        <v>27</v>
      </c>
      <c r="K2754" t="s">
        <v>3779</v>
      </c>
      <c r="L2754" t="s">
        <v>21</v>
      </c>
      <c r="M2754" t="str">
        <f t="shared" ref="M2754:M2817" si="129">IF(AND(ISNUMBER(I2754),I2754&gt;=0),"OK","Review")</f>
        <v>OK</v>
      </c>
      <c r="N2754" t="str">
        <f t="shared" ref="N2754:N2817" si="130">FLOOR(D2754,10)&amp;"s"</f>
        <v>1970s</v>
      </c>
      <c r="O2754" t="str">
        <f t="shared" ref="O2754:O2817" si="131">IF(E2754="LIFE_EXP",IF(I2754&gt;=70,"High",IF(I2754&gt;=55,"Medium","Low")),"N/A")</f>
        <v>N/A</v>
      </c>
      <c r="P2754" t="str">
        <f>VLOOKUP(E2754,calculated_fields!$F$4:$G$6,2,FALSE)</f>
        <v>Demographics</v>
      </c>
    </row>
    <row r="2755" spans="1:16">
      <c r="A2755" t="s">
        <v>3781</v>
      </c>
      <c r="B2755" t="s">
        <v>3758</v>
      </c>
      <c r="C2755" t="s">
        <v>130</v>
      </c>
      <c r="D2755">
        <v>1977</v>
      </c>
      <c r="E2755" t="s">
        <v>29</v>
      </c>
      <c r="F2755" t="s">
        <v>30</v>
      </c>
      <c r="G2755" t="s">
        <v>31</v>
      </c>
      <c r="H2755" t="s">
        <v>32</v>
      </c>
      <c r="I2755">
        <v>1544.228586</v>
      </c>
      <c r="J2755" t="s">
        <v>33</v>
      </c>
      <c r="K2755" t="s">
        <v>3779</v>
      </c>
      <c r="L2755" t="s">
        <v>21</v>
      </c>
      <c r="M2755" t="str">
        <f t="shared" si="129"/>
        <v>OK</v>
      </c>
      <c r="N2755" t="str">
        <f t="shared" si="130"/>
        <v>1970s</v>
      </c>
      <c r="O2755" t="str">
        <f t="shared" si="131"/>
        <v>N/A</v>
      </c>
      <c r="P2755" t="str">
        <f>VLOOKUP(E2755,calculated_fields!$F$4:$G$6,2,FALSE)</f>
        <v>Economy</v>
      </c>
    </row>
    <row r="2756" spans="1:16">
      <c r="A2756" t="s">
        <v>3782</v>
      </c>
      <c r="B2756" t="s">
        <v>3758</v>
      </c>
      <c r="C2756" t="s">
        <v>130</v>
      </c>
      <c r="D2756">
        <v>1982</v>
      </c>
      <c r="E2756" t="s">
        <v>15</v>
      </c>
      <c r="F2756" t="s">
        <v>16</v>
      </c>
      <c r="G2756" t="s">
        <v>17</v>
      </c>
      <c r="H2756" t="s">
        <v>18</v>
      </c>
      <c r="I2756">
        <v>48.969000000000001</v>
      </c>
      <c r="J2756" t="s">
        <v>19</v>
      </c>
      <c r="K2756" t="s">
        <v>3783</v>
      </c>
      <c r="L2756" t="s">
        <v>21</v>
      </c>
      <c r="M2756" t="str">
        <f t="shared" si="129"/>
        <v>OK</v>
      </c>
      <c r="N2756" t="str">
        <f t="shared" si="130"/>
        <v>1980s</v>
      </c>
      <c r="O2756" t="str">
        <f t="shared" si="131"/>
        <v>Low</v>
      </c>
      <c r="P2756" t="str">
        <f>VLOOKUP(E2756,calculated_fields!$F$4:$G$6,2,FALSE)</f>
        <v>Health</v>
      </c>
    </row>
    <row r="2757" spans="1:16">
      <c r="A2757" t="s">
        <v>3784</v>
      </c>
      <c r="B2757" t="s">
        <v>3758</v>
      </c>
      <c r="C2757" t="s">
        <v>130</v>
      </c>
      <c r="D2757">
        <v>1982</v>
      </c>
      <c r="E2757" t="s">
        <v>23</v>
      </c>
      <c r="F2757" t="s">
        <v>24</v>
      </c>
      <c r="G2757" t="s">
        <v>25</v>
      </c>
      <c r="H2757" t="s">
        <v>26</v>
      </c>
      <c r="I2757">
        <v>9171477</v>
      </c>
      <c r="J2757" t="s">
        <v>27</v>
      </c>
      <c r="K2757" t="s">
        <v>3783</v>
      </c>
      <c r="L2757" t="s">
        <v>21</v>
      </c>
      <c r="M2757" t="str">
        <f t="shared" si="129"/>
        <v>OK</v>
      </c>
      <c r="N2757" t="str">
        <f t="shared" si="130"/>
        <v>1980s</v>
      </c>
      <c r="O2757" t="str">
        <f t="shared" si="131"/>
        <v>N/A</v>
      </c>
      <c r="P2757" t="str">
        <f>VLOOKUP(E2757,calculated_fields!$F$4:$G$6,2,FALSE)</f>
        <v>Demographics</v>
      </c>
    </row>
    <row r="2758" spans="1:16">
      <c r="A2758" t="s">
        <v>3785</v>
      </c>
      <c r="B2758" t="s">
        <v>3758</v>
      </c>
      <c r="C2758" t="s">
        <v>130</v>
      </c>
      <c r="D2758">
        <v>1982</v>
      </c>
      <c r="E2758" t="s">
        <v>29</v>
      </c>
      <c r="F2758" t="s">
        <v>30</v>
      </c>
      <c r="G2758" t="s">
        <v>31</v>
      </c>
      <c r="H2758" t="s">
        <v>32</v>
      </c>
      <c r="I2758">
        <v>1302.8786580000001</v>
      </c>
      <c r="J2758" t="s">
        <v>33</v>
      </c>
      <c r="K2758" t="s">
        <v>3783</v>
      </c>
      <c r="L2758" t="s">
        <v>21</v>
      </c>
      <c r="M2758" t="str">
        <f t="shared" si="129"/>
        <v>OK</v>
      </c>
      <c r="N2758" t="str">
        <f t="shared" si="130"/>
        <v>1980s</v>
      </c>
      <c r="O2758" t="str">
        <f t="shared" si="131"/>
        <v>N/A</v>
      </c>
      <c r="P2758" t="str">
        <f>VLOOKUP(E2758,calculated_fields!$F$4:$G$6,2,FALSE)</f>
        <v>Economy</v>
      </c>
    </row>
    <row r="2759" spans="1:16">
      <c r="A2759" t="s">
        <v>3786</v>
      </c>
      <c r="B2759" t="s">
        <v>3758</v>
      </c>
      <c r="C2759" t="s">
        <v>130</v>
      </c>
      <c r="D2759">
        <v>1987</v>
      </c>
      <c r="E2759" t="s">
        <v>15</v>
      </c>
      <c r="F2759" t="s">
        <v>16</v>
      </c>
      <c r="G2759" t="s">
        <v>17</v>
      </c>
      <c r="H2759" t="s">
        <v>18</v>
      </c>
      <c r="I2759">
        <v>49.35</v>
      </c>
      <c r="J2759" t="s">
        <v>19</v>
      </c>
      <c r="K2759" t="s">
        <v>3787</v>
      </c>
      <c r="L2759" t="s">
        <v>21</v>
      </c>
      <c r="M2759" t="str">
        <f t="shared" si="129"/>
        <v>OK</v>
      </c>
      <c r="N2759" t="str">
        <f t="shared" si="130"/>
        <v>1980s</v>
      </c>
      <c r="O2759" t="str">
        <f t="shared" si="131"/>
        <v>Low</v>
      </c>
      <c r="P2759" t="str">
        <f>VLOOKUP(E2759,calculated_fields!$F$4:$G$6,2,FALSE)</f>
        <v>Health</v>
      </c>
    </row>
    <row r="2760" spans="1:16">
      <c r="A2760" t="s">
        <v>3788</v>
      </c>
      <c r="B2760" t="s">
        <v>3758</v>
      </c>
      <c r="C2760" t="s">
        <v>130</v>
      </c>
      <c r="D2760">
        <v>1987</v>
      </c>
      <c r="E2760" t="s">
        <v>23</v>
      </c>
      <c r="F2760" t="s">
        <v>24</v>
      </c>
      <c r="G2760" t="s">
        <v>25</v>
      </c>
      <c r="H2760" t="s">
        <v>26</v>
      </c>
      <c r="I2760">
        <v>10568642</v>
      </c>
      <c r="J2760" t="s">
        <v>27</v>
      </c>
      <c r="K2760" t="s">
        <v>3787</v>
      </c>
      <c r="L2760" t="s">
        <v>21</v>
      </c>
      <c r="M2760" t="str">
        <f t="shared" si="129"/>
        <v>OK</v>
      </c>
      <c r="N2760" t="str">
        <f t="shared" si="130"/>
        <v>1980s</v>
      </c>
      <c r="O2760" t="str">
        <f t="shared" si="131"/>
        <v>N/A</v>
      </c>
      <c r="P2760" t="str">
        <f>VLOOKUP(E2760,calculated_fields!$F$4:$G$6,2,FALSE)</f>
        <v>Demographics</v>
      </c>
    </row>
    <row r="2761" spans="1:16">
      <c r="A2761" t="s">
        <v>3789</v>
      </c>
      <c r="B2761" t="s">
        <v>3758</v>
      </c>
      <c r="C2761" t="s">
        <v>130</v>
      </c>
      <c r="D2761">
        <v>1987</v>
      </c>
      <c r="E2761" t="s">
        <v>29</v>
      </c>
      <c r="F2761" t="s">
        <v>30</v>
      </c>
      <c r="G2761" t="s">
        <v>31</v>
      </c>
      <c r="H2761" t="s">
        <v>32</v>
      </c>
      <c r="I2761">
        <v>1155.4419479999999</v>
      </c>
      <c r="J2761" t="s">
        <v>33</v>
      </c>
      <c r="K2761" t="s">
        <v>3787</v>
      </c>
      <c r="L2761" t="s">
        <v>21</v>
      </c>
      <c r="M2761" t="str">
        <f t="shared" si="129"/>
        <v>OK</v>
      </c>
      <c r="N2761" t="str">
        <f t="shared" si="130"/>
        <v>1980s</v>
      </c>
      <c r="O2761" t="str">
        <f t="shared" si="131"/>
        <v>N/A</v>
      </c>
      <c r="P2761" t="str">
        <f>VLOOKUP(E2761,calculated_fields!$F$4:$G$6,2,FALSE)</f>
        <v>Economy</v>
      </c>
    </row>
    <row r="2762" spans="1:16">
      <c r="A2762" t="s">
        <v>3790</v>
      </c>
      <c r="B2762" t="s">
        <v>3758</v>
      </c>
      <c r="C2762" t="s">
        <v>130</v>
      </c>
      <c r="D2762">
        <v>1992</v>
      </c>
      <c r="E2762" t="s">
        <v>15</v>
      </c>
      <c r="F2762" t="s">
        <v>16</v>
      </c>
      <c r="G2762" t="s">
        <v>17</v>
      </c>
      <c r="H2762" t="s">
        <v>18</v>
      </c>
      <c r="I2762">
        <v>52.213999999999999</v>
      </c>
      <c r="J2762" t="s">
        <v>19</v>
      </c>
      <c r="K2762" t="s">
        <v>3791</v>
      </c>
      <c r="L2762" t="s">
        <v>21</v>
      </c>
      <c r="M2762" t="str">
        <f t="shared" si="129"/>
        <v>OK</v>
      </c>
      <c r="N2762" t="str">
        <f t="shared" si="130"/>
        <v>1990s</v>
      </c>
      <c r="O2762" t="str">
        <f t="shared" si="131"/>
        <v>Low</v>
      </c>
      <c r="P2762" t="str">
        <f>VLOOKUP(E2762,calculated_fields!$F$4:$G$6,2,FALSE)</f>
        <v>Health</v>
      </c>
    </row>
    <row r="2763" spans="1:16">
      <c r="A2763" t="s">
        <v>3792</v>
      </c>
      <c r="B2763" t="s">
        <v>3758</v>
      </c>
      <c r="C2763" t="s">
        <v>130</v>
      </c>
      <c r="D2763">
        <v>1992</v>
      </c>
      <c r="E2763" t="s">
        <v>23</v>
      </c>
      <c r="F2763" t="s">
        <v>24</v>
      </c>
      <c r="G2763" t="s">
        <v>25</v>
      </c>
      <c r="H2763" t="s">
        <v>26</v>
      </c>
      <c r="I2763">
        <v>12210395</v>
      </c>
      <c r="J2763" t="s">
        <v>27</v>
      </c>
      <c r="K2763" t="s">
        <v>3791</v>
      </c>
      <c r="L2763" t="s">
        <v>21</v>
      </c>
      <c r="M2763" t="str">
        <f t="shared" si="129"/>
        <v>OK</v>
      </c>
      <c r="N2763" t="str">
        <f t="shared" si="130"/>
        <v>1990s</v>
      </c>
      <c r="O2763" t="str">
        <f t="shared" si="131"/>
        <v>N/A</v>
      </c>
      <c r="P2763" t="str">
        <f>VLOOKUP(E2763,calculated_fields!$F$4:$G$6,2,FALSE)</f>
        <v>Demographics</v>
      </c>
    </row>
    <row r="2764" spans="1:16">
      <c r="A2764" t="s">
        <v>3793</v>
      </c>
      <c r="B2764" t="s">
        <v>3758</v>
      </c>
      <c r="C2764" t="s">
        <v>130</v>
      </c>
      <c r="D2764">
        <v>1992</v>
      </c>
      <c r="E2764" t="s">
        <v>29</v>
      </c>
      <c r="F2764" t="s">
        <v>30</v>
      </c>
      <c r="G2764" t="s">
        <v>31</v>
      </c>
      <c r="H2764" t="s">
        <v>32</v>
      </c>
      <c r="I2764">
        <v>1040.6761899999999</v>
      </c>
      <c r="J2764" t="s">
        <v>33</v>
      </c>
      <c r="K2764" t="s">
        <v>3791</v>
      </c>
      <c r="L2764" t="s">
        <v>21</v>
      </c>
      <c r="M2764" t="str">
        <f t="shared" si="129"/>
        <v>OK</v>
      </c>
      <c r="N2764" t="str">
        <f t="shared" si="130"/>
        <v>1990s</v>
      </c>
      <c r="O2764" t="str">
        <f t="shared" si="131"/>
        <v>N/A</v>
      </c>
      <c r="P2764" t="str">
        <f>VLOOKUP(E2764,calculated_fields!$F$4:$G$6,2,FALSE)</f>
        <v>Economy</v>
      </c>
    </row>
    <row r="2765" spans="1:16">
      <c r="A2765" t="s">
        <v>3794</v>
      </c>
      <c r="B2765" t="s">
        <v>3758</v>
      </c>
      <c r="C2765" t="s">
        <v>130</v>
      </c>
      <c r="D2765">
        <v>1997</v>
      </c>
      <c r="E2765" t="s">
        <v>15</v>
      </c>
      <c r="F2765" t="s">
        <v>16</v>
      </c>
      <c r="G2765" t="s">
        <v>17</v>
      </c>
      <c r="H2765" t="s">
        <v>18</v>
      </c>
      <c r="I2765">
        <v>54.978000000000002</v>
      </c>
      <c r="J2765" t="s">
        <v>19</v>
      </c>
      <c r="K2765" t="s">
        <v>3795</v>
      </c>
      <c r="L2765" t="s">
        <v>21</v>
      </c>
      <c r="M2765" t="str">
        <f t="shared" si="129"/>
        <v>OK</v>
      </c>
      <c r="N2765" t="str">
        <f t="shared" si="130"/>
        <v>1990s</v>
      </c>
      <c r="O2765" t="str">
        <f t="shared" si="131"/>
        <v>Low</v>
      </c>
      <c r="P2765" t="str">
        <f>VLOOKUP(E2765,calculated_fields!$F$4:$G$6,2,FALSE)</f>
        <v>Health</v>
      </c>
    </row>
    <row r="2766" spans="1:16">
      <c r="A2766" t="s">
        <v>3796</v>
      </c>
      <c r="B2766" t="s">
        <v>3758</v>
      </c>
      <c r="C2766" t="s">
        <v>130</v>
      </c>
      <c r="D2766">
        <v>1997</v>
      </c>
      <c r="E2766" t="s">
        <v>23</v>
      </c>
      <c r="F2766" t="s">
        <v>24</v>
      </c>
      <c r="G2766" t="s">
        <v>25</v>
      </c>
      <c r="H2766" t="s">
        <v>26</v>
      </c>
      <c r="I2766">
        <v>14165114</v>
      </c>
      <c r="J2766" t="s">
        <v>27</v>
      </c>
      <c r="K2766" t="s">
        <v>3795</v>
      </c>
      <c r="L2766" t="s">
        <v>21</v>
      </c>
      <c r="M2766" t="str">
        <f t="shared" si="129"/>
        <v>OK</v>
      </c>
      <c r="N2766" t="str">
        <f t="shared" si="130"/>
        <v>1990s</v>
      </c>
      <c r="O2766" t="str">
        <f t="shared" si="131"/>
        <v>N/A</v>
      </c>
      <c r="P2766" t="str">
        <f>VLOOKUP(E2766,calculated_fields!$F$4:$G$6,2,FALSE)</f>
        <v>Demographics</v>
      </c>
    </row>
    <row r="2767" spans="1:16">
      <c r="A2767" t="s">
        <v>3797</v>
      </c>
      <c r="B2767" t="s">
        <v>3758</v>
      </c>
      <c r="C2767" t="s">
        <v>130</v>
      </c>
      <c r="D2767">
        <v>1997</v>
      </c>
      <c r="E2767" t="s">
        <v>29</v>
      </c>
      <c r="F2767" t="s">
        <v>30</v>
      </c>
      <c r="G2767" t="s">
        <v>31</v>
      </c>
      <c r="H2767" t="s">
        <v>32</v>
      </c>
      <c r="I2767">
        <v>986.29589559999999</v>
      </c>
      <c r="J2767" t="s">
        <v>33</v>
      </c>
      <c r="K2767" t="s">
        <v>3795</v>
      </c>
      <c r="L2767" t="s">
        <v>21</v>
      </c>
      <c r="M2767" t="str">
        <f t="shared" si="129"/>
        <v>OK</v>
      </c>
      <c r="N2767" t="str">
        <f t="shared" si="130"/>
        <v>1990s</v>
      </c>
      <c r="O2767" t="str">
        <f t="shared" si="131"/>
        <v>N/A</v>
      </c>
      <c r="P2767" t="str">
        <f>VLOOKUP(E2767,calculated_fields!$F$4:$G$6,2,FALSE)</f>
        <v>Economy</v>
      </c>
    </row>
    <row r="2768" spans="1:16">
      <c r="A2768" t="s">
        <v>3798</v>
      </c>
      <c r="B2768" t="s">
        <v>3758</v>
      </c>
      <c r="C2768" t="s">
        <v>130</v>
      </c>
      <c r="D2768">
        <v>2002</v>
      </c>
      <c r="E2768" t="s">
        <v>15</v>
      </c>
      <c r="F2768" t="s">
        <v>16</v>
      </c>
      <c r="G2768" t="s">
        <v>17</v>
      </c>
      <c r="H2768" t="s">
        <v>18</v>
      </c>
      <c r="I2768">
        <v>57.286000000000001</v>
      </c>
      <c r="J2768" t="s">
        <v>19</v>
      </c>
      <c r="K2768" t="s">
        <v>3799</v>
      </c>
      <c r="L2768" t="s">
        <v>21</v>
      </c>
      <c r="M2768" t="str">
        <f t="shared" si="129"/>
        <v>OK</v>
      </c>
      <c r="N2768" t="str">
        <f t="shared" si="130"/>
        <v>2000s</v>
      </c>
      <c r="O2768" t="str">
        <f t="shared" si="131"/>
        <v>Medium</v>
      </c>
      <c r="P2768" t="str">
        <f>VLOOKUP(E2768,calculated_fields!$F$4:$G$6,2,FALSE)</f>
        <v>Health</v>
      </c>
    </row>
    <row r="2769" spans="1:16">
      <c r="A2769" t="s">
        <v>3800</v>
      </c>
      <c r="B2769" t="s">
        <v>3758</v>
      </c>
      <c r="C2769" t="s">
        <v>130</v>
      </c>
      <c r="D2769">
        <v>2002</v>
      </c>
      <c r="E2769" t="s">
        <v>23</v>
      </c>
      <c r="F2769" t="s">
        <v>24</v>
      </c>
      <c r="G2769" t="s">
        <v>25</v>
      </c>
      <c r="H2769" t="s">
        <v>26</v>
      </c>
      <c r="I2769">
        <v>16473477</v>
      </c>
      <c r="J2769" t="s">
        <v>27</v>
      </c>
      <c r="K2769" t="s">
        <v>3799</v>
      </c>
      <c r="L2769" t="s">
        <v>21</v>
      </c>
      <c r="M2769" t="str">
        <f t="shared" si="129"/>
        <v>OK</v>
      </c>
      <c r="N2769" t="str">
        <f t="shared" si="130"/>
        <v>2000s</v>
      </c>
      <c r="O2769" t="str">
        <f t="shared" si="131"/>
        <v>N/A</v>
      </c>
      <c r="P2769" t="str">
        <f>VLOOKUP(E2769,calculated_fields!$F$4:$G$6,2,FALSE)</f>
        <v>Demographics</v>
      </c>
    </row>
    <row r="2770" spans="1:16">
      <c r="A2770" t="s">
        <v>3801</v>
      </c>
      <c r="B2770" t="s">
        <v>3758</v>
      </c>
      <c r="C2770" t="s">
        <v>130</v>
      </c>
      <c r="D2770">
        <v>2002</v>
      </c>
      <c r="E2770" t="s">
        <v>29</v>
      </c>
      <c r="F2770" t="s">
        <v>30</v>
      </c>
      <c r="G2770" t="s">
        <v>31</v>
      </c>
      <c r="H2770" t="s">
        <v>32</v>
      </c>
      <c r="I2770">
        <v>894.63708220000001</v>
      </c>
      <c r="J2770" t="s">
        <v>33</v>
      </c>
      <c r="K2770" t="s">
        <v>3799</v>
      </c>
      <c r="L2770" t="s">
        <v>21</v>
      </c>
      <c r="M2770" t="str">
        <f t="shared" si="129"/>
        <v>OK</v>
      </c>
      <c r="N2770" t="str">
        <f t="shared" si="130"/>
        <v>2000s</v>
      </c>
      <c r="O2770" t="str">
        <f t="shared" si="131"/>
        <v>N/A</v>
      </c>
      <c r="P2770" t="str">
        <f>VLOOKUP(E2770,calculated_fields!$F$4:$G$6,2,FALSE)</f>
        <v>Economy</v>
      </c>
    </row>
    <row r="2771" spans="1:16">
      <c r="A2771" t="s">
        <v>3802</v>
      </c>
      <c r="B2771" t="s">
        <v>3758</v>
      </c>
      <c r="C2771" t="s">
        <v>130</v>
      </c>
      <c r="D2771">
        <v>2007</v>
      </c>
      <c r="E2771" t="s">
        <v>15</v>
      </c>
      <c r="F2771" t="s">
        <v>16</v>
      </c>
      <c r="G2771" t="s">
        <v>17</v>
      </c>
      <c r="H2771" t="s">
        <v>18</v>
      </c>
      <c r="I2771">
        <v>59.442999999999998</v>
      </c>
      <c r="J2771" t="s">
        <v>19</v>
      </c>
      <c r="K2771" t="s">
        <v>3803</v>
      </c>
      <c r="L2771" t="s">
        <v>21</v>
      </c>
      <c r="M2771" t="str">
        <f t="shared" si="129"/>
        <v>OK</v>
      </c>
      <c r="N2771" t="str">
        <f t="shared" si="130"/>
        <v>2000s</v>
      </c>
      <c r="O2771" t="str">
        <f t="shared" si="131"/>
        <v>Medium</v>
      </c>
      <c r="P2771" t="str">
        <f>VLOOKUP(E2771,calculated_fields!$F$4:$G$6,2,FALSE)</f>
        <v>Health</v>
      </c>
    </row>
    <row r="2772" spans="1:16">
      <c r="A2772" t="s">
        <v>3804</v>
      </c>
      <c r="B2772" t="s">
        <v>3758</v>
      </c>
      <c r="C2772" t="s">
        <v>130</v>
      </c>
      <c r="D2772">
        <v>2007</v>
      </c>
      <c r="E2772" t="s">
        <v>23</v>
      </c>
      <c r="F2772" t="s">
        <v>24</v>
      </c>
      <c r="G2772" t="s">
        <v>25</v>
      </c>
      <c r="H2772" t="s">
        <v>26</v>
      </c>
      <c r="I2772">
        <v>19167654</v>
      </c>
      <c r="J2772" t="s">
        <v>27</v>
      </c>
      <c r="K2772" t="s">
        <v>3803</v>
      </c>
      <c r="L2772" t="s">
        <v>21</v>
      </c>
      <c r="M2772" t="str">
        <f t="shared" si="129"/>
        <v>OK</v>
      </c>
      <c r="N2772" t="str">
        <f t="shared" si="130"/>
        <v>2000s</v>
      </c>
      <c r="O2772" t="str">
        <f t="shared" si="131"/>
        <v>N/A</v>
      </c>
      <c r="P2772" t="str">
        <f>VLOOKUP(E2772,calculated_fields!$F$4:$G$6,2,FALSE)</f>
        <v>Demographics</v>
      </c>
    </row>
    <row r="2773" spans="1:16">
      <c r="A2773" t="s">
        <v>3805</v>
      </c>
      <c r="B2773" t="s">
        <v>3758</v>
      </c>
      <c r="C2773" t="s">
        <v>130</v>
      </c>
      <c r="D2773">
        <v>2007</v>
      </c>
      <c r="E2773" t="s">
        <v>29</v>
      </c>
      <c r="F2773" t="s">
        <v>30</v>
      </c>
      <c r="G2773" t="s">
        <v>31</v>
      </c>
      <c r="H2773" t="s">
        <v>32</v>
      </c>
      <c r="I2773">
        <v>1044.7701259999999</v>
      </c>
      <c r="J2773" t="s">
        <v>33</v>
      </c>
      <c r="K2773" t="s">
        <v>3803</v>
      </c>
      <c r="L2773" t="s">
        <v>21</v>
      </c>
      <c r="M2773" t="str">
        <f t="shared" si="129"/>
        <v>OK</v>
      </c>
      <c r="N2773" t="str">
        <f t="shared" si="130"/>
        <v>2000s</v>
      </c>
      <c r="O2773" t="str">
        <f t="shared" si="131"/>
        <v>N/A</v>
      </c>
      <c r="P2773" t="str">
        <f>VLOOKUP(E2773,calculated_fields!$F$4:$G$6,2,FALSE)</f>
        <v>Economy</v>
      </c>
    </row>
    <row r="2774" spans="1:16">
      <c r="A2774" t="s">
        <v>3806</v>
      </c>
      <c r="B2774" t="s">
        <v>3807</v>
      </c>
      <c r="C2774" t="s">
        <v>130</v>
      </c>
      <c r="D2774">
        <v>1952</v>
      </c>
      <c r="E2774" t="s">
        <v>15</v>
      </c>
      <c r="F2774" t="s">
        <v>16</v>
      </c>
      <c r="G2774" t="s">
        <v>17</v>
      </c>
      <c r="H2774" t="s">
        <v>18</v>
      </c>
      <c r="I2774">
        <v>36.256</v>
      </c>
      <c r="J2774" t="s">
        <v>19</v>
      </c>
      <c r="K2774" t="s">
        <v>3808</v>
      </c>
      <c r="L2774" t="s">
        <v>21</v>
      </c>
      <c r="M2774" t="str">
        <f t="shared" si="129"/>
        <v>OK</v>
      </c>
      <c r="N2774" t="str">
        <f t="shared" si="130"/>
        <v>1950s</v>
      </c>
      <c r="O2774" t="str">
        <f t="shared" si="131"/>
        <v>Low</v>
      </c>
      <c r="P2774" t="str">
        <f>VLOOKUP(E2774,calculated_fields!$F$4:$G$6,2,FALSE)</f>
        <v>Health</v>
      </c>
    </row>
    <row r="2775" spans="1:16">
      <c r="A2775" t="s">
        <v>3809</v>
      </c>
      <c r="B2775" t="s">
        <v>3807</v>
      </c>
      <c r="C2775" t="s">
        <v>130</v>
      </c>
      <c r="D2775">
        <v>1952</v>
      </c>
      <c r="E2775" t="s">
        <v>23</v>
      </c>
      <c r="F2775" t="s">
        <v>24</v>
      </c>
      <c r="G2775" t="s">
        <v>25</v>
      </c>
      <c r="H2775" t="s">
        <v>26</v>
      </c>
      <c r="I2775">
        <v>2917802</v>
      </c>
      <c r="J2775" t="s">
        <v>27</v>
      </c>
      <c r="K2775" t="s">
        <v>3808</v>
      </c>
      <c r="L2775" t="s">
        <v>21</v>
      </c>
      <c r="M2775" t="str">
        <f t="shared" si="129"/>
        <v>OK</v>
      </c>
      <c r="N2775" t="str">
        <f t="shared" si="130"/>
        <v>1950s</v>
      </c>
      <c r="O2775" t="str">
        <f t="shared" si="131"/>
        <v>N/A</v>
      </c>
      <c r="P2775" t="str">
        <f>VLOOKUP(E2775,calculated_fields!$F$4:$G$6,2,FALSE)</f>
        <v>Demographics</v>
      </c>
    </row>
    <row r="2776" spans="1:16">
      <c r="A2776" t="s">
        <v>3810</v>
      </c>
      <c r="B2776" t="s">
        <v>3807</v>
      </c>
      <c r="C2776" t="s">
        <v>130</v>
      </c>
      <c r="D2776">
        <v>1952</v>
      </c>
      <c r="E2776" t="s">
        <v>29</v>
      </c>
      <c r="F2776" t="s">
        <v>30</v>
      </c>
      <c r="G2776" t="s">
        <v>31</v>
      </c>
      <c r="H2776" t="s">
        <v>32</v>
      </c>
      <c r="I2776">
        <v>369.16508019999998</v>
      </c>
      <c r="J2776" t="s">
        <v>33</v>
      </c>
      <c r="K2776" t="s">
        <v>3808</v>
      </c>
      <c r="L2776" t="s">
        <v>21</v>
      </c>
      <c r="M2776" t="str">
        <f t="shared" si="129"/>
        <v>OK</v>
      </c>
      <c r="N2776" t="str">
        <f t="shared" si="130"/>
        <v>1950s</v>
      </c>
      <c r="O2776" t="str">
        <f t="shared" si="131"/>
        <v>N/A</v>
      </c>
      <c r="P2776" t="str">
        <f>VLOOKUP(E2776,calculated_fields!$F$4:$G$6,2,FALSE)</f>
        <v>Economy</v>
      </c>
    </row>
    <row r="2777" spans="1:16">
      <c r="A2777" t="s">
        <v>3811</v>
      </c>
      <c r="B2777" t="s">
        <v>3807</v>
      </c>
      <c r="C2777" t="s">
        <v>130</v>
      </c>
      <c r="D2777">
        <v>1957</v>
      </c>
      <c r="E2777" t="s">
        <v>15</v>
      </c>
      <c r="F2777" t="s">
        <v>16</v>
      </c>
      <c r="G2777" t="s">
        <v>17</v>
      </c>
      <c r="H2777" t="s">
        <v>18</v>
      </c>
      <c r="I2777">
        <v>37.207000000000001</v>
      </c>
      <c r="J2777" t="s">
        <v>19</v>
      </c>
      <c r="K2777" t="s">
        <v>3812</v>
      </c>
      <c r="L2777" t="s">
        <v>21</v>
      </c>
      <c r="M2777" t="str">
        <f t="shared" si="129"/>
        <v>OK</v>
      </c>
      <c r="N2777" t="str">
        <f t="shared" si="130"/>
        <v>1950s</v>
      </c>
      <c r="O2777" t="str">
        <f t="shared" si="131"/>
        <v>Low</v>
      </c>
      <c r="P2777" t="str">
        <f>VLOOKUP(E2777,calculated_fields!$F$4:$G$6,2,FALSE)</f>
        <v>Health</v>
      </c>
    </row>
    <row r="2778" spans="1:16">
      <c r="A2778" t="s">
        <v>3813</v>
      </c>
      <c r="B2778" t="s">
        <v>3807</v>
      </c>
      <c r="C2778" t="s">
        <v>130</v>
      </c>
      <c r="D2778">
        <v>1957</v>
      </c>
      <c r="E2778" t="s">
        <v>23</v>
      </c>
      <c r="F2778" t="s">
        <v>24</v>
      </c>
      <c r="G2778" t="s">
        <v>25</v>
      </c>
      <c r="H2778" t="s">
        <v>26</v>
      </c>
      <c r="I2778">
        <v>3221238</v>
      </c>
      <c r="J2778" t="s">
        <v>27</v>
      </c>
      <c r="K2778" t="s">
        <v>3812</v>
      </c>
      <c r="L2778" t="s">
        <v>21</v>
      </c>
      <c r="M2778" t="str">
        <f t="shared" si="129"/>
        <v>OK</v>
      </c>
      <c r="N2778" t="str">
        <f t="shared" si="130"/>
        <v>1950s</v>
      </c>
      <c r="O2778" t="str">
        <f t="shared" si="131"/>
        <v>N/A</v>
      </c>
      <c r="P2778" t="str">
        <f>VLOOKUP(E2778,calculated_fields!$F$4:$G$6,2,FALSE)</f>
        <v>Demographics</v>
      </c>
    </row>
    <row r="2779" spans="1:16">
      <c r="A2779" t="s">
        <v>3814</v>
      </c>
      <c r="B2779" t="s">
        <v>3807</v>
      </c>
      <c r="C2779" t="s">
        <v>130</v>
      </c>
      <c r="D2779">
        <v>1957</v>
      </c>
      <c r="E2779" t="s">
        <v>29</v>
      </c>
      <c r="F2779" t="s">
        <v>30</v>
      </c>
      <c r="G2779" t="s">
        <v>31</v>
      </c>
      <c r="H2779" t="s">
        <v>32</v>
      </c>
      <c r="I2779">
        <v>416.36980640000002</v>
      </c>
      <c r="J2779" t="s">
        <v>33</v>
      </c>
      <c r="K2779" t="s">
        <v>3812</v>
      </c>
      <c r="L2779" t="s">
        <v>21</v>
      </c>
      <c r="M2779" t="str">
        <f t="shared" si="129"/>
        <v>OK</v>
      </c>
      <c r="N2779" t="str">
        <f t="shared" si="130"/>
        <v>1950s</v>
      </c>
      <c r="O2779" t="str">
        <f t="shared" si="131"/>
        <v>N/A</v>
      </c>
      <c r="P2779" t="str">
        <f>VLOOKUP(E2779,calculated_fields!$F$4:$G$6,2,FALSE)</f>
        <v>Economy</v>
      </c>
    </row>
    <row r="2780" spans="1:16">
      <c r="A2780" t="s">
        <v>3815</v>
      </c>
      <c r="B2780" t="s">
        <v>3807</v>
      </c>
      <c r="C2780" t="s">
        <v>130</v>
      </c>
      <c r="D2780">
        <v>1962</v>
      </c>
      <c r="E2780" t="s">
        <v>15</v>
      </c>
      <c r="F2780" t="s">
        <v>16</v>
      </c>
      <c r="G2780" t="s">
        <v>17</v>
      </c>
      <c r="H2780" t="s">
        <v>18</v>
      </c>
      <c r="I2780">
        <v>38.409999999999997</v>
      </c>
      <c r="J2780" t="s">
        <v>19</v>
      </c>
      <c r="K2780" t="s">
        <v>3816</v>
      </c>
      <c r="L2780" t="s">
        <v>21</v>
      </c>
      <c r="M2780" t="str">
        <f t="shared" si="129"/>
        <v>OK</v>
      </c>
      <c r="N2780" t="str">
        <f t="shared" si="130"/>
        <v>1960s</v>
      </c>
      <c r="O2780" t="str">
        <f t="shared" si="131"/>
        <v>Low</v>
      </c>
      <c r="P2780" t="str">
        <f>VLOOKUP(E2780,calculated_fields!$F$4:$G$6,2,FALSE)</f>
        <v>Health</v>
      </c>
    </row>
    <row r="2781" spans="1:16">
      <c r="A2781" t="s">
        <v>3817</v>
      </c>
      <c r="B2781" t="s">
        <v>3807</v>
      </c>
      <c r="C2781" t="s">
        <v>130</v>
      </c>
      <c r="D2781">
        <v>1962</v>
      </c>
      <c r="E2781" t="s">
        <v>23</v>
      </c>
      <c r="F2781" t="s">
        <v>24</v>
      </c>
      <c r="G2781" t="s">
        <v>25</v>
      </c>
      <c r="H2781" t="s">
        <v>26</v>
      </c>
      <c r="I2781">
        <v>3628608</v>
      </c>
      <c r="J2781" t="s">
        <v>27</v>
      </c>
      <c r="K2781" t="s">
        <v>3816</v>
      </c>
      <c r="L2781" t="s">
        <v>21</v>
      </c>
      <c r="M2781" t="str">
        <f t="shared" si="129"/>
        <v>OK</v>
      </c>
      <c r="N2781" t="str">
        <f t="shared" si="130"/>
        <v>1960s</v>
      </c>
      <c r="O2781" t="str">
        <f t="shared" si="131"/>
        <v>N/A</v>
      </c>
      <c r="P2781" t="str">
        <f>VLOOKUP(E2781,calculated_fields!$F$4:$G$6,2,FALSE)</f>
        <v>Demographics</v>
      </c>
    </row>
    <row r="2782" spans="1:16">
      <c r="A2782" t="s">
        <v>3818</v>
      </c>
      <c r="B2782" t="s">
        <v>3807</v>
      </c>
      <c r="C2782" t="s">
        <v>130</v>
      </c>
      <c r="D2782">
        <v>1962</v>
      </c>
      <c r="E2782" t="s">
        <v>29</v>
      </c>
      <c r="F2782" t="s">
        <v>30</v>
      </c>
      <c r="G2782" t="s">
        <v>31</v>
      </c>
      <c r="H2782" t="s">
        <v>32</v>
      </c>
      <c r="I2782">
        <v>427.90108559999999</v>
      </c>
      <c r="J2782" t="s">
        <v>33</v>
      </c>
      <c r="K2782" t="s">
        <v>3816</v>
      </c>
      <c r="L2782" t="s">
        <v>21</v>
      </c>
      <c r="M2782" t="str">
        <f t="shared" si="129"/>
        <v>OK</v>
      </c>
      <c r="N2782" t="str">
        <f t="shared" si="130"/>
        <v>1960s</v>
      </c>
      <c r="O2782" t="str">
        <f t="shared" si="131"/>
        <v>N/A</v>
      </c>
      <c r="P2782" t="str">
        <f>VLOOKUP(E2782,calculated_fields!$F$4:$G$6,2,FALSE)</f>
        <v>Economy</v>
      </c>
    </row>
    <row r="2783" spans="1:16">
      <c r="A2783" t="s">
        <v>3819</v>
      </c>
      <c r="B2783" t="s">
        <v>3807</v>
      </c>
      <c r="C2783" t="s">
        <v>130</v>
      </c>
      <c r="D2783">
        <v>1967</v>
      </c>
      <c r="E2783" t="s">
        <v>15</v>
      </c>
      <c r="F2783" t="s">
        <v>16</v>
      </c>
      <c r="G2783" t="s">
        <v>17</v>
      </c>
      <c r="H2783" t="s">
        <v>18</v>
      </c>
      <c r="I2783">
        <v>39.487000000000002</v>
      </c>
      <c r="J2783" t="s">
        <v>19</v>
      </c>
      <c r="K2783" t="s">
        <v>3820</v>
      </c>
      <c r="L2783" t="s">
        <v>21</v>
      </c>
      <c r="M2783" t="str">
        <f t="shared" si="129"/>
        <v>OK</v>
      </c>
      <c r="N2783" t="str">
        <f t="shared" si="130"/>
        <v>1960s</v>
      </c>
      <c r="O2783" t="str">
        <f t="shared" si="131"/>
        <v>Low</v>
      </c>
      <c r="P2783" t="str">
        <f>VLOOKUP(E2783,calculated_fields!$F$4:$G$6,2,FALSE)</f>
        <v>Health</v>
      </c>
    </row>
    <row r="2784" spans="1:16">
      <c r="A2784" t="s">
        <v>3821</v>
      </c>
      <c r="B2784" t="s">
        <v>3807</v>
      </c>
      <c r="C2784" t="s">
        <v>130</v>
      </c>
      <c r="D2784">
        <v>1967</v>
      </c>
      <c r="E2784" t="s">
        <v>23</v>
      </c>
      <c r="F2784" t="s">
        <v>24</v>
      </c>
      <c r="G2784" t="s">
        <v>25</v>
      </c>
      <c r="H2784" t="s">
        <v>26</v>
      </c>
      <c r="I2784">
        <v>4147252</v>
      </c>
      <c r="J2784" t="s">
        <v>27</v>
      </c>
      <c r="K2784" t="s">
        <v>3820</v>
      </c>
      <c r="L2784" t="s">
        <v>21</v>
      </c>
      <c r="M2784" t="str">
        <f t="shared" si="129"/>
        <v>OK</v>
      </c>
      <c r="N2784" t="str">
        <f t="shared" si="130"/>
        <v>1960s</v>
      </c>
      <c r="O2784" t="str">
        <f t="shared" si="131"/>
        <v>N/A</v>
      </c>
      <c r="P2784" t="str">
        <f>VLOOKUP(E2784,calculated_fields!$F$4:$G$6,2,FALSE)</f>
        <v>Demographics</v>
      </c>
    </row>
    <row r="2785" spans="1:16">
      <c r="A2785" t="s">
        <v>3822</v>
      </c>
      <c r="B2785" t="s">
        <v>3807</v>
      </c>
      <c r="C2785" t="s">
        <v>130</v>
      </c>
      <c r="D2785">
        <v>1967</v>
      </c>
      <c r="E2785" t="s">
        <v>29</v>
      </c>
      <c r="F2785" t="s">
        <v>30</v>
      </c>
      <c r="G2785" t="s">
        <v>31</v>
      </c>
      <c r="H2785" t="s">
        <v>32</v>
      </c>
      <c r="I2785">
        <v>495.51478059999999</v>
      </c>
      <c r="J2785" t="s">
        <v>33</v>
      </c>
      <c r="K2785" t="s">
        <v>3820</v>
      </c>
      <c r="L2785" t="s">
        <v>21</v>
      </c>
      <c r="M2785" t="str">
        <f t="shared" si="129"/>
        <v>OK</v>
      </c>
      <c r="N2785" t="str">
        <f t="shared" si="130"/>
        <v>1960s</v>
      </c>
      <c r="O2785" t="str">
        <f t="shared" si="131"/>
        <v>N/A</v>
      </c>
      <c r="P2785" t="str">
        <f>VLOOKUP(E2785,calculated_fields!$F$4:$G$6,2,FALSE)</f>
        <v>Economy</v>
      </c>
    </row>
    <row r="2786" spans="1:16">
      <c r="A2786" t="s">
        <v>3823</v>
      </c>
      <c r="B2786" t="s">
        <v>3807</v>
      </c>
      <c r="C2786" t="s">
        <v>130</v>
      </c>
      <c r="D2786">
        <v>1972</v>
      </c>
      <c r="E2786" t="s">
        <v>15</v>
      </c>
      <c r="F2786" t="s">
        <v>16</v>
      </c>
      <c r="G2786" t="s">
        <v>17</v>
      </c>
      <c r="H2786" t="s">
        <v>18</v>
      </c>
      <c r="I2786">
        <v>41.765999999999998</v>
      </c>
      <c r="J2786" t="s">
        <v>19</v>
      </c>
      <c r="K2786" t="s">
        <v>3824</v>
      </c>
      <c r="L2786" t="s">
        <v>21</v>
      </c>
      <c r="M2786" t="str">
        <f t="shared" si="129"/>
        <v>OK</v>
      </c>
      <c r="N2786" t="str">
        <f t="shared" si="130"/>
        <v>1970s</v>
      </c>
      <c r="O2786" t="str">
        <f t="shared" si="131"/>
        <v>Low</v>
      </c>
      <c r="P2786" t="str">
        <f>VLOOKUP(E2786,calculated_fields!$F$4:$G$6,2,FALSE)</f>
        <v>Health</v>
      </c>
    </row>
    <row r="2787" spans="1:16">
      <c r="A2787" t="s">
        <v>3825</v>
      </c>
      <c r="B2787" t="s">
        <v>3807</v>
      </c>
      <c r="C2787" t="s">
        <v>130</v>
      </c>
      <c r="D2787">
        <v>1972</v>
      </c>
      <c r="E2787" t="s">
        <v>23</v>
      </c>
      <c r="F2787" t="s">
        <v>24</v>
      </c>
      <c r="G2787" t="s">
        <v>25</v>
      </c>
      <c r="H2787" t="s">
        <v>26</v>
      </c>
      <c r="I2787">
        <v>4730997</v>
      </c>
      <c r="J2787" t="s">
        <v>27</v>
      </c>
      <c r="K2787" t="s">
        <v>3824</v>
      </c>
      <c r="L2787" t="s">
        <v>21</v>
      </c>
      <c r="M2787" t="str">
        <f t="shared" si="129"/>
        <v>OK</v>
      </c>
      <c r="N2787" t="str">
        <f t="shared" si="130"/>
        <v>1970s</v>
      </c>
      <c r="O2787" t="str">
        <f t="shared" si="131"/>
        <v>N/A</v>
      </c>
      <c r="P2787" t="str">
        <f>VLOOKUP(E2787,calculated_fields!$F$4:$G$6,2,FALSE)</f>
        <v>Demographics</v>
      </c>
    </row>
    <row r="2788" spans="1:16">
      <c r="A2788" t="s">
        <v>3826</v>
      </c>
      <c r="B2788" t="s">
        <v>3807</v>
      </c>
      <c r="C2788" t="s">
        <v>130</v>
      </c>
      <c r="D2788">
        <v>1972</v>
      </c>
      <c r="E2788" t="s">
        <v>29</v>
      </c>
      <c r="F2788" t="s">
        <v>30</v>
      </c>
      <c r="G2788" t="s">
        <v>31</v>
      </c>
      <c r="H2788" t="s">
        <v>32</v>
      </c>
      <c r="I2788">
        <v>584.62197089999995</v>
      </c>
      <c r="J2788" t="s">
        <v>33</v>
      </c>
      <c r="K2788" t="s">
        <v>3824</v>
      </c>
      <c r="L2788" t="s">
        <v>21</v>
      </c>
      <c r="M2788" t="str">
        <f t="shared" si="129"/>
        <v>OK</v>
      </c>
      <c r="N2788" t="str">
        <f t="shared" si="130"/>
        <v>1970s</v>
      </c>
      <c r="O2788" t="str">
        <f t="shared" si="131"/>
        <v>N/A</v>
      </c>
      <c r="P2788" t="str">
        <f>VLOOKUP(E2788,calculated_fields!$F$4:$G$6,2,FALSE)</f>
        <v>Economy</v>
      </c>
    </row>
    <row r="2789" spans="1:16">
      <c r="A2789" t="s">
        <v>3827</v>
      </c>
      <c r="B2789" t="s">
        <v>3807</v>
      </c>
      <c r="C2789" t="s">
        <v>130</v>
      </c>
      <c r="D2789">
        <v>1977</v>
      </c>
      <c r="E2789" t="s">
        <v>15</v>
      </c>
      <c r="F2789" t="s">
        <v>16</v>
      </c>
      <c r="G2789" t="s">
        <v>17</v>
      </c>
      <c r="H2789" t="s">
        <v>18</v>
      </c>
      <c r="I2789">
        <v>43.767000000000003</v>
      </c>
      <c r="J2789" t="s">
        <v>19</v>
      </c>
      <c r="K2789" t="s">
        <v>3828</v>
      </c>
      <c r="L2789" t="s">
        <v>21</v>
      </c>
      <c r="M2789" t="str">
        <f t="shared" si="129"/>
        <v>OK</v>
      </c>
      <c r="N2789" t="str">
        <f t="shared" si="130"/>
        <v>1970s</v>
      </c>
      <c r="O2789" t="str">
        <f t="shared" si="131"/>
        <v>Low</v>
      </c>
      <c r="P2789" t="str">
        <f>VLOOKUP(E2789,calculated_fields!$F$4:$G$6,2,FALSE)</f>
        <v>Health</v>
      </c>
    </row>
    <row r="2790" spans="1:16">
      <c r="A2790" t="s">
        <v>3829</v>
      </c>
      <c r="B2790" t="s">
        <v>3807</v>
      </c>
      <c r="C2790" t="s">
        <v>130</v>
      </c>
      <c r="D2790">
        <v>1977</v>
      </c>
      <c r="E2790" t="s">
        <v>23</v>
      </c>
      <c r="F2790" t="s">
        <v>24</v>
      </c>
      <c r="G2790" t="s">
        <v>25</v>
      </c>
      <c r="H2790" t="s">
        <v>26</v>
      </c>
      <c r="I2790">
        <v>5637246</v>
      </c>
      <c r="J2790" t="s">
        <v>27</v>
      </c>
      <c r="K2790" t="s">
        <v>3828</v>
      </c>
      <c r="L2790" t="s">
        <v>21</v>
      </c>
      <c r="M2790" t="str">
        <f t="shared" si="129"/>
        <v>OK</v>
      </c>
      <c r="N2790" t="str">
        <f t="shared" si="130"/>
        <v>1970s</v>
      </c>
      <c r="O2790" t="str">
        <f t="shared" si="131"/>
        <v>N/A</v>
      </c>
      <c r="P2790" t="str">
        <f>VLOOKUP(E2790,calculated_fields!$F$4:$G$6,2,FALSE)</f>
        <v>Demographics</v>
      </c>
    </row>
    <row r="2791" spans="1:16">
      <c r="A2791" t="s">
        <v>3830</v>
      </c>
      <c r="B2791" t="s">
        <v>3807</v>
      </c>
      <c r="C2791" t="s">
        <v>130</v>
      </c>
      <c r="D2791">
        <v>1977</v>
      </c>
      <c r="E2791" t="s">
        <v>29</v>
      </c>
      <c r="F2791" t="s">
        <v>30</v>
      </c>
      <c r="G2791" t="s">
        <v>31</v>
      </c>
      <c r="H2791" t="s">
        <v>32</v>
      </c>
      <c r="I2791">
        <v>663.22367659999998</v>
      </c>
      <c r="J2791" t="s">
        <v>33</v>
      </c>
      <c r="K2791" t="s">
        <v>3828</v>
      </c>
      <c r="L2791" t="s">
        <v>21</v>
      </c>
      <c r="M2791" t="str">
        <f t="shared" si="129"/>
        <v>OK</v>
      </c>
      <c r="N2791" t="str">
        <f t="shared" si="130"/>
        <v>1970s</v>
      </c>
      <c r="O2791" t="str">
        <f t="shared" si="131"/>
        <v>N/A</v>
      </c>
      <c r="P2791" t="str">
        <f>VLOOKUP(E2791,calculated_fields!$F$4:$G$6,2,FALSE)</f>
        <v>Economy</v>
      </c>
    </row>
    <row r="2792" spans="1:16">
      <c r="A2792" t="s">
        <v>3831</v>
      </c>
      <c r="B2792" t="s">
        <v>3807</v>
      </c>
      <c r="C2792" t="s">
        <v>130</v>
      </c>
      <c r="D2792">
        <v>1982</v>
      </c>
      <c r="E2792" t="s">
        <v>15</v>
      </c>
      <c r="F2792" t="s">
        <v>16</v>
      </c>
      <c r="G2792" t="s">
        <v>17</v>
      </c>
      <c r="H2792" t="s">
        <v>18</v>
      </c>
      <c r="I2792">
        <v>45.642000000000003</v>
      </c>
      <c r="J2792" t="s">
        <v>19</v>
      </c>
      <c r="K2792" t="s">
        <v>3832</v>
      </c>
      <c r="L2792" t="s">
        <v>21</v>
      </c>
      <c r="M2792" t="str">
        <f t="shared" si="129"/>
        <v>OK</v>
      </c>
      <c r="N2792" t="str">
        <f t="shared" si="130"/>
        <v>1980s</v>
      </c>
      <c r="O2792" t="str">
        <f t="shared" si="131"/>
        <v>Low</v>
      </c>
      <c r="P2792" t="str">
        <f>VLOOKUP(E2792,calculated_fields!$F$4:$G$6,2,FALSE)</f>
        <v>Health</v>
      </c>
    </row>
    <row r="2793" spans="1:16">
      <c r="A2793" t="s">
        <v>3833</v>
      </c>
      <c r="B2793" t="s">
        <v>3807</v>
      </c>
      <c r="C2793" t="s">
        <v>130</v>
      </c>
      <c r="D2793">
        <v>1982</v>
      </c>
      <c r="E2793" t="s">
        <v>23</v>
      </c>
      <c r="F2793" t="s">
        <v>24</v>
      </c>
      <c r="G2793" t="s">
        <v>25</v>
      </c>
      <c r="H2793" t="s">
        <v>26</v>
      </c>
      <c r="I2793">
        <v>6502825</v>
      </c>
      <c r="J2793" t="s">
        <v>27</v>
      </c>
      <c r="K2793" t="s">
        <v>3832</v>
      </c>
      <c r="L2793" t="s">
        <v>21</v>
      </c>
      <c r="M2793" t="str">
        <f t="shared" si="129"/>
        <v>OK</v>
      </c>
      <c r="N2793" t="str">
        <f t="shared" si="130"/>
        <v>1980s</v>
      </c>
      <c r="O2793" t="str">
        <f t="shared" si="131"/>
        <v>N/A</v>
      </c>
      <c r="P2793" t="str">
        <f>VLOOKUP(E2793,calculated_fields!$F$4:$G$6,2,FALSE)</f>
        <v>Demographics</v>
      </c>
    </row>
    <row r="2794" spans="1:16">
      <c r="A2794" t="s">
        <v>3834</v>
      </c>
      <c r="B2794" t="s">
        <v>3807</v>
      </c>
      <c r="C2794" t="s">
        <v>130</v>
      </c>
      <c r="D2794">
        <v>1982</v>
      </c>
      <c r="E2794" t="s">
        <v>29</v>
      </c>
      <c r="F2794" t="s">
        <v>30</v>
      </c>
      <c r="G2794" t="s">
        <v>31</v>
      </c>
      <c r="H2794" t="s">
        <v>32</v>
      </c>
      <c r="I2794">
        <v>632.80392089999998</v>
      </c>
      <c r="J2794" t="s">
        <v>33</v>
      </c>
      <c r="K2794" t="s">
        <v>3832</v>
      </c>
      <c r="L2794" t="s">
        <v>21</v>
      </c>
      <c r="M2794" t="str">
        <f t="shared" si="129"/>
        <v>OK</v>
      </c>
      <c r="N2794" t="str">
        <f t="shared" si="130"/>
        <v>1980s</v>
      </c>
      <c r="O2794" t="str">
        <f t="shared" si="131"/>
        <v>N/A</v>
      </c>
      <c r="P2794" t="str">
        <f>VLOOKUP(E2794,calculated_fields!$F$4:$G$6,2,FALSE)</f>
        <v>Economy</v>
      </c>
    </row>
    <row r="2795" spans="1:16">
      <c r="A2795" t="s">
        <v>3835</v>
      </c>
      <c r="B2795" t="s">
        <v>3807</v>
      </c>
      <c r="C2795" t="s">
        <v>130</v>
      </c>
      <c r="D2795">
        <v>1987</v>
      </c>
      <c r="E2795" t="s">
        <v>15</v>
      </c>
      <c r="F2795" t="s">
        <v>16</v>
      </c>
      <c r="G2795" t="s">
        <v>17</v>
      </c>
      <c r="H2795" t="s">
        <v>18</v>
      </c>
      <c r="I2795">
        <v>47.457000000000001</v>
      </c>
      <c r="J2795" t="s">
        <v>19</v>
      </c>
      <c r="K2795" t="s">
        <v>3836</v>
      </c>
      <c r="L2795" t="s">
        <v>21</v>
      </c>
      <c r="M2795" t="str">
        <f t="shared" si="129"/>
        <v>OK</v>
      </c>
      <c r="N2795" t="str">
        <f t="shared" si="130"/>
        <v>1980s</v>
      </c>
      <c r="O2795" t="str">
        <f t="shared" si="131"/>
        <v>Low</v>
      </c>
      <c r="P2795" t="str">
        <f>VLOOKUP(E2795,calculated_fields!$F$4:$G$6,2,FALSE)</f>
        <v>Health</v>
      </c>
    </row>
    <row r="2796" spans="1:16">
      <c r="A2796" t="s">
        <v>3837</v>
      </c>
      <c r="B2796" t="s">
        <v>3807</v>
      </c>
      <c r="C2796" t="s">
        <v>130</v>
      </c>
      <c r="D2796">
        <v>1987</v>
      </c>
      <c r="E2796" t="s">
        <v>23</v>
      </c>
      <c r="F2796" t="s">
        <v>24</v>
      </c>
      <c r="G2796" t="s">
        <v>25</v>
      </c>
      <c r="H2796" t="s">
        <v>26</v>
      </c>
      <c r="I2796">
        <v>7824747</v>
      </c>
      <c r="J2796" t="s">
        <v>27</v>
      </c>
      <c r="K2796" t="s">
        <v>3836</v>
      </c>
      <c r="L2796" t="s">
        <v>21</v>
      </c>
      <c r="M2796" t="str">
        <f t="shared" si="129"/>
        <v>OK</v>
      </c>
      <c r="N2796" t="str">
        <f t="shared" si="130"/>
        <v>1980s</v>
      </c>
      <c r="O2796" t="str">
        <f t="shared" si="131"/>
        <v>N/A</v>
      </c>
      <c r="P2796" t="str">
        <f>VLOOKUP(E2796,calculated_fields!$F$4:$G$6,2,FALSE)</f>
        <v>Demographics</v>
      </c>
    </row>
    <row r="2797" spans="1:16">
      <c r="A2797" t="s">
        <v>3838</v>
      </c>
      <c r="B2797" t="s">
        <v>3807</v>
      </c>
      <c r="C2797" t="s">
        <v>130</v>
      </c>
      <c r="D2797">
        <v>1987</v>
      </c>
      <c r="E2797" t="s">
        <v>29</v>
      </c>
      <c r="F2797" t="s">
        <v>30</v>
      </c>
      <c r="G2797" t="s">
        <v>31</v>
      </c>
      <c r="H2797" t="s">
        <v>32</v>
      </c>
      <c r="I2797">
        <v>635.517363399999</v>
      </c>
      <c r="J2797" t="s">
        <v>33</v>
      </c>
      <c r="K2797" t="s">
        <v>3836</v>
      </c>
      <c r="L2797" t="s">
        <v>21</v>
      </c>
      <c r="M2797" t="str">
        <f t="shared" si="129"/>
        <v>OK</v>
      </c>
      <c r="N2797" t="str">
        <f t="shared" si="130"/>
        <v>1980s</v>
      </c>
      <c r="O2797" t="str">
        <f t="shared" si="131"/>
        <v>N/A</v>
      </c>
      <c r="P2797" t="str">
        <f>VLOOKUP(E2797,calculated_fields!$F$4:$G$6,2,FALSE)</f>
        <v>Economy</v>
      </c>
    </row>
    <row r="2798" spans="1:16">
      <c r="A2798" t="s">
        <v>3839</v>
      </c>
      <c r="B2798" t="s">
        <v>3807</v>
      </c>
      <c r="C2798" t="s">
        <v>130</v>
      </c>
      <c r="D2798">
        <v>1992</v>
      </c>
      <c r="E2798" t="s">
        <v>15</v>
      </c>
      <c r="F2798" t="s">
        <v>16</v>
      </c>
      <c r="G2798" t="s">
        <v>17</v>
      </c>
      <c r="H2798" t="s">
        <v>18</v>
      </c>
      <c r="I2798">
        <v>49.42</v>
      </c>
      <c r="J2798" t="s">
        <v>19</v>
      </c>
      <c r="K2798" t="s">
        <v>3840</v>
      </c>
      <c r="L2798" t="s">
        <v>21</v>
      </c>
      <c r="M2798" t="str">
        <f t="shared" si="129"/>
        <v>OK</v>
      </c>
      <c r="N2798" t="str">
        <f t="shared" si="130"/>
        <v>1990s</v>
      </c>
      <c r="O2798" t="str">
        <f t="shared" si="131"/>
        <v>Low</v>
      </c>
      <c r="P2798" t="str">
        <f>VLOOKUP(E2798,calculated_fields!$F$4:$G$6,2,FALSE)</f>
        <v>Health</v>
      </c>
    </row>
    <row r="2799" spans="1:16">
      <c r="A2799" t="s">
        <v>3841</v>
      </c>
      <c r="B2799" t="s">
        <v>3807</v>
      </c>
      <c r="C2799" t="s">
        <v>130</v>
      </c>
      <c r="D2799">
        <v>1992</v>
      </c>
      <c r="E2799" t="s">
        <v>23</v>
      </c>
      <c r="F2799" t="s">
        <v>24</v>
      </c>
      <c r="G2799" t="s">
        <v>25</v>
      </c>
      <c r="H2799" t="s">
        <v>26</v>
      </c>
      <c r="I2799">
        <v>10014249</v>
      </c>
      <c r="J2799" t="s">
        <v>27</v>
      </c>
      <c r="K2799" t="s">
        <v>3840</v>
      </c>
      <c r="L2799" t="s">
        <v>21</v>
      </c>
      <c r="M2799" t="str">
        <f t="shared" si="129"/>
        <v>OK</v>
      </c>
      <c r="N2799" t="str">
        <f t="shared" si="130"/>
        <v>1990s</v>
      </c>
      <c r="O2799" t="str">
        <f t="shared" si="131"/>
        <v>N/A</v>
      </c>
      <c r="P2799" t="str">
        <f>VLOOKUP(E2799,calculated_fields!$F$4:$G$6,2,FALSE)</f>
        <v>Demographics</v>
      </c>
    </row>
    <row r="2800" spans="1:16">
      <c r="A2800" t="s">
        <v>3842</v>
      </c>
      <c r="B2800" t="s">
        <v>3807</v>
      </c>
      <c r="C2800" t="s">
        <v>130</v>
      </c>
      <c r="D2800">
        <v>1992</v>
      </c>
      <c r="E2800" t="s">
        <v>29</v>
      </c>
      <c r="F2800" t="s">
        <v>30</v>
      </c>
      <c r="G2800" t="s">
        <v>31</v>
      </c>
      <c r="H2800" t="s">
        <v>32</v>
      </c>
      <c r="I2800">
        <v>563.20001449999995</v>
      </c>
      <c r="J2800" t="s">
        <v>33</v>
      </c>
      <c r="K2800" t="s">
        <v>3840</v>
      </c>
      <c r="L2800" t="s">
        <v>21</v>
      </c>
      <c r="M2800" t="str">
        <f t="shared" si="129"/>
        <v>OK</v>
      </c>
      <c r="N2800" t="str">
        <f t="shared" si="130"/>
        <v>1990s</v>
      </c>
      <c r="O2800" t="str">
        <f t="shared" si="131"/>
        <v>N/A</v>
      </c>
      <c r="P2800" t="str">
        <f>VLOOKUP(E2800,calculated_fields!$F$4:$G$6,2,FALSE)</f>
        <v>Economy</v>
      </c>
    </row>
    <row r="2801" spans="1:16">
      <c r="A2801" t="s">
        <v>3843</v>
      </c>
      <c r="B2801" t="s">
        <v>3807</v>
      </c>
      <c r="C2801" t="s">
        <v>130</v>
      </c>
      <c r="D2801">
        <v>1997</v>
      </c>
      <c r="E2801" t="s">
        <v>15</v>
      </c>
      <c r="F2801" t="s">
        <v>16</v>
      </c>
      <c r="G2801" t="s">
        <v>17</v>
      </c>
      <c r="H2801" t="s">
        <v>18</v>
      </c>
      <c r="I2801">
        <v>47.494999999999997</v>
      </c>
      <c r="J2801" t="s">
        <v>19</v>
      </c>
      <c r="K2801" t="s">
        <v>3844</v>
      </c>
      <c r="L2801" t="s">
        <v>21</v>
      </c>
      <c r="M2801" t="str">
        <f t="shared" si="129"/>
        <v>OK</v>
      </c>
      <c r="N2801" t="str">
        <f t="shared" si="130"/>
        <v>1990s</v>
      </c>
      <c r="O2801" t="str">
        <f t="shared" si="131"/>
        <v>Low</v>
      </c>
      <c r="P2801" t="str">
        <f>VLOOKUP(E2801,calculated_fields!$F$4:$G$6,2,FALSE)</f>
        <v>Health</v>
      </c>
    </row>
    <row r="2802" spans="1:16">
      <c r="A2802" t="s">
        <v>3845</v>
      </c>
      <c r="B2802" t="s">
        <v>3807</v>
      </c>
      <c r="C2802" t="s">
        <v>130</v>
      </c>
      <c r="D2802">
        <v>1997</v>
      </c>
      <c r="E2802" t="s">
        <v>23</v>
      </c>
      <c r="F2802" t="s">
        <v>24</v>
      </c>
      <c r="G2802" t="s">
        <v>25</v>
      </c>
      <c r="H2802" t="s">
        <v>26</v>
      </c>
      <c r="I2802">
        <v>10419991</v>
      </c>
      <c r="J2802" t="s">
        <v>27</v>
      </c>
      <c r="K2802" t="s">
        <v>3844</v>
      </c>
      <c r="L2802" t="s">
        <v>21</v>
      </c>
      <c r="M2802" t="str">
        <f t="shared" si="129"/>
        <v>OK</v>
      </c>
      <c r="N2802" t="str">
        <f t="shared" si="130"/>
        <v>1990s</v>
      </c>
      <c r="O2802" t="str">
        <f t="shared" si="131"/>
        <v>N/A</v>
      </c>
      <c r="P2802" t="str">
        <f>VLOOKUP(E2802,calculated_fields!$F$4:$G$6,2,FALSE)</f>
        <v>Demographics</v>
      </c>
    </row>
    <row r="2803" spans="1:16">
      <c r="A2803" t="s">
        <v>3846</v>
      </c>
      <c r="B2803" t="s">
        <v>3807</v>
      </c>
      <c r="C2803" t="s">
        <v>130</v>
      </c>
      <c r="D2803">
        <v>1997</v>
      </c>
      <c r="E2803" t="s">
        <v>29</v>
      </c>
      <c r="F2803" t="s">
        <v>30</v>
      </c>
      <c r="G2803" t="s">
        <v>31</v>
      </c>
      <c r="H2803" t="s">
        <v>32</v>
      </c>
      <c r="I2803">
        <v>692.27581029999897</v>
      </c>
      <c r="J2803" t="s">
        <v>33</v>
      </c>
      <c r="K2803" t="s">
        <v>3844</v>
      </c>
      <c r="L2803" t="s">
        <v>21</v>
      </c>
      <c r="M2803" t="str">
        <f t="shared" si="129"/>
        <v>OK</v>
      </c>
      <c r="N2803" t="str">
        <f t="shared" si="130"/>
        <v>1990s</v>
      </c>
      <c r="O2803" t="str">
        <f t="shared" si="131"/>
        <v>N/A</v>
      </c>
      <c r="P2803" t="str">
        <f>VLOOKUP(E2803,calculated_fields!$F$4:$G$6,2,FALSE)</f>
        <v>Economy</v>
      </c>
    </row>
    <row r="2804" spans="1:16">
      <c r="A2804" t="s">
        <v>3847</v>
      </c>
      <c r="B2804" t="s">
        <v>3807</v>
      </c>
      <c r="C2804" t="s">
        <v>130</v>
      </c>
      <c r="D2804">
        <v>2002</v>
      </c>
      <c r="E2804" t="s">
        <v>15</v>
      </c>
      <c r="F2804" t="s">
        <v>16</v>
      </c>
      <c r="G2804" t="s">
        <v>17</v>
      </c>
      <c r="H2804" t="s">
        <v>18</v>
      </c>
      <c r="I2804">
        <v>45.008999999999901</v>
      </c>
      <c r="J2804" t="s">
        <v>19</v>
      </c>
      <c r="K2804" t="s">
        <v>3848</v>
      </c>
      <c r="L2804" t="s">
        <v>21</v>
      </c>
      <c r="M2804" t="str">
        <f t="shared" si="129"/>
        <v>OK</v>
      </c>
      <c r="N2804" t="str">
        <f t="shared" si="130"/>
        <v>2000s</v>
      </c>
      <c r="O2804" t="str">
        <f t="shared" si="131"/>
        <v>Low</v>
      </c>
      <c r="P2804" t="str">
        <f>VLOOKUP(E2804,calculated_fields!$F$4:$G$6,2,FALSE)</f>
        <v>Health</v>
      </c>
    </row>
    <row r="2805" spans="1:16">
      <c r="A2805" t="s">
        <v>3849</v>
      </c>
      <c r="B2805" t="s">
        <v>3807</v>
      </c>
      <c r="C2805" t="s">
        <v>130</v>
      </c>
      <c r="D2805">
        <v>2002</v>
      </c>
      <c r="E2805" t="s">
        <v>23</v>
      </c>
      <c r="F2805" t="s">
        <v>24</v>
      </c>
      <c r="G2805" t="s">
        <v>25</v>
      </c>
      <c r="H2805" t="s">
        <v>26</v>
      </c>
      <c r="I2805">
        <v>11824495</v>
      </c>
      <c r="J2805" t="s">
        <v>27</v>
      </c>
      <c r="K2805" t="s">
        <v>3848</v>
      </c>
      <c r="L2805" t="s">
        <v>21</v>
      </c>
      <c r="M2805" t="str">
        <f t="shared" si="129"/>
        <v>OK</v>
      </c>
      <c r="N2805" t="str">
        <f t="shared" si="130"/>
        <v>2000s</v>
      </c>
      <c r="O2805" t="str">
        <f t="shared" si="131"/>
        <v>N/A</v>
      </c>
      <c r="P2805" t="str">
        <f>VLOOKUP(E2805,calculated_fields!$F$4:$G$6,2,FALSE)</f>
        <v>Demographics</v>
      </c>
    </row>
    <row r="2806" spans="1:16">
      <c r="A2806" t="s">
        <v>3850</v>
      </c>
      <c r="B2806" t="s">
        <v>3807</v>
      </c>
      <c r="C2806" t="s">
        <v>130</v>
      </c>
      <c r="D2806">
        <v>2002</v>
      </c>
      <c r="E2806" t="s">
        <v>29</v>
      </c>
      <c r="F2806" t="s">
        <v>30</v>
      </c>
      <c r="G2806" t="s">
        <v>31</v>
      </c>
      <c r="H2806" t="s">
        <v>32</v>
      </c>
      <c r="I2806">
        <v>665.42311859999995</v>
      </c>
      <c r="J2806" t="s">
        <v>33</v>
      </c>
      <c r="K2806" t="s">
        <v>3848</v>
      </c>
      <c r="L2806" t="s">
        <v>21</v>
      </c>
      <c r="M2806" t="str">
        <f t="shared" si="129"/>
        <v>OK</v>
      </c>
      <c r="N2806" t="str">
        <f t="shared" si="130"/>
        <v>2000s</v>
      </c>
      <c r="O2806" t="str">
        <f t="shared" si="131"/>
        <v>N/A</v>
      </c>
      <c r="P2806" t="str">
        <f>VLOOKUP(E2806,calculated_fields!$F$4:$G$6,2,FALSE)</f>
        <v>Economy</v>
      </c>
    </row>
    <row r="2807" spans="1:16">
      <c r="A2807" t="s">
        <v>3851</v>
      </c>
      <c r="B2807" t="s">
        <v>3807</v>
      </c>
      <c r="C2807" t="s">
        <v>130</v>
      </c>
      <c r="D2807">
        <v>2007</v>
      </c>
      <c r="E2807" t="s">
        <v>15</v>
      </c>
      <c r="F2807" t="s">
        <v>16</v>
      </c>
      <c r="G2807" t="s">
        <v>17</v>
      </c>
      <c r="H2807" t="s">
        <v>18</v>
      </c>
      <c r="I2807">
        <v>48.302999999999997</v>
      </c>
      <c r="J2807" t="s">
        <v>19</v>
      </c>
      <c r="K2807" t="s">
        <v>3852</v>
      </c>
      <c r="L2807" t="s">
        <v>21</v>
      </c>
      <c r="M2807" t="str">
        <f t="shared" si="129"/>
        <v>OK</v>
      </c>
      <c r="N2807" t="str">
        <f t="shared" si="130"/>
        <v>2000s</v>
      </c>
      <c r="O2807" t="str">
        <f t="shared" si="131"/>
        <v>Low</v>
      </c>
      <c r="P2807" t="str">
        <f>VLOOKUP(E2807,calculated_fields!$F$4:$G$6,2,FALSE)</f>
        <v>Health</v>
      </c>
    </row>
    <row r="2808" spans="1:16">
      <c r="A2808" t="s">
        <v>3853</v>
      </c>
      <c r="B2808" t="s">
        <v>3807</v>
      </c>
      <c r="C2808" t="s">
        <v>130</v>
      </c>
      <c r="D2808">
        <v>2007</v>
      </c>
      <c r="E2808" t="s">
        <v>23</v>
      </c>
      <c r="F2808" t="s">
        <v>24</v>
      </c>
      <c r="G2808" t="s">
        <v>25</v>
      </c>
      <c r="H2808" t="s">
        <v>26</v>
      </c>
      <c r="I2808">
        <v>13327079</v>
      </c>
      <c r="J2808" t="s">
        <v>27</v>
      </c>
      <c r="K2808" t="s">
        <v>3852</v>
      </c>
      <c r="L2808" t="s">
        <v>21</v>
      </c>
      <c r="M2808" t="str">
        <f t="shared" si="129"/>
        <v>OK</v>
      </c>
      <c r="N2808" t="str">
        <f t="shared" si="130"/>
        <v>2000s</v>
      </c>
      <c r="O2808" t="str">
        <f t="shared" si="131"/>
        <v>N/A</v>
      </c>
      <c r="P2808" t="str">
        <f>VLOOKUP(E2808,calculated_fields!$F$4:$G$6,2,FALSE)</f>
        <v>Demographics</v>
      </c>
    </row>
    <row r="2809" spans="1:16">
      <c r="A2809" t="s">
        <v>3854</v>
      </c>
      <c r="B2809" t="s">
        <v>3807</v>
      </c>
      <c r="C2809" t="s">
        <v>130</v>
      </c>
      <c r="D2809">
        <v>2007</v>
      </c>
      <c r="E2809" t="s">
        <v>29</v>
      </c>
      <c r="F2809" t="s">
        <v>30</v>
      </c>
      <c r="G2809" t="s">
        <v>31</v>
      </c>
      <c r="H2809" t="s">
        <v>32</v>
      </c>
      <c r="I2809">
        <v>759.34991009999999</v>
      </c>
      <c r="J2809" t="s">
        <v>33</v>
      </c>
      <c r="K2809" t="s">
        <v>3852</v>
      </c>
      <c r="L2809" t="s">
        <v>21</v>
      </c>
      <c r="M2809" t="str">
        <f t="shared" si="129"/>
        <v>OK</v>
      </c>
      <c r="N2809" t="str">
        <f t="shared" si="130"/>
        <v>2000s</v>
      </c>
      <c r="O2809" t="str">
        <f t="shared" si="131"/>
        <v>N/A</v>
      </c>
      <c r="P2809" t="str">
        <f>VLOOKUP(E2809,calculated_fields!$F$4:$G$6,2,FALSE)</f>
        <v>Economy</v>
      </c>
    </row>
    <row r="2810" spans="1:16">
      <c r="A2810" t="s">
        <v>3855</v>
      </c>
      <c r="B2810" t="s">
        <v>3856</v>
      </c>
      <c r="C2810" t="s">
        <v>14</v>
      </c>
      <c r="D2810">
        <v>1952</v>
      </c>
      <c r="E2810" t="s">
        <v>15</v>
      </c>
      <c r="F2810" t="s">
        <v>16</v>
      </c>
      <c r="G2810" t="s">
        <v>17</v>
      </c>
      <c r="H2810" t="s">
        <v>18</v>
      </c>
      <c r="I2810">
        <v>48.463000000000001</v>
      </c>
      <c r="J2810" t="s">
        <v>19</v>
      </c>
      <c r="K2810" t="s">
        <v>3857</v>
      </c>
      <c r="L2810" t="s">
        <v>21</v>
      </c>
      <c r="M2810" t="str">
        <f t="shared" si="129"/>
        <v>OK</v>
      </c>
      <c r="N2810" t="str">
        <f t="shared" si="130"/>
        <v>1950s</v>
      </c>
      <c r="O2810" t="str">
        <f t="shared" si="131"/>
        <v>Low</v>
      </c>
      <c r="P2810" t="str">
        <f>VLOOKUP(E2810,calculated_fields!$F$4:$G$6,2,FALSE)</f>
        <v>Health</v>
      </c>
    </row>
    <row r="2811" spans="1:16">
      <c r="A2811" t="s">
        <v>3858</v>
      </c>
      <c r="B2811" t="s">
        <v>3856</v>
      </c>
      <c r="C2811" t="s">
        <v>14</v>
      </c>
      <c r="D2811">
        <v>1952</v>
      </c>
      <c r="E2811" t="s">
        <v>23</v>
      </c>
      <c r="F2811" t="s">
        <v>24</v>
      </c>
      <c r="G2811" t="s">
        <v>25</v>
      </c>
      <c r="H2811" t="s">
        <v>26</v>
      </c>
      <c r="I2811">
        <v>6748378</v>
      </c>
      <c r="J2811" t="s">
        <v>27</v>
      </c>
      <c r="K2811" t="s">
        <v>3857</v>
      </c>
      <c r="L2811" t="s">
        <v>21</v>
      </c>
      <c r="M2811" t="str">
        <f t="shared" si="129"/>
        <v>OK</v>
      </c>
      <c r="N2811" t="str">
        <f t="shared" si="130"/>
        <v>1950s</v>
      </c>
      <c r="O2811" t="str">
        <f t="shared" si="131"/>
        <v>N/A</v>
      </c>
      <c r="P2811" t="str">
        <f>VLOOKUP(E2811,calculated_fields!$F$4:$G$6,2,FALSE)</f>
        <v>Demographics</v>
      </c>
    </row>
    <row r="2812" spans="1:16">
      <c r="A2812" t="s">
        <v>3859</v>
      </c>
      <c r="B2812" t="s">
        <v>3856</v>
      </c>
      <c r="C2812" t="s">
        <v>14</v>
      </c>
      <c r="D2812">
        <v>1952</v>
      </c>
      <c r="E2812" t="s">
        <v>29</v>
      </c>
      <c r="F2812" t="s">
        <v>30</v>
      </c>
      <c r="G2812" t="s">
        <v>31</v>
      </c>
      <c r="H2812" t="s">
        <v>32</v>
      </c>
      <c r="I2812">
        <v>1831.1328940000001</v>
      </c>
      <c r="J2812" t="s">
        <v>33</v>
      </c>
      <c r="K2812" t="s">
        <v>3857</v>
      </c>
      <c r="L2812" t="s">
        <v>21</v>
      </c>
      <c r="M2812" t="str">
        <f t="shared" si="129"/>
        <v>OK</v>
      </c>
      <c r="N2812" t="str">
        <f t="shared" si="130"/>
        <v>1950s</v>
      </c>
      <c r="O2812" t="str">
        <f t="shared" si="131"/>
        <v>N/A</v>
      </c>
      <c r="P2812" t="str">
        <f>VLOOKUP(E2812,calculated_fields!$F$4:$G$6,2,FALSE)</f>
        <v>Economy</v>
      </c>
    </row>
    <row r="2813" spans="1:16">
      <c r="A2813" t="s">
        <v>3860</v>
      </c>
      <c r="B2813" t="s">
        <v>3856</v>
      </c>
      <c r="C2813" t="s">
        <v>14</v>
      </c>
      <c r="D2813">
        <v>1957</v>
      </c>
      <c r="E2813" t="s">
        <v>15</v>
      </c>
      <c r="F2813" t="s">
        <v>16</v>
      </c>
      <c r="G2813" t="s">
        <v>17</v>
      </c>
      <c r="H2813" t="s">
        <v>18</v>
      </c>
      <c r="I2813">
        <v>52.101999999999997</v>
      </c>
      <c r="J2813" t="s">
        <v>19</v>
      </c>
      <c r="K2813" t="s">
        <v>3861</v>
      </c>
      <c r="L2813" t="s">
        <v>21</v>
      </c>
      <c r="M2813" t="str">
        <f t="shared" si="129"/>
        <v>OK</v>
      </c>
      <c r="N2813" t="str">
        <f t="shared" si="130"/>
        <v>1950s</v>
      </c>
      <c r="O2813" t="str">
        <f t="shared" si="131"/>
        <v>Low</v>
      </c>
      <c r="P2813" t="str">
        <f>VLOOKUP(E2813,calculated_fields!$F$4:$G$6,2,FALSE)</f>
        <v>Health</v>
      </c>
    </row>
    <row r="2814" spans="1:16">
      <c r="A2814" t="s">
        <v>3862</v>
      </c>
      <c r="B2814" t="s">
        <v>3856</v>
      </c>
      <c r="C2814" t="s">
        <v>14</v>
      </c>
      <c r="D2814">
        <v>1957</v>
      </c>
      <c r="E2814" t="s">
        <v>23</v>
      </c>
      <c r="F2814" t="s">
        <v>24</v>
      </c>
      <c r="G2814" t="s">
        <v>25</v>
      </c>
      <c r="H2814" t="s">
        <v>26</v>
      </c>
      <c r="I2814">
        <v>7739235</v>
      </c>
      <c r="J2814" t="s">
        <v>27</v>
      </c>
      <c r="K2814" t="s">
        <v>3861</v>
      </c>
      <c r="L2814" t="s">
        <v>21</v>
      </c>
      <c r="M2814" t="str">
        <f t="shared" si="129"/>
        <v>OK</v>
      </c>
      <c r="N2814" t="str">
        <f t="shared" si="130"/>
        <v>1950s</v>
      </c>
      <c r="O2814" t="str">
        <f t="shared" si="131"/>
        <v>N/A</v>
      </c>
      <c r="P2814" t="str">
        <f>VLOOKUP(E2814,calculated_fields!$F$4:$G$6,2,FALSE)</f>
        <v>Demographics</v>
      </c>
    </row>
    <row r="2815" spans="1:16">
      <c r="A2815" t="s">
        <v>3863</v>
      </c>
      <c r="B2815" t="s">
        <v>3856</v>
      </c>
      <c r="C2815" t="s">
        <v>14</v>
      </c>
      <c r="D2815">
        <v>1957</v>
      </c>
      <c r="E2815" t="s">
        <v>29</v>
      </c>
      <c r="F2815" t="s">
        <v>30</v>
      </c>
      <c r="G2815" t="s">
        <v>31</v>
      </c>
      <c r="H2815" t="s">
        <v>32</v>
      </c>
      <c r="I2815">
        <v>1810.066992</v>
      </c>
      <c r="J2815" t="s">
        <v>33</v>
      </c>
      <c r="K2815" t="s">
        <v>3861</v>
      </c>
      <c r="L2815" t="s">
        <v>21</v>
      </c>
      <c r="M2815" t="str">
        <f t="shared" si="129"/>
        <v>OK</v>
      </c>
      <c r="N2815" t="str">
        <f t="shared" si="130"/>
        <v>1950s</v>
      </c>
      <c r="O2815" t="str">
        <f t="shared" si="131"/>
        <v>N/A</v>
      </c>
      <c r="P2815" t="str">
        <f>VLOOKUP(E2815,calculated_fields!$F$4:$G$6,2,FALSE)</f>
        <v>Economy</v>
      </c>
    </row>
    <row r="2816" spans="1:16">
      <c r="A2816" t="s">
        <v>3864</v>
      </c>
      <c r="B2816" t="s">
        <v>3856</v>
      </c>
      <c r="C2816" t="s">
        <v>14</v>
      </c>
      <c r="D2816">
        <v>1962</v>
      </c>
      <c r="E2816" t="s">
        <v>15</v>
      </c>
      <c r="F2816" t="s">
        <v>16</v>
      </c>
      <c r="G2816" t="s">
        <v>17</v>
      </c>
      <c r="H2816" t="s">
        <v>18</v>
      </c>
      <c r="I2816">
        <v>55.737000000000002</v>
      </c>
      <c r="J2816" t="s">
        <v>19</v>
      </c>
      <c r="K2816" t="s">
        <v>3865</v>
      </c>
      <c r="L2816" t="s">
        <v>21</v>
      </c>
      <c r="M2816" t="str">
        <f t="shared" si="129"/>
        <v>OK</v>
      </c>
      <c r="N2816" t="str">
        <f t="shared" si="130"/>
        <v>1960s</v>
      </c>
      <c r="O2816" t="str">
        <f t="shared" si="131"/>
        <v>Medium</v>
      </c>
      <c r="P2816" t="str">
        <f>VLOOKUP(E2816,calculated_fields!$F$4:$G$6,2,FALSE)</f>
        <v>Health</v>
      </c>
    </row>
    <row r="2817" spans="1:16">
      <c r="A2817" t="s">
        <v>3866</v>
      </c>
      <c r="B2817" t="s">
        <v>3856</v>
      </c>
      <c r="C2817" t="s">
        <v>14</v>
      </c>
      <c r="D2817">
        <v>1962</v>
      </c>
      <c r="E2817" t="s">
        <v>23</v>
      </c>
      <c r="F2817" t="s">
        <v>24</v>
      </c>
      <c r="G2817" t="s">
        <v>25</v>
      </c>
      <c r="H2817" t="s">
        <v>26</v>
      </c>
      <c r="I2817">
        <v>8906385</v>
      </c>
      <c r="J2817" t="s">
        <v>27</v>
      </c>
      <c r="K2817" t="s">
        <v>3865</v>
      </c>
      <c r="L2817" t="s">
        <v>21</v>
      </c>
      <c r="M2817" t="str">
        <f t="shared" si="129"/>
        <v>OK</v>
      </c>
      <c r="N2817" t="str">
        <f t="shared" si="130"/>
        <v>1960s</v>
      </c>
      <c r="O2817" t="str">
        <f t="shared" si="131"/>
        <v>N/A</v>
      </c>
      <c r="P2817" t="str">
        <f>VLOOKUP(E2817,calculated_fields!$F$4:$G$6,2,FALSE)</f>
        <v>Demographics</v>
      </c>
    </row>
    <row r="2818" spans="1:16">
      <c r="A2818" t="s">
        <v>3867</v>
      </c>
      <c r="B2818" t="s">
        <v>3856</v>
      </c>
      <c r="C2818" t="s">
        <v>14</v>
      </c>
      <c r="D2818">
        <v>1962</v>
      </c>
      <c r="E2818" t="s">
        <v>29</v>
      </c>
      <c r="F2818" t="s">
        <v>30</v>
      </c>
      <c r="G2818" t="s">
        <v>31</v>
      </c>
      <c r="H2818" t="s">
        <v>32</v>
      </c>
      <c r="I2818">
        <v>2036.8849439999999</v>
      </c>
      <c r="J2818" t="s">
        <v>33</v>
      </c>
      <c r="K2818" t="s">
        <v>3865</v>
      </c>
      <c r="L2818" t="s">
        <v>21</v>
      </c>
      <c r="M2818" t="str">
        <f t="shared" ref="M2818:M2881" si="132">IF(AND(ISNUMBER(I2818),I2818&gt;=0),"OK","Review")</f>
        <v>OK</v>
      </c>
      <c r="N2818" t="str">
        <f t="shared" ref="N2818:N2881" si="133">FLOOR(D2818,10)&amp;"s"</f>
        <v>1960s</v>
      </c>
      <c r="O2818" t="str">
        <f t="shared" ref="O2818:O2881" si="134">IF(E2818="LIFE_EXP",IF(I2818&gt;=70,"High",IF(I2818&gt;=55,"Medium","Low")),"N/A")</f>
        <v>N/A</v>
      </c>
      <c r="P2818" t="str">
        <f>VLOOKUP(E2818,calculated_fields!$F$4:$G$6,2,FALSE)</f>
        <v>Economy</v>
      </c>
    </row>
    <row r="2819" spans="1:16">
      <c r="A2819" t="s">
        <v>3868</v>
      </c>
      <c r="B2819" t="s">
        <v>3856</v>
      </c>
      <c r="C2819" t="s">
        <v>14</v>
      </c>
      <c r="D2819">
        <v>1967</v>
      </c>
      <c r="E2819" t="s">
        <v>15</v>
      </c>
      <c r="F2819" t="s">
        <v>16</v>
      </c>
      <c r="G2819" t="s">
        <v>17</v>
      </c>
      <c r="H2819" t="s">
        <v>18</v>
      </c>
      <c r="I2819">
        <v>59.371000000000002</v>
      </c>
      <c r="J2819" t="s">
        <v>19</v>
      </c>
      <c r="K2819" t="s">
        <v>3869</v>
      </c>
      <c r="L2819" t="s">
        <v>21</v>
      </c>
      <c r="M2819" t="str">
        <f t="shared" si="132"/>
        <v>OK</v>
      </c>
      <c r="N2819" t="str">
        <f t="shared" si="133"/>
        <v>1960s</v>
      </c>
      <c r="O2819" t="str">
        <f t="shared" si="134"/>
        <v>Medium</v>
      </c>
      <c r="P2819" t="str">
        <f>VLOOKUP(E2819,calculated_fields!$F$4:$G$6,2,FALSE)</f>
        <v>Health</v>
      </c>
    </row>
    <row r="2820" spans="1:16">
      <c r="A2820" t="s">
        <v>3870</v>
      </c>
      <c r="B2820" t="s">
        <v>3856</v>
      </c>
      <c r="C2820" t="s">
        <v>14</v>
      </c>
      <c r="D2820">
        <v>1967</v>
      </c>
      <c r="E2820" t="s">
        <v>23</v>
      </c>
      <c r="F2820" t="s">
        <v>24</v>
      </c>
      <c r="G2820" t="s">
        <v>25</v>
      </c>
      <c r="H2820" t="s">
        <v>26</v>
      </c>
      <c r="I2820">
        <v>10154878</v>
      </c>
      <c r="J2820" t="s">
        <v>27</v>
      </c>
      <c r="K2820" t="s">
        <v>3869</v>
      </c>
      <c r="L2820" t="s">
        <v>21</v>
      </c>
      <c r="M2820" t="str">
        <f t="shared" si="132"/>
        <v>OK</v>
      </c>
      <c r="N2820" t="str">
        <f t="shared" si="133"/>
        <v>1960s</v>
      </c>
      <c r="O2820" t="str">
        <f t="shared" si="134"/>
        <v>N/A</v>
      </c>
      <c r="P2820" t="str">
        <f>VLOOKUP(E2820,calculated_fields!$F$4:$G$6,2,FALSE)</f>
        <v>Demographics</v>
      </c>
    </row>
    <row r="2821" spans="1:16">
      <c r="A2821" t="s">
        <v>3871</v>
      </c>
      <c r="B2821" t="s">
        <v>3856</v>
      </c>
      <c r="C2821" t="s">
        <v>14</v>
      </c>
      <c r="D2821">
        <v>1967</v>
      </c>
      <c r="E2821" t="s">
        <v>29</v>
      </c>
      <c r="F2821" t="s">
        <v>30</v>
      </c>
      <c r="G2821" t="s">
        <v>31</v>
      </c>
      <c r="H2821" t="s">
        <v>32</v>
      </c>
      <c r="I2821">
        <v>2277.7423960000001</v>
      </c>
      <c r="J2821" t="s">
        <v>33</v>
      </c>
      <c r="K2821" t="s">
        <v>3869</v>
      </c>
      <c r="L2821" t="s">
        <v>21</v>
      </c>
      <c r="M2821" t="str">
        <f t="shared" si="132"/>
        <v>OK</v>
      </c>
      <c r="N2821" t="str">
        <f t="shared" si="133"/>
        <v>1960s</v>
      </c>
      <c r="O2821" t="str">
        <f t="shared" si="134"/>
        <v>N/A</v>
      </c>
      <c r="P2821" t="str">
        <f>VLOOKUP(E2821,calculated_fields!$F$4:$G$6,2,FALSE)</f>
        <v>Economy</v>
      </c>
    </row>
    <row r="2822" spans="1:16">
      <c r="A2822" t="s">
        <v>3872</v>
      </c>
      <c r="B2822" t="s">
        <v>3856</v>
      </c>
      <c r="C2822" t="s">
        <v>14</v>
      </c>
      <c r="D2822">
        <v>1972</v>
      </c>
      <c r="E2822" t="s">
        <v>15</v>
      </c>
      <c r="F2822" t="s">
        <v>16</v>
      </c>
      <c r="G2822" t="s">
        <v>17</v>
      </c>
      <c r="H2822" t="s">
        <v>18</v>
      </c>
      <c r="I2822">
        <v>63.01</v>
      </c>
      <c r="J2822" t="s">
        <v>19</v>
      </c>
      <c r="K2822" t="s">
        <v>3873</v>
      </c>
      <c r="L2822" t="s">
        <v>21</v>
      </c>
      <c r="M2822" t="str">
        <f t="shared" si="132"/>
        <v>OK</v>
      </c>
      <c r="N2822" t="str">
        <f t="shared" si="133"/>
        <v>1970s</v>
      </c>
      <c r="O2822" t="str">
        <f t="shared" si="134"/>
        <v>Medium</v>
      </c>
      <c r="P2822" t="str">
        <f>VLOOKUP(E2822,calculated_fields!$F$4:$G$6,2,FALSE)</f>
        <v>Health</v>
      </c>
    </row>
    <row r="2823" spans="1:16">
      <c r="A2823" t="s">
        <v>3874</v>
      </c>
      <c r="B2823" t="s">
        <v>3856</v>
      </c>
      <c r="C2823" t="s">
        <v>14</v>
      </c>
      <c r="D2823">
        <v>1972</v>
      </c>
      <c r="E2823" t="s">
        <v>23</v>
      </c>
      <c r="F2823" t="s">
        <v>24</v>
      </c>
      <c r="G2823" t="s">
        <v>25</v>
      </c>
      <c r="H2823" t="s">
        <v>26</v>
      </c>
      <c r="I2823">
        <v>11441462</v>
      </c>
      <c r="J2823" t="s">
        <v>27</v>
      </c>
      <c r="K2823" t="s">
        <v>3873</v>
      </c>
      <c r="L2823" t="s">
        <v>21</v>
      </c>
      <c r="M2823" t="str">
        <f t="shared" si="132"/>
        <v>OK</v>
      </c>
      <c r="N2823" t="str">
        <f t="shared" si="133"/>
        <v>1970s</v>
      </c>
      <c r="O2823" t="str">
        <f t="shared" si="134"/>
        <v>N/A</v>
      </c>
      <c r="P2823" t="str">
        <f>VLOOKUP(E2823,calculated_fields!$F$4:$G$6,2,FALSE)</f>
        <v>Demographics</v>
      </c>
    </row>
    <row r="2824" spans="1:16">
      <c r="A2824" t="s">
        <v>3875</v>
      </c>
      <c r="B2824" t="s">
        <v>3856</v>
      </c>
      <c r="C2824" t="s">
        <v>14</v>
      </c>
      <c r="D2824">
        <v>1972</v>
      </c>
      <c r="E2824" t="s">
        <v>29</v>
      </c>
      <c r="F2824" t="s">
        <v>30</v>
      </c>
      <c r="G2824" t="s">
        <v>31</v>
      </c>
      <c r="H2824" t="s">
        <v>32</v>
      </c>
      <c r="I2824">
        <v>2849.0947799999999</v>
      </c>
      <c r="J2824" t="s">
        <v>33</v>
      </c>
      <c r="K2824" t="s">
        <v>3873</v>
      </c>
      <c r="L2824" t="s">
        <v>21</v>
      </c>
      <c r="M2824" t="str">
        <f t="shared" si="132"/>
        <v>OK</v>
      </c>
      <c r="N2824" t="str">
        <f t="shared" si="133"/>
        <v>1970s</v>
      </c>
      <c r="O2824" t="str">
        <f t="shared" si="134"/>
        <v>N/A</v>
      </c>
      <c r="P2824" t="str">
        <f>VLOOKUP(E2824,calculated_fields!$F$4:$G$6,2,FALSE)</f>
        <v>Economy</v>
      </c>
    </row>
    <row r="2825" spans="1:16">
      <c r="A2825" t="s">
        <v>3876</v>
      </c>
      <c r="B2825" t="s">
        <v>3856</v>
      </c>
      <c r="C2825" t="s">
        <v>14</v>
      </c>
      <c r="D2825">
        <v>1977</v>
      </c>
      <c r="E2825" t="s">
        <v>15</v>
      </c>
      <c r="F2825" t="s">
        <v>16</v>
      </c>
      <c r="G2825" t="s">
        <v>17</v>
      </c>
      <c r="H2825" t="s">
        <v>18</v>
      </c>
      <c r="I2825">
        <v>65.256</v>
      </c>
      <c r="J2825" t="s">
        <v>19</v>
      </c>
      <c r="K2825" t="s">
        <v>3877</v>
      </c>
      <c r="L2825" t="s">
        <v>21</v>
      </c>
      <c r="M2825" t="str">
        <f t="shared" si="132"/>
        <v>OK</v>
      </c>
      <c r="N2825" t="str">
        <f t="shared" si="133"/>
        <v>1970s</v>
      </c>
      <c r="O2825" t="str">
        <f t="shared" si="134"/>
        <v>Medium</v>
      </c>
      <c r="P2825" t="str">
        <f>VLOOKUP(E2825,calculated_fields!$F$4:$G$6,2,FALSE)</f>
        <v>Health</v>
      </c>
    </row>
    <row r="2826" spans="1:16">
      <c r="A2826" t="s">
        <v>3878</v>
      </c>
      <c r="B2826" t="s">
        <v>3856</v>
      </c>
      <c r="C2826" t="s">
        <v>14</v>
      </c>
      <c r="D2826">
        <v>1977</v>
      </c>
      <c r="E2826" t="s">
        <v>23</v>
      </c>
      <c r="F2826" t="s">
        <v>24</v>
      </c>
      <c r="G2826" t="s">
        <v>25</v>
      </c>
      <c r="H2826" t="s">
        <v>26</v>
      </c>
      <c r="I2826">
        <v>12845381</v>
      </c>
      <c r="J2826" t="s">
        <v>27</v>
      </c>
      <c r="K2826" t="s">
        <v>3877</v>
      </c>
      <c r="L2826" t="s">
        <v>21</v>
      </c>
      <c r="M2826" t="str">
        <f t="shared" si="132"/>
        <v>OK</v>
      </c>
      <c r="N2826" t="str">
        <f t="shared" si="133"/>
        <v>1970s</v>
      </c>
      <c r="O2826" t="str">
        <f t="shared" si="134"/>
        <v>N/A</v>
      </c>
      <c r="P2826" t="str">
        <f>VLOOKUP(E2826,calculated_fields!$F$4:$G$6,2,FALSE)</f>
        <v>Demographics</v>
      </c>
    </row>
    <row r="2827" spans="1:16">
      <c r="A2827" t="s">
        <v>3879</v>
      </c>
      <c r="B2827" t="s">
        <v>3856</v>
      </c>
      <c r="C2827" t="s">
        <v>14</v>
      </c>
      <c r="D2827">
        <v>1977</v>
      </c>
      <c r="E2827" t="s">
        <v>29</v>
      </c>
      <c r="F2827" t="s">
        <v>30</v>
      </c>
      <c r="G2827" t="s">
        <v>31</v>
      </c>
      <c r="H2827" t="s">
        <v>32</v>
      </c>
      <c r="I2827">
        <v>3827.9215709999999</v>
      </c>
      <c r="J2827" t="s">
        <v>33</v>
      </c>
      <c r="K2827" t="s">
        <v>3877</v>
      </c>
      <c r="L2827" t="s">
        <v>21</v>
      </c>
      <c r="M2827" t="str">
        <f t="shared" si="132"/>
        <v>OK</v>
      </c>
      <c r="N2827" t="str">
        <f t="shared" si="133"/>
        <v>1970s</v>
      </c>
      <c r="O2827" t="str">
        <f t="shared" si="134"/>
        <v>N/A</v>
      </c>
      <c r="P2827" t="str">
        <f>VLOOKUP(E2827,calculated_fields!$F$4:$G$6,2,FALSE)</f>
        <v>Economy</v>
      </c>
    </row>
    <row r="2828" spans="1:16">
      <c r="A2828" t="s">
        <v>3880</v>
      </c>
      <c r="B2828" t="s">
        <v>3856</v>
      </c>
      <c r="C2828" t="s">
        <v>14</v>
      </c>
      <c r="D2828">
        <v>1982</v>
      </c>
      <c r="E2828" t="s">
        <v>15</v>
      </c>
      <c r="F2828" t="s">
        <v>16</v>
      </c>
      <c r="G2828" t="s">
        <v>17</v>
      </c>
      <c r="H2828" t="s">
        <v>18</v>
      </c>
      <c r="I2828">
        <v>68</v>
      </c>
      <c r="J2828" t="s">
        <v>19</v>
      </c>
      <c r="K2828" t="s">
        <v>3881</v>
      </c>
      <c r="L2828" t="s">
        <v>21</v>
      </c>
      <c r="M2828" t="str">
        <f t="shared" si="132"/>
        <v>OK</v>
      </c>
      <c r="N2828" t="str">
        <f t="shared" si="133"/>
        <v>1980s</v>
      </c>
      <c r="O2828" t="str">
        <f t="shared" si="134"/>
        <v>Medium</v>
      </c>
      <c r="P2828" t="str">
        <f>VLOOKUP(E2828,calculated_fields!$F$4:$G$6,2,FALSE)</f>
        <v>Health</v>
      </c>
    </row>
    <row r="2829" spans="1:16">
      <c r="A2829" t="s">
        <v>3882</v>
      </c>
      <c r="B2829" t="s">
        <v>3856</v>
      </c>
      <c r="C2829" t="s">
        <v>14</v>
      </c>
      <c r="D2829">
        <v>1982</v>
      </c>
      <c r="E2829" t="s">
        <v>23</v>
      </c>
      <c r="F2829" t="s">
        <v>24</v>
      </c>
      <c r="G2829" t="s">
        <v>25</v>
      </c>
      <c r="H2829" t="s">
        <v>26</v>
      </c>
      <c r="I2829">
        <v>14441916</v>
      </c>
      <c r="J2829" t="s">
        <v>27</v>
      </c>
      <c r="K2829" t="s">
        <v>3881</v>
      </c>
      <c r="L2829" t="s">
        <v>21</v>
      </c>
      <c r="M2829" t="str">
        <f t="shared" si="132"/>
        <v>OK</v>
      </c>
      <c r="N2829" t="str">
        <f t="shared" si="133"/>
        <v>1980s</v>
      </c>
      <c r="O2829" t="str">
        <f t="shared" si="134"/>
        <v>N/A</v>
      </c>
      <c r="P2829" t="str">
        <f>VLOOKUP(E2829,calculated_fields!$F$4:$G$6,2,FALSE)</f>
        <v>Demographics</v>
      </c>
    </row>
    <row r="2830" spans="1:16">
      <c r="A2830" t="s">
        <v>3883</v>
      </c>
      <c r="B2830" t="s">
        <v>3856</v>
      </c>
      <c r="C2830" t="s">
        <v>14</v>
      </c>
      <c r="D2830">
        <v>1982</v>
      </c>
      <c r="E2830" t="s">
        <v>29</v>
      </c>
      <c r="F2830" t="s">
        <v>30</v>
      </c>
      <c r="G2830" t="s">
        <v>31</v>
      </c>
      <c r="H2830" t="s">
        <v>32</v>
      </c>
      <c r="I2830">
        <v>4920.3559509999995</v>
      </c>
      <c r="J2830" t="s">
        <v>33</v>
      </c>
      <c r="K2830" t="s">
        <v>3881</v>
      </c>
      <c r="L2830" t="s">
        <v>21</v>
      </c>
      <c r="M2830" t="str">
        <f t="shared" si="132"/>
        <v>OK</v>
      </c>
      <c r="N2830" t="str">
        <f t="shared" si="133"/>
        <v>1980s</v>
      </c>
      <c r="O2830" t="str">
        <f t="shared" si="134"/>
        <v>N/A</v>
      </c>
      <c r="P2830" t="str">
        <f>VLOOKUP(E2830,calculated_fields!$F$4:$G$6,2,FALSE)</f>
        <v>Economy</v>
      </c>
    </row>
    <row r="2831" spans="1:16">
      <c r="A2831" t="s">
        <v>3884</v>
      </c>
      <c r="B2831" t="s">
        <v>3856</v>
      </c>
      <c r="C2831" t="s">
        <v>14</v>
      </c>
      <c r="D2831">
        <v>1987</v>
      </c>
      <c r="E2831" t="s">
        <v>15</v>
      </c>
      <c r="F2831" t="s">
        <v>16</v>
      </c>
      <c r="G2831" t="s">
        <v>17</v>
      </c>
      <c r="H2831" t="s">
        <v>18</v>
      </c>
      <c r="I2831">
        <v>69.5</v>
      </c>
      <c r="J2831" t="s">
        <v>19</v>
      </c>
      <c r="K2831" t="s">
        <v>3885</v>
      </c>
      <c r="L2831" t="s">
        <v>21</v>
      </c>
      <c r="M2831" t="str">
        <f t="shared" si="132"/>
        <v>OK</v>
      </c>
      <c r="N2831" t="str">
        <f t="shared" si="133"/>
        <v>1980s</v>
      </c>
      <c r="O2831" t="str">
        <f t="shared" si="134"/>
        <v>Medium</v>
      </c>
      <c r="P2831" t="str">
        <f>VLOOKUP(E2831,calculated_fields!$F$4:$G$6,2,FALSE)</f>
        <v>Health</v>
      </c>
    </row>
    <row r="2832" spans="1:16">
      <c r="A2832" t="s">
        <v>3886</v>
      </c>
      <c r="B2832" t="s">
        <v>3856</v>
      </c>
      <c r="C2832" t="s">
        <v>14</v>
      </c>
      <c r="D2832">
        <v>1987</v>
      </c>
      <c r="E2832" t="s">
        <v>23</v>
      </c>
      <c r="F2832" t="s">
        <v>24</v>
      </c>
      <c r="G2832" t="s">
        <v>25</v>
      </c>
      <c r="H2832" t="s">
        <v>26</v>
      </c>
      <c r="I2832">
        <v>16331785</v>
      </c>
      <c r="J2832" t="s">
        <v>27</v>
      </c>
      <c r="K2832" t="s">
        <v>3885</v>
      </c>
      <c r="L2832" t="s">
        <v>21</v>
      </c>
      <c r="M2832" t="str">
        <f t="shared" si="132"/>
        <v>OK</v>
      </c>
      <c r="N2832" t="str">
        <f t="shared" si="133"/>
        <v>1980s</v>
      </c>
      <c r="O2832" t="str">
        <f t="shared" si="134"/>
        <v>N/A</v>
      </c>
      <c r="P2832" t="str">
        <f>VLOOKUP(E2832,calculated_fields!$F$4:$G$6,2,FALSE)</f>
        <v>Demographics</v>
      </c>
    </row>
    <row r="2833" spans="1:16">
      <c r="A2833" t="s">
        <v>3887</v>
      </c>
      <c r="B2833" t="s">
        <v>3856</v>
      </c>
      <c r="C2833" t="s">
        <v>14</v>
      </c>
      <c r="D2833">
        <v>1987</v>
      </c>
      <c r="E2833" t="s">
        <v>29</v>
      </c>
      <c r="F2833" t="s">
        <v>30</v>
      </c>
      <c r="G2833" t="s">
        <v>31</v>
      </c>
      <c r="H2833" t="s">
        <v>32</v>
      </c>
      <c r="I2833">
        <v>5249.8026529999997</v>
      </c>
      <c r="J2833" t="s">
        <v>33</v>
      </c>
      <c r="K2833" t="s">
        <v>3885</v>
      </c>
      <c r="L2833" t="s">
        <v>21</v>
      </c>
      <c r="M2833" t="str">
        <f t="shared" si="132"/>
        <v>OK</v>
      </c>
      <c r="N2833" t="str">
        <f t="shared" si="133"/>
        <v>1980s</v>
      </c>
      <c r="O2833" t="str">
        <f t="shared" si="134"/>
        <v>N/A</v>
      </c>
      <c r="P2833" t="str">
        <f>VLOOKUP(E2833,calculated_fields!$F$4:$G$6,2,FALSE)</f>
        <v>Economy</v>
      </c>
    </row>
    <row r="2834" spans="1:16">
      <c r="A2834" t="s">
        <v>3888</v>
      </c>
      <c r="B2834" t="s">
        <v>3856</v>
      </c>
      <c r="C2834" t="s">
        <v>14</v>
      </c>
      <c r="D2834">
        <v>1992</v>
      </c>
      <c r="E2834" t="s">
        <v>15</v>
      </c>
      <c r="F2834" t="s">
        <v>16</v>
      </c>
      <c r="G2834" t="s">
        <v>17</v>
      </c>
      <c r="H2834" t="s">
        <v>18</v>
      </c>
      <c r="I2834">
        <v>70.692999999999998</v>
      </c>
      <c r="J2834" t="s">
        <v>19</v>
      </c>
      <c r="K2834" t="s">
        <v>3889</v>
      </c>
      <c r="L2834" t="s">
        <v>21</v>
      </c>
      <c r="M2834" t="str">
        <f t="shared" si="132"/>
        <v>OK</v>
      </c>
      <c r="N2834" t="str">
        <f t="shared" si="133"/>
        <v>1990s</v>
      </c>
      <c r="O2834" t="str">
        <f t="shared" si="134"/>
        <v>High</v>
      </c>
      <c r="P2834" t="str">
        <f>VLOOKUP(E2834,calculated_fields!$F$4:$G$6,2,FALSE)</f>
        <v>Health</v>
      </c>
    </row>
    <row r="2835" spans="1:16">
      <c r="A2835" t="s">
        <v>3890</v>
      </c>
      <c r="B2835" t="s">
        <v>3856</v>
      </c>
      <c r="C2835" t="s">
        <v>14</v>
      </c>
      <c r="D2835">
        <v>1992</v>
      </c>
      <c r="E2835" t="s">
        <v>23</v>
      </c>
      <c r="F2835" t="s">
        <v>24</v>
      </c>
      <c r="G2835" t="s">
        <v>25</v>
      </c>
      <c r="H2835" t="s">
        <v>26</v>
      </c>
      <c r="I2835">
        <v>18319502</v>
      </c>
      <c r="J2835" t="s">
        <v>27</v>
      </c>
      <c r="K2835" t="s">
        <v>3889</v>
      </c>
      <c r="L2835" t="s">
        <v>21</v>
      </c>
      <c r="M2835" t="str">
        <f t="shared" si="132"/>
        <v>OK</v>
      </c>
      <c r="N2835" t="str">
        <f t="shared" si="133"/>
        <v>1990s</v>
      </c>
      <c r="O2835" t="str">
        <f t="shared" si="134"/>
        <v>N/A</v>
      </c>
      <c r="P2835" t="str">
        <f>VLOOKUP(E2835,calculated_fields!$F$4:$G$6,2,FALSE)</f>
        <v>Demographics</v>
      </c>
    </row>
    <row r="2836" spans="1:16">
      <c r="A2836" t="s">
        <v>3891</v>
      </c>
      <c r="B2836" t="s">
        <v>3856</v>
      </c>
      <c r="C2836" t="s">
        <v>14</v>
      </c>
      <c r="D2836">
        <v>1992</v>
      </c>
      <c r="E2836" t="s">
        <v>29</v>
      </c>
      <c r="F2836" t="s">
        <v>30</v>
      </c>
      <c r="G2836" t="s">
        <v>31</v>
      </c>
      <c r="H2836" t="s">
        <v>32</v>
      </c>
      <c r="I2836">
        <v>7277.9128019999998</v>
      </c>
      <c r="J2836" t="s">
        <v>33</v>
      </c>
      <c r="K2836" t="s">
        <v>3889</v>
      </c>
      <c r="L2836" t="s">
        <v>21</v>
      </c>
      <c r="M2836" t="str">
        <f t="shared" si="132"/>
        <v>OK</v>
      </c>
      <c r="N2836" t="str">
        <f t="shared" si="133"/>
        <v>1990s</v>
      </c>
      <c r="O2836" t="str">
        <f t="shared" si="134"/>
        <v>N/A</v>
      </c>
      <c r="P2836" t="str">
        <f>VLOOKUP(E2836,calculated_fields!$F$4:$G$6,2,FALSE)</f>
        <v>Economy</v>
      </c>
    </row>
    <row r="2837" spans="1:16">
      <c r="A2837" t="s">
        <v>3892</v>
      </c>
      <c r="B2837" t="s">
        <v>3856</v>
      </c>
      <c r="C2837" t="s">
        <v>14</v>
      </c>
      <c r="D2837">
        <v>1997</v>
      </c>
      <c r="E2837" t="s">
        <v>15</v>
      </c>
      <c r="F2837" t="s">
        <v>16</v>
      </c>
      <c r="G2837" t="s">
        <v>17</v>
      </c>
      <c r="H2837" t="s">
        <v>18</v>
      </c>
      <c r="I2837">
        <v>71.938000000000002</v>
      </c>
      <c r="J2837" t="s">
        <v>19</v>
      </c>
      <c r="K2837" t="s">
        <v>3893</v>
      </c>
      <c r="L2837" t="s">
        <v>21</v>
      </c>
      <c r="M2837" t="str">
        <f t="shared" si="132"/>
        <v>OK</v>
      </c>
      <c r="N2837" t="str">
        <f t="shared" si="133"/>
        <v>1990s</v>
      </c>
      <c r="O2837" t="str">
        <f t="shared" si="134"/>
        <v>High</v>
      </c>
      <c r="P2837" t="str">
        <f>VLOOKUP(E2837,calculated_fields!$F$4:$G$6,2,FALSE)</f>
        <v>Health</v>
      </c>
    </row>
    <row r="2838" spans="1:16">
      <c r="A2838" t="s">
        <v>3894</v>
      </c>
      <c r="B2838" t="s">
        <v>3856</v>
      </c>
      <c r="C2838" t="s">
        <v>14</v>
      </c>
      <c r="D2838">
        <v>1997</v>
      </c>
      <c r="E2838" t="s">
        <v>23</v>
      </c>
      <c r="F2838" t="s">
        <v>24</v>
      </c>
      <c r="G2838" t="s">
        <v>25</v>
      </c>
      <c r="H2838" t="s">
        <v>26</v>
      </c>
      <c r="I2838">
        <v>20476091</v>
      </c>
      <c r="J2838" t="s">
        <v>27</v>
      </c>
      <c r="K2838" t="s">
        <v>3893</v>
      </c>
      <c r="L2838" t="s">
        <v>21</v>
      </c>
      <c r="M2838" t="str">
        <f t="shared" si="132"/>
        <v>OK</v>
      </c>
      <c r="N2838" t="str">
        <f t="shared" si="133"/>
        <v>1990s</v>
      </c>
      <c r="O2838" t="str">
        <f t="shared" si="134"/>
        <v>N/A</v>
      </c>
      <c r="P2838" t="str">
        <f>VLOOKUP(E2838,calculated_fields!$F$4:$G$6,2,FALSE)</f>
        <v>Demographics</v>
      </c>
    </row>
    <row r="2839" spans="1:16">
      <c r="A2839" t="s">
        <v>3895</v>
      </c>
      <c r="B2839" t="s">
        <v>3856</v>
      </c>
      <c r="C2839" t="s">
        <v>14</v>
      </c>
      <c r="D2839">
        <v>1997</v>
      </c>
      <c r="E2839" t="s">
        <v>29</v>
      </c>
      <c r="F2839" t="s">
        <v>30</v>
      </c>
      <c r="G2839" t="s">
        <v>31</v>
      </c>
      <c r="H2839" t="s">
        <v>32</v>
      </c>
      <c r="I2839">
        <v>10132.90964</v>
      </c>
      <c r="J2839" t="s">
        <v>33</v>
      </c>
      <c r="K2839" t="s">
        <v>3893</v>
      </c>
      <c r="L2839" t="s">
        <v>21</v>
      </c>
      <c r="M2839" t="str">
        <f t="shared" si="132"/>
        <v>OK</v>
      </c>
      <c r="N2839" t="str">
        <f t="shared" si="133"/>
        <v>1990s</v>
      </c>
      <c r="O2839" t="str">
        <f t="shared" si="134"/>
        <v>N/A</v>
      </c>
      <c r="P2839" t="str">
        <f>VLOOKUP(E2839,calculated_fields!$F$4:$G$6,2,FALSE)</f>
        <v>Economy</v>
      </c>
    </row>
    <row r="2840" spans="1:16">
      <c r="A2840" t="s">
        <v>3896</v>
      </c>
      <c r="B2840" t="s">
        <v>3856</v>
      </c>
      <c r="C2840" t="s">
        <v>14</v>
      </c>
      <c r="D2840">
        <v>2002</v>
      </c>
      <c r="E2840" t="s">
        <v>15</v>
      </c>
      <c r="F2840" t="s">
        <v>16</v>
      </c>
      <c r="G2840" t="s">
        <v>17</v>
      </c>
      <c r="H2840" t="s">
        <v>18</v>
      </c>
      <c r="I2840">
        <v>73.043999999999997</v>
      </c>
      <c r="J2840" t="s">
        <v>19</v>
      </c>
      <c r="K2840" t="s">
        <v>3897</v>
      </c>
      <c r="L2840" t="s">
        <v>21</v>
      </c>
      <c r="M2840" t="str">
        <f t="shared" si="132"/>
        <v>OK</v>
      </c>
      <c r="N2840" t="str">
        <f t="shared" si="133"/>
        <v>2000s</v>
      </c>
      <c r="O2840" t="str">
        <f t="shared" si="134"/>
        <v>High</v>
      </c>
      <c r="P2840" t="str">
        <f>VLOOKUP(E2840,calculated_fields!$F$4:$G$6,2,FALSE)</f>
        <v>Health</v>
      </c>
    </row>
    <row r="2841" spans="1:16">
      <c r="A2841" t="s">
        <v>3898</v>
      </c>
      <c r="B2841" t="s">
        <v>3856</v>
      </c>
      <c r="C2841" t="s">
        <v>14</v>
      </c>
      <c r="D2841">
        <v>2002</v>
      </c>
      <c r="E2841" t="s">
        <v>23</v>
      </c>
      <c r="F2841" t="s">
        <v>24</v>
      </c>
      <c r="G2841" t="s">
        <v>25</v>
      </c>
      <c r="H2841" t="s">
        <v>26</v>
      </c>
      <c r="I2841">
        <v>22662365</v>
      </c>
      <c r="J2841" t="s">
        <v>27</v>
      </c>
      <c r="K2841" t="s">
        <v>3897</v>
      </c>
      <c r="L2841" t="s">
        <v>21</v>
      </c>
      <c r="M2841" t="str">
        <f t="shared" si="132"/>
        <v>OK</v>
      </c>
      <c r="N2841" t="str">
        <f t="shared" si="133"/>
        <v>2000s</v>
      </c>
      <c r="O2841" t="str">
        <f t="shared" si="134"/>
        <v>N/A</v>
      </c>
      <c r="P2841" t="str">
        <f>VLOOKUP(E2841,calculated_fields!$F$4:$G$6,2,FALSE)</f>
        <v>Demographics</v>
      </c>
    </row>
    <row r="2842" spans="1:16">
      <c r="A2842" t="s">
        <v>3899</v>
      </c>
      <c r="B2842" t="s">
        <v>3856</v>
      </c>
      <c r="C2842" t="s">
        <v>14</v>
      </c>
      <c r="D2842">
        <v>2002</v>
      </c>
      <c r="E2842" t="s">
        <v>29</v>
      </c>
      <c r="F2842" t="s">
        <v>30</v>
      </c>
      <c r="G2842" t="s">
        <v>31</v>
      </c>
      <c r="H2842" t="s">
        <v>32</v>
      </c>
      <c r="I2842">
        <v>10206.977940000001</v>
      </c>
      <c r="J2842" t="s">
        <v>33</v>
      </c>
      <c r="K2842" t="s">
        <v>3897</v>
      </c>
      <c r="L2842" t="s">
        <v>21</v>
      </c>
      <c r="M2842" t="str">
        <f t="shared" si="132"/>
        <v>OK</v>
      </c>
      <c r="N2842" t="str">
        <f t="shared" si="133"/>
        <v>2000s</v>
      </c>
      <c r="O2842" t="str">
        <f t="shared" si="134"/>
        <v>N/A</v>
      </c>
      <c r="P2842" t="str">
        <f>VLOOKUP(E2842,calculated_fields!$F$4:$G$6,2,FALSE)</f>
        <v>Economy</v>
      </c>
    </row>
    <row r="2843" spans="1:16">
      <c r="A2843" t="s">
        <v>3900</v>
      </c>
      <c r="B2843" t="s">
        <v>3856</v>
      </c>
      <c r="C2843" t="s">
        <v>14</v>
      </c>
      <c r="D2843">
        <v>2007</v>
      </c>
      <c r="E2843" t="s">
        <v>15</v>
      </c>
      <c r="F2843" t="s">
        <v>16</v>
      </c>
      <c r="G2843" t="s">
        <v>17</v>
      </c>
      <c r="H2843" t="s">
        <v>18</v>
      </c>
      <c r="I2843">
        <v>74.241</v>
      </c>
      <c r="J2843" t="s">
        <v>19</v>
      </c>
      <c r="K2843" t="s">
        <v>3901</v>
      </c>
      <c r="L2843" t="s">
        <v>21</v>
      </c>
      <c r="M2843" t="str">
        <f t="shared" si="132"/>
        <v>OK</v>
      </c>
      <c r="N2843" t="str">
        <f t="shared" si="133"/>
        <v>2000s</v>
      </c>
      <c r="O2843" t="str">
        <f t="shared" si="134"/>
        <v>High</v>
      </c>
      <c r="P2843" t="str">
        <f>VLOOKUP(E2843,calculated_fields!$F$4:$G$6,2,FALSE)</f>
        <v>Health</v>
      </c>
    </row>
    <row r="2844" spans="1:16">
      <c r="A2844" t="s">
        <v>3902</v>
      </c>
      <c r="B2844" t="s">
        <v>3856</v>
      </c>
      <c r="C2844" t="s">
        <v>14</v>
      </c>
      <c r="D2844">
        <v>2007</v>
      </c>
      <c r="E2844" t="s">
        <v>23</v>
      </c>
      <c r="F2844" t="s">
        <v>24</v>
      </c>
      <c r="G2844" t="s">
        <v>25</v>
      </c>
      <c r="H2844" t="s">
        <v>26</v>
      </c>
      <c r="I2844">
        <v>24821286</v>
      </c>
      <c r="J2844" t="s">
        <v>27</v>
      </c>
      <c r="K2844" t="s">
        <v>3901</v>
      </c>
      <c r="L2844" t="s">
        <v>21</v>
      </c>
      <c r="M2844" t="str">
        <f t="shared" si="132"/>
        <v>OK</v>
      </c>
      <c r="N2844" t="str">
        <f t="shared" si="133"/>
        <v>2000s</v>
      </c>
      <c r="O2844" t="str">
        <f t="shared" si="134"/>
        <v>N/A</v>
      </c>
      <c r="P2844" t="str">
        <f>VLOOKUP(E2844,calculated_fields!$F$4:$G$6,2,FALSE)</f>
        <v>Demographics</v>
      </c>
    </row>
    <row r="2845" spans="1:16">
      <c r="A2845" t="s">
        <v>3903</v>
      </c>
      <c r="B2845" t="s">
        <v>3856</v>
      </c>
      <c r="C2845" t="s">
        <v>14</v>
      </c>
      <c r="D2845">
        <v>2007</v>
      </c>
      <c r="E2845" t="s">
        <v>29</v>
      </c>
      <c r="F2845" t="s">
        <v>30</v>
      </c>
      <c r="G2845" t="s">
        <v>31</v>
      </c>
      <c r="H2845" t="s">
        <v>32</v>
      </c>
      <c r="I2845">
        <v>12451.6558</v>
      </c>
      <c r="J2845" t="s">
        <v>33</v>
      </c>
      <c r="K2845" t="s">
        <v>3901</v>
      </c>
      <c r="L2845" t="s">
        <v>21</v>
      </c>
      <c r="M2845" t="str">
        <f t="shared" si="132"/>
        <v>OK</v>
      </c>
      <c r="N2845" t="str">
        <f t="shared" si="133"/>
        <v>2000s</v>
      </c>
      <c r="O2845" t="str">
        <f t="shared" si="134"/>
        <v>N/A</v>
      </c>
      <c r="P2845" t="str">
        <f>VLOOKUP(E2845,calculated_fields!$F$4:$G$6,2,FALSE)</f>
        <v>Economy</v>
      </c>
    </row>
    <row r="2846" spans="1:16">
      <c r="A2846" t="s">
        <v>3904</v>
      </c>
      <c r="B2846" t="s">
        <v>3905</v>
      </c>
      <c r="C2846" t="s">
        <v>130</v>
      </c>
      <c r="D2846">
        <v>1952</v>
      </c>
      <c r="E2846" t="s">
        <v>15</v>
      </c>
      <c r="F2846" t="s">
        <v>16</v>
      </c>
      <c r="G2846" t="s">
        <v>17</v>
      </c>
      <c r="H2846" t="s">
        <v>18</v>
      </c>
      <c r="I2846">
        <v>33.685000000000002</v>
      </c>
      <c r="J2846" t="s">
        <v>19</v>
      </c>
      <c r="K2846" t="s">
        <v>3906</v>
      </c>
      <c r="L2846" t="s">
        <v>21</v>
      </c>
      <c r="M2846" t="str">
        <f t="shared" si="132"/>
        <v>OK</v>
      </c>
      <c r="N2846" t="str">
        <f t="shared" si="133"/>
        <v>1950s</v>
      </c>
      <c r="O2846" t="str">
        <f t="shared" si="134"/>
        <v>Low</v>
      </c>
      <c r="P2846" t="str">
        <f>VLOOKUP(E2846,calculated_fields!$F$4:$G$6,2,FALSE)</f>
        <v>Health</v>
      </c>
    </row>
    <row r="2847" spans="1:16">
      <c r="A2847" t="s">
        <v>3907</v>
      </c>
      <c r="B2847" t="s">
        <v>3905</v>
      </c>
      <c r="C2847" t="s">
        <v>130</v>
      </c>
      <c r="D2847">
        <v>1952</v>
      </c>
      <c r="E2847" t="s">
        <v>23</v>
      </c>
      <c r="F2847" t="s">
        <v>24</v>
      </c>
      <c r="G2847" t="s">
        <v>25</v>
      </c>
      <c r="H2847" t="s">
        <v>26</v>
      </c>
      <c r="I2847">
        <v>3838168</v>
      </c>
      <c r="J2847" t="s">
        <v>27</v>
      </c>
      <c r="K2847" t="s">
        <v>3906</v>
      </c>
      <c r="L2847" t="s">
        <v>21</v>
      </c>
      <c r="M2847" t="str">
        <f t="shared" si="132"/>
        <v>OK</v>
      </c>
      <c r="N2847" t="str">
        <f t="shared" si="133"/>
        <v>1950s</v>
      </c>
      <c r="O2847" t="str">
        <f t="shared" si="134"/>
        <v>N/A</v>
      </c>
      <c r="P2847" t="str">
        <f>VLOOKUP(E2847,calculated_fields!$F$4:$G$6,2,FALSE)</f>
        <v>Demographics</v>
      </c>
    </row>
    <row r="2848" spans="1:16">
      <c r="A2848" t="s">
        <v>3908</v>
      </c>
      <c r="B2848" t="s">
        <v>3905</v>
      </c>
      <c r="C2848" t="s">
        <v>130</v>
      </c>
      <c r="D2848">
        <v>1952</v>
      </c>
      <c r="E2848" t="s">
        <v>29</v>
      </c>
      <c r="F2848" t="s">
        <v>30</v>
      </c>
      <c r="G2848" t="s">
        <v>31</v>
      </c>
      <c r="H2848" t="s">
        <v>32</v>
      </c>
      <c r="I2848">
        <v>452.33698070000003</v>
      </c>
      <c r="J2848" t="s">
        <v>33</v>
      </c>
      <c r="K2848" t="s">
        <v>3906</v>
      </c>
      <c r="L2848" t="s">
        <v>21</v>
      </c>
      <c r="M2848" t="str">
        <f t="shared" si="132"/>
        <v>OK</v>
      </c>
      <c r="N2848" t="str">
        <f t="shared" si="133"/>
        <v>1950s</v>
      </c>
      <c r="O2848" t="str">
        <f t="shared" si="134"/>
        <v>N/A</v>
      </c>
      <c r="P2848" t="str">
        <f>VLOOKUP(E2848,calculated_fields!$F$4:$G$6,2,FALSE)</f>
        <v>Economy</v>
      </c>
    </row>
    <row r="2849" spans="1:16">
      <c r="A2849" t="s">
        <v>3909</v>
      </c>
      <c r="B2849" t="s">
        <v>3905</v>
      </c>
      <c r="C2849" t="s">
        <v>130</v>
      </c>
      <c r="D2849">
        <v>1957</v>
      </c>
      <c r="E2849" t="s">
        <v>15</v>
      </c>
      <c r="F2849" t="s">
        <v>16</v>
      </c>
      <c r="G2849" t="s">
        <v>17</v>
      </c>
      <c r="H2849" t="s">
        <v>18</v>
      </c>
      <c r="I2849">
        <v>35.306999999999903</v>
      </c>
      <c r="J2849" t="s">
        <v>19</v>
      </c>
      <c r="K2849" t="s">
        <v>3910</v>
      </c>
      <c r="L2849" t="s">
        <v>21</v>
      </c>
      <c r="M2849" t="str">
        <f t="shared" si="132"/>
        <v>OK</v>
      </c>
      <c r="N2849" t="str">
        <f t="shared" si="133"/>
        <v>1950s</v>
      </c>
      <c r="O2849" t="str">
        <f t="shared" si="134"/>
        <v>Low</v>
      </c>
      <c r="P2849" t="str">
        <f>VLOOKUP(E2849,calculated_fields!$F$4:$G$6,2,FALSE)</f>
        <v>Health</v>
      </c>
    </row>
    <row r="2850" spans="1:16">
      <c r="A2850" t="s">
        <v>3911</v>
      </c>
      <c r="B2850" t="s">
        <v>3905</v>
      </c>
      <c r="C2850" t="s">
        <v>130</v>
      </c>
      <c r="D2850">
        <v>1957</v>
      </c>
      <c r="E2850" t="s">
        <v>23</v>
      </c>
      <c r="F2850" t="s">
        <v>24</v>
      </c>
      <c r="G2850" t="s">
        <v>25</v>
      </c>
      <c r="H2850" t="s">
        <v>26</v>
      </c>
      <c r="I2850">
        <v>4241884</v>
      </c>
      <c r="J2850" t="s">
        <v>27</v>
      </c>
      <c r="K2850" t="s">
        <v>3910</v>
      </c>
      <c r="L2850" t="s">
        <v>21</v>
      </c>
      <c r="M2850" t="str">
        <f t="shared" si="132"/>
        <v>OK</v>
      </c>
      <c r="N2850" t="str">
        <f t="shared" si="133"/>
        <v>1950s</v>
      </c>
      <c r="O2850" t="str">
        <f t="shared" si="134"/>
        <v>N/A</v>
      </c>
      <c r="P2850" t="str">
        <f>VLOOKUP(E2850,calculated_fields!$F$4:$G$6,2,FALSE)</f>
        <v>Demographics</v>
      </c>
    </row>
    <row r="2851" spans="1:16">
      <c r="A2851" t="s">
        <v>3912</v>
      </c>
      <c r="B2851" t="s">
        <v>3905</v>
      </c>
      <c r="C2851" t="s">
        <v>130</v>
      </c>
      <c r="D2851">
        <v>1957</v>
      </c>
      <c r="E2851" t="s">
        <v>29</v>
      </c>
      <c r="F2851" t="s">
        <v>30</v>
      </c>
      <c r="G2851" t="s">
        <v>31</v>
      </c>
      <c r="H2851" t="s">
        <v>32</v>
      </c>
      <c r="I2851">
        <v>490.38218669999998</v>
      </c>
      <c r="J2851" t="s">
        <v>33</v>
      </c>
      <c r="K2851" t="s">
        <v>3910</v>
      </c>
      <c r="L2851" t="s">
        <v>21</v>
      </c>
      <c r="M2851" t="str">
        <f t="shared" si="132"/>
        <v>OK</v>
      </c>
      <c r="N2851" t="str">
        <f t="shared" si="133"/>
        <v>1950s</v>
      </c>
      <c r="O2851" t="str">
        <f t="shared" si="134"/>
        <v>N/A</v>
      </c>
      <c r="P2851" t="str">
        <f>VLOOKUP(E2851,calculated_fields!$F$4:$G$6,2,FALSE)</f>
        <v>Economy</v>
      </c>
    </row>
    <row r="2852" spans="1:16">
      <c r="A2852" t="s">
        <v>3913</v>
      </c>
      <c r="B2852" t="s">
        <v>3905</v>
      </c>
      <c r="C2852" t="s">
        <v>130</v>
      </c>
      <c r="D2852">
        <v>1962</v>
      </c>
      <c r="E2852" t="s">
        <v>15</v>
      </c>
      <c r="F2852" t="s">
        <v>16</v>
      </c>
      <c r="G2852" t="s">
        <v>17</v>
      </c>
      <c r="H2852" t="s">
        <v>18</v>
      </c>
      <c r="I2852">
        <v>36.936</v>
      </c>
      <c r="J2852" t="s">
        <v>19</v>
      </c>
      <c r="K2852" t="s">
        <v>3914</v>
      </c>
      <c r="L2852" t="s">
        <v>21</v>
      </c>
      <c r="M2852" t="str">
        <f t="shared" si="132"/>
        <v>OK</v>
      </c>
      <c r="N2852" t="str">
        <f t="shared" si="133"/>
        <v>1960s</v>
      </c>
      <c r="O2852" t="str">
        <f t="shared" si="134"/>
        <v>Low</v>
      </c>
      <c r="P2852" t="str">
        <f>VLOOKUP(E2852,calculated_fields!$F$4:$G$6,2,FALSE)</f>
        <v>Health</v>
      </c>
    </row>
    <row r="2853" spans="1:16">
      <c r="A2853" t="s">
        <v>3915</v>
      </c>
      <c r="B2853" t="s">
        <v>3905</v>
      </c>
      <c r="C2853" t="s">
        <v>130</v>
      </c>
      <c r="D2853">
        <v>1962</v>
      </c>
      <c r="E2853" t="s">
        <v>23</v>
      </c>
      <c r="F2853" t="s">
        <v>24</v>
      </c>
      <c r="G2853" t="s">
        <v>25</v>
      </c>
      <c r="H2853" t="s">
        <v>26</v>
      </c>
      <c r="I2853">
        <v>4690372</v>
      </c>
      <c r="J2853" t="s">
        <v>27</v>
      </c>
      <c r="K2853" t="s">
        <v>3914</v>
      </c>
      <c r="L2853" t="s">
        <v>21</v>
      </c>
      <c r="M2853" t="str">
        <f t="shared" si="132"/>
        <v>OK</v>
      </c>
      <c r="N2853" t="str">
        <f t="shared" si="133"/>
        <v>1960s</v>
      </c>
      <c r="O2853" t="str">
        <f t="shared" si="134"/>
        <v>N/A</v>
      </c>
      <c r="P2853" t="str">
        <f>VLOOKUP(E2853,calculated_fields!$F$4:$G$6,2,FALSE)</f>
        <v>Demographics</v>
      </c>
    </row>
    <row r="2854" spans="1:16">
      <c r="A2854" t="s">
        <v>3916</v>
      </c>
      <c r="B2854" t="s">
        <v>3905</v>
      </c>
      <c r="C2854" t="s">
        <v>130</v>
      </c>
      <c r="D2854">
        <v>1962</v>
      </c>
      <c r="E2854" t="s">
        <v>29</v>
      </c>
      <c r="F2854" t="s">
        <v>30</v>
      </c>
      <c r="G2854" t="s">
        <v>31</v>
      </c>
      <c r="H2854" t="s">
        <v>32</v>
      </c>
      <c r="I2854">
        <v>496.17434279999998</v>
      </c>
      <c r="J2854" t="s">
        <v>33</v>
      </c>
      <c r="K2854" t="s">
        <v>3914</v>
      </c>
      <c r="L2854" t="s">
        <v>21</v>
      </c>
      <c r="M2854" t="str">
        <f t="shared" si="132"/>
        <v>OK</v>
      </c>
      <c r="N2854" t="str">
        <f t="shared" si="133"/>
        <v>1960s</v>
      </c>
      <c r="O2854" t="str">
        <f t="shared" si="134"/>
        <v>N/A</v>
      </c>
      <c r="P2854" t="str">
        <f>VLOOKUP(E2854,calculated_fields!$F$4:$G$6,2,FALSE)</f>
        <v>Economy</v>
      </c>
    </row>
    <row r="2855" spans="1:16">
      <c r="A2855" t="s">
        <v>3917</v>
      </c>
      <c r="B2855" t="s">
        <v>3905</v>
      </c>
      <c r="C2855" t="s">
        <v>130</v>
      </c>
      <c r="D2855">
        <v>1967</v>
      </c>
      <c r="E2855" t="s">
        <v>15</v>
      </c>
      <c r="F2855" t="s">
        <v>16</v>
      </c>
      <c r="G2855" t="s">
        <v>17</v>
      </c>
      <c r="H2855" t="s">
        <v>18</v>
      </c>
      <c r="I2855">
        <v>38.487000000000002</v>
      </c>
      <c r="J2855" t="s">
        <v>19</v>
      </c>
      <c r="K2855" t="s">
        <v>3918</v>
      </c>
      <c r="L2855" t="s">
        <v>21</v>
      </c>
      <c r="M2855" t="str">
        <f t="shared" si="132"/>
        <v>OK</v>
      </c>
      <c r="N2855" t="str">
        <f t="shared" si="133"/>
        <v>1960s</v>
      </c>
      <c r="O2855" t="str">
        <f t="shared" si="134"/>
        <v>Low</v>
      </c>
      <c r="P2855" t="str">
        <f>VLOOKUP(E2855,calculated_fields!$F$4:$G$6,2,FALSE)</f>
        <v>Health</v>
      </c>
    </row>
    <row r="2856" spans="1:16">
      <c r="A2856" t="s">
        <v>3919</v>
      </c>
      <c r="B2856" t="s">
        <v>3905</v>
      </c>
      <c r="C2856" t="s">
        <v>130</v>
      </c>
      <c r="D2856">
        <v>1967</v>
      </c>
      <c r="E2856" t="s">
        <v>23</v>
      </c>
      <c r="F2856" t="s">
        <v>24</v>
      </c>
      <c r="G2856" t="s">
        <v>25</v>
      </c>
      <c r="H2856" t="s">
        <v>26</v>
      </c>
      <c r="I2856">
        <v>5212416</v>
      </c>
      <c r="J2856" t="s">
        <v>27</v>
      </c>
      <c r="K2856" t="s">
        <v>3918</v>
      </c>
      <c r="L2856" t="s">
        <v>21</v>
      </c>
      <c r="M2856" t="str">
        <f t="shared" si="132"/>
        <v>OK</v>
      </c>
      <c r="N2856" t="str">
        <f t="shared" si="133"/>
        <v>1960s</v>
      </c>
      <c r="O2856" t="str">
        <f t="shared" si="134"/>
        <v>N/A</v>
      </c>
      <c r="P2856" t="str">
        <f>VLOOKUP(E2856,calculated_fields!$F$4:$G$6,2,FALSE)</f>
        <v>Demographics</v>
      </c>
    </row>
    <row r="2857" spans="1:16">
      <c r="A2857" t="s">
        <v>3920</v>
      </c>
      <c r="B2857" t="s">
        <v>3905</v>
      </c>
      <c r="C2857" t="s">
        <v>130</v>
      </c>
      <c r="D2857">
        <v>1967</v>
      </c>
      <c r="E2857" t="s">
        <v>29</v>
      </c>
      <c r="F2857" t="s">
        <v>30</v>
      </c>
      <c r="G2857" t="s">
        <v>31</v>
      </c>
      <c r="H2857" t="s">
        <v>32</v>
      </c>
      <c r="I2857">
        <v>545.00988729999995</v>
      </c>
      <c r="J2857" t="s">
        <v>33</v>
      </c>
      <c r="K2857" t="s">
        <v>3918</v>
      </c>
      <c r="L2857" t="s">
        <v>21</v>
      </c>
      <c r="M2857" t="str">
        <f t="shared" si="132"/>
        <v>OK</v>
      </c>
      <c r="N2857" t="str">
        <f t="shared" si="133"/>
        <v>1960s</v>
      </c>
      <c r="O2857" t="str">
        <f t="shared" si="134"/>
        <v>N/A</v>
      </c>
      <c r="P2857" t="str">
        <f>VLOOKUP(E2857,calculated_fields!$F$4:$G$6,2,FALSE)</f>
        <v>Economy</v>
      </c>
    </row>
    <row r="2858" spans="1:16">
      <c r="A2858" t="s">
        <v>3921</v>
      </c>
      <c r="B2858" t="s">
        <v>3905</v>
      </c>
      <c r="C2858" t="s">
        <v>130</v>
      </c>
      <c r="D2858">
        <v>1972</v>
      </c>
      <c r="E2858" t="s">
        <v>15</v>
      </c>
      <c r="F2858" t="s">
        <v>16</v>
      </c>
      <c r="G2858" t="s">
        <v>17</v>
      </c>
      <c r="H2858" t="s">
        <v>18</v>
      </c>
      <c r="I2858">
        <v>39.976999999999997</v>
      </c>
      <c r="J2858" t="s">
        <v>19</v>
      </c>
      <c r="K2858" t="s">
        <v>3922</v>
      </c>
      <c r="L2858" t="s">
        <v>21</v>
      </c>
      <c r="M2858" t="str">
        <f t="shared" si="132"/>
        <v>OK</v>
      </c>
      <c r="N2858" t="str">
        <f t="shared" si="133"/>
        <v>1970s</v>
      </c>
      <c r="O2858" t="str">
        <f t="shared" si="134"/>
        <v>Low</v>
      </c>
      <c r="P2858" t="str">
        <f>VLOOKUP(E2858,calculated_fields!$F$4:$G$6,2,FALSE)</f>
        <v>Health</v>
      </c>
    </row>
    <row r="2859" spans="1:16">
      <c r="A2859" t="s">
        <v>3923</v>
      </c>
      <c r="B2859" t="s">
        <v>3905</v>
      </c>
      <c r="C2859" t="s">
        <v>130</v>
      </c>
      <c r="D2859">
        <v>1972</v>
      </c>
      <c r="E2859" t="s">
        <v>23</v>
      </c>
      <c r="F2859" t="s">
        <v>24</v>
      </c>
      <c r="G2859" t="s">
        <v>25</v>
      </c>
      <c r="H2859" t="s">
        <v>26</v>
      </c>
      <c r="I2859">
        <v>5828158</v>
      </c>
      <c r="J2859" t="s">
        <v>27</v>
      </c>
      <c r="K2859" t="s">
        <v>3922</v>
      </c>
      <c r="L2859" t="s">
        <v>21</v>
      </c>
      <c r="M2859" t="str">
        <f t="shared" si="132"/>
        <v>OK</v>
      </c>
      <c r="N2859" t="str">
        <f t="shared" si="133"/>
        <v>1970s</v>
      </c>
      <c r="O2859" t="str">
        <f t="shared" si="134"/>
        <v>N/A</v>
      </c>
      <c r="P2859" t="str">
        <f>VLOOKUP(E2859,calculated_fields!$F$4:$G$6,2,FALSE)</f>
        <v>Demographics</v>
      </c>
    </row>
    <row r="2860" spans="1:16">
      <c r="A2860" t="s">
        <v>3924</v>
      </c>
      <c r="B2860" t="s">
        <v>3905</v>
      </c>
      <c r="C2860" t="s">
        <v>130</v>
      </c>
      <c r="D2860">
        <v>1972</v>
      </c>
      <c r="E2860" t="s">
        <v>29</v>
      </c>
      <c r="F2860" t="s">
        <v>30</v>
      </c>
      <c r="G2860" t="s">
        <v>31</v>
      </c>
      <c r="H2860" t="s">
        <v>32</v>
      </c>
      <c r="I2860">
        <v>581.36887609999997</v>
      </c>
      <c r="J2860" t="s">
        <v>33</v>
      </c>
      <c r="K2860" t="s">
        <v>3922</v>
      </c>
      <c r="L2860" t="s">
        <v>21</v>
      </c>
      <c r="M2860" t="str">
        <f t="shared" si="132"/>
        <v>OK</v>
      </c>
      <c r="N2860" t="str">
        <f t="shared" si="133"/>
        <v>1970s</v>
      </c>
      <c r="O2860" t="str">
        <f t="shared" si="134"/>
        <v>N/A</v>
      </c>
      <c r="P2860" t="str">
        <f>VLOOKUP(E2860,calculated_fields!$F$4:$G$6,2,FALSE)</f>
        <v>Economy</v>
      </c>
    </row>
    <row r="2861" spans="1:16">
      <c r="A2861" t="s">
        <v>3925</v>
      </c>
      <c r="B2861" t="s">
        <v>3905</v>
      </c>
      <c r="C2861" t="s">
        <v>130</v>
      </c>
      <c r="D2861">
        <v>1977</v>
      </c>
      <c r="E2861" t="s">
        <v>15</v>
      </c>
      <c r="F2861" t="s">
        <v>16</v>
      </c>
      <c r="G2861" t="s">
        <v>17</v>
      </c>
      <c r="H2861" t="s">
        <v>18</v>
      </c>
      <c r="I2861">
        <v>41.713999999999999</v>
      </c>
      <c r="J2861" t="s">
        <v>19</v>
      </c>
      <c r="K2861" t="s">
        <v>3926</v>
      </c>
      <c r="L2861" t="s">
        <v>21</v>
      </c>
      <c r="M2861" t="str">
        <f t="shared" si="132"/>
        <v>OK</v>
      </c>
      <c r="N2861" t="str">
        <f t="shared" si="133"/>
        <v>1970s</v>
      </c>
      <c r="O2861" t="str">
        <f t="shared" si="134"/>
        <v>Low</v>
      </c>
      <c r="P2861" t="str">
        <f>VLOOKUP(E2861,calculated_fields!$F$4:$G$6,2,FALSE)</f>
        <v>Health</v>
      </c>
    </row>
    <row r="2862" spans="1:16">
      <c r="A2862" t="s">
        <v>3927</v>
      </c>
      <c r="B2862" t="s">
        <v>3905</v>
      </c>
      <c r="C2862" t="s">
        <v>130</v>
      </c>
      <c r="D2862">
        <v>1977</v>
      </c>
      <c r="E2862" t="s">
        <v>23</v>
      </c>
      <c r="F2862" t="s">
        <v>24</v>
      </c>
      <c r="G2862" t="s">
        <v>25</v>
      </c>
      <c r="H2862" t="s">
        <v>26</v>
      </c>
      <c r="I2862">
        <v>6491649</v>
      </c>
      <c r="J2862" t="s">
        <v>27</v>
      </c>
      <c r="K2862" t="s">
        <v>3926</v>
      </c>
      <c r="L2862" t="s">
        <v>21</v>
      </c>
      <c r="M2862" t="str">
        <f t="shared" si="132"/>
        <v>OK</v>
      </c>
      <c r="N2862" t="str">
        <f t="shared" si="133"/>
        <v>1970s</v>
      </c>
      <c r="O2862" t="str">
        <f t="shared" si="134"/>
        <v>N/A</v>
      </c>
      <c r="P2862" t="str">
        <f>VLOOKUP(E2862,calculated_fields!$F$4:$G$6,2,FALSE)</f>
        <v>Demographics</v>
      </c>
    </row>
    <row r="2863" spans="1:16">
      <c r="A2863" t="s">
        <v>3928</v>
      </c>
      <c r="B2863" t="s">
        <v>3905</v>
      </c>
      <c r="C2863" t="s">
        <v>130</v>
      </c>
      <c r="D2863">
        <v>1977</v>
      </c>
      <c r="E2863" t="s">
        <v>29</v>
      </c>
      <c r="F2863" t="s">
        <v>30</v>
      </c>
      <c r="G2863" t="s">
        <v>31</v>
      </c>
      <c r="H2863" t="s">
        <v>32</v>
      </c>
      <c r="I2863">
        <v>686.3952693</v>
      </c>
      <c r="J2863" t="s">
        <v>33</v>
      </c>
      <c r="K2863" t="s">
        <v>3926</v>
      </c>
      <c r="L2863" t="s">
        <v>21</v>
      </c>
      <c r="M2863" t="str">
        <f t="shared" si="132"/>
        <v>OK</v>
      </c>
      <c r="N2863" t="str">
        <f t="shared" si="133"/>
        <v>1970s</v>
      </c>
      <c r="O2863" t="str">
        <f t="shared" si="134"/>
        <v>N/A</v>
      </c>
      <c r="P2863" t="str">
        <f>VLOOKUP(E2863,calculated_fields!$F$4:$G$6,2,FALSE)</f>
        <v>Economy</v>
      </c>
    </row>
    <row r="2864" spans="1:16">
      <c r="A2864" t="s">
        <v>3929</v>
      </c>
      <c r="B2864" t="s">
        <v>3905</v>
      </c>
      <c r="C2864" t="s">
        <v>130</v>
      </c>
      <c r="D2864">
        <v>1982</v>
      </c>
      <c r="E2864" t="s">
        <v>15</v>
      </c>
      <c r="F2864" t="s">
        <v>16</v>
      </c>
      <c r="G2864" t="s">
        <v>17</v>
      </c>
      <c r="H2864" t="s">
        <v>18</v>
      </c>
      <c r="I2864">
        <v>43.915999999999997</v>
      </c>
      <c r="J2864" t="s">
        <v>19</v>
      </c>
      <c r="K2864" t="s">
        <v>3930</v>
      </c>
      <c r="L2864" t="s">
        <v>21</v>
      </c>
      <c r="M2864" t="str">
        <f t="shared" si="132"/>
        <v>OK</v>
      </c>
      <c r="N2864" t="str">
        <f t="shared" si="133"/>
        <v>1980s</v>
      </c>
      <c r="O2864" t="str">
        <f t="shared" si="134"/>
        <v>Low</v>
      </c>
      <c r="P2864" t="str">
        <f>VLOOKUP(E2864,calculated_fields!$F$4:$G$6,2,FALSE)</f>
        <v>Health</v>
      </c>
    </row>
    <row r="2865" spans="1:16">
      <c r="A2865" t="s">
        <v>3931</v>
      </c>
      <c r="B2865" t="s">
        <v>3905</v>
      </c>
      <c r="C2865" t="s">
        <v>130</v>
      </c>
      <c r="D2865">
        <v>1982</v>
      </c>
      <c r="E2865" t="s">
        <v>23</v>
      </c>
      <c r="F2865" t="s">
        <v>24</v>
      </c>
      <c r="G2865" t="s">
        <v>25</v>
      </c>
      <c r="H2865" t="s">
        <v>26</v>
      </c>
      <c r="I2865">
        <v>6998256</v>
      </c>
      <c r="J2865" t="s">
        <v>27</v>
      </c>
      <c r="K2865" t="s">
        <v>3930</v>
      </c>
      <c r="L2865" t="s">
        <v>21</v>
      </c>
      <c r="M2865" t="str">
        <f t="shared" si="132"/>
        <v>OK</v>
      </c>
      <c r="N2865" t="str">
        <f t="shared" si="133"/>
        <v>1980s</v>
      </c>
      <c r="O2865" t="str">
        <f t="shared" si="134"/>
        <v>N/A</v>
      </c>
      <c r="P2865" t="str">
        <f>VLOOKUP(E2865,calculated_fields!$F$4:$G$6,2,FALSE)</f>
        <v>Demographics</v>
      </c>
    </row>
    <row r="2866" spans="1:16">
      <c r="A2866" t="s">
        <v>3932</v>
      </c>
      <c r="B2866" t="s">
        <v>3905</v>
      </c>
      <c r="C2866" t="s">
        <v>130</v>
      </c>
      <c r="D2866">
        <v>1982</v>
      </c>
      <c r="E2866" t="s">
        <v>29</v>
      </c>
      <c r="F2866" t="s">
        <v>30</v>
      </c>
      <c r="G2866" t="s">
        <v>31</v>
      </c>
      <c r="H2866" t="s">
        <v>32</v>
      </c>
      <c r="I2866">
        <v>618.01406409999902</v>
      </c>
      <c r="J2866" t="s">
        <v>33</v>
      </c>
      <c r="K2866" t="s">
        <v>3930</v>
      </c>
      <c r="L2866" t="s">
        <v>21</v>
      </c>
      <c r="M2866" t="str">
        <f t="shared" si="132"/>
        <v>OK</v>
      </c>
      <c r="N2866" t="str">
        <f t="shared" si="133"/>
        <v>1980s</v>
      </c>
      <c r="O2866" t="str">
        <f t="shared" si="134"/>
        <v>N/A</v>
      </c>
      <c r="P2866" t="str">
        <f>VLOOKUP(E2866,calculated_fields!$F$4:$G$6,2,FALSE)</f>
        <v>Economy</v>
      </c>
    </row>
    <row r="2867" spans="1:16">
      <c r="A2867" t="s">
        <v>3933</v>
      </c>
      <c r="B2867" t="s">
        <v>3905</v>
      </c>
      <c r="C2867" t="s">
        <v>130</v>
      </c>
      <c r="D2867">
        <v>1987</v>
      </c>
      <c r="E2867" t="s">
        <v>15</v>
      </c>
      <c r="F2867" t="s">
        <v>16</v>
      </c>
      <c r="G2867" t="s">
        <v>17</v>
      </c>
      <c r="H2867" t="s">
        <v>18</v>
      </c>
      <c r="I2867">
        <v>46.363999999999997</v>
      </c>
      <c r="J2867" t="s">
        <v>19</v>
      </c>
      <c r="K2867" t="s">
        <v>3934</v>
      </c>
      <c r="L2867" t="s">
        <v>21</v>
      </c>
      <c r="M2867" t="str">
        <f t="shared" si="132"/>
        <v>OK</v>
      </c>
      <c r="N2867" t="str">
        <f t="shared" si="133"/>
        <v>1980s</v>
      </c>
      <c r="O2867" t="str">
        <f t="shared" si="134"/>
        <v>Low</v>
      </c>
      <c r="P2867" t="str">
        <f>VLOOKUP(E2867,calculated_fields!$F$4:$G$6,2,FALSE)</f>
        <v>Health</v>
      </c>
    </row>
    <row r="2868" spans="1:16">
      <c r="A2868" t="s">
        <v>3935</v>
      </c>
      <c r="B2868" t="s">
        <v>3905</v>
      </c>
      <c r="C2868" t="s">
        <v>130</v>
      </c>
      <c r="D2868">
        <v>1987</v>
      </c>
      <c r="E2868" t="s">
        <v>23</v>
      </c>
      <c r="F2868" t="s">
        <v>24</v>
      </c>
      <c r="G2868" t="s">
        <v>25</v>
      </c>
      <c r="H2868" t="s">
        <v>26</v>
      </c>
      <c r="I2868">
        <v>7634008</v>
      </c>
      <c r="J2868" t="s">
        <v>27</v>
      </c>
      <c r="K2868" t="s">
        <v>3934</v>
      </c>
      <c r="L2868" t="s">
        <v>21</v>
      </c>
      <c r="M2868" t="str">
        <f t="shared" si="132"/>
        <v>OK</v>
      </c>
      <c r="N2868" t="str">
        <f t="shared" si="133"/>
        <v>1980s</v>
      </c>
      <c r="O2868" t="str">
        <f t="shared" si="134"/>
        <v>N/A</v>
      </c>
      <c r="P2868" t="str">
        <f>VLOOKUP(E2868,calculated_fields!$F$4:$G$6,2,FALSE)</f>
        <v>Demographics</v>
      </c>
    </row>
    <row r="2869" spans="1:16">
      <c r="A2869" t="s">
        <v>3936</v>
      </c>
      <c r="B2869" t="s">
        <v>3905</v>
      </c>
      <c r="C2869" t="s">
        <v>130</v>
      </c>
      <c r="D2869">
        <v>1987</v>
      </c>
      <c r="E2869" t="s">
        <v>29</v>
      </c>
      <c r="F2869" t="s">
        <v>30</v>
      </c>
      <c r="G2869" t="s">
        <v>31</v>
      </c>
      <c r="H2869" t="s">
        <v>32</v>
      </c>
      <c r="I2869">
        <v>684.17155760000003</v>
      </c>
      <c r="J2869" t="s">
        <v>33</v>
      </c>
      <c r="K2869" t="s">
        <v>3934</v>
      </c>
      <c r="L2869" t="s">
        <v>21</v>
      </c>
      <c r="M2869" t="str">
        <f t="shared" si="132"/>
        <v>OK</v>
      </c>
      <c r="N2869" t="str">
        <f t="shared" si="133"/>
        <v>1980s</v>
      </c>
      <c r="O2869" t="str">
        <f t="shared" si="134"/>
        <v>N/A</v>
      </c>
      <c r="P2869" t="str">
        <f>VLOOKUP(E2869,calculated_fields!$F$4:$G$6,2,FALSE)</f>
        <v>Economy</v>
      </c>
    </row>
    <row r="2870" spans="1:16">
      <c r="A2870" t="s">
        <v>3937</v>
      </c>
      <c r="B2870" t="s">
        <v>3905</v>
      </c>
      <c r="C2870" t="s">
        <v>130</v>
      </c>
      <c r="D2870">
        <v>1992</v>
      </c>
      <c r="E2870" t="s">
        <v>15</v>
      </c>
      <c r="F2870" t="s">
        <v>16</v>
      </c>
      <c r="G2870" t="s">
        <v>17</v>
      </c>
      <c r="H2870" t="s">
        <v>18</v>
      </c>
      <c r="I2870">
        <v>48.387999999999998</v>
      </c>
      <c r="J2870" t="s">
        <v>19</v>
      </c>
      <c r="K2870" t="s">
        <v>3938</v>
      </c>
      <c r="L2870" t="s">
        <v>21</v>
      </c>
      <c r="M2870" t="str">
        <f t="shared" si="132"/>
        <v>OK</v>
      </c>
      <c r="N2870" t="str">
        <f t="shared" si="133"/>
        <v>1990s</v>
      </c>
      <c r="O2870" t="str">
        <f t="shared" si="134"/>
        <v>Low</v>
      </c>
      <c r="P2870" t="str">
        <f>VLOOKUP(E2870,calculated_fields!$F$4:$G$6,2,FALSE)</f>
        <v>Health</v>
      </c>
    </row>
    <row r="2871" spans="1:16">
      <c r="A2871" t="s">
        <v>3939</v>
      </c>
      <c r="B2871" t="s">
        <v>3905</v>
      </c>
      <c r="C2871" t="s">
        <v>130</v>
      </c>
      <c r="D2871">
        <v>1992</v>
      </c>
      <c r="E2871" t="s">
        <v>23</v>
      </c>
      <c r="F2871" t="s">
        <v>24</v>
      </c>
      <c r="G2871" t="s">
        <v>25</v>
      </c>
      <c r="H2871" t="s">
        <v>26</v>
      </c>
      <c r="I2871">
        <v>8416215</v>
      </c>
      <c r="J2871" t="s">
        <v>27</v>
      </c>
      <c r="K2871" t="s">
        <v>3938</v>
      </c>
      <c r="L2871" t="s">
        <v>21</v>
      </c>
      <c r="M2871" t="str">
        <f t="shared" si="132"/>
        <v>OK</v>
      </c>
      <c r="N2871" t="str">
        <f t="shared" si="133"/>
        <v>1990s</v>
      </c>
      <c r="O2871" t="str">
        <f t="shared" si="134"/>
        <v>N/A</v>
      </c>
      <c r="P2871" t="str">
        <f>VLOOKUP(E2871,calculated_fields!$F$4:$G$6,2,FALSE)</f>
        <v>Demographics</v>
      </c>
    </row>
    <row r="2872" spans="1:16">
      <c r="A2872" t="s">
        <v>3940</v>
      </c>
      <c r="B2872" t="s">
        <v>3905</v>
      </c>
      <c r="C2872" t="s">
        <v>130</v>
      </c>
      <c r="D2872">
        <v>1992</v>
      </c>
      <c r="E2872" t="s">
        <v>29</v>
      </c>
      <c r="F2872" t="s">
        <v>30</v>
      </c>
      <c r="G2872" t="s">
        <v>31</v>
      </c>
      <c r="H2872" t="s">
        <v>32</v>
      </c>
      <c r="I2872">
        <v>739.01437499999997</v>
      </c>
      <c r="J2872" t="s">
        <v>33</v>
      </c>
      <c r="K2872" t="s">
        <v>3938</v>
      </c>
      <c r="L2872" t="s">
        <v>21</v>
      </c>
      <c r="M2872" t="str">
        <f t="shared" si="132"/>
        <v>OK</v>
      </c>
      <c r="N2872" t="str">
        <f t="shared" si="133"/>
        <v>1990s</v>
      </c>
      <c r="O2872" t="str">
        <f t="shared" si="134"/>
        <v>N/A</v>
      </c>
      <c r="P2872" t="str">
        <f>VLOOKUP(E2872,calculated_fields!$F$4:$G$6,2,FALSE)</f>
        <v>Economy</v>
      </c>
    </row>
    <row r="2873" spans="1:16">
      <c r="A2873" t="s">
        <v>3941</v>
      </c>
      <c r="B2873" t="s">
        <v>3905</v>
      </c>
      <c r="C2873" t="s">
        <v>130</v>
      </c>
      <c r="D2873">
        <v>1997</v>
      </c>
      <c r="E2873" t="s">
        <v>15</v>
      </c>
      <c r="F2873" t="s">
        <v>16</v>
      </c>
      <c r="G2873" t="s">
        <v>17</v>
      </c>
      <c r="H2873" t="s">
        <v>18</v>
      </c>
      <c r="I2873">
        <v>49.902999999999999</v>
      </c>
      <c r="J2873" t="s">
        <v>19</v>
      </c>
      <c r="K2873" t="s">
        <v>3942</v>
      </c>
      <c r="L2873" t="s">
        <v>21</v>
      </c>
      <c r="M2873" t="str">
        <f t="shared" si="132"/>
        <v>OK</v>
      </c>
      <c r="N2873" t="str">
        <f t="shared" si="133"/>
        <v>1990s</v>
      </c>
      <c r="O2873" t="str">
        <f t="shared" si="134"/>
        <v>Low</v>
      </c>
      <c r="P2873" t="str">
        <f>VLOOKUP(E2873,calculated_fields!$F$4:$G$6,2,FALSE)</f>
        <v>Health</v>
      </c>
    </row>
    <row r="2874" spans="1:16">
      <c r="A2874" t="s">
        <v>3943</v>
      </c>
      <c r="B2874" t="s">
        <v>3905</v>
      </c>
      <c r="C2874" t="s">
        <v>130</v>
      </c>
      <c r="D2874">
        <v>1997</v>
      </c>
      <c r="E2874" t="s">
        <v>23</v>
      </c>
      <c r="F2874" t="s">
        <v>24</v>
      </c>
      <c r="G2874" t="s">
        <v>25</v>
      </c>
      <c r="H2874" t="s">
        <v>26</v>
      </c>
      <c r="I2874">
        <v>9384984</v>
      </c>
      <c r="J2874" t="s">
        <v>27</v>
      </c>
      <c r="K2874" t="s">
        <v>3942</v>
      </c>
      <c r="L2874" t="s">
        <v>21</v>
      </c>
      <c r="M2874" t="str">
        <f t="shared" si="132"/>
        <v>OK</v>
      </c>
      <c r="N2874" t="str">
        <f t="shared" si="133"/>
        <v>1990s</v>
      </c>
      <c r="O2874" t="str">
        <f t="shared" si="134"/>
        <v>N/A</v>
      </c>
      <c r="P2874" t="str">
        <f>VLOOKUP(E2874,calculated_fields!$F$4:$G$6,2,FALSE)</f>
        <v>Demographics</v>
      </c>
    </row>
    <row r="2875" spans="1:16">
      <c r="A2875" t="s">
        <v>3944</v>
      </c>
      <c r="B2875" t="s">
        <v>3905</v>
      </c>
      <c r="C2875" t="s">
        <v>130</v>
      </c>
      <c r="D2875">
        <v>1997</v>
      </c>
      <c r="E2875" t="s">
        <v>29</v>
      </c>
      <c r="F2875" t="s">
        <v>30</v>
      </c>
      <c r="G2875" t="s">
        <v>31</v>
      </c>
      <c r="H2875" t="s">
        <v>32</v>
      </c>
      <c r="I2875">
        <v>790.25798459999999</v>
      </c>
      <c r="J2875" t="s">
        <v>33</v>
      </c>
      <c r="K2875" t="s">
        <v>3942</v>
      </c>
      <c r="L2875" t="s">
        <v>21</v>
      </c>
      <c r="M2875" t="str">
        <f t="shared" si="132"/>
        <v>OK</v>
      </c>
      <c r="N2875" t="str">
        <f t="shared" si="133"/>
        <v>1990s</v>
      </c>
      <c r="O2875" t="str">
        <f t="shared" si="134"/>
        <v>N/A</v>
      </c>
      <c r="P2875" t="str">
        <f>VLOOKUP(E2875,calculated_fields!$F$4:$G$6,2,FALSE)</f>
        <v>Economy</v>
      </c>
    </row>
    <row r="2876" spans="1:16">
      <c r="A2876" t="s">
        <v>3945</v>
      </c>
      <c r="B2876" t="s">
        <v>3905</v>
      </c>
      <c r="C2876" t="s">
        <v>130</v>
      </c>
      <c r="D2876">
        <v>2002</v>
      </c>
      <c r="E2876" t="s">
        <v>15</v>
      </c>
      <c r="F2876" t="s">
        <v>16</v>
      </c>
      <c r="G2876" t="s">
        <v>17</v>
      </c>
      <c r="H2876" t="s">
        <v>18</v>
      </c>
      <c r="I2876">
        <v>51.817999999999998</v>
      </c>
      <c r="J2876" t="s">
        <v>19</v>
      </c>
      <c r="K2876" t="s">
        <v>3946</v>
      </c>
      <c r="L2876" t="s">
        <v>21</v>
      </c>
      <c r="M2876" t="str">
        <f t="shared" si="132"/>
        <v>OK</v>
      </c>
      <c r="N2876" t="str">
        <f t="shared" si="133"/>
        <v>2000s</v>
      </c>
      <c r="O2876" t="str">
        <f t="shared" si="134"/>
        <v>Low</v>
      </c>
      <c r="P2876" t="str">
        <f>VLOOKUP(E2876,calculated_fields!$F$4:$G$6,2,FALSE)</f>
        <v>Health</v>
      </c>
    </row>
    <row r="2877" spans="1:16">
      <c r="A2877" t="s">
        <v>3947</v>
      </c>
      <c r="B2877" t="s">
        <v>3905</v>
      </c>
      <c r="C2877" t="s">
        <v>130</v>
      </c>
      <c r="D2877">
        <v>2002</v>
      </c>
      <c r="E2877" t="s">
        <v>23</v>
      </c>
      <c r="F2877" t="s">
        <v>24</v>
      </c>
      <c r="G2877" t="s">
        <v>25</v>
      </c>
      <c r="H2877" t="s">
        <v>26</v>
      </c>
      <c r="I2877">
        <v>10580176</v>
      </c>
      <c r="J2877" t="s">
        <v>27</v>
      </c>
      <c r="K2877" t="s">
        <v>3946</v>
      </c>
      <c r="L2877" t="s">
        <v>21</v>
      </c>
      <c r="M2877" t="str">
        <f t="shared" si="132"/>
        <v>OK</v>
      </c>
      <c r="N2877" t="str">
        <f t="shared" si="133"/>
        <v>2000s</v>
      </c>
      <c r="O2877" t="str">
        <f t="shared" si="134"/>
        <v>N/A</v>
      </c>
      <c r="P2877" t="str">
        <f>VLOOKUP(E2877,calculated_fields!$F$4:$G$6,2,FALSE)</f>
        <v>Demographics</v>
      </c>
    </row>
    <row r="2878" spans="1:16">
      <c r="A2878" t="s">
        <v>3948</v>
      </c>
      <c r="B2878" t="s">
        <v>3905</v>
      </c>
      <c r="C2878" t="s">
        <v>130</v>
      </c>
      <c r="D2878">
        <v>2002</v>
      </c>
      <c r="E2878" t="s">
        <v>29</v>
      </c>
      <c r="F2878" t="s">
        <v>30</v>
      </c>
      <c r="G2878" t="s">
        <v>31</v>
      </c>
      <c r="H2878" t="s">
        <v>32</v>
      </c>
      <c r="I2878">
        <v>951.40975179999998</v>
      </c>
      <c r="J2878" t="s">
        <v>33</v>
      </c>
      <c r="K2878" t="s">
        <v>3946</v>
      </c>
      <c r="L2878" t="s">
        <v>21</v>
      </c>
      <c r="M2878" t="str">
        <f t="shared" si="132"/>
        <v>OK</v>
      </c>
      <c r="N2878" t="str">
        <f t="shared" si="133"/>
        <v>2000s</v>
      </c>
      <c r="O2878" t="str">
        <f t="shared" si="134"/>
        <v>N/A</v>
      </c>
      <c r="P2878" t="str">
        <f>VLOOKUP(E2878,calculated_fields!$F$4:$G$6,2,FALSE)</f>
        <v>Economy</v>
      </c>
    </row>
    <row r="2879" spans="1:16">
      <c r="A2879" t="s">
        <v>3949</v>
      </c>
      <c r="B2879" t="s">
        <v>3905</v>
      </c>
      <c r="C2879" t="s">
        <v>130</v>
      </c>
      <c r="D2879">
        <v>2007</v>
      </c>
      <c r="E2879" t="s">
        <v>15</v>
      </c>
      <c r="F2879" t="s">
        <v>16</v>
      </c>
      <c r="G2879" t="s">
        <v>17</v>
      </c>
      <c r="H2879" t="s">
        <v>18</v>
      </c>
      <c r="I2879">
        <v>54.466999999999999</v>
      </c>
      <c r="J2879" t="s">
        <v>19</v>
      </c>
      <c r="K2879" t="s">
        <v>3950</v>
      </c>
      <c r="L2879" t="s">
        <v>21</v>
      </c>
      <c r="M2879" t="str">
        <f t="shared" si="132"/>
        <v>OK</v>
      </c>
      <c r="N2879" t="str">
        <f t="shared" si="133"/>
        <v>2000s</v>
      </c>
      <c r="O2879" t="str">
        <f t="shared" si="134"/>
        <v>Low</v>
      </c>
      <c r="P2879" t="str">
        <f>VLOOKUP(E2879,calculated_fields!$F$4:$G$6,2,FALSE)</f>
        <v>Health</v>
      </c>
    </row>
    <row r="2880" spans="1:16">
      <c r="A2880" t="s">
        <v>3951</v>
      </c>
      <c r="B2880" t="s">
        <v>3905</v>
      </c>
      <c r="C2880" t="s">
        <v>130</v>
      </c>
      <c r="D2880">
        <v>2007</v>
      </c>
      <c r="E2880" t="s">
        <v>23</v>
      </c>
      <c r="F2880" t="s">
        <v>24</v>
      </c>
      <c r="G2880" t="s">
        <v>25</v>
      </c>
      <c r="H2880" t="s">
        <v>26</v>
      </c>
      <c r="I2880">
        <v>12031795</v>
      </c>
      <c r="J2880" t="s">
        <v>27</v>
      </c>
      <c r="K2880" t="s">
        <v>3950</v>
      </c>
      <c r="L2880" t="s">
        <v>21</v>
      </c>
      <c r="M2880" t="str">
        <f t="shared" si="132"/>
        <v>OK</v>
      </c>
      <c r="N2880" t="str">
        <f t="shared" si="133"/>
        <v>2000s</v>
      </c>
      <c r="O2880" t="str">
        <f t="shared" si="134"/>
        <v>N/A</v>
      </c>
      <c r="P2880" t="str">
        <f>VLOOKUP(E2880,calculated_fields!$F$4:$G$6,2,FALSE)</f>
        <v>Demographics</v>
      </c>
    </row>
    <row r="2881" spans="1:16">
      <c r="A2881" t="s">
        <v>3952</v>
      </c>
      <c r="B2881" t="s">
        <v>3905</v>
      </c>
      <c r="C2881" t="s">
        <v>130</v>
      </c>
      <c r="D2881">
        <v>2007</v>
      </c>
      <c r="E2881" t="s">
        <v>29</v>
      </c>
      <c r="F2881" t="s">
        <v>30</v>
      </c>
      <c r="G2881" t="s">
        <v>31</v>
      </c>
      <c r="H2881" t="s">
        <v>32</v>
      </c>
      <c r="I2881">
        <v>1042.581557</v>
      </c>
      <c r="J2881" t="s">
        <v>33</v>
      </c>
      <c r="K2881" t="s">
        <v>3950</v>
      </c>
      <c r="L2881" t="s">
        <v>21</v>
      </c>
      <c r="M2881" t="str">
        <f t="shared" si="132"/>
        <v>OK</v>
      </c>
      <c r="N2881" t="str">
        <f t="shared" si="133"/>
        <v>2000s</v>
      </c>
      <c r="O2881" t="str">
        <f t="shared" si="134"/>
        <v>N/A</v>
      </c>
      <c r="P2881" t="str">
        <f>VLOOKUP(E2881,calculated_fields!$F$4:$G$6,2,FALSE)</f>
        <v>Economy</v>
      </c>
    </row>
    <row r="2882" spans="1:16">
      <c r="A2882" t="s">
        <v>3953</v>
      </c>
      <c r="B2882" t="s">
        <v>3954</v>
      </c>
      <c r="C2882" t="s">
        <v>130</v>
      </c>
      <c r="D2882">
        <v>1952</v>
      </c>
      <c r="E2882" t="s">
        <v>15</v>
      </c>
      <c r="F2882" t="s">
        <v>16</v>
      </c>
      <c r="G2882" t="s">
        <v>17</v>
      </c>
      <c r="H2882" t="s">
        <v>18</v>
      </c>
      <c r="I2882">
        <v>40.542999999999999</v>
      </c>
      <c r="J2882" t="s">
        <v>19</v>
      </c>
      <c r="K2882" t="s">
        <v>3955</v>
      </c>
      <c r="L2882" t="s">
        <v>21</v>
      </c>
      <c r="M2882" t="str">
        <f t="shared" ref="M2882:M2945" si="135">IF(AND(ISNUMBER(I2882),I2882&gt;=0),"OK","Review")</f>
        <v>OK</v>
      </c>
      <c r="N2882" t="str">
        <f t="shared" ref="N2882:N2945" si="136">FLOOR(D2882,10)&amp;"s"</f>
        <v>1950s</v>
      </c>
      <c r="O2882" t="str">
        <f t="shared" ref="O2882:O2945" si="137">IF(E2882="LIFE_EXP",IF(I2882&gt;=70,"High",IF(I2882&gt;=55,"Medium","Low")),"N/A")</f>
        <v>Low</v>
      </c>
      <c r="P2882" t="str">
        <f>VLOOKUP(E2882,calculated_fields!$F$4:$G$6,2,FALSE)</f>
        <v>Health</v>
      </c>
    </row>
    <row r="2883" spans="1:16">
      <c r="A2883" t="s">
        <v>3956</v>
      </c>
      <c r="B2883" t="s">
        <v>3954</v>
      </c>
      <c r="C2883" t="s">
        <v>130</v>
      </c>
      <c r="D2883">
        <v>1952</v>
      </c>
      <c r="E2883" t="s">
        <v>23</v>
      </c>
      <c r="F2883" t="s">
        <v>24</v>
      </c>
      <c r="G2883" t="s">
        <v>25</v>
      </c>
      <c r="H2883" t="s">
        <v>26</v>
      </c>
      <c r="I2883">
        <v>1022556</v>
      </c>
      <c r="J2883" t="s">
        <v>27</v>
      </c>
      <c r="K2883" t="s">
        <v>3955</v>
      </c>
      <c r="L2883" t="s">
        <v>21</v>
      </c>
      <c r="M2883" t="str">
        <f t="shared" si="135"/>
        <v>OK</v>
      </c>
      <c r="N2883" t="str">
        <f t="shared" si="136"/>
        <v>1950s</v>
      </c>
      <c r="O2883" t="str">
        <f t="shared" si="137"/>
        <v>N/A</v>
      </c>
      <c r="P2883" t="str">
        <f>VLOOKUP(E2883,calculated_fields!$F$4:$G$6,2,FALSE)</f>
        <v>Demographics</v>
      </c>
    </row>
    <row r="2884" spans="1:16">
      <c r="A2884" t="s">
        <v>3957</v>
      </c>
      <c r="B2884" t="s">
        <v>3954</v>
      </c>
      <c r="C2884" t="s">
        <v>130</v>
      </c>
      <c r="D2884">
        <v>1952</v>
      </c>
      <c r="E2884" t="s">
        <v>29</v>
      </c>
      <c r="F2884" t="s">
        <v>30</v>
      </c>
      <c r="G2884" t="s">
        <v>31</v>
      </c>
      <c r="H2884" t="s">
        <v>32</v>
      </c>
      <c r="I2884">
        <v>743.11590969999997</v>
      </c>
      <c r="J2884" t="s">
        <v>33</v>
      </c>
      <c r="K2884" t="s">
        <v>3955</v>
      </c>
      <c r="L2884" t="s">
        <v>21</v>
      </c>
      <c r="M2884" t="str">
        <f t="shared" si="135"/>
        <v>OK</v>
      </c>
      <c r="N2884" t="str">
        <f t="shared" si="136"/>
        <v>1950s</v>
      </c>
      <c r="O2884" t="str">
        <f t="shared" si="137"/>
        <v>N/A</v>
      </c>
      <c r="P2884" t="str">
        <f>VLOOKUP(E2884,calculated_fields!$F$4:$G$6,2,FALSE)</f>
        <v>Economy</v>
      </c>
    </row>
    <row r="2885" spans="1:16">
      <c r="A2885" t="s">
        <v>3958</v>
      </c>
      <c r="B2885" t="s">
        <v>3954</v>
      </c>
      <c r="C2885" t="s">
        <v>130</v>
      </c>
      <c r="D2885">
        <v>1957</v>
      </c>
      <c r="E2885" t="s">
        <v>15</v>
      </c>
      <c r="F2885" t="s">
        <v>16</v>
      </c>
      <c r="G2885" t="s">
        <v>17</v>
      </c>
      <c r="H2885" t="s">
        <v>18</v>
      </c>
      <c r="I2885">
        <v>42.338000000000001</v>
      </c>
      <c r="J2885" t="s">
        <v>19</v>
      </c>
      <c r="K2885" t="s">
        <v>3959</v>
      </c>
      <c r="L2885" t="s">
        <v>21</v>
      </c>
      <c r="M2885" t="str">
        <f t="shared" si="135"/>
        <v>OK</v>
      </c>
      <c r="N2885" t="str">
        <f t="shared" si="136"/>
        <v>1950s</v>
      </c>
      <c r="O2885" t="str">
        <f t="shared" si="137"/>
        <v>Low</v>
      </c>
      <c r="P2885" t="str">
        <f>VLOOKUP(E2885,calculated_fields!$F$4:$G$6,2,FALSE)</f>
        <v>Health</v>
      </c>
    </row>
    <row r="2886" spans="1:16">
      <c r="A2886" t="s">
        <v>3960</v>
      </c>
      <c r="B2886" t="s">
        <v>3954</v>
      </c>
      <c r="C2886" t="s">
        <v>130</v>
      </c>
      <c r="D2886">
        <v>1957</v>
      </c>
      <c r="E2886" t="s">
        <v>23</v>
      </c>
      <c r="F2886" t="s">
        <v>24</v>
      </c>
      <c r="G2886" t="s">
        <v>25</v>
      </c>
      <c r="H2886" t="s">
        <v>26</v>
      </c>
      <c r="I2886">
        <v>1076852</v>
      </c>
      <c r="J2886" t="s">
        <v>27</v>
      </c>
      <c r="K2886" t="s">
        <v>3959</v>
      </c>
      <c r="L2886" t="s">
        <v>21</v>
      </c>
      <c r="M2886" t="str">
        <f t="shared" si="135"/>
        <v>OK</v>
      </c>
      <c r="N2886" t="str">
        <f t="shared" si="136"/>
        <v>1950s</v>
      </c>
      <c r="O2886" t="str">
        <f t="shared" si="137"/>
        <v>N/A</v>
      </c>
      <c r="P2886" t="str">
        <f>VLOOKUP(E2886,calculated_fields!$F$4:$G$6,2,FALSE)</f>
        <v>Demographics</v>
      </c>
    </row>
    <row r="2887" spans="1:16">
      <c r="A2887" t="s">
        <v>3961</v>
      </c>
      <c r="B2887" t="s">
        <v>3954</v>
      </c>
      <c r="C2887" t="s">
        <v>130</v>
      </c>
      <c r="D2887">
        <v>1957</v>
      </c>
      <c r="E2887" t="s">
        <v>29</v>
      </c>
      <c r="F2887" t="s">
        <v>30</v>
      </c>
      <c r="G2887" t="s">
        <v>31</v>
      </c>
      <c r="H2887" t="s">
        <v>32</v>
      </c>
      <c r="I2887">
        <v>846.12026130000004</v>
      </c>
      <c r="J2887" t="s">
        <v>33</v>
      </c>
      <c r="K2887" t="s">
        <v>3959</v>
      </c>
      <c r="L2887" t="s">
        <v>21</v>
      </c>
      <c r="M2887" t="str">
        <f t="shared" si="135"/>
        <v>OK</v>
      </c>
      <c r="N2887" t="str">
        <f t="shared" si="136"/>
        <v>1950s</v>
      </c>
      <c r="O2887" t="str">
        <f t="shared" si="137"/>
        <v>N/A</v>
      </c>
      <c r="P2887" t="str">
        <f>VLOOKUP(E2887,calculated_fields!$F$4:$G$6,2,FALSE)</f>
        <v>Economy</v>
      </c>
    </row>
    <row r="2888" spans="1:16">
      <c r="A2888" t="s">
        <v>3962</v>
      </c>
      <c r="B2888" t="s">
        <v>3954</v>
      </c>
      <c r="C2888" t="s">
        <v>130</v>
      </c>
      <c r="D2888">
        <v>1962</v>
      </c>
      <c r="E2888" t="s">
        <v>15</v>
      </c>
      <c r="F2888" t="s">
        <v>16</v>
      </c>
      <c r="G2888" t="s">
        <v>17</v>
      </c>
      <c r="H2888" t="s">
        <v>18</v>
      </c>
      <c r="I2888">
        <v>44.247999999999998</v>
      </c>
      <c r="J2888" t="s">
        <v>19</v>
      </c>
      <c r="K2888" t="s">
        <v>3963</v>
      </c>
      <c r="L2888" t="s">
        <v>21</v>
      </c>
      <c r="M2888" t="str">
        <f t="shared" si="135"/>
        <v>OK</v>
      </c>
      <c r="N2888" t="str">
        <f t="shared" si="136"/>
        <v>1960s</v>
      </c>
      <c r="O2888" t="str">
        <f t="shared" si="137"/>
        <v>Low</v>
      </c>
      <c r="P2888" t="str">
        <f>VLOOKUP(E2888,calculated_fields!$F$4:$G$6,2,FALSE)</f>
        <v>Health</v>
      </c>
    </row>
    <row r="2889" spans="1:16">
      <c r="A2889" t="s">
        <v>3964</v>
      </c>
      <c r="B2889" t="s">
        <v>3954</v>
      </c>
      <c r="C2889" t="s">
        <v>130</v>
      </c>
      <c r="D2889">
        <v>1962</v>
      </c>
      <c r="E2889" t="s">
        <v>23</v>
      </c>
      <c r="F2889" t="s">
        <v>24</v>
      </c>
      <c r="G2889" t="s">
        <v>25</v>
      </c>
      <c r="H2889" t="s">
        <v>26</v>
      </c>
      <c r="I2889">
        <v>1146757</v>
      </c>
      <c r="J2889" t="s">
        <v>27</v>
      </c>
      <c r="K2889" t="s">
        <v>3963</v>
      </c>
      <c r="L2889" t="s">
        <v>21</v>
      </c>
      <c r="M2889" t="str">
        <f t="shared" si="135"/>
        <v>OK</v>
      </c>
      <c r="N2889" t="str">
        <f t="shared" si="136"/>
        <v>1960s</v>
      </c>
      <c r="O2889" t="str">
        <f t="shared" si="137"/>
        <v>N/A</v>
      </c>
      <c r="P2889" t="str">
        <f>VLOOKUP(E2889,calculated_fields!$F$4:$G$6,2,FALSE)</f>
        <v>Demographics</v>
      </c>
    </row>
    <row r="2890" spans="1:16">
      <c r="A2890" t="s">
        <v>3965</v>
      </c>
      <c r="B2890" t="s">
        <v>3954</v>
      </c>
      <c r="C2890" t="s">
        <v>130</v>
      </c>
      <c r="D2890">
        <v>1962</v>
      </c>
      <c r="E2890" t="s">
        <v>29</v>
      </c>
      <c r="F2890" t="s">
        <v>30</v>
      </c>
      <c r="G2890" t="s">
        <v>31</v>
      </c>
      <c r="H2890" t="s">
        <v>32</v>
      </c>
      <c r="I2890">
        <v>1055.8960360000001</v>
      </c>
      <c r="J2890" t="s">
        <v>33</v>
      </c>
      <c r="K2890" t="s">
        <v>3963</v>
      </c>
      <c r="L2890" t="s">
        <v>21</v>
      </c>
      <c r="M2890" t="str">
        <f t="shared" si="135"/>
        <v>OK</v>
      </c>
      <c r="N2890" t="str">
        <f t="shared" si="136"/>
        <v>1960s</v>
      </c>
      <c r="O2890" t="str">
        <f t="shared" si="137"/>
        <v>N/A</v>
      </c>
      <c r="P2890" t="str">
        <f>VLOOKUP(E2890,calculated_fields!$F$4:$G$6,2,FALSE)</f>
        <v>Economy</v>
      </c>
    </row>
    <row r="2891" spans="1:16">
      <c r="A2891" t="s">
        <v>3966</v>
      </c>
      <c r="B2891" t="s">
        <v>3954</v>
      </c>
      <c r="C2891" t="s">
        <v>130</v>
      </c>
      <c r="D2891">
        <v>1967</v>
      </c>
      <c r="E2891" t="s">
        <v>15</v>
      </c>
      <c r="F2891" t="s">
        <v>16</v>
      </c>
      <c r="G2891" t="s">
        <v>17</v>
      </c>
      <c r="H2891" t="s">
        <v>18</v>
      </c>
      <c r="I2891">
        <v>46.289000000000001</v>
      </c>
      <c r="J2891" t="s">
        <v>19</v>
      </c>
      <c r="K2891" t="s">
        <v>3967</v>
      </c>
      <c r="L2891" t="s">
        <v>21</v>
      </c>
      <c r="M2891" t="str">
        <f t="shared" si="135"/>
        <v>OK</v>
      </c>
      <c r="N2891" t="str">
        <f t="shared" si="136"/>
        <v>1960s</v>
      </c>
      <c r="O2891" t="str">
        <f t="shared" si="137"/>
        <v>Low</v>
      </c>
      <c r="P2891" t="str">
        <f>VLOOKUP(E2891,calculated_fields!$F$4:$G$6,2,FALSE)</f>
        <v>Health</v>
      </c>
    </row>
    <row r="2892" spans="1:16">
      <c r="A2892" t="s">
        <v>3968</v>
      </c>
      <c r="B2892" t="s">
        <v>3954</v>
      </c>
      <c r="C2892" t="s">
        <v>130</v>
      </c>
      <c r="D2892">
        <v>1967</v>
      </c>
      <c r="E2892" t="s">
        <v>23</v>
      </c>
      <c r="F2892" t="s">
        <v>24</v>
      </c>
      <c r="G2892" t="s">
        <v>25</v>
      </c>
      <c r="H2892" t="s">
        <v>26</v>
      </c>
      <c r="I2892">
        <v>1230542</v>
      </c>
      <c r="J2892" t="s">
        <v>27</v>
      </c>
      <c r="K2892" t="s">
        <v>3967</v>
      </c>
      <c r="L2892" t="s">
        <v>21</v>
      </c>
      <c r="M2892" t="str">
        <f t="shared" si="135"/>
        <v>OK</v>
      </c>
      <c r="N2892" t="str">
        <f t="shared" si="136"/>
        <v>1960s</v>
      </c>
      <c r="O2892" t="str">
        <f t="shared" si="137"/>
        <v>N/A</v>
      </c>
      <c r="P2892" t="str">
        <f>VLOOKUP(E2892,calculated_fields!$F$4:$G$6,2,FALSE)</f>
        <v>Demographics</v>
      </c>
    </row>
    <row r="2893" spans="1:16">
      <c r="A2893" t="s">
        <v>3969</v>
      </c>
      <c r="B2893" t="s">
        <v>3954</v>
      </c>
      <c r="C2893" t="s">
        <v>130</v>
      </c>
      <c r="D2893">
        <v>1967</v>
      </c>
      <c r="E2893" t="s">
        <v>29</v>
      </c>
      <c r="F2893" t="s">
        <v>30</v>
      </c>
      <c r="G2893" t="s">
        <v>31</v>
      </c>
      <c r="H2893" t="s">
        <v>32</v>
      </c>
      <c r="I2893">
        <v>1421.1451930000001</v>
      </c>
      <c r="J2893" t="s">
        <v>33</v>
      </c>
      <c r="K2893" t="s">
        <v>3967</v>
      </c>
      <c r="L2893" t="s">
        <v>21</v>
      </c>
      <c r="M2893" t="str">
        <f t="shared" si="135"/>
        <v>OK</v>
      </c>
      <c r="N2893" t="str">
        <f t="shared" si="136"/>
        <v>1960s</v>
      </c>
      <c r="O2893" t="str">
        <f t="shared" si="137"/>
        <v>N/A</v>
      </c>
      <c r="P2893" t="str">
        <f>VLOOKUP(E2893,calculated_fields!$F$4:$G$6,2,FALSE)</f>
        <v>Economy</v>
      </c>
    </row>
    <row r="2894" spans="1:16">
      <c r="A2894" t="s">
        <v>3970</v>
      </c>
      <c r="B2894" t="s">
        <v>3954</v>
      </c>
      <c r="C2894" t="s">
        <v>130</v>
      </c>
      <c r="D2894">
        <v>1972</v>
      </c>
      <c r="E2894" t="s">
        <v>15</v>
      </c>
      <c r="F2894" t="s">
        <v>16</v>
      </c>
      <c r="G2894" t="s">
        <v>17</v>
      </c>
      <c r="H2894" t="s">
        <v>18</v>
      </c>
      <c r="I2894">
        <v>48.436999999999998</v>
      </c>
      <c r="J2894" t="s">
        <v>19</v>
      </c>
      <c r="K2894" t="s">
        <v>3971</v>
      </c>
      <c r="L2894" t="s">
        <v>21</v>
      </c>
      <c r="M2894" t="str">
        <f t="shared" si="135"/>
        <v>OK</v>
      </c>
      <c r="N2894" t="str">
        <f t="shared" si="136"/>
        <v>1970s</v>
      </c>
      <c r="O2894" t="str">
        <f t="shared" si="137"/>
        <v>Low</v>
      </c>
      <c r="P2894" t="str">
        <f>VLOOKUP(E2894,calculated_fields!$F$4:$G$6,2,FALSE)</f>
        <v>Health</v>
      </c>
    </row>
    <row r="2895" spans="1:16">
      <c r="A2895" t="s">
        <v>3972</v>
      </c>
      <c r="B2895" t="s">
        <v>3954</v>
      </c>
      <c r="C2895" t="s">
        <v>130</v>
      </c>
      <c r="D2895">
        <v>1972</v>
      </c>
      <c r="E2895" t="s">
        <v>23</v>
      </c>
      <c r="F2895" t="s">
        <v>24</v>
      </c>
      <c r="G2895" t="s">
        <v>25</v>
      </c>
      <c r="H2895" t="s">
        <v>26</v>
      </c>
      <c r="I2895">
        <v>1332786</v>
      </c>
      <c r="J2895" t="s">
        <v>27</v>
      </c>
      <c r="K2895" t="s">
        <v>3971</v>
      </c>
      <c r="L2895" t="s">
        <v>21</v>
      </c>
      <c r="M2895" t="str">
        <f t="shared" si="135"/>
        <v>OK</v>
      </c>
      <c r="N2895" t="str">
        <f t="shared" si="136"/>
        <v>1970s</v>
      </c>
      <c r="O2895" t="str">
        <f t="shared" si="137"/>
        <v>N/A</v>
      </c>
      <c r="P2895" t="str">
        <f>VLOOKUP(E2895,calculated_fields!$F$4:$G$6,2,FALSE)</f>
        <v>Demographics</v>
      </c>
    </row>
    <row r="2896" spans="1:16">
      <c r="A2896" t="s">
        <v>3973</v>
      </c>
      <c r="B2896" t="s">
        <v>3954</v>
      </c>
      <c r="C2896" t="s">
        <v>130</v>
      </c>
      <c r="D2896">
        <v>1972</v>
      </c>
      <c r="E2896" t="s">
        <v>29</v>
      </c>
      <c r="F2896" t="s">
        <v>30</v>
      </c>
      <c r="G2896" t="s">
        <v>31</v>
      </c>
      <c r="H2896" t="s">
        <v>32</v>
      </c>
      <c r="I2896">
        <v>1586.8517810000001</v>
      </c>
      <c r="J2896" t="s">
        <v>33</v>
      </c>
      <c r="K2896" t="s">
        <v>3971</v>
      </c>
      <c r="L2896" t="s">
        <v>21</v>
      </c>
      <c r="M2896" t="str">
        <f t="shared" si="135"/>
        <v>OK</v>
      </c>
      <c r="N2896" t="str">
        <f t="shared" si="136"/>
        <v>1970s</v>
      </c>
      <c r="O2896" t="str">
        <f t="shared" si="137"/>
        <v>N/A</v>
      </c>
      <c r="P2896" t="str">
        <f>VLOOKUP(E2896,calculated_fields!$F$4:$G$6,2,FALSE)</f>
        <v>Economy</v>
      </c>
    </row>
    <row r="2897" spans="1:16">
      <c r="A2897" t="s">
        <v>3974</v>
      </c>
      <c r="B2897" t="s">
        <v>3954</v>
      </c>
      <c r="C2897" t="s">
        <v>130</v>
      </c>
      <c r="D2897">
        <v>1977</v>
      </c>
      <c r="E2897" t="s">
        <v>15</v>
      </c>
      <c r="F2897" t="s">
        <v>16</v>
      </c>
      <c r="G2897" t="s">
        <v>17</v>
      </c>
      <c r="H2897" t="s">
        <v>18</v>
      </c>
      <c r="I2897">
        <v>50.851999999999997</v>
      </c>
      <c r="J2897" t="s">
        <v>19</v>
      </c>
      <c r="K2897" t="s">
        <v>3975</v>
      </c>
      <c r="L2897" t="s">
        <v>21</v>
      </c>
      <c r="M2897" t="str">
        <f t="shared" si="135"/>
        <v>OK</v>
      </c>
      <c r="N2897" t="str">
        <f t="shared" si="136"/>
        <v>1970s</v>
      </c>
      <c r="O2897" t="str">
        <f t="shared" si="137"/>
        <v>Low</v>
      </c>
      <c r="P2897" t="str">
        <f>VLOOKUP(E2897,calculated_fields!$F$4:$G$6,2,FALSE)</f>
        <v>Health</v>
      </c>
    </row>
    <row r="2898" spans="1:16">
      <c r="A2898" t="s">
        <v>3976</v>
      </c>
      <c r="B2898" t="s">
        <v>3954</v>
      </c>
      <c r="C2898" t="s">
        <v>130</v>
      </c>
      <c r="D2898">
        <v>1977</v>
      </c>
      <c r="E2898" t="s">
        <v>23</v>
      </c>
      <c r="F2898" t="s">
        <v>24</v>
      </c>
      <c r="G2898" t="s">
        <v>25</v>
      </c>
      <c r="H2898" t="s">
        <v>26</v>
      </c>
      <c r="I2898">
        <v>1456688</v>
      </c>
      <c r="J2898" t="s">
        <v>27</v>
      </c>
      <c r="K2898" t="s">
        <v>3975</v>
      </c>
      <c r="L2898" t="s">
        <v>21</v>
      </c>
      <c r="M2898" t="str">
        <f t="shared" si="135"/>
        <v>OK</v>
      </c>
      <c r="N2898" t="str">
        <f t="shared" si="136"/>
        <v>1970s</v>
      </c>
      <c r="O2898" t="str">
        <f t="shared" si="137"/>
        <v>N/A</v>
      </c>
      <c r="P2898" t="str">
        <f>VLOOKUP(E2898,calculated_fields!$F$4:$G$6,2,FALSE)</f>
        <v>Demographics</v>
      </c>
    </row>
    <row r="2899" spans="1:16">
      <c r="A2899" t="s">
        <v>3977</v>
      </c>
      <c r="B2899" t="s">
        <v>3954</v>
      </c>
      <c r="C2899" t="s">
        <v>130</v>
      </c>
      <c r="D2899">
        <v>1977</v>
      </c>
      <c r="E2899" t="s">
        <v>29</v>
      </c>
      <c r="F2899" t="s">
        <v>30</v>
      </c>
      <c r="G2899" t="s">
        <v>31</v>
      </c>
      <c r="H2899" t="s">
        <v>32</v>
      </c>
      <c r="I2899">
        <v>1497.492223</v>
      </c>
      <c r="J2899" t="s">
        <v>33</v>
      </c>
      <c r="K2899" t="s">
        <v>3975</v>
      </c>
      <c r="L2899" t="s">
        <v>21</v>
      </c>
      <c r="M2899" t="str">
        <f t="shared" si="135"/>
        <v>OK</v>
      </c>
      <c r="N2899" t="str">
        <f t="shared" si="136"/>
        <v>1970s</v>
      </c>
      <c r="O2899" t="str">
        <f t="shared" si="137"/>
        <v>N/A</v>
      </c>
      <c r="P2899" t="str">
        <f>VLOOKUP(E2899,calculated_fields!$F$4:$G$6,2,FALSE)</f>
        <v>Economy</v>
      </c>
    </row>
    <row r="2900" spans="1:16">
      <c r="A2900" t="s">
        <v>3978</v>
      </c>
      <c r="B2900" t="s">
        <v>3954</v>
      </c>
      <c r="C2900" t="s">
        <v>130</v>
      </c>
      <c r="D2900">
        <v>1982</v>
      </c>
      <c r="E2900" t="s">
        <v>15</v>
      </c>
      <c r="F2900" t="s">
        <v>16</v>
      </c>
      <c r="G2900" t="s">
        <v>17</v>
      </c>
      <c r="H2900" t="s">
        <v>18</v>
      </c>
      <c r="I2900">
        <v>53.598999999999997</v>
      </c>
      <c r="J2900" t="s">
        <v>19</v>
      </c>
      <c r="K2900" t="s">
        <v>3979</v>
      </c>
      <c r="L2900" t="s">
        <v>21</v>
      </c>
      <c r="M2900" t="str">
        <f t="shared" si="135"/>
        <v>OK</v>
      </c>
      <c r="N2900" t="str">
        <f t="shared" si="136"/>
        <v>1980s</v>
      </c>
      <c r="O2900" t="str">
        <f t="shared" si="137"/>
        <v>Low</v>
      </c>
      <c r="P2900" t="str">
        <f>VLOOKUP(E2900,calculated_fields!$F$4:$G$6,2,FALSE)</f>
        <v>Health</v>
      </c>
    </row>
    <row r="2901" spans="1:16">
      <c r="A2901" t="s">
        <v>3980</v>
      </c>
      <c r="B2901" t="s">
        <v>3954</v>
      </c>
      <c r="C2901" t="s">
        <v>130</v>
      </c>
      <c r="D2901">
        <v>1982</v>
      </c>
      <c r="E2901" t="s">
        <v>23</v>
      </c>
      <c r="F2901" t="s">
        <v>24</v>
      </c>
      <c r="G2901" t="s">
        <v>25</v>
      </c>
      <c r="H2901" t="s">
        <v>26</v>
      </c>
      <c r="I2901">
        <v>1622136</v>
      </c>
      <c r="J2901" t="s">
        <v>27</v>
      </c>
      <c r="K2901" t="s">
        <v>3979</v>
      </c>
      <c r="L2901" t="s">
        <v>21</v>
      </c>
      <c r="M2901" t="str">
        <f t="shared" si="135"/>
        <v>OK</v>
      </c>
      <c r="N2901" t="str">
        <f t="shared" si="136"/>
        <v>1980s</v>
      </c>
      <c r="O2901" t="str">
        <f t="shared" si="137"/>
        <v>N/A</v>
      </c>
      <c r="P2901" t="str">
        <f>VLOOKUP(E2901,calculated_fields!$F$4:$G$6,2,FALSE)</f>
        <v>Demographics</v>
      </c>
    </row>
    <row r="2902" spans="1:16">
      <c r="A2902" t="s">
        <v>3981</v>
      </c>
      <c r="B2902" t="s">
        <v>3954</v>
      </c>
      <c r="C2902" t="s">
        <v>130</v>
      </c>
      <c r="D2902">
        <v>1982</v>
      </c>
      <c r="E2902" t="s">
        <v>29</v>
      </c>
      <c r="F2902" t="s">
        <v>30</v>
      </c>
      <c r="G2902" t="s">
        <v>31</v>
      </c>
      <c r="H2902" t="s">
        <v>32</v>
      </c>
      <c r="I2902">
        <v>1481.150189</v>
      </c>
      <c r="J2902" t="s">
        <v>33</v>
      </c>
      <c r="K2902" t="s">
        <v>3979</v>
      </c>
      <c r="L2902" t="s">
        <v>21</v>
      </c>
      <c r="M2902" t="str">
        <f t="shared" si="135"/>
        <v>OK</v>
      </c>
      <c r="N2902" t="str">
        <f t="shared" si="136"/>
        <v>1980s</v>
      </c>
      <c r="O2902" t="str">
        <f t="shared" si="137"/>
        <v>N/A</v>
      </c>
      <c r="P2902" t="str">
        <f>VLOOKUP(E2902,calculated_fields!$F$4:$G$6,2,FALSE)</f>
        <v>Economy</v>
      </c>
    </row>
    <row r="2903" spans="1:16">
      <c r="A2903" t="s">
        <v>3982</v>
      </c>
      <c r="B2903" t="s">
        <v>3954</v>
      </c>
      <c r="C2903" t="s">
        <v>130</v>
      </c>
      <c r="D2903">
        <v>1987</v>
      </c>
      <c r="E2903" t="s">
        <v>15</v>
      </c>
      <c r="F2903" t="s">
        <v>16</v>
      </c>
      <c r="G2903" t="s">
        <v>17</v>
      </c>
      <c r="H2903" t="s">
        <v>18</v>
      </c>
      <c r="I2903">
        <v>56.145000000000003</v>
      </c>
      <c r="J2903" t="s">
        <v>19</v>
      </c>
      <c r="K2903" t="s">
        <v>3983</v>
      </c>
      <c r="L2903" t="s">
        <v>21</v>
      </c>
      <c r="M2903" t="str">
        <f t="shared" si="135"/>
        <v>OK</v>
      </c>
      <c r="N2903" t="str">
        <f t="shared" si="136"/>
        <v>1980s</v>
      </c>
      <c r="O2903" t="str">
        <f t="shared" si="137"/>
        <v>Medium</v>
      </c>
      <c r="P2903" t="str">
        <f>VLOOKUP(E2903,calculated_fields!$F$4:$G$6,2,FALSE)</f>
        <v>Health</v>
      </c>
    </row>
    <row r="2904" spans="1:16">
      <c r="A2904" t="s">
        <v>3984</v>
      </c>
      <c r="B2904" t="s">
        <v>3954</v>
      </c>
      <c r="C2904" t="s">
        <v>130</v>
      </c>
      <c r="D2904">
        <v>1987</v>
      </c>
      <c r="E2904" t="s">
        <v>23</v>
      </c>
      <c r="F2904" t="s">
        <v>24</v>
      </c>
      <c r="G2904" t="s">
        <v>25</v>
      </c>
      <c r="H2904" t="s">
        <v>26</v>
      </c>
      <c r="I2904">
        <v>1841240</v>
      </c>
      <c r="J2904" t="s">
        <v>27</v>
      </c>
      <c r="K2904" t="s">
        <v>3983</v>
      </c>
      <c r="L2904" t="s">
        <v>21</v>
      </c>
      <c r="M2904" t="str">
        <f t="shared" si="135"/>
        <v>OK</v>
      </c>
      <c r="N2904" t="str">
        <f t="shared" si="136"/>
        <v>1980s</v>
      </c>
      <c r="O2904" t="str">
        <f t="shared" si="137"/>
        <v>N/A</v>
      </c>
      <c r="P2904" t="str">
        <f>VLOOKUP(E2904,calculated_fields!$F$4:$G$6,2,FALSE)</f>
        <v>Demographics</v>
      </c>
    </row>
    <row r="2905" spans="1:16">
      <c r="A2905" t="s">
        <v>3985</v>
      </c>
      <c r="B2905" t="s">
        <v>3954</v>
      </c>
      <c r="C2905" t="s">
        <v>130</v>
      </c>
      <c r="D2905">
        <v>1987</v>
      </c>
      <c r="E2905" t="s">
        <v>29</v>
      </c>
      <c r="F2905" t="s">
        <v>30</v>
      </c>
      <c r="G2905" t="s">
        <v>31</v>
      </c>
      <c r="H2905" t="s">
        <v>32</v>
      </c>
      <c r="I2905">
        <v>1421.603576</v>
      </c>
      <c r="J2905" t="s">
        <v>33</v>
      </c>
      <c r="K2905" t="s">
        <v>3983</v>
      </c>
      <c r="L2905" t="s">
        <v>21</v>
      </c>
      <c r="M2905" t="str">
        <f t="shared" si="135"/>
        <v>OK</v>
      </c>
      <c r="N2905" t="str">
        <f t="shared" si="136"/>
        <v>1980s</v>
      </c>
      <c r="O2905" t="str">
        <f t="shared" si="137"/>
        <v>N/A</v>
      </c>
      <c r="P2905" t="str">
        <f>VLOOKUP(E2905,calculated_fields!$F$4:$G$6,2,FALSE)</f>
        <v>Economy</v>
      </c>
    </row>
    <row r="2906" spans="1:16">
      <c r="A2906" t="s">
        <v>3986</v>
      </c>
      <c r="B2906" t="s">
        <v>3954</v>
      </c>
      <c r="C2906" t="s">
        <v>130</v>
      </c>
      <c r="D2906">
        <v>1992</v>
      </c>
      <c r="E2906" t="s">
        <v>15</v>
      </c>
      <c r="F2906" t="s">
        <v>16</v>
      </c>
      <c r="G2906" t="s">
        <v>17</v>
      </c>
      <c r="H2906" t="s">
        <v>18</v>
      </c>
      <c r="I2906">
        <v>58.332999999999998</v>
      </c>
      <c r="J2906" t="s">
        <v>19</v>
      </c>
      <c r="K2906" t="s">
        <v>3987</v>
      </c>
      <c r="L2906" t="s">
        <v>21</v>
      </c>
      <c r="M2906" t="str">
        <f t="shared" si="135"/>
        <v>OK</v>
      </c>
      <c r="N2906" t="str">
        <f t="shared" si="136"/>
        <v>1990s</v>
      </c>
      <c r="O2906" t="str">
        <f t="shared" si="137"/>
        <v>Medium</v>
      </c>
      <c r="P2906" t="str">
        <f>VLOOKUP(E2906,calculated_fields!$F$4:$G$6,2,FALSE)</f>
        <v>Health</v>
      </c>
    </row>
    <row r="2907" spans="1:16">
      <c r="A2907" t="s">
        <v>3988</v>
      </c>
      <c r="B2907" t="s">
        <v>3954</v>
      </c>
      <c r="C2907" t="s">
        <v>130</v>
      </c>
      <c r="D2907">
        <v>1992</v>
      </c>
      <c r="E2907" t="s">
        <v>23</v>
      </c>
      <c r="F2907" t="s">
        <v>24</v>
      </c>
      <c r="G2907" t="s">
        <v>25</v>
      </c>
      <c r="H2907" t="s">
        <v>26</v>
      </c>
      <c r="I2907">
        <v>2119465</v>
      </c>
      <c r="J2907" t="s">
        <v>27</v>
      </c>
      <c r="K2907" t="s">
        <v>3987</v>
      </c>
      <c r="L2907" t="s">
        <v>21</v>
      </c>
      <c r="M2907" t="str">
        <f t="shared" si="135"/>
        <v>OK</v>
      </c>
      <c r="N2907" t="str">
        <f t="shared" si="136"/>
        <v>1990s</v>
      </c>
      <c r="O2907" t="str">
        <f t="shared" si="137"/>
        <v>N/A</v>
      </c>
      <c r="P2907" t="str">
        <f>VLOOKUP(E2907,calculated_fields!$F$4:$G$6,2,FALSE)</f>
        <v>Demographics</v>
      </c>
    </row>
    <row r="2908" spans="1:16">
      <c r="A2908" t="s">
        <v>3989</v>
      </c>
      <c r="B2908" t="s">
        <v>3954</v>
      </c>
      <c r="C2908" t="s">
        <v>130</v>
      </c>
      <c r="D2908">
        <v>1992</v>
      </c>
      <c r="E2908" t="s">
        <v>29</v>
      </c>
      <c r="F2908" t="s">
        <v>30</v>
      </c>
      <c r="G2908" t="s">
        <v>31</v>
      </c>
      <c r="H2908" t="s">
        <v>32</v>
      </c>
      <c r="I2908">
        <v>1361.369784</v>
      </c>
      <c r="J2908" t="s">
        <v>33</v>
      </c>
      <c r="K2908" t="s">
        <v>3987</v>
      </c>
      <c r="L2908" t="s">
        <v>21</v>
      </c>
      <c r="M2908" t="str">
        <f t="shared" si="135"/>
        <v>OK</v>
      </c>
      <c r="N2908" t="str">
        <f t="shared" si="136"/>
        <v>1990s</v>
      </c>
      <c r="O2908" t="str">
        <f t="shared" si="137"/>
        <v>N/A</v>
      </c>
      <c r="P2908" t="str">
        <f>VLOOKUP(E2908,calculated_fields!$F$4:$G$6,2,FALSE)</f>
        <v>Economy</v>
      </c>
    </row>
    <row r="2909" spans="1:16">
      <c r="A2909" t="s">
        <v>3990</v>
      </c>
      <c r="B2909" t="s">
        <v>3954</v>
      </c>
      <c r="C2909" t="s">
        <v>130</v>
      </c>
      <c r="D2909">
        <v>1997</v>
      </c>
      <c r="E2909" t="s">
        <v>15</v>
      </c>
      <c r="F2909" t="s">
        <v>16</v>
      </c>
      <c r="G2909" t="s">
        <v>17</v>
      </c>
      <c r="H2909" t="s">
        <v>18</v>
      </c>
      <c r="I2909">
        <v>60.43</v>
      </c>
      <c r="J2909" t="s">
        <v>19</v>
      </c>
      <c r="K2909" t="s">
        <v>3991</v>
      </c>
      <c r="L2909" t="s">
        <v>21</v>
      </c>
      <c r="M2909" t="str">
        <f t="shared" si="135"/>
        <v>OK</v>
      </c>
      <c r="N2909" t="str">
        <f t="shared" si="136"/>
        <v>1990s</v>
      </c>
      <c r="O2909" t="str">
        <f t="shared" si="137"/>
        <v>Medium</v>
      </c>
      <c r="P2909" t="str">
        <f>VLOOKUP(E2909,calculated_fields!$F$4:$G$6,2,FALSE)</f>
        <v>Health</v>
      </c>
    </row>
    <row r="2910" spans="1:16">
      <c r="A2910" t="s">
        <v>3992</v>
      </c>
      <c r="B2910" t="s">
        <v>3954</v>
      </c>
      <c r="C2910" t="s">
        <v>130</v>
      </c>
      <c r="D2910">
        <v>1997</v>
      </c>
      <c r="E2910" t="s">
        <v>23</v>
      </c>
      <c r="F2910" t="s">
        <v>24</v>
      </c>
      <c r="G2910" t="s">
        <v>25</v>
      </c>
      <c r="H2910" t="s">
        <v>26</v>
      </c>
      <c r="I2910">
        <v>2444741</v>
      </c>
      <c r="J2910" t="s">
        <v>27</v>
      </c>
      <c r="K2910" t="s">
        <v>3991</v>
      </c>
      <c r="L2910" t="s">
        <v>21</v>
      </c>
      <c r="M2910" t="str">
        <f t="shared" si="135"/>
        <v>OK</v>
      </c>
      <c r="N2910" t="str">
        <f t="shared" si="136"/>
        <v>1990s</v>
      </c>
      <c r="O2910" t="str">
        <f t="shared" si="137"/>
        <v>N/A</v>
      </c>
      <c r="P2910" t="str">
        <f>VLOOKUP(E2910,calculated_fields!$F$4:$G$6,2,FALSE)</f>
        <v>Demographics</v>
      </c>
    </row>
    <row r="2911" spans="1:16">
      <c r="A2911" t="s">
        <v>3993</v>
      </c>
      <c r="B2911" t="s">
        <v>3954</v>
      </c>
      <c r="C2911" t="s">
        <v>130</v>
      </c>
      <c r="D2911">
        <v>1997</v>
      </c>
      <c r="E2911" t="s">
        <v>29</v>
      </c>
      <c r="F2911" t="s">
        <v>30</v>
      </c>
      <c r="G2911" t="s">
        <v>31</v>
      </c>
      <c r="H2911" t="s">
        <v>32</v>
      </c>
      <c r="I2911">
        <v>1483.1361360000001</v>
      </c>
      <c r="J2911" t="s">
        <v>33</v>
      </c>
      <c r="K2911" t="s">
        <v>3991</v>
      </c>
      <c r="L2911" t="s">
        <v>21</v>
      </c>
      <c r="M2911" t="str">
        <f t="shared" si="135"/>
        <v>OK</v>
      </c>
      <c r="N2911" t="str">
        <f t="shared" si="136"/>
        <v>1990s</v>
      </c>
      <c r="O2911" t="str">
        <f t="shared" si="137"/>
        <v>N/A</v>
      </c>
      <c r="P2911" t="str">
        <f>VLOOKUP(E2911,calculated_fields!$F$4:$G$6,2,FALSE)</f>
        <v>Economy</v>
      </c>
    </row>
    <row r="2912" spans="1:16">
      <c r="A2912" t="s">
        <v>3994</v>
      </c>
      <c r="B2912" t="s">
        <v>3954</v>
      </c>
      <c r="C2912" t="s">
        <v>130</v>
      </c>
      <c r="D2912">
        <v>2002</v>
      </c>
      <c r="E2912" t="s">
        <v>15</v>
      </c>
      <c r="F2912" t="s">
        <v>16</v>
      </c>
      <c r="G2912" t="s">
        <v>17</v>
      </c>
      <c r="H2912" t="s">
        <v>18</v>
      </c>
      <c r="I2912">
        <v>62.247</v>
      </c>
      <c r="J2912" t="s">
        <v>19</v>
      </c>
      <c r="K2912" t="s">
        <v>3995</v>
      </c>
      <c r="L2912" t="s">
        <v>21</v>
      </c>
      <c r="M2912" t="str">
        <f t="shared" si="135"/>
        <v>OK</v>
      </c>
      <c r="N2912" t="str">
        <f t="shared" si="136"/>
        <v>2000s</v>
      </c>
      <c r="O2912" t="str">
        <f t="shared" si="137"/>
        <v>Medium</v>
      </c>
      <c r="P2912" t="str">
        <f>VLOOKUP(E2912,calculated_fields!$F$4:$G$6,2,FALSE)</f>
        <v>Health</v>
      </c>
    </row>
    <row r="2913" spans="1:16">
      <c r="A2913" t="s">
        <v>3996</v>
      </c>
      <c r="B2913" t="s">
        <v>3954</v>
      </c>
      <c r="C2913" t="s">
        <v>130</v>
      </c>
      <c r="D2913">
        <v>2002</v>
      </c>
      <c r="E2913" t="s">
        <v>23</v>
      </c>
      <c r="F2913" t="s">
        <v>24</v>
      </c>
      <c r="G2913" t="s">
        <v>25</v>
      </c>
      <c r="H2913" t="s">
        <v>26</v>
      </c>
      <c r="I2913">
        <v>2828858</v>
      </c>
      <c r="J2913" t="s">
        <v>27</v>
      </c>
      <c r="K2913" t="s">
        <v>3995</v>
      </c>
      <c r="L2913" t="s">
        <v>21</v>
      </c>
      <c r="M2913" t="str">
        <f t="shared" si="135"/>
        <v>OK</v>
      </c>
      <c r="N2913" t="str">
        <f t="shared" si="136"/>
        <v>2000s</v>
      </c>
      <c r="O2913" t="str">
        <f t="shared" si="137"/>
        <v>N/A</v>
      </c>
      <c r="P2913" t="str">
        <f>VLOOKUP(E2913,calculated_fields!$F$4:$G$6,2,FALSE)</f>
        <v>Demographics</v>
      </c>
    </row>
    <row r="2914" spans="1:16">
      <c r="A2914" t="s">
        <v>3997</v>
      </c>
      <c r="B2914" t="s">
        <v>3954</v>
      </c>
      <c r="C2914" t="s">
        <v>130</v>
      </c>
      <c r="D2914">
        <v>2002</v>
      </c>
      <c r="E2914" t="s">
        <v>29</v>
      </c>
      <c r="F2914" t="s">
        <v>30</v>
      </c>
      <c r="G2914" t="s">
        <v>31</v>
      </c>
      <c r="H2914" t="s">
        <v>32</v>
      </c>
      <c r="I2914">
        <v>1579.0195430000001</v>
      </c>
      <c r="J2914" t="s">
        <v>33</v>
      </c>
      <c r="K2914" t="s">
        <v>3995</v>
      </c>
      <c r="L2914" t="s">
        <v>21</v>
      </c>
      <c r="M2914" t="str">
        <f t="shared" si="135"/>
        <v>OK</v>
      </c>
      <c r="N2914" t="str">
        <f t="shared" si="136"/>
        <v>2000s</v>
      </c>
      <c r="O2914" t="str">
        <f t="shared" si="137"/>
        <v>N/A</v>
      </c>
      <c r="P2914" t="str">
        <f>VLOOKUP(E2914,calculated_fields!$F$4:$G$6,2,FALSE)</f>
        <v>Economy</v>
      </c>
    </row>
    <row r="2915" spans="1:16">
      <c r="A2915" t="s">
        <v>3998</v>
      </c>
      <c r="B2915" t="s">
        <v>3954</v>
      </c>
      <c r="C2915" t="s">
        <v>130</v>
      </c>
      <c r="D2915">
        <v>2007</v>
      </c>
      <c r="E2915" t="s">
        <v>15</v>
      </c>
      <c r="F2915" t="s">
        <v>16</v>
      </c>
      <c r="G2915" t="s">
        <v>17</v>
      </c>
      <c r="H2915" t="s">
        <v>18</v>
      </c>
      <c r="I2915">
        <v>64.164000000000001</v>
      </c>
      <c r="J2915" t="s">
        <v>19</v>
      </c>
      <c r="K2915" t="s">
        <v>3999</v>
      </c>
      <c r="L2915" t="s">
        <v>21</v>
      </c>
      <c r="M2915" t="str">
        <f t="shared" si="135"/>
        <v>OK</v>
      </c>
      <c r="N2915" t="str">
        <f t="shared" si="136"/>
        <v>2000s</v>
      </c>
      <c r="O2915" t="str">
        <f t="shared" si="137"/>
        <v>Medium</v>
      </c>
      <c r="P2915" t="str">
        <f>VLOOKUP(E2915,calculated_fields!$F$4:$G$6,2,FALSE)</f>
        <v>Health</v>
      </c>
    </row>
    <row r="2916" spans="1:16">
      <c r="A2916" t="s">
        <v>4000</v>
      </c>
      <c r="B2916" t="s">
        <v>3954</v>
      </c>
      <c r="C2916" t="s">
        <v>130</v>
      </c>
      <c r="D2916">
        <v>2007</v>
      </c>
      <c r="E2916" t="s">
        <v>23</v>
      </c>
      <c r="F2916" t="s">
        <v>24</v>
      </c>
      <c r="G2916" t="s">
        <v>25</v>
      </c>
      <c r="H2916" t="s">
        <v>26</v>
      </c>
      <c r="I2916">
        <v>3270065</v>
      </c>
      <c r="J2916" t="s">
        <v>27</v>
      </c>
      <c r="K2916" t="s">
        <v>3999</v>
      </c>
      <c r="L2916" t="s">
        <v>21</v>
      </c>
      <c r="M2916" t="str">
        <f t="shared" si="135"/>
        <v>OK</v>
      </c>
      <c r="N2916" t="str">
        <f t="shared" si="136"/>
        <v>2000s</v>
      </c>
      <c r="O2916" t="str">
        <f t="shared" si="137"/>
        <v>N/A</v>
      </c>
      <c r="P2916" t="str">
        <f>VLOOKUP(E2916,calculated_fields!$F$4:$G$6,2,FALSE)</f>
        <v>Demographics</v>
      </c>
    </row>
    <row r="2917" spans="1:16">
      <c r="A2917" t="s">
        <v>4001</v>
      </c>
      <c r="B2917" t="s">
        <v>3954</v>
      </c>
      <c r="C2917" t="s">
        <v>130</v>
      </c>
      <c r="D2917">
        <v>2007</v>
      </c>
      <c r="E2917" t="s">
        <v>29</v>
      </c>
      <c r="F2917" t="s">
        <v>30</v>
      </c>
      <c r="G2917" t="s">
        <v>31</v>
      </c>
      <c r="H2917" t="s">
        <v>32</v>
      </c>
      <c r="I2917">
        <v>1803.151496</v>
      </c>
      <c r="J2917" t="s">
        <v>33</v>
      </c>
      <c r="K2917" t="s">
        <v>3999</v>
      </c>
      <c r="L2917" t="s">
        <v>21</v>
      </c>
      <c r="M2917" t="str">
        <f t="shared" si="135"/>
        <v>OK</v>
      </c>
      <c r="N2917" t="str">
        <f t="shared" si="136"/>
        <v>2000s</v>
      </c>
      <c r="O2917" t="str">
        <f t="shared" si="137"/>
        <v>N/A</v>
      </c>
      <c r="P2917" t="str">
        <f>VLOOKUP(E2917,calculated_fields!$F$4:$G$6,2,FALSE)</f>
        <v>Economy</v>
      </c>
    </row>
    <row r="2918" spans="1:16">
      <c r="A2918" t="s">
        <v>4002</v>
      </c>
      <c r="B2918" t="s">
        <v>4003</v>
      </c>
      <c r="C2918" t="s">
        <v>130</v>
      </c>
      <c r="D2918">
        <v>1952</v>
      </c>
      <c r="E2918" t="s">
        <v>15</v>
      </c>
      <c r="F2918" t="s">
        <v>16</v>
      </c>
      <c r="G2918" t="s">
        <v>17</v>
      </c>
      <c r="H2918" t="s">
        <v>18</v>
      </c>
      <c r="I2918">
        <v>50.985999999999997</v>
      </c>
      <c r="J2918" t="s">
        <v>19</v>
      </c>
      <c r="K2918" t="s">
        <v>4004</v>
      </c>
      <c r="L2918" t="s">
        <v>21</v>
      </c>
      <c r="M2918" t="str">
        <f t="shared" si="135"/>
        <v>OK</v>
      </c>
      <c r="N2918" t="str">
        <f t="shared" si="136"/>
        <v>1950s</v>
      </c>
      <c r="O2918" t="str">
        <f t="shared" si="137"/>
        <v>Low</v>
      </c>
      <c r="P2918" t="str">
        <f>VLOOKUP(E2918,calculated_fields!$F$4:$G$6,2,FALSE)</f>
        <v>Health</v>
      </c>
    </row>
    <row r="2919" spans="1:16">
      <c r="A2919" t="s">
        <v>4005</v>
      </c>
      <c r="B2919" t="s">
        <v>4003</v>
      </c>
      <c r="C2919" t="s">
        <v>130</v>
      </c>
      <c r="D2919">
        <v>1952</v>
      </c>
      <c r="E2919" t="s">
        <v>23</v>
      </c>
      <c r="F2919" t="s">
        <v>24</v>
      </c>
      <c r="G2919" t="s">
        <v>25</v>
      </c>
      <c r="H2919" t="s">
        <v>26</v>
      </c>
      <c r="I2919">
        <v>516556</v>
      </c>
      <c r="J2919" t="s">
        <v>27</v>
      </c>
      <c r="K2919" t="s">
        <v>4004</v>
      </c>
      <c r="L2919" t="s">
        <v>21</v>
      </c>
      <c r="M2919" t="str">
        <f t="shared" si="135"/>
        <v>OK</v>
      </c>
      <c r="N2919" t="str">
        <f t="shared" si="136"/>
        <v>1950s</v>
      </c>
      <c r="O2919" t="str">
        <f t="shared" si="137"/>
        <v>N/A</v>
      </c>
      <c r="P2919" t="str">
        <f>VLOOKUP(E2919,calculated_fields!$F$4:$G$6,2,FALSE)</f>
        <v>Demographics</v>
      </c>
    </row>
    <row r="2920" spans="1:16">
      <c r="A2920" t="s">
        <v>4006</v>
      </c>
      <c r="B2920" t="s">
        <v>4003</v>
      </c>
      <c r="C2920" t="s">
        <v>130</v>
      </c>
      <c r="D2920">
        <v>1952</v>
      </c>
      <c r="E2920" t="s">
        <v>29</v>
      </c>
      <c r="F2920" t="s">
        <v>30</v>
      </c>
      <c r="G2920" t="s">
        <v>31</v>
      </c>
      <c r="H2920" t="s">
        <v>32</v>
      </c>
      <c r="I2920">
        <v>1967.9557070000001</v>
      </c>
      <c r="J2920" t="s">
        <v>33</v>
      </c>
      <c r="K2920" t="s">
        <v>4004</v>
      </c>
      <c r="L2920" t="s">
        <v>21</v>
      </c>
      <c r="M2920" t="str">
        <f t="shared" si="135"/>
        <v>OK</v>
      </c>
      <c r="N2920" t="str">
        <f t="shared" si="136"/>
        <v>1950s</v>
      </c>
      <c r="O2920" t="str">
        <f t="shared" si="137"/>
        <v>N/A</v>
      </c>
      <c r="P2920" t="str">
        <f>VLOOKUP(E2920,calculated_fields!$F$4:$G$6,2,FALSE)</f>
        <v>Economy</v>
      </c>
    </row>
    <row r="2921" spans="1:16">
      <c r="A2921" t="s">
        <v>4007</v>
      </c>
      <c r="B2921" t="s">
        <v>4003</v>
      </c>
      <c r="C2921" t="s">
        <v>130</v>
      </c>
      <c r="D2921">
        <v>1957</v>
      </c>
      <c r="E2921" t="s">
        <v>15</v>
      </c>
      <c r="F2921" t="s">
        <v>16</v>
      </c>
      <c r="G2921" t="s">
        <v>17</v>
      </c>
      <c r="H2921" t="s">
        <v>18</v>
      </c>
      <c r="I2921">
        <v>58.088999999999999</v>
      </c>
      <c r="J2921" t="s">
        <v>19</v>
      </c>
      <c r="K2921" t="s">
        <v>4008</v>
      </c>
      <c r="L2921" t="s">
        <v>21</v>
      </c>
      <c r="M2921" t="str">
        <f t="shared" si="135"/>
        <v>OK</v>
      </c>
      <c r="N2921" t="str">
        <f t="shared" si="136"/>
        <v>1950s</v>
      </c>
      <c r="O2921" t="str">
        <f t="shared" si="137"/>
        <v>Medium</v>
      </c>
      <c r="P2921" t="str">
        <f>VLOOKUP(E2921,calculated_fields!$F$4:$G$6,2,FALSE)</f>
        <v>Health</v>
      </c>
    </row>
    <row r="2922" spans="1:16">
      <c r="A2922" t="s">
        <v>4009</v>
      </c>
      <c r="B2922" t="s">
        <v>4003</v>
      </c>
      <c r="C2922" t="s">
        <v>130</v>
      </c>
      <c r="D2922">
        <v>1957</v>
      </c>
      <c r="E2922" t="s">
        <v>23</v>
      </c>
      <c r="F2922" t="s">
        <v>24</v>
      </c>
      <c r="G2922" t="s">
        <v>25</v>
      </c>
      <c r="H2922" t="s">
        <v>26</v>
      </c>
      <c r="I2922">
        <v>609816</v>
      </c>
      <c r="J2922" t="s">
        <v>27</v>
      </c>
      <c r="K2922" t="s">
        <v>4008</v>
      </c>
      <c r="L2922" t="s">
        <v>21</v>
      </c>
      <c r="M2922" t="str">
        <f t="shared" si="135"/>
        <v>OK</v>
      </c>
      <c r="N2922" t="str">
        <f t="shared" si="136"/>
        <v>1950s</v>
      </c>
      <c r="O2922" t="str">
        <f t="shared" si="137"/>
        <v>N/A</v>
      </c>
      <c r="P2922" t="str">
        <f>VLOOKUP(E2922,calculated_fields!$F$4:$G$6,2,FALSE)</f>
        <v>Demographics</v>
      </c>
    </row>
    <row r="2923" spans="1:16">
      <c r="A2923" t="s">
        <v>4010</v>
      </c>
      <c r="B2923" t="s">
        <v>4003</v>
      </c>
      <c r="C2923" t="s">
        <v>130</v>
      </c>
      <c r="D2923">
        <v>1957</v>
      </c>
      <c r="E2923" t="s">
        <v>29</v>
      </c>
      <c r="F2923" t="s">
        <v>30</v>
      </c>
      <c r="G2923" t="s">
        <v>31</v>
      </c>
      <c r="H2923" t="s">
        <v>32</v>
      </c>
      <c r="I2923">
        <v>2034.0379809999999</v>
      </c>
      <c r="J2923" t="s">
        <v>33</v>
      </c>
      <c r="K2923" t="s">
        <v>4008</v>
      </c>
      <c r="L2923" t="s">
        <v>21</v>
      </c>
      <c r="M2923" t="str">
        <f t="shared" si="135"/>
        <v>OK</v>
      </c>
      <c r="N2923" t="str">
        <f t="shared" si="136"/>
        <v>1950s</v>
      </c>
      <c r="O2923" t="str">
        <f t="shared" si="137"/>
        <v>N/A</v>
      </c>
      <c r="P2923" t="str">
        <f>VLOOKUP(E2923,calculated_fields!$F$4:$G$6,2,FALSE)</f>
        <v>Economy</v>
      </c>
    </row>
    <row r="2924" spans="1:16">
      <c r="A2924" t="s">
        <v>4011</v>
      </c>
      <c r="B2924" t="s">
        <v>4003</v>
      </c>
      <c r="C2924" t="s">
        <v>130</v>
      </c>
      <c r="D2924">
        <v>1962</v>
      </c>
      <c r="E2924" t="s">
        <v>15</v>
      </c>
      <c r="F2924" t="s">
        <v>16</v>
      </c>
      <c r="G2924" t="s">
        <v>17</v>
      </c>
      <c r="H2924" t="s">
        <v>18</v>
      </c>
      <c r="I2924">
        <v>60.246000000000002</v>
      </c>
      <c r="J2924" t="s">
        <v>19</v>
      </c>
      <c r="K2924" t="s">
        <v>4012</v>
      </c>
      <c r="L2924" t="s">
        <v>21</v>
      </c>
      <c r="M2924" t="str">
        <f t="shared" si="135"/>
        <v>OK</v>
      </c>
      <c r="N2924" t="str">
        <f t="shared" si="136"/>
        <v>1960s</v>
      </c>
      <c r="O2924" t="str">
        <f t="shared" si="137"/>
        <v>Medium</v>
      </c>
      <c r="P2924" t="str">
        <f>VLOOKUP(E2924,calculated_fields!$F$4:$G$6,2,FALSE)</f>
        <v>Health</v>
      </c>
    </row>
    <row r="2925" spans="1:16">
      <c r="A2925" t="s">
        <v>4013</v>
      </c>
      <c r="B2925" t="s">
        <v>4003</v>
      </c>
      <c r="C2925" t="s">
        <v>130</v>
      </c>
      <c r="D2925">
        <v>1962</v>
      </c>
      <c r="E2925" t="s">
        <v>23</v>
      </c>
      <c r="F2925" t="s">
        <v>24</v>
      </c>
      <c r="G2925" t="s">
        <v>25</v>
      </c>
      <c r="H2925" t="s">
        <v>26</v>
      </c>
      <c r="I2925">
        <v>701016</v>
      </c>
      <c r="J2925" t="s">
        <v>27</v>
      </c>
      <c r="K2925" t="s">
        <v>4012</v>
      </c>
      <c r="L2925" t="s">
        <v>21</v>
      </c>
      <c r="M2925" t="str">
        <f t="shared" si="135"/>
        <v>OK</v>
      </c>
      <c r="N2925" t="str">
        <f t="shared" si="136"/>
        <v>1960s</v>
      </c>
      <c r="O2925" t="str">
        <f t="shared" si="137"/>
        <v>N/A</v>
      </c>
      <c r="P2925" t="str">
        <f>VLOOKUP(E2925,calculated_fields!$F$4:$G$6,2,FALSE)</f>
        <v>Demographics</v>
      </c>
    </row>
    <row r="2926" spans="1:16">
      <c r="A2926" t="s">
        <v>4014</v>
      </c>
      <c r="B2926" t="s">
        <v>4003</v>
      </c>
      <c r="C2926" t="s">
        <v>130</v>
      </c>
      <c r="D2926">
        <v>1962</v>
      </c>
      <c r="E2926" t="s">
        <v>29</v>
      </c>
      <c r="F2926" t="s">
        <v>30</v>
      </c>
      <c r="G2926" t="s">
        <v>31</v>
      </c>
      <c r="H2926" t="s">
        <v>32</v>
      </c>
      <c r="I2926">
        <v>2529.0674869999998</v>
      </c>
      <c r="J2926" t="s">
        <v>33</v>
      </c>
      <c r="K2926" t="s">
        <v>4012</v>
      </c>
      <c r="L2926" t="s">
        <v>21</v>
      </c>
      <c r="M2926" t="str">
        <f t="shared" si="135"/>
        <v>OK</v>
      </c>
      <c r="N2926" t="str">
        <f t="shared" si="136"/>
        <v>1960s</v>
      </c>
      <c r="O2926" t="str">
        <f t="shared" si="137"/>
        <v>N/A</v>
      </c>
      <c r="P2926" t="str">
        <f>VLOOKUP(E2926,calculated_fields!$F$4:$G$6,2,FALSE)</f>
        <v>Economy</v>
      </c>
    </row>
    <row r="2927" spans="1:16">
      <c r="A2927" t="s">
        <v>4015</v>
      </c>
      <c r="B2927" t="s">
        <v>4003</v>
      </c>
      <c r="C2927" t="s">
        <v>130</v>
      </c>
      <c r="D2927">
        <v>1967</v>
      </c>
      <c r="E2927" t="s">
        <v>15</v>
      </c>
      <c r="F2927" t="s">
        <v>16</v>
      </c>
      <c r="G2927" t="s">
        <v>17</v>
      </c>
      <c r="H2927" t="s">
        <v>18</v>
      </c>
      <c r="I2927">
        <v>61.557000000000002</v>
      </c>
      <c r="J2927" t="s">
        <v>19</v>
      </c>
      <c r="K2927" t="s">
        <v>4016</v>
      </c>
      <c r="L2927" t="s">
        <v>21</v>
      </c>
      <c r="M2927" t="str">
        <f t="shared" si="135"/>
        <v>OK</v>
      </c>
      <c r="N2927" t="str">
        <f t="shared" si="136"/>
        <v>1960s</v>
      </c>
      <c r="O2927" t="str">
        <f t="shared" si="137"/>
        <v>Medium</v>
      </c>
      <c r="P2927" t="str">
        <f>VLOOKUP(E2927,calculated_fields!$F$4:$G$6,2,FALSE)</f>
        <v>Health</v>
      </c>
    </row>
    <row r="2928" spans="1:16">
      <c r="A2928" t="s">
        <v>4017</v>
      </c>
      <c r="B2928" t="s">
        <v>4003</v>
      </c>
      <c r="C2928" t="s">
        <v>130</v>
      </c>
      <c r="D2928">
        <v>1967</v>
      </c>
      <c r="E2928" t="s">
        <v>23</v>
      </c>
      <c r="F2928" t="s">
        <v>24</v>
      </c>
      <c r="G2928" t="s">
        <v>25</v>
      </c>
      <c r="H2928" t="s">
        <v>26</v>
      </c>
      <c r="I2928">
        <v>789309</v>
      </c>
      <c r="J2928" t="s">
        <v>27</v>
      </c>
      <c r="K2928" t="s">
        <v>4016</v>
      </c>
      <c r="L2928" t="s">
        <v>21</v>
      </c>
      <c r="M2928" t="str">
        <f t="shared" si="135"/>
        <v>OK</v>
      </c>
      <c r="N2928" t="str">
        <f t="shared" si="136"/>
        <v>1960s</v>
      </c>
      <c r="O2928" t="str">
        <f t="shared" si="137"/>
        <v>N/A</v>
      </c>
      <c r="P2928" t="str">
        <f>VLOOKUP(E2928,calculated_fields!$F$4:$G$6,2,FALSE)</f>
        <v>Demographics</v>
      </c>
    </row>
    <row r="2929" spans="1:16">
      <c r="A2929" t="s">
        <v>4018</v>
      </c>
      <c r="B2929" t="s">
        <v>4003</v>
      </c>
      <c r="C2929" t="s">
        <v>130</v>
      </c>
      <c r="D2929">
        <v>1967</v>
      </c>
      <c r="E2929" t="s">
        <v>29</v>
      </c>
      <c r="F2929" t="s">
        <v>30</v>
      </c>
      <c r="G2929" t="s">
        <v>31</v>
      </c>
      <c r="H2929" t="s">
        <v>32</v>
      </c>
      <c r="I2929">
        <v>2475.3875619999999</v>
      </c>
      <c r="J2929" t="s">
        <v>33</v>
      </c>
      <c r="K2929" t="s">
        <v>4016</v>
      </c>
      <c r="L2929" t="s">
        <v>21</v>
      </c>
      <c r="M2929" t="str">
        <f t="shared" si="135"/>
        <v>OK</v>
      </c>
      <c r="N2929" t="str">
        <f t="shared" si="136"/>
        <v>1960s</v>
      </c>
      <c r="O2929" t="str">
        <f t="shared" si="137"/>
        <v>N/A</v>
      </c>
      <c r="P2929" t="str">
        <f>VLOOKUP(E2929,calculated_fields!$F$4:$G$6,2,FALSE)</f>
        <v>Economy</v>
      </c>
    </row>
    <row r="2930" spans="1:16">
      <c r="A2930" t="s">
        <v>4019</v>
      </c>
      <c r="B2930" t="s">
        <v>4003</v>
      </c>
      <c r="C2930" t="s">
        <v>130</v>
      </c>
      <c r="D2930">
        <v>1972</v>
      </c>
      <c r="E2930" t="s">
        <v>15</v>
      </c>
      <c r="F2930" t="s">
        <v>16</v>
      </c>
      <c r="G2930" t="s">
        <v>17</v>
      </c>
      <c r="H2930" t="s">
        <v>18</v>
      </c>
      <c r="I2930">
        <v>62.944000000000003</v>
      </c>
      <c r="J2930" t="s">
        <v>19</v>
      </c>
      <c r="K2930" t="s">
        <v>4020</v>
      </c>
      <c r="L2930" t="s">
        <v>21</v>
      </c>
      <c r="M2930" t="str">
        <f t="shared" si="135"/>
        <v>OK</v>
      </c>
      <c r="N2930" t="str">
        <f t="shared" si="136"/>
        <v>1970s</v>
      </c>
      <c r="O2930" t="str">
        <f t="shared" si="137"/>
        <v>Medium</v>
      </c>
      <c r="P2930" t="str">
        <f>VLOOKUP(E2930,calculated_fields!$F$4:$G$6,2,FALSE)</f>
        <v>Health</v>
      </c>
    </row>
    <row r="2931" spans="1:16">
      <c r="A2931" t="s">
        <v>4021</v>
      </c>
      <c r="B2931" t="s">
        <v>4003</v>
      </c>
      <c r="C2931" t="s">
        <v>130</v>
      </c>
      <c r="D2931">
        <v>1972</v>
      </c>
      <c r="E2931" t="s">
        <v>23</v>
      </c>
      <c r="F2931" t="s">
        <v>24</v>
      </c>
      <c r="G2931" t="s">
        <v>25</v>
      </c>
      <c r="H2931" t="s">
        <v>26</v>
      </c>
      <c r="I2931">
        <v>851334</v>
      </c>
      <c r="J2931" t="s">
        <v>27</v>
      </c>
      <c r="K2931" t="s">
        <v>4020</v>
      </c>
      <c r="L2931" t="s">
        <v>21</v>
      </c>
      <c r="M2931" t="str">
        <f t="shared" si="135"/>
        <v>OK</v>
      </c>
      <c r="N2931" t="str">
        <f t="shared" si="136"/>
        <v>1970s</v>
      </c>
      <c r="O2931" t="str">
        <f t="shared" si="137"/>
        <v>N/A</v>
      </c>
      <c r="P2931" t="str">
        <f>VLOOKUP(E2931,calculated_fields!$F$4:$G$6,2,FALSE)</f>
        <v>Demographics</v>
      </c>
    </row>
    <row r="2932" spans="1:16">
      <c r="A2932" t="s">
        <v>4022</v>
      </c>
      <c r="B2932" t="s">
        <v>4003</v>
      </c>
      <c r="C2932" t="s">
        <v>130</v>
      </c>
      <c r="D2932">
        <v>1972</v>
      </c>
      <c r="E2932" t="s">
        <v>29</v>
      </c>
      <c r="F2932" t="s">
        <v>30</v>
      </c>
      <c r="G2932" t="s">
        <v>31</v>
      </c>
      <c r="H2932" t="s">
        <v>32</v>
      </c>
      <c r="I2932">
        <v>2575.4841580000002</v>
      </c>
      <c r="J2932" t="s">
        <v>33</v>
      </c>
      <c r="K2932" t="s">
        <v>4020</v>
      </c>
      <c r="L2932" t="s">
        <v>21</v>
      </c>
      <c r="M2932" t="str">
        <f t="shared" si="135"/>
        <v>OK</v>
      </c>
      <c r="N2932" t="str">
        <f t="shared" si="136"/>
        <v>1970s</v>
      </c>
      <c r="O2932" t="str">
        <f t="shared" si="137"/>
        <v>N/A</v>
      </c>
      <c r="P2932" t="str">
        <f>VLOOKUP(E2932,calculated_fields!$F$4:$G$6,2,FALSE)</f>
        <v>Economy</v>
      </c>
    </row>
    <row r="2933" spans="1:16">
      <c r="A2933" t="s">
        <v>4023</v>
      </c>
      <c r="B2933" t="s">
        <v>4003</v>
      </c>
      <c r="C2933" t="s">
        <v>130</v>
      </c>
      <c r="D2933">
        <v>1977</v>
      </c>
      <c r="E2933" t="s">
        <v>15</v>
      </c>
      <c r="F2933" t="s">
        <v>16</v>
      </c>
      <c r="G2933" t="s">
        <v>17</v>
      </c>
      <c r="H2933" t="s">
        <v>18</v>
      </c>
      <c r="I2933">
        <v>64.930000000000007</v>
      </c>
      <c r="J2933" t="s">
        <v>19</v>
      </c>
      <c r="K2933" t="s">
        <v>4024</v>
      </c>
      <c r="L2933" t="s">
        <v>21</v>
      </c>
      <c r="M2933" t="str">
        <f t="shared" si="135"/>
        <v>OK</v>
      </c>
      <c r="N2933" t="str">
        <f t="shared" si="136"/>
        <v>1970s</v>
      </c>
      <c r="O2933" t="str">
        <f t="shared" si="137"/>
        <v>Medium</v>
      </c>
      <c r="P2933" t="str">
        <f>VLOOKUP(E2933,calculated_fields!$F$4:$G$6,2,FALSE)</f>
        <v>Health</v>
      </c>
    </row>
    <row r="2934" spans="1:16">
      <c r="A2934" t="s">
        <v>4025</v>
      </c>
      <c r="B2934" t="s">
        <v>4003</v>
      </c>
      <c r="C2934" t="s">
        <v>130</v>
      </c>
      <c r="D2934">
        <v>1977</v>
      </c>
      <c r="E2934" t="s">
        <v>23</v>
      </c>
      <c r="F2934" t="s">
        <v>24</v>
      </c>
      <c r="G2934" t="s">
        <v>25</v>
      </c>
      <c r="H2934" t="s">
        <v>26</v>
      </c>
      <c r="I2934">
        <v>913025</v>
      </c>
      <c r="J2934" t="s">
        <v>27</v>
      </c>
      <c r="K2934" t="s">
        <v>4024</v>
      </c>
      <c r="L2934" t="s">
        <v>21</v>
      </c>
      <c r="M2934" t="str">
        <f t="shared" si="135"/>
        <v>OK</v>
      </c>
      <c r="N2934" t="str">
        <f t="shared" si="136"/>
        <v>1970s</v>
      </c>
      <c r="O2934" t="str">
        <f t="shared" si="137"/>
        <v>N/A</v>
      </c>
      <c r="P2934" t="str">
        <f>VLOOKUP(E2934,calculated_fields!$F$4:$G$6,2,FALSE)</f>
        <v>Demographics</v>
      </c>
    </row>
    <row r="2935" spans="1:16">
      <c r="A2935" t="s">
        <v>4026</v>
      </c>
      <c r="B2935" t="s">
        <v>4003</v>
      </c>
      <c r="C2935" t="s">
        <v>130</v>
      </c>
      <c r="D2935">
        <v>1977</v>
      </c>
      <c r="E2935" t="s">
        <v>29</v>
      </c>
      <c r="F2935" t="s">
        <v>30</v>
      </c>
      <c r="G2935" t="s">
        <v>31</v>
      </c>
      <c r="H2935" t="s">
        <v>32</v>
      </c>
      <c r="I2935">
        <v>3710.9829629999999</v>
      </c>
      <c r="J2935" t="s">
        <v>33</v>
      </c>
      <c r="K2935" t="s">
        <v>4024</v>
      </c>
      <c r="L2935" t="s">
        <v>21</v>
      </c>
      <c r="M2935" t="str">
        <f t="shared" si="135"/>
        <v>OK</v>
      </c>
      <c r="N2935" t="str">
        <f t="shared" si="136"/>
        <v>1970s</v>
      </c>
      <c r="O2935" t="str">
        <f t="shared" si="137"/>
        <v>N/A</v>
      </c>
      <c r="P2935" t="str">
        <f>VLOOKUP(E2935,calculated_fields!$F$4:$G$6,2,FALSE)</f>
        <v>Economy</v>
      </c>
    </row>
    <row r="2936" spans="1:16">
      <c r="A2936" t="s">
        <v>4027</v>
      </c>
      <c r="B2936" t="s">
        <v>4003</v>
      </c>
      <c r="C2936" t="s">
        <v>130</v>
      </c>
      <c r="D2936">
        <v>1982</v>
      </c>
      <c r="E2936" t="s">
        <v>15</v>
      </c>
      <c r="F2936" t="s">
        <v>16</v>
      </c>
      <c r="G2936" t="s">
        <v>17</v>
      </c>
      <c r="H2936" t="s">
        <v>18</v>
      </c>
      <c r="I2936">
        <v>66.710999999999999</v>
      </c>
      <c r="J2936" t="s">
        <v>19</v>
      </c>
      <c r="K2936" t="s">
        <v>4028</v>
      </c>
      <c r="L2936" t="s">
        <v>21</v>
      </c>
      <c r="M2936" t="str">
        <f t="shared" si="135"/>
        <v>OK</v>
      </c>
      <c r="N2936" t="str">
        <f t="shared" si="136"/>
        <v>1980s</v>
      </c>
      <c r="O2936" t="str">
        <f t="shared" si="137"/>
        <v>Medium</v>
      </c>
      <c r="P2936" t="str">
        <f>VLOOKUP(E2936,calculated_fields!$F$4:$G$6,2,FALSE)</f>
        <v>Health</v>
      </c>
    </row>
    <row r="2937" spans="1:16">
      <c r="A2937" t="s">
        <v>4029</v>
      </c>
      <c r="B2937" t="s">
        <v>4003</v>
      </c>
      <c r="C2937" t="s">
        <v>130</v>
      </c>
      <c r="D2937">
        <v>1982</v>
      </c>
      <c r="E2937" t="s">
        <v>23</v>
      </c>
      <c r="F2937" t="s">
        <v>24</v>
      </c>
      <c r="G2937" t="s">
        <v>25</v>
      </c>
      <c r="H2937" t="s">
        <v>26</v>
      </c>
      <c r="I2937">
        <v>992040</v>
      </c>
      <c r="J2937" t="s">
        <v>27</v>
      </c>
      <c r="K2937" t="s">
        <v>4028</v>
      </c>
      <c r="L2937" t="s">
        <v>21</v>
      </c>
      <c r="M2937" t="str">
        <f t="shared" si="135"/>
        <v>OK</v>
      </c>
      <c r="N2937" t="str">
        <f t="shared" si="136"/>
        <v>1980s</v>
      </c>
      <c r="O2937" t="str">
        <f t="shared" si="137"/>
        <v>N/A</v>
      </c>
      <c r="P2937" t="str">
        <f>VLOOKUP(E2937,calculated_fields!$F$4:$G$6,2,FALSE)</f>
        <v>Demographics</v>
      </c>
    </row>
    <row r="2938" spans="1:16">
      <c r="A2938" t="s">
        <v>4030</v>
      </c>
      <c r="B2938" t="s">
        <v>4003</v>
      </c>
      <c r="C2938" t="s">
        <v>130</v>
      </c>
      <c r="D2938">
        <v>1982</v>
      </c>
      <c r="E2938" t="s">
        <v>29</v>
      </c>
      <c r="F2938" t="s">
        <v>30</v>
      </c>
      <c r="G2938" t="s">
        <v>31</v>
      </c>
      <c r="H2938" t="s">
        <v>32</v>
      </c>
      <c r="I2938">
        <v>3688.0377389999999</v>
      </c>
      <c r="J2938" t="s">
        <v>33</v>
      </c>
      <c r="K2938" t="s">
        <v>4028</v>
      </c>
      <c r="L2938" t="s">
        <v>21</v>
      </c>
      <c r="M2938" t="str">
        <f t="shared" si="135"/>
        <v>OK</v>
      </c>
      <c r="N2938" t="str">
        <f t="shared" si="136"/>
        <v>1980s</v>
      </c>
      <c r="O2938" t="str">
        <f t="shared" si="137"/>
        <v>N/A</v>
      </c>
      <c r="P2938" t="str">
        <f>VLOOKUP(E2938,calculated_fields!$F$4:$G$6,2,FALSE)</f>
        <v>Economy</v>
      </c>
    </row>
    <row r="2939" spans="1:16">
      <c r="A2939" t="s">
        <v>4031</v>
      </c>
      <c r="B2939" t="s">
        <v>4003</v>
      </c>
      <c r="C2939" t="s">
        <v>130</v>
      </c>
      <c r="D2939">
        <v>1987</v>
      </c>
      <c r="E2939" t="s">
        <v>15</v>
      </c>
      <c r="F2939" t="s">
        <v>16</v>
      </c>
      <c r="G2939" t="s">
        <v>17</v>
      </c>
      <c r="H2939" t="s">
        <v>18</v>
      </c>
      <c r="I2939">
        <v>68.739999999999995</v>
      </c>
      <c r="J2939" t="s">
        <v>19</v>
      </c>
      <c r="K2939" t="s">
        <v>4032</v>
      </c>
      <c r="L2939" t="s">
        <v>21</v>
      </c>
      <c r="M2939" t="str">
        <f t="shared" si="135"/>
        <v>OK</v>
      </c>
      <c r="N2939" t="str">
        <f t="shared" si="136"/>
        <v>1980s</v>
      </c>
      <c r="O2939" t="str">
        <f t="shared" si="137"/>
        <v>Medium</v>
      </c>
      <c r="P2939" t="str">
        <f>VLOOKUP(E2939,calculated_fields!$F$4:$G$6,2,FALSE)</f>
        <v>Health</v>
      </c>
    </row>
    <row r="2940" spans="1:16">
      <c r="A2940" t="s">
        <v>4033</v>
      </c>
      <c r="B2940" t="s">
        <v>4003</v>
      </c>
      <c r="C2940" t="s">
        <v>130</v>
      </c>
      <c r="D2940">
        <v>1987</v>
      </c>
      <c r="E2940" t="s">
        <v>23</v>
      </c>
      <c r="F2940" t="s">
        <v>24</v>
      </c>
      <c r="G2940" t="s">
        <v>25</v>
      </c>
      <c r="H2940" t="s">
        <v>26</v>
      </c>
      <c r="I2940">
        <v>1042663</v>
      </c>
      <c r="J2940" t="s">
        <v>27</v>
      </c>
      <c r="K2940" t="s">
        <v>4032</v>
      </c>
      <c r="L2940" t="s">
        <v>21</v>
      </c>
      <c r="M2940" t="str">
        <f t="shared" si="135"/>
        <v>OK</v>
      </c>
      <c r="N2940" t="str">
        <f t="shared" si="136"/>
        <v>1980s</v>
      </c>
      <c r="O2940" t="str">
        <f t="shared" si="137"/>
        <v>N/A</v>
      </c>
      <c r="P2940" t="str">
        <f>VLOOKUP(E2940,calculated_fields!$F$4:$G$6,2,FALSE)</f>
        <v>Demographics</v>
      </c>
    </row>
    <row r="2941" spans="1:16">
      <c r="A2941" t="s">
        <v>4034</v>
      </c>
      <c r="B2941" t="s">
        <v>4003</v>
      </c>
      <c r="C2941" t="s">
        <v>130</v>
      </c>
      <c r="D2941">
        <v>1987</v>
      </c>
      <c r="E2941" t="s">
        <v>29</v>
      </c>
      <c r="F2941" t="s">
        <v>30</v>
      </c>
      <c r="G2941" t="s">
        <v>31</v>
      </c>
      <c r="H2941" t="s">
        <v>32</v>
      </c>
      <c r="I2941">
        <v>4783.5869030000003</v>
      </c>
      <c r="J2941" t="s">
        <v>33</v>
      </c>
      <c r="K2941" t="s">
        <v>4032</v>
      </c>
      <c r="L2941" t="s">
        <v>21</v>
      </c>
      <c r="M2941" t="str">
        <f t="shared" si="135"/>
        <v>OK</v>
      </c>
      <c r="N2941" t="str">
        <f t="shared" si="136"/>
        <v>1980s</v>
      </c>
      <c r="O2941" t="str">
        <f t="shared" si="137"/>
        <v>N/A</v>
      </c>
      <c r="P2941" t="str">
        <f>VLOOKUP(E2941,calculated_fields!$F$4:$G$6,2,FALSE)</f>
        <v>Economy</v>
      </c>
    </row>
    <row r="2942" spans="1:16">
      <c r="A2942" t="s">
        <v>4035</v>
      </c>
      <c r="B2942" t="s">
        <v>4003</v>
      </c>
      <c r="C2942" t="s">
        <v>130</v>
      </c>
      <c r="D2942">
        <v>1992</v>
      </c>
      <c r="E2942" t="s">
        <v>15</v>
      </c>
      <c r="F2942" t="s">
        <v>16</v>
      </c>
      <c r="G2942" t="s">
        <v>17</v>
      </c>
      <c r="H2942" t="s">
        <v>18</v>
      </c>
      <c r="I2942">
        <v>69.745000000000005</v>
      </c>
      <c r="J2942" t="s">
        <v>19</v>
      </c>
      <c r="K2942" t="s">
        <v>4036</v>
      </c>
      <c r="L2942" t="s">
        <v>21</v>
      </c>
      <c r="M2942" t="str">
        <f t="shared" si="135"/>
        <v>OK</v>
      </c>
      <c r="N2942" t="str">
        <f t="shared" si="136"/>
        <v>1990s</v>
      </c>
      <c r="O2942" t="str">
        <f t="shared" si="137"/>
        <v>Medium</v>
      </c>
      <c r="P2942" t="str">
        <f>VLOOKUP(E2942,calculated_fields!$F$4:$G$6,2,FALSE)</f>
        <v>Health</v>
      </c>
    </row>
    <row r="2943" spans="1:16">
      <c r="A2943" t="s">
        <v>4037</v>
      </c>
      <c r="B2943" t="s">
        <v>4003</v>
      </c>
      <c r="C2943" t="s">
        <v>130</v>
      </c>
      <c r="D2943">
        <v>1992</v>
      </c>
      <c r="E2943" t="s">
        <v>23</v>
      </c>
      <c r="F2943" t="s">
        <v>24</v>
      </c>
      <c r="G2943" t="s">
        <v>25</v>
      </c>
      <c r="H2943" t="s">
        <v>26</v>
      </c>
      <c r="I2943">
        <v>1096202</v>
      </c>
      <c r="J2943" t="s">
        <v>27</v>
      </c>
      <c r="K2943" t="s">
        <v>4036</v>
      </c>
      <c r="L2943" t="s">
        <v>21</v>
      </c>
      <c r="M2943" t="str">
        <f t="shared" si="135"/>
        <v>OK</v>
      </c>
      <c r="N2943" t="str">
        <f t="shared" si="136"/>
        <v>1990s</v>
      </c>
      <c r="O2943" t="str">
        <f t="shared" si="137"/>
        <v>N/A</v>
      </c>
      <c r="P2943" t="str">
        <f>VLOOKUP(E2943,calculated_fields!$F$4:$G$6,2,FALSE)</f>
        <v>Demographics</v>
      </c>
    </row>
    <row r="2944" spans="1:16">
      <c r="A2944" t="s">
        <v>4038</v>
      </c>
      <c r="B2944" t="s">
        <v>4003</v>
      </c>
      <c r="C2944" t="s">
        <v>130</v>
      </c>
      <c r="D2944">
        <v>1992</v>
      </c>
      <c r="E2944" t="s">
        <v>29</v>
      </c>
      <c r="F2944" t="s">
        <v>30</v>
      </c>
      <c r="G2944" t="s">
        <v>31</v>
      </c>
      <c r="H2944" t="s">
        <v>32</v>
      </c>
      <c r="I2944">
        <v>6058.2538459999996</v>
      </c>
      <c r="J2944" t="s">
        <v>33</v>
      </c>
      <c r="K2944" t="s">
        <v>4036</v>
      </c>
      <c r="L2944" t="s">
        <v>21</v>
      </c>
      <c r="M2944" t="str">
        <f t="shared" si="135"/>
        <v>OK</v>
      </c>
      <c r="N2944" t="str">
        <f t="shared" si="136"/>
        <v>1990s</v>
      </c>
      <c r="O2944" t="str">
        <f t="shared" si="137"/>
        <v>N/A</v>
      </c>
      <c r="P2944" t="str">
        <f>VLOOKUP(E2944,calculated_fields!$F$4:$G$6,2,FALSE)</f>
        <v>Economy</v>
      </c>
    </row>
    <row r="2945" spans="1:16">
      <c r="A2945" t="s">
        <v>4039</v>
      </c>
      <c r="B2945" t="s">
        <v>4003</v>
      </c>
      <c r="C2945" t="s">
        <v>130</v>
      </c>
      <c r="D2945">
        <v>1997</v>
      </c>
      <c r="E2945" t="s">
        <v>15</v>
      </c>
      <c r="F2945" t="s">
        <v>16</v>
      </c>
      <c r="G2945" t="s">
        <v>17</v>
      </c>
      <c r="H2945" t="s">
        <v>18</v>
      </c>
      <c r="I2945">
        <v>70.736000000000004</v>
      </c>
      <c r="J2945" t="s">
        <v>19</v>
      </c>
      <c r="K2945" t="s">
        <v>4040</v>
      </c>
      <c r="L2945" t="s">
        <v>21</v>
      </c>
      <c r="M2945" t="str">
        <f t="shared" si="135"/>
        <v>OK</v>
      </c>
      <c r="N2945" t="str">
        <f t="shared" si="136"/>
        <v>1990s</v>
      </c>
      <c r="O2945" t="str">
        <f t="shared" si="137"/>
        <v>High</v>
      </c>
      <c r="P2945" t="str">
        <f>VLOOKUP(E2945,calculated_fields!$F$4:$G$6,2,FALSE)</f>
        <v>Health</v>
      </c>
    </row>
    <row r="2946" spans="1:16">
      <c r="A2946" t="s">
        <v>4041</v>
      </c>
      <c r="B2946" t="s">
        <v>4003</v>
      </c>
      <c r="C2946" t="s">
        <v>130</v>
      </c>
      <c r="D2946">
        <v>1997</v>
      </c>
      <c r="E2946" t="s">
        <v>23</v>
      </c>
      <c r="F2946" t="s">
        <v>24</v>
      </c>
      <c r="G2946" t="s">
        <v>25</v>
      </c>
      <c r="H2946" t="s">
        <v>26</v>
      </c>
      <c r="I2946">
        <v>1149818</v>
      </c>
      <c r="J2946" t="s">
        <v>27</v>
      </c>
      <c r="K2946" t="s">
        <v>4040</v>
      </c>
      <c r="L2946" t="s">
        <v>21</v>
      </c>
      <c r="M2946" t="str">
        <f t="shared" ref="M2946:M3009" si="138">IF(AND(ISNUMBER(I2946),I2946&gt;=0),"OK","Review")</f>
        <v>OK</v>
      </c>
      <c r="N2946" t="str">
        <f t="shared" ref="N2946:N3009" si="139">FLOOR(D2946,10)&amp;"s"</f>
        <v>1990s</v>
      </c>
      <c r="O2946" t="str">
        <f t="shared" ref="O2946:O3009" si="140">IF(E2946="LIFE_EXP",IF(I2946&gt;=70,"High",IF(I2946&gt;=55,"Medium","Low")),"N/A")</f>
        <v>N/A</v>
      </c>
      <c r="P2946" t="str">
        <f>VLOOKUP(E2946,calculated_fields!$F$4:$G$6,2,FALSE)</f>
        <v>Demographics</v>
      </c>
    </row>
    <row r="2947" spans="1:16">
      <c r="A2947" t="s">
        <v>4042</v>
      </c>
      <c r="B2947" t="s">
        <v>4003</v>
      </c>
      <c r="C2947" t="s">
        <v>130</v>
      </c>
      <c r="D2947">
        <v>1997</v>
      </c>
      <c r="E2947" t="s">
        <v>29</v>
      </c>
      <c r="F2947" t="s">
        <v>30</v>
      </c>
      <c r="G2947" t="s">
        <v>31</v>
      </c>
      <c r="H2947" t="s">
        <v>32</v>
      </c>
      <c r="I2947">
        <v>7425.7052949999998</v>
      </c>
      <c r="J2947" t="s">
        <v>33</v>
      </c>
      <c r="K2947" t="s">
        <v>4040</v>
      </c>
      <c r="L2947" t="s">
        <v>21</v>
      </c>
      <c r="M2947" t="str">
        <f t="shared" si="138"/>
        <v>OK</v>
      </c>
      <c r="N2947" t="str">
        <f t="shared" si="139"/>
        <v>1990s</v>
      </c>
      <c r="O2947" t="str">
        <f t="shared" si="140"/>
        <v>N/A</v>
      </c>
      <c r="P2947" t="str">
        <f>VLOOKUP(E2947,calculated_fields!$F$4:$G$6,2,FALSE)</f>
        <v>Economy</v>
      </c>
    </row>
    <row r="2948" spans="1:16">
      <c r="A2948" t="s">
        <v>4043</v>
      </c>
      <c r="B2948" t="s">
        <v>4003</v>
      </c>
      <c r="C2948" t="s">
        <v>130</v>
      </c>
      <c r="D2948">
        <v>2002</v>
      </c>
      <c r="E2948" t="s">
        <v>15</v>
      </c>
      <c r="F2948" t="s">
        <v>16</v>
      </c>
      <c r="G2948" t="s">
        <v>17</v>
      </c>
      <c r="H2948" t="s">
        <v>18</v>
      </c>
      <c r="I2948">
        <v>71.953999999999994</v>
      </c>
      <c r="J2948" t="s">
        <v>19</v>
      </c>
      <c r="K2948" t="s">
        <v>4044</v>
      </c>
      <c r="L2948" t="s">
        <v>21</v>
      </c>
      <c r="M2948" t="str">
        <f t="shared" si="138"/>
        <v>OK</v>
      </c>
      <c r="N2948" t="str">
        <f t="shared" si="139"/>
        <v>2000s</v>
      </c>
      <c r="O2948" t="str">
        <f t="shared" si="140"/>
        <v>High</v>
      </c>
      <c r="P2948" t="str">
        <f>VLOOKUP(E2948,calculated_fields!$F$4:$G$6,2,FALSE)</f>
        <v>Health</v>
      </c>
    </row>
    <row r="2949" spans="1:16">
      <c r="A2949" t="s">
        <v>4045</v>
      </c>
      <c r="B2949" t="s">
        <v>4003</v>
      </c>
      <c r="C2949" t="s">
        <v>130</v>
      </c>
      <c r="D2949">
        <v>2002</v>
      </c>
      <c r="E2949" t="s">
        <v>23</v>
      </c>
      <c r="F2949" t="s">
        <v>24</v>
      </c>
      <c r="G2949" t="s">
        <v>25</v>
      </c>
      <c r="H2949" t="s">
        <v>26</v>
      </c>
      <c r="I2949">
        <v>1200206</v>
      </c>
      <c r="J2949" t="s">
        <v>27</v>
      </c>
      <c r="K2949" t="s">
        <v>4044</v>
      </c>
      <c r="L2949" t="s">
        <v>21</v>
      </c>
      <c r="M2949" t="str">
        <f t="shared" si="138"/>
        <v>OK</v>
      </c>
      <c r="N2949" t="str">
        <f t="shared" si="139"/>
        <v>2000s</v>
      </c>
      <c r="O2949" t="str">
        <f t="shared" si="140"/>
        <v>N/A</v>
      </c>
      <c r="P2949" t="str">
        <f>VLOOKUP(E2949,calculated_fields!$F$4:$G$6,2,FALSE)</f>
        <v>Demographics</v>
      </c>
    </row>
    <row r="2950" spans="1:16">
      <c r="A2950" t="s">
        <v>4046</v>
      </c>
      <c r="B2950" t="s">
        <v>4003</v>
      </c>
      <c r="C2950" t="s">
        <v>130</v>
      </c>
      <c r="D2950">
        <v>2002</v>
      </c>
      <c r="E2950" t="s">
        <v>29</v>
      </c>
      <c r="F2950" t="s">
        <v>30</v>
      </c>
      <c r="G2950" t="s">
        <v>31</v>
      </c>
      <c r="H2950" t="s">
        <v>32</v>
      </c>
      <c r="I2950">
        <v>9021.8158939999994</v>
      </c>
      <c r="J2950" t="s">
        <v>33</v>
      </c>
      <c r="K2950" t="s">
        <v>4044</v>
      </c>
      <c r="L2950" t="s">
        <v>21</v>
      </c>
      <c r="M2950" t="str">
        <f t="shared" si="138"/>
        <v>OK</v>
      </c>
      <c r="N2950" t="str">
        <f t="shared" si="139"/>
        <v>2000s</v>
      </c>
      <c r="O2950" t="str">
        <f t="shared" si="140"/>
        <v>N/A</v>
      </c>
      <c r="P2950" t="str">
        <f>VLOOKUP(E2950,calculated_fields!$F$4:$G$6,2,FALSE)</f>
        <v>Economy</v>
      </c>
    </row>
    <row r="2951" spans="1:16">
      <c r="A2951" t="s">
        <v>4047</v>
      </c>
      <c r="B2951" t="s">
        <v>4003</v>
      </c>
      <c r="C2951" t="s">
        <v>130</v>
      </c>
      <c r="D2951">
        <v>2007</v>
      </c>
      <c r="E2951" t="s">
        <v>15</v>
      </c>
      <c r="F2951" t="s">
        <v>16</v>
      </c>
      <c r="G2951" t="s">
        <v>17</v>
      </c>
      <c r="H2951" t="s">
        <v>18</v>
      </c>
      <c r="I2951">
        <v>72.801000000000002</v>
      </c>
      <c r="J2951" t="s">
        <v>19</v>
      </c>
      <c r="K2951" t="s">
        <v>4048</v>
      </c>
      <c r="L2951" t="s">
        <v>21</v>
      </c>
      <c r="M2951" t="str">
        <f t="shared" si="138"/>
        <v>OK</v>
      </c>
      <c r="N2951" t="str">
        <f t="shared" si="139"/>
        <v>2000s</v>
      </c>
      <c r="O2951" t="str">
        <f t="shared" si="140"/>
        <v>High</v>
      </c>
      <c r="P2951" t="str">
        <f>VLOOKUP(E2951,calculated_fields!$F$4:$G$6,2,FALSE)</f>
        <v>Health</v>
      </c>
    </row>
    <row r="2952" spans="1:16">
      <c r="A2952" t="s">
        <v>4049</v>
      </c>
      <c r="B2952" t="s">
        <v>4003</v>
      </c>
      <c r="C2952" t="s">
        <v>130</v>
      </c>
      <c r="D2952">
        <v>2007</v>
      </c>
      <c r="E2952" t="s">
        <v>23</v>
      </c>
      <c r="F2952" t="s">
        <v>24</v>
      </c>
      <c r="G2952" t="s">
        <v>25</v>
      </c>
      <c r="H2952" t="s">
        <v>26</v>
      </c>
      <c r="I2952">
        <v>1250882</v>
      </c>
      <c r="J2952" t="s">
        <v>27</v>
      </c>
      <c r="K2952" t="s">
        <v>4048</v>
      </c>
      <c r="L2952" t="s">
        <v>21</v>
      </c>
      <c r="M2952" t="str">
        <f t="shared" si="138"/>
        <v>OK</v>
      </c>
      <c r="N2952" t="str">
        <f t="shared" si="139"/>
        <v>2000s</v>
      </c>
      <c r="O2952" t="str">
        <f t="shared" si="140"/>
        <v>N/A</v>
      </c>
      <c r="P2952" t="str">
        <f>VLOOKUP(E2952,calculated_fields!$F$4:$G$6,2,FALSE)</f>
        <v>Demographics</v>
      </c>
    </row>
    <row r="2953" spans="1:16">
      <c r="A2953" t="s">
        <v>4050</v>
      </c>
      <c r="B2953" t="s">
        <v>4003</v>
      </c>
      <c r="C2953" t="s">
        <v>130</v>
      </c>
      <c r="D2953">
        <v>2007</v>
      </c>
      <c r="E2953" t="s">
        <v>29</v>
      </c>
      <c r="F2953" t="s">
        <v>30</v>
      </c>
      <c r="G2953" t="s">
        <v>31</v>
      </c>
      <c r="H2953" t="s">
        <v>32</v>
      </c>
      <c r="I2953">
        <v>10956.991120000001</v>
      </c>
      <c r="J2953" t="s">
        <v>33</v>
      </c>
      <c r="K2953" t="s">
        <v>4048</v>
      </c>
      <c r="L2953" t="s">
        <v>21</v>
      </c>
      <c r="M2953" t="str">
        <f t="shared" si="138"/>
        <v>OK</v>
      </c>
      <c r="N2953" t="str">
        <f t="shared" si="139"/>
        <v>2000s</v>
      </c>
      <c r="O2953" t="str">
        <f t="shared" si="140"/>
        <v>N/A</v>
      </c>
      <c r="P2953" t="str">
        <f>VLOOKUP(E2953,calculated_fields!$F$4:$G$6,2,FALSE)</f>
        <v>Economy</v>
      </c>
    </row>
    <row r="2954" spans="1:16">
      <c r="A2954" t="s">
        <v>4051</v>
      </c>
      <c r="B2954" t="s">
        <v>4052</v>
      </c>
      <c r="C2954" t="s">
        <v>229</v>
      </c>
      <c r="D2954">
        <v>1952</v>
      </c>
      <c r="E2954" t="s">
        <v>15</v>
      </c>
      <c r="F2954" t="s">
        <v>16</v>
      </c>
      <c r="G2954" t="s">
        <v>17</v>
      </c>
      <c r="H2954" t="s">
        <v>18</v>
      </c>
      <c r="I2954">
        <v>50.789000000000001</v>
      </c>
      <c r="J2954" t="s">
        <v>19</v>
      </c>
      <c r="K2954" t="s">
        <v>4053</v>
      </c>
      <c r="L2954" t="s">
        <v>21</v>
      </c>
      <c r="M2954" t="str">
        <f t="shared" si="138"/>
        <v>OK</v>
      </c>
      <c r="N2954" t="str">
        <f t="shared" si="139"/>
        <v>1950s</v>
      </c>
      <c r="O2954" t="str">
        <f t="shared" si="140"/>
        <v>Low</v>
      </c>
      <c r="P2954" t="str">
        <f>VLOOKUP(E2954,calculated_fields!$F$4:$G$6,2,FALSE)</f>
        <v>Health</v>
      </c>
    </row>
    <row r="2955" spans="1:16">
      <c r="A2955" t="s">
        <v>4054</v>
      </c>
      <c r="B2955" t="s">
        <v>4052</v>
      </c>
      <c r="C2955" t="s">
        <v>229</v>
      </c>
      <c r="D2955">
        <v>1952</v>
      </c>
      <c r="E2955" t="s">
        <v>23</v>
      </c>
      <c r="F2955" t="s">
        <v>24</v>
      </c>
      <c r="G2955" t="s">
        <v>25</v>
      </c>
      <c r="H2955" t="s">
        <v>26</v>
      </c>
      <c r="I2955">
        <v>30144317</v>
      </c>
      <c r="J2955" t="s">
        <v>27</v>
      </c>
      <c r="K2955" t="s">
        <v>4053</v>
      </c>
      <c r="L2955" t="s">
        <v>21</v>
      </c>
      <c r="M2955" t="str">
        <f t="shared" si="138"/>
        <v>OK</v>
      </c>
      <c r="N2955" t="str">
        <f t="shared" si="139"/>
        <v>1950s</v>
      </c>
      <c r="O2955" t="str">
        <f t="shared" si="140"/>
        <v>N/A</v>
      </c>
      <c r="P2955" t="str">
        <f>VLOOKUP(E2955,calculated_fields!$F$4:$G$6,2,FALSE)</f>
        <v>Demographics</v>
      </c>
    </row>
    <row r="2956" spans="1:16">
      <c r="A2956" t="s">
        <v>4055</v>
      </c>
      <c r="B2956" t="s">
        <v>4052</v>
      </c>
      <c r="C2956" t="s">
        <v>229</v>
      </c>
      <c r="D2956">
        <v>1952</v>
      </c>
      <c r="E2956" t="s">
        <v>29</v>
      </c>
      <c r="F2956" t="s">
        <v>30</v>
      </c>
      <c r="G2956" t="s">
        <v>31</v>
      </c>
      <c r="H2956" t="s">
        <v>32</v>
      </c>
      <c r="I2956">
        <v>3478.1255289999999</v>
      </c>
      <c r="J2956" t="s">
        <v>33</v>
      </c>
      <c r="K2956" t="s">
        <v>4053</v>
      </c>
      <c r="L2956" t="s">
        <v>21</v>
      </c>
      <c r="M2956" t="str">
        <f t="shared" si="138"/>
        <v>OK</v>
      </c>
      <c r="N2956" t="str">
        <f t="shared" si="139"/>
        <v>1950s</v>
      </c>
      <c r="O2956" t="str">
        <f t="shared" si="140"/>
        <v>N/A</v>
      </c>
      <c r="P2956" t="str">
        <f>VLOOKUP(E2956,calculated_fields!$F$4:$G$6,2,FALSE)</f>
        <v>Economy</v>
      </c>
    </row>
    <row r="2957" spans="1:16">
      <c r="A2957" t="s">
        <v>4056</v>
      </c>
      <c r="B2957" t="s">
        <v>4052</v>
      </c>
      <c r="C2957" t="s">
        <v>229</v>
      </c>
      <c r="D2957">
        <v>1957</v>
      </c>
      <c r="E2957" t="s">
        <v>15</v>
      </c>
      <c r="F2957" t="s">
        <v>16</v>
      </c>
      <c r="G2957" t="s">
        <v>17</v>
      </c>
      <c r="H2957" t="s">
        <v>18</v>
      </c>
      <c r="I2957">
        <v>55.19</v>
      </c>
      <c r="J2957" t="s">
        <v>19</v>
      </c>
      <c r="K2957" t="s">
        <v>4057</v>
      </c>
      <c r="L2957" t="s">
        <v>21</v>
      </c>
      <c r="M2957" t="str">
        <f t="shared" si="138"/>
        <v>OK</v>
      </c>
      <c r="N2957" t="str">
        <f t="shared" si="139"/>
        <v>1950s</v>
      </c>
      <c r="O2957" t="str">
        <f t="shared" si="140"/>
        <v>Medium</v>
      </c>
      <c r="P2957" t="str">
        <f>VLOOKUP(E2957,calculated_fields!$F$4:$G$6,2,FALSE)</f>
        <v>Health</v>
      </c>
    </row>
    <row r="2958" spans="1:16">
      <c r="A2958" t="s">
        <v>4058</v>
      </c>
      <c r="B2958" t="s">
        <v>4052</v>
      </c>
      <c r="C2958" t="s">
        <v>229</v>
      </c>
      <c r="D2958">
        <v>1957</v>
      </c>
      <c r="E2958" t="s">
        <v>23</v>
      </c>
      <c r="F2958" t="s">
        <v>24</v>
      </c>
      <c r="G2958" t="s">
        <v>25</v>
      </c>
      <c r="H2958" t="s">
        <v>26</v>
      </c>
      <c r="I2958">
        <v>35015548</v>
      </c>
      <c r="J2958" t="s">
        <v>27</v>
      </c>
      <c r="K2958" t="s">
        <v>4057</v>
      </c>
      <c r="L2958" t="s">
        <v>21</v>
      </c>
      <c r="M2958" t="str">
        <f t="shared" si="138"/>
        <v>OK</v>
      </c>
      <c r="N2958" t="str">
        <f t="shared" si="139"/>
        <v>1950s</v>
      </c>
      <c r="O2958" t="str">
        <f t="shared" si="140"/>
        <v>N/A</v>
      </c>
      <c r="P2958" t="str">
        <f>VLOOKUP(E2958,calculated_fields!$F$4:$G$6,2,FALSE)</f>
        <v>Demographics</v>
      </c>
    </row>
    <row r="2959" spans="1:16">
      <c r="A2959" t="s">
        <v>4059</v>
      </c>
      <c r="B2959" t="s">
        <v>4052</v>
      </c>
      <c r="C2959" t="s">
        <v>229</v>
      </c>
      <c r="D2959">
        <v>1957</v>
      </c>
      <c r="E2959" t="s">
        <v>29</v>
      </c>
      <c r="F2959" t="s">
        <v>30</v>
      </c>
      <c r="G2959" t="s">
        <v>31</v>
      </c>
      <c r="H2959" t="s">
        <v>32</v>
      </c>
      <c r="I2959">
        <v>4131.5466409999999</v>
      </c>
      <c r="J2959" t="s">
        <v>33</v>
      </c>
      <c r="K2959" t="s">
        <v>4057</v>
      </c>
      <c r="L2959" t="s">
        <v>21</v>
      </c>
      <c r="M2959" t="str">
        <f t="shared" si="138"/>
        <v>OK</v>
      </c>
      <c r="N2959" t="str">
        <f t="shared" si="139"/>
        <v>1950s</v>
      </c>
      <c r="O2959" t="str">
        <f t="shared" si="140"/>
        <v>N/A</v>
      </c>
      <c r="P2959" t="str">
        <f>VLOOKUP(E2959,calculated_fields!$F$4:$G$6,2,FALSE)</f>
        <v>Economy</v>
      </c>
    </row>
    <row r="2960" spans="1:16">
      <c r="A2960" t="s">
        <v>4060</v>
      </c>
      <c r="B2960" t="s">
        <v>4052</v>
      </c>
      <c r="C2960" t="s">
        <v>229</v>
      </c>
      <c r="D2960">
        <v>1962</v>
      </c>
      <c r="E2960" t="s">
        <v>15</v>
      </c>
      <c r="F2960" t="s">
        <v>16</v>
      </c>
      <c r="G2960" t="s">
        <v>17</v>
      </c>
      <c r="H2960" t="s">
        <v>18</v>
      </c>
      <c r="I2960">
        <v>58.298999999999999</v>
      </c>
      <c r="J2960" t="s">
        <v>19</v>
      </c>
      <c r="K2960" t="s">
        <v>4061</v>
      </c>
      <c r="L2960" t="s">
        <v>21</v>
      </c>
      <c r="M2960" t="str">
        <f t="shared" si="138"/>
        <v>OK</v>
      </c>
      <c r="N2960" t="str">
        <f t="shared" si="139"/>
        <v>1960s</v>
      </c>
      <c r="O2960" t="str">
        <f t="shared" si="140"/>
        <v>Medium</v>
      </c>
      <c r="P2960" t="str">
        <f>VLOOKUP(E2960,calculated_fields!$F$4:$G$6,2,FALSE)</f>
        <v>Health</v>
      </c>
    </row>
    <row r="2961" spans="1:16">
      <c r="A2961" t="s">
        <v>4062</v>
      </c>
      <c r="B2961" t="s">
        <v>4052</v>
      </c>
      <c r="C2961" t="s">
        <v>229</v>
      </c>
      <c r="D2961">
        <v>1962</v>
      </c>
      <c r="E2961" t="s">
        <v>23</v>
      </c>
      <c r="F2961" t="s">
        <v>24</v>
      </c>
      <c r="G2961" t="s">
        <v>25</v>
      </c>
      <c r="H2961" t="s">
        <v>26</v>
      </c>
      <c r="I2961">
        <v>41121485</v>
      </c>
      <c r="J2961" t="s">
        <v>27</v>
      </c>
      <c r="K2961" t="s">
        <v>4061</v>
      </c>
      <c r="L2961" t="s">
        <v>21</v>
      </c>
      <c r="M2961" t="str">
        <f t="shared" si="138"/>
        <v>OK</v>
      </c>
      <c r="N2961" t="str">
        <f t="shared" si="139"/>
        <v>1960s</v>
      </c>
      <c r="O2961" t="str">
        <f t="shared" si="140"/>
        <v>N/A</v>
      </c>
      <c r="P2961" t="str">
        <f>VLOOKUP(E2961,calculated_fields!$F$4:$G$6,2,FALSE)</f>
        <v>Demographics</v>
      </c>
    </row>
    <row r="2962" spans="1:16">
      <c r="A2962" t="s">
        <v>4063</v>
      </c>
      <c r="B2962" t="s">
        <v>4052</v>
      </c>
      <c r="C2962" t="s">
        <v>229</v>
      </c>
      <c r="D2962">
        <v>1962</v>
      </c>
      <c r="E2962" t="s">
        <v>29</v>
      </c>
      <c r="F2962" t="s">
        <v>30</v>
      </c>
      <c r="G2962" t="s">
        <v>31</v>
      </c>
      <c r="H2962" t="s">
        <v>32</v>
      </c>
      <c r="I2962">
        <v>4581.6093849999997</v>
      </c>
      <c r="J2962" t="s">
        <v>33</v>
      </c>
      <c r="K2962" t="s">
        <v>4061</v>
      </c>
      <c r="L2962" t="s">
        <v>21</v>
      </c>
      <c r="M2962" t="str">
        <f t="shared" si="138"/>
        <v>OK</v>
      </c>
      <c r="N2962" t="str">
        <f t="shared" si="139"/>
        <v>1960s</v>
      </c>
      <c r="O2962" t="str">
        <f t="shared" si="140"/>
        <v>N/A</v>
      </c>
      <c r="P2962" t="str">
        <f>VLOOKUP(E2962,calculated_fields!$F$4:$G$6,2,FALSE)</f>
        <v>Economy</v>
      </c>
    </row>
    <row r="2963" spans="1:16">
      <c r="A2963" t="s">
        <v>4064</v>
      </c>
      <c r="B2963" t="s">
        <v>4052</v>
      </c>
      <c r="C2963" t="s">
        <v>229</v>
      </c>
      <c r="D2963">
        <v>1967</v>
      </c>
      <c r="E2963" t="s">
        <v>15</v>
      </c>
      <c r="F2963" t="s">
        <v>16</v>
      </c>
      <c r="G2963" t="s">
        <v>17</v>
      </c>
      <c r="H2963" t="s">
        <v>18</v>
      </c>
      <c r="I2963">
        <v>60.11</v>
      </c>
      <c r="J2963" t="s">
        <v>19</v>
      </c>
      <c r="K2963" t="s">
        <v>4065</v>
      </c>
      <c r="L2963" t="s">
        <v>21</v>
      </c>
      <c r="M2963" t="str">
        <f t="shared" si="138"/>
        <v>OK</v>
      </c>
      <c r="N2963" t="str">
        <f t="shared" si="139"/>
        <v>1960s</v>
      </c>
      <c r="O2963" t="str">
        <f t="shared" si="140"/>
        <v>Medium</v>
      </c>
      <c r="P2963" t="str">
        <f>VLOOKUP(E2963,calculated_fields!$F$4:$G$6,2,FALSE)</f>
        <v>Health</v>
      </c>
    </row>
    <row r="2964" spans="1:16">
      <c r="A2964" t="s">
        <v>4066</v>
      </c>
      <c r="B2964" t="s">
        <v>4052</v>
      </c>
      <c r="C2964" t="s">
        <v>229</v>
      </c>
      <c r="D2964">
        <v>1967</v>
      </c>
      <c r="E2964" t="s">
        <v>23</v>
      </c>
      <c r="F2964" t="s">
        <v>24</v>
      </c>
      <c r="G2964" t="s">
        <v>25</v>
      </c>
      <c r="H2964" t="s">
        <v>26</v>
      </c>
      <c r="I2964">
        <v>47995559</v>
      </c>
      <c r="J2964" t="s">
        <v>27</v>
      </c>
      <c r="K2964" t="s">
        <v>4065</v>
      </c>
      <c r="L2964" t="s">
        <v>21</v>
      </c>
      <c r="M2964" t="str">
        <f t="shared" si="138"/>
        <v>OK</v>
      </c>
      <c r="N2964" t="str">
        <f t="shared" si="139"/>
        <v>1960s</v>
      </c>
      <c r="O2964" t="str">
        <f t="shared" si="140"/>
        <v>N/A</v>
      </c>
      <c r="P2964" t="str">
        <f>VLOOKUP(E2964,calculated_fields!$F$4:$G$6,2,FALSE)</f>
        <v>Demographics</v>
      </c>
    </row>
    <row r="2965" spans="1:16">
      <c r="A2965" t="s">
        <v>4067</v>
      </c>
      <c r="B2965" t="s">
        <v>4052</v>
      </c>
      <c r="C2965" t="s">
        <v>229</v>
      </c>
      <c r="D2965">
        <v>1967</v>
      </c>
      <c r="E2965" t="s">
        <v>29</v>
      </c>
      <c r="F2965" t="s">
        <v>30</v>
      </c>
      <c r="G2965" t="s">
        <v>31</v>
      </c>
      <c r="H2965" t="s">
        <v>32</v>
      </c>
      <c r="I2965">
        <v>5754.7338829999999</v>
      </c>
      <c r="J2965" t="s">
        <v>33</v>
      </c>
      <c r="K2965" t="s">
        <v>4065</v>
      </c>
      <c r="L2965" t="s">
        <v>21</v>
      </c>
      <c r="M2965" t="str">
        <f t="shared" si="138"/>
        <v>OK</v>
      </c>
      <c r="N2965" t="str">
        <f t="shared" si="139"/>
        <v>1960s</v>
      </c>
      <c r="O2965" t="str">
        <f t="shared" si="140"/>
        <v>N/A</v>
      </c>
      <c r="P2965" t="str">
        <f>VLOOKUP(E2965,calculated_fields!$F$4:$G$6,2,FALSE)</f>
        <v>Economy</v>
      </c>
    </row>
    <row r="2966" spans="1:16">
      <c r="A2966" t="s">
        <v>4068</v>
      </c>
      <c r="B2966" t="s">
        <v>4052</v>
      </c>
      <c r="C2966" t="s">
        <v>229</v>
      </c>
      <c r="D2966">
        <v>1972</v>
      </c>
      <c r="E2966" t="s">
        <v>15</v>
      </c>
      <c r="F2966" t="s">
        <v>16</v>
      </c>
      <c r="G2966" t="s">
        <v>17</v>
      </c>
      <c r="H2966" t="s">
        <v>18</v>
      </c>
      <c r="I2966">
        <v>62.360999999999997</v>
      </c>
      <c r="J2966" t="s">
        <v>19</v>
      </c>
      <c r="K2966" t="s">
        <v>4069</v>
      </c>
      <c r="L2966" t="s">
        <v>21</v>
      </c>
      <c r="M2966" t="str">
        <f t="shared" si="138"/>
        <v>OK</v>
      </c>
      <c r="N2966" t="str">
        <f t="shared" si="139"/>
        <v>1970s</v>
      </c>
      <c r="O2966" t="str">
        <f t="shared" si="140"/>
        <v>Medium</v>
      </c>
      <c r="P2966" t="str">
        <f>VLOOKUP(E2966,calculated_fields!$F$4:$G$6,2,FALSE)</f>
        <v>Health</v>
      </c>
    </row>
    <row r="2967" spans="1:16">
      <c r="A2967" t="s">
        <v>4070</v>
      </c>
      <c r="B2967" t="s">
        <v>4052</v>
      </c>
      <c r="C2967" t="s">
        <v>229</v>
      </c>
      <c r="D2967">
        <v>1972</v>
      </c>
      <c r="E2967" t="s">
        <v>23</v>
      </c>
      <c r="F2967" t="s">
        <v>24</v>
      </c>
      <c r="G2967" t="s">
        <v>25</v>
      </c>
      <c r="H2967" t="s">
        <v>26</v>
      </c>
      <c r="I2967">
        <v>55984294</v>
      </c>
      <c r="J2967" t="s">
        <v>27</v>
      </c>
      <c r="K2967" t="s">
        <v>4069</v>
      </c>
      <c r="L2967" t="s">
        <v>21</v>
      </c>
      <c r="M2967" t="str">
        <f t="shared" si="138"/>
        <v>OK</v>
      </c>
      <c r="N2967" t="str">
        <f t="shared" si="139"/>
        <v>1970s</v>
      </c>
      <c r="O2967" t="str">
        <f t="shared" si="140"/>
        <v>N/A</v>
      </c>
      <c r="P2967" t="str">
        <f>VLOOKUP(E2967,calculated_fields!$F$4:$G$6,2,FALSE)</f>
        <v>Demographics</v>
      </c>
    </row>
    <row r="2968" spans="1:16">
      <c r="A2968" t="s">
        <v>4071</v>
      </c>
      <c r="B2968" t="s">
        <v>4052</v>
      </c>
      <c r="C2968" t="s">
        <v>229</v>
      </c>
      <c r="D2968">
        <v>1972</v>
      </c>
      <c r="E2968" t="s">
        <v>29</v>
      </c>
      <c r="F2968" t="s">
        <v>30</v>
      </c>
      <c r="G2968" t="s">
        <v>31</v>
      </c>
      <c r="H2968" t="s">
        <v>32</v>
      </c>
      <c r="I2968">
        <v>6809.4066899999998</v>
      </c>
      <c r="J2968" t="s">
        <v>33</v>
      </c>
      <c r="K2968" t="s">
        <v>4069</v>
      </c>
      <c r="L2968" t="s">
        <v>21</v>
      </c>
      <c r="M2968" t="str">
        <f t="shared" si="138"/>
        <v>OK</v>
      </c>
      <c r="N2968" t="str">
        <f t="shared" si="139"/>
        <v>1970s</v>
      </c>
      <c r="O2968" t="str">
        <f t="shared" si="140"/>
        <v>N/A</v>
      </c>
      <c r="P2968" t="str">
        <f>VLOOKUP(E2968,calculated_fields!$F$4:$G$6,2,FALSE)</f>
        <v>Economy</v>
      </c>
    </row>
    <row r="2969" spans="1:16">
      <c r="A2969" t="s">
        <v>4072</v>
      </c>
      <c r="B2969" t="s">
        <v>4052</v>
      </c>
      <c r="C2969" t="s">
        <v>229</v>
      </c>
      <c r="D2969">
        <v>1977</v>
      </c>
      <c r="E2969" t="s">
        <v>15</v>
      </c>
      <c r="F2969" t="s">
        <v>16</v>
      </c>
      <c r="G2969" t="s">
        <v>17</v>
      </c>
      <c r="H2969" t="s">
        <v>18</v>
      </c>
      <c r="I2969">
        <v>65.031999999999996</v>
      </c>
      <c r="J2969" t="s">
        <v>19</v>
      </c>
      <c r="K2969" t="s">
        <v>4073</v>
      </c>
      <c r="L2969" t="s">
        <v>21</v>
      </c>
      <c r="M2969" t="str">
        <f t="shared" si="138"/>
        <v>OK</v>
      </c>
      <c r="N2969" t="str">
        <f t="shared" si="139"/>
        <v>1970s</v>
      </c>
      <c r="O2969" t="str">
        <f t="shared" si="140"/>
        <v>Medium</v>
      </c>
      <c r="P2969" t="str">
        <f>VLOOKUP(E2969,calculated_fields!$F$4:$G$6,2,FALSE)</f>
        <v>Health</v>
      </c>
    </row>
    <row r="2970" spans="1:16">
      <c r="A2970" t="s">
        <v>4074</v>
      </c>
      <c r="B2970" t="s">
        <v>4052</v>
      </c>
      <c r="C2970" t="s">
        <v>229</v>
      </c>
      <c r="D2970">
        <v>1977</v>
      </c>
      <c r="E2970" t="s">
        <v>23</v>
      </c>
      <c r="F2970" t="s">
        <v>24</v>
      </c>
      <c r="G2970" t="s">
        <v>25</v>
      </c>
      <c r="H2970" t="s">
        <v>26</v>
      </c>
      <c r="I2970">
        <v>63759976</v>
      </c>
      <c r="J2970" t="s">
        <v>27</v>
      </c>
      <c r="K2970" t="s">
        <v>4073</v>
      </c>
      <c r="L2970" t="s">
        <v>21</v>
      </c>
      <c r="M2970" t="str">
        <f t="shared" si="138"/>
        <v>OK</v>
      </c>
      <c r="N2970" t="str">
        <f t="shared" si="139"/>
        <v>1970s</v>
      </c>
      <c r="O2970" t="str">
        <f t="shared" si="140"/>
        <v>N/A</v>
      </c>
      <c r="P2970" t="str">
        <f>VLOOKUP(E2970,calculated_fields!$F$4:$G$6,2,FALSE)</f>
        <v>Demographics</v>
      </c>
    </row>
    <row r="2971" spans="1:16">
      <c r="A2971" t="s">
        <v>4075</v>
      </c>
      <c r="B2971" t="s">
        <v>4052</v>
      </c>
      <c r="C2971" t="s">
        <v>229</v>
      </c>
      <c r="D2971">
        <v>1977</v>
      </c>
      <c r="E2971" t="s">
        <v>29</v>
      </c>
      <c r="F2971" t="s">
        <v>30</v>
      </c>
      <c r="G2971" t="s">
        <v>31</v>
      </c>
      <c r="H2971" t="s">
        <v>32</v>
      </c>
      <c r="I2971">
        <v>7674.9291080000003</v>
      </c>
      <c r="J2971" t="s">
        <v>33</v>
      </c>
      <c r="K2971" t="s">
        <v>4073</v>
      </c>
      <c r="L2971" t="s">
        <v>21</v>
      </c>
      <c r="M2971" t="str">
        <f t="shared" si="138"/>
        <v>OK</v>
      </c>
      <c r="N2971" t="str">
        <f t="shared" si="139"/>
        <v>1970s</v>
      </c>
      <c r="O2971" t="str">
        <f t="shared" si="140"/>
        <v>N/A</v>
      </c>
      <c r="P2971" t="str">
        <f>VLOOKUP(E2971,calculated_fields!$F$4:$G$6,2,FALSE)</f>
        <v>Economy</v>
      </c>
    </row>
    <row r="2972" spans="1:16">
      <c r="A2972" t="s">
        <v>4076</v>
      </c>
      <c r="B2972" t="s">
        <v>4052</v>
      </c>
      <c r="C2972" t="s">
        <v>229</v>
      </c>
      <c r="D2972">
        <v>1982</v>
      </c>
      <c r="E2972" t="s">
        <v>15</v>
      </c>
      <c r="F2972" t="s">
        <v>16</v>
      </c>
      <c r="G2972" t="s">
        <v>17</v>
      </c>
      <c r="H2972" t="s">
        <v>18</v>
      </c>
      <c r="I2972">
        <v>67.405000000000001</v>
      </c>
      <c r="J2972" t="s">
        <v>19</v>
      </c>
      <c r="K2972" t="s">
        <v>4077</v>
      </c>
      <c r="L2972" t="s">
        <v>21</v>
      </c>
      <c r="M2972" t="str">
        <f t="shared" si="138"/>
        <v>OK</v>
      </c>
      <c r="N2972" t="str">
        <f t="shared" si="139"/>
        <v>1980s</v>
      </c>
      <c r="O2972" t="str">
        <f t="shared" si="140"/>
        <v>Medium</v>
      </c>
      <c r="P2972" t="str">
        <f>VLOOKUP(E2972,calculated_fields!$F$4:$G$6,2,FALSE)</f>
        <v>Health</v>
      </c>
    </row>
    <row r="2973" spans="1:16">
      <c r="A2973" t="s">
        <v>4078</v>
      </c>
      <c r="B2973" t="s">
        <v>4052</v>
      </c>
      <c r="C2973" t="s">
        <v>229</v>
      </c>
      <c r="D2973">
        <v>1982</v>
      </c>
      <c r="E2973" t="s">
        <v>23</v>
      </c>
      <c r="F2973" t="s">
        <v>24</v>
      </c>
      <c r="G2973" t="s">
        <v>25</v>
      </c>
      <c r="H2973" t="s">
        <v>26</v>
      </c>
      <c r="I2973">
        <v>71640904</v>
      </c>
      <c r="J2973" t="s">
        <v>27</v>
      </c>
      <c r="K2973" t="s">
        <v>4077</v>
      </c>
      <c r="L2973" t="s">
        <v>21</v>
      </c>
      <c r="M2973" t="str">
        <f t="shared" si="138"/>
        <v>OK</v>
      </c>
      <c r="N2973" t="str">
        <f t="shared" si="139"/>
        <v>1980s</v>
      </c>
      <c r="O2973" t="str">
        <f t="shared" si="140"/>
        <v>N/A</v>
      </c>
      <c r="P2973" t="str">
        <f>VLOOKUP(E2973,calculated_fields!$F$4:$G$6,2,FALSE)</f>
        <v>Demographics</v>
      </c>
    </row>
    <row r="2974" spans="1:16">
      <c r="A2974" t="s">
        <v>4079</v>
      </c>
      <c r="B2974" t="s">
        <v>4052</v>
      </c>
      <c r="C2974" t="s">
        <v>229</v>
      </c>
      <c r="D2974">
        <v>1982</v>
      </c>
      <c r="E2974" t="s">
        <v>29</v>
      </c>
      <c r="F2974" t="s">
        <v>30</v>
      </c>
      <c r="G2974" t="s">
        <v>31</v>
      </c>
      <c r="H2974" t="s">
        <v>32</v>
      </c>
      <c r="I2974">
        <v>9611.1475410000003</v>
      </c>
      <c r="J2974" t="s">
        <v>33</v>
      </c>
      <c r="K2974" t="s">
        <v>4077</v>
      </c>
      <c r="L2974" t="s">
        <v>21</v>
      </c>
      <c r="M2974" t="str">
        <f t="shared" si="138"/>
        <v>OK</v>
      </c>
      <c r="N2974" t="str">
        <f t="shared" si="139"/>
        <v>1980s</v>
      </c>
      <c r="O2974" t="str">
        <f t="shared" si="140"/>
        <v>N/A</v>
      </c>
      <c r="P2974" t="str">
        <f>VLOOKUP(E2974,calculated_fields!$F$4:$G$6,2,FALSE)</f>
        <v>Economy</v>
      </c>
    </row>
    <row r="2975" spans="1:16">
      <c r="A2975" t="s">
        <v>4080</v>
      </c>
      <c r="B2975" t="s">
        <v>4052</v>
      </c>
      <c r="C2975" t="s">
        <v>229</v>
      </c>
      <c r="D2975">
        <v>1987</v>
      </c>
      <c r="E2975" t="s">
        <v>15</v>
      </c>
      <c r="F2975" t="s">
        <v>16</v>
      </c>
      <c r="G2975" t="s">
        <v>17</v>
      </c>
      <c r="H2975" t="s">
        <v>18</v>
      </c>
      <c r="I2975">
        <v>69.498000000000005</v>
      </c>
      <c r="J2975" t="s">
        <v>19</v>
      </c>
      <c r="K2975" t="s">
        <v>4081</v>
      </c>
      <c r="L2975" t="s">
        <v>21</v>
      </c>
      <c r="M2975" t="str">
        <f t="shared" si="138"/>
        <v>OK</v>
      </c>
      <c r="N2975" t="str">
        <f t="shared" si="139"/>
        <v>1980s</v>
      </c>
      <c r="O2975" t="str">
        <f t="shared" si="140"/>
        <v>Medium</v>
      </c>
      <c r="P2975" t="str">
        <f>VLOOKUP(E2975,calculated_fields!$F$4:$G$6,2,FALSE)</f>
        <v>Health</v>
      </c>
    </row>
    <row r="2976" spans="1:16">
      <c r="A2976" t="s">
        <v>4082</v>
      </c>
      <c r="B2976" t="s">
        <v>4052</v>
      </c>
      <c r="C2976" t="s">
        <v>229</v>
      </c>
      <c r="D2976">
        <v>1987</v>
      </c>
      <c r="E2976" t="s">
        <v>23</v>
      </c>
      <c r="F2976" t="s">
        <v>24</v>
      </c>
      <c r="G2976" t="s">
        <v>25</v>
      </c>
      <c r="H2976" t="s">
        <v>26</v>
      </c>
      <c r="I2976">
        <v>80122492</v>
      </c>
      <c r="J2976" t="s">
        <v>27</v>
      </c>
      <c r="K2976" t="s">
        <v>4081</v>
      </c>
      <c r="L2976" t="s">
        <v>21</v>
      </c>
      <c r="M2976" t="str">
        <f t="shared" si="138"/>
        <v>OK</v>
      </c>
      <c r="N2976" t="str">
        <f t="shared" si="139"/>
        <v>1980s</v>
      </c>
      <c r="O2976" t="str">
        <f t="shared" si="140"/>
        <v>N/A</v>
      </c>
      <c r="P2976" t="str">
        <f>VLOOKUP(E2976,calculated_fields!$F$4:$G$6,2,FALSE)</f>
        <v>Demographics</v>
      </c>
    </row>
    <row r="2977" spans="1:16">
      <c r="A2977" t="s">
        <v>4083</v>
      </c>
      <c r="B2977" t="s">
        <v>4052</v>
      </c>
      <c r="C2977" t="s">
        <v>229</v>
      </c>
      <c r="D2977">
        <v>1987</v>
      </c>
      <c r="E2977" t="s">
        <v>29</v>
      </c>
      <c r="F2977" t="s">
        <v>30</v>
      </c>
      <c r="G2977" t="s">
        <v>31</v>
      </c>
      <c r="H2977" t="s">
        <v>32</v>
      </c>
      <c r="I2977">
        <v>8688.1560030000001</v>
      </c>
      <c r="J2977" t="s">
        <v>33</v>
      </c>
      <c r="K2977" t="s">
        <v>4081</v>
      </c>
      <c r="L2977" t="s">
        <v>21</v>
      </c>
      <c r="M2977" t="str">
        <f t="shared" si="138"/>
        <v>OK</v>
      </c>
      <c r="N2977" t="str">
        <f t="shared" si="139"/>
        <v>1980s</v>
      </c>
      <c r="O2977" t="str">
        <f t="shared" si="140"/>
        <v>N/A</v>
      </c>
      <c r="P2977" t="str">
        <f>VLOOKUP(E2977,calculated_fields!$F$4:$G$6,2,FALSE)</f>
        <v>Economy</v>
      </c>
    </row>
    <row r="2978" spans="1:16">
      <c r="A2978" t="s">
        <v>4084</v>
      </c>
      <c r="B2978" t="s">
        <v>4052</v>
      </c>
      <c r="C2978" t="s">
        <v>229</v>
      </c>
      <c r="D2978">
        <v>1992</v>
      </c>
      <c r="E2978" t="s">
        <v>15</v>
      </c>
      <c r="F2978" t="s">
        <v>16</v>
      </c>
      <c r="G2978" t="s">
        <v>17</v>
      </c>
      <c r="H2978" t="s">
        <v>18</v>
      </c>
      <c r="I2978">
        <v>71.454999999999998</v>
      </c>
      <c r="J2978" t="s">
        <v>19</v>
      </c>
      <c r="K2978" t="s">
        <v>4085</v>
      </c>
      <c r="L2978" t="s">
        <v>21</v>
      </c>
      <c r="M2978" t="str">
        <f t="shared" si="138"/>
        <v>OK</v>
      </c>
      <c r="N2978" t="str">
        <f t="shared" si="139"/>
        <v>1990s</v>
      </c>
      <c r="O2978" t="str">
        <f t="shared" si="140"/>
        <v>High</v>
      </c>
      <c r="P2978" t="str">
        <f>VLOOKUP(E2978,calculated_fields!$F$4:$G$6,2,FALSE)</f>
        <v>Health</v>
      </c>
    </row>
    <row r="2979" spans="1:16">
      <c r="A2979" t="s">
        <v>4086</v>
      </c>
      <c r="B2979" t="s">
        <v>4052</v>
      </c>
      <c r="C2979" t="s">
        <v>229</v>
      </c>
      <c r="D2979">
        <v>1992</v>
      </c>
      <c r="E2979" t="s">
        <v>23</v>
      </c>
      <c r="F2979" t="s">
        <v>24</v>
      </c>
      <c r="G2979" t="s">
        <v>25</v>
      </c>
      <c r="H2979" t="s">
        <v>26</v>
      </c>
      <c r="I2979">
        <v>88111030</v>
      </c>
      <c r="J2979" t="s">
        <v>27</v>
      </c>
      <c r="K2979" t="s">
        <v>4085</v>
      </c>
      <c r="L2979" t="s">
        <v>21</v>
      </c>
      <c r="M2979" t="str">
        <f t="shared" si="138"/>
        <v>OK</v>
      </c>
      <c r="N2979" t="str">
        <f t="shared" si="139"/>
        <v>1990s</v>
      </c>
      <c r="O2979" t="str">
        <f t="shared" si="140"/>
        <v>N/A</v>
      </c>
      <c r="P2979" t="str">
        <f>VLOOKUP(E2979,calculated_fields!$F$4:$G$6,2,FALSE)</f>
        <v>Demographics</v>
      </c>
    </row>
    <row r="2980" spans="1:16">
      <c r="A2980" t="s">
        <v>4087</v>
      </c>
      <c r="B2980" t="s">
        <v>4052</v>
      </c>
      <c r="C2980" t="s">
        <v>229</v>
      </c>
      <c r="D2980">
        <v>1992</v>
      </c>
      <c r="E2980" t="s">
        <v>29</v>
      </c>
      <c r="F2980" t="s">
        <v>30</v>
      </c>
      <c r="G2980" t="s">
        <v>31</v>
      </c>
      <c r="H2980" t="s">
        <v>32</v>
      </c>
      <c r="I2980">
        <v>9472.3842949999998</v>
      </c>
      <c r="J2980" t="s">
        <v>33</v>
      </c>
      <c r="K2980" t="s">
        <v>4085</v>
      </c>
      <c r="L2980" t="s">
        <v>21</v>
      </c>
      <c r="M2980" t="str">
        <f t="shared" si="138"/>
        <v>OK</v>
      </c>
      <c r="N2980" t="str">
        <f t="shared" si="139"/>
        <v>1990s</v>
      </c>
      <c r="O2980" t="str">
        <f t="shared" si="140"/>
        <v>N/A</v>
      </c>
      <c r="P2980" t="str">
        <f>VLOOKUP(E2980,calculated_fields!$F$4:$G$6,2,FALSE)</f>
        <v>Economy</v>
      </c>
    </row>
    <row r="2981" spans="1:16">
      <c r="A2981" t="s">
        <v>4088</v>
      </c>
      <c r="B2981" t="s">
        <v>4052</v>
      </c>
      <c r="C2981" t="s">
        <v>229</v>
      </c>
      <c r="D2981">
        <v>1997</v>
      </c>
      <c r="E2981" t="s">
        <v>15</v>
      </c>
      <c r="F2981" t="s">
        <v>16</v>
      </c>
      <c r="G2981" t="s">
        <v>17</v>
      </c>
      <c r="H2981" t="s">
        <v>18</v>
      </c>
      <c r="I2981">
        <v>73.67</v>
      </c>
      <c r="J2981" t="s">
        <v>19</v>
      </c>
      <c r="K2981" t="s">
        <v>4089</v>
      </c>
      <c r="L2981" t="s">
        <v>21</v>
      </c>
      <c r="M2981" t="str">
        <f t="shared" si="138"/>
        <v>OK</v>
      </c>
      <c r="N2981" t="str">
        <f t="shared" si="139"/>
        <v>1990s</v>
      </c>
      <c r="O2981" t="str">
        <f t="shared" si="140"/>
        <v>High</v>
      </c>
      <c r="P2981" t="str">
        <f>VLOOKUP(E2981,calculated_fields!$F$4:$G$6,2,FALSE)</f>
        <v>Health</v>
      </c>
    </row>
    <row r="2982" spans="1:16">
      <c r="A2982" t="s">
        <v>4090</v>
      </c>
      <c r="B2982" t="s">
        <v>4052</v>
      </c>
      <c r="C2982" t="s">
        <v>229</v>
      </c>
      <c r="D2982">
        <v>1997</v>
      </c>
      <c r="E2982" t="s">
        <v>23</v>
      </c>
      <c r="F2982" t="s">
        <v>24</v>
      </c>
      <c r="G2982" t="s">
        <v>25</v>
      </c>
      <c r="H2982" t="s">
        <v>26</v>
      </c>
      <c r="I2982">
        <v>95895146</v>
      </c>
      <c r="J2982" t="s">
        <v>27</v>
      </c>
      <c r="K2982" t="s">
        <v>4089</v>
      </c>
      <c r="L2982" t="s">
        <v>21</v>
      </c>
      <c r="M2982" t="str">
        <f t="shared" si="138"/>
        <v>OK</v>
      </c>
      <c r="N2982" t="str">
        <f t="shared" si="139"/>
        <v>1990s</v>
      </c>
      <c r="O2982" t="str">
        <f t="shared" si="140"/>
        <v>N/A</v>
      </c>
      <c r="P2982" t="str">
        <f>VLOOKUP(E2982,calculated_fields!$F$4:$G$6,2,FALSE)</f>
        <v>Demographics</v>
      </c>
    </row>
    <row r="2983" spans="1:16">
      <c r="A2983" t="s">
        <v>4091</v>
      </c>
      <c r="B2983" t="s">
        <v>4052</v>
      </c>
      <c r="C2983" t="s">
        <v>229</v>
      </c>
      <c r="D2983">
        <v>1997</v>
      </c>
      <c r="E2983" t="s">
        <v>29</v>
      </c>
      <c r="F2983" t="s">
        <v>30</v>
      </c>
      <c r="G2983" t="s">
        <v>31</v>
      </c>
      <c r="H2983" t="s">
        <v>32</v>
      </c>
      <c r="I2983">
        <v>9767.2975299999998</v>
      </c>
      <c r="J2983" t="s">
        <v>33</v>
      </c>
      <c r="K2983" t="s">
        <v>4089</v>
      </c>
      <c r="L2983" t="s">
        <v>21</v>
      </c>
      <c r="M2983" t="str">
        <f t="shared" si="138"/>
        <v>OK</v>
      </c>
      <c r="N2983" t="str">
        <f t="shared" si="139"/>
        <v>1990s</v>
      </c>
      <c r="O2983" t="str">
        <f t="shared" si="140"/>
        <v>N/A</v>
      </c>
      <c r="P2983" t="str">
        <f>VLOOKUP(E2983,calculated_fields!$F$4:$G$6,2,FALSE)</f>
        <v>Economy</v>
      </c>
    </row>
    <row r="2984" spans="1:16">
      <c r="A2984" t="s">
        <v>4092</v>
      </c>
      <c r="B2984" t="s">
        <v>4052</v>
      </c>
      <c r="C2984" t="s">
        <v>229</v>
      </c>
      <c r="D2984">
        <v>2002</v>
      </c>
      <c r="E2984" t="s">
        <v>15</v>
      </c>
      <c r="F2984" t="s">
        <v>16</v>
      </c>
      <c r="G2984" t="s">
        <v>17</v>
      </c>
      <c r="H2984" t="s">
        <v>18</v>
      </c>
      <c r="I2984">
        <v>74.902000000000001</v>
      </c>
      <c r="J2984" t="s">
        <v>19</v>
      </c>
      <c r="K2984" t="s">
        <v>4093</v>
      </c>
      <c r="L2984" t="s">
        <v>21</v>
      </c>
      <c r="M2984" t="str">
        <f t="shared" si="138"/>
        <v>OK</v>
      </c>
      <c r="N2984" t="str">
        <f t="shared" si="139"/>
        <v>2000s</v>
      </c>
      <c r="O2984" t="str">
        <f t="shared" si="140"/>
        <v>High</v>
      </c>
      <c r="P2984" t="str">
        <f>VLOOKUP(E2984,calculated_fields!$F$4:$G$6,2,FALSE)</f>
        <v>Health</v>
      </c>
    </row>
    <row r="2985" spans="1:16">
      <c r="A2985" t="s">
        <v>4094</v>
      </c>
      <c r="B2985" t="s">
        <v>4052</v>
      </c>
      <c r="C2985" t="s">
        <v>229</v>
      </c>
      <c r="D2985">
        <v>2002</v>
      </c>
      <c r="E2985" t="s">
        <v>23</v>
      </c>
      <c r="F2985" t="s">
        <v>24</v>
      </c>
      <c r="G2985" t="s">
        <v>25</v>
      </c>
      <c r="H2985" t="s">
        <v>26</v>
      </c>
      <c r="I2985">
        <v>102479927</v>
      </c>
      <c r="J2985" t="s">
        <v>27</v>
      </c>
      <c r="K2985" t="s">
        <v>4093</v>
      </c>
      <c r="L2985" t="s">
        <v>21</v>
      </c>
      <c r="M2985" t="str">
        <f t="shared" si="138"/>
        <v>OK</v>
      </c>
      <c r="N2985" t="str">
        <f t="shared" si="139"/>
        <v>2000s</v>
      </c>
      <c r="O2985" t="str">
        <f t="shared" si="140"/>
        <v>N/A</v>
      </c>
      <c r="P2985" t="str">
        <f>VLOOKUP(E2985,calculated_fields!$F$4:$G$6,2,FALSE)</f>
        <v>Demographics</v>
      </c>
    </row>
    <row r="2986" spans="1:16">
      <c r="A2986" t="s">
        <v>4095</v>
      </c>
      <c r="B2986" t="s">
        <v>4052</v>
      </c>
      <c r="C2986" t="s">
        <v>229</v>
      </c>
      <c r="D2986">
        <v>2002</v>
      </c>
      <c r="E2986" t="s">
        <v>29</v>
      </c>
      <c r="F2986" t="s">
        <v>30</v>
      </c>
      <c r="G2986" t="s">
        <v>31</v>
      </c>
      <c r="H2986" t="s">
        <v>32</v>
      </c>
      <c r="I2986">
        <v>10742.44053</v>
      </c>
      <c r="J2986" t="s">
        <v>33</v>
      </c>
      <c r="K2986" t="s">
        <v>4093</v>
      </c>
      <c r="L2986" t="s">
        <v>21</v>
      </c>
      <c r="M2986" t="str">
        <f t="shared" si="138"/>
        <v>OK</v>
      </c>
      <c r="N2986" t="str">
        <f t="shared" si="139"/>
        <v>2000s</v>
      </c>
      <c r="O2986" t="str">
        <f t="shared" si="140"/>
        <v>N/A</v>
      </c>
      <c r="P2986" t="str">
        <f>VLOOKUP(E2986,calculated_fields!$F$4:$G$6,2,FALSE)</f>
        <v>Economy</v>
      </c>
    </row>
    <row r="2987" spans="1:16">
      <c r="A2987" t="s">
        <v>4096</v>
      </c>
      <c r="B2987" t="s">
        <v>4052</v>
      </c>
      <c r="C2987" t="s">
        <v>229</v>
      </c>
      <c r="D2987">
        <v>2007</v>
      </c>
      <c r="E2987" t="s">
        <v>15</v>
      </c>
      <c r="F2987" t="s">
        <v>16</v>
      </c>
      <c r="G2987" t="s">
        <v>17</v>
      </c>
      <c r="H2987" t="s">
        <v>18</v>
      </c>
      <c r="I2987">
        <v>76.194999999999993</v>
      </c>
      <c r="J2987" t="s">
        <v>19</v>
      </c>
      <c r="K2987" t="s">
        <v>4097</v>
      </c>
      <c r="L2987" t="s">
        <v>21</v>
      </c>
      <c r="M2987" t="str">
        <f t="shared" si="138"/>
        <v>OK</v>
      </c>
      <c r="N2987" t="str">
        <f t="shared" si="139"/>
        <v>2000s</v>
      </c>
      <c r="O2987" t="str">
        <f t="shared" si="140"/>
        <v>High</v>
      </c>
      <c r="P2987" t="str">
        <f>VLOOKUP(E2987,calculated_fields!$F$4:$G$6,2,FALSE)</f>
        <v>Health</v>
      </c>
    </row>
    <row r="2988" spans="1:16">
      <c r="A2988" t="s">
        <v>4098</v>
      </c>
      <c r="B2988" t="s">
        <v>4052</v>
      </c>
      <c r="C2988" t="s">
        <v>229</v>
      </c>
      <c r="D2988">
        <v>2007</v>
      </c>
      <c r="E2988" t="s">
        <v>23</v>
      </c>
      <c r="F2988" t="s">
        <v>24</v>
      </c>
      <c r="G2988" t="s">
        <v>25</v>
      </c>
      <c r="H2988" t="s">
        <v>26</v>
      </c>
      <c r="I2988">
        <v>108700891</v>
      </c>
      <c r="J2988" t="s">
        <v>27</v>
      </c>
      <c r="K2988" t="s">
        <v>4097</v>
      </c>
      <c r="L2988" t="s">
        <v>21</v>
      </c>
      <c r="M2988" t="str">
        <f t="shared" si="138"/>
        <v>OK</v>
      </c>
      <c r="N2988" t="str">
        <f t="shared" si="139"/>
        <v>2000s</v>
      </c>
      <c r="O2988" t="str">
        <f t="shared" si="140"/>
        <v>N/A</v>
      </c>
      <c r="P2988" t="str">
        <f>VLOOKUP(E2988,calculated_fields!$F$4:$G$6,2,FALSE)</f>
        <v>Demographics</v>
      </c>
    </row>
    <row r="2989" spans="1:16">
      <c r="A2989" t="s">
        <v>4099</v>
      </c>
      <c r="B2989" t="s">
        <v>4052</v>
      </c>
      <c r="C2989" t="s">
        <v>229</v>
      </c>
      <c r="D2989">
        <v>2007</v>
      </c>
      <c r="E2989" t="s">
        <v>29</v>
      </c>
      <c r="F2989" t="s">
        <v>30</v>
      </c>
      <c r="G2989" t="s">
        <v>31</v>
      </c>
      <c r="H2989" t="s">
        <v>32</v>
      </c>
      <c r="I2989">
        <v>11977.57496</v>
      </c>
      <c r="J2989" t="s">
        <v>33</v>
      </c>
      <c r="K2989" t="s">
        <v>4097</v>
      </c>
      <c r="L2989" t="s">
        <v>21</v>
      </c>
      <c r="M2989" t="str">
        <f t="shared" si="138"/>
        <v>OK</v>
      </c>
      <c r="N2989" t="str">
        <f t="shared" si="139"/>
        <v>2000s</v>
      </c>
      <c r="O2989" t="str">
        <f t="shared" si="140"/>
        <v>N/A</v>
      </c>
      <c r="P2989" t="str">
        <f>VLOOKUP(E2989,calculated_fields!$F$4:$G$6,2,FALSE)</f>
        <v>Economy</v>
      </c>
    </row>
    <row r="2990" spans="1:16">
      <c r="A2990" t="s">
        <v>4100</v>
      </c>
      <c r="B2990" t="s">
        <v>4101</v>
      </c>
      <c r="C2990" t="s">
        <v>14</v>
      </c>
      <c r="D2990">
        <v>1952</v>
      </c>
      <c r="E2990" t="s">
        <v>15</v>
      </c>
      <c r="F2990" t="s">
        <v>16</v>
      </c>
      <c r="G2990" t="s">
        <v>17</v>
      </c>
      <c r="H2990" t="s">
        <v>18</v>
      </c>
      <c r="I2990">
        <v>42.244</v>
      </c>
      <c r="J2990" t="s">
        <v>19</v>
      </c>
      <c r="K2990" t="s">
        <v>4102</v>
      </c>
      <c r="L2990" t="s">
        <v>21</v>
      </c>
      <c r="M2990" t="str">
        <f t="shared" si="138"/>
        <v>OK</v>
      </c>
      <c r="N2990" t="str">
        <f t="shared" si="139"/>
        <v>1950s</v>
      </c>
      <c r="O2990" t="str">
        <f t="shared" si="140"/>
        <v>Low</v>
      </c>
      <c r="P2990" t="str">
        <f>VLOOKUP(E2990,calculated_fields!$F$4:$G$6,2,FALSE)</f>
        <v>Health</v>
      </c>
    </row>
    <row r="2991" spans="1:16">
      <c r="A2991" t="s">
        <v>4103</v>
      </c>
      <c r="B2991" t="s">
        <v>4101</v>
      </c>
      <c r="C2991" t="s">
        <v>14</v>
      </c>
      <c r="D2991">
        <v>1952</v>
      </c>
      <c r="E2991" t="s">
        <v>23</v>
      </c>
      <c r="F2991" t="s">
        <v>24</v>
      </c>
      <c r="G2991" t="s">
        <v>25</v>
      </c>
      <c r="H2991" t="s">
        <v>26</v>
      </c>
      <c r="I2991">
        <v>800663</v>
      </c>
      <c r="J2991" t="s">
        <v>27</v>
      </c>
      <c r="K2991" t="s">
        <v>4102</v>
      </c>
      <c r="L2991" t="s">
        <v>21</v>
      </c>
      <c r="M2991" t="str">
        <f t="shared" si="138"/>
        <v>OK</v>
      </c>
      <c r="N2991" t="str">
        <f t="shared" si="139"/>
        <v>1950s</v>
      </c>
      <c r="O2991" t="str">
        <f t="shared" si="140"/>
        <v>N/A</v>
      </c>
      <c r="P2991" t="str">
        <f>VLOOKUP(E2991,calculated_fields!$F$4:$G$6,2,FALSE)</f>
        <v>Demographics</v>
      </c>
    </row>
    <row r="2992" spans="1:16">
      <c r="A2992" t="s">
        <v>4104</v>
      </c>
      <c r="B2992" t="s">
        <v>4101</v>
      </c>
      <c r="C2992" t="s">
        <v>14</v>
      </c>
      <c r="D2992">
        <v>1952</v>
      </c>
      <c r="E2992" t="s">
        <v>29</v>
      </c>
      <c r="F2992" t="s">
        <v>30</v>
      </c>
      <c r="G2992" t="s">
        <v>31</v>
      </c>
      <c r="H2992" t="s">
        <v>32</v>
      </c>
      <c r="I2992">
        <v>786.56685749999997</v>
      </c>
      <c r="J2992" t="s">
        <v>33</v>
      </c>
      <c r="K2992" t="s">
        <v>4102</v>
      </c>
      <c r="L2992" t="s">
        <v>21</v>
      </c>
      <c r="M2992" t="str">
        <f t="shared" si="138"/>
        <v>OK</v>
      </c>
      <c r="N2992" t="str">
        <f t="shared" si="139"/>
        <v>1950s</v>
      </c>
      <c r="O2992" t="str">
        <f t="shared" si="140"/>
        <v>N/A</v>
      </c>
      <c r="P2992" t="str">
        <f>VLOOKUP(E2992,calculated_fields!$F$4:$G$6,2,FALSE)</f>
        <v>Economy</v>
      </c>
    </row>
    <row r="2993" spans="1:16">
      <c r="A2993" t="s">
        <v>4105</v>
      </c>
      <c r="B2993" t="s">
        <v>4101</v>
      </c>
      <c r="C2993" t="s">
        <v>14</v>
      </c>
      <c r="D2993">
        <v>1957</v>
      </c>
      <c r="E2993" t="s">
        <v>15</v>
      </c>
      <c r="F2993" t="s">
        <v>16</v>
      </c>
      <c r="G2993" t="s">
        <v>17</v>
      </c>
      <c r="H2993" t="s">
        <v>18</v>
      </c>
      <c r="I2993">
        <v>45.247999999999998</v>
      </c>
      <c r="J2993" t="s">
        <v>19</v>
      </c>
      <c r="K2993" t="s">
        <v>4106</v>
      </c>
      <c r="L2993" t="s">
        <v>21</v>
      </c>
      <c r="M2993" t="str">
        <f t="shared" si="138"/>
        <v>OK</v>
      </c>
      <c r="N2993" t="str">
        <f t="shared" si="139"/>
        <v>1950s</v>
      </c>
      <c r="O2993" t="str">
        <f t="shared" si="140"/>
        <v>Low</v>
      </c>
      <c r="P2993" t="str">
        <f>VLOOKUP(E2993,calculated_fields!$F$4:$G$6,2,FALSE)</f>
        <v>Health</v>
      </c>
    </row>
    <row r="2994" spans="1:16">
      <c r="A2994" t="s">
        <v>4107</v>
      </c>
      <c r="B2994" t="s">
        <v>4101</v>
      </c>
      <c r="C2994" t="s">
        <v>14</v>
      </c>
      <c r="D2994">
        <v>1957</v>
      </c>
      <c r="E2994" t="s">
        <v>23</v>
      </c>
      <c r="F2994" t="s">
        <v>24</v>
      </c>
      <c r="G2994" t="s">
        <v>25</v>
      </c>
      <c r="H2994" t="s">
        <v>26</v>
      </c>
      <c r="I2994">
        <v>882134</v>
      </c>
      <c r="J2994" t="s">
        <v>27</v>
      </c>
      <c r="K2994" t="s">
        <v>4106</v>
      </c>
      <c r="L2994" t="s">
        <v>21</v>
      </c>
      <c r="M2994" t="str">
        <f t="shared" si="138"/>
        <v>OK</v>
      </c>
      <c r="N2994" t="str">
        <f t="shared" si="139"/>
        <v>1950s</v>
      </c>
      <c r="O2994" t="str">
        <f t="shared" si="140"/>
        <v>N/A</v>
      </c>
      <c r="P2994" t="str">
        <f>VLOOKUP(E2994,calculated_fields!$F$4:$G$6,2,FALSE)</f>
        <v>Demographics</v>
      </c>
    </row>
    <row r="2995" spans="1:16">
      <c r="A2995" t="s">
        <v>4108</v>
      </c>
      <c r="B2995" t="s">
        <v>4101</v>
      </c>
      <c r="C2995" t="s">
        <v>14</v>
      </c>
      <c r="D2995">
        <v>1957</v>
      </c>
      <c r="E2995" t="s">
        <v>29</v>
      </c>
      <c r="F2995" t="s">
        <v>30</v>
      </c>
      <c r="G2995" t="s">
        <v>31</v>
      </c>
      <c r="H2995" t="s">
        <v>32</v>
      </c>
      <c r="I2995">
        <v>912.66260850000003</v>
      </c>
      <c r="J2995" t="s">
        <v>33</v>
      </c>
      <c r="K2995" t="s">
        <v>4106</v>
      </c>
      <c r="L2995" t="s">
        <v>21</v>
      </c>
      <c r="M2995" t="str">
        <f t="shared" si="138"/>
        <v>OK</v>
      </c>
      <c r="N2995" t="str">
        <f t="shared" si="139"/>
        <v>1950s</v>
      </c>
      <c r="O2995" t="str">
        <f t="shared" si="140"/>
        <v>N/A</v>
      </c>
      <c r="P2995" t="str">
        <f>VLOOKUP(E2995,calculated_fields!$F$4:$G$6,2,FALSE)</f>
        <v>Economy</v>
      </c>
    </row>
    <row r="2996" spans="1:16">
      <c r="A2996" t="s">
        <v>4109</v>
      </c>
      <c r="B2996" t="s">
        <v>4101</v>
      </c>
      <c r="C2996" t="s">
        <v>14</v>
      </c>
      <c r="D2996">
        <v>1962</v>
      </c>
      <c r="E2996" t="s">
        <v>15</v>
      </c>
      <c r="F2996" t="s">
        <v>16</v>
      </c>
      <c r="G2996" t="s">
        <v>17</v>
      </c>
      <c r="H2996" t="s">
        <v>18</v>
      </c>
      <c r="I2996">
        <v>48.250999999999998</v>
      </c>
      <c r="J2996" t="s">
        <v>19</v>
      </c>
      <c r="K2996" t="s">
        <v>4110</v>
      </c>
      <c r="L2996" t="s">
        <v>21</v>
      </c>
      <c r="M2996" t="str">
        <f t="shared" si="138"/>
        <v>OK</v>
      </c>
      <c r="N2996" t="str">
        <f t="shared" si="139"/>
        <v>1960s</v>
      </c>
      <c r="O2996" t="str">
        <f t="shared" si="140"/>
        <v>Low</v>
      </c>
      <c r="P2996" t="str">
        <f>VLOOKUP(E2996,calculated_fields!$F$4:$G$6,2,FALSE)</f>
        <v>Health</v>
      </c>
    </row>
    <row r="2997" spans="1:16">
      <c r="A2997" t="s">
        <v>4111</v>
      </c>
      <c r="B2997" t="s">
        <v>4101</v>
      </c>
      <c r="C2997" t="s">
        <v>14</v>
      </c>
      <c r="D2997">
        <v>1962</v>
      </c>
      <c r="E2997" t="s">
        <v>23</v>
      </c>
      <c r="F2997" t="s">
        <v>24</v>
      </c>
      <c r="G2997" t="s">
        <v>25</v>
      </c>
      <c r="H2997" t="s">
        <v>26</v>
      </c>
      <c r="I2997">
        <v>1010280</v>
      </c>
      <c r="J2997" t="s">
        <v>27</v>
      </c>
      <c r="K2997" t="s">
        <v>4110</v>
      </c>
      <c r="L2997" t="s">
        <v>21</v>
      </c>
      <c r="M2997" t="str">
        <f t="shared" si="138"/>
        <v>OK</v>
      </c>
      <c r="N2997" t="str">
        <f t="shared" si="139"/>
        <v>1960s</v>
      </c>
      <c r="O2997" t="str">
        <f t="shared" si="140"/>
        <v>N/A</v>
      </c>
      <c r="P2997" t="str">
        <f>VLOOKUP(E2997,calculated_fields!$F$4:$G$6,2,FALSE)</f>
        <v>Demographics</v>
      </c>
    </row>
    <row r="2998" spans="1:16">
      <c r="A2998" t="s">
        <v>4112</v>
      </c>
      <c r="B2998" t="s">
        <v>4101</v>
      </c>
      <c r="C2998" t="s">
        <v>14</v>
      </c>
      <c r="D2998">
        <v>1962</v>
      </c>
      <c r="E2998" t="s">
        <v>29</v>
      </c>
      <c r="F2998" t="s">
        <v>30</v>
      </c>
      <c r="G2998" t="s">
        <v>31</v>
      </c>
      <c r="H2998" t="s">
        <v>32</v>
      </c>
      <c r="I2998">
        <v>1056.3539579999999</v>
      </c>
      <c r="J2998" t="s">
        <v>33</v>
      </c>
      <c r="K2998" t="s">
        <v>4110</v>
      </c>
      <c r="L2998" t="s">
        <v>21</v>
      </c>
      <c r="M2998" t="str">
        <f t="shared" si="138"/>
        <v>OK</v>
      </c>
      <c r="N2998" t="str">
        <f t="shared" si="139"/>
        <v>1960s</v>
      </c>
      <c r="O2998" t="str">
        <f t="shared" si="140"/>
        <v>N/A</v>
      </c>
      <c r="P2998" t="str">
        <f>VLOOKUP(E2998,calculated_fields!$F$4:$G$6,2,FALSE)</f>
        <v>Economy</v>
      </c>
    </row>
    <row r="2999" spans="1:16">
      <c r="A2999" t="s">
        <v>4113</v>
      </c>
      <c r="B2999" t="s">
        <v>4101</v>
      </c>
      <c r="C2999" t="s">
        <v>14</v>
      </c>
      <c r="D2999">
        <v>1967</v>
      </c>
      <c r="E2999" t="s">
        <v>15</v>
      </c>
      <c r="F2999" t="s">
        <v>16</v>
      </c>
      <c r="G2999" t="s">
        <v>17</v>
      </c>
      <c r="H2999" t="s">
        <v>18</v>
      </c>
      <c r="I2999">
        <v>51.253</v>
      </c>
      <c r="J2999" t="s">
        <v>19</v>
      </c>
      <c r="K2999" t="s">
        <v>4114</v>
      </c>
      <c r="L2999" t="s">
        <v>21</v>
      </c>
      <c r="M2999" t="str">
        <f t="shared" si="138"/>
        <v>OK</v>
      </c>
      <c r="N2999" t="str">
        <f t="shared" si="139"/>
        <v>1960s</v>
      </c>
      <c r="O2999" t="str">
        <f t="shared" si="140"/>
        <v>Low</v>
      </c>
      <c r="P2999" t="str">
        <f>VLOOKUP(E2999,calculated_fields!$F$4:$G$6,2,FALSE)</f>
        <v>Health</v>
      </c>
    </row>
    <row r="3000" spans="1:16">
      <c r="A3000" t="s">
        <v>4115</v>
      </c>
      <c r="B3000" t="s">
        <v>4101</v>
      </c>
      <c r="C3000" t="s">
        <v>14</v>
      </c>
      <c r="D3000">
        <v>1967</v>
      </c>
      <c r="E3000" t="s">
        <v>23</v>
      </c>
      <c r="F3000" t="s">
        <v>24</v>
      </c>
      <c r="G3000" t="s">
        <v>25</v>
      </c>
      <c r="H3000" t="s">
        <v>26</v>
      </c>
      <c r="I3000">
        <v>1149500</v>
      </c>
      <c r="J3000" t="s">
        <v>27</v>
      </c>
      <c r="K3000" t="s">
        <v>4114</v>
      </c>
      <c r="L3000" t="s">
        <v>21</v>
      </c>
      <c r="M3000" t="str">
        <f t="shared" si="138"/>
        <v>OK</v>
      </c>
      <c r="N3000" t="str">
        <f t="shared" si="139"/>
        <v>1960s</v>
      </c>
      <c r="O3000" t="str">
        <f t="shared" si="140"/>
        <v>N/A</v>
      </c>
      <c r="P3000" t="str">
        <f>VLOOKUP(E3000,calculated_fields!$F$4:$G$6,2,FALSE)</f>
        <v>Demographics</v>
      </c>
    </row>
    <row r="3001" spans="1:16">
      <c r="A3001" t="s">
        <v>4116</v>
      </c>
      <c r="B3001" t="s">
        <v>4101</v>
      </c>
      <c r="C3001" t="s">
        <v>14</v>
      </c>
      <c r="D3001">
        <v>1967</v>
      </c>
      <c r="E3001" t="s">
        <v>29</v>
      </c>
      <c r="F3001" t="s">
        <v>30</v>
      </c>
      <c r="G3001" t="s">
        <v>31</v>
      </c>
      <c r="H3001" t="s">
        <v>32</v>
      </c>
      <c r="I3001">
        <v>1226.0411300000001</v>
      </c>
      <c r="J3001" t="s">
        <v>33</v>
      </c>
      <c r="K3001" t="s">
        <v>4114</v>
      </c>
      <c r="L3001" t="s">
        <v>21</v>
      </c>
      <c r="M3001" t="str">
        <f t="shared" si="138"/>
        <v>OK</v>
      </c>
      <c r="N3001" t="str">
        <f t="shared" si="139"/>
        <v>1960s</v>
      </c>
      <c r="O3001" t="str">
        <f t="shared" si="140"/>
        <v>N/A</v>
      </c>
      <c r="P3001" t="str">
        <f>VLOOKUP(E3001,calculated_fields!$F$4:$G$6,2,FALSE)</f>
        <v>Economy</v>
      </c>
    </row>
    <row r="3002" spans="1:16">
      <c r="A3002" t="s">
        <v>4117</v>
      </c>
      <c r="B3002" t="s">
        <v>4101</v>
      </c>
      <c r="C3002" t="s">
        <v>14</v>
      </c>
      <c r="D3002">
        <v>1972</v>
      </c>
      <c r="E3002" t="s">
        <v>15</v>
      </c>
      <c r="F3002" t="s">
        <v>16</v>
      </c>
      <c r="G3002" t="s">
        <v>17</v>
      </c>
      <c r="H3002" t="s">
        <v>18</v>
      </c>
      <c r="I3002">
        <v>53.753999999999998</v>
      </c>
      <c r="J3002" t="s">
        <v>19</v>
      </c>
      <c r="K3002" t="s">
        <v>4118</v>
      </c>
      <c r="L3002" t="s">
        <v>21</v>
      </c>
      <c r="M3002" t="str">
        <f t="shared" si="138"/>
        <v>OK</v>
      </c>
      <c r="N3002" t="str">
        <f t="shared" si="139"/>
        <v>1970s</v>
      </c>
      <c r="O3002" t="str">
        <f t="shared" si="140"/>
        <v>Low</v>
      </c>
      <c r="P3002" t="str">
        <f>VLOOKUP(E3002,calculated_fields!$F$4:$G$6,2,FALSE)</f>
        <v>Health</v>
      </c>
    </row>
    <row r="3003" spans="1:16">
      <c r="A3003" t="s">
        <v>4119</v>
      </c>
      <c r="B3003" t="s">
        <v>4101</v>
      </c>
      <c r="C3003" t="s">
        <v>14</v>
      </c>
      <c r="D3003">
        <v>1972</v>
      </c>
      <c r="E3003" t="s">
        <v>23</v>
      </c>
      <c r="F3003" t="s">
        <v>24</v>
      </c>
      <c r="G3003" t="s">
        <v>25</v>
      </c>
      <c r="H3003" t="s">
        <v>26</v>
      </c>
      <c r="I3003">
        <v>1320500</v>
      </c>
      <c r="J3003" t="s">
        <v>27</v>
      </c>
      <c r="K3003" t="s">
        <v>4118</v>
      </c>
      <c r="L3003" t="s">
        <v>21</v>
      </c>
      <c r="M3003" t="str">
        <f t="shared" si="138"/>
        <v>OK</v>
      </c>
      <c r="N3003" t="str">
        <f t="shared" si="139"/>
        <v>1970s</v>
      </c>
      <c r="O3003" t="str">
        <f t="shared" si="140"/>
        <v>N/A</v>
      </c>
      <c r="P3003" t="str">
        <f>VLOOKUP(E3003,calculated_fields!$F$4:$G$6,2,FALSE)</f>
        <v>Demographics</v>
      </c>
    </row>
    <row r="3004" spans="1:16">
      <c r="A3004" t="s">
        <v>4120</v>
      </c>
      <c r="B3004" t="s">
        <v>4101</v>
      </c>
      <c r="C3004" t="s">
        <v>14</v>
      </c>
      <c r="D3004">
        <v>1972</v>
      </c>
      <c r="E3004" t="s">
        <v>29</v>
      </c>
      <c r="F3004" t="s">
        <v>30</v>
      </c>
      <c r="G3004" t="s">
        <v>31</v>
      </c>
      <c r="H3004" t="s">
        <v>32</v>
      </c>
      <c r="I3004">
        <v>1421.7419749999999</v>
      </c>
      <c r="J3004" t="s">
        <v>33</v>
      </c>
      <c r="K3004" t="s">
        <v>4118</v>
      </c>
      <c r="L3004" t="s">
        <v>21</v>
      </c>
      <c r="M3004" t="str">
        <f t="shared" si="138"/>
        <v>OK</v>
      </c>
      <c r="N3004" t="str">
        <f t="shared" si="139"/>
        <v>1970s</v>
      </c>
      <c r="O3004" t="str">
        <f t="shared" si="140"/>
        <v>N/A</v>
      </c>
      <c r="P3004" t="str">
        <f>VLOOKUP(E3004,calculated_fields!$F$4:$G$6,2,FALSE)</f>
        <v>Economy</v>
      </c>
    </row>
    <row r="3005" spans="1:16">
      <c r="A3005" t="s">
        <v>4121</v>
      </c>
      <c r="B3005" t="s">
        <v>4101</v>
      </c>
      <c r="C3005" t="s">
        <v>14</v>
      </c>
      <c r="D3005">
        <v>1977</v>
      </c>
      <c r="E3005" t="s">
        <v>15</v>
      </c>
      <c r="F3005" t="s">
        <v>16</v>
      </c>
      <c r="G3005" t="s">
        <v>17</v>
      </c>
      <c r="H3005" t="s">
        <v>18</v>
      </c>
      <c r="I3005">
        <v>55.491</v>
      </c>
      <c r="J3005" t="s">
        <v>19</v>
      </c>
      <c r="K3005" t="s">
        <v>4122</v>
      </c>
      <c r="L3005" t="s">
        <v>21</v>
      </c>
      <c r="M3005" t="str">
        <f t="shared" si="138"/>
        <v>OK</v>
      </c>
      <c r="N3005" t="str">
        <f t="shared" si="139"/>
        <v>1970s</v>
      </c>
      <c r="O3005" t="str">
        <f t="shared" si="140"/>
        <v>Medium</v>
      </c>
      <c r="P3005" t="str">
        <f>VLOOKUP(E3005,calculated_fields!$F$4:$G$6,2,FALSE)</f>
        <v>Health</v>
      </c>
    </row>
    <row r="3006" spans="1:16">
      <c r="A3006" t="s">
        <v>4123</v>
      </c>
      <c r="B3006" t="s">
        <v>4101</v>
      </c>
      <c r="C3006" t="s">
        <v>14</v>
      </c>
      <c r="D3006">
        <v>1977</v>
      </c>
      <c r="E3006" t="s">
        <v>23</v>
      </c>
      <c r="F3006" t="s">
        <v>24</v>
      </c>
      <c r="G3006" t="s">
        <v>25</v>
      </c>
      <c r="H3006" t="s">
        <v>26</v>
      </c>
      <c r="I3006">
        <v>1528000</v>
      </c>
      <c r="J3006" t="s">
        <v>27</v>
      </c>
      <c r="K3006" t="s">
        <v>4122</v>
      </c>
      <c r="L3006" t="s">
        <v>21</v>
      </c>
      <c r="M3006" t="str">
        <f t="shared" si="138"/>
        <v>OK</v>
      </c>
      <c r="N3006" t="str">
        <f t="shared" si="139"/>
        <v>1970s</v>
      </c>
      <c r="O3006" t="str">
        <f t="shared" si="140"/>
        <v>N/A</v>
      </c>
      <c r="P3006" t="str">
        <f>VLOOKUP(E3006,calculated_fields!$F$4:$G$6,2,FALSE)</f>
        <v>Demographics</v>
      </c>
    </row>
    <row r="3007" spans="1:16">
      <c r="A3007" t="s">
        <v>4124</v>
      </c>
      <c r="B3007" t="s">
        <v>4101</v>
      </c>
      <c r="C3007" t="s">
        <v>14</v>
      </c>
      <c r="D3007">
        <v>1977</v>
      </c>
      <c r="E3007" t="s">
        <v>29</v>
      </c>
      <c r="F3007" t="s">
        <v>30</v>
      </c>
      <c r="G3007" t="s">
        <v>31</v>
      </c>
      <c r="H3007" t="s">
        <v>32</v>
      </c>
      <c r="I3007">
        <v>1647.511665</v>
      </c>
      <c r="J3007" t="s">
        <v>33</v>
      </c>
      <c r="K3007" t="s">
        <v>4122</v>
      </c>
      <c r="L3007" t="s">
        <v>21</v>
      </c>
      <c r="M3007" t="str">
        <f t="shared" si="138"/>
        <v>OK</v>
      </c>
      <c r="N3007" t="str">
        <f t="shared" si="139"/>
        <v>1970s</v>
      </c>
      <c r="O3007" t="str">
        <f t="shared" si="140"/>
        <v>N/A</v>
      </c>
      <c r="P3007" t="str">
        <f>VLOOKUP(E3007,calculated_fields!$F$4:$G$6,2,FALSE)</f>
        <v>Economy</v>
      </c>
    </row>
    <row r="3008" spans="1:16">
      <c r="A3008" t="s">
        <v>4125</v>
      </c>
      <c r="B3008" t="s">
        <v>4101</v>
      </c>
      <c r="C3008" t="s">
        <v>14</v>
      </c>
      <c r="D3008">
        <v>1982</v>
      </c>
      <c r="E3008" t="s">
        <v>15</v>
      </c>
      <c r="F3008" t="s">
        <v>16</v>
      </c>
      <c r="G3008" t="s">
        <v>17</v>
      </c>
      <c r="H3008" t="s">
        <v>18</v>
      </c>
      <c r="I3008">
        <v>57.488999999999997</v>
      </c>
      <c r="J3008" t="s">
        <v>19</v>
      </c>
      <c r="K3008" t="s">
        <v>4126</v>
      </c>
      <c r="L3008" t="s">
        <v>21</v>
      </c>
      <c r="M3008" t="str">
        <f t="shared" si="138"/>
        <v>OK</v>
      </c>
      <c r="N3008" t="str">
        <f t="shared" si="139"/>
        <v>1980s</v>
      </c>
      <c r="O3008" t="str">
        <f t="shared" si="140"/>
        <v>Medium</v>
      </c>
      <c r="P3008" t="str">
        <f>VLOOKUP(E3008,calculated_fields!$F$4:$G$6,2,FALSE)</f>
        <v>Health</v>
      </c>
    </row>
    <row r="3009" spans="1:16">
      <c r="A3009" t="s">
        <v>4127</v>
      </c>
      <c r="B3009" t="s">
        <v>4101</v>
      </c>
      <c r="C3009" t="s">
        <v>14</v>
      </c>
      <c r="D3009">
        <v>1982</v>
      </c>
      <c r="E3009" t="s">
        <v>23</v>
      </c>
      <c r="F3009" t="s">
        <v>24</v>
      </c>
      <c r="G3009" t="s">
        <v>25</v>
      </c>
      <c r="H3009" t="s">
        <v>26</v>
      </c>
      <c r="I3009">
        <v>1756032</v>
      </c>
      <c r="J3009" t="s">
        <v>27</v>
      </c>
      <c r="K3009" t="s">
        <v>4126</v>
      </c>
      <c r="L3009" t="s">
        <v>21</v>
      </c>
      <c r="M3009" t="str">
        <f t="shared" si="138"/>
        <v>OK</v>
      </c>
      <c r="N3009" t="str">
        <f t="shared" si="139"/>
        <v>1980s</v>
      </c>
      <c r="O3009" t="str">
        <f t="shared" si="140"/>
        <v>N/A</v>
      </c>
      <c r="P3009" t="str">
        <f>VLOOKUP(E3009,calculated_fields!$F$4:$G$6,2,FALSE)</f>
        <v>Demographics</v>
      </c>
    </row>
    <row r="3010" spans="1:16">
      <c r="A3010" t="s">
        <v>4128</v>
      </c>
      <c r="B3010" t="s">
        <v>4101</v>
      </c>
      <c r="C3010" t="s">
        <v>14</v>
      </c>
      <c r="D3010">
        <v>1982</v>
      </c>
      <c r="E3010" t="s">
        <v>29</v>
      </c>
      <c r="F3010" t="s">
        <v>30</v>
      </c>
      <c r="G3010" t="s">
        <v>31</v>
      </c>
      <c r="H3010" t="s">
        <v>32</v>
      </c>
      <c r="I3010">
        <v>2000.6031390000001</v>
      </c>
      <c r="J3010" t="s">
        <v>33</v>
      </c>
      <c r="K3010" t="s">
        <v>4126</v>
      </c>
      <c r="L3010" t="s">
        <v>21</v>
      </c>
      <c r="M3010" t="str">
        <f t="shared" ref="M3010:M3073" si="141">IF(AND(ISNUMBER(I3010),I3010&gt;=0),"OK","Review")</f>
        <v>OK</v>
      </c>
      <c r="N3010" t="str">
        <f t="shared" ref="N3010:N3073" si="142">FLOOR(D3010,10)&amp;"s"</f>
        <v>1980s</v>
      </c>
      <c r="O3010" t="str">
        <f t="shared" ref="O3010:O3073" si="143">IF(E3010="LIFE_EXP",IF(I3010&gt;=70,"High",IF(I3010&gt;=55,"Medium","Low")),"N/A")</f>
        <v>N/A</v>
      </c>
      <c r="P3010" t="str">
        <f>VLOOKUP(E3010,calculated_fields!$F$4:$G$6,2,FALSE)</f>
        <v>Economy</v>
      </c>
    </row>
    <row r="3011" spans="1:16">
      <c r="A3011" t="s">
        <v>4129</v>
      </c>
      <c r="B3011" t="s">
        <v>4101</v>
      </c>
      <c r="C3011" t="s">
        <v>14</v>
      </c>
      <c r="D3011">
        <v>1987</v>
      </c>
      <c r="E3011" t="s">
        <v>15</v>
      </c>
      <c r="F3011" t="s">
        <v>16</v>
      </c>
      <c r="G3011" t="s">
        <v>17</v>
      </c>
      <c r="H3011" t="s">
        <v>18</v>
      </c>
      <c r="I3011">
        <v>60.222000000000001</v>
      </c>
      <c r="J3011" t="s">
        <v>19</v>
      </c>
      <c r="K3011" t="s">
        <v>4130</v>
      </c>
      <c r="L3011" t="s">
        <v>21</v>
      </c>
      <c r="M3011" t="str">
        <f t="shared" si="141"/>
        <v>OK</v>
      </c>
      <c r="N3011" t="str">
        <f t="shared" si="142"/>
        <v>1980s</v>
      </c>
      <c r="O3011" t="str">
        <f t="shared" si="143"/>
        <v>Medium</v>
      </c>
      <c r="P3011" t="str">
        <f>VLOOKUP(E3011,calculated_fields!$F$4:$G$6,2,FALSE)</f>
        <v>Health</v>
      </c>
    </row>
    <row r="3012" spans="1:16">
      <c r="A3012" t="s">
        <v>4131</v>
      </c>
      <c r="B3012" t="s">
        <v>4101</v>
      </c>
      <c r="C3012" t="s">
        <v>14</v>
      </c>
      <c r="D3012">
        <v>1987</v>
      </c>
      <c r="E3012" t="s">
        <v>23</v>
      </c>
      <c r="F3012" t="s">
        <v>24</v>
      </c>
      <c r="G3012" t="s">
        <v>25</v>
      </c>
      <c r="H3012" t="s">
        <v>26</v>
      </c>
      <c r="I3012">
        <v>2015133</v>
      </c>
      <c r="J3012" t="s">
        <v>27</v>
      </c>
      <c r="K3012" t="s">
        <v>4130</v>
      </c>
      <c r="L3012" t="s">
        <v>21</v>
      </c>
      <c r="M3012" t="str">
        <f t="shared" si="141"/>
        <v>OK</v>
      </c>
      <c r="N3012" t="str">
        <f t="shared" si="142"/>
        <v>1980s</v>
      </c>
      <c r="O3012" t="str">
        <f t="shared" si="143"/>
        <v>N/A</v>
      </c>
      <c r="P3012" t="str">
        <f>VLOOKUP(E3012,calculated_fields!$F$4:$G$6,2,FALSE)</f>
        <v>Demographics</v>
      </c>
    </row>
    <row r="3013" spans="1:16">
      <c r="A3013" t="s">
        <v>4132</v>
      </c>
      <c r="B3013" t="s">
        <v>4101</v>
      </c>
      <c r="C3013" t="s">
        <v>14</v>
      </c>
      <c r="D3013">
        <v>1987</v>
      </c>
      <c r="E3013" t="s">
        <v>29</v>
      </c>
      <c r="F3013" t="s">
        <v>30</v>
      </c>
      <c r="G3013" t="s">
        <v>31</v>
      </c>
      <c r="H3013" t="s">
        <v>32</v>
      </c>
      <c r="I3013">
        <v>2338.008304</v>
      </c>
      <c r="J3013" t="s">
        <v>33</v>
      </c>
      <c r="K3013" t="s">
        <v>4130</v>
      </c>
      <c r="L3013" t="s">
        <v>21</v>
      </c>
      <c r="M3013" t="str">
        <f t="shared" si="141"/>
        <v>OK</v>
      </c>
      <c r="N3013" t="str">
        <f t="shared" si="142"/>
        <v>1980s</v>
      </c>
      <c r="O3013" t="str">
        <f t="shared" si="143"/>
        <v>N/A</v>
      </c>
      <c r="P3013" t="str">
        <f>VLOOKUP(E3013,calculated_fields!$F$4:$G$6,2,FALSE)</f>
        <v>Economy</v>
      </c>
    </row>
    <row r="3014" spans="1:16">
      <c r="A3014" t="s">
        <v>4133</v>
      </c>
      <c r="B3014" t="s">
        <v>4101</v>
      </c>
      <c r="C3014" t="s">
        <v>14</v>
      </c>
      <c r="D3014">
        <v>1992</v>
      </c>
      <c r="E3014" t="s">
        <v>15</v>
      </c>
      <c r="F3014" t="s">
        <v>16</v>
      </c>
      <c r="G3014" t="s">
        <v>17</v>
      </c>
      <c r="H3014" t="s">
        <v>18</v>
      </c>
      <c r="I3014">
        <v>61.271000000000001</v>
      </c>
      <c r="J3014" t="s">
        <v>19</v>
      </c>
      <c r="K3014" t="s">
        <v>4134</v>
      </c>
      <c r="L3014" t="s">
        <v>21</v>
      </c>
      <c r="M3014" t="str">
        <f t="shared" si="141"/>
        <v>OK</v>
      </c>
      <c r="N3014" t="str">
        <f t="shared" si="142"/>
        <v>1990s</v>
      </c>
      <c r="O3014" t="str">
        <f t="shared" si="143"/>
        <v>Medium</v>
      </c>
      <c r="P3014" t="str">
        <f>VLOOKUP(E3014,calculated_fields!$F$4:$G$6,2,FALSE)</f>
        <v>Health</v>
      </c>
    </row>
    <row r="3015" spans="1:16">
      <c r="A3015" t="s">
        <v>4135</v>
      </c>
      <c r="B3015" t="s">
        <v>4101</v>
      </c>
      <c r="C3015" t="s">
        <v>14</v>
      </c>
      <c r="D3015">
        <v>1992</v>
      </c>
      <c r="E3015" t="s">
        <v>23</v>
      </c>
      <c r="F3015" t="s">
        <v>24</v>
      </c>
      <c r="G3015" t="s">
        <v>25</v>
      </c>
      <c r="H3015" t="s">
        <v>26</v>
      </c>
      <c r="I3015">
        <v>2312802</v>
      </c>
      <c r="J3015" t="s">
        <v>27</v>
      </c>
      <c r="K3015" t="s">
        <v>4134</v>
      </c>
      <c r="L3015" t="s">
        <v>21</v>
      </c>
      <c r="M3015" t="str">
        <f t="shared" si="141"/>
        <v>OK</v>
      </c>
      <c r="N3015" t="str">
        <f t="shared" si="142"/>
        <v>1990s</v>
      </c>
      <c r="O3015" t="str">
        <f t="shared" si="143"/>
        <v>N/A</v>
      </c>
      <c r="P3015" t="str">
        <f>VLOOKUP(E3015,calculated_fields!$F$4:$G$6,2,FALSE)</f>
        <v>Demographics</v>
      </c>
    </row>
    <row r="3016" spans="1:16">
      <c r="A3016" t="s">
        <v>4136</v>
      </c>
      <c r="B3016" t="s">
        <v>4101</v>
      </c>
      <c r="C3016" t="s">
        <v>14</v>
      </c>
      <c r="D3016">
        <v>1992</v>
      </c>
      <c r="E3016" t="s">
        <v>29</v>
      </c>
      <c r="F3016" t="s">
        <v>30</v>
      </c>
      <c r="G3016" t="s">
        <v>31</v>
      </c>
      <c r="H3016" t="s">
        <v>32</v>
      </c>
      <c r="I3016">
        <v>1785.402016</v>
      </c>
      <c r="J3016" t="s">
        <v>33</v>
      </c>
      <c r="K3016" t="s">
        <v>4134</v>
      </c>
      <c r="L3016" t="s">
        <v>21</v>
      </c>
      <c r="M3016" t="str">
        <f t="shared" si="141"/>
        <v>OK</v>
      </c>
      <c r="N3016" t="str">
        <f t="shared" si="142"/>
        <v>1990s</v>
      </c>
      <c r="O3016" t="str">
        <f t="shared" si="143"/>
        <v>N/A</v>
      </c>
      <c r="P3016" t="str">
        <f>VLOOKUP(E3016,calculated_fields!$F$4:$G$6,2,FALSE)</f>
        <v>Economy</v>
      </c>
    </row>
    <row r="3017" spans="1:16">
      <c r="A3017" t="s">
        <v>4137</v>
      </c>
      <c r="B3017" t="s">
        <v>4101</v>
      </c>
      <c r="C3017" t="s">
        <v>14</v>
      </c>
      <c r="D3017">
        <v>1997</v>
      </c>
      <c r="E3017" t="s">
        <v>15</v>
      </c>
      <c r="F3017" t="s">
        <v>16</v>
      </c>
      <c r="G3017" t="s">
        <v>17</v>
      </c>
      <c r="H3017" t="s">
        <v>18</v>
      </c>
      <c r="I3017">
        <v>63.625</v>
      </c>
      <c r="J3017" t="s">
        <v>19</v>
      </c>
      <c r="K3017" t="s">
        <v>4138</v>
      </c>
      <c r="L3017" t="s">
        <v>21</v>
      </c>
      <c r="M3017" t="str">
        <f t="shared" si="141"/>
        <v>OK</v>
      </c>
      <c r="N3017" t="str">
        <f t="shared" si="142"/>
        <v>1990s</v>
      </c>
      <c r="O3017" t="str">
        <f t="shared" si="143"/>
        <v>Medium</v>
      </c>
      <c r="P3017" t="str">
        <f>VLOOKUP(E3017,calculated_fields!$F$4:$G$6,2,FALSE)</f>
        <v>Health</v>
      </c>
    </row>
    <row r="3018" spans="1:16">
      <c r="A3018" t="s">
        <v>4139</v>
      </c>
      <c r="B3018" t="s">
        <v>4101</v>
      </c>
      <c r="C3018" t="s">
        <v>14</v>
      </c>
      <c r="D3018">
        <v>1997</v>
      </c>
      <c r="E3018" t="s">
        <v>23</v>
      </c>
      <c r="F3018" t="s">
        <v>24</v>
      </c>
      <c r="G3018" t="s">
        <v>25</v>
      </c>
      <c r="H3018" t="s">
        <v>26</v>
      </c>
      <c r="I3018">
        <v>2494803</v>
      </c>
      <c r="J3018" t="s">
        <v>27</v>
      </c>
      <c r="K3018" t="s">
        <v>4138</v>
      </c>
      <c r="L3018" t="s">
        <v>21</v>
      </c>
      <c r="M3018" t="str">
        <f t="shared" si="141"/>
        <v>OK</v>
      </c>
      <c r="N3018" t="str">
        <f t="shared" si="142"/>
        <v>1990s</v>
      </c>
      <c r="O3018" t="str">
        <f t="shared" si="143"/>
        <v>N/A</v>
      </c>
      <c r="P3018" t="str">
        <f>VLOOKUP(E3018,calculated_fields!$F$4:$G$6,2,FALSE)</f>
        <v>Demographics</v>
      </c>
    </row>
    <row r="3019" spans="1:16">
      <c r="A3019" t="s">
        <v>4140</v>
      </c>
      <c r="B3019" t="s">
        <v>4101</v>
      </c>
      <c r="C3019" t="s">
        <v>14</v>
      </c>
      <c r="D3019">
        <v>1997</v>
      </c>
      <c r="E3019" t="s">
        <v>29</v>
      </c>
      <c r="F3019" t="s">
        <v>30</v>
      </c>
      <c r="G3019" t="s">
        <v>31</v>
      </c>
      <c r="H3019" t="s">
        <v>32</v>
      </c>
      <c r="I3019">
        <v>1902.2520999999999</v>
      </c>
      <c r="J3019" t="s">
        <v>33</v>
      </c>
      <c r="K3019" t="s">
        <v>4138</v>
      </c>
      <c r="L3019" t="s">
        <v>21</v>
      </c>
      <c r="M3019" t="str">
        <f t="shared" si="141"/>
        <v>OK</v>
      </c>
      <c r="N3019" t="str">
        <f t="shared" si="142"/>
        <v>1990s</v>
      </c>
      <c r="O3019" t="str">
        <f t="shared" si="143"/>
        <v>N/A</v>
      </c>
      <c r="P3019" t="str">
        <f>VLOOKUP(E3019,calculated_fields!$F$4:$G$6,2,FALSE)</f>
        <v>Economy</v>
      </c>
    </row>
    <row r="3020" spans="1:16">
      <c r="A3020" t="s">
        <v>4141</v>
      </c>
      <c r="B3020" t="s">
        <v>4101</v>
      </c>
      <c r="C3020" t="s">
        <v>14</v>
      </c>
      <c r="D3020">
        <v>2002</v>
      </c>
      <c r="E3020" t="s">
        <v>15</v>
      </c>
      <c r="F3020" t="s">
        <v>16</v>
      </c>
      <c r="G3020" t="s">
        <v>17</v>
      </c>
      <c r="H3020" t="s">
        <v>18</v>
      </c>
      <c r="I3020">
        <v>65.033000000000001</v>
      </c>
      <c r="J3020" t="s">
        <v>19</v>
      </c>
      <c r="K3020" t="s">
        <v>4142</v>
      </c>
      <c r="L3020" t="s">
        <v>21</v>
      </c>
      <c r="M3020" t="str">
        <f t="shared" si="141"/>
        <v>OK</v>
      </c>
      <c r="N3020" t="str">
        <f t="shared" si="142"/>
        <v>2000s</v>
      </c>
      <c r="O3020" t="str">
        <f t="shared" si="143"/>
        <v>Medium</v>
      </c>
      <c r="P3020" t="str">
        <f>VLOOKUP(E3020,calculated_fields!$F$4:$G$6,2,FALSE)</f>
        <v>Health</v>
      </c>
    </row>
    <row r="3021" spans="1:16">
      <c r="A3021" t="s">
        <v>4143</v>
      </c>
      <c r="B3021" t="s">
        <v>4101</v>
      </c>
      <c r="C3021" t="s">
        <v>14</v>
      </c>
      <c r="D3021">
        <v>2002</v>
      </c>
      <c r="E3021" t="s">
        <v>23</v>
      </c>
      <c r="F3021" t="s">
        <v>24</v>
      </c>
      <c r="G3021" t="s">
        <v>25</v>
      </c>
      <c r="H3021" t="s">
        <v>26</v>
      </c>
      <c r="I3021">
        <v>2674234</v>
      </c>
      <c r="J3021" t="s">
        <v>27</v>
      </c>
      <c r="K3021" t="s">
        <v>4142</v>
      </c>
      <c r="L3021" t="s">
        <v>21</v>
      </c>
      <c r="M3021" t="str">
        <f t="shared" si="141"/>
        <v>OK</v>
      </c>
      <c r="N3021" t="str">
        <f t="shared" si="142"/>
        <v>2000s</v>
      </c>
      <c r="O3021" t="str">
        <f t="shared" si="143"/>
        <v>N/A</v>
      </c>
      <c r="P3021" t="str">
        <f>VLOOKUP(E3021,calculated_fields!$F$4:$G$6,2,FALSE)</f>
        <v>Demographics</v>
      </c>
    </row>
    <row r="3022" spans="1:16">
      <c r="A3022" t="s">
        <v>4144</v>
      </c>
      <c r="B3022" t="s">
        <v>4101</v>
      </c>
      <c r="C3022" t="s">
        <v>14</v>
      </c>
      <c r="D3022">
        <v>2002</v>
      </c>
      <c r="E3022" t="s">
        <v>29</v>
      </c>
      <c r="F3022" t="s">
        <v>30</v>
      </c>
      <c r="G3022" t="s">
        <v>31</v>
      </c>
      <c r="H3022" t="s">
        <v>32</v>
      </c>
      <c r="I3022">
        <v>2140.7393229999998</v>
      </c>
      <c r="J3022" t="s">
        <v>33</v>
      </c>
      <c r="K3022" t="s">
        <v>4142</v>
      </c>
      <c r="L3022" t="s">
        <v>21</v>
      </c>
      <c r="M3022" t="str">
        <f t="shared" si="141"/>
        <v>OK</v>
      </c>
      <c r="N3022" t="str">
        <f t="shared" si="142"/>
        <v>2000s</v>
      </c>
      <c r="O3022" t="str">
        <f t="shared" si="143"/>
        <v>N/A</v>
      </c>
      <c r="P3022" t="str">
        <f>VLOOKUP(E3022,calculated_fields!$F$4:$G$6,2,FALSE)</f>
        <v>Economy</v>
      </c>
    </row>
    <row r="3023" spans="1:16">
      <c r="A3023" t="s">
        <v>4145</v>
      </c>
      <c r="B3023" t="s">
        <v>4101</v>
      </c>
      <c r="C3023" t="s">
        <v>14</v>
      </c>
      <c r="D3023">
        <v>2007</v>
      </c>
      <c r="E3023" t="s">
        <v>15</v>
      </c>
      <c r="F3023" t="s">
        <v>16</v>
      </c>
      <c r="G3023" t="s">
        <v>17</v>
      </c>
      <c r="H3023" t="s">
        <v>18</v>
      </c>
      <c r="I3023">
        <v>66.802999999999997</v>
      </c>
      <c r="J3023" t="s">
        <v>19</v>
      </c>
      <c r="K3023" t="s">
        <v>4146</v>
      </c>
      <c r="L3023" t="s">
        <v>21</v>
      </c>
      <c r="M3023" t="str">
        <f t="shared" si="141"/>
        <v>OK</v>
      </c>
      <c r="N3023" t="str">
        <f t="shared" si="142"/>
        <v>2000s</v>
      </c>
      <c r="O3023" t="str">
        <f t="shared" si="143"/>
        <v>Medium</v>
      </c>
      <c r="P3023" t="str">
        <f>VLOOKUP(E3023,calculated_fields!$F$4:$G$6,2,FALSE)</f>
        <v>Health</v>
      </c>
    </row>
    <row r="3024" spans="1:16">
      <c r="A3024" t="s">
        <v>4147</v>
      </c>
      <c r="B3024" t="s">
        <v>4101</v>
      </c>
      <c r="C3024" t="s">
        <v>14</v>
      </c>
      <c r="D3024">
        <v>2007</v>
      </c>
      <c r="E3024" t="s">
        <v>23</v>
      </c>
      <c r="F3024" t="s">
        <v>24</v>
      </c>
      <c r="G3024" t="s">
        <v>25</v>
      </c>
      <c r="H3024" t="s">
        <v>26</v>
      </c>
      <c r="I3024">
        <v>2874127</v>
      </c>
      <c r="J3024" t="s">
        <v>27</v>
      </c>
      <c r="K3024" t="s">
        <v>4146</v>
      </c>
      <c r="L3024" t="s">
        <v>21</v>
      </c>
      <c r="M3024" t="str">
        <f t="shared" si="141"/>
        <v>OK</v>
      </c>
      <c r="N3024" t="str">
        <f t="shared" si="142"/>
        <v>2000s</v>
      </c>
      <c r="O3024" t="str">
        <f t="shared" si="143"/>
        <v>N/A</v>
      </c>
      <c r="P3024" t="str">
        <f>VLOOKUP(E3024,calculated_fields!$F$4:$G$6,2,FALSE)</f>
        <v>Demographics</v>
      </c>
    </row>
    <row r="3025" spans="1:16">
      <c r="A3025" t="s">
        <v>4148</v>
      </c>
      <c r="B3025" t="s">
        <v>4101</v>
      </c>
      <c r="C3025" t="s">
        <v>14</v>
      </c>
      <c r="D3025">
        <v>2007</v>
      </c>
      <c r="E3025" t="s">
        <v>29</v>
      </c>
      <c r="F3025" t="s">
        <v>30</v>
      </c>
      <c r="G3025" t="s">
        <v>31</v>
      </c>
      <c r="H3025" t="s">
        <v>32</v>
      </c>
      <c r="I3025">
        <v>3095.7722709999998</v>
      </c>
      <c r="J3025" t="s">
        <v>33</v>
      </c>
      <c r="K3025" t="s">
        <v>4146</v>
      </c>
      <c r="L3025" t="s">
        <v>21</v>
      </c>
      <c r="M3025" t="str">
        <f t="shared" si="141"/>
        <v>OK</v>
      </c>
      <c r="N3025" t="str">
        <f t="shared" si="142"/>
        <v>2000s</v>
      </c>
      <c r="O3025" t="str">
        <f t="shared" si="143"/>
        <v>N/A</v>
      </c>
      <c r="P3025" t="str">
        <f>VLOOKUP(E3025,calculated_fields!$F$4:$G$6,2,FALSE)</f>
        <v>Economy</v>
      </c>
    </row>
    <row r="3026" spans="1:16">
      <c r="A3026" t="s">
        <v>4149</v>
      </c>
      <c r="B3026" t="s">
        <v>4150</v>
      </c>
      <c r="C3026" t="s">
        <v>80</v>
      </c>
      <c r="D3026">
        <v>1952</v>
      </c>
      <c r="E3026" t="s">
        <v>15</v>
      </c>
      <c r="F3026" t="s">
        <v>16</v>
      </c>
      <c r="G3026" t="s">
        <v>17</v>
      </c>
      <c r="H3026" t="s">
        <v>18</v>
      </c>
      <c r="I3026">
        <v>59.164000000000001</v>
      </c>
      <c r="J3026" t="s">
        <v>19</v>
      </c>
      <c r="K3026" t="s">
        <v>4151</v>
      </c>
      <c r="L3026" t="s">
        <v>21</v>
      </c>
      <c r="M3026" t="str">
        <f t="shared" si="141"/>
        <v>OK</v>
      </c>
      <c r="N3026" t="str">
        <f t="shared" si="142"/>
        <v>1950s</v>
      </c>
      <c r="O3026" t="str">
        <f t="shared" si="143"/>
        <v>Medium</v>
      </c>
      <c r="P3026" t="str">
        <f>VLOOKUP(E3026,calculated_fields!$F$4:$G$6,2,FALSE)</f>
        <v>Health</v>
      </c>
    </row>
    <row r="3027" spans="1:16">
      <c r="A3027" t="s">
        <v>4152</v>
      </c>
      <c r="B3027" t="s">
        <v>4150</v>
      </c>
      <c r="C3027" t="s">
        <v>80</v>
      </c>
      <c r="D3027">
        <v>1952</v>
      </c>
      <c r="E3027" t="s">
        <v>23</v>
      </c>
      <c r="F3027" t="s">
        <v>24</v>
      </c>
      <c r="G3027" t="s">
        <v>25</v>
      </c>
      <c r="H3027" t="s">
        <v>26</v>
      </c>
      <c r="I3027">
        <v>413834</v>
      </c>
      <c r="J3027" t="s">
        <v>27</v>
      </c>
      <c r="K3027" t="s">
        <v>4151</v>
      </c>
      <c r="L3027" t="s">
        <v>21</v>
      </c>
      <c r="M3027" t="str">
        <f t="shared" si="141"/>
        <v>OK</v>
      </c>
      <c r="N3027" t="str">
        <f t="shared" si="142"/>
        <v>1950s</v>
      </c>
      <c r="O3027" t="str">
        <f t="shared" si="143"/>
        <v>N/A</v>
      </c>
      <c r="P3027" t="str">
        <f>VLOOKUP(E3027,calculated_fields!$F$4:$G$6,2,FALSE)</f>
        <v>Demographics</v>
      </c>
    </row>
    <row r="3028" spans="1:16">
      <c r="A3028" t="s">
        <v>4153</v>
      </c>
      <c r="B3028" t="s">
        <v>4150</v>
      </c>
      <c r="C3028" t="s">
        <v>80</v>
      </c>
      <c r="D3028">
        <v>1952</v>
      </c>
      <c r="E3028" t="s">
        <v>29</v>
      </c>
      <c r="F3028" t="s">
        <v>30</v>
      </c>
      <c r="G3028" t="s">
        <v>31</v>
      </c>
      <c r="H3028" t="s">
        <v>32</v>
      </c>
      <c r="I3028">
        <v>2647.5856010000002</v>
      </c>
      <c r="J3028" t="s">
        <v>33</v>
      </c>
      <c r="K3028" t="s">
        <v>4151</v>
      </c>
      <c r="L3028" t="s">
        <v>21</v>
      </c>
      <c r="M3028" t="str">
        <f t="shared" si="141"/>
        <v>OK</v>
      </c>
      <c r="N3028" t="str">
        <f t="shared" si="142"/>
        <v>1950s</v>
      </c>
      <c r="O3028" t="str">
        <f t="shared" si="143"/>
        <v>N/A</v>
      </c>
      <c r="P3028" t="str">
        <f>VLOOKUP(E3028,calculated_fields!$F$4:$G$6,2,FALSE)</f>
        <v>Economy</v>
      </c>
    </row>
    <row r="3029" spans="1:16">
      <c r="A3029" t="s">
        <v>4154</v>
      </c>
      <c r="B3029" t="s">
        <v>4150</v>
      </c>
      <c r="C3029" t="s">
        <v>80</v>
      </c>
      <c r="D3029">
        <v>1957</v>
      </c>
      <c r="E3029" t="s">
        <v>15</v>
      </c>
      <c r="F3029" t="s">
        <v>16</v>
      </c>
      <c r="G3029" t="s">
        <v>17</v>
      </c>
      <c r="H3029" t="s">
        <v>18</v>
      </c>
      <c r="I3029">
        <v>61.448</v>
      </c>
      <c r="J3029" t="s">
        <v>19</v>
      </c>
      <c r="K3029" t="s">
        <v>4155</v>
      </c>
      <c r="L3029" t="s">
        <v>21</v>
      </c>
      <c r="M3029" t="str">
        <f t="shared" si="141"/>
        <v>OK</v>
      </c>
      <c r="N3029" t="str">
        <f t="shared" si="142"/>
        <v>1950s</v>
      </c>
      <c r="O3029" t="str">
        <f t="shared" si="143"/>
        <v>Medium</v>
      </c>
      <c r="P3029" t="str">
        <f>VLOOKUP(E3029,calculated_fields!$F$4:$G$6,2,FALSE)</f>
        <v>Health</v>
      </c>
    </row>
    <row r="3030" spans="1:16">
      <c r="A3030" t="s">
        <v>4156</v>
      </c>
      <c r="B3030" t="s">
        <v>4150</v>
      </c>
      <c r="C3030" t="s">
        <v>80</v>
      </c>
      <c r="D3030">
        <v>1957</v>
      </c>
      <c r="E3030" t="s">
        <v>23</v>
      </c>
      <c r="F3030" t="s">
        <v>24</v>
      </c>
      <c r="G3030" t="s">
        <v>25</v>
      </c>
      <c r="H3030" t="s">
        <v>26</v>
      </c>
      <c r="I3030">
        <v>442829</v>
      </c>
      <c r="J3030" t="s">
        <v>27</v>
      </c>
      <c r="K3030" t="s">
        <v>4155</v>
      </c>
      <c r="L3030" t="s">
        <v>21</v>
      </c>
      <c r="M3030" t="str">
        <f t="shared" si="141"/>
        <v>OK</v>
      </c>
      <c r="N3030" t="str">
        <f t="shared" si="142"/>
        <v>1950s</v>
      </c>
      <c r="O3030" t="str">
        <f t="shared" si="143"/>
        <v>N/A</v>
      </c>
      <c r="P3030" t="str">
        <f>VLOOKUP(E3030,calculated_fields!$F$4:$G$6,2,FALSE)</f>
        <v>Demographics</v>
      </c>
    </row>
    <row r="3031" spans="1:16">
      <c r="A3031" t="s">
        <v>4157</v>
      </c>
      <c r="B3031" t="s">
        <v>4150</v>
      </c>
      <c r="C3031" t="s">
        <v>80</v>
      </c>
      <c r="D3031">
        <v>1957</v>
      </c>
      <c r="E3031" t="s">
        <v>29</v>
      </c>
      <c r="F3031" t="s">
        <v>30</v>
      </c>
      <c r="G3031" t="s">
        <v>31</v>
      </c>
      <c r="H3031" t="s">
        <v>32</v>
      </c>
      <c r="I3031">
        <v>3682.2599030000001</v>
      </c>
      <c r="J3031" t="s">
        <v>33</v>
      </c>
      <c r="K3031" t="s">
        <v>4155</v>
      </c>
      <c r="L3031" t="s">
        <v>21</v>
      </c>
      <c r="M3031" t="str">
        <f t="shared" si="141"/>
        <v>OK</v>
      </c>
      <c r="N3031" t="str">
        <f t="shared" si="142"/>
        <v>1950s</v>
      </c>
      <c r="O3031" t="str">
        <f t="shared" si="143"/>
        <v>N/A</v>
      </c>
      <c r="P3031" t="str">
        <f>VLOOKUP(E3031,calculated_fields!$F$4:$G$6,2,FALSE)</f>
        <v>Economy</v>
      </c>
    </row>
    <row r="3032" spans="1:16">
      <c r="A3032" t="s">
        <v>4158</v>
      </c>
      <c r="B3032" t="s">
        <v>4150</v>
      </c>
      <c r="C3032" t="s">
        <v>80</v>
      </c>
      <c r="D3032">
        <v>1962</v>
      </c>
      <c r="E3032" t="s">
        <v>15</v>
      </c>
      <c r="F3032" t="s">
        <v>16</v>
      </c>
      <c r="G3032" t="s">
        <v>17</v>
      </c>
      <c r="H3032" t="s">
        <v>18</v>
      </c>
      <c r="I3032">
        <v>63.728000000000002</v>
      </c>
      <c r="J3032" t="s">
        <v>19</v>
      </c>
      <c r="K3032" t="s">
        <v>4159</v>
      </c>
      <c r="L3032" t="s">
        <v>21</v>
      </c>
      <c r="M3032" t="str">
        <f t="shared" si="141"/>
        <v>OK</v>
      </c>
      <c r="N3032" t="str">
        <f t="shared" si="142"/>
        <v>1960s</v>
      </c>
      <c r="O3032" t="str">
        <f t="shared" si="143"/>
        <v>Medium</v>
      </c>
      <c r="P3032" t="str">
        <f>VLOOKUP(E3032,calculated_fields!$F$4:$G$6,2,FALSE)</f>
        <v>Health</v>
      </c>
    </row>
    <row r="3033" spans="1:16">
      <c r="A3033" t="s">
        <v>4160</v>
      </c>
      <c r="B3033" t="s">
        <v>4150</v>
      </c>
      <c r="C3033" t="s">
        <v>80</v>
      </c>
      <c r="D3033">
        <v>1962</v>
      </c>
      <c r="E3033" t="s">
        <v>23</v>
      </c>
      <c r="F3033" t="s">
        <v>24</v>
      </c>
      <c r="G3033" t="s">
        <v>25</v>
      </c>
      <c r="H3033" t="s">
        <v>26</v>
      </c>
      <c r="I3033">
        <v>474528</v>
      </c>
      <c r="J3033" t="s">
        <v>27</v>
      </c>
      <c r="K3033" t="s">
        <v>4159</v>
      </c>
      <c r="L3033" t="s">
        <v>21</v>
      </c>
      <c r="M3033" t="str">
        <f t="shared" si="141"/>
        <v>OK</v>
      </c>
      <c r="N3033" t="str">
        <f t="shared" si="142"/>
        <v>1960s</v>
      </c>
      <c r="O3033" t="str">
        <f t="shared" si="143"/>
        <v>N/A</v>
      </c>
      <c r="P3033" t="str">
        <f>VLOOKUP(E3033,calculated_fields!$F$4:$G$6,2,FALSE)</f>
        <v>Demographics</v>
      </c>
    </row>
    <row r="3034" spans="1:16">
      <c r="A3034" t="s">
        <v>4161</v>
      </c>
      <c r="B3034" t="s">
        <v>4150</v>
      </c>
      <c r="C3034" t="s">
        <v>80</v>
      </c>
      <c r="D3034">
        <v>1962</v>
      </c>
      <c r="E3034" t="s">
        <v>29</v>
      </c>
      <c r="F3034" t="s">
        <v>30</v>
      </c>
      <c r="G3034" t="s">
        <v>31</v>
      </c>
      <c r="H3034" t="s">
        <v>32</v>
      </c>
      <c r="I3034">
        <v>4649.593785</v>
      </c>
      <c r="J3034" t="s">
        <v>33</v>
      </c>
      <c r="K3034" t="s">
        <v>4159</v>
      </c>
      <c r="L3034" t="s">
        <v>21</v>
      </c>
      <c r="M3034" t="str">
        <f t="shared" si="141"/>
        <v>OK</v>
      </c>
      <c r="N3034" t="str">
        <f t="shared" si="142"/>
        <v>1960s</v>
      </c>
      <c r="O3034" t="str">
        <f t="shared" si="143"/>
        <v>N/A</v>
      </c>
      <c r="P3034" t="str">
        <f>VLOOKUP(E3034,calculated_fields!$F$4:$G$6,2,FALSE)</f>
        <v>Economy</v>
      </c>
    </row>
    <row r="3035" spans="1:16">
      <c r="A3035" t="s">
        <v>4162</v>
      </c>
      <c r="B3035" t="s">
        <v>4150</v>
      </c>
      <c r="C3035" t="s">
        <v>80</v>
      </c>
      <c r="D3035">
        <v>1967</v>
      </c>
      <c r="E3035" t="s">
        <v>15</v>
      </c>
      <c r="F3035" t="s">
        <v>16</v>
      </c>
      <c r="G3035" t="s">
        <v>17</v>
      </c>
      <c r="H3035" t="s">
        <v>18</v>
      </c>
      <c r="I3035">
        <v>67.177999999999997</v>
      </c>
      <c r="J3035" t="s">
        <v>19</v>
      </c>
      <c r="K3035" t="s">
        <v>4163</v>
      </c>
      <c r="L3035" t="s">
        <v>21</v>
      </c>
      <c r="M3035" t="str">
        <f t="shared" si="141"/>
        <v>OK</v>
      </c>
      <c r="N3035" t="str">
        <f t="shared" si="142"/>
        <v>1960s</v>
      </c>
      <c r="O3035" t="str">
        <f t="shared" si="143"/>
        <v>Medium</v>
      </c>
      <c r="P3035" t="str">
        <f>VLOOKUP(E3035,calculated_fields!$F$4:$G$6,2,FALSE)</f>
        <v>Health</v>
      </c>
    </row>
    <row r="3036" spans="1:16">
      <c r="A3036" t="s">
        <v>4164</v>
      </c>
      <c r="B3036" t="s">
        <v>4150</v>
      </c>
      <c r="C3036" t="s">
        <v>80</v>
      </c>
      <c r="D3036">
        <v>1967</v>
      </c>
      <c r="E3036" t="s">
        <v>23</v>
      </c>
      <c r="F3036" t="s">
        <v>24</v>
      </c>
      <c r="G3036" t="s">
        <v>25</v>
      </c>
      <c r="H3036" t="s">
        <v>26</v>
      </c>
      <c r="I3036">
        <v>501035</v>
      </c>
      <c r="J3036" t="s">
        <v>27</v>
      </c>
      <c r="K3036" t="s">
        <v>4163</v>
      </c>
      <c r="L3036" t="s">
        <v>21</v>
      </c>
      <c r="M3036" t="str">
        <f t="shared" si="141"/>
        <v>OK</v>
      </c>
      <c r="N3036" t="str">
        <f t="shared" si="142"/>
        <v>1960s</v>
      </c>
      <c r="O3036" t="str">
        <f t="shared" si="143"/>
        <v>N/A</v>
      </c>
      <c r="P3036" t="str">
        <f>VLOOKUP(E3036,calculated_fields!$F$4:$G$6,2,FALSE)</f>
        <v>Demographics</v>
      </c>
    </row>
    <row r="3037" spans="1:16">
      <c r="A3037" t="s">
        <v>4165</v>
      </c>
      <c r="B3037" t="s">
        <v>4150</v>
      </c>
      <c r="C3037" t="s">
        <v>80</v>
      </c>
      <c r="D3037">
        <v>1967</v>
      </c>
      <c r="E3037" t="s">
        <v>29</v>
      </c>
      <c r="F3037" t="s">
        <v>30</v>
      </c>
      <c r="G3037" t="s">
        <v>31</v>
      </c>
      <c r="H3037" t="s">
        <v>32</v>
      </c>
      <c r="I3037">
        <v>5907.8509370000002</v>
      </c>
      <c r="J3037" t="s">
        <v>33</v>
      </c>
      <c r="K3037" t="s">
        <v>4163</v>
      </c>
      <c r="L3037" t="s">
        <v>21</v>
      </c>
      <c r="M3037" t="str">
        <f t="shared" si="141"/>
        <v>OK</v>
      </c>
      <c r="N3037" t="str">
        <f t="shared" si="142"/>
        <v>1960s</v>
      </c>
      <c r="O3037" t="str">
        <f t="shared" si="143"/>
        <v>N/A</v>
      </c>
      <c r="P3037" t="str">
        <f>VLOOKUP(E3037,calculated_fields!$F$4:$G$6,2,FALSE)</f>
        <v>Economy</v>
      </c>
    </row>
    <row r="3038" spans="1:16">
      <c r="A3038" t="s">
        <v>4166</v>
      </c>
      <c r="B3038" t="s">
        <v>4150</v>
      </c>
      <c r="C3038" t="s">
        <v>80</v>
      </c>
      <c r="D3038">
        <v>1972</v>
      </c>
      <c r="E3038" t="s">
        <v>15</v>
      </c>
      <c r="F3038" t="s">
        <v>16</v>
      </c>
      <c r="G3038" t="s">
        <v>17</v>
      </c>
      <c r="H3038" t="s">
        <v>18</v>
      </c>
      <c r="I3038">
        <v>70.635999999999996</v>
      </c>
      <c r="J3038" t="s">
        <v>19</v>
      </c>
      <c r="K3038" t="s">
        <v>4167</v>
      </c>
      <c r="L3038" t="s">
        <v>21</v>
      </c>
      <c r="M3038" t="str">
        <f t="shared" si="141"/>
        <v>OK</v>
      </c>
      <c r="N3038" t="str">
        <f t="shared" si="142"/>
        <v>1970s</v>
      </c>
      <c r="O3038" t="str">
        <f t="shared" si="143"/>
        <v>High</v>
      </c>
      <c r="P3038" t="str">
        <f>VLOOKUP(E3038,calculated_fields!$F$4:$G$6,2,FALSE)</f>
        <v>Health</v>
      </c>
    </row>
    <row r="3039" spans="1:16">
      <c r="A3039" t="s">
        <v>4168</v>
      </c>
      <c r="B3039" t="s">
        <v>4150</v>
      </c>
      <c r="C3039" t="s">
        <v>80</v>
      </c>
      <c r="D3039">
        <v>1972</v>
      </c>
      <c r="E3039" t="s">
        <v>23</v>
      </c>
      <c r="F3039" t="s">
        <v>24</v>
      </c>
      <c r="G3039" t="s">
        <v>25</v>
      </c>
      <c r="H3039" t="s">
        <v>26</v>
      </c>
      <c r="I3039">
        <v>527678</v>
      </c>
      <c r="J3039" t="s">
        <v>27</v>
      </c>
      <c r="K3039" t="s">
        <v>4167</v>
      </c>
      <c r="L3039" t="s">
        <v>21</v>
      </c>
      <c r="M3039" t="str">
        <f t="shared" si="141"/>
        <v>OK</v>
      </c>
      <c r="N3039" t="str">
        <f t="shared" si="142"/>
        <v>1970s</v>
      </c>
      <c r="O3039" t="str">
        <f t="shared" si="143"/>
        <v>N/A</v>
      </c>
      <c r="P3039" t="str">
        <f>VLOOKUP(E3039,calculated_fields!$F$4:$G$6,2,FALSE)</f>
        <v>Demographics</v>
      </c>
    </row>
    <row r="3040" spans="1:16">
      <c r="A3040" t="s">
        <v>4169</v>
      </c>
      <c r="B3040" t="s">
        <v>4150</v>
      </c>
      <c r="C3040" t="s">
        <v>80</v>
      </c>
      <c r="D3040">
        <v>1972</v>
      </c>
      <c r="E3040" t="s">
        <v>29</v>
      </c>
      <c r="F3040" t="s">
        <v>30</v>
      </c>
      <c r="G3040" t="s">
        <v>31</v>
      </c>
      <c r="H3040" t="s">
        <v>32</v>
      </c>
      <c r="I3040">
        <v>7778.4140170000001</v>
      </c>
      <c r="J3040" t="s">
        <v>33</v>
      </c>
      <c r="K3040" t="s">
        <v>4167</v>
      </c>
      <c r="L3040" t="s">
        <v>21</v>
      </c>
      <c r="M3040" t="str">
        <f t="shared" si="141"/>
        <v>OK</v>
      </c>
      <c r="N3040" t="str">
        <f t="shared" si="142"/>
        <v>1970s</v>
      </c>
      <c r="O3040" t="str">
        <f t="shared" si="143"/>
        <v>N/A</v>
      </c>
      <c r="P3040" t="str">
        <f>VLOOKUP(E3040,calculated_fields!$F$4:$G$6,2,FALSE)</f>
        <v>Economy</v>
      </c>
    </row>
    <row r="3041" spans="1:16">
      <c r="A3041" t="s">
        <v>4170</v>
      </c>
      <c r="B3041" t="s">
        <v>4150</v>
      </c>
      <c r="C3041" t="s">
        <v>80</v>
      </c>
      <c r="D3041">
        <v>1977</v>
      </c>
      <c r="E3041" t="s">
        <v>15</v>
      </c>
      <c r="F3041" t="s">
        <v>16</v>
      </c>
      <c r="G3041" t="s">
        <v>17</v>
      </c>
      <c r="H3041" t="s">
        <v>18</v>
      </c>
      <c r="I3041">
        <v>73.066000000000003</v>
      </c>
      <c r="J3041" t="s">
        <v>19</v>
      </c>
      <c r="K3041" t="s">
        <v>4171</v>
      </c>
      <c r="L3041" t="s">
        <v>21</v>
      </c>
      <c r="M3041" t="str">
        <f t="shared" si="141"/>
        <v>OK</v>
      </c>
      <c r="N3041" t="str">
        <f t="shared" si="142"/>
        <v>1970s</v>
      </c>
      <c r="O3041" t="str">
        <f t="shared" si="143"/>
        <v>High</v>
      </c>
      <c r="P3041" t="str">
        <f>VLOOKUP(E3041,calculated_fields!$F$4:$G$6,2,FALSE)</f>
        <v>Health</v>
      </c>
    </row>
    <row r="3042" spans="1:16">
      <c r="A3042" t="s">
        <v>4172</v>
      </c>
      <c r="B3042" t="s">
        <v>4150</v>
      </c>
      <c r="C3042" t="s">
        <v>80</v>
      </c>
      <c r="D3042">
        <v>1977</v>
      </c>
      <c r="E3042" t="s">
        <v>23</v>
      </c>
      <c r="F3042" t="s">
        <v>24</v>
      </c>
      <c r="G3042" t="s">
        <v>25</v>
      </c>
      <c r="H3042" t="s">
        <v>26</v>
      </c>
      <c r="I3042">
        <v>560073</v>
      </c>
      <c r="J3042" t="s">
        <v>27</v>
      </c>
      <c r="K3042" t="s">
        <v>4171</v>
      </c>
      <c r="L3042" t="s">
        <v>21</v>
      </c>
      <c r="M3042" t="str">
        <f t="shared" si="141"/>
        <v>OK</v>
      </c>
      <c r="N3042" t="str">
        <f t="shared" si="142"/>
        <v>1970s</v>
      </c>
      <c r="O3042" t="str">
        <f t="shared" si="143"/>
        <v>N/A</v>
      </c>
      <c r="P3042" t="str">
        <f>VLOOKUP(E3042,calculated_fields!$F$4:$G$6,2,FALSE)</f>
        <v>Demographics</v>
      </c>
    </row>
    <row r="3043" spans="1:16">
      <c r="A3043" t="s">
        <v>4173</v>
      </c>
      <c r="B3043" t="s">
        <v>4150</v>
      </c>
      <c r="C3043" t="s">
        <v>80</v>
      </c>
      <c r="D3043">
        <v>1977</v>
      </c>
      <c r="E3043" t="s">
        <v>29</v>
      </c>
      <c r="F3043" t="s">
        <v>30</v>
      </c>
      <c r="G3043" t="s">
        <v>31</v>
      </c>
      <c r="H3043" t="s">
        <v>32</v>
      </c>
      <c r="I3043">
        <v>9595.9299050000009</v>
      </c>
      <c r="J3043" t="s">
        <v>33</v>
      </c>
      <c r="K3043" t="s">
        <v>4171</v>
      </c>
      <c r="L3043" t="s">
        <v>21</v>
      </c>
      <c r="M3043" t="str">
        <f t="shared" si="141"/>
        <v>OK</v>
      </c>
      <c r="N3043" t="str">
        <f t="shared" si="142"/>
        <v>1970s</v>
      </c>
      <c r="O3043" t="str">
        <f t="shared" si="143"/>
        <v>N/A</v>
      </c>
      <c r="P3043" t="str">
        <f>VLOOKUP(E3043,calculated_fields!$F$4:$G$6,2,FALSE)</f>
        <v>Economy</v>
      </c>
    </row>
    <row r="3044" spans="1:16">
      <c r="A3044" t="s">
        <v>4174</v>
      </c>
      <c r="B3044" t="s">
        <v>4150</v>
      </c>
      <c r="C3044" t="s">
        <v>80</v>
      </c>
      <c r="D3044">
        <v>1982</v>
      </c>
      <c r="E3044" t="s">
        <v>15</v>
      </c>
      <c r="F3044" t="s">
        <v>16</v>
      </c>
      <c r="G3044" t="s">
        <v>17</v>
      </c>
      <c r="H3044" t="s">
        <v>18</v>
      </c>
      <c r="I3044">
        <v>74.100999999999999</v>
      </c>
      <c r="J3044" t="s">
        <v>19</v>
      </c>
      <c r="K3044" t="s">
        <v>4175</v>
      </c>
      <c r="L3044" t="s">
        <v>21</v>
      </c>
      <c r="M3044" t="str">
        <f t="shared" si="141"/>
        <v>OK</v>
      </c>
      <c r="N3044" t="str">
        <f t="shared" si="142"/>
        <v>1980s</v>
      </c>
      <c r="O3044" t="str">
        <f t="shared" si="143"/>
        <v>High</v>
      </c>
      <c r="P3044" t="str">
        <f>VLOOKUP(E3044,calculated_fields!$F$4:$G$6,2,FALSE)</f>
        <v>Health</v>
      </c>
    </row>
    <row r="3045" spans="1:16">
      <c r="A3045" t="s">
        <v>4176</v>
      </c>
      <c r="B3045" t="s">
        <v>4150</v>
      </c>
      <c r="C3045" t="s">
        <v>80</v>
      </c>
      <c r="D3045">
        <v>1982</v>
      </c>
      <c r="E3045" t="s">
        <v>23</v>
      </c>
      <c r="F3045" t="s">
        <v>24</v>
      </c>
      <c r="G3045" t="s">
        <v>25</v>
      </c>
      <c r="H3045" t="s">
        <v>26</v>
      </c>
      <c r="I3045">
        <v>562548</v>
      </c>
      <c r="J3045" t="s">
        <v>27</v>
      </c>
      <c r="K3045" t="s">
        <v>4175</v>
      </c>
      <c r="L3045" t="s">
        <v>21</v>
      </c>
      <c r="M3045" t="str">
        <f t="shared" si="141"/>
        <v>OK</v>
      </c>
      <c r="N3045" t="str">
        <f t="shared" si="142"/>
        <v>1980s</v>
      </c>
      <c r="O3045" t="str">
        <f t="shared" si="143"/>
        <v>N/A</v>
      </c>
      <c r="P3045" t="str">
        <f>VLOOKUP(E3045,calculated_fields!$F$4:$G$6,2,FALSE)</f>
        <v>Demographics</v>
      </c>
    </row>
    <row r="3046" spans="1:16">
      <c r="A3046" t="s">
        <v>4177</v>
      </c>
      <c r="B3046" t="s">
        <v>4150</v>
      </c>
      <c r="C3046" t="s">
        <v>80</v>
      </c>
      <c r="D3046">
        <v>1982</v>
      </c>
      <c r="E3046" t="s">
        <v>29</v>
      </c>
      <c r="F3046" t="s">
        <v>30</v>
      </c>
      <c r="G3046" t="s">
        <v>31</v>
      </c>
      <c r="H3046" t="s">
        <v>32</v>
      </c>
      <c r="I3046">
        <v>11222.58762</v>
      </c>
      <c r="J3046" t="s">
        <v>33</v>
      </c>
      <c r="K3046" t="s">
        <v>4175</v>
      </c>
      <c r="L3046" t="s">
        <v>21</v>
      </c>
      <c r="M3046" t="str">
        <f t="shared" si="141"/>
        <v>OK</v>
      </c>
      <c r="N3046" t="str">
        <f t="shared" si="142"/>
        <v>1980s</v>
      </c>
      <c r="O3046" t="str">
        <f t="shared" si="143"/>
        <v>N/A</v>
      </c>
      <c r="P3046" t="str">
        <f>VLOOKUP(E3046,calculated_fields!$F$4:$G$6,2,FALSE)</f>
        <v>Economy</v>
      </c>
    </row>
    <row r="3047" spans="1:16">
      <c r="A3047" t="s">
        <v>4178</v>
      </c>
      <c r="B3047" t="s">
        <v>4150</v>
      </c>
      <c r="C3047" t="s">
        <v>80</v>
      </c>
      <c r="D3047">
        <v>1987</v>
      </c>
      <c r="E3047" t="s">
        <v>15</v>
      </c>
      <c r="F3047" t="s">
        <v>16</v>
      </c>
      <c r="G3047" t="s">
        <v>17</v>
      </c>
      <c r="H3047" t="s">
        <v>18</v>
      </c>
      <c r="I3047">
        <v>74.864999999999995</v>
      </c>
      <c r="J3047" t="s">
        <v>19</v>
      </c>
      <c r="K3047" t="s">
        <v>4179</v>
      </c>
      <c r="L3047" t="s">
        <v>21</v>
      </c>
      <c r="M3047" t="str">
        <f t="shared" si="141"/>
        <v>OK</v>
      </c>
      <c r="N3047" t="str">
        <f t="shared" si="142"/>
        <v>1980s</v>
      </c>
      <c r="O3047" t="str">
        <f t="shared" si="143"/>
        <v>High</v>
      </c>
      <c r="P3047" t="str">
        <f>VLOOKUP(E3047,calculated_fields!$F$4:$G$6,2,FALSE)</f>
        <v>Health</v>
      </c>
    </row>
    <row r="3048" spans="1:16">
      <c r="A3048" t="s">
        <v>4180</v>
      </c>
      <c r="B3048" t="s">
        <v>4150</v>
      </c>
      <c r="C3048" t="s">
        <v>80</v>
      </c>
      <c r="D3048">
        <v>1987</v>
      </c>
      <c r="E3048" t="s">
        <v>23</v>
      </c>
      <c r="F3048" t="s">
        <v>24</v>
      </c>
      <c r="G3048" t="s">
        <v>25</v>
      </c>
      <c r="H3048" t="s">
        <v>26</v>
      </c>
      <c r="I3048">
        <v>569473</v>
      </c>
      <c r="J3048" t="s">
        <v>27</v>
      </c>
      <c r="K3048" t="s">
        <v>4179</v>
      </c>
      <c r="L3048" t="s">
        <v>21</v>
      </c>
      <c r="M3048" t="str">
        <f t="shared" si="141"/>
        <v>OK</v>
      </c>
      <c r="N3048" t="str">
        <f t="shared" si="142"/>
        <v>1980s</v>
      </c>
      <c r="O3048" t="str">
        <f t="shared" si="143"/>
        <v>N/A</v>
      </c>
      <c r="P3048" t="str">
        <f>VLOOKUP(E3048,calculated_fields!$F$4:$G$6,2,FALSE)</f>
        <v>Demographics</v>
      </c>
    </row>
    <row r="3049" spans="1:16">
      <c r="A3049" t="s">
        <v>4181</v>
      </c>
      <c r="B3049" t="s">
        <v>4150</v>
      </c>
      <c r="C3049" t="s">
        <v>80</v>
      </c>
      <c r="D3049">
        <v>1987</v>
      </c>
      <c r="E3049" t="s">
        <v>29</v>
      </c>
      <c r="F3049" t="s">
        <v>30</v>
      </c>
      <c r="G3049" t="s">
        <v>31</v>
      </c>
      <c r="H3049" t="s">
        <v>32</v>
      </c>
      <c r="I3049">
        <v>11732.51017</v>
      </c>
      <c r="J3049" t="s">
        <v>33</v>
      </c>
      <c r="K3049" t="s">
        <v>4179</v>
      </c>
      <c r="L3049" t="s">
        <v>21</v>
      </c>
      <c r="M3049" t="str">
        <f t="shared" si="141"/>
        <v>OK</v>
      </c>
      <c r="N3049" t="str">
        <f t="shared" si="142"/>
        <v>1980s</v>
      </c>
      <c r="O3049" t="str">
        <f t="shared" si="143"/>
        <v>N/A</v>
      </c>
      <c r="P3049" t="str">
        <f>VLOOKUP(E3049,calculated_fields!$F$4:$G$6,2,FALSE)</f>
        <v>Economy</v>
      </c>
    </row>
    <row r="3050" spans="1:16">
      <c r="A3050" t="s">
        <v>4182</v>
      </c>
      <c r="B3050" t="s">
        <v>4150</v>
      </c>
      <c r="C3050" t="s">
        <v>80</v>
      </c>
      <c r="D3050">
        <v>1992</v>
      </c>
      <c r="E3050" t="s">
        <v>15</v>
      </c>
      <c r="F3050" t="s">
        <v>16</v>
      </c>
      <c r="G3050" t="s">
        <v>17</v>
      </c>
      <c r="H3050" t="s">
        <v>18</v>
      </c>
      <c r="I3050">
        <v>75.435000000000002</v>
      </c>
      <c r="J3050" t="s">
        <v>19</v>
      </c>
      <c r="K3050" t="s">
        <v>4183</v>
      </c>
      <c r="L3050" t="s">
        <v>21</v>
      </c>
      <c r="M3050" t="str">
        <f t="shared" si="141"/>
        <v>OK</v>
      </c>
      <c r="N3050" t="str">
        <f t="shared" si="142"/>
        <v>1990s</v>
      </c>
      <c r="O3050" t="str">
        <f t="shared" si="143"/>
        <v>High</v>
      </c>
      <c r="P3050" t="str">
        <f>VLOOKUP(E3050,calculated_fields!$F$4:$G$6,2,FALSE)</f>
        <v>Health</v>
      </c>
    </row>
    <row r="3051" spans="1:16">
      <c r="A3051" t="s">
        <v>4184</v>
      </c>
      <c r="B3051" t="s">
        <v>4150</v>
      </c>
      <c r="C3051" t="s">
        <v>80</v>
      </c>
      <c r="D3051">
        <v>1992</v>
      </c>
      <c r="E3051" t="s">
        <v>23</v>
      </c>
      <c r="F3051" t="s">
        <v>24</v>
      </c>
      <c r="G3051" t="s">
        <v>25</v>
      </c>
      <c r="H3051" t="s">
        <v>26</v>
      </c>
      <c r="I3051">
        <v>621621</v>
      </c>
      <c r="J3051" t="s">
        <v>27</v>
      </c>
      <c r="K3051" t="s">
        <v>4183</v>
      </c>
      <c r="L3051" t="s">
        <v>21</v>
      </c>
      <c r="M3051" t="str">
        <f t="shared" si="141"/>
        <v>OK</v>
      </c>
      <c r="N3051" t="str">
        <f t="shared" si="142"/>
        <v>1990s</v>
      </c>
      <c r="O3051" t="str">
        <f t="shared" si="143"/>
        <v>N/A</v>
      </c>
      <c r="P3051" t="str">
        <f>VLOOKUP(E3051,calculated_fields!$F$4:$G$6,2,FALSE)</f>
        <v>Demographics</v>
      </c>
    </row>
    <row r="3052" spans="1:16">
      <c r="A3052" t="s">
        <v>4185</v>
      </c>
      <c r="B3052" t="s">
        <v>4150</v>
      </c>
      <c r="C3052" t="s">
        <v>80</v>
      </c>
      <c r="D3052">
        <v>1992</v>
      </c>
      <c r="E3052" t="s">
        <v>29</v>
      </c>
      <c r="F3052" t="s">
        <v>30</v>
      </c>
      <c r="G3052" t="s">
        <v>31</v>
      </c>
      <c r="H3052" t="s">
        <v>32</v>
      </c>
      <c r="I3052">
        <v>7003.3390369999997</v>
      </c>
      <c r="J3052" t="s">
        <v>33</v>
      </c>
      <c r="K3052" t="s">
        <v>4183</v>
      </c>
      <c r="L3052" t="s">
        <v>21</v>
      </c>
      <c r="M3052" t="str">
        <f t="shared" si="141"/>
        <v>OK</v>
      </c>
      <c r="N3052" t="str">
        <f t="shared" si="142"/>
        <v>1990s</v>
      </c>
      <c r="O3052" t="str">
        <f t="shared" si="143"/>
        <v>N/A</v>
      </c>
      <c r="P3052" t="str">
        <f>VLOOKUP(E3052,calculated_fields!$F$4:$G$6,2,FALSE)</f>
        <v>Economy</v>
      </c>
    </row>
    <row r="3053" spans="1:16">
      <c r="A3053" t="s">
        <v>4186</v>
      </c>
      <c r="B3053" t="s">
        <v>4150</v>
      </c>
      <c r="C3053" t="s">
        <v>80</v>
      </c>
      <c r="D3053">
        <v>1997</v>
      </c>
      <c r="E3053" t="s">
        <v>15</v>
      </c>
      <c r="F3053" t="s">
        <v>16</v>
      </c>
      <c r="G3053" t="s">
        <v>17</v>
      </c>
      <c r="H3053" t="s">
        <v>18</v>
      </c>
      <c r="I3053">
        <v>75.444999999999993</v>
      </c>
      <c r="J3053" t="s">
        <v>19</v>
      </c>
      <c r="K3053" t="s">
        <v>4187</v>
      </c>
      <c r="L3053" t="s">
        <v>21</v>
      </c>
      <c r="M3053" t="str">
        <f t="shared" si="141"/>
        <v>OK</v>
      </c>
      <c r="N3053" t="str">
        <f t="shared" si="142"/>
        <v>1990s</v>
      </c>
      <c r="O3053" t="str">
        <f t="shared" si="143"/>
        <v>High</v>
      </c>
      <c r="P3053" t="str">
        <f>VLOOKUP(E3053,calculated_fields!$F$4:$G$6,2,FALSE)</f>
        <v>Health</v>
      </c>
    </row>
    <row r="3054" spans="1:16">
      <c r="A3054" t="s">
        <v>4188</v>
      </c>
      <c r="B3054" t="s">
        <v>4150</v>
      </c>
      <c r="C3054" t="s">
        <v>80</v>
      </c>
      <c r="D3054">
        <v>1997</v>
      </c>
      <c r="E3054" t="s">
        <v>23</v>
      </c>
      <c r="F3054" t="s">
        <v>24</v>
      </c>
      <c r="G3054" t="s">
        <v>25</v>
      </c>
      <c r="H3054" t="s">
        <v>26</v>
      </c>
      <c r="I3054">
        <v>692651</v>
      </c>
      <c r="J3054" t="s">
        <v>27</v>
      </c>
      <c r="K3054" t="s">
        <v>4187</v>
      </c>
      <c r="L3054" t="s">
        <v>21</v>
      </c>
      <c r="M3054" t="str">
        <f t="shared" si="141"/>
        <v>OK</v>
      </c>
      <c r="N3054" t="str">
        <f t="shared" si="142"/>
        <v>1990s</v>
      </c>
      <c r="O3054" t="str">
        <f t="shared" si="143"/>
        <v>N/A</v>
      </c>
      <c r="P3054" t="str">
        <f>VLOOKUP(E3054,calculated_fields!$F$4:$G$6,2,FALSE)</f>
        <v>Demographics</v>
      </c>
    </row>
    <row r="3055" spans="1:16">
      <c r="A3055" t="s">
        <v>4189</v>
      </c>
      <c r="B3055" t="s">
        <v>4150</v>
      </c>
      <c r="C3055" t="s">
        <v>80</v>
      </c>
      <c r="D3055">
        <v>1997</v>
      </c>
      <c r="E3055" t="s">
        <v>29</v>
      </c>
      <c r="F3055" t="s">
        <v>30</v>
      </c>
      <c r="G3055" t="s">
        <v>31</v>
      </c>
      <c r="H3055" t="s">
        <v>32</v>
      </c>
      <c r="I3055">
        <v>6465.6133490000002</v>
      </c>
      <c r="J3055" t="s">
        <v>33</v>
      </c>
      <c r="K3055" t="s">
        <v>4187</v>
      </c>
      <c r="L3055" t="s">
        <v>21</v>
      </c>
      <c r="M3055" t="str">
        <f t="shared" si="141"/>
        <v>OK</v>
      </c>
      <c r="N3055" t="str">
        <f t="shared" si="142"/>
        <v>1990s</v>
      </c>
      <c r="O3055" t="str">
        <f t="shared" si="143"/>
        <v>N/A</v>
      </c>
      <c r="P3055" t="str">
        <f>VLOOKUP(E3055,calculated_fields!$F$4:$G$6,2,FALSE)</f>
        <v>Economy</v>
      </c>
    </row>
    <row r="3056" spans="1:16">
      <c r="A3056" t="s">
        <v>4190</v>
      </c>
      <c r="B3056" t="s">
        <v>4150</v>
      </c>
      <c r="C3056" t="s">
        <v>80</v>
      </c>
      <c r="D3056">
        <v>2002</v>
      </c>
      <c r="E3056" t="s">
        <v>15</v>
      </c>
      <c r="F3056" t="s">
        <v>16</v>
      </c>
      <c r="G3056" t="s">
        <v>17</v>
      </c>
      <c r="H3056" t="s">
        <v>18</v>
      </c>
      <c r="I3056">
        <v>73.980999999999995</v>
      </c>
      <c r="J3056" t="s">
        <v>19</v>
      </c>
      <c r="K3056" t="s">
        <v>4191</v>
      </c>
      <c r="L3056" t="s">
        <v>21</v>
      </c>
      <c r="M3056" t="str">
        <f t="shared" si="141"/>
        <v>OK</v>
      </c>
      <c r="N3056" t="str">
        <f t="shared" si="142"/>
        <v>2000s</v>
      </c>
      <c r="O3056" t="str">
        <f t="shared" si="143"/>
        <v>High</v>
      </c>
      <c r="P3056" t="str">
        <f>VLOOKUP(E3056,calculated_fields!$F$4:$G$6,2,FALSE)</f>
        <v>Health</v>
      </c>
    </row>
    <row r="3057" spans="1:16">
      <c r="A3057" t="s">
        <v>4192</v>
      </c>
      <c r="B3057" t="s">
        <v>4150</v>
      </c>
      <c r="C3057" t="s">
        <v>80</v>
      </c>
      <c r="D3057">
        <v>2002</v>
      </c>
      <c r="E3057" t="s">
        <v>23</v>
      </c>
      <c r="F3057" t="s">
        <v>24</v>
      </c>
      <c r="G3057" t="s">
        <v>25</v>
      </c>
      <c r="H3057" t="s">
        <v>26</v>
      </c>
      <c r="I3057">
        <v>720230</v>
      </c>
      <c r="J3057" t="s">
        <v>27</v>
      </c>
      <c r="K3057" t="s">
        <v>4191</v>
      </c>
      <c r="L3057" t="s">
        <v>21</v>
      </c>
      <c r="M3057" t="str">
        <f t="shared" si="141"/>
        <v>OK</v>
      </c>
      <c r="N3057" t="str">
        <f t="shared" si="142"/>
        <v>2000s</v>
      </c>
      <c r="O3057" t="str">
        <f t="shared" si="143"/>
        <v>N/A</v>
      </c>
      <c r="P3057" t="str">
        <f>VLOOKUP(E3057,calculated_fields!$F$4:$G$6,2,FALSE)</f>
        <v>Demographics</v>
      </c>
    </row>
    <row r="3058" spans="1:16">
      <c r="A3058" t="s">
        <v>4193</v>
      </c>
      <c r="B3058" t="s">
        <v>4150</v>
      </c>
      <c r="C3058" t="s">
        <v>80</v>
      </c>
      <c r="D3058">
        <v>2002</v>
      </c>
      <c r="E3058" t="s">
        <v>29</v>
      </c>
      <c r="F3058" t="s">
        <v>30</v>
      </c>
      <c r="G3058" t="s">
        <v>31</v>
      </c>
      <c r="H3058" t="s">
        <v>32</v>
      </c>
      <c r="I3058">
        <v>6557.1942820000004</v>
      </c>
      <c r="J3058" t="s">
        <v>33</v>
      </c>
      <c r="K3058" t="s">
        <v>4191</v>
      </c>
      <c r="L3058" t="s">
        <v>21</v>
      </c>
      <c r="M3058" t="str">
        <f t="shared" si="141"/>
        <v>OK</v>
      </c>
      <c r="N3058" t="str">
        <f t="shared" si="142"/>
        <v>2000s</v>
      </c>
      <c r="O3058" t="str">
        <f t="shared" si="143"/>
        <v>N/A</v>
      </c>
      <c r="P3058" t="str">
        <f>VLOOKUP(E3058,calculated_fields!$F$4:$G$6,2,FALSE)</f>
        <v>Economy</v>
      </c>
    </row>
    <row r="3059" spans="1:16">
      <c r="A3059" t="s">
        <v>4194</v>
      </c>
      <c r="B3059" t="s">
        <v>4150</v>
      </c>
      <c r="C3059" t="s">
        <v>80</v>
      </c>
      <c r="D3059">
        <v>2007</v>
      </c>
      <c r="E3059" t="s">
        <v>15</v>
      </c>
      <c r="F3059" t="s">
        <v>16</v>
      </c>
      <c r="G3059" t="s">
        <v>17</v>
      </c>
      <c r="H3059" t="s">
        <v>18</v>
      </c>
      <c r="I3059">
        <v>74.543000000000006</v>
      </c>
      <c r="J3059" t="s">
        <v>19</v>
      </c>
      <c r="K3059" t="s">
        <v>4195</v>
      </c>
      <c r="L3059" t="s">
        <v>21</v>
      </c>
      <c r="M3059" t="str">
        <f t="shared" si="141"/>
        <v>OK</v>
      </c>
      <c r="N3059" t="str">
        <f t="shared" si="142"/>
        <v>2000s</v>
      </c>
      <c r="O3059" t="str">
        <f t="shared" si="143"/>
        <v>High</v>
      </c>
      <c r="P3059" t="str">
        <f>VLOOKUP(E3059,calculated_fields!$F$4:$G$6,2,FALSE)</f>
        <v>Health</v>
      </c>
    </row>
    <row r="3060" spans="1:16">
      <c r="A3060" t="s">
        <v>4196</v>
      </c>
      <c r="B3060" t="s">
        <v>4150</v>
      </c>
      <c r="C3060" t="s">
        <v>80</v>
      </c>
      <c r="D3060">
        <v>2007</v>
      </c>
      <c r="E3060" t="s">
        <v>23</v>
      </c>
      <c r="F3060" t="s">
        <v>24</v>
      </c>
      <c r="G3060" t="s">
        <v>25</v>
      </c>
      <c r="H3060" t="s">
        <v>26</v>
      </c>
      <c r="I3060">
        <v>684736</v>
      </c>
      <c r="J3060" t="s">
        <v>27</v>
      </c>
      <c r="K3060" t="s">
        <v>4195</v>
      </c>
      <c r="L3060" t="s">
        <v>21</v>
      </c>
      <c r="M3060" t="str">
        <f t="shared" si="141"/>
        <v>OK</v>
      </c>
      <c r="N3060" t="str">
        <f t="shared" si="142"/>
        <v>2000s</v>
      </c>
      <c r="O3060" t="str">
        <f t="shared" si="143"/>
        <v>N/A</v>
      </c>
      <c r="P3060" t="str">
        <f>VLOOKUP(E3060,calculated_fields!$F$4:$G$6,2,FALSE)</f>
        <v>Demographics</v>
      </c>
    </row>
    <row r="3061" spans="1:16">
      <c r="A3061" t="s">
        <v>4197</v>
      </c>
      <c r="B3061" t="s">
        <v>4150</v>
      </c>
      <c r="C3061" t="s">
        <v>80</v>
      </c>
      <c r="D3061">
        <v>2007</v>
      </c>
      <c r="E3061" t="s">
        <v>29</v>
      </c>
      <c r="F3061" t="s">
        <v>30</v>
      </c>
      <c r="G3061" t="s">
        <v>31</v>
      </c>
      <c r="H3061" t="s">
        <v>32</v>
      </c>
      <c r="I3061">
        <v>9253.896111</v>
      </c>
      <c r="J3061" t="s">
        <v>33</v>
      </c>
      <c r="K3061" t="s">
        <v>4195</v>
      </c>
      <c r="L3061" t="s">
        <v>21</v>
      </c>
      <c r="M3061" t="str">
        <f t="shared" si="141"/>
        <v>OK</v>
      </c>
      <c r="N3061" t="str">
        <f t="shared" si="142"/>
        <v>2000s</v>
      </c>
      <c r="O3061" t="str">
        <f t="shared" si="143"/>
        <v>N/A</v>
      </c>
      <c r="P3061" t="str">
        <f>VLOOKUP(E3061,calculated_fields!$F$4:$G$6,2,FALSE)</f>
        <v>Economy</v>
      </c>
    </row>
    <row r="3062" spans="1:16">
      <c r="A3062" t="s">
        <v>4198</v>
      </c>
      <c r="B3062" t="s">
        <v>4199</v>
      </c>
      <c r="C3062" t="s">
        <v>130</v>
      </c>
      <c r="D3062">
        <v>1952</v>
      </c>
      <c r="E3062" t="s">
        <v>15</v>
      </c>
      <c r="F3062" t="s">
        <v>16</v>
      </c>
      <c r="G3062" t="s">
        <v>17</v>
      </c>
      <c r="H3062" t="s">
        <v>18</v>
      </c>
      <c r="I3062">
        <v>42.872999999999998</v>
      </c>
      <c r="J3062" t="s">
        <v>19</v>
      </c>
      <c r="K3062" t="s">
        <v>4200</v>
      </c>
      <c r="L3062" t="s">
        <v>21</v>
      </c>
      <c r="M3062" t="str">
        <f t="shared" si="141"/>
        <v>OK</v>
      </c>
      <c r="N3062" t="str">
        <f t="shared" si="142"/>
        <v>1950s</v>
      </c>
      <c r="O3062" t="str">
        <f t="shared" si="143"/>
        <v>Low</v>
      </c>
      <c r="P3062" t="str">
        <f>VLOOKUP(E3062,calculated_fields!$F$4:$G$6,2,FALSE)</f>
        <v>Health</v>
      </c>
    </row>
    <row r="3063" spans="1:16">
      <c r="A3063" t="s">
        <v>4201</v>
      </c>
      <c r="B3063" t="s">
        <v>4199</v>
      </c>
      <c r="C3063" t="s">
        <v>130</v>
      </c>
      <c r="D3063">
        <v>1952</v>
      </c>
      <c r="E3063" t="s">
        <v>23</v>
      </c>
      <c r="F3063" t="s">
        <v>24</v>
      </c>
      <c r="G3063" t="s">
        <v>25</v>
      </c>
      <c r="H3063" t="s">
        <v>26</v>
      </c>
      <c r="I3063">
        <v>9939217</v>
      </c>
      <c r="J3063" t="s">
        <v>27</v>
      </c>
      <c r="K3063" t="s">
        <v>4200</v>
      </c>
      <c r="L3063" t="s">
        <v>21</v>
      </c>
      <c r="M3063" t="str">
        <f t="shared" si="141"/>
        <v>OK</v>
      </c>
      <c r="N3063" t="str">
        <f t="shared" si="142"/>
        <v>1950s</v>
      </c>
      <c r="O3063" t="str">
        <f t="shared" si="143"/>
        <v>N/A</v>
      </c>
      <c r="P3063" t="str">
        <f>VLOOKUP(E3063,calculated_fields!$F$4:$G$6,2,FALSE)</f>
        <v>Demographics</v>
      </c>
    </row>
    <row r="3064" spans="1:16">
      <c r="A3064" t="s">
        <v>4202</v>
      </c>
      <c r="B3064" t="s">
        <v>4199</v>
      </c>
      <c r="C3064" t="s">
        <v>130</v>
      </c>
      <c r="D3064">
        <v>1952</v>
      </c>
      <c r="E3064" t="s">
        <v>29</v>
      </c>
      <c r="F3064" t="s">
        <v>30</v>
      </c>
      <c r="G3064" t="s">
        <v>31</v>
      </c>
      <c r="H3064" t="s">
        <v>32</v>
      </c>
      <c r="I3064">
        <v>1688.2035699999999</v>
      </c>
      <c r="J3064" t="s">
        <v>33</v>
      </c>
      <c r="K3064" t="s">
        <v>4200</v>
      </c>
      <c r="L3064" t="s">
        <v>21</v>
      </c>
      <c r="M3064" t="str">
        <f t="shared" si="141"/>
        <v>OK</v>
      </c>
      <c r="N3064" t="str">
        <f t="shared" si="142"/>
        <v>1950s</v>
      </c>
      <c r="O3064" t="str">
        <f t="shared" si="143"/>
        <v>N/A</v>
      </c>
      <c r="P3064" t="str">
        <f>VLOOKUP(E3064,calculated_fields!$F$4:$G$6,2,FALSE)</f>
        <v>Economy</v>
      </c>
    </row>
    <row r="3065" spans="1:16">
      <c r="A3065" t="s">
        <v>4203</v>
      </c>
      <c r="B3065" t="s">
        <v>4199</v>
      </c>
      <c r="C3065" t="s">
        <v>130</v>
      </c>
      <c r="D3065">
        <v>1957</v>
      </c>
      <c r="E3065" t="s">
        <v>15</v>
      </c>
      <c r="F3065" t="s">
        <v>16</v>
      </c>
      <c r="G3065" t="s">
        <v>17</v>
      </c>
      <c r="H3065" t="s">
        <v>18</v>
      </c>
      <c r="I3065">
        <v>45.423000000000002</v>
      </c>
      <c r="J3065" t="s">
        <v>19</v>
      </c>
      <c r="K3065" t="s">
        <v>4204</v>
      </c>
      <c r="L3065" t="s">
        <v>21</v>
      </c>
      <c r="M3065" t="str">
        <f t="shared" si="141"/>
        <v>OK</v>
      </c>
      <c r="N3065" t="str">
        <f t="shared" si="142"/>
        <v>1950s</v>
      </c>
      <c r="O3065" t="str">
        <f t="shared" si="143"/>
        <v>Low</v>
      </c>
      <c r="P3065" t="str">
        <f>VLOOKUP(E3065,calculated_fields!$F$4:$G$6,2,FALSE)</f>
        <v>Health</v>
      </c>
    </row>
    <row r="3066" spans="1:16">
      <c r="A3066" t="s">
        <v>4205</v>
      </c>
      <c r="B3066" t="s">
        <v>4199</v>
      </c>
      <c r="C3066" t="s">
        <v>130</v>
      </c>
      <c r="D3066">
        <v>1957</v>
      </c>
      <c r="E3066" t="s">
        <v>23</v>
      </c>
      <c r="F3066" t="s">
        <v>24</v>
      </c>
      <c r="G3066" t="s">
        <v>25</v>
      </c>
      <c r="H3066" t="s">
        <v>26</v>
      </c>
      <c r="I3066">
        <v>11406350</v>
      </c>
      <c r="J3066" t="s">
        <v>27</v>
      </c>
      <c r="K3066" t="s">
        <v>4204</v>
      </c>
      <c r="L3066" t="s">
        <v>21</v>
      </c>
      <c r="M3066" t="str">
        <f t="shared" si="141"/>
        <v>OK</v>
      </c>
      <c r="N3066" t="str">
        <f t="shared" si="142"/>
        <v>1950s</v>
      </c>
      <c r="O3066" t="str">
        <f t="shared" si="143"/>
        <v>N/A</v>
      </c>
      <c r="P3066" t="str">
        <f>VLOOKUP(E3066,calculated_fields!$F$4:$G$6,2,FALSE)</f>
        <v>Demographics</v>
      </c>
    </row>
    <row r="3067" spans="1:16">
      <c r="A3067" t="s">
        <v>4206</v>
      </c>
      <c r="B3067" t="s">
        <v>4199</v>
      </c>
      <c r="C3067" t="s">
        <v>130</v>
      </c>
      <c r="D3067">
        <v>1957</v>
      </c>
      <c r="E3067" t="s">
        <v>29</v>
      </c>
      <c r="F3067" t="s">
        <v>30</v>
      </c>
      <c r="G3067" t="s">
        <v>31</v>
      </c>
      <c r="H3067" t="s">
        <v>32</v>
      </c>
      <c r="I3067">
        <v>1642.0023140000001</v>
      </c>
      <c r="J3067" t="s">
        <v>33</v>
      </c>
      <c r="K3067" t="s">
        <v>4204</v>
      </c>
      <c r="L3067" t="s">
        <v>21</v>
      </c>
      <c r="M3067" t="str">
        <f t="shared" si="141"/>
        <v>OK</v>
      </c>
      <c r="N3067" t="str">
        <f t="shared" si="142"/>
        <v>1950s</v>
      </c>
      <c r="O3067" t="str">
        <f t="shared" si="143"/>
        <v>N/A</v>
      </c>
      <c r="P3067" t="str">
        <f>VLOOKUP(E3067,calculated_fields!$F$4:$G$6,2,FALSE)</f>
        <v>Economy</v>
      </c>
    </row>
    <row r="3068" spans="1:16">
      <c r="A3068" t="s">
        <v>4207</v>
      </c>
      <c r="B3068" t="s">
        <v>4199</v>
      </c>
      <c r="C3068" t="s">
        <v>130</v>
      </c>
      <c r="D3068">
        <v>1962</v>
      </c>
      <c r="E3068" t="s">
        <v>15</v>
      </c>
      <c r="F3068" t="s">
        <v>16</v>
      </c>
      <c r="G3068" t="s">
        <v>17</v>
      </c>
      <c r="H3068" t="s">
        <v>18</v>
      </c>
      <c r="I3068">
        <v>47.923999999999999</v>
      </c>
      <c r="J3068" t="s">
        <v>19</v>
      </c>
      <c r="K3068" t="s">
        <v>4208</v>
      </c>
      <c r="L3068" t="s">
        <v>21</v>
      </c>
      <c r="M3068" t="str">
        <f t="shared" si="141"/>
        <v>OK</v>
      </c>
      <c r="N3068" t="str">
        <f t="shared" si="142"/>
        <v>1960s</v>
      </c>
      <c r="O3068" t="str">
        <f t="shared" si="143"/>
        <v>Low</v>
      </c>
      <c r="P3068" t="str">
        <f>VLOOKUP(E3068,calculated_fields!$F$4:$G$6,2,FALSE)</f>
        <v>Health</v>
      </c>
    </row>
    <row r="3069" spans="1:16">
      <c r="A3069" t="s">
        <v>4209</v>
      </c>
      <c r="B3069" t="s">
        <v>4199</v>
      </c>
      <c r="C3069" t="s">
        <v>130</v>
      </c>
      <c r="D3069">
        <v>1962</v>
      </c>
      <c r="E3069" t="s">
        <v>23</v>
      </c>
      <c r="F3069" t="s">
        <v>24</v>
      </c>
      <c r="G3069" t="s">
        <v>25</v>
      </c>
      <c r="H3069" t="s">
        <v>26</v>
      </c>
      <c r="I3069">
        <v>13056604</v>
      </c>
      <c r="J3069" t="s">
        <v>27</v>
      </c>
      <c r="K3069" t="s">
        <v>4208</v>
      </c>
      <c r="L3069" t="s">
        <v>21</v>
      </c>
      <c r="M3069" t="str">
        <f t="shared" si="141"/>
        <v>OK</v>
      </c>
      <c r="N3069" t="str">
        <f t="shared" si="142"/>
        <v>1960s</v>
      </c>
      <c r="O3069" t="str">
        <f t="shared" si="143"/>
        <v>N/A</v>
      </c>
      <c r="P3069" t="str">
        <f>VLOOKUP(E3069,calculated_fields!$F$4:$G$6,2,FALSE)</f>
        <v>Demographics</v>
      </c>
    </row>
    <row r="3070" spans="1:16">
      <c r="A3070" t="s">
        <v>4210</v>
      </c>
      <c r="B3070" t="s">
        <v>4199</v>
      </c>
      <c r="C3070" t="s">
        <v>130</v>
      </c>
      <c r="D3070">
        <v>1962</v>
      </c>
      <c r="E3070" t="s">
        <v>29</v>
      </c>
      <c r="F3070" t="s">
        <v>30</v>
      </c>
      <c r="G3070" t="s">
        <v>31</v>
      </c>
      <c r="H3070" t="s">
        <v>32</v>
      </c>
      <c r="I3070">
        <v>1566.3534930000001</v>
      </c>
      <c r="J3070" t="s">
        <v>33</v>
      </c>
      <c r="K3070" t="s">
        <v>4208</v>
      </c>
      <c r="L3070" t="s">
        <v>21</v>
      </c>
      <c r="M3070" t="str">
        <f t="shared" si="141"/>
        <v>OK</v>
      </c>
      <c r="N3070" t="str">
        <f t="shared" si="142"/>
        <v>1960s</v>
      </c>
      <c r="O3070" t="str">
        <f t="shared" si="143"/>
        <v>N/A</v>
      </c>
      <c r="P3070" t="str">
        <f>VLOOKUP(E3070,calculated_fields!$F$4:$G$6,2,FALSE)</f>
        <v>Economy</v>
      </c>
    </row>
    <row r="3071" spans="1:16">
      <c r="A3071" t="s">
        <v>4211</v>
      </c>
      <c r="B3071" t="s">
        <v>4199</v>
      </c>
      <c r="C3071" t="s">
        <v>130</v>
      </c>
      <c r="D3071">
        <v>1967</v>
      </c>
      <c r="E3071" t="s">
        <v>15</v>
      </c>
      <c r="F3071" t="s">
        <v>16</v>
      </c>
      <c r="G3071" t="s">
        <v>17</v>
      </c>
      <c r="H3071" t="s">
        <v>18</v>
      </c>
      <c r="I3071">
        <v>50.335000000000001</v>
      </c>
      <c r="J3071" t="s">
        <v>19</v>
      </c>
      <c r="K3071" t="s">
        <v>4212</v>
      </c>
      <c r="L3071" t="s">
        <v>21</v>
      </c>
      <c r="M3071" t="str">
        <f t="shared" si="141"/>
        <v>OK</v>
      </c>
      <c r="N3071" t="str">
        <f t="shared" si="142"/>
        <v>1960s</v>
      </c>
      <c r="O3071" t="str">
        <f t="shared" si="143"/>
        <v>Low</v>
      </c>
      <c r="P3071" t="str">
        <f>VLOOKUP(E3071,calculated_fields!$F$4:$G$6,2,FALSE)</f>
        <v>Health</v>
      </c>
    </row>
    <row r="3072" spans="1:16">
      <c r="A3072" t="s">
        <v>4213</v>
      </c>
      <c r="B3072" t="s">
        <v>4199</v>
      </c>
      <c r="C3072" t="s">
        <v>130</v>
      </c>
      <c r="D3072">
        <v>1967</v>
      </c>
      <c r="E3072" t="s">
        <v>23</v>
      </c>
      <c r="F3072" t="s">
        <v>24</v>
      </c>
      <c r="G3072" t="s">
        <v>25</v>
      </c>
      <c r="H3072" t="s">
        <v>26</v>
      </c>
      <c r="I3072">
        <v>14770296</v>
      </c>
      <c r="J3072" t="s">
        <v>27</v>
      </c>
      <c r="K3072" t="s">
        <v>4212</v>
      </c>
      <c r="L3072" t="s">
        <v>21</v>
      </c>
      <c r="M3072" t="str">
        <f t="shared" si="141"/>
        <v>OK</v>
      </c>
      <c r="N3072" t="str">
        <f t="shared" si="142"/>
        <v>1960s</v>
      </c>
      <c r="O3072" t="str">
        <f t="shared" si="143"/>
        <v>N/A</v>
      </c>
      <c r="P3072" t="str">
        <f>VLOOKUP(E3072,calculated_fields!$F$4:$G$6,2,FALSE)</f>
        <v>Demographics</v>
      </c>
    </row>
    <row r="3073" spans="1:16">
      <c r="A3073" t="s">
        <v>4214</v>
      </c>
      <c r="B3073" t="s">
        <v>4199</v>
      </c>
      <c r="C3073" t="s">
        <v>130</v>
      </c>
      <c r="D3073">
        <v>1967</v>
      </c>
      <c r="E3073" t="s">
        <v>29</v>
      </c>
      <c r="F3073" t="s">
        <v>30</v>
      </c>
      <c r="G3073" t="s">
        <v>31</v>
      </c>
      <c r="H3073" t="s">
        <v>32</v>
      </c>
      <c r="I3073">
        <v>1711.04477</v>
      </c>
      <c r="J3073" t="s">
        <v>33</v>
      </c>
      <c r="K3073" t="s">
        <v>4212</v>
      </c>
      <c r="L3073" t="s">
        <v>21</v>
      </c>
      <c r="M3073" t="str">
        <f t="shared" si="141"/>
        <v>OK</v>
      </c>
      <c r="N3073" t="str">
        <f t="shared" si="142"/>
        <v>1960s</v>
      </c>
      <c r="O3073" t="str">
        <f t="shared" si="143"/>
        <v>N/A</v>
      </c>
      <c r="P3073" t="str">
        <f>VLOOKUP(E3073,calculated_fields!$F$4:$G$6,2,FALSE)</f>
        <v>Economy</v>
      </c>
    </row>
    <row r="3074" spans="1:16">
      <c r="A3074" t="s">
        <v>4215</v>
      </c>
      <c r="B3074" t="s">
        <v>4199</v>
      </c>
      <c r="C3074" t="s">
        <v>130</v>
      </c>
      <c r="D3074">
        <v>1972</v>
      </c>
      <c r="E3074" t="s">
        <v>15</v>
      </c>
      <c r="F3074" t="s">
        <v>16</v>
      </c>
      <c r="G3074" t="s">
        <v>17</v>
      </c>
      <c r="H3074" t="s">
        <v>18</v>
      </c>
      <c r="I3074">
        <v>52.862000000000002</v>
      </c>
      <c r="J3074" t="s">
        <v>19</v>
      </c>
      <c r="K3074" t="s">
        <v>4216</v>
      </c>
      <c r="L3074" t="s">
        <v>21</v>
      </c>
      <c r="M3074" t="str">
        <f t="shared" ref="M3074:M3137" si="144">IF(AND(ISNUMBER(I3074),I3074&gt;=0),"OK","Review")</f>
        <v>OK</v>
      </c>
      <c r="N3074" t="str">
        <f t="shared" ref="N3074:N3137" si="145">FLOOR(D3074,10)&amp;"s"</f>
        <v>1970s</v>
      </c>
      <c r="O3074" t="str">
        <f t="shared" ref="O3074:O3137" si="146">IF(E3074="LIFE_EXP",IF(I3074&gt;=70,"High",IF(I3074&gt;=55,"Medium","Low")),"N/A")</f>
        <v>Low</v>
      </c>
      <c r="P3074" t="str">
        <f>VLOOKUP(E3074,calculated_fields!$F$4:$G$6,2,FALSE)</f>
        <v>Health</v>
      </c>
    </row>
    <row r="3075" spans="1:16">
      <c r="A3075" t="s">
        <v>4217</v>
      </c>
      <c r="B3075" t="s">
        <v>4199</v>
      </c>
      <c r="C3075" t="s">
        <v>130</v>
      </c>
      <c r="D3075">
        <v>1972</v>
      </c>
      <c r="E3075" t="s">
        <v>23</v>
      </c>
      <c r="F3075" t="s">
        <v>24</v>
      </c>
      <c r="G3075" t="s">
        <v>25</v>
      </c>
      <c r="H3075" t="s">
        <v>26</v>
      </c>
      <c r="I3075">
        <v>16660670</v>
      </c>
      <c r="J3075" t="s">
        <v>27</v>
      </c>
      <c r="K3075" t="s">
        <v>4216</v>
      </c>
      <c r="L3075" t="s">
        <v>21</v>
      </c>
      <c r="M3075" t="str">
        <f t="shared" si="144"/>
        <v>OK</v>
      </c>
      <c r="N3075" t="str">
        <f t="shared" si="145"/>
        <v>1970s</v>
      </c>
      <c r="O3075" t="str">
        <f t="shared" si="146"/>
        <v>N/A</v>
      </c>
      <c r="P3075" t="str">
        <f>VLOOKUP(E3075,calculated_fields!$F$4:$G$6,2,FALSE)</f>
        <v>Demographics</v>
      </c>
    </row>
    <row r="3076" spans="1:16">
      <c r="A3076" t="s">
        <v>4218</v>
      </c>
      <c r="B3076" t="s">
        <v>4199</v>
      </c>
      <c r="C3076" t="s">
        <v>130</v>
      </c>
      <c r="D3076">
        <v>1972</v>
      </c>
      <c r="E3076" t="s">
        <v>29</v>
      </c>
      <c r="F3076" t="s">
        <v>30</v>
      </c>
      <c r="G3076" t="s">
        <v>31</v>
      </c>
      <c r="H3076" t="s">
        <v>32</v>
      </c>
      <c r="I3076">
        <v>1930.1949750000001</v>
      </c>
      <c r="J3076" t="s">
        <v>33</v>
      </c>
      <c r="K3076" t="s">
        <v>4216</v>
      </c>
      <c r="L3076" t="s">
        <v>21</v>
      </c>
      <c r="M3076" t="str">
        <f t="shared" si="144"/>
        <v>OK</v>
      </c>
      <c r="N3076" t="str">
        <f t="shared" si="145"/>
        <v>1970s</v>
      </c>
      <c r="O3076" t="str">
        <f t="shared" si="146"/>
        <v>N/A</v>
      </c>
      <c r="P3076" t="str">
        <f>VLOOKUP(E3076,calculated_fields!$F$4:$G$6,2,FALSE)</f>
        <v>Economy</v>
      </c>
    </row>
    <row r="3077" spans="1:16">
      <c r="A3077" t="s">
        <v>4219</v>
      </c>
      <c r="B3077" t="s">
        <v>4199</v>
      </c>
      <c r="C3077" t="s">
        <v>130</v>
      </c>
      <c r="D3077">
        <v>1977</v>
      </c>
      <c r="E3077" t="s">
        <v>15</v>
      </c>
      <c r="F3077" t="s">
        <v>16</v>
      </c>
      <c r="G3077" t="s">
        <v>17</v>
      </c>
      <c r="H3077" t="s">
        <v>18</v>
      </c>
      <c r="I3077">
        <v>55.73</v>
      </c>
      <c r="J3077" t="s">
        <v>19</v>
      </c>
      <c r="K3077" t="s">
        <v>4220</v>
      </c>
      <c r="L3077" t="s">
        <v>21</v>
      </c>
      <c r="M3077" t="str">
        <f t="shared" si="144"/>
        <v>OK</v>
      </c>
      <c r="N3077" t="str">
        <f t="shared" si="145"/>
        <v>1970s</v>
      </c>
      <c r="O3077" t="str">
        <f t="shared" si="146"/>
        <v>Medium</v>
      </c>
      <c r="P3077" t="str">
        <f>VLOOKUP(E3077,calculated_fields!$F$4:$G$6,2,FALSE)</f>
        <v>Health</v>
      </c>
    </row>
    <row r="3078" spans="1:16">
      <c r="A3078" t="s">
        <v>4221</v>
      </c>
      <c r="B3078" t="s">
        <v>4199</v>
      </c>
      <c r="C3078" t="s">
        <v>130</v>
      </c>
      <c r="D3078">
        <v>1977</v>
      </c>
      <c r="E3078" t="s">
        <v>23</v>
      </c>
      <c r="F3078" t="s">
        <v>24</v>
      </c>
      <c r="G3078" t="s">
        <v>25</v>
      </c>
      <c r="H3078" t="s">
        <v>26</v>
      </c>
      <c r="I3078">
        <v>18396941</v>
      </c>
      <c r="J3078" t="s">
        <v>27</v>
      </c>
      <c r="K3078" t="s">
        <v>4220</v>
      </c>
      <c r="L3078" t="s">
        <v>21</v>
      </c>
      <c r="M3078" t="str">
        <f t="shared" si="144"/>
        <v>OK</v>
      </c>
      <c r="N3078" t="str">
        <f t="shared" si="145"/>
        <v>1970s</v>
      </c>
      <c r="O3078" t="str">
        <f t="shared" si="146"/>
        <v>N/A</v>
      </c>
      <c r="P3078" t="str">
        <f>VLOOKUP(E3078,calculated_fields!$F$4:$G$6,2,FALSE)</f>
        <v>Demographics</v>
      </c>
    </row>
    <row r="3079" spans="1:16">
      <c r="A3079" t="s">
        <v>4222</v>
      </c>
      <c r="B3079" t="s">
        <v>4199</v>
      </c>
      <c r="C3079" t="s">
        <v>130</v>
      </c>
      <c r="D3079">
        <v>1977</v>
      </c>
      <c r="E3079" t="s">
        <v>29</v>
      </c>
      <c r="F3079" t="s">
        <v>30</v>
      </c>
      <c r="G3079" t="s">
        <v>31</v>
      </c>
      <c r="H3079" t="s">
        <v>32</v>
      </c>
      <c r="I3079">
        <v>2370.619976</v>
      </c>
      <c r="J3079" t="s">
        <v>33</v>
      </c>
      <c r="K3079" t="s">
        <v>4220</v>
      </c>
      <c r="L3079" t="s">
        <v>21</v>
      </c>
      <c r="M3079" t="str">
        <f t="shared" si="144"/>
        <v>OK</v>
      </c>
      <c r="N3079" t="str">
        <f t="shared" si="145"/>
        <v>1970s</v>
      </c>
      <c r="O3079" t="str">
        <f t="shared" si="146"/>
        <v>N/A</v>
      </c>
      <c r="P3079" t="str">
        <f>VLOOKUP(E3079,calculated_fields!$F$4:$G$6,2,FALSE)</f>
        <v>Economy</v>
      </c>
    </row>
    <row r="3080" spans="1:16">
      <c r="A3080" t="s">
        <v>4223</v>
      </c>
      <c r="B3080" t="s">
        <v>4199</v>
      </c>
      <c r="C3080" t="s">
        <v>130</v>
      </c>
      <c r="D3080">
        <v>1982</v>
      </c>
      <c r="E3080" t="s">
        <v>15</v>
      </c>
      <c r="F3080" t="s">
        <v>16</v>
      </c>
      <c r="G3080" t="s">
        <v>17</v>
      </c>
      <c r="H3080" t="s">
        <v>18</v>
      </c>
      <c r="I3080">
        <v>59.65</v>
      </c>
      <c r="J3080" t="s">
        <v>19</v>
      </c>
      <c r="K3080" t="s">
        <v>4224</v>
      </c>
      <c r="L3080" t="s">
        <v>21</v>
      </c>
      <c r="M3080" t="str">
        <f t="shared" si="144"/>
        <v>OK</v>
      </c>
      <c r="N3080" t="str">
        <f t="shared" si="145"/>
        <v>1980s</v>
      </c>
      <c r="O3080" t="str">
        <f t="shared" si="146"/>
        <v>Medium</v>
      </c>
      <c r="P3080" t="str">
        <f>VLOOKUP(E3080,calculated_fields!$F$4:$G$6,2,FALSE)</f>
        <v>Health</v>
      </c>
    </row>
    <row r="3081" spans="1:16">
      <c r="A3081" t="s">
        <v>4225</v>
      </c>
      <c r="B3081" t="s">
        <v>4199</v>
      </c>
      <c r="C3081" t="s">
        <v>130</v>
      </c>
      <c r="D3081">
        <v>1982</v>
      </c>
      <c r="E3081" t="s">
        <v>23</v>
      </c>
      <c r="F3081" t="s">
        <v>24</v>
      </c>
      <c r="G3081" t="s">
        <v>25</v>
      </c>
      <c r="H3081" t="s">
        <v>26</v>
      </c>
      <c r="I3081">
        <v>20198730</v>
      </c>
      <c r="J3081" t="s">
        <v>27</v>
      </c>
      <c r="K3081" t="s">
        <v>4224</v>
      </c>
      <c r="L3081" t="s">
        <v>21</v>
      </c>
      <c r="M3081" t="str">
        <f t="shared" si="144"/>
        <v>OK</v>
      </c>
      <c r="N3081" t="str">
        <f t="shared" si="145"/>
        <v>1980s</v>
      </c>
      <c r="O3081" t="str">
        <f t="shared" si="146"/>
        <v>N/A</v>
      </c>
      <c r="P3081" t="str">
        <f>VLOOKUP(E3081,calculated_fields!$F$4:$G$6,2,FALSE)</f>
        <v>Demographics</v>
      </c>
    </row>
    <row r="3082" spans="1:16">
      <c r="A3082" t="s">
        <v>4226</v>
      </c>
      <c r="B3082" t="s">
        <v>4199</v>
      </c>
      <c r="C3082" t="s">
        <v>130</v>
      </c>
      <c r="D3082">
        <v>1982</v>
      </c>
      <c r="E3082" t="s">
        <v>29</v>
      </c>
      <c r="F3082" t="s">
        <v>30</v>
      </c>
      <c r="G3082" t="s">
        <v>31</v>
      </c>
      <c r="H3082" t="s">
        <v>32</v>
      </c>
      <c r="I3082">
        <v>2702.6203559999999</v>
      </c>
      <c r="J3082" t="s">
        <v>33</v>
      </c>
      <c r="K3082" t="s">
        <v>4224</v>
      </c>
      <c r="L3082" t="s">
        <v>21</v>
      </c>
      <c r="M3082" t="str">
        <f t="shared" si="144"/>
        <v>OK</v>
      </c>
      <c r="N3082" t="str">
        <f t="shared" si="145"/>
        <v>1980s</v>
      </c>
      <c r="O3082" t="str">
        <f t="shared" si="146"/>
        <v>N/A</v>
      </c>
      <c r="P3082" t="str">
        <f>VLOOKUP(E3082,calculated_fields!$F$4:$G$6,2,FALSE)</f>
        <v>Economy</v>
      </c>
    </row>
    <row r="3083" spans="1:16">
      <c r="A3083" t="s">
        <v>4227</v>
      </c>
      <c r="B3083" t="s">
        <v>4199</v>
      </c>
      <c r="C3083" t="s">
        <v>130</v>
      </c>
      <c r="D3083">
        <v>1987</v>
      </c>
      <c r="E3083" t="s">
        <v>15</v>
      </c>
      <c r="F3083" t="s">
        <v>16</v>
      </c>
      <c r="G3083" t="s">
        <v>17</v>
      </c>
      <c r="H3083" t="s">
        <v>18</v>
      </c>
      <c r="I3083">
        <v>62.677</v>
      </c>
      <c r="J3083" t="s">
        <v>19</v>
      </c>
      <c r="K3083" t="s">
        <v>4228</v>
      </c>
      <c r="L3083" t="s">
        <v>21</v>
      </c>
      <c r="M3083" t="str">
        <f t="shared" si="144"/>
        <v>OK</v>
      </c>
      <c r="N3083" t="str">
        <f t="shared" si="145"/>
        <v>1980s</v>
      </c>
      <c r="O3083" t="str">
        <f t="shared" si="146"/>
        <v>Medium</v>
      </c>
      <c r="P3083" t="str">
        <f>VLOOKUP(E3083,calculated_fields!$F$4:$G$6,2,FALSE)</f>
        <v>Health</v>
      </c>
    </row>
    <row r="3084" spans="1:16">
      <c r="A3084" t="s">
        <v>4229</v>
      </c>
      <c r="B3084" t="s">
        <v>4199</v>
      </c>
      <c r="C3084" t="s">
        <v>130</v>
      </c>
      <c r="D3084">
        <v>1987</v>
      </c>
      <c r="E3084" t="s">
        <v>23</v>
      </c>
      <c r="F3084" t="s">
        <v>24</v>
      </c>
      <c r="G3084" t="s">
        <v>25</v>
      </c>
      <c r="H3084" t="s">
        <v>26</v>
      </c>
      <c r="I3084">
        <v>22987397</v>
      </c>
      <c r="J3084" t="s">
        <v>27</v>
      </c>
      <c r="K3084" t="s">
        <v>4228</v>
      </c>
      <c r="L3084" t="s">
        <v>21</v>
      </c>
      <c r="M3084" t="str">
        <f t="shared" si="144"/>
        <v>OK</v>
      </c>
      <c r="N3084" t="str">
        <f t="shared" si="145"/>
        <v>1980s</v>
      </c>
      <c r="O3084" t="str">
        <f t="shared" si="146"/>
        <v>N/A</v>
      </c>
      <c r="P3084" t="str">
        <f>VLOOKUP(E3084,calculated_fields!$F$4:$G$6,2,FALSE)</f>
        <v>Demographics</v>
      </c>
    </row>
    <row r="3085" spans="1:16">
      <c r="A3085" t="s">
        <v>4230</v>
      </c>
      <c r="B3085" t="s">
        <v>4199</v>
      </c>
      <c r="C3085" t="s">
        <v>130</v>
      </c>
      <c r="D3085">
        <v>1987</v>
      </c>
      <c r="E3085" t="s">
        <v>29</v>
      </c>
      <c r="F3085" t="s">
        <v>30</v>
      </c>
      <c r="G3085" t="s">
        <v>31</v>
      </c>
      <c r="H3085" t="s">
        <v>32</v>
      </c>
      <c r="I3085">
        <v>2755.0469910000002</v>
      </c>
      <c r="J3085" t="s">
        <v>33</v>
      </c>
      <c r="K3085" t="s">
        <v>4228</v>
      </c>
      <c r="L3085" t="s">
        <v>21</v>
      </c>
      <c r="M3085" t="str">
        <f t="shared" si="144"/>
        <v>OK</v>
      </c>
      <c r="N3085" t="str">
        <f t="shared" si="145"/>
        <v>1980s</v>
      </c>
      <c r="O3085" t="str">
        <f t="shared" si="146"/>
        <v>N/A</v>
      </c>
      <c r="P3085" t="str">
        <f>VLOOKUP(E3085,calculated_fields!$F$4:$G$6,2,FALSE)</f>
        <v>Economy</v>
      </c>
    </row>
    <row r="3086" spans="1:16">
      <c r="A3086" t="s">
        <v>4231</v>
      </c>
      <c r="B3086" t="s">
        <v>4199</v>
      </c>
      <c r="C3086" t="s">
        <v>130</v>
      </c>
      <c r="D3086">
        <v>1992</v>
      </c>
      <c r="E3086" t="s">
        <v>15</v>
      </c>
      <c r="F3086" t="s">
        <v>16</v>
      </c>
      <c r="G3086" t="s">
        <v>17</v>
      </c>
      <c r="H3086" t="s">
        <v>18</v>
      </c>
      <c r="I3086">
        <v>65.393000000000001</v>
      </c>
      <c r="J3086" t="s">
        <v>19</v>
      </c>
      <c r="K3086" t="s">
        <v>4232</v>
      </c>
      <c r="L3086" t="s">
        <v>21</v>
      </c>
      <c r="M3086" t="str">
        <f t="shared" si="144"/>
        <v>OK</v>
      </c>
      <c r="N3086" t="str">
        <f t="shared" si="145"/>
        <v>1990s</v>
      </c>
      <c r="O3086" t="str">
        <f t="shared" si="146"/>
        <v>Medium</v>
      </c>
      <c r="P3086" t="str">
        <f>VLOOKUP(E3086,calculated_fields!$F$4:$G$6,2,FALSE)</f>
        <v>Health</v>
      </c>
    </row>
    <row r="3087" spans="1:16">
      <c r="A3087" t="s">
        <v>4233</v>
      </c>
      <c r="B3087" t="s">
        <v>4199</v>
      </c>
      <c r="C3087" t="s">
        <v>130</v>
      </c>
      <c r="D3087">
        <v>1992</v>
      </c>
      <c r="E3087" t="s">
        <v>23</v>
      </c>
      <c r="F3087" t="s">
        <v>24</v>
      </c>
      <c r="G3087" t="s">
        <v>25</v>
      </c>
      <c r="H3087" t="s">
        <v>26</v>
      </c>
      <c r="I3087">
        <v>25798239</v>
      </c>
      <c r="J3087" t="s">
        <v>27</v>
      </c>
      <c r="K3087" t="s">
        <v>4232</v>
      </c>
      <c r="L3087" t="s">
        <v>21</v>
      </c>
      <c r="M3087" t="str">
        <f t="shared" si="144"/>
        <v>OK</v>
      </c>
      <c r="N3087" t="str">
        <f t="shared" si="145"/>
        <v>1990s</v>
      </c>
      <c r="O3087" t="str">
        <f t="shared" si="146"/>
        <v>N/A</v>
      </c>
      <c r="P3087" t="str">
        <f>VLOOKUP(E3087,calculated_fields!$F$4:$G$6,2,FALSE)</f>
        <v>Demographics</v>
      </c>
    </row>
    <row r="3088" spans="1:16">
      <c r="A3088" t="s">
        <v>4234</v>
      </c>
      <c r="B3088" t="s">
        <v>4199</v>
      </c>
      <c r="C3088" t="s">
        <v>130</v>
      </c>
      <c r="D3088">
        <v>1992</v>
      </c>
      <c r="E3088" t="s">
        <v>29</v>
      </c>
      <c r="F3088" t="s">
        <v>30</v>
      </c>
      <c r="G3088" t="s">
        <v>31</v>
      </c>
      <c r="H3088" t="s">
        <v>32</v>
      </c>
      <c r="I3088">
        <v>2948.0472519999998</v>
      </c>
      <c r="J3088" t="s">
        <v>33</v>
      </c>
      <c r="K3088" t="s">
        <v>4232</v>
      </c>
      <c r="L3088" t="s">
        <v>21</v>
      </c>
      <c r="M3088" t="str">
        <f t="shared" si="144"/>
        <v>OK</v>
      </c>
      <c r="N3088" t="str">
        <f t="shared" si="145"/>
        <v>1990s</v>
      </c>
      <c r="O3088" t="str">
        <f t="shared" si="146"/>
        <v>N/A</v>
      </c>
      <c r="P3088" t="str">
        <f>VLOOKUP(E3088,calculated_fields!$F$4:$G$6,2,FALSE)</f>
        <v>Economy</v>
      </c>
    </row>
    <row r="3089" spans="1:16">
      <c r="A3089" t="s">
        <v>4235</v>
      </c>
      <c r="B3089" t="s">
        <v>4199</v>
      </c>
      <c r="C3089" t="s">
        <v>130</v>
      </c>
      <c r="D3089">
        <v>1997</v>
      </c>
      <c r="E3089" t="s">
        <v>15</v>
      </c>
      <c r="F3089" t="s">
        <v>16</v>
      </c>
      <c r="G3089" t="s">
        <v>17</v>
      </c>
      <c r="H3089" t="s">
        <v>18</v>
      </c>
      <c r="I3089">
        <v>67.66</v>
      </c>
      <c r="J3089" t="s">
        <v>19</v>
      </c>
      <c r="K3089" t="s">
        <v>4236</v>
      </c>
      <c r="L3089" t="s">
        <v>21</v>
      </c>
      <c r="M3089" t="str">
        <f t="shared" si="144"/>
        <v>OK</v>
      </c>
      <c r="N3089" t="str">
        <f t="shared" si="145"/>
        <v>1990s</v>
      </c>
      <c r="O3089" t="str">
        <f t="shared" si="146"/>
        <v>Medium</v>
      </c>
      <c r="P3089" t="str">
        <f>VLOOKUP(E3089,calculated_fields!$F$4:$G$6,2,FALSE)</f>
        <v>Health</v>
      </c>
    </row>
    <row r="3090" spans="1:16">
      <c r="A3090" t="s">
        <v>4237</v>
      </c>
      <c r="B3090" t="s">
        <v>4199</v>
      </c>
      <c r="C3090" t="s">
        <v>130</v>
      </c>
      <c r="D3090">
        <v>1997</v>
      </c>
      <c r="E3090" t="s">
        <v>23</v>
      </c>
      <c r="F3090" t="s">
        <v>24</v>
      </c>
      <c r="G3090" t="s">
        <v>25</v>
      </c>
      <c r="H3090" t="s">
        <v>26</v>
      </c>
      <c r="I3090">
        <v>28529501</v>
      </c>
      <c r="J3090" t="s">
        <v>27</v>
      </c>
      <c r="K3090" t="s">
        <v>4236</v>
      </c>
      <c r="L3090" t="s">
        <v>21</v>
      </c>
      <c r="M3090" t="str">
        <f t="shared" si="144"/>
        <v>OK</v>
      </c>
      <c r="N3090" t="str">
        <f t="shared" si="145"/>
        <v>1990s</v>
      </c>
      <c r="O3090" t="str">
        <f t="shared" si="146"/>
        <v>N/A</v>
      </c>
      <c r="P3090" t="str">
        <f>VLOOKUP(E3090,calculated_fields!$F$4:$G$6,2,FALSE)</f>
        <v>Demographics</v>
      </c>
    </row>
    <row r="3091" spans="1:16">
      <c r="A3091" t="s">
        <v>4238</v>
      </c>
      <c r="B3091" t="s">
        <v>4199</v>
      </c>
      <c r="C3091" t="s">
        <v>130</v>
      </c>
      <c r="D3091">
        <v>1997</v>
      </c>
      <c r="E3091" t="s">
        <v>29</v>
      </c>
      <c r="F3091" t="s">
        <v>30</v>
      </c>
      <c r="G3091" t="s">
        <v>31</v>
      </c>
      <c r="H3091" t="s">
        <v>32</v>
      </c>
      <c r="I3091">
        <v>2982.101858</v>
      </c>
      <c r="J3091" t="s">
        <v>33</v>
      </c>
      <c r="K3091" t="s">
        <v>4236</v>
      </c>
      <c r="L3091" t="s">
        <v>21</v>
      </c>
      <c r="M3091" t="str">
        <f t="shared" si="144"/>
        <v>OK</v>
      </c>
      <c r="N3091" t="str">
        <f t="shared" si="145"/>
        <v>1990s</v>
      </c>
      <c r="O3091" t="str">
        <f t="shared" si="146"/>
        <v>N/A</v>
      </c>
      <c r="P3091" t="str">
        <f>VLOOKUP(E3091,calculated_fields!$F$4:$G$6,2,FALSE)</f>
        <v>Economy</v>
      </c>
    </row>
    <row r="3092" spans="1:16">
      <c r="A3092" t="s">
        <v>4239</v>
      </c>
      <c r="B3092" t="s">
        <v>4199</v>
      </c>
      <c r="C3092" t="s">
        <v>130</v>
      </c>
      <c r="D3092">
        <v>2002</v>
      </c>
      <c r="E3092" t="s">
        <v>15</v>
      </c>
      <c r="F3092" t="s">
        <v>16</v>
      </c>
      <c r="G3092" t="s">
        <v>17</v>
      </c>
      <c r="H3092" t="s">
        <v>18</v>
      </c>
      <c r="I3092">
        <v>69.614999999999995</v>
      </c>
      <c r="J3092" t="s">
        <v>19</v>
      </c>
      <c r="K3092" t="s">
        <v>4240</v>
      </c>
      <c r="L3092" t="s">
        <v>21</v>
      </c>
      <c r="M3092" t="str">
        <f t="shared" si="144"/>
        <v>OK</v>
      </c>
      <c r="N3092" t="str">
        <f t="shared" si="145"/>
        <v>2000s</v>
      </c>
      <c r="O3092" t="str">
        <f t="shared" si="146"/>
        <v>Medium</v>
      </c>
      <c r="P3092" t="str">
        <f>VLOOKUP(E3092,calculated_fields!$F$4:$G$6,2,FALSE)</f>
        <v>Health</v>
      </c>
    </row>
    <row r="3093" spans="1:16">
      <c r="A3093" t="s">
        <v>4241</v>
      </c>
      <c r="B3093" t="s">
        <v>4199</v>
      </c>
      <c r="C3093" t="s">
        <v>130</v>
      </c>
      <c r="D3093">
        <v>2002</v>
      </c>
      <c r="E3093" t="s">
        <v>23</v>
      </c>
      <c r="F3093" t="s">
        <v>24</v>
      </c>
      <c r="G3093" t="s">
        <v>25</v>
      </c>
      <c r="H3093" t="s">
        <v>26</v>
      </c>
      <c r="I3093">
        <v>31167783</v>
      </c>
      <c r="J3093" t="s">
        <v>27</v>
      </c>
      <c r="K3093" t="s">
        <v>4240</v>
      </c>
      <c r="L3093" t="s">
        <v>21</v>
      </c>
      <c r="M3093" t="str">
        <f t="shared" si="144"/>
        <v>OK</v>
      </c>
      <c r="N3093" t="str">
        <f t="shared" si="145"/>
        <v>2000s</v>
      </c>
      <c r="O3093" t="str">
        <f t="shared" si="146"/>
        <v>N/A</v>
      </c>
      <c r="P3093" t="str">
        <f>VLOOKUP(E3093,calculated_fields!$F$4:$G$6,2,FALSE)</f>
        <v>Demographics</v>
      </c>
    </row>
    <row r="3094" spans="1:16">
      <c r="A3094" t="s">
        <v>4242</v>
      </c>
      <c r="B3094" t="s">
        <v>4199</v>
      </c>
      <c r="C3094" t="s">
        <v>130</v>
      </c>
      <c r="D3094">
        <v>2002</v>
      </c>
      <c r="E3094" t="s">
        <v>29</v>
      </c>
      <c r="F3094" t="s">
        <v>30</v>
      </c>
      <c r="G3094" t="s">
        <v>31</v>
      </c>
      <c r="H3094" t="s">
        <v>32</v>
      </c>
      <c r="I3094">
        <v>3258.4955839999998</v>
      </c>
      <c r="J3094" t="s">
        <v>33</v>
      </c>
      <c r="K3094" t="s">
        <v>4240</v>
      </c>
      <c r="L3094" t="s">
        <v>21</v>
      </c>
      <c r="M3094" t="str">
        <f t="shared" si="144"/>
        <v>OK</v>
      </c>
      <c r="N3094" t="str">
        <f t="shared" si="145"/>
        <v>2000s</v>
      </c>
      <c r="O3094" t="str">
        <f t="shared" si="146"/>
        <v>N/A</v>
      </c>
      <c r="P3094" t="str">
        <f>VLOOKUP(E3094,calculated_fields!$F$4:$G$6,2,FALSE)</f>
        <v>Economy</v>
      </c>
    </row>
    <row r="3095" spans="1:16">
      <c r="A3095" t="s">
        <v>4243</v>
      </c>
      <c r="B3095" t="s">
        <v>4199</v>
      </c>
      <c r="C3095" t="s">
        <v>130</v>
      </c>
      <c r="D3095">
        <v>2007</v>
      </c>
      <c r="E3095" t="s">
        <v>15</v>
      </c>
      <c r="F3095" t="s">
        <v>16</v>
      </c>
      <c r="G3095" t="s">
        <v>17</v>
      </c>
      <c r="H3095" t="s">
        <v>18</v>
      </c>
      <c r="I3095">
        <v>71.164000000000001</v>
      </c>
      <c r="J3095" t="s">
        <v>19</v>
      </c>
      <c r="K3095" t="s">
        <v>4244</v>
      </c>
      <c r="L3095" t="s">
        <v>21</v>
      </c>
      <c r="M3095" t="str">
        <f t="shared" si="144"/>
        <v>OK</v>
      </c>
      <c r="N3095" t="str">
        <f t="shared" si="145"/>
        <v>2000s</v>
      </c>
      <c r="O3095" t="str">
        <f t="shared" si="146"/>
        <v>High</v>
      </c>
      <c r="P3095" t="str">
        <f>VLOOKUP(E3095,calculated_fields!$F$4:$G$6,2,FALSE)</f>
        <v>Health</v>
      </c>
    </row>
    <row r="3096" spans="1:16">
      <c r="A3096" t="s">
        <v>4245</v>
      </c>
      <c r="B3096" t="s">
        <v>4199</v>
      </c>
      <c r="C3096" t="s">
        <v>130</v>
      </c>
      <c r="D3096">
        <v>2007</v>
      </c>
      <c r="E3096" t="s">
        <v>23</v>
      </c>
      <c r="F3096" t="s">
        <v>24</v>
      </c>
      <c r="G3096" t="s">
        <v>25</v>
      </c>
      <c r="H3096" t="s">
        <v>26</v>
      </c>
      <c r="I3096">
        <v>33757175</v>
      </c>
      <c r="J3096" t="s">
        <v>27</v>
      </c>
      <c r="K3096" t="s">
        <v>4244</v>
      </c>
      <c r="L3096" t="s">
        <v>21</v>
      </c>
      <c r="M3096" t="str">
        <f t="shared" si="144"/>
        <v>OK</v>
      </c>
      <c r="N3096" t="str">
        <f t="shared" si="145"/>
        <v>2000s</v>
      </c>
      <c r="O3096" t="str">
        <f t="shared" si="146"/>
        <v>N/A</v>
      </c>
      <c r="P3096" t="str">
        <f>VLOOKUP(E3096,calculated_fields!$F$4:$G$6,2,FALSE)</f>
        <v>Demographics</v>
      </c>
    </row>
    <row r="3097" spans="1:16">
      <c r="A3097" t="s">
        <v>4246</v>
      </c>
      <c r="B3097" t="s">
        <v>4199</v>
      </c>
      <c r="C3097" t="s">
        <v>130</v>
      </c>
      <c r="D3097">
        <v>2007</v>
      </c>
      <c r="E3097" t="s">
        <v>29</v>
      </c>
      <c r="F3097" t="s">
        <v>30</v>
      </c>
      <c r="G3097" t="s">
        <v>31</v>
      </c>
      <c r="H3097" t="s">
        <v>32</v>
      </c>
      <c r="I3097">
        <v>3820.1752299999998</v>
      </c>
      <c r="J3097" t="s">
        <v>33</v>
      </c>
      <c r="K3097" t="s">
        <v>4244</v>
      </c>
      <c r="L3097" t="s">
        <v>21</v>
      </c>
      <c r="M3097" t="str">
        <f t="shared" si="144"/>
        <v>OK</v>
      </c>
      <c r="N3097" t="str">
        <f t="shared" si="145"/>
        <v>2000s</v>
      </c>
      <c r="O3097" t="str">
        <f t="shared" si="146"/>
        <v>N/A</v>
      </c>
      <c r="P3097" t="str">
        <f>VLOOKUP(E3097,calculated_fields!$F$4:$G$6,2,FALSE)</f>
        <v>Economy</v>
      </c>
    </row>
    <row r="3098" spans="1:16">
      <c r="A3098" t="s">
        <v>4247</v>
      </c>
      <c r="B3098" t="s">
        <v>4248</v>
      </c>
      <c r="C3098" t="s">
        <v>130</v>
      </c>
      <c r="D3098">
        <v>1952</v>
      </c>
      <c r="E3098" t="s">
        <v>15</v>
      </c>
      <c r="F3098" t="s">
        <v>16</v>
      </c>
      <c r="G3098" t="s">
        <v>17</v>
      </c>
      <c r="H3098" t="s">
        <v>18</v>
      </c>
      <c r="I3098">
        <v>31.286000000000001</v>
      </c>
      <c r="J3098" t="s">
        <v>19</v>
      </c>
      <c r="K3098" t="s">
        <v>4249</v>
      </c>
      <c r="L3098" t="s">
        <v>21</v>
      </c>
      <c r="M3098" t="str">
        <f t="shared" si="144"/>
        <v>OK</v>
      </c>
      <c r="N3098" t="str">
        <f t="shared" si="145"/>
        <v>1950s</v>
      </c>
      <c r="O3098" t="str">
        <f t="shared" si="146"/>
        <v>Low</v>
      </c>
      <c r="P3098" t="str">
        <f>VLOOKUP(E3098,calculated_fields!$F$4:$G$6,2,FALSE)</f>
        <v>Health</v>
      </c>
    </row>
    <row r="3099" spans="1:16">
      <c r="A3099" t="s">
        <v>4250</v>
      </c>
      <c r="B3099" t="s">
        <v>4248</v>
      </c>
      <c r="C3099" t="s">
        <v>130</v>
      </c>
      <c r="D3099">
        <v>1952</v>
      </c>
      <c r="E3099" t="s">
        <v>23</v>
      </c>
      <c r="F3099" t="s">
        <v>24</v>
      </c>
      <c r="G3099" t="s">
        <v>25</v>
      </c>
      <c r="H3099" t="s">
        <v>26</v>
      </c>
      <c r="I3099">
        <v>6446316</v>
      </c>
      <c r="J3099" t="s">
        <v>27</v>
      </c>
      <c r="K3099" t="s">
        <v>4249</v>
      </c>
      <c r="L3099" t="s">
        <v>21</v>
      </c>
      <c r="M3099" t="str">
        <f t="shared" si="144"/>
        <v>OK</v>
      </c>
      <c r="N3099" t="str">
        <f t="shared" si="145"/>
        <v>1950s</v>
      </c>
      <c r="O3099" t="str">
        <f t="shared" si="146"/>
        <v>N/A</v>
      </c>
      <c r="P3099" t="str">
        <f>VLOOKUP(E3099,calculated_fields!$F$4:$G$6,2,FALSE)</f>
        <v>Demographics</v>
      </c>
    </row>
    <row r="3100" spans="1:16">
      <c r="A3100" t="s">
        <v>4251</v>
      </c>
      <c r="B3100" t="s">
        <v>4248</v>
      </c>
      <c r="C3100" t="s">
        <v>130</v>
      </c>
      <c r="D3100">
        <v>1952</v>
      </c>
      <c r="E3100" t="s">
        <v>29</v>
      </c>
      <c r="F3100" t="s">
        <v>30</v>
      </c>
      <c r="G3100" t="s">
        <v>31</v>
      </c>
      <c r="H3100" t="s">
        <v>32</v>
      </c>
      <c r="I3100">
        <v>468.52603809999999</v>
      </c>
      <c r="J3100" t="s">
        <v>33</v>
      </c>
      <c r="K3100" t="s">
        <v>4249</v>
      </c>
      <c r="L3100" t="s">
        <v>21</v>
      </c>
      <c r="M3100" t="str">
        <f t="shared" si="144"/>
        <v>OK</v>
      </c>
      <c r="N3100" t="str">
        <f t="shared" si="145"/>
        <v>1950s</v>
      </c>
      <c r="O3100" t="str">
        <f t="shared" si="146"/>
        <v>N/A</v>
      </c>
      <c r="P3100" t="str">
        <f>VLOOKUP(E3100,calculated_fields!$F$4:$G$6,2,FALSE)</f>
        <v>Economy</v>
      </c>
    </row>
    <row r="3101" spans="1:16">
      <c r="A3101" t="s">
        <v>4252</v>
      </c>
      <c r="B3101" t="s">
        <v>4248</v>
      </c>
      <c r="C3101" t="s">
        <v>130</v>
      </c>
      <c r="D3101">
        <v>1957</v>
      </c>
      <c r="E3101" t="s">
        <v>15</v>
      </c>
      <c r="F3101" t="s">
        <v>16</v>
      </c>
      <c r="G3101" t="s">
        <v>17</v>
      </c>
      <c r="H3101" t="s">
        <v>18</v>
      </c>
      <c r="I3101">
        <v>33.779000000000003</v>
      </c>
      <c r="J3101" t="s">
        <v>19</v>
      </c>
      <c r="K3101" t="s">
        <v>4253</v>
      </c>
      <c r="L3101" t="s">
        <v>21</v>
      </c>
      <c r="M3101" t="str">
        <f t="shared" si="144"/>
        <v>OK</v>
      </c>
      <c r="N3101" t="str">
        <f t="shared" si="145"/>
        <v>1950s</v>
      </c>
      <c r="O3101" t="str">
        <f t="shared" si="146"/>
        <v>Low</v>
      </c>
      <c r="P3101" t="str">
        <f>VLOOKUP(E3101,calculated_fields!$F$4:$G$6,2,FALSE)</f>
        <v>Health</v>
      </c>
    </row>
    <row r="3102" spans="1:16">
      <c r="A3102" t="s">
        <v>4254</v>
      </c>
      <c r="B3102" t="s">
        <v>4248</v>
      </c>
      <c r="C3102" t="s">
        <v>130</v>
      </c>
      <c r="D3102">
        <v>1957</v>
      </c>
      <c r="E3102" t="s">
        <v>23</v>
      </c>
      <c r="F3102" t="s">
        <v>24</v>
      </c>
      <c r="G3102" t="s">
        <v>25</v>
      </c>
      <c r="H3102" t="s">
        <v>26</v>
      </c>
      <c r="I3102">
        <v>7038035</v>
      </c>
      <c r="J3102" t="s">
        <v>27</v>
      </c>
      <c r="K3102" t="s">
        <v>4253</v>
      </c>
      <c r="L3102" t="s">
        <v>21</v>
      </c>
      <c r="M3102" t="str">
        <f t="shared" si="144"/>
        <v>OK</v>
      </c>
      <c r="N3102" t="str">
        <f t="shared" si="145"/>
        <v>1950s</v>
      </c>
      <c r="O3102" t="str">
        <f t="shared" si="146"/>
        <v>N/A</v>
      </c>
      <c r="P3102" t="str">
        <f>VLOOKUP(E3102,calculated_fields!$F$4:$G$6,2,FALSE)</f>
        <v>Demographics</v>
      </c>
    </row>
    <row r="3103" spans="1:16">
      <c r="A3103" t="s">
        <v>4255</v>
      </c>
      <c r="B3103" t="s">
        <v>4248</v>
      </c>
      <c r="C3103" t="s">
        <v>130</v>
      </c>
      <c r="D3103">
        <v>1957</v>
      </c>
      <c r="E3103" t="s">
        <v>29</v>
      </c>
      <c r="F3103" t="s">
        <v>30</v>
      </c>
      <c r="G3103" t="s">
        <v>31</v>
      </c>
      <c r="H3103" t="s">
        <v>32</v>
      </c>
      <c r="I3103">
        <v>495.58683330000002</v>
      </c>
      <c r="J3103" t="s">
        <v>33</v>
      </c>
      <c r="K3103" t="s">
        <v>4253</v>
      </c>
      <c r="L3103" t="s">
        <v>21</v>
      </c>
      <c r="M3103" t="str">
        <f t="shared" si="144"/>
        <v>OK</v>
      </c>
      <c r="N3103" t="str">
        <f t="shared" si="145"/>
        <v>1950s</v>
      </c>
      <c r="O3103" t="str">
        <f t="shared" si="146"/>
        <v>N/A</v>
      </c>
      <c r="P3103" t="str">
        <f>VLOOKUP(E3103,calculated_fields!$F$4:$G$6,2,FALSE)</f>
        <v>Economy</v>
      </c>
    </row>
    <row r="3104" spans="1:16">
      <c r="A3104" t="s">
        <v>4256</v>
      </c>
      <c r="B3104" t="s">
        <v>4248</v>
      </c>
      <c r="C3104" t="s">
        <v>130</v>
      </c>
      <c r="D3104">
        <v>1962</v>
      </c>
      <c r="E3104" t="s">
        <v>15</v>
      </c>
      <c r="F3104" t="s">
        <v>16</v>
      </c>
      <c r="G3104" t="s">
        <v>17</v>
      </c>
      <c r="H3104" t="s">
        <v>18</v>
      </c>
      <c r="I3104">
        <v>36.161000000000001</v>
      </c>
      <c r="J3104" t="s">
        <v>19</v>
      </c>
      <c r="K3104" t="s">
        <v>4257</v>
      </c>
      <c r="L3104" t="s">
        <v>21</v>
      </c>
      <c r="M3104" t="str">
        <f t="shared" si="144"/>
        <v>OK</v>
      </c>
      <c r="N3104" t="str">
        <f t="shared" si="145"/>
        <v>1960s</v>
      </c>
      <c r="O3104" t="str">
        <f t="shared" si="146"/>
        <v>Low</v>
      </c>
      <c r="P3104" t="str">
        <f>VLOOKUP(E3104,calculated_fields!$F$4:$G$6,2,FALSE)</f>
        <v>Health</v>
      </c>
    </row>
    <row r="3105" spans="1:16">
      <c r="A3105" t="s">
        <v>4258</v>
      </c>
      <c r="B3105" t="s">
        <v>4248</v>
      </c>
      <c r="C3105" t="s">
        <v>130</v>
      </c>
      <c r="D3105">
        <v>1962</v>
      </c>
      <c r="E3105" t="s">
        <v>23</v>
      </c>
      <c r="F3105" t="s">
        <v>24</v>
      </c>
      <c r="G3105" t="s">
        <v>25</v>
      </c>
      <c r="H3105" t="s">
        <v>26</v>
      </c>
      <c r="I3105">
        <v>7788944</v>
      </c>
      <c r="J3105" t="s">
        <v>27</v>
      </c>
      <c r="K3105" t="s">
        <v>4257</v>
      </c>
      <c r="L3105" t="s">
        <v>21</v>
      </c>
      <c r="M3105" t="str">
        <f t="shared" si="144"/>
        <v>OK</v>
      </c>
      <c r="N3105" t="str">
        <f t="shared" si="145"/>
        <v>1960s</v>
      </c>
      <c r="O3105" t="str">
        <f t="shared" si="146"/>
        <v>N/A</v>
      </c>
      <c r="P3105" t="str">
        <f>VLOOKUP(E3105,calculated_fields!$F$4:$G$6,2,FALSE)</f>
        <v>Demographics</v>
      </c>
    </row>
    <row r="3106" spans="1:16">
      <c r="A3106" t="s">
        <v>4259</v>
      </c>
      <c r="B3106" t="s">
        <v>4248</v>
      </c>
      <c r="C3106" t="s">
        <v>130</v>
      </c>
      <c r="D3106">
        <v>1962</v>
      </c>
      <c r="E3106" t="s">
        <v>29</v>
      </c>
      <c r="F3106" t="s">
        <v>30</v>
      </c>
      <c r="G3106" t="s">
        <v>31</v>
      </c>
      <c r="H3106" t="s">
        <v>32</v>
      </c>
      <c r="I3106">
        <v>556.68635389999997</v>
      </c>
      <c r="J3106" t="s">
        <v>33</v>
      </c>
      <c r="K3106" t="s">
        <v>4257</v>
      </c>
      <c r="L3106" t="s">
        <v>21</v>
      </c>
      <c r="M3106" t="str">
        <f t="shared" si="144"/>
        <v>OK</v>
      </c>
      <c r="N3106" t="str">
        <f t="shared" si="145"/>
        <v>1960s</v>
      </c>
      <c r="O3106" t="str">
        <f t="shared" si="146"/>
        <v>N/A</v>
      </c>
      <c r="P3106" t="str">
        <f>VLOOKUP(E3106,calculated_fields!$F$4:$G$6,2,FALSE)</f>
        <v>Economy</v>
      </c>
    </row>
    <row r="3107" spans="1:16">
      <c r="A3107" t="s">
        <v>4260</v>
      </c>
      <c r="B3107" t="s">
        <v>4248</v>
      </c>
      <c r="C3107" t="s">
        <v>130</v>
      </c>
      <c r="D3107">
        <v>1967</v>
      </c>
      <c r="E3107" t="s">
        <v>15</v>
      </c>
      <c r="F3107" t="s">
        <v>16</v>
      </c>
      <c r="G3107" t="s">
        <v>17</v>
      </c>
      <c r="H3107" t="s">
        <v>18</v>
      </c>
      <c r="I3107">
        <v>38.113</v>
      </c>
      <c r="J3107" t="s">
        <v>19</v>
      </c>
      <c r="K3107" t="s">
        <v>4261</v>
      </c>
      <c r="L3107" t="s">
        <v>21</v>
      </c>
      <c r="M3107" t="str">
        <f t="shared" si="144"/>
        <v>OK</v>
      </c>
      <c r="N3107" t="str">
        <f t="shared" si="145"/>
        <v>1960s</v>
      </c>
      <c r="O3107" t="str">
        <f t="shared" si="146"/>
        <v>Low</v>
      </c>
      <c r="P3107" t="str">
        <f>VLOOKUP(E3107,calculated_fields!$F$4:$G$6,2,FALSE)</f>
        <v>Health</v>
      </c>
    </row>
    <row r="3108" spans="1:16">
      <c r="A3108" t="s">
        <v>4262</v>
      </c>
      <c r="B3108" t="s">
        <v>4248</v>
      </c>
      <c r="C3108" t="s">
        <v>130</v>
      </c>
      <c r="D3108">
        <v>1967</v>
      </c>
      <c r="E3108" t="s">
        <v>23</v>
      </c>
      <c r="F3108" t="s">
        <v>24</v>
      </c>
      <c r="G3108" t="s">
        <v>25</v>
      </c>
      <c r="H3108" t="s">
        <v>26</v>
      </c>
      <c r="I3108">
        <v>8680909</v>
      </c>
      <c r="J3108" t="s">
        <v>27</v>
      </c>
      <c r="K3108" t="s">
        <v>4261</v>
      </c>
      <c r="L3108" t="s">
        <v>21</v>
      </c>
      <c r="M3108" t="str">
        <f t="shared" si="144"/>
        <v>OK</v>
      </c>
      <c r="N3108" t="str">
        <f t="shared" si="145"/>
        <v>1960s</v>
      </c>
      <c r="O3108" t="str">
        <f t="shared" si="146"/>
        <v>N/A</v>
      </c>
      <c r="P3108" t="str">
        <f>VLOOKUP(E3108,calculated_fields!$F$4:$G$6,2,FALSE)</f>
        <v>Demographics</v>
      </c>
    </row>
    <row r="3109" spans="1:16">
      <c r="A3109" t="s">
        <v>4263</v>
      </c>
      <c r="B3109" t="s">
        <v>4248</v>
      </c>
      <c r="C3109" t="s">
        <v>130</v>
      </c>
      <c r="D3109">
        <v>1967</v>
      </c>
      <c r="E3109" t="s">
        <v>29</v>
      </c>
      <c r="F3109" t="s">
        <v>30</v>
      </c>
      <c r="G3109" t="s">
        <v>31</v>
      </c>
      <c r="H3109" t="s">
        <v>32</v>
      </c>
      <c r="I3109">
        <v>566.66915389999997</v>
      </c>
      <c r="J3109" t="s">
        <v>33</v>
      </c>
      <c r="K3109" t="s">
        <v>4261</v>
      </c>
      <c r="L3109" t="s">
        <v>21</v>
      </c>
      <c r="M3109" t="str">
        <f t="shared" si="144"/>
        <v>OK</v>
      </c>
      <c r="N3109" t="str">
        <f t="shared" si="145"/>
        <v>1960s</v>
      </c>
      <c r="O3109" t="str">
        <f t="shared" si="146"/>
        <v>N/A</v>
      </c>
      <c r="P3109" t="str">
        <f>VLOOKUP(E3109,calculated_fields!$F$4:$G$6,2,FALSE)</f>
        <v>Economy</v>
      </c>
    </row>
    <row r="3110" spans="1:16">
      <c r="A3110" t="s">
        <v>4264</v>
      </c>
      <c r="B3110" t="s">
        <v>4248</v>
      </c>
      <c r="C3110" t="s">
        <v>130</v>
      </c>
      <c r="D3110">
        <v>1972</v>
      </c>
      <c r="E3110" t="s">
        <v>15</v>
      </c>
      <c r="F3110" t="s">
        <v>16</v>
      </c>
      <c r="G3110" t="s">
        <v>17</v>
      </c>
      <c r="H3110" t="s">
        <v>18</v>
      </c>
      <c r="I3110">
        <v>40.328000000000003</v>
      </c>
      <c r="J3110" t="s">
        <v>19</v>
      </c>
      <c r="K3110" t="s">
        <v>4265</v>
      </c>
      <c r="L3110" t="s">
        <v>21</v>
      </c>
      <c r="M3110" t="str">
        <f t="shared" si="144"/>
        <v>OK</v>
      </c>
      <c r="N3110" t="str">
        <f t="shared" si="145"/>
        <v>1970s</v>
      </c>
      <c r="O3110" t="str">
        <f t="shared" si="146"/>
        <v>Low</v>
      </c>
      <c r="P3110" t="str">
        <f>VLOOKUP(E3110,calculated_fields!$F$4:$G$6,2,FALSE)</f>
        <v>Health</v>
      </c>
    </row>
    <row r="3111" spans="1:16">
      <c r="A3111" t="s">
        <v>4266</v>
      </c>
      <c r="B3111" t="s">
        <v>4248</v>
      </c>
      <c r="C3111" t="s">
        <v>130</v>
      </c>
      <c r="D3111">
        <v>1972</v>
      </c>
      <c r="E3111" t="s">
        <v>23</v>
      </c>
      <c r="F3111" t="s">
        <v>24</v>
      </c>
      <c r="G3111" t="s">
        <v>25</v>
      </c>
      <c r="H3111" t="s">
        <v>26</v>
      </c>
      <c r="I3111">
        <v>9809596</v>
      </c>
      <c r="J3111" t="s">
        <v>27</v>
      </c>
      <c r="K3111" t="s">
        <v>4265</v>
      </c>
      <c r="L3111" t="s">
        <v>21</v>
      </c>
      <c r="M3111" t="str">
        <f t="shared" si="144"/>
        <v>OK</v>
      </c>
      <c r="N3111" t="str">
        <f t="shared" si="145"/>
        <v>1970s</v>
      </c>
      <c r="O3111" t="str">
        <f t="shared" si="146"/>
        <v>N/A</v>
      </c>
      <c r="P3111" t="str">
        <f>VLOOKUP(E3111,calculated_fields!$F$4:$G$6,2,FALSE)</f>
        <v>Demographics</v>
      </c>
    </row>
    <row r="3112" spans="1:16">
      <c r="A3112" t="s">
        <v>4267</v>
      </c>
      <c r="B3112" t="s">
        <v>4248</v>
      </c>
      <c r="C3112" t="s">
        <v>130</v>
      </c>
      <c r="D3112">
        <v>1972</v>
      </c>
      <c r="E3112" t="s">
        <v>29</v>
      </c>
      <c r="F3112" t="s">
        <v>30</v>
      </c>
      <c r="G3112" t="s">
        <v>31</v>
      </c>
      <c r="H3112" t="s">
        <v>32</v>
      </c>
      <c r="I3112">
        <v>724.91780370000004</v>
      </c>
      <c r="J3112" t="s">
        <v>33</v>
      </c>
      <c r="K3112" t="s">
        <v>4265</v>
      </c>
      <c r="L3112" t="s">
        <v>21</v>
      </c>
      <c r="M3112" t="str">
        <f t="shared" si="144"/>
        <v>OK</v>
      </c>
      <c r="N3112" t="str">
        <f t="shared" si="145"/>
        <v>1970s</v>
      </c>
      <c r="O3112" t="str">
        <f t="shared" si="146"/>
        <v>N/A</v>
      </c>
      <c r="P3112" t="str">
        <f>VLOOKUP(E3112,calculated_fields!$F$4:$G$6,2,FALSE)</f>
        <v>Economy</v>
      </c>
    </row>
    <row r="3113" spans="1:16">
      <c r="A3113" t="s">
        <v>4268</v>
      </c>
      <c r="B3113" t="s">
        <v>4248</v>
      </c>
      <c r="C3113" t="s">
        <v>130</v>
      </c>
      <c r="D3113">
        <v>1977</v>
      </c>
      <c r="E3113" t="s">
        <v>15</v>
      </c>
      <c r="F3113" t="s">
        <v>16</v>
      </c>
      <c r="G3113" t="s">
        <v>17</v>
      </c>
      <c r="H3113" t="s">
        <v>18</v>
      </c>
      <c r="I3113">
        <v>42.494999999999997</v>
      </c>
      <c r="J3113" t="s">
        <v>19</v>
      </c>
      <c r="K3113" t="s">
        <v>4269</v>
      </c>
      <c r="L3113" t="s">
        <v>21</v>
      </c>
      <c r="M3113" t="str">
        <f t="shared" si="144"/>
        <v>OK</v>
      </c>
      <c r="N3113" t="str">
        <f t="shared" si="145"/>
        <v>1970s</v>
      </c>
      <c r="O3113" t="str">
        <f t="shared" si="146"/>
        <v>Low</v>
      </c>
      <c r="P3113" t="str">
        <f>VLOOKUP(E3113,calculated_fields!$F$4:$G$6,2,FALSE)</f>
        <v>Health</v>
      </c>
    </row>
    <row r="3114" spans="1:16">
      <c r="A3114" t="s">
        <v>4270</v>
      </c>
      <c r="B3114" t="s">
        <v>4248</v>
      </c>
      <c r="C3114" t="s">
        <v>130</v>
      </c>
      <c r="D3114">
        <v>1977</v>
      </c>
      <c r="E3114" t="s">
        <v>23</v>
      </c>
      <c r="F3114" t="s">
        <v>24</v>
      </c>
      <c r="G3114" t="s">
        <v>25</v>
      </c>
      <c r="H3114" t="s">
        <v>26</v>
      </c>
      <c r="I3114">
        <v>11127868</v>
      </c>
      <c r="J3114" t="s">
        <v>27</v>
      </c>
      <c r="K3114" t="s">
        <v>4269</v>
      </c>
      <c r="L3114" t="s">
        <v>21</v>
      </c>
      <c r="M3114" t="str">
        <f t="shared" si="144"/>
        <v>OK</v>
      </c>
      <c r="N3114" t="str">
        <f t="shared" si="145"/>
        <v>1970s</v>
      </c>
      <c r="O3114" t="str">
        <f t="shared" si="146"/>
        <v>N/A</v>
      </c>
      <c r="P3114" t="str">
        <f>VLOOKUP(E3114,calculated_fields!$F$4:$G$6,2,FALSE)</f>
        <v>Demographics</v>
      </c>
    </row>
    <row r="3115" spans="1:16">
      <c r="A3115" t="s">
        <v>4271</v>
      </c>
      <c r="B3115" t="s">
        <v>4248</v>
      </c>
      <c r="C3115" t="s">
        <v>130</v>
      </c>
      <c r="D3115">
        <v>1977</v>
      </c>
      <c r="E3115" t="s">
        <v>29</v>
      </c>
      <c r="F3115" t="s">
        <v>30</v>
      </c>
      <c r="G3115" t="s">
        <v>31</v>
      </c>
      <c r="H3115" t="s">
        <v>32</v>
      </c>
      <c r="I3115">
        <v>502.31973340000002</v>
      </c>
      <c r="J3115" t="s">
        <v>33</v>
      </c>
      <c r="K3115" t="s">
        <v>4269</v>
      </c>
      <c r="L3115" t="s">
        <v>21</v>
      </c>
      <c r="M3115" t="str">
        <f t="shared" si="144"/>
        <v>OK</v>
      </c>
      <c r="N3115" t="str">
        <f t="shared" si="145"/>
        <v>1970s</v>
      </c>
      <c r="O3115" t="str">
        <f t="shared" si="146"/>
        <v>N/A</v>
      </c>
      <c r="P3115" t="str">
        <f>VLOOKUP(E3115,calculated_fields!$F$4:$G$6,2,FALSE)</f>
        <v>Economy</v>
      </c>
    </row>
    <row r="3116" spans="1:16">
      <c r="A3116" t="s">
        <v>4272</v>
      </c>
      <c r="B3116" t="s">
        <v>4248</v>
      </c>
      <c r="C3116" t="s">
        <v>130</v>
      </c>
      <c r="D3116">
        <v>1982</v>
      </c>
      <c r="E3116" t="s">
        <v>15</v>
      </c>
      <c r="F3116" t="s">
        <v>16</v>
      </c>
      <c r="G3116" t="s">
        <v>17</v>
      </c>
      <c r="H3116" t="s">
        <v>18</v>
      </c>
      <c r="I3116">
        <v>42.795000000000002</v>
      </c>
      <c r="J3116" t="s">
        <v>19</v>
      </c>
      <c r="K3116" t="s">
        <v>4273</v>
      </c>
      <c r="L3116" t="s">
        <v>21</v>
      </c>
      <c r="M3116" t="str">
        <f t="shared" si="144"/>
        <v>OK</v>
      </c>
      <c r="N3116" t="str">
        <f t="shared" si="145"/>
        <v>1980s</v>
      </c>
      <c r="O3116" t="str">
        <f t="shared" si="146"/>
        <v>Low</v>
      </c>
      <c r="P3116" t="str">
        <f>VLOOKUP(E3116,calculated_fields!$F$4:$G$6,2,FALSE)</f>
        <v>Health</v>
      </c>
    </row>
    <row r="3117" spans="1:16">
      <c r="A3117" t="s">
        <v>4274</v>
      </c>
      <c r="B3117" t="s">
        <v>4248</v>
      </c>
      <c r="C3117" t="s">
        <v>130</v>
      </c>
      <c r="D3117">
        <v>1982</v>
      </c>
      <c r="E3117" t="s">
        <v>23</v>
      </c>
      <c r="F3117" t="s">
        <v>24</v>
      </c>
      <c r="G3117" t="s">
        <v>25</v>
      </c>
      <c r="H3117" t="s">
        <v>26</v>
      </c>
      <c r="I3117">
        <v>12587223</v>
      </c>
      <c r="J3117" t="s">
        <v>27</v>
      </c>
      <c r="K3117" t="s">
        <v>4273</v>
      </c>
      <c r="L3117" t="s">
        <v>21</v>
      </c>
      <c r="M3117" t="str">
        <f t="shared" si="144"/>
        <v>OK</v>
      </c>
      <c r="N3117" t="str">
        <f t="shared" si="145"/>
        <v>1980s</v>
      </c>
      <c r="O3117" t="str">
        <f t="shared" si="146"/>
        <v>N/A</v>
      </c>
      <c r="P3117" t="str">
        <f>VLOOKUP(E3117,calculated_fields!$F$4:$G$6,2,FALSE)</f>
        <v>Demographics</v>
      </c>
    </row>
    <row r="3118" spans="1:16">
      <c r="A3118" t="s">
        <v>4275</v>
      </c>
      <c r="B3118" t="s">
        <v>4248</v>
      </c>
      <c r="C3118" t="s">
        <v>130</v>
      </c>
      <c r="D3118">
        <v>1982</v>
      </c>
      <c r="E3118" t="s">
        <v>29</v>
      </c>
      <c r="F3118" t="s">
        <v>30</v>
      </c>
      <c r="G3118" t="s">
        <v>31</v>
      </c>
      <c r="H3118" t="s">
        <v>32</v>
      </c>
      <c r="I3118">
        <v>462.21141490000002</v>
      </c>
      <c r="J3118" t="s">
        <v>33</v>
      </c>
      <c r="K3118" t="s">
        <v>4273</v>
      </c>
      <c r="L3118" t="s">
        <v>21</v>
      </c>
      <c r="M3118" t="str">
        <f t="shared" si="144"/>
        <v>OK</v>
      </c>
      <c r="N3118" t="str">
        <f t="shared" si="145"/>
        <v>1980s</v>
      </c>
      <c r="O3118" t="str">
        <f t="shared" si="146"/>
        <v>N/A</v>
      </c>
      <c r="P3118" t="str">
        <f>VLOOKUP(E3118,calculated_fields!$F$4:$G$6,2,FALSE)</f>
        <v>Economy</v>
      </c>
    </row>
    <row r="3119" spans="1:16">
      <c r="A3119" t="s">
        <v>4276</v>
      </c>
      <c r="B3119" t="s">
        <v>4248</v>
      </c>
      <c r="C3119" t="s">
        <v>130</v>
      </c>
      <c r="D3119">
        <v>1987</v>
      </c>
      <c r="E3119" t="s">
        <v>15</v>
      </c>
      <c r="F3119" t="s">
        <v>16</v>
      </c>
      <c r="G3119" t="s">
        <v>17</v>
      </c>
      <c r="H3119" t="s">
        <v>18</v>
      </c>
      <c r="I3119">
        <v>42.860999999999997</v>
      </c>
      <c r="J3119" t="s">
        <v>19</v>
      </c>
      <c r="K3119" t="s">
        <v>4277</v>
      </c>
      <c r="L3119" t="s">
        <v>21</v>
      </c>
      <c r="M3119" t="str">
        <f t="shared" si="144"/>
        <v>OK</v>
      </c>
      <c r="N3119" t="str">
        <f t="shared" si="145"/>
        <v>1980s</v>
      </c>
      <c r="O3119" t="str">
        <f t="shared" si="146"/>
        <v>Low</v>
      </c>
      <c r="P3119" t="str">
        <f>VLOOKUP(E3119,calculated_fields!$F$4:$G$6,2,FALSE)</f>
        <v>Health</v>
      </c>
    </row>
    <row r="3120" spans="1:16">
      <c r="A3120" t="s">
        <v>4278</v>
      </c>
      <c r="B3120" t="s">
        <v>4248</v>
      </c>
      <c r="C3120" t="s">
        <v>130</v>
      </c>
      <c r="D3120">
        <v>1987</v>
      </c>
      <c r="E3120" t="s">
        <v>23</v>
      </c>
      <c r="F3120" t="s">
        <v>24</v>
      </c>
      <c r="G3120" t="s">
        <v>25</v>
      </c>
      <c r="H3120" t="s">
        <v>26</v>
      </c>
      <c r="I3120">
        <v>12891952</v>
      </c>
      <c r="J3120" t="s">
        <v>27</v>
      </c>
      <c r="K3120" t="s">
        <v>4277</v>
      </c>
      <c r="L3120" t="s">
        <v>21</v>
      </c>
      <c r="M3120" t="str">
        <f t="shared" si="144"/>
        <v>OK</v>
      </c>
      <c r="N3120" t="str">
        <f t="shared" si="145"/>
        <v>1980s</v>
      </c>
      <c r="O3120" t="str">
        <f t="shared" si="146"/>
        <v>N/A</v>
      </c>
      <c r="P3120" t="str">
        <f>VLOOKUP(E3120,calculated_fields!$F$4:$G$6,2,FALSE)</f>
        <v>Demographics</v>
      </c>
    </row>
    <row r="3121" spans="1:16">
      <c r="A3121" t="s">
        <v>4279</v>
      </c>
      <c r="B3121" t="s">
        <v>4248</v>
      </c>
      <c r="C3121" t="s">
        <v>130</v>
      </c>
      <c r="D3121">
        <v>1987</v>
      </c>
      <c r="E3121" t="s">
        <v>29</v>
      </c>
      <c r="F3121" t="s">
        <v>30</v>
      </c>
      <c r="G3121" t="s">
        <v>31</v>
      </c>
      <c r="H3121" t="s">
        <v>32</v>
      </c>
      <c r="I3121">
        <v>389.87618459999999</v>
      </c>
      <c r="J3121" t="s">
        <v>33</v>
      </c>
      <c r="K3121" t="s">
        <v>4277</v>
      </c>
      <c r="L3121" t="s">
        <v>21</v>
      </c>
      <c r="M3121" t="str">
        <f t="shared" si="144"/>
        <v>OK</v>
      </c>
      <c r="N3121" t="str">
        <f t="shared" si="145"/>
        <v>1980s</v>
      </c>
      <c r="O3121" t="str">
        <f t="shared" si="146"/>
        <v>N/A</v>
      </c>
      <c r="P3121" t="str">
        <f>VLOOKUP(E3121,calculated_fields!$F$4:$G$6,2,FALSE)</f>
        <v>Economy</v>
      </c>
    </row>
    <row r="3122" spans="1:16">
      <c r="A3122" t="s">
        <v>4280</v>
      </c>
      <c r="B3122" t="s">
        <v>4248</v>
      </c>
      <c r="C3122" t="s">
        <v>130</v>
      </c>
      <c r="D3122">
        <v>1992</v>
      </c>
      <c r="E3122" t="s">
        <v>15</v>
      </c>
      <c r="F3122" t="s">
        <v>16</v>
      </c>
      <c r="G3122" t="s">
        <v>17</v>
      </c>
      <c r="H3122" t="s">
        <v>18</v>
      </c>
      <c r="I3122">
        <v>44.283999999999999</v>
      </c>
      <c r="J3122" t="s">
        <v>19</v>
      </c>
      <c r="K3122" t="s">
        <v>4281</v>
      </c>
      <c r="L3122" t="s">
        <v>21</v>
      </c>
      <c r="M3122" t="str">
        <f t="shared" si="144"/>
        <v>OK</v>
      </c>
      <c r="N3122" t="str">
        <f t="shared" si="145"/>
        <v>1990s</v>
      </c>
      <c r="O3122" t="str">
        <f t="shared" si="146"/>
        <v>Low</v>
      </c>
      <c r="P3122" t="str">
        <f>VLOOKUP(E3122,calculated_fields!$F$4:$G$6,2,FALSE)</f>
        <v>Health</v>
      </c>
    </row>
    <row r="3123" spans="1:16">
      <c r="A3123" t="s">
        <v>4282</v>
      </c>
      <c r="B3123" t="s">
        <v>4248</v>
      </c>
      <c r="C3123" t="s">
        <v>130</v>
      </c>
      <c r="D3123">
        <v>1992</v>
      </c>
      <c r="E3123" t="s">
        <v>23</v>
      </c>
      <c r="F3123" t="s">
        <v>24</v>
      </c>
      <c r="G3123" t="s">
        <v>25</v>
      </c>
      <c r="H3123" t="s">
        <v>26</v>
      </c>
      <c r="I3123">
        <v>13160731</v>
      </c>
      <c r="J3123" t="s">
        <v>27</v>
      </c>
      <c r="K3123" t="s">
        <v>4281</v>
      </c>
      <c r="L3123" t="s">
        <v>21</v>
      </c>
      <c r="M3123" t="str">
        <f t="shared" si="144"/>
        <v>OK</v>
      </c>
      <c r="N3123" t="str">
        <f t="shared" si="145"/>
        <v>1990s</v>
      </c>
      <c r="O3123" t="str">
        <f t="shared" si="146"/>
        <v>N/A</v>
      </c>
      <c r="P3123" t="str">
        <f>VLOOKUP(E3123,calculated_fields!$F$4:$G$6,2,FALSE)</f>
        <v>Demographics</v>
      </c>
    </row>
    <row r="3124" spans="1:16">
      <c r="A3124" t="s">
        <v>4283</v>
      </c>
      <c r="B3124" t="s">
        <v>4248</v>
      </c>
      <c r="C3124" t="s">
        <v>130</v>
      </c>
      <c r="D3124">
        <v>1992</v>
      </c>
      <c r="E3124" t="s">
        <v>29</v>
      </c>
      <c r="F3124" t="s">
        <v>30</v>
      </c>
      <c r="G3124" t="s">
        <v>31</v>
      </c>
      <c r="H3124" t="s">
        <v>32</v>
      </c>
      <c r="I3124">
        <v>410.89682390000002</v>
      </c>
      <c r="J3124" t="s">
        <v>33</v>
      </c>
      <c r="K3124" t="s">
        <v>4281</v>
      </c>
      <c r="L3124" t="s">
        <v>21</v>
      </c>
      <c r="M3124" t="str">
        <f t="shared" si="144"/>
        <v>OK</v>
      </c>
      <c r="N3124" t="str">
        <f t="shared" si="145"/>
        <v>1990s</v>
      </c>
      <c r="O3124" t="str">
        <f t="shared" si="146"/>
        <v>N/A</v>
      </c>
      <c r="P3124" t="str">
        <f>VLOOKUP(E3124,calculated_fields!$F$4:$G$6,2,FALSE)</f>
        <v>Economy</v>
      </c>
    </row>
    <row r="3125" spans="1:16">
      <c r="A3125" t="s">
        <v>4284</v>
      </c>
      <c r="B3125" t="s">
        <v>4248</v>
      </c>
      <c r="C3125" t="s">
        <v>130</v>
      </c>
      <c r="D3125">
        <v>1997</v>
      </c>
      <c r="E3125" t="s">
        <v>15</v>
      </c>
      <c r="F3125" t="s">
        <v>16</v>
      </c>
      <c r="G3125" t="s">
        <v>17</v>
      </c>
      <c r="H3125" t="s">
        <v>18</v>
      </c>
      <c r="I3125">
        <v>46.344000000000001</v>
      </c>
      <c r="J3125" t="s">
        <v>19</v>
      </c>
      <c r="K3125" t="s">
        <v>4285</v>
      </c>
      <c r="L3125" t="s">
        <v>21</v>
      </c>
      <c r="M3125" t="str">
        <f t="shared" si="144"/>
        <v>OK</v>
      </c>
      <c r="N3125" t="str">
        <f t="shared" si="145"/>
        <v>1990s</v>
      </c>
      <c r="O3125" t="str">
        <f t="shared" si="146"/>
        <v>Low</v>
      </c>
      <c r="P3125" t="str">
        <f>VLOOKUP(E3125,calculated_fields!$F$4:$G$6,2,FALSE)</f>
        <v>Health</v>
      </c>
    </row>
    <row r="3126" spans="1:16">
      <c r="A3126" t="s">
        <v>4286</v>
      </c>
      <c r="B3126" t="s">
        <v>4248</v>
      </c>
      <c r="C3126" t="s">
        <v>130</v>
      </c>
      <c r="D3126">
        <v>1997</v>
      </c>
      <c r="E3126" t="s">
        <v>23</v>
      </c>
      <c r="F3126" t="s">
        <v>24</v>
      </c>
      <c r="G3126" t="s">
        <v>25</v>
      </c>
      <c r="H3126" t="s">
        <v>26</v>
      </c>
      <c r="I3126">
        <v>16603334</v>
      </c>
      <c r="J3126" t="s">
        <v>27</v>
      </c>
      <c r="K3126" t="s">
        <v>4285</v>
      </c>
      <c r="L3126" t="s">
        <v>21</v>
      </c>
      <c r="M3126" t="str">
        <f t="shared" si="144"/>
        <v>OK</v>
      </c>
      <c r="N3126" t="str">
        <f t="shared" si="145"/>
        <v>1990s</v>
      </c>
      <c r="O3126" t="str">
        <f t="shared" si="146"/>
        <v>N/A</v>
      </c>
      <c r="P3126" t="str">
        <f>VLOOKUP(E3126,calculated_fields!$F$4:$G$6,2,FALSE)</f>
        <v>Demographics</v>
      </c>
    </row>
    <row r="3127" spans="1:16">
      <c r="A3127" t="s">
        <v>4287</v>
      </c>
      <c r="B3127" t="s">
        <v>4248</v>
      </c>
      <c r="C3127" t="s">
        <v>130</v>
      </c>
      <c r="D3127">
        <v>1997</v>
      </c>
      <c r="E3127" t="s">
        <v>29</v>
      </c>
      <c r="F3127" t="s">
        <v>30</v>
      </c>
      <c r="G3127" t="s">
        <v>31</v>
      </c>
      <c r="H3127" t="s">
        <v>32</v>
      </c>
      <c r="I3127">
        <v>472.3460771</v>
      </c>
      <c r="J3127" t="s">
        <v>33</v>
      </c>
      <c r="K3127" t="s">
        <v>4285</v>
      </c>
      <c r="L3127" t="s">
        <v>21</v>
      </c>
      <c r="M3127" t="str">
        <f t="shared" si="144"/>
        <v>OK</v>
      </c>
      <c r="N3127" t="str">
        <f t="shared" si="145"/>
        <v>1990s</v>
      </c>
      <c r="O3127" t="str">
        <f t="shared" si="146"/>
        <v>N/A</v>
      </c>
      <c r="P3127" t="str">
        <f>VLOOKUP(E3127,calculated_fields!$F$4:$G$6,2,FALSE)</f>
        <v>Economy</v>
      </c>
    </row>
    <row r="3128" spans="1:16">
      <c r="A3128" t="s">
        <v>4288</v>
      </c>
      <c r="B3128" t="s">
        <v>4248</v>
      </c>
      <c r="C3128" t="s">
        <v>130</v>
      </c>
      <c r="D3128">
        <v>2002</v>
      </c>
      <c r="E3128" t="s">
        <v>15</v>
      </c>
      <c r="F3128" t="s">
        <v>16</v>
      </c>
      <c r="G3128" t="s">
        <v>17</v>
      </c>
      <c r="H3128" t="s">
        <v>18</v>
      </c>
      <c r="I3128">
        <v>44.026000000000003</v>
      </c>
      <c r="J3128" t="s">
        <v>19</v>
      </c>
      <c r="K3128" t="s">
        <v>4289</v>
      </c>
      <c r="L3128" t="s">
        <v>21</v>
      </c>
      <c r="M3128" t="str">
        <f t="shared" si="144"/>
        <v>OK</v>
      </c>
      <c r="N3128" t="str">
        <f t="shared" si="145"/>
        <v>2000s</v>
      </c>
      <c r="O3128" t="str">
        <f t="shared" si="146"/>
        <v>Low</v>
      </c>
      <c r="P3128" t="str">
        <f>VLOOKUP(E3128,calculated_fields!$F$4:$G$6,2,FALSE)</f>
        <v>Health</v>
      </c>
    </row>
    <row r="3129" spans="1:16">
      <c r="A3129" t="s">
        <v>4290</v>
      </c>
      <c r="B3129" t="s">
        <v>4248</v>
      </c>
      <c r="C3129" t="s">
        <v>130</v>
      </c>
      <c r="D3129">
        <v>2002</v>
      </c>
      <c r="E3129" t="s">
        <v>23</v>
      </c>
      <c r="F3129" t="s">
        <v>24</v>
      </c>
      <c r="G3129" t="s">
        <v>25</v>
      </c>
      <c r="H3129" t="s">
        <v>26</v>
      </c>
      <c r="I3129">
        <v>18473780</v>
      </c>
      <c r="J3129" t="s">
        <v>27</v>
      </c>
      <c r="K3129" t="s">
        <v>4289</v>
      </c>
      <c r="L3129" t="s">
        <v>21</v>
      </c>
      <c r="M3129" t="str">
        <f t="shared" si="144"/>
        <v>OK</v>
      </c>
      <c r="N3129" t="str">
        <f t="shared" si="145"/>
        <v>2000s</v>
      </c>
      <c r="O3129" t="str">
        <f t="shared" si="146"/>
        <v>N/A</v>
      </c>
      <c r="P3129" t="str">
        <f>VLOOKUP(E3129,calculated_fields!$F$4:$G$6,2,FALSE)</f>
        <v>Demographics</v>
      </c>
    </row>
    <row r="3130" spans="1:16">
      <c r="A3130" t="s">
        <v>4291</v>
      </c>
      <c r="B3130" t="s">
        <v>4248</v>
      </c>
      <c r="C3130" t="s">
        <v>130</v>
      </c>
      <c r="D3130">
        <v>2002</v>
      </c>
      <c r="E3130" t="s">
        <v>29</v>
      </c>
      <c r="F3130" t="s">
        <v>30</v>
      </c>
      <c r="G3130" t="s">
        <v>31</v>
      </c>
      <c r="H3130" t="s">
        <v>32</v>
      </c>
      <c r="I3130">
        <v>633.61794659999998</v>
      </c>
      <c r="J3130" t="s">
        <v>33</v>
      </c>
      <c r="K3130" t="s">
        <v>4289</v>
      </c>
      <c r="L3130" t="s">
        <v>21</v>
      </c>
      <c r="M3130" t="str">
        <f t="shared" si="144"/>
        <v>OK</v>
      </c>
      <c r="N3130" t="str">
        <f t="shared" si="145"/>
        <v>2000s</v>
      </c>
      <c r="O3130" t="str">
        <f t="shared" si="146"/>
        <v>N/A</v>
      </c>
      <c r="P3130" t="str">
        <f>VLOOKUP(E3130,calculated_fields!$F$4:$G$6,2,FALSE)</f>
        <v>Economy</v>
      </c>
    </row>
    <row r="3131" spans="1:16">
      <c r="A3131" t="s">
        <v>4292</v>
      </c>
      <c r="B3131" t="s">
        <v>4248</v>
      </c>
      <c r="C3131" t="s">
        <v>130</v>
      </c>
      <c r="D3131">
        <v>2007</v>
      </c>
      <c r="E3131" t="s">
        <v>15</v>
      </c>
      <c r="F3131" t="s">
        <v>16</v>
      </c>
      <c r="G3131" t="s">
        <v>17</v>
      </c>
      <c r="H3131" t="s">
        <v>18</v>
      </c>
      <c r="I3131">
        <v>42.082000000000001</v>
      </c>
      <c r="J3131" t="s">
        <v>19</v>
      </c>
      <c r="K3131" t="s">
        <v>4293</v>
      </c>
      <c r="L3131" t="s">
        <v>21</v>
      </c>
      <c r="M3131" t="str">
        <f t="shared" si="144"/>
        <v>OK</v>
      </c>
      <c r="N3131" t="str">
        <f t="shared" si="145"/>
        <v>2000s</v>
      </c>
      <c r="O3131" t="str">
        <f t="shared" si="146"/>
        <v>Low</v>
      </c>
      <c r="P3131" t="str">
        <f>VLOOKUP(E3131,calculated_fields!$F$4:$G$6,2,FALSE)</f>
        <v>Health</v>
      </c>
    </row>
    <row r="3132" spans="1:16">
      <c r="A3132" t="s">
        <v>4294</v>
      </c>
      <c r="B3132" t="s">
        <v>4248</v>
      </c>
      <c r="C3132" t="s">
        <v>130</v>
      </c>
      <c r="D3132">
        <v>2007</v>
      </c>
      <c r="E3132" t="s">
        <v>23</v>
      </c>
      <c r="F3132" t="s">
        <v>24</v>
      </c>
      <c r="G3132" t="s">
        <v>25</v>
      </c>
      <c r="H3132" t="s">
        <v>26</v>
      </c>
      <c r="I3132">
        <v>19951656</v>
      </c>
      <c r="J3132" t="s">
        <v>27</v>
      </c>
      <c r="K3132" t="s">
        <v>4293</v>
      </c>
      <c r="L3132" t="s">
        <v>21</v>
      </c>
      <c r="M3132" t="str">
        <f t="shared" si="144"/>
        <v>OK</v>
      </c>
      <c r="N3132" t="str">
        <f t="shared" si="145"/>
        <v>2000s</v>
      </c>
      <c r="O3132" t="str">
        <f t="shared" si="146"/>
        <v>N/A</v>
      </c>
      <c r="P3132" t="str">
        <f>VLOOKUP(E3132,calculated_fields!$F$4:$G$6,2,FALSE)</f>
        <v>Demographics</v>
      </c>
    </row>
    <row r="3133" spans="1:16">
      <c r="A3133" t="s">
        <v>4295</v>
      </c>
      <c r="B3133" t="s">
        <v>4248</v>
      </c>
      <c r="C3133" t="s">
        <v>130</v>
      </c>
      <c r="D3133">
        <v>2007</v>
      </c>
      <c r="E3133" t="s">
        <v>29</v>
      </c>
      <c r="F3133" t="s">
        <v>30</v>
      </c>
      <c r="G3133" t="s">
        <v>31</v>
      </c>
      <c r="H3133" t="s">
        <v>32</v>
      </c>
      <c r="I3133">
        <v>823.68562050000003</v>
      </c>
      <c r="J3133" t="s">
        <v>33</v>
      </c>
      <c r="K3133" t="s">
        <v>4293</v>
      </c>
      <c r="L3133" t="s">
        <v>21</v>
      </c>
      <c r="M3133" t="str">
        <f t="shared" si="144"/>
        <v>OK</v>
      </c>
      <c r="N3133" t="str">
        <f t="shared" si="145"/>
        <v>2000s</v>
      </c>
      <c r="O3133" t="str">
        <f t="shared" si="146"/>
        <v>N/A</v>
      </c>
      <c r="P3133" t="str">
        <f>VLOOKUP(E3133,calculated_fields!$F$4:$G$6,2,FALSE)</f>
        <v>Economy</v>
      </c>
    </row>
    <row r="3134" spans="1:16">
      <c r="A3134" t="s">
        <v>4296</v>
      </c>
      <c r="B3134" t="s">
        <v>4297</v>
      </c>
      <c r="C3134" t="s">
        <v>14</v>
      </c>
      <c r="D3134">
        <v>1952</v>
      </c>
      <c r="E3134" t="s">
        <v>15</v>
      </c>
      <c r="F3134" t="s">
        <v>16</v>
      </c>
      <c r="G3134" t="s">
        <v>17</v>
      </c>
      <c r="H3134" t="s">
        <v>18</v>
      </c>
      <c r="I3134">
        <v>36.319000000000003</v>
      </c>
      <c r="J3134" t="s">
        <v>19</v>
      </c>
      <c r="K3134" t="s">
        <v>4298</v>
      </c>
      <c r="L3134" t="s">
        <v>21</v>
      </c>
      <c r="M3134" t="str">
        <f t="shared" si="144"/>
        <v>OK</v>
      </c>
      <c r="N3134" t="str">
        <f t="shared" si="145"/>
        <v>1950s</v>
      </c>
      <c r="O3134" t="str">
        <f t="shared" si="146"/>
        <v>Low</v>
      </c>
      <c r="P3134" t="str">
        <f>VLOOKUP(E3134,calculated_fields!$F$4:$G$6,2,FALSE)</f>
        <v>Health</v>
      </c>
    </row>
    <row r="3135" spans="1:16">
      <c r="A3135" t="s">
        <v>4299</v>
      </c>
      <c r="B3135" t="s">
        <v>4297</v>
      </c>
      <c r="C3135" t="s">
        <v>14</v>
      </c>
      <c r="D3135">
        <v>1952</v>
      </c>
      <c r="E3135" t="s">
        <v>23</v>
      </c>
      <c r="F3135" t="s">
        <v>24</v>
      </c>
      <c r="G3135" t="s">
        <v>25</v>
      </c>
      <c r="H3135" t="s">
        <v>26</v>
      </c>
      <c r="I3135">
        <v>20092996</v>
      </c>
      <c r="J3135" t="s">
        <v>27</v>
      </c>
      <c r="K3135" t="s">
        <v>4298</v>
      </c>
      <c r="L3135" t="s">
        <v>21</v>
      </c>
      <c r="M3135" t="str">
        <f t="shared" si="144"/>
        <v>OK</v>
      </c>
      <c r="N3135" t="str">
        <f t="shared" si="145"/>
        <v>1950s</v>
      </c>
      <c r="O3135" t="str">
        <f t="shared" si="146"/>
        <v>N/A</v>
      </c>
      <c r="P3135" t="str">
        <f>VLOOKUP(E3135,calculated_fields!$F$4:$G$6,2,FALSE)</f>
        <v>Demographics</v>
      </c>
    </row>
    <row r="3136" spans="1:16">
      <c r="A3136" t="s">
        <v>4300</v>
      </c>
      <c r="B3136" t="s">
        <v>4297</v>
      </c>
      <c r="C3136" t="s">
        <v>14</v>
      </c>
      <c r="D3136">
        <v>1952</v>
      </c>
      <c r="E3136" t="s">
        <v>29</v>
      </c>
      <c r="F3136" t="s">
        <v>30</v>
      </c>
      <c r="G3136" t="s">
        <v>31</v>
      </c>
      <c r="H3136" t="s">
        <v>32</v>
      </c>
      <c r="I3136">
        <v>331</v>
      </c>
      <c r="J3136" t="s">
        <v>33</v>
      </c>
      <c r="K3136" t="s">
        <v>4298</v>
      </c>
      <c r="L3136" t="s">
        <v>21</v>
      </c>
      <c r="M3136" t="str">
        <f t="shared" si="144"/>
        <v>OK</v>
      </c>
      <c r="N3136" t="str">
        <f t="shared" si="145"/>
        <v>1950s</v>
      </c>
      <c r="O3136" t="str">
        <f t="shared" si="146"/>
        <v>N/A</v>
      </c>
      <c r="P3136" t="str">
        <f>VLOOKUP(E3136,calculated_fields!$F$4:$G$6,2,FALSE)</f>
        <v>Economy</v>
      </c>
    </row>
    <row r="3137" spans="1:16">
      <c r="A3137" t="s">
        <v>4301</v>
      </c>
      <c r="B3137" t="s">
        <v>4297</v>
      </c>
      <c r="C3137" t="s">
        <v>14</v>
      </c>
      <c r="D3137">
        <v>1957</v>
      </c>
      <c r="E3137" t="s">
        <v>15</v>
      </c>
      <c r="F3137" t="s">
        <v>16</v>
      </c>
      <c r="G3137" t="s">
        <v>17</v>
      </c>
      <c r="H3137" t="s">
        <v>18</v>
      </c>
      <c r="I3137">
        <v>41.905000000000001</v>
      </c>
      <c r="J3137" t="s">
        <v>19</v>
      </c>
      <c r="K3137" t="s">
        <v>4302</v>
      </c>
      <c r="L3137" t="s">
        <v>21</v>
      </c>
      <c r="M3137" t="str">
        <f t="shared" si="144"/>
        <v>OK</v>
      </c>
      <c r="N3137" t="str">
        <f t="shared" si="145"/>
        <v>1950s</v>
      </c>
      <c r="O3137" t="str">
        <f t="shared" si="146"/>
        <v>Low</v>
      </c>
      <c r="P3137" t="str">
        <f>VLOOKUP(E3137,calculated_fields!$F$4:$G$6,2,FALSE)</f>
        <v>Health</v>
      </c>
    </row>
    <row r="3138" spans="1:16">
      <c r="A3138" t="s">
        <v>4303</v>
      </c>
      <c r="B3138" t="s">
        <v>4297</v>
      </c>
      <c r="C3138" t="s">
        <v>14</v>
      </c>
      <c r="D3138">
        <v>1957</v>
      </c>
      <c r="E3138" t="s">
        <v>23</v>
      </c>
      <c r="F3138" t="s">
        <v>24</v>
      </c>
      <c r="G3138" t="s">
        <v>25</v>
      </c>
      <c r="H3138" t="s">
        <v>26</v>
      </c>
      <c r="I3138">
        <v>21731844</v>
      </c>
      <c r="J3138" t="s">
        <v>27</v>
      </c>
      <c r="K3138" t="s">
        <v>4302</v>
      </c>
      <c r="L3138" t="s">
        <v>21</v>
      </c>
      <c r="M3138" t="str">
        <f t="shared" ref="M3138:M3201" si="147">IF(AND(ISNUMBER(I3138),I3138&gt;=0),"OK","Review")</f>
        <v>OK</v>
      </c>
      <c r="N3138" t="str">
        <f t="shared" ref="N3138:N3201" si="148">FLOOR(D3138,10)&amp;"s"</f>
        <v>1950s</v>
      </c>
      <c r="O3138" t="str">
        <f t="shared" ref="O3138:O3201" si="149">IF(E3138="LIFE_EXP",IF(I3138&gt;=70,"High",IF(I3138&gt;=55,"Medium","Low")),"N/A")</f>
        <v>N/A</v>
      </c>
      <c r="P3138" t="str">
        <f>VLOOKUP(E3138,calculated_fields!$F$4:$G$6,2,FALSE)</f>
        <v>Demographics</v>
      </c>
    </row>
    <row r="3139" spans="1:16">
      <c r="A3139" t="s">
        <v>4304</v>
      </c>
      <c r="B3139" t="s">
        <v>4297</v>
      </c>
      <c r="C3139" t="s">
        <v>14</v>
      </c>
      <c r="D3139">
        <v>1957</v>
      </c>
      <c r="E3139" t="s">
        <v>29</v>
      </c>
      <c r="F3139" t="s">
        <v>30</v>
      </c>
      <c r="G3139" t="s">
        <v>31</v>
      </c>
      <c r="H3139" t="s">
        <v>32</v>
      </c>
      <c r="I3139">
        <v>350</v>
      </c>
      <c r="J3139" t="s">
        <v>33</v>
      </c>
      <c r="K3139" t="s">
        <v>4302</v>
      </c>
      <c r="L3139" t="s">
        <v>21</v>
      </c>
      <c r="M3139" t="str">
        <f t="shared" si="147"/>
        <v>OK</v>
      </c>
      <c r="N3139" t="str">
        <f t="shared" si="148"/>
        <v>1950s</v>
      </c>
      <c r="O3139" t="str">
        <f t="shared" si="149"/>
        <v>N/A</v>
      </c>
      <c r="P3139" t="str">
        <f>VLOOKUP(E3139,calculated_fields!$F$4:$G$6,2,FALSE)</f>
        <v>Economy</v>
      </c>
    </row>
    <row r="3140" spans="1:16">
      <c r="A3140" t="s">
        <v>4305</v>
      </c>
      <c r="B3140" t="s">
        <v>4297</v>
      </c>
      <c r="C3140" t="s">
        <v>14</v>
      </c>
      <c r="D3140">
        <v>1962</v>
      </c>
      <c r="E3140" t="s">
        <v>15</v>
      </c>
      <c r="F3140" t="s">
        <v>16</v>
      </c>
      <c r="G3140" t="s">
        <v>17</v>
      </c>
      <c r="H3140" t="s">
        <v>18</v>
      </c>
      <c r="I3140">
        <v>45.107999999999997</v>
      </c>
      <c r="J3140" t="s">
        <v>19</v>
      </c>
      <c r="K3140" t="s">
        <v>4306</v>
      </c>
      <c r="L3140" t="s">
        <v>21</v>
      </c>
      <c r="M3140" t="str">
        <f t="shared" si="147"/>
        <v>OK</v>
      </c>
      <c r="N3140" t="str">
        <f t="shared" si="148"/>
        <v>1960s</v>
      </c>
      <c r="O3140" t="str">
        <f t="shared" si="149"/>
        <v>Low</v>
      </c>
      <c r="P3140" t="str">
        <f>VLOOKUP(E3140,calculated_fields!$F$4:$G$6,2,FALSE)</f>
        <v>Health</v>
      </c>
    </row>
    <row r="3141" spans="1:16">
      <c r="A3141" t="s">
        <v>4307</v>
      </c>
      <c r="B3141" t="s">
        <v>4297</v>
      </c>
      <c r="C3141" t="s">
        <v>14</v>
      </c>
      <c r="D3141">
        <v>1962</v>
      </c>
      <c r="E3141" t="s">
        <v>23</v>
      </c>
      <c r="F3141" t="s">
        <v>24</v>
      </c>
      <c r="G3141" t="s">
        <v>25</v>
      </c>
      <c r="H3141" t="s">
        <v>26</v>
      </c>
      <c r="I3141">
        <v>23634436</v>
      </c>
      <c r="J3141" t="s">
        <v>27</v>
      </c>
      <c r="K3141" t="s">
        <v>4306</v>
      </c>
      <c r="L3141" t="s">
        <v>21</v>
      </c>
      <c r="M3141" t="str">
        <f t="shared" si="147"/>
        <v>OK</v>
      </c>
      <c r="N3141" t="str">
        <f t="shared" si="148"/>
        <v>1960s</v>
      </c>
      <c r="O3141" t="str">
        <f t="shared" si="149"/>
        <v>N/A</v>
      </c>
      <c r="P3141" t="str">
        <f>VLOOKUP(E3141,calculated_fields!$F$4:$G$6,2,FALSE)</f>
        <v>Demographics</v>
      </c>
    </row>
    <row r="3142" spans="1:16">
      <c r="A3142" t="s">
        <v>4308</v>
      </c>
      <c r="B3142" t="s">
        <v>4297</v>
      </c>
      <c r="C3142" t="s">
        <v>14</v>
      </c>
      <c r="D3142">
        <v>1962</v>
      </c>
      <c r="E3142" t="s">
        <v>29</v>
      </c>
      <c r="F3142" t="s">
        <v>30</v>
      </c>
      <c r="G3142" t="s">
        <v>31</v>
      </c>
      <c r="H3142" t="s">
        <v>32</v>
      </c>
      <c r="I3142">
        <v>388</v>
      </c>
      <c r="J3142" t="s">
        <v>33</v>
      </c>
      <c r="K3142" t="s">
        <v>4306</v>
      </c>
      <c r="L3142" t="s">
        <v>21</v>
      </c>
      <c r="M3142" t="str">
        <f t="shared" si="147"/>
        <v>OK</v>
      </c>
      <c r="N3142" t="str">
        <f t="shared" si="148"/>
        <v>1960s</v>
      </c>
      <c r="O3142" t="str">
        <f t="shared" si="149"/>
        <v>N/A</v>
      </c>
      <c r="P3142" t="str">
        <f>VLOOKUP(E3142,calculated_fields!$F$4:$G$6,2,FALSE)</f>
        <v>Economy</v>
      </c>
    </row>
    <row r="3143" spans="1:16">
      <c r="A3143" t="s">
        <v>4309</v>
      </c>
      <c r="B3143" t="s">
        <v>4297</v>
      </c>
      <c r="C3143" t="s">
        <v>14</v>
      </c>
      <c r="D3143">
        <v>1967</v>
      </c>
      <c r="E3143" t="s">
        <v>15</v>
      </c>
      <c r="F3143" t="s">
        <v>16</v>
      </c>
      <c r="G3143" t="s">
        <v>17</v>
      </c>
      <c r="H3143" t="s">
        <v>18</v>
      </c>
      <c r="I3143">
        <v>49.378999999999998</v>
      </c>
      <c r="J3143" t="s">
        <v>19</v>
      </c>
      <c r="K3143" t="s">
        <v>4310</v>
      </c>
      <c r="L3143" t="s">
        <v>21</v>
      </c>
      <c r="M3143" t="str">
        <f t="shared" si="147"/>
        <v>OK</v>
      </c>
      <c r="N3143" t="str">
        <f t="shared" si="148"/>
        <v>1960s</v>
      </c>
      <c r="O3143" t="str">
        <f t="shared" si="149"/>
        <v>Low</v>
      </c>
      <c r="P3143" t="str">
        <f>VLOOKUP(E3143,calculated_fields!$F$4:$G$6,2,FALSE)</f>
        <v>Health</v>
      </c>
    </row>
    <row r="3144" spans="1:16">
      <c r="A3144" t="s">
        <v>4311</v>
      </c>
      <c r="B3144" t="s">
        <v>4297</v>
      </c>
      <c r="C3144" t="s">
        <v>14</v>
      </c>
      <c r="D3144">
        <v>1967</v>
      </c>
      <c r="E3144" t="s">
        <v>23</v>
      </c>
      <c r="F3144" t="s">
        <v>24</v>
      </c>
      <c r="G3144" t="s">
        <v>25</v>
      </c>
      <c r="H3144" t="s">
        <v>26</v>
      </c>
      <c r="I3144">
        <v>25870271</v>
      </c>
      <c r="J3144" t="s">
        <v>27</v>
      </c>
      <c r="K3144" t="s">
        <v>4310</v>
      </c>
      <c r="L3144" t="s">
        <v>21</v>
      </c>
      <c r="M3144" t="str">
        <f t="shared" si="147"/>
        <v>OK</v>
      </c>
      <c r="N3144" t="str">
        <f t="shared" si="148"/>
        <v>1960s</v>
      </c>
      <c r="O3144" t="str">
        <f t="shared" si="149"/>
        <v>N/A</v>
      </c>
      <c r="P3144" t="str">
        <f>VLOOKUP(E3144,calculated_fields!$F$4:$G$6,2,FALSE)</f>
        <v>Demographics</v>
      </c>
    </row>
    <row r="3145" spans="1:16">
      <c r="A3145" t="s">
        <v>4312</v>
      </c>
      <c r="B3145" t="s">
        <v>4297</v>
      </c>
      <c r="C3145" t="s">
        <v>14</v>
      </c>
      <c r="D3145">
        <v>1967</v>
      </c>
      <c r="E3145" t="s">
        <v>29</v>
      </c>
      <c r="F3145" t="s">
        <v>30</v>
      </c>
      <c r="G3145" t="s">
        <v>31</v>
      </c>
      <c r="H3145" t="s">
        <v>32</v>
      </c>
      <c r="I3145">
        <v>349</v>
      </c>
      <c r="J3145" t="s">
        <v>33</v>
      </c>
      <c r="K3145" t="s">
        <v>4310</v>
      </c>
      <c r="L3145" t="s">
        <v>21</v>
      </c>
      <c r="M3145" t="str">
        <f t="shared" si="147"/>
        <v>OK</v>
      </c>
      <c r="N3145" t="str">
        <f t="shared" si="148"/>
        <v>1960s</v>
      </c>
      <c r="O3145" t="str">
        <f t="shared" si="149"/>
        <v>N/A</v>
      </c>
      <c r="P3145" t="str">
        <f>VLOOKUP(E3145,calculated_fields!$F$4:$G$6,2,FALSE)</f>
        <v>Economy</v>
      </c>
    </row>
    <row r="3146" spans="1:16">
      <c r="A3146" t="s">
        <v>4313</v>
      </c>
      <c r="B3146" t="s">
        <v>4297</v>
      </c>
      <c r="C3146" t="s">
        <v>14</v>
      </c>
      <c r="D3146">
        <v>1972</v>
      </c>
      <c r="E3146" t="s">
        <v>15</v>
      </c>
      <c r="F3146" t="s">
        <v>16</v>
      </c>
      <c r="G3146" t="s">
        <v>17</v>
      </c>
      <c r="H3146" t="s">
        <v>18</v>
      </c>
      <c r="I3146">
        <v>53.07</v>
      </c>
      <c r="J3146" t="s">
        <v>19</v>
      </c>
      <c r="K3146" t="s">
        <v>4314</v>
      </c>
      <c r="L3146" t="s">
        <v>21</v>
      </c>
      <c r="M3146" t="str">
        <f t="shared" si="147"/>
        <v>OK</v>
      </c>
      <c r="N3146" t="str">
        <f t="shared" si="148"/>
        <v>1970s</v>
      </c>
      <c r="O3146" t="str">
        <f t="shared" si="149"/>
        <v>Low</v>
      </c>
      <c r="P3146" t="str">
        <f>VLOOKUP(E3146,calculated_fields!$F$4:$G$6,2,FALSE)</f>
        <v>Health</v>
      </c>
    </row>
    <row r="3147" spans="1:16">
      <c r="A3147" t="s">
        <v>4315</v>
      </c>
      <c r="B3147" t="s">
        <v>4297</v>
      </c>
      <c r="C3147" t="s">
        <v>14</v>
      </c>
      <c r="D3147">
        <v>1972</v>
      </c>
      <c r="E3147" t="s">
        <v>23</v>
      </c>
      <c r="F3147" t="s">
        <v>24</v>
      </c>
      <c r="G3147" t="s">
        <v>25</v>
      </c>
      <c r="H3147" t="s">
        <v>26</v>
      </c>
      <c r="I3147">
        <v>28466390</v>
      </c>
      <c r="J3147" t="s">
        <v>27</v>
      </c>
      <c r="K3147" t="s">
        <v>4314</v>
      </c>
      <c r="L3147" t="s">
        <v>21</v>
      </c>
      <c r="M3147" t="str">
        <f t="shared" si="147"/>
        <v>OK</v>
      </c>
      <c r="N3147" t="str">
        <f t="shared" si="148"/>
        <v>1970s</v>
      </c>
      <c r="O3147" t="str">
        <f t="shared" si="149"/>
        <v>N/A</v>
      </c>
      <c r="P3147" t="str">
        <f>VLOOKUP(E3147,calculated_fields!$F$4:$G$6,2,FALSE)</f>
        <v>Demographics</v>
      </c>
    </row>
    <row r="3148" spans="1:16">
      <c r="A3148" t="s">
        <v>4316</v>
      </c>
      <c r="B3148" t="s">
        <v>4297</v>
      </c>
      <c r="C3148" t="s">
        <v>14</v>
      </c>
      <c r="D3148">
        <v>1972</v>
      </c>
      <c r="E3148" t="s">
        <v>29</v>
      </c>
      <c r="F3148" t="s">
        <v>30</v>
      </c>
      <c r="G3148" t="s">
        <v>31</v>
      </c>
      <c r="H3148" t="s">
        <v>32</v>
      </c>
      <c r="I3148">
        <v>357</v>
      </c>
      <c r="J3148" t="s">
        <v>33</v>
      </c>
      <c r="K3148" t="s">
        <v>4314</v>
      </c>
      <c r="L3148" t="s">
        <v>21</v>
      </c>
      <c r="M3148" t="str">
        <f t="shared" si="147"/>
        <v>OK</v>
      </c>
      <c r="N3148" t="str">
        <f t="shared" si="148"/>
        <v>1970s</v>
      </c>
      <c r="O3148" t="str">
        <f t="shared" si="149"/>
        <v>N/A</v>
      </c>
      <c r="P3148" t="str">
        <f>VLOOKUP(E3148,calculated_fields!$F$4:$G$6,2,FALSE)</f>
        <v>Economy</v>
      </c>
    </row>
    <row r="3149" spans="1:16">
      <c r="A3149" t="s">
        <v>4317</v>
      </c>
      <c r="B3149" t="s">
        <v>4297</v>
      </c>
      <c r="C3149" t="s">
        <v>14</v>
      </c>
      <c r="D3149">
        <v>1977</v>
      </c>
      <c r="E3149" t="s">
        <v>15</v>
      </c>
      <c r="F3149" t="s">
        <v>16</v>
      </c>
      <c r="G3149" t="s">
        <v>17</v>
      </c>
      <c r="H3149" t="s">
        <v>18</v>
      </c>
      <c r="I3149">
        <v>56.058999999999997</v>
      </c>
      <c r="J3149" t="s">
        <v>19</v>
      </c>
      <c r="K3149" t="s">
        <v>4318</v>
      </c>
      <c r="L3149" t="s">
        <v>21</v>
      </c>
      <c r="M3149" t="str">
        <f t="shared" si="147"/>
        <v>OK</v>
      </c>
      <c r="N3149" t="str">
        <f t="shared" si="148"/>
        <v>1970s</v>
      </c>
      <c r="O3149" t="str">
        <f t="shared" si="149"/>
        <v>Medium</v>
      </c>
      <c r="P3149" t="str">
        <f>VLOOKUP(E3149,calculated_fields!$F$4:$G$6,2,FALSE)</f>
        <v>Health</v>
      </c>
    </row>
    <row r="3150" spans="1:16">
      <c r="A3150" t="s">
        <v>4319</v>
      </c>
      <c r="B3150" t="s">
        <v>4297</v>
      </c>
      <c r="C3150" t="s">
        <v>14</v>
      </c>
      <c r="D3150">
        <v>1977</v>
      </c>
      <c r="E3150" t="s">
        <v>23</v>
      </c>
      <c r="F3150" t="s">
        <v>24</v>
      </c>
      <c r="G3150" t="s">
        <v>25</v>
      </c>
      <c r="H3150" t="s">
        <v>26</v>
      </c>
      <c r="I3150">
        <v>31528087</v>
      </c>
      <c r="J3150" t="s">
        <v>27</v>
      </c>
      <c r="K3150" t="s">
        <v>4318</v>
      </c>
      <c r="L3150" t="s">
        <v>21</v>
      </c>
      <c r="M3150" t="str">
        <f t="shared" si="147"/>
        <v>OK</v>
      </c>
      <c r="N3150" t="str">
        <f t="shared" si="148"/>
        <v>1970s</v>
      </c>
      <c r="O3150" t="str">
        <f t="shared" si="149"/>
        <v>N/A</v>
      </c>
      <c r="P3150" t="str">
        <f>VLOOKUP(E3150,calculated_fields!$F$4:$G$6,2,FALSE)</f>
        <v>Demographics</v>
      </c>
    </row>
    <row r="3151" spans="1:16">
      <c r="A3151" t="s">
        <v>4320</v>
      </c>
      <c r="B3151" t="s">
        <v>4297</v>
      </c>
      <c r="C3151" t="s">
        <v>14</v>
      </c>
      <c r="D3151">
        <v>1977</v>
      </c>
      <c r="E3151" t="s">
        <v>29</v>
      </c>
      <c r="F3151" t="s">
        <v>30</v>
      </c>
      <c r="G3151" t="s">
        <v>31</v>
      </c>
      <c r="H3151" t="s">
        <v>32</v>
      </c>
      <c r="I3151">
        <v>371</v>
      </c>
      <c r="J3151" t="s">
        <v>33</v>
      </c>
      <c r="K3151" t="s">
        <v>4318</v>
      </c>
      <c r="L3151" t="s">
        <v>21</v>
      </c>
      <c r="M3151" t="str">
        <f t="shared" si="147"/>
        <v>OK</v>
      </c>
      <c r="N3151" t="str">
        <f t="shared" si="148"/>
        <v>1970s</v>
      </c>
      <c r="O3151" t="str">
        <f t="shared" si="149"/>
        <v>N/A</v>
      </c>
      <c r="P3151" t="str">
        <f>VLOOKUP(E3151,calculated_fields!$F$4:$G$6,2,FALSE)</f>
        <v>Economy</v>
      </c>
    </row>
    <row r="3152" spans="1:16">
      <c r="A3152" t="s">
        <v>4321</v>
      </c>
      <c r="B3152" t="s">
        <v>4297</v>
      </c>
      <c r="C3152" t="s">
        <v>14</v>
      </c>
      <c r="D3152">
        <v>1982</v>
      </c>
      <c r="E3152" t="s">
        <v>15</v>
      </c>
      <c r="F3152" t="s">
        <v>16</v>
      </c>
      <c r="G3152" t="s">
        <v>17</v>
      </c>
      <c r="H3152" t="s">
        <v>18</v>
      </c>
      <c r="I3152">
        <v>58.055999999999997</v>
      </c>
      <c r="J3152" t="s">
        <v>19</v>
      </c>
      <c r="K3152" t="s">
        <v>4322</v>
      </c>
      <c r="L3152" t="s">
        <v>21</v>
      </c>
      <c r="M3152" t="str">
        <f t="shared" si="147"/>
        <v>OK</v>
      </c>
      <c r="N3152" t="str">
        <f t="shared" si="148"/>
        <v>1980s</v>
      </c>
      <c r="O3152" t="str">
        <f t="shared" si="149"/>
        <v>Medium</v>
      </c>
      <c r="P3152" t="str">
        <f>VLOOKUP(E3152,calculated_fields!$F$4:$G$6,2,FALSE)</f>
        <v>Health</v>
      </c>
    </row>
    <row r="3153" spans="1:16">
      <c r="A3153" t="s">
        <v>4323</v>
      </c>
      <c r="B3153" t="s">
        <v>4297</v>
      </c>
      <c r="C3153" t="s">
        <v>14</v>
      </c>
      <c r="D3153">
        <v>1982</v>
      </c>
      <c r="E3153" t="s">
        <v>23</v>
      </c>
      <c r="F3153" t="s">
        <v>24</v>
      </c>
      <c r="G3153" t="s">
        <v>25</v>
      </c>
      <c r="H3153" t="s">
        <v>26</v>
      </c>
      <c r="I3153">
        <v>34680442</v>
      </c>
      <c r="J3153" t="s">
        <v>27</v>
      </c>
      <c r="K3153" t="s">
        <v>4322</v>
      </c>
      <c r="L3153" t="s">
        <v>21</v>
      </c>
      <c r="M3153" t="str">
        <f t="shared" si="147"/>
        <v>OK</v>
      </c>
      <c r="N3153" t="str">
        <f t="shared" si="148"/>
        <v>1980s</v>
      </c>
      <c r="O3153" t="str">
        <f t="shared" si="149"/>
        <v>N/A</v>
      </c>
      <c r="P3153" t="str">
        <f>VLOOKUP(E3153,calculated_fields!$F$4:$G$6,2,FALSE)</f>
        <v>Demographics</v>
      </c>
    </row>
    <row r="3154" spans="1:16">
      <c r="A3154" t="s">
        <v>4324</v>
      </c>
      <c r="B3154" t="s">
        <v>4297</v>
      </c>
      <c r="C3154" t="s">
        <v>14</v>
      </c>
      <c r="D3154">
        <v>1982</v>
      </c>
      <c r="E3154" t="s">
        <v>29</v>
      </c>
      <c r="F3154" t="s">
        <v>30</v>
      </c>
      <c r="G3154" t="s">
        <v>31</v>
      </c>
      <c r="H3154" t="s">
        <v>32</v>
      </c>
      <c r="I3154">
        <v>424</v>
      </c>
      <c r="J3154" t="s">
        <v>33</v>
      </c>
      <c r="K3154" t="s">
        <v>4322</v>
      </c>
      <c r="L3154" t="s">
        <v>21</v>
      </c>
      <c r="M3154" t="str">
        <f t="shared" si="147"/>
        <v>OK</v>
      </c>
      <c r="N3154" t="str">
        <f t="shared" si="148"/>
        <v>1980s</v>
      </c>
      <c r="O3154" t="str">
        <f t="shared" si="149"/>
        <v>N/A</v>
      </c>
      <c r="P3154" t="str">
        <f>VLOOKUP(E3154,calculated_fields!$F$4:$G$6,2,FALSE)</f>
        <v>Economy</v>
      </c>
    </row>
    <row r="3155" spans="1:16">
      <c r="A3155" t="s">
        <v>4325</v>
      </c>
      <c r="B3155" t="s">
        <v>4297</v>
      </c>
      <c r="C3155" t="s">
        <v>14</v>
      </c>
      <c r="D3155">
        <v>1987</v>
      </c>
      <c r="E3155" t="s">
        <v>15</v>
      </c>
      <c r="F3155" t="s">
        <v>16</v>
      </c>
      <c r="G3155" t="s">
        <v>17</v>
      </c>
      <c r="H3155" t="s">
        <v>18</v>
      </c>
      <c r="I3155">
        <v>58.338999999999999</v>
      </c>
      <c r="J3155" t="s">
        <v>19</v>
      </c>
      <c r="K3155" t="s">
        <v>4326</v>
      </c>
      <c r="L3155" t="s">
        <v>21</v>
      </c>
      <c r="M3155" t="str">
        <f t="shared" si="147"/>
        <v>OK</v>
      </c>
      <c r="N3155" t="str">
        <f t="shared" si="148"/>
        <v>1980s</v>
      </c>
      <c r="O3155" t="str">
        <f t="shared" si="149"/>
        <v>Medium</v>
      </c>
      <c r="P3155" t="str">
        <f>VLOOKUP(E3155,calculated_fields!$F$4:$G$6,2,FALSE)</f>
        <v>Health</v>
      </c>
    </row>
    <row r="3156" spans="1:16">
      <c r="A3156" t="s">
        <v>4327</v>
      </c>
      <c r="B3156" t="s">
        <v>4297</v>
      </c>
      <c r="C3156" t="s">
        <v>14</v>
      </c>
      <c r="D3156">
        <v>1987</v>
      </c>
      <c r="E3156" t="s">
        <v>23</v>
      </c>
      <c r="F3156" t="s">
        <v>24</v>
      </c>
      <c r="G3156" t="s">
        <v>25</v>
      </c>
      <c r="H3156" t="s">
        <v>26</v>
      </c>
      <c r="I3156">
        <v>38028578</v>
      </c>
      <c r="J3156" t="s">
        <v>27</v>
      </c>
      <c r="K3156" t="s">
        <v>4326</v>
      </c>
      <c r="L3156" t="s">
        <v>21</v>
      </c>
      <c r="M3156" t="str">
        <f t="shared" si="147"/>
        <v>OK</v>
      </c>
      <c r="N3156" t="str">
        <f t="shared" si="148"/>
        <v>1980s</v>
      </c>
      <c r="O3156" t="str">
        <f t="shared" si="149"/>
        <v>N/A</v>
      </c>
      <c r="P3156" t="str">
        <f>VLOOKUP(E3156,calculated_fields!$F$4:$G$6,2,FALSE)</f>
        <v>Demographics</v>
      </c>
    </row>
    <row r="3157" spans="1:16">
      <c r="A3157" t="s">
        <v>4328</v>
      </c>
      <c r="B3157" t="s">
        <v>4297</v>
      </c>
      <c r="C3157" t="s">
        <v>14</v>
      </c>
      <c r="D3157">
        <v>1987</v>
      </c>
      <c r="E3157" t="s">
        <v>29</v>
      </c>
      <c r="F3157" t="s">
        <v>30</v>
      </c>
      <c r="G3157" t="s">
        <v>31</v>
      </c>
      <c r="H3157" t="s">
        <v>32</v>
      </c>
      <c r="I3157">
        <v>385</v>
      </c>
      <c r="J3157" t="s">
        <v>33</v>
      </c>
      <c r="K3157" t="s">
        <v>4326</v>
      </c>
      <c r="L3157" t="s">
        <v>21</v>
      </c>
      <c r="M3157" t="str">
        <f t="shared" si="147"/>
        <v>OK</v>
      </c>
      <c r="N3157" t="str">
        <f t="shared" si="148"/>
        <v>1980s</v>
      </c>
      <c r="O3157" t="str">
        <f t="shared" si="149"/>
        <v>N/A</v>
      </c>
      <c r="P3157" t="str">
        <f>VLOOKUP(E3157,calculated_fields!$F$4:$G$6,2,FALSE)</f>
        <v>Economy</v>
      </c>
    </row>
    <row r="3158" spans="1:16">
      <c r="A3158" t="s">
        <v>4329</v>
      </c>
      <c r="B3158" t="s">
        <v>4297</v>
      </c>
      <c r="C3158" t="s">
        <v>14</v>
      </c>
      <c r="D3158">
        <v>1992</v>
      </c>
      <c r="E3158" t="s">
        <v>15</v>
      </c>
      <c r="F3158" t="s">
        <v>16</v>
      </c>
      <c r="G3158" t="s">
        <v>17</v>
      </c>
      <c r="H3158" t="s">
        <v>18</v>
      </c>
      <c r="I3158">
        <v>59.32</v>
      </c>
      <c r="J3158" t="s">
        <v>19</v>
      </c>
      <c r="K3158" t="s">
        <v>4330</v>
      </c>
      <c r="L3158" t="s">
        <v>21</v>
      </c>
      <c r="M3158" t="str">
        <f t="shared" si="147"/>
        <v>OK</v>
      </c>
      <c r="N3158" t="str">
        <f t="shared" si="148"/>
        <v>1990s</v>
      </c>
      <c r="O3158" t="str">
        <f t="shared" si="149"/>
        <v>Medium</v>
      </c>
      <c r="P3158" t="str">
        <f>VLOOKUP(E3158,calculated_fields!$F$4:$G$6,2,FALSE)</f>
        <v>Health</v>
      </c>
    </row>
    <row r="3159" spans="1:16">
      <c r="A3159" t="s">
        <v>4331</v>
      </c>
      <c r="B3159" t="s">
        <v>4297</v>
      </c>
      <c r="C3159" t="s">
        <v>14</v>
      </c>
      <c r="D3159">
        <v>1992</v>
      </c>
      <c r="E3159" t="s">
        <v>23</v>
      </c>
      <c r="F3159" t="s">
        <v>24</v>
      </c>
      <c r="G3159" t="s">
        <v>25</v>
      </c>
      <c r="H3159" t="s">
        <v>26</v>
      </c>
      <c r="I3159">
        <v>40546538</v>
      </c>
      <c r="J3159" t="s">
        <v>27</v>
      </c>
      <c r="K3159" t="s">
        <v>4330</v>
      </c>
      <c r="L3159" t="s">
        <v>21</v>
      </c>
      <c r="M3159" t="str">
        <f t="shared" si="147"/>
        <v>OK</v>
      </c>
      <c r="N3159" t="str">
        <f t="shared" si="148"/>
        <v>1990s</v>
      </c>
      <c r="O3159" t="str">
        <f t="shared" si="149"/>
        <v>N/A</v>
      </c>
      <c r="P3159" t="str">
        <f>VLOOKUP(E3159,calculated_fields!$F$4:$G$6,2,FALSE)</f>
        <v>Demographics</v>
      </c>
    </row>
    <row r="3160" spans="1:16">
      <c r="A3160" t="s">
        <v>4332</v>
      </c>
      <c r="B3160" t="s">
        <v>4297</v>
      </c>
      <c r="C3160" t="s">
        <v>14</v>
      </c>
      <c r="D3160">
        <v>1992</v>
      </c>
      <c r="E3160" t="s">
        <v>29</v>
      </c>
      <c r="F3160" t="s">
        <v>30</v>
      </c>
      <c r="G3160" t="s">
        <v>31</v>
      </c>
      <c r="H3160" t="s">
        <v>32</v>
      </c>
      <c r="I3160">
        <v>347</v>
      </c>
      <c r="J3160" t="s">
        <v>33</v>
      </c>
      <c r="K3160" t="s">
        <v>4330</v>
      </c>
      <c r="L3160" t="s">
        <v>21</v>
      </c>
      <c r="M3160" t="str">
        <f t="shared" si="147"/>
        <v>OK</v>
      </c>
      <c r="N3160" t="str">
        <f t="shared" si="148"/>
        <v>1990s</v>
      </c>
      <c r="O3160" t="str">
        <f t="shared" si="149"/>
        <v>N/A</v>
      </c>
      <c r="P3160" t="str">
        <f>VLOOKUP(E3160,calculated_fields!$F$4:$G$6,2,FALSE)</f>
        <v>Economy</v>
      </c>
    </row>
    <row r="3161" spans="1:16">
      <c r="A3161" t="s">
        <v>4333</v>
      </c>
      <c r="B3161" t="s">
        <v>4297</v>
      </c>
      <c r="C3161" t="s">
        <v>14</v>
      </c>
      <c r="D3161">
        <v>1997</v>
      </c>
      <c r="E3161" t="s">
        <v>15</v>
      </c>
      <c r="F3161" t="s">
        <v>16</v>
      </c>
      <c r="G3161" t="s">
        <v>17</v>
      </c>
      <c r="H3161" t="s">
        <v>18</v>
      </c>
      <c r="I3161">
        <v>60.328000000000003</v>
      </c>
      <c r="J3161" t="s">
        <v>19</v>
      </c>
      <c r="K3161" t="s">
        <v>4334</v>
      </c>
      <c r="L3161" t="s">
        <v>21</v>
      </c>
      <c r="M3161" t="str">
        <f t="shared" si="147"/>
        <v>OK</v>
      </c>
      <c r="N3161" t="str">
        <f t="shared" si="148"/>
        <v>1990s</v>
      </c>
      <c r="O3161" t="str">
        <f t="shared" si="149"/>
        <v>Medium</v>
      </c>
      <c r="P3161" t="str">
        <f>VLOOKUP(E3161,calculated_fields!$F$4:$G$6,2,FALSE)</f>
        <v>Health</v>
      </c>
    </row>
    <row r="3162" spans="1:16">
      <c r="A3162" t="s">
        <v>4335</v>
      </c>
      <c r="B3162" t="s">
        <v>4297</v>
      </c>
      <c r="C3162" t="s">
        <v>14</v>
      </c>
      <c r="D3162">
        <v>1997</v>
      </c>
      <c r="E3162" t="s">
        <v>23</v>
      </c>
      <c r="F3162" t="s">
        <v>24</v>
      </c>
      <c r="G3162" t="s">
        <v>25</v>
      </c>
      <c r="H3162" t="s">
        <v>26</v>
      </c>
      <c r="I3162">
        <v>43247867</v>
      </c>
      <c r="J3162" t="s">
        <v>27</v>
      </c>
      <c r="K3162" t="s">
        <v>4334</v>
      </c>
      <c r="L3162" t="s">
        <v>21</v>
      </c>
      <c r="M3162" t="str">
        <f t="shared" si="147"/>
        <v>OK</v>
      </c>
      <c r="N3162" t="str">
        <f t="shared" si="148"/>
        <v>1990s</v>
      </c>
      <c r="O3162" t="str">
        <f t="shared" si="149"/>
        <v>N/A</v>
      </c>
      <c r="P3162" t="str">
        <f>VLOOKUP(E3162,calculated_fields!$F$4:$G$6,2,FALSE)</f>
        <v>Demographics</v>
      </c>
    </row>
    <row r="3163" spans="1:16">
      <c r="A3163" t="s">
        <v>4336</v>
      </c>
      <c r="B3163" t="s">
        <v>4297</v>
      </c>
      <c r="C3163" t="s">
        <v>14</v>
      </c>
      <c r="D3163">
        <v>1997</v>
      </c>
      <c r="E3163" t="s">
        <v>29</v>
      </c>
      <c r="F3163" t="s">
        <v>30</v>
      </c>
      <c r="G3163" t="s">
        <v>31</v>
      </c>
      <c r="H3163" t="s">
        <v>32</v>
      </c>
      <c r="I3163">
        <v>415</v>
      </c>
      <c r="J3163" t="s">
        <v>33</v>
      </c>
      <c r="K3163" t="s">
        <v>4334</v>
      </c>
      <c r="L3163" t="s">
        <v>21</v>
      </c>
      <c r="M3163" t="str">
        <f t="shared" si="147"/>
        <v>OK</v>
      </c>
      <c r="N3163" t="str">
        <f t="shared" si="148"/>
        <v>1990s</v>
      </c>
      <c r="O3163" t="str">
        <f t="shared" si="149"/>
        <v>N/A</v>
      </c>
      <c r="P3163" t="str">
        <f>VLOOKUP(E3163,calculated_fields!$F$4:$G$6,2,FALSE)</f>
        <v>Economy</v>
      </c>
    </row>
    <row r="3164" spans="1:16">
      <c r="A3164" t="s">
        <v>4337</v>
      </c>
      <c r="B3164" t="s">
        <v>4297</v>
      </c>
      <c r="C3164" t="s">
        <v>14</v>
      </c>
      <c r="D3164">
        <v>2002</v>
      </c>
      <c r="E3164" t="s">
        <v>15</v>
      </c>
      <c r="F3164" t="s">
        <v>16</v>
      </c>
      <c r="G3164" t="s">
        <v>17</v>
      </c>
      <c r="H3164" t="s">
        <v>18</v>
      </c>
      <c r="I3164">
        <v>59.908000000000001</v>
      </c>
      <c r="J3164" t="s">
        <v>19</v>
      </c>
      <c r="K3164" t="s">
        <v>4338</v>
      </c>
      <c r="L3164" t="s">
        <v>21</v>
      </c>
      <c r="M3164" t="str">
        <f t="shared" si="147"/>
        <v>OK</v>
      </c>
      <c r="N3164" t="str">
        <f t="shared" si="148"/>
        <v>2000s</v>
      </c>
      <c r="O3164" t="str">
        <f t="shared" si="149"/>
        <v>Medium</v>
      </c>
      <c r="P3164" t="str">
        <f>VLOOKUP(E3164,calculated_fields!$F$4:$G$6,2,FALSE)</f>
        <v>Health</v>
      </c>
    </row>
    <row r="3165" spans="1:16">
      <c r="A3165" t="s">
        <v>4339</v>
      </c>
      <c r="B3165" t="s">
        <v>4297</v>
      </c>
      <c r="C3165" t="s">
        <v>14</v>
      </c>
      <c r="D3165">
        <v>2002</v>
      </c>
      <c r="E3165" t="s">
        <v>23</v>
      </c>
      <c r="F3165" t="s">
        <v>24</v>
      </c>
      <c r="G3165" t="s">
        <v>25</v>
      </c>
      <c r="H3165" t="s">
        <v>26</v>
      </c>
      <c r="I3165">
        <v>45598081</v>
      </c>
      <c r="J3165" t="s">
        <v>27</v>
      </c>
      <c r="K3165" t="s">
        <v>4338</v>
      </c>
      <c r="L3165" t="s">
        <v>21</v>
      </c>
      <c r="M3165" t="str">
        <f t="shared" si="147"/>
        <v>OK</v>
      </c>
      <c r="N3165" t="str">
        <f t="shared" si="148"/>
        <v>2000s</v>
      </c>
      <c r="O3165" t="str">
        <f t="shared" si="149"/>
        <v>N/A</v>
      </c>
      <c r="P3165" t="str">
        <f>VLOOKUP(E3165,calculated_fields!$F$4:$G$6,2,FALSE)</f>
        <v>Demographics</v>
      </c>
    </row>
    <row r="3166" spans="1:16">
      <c r="A3166" t="s">
        <v>4340</v>
      </c>
      <c r="B3166" t="s">
        <v>4297</v>
      </c>
      <c r="C3166" t="s">
        <v>14</v>
      </c>
      <c r="D3166">
        <v>2002</v>
      </c>
      <c r="E3166" t="s">
        <v>29</v>
      </c>
      <c r="F3166" t="s">
        <v>30</v>
      </c>
      <c r="G3166" t="s">
        <v>31</v>
      </c>
      <c r="H3166" t="s">
        <v>32</v>
      </c>
      <c r="I3166">
        <v>611</v>
      </c>
      <c r="J3166" t="s">
        <v>33</v>
      </c>
      <c r="K3166" t="s">
        <v>4338</v>
      </c>
      <c r="L3166" t="s">
        <v>21</v>
      </c>
      <c r="M3166" t="str">
        <f t="shared" si="147"/>
        <v>OK</v>
      </c>
      <c r="N3166" t="str">
        <f t="shared" si="148"/>
        <v>2000s</v>
      </c>
      <c r="O3166" t="str">
        <f t="shared" si="149"/>
        <v>N/A</v>
      </c>
      <c r="P3166" t="str">
        <f>VLOOKUP(E3166,calculated_fields!$F$4:$G$6,2,FALSE)</f>
        <v>Economy</v>
      </c>
    </row>
    <row r="3167" spans="1:16">
      <c r="A3167" t="s">
        <v>4341</v>
      </c>
      <c r="B3167" t="s">
        <v>4297</v>
      </c>
      <c r="C3167" t="s">
        <v>14</v>
      </c>
      <c r="D3167">
        <v>2007</v>
      </c>
      <c r="E3167" t="s">
        <v>15</v>
      </c>
      <c r="F3167" t="s">
        <v>16</v>
      </c>
      <c r="G3167" t="s">
        <v>17</v>
      </c>
      <c r="H3167" t="s">
        <v>18</v>
      </c>
      <c r="I3167">
        <v>62.069000000000003</v>
      </c>
      <c r="J3167" t="s">
        <v>19</v>
      </c>
      <c r="K3167" t="s">
        <v>4342</v>
      </c>
      <c r="L3167" t="s">
        <v>21</v>
      </c>
      <c r="M3167" t="str">
        <f t="shared" si="147"/>
        <v>OK</v>
      </c>
      <c r="N3167" t="str">
        <f t="shared" si="148"/>
        <v>2000s</v>
      </c>
      <c r="O3167" t="str">
        <f t="shared" si="149"/>
        <v>Medium</v>
      </c>
      <c r="P3167" t="str">
        <f>VLOOKUP(E3167,calculated_fields!$F$4:$G$6,2,FALSE)</f>
        <v>Health</v>
      </c>
    </row>
    <row r="3168" spans="1:16">
      <c r="A3168" t="s">
        <v>4343</v>
      </c>
      <c r="B3168" t="s">
        <v>4297</v>
      </c>
      <c r="C3168" t="s">
        <v>14</v>
      </c>
      <c r="D3168">
        <v>2007</v>
      </c>
      <c r="E3168" t="s">
        <v>23</v>
      </c>
      <c r="F3168" t="s">
        <v>24</v>
      </c>
      <c r="G3168" t="s">
        <v>25</v>
      </c>
      <c r="H3168" t="s">
        <v>26</v>
      </c>
      <c r="I3168">
        <v>47761980</v>
      </c>
      <c r="J3168" t="s">
        <v>27</v>
      </c>
      <c r="K3168" t="s">
        <v>4342</v>
      </c>
      <c r="L3168" t="s">
        <v>21</v>
      </c>
      <c r="M3168" t="str">
        <f t="shared" si="147"/>
        <v>OK</v>
      </c>
      <c r="N3168" t="str">
        <f t="shared" si="148"/>
        <v>2000s</v>
      </c>
      <c r="O3168" t="str">
        <f t="shared" si="149"/>
        <v>N/A</v>
      </c>
      <c r="P3168" t="str">
        <f>VLOOKUP(E3168,calculated_fields!$F$4:$G$6,2,FALSE)</f>
        <v>Demographics</v>
      </c>
    </row>
    <row r="3169" spans="1:16">
      <c r="A3169" t="s">
        <v>4344</v>
      </c>
      <c r="B3169" t="s">
        <v>4297</v>
      </c>
      <c r="C3169" t="s">
        <v>14</v>
      </c>
      <c r="D3169">
        <v>2007</v>
      </c>
      <c r="E3169" t="s">
        <v>29</v>
      </c>
      <c r="F3169" t="s">
        <v>30</v>
      </c>
      <c r="G3169" t="s">
        <v>31</v>
      </c>
      <c r="H3169" t="s">
        <v>32</v>
      </c>
      <c r="I3169">
        <v>944</v>
      </c>
      <c r="J3169" t="s">
        <v>33</v>
      </c>
      <c r="K3169" t="s">
        <v>4342</v>
      </c>
      <c r="L3169" t="s">
        <v>21</v>
      </c>
      <c r="M3169" t="str">
        <f t="shared" si="147"/>
        <v>OK</v>
      </c>
      <c r="N3169" t="str">
        <f t="shared" si="148"/>
        <v>2000s</v>
      </c>
      <c r="O3169" t="str">
        <f t="shared" si="149"/>
        <v>N/A</v>
      </c>
      <c r="P3169" t="str">
        <f>VLOOKUP(E3169,calculated_fields!$F$4:$G$6,2,FALSE)</f>
        <v>Economy</v>
      </c>
    </row>
    <row r="3170" spans="1:16">
      <c r="A3170" t="s">
        <v>4345</v>
      </c>
      <c r="B3170" t="s">
        <v>4346</v>
      </c>
      <c r="C3170" t="s">
        <v>130</v>
      </c>
      <c r="D3170">
        <v>1952</v>
      </c>
      <c r="E3170" t="s">
        <v>15</v>
      </c>
      <c r="F3170" t="s">
        <v>16</v>
      </c>
      <c r="G3170" t="s">
        <v>17</v>
      </c>
      <c r="H3170" t="s">
        <v>18</v>
      </c>
      <c r="I3170">
        <v>41.725000000000001</v>
      </c>
      <c r="J3170" t="s">
        <v>19</v>
      </c>
      <c r="K3170" t="s">
        <v>4347</v>
      </c>
      <c r="L3170" t="s">
        <v>21</v>
      </c>
      <c r="M3170" t="str">
        <f t="shared" si="147"/>
        <v>OK</v>
      </c>
      <c r="N3170" t="str">
        <f t="shared" si="148"/>
        <v>1950s</v>
      </c>
      <c r="O3170" t="str">
        <f t="shared" si="149"/>
        <v>Low</v>
      </c>
      <c r="P3170" t="str">
        <f>VLOOKUP(E3170,calculated_fields!$F$4:$G$6,2,FALSE)</f>
        <v>Health</v>
      </c>
    </row>
    <row r="3171" spans="1:16">
      <c r="A3171" t="s">
        <v>4348</v>
      </c>
      <c r="B3171" t="s">
        <v>4346</v>
      </c>
      <c r="C3171" t="s">
        <v>130</v>
      </c>
      <c r="D3171">
        <v>1952</v>
      </c>
      <c r="E3171" t="s">
        <v>23</v>
      </c>
      <c r="F3171" t="s">
        <v>24</v>
      </c>
      <c r="G3171" t="s">
        <v>25</v>
      </c>
      <c r="H3171" t="s">
        <v>26</v>
      </c>
      <c r="I3171">
        <v>485831</v>
      </c>
      <c r="J3171" t="s">
        <v>27</v>
      </c>
      <c r="K3171" t="s">
        <v>4347</v>
      </c>
      <c r="L3171" t="s">
        <v>21</v>
      </c>
      <c r="M3171" t="str">
        <f t="shared" si="147"/>
        <v>OK</v>
      </c>
      <c r="N3171" t="str">
        <f t="shared" si="148"/>
        <v>1950s</v>
      </c>
      <c r="O3171" t="str">
        <f t="shared" si="149"/>
        <v>N/A</v>
      </c>
      <c r="P3171" t="str">
        <f>VLOOKUP(E3171,calculated_fields!$F$4:$G$6,2,FALSE)</f>
        <v>Demographics</v>
      </c>
    </row>
    <row r="3172" spans="1:16">
      <c r="A3172" t="s">
        <v>4349</v>
      </c>
      <c r="B3172" t="s">
        <v>4346</v>
      </c>
      <c r="C3172" t="s">
        <v>130</v>
      </c>
      <c r="D3172">
        <v>1952</v>
      </c>
      <c r="E3172" t="s">
        <v>29</v>
      </c>
      <c r="F3172" t="s">
        <v>30</v>
      </c>
      <c r="G3172" t="s">
        <v>31</v>
      </c>
      <c r="H3172" t="s">
        <v>32</v>
      </c>
      <c r="I3172">
        <v>2423.7804430000001</v>
      </c>
      <c r="J3172" t="s">
        <v>33</v>
      </c>
      <c r="K3172" t="s">
        <v>4347</v>
      </c>
      <c r="L3172" t="s">
        <v>21</v>
      </c>
      <c r="M3172" t="str">
        <f t="shared" si="147"/>
        <v>OK</v>
      </c>
      <c r="N3172" t="str">
        <f t="shared" si="148"/>
        <v>1950s</v>
      </c>
      <c r="O3172" t="str">
        <f t="shared" si="149"/>
        <v>N/A</v>
      </c>
      <c r="P3172" t="str">
        <f>VLOOKUP(E3172,calculated_fields!$F$4:$G$6,2,FALSE)</f>
        <v>Economy</v>
      </c>
    </row>
    <row r="3173" spans="1:16">
      <c r="A3173" t="s">
        <v>4350</v>
      </c>
      <c r="B3173" t="s">
        <v>4346</v>
      </c>
      <c r="C3173" t="s">
        <v>130</v>
      </c>
      <c r="D3173">
        <v>1957</v>
      </c>
      <c r="E3173" t="s">
        <v>15</v>
      </c>
      <c r="F3173" t="s">
        <v>16</v>
      </c>
      <c r="G3173" t="s">
        <v>17</v>
      </c>
      <c r="H3173" t="s">
        <v>18</v>
      </c>
      <c r="I3173">
        <v>45.225999999999999</v>
      </c>
      <c r="J3173" t="s">
        <v>19</v>
      </c>
      <c r="K3173" t="s">
        <v>4351</v>
      </c>
      <c r="L3173" t="s">
        <v>21</v>
      </c>
      <c r="M3173" t="str">
        <f t="shared" si="147"/>
        <v>OK</v>
      </c>
      <c r="N3173" t="str">
        <f t="shared" si="148"/>
        <v>1950s</v>
      </c>
      <c r="O3173" t="str">
        <f t="shared" si="149"/>
        <v>Low</v>
      </c>
      <c r="P3173" t="str">
        <f>VLOOKUP(E3173,calculated_fields!$F$4:$G$6,2,FALSE)</f>
        <v>Health</v>
      </c>
    </row>
    <row r="3174" spans="1:16">
      <c r="A3174" t="s">
        <v>4352</v>
      </c>
      <c r="B3174" t="s">
        <v>4346</v>
      </c>
      <c r="C3174" t="s">
        <v>130</v>
      </c>
      <c r="D3174">
        <v>1957</v>
      </c>
      <c r="E3174" t="s">
        <v>23</v>
      </c>
      <c r="F3174" t="s">
        <v>24</v>
      </c>
      <c r="G3174" t="s">
        <v>25</v>
      </c>
      <c r="H3174" t="s">
        <v>26</v>
      </c>
      <c r="I3174">
        <v>548080</v>
      </c>
      <c r="J3174" t="s">
        <v>27</v>
      </c>
      <c r="K3174" t="s">
        <v>4351</v>
      </c>
      <c r="L3174" t="s">
        <v>21</v>
      </c>
      <c r="M3174" t="str">
        <f t="shared" si="147"/>
        <v>OK</v>
      </c>
      <c r="N3174" t="str">
        <f t="shared" si="148"/>
        <v>1950s</v>
      </c>
      <c r="O3174" t="str">
        <f t="shared" si="149"/>
        <v>N/A</v>
      </c>
      <c r="P3174" t="str">
        <f>VLOOKUP(E3174,calculated_fields!$F$4:$G$6,2,FALSE)</f>
        <v>Demographics</v>
      </c>
    </row>
    <row r="3175" spans="1:16">
      <c r="A3175" t="s">
        <v>4353</v>
      </c>
      <c r="B3175" t="s">
        <v>4346</v>
      </c>
      <c r="C3175" t="s">
        <v>130</v>
      </c>
      <c r="D3175">
        <v>1957</v>
      </c>
      <c r="E3175" t="s">
        <v>29</v>
      </c>
      <c r="F3175" t="s">
        <v>30</v>
      </c>
      <c r="G3175" t="s">
        <v>31</v>
      </c>
      <c r="H3175" t="s">
        <v>32</v>
      </c>
      <c r="I3175">
        <v>2621.4480579999999</v>
      </c>
      <c r="J3175" t="s">
        <v>33</v>
      </c>
      <c r="K3175" t="s">
        <v>4351</v>
      </c>
      <c r="L3175" t="s">
        <v>21</v>
      </c>
      <c r="M3175" t="str">
        <f t="shared" si="147"/>
        <v>OK</v>
      </c>
      <c r="N3175" t="str">
        <f t="shared" si="148"/>
        <v>1950s</v>
      </c>
      <c r="O3175" t="str">
        <f t="shared" si="149"/>
        <v>N/A</v>
      </c>
      <c r="P3175" t="str">
        <f>VLOOKUP(E3175,calculated_fields!$F$4:$G$6,2,FALSE)</f>
        <v>Economy</v>
      </c>
    </row>
    <row r="3176" spans="1:16">
      <c r="A3176" t="s">
        <v>4354</v>
      </c>
      <c r="B3176" t="s">
        <v>4346</v>
      </c>
      <c r="C3176" t="s">
        <v>130</v>
      </c>
      <c r="D3176">
        <v>1962</v>
      </c>
      <c r="E3176" t="s">
        <v>15</v>
      </c>
      <c r="F3176" t="s">
        <v>16</v>
      </c>
      <c r="G3176" t="s">
        <v>17</v>
      </c>
      <c r="H3176" t="s">
        <v>18</v>
      </c>
      <c r="I3176">
        <v>48.386000000000003</v>
      </c>
      <c r="J3176" t="s">
        <v>19</v>
      </c>
      <c r="K3176" t="s">
        <v>4355</v>
      </c>
      <c r="L3176" t="s">
        <v>21</v>
      </c>
      <c r="M3176" t="str">
        <f t="shared" si="147"/>
        <v>OK</v>
      </c>
      <c r="N3176" t="str">
        <f t="shared" si="148"/>
        <v>1960s</v>
      </c>
      <c r="O3176" t="str">
        <f t="shared" si="149"/>
        <v>Low</v>
      </c>
      <c r="P3176" t="str">
        <f>VLOOKUP(E3176,calculated_fields!$F$4:$G$6,2,FALSE)</f>
        <v>Health</v>
      </c>
    </row>
    <row r="3177" spans="1:16">
      <c r="A3177" t="s">
        <v>4356</v>
      </c>
      <c r="B3177" t="s">
        <v>4346</v>
      </c>
      <c r="C3177" t="s">
        <v>130</v>
      </c>
      <c r="D3177">
        <v>1962</v>
      </c>
      <c r="E3177" t="s">
        <v>23</v>
      </c>
      <c r="F3177" t="s">
        <v>24</v>
      </c>
      <c r="G3177" t="s">
        <v>25</v>
      </c>
      <c r="H3177" t="s">
        <v>26</v>
      </c>
      <c r="I3177">
        <v>621392</v>
      </c>
      <c r="J3177" t="s">
        <v>27</v>
      </c>
      <c r="K3177" t="s">
        <v>4355</v>
      </c>
      <c r="L3177" t="s">
        <v>21</v>
      </c>
      <c r="M3177" t="str">
        <f t="shared" si="147"/>
        <v>OK</v>
      </c>
      <c r="N3177" t="str">
        <f t="shared" si="148"/>
        <v>1960s</v>
      </c>
      <c r="O3177" t="str">
        <f t="shared" si="149"/>
        <v>N/A</v>
      </c>
      <c r="P3177" t="str">
        <f>VLOOKUP(E3177,calculated_fields!$F$4:$G$6,2,FALSE)</f>
        <v>Demographics</v>
      </c>
    </row>
    <row r="3178" spans="1:16">
      <c r="A3178" t="s">
        <v>4357</v>
      </c>
      <c r="B3178" t="s">
        <v>4346</v>
      </c>
      <c r="C3178" t="s">
        <v>130</v>
      </c>
      <c r="D3178">
        <v>1962</v>
      </c>
      <c r="E3178" t="s">
        <v>29</v>
      </c>
      <c r="F3178" t="s">
        <v>30</v>
      </c>
      <c r="G3178" t="s">
        <v>31</v>
      </c>
      <c r="H3178" t="s">
        <v>32</v>
      </c>
      <c r="I3178">
        <v>3173.2155950000001</v>
      </c>
      <c r="J3178" t="s">
        <v>33</v>
      </c>
      <c r="K3178" t="s">
        <v>4355</v>
      </c>
      <c r="L3178" t="s">
        <v>21</v>
      </c>
      <c r="M3178" t="str">
        <f t="shared" si="147"/>
        <v>OK</v>
      </c>
      <c r="N3178" t="str">
        <f t="shared" si="148"/>
        <v>1960s</v>
      </c>
      <c r="O3178" t="str">
        <f t="shared" si="149"/>
        <v>N/A</v>
      </c>
      <c r="P3178" t="str">
        <f>VLOOKUP(E3178,calculated_fields!$F$4:$G$6,2,FALSE)</f>
        <v>Economy</v>
      </c>
    </row>
    <row r="3179" spans="1:16">
      <c r="A3179" t="s">
        <v>4358</v>
      </c>
      <c r="B3179" t="s">
        <v>4346</v>
      </c>
      <c r="C3179" t="s">
        <v>130</v>
      </c>
      <c r="D3179">
        <v>1967</v>
      </c>
      <c r="E3179" t="s">
        <v>15</v>
      </c>
      <c r="F3179" t="s">
        <v>16</v>
      </c>
      <c r="G3179" t="s">
        <v>17</v>
      </c>
      <c r="H3179" t="s">
        <v>18</v>
      </c>
      <c r="I3179">
        <v>51.158999999999999</v>
      </c>
      <c r="J3179" t="s">
        <v>19</v>
      </c>
      <c r="K3179" t="s">
        <v>4359</v>
      </c>
      <c r="L3179" t="s">
        <v>21</v>
      </c>
      <c r="M3179" t="str">
        <f t="shared" si="147"/>
        <v>OK</v>
      </c>
      <c r="N3179" t="str">
        <f t="shared" si="148"/>
        <v>1960s</v>
      </c>
      <c r="O3179" t="str">
        <f t="shared" si="149"/>
        <v>Low</v>
      </c>
      <c r="P3179" t="str">
        <f>VLOOKUP(E3179,calculated_fields!$F$4:$G$6,2,FALSE)</f>
        <v>Health</v>
      </c>
    </row>
    <row r="3180" spans="1:16">
      <c r="A3180" t="s">
        <v>4360</v>
      </c>
      <c r="B3180" t="s">
        <v>4346</v>
      </c>
      <c r="C3180" t="s">
        <v>130</v>
      </c>
      <c r="D3180">
        <v>1967</v>
      </c>
      <c r="E3180" t="s">
        <v>23</v>
      </c>
      <c r="F3180" t="s">
        <v>24</v>
      </c>
      <c r="G3180" t="s">
        <v>25</v>
      </c>
      <c r="H3180" t="s">
        <v>26</v>
      </c>
      <c r="I3180">
        <v>706640</v>
      </c>
      <c r="J3180" t="s">
        <v>27</v>
      </c>
      <c r="K3180" t="s">
        <v>4359</v>
      </c>
      <c r="L3180" t="s">
        <v>21</v>
      </c>
      <c r="M3180" t="str">
        <f t="shared" si="147"/>
        <v>OK</v>
      </c>
      <c r="N3180" t="str">
        <f t="shared" si="148"/>
        <v>1960s</v>
      </c>
      <c r="O3180" t="str">
        <f t="shared" si="149"/>
        <v>N/A</v>
      </c>
      <c r="P3180" t="str">
        <f>VLOOKUP(E3180,calculated_fields!$F$4:$G$6,2,FALSE)</f>
        <v>Demographics</v>
      </c>
    </row>
    <row r="3181" spans="1:16">
      <c r="A3181" t="s">
        <v>4361</v>
      </c>
      <c r="B3181" t="s">
        <v>4346</v>
      </c>
      <c r="C3181" t="s">
        <v>130</v>
      </c>
      <c r="D3181">
        <v>1967</v>
      </c>
      <c r="E3181" t="s">
        <v>29</v>
      </c>
      <c r="F3181" t="s">
        <v>30</v>
      </c>
      <c r="G3181" t="s">
        <v>31</v>
      </c>
      <c r="H3181" t="s">
        <v>32</v>
      </c>
      <c r="I3181">
        <v>3793.6947530000002</v>
      </c>
      <c r="J3181" t="s">
        <v>33</v>
      </c>
      <c r="K3181" t="s">
        <v>4359</v>
      </c>
      <c r="L3181" t="s">
        <v>21</v>
      </c>
      <c r="M3181" t="str">
        <f t="shared" si="147"/>
        <v>OK</v>
      </c>
      <c r="N3181" t="str">
        <f t="shared" si="148"/>
        <v>1960s</v>
      </c>
      <c r="O3181" t="str">
        <f t="shared" si="149"/>
        <v>N/A</v>
      </c>
      <c r="P3181" t="str">
        <f>VLOOKUP(E3181,calculated_fields!$F$4:$G$6,2,FALSE)</f>
        <v>Economy</v>
      </c>
    </row>
    <row r="3182" spans="1:16">
      <c r="A3182" t="s">
        <v>4362</v>
      </c>
      <c r="B3182" t="s">
        <v>4346</v>
      </c>
      <c r="C3182" t="s">
        <v>130</v>
      </c>
      <c r="D3182">
        <v>1972</v>
      </c>
      <c r="E3182" t="s">
        <v>15</v>
      </c>
      <c r="F3182" t="s">
        <v>16</v>
      </c>
      <c r="G3182" t="s">
        <v>17</v>
      </c>
      <c r="H3182" t="s">
        <v>18</v>
      </c>
      <c r="I3182">
        <v>53.866999999999997</v>
      </c>
      <c r="J3182" t="s">
        <v>19</v>
      </c>
      <c r="K3182" t="s">
        <v>4363</v>
      </c>
      <c r="L3182" t="s">
        <v>21</v>
      </c>
      <c r="M3182" t="str">
        <f t="shared" si="147"/>
        <v>OK</v>
      </c>
      <c r="N3182" t="str">
        <f t="shared" si="148"/>
        <v>1970s</v>
      </c>
      <c r="O3182" t="str">
        <f t="shared" si="149"/>
        <v>Low</v>
      </c>
      <c r="P3182" t="str">
        <f>VLOOKUP(E3182,calculated_fields!$F$4:$G$6,2,FALSE)</f>
        <v>Health</v>
      </c>
    </row>
    <row r="3183" spans="1:16">
      <c r="A3183" t="s">
        <v>4364</v>
      </c>
      <c r="B3183" t="s">
        <v>4346</v>
      </c>
      <c r="C3183" t="s">
        <v>130</v>
      </c>
      <c r="D3183">
        <v>1972</v>
      </c>
      <c r="E3183" t="s">
        <v>23</v>
      </c>
      <c r="F3183" t="s">
        <v>24</v>
      </c>
      <c r="G3183" t="s">
        <v>25</v>
      </c>
      <c r="H3183" t="s">
        <v>26</v>
      </c>
      <c r="I3183">
        <v>821782</v>
      </c>
      <c r="J3183" t="s">
        <v>27</v>
      </c>
      <c r="K3183" t="s">
        <v>4363</v>
      </c>
      <c r="L3183" t="s">
        <v>21</v>
      </c>
      <c r="M3183" t="str">
        <f t="shared" si="147"/>
        <v>OK</v>
      </c>
      <c r="N3183" t="str">
        <f t="shared" si="148"/>
        <v>1970s</v>
      </c>
      <c r="O3183" t="str">
        <f t="shared" si="149"/>
        <v>N/A</v>
      </c>
      <c r="P3183" t="str">
        <f>VLOOKUP(E3183,calculated_fields!$F$4:$G$6,2,FALSE)</f>
        <v>Demographics</v>
      </c>
    </row>
    <row r="3184" spans="1:16">
      <c r="A3184" t="s">
        <v>4365</v>
      </c>
      <c r="B3184" t="s">
        <v>4346</v>
      </c>
      <c r="C3184" t="s">
        <v>130</v>
      </c>
      <c r="D3184">
        <v>1972</v>
      </c>
      <c r="E3184" t="s">
        <v>29</v>
      </c>
      <c r="F3184" t="s">
        <v>30</v>
      </c>
      <c r="G3184" t="s">
        <v>31</v>
      </c>
      <c r="H3184" t="s">
        <v>32</v>
      </c>
      <c r="I3184">
        <v>3746.0809479999998</v>
      </c>
      <c r="J3184" t="s">
        <v>33</v>
      </c>
      <c r="K3184" t="s">
        <v>4363</v>
      </c>
      <c r="L3184" t="s">
        <v>21</v>
      </c>
      <c r="M3184" t="str">
        <f t="shared" si="147"/>
        <v>OK</v>
      </c>
      <c r="N3184" t="str">
        <f t="shared" si="148"/>
        <v>1970s</v>
      </c>
      <c r="O3184" t="str">
        <f t="shared" si="149"/>
        <v>N/A</v>
      </c>
      <c r="P3184" t="str">
        <f>VLOOKUP(E3184,calculated_fields!$F$4:$G$6,2,FALSE)</f>
        <v>Economy</v>
      </c>
    </row>
    <row r="3185" spans="1:16">
      <c r="A3185" t="s">
        <v>4366</v>
      </c>
      <c r="B3185" t="s">
        <v>4346</v>
      </c>
      <c r="C3185" t="s">
        <v>130</v>
      </c>
      <c r="D3185">
        <v>1977</v>
      </c>
      <c r="E3185" t="s">
        <v>15</v>
      </c>
      <c r="F3185" t="s">
        <v>16</v>
      </c>
      <c r="G3185" t="s">
        <v>17</v>
      </c>
      <c r="H3185" t="s">
        <v>18</v>
      </c>
      <c r="I3185">
        <v>56.436999999999998</v>
      </c>
      <c r="J3185" t="s">
        <v>19</v>
      </c>
      <c r="K3185" t="s">
        <v>4367</v>
      </c>
      <c r="L3185" t="s">
        <v>21</v>
      </c>
      <c r="M3185" t="str">
        <f t="shared" si="147"/>
        <v>OK</v>
      </c>
      <c r="N3185" t="str">
        <f t="shared" si="148"/>
        <v>1970s</v>
      </c>
      <c r="O3185" t="str">
        <f t="shared" si="149"/>
        <v>Medium</v>
      </c>
      <c r="P3185" t="str">
        <f>VLOOKUP(E3185,calculated_fields!$F$4:$G$6,2,FALSE)</f>
        <v>Health</v>
      </c>
    </row>
    <row r="3186" spans="1:16">
      <c r="A3186" t="s">
        <v>4368</v>
      </c>
      <c r="B3186" t="s">
        <v>4346</v>
      </c>
      <c r="C3186" t="s">
        <v>130</v>
      </c>
      <c r="D3186">
        <v>1977</v>
      </c>
      <c r="E3186" t="s">
        <v>23</v>
      </c>
      <c r="F3186" t="s">
        <v>24</v>
      </c>
      <c r="G3186" t="s">
        <v>25</v>
      </c>
      <c r="H3186" t="s">
        <v>26</v>
      </c>
      <c r="I3186">
        <v>977026</v>
      </c>
      <c r="J3186" t="s">
        <v>27</v>
      </c>
      <c r="K3186" t="s">
        <v>4367</v>
      </c>
      <c r="L3186" t="s">
        <v>21</v>
      </c>
      <c r="M3186" t="str">
        <f t="shared" si="147"/>
        <v>OK</v>
      </c>
      <c r="N3186" t="str">
        <f t="shared" si="148"/>
        <v>1970s</v>
      </c>
      <c r="O3186" t="str">
        <f t="shared" si="149"/>
        <v>N/A</v>
      </c>
      <c r="P3186" t="str">
        <f>VLOOKUP(E3186,calculated_fields!$F$4:$G$6,2,FALSE)</f>
        <v>Demographics</v>
      </c>
    </row>
    <row r="3187" spans="1:16">
      <c r="A3187" t="s">
        <v>4369</v>
      </c>
      <c r="B3187" t="s">
        <v>4346</v>
      </c>
      <c r="C3187" t="s">
        <v>130</v>
      </c>
      <c r="D3187">
        <v>1977</v>
      </c>
      <c r="E3187" t="s">
        <v>29</v>
      </c>
      <c r="F3187" t="s">
        <v>30</v>
      </c>
      <c r="G3187" t="s">
        <v>31</v>
      </c>
      <c r="H3187" t="s">
        <v>32</v>
      </c>
      <c r="I3187">
        <v>3876.4859580000002</v>
      </c>
      <c r="J3187" t="s">
        <v>33</v>
      </c>
      <c r="K3187" t="s">
        <v>4367</v>
      </c>
      <c r="L3187" t="s">
        <v>21</v>
      </c>
      <c r="M3187" t="str">
        <f t="shared" si="147"/>
        <v>OK</v>
      </c>
      <c r="N3187" t="str">
        <f t="shared" si="148"/>
        <v>1970s</v>
      </c>
      <c r="O3187" t="str">
        <f t="shared" si="149"/>
        <v>N/A</v>
      </c>
      <c r="P3187" t="str">
        <f>VLOOKUP(E3187,calculated_fields!$F$4:$G$6,2,FALSE)</f>
        <v>Economy</v>
      </c>
    </row>
    <row r="3188" spans="1:16">
      <c r="A3188" t="s">
        <v>4370</v>
      </c>
      <c r="B3188" t="s">
        <v>4346</v>
      </c>
      <c r="C3188" t="s">
        <v>130</v>
      </c>
      <c r="D3188">
        <v>1982</v>
      </c>
      <c r="E3188" t="s">
        <v>15</v>
      </c>
      <c r="F3188" t="s">
        <v>16</v>
      </c>
      <c r="G3188" t="s">
        <v>17</v>
      </c>
      <c r="H3188" t="s">
        <v>18</v>
      </c>
      <c r="I3188">
        <v>58.968000000000004</v>
      </c>
      <c r="J3188" t="s">
        <v>19</v>
      </c>
      <c r="K3188" t="s">
        <v>4371</v>
      </c>
      <c r="L3188" t="s">
        <v>21</v>
      </c>
      <c r="M3188" t="str">
        <f t="shared" si="147"/>
        <v>OK</v>
      </c>
      <c r="N3188" t="str">
        <f t="shared" si="148"/>
        <v>1980s</v>
      </c>
      <c r="O3188" t="str">
        <f t="shared" si="149"/>
        <v>Medium</v>
      </c>
      <c r="P3188" t="str">
        <f>VLOOKUP(E3188,calculated_fields!$F$4:$G$6,2,FALSE)</f>
        <v>Health</v>
      </c>
    </row>
    <row r="3189" spans="1:16">
      <c r="A3189" t="s">
        <v>4372</v>
      </c>
      <c r="B3189" t="s">
        <v>4346</v>
      </c>
      <c r="C3189" t="s">
        <v>130</v>
      </c>
      <c r="D3189">
        <v>1982</v>
      </c>
      <c r="E3189" t="s">
        <v>23</v>
      </c>
      <c r="F3189" t="s">
        <v>24</v>
      </c>
      <c r="G3189" t="s">
        <v>25</v>
      </c>
      <c r="H3189" t="s">
        <v>26</v>
      </c>
      <c r="I3189">
        <v>1099010</v>
      </c>
      <c r="J3189" t="s">
        <v>27</v>
      </c>
      <c r="K3189" t="s">
        <v>4371</v>
      </c>
      <c r="L3189" t="s">
        <v>21</v>
      </c>
      <c r="M3189" t="str">
        <f t="shared" si="147"/>
        <v>OK</v>
      </c>
      <c r="N3189" t="str">
        <f t="shared" si="148"/>
        <v>1980s</v>
      </c>
      <c r="O3189" t="str">
        <f t="shared" si="149"/>
        <v>N/A</v>
      </c>
      <c r="P3189" t="str">
        <f>VLOOKUP(E3189,calculated_fields!$F$4:$G$6,2,FALSE)</f>
        <v>Demographics</v>
      </c>
    </row>
    <row r="3190" spans="1:16">
      <c r="A3190" t="s">
        <v>4373</v>
      </c>
      <c r="B3190" t="s">
        <v>4346</v>
      </c>
      <c r="C3190" t="s">
        <v>130</v>
      </c>
      <c r="D3190">
        <v>1982</v>
      </c>
      <c r="E3190" t="s">
        <v>29</v>
      </c>
      <c r="F3190" t="s">
        <v>30</v>
      </c>
      <c r="G3190" t="s">
        <v>31</v>
      </c>
      <c r="H3190" t="s">
        <v>32</v>
      </c>
      <c r="I3190">
        <v>4191.1005109999996</v>
      </c>
      <c r="J3190" t="s">
        <v>33</v>
      </c>
      <c r="K3190" t="s">
        <v>4371</v>
      </c>
      <c r="L3190" t="s">
        <v>21</v>
      </c>
      <c r="M3190" t="str">
        <f t="shared" si="147"/>
        <v>OK</v>
      </c>
      <c r="N3190" t="str">
        <f t="shared" si="148"/>
        <v>1980s</v>
      </c>
      <c r="O3190" t="str">
        <f t="shared" si="149"/>
        <v>N/A</v>
      </c>
      <c r="P3190" t="str">
        <f>VLOOKUP(E3190,calculated_fields!$F$4:$G$6,2,FALSE)</f>
        <v>Economy</v>
      </c>
    </row>
    <row r="3191" spans="1:16">
      <c r="A3191" t="s">
        <v>4374</v>
      </c>
      <c r="B3191" t="s">
        <v>4346</v>
      </c>
      <c r="C3191" t="s">
        <v>130</v>
      </c>
      <c r="D3191">
        <v>1987</v>
      </c>
      <c r="E3191" t="s">
        <v>15</v>
      </c>
      <c r="F3191" t="s">
        <v>16</v>
      </c>
      <c r="G3191" t="s">
        <v>17</v>
      </c>
      <c r="H3191" t="s">
        <v>18</v>
      </c>
      <c r="I3191">
        <v>60.835000000000001</v>
      </c>
      <c r="J3191" t="s">
        <v>19</v>
      </c>
      <c r="K3191" t="s">
        <v>4375</v>
      </c>
      <c r="L3191" t="s">
        <v>21</v>
      </c>
      <c r="M3191" t="str">
        <f t="shared" si="147"/>
        <v>OK</v>
      </c>
      <c r="N3191" t="str">
        <f t="shared" si="148"/>
        <v>1980s</v>
      </c>
      <c r="O3191" t="str">
        <f t="shared" si="149"/>
        <v>Medium</v>
      </c>
      <c r="P3191" t="str">
        <f>VLOOKUP(E3191,calculated_fields!$F$4:$G$6,2,FALSE)</f>
        <v>Health</v>
      </c>
    </row>
    <row r="3192" spans="1:16">
      <c r="A3192" t="s">
        <v>4376</v>
      </c>
      <c r="B3192" t="s">
        <v>4346</v>
      </c>
      <c r="C3192" t="s">
        <v>130</v>
      </c>
      <c r="D3192">
        <v>1987</v>
      </c>
      <c r="E3192" t="s">
        <v>23</v>
      </c>
      <c r="F3192" t="s">
        <v>24</v>
      </c>
      <c r="G3192" t="s">
        <v>25</v>
      </c>
      <c r="H3192" t="s">
        <v>26</v>
      </c>
      <c r="I3192">
        <v>1278184</v>
      </c>
      <c r="J3192" t="s">
        <v>27</v>
      </c>
      <c r="K3192" t="s">
        <v>4375</v>
      </c>
      <c r="L3192" t="s">
        <v>21</v>
      </c>
      <c r="M3192" t="str">
        <f t="shared" si="147"/>
        <v>OK</v>
      </c>
      <c r="N3192" t="str">
        <f t="shared" si="148"/>
        <v>1980s</v>
      </c>
      <c r="O3192" t="str">
        <f t="shared" si="149"/>
        <v>N/A</v>
      </c>
      <c r="P3192" t="str">
        <f>VLOOKUP(E3192,calculated_fields!$F$4:$G$6,2,FALSE)</f>
        <v>Demographics</v>
      </c>
    </row>
    <row r="3193" spans="1:16">
      <c r="A3193" t="s">
        <v>4377</v>
      </c>
      <c r="B3193" t="s">
        <v>4346</v>
      </c>
      <c r="C3193" t="s">
        <v>130</v>
      </c>
      <c r="D3193">
        <v>1987</v>
      </c>
      <c r="E3193" t="s">
        <v>29</v>
      </c>
      <c r="F3193" t="s">
        <v>30</v>
      </c>
      <c r="G3193" t="s">
        <v>31</v>
      </c>
      <c r="H3193" t="s">
        <v>32</v>
      </c>
      <c r="I3193">
        <v>3693.7313370000002</v>
      </c>
      <c r="J3193" t="s">
        <v>33</v>
      </c>
      <c r="K3193" t="s">
        <v>4375</v>
      </c>
      <c r="L3193" t="s">
        <v>21</v>
      </c>
      <c r="M3193" t="str">
        <f t="shared" si="147"/>
        <v>OK</v>
      </c>
      <c r="N3193" t="str">
        <f t="shared" si="148"/>
        <v>1980s</v>
      </c>
      <c r="O3193" t="str">
        <f t="shared" si="149"/>
        <v>N/A</v>
      </c>
      <c r="P3193" t="str">
        <f>VLOOKUP(E3193,calculated_fields!$F$4:$G$6,2,FALSE)</f>
        <v>Economy</v>
      </c>
    </row>
    <row r="3194" spans="1:16">
      <c r="A3194" t="s">
        <v>4378</v>
      </c>
      <c r="B3194" t="s">
        <v>4346</v>
      </c>
      <c r="C3194" t="s">
        <v>130</v>
      </c>
      <c r="D3194">
        <v>1992</v>
      </c>
      <c r="E3194" t="s">
        <v>15</v>
      </c>
      <c r="F3194" t="s">
        <v>16</v>
      </c>
      <c r="G3194" t="s">
        <v>17</v>
      </c>
      <c r="H3194" t="s">
        <v>18</v>
      </c>
      <c r="I3194">
        <v>61.999000000000002</v>
      </c>
      <c r="J3194" t="s">
        <v>19</v>
      </c>
      <c r="K3194" t="s">
        <v>4379</v>
      </c>
      <c r="L3194" t="s">
        <v>21</v>
      </c>
      <c r="M3194" t="str">
        <f t="shared" si="147"/>
        <v>OK</v>
      </c>
      <c r="N3194" t="str">
        <f t="shared" si="148"/>
        <v>1990s</v>
      </c>
      <c r="O3194" t="str">
        <f t="shared" si="149"/>
        <v>Medium</v>
      </c>
      <c r="P3194" t="str">
        <f>VLOOKUP(E3194,calculated_fields!$F$4:$G$6,2,FALSE)</f>
        <v>Health</v>
      </c>
    </row>
    <row r="3195" spans="1:16">
      <c r="A3195" t="s">
        <v>4380</v>
      </c>
      <c r="B3195" t="s">
        <v>4346</v>
      </c>
      <c r="C3195" t="s">
        <v>130</v>
      </c>
      <c r="D3195">
        <v>1992</v>
      </c>
      <c r="E3195" t="s">
        <v>23</v>
      </c>
      <c r="F3195" t="s">
        <v>24</v>
      </c>
      <c r="G3195" t="s">
        <v>25</v>
      </c>
      <c r="H3195" t="s">
        <v>26</v>
      </c>
      <c r="I3195">
        <v>1554253</v>
      </c>
      <c r="J3195" t="s">
        <v>27</v>
      </c>
      <c r="K3195" t="s">
        <v>4379</v>
      </c>
      <c r="L3195" t="s">
        <v>21</v>
      </c>
      <c r="M3195" t="str">
        <f t="shared" si="147"/>
        <v>OK</v>
      </c>
      <c r="N3195" t="str">
        <f t="shared" si="148"/>
        <v>1990s</v>
      </c>
      <c r="O3195" t="str">
        <f t="shared" si="149"/>
        <v>N/A</v>
      </c>
      <c r="P3195" t="str">
        <f>VLOOKUP(E3195,calculated_fields!$F$4:$G$6,2,FALSE)</f>
        <v>Demographics</v>
      </c>
    </row>
    <row r="3196" spans="1:16">
      <c r="A3196" t="s">
        <v>4381</v>
      </c>
      <c r="B3196" t="s">
        <v>4346</v>
      </c>
      <c r="C3196" t="s">
        <v>130</v>
      </c>
      <c r="D3196">
        <v>1992</v>
      </c>
      <c r="E3196" t="s">
        <v>29</v>
      </c>
      <c r="F3196" t="s">
        <v>30</v>
      </c>
      <c r="G3196" t="s">
        <v>31</v>
      </c>
      <c r="H3196" t="s">
        <v>32</v>
      </c>
      <c r="I3196">
        <v>3804.5379990000001</v>
      </c>
      <c r="J3196" t="s">
        <v>33</v>
      </c>
      <c r="K3196" t="s">
        <v>4379</v>
      </c>
      <c r="L3196" t="s">
        <v>21</v>
      </c>
      <c r="M3196" t="str">
        <f t="shared" si="147"/>
        <v>OK</v>
      </c>
      <c r="N3196" t="str">
        <f t="shared" si="148"/>
        <v>1990s</v>
      </c>
      <c r="O3196" t="str">
        <f t="shared" si="149"/>
        <v>N/A</v>
      </c>
      <c r="P3196" t="str">
        <f>VLOOKUP(E3196,calculated_fields!$F$4:$G$6,2,FALSE)</f>
        <v>Economy</v>
      </c>
    </row>
    <row r="3197" spans="1:16">
      <c r="A3197" t="s">
        <v>4382</v>
      </c>
      <c r="B3197" t="s">
        <v>4346</v>
      </c>
      <c r="C3197" t="s">
        <v>130</v>
      </c>
      <c r="D3197">
        <v>1997</v>
      </c>
      <c r="E3197" t="s">
        <v>15</v>
      </c>
      <c r="F3197" t="s">
        <v>16</v>
      </c>
      <c r="G3197" t="s">
        <v>17</v>
      </c>
      <c r="H3197" t="s">
        <v>18</v>
      </c>
      <c r="I3197">
        <v>58.908999999999999</v>
      </c>
      <c r="J3197" t="s">
        <v>19</v>
      </c>
      <c r="K3197" t="s">
        <v>4383</v>
      </c>
      <c r="L3197" t="s">
        <v>21</v>
      </c>
      <c r="M3197" t="str">
        <f t="shared" si="147"/>
        <v>OK</v>
      </c>
      <c r="N3197" t="str">
        <f t="shared" si="148"/>
        <v>1990s</v>
      </c>
      <c r="O3197" t="str">
        <f t="shared" si="149"/>
        <v>Medium</v>
      </c>
      <c r="P3197" t="str">
        <f>VLOOKUP(E3197,calculated_fields!$F$4:$G$6,2,FALSE)</f>
        <v>Health</v>
      </c>
    </row>
    <row r="3198" spans="1:16">
      <c r="A3198" t="s">
        <v>4384</v>
      </c>
      <c r="B3198" t="s">
        <v>4346</v>
      </c>
      <c r="C3198" t="s">
        <v>130</v>
      </c>
      <c r="D3198">
        <v>1997</v>
      </c>
      <c r="E3198" t="s">
        <v>23</v>
      </c>
      <c r="F3198" t="s">
        <v>24</v>
      </c>
      <c r="G3198" t="s">
        <v>25</v>
      </c>
      <c r="H3198" t="s">
        <v>26</v>
      </c>
      <c r="I3198">
        <v>1774766</v>
      </c>
      <c r="J3198" t="s">
        <v>27</v>
      </c>
      <c r="K3198" t="s">
        <v>4383</v>
      </c>
      <c r="L3198" t="s">
        <v>21</v>
      </c>
      <c r="M3198" t="str">
        <f t="shared" si="147"/>
        <v>OK</v>
      </c>
      <c r="N3198" t="str">
        <f t="shared" si="148"/>
        <v>1990s</v>
      </c>
      <c r="O3198" t="str">
        <f t="shared" si="149"/>
        <v>N/A</v>
      </c>
      <c r="P3198" t="str">
        <f>VLOOKUP(E3198,calculated_fields!$F$4:$G$6,2,FALSE)</f>
        <v>Demographics</v>
      </c>
    </row>
    <row r="3199" spans="1:16">
      <c r="A3199" t="s">
        <v>4385</v>
      </c>
      <c r="B3199" t="s">
        <v>4346</v>
      </c>
      <c r="C3199" t="s">
        <v>130</v>
      </c>
      <c r="D3199">
        <v>1997</v>
      </c>
      <c r="E3199" t="s">
        <v>29</v>
      </c>
      <c r="F3199" t="s">
        <v>30</v>
      </c>
      <c r="G3199" t="s">
        <v>31</v>
      </c>
      <c r="H3199" t="s">
        <v>32</v>
      </c>
      <c r="I3199">
        <v>3899.5242600000001</v>
      </c>
      <c r="J3199" t="s">
        <v>33</v>
      </c>
      <c r="K3199" t="s">
        <v>4383</v>
      </c>
      <c r="L3199" t="s">
        <v>21</v>
      </c>
      <c r="M3199" t="str">
        <f t="shared" si="147"/>
        <v>OK</v>
      </c>
      <c r="N3199" t="str">
        <f t="shared" si="148"/>
        <v>1990s</v>
      </c>
      <c r="O3199" t="str">
        <f t="shared" si="149"/>
        <v>N/A</v>
      </c>
      <c r="P3199" t="str">
        <f>VLOOKUP(E3199,calculated_fields!$F$4:$G$6,2,FALSE)</f>
        <v>Economy</v>
      </c>
    </row>
    <row r="3200" spans="1:16">
      <c r="A3200" t="s">
        <v>4386</v>
      </c>
      <c r="B3200" t="s">
        <v>4346</v>
      </c>
      <c r="C3200" t="s">
        <v>130</v>
      </c>
      <c r="D3200">
        <v>2002</v>
      </c>
      <c r="E3200" t="s">
        <v>15</v>
      </c>
      <c r="F3200" t="s">
        <v>16</v>
      </c>
      <c r="G3200" t="s">
        <v>17</v>
      </c>
      <c r="H3200" t="s">
        <v>18</v>
      </c>
      <c r="I3200">
        <v>51.478999999999999</v>
      </c>
      <c r="J3200" t="s">
        <v>19</v>
      </c>
      <c r="K3200" t="s">
        <v>4387</v>
      </c>
      <c r="L3200" t="s">
        <v>21</v>
      </c>
      <c r="M3200" t="str">
        <f t="shared" si="147"/>
        <v>OK</v>
      </c>
      <c r="N3200" t="str">
        <f t="shared" si="148"/>
        <v>2000s</v>
      </c>
      <c r="O3200" t="str">
        <f t="shared" si="149"/>
        <v>Low</v>
      </c>
      <c r="P3200" t="str">
        <f>VLOOKUP(E3200,calculated_fields!$F$4:$G$6,2,FALSE)</f>
        <v>Health</v>
      </c>
    </row>
    <row r="3201" spans="1:16">
      <c r="A3201" t="s">
        <v>4388</v>
      </c>
      <c r="B3201" t="s">
        <v>4346</v>
      </c>
      <c r="C3201" t="s">
        <v>130</v>
      </c>
      <c r="D3201">
        <v>2002</v>
      </c>
      <c r="E3201" t="s">
        <v>23</v>
      </c>
      <c r="F3201" t="s">
        <v>24</v>
      </c>
      <c r="G3201" t="s">
        <v>25</v>
      </c>
      <c r="H3201" t="s">
        <v>26</v>
      </c>
      <c r="I3201">
        <v>1972153</v>
      </c>
      <c r="J3201" t="s">
        <v>27</v>
      </c>
      <c r="K3201" t="s">
        <v>4387</v>
      </c>
      <c r="L3201" t="s">
        <v>21</v>
      </c>
      <c r="M3201" t="str">
        <f t="shared" si="147"/>
        <v>OK</v>
      </c>
      <c r="N3201" t="str">
        <f t="shared" si="148"/>
        <v>2000s</v>
      </c>
      <c r="O3201" t="str">
        <f t="shared" si="149"/>
        <v>N/A</v>
      </c>
      <c r="P3201" t="str">
        <f>VLOOKUP(E3201,calculated_fields!$F$4:$G$6,2,FALSE)</f>
        <v>Demographics</v>
      </c>
    </row>
    <row r="3202" spans="1:16">
      <c r="A3202" t="s">
        <v>4389</v>
      </c>
      <c r="B3202" t="s">
        <v>4346</v>
      </c>
      <c r="C3202" t="s">
        <v>130</v>
      </c>
      <c r="D3202">
        <v>2002</v>
      </c>
      <c r="E3202" t="s">
        <v>29</v>
      </c>
      <c r="F3202" t="s">
        <v>30</v>
      </c>
      <c r="G3202" t="s">
        <v>31</v>
      </c>
      <c r="H3202" t="s">
        <v>32</v>
      </c>
      <c r="I3202">
        <v>4072.3247510000001</v>
      </c>
      <c r="J3202" t="s">
        <v>33</v>
      </c>
      <c r="K3202" t="s">
        <v>4387</v>
      </c>
      <c r="L3202" t="s">
        <v>21</v>
      </c>
      <c r="M3202" t="str">
        <f t="shared" ref="M3202:M3265" si="150">IF(AND(ISNUMBER(I3202),I3202&gt;=0),"OK","Review")</f>
        <v>OK</v>
      </c>
      <c r="N3202" t="str">
        <f t="shared" ref="N3202:N3265" si="151">FLOOR(D3202,10)&amp;"s"</f>
        <v>2000s</v>
      </c>
      <c r="O3202" t="str">
        <f t="shared" ref="O3202:O3265" si="152">IF(E3202="LIFE_EXP",IF(I3202&gt;=70,"High",IF(I3202&gt;=55,"Medium","Low")),"N/A")</f>
        <v>N/A</v>
      </c>
      <c r="P3202" t="str">
        <f>VLOOKUP(E3202,calculated_fields!$F$4:$G$6,2,FALSE)</f>
        <v>Economy</v>
      </c>
    </row>
    <row r="3203" spans="1:16">
      <c r="A3203" t="s">
        <v>4390</v>
      </c>
      <c r="B3203" t="s">
        <v>4346</v>
      </c>
      <c r="C3203" t="s">
        <v>130</v>
      </c>
      <c r="D3203">
        <v>2007</v>
      </c>
      <c r="E3203" t="s">
        <v>15</v>
      </c>
      <c r="F3203" t="s">
        <v>16</v>
      </c>
      <c r="G3203" t="s">
        <v>17</v>
      </c>
      <c r="H3203" t="s">
        <v>18</v>
      </c>
      <c r="I3203">
        <v>52.905999999999999</v>
      </c>
      <c r="J3203" t="s">
        <v>19</v>
      </c>
      <c r="K3203" t="s">
        <v>4391</v>
      </c>
      <c r="L3203" t="s">
        <v>21</v>
      </c>
      <c r="M3203" t="str">
        <f t="shared" si="150"/>
        <v>OK</v>
      </c>
      <c r="N3203" t="str">
        <f t="shared" si="151"/>
        <v>2000s</v>
      </c>
      <c r="O3203" t="str">
        <f t="shared" si="152"/>
        <v>Low</v>
      </c>
      <c r="P3203" t="str">
        <f>VLOOKUP(E3203,calculated_fields!$F$4:$G$6,2,FALSE)</f>
        <v>Health</v>
      </c>
    </row>
    <row r="3204" spans="1:16">
      <c r="A3204" t="s">
        <v>4392</v>
      </c>
      <c r="B3204" t="s">
        <v>4346</v>
      </c>
      <c r="C3204" t="s">
        <v>130</v>
      </c>
      <c r="D3204">
        <v>2007</v>
      </c>
      <c r="E3204" t="s">
        <v>23</v>
      </c>
      <c r="F3204" t="s">
        <v>24</v>
      </c>
      <c r="G3204" t="s">
        <v>25</v>
      </c>
      <c r="H3204" t="s">
        <v>26</v>
      </c>
      <c r="I3204">
        <v>2055080</v>
      </c>
      <c r="J3204" t="s">
        <v>27</v>
      </c>
      <c r="K3204" t="s">
        <v>4391</v>
      </c>
      <c r="L3204" t="s">
        <v>21</v>
      </c>
      <c r="M3204" t="str">
        <f t="shared" si="150"/>
        <v>OK</v>
      </c>
      <c r="N3204" t="str">
        <f t="shared" si="151"/>
        <v>2000s</v>
      </c>
      <c r="O3204" t="str">
        <f t="shared" si="152"/>
        <v>N/A</v>
      </c>
      <c r="P3204" t="str">
        <f>VLOOKUP(E3204,calculated_fields!$F$4:$G$6,2,FALSE)</f>
        <v>Demographics</v>
      </c>
    </row>
    <row r="3205" spans="1:16">
      <c r="A3205" t="s">
        <v>4393</v>
      </c>
      <c r="B3205" t="s">
        <v>4346</v>
      </c>
      <c r="C3205" t="s">
        <v>130</v>
      </c>
      <c r="D3205">
        <v>2007</v>
      </c>
      <c r="E3205" t="s">
        <v>29</v>
      </c>
      <c r="F3205" t="s">
        <v>30</v>
      </c>
      <c r="G3205" t="s">
        <v>31</v>
      </c>
      <c r="H3205" t="s">
        <v>32</v>
      </c>
      <c r="I3205">
        <v>4811.0604290000001</v>
      </c>
      <c r="J3205" t="s">
        <v>33</v>
      </c>
      <c r="K3205" t="s">
        <v>4391</v>
      </c>
      <c r="L3205" t="s">
        <v>21</v>
      </c>
      <c r="M3205" t="str">
        <f t="shared" si="150"/>
        <v>OK</v>
      </c>
      <c r="N3205" t="str">
        <f t="shared" si="151"/>
        <v>2000s</v>
      </c>
      <c r="O3205" t="str">
        <f t="shared" si="152"/>
        <v>N/A</v>
      </c>
      <c r="P3205" t="str">
        <f>VLOOKUP(E3205,calculated_fields!$F$4:$G$6,2,FALSE)</f>
        <v>Economy</v>
      </c>
    </row>
    <row r="3206" spans="1:16">
      <c r="A3206" t="s">
        <v>4394</v>
      </c>
      <c r="B3206" t="s">
        <v>4395</v>
      </c>
      <c r="C3206" t="s">
        <v>14</v>
      </c>
      <c r="D3206">
        <v>1952</v>
      </c>
      <c r="E3206" t="s">
        <v>15</v>
      </c>
      <c r="F3206" t="s">
        <v>16</v>
      </c>
      <c r="G3206" t="s">
        <v>17</v>
      </c>
      <c r="H3206" t="s">
        <v>18</v>
      </c>
      <c r="I3206">
        <v>36.156999999999996</v>
      </c>
      <c r="J3206" t="s">
        <v>19</v>
      </c>
      <c r="K3206" t="s">
        <v>4396</v>
      </c>
      <c r="L3206" t="s">
        <v>21</v>
      </c>
      <c r="M3206" t="str">
        <f t="shared" si="150"/>
        <v>OK</v>
      </c>
      <c r="N3206" t="str">
        <f t="shared" si="151"/>
        <v>1950s</v>
      </c>
      <c r="O3206" t="str">
        <f t="shared" si="152"/>
        <v>Low</v>
      </c>
      <c r="P3206" t="str">
        <f>VLOOKUP(E3206,calculated_fields!$F$4:$G$6,2,FALSE)</f>
        <v>Health</v>
      </c>
    </row>
    <row r="3207" spans="1:16">
      <c r="A3207" t="s">
        <v>4397</v>
      </c>
      <c r="B3207" t="s">
        <v>4395</v>
      </c>
      <c r="C3207" t="s">
        <v>14</v>
      </c>
      <c r="D3207">
        <v>1952</v>
      </c>
      <c r="E3207" t="s">
        <v>23</v>
      </c>
      <c r="F3207" t="s">
        <v>24</v>
      </c>
      <c r="G3207" t="s">
        <v>25</v>
      </c>
      <c r="H3207" t="s">
        <v>26</v>
      </c>
      <c r="I3207">
        <v>9182536</v>
      </c>
      <c r="J3207" t="s">
        <v>27</v>
      </c>
      <c r="K3207" t="s">
        <v>4396</v>
      </c>
      <c r="L3207" t="s">
        <v>21</v>
      </c>
      <c r="M3207" t="str">
        <f t="shared" si="150"/>
        <v>OK</v>
      </c>
      <c r="N3207" t="str">
        <f t="shared" si="151"/>
        <v>1950s</v>
      </c>
      <c r="O3207" t="str">
        <f t="shared" si="152"/>
        <v>N/A</v>
      </c>
      <c r="P3207" t="str">
        <f>VLOOKUP(E3207,calculated_fields!$F$4:$G$6,2,FALSE)</f>
        <v>Demographics</v>
      </c>
    </row>
    <row r="3208" spans="1:16">
      <c r="A3208" t="s">
        <v>4398</v>
      </c>
      <c r="B3208" t="s">
        <v>4395</v>
      </c>
      <c r="C3208" t="s">
        <v>14</v>
      </c>
      <c r="D3208">
        <v>1952</v>
      </c>
      <c r="E3208" t="s">
        <v>29</v>
      </c>
      <c r="F3208" t="s">
        <v>30</v>
      </c>
      <c r="G3208" t="s">
        <v>31</v>
      </c>
      <c r="H3208" t="s">
        <v>32</v>
      </c>
      <c r="I3208">
        <v>545.86572289999901</v>
      </c>
      <c r="J3208" t="s">
        <v>33</v>
      </c>
      <c r="K3208" t="s">
        <v>4396</v>
      </c>
      <c r="L3208" t="s">
        <v>21</v>
      </c>
      <c r="M3208" t="str">
        <f t="shared" si="150"/>
        <v>OK</v>
      </c>
      <c r="N3208" t="str">
        <f t="shared" si="151"/>
        <v>1950s</v>
      </c>
      <c r="O3208" t="str">
        <f t="shared" si="152"/>
        <v>N/A</v>
      </c>
      <c r="P3208" t="str">
        <f>VLOOKUP(E3208,calculated_fields!$F$4:$G$6,2,FALSE)</f>
        <v>Economy</v>
      </c>
    </row>
    <row r="3209" spans="1:16">
      <c r="A3209" t="s">
        <v>4399</v>
      </c>
      <c r="B3209" t="s">
        <v>4395</v>
      </c>
      <c r="C3209" t="s">
        <v>14</v>
      </c>
      <c r="D3209">
        <v>1957</v>
      </c>
      <c r="E3209" t="s">
        <v>15</v>
      </c>
      <c r="F3209" t="s">
        <v>16</v>
      </c>
      <c r="G3209" t="s">
        <v>17</v>
      </c>
      <c r="H3209" t="s">
        <v>18</v>
      </c>
      <c r="I3209">
        <v>37.686</v>
      </c>
      <c r="J3209" t="s">
        <v>19</v>
      </c>
      <c r="K3209" t="s">
        <v>4400</v>
      </c>
      <c r="L3209" t="s">
        <v>21</v>
      </c>
      <c r="M3209" t="str">
        <f t="shared" si="150"/>
        <v>OK</v>
      </c>
      <c r="N3209" t="str">
        <f t="shared" si="151"/>
        <v>1950s</v>
      </c>
      <c r="O3209" t="str">
        <f t="shared" si="152"/>
        <v>Low</v>
      </c>
      <c r="P3209" t="str">
        <f>VLOOKUP(E3209,calculated_fields!$F$4:$G$6,2,FALSE)</f>
        <v>Health</v>
      </c>
    </row>
    <row r="3210" spans="1:16">
      <c r="A3210" t="s">
        <v>4401</v>
      </c>
      <c r="B3210" t="s">
        <v>4395</v>
      </c>
      <c r="C3210" t="s">
        <v>14</v>
      </c>
      <c r="D3210">
        <v>1957</v>
      </c>
      <c r="E3210" t="s">
        <v>23</v>
      </c>
      <c r="F3210" t="s">
        <v>24</v>
      </c>
      <c r="G3210" t="s">
        <v>25</v>
      </c>
      <c r="H3210" t="s">
        <v>26</v>
      </c>
      <c r="I3210">
        <v>9682338</v>
      </c>
      <c r="J3210" t="s">
        <v>27</v>
      </c>
      <c r="K3210" t="s">
        <v>4400</v>
      </c>
      <c r="L3210" t="s">
        <v>21</v>
      </c>
      <c r="M3210" t="str">
        <f t="shared" si="150"/>
        <v>OK</v>
      </c>
      <c r="N3210" t="str">
        <f t="shared" si="151"/>
        <v>1950s</v>
      </c>
      <c r="O3210" t="str">
        <f t="shared" si="152"/>
        <v>N/A</v>
      </c>
      <c r="P3210" t="str">
        <f>VLOOKUP(E3210,calculated_fields!$F$4:$G$6,2,FALSE)</f>
        <v>Demographics</v>
      </c>
    </row>
    <row r="3211" spans="1:16">
      <c r="A3211" t="s">
        <v>4402</v>
      </c>
      <c r="B3211" t="s">
        <v>4395</v>
      </c>
      <c r="C3211" t="s">
        <v>14</v>
      </c>
      <c r="D3211">
        <v>1957</v>
      </c>
      <c r="E3211" t="s">
        <v>29</v>
      </c>
      <c r="F3211" t="s">
        <v>30</v>
      </c>
      <c r="G3211" t="s">
        <v>31</v>
      </c>
      <c r="H3211" t="s">
        <v>32</v>
      </c>
      <c r="I3211">
        <v>597.93635579999898</v>
      </c>
      <c r="J3211" t="s">
        <v>33</v>
      </c>
      <c r="K3211" t="s">
        <v>4400</v>
      </c>
      <c r="L3211" t="s">
        <v>21</v>
      </c>
      <c r="M3211" t="str">
        <f t="shared" si="150"/>
        <v>OK</v>
      </c>
      <c r="N3211" t="str">
        <f t="shared" si="151"/>
        <v>1950s</v>
      </c>
      <c r="O3211" t="str">
        <f t="shared" si="152"/>
        <v>N/A</v>
      </c>
      <c r="P3211" t="str">
        <f>VLOOKUP(E3211,calculated_fields!$F$4:$G$6,2,FALSE)</f>
        <v>Economy</v>
      </c>
    </row>
    <row r="3212" spans="1:16">
      <c r="A3212" t="s">
        <v>4403</v>
      </c>
      <c r="B3212" t="s">
        <v>4395</v>
      </c>
      <c r="C3212" t="s">
        <v>14</v>
      </c>
      <c r="D3212">
        <v>1962</v>
      </c>
      <c r="E3212" t="s">
        <v>15</v>
      </c>
      <c r="F3212" t="s">
        <v>16</v>
      </c>
      <c r="G3212" t="s">
        <v>17</v>
      </c>
      <c r="H3212" t="s">
        <v>18</v>
      </c>
      <c r="I3212">
        <v>39.393000000000001</v>
      </c>
      <c r="J3212" t="s">
        <v>19</v>
      </c>
      <c r="K3212" t="s">
        <v>4404</v>
      </c>
      <c r="L3212" t="s">
        <v>21</v>
      </c>
      <c r="M3212" t="str">
        <f t="shared" si="150"/>
        <v>OK</v>
      </c>
      <c r="N3212" t="str">
        <f t="shared" si="151"/>
        <v>1960s</v>
      </c>
      <c r="O3212" t="str">
        <f t="shared" si="152"/>
        <v>Low</v>
      </c>
      <c r="P3212" t="str">
        <f>VLOOKUP(E3212,calculated_fields!$F$4:$G$6,2,FALSE)</f>
        <v>Health</v>
      </c>
    </row>
    <row r="3213" spans="1:16">
      <c r="A3213" t="s">
        <v>4405</v>
      </c>
      <c r="B3213" t="s">
        <v>4395</v>
      </c>
      <c r="C3213" t="s">
        <v>14</v>
      </c>
      <c r="D3213">
        <v>1962</v>
      </c>
      <c r="E3213" t="s">
        <v>23</v>
      </c>
      <c r="F3213" t="s">
        <v>24</v>
      </c>
      <c r="G3213" t="s">
        <v>25</v>
      </c>
      <c r="H3213" t="s">
        <v>26</v>
      </c>
      <c r="I3213">
        <v>10332057</v>
      </c>
      <c r="J3213" t="s">
        <v>27</v>
      </c>
      <c r="K3213" t="s">
        <v>4404</v>
      </c>
      <c r="L3213" t="s">
        <v>21</v>
      </c>
      <c r="M3213" t="str">
        <f t="shared" si="150"/>
        <v>OK</v>
      </c>
      <c r="N3213" t="str">
        <f t="shared" si="151"/>
        <v>1960s</v>
      </c>
      <c r="O3213" t="str">
        <f t="shared" si="152"/>
        <v>N/A</v>
      </c>
      <c r="P3213" t="str">
        <f>VLOOKUP(E3213,calculated_fields!$F$4:$G$6,2,FALSE)</f>
        <v>Demographics</v>
      </c>
    </row>
    <row r="3214" spans="1:16">
      <c r="A3214" t="s">
        <v>4406</v>
      </c>
      <c r="B3214" t="s">
        <v>4395</v>
      </c>
      <c r="C3214" t="s">
        <v>14</v>
      </c>
      <c r="D3214">
        <v>1962</v>
      </c>
      <c r="E3214" t="s">
        <v>29</v>
      </c>
      <c r="F3214" t="s">
        <v>30</v>
      </c>
      <c r="G3214" t="s">
        <v>31</v>
      </c>
      <c r="H3214" t="s">
        <v>32</v>
      </c>
      <c r="I3214">
        <v>652.39685929999996</v>
      </c>
      <c r="J3214" t="s">
        <v>33</v>
      </c>
      <c r="K3214" t="s">
        <v>4404</v>
      </c>
      <c r="L3214" t="s">
        <v>21</v>
      </c>
      <c r="M3214" t="str">
        <f t="shared" si="150"/>
        <v>OK</v>
      </c>
      <c r="N3214" t="str">
        <f t="shared" si="151"/>
        <v>1960s</v>
      </c>
      <c r="O3214" t="str">
        <f t="shared" si="152"/>
        <v>N/A</v>
      </c>
      <c r="P3214" t="str">
        <f>VLOOKUP(E3214,calculated_fields!$F$4:$G$6,2,FALSE)</f>
        <v>Economy</v>
      </c>
    </row>
    <row r="3215" spans="1:16">
      <c r="A3215" t="s">
        <v>4407</v>
      </c>
      <c r="B3215" t="s">
        <v>4395</v>
      </c>
      <c r="C3215" t="s">
        <v>14</v>
      </c>
      <c r="D3215">
        <v>1967</v>
      </c>
      <c r="E3215" t="s">
        <v>15</v>
      </c>
      <c r="F3215" t="s">
        <v>16</v>
      </c>
      <c r="G3215" t="s">
        <v>17</v>
      </c>
      <c r="H3215" t="s">
        <v>18</v>
      </c>
      <c r="I3215">
        <v>41.472000000000001</v>
      </c>
      <c r="J3215" t="s">
        <v>19</v>
      </c>
      <c r="K3215" t="s">
        <v>4408</v>
      </c>
      <c r="L3215" t="s">
        <v>21</v>
      </c>
      <c r="M3215" t="str">
        <f t="shared" si="150"/>
        <v>OK</v>
      </c>
      <c r="N3215" t="str">
        <f t="shared" si="151"/>
        <v>1960s</v>
      </c>
      <c r="O3215" t="str">
        <f t="shared" si="152"/>
        <v>Low</v>
      </c>
      <c r="P3215" t="str">
        <f>VLOOKUP(E3215,calculated_fields!$F$4:$G$6,2,FALSE)</f>
        <v>Health</v>
      </c>
    </row>
    <row r="3216" spans="1:16">
      <c r="A3216" t="s">
        <v>4409</v>
      </c>
      <c r="B3216" t="s">
        <v>4395</v>
      </c>
      <c r="C3216" t="s">
        <v>14</v>
      </c>
      <c r="D3216">
        <v>1967</v>
      </c>
      <c r="E3216" t="s">
        <v>23</v>
      </c>
      <c r="F3216" t="s">
        <v>24</v>
      </c>
      <c r="G3216" t="s">
        <v>25</v>
      </c>
      <c r="H3216" t="s">
        <v>26</v>
      </c>
      <c r="I3216">
        <v>11261690</v>
      </c>
      <c r="J3216" t="s">
        <v>27</v>
      </c>
      <c r="K3216" t="s">
        <v>4408</v>
      </c>
      <c r="L3216" t="s">
        <v>21</v>
      </c>
      <c r="M3216" t="str">
        <f t="shared" si="150"/>
        <v>OK</v>
      </c>
      <c r="N3216" t="str">
        <f t="shared" si="151"/>
        <v>1960s</v>
      </c>
      <c r="O3216" t="str">
        <f t="shared" si="152"/>
        <v>N/A</v>
      </c>
      <c r="P3216" t="str">
        <f>VLOOKUP(E3216,calculated_fields!$F$4:$G$6,2,FALSE)</f>
        <v>Demographics</v>
      </c>
    </row>
    <row r="3217" spans="1:16">
      <c r="A3217" t="s">
        <v>4410</v>
      </c>
      <c r="B3217" t="s">
        <v>4395</v>
      </c>
      <c r="C3217" t="s">
        <v>14</v>
      </c>
      <c r="D3217">
        <v>1967</v>
      </c>
      <c r="E3217" t="s">
        <v>29</v>
      </c>
      <c r="F3217" t="s">
        <v>30</v>
      </c>
      <c r="G3217" t="s">
        <v>31</v>
      </c>
      <c r="H3217" t="s">
        <v>32</v>
      </c>
      <c r="I3217">
        <v>676.44222539999998</v>
      </c>
      <c r="J3217" t="s">
        <v>33</v>
      </c>
      <c r="K3217" t="s">
        <v>4408</v>
      </c>
      <c r="L3217" t="s">
        <v>21</v>
      </c>
      <c r="M3217" t="str">
        <f t="shared" si="150"/>
        <v>OK</v>
      </c>
      <c r="N3217" t="str">
        <f t="shared" si="151"/>
        <v>1960s</v>
      </c>
      <c r="O3217" t="str">
        <f t="shared" si="152"/>
        <v>N/A</v>
      </c>
      <c r="P3217" t="str">
        <f>VLOOKUP(E3217,calculated_fields!$F$4:$G$6,2,FALSE)</f>
        <v>Economy</v>
      </c>
    </row>
    <row r="3218" spans="1:16">
      <c r="A3218" t="s">
        <v>4411</v>
      </c>
      <c r="B3218" t="s">
        <v>4395</v>
      </c>
      <c r="C3218" t="s">
        <v>14</v>
      </c>
      <c r="D3218">
        <v>1972</v>
      </c>
      <c r="E3218" t="s">
        <v>15</v>
      </c>
      <c r="F3218" t="s">
        <v>16</v>
      </c>
      <c r="G3218" t="s">
        <v>17</v>
      </c>
      <c r="H3218" t="s">
        <v>18</v>
      </c>
      <c r="I3218">
        <v>43.970999999999997</v>
      </c>
      <c r="J3218" t="s">
        <v>19</v>
      </c>
      <c r="K3218" t="s">
        <v>4412</v>
      </c>
      <c r="L3218" t="s">
        <v>21</v>
      </c>
      <c r="M3218" t="str">
        <f t="shared" si="150"/>
        <v>OK</v>
      </c>
      <c r="N3218" t="str">
        <f t="shared" si="151"/>
        <v>1970s</v>
      </c>
      <c r="O3218" t="str">
        <f t="shared" si="152"/>
        <v>Low</v>
      </c>
      <c r="P3218" t="str">
        <f>VLOOKUP(E3218,calculated_fields!$F$4:$G$6,2,FALSE)</f>
        <v>Health</v>
      </c>
    </row>
    <row r="3219" spans="1:16">
      <c r="A3219" t="s">
        <v>4413</v>
      </c>
      <c r="B3219" t="s">
        <v>4395</v>
      </c>
      <c r="C3219" t="s">
        <v>14</v>
      </c>
      <c r="D3219">
        <v>1972</v>
      </c>
      <c r="E3219" t="s">
        <v>23</v>
      </c>
      <c r="F3219" t="s">
        <v>24</v>
      </c>
      <c r="G3219" t="s">
        <v>25</v>
      </c>
      <c r="H3219" t="s">
        <v>26</v>
      </c>
      <c r="I3219">
        <v>12412593</v>
      </c>
      <c r="J3219" t="s">
        <v>27</v>
      </c>
      <c r="K3219" t="s">
        <v>4412</v>
      </c>
      <c r="L3219" t="s">
        <v>21</v>
      </c>
      <c r="M3219" t="str">
        <f t="shared" si="150"/>
        <v>OK</v>
      </c>
      <c r="N3219" t="str">
        <f t="shared" si="151"/>
        <v>1970s</v>
      </c>
      <c r="O3219" t="str">
        <f t="shared" si="152"/>
        <v>N/A</v>
      </c>
      <c r="P3219" t="str">
        <f>VLOOKUP(E3219,calculated_fields!$F$4:$G$6,2,FALSE)</f>
        <v>Demographics</v>
      </c>
    </row>
    <row r="3220" spans="1:16">
      <c r="A3220" t="s">
        <v>4414</v>
      </c>
      <c r="B3220" t="s">
        <v>4395</v>
      </c>
      <c r="C3220" t="s">
        <v>14</v>
      </c>
      <c r="D3220">
        <v>1972</v>
      </c>
      <c r="E3220" t="s">
        <v>29</v>
      </c>
      <c r="F3220" t="s">
        <v>30</v>
      </c>
      <c r="G3220" t="s">
        <v>31</v>
      </c>
      <c r="H3220" t="s">
        <v>32</v>
      </c>
      <c r="I3220">
        <v>674.78812960000005</v>
      </c>
      <c r="J3220" t="s">
        <v>33</v>
      </c>
      <c r="K3220" t="s">
        <v>4412</v>
      </c>
      <c r="L3220" t="s">
        <v>21</v>
      </c>
      <c r="M3220" t="str">
        <f t="shared" si="150"/>
        <v>OK</v>
      </c>
      <c r="N3220" t="str">
        <f t="shared" si="151"/>
        <v>1970s</v>
      </c>
      <c r="O3220" t="str">
        <f t="shared" si="152"/>
        <v>N/A</v>
      </c>
      <c r="P3220" t="str">
        <f>VLOOKUP(E3220,calculated_fields!$F$4:$G$6,2,FALSE)</f>
        <v>Economy</v>
      </c>
    </row>
    <row r="3221" spans="1:16">
      <c r="A3221" t="s">
        <v>4415</v>
      </c>
      <c r="B3221" t="s">
        <v>4395</v>
      </c>
      <c r="C3221" t="s">
        <v>14</v>
      </c>
      <c r="D3221">
        <v>1977</v>
      </c>
      <c r="E3221" t="s">
        <v>15</v>
      </c>
      <c r="F3221" t="s">
        <v>16</v>
      </c>
      <c r="G3221" t="s">
        <v>17</v>
      </c>
      <c r="H3221" t="s">
        <v>18</v>
      </c>
      <c r="I3221">
        <v>46.747999999999998</v>
      </c>
      <c r="J3221" t="s">
        <v>19</v>
      </c>
      <c r="K3221" t="s">
        <v>4416</v>
      </c>
      <c r="L3221" t="s">
        <v>21</v>
      </c>
      <c r="M3221" t="str">
        <f t="shared" si="150"/>
        <v>OK</v>
      </c>
      <c r="N3221" t="str">
        <f t="shared" si="151"/>
        <v>1970s</v>
      </c>
      <c r="O3221" t="str">
        <f t="shared" si="152"/>
        <v>Low</v>
      </c>
      <c r="P3221" t="str">
        <f>VLOOKUP(E3221,calculated_fields!$F$4:$G$6,2,FALSE)</f>
        <v>Health</v>
      </c>
    </row>
    <row r="3222" spans="1:16">
      <c r="A3222" t="s">
        <v>4417</v>
      </c>
      <c r="B3222" t="s">
        <v>4395</v>
      </c>
      <c r="C3222" t="s">
        <v>14</v>
      </c>
      <c r="D3222">
        <v>1977</v>
      </c>
      <c r="E3222" t="s">
        <v>23</v>
      </c>
      <c r="F3222" t="s">
        <v>24</v>
      </c>
      <c r="G3222" t="s">
        <v>25</v>
      </c>
      <c r="H3222" t="s">
        <v>26</v>
      </c>
      <c r="I3222">
        <v>13933198</v>
      </c>
      <c r="J3222" t="s">
        <v>27</v>
      </c>
      <c r="K3222" t="s">
        <v>4416</v>
      </c>
      <c r="L3222" t="s">
        <v>21</v>
      </c>
      <c r="M3222" t="str">
        <f t="shared" si="150"/>
        <v>OK</v>
      </c>
      <c r="N3222" t="str">
        <f t="shared" si="151"/>
        <v>1970s</v>
      </c>
      <c r="O3222" t="str">
        <f t="shared" si="152"/>
        <v>N/A</v>
      </c>
      <c r="P3222" t="str">
        <f>VLOOKUP(E3222,calculated_fields!$F$4:$G$6,2,FALSE)</f>
        <v>Demographics</v>
      </c>
    </row>
    <row r="3223" spans="1:16">
      <c r="A3223" t="s">
        <v>4418</v>
      </c>
      <c r="B3223" t="s">
        <v>4395</v>
      </c>
      <c r="C3223" t="s">
        <v>14</v>
      </c>
      <c r="D3223">
        <v>1977</v>
      </c>
      <c r="E3223" t="s">
        <v>29</v>
      </c>
      <c r="F3223" t="s">
        <v>30</v>
      </c>
      <c r="G3223" t="s">
        <v>31</v>
      </c>
      <c r="H3223" t="s">
        <v>32</v>
      </c>
      <c r="I3223">
        <v>694.11243979999995</v>
      </c>
      <c r="J3223" t="s">
        <v>33</v>
      </c>
      <c r="K3223" t="s">
        <v>4416</v>
      </c>
      <c r="L3223" t="s">
        <v>21</v>
      </c>
      <c r="M3223" t="str">
        <f t="shared" si="150"/>
        <v>OK</v>
      </c>
      <c r="N3223" t="str">
        <f t="shared" si="151"/>
        <v>1970s</v>
      </c>
      <c r="O3223" t="str">
        <f t="shared" si="152"/>
        <v>N/A</v>
      </c>
      <c r="P3223" t="str">
        <f>VLOOKUP(E3223,calculated_fields!$F$4:$G$6,2,FALSE)</f>
        <v>Economy</v>
      </c>
    </row>
    <row r="3224" spans="1:16">
      <c r="A3224" t="s">
        <v>4419</v>
      </c>
      <c r="B3224" t="s">
        <v>4395</v>
      </c>
      <c r="C3224" t="s">
        <v>14</v>
      </c>
      <c r="D3224">
        <v>1982</v>
      </c>
      <c r="E3224" t="s">
        <v>15</v>
      </c>
      <c r="F3224" t="s">
        <v>16</v>
      </c>
      <c r="G3224" t="s">
        <v>17</v>
      </c>
      <c r="H3224" t="s">
        <v>18</v>
      </c>
      <c r="I3224">
        <v>49.594000000000001</v>
      </c>
      <c r="J3224" t="s">
        <v>19</v>
      </c>
      <c r="K3224" t="s">
        <v>4420</v>
      </c>
      <c r="L3224" t="s">
        <v>21</v>
      </c>
      <c r="M3224" t="str">
        <f t="shared" si="150"/>
        <v>OK</v>
      </c>
      <c r="N3224" t="str">
        <f t="shared" si="151"/>
        <v>1980s</v>
      </c>
      <c r="O3224" t="str">
        <f t="shared" si="152"/>
        <v>Low</v>
      </c>
      <c r="P3224" t="str">
        <f>VLOOKUP(E3224,calculated_fields!$F$4:$G$6,2,FALSE)</f>
        <v>Health</v>
      </c>
    </row>
    <row r="3225" spans="1:16">
      <c r="A3225" t="s">
        <v>4421</v>
      </c>
      <c r="B3225" t="s">
        <v>4395</v>
      </c>
      <c r="C3225" t="s">
        <v>14</v>
      </c>
      <c r="D3225">
        <v>1982</v>
      </c>
      <c r="E3225" t="s">
        <v>23</v>
      </c>
      <c r="F3225" t="s">
        <v>24</v>
      </c>
      <c r="G3225" t="s">
        <v>25</v>
      </c>
      <c r="H3225" t="s">
        <v>26</v>
      </c>
      <c r="I3225">
        <v>15796314</v>
      </c>
      <c r="J3225" t="s">
        <v>27</v>
      </c>
      <c r="K3225" t="s">
        <v>4420</v>
      </c>
      <c r="L3225" t="s">
        <v>21</v>
      </c>
      <c r="M3225" t="str">
        <f t="shared" si="150"/>
        <v>OK</v>
      </c>
      <c r="N3225" t="str">
        <f t="shared" si="151"/>
        <v>1980s</v>
      </c>
      <c r="O3225" t="str">
        <f t="shared" si="152"/>
        <v>N/A</v>
      </c>
      <c r="P3225" t="str">
        <f>VLOOKUP(E3225,calculated_fields!$F$4:$G$6,2,FALSE)</f>
        <v>Demographics</v>
      </c>
    </row>
    <row r="3226" spans="1:16">
      <c r="A3226" t="s">
        <v>4422</v>
      </c>
      <c r="B3226" t="s">
        <v>4395</v>
      </c>
      <c r="C3226" t="s">
        <v>14</v>
      </c>
      <c r="D3226">
        <v>1982</v>
      </c>
      <c r="E3226" t="s">
        <v>29</v>
      </c>
      <c r="F3226" t="s">
        <v>30</v>
      </c>
      <c r="G3226" t="s">
        <v>31</v>
      </c>
      <c r="H3226" t="s">
        <v>32</v>
      </c>
      <c r="I3226">
        <v>718.37309470000002</v>
      </c>
      <c r="J3226" t="s">
        <v>33</v>
      </c>
      <c r="K3226" t="s">
        <v>4420</v>
      </c>
      <c r="L3226" t="s">
        <v>21</v>
      </c>
      <c r="M3226" t="str">
        <f t="shared" si="150"/>
        <v>OK</v>
      </c>
      <c r="N3226" t="str">
        <f t="shared" si="151"/>
        <v>1980s</v>
      </c>
      <c r="O3226" t="str">
        <f t="shared" si="152"/>
        <v>N/A</v>
      </c>
      <c r="P3226" t="str">
        <f>VLOOKUP(E3226,calculated_fields!$F$4:$G$6,2,FALSE)</f>
        <v>Economy</v>
      </c>
    </row>
    <row r="3227" spans="1:16">
      <c r="A3227" t="s">
        <v>4423</v>
      </c>
      <c r="B3227" t="s">
        <v>4395</v>
      </c>
      <c r="C3227" t="s">
        <v>14</v>
      </c>
      <c r="D3227">
        <v>1987</v>
      </c>
      <c r="E3227" t="s">
        <v>15</v>
      </c>
      <c r="F3227" t="s">
        <v>16</v>
      </c>
      <c r="G3227" t="s">
        <v>17</v>
      </c>
      <c r="H3227" t="s">
        <v>18</v>
      </c>
      <c r="I3227">
        <v>52.536999999999999</v>
      </c>
      <c r="J3227" t="s">
        <v>19</v>
      </c>
      <c r="K3227" t="s">
        <v>4424</v>
      </c>
      <c r="L3227" t="s">
        <v>21</v>
      </c>
      <c r="M3227" t="str">
        <f t="shared" si="150"/>
        <v>OK</v>
      </c>
      <c r="N3227" t="str">
        <f t="shared" si="151"/>
        <v>1980s</v>
      </c>
      <c r="O3227" t="str">
        <f t="shared" si="152"/>
        <v>Low</v>
      </c>
      <c r="P3227" t="str">
        <f>VLOOKUP(E3227,calculated_fields!$F$4:$G$6,2,FALSE)</f>
        <v>Health</v>
      </c>
    </row>
    <row r="3228" spans="1:16">
      <c r="A3228" t="s">
        <v>4425</v>
      </c>
      <c r="B3228" t="s">
        <v>4395</v>
      </c>
      <c r="C3228" t="s">
        <v>14</v>
      </c>
      <c r="D3228">
        <v>1987</v>
      </c>
      <c r="E3228" t="s">
        <v>23</v>
      </c>
      <c r="F3228" t="s">
        <v>24</v>
      </c>
      <c r="G3228" t="s">
        <v>25</v>
      </c>
      <c r="H3228" t="s">
        <v>26</v>
      </c>
      <c r="I3228">
        <v>17917180</v>
      </c>
      <c r="J3228" t="s">
        <v>27</v>
      </c>
      <c r="K3228" t="s">
        <v>4424</v>
      </c>
      <c r="L3228" t="s">
        <v>21</v>
      </c>
      <c r="M3228" t="str">
        <f t="shared" si="150"/>
        <v>OK</v>
      </c>
      <c r="N3228" t="str">
        <f t="shared" si="151"/>
        <v>1980s</v>
      </c>
      <c r="O3228" t="str">
        <f t="shared" si="152"/>
        <v>N/A</v>
      </c>
      <c r="P3228" t="str">
        <f>VLOOKUP(E3228,calculated_fields!$F$4:$G$6,2,FALSE)</f>
        <v>Demographics</v>
      </c>
    </row>
    <row r="3229" spans="1:16">
      <c r="A3229" t="s">
        <v>4426</v>
      </c>
      <c r="B3229" t="s">
        <v>4395</v>
      </c>
      <c r="C3229" t="s">
        <v>14</v>
      </c>
      <c r="D3229">
        <v>1987</v>
      </c>
      <c r="E3229" t="s">
        <v>29</v>
      </c>
      <c r="F3229" t="s">
        <v>30</v>
      </c>
      <c r="G3229" t="s">
        <v>31</v>
      </c>
      <c r="H3229" t="s">
        <v>32</v>
      </c>
      <c r="I3229">
        <v>775.63245010000003</v>
      </c>
      <c r="J3229" t="s">
        <v>33</v>
      </c>
      <c r="K3229" t="s">
        <v>4424</v>
      </c>
      <c r="L3229" t="s">
        <v>21</v>
      </c>
      <c r="M3229" t="str">
        <f t="shared" si="150"/>
        <v>OK</v>
      </c>
      <c r="N3229" t="str">
        <f t="shared" si="151"/>
        <v>1980s</v>
      </c>
      <c r="O3229" t="str">
        <f t="shared" si="152"/>
        <v>N/A</v>
      </c>
      <c r="P3229" t="str">
        <f>VLOOKUP(E3229,calculated_fields!$F$4:$G$6,2,FALSE)</f>
        <v>Economy</v>
      </c>
    </row>
    <row r="3230" spans="1:16">
      <c r="A3230" t="s">
        <v>4427</v>
      </c>
      <c r="B3230" t="s">
        <v>4395</v>
      </c>
      <c r="C3230" t="s">
        <v>14</v>
      </c>
      <c r="D3230">
        <v>1992</v>
      </c>
      <c r="E3230" t="s">
        <v>15</v>
      </c>
      <c r="F3230" t="s">
        <v>16</v>
      </c>
      <c r="G3230" t="s">
        <v>17</v>
      </c>
      <c r="H3230" t="s">
        <v>18</v>
      </c>
      <c r="I3230">
        <v>55.726999999999997</v>
      </c>
      <c r="J3230" t="s">
        <v>19</v>
      </c>
      <c r="K3230" t="s">
        <v>4428</v>
      </c>
      <c r="L3230" t="s">
        <v>21</v>
      </c>
      <c r="M3230" t="str">
        <f t="shared" si="150"/>
        <v>OK</v>
      </c>
      <c r="N3230" t="str">
        <f t="shared" si="151"/>
        <v>1990s</v>
      </c>
      <c r="O3230" t="str">
        <f t="shared" si="152"/>
        <v>Medium</v>
      </c>
      <c r="P3230" t="str">
        <f>VLOOKUP(E3230,calculated_fields!$F$4:$G$6,2,FALSE)</f>
        <v>Health</v>
      </c>
    </row>
    <row r="3231" spans="1:16">
      <c r="A3231" t="s">
        <v>4429</v>
      </c>
      <c r="B3231" t="s">
        <v>4395</v>
      </c>
      <c r="C3231" t="s">
        <v>14</v>
      </c>
      <c r="D3231">
        <v>1992</v>
      </c>
      <c r="E3231" t="s">
        <v>23</v>
      </c>
      <c r="F3231" t="s">
        <v>24</v>
      </c>
      <c r="G3231" t="s">
        <v>25</v>
      </c>
      <c r="H3231" t="s">
        <v>26</v>
      </c>
      <c r="I3231">
        <v>20326209</v>
      </c>
      <c r="J3231" t="s">
        <v>27</v>
      </c>
      <c r="K3231" t="s">
        <v>4428</v>
      </c>
      <c r="L3231" t="s">
        <v>21</v>
      </c>
      <c r="M3231" t="str">
        <f t="shared" si="150"/>
        <v>OK</v>
      </c>
      <c r="N3231" t="str">
        <f t="shared" si="151"/>
        <v>1990s</v>
      </c>
      <c r="O3231" t="str">
        <f t="shared" si="152"/>
        <v>N/A</v>
      </c>
      <c r="P3231" t="str">
        <f>VLOOKUP(E3231,calculated_fields!$F$4:$G$6,2,FALSE)</f>
        <v>Demographics</v>
      </c>
    </row>
    <row r="3232" spans="1:16">
      <c r="A3232" t="s">
        <v>4430</v>
      </c>
      <c r="B3232" t="s">
        <v>4395</v>
      </c>
      <c r="C3232" t="s">
        <v>14</v>
      </c>
      <c r="D3232">
        <v>1992</v>
      </c>
      <c r="E3232" t="s">
        <v>29</v>
      </c>
      <c r="F3232" t="s">
        <v>30</v>
      </c>
      <c r="G3232" t="s">
        <v>31</v>
      </c>
      <c r="H3232" t="s">
        <v>32</v>
      </c>
      <c r="I3232">
        <v>897.74036039999999</v>
      </c>
      <c r="J3232" t="s">
        <v>33</v>
      </c>
      <c r="K3232" t="s">
        <v>4428</v>
      </c>
      <c r="L3232" t="s">
        <v>21</v>
      </c>
      <c r="M3232" t="str">
        <f t="shared" si="150"/>
        <v>OK</v>
      </c>
      <c r="N3232" t="str">
        <f t="shared" si="151"/>
        <v>1990s</v>
      </c>
      <c r="O3232" t="str">
        <f t="shared" si="152"/>
        <v>N/A</v>
      </c>
      <c r="P3232" t="str">
        <f>VLOOKUP(E3232,calculated_fields!$F$4:$G$6,2,FALSE)</f>
        <v>Economy</v>
      </c>
    </row>
    <row r="3233" spans="1:16">
      <c r="A3233" t="s">
        <v>4431</v>
      </c>
      <c r="B3233" t="s">
        <v>4395</v>
      </c>
      <c r="C3233" t="s">
        <v>14</v>
      </c>
      <c r="D3233">
        <v>1997</v>
      </c>
      <c r="E3233" t="s">
        <v>15</v>
      </c>
      <c r="F3233" t="s">
        <v>16</v>
      </c>
      <c r="G3233" t="s">
        <v>17</v>
      </c>
      <c r="H3233" t="s">
        <v>18</v>
      </c>
      <c r="I3233">
        <v>59.426000000000002</v>
      </c>
      <c r="J3233" t="s">
        <v>19</v>
      </c>
      <c r="K3233" t="s">
        <v>4432</v>
      </c>
      <c r="L3233" t="s">
        <v>21</v>
      </c>
      <c r="M3233" t="str">
        <f t="shared" si="150"/>
        <v>OK</v>
      </c>
      <c r="N3233" t="str">
        <f t="shared" si="151"/>
        <v>1990s</v>
      </c>
      <c r="O3233" t="str">
        <f t="shared" si="152"/>
        <v>Medium</v>
      </c>
      <c r="P3233" t="str">
        <f>VLOOKUP(E3233,calculated_fields!$F$4:$G$6,2,FALSE)</f>
        <v>Health</v>
      </c>
    </row>
    <row r="3234" spans="1:16">
      <c r="A3234" t="s">
        <v>4433</v>
      </c>
      <c r="B3234" t="s">
        <v>4395</v>
      </c>
      <c r="C3234" t="s">
        <v>14</v>
      </c>
      <c r="D3234">
        <v>1997</v>
      </c>
      <c r="E3234" t="s">
        <v>23</v>
      </c>
      <c r="F3234" t="s">
        <v>24</v>
      </c>
      <c r="G3234" t="s">
        <v>25</v>
      </c>
      <c r="H3234" t="s">
        <v>26</v>
      </c>
      <c r="I3234">
        <v>23001113</v>
      </c>
      <c r="J3234" t="s">
        <v>27</v>
      </c>
      <c r="K3234" t="s">
        <v>4432</v>
      </c>
      <c r="L3234" t="s">
        <v>21</v>
      </c>
      <c r="M3234" t="str">
        <f t="shared" si="150"/>
        <v>OK</v>
      </c>
      <c r="N3234" t="str">
        <f t="shared" si="151"/>
        <v>1990s</v>
      </c>
      <c r="O3234" t="str">
        <f t="shared" si="152"/>
        <v>N/A</v>
      </c>
      <c r="P3234" t="str">
        <f>VLOOKUP(E3234,calculated_fields!$F$4:$G$6,2,FALSE)</f>
        <v>Demographics</v>
      </c>
    </row>
    <row r="3235" spans="1:16">
      <c r="A3235" t="s">
        <v>4434</v>
      </c>
      <c r="B3235" t="s">
        <v>4395</v>
      </c>
      <c r="C3235" t="s">
        <v>14</v>
      </c>
      <c r="D3235">
        <v>1997</v>
      </c>
      <c r="E3235" t="s">
        <v>29</v>
      </c>
      <c r="F3235" t="s">
        <v>30</v>
      </c>
      <c r="G3235" t="s">
        <v>31</v>
      </c>
      <c r="H3235" t="s">
        <v>32</v>
      </c>
      <c r="I3235">
        <v>1010.892138</v>
      </c>
      <c r="J3235" t="s">
        <v>33</v>
      </c>
      <c r="K3235" t="s">
        <v>4432</v>
      </c>
      <c r="L3235" t="s">
        <v>21</v>
      </c>
      <c r="M3235" t="str">
        <f t="shared" si="150"/>
        <v>OK</v>
      </c>
      <c r="N3235" t="str">
        <f t="shared" si="151"/>
        <v>1990s</v>
      </c>
      <c r="O3235" t="str">
        <f t="shared" si="152"/>
        <v>N/A</v>
      </c>
      <c r="P3235" t="str">
        <f>VLOOKUP(E3235,calculated_fields!$F$4:$G$6,2,FALSE)</f>
        <v>Economy</v>
      </c>
    </row>
    <row r="3236" spans="1:16">
      <c r="A3236" t="s">
        <v>4435</v>
      </c>
      <c r="B3236" t="s">
        <v>4395</v>
      </c>
      <c r="C3236" t="s">
        <v>14</v>
      </c>
      <c r="D3236">
        <v>2002</v>
      </c>
      <c r="E3236" t="s">
        <v>15</v>
      </c>
      <c r="F3236" t="s">
        <v>16</v>
      </c>
      <c r="G3236" t="s">
        <v>17</v>
      </c>
      <c r="H3236" t="s">
        <v>18</v>
      </c>
      <c r="I3236">
        <v>61.34</v>
      </c>
      <c r="J3236" t="s">
        <v>19</v>
      </c>
      <c r="K3236" t="s">
        <v>4436</v>
      </c>
      <c r="L3236" t="s">
        <v>21</v>
      </c>
      <c r="M3236" t="str">
        <f t="shared" si="150"/>
        <v>OK</v>
      </c>
      <c r="N3236" t="str">
        <f t="shared" si="151"/>
        <v>2000s</v>
      </c>
      <c r="O3236" t="str">
        <f t="shared" si="152"/>
        <v>Medium</v>
      </c>
      <c r="P3236" t="str">
        <f>VLOOKUP(E3236,calculated_fields!$F$4:$G$6,2,FALSE)</f>
        <v>Health</v>
      </c>
    </row>
    <row r="3237" spans="1:16">
      <c r="A3237" t="s">
        <v>4437</v>
      </c>
      <c r="B3237" t="s">
        <v>4395</v>
      </c>
      <c r="C3237" t="s">
        <v>14</v>
      </c>
      <c r="D3237">
        <v>2002</v>
      </c>
      <c r="E3237" t="s">
        <v>23</v>
      </c>
      <c r="F3237" t="s">
        <v>24</v>
      </c>
      <c r="G3237" t="s">
        <v>25</v>
      </c>
      <c r="H3237" t="s">
        <v>26</v>
      </c>
      <c r="I3237">
        <v>25873917</v>
      </c>
      <c r="J3237" t="s">
        <v>27</v>
      </c>
      <c r="K3237" t="s">
        <v>4436</v>
      </c>
      <c r="L3237" t="s">
        <v>21</v>
      </c>
      <c r="M3237" t="str">
        <f t="shared" si="150"/>
        <v>OK</v>
      </c>
      <c r="N3237" t="str">
        <f t="shared" si="151"/>
        <v>2000s</v>
      </c>
      <c r="O3237" t="str">
        <f t="shared" si="152"/>
        <v>N/A</v>
      </c>
      <c r="P3237" t="str">
        <f>VLOOKUP(E3237,calculated_fields!$F$4:$G$6,2,FALSE)</f>
        <v>Demographics</v>
      </c>
    </row>
    <row r="3238" spans="1:16">
      <c r="A3238" t="s">
        <v>4438</v>
      </c>
      <c r="B3238" t="s">
        <v>4395</v>
      </c>
      <c r="C3238" t="s">
        <v>14</v>
      </c>
      <c r="D3238">
        <v>2002</v>
      </c>
      <c r="E3238" t="s">
        <v>29</v>
      </c>
      <c r="F3238" t="s">
        <v>30</v>
      </c>
      <c r="G3238" t="s">
        <v>31</v>
      </c>
      <c r="H3238" t="s">
        <v>32</v>
      </c>
      <c r="I3238">
        <v>1057.2063109999999</v>
      </c>
      <c r="J3238" t="s">
        <v>33</v>
      </c>
      <c r="K3238" t="s">
        <v>4436</v>
      </c>
      <c r="L3238" t="s">
        <v>21</v>
      </c>
      <c r="M3238" t="str">
        <f t="shared" si="150"/>
        <v>OK</v>
      </c>
      <c r="N3238" t="str">
        <f t="shared" si="151"/>
        <v>2000s</v>
      </c>
      <c r="O3238" t="str">
        <f t="shared" si="152"/>
        <v>N/A</v>
      </c>
      <c r="P3238" t="str">
        <f>VLOOKUP(E3238,calculated_fields!$F$4:$G$6,2,FALSE)</f>
        <v>Economy</v>
      </c>
    </row>
    <row r="3239" spans="1:16">
      <c r="A3239" t="s">
        <v>4439</v>
      </c>
      <c r="B3239" t="s">
        <v>4395</v>
      </c>
      <c r="C3239" t="s">
        <v>14</v>
      </c>
      <c r="D3239">
        <v>2007</v>
      </c>
      <c r="E3239" t="s">
        <v>15</v>
      </c>
      <c r="F3239" t="s">
        <v>16</v>
      </c>
      <c r="G3239" t="s">
        <v>17</v>
      </c>
      <c r="H3239" t="s">
        <v>18</v>
      </c>
      <c r="I3239">
        <v>63.784999999999997</v>
      </c>
      <c r="J3239" t="s">
        <v>19</v>
      </c>
      <c r="K3239" t="s">
        <v>4440</v>
      </c>
      <c r="L3239" t="s">
        <v>21</v>
      </c>
      <c r="M3239" t="str">
        <f t="shared" si="150"/>
        <v>OK</v>
      </c>
      <c r="N3239" t="str">
        <f t="shared" si="151"/>
        <v>2000s</v>
      </c>
      <c r="O3239" t="str">
        <f t="shared" si="152"/>
        <v>Medium</v>
      </c>
      <c r="P3239" t="str">
        <f>VLOOKUP(E3239,calculated_fields!$F$4:$G$6,2,FALSE)</f>
        <v>Health</v>
      </c>
    </row>
    <row r="3240" spans="1:16">
      <c r="A3240" t="s">
        <v>4441</v>
      </c>
      <c r="B3240" t="s">
        <v>4395</v>
      </c>
      <c r="C3240" t="s">
        <v>14</v>
      </c>
      <c r="D3240">
        <v>2007</v>
      </c>
      <c r="E3240" t="s">
        <v>23</v>
      </c>
      <c r="F3240" t="s">
        <v>24</v>
      </c>
      <c r="G3240" t="s">
        <v>25</v>
      </c>
      <c r="H3240" t="s">
        <v>26</v>
      </c>
      <c r="I3240">
        <v>28901790</v>
      </c>
      <c r="J3240" t="s">
        <v>27</v>
      </c>
      <c r="K3240" t="s">
        <v>4440</v>
      </c>
      <c r="L3240" t="s">
        <v>21</v>
      </c>
      <c r="M3240" t="str">
        <f t="shared" si="150"/>
        <v>OK</v>
      </c>
      <c r="N3240" t="str">
        <f t="shared" si="151"/>
        <v>2000s</v>
      </c>
      <c r="O3240" t="str">
        <f t="shared" si="152"/>
        <v>N/A</v>
      </c>
      <c r="P3240" t="str">
        <f>VLOOKUP(E3240,calculated_fields!$F$4:$G$6,2,FALSE)</f>
        <v>Demographics</v>
      </c>
    </row>
    <row r="3241" spans="1:16">
      <c r="A3241" t="s">
        <v>4442</v>
      </c>
      <c r="B3241" t="s">
        <v>4395</v>
      </c>
      <c r="C3241" t="s">
        <v>14</v>
      </c>
      <c r="D3241">
        <v>2007</v>
      </c>
      <c r="E3241" t="s">
        <v>29</v>
      </c>
      <c r="F3241" t="s">
        <v>30</v>
      </c>
      <c r="G3241" t="s">
        <v>31</v>
      </c>
      <c r="H3241" t="s">
        <v>32</v>
      </c>
      <c r="I3241">
        <v>1091.359778</v>
      </c>
      <c r="J3241" t="s">
        <v>33</v>
      </c>
      <c r="K3241" t="s">
        <v>4440</v>
      </c>
      <c r="L3241" t="s">
        <v>21</v>
      </c>
      <c r="M3241" t="str">
        <f t="shared" si="150"/>
        <v>OK</v>
      </c>
      <c r="N3241" t="str">
        <f t="shared" si="151"/>
        <v>2000s</v>
      </c>
      <c r="O3241" t="str">
        <f t="shared" si="152"/>
        <v>N/A</v>
      </c>
      <c r="P3241" t="str">
        <f>VLOOKUP(E3241,calculated_fields!$F$4:$G$6,2,FALSE)</f>
        <v>Economy</v>
      </c>
    </row>
    <row r="3242" spans="1:16">
      <c r="A3242" t="s">
        <v>4443</v>
      </c>
      <c r="B3242" t="s">
        <v>4444</v>
      </c>
      <c r="C3242" t="s">
        <v>80</v>
      </c>
      <c r="D3242">
        <v>1952</v>
      </c>
      <c r="E3242" t="s">
        <v>15</v>
      </c>
      <c r="F3242" t="s">
        <v>16</v>
      </c>
      <c r="G3242" t="s">
        <v>17</v>
      </c>
      <c r="H3242" t="s">
        <v>18</v>
      </c>
      <c r="I3242">
        <v>72.13</v>
      </c>
      <c r="J3242" t="s">
        <v>19</v>
      </c>
      <c r="K3242" t="s">
        <v>4445</v>
      </c>
      <c r="L3242" t="s">
        <v>21</v>
      </c>
      <c r="M3242" t="str">
        <f t="shared" si="150"/>
        <v>OK</v>
      </c>
      <c r="N3242" t="str">
        <f t="shared" si="151"/>
        <v>1950s</v>
      </c>
      <c r="O3242" t="str">
        <f t="shared" si="152"/>
        <v>High</v>
      </c>
      <c r="P3242" t="str">
        <f>VLOOKUP(E3242,calculated_fields!$F$4:$G$6,2,FALSE)</f>
        <v>Health</v>
      </c>
    </row>
    <row r="3243" spans="1:16">
      <c r="A3243" t="s">
        <v>4446</v>
      </c>
      <c r="B3243" t="s">
        <v>4444</v>
      </c>
      <c r="C3243" t="s">
        <v>80</v>
      </c>
      <c r="D3243">
        <v>1952</v>
      </c>
      <c r="E3243" t="s">
        <v>23</v>
      </c>
      <c r="F3243" t="s">
        <v>24</v>
      </c>
      <c r="G3243" t="s">
        <v>25</v>
      </c>
      <c r="H3243" t="s">
        <v>26</v>
      </c>
      <c r="I3243">
        <v>10381988</v>
      </c>
      <c r="J3243" t="s">
        <v>27</v>
      </c>
      <c r="K3243" t="s">
        <v>4445</v>
      </c>
      <c r="L3243" t="s">
        <v>21</v>
      </c>
      <c r="M3243" t="str">
        <f t="shared" si="150"/>
        <v>OK</v>
      </c>
      <c r="N3243" t="str">
        <f t="shared" si="151"/>
        <v>1950s</v>
      </c>
      <c r="O3243" t="str">
        <f t="shared" si="152"/>
        <v>N/A</v>
      </c>
      <c r="P3243" t="str">
        <f>VLOOKUP(E3243,calculated_fields!$F$4:$G$6,2,FALSE)</f>
        <v>Demographics</v>
      </c>
    </row>
    <row r="3244" spans="1:16">
      <c r="A3244" t="s">
        <v>4447</v>
      </c>
      <c r="B3244" t="s">
        <v>4444</v>
      </c>
      <c r="C3244" t="s">
        <v>80</v>
      </c>
      <c r="D3244">
        <v>1952</v>
      </c>
      <c r="E3244" t="s">
        <v>29</v>
      </c>
      <c r="F3244" t="s">
        <v>30</v>
      </c>
      <c r="G3244" t="s">
        <v>31</v>
      </c>
      <c r="H3244" t="s">
        <v>32</v>
      </c>
      <c r="I3244">
        <v>8941.5718579999993</v>
      </c>
      <c r="J3244" t="s">
        <v>33</v>
      </c>
      <c r="K3244" t="s">
        <v>4445</v>
      </c>
      <c r="L3244" t="s">
        <v>21</v>
      </c>
      <c r="M3244" t="str">
        <f t="shared" si="150"/>
        <v>OK</v>
      </c>
      <c r="N3244" t="str">
        <f t="shared" si="151"/>
        <v>1950s</v>
      </c>
      <c r="O3244" t="str">
        <f t="shared" si="152"/>
        <v>N/A</v>
      </c>
      <c r="P3244" t="str">
        <f>VLOOKUP(E3244,calculated_fields!$F$4:$G$6,2,FALSE)</f>
        <v>Economy</v>
      </c>
    </row>
    <row r="3245" spans="1:16">
      <c r="A3245" t="s">
        <v>4448</v>
      </c>
      <c r="B3245" t="s">
        <v>4444</v>
      </c>
      <c r="C3245" t="s">
        <v>80</v>
      </c>
      <c r="D3245">
        <v>1957</v>
      </c>
      <c r="E3245" t="s">
        <v>15</v>
      </c>
      <c r="F3245" t="s">
        <v>16</v>
      </c>
      <c r="G3245" t="s">
        <v>17</v>
      </c>
      <c r="H3245" t="s">
        <v>18</v>
      </c>
      <c r="I3245">
        <v>72.989999999999995</v>
      </c>
      <c r="J3245" t="s">
        <v>19</v>
      </c>
      <c r="K3245" t="s">
        <v>4449</v>
      </c>
      <c r="L3245" t="s">
        <v>21</v>
      </c>
      <c r="M3245" t="str">
        <f t="shared" si="150"/>
        <v>OK</v>
      </c>
      <c r="N3245" t="str">
        <f t="shared" si="151"/>
        <v>1950s</v>
      </c>
      <c r="O3245" t="str">
        <f t="shared" si="152"/>
        <v>High</v>
      </c>
      <c r="P3245" t="str">
        <f>VLOOKUP(E3245,calculated_fields!$F$4:$G$6,2,FALSE)</f>
        <v>Health</v>
      </c>
    </row>
    <row r="3246" spans="1:16">
      <c r="A3246" t="s">
        <v>4450</v>
      </c>
      <c r="B3246" t="s">
        <v>4444</v>
      </c>
      <c r="C3246" t="s">
        <v>80</v>
      </c>
      <c r="D3246">
        <v>1957</v>
      </c>
      <c r="E3246" t="s">
        <v>23</v>
      </c>
      <c r="F3246" t="s">
        <v>24</v>
      </c>
      <c r="G3246" t="s">
        <v>25</v>
      </c>
      <c r="H3246" t="s">
        <v>26</v>
      </c>
      <c r="I3246">
        <v>11026383</v>
      </c>
      <c r="J3246" t="s">
        <v>27</v>
      </c>
      <c r="K3246" t="s">
        <v>4449</v>
      </c>
      <c r="L3246" t="s">
        <v>21</v>
      </c>
      <c r="M3246" t="str">
        <f t="shared" si="150"/>
        <v>OK</v>
      </c>
      <c r="N3246" t="str">
        <f t="shared" si="151"/>
        <v>1950s</v>
      </c>
      <c r="O3246" t="str">
        <f t="shared" si="152"/>
        <v>N/A</v>
      </c>
      <c r="P3246" t="str">
        <f>VLOOKUP(E3246,calculated_fields!$F$4:$G$6,2,FALSE)</f>
        <v>Demographics</v>
      </c>
    </row>
    <row r="3247" spans="1:16">
      <c r="A3247" t="s">
        <v>4451</v>
      </c>
      <c r="B3247" t="s">
        <v>4444</v>
      </c>
      <c r="C3247" t="s">
        <v>80</v>
      </c>
      <c r="D3247">
        <v>1957</v>
      </c>
      <c r="E3247" t="s">
        <v>29</v>
      </c>
      <c r="F3247" t="s">
        <v>30</v>
      </c>
      <c r="G3247" t="s">
        <v>31</v>
      </c>
      <c r="H3247" t="s">
        <v>32</v>
      </c>
      <c r="I3247">
        <v>11276.193439999999</v>
      </c>
      <c r="J3247" t="s">
        <v>33</v>
      </c>
      <c r="K3247" t="s">
        <v>4449</v>
      </c>
      <c r="L3247" t="s">
        <v>21</v>
      </c>
      <c r="M3247" t="str">
        <f t="shared" si="150"/>
        <v>OK</v>
      </c>
      <c r="N3247" t="str">
        <f t="shared" si="151"/>
        <v>1950s</v>
      </c>
      <c r="O3247" t="str">
        <f t="shared" si="152"/>
        <v>N/A</v>
      </c>
      <c r="P3247" t="str">
        <f>VLOOKUP(E3247,calculated_fields!$F$4:$G$6,2,FALSE)</f>
        <v>Economy</v>
      </c>
    </row>
    <row r="3248" spans="1:16">
      <c r="A3248" t="s">
        <v>4452</v>
      </c>
      <c r="B3248" t="s">
        <v>4444</v>
      </c>
      <c r="C3248" t="s">
        <v>80</v>
      </c>
      <c r="D3248">
        <v>1962</v>
      </c>
      <c r="E3248" t="s">
        <v>15</v>
      </c>
      <c r="F3248" t="s">
        <v>16</v>
      </c>
      <c r="G3248" t="s">
        <v>17</v>
      </c>
      <c r="H3248" t="s">
        <v>18</v>
      </c>
      <c r="I3248">
        <v>73.23</v>
      </c>
      <c r="J3248" t="s">
        <v>19</v>
      </c>
      <c r="K3248" t="s">
        <v>4453</v>
      </c>
      <c r="L3248" t="s">
        <v>21</v>
      </c>
      <c r="M3248" t="str">
        <f t="shared" si="150"/>
        <v>OK</v>
      </c>
      <c r="N3248" t="str">
        <f t="shared" si="151"/>
        <v>1960s</v>
      </c>
      <c r="O3248" t="str">
        <f t="shared" si="152"/>
        <v>High</v>
      </c>
      <c r="P3248" t="str">
        <f>VLOOKUP(E3248,calculated_fields!$F$4:$G$6,2,FALSE)</f>
        <v>Health</v>
      </c>
    </row>
    <row r="3249" spans="1:16">
      <c r="A3249" t="s">
        <v>4454</v>
      </c>
      <c r="B3249" t="s">
        <v>4444</v>
      </c>
      <c r="C3249" t="s">
        <v>80</v>
      </c>
      <c r="D3249">
        <v>1962</v>
      </c>
      <c r="E3249" t="s">
        <v>23</v>
      </c>
      <c r="F3249" t="s">
        <v>24</v>
      </c>
      <c r="G3249" t="s">
        <v>25</v>
      </c>
      <c r="H3249" t="s">
        <v>26</v>
      </c>
      <c r="I3249">
        <v>11805689</v>
      </c>
      <c r="J3249" t="s">
        <v>27</v>
      </c>
      <c r="K3249" t="s">
        <v>4453</v>
      </c>
      <c r="L3249" t="s">
        <v>21</v>
      </c>
      <c r="M3249" t="str">
        <f t="shared" si="150"/>
        <v>OK</v>
      </c>
      <c r="N3249" t="str">
        <f t="shared" si="151"/>
        <v>1960s</v>
      </c>
      <c r="O3249" t="str">
        <f t="shared" si="152"/>
        <v>N/A</v>
      </c>
      <c r="P3249" t="str">
        <f>VLOOKUP(E3249,calculated_fields!$F$4:$G$6,2,FALSE)</f>
        <v>Demographics</v>
      </c>
    </row>
    <row r="3250" spans="1:16">
      <c r="A3250" t="s">
        <v>4455</v>
      </c>
      <c r="B3250" t="s">
        <v>4444</v>
      </c>
      <c r="C3250" t="s">
        <v>80</v>
      </c>
      <c r="D3250">
        <v>1962</v>
      </c>
      <c r="E3250" t="s">
        <v>29</v>
      </c>
      <c r="F3250" t="s">
        <v>30</v>
      </c>
      <c r="G3250" t="s">
        <v>31</v>
      </c>
      <c r="H3250" t="s">
        <v>32</v>
      </c>
      <c r="I3250">
        <v>12790.849560000001</v>
      </c>
      <c r="J3250" t="s">
        <v>33</v>
      </c>
      <c r="K3250" t="s">
        <v>4453</v>
      </c>
      <c r="L3250" t="s">
        <v>21</v>
      </c>
      <c r="M3250" t="str">
        <f t="shared" si="150"/>
        <v>OK</v>
      </c>
      <c r="N3250" t="str">
        <f t="shared" si="151"/>
        <v>1960s</v>
      </c>
      <c r="O3250" t="str">
        <f t="shared" si="152"/>
        <v>N/A</v>
      </c>
      <c r="P3250" t="str">
        <f>VLOOKUP(E3250,calculated_fields!$F$4:$G$6,2,FALSE)</f>
        <v>Economy</v>
      </c>
    </row>
    <row r="3251" spans="1:16">
      <c r="A3251" t="s">
        <v>4456</v>
      </c>
      <c r="B3251" t="s">
        <v>4444</v>
      </c>
      <c r="C3251" t="s">
        <v>80</v>
      </c>
      <c r="D3251">
        <v>1967</v>
      </c>
      <c r="E3251" t="s">
        <v>15</v>
      </c>
      <c r="F3251" t="s">
        <v>16</v>
      </c>
      <c r="G3251" t="s">
        <v>17</v>
      </c>
      <c r="H3251" t="s">
        <v>18</v>
      </c>
      <c r="I3251">
        <v>73.819999999999993</v>
      </c>
      <c r="J3251" t="s">
        <v>19</v>
      </c>
      <c r="K3251" t="s">
        <v>4457</v>
      </c>
      <c r="L3251" t="s">
        <v>21</v>
      </c>
      <c r="M3251" t="str">
        <f t="shared" si="150"/>
        <v>OK</v>
      </c>
      <c r="N3251" t="str">
        <f t="shared" si="151"/>
        <v>1960s</v>
      </c>
      <c r="O3251" t="str">
        <f t="shared" si="152"/>
        <v>High</v>
      </c>
      <c r="P3251" t="str">
        <f>VLOOKUP(E3251,calculated_fields!$F$4:$G$6,2,FALSE)</f>
        <v>Health</v>
      </c>
    </row>
    <row r="3252" spans="1:16">
      <c r="A3252" t="s">
        <v>4458</v>
      </c>
      <c r="B3252" t="s">
        <v>4444</v>
      </c>
      <c r="C3252" t="s">
        <v>80</v>
      </c>
      <c r="D3252">
        <v>1967</v>
      </c>
      <c r="E3252" t="s">
        <v>23</v>
      </c>
      <c r="F3252" t="s">
        <v>24</v>
      </c>
      <c r="G3252" t="s">
        <v>25</v>
      </c>
      <c r="H3252" t="s">
        <v>26</v>
      </c>
      <c r="I3252">
        <v>12596822</v>
      </c>
      <c r="J3252" t="s">
        <v>27</v>
      </c>
      <c r="K3252" t="s">
        <v>4457</v>
      </c>
      <c r="L3252" t="s">
        <v>21</v>
      </c>
      <c r="M3252" t="str">
        <f t="shared" si="150"/>
        <v>OK</v>
      </c>
      <c r="N3252" t="str">
        <f t="shared" si="151"/>
        <v>1960s</v>
      </c>
      <c r="O3252" t="str">
        <f t="shared" si="152"/>
        <v>N/A</v>
      </c>
      <c r="P3252" t="str">
        <f>VLOOKUP(E3252,calculated_fields!$F$4:$G$6,2,FALSE)</f>
        <v>Demographics</v>
      </c>
    </row>
    <row r="3253" spans="1:16">
      <c r="A3253" t="s">
        <v>4459</v>
      </c>
      <c r="B3253" t="s">
        <v>4444</v>
      </c>
      <c r="C3253" t="s">
        <v>80</v>
      </c>
      <c r="D3253">
        <v>1967</v>
      </c>
      <c r="E3253" t="s">
        <v>29</v>
      </c>
      <c r="F3253" t="s">
        <v>30</v>
      </c>
      <c r="G3253" t="s">
        <v>31</v>
      </c>
      <c r="H3253" t="s">
        <v>32</v>
      </c>
      <c r="I3253">
        <v>15363.25136</v>
      </c>
      <c r="J3253" t="s">
        <v>33</v>
      </c>
      <c r="K3253" t="s">
        <v>4457</v>
      </c>
      <c r="L3253" t="s">
        <v>21</v>
      </c>
      <c r="M3253" t="str">
        <f t="shared" si="150"/>
        <v>OK</v>
      </c>
      <c r="N3253" t="str">
        <f t="shared" si="151"/>
        <v>1960s</v>
      </c>
      <c r="O3253" t="str">
        <f t="shared" si="152"/>
        <v>N/A</v>
      </c>
      <c r="P3253" t="str">
        <f>VLOOKUP(E3253,calculated_fields!$F$4:$G$6,2,FALSE)</f>
        <v>Economy</v>
      </c>
    </row>
    <row r="3254" spans="1:16">
      <c r="A3254" t="s">
        <v>4460</v>
      </c>
      <c r="B3254" t="s">
        <v>4444</v>
      </c>
      <c r="C3254" t="s">
        <v>80</v>
      </c>
      <c r="D3254">
        <v>1972</v>
      </c>
      <c r="E3254" t="s">
        <v>15</v>
      </c>
      <c r="F3254" t="s">
        <v>16</v>
      </c>
      <c r="G3254" t="s">
        <v>17</v>
      </c>
      <c r="H3254" t="s">
        <v>18</v>
      </c>
      <c r="I3254">
        <v>73.75</v>
      </c>
      <c r="J3254" t="s">
        <v>19</v>
      </c>
      <c r="K3254" t="s">
        <v>4461</v>
      </c>
      <c r="L3254" t="s">
        <v>21</v>
      </c>
      <c r="M3254" t="str">
        <f t="shared" si="150"/>
        <v>OK</v>
      </c>
      <c r="N3254" t="str">
        <f t="shared" si="151"/>
        <v>1970s</v>
      </c>
      <c r="O3254" t="str">
        <f t="shared" si="152"/>
        <v>High</v>
      </c>
      <c r="P3254" t="str">
        <f>VLOOKUP(E3254,calculated_fields!$F$4:$G$6,2,FALSE)</f>
        <v>Health</v>
      </c>
    </row>
    <row r="3255" spans="1:16">
      <c r="A3255" t="s">
        <v>4462</v>
      </c>
      <c r="B3255" t="s">
        <v>4444</v>
      </c>
      <c r="C3255" t="s">
        <v>80</v>
      </c>
      <c r="D3255">
        <v>1972</v>
      </c>
      <c r="E3255" t="s">
        <v>23</v>
      </c>
      <c r="F3255" t="s">
        <v>24</v>
      </c>
      <c r="G3255" t="s">
        <v>25</v>
      </c>
      <c r="H3255" t="s">
        <v>26</v>
      </c>
      <c r="I3255">
        <v>13329874</v>
      </c>
      <c r="J3255" t="s">
        <v>27</v>
      </c>
      <c r="K3255" t="s">
        <v>4461</v>
      </c>
      <c r="L3255" t="s">
        <v>21</v>
      </c>
      <c r="M3255" t="str">
        <f t="shared" si="150"/>
        <v>OK</v>
      </c>
      <c r="N3255" t="str">
        <f t="shared" si="151"/>
        <v>1970s</v>
      </c>
      <c r="O3255" t="str">
        <f t="shared" si="152"/>
        <v>N/A</v>
      </c>
      <c r="P3255" t="str">
        <f>VLOOKUP(E3255,calculated_fields!$F$4:$G$6,2,FALSE)</f>
        <v>Demographics</v>
      </c>
    </row>
    <row r="3256" spans="1:16">
      <c r="A3256" t="s">
        <v>4463</v>
      </c>
      <c r="B3256" t="s">
        <v>4444</v>
      </c>
      <c r="C3256" t="s">
        <v>80</v>
      </c>
      <c r="D3256">
        <v>1972</v>
      </c>
      <c r="E3256" t="s">
        <v>29</v>
      </c>
      <c r="F3256" t="s">
        <v>30</v>
      </c>
      <c r="G3256" t="s">
        <v>31</v>
      </c>
      <c r="H3256" t="s">
        <v>32</v>
      </c>
      <c r="I3256">
        <v>18794.74567</v>
      </c>
      <c r="J3256" t="s">
        <v>33</v>
      </c>
      <c r="K3256" t="s">
        <v>4461</v>
      </c>
      <c r="L3256" t="s">
        <v>21</v>
      </c>
      <c r="M3256" t="str">
        <f t="shared" si="150"/>
        <v>OK</v>
      </c>
      <c r="N3256" t="str">
        <f t="shared" si="151"/>
        <v>1970s</v>
      </c>
      <c r="O3256" t="str">
        <f t="shared" si="152"/>
        <v>N/A</v>
      </c>
      <c r="P3256" t="str">
        <f>VLOOKUP(E3256,calculated_fields!$F$4:$G$6,2,FALSE)</f>
        <v>Economy</v>
      </c>
    </row>
    <row r="3257" spans="1:16">
      <c r="A3257" t="s">
        <v>4464</v>
      </c>
      <c r="B3257" t="s">
        <v>4444</v>
      </c>
      <c r="C3257" t="s">
        <v>80</v>
      </c>
      <c r="D3257">
        <v>1977</v>
      </c>
      <c r="E3257" t="s">
        <v>15</v>
      </c>
      <c r="F3257" t="s">
        <v>16</v>
      </c>
      <c r="G3257" t="s">
        <v>17</v>
      </c>
      <c r="H3257" t="s">
        <v>18</v>
      </c>
      <c r="I3257">
        <v>75.239999999999995</v>
      </c>
      <c r="J3257" t="s">
        <v>19</v>
      </c>
      <c r="K3257" t="s">
        <v>4465</v>
      </c>
      <c r="L3257" t="s">
        <v>21</v>
      </c>
      <c r="M3257" t="str">
        <f t="shared" si="150"/>
        <v>OK</v>
      </c>
      <c r="N3257" t="str">
        <f t="shared" si="151"/>
        <v>1970s</v>
      </c>
      <c r="O3257" t="str">
        <f t="shared" si="152"/>
        <v>High</v>
      </c>
      <c r="P3257" t="str">
        <f>VLOOKUP(E3257,calculated_fields!$F$4:$G$6,2,FALSE)</f>
        <v>Health</v>
      </c>
    </row>
    <row r="3258" spans="1:16">
      <c r="A3258" t="s">
        <v>4466</v>
      </c>
      <c r="B3258" t="s">
        <v>4444</v>
      </c>
      <c r="C3258" t="s">
        <v>80</v>
      </c>
      <c r="D3258">
        <v>1977</v>
      </c>
      <c r="E3258" t="s">
        <v>23</v>
      </c>
      <c r="F3258" t="s">
        <v>24</v>
      </c>
      <c r="G3258" t="s">
        <v>25</v>
      </c>
      <c r="H3258" t="s">
        <v>26</v>
      </c>
      <c r="I3258">
        <v>13852989</v>
      </c>
      <c r="J3258" t="s">
        <v>27</v>
      </c>
      <c r="K3258" t="s">
        <v>4465</v>
      </c>
      <c r="L3258" t="s">
        <v>21</v>
      </c>
      <c r="M3258" t="str">
        <f t="shared" si="150"/>
        <v>OK</v>
      </c>
      <c r="N3258" t="str">
        <f t="shared" si="151"/>
        <v>1970s</v>
      </c>
      <c r="O3258" t="str">
        <f t="shared" si="152"/>
        <v>N/A</v>
      </c>
      <c r="P3258" t="str">
        <f>VLOOKUP(E3258,calculated_fields!$F$4:$G$6,2,FALSE)</f>
        <v>Demographics</v>
      </c>
    </row>
    <row r="3259" spans="1:16">
      <c r="A3259" t="s">
        <v>4467</v>
      </c>
      <c r="B3259" t="s">
        <v>4444</v>
      </c>
      <c r="C3259" t="s">
        <v>80</v>
      </c>
      <c r="D3259">
        <v>1977</v>
      </c>
      <c r="E3259" t="s">
        <v>29</v>
      </c>
      <c r="F3259" t="s">
        <v>30</v>
      </c>
      <c r="G3259" t="s">
        <v>31</v>
      </c>
      <c r="H3259" t="s">
        <v>32</v>
      </c>
      <c r="I3259">
        <v>21209.0592</v>
      </c>
      <c r="J3259" t="s">
        <v>33</v>
      </c>
      <c r="K3259" t="s">
        <v>4465</v>
      </c>
      <c r="L3259" t="s">
        <v>21</v>
      </c>
      <c r="M3259" t="str">
        <f t="shared" si="150"/>
        <v>OK</v>
      </c>
      <c r="N3259" t="str">
        <f t="shared" si="151"/>
        <v>1970s</v>
      </c>
      <c r="O3259" t="str">
        <f t="shared" si="152"/>
        <v>N/A</v>
      </c>
      <c r="P3259" t="str">
        <f>VLOOKUP(E3259,calculated_fields!$F$4:$G$6,2,FALSE)</f>
        <v>Economy</v>
      </c>
    </row>
    <row r="3260" spans="1:16">
      <c r="A3260" t="s">
        <v>4468</v>
      </c>
      <c r="B3260" t="s">
        <v>4444</v>
      </c>
      <c r="C3260" t="s">
        <v>80</v>
      </c>
      <c r="D3260">
        <v>1982</v>
      </c>
      <c r="E3260" t="s">
        <v>15</v>
      </c>
      <c r="F3260" t="s">
        <v>16</v>
      </c>
      <c r="G3260" t="s">
        <v>17</v>
      </c>
      <c r="H3260" t="s">
        <v>18</v>
      </c>
      <c r="I3260">
        <v>76.05</v>
      </c>
      <c r="J3260" t="s">
        <v>19</v>
      </c>
      <c r="K3260" t="s">
        <v>4469</v>
      </c>
      <c r="L3260" t="s">
        <v>21</v>
      </c>
      <c r="M3260" t="str">
        <f t="shared" si="150"/>
        <v>OK</v>
      </c>
      <c r="N3260" t="str">
        <f t="shared" si="151"/>
        <v>1980s</v>
      </c>
      <c r="O3260" t="str">
        <f t="shared" si="152"/>
        <v>High</v>
      </c>
      <c r="P3260" t="str">
        <f>VLOOKUP(E3260,calculated_fields!$F$4:$G$6,2,FALSE)</f>
        <v>Health</v>
      </c>
    </row>
    <row r="3261" spans="1:16">
      <c r="A3261" t="s">
        <v>4470</v>
      </c>
      <c r="B3261" t="s">
        <v>4444</v>
      </c>
      <c r="C3261" t="s">
        <v>80</v>
      </c>
      <c r="D3261">
        <v>1982</v>
      </c>
      <c r="E3261" t="s">
        <v>23</v>
      </c>
      <c r="F3261" t="s">
        <v>24</v>
      </c>
      <c r="G3261" t="s">
        <v>25</v>
      </c>
      <c r="H3261" t="s">
        <v>26</v>
      </c>
      <c r="I3261">
        <v>14310401</v>
      </c>
      <c r="J3261" t="s">
        <v>27</v>
      </c>
      <c r="K3261" t="s">
        <v>4469</v>
      </c>
      <c r="L3261" t="s">
        <v>21</v>
      </c>
      <c r="M3261" t="str">
        <f t="shared" si="150"/>
        <v>OK</v>
      </c>
      <c r="N3261" t="str">
        <f t="shared" si="151"/>
        <v>1980s</v>
      </c>
      <c r="O3261" t="str">
        <f t="shared" si="152"/>
        <v>N/A</v>
      </c>
      <c r="P3261" t="str">
        <f>VLOOKUP(E3261,calculated_fields!$F$4:$G$6,2,FALSE)</f>
        <v>Demographics</v>
      </c>
    </row>
    <row r="3262" spans="1:16">
      <c r="A3262" t="s">
        <v>4471</v>
      </c>
      <c r="B3262" t="s">
        <v>4444</v>
      </c>
      <c r="C3262" t="s">
        <v>80</v>
      </c>
      <c r="D3262">
        <v>1982</v>
      </c>
      <c r="E3262" t="s">
        <v>29</v>
      </c>
      <c r="F3262" t="s">
        <v>30</v>
      </c>
      <c r="G3262" t="s">
        <v>31</v>
      </c>
      <c r="H3262" t="s">
        <v>32</v>
      </c>
      <c r="I3262">
        <v>21399.460459999998</v>
      </c>
      <c r="J3262" t="s">
        <v>33</v>
      </c>
      <c r="K3262" t="s">
        <v>4469</v>
      </c>
      <c r="L3262" t="s">
        <v>21</v>
      </c>
      <c r="M3262" t="str">
        <f t="shared" si="150"/>
        <v>OK</v>
      </c>
      <c r="N3262" t="str">
        <f t="shared" si="151"/>
        <v>1980s</v>
      </c>
      <c r="O3262" t="str">
        <f t="shared" si="152"/>
        <v>N/A</v>
      </c>
      <c r="P3262" t="str">
        <f>VLOOKUP(E3262,calculated_fields!$F$4:$G$6,2,FALSE)</f>
        <v>Economy</v>
      </c>
    </row>
    <row r="3263" spans="1:16">
      <c r="A3263" t="s">
        <v>4472</v>
      </c>
      <c r="B3263" t="s">
        <v>4444</v>
      </c>
      <c r="C3263" t="s">
        <v>80</v>
      </c>
      <c r="D3263">
        <v>1987</v>
      </c>
      <c r="E3263" t="s">
        <v>15</v>
      </c>
      <c r="F3263" t="s">
        <v>16</v>
      </c>
      <c r="G3263" t="s">
        <v>17</v>
      </c>
      <c r="H3263" t="s">
        <v>18</v>
      </c>
      <c r="I3263">
        <v>76.83</v>
      </c>
      <c r="J3263" t="s">
        <v>19</v>
      </c>
      <c r="K3263" t="s">
        <v>4473</v>
      </c>
      <c r="L3263" t="s">
        <v>21</v>
      </c>
      <c r="M3263" t="str">
        <f t="shared" si="150"/>
        <v>OK</v>
      </c>
      <c r="N3263" t="str">
        <f t="shared" si="151"/>
        <v>1980s</v>
      </c>
      <c r="O3263" t="str">
        <f t="shared" si="152"/>
        <v>High</v>
      </c>
      <c r="P3263" t="str">
        <f>VLOOKUP(E3263,calculated_fields!$F$4:$G$6,2,FALSE)</f>
        <v>Health</v>
      </c>
    </row>
    <row r="3264" spans="1:16">
      <c r="A3264" t="s">
        <v>4474</v>
      </c>
      <c r="B3264" t="s">
        <v>4444</v>
      </c>
      <c r="C3264" t="s">
        <v>80</v>
      </c>
      <c r="D3264">
        <v>1987</v>
      </c>
      <c r="E3264" t="s">
        <v>23</v>
      </c>
      <c r="F3264" t="s">
        <v>24</v>
      </c>
      <c r="G3264" t="s">
        <v>25</v>
      </c>
      <c r="H3264" t="s">
        <v>26</v>
      </c>
      <c r="I3264">
        <v>14665278</v>
      </c>
      <c r="J3264" t="s">
        <v>27</v>
      </c>
      <c r="K3264" t="s">
        <v>4473</v>
      </c>
      <c r="L3264" t="s">
        <v>21</v>
      </c>
      <c r="M3264" t="str">
        <f t="shared" si="150"/>
        <v>OK</v>
      </c>
      <c r="N3264" t="str">
        <f t="shared" si="151"/>
        <v>1980s</v>
      </c>
      <c r="O3264" t="str">
        <f t="shared" si="152"/>
        <v>N/A</v>
      </c>
      <c r="P3264" t="str">
        <f>VLOOKUP(E3264,calculated_fields!$F$4:$G$6,2,FALSE)</f>
        <v>Demographics</v>
      </c>
    </row>
    <row r="3265" spans="1:16">
      <c r="A3265" t="s">
        <v>4475</v>
      </c>
      <c r="B3265" t="s">
        <v>4444</v>
      </c>
      <c r="C3265" t="s">
        <v>80</v>
      </c>
      <c r="D3265">
        <v>1987</v>
      </c>
      <c r="E3265" t="s">
        <v>29</v>
      </c>
      <c r="F3265" t="s">
        <v>30</v>
      </c>
      <c r="G3265" t="s">
        <v>31</v>
      </c>
      <c r="H3265" t="s">
        <v>32</v>
      </c>
      <c r="I3265">
        <v>23651.323609999999</v>
      </c>
      <c r="J3265" t="s">
        <v>33</v>
      </c>
      <c r="K3265" t="s">
        <v>4473</v>
      </c>
      <c r="L3265" t="s">
        <v>21</v>
      </c>
      <c r="M3265" t="str">
        <f t="shared" si="150"/>
        <v>OK</v>
      </c>
      <c r="N3265" t="str">
        <f t="shared" si="151"/>
        <v>1980s</v>
      </c>
      <c r="O3265" t="str">
        <f t="shared" si="152"/>
        <v>N/A</v>
      </c>
      <c r="P3265" t="str">
        <f>VLOOKUP(E3265,calculated_fields!$F$4:$G$6,2,FALSE)</f>
        <v>Economy</v>
      </c>
    </row>
    <row r="3266" spans="1:16">
      <c r="A3266" t="s">
        <v>4476</v>
      </c>
      <c r="B3266" t="s">
        <v>4444</v>
      </c>
      <c r="C3266" t="s">
        <v>80</v>
      </c>
      <c r="D3266">
        <v>1992</v>
      </c>
      <c r="E3266" t="s">
        <v>15</v>
      </c>
      <c r="F3266" t="s">
        <v>16</v>
      </c>
      <c r="G3266" t="s">
        <v>17</v>
      </c>
      <c r="H3266" t="s">
        <v>18</v>
      </c>
      <c r="I3266">
        <v>77.42</v>
      </c>
      <c r="J3266" t="s">
        <v>19</v>
      </c>
      <c r="K3266" t="s">
        <v>4477</v>
      </c>
      <c r="L3266" t="s">
        <v>21</v>
      </c>
      <c r="M3266" t="str">
        <f t="shared" ref="M3266:M3329" si="153">IF(AND(ISNUMBER(I3266),I3266&gt;=0),"OK","Review")</f>
        <v>OK</v>
      </c>
      <c r="N3266" t="str">
        <f t="shared" ref="N3266:N3329" si="154">FLOOR(D3266,10)&amp;"s"</f>
        <v>1990s</v>
      </c>
      <c r="O3266" t="str">
        <f t="shared" ref="O3266:O3329" si="155">IF(E3266="LIFE_EXP",IF(I3266&gt;=70,"High",IF(I3266&gt;=55,"Medium","Low")),"N/A")</f>
        <v>High</v>
      </c>
      <c r="P3266" t="str">
        <f>VLOOKUP(E3266,calculated_fields!$F$4:$G$6,2,FALSE)</f>
        <v>Health</v>
      </c>
    </row>
    <row r="3267" spans="1:16">
      <c r="A3267" t="s">
        <v>4478</v>
      </c>
      <c r="B3267" t="s">
        <v>4444</v>
      </c>
      <c r="C3267" t="s">
        <v>80</v>
      </c>
      <c r="D3267">
        <v>1992</v>
      </c>
      <c r="E3267" t="s">
        <v>23</v>
      </c>
      <c r="F3267" t="s">
        <v>24</v>
      </c>
      <c r="G3267" t="s">
        <v>25</v>
      </c>
      <c r="H3267" t="s">
        <v>26</v>
      </c>
      <c r="I3267">
        <v>15174244</v>
      </c>
      <c r="J3267" t="s">
        <v>27</v>
      </c>
      <c r="K3267" t="s">
        <v>4477</v>
      </c>
      <c r="L3267" t="s">
        <v>21</v>
      </c>
      <c r="M3267" t="str">
        <f t="shared" si="153"/>
        <v>OK</v>
      </c>
      <c r="N3267" t="str">
        <f t="shared" si="154"/>
        <v>1990s</v>
      </c>
      <c r="O3267" t="str">
        <f t="shared" si="155"/>
        <v>N/A</v>
      </c>
      <c r="P3267" t="str">
        <f>VLOOKUP(E3267,calculated_fields!$F$4:$G$6,2,FALSE)</f>
        <v>Demographics</v>
      </c>
    </row>
    <row r="3268" spans="1:16">
      <c r="A3268" t="s">
        <v>4479</v>
      </c>
      <c r="B3268" t="s">
        <v>4444</v>
      </c>
      <c r="C3268" t="s">
        <v>80</v>
      </c>
      <c r="D3268">
        <v>1992</v>
      </c>
      <c r="E3268" t="s">
        <v>29</v>
      </c>
      <c r="F3268" t="s">
        <v>30</v>
      </c>
      <c r="G3268" t="s">
        <v>31</v>
      </c>
      <c r="H3268" t="s">
        <v>32</v>
      </c>
      <c r="I3268">
        <v>26790.94961</v>
      </c>
      <c r="J3268" t="s">
        <v>33</v>
      </c>
      <c r="K3268" t="s">
        <v>4477</v>
      </c>
      <c r="L3268" t="s">
        <v>21</v>
      </c>
      <c r="M3268" t="str">
        <f t="shared" si="153"/>
        <v>OK</v>
      </c>
      <c r="N3268" t="str">
        <f t="shared" si="154"/>
        <v>1990s</v>
      </c>
      <c r="O3268" t="str">
        <f t="shared" si="155"/>
        <v>N/A</v>
      </c>
      <c r="P3268" t="str">
        <f>VLOOKUP(E3268,calculated_fields!$F$4:$G$6,2,FALSE)</f>
        <v>Economy</v>
      </c>
    </row>
    <row r="3269" spans="1:16">
      <c r="A3269" t="s">
        <v>4480</v>
      </c>
      <c r="B3269" t="s">
        <v>4444</v>
      </c>
      <c r="C3269" t="s">
        <v>80</v>
      </c>
      <c r="D3269">
        <v>1997</v>
      </c>
      <c r="E3269" t="s">
        <v>15</v>
      </c>
      <c r="F3269" t="s">
        <v>16</v>
      </c>
      <c r="G3269" t="s">
        <v>17</v>
      </c>
      <c r="H3269" t="s">
        <v>18</v>
      </c>
      <c r="I3269">
        <v>78.03</v>
      </c>
      <c r="J3269" t="s">
        <v>19</v>
      </c>
      <c r="K3269" t="s">
        <v>4481</v>
      </c>
      <c r="L3269" t="s">
        <v>21</v>
      </c>
      <c r="M3269" t="str">
        <f t="shared" si="153"/>
        <v>OK</v>
      </c>
      <c r="N3269" t="str">
        <f t="shared" si="154"/>
        <v>1990s</v>
      </c>
      <c r="O3269" t="str">
        <f t="shared" si="155"/>
        <v>High</v>
      </c>
      <c r="P3269" t="str">
        <f>VLOOKUP(E3269,calculated_fields!$F$4:$G$6,2,FALSE)</f>
        <v>Health</v>
      </c>
    </row>
    <row r="3270" spans="1:16">
      <c r="A3270" t="s">
        <v>4482</v>
      </c>
      <c r="B3270" t="s">
        <v>4444</v>
      </c>
      <c r="C3270" t="s">
        <v>80</v>
      </c>
      <c r="D3270">
        <v>1997</v>
      </c>
      <c r="E3270" t="s">
        <v>23</v>
      </c>
      <c r="F3270" t="s">
        <v>24</v>
      </c>
      <c r="G3270" t="s">
        <v>25</v>
      </c>
      <c r="H3270" t="s">
        <v>26</v>
      </c>
      <c r="I3270">
        <v>15604464</v>
      </c>
      <c r="J3270" t="s">
        <v>27</v>
      </c>
      <c r="K3270" t="s">
        <v>4481</v>
      </c>
      <c r="L3270" t="s">
        <v>21</v>
      </c>
      <c r="M3270" t="str">
        <f t="shared" si="153"/>
        <v>OK</v>
      </c>
      <c r="N3270" t="str">
        <f t="shared" si="154"/>
        <v>1990s</v>
      </c>
      <c r="O3270" t="str">
        <f t="shared" si="155"/>
        <v>N/A</v>
      </c>
      <c r="P3270" t="str">
        <f>VLOOKUP(E3270,calculated_fields!$F$4:$G$6,2,FALSE)</f>
        <v>Demographics</v>
      </c>
    </row>
    <row r="3271" spans="1:16">
      <c r="A3271" t="s">
        <v>4483</v>
      </c>
      <c r="B3271" t="s">
        <v>4444</v>
      </c>
      <c r="C3271" t="s">
        <v>80</v>
      </c>
      <c r="D3271">
        <v>1997</v>
      </c>
      <c r="E3271" t="s">
        <v>29</v>
      </c>
      <c r="F3271" t="s">
        <v>30</v>
      </c>
      <c r="G3271" t="s">
        <v>31</v>
      </c>
      <c r="H3271" t="s">
        <v>32</v>
      </c>
      <c r="I3271">
        <v>30246.13063</v>
      </c>
      <c r="J3271" t="s">
        <v>33</v>
      </c>
      <c r="K3271" t="s">
        <v>4481</v>
      </c>
      <c r="L3271" t="s">
        <v>21</v>
      </c>
      <c r="M3271" t="str">
        <f t="shared" si="153"/>
        <v>OK</v>
      </c>
      <c r="N3271" t="str">
        <f t="shared" si="154"/>
        <v>1990s</v>
      </c>
      <c r="O3271" t="str">
        <f t="shared" si="155"/>
        <v>N/A</v>
      </c>
      <c r="P3271" t="str">
        <f>VLOOKUP(E3271,calculated_fields!$F$4:$G$6,2,FALSE)</f>
        <v>Economy</v>
      </c>
    </row>
    <row r="3272" spans="1:16">
      <c r="A3272" t="s">
        <v>4484</v>
      </c>
      <c r="B3272" t="s">
        <v>4444</v>
      </c>
      <c r="C3272" t="s">
        <v>80</v>
      </c>
      <c r="D3272">
        <v>2002</v>
      </c>
      <c r="E3272" t="s">
        <v>15</v>
      </c>
      <c r="F3272" t="s">
        <v>16</v>
      </c>
      <c r="G3272" t="s">
        <v>17</v>
      </c>
      <c r="H3272" t="s">
        <v>18</v>
      </c>
      <c r="I3272">
        <v>78.53</v>
      </c>
      <c r="J3272" t="s">
        <v>19</v>
      </c>
      <c r="K3272" t="s">
        <v>4485</v>
      </c>
      <c r="L3272" t="s">
        <v>21</v>
      </c>
      <c r="M3272" t="str">
        <f t="shared" si="153"/>
        <v>OK</v>
      </c>
      <c r="N3272" t="str">
        <f t="shared" si="154"/>
        <v>2000s</v>
      </c>
      <c r="O3272" t="str">
        <f t="shared" si="155"/>
        <v>High</v>
      </c>
      <c r="P3272" t="str">
        <f>VLOOKUP(E3272,calculated_fields!$F$4:$G$6,2,FALSE)</f>
        <v>Health</v>
      </c>
    </row>
    <row r="3273" spans="1:16">
      <c r="A3273" t="s">
        <v>4486</v>
      </c>
      <c r="B3273" t="s">
        <v>4444</v>
      </c>
      <c r="C3273" t="s">
        <v>80</v>
      </c>
      <c r="D3273">
        <v>2002</v>
      </c>
      <c r="E3273" t="s">
        <v>23</v>
      </c>
      <c r="F3273" t="s">
        <v>24</v>
      </c>
      <c r="G3273" t="s">
        <v>25</v>
      </c>
      <c r="H3273" t="s">
        <v>26</v>
      </c>
      <c r="I3273">
        <v>16122830</v>
      </c>
      <c r="J3273" t="s">
        <v>27</v>
      </c>
      <c r="K3273" t="s">
        <v>4485</v>
      </c>
      <c r="L3273" t="s">
        <v>21</v>
      </c>
      <c r="M3273" t="str">
        <f t="shared" si="153"/>
        <v>OK</v>
      </c>
      <c r="N3273" t="str">
        <f t="shared" si="154"/>
        <v>2000s</v>
      </c>
      <c r="O3273" t="str">
        <f t="shared" si="155"/>
        <v>N/A</v>
      </c>
      <c r="P3273" t="str">
        <f>VLOOKUP(E3273,calculated_fields!$F$4:$G$6,2,FALSE)</f>
        <v>Demographics</v>
      </c>
    </row>
    <row r="3274" spans="1:16">
      <c r="A3274" t="s">
        <v>4487</v>
      </c>
      <c r="B3274" t="s">
        <v>4444</v>
      </c>
      <c r="C3274" t="s">
        <v>80</v>
      </c>
      <c r="D3274">
        <v>2002</v>
      </c>
      <c r="E3274" t="s">
        <v>29</v>
      </c>
      <c r="F3274" t="s">
        <v>30</v>
      </c>
      <c r="G3274" t="s">
        <v>31</v>
      </c>
      <c r="H3274" t="s">
        <v>32</v>
      </c>
      <c r="I3274">
        <v>33724.75778</v>
      </c>
      <c r="J3274" t="s">
        <v>33</v>
      </c>
      <c r="K3274" t="s">
        <v>4485</v>
      </c>
      <c r="L3274" t="s">
        <v>21</v>
      </c>
      <c r="M3274" t="str">
        <f t="shared" si="153"/>
        <v>OK</v>
      </c>
      <c r="N3274" t="str">
        <f t="shared" si="154"/>
        <v>2000s</v>
      </c>
      <c r="O3274" t="str">
        <f t="shared" si="155"/>
        <v>N/A</v>
      </c>
      <c r="P3274" t="str">
        <f>VLOOKUP(E3274,calculated_fields!$F$4:$G$6,2,FALSE)</f>
        <v>Economy</v>
      </c>
    </row>
    <row r="3275" spans="1:16">
      <c r="A3275" t="s">
        <v>4488</v>
      </c>
      <c r="B3275" t="s">
        <v>4444</v>
      </c>
      <c r="C3275" t="s">
        <v>80</v>
      </c>
      <c r="D3275">
        <v>2007</v>
      </c>
      <c r="E3275" t="s">
        <v>15</v>
      </c>
      <c r="F3275" t="s">
        <v>16</v>
      </c>
      <c r="G3275" t="s">
        <v>17</v>
      </c>
      <c r="H3275" t="s">
        <v>18</v>
      </c>
      <c r="I3275">
        <v>79.762</v>
      </c>
      <c r="J3275" t="s">
        <v>19</v>
      </c>
      <c r="K3275" t="s">
        <v>4489</v>
      </c>
      <c r="L3275" t="s">
        <v>21</v>
      </c>
      <c r="M3275" t="str">
        <f t="shared" si="153"/>
        <v>OK</v>
      </c>
      <c r="N3275" t="str">
        <f t="shared" si="154"/>
        <v>2000s</v>
      </c>
      <c r="O3275" t="str">
        <f t="shared" si="155"/>
        <v>High</v>
      </c>
      <c r="P3275" t="str">
        <f>VLOOKUP(E3275,calculated_fields!$F$4:$G$6,2,FALSE)</f>
        <v>Health</v>
      </c>
    </row>
    <row r="3276" spans="1:16">
      <c r="A3276" t="s">
        <v>4490</v>
      </c>
      <c r="B3276" t="s">
        <v>4444</v>
      </c>
      <c r="C3276" t="s">
        <v>80</v>
      </c>
      <c r="D3276">
        <v>2007</v>
      </c>
      <c r="E3276" t="s">
        <v>23</v>
      </c>
      <c r="F3276" t="s">
        <v>24</v>
      </c>
      <c r="G3276" t="s">
        <v>25</v>
      </c>
      <c r="H3276" t="s">
        <v>26</v>
      </c>
      <c r="I3276">
        <v>16570613</v>
      </c>
      <c r="J3276" t="s">
        <v>27</v>
      </c>
      <c r="K3276" t="s">
        <v>4489</v>
      </c>
      <c r="L3276" t="s">
        <v>21</v>
      </c>
      <c r="M3276" t="str">
        <f t="shared" si="153"/>
        <v>OK</v>
      </c>
      <c r="N3276" t="str">
        <f t="shared" si="154"/>
        <v>2000s</v>
      </c>
      <c r="O3276" t="str">
        <f t="shared" si="155"/>
        <v>N/A</v>
      </c>
      <c r="P3276" t="str">
        <f>VLOOKUP(E3276,calculated_fields!$F$4:$G$6,2,FALSE)</f>
        <v>Demographics</v>
      </c>
    </row>
    <row r="3277" spans="1:16">
      <c r="A3277" t="s">
        <v>4491</v>
      </c>
      <c r="B3277" t="s">
        <v>4444</v>
      </c>
      <c r="C3277" t="s">
        <v>80</v>
      </c>
      <c r="D3277">
        <v>2007</v>
      </c>
      <c r="E3277" t="s">
        <v>29</v>
      </c>
      <c r="F3277" t="s">
        <v>30</v>
      </c>
      <c r="G3277" t="s">
        <v>31</v>
      </c>
      <c r="H3277" t="s">
        <v>32</v>
      </c>
      <c r="I3277">
        <v>36797.933319999996</v>
      </c>
      <c r="J3277" t="s">
        <v>33</v>
      </c>
      <c r="K3277" t="s">
        <v>4489</v>
      </c>
      <c r="L3277" t="s">
        <v>21</v>
      </c>
      <c r="M3277" t="str">
        <f t="shared" si="153"/>
        <v>OK</v>
      </c>
      <c r="N3277" t="str">
        <f t="shared" si="154"/>
        <v>2000s</v>
      </c>
      <c r="O3277" t="str">
        <f t="shared" si="155"/>
        <v>N/A</v>
      </c>
      <c r="P3277" t="str">
        <f>VLOOKUP(E3277,calculated_fields!$F$4:$G$6,2,FALSE)</f>
        <v>Economy</v>
      </c>
    </row>
    <row r="3278" spans="1:16">
      <c r="A3278" t="s">
        <v>4492</v>
      </c>
      <c r="B3278" t="s">
        <v>4493</v>
      </c>
      <c r="C3278" t="s">
        <v>279</v>
      </c>
      <c r="D3278">
        <v>1952</v>
      </c>
      <c r="E3278" t="s">
        <v>15</v>
      </c>
      <c r="F3278" t="s">
        <v>16</v>
      </c>
      <c r="G3278" t="s">
        <v>17</v>
      </c>
      <c r="H3278" t="s">
        <v>18</v>
      </c>
      <c r="I3278">
        <v>69.39</v>
      </c>
      <c r="J3278" t="s">
        <v>19</v>
      </c>
      <c r="K3278" t="s">
        <v>4494</v>
      </c>
      <c r="L3278" t="s">
        <v>21</v>
      </c>
      <c r="M3278" t="str">
        <f t="shared" si="153"/>
        <v>OK</v>
      </c>
      <c r="N3278" t="str">
        <f t="shared" si="154"/>
        <v>1950s</v>
      </c>
      <c r="O3278" t="str">
        <f t="shared" si="155"/>
        <v>Medium</v>
      </c>
      <c r="P3278" t="str">
        <f>VLOOKUP(E3278,calculated_fields!$F$4:$G$6,2,FALSE)</f>
        <v>Health</v>
      </c>
    </row>
    <row r="3279" spans="1:16">
      <c r="A3279" t="s">
        <v>4495</v>
      </c>
      <c r="B3279" t="s">
        <v>4493</v>
      </c>
      <c r="C3279" t="s">
        <v>279</v>
      </c>
      <c r="D3279">
        <v>1952</v>
      </c>
      <c r="E3279" t="s">
        <v>23</v>
      </c>
      <c r="F3279" t="s">
        <v>24</v>
      </c>
      <c r="G3279" t="s">
        <v>25</v>
      </c>
      <c r="H3279" t="s">
        <v>26</v>
      </c>
      <c r="I3279">
        <v>1994794</v>
      </c>
      <c r="J3279" t="s">
        <v>27</v>
      </c>
      <c r="K3279" t="s">
        <v>4494</v>
      </c>
      <c r="L3279" t="s">
        <v>21</v>
      </c>
      <c r="M3279" t="str">
        <f t="shared" si="153"/>
        <v>OK</v>
      </c>
      <c r="N3279" t="str">
        <f t="shared" si="154"/>
        <v>1950s</v>
      </c>
      <c r="O3279" t="str">
        <f t="shared" si="155"/>
        <v>N/A</v>
      </c>
      <c r="P3279" t="str">
        <f>VLOOKUP(E3279,calculated_fields!$F$4:$G$6,2,FALSE)</f>
        <v>Demographics</v>
      </c>
    </row>
    <row r="3280" spans="1:16">
      <c r="A3280" t="s">
        <v>4496</v>
      </c>
      <c r="B3280" t="s">
        <v>4493</v>
      </c>
      <c r="C3280" t="s">
        <v>279</v>
      </c>
      <c r="D3280">
        <v>1952</v>
      </c>
      <c r="E3280" t="s">
        <v>29</v>
      </c>
      <c r="F3280" t="s">
        <v>30</v>
      </c>
      <c r="G3280" t="s">
        <v>31</v>
      </c>
      <c r="H3280" t="s">
        <v>32</v>
      </c>
      <c r="I3280">
        <v>10556.57566</v>
      </c>
      <c r="J3280" t="s">
        <v>33</v>
      </c>
      <c r="K3280" t="s">
        <v>4494</v>
      </c>
      <c r="L3280" t="s">
        <v>21</v>
      </c>
      <c r="M3280" t="str">
        <f t="shared" si="153"/>
        <v>OK</v>
      </c>
      <c r="N3280" t="str">
        <f t="shared" si="154"/>
        <v>1950s</v>
      </c>
      <c r="O3280" t="str">
        <f t="shared" si="155"/>
        <v>N/A</v>
      </c>
      <c r="P3280" t="str">
        <f>VLOOKUP(E3280,calculated_fields!$F$4:$G$6,2,FALSE)</f>
        <v>Economy</v>
      </c>
    </row>
    <row r="3281" spans="1:16">
      <c r="A3281" t="s">
        <v>4497</v>
      </c>
      <c r="B3281" t="s">
        <v>4493</v>
      </c>
      <c r="C3281" t="s">
        <v>279</v>
      </c>
      <c r="D3281">
        <v>1957</v>
      </c>
      <c r="E3281" t="s">
        <v>15</v>
      </c>
      <c r="F3281" t="s">
        <v>16</v>
      </c>
      <c r="G3281" t="s">
        <v>17</v>
      </c>
      <c r="H3281" t="s">
        <v>18</v>
      </c>
      <c r="I3281">
        <v>70.260000000000005</v>
      </c>
      <c r="J3281" t="s">
        <v>19</v>
      </c>
      <c r="K3281" t="s">
        <v>4498</v>
      </c>
      <c r="L3281" t="s">
        <v>21</v>
      </c>
      <c r="M3281" t="str">
        <f t="shared" si="153"/>
        <v>OK</v>
      </c>
      <c r="N3281" t="str">
        <f t="shared" si="154"/>
        <v>1950s</v>
      </c>
      <c r="O3281" t="str">
        <f t="shared" si="155"/>
        <v>High</v>
      </c>
      <c r="P3281" t="str">
        <f>VLOOKUP(E3281,calculated_fields!$F$4:$G$6,2,FALSE)</f>
        <v>Health</v>
      </c>
    </row>
    <row r="3282" spans="1:16">
      <c r="A3282" t="s">
        <v>4499</v>
      </c>
      <c r="B3282" t="s">
        <v>4493</v>
      </c>
      <c r="C3282" t="s">
        <v>279</v>
      </c>
      <c r="D3282">
        <v>1957</v>
      </c>
      <c r="E3282" t="s">
        <v>23</v>
      </c>
      <c r="F3282" t="s">
        <v>24</v>
      </c>
      <c r="G3282" t="s">
        <v>25</v>
      </c>
      <c r="H3282" t="s">
        <v>26</v>
      </c>
      <c r="I3282">
        <v>2229407</v>
      </c>
      <c r="J3282" t="s">
        <v>27</v>
      </c>
      <c r="K3282" t="s">
        <v>4498</v>
      </c>
      <c r="L3282" t="s">
        <v>21</v>
      </c>
      <c r="M3282" t="str">
        <f t="shared" si="153"/>
        <v>OK</v>
      </c>
      <c r="N3282" t="str">
        <f t="shared" si="154"/>
        <v>1950s</v>
      </c>
      <c r="O3282" t="str">
        <f t="shared" si="155"/>
        <v>N/A</v>
      </c>
      <c r="P3282" t="str">
        <f>VLOOKUP(E3282,calculated_fields!$F$4:$G$6,2,FALSE)</f>
        <v>Demographics</v>
      </c>
    </row>
    <row r="3283" spans="1:16">
      <c r="A3283" t="s">
        <v>4500</v>
      </c>
      <c r="B3283" t="s">
        <v>4493</v>
      </c>
      <c r="C3283" t="s">
        <v>279</v>
      </c>
      <c r="D3283">
        <v>1957</v>
      </c>
      <c r="E3283" t="s">
        <v>29</v>
      </c>
      <c r="F3283" t="s">
        <v>30</v>
      </c>
      <c r="G3283" t="s">
        <v>31</v>
      </c>
      <c r="H3283" t="s">
        <v>32</v>
      </c>
      <c r="I3283">
        <v>12247.39532</v>
      </c>
      <c r="J3283" t="s">
        <v>33</v>
      </c>
      <c r="K3283" t="s">
        <v>4498</v>
      </c>
      <c r="L3283" t="s">
        <v>21</v>
      </c>
      <c r="M3283" t="str">
        <f t="shared" si="153"/>
        <v>OK</v>
      </c>
      <c r="N3283" t="str">
        <f t="shared" si="154"/>
        <v>1950s</v>
      </c>
      <c r="O3283" t="str">
        <f t="shared" si="155"/>
        <v>N/A</v>
      </c>
      <c r="P3283" t="str">
        <f>VLOOKUP(E3283,calculated_fields!$F$4:$G$6,2,FALSE)</f>
        <v>Economy</v>
      </c>
    </row>
    <row r="3284" spans="1:16">
      <c r="A3284" t="s">
        <v>4501</v>
      </c>
      <c r="B3284" t="s">
        <v>4493</v>
      </c>
      <c r="C3284" t="s">
        <v>279</v>
      </c>
      <c r="D3284">
        <v>1962</v>
      </c>
      <c r="E3284" t="s">
        <v>15</v>
      </c>
      <c r="F3284" t="s">
        <v>16</v>
      </c>
      <c r="G3284" t="s">
        <v>17</v>
      </c>
      <c r="H3284" t="s">
        <v>18</v>
      </c>
      <c r="I3284">
        <v>71.239999999999995</v>
      </c>
      <c r="J3284" t="s">
        <v>19</v>
      </c>
      <c r="K3284" t="s">
        <v>4502</v>
      </c>
      <c r="L3284" t="s">
        <v>21</v>
      </c>
      <c r="M3284" t="str">
        <f t="shared" si="153"/>
        <v>OK</v>
      </c>
      <c r="N3284" t="str">
        <f t="shared" si="154"/>
        <v>1960s</v>
      </c>
      <c r="O3284" t="str">
        <f t="shared" si="155"/>
        <v>High</v>
      </c>
      <c r="P3284" t="str">
        <f>VLOOKUP(E3284,calculated_fields!$F$4:$G$6,2,FALSE)</f>
        <v>Health</v>
      </c>
    </row>
    <row r="3285" spans="1:16">
      <c r="A3285" t="s">
        <v>4503</v>
      </c>
      <c r="B3285" t="s">
        <v>4493</v>
      </c>
      <c r="C3285" t="s">
        <v>279</v>
      </c>
      <c r="D3285">
        <v>1962</v>
      </c>
      <c r="E3285" t="s">
        <v>23</v>
      </c>
      <c r="F3285" t="s">
        <v>24</v>
      </c>
      <c r="G3285" t="s">
        <v>25</v>
      </c>
      <c r="H3285" t="s">
        <v>26</v>
      </c>
      <c r="I3285">
        <v>2488550</v>
      </c>
      <c r="J3285" t="s">
        <v>27</v>
      </c>
      <c r="K3285" t="s">
        <v>4502</v>
      </c>
      <c r="L3285" t="s">
        <v>21</v>
      </c>
      <c r="M3285" t="str">
        <f t="shared" si="153"/>
        <v>OK</v>
      </c>
      <c r="N3285" t="str">
        <f t="shared" si="154"/>
        <v>1960s</v>
      </c>
      <c r="O3285" t="str">
        <f t="shared" si="155"/>
        <v>N/A</v>
      </c>
      <c r="P3285" t="str">
        <f>VLOOKUP(E3285,calculated_fields!$F$4:$G$6,2,FALSE)</f>
        <v>Demographics</v>
      </c>
    </row>
    <row r="3286" spans="1:16">
      <c r="A3286" t="s">
        <v>4504</v>
      </c>
      <c r="B3286" t="s">
        <v>4493</v>
      </c>
      <c r="C3286" t="s">
        <v>279</v>
      </c>
      <c r="D3286">
        <v>1962</v>
      </c>
      <c r="E3286" t="s">
        <v>29</v>
      </c>
      <c r="F3286" t="s">
        <v>30</v>
      </c>
      <c r="G3286" t="s">
        <v>31</v>
      </c>
      <c r="H3286" t="s">
        <v>32</v>
      </c>
      <c r="I3286">
        <v>13175.678</v>
      </c>
      <c r="J3286" t="s">
        <v>33</v>
      </c>
      <c r="K3286" t="s">
        <v>4502</v>
      </c>
      <c r="L3286" t="s">
        <v>21</v>
      </c>
      <c r="M3286" t="str">
        <f t="shared" si="153"/>
        <v>OK</v>
      </c>
      <c r="N3286" t="str">
        <f t="shared" si="154"/>
        <v>1960s</v>
      </c>
      <c r="O3286" t="str">
        <f t="shared" si="155"/>
        <v>N/A</v>
      </c>
      <c r="P3286" t="str">
        <f>VLOOKUP(E3286,calculated_fields!$F$4:$G$6,2,FALSE)</f>
        <v>Economy</v>
      </c>
    </row>
    <row r="3287" spans="1:16">
      <c r="A3287" t="s">
        <v>4505</v>
      </c>
      <c r="B3287" t="s">
        <v>4493</v>
      </c>
      <c r="C3287" t="s">
        <v>279</v>
      </c>
      <c r="D3287">
        <v>1967</v>
      </c>
      <c r="E3287" t="s">
        <v>15</v>
      </c>
      <c r="F3287" t="s">
        <v>16</v>
      </c>
      <c r="G3287" t="s">
        <v>17</v>
      </c>
      <c r="H3287" t="s">
        <v>18</v>
      </c>
      <c r="I3287">
        <v>71.52</v>
      </c>
      <c r="J3287" t="s">
        <v>19</v>
      </c>
      <c r="K3287" t="s">
        <v>4506</v>
      </c>
      <c r="L3287" t="s">
        <v>21</v>
      </c>
      <c r="M3287" t="str">
        <f t="shared" si="153"/>
        <v>OK</v>
      </c>
      <c r="N3287" t="str">
        <f t="shared" si="154"/>
        <v>1960s</v>
      </c>
      <c r="O3287" t="str">
        <f t="shared" si="155"/>
        <v>High</v>
      </c>
      <c r="P3287" t="str">
        <f>VLOOKUP(E3287,calculated_fields!$F$4:$G$6,2,FALSE)</f>
        <v>Health</v>
      </c>
    </row>
    <row r="3288" spans="1:16">
      <c r="A3288" t="s">
        <v>4507</v>
      </c>
      <c r="B3288" t="s">
        <v>4493</v>
      </c>
      <c r="C3288" t="s">
        <v>279</v>
      </c>
      <c r="D3288">
        <v>1967</v>
      </c>
      <c r="E3288" t="s">
        <v>23</v>
      </c>
      <c r="F3288" t="s">
        <v>24</v>
      </c>
      <c r="G3288" t="s">
        <v>25</v>
      </c>
      <c r="H3288" t="s">
        <v>26</v>
      </c>
      <c r="I3288">
        <v>2728150</v>
      </c>
      <c r="J3288" t="s">
        <v>27</v>
      </c>
      <c r="K3288" t="s">
        <v>4506</v>
      </c>
      <c r="L3288" t="s">
        <v>21</v>
      </c>
      <c r="M3288" t="str">
        <f t="shared" si="153"/>
        <v>OK</v>
      </c>
      <c r="N3288" t="str">
        <f t="shared" si="154"/>
        <v>1960s</v>
      </c>
      <c r="O3288" t="str">
        <f t="shared" si="155"/>
        <v>N/A</v>
      </c>
      <c r="P3288" t="str">
        <f>VLOOKUP(E3288,calculated_fields!$F$4:$G$6,2,FALSE)</f>
        <v>Demographics</v>
      </c>
    </row>
    <row r="3289" spans="1:16">
      <c r="A3289" t="s">
        <v>4508</v>
      </c>
      <c r="B3289" t="s">
        <v>4493</v>
      </c>
      <c r="C3289" t="s">
        <v>279</v>
      </c>
      <c r="D3289">
        <v>1967</v>
      </c>
      <c r="E3289" t="s">
        <v>29</v>
      </c>
      <c r="F3289" t="s">
        <v>30</v>
      </c>
      <c r="G3289" t="s">
        <v>31</v>
      </c>
      <c r="H3289" t="s">
        <v>32</v>
      </c>
      <c r="I3289">
        <v>14463.91893</v>
      </c>
      <c r="J3289" t="s">
        <v>33</v>
      </c>
      <c r="K3289" t="s">
        <v>4506</v>
      </c>
      <c r="L3289" t="s">
        <v>21</v>
      </c>
      <c r="M3289" t="str">
        <f t="shared" si="153"/>
        <v>OK</v>
      </c>
      <c r="N3289" t="str">
        <f t="shared" si="154"/>
        <v>1960s</v>
      </c>
      <c r="O3289" t="str">
        <f t="shared" si="155"/>
        <v>N/A</v>
      </c>
      <c r="P3289" t="str">
        <f>VLOOKUP(E3289,calculated_fields!$F$4:$G$6,2,FALSE)</f>
        <v>Economy</v>
      </c>
    </row>
    <row r="3290" spans="1:16">
      <c r="A3290" t="s">
        <v>4509</v>
      </c>
      <c r="B3290" t="s">
        <v>4493</v>
      </c>
      <c r="C3290" t="s">
        <v>279</v>
      </c>
      <c r="D3290">
        <v>1972</v>
      </c>
      <c r="E3290" t="s">
        <v>15</v>
      </c>
      <c r="F3290" t="s">
        <v>16</v>
      </c>
      <c r="G3290" t="s">
        <v>17</v>
      </c>
      <c r="H3290" t="s">
        <v>18</v>
      </c>
      <c r="I3290">
        <v>71.89</v>
      </c>
      <c r="J3290" t="s">
        <v>19</v>
      </c>
      <c r="K3290" t="s">
        <v>4510</v>
      </c>
      <c r="L3290" t="s">
        <v>21</v>
      </c>
      <c r="M3290" t="str">
        <f t="shared" si="153"/>
        <v>OK</v>
      </c>
      <c r="N3290" t="str">
        <f t="shared" si="154"/>
        <v>1970s</v>
      </c>
      <c r="O3290" t="str">
        <f t="shared" si="155"/>
        <v>High</v>
      </c>
      <c r="P3290" t="str">
        <f>VLOOKUP(E3290,calculated_fields!$F$4:$G$6,2,FALSE)</f>
        <v>Health</v>
      </c>
    </row>
    <row r="3291" spans="1:16">
      <c r="A3291" t="s">
        <v>4511</v>
      </c>
      <c r="B3291" t="s">
        <v>4493</v>
      </c>
      <c r="C3291" t="s">
        <v>279</v>
      </c>
      <c r="D3291">
        <v>1972</v>
      </c>
      <c r="E3291" t="s">
        <v>23</v>
      </c>
      <c r="F3291" t="s">
        <v>24</v>
      </c>
      <c r="G3291" t="s">
        <v>25</v>
      </c>
      <c r="H3291" t="s">
        <v>26</v>
      </c>
      <c r="I3291">
        <v>2929100</v>
      </c>
      <c r="J3291" t="s">
        <v>27</v>
      </c>
      <c r="K3291" t="s">
        <v>4510</v>
      </c>
      <c r="L3291" t="s">
        <v>21</v>
      </c>
      <c r="M3291" t="str">
        <f t="shared" si="153"/>
        <v>OK</v>
      </c>
      <c r="N3291" t="str">
        <f t="shared" si="154"/>
        <v>1970s</v>
      </c>
      <c r="O3291" t="str">
        <f t="shared" si="155"/>
        <v>N/A</v>
      </c>
      <c r="P3291" t="str">
        <f>VLOOKUP(E3291,calculated_fields!$F$4:$G$6,2,FALSE)</f>
        <v>Demographics</v>
      </c>
    </row>
    <row r="3292" spans="1:16">
      <c r="A3292" t="s">
        <v>4512</v>
      </c>
      <c r="B3292" t="s">
        <v>4493</v>
      </c>
      <c r="C3292" t="s">
        <v>279</v>
      </c>
      <c r="D3292">
        <v>1972</v>
      </c>
      <c r="E3292" t="s">
        <v>29</v>
      </c>
      <c r="F3292" t="s">
        <v>30</v>
      </c>
      <c r="G3292" t="s">
        <v>31</v>
      </c>
      <c r="H3292" t="s">
        <v>32</v>
      </c>
      <c r="I3292">
        <v>16046.03728</v>
      </c>
      <c r="J3292" t="s">
        <v>33</v>
      </c>
      <c r="K3292" t="s">
        <v>4510</v>
      </c>
      <c r="L3292" t="s">
        <v>21</v>
      </c>
      <c r="M3292" t="str">
        <f t="shared" si="153"/>
        <v>OK</v>
      </c>
      <c r="N3292" t="str">
        <f t="shared" si="154"/>
        <v>1970s</v>
      </c>
      <c r="O3292" t="str">
        <f t="shared" si="155"/>
        <v>N/A</v>
      </c>
      <c r="P3292" t="str">
        <f>VLOOKUP(E3292,calculated_fields!$F$4:$G$6,2,FALSE)</f>
        <v>Economy</v>
      </c>
    </row>
    <row r="3293" spans="1:16">
      <c r="A3293" t="s">
        <v>4513</v>
      </c>
      <c r="B3293" t="s">
        <v>4493</v>
      </c>
      <c r="C3293" t="s">
        <v>279</v>
      </c>
      <c r="D3293">
        <v>1977</v>
      </c>
      <c r="E3293" t="s">
        <v>15</v>
      </c>
      <c r="F3293" t="s">
        <v>16</v>
      </c>
      <c r="G3293" t="s">
        <v>17</v>
      </c>
      <c r="H3293" t="s">
        <v>18</v>
      </c>
      <c r="I3293">
        <v>72.22</v>
      </c>
      <c r="J3293" t="s">
        <v>19</v>
      </c>
      <c r="K3293" t="s">
        <v>4514</v>
      </c>
      <c r="L3293" t="s">
        <v>21</v>
      </c>
      <c r="M3293" t="str">
        <f t="shared" si="153"/>
        <v>OK</v>
      </c>
      <c r="N3293" t="str">
        <f t="shared" si="154"/>
        <v>1970s</v>
      </c>
      <c r="O3293" t="str">
        <f t="shared" si="155"/>
        <v>High</v>
      </c>
      <c r="P3293" t="str">
        <f>VLOOKUP(E3293,calculated_fields!$F$4:$G$6,2,FALSE)</f>
        <v>Health</v>
      </c>
    </row>
    <row r="3294" spans="1:16">
      <c r="A3294" t="s">
        <v>4515</v>
      </c>
      <c r="B3294" t="s">
        <v>4493</v>
      </c>
      <c r="C3294" t="s">
        <v>279</v>
      </c>
      <c r="D3294">
        <v>1977</v>
      </c>
      <c r="E3294" t="s">
        <v>23</v>
      </c>
      <c r="F3294" t="s">
        <v>24</v>
      </c>
      <c r="G3294" t="s">
        <v>25</v>
      </c>
      <c r="H3294" t="s">
        <v>26</v>
      </c>
      <c r="I3294">
        <v>3164900</v>
      </c>
      <c r="J3294" t="s">
        <v>27</v>
      </c>
      <c r="K3294" t="s">
        <v>4514</v>
      </c>
      <c r="L3294" t="s">
        <v>21</v>
      </c>
      <c r="M3294" t="str">
        <f t="shared" si="153"/>
        <v>OK</v>
      </c>
      <c r="N3294" t="str">
        <f t="shared" si="154"/>
        <v>1970s</v>
      </c>
      <c r="O3294" t="str">
        <f t="shared" si="155"/>
        <v>N/A</v>
      </c>
      <c r="P3294" t="str">
        <f>VLOOKUP(E3294,calculated_fields!$F$4:$G$6,2,FALSE)</f>
        <v>Demographics</v>
      </c>
    </row>
    <row r="3295" spans="1:16">
      <c r="A3295" t="s">
        <v>4516</v>
      </c>
      <c r="B3295" t="s">
        <v>4493</v>
      </c>
      <c r="C3295" t="s">
        <v>279</v>
      </c>
      <c r="D3295">
        <v>1977</v>
      </c>
      <c r="E3295" t="s">
        <v>29</v>
      </c>
      <c r="F3295" t="s">
        <v>30</v>
      </c>
      <c r="G3295" t="s">
        <v>31</v>
      </c>
      <c r="H3295" t="s">
        <v>32</v>
      </c>
      <c r="I3295">
        <v>16233.717699999999</v>
      </c>
      <c r="J3295" t="s">
        <v>33</v>
      </c>
      <c r="K3295" t="s">
        <v>4514</v>
      </c>
      <c r="L3295" t="s">
        <v>21</v>
      </c>
      <c r="M3295" t="str">
        <f t="shared" si="153"/>
        <v>OK</v>
      </c>
      <c r="N3295" t="str">
        <f t="shared" si="154"/>
        <v>1970s</v>
      </c>
      <c r="O3295" t="str">
        <f t="shared" si="155"/>
        <v>N/A</v>
      </c>
      <c r="P3295" t="str">
        <f>VLOOKUP(E3295,calculated_fields!$F$4:$G$6,2,FALSE)</f>
        <v>Economy</v>
      </c>
    </row>
    <row r="3296" spans="1:16">
      <c r="A3296" t="s">
        <v>4517</v>
      </c>
      <c r="B3296" t="s">
        <v>4493</v>
      </c>
      <c r="C3296" t="s">
        <v>279</v>
      </c>
      <c r="D3296">
        <v>1982</v>
      </c>
      <c r="E3296" t="s">
        <v>15</v>
      </c>
      <c r="F3296" t="s">
        <v>16</v>
      </c>
      <c r="G3296" t="s">
        <v>17</v>
      </c>
      <c r="H3296" t="s">
        <v>18</v>
      </c>
      <c r="I3296">
        <v>73.84</v>
      </c>
      <c r="J3296" t="s">
        <v>19</v>
      </c>
      <c r="K3296" t="s">
        <v>4518</v>
      </c>
      <c r="L3296" t="s">
        <v>21</v>
      </c>
      <c r="M3296" t="str">
        <f t="shared" si="153"/>
        <v>OK</v>
      </c>
      <c r="N3296" t="str">
        <f t="shared" si="154"/>
        <v>1980s</v>
      </c>
      <c r="O3296" t="str">
        <f t="shared" si="155"/>
        <v>High</v>
      </c>
      <c r="P3296" t="str">
        <f>VLOOKUP(E3296,calculated_fields!$F$4:$G$6,2,FALSE)</f>
        <v>Health</v>
      </c>
    </row>
    <row r="3297" spans="1:16">
      <c r="A3297" t="s">
        <v>4519</v>
      </c>
      <c r="B3297" t="s">
        <v>4493</v>
      </c>
      <c r="C3297" t="s">
        <v>279</v>
      </c>
      <c r="D3297">
        <v>1982</v>
      </c>
      <c r="E3297" t="s">
        <v>23</v>
      </c>
      <c r="F3297" t="s">
        <v>24</v>
      </c>
      <c r="G3297" t="s">
        <v>25</v>
      </c>
      <c r="H3297" t="s">
        <v>26</v>
      </c>
      <c r="I3297">
        <v>3210650</v>
      </c>
      <c r="J3297" t="s">
        <v>27</v>
      </c>
      <c r="K3297" t="s">
        <v>4518</v>
      </c>
      <c r="L3297" t="s">
        <v>21</v>
      </c>
      <c r="M3297" t="str">
        <f t="shared" si="153"/>
        <v>OK</v>
      </c>
      <c r="N3297" t="str">
        <f t="shared" si="154"/>
        <v>1980s</v>
      </c>
      <c r="O3297" t="str">
        <f t="shared" si="155"/>
        <v>N/A</v>
      </c>
      <c r="P3297" t="str">
        <f>VLOOKUP(E3297,calculated_fields!$F$4:$G$6,2,FALSE)</f>
        <v>Demographics</v>
      </c>
    </row>
    <row r="3298" spans="1:16">
      <c r="A3298" t="s">
        <v>4520</v>
      </c>
      <c r="B3298" t="s">
        <v>4493</v>
      </c>
      <c r="C3298" t="s">
        <v>279</v>
      </c>
      <c r="D3298">
        <v>1982</v>
      </c>
      <c r="E3298" t="s">
        <v>29</v>
      </c>
      <c r="F3298" t="s">
        <v>30</v>
      </c>
      <c r="G3298" t="s">
        <v>31</v>
      </c>
      <c r="H3298" t="s">
        <v>32</v>
      </c>
      <c r="I3298">
        <v>17632.410400000001</v>
      </c>
      <c r="J3298" t="s">
        <v>33</v>
      </c>
      <c r="K3298" t="s">
        <v>4518</v>
      </c>
      <c r="L3298" t="s">
        <v>21</v>
      </c>
      <c r="M3298" t="str">
        <f t="shared" si="153"/>
        <v>OK</v>
      </c>
      <c r="N3298" t="str">
        <f t="shared" si="154"/>
        <v>1980s</v>
      </c>
      <c r="O3298" t="str">
        <f t="shared" si="155"/>
        <v>N/A</v>
      </c>
      <c r="P3298" t="str">
        <f>VLOOKUP(E3298,calculated_fields!$F$4:$G$6,2,FALSE)</f>
        <v>Economy</v>
      </c>
    </row>
    <row r="3299" spans="1:16">
      <c r="A3299" t="s">
        <v>4521</v>
      </c>
      <c r="B3299" t="s">
        <v>4493</v>
      </c>
      <c r="C3299" t="s">
        <v>279</v>
      </c>
      <c r="D3299">
        <v>1987</v>
      </c>
      <c r="E3299" t="s">
        <v>15</v>
      </c>
      <c r="F3299" t="s">
        <v>16</v>
      </c>
      <c r="G3299" t="s">
        <v>17</v>
      </c>
      <c r="H3299" t="s">
        <v>18</v>
      </c>
      <c r="I3299">
        <v>74.319999999999993</v>
      </c>
      <c r="J3299" t="s">
        <v>19</v>
      </c>
      <c r="K3299" t="s">
        <v>4522</v>
      </c>
      <c r="L3299" t="s">
        <v>21</v>
      </c>
      <c r="M3299" t="str">
        <f t="shared" si="153"/>
        <v>OK</v>
      </c>
      <c r="N3299" t="str">
        <f t="shared" si="154"/>
        <v>1980s</v>
      </c>
      <c r="O3299" t="str">
        <f t="shared" si="155"/>
        <v>High</v>
      </c>
      <c r="P3299" t="str">
        <f>VLOOKUP(E3299,calculated_fields!$F$4:$G$6,2,FALSE)</f>
        <v>Health</v>
      </c>
    </row>
    <row r="3300" spans="1:16">
      <c r="A3300" t="s">
        <v>4523</v>
      </c>
      <c r="B3300" t="s">
        <v>4493</v>
      </c>
      <c r="C3300" t="s">
        <v>279</v>
      </c>
      <c r="D3300">
        <v>1987</v>
      </c>
      <c r="E3300" t="s">
        <v>23</v>
      </c>
      <c r="F3300" t="s">
        <v>24</v>
      </c>
      <c r="G3300" t="s">
        <v>25</v>
      </c>
      <c r="H3300" t="s">
        <v>26</v>
      </c>
      <c r="I3300">
        <v>3317166</v>
      </c>
      <c r="J3300" t="s">
        <v>27</v>
      </c>
      <c r="K3300" t="s">
        <v>4522</v>
      </c>
      <c r="L3300" t="s">
        <v>21</v>
      </c>
      <c r="M3300" t="str">
        <f t="shared" si="153"/>
        <v>OK</v>
      </c>
      <c r="N3300" t="str">
        <f t="shared" si="154"/>
        <v>1980s</v>
      </c>
      <c r="O3300" t="str">
        <f t="shared" si="155"/>
        <v>N/A</v>
      </c>
      <c r="P3300" t="str">
        <f>VLOOKUP(E3300,calculated_fields!$F$4:$G$6,2,FALSE)</f>
        <v>Demographics</v>
      </c>
    </row>
    <row r="3301" spans="1:16">
      <c r="A3301" t="s">
        <v>4524</v>
      </c>
      <c r="B3301" t="s">
        <v>4493</v>
      </c>
      <c r="C3301" t="s">
        <v>279</v>
      </c>
      <c r="D3301">
        <v>1987</v>
      </c>
      <c r="E3301" t="s">
        <v>29</v>
      </c>
      <c r="F3301" t="s">
        <v>30</v>
      </c>
      <c r="G3301" t="s">
        <v>31</v>
      </c>
      <c r="H3301" t="s">
        <v>32</v>
      </c>
      <c r="I3301">
        <v>19007.191289999999</v>
      </c>
      <c r="J3301" t="s">
        <v>33</v>
      </c>
      <c r="K3301" t="s">
        <v>4522</v>
      </c>
      <c r="L3301" t="s">
        <v>21</v>
      </c>
      <c r="M3301" t="str">
        <f t="shared" si="153"/>
        <v>OK</v>
      </c>
      <c r="N3301" t="str">
        <f t="shared" si="154"/>
        <v>1980s</v>
      </c>
      <c r="O3301" t="str">
        <f t="shared" si="155"/>
        <v>N/A</v>
      </c>
      <c r="P3301" t="str">
        <f>VLOOKUP(E3301,calculated_fields!$F$4:$G$6,2,FALSE)</f>
        <v>Economy</v>
      </c>
    </row>
    <row r="3302" spans="1:16">
      <c r="A3302" t="s">
        <v>4525</v>
      </c>
      <c r="B3302" t="s">
        <v>4493</v>
      </c>
      <c r="C3302" t="s">
        <v>279</v>
      </c>
      <c r="D3302">
        <v>1992</v>
      </c>
      <c r="E3302" t="s">
        <v>15</v>
      </c>
      <c r="F3302" t="s">
        <v>16</v>
      </c>
      <c r="G3302" t="s">
        <v>17</v>
      </c>
      <c r="H3302" t="s">
        <v>18</v>
      </c>
      <c r="I3302">
        <v>76.33</v>
      </c>
      <c r="J3302" t="s">
        <v>19</v>
      </c>
      <c r="K3302" t="s">
        <v>4526</v>
      </c>
      <c r="L3302" t="s">
        <v>21</v>
      </c>
      <c r="M3302" t="str">
        <f t="shared" si="153"/>
        <v>OK</v>
      </c>
      <c r="N3302" t="str">
        <f t="shared" si="154"/>
        <v>1990s</v>
      </c>
      <c r="O3302" t="str">
        <f t="shared" si="155"/>
        <v>High</v>
      </c>
      <c r="P3302" t="str">
        <f>VLOOKUP(E3302,calculated_fields!$F$4:$G$6,2,FALSE)</f>
        <v>Health</v>
      </c>
    </row>
    <row r="3303" spans="1:16">
      <c r="A3303" t="s">
        <v>4527</v>
      </c>
      <c r="B3303" t="s">
        <v>4493</v>
      </c>
      <c r="C3303" t="s">
        <v>279</v>
      </c>
      <c r="D3303">
        <v>1992</v>
      </c>
      <c r="E3303" t="s">
        <v>23</v>
      </c>
      <c r="F3303" t="s">
        <v>24</v>
      </c>
      <c r="G3303" t="s">
        <v>25</v>
      </c>
      <c r="H3303" t="s">
        <v>26</v>
      </c>
      <c r="I3303">
        <v>3437674</v>
      </c>
      <c r="J3303" t="s">
        <v>27</v>
      </c>
      <c r="K3303" t="s">
        <v>4526</v>
      </c>
      <c r="L3303" t="s">
        <v>21</v>
      </c>
      <c r="M3303" t="str">
        <f t="shared" si="153"/>
        <v>OK</v>
      </c>
      <c r="N3303" t="str">
        <f t="shared" si="154"/>
        <v>1990s</v>
      </c>
      <c r="O3303" t="str">
        <f t="shared" si="155"/>
        <v>N/A</v>
      </c>
      <c r="P3303" t="str">
        <f>VLOOKUP(E3303,calculated_fields!$F$4:$G$6,2,FALSE)</f>
        <v>Demographics</v>
      </c>
    </row>
    <row r="3304" spans="1:16">
      <c r="A3304" t="s">
        <v>4528</v>
      </c>
      <c r="B3304" t="s">
        <v>4493</v>
      </c>
      <c r="C3304" t="s">
        <v>279</v>
      </c>
      <c r="D3304">
        <v>1992</v>
      </c>
      <c r="E3304" t="s">
        <v>29</v>
      </c>
      <c r="F3304" t="s">
        <v>30</v>
      </c>
      <c r="G3304" t="s">
        <v>31</v>
      </c>
      <c r="H3304" t="s">
        <v>32</v>
      </c>
      <c r="I3304">
        <v>18363.324939999999</v>
      </c>
      <c r="J3304" t="s">
        <v>33</v>
      </c>
      <c r="K3304" t="s">
        <v>4526</v>
      </c>
      <c r="L3304" t="s">
        <v>21</v>
      </c>
      <c r="M3304" t="str">
        <f t="shared" si="153"/>
        <v>OK</v>
      </c>
      <c r="N3304" t="str">
        <f t="shared" si="154"/>
        <v>1990s</v>
      </c>
      <c r="O3304" t="str">
        <f t="shared" si="155"/>
        <v>N/A</v>
      </c>
      <c r="P3304" t="str">
        <f>VLOOKUP(E3304,calculated_fields!$F$4:$G$6,2,FALSE)</f>
        <v>Economy</v>
      </c>
    </row>
    <row r="3305" spans="1:16">
      <c r="A3305" t="s">
        <v>4529</v>
      </c>
      <c r="B3305" t="s">
        <v>4493</v>
      </c>
      <c r="C3305" t="s">
        <v>279</v>
      </c>
      <c r="D3305">
        <v>1997</v>
      </c>
      <c r="E3305" t="s">
        <v>15</v>
      </c>
      <c r="F3305" t="s">
        <v>16</v>
      </c>
      <c r="G3305" t="s">
        <v>17</v>
      </c>
      <c r="H3305" t="s">
        <v>18</v>
      </c>
      <c r="I3305">
        <v>77.55</v>
      </c>
      <c r="J3305" t="s">
        <v>19</v>
      </c>
      <c r="K3305" t="s">
        <v>4530</v>
      </c>
      <c r="L3305" t="s">
        <v>21</v>
      </c>
      <c r="M3305" t="str">
        <f t="shared" si="153"/>
        <v>OK</v>
      </c>
      <c r="N3305" t="str">
        <f t="shared" si="154"/>
        <v>1990s</v>
      </c>
      <c r="O3305" t="str">
        <f t="shared" si="155"/>
        <v>High</v>
      </c>
      <c r="P3305" t="str">
        <f>VLOOKUP(E3305,calculated_fields!$F$4:$G$6,2,FALSE)</f>
        <v>Health</v>
      </c>
    </row>
    <row r="3306" spans="1:16">
      <c r="A3306" t="s">
        <v>4531</v>
      </c>
      <c r="B3306" t="s">
        <v>4493</v>
      </c>
      <c r="C3306" t="s">
        <v>279</v>
      </c>
      <c r="D3306">
        <v>1997</v>
      </c>
      <c r="E3306" t="s">
        <v>23</v>
      </c>
      <c r="F3306" t="s">
        <v>24</v>
      </c>
      <c r="G3306" t="s">
        <v>25</v>
      </c>
      <c r="H3306" t="s">
        <v>26</v>
      </c>
      <c r="I3306">
        <v>3676187</v>
      </c>
      <c r="J3306" t="s">
        <v>27</v>
      </c>
      <c r="K3306" t="s">
        <v>4530</v>
      </c>
      <c r="L3306" t="s">
        <v>21</v>
      </c>
      <c r="M3306" t="str">
        <f t="shared" si="153"/>
        <v>OK</v>
      </c>
      <c r="N3306" t="str">
        <f t="shared" si="154"/>
        <v>1990s</v>
      </c>
      <c r="O3306" t="str">
        <f t="shared" si="155"/>
        <v>N/A</v>
      </c>
      <c r="P3306" t="str">
        <f>VLOOKUP(E3306,calculated_fields!$F$4:$G$6,2,FALSE)</f>
        <v>Demographics</v>
      </c>
    </row>
    <row r="3307" spans="1:16">
      <c r="A3307" t="s">
        <v>4532</v>
      </c>
      <c r="B3307" t="s">
        <v>4493</v>
      </c>
      <c r="C3307" t="s">
        <v>279</v>
      </c>
      <c r="D3307">
        <v>1997</v>
      </c>
      <c r="E3307" t="s">
        <v>29</v>
      </c>
      <c r="F3307" t="s">
        <v>30</v>
      </c>
      <c r="G3307" t="s">
        <v>31</v>
      </c>
      <c r="H3307" t="s">
        <v>32</v>
      </c>
      <c r="I3307">
        <v>21050.413769999999</v>
      </c>
      <c r="J3307" t="s">
        <v>33</v>
      </c>
      <c r="K3307" t="s">
        <v>4530</v>
      </c>
      <c r="L3307" t="s">
        <v>21</v>
      </c>
      <c r="M3307" t="str">
        <f t="shared" si="153"/>
        <v>OK</v>
      </c>
      <c r="N3307" t="str">
        <f t="shared" si="154"/>
        <v>1990s</v>
      </c>
      <c r="O3307" t="str">
        <f t="shared" si="155"/>
        <v>N/A</v>
      </c>
      <c r="P3307" t="str">
        <f>VLOOKUP(E3307,calculated_fields!$F$4:$G$6,2,FALSE)</f>
        <v>Economy</v>
      </c>
    </row>
    <row r="3308" spans="1:16">
      <c r="A3308" t="s">
        <v>4533</v>
      </c>
      <c r="B3308" t="s">
        <v>4493</v>
      </c>
      <c r="C3308" t="s">
        <v>279</v>
      </c>
      <c r="D3308">
        <v>2002</v>
      </c>
      <c r="E3308" t="s">
        <v>15</v>
      </c>
      <c r="F3308" t="s">
        <v>16</v>
      </c>
      <c r="G3308" t="s">
        <v>17</v>
      </c>
      <c r="H3308" t="s">
        <v>18</v>
      </c>
      <c r="I3308">
        <v>79.11</v>
      </c>
      <c r="J3308" t="s">
        <v>19</v>
      </c>
      <c r="K3308" t="s">
        <v>4534</v>
      </c>
      <c r="L3308" t="s">
        <v>21</v>
      </c>
      <c r="M3308" t="str">
        <f t="shared" si="153"/>
        <v>OK</v>
      </c>
      <c r="N3308" t="str">
        <f t="shared" si="154"/>
        <v>2000s</v>
      </c>
      <c r="O3308" t="str">
        <f t="shared" si="155"/>
        <v>High</v>
      </c>
      <c r="P3308" t="str">
        <f>VLOOKUP(E3308,calculated_fields!$F$4:$G$6,2,FALSE)</f>
        <v>Health</v>
      </c>
    </row>
    <row r="3309" spans="1:16">
      <c r="A3309" t="s">
        <v>4535</v>
      </c>
      <c r="B3309" t="s">
        <v>4493</v>
      </c>
      <c r="C3309" t="s">
        <v>279</v>
      </c>
      <c r="D3309">
        <v>2002</v>
      </c>
      <c r="E3309" t="s">
        <v>23</v>
      </c>
      <c r="F3309" t="s">
        <v>24</v>
      </c>
      <c r="G3309" t="s">
        <v>25</v>
      </c>
      <c r="H3309" t="s">
        <v>26</v>
      </c>
      <c r="I3309">
        <v>3908037</v>
      </c>
      <c r="J3309" t="s">
        <v>27</v>
      </c>
      <c r="K3309" t="s">
        <v>4534</v>
      </c>
      <c r="L3309" t="s">
        <v>21</v>
      </c>
      <c r="M3309" t="str">
        <f t="shared" si="153"/>
        <v>OK</v>
      </c>
      <c r="N3309" t="str">
        <f t="shared" si="154"/>
        <v>2000s</v>
      </c>
      <c r="O3309" t="str">
        <f t="shared" si="155"/>
        <v>N/A</v>
      </c>
      <c r="P3309" t="str">
        <f>VLOOKUP(E3309,calculated_fields!$F$4:$G$6,2,FALSE)</f>
        <v>Demographics</v>
      </c>
    </row>
    <row r="3310" spans="1:16">
      <c r="A3310" t="s">
        <v>4536</v>
      </c>
      <c r="B3310" t="s">
        <v>4493</v>
      </c>
      <c r="C3310" t="s">
        <v>279</v>
      </c>
      <c r="D3310">
        <v>2002</v>
      </c>
      <c r="E3310" t="s">
        <v>29</v>
      </c>
      <c r="F3310" t="s">
        <v>30</v>
      </c>
      <c r="G3310" t="s">
        <v>31</v>
      </c>
      <c r="H3310" t="s">
        <v>32</v>
      </c>
      <c r="I3310">
        <v>23189.801350000002</v>
      </c>
      <c r="J3310" t="s">
        <v>33</v>
      </c>
      <c r="K3310" t="s">
        <v>4534</v>
      </c>
      <c r="L3310" t="s">
        <v>21</v>
      </c>
      <c r="M3310" t="str">
        <f t="shared" si="153"/>
        <v>OK</v>
      </c>
      <c r="N3310" t="str">
        <f t="shared" si="154"/>
        <v>2000s</v>
      </c>
      <c r="O3310" t="str">
        <f t="shared" si="155"/>
        <v>N/A</v>
      </c>
      <c r="P3310" t="str">
        <f>VLOOKUP(E3310,calculated_fields!$F$4:$G$6,2,FALSE)</f>
        <v>Economy</v>
      </c>
    </row>
    <row r="3311" spans="1:16">
      <c r="A3311" t="s">
        <v>4537</v>
      </c>
      <c r="B3311" t="s">
        <v>4493</v>
      </c>
      <c r="C3311" t="s">
        <v>279</v>
      </c>
      <c r="D3311">
        <v>2007</v>
      </c>
      <c r="E3311" t="s">
        <v>15</v>
      </c>
      <c r="F3311" t="s">
        <v>16</v>
      </c>
      <c r="G3311" t="s">
        <v>17</v>
      </c>
      <c r="H3311" t="s">
        <v>18</v>
      </c>
      <c r="I3311">
        <v>80.203999999999994</v>
      </c>
      <c r="J3311" t="s">
        <v>19</v>
      </c>
      <c r="K3311" t="s">
        <v>4538</v>
      </c>
      <c r="L3311" t="s">
        <v>21</v>
      </c>
      <c r="M3311" t="str">
        <f t="shared" si="153"/>
        <v>OK</v>
      </c>
      <c r="N3311" t="str">
        <f t="shared" si="154"/>
        <v>2000s</v>
      </c>
      <c r="O3311" t="str">
        <f t="shared" si="155"/>
        <v>High</v>
      </c>
      <c r="P3311" t="str">
        <f>VLOOKUP(E3311,calculated_fields!$F$4:$G$6,2,FALSE)</f>
        <v>Health</v>
      </c>
    </row>
    <row r="3312" spans="1:16">
      <c r="A3312" t="s">
        <v>4539</v>
      </c>
      <c r="B3312" t="s">
        <v>4493</v>
      </c>
      <c r="C3312" t="s">
        <v>279</v>
      </c>
      <c r="D3312">
        <v>2007</v>
      </c>
      <c r="E3312" t="s">
        <v>23</v>
      </c>
      <c r="F3312" t="s">
        <v>24</v>
      </c>
      <c r="G3312" t="s">
        <v>25</v>
      </c>
      <c r="H3312" t="s">
        <v>26</v>
      </c>
      <c r="I3312">
        <v>4115771</v>
      </c>
      <c r="J3312" t="s">
        <v>27</v>
      </c>
      <c r="K3312" t="s">
        <v>4538</v>
      </c>
      <c r="L3312" t="s">
        <v>21</v>
      </c>
      <c r="M3312" t="str">
        <f t="shared" si="153"/>
        <v>OK</v>
      </c>
      <c r="N3312" t="str">
        <f t="shared" si="154"/>
        <v>2000s</v>
      </c>
      <c r="O3312" t="str">
        <f t="shared" si="155"/>
        <v>N/A</v>
      </c>
      <c r="P3312" t="str">
        <f>VLOOKUP(E3312,calculated_fields!$F$4:$G$6,2,FALSE)</f>
        <v>Demographics</v>
      </c>
    </row>
    <row r="3313" spans="1:16">
      <c r="A3313" t="s">
        <v>4540</v>
      </c>
      <c r="B3313" t="s">
        <v>4493</v>
      </c>
      <c r="C3313" t="s">
        <v>279</v>
      </c>
      <c r="D3313">
        <v>2007</v>
      </c>
      <c r="E3313" t="s">
        <v>29</v>
      </c>
      <c r="F3313" t="s">
        <v>30</v>
      </c>
      <c r="G3313" t="s">
        <v>31</v>
      </c>
      <c r="H3313" t="s">
        <v>32</v>
      </c>
      <c r="I3313">
        <v>25185.009109999999</v>
      </c>
      <c r="J3313" t="s">
        <v>33</v>
      </c>
      <c r="K3313" t="s">
        <v>4538</v>
      </c>
      <c r="L3313" t="s">
        <v>21</v>
      </c>
      <c r="M3313" t="str">
        <f t="shared" si="153"/>
        <v>OK</v>
      </c>
      <c r="N3313" t="str">
        <f t="shared" si="154"/>
        <v>2000s</v>
      </c>
      <c r="O3313" t="str">
        <f t="shared" si="155"/>
        <v>N/A</v>
      </c>
      <c r="P3313" t="str">
        <f>VLOOKUP(E3313,calculated_fields!$F$4:$G$6,2,FALSE)</f>
        <v>Economy</v>
      </c>
    </row>
    <row r="3314" spans="1:16">
      <c r="A3314" t="s">
        <v>4541</v>
      </c>
      <c r="B3314" t="s">
        <v>4542</v>
      </c>
      <c r="C3314" t="s">
        <v>229</v>
      </c>
      <c r="D3314">
        <v>1952</v>
      </c>
      <c r="E3314" t="s">
        <v>15</v>
      </c>
      <c r="F3314" t="s">
        <v>16</v>
      </c>
      <c r="G3314" t="s">
        <v>17</v>
      </c>
      <c r="H3314" t="s">
        <v>18</v>
      </c>
      <c r="I3314">
        <v>42.313999999999901</v>
      </c>
      <c r="J3314" t="s">
        <v>19</v>
      </c>
      <c r="K3314" t="s">
        <v>4543</v>
      </c>
      <c r="L3314" t="s">
        <v>21</v>
      </c>
      <c r="M3314" t="str">
        <f t="shared" si="153"/>
        <v>OK</v>
      </c>
      <c r="N3314" t="str">
        <f t="shared" si="154"/>
        <v>1950s</v>
      </c>
      <c r="O3314" t="str">
        <f t="shared" si="155"/>
        <v>Low</v>
      </c>
      <c r="P3314" t="str">
        <f>VLOOKUP(E3314,calculated_fields!$F$4:$G$6,2,FALSE)</f>
        <v>Health</v>
      </c>
    </row>
    <row r="3315" spans="1:16">
      <c r="A3315" t="s">
        <v>4544</v>
      </c>
      <c r="B3315" t="s">
        <v>4542</v>
      </c>
      <c r="C3315" t="s">
        <v>229</v>
      </c>
      <c r="D3315">
        <v>1952</v>
      </c>
      <c r="E3315" t="s">
        <v>23</v>
      </c>
      <c r="F3315" t="s">
        <v>24</v>
      </c>
      <c r="G3315" t="s">
        <v>25</v>
      </c>
      <c r="H3315" t="s">
        <v>26</v>
      </c>
      <c r="I3315">
        <v>1165790</v>
      </c>
      <c r="J3315" t="s">
        <v>27</v>
      </c>
      <c r="K3315" t="s">
        <v>4543</v>
      </c>
      <c r="L3315" t="s">
        <v>21</v>
      </c>
      <c r="M3315" t="str">
        <f t="shared" si="153"/>
        <v>OK</v>
      </c>
      <c r="N3315" t="str">
        <f t="shared" si="154"/>
        <v>1950s</v>
      </c>
      <c r="O3315" t="str">
        <f t="shared" si="155"/>
        <v>N/A</v>
      </c>
      <c r="P3315" t="str">
        <f>VLOOKUP(E3315,calculated_fields!$F$4:$G$6,2,FALSE)</f>
        <v>Demographics</v>
      </c>
    </row>
    <row r="3316" spans="1:16">
      <c r="A3316" t="s">
        <v>4545</v>
      </c>
      <c r="B3316" t="s">
        <v>4542</v>
      </c>
      <c r="C3316" t="s">
        <v>229</v>
      </c>
      <c r="D3316">
        <v>1952</v>
      </c>
      <c r="E3316" t="s">
        <v>29</v>
      </c>
      <c r="F3316" t="s">
        <v>30</v>
      </c>
      <c r="G3316" t="s">
        <v>31</v>
      </c>
      <c r="H3316" t="s">
        <v>32</v>
      </c>
      <c r="I3316">
        <v>3112.3639480000002</v>
      </c>
      <c r="J3316" t="s">
        <v>33</v>
      </c>
      <c r="K3316" t="s">
        <v>4543</v>
      </c>
      <c r="L3316" t="s">
        <v>21</v>
      </c>
      <c r="M3316" t="str">
        <f t="shared" si="153"/>
        <v>OK</v>
      </c>
      <c r="N3316" t="str">
        <f t="shared" si="154"/>
        <v>1950s</v>
      </c>
      <c r="O3316" t="str">
        <f t="shared" si="155"/>
        <v>N/A</v>
      </c>
      <c r="P3316" t="str">
        <f>VLOOKUP(E3316,calculated_fields!$F$4:$G$6,2,FALSE)</f>
        <v>Economy</v>
      </c>
    </row>
    <row r="3317" spans="1:16">
      <c r="A3317" t="s">
        <v>4546</v>
      </c>
      <c r="B3317" t="s">
        <v>4542</v>
      </c>
      <c r="C3317" t="s">
        <v>229</v>
      </c>
      <c r="D3317">
        <v>1957</v>
      </c>
      <c r="E3317" t="s">
        <v>15</v>
      </c>
      <c r="F3317" t="s">
        <v>16</v>
      </c>
      <c r="G3317" t="s">
        <v>17</v>
      </c>
      <c r="H3317" t="s">
        <v>18</v>
      </c>
      <c r="I3317">
        <v>45.432000000000002</v>
      </c>
      <c r="J3317" t="s">
        <v>19</v>
      </c>
      <c r="K3317" t="s">
        <v>4547</v>
      </c>
      <c r="L3317" t="s">
        <v>21</v>
      </c>
      <c r="M3317" t="str">
        <f t="shared" si="153"/>
        <v>OK</v>
      </c>
      <c r="N3317" t="str">
        <f t="shared" si="154"/>
        <v>1950s</v>
      </c>
      <c r="O3317" t="str">
        <f t="shared" si="155"/>
        <v>Low</v>
      </c>
      <c r="P3317" t="str">
        <f>VLOOKUP(E3317,calculated_fields!$F$4:$G$6,2,FALSE)</f>
        <v>Health</v>
      </c>
    </row>
    <row r="3318" spans="1:16">
      <c r="A3318" t="s">
        <v>4548</v>
      </c>
      <c r="B3318" t="s">
        <v>4542</v>
      </c>
      <c r="C3318" t="s">
        <v>229</v>
      </c>
      <c r="D3318">
        <v>1957</v>
      </c>
      <c r="E3318" t="s">
        <v>23</v>
      </c>
      <c r="F3318" t="s">
        <v>24</v>
      </c>
      <c r="G3318" t="s">
        <v>25</v>
      </c>
      <c r="H3318" t="s">
        <v>26</v>
      </c>
      <c r="I3318">
        <v>1358828</v>
      </c>
      <c r="J3318" t="s">
        <v>27</v>
      </c>
      <c r="K3318" t="s">
        <v>4547</v>
      </c>
      <c r="L3318" t="s">
        <v>21</v>
      </c>
      <c r="M3318" t="str">
        <f t="shared" si="153"/>
        <v>OK</v>
      </c>
      <c r="N3318" t="str">
        <f t="shared" si="154"/>
        <v>1950s</v>
      </c>
      <c r="O3318" t="str">
        <f t="shared" si="155"/>
        <v>N/A</v>
      </c>
      <c r="P3318" t="str">
        <f>VLOOKUP(E3318,calculated_fields!$F$4:$G$6,2,FALSE)</f>
        <v>Demographics</v>
      </c>
    </row>
    <row r="3319" spans="1:16">
      <c r="A3319" t="s">
        <v>4549</v>
      </c>
      <c r="B3319" t="s">
        <v>4542</v>
      </c>
      <c r="C3319" t="s">
        <v>229</v>
      </c>
      <c r="D3319">
        <v>1957</v>
      </c>
      <c r="E3319" t="s">
        <v>29</v>
      </c>
      <c r="F3319" t="s">
        <v>30</v>
      </c>
      <c r="G3319" t="s">
        <v>31</v>
      </c>
      <c r="H3319" t="s">
        <v>32</v>
      </c>
      <c r="I3319">
        <v>3457.415947</v>
      </c>
      <c r="J3319" t="s">
        <v>33</v>
      </c>
      <c r="K3319" t="s">
        <v>4547</v>
      </c>
      <c r="L3319" t="s">
        <v>21</v>
      </c>
      <c r="M3319" t="str">
        <f t="shared" si="153"/>
        <v>OK</v>
      </c>
      <c r="N3319" t="str">
        <f t="shared" si="154"/>
        <v>1950s</v>
      </c>
      <c r="O3319" t="str">
        <f t="shared" si="155"/>
        <v>N/A</v>
      </c>
      <c r="P3319" t="str">
        <f>VLOOKUP(E3319,calculated_fields!$F$4:$G$6,2,FALSE)</f>
        <v>Economy</v>
      </c>
    </row>
    <row r="3320" spans="1:16">
      <c r="A3320" t="s">
        <v>4550</v>
      </c>
      <c r="B3320" t="s">
        <v>4542</v>
      </c>
      <c r="C3320" t="s">
        <v>229</v>
      </c>
      <c r="D3320">
        <v>1962</v>
      </c>
      <c r="E3320" t="s">
        <v>15</v>
      </c>
      <c r="F3320" t="s">
        <v>16</v>
      </c>
      <c r="G3320" t="s">
        <v>17</v>
      </c>
      <c r="H3320" t="s">
        <v>18</v>
      </c>
      <c r="I3320">
        <v>48.631999999999998</v>
      </c>
      <c r="J3320" t="s">
        <v>19</v>
      </c>
      <c r="K3320" t="s">
        <v>4551</v>
      </c>
      <c r="L3320" t="s">
        <v>21</v>
      </c>
      <c r="M3320" t="str">
        <f t="shared" si="153"/>
        <v>OK</v>
      </c>
      <c r="N3320" t="str">
        <f t="shared" si="154"/>
        <v>1960s</v>
      </c>
      <c r="O3320" t="str">
        <f t="shared" si="155"/>
        <v>Low</v>
      </c>
      <c r="P3320" t="str">
        <f>VLOOKUP(E3320,calculated_fields!$F$4:$G$6,2,FALSE)</f>
        <v>Health</v>
      </c>
    </row>
    <row r="3321" spans="1:16">
      <c r="A3321" t="s">
        <v>4552</v>
      </c>
      <c r="B3321" t="s">
        <v>4542</v>
      </c>
      <c r="C3321" t="s">
        <v>229</v>
      </c>
      <c r="D3321">
        <v>1962</v>
      </c>
      <c r="E3321" t="s">
        <v>23</v>
      </c>
      <c r="F3321" t="s">
        <v>24</v>
      </c>
      <c r="G3321" t="s">
        <v>25</v>
      </c>
      <c r="H3321" t="s">
        <v>26</v>
      </c>
      <c r="I3321">
        <v>1590597</v>
      </c>
      <c r="J3321" t="s">
        <v>27</v>
      </c>
      <c r="K3321" t="s">
        <v>4551</v>
      </c>
      <c r="L3321" t="s">
        <v>21</v>
      </c>
      <c r="M3321" t="str">
        <f t="shared" si="153"/>
        <v>OK</v>
      </c>
      <c r="N3321" t="str">
        <f t="shared" si="154"/>
        <v>1960s</v>
      </c>
      <c r="O3321" t="str">
        <f t="shared" si="155"/>
        <v>N/A</v>
      </c>
      <c r="P3321" t="str">
        <f>VLOOKUP(E3321,calculated_fields!$F$4:$G$6,2,FALSE)</f>
        <v>Demographics</v>
      </c>
    </row>
    <row r="3322" spans="1:16">
      <c r="A3322" t="s">
        <v>4553</v>
      </c>
      <c r="B3322" t="s">
        <v>4542</v>
      </c>
      <c r="C3322" t="s">
        <v>229</v>
      </c>
      <c r="D3322">
        <v>1962</v>
      </c>
      <c r="E3322" t="s">
        <v>29</v>
      </c>
      <c r="F3322" t="s">
        <v>30</v>
      </c>
      <c r="G3322" t="s">
        <v>31</v>
      </c>
      <c r="H3322" t="s">
        <v>32</v>
      </c>
      <c r="I3322">
        <v>3634.3644060000001</v>
      </c>
      <c r="J3322" t="s">
        <v>33</v>
      </c>
      <c r="K3322" t="s">
        <v>4551</v>
      </c>
      <c r="L3322" t="s">
        <v>21</v>
      </c>
      <c r="M3322" t="str">
        <f t="shared" si="153"/>
        <v>OK</v>
      </c>
      <c r="N3322" t="str">
        <f t="shared" si="154"/>
        <v>1960s</v>
      </c>
      <c r="O3322" t="str">
        <f t="shared" si="155"/>
        <v>N/A</v>
      </c>
      <c r="P3322" t="str">
        <f>VLOOKUP(E3322,calculated_fields!$F$4:$G$6,2,FALSE)</f>
        <v>Economy</v>
      </c>
    </row>
    <row r="3323" spans="1:16">
      <c r="A3323" t="s">
        <v>4554</v>
      </c>
      <c r="B3323" t="s">
        <v>4542</v>
      </c>
      <c r="C3323" t="s">
        <v>229</v>
      </c>
      <c r="D3323">
        <v>1967</v>
      </c>
      <c r="E3323" t="s">
        <v>15</v>
      </c>
      <c r="F3323" t="s">
        <v>16</v>
      </c>
      <c r="G3323" t="s">
        <v>17</v>
      </c>
      <c r="H3323" t="s">
        <v>18</v>
      </c>
      <c r="I3323">
        <v>51.883999999999901</v>
      </c>
      <c r="J3323" t="s">
        <v>19</v>
      </c>
      <c r="K3323" t="s">
        <v>4555</v>
      </c>
      <c r="L3323" t="s">
        <v>21</v>
      </c>
      <c r="M3323" t="str">
        <f t="shared" si="153"/>
        <v>OK</v>
      </c>
      <c r="N3323" t="str">
        <f t="shared" si="154"/>
        <v>1960s</v>
      </c>
      <c r="O3323" t="str">
        <f t="shared" si="155"/>
        <v>Low</v>
      </c>
      <c r="P3323" t="str">
        <f>VLOOKUP(E3323,calculated_fields!$F$4:$G$6,2,FALSE)</f>
        <v>Health</v>
      </c>
    </row>
    <row r="3324" spans="1:16">
      <c r="A3324" t="s">
        <v>4556</v>
      </c>
      <c r="B3324" t="s">
        <v>4542</v>
      </c>
      <c r="C3324" t="s">
        <v>229</v>
      </c>
      <c r="D3324">
        <v>1967</v>
      </c>
      <c r="E3324" t="s">
        <v>23</v>
      </c>
      <c r="F3324" t="s">
        <v>24</v>
      </c>
      <c r="G3324" t="s">
        <v>25</v>
      </c>
      <c r="H3324" t="s">
        <v>26</v>
      </c>
      <c r="I3324">
        <v>1865490</v>
      </c>
      <c r="J3324" t="s">
        <v>27</v>
      </c>
      <c r="K3324" t="s">
        <v>4555</v>
      </c>
      <c r="L3324" t="s">
        <v>21</v>
      </c>
      <c r="M3324" t="str">
        <f t="shared" si="153"/>
        <v>OK</v>
      </c>
      <c r="N3324" t="str">
        <f t="shared" si="154"/>
        <v>1960s</v>
      </c>
      <c r="O3324" t="str">
        <f t="shared" si="155"/>
        <v>N/A</v>
      </c>
      <c r="P3324" t="str">
        <f>VLOOKUP(E3324,calculated_fields!$F$4:$G$6,2,FALSE)</f>
        <v>Demographics</v>
      </c>
    </row>
    <row r="3325" spans="1:16">
      <c r="A3325" t="s">
        <v>4557</v>
      </c>
      <c r="B3325" t="s">
        <v>4542</v>
      </c>
      <c r="C3325" t="s">
        <v>229</v>
      </c>
      <c r="D3325">
        <v>1967</v>
      </c>
      <c r="E3325" t="s">
        <v>29</v>
      </c>
      <c r="F3325" t="s">
        <v>30</v>
      </c>
      <c r="G3325" t="s">
        <v>31</v>
      </c>
      <c r="H3325" t="s">
        <v>32</v>
      </c>
      <c r="I3325">
        <v>4643.3935339999998</v>
      </c>
      <c r="J3325" t="s">
        <v>33</v>
      </c>
      <c r="K3325" t="s">
        <v>4555</v>
      </c>
      <c r="L3325" t="s">
        <v>21</v>
      </c>
      <c r="M3325" t="str">
        <f t="shared" si="153"/>
        <v>OK</v>
      </c>
      <c r="N3325" t="str">
        <f t="shared" si="154"/>
        <v>1960s</v>
      </c>
      <c r="O3325" t="str">
        <f t="shared" si="155"/>
        <v>N/A</v>
      </c>
      <c r="P3325" t="str">
        <f>VLOOKUP(E3325,calculated_fields!$F$4:$G$6,2,FALSE)</f>
        <v>Economy</v>
      </c>
    </row>
    <row r="3326" spans="1:16">
      <c r="A3326" t="s">
        <v>4558</v>
      </c>
      <c r="B3326" t="s">
        <v>4542</v>
      </c>
      <c r="C3326" t="s">
        <v>229</v>
      </c>
      <c r="D3326">
        <v>1972</v>
      </c>
      <c r="E3326" t="s">
        <v>15</v>
      </c>
      <c r="F3326" t="s">
        <v>16</v>
      </c>
      <c r="G3326" t="s">
        <v>17</v>
      </c>
      <c r="H3326" t="s">
        <v>18</v>
      </c>
      <c r="I3326">
        <v>55.151000000000003</v>
      </c>
      <c r="J3326" t="s">
        <v>19</v>
      </c>
      <c r="K3326" t="s">
        <v>4559</v>
      </c>
      <c r="L3326" t="s">
        <v>21</v>
      </c>
      <c r="M3326" t="str">
        <f t="shared" si="153"/>
        <v>OK</v>
      </c>
      <c r="N3326" t="str">
        <f t="shared" si="154"/>
        <v>1970s</v>
      </c>
      <c r="O3326" t="str">
        <f t="shared" si="155"/>
        <v>Medium</v>
      </c>
      <c r="P3326" t="str">
        <f>VLOOKUP(E3326,calculated_fields!$F$4:$G$6,2,FALSE)</f>
        <v>Health</v>
      </c>
    </row>
    <row r="3327" spans="1:16">
      <c r="A3327" t="s">
        <v>4560</v>
      </c>
      <c r="B3327" t="s">
        <v>4542</v>
      </c>
      <c r="C3327" t="s">
        <v>229</v>
      </c>
      <c r="D3327">
        <v>1972</v>
      </c>
      <c r="E3327" t="s">
        <v>23</v>
      </c>
      <c r="F3327" t="s">
        <v>24</v>
      </c>
      <c r="G3327" t="s">
        <v>25</v>
      </c>
      <c r="H3327" t="s">
        <v>26</v>
      </c>
      <c r="I3327">
        <v>2182908</v>
      </c>
      <c r="J3327" t="s">
        <v>27</v>
      </c>
      <c r="K3327" t="s">
        <v>4559</v>
      </c>
      <c r="L3327" t="s">
        <v>21</v>
      </c>
      <c r="M3327" t="str">
        <f t="shared" si="153"/>
        <v>OK</v>
      </c>
      <c r="N3327" t="str">
        <f t="shared" si="154"/>
        <v>1970s</v>
      </c>
      <c r="O3327" t="str">
        <f t="shared" si="155"/>
        <v>N/A</v>
      </c>
      <c r="P3327" t="str">
        <f>VLOOKUP(E3327,calculated_fields!$F$4:$G$6,2,FALSE)</f>
        <v>Demographics</v>
      </c>
    </row>
    <row r="3328" spans="1:16">
      <c r="A3328" t="s">
        <v>4561</v>
      </c>
      <c r="B3328" t="s">
        <v>4542</v>
      </c>
      <c r="C3328" t="s">
        <v>229</v>
      </c>
      <c r="D3328">
        <v>1972</v>
      </c>
      <c r="E3328" t="s">
        <v>29</v>
      </c>
      <c r="F3328" t="s">
        <v>30</v>
      </c>
      <c r="G3328" t="s">
        <v>31</v>
      </c>
      <c r="H3328" t="s">
        <v>32</v>
      </c>
      <c r="I3328">
        <v>4688.5932670000002</v>
      </c>
      <c r="J3328" t="s">
        <v>33</v>
      </c>
      <c r="K3328" t="s">
        <v>4559</v>
      </c>
      <c r="L3328" t="s">
        <v>21</v>
      </c>
      <c r="M3328" t="str">
        <f t="shared" si="153"/>
        <v>OK</v>
      </c>
      <c r="N3328" t="str">
        <f t="shared" si="154"/>
        <v>1970s</v>
      </c>
      <c r="O3328" t="str">
        <f t="shared" si="155"/>
        <v>N/A</v>
      </c>
      <c r="P3328" t="str">
        <f>VLOOKUP(E3328,calculated_fields!$F$4:$G$6,2,FALSE)</f>
        <v>Economy</v>
      </c>
    </row>
    <row r="3329" spans="1:16">
      <c r="A3329" t="s">
        <v>4562</v>
      </c>
      <c r="B3329" t="s">
        <v>4542</v>
      </c>
      <c r="C3329" t="s">
        <v>229</v>
      </c>
      <c r="D3329">
        <v>1977</v>
      </c>
      <c r="E3329" t="s">
        <v>15</v>
      </c>
      <c r="F3329" t="s">
        <v>16</v>
      </c>
      <c r="G3329" t="s">
        <v>17</v>
      </c>
      <c r="H3329" t="s">
        <v>18</v>
      </c>
      <c r="I3329">
        <v>57.47</v>
      </c>
      <c r="J3329" t="s">
        <v>19</v>
      </c>
      <c r="K3329" t="s">
        <v>4563</v>
      </c>
      <c r="L3329" t="s">
        <v>21</v>
      </c>
      <c r="M3329" t="str">
        <f t="shared" si="153"/>
        <v>OK</v>
      </c>
      <c r="N3329" t="str">
        <f t="shared" si="154"/>
        <v>1970s</v>
      </c>
      <c r="O3329" t="str">
        <f t="shared" si="155"/>
        <v>Medium</v>
      </c>
      <c r="P3329" t="str">
        <f>VLOOKUP(E3329,calculated_fields!$F$4:$G$6,2,FALSE)</f>
        <v>Health</v>
      </c>
    </row>
    <row r="3330" spans="1:16">
      <c r="A3330" t="s">
        <v>4564</v>
      </c>
      <c r="B3330" t="s">
        <v>4542</v>
      </c>
      <c r="C3330" t="s">
        <v>229</v>
      </c>
      <c r="D3330">
        <v>1977</v>
      </c>
      <c r="E3330" t="s">
        <v>23</v>
      </c>
      <c r="F3330" t="s">
        <v>24</v>
      </c>
      <c r="G3330" t="s">
        <v>25</v>
      </c>
      <c r="H3330" t="s">
        <v>26</v>
      </c>
      <c r="I3330">
        <v>2554598</v>
      </c>
      <c r="J3330" t="s">
        <v>27</v>
      </c>
      <c r="K3330" t="s">
        <v>4563</v>
      </c>
      <c r="L3330" t="s">
        <v>21</v>
      </c>
      <c r="M3330" t="str">
        <f t="shared" ref="M3330:M3393" si="156">IF(AND(ISNUMBER(I3330),I3330&gt;=0),"OK","Review")</f>
        <v>OK</v>
      </c>
      <c r="N3330" t="str">
        <f t="shared" ref="N3330:N3393" si="157">FLOOR(D3330,10)&amp;"s"</f>
        <v>1970s</v>
      </c>
      <c r="O3330" t="str">
        <f t="shared" ref="O3330:O3393" si="158">IF(E3330="LIFE_EXP",IF(I3330&gt;=70,"High",IF(I3330&gt;=55,"Medium","Low")),"N/A")</f>
        <v>N/A</v>
      </c>
      <c r="P3330" t="str">
        <f>VLOOKUP(E3330,calculated_fields!$F$4:$G$6,2,FALSE)</f>
        <v>Demographics</v>
      </c>
    </row>
    <row r="3331" spans="1:16">
      <c r="A3331" t="s">
        <v>4565</v>
      </c>
      <c r="B3331" t="s">
        <v>4542</v>
      </c>
      <c r="C3331" t="s">
        <v>229</v>
      </c>
      <c r="D3331">
        <v>1977</v>
      </c>
      <c r="E3331" t="s">
        <v>29</v>
      </c>
      <c r="F3331" t="s">
        <v>30</v>
      </c>
      <c r="G3331" t="s">
        <v>31</v>
      </c>
      <c r="H3331" t="s">
        <v>32</v>
      </c>
      <c r="I3331">
        <v>5486.3710890000002</v>
      </c>
      <c r="J3331" t="s">
        <v>33</v>
      </c>
      <c r="K3331" t="s">
        <v>4563</v>
      </c>
      <c r="L3331" t="s">
        <v>21</v>
      </c>
      <c r="M3331" t="str">
        <f t="shared" si="156"/>
        <v>OK</v>
      </c>
      <c r="N3331" t="str">
        <f t="shared" si="157"/>
        <v>1970s</v>
      </c>
      <c r="O3331" t="str">
        <f t="shared" si="158"/>
        <v>N/A</v>
      </c>
      <c r="P3331" t="str">
        <f>VLOOKUP(E3331,calculated_fields!$F$4:$G$6,2,FALSE)</f>
        <v>Economy</v>
      </c>
    </row>
    <row r="3332" spans="1:16">
      <c r="A3332" t="s">
        <v>4566</v>
      </c>
      <c r="B3332" t="s">
        <v>4542</v>
      </c>
      <c r="C3332" t="s">
        <v>229</v>
      </c>
      <c r="D3332">
        <v>1982</v>
      </c>
      <c r="E3332" t="s">
        <v>15</v>
      </c>
      <c r="F3332" t="s">
        <v>16</v>
      </c>
      <c r="G3332" t="s">
        <v>17</v>
      </c>
      <c r="H3332" t="s">
        <v>18</v>
      </c>
      <c r="I3332">
        <v>59.298000000000002</v>
      </c>
      <c r="J3332" t="s">
        <v>19</v>
      </c>
      <c r="K3332" t="s">
        <v>4567</v>
      </c>
      <c r="L3332" t="s">
        <v>21</v>
      </c>
      <c r="M3332" t="str">
        <f t="shared" si="156"/>
        <v>OK</v>
      </c>
      <c r="N3332" t="str">
        <f t="shared" si="157"/>
        <v>1980s</v>
      </c>
      <c r="O3332" t="str">
        <f t="shared" si="158"/>
        <v>Medium</v>
      </c>
      <c r="P3332" t="str">
        <f>VLOOKUP(E3332,calculated_fields!$F$4:$G$6,2,FALSE)</f>
        <v>Health</v>
      </c>
    </row>
    <row r="3333" spans="1:16">
      <c r="A3333" t="s">
        <v>4568</v>
      </c>
      <c r="B3333" t="s">
        <v>4542</v>
      </c>
      <c r="C3333" t="s">
        <v>229</v>
      </c>
      <c r="D3333">
        <v>1982</v>
      </c>
      <c r="E3333" t="s">
        <v>23</v>
      </c>
      <c r="F3333" t="s">
        <v>24</v>
      </c>
      <c r="G3333" t="s">
        <v>25</v>
      </c>
      <c r="H3333" t="s">
        <v>26</v>
      </c>
      <c r="I3333">
        <v>2979423</v>
      </c>
      <c r="J3333" t="s">
        <v>27</v>
      </c>
      <c r="K3333" t="s">
        <v>4567</v>
      </c>
      <c r="L3333" t="s">
        <v>21</v>
      </c>
      <c r="M3333" t="str">
        <f t="shared" si="156"/>
        <v>OK</v>
      </c>
      <c r="N3333" t="str">
        <f t="shared" si="157"/>
        <v>1980s</v>
      </c>
      <c r="O3333" t="str">
        <f t="shared" si="158"/>
        <v>N/A</v>
      </c>
      <c r="P3333" t="str">
        <f>VLOOKUP(E3333,calculated_fields!$F$4:$G$6,2,FALSE)</f>
        <v>Demographics</v>
      </c>
    </row>
    <row r="3334" spans="1:16">
      <c r="A3334" t="s">
        <v>4569</v>
      </c>
      <c r="B3334" t="s">
        <v>4542</v>
      </c>
      <c r="C3334" t="s">
        <v>229</v>
      </c>
      <c r="D3334">
        <v>1982</v>
      </c>
      <c r="E3334" t="s">
        <v>29</v>
      </c>
      <c r="F3334" t="s">
        <v>30</v>
      </c>
      <c r="G3334" t="s">
        <v>31</v>
      </c>
      <c r="H3334" t="s">
        <v>32</v>
      </c>
      <c r="I3334">
        <v>3470.3381559999998</v>
      </c>
      <c r="J3334" t="s">
        <v>33</v>
      </c>
      <c r="K3334" t="s">
        <v>4567</v>
      </c>
      <c r="L3334" t="s">
        <v>21</v>
      </c>
      <c r="M3334" t="str">
        <f t="shared" si="156"/>
        <v>OK</v>
      </c>
      <c r="N3334" t="str">
        <f t="shared" si="157"/>
        <v>1980s</v>
      </c>
      <c r="O3334" t="str">
        <f t="shared" si="158"/>
        <v>N/A</v>
      </c>
      <c r="P3334" t="str">
        <f>VLOOKUP(E3334,calculated_fields!$F$4:$G$6,2,FALSE)</f>
        <v>Economy</v>
      </c>
    </row>
    <row r="3335" spans="1:16">
      <c r="A3335" t="s">
        <v>4570</v>
      </c>
      <c r="B3335" t="s">
        <v>4542</v>
      </c>
      <c r="C3335" t="s">
        <v>229</v>
      </c>
      <c r="D3335">
        <v>1987</v>
      </c>
      <c r="E3335" t="s">
        <v>15</v>
      </c>
      <c r="F3335" t="s">
        <v>16</v>
      </c>
      <c r="G3335" t="s">
        <v>17</v>
      </c>
      <c r="H3335" t="s">
        <v>18</v>
      </c>
      <c r="I3335">
        <v>62.008000000000003</v>
      </c>
      <c r="J3335" t="s">
        <v>19</v>
      </c>
      <c r="K3335" t="s">
        <v>4571</v>
      </c>
      <c r="L3335" t="s">
        <v>21</v>
      </c>
      <c r="M3335" t="str">
        <f t="shared" si="156"/>
        <v>OK</v>
      </c>
      <c r="N3335" t="str">
        <f t="shared" si="157"/>
        <v>1980s</v>
      </c>
      <c r="O3335" t="str">
        <f t="shared" si="158"/>
        <v>Medium</v>
      </c>
      <c r="P3335" t="str">
        <f>VLOOKUP(E3335,calculated_fields!$F$4:$G$6,2,FALSE)</f>
        <v>Health</v>
      </c>
    </row>
    <row r="3336" spans="1:16">
      <c r="A3336" t="s">
        <v>4572</v>
      </c>
      <c r="B3336" t="s">
        <v>4542</v>
      </c>
      <c r="C3336" t="s">
        <v>229</v>
      </c>
      <c r="D3336">
        <v>1987</v>
      </c>
      <c r="E3336" t="s">
        <v>23</v>
      </c>
      <c r="F3336" t="s">
        <v>24</v>
      </c>
      <c r="G3336" t="s">
        <v>25</v>
      </c>
      <c r="H3336" t="s">
        <v>26</v>
      </c>
      <c r="I3336">
        <v>3344353</v>
      </c>
      <c r="J3336" t="s">
        <v>27</v>
      </c>
      <c r="K3336" t="s">
        <v>4571</v>
      </c>
      <c r="L3336" t="s">
        <v>21</v>
      </c>
      <c r="M3336" t="str">
        <f t="shared" si="156"/>
        <v>OK</v>
      </c>
      <c r="N3336" t="str">
        <f t="shared" si="157"/>
        <v>1980s</v>
      </c>
      <c r="O3336" t="str">
        <f t="shared" si="158"/>
        <v>N/A</v>
      </c>
      <c r="P3336" t="str">
        <f>VLOOKUP(E3336,calculated_fields!$F$4:$G$6,2,FALSE)</f>
        <v>Demographics</v>
      </c>
    </row>
    <row r="3337" spans="1:16">
      <c r="A3337" t="s">
        <v>4573</v>
      </c>
      <c r="B3337" t="s">
        <v>4542</v>
      </c>
      <c r="C3337" t="s">
        <v>229</v>
      </c>
      <c r="D3337">
        <v>1987</v>
      </c>
      <c r="E3337" t="s">
        <v>29</v>
      </c>
      <c r="F3337" t="s">
        <v>30</v>
      </c>
      <c r="G3337" t="s">
        <v>31</v>
      </c>
      <c r="H3337" t="s">
        <v>32</v>
      </c>
      <c r="I3337">
        <v>2955.984375</v>
      </c>
      <c r="J3337" t="s">
        <v>33</v>
      </c>
      <c r="K3337" t="s">
        <v>4571</v>
      </c>
      <c r="L3337" t="s">
        <v>21</v>
      </c>
      <c r="M3337" t="str">
        <f t="shared" si="156"/>
        <v>OK</v>
      </c>
      <c r="N3337" t="str">
        <f t="shared" si="157"/>
        <v>1980s</v>
      </c>
      <c r="O3337" t="str">
        <f t="shared" si="158"/>
        <v>N/A</v>
      </c>
      <c r="P3337" t="str">
        <f>VLOOKUP(E3337,calculated_fields!$F$4:$G$6,2,FALSE)</f>
        <v>Economy</v>
      </c>
    </row>
    <row r="3338" spans="1:16">
      <c r="A3338" t="s">
        <v>4574</v>
      </c>
      <c r="B3338" t="s">
        <v>4542</v>
      </c>
      <c r="C3338" t="s">
        <v>229</v>
      </c>
      <c r="D3338">
        <v>1992</v>
      </c>
      <c r="E3338" t="s">
        <v>15</v>
      </c>
      <c r="F3338" t="s">
        <v>16</v>
      </c>
      <c r="G3338" t="s">
        <v>17</v>
      </c>
      <c r="H3338" t="s">
        <v>18</v>
      </c>
      <c r="I3338">
        <v>65.843000000000004</v>
      </c>
      <c r="J3338" t="s">
        <v>19</v>
      </c>
      <c r="K3338" t="s">
        <v>4575</v>
      </c>
      <c r="L3338" t="s">
        <v>21</v>
      </c>
      <c r="M3338" t="str">
        <f t="shared" si="156"/>
        <v>OK</v>
      </c>
      <c r="N3338" t="str">
        <f t="shared" si="157"/>
        <v>1990s</v>
      </c>
      <c r="O3338" t="str">
        <f t="shared" si="158"/>
        <v>Medium</v>
      </c>
      <c r="P3338" t="str">
        <f>VLOOKUP(E3338,calculated_fields!$F$4:$G$6,2,FALSE)</f>
        <v>Health</v>
      </c>
    </row>
    <row r="3339" spans="1:16">
      <c r="A3339" t="s">
        <v>4576</v>
      </c>
      <c r="B3339" t="s">
        <v>4542</v>
      </c>
      <c r="C3339" t="s">
        <v>229</v>
      </c>
      <c r="D3339">
        <v>1992</v>
      </c>
      <c r="E3339" t="s">
        <v>23</v>
      </c>
      <c r="F3339" t="s">
        <v>24</v>
      </c>
      <c r="G3339" t="s">
        <v>25</v>
      </c>
      <c r="H3339" t="s">
        <v>26</v>
      </c>
      <c r="I3339">
        <v>4017939</v>
      </c>
      <c r="J3339" t="s">
        <v>27</v>
      </c>
      <c r="K3339" t="s">
        <v>4575</v>
      </c>
      <c r="L3339" t="s">
        <v>21</v>
      </c>
      <c r="M3339" t="str">
        <f t="shared" si="156"/>
        <v>OK</v>
      </c>
      <c r="N3339" t="str">
        <f t="shared" si="157"/>
        <v>1990s</v>
      </c>
      <c r="O3339" t="str">
        <f t="shared" si="158"/>
        <v>N/A</v>
      </c>
      <c r="P3339" t="str">
        <f>VLOOKUP(E3339,calculated_fields!$F$4:$G$6,2,FALSE)</f>
        <v>Demographics</v>
      </c>
    </row>
    <row r="3340" spans="1:16">
      <c r="A3340" t="s">
        <v>4577</v>
      </c>
      <c r="B3340" t="s">
        <v>4542</v>
      </c>
      <c r="C3340" t="s">
        <v>229</v>
      </c>
      <c r="D3340">
        <v>1992</v>
      </c>
      <c r="E3340" t="s">
        <v>29</v>
      </c>
      <c r="F3340" t="s">
        <v>30</v>
      </c>
      <c r="G3340" t="s">
        <v>31</v>
      </c>
      <c r="H3340" t="s">
        <v>32</v>
      </c>
      <c r="I3340">
        <v>2170.1517239999998</v>
      </c>
      <c r="J3340" t="s">
        <v>33</v>
      </c>
      <c r="K3340" t="s">
        <v>4575</v>
      </c>
      <c r="L3340" t="s">
        <v>21</v>
      </c>
      <c r="M3340" t="str">
        <f t="shared" si="156"/>
        <v>OK</v>
      </c>
      <c r="N3340" t="str">
        <f t="shared" si="157"/>
        <v>1990s</v>
      </c>
      <c r="O3340" t="str">
        <f t="shared" si="158"/>
        <v>N/A</v>
      </c>
      <c r="P3340" t="str">
        <f>VLOOKUP(E3340,calculated_fields!$F$4:$G$6,2,FALSE)</f>
        <v>Economy</v>
      </c>
    </row>
    <row r="3341" spans="1:16">
      <c r="A3341" t="s">
        <v>4578</v>
      </c>
      <c r="B3341" t="s">
        <v>4542</v>
      </c>
      <c r="C3341" t="s">
        <v>229</v>
      </c>
      <c r="D3341">
        <v>1997</v>
      </c>
      <c r="E3341" t="s">
        <v>15</v>
      </c>
      <c r="F3341" t="s">
        <v>16</v>
      </c>
      <c r="G3341" t="s">
        <v>17</v>
      </c>
      <c r="H3341" t="s">
        <v>18</v>
      </c>
      <c r="I3341">
        <v>68.426000000000002</v>
      </c>
      <c r="J3341" t="s">
        <v>19</v>
      </c>
      <c r="K3341" t="s">
        <v>4579</v>
      </c>
      <c r="L3341" t="s">
        <v>21</v>
      </c>
      <c r="M3341" t="str">
        <f t="shared" si="156"/>
        <v>OK</v>
      </c>
      <c r="N3341" t="str">
        <f t="shared" si="157"/>
        <v>1990s</v>
      </c>
      <c r="O3341" t="str">
        <f t="shared" si="158"/>
        <v>Medium</v>
      </c>
      <c r="P3341" t="str">
        <f>VLOOKUP(E3341,calculated_fields!$F$4:$G$6,2,FALSE)</f>
        <v>Health</v>
      </c>
    </row>
    <row r="3342" spans="1:16">
      <c r="A3342" t="s">
        <v>4580</v>
      </c>
      <c r="B3342" t="s">
        <v>4542</v>
      </c>
      <c r="C3342" t="s">
        <v>229</v>
      </c>
      <c r="D3342">
        <v>1997</v>
      </c>
      <c r="E3342" t="s">
        <v>23</v>
      </c>
      <c r="F3342" t="s">
        <v>24</v>
      </c>
      <c r="G3342" t="s">
        <v>25</v>
      </c>
      <c r="H3342" t="s">
        <v>26</v>
      </c>
      <c r="I3342">
        <v>4609572</v>
      </c>
      <c r="J3342" t="s">
        <v>27</v>
      </c>
      <c r="K3342" t="s">
        <v>4579</v>
      </c>
      <c r="L3342" t="s">
        <v>21</v>
      </c>
      <c r="M3342" t="str">
        <f t="shared" si="156"/>
        <v>OK</v>
      </c>
      <c r="N3342" t="str">
        <f t="shared" si="157"/>
        <v>1990s</v>
      </c>
      <c r="O3342" t="str">
        <f t="shared" si="158"/>
        <v>N/A</v>
      </c>
      <c r="P3342" t="str">
        <f>VLOOKUP(E3342,calculated_fields!$F$4:$G$6,2,FALSE)</f>
        <v>Demographics</v>
      </c>
    </row>
    <row r="3343" spans="1:16">
      <c r="A3343" t="s">
        <v>4581</v>
      </c>
      <c r="B3343" t="s">
        <v>4542</v>
      </c>
      <c r="C3343" t="s">
        <v>229</v>
      </c>
      <c r="D3343">
        <v>1997</v>
      </c>
      <c r="E3343" t="s">
        <v>29</v>
      </c>
      <c r="F3343" t="s">
        <v>30</v>
      </c>
      <c r="G3343" t="s">
        <v>31</v>
      </c>
      <c r="H3343" t="s">
        <v>32</v>
      </c>
      <c r="I3343">
        <v>2253.0230040000001</v>
      </c>
      <c r="J3343" t="s">
        <v>33</v>
      </c>
      <c r="K3343" t="s">
        <v>4579</v>
      </c>
      <c r="L3343" t="s">
        <v>21</v>
      </c>
      <c r="M3343" t="str">
        <f t="shared" si="156"/>
        <v>OK</v>
      </c>
      <c r="N3343" t="str">
        <f t="shared" si="157"/>
        <v>1990s</v>
      </c>
      <c r="O3343" t="str">
        <f t="shared" si="158"/>
        <v>N/A</v>
      </c>
      <c r="P3343" t="str">
        <f>VLOOKUP(E3343,calculated_fields!$F$4:$G$6,2,FALSE)</f>
        <v>Economy</v>
      </c>
    </row>
    <row r="3344" spans="1:16">
      <c r="A3344" t="s">
        <v>4582</v>
      </c>
      <c r="B3344" t="s">
        <v>4542</v>
      </c>
      <c r="C3344" t="s">
        <v>229</v>
      </c>
      <c r="D3344">
        <v>2002</v>
      </c>
      <c r="E3344" t="s">
        <v>15</v>
      </c>
      <c r="F3344" t="s">
        <v>16</v>
      </c>
      <c r="G3344" t="s">
        <v>17</v>
      </c>
      <c r="H3344" t="s">
        <v>18</v>
      </c>
      <c r="I3344">
        <v>70.835999999999999</v>
      </c>
      <c r="J3344" t="s">
        <v>19</v>
      </c>
      <c r="K3344" t="s">
        <v>4583</v>
      </c>
      <c r="L3344" t="s">
        <v>21</v>
      </c>
      <c r="M3344" t="str">
        <f t="shared" si="156"/>
        <v>OK</v>
      </c>
      <c r="N3344" t="str">
        <f t="shared" si="157"/>
        <v>2000s</v>
      </c>
      <c r="O3344" t="str">
        <f t="shared" si="158"/>
        <v>High</v>
      </c>
      <c r="P3344" t="str">
        <f>VLOOKUP(E3344,calculated_fields!$F$4:$G$6,2,FALSE)</f>
        <v>Health</v>
      </c>
    </row>
    <row r="3345" spans="1:16">
      <c r="A3345" t="s">
        <v>4584</v>
      </c>
      <c r="B3345" t="s">
        <v>4542</v>
      </c>
      <c r="C3345" t="s">
        <v>229</v>
      </c>
      <c r="D3345">
        <v>2002</v>
      </c>
      <c r="E3345" t="s">
        <v>23</v>
      </c>
      <c r="F3345" t="s">
        <v>24</v>
      </c>
      <c r="G3345" t="s">
        <v>25</v>
      </c>
      <c r="H3345" t="s">
        <v>26</v>
      </c>
      <c r="I3345">
        <v>5146848</v>
      </c>
      <c r="J3345" t="s">
        <v>27</v>
      </c>
      <c r="K3345" t="s">
        <v>4583</v>
      </c>
      <c r="L3345" t="s">
        <v>21</v>
      </c>
      <c r="M3345" t="str">
        <f t="shared" si="156"/>
        <v>OK</v>
      </c>
      <c r="N3345" t="str">
        <f t="shared" si="157"/>
        <v>2000s</v>
      </c>
      <c r="O3345" t="str">
        <f t="shared" si="158"/>
        <v>N/A</v>
      </c>
      <c r="P3345" t="str">
        <f>VLOOKUP(E3345,calculated_fields!$F$4:$G$6,2,FALSE)</f>
        <v>Demographics</v>
      </c>
    </row>
    <row r="3346" spans="1:16">
      <c r="A3346" t="s">
        <v>4585</v>
      </c>
      <c r="B3346" t="s">
        <v>4542</v>
      </c>
      <c r="C3346" t="s">
        <v>229</v>
      </c>
      <c r="D3346">
        <v>2002</v>
      </c>
      <c r="E3346" t="s">
        <v>29</v>
      </c>
      <c r="F3346" t="s">
        <v>30</v>
      </c>
      <c r="G3346" t="s">
        <v>31</v>
      </c>
      <c r="H3346" t="s">
        <v>32</v>
      </c>
      <c r="I3346">
        <v>2474.5488190000001</v>
      </c>
      <c r="J3346" t="s">
        <v>33</v>
      </c>
      <c r="K3346" t="s">
        <v>4583</v>
      </c>
      <c r="L3346" t="s">
        <v>21</v>
      </c>
      <c r="M3346" t="str">
        <f t="shared" si="156"/>
        <v>OK</v>
      </c>
      <c r="N3346" t="str">
        <f t="shared" si="157"/>
        <v>2000s</v>
      </c>
      <c r="O3346" t="str">
        <f t="shared" si="158"/>
        <v>N/A</v>
      </c>
      <c r="P3346" t="str">
        <f>VLOOKUP(E3346,calculated_fields!$F$4:$G$6,2,FALSE)</f>
        <v>Economy</v>
      </c>
    </row>
    <row r="3347" spans="1:16">
      <c r="A3347" t="s">
        <v>4586</v>
      </c>
      <c r="B3347" t="s">
        <v>4542</v>
      </c>
      <c r="C3347" t="s">
        <v>229</v>
      </c>
      <c r="D3347">
        <v>2007</v>
      </c>
      <c r="E3347" t="s">
        <v>15</v>
      </c>
      <c r="F3347" t="s">
        <v>16</v>
      </c>
      <c r="G3347" t="s">
        <v>17</v>
      </c>
      <c r="H3347" t="s">
        <v>18</v>
      </c>
      <c r="I3347">
        <v>72.899000000000001</v>
      </c>
      <c r="J3347" t="s">
        <v>19</v>
      </c>
      <c r="K3347" t="s">
        <v>4587</v>
      </c>
      <c r="L3347" t="s">
        <v>21</v>
      </c>
      <c r="M3347" t="str">
        <f t="shared" si="156"/>
        <v>OK</v>
      </c>
      <c r="N3347" t="str">
        <f t="shared" si="157"/>
        <v>2000s</v>
      </c>
      <c r="O3347" t="str">
        <f t="shared" si="158"/>
        <v>High</v>
      </c>
      <c r="P3347" t="str">
        <f>VLOOKUP(E3347,calculated_fields!$F$4:$G$6,2,FALSE)</f>
        <v>Health</v>
      </c>
    </row>
    <row r="3348" spans="1:16">
      <c r="A3348" t="s">
        <v>4588</v>
      </c>
      <c r="B3348" t="s">
        <v>4542</v>
      </c>
      <c r="C3348" t="s">
        <v>229</v>
      </c>
      <c r="D3348">
        <v>2007</v>
      </c>
      <c r="E3348" t="s">
        <v>23</v>
      </c>
      <c r="F3348" t="s">
        <v>24</v>
      </c>
      <c r="G3348" t="s">
        <v>25</v>
      </c>
      <c r="H3348" t="s">
        <v>26</v>
      </c>
      <c r="I3348">
        <v>5675356</v>
      </c>
      <c r="J3348" t="s">
        <v>27</v>
      </c>
      <c r="K3348" t="s">
        <v>4587</v>
      </c>
      <c r="L3348" t="s">
        <v>21</v>
      </c>
      <c r="M3348" t="str">
        <f t="shared" si="156"/>
        <v>OK</v>
      </c>
      <c r="N3348" t="str">
        <f t="shared" si="157"/>
        <v>2000s</v>
      </c>
      <c r="O3348" t="str">
        <f t="shared" si="158"/>
        <v>N/A</v>
      </c>
      <c r="P3348" t="str">
        <f>VLOOKUP(E3348,calculated_fields!$F$4:$G$6,2,FALSE)</f>
        <v>Demographics</v>
      </c>
    </row>
    <row r="3349" spans="1:16">
      <c r="A3349" t="s">
        <v>4589</v>
      </c>
      <c r="B3349" t="s">
        <v>4542</v>
      </c>
      <c r="C3349" t="s">
        <v>229</v>
      </c>
      <c r="D3349">
        <v>2007</v>
      </c>
      <c r="E3349" t="s">
        <v>29</v>
      </c>
      <c r="F3349" t="s">
        <v>30</v>
      </c>
      <c r="G3349" t="s">
        <v>31</v>
      </c>
      <c r="H3349" t="s">
        <v>32</v>
      </c>
      <c r="I3349">
        <v>2749.3209649999999</v>
      </c>
      <c r="J3349" t="s">
        <v>33</v>
      </c>
      <c r="K3349" t="s">
        <v>4587</v>
      </c>
      <c r="L3349" t="s">
        <v>21</v>
      </c>
      <c r="M3349" t="str">
        <f t="shared" si="156"/>
        <v>OK</v>
      </c>
      <c r="N3349" t="str">
        <f t="shared" si="157"/>
        <v>2000s</v>
      </c>
      <c r="O3349" t="str">
        <f t="shared" si="158"/>
        <v>N/A</v>
      </c>
      <c r="P3349" t="str">
        <f>VLOOKUP(E3349,calculated_fields!$F$4:$G$6,2,FALSE)</f>
        <v>Economy</v>
      </c>
    </row>
    <row r="3350" spans="1:16">
      <c r="A3350" t="s">
        <v>4590</v>
      </c>
      <c r="B3350" t="s">
        <v>4591</v>
      </c>
      <c r="C3350" t="s">
        <v>130</v>
      </c>
      <c r="D3350">
        <v>1952</v>
      </c>
      <c r="E3350" t="s">
        <v>15</v>
      </c>
      <c r="F3350" t="s">
        <v>16</v>
      </c>
      <c r="G3350" t="s">
        <v>17</v>
      </c>
      <c r="H3350" t="s">
        <v>18</v>
      </c>
      <c r="I3350">
        <v>37.444000000000003</v>
      </c>
      <c r="J3350" t="s">
        <v>19</v>
      </c>
      <c r="K3350" t="s">
        <v>4592</v>
      </c>
      <c r="L3350" t="s">
        <v>21</v>
      </c>
      <c r="M3350" t="str">
        <f t="shared" si="156"/>
        <v>OK</v>
      </c>
      <c r="N3350" t="str">
        <f t="shared" si="157"/>
        <v>1950s</v>
      </c>
      <c r="O3350" t="str">
        <f t="shared" si="158"/>
        <v>Low</v>
      </c>
      <c r="P3350" t="str">
        <f>VLOOKUP(E3350,calculated_fields!$F$4:$G$6,2,FALSE)</f>
        <v>Health</v>
      </c>
    </row>
    <row r="3351" spans="1:16">
      <c r="A3351" t="s">
        <v>4593</v>
      </c>
      <c r="B3351" t="s">
        <v>4591</v>
      </c>
      <c r="C3351" t="s">
        <v>130</v>
      </c>
      <c r="D3351">
        <v>1952</v>
      </c>
      <c r="E3351" t="s">
        <v>23</v>
      </c>
      <c r="F3351" t="s">
        <v>24</v>
      </c>
      <c r="G3351" t="s">
        <v>25</v>
      </c>
      <c r="H3351" t="s">
        <v>26</v>
      </c>
      <c r="I3351">
        <v>3379468</v>
      </c>
      <c r="J3351" t="s">
        <v>27</v>
      </c>
      <c r="K3351" t="s">
        <v>4592</v>
      </c>
      <c r="L3351" t="s">
        <v>21</v>
      </c>
      <c r="M3351" t="str">
        <f t="shared" si="156"/>
        <v>OK</v>
      </c>
      <c r="N3351" t="str">
        <f t="shared" si="157"/>
        <v>1950s</v>
      </c>
      <c r="O3351" t="str">
        <f t="shared" si="158"/>
        <v>N/A</v>
      </c>
      <c r="P3351" t="str">
        <f>VLOOKUP(E3351,calculated_fields!$F$4:$G$6,2,FALSE)</f>
        <v>Demographics</v>
      </c>
    </row>
    <row r="3352" spans="1:16">
      <c r="A3352" t="s">
        <v>4594</v>
      </c>
      <c r="B3352" t="s">
        <v>4591</v>
      </c>
      <c r="C3352" t="s">
        <v>130</v>
      </c>
      <c r="D3352">
        <v>1952</v>
      </c>
      <c r="E3352" t="s">
        <v>29</v>
      </c>
      <c r="F3352" t="s">
        <v>30</v>
      </c>
      <c r="G3352" t="s">
        <v>31</v>
      </c>
      <c r="H3352" t="s">
        <v>32</v>
      </c>
      <c r="I3352">
        <v>761.87937599999998</v>
      </c>
      <c r="J3352" t="s">
        <v>33</v>
      </c>
      <c r="K3352" t="s">
        <v>4592</v>
      </c>
      <c r="L3352" t="s">
        <v>21</v>
      </c>
      <c r="M3352" t="str">
        <f t="shared" si="156"/>
        <v>OK</v>
      </c>
      <c r="N3352" t="str">
        <f t="shared" si="157"/>
        <v>1950s</v>
      </c>
      <c r="O3352" t="str">
        <f t="shared" si="158"/>
        <v>N/A</v>
      </c>
      <c r="P3352" t="str">
        <f>VLOOKUP(E3352,calculated_fields!$F$4:$G$6,2,FALSE)</f>
        <v>Economy</v>
      </c>
    </row>
    <row r="3353" spans="1:16">
      <c r="A3353" t="s">
        <v>4595</v>
      </c>
      <c r="B3353" t="s">
        <v>4591</v>
      </c>
      <c r="C3353" t="s">
        <v>130</v>
      </c>
      <c r="D3353">
        <v>1957</v>
      </c>
      <c r="E3353" t="s">
        <v>15</v>
      </c>
      <c r="F3353" t="s">
        <v>16</v>
      </c>
      <c r="G3353" t="s">
        <v>17</v>
      </c>
      <c r="H3353" t="s">
        <v>18</v>
      </c>
      <c r="I3353">
        <v>38.597999999999999</v>
      </c>
      <c r="J3353" t="s">
        <v>19</v>
      </c>
      <c r="K3353" t="s">
        <v>4596</v>
      </c>
      <c r="L3353" t="s">
        <v>21</v>
      </c>
      <c r="M3353" t="str">
        <f t="shared" si="156"/>
        <v>OK</v>
      </c>
      <c r="N3353" t="str">
        <f t="shared" si="157"/>
        <v>1950s</v>
      </c>
      <c r="O3353" t="str">
        <f t="shared" si="158"/>
        <v>Low</v>
      </c>
      <c r="P3353" t="str">
        <f>VLOOKUP(E3353,calculated_fields!$F$4:$G$6,2,FALSE)</f>
        <v>Health</v>
      </c>
    </row>
    <row r="3354" spans="1:16">
      <c r="A3354" t="s">
        <v>4597</v>
      </c>
      <c r="B3354" t="s">
        <v>4591</v>
      </c>
      <c r="C3354" t="s">
        <v>130</v>
      </c>
      <c r="D3354">
        <v>1957</v>
      </c>
      <c r="E3354" t="s">
        <v>23</v>
      </c>
      <c r="F3354" t="s">
        <v>24</v>
      </c>
      <c r="G3354" t="s">
        <v>25</v>
      </c>
      <c r="H3354" t="s">
        <v>26</v>
      </c>
      <c r="I3354">
        <v>3692184</v>
      </c>
      <c r="J3354" t="s">
        <v>27</v>
      </c>
      <c r="K3354" t="s">
        <v>4596</v>
      </c>
      <c r="L3354" t="s">
        <v>21</v>
      </c>
      <c r="M3354" t="str">
        <f t="shared" si="156"/>
        <v>OK</v>
      </c>
      <c r="N3354" t="str">
        <f t="shared" si="157"/>
        <v>1950s</v>
      </c>
      <c r="O3354" t="str">
        <f t="shared" si="158"/>
        <v>N/A</v>
      </c>
      <c r="P3354" t="str">
        <f>VLOOKUP(E3354,calculated_fields!$F$4:$G$6,2,FALSE)</f>
        <v>Demographics</v>
      </c>
    </row>
    <row r="3355" spans="1:16">
      <c r="A3355" t="s">
        <v>4598</v>
      </c>
      <c r="B3355" t="s">
        <v>4591</v>
      </c>
      <c r="C3355" t="s">
        <v>130</v>
      </c>
      <c r="D3355">
        <v>1957</v>
      </c>
      <c r="E3355" t="s">
        <v>29</v>
      </c>
      <c r="F3355" t="s">
        <v>30</v>
      </c>
      <c r="G3355" t="s">
        <v>31</v>
      </c>
      <c r="H3355" t="s">
        <v>32</v>
      </c>
      <c r="I3355">
        <v>835.52340249999997</v>
      </c>
      <c r="J3355" t="s">
        <v>33</v>
      </c>
      <c r="K3355" t="s">
        <v>4596</v>
      </c>
      <c r="L3355" t="s">
        <v>21</v>
      </c>
      <c r="M3355" t="str">
        <f t="shared" si="156"/>
        <v>OK</v>
      </c>
      <c r="N3355" t="str">
        <f t="shared" si="157"/>
        <v>1950s</v>
      </c>
      <c r="O3355" t="str">
        <f t="shared" si="158"/>
        <v>N/A</v>
      </c>
      <c r="P3355" t="str">
        <f>VLOOKUP(E3355,calculated_fields!$F$4:$G$6,2,FALSE)</f>
        <v>Economy</v>
      </c>
    </row>
    <row r="3356" spans="1:16">
      <c r="A3356" t="s">
        <v>4599</v>
      </c>
      <c r="B3356" t="s">
        <v>4591</v>
      </c>
      <c r="C3356" t="s">
        <v>130</v>
      </c>
      <c r="D3356">
        <v>1962</v>
      </c>
      <c r="E3356" t="s">
        <v>15</v>
      </c>
      <c r="F3356" t="s">
        <v>16</v>
      </c>
      <c r="G3356" t="s">
        <v>17</v>
      </c>
      <c r="H3356" t="s">
        <v>18</v>
      </c>
      <c r="I3356">
        <v>39.487000000000002</v>
      </c>
      <c r="J3356" t="s">
        <v>19</v>
      </c>
      <c r="K3356" t="s">
        <v>4600</v>
      </c>
      <c r="L3356" t="s">
        <v>21</v>
      </c>
      <c r="M3356" t="str">
        <f t="shared" si="156"/>
        <v>OK</v>
      </c>
      <c r="N3356" t="str">
        <f t="shared" si="157"/>
        <v>1960s</v>
      </c>
      <c r="O3356" t="str">
        <f t="shared" si="158"/>
        <v>Low</v>
      </c>
      <c r="P3356" t="str">
        <f>VLOOKUP(E3356,calculated_fields!$F$4:$G$6,2,FALSE)</f>
        <v>Health</v>
      </c>
    </row>
    <row r="3357" spans="1:16">
      <c r="A3357" t="s">
        <v>4601</v>
      </c>
      <c r="B3357" t="s">
        <v>4591</v>
      </c>
      <c r="C3357" t="s">
        <v>130</v>
      </c>
      <c r="D3357">
        <v>1962</v>
      </c>
      <c r="E3357" t="s">
        <v>23</v>
      </c>
      <c r="F3357" t="s">
        <v>24</v>
      </c>
      <c r="G3357" t="s">
        <v>25</v>
      </c>
      <c r="H3357" t="s">
        <v>26</v>
      </c>
      <c r="I3357">
        <v>4076008</v>
      </c>
      <c r="J3357" t="s">
        <v>27</v>
      </c>
      <c r="K3357" t="s">
        <v>4600</v>
      </c>
      <c r="L3357" t="s">
        <v>21</v>
      </c>
      <c r="M3357" t="str">
        <f t="shared" si="156"/>
        <v>OK</v>
      </c>
      <c r="N3357" t="str">
        <f t="shared" si="157"/>
        <v>1960s</v>
      </c>
      <c r="O3357" t="str">
        <f t="shared" si="158"/>
        <v>N/A</v>
      </c>
      <c r="P3357" t="str">
        <f>VLOOKUP(E3357,calculated_fields!$F$4:$G$6,2,FALSE)</f>
        <v>Demographics</v>
      </c>
    </row>
    <row r="3358" spans="1:16">
      <c r="A3358" t="s">
        <v>4602</v>
      </c>
      <c r="B3358" t="s">
        <v>4591</v>
      </c>
      <c r="C3358" t="s">
        <v>130</v>
      </c>
      <c r="D3358">
        <v>1962</v>
      </c>
      <c r="E3358" t="s">
        <v>29</v>
      </c>
      <c r="F3358" t="s">
        <v>30</v>
      </c>
      <c r="G3358" t="s">
        <v>31</v>
      </c>
      <c r="H3358" t="s">
        <v>32</v>
      </c>
      <c r="I3358">
        <v>997.76611270000001</v>
      </c>
      <c r="J3358" t="s">
        <v>33</v>
      </c>
      <c r="K3358" t="s">
        <v>4600</v>
      </c>
      <c r="L3358" t="s">
        <v>21</v>
      </c>
      <c r="M3358" t="str">
        <f t="shared" si="156"/>
        <v>OK</v>
      </c>
      <c r="N3358" t="str">
        <f t="shared" si="157"/>
        <v>1960s</v>
      </c>
      <c r="O3358" t="str">
        <f t="shared" si="158"/>
        <v>N/A</v>
      </c>
      <c r="P3358" t="str">
        <f>VLOOKUP(E3358,calculated_fields!$F$4:$G$6,2,FALSE)</f>
        <v>Economy</v>
      </c>
    </row>
    <row r="3359" spans="1:16">
      <c r="A3359" t="s">
        <v>4603</v>
      </c>
      <c r="B3359" t="s">
        <v>4591</v>
      </c>
      <c r="C3359" t="s">
        <v>130</v>
      </c>
      <c r="D3359">
        <v>1967</v>
      </c>
      <c r="E3359" t="s">
        <v>15</v>
      </c>
      <c r="F3359" t="s">
        <v>16</v>
      </c>
      <c r="G3359" t="s">
        <v>17</v>
      </c>
      <c r="H3359" t="s">
        <v>18</v>
      </c>
      <c r="I3359">
        <v>40.118000000000002</v>
      </c>
      <c r="J3359" t="s">
        <v>19</v>
      </c>
      <c r="K3359" t="s">
        <v>4604</v>
      </c>
      <c r="L3359" t="s">
        <v>21</v>
      </c>
      <c r="M3359" t="str">
        <f t="shared" si="156"/>
        <v>OK</v>
      </c>
      <c r="N3359" t="str">
        <f t="shared" si="157"/>
        <v>1960s</v>
      </c>
      <c r="O3359" t="str">
        <f t="shared" si="158"/>
        <v>Low</v>
      </c>
      <c r="P3359" t="str">
        <f>VLOOKUP(E3359,calculated_fields!$F$4:$G$6,2,FALSE)</f>
        <v>Health</v>
      </c>
    </row>
    <row r="3360" spans="1:16">
      <c r="A3360" t="s">
        <v>4605</v>
      </c>
      <c r="B3360" t="s">
        <v>4591</v>
      </c>
      <c r="C3360" t="s">
        <v>130</v>
      </c>
      <c r="D3360">
        <v>1967</v>
      </c>
      <c r="E3360" t="s">
        <v>23</v>
      </c>
      <c r="F3360" t="s">
        <v>24</v>
      </c>
      <c r="G3360" t="s">
        <v>25</v>
      </c>
      <c r="H3360" t="s">
        <v>26</v>
      </c>
      <c r="I3360">
        <v>4534062</v>
      </c>
      <c r="J3360" t="s">
        <v>27</v>
      </c>
      <c r="K3360" t="s">
        <v>4604</v>
      </c>
      <c r="L3360" t="s">
        <v>21</v>
      </c>
      <c r="M3360" t="str">
        <f t="shared" si="156"/>
        <v>OK</v>
      </c>
      <c r="N3360" t="str">
        <f t="shared" si="157"/>
        <v>1960s</v>
      </c>
      <c r="O3360" t="str">
        <f t="shared" si="158"/>
        <v>N/A</v>
      </c>
      <c r="P3360" t="str">
        <f>VLOOKUP(E3360,calculated_fields!$F$4:$G$6,2,FALSE)</f>
        <v>Demographics</v>
      </c>
    </row>
    <row r="3361" spans="1:16">
      <c r="A3361" t="s">
        <v>4606</v>
      </c>
      <c r="B3361" t="s">
        <v>4591</v>
      </c>
      <c r="C3361" t="s">
        <v>130</v>
      </c>
      <c r="D3361">
        <v>1967</v>
      </c>
      <c r="E3361" t="s">
        <v>29</v>
      </c>
      <c r="F3361" t="s">
        <v>30</v>
      </c>
      <c r="G3361" t="s">
        <v>31</v>
      </c>
      <c r="H3361" t="s">
        <v>32</v>
      </c>
      <c r="I3361">
        <v>1054.3848909999999</v>
      </c>
      <c r="J3361" t="s">
        <v>33</v>
      </c>
      <c r="K3361" t="s">
        <v>4604</v>
      </c>
      <c r="L3361" t="s">
        <v>21</v>
      </c>
      <c r="M3361" t="str">
        <f t="shared" si="156"/>
        <v>OK</v>
      </c>
      <c r="N3361" t="str">
        <f t="shared" si="157"/>
        <v>1960s</v>
      </c>
      <c r="O3361" t="str">
        <f t="shared" si="158"/>
        <v>N/A</v>
      </c>
      <c r="P3361" t="str">
        <f>VLOOKUP(E3361,calculated_fields!$F$4:$G$6,2,FALSE)</f>
        <v>Economy</v>
      </c>
    </row>
    <row r="3362" spans="1:16">
      <c r="A3362" t="s">
        <v>4607</v>
      </c>
      <c r="B3362" t="s">
        <v>4591</v>
      </c>
      <c r="C3362" t="s">
        <v>130</v>
      </c>
      <c r="D3362">
        <v>1972</v>
      </c>
      <c r="E3362" t="s">
        <v>15</v>
      </c>
      <c r="F3362" t="s">
        <v>16</v>
      </c>
      <c r="G3362" t="s">
        <v>17</v>
      </c>
      <c r="H3362" t="s">
        <v>18</v>
      </c>
      <c r="I3362">
        <v>40.545999999999999</v>
      </c>
      <c r="J3362" t="s">
        <v>19</v>
      </c>
      <c r="K3362" t="s">
        <v>4608</v>
      </c>
      <c r="L3362" t="s">
        <v>21</v>
      </c>
      <c r="M3362" t="str">
        <f t="shared" si="156"/>
        <v>OK</v>
      </c>
      <c r="N3362" t="str">
        <f t="shared" si="157"/>
        <v>1970s</v>
      </c>
      <c r="O3362" t="str">
        <f t="shared" si="158"/>
        <v>Low</v>
      </c>
      <c r="P3362" t="str">
        <f>VLOOKUP(E3362,calculated_fields!$F$4:$G$6,2,FALSE)</f>
        <v>Health</v>
      </c>
    </row>
    <row r="3363" spans="1:16">
      <c r="A3363" t="s">
        <v>4609</v>
      </c>
      <c r="B3363" t="s">
        <v>4591</v>
      </c>
      <c r="C3363" t="s">
        <v>130</v>
      </c>
      <c r="D3363">
        <v>1972</v>
      </c>
      <c r="E3363" t="s">
        <v>23</v>
      </c>
      <c r="F3363" t="s">
        <v>24</v>
      </c>
      <c r="G3363" t="s">
        <v>25</v>
      </c>
      <c r="H3363" t="s">
        <v>26</v>
      </c>
      <c r="I3363">
        <v>5060262</v>
      </c>
      <c r="J3363" t="s">
        <v>27</v>
      </c>
      <c r="K3363" t="s">
        <v>4608</v>
      </c>
      <c r="L3363" t="s">
        <v>21</v>
      </c>
      <c r="M3363" t="str">
        <f t="shared" si="156"/>
        <v>OK</v>
      </c>
      <c r="N3363" t="str">
        <f t="shared" si="157"/>
        <v>1970s</v>
      </c>
      <c r="O3363" t="str">
        <f t="shared" si="158"/>
        <v>N/A</v>
      </c>
      <c r="P3363" t="str">
        <f>VLOOKUP(E3363,calculated_fields!$F$4:$G$6,2,FALSE)</f>
        <v>Demographics</v>
      </c>
    </row>
    <row r="3364" spans="1:16">
      <c r="A3364" t="s">
        <v>4610</v>
      </c>
      <c r="B3364" t="s">
        <v>4591</v>
      </c>
      <c r="C3364" t="s">
        <v>130</v>
      </c>
      <c r="D3364">
        <v>1972</v>
      </c>
      <c r="E3364" t="s">
        <v>29</v>
      </c>
      <c r="F3364" t="s">
        <v>30</v>
      </c>
      <c r="G3364" t="s">
        <v>31</v>
      </c>
      <c r="H3364" t="s">
        <v>32</v>
      </c>
      <c r="I3364">
        <v>954.20923630000004</v>
      </c>
      <c r="J3364" t="s">
        <v>33</v>
      </c>
      <c r="K3364" t="s">
        <v>4608</v>
      </c>
      <c r="L3364" t="s">
        <v>21</v>
      </c>
      <c r="M3364" t="str">
        <f t="shared" si="156"/>
        <v>OK</v>
      </c>
      <c r="N3364" t="str">
        <f t="shared" si="157"/>
        <v>1970s</v>
      </c>
      <c r="O3364" t="str">
        <f t="shared" si="158"/>
        <v>N/A</v>
      </c>
      <c r="P3364" t="str">
        <f>VLOOKUP(E3364,calculated_fields!$F$4:$G$6,2,FALSE)</f>
        <v>Economy</v>
      </c>
    </row>
    <row r="3365" spans="1:16">
      <c r="A3365" t="s">
        <v>4611</v>
      </c>
      <c r="B3365" t="s">
        <v>4591</v>
      </c>
      <c r="C3365" t="s">
        <v>130</v>
      </c>
      <c r="D3365">
        <v>1977</v>
      </c>
      <c r="E3365" t="s">
        <v>15</v>
      </c>
      <c r="F3365" t="s">
        <v>16</v>
      </c>
      <c r="G3365" t="s">
        <v>17</v>
      </c>
      <c r="H3365" t="s">
        <v>18</v>
      </c>
      <c r="I3365">
        <v>41.290999999999997</v>
      </c>
      <c r="J3365" t="s">
        <v>19</v>
      </c>
      <c r="K3365" t="s">
        <v>4612</v>
      </c>
      <c r="L3365" t="s">
        <v>21</v>
      </c>
      <c r="M3365" t="str">
        <f t="shared" si="156"/>
        <v>OK</v>
      </c>
      <c r="N3365" t="str">
        <f t="shared" si="157"/>
        <v>1970s</v>
      </c>
      <c r="O3365" t="str">
        <f t="shared" si="158"/>
        <v>Low</v>
      </c>
      <c r="P3365" t="str">
        <f>VLOOKUP(E3365,calculated_fields!$F$4:$G$6,2,FALSE)</f>
        <v>Health</v>
      </c>
    </row>
    <row r="3366" spans="1:16">
      <c r="A3366" t="s">
        <v>4613</v>
      </c>
      <c r="B3366" t="s">
        <v>4591</v>
      </c>
      <c r="C3366" t="s">
        <v>130</v>
      </c>
      <c r="D3366">
        <v>1977</v>
      </c>
      <c r="E3366" t="s">
        <v>23</v>
      </c>
      <c r="F3366" t="s">
        <v>24</v>
      </c>
      <c r="G3366" t="s">
        <v>25</v>
      </c>
      <c r="H3366" t="s">
        <v>26</v>
      </c>
      <c r="I3366">
        <v>5682086</v>
      </c>
      <c r="J3366" t="s">
        <v>27</v>
      </c>
      <c r="K3366" t="s">
        <v>4612</v>
      </c>
      <c r="L3366" t="s">
        <v>21</v>
      </c>
      <c r="M3366" t="str">
        <f t="shared" si="156"/>
        <v>OK</v>
      </c>
      <c r="N3366" t="str">
        <f t="shared" si="157"/>
        <v>1970s</v>
      </c>
      <c r="O3366" t="str">
        <f t="shared" si="158"/>
        <v>N/A</v>
      </c>
      <c r="P3366" t="str">
        <f>VLOOKUP(E3366,calculated_fields!$F$4:$G$6,2,FALSE)</f>
        <v>Demographics</v>
      </c>
    </row>
    <row r="3367" spans="1:16">
      <c r="A3367" t="s">
        <v>4614</v>
      </c>
      <c r="B3367" t="s">
        <v>4591</v>
      </c>
      <c r="C3367" t="s">
        <v>130</v>
      </c>
      <c r="D3367">
        <v>1977</v>
      </c>
      <c r="E3367" t="s">
        <v>29</v>
      </c>
      <c r="F3367" t="s">
        <v>30</v>
      </c>
      <c r="G3367" t="s">
        <v>31</v>
      </c>
      <c r="H3367" t="s">
        <v>32</v>
      </c>
      <c r="I3367">
        <v>808.89707279999902</v>
      </c>
      <c r="J3367" t="s">
        <v>33</v>
      </c>
      <c r="K3367" t="s">
        <v>4612</v>
      </c>
      <c r="L3367" t="s">
        <v>21</v>
      </c>
      <c r="M3367" t="str">
        <f t="shared" si="156"/>
        <v>OK</v>
      </c>
      <c r="N3367" t="str">
        <f t="shared" si="157"/>
        <v>1970s</v>
      </c>
      <c r="O3367" t="str">
        <f t="shared" si="158"/>
        <v>N/A</v>
      </c>
      <c r="P3367" t="str">
        <f>VLOOKUP(E3367,calculated_fields!$F$4:$G$6,2,FALSE)</f>
        <v>Economy</v>
      </c>
    </row>
    <row r="3368" spans="1:16">
      <c r="A3368" t="s">
        <v>4615</v>
      </c>
      <c r="B3368" t="s">
        <v>4591</v>
      </c>
      <c r="C3368" t="s">
        <v>130</v>
      </c>
      <c r="D3368">
        <v>1982</v>
      </c>
      <c r="E3368" t="s">
        <v>15</v>
      </c>
      <c r="F3368" t="s">
        <v>16</v>
      </c>
      <c r="G3368" t="s">
        <v>17</v>
      </c>
      <c r="H3368" t="s">
        <v>18</v>
      </c>
      <c r="I3368">
        <v>42.597999999999999</v>
      </c>
      <c r="J3368" t="s">
        <v>19</v>
      </c>
      <c r="K3368" t="s">
        <v>4616</v>
      </c>
      <c r="L3368" t="s">
        <v>21</v>
      </c>
      <c r="M3368" t="str">
        <f t="shared" si="156"/>
        <v>OK</v>
      </c>
      <c r="N3368" t="str">
        <f t="shared" si="157"/>
        <v>1980s</v>
      </c>
      <c r="O3368" t="str">
        <f t="shared" si="158"/>
        <v>Low</v>
      </c>
      <c r="P3368" t="str">
        <f>VLOOKUP(E3368,calculated_fields!$F$4:$G$6,2,FALSE)</f>
        <v>Health</v>
      </c>
    </row>
    <row r="3369" spans="1:16">
      <c r="A3369" t="s">
        <v>4617</v>
      </c>
      <c r="B3369" t="s">
        <v>4591</v>
      </c>
      <c r="C3369" t="s">
        <v>130</v>
      </c>
      <c r="D3369">
        <v>1982</v>
      </c>
      <c r="E3369" t="s">
        <v>23</v>
      </c>
      <c r="F3369" t="s">
        <v>24</v>
      </c>
      <c r="G3369" t="s">
        <v>25</v>
      </c>
      <c r="H3369" t="s">
        <v>26</v>
      </c>
      <c r="I3369">
        <v>6437188</v>
      </c>
      <c r="J3369" t="s">
        <v>27</v>
      </c>
      <c r="K3369" t="s">
        <v>4616</v>
      </c>
      <c r="L3369" t="s">
        <v>21</v>
      </c>
      <c r="M3369" t="str">
        <f t="shared" si="156"/>
        <v>OK</v>
      </c>
      <c r="N3369" t="str">
        <f t="shared" si="157"/>
        <v>1980s</v>
      </c>
      <c r="O3369" t="str">
        <f t="shared" si="158"/>
        <v>N/A</v>
      </c>
      <c r="P3369" t="str">
        <f>VLOOKUP(E3369,calculated_fields!$F$4:$G$6,2,FALSE)</f>
        <v>Demographics</v>
      </c>
    </row>
    <row r="3370" spans="1:16">
      <c r="A3370" t="s">
        <v>4618</v>
      </c>
      <c r="B3370" t="s">
        <v>4591</v>
      </c>
      <c r="C3370" t="s">
        <v>130</v>
      </c>
      <c r="D3370">
        <v>1982</v>
      </c>
      <c r="E3370" t="s">
        <v>29</v>
      </c>
      <c r="F3370" t="s">
        <v>30</v>
      </c>
      <c r="G3370" t="s">
        <v>31</v>
      </c>
      <c r="H3370" t="s">
        <v>32</v>
      </c>
      <c r="I3370">
        <v>909.72213539999996</v>
      </c>
      <c r="J3370" t="s">
        <v>33</v>
      </c>
      <c r="K3370" t="s">
        <v>4616</v>
      </c>
      <c r="L3370" t="s">
        <v>21</v>
      </c>
      <c r="M3370" t="str">
        <f t="shared" si="156"/>
        <v>OK</v>
      </c>
      <c r="N3370" t="str">
        <f t="shared" si="157"/>
        <v>1980s</v>
      </c>
      <c r="O3370" t="str">
        <f t="shared" si="158"/>
        <v>N/A</v>
      </c>
      <c r="P3370" t="str">
        <f>VLOOKUP(E3370,calculated_fields!$F$4:$G$6,2,FALSE)</f>
        <v>Economy</v>
      </c>
    </row>
    <row r="3371" spans="1:16">
      <c r="A3371" t="s">
        <v>4619</v>
      </c>
      <c r="B3371" t="s">
        <v>4591</v>
      </c>
      <c r="C3371" t="s">
        <v>130</v>
      </c>
      <c r="D3371">
        <v>1987</v>
      </c>
      <c r="E3371" t="s">
        <v>15</v>
      </c>
      <c r="F3371" t="s">
        <v>16</v>
      </c>
      <c r="G3371" t="s">
        <v>17</v>
      </c>
      <c r="H3371" t="s">
        <v>18</v>
      </c>
      <c r="I3371">
        <v>44.555</v>
      </c>
      <c r="J3371" t="s">
        <v>19</v>
      </c>
      <c r="K3371" t="s">
        <v>4620</v>
      </c>
      <c r="L3371" t="s">
        <v>21</v>
      </c>
      <c r="M3371" t="str">
        <f t="shared" si="156"/>
        <v>OK</v>
      </c>
      <c r="N3371" t="str">
        <f t="shared" si="157"/>
        <v>1980s</v>
      </c>
      <c r="O3371" t="str">
        <f t="shared" si="158"/>
        <v>Low</v>
      </c>
      <c r="P3371" t="str">
        <f>VLOOKUP(E3371,calculated_fields!$F$4:$G$6,2,FALSE)</f>
        <v>Health</v>
      </c>
    </row>
    <row r="3372" spans="1:16">
      <c r="A3372" t="s">
        <v>4621</v>
      </c>
      <c r="B3372" t="s">
        <v>4591</v>
      </c>
      <c r="C3372" t="s">
        <v>130</v>
      </c>
      <c r="D3372">
        <v>1987</v>
      </c>
      <c r="E3372" t="s">
        <v>23</v>
      </c>
      <c r="F3372" t="s">
        <v>24</v>
      </c>
      <c r="G3372" t="s">
        <v>25</v>
      </c>
      <c r="H3372" t="s">
        <v>26</v>
      </c>
      <c r="I3372">
        <v>7332638</v>
      </c>
      <c r="J3372" t="s">
        <v>27</v>
      </c>
      <c r="K3372" t="s">
        <v>4620</v>
      </c>
      <c r="L3372" t="s">
        <v>21</v>
      </c>
      <c r="M3372" t="str">
        <f t="shared" si="156"/>
        <v>OK</v>
      </c>
      <c r="N3372" t="str">
        <f t="shared" si="157"/>
        <v>1980s</v>
      </c>
      <c r="O3372" t="str">
        <f t="shared" si="158"/>
        <v>N/A</v>
      </c>
      <c r="P3372" t="str">
        <f>VLOOKUP(E3372,calculated_fields!$F$4:$G$6,2,FALSE)</f>
        <v>Demographics</v>
      </c>
    </row>
    <row r="3373" spans="1:16">
      <c r="A3373" t="s">
        <v>4622</v>
      </c>
      <c r="B3373" t="s">
        <v>4591</v>
      </c>
      <c r="C3373" t="s">
        <v>130</v>
      </c>
      <c r="D3373">
        <v>1987</v>
      </c>
      <c r="E3373" t="s">
        <v>29</v>
      </c>
      <c r="F3373" t="s">
        <v>30</v>
      </c>
      <c r="G3373" t="s">
        <v>31</v>
      </c>
      <c r="H3373" t="s">
        <v>32</v>
      </c>
      <c r="I3373">
        <v>668.30002279999997</v>
      </c>
      <c r="J3373" t="s">
        <v>33</v>
      </c>
      <c r="K3373" t="s">
        <v>4620</v>
      </c>
      <c r="L3373" t="s">
        <v>21</v>
      </c>
      <c r="M3373" t="str">
        <f t="shared" si="156"/>
        <v>OK</v>
      </c>
      <c r="N3373" t="str">
        <f t="shared" si="157"/>
        <v>1980s</v>
      </c>
      <c r="O3373" t="str">
        <f t="shared" si="158"/>
        <v>N/A</v>
      </c>
      <c r="P3373" t="str">
        <f>VLOOKUP(E3373,calculated_fields!$F$4:$G$6,2,FALSE)</f>
        <v>Economy</v>
      </c>
    </row>
    <row r="3374" spans="1:16">
      <c r="A3374" t="s">
        <v>4623</v>
      </c>
      <c r="B3374" t="s">
        <v>4591</v>
      </c>
      <c r="C3374" t="s">
        <v>130</v>
      </c>
      <c r="D3374">
        <v>1992</v>
      </c>
      <c r="E3374" t="s">
        <v>15</v>
      </c>
      <c r="F3374" t="s">
        <v>16</v>
      </c>
      <c r="G3374" t="s">
        <v>17</v>
      </c>
      <c r="H3374" t="s">
        <v>18</v>
      </c>
      <c r="I3374">
        <v>47.390999999999998</v>
      </c>
      <c r="J3374" t="s">
        <v>19</v>
      </c>
      <c r="K3374" t="s">
        <v>4624</v>
      </c>
      <c r="L3374" t="s">
        <v>21</v>
      </c>
      <c r="M3374" t="str">
        <f t="shared" si="156"/>
        <v>OK</v>
      </c>
      <c r="N3374" t="str">
        <f t="shared" si="157"/>
        <v>1990s</v>
      </c>
      <c r="O3374" t="str">
        <f t="shared" si="158"/>
        <v>Low</v>
      </c>
      <c r="P3374" t="str">
        <f>VLOOKUP(E3374,calculated_fields!$F$4:$G$6,2,FALSE)</f>
        <v>Health</v>
      </c>
    </row>
    <row r="3375" spans="1:16">
      <c r="A3375" t="s">
        <v>4625</v>
      </c>
      <c r="B3375" t="s">
        <v>4591</v>
      </c>
      <c r="C3375" t="s">
        <v>130</v>
      </c>
      <c r="D3375">
        <v>1992</v>
      </c>
      <c r="E3375" t="s">
        <v>23</v>
      </c>
      <c r="F3375" t="s">
        <v>24</v>
      </c>
      <c r="G3375" t="s">
        <v>25</v>
      </c>
      <c r="H3375" t="s">
        <v>26</v>
      </c>
      <c r="I3375">
        <v>8392818</v>
      </c>
      <c r="J3375" t="s">
        <v>27</v>
      </c>
      <c r="K3375" t="s">
        <v>4624</v>
      </c>
      <c r="L3375" t="s">
        <v>21</v>
      </c>
      <c r="M3375" t="str">
        <f t="shared" si="156"/>
        <v>OK</v>
      </c>
      <c r="N3375" t="str">
        <f t="shared" si="157"/>
        <v>1990s</v>
      </c>
      <c r="O3375" t="str">
        <f t="shared" si="158"/>
        <v>N/A</v>
      </c>
      <c r="P3375" t="str">
        <f>VLOOKUP(E3375,calculated_fields!$F$4:$G$6,2,FALSE)</f>
        <v>Demographics</v>
      </c>
    </row>
    <row r="3376" spans="1:16">
      <c r="A3376" t="s">
        <v>4626</v>
      </c>
      <c r="B3376" t="s">
        <v>4591</v>
      </c>
      <c r="C3376" t="s">
        <v>130</v>
      </c>
      <c r="D3376">
        <v>1992</v>
      </c>
      <c r="E3376" t="s">
        <v>29</v>
      </c>
      <c r="F3376" t="s">
        <v>30</v>
      </c>
      <c r="G3376" t="s">
        <v>31</v>
      </c>
      <c r="H3376" t="s">
        <v>32</v>
      </c>
      <c r="I3376">
        <v>581.182725</v>
      </c>
      <c r="J3376" t="s">
        <v>33</v>
      </c>
      <c r="K3376" t="s">
        <v>4624</v>
      </c>
      <c r="L3376" t="s">
        <v>21</v>
      </c>
      <c r="M3376" t="str">
        <f t="shared" si="156"/>
        <v>OK</v>
      </c>
      <c r="N3376" t="str">
        <f t="shared" si="157"/>
        <v>1990s</v>
      </c>
      <c r="O3376" t="str">
        <f t="shared" si="158"/>
        <v>N/A</v>
      </c>
      <c r="P3376" t="str">
        <f>VLOOKUP(E3376,calculated_fields!$F$4:$G$6,2,FALSE)</f>
        <v>Economy</v>
      </c>
    </row>
    <row r="3377" spans="1:16">
      <c r="A3377" t="s">
        <v>4627</v>
      </c>
      <c r="B3377" t="s">
        <v>4591</v>
      </c>
      <c r="C3377" t="s">
        <v>130</v>
      </c>
      <c r="D3377">
        <v>1997</v>
      </c>
      <c r="E3377" t="s">
        <v>15</v>
      </c>
      <c r="F3377" t="s">
        <v>16</v>
      </c>
      <c r="G3377" t="s">
        <v>17</v>
      </c>
      <c r="H3377" t="s">
        <v>18</v>
      </c>
      <c r="I3377">
        <v>51.313000000000002</v>
      </c>
      <c r="J3377" t="s">
        <v>19</v>
      </c>
      <c r="K3377" t="s">
        <v>4628</v>
      </c>
      <c r="L3377" t="s">
        <v>21</v>
      </c>
      <c r="M3377" t="str">
        <f t="shared" si="156"/>
        <v>OK</v>
      </c>
      <c r="N3377" t="str">
        <f t="shared" si="157"/>
        <v>1990s</v>
      </c>
      <c r="O3377" t="str">
        <f t="shared" si="158"/>
        <v>Low</v>
      </c>
      <c r="P3377" t="str">
        <f>VLOOKUP(E3377,calculated_fields!$F$4:$G$6,2,FALSE)</f>
        <v>Health</v>
      </c>
    </row>
    <row r="3378" spans="1:16">
      <c r="A3378" t="s">
        <v>4629</v>
      </c>
      <c r="B3378" t="s">
        <v>4591</v>
      </c>
      <c r="C3378" t="s">
        <v>130</v>
      </c>
      <c r="D3378">
        <v>1997</v>
      </c>
      <c r="E3378" t="s">
        <v>23</v>
      </c>
      <c r="F3378" t="s">
        <v>24</v>
      </c>
      <c r="G3378" t="s">
        <v>25</v>
      </c>
      <c r="H3378" t="s">
        <v>26</v>
      </c>
      <c r="I3378">
        <v>9666252</v>
      </c>
      <c r="J3378" t="s">
        <v>27</v>
      </c>
      <c r="K3378" t="s">
        <v>4628</v>
      </c>
      <c r="L3378" t="s">
        <v>21</v>
      </c>
      <c r="M3378" t="str">
        <f t="shared" si="156"/>
        <v>OK</v>
      </c>
      <c r="N3378" t="str">
        <f t="shared" si="157"/>
        <v>1990s</v>
      </c>
      <c r="O3378" t="str">
        <f t="shared" si="158"/>
        <v>N/A</v>
      </c>
      <c r="P3378" t="str">
        <f>VLOOKUP(E3378,calculated_fields!$F$4:$G$6,2,FALSE)</f>
        <v>Demographics</v>
      </c>
    </row>
    <row r="3379" spans="1:16">
      <c r="A3379" t="s">
        <v>4630</v>
      </c>
      <c r="B3379" t="s">
        <v>4591</v>
      </c>
      <c r="C3379" t="s">
        <v>130</v>
      </c>
      <c r="D3379">
        <v>1997</v>
      </c>
      <c r="E3379" t="s">
        <v>29</v>
      </c>
      <c r="F3379" t="s">
        <v>30</v>
      </c>
      <c r="G3379" t="s">
        <v>31</v>
      </c>
      <c r="H3379" t="s">
        <v>32</v>
      </c>
      <c r="I3379">
        <v>580.30520920000004</v>
      </c>
      <c r="J3379" t="s">
        <v>33</v>
      </c>
      <c r="K3379" t="s">
        <v>4628</v>
      </c>
      <c r="L3379" t="s">
        <v>21</v>
      </c>
      <c r="M3379" t="str">
        <f t="shared" si="156"/>
        <v>OK</v>
      </c>
      <c r="N3379" t="str">
        <f t="shared" si="157"/>
        <v>1990s</v>
      </c>
      <c r="O3379" t="str">
        <f t="shared" si="158"/>
        <v>N/A</v>
      </c>
      <c r="P3379" t="str">
        <f>VLOOKUP(E3379,calculated_fields!$F$4:$G$6,2,FALSE)</f>
        <v>Economy</v>
      </c>
    </row>
    <row r="3380" spans="1:16">
      <c r="A3380" t="s">
        <v>4631</v>
      </c>
      <c r="B3380" t="s">
        <v>4591</v>
      </c>
      <c r="C3380" t="s">
        <v>130</v>
      </c>
      <c r="D3380">
        <v>2002</v>
      </c>
      <c r="E3380" t="s">
        <v>15</v>
      </c>
      <c r="F3380" t="s">
        <v>16</v>
      </c>
      <c r="G3380" t="s">
        <v>17</v>
      </c>
      <c r="H3380" t="s">
        <v>18</v>
      </c>
      <c r="I3380">
        <v>54.496000000000002</v>
      </c>
      <c r="J3380" t="s">
        <v>19</v>
      </c>
      <c r="K3380" t="s">
        <v>4632</v>
      </c>
      <c r="L3380" t="s">
        <v>21</v>
      </c>
      <c r="M3380" t="str">
        <f t="shared" si="156"/>
        <v>OK</v>
      </c>
      <c r="N3380" t="str">
        <f t="shared" si="157"/>
        <v>2000s</v>
      </c>
      <c r="O3380" t="str">
        <f t="shared" si="158"/>
        <v>Low</v>
      </c>
      <c r="P3380" t="str">
        <f>VLOOKUP(E3380,calculated_fields!$F$4:$G$6,2,FALSE)</f>
        <v>Health</v>
      </c>
    </row>
    <row r="3381" spans="1:16">
      <c r="A3381" t="s">
        <v>4633</v>
      </c>
      <c r="B3381" t="s">
        <v>4591</v>
      </c>
      <c r="C3381" t="s">
        <v>130</v>
      </c>
      <c r="D3381">
        <v>2002</v>
      </c>
      <c r="E3381" t="s">
        <v>23</v>
      </c>
      <c r="F3381" t="s">
        <v>24</v>
      </c>
      <c r="G3381" t="s">
        <v>25</v>
      </c>
      <c r="H3381" t="s">
        <v>26</v>
      </c>
      <c r="I3381">
        <v>11140655</v>
      </c>
      <c r="J3381" t="s">
        <v>27</v>
      </c>
      <c r="K3381" t="s">
        <v>4632</v>
      </c>
      <c r="L3381" t="s">
        <v>21</v>
      </c>
      <c r="M3381" t="str">
        <f t="shared" si="156"/>
        <v>OK</v>
      </c>
      <c r="N3381" t="str">
        <f t="shared" si="157"/>
        <v>2000s</v>
      </c>
      <c r="O3381" t="str">
        <f t="shared" si="158"/>
        <v>N/A</v>
      </c>
      <c r="P3381" t="str">
        <f>VLOOKUP(E3381,calculated_fields!$F$4:$G$6,2,FALSE)</f>
        <v>Demographics</v>
      </c>
    </row>
    <row r="3382" spans="1:16">
      <c r="A3382" t="s">
        <v>4634</v>
      </c>
      <c r="B3382" t="s">
        <v>4591</v>
      </c>
      <c r="C3382" t="s">
        <v>130</v>
      </c>
      <c r="D3382">
        <v>2002</v>
      </c>
      <c r="E3382" t="s">
        <v>29</v>
      </c>
      <c r="F3382" t="s">
        <v>30</v>
      </c>
      <c r="G3382" t="s">
        <v>31</v>
      </c>
      <c r="H3382" t="s">
        <v>32</v>
      </c>
      <c r="I3382">
        <v>601.07450119999999</v>
      </c>
      <c r="J3382" t="s">
        <v>33</v>
      </c>
      <c r="K3382" t="s">
        <v>4632</v>
      </c>
      <c r="L3382" t="s">
        <v>21</v>
      </c>
      <c r="M3382" t="str">
        <f t="shared" si="156"/>
        <v>OK</v>
      </c>
      <c r="N3382" t="str">
        <f t="shared" si="157"/>
        <v>2000s</v>
      </c>
      <c r="O3382" t="str">
        <f t="shared" si="158"/>
        <v>N/A</v>
      </c>
      <c r="P3382" t="str">
        <f>VLOOKUP(E3382,calculated_fields!$F$4:$G$6,2,FALSE)</f>
        <v>Economy</v>
      </c>
    </row>
    <row r="3383" spans="1:16">
      <c r="A3383" t="s">
        <v>4635</v>
      </c>
      <c r="B3383" t="s">
        <v>4591</v>
      </c>
      <c r="C3383" t="s">
        <v>130</v>
      </c>
      <c r="D3383">
        <v>2007</v>
      </c>
      <c r="E3383" t="s">
        <v>15</v>
      </c>
      <c r="F3383" t="s">
        <v>16</v>
      </c>
      <c r="G3383" t="s">
        <v>17</v>
      </c>
      <c r="H3383" t="s">
        <v>18</v>
      </c>
      <c r="I3383">
        <v>56.866999999999997</v>
      </c>
      <c r="J3383" t="s">
        <v>19</v>
      </c>
      <c r="K3383" t="s">
        <v>4636</v>
      </c>
      <c r="L3383" t="s">
        <v>21</v>
      </c>
      <c r="M3383" t="str">
        <f t="shared" si="156"/>
        <v>OK</v>
      </c>
      <c r="N3383" t="str">
        <f t="shared" si="157"/>
        <v>2000s</v>
      </c>
      <c r="O3383" t="str">
        <f t="shared" si="158"/>
        <v>Medium</v>
      </c>
      <c r="P3383" t="str">
        <f>VLOOKUP(E3383,calculated_fields!$F$4:$G$6,2,FALSE)</f>
        <v>Health</v>
      </c>
    </row>
    <row r="3384" spans="1:16">
      <c r="A3384" t="s">
        <v>4637</v>
      </c>
      <c r="B3384" t="s">
        <v>4591</v>
      </c>
      <c r="C3384" t="s">
        <v>130</v>
      </c>
      <c r="D3384">
        <v>2007</v>
      </c>
      <c r="E3384" t="s">
        <v>23</v>
      </c>
      <c r="F3384" t="s">
        <v>24</v>
      </c>
      <c r="G3384" t="s">
        <v>25</v>
      </c>
      <c r="H3384" t="s">
        <v>26</v>
      </c>
      <c r="I3384">
        <v>12894865</v>
      </c>
      <c r="J3384" t="s">
        <v>27</v>
      </c>
      <c r="K3384" t="s">
        <v>4636</v>
      </c>
      <c r="L3384" t="s">
        <v>21</v>
      </c>
      <c r="M3384" t="str">
        <f t="shared" si="156"/>
        <v>OK</v>
      </c>
      <c r="N3384" t="str">
        <f t="shared" si="157"/>
        <v>2000s</v>
      </c>
      <c r="O3384" t="str">
        <f t="shared" si="158"/>
        <v>N/A</v>
      </c>
      <c r="P3384" t="str">
        <f>VLOOKUP(E3384,calculated_fields!$F$4:$G$6,2,FALSE)</f>
        <v>Demographics</v>
      </c>
    </row>
    <row r="3385" spans="1:16">
      <c r="A3385" t="s">
        <v>4638</v>
      </c>
      <c r="B3385" t="s">
        <v>4591</v>
      </c>
      <c r="C3385" t="s">
        <v>130</v>
      </c>
      <c r="D3385">
        <v>2007</v>
      </c>
      <c r="E3385" t="s">
        <v>29</v>
      </c>
      <c r="F3385" t="s">
        <v>30</v>
      </c>
      <c r="G3385" t="s">
        <v>31</v>
      </c>
      <c r="H3385" t="s">
        <v>32</v>
      </c>
      <c r="I3385">
        <v>619.67689239999902</v>
      </c>
      <c r="J3385" t="s">
        <v>33</v>
      </c>
      <c r="K3385" t="s">
        <v>4636</v>
      </c>
      <c r="L3385" t="s">
        <v>21</v>
      </c>
      <c r="M3385" t="str">
        <f t="shared" si="156"/>
        <v>OK</v>
      </c>
      <c r="N3385" t="str">
        <f t="shared" si="157"/>
        <v>2000s</v>
      </c>
      <c r="O3385" t="str">
        <f t="shared" si="158"/>
        <v>N/A</v>
      </c>
      <c r="P3385" t="str">
        <f>VLOOKUP(E3385,calculated_fields!$F$4:$G$6,2,FALSE)</f>
        <v>Economy</v>
      </c>
    </row>
    <row r="3386" spans="1:16">
      <c r="A3386" t="s">
        <v>4639</v>
      </c>
      <c r="B3386" t="s">
        <v>4640</v>
      </c>
      <c r="C3386" t="s">
        <v>130</v>
      </c>
      <c r="D3386">
        <v>1952</v>
      </c>
      <c r="E3386" t="s">
        <v>15</v>
      </c>
      <c r="F3386" t="s">
        <v>16</v>
      </c>
      <c r="G3386" t="s">
        <v>17</v>
      </c>
      <c r="H3386" t="s">
        <v>18</v>
      </c>
      <c r="I3386">
        <v>36.323999999999998</v>
      </c>
      <c r="J3386" t="s">
        <v>19</v>
      </c>
      <c r="K3386" t="s">
        <v>4641</v>
      </c>
      <c r="L3386" t="s">
        <v>21</v>
      </c>
      <c r="M3386" t="str">
        <f t="shared" si="156"/>
        <v>OK</v>
      </c>
      <c r="N3386" t="str">
        <f t="shared" si="157"/>
        <v>1950s</v>
      </c>
      <c r="O3386" t="str">
        <f t="shared" si="158"/>
        <v>Low</v>
      </c>
      <c r="P3386" t="str">
        <f>VLOOKUP(E3386,calculated_fields!$F$4:$G$6,2,FALSE)</f>
        <v>Health</v>
      </c>
    </row>
    <row r="3387" spans="1:16">
      <c r="A3387" t="s">
        <v>4642</v>
      </c>
      <c r="B3387" t="s">
        <v>4640</v>
      </c>
      <c r="C3387" t="s">
        <v>130</v>
      </c>
      <c r="D3387">
        <v>1952</v>
      </c>
      <c r="E3387" t="s">
        <v>23</v>
      </c>
      <c r="F3387" t="s">
        <v>24</v>
      </c>
      <c r="G3387" t="s">
        <v>25</v>
      </c>
      <c r="H3387" t="s">
        <v>26</v>
      </c>
      <c r="I3387">
        <v>33119096</v>
      </c>
      <c r="J3387" t="s">
        <v>27</v>
      </c>
      <c r="K3387" t="s">
        <v>4641</v>
      </c>
      <c r="L3387" t="s">
        <v>21</v>
      </c>
      <c r="M3387" t="str">
        <f t="shared" si="156"/>
        <v>OK</v>
      </c>
      <c r="N3387" t="str">
        <f t="shared" si="157"/>
        <v>1950s</v>
      </c>
      <c r="O3387" t="str">
        <f t="shared" si="158"/>
        <v>N/A</v>
      </c>
      <c r="P3387" t="str">
        <f>VLOOKUP(E3387,calculated_fields!$F$4:$G$6,2,FALSE)</f>
        <v>Demographics</v>
      </c>
    </row>
    <row r="3388" spans="1:16">
      <c r="A3388" t="s">
        <v>4643</v>
      </c>
      <c r="B3388" t="s">
        <v>4640</v>
      </c>
      <c r="C3388" t="s">
        <v>130</v>
      </c>
      <c r="D3388">
        <v>1952</v>
      </c>
      <c r="E3388" t="s">
        <v>29</v>
      </c>
      <c r="F3388" t="s">
        <v>30</v>
      </c>
      <c r="G3388" t="s">
        <v>31</v>
      </c>
      <c r="H3388" t="s">
        <v>32</v>
      </c>
      <c r="I3388">
        <v>1077.2818560000001</v>
      </c>
      <c r="J3388" t="s">
        <v>33</v>
      </c>
      <c r="K3388" t="s">
        <v>4641</v>
      </c>
      <c r="L3388" t="s">
        <v>21</v>
      </c>
      <c r="M3388" t="str">
        <f t="shared" si="156"/>
        <v>OK</v>
      </c>
      <c r="N3388" t="str">
        <f t="shared" si="157"/>
        <v>1950s</v>
      </c>
      <c r="O3388" t="str">
        <f t="shared" si="158"/>
        <v>N/A</v>
      </c>
      <c r="P3388" t="str">
        <f>VLOOKUP(E3388,calculated_fields!$F$4:$G$6,2,FALSE)</f>
        <v>Economy</v>
      </c>
    </row>
    <row r="3389" spans="1:16">
      <c r="A3389" t="s">
        <v>4644</v>
      </c>
      <c r="B3389" t="s">
        <v>4640</v>
      </c>
      <c r="C3389" t="s">
        <v>130</v>
      </c>
      <c r="D3389">
        <v>1957</v>
      </c>
      <c r="E3389" t="s">
        <v>15</v>
      </c>
      <c r="F3389" t="s">
        <v>16</v>
      </c>
      <c r="G3389" t="s">
        <v>17</v>
      </c>
      <c r="H3389" t="s">
        <v>18</v>
      </c>
      <c r="I3389">
        <v>37.802</v>
      </c>
      <c r="J3389" t="s">
        <v>19</v>
      </c>
      <c r="K3389" t="s">
        <v>4645</v>
      </c>
      <c r="L3389" t="s">
        <v>21</v>
      </c>
      <c r="M3389" t="str">
        <f t="shared" si="156"/>
        <v>OK</v>
      </c>
      <c r="N3389" t="str">
        <f t="shared" si="157"/>
        <v>1950s</v>
      </c>
      <c r="O3389" t="str">
        <f t="shared" si="158"/>
        <v>Low</v>
      </c>
      <c r="P3389" t="str">
        <f>VLOOKUP(E3389,calculated_fields!$F$4:$G$6,2,FALSE)</f>
        <v>Health</v>
      </c>
    </row>
    <row r="3390" spans="1:16">
      <c r="A3390" t="s">
        <v>4646</v>
      </c>
      <c r="B3390" t="s">
        <v>4640</v>
      </c>
      <c r="C3390" t="s">
        <v>130</v>
      </c>
      <c r="D3390">
        <v>1957</v>
      </c>
      <c r="E3390" t="s">
        <v>23</v>
      </c>
      <c r="F3390" t="s">
        <v>24</v>
      </c>
      <c r="G3390" t="s">
        <v>25</v>
      </c>
      <c r="H3390" t="s">
        <v>26</v>
      </c>
      <c r="I3390">
        <v>37173340</v>
      </c>
      <c r="J3390" t="s">
        <v>27</v>
      </c>
      <c r="K3390" t="s">
        <v>4645</v>
      </c>
      <c r="L3390" t="s">
        <v>21</v>
      </c>
      <c r="M3390" t="str">
        <f t="shared" si="156"/>
        <v>OK</v>
      </c>
      <c r="N3390" t="str">
        <f t="shared" si="157"/>
        <v>1950s</v>
      </c>
      <c r="O3390" t="str">
        <f t="shared" si="158"/>
        <v>N/A</v>
      </c>
      <c r="P3390" t="str">
        <f>VLOOKUP(E3390,calculated_fields!$F$4:$G$6,2,FALSE)</f>
        <v>Demographics</v>
      </c>
    </row>
    <row r="3391" spans="1:16">
      <c r="A3391" t="s">
        <v>4647</v>
      </c>
      <c r="B3391" t="s">
        <v>4640</v>
      </c>
      <c r="C3391" t="s">
        <v>130</v>
      </c>
      <c r="D3391">
        <v>1957</v>
      </c>
      <c r="E3391" t="s">
        <v>29</v>
      </c>
      <c r="F3391" t="s">
        <v>30</v>
      </c>
      <c r="G3391" t="s">
        <v>31</v>
      </c>
      <c r="H3391" t="s">
        <v>32</v>
      </c>
      <c r="I3391">
        <v>1100.5925629999999</v>
      </c>
      <c r="J3391" t="s">
        <v>33</v>
      </c>
      <c r="K3391" t="s">
        <v>4645</v>
      </c>
      <c r="L3391" t="s">
        <v>21</v>
      </c>
      <c r="M3391" t="str">
        <f t="shared" si="156"/>
        <v>OK</v>
      </c>
      <c r="N3391" t="str">
        <f t="shared" si="157"/>
        <v>1950s</v>
      </c>
      <c r="O3391" t="str">
        <f t="shared" si="158"/>
        <v>N/A</v>
      </c>
      <c r="P3391" t="str">
        <f>VLOOKUP(E3391,calculated_fields!$F$4:$G$6,2,FALSE)</f>
        <v>Economy</v>
      </c>
    </row>
    <row r="3392" spans="1:16">
      <c r="A3392" t="s">
        <v>4648</v>
      </c>
      <c r="B3392" t="s">
        <v>4640</v>
      </c>
      <c r="C3392" t="s">
        <v>130</v>
      </c>
      <c r="D3392">
        <v>1962</v>
      </c>
      <c r="E3392" t="s">
        <v>15</v>
      </c>
      <c r="F3392" t="s">
        <v>16</v>
      </c>
      <c r="G3392" t="s">
        <v>17</v>
      </c>
      <c r="H3392" t="s">
        <v>18</v>
      </c>
      <c r="I3392">
        <v>39.36</v>
      </c>
      <c r="J3392" t="s">
        <v>19</v>
      </c>
      <c r="K3392" t="s">
        <v>4649</v>
      </c>
      <c r="L3392" t="s">
        <v>21</v>
      </c>
      <c r="M3392" t="str">
        <f t="shared" si="156"/>
        <v>OK</v>
      </c>
      <c r="N3392" t="str">
        <f t="shared" si="157"/>
        <v>1960s</v>
      </c>
      <c r="O3392" t="str">
        <f t="shared" si="158"/>
        <v>Low</v>
      </c>
      <c r="P3392" t="str">
        <f>VLOOKUP(E3392,calculated_fields!$F$4:$G$6,2,FALSE)</f>
        <v>Health</v>
      </c>
    </row>
    <row r="3393" spans="1:16">
      <c r="A3393" t="s">
        <v>4650</v>
      </c>
      <c r="B3393" t="s">
        <v>4640</v>
      </c>
      <c r="C3393" t="s">
        <v>130</v>
      </c>
      <c r="D3393">
        <v>1962</v>
      </c>
      <c r="E3393" t="s">
        <v>23</v>
      </c>
      <c r="F3393" t="s">
        <v>24</v>
      </c>
      <c r="G3393" t="s">
        <v>25</v>
      </c>
      <c r="H3393" t="s">
        <v>26</v>
      </c>
      <c r="I3393">
        <v>41871351</v>
      </c>
      <c r="J3393" t="s">
        <v>27</v>
      </c>
      <c r="K3393" t="s">
        <v>4649</v>
      </c>
      <c r="L3393" t="s">
        <v>21</v>
      </c>
      <c r="M3393" t="str">
        <f t="shared" si="156"/>
        <v>OK</v>
      </c>
      <c r="N3393" t="str">
        <f t="shared" si="157"/>
        <v>1960s</v>
      </c>
      <c r="O3393" t="str">
        <f t="shared" si="158"/>
        <v>N/A</v>
      </c>
      <c r="P3393" t="str">
        <f>VLOOKUP(E3393,calculated_fields!$F$4:$G$6,2,FALSE)</f>
        <v>Demographics</v>
      </c>
    </row>
    <row r="3394" spans="1:16">
      <c r="A3394" t="s">
        <v>4651</v>
      </c>
      <c r="B3394" t="s">
        <v>4640</v>
      </c>
      <c r="C3394" t="s">
        <v>130</v>
      </c>
      <c r="D3394">
        <v>1962</v>
      </c>
      <c r="E3394" t="s">
        <v>29</v>
      </c>
      <c r="F3394" t="s">
        <v>30</v>
      </c>
      <c r="G3394" t="s">
        <v>31</v>
      </c>
      <c r="H3394" t="s">
        <v>32</v>
      </c>
      <c r="I3394">
        <v>1150.9274779999901</v>
      </c>
      <c r="J3394" t="s">
        <v>33</v>
      </c>
      <c r="K3394" t="s">
        <v>4649</v>
      </c>
      <c r="L3394" t="s">
        <v>21</v>
      </c>
      <c r="M3394" t="str">
        <f t="shared" ref="M3394:M3457" si="159">IF(AND(ISNUMBER(I3394),I3394&gt;=0),"OK","Review")</f>
        <v>OK</v>
      </c>
      <c r="N3394" t="str">
        <f t="shared" ref="N3394:N3457" si="160">FLOOR(D3394,10)&amp;"s"</f>
        <v>1960s</v>
      </c>
      <c r="O3394" t="str">
        <f t="shared" ref="O3394:O3457" si="161">IF(E3394="LIFE_EXP",IF(I3394&gt;=70,"High",IF(I3394&gt;=55,"Medium","Low")),"N/A")</f>
        <v>N/A</v>
      </c>
      <c r="P3394" t="str">
        <f>VLOOKUP(E3394,calculated_fields!$F$4:$G$6,2,FALSE)</f>
        <v>Economy</v>
      </c>
    </row>
    <row r="3395" spans="1:16">
      <c r="A3395" t="s">
        <v>4652</v>
      </c>
      <c r="B3395" t="s">
        <v>4640</v>
      </c>
      <c r="C3395" t="s">
        <v>130</v>
      </c>
      <c r="D3395">
        <v>1967</v>
      </c>
      <c r="E3395" t="s">
        <v>15</v>
      </c>
      <c r="F3395" t="s">
        <v>16</v>
      </c>
      <c r="G3395" t="s">
        <v>17</v>
      </c>
      <c r="H3395" t="s">
        <v>18</v>
      </c>
      <c r="I3395">
        <v>41.04</v>
      </c>
      <c r="J3395" t="s">
        <v>19</v>
      </c>
      <c r="K3395" t="s">
        <v>4653</v>
      </c>
      <c r="L3395" t="s">
        <v>21</v>
      </c>
      <c r="M3395" t="str">
        <f t="shared" si="159"/>
        <v>OK</v>
      </c>
      <c r="N3395" t="str">
        <f t="shared" si="160"/>
        <v>1960s</v>
      </c>
      <c r="O3395" t="str">
        <f t="shared" si="161"/>
        <v>Low</v>
      </c>
      <c r="P3395" t="str">
        <f>VLOOKUP(E3395,calculated_fields!$F$4:$G$6,2,FALSE)</f>
        <v>Health</v>
      </c>
    </row>
    <row r="3396" spans="1:16">
      <c r="A3396" t="s">
        <v>4654</v>
      </c>
      <c r="B3396" t="s">
        <v>4640</v>
      </c>
      <c r="C3396" t="s">
        <v>130</v>
      </c>
      <c r="D3396">
        <v>1967</v>
      </c>
      <c r="E3396" t="s">
        <v>23</v>
      </c>
      <c r="F3396" t="s">
        <v>24</v>
      </c>
      <c r="G3396" t="s">
        <v>25</v>
      </c>
      <c r="H3396" t="s">
        <v>26</v>
      </c>
      <c r="I3396">
        <v>47287752</v>
      </c>
      <c r="J3396" t="s">
        <v>27</v>
      </c>
      <c r="K3396" t="s">
        <v>4653</v>
      </c>
      <c r="L3396" t="s">
        <v>21</v>
      </c>
      <c r="M3396" t="str">
        <f t="shared" si="159"/>
        <v>OK</v>
      </c>
      <c r="N3396" t="str">
        <f t="shared" si="160"/>
        <v>1960s</v>
      </c>
      <c r="O3396" t="str">
        <f t="shared" si="161"/>
        <v>N/A</v>
      </c>
      <c r="P3396" t="str">
        <f>VLOOKUP(E3396,calculated_fields!$F$4:$G$6,2,FALSE)</f>
        <v>Demographics</v>
      </c>
    </row>
    <row r="3397" spans="1:16">
      <c r="A3397" t="s">
        <v>4655</v>
      </c>
      <c r="B3397" t="s">
        <v>4640</v>
      </c>
      <c r="C3397" t="s">
        <v>130</v>
      </c>
      <c r="D3397">
        <v>1967</v>
      </c>
      <c r="E3397" t="s">
        <v>29</v>
      </c>
      <c r="F3397" t="s">
        <v>30</v>
      </c>
      <c r="G3397" t="s">
        <v>31</v>
      </c>
      <c r="H3397" t="s">
        <v>32</v>
      </c>
      <c r="I3397">
        <v>1014.514104</v>
      </c>
      <c r="J3397" t="s">
        <v>33</v>
      </c>
      <c r="K3397" t="s">
        <v>4653</v>
      </c>
      <c r="L3397" t="s">
        <v>21</v>
      </c>
      <c r="M3397" t="str">
        <f t="shared" si="159"/>
        <v>OK</v>
      </c>
      <c r="N3397" t="str">
        <f t="shared" si="160"/>
        <v>1960s</v>
      </c>
      <c r="O3397" t="str">
        <f t="shared" si="161"/>
        <v>N/A</v>
      </c>
      <c r="P3397" t="str">
        <f>VLOOKUP(E3397,calculated_fields!$F$4:$G$6,2,FALSE)</f>
        <v>Economy</v>
      </c>
    </row>
    <row r="3398" spans="1:16">
      <c r="A3398" t="s">
        <v>4656</v>
      </c>
      <c r="B3398" t="s">
        <v>4640</v>
      </c>
      <c r="C3398" t="s">
        <v>130</v>
      </c>
      <c r="D3398">
        <v>1972</v>
      </c>
      <c r="E3398" t="s">
        <v>15</v>
      </c>
      <c r="F3398" t="s">
        <v>16</v>
      </c>
      <c r="G3398" t="s">
        <v>17</v>
      </c>
      <c r="H3398" t="s">
        <v>18</v>
      </c>
      <c r="I3398">
        <v>42.820999999999998</v>
      </c>
      <c r="J3398" t="s">
        <v>19</v>
      </c>
      <c r="K3398" t="s">
        <v>4657</v>
      </c>
      <c r="L3398" t="s">
        <v>21</v>
      </c>
      <c r="M3398" t="str">
        <f t="shared" si="159"/>
        <v>OK</v>
      </c>
      <c r="N3398" t="str">
        <f t="shared" si="160"/>
        <v>1970s</v>
      </c>
      <c r="O3398" t="str">
        <f t="shared" si="161"/>
        <v>Low</v>
      </c>
      <c r="P3398" t="str">
        <f>VLOOKUP(E3398,calculated_fields!$F$4:$G$6,2,FALSE)</f>
        <v>Health</v>
      </c>
    </row>
    <row r="3399" spans="1:16">
      <c r="A3399" t="s">
        <v>4658</v>
      </c>
      <c r="B3399" t="s">
        <v>4640</v>
      </c>
      <c r="C3399" t="s">
        <v>130</v>
      </c>
      <c r="D3399">
        <v>1972</v>
      </c>
      <c r="E3399" t="s">
        <v>23</v>
      </c>
      <c r="F3399" t="s">
        <v>24</v>
      </c>
      <c r="G3399" t="s">
        <v>25</v>
      </c>
      <c r="H3399" t="s">
        <v>26</v>
      </c>
      <c r="I3399">
        <v>53740085</v>
      </c>
      <c r="J3399" t="s">
        <v>27</v>
      </c>
      <c r="K3399" t="s">
        <v>4657</v>
      </c>
      <c r="L3399" t="s">
        <v>21</v>
      </c>
      <c r="M3399" t="str">
        <f t="shared" si="159"/>
        <v>OK</v>
      </c>
      <c r="N3399" t="str">
        <f t="shared" si="160"/>
        <v>1970s</v>
      </c>
      <c r="O3399" t="str">
        <f t="shared" si="161"/>
        <v>N/A</v>
      </c>
      <c r="P3399" t="str">
        <f>VLOOKUP(E3399,calculated_fields!$F$4:$G$6,2,FALSE)</f>
        <v>Demographics</v>
      </c>
    </row>
    <row r="3400" spans="1:16">
      <c r="A3400" t="s">
        <v>4659</v>
      </c>
      <c r="B3400" t="s">
        <v>4640</v>
      </c>
      <c r="C3400" t="s">
        <v>130</v>
      </c>
      <c r="D3400">
        <v>1972</v>
      </c>
      <c r="E3400" t="s">
        <v>29</v>
      </c>
      <c r="F3400" t="s">
        <v>30</v>
      </c>
      <c r="G3400" t="s">
        <v>31</v>
      </c>
      <c r="H3400" t="s">
        <v>32</v>
      </c>
      <c r="I3400">
        <v>1698.3888380000001</v>
      </c>
      <c r="J3400" t="s">
        <v>33</v>
      </c>
      <c r="K3400" t="s">
        <v>4657</v>
      </c>
      <c r="L3400" t="s">
        <v>21</v>
      </c>
      <c r="M3400" t="str">
        <f t="shared" si="159"/>
        <v>OK</v>
      </c>
      <c r="N3400" t="str">
        <f t="shared" si="160"/>
        <v>1970s</v>
      </c>
      <c r="O3400" t="str">
        <f t="shared" si="161"/>
        <v>N/A</v>
      </c>
      <c r="P3400" t="str">
        <f>VLOOKUP(E3400,calculated_fields!$F$4:$G$6,2,FALSE)</f>
        <v>Economy</v>
      </c>
    </row>
    <row r="3401" spans="1:16">
      <c r="A3401" t="s">
        <v>4660</v>
      </c>
      <c r="B3401" t="s">
        <v>4640</v>
      </c>
      <c r="C3401" t="s">
        <v>130</v>
      </c>
      <c r="D3401">
        <v>1977</v>
      </c>
      <c r="E3401" t="s">
        <v>15</v>
      </c>
      <c r="F3401" t="s">
        <v>16</v>
      </c>
      <c r="G3401" t="s">
        <v>17</v>
      </c>
      <c r="H3401" t="s">
        <v>18</v>
      </c>
      <c r="I3401">
        <v>44.514000000000003</v>
      </c>
      <c r="J3401" t="s">
        <v>19</v>
      </c>
      <c r="K3401" t="s">
        <v>4661</v>
      </c>
      <c r="L3401" t="s">
        <v>21</v>
      </c>
      <c r="M3401" t="str">
        <f t="shared" si="159"/>
        <v>OK</v>
      </c>
      <c r="N3401" t="str">
        <f t="shared" si="160"/>
        <v>1970s</v>
      </c>
      <c r="O3401" t="str">
        <f t="shared" si="161"/>
        <v>Low</v>
      </c>
      <c r="P3401" t="str">
        <f>VLOOKUP(E3401,calculated_fields!$F$4:$G$6,2,FALSE)</f>
        <v>Health</v>
      </c>
    </row>
    <row r="3402" spans="1:16">
      <c r="A3402" t="s">
        <v>4662</v>
      </c>
      <c r="B3402" t="s">
        <v>4640</v>
      </c>
      <c r="C3402" t="s">
        <v>130</v>
      </c>
      <c r="D3402">
        <v>1977</v>
      </c>
      <c r="E3402" t="s">
        <v>23</v>
      </c>
      <c r="F3402" t="s">
        <v>24</v>
      </c>
      <c r="G3402" t="s">
        <v>25</v>
      </c>
      <c r="H3402" t="s">
        <v>26</v>
      </c>
      <c r="I3402">
        <v>62209173</v>
      </c>
      <c r="J3402" t="s">
        <v>27</v>
      </c>
      <c r="K3402" t="s">
        <v>4661</v>
      </c>
      <c r="L3402" t="s">
        <v>21</v>
      </c>
      <c r="M3402" t="str">
        <f t="shared" si="159"/>
        <v>OK</v>
      </c>
      <c r="N3402" t="str">
        <f t="shared" si="160"/>
        <v>1970s</v>
      </c>
      <c r="O3402" t="str">
        <f t="shared" si="161"/>
        <v>N/A</v>
      </c>
      <c r="P3402" t="str">
        <f>VLOOKUP(E3402,calculated_fields!$F$4:$G$6,2,FALSE)</f>
        <v>Demographics</v>
      </c>
    </row>
    <row r="3403" spans="1:16">
      <c r="A3403" t="s">
        <v>4663</v>
      </c>
      <c r="B3403" t="s">
        <v>4640</v>
      </c>
      <c r="C3403" t="s">
        <v>130</v>
      </c>
      <c r="D3403">
        <v>1977</v>
      </c>
      <c r="E3403" t="s">
        <v>29</v>
      </c>
      <c r="F3403" t="s">
        <v>30</v>
      </c>
      <c r="G3403" t="s">
        <v>31</v>
      </c>
      <c r="H3403" t="s">
        <v>32</v>
      </c>
      <c r="I3403">
        <v>1981.951806</v>
      </c>
      <c r="J3403" t="s">
        <v>33</v>
      </c>
      <c r="K3403" t="s">
        <v>4661</v>
      </c>
      <c r="L3403" t="s">
        <v>21</v>
      </c>
      <c r="M3403" t="str">
        <f t="shared" si="159"/>
        <v>OK</v>
      </c>
      <c r="N3403" t="str">
        <f t="shared" si="160"/>
        <v>1970s</v>
      </c>
      <c r="O3403" t="str">
        <f t="shared" si="161"/>
        <v>N/A</v>
      </c>
      <c r="P3403" t="str">
        <f>VLOOKUP(E3403,calculated_fields!$F$4:$G$6,2,FALSE)</f>
        <v>Economy</v>
      </c>
    </row>
    <row r="3404" spans="1:16">
      <c r="A3404" t="s">
        <v>4664</v>
      </c>
      <c r="B3404" t="s">
        <v>4640</v>
      </c>
      <c r="C3404" t="s">
        <v>130</v>
      </c>
      <c r="D3404">
        <v>1982</v>
      </c>
      <c r="E3404" t="s">
        <v>15</v>
      </c>
      <c r="F3404" t="s">
        <v>16</v>
      </c>
      <c r="G3404" t="s">
        <v>17</v>
      </c>
      <c r="H3404" t="s">
        <v>18</v>
      </c>
      <c r="I3404">
        <v>45.826000000000001</v>
      </c>
      <c r="J3404" t="s">
        <v>19</v>
      </c>
      <c r="K3404" t="s">
        <v>4665</v>
      </c>
      <c r="L3404" t="s">
        <v>21</v>
      </c>
      <c r="M3404" t="str">
        <f t="shared" si="159"/>
        <v>OK</v>
      </c>
      <c r="N3404" t="str">
        <f t="shared" si="160"/>
        <v>1980s</v>
      </c>
      <c r="O3404" t="str">
        <f t="shared" si="161"/>
        <v>Low</v>
      </c>
      <c r="P3404" t="str">
        <f>VLOOKUP(E3404,calculated_fields!$F$4:$G$6,2,FALSE)</f>
        <v>Health</v>
      </c>
    </row>
    <row r="3405" spans="1:16">
      <c r="A3405" t="s">
        <v>4666</v>
      </c>
      <c r="B3405" t="s">
        <v>4640</v>
      </c>
      <c r="C3405" t="s">
        <v>130</v>
      </c>
      <c r="D3405">
        <v>1982</v>
      </c>
      <c r="E3405" t="s">
        <v>23</v>
      </c>
      <c r="F3405" t="s">
        <v>24</v>
      </c>
      <c r="G3405" t="s">
        <v>25</v>
      </c>
      <c r="H3405" t="s">
        <v>26</v>
      </c>
      <c r="I3405">
        <v>73039376</v>
      </c>
      <c r="J3405" t="s">
        <v>27</v>
      </c>
      <c r="K3405" t="s">
        <v>4665</v>
      </c>
      <c r="L3405" t="s">
        <v>21</v>
      </c>
      <c r="M3405" t="str">
        <f t="shared" si="159"/>
        <v>OK</v>
      </c>
      <c r="N3405" t="str">
        <f t="shared" si="160"/>
        <v>1980s</v>
      </c>
      <c r="O3405" t="str">
        <f t="shared" si="161"/>
        <v>N/A</v>
      </c>
      <c r="P3405" t="str">
        <f>VLOOKUP(E3405,calculated_fields!$F$4:$G$6,2,FALSE)</f>
        <v>Demographics</v>
      </c>
    </row>
    <row r="3406" spans="1:16">
      <c r="A3406" t="s">
        <v>4667</v>
      </c>
      <c r="B3406" t="s">
        <v>4640</v>
      </c>
      <c r="C3406" t="s">
        <v>130</v>
      </c>
      <c r="D3406">
        <v>1982</v>
      </c>
      <c r="E3406" t="s">
        <v>29</v>
      </c>
      <c r="F3406" t="s">
        <v>30</v>
      </c>
      <c r="G3406" t="s">
        <v>31</v>
      </c>
      <c r="H3406" t="s">
        <v>32</v>
      </c>
      <c r="I3406">
        <v>1576.9737500000001</v>
      </c>
      <c r="J3406" t="s">
        <v>33</v>
      </c>
      <c r="K3406" t="s">
        <v>4665</v>
      </c>
      <c r="L3406" t="s">
        <v>21</v>
      </c>
      <c r="M3406" t="str">
        <f t="shared" si="159"/>
        <v>OK</v>
      </c>
      <c r="N3406" t="str">
        <f t="shared" si="160"/>
        <v>1980s</v>
      </c>
      <c r="O3406" t="str">
        <f t="shared" si="161"/>
        <v>N/A</v>
      </c>
      <c r="P3406" t="str">
        <f>VLOOKUP(E3406,calculated_fields!$F$4:$G$6,2,FALSE)</f>
        <v>Economy</v>
      </c>
    </row>
    <row r="3407" spans="1:16">
      <c r="A3407" t="s">
        <v>4668</v>
      </c>
      <c r="B3407" t="s">
        <v>4640</v>
      </c>
      <c r="C3407" t="s">
        <v>130</v>
      </c>
      <c r="D3407">
        <v>1987</v>
      </c>
      <c r="E3407" t="s">
        <v>15</v>
      </c>
      <c r="F3407" t="s">
        <v>16</v>
      </c>
      <c r="G3407" t="s">
        <v>17</v>
      </c>
      <c r="H3407" t="s">
        <v>18</v>
      </c>
      <c r="I3407">
        <v>46.886000000000003</v>
      </c>
      <c r="J3407" t="s">
        <v>19</v>
      </c>
      <c r="K3407" t="s">
        <v>4669</v>
      </c>
      <c r="L3407" t="s">
        <v>21</v>
      </c>
      <c r="M3407" t="str">
        <f t="shared" si="159"/>
        <v>OK</v>
      </c>
      <c r="N3407" t="str">
        <f t="shared" si="160"/>
        <v>1980s</v>
      </c>
      <c r="O3407" t="str">
        <f t="shared" si="161"/>
        <v>Low</v>
      </c>
      <c r="P3407" t="str">
        <f>VLOOKUP(E3407,calculated_fields!$F$4:$G$6,2,FALSE)</f>
        <v>Health</v>
      </c>
    </row>
    <row r="3408" spans="1:16">
      <c r="A3408" t="s">
        <v>4670</v>
      </c>
      <c r="B3408" t="s">
        <v>4640</v>
      </c>
      <c r="C3408" t="s">
        <v>130</v>
      </c>
      <c r="D3408">
        <v>1987</v>
      </c>
      <c r="E3408" t="s">
        <v>23</v>
      </c>
      <c r="F3408" t="s">
        <v>24</v>
      </c>
      <c r="G3408" t="s">
        <v>25</v>
      </c>
      <c r="H3408" t="s">
        <v>26</v>
      </c>
      <c r="I3408">
        <v>81551520</v>
      </c>
      <c r="J3408" t="s">
        <v>27</v>
      </c>
      <c r="K3408" t="s">
        <v>4669</v>
      </c>
      <c r="L3408" t="s">
        <v>21</v>
      </c>
      <c r="M3408" t="str">
        <f t="shared" si="159"/>
        <v>OK</v>
      </c>
      <c r="N3408" t="str">
        <f t="shared" si="160"/>
        <v>1980s</v>
      </c>
      <c r="O3408" t="str">
        <f t="shared" si="161"/>
        <v>N/A</v>
      </c>
      <c r="P3408" t="str">
        <f>VLOOKUP(E3408,calculated_fields!$F$4:$G$6,2,FALSE)</f>
        <v>Demographics</v>
      </c>
    </row>
    <row r="3409" spans="1:16">
      <c r="A3409" t="s">
        <v>4671</v>
      </c>
      <c r="B3409" t="s">
        <v>4640</v>
      </c>
      <c r="C3409" t="s">
        <v>130</v>
      </c>
      <c r="D3409">
        <v>1987</v>
      </c>
      <c r="E3409" t="s">
        <v>29</v>
      </c>
      <c r="F3409" t="s">
        <v>30</v>
      </c>
      <c r="G3409" t="s">
        <v>31</v>
      </c>
      <c r="H3409" t="s">
        <v>32</v>
      </c>
      <c r="I3409">
        <v>1385.0295630000001</v>
      </c>
      <c r="J3409" t="s">
        <v>33</v>
      </c>
      <c r="K3409" t="s">
        <v>4669</v>
      </c>
      <c r="L3409" t="s">
        <v>21</v>
      </c>
      <c r="M3409" t="str">
        <f t="shared" si="159"/>
        <v>OK</v>
      </c>
      <c r="N3409" t="str">
        <f t="shared" si="160"/>
        <v>1980s</v>
      </c>
      <c r="O3409" t="str">
        <f t="shared" si="161"/>
        <v>N/A</v>
      </c>
      <c r="P3409" t="str">
        <f>VLOOKUP(E3409,calculated_fields!$F$4:$G$6,2,FALSE)</f>
        <v>Economy</v>
      </c>
    </row>
    <row r="3410" spans="1:16">
      <c r="A3410" t="s">
        <v>4672</v>
      </c>
      <c r="B3410" t="s">
        <v>4640</v>
      </c>
      <c r="C3410" t="s">
        <v>130</v>
      </c>
      <c r="D3410">
        <v>1992</v>
      </c>
      <c r="E3410" t="s">
        <v>15</v>
      </c>
      <c r="F3410" t="s">
        <v>16</v>
      </c>
      <c r="G3410" t="s">
        <v>17</v>
      </c>
      <c r="H3410" t="s">
        <v>18</v>
      </c>
      <c r="I3410">
        <v>47.472000000000001</v>
      </c>
      <c r="J3410" t="s">
        <v>19</v>
      </c>
      <c r="K3410" t="s">
        <v>4673</v>
      </c>
      <c r="L3410" t="s">
        <v>21</v>
      </c>
      <c r="M3410" t="str">
        <f t="shared" si="159"/>
        <v>OK</v>
      </c>
      <c r="N3410" t="str">
        <f t="shared" si="160"/>
        <v>1990s</v>
      </c>
      <c r="O3410" t="str">
        <f t="shared" si="161"/>
        <v>Low</v>
      </c>
      <c r="P3410" t="str">
        <f>VLOOKUP(E3410,calculated_fields!$F$4:$G$6,2,FALSE)</f>
        <v>Health</v>
      </c>
    </row>
    <row r="3411" spans="1:16">
      <c r="A3411" t="s">
        <v>4674</v>
      </c>
      <c r="B3411" t="s">
        <v>4640</v>
      </c>
      <c r="C3411" t="s">
        <v>130</v>
      </c>
      <c r="D3411">
        <v>1992</v>
      </c>
      <c r="E3411" t="s">
        <v>23</v>
      </c>
      <c r="F3411" t="s">
        <v>24</v>
      </c>
      <c r="G3411" t="s">
        <v>25</v>
      </c>
      <c r="H3411" t="s">
        <v>26</v>
      </c>
      <c r="I3411">
        <v>93364244</v>
      </c>
      <c r="J3411" t="s">
        <v>27</v>
      </c>
      <c r="K3411" t="s">
        <v>4673</v>
      </c>
      <c r="L3411" t="s">
        <v>21</v>
      </c>
      <c r="M3411" t="str">
        <f t="shared" si="159"/>
        <v>OK</v>
      </c>
      <c r="N3411" t="str">
        <f t="shared" si="160"/>
        <v>1990s</v>
      </c>
      <c r="O3411" t="str">
        <f t="shared" si="161"/>
        <v>N/A</v>
      </c>
      <c r="P3411" t="str">
        <f>VLOOKUP(E3411,calculated_fields!$F$4:$G$6,2,FALSE)</f>
        <v>Demographics</v>
      </c>
    </row>
    <row r="3412" spans="1:16">
      <c r="A3412" t="s">
        <v>4675</v>
      </c>
      <c r="B3412" t="s">
        <v>4640</v>
      </c>
      <c r="C3412" t="s">
        <v>130</v>
      </c>
      <c r="D3412">
        <v>1992</v>
      </c>
      <c r="E3412" t="s">
        <v>29</v>
      </c>
      <c r="F3412" t="s">
        <v>30</v>
      </c>
      <c r="G3412" t="s">
        <v>31</v>
      </c>
      <c r="H3412" t="s">
        <v>32</v>
      </c>
      <c r="I3412">
        <v>1619.848217</v>
      </c>
      <c r="J3412" t="s">
        <v>33</v>
      </c>
      <c r="K3412" t="s">
        <v>4673</v>
      </c>
      <c r="L3412" t="s">
        <v>21</v>
      </c>
      <c r="M3412" t="str">
        <f t="shared" si="159"/>
        <v>OK</v>
      </c>
      <c r="N3412" t="str">
        <f t="shared" si="160"/>
        <v>1990s</v>
      </c>
      <c r="O3412" t="str">
        <f t="shared" si="161"/>
        <v>N/A</v>
      </c>
      <c r="P3412" t="str">
        <f>VLOOKUP(E3412,calculated_fields!$F$4:$G$6,2,FALSE)</f>
        <v>Economy</v>
      </c>
    </row>
    <row r="3413" spans="1:16">
      <c r="A3413" t="s">
        <v>4676</v>
      </c>
      <c r="B3413" t="s">
        <v>4640</v>
      </c>
      <c r="C3413" t="s">
        <v>130</v>
      </c>
      <c r="D3413">
        <v>1997</v>
      </c>
      <c r="E3413" t="s">
        <v>15</v>
      </c>
      <c r="F3413" t="s">
        <v>16</v>
      </c>
      <c r="G3413" t="s">
        <v>17</v>
      </c>
      <c r="H3413" t="s">
        <v>18</v>
      </c>
      <c r="I3413">
        <v>47.463999999999999</v>
      </c>
      <c r="J3413" t="s">
        <v>19</v>
      </c>
      <c r="K3413" t="s">
        <v>4677</v>
      </c>
      <c r="L3413" t="s">
        <v>21</v>
      </c>
      <c r="M3413" t="str">
        <f t="shared" si="159"/>
        <v>OK</v>
      </c>
      <c r="N3413" t="str">
        <f t="shared" si="160"/>
        <v>1990s</v>
      </c>
      <c r="O3413" t="str">
        <f t="shared" si="161"/>
        <v>Low</v>
      </c>
      <c r="P3413" t="str">
        <f>VLOOKUP(E3413,calculated_fields!$F$4:$G$6,2,FALSE)</f>
        <v>Health</v>
      </c>
    </row>
    <row r="3414" spans="1:16">
      <c r="A3414" t="s">
        <v>4678</v>
      </c>
      <c r="B3414" t="s">
        <v>4640</v>
      </c>
      <c r="C3414" t="s">
        <v>130</v>
      </c>
      <c r="D3414">
        <v>1997</v>
      </c>
      <c r="E3414" t="s">
        <v>23</v>
      </c>
      <c r="F3414" t="s">
        <v>24</v>
      </c>
      <c r="G3414" t="s">
        <v>25</v>
      </c>
      <c r="H3414" t="s">
        <v>26</v>
      </c>
      <c r="I3414">
        <v>106207839</v>
      </c>
      <c r="J3414" t="s">
        <v>27</v>
      </c>
      <c r="K3414" t="s">
        <v>4677</v>
      </c>
      <c r="L3414" t="s">
        <v>21</v>
      </c>
      <c r="M3414" t="str">
        <f t="shared" si="159"/>
        <v>OK</v>
      </c>
      <c r="N3414" t="str">
        <f t="shared" si="160"/>
        <v>1990s</v>
      </c>
      <c r="O3414" t="str">
        <f t="shared" si="161"/>
        <v>N/A</v>
      </c>
      <c r="P3414" t="str">
        <f>VLOOKUP(E3414,calculated_fields!$F$4:$G$6,2,FALSE)</f>
        <v>Demographics</v>
      </c>
    </row>
    <row r="3415" spans="1:16">
      <c r="A3415" t="s">
        <v>4679</v>
      </c>
      <c r="B3415" t="s">
        <v>4640</v>
      </c>
      <c r="C3415" t="s">
        <v>130</v>
      </c>
      <c r="D3415">
        <v>1997</v>
      </c>
      <c r="E3415" t="s">
        <v>29</v>
      </c>
      <c r="F3415" t="s">
        <v>30</v>
      </c>
      <c r="G3415" t="s">
        <v>31</v>
      </c>
      <c r="H3415" t="s">
        <v>32</v>
      </c>
      <c r="I3415">
        <v>1624.9412749999999</v>
      </c>
      <c r="J3415" t="s">
        <v>33</v>
      </c>
      <c r="K3415" t="s">
        <v>4677</v>
      </c>
      <c r="L3415" t="s">
        <v>21</v>
      </c>
      <c r="M3415" t="str">
        <f t="shared" si="159"/>
        <v>OK</v>
      </c>
      <c r="N3415" t="str">
        <f t="shared" si="160"/>
        <v>1990s</v>
      </c>
      <c r="O3415" t="str">
        <f t="shared" si="161"/>
        <v>N/A</v>
      </c>
      <c r="P3415" t="str">
        <f>VLOOKUP(E3415,calculated_fields!$F$4:$G$6,2,FALSE)</f>
        <v>Economy</v>
      </c>
    </row>
    <row r="3416" spans="1:16">
      <c r="A3416" t="s">
        <v>4680</v>
      </c>
      <c r="B3416" t="s">
        <v>4640</v>
      </c>
      <c r="C3416" t="s">
        <v>130</v>
      </c>
      <c r="D3416">
        <v>2002</v>
      </c>
      <c r="E3416" t="s">
        <v>15</v>
      </c>
      <c r="F3416" t="s">
        <v>16</v>
      </c>
      <c r="G3416" t="s">
        <v>17</v>
      </c>
      <c r="H3416" t="s">
        <v>18</v>
      </c>
      <c r="I3416">
        <v>46.607999999999997</v>
      </c>
      <c r="J3416" t="s">
        <v>19</v>
      </c>
      <c r="K3416" t="s">
        <v>4681</v>
      </c>
      <c r="L3416" t="s">
        <v>21</v>
      </c>
      <c r="M3416" t="str">
        <f t="shared" si="159"/>
        <v>OK</v>
      </c>
      <c r="N3416" t="str">
        <f t="shared" si="160"/>
        <v>2000s</v>
      </c>
      <c r="O3416" t="str">
        <f t="shared" si="161"/>
        <v>Low</v>
      </c>
      <c r="P3416" t="str">
        <f>VLOOKUP(E3416,calculated_fields!$F$4:$G$6,2,FALSE)</f>
        <v>Health</v>
      </c>
    </row>
    <row r="3417" spans="1:16">
      <c r="A3417" t="s">
        <v>4682</v>
      </c>
      <c r="B3417" t="s">
        <v>4640</v>
      </c>
      <c r="C3417" t="s">
        <v>130</v>
      </c>
      <c r="D3417">
        <v>2002</v>
      </c>
      <c r="E3417" t="s">
        <v>23</v>
      </c>
      <c r="F3417" t="s">
        <v>24</v>
      </c>
      <c r="G3417" t="s">
        <v>25</v>
      </c>
      <c r="H3417" t="s">
        <v>26</v>
      </c>
      <c r="I3417">
        <v>119901274</v>
      </c>
      <c r="J3417" t="s">
        <v>27</v>
      </c>
      <c r="K3417" t="s">
        <v>4681</v>
      </c>
      <c r="L3417" t="s">
        <v>21</v>
      </c>
      <c r="M3417" t="str">
        <f t="shared" si="159"/>
        <v>OK</v>
      </c>
      <c r="N3417" t="str">
        <f t="shared" si="160"/>
        <v>2000s</v>
      </c>
      <c r="O3417" t="str">
        <f t="shared" si="161"/>
        <v>N/A</v>
      </c>
      <c r="P3417" t="str">
        <f>VLOOKUP(E3417,calculated_fields!$F$4:$G$6,2,FALSE)</f>
        <v>Demographics</v>
      </c>
    </row>
    <row r="3418" spans="1:16">
      <c r="A3418" t="s">
        <v>4683</v>
      </c>
      <c r="B3418" t="s">
        <v>4640</v>
      </c>
      <c r="C3418" t="s">
        <v>130</v>
      </c>
      <c r="D3418">
        <v>2002</v>
      </c>
      <c r="E3418" t="s">
        <v>29</v>
      </c>
      <c r="F3418" t="s">
        <v>30</v>
      </c>
      <c r="G3418" t="s">
        <v>31</v>
      </c>
      <c r="H3418" t="s">
        <v>32</v>
      </c>
      <c r="I3418">
        <v>1615.2863950000001</v>
      </c>
      <c r="J3418" t="s">
        <v>33</v>
      </c>
      <c r="K3418" t="s">
        <v>4681</v>
      </c>
      <c r="L3418" t="s">
        <v>21</v>
      </c>
      <c r="M3418" t="str">
        <f t="shared" si="159"/>
        <v>OK</v>
      </c>
      <c r="N3418" t="str">
        <f t="shared" si="160"/>
        <v>2000s</v>
      </c>
      <c r="O3418" t="str">
        <f t="shared" si="161"/>
        <v>N/A</v>
      </c>
      <c r="P3418" t="str">
        <f>VLOOKUP(E3418,calculated_fields!$F$4:$G$6,2,FALSE)</f>
        <v>Economy</v>
      </c>
    </row>
    <row r="3419" spans="1:16">
      <c r="A3419" t="s">
        <v>4684</v>
      </c>
      <c r="B3419" t="s">
        <v>4640</v>
      </c>
      <c r="C3419" t="s">
        <v>130</v>
      </c>
      <c r="D3419">
        <v>2007</v>
      </c>
      <c r="E3419" t="s">
        <v>15</v>
      </c>
      <c r="F3419" t="s">
        <v>16</v>
      </c>
      <c r="G3419" t="s">
        <v>17</v>
      </c>
      <c r="H3419" t="s">
        <v>18</v>
      </c>
      <c r="I3419">
        <v>46.859000000000002</v>
      </c>
      <c r="J3419" t="s">
        <v>19</v>
      </c>
      <c r="K3419" t="s">
        <v>4685</v>
      </c>
      <c r="L3419" t="s">
        <v>21</v>
      </c>
      <c r="M3419" t="str">
        <f t="shared" si="159"/>
        <v>OK</v>
      </c>
      <c r="N3419" t="str">
        <f t="shared" si="160"/>
        <v>2000s</v>
      </c>
      <c r="O3419" t="str">
        <f t="shared" si="161"/>
        <v>Low</v>
      </c>
      <c r="P3419" t="str">
        <f>VLOOKUP(E3419,calculated_fields!$F$4:$G$6,2,FALSE)</f>
        <v>Health</v>
      </c>
    </row>
    <row r="3420" spans="1:16">
      <c r="A3420" t="s">
        <v>4686</v>
      </c>
      <c r="B3420" t="s">
        <v>4640</v>
      </c>
      <c r="C3420" t="s">
        <v>130</v>
      </c>
      <c r="D3420">
        <v>2007</v>
      </c>
      <c r="E3420" t="s">
        <v>23</v>
      </c>
      <c r="F3420" t="s">
        <v>24</v>
      </c>
      <c r="G3420" t="s">
        <v>25</v>
      </c>
      <c r="H3420" t="s">
        <v>26</v>
      </c>
      <c r="I3420">
        <v>135031164</v>
      </c>
      <c r="J3420" t="s">
        <v>27</v>
      </c>
      <c r="K3420" t="s">
        <v>4685</v>
      </c>
      <c r="L3420" t="s">
        <v>21</v>
      </c>
      <c r="M3420" t="str">
        <f t="shared" si="159"/>
        <v>OK</v>
      </c>
      <c r="N3420" t="str">
        <f t="shared" si="160"/>
        <v>2000s</v>
      </c>
      <c r="O3420" t="str">
        <f t="shared" si="161"/>
        <v>N/A</v>
      </c>
      <c r="P3420" t="str">
        <f>VLOOKUP(E3420,calculated_fields!$F$4:$G$6,2,FALSE)</f>
        <v>Demographics</v>
      </c>
    </row>
    <row r="3421" spans="1:16">
      <c r="A3421" t="s">
        <v>4687</v>
      </c>
      <c r="B3421" t="s">
        <v>4640</v>
      </c>
      <c r="C3421" t="s">
        <v>130</v>
      </c>
      <c r="D3421">
        <v>2007</v>
      </c>
      <c r="E3421" t="s">
        <v>29</v>
      </c>
      <c r="F3421" t="s">
        <v>30</v>
      </c>
      <c r="G3421" t="s">
        <v>31</v>
      </c>
      <c r="H3421" t="s">
        <v>32</v>
      </c>
      <c r="I3421">
        <v>2013.9773049999999</v>
      </c>
      <c r="J3421" t="s">
        <v>33</v>
      </c>
      <c r="K3421" t="s">
        <v>4685</v>
      </c>
      <c r="L3421" t="s">
        <v>21</v>
      </c>
      <c r="M3421" t="str">
        <f t="shared" si="159"/>
        <v>OK</v>
      </c>
      <c r="N3421" t="str">
        <f t="shared" si="160"/>
        <v>2000s</v>
      </c>
      <c r="O3421" t="str">
        <f t="shared" si="161"/>
        <v>N/A</v>
      </c>
      <c r="P3421" t="str">
        <f>VLOOKUP(E3421,calculated_fields!$F$4:$G$6,2,FALSE)</f>
        <v>Economy</v>
      </c>
    </row>
    <row r="3422" spans="1:16">
      <c r="A3422" t="s">
        <v>4688</v>
      </c>
      <c r="B3422" t="s">
        <v>4689</v>
      </c>
      <c r="C3422" t="s">
        <v>80</v>
      </c>
      <c r="D3422">
        <v>1952</v>
      </c>
      <c r="E3422" t="s">
        <v>15</v>
      </c>
      <c r="F3422" t="s">
        <v>16</v>
      </c>
      <c r="G3422" t="s">
        <v>17</v>
      </c>
      <c r="H3422" t="s">
        <v>18</v>
      </c>
      <c r="I3422">
        <v>72.67</v>
      </c>
      <c r="J3422" t="s">
        <v>19</v>
      </c>
      <c r="K3422" t="s">
        <v>4690</v>
      </c>
      <c r="L3422" t="s">
        <v>21</v>
      </c>
      <c r="M3422" t="str">
        <f t="shared" si="159"/>
        <v>OK</v>
      </c>
      <c r="N3422" t="str">
        <f t="shared" si="160"/>
        <v>1950s</v>
      </c>
      <c r="O3422" t="str">
        <f t="shared" si="161"/>
        <v>High</v>
      </c>
      <c r="P3422" t="str">
        <f>VLOOKUP(E3422,calculated_fields!$F$4:$G$6,2,FALSE)</f>
        <v>Health</v>
      </c>
    </row>
    <row r="3423" spans="1:16">
      <c r="A3423" t="s">
        <v>4691</v>
      </c>
      <c r="B3423" t="s">
        <v>4689</v>
      </c>
      <c r="C3423" t="s">
        <v>80</v>
      </c>
      <c r="D3423">
        <v>1952</v>
      </c>
      <c r="E3423" t="s">
        <v>23</v>
      </c>
      <c r="F3423" t="s">
        <v>24</v>
      </c>
      <c r="G3423" t="s">
        <v>25</v>
      </c>
      <c r="H3423" t="s">
        <v>26</v>
      </c>
      <c r="I3423">
        <v>3327728</v>
      </c>
      <c r="J3423" t="s">
        <v>27</v>
      </c>
      <c r="K3423" t="s">
        <v>4690</v>
      </c>
      <c r="L3423" t="s">
        <v>21</v>
      </c>
      <c r="M3423" t="str">
        <f t="shared" si="159"/>
        <v>OK</v>
      </c>
      <c r="N3423" t="str">
        <f t="shared" si="160"/>
        <v>1950s</v>
      </c>
      <c r="O3423" t="str">
        <f t="shared" si="161"/>
        <v>N/A</v>
      </c>
      <c r="P3423" t="str">
        <f>VLOOKUP(E3423,calculated_fields!$F$4:$G$6,2,FALSE)</f>
        <v>Demographics</v>
      </c>
    </row>
    <row r="3424" spans="1:16">
      <c r="A3424" t="s">
        <v>4692</v>
      </c>
      <c r="B3424" t="s">
        <v>4689</v>
      </c>
      <c r="C3424" t="s">
        <v>80</v>
      </c>
      <c r="D3424">
        <v>1952</v>
      </c>
      <c r="E3424" t="s">
        <v>29</v>
      </c>
      <c r="F3424" t="s">
        <v>30</v>
      </c>
      <c r="G3424" t="s">
        <v>31</v>
      </c>
      <c r="H3424" t="s">
        <v>32</v>
      </c>
      <c r="I3424">
        <v>10095.42172</v>
      </c>
      <c r="J3424" t="s">
        <v>33</v>
      </c>
      <c r="K3424" t="s">
        <v>4690</v>
      </c>
      <c r="L3424" t="s">
        <v>21</v>
      </c>
      <c r="M3424" t="str">
        <f t="shared" si="159"/>
        <v>OK</v>
      </c>
      <c r="N3424" t="str">
        <f t="shared" si="160"/>
        <v>1950s</v>
      </c>
      <c r="O3424" t="str">
        <f t="shared" si="161"/>
        <v>N/A</v>
      </c>
      <c r="P3424" t="str">
        <f>VLOOKUP(E3424,calculated_fields!$F$4:$G$6,2,FALSE)</f>
        <v>Economy</v>
      </c>
    </row>
    <row r="3425" spans="1:16">
      <c r="A3425" t="s">
        <v>4693</v>
      </c>
      <c r="B3425" t="s">
        <v>4689</v>
      </c>
      <c r="C3425" t="s">
        <v>80</v>
      </c>
      <c r="D3425">
        <v>1957</v>
      </c>
      <c r="E3425" t="s">
        <v>15</v>
      </c>
      <c r="F3425" t="s">
        <v>16</v>
      </c>
      <c r="G3425" t="s">
        <v>17</v>
      </c>
      <c r="H3425" t="s">
        <v>18</v>
      </c>
      <c r="I3425">
        <v>73.44</v>
      </c>
      <c r="J3425" t="s">
        <v>19</v>
      </c>
      <c r="K3425" t="s">
        <v>4694</v>
      </c>
      <c r="L3425" t="s">
        <v>21</v>
      </c>
      <c r="M3425" t="str">
        <f t="shared" si="159"/>
        <v>OK</v>
      </c>
      <c r="N3425" t="str">
        <f t="shared" si="160"/>
        <v>1950s</v>
      </c>
      <c r="O3425" t="str">
        <f t="shared" si="161"/>
        <v>High</v>
      </c>
      <c r="P3425" t="str">
        <f>VLOOKUP(E3425,calculated_fields!$F$4:$G$6,2,FALSE)</f>
        <v>Health</v>
      </c>
    </row>
    <row r="3426" spans="1:16">
      <c r="A3426" t="s">
        <v>4695</v>
      </c>
      <c r="B3426" t="s">
        <v>4689</v>
      </c>
      <c r="C3426" t="s">
        <v>80</v>
      </c>
      <c r="D3426">
        <v>1957</v>
      </c>
      <c r="E3426" t="s">
        <v>23</v>
      </c>
      <c r="F3426" t="s">
        <v>24</v>
      </c>
      <c r="G3426" t="s">
        <v>25</v>
      </c>
      <c r="H3426" t="s">
        <v>26</v>
      </c>
      <c r="I3426">
        <v>3491938</v>
      </c>
      <c r="J3426" t="s">
        <v>27</v>
      </c>
      <c r="K3426" t="s">
        <v>4694</v>
      </c>
      <c r="L3426" t="s">
        <v>21</v>
      </c>
      <c r="M3426" t="str">
        <f t="shared" si="159"/>
        <v>OK</v>
      </c>
      <c r="N3426" t="str">
        <f t="shared" si="160"/>
        <v>1950s</v>
      </c>
      <c r="O3426" t="str">
        <f t="shared" si="161"/>
        <v>N/A</v>
      </c>
      <c r="P3426" t="str">
        <f>VLOOKUP(E3426,calculated_fields!$F$4:$G$6,2,FALSE)</f>
        <v>Demographics</v>
      </c>
    </row>
    <row r="3427" spans="1:16">
      <c r="A3427" t="s">
        <v>4696</v>
      </c>
      <c r="B3427" t="s">
        <v>4689</v>
      </c>
      <c r="C3427" t="s">
        <v>80</v>
      </c>
      <c r="D3427">
        <v>1957</v>
      </c>
      <c r="E3427" t="s">
        <v>29</v>
      </c>
      <c r="F3427" t="s">
        <v>30</v>
      </c>
      <c r="G3427" t="s">
        <v>31</v>
      </c>
      <c r="H3427" t="s">
        <v>32</v>
      </c>
      <c r="I3427">
        <v>11653.973040000001</v>
      </c>
      <c r="J3427" t="s">
        <v>33</v>
      </c>
      <c r="K3427" t="s">
        <v>4694</v>
      </c>
      <c r="L3427" t="s">
        <v>21</v>
      </c>
      <c r="M3427" t="str">
        <f t="shared" si="159"/>
        <v>OK</v>
      </c>
      <c r="N3427" t="str">
        <f t="shared" si="160"/>
        <v>1950s</v>
      </c>
      <c r="O3427" t="str">
        <f t="shared" si="161"/>
        <v>N/A</v>
      </c>
      <c r="P3427" t="str">
        <f>VLOOKUP(E3427,calculated_fields!$F$4:$G$6,2,FALSE)</f>
        <v>Economy</v>
      </c>
    </row>
    <row r="3428" spans="1:16">
      <c r="A3428" t="s">
        <v>4697</v>
      </c>
      <c r="B3428" t="s">
        <v>4689</v>
      </c>
      <c r="C3428" t="s">
        <v>80</v>
      </c>
      <c r="D3428">
        <v>1962</v>
      </c>
      <c r="E3428" t="s">
        <v>15</v>
      </c>
      <c r="F3428" t="s">
        <v>16</v>
      </c>
      <c r="G3428" t="s">
        <v>17</v>
      </c>
      <c r="H3428" t="s">
        <v>18</v>
      </c>
      <c r="I3428">
        <v>73.47</v>
      </c>
      <c r="J3428" t="s">
        <v>19</v>
      </c>
      <c r="K3428" t="s">
        <v>4698</v>
      </c>
      <c r="L3428" t="s">
        <v>21</v>
      </c>
      <c r="M3428" t="str">
        <f t="shared" si="159"/>
        <v>OK</v>
      </c>
      <c r="N3428" t="str">
        <f t="shared" si="160"/>
        <v>1960s</v>
      </c>
      <c r="O3428" t="str">
        <f t="shared" si="161"/>
        <v>High</v>
      </c>
      <c r="P3428" t="str">
        <f>VLOOKUP(E3428,calculated_fields!$F$4:$G$6,2,FALSE)</f>
        <v>Health</v>
      </c>
    </row>
    <row r="3429" spans="1:16">
      <c r="A3429" t="s">
        <v>4699</v>
      </c>
      <c r="B3429" t="s">
        <v>4689</v>
      </c>
      <c r="C3429" t="s">
        <v>80</v>
      </c>
      <c r="D3429">
        <v>1962</v>
      </c>
      <c r="E3429" t="s">
        <v>23</v>
      </c>
      <c r="F3429" t="s">
        <v>24</v>
      </c>
      <c r="G3429" t="s">
        <v>25</v>
      </c>
      <c r="H3429" t="s">
        <v>26</v>
      </c>
      <c r="I3429">
        <v>3638919</v>
      </c>
      <c r="J3429" t="s">
        <v>27</v>
      </c>
      <c r="K3429" t="s">
        <v>4698</v>
      </c>
      <c r="L3429" t="s">
        <v>21</v>
      </c>
      <c r="M3429" t="str">
        <f t="shared" si="159"/>
        <v>OK</v>
      </c>
      <c r="N3429" t="str">
        <f t="shared" si="160"/>
        <v>1960s</v>
      </c>
      <c r="O3429" t="str">
        <f t="shared" si="161"/>
        <v>N/A</v>
      </c>
      <c r="P3429" t="str">
        <f>VLOOKUP(E3429,calculated_fields!$F$4:$G$6,2,FALSE)</f>
        <v>Demographics</v>
      </c>
    </row>
    <row r="3430" spans="1:16">
      <c r="A3430" t="s">
        <v>4700</v>
      </c>
      <c r="B3430" t="s">
        <v>4689</v>
      </c>
      <c r="C3430" t="s">
        <v>80</v>
      </c>
      <c r="D3430">
        <v>1962</v>
      </c>
      <c r="E3430" t="s">
        <v>29</v>
      </c>
      <c r="F3430" t="s">
        <v>30</v>
      </c>
      <c r="G3430" t="s">
        <v>31</v>
      </c>
      <c r="H3430" t="s">
        <v>32</v>
      </c>
      <c r="I3430">
        <v>13450.40151</v>
      </c>
      <c r="J3430" t="s">
        <v>33</v>
      </c>
      <c r="K3430" t="s">
        <v>4698</v>
      </c>
      <c r="L3430" t="s">
        <v>21</v>
      </c>
      <c r="M3430" t="str">
        <f t="shared" si="159"/>
        <v>OK</v>
      </c>
      <c r="N3430" t="str">
        <f t="shared" si="160"/>
        <v>1960s</v>
      </c>
      <c r="O3430" t="str">
        <f t="shared" si="161"/>
        <v>N/A</v>
      </c>
      <c r="P3430" t="str">
        <f>VLOOKUP(E3430,calculated_fields!$F$4:$G$6,2,FALSE)</f>
        <v>Economy</v>
      </c>
    </row>
    <row r="3431" spans="1:16">
      <c r="A3431" t="s">
        <v>4701</v>
      </c>
      <c r="B3431" t="s">
        <v>4689</v>
      </c>
      <c r="C3431" t="s">
        <v>80</v>
      </c>
      <c r="D3431">
        <v>1967</v>
      </c>
      <c r="E3431" t="s">
        <v>15</v>
      </c>
      <c r="F3431" t="s">
        <v>16</v>
      </c>
      <c r="G3431" t="s">
        <v>17</v>
      </c>
      <c r="H3431" t="s">
        <v>18</v>
      </c>
      <c r="I3431">
        <v>74.08</v>
      </c>
      <c r="J3431" t="s">
        <v>19</v>
      </c>
      <c r="K3431" t="s">
        <v>4702</v>
      </c>
      <c r="L3431" t="s">
        <v>21</v>
      </c>
      <c r="M3431" t="str">
        <f t="shared" si="159"/>
        <v>OK</v>
      </c>
      <c r="N3431" t="str">
        <f t="shared" si="160"/>
        <v>1960s</v>
      </c>
      <c r="O3431" t="str">
        <f t="shared" si="161"/>
        <v>High</v>
      </c>
      <c r="P3431" t="str">
        <f>VLOOKUP(E3431,calculated_fields!$F$4:$G$6,2,FALSE)</f>
        <v>Health</v>
      </c>
    </row>
    <row r="3432" spans="1:16">
      <c r="A3432" t="s">
        <v>4703</v>
      </c>
      <c r="B3432" t="s">
        <v>4689</v>
      </c>
      <c r="C3432" t="s">
        <v>80</v>
      </c>
      <c r="D3432">
        <v>1967</v>
      </c>
      <c r="E3432" t="s">
        <v>23</v>
      </c>
      <c r="F3432" t="s">
        <v>24</v>
      </c>
      <c r="G3432" t="s">
        <v>25</v>
      </c>
      <c r="H3432" t="s">
        <v>26</v>
      </c>
      <c r="I3432">
        <v>3786019</v>
      </c>
      <c r="J3432" t="s">
        <v>27</v>
      </c>
      <c r="K3432" t="s">
        <v>4702</v>
      </c>
      <c r="L3432" t="s">
        <v>21</v>
      </c>
      <c r="M3432" t="str">
        <f t="shared" si="159"/>
        <v>OK</v>
      </c>
      <c r="N3432" t="str">
        <f t="shared" si="160"/>
        <v>1960s</v>
      </c>
      <c r="O3432" t="str">
        <f t="shared" si="161"/>
        <v>N/A</v>
      </c>
      <c r="P3432" t="str">
        <f>VLOOKUP(E3432,calculated_fields!$F$4:$G$6,2,FALSE)</f>
        <v>Demographics</v>
      </c>
    </row>
    <row r="3433" spans="1:16">
      <c r="A3433" t="s">
        <v>4704</v>
      </c>
      <c r="B3433" t="s">
        <v>4689</v>
      </c>
      <c r="C3433" t="s">
        <v>80</v>
      </c>
      <c r="D3433">
        <v>1967</v>
      </c>
      <c r="E3433" t="s">
        <v>29</v>
      </c>
      <c r="F3433" t="s">
        <v>30</v>
      </c>
      <c r="G3433" t="s">
        <v>31</v>
      </c>
      <c r="H3433" t="s">
        <v>32</v>
      </c>
      <c r="I3433">
        <v>16361.876469999999</v>
      </c>
      <c r="J3433" t="s">
        <v>33</v>
      </c>
      <c r="K3433" t="s">
        <v>4702</v>
      </c>
      <c r="L3433" t="s">
        <v>21</v>
      </c>
      <c r="M3433" t="str">
        <f t="shared" si="159"/>
        <v>OK</v>
      </c>
      <c r="N3433" t="str">
        <f t="shared" si="160"/>
        <v>1960s</v>
      </c>
      <c r="O3433" t="str">
        <f t="shared" si="161"/>
        <v>N/A</v>
      </c>
      <c r="P3433" t="str">
        <f>VLOOKUP(E3433,calculated_fields!$F$4:$G$6,2,FALSE)</f>
        <v>Economy</v>
      </c>
    </row>
    <row r="3434" spans="1:16">
      <c r="A3434" t="s">
        <v>4705</v>
      </c>
      <c r="B3434" t="s">
        <v>4689</v>
      </c>
      <c r="C3434" t="s">
        <v>80</v>
      </c>
      <c r="D3434">
        <v>1972</v>
      </c>
      <c r="E3434" t="s">
        <v>15</v>
      </c>
      <c r="F3434" t="s">
        <v>16</v>
      </c>
      <c r="G3434" t="s">
        <v>17</v>
      </c>
      <c r="H3434" t="s">
        <v>18</v>
      </c>
      <c r="I3434">
        <v>74.34</v>
      </c>
      <c r="J3434" t="s">
        <v>19</v>
      </c>
      <c r="K3434" t="s">
        <v>4706</v>
      </c>
      <c r="L3434" t="s">
        <v>21</v>
      </c>
      <c r="M3434" t="str">
        <f t="shared" si="159"/>
        <v>OK</v>
      </c>
      <c r="N3434" t="str">
        <f t="shared" si="160"/>
        <v>1970s</v>
      </c>
      <c r="O3434" t="str">
        <f t="shared" si="161"/>
        <v>High</v>
      </c>
      <c r="P3434" t="str">
        <f>VLOOKUP(E3434,calculated_fields!$F$4:$G$6,2,FALSE)</f>
        <v>Health</v>
      </c>
    </row>
    <row r="3435" spans="1:16">
      <c r="A3435" t="s">
        <v>4707</v>
      </c>
      <c r="B3435" t="s">
        <v>4689</v>
      </c>
      <c r="C3435" t="s">
        <v>80</v>
      </c>
      <c r="D3435">
        <v>1972</v>
      </c>
      <c r="E3435" t="s">
        <v>23</v>
      </c>
      <c r="F3435" t="s">
        <v>24</v>
      </c>
      <c r="G3435" t="s">
        <v>25</v>
      </c>
      <c r="H3435" t="s">
        <v>26</v>
      </c>
      <c r="I3435">
        <v>3933004</v>
      </c>
      <c r="J3435" t="s">
        <v>27</v>
      </c>
      <c r="K3435" t="s">
        <v>4706</v>
      </c>
      <c r="L3435" t="s">
        <v>21</v>
      </c>
      <c r="M3435" t="str">
        <f t="shared" si="159"/>
        <v>OK</v>
      </c>
      <c r="N3435" t="str">
        <f t="shared" si="160"/>
        <v>1970s</v>
      </c>
      <c r="O3435" t="str">
        <f t="shared" si="161"/>
        <v>N/A</v>
      </c>
      <c r="P3435" t="str">
        <f>VLOOKUP(E3435,calculated_fields!$F$4:$G$6,2,FALSE)</f>
        <v>Demographics</v>
      </c>
    </row>
    <row r="3436" spans="1:16">
      <c r="A3436" t="s">
        <v>4708</v>
      </c>
      <c r="B3436" t="s">
        <v>4689</v>
      </c>
      <c r="C3436" t="s">
        <v>80</v>
      </c>
      <c r="D3436">
        <v>1972</v>
      </c>
      <c r="E3436" t="s">
        <v>29</v>
      </c>
      <c r="F3436" t="s">
        <v>30</v>
      </c>
      <c r="G3436" t="s">
        <v>31</v>
      </c>
      <c r="H3436" t="s">
        <v>32</v>
      </c>
      <c r="I3436">
        <v>18965.055509999998</v>
      </c>
      <c r="J3436" t="s">
        <v>33</v>
      </c>
      <c r="K3436" t="s">
        <v>4706</v>
      </c>
      <c r="L3436" t="s">
        <v>21</v>
      </c>
      <c r="M3436" t="str">
        <f t="shared" si="159"/>
        <v>OK</v>
      </c>
      <c r="N3436" t="str">
        <f t="shared" si="160"/>
        <v>1970s</v>
      </c>
      <c r="O3436" t="str">
        <f t="shared" si="161"/>
        <v>N/A</v>
      </c>
      <c r="P3436" t="str">
        <f>VLOOKUP(E3436,calculated_fields!$F$4:$G$6,2,FALSE)</f>
        <v>Economy</v>
      </c>
    </row>
    <row r="3437" spans="1:16">
      <c r="A3437" t="s">
        <v>4709</v>
      </c>
      <c r="B3437" t="s">
        <v>4689</v>
      </c>
      <c r="C3437" t="s">
        <v>80</v>
      </c>
      <c r="D3437">
        <v>1977</v>
      </c>
      <c r="E3437" t="s">
        <v>15</v>
      </c>
      <c r="F3437" t="s">
        <v>16</v>
      </c>
      <c r="G3437" t="s">
        <v>17</v>
      </c>
      <c r="H3437" t="s">
        <v>18</v>
      </c>
      <c r="I3437">
        <v>75.37</v>
      </c>
      <c r="J3437" t="s">
        <v>19</v>
      </c>
      <c r="K3437" t="s">
        <v>4710</v>
      </c>
      <c r="L3437" t="s">
        <v>21</v>
      </c>
      <c r="M3437" t="str">
        <f t="shared" si="159"/>
        <v>OK</v>
      </c>
      <c r="N3437" t="str">
        <f t="shared" si="160"/>
        <v>1970s</v>
      </c>
      <c r="O3437" t="str">
        <f t="shared" si="161"/>
        <v>High</v>
      </c>
      <c r="P3437" t="str">
        <f>VLOOKUP(E3437,calculated_fields!$F$4:$G$6,2,FALSE)</f>
        <v>Health</v>
      </c>
    </row>
    <row r="3438" spans="1:16">
      <c r="A3438" t="s">
        <v>4711</v>
      </c>
      <c r="B3438" t="s">
        <v>4689</v>
      </c>
      <c r="C3438" t="s">
        <v>80</v>
      </c>
      <c r="D3438">
        <v>1977</v>
      </c>
      <c r="E3438" t="s">
        <v>23</v>
      </c>
      <c r="F3438" t="s">
        <v>24</v>
      </c>
      <c r="G3438" t="s">
        <v>25</v>
      </c>
      <c r="H3438" t="s">
        <v>26</v>
      </c>
      <c r="I3438">
        <v>4043205</v>
      </c>
      <c r="J3438" t="s">
        <v>27</v>
      </c>
      <c r="K3438" t="s">
        <v>4710</v>
      </c>
      <c r="L3438" t="s">
        <v>21</v>
      </c>
      <c r="M3438" t="str">
        <f t="shared" si="159"/>
        <v>OK</v>
      </c>
      <c r="N3438" t="str">
        <f t="shared" si="160"/>
        <v>1970s</v>
      </c>
      <c r="O3438" t="str">
        <f t="shared" si="161"/>
        <v>N/A</v>
      </c>
      <c r="P3438" t="str">
        <f>VLOOKUP(E3438,calculated_fields!$F$4:$G$6,2,FALSE)</f>
        <v>Demographics</v>
      </c>
    </row>
    <row r="3439" spans="1:16">
      <c r="A3439" t="s">
        <v>4712</v>
      </c>
      <c r="B3439" t="s">
        <v>4689</v>
      </c>
      <c r="C3439" t="s">
        <v>80</v>
      </c>
      <c r="D3439">
        <v>1977</v>
      </c>
      <c r="E3439" t="s">
        <v>29</v>
      </c>
      <c r="F3439" t="s">
        <v>30</v>
      </c>
      <c r="G3439" t="s">
        <v>31</v>
      </c>
      <c r="H3439" t="s">
        <v>32</v>
      </c>
      <c r="I3439">
        <v>23311.349389999999</v>
      </c>
      <c r="J3439" t="s">
        <v>33</v>
      </c>
      <c r="K3439" t="s">
        <v>4710</v>
      </c>
      <c r="L3439" t="s">
        <v>21</v>
      </c>
      <c r="M3439" t="str">
        <f t="shared" si="159"/>
        <v>OK</v>
      </c>
      <c r="N3439" t="str">
        <f t="shared" si="160"/>
        <v>1970s</v>
      </c>
      <c r="O3439" t="str">
        <f t="shared" si="161"/>
        <v>N/A</v>
      </c>
      <c r="P3439" t="str">
        <f>VLOOKUP(E3439,calculated_fields!$F$4:$G$6,2,FALSE)</f>
        <v>Economy</v>
      </c>
    </row>
    <row r="3440" spans="1:16">
      <c r="A3440" t="s">
        <v>4713</v>
      </c>
      <c r="B3440" t="s">
        <v>4689</v>
      </c>
      <c r="C3440" t="s">
        <v>80</v>
      </c>
      <c r="D3440">
        <v>1982</v>
      </c>
      <c r="E3440" t="s">
        <v>15</v>
      </c>
      <c r="F3440" t="s">
        <v>16</v>
      </c>
      <c r="G3440" t="s">
        <v>17</v>
      </c>
      <c r="H3440" t="s">
        <v>18</v>
      </c>
      <c r="I3440">
        <v>75.97</v>
      </c>
      <c r="J3440" t="s">
        <v>19</v>
      </c>
      <c r="K3440" t="s">
        <v>4714</v>
      </c>
      <c r="L3440" t="s">
        <v>21</v>
      </c>
      <c r="M3440" t="str">
        <f t="shared" si="159"/>
        <v>OK</v>
      </c>
      <c r="N3440" t="str">
        <f t="shared" si="160"/>
        <v>1980s</v>
      </c>
      <c r="O3440" t="str">
        <f t="shared" si="161"/>
        <v>High</v>
      </c>
      <c r="P3440" t="str">
        <f>VLOOKUP(E3440,calculated_fields!$F$4:$G$6,2,FALSE)</f>
        <v>Health</v>
      </c>
    </row>
    <row r="3441" spans="1:16">
      <c r="A3441" t="s">
        <v>4715</v>
      </c>
      <c r="B3441" t="s">
        <v>4689</v>
      </c>
      <c r="C3441" t="s">
        <v>80</v>
      </c>
      <c r="D3441">
        <v>1982</v>
      </c>
      <c r="E3441" t="s">
        <v>23</v>
      </c>
      <c r="F3441" t="s">
        <v>24</v>
      </c>
      <c r="G3441" t="s">
        <v>25</v>
      </c>
      <c r="H3441" t="s">
        <v>26</v>
      </c>
      <c r="I3441">
        <v>4114787</v>
      </c>
      <c r="J3441" t="s">
        <v>27</v>
      </c>
      <c r="K3441" t="s">
        <v>4714</v>
      </c>
      <c r="L3441" t="s">
        <v>21</v>
      </c>
      <c r="M3441" t="str">
        <f t="shared" si="159"/>
        <v>OK</v>
      </c>
      <c r="N3441" t="str">
        <f t="shared" si="160"/>
        <v>1980s</v>
      </c>
      <c r="O3441" t="str">
        <f t="shared" si="161"/>
        <v>N/A</v>
      </c>
      <c r="P3441" t="str">
        <f>VLOOKUP(E3441,calculated_fields!$F$4:$G$6,2,FALSE)</f>
        <v>Demographics</v>
      </c>
    </row>
    <row r="3442" spans="1:16">
      <c r="A3442" t="s">
        <v>4716</v>
      </c>
      <c r="B3442" t="s">
        <v>4689</v>
      </c>
      <c r="C3442" t="s">
        <v>80</v>
      </c>
      <c r="D3442">
        <v>1982</v>
      </c>
      <c r="E3442" t="s">
        <v>29</v>
      </c>
      <c r="F3442" t="s">
        <v>30</v>
      </c>
      <c r="G3442" t="s">
        <v>31</v>
      </c>
      <c r="H3442" t="s">
        <v>32</v>
      </c>
      <c r="I3442">
        <v>26298.635310000001</v>
      </c>
      <c r="J3442" t="s">
        <v>33</v>
      </c>
      <c r="K3442" t="s">
        <v>4714</v>
      </c>
      <c r="L3442" t="s">
        <v>21</v>
      </c>
      <c r="M3442" t="str">
        <f t="shared" si="159"/>
        <v>OK</v>
      </c>
      <c r="N3442" t="str">
        <f t="shared" si="160"/>
        <v>1980s</v>
      </c>
      <c r="O3442" t="str">
        <f t="shared" si="161"/>
        <v>N/A</v>
      </c>
      <c r="P3442" t="str">
        <f>VLOOKUP(E3442,calculated_fields!$F$4:$G$6,2,FALSE)</f>
        <v>Economy</v>
      </c>
    </row>
    <row r="3443" spans="1:16">
      <c r="A3443" t="s">
        <v>4717</v>
      </c>
      <c r="B3443" t="s">
        <v>4689</v>
      </c>
      <c r="C3443" t="s">
        <v>80</v>
      </c>
      <c r="D3443">
        <v>1987</v>
      </c>
      <c r="E3443" t="s">
        <v>15</v>
      </c>
      <c r="F3443" t="s">
        <v>16</v>
      </c>
      <c r="G3443" t="s">
        <v>17</v>
      </c>
      <c r="H3443" t="s">
        <v>18</v>
      </c>
      <c r="I3443">
        <v>75.89</v>
      </c>
      <c r="J3443" t="s">
        <v>19</v>
      </c>
      <c r="K3443" t="s">
        <v>4718</v>
      </c>
      <c r="L3443" t="s">
        <v>21</v>
      </c>
      <c r="M3443" t="str">
        <f t="shared" si="159"/>
        <v>OK</v>
      </c>
      <c r="N3443" t="str">
        <f t="shared" si="160"/>
        <v>1980s</v>
      </c>
      <c r="O3443" t="str">
        <f t="shared" si="161"/>
        <v>High</v>
      </c>
      <c r="P3443" t="str">
        <f>VLOOKUP(E3443,calculated_fields!$F$4:$G$6,2,FALSE)</f>
        <v>Health</v>
      </c>
    </row>
    <row r="3444" spans="1:16">
      <c r="A3444" t="s">
        <v>4719</v>
      </c>
      <c r="B3444" t="s">
        <v>4689</v>
      </c>
      <c r="C3444" t="s">
        <v>80</v>
      </c>
      <c r="D3444">
        <v>1987</v>
      </c>
      <c r="E3444" t="s">
        <v>23</v>
      </c>
      <c r="F3444" t="s">
        <v>24</v>
      </c>
      <c r="G3444" t="s">
        <v>25</v>
      </c>
      <c r="H3444" t="s">
        <v>26</v>
      </c>
      <c r="I3444">
        <v>4186147</v>
      </c>
      <c r="J3444" t="s">
        <v>27</v>
      </c>
      <c r="K3444" t="s">
        <v>4718</v>
      </c>
      <c r="L3444" t="s">
        <v>21</v>
      </c>
      <c r="M3444" t="str">
        <f t="shared" si="159"/>
        <v>OK</v>
      </c>
      <c r="N3444" t="str">
        <f t="shared" si="160"/>
        <v>1980s</v>
      </c>
      <c r="O3444" t="str">
        <f t="shared" si="161"/>
        <v>N/A</v>
      </c>
      <c r="P3444" t="str">
        <f>VLOOKUP(E3444,calculated_fields!$F$4:$G$6,2,FALSE)</f>
        <v>Demographics</v>
      </c>
    </row>
    <row r="3445" spans="1:16">
      <c r="A3445" t="s">
        <v>4720</v>
      </c>
      <c r="B3445" t="s">
        <v>4689</v>
      </c>
      <c r="C3445" t="s">
        <v>80</v>
      </c>
      <c r="D3445">
        <v>1987</v>
      </c>
      <c r="E3445" t="s">
        <v>29</v>
      </c>
      <c r="F3445" t="s">
        <v>30</v>
      </c>
      <c r="G3445" t="s">
        <v>31</v>
      </c>
      <c r="H3445" t="s">
        <v>32</v>
      </c>
      <c r="I3445">
        <v>31540.9748</v>
      </c>
      <c r="J3445" t="s">
        <v>33</v>
      </c>
      <c r="K3445" t="s">
        <v>4718</v>
      </c>
      <c r="L3445" t="s">
        <v>21</v>
      </c>
      <c r="M3445" t="str">
        <f t="shared" si="159"/>
        <v>OK</v>
      </c>
      <c r="N3445" t="str">
        <f t="shared" si="160"/>
        <v>1980s</v>
      </c>
      <c r="O3445" t="str">
        <f t="shared" si="161"/>
        <v>N/A</v>
      </c>
      <c r="P3445" t="str">
        <f>VLOOKUP(E3445,calculated_fields!$F$4:$G$6,2,FALSE)</f>
        <v>Economy</v>
      </c>
    </row>
    <row r="3446" spans="1:16">
      <c r="A3446" t="s">
        <v>4721</v>
      </c>
      <c r="B3446" t="s">
        <v>4689</v>
      </c>
      <c r="C3446" t="s">
        <v>80</v>
      </c>
      <c r="D3446">
        <v>1992</v>
      </c>
      <c r="E3446" t="s">
        <v>15</v>
      </c>
      <c r="F3446" t="s">
        <v>16</v>
      </c>
      <c r="G3446" t="s">
        <v>17</v>
      </c>
      <c r="H3446" t="s">
        <v>18</v>
      </c>
      <c r="I3446">
        <v>77.319999999999993</v>
      </c>
      <c r="J3446" t="s">
        <v>19</v>
      </c>
      <c r="K3446" t="s">
        <v>4722</v>
      </c>
      <c r="L3446" t="s">
        <v>21</v>
      </c>
      <c r="M3446" t="str">
        <f t="shared" si="159"/>
        <v>OK</v>
      </c>
      <c r="N3446" t="str">
        <f t="shared" si="160"/>
        <v>1990s</v>
      </c>
      <c r="O3446" t="str">
        <f t="shared" si="161"/>
        <v>High</v>
      </c>
      <c r="P3446" t="str">
        <f>VLOOKUP(E3446,calculated_fields!$F$4:$G$6,2,FALSE)</f>
        <v>Health</v>
      </c>
    </row>
    <row r="3447" spans="1:16">
      <c r="A3447" t="s">
        <v>4723</v>
      </c>
      <c r="B3447" t="s">
        <v>4689</v>
      </c>
      <c r="C3447" t="s">
        <v>80</v>
      </c>
      <c r="D3447">
        <v>1992</v>
      </c>
      <c r="E3447" t="s">
        <v>23</v>
      </c>
      <c r="F3447" t="s">
        <v>24</v>
      </c>
      <c r="G3447" t="s">
        <v>25</v>
      </c>
      <c r="H3447" t="s">
        <v>26</v>
      </c>
      <c r="I3447">
        <v>4286357</v>
      </c>
      <c r="J3447" t="s">
        <v>27</v>
      </c>
      <c r="K3447" t="s">
        <v>4722</v>
      </c>
      <c r="L3447" t="s">
        <v>21</v>
      </c>
      <c r="M3447" t="str">
        <f t="shared" si="159"/>
        <v>OK</v>
      </c>
      <c r="N3447" t="str">
        <f t="shared" si="160"/>
        <v>1990s</v>
      </c>
      <c r="O3447" t="str">
        <f t="shared" si="161"/>
        <v>N/A</v>
      </c>
      <c r="P3447" t="str">
        <f>VLOOKUP(E3447,calculated_fields!$F$4:$G$6,2,FALSE)</f>
        <v>Demographics</v>
      </c>
    </row>
    <row r="3448" spans="1:16">
      <c r="A3448" t="s">
        <v>4724</v>
      </c>
      <c r="B3448" t="s">
        <v>4689</v>
      </c>
      <c r="C3448" t="s">
        <v>80</v>
      </c>
      <c r="D3448">
        <v>1992</v>
      </c>
      <c r="E3448" t="s">
        <v>29</v>
      </c>
      <c r="F3448" t="s">
        <v>30</v>
      </c>
      <c r="G3448" t="s">
        <v>31</v>
      </c>
      <c r="H3448" t="s">
        <v>32</v>
      </c>
      <c r="I3448">
        <v>33965.66115</v>
      </c>
      <c r="J3448" t="s">
        <v>33</v>
      </c>
      <c r="K3448" t="s">
        <v>4722</v>
      </c>
      <c r="L3448" t="s">
        <v>21</v>
      </c>
      <c r="M3448" t="str">
        <f t="shared" si="159"/>
        <v>OK</v>
      </c>
      <c r="N3448" t="str">
        <f t="shared" si="160"/>
        <v>1990s</v>
      </c>
      <c r="O3448" t="str">
        <f t="shared" si="161"/>
        <v>N/A</v>
      </c>
      <c r="P3448" t="str">
        <f>VLOOKUP(E3448,calculated_fields!$F$4:$G$6,2,FALSE)</f>
        <v>Economy</v>
      </c>
    </row>
    <row r="3449" spans="1:16">
      <c r="A3449" t="s">
        <v>4725</v>
      </c>
      <c r="B3449" t="s">
        <v>4689</v>
      </c>
      <c r="C3449" t="s">
        <v>80</v>
      </c>
      <c r="D3449">
        <v>1997</v>
      </c>
      <c r="E3449" t="s">
        <v>15</v>
      </c>
      <c r="F3449" t="s">
        <v>16</v>
      </c>
      <c r="G3449" t="s">
        <v>17</v>
      </c>
      <c r="H3449" t="s">
        <v>18</v>
      </c>
      <c r="I3449">
        <v>78.319999999999993</v>
      </c>
      <c r="J3449" t="s">
        <v>19</v>
      </c>
      <c r="K3449" t="s">
        <v>4726</v>
      </c>
      <c r="L3449" t="s">
        <v>21</v>
      </c>
      <c r="M3449" t="str">
        <f t="shared" si="159"/>
        <v>OK</v>
      </c>
      <c r="N3449" t="str">
        <f t="shared" si="160"/>
        <v>1990s</v>
      </c>
      <c r="O3449" t="str">
        <f t="shared" si="161"/>
        <v>High</v>
      </c>
      <c r="P3449" t="str">
        <f>VLOOKUP(E3449,calculated_fields!$F$4:$G$6,2,FALSE)</f>
        <v>Health</v>
      </c>
    </row>
    <row r="3450" spans="1:16">
      <c r="A3450" t="s">
        <v>4727</v>
      </c>
      <c r="B3450" t="s">
        <v>4689</v>
      </c>
      <c r="C3450" t="s">
        <v>80</v>
      </c>
      <c r="D3450">
        <v>1997</v>
      </c>
      <c r="E3450" t="s">
        <v>23</v>
      </c>
      <c r="F3450" t="s">
        <v>24</v>
      </c>
      <c r="G3450" t="s">
        <v>25</v>
      </c>
      <c r="H3450" t="s">
        <v>26</v>
      </c>
      <c r="I3450">
        <v>4405672</v>
      </c>
      <c r="J3450" t="s">
        <v>27</v>
      </c>
      <c r="K3450" t="s">
        <v>4726</v>
      </c>
      <c r="L3450" t="s">
        <v>21</v>
      </c>
      <c r="M3450" t="str">
        <f t="shared" si="159"/>
        <v>OK</v>
      </c>
      <c r="N3450" t="str">
        <f t="shared" si="160"/>
        <v>1990s</v>
      </c>
      <c r="O3450" t="str">
        <f t="shared" si="161"/>
        <v>N/A</v>
      </c>
      <c r="P3450" t="str">
        <f>VLOOKUP(E3450,calculated_fields!$F$4:$G$6,2,FALSE)</f>
        <v>Demographics</v>
      </c>
    </row>
    <row r="3451" spans="1:16">
      <c r="A3451" t="s">
        <v>4728</v>
      </c>
      <c r="B3451" t="s">
        <v>4689</v>
      </c>
      <c r="C3451" t="s">
        <v>80</v>
      </c>
      <c r="D3451">
        <v>1997</v>
      </c>
      <c r="E3451" t="s">
        <v>29</v>
      </c>
      <c r="F3451" t="s">
        <v>30</v>
      </c>
      <c r="G3451" t="s">
        <v>31</v>
      </c>
      <c r="H3451" t="s">
        <v>32</v>
      </c>
      <c r="I3451">
        <v>41283.16433</v>
      </c>
      <c r="J3451" t="s">
        <v>33</v>
      </c>
      <c r="K3451" t="s">
        <v>4726</v>
      </c>
      <c r="L3451" t="s">
        <v>21</v>
      </c>
      <c r="M3451" t="str">
        <f t="shared" si="159"/>
        <v>OK</v>
      </c>
      <c r="N3451" t="str">
        <f t="shared" si="160"/>
        <v>1990s</v>
      </c>
      <c r="O3451" t="str">
        <f t="shared" si="161"/>
        <v>N/A</v>
      </c>
      <c r="P3451" t="str">
        <f>VLOOKUP(E3451,calculated_fields!$F$4:$G$6,2,FALSE)</f>
        <v>Economy</v>
      </c>
    </row>
    <row r="3452" spans="1:16">
      <c r="A3452" t="s">
        <v>4729</v>
      </c>
      <c r="B3452" t="s">
        <v>4689</v>
      </c>
      <c r="C3452" t="s">
        <v>80</v>
      </c>
      <c r="D3452">
        <v>2002</v>
      </c>
      <c r="E3452" t="s">
        <v>15</v>
      </c>
      <c r="F3452" t="s">
        <v>16</v>
      </c>
      <c r="G3452" t="s">
        <v>17</v>
      </c>
      <c r="H3452" t="s">
        <v>18</v>
      </c>
      <c r="I3452">
        <v>79.05</v>
      </c>
      <c r="J3452" t="s">
        <v>19</v>
      </c>
      <c r="K3452" t="s">
        <v>4730</v>
      </c>
      <c r="L3452" t="s">
        <v>21</v>
      </c>
      <c r="M3452" t="str">
        <f t="shared" si="159"/>
        <v>OK</v>
      </c>
      <c r="N3452" t="str">
        <f t="shared" si="160"/>
        <v>2000s</v>
      </c>
      <c r="O3452" t="str">
        <f t="shared" si="161"/>
        <v>High</v>
      </c>
      <c r="P3452" t="str">
        <f>VLOOKUP(E3452,calculated_fields!$F$4:$G$6,2,FALSE)</f>
        <v>Health</v>
      </c>
    </row>
    <row r="3453" spans="1:16">
      <c r="A3453" t="s">
        <v>4731</v>
      </c>
      <c r="B3453" t="s">
        <v>4689</v>
      </c>
      <c r="C3453" t="s">
        <v>80</v>
      </c>
      <c r="D3453">
        <v>2002</v>
      </c>
      <c r="E3453" t="s">
        <v>23</v>
      </c>
      <c r="F3453" t="s">
        <v>24</v>
      </c>
      <c r="G3453" t="s">
        <v>25</v>
      </c>
      <c r="H3453" t="s">
        <v>26</v>
      </c>
      <c r="I3453">
        <v>4535591</v>
      </c>
      <c r="J3453" t="s">
        <v>27</v>
      </c>
      <c r="K3453" t="s">
        <v>4730</v>
      </c>
      <c r="L3453" t="s">
        <v>21</v>
      </c>
      <c r="M3453" t="str">
        <f t="shared" si="159"/>
        <v>OK</v>
      </c>
      <c r="N3453" t="str">
        <f t="shared" si="160"/>
        <v>2000s</v>
      </c>
      <c r="O3453" t="str">
        <f t="shared" si="161"/>
        <v>N/A</v>
      </c>
      <c r="P3453" t="str">
        <f>VLOOKUP(E3453,calculated_fields!$F$4:$G$6,2,FALSE)</f>
        <v>Demographics</v>
      </c>
    </row>
    <row r="3454" spans="1:16">
      <c r="A3454" t="s">
        <v>4732</v>
      </c>
      <c r="B3454" t="s">
        <v>4689</v>
      </c>
      <c r="C3454" t="s">
        <v>80</v>
      </c>
      <c r="D3454">
        <v>2002</v>
      </c>
      <c r="E3454" t="s">
        <v>29</v>
      </c>
      <c r="F3454" t="s">
        <v>30</v>
      </c>
      <c r="G3454" t="s">
        <v>31</v>
      </c>
      <c r="H3454" t="s">
        <v>32</v>
      </c>
      <c r="I3454">
        <v>44683.975250000003</v>
      </c>
      <c r="J3454" t="s">
        <v>33</v>
      </c>
      <c r="K3454" t="s">
        <v>4730</v>
      </c>
      <c r="L3454" t="s">
        <v>21</v>
      </c>
      <c r="M3454" t="str">
        <f t="shared" si="159"/>
        <v>OK</v>
      </c>
      <c r="N3454" t="str">
        <f t="shared" si="160"/>
        <v>2000s</v>
      </c>
      <c r="O3454" t="str">
        <f t="shared" si="161"/>
        <v>N/A</v>
      </c>
      <c r="P3454" t="str">
        <f>VLOOKUP(E3454,calculated_fields!$F$4:$G$6,2,FALSE)</f>
        <v>Economy</v>
      </c>
    </row>
    <row r="3455" spans="1:16">
      <c r="A3455" t="s">
        <v>4733</v>
      </c>
      <c r="B3455" t="s">
        <v>4689</v>
      </c>
      <c r="C3455" t="s">
        <v>80</v>
      </c>
      <c r="D3455">
        <v>2007</v>
      </c>
      <c r="E3455" t="s">
        <v>15</v>
      </c>
      <c r="F3455" t="s">
        <v>16</v>
      </c>
      <c r="G3455" t="s">
        <v>17</v>
      </c>
      <c r="H3455" t="s">
        <v>18</v>
      </c>
      <c r="I3455">
        <v>80.195999999999998</v>
      </c>
      <c r="J3455" t="s">
        <v>19</v>
      </c>
      <c r="K3455" t="s">
        <v>4734</v>
      </c>
      <c r="L3455" t="s">
        <v>21</v>
      </c>
      <c r="M3455" t="str">
        <f t="shared" si="159"/>
        <v>OK</v>
      </c>
      <c r="N3455" t="str">
        <f t="shared" si="160"/>
        <v>2000s</v>
      </c>
      <c r="O3455" t="str">
        <f t="shared" si="161"/>
        <v>High</v>
      </c>
      <c r="P3455" t="str">
        <f>VLOOKUP(E3455,calculated_fields!$F$4:$G$6,2,FALSE)</f>
        <v>Health</v>
      </c>
    </row>
    <row r="3456" spans="1:16">
      <c r="A3456" t="s">
        <v>4735</v>
      </c>
      <c r="B3456" t="s">
        <v>4689</v>
      </c>
      <c r="C3456" t="s">
        <v>80</v>
      </c>
      <c r="D3456">
        <v>2007</v>
      </c>
      <c r="E3456" t="s">
        <v>23</v>
      </c>
      <c r="F3456" t="s">
        <v>24</v>
      </c>
      <c r="G3456" t="s">
        <v>25</v>
      </c>
      <c r="H3456" t="s">
        <v>26</v>
      </c>
      <c r="I3456">
        <v>4627926</v>
      </c>
      <c r="J3456" t="s">
        <v>27</v>
      </c>
      <c r="K3456" t="s">
        <v>4734</v>
      </c>
      <c r="L3456" t="s">
        <v>21</v>
      </c>
      <c r="M3456" t="str">
        <f t="shared" si="159"/>
        <v>OK</v>
      </c>
      <c r="N3456" t="str">
        <f t="shared" si="160"/>
        <v>2000s</v>
      </c>
      <c r="O3456" t="str">
        <f t="shared" si="161"/>
        <v>N/A</v>
      </c>
      <c r="P3456" t="str">
        <f>VLOOKUP(E3456,calculated_fields!$F$4:$G$6,2,FALSE)</f>
        <v>Demographics</v>
      </c>
    </row>
    <row r="3457" spans="1:16">
      <c r="A3457" t="s">
        <v>4736</v>
      </c>
      <c r="B3457" t="s">
        <v>4689</v>
      </c>
      <c r="C3457" t="s">
        <v>80</v>
      </c>
      <c r="D3457">
        <v>2007</v>
      </c>
      <c r="E3457" t="s">
        <v>29</v>
      </c>
      <c r="F3457" t="s">
        <v>30</v>
      </c>
      <c r="G3457" t="s">
        <v>31</v>
      </c>
      <c r="H3457" t="s">
        <v>32</v>
      </c>
      <c r="I3457">
        <v>49357.190170000002</v>
      </c>
      <c r="J3457" t="s">
        <v>33</v>
      </c>
      <c r="K3457" t="s">
        <v>4734</v>
      </c>
      <c r="L3457" t="s">
        <v>21</v>
      </c>
      <c r="M3457" t="str">
        <f t="shared" si="159"/>
        <v>OK</v>
      </c>
      <c r="N3457" t="str">
        <f t="shared" si="160"/>
        <v>2000s</v>
      </c>
      <c r="O3457" t="str">
        <f t="shared" si="161"/>
        <v>N/A</v>
      </c>
      <c r="P3457" t="str">
        <f>VLOOKUP(E3457,calculated_fields!$F$4:$G$6,2,FALSE)</f>
        <v>Economy</v>
      </c>
    </row>
    <row r="3458" spans="1:16">
      <c r="A3458" t="s">
        <v>4737</v>
      </c>
      <c r="B3458" t="s">
        <v>4738</v>
      </c>
      <c r="C3458" t="s">
        <v>14</v>
      </c>
      <c r="D3458">
        <v>1952</v>
      </c>
      <c r="E3458" t="s">
        <v>15</v>
      </c>
      <c r="F3458" t="s">
        <v>16</v>
      </c>
      <c r="G3458" t="s">
        <v>17</v>
      </c>
      <c r="H3458" t="s">
        <v>18</v>
      </c>
      <c r="I3458">
        <v>37.578000000000003</v>
      </c>
      <c r="J3458" t="s">
        <v>19</v>
      </c>
      <c r="K3458" t="s">
        <v>4739</v>
      </c>
      <c r="L3458" t="s">
        <v>21</v>
      </c>
      <c r="M3458" t="str">
        <f t="shared" ref="M3458:M3521" si="162">IF(AND(ISNUMBER(I3458),I3458&gt;=0),"OK","Review")</f>
        <v>OK</v>
      </c>
      <c r="N3458" t="str">
        <f t="shared" ref="N3458:N3521" si="163">FLOOR(D3458,10)&amp;"s"</f>
        <v>1950s</v>
      </c>
      <c r="O3458" t="str">
        <f t="shared" ref="O3458:O3521" si="164">IF(E3458="LIFE_EXP",IF(I3458&gt;=70,"High",IF(I3458&gt;=55,"Medium","Low")),"N/A")</f>
        <v>Low</v>
      </c>
      <c r="P3458" t="str">
        <f>VLOOKUP(E3458,calculated_fields!$F$4:$G$6,2,FALSE)</f>
        <v>Health</v>
      </c>
    </row>
    <row r="3459" spans="1:16">
      <c r="A3459" t="s">
        <v>4740</v>
      </c>
      <c r="B3459" t="s">
        <v>4738</v>
      </c>
      <c r="C3459" t="s">
        <v>14</v>
      </c>
      <c r="D3459">
        <v>1952</v>
      </c>
      <c r="E3459" t="s">
        <v>23</v>
      </c>
      <c r="F3459" t="s">
        <v>24</v>
      </c>
      <c r="G3459" t="s">
        <v>25</v>
      </c>
      <c r="H3459" t="s">
        <v>26</v>
      </c>
      <c r="I3459">
        <v>507833</v>
      </c>
      <c r="J3459" t="s">
        <v>27</v>
      </c>
      <c r="K3459" t="s">
        <v>4739</v>
      </c>
      <c r="L3459" t="s">
        <v>21</v>
      </c>
      <c r="M3459" t="str">
        <f t="shared" si="162"/>
        <v>OK</v>
      </c>
      <c r="N3459" t="str">
        <f t="shared" si="163"/>
        <v>1950s</v>
      </c>
      <c r="O3459" t="str">
        <f t="shared" si="164"/>
        <v>N/A</v>
      </c>
      <c r="P3459" t="str">
        <f>VLOOKUP(E3459,calculated_fields!$F$4:$G$6,2,FALSE)</f>
        <v>Demographics</v>
      </c>
    </row>
    <row r="3460" spans="1:16">
      <c r="A3460" t="s">
        <v>4741</v>
      </c>
      <c r="B3460" t="s">
        <v>4738</v>
      </c>
      <c r="C3460" t="s">
        <v>14</v>
      </c>
      <c r="D3460">
        <v>1952</v>
      </c>
      <c r="E3460" t="s">
        <v>29</v>
      </c>
      <c r="F3460" t="s">
        <v>30</v>
      </c>
      <c r="G3460" t="s">
        <v>31</v>
      </c>
      <c r="H3460" t="s">
        <v>32</v>
      </c>
      <c r="I3460">
        <v>1828.230307</v>
      </c>
      <c r="J3460" t="s">
        <v>33</v>
      </c>
      <c r="K3460" t="s">
        <v>4739</v>
      </c>
      <c r="L3460" t="s">
        <v>21</v>
      </c>
      <c r="M3460" t="str">
        <f t="shared" si="162"/>
        <v>OK</v>
      </c>
      <c r="N3460" t="str">
        <f t="shared" si="163"/>
        <v>1950s</v>
      </c>
      <c r="O3460" t="str">
        <f t="shared" si="164"/>
        <v>N/A</v>
      </c>
      <c r="P3460" t="str">
        <f>VLOOKUP(E3460,calculated_fields!$F$4:$G$6,2,FALSE)</f>
        <v>Economy</v>
      </c>
    </row>
    <row r="3461" spans="1:16">
      <c r="A3461" t="s">
        <v>4742</v>
      </c>
      <c r="B3461" t="s">
        <v>4738</v>
      </c>
      <c r="C3461" t="s">
        <v>14</v>
      </c>
      <c r="D3461">
        <v>1957</v>
      </c>
      <c r="E3461" t="s">
        <v>15</v>
      </c>
      <c r="F3461" t="s">
        <v>16</v>
      </c>
      <c r="G3461" t="s">
        <v>17</v>
      </c>
      <c r="H3461" t="s">
        <v>18</v>
      </c>
      <c r="I3461">
        <v>40.08</v>
      </c>
      <c r="J3461" t="s">
        <v>19</v>
      </c>
      <c r="K3461" t="s">
        <v>4743</v>
      </c>
      <c r="L3461" t="s">
        <v>21</v>
      </c>
      <c r="M3461" t="str">
        <f t="shared" si="162"/>
        <v>OK</v>
      </c>
      <c r="N3461" t="str">
        <f t="shared" si="163"/>
        <v>1950s</v>
      </c>
      <c r="O3461" t="str">
        <f t="shared" si="164"/>
        <v>Low</v>
      </c>
      <c r="P3461" t="str">
        <f>VLOOKUP(E3461,calculated_fields!$F$4:$G$6,2,FALSE)</f>
        <v>Health</v>
      </c>
    </row>
    <row r="3462" spans="1:16">
      <c r="A3462" t="s">
        <v>4744</v>
      </c>
      <c r="B3462" t="s">
        <v>4738</v>
      </c>
      <c r="C3462" t="s">
        <v>14</v>
      </c>
      <c r="D3462">
        <v>1957</v>
      </c>
      <c r="E3462" t="s">
        <v>23</v>
      </c>
      <c r="F3462" t="s">
        <v>24</v>
      </c>
      <c r="G3462" t="s">
        <v>25</v>
      </c>
      <c r="H3462" t="s">
        <v>26</v>
      </c>
      <c r="I3462">
        <v>561977</v>
      </c>
      <c r="J3462" t="s">
        <v>27</v>
      </c>
      <c r="K3462" t="s">
        <v>4743</v>
      </c>
      <c r="L3462" t="s">
        <v>21</v>
      </c>
      <c r="M3462" t="str">
        <f t="shared" si="162"/>
        <v>OK</v>
      </c>
      <c r="N3462" t="str">
        <f t="shared" si="163"/>
        <v>1950s</v>
      </c>
      <c r="O3462" t="str">
        <f t="shared" si="164"/>
        <v>N/A</v>
      </c>
      <c r="P3462" t="str">
        <f>VLOOKUP(E3462,calculated_fields!$F$4:$G$6,2,FALSE)</f>
        <v>Demographics</v>
      </c>
    </row>
    <row r="3463" spans="1:16">
      <c r="A3463" t="s">
        <v>4745</v>
      </c>
      <c r="B3463" t="s">
        <v>4738</v>
      </c>
      <c r="C3463" t="s">
        <v>14</v>
      </c>
      <c r="D3463">
        <v>1957</v>
      </c>
      <c r="E3463" t="s">
        <v>29</v>
      </c>
      <c r="F3463" t="s">
        <v>30</v>
      </c>
      <c r="G3463" t="s">
        <v>31</v>
      </c>
      <c r="H3463" t="s">
        <v>32</v>
      </c>
      <c r="I3463">
        <v>2242.7465510000002</v>
      </c>
      <c r="J3463" t="s">
        <v>33</v>
      </c>
      <c r="K3463" t="s">
        <v>4743</v>
      </c>
      <c r="L3463" t="s">
        <v>21</v>
      </c>
      <c r="M3463" t="str">
        <f t="shared" si="162"/>
        <v>OK</v>
      </c>
      <c r="N3463" t="str">
        <f t="shared" si="163"/>
        <v>1950s</v>
      </c>
      <c r="O3463" t="str">
        <f t="shared" si="164"/>
        <v>N/A</v>
      </c>
      <c r="P3463" t="str">
        <f>VLOOKUP(E3463,calculated_fields!$F$4:$G$6,2,FALSE)</f>
        <v>Economy</v>
      </c>
    </row>
    <row r="3464" spans="1:16">
      <c r="A3464" t="s">
        <v>4746</v>
      </c>
      <c r="B3464" t="s">
        <v>4738</v>
      </c>
      <c r="C3464" t="s">
        <v>14</v>
      </c>
      <c r="D3464">
        <v>1962</v>
      </c>
      <c r="E3464" t="s">
        <v>15</v>
      </c>
      <c r="F3464" t="s">
        <v>16</v>
      </c>
      <c r="G3464" t="s">
        <v>17</v>
      </c>
      <c r="H3464" t="s">
        <v>18</v>
      </c>
      <c r="I3464">
        <v>43.164999999999999</v>
      </c>
      <c r="J3464" t="s">
        <v>19</v>
      </c>
      <c r="K3464" t="s">
        <v>4747</v>
      </c>
      <c r="L3464" t="s">
        <v>21</v>
      </c>
      <c r="M3464" t="str">
        <f t="shared" si="162"/>
        <v>OK</v>
      </c>
      <c r="N3464" t="str">
        <f t="shared" si="163"/>
        <v>1960s</v>
      </c>
      <c r="O3464" t="str">
        <f t="shared" si="164"/>
        <v>Low</v>
      </c>
      <c r="P3464" t="str">
        <f>VLOOKUP(E3464,calculated_fields!$F$4:$G$6,2,FALSE)</f>
        <v>Health</v>
      </c>
    </row>
    <row r="3465" spans="1:16">
      <c r="A3465" t="s">
        <v>4748</v>
      </c>
      <c r="B3465" t="s">
        <v>4738</v>
      </c>
      <c r="C3465" t="s">
        <v>14</v>
      </c>
      <c r="D3465">
        <v>1962</v>
      </c>
      <c r="E3465" t="s">
        <v>23</v>
      </c>
      <c r="F3465" t="s">
        <v>24</v>
      </c>
      <c r="G3465" t="s">
        <v>25</v>
      </c>
      <c r="H3465" t="s">
        <v>26</v>
      </c>
      <c r="I3465">
        <v>628164</v>
      </c>
      <c r="J3465" t="s">
        <v>27</v>
      </c>
      <c r="K3465" t="s">
        <v>4747</v>
      </c>
      <c r="L3465" t="s">
        <v>21</v>
      </c>
      <c r="M3465" t="str">
        <f t="shared" si="162"/>
        <v>OK</v>
      </c>
      <c r="N3465" t="str">
        <f t="shared" si="163"/>
        <v>1960s</v>
      </c>
      <c r="O3465" t="str">
        <f t="shared" si="164"/>
        <v>N/A</v>
      </c>
      <c r="P3465" t="str">
        <f>VLOOKUP(E3465,calculated_fields!$F$4:$G$6,2,FALSE)</f>
        <v>Demographics</v>
      </c>
    </row>
    <row r="3466" spans="1:16">
      <c r="A3466" t="s">
        <v>4749</v>
      </c>
      <c r="B3466" t="s">
        <v>4738</v>
      </c>
      <c r="C3466" t="s">
        <v>14</v>
      </c>
      <c r="D3466">
        <v>1962</v>
      </c>
      <c r="E3466" t="s">
        <v>29</v>
      </c>
      <c r="F3466" t="s">
        <v>30</v>
      </c>
      <c r="G3466" t="s">
        <v>31</v>
      </c>
      <c r="H3466" t="s">
        <v>32</v>
      </c>
      <c r="I3466">
        <v>2924.638113</v>
      </c>
      <c r="J3466" t="s">
        <v>33</v>
      </c>
      <c r="K3466" t="s">
        <v>4747</v>
      </c>
      <c r="L3466" t="s">
        <v>21</v>
      </c>
      <c r="M3466" t="str">
        <f t="shared" si="162"/>
        <v>OK</v>
      </c>
      <c r="N3466" t="str">
        <f t="shared" si="163"/>
        <v>1960s</v>
      </c>
      <c r="O3466" t="str">
        <f t="shared" si="164"/>
        <v>N/A</v>
      </c>
      <c r="P3466" t="str">
        <f>VLOOKUP(E3466,calculated_fields!$F$4:$G$6,2,FALSE)</f>
        <v>Economy</v>
      </c>
    </row>
    <row r="3467" spans="1:16">
      <c r="A3467" t="s">
        <v>4750</v>
      </c>
      <c r="B3467" t="s">
        <v>4738</v>
      </c>
      <c r="C3467" t="s">
        <v>14</v>
      </c>
      <c r="D3467">
        <v>1967</v>
      </c>
      <c r="E3467" t="s">
        <v>15</v>
      </c>
      <c r="F3467" t="s">
        <v>16</v>
      </c>
      <c r="G3467" t="s">
        <v>17</v>
      </c>
      <c r="H3467" t="s">
        <v>18</v>
      </c>
      <c r="I3467">
        <v>46.988</v>
      </c>
      <c r="J3467" t="s">
        <v>19</v>
      </c>
      <c r="K3467" t="s">
        <v>4751</v>
      </c>
      <c r="L3467" t="s">
        <v>21</v>
      </c>
      <c r="M3467" t="str">
        <f t="shared" si="162"/>
        <v>OK</v>
      </c>
      <c r="N3467" t="str">
        <f t="shared" si="163"/>
        <v>1960s</v>
      </c>
      <c r="O3467" t="str">
        <f t="shared" si="164"/>
        <v>Low</v>
      </c>
      <c r="P3467" t="str">
        <f>VLOOKUP(E3467,calculated_fields!$F$4:$G$6,2,FALSE)</f>
        <v>Health</v>
      </c>
    </row>
    <row r="3468" spans="1:16">
      <c r="A3468" t="s">
        <v>4752</v>
      </c>
      <c r="B3468" t="s">
        <v>4738</v>
      </c>
      <c r="C3468" t="s">
        <v>14</v>
      </c>
      <c r="D3468">
        <v>1967</v>
      </c>
      <c r="E3468" t="s">
        <v>23</v>
      </c>
      <c r="F3468" t="s">
        <v>24</v>
      </c>
      <c r="G3468" t="s">
        <v>25</v>
      </c>
      <c r="H3468" t="s">
        <v>26</v>
      </c>
      <c r="I3468">
        <v>714775</v>
      </c>
      <c r="J3468" t="s">
        <v>27</v>
      </c>
      <c r="K3468" t="s">
        <v>4751</v>
      </c>
      <c r="L3468" t="s">
        <v>21</v>
      </c>
      <c r="M3468" t="str">
        <f t="shared" si="162"/>
        <v>OK</v>
      </c>
      <c r="N3468" t="str">
        <f t="shared" si="163"/>
        <v>1960s</v>
      </c>
      <c r="O3468" t="str">
        <f t="shared" si="164"/>
        <v>N/A</v>
      </c>
      <c r="P3468" t="str">
        <f>VLOOKUP(E3468,calculated_fields!$F$4:$G$6,2,FALSE)</f>
        <v>Demographics</v>
      </c>
    </row>
    <row r="3469" spans="1:16">
      <c r="A3469" t="s">
        <v>4753</v>
      </c>
      <c r="B3469" t="s">
        <v>4738</v>
      </c>
      <c r="C3469" t="s">
        <v>14</v>
      </c>
      <c r="D3469">
        <v>1967</v>
      </c>
      <c r="E3469" t="s">
        <v>29</v>
      </c>
      <c r="F3469" t="s">
        <v>30</v>
      </c>
      <c r="G3469" t="s">
        <v>31</v>
      </c>
      <c r="H3469" t="s">
        <v>32</v>
      </c>
      <c r="I3469">
        <v>4720.9426869999998</v>
      </c>
      <c r="J3469" t="s">
        <v>33</v>
      </c>
      <c r="K3469" t="s">
        <v>4751</v>
      </c>
      <c r="L3469" t="s">
        <v>21</v>
      </c>
      <c r="M3469" t="str">
        <f t="shared" si="162"/>
        <v>OK</v>
      </c>
      <c r="N3469" t="str">
        <f t="shared" si="163"/>
        <v>1960s</v>
      </c>
      <c r="O3469" t="str">
        <f t="shared" si="164"/>
        <v>N/A</v>
      </c>
      <c r="P3469" t="str">
        <f>VLOOKUP(E3469,calculated_fields!$F$4:$G$6,2,FALSE)</f>
        <v>Economy</v>
      </c>
    </row>
    <row r="3470" spans="1:16">
      <c r="A3470" t="s">
        <v>4754</v>
      </c>
      <c r="B3470" t="s">
        <v>4738</v>
      </c>
      <c r="C3470" t="s">
        <v>14</v>
      </c>
      <c r="D3470">
        <v>1972</v>
      </c>
      <c r="E3470" t="s">
        <v>15</v>
      </c>
      <c r="F3470" t="s">
        <v>16</v>
      </c>
      <c r="G3470" t="s">
        <v>17</v>
      </c>
      <c r="H3470" t="s">
        <v>18</v>
      </c>
      <c r="I3470">
        <v>52.143000000000001</v>
      </c>
      <c r="J3470" t="s">
        <v>19</v>
      </c>
      <c r="K3470" t="s">
        <v>4755</v>
      </c>
      <c r="L3470" t="s">
        <v>21</v>
      </c>
      <c r="M3470" t="str">
        <f t="shared" si="162"/>
        <v>OK</v>
      </c>
      <c r="N3470" t="str">
        <f t="shared" si="163"/>
        <v>1970s</v>
      </c>
      <c r="O3470" t="str">
        <f t="shared" si="164"/>
        <v>Low</v>
      </c>
      <c r="P3470" t="str">
        <f>VLOOKUP(E3470,calculated_fields!$F$4:$G$6,2,FALSE)</f>
        <v>Health</v>
      </c>
    </row>
    <row r="3471" spans="1:16">
      <c r="A3471" t="s">
        <v>4756</v>
      </c>
      <c r="B3471" t="s">
        <v>4738</v>
      </c>
      <c r="C3471" t="s">
        <v>14</v>
      </c>
      <c r="D3471">
        <v>1972</v>
      </c>
      <c r="E3471" t="s">
        <v>23</v>
      </c>
      <c r="F3471" t="s">
        <v>24</v>
      </c>
      <c r="G3471" t="s">
        <v>25</v>
      </c>
      <c r="H3471" t="s">
        <v>26</v>
      </c>
      <c r="I3471">
        <v>829050</v>
      </c>
      <c r="J3471" t="s">
        <v>27</v>
      </c>
      <c r="K3471" t="s">
        <v>4755</v>
      </c>
      <c r="L3471" t="s">
        <v>21</v>
      </c>
      <c r="M3471" t="str">
        <f t="shared" si="162"/>
        <v>OK</v>
      </c>
      <c r="N3471" t="str">
        <f t="shared" si="163"/>
        <v>1970s</v>
      </c>
      <c r="O3471" t="str">
        <f t="shared" si="164"/>
        <v>N/A</v>
      </c>
      <c r="P3471" t="str">
        <f>VLOOKUP(E3471,calculated_fields!$F$4:$G$6,2,FALSE)</f>
        <v>Demographics</v>
      </c>
    </row>
    <row r="3472" spans="1:16">
      <c r="A3472" t="s">
        <v>4757</v>
      </c>
      <c r="B3472" t="s">
        <v>4738</v>
      </c>
      <c r="C3472" t="s">
        <v>14</v>
      </c>
      <c r="D3472">
        <v>1972</v>
      </c>
      <c r="E3472" t="s">
        <v>29</v>
      </c>
      <c r="F3472" t="s">
        <v>30</v>
      </c>
      <c r="G3472" t="s">
        <v>31</v>
      </c>
      <c r="H3472" t="s">
        <v>32</v>
      </c>
      <c r="I3472">
        <v>10618.038549999999</v>
      </c>
      <c r="J3472" t="s">
        <v>33</v>
      </c>
      <c r="K3472" t="s">
        <v>4755</v>
      </c>
      <c r="L3472" t="s">
        <v>21</v>
      </c>
      <c r="M3472" t="str">
        <f t="shared" si="162"/>
        <v>OK</v>
      </c>
      <c r="N3472" t="str">
        <f t="shared" si="163"/>
        <v>1970s</v>
      </c>
      <c r="O3472" t="str">
        <f t="shared" si="164"/>
        <v>N/A</v>
      </c>
      <c r="P3472" t="str">
        <f>VLOOKUP(E3472,calculated_fields!$F$4:$G$6,2,FALSE)</f>
        <v>Economy</v>
      </c>
    </row>
    <row r="3473" spans="1:16">
      <c r="A3473" t="s">
        <v>4758</v>
      </c>
      <c r="B3473" t="s">
        <v>4738</v>
      </c>
      <c r="C3473" t="s">
        <v>14</v>
      </c>
      <c r="D3473">
        <v>1977</v>
      </c>
      <c r="E3473" t="s">
        <v>15</v>
      </c>
      <c r="F3473" t="s">
        <v>16</v>
      </c>
      <c r="G3473" t="s">
        <v>17</v>
      </c>
      <c r="H3473" t="s">
        <v>18</v>
      </c>
      <c r="I3473">
        <v>57.366999999999997</v>
      </c>
      <c r="J3473" t="s">
        <v>19</v>
      </c>
      <c r="K3473" t="s">
        <v>4759</v>
      </c>
      <c r="L3473" t="s">
        <v>21</v>
      </c>
      <c r="M3473" t="str">
        <f t="shared" si="162"/>
        <v>OK</v>
      </c>
      <c r="N3473" t="str">
        <f t="shared" si="163"/>
        <v>1970s</v>
      </c>
      <c r="O3473" t="str">
        <f t="shared" si="164"/>
        <v>Medium</v>
      </c>
      <c r="P3473" t="str">
        <f>VLOOKUP(E3473,calculated_fields!$F$4:$G$6,2,FALSE)</f>
        <v>Health</v>
      </c>
    </row>
    <row r="3474" spans="1:16">
      <c r="A3474" t="s">
        <v>4760</v>
      </c>
      <c r="B3474" t="s">
        <v>4738</v>
      </c>
      <c r="C3474" t="s">
        <v>14</v>
      </c>
      <c r="D3474">
        <v>1977</v>
      </c>
      <c r="E3474" t="s">
        <v>23</v>
      </c>
      <c r="F3474" t="s">
        <v>24</v>
      </c>
      <c r="G3474" t="s">
        <v>25</v>
      </c>
      <c r="H3474" t="s">
        <v>26</v>
      </c>
      <c r="I3474">
        <v>1004533</v>
      </c>
      <c r="J3474" t="s">
        <v>27</v>
      </c>
      <c r="K3474" t="s">
        <v>4759</v>
      </c>
      <c r="L3474" t="s">
        <v>21</v>
      </c>
      <c r="M3474" t="str">
        <f t="shared" si="162"/>
        <v>OK</v>
      </c>
      <c r="N3474" t="str">
        <f t="shared" si="163"/>
        <v>1970s</v>
      </c>
      <c r="O3474" t="str">
        <f t="shared" si="164"/>
        <v>N/A</v>
      </c>
      <c r="P3474" t="str">
        <f>VLOOKUP(E3474,calculated_fields!$F$4:$G$6,2,FALSE)</f>
        <v>Demographics</v>
      </c>
    </row>
    <row r="3475" spans="1:16">
      <c r="A3475" t="s">
        <v>4761</v>
      </c>
      <c r="B3475" t="s">
        <v>4738</v>
      </c>
      <c r="C3475" t="s">
        <v>14</v>
      </c>
      <c r="D3475">
        <v>1977</v>
      </c>
      <c r="E3475" t="s">
        <v>29</v>
      </c>
      <c r="F3475" t="s">
        <v>30</v>
      </c>
      <c r="G3475" t="s">
        <v>31</v>
      </c>
      <c r="H3475" t="s">
        <v>32</v>
      </c>
      <c r="I3475">
        <v>11848.343919999999</v>
      </c>
      <c r="J3475" t="s">
        <v>33</v>
      </c>
      <c r="K3475" t="s">
        <v>4759</v>
      </c>
      <c r="L3475" t="s">
        <v>21</v>
      </c>
      <c r="M3475" t="str">
        <f t="shared" si="162"/>
        <v>OK</v>
      </c>
      <c r="N3475" t="str">
        <f t="shared" si="163"/>
        <v>1970s</v>
      </c>
      <c r="O3475" t="str">
        <f t="shared" si="164"/>
        <v>N/A</v>
      </c>
      <c r="P3475" t="str">
        <f>VLOOKUP(E3475,calculated_fields!$F$4:$G$6,2,FALSE)</f>
        <v>Economy</v>
      </c>
    </row>
    <row r="3476" spans="1:16">
      <c r="A3476" t="s">
        <v>4762</v>
      </c>
      <c r="B3476" t="s">
        <v>4738</v>
      </c>
      <c r="C3476" t="s">
        <v>14</v>
      </c>
      <c r="D3476">
        <v>1982</v>
      </c>
      <c r="E3476" t="s">
        <v>15</v>
      </c>
      <c r="F3476" t="s">
        <v>16</v>
      </c>
      <c r="G3476" t="s">
        <v>17</v>
      </c>
      <c r="H3476" t="s">
        <v>18</v>
      </c>
      <c r="I3476">
        <v>62.728000000000002</v>
      </c>
      <c r="J3476" t="s">
        <v>19</v>
      </c>
      <c r="K3476" t="s">
        <v>4763</v>
      </c>
      <c r="L3476" t="s">
        <v>21</v>
      </c>
      <c r="M3476" t="str">
        <f t="shared" si="162"/>
        <v>OK</v>
      </c>
      <c r="N3476" t="str">
        <f t="shared" si="163"/>
        <v>1980s</v>
      </c>
      <c r="O3476" t="str">
        <f t="shared" si="164"/>
        <v>Medium</v>
      </c>
      <c r="P3476" t="str">
        <f>VLOOKUP(E3476,calculated_fields!$F$4:$G$6,2,FALSE)</f>
        <v>Health</v>
      </c>
    </row>
    <row r="3477" spans="1:16">
      <c r="A3477" t="s">
        <v>4764</v>
      </c>
      <c r="B3477" t="s">
        <v>4738</v>
      </c>
      <c r="C3477" t="s">
        <v>14</v>
      </c>
      <c r="D3477">
        <v>1982</v>
      </c>
      <c r="E3477" t="s">
        <v>23</v>
      </c>
      <c r="F3477" t="s">
        <v>24</v>
      </c>
      <c r="G3477" t="s">
        <v>25</v>
      </c>
      <c r="H3477" t="s">
        <v>26</v>
      </c>
      <c r="I3477">
        <v>1301048</v>
      </c>
      <c r="J3477" t="s">
        <v>27</v>
      </c>
      <c r="K3477" t="s">
        <v>4763</v>
      </c>
      <c r="L3477" t="s">
        <v>21</v>
      </c>
      <c r="M3477" t="str">
        <f t="shared" si="162"/>
        <v>OK</v>
      </c>
      <c r="N3477" t="str">
        <f t="shared" si="163"/>
        <v>1980s</v>
      </c>
      <c r="O3477" t="str">
        <f t="shared" si="164"/>
        <v>N/A</v>
      </c>
      <c r="P3477" t="str">
        <f>VLOOKUP(E3477,calculated_fields!$F$4:$G$6,2,FALSE)</f>
        <v>Demographics</v>
      </c>
    </row>
    <row r="3478" spans="1:16">
      <c r="A3478" t="s">
        <v>4765</v>
      </c>
      <c r="B3478" t="s">
        <v>4738</v>
      </c>
      <c r="C3478" t="s">
        <v>14</v>
      </c>
      <c r="D3478">
        <v>1982</v>
      </c>
      <c r="E3478" t="s">
        <v>29</v>
      </c>
      <c r="F3478" t="s">
        <v>30</v>
      </c>
      <c r="G3478" t="s">
        <v>31</v>
      </c>
      <c r="H3478" t="s">
        <v>32</v>
      </c>
      <c r="I3478">
        <v>12954.791010000001</v>
      </c>
      <c r="J3478" t="s">
        <v>33</v>
      </c>
      <c r="K3478" t="s">
        <v>4763</v>
      </c>
      <c r="L3478" t="s">
        <v>21</v>
      </c>
      <c r="M3478" t="str">
        <f t="shared" si="162"/>
        <v>OK</v>
      </c>
      <c r="N3478" t="str">
        <f t="shared" si="163"/>
        <v>1980s</v>
      </c>
      <c r="O3478" t="str">
        <f t="shared" si="164"/>
        <v>N/A</v>
      </c>
      <c r="P3478" t="str">
        <f>VLOOKUP(E3478,calculated_fields!$F$4:$G$6,2,FALSE)</f>
        <v>Economy</v>
      </c>
    </row>
    <row r="3479" spans="1:16">
      <c r="A3479" t="s">
        <v>4766</v>
      </c>
      <c r="B3479" t="s">
        <v>4738</v>
      </c>
      <c r="C3479" t="s">
        <v>14</v>
      </c>
      <c r="D3479">
        <v>1987</v>
      </c>
      <c r="E3479" t="s">
        <v>15</v>
      </c>
      <c r="F3479" t="s">
        <v>16</v>
      </c>
      <c r="G3479" t="s">
        <v>17</v>
      </c>
      <c r="H3479" t="s">
        <v>18</v>
      </c>
      <c r="I3479">
        <v>67.733999999999995</v>
      </c>
      <c r="J3479" t="s">
        <v>19</v>
      </c>
      <c r="K3479" t="s">
        <v>4767</v>
      </c>
      <c r="L3479" t="s">
        <v>21</v>
      </c>
      <c r="M3479" t="str">
        <f t="shared" si="162"/>
        <v>OK</v>
      </c>
      <c r="N3479" t="str">
        <f t="shared" si="163"/>
        <v>1980s</v>
      </c>
      <c r="O3479" t="str">
        <f t="shared" si="164"/>
        <v>Medium</v>
      </c>
      <c r="P3479" t="str">
        <f>VLOOKUP(E3479,calculated_fields!$F$4:$G$6,2,FALSE)</f>
        <v>Health</v>
      </c>
    </row>
    <row r="3480" spans="1:16">
      <c r="A3480" t="s">
        <v>4768</v>
      </c>
      <c r="B3480" t="s">
        <v>4738</v>
      </c>
      <c r="C3480" t="s">
        <v>14</v>
      </c>
      <c r="D3480">
        <v>1987</v>
      </c>
      <c r="E3480" t="s">
        <v>23</v>
      </c>
      <c r="F3480" t="s">
        <v>24</v>
      </c>
      <c r="G3480" t="s">
        <v>25</v>
      </c>
      <c r="H3480" t="s">
        <v>26</v>
      </c>
      <c r="I3480">
        <v>1593882</v>
      </c>
      <c r="J3480" t="s">
        <v>27</v>
      </c>
      <c r="K3480" t="s">
        <v>4767</v>
      </c>
      <c r="L3480" t="s">
        <v>21</v>
      </c>
      <c r="M3480" t="str">
        <f t="shared" si="162"/>
        <v>OK</v>
      </c>
      <c r="N3480" t="str">
        <f t="shared" si="163"/>
        <v>1980s</v>
      </c>
      <c r="O3480" t="str">
        <f t="shared" si="164"/>
        <v>N/A</v>
      </c>
      <c r="P3480" t="str">
        <f>VLOOKUP(E3480,calculated_fields!$F$4:$G$6,2,FALSE)</f>
        <v>Demographics</v>
      </c>
    </row>
    <row r="3481" spans="1:16">
      <c r="A3481" t="s">
        <v>4769</v>
      </c>
      <c r="B3481" t="s">
        <v>4738</v>
      </c>
      <c r="C3481" t="s">
        <v>14</v>
      </c>
      <c r="D3481">
        <v>1987</v>
      </c>
      <c r="E3481" t="s">
        <v>29</v>
      </c>
      <c r="F3481" t="s">
        <v>30</v>
      </c>
      <c r="G3481" t="s">
        <v>31</v>
      </c>
      <c r="H3481" t="s">
        <v>32</v>
      </c>
      <c r="I3481">
        <v>18115.223129999998</v>
      </c>
      <c r="J3481" t="s">
        <v>33</v>
      </c>
      <c r="K3481" t="s">
        <v>4767</v>
      </c>
      <c r="L3481" t="s">
        <v>21</v>
      </c>
      <c r="M3481" t="str">
        <f t="shared" si="162"/>
        <v>OK</v>
      </c>
      <c r="N3481" t="str">
        <f t="shared" si="163"/>
        <v>1980s</v>
      </c>
      <c r="O3481" t="str">
        <f t="shared" si="164"/>
        <v>N/A</v>
      </c>
      <c r="P3481" t="str">
        <f>VLOOKUP(E3481,calculated_fields!$F$4:$G$6,2,FALSE)</f>
        <v>Economy</v>
      </c>
    </row>
    <row r="3482" spans="1:16">
      <c r="A3482" t="s">
        <v>4770</v>
      </c>
      <c r="B3482" t="s">
        <v>4738</v>
      </c>
      <c r="C3482" t="s">
        <v>14</v>
      </c>
      <c r="D3482">
        <v>1992</v>
      </c>
      <c r="E3482" t="s">
        <v>15</v>
      </c>
      <c r="F3482" t="s">
        <v>16</v>
      </c>
      <c r="G3482" t="s">
        <v>17</v>
      </c>
      <c r="H3482" t="s">
        <v>18</v>
      </c>
      <c r="I3482">
        <v>71.197000000000003</v>
      </c>
      <c r="J3482" t="s">
        <v>19</v>
      </c>
      <c r="K3482" t="s">
        <v>4771</v>
      </c>
      <c r="L3482" t="s">
        <v>21</v>
      </c>
      <c r="M3482" t="str">
        <f t="shared" si="162"/>
        <v>OK</v>
      </c>
      <c r="N3482" t="str">
        <f t="shared" si="163"/>
        <v>1990s</v>
      </c>
      <c r="O3482" t="str">
        <f t="shared" si="164"/>
        <v>High</v>
      </c>
      <c r="P3482" t="str">
        <f>VLOOKUP(E3482,calculated_fields!$F$4:$G$6,2,FALSE)</f>
        <v>Health</v>
      </c>
    </row>
    <row r="3483" spans="1:16">
      <c r="A3483" t="s">
        <v>4772</v>
      </c>
      <c r="B3483" t="s">
        <v>4738</v>
      </c>
      <c r="C3483" t="s">
        <v>14</v>
      </c>
      <c r="D3483">
        <v>1992</v>
      </c>
      <c r="E3483" t="s">
        <v>23</v>
      </c>
      <c r="F3483" t="s">
        <v>24</v>
      </c>
      <c r="G3483" t="s">
        <v>25</v>
      </c>
      <c r="H3483" t="s">
        <v>26</v>
      </c>
      <c r="I3483">
        <v>1915208</v>
      </c>
      <c r="J3483" t="s">
        <v>27</v>
      </c>
      <c r="K3483" t="s">
        <v>4771</v>
      </c>
      <c r="L3483" t="s">
        <v>21</v>
      </c>
      <c r="M3483" t="str">
        <f t="shared" si="162"/>
        <v>OK</v>
      </c>
      <c r="N3483" t="str">
        <f t="shared" si="163"/>
        <v>1990s</v>
      </c>
      <c r="O3483" t="str">
        <f t="shared" si="164"/>
        <v>N/A</v>
      </c>
      <c r="P3483" t="str">
        <f>VLOOKUP(E3483,calculated_fields!$F$4:$G$6,2,FALSE)</f>
        <v>Demographics</v>
      </c>
    </row>
    <row r="3484" spans="1:16">
      <c r="A3484" t="s">
        <v>4773</v>
      </c>
      <c r="B3484" t="s">
        <v>4738</v>
      </c>
      <c r="C3484" t="s">
        <v>14</v>
      </c>
      <c r="D3484">
        <v>1992</v>
      </c>
      <c r="E3484" t="s">
        <v>29</v>
      </c>
      <c r="F3484" t="s">
        <v>30</v>
      </c>
      <c r="G3484" t="s">
        <v>31</v>
      </c>
      <c r="H3484" t="s">
        <v>32</v>
      </c>
      <c r="I3484">
        <v>18616.706910000001</v>
      </c>
      <c r="J3484" t="s">
        <v>33</v>
      </c>
      <c r="K3484" t="s">
        <v>4771</v>
      </c>
      <c r="L3484" t="s">
        <v>21</v>
      </c>
      <c r="M3484" t="str">
        <f t="shared" si="162"/>
        <v>OK</v>
      </c>
      <c r="N3484" t="str">
        <f t="shared" si="163"/>
        <v>1990s</v>
      </c>
      <c r="O3484" t="str">
        <f t="shared" si="164"/>
        <v>N/A</v>
      </c>
      <c r="P3484" t="str">
        <f>VLOOKUP(E3484,calculated_fields!$F$4:$G$6,2,FALSE)</f>
        <v>Economy</v>
      </c>
    </row>
    <row r="3485" spans="1:16">
      <c r="A3485" t="s">
        <v>4774</v>
      </c>
      <c r="B3485" t="s">
        <v>4738</v>
      </c>
      <c r="C3485" t="s">
        <v>14</v>
      </c>
      <c r="D3485">
        <v>1997</v>
      </c>
      <c r="E3485" t="s">
        <v>15</v>
      </c>
      <c r="F3485" t="s">
        <v>16</v>
      </c>
      <c r="G3485" t="s">
        <v>17</v>
      </c>
      <c r="H3485" t="s">
        <v>18</v>
      </c>
      <c r="I3485">
        <v>72.498999999999995</v>
      </c>
      <c r="J3485" t="s">
        <v>19</v>
      </c>
      <c r="K3485" t="s">
        <v>4775</v>
      </c>
      <c r="L3485" t="s">
        <v>21</v>
      </c>
      <c r="M3485" t="str">
        <f t="shared" si="162"/>
        <v>OK</v>
      </c>
      <c r="N3485" t="str">
        <f t="shared" si="163"/>
        <v>1990s</v>
      </c>
      <c r="O3485" t="str">
        <f t="shared" si="164"/>
        <v>High</v>
      </c>
      <c r="P3485" t="str">
        <f>VLOOKUP(E3485,calculated_fields!$F$4:$G$6,2,FALSE)</f>
        <v>Health</v>
      </c>
    </row>
    <row r="3486" spans="1:16">
      <c r="A3486" t="s">
        <v>4776</v>
      </c>
      <c r="B3486" t="s">
        <v>4738</v>
      </c>
      <c r="C3486" t="s">
        <v>14</v>
      </c>
      <c r="D3486">
        <v>1997</v>
      </c>
      <c r="E3486" t="s">
        <v>23</v>
      </c>
      <c r="F3486" t="s">
        <v>24</v>
      </c>
      <c r="G3486" t="s">
        <v>25</v>
      </c>
      <c r="H3486" t="s">
        <v>26</v>
      </c>
      <c r="I3486">
        <v>2283635</v>
      </c>
      <c r="J3486" t="s">
        <v>27</v>
      </c>
      <c r="K3486" t="s">
        <v>4775</v>
      </c>
      <c r="L3486" t="s">
        <v>21</v>
      </c>
      <c r="M3486" t="str">
        <f t="shared" si="162"/>
        <v>OK</v>
      </c>
      <c r="N3486" t="str">
        <f t="shared" si="163"/>
        <v>1990s</v>
      </c>
      <c r="O3486" t="str">
        <f t="shared" si="164"/>
        <v>N/A</v>
      </c>
      <c r="P3486" t="str">
        <f>VLOOKUP(E3486,calculated_fields!$F$4:$G$6,2,FALSE)</f>
        <v>Demographics</v>
      </c>
    </row>
    <row r="3487" spans="1:16">
      <c r="A3487" t="s">
        <v>4777</v>
      </c>
      <c r="B3487" t="s">
        <v>4738</v>
      </c>
      <c r="C3487" t="s">
        <v>14</v>
      </c>
      <c r="D3487">
        <v>1997</v>
      </c>
      <c r="E3487" t="s">
        <v>29</v>
      </c>
      <c r="F3487" t="s">
        <v>30</v>
      </c>
      <c r="G3487" t="s">
        <v>31</v>
      </c>
      <c r="H3487" t="s">
        <v>32</v>
      </c>
      <c r="I3487">
        <v>19702.055810000002</v>
      </c>
      <c r="J3487" t="s">
        <v>33</v>
      </c>
      <c r="K3487" t="s">
        <v>4775</v>
      </c>
      <c r="L3487" t="s">
        <v>21</v>
      </c>
      <c r="M3487" t="str">
        <f t="shared" si="162"/>
        <v>OK</v>
      </c>
      <c r="N3487" t="str">
        <f t="shared" si="163"/>
        <v>1990s</v>
      </c>
      <c r="O3487" t="str">
        <f t="shared" si="164"/>
        <v>N/A</v>
      </c>
      <c r="P3487" t="str">
        <f>VLOOKUP(E3487,calculated_fields!$F$4:$G$6,2,FALSE)</f>
        <v>Economy</v>
      </c>
    </row>
    <row r="3488" spans="1:16">
      <c r="A3488" t="s">
        <v>4778</v>
      </c>
      <c r="B3488" t="s">
        <v>4738</v>
      </c>
      <c r="C3488" t="s">
        <v>14</v>
      </c>
      <c r="D3488">
        <v>2002</v>
      </c>
      <c r="E3488" t="s">
        <v>15</v>
      </c>
      <c r="F3488" t="s">
        <v>16</v>
      </c>
      <c r="G3488" t="s">
        <v>17</v>
      </c>
      <c r="H3488" t="s">
        <v>18</v>
      </c>
      <c r="I3488">
        <v>74.192999999999998</v>
      </c>
      <c r="J3488" t="s">
        <v>19</v>
      </c>
      <c r="K3488" t="s">
        <v>4779</v>
      </c>
      <c r="L3488" t="s">
        <v>21</v>
      </c>
      <c r="M3488" t="str">
        <f t="shared" si="162"/>
        <v>OK</v>
      </c>
      <c r="N3488" t="str">
        <f t="shared" si="163"/>
        <v>2000s</v>
      </c>
      <c r="O3488" t="str">
        <f t="shared" si="164"/>
        <v>High</v>
      </c>
      <c r="P3488" t="str">
        <f>VLOOKUP(E3488,calculated_fields!$F$4:$G$6,2,FALSE)</f>
        <v>Health</v>
      </c>
    </row>
    <row r="3489" spans="1:16">
      <c r="A3489" t="s">
        <v>4780</v>
      </c>
      <c r="B3489" t="s">
        <v>4738</v>
      </c>
      <c r="C3489" t="s">
        <v>14</v>
      </c>
      <c r="D3489">
        <v>2002</v>
      </c>
      <c r="E3489" t="s">
        <v>23</v>
      </c>
      <c r="F3489" t="s">
        <v>24</v>
      </c>
      <c r="G3489" t="s">
        <v>25</v>
      </c>
      <c r="H3489" t="s">
        <v>26</v>
      </c>
      <c r="I3489">
        <v>2713462</v>
      </c>
      <c r="J3489" t="s">
        <v>27</v>
      </c>
      <c r="K3489" t="s">
        <v>4779</v>
      </c>
      <c r="L3489" t="s">
        <v>21</v>
      </c>
      <c r="M3489" t="str">
        <f t="shared" si="162"/>
        <v>OK</v>
      </c>
      <c r="N3489" t="str">
        <f t="shared" si="163"/>
        <v>2000s</v>
      </c>
      <c r="O3489" t="str">
        <f t="shared" si="164"/>
        <v>N/A</v>
      </c>
      <c r="P3489" t="str">
        <f>VLOOKUP(E3489,calculated_fields!$F$4:$G$6,2,FALSE)</f>
        <v>Demographics</v>
      </c>
    </row>
    <row r="3490" spans="1:16">
      <c r="A3490" t="s">
        <v>4781</v>
      </c>
      <c r="B3490" t="s">
        <v>4738</v>
      </c>
      <c r="C3490" t="s">
        <v>14</v>
      </c>
      <c r="D3490">
        <v>2002</v>
      </c>
      <c r="E3490" t="s">
        <v>29</v>
      </c>
      <c r="F3490" t="s">
        <v>30</v>
      </c>
      <c r="G3490" t="s">
        <v>31</v>
      </c>
      <c r="H3490" t="s">
        <v>32</v>
      </c>
      <c r="I3490">
        <v>19774.836869999999</v>
      </c>
      <c r="J3490" t="s">
        <v>33</v>
      </c>
      <c r="K3490" t="s">
        <v>4779</v>
      </c>
      <c r="L3490" t="s">
        <v>21</v>
      </c>
      <c r="M3490" t="str">
        <f t="shared" si="162"/>
        <v>OK</v>
      </c>
      <c r="N3490" t="str">
        <f t="shared" si="163"/>
        <v>2000s</v>
      </c>
      <c r="O3490" t="str">
        <f t="shared" si="164"/>
        <v>N/A</v>
      </c>
      <c r="P3490" t="str">
        <f>VLOOKUP(E3490,calculated_fields!$F$4:$G$6,2,FALSE)</f>
        <v>Economy</v>
      </c>
    </row>
    <row r="3491" spans="1:16">
      <c r="A3491" t="s">
        <v>4782</v>
      </c>
      <c r="B3491" t="s">
        <v>4738</v>
      </c>
      <c r="C3491" t="s">
        <v>14</v>
      </c>
      <c r="D3491">
        <v>2007</v>
      </c>
      <c r="E3491" t="s">
        <v>15</v>
      </c>
      <c r="F3491" t="s">
        <v>16</v>
      </c>
      <c r="G3491" t="s">
        <v>17</v>
      </c>
      <c r="H3491" t="s">
        <v>18</v>
      </c>
      <c r="I3491">
        <v>75.64</v>
      </c>
      <c r="J3491" t="s">
        <v>19</v>
      </c>
      <c r="K3491" t="s">
        <v>4783</v>
      </c>
      <c r="L3491" t="s">
        <v>21</v>
      </c>
      <c r="M3491" t="str">
        <f t="shared" si="162"/>
        <v>OK</v>
      </c>
      <c r="N3491" t="str">
        <f t="shared" si="163"/>
        <v>2000s</v>
      </c>
      <c r="O3491" t="str">
        <f t="shared" si="164"/>
        <v>High</v>
      </c>
      <c r="P3491" t="str">
        <f>VLOOKUP(E3491,calculated_fields!$F$4:$G$6,2,FALSE)</f>
        <v>Health</v>
      </c>
    </row>
    <row r="3492" spans="1:16">
      <c r="A3492" t="s">
        <v>4784</v>
      </c>
      <c r="B3492" t="s">
        <v>4738</v>
      </c>
      <c r="C3492" t="s">
        <v>14</v>
      </c>
      <c r="D3492">
        <v>2007</v>
      </c>
      <c r="E3492" t="s">
        <v>23</v>
      </c>
      <c r="F3492" t="s">
        <v>24</v>
      </c>
      <c r="G3492" t="s">
        <v>25</v>
      </c>
      <c r="H3492" t="s">
        <v>26</v>
      </c>
      <c r="I3492">
        <v>3204897</v>
      </c>
      <c r="J3492" t="s">
        <v>27</v>
      </c>
      <c r="K3492" t="s">
        <v>4783</v>
      </c>
      <c r="L3492" t="s">
        <v>21</v>
      </c>
      <c r="M3492" t="str">
        <f t="shared" si="162"/>
        <v>OK</v>
      </c>
      <c r="N3492" t="str">
        <f t="shared" si="163"/>
        <v>2000s</v>
      </c>
      <c r="O3492" t="str">
        <f t="shared" si="164"/>
        <v>N/A</v>
      </c>
      <c r="P3492" t="str">
        <f>VLOOKUP(E3492,calculated_fields!$F$4:$G$6,2,FALSE)</f>
        <v>Demographics</v>
      </c>
    </row>
    <row r="3493" spans="1:16">
      <c r="A3493" t="s">
        <v>4785</v>
      </c>
      <c r="B3493" t="s">
        <v>4738</v>
      </c>
      <c r="C3493" t="s">
        <v>14</v>
      </c>
      <c r="D3493">
        <v>2007</v>
      </c>
      <c r="E3493" t="s">
        <v>29</v>
      </c>
      <c r="F3493" t="s">
        <v>30</v>
      </c>
      <c r="G3493" t="s">
        <v>31</v>
      </c>
      <c r="H3493" t="s">
        <v>32</v>
      </c>
      <c r="I3493">
        <v>22316.192869999999</v>
      </c>
      <c r="J3493" t="s">
        <v>33</v>
      </c>
      <c r="K3493" t="s">
        <v>4783</v>
      </c>
      <c r="L3493" t="s">
        <v>21</v>
      </c>
      <c r="M3493" t="str">
        <f t="shared" si="162"/>
        <v>OK</v>
      </c>
      <c r="N3493" t="str">
        <f t="shared" si="163"/>
        <v>2000s</v>
      </c>
      <c r="O3493" t="str">
        <f t="shared" si="164"/>
        <v>N/A</v>
      </c>
      <c r="P3493" t="str">
        <f>VLOOKUP(E3493,calculated_fields!$F$4:$G$6,2,FALSE)</f>
        <v>Economy</v>
      </c>
    </row>
    <row r="3494" spans="1:16">
      <c r="A3494" t="s">
        <v>4786</v>
      </c>
      <c r="B3494" t="s">
        <v>4787</v>
      </c>
      <c r="C3494" t="s">
        <v>14</v>
      </c>
      <c r="D3494">
        <v>1952</v>
      </c>
      <c r="E3494" t="s">
        <v>15</v>
      </c>
      <c r="F3494" t="s">
        <v>16</v>
      </c>
      <c r="G3494" t="s">
        <v>17</v>
      </c>
      <c r="H3494" t="s">
        <v>18</v>
      </c>
      <c r="I3494">
        <v>43.436</v>
      </c>
      <c r="J3494" t="s">
        <v>19</v>
      </c>
      <c r="K3494" t="s">
        <v>4788</v>
      </c>
      <c r="L3494" t="s">
        <v>21</v>
      </c>
      <c r="M3494" t="str">
        <f t="shared" si="162"/>
        <v>OK</v>
      </c>
      <c r="N3494" t="str">
        <f t="shared" si="163"/>
        <v>1950s</v>
      </c>
      <c r="O3494" t="str">
        <f t="shared" si="164"/>
        <v>Low</v>
      </c>
      <c r="P3494" t="str">
        <f>VLOOKUP(E3494,calculated_fields!$F$4:$G$6,2,FALSE)</f>
        <v>Health</v>
      </c>
    </row>
    <row r="3495" spans="1:16">
      <c r="A3495" t="s">
        <v>4789</v>
      </c>
      <c r="B3495" t="s">
        <v>4787</v>
      </c>
      <c r="C3495" t="s">
        <v>14</v>
      </c>
      <c r="D3495">
        <v>1952</v>
      </c>
      <c r="E3495" t="s">
        <v>23</v>
      </c>
      <c r="F3495" t="s">
        <v>24</v>
      </c>
      <c r="G3495" t="s">
        <v>25</v>
      </c>
      <c r="H3495" t="s">
        <v>26</v>
      </c>
      <c r="I3495">
        <v>41346560</v>
      </c>
      <c r="J3495" t="s">
        <v>27</v>
      </c>
      <c r="K3495" t="s">
        <v>4788</v>
      </c>
      <c r="L3495" t="s">
        <v>21</v>
      </c>
      <c r="M3495" t="str">
        <f t="shared" si="162"/>
        <v>OK</v>
      </c>
      <c r="N3495" t="str">
        <f t="shared" si="163"/>
        <v>1950s</v>
      </c>
      <c r="O3495" t="str">
        <f t="shared" si="164"/>
        <v>N/A</v>
      </c>
      <c r="P3495" t="str">
        <f>VLOOKUP(E3495,calculated_fields!$F$4:$G$6,2,FALSE)</f>
        <v>Demographics</v>
      </c>
    </row>
    <row r="3496" spans="1:16">
      <c r="A3496" t="s">
        <v>4790</v>
      </c>
      <c r="B3496" t="s">
        <v>4787</v>
      </c>
      <c r="C3496" t="s">
        <v>14</v>
      </c>
      <c r="D3496">
        <v>1952</v>
      </c>
      <c r="E3496" t="s">
        <v>29</v>
      </c>
      <c r="F3496" t="s">
        <v>30</v>
      </c>
      <c r="G3496" t="s">
        <v>31</v>
      </c>
      <c r="H3496" t="s">
        <v>32</v>
      </c>
      <c r="I3496">
        <v>684.597143799999</v>
      </c>
      <c r="J3496" t="s">
        <v>33</v>
      </c>
      <c r="K3496" t="s">
        <v>4788</v>
      </c>
      <c r="L3496" t="s">
        <v>21</v>
      </c>
      <c r="M3496" t="str">
        <f t="shared" si="162"/>
        <v>OK</v>
      </c>
      <c r="N3496" t="str">
        <f t="shared" si="163"/>
        <v>1950s</v>
      </c>
      <c r="O3496" t="str">
        <f t="shared" si="164"/>
        <v>N/A</v>
      </c>
      <c r="P3496" t="str">
        <f>VLOOKUP(E3496,calculated_fields!$F$4:$G$6,2,FALSE)</f>
        <v>Economy</v>
      </c>
    </row>
    <row r="3497" spans="1:16">
      <c r="A3497" t="s">
        <v>4791</v>
      </c>
      <c r="B3497" t="s">
        <v>4787</v>
      </c>
      <c r="C3497" t="s">
        <v>14</v>
      </c>
      <c r="D3497">
        <v>1957</v>
      </c>
      <c r="E3497" t="s">
        <v>15</v>
      </c>
      <c r="F3497" t="s">
        <v>16</v>
      </c>
      <c r="G3497" t="s">
        <v>17</v>
      </c>
      <c r="H3497" t="s">
        <v>18</v>
      </c>
      <c r="I3497">
        <v>45.557000000000002</v>
      </c>
      <c r="J3497" t="s">
        <v>19</v>
      </c>
      <c r="K3497" t="s">
        <v>4792</v>
      </c>
      <c r="L3497" t="s">
        <v>21</v>
      </c>
      <c r="M3497" t="str">
        <f t="shared" si="162"/>
        <v>OK</v>
      </c>
      <c r="N3497" t="str">
        <f t="shared" si="163"/>
        <v>1950s</v>
      </c>
      <c r="O3497" t="str">
        <f t="shared" si="164"/>
        <v>Low</v>
      </c>
      <c r="P3497" t="str">
        <f>VLOOKUP(E3497,calculated_fields!$F$4:$G$6,2,FALSE)</f>
        <v>Health</v>
      </c>
    </row>
    <row r="3498" spans="1:16">
      <c r="A3498" t="s">
        <v>4793</v>
      </c>
      <c r="B3498" t="s">
        <v>4787</v>
      </c>
      <c r="C3498" t="s">
        <v>14</v>
      </c>
      <c r="D3498">
        <v>1957</v>
      </c>
      <c r="E3498" t="s">
        <v>23</v>
      </c>
      <c r="F3498" t="s">
        <v>24</v>
      </c>
      <c r="G3498" t="s">
        <v>25</v>
      </c>
      <c r="H3498" t="s">
        <v>26</v>
      </c>
      <c r="I3498">
        <v>46679944</v>
      </c>
      <c r="J3498" t="s">
        <v>27</v>
      </c>
      <c r="K3498" t="s">
        <v>4792</v>
      </c>
      <c r="L3498" t="s">
        <v>21</v>
      </c>
      <c r="M3498" t="str">
        <f t="shared" si="162"/>
        <v>OK</v>
      </c>
      <c r="N3498" t="str">
        <f t="shared" si="163"/>
        <v>1950s</v>
      </c>
      <c r="O3498" t="str">
        <f t="shared" si="164"/>
        <v>N/A</v>
      </c>
      <c r="P3498" t="str">
        <f>VLOOKUP(E3498,calculated_fields!$F$4:$G$6,2,FALSE)</f>
        <v>Demographics</v>
      </c>
    </row>
    <row r="3499" spans="1:16">
      <c r="A3499" t="s">
        <v>4794</v>
      </c>
      <c r="B3499" t="s">
        <v>4787</v>
      </c>
      <c r="C3499" t="s">
        <v>14</v>
      </c>
      <c r="D3499">
        <v>1957</v>
      </c>
      <c r="E3499" t="s">
        <v>29</v>
      </c>
      <c r="F3499" t="s">
        <v>30</v>
      </c>
      <c r="G3499" t="s">
        <v>31</v>
      </c>
      <c r="H3499" t="s">
        <v>32</v>
      </c>
      <c r="I3499">
        <v>747.08352920000004</v>
      </c>
      <c r="J3499" t="s">
        <v>33</v>
      </c>
      <c r="K3499" t="s">
        <v>4792</v>
      </c>
      <c r="L3499" t="s">
        <v>21</v>
      </c>
      <c r="M3499" t="str">
        <f t="shared" si="162"/>
        <v>OK</v>
      </c>
      <c r="N3499" t="str">
        <f t="shared" si="163"/>
        <v>1950s</v>
      </c>
      <c r="O3499" t="str">
        <f t="shared" si="164"/>
        <v>N/A</v>
      </c>
      <c r="P3499" t="str">
        <f>VLOOKUP(E3499,calculated_fields!$F$4:$G$6,2,FALSE)</f>
        <v>Economy</v>
      </c>
    </row>
    <row r="3500" spans="1:16">
      <c r="A3500" t="s">
        <v>4795</v>
      </c>
      <c r="B3500" t="s">
        <v>4787</v>
      </c>
      <c r="C3500" t="s">
        <v>14</v>
      </c>
      <c r="D3500">
        <v>1962</v>
      </c>
      <c r="E3500" t="s">
        <v>15</v>
      </c>
      <c r="F3500" t="s">
        <v>16</v>
      </c>
      <c r="G3500" t="s">
        <v>17</v>
      </c>
      <c r="H3500" t="s">
        <v>18</v>
      </c>
      <c r="I3500">
        <v>47.67</v>
      </c>
      <c r="J3500" t="s">
        <v>19</v>
      </c>
      <c r="K3500" t="s">
        <v>4796</v>
      </c>
      <c r="L3500" t="s">
        <v>21</v>
      </c>
      <c r="M3500" t="str">
        <f t="shared" si="162"/>
        <v>OK</v>
      </c>
      <c r="N3500" t="str">
        <f t="shared" si="163"/>
        <v>1960s</v>
      </c>
      <c r="O3500" t="str">
        <f t="shared" si="164"/>
        <v>Low</v>
      </c>
      <c r="P3500" t="str">
        <f>VLOOKUP(E3500,calculated_fields!$F$4:$G$6,2,FALSE)</f>
        <v>Health</v>
      </c>
    </row>
    <row r="3501" spans="1:16">
      <c r="A3501" t="s">
        <v>4797</v>
      </c>
      <c r="B3501" t="s">
        <v>4787</v>
      </c>
      <c r="C3501" t="s">
        <v>14</v>
      </c>
      <c r="D3501">
        <v>1962</v>
      </c>
      <c r="E3501" t="s">
        <v>23</v>
      </c>
      <c r="F3501" t="s">
        <v>24</v>
      </c>
      <c r="G3501" t="s">
        <v>25</v>
      </c>
      <c r="H3501" t="s">
        <v>26</v>
      </c>
      <c r="I3501">
        <v>53100671</v>
      </c>
      <c r="J3501" t="s">
        <v>27</v>
      </c>
      <c r="K3501" t="s">
        <v>4796</v>
      </c>
      <c r="L3501" t="s">
        <v>21</v>
      </c>
      <c r="M3501" t="str">
        <f t="shared" si="162"/>
        <v>OK</v>
      </c>
      <c r="N3501" t="str">
        <f t="shared" si="163"/>
        <v>1960s</v>
      </c>
      <c r="O3501" t="str">
        <f t="shared" si="164"/>
        <v>N/A</v>
      </c>
      <c r="P3501" t="str">
        <f>VLOOKUP(E3501,calculated_fields!$F$4:$G$6,2,FALSE)</f>
        <v>Demographics</v>
      </c>
    </row>
    <row r="3502" spans="1:16">
      <c r="A3502" t="s">
        <v>4798</v>
      </c>
      <c r="B3502" t="s">
        <v>4787</v>
      </c>
      <c r="C3502" t="s">
        <v>14</v>
      </c>
      <c r="D3502">
        <v>1962</v>
      </c>
      <c r="E3502" t="s">
        <v>29</v>
      </c>
      <c r="F3502" t="s">
        <v>30</v>
      </c>
      <c r="G3502" t="s">
        <v>31</v>
      </c>
      <c r="H3502" t="s">
        <v>32</v>
      </c>
      <c r="I3502">
        <v>803.3427418</v>
      </c>
      <c r="J3502" t="s">
        <v>33</v>
      </c>
      <c r="K3502" t="s">
        <v>4796</v>
      </c>
      <c r="L3502" t="s">
        <v>21</v>
      </c>
      <c r="M3502" t="str">
        <f t="shared" si="162"/>
        <v>OK</v>
      </c>
      <c r="N3502" t="str">
        <f t="shared" si="163"/>
        <v>1960s</v>
      </c>
      <c r="O3502" t="str">
        <f t="shared" si="164"/>
        <v>N/A</v>
      </c>
      <c r="P3502" t="str">
        <f>VLOOKUP(E3502,calculated_fields!$F$4:$G$6,2,FALSE)</f>
        <v>Economy</v>
      </c>
    </row>
    <row r="3503" spans="1:16">
      <c r="A3503" t="s">
        <v>4799</v>
      </c>
      <c r="B3503" t="s">
        <v>4787</v>
      </c>
      <c r="C3503" t="s">
        <v>14</v>
      </c>
      <c r="D3503">
        <v>1967</v>
      </c>
      <c r="E3503" t="s">
        <v>15</v>
      </c>
      <c r="F3503" t="s">
        <v>16</v>
      </c>
      <c r="G3503" t="s">
        <v>17</v>
      </c>
      <c r="H3503" t="s">
        <v>18</v>
      </c>
      <c r="I3503">
        <v>49.8</v>
      </c>
      <c r="J3503" t="s">
        <v>19</v>
      </c>
      <c r="K3503" t="s">
        <v>4800</v>
      </c>
      <c r="L3503" t="s">
        <v>21</v>
      </c>
      <c r="M3503" t="str">
        <f t="shared" si="162"/>
        <v>OK</v>
      </c>
      <c r="N3503" t="str">
        <f t="shared" si="163"/>
        <v>1960s</v>
      </c>
      <c r="O3503" t="str">
        <f t="shared" si="164"/>
        <v>Low</v>
      </c>
      <c r="P3503" t="str">
        <f>VLOOKUP(E3503,calculated_fields!$F$4:$G$6,2,FALSE)</f>
        <v>Health</v>
      </c>
    </row>
    <row r="3504" spans="1:16">
      <c r="A3504" t="s">
        <v>4801</v>
      </c>
      <c r="B3504" t="s">
        <v>4787</v>
      </c>
      <c r="C3504" t="s">
        <v>14</v>
      </c>
      <c r="D3504">
        <v>1967</v>
      </c>
      <c r="E3504" t="s">
        <v>23</v>
      </c>
      <c r="F3504" t="s">
        <v>24</v>
      </c>
      <c r="G3504" t="s">
        <v>25</v>
      </c>
      <c r="H3504" t="s">
        <v>26</v>
      </c>
      <c r="I3504">
        <v>60641899</v>
      </c>
      <c r="J3504" t="s">
        <v>27</v>
      </c>
      <c r="K3504" t="s">
        <v>4800</v>
      </c>
      <c r="L3504" t="s">
        <v>21</v>
      </c>
      <c r="M3504" t="str">
        <f t="shared" si="162"/>
        <v>OK</v>
      </c>
      <c r="N3504" t="str">
        <f t="shared" si="163"/>
        <v>1960s</v>
      </c>
      <c r="O3504" t="str">
        <f t="shared" si="164"/>
        <v>N/A</v>
      </c>
      <c r="P3504" t="str">
        <f>VLOOKUP(E3504,calculated_fields!$F$4:$G$6,2,FALSE)</f>
        <v>Demographics</v>
      </c>
    </row>
    <row r="3505" spans="1:16">
      <c r="A3505" t="s">
        <v>4802</v>
      </c>
      <c r="B3505" t="s">
        <v>4787</v>
      </c>
      <c r="C3505" t="s">
        <v>14</v>
      </c>
      <c r="D3505">
        <v>1967</v>
      </c>
      <c r="E3505" t="s">
        <v>29</v>
      </c>
      <c r="F3505" t="s">
        <v>30</v>
      </c>
      <c r="G3505" t="s">
        <v>31</v>
      </c>
      <c r="H3505" t="s">
        <v>32</v>
      </c>
      <c r="I3505">
        <v>942.4082588</v>
      </c>
      <c r="J3505" t="s">
        <v>33</v>
      </c>
      <c r="K3505" t="s">
        <v>4800</v>
      </c>
      <c r="L3505" t="s">
        <v>21</v>
      </c>
      <c r="M3505" t="str">
        <f t="shared" si="162"/>
        <v>OK</v>
      </c>
      <c r="N3505" t="str">
        <f t="shared" si="163"/>
        <v>1960s</v>
      </c>
      <c r="O3505" t="str">
        <f t="shared" si="164"/>
        <v>N/A</v>
      </c>
      <c r="P3505" t="str">
        <f>VLOOKUP(E3505,calculated_fields!$F$4:$G$6,2,FALSE)</f>
        <v>Economy</v>
      </c>
    </row>
    <row r="3506" spans="1:16">
      <c r="A3506" t="s">
        <v>4803</v>
      </c>
      <c r="B3506" t="s">
        <v>4787</v>
      </c>
      <c r="C3506" t="s">
        <v>14</v>
      </c>
      <c r="D3506">
        <v>1972</v>
      </c>
      <c r="E3506" t="s">
        <v>15</v>
      </c>
      <c r="F3506" t="s">
        <v>16</v>
      </c>
      <c r="G3506" t="s">
        <v>17</v>
      </c>
      <c r="H3506" t="s">
        <v>18</v>
      </c>
      <c r="I3506">
        <v>51.929000000000002</v>
      </c>
      <c r="J3506" t="s">
        <v>19</v>
      </c>
      <c r="K3506" t="s">
        <v>4804</v>
      </c>
      <c r="L3506" t="s">
        <v>21</v>
      </c>
      <c r="M3506" t="str">
        <f t="shared" si="162"/>
        <v>OK</v>
      </c>
      <c r="N3506" t="str">
        <f t="shared" si="163"/>
        <v>1970s</v>
      </c>
      <c r="O3506" t="str">
        <f t="shared" si="164"/>
        <v>Low</v>
      </c>
      <c r="P3506" t="str">
        <f>VLOOKUP(E3506,calculated_fields!$F$4:$G$6,2,FALSE)</f>
        <v>Health</v>
      </c>
    </row>
    <row r="3507" spans="1:16">
      <c r="A3507" t="s">
        <v>4805</v>
      </c>
      <c r="B3507" t="s">
        <v>4787</v>
      </c>
      <c r="C3507" t="s">
        <v>14</v>
      </c>
      <c r="D3507">
        <v>1972</v>
      </c>
      <c r="E3507" t="s">
        <v>23</v>
      </c>
      <c r="F3507" t="s">
        <v>24</v>
      </c>
      <c r="G3507" t="s">
        <v>25</v>
      </c>
      <c r="H3507" t="s">
        <v>26</v>
      </c>
      <c r="I3507">
        <v>69325921</v>
      </c>
      <c r="J3507" t="s">
        <v>27</v>
      </c>
      <c r="K3507" t="s">
        <v>4804</v>
      </c>
      <c r="L3507" t="s">
        <v>21</v>
      </c>
      <c r="M3507" t="str">
        <f t="shared" si="162"/>
        <v>OK</v>
      </c>
      <c r="N3507" t="str">
        <f t="shared" si="163"/>
        <v>1970s</v>
      </c>
      <c r="O3507" t="str">
        <f t="shared" si="164"/>
        <v>N/A</v>
      </c>
      <c r="P3507" t="str">
        <f>VLOOKUP(E3507,calculated_fields!$F$4:$G$6,2,FALSE)</f>
        <v>Demographics</v>
      </c>
    </row>
    <row r="3508" spans="1:16">
      <c r="A3508" t="s">
        <v>4806</v>
      </c>
      <c r="B3508" t="s">
        <v>4787</v>
      </c>
      <c r="C3508" t="s">
        <v>14</v>
      </c>
      <c r="D3508">
        <v>1972</v>
      </c>
      <c r="E3508" t="s">
        <v>29</v>
      </c>
      <c r="F3508" t="s">
        <v>30</v>
      </c>
      <c r="G3508" t="s">
        <v>31</v>
      </c>
      <c r="H3508" t="s">
        <v>32</v>
      </c>
      <c r="I3508">
        <v>1049.938981</v>
      </c>
      <c r="J3508" t="s">
        <v>33</v>
      </c>
      <c r="K3508" t="s">
        <v>4804</v>
      </c>
      <c r="L3508" t="s">
        <v>21</v>
      </c>
      <c r="M3508" t="str">
        <f t="shared" si="162"/>
        <v>OK</v>
      </c>
      <c r="N3508" t="str">
        <f t="shared" si="163"/>
        <v>1970s</v>
      </c>
      <c r="O3508" t="str">
        <f t="shared" si="164"/>
        <v>N/A</v>
      </c>
      <c r="P3508" t="str">
        <f>VLOOKUP(E3508,calculated_fields!$F$4:$G$6,2,FALSE)</f>
        <v>Economy</v>
      </c>
    </row>
    <row r="3509" spans="1:16">
      <c r="A3509" t="s">
        <v>4807</v>
      </c>
      <c r="B3509" t="s">
        <v>4787</v>
      </c>
      <c r="C3509" t="s">
        <v>14</v>
      </c>
      <c r="D3509">
        <v>1977</v>
      </c>
      <c r="E3509" t="s">
        <v>15</v>
      </c>
      <c r="F3509" t="s">
        <v>16</v>
      </c>
      <c r="G3509" t="s">
        <v>17</v>
      </c>
      <c r="H3509" t="s">
        <v>18</v>
      </c>
      <c r="I3509">
        <v>54.042999999999999</v>
      </c>
      <c r="J3509" t="s">
        <v>19</v>
      </c>
      <c r="K3509" t="s">
        <v>4808</v>
      </c>
      <c r="L3509" t="s">
        <v>21</v>
      </c>
      <c r="M3509" t="str">
        <f t="shared" si="162"/>
        <v>OK</v>
      </c>
      <c r="N3509" t="str">
        <f t="shared" si="163"/>
        <v>1970s</v>
      </c>
      <c r="O3509" t="str">
        <f t="shared" si="164"/>
        <v>Low</v>
      </c>
      <c r="P3509" t="str">
        <f>VLOOKUP(E3509,calculated_fields!$F$4:$G$6,2,FALSE)</f>
        <v>Health</v>
      </c>
    </row>
    <row r="3510" spans="1:16">
      <c r="A3510" t="s">
        <v>4809</v>
      </c>
      <c r="B3510" t="s">
        <v>4787</v>
      </c>
      <c r="C3510" t="s">
        <v>14</v>
      </c>
      <c r="D3510">
        <v>1977</v>
      </c>
      <c r="E3510" t="s">
        <v>23</v>
      </c>
      <c r="F3510" t="s">
        <v>24</v>
      </c>
      <c r="G3510" t="s">
        <v>25</v>
      </c>
      <c r="H3510" t="s">
        <v>26</v>
      </c>
      <c r="I3510">
        <v>78152686</v>
      </c>
      <c r="J3510" t="s">
        <v>27</v>
      </c>
      <c r="K3510" t="s">
        <v>4808</v>
      </c>
      <c r="L3510" t="s">
        <v>21</v>
      </c>
      <c r="M3510" t="str">
        <f t="shared" si="162"/>
        <v>OK</v>
      </c>
      <c r="N3510" t="str">
        <f t="shared" si="163"/>
        <v>1970s</v>
      </c>
      <c r="O3510" t="str">
        <f t="shared" si="164"/>
        <v>N/A</v>
      </c>
      <c r="P3510" t="str">
        <f>VLOOKUP(E3510,calculated_fields!$F$4:$G$6,2,FALSE)</f>
        <v>Demographics</v>
      </c>
    </row>
    <row r="3511" spans="1:16">
      <c r="A3511" t="s">
        <v>4810</v>
      </c>
      <c r="B3511" t="s">
        <v>4787</v>
      </c>
      <c r="C3511" t="s">
        <v>14</v>
      </c>
      <c r="D3511">
        <v>1977</v>
      </c>
      <c r="E3511" t="s">
        <v>29</v>
      </c>
      <c r="F3511" t="s">
        <v>30</v>
      </c>
      <c r="G3511" t="s">
        <v>31</v>
      </c>
      <c r="H3511" t="s">
        <v>32</v>
      </c>
      <c r="I3511">
        <v>1175.9211929999999</v>
      </c>
      <c r="J3511" t="s">
        <v>33</v>
      </c>
      <c r="K3511" t="s">
        <v>4808</v>
      </c>
      <c r="L3511" t="s">
        <v>21</v>
      </c>
      <c r="M3511" t="str">
        <f t="shared" si="162"/>
        <v>OK</v>
      </c>
      <c r="N3511" t="str">
        <f t="shared" si="163"/>
        <v>1970s</v>
      </c>
      <c r="O3511" t="str">
        <f t="shared" si="164"/>
        <v>N/A</v>
      </c>
      <c r="P3511" t="str">
        <f>VLOOKUP(E3511,calculated_fields!$F$4:$G$6,2,FALSE)</f>
        <v>Economy</v>
      </c>
    </row>
    <row r="3512" spans="1:16">
      <c r="A3512" t="s">
        <v>4811</v>
      </c>
      <c r="B3512" t="s">
        <v>4787</v>
      </c>
      <c r="C3512" t="s">
        <v>14</v>
      </c>
      <c r="D3512">
        <v>1982</v>
      </c>
      <c r="E3512" t="s">
        <v>15</v>
      </c>
      <c r="F3512" t="s">
        <v>16</v>
      </c>
      <c r="G3512" t="s">
        <v>17</v>
      </c>
      <c r="H3512" t="s">
        <v>18</v>
      </c>
      <c r="I3512">
        <v>56.158000000000001</v>
      </c>
      <c r="J3512" t="s">
        <v>19</v>
      </c>
      <c r="K3512" t="s">
        <v>4812</v>
      </c>
      <c r="L3512" t="s">
        <v>21</v>
      </c>
      <c r="M3512" t="str">
        <f t="shared" si="162"/>
        <v>OK</v>
      </c>
      <c r="N3512" t="str">
        <f t="shared" si="163"/>
        <v>1980s</v>
      </c>
      <c r="O3512" t="str">
        <f t="shared" si="164"/>
        <v>Medium</v>
      </c>
      <c r="P3512" t="str">
        <f>VLOOKUP(E3512,calculated_fields!$F$4:$G$6,2,FALSE)</f>
        <v>Health</v>
      </c>
    </row>
    <row r="3513" spans="1:16">
      <c r="A3513" t="s">
        <v>4813</v>
      </c>
      <c r="B3513" t="s">
        <v>4787</v>
      </c>
      <c r="C3513" t="s">
        <v>14</v>
      </c>
      <c r="D3513">
        <v>1982</v>
      </c>
      <c r="E3513" t="s">
        <v>23</v>
      </c>
      <c r="F3513" t="s">
        <v>24</v>
      </c>
      <c r="G3513" t="s">
        <v>25</v>
      </c>
      <c r="H3513" t="s">
        <v>26</v>
      </c>
      <c r="I3513">
        <v>91462088</v>
      </c>
      <c r="J3513" t="s">
        <v>27</v>
      </c>
      <c r="K3513" t="s">
        <v>4812</v>
      </c>
      <c r="L3513" t="s">
        <v>21</v>
      </c>
      <c r="M3513" t="str">
        <f t="shared" si="162"/>
        <v>OK</v>
      </c>
      <c r="N3513" t="str">
        <f t="shared" si="163"/>
        <v>1980s</v>
      </c>
      <c r="O3513" t="str">
        <f t="shared" si="164"/>
        <v>N/A</v>
      </c>
      <c r="P3513" t="str">
        <f>VLOOKUP(E3513,calculated_fields!$F$4:$G$6,2,FALSE)</f>
        <v>Demographics</v>
      </c>
    </row>
    <row r="3514" spans="1:16">
      <c r="A3514" t="s">
        <v>4814</v>
      </c>
      <c r="B3514" t="s">
        <v>4787</v>
      </c>
      <c r="C3514" t="s">
        <v>14</v>
      </c>
      <c r="D3514">
        <v>1982</v>
      </c>
      <c r="E3514" t="s">
        <v>29</v>
      </c>
      <c r="F3514" t="s">
        <v>30</v>
      </c>
      <c r="G3514" t="s">
        <v>31</v>
      </c>
      <c r="H3514" t="s">
        <v>32</v>
      </c>
      <c r="I3514">
        <v>1443.429832</v>
      </c>
      <c r="J3514" t="s">
        <v>33</v>
      </c>
      <c r="K3514" t="s">
        <v>4812</v>
      </c>
      <c r="L3514" t="s">
        <v>21</v>
      </c>
      <c r="M3514" t="str">
        <f t="shared" si="162"/>
        <v>OK</v>
      </c>
      <c r="N3514" t="str">
        <f t="shared" si="163"/>
        <v>1980s</v>
      </c>
      <c r="O3514" t="str">
        <f t="shared" si="164"/>
        <v>N/A</v>
      </c>
      <c r="P3514" t="str">
        <f>VLOOKUP(E3514,calculated_fields!$F$4:$G$6,2,FALSE)</f>
        <v>Economy</v>
      </c>
    </row>
    <row r="3515" spans="1:16">
      <c r="A3515" t="s">
        <v>4815</v>
      </c>
      <c r="B3515" t="s">
        <v>4787</v>
      </c>
      <c r="C3515" t="s">
        <v>14</v>
      </c>
      <c r="D3515">
        <v>1987</v>
      </c>
      <c r="E3515" t="s">
        <v>15</v>
      </c>
      <c r="F3515" t="s">
        <v>16</v>
      </c>
      <c r="G3515" t="s">
        <v>17</v>
      </c>
      <c r="H3515" t="s">
        <v>18</v>
      </c>
      <c r="I3515">
        <v>58.244999999999997</v>
      </c>
      <c r="J3515" t="s">
        <v>19</v>
      </c>
      <c r="K3515" t="s">
        <v>4816</v>
      </c>
      <c r="L3515" t="s">
        <v>21</v>
      </c>
      <c r="M3515" t="str">
        <f t="shared" si="162"/>
        <v>OK</v>
      </c>
      <c r="N3515" t="str">
        <f t="shared" si="163"/>
        <v>1980s</v>
      </c>
      <c r="O3515" t="str">
        <f t="shared" si="164"/>
        <v>Medium</v>
      </c>
      <c r="P3515" t="str">
        <f>VLOOKUP(E3515,calculated_fields!$F$4:$G$6,2,FALSE)</f>
        <v>Health</v>
      </c>
    </row>
    <row r="3516" spans="1:16">
      <c r="A3516" t="s">
        <v>4817</v>
      </c>
      <c r="B3516" t="s">
        <v>4787</v>
      </c>
      <c r="C3516" t="s">
        <v>14</v>
      </c>
      <c r="D3516">
        <v>1987</v>
      </c>
      <c r="E3516" t="s">
        <v>23</v>
      </c>
      <c r="F3516" t="s">
        <v>24</v>
      </c>
      <c r="G3516" t="s">
        <v>25</v>
      </c>
      <c r="H3516" t="s">
        <v>26</v>
      </c>
      <c r="I3516">
        <v>105186881</v>
      </c>
      <c r="J3516" t="s">
        <v>27</v>
      </c>
      <c r="K3516" t="s">
        <v>4816</v>
      </c>
      <c r="L3516" t="s">
        <v>21</v>
      </c>
      <c r="M3516" t="str">
        <f t="shared" si="162"/>
        <v>OK</v>
      </c>
      <c r="N3516" t="str">
        <f t="shared" si="163"/>
        <v>1980s</v>
      </c>
      <c r="O3516" t="str">
        <f t="shared" si="164"/>
        <v>N/A</v>
      </c>
      <c r="P3516" t="str">
        <f>VLOOKUP(E3516,calculated_fields!$F$4:$G$6,2,FALSE)</f>
        <v>Demographics</v>
      </c>
    </row>
    <row r="3517" spans="1:16">
      <c r="A3517" t="s">
        <v>4818</v>
      </c>
      <c r="B3517" t="s">
        <v>4787</v>
      </c>
      <c r="C3517" t="s">
        <v>14</v>
      </c>
      <c r="D3517">
        <v>1987</v>
      </c>
      <c r="E3517" t="s">
        <v>29</v>
      </c>
      <c r="F3517" t="s">
        <v>30</v>
      </c>
      <c r="G3517" t="s">
        <v>31</v>
      </c>
      <c r="H3517" t="s">
        <v>32</v>
      </c>
      <c r="I3517">
        <v>1704.6865829999999</v>
      </c>
      <c r="J3517" t="s">
        <v>33</v>
      </c>
      <c r="K3517" t="s">
        <v>4816</v>
      </c>
      <c r="L3517" t="s">
        <v>21</v>
      </c>
      <c r="M3517" t="str">
        <f t="shared" si="162"/>
        <v>OK</v>
      </c>
      <c r="N3517" t="str">
        <f t="shared" si="163"/>
        <v>1980s</v>
      </c>
      <c r="O3517" t="str">
        <f t="shared" si="164"/>
        <v>N/A</v>
      </c>
      <c r="P3517" t="str">
        <f>VLOOKUP(E3517,calculated_fields!$F$4:$G$6,2,FALSE)</f>
        <v>Economy</v>
      </c>
    </row>
    <row r="3518" spans="1:16">
      <c r="A3518" t="s">
        <v>4819</v>
      </c>
      <c r="B3518" t="s">
        <v>4787</v>
      </c>
      <c r="C3518" t="s">
        <v>14</v>
      </c>
      <c r="D3518">
        <v>1992</v>
      </c>
      <c r="E3518" t="s">
        <v>15</v>
      </c>
      <c r="F3518" t="s">
        <v>16</v>
      </c>
      <c r="G3518" t="s">
        <v>17</v>
      </c>
      <c r="H3518" t="s">
        <v>18</v>
      </c>
      <c r="I3518">
        <v>60.838000000000001</v>
      </c>
      <c r="J3518" t="s">
        <v>19</v>
      </c>
      <c r="K3518" t="s">
        <v>4820</v>
      </c>
      <c r="L3518" t="s">
        <v>21</v>
      </c>
      <c r="M3518" t="str">
        <f t="shared" si="162"/>
        <v>OK</v>
      </c>
      <c r="N3518" t="str">
        <f t="shared" si="163"/>
        <v>1990s</v>
      </c>
      <c r="O3518" t="str">
        <f t="shared" si="164"/>
        <v>Medium</v>
      </c>
      <c r="P3518" t="str">
        <f>VLOOKUP(E3518,calculated_fields!$F$4:$G$6,2,FALSE)</f>
        <v>Health</v>
      </c>
    </row>
    <row r="3519" spans="1:16">
      <c r="A3519" t="s">
        <v>4821</v>
      </c>
      <c r="B3519" t="s">
        <v>4787</v>
      </c>
      <c r="C3519" t="s">
        <v>14</v>
      </c>
      <c r="D3519">
        <v>1992</v>
      </c>
      <c r="E3519" t="s">
        <v>23</v>
      </c>
      <c r="F3519" t="s">
        <v>24</v>
      </c>
      <c r="G3519" t="s">
        <v>25</v>
      </c>
      <c r="H3519" t="s">
        <v>26</v>
      </c>
      <c r="I3519">
        <v>120065004</v>
      </c>
      <c r="J3519" t="s">
        <v>27</v>
      </c>
      <c r="K3519" t="s">
        <v>4820</v>
      </c>
      <c r="L3519" t="s">
        <v>21</v>
      </c>
      <c r="M3519" t="str">
        <f t="shared" si="162"/>
        <v>OK</v>
      </c>
      <c r="N3519" t="str">
        <f t="shared" si="163"/>
        <v>1990s</v>
      </c>
      <c r="O3519" t="str">
        <f t="shared" si="164"/>
        <v>N/A</v>
      </c>
      <c r="P3519" t="str">
        <f>VLOOKUP(E3519,calculated_fields!$F$4:$G$6,2,FALSE)</f>
        <v>Demographics</v>
      </c>
    </row>
    <row r="3520" spans="1:16">
      <c r="A3520" t="s">
        <v>4822</v>
      </c>
      <c r="B3520" t="s">
        <v>4787</v>
      </c>
      <c r="C3520" t="s">
        <v>14</v>
      </c>
      <c r="D3520">
        <v>1992</v>
      </c>
      <c r="E3520" t="s">
        <v>29</v>
      </c>
      <c r="F3520" t="s">
        <v>30</v>
      </c>
      <c r="G3520" t="s">
        <v>31</v>
      </c>
      <c r="H3520" t="s">
        <v>32</v>
      </c>
      <c r="I3520">
        <v>1971.8294639999999</v>
      </c>
      <c r="J3520" t="s">
        <v>33</v>
      </c>
      <c r="K3520" t="s">
        <v>4820</v>
      </c>
      <c r="L3520" t="s">
        <v>21</v>
      </c>
      <c r="M3520" t="str">
        <f t="shared" si="162"/>
        <v>OK</v>
      </c>
      <c r="N3520" t="str">
        <f t="shared" si="163"/>
        <v>1990s</v>
      </c>
      <c r="O3520" t="str">
        <f t="shared" si="164"/>
        <v>N/A</v>
      </c>
      <c r="P3520" t="str">
        <f>VLOOKUP(E3520,calculated_fields!$F$4:$G$6,2,FALSE)</f>
        <v>Economy</v>
      </c>
    </row>
    <row r="3521" spans="1:16">
      <c r="A3521" t="s">
        <v>4823</v>
      </c>
      <c r="B3521" t="s">
        <v>4787</v>
      </c>
      <c r="C3521" t="s">
        <v>14</v>
      </c>
      <c r="D3521">
        <v>1997</v>
      </c>
      <c r="E3521" t="s">
        <v>15</v>
      </c>
      <c r="F3521" t="s">
        <v>16</v>
      </c>
      <c r="G3521" t="s">
        <v>17</v>
      </c>
      <c r="H3521" t="s">
        <v>18</v>
      </c>
      <c r="I3521">
        <v>61.817999999999998</v>
      </c>
      <c r="J3521" t="s">
        <v>19</v>
      </c>
      <c r="K3521" t="s">
        <v>4824</v>
      </c>
      <c r="L3521" t="s">
        <v>21</v>
      </c>
      <c r="M3521" t="str">
        <f t="shared" si="162"/>
        <v>OK</v>
      </c>
      <c r="N3521" t="str">
        <f t="shared" si="163"/>
        <v>1990s</v>
      </c>
      <c r="O3521" t="str">
        <f t="shared" si="164"/>
        <v>Medium</v>
      </c>
      <c r="P3521" t="str">
        <f>VLOOKUP(E3521,calculated_fields!$F$4:$G$6,2,FALSE)</f>
        <v>Health</v>
      </c>
    </row>
    <row r="3522" spans="1:16">
      <c r="A3522" t="s">
        <v>4825</v>
      </c>
      <c r="B3522" t="s">
        <v>4787</v>
      </c>
      <c r="C3522" t="s">
        <v>14</v>
      </c>
      <c r="D3522">
        <v>1997</v>
      </c>
      <c r="E3522" t="s">
        <v>23</v>
      </c>
      <c r="F3522" t="s">
        <v>24</v>
      </c>
      <c r="G3522" t="s">
        <v>25</v>
      </c>
      <c r="H3522" t="s">
        <v>26</v>
      </c>
      <c r="I3522">
        <v>135564834</v>
      </c>
      <c r="J3522" t="s">
        <v>27</v>
      </c>
      <c r="K3522" t="s">
        <v>4824</v>
      </c>
      <c r="L3522" t="s">
        <v>21</v>
      </c>
      <c r="M3522" t="str">
        <f t="shared" ref="M3522:M3585" si="165">IF(AND(ISNUMBER(I3522),I3522&gt;=0),"OK","Review")</f>
        <v>OK</v>
      </c>
      <c r="N3522" t="str">
        <f t="shared" ref="N3522:N3585" si="166">FLOOR(D3522,10)&amp;"s"</f>
        <v>1990s</v>
      </c>
      <c r="O3522" t="str">
        <f t="shared" ref="O3522:O3585" si="167">IF(E3522="LIFE_EXP",IF(I3522&gt;=70,"High",IF(I3522&gt;=55,"Medium","Low")),"N/A")</f>
        <v>N/A</v>
      </c>
      <c r="P3522" t="str">
        <f>VLOOKUP(E3522,calculated_fields!$F$4:$G$6,2,FALSE)</f>
        <v>Demographics</v>
      </c>
    </row>
    <row r="3523" spans="1:16">
      <c r="A3523" t="s">
        <v>4826</v>
      </c>
      <c r="B3523" t="s">
        <v>4787</v>
      </c>
      <c r="C3523" t="s">
        <v>14</v>
      </c>
      <c r="D3523">
        <v>1997</v>
      </c>
      <c r="E3523" t="s">
        <v>29</v>
      </c>
      <c r="F3523" t="s">
        <v>30</v>
      </c>
      <c r="G3523" t="s">
        <v>31</v>
      </c>
      <c r="H3523" t="s">
        <v>32</v>
      </c>
      <c r="I3523">
        <v>2049.3505209999998</v>
      </c>
      <c r="J3523" t="s">
        <v>33</v>
      </c>
      <c r="K3523" t="s">
        <v>4824</v>
      </c>
      <c r="L3523" t="s">
        <v>21</v>
      </c>
      <c r="M3523" t="str">
        <f t="shared" si="165"/>
        <v>OK</v>
      </c>
      <c r="N3523" t="str">
        <f t="shared" si="166"/>
        <v>1990s</v>
      </c>
      <c r="O3523" t="str">
        <f t="shared" si="167"/>
        <v>N/A</v>
      </c>
      <c r="P3523" t="str">
        <f>VLOOKUP(E3523,calculated_fields!$F$4:$G$6,2,FALSE)</f>
        <v>Economy</v>
      </c>
    </row>
    <row r="3524" spans="1:16">
      <c r="A3524" t="s">
        <v>4827</v>
      </c>
      <c r="B3524" t="s">
        <v>4787</v>
      </c>
      <c r="C3524" t="s">
        <v>14</v>
      </c>
      <c r="D3524">
        <v>2002</v>
      </c>
      <c r="E3524" t="s">
        <v>15</v>
      </c>
      <c r="F3524" t="s">
        <v>16</v>
      </c>
      <c r="G3524" t="s">
        <v>17</v>
      </c>
      <c r="H3524" t="s">
        <v>18</v>
      </c>
      <c r="I3524">
        <v>63.61</v>
      </c>
      <c r="J3524" t="s">
        <v>19</v>
      </c>
      <c r="K3524" t="s">
        <v>4828</v>
      </c>
      <c r="L3524" t="s">
        <v>21</v>
      </c>
      <c r="M3524" t="str">
        <f t="shared" si="165"/>
        <v>OK</v>
      </c>
      <c r="N3524" t="str">
        <f t="shared" si="166"/>
        <v>2000s</v>
      </c>
      <c r="O3524" t="str">
        <f t="shared" si="167"/>
        <v>Medium</v>
      </c>
      <c r="P3524" t="str">
        <f>VLOOKUP(E3524,calculated_fields!$F$4:$G$6,2,FALSE)</f>
        <v>Health</v>
      </c>
    </row>
    <row r="3525" spans="1:16">
      <c r="A3525" t="s">
        <v>4829</v>
      </c>
      <c r="B3525" t="s">
        <v>4787</v>
      </c>
      <c r="C3525" t="s">
        <v>14</v>
      </c>
      <c r="D3525">
        <v>2002</v>
      </c>
      <c r="E3525" t="s">
        <v>23</v>
      </c>
      <c r="F3525" t="s">
        <v>24</v>
      </c>
      <c r="G3525" t="s">
        <v>25</v>
      </c>
      <c r="H3525" t="s">
        <v>26</v>
      </c>
      <c r="I3525">
        <v>153403524</v>
      </c>
      <c r="J3525" t="s">
        <v>27</v>
      </c>
      <c r="K3525" t="s">
        <v>4828</v>
      </c>
      <c r="L3525" t="s">
        <v>21</v>
      </c>
      <c r="M3525" t="str">
        <f t="shared" si="165"/>
        <v>OK</v>
      </c>
      <c r="N3525" t="str">
        <f t="shared" si="166"/>
        <v>2000s</v>
      </c>
      <c r="O3525" t="str">
        <f t="shared" si="167"/>
        <v>N/A</v>
      </c>
      <c r="P3525" t="str">
        <f>VLOOKUP(E3525,calculated_fields!$F$4:$G$6,2,FALSE)</f>
        <v>Demographics</v>
      </c>
    </row>
    <row r="3526" spans="1:16">
      <c r="A3526" t="s">
        <v>4830</v>
      </c>
      <c r="B3526" t="s">
        <v>4787</v>
      </c>
      <c r="C3526" t="s">
        <v>14</v>
      </c>
      <c r="D3526">
        <v>2002</v>
      </c>
      <c r="E3526" t="s">
        <v>29</v>
      </c>
      <c r="F3526" t="s">
        <v>30</v>
      </c>
      <c r="G3526" t="s">
        <v>31</v>
      </c>
      <c r="H3526" t="s">
        <v>32</v>
      </c>
      <c r="I3526">
        <v>2092.7124410000001</v>
      </c>
      <c r="J3526" t="s">
        <v>33</v>
      </c>
      <c r="K3526" t="s">
        <v>4828</v>
      </c>
      <c r="L3526" t="s">
        <v>21</v>
      </c>
      <c r="M3526" t="str">
        <f t="shared" si="165"/>
        <v>OK</v>
      </c>
      <c r="N3526" t="str">
        <f t="shared" si="166"/>
        <v>2000s</v>
      </c>
      <c r="O3526" t="str">
        <f t="shared" si="167"/>
        <v>N/A</v>
      </c>
      <c r="P3526" t="str">
        <f>VLOOKUP(E3526,calculated_fields!$F$4:$G$6,2,FALSE)</f>
        <v>Economy</v>
      </c>
    </row>
    <row r="3527" spans="1:16">
      <c r="A3527" t="s">
        <v>4831</v>
      </c>
      <c r="B3527" t="s">
        <v>4787</v>
      </c>
      <c r="C3527" t="s">
        <v>14</v>
      </c>
      <c r="D3527">
        <v>2007</v>
      </c>
      <c r="E3527" t="s">
        <v>15</v>
      </c>
      <c r="F3527" t="s">
        <v>16</v>
      </c>
      <c r="G3527" t="s">
        <v>17</v>
      </c>
      <c r="H3527" t="s">
        <v>18</v>
      </c>
      <c r="I3527">
        <v>65.483000000000004</v>
      </c>
      <c r="J3527" t="s">
        <v>19</v>
      </c>
      <c r="K3527" t="s">
        <v>4832</v>
      </c>
      <c r="L3527" t="s">
        <v>21</v>
      </c>
      <c r="M3527" t="str">
        <f t="shared" si="165"/>
        <v>OK</v>
      </c>
      <c r="N3527" t="str">
        <f t="shared" si="166"/>
        <v>2000s</v>
      </c>
      <c r="O3527" t="str">
        <f t="shared" si="167"/>
        <v>Medium</v>
      </c>
      <c r="P3527" t="str">
        <f>VLOOKUP(E3527,calculated_fields!$F$4:$G$6,2,FALSE)</f>
        <v>Health</v>
      </c>
    </row>
    <row r="3528" spans="1:16">
      <c r="A3528" t="s">
        <v>4833</v>
      </c>
      <c r="B3528" t="s">
        <v>4787</v>
      </c>
      <c r="C3528" t="s">
        <v>14</v>
      </c>
      <c r="D3528">
        <v>2007</v>
      </c>
      <c r="E3528" t="s">
        <v>23</v>
      </c>
      <c r="F3528" t="s">
        <v>24</v>
      </c>
      <c r="G3528" t="s">
        <v>25</v>
      </c>
      <c r="H3528" t="s">
        <v>26</v>
      </c>
      <c r="I3528">
        <v>169270617</v>
      </c>
      <c r="J3528" t="s">
        <v>27</v>
      </c>
      <c r="K3528" t="s">
        <v>4832</v>
      </c>
      <c r="L3528" t="s">
        <v>21</v>
      </c>
      <c r="M3528" t="str">
        <f t="shared" si="165"/>
        <v>OK</v>
      </c>
      <c r="N3528" t="str">
        <f t="shared" si="166"/>
        <v>2000s</v>
      </c>
      <c r="O3528" t="str">
        <f t="shared" si="167"/>
        <v>N/A</v>
      </c>
      <c r="P3528" t="str">
        <f>VLOOKUP(E3528,calculated_fields!$F$4:$G$6,2,FALSE)</f>
        <v>Demographics</v>
      </c>
    </row>
    <row r="3529" spans="1:16">
      <c r="A3529" t="s">
        <v>4834</v>
      </c>
      <c r="B3529" t="s">
        <v>4787</v>
      </c>
      <c r="C3529" t="s">
        <v>14</v>
      </c>
      <c r="D3529">
        <v>2007</v>
      </c>
      <c r="E3529" t="s">
        <v>29</v>
      </c>
      <c r="F3529" t="s">
        <v>30</v>
      </c>
      <c r="G3529" t="s">
        <v>31</v>
      </c>
      <c r="H3529" t="s">
        <v>32</v>
      </c>
      <c r="I3529">
        <v>2605.94758</v>
      </c>
      <c r="J3529" t="s">
        <v>33</v>
      </c>
      <c r="K3529" t="s">
        <v>4832</v>
      </c>
      <c r="L3529" t="s">
        <v>21</v>
      </c>
      <c r="M3529" t="str">
        <f t="shared" si="165"/>
        <v>OK</v>
      </c>
      <c r="N3529" t="str">
        <f t="shared" si="166"/>
        <v>2000s</v>
      </c>
      <c r="O3529" t="str">
        <f t="shared" si="167"/>
        <v>N/A</v>
      </c>
      <c r="P3529" t="str">
        <f>VLOOKUP(E3529,calculated_fields!$F$4:$G$6,2,FALSE)</f>
        <v>Economy</v>
      </c>
    </row>
    <row r="3530" spans="1:16">
      <c r="A3530" t="s">
        <v>4835</v>
      </c>
      <c r="B3530" t="s">
        <v>4836</v>
      </c>
      <c r="C3530" t="s">
        <v>229</v>
      </c>
      <c r="D3530">
        <v>1952</v>
      </c>
      <c r="E3530" t="s">
        <v>15</v>
      </c>
      <c r="F3530" t="s">
        <v>16</v>
      </c>
      <c r="G3530" t="s">
        <v>17</v>
      </c>
      <c r="H3530" t="s">
        <v>18</v>
      </c>
      <c r="I3530">
        <v>55.191000000000003</v>
      </c>
      <c r="J3530" t="s">
        <v>19</v>
      </c>
      <c r="K3530" t="s">
        <v>4837</v>
      </c>
      <c r="L3530" t="s">
        <v>21</v>
      </c>
      <c r="M3530" t="str">
        <f t="shared" si="165"/>
        <v>OK</v>
      </c>
      <c r="N3530" t="str">
        <f t="shared" si="166"/>
        <v>1950s</v>
      </c>
      <c r="O3530" t="str">
        <f t="shared" si="167"/>
        <v>Medium</v>
      </c>
      <c r="P3530" t="str">
        <f>VLOOKUP(E3530,calculated_fields!$F$4:$G$6,2,FALSE)</f>
        <v>Health</v>
      </c>
    </row>
    <row r="3531" spans="1:16">
      <c r="A3531" t="s">
        <v>4838</v>
      </c>
      <c r="B3531" t="s">
        <v>4836</v>
      </c>
      <c r="C3531" t="s">
        <v>229</v>
      </c>
      <c r="D3531">
        <v>1952</v>
      </c>
      <c r="E3531" t="s">
        <v>23</v>
      </c>
      <c r="F3531" t="s">
        <v>24</v>
      </c>
      <c r="G3531" t="s">
        <v>25</v>
      </c>
      <c r="H3531" t="s">
        <v>26</v>
      </c>
      <c r="I3531">
        <v>940080</v>
      </c>
      <c r="J3531" t="s">
        <v>27</v>
      </c>
      <c r="K3531" t="s">
        <v>4837</v>
      </c>
      <c r="L3531" t="s">
        <v>21</v>
      </c>
      <c r="M3531" t="str">
        <f t="shared" si="165"/>
        <v>OK</v>
      </c>
      <c r="N3531" t="str">
        <f t="shared" si="166"/>
        <v>1950s</v>
      </c>
      <c r="O3531" t="str">
        <f t="shared" si="167"/>
        <v>N/A</v>
      </c>
      <c r="P3531" t="str">
        <f>VLOOKUP(E3531,calculated_fields!$F$4:$G$6,2,FALSE)</f>
        <v>Demographics</v>
      </c>
    </row>
    <row r="3532" spans="1:16">
      <c r="A3532" t="s">
        <v>4839</v>
      </c>
      <c r="B3532" t="s">
        <v>4836</v>
      </c>
      <c r="C3532" t="s">
        <v>229</v>
      </c>
      <c r="D3532">
        <v>1952</v>
      </c>
      <c r="E3532" t="s">
        <v>29</v>
      </c>
      <c r="F3532" t="s">
        <v>30</v>
      </c>
      <c r="G3532" t="s">
        <v>31</v>
      </c>
      <c r="H3532" t="s">
        <v>32</v>
      </c>
      <c r="I3532">
        <v>2480.3803339999999</v>
      </c>
      <c r="J3532" t="s">
        <v>33</v>
      </c>
      <c r="K3532" t="s">
        <v>4837</v>
      </c>
      <c r="L3532" t="s">
        <v>21</v>
      </c>
      <c r="M3532" t="str">
        <f t="shared" si="165"/>
        <v>OK</v>
      </c>
      <c r="N3532" t="str">
        <f t="shared" si="166"/>
        <v>1950s</v>
      </c>
      <c r="O3532" t="str">
        <f t="shared" si="167"/>
        <v>N/A</v>
      </c>
      <c r="P3532" t="str">
        <f>VLOOKUP(E3532,calculated_fields!$F$4:$G$6,2,FALSE)</f>
        <v>Economy</v>
      </c>
    </row>
    <row r="3533" spans="1:16">
      <c r="A3533" t="s">
        <v>4840</v>
      </c>
      <c r="B3533" t="s">
        <v>4836</v>
      </c>
      <c r="C3533" t="s">
        <v>229</v>
      </c>
      <c r="D3533">
        <v>1957</v>
      </c>
      <c r="E3533" t="s">
        <v>15</v>
      </c>
      <c r="F3533" t="s">
        <v>16</v>
      </c>
      <c r="G3533" t="s">
        <v>17</v>
      </c>
      <c r="H3533" t="s">
        <v>18</v>
      </c>
      <c r="I3533">
        <v>59.201000000000001</v>
      </c>
      <c r="J3533" t="s">
        <v>19</v>
      </c>
      <c r="K3533" t="s">
        <v>4841</v>
      </c>
      <c r="L3533" t="s">
        <v>21</v>
      </c>
      <c r="M3533" t="str">
        <f t="shared" si="165"/>
        <v>OK</v>
      </c>
      <c r="N3533" t="str">
        <f t="shared" si="166"/>
        <v>1950s</v>
      </c>
      <c r="O3533" t="str">
        <f t="shared" si="167"/>
        <v>Medium</v>
      </c>
      <c r="P3533" t="str">
        <f>VLOOKUP(E3533,calculated_fields!$F$4:$G$6,2,FALSE)</f>
        <v>Health</v>
      </c>
    </row>
    <row r="3534" spans="1:16">
      <c r="A3534" t="s">
        <v>4842</v>
      </c>
      <c r="B3534" t="s">
        <v>4836</v>
      </c>
      <c r="C3534" t="s">
        <v>229</v>
      </c>
      <c r="D3534">
        <v>1957</v>
      </c>
      <c r="E3534" t="s">
        <v>23</v>
      </c>
      <c r="F3534" t="s">
        <v>24</v>
      </c>
      <c r="G3534" t="s">
        <v>25</v>
      </c>
      <c r="H3534" t="s">
        <v>26</v>
      </c>
      <c r="I3534">
        <v>1063506</v>
      </c>
      <c r="J3534" t="s">
        <v>27</v>
      </c>
      <c r="K3534" t="s">
        <v>4841</v>
      </c>
      <c r="L3534" t="s">
        <v>21</v>
      </c>
      <c r="M3534" t="str">
        <f t="shared" si="165"/>
        <v>OK</v>
      </c>
      <c r="N3534" t="str">
        <f t="shared" si="166"/>
        <v>1950s</v>
      </c>
      <c r="O3534" t="str">
        <f t="shared" si="167"/>
        <v>N/A</v>
      </c>
      <c r="P3534" t="str">
        <f>VLOOKUP(E3534,calculated_fields!$F$4:$G$6,2,FALSE)</f>
        <v>Demographics</v>
      </c>
    </row>
    <row r="3535" spans="1:16">
      <c r="A3535" t="s">
        <v>4843</v>
      </c>
      <c r="B3535" t="s">
        <v>4836</v>
      </c>
      <c r="C3535" t="s">
        <v>229</v>
      </c>
      <c r="D3535">
        <v>1957</v>
      </c>
      <c r="E3535" t="s">
        <v>29</v>
      </c>
      <c r="F3535" t="s">
        <v>30</v>
      </c>
      <c r="G3535" t="s">
        <v>31</v>
      </c>
      <c r="H3535" t="s">
        <v>32</v>
      </c>
      <c r="I3535">
        <v>2961.8009050000001</v>
      </c>
      <c r="J3535" t="s">
        <v>33</v>
      </c>
      <c r="K3535" t="s">
        <v>4841</v>
      </c>
      <c r="L3535" t="s">
        <v>21</v>
      </c>
      <c r="M3535" t="str">
        <f t="shared" si="165"/>
        <v>OK</v>
      </c>
      <c r="N3535" t="str">
        <f t="shared" si="166"/>
        <v>1950s</v>
      </c>
      <c r="O3535" t="str">
        <f t="shared" si="167"/>
        <v>N/A</v>
      </c>
      <c r="P3535" t="str">
        <f>VLOOKUP(E3535,calculated_fields!$F$4:$G$6,2,FALSE)</f>
        <v>Economy</v>
      </c>
    </row>
    <row r="3536" spans="1:16">
      <c r="A3536" t="s">
        <v>4844</v>
      </c>
      <c r="B3536" t="s">
        <v>4836</v>
      </c>
      <c r="C3536" t="s">
        <v>229</v>
      </c>
      <c r="D3536">
        <v>1962</v>
      </c>
      <c r="E3536" t="s">
        <v>15</v>
      </c>
      <c r="F3536" t="s">
        <v>16</v>
      </c>
      <c r="G3536" t="s">
        <v>17</v>
      </c>
      <c r="H3536" t="s">
        <v>18</v>
      </c>
      <c r="I3536">
        <v>61.817</v>
      </c>
      <c r="J3536" t="s">
        <v>19</v>
      </c>
      <c r="K3536" t="s">
        <v>4845</v>
      </c>
      <c r="L3536" t="s">
        <v>21</v>
      </c>
      <c r="M3536" t="str">
        <f t="shared" si="165"/>
        <v>OK</v>
      </c>
      <c r="N3536" t="str">
        <f t="shared" si="166"/>
        <v>1960s</v>
      </c>
      <c r="O3536" t="str">
        <f t="shared" si="167"/>
        <v>Medium</v>
      </c>
      <c r="P3536" t="str">
        <f>VLOOKUP(E3536,calculated_fields!$F$4:$G$6,2,FALSE)</f>
        <v>Health</v>
      </c>
    </row>
    <row r="3537" spans="1:16">
      <c r="A3537" t="s">
        <v>4846</v>
      </c>
      <c r="B3537" t="s">
        <v>4836</v>
      </c>
      <c r="C3537" t="s">
        <v>229</v>
      </c>
      <c r="D3537">
        <v>1962</v>
      </c>
      <c r="E3537" t="s">
        <v>23</v>
      </c>
      <c r="F3537" t="s">
        <v>24</v>
      </c>
      <c r="G3537" t="s">
        <v>25</v>
      </c>
      <c r="H3537" t="s">
        <v>26</v>
      </c>
      <c r="I3537">
        <v>1215725</v>
      </c>
      <c r="J3537" t="s">
        <v>27</v>
      </c>
      <c r="K3537" t="s">
        <v>4845</v>
      </c>
      <c r="L3537" t="s">
        <v>21</v>
      </c>
      <c r="M3537" t="str">
        <f t="shared" si="165"/>
        <v>OK</v>
      </c>
      <c r="N3537" t="str">
        <f t="shared" si="166"/>
        <v>1960s</v>
      </c>
      <c r="O3537" t="str">
        <f t="shared" si="167"/>
        <v>N/A</v>
      </c>
      <c r="P3537" t="str">
        <f>VLOOKUP(E3537,calculated_fields!$F$4:$G$6,2,FALSE)</f>
        <v>Demographics</v>
      </c>
    </row>
    <row r="3538" spans="1:16">
      <c r="A3538" t="s">
        <v>4847</v>
      </c>
      <c r="B3538" t="s">
        <v>4836</v>
      </c>
      <c r="C3538" t="s">
        <v>229</v>
      </c>
      <c r="D3538">
        <v>1962</v>
      </c>
      <c r="E3538" t="s">
        <v>29</v>
      </c>
      <c r="F3538" t="s">
        <v>30</v>
      </c>
      <c r="G3538" t="s">
        <v>31</v>
      </c>
      <c r="H3538" t="s">
        <v>32</v>
      </c>
      <c r="I3538">
        <v>3536.540301</v>
      </c>
      <c r="J3538" t="s">
        <v>33</v>
      </c>
      <c r="K3538" t="s">
        <v>4845</v>
      </c>
      <c r="L3538" t="s">
        <v>21</v>
      </c>
      <c r="M3538" t="str">
        <f t="shared" si="165"/>
        <v>OK</v>
      </c>
      <c r="N3538" t="str">
        <f t="shared" si="166"/>
        <v>1960s</v>
      </c>
      <c r="O3538" t="str">
        <f t="shared" si="167"/>
        <v>N/A</v>
      </c>
      <c r="P3538" t="str">
        <f>VLOOKUP(E3538,calculated_fields!$F$4:$G$6,2,FALSE)</f>
        <v>Economy</v>
      </c>
    </row>
    <row r="3539" spans="1:16">
      <c r="A3539" t="s">
        <v>4848</v>
      </c>
      <c r="B3539" t="s">
        <v>4836</v>
      </c>
      <c r="C3539" t="s">
        <v>229</v>
      </c>
      <c r="D3539">
        <v>1967</v>
      </c>
      <c r="E3539" t="s">
        <v>15</v>
      </c>
      <c r="F3539" t="s">
        <v>16</v>
      </c>
      <c r="G3539" t="s">
        <v>17</v>
      </c>
      <c r="H3539" t="s">
        <v>18</v>
      </c>
      <c r="I3539">
        <v>64.070999999999998</v>
      </c>
      <c r="J3539" t="s">
        <v>19</v>
      </c>
      <c r="K3539" t="s">
        <v>4849</v>
      </c>
      <c r="L3539" t="s">
        <v>21</v>
      </c>
      <c r="M3539" t="str">
        <f t="shared" si="165"/>
        <v>OK</v>
      </c>
      <c r="N3539" t="str">
        <f t="shared" si="166"/>
        <v>1960s</v>
      </c>
      <c r="O3539" t="str">
        <f t="shared" si="167"/>
        <v>Medium</v>
      </c>
      <c r="P3539" t="str">
        <f>VLOOKUP(E3539,calculated_fields!$F$4:$G$6,2,FALSE)</f>
        <v>Health</v>
      </c>
    </row>
    <row r="3540" spans="1:16">
      <c r="A3540" t="s">
        <v>4850</v>
      </c>
      <c r="B3540" t="s">
        <v>4836</v>
      </c>
      <c r="C3540" t="s">
        <v>229</v>
      </c>
      <c r="D3540">
        <v>1967</v>
      </c>
      <c r="E3540" t="s">
        <v>23</v>
      </c>
      <c r="F3540" t="s">
        <v>24</v>
      </c>
      <c r="G3540" t="s">
        <v>25</v>
      </c>
      <c r="H3540" t="s">
        <v>26</v>
      </c>
      <c r="I3540">
        <v>1405486</v>
      </c>
      <c r="J3540" t="s">
        <v>27</v>
      </c>
      <c r="K3540" t="s">
        <v>4849</v>
      </c>
      <c r="L3540" t="s">
        <v>21</v>
      </c>
      <c r="M3540" t="str">
        <f t="shared" si="165"/>
        <v>OK</v>
      </c>
      <c r="N3540" t="str">
        <f t="shared" si="166"/>
        <v>1960s</v>
      </c>
      <c r="O3540" t="str">
        <f t="shared" si="167"/>
        <v>N/A</v>
      </c>
      <c r="P3540" t="str">
        <f>VLOOKUP(E3540,calculated_fields!$F$4:$G$6,2,FALSE)</f>
        <v>Demographics</v>
      </c>
    </row>
    <row r="3541" spans="1:16">
      <c r="A3541" t="s">
        <v>4851</v>
      </c>
      <c r="B3541" t="s">
        <v>4836</v>
      </c>
      <c r="C3541" t="s">
        <v>229</v>
      </c>
      <c r="D3541">
        <v>1967</v>
      </c>
      <c r="E3541" t="s">
        <v>29</v>
      </c>
      <c r="F3541" t="s">
        <v>30</v>
      </c>
      <c r="G3541" t="s">
        <v>31</v>
      </c>
      <c r="H3541" t="s">
        <v>32</v>
      </c>
      <c r="I3541">
        <v>4421.0090840000003</v>
      </c>
      <c r="J3541" t="s">
        <v>33</v>
      </c>
      <c r="K3541" t="s">
        <v>4849</v>
      </c>
      <c r="L3541" t="s">
        <v>21</v>
      </c>
      <c r="M3541" t="str">
        <f t="shared" si="165"/>
        <v>OK</v>
      </c>
      <c r="N3541" t="str">
        <f t="shared" si="166"/>
        <v>1960s</v>
      </c>
      <c r="O3541" t="str">
        <f t="shared" si="167"/>
        <v>N/A</v>
      </c>
      <c r="P3541" t="str">
        <f>VLOOKUP(E3541,calculated_fields!$F$4:$G$6,2,FALSE)</f>
        <v>Economy</v>
      </c>
    </row>
    <row r="3542" spans="1:16">
      <c r="A3542" t="s">
        <v>4852</v>
      </c>
      <c r="B3542" t="s">
        <v>4836</v>
      </c>
      <c r="C3542" t="s">
        <v>229</v>
      </c>
      <c r="D3542">
        <v>1972</v>
      </c>
      <c r="E3542" t="s">
        <v>15</v>
      </c>
      <c r="F3542" t="s">
        <v>16</v>
      </c>
      <c r="G3542" t="s">
        <v>17</v>
      </c>
      <c r="H3542" t="s">
        <v>18</v>
      </c>
      <c r="I3542">
        <v>66.215999999999994</v>
      </c>
      <c r="J3542" t="s">
        <v>19</v>
      </c>
      <c r="K3542" t="s">
        <v>4853</v>
      </c>
      <c r="L3542" t="s">
        <v>21</v>
      </c>
      <c r="M3542" t="str">
        <f t="shared" si="165"/>
        <v>OK</v>
      </c>
      <c r="N3542" t="str">
        <f t="shared" si="166"/>
        <v>1970s</v>
      </c>
      <c r="O3542" t="str">
        <f t="shared" si="167"/>
        <v>Medium</v>
      </c>
      <c r="P3542" t="str">
        <f>VLOOKUP(E3542,calculated_fields!$F$4:$G$6,2,FALSE)</f>
        <v>Health</v>
      </c>
    </row>
    <row r="3543" spans="1:16">
      <c r="A3543" t="s">
        <v>4854</v>
      </c>
      <c r="B3543" t="s">
        <v>4836</v>
      </c>
      <c r="C3543" t="s">
        <v>229</v>
      </c>
      <c r="D3543">
        <v>1972</v>
      </c>
      <c r="E3543" t="s">
        <v>23</v>
      </c>
      <c r="F3543" t="s">
        <v>24</v>
      </c>
      <c r="G3543" t="s">
        <v>25</v>
      </c>
      <c r="H3543" t="s">
        <v>26</v>
      </c>
      <c r="I3543">
        <v>1616384</v>
      </c>
      <c r="J3543" t="s">
        <v>27</v>
      </c>
      <c r="K3543" t="s">
        <v>4853</v>
      </c>
      <c r="L3543" t="s">
        <v>21</v>
      </c>
      <c r="M3543" t="str">
        <f t="shared" si="165"/>
        <v>OK</v>
      </c>
      <c r="N3543" t="str">
        <f t="shared" si="166"/>
        <v>1970s</v>
      </c>
      <c r="O3543" t="str">
        <f t="shared" si="167"/>
        <v>N/A</v>
      </c>
      <c r="P3543" t="str">
        <f>VLOOKUP(E3543,calculated_fields!$F$4:$G$6,2,FALSE)</f>
        <v>Demographics</v>
      </c>
    </row>
    <row r="3544" spans="1:16">
      <c r="A3544" t="s">
        <v>4855</v>
      </c>
      <c r="B3544" t="s">
        <v>4836</v>
      </c>
      <c r="C3544" t="s">
        <v>229</v>
      </c>
      <c r="D3544">
        <v>1972</v>
      </c>
      <c r="E3544" t="s">
        <v>29</v>
      </c>
      <c r="F3544" t="s">
        <v>30</v>
      </c>
      <c r="G3544" t="s">
        <v>31</v>
      </c>
      <c r="H3544" t="s">
        <v>32</v>
      </c>
      <c r="I3544">
        <v>5364.2496629999996</v>
      </c>
      <c r="J3544" t="s">
        <v>33</v>
      </c>
      <c r="K3544" t="s">
        <v>4853</v>
      </c>
      <c r="L3544" t="s">
        <v>21</v>
      </c>
      <c r="M3544" t="str">
        <f t="shared" si="165"/>
        <v>OK</v>
      </c>
      <c r="N3544" t="str">
        <f t="shared" si="166"/>
        <v>1970s</v>
      </c>
      <c r="O3544" t="str">
        <f t="shared" si="167"/>
        <v>N/A</v>
      </c>
      <c r="P3544" t="str">
        <f>VLOOKUP(E3544,calculated_fields!$F$4:$G$6,2,FALSE)</f>
        <v>Economy</v>
      </c>
    </row>
    <row r="3545" spans="1:16">
      <c r="A3545" t="s">
        <v>4856</v>
      </c>
      <c r="B3545" t="s">
        <v>4836</v>
      </c>
      <c r="C3545" t="s">
        <v>229</v>
      </c>
      <c r="D3545">
        <v>1977</v>
      </c>
      <c r="E3545" t="s">
        <v>15</v>
      </c>
      <c r="F3545" t="s">
        <v>16</v>
      </c>
      <c r="G3545" t="s">
        <v>17</v>
      </c>
      <c r="H3545" t="s">
        <v>18</v>
      </c>
      <c r="I3545">
        <v>68.680999999999997</v>
      </c>
      <c r="J3545" t="s">
        <v>19</v>
      </c>
      <c r="K3545" t="s">
        <v>4857</v>
      </c>
      <c r="L3545" t="s">
        <v>21</v>
      </c>
      <c r="M3545" t="str">
        <f t="shared" si="165"/>
        <v>OK</v>
      </c>
      <c r="N3545" t="str">
        <f t="shared" si="166"/>
        <v>1970s</v>
      </c>
      <c r="O3545" t="str">
        <f t="shared" si="167"/>
        <v>Medium</v>
      </c>
      <c r="P3545" t="str">
        <f>VLOOKUP(E3545,calculated_fields!$F$4:$G$6,2,FALSE)</f>
        <v>Health</v>
      </c>
    </row>
    <row r="3546" spans="1:16">
      <c r="A3546" t="s">
        <v>4858</v>
      </c>
      <c r="B3546" t="s">
        <v>4836</v>
      </c>
      <c r="C3546" t="s">
        <v>229</v>
      </c>
      <c r="D3546">
        <v>1977</v>
      </c>
      <c r="E3546" t="s">
        <v>23</v>
      </c>
      <c r="F3546" t="s">
        <v>24</v>
      </c>
      <c r="G3546" t="s">
        <v>25</v>
      </c>
      <c r="H3546" t="s">
        <v>26</v>
      </c>
      <c r="I3546">
        <v>1839782</v>
      </c>
      <c r="J3546" t="s">
        <v>27</v>
      </c>
      <c r="K3546" t="s">
        <v>4857</v>
      </c>
      <c r="L3546" t="s">
        <v>21</v>
      </c>
      <c r="M3546" t="str">
        <f t="shared" si="165"/>
        <v>OK</v>
      </c>
      <c r="N3546" t="str">
        <f t="shared" si="166"/>
        <v>1970s</v>
      </c>
      <c r="O3546" t="str">
        <f t="shared" si="167"/>
        <v>N/A</v>
      </c>
      <c r="P3546" t="str">
        <f>VLOOKUP(E3546,calculated_fields!$F$4:$G$6,2,FALSE)</f>
        <v>Demographics</v>
      </c>
    </row>
    <row r="3547" spans="1:16">
      <c r="A3547" t="s">
        <v>4859</v>
      </c>
      <c r="B3547" t="s">
        <v>4836</v>
      </c>
      <c r="C3547" t="s">
        <v>229</v>
      </c>
      <c r="D3547">
        <v>1977</v>
      </c>
      <c r="E3547" t="s">
        <v>29</v>
      </c>
      <c r="F3547" t="s">
        <v>30</v>
      </c>
      <c r="G3547" t="s">
        <v>31</v>
      </c>
      <c r="H3547" t="s">
        <v>32</v>
      </c>
      <c r="I3547">
        <v>5351.9121439999999</v>
      </c>
      <c r="J3547" t="s">
        <v>33</v>
      </c>
      <c r="K3547" t="s">
        <v>4857</v>
      </c>
      <c r="L3547" t="s">
        <v>21</v>
      </c>
      <c r="M3547" t="str">
        <f t="shared" si="165"/>
        <v>OK</v>
      </c>
      <c r="N3547" t="str">
        <f t="shared" si="166"/>
        <v>1970s</v>
      </c>
      <c r="O3547" t="str">
        <f t="shared" si="167"/>
        <v>N/A</v>
      </c>
      <c r="P3547" t="str">
        <f>VLOOKUP(E3547,calculated_fields!$F$4:$G$6,2,FALSE)</f>
        <v>Economy</v>
      </c>
    </row>
    <row r="3548" spans="1:16">
      <c r="A3548" t="s">
        <v>4860</v>
      </c>
      <c r="B3548" t="s">
        <v>4836</v>
      </c>
      <c r="C3548" t="s">
        <v>229</v>
      </c>
      <c r="D3548">
        <v>1982</v>
      </c>
      <c r="E3548" t="s">
        <v>15</v>
      </c>
      <c r="F3548" t="s">
        <v>16</v>
      </c>
      <c r="G3548" t="s">
        <v>17</v>
      </c>
      <c r="H3548" t="s">
        <v>18</v>
      </c>
      <c r="I3548">
        <v>70.471999999999994</v>
      </c>
      <c r="J3548" t="s">
        <v>19</v>
      </c>
      <c r="K3548" t="s">
        <v>4861</v>
      </c>
      <c r="L3548" t="s">
        <v>21</v>
      </c>
      <c r="M3548" t="str">
        <f t="shared" si="165"/>
        <v>OK</v>
      </c>
      <c r="N3548" t="str">
        <f t="shared" si="166"/>
        <v>1980s</v>
      </c>
      <c r="O3548" t="str">
        <f t="shared" si="167"/>
        <v>High</v>
      </c>
      <c r="P3548" t="str">
        <f>VLOOKUP(E3548,calculated_fields!$F$4:$G$6,2,FALSE)</f>
        <v>Health</v>
      </c>
    </row>
    <row r="3549" spans="1:16">
      <c r="A3549" t="s">
        <v>4862</v>
      </c>
      <c r="B3549" t="s">
        <v>4836</v>
      </c>
      <c r="C3549" t="s">
        <v>229</v>
      </c>
      <c r="D3549">
        <v>1982</v>
      </c>
      <c r="E3549" t="s">
        <v>23</v>
      </c>
      <c r="F3549" t="s">
        <v>24</v>
      </c>
      <c r="G3549" t="s">
        <v>25</v>
      </c>
      <c r="H3549" t="s">
        <v>26</v>
      </c>
      <c r="I3549">
        <v>2036305</v>
      </c>
      <c r="J3549" t="s">
        <v>27</v>
      </c>
      <c r="K3549" t="s">
        <v>4861</v>
      </c>
      <c r="L3549" t="s">
        <v>21</v>
      </c>
      <c r="M3549" t="str">
        <f t="shared" si="165"/>
        <v>OK</v>
      </c>
      <c r="N3549" t="str">
        <f t="shared" si="166"/>
        <v>1980s</v>
      </c>
      <c r="O3549" t="str">
        <f t="shared" si="167"/>
        <v>N/A</v>
      </c>
      <c r="P3549" t="str">
        <f>VLOOKUP(E3549,calculated_fields!$F$4:$G$6,2,FALSE)</f>
        <v>Demographics</v>
      </c>
    </row>
    <row r="3550" spans="1:16">
      <c r="A3550" t="s">
        <v>4863</v>
      </c>
      <c r="B3550" t="s">
        <v>4836</v>
      </c>
      <c r="C3550" t="s">
        <v>229</v>
      </c>
      <c r="D3550">
        <v>1982</v>
      </c>
      <c r="E3550" t="s">
        <v>29</v>
      </c>
      <c r="F3550" t="s">
        <v>30</v>
      </c>
      <c r="G3550" t="s">
        <v>31</v>
      </c>
      <c r="H3550" t="s">
        <v>32</v>
      </c>
      <c r="I3550">
        <v>7009.6015980000002</v>
      </c>
      <c r="J3550" t="s">
        <v>33</v>
      </c>
      <c r="K3550" t="s">
        <v>4861</v>
      </c>
      <c r="L3550" t="s">
        <v>21</v>
      </c>
      <c r="M3550" t="str">
        <f t="shared" si="165"/>
        <v>OK</v>
      </c>
      <c r="N3550" t="str">
        <f t="shared" si="166"/>
        <v>1980s</v>
      </c>
      <c r="O3550" t="str">
        <f t="shared" si="167"/>
        <v>N/A</v>
      </c>
      <c r="P3550" t="str">
        <f>VLOOKUP(E3550,calculated_fields!$F$4:$G$6,2,FALSE)</f>
        <v>Economy</v>
      </c>
    </row>
    <row r="3551" spans="1:16">
      <c r="A3551" t="s">
        <v>4864</v>
      </c>
      <c r="B3551" t="s">
        <v>4836</v>
      </c>
      <c r="C3551" t="s">
        <v>229</v>
      </c>
      <c r="D3551">
        <v>1987</v>
      </c>
      <c r="E3551" t="s">
        <v>15</v>
      </c>
      <c r="F3551" t="s">
        <v>16</v>
      </c>
      <c r="G3551" t="s">
        <v>17</v>
      </c>
      <c r="H3551" t="s">
        <v>18</v>
      </c>
      <c r="I3551">
        <v>71.522999999999996</v>
      </c>
      <c r="J3551" t="s">
        <v>19</v>
      </c>
      <c r="K3551" t="s">
        <v>4865</v>
      </c>
      <c r="L3551" t="s">
        <v>21</v>
      </c>
      <c r="M3551" t="str">
        <f t="shared" si="165"/>
        <v>OK</v>
      </c>
      <c r="N3551" t="str">
        <f t="shared" si="166"/>
        <v>1980s</v>
      </c>
      <c r="O3551" t="str">
        <f t="shared" si="167"/>
        <v>High</v>
      </c>
      <c r="P3551" t="str">
        <f>VLOOKUP(E3551,calculated_fields!$F$4:$G$6,2,FALSE)</f>
        <v>Health</v>
      </c>
    </row>
    <row r="3552" spans="1:16">
      <c r="A3552" t="s">
        <v>4866</v>
      </c>
      <c r="B3552" t="s">
        <v>4836</v>
      </c>
      <c r="C3552" t="s">
        <v>229</v>
      </c>
      <c r="D3552">
        <v>1987</v>
      </c>
      <c r="E3552" t="s">
        <v>23</v>
      </c>
      <c r="F3552" t="s">
        <v>24</v>
      </c>
      <c r="G3552" t="s">
        <v>25</v>
      </c>
      <c r="H3552" t="s">
        <v>26</v>
      </c>
      <c r="I3552">
        <v>2253639</v>
      </c>
      <c r="J3552" t="s">
        <v>27</v>
      </c>
      <c r="K3552" t="s">
        <v>4865</v>
      </c>
      <c r="L3552" t="s">
        <v>21</v>
      </c>
      <c r="M3552" t="str">
        <f t="shared" si="165"/>
        <v>OK</v>
      </c>
      <c r="N3552" t="str">
        <f t="shared" si="166"/>
        <v>1980s</v>
      </c>
      <c r="O3552" t="str">
        <f t="shared" si="167"/>
        <v>N/A</v>
      </c>
      <c r="P3552" t="str">
        <f>VLOOKUP(E3552,calculated_fields!$F$4:$G$6,2,FALSE)</f>
        <v>Demographics</v>
      </c>
    </row>
    <row r="3553" spans="1:16">
      <c r="A3553" t="s">
        <v>4867</v>
      </c>
      <c r="B3553" t="s">
        <v>4836</v>
      </c>
      <c r="C3553" t="s">
        <v>229</v>
      </c>
      <c r="D3553">
        <v>1987</v>
      </c>
      <c r="E3553" t="s">
        <v>29</v>
      </c>
      <c r="F3553" t="s">
        <v>30</v>
      </c>
      <c r="G3553" t="s">
        <v>31</v>
      </c>
      <c r="H3553" t="s">
        <v>32</v>
      </c>
      <c r="I3553">
        <v>7034.7791610000004</v>
      </c>
      <c r="J3553" t="s">
        <v>33</v>
      </c>
      <c r="K3553" t="s">
        <v>4865</v>
      </c>
      <c r="L3553" t="s">
        <v>21</v>
      </c>
      <c r="M3553" t="str">
        <f t="shared" si="165"/>
        <v>OK</v>
      </c>
      <c r="N3553" t="str">
        <f t="shared" si="166"/>
        <v>1980s</v>
      </c>
      <c r="O3553" t="str">
        <f t="shared" si="167"/>
        <v>N/A</v>
      </c>
      <c r="P3553" t="str">
        <f>VLOOKUP(E3553,calculated_fields!$F$4:$G$6,2,FALSE)</f>
        <v>Economy</v>
      </c>
    </row>
    <row r="3554" spans="1:16">
      <c r="A3554" t="s">
        <v>4868</v>
      </c>
      <c r="B3554" t="s">
        <v>4836</v>
      </c>
      <c r="C3554" t="s">
        <v>229</v>
      </c>
      <c r="D3554">
        <v>1992</v>
      </c>
      <c r="E3554" t="s">
        <v>15</v>
      </c>
      <c r="F3554" t="s">
        <v>16</v>
      </c>
      <c r="G3554" t="s">
        <v>17</v>
      </c>
      <c r="H3554" t="s">
        <v>18</v>
      </c>
      <c r="I3554">
        <v>72.462000000000003</v>
      </c>
      <c r="J3554" t="s">
        <v>19</v>
      </c>
      <c r="K3554" t="s">
        <v>4869</v>
      </c>
      <c r="L3554" t="s">
        <v>21</v>
      </c>
      <c r="M3554" t="str">
        <f t="shared" si="165"/>
        <v>OK</v>
      </c>
      <c r="N3554" t="str">
        <f t="shared" si="166"/>
        <v>1990s</v>
      </c>
      <c r="O3554" t="str">
        <f t="shared" si="167"/>
        <v>High</v>
      </c>
      <c r="P3554" t="str">
        <f>VLOOKUP(E3554,calculated_fields!$F$4:$G$6,2,FALSE)</f>
        <v>Health</v>
      </c>
    </row>
    <row r="3555" spans="1:16">
      <c r="A3555" t="s">
        <v>4870</v>
      </c>
      <c r="B3555" t="s">
        <v>4836</v>
      </c>
      <c r="C3555" t="s">
        <v>229</v>
      </c>
      <c r="D3555">
        <v>1992</v>
      </c>
      <c r="E3555" t="s">
        <v>23</v>
      </c>
      <c r="F3555" t="s">
        <v>24</v>
      </c>
      <c r="G3555" t="s">
        <v>25</v>
      </c>
      <c r="H3555" t="s">
        <v>26</v>
      </c>
      <c r="I3555">
        <v>2484997</v>
      </c>
      <c r="J3555" t="s">
        <v>27</v>
      </c>
      <c r="K3555" t="s">
        <v>4869</v>
      </c>
      <c r="L3555" t="s">
        <v>21</v>
      </c>
      <c r="M3555" t="str">
        <f t="shared" si="165"/>
        <v>OK</v>
      </c>
      <c r="N3555" t="str">
        <f t="shared" si="166"/>
        <v>1990s</v>
      </c>
      <c r="O3555" t="str">
        <f t="shared" si="167"/>
        <v>N/A</v>
      </c>
      <c r="P3555" t="str">
        <f>VLOOKUP(E3555,calculated_fields!$F$4:$G$6,2,FALSE)</f>
        <v>Demographics</v>
      </c>
    </row>
    <row r="3556" spans="1:16">
      <c r="A3556" t="s">
        <v>4871</v>
      </c>
      <c r="B3556" t="s">
        <v>4836</v>
      </c>
      <c r="C3556" t="s">
        <v>229</v>
      </c>
      <c r="D3556">
        <v>1992</v>
      </c>
      <c r="E3556" t="s">
        <v>29</v>
      </c>
      <c r="F3556" t="s">
        <v>30</v>
      </c>
      <c r="G3556" t="s">
        <v>31</v>
      </c>
      <c r="H3556" t="s">
        <v>32</v>
      </c>
      <c r="I3556">
        <v>6618.74305</v>
      </c>
      <c r="J3556" t="s">
        <v>33</v>
      </c>
      <c r="K3556" t="s">
        <v>4869</v>
      </c>
      <c r="L3556" t="s">
        <v>21</v>
      </c>
      <c r="M3556" t="str">
        <f t="shared" si="165"/>
        <v>OK</v>
      </c>
      <c r="N3556" t="str">
        <f t="shared" si="166"/>
        <v>1990s</v>
      </c>
      <c r="O3556" t="str">
        <f t="shared" si="167"/>
        <v>N/A</v>
      </c>
      <c r="P3556" t="str">
        <f>VLOOKUP(E3556,calculated_fields!$F$4:$G$6,2,FALSE)</f>
        <v>Economy</v>
      </c>
    </row>
    <row r="3557" spans="1:16">
      <c r="A3557" t="s">
        <v>4872</v>
      </c>
      <c r="B3557" t="s">
        <v>4836</v>
      </c>
      <c r="C3557" t="s">
        <v>229</v>
      </c>
      <c r="D3557">
        <v>1997</v>
      </c>
      <c r="E3557" t="s">
        <v>15</v>
      </c>
      <c r="F3557" t="s">
        <v>16</v>
      </c>
      <c r="G3557" t="s">
        <v>17</v>
      </c>
      <c r="H3557" t="s">
        <v>18</v>
      </c>
      <c r="I3557">
        <v>73.738</v>
      </c>
      <c r="J3557" t="s">
        <v>19</v>
      </c>
      <c r="K3557" t="s">
        <v>4873</v>
      </c>
      <c r="L3557" t="s">
        <v>21</v>
      </c>
      <c r="M3557" t="str">
        <f t="shared" si="165"/>
        <v>OK</v>
      </c>
      <c r="N3557" t="str">
        <f t="shared" si="166"/>
        <v>1990s</v>
      </c>
      <c r="O3557" t="str">
        <f t="shared" si="167"/>
        <v>High</v>
      </c>
      <c r="P3557" t="str">
        <f>VLOOKUP(E3557,calculated_fields!$F$4:$G$6,2,FALSE)</f>
        <v>Health</v>
      </c>
    </row>
    <row r="3558" spans="1:16">
      <c r="A3558" t="s">
        <v>4874</v>
      </c>
      <c r="B3558" t="s">
        <v>4836</v>
      </c>
      <c r="C3558" t="s">
        <v>229</v>
      </c>
      <c r="D3558">
        <v>1997</v>
      </c>
      <c r="E3558" t="s">
        <v>23</v>
      </c>
      <c r="F3558" t="s">
        <v>24</v>
      </c>
      <c r="G3558" t="s">
        <v>25</v>
      </c>
      <c r="H3558" t="s">
        <v>26</v>
      </c>
      <c r="I3558">
        <v>2734531</v>
      </c>
      <c r="J3558" t="s">
        <v>27</v>
      </c>
      <c r="K3558" t="s">
        <v>4873</v>
      </c>
      <c r="L3558" t="s">
        <v>21</v>
      </c>
      <c r="M3558" t="str">
        <f t="shared" si="165"/>
        <v>OK</v>
      </c>
      <c r="N3558" t="str">
        <f t="shared" si="166"/>
        <v>1990s</v>
      </c>
      <c r="O3558" t="str">
        <f t="shared" si="167"/>
        <v>N/A</v>
      </c>
      <c r="P3558" t="str">
        <f>VLOOKUP(E3558,calculated_fields!$F$4:$G$6,2,FALSE)</f>
        <v>Demographics</v>
      </c>
    </row>
    <row r="3559" spans="1:16">
      <c r="A3559" t="s">
        <v>4875</v>
      </c>
      <c r="B3559" t="s">
        <v>4836</v>
      </c>
      <c r="C3559" t="s">
        <v>229</v>
      </c>
      <c r="D3559">
        <v>1997</v>
      </c>
      <c r="E3559" t="s">
        <v>29</v>
      </c>
      <c r="F3559" t="s">
        <v>30</v>
      </c>
      <c r="G3559" t="s">
        <v>31</v>
      </c>
      <c r="H3559" t="s">
        <v>32</v>
      </c>
      <c r="I3559">
        <v>7113.6922519999998</v>
      </c>
      <c r="J3559" t="s">
        <v>33</v>
      </c>
      <c r="K3559" t="s">
        <v>4873</v>
      </c>
      <c r="L3559" t="s">
        <v>21</v>
      </c>
      <c r="M3559" t="str">
        <f t="shared" si="165"/>
        <v>OK</v>
      </c>
      <c r="N3559" t="str">
        <f t="shared" si="166"/>
        <v>1990s</v>
      </c>
      <c r="O3559" t="str">
        <f t="shared" si="167"/>
        <v>N/A</v>
      </c>
      <c r="P3559" t="str">
        <f>VLOOKUP(E3559,calculated_fields!$F$4:$G$6,2,FALSE)</f>
        <v>Economy</v>
      </c>
    </row>
    <row r="3560" spans="1:16">
      <c r="A3560" t="s">
        <v>4876</v>
      </c>
      <c r="B3560" t="s">
        <v>4836</v>
      </c>
      <c r="C3560" t="s">
        <v>229</v>
      </c>
      <c r="D3560">
        <v>2002</v>
      </c>
      <c r="E3560" t="s">
        <v>15</v>
      </c>
      <c r="F3560" t="s">
        <v>16</v>
      </c>
      <c r="G3560" t="s">
        <v>17</v>
      </c>
      <c r="H3560" t="s">
        <v>18</v>
      </c>
      <c r="I3560">
        <v>74.712000000000003</v>
      </c>
      <c r="J3560" t="s">
        <v>19</v>
      </c>
      <c r="K3560" t="s">
        <v>4877</v>
      </c>
      <c r="L3560" t="s">
        <v>21</v>
      </c>
      <c r="M3560" t="str">
        <f t="shared" si="165"/>
        <v>OK</v>
      </c>
      <c r="N3560" t="str">
        <f t="shared" si="166"/>
        <v>2000s</v>
      </c>
      <c r="O3560" t="str">
        <f t="shared" si="167"/>
        <v>High</v>
      </c>
      <c r="P3560" t="str">
        <f>VLOOKUP(E3560,calculated_fields!$F$4:$G$6,2,FALSE)</f>
        <v>Health</v>
      </c>
    </row>
    <row r="3561" spans="1:16">
      <c r="A3561" t="s">
        <v>4878</v>
      </c>
      <c r="B3561" t="s">
        <v>4836</v>
      </c>
      <c r="C3561" t="s">
        <v>229</v>
      </c>
      <c r="D3561">
        <v>2002</v>
      </c>
      <c r="E3561" t="s">
        <v>23</v>
      </c>
      <c r="F3561" t="s">
        <v>24</v>
      </c>
      <c r="G3561" t="s">
        <v>25</v>
      </c>
      <c r="H3561" t="s">
        <v>26</v>
      </c>
      <c r="I3561">
        <v>2990875</v>
      </c>
      <c r="J3561" t="s">
        <v>27</v>
      </c>
      <c r="K3561" t="s">
        <v>4877</v>
      </c>
      <c r="L3561" t="s">
        <v>21</v>
      </c>
      <c r="M3561" t="str">
        <f t="shared" si="165"/>
        <v>OK</v>
      </c>
      <c r="N3561" t="str">
        <f t="shared" si="166"/>
        <v>2000s</v>
      </c>
      <c r="O3561" t="str">
        <f t="shared" si="167"/>
        <v>N/A</v>
      </c>
      <c r="P3561" t="str">
        <f>VLOOKUP(E3561,calculated_fields!$F$4:$G$6,2,FALSE)</f>
        <v>Demographics</v>
      </c>
    </row>
    <row r="3562" spans="1:16">
      <c r="A3562" t="s">
        <v>4879</v>
      </c>
      <c r="B3562" t="s">
        <v>4836</v>
      </c>
      <c r="C3562" t="s">
        <v>229</v>
      </c>
      <c r="D3562">
        <v>2002</v>
      </c>
      <c r="E3562" t="s">
        <v>29</v>
      </c>
      <c r="F3562" t="s">
        <v>30</v>
      </c>
      <c r="G3562" t="s">
        <v>31</v>
      </c>
      <c r="H3562" t="s">
        <v>32</v>
      </c>
      <c r="I3562">
        <v>7356.0319339999996</v>
      </c>
      <c r="J3562" t="s">
        <v>33</v>
      </c>
      <c r="K3562" t="s">
        <v>4877</v>
      </c>
      <c r="L3562" t="s">
        <v>21</v>
      </c>
      <c r="M3562" t="str">
        <f t="shared" si="165"/>
        <v>OK</v>
      </c>
      <c r="N3562" t="str">
        <f t="shared" si="166"/>
        <v>2000s</v>
      </c>
      <c r="O3562" t="str">
        <f t="shared" si="167"/>
        <v>N/A</v>
      </c>
      <c r="P3562" t="str">
        <f>VLOOKUP(E3562,calculated_fields!$F$4:$G$6,2,FALSE)</f>
        <v>Economy</v>
      </c>
    </row>
    <row r="3563" spans="1:16">
      <c r="A3563" t="s">
        <v>4880</v>
      </c>
      <c r="B3563" t="s">
        <v>4836</v>
      </c>
      <c r="C3563" t="s">
        <v>229</v>
      </c>
      <c r="D3563">
        <v>2007</v>
      </c>
      <c r="E3563" t="s">
        <v>15</v>
      </c>
      <c r="F3563" t="s">
        <v>16</v>
      </c>
      <c r="G3563" t="s">
        <v>17</v>
      </c>
      <c r="H3563" t="s">
        <v>18</v>
      </c>
      <c r="I3563">
        <v>75.536999999999907</v>
      </c>
      <c r="J3563" t="s">
        <v>19</v>
      </c>
      <c r="K3563" t="s">
        <v>4881</v>
      </c>
      <c r="L3563" t="s">
        <v>21</v>
      </c>
      <c r="M3563" t="str">
        <f t="shared" si="165"/>
        <v>OK</v>
      </c>
      <c r="N3563" t="str">
        <f t="shared" si="166"/>
        <v>2000s</v>
      </c>
      <c r="O3563" t="str">
        <f t="shared" si="167"/>
        <v>High</v>
      </c>
      <c r="P3563" t="str">
        <f>VLOOKUP(E3563,calculated_fields!$F$4:$G$6,2,FALSE)</f>
        <v>Health</v>
      </c>
    </row>
    <row r="3564" spans="1:16">
      <c r="A3564" t="s">
        <v>4882</v>
      </c>
      <c r="B3564" t="s">
        <v>4836</v>
      </c>
      <c r="C3564" t="s">
        <v>229</v>
      </c>
      <c r="D3564">
        <v>2007</v>
      </c>
      <c r="E3564" t="s">
        <v>23</v>
      </c>
      <c r="F3564" t="s">
        <v>24</v>
      </c>
      <c r="G3564" t="s">
        <v>25</v>
      </c>
      <c r="H3564" t="s">
        <v>26</v>
      </c>
      <c r="I3564">
        <v>3242173</v>
      </c>
      <c r="J3564" t="s">
        <v>27</v>
      </c>
      <c r="K3564" t="s">
        <v>4881</v>
      </c>
      <c r="L3564" t="s">
        <v>21</v>
      </c>
      <c r="M3564" t="str">
        <f t="shared" si="165"/>
        <v>OK</v>
      </c>
      <c r="N3564" t="str">
        <f t="shared" si="166"/>
        <v>2000s</v>
      </c>
      <c r="O3564" t="str">
        <f t="shared" si="167"/>
        <v>N/A</v>
      </c>
      <c r="P3564" t="str">
        <f>VLOOKUP(E3564,calculated_fields!$F$4:$G$6,2,FALSE)</f>
        <v>Demographics</v>
      </c>
    </row>
    <row r="3565" spans="1:16">
      <c r="A3565" t="s">
        <v>4883</v>
      </c>
      <c r="B3565" t="s">
        <v>4836</v>
      </c>
      <c r="C3565" t="s">
        <v>229</v>
      </c>
      <c r="D3565">
        <v>2007</v>
      </c>
      <c r="E3565" t="s">
        <v>29</v>
      </c>
      <c r="F3565" t="s">
        <v>30</v>
      </c>
      <c r="G3565" t="s">
        <v>31</v>
      </c>
      <c r="H3565" t="s">
        <v>32</v>
      </c>
      <c r="I3565">
        <v>9809.1856360000002</v>
      </c>
      <c r="J3565" t="s">
        <v>33</v>
      </c>
      <c r="K3565" t="s">
        <v>4881</v>
      </c>
      <c r="L3565" t="s">
        <v>21</v>
      </c>
      <c r="M3565" t="str">
        <f t="shared" si="165"/>
        <v>OK</v>
      </c>
      <c r="N3565" t="str">
        <f t="shared" si="166"/>
        <v>2000s</v>
      </c>
      <c r="O3565" t="str">
        <f t="shared" si="167"/>
        <v>N/A</v>
      </c>
      <c r="P3565" t="str">
        <f>VLOOKUP(E3565,calculated_fields!$F$4:$G$6,2,FALSE)</f>
        <v>Economy</v>
      </c>
    </row>
    <row r="3566" spans="1:16">
      <c r="A3566" t="s">
        <v>4884</v>
      </c>
      <c r="B3566" t="s">
        <v>4885</v>
      </c>
      <c r="C3566" t="s">
        <v>229</v>
      </c>
      <c r="D3566">
        <v>1952</v>
      </c>
      <c r="E3566" t="s">
        <v>15</v>
      </c>
      <c r="F3566" t="s">
        <v>16</v>
      </c>
      <c r="G3566" t="s">
        <v>17</v>
      </c>
      <c r="H3566" t="s">
        <v>18</v>
      </c>
      <c r="I3566">
        <v>62.649000000000001</v>
      </c>
      <c r="J3566" t="s">
        <v>19</v>
      </c>
      <c r="K3566" t="s">
        <v>4886</v>
      </c>
      <c r="L3566" t="s">
        <v>21</v>
      </c>
      <c r="M3566" t="str">
        <f t="shared" si="165"/>
        <v>OK</v>
      </c>
      <c r="N3566" t="str">
        <f t="shared" si="166"/>
        <v>1950s</v>
      </c>
      <c r="O3566" t="str">
        <f t="shared" si="167"/>
        <v>Medium</v>
      </c>
      <c r="P3566" t="str">
        <f>VLOOKUP(E3566,calculated_fields!$F$4:$G$6,2,FALSE)</f>
        <v>Health</v>
      </c>
    </row>
    <row r="3567" spans="1:16">
      <c r="A3567" t="s">
        <v>4887</v>
      </c>
      <c r="B3567" t="s">
        <v>4885</v>
      </c>
      <c r="C3567" t="s">
        <v>229</v>
      </c>
      <c r="D3567">
        <v>1952</v>
      </c>
      <c r="E3567" t="s">
        <v>23</v>
      </c>
      <c r="F3567" t="s">
        <v>24</v>
      </c>
      <c r="G3567" t="s">
        <v>25</v>
      </c>
      <c r="H3567" t="s">
        <v>26</v>
      </c>
      <c r="I3567">
        <v>1555876</v>
      </c>
      <c r="J3567" t="s">
        <v>27</v>
      </c>
      <c r="K3567" t="s">
        <v>4886</v>
      </c>
      <c r="L3567" t="s">
        <v>21</v>
      </c>
      <c r="M3567" t="str">
        <f t="shared" si="165"/>
        <v>OK</v>
      </c>
      <c r="N3567" t="str">
        <f t="shared" si="166"/>
        <v>1950s</v>
      </c>
      <c r="O3567" t="str">
        <f t="shared" si="167"/>
        <v>N/A</v>
      </c>
      <c r="P3567" t="str">
        <f>VLOOKUP(E3567,calculated_fields!$F$4:$G$6,2,FALSE)</f>
        <v>Demographics</v>
      </c>
    </row>
    <row r="3568" spans="1:16">
      <c r="A3568" t="s">
        <v>4888</v>
      </c>
      <c r="B3568" t="s">
        <v>4885</v>
      </c>
      <c r="C3568" t="s">
        <v>229</v>
      </c>
      <c r="D3568">
        <v>1952</v>
      </c>
      <c r="E3568" t="s">
        <v>29</v>
      </c>
      <c r="F3568" t="s">
        <v>30</v>
      </c>
      <c r="G3568" t="s">
        <v>31</v>
      </c>
      <c r="H3568" t="s">
        <v>32</v>
      </c>
      <c r="I3568">
        <v>1952.3087009999999</v>
      </c>
      <c r="J3568" t="s">
        <v>33</v>
      </c>
      <c r="K3568" t="s">
        <v>4886</v>
      </c>
      <c r="L3568" t="s">
        <v>21</v>
      </c>
      <c r="M3568" t="str">
        <f t="shared" si="165"/>
        <v>OK</v>
      </c>
      <c r="N3568" t="str">
        <f t="shared" si="166"/>
        <v>1950s</v>
      </c>
      <c r="O3568" t="str">
        <f t="shared" si="167"/>
        <v>N/A</v>
      </c>
      <c r="P3568" t="str">
        <f>VLOOKUP(E3568,calculated_fields!$F$4:$G$6,2,FALSE)</f>
        <v>Economy</v>
      </c>
    </row>
    <row r="3569" spans="1:16">
      <c r="A3569" t="s">
        <v>4889</v>
      </c>
      <c r="B3569" t="s">
        <v>4885</v>
      </c>
      <c r="C3569" t="s">
        <v>229</v>
      </c>
      <c r="D3569">
        <v>1957</v>
      </c>
      <c r="E3569" t="s">
        <v>15</v>
      </c>
      <c r="F3569" t="s">
        <v>16</v>
      </c>
      <c r="G3569" t="s">
        <v>17</v>
      </c>
      <c r="H3569" t="s">
        <v>18</v>
      </c>
      <c r="I3569">
        <v>63.195999999999998</v>
      </c>
      <c r="J3569" t="s">
        <v>19</v>
      </c>
      <c r="K3569" t="s">
        <v>4890</v>
      </c>
      <c r="L3569" t="s">
        <v>21</v>
      </c>
      <c r="M3569" t="str">
        <f t="shared" si="165"/>
        <v>OK</v>
      </c>
      <c r="N3569" t="str">
        <f t="shared" si="166"/>
        <v>1950s</v>
      </c>
      <c r="O3569" t="str">
        <f t="shared" si="167"/>
        <v>Medium</v>
      </c>
      <c r="P3569" t="str">
        <f>VLOOKUP(E3569,calculated_fields!$F$4:$G$6,2,FALSE)</f>
        <v>Health</v>
      </c>
    </row>
    <row r="3570" spans="1:16">
      <c r="A3570" t="s">
        <v>4891</v>
      </c>
      <c r="B3570" t="s">
        <v>4885</v>
      </c>
      <c r="C3570" t="s">
        <v>229</v>
      </c>
      <c r="D3570">
        <v>1957</v>
      </c>
      <c r="E3570" t="s">
        <v>23</v>
      </c>
      <c r="F3570" t="s">
        <v>24</v>
      </c>
      <c r="G3570" t="s">
        <v>25</v>
      </c>
      <c r="H3570" t="s">
        <v>26</v>
      </c>
      <c r="I3570">
        <v>1770902</v>
      </c>
      <c r="J3570" t="s">
        <v>27</v>
      </c>
      <c r="K3570" t="s">
        <v>4890</v>
      </c>
      <c r="L3570" t="s">
        <v>21</v>
      </c>
      <c r="M3570" t="str">
        <f t="shared" si="165"/>
        <v>OK</v>
      </c>
      <c r="N3570" t="str">
        <f t="shared" si="166"/>
        <v>1950s</v>
      </c>
      <c r="O3570" t="str">
        <f t="shared" si="167"/>
        <v>N/A</v>
      </c>
      <c r="P3570" t="str">
        <f>VLOOKUP(E3570,calculated_fields!$F$4:$G$6,2,FALSE)</f>
        <v>Demographics</v>
      </c>
    </row>
    <row r="3571" spans="1:16">
      <c r="A3571" t="s">
        <v>4892</v>
      </c>
      <c r="B3571" t="s">
        <v>4885</v>
      </c>
      <c r="C3571" t="s">
        <v>229</v>
      </c>
      <c r="D3571">
        <v>1957</v>
      </c>
      <c r="E3571" t="s">
        <v>29</v>
      </c>
      <c r="F3571" t="s">
        <v>30</v>
      </c>
      <c r="G3571" t="s">
        <v>31</v>
      </c>
      <c r="H3571" t="s">
        <v>32</v>
      </c>
      <c r="I3571">
        <v>2046.154706</v>
      </c>
      <c r="J3571" t="s">
        <v>33</v>
      </c>
      <c r="K3571" t="s">
        <v>4890</v>
      </c>
      <c r="L3571" t="s">
        <v>21</v>
      </c>
      <c r="M3571" t="str">
        <f t="shared" si="165"/>
        <v>OK</v>
      </c>
      <c r="N3571" t="str">
        <f t="shared" si="166"/>
        <v>1950s</v>
      </c>
      <c r="O3571" t="str">
        <f t="shared" si="167"/>
        <v>N/A</v>
      </c>
      <c r="P3571" t="str">
        <f>VLOOKUP(E3571,calculated_fields!$F$4:$G$6,2,FALSE)</f>
        <v>Economy</v>
      </c>
    </row>
    <row r="3572" spans="1:16">
      <c r="A3572" t="s">
        <v>4893</v>
      </c>
      <c r="B3572" t="s">
        <v>4885</v>
      </c>
      <c r="C3572" t="s">
        <v>229</v>
      </c>
      <c r="D3572">
        <v>1962</v>
      </c>
      <c r="E3572" t="s">
        <v>15</v>
      </c>
      <c r="F3572" t="s">
        <v>16</v>
      </c>
      <c r="G3572" t="s">
        <v>17</v>
      </c>
      <c r="H3572" t="s">
        <v>18</v>
      </c>
      <c r="I3572">
        <v>64.361000000000004</v>
      </c>
      <c r="J3572" t="s">
        <v>19</v>
      </c>
      <c r="K3572" t="s">
        <v>4894</v>
      </c>
      <c r="L3572" t="s">
        <v>21</v>
      </c>
      <c r="M3572" t="str">
        <f t="shared" si="165"/>
        <v>OK</v>
      </c>
      <c r="N3572" t="str">
        <f t="shared" si="166"/>
        <v>1960s</v>
      </c>
      <c r="O3572" t="str">
        <f t="shared" si="167"/>
        <v>Medium</v>
      </c>
      <c r="P3572" t="str">
        <f>VLOOKUP(E3572,calculated_fields!$F$4:$G$6,2,FALSE)</f>
        <v>Health</v>
      </c>
    </row>
    <row r="3573" spans="1:16">
      <c r="A3573" t="s">
        <v>4895</v>
      </c>
      <c r="B3573" t="s">
        <v>4885</v>
      </c>
      <c r="C3573" t="s">
        <v>229</v>
      </c>
      <c r="D3573">
        <v>1962</v>
      </c>
      <c r="E3573" t="s">
        <v>23</v>
      </c>
      <c r="F3573" t="s">
        <v>24</v>
      </c>
      <c r="G3573" t="s">
        <v>25</v>
      </c>
      <c r="H3573" t="s">
        <v>26</v>
      </c>
      <c r="I3573">
        <v>2009813</v>
      </c>
      <c r="J3573" t="s">
        <v>27</v>
      </c>
      <c r="K3573" t="s">
        <v>4894</v>
      </c>
      <c r="L3573" t="s">
        <v>21</v>
      </c>
      <c r="M3573" t="str">
        <f t="shared" si="165"/>
        <v>OK</v>
      </c>
      <c r="N3573" t="str">
        <f t="shared" si="166"/>
        <v>1960s</v>
      </c>
      <c r="O3573" t="str">
        <f t="shared" si="167"/>
        <v>N/A</v>
      </c>
      <c r="P3573" t="str">
        <f>VLOOKUP(E3573,calculated_fields!$F$4:$G$6,2,FALSE)</f>
        <v>Demographics</v>
      </c>
    </row>
    <row r="3574" spans="1:16">
      <c r="A3574" t="s">
        <v>4896</v>
      </c>
      <c r="B3574" t="s">
        <v>4885</v>
      </c>
      <c r="C3574" t="s">
        <v>229</v>
      </c>
      <c r="D3574">
        <v>1962</v>
      </c>
      <c r="E3574" t="s">
        <v>29</v>
      </c>
      <c r="F3574" t="s">
        <v>30</v>
      </c>
      <c r="G3574" t="s">
        <v>31</v>
      </c>
      <c r="H3574" t="s">
        <v>32</v>
      </c>
      <c r="I3574">
        <v>2148.0271459999999</v>
      </c>
      <c r="J3574" t="s">
        <v>33</v>
      </c>
      <c r="K3574" t="s">
        <v>4894</v>
      </c>
      <c r="L3574" t="s">
        <v>21</v>
      </c>
      <c r="M3574" t="str">
        <f t="shared" si="165"/>
        <v>OK</v>
      </c>
      <c r="N3574" t="str">
        <f t="shared" si="166"/>
        <v>1960s</v>
      </c>
      <c r="O3574" t="str">
        <f t="shared" si="167"/>
        <v>N/A</v>
      </c>
      <c r="P3574" t="str">
        <f>VLOOKUP(E3574,calculated_fields!$F$4:$G$6,2,FALSE)</f>
        <v>Economy</v>
      </c>
    </row>
    <row r="3575" spans="1:16">
      <c r="A3575" t="s">
        <v>4897</v>
      </c>
      <c r="B3575" t="s">
        <v>4885</v>
      </c>
      <c r="C3575" t="s">
        <v>229</v>
      </c>
      <c r="D3575">
        <v>1967</v>
      </c>
      <c r="E3575" t="s">
        <v>15</v>
      </c>
      <c r="F3575" t="s">
        <v>16</v>
      </c>
      <c r="G3575" t="s">
        <v>17</v>
      </c>
      <c r="H3575" t="s">
        <v>18</v>
      </c>
      <c r="I3575">
        <v>64.950999999999993</v>
      </c>
      <c r="J3575" t="s">
        <v>19</v>
      </c>
      <c r="K3575" t="s">
        <v>4898</v>
      </c>
      <c r="L3575" t="s">
        <v>21</v>
      </c>
      <c r="M3575" t="str">
        <f t="shared" si="165"/>
        <v>OK</v>
      </c>
      <c r="N3575" t="str">
        <f t="shared" si="166"/>
        <v>1960s</v>
      </c>
      <c r="O3575" t="str">
        <f t="shared" si="167"/>
        <v>Medium</v>
      </c>
      <c r="P3575" t="str">
        <f>VLOOKUP(E3575,calculated_fields!$F$4:$G$6,2,FALSE)</f>
        <v>Health</v>
      </c>
    </row>
    <row r="3576" spans="1:16">
      <c r="A3576" t="s">
        <v>4899</v>
      </c>
      <c r="B3576" t="s">
        <v>4885</v>
      </c>
      <c r="C3576" t="s">
        <v>229</v>
      </c>
      <c r="D3576">
        <v>1967</v>
      </c>
      <c r="E3576" t="s">
        <v>23</v>
      </c>
      <c r="F3576" t="s">
        <v>24</v>
      </c>
      <c r="G3576" t="s">
        <v>25</v>
      </c>
      <c r="H3576" t="s">
        <v>26</v>
      </c>
      <c r="I3576">
        <v>2287985</v>
      </c>
      <c r="J3576" t="s">
        <v>27</v>
      </c>
      <c r="K3576" t="s">
        <v>4898</v>
      </c>
      <c r="L3576" t="s">
        <v>21</v>
      </c>
      <c r="M3576" t="str">
        <f t="shared" si="165"/>
        <v>OK</v>
      </c>
      <c r="N3576" t="str">
        <f t="shared" si="166"/>
        <v>1960s</v>
      </c>
      <c r="O3576" t="str">
        <f t="shared" si="167"/>
        <v>N/A</v>
      </c>
      <c r="P3576" t="str">
        <f>VLOOKUP(E3576,calculated_fields!$F$4:$G$6,2,FALSE)</f>
        <v>Demographics</v>
      </c>
    </row>
    <row r="3577" spans="1:16">
      <c r="A3577" t="s">
        <v>4900</v>
      </c>
      <c r="B3577" t="s">
        <v>4885</v>
      </c>
      <c r="C3577" t="s">
        <v>229</v>
      </c>
      <c r="D3577">
        <v>1967</v>
      </c>
      <c r="E3577" t="s">
        <v>29</v>
      </c>
      <c r="F3577" t="s">
        <v>30</v>
      </c>
      <c r="G3577" t="s">
        <v>31</v>
      </c>
      <c r="H3577" t="s">
        <v>32</v>
      </c>
      <c r="I3577">
        <v>2299.376311</v>
      </c>
      <c r="J3577" t="s">
        <v>33</v>
      </c>
      <c r="K3577" t="s">
        <v>4898</v>
      </c>
      <c r="L3577" t="s">
        <v>21</v>
      </c>
      <c r="M3577" t="str">
        <f t="shared" si="165"/>
        <v>OK</v>
      </c>
      <c r="N3577" t="str">
        <f t="shared" si="166"/>
        <v>1960s</v>
      </c>
      <c r="O3577" t="str">
        <f t="shared" si="167"/>
        <v>N/A</v>
      </c>
      <c r="P3577" t="str">
        <f>VLOOKUP(E3577,calculated_fields!$F$4:$G$6,2,FALSE)</f>
        <v>Economy</v>
      </c>
    </row>
    <row r="3578" spans="1:16">
      <c r="A3578" t="s">
        <v>4901</v>
      </c>
      <c r="B3578" t="s">
        <v>4885</v>
      </c>
      <c r="C3578" t="s">
        <v>229</v>
      </c>
      <c r="D3578">
        <v>1972</v>
      </c>
      <c r="E3578" t="s">
        <v>15</v>
      </c>
      <c r="F3578" t="s">
        <v>16</v>
      </c>
      <c r="G3578" t="s">
        <v>17</v>
      </c>
      <c r="H3578" t="s">
        <v>18</v>
      </c>
      <c r="I3578">
        <v>65.814999999999998</v>
      </c>
      <c r="J3578" t="s">
        <v>19</v>
      </c>
      <c r="K3578" t="s">
        <v>4902</v>
      </c>
      <c r="L3578" t="s">
        <v>21</v>
      </c>
      <c r="M3578" t="str">
        <f t="shared" si="165"/>
        <v>OK</v>
      </c>
      <c r="N3578" t="str">
        <f t="shared" si="166"/>
        <v>1970s</v>
      </c>
      <c r="O3578" t="str">
        <f t="shared" si="167"/>
        <v>Medium</v>
      </c>
      <c r="P3578" t="str">
        <f>VLOOKUP(E3578,calculated_fields!$F$4:$G$6,2,FALSE)</f>
        <v>Health</v>
      </c>
    </row>
    <row r="3579" spans="1:16">
      <c r="A3579" t="s">
        <v>4903</v>
      </c>
      <c r="B3579" t="s">
        <v>4885</v>
      </c>
      <c r="C3579" t="s">
        <v>229</v>
      </c>
      <c r="D3579">
        <v>1972</v>
      </c>
      <c r="E3579" t="s">
        <v>23</v>
      </c>
      <c r="F3579" t="s">
        <v>24</v>
      </c>
      <c r="G3579" t="s">
        <v>25</v>
      </c>
      <c r="H3579" t="s">
        <v>26</v>
      </c>
      <c r="I3579">
        <v>2614104</v>
      </c>
      <c r="J3579" t="s">
        <v>27</v>
      </c>
      <c r="K3579" t="s">
        <v>4902</v>
      </c>
      <c r="L3579" t="s">
        <v>21</v>
      </c>
      <c r="M3579" t="str">
        <f t="shared" si="165"/>
        <v>OK</v>
      </c>
      <c r="N3579" t="str">
        <f t="shared" si="166"/>
        <v>1970s</v>
      </c>
      <c r="O3579" t="str">
        <f t="shared" si="167"/>
        <v>N/A</v>
      </c>
      <c r="P3579" t="str">
        <f>VLOOKUP(E3579,calculated_fields!$F$4:$G$6,2,FALSE)</f>
        <v>Demographics</v>
      </c>
    </row>
    <row r="3580" spans="1:16">
      <c r="A3580" t="s">
        <v>4904</v>
      </c>
      <c r="B3580" t="s">
        <v>4885</v>
      </c>
      <c r="C3580" t="s">
        <v>229</v>
      </c>
      <c r="D3580">
        <v>1972</v>
      </c>
      <c r="E3580" t="s">
        <v>29</v>
      </c>
      <c r="F3580" t="s">
        <v>30</v>
      </c>
      <c r="G3580" t="s">
        <v>31</v>
      </c>
      <c r="H3580" t="s">
        <v>32</v>
      </c>
      <c r="I3580">
        <v>2523.3379770000001</v>
      </c>
      <c r="J3580" t="s">
        <v>33</v>
      </c>
      <c r="K3580" t="s">
        <v>4902</v>
      </c>
      <c r="L3580" t="s">
        <v>21</v>
      </c>
      <c r="M3580" t="str">
        <f t="shared" si="165"/>
        <v>OK</v>
      </c>
      <c r="N3580" t="str">
        <f t="shared" si="166"/>
        <v>1970s</v>
      </c>
      <c r="O3580" t="str">
        <f t="shared" si="167"/>
        <v>N/A</v>
      </c>
      <c r="P3580" t="str">
        <f>VLOOKUP(E3580,calculated_fields!$F$4:$G$6,2,FALSE)</f>
        <v>Economy</v>
      </c>
    </row>
    <row r="3581" spans="1:16">
      <c r="A3581" t="s">
        <v>4905</v>
      </c>
      <c r="B3581" t="s">
        <v>4885</v>
      </c>
      <c r="C3581" t="s">
        <v>229</v>
      </c>
      <c r="D3581">
        <v>1977</v>
      </c>
      <c r="E3581" t="s">
        <v>15</v>
      </c>
      <c r="F3581" t="s">
        <v>16</v>
      </c>
      <c r="G3581" t="s">
        <v>17</v>
      </c>
      <c r="H3581" t="s">
        <v>18</v>
      </c>
      <c r="I3581">
        <v>66.352999999999994</v>
      </c>
      <c r="J3581" t="s">
        <v>19</v>
      </c>
      <c r="K3581" t="s">
        <v>4906</v>
      </c>
      <c r="L3581" t="s">
        <v>21</v>
      </c>
      <c r="M3581" t="str">
        <f t="shared" si="165"/>
        <v>OK</v>
      </c>
      <c r="N3581" t="str">
        <f t="shared" si="166"/>
        <v>1970s</v>
      </c>
      <c r="O3581" t="str">
        <f t="shared" si="167"/>
        <v>Medium</v>
      </c>
      <c r="P3581" t="str">
        <f>VLOOKUP(E3581,calculated_fields!$F$4:$G$6,2,FALSE)</f>
        <v>Health</v>
      </c>
    </row>
    <row r="3582" spans="1:16">
      <c r="A3582" t="s">
        <v>4907</v>
      </c>
      <c r="B3582" t="s">
        <v>4885</v>
      </c>
      <c r="C3582" t="s">
        <v>229</v>
      </c>
      <c r="D3582">
        <v>1977</v>
      </c>
      <c r="E3582" t="s">
        <v>23</v>
      </c>
      <c r="F3582" t="s">
        <v>24</v>
      </c>
      <c r="G3582" t="s">
        <v>25</v>
      </c>
      <c r="H3582" t="s">
        <v>26</v>
      </c>
      <c r="I3582">
        <v>2984494</v>
      </c>
      <c r="J3582" t="s">
        <v>27</v>
      </c>
      <c r="K3582" t="s">
        <v>4906</v>
      </c>
      <c r="L3582" t="s">
        <v>21</v>
      </c>
      <c r="M3582" t="str">
        <f t="shared" si="165"/>
        <v>OK</v>
      </c>
      <c r="N3582" t="str">
        <f t="shared" si="166"/>
        <v>1970s</v>
      </c>
      <c r="O3582" t="str">
        <f t="shared" si="167"/>
        <v>N/A</v>
      </c>
      <c r="P3582" t="str">
        <f>VLOOKUP(E3582,calculated_fields!$F$4:$G$6,2,FALSE)</f>
        <v>Demographics</v>
      </c>
    </row>
    <row r="3583" spans="1:16">
      <c r="A3583" t="s">
        <v>4908</v>
      </c>
      <c r="B3583" t="s">
        <v>4885</v>
      </c>
      <c r="C3583" t="s">
        <v>229</v>
      </c>
      <c r="D3583">
        <v>1977</v>
      </c>
      <c r="E3583" t="s">
        <v>29</v>
      </c>
      <c r="F3583" t="s">
        <v>30</v>
      </c>
      <c r="G3583" t="s">
        <v>31</v>
      </c>
      <c r="H3583" t="s">
        <v>32</v>
      </c>
      <c r="I3583">
        <v>3248.3733109999998</v>
      </c>
      <c r="J3583" t="s">
        <v>33</v>
      </c>
      <c r="K3583" t="s">
        <v>4906</v>
      </c>
      <c r="L3583" t="s">
        <v>21</v>
      </c>
      <c r="M3583" t="str">
        <f t="shared" si="165"/>
        <v>OK</v>
      </c>
      <c r="N3583" t="str">
        <f t="shared" si="166"/>
        <v>1970s</v>
      </c>
      <c r="O3583" t="str">
        <f t="shared" si="167"/>
        <v>N/A</v>
      </c>
      <c r="P3583" t="str">
        <f>VLOOKUP(E3583,calculated_fields!$F$4:$G$6,2,FALSE)</f>
        <v>Economy</v>
      </c>
    </row>
    <row r="3584" spans="1:16">
      <c r="A3584" t="s">
        <v>4909</v>
      </c>
      <c r="B3584" t="s">
        <v>4885</v>
      </c>
      <c r="C3584" t="s">
        <v>229</v>
      </c>
      <c r="D3584">
        <v>1982</v>
      </c>
      <c r="E3584" t="s">
        <v>15</v>
      </c>
      <c r="F3584" t="s">
        <v>16</v>
      </c>
      <c r="G3584" t="s">
        <v>17</v>
      </c>
      <c r="H3584" t="s">
        <v>18</v>
      </c>
      <c r="I3584">
        <v>66.873999999999995</v>
      </c>
      <c r="J3584" t="s">
        <v>19</v>
      </c>
      <c r="K3584" t="s">
        <v>4910</v>
      </c>
      <c r="L3584" t="s">
        <v>21</v>
      </c>
      <c r="M3584" t="str">
        <f t="shared" si="165"/>
        <v>OK</v>
      </c>
      <c r="N3584" t="str">
        <f t="shared" si="166"/>
        <v>1980s</v>
      </c>
      <c r="O3584" t="str">
        <f t="shared" si="167"/>
        <v>Medium</v>
      </c>
      <c r="P3584" t="str">
        <f>VLOOKUP(E3584,calculated_fields!$F$4:$G$6,2,FALSE)</f>
        <v>Health</v>
      </c>
    </row>
    <row r="3585" spans="1:16">
      <c r="A3585" t="s">
        <v>4911</v>
      </c>
      <c r="B3585" t="s">
        <v>4885</v>
      </c>
      <c r="C3585" t="s">
        <v>229</v>
      </c>
      <c r="D3585">
        <v>1982</v>
      </c>
      <c r="E3585" t="s">
        <v>23</v>
      </c>
      <c r="F3585" t="s">
        <v>24</v>
      </c>
      <c r="G3585" t="s">
        <v>25</v>
      </c>
      <c r="H3585" t="s">
        <v>26</v>
      </c>
      <c r="I3585">
        <v>3366439</v>
      </c>
      <c r="J3585" t="s">
        <v>27</v>
      </c>
      <c r="K3585" t="s">
        <v>4910</v>
      </c>
      <c r="L3585" t="s">
        <v>21</v>
      </c>
      <c r="M3585" t="str">
        <f t="shared" si="165"/>
        <v>OK</v>
      </c>
      <c r="N3585" t="str">
        <f t="shared" si="166"/>
        <v>1980s</v>
      </c>
      <c r="O3585" t="str">
        <f t="shared" si="167"/>
        <v>N/A</v>
      </c>
      <c r="P3585" t="str">
        <f>VLOOKUP(E3585,calculated_fields!$F$4:$G$6,2,FALSE)</f>
        <v>Demographics</v>
      </c>
    </row>
    <row r="3586" spans="1:16">
      <c r="A3586" t="s">
        <v>4912</v>
      </c>
      <c r="B3586" t="s">
        <v>4885</v>
      </c>
      <c r="C3586" t="s">
        <v>229</v>
      </c>
      <c r="D3586">
        <v>1982</v>
      </c>
      <c r="E3586" t="s">
        <v>29</v>
      </c>
      <c r="F3586" t="s">
        <v>30</v>
      </c>
      <c r="G3586" t="s">
        <v>31</v>
      </c>
      <c r="H3586" t="s">
        <v>32</v>
      </c>
      <c r="I3586">
        <v>4258.5036040000005</v>
      </c>
      <c r="J3586" t="s">
        <v>33</v>
      </c>
      <c r="K3586" t="s">
        <v>4910</v>
      </c>
      <c r="L3586" t="s">
        <v>21</v>
      </c>
      <c r="M3586" t="str">
        <f t="shared" ref="M3586:M3649" si="168">IF(AND(ISNUMBER(I3586),I3586&gt;=0),"OK","Review")</f>
        <v>OK</v>
      </c>
      <c r="N3586" t="str">
        <f t="shared" ref="N3586:N3649" si="169">FLOOR(D3586,10)&amp;"s"</f>
        <v>1980s</v>
      </c>
      <c r="O3586" t="str">
        <f t="shared" ref="O3586:O3649" si="170">IF(E3586="LIFE_EXP",IF(I3586&gt;=70,"High",IF(I3586&gt;=55,"Medium","Low")),"N/A")</f>
        <v>N/A</v>
      </c>
      <c r="P3586" t="str">
        <f>VLOOKUP(E3586,calculated_fields!$F$4:$G$6,2,FALSE)</f>
        <v>Economy</v>
      </c>
    </row>
    <row r="3587" spans="1:16">
      <c r="A3587" t="s">
        <v>4913</v>
      </c>
      <c r="B3587" t="s">
        <v>4885</v>
      </c>
      <c r="C3587" t="s">
        <v>229</v>
      </c>
      <c r="D3587">
        <v>1987</v>
      </c>
      <c r="E3587" t="s">
        <v>15</v>
      </c>
      <c r="F3587" t="s">
        <v>16</v>
      </c>
      <c r="G3587" t="s">
        <v>17</v>
      </c>
      <c r="H3587" t="s">
        <v>18</v>
      </c>
      <c r="I3587">
        <v>67.378</v>
      </c>
      <c r="J3587" t="s">
        <v>19</v>
      </c>
      <c r="K3587" t="s">
        <v>4914</v>
      </c>
      <c r="L3587" t="s">
        <v>21</v>
      </c>
      <c r="M3587" t="str">
        <f t="shared" si="168"/>
        <v>OK</v>
      </c>
      <c r="N3587" t="str">
        <f t="shared" si="169"/>
        <v>1980s</v>
      </c>
      <c r="O3587" t="str">
        <f t="shared" si="170"/>
        <v>Medium</v>
      </c>
      <c r="P3587" t="str">
        <f>VLOOKUP(E3587,calculated_fields!$F$4:$G$6,2,FALSE)</f>
        <v>Health</v>
      </c>
    </row>
    <row r="3588" spans="1:16">
      <c r="A3588" t="s">
        <v>4915</v>
      </c>
      <c r="B3588" t="s">
        <v>4885</v>
      </c>
      <c r="C3588" t="s">
        <v>229</v>
      </c>
      <c r="D3588">
        <v>1987</v>
      </c>
      <c r="E3588" t="s">
        <v>23</v>
      </c>
      <c r="F3588" t="s">
        <v>24</v>
      </c>
      <c r="G3588" t="s">
        <v>25</v>
      </c>
      <c r="H3588" t="s">
        <v>26</v>
      </c>
      <c r="I3588">
        <v>3886512</v>
      </c>
      <c r="J3588" t="s">
        <v>27</v>
      </c>
      <c r="K3588" t="s">
        <v>4914</v>
      </c>
      <c r="L3588" t="s">
        <v>21</v>
      </c>
      <c r="M3588" t="str">
        <f t="shared" si="168"/>
        <v>OK</v>
      </c>
      <c r="N3588" t="str">
        <f t="shared" si="169"/>
        <v>1980s</v>
      </c>
      <c r="O3588" t="str">
        <f t="shared" si="170"/>
        <v>N/A</v>
      </c>
      <c r="P3588" t="str">
        <f>VLOOKUP(E3588,calculated_fields!$F$4:$G$6,2,FALSE)</f>
        <v>Demographics</v>
      </c>
    </row>
    <row r="3589" spans="1:16">
      <c r="A3589" t="s">
        <v>4916</v>
      </c>
      <c r="B3589" t="s">
        <v>4885</v>
      </c>
      <c r="C3589" t="s">
        <v>229</v>
      </c>
      <c r="D3589">
        <v>1987</v>
      </c>
      <c r="E3589" t="s">
        <v>29</v>
      </c>
      <c r="F3589" t="s">
        <v>30</v>
      </c>
      <c r="G3589" t="s">
        <v>31</v>
      </c>
      <c r="H3589" t="s">
        <v>32</v>
      </c>
      <c r="I3589">
        <v>3998.8756950000002</v>
      </c>
      <c r="J3589" t="s">
        <v>33</v>
      </c>
      <c r="K3589" t="s">
        <v>4914</v>
      </c>
      <c r="L3589" t="s">
        <v>21</v>
      </c>
      <c r="M3589" t="str">
        <f t="shared" si="168"/>
        <v>OK</v>
      </c>
      <c r="N3589" t="str">
        <f t="shared" si="169"/>
        <v>1980s</v>
      </c>
      <c r="O3589" t="str">
        <f t="shared" si="170"/>
        <v>N/A</v>
      </c>
      <c r="P3589" t="str">
        <f>VLOOKUP(E3589,calculated_fields!$F$4:$G$6,2,FALSE)</f>
        <v>Economy</v>
      </c>
    </row>
    <row r="3590" spans="1:16">
      <c r="A3590" t="s">
        <v>4917</v>
      </c>
      <c r="B3590" t="s">
        <v>4885</v>
      </c>
      <c r="C3590" t="s">
        <v>229</v>
      </c>
      <c r="D3590">
        <v>1992</v>
      </c>
      <c r="E3590" t="s">
        <v>15</v>
      </c>
      <c r="F3590" t="s">
        <v>16</v>
      </c>
      <c r="G3590" t="s">
        <v>17</v>
      </c>
      <c r="H3590" t="s">
        <v>18</v>
      </c>
      <c r="I3590">
        <v>68.224999999999994</v>
      </c>
      <c r="J3590" t="s">
        <v>19</v>
      </c>
      <c r="K3590" t="s">
        <v>4918</v>
      </c>
      <c r="L3590" t="s">
        <v>21</v>
      </c>
      <c r="M3590" t="str">
        <f t="shared" si="168"/>
        <v>OK</v>
      </c>
      <c r="N3590" t="str">
        <f t="shared" si="169"/>
        <v>1990s</v>
      </c>
      <c r="O3590" t="str">
        <f t="shared" si="170"/>
        <v>Medium</v>
      </c>
      <c r="P3590" t="str">
        <f>VLOOKUP(E3590,calculated_fields!$F$4:$G$6,2,FALSE)</f>
        <v>Health</v>
      </c>
    </row>
    <row r="3591" spans="1:16">
      <c r="A3591" t="s">
        <v>4919</v>
      </c>
      <c r="B3591" t="s">
        <v>4885</v>
      </c>
      <c r="C3591" t="s">
        <v>229</v>
      </c>
      <c r="D3591">
        <v>1992</v>
      </c>
      <c r="E3591" t="s">
        <v>23</v>
      </c>
      <c r="F3591" t="s">
        <v>24</v>
      </c>
      <c r="G3591" t="s">
        <v>25</v>
      </c>
      <c r="H3591" t="s">
        <v>26</v>
      </c>
      <c r="I3591">
        <v>4483945</v>
      </c>
      <c r="J3591" t="s">
        <v>27</v>
      </c>
      <c r="K3591" t="s">
        <v>4918</v>
      </c>
      <c r="L3591" t="s">
        <v>21</v>
      </c>
      <c r="M3591" t="str">
        <f t="shared" si="168"/>
        <v>OK</v>
      </c>
      <c r="N3591" t="str">
        <f t="shared" si="169"/>
        <v>1990s</v>
      </c>
      <c r="O3591" t="str">
        <f t="shared" si="170"/>
        <v>N/A</v>
      </c>
      <c r="P3591" t="str">
        <f>VLOOKUP(E3591,calculated_fields!$F$4:$G$6,2,FALSE)</f>
        <v>Demographics</v>
      </c>
    </row>
    <row r="3592" spans="1:16">
      <c r="A3592" t="s">
        <v>4920</v>
      </c>
      <c r="B3592" t="s">
        <v>4885</v>
      </c>
      <c r="C3592" t="s">
        <v>229</v>
      </c>
      <c r="D3592">
        <v>1992</v>
      </c>
      <c r="E3592" t="s">
        <v>29</v>
      </c>
      <c r="F3592" t="s">
        <v>30</v>
      </c>
      <c r="G3592" t="s">
        <v>31</v>
      </c>
      <c r="H3592" t="s">
        <v>32</v>
      </c>
      <c r="I3592">
        <v>4196.4110780000001</v>
      </c>
      <c r="J3592" t="s">
        <v>33</v>
      </c>
      <c r="K3592" t="s">
        <v>4918</v>
      </c>
      <c r="L3592" t="s">
        <v>21</v>
      </c>
      <c r="M3592" t="str">
        <f t="shared" si="168"/>
        <v>OK</v>
      </c>
      <c r="N3592" t="str">
        <f t="shared" si="169"/>
        <v>1990s</v>
      </c>
      <c r="O3592" t="str">
        <f t="shared" si="170"/>
        <v>N/A</v>
      </c>
      <c r="P3592" t="str">
        <f>VLOOKUP(E3592,calculated_fields!$F$4:$G$6,2,FALSE)</f>
        <v>Economy</v>
      </c>
    </row>
    <row r="3593" spans="1:16">
      <c r="A3593" t="s">
        <v>4921</v>
      </c>
      <c r="B3593" t="s">
        <v>4885</v>
      </c>
      <c r="C3593" t="s">
        <v>229</v>
      </c>
      <c r="D3593">
        <v>1997</v>
      </c>
      <c r="E3593" t="s">
        <v>15</v>
      </c>
      <c r="F3593" t="s">
        <v>16</v>
      </c>
      <c r="G3593" t="s">
        <v>17</v>
      </c>
      <c r="H3593" t="s">
        <v>18</v>
      </c>
      <c r="I3593">
        <v>69.400000000000006</v>
      </c>
      <c r="J3593" t="s">
        <v>19</v>
      </c>
      <c r="K3593" t="s">
        <v>4922</v>
      </c>
      <c r="L3593" t="s">
        <v>21</v>
      </c>
      <c r="M3593" t="str">
        <f t="shared" si="168"/>
        <v>OK</v>
      </c>
      <c r="N3593" t="str">
        <f t="shared" si="169"/>
        <v>1990s</v>
      </c>
      <c r="O3593" t="str">
        <f t="shared" si="170"/>
        <v>Medium</v>
      </c>
      <c r="P3593" t="str">
        <f>VLOOKUP(E3593,calculated_fields!$F$4:$G$6,2,FALSE)</f>
        <v>Health</v>
      </c>
    </row>
    <row r="3594" spans="1:16">
      <c r="A3594" t="s">
        <v>4923</v>
      </c>
      <c r="B3594" t="s">
        <v>4885</v>
      </c>
      <c r="C3594" t="s">
        <v>229</v>
      </c>
      <c r="D3594">
        <v>1997</v>
      </c>
      <c r="E3594" t="s">
        <v>23</v>
      </c>
      <c r="F3594" t="s">
        <v>24</v>
      </c>
      <c r="G3594" t="s">
        <v>25</v>
      </c>
      <c r="H3594" t="s">
        <v>26</v>
      </c>
      <c r="I3594">
        <v>5154123</v>
      </c>
      <c r="J3594" t="s">
        <v>27</v>
      </c>
      <c r="K3594" t="s">
        <v>4922</v>
      </c>
      <c r="L3594" t="s">
        <v>21</v>
      </c>
      <c r="M3594" t="str">
        <f t="shared" si="168"/>
        <v>OK</v>
      </c>
      <c r="N3594" t="str">
        <f t="shared" si="169"/>
        <v>1990s</v>
      </c>
      <c r="O3594" t="str">
        <f t="shared" si="170"/>
        <v>N/A</v>
      </c>
      <c r="P3594" t="str">
        <f>VLOOKUP(E3594,calculated_fields!$F$4:$G$6,2,FALSE)</f>
        <v>Demographics</v>
      </c>
    </row>
    <row r="3595" spans="1:16">
      <c r="A3595" t="s">
        <v>4924</v>
      </c>
      <c r="B3595" t="s">
        <v>4885</v>
      </c>
      <c r="C3595" t="s">
        <v>229</v>
      </c>
      <c r="D3595">
        <v>1997</v>
      </c>
      <c r="E3595" t="s">
        <v>29</v>
      </c>
      <c r="F3595" t="s">
        <v>30</v>
      </c>
      <c r="G3595" t="s">
        <v>31</v>
      </c>
      <c r="H3595" t="s">
        <v>32</v>
      </c>
      <c r="I3595">
        <v>4247.4002609999998</v>
      </c>
      <c r="J3595" t="s">
        <v>33</v>
      </c>
      <c r="K3595" t="s">
        <v>4922</v>
      </c>
      <c r="L3595" t="s">
        <v>21</v>
      </c>
      <c r="M3595" t="str">
        <f t="shared" si="168"/>
        <v>OK</v>
      </c>
      <c r="N3595" t="str">
        <f t="shared" si="169"/>
        <v>1990s</v>
      </c>
      <c r="O3595" t="str">
        <f t="shared" si="170"/>
        <v>N/A</v>
      </c>
      <c r="P3595" t="str">
        <f>VLOOKUP(E3595,calculated_fields!$F$4:$G$6,2,FALSE)</f>
        <v>Economy</v>
      </c>
    </row>
    <row r="3596" spans="1:16">
      <c r="A3596" t="s">
        <v>4925</v>
      </c>
      <c r="B3596" t="s">
        <v>4885</v>
      </c>
      <c r="C3596" t="s">
        <v>229</v>
      </c>
      <c r="D3596">
        <v>2002</v>
      </c>
      <c r="E3596" t="s">
        <v>15</v>
      </c>
      <c r="F3596" t="s">
        <v>16</v>
      </c>
      <c r="G3596" t="s">
        <v>17</v>
      </c>
      <c r="H3596" t="s">
        <v>18</v>
      </c>
      <c r="I3596">
        <v>70.754999999999995</v>
      </c>
      <c r="J3596" t="s">
        <v>19</v>
      </c>
      <c r="K3596" t="s">
        <v>4926</v>
      </c>
      <c r="L3596" t="s">
        <v>21</v>
      </c>
      <c r="M3596" t="str">
        <f t="shared" si="168"/>
        <v>OK</v>
      </c>
      <c r="N3596" t="str">
        <f t="shared" si="169"/>
        <v>2000s</v>
      </c>
      <c r="O3596" t="str">
        <f t="shared" si="170"/>
        <v>High</v>
      </c>
      <c r="P3596" t="str">
        <f>VLOOKUP(E3596,calculated_fields!$F$4:$G$6,2,FALSE)</f>
        <v>Health</v>
      </c>
    </row>
    <row r="3597" spans="1:16">
      <c r="A3597" t="s">
        <v>4927</v>
      </c>
      <c r="B3597" t="s">
        <v>4885</v>
      </c>
      <c r="C3597" t="s">
        <v>229</v>
      </c>
      <c r="D3597">
        <v>2002</v>
      </c>
      <c r="E3597" t="s">
        <v>23</v>
      </c>
      <c r="F3597" t="s">
        <v>24</v>
      </c>
      <c r="G3597" t="s">
        <v>25</v>
      </c>
      <c r="H3597" t="s">
        <v>26</v>
      </c>
      <c r="I3597">
        <v>5884491</v>
      </c>
      <c r="J3597" t="s">
        <v>27</v>
      </c>
      <c r="K3597" t="s">
        <v>4926</v>
      </c>
      <c r="L3597" t="s">
        <v>21</v>
      </c>
      <c r="M3597" t="str">
        <f t="shared" si="168"/>
        <v>OK</v>
      </c>
      <c r="N3597" t="str">
        <f t="shared" si="169"/>
        <v>2000s</v>
      </c>
      <c r="O3597" t="str">
        <f t="shared" si="170"/>
        <v>N/A</v>
      </c>
      <c r="P3597" t="str">
        <f>VLOOKUP(E3597,calculated_fields!$F$4:$G$6,2,FALSE)</f>
        <v>Demographics</v>
      </c>
    </row>
    <row r="3598" spans="1:16">
      <c r="A3598" t="s">
        <v>4928</v>
      </c>
      <c r="B3598" t="s">
        <v>4885</v>
      </c>
      <c r="C3598" t="s">
        <v>229</v>
      </c>
      <c r="D3598">
        <v>2002</v>
      </c>
      <c r="E3598" t="s">
        <v>29</v>
      </c>
      <c r="F3598" t="s">
        <v>30</v>
      </c>
      <c r="G3598" t="s">
        <v>31</v>
      </c>
      <c r="H3598" t="s">
        <v>32</v>
      </c>
      <c r="I3598">
        <v>3783.6742429999999</v>
      </c>
      <c r="J3598" t="s">
        <v>33</v>
      </c>
      <c r="K3598" t="s">
        <v>4926</v>
      </c>
      <c r="L3598" t="s">
        <v>21</v>
      </c>
      <c r="M3598" t="str">
        <f t="shared" si="168"/>
        <v>OK</v>
      </c>
      <c r="N3598" t="str">
        <f t="shared" si="169"/>
        <v>2000s</v>
      </c>
      <c r="O3598" t="str">
        <f t="shared" si="170"/>
        <v>N/A</v>
      </c>
      <c r="P3598" t="str">
        <f>VLOOKUP(E3598,calculated_fields!$F$4:$G$6,2,FALSE)</f>
        <v>Economy</v>
      </c>
    </row>
    <row r="3599" spans="1:16">
      <c r="A3599" t="s">
        <v>4929</v>
      </c>
      <c r="B3599" t="s">
        <v>4885</v>
      </c>
      <c r="C3599" t="s">
        <v>229</v>
      </c>
      <c r="D3599">
        <v>2007</v>
      </c>
      <c r="E3599" t="s">
        <v>15</v>
      </c>
      <c r="F3599" t="s">
        <v>16</v>
      </c>
      <c r="G3599" t="s">
        <v>17</v>
      </c>
      <c r="H3599" t="s">
        <v>18</v>
      </c>
      <c r="I3599">
        <v>71.751999999999995</v>
      </c>
      <c r="J3599" t="s">
        <v>19</v>
      </c>
      <c r="K3599" t="s">
        <v>4930</v>
      </c>
      <c r="L3599" t="s">
        <v>21</v>
      </c>
      <c r="M3599" t="str">
        <f t="shared" si="168"/>
        <v>OK</v>
      </c>
      <c r="N3599" t="str">
        <f t="shared" si="169"/>
        <v>2000s</v>
      </c>
      <c r="O3599" t="str">
        <f t="shared" si="170"/>
        <v>High</v>
      </c>
      <c r="P3599" t="str">
        <f>VLOOKUP(E3599,calculated_fields!$F$4:$G$6,2,FALSE)</f>
        <v>Health</v>
      </c>
    </row>
    <row r="3600" spans="1:16">
      <c r="A3600" t="s">
        <v>4931</v>
      </c>
      <c r="B3600" t="s">
        <v>4885</v>
      </c>
      <c r="C3600" t="s">
        <v>229</v>
      </c>
      <c r="D3600">
        <v>2007</v>
      </c>
      <c r="E3600" t="s">
        <v>23</v>
      </c>
      <c r="F3600" t="s">
        <v>24</v>
      </c>
      <c r="G3600" t="s">
        <v>25</v>
      </c>
      <c r="H3600" t="s">
        <v>26</v>
      </c>
      <c r="I3600">
        <v>6667147</v>
      </c>
      <c r="J3600" t="s">
        <v>27</v>
      </c>
      <c r="K3600" t="s">
        <v>4930</v>
      </c>
      <c r="L3600" t="s">
        <v>21</v>
      </c>
      <c r="M3600" t="str">
        <f t="shared" si="168"/>
        <v>OK</v>
      </c>
      <c r="N3600" t="str">
        <f t="shared" si="169"/>
        <v>2000s</v>
      </c>
      <c r="O3600" t="str">
        <f t="shared" si="170"/>
        <v>N/A</v>
      </c>
      <c r="P3600" t="str">
        <f>VLOOKUP(E3600,calculated_fields!$F$4:$G$6,2,FALSE)</f>
        <v>Demographics</v>
      </c>
    </row>
    <row r="3601" spans="1:16">
      <c r="A3601" t="s">
        <v>4932</v>
      </c>
      <c r="B3601" t="s">
        <v>4885</v>
      </c>
      <c r="C3601" t="s">
        <v>229</v>
      </c>
      <c r="D3601">
        <v>2007</v>
      </c>
      <c r="E3601" t="s">
        <v>29</v>
      </c>
      <c r="F3601" t="s">
        <v>30</v>
      </c>
      <c r="G3601" t="s">
        <v>31</v>
      </c>
      <c r="H3601" t="s">
        <v>32</v>
      </c>
      <c r="I3601">
        <v>4172.8384640000004</v>
      </c>
      <c r="J3601" t="s">
        <v>33</v>
      </c>
      <c r="K3601" t="s">
        <v>4930</v>
      </c>
      <c r="L3601" t="s">
        <v>21</v>
      </c>
      <c r="M3601" t="str">
        <f t="shared" si="168"/>
        <v>OK</v>
      </c>
      <c r="N3601" t="str">
        <f t="shared" si="169"/>
        <v>2000s</v>
      </c>
      <c r="O3601" t="str">
        <f t="shared" si="170"/>
        <v>N/A</v>
      </c>
      <c r="P3601" t="str">
        <f>VLOOKUP(E3601,calculated_fields!$F$4:$G$6,2,FALSE)</f>
        <v>Economy</v>
      </c>
    </row>
    <row r="3602" spans="1:16">
      <c r="A3602" t="s">
        <v>4933</v>
      </c>
      <c r="B3602" t="s">
        <v>4934</v>
      </c>
      <c r="C3602" t="s">
        <v>229</v>
      </c>
      <c r="D3602">
        <v>1952</v>
      </c>
      <c r="E3602" t="s">
        <v>15</v>
      </c>
      <c r="F3602" t="s">
        <v>16</v>
      </c>
      <c r="G3602" t="s">
        <v>17</v>
      </c>
      <c r="H3602" t="s">
        <v>18</v>
      </c>
      <c r="I3602">
        <v>43.902000000000001</v>
      </c>
      <c r="J3602" t="s">
        <v>19</v>
      </c>
      <c r="K3602" t="s">
        <v>4935</v>
      </c>
      <c r="L3602" t="s">
        <v>21</v>
      </c>
      <c r="M3602" t="str">
        <f t="shared" si="168"/>
        <v>OK</v>
      </c>
      <c r="N3602" t="str">
        <f t="shared" si="169"/>
        <v>1950s</v>
      </c>
      <c r="O3602" t="str">
        <f t="shared" si="170"/>
        <v>Low</v>
      </c>
      <c r="P3602" t="str">
        <f>VLOOKUP(E3602,calculated_fields!$F$4:$G$6,2,FALSE)</f>
        <v>Health</v>
      </c>
    </row>
    <row r="3603" spans="1:16">
      <c r="A3603" t="s">
        <v>4936</v>
      </c>
      <c r="B3603" t="s">
        <v>4934</v>
      </c>
      <c r="C3603" t="s">
        <v>229</v>
      </c>
      <c r="D3603">
        <v>1952</v>
      </c>
      <c r="E3603" t="s">
        <v>23</v>
      </c>
      <c r="F3603" t="s">
        <v>24</v>
      </c>
      <c r="G3603" t="s">
        <v>25</v>
      </c>
      <c r="H3603" t="s">
        <v>26</v>
      </c>
      <c r="I3603">
        <v>8025700</v>
      </c>
      <c r="J3603" t="s">
        <v>27</v>
      </c>
      <c r="K3603" t="s">
        <v>4935</v>
      </c>
      <c r="L3603" t="s">
        <v>21</v>
      </c>
      <c r="M3603" t="str">
        <f t="shared" si="168"/>
        <v>OK</v>
      </c>
      <c r="N3603" t="str">
        <f t="shared" si="169"/>
        <v>1950s</v>
      </c>
      <c r="O3603" t="str">
        <f t="shared" si="170"/>
        <v>N/A</v>
      </c>
      <c r="P3603" t="str">
        <f>VLOOKUP(E3603,calculated_fields!$F$4:$G$6,2,FALSE)</f>
        <v>Demographics</v>
      </c>
    </row>
    <row r="3604" spans="1:16">
      <c r="A3604" t="s">
        <v>4937</v>
      </c>
      <c r="B3604" t="s">
        <v>4934</v>
      </c>
      <c r="C3604" t="s">
        <v>229</v>
      </c>
      <c r="D3604">
        <v>1952</v>
      </c>
      <c r="E3604" t="s">
        <v>29</v>
      </c>
      <c r="F3604" t="s">
        <v>30</v>
      </c>
      <c r="G3604" t="s">
        <v>31</v>
      </c>
      <c r="H3604" t="s">
        <v>32</v>
      </c>
      <c r="I3604">
        <v>3758.5234369999998</v>
      </c>
      <c r="J3604" t="s">
        <v>33</v>
      </c>
      <c r="K3604" t="s">
        <v>4935</v>
      </c>
      <c r="L3604" t="s">
        <v>21</v>
      </c>
      <c r="M3604" t="str">
        <f t="shared" si="168"/>
        <v>OK</v>
      </c>
      <c r="N3604" t="str">
        <f t="shared" si="169"/>
        <v>1950s</v>
      </c>
      <c r="O3604" t="str">
        <f t="shared" si="170"/>
        <v>N/A</v>
      </c>
      <c r="P3604" t="str">
        <f>VLOOKUP(E3604,calculated_fields!$F$4:$G$6,2,FALSE)</f>
        <v>Economy</v>
      </c>
    </row>
    <row r="3605" spans="1:16">
      <c r="A3605" t="s">
        <v>4938</v>
      </c>
      <c r="B3605" t="s">
        <v>4934</v>
      </c>
      <c r="C3605" t="s">
        <v>229</v>
      </c>
      <c r="D3605">
        <v>1957</v>
      </c>
      <c r="E3605" t="s">
        <v>15</v>
      </c>
      <c r="F3605" t="s">
        <v>16</v>
      </c>
      <c r="G3605" t="s">
        <v>17</v>
      </c>
      <c r="H3605" t="s">
        <v>18</v>
      </c>
      <c r="I3605">
        <v>46.262999999999998</v>
      </c>
      <c r="J3605" t="s">
        <v>19</v>
      </c>
      <c r="K3605" t="s">
        <v>4939</v>
      </c>
      <c r="L3605" t="s">
        <v>21</v>
      </c>
      <c r="M3605" t="str">
        <f t="shared" si="168"/>
        <v>OK</v>
      </c>
      <c r="N3605" t="str">
        <f t="shared" si="169"/>
        <v>1950s</v>
      </c>
      <c r="O3605" t="str">
        <f t="shared" si="170"/>
        <v>Low</v>
      </c>
      <c r="P3605" t="str">
        <f>VLOOKUP(E3605,calculated_fields!$F$4:$G$6,2,FALSE)</f>
        <v>Health</v>
      </c>
    </row>
    <row r="3606" spans="1:16">
      <c r="A3606" t="s">
        <v>4940</v>
      </c>
      <c r="B3606" t="s">
        <v>4934</v>
      </c>
      <c r="C3606" t="s">
        <v>229</v>
      </c>
      <c r="D3606">
        <v>1957</v>
      </c>
      <c r="E3606" t="s">
        <v>23</v>
      </c>
      <c r="F3606" t="s">
        <v>24</v>
      </c>
      <c r="G3606" t="s">
        <v>25</v>
      </c>
      <c r="H3606" t="s">
        <v>26</v>
      </c>
      <c r="I3606">
        <v>9146100</v>
      </c>
      <c r="J3606" t="s">
        <v>27</v>
      </c>
      <c r="K3606" t="s">
        <v>4939</v>
      </c>
      <c r="L3606" t="s">
        <v>21</v>
      </c>
      <c r="M3606" t="str">
        <f t="shared" si="168"/>
        <v>OK</v>
      </c>
      <c r="N3606" t="str">
        <f t="shared" si="169"/>
        <v>1950s</v>
      </c>
      <c r="O3606" t="str">
        <f t="shared" si="170"/>
        <v>N/A</v>
      </c>
      <c r="P3606" t="str">
        <f>VLOOKUP(E3606,calculated_fields!$F$4:$G$6,2,FALSE)</f>
        <v>Demographics</v>
      </c>
    </row>
    <row r="3607" spans="1:16">
      <c r="A3607" t="s">
        <v>4941</v>
      </c>
      <c r="B3607" t="s">
        <v>4934</v>
      </c>
      <c r="C3607" t="s">
        <v>229</v>
      </c>
      <c r="D3607">
        <v>1957</v>
      </c>
      <c r="E3607" t="s">
        <v>29</v>
      </c>
      <c r="F3607" t="s">
        <v>30</v>
      </c>
      <c r="G3607" t="s">
        <v>31</v>
      </c>
      <c r="H3607" t="s">
        <v>32</v>
      </c>
      <c r="I3607">
        <v>4245.2566979999901</v>
      </c>
      <c r="J3607" t="s">
        <v>33</v>
      </c>
      <c r="K3607" t="s">
        <v>4939</v>
      </c>
      <c r="L3607" t="s">
        <v>21</v>
      </c>
      <c r="M3607" t="str">
        <f t="shared" si="168"/>
        <v>OK</v>
      </c>
      <c r="N3607" t="str">
        <f t="shared" si="169"/>
        <v>1950s</v>
      </c>
      <c r="O3607" t="str">
        <f t="shared" si="170"/>
        <v>N/A</v>
      </c>
      <c r="P3607" t="str">
        <f>VLOOKUP(E3607,calculated_fields!$F$4:$G$6,2,FALSE)</f>
        <v>Economy</v>
      </c>
    </row>
    <row r="3608" spans="1:16">
      <c r="A3608" t="s">
        <v>4942</v>
      </c>
      <c r="B3608" t="s">
        <v>4934</v>
      </c>
      <c r="C3608" t="s">
        <v>229</v>
      </c>
      <c r="D3608">
        <v>1962</v>
      </c>
      <c r="E3608" t="s">
        <v>15</v>
      </c>
      <c r="F3608" t="s">
        <v>16</v>
      </c>
      <c r="G3608" t="s">
        <v>17</v>
      </c>
      <c r="H3608" t="s">
        <v>18</v>
      </c>
      <c r="I3608">
        <v>49.095999999999997</v>
      </c>
      <c r="J3608" t="s">
        <v>19</v>
      </c>
      <c r="K3608" t="s">
        <v>4943</v>
      </c>
      <c r="L3608" t="s">
        <v>21</v>
      </c>
      <c r="M3608" t="str">
        <f t="shared" si="168"/>
        <v>OK</v>
      </c>
      <c r="N3608" t="str">
        <f t="shared" si="169"/>
        <v>1960s</v>
      </c>
      <c r="O3608" t="str">
        <f t="shared" si="170"/>
        <v>Low</v>
      </c>
      <c r="P3608" t="str">
        <f>VLOOKUP(E3608,calculated_fields!$F$4:$G$6,2,FALSE)</f>
        <v>Health</v>
      </c>
    </row>
    <row r="3609" spans="1:16">
      <c r="A3609" t="s">
        <v>4944</v>
      </c>
      <c r="B3609" t="s">
        <v>4934</v>
      </c>
      <c r="C3609" t="s">
        <v>229</v>
      </c>
      <c r="D3609">
        <v>1962</v>
      </c>
      <c r="E3609" t="s">
        <v>23</v>
      </c>
      <c r="F3609" t="s">
        <v>24</v>
      </c>
      <c r="G3609" t="s">
        <v>25</v>
      </c>
      <c r="H3609" t="s">
        <v>26</v>
      </c>
      <c r="I3609">
        <v>10516500</v>
      </c>
      <c r="J3609" t="s">
        <v>27</v>
      </c>
      <c r="K3609" t="s">
        <v>4943</v>
      </c>
      <c r="L3609" t="s">
        <v>21</v>
      </c>
      <c r="M3609" t="str">
        <f t="shared" si="168"/>
        <v>OK</v>
      </c>
      <c r="N3609" t="str">
        <f t="shared" si="169"/>
        <v>1960s</v>
      </c>
      <c r="O3609" t="str">
        <f t="shared" si="170"/>
        <v>N/A</v>
      </c>
      <c r="P3609" t="str">
        <f>VLOOKUP(E3609,calculated_fields!$F$4:$G$6,2,FALSE)</f>
        <v>Demographics</v>
      </c>
    </row>
    <row r="3610" spans="1:16">
      <c r="A3610" t="s">
        <v>4945</v>
      </c>
      <c r="B3610" t="s">
        <v>4934</v>
      </c>
      <c r="C3610" t="s">
        <v>229</v>
      </c>
      <c r="D3610">
        <v>1962</v>
      </c>
      <c r="E3610" t="s">
        <v>29</v>
      </c>
      <c r="F3610" t="s">
        <v>30</v>
      </c>
      <c r="G3610" t="s">
        <v>31</v>
      </c>
      <c r="H3610" t="s">
        <v>32</v>
      </c>
      <c r="I3610">
        <v>4957.0379819999998</v>
      </c>
      <c r="J3610" t="s">
        <v>33</v>
      </c>
      <c r="K3610" t="s">
        <v>4943</v>
      </c>
      <c r="L3610" t="s">
        <v>21</v>
      </c>
      <c r="M3610" t="str">
        <f t="shared" si="168"/>
        <v>OK</v>
      </c>
      <c r="N3610" t="str">
        <f t="shared" si="169"/>
        <v>1960s</v>
      </c>
      <c r="O3610" t="str">
        <f t="shared" si="170"/>
        <v>N/A</v>
      </c>
      <c r="P3610" t="str">
        <f>VLOOKUP(E3610,calculated_fields!$F$4:$G$6,2,FALSE)</f>
        <v>Economy</v>
      </c>
    </row>
    <row r="3611" spans="1:16">
      <c r="A3611" t="s">
        <v>4946</v>
      </c>
      <c r="B3611" t="s">
        <v>4934</v>
      </c>
      <c r="C3611" t="s">
        <v>229</v>
      </c>
      <c r="D3611">
        <v>1967</v>
      </c>
      <c r="E3611" t="s">
        <v>15</v>
      </c>
      <c r="F3611" t="s">
        <v>16</v>
      </c>
      <c r="G3611" t="s">
        <v>17</v>
      </c>
      <c r="H3611" t="s">
        <v>18</v>
      </c>
      <c r="I3611">
        <v>51.445</v>
      </c>
      <c r="J3611" t="s">
        <v>19</v>
      </c>
      <c r="K3611" t="s">
        <v>4947</v>
      </c>
      <c r="L3611" t="s">
        <v>21</v>
      </c>
      <c r="M3611" t="str">
        <f t="shared" si="168"/>
        <v>OK</v>
      </c>
      <c r="N3611" t="str">
        <f t="shared" si="169"/>
        <v>1960s</v>
      </c>
      <c r="O3611" t="str">
        <f t="shared" si="170"/>
        <v>Low</v>
      </c>
      <c r="P3611" t="str">
        <f>VLOOKUP(E3611,calculated_fields!$F$4:$G$6,2,FALSE)</f>
        <v>Health</v>
      </c>
    </row>
    <row r="3612" spans="1:16">
      <c r="A3612" t="s">
        <v>4948</v>
      </c>
      <c r="B3612" t="s">
        <v>4934</v>
      </c>
      <c r="C3612" t="s">
        <v>229</v>
      </c>
      <c r="D3612">
        <v>1967</v>
      </c>
      <c r="E3612" t="s">
        <v>23</v>
      </c>
      <c r="F3612" t="s">
        <v>24</v>
      </c>
      <c r="G3612" t="s">
        <v>25</v>
      </c>
      <c r="H3612" t="s">
        <v>26</v>
      </c>
      <c r="I3612">
        <v>12132200</v>
      </c>
      <c r="J3612" t="s">
        <v>27</v>
      </c>
      <c r="K3612" t="s">
        <v>4947</v>
      </c>
      <c r="L3612" t="s">
        <v>21</v>
      </c>
      <c r="M3612" t="str">
        <f t="shared" si="168"/>
        <v>OK</v>
      </c>
      <c r="N3612" t="str">
        <f t="shared" si="169"/>
        <v>1960s</v>
      </c>
      <c r="O3612" t="str">
        <f t="shared" si="170"/>
        <v>N/A</v>
      </c>
      <c r="P3612" t="str">
        <f>VLOOKUP(E3612,calculated_fields!$F$4:$G$6,2,FALSE)</f>
        <v>Demographics</v>
      </c>
    </row>
    <row r="3613" spans="1:16">
      <c r="A3613" t="s">
        <v>4949</v>
      </c>
      <c r="B3613" t="s">
        <v>4934</v>
      </c>
      <c r="C3613" t="s">
        <v>229</v>
      </c>
      <c r="D3613">
        <v>1967</v>
      </c>
      <c r="E3613" t="s">
        <v>29</v>
      </c>
      <c r="F3613" t="s">
        <v>30</v>
      </c>
      <c r="G3613" t="s">
        <v>31</v>
      </c>
      <c r="H3613" t="s">
        <v>32</v>
      </c>
      <c r="I3613">
        <v>5788.0933299999997</v>
      </c>
      <c r="J3613" t="s">
        <v>33</v>
      </c>
      <c r="K3613" t="s">
        <v>4947</v>
      </c>
      <c r="L3613" t="s">
        <v>21</v>
      </c>
      <c r="M3613" t="str">
        <f t="shared" si="168"/>
        <v>OK</v>
      </c>
      <c r="N3613" t="str">
        <f t="shared" si="169"/>
        <v>1960s</v>
      </c>
      <c r="O3613" t="str">
        <f t="shared" si="170"/>
        <v>N/A</v>
      </c>
      <c r="P3613" t="str">
        <f>VLOOKUP(E3613,calculated_fields!$F$4:$G$6,2,FALSE)</f>
        <v>Economy</v>
      </c>
    </row>
    <row r="3614" spans="1:16">
      <c r="A3614" t="s">
        <v>4950</v>
      </c>
      <c r="B3614" t="s">
        <v>4934</v>
      </c>
      <c r="C3614" t="s">
        <v>229</v>
      </c>
      <c r="D3614">
        <v>1972</v>
      </c>
      <c r="E3614" t="s">
        <v>15</v>
      </c>
      <c r="F3614" t="s">
        <v>16</v>
      </c>
      <c r="G3614" t="s">
        <v>17</v>
      </c>
      <c r="H3614" t="s">
        <v>18</v>
      </c>
      <c r="I3614">
        <v>55.448</v>
      </c>
      <c r="J3614" t="s">
        <v>19</v>
      </c>
      <c r="K3614" t="s">
        <v>4951</v>
      </c>
      <c r="L3614" t="s">
        <v>21</v>
      </c>
      <c r="M3614" t="str">
        <f t="shared" si="168"/>
        <v>OK</v>
      </c>
      <c r="N3614" t="str">
        <f t="shared" si="169"/>
        <v>1970s</v>
      </c>
      <c r="O3614" t="str">
        <f t="shared" si="170"/>
        <v>Medium</v>
      </c>
      <c r="P3614" t="str">
        <f>VLOOKUP(E3614,calculated_fields!$F$4:$G$6,2,FALSE)</f>
        <v>Health</v>
      </c>
    </row>
    <row r="3615" spans="1:16">
      <c r="A3615" t="s">
        <v>4952</v>
      </c>
      <c r="B3615" t="s">
        <v>4934</v>
      </c>
      <c r="C3615" t="s">
        <v>229</v>
      </c>
      <c r="D3615">
        <v>1972</v>
      </c>
      <c r="E3615" t="s">
        <v>23</v>
      </c>
      <c r="F3615" t="s">
        <v>24</v>
      </c>
      <c r="G3615" t="s">
        <v>25</v>
      </c>
      <c r="H3615" t="s">
        <v>26</v>
      </c>
      <c r="I3615">
        <v>13954700</v>
      </c>
      <c r="J3615" t="s">
        <v>27</v>
      </c>
      <c r="K3615" t="s">
        <v>4951</v>
      </c>
      <c r="L3615" t="s">
        <v>21</v>
      </c>
      <c r="M3615" t="str">
        <f t="shared" si="168"/>
        <v>OK</v>
      </c>
      <c r="N3615" t="str">
        <f t="shared" si="169"/>
        <v>1970s</v>
      </c>
      <c r="O3615" t="str">
        <f t="shared" si="170"/>
        <v>N/A</v>
      </c>
      <c r="P3615" t="str">
        <f>VLOOKUP(E3615,calculated_fields!$F$4:$G$6,2,FALSE)</f>
        <v>Demographics</v>
      </c>
    </row>
    <row r="3616" spans="1:16">
      <c r="A3616" t="s">
        <v>4953</v>
      </c>
      <c r="B3616" t="s">
        <v>4934</v>
      </c>
      <c r="C3616" t="s">
        <v>229</v>
      </c>
      <c r="D3616">
        <v>1972</v>
      </c>
      <c r="E3616" t="s">
        <v>29</v>
      </c>
      <c r="F3616" t="s">
        <v>30</v>
      </c>
      <c r="G3616" t="s">
        <v>31</v>
      </c>
      <c r="H3616" t="s">
        <v>32</v>
      </c>
      <c r="I3616">
        <v>5937.8272829999996</v>
      </c>
      <c r="J3616" t="s">
        <v>33</v>
      </c>
      <c r="K3616" t="s">
        <v>4951</v>
      </c>
      <c r="L3616" t="s">
        <v>21</v>
      </c>
      <c r="M3616" t="str">
        <f t="shared" si="168"/>
        <v>OK</v>
      </c>
      <c r="N3616" t="str">
        <f t="shared" si="169"/>
        <v>1970s</v>
      </c>
      <c r="O3616" t="str">
        <f t="shared" si="170"/>
        <v>N/A</v>
      </c>
      <c r="P3616" t="str">
        <f>VLOOKUP(E3616,calculated_fields!$F$4:$G$6,2,FALSE)</f>
        <v>Economy</v>
      </c>
    </row>
    <row r="3617" spans="1:16">
      <c r="A3617" t="s">
        <v>4954</v>
      </c>
      <c r="B3617" t="s">
        <v>4934</v>
      </c>
      <c r="C3617" t="s">
        <v>229</v>
      </c>
      <c r="D3617">
        <v>1977</v>
      </c>
      <c r="E3617" t="s">
        <v>15</v>
      </c>
      <c r="F3617" t="s">
        <v>16</v>
      </c>
      <c r="G3617" t="s">
        <v>17</v>
      </c>
      <c r="H3617" t="s">
        <v>18</v>
      </c>
      <c r="I3617">
        <v>58.447000000000003</v>
      </c>
      <c r="J3617" t="s">
        <v>19</v>
      </c>
      <c r="K3617" t="s">
        <v>4955</v>
      </c>
      <c r="L3617" t="s">
        <v>21</v>
      </c>
      <c r="M3617" t="str">
        <f t="shared" si="168"/>
        <v>OK</v>
      </c>
      <c r="N3617" t="str">
        <f t="shared" si="169"/>
        <v>1970s</v>
      </c>
      <c r="O3617" t="str">
        <f t="shared" si="170"/>
        <v>Medium</v>
      </c>
      <c r="P3617" t="str">
        <f>VLOOKUP(E3617,calculated_fields!$F$4:$G$6,2,FALSE)</f>
        <v>Health</v>
      </c>
    </row>
    <row r="3618" spans="1:16">
      <c r="A3618" t="s">
        <v>4956</v>
      </c>
      <c r="B3618" t="s">
        <v>4934</v>
      </c>
      <c r="C3618" t="s">
        <v>229</v>
      </c>
      <c r="D3618">
        <v>1977</v>
      </c>
      <c r="E3618" t="s">
        <v>23</v>
      </c>
      <c r="F3618" t="s">
        <v>24</v>
      </c>
      <c r="G3618" t="s">
        <v>25</v>
      </c>
      <c r="H3618" t="s">
        <v>26</v>
      </c>
      <c r="I3618">
        <v>15990099</v>
      </c>
      <c r="J3618" t="s">
        <v>27</v>
      </c>
      <c r="K3618" t="s">
        <v>4955</v>
      </c>
      <c r="L3618" t="s">
        <v>21</v>
      </c>
      <c r="M3618" t="str">
        <f t="shared" si="168"/>
        <v>OK</v>
      </c>
      <c r="N3618" t="str">
        <f t="shared" si="169"/>
        <v>1970s</v>
      </c>
      <c r="O3618" t="str">
        <f t="shared" si="170"/>
        <v>N/A</v>
      </c>
      <c r="P3618" t="str">
        <f>VLOOKUP(E3618,calculated_fields!$F$4:$G$6,2,FALSE)</f>
        <v>Demographics</v>
      </c>
    </row>
    <row r="3619" spans="1:16">
      <c r="A3619" t="s">
        <v>4957</v>
      </c>
      <c r="B3619" t="s">
        <v>4934</v>
      </c>
      <c r="C3619" t="s">
        <v>229</v>
      </c>
      <c r="D3619">
        <v>1977</v>
      </c>
      <c r="E3619" t="s">
        <v>29</v>
      </c>
      <c r="F3619" t="s">
        <v>30</v>
      </c>
      <c r="G3619" t="s">
        <v>31</v>
      </c>
      <c r="H3619" t="s">
        <v>32</v>
      </c>
      <c r="I3619">
        <v>6281.2908549999902</v>
      </c>
      <c r="J3619" t="s">
        <v>33</v>
      </c>
      <c r="K3619" t="s">
        <v>4955</v>
      </c>
      <c r="L3619" t="s">
        <v>21</v>
      </c>
      <c r="M3619" t="str">
        <f t="shared" si="168"/>
        <v>OK</v>
      </c>
      <c r="N3619" t="str">
        <f t="shared" si="169"/>
        <v>1970s</v>
      </c>
      <c r="O3619" t="str">
        <f t="shared" si="170"/>
        <v>N/A</v>
      </c>
      <c r="P3619" t="str">
        <f>VLOOKUP(E3619,calculated_fields!$F$4:$G$6,2,FALSE)</f>
        <v>Economy</v>
      </c>
    </row>
    <row r="3620" spans="1:16">
      <c r="A3620" t="s">
        <v>4958</v>
      </c>
      <c r="B3620" t="s">
        <v>4934</v>
      </c>
      <c r="C3620" t="s">
        <v>229</v>
      </c>
      <c r="D3620">
        <v>1982</v>
      </c>
      <c r="E3620" t="s">
        <v>15</v>
      </c>
      <c r="F3620" t="s">
        <v>16</v>
      </c>
      <c r="G3620" t="s">
        <v>17</v>
      </c>
      <c r="H3620" t="s">
        <v>18</v>
      </c>
      <c r="I3620">
        <v>61.405999999999999</v>
      </c>
      <c r="J3620" t="s">
        <v>19</v>
      </c>
      <c r="K3620" t="s">
        <v>4959</v>
      </c>
      <c r="L3620" t="s">
        <v>21</v>
      </c>
      <c r="M3620" t="str">
        <f t="shared" si="168"/>
        <v>OK</v>
      </c>
      <c r="N3620" t="str">
        <f t="shared" si="169"/>
        <v>1980s</v>
      </c>
      <c r="O3620" t="str">
        <f t="shared" si="170"/>
        <v>Medium</v>
      </c>
      <c r="P3620" t="str">
        <f>VLOOKUP(E3620,calculated_fields!$F$4:$G$6,2,FALSE)</f>
        <v>Health</v>
      </c>
    </row>
    <row r="3621" spans="1:16">
      <c r="A3621" t="s">
        <v>4960</v>
      </c>
      <c r="B3621" t="s">
        <v>4934</v>
      </c>
      <c r="C3621" t="s">
        <v>229</v>
      </c>
      <c r="D3621">
        <v>1982</v>
      </c>
      <c r="E3621" t="s">
        <v>23</v>
      </c>
      <c r="F3621" t="s">
        <v>24</v>
      </c>
      <c r="G3621" t="s">
        <v>25</v>
      </c>
      <c r="H3621" t="s">
        <v>26</v>
      </c>
      <c r="I3621">
        <v>18125129</v>
      </c>
      <c r="J3621" t="s">
        <v>27</v>
      </c>
      <c r="K3621" t="s">
        <v>4959</v>
      </c>
      <c r="L3621" t="s">
        <v>21</v>
      </c>
      <c r="M3621" t="str">
        <f t="shared" si="168"/>
        <v>OK</v>
      </c>
      <c r="N3621" t="str">
        <f t="shared" si="169"/>
        <v>1980s</v>
      </c>
      <c r="O3621" t="str">
        <f t="shared" si="170"/>
        <v>N/A</v>
      </c>
      <c r="P3621" t="str">
        <f>VLOOKUP(E3621,calculated_fields!$F$4:$G$6,2,FALSE)</f>
        <v>Demographics</v>
      </c>
    </row>
    <row r="3622" spans="1:16">
      <c r="A3622" t="s">
        <v>4961</v>
      </c>
      <c r="B3622" t="s">
        <v>4934</v>
      </c>
      <c r="C3622" t="s">
        <v>229</v>
      </c>
      <c r="D3622">
        <v>1982</v>
      </c>
      <c r="E3622" t="s">
        <v>29</v>
      </c>
      <c r="F3622" t="s">
        <v>30</v>
      </c>
      <c r="G3622" t="s">
        <v>31</v>
      </c>
      <c r="H3622" t="s">
        <v>32</v>
      </c>
      <c r="I3622">
        <v>6434.5017969999999</v>
      </c>
      <c r="J3622" t="s">
        <v>33</v>
      </c>
      <c r="K3622" t="s">
        <v>4959</v>
      </c>
      <c r="L3622" t="s">
        <v>21</v>
      </c>
      <c r="M3622" t="str">
        <f t="shared" si="168"/>
        <v>OK</v>
      </c>
      <c r="N3622" t="str">
        <f t="shared" si="169"/>
        <v>1980s</v>
      </c>
      <c r="O3622" t="str">
        <f t="shared" si="170"/>
        <v>N/A</v>
      </c>
      <c r="P3622" t="str">
        <f>VLOOKUP(E3622,calculated_fields!$F$4:$G$6,2,FALSE)</f>
        <v>Economy</v>
      </c>
    </row>
    <row r="3623" spans="1:16">
      <c r="A3623" t="s">
        <v>4962</v>
      </c>
      <c r="B3623" t="s">
        <v>4934</v>
      </c>
      <c r="C3623" t="s">
        <v>229</v>
      </c>
      <c r="D3623">
        <v>1987</v>
      </c>
      <c r="E3623" t="s">
        <v>15</v>
      </c>
      <c r="F3623" t="s">
        <v>16</v>
      </c>
      <c r="G3623" t="s">
        <v>17</v>
      </c>
      <c r="H3623" t="s">
        <v>18</v>
      </c>
      <c r="I3623">
        <v>64.134</v>
      </c>
      <c r="J3623" t="s">
        <v>19</v>
      </c>
      <c r="K3623" t="s">
        <v>4963</v>
      </c>
      <c r="L3623" t="s">
        <v>21</v>
      </c>
      <c r="M3623" t="str">
        <f t="shared" si="168"/>
        <v>OK</v>
      </c>
      <c r="N3623" t="str">
        <f t="shared" si="169"/>
        <v>1980s</v>
      </c>
      <c r="O3623" t="str">
        <f t="shared" si="170"/>
        <v>Medium</v>
      </c>
      <c r="P3623" t="str">
        <f>VLOOKUP(E3623,calculated_fields!$F$4:$G$6,2,FALSE)</f>
        <v>Health</v>
      </c>
    </row>
    <row r="3624" spans="1:16">
      <c r="A3624" t="s">
        <v>4964</v>
      </c>
      <c r="B3624" t="s">
        <v>4934</v>
      </c>
      <c r="C3624" t="s">
        <v>229</v>
      </c>
      <c r="D3624">
        <v>1987</v>
      </c>
      <c r="E3624" t="s">
        <v>23</v>
      </c>
      <c r="F3624" t="s">
        <v>24</v>
      </c>
      <c r="G3624" t="s">
        <v>25</v>
      </c>
      <c r="H3624" t="s">
        <v>26</v>
      </c>
      <c r="I3624">
        <v>20195924</v>
      </c>
      <c r="J3624" t="s">
        <v>27</v>
      </c>
      <c r="K3624" t="s">
        <v>4963</v>
      </c>
      <c r="L3624" t="s">
        <v>21</v>
      </c>
      <c r="M3624" t="str">
        <f t="shared" si="168"/>
        <v>OK</v>
      </c>
      <c r="N3624" t="str">
        <f t="shared" si="169"/>
        <v>1980s</v>
      </c>
      <c r="O3624" t="str">
        <f t="shared" si="170"/>
        <v>N/A</v>
      </c>
      <c r="P3624" t="str">
        <f>VLOOKUP(E3624,calculated_fields!$F$4:$G$6,2,FALSE)</f>
        <v>Demographics</v>
      </c>
    </row>
    <row r="3625" spans="1:16">
      <c r="A3625" t="s">
        <v>4965</v>
      </c>
      <c r="B3625" t="s">
        <v>4934</v>
      </c>
      <c r="C3625" t="s">
        <v>229</v>
      </c>
      <c r="D3625">
        <v>1987</v>
      </c>
      <c r="E3625" t="s">
        <v>29</v>
      </c>
      <c r="F3625" t="s">
        <v>30</v>
      </c>
      <c r="G3625" t="s">
        <v>31</v>
      </c>
      <c r="H3625" t="s">
        <v>32</v>
      </c>
      <c r="I3625">
        <v>6360.9434440000005</v>
      </c>
      <c r="J3625" t="s">
        <v>33</v>
      </c>
      <c r="K3625" t="s">
        <v>4963</v>
      </c>
      <c r="L3625" t="s">
        <v>21</v>
      </c>
      <c r="M3625" t="str">
        <f t="shared" si="168"/>
        <v>OK</v>
      </c>
      <c r="N3625" t="str">
        <f t="shared" si="169"/>
        <v>1980s</v>
      </c>
      <c r="O3625" t="str">
        <f t="shared" si="170"/>
        <v>N/A</v>
      </c>
      <c r="P3625" t="str">
        <f>VLOOKUP(E3625,calculated_fields!$F$4:$G$6,2,FALSE)</f>
        <v>Economy</v>
      </c>
    </row>
    <row r="3626" spans="1:16">
      <c r="A3626" t="s">
        <v>4966</v>
      </c>
      <c r="B3626" t="s">
        <v>4934</v>
      </c>
      <c r="C3626" t="s">
        <v>229</v>
      </c>
      <c r="D3626">
        <v>1992</v>
      </c>
      <c r="E3626" t="s">
        <v>15</v>
      </c>
      <c r="F3626" t="s">
        <v>16</v>
      </c>
      <c r="G3626" t="s">
        <v>17</v>
      </c>
      <c r="H3626" t="s">
        <v>18</v>
      </c>
      <c r="I3626">
        <v>66.457999999999998</v>
      </c>
      <c r="J3626" t="s">
        <v>19</v>
      </c>
      <c r="K3626" t="s">
        <v>4967</v>
      </c>
      <c r="L3626" t="s">
        <v>21</v>
      </c>
      <c r="M3626" t="str">
        <f t="shared" si="168"/>
        <v>OK</v>
      </c>
      <c r="N3626" t="str">
        <f t="shared" si="169"/>
        <v>1990s</v>
      </c>
      <c r="O3626" t="str">
        <f t="shared" si="170"/>
        <v>Medium</v>
      </c>
      <c r="P3626" t="str">
        <f>VLOOKUP(E3626,calculated_fields!$F$4:$G$6,2,FALSE)</f>
        <v>Health</v>
      </c>
    </row>
    <row r="3627" spans="1:16">
      <c r="A3627" t="s">
        <v>4968</v>
      </c>
      <c r="B3627" t="s">
        <v>4934</v>
      </c>
      <c r="C3627" t="s">
        <v>229</v>
      </c>
      <c r="D3627">
        <v>1992</v>
      </c>
      <c r="E3627" t="s">
        <v>23</v>
      </c>
      <c r="F3627" t="s">
        <v>24</v>
      </c>
      <c r="G3627" t="s">
        <v>25</v>
      </c>
      <c r="H3627" t="s">
        <v>26</v>
      </c>
      <c r="I3627">
        <v>22430449</v>
      </c>
      <c r="J3627" t="s">
        <v>27</v>
      </c>
      <c r="K3627" t="s">
        <v>4967</v>
      </c>
      <c r="L3627" t="s">
        <v>21</v>
      </c>
      <c r="M3627" t="str">
        <f t="shared" si="168"/>
        <v>OK</v>
      </c>
      <c r="N3627" t="str">
        <f t="shared" si="169"/>
        <v>1990s</v>
      </c>
      <c r="O3627" t="str">
        <f t="shared" si="170"/>
        <v>N/A</v>
      </c>
      <c r="P3627" t="str">
        <f>VLOOKUP(E3627,calculated_fields!$F$4:$G$6,2,FALSE)</f>
        <v>Demographics</v>
      </c>
    </row>
    <row r="3628" spans="1:16">
      <c r="A3628" t="s">
        <v>4969</v>
      </c>
      <c r="B3628" t="s">
        <v>4934</v>
      </c>
      <c r="C3628" t="s">
        <v>229</v>
      </c>
      <c r="D3628">
        <v>1992</v>
      </c>
      <c r="E3628" t="s">
        <v>29</v>
      </c>
      <c r="F3628" t="s">
        <v>30</v>
      </c>
      <c r="G3628" t="s">
        <v>31</v>
      </c>
      <c r="H3628" t="s">
        <v>32</v>
      </c>
      <c r="I3628">
        <v>4446.3809240000001</v>
      </c>
      <c r="J3628" t="s">
        <v>33</v>
      </c>
      <c r="K3628" t="s">
        <v>4967</v>
      </c>
      <c r="L3628" t="s">
        <v>21</v>
      </c>
      <c r="M3628" t="str">
        <f t="shared" si="168"/>
        <v>OK</v>
      </c>
      <c r="N3628" t="str">
        <f t="shared" si="169"/>
        <v>1990s</v>
      </c>
      <c r="O3628" t="str">
        <f t="shared" si="170"/>
        <v>N/A</v>
      </c>
      <c r="P3628" t="str">
        <f>VLOOKUP(E3628,calculated_fields!$F$4:$G$6,2,FALSE)</f>
        <v>Economy</v>
      </c>
    </row>
    <row r="3629" spans="1:16">
      <c r="A3629" t="s">
        <v>4970</v>
      </c>
      <c r="B3629" t="s">
        <v>4934</v>
      </c>
      <c r="C3629" t="s">
        <v>229</v>
      </c>
      <c r="D3629">
        <v>1997</v>
      </c>
      <c r="E3629" t="s">
        <v>15</v>
      </c>
      <c r="F3629" t="s">
        <v>16</v>
      </c>
      <c r="G3629" t="s">
        <v>17</v>
      </c>
      <c r="H3629" t="s">
        <v>18</v>
      </c>
      <c r="I3629">
        <v>68.385999999999996</v>
      </c>
      <c r="J3629" t="s">
        <v>19</v>
      </c>
      <c r="K3629" t="s">
        <v>4971</v>
      </c>
      <c r="L3629" t="s">
        <v>21</v>
      </c>
      <c r="M3629" t="str">
        <f t="shared" si="168"/>
        <v>OK</v>
      </c>
      <c r="N3629" t="str">
        <f t="shared" si="169"/>
        <v>1990s</v>
      </c>
      <c r="O3629" t="str">
        <f t="shared" si="170"/>
        <v>Medium</v>
      </c>
      <c r="P3629" t="str">
        <f>VLOOKUP(E3629,calculated_fields!$F$4:$G$6,2,FALSE)</f>
        <v>Health</v>
      </c>
    </row>
    <row r="3630" spans="1:16">
      <c r="A3630" t="s">
        <v>4972</v>
      </c>
      <c r="B3630" t="s">
        <v>4934</v>
      </c>
      <c r="C3630" t="s">
        <v>229</v>
      </c>
      <c r="D3630">
        <v>1997</v>
      </c>
      <c r="E3630" t="s">
        <v>23</v>
      </c>
      <c r="F3630" t="s">
        <v>24</v>
      </c>
      <c r="G3630" t="s">
        <v>25</v>
      </c>
      <c r="H3630" t="s">
        <v>26</v>
      </c>
      <c r="I3630">
        <v>24748122</v>
      </c>
      <c r="J3630" t="s">
        <v>27</v>
      </c>
      <c r="K3630" t="s">
        <v>4971</v>
      </c>
      <c r="L3630" t="s">
        <v>21</v>
      </c>
      <c r="M3630" t="str">
        <f t="shared" si="168"/>
        <v>OK</v>
      </c>
      <c r="N3630" t="str">
        <f t="shared" si="169"/>
        <v>1990s</v>
      </c>
      <c r="O3630" t="str">
        <f t="shared" si="170"/>
        <v>N/A</v>
      </c>
      <c r="P3630" t="str">
        <f>VLOOKUP(E3630,calculated_fields!$F$4:$G$6,2,FALSE)</f>
        <v>Demographics</v>
      </c>
    </row>
    <row r="3631" spans="1:16">
      <c r="A3631" t="s">
        <v>4973</v>
      </c>
      <c r="B3631" t="s">
        <v>4934</v>
      </c>
      <c r="C3631" t="s">
        <v>229</v>
      </c>
      <c r="D3631">
        <v>1997</v>
      </c>
      <c r="E3631" t="s">
        <v>29</v>
      </c>
      <c r="F3631" t="s">
        <v>30</v>
      </c>
      <c r="G3631" t="s">
        <v>31</v>
      </c>
      <c r="H3631" t="s">
        <v>32</v>
      </c>
      <c r="I3631">
        <v>5838.3476570000003</v>
      </c>
      <c r="J3631" t="s">
        <v>33</v>
      </c>
      <c r="K3631" t="s">
        <v>4971</v>
      </c>
      <c r="L3631" t="s">
        <v>21</v>
      </c>
      <c r="M3631" t="str">
        <f t="shared" si="168"/>
        <v>OK</v>
      </c>
      <c r="N3631" t="str">
        <f t="shared" si="169"/>
        <v>1990s</v>
      </c>
      <c r="O3631" t="str">
        <f t="shared" si="170"/>
        <v>N/A</v>
      </c>
      <c r="P3631" t="str">
        <f>VLOOKUP(E3631,calculated_fields!$F$4:$G$6,2,FALSE)</f>
        <v>Economy</v>
      </c>
    </row>
    <row r="3632" spans="1:16">
      <c r="A3632" t="s">
        <v>4974</v>
      </c>
      <c r="B3632" t="s">
        <v>4934</v>
      </c>
      <c r="C3632" t="s">
        <v>229</v>
      </c>
      <c r="D3632">
        <v>2002</v>
      </c>
      <c r="E3632" t="s">
        <v>15</v>
      </c>
      <c r="F3632" t="s">
        <v>16</v>
      </c>
      <c r="G3632" t="s">
        <v>17</v>
      </c>
      <c r="H3632" t="s">
        <v>18</v>
      </c>
      <c r="I3632">
        <v>69.906000000000006</v>
      </c>
      <c r="J3632" t="s">
        <v>19</v>
      </c>
      <c r="K3632" t="s">
        <v>4975</v>
      </c>
      <c r="L3632" t="s">
        <v>21</v>
      </c>
      <c r="M3632" t="str">
        <f t="shared" si="168"/>
        <v>OK</v>
      </c>
      <c r="N3632" t="str">
        <f t="shared" si="169"/>
        <v>2000s</v>
      </c>
      <c r="O3632" t="str">
        <f t="shared" si="170"/>
        <v>Medium</v>
      </c>
      <c r="P3632" t="str">
        <f>VLOOKUP(E3632,calculated_fields!$F$4:$G$6,2,FALSE)</f>
        <v>Health</v>
      </c>
    </row>
    <row r="3633" spans="1:16">
      <c r="A3633" t="s">
        <v>4976</v>
      </c>
      <c r="B3633" t="s">
        <v>4934</v>
      </c>
      <c r="C3633" t="s">
        <v>229</v>
      </c>
      <c r="D3633">
        <v>2002</v>
      </c>
      <c r="E3633" t="s">
        <v>23</v>
      </c>
      <c r="F3633" t="s">
        <v>24</v>
      </c>
      <c r="G3633" t="s">
        <v>25</v>
      </c>
      <c r="H3633" t="s">
        <v>26</v>
      </c>
      <c r="I3633">
        <v>26769436</v>
      </c>
      <c r="J3633" t="s">
        <v>27</v>
      </c>
      <c r="K3633" t="s">
        <v>4975</v>
      </c>
      <c r="L3633" t="s">
        <v>21</v>
      </c>
      <c r="M3633" t="str">
        <f t="shared" si="168"/>
        <v>OK</v>
      </c>
      <c r="N3633" t="str">
        <f t="shared" si="169"/>
        <v>2000s</v>
      </c>
      <c r="O3633" t="str">
        <f t="shared" si="170"/>
        <v>N/A</v>
      </c>
      <c r="P3633" t="str">
        <f>VLOOKUP(E3633,calculated_fields!$F$4:$G$6,2,FALSE)</f>
        <v>Demographics</v>
      </c>
    </row>
    <row r="3634" spans="1:16">
      <c r="A3634" t="s">
        <v>4977</v>
      </c>
      <c r="B3634" t="s">
        <v>4934</v>
      </c>
      <c r="C3634" t="s">
        <v>229</v>
      </c>
      <c r="D3634">
        <v>2002</v>
      </c>
      <c r="E3634" t="s">
        <v>29</v>
      </c>
      <c r="F3634" t="s">
        <v>30</v>
      </c>
      <c r="G3634" t="s">
        <v>31</v>
      </c>
      <c r="H3634" t="s">
        <v>32</v>
      </c>
      <c r="I3634">
        <v>5909.0200729999997</v>
      </c>
      <c r="J3634" t="s">
        <v>33</v>
      </c>
      <c r="K3634" t="s">
        <v>4975</v>
      </c>
      <c r="L3634" t="s">
        <v>21</v>
      </c>
      <c r="M3634" t="str">
        <f t="shared" si="168"/>
        <v>OK</v>
      </c>
      <c r="N3634" t="str">
        <f t="shared" si="169"/>
        <v>2000s</v>
      </c>
      <c r="O3634" t="str">
        <f t="shared" si="170"/>
        <v>N/A</v>
      </c>
      <c r="P3634" t="str">
        <f>VLOOKUP(E3634,calculated_fields!$F$4:$G$6,2,FALSE)</f>
        <v>Economy</v>
      </c>
    </row>
    <row r="3635" spans="1:16">
      <c r="A3635" t="s">
        <v>4978</v>
      </c>
      <c r="B3635" t="s">
        <v>4934</v>
      </c>
      <c r="C3635" t="s">
        <v>229</v>
      </c>
      <c r="D3635">
        <v>2007</v>
      </c>
      <c r="E3635" t="s">
        <v>15</v>
      </c>
      <c r="F3635" t="s">
        <v>16</v>
      </c>
      <c r="G3635" t="s">
        <v>17</v>
      </c>
      <c r="H3635" t="s">
        <v>18</v>
      </c>
      <c r="I3635">
        <v>71.421000000000006</v>
      </c>
      <c r="J3635" t="s">
        <v>19</v>
      </c>
      <c r="K3635" t="s">
        <v>4979</v>
      </c>
      <c r="L3635" t="s">
        <v>21</v>
      </c>
      <c r="M3635" t="str">
        <f t="shared" si="168"/>
        <v>OK</v>
      </c>
      <c r="N3635" t="str">
        <f t="shared" si="169"/>
        <v>2000s</v>
      </c>
      <c r="O3635" t="str">
        <f t="shared" si="170"/>
        <v>High</v>
      </c>
      <c r="P3635" t="str">
        <f>VLOOKUP(E3635,calculated_fields!$F$4:$G$6,2,FALSE)</f>
        <v>Health</v>
      </c>
    </row>
    <row r="3636" spans="1:16">
      <c r="A3636" t="s">
        <v>4980</v>
      </c>
      <c r="B3636" t="s">
        <v>4934</v>
      </c>
      <c r="C3636" t="s">
        <v>229</v>
      </c>
      <c r="D3636">
        <v>2007</v>
      </c>
      <c r="E3636" t="s">
        <v>23</v>
      </c>
      <c r="F3636" t="s">
        <v>24</v>
      </c>
      <c r="G3636" t="s">
        <v>25</v>
      </c>
      <c r="H3636" t="s">
        <v>26</v>
      </c>
      <c r="I3636">
        <v>28674757</v>
      </c>
      <c r="J3636" t="s">
        <v>27</v>
      </c>
      <c r="K3636" t="s">
        <v>4979</v>
      </c>
      <c r="L3636" t="s">
        <v>21</v>
      </c>
      <c r="M3636" t="str">
        <f t="shared" si="168"/>
        <v>OK</v>
      </c>
      <c r="N3636" t="str">
        <f t="shared" si="169"/>
        <v>2000s</v>
      </c>
      <c r="O3636" t="str">
        <f t="shared" si="170"/>
        <v>N/A</v>
      </c>
      <c r="P3636" t="str">
        <f>VLOOKUP(E3636,calculated_fields!$F$4:$G$6,2,FALSE)</f>
        <v>Demographics</v>
      </c>
    </row>
    <row r="3637" spans="1:16">
      <c r="A3637" t="s">
        <v>4981</v>
      </c>
      <c r="B3637" t="s">
        <v>4934</v>
      </c>
      <c r="C3637" t="s">
        <v>229</v>
      </c>
      <c r="D3637">
        <v>2007</v>
      </c>
      <c r="E3637" t="s">
        <v>29</v>
      </c>
      <c r="F3637" t="s">
        <v>30</v>
      </c>
      <c r="G3637" t="s">
        <v>31</v>
      </c>
      <c r="H3637" t="s">
        <v>32</v>
      </c>
      <c r="I3637">
        <v>7408.9055609999996</v>
      </c>
      <c r="J3637" t="s">
        <v>33</v>
      </c>
      <c r="K3637" t="s">
        <v>4979</v>
      </c>
      <c r="L3637" t="s">
        <v>21</v>
      </c>
      <c r="M3637" t="str">
        <f t="shared" si="168"/>
        <v>OK</v>
      </c>
      <c r="N3637" t="str">
        <f t="shared" si="169"/>
        <v>2000s</v>
      </c>
      <c r="O3637" t="str">
        <f t="shared" si="170"/>
        <v>N/A</v>
      </c>
      <c r="P3637" t="str">
        <f>VLOOKUP(E3637,calculated_fields!$F$4:$G$6,2,FALSE)</f>
        <v>Economy</v>
      </c>
    </row>
    <row r="3638" spans="1:16">
      <c r="A3638" t="s">
        <v>4982</v>
      </c>
      <c r="B3638" t="s">
        <v>4983</v>
      </c>
      <c r="C3638" t="s">
        <v>14</v>
      </c>
      <c r="D3638">
        <v>1952</v>
      </c>
      <c r="E3638" t="s">
        <v>15</v>
      </c>
      <c r="F3638" t="s">
        <v>16</v>
      </c>
      <c r="G3638" t="s">
        <v>17</v>
      </c>
      <c r="H3638" t="s">
        <v>18</v>
      </c>
      <c r="I3638">
        <v>47.752000000000002</v>
      </c>
      <c r="J3638" t="s">
        <v>19</v>
      </c>
      <c r="K3638" t="s">
        <v>4984</v>
      </c>
      <c r="L3638" t="s">
        <v>21</v>
      </c>
      <c r="M3638" t="str">
        <f t="shared" si="168"/>
        <v>OK</v>
      </c>
      <c r="N3638" t="str">
        <f t="shared" si="169"/>
        <v>1950s</v>
      </c>
      <c r="O3638" t="str">
        <f t="shared" si="170"/>
        <v>Low</v>
      </c>
      <c r="P3638" t="str">
        <f>VLOOKUP(E3638,calculated_fields!$F$4:$G$6,2,FALSE)</f>
        <v>Health</v>
      </c>
    </row>
    <row r="3639" spans="1:16">
      <c r="A3639" t="s">
        <v>4985</v>
      </c>
      <c r="B3639" t="s">
        <v>4983</v>
      </c>
      <c r="C3639" t="s">
        <v>14</v>
      </c>
      <c r="D3639">
        <v>1952</v>
      </c>
      <c r="E3639" t="s">
        <v>23</v>
      </c>
      <c r="F3639" t="s">
        <v>24</v>
      </c>
      <c r="G3639" t="s">
        <v>25</v>
      </c>
      <c r="H3639" t="s">
        <v>26</v>
      </c>
      <c r="I3639">
        <v>22438691</v>
      </c>
      <c r="J3639" t="s">
        <v>27</v>
      </c>
      <c r="K3639" t="s">
        <v>4984</v>
      </c>
      <c r="L3639" t="s">
        <v>21</v>
      </c>
      <c r="M3639" t="str">
        <f t="shared" si="168"/>
        <v>OK</v>
      </c>
      <c r="N3639" t="str">
        <f t="shared" si="169"/>
        <v>1950s</v>
      </c>
      <c r="O3639" t="str">
        <f t="shared" si="170"/>
        <v>N/A</v>
      </c>
      <c r="P3639" t="str">
        <f>VLOOKUP(E3639,calculated_fields!$F$4:$G$6,2,FALSE)</f>
        <v>Demographics</v>
      </c>
    </row>
    <row r="3640" spans="1:16">
      <c r="A3640" t="s">
        <v>4986</v>
      </c>
      <c r="B3640" t="s">
        <v>4983</v>
      </c>
      <c r="C3640" t="s">
        <v>14</v>
      </c>
      <c r="D3640">
        <v>1952</v>
      </c>
      <c r="E3640" t="s">
        <v>29</v>
      </c>
      <c r="F3640" t="s">
        <v>30</v>
      </c>
      <c r="G3640" t="s">
        <v>31</v>
      </c>
      <c r="H3640" t="s">
        <v>32</v>
      </c>
      <c r="I3640">
        <v>1272.880995</v>
      </c>
      <c r="J3640" t="s">
        <v>33</v>
      </c>
      <c r="K3640" t="s">
        <v>4984</v>
      </c>
      <c r="L3640" t="s">
        <v>21</v>
      </c>
      <c r="M3640" t="str">
        <f t="shared" si="168"/>
        <v>OK</v>
      </c>
      <c r="N3640" t="str">
        <f t="shared" si="169"/>
        <v>1950s</v>
      </c>
      <c r="O3640" t="str">
        <f t="shared" si="170"/>
        <v>N/A</v>
      </c>
      <c r="P3640" t="str">
        <f>VLOOKUP(E3640,calculated_fields!$F$4:$G$6,2,FALSE)</f>
        <v>Economy</v>
      </c>
    </row>
    <row r="3641" spans="1:16">
      <c r="A3641" t="s">
        <v>4987</v>
      </c>
      <c r="B3641" t="s">
        <v>4983</v>
      </c>
      <c r="C3641" t="s">
        <v>14</v>
      </c>
      <c r="D3641">
        <v>1957</v>
      </c>
      <c r="E3641" t="s">
        <v>15</v>
      </c>
      <c r="F3641" t="s">
        <v>16</v>
      </c>
      <c r="G3641" t="s">
        <v>17</v>
      </c>
      <c r="H3641" t="s">
        <v>18</v>
      </c>
      <c r="I3641">
        <v>51.334000000000003</v>
      </c>
      <c r="J3641" t="s">
        <v>19</v>
      </c>
      <c r="K3641" t="s">
        <v>4988</v>
      </c>
      <c r="L3641" t="s">
        <v>21</v>
      </c>
      <c r="M3641" t="str">
        <f t="shared" si="168"/>
        <v>OK</v>
      </c>
      <c r="N3641" t="str">
        <f t="shared" si="169"/>
        <v>1950s</v>
      </c>
      <c r="O3641" t="str">
        <f t="shared" si="170"/>
        <v>Low</v>
      </c>
      <c r="P3641" t="str">
        <f>VLOOKUP(E3641,calculated_fields!$F$4:$G$6,2,FALSE)</f>
        <v>Health</v>
      </c>
    </row>
    <row r="3642" spans="1:16">
      <c r="A3642" t="s">
        <v>4989</v>
      </c>
      <c r="B3642" t="s">
        <v>4983</v>
      </c>
      <c r="C3642" t="s">
        <v>14</v>
      </c>
      <c r="D3642">
        <v>1957</v>
      </c>
      <c r="E3642" t="s">
        <v>23</v>
      </c>
      <c r="F3642" t="s">
        <v>24</v>
      </c>
      <c r="G3642" t="s">
        <v>25</v>
      </c>
      <c r="H3642" t="s">
        <v>26</v>
      </c>
      <c r="I3642">
        <v>26072194</v>
      </c>
      <c r="J3642" t="s">
        <v>27</v>
      </c>
      <c r="K3642" t="s">
        <v>4988</v>
      </c>
      <c r="L3642" t="s">
        <v>21</v>
      </c>
      <c r="M3642" t="str">
        <f t="shared" si="168"/>
        <v>OK</v>
      </c>
      <c r="N3642" t="str">
        <f t="shared" si="169"/>
        <v>1950s</v>
      </c>
      <c r="O3642" t="str">
        <f t="shared" si="170"/>
        <v>N/A</v>
      </c>
      <c r="P3642" t="str">
        <f>VLOOKUP(E3642,calculated_fields!$F$4:$G$6,2,FALSE)</f>
        <v>Demographics</v>
      </c>
    </row>
    <row r="3643" spans="1:16">
      <c r="A3643" t="s">
        <v>4990</v>
      </c>
      <c r="B3643" t="s">
        <v>4983</v>
      </c>
      <c r="C3643" t="s">
        <v>14</v>
      </c>
      <c r="D3643">
        <v>1957</v>
      </c>
      <c r="E3643" t="s">
        <v>29</v>
      </c>
      <c r="F3643" t="s">
        <v>30</v>
      </c>
      <c r="G3643" t="s">
        <v>31</v>
      </c>
      <c r="H3643" t="s">
        <v>32</v>
      </c>
      <c r="I3643">
        <v>1547.9448440000001</v>
      </c>
      <c r="J3643" t="s">
        <v>33</v>
      </c>
      <c r="K3643" t="s">
        <v>4988</v>
      </c>
      <c r="L3643" t="s">
        <v>21</v>
      </c>
      <c r="M3643" t="str">
        <f t="shared" si="168"/>
        <v>OK</v>
      </c>
      <c r="N3643" t="str">
        <f t="shared" si="169"/>
        <v>1950s</v>
      </c>
      <c r="O3643" t="str">
        <f t="shared" si="170"/>
        <v>N/A</v>
      </c>
      <c r="P3643" t="str">
        <f>VLOOKUP(E3643,calculated_fields!$F$4:$G$6,2,FALSE)</f>
        <v>Economy</v>
      </c>
    </row>
    <row r="3644" spans="1:16">
      <c r="A3644" t="s">
        <v>4991</v>
      </c>
      <c r="B3644" t="s">
        <v>4983</v>
      </c>
      <c r="C3644" t="s">
        <v>14</v>
      </c>
      <c r="D3644">
        <v>1962</v>
      </c>
      <c r="E3644" t="s">
        <v>15</v>
      </c>
      <c r="F3644" t="s">
        <v>16</v>
      </c>
      <c r="G3644" t="s">
        <v>17</v>
      </c>
      <c r="H3644" t="s">
        <v>18</v>
      </c>
      <c r="I3644">
        <v>54.756999999999998</v>
      </c>
      <c r="J3644" t="s">
        <v>19</v>
      </c>
      <c r="K3644" t="s">
        <v>4992</v>
      </c>
      <c r="L3644" t="s">
        <v>21</v>
      </c>
      <c r="M3644" t="str">
        <f t="shared" si="168"/>
        <v>OK</v>
      </c>
      <c r="N3644" t="str">
        <f t="shared" si="169"/>
        <v>1960s</v>
      </c>
      <c r="O3644" t="str">
        <f t="shared" si="170"/>
        <v>Low</v>
      </c>
      <c r="P3644" t="str">
        <f>VLOOKUP(E3644,calculated_fields!$F$4:$G$6,2,FALSE)</f>
        <v>Health</v>
      </c>
    </row>
    <row r="3645" spans="1:16">
      <c r="A3645" t="s">
        <v>4993</v>
      </c>
      <c r="B3645" t="s">
        <v>4983</v>
      </c>
      <c r="C3645" t="s">
        <v>14</v>
      </c>
      <c r="D3645">
        <v>1962</v>
      </c>
      <c r="E3645" t="s">
        <v>23</v>
      </c>
      <c r="F3645" t="s">
        <v>24</v>
      </c>
      <c r="G3645" t="s">
        <v>25</v>
      </c>
      <c r="H3645" t="s">
        <v>26</v>
      </c>
      <c r="I3645">
        <v>30325264</v>
      </c>
      <c r="J3645" t="s">
        <v>27</v>
      </c>
      <c r="K3645" t="s">
        <v>4992</v>
      </c>
      <c r="L3645" t="s">
        <v>21</v>
      </c>
      <c r="M3645" t="str">
        <f t="shared" si="168"/>
        <v>OK</v>
      </c>
      <c r="N3645" t="str">
        <f t="shared" si="169"/>
        <v>1960s</v>
      </c>
      <c r="O3645" t="str">
        <f t="shared" si="170"/>
        <v>N/A</v>
      </c>
      <c r="P3645" t="str">
        <f>VLOOKUP(E3645,calculated_fields!$F$4:$G$6,2,FALSE)</f>
        <v>Demographics</v>
      </c>
    </row>
    <row r="3646" spans="1:16">
      <c r="A3646" t="s">
        <v>4994</v>
      </c>
      <c r="B3646" t="s">
        <v>4983</v>
      </c>
      <c r="C3646" t="s">
        <v>14</v>
      </c>
      <c r="D3646">
        <v>1962</v>
      </c>
      <c r="E3646" t="s">
        <v>29</v>
      </c>
      <c r="F3646" t="s">
        <v>30</v>
      </c>
      <c r="G3646" t="s">
        <v>31</v>
      </c>
      <c r="H3646" t="s">
        <v>32</v>
      </c>
      <c r="I3646">
        <v>1649.5521530000001</v>
      </c>
      <c r="J3646" t="s">
        <v>33</v>
      </c>
      <c r="K3646" t="s">
        <v>4992</v>
      </c>
      <c r="L3646" t="s">
        <v>21</v>
      </c>
      <c r="M3646" t="str">
        <f t="shared" si="168"/>
        <v>OK</v>
      </c>
      <c r="N3646" t="str">
        <f t="shared" si="169"/>
        <v>1960s</v>
      </c>
      <c r="O3646" t="str">
        <f t="shared" si="170"/>
        <v>N/A</v>
      </c>
      <c r="P3646" t="str">
        <f>VLOOKUP(E3646,calculated_fields!$F$4:$G$6,2,FALSE)</f>
        <v>Economy</v>
      </c>
    </row>
    <row r="3647" spans="1:16">
      <c r="A3647" t="s">
        <v>4995</v>
      </c>
      <c r="B3647" t="s">
        <v>4983</v>
      </c>
      <c r="C3647" t="s">
        <v>14</v>
      </c>
      <c r="D3647">
        <v>1967</v>
      </c>
      <c r="E3647" t="s">
        <v>15</v>
      </c>
      <c r="F3647" t="s">
        <v>16</v>
      </c>
      <c r="G3647" t="s">
        <v>17</v>
      </c>
      <c r="H3647" t="s">
        <v>18</v>
      </c>
      <c r="I3647">
        <v>56.393000000000001</v>
      </c>
      <c r="J3647" t="s">
        <v>19</v>
      </c>
      <c r="K3647" t="s">
        <v>4996</v>
      </c>
      <c r="L3647" t="s">
        <v>21</v>
      </c>
      <c r="M3647" t="str">
        <f t="shared" si="168"/>
        <v>OK</v>
      </c>
      <c r="N3647" t="str">
        <f t="shared" si="169"/>
        <v>1960s</v>
      </c>
      <c r="O3647" t="str">
        <f t="shared" si="170"/>
        <v>Medium</v>
      </c>
      <c r="P3647" t="str">
        <f>VLOOKUP(E3647,calculated_fields!$F$4:$G$6,2,FALSE)</f>
        <v>Health</v>
      </c>
    </row>
    <row r="3648" spans="1:16">
      <c r="A3648" t="s">
        <v>4997</v>
      </c>
      <c r="B3648" t="s">
        <v>4983</v>
      </c>
      <c r="C3648" t="s">
        <v>14</v>
      </c>
      <c r="D3648">
        <v>1967</v>
      </c>
      <c r="E3648" t="s">
        <v>23</v>
      </c>
      <c r="F3648" t="s">
        <v>24</v>
      </c>
      <c r="G3648" t="s">
        <v>25</v>
      </c>
      <c r="H3648" t="s">
        <v>26</v>
      </c>
      <c r="I3648">
        <v>35356600</v>
      </c>
      <c r="J3648" t="s">
        <v>27</v>
      </c>
      <c r="K3648" t="s">
        <v>4996</v>
      </c>
      <c r="L3648" t="s">
        <v>21</v>
      </c>
      <c r="M3648" t="str">
        <f t="shared" si="168"/>
        <v>OK</v>
      </c>
      <c r="N3648" t="str">
        <f t="shared" si="169"/>
        <v>1960s</v>
      </c>
      <c r="O3648" t="str">
        <f t="shared" si="170"/>
        <v>N/A</v>
      </c>
      <c r="P3648" t="str">
        <f>VLOOKUP(E3648,calculated_fields!$F$4:$G$6,2,FALSE)</f>
        <v>Demographics</v>
      </c>
    </row>
    <row r="3649" spans="1:16">
      <c r="A3649" t="s">
        <v>4998</v>
      </c>
      <c r="B3649" t="s">
        <v>4983</v>
      </c>
      <c r="C3649" t="s">
        <v>14</v>
      </c>
      <c r="D3649">
        <v>1967</v>
      </c>
      <c r="E3649" t="s">
        <v>29</v>
      </c>
      <c r="F3649" t="s">
        <v>30</v>
      </c>
      <c r="G3649" t="s">
        <v>31</v>
      </c>
      <c r="H3649" t="s">
        <v>32</v>
      </c>
      <c r="I3649">
        <v>1814.12743</v>
      </c>
      <c r="J3649" t="s">
        <v>33</v>
      </c>
      <c r="K3649" t="s">
        <v>4996</v>
      </c>
      <c r="L3649" t="s">
        <v>21</v>
      </c>
      <c r="M3649" t="str">
        <f t="shared" si="168"/>
        <v>OK</v>
      </c>
      <c r="N3649" t="str">
        <f t="shared" si="169"/>
        <v>1960s</v>
      </c>
      <c r="O3649" t="str">
        <f t="shared" si="170"/>
        <v>N/A</v>
      </c>
      <c r="P3649" t="str">
        <f>VLOOKUP(E3649,calculated_fields!$F$4:$G$6,2,FALSE)</f>
        <v>Economy</v>
      </c>
    </row>
    <row r="3650" spans="1:16">
      <c r="A3650" t="s">
        <v>4999</v>
      </c>
      <c r="B3650" t="s">
        <v>4983</v>
      </c>
      <c r="C3650" t="s">
        <v>14</v>
      </c>
      <c r="D3650">
        <v>1972</v>
      </c>
      <c r="E3650" t="s">
        <v>15</v>
      </c>
      <c r="F3650" t="s">
        <v>16</v>
      </c>
      <c r="G3650" t="s">
        <v>17</v>
      </c>
      <c r="H3650" t="s">
        <v>18</v>
      </c>
      <c r="I3650">
        <v>58.064999999999998</v>
      </c>
      <c r="J3650" t="s">
        <v>19</v>
      </c>
      <c r="K3650" t="s">
        <v>5000</v>
      </c>
      <c r="L3650" t="s">
        <v>21</v>
      </c>
      <c r="M3650" t="str">
        <f t="shared" ref="M3650:M3713" si="171">IF(AND(ISNUMBER(I3650),I3650&gt;=0),"OK","Review")</f>
        <v>OK</v>
      </c>
      <c r="N3650" t="str">
        <f t="shared" ref="N3650:N3713" si="172">FLOOR(D3650,10)&amp;"s"</f>
        <v>1970s</v>
      </c>
      <c r="O3650" t="str">
        <f t="shared" ref="O3650:O3713" si="173">IF(E3650="LIFE_EXP",IF(I3650&gt;=70,"High",IF(I3650&gt;=55,"Medium","Low")),"N/A")</f>
        <v>Medium</v>
      </c>
      <c r="P3650" t="str">
        <f>VLOOKUP(E3650,calculated_fields!$F$4:$G$6,2,FALSE)</f>
        <v>Health</v>
      </c>
    </row>
    <row r="3651" spans="1:16">
      <c r="A3651" t="s">
        <v>5001</v>
      </c>
      <c r="B3651" t="s">
        <v>4983</v>
      </c>
      <c r="C3651" t="s">
        <v>14</v>
      </c>
      <c r="D3651">
        <v>1972</v>
      </c>
      <c r="E3651" t="s">
        <v>23</v>
      </c>
      <c r="F3651" t="s">
        <v>24</v>
      </c>
      <c r="G3651" t="s">
        <v>25</v>
      </c>
      <c r="H3651" t="s">
        <v>26</v>
      </c>
      <c r="I3651">
        <v>40850141</v>
      </c>
      <c r="J3651" t="s">
        <v>27</v>
      </c>
      <c r="K3651" t="s">
        <v>5000</v>
      </c>
      <c r="L3651" t="s">
        <v>21</v>
      </c>
      <c r="M3651" t="str">
        <f t="shared" si="171"/>
        <v>OK</v>
      </c>
      <c r="N3651" t="str">
        <f t="shared" si="172"/>
        <v>1970s</v>
      </c>
      <c r="O3651" t="str">
        <f t="shared" si="173"/>
        <v>N/A</v>
      </c>
      <c r="P3651" t="str">
        <f>VLOOKUP(E3651,calculated_fields!$F$4:$G$6,2,FALSE)</f>
        <v>Demographics</v>
      </c>
    </row>
    <row r="3652" spans="1:16">
      <c r="A3652" t="s">
        <v>5002</v>
      </c>
      <c r="B3652" t="s">
        <v>4983</v>
      </c>
      <c r="C3652" t="s">
        <v>14</v>
      </c>
      <c r="D3652">
        <v>1972</v>
      </c>
      <c r="E3652" t="s">
        <v>29</v>
      </c>
      <c r="F3652" t="s">
        <v>30</v>
      </c>
      <c r="G3652" t="s">
        <v>31</v>
      </c>
      <c r="H3652" t="s">
        <v>32</v>
      </c>
      <c r="I3652">
        <v>1989.3740700000001</v>
      </c>
      <c r="J3652" t="s">
        <v>33</v>
      </c>
      <c r="K3652" t="s">
        <v>5000</v>
      </c>
      <c r="L3652" t="s">
        <v>21</v>
      </c>
      <c r="M3652" t="str">
        <f t="shared" si="171"/>
        <v>OK</v>
      </c>
      <c r="N3652" t="str">
        <f t="shared" si="172"/>
        <v>1970s</v>
      </c>
      <c r="O3652" t="str">
        <f t="shared" si="173"/>
        <v>N/A</v>
      </c>
      <c r="P3652" t="str">
        <f>VLOOKUP(E3652,calculated_fields!$F$4:$G$6,2,FALSE)</f>
        <v>Economy</v>
      </c>
    </row>
    <row r="3653" spans="1:16">
      <c r="A3653" t="s">
        <v>5003</v>
      </c>
      <c r="B3653" t="s">
        <v>4983</v>
      </c>
      <c r="C3653" t="s">
        <v>14</v>
      </c>
      <c r="D3653">
        <v>1977</v>
      </c>
      <c r="E3653" t="s">
        <v>15</v>
      </c>
      <c r="F3653" t="s">
        <v>16</v>
      </c>
      <c r="G3653" t="s">
        <v>17</v>
      </c>
      <c r="H3653" t="s">
        <v>18</v>
      </c>
      <c r="I3653">
        <v>60.06</v>
      </c>
      <c r="J3653" t="s">
        <v>19</v>
      </c>
      <c r="K3653" t="s">
        <v>5004</v>
      </c>
      <c r="L3653" t="s">
        <v>21</v>
      </c>
      <c r="M3653" t="str">
        <f t="shared" si="171"/>
        <v>OK</v>
      </c>
      <c r="N3653" t="str">
        <f t="shared" si="172"/>
        <v>1970s</v>
      </c>
      <c r="O3653" t="str">
        <f t="shared" si="173"/>
        <v>Medium</v>
      </c>
      <c r="P3653" t="str">
        <f>VLOOKUP(E3653,calculated_fields!$F$4:$G$6,2,FALSE)</f>
        <v>Health</v>
      </c>
    </row>
    <row r="3654" spans="1:16">
      <c r="A3654" t="s">
        <v>5005</v>
      </c>
      <c r="B3654" t="s">
        <v>4983</v>
      </c>
      <c r="C3654" t="s">
        <v>14</v>
      </c>
      <c r="D3654">
        <v>1977</v>
      </c>
      <c r="E3654" t="s">
        <v>23</v>
      </c>
      <c r="F3654" t="s">
        <v>24</v>
      </c>
      <c r="G3654" t="s">
        <v>25</v>
      </c>
      <c r="H3654" t="s">
        <v>26</v>
      </c>
      <c r="I3654">
        <v>46850962</v>
      </c>
      <c r="J3654" t="s">
        <v>27</v>
      </c>
      <c r="K3654" t="s">
        <v>5004</v>
      </c>
      <c r="L3654" t="s">
        <v>21</v>
      </c>
      <c r="M3654" t="str">
        <f t="shared" si="171"/>
        <v>OK</v>
      </c>
      <c r="N3654" t="str">
        <f t="shared" si="172"/>
        <v>1970s</v>
      </c>
      <c r="O3654" t="str">
        <f t="shared" si="173"/>
        <v>N/A</v>
      </c>
      <c r="P3654" t="str">
        <f>VLOOKUP(E3654,calculated_fields!$F$4:$G$6,2,FALSE)</f>
        <v>Demographics</v>
      </c>
    </row>
    <row r="3655" spans="1:16">
      <c r="A3655" t="s">
        <v>5006</v>
      </c>
      <c r="B3655" t="s">
        <v>4983</v>
      </c>
      <c r="C3655" t="s">
        <v>14</v>
      </c>
      <c r="D3655">
        <v>1977</v>
      </c>
      <c r="E3655" t="s">
        <v>29</v>
      </c>
      <c r="F3655" t="s">
        <v>30</v>
      </c>
      <c r="G3655" t="s">
        <v>31</v>
      </c>
      <c r="H3655" t="s">
        <v>32</v>
      </c>
      <c r="I3655">
        <v>2373.204287</v>
      </c>
      <c r="J3655" t="s">
        <v>33</v>
      </c>
      <c r="K3655" t="s">
        <v>5004</v>
      </c>
      <c r="L3655" t="s">
        <v>21</v>
      </c>
      <c r="M3655" t="str">
        <f t="shared" si="171"/>
        <v>OK</v>
      </c>
      <c r="N3655" t="str">
        <f t="shared" si="172"/>
        <v>1970s</v>
      </c>
      <c r="O3655" t="str">
        <f t="shared" si="173"/>
        <v>N/A</v>
      </c>
      <c r="P3655" t="str">
        <f>VLOOKUP(E3655,calculated_fields!$F$4:$G$6,2,FALSE)</f>
        <v>Economy</v>
      </c>
    </row>
    <row r="3656" spans="1:16">
      <c r="A3656" t="s">
        <v>5007</v>
      </c>
      <c r="B3656" t="s">
        <v>4983</v>
      </c>
      <c r="C3656" t="s">
        <v>14</v>
      </c>
      <c r="D3656">
        <v>1982</v>
      </c>
      <c r="E3656" t="s">
        <v>15</v>
      </c>
      <c r="F3656" t="s">
        <v>16</v>
      </c>
      <c r="G3656" t="s">
        <v>17</v>
      </c>
      <c r="H3656" t="s">
        <v>18</v>
      </c>
      <c r="I3656">
        <v>62.082000000000001</v>
      </c>
      <c r="J3656" t="s">
        <v>19</v>
      </c>
      <c r="K3656" t="s">
        <v>5008</v>
      </c>
      <c r="L3656" t="s">
        <v>21</v>
      </c>
      <c r="M3656" t="str">
        <f t="shared" si="171"/>
        <v>OK</v>
      </c>
      <c r="N3656" t="str">
        <f t="shared" si="172"/>
        <v>1980s</v>
      </c>
      <c r="O3656" t="str">
        <f t="shared" si="173"/>
        <v>Medium</v>
      </c>
      <c r="P3656" t="str">
        <f>VLOOKUP(E3656,calculated_fields!$F$4:$G$6,2,FALSE)</f>
        <v>Health</v>
      </c>
    </row>
    <row r="3657" spans="1:16">
      <c r="A3657" t="s">
        <v>5009</v>
      </c>
      <c r="B3657" t="s">
        <v>4983</v>
      </c>
      <c r="C3657" t="s">
        <v>14</v>
      </c>
      <c r="D3657">
        <v>1982</v>
      </c>
      <c r="E3657" t="s">
        <v>23</v>
      </c>
      <c r="F3657" t="s">
        <v>24</v>
      </c>
      <c r="G3657" t="s">
        <v>25</v>
      </c>
      <c r="H3657" t="s">
        <v>26</v>
      </c>
      <c r="I3657">
        <v>53456774</v>
      </c>
      <c r="J3657" t="s">
        <v>27</v>
      </c>
      <c r="K3657" t="s">
        <v>5008</v>
      </c>
      <c r="L3657" t="s">
        <v>21</v>
      </c>
      <c r="M3657" t="str">
        <f t="shared" si="171"/>
        <v>OK</v>
      </c>
      <c r="N3657" t="str">
        <f t="shared" si="172"/>
        <v>1980s</v>
      </c>
      <c r="O3657" t="str">
        <f t="shared" si="173"/>
        <v>N/A</v>
      </c>
      <c r="P3657" t="str">
        <f>VLOOKUP(E3657,calculated_fields!$F$4:$G$6,2,FALSE)</f>
        <v>Demographics</v>
      </c>
    </row>
    <row r="3658" spans="1:16">
      <c r="A3658" t="s">
        <v>5010</v>
      </c>
      <c r="B3658" t="s">
        <v>4983</v>
      </c>
      <c r="C3658" t="s">
        <v>14</v>
      </c>
      <c r="D3658">
        <v>1982</v>
      </c>
      <c r="E3658" t="s">
        <v>29</v>
      </c>
      <c r="F3658" t="s">
        <v>30</v>
      </c>
      <c r="G3658" t="s">
        <v>31</v>
      </c>
      <c r="H3658" t="s">
        <v>32</v>
      </c>
      <c r="I3658">
        <v>2603.2737649999999</v>
      </c>
      <c r="J3658" t="s">
        <v>33</v>
      </c>
      <c r="K3658" t="s">
        <v>5008</v>
      </c>
      <c r="L3658" t="s">
        <v>21</v>
      </c>
      <c r="M3658" t="str">
        <f t="shared" si="171"/>
        <v>OK</v>
      </c>
      <c r="N3658" t="str">
        <f t="shared" si="172"/>
        <v>1980s</v>
      </c>
      <c r="O3658" t="str">
        <f t="shared" si="173"/>
        <v>N/A</v>
      </c>
      <c r="P3658" t="str">
        <f>VLOOKUP(E3658,calculated_fields!$F$4:$G$6,2,FALSE)</f>
        <v>Economy</v>
      </c>
    </row>
    <row r="3659" spans="1:16">
      <c r="A3659" t="s">
        <v>5011</v>
      </c>
      <c r="B3659" t="s">
        <v>4983</v>
      </c>
      <c r="C3659" t="s">
        <v>14</v>
      </c>
      <c r="D3659">
        <v>1987</v>
      </c>
      <c r="E3659" t="s">
        <v>15</v>
      </c>
      <c r="F3659" t="s">
        <v>16</v>
      </c>
      <c r="G3659" t="s">
        <v>17</v>
      </c>
      <c r="H3659" t="s">
        <v>18</v>
      </c>
      <c r="I3659">
        <v>64.150999999999996</v>
      </c>
      <c r="J3659" t="s">
        <v>19</v>
      </c>
      <c r="K3659" t="s">
        <v>5012</v>
      </c>
      <c r="L3659" t="s">
        <v>21</v>
      </c>
      <c r="M3659" t="str">
        <f t="shared" si="171"/>
        <v>OK</v>
      </c>
      <c r="N3659" t="str">
        <f t="shared" si="172"/>
        <v>1980s</v>
      </c>
      <c r="O3659" t="str">
        <f t="shared" si="173"/>
        <v>Medium</v>
      </c>
      <c r="P3659" t="str">
        <f>VLOOKUP(E3659,calculated_fields!$F$4:$G$6,2,FALSE)</f>
        <v>Health</v>
      </c>
    </row>
    <row r="3660" spans="1:16">
      <c r="A3660" t="s">
        <v>5013</v>
      </c>
      <c r="B3660" t="s">
        <v>4983</v>
      </c>
      <c r="C3660" t="s">
        <v>14</v>
      </c>
      <c r="D3660">
        <v>1987</v>
      </c>
      <c r="E3660" t="s">
        <v>23</v>
      </c>
      <c r="F3660" t="s">
        <v>24</v>
      </c>
      <c r="G3660" t="s">
        <v>25</v>
      </c>
      <c r="H3660" t="s">
        <v>26</v>
      </c>
      <c r="I3660">
        <v>60017788</v>
      </c>
      <c r="J3660" t="s">
        <v>27</v>
      </c>
      <c r="K3660" t="s">
        <v>5012</v>
      </c>
      <c r="L3660" t="s">
        <v>21</v>
      </c>
      <c r="M3660" t="str">
        <f t="shared" si="171"/>
        <v>OK</v>
      </c>
      <c r="N3660" t="str">
        <f t="shared" si="172"/>
        <v>1980s</v>
      </c>
      <c r="O3660" t="str">
        <f t="shared" si="173"/>
        <v>N/A</v>
      </c>
      <c r="P3660" t="str">
        <f>VLOOKUP(E3660,calculated_fields!$F$4:$G$6,2,FALSE)</f>
        <v>Demographics</v>
      </c>
    </row>
    <row r="3661" spans="1:16">
      <c r="A3661" t="s">
        <v>5014</v>
      </c>
      <c r="B3661" t="s">
        <v>4983</v>
      </c>
      <c r="C3661" t="s">
        <v>14</v>
      </c>
      <c r="D3661">
        <v>1987</v>
      </c>
      <c r="E3661" t="s">
        <v>29</v>
      </c>
      <c r="F3661" t="s">
        <v>30</v>
      </c>
      <c r="G3661" t="s">
        <v>31</v>
      </c>
      <c r="H3661" t="s">
        <v>32</v>
      </c>
      <c r="I3661">
        <v>2189.6349949999999</v>
      </c>
      <c r="J3661" t="s">
        <v>33</v>
      </c>
      <c r="K3661" t="s">
        <v>5012</v>
      </c>
      <c r="L3661" t="s">
        <v>21</v>
      </c>
      <c r="M3661" t="str">
        <f t="shared" si="171"/>
        <v>OK</v>
      </c>
      <c r="N3661" t="str">
        <f t="shared" si="172"/>
        <v>1980s</v>
      </c>
      <c r="O3661" t="str">
        <f t="shared" si="173"/>
        <v>N/A</v>
      </c>
      <c r="P3661" t="str">
        <f>VLOOKUP(E3661,calculated_fields!$F$4:$G$6,2,FALSE)</f>
        <v>Economy</v>
      </c>
    </row>
    <row r="3662" spans="1:16">
      <c r="A3662" t="s">
        <v>5015</v>
      </c>
      <c r="B3662" t="s">
        <v>4983</v>
      </c>
      <c r="C3662" t="s">
        <v>14</v>
      </c>
      <c r="D3662">
        <v>1992</v>
      </c>
      <c r="E3662" t="s">
        <v>15</v>
      </c>
      <c r="F3662" t="s">
        <v>16</v>
      </c>
      <c r="G3662" t="s">
        <v>17</v>
      </c>
      <c r="H3662" t="s">
        <v>18</v>
      </c>
      <c r="I3662">
        <v>66.457999999999998</v>
      </c>
      <c r="J3662" t="s">
        <v>19</v>
      </c>
      <c r="K3662" t="s">
        <v>5016</v>
      </c>
      <c r="L3662" t="s">
        <v>21</v>
      </c>
      <c r="M3662" t="str">
        <f t="shared" si="171"/>
        <v>OK</v>
      </c>
      <c r="N3662" t="str">
        <f t="shared" si="172"/>
        <v>1990s</v>
      </c>
      <c r="O3662" t="str">
        <f t="shared" si="173"/>
        <v>Medium</v>
      </c>
      <c r="P3662" t="str">
        <f>VLOOKUP(E3662,calculated_fields!$F$4:$G$6,2,FALSE)</f>
        <v>Health</v>
      </c>
    </row>
    <row r="3663" spans="1:16">
      <c r="A3663" t="s">
        <v>5017</v>
      </c>
      <c r="B3663" t="s">
        <v>4983</v>
      </c>
      <c r="C3663" t="s">
        <v>14</v>
      </c>
      <c r="D3663">
        <v>1992</v>
      </c>
      <c r="E3663" t="s">
        <v>23</v>
      </c>
      <c r="F3663" t="s">
        <v>24</v>
      </c>
      <c r="G3663" t="s">
        <v>25</v>
      </c>
      <c r="H3663" t="s">
        <v>26</v>
      </c>
      <c r="I3663">
        <v>67185766</v>
      </c>
      <c r="J3663" t="s">
        <v>27</v>
      </c>
      <c r="K3663" t="s">
        <v>5016</v>
      </c>
      <c r="L3663" t="s">
        <v>21</v>
      </c>
      <c r="M3663" t="str">
        <f t="shared" si="171"/>
        <v>OK</v>
      </c>
      <c r="N3663" t="str">
        <f t="shared" si="172"/>
        <v>1990s</v>
      </c>
      <c r="O3663" t="str">
        <f t="shared" si="173"/>
        <v>N/A</v>
      </c>
      <c r="P3663" t="str">
        <f>VLOOKUP(E3663,calculated_fields!$F$4:$G$6,2,FALSE)</f>
        <v>Demographics</v>
      </c>
    </row>
    <row r="3664" spans="1:16">
      <c r="A3664" t="s">
        <v>5018</v>
      </c>
      <c r="B3664" t="s">
        <v>4983</v>
      </c>
      <c r="C3664" t="s">
        <v>14</v>
      </c>
      <c r="D3664">
        <v>1992</v>
      </c>
      <c r="E3664" t="s">
        <v>29</v>
      </c>
      <c r="F3664" t="s">
        <v>30</v>
      </c>
      <c r="G3664" t="s">
        <v>31</v>
      </c>
      <c r="H3664" t="s">
        <v>32</v>
      </c>
      <c r="I3664">
        <v>2279.3240169999999</v>
      </c>
      <c r="J3664" t="s">
        <v>33</v>
      </c>
      <c r="K3664" t="s">
        <v>5016</v>
      </c>
      <c r="L3664" t="s">
        <v>21</v>
      </c>
      <c r="M3664" t="str">
        <f t="shared" si="171"/>
        <v>OK</v>
      </c>
      <c r="N3664" t="str">
        <f t="shared" si="172"/>
        <v>1990s</v>
      </c>
      <c r="O3664" t="str">
        <f t="shared" si="173"/>
        <v>N/A</v>
      </c>
      <c r="P3664" t="str">
        <f>VLOOKUP(E3664,calculated_fields!$F$4:$G$6,2,FALSE)</f>
        <v>Economy</v>
      </c>
    </row>
    <row r="3665" spans="1:16">
      <c r="A3665" t="s">
        <v>5019</v>
      </c>
      <c r="B3665" t="s">
        <v>4983</v>
      </c>
      <c r="C3665" t="s">
        <v>14</v>
      </c>
      <c r="D3665">
        <v>1997</v>
      </c>
      <c r="E3665" t="s">
        <v>15</v>
      </c>
      <c r="F3665" t="s">
        <v>16</v>
      </c>
      <c r="G3665" t="s">
        <v>17</v>
      </c>
      <c r="H3665" t="s">
        <v>18</v>
      </c>
      <c r="I3665">
        <v>68.563999999999993</v>
      </c>
      <c r="J3665" t="s">
        <v>19</v>
      </c>
      <c r="K3665" t="s">
        <v>5020</v>
      </c>
      <c r="L3665" t="s">
        <v>21</v>
      </c>
      <c r="M3665" t="str">
        <f t="shared" si="171"/>
        <v>OK</v>
      </c>
      <c r="N3665" t="str">
        <f t="shared" si="172"/>
        <v>1990s</v>
      </c>
      <c r="O3665" t="str">
        <f t="shared" si="173"/>
        <v>Medium</v>
      </c>
      <c r="P3665" t="str">
        <f>VLOOKUP(E3665,calculated_fields!$F$4:$G$6,2,FALSE)</f>
        <v>Health</v>
      </c>
    </row>
    <row r="3666" spans="1:16">
      <c r="A3666" t="s">
        <v>5021</v>
      </c>
      <c r="B3666" t="s">
        <v>4983</v>
      </c>
      <c r="C3666" t="s">
        <v>14</v>
      </c>
      <c r="D3666">
        <v>1997</v>
      </c>
      <c r="E3666" t="s">
        <v>23</v>
      </c>
      <c r="F3666" t="s">
        <v>24</v>
      </c>
      <c r="G3666" t="s">
        <v>25</v>
      </c>
      <c r="H3666" t="s">
        <v>26</v>
      </c>
      <c r="I3666">
        <v>75012988</v>
      </c>
      <c r="J3666" t="s">
        <v>27</v>
      </c>
      <c r="K3666" t="s">
        <v>5020</v>
      </c>
      <c r="L3666" t="s">
        <v>21</v>
      </c>
      <c r="M3666" t="str">
        <f t="shared" si="171"/>
        <v>OK</v>
      </c>
      <c r="N3666" t="str">
        <f t="shared" si="172"/>
        <v>1990s</v>
      </c>
      <c r="O3666" t="str">
        <f t="shared" si="173"/>
        <v>N/A</v>
      </c>
      <c r="P3666" t="str">
        <f>VLOOKUP(E3666,calculated_fields!$F$4:$G$6,2,FALSE)</f>
        <v>Demographics</v>
      </c>
    </row>
    <row r="3667" spans="1:16">
      <c r="A3667" t="s">
        <v>5022</v>
      </c>
      <c r="B3667" t="s">
        <v>4983</v>
      </c>
      <c r="C3667" t="s">
        <v>14</v>
      </c>
      <c r="D3667">
        <v>1997</v>
      </c>
      <c r="E3667" t="s">
        <v>29</v>
      </c>
      <c r="F3667" t="s">
        <v>30</v>
      </c>
      <c r="G3667" t="s">
        <v>31</v>
      </c>
      <c r="H3667" t="s">
        <v>32</v>
      </c>
      <c r="I3667">
        <v>2536.5349249999999</v>
      </c>
      <c r="J3667" t="s">
        <v>33</v>
      </c>
      <c r="K3667" t="s">
        <v>5020</v>
      </c>
      <c r="L3667" t="s">
        <v>21</v>
      </c>
      <c r="M3667" t="str">
        <f t="shared" si="171"/>
        <v>OK</v>
      </c>
      <c r="N3667" t="str">
        <f t="shared" si="172"/>
        <v>1990s</v>
      </c>
      <c r="O3667" t="str">
        <f t="shared" si="173"/>
        <v>N/A</v>
      </c>
      <c r="P3667" t="str">
        <f>VLOOKUP(E3667,calculated_fields!$F$4:$G$6,2,FALSE)</f>
        <v>Economy</v>
      </c>
    </row>
    <row r="3668" spans="1:16">
      <c r="A3668" t="s">
        <v>5023</v>
      </c>
      <c r="B3668" t="s">
        <v>4983</v>
      </c>
      <c r="C3668" t="s">
        <v>14</v>
      </c>
      <c r="D3668">
        <v>2002</v>
      </c>
      <c r="E3668" t="s">
        <v>15</v>
      </c>
      <c r="F3668" t="s">
        <v>16</v>
      </c>
      <c r="G3668" t="s">
        <v>17</v>
      </c>
      <c r="H3668" t="s">
        <v>18</v>
      </c>
      <c r="I3668">
        <v>70.302999999999997</v>
      </c>
      <c r="J3668" t="s">
        <v>19</v>
      </c>
      <c r="K3668" t="s">
        <v>5024</v>
      </c>
      <c r="L3668" t="s">
        <v>21</v>
      </c>
      <c r="M3668" t="str">
        <f t="shared" si="171"/>
        <v>OK</v>
      </c>
      <c r="N3668" t="str">
        <f t="shared" si="172"/>
        <v>2000s</v>
      </c>
      <c r="O3668" t="str">
        <f t="shared" si="173"/>
        <v>High</v>
      </c>
      <c r="P3668" t="str">
        <f>VLOOKUP(E3668,calculated_fields!$F$4:$G$6,2,FALSE)</f>
        <v>Health</v>
      </c>
    </row>
    <row r="3669" spans="1:16">
      <c r="A3669" t="s">
        <v>5025</v>
      </c>
      <c r="B3669" t="s">
        <v>4983</v>
      </c>
      <c r="C3669" t="s">
        <v>14</v>
      </c>
      <c r="D3669">
        <v>2002</v>
      </c>
      <c r="E3669" t="s">
        <v>23</v>
      </c>
      <c r="F3669" t="s">
        <v>24</v>
      </c>
      <c r="G3669" t="s">
        <v>25</v>
      </c>
      <c r="H3669" t="s">
        <v>26</v>
      </c>
      <c r="I3669">
        <v>82995088</v>
      </c>
      <c r="J3669" t="s">
        <v>27</v>
      </c>
      <c r="K3669" t="s">
        <v>5024</v>
      </c>
      <c r="L3669" t="s">
        <v>21</v>
      </c>
      <c r="M3669" t="str">
        <f t="shared" si="171"/>
        <v>OK</v>
      </c>
      <c r="N3669" t="str">
        <f t="shared" si="172"/>
        <v>2000s</v>
      </c>
      <c r="O3669" t="str">
        <f t="shared" si="173"/>
        <v>N/A</v>
      </c>
      <c r="P3669" t="str">
        <f>VLOOKUP(E3669,calculated_fields!$F$4:$G$6,2,FALSE)</f>
        <v>Demographics</v>
      </c>
    </row>
    <row r="3670" spans="1:16">
      <c r="A3670" t="s">
        <v>5026</v>
      </c>
      <c r="B3670" t="s">
        <v>4983</v>
      </c>
      <c r="C3670" t="s">
        <v>14</v>
      </c>
      <c r="D3670">
        <v>2002</v>
      </c>
      <c r="E3670" t="s">
        <v>29</v>
      </c>
      <c r="F3670" t="s">
        <v>30</v>
      </c>
      <c r="G3670" t="s">
        <v>31</v>
      </c>
      <c r="H3670" t="s">
        <v>32</v>
      </c>
      <c r="I3670">
        <v>2650.9210680000001</v>
      </c>
      <c r="J3670" t="s">
        <v>33</v>
      </c>
      <c r="K3670" t="s">
        <v>5024</v>
      </c>
      <c r="L3670" t="s">
        <v>21</v>
      </c>
      <c r="M3670" t="str">
        <f t="shared" si="171"/>
        <v>OK</v>
      </c>
      <c r="N3670" t="str">
        <f t="shared" si="172"/>
        <v>2000s</v>
      </c>
      <c r="O3670" t="str">
        <f t="shared" si="173"/>
        <v>N/A</v>
      </c>
      <c r="P3670" t="str">
        <f>VLOOKUP(E3670,calculated_fields!$F$4:$G$6,2,FALSE)</f>
        <v>Economy</v>
      </c>
    </row>
    <row r="3671" spans="1:16">
      <c r="A3671" t="s">
        <v>5027</v>
      </c>
      <c r="B3671" t="s">
        <v>4983</v>
      </c>
      <c r="C3671" t="s">
        <v>14</v>
      </c>
      <c r="D3671">
        <v>2007</v>
      </c>
      <c r="E3671" t="s">
        <v>15</v>
      </c>
      <c r="F3671" t="s">
        <v>16</v>
      </c>
      <c r="G3671" t="s">
        <v>17</v>
      </c>
      <c r="H3671" t="s">
        <v>18</v>
      </c>
      <c r="I3671">
        <v>71.688000000000002</v>
      </c>
      <c r="J3671" t="s">
        <v>19</v>
      </c>
      <c r="K3671" t="s">
        <v>5028</v>
      </c>
      <c r="L3671" t="s">
        <v>21</v>
      </c>
      <c r="M3671" t="str">
        <f t="shared" si="171"/>
        <v>OK</v>
      </c>
      <c r="N3671" t="str">
        <f t="shared" si="172"/>
        <v>2000s</v>
      </c>
      <c r="O3671" t="str">
        <f t="shared" si="173"/>
        <v>High</v>
      </c>
      <c r="P3671" t="str">
        <f>VLOOKUP(E3671,calculated_fields!$F$4:$G$6,2,FALSE)</f>
        <v>Health</v>
      </c>
    </row>
    <row r="3672" spans="1:16">
      <c r="A3672" t="s">
        <v>5029</v>
      </c>
      <c r="B3672" t="s">
        <v>4983</v>
      </c>
      <c r="C3672" t="s">
        <v>14</v>
      </c>
      <c r="D3672">
        <v>2007</v>
      </c>
      <c r="E3672" t="s">
        <v>23</v>
      </c>
      <c r="F3672" t="s">
        <v>24</v>
      </c>
      <c r="G3672" t="s">
        <v>25</v>
      </c>
      <c r="H3672" t="s">
        <v>26</v>
      </c>
      <c r="I3672">
        <v>91077287</v>
      </c>
      <c r="J3672" t="s">
        <v>27</v>
      </c>
      <c r="K3672" t="s">
        <v>5028</v>
      </c>
      <c r="L3672" t="s">
        <v>21</v>
      </c>
      <c r="M3672" t="str">
        <f t="shared" si="171"/>
        <v>OK</v>
      </c>
      <c r="N3672" t="str">
        <f t="shared" si="172"/>
        <v>2000s</v>
      </c>
      <c r="O3672" t="str">
        <f t="shared" si="173"/>
        <v>N/A</v>
      </c>
      <c r="P3672" t="str">
        <f>VLOOKUP(E3672,calculated_fields!$F$4:$G$6,2,FALSE)</f>
        <v>Demographics</v>
      </c>
    </row>
    <row r="3673" spans="1:16">
      <c r="A3673" t="s">
        <v>5030</v>
      </c>
      <c r="B3673" t="s">
        <v>4983</v>
      </c>
      <c r="C3673" t="s">
        <v>14</v>
      </c>
      <c r="D3673">
        <v>2007</v>
      </c>
      <c r="E3673" t="s">
        <v>29</v>
      </c>
      <c r="F3673" t="s">
        <v>30</v>
      </c>
      <c r="G3673" t="s">
        <v>31</v>
      </c>
      <c r="H3673" t="s">
        <v>32</v>
      </c>
      <c r="I3673">
        <v>3190.4810160000002</v>
      </c>
      <c r="J3673" t="s">
        <v>33</v>
      </c>
      <c r="K3673" t="s">
        <v>5028</v>
      </c>
      <c r="L3673" t="s">
        <v>21</v>
      </c>
      <c r="M3673" t="str">
        <f t="shared" si="171"/>
        <v>OK</v>
      </c>
      <c r="N3673" t="str">
        <f t="shared" si="172"/>
        <v>2000s</v>
      </c>
      <c r="O3673" t="str">
        <f t="shared" si="173"/>
        <v>N/A</v>
      </c>
      <c r="P3673" t="str">
        <f>VLOOKUP(E3673,calculated_fields!$F$4:$G$6,2,FALSE)</f>
        <v>Economy</v>
      </c>
    </row>
    <row r="3674" spans="1:16">
      <c r="A3674" t="s">
        <v>5031</v>
      </c>
      <c r="B3674" t="s">
        <v>5032</v>
      </c>
      <c r="C3674" t="s">
        <v>80</v>
      </c>
      <c r="D3674">
        <v>1952</v>
      </c>
      <c r="E3674" t="s">
        <v>15</v>
      </c>
      <c r="F3674" t="s">
        <v>16</v>
      </c>
      <c r="G3674" t="s">
        <v>17</v>
      </c>
      <c r="H3674" t="s">
        <v>18</v>
      </c>
      <c r="I3674">
        <v>61.31</v>
      </c>
      <c r="J3674" t="s">
        <v>19</v>
      </c>
      <c r="K3674" t="s">
        <v>5033</v>
      </c>
      <c r="L3674" t="s">
        <v>21</v>
      </c>
      <c r="M3674" t="str">
        <f t="shared" si="171"/>
        <v>OK</v>
      </c>
      <c r="N3674" t="str">
        <f t="shared" si="172"/>
        <v>1950s</v>
      </c>
      <c r="O3674" t="str">
        <f t="shared" si="173"/>
        <v>Medium</v>
      </c>
      <c r="P3674" t="str">
        <f>VLOOKUP(E3674,calculated_fields!$F$4:$G$6,2,FALSE)</f>
        <v>Health</v>
      </c>
    </row>
    <row r="3675" spans="1:16">
      <c r="A3675" t="s">
        <v>5034</v>
      </c>
      <c r="B3675" t="s">
        <v>5032</v>
      </c>
      <c r="C3675" t="s">
        <v>80</v>
      </c>
      <c r="D3675">
        <v>1952</v>
      </c>
      <c r="E3675" t="s">
        <v>23</v>
      </c>
      <c r="F3675" t="s">
        <v>24</v>
      </c>
      <c r="G3675" t="s">
        <v>25</v>
      </c>
      <c r="H3675" t="s">
        <v>26</v>
      </c>
      <c r="I3675">
        <v>25730551</v>
      </c>
      <c r="J3675" t="s">
        <v>27</v>
      </c>
      <c r="K3675" t="s">
        <v>5033</v>
      </c>
      <c r="L3675" t="s">
        <v>21</v>
      </c>
      <c r="M3675" t="str">
        <f t="shared" si="171"/>
        <v>OK</v>
      </c>
      <c r="N3675" t="str">
        <f t="shared" si="172"/>
        <v>1950s</v>
      </c>
      <c r="O3675" t="str">
        <f t="shared" si="173"/>
        <v>N/A</v>
      </c>
      <c r="P3675" t="str">
        <f>VLOOKUP(E3675,calculated_fields!$F$4:$G$6,2,FALSE)</f>
        <v>Demographics</v>
      </c>
    </row>
    <row r="3676" spans="1:16">
      <c r="A3676" t="s">
        <v>5035</v>
      </c>
      <c r="B3676" t="s">
        <v>5032</v>
      </c>
      <c r="C3676" t="s">
        <v>80</v>
      </c>
      <c r="D3676">
        <v>1952</v>
      </c>
      <c r="E3676" t="s">
        <v>29</v>
      </c>
      <c r="F3676" t="s">
        <v>30</v>
      </c>
      <c r="G3676" t="s">
        <v>31</v>
      </c>
      <c r="H3676" t="s">
        <v>32</v>
      </c>
      <c r="I3676">
        <v>4029.3296989999999</v>
      </c>
      <c r="J3676" t="s">
        <v>33</v>
      </c>
      <c r="K3676" t="s">
        <v>5033</v>
      </c>
      <c r="L3676" t="s">
        <v>21</v>
      </c>
      <c r="M3676" t="str">
        <f t="shared" si="171"/>
        <v>OK</v>
      </c>
      <c r="N3676" t="str">
        <f t="shared" si="172"/>
        <v>1950s</v>
      </c>
      <c r="O3676" t="str">
        <f t="shared" si="173"/>
        <v>N/A</v>
      </c>
      <c r="P3676" t="str">
        <f>VLOOKUP(E3676,calculated_fields!$F$4:$G$6,2,FALSE)</f>
        <v>Economy</v>
      </c>
    </row>
    <row r="3677" spans="1:16">
      <c r="A3677" t="s">
        <v>5036</v>
      </c>
      <c r="B3677" t="s">
        <v>5032</v>
      </c>
      <c r="C3677" t="s">
        <v>80</v>
      </c>
      <c r="D3677">
        <v>1957</v>
      </c>
      <c r="E3677" t="s">
        <v>15</v>
      </c>
      <c r="F3677" t="s">
        <v>16</v>
      </c>
      <c r="G3677" t="s">
        <v>17</v>
      </c>
      <c r="H3677" t="s">
        <v>18</v>
      </c>
      <c r="I3677">
        <v>65.77</v>
      </c>
      <c r="J3677" t="s">
        <v>19</v>
      </c>
      <c r="K3677" t="s">
        <v>5037</v>
      </c>
      <c r="L3677" t="s">
        <v>21</v>
      </c>
      <c r="M3677" t="str">
        <f t="shared" si="171"/>
        <v>OK</v>
      </c>
      <c r="N3677" t="str">
        <f t="shared" si="172"/>
        <v>1950s</v>
      </c>
      <c r="O3677" t="str">
        <f t="shared" si="173"/>
        <v>Medium</v>
      </c>
      <c r="P3677" t="str">
        <f>VLOOKUP(E3677,calculated_fields!$F$4:$G$6,2,FALSE)</f>
        <v>Health</v>
      </c>
    </row>
    <row r="3678" spans="1:16">
      <c r="A3678" t="s">
        <v>5038</v>
      </c>
      <c r="B3678" t="s">
        <v>5032</v>
      </c>
      <c r="C3678" t="s">
        <v>80</v>
      </c>
      <c r="D3678">
        <v>1957</v>
      </c>
      <c r="E3678" t="s">
        <v>23</v>
      </c>
      <c r="F3678" t="s">
        <v>24</v>
      </c>
      <c r="G3678" t="s">
        <v>25</v>
      </c>
      <c r="H3678" t="s">
        <v>26</v>
      </c>
      <c r="I3678">
        <v>28235346</v>
      </c>
      <c r="J3678" t="s">
        <v>27</v>
      </c>
      <c r="K3678" t="s">
        <v>5037</v>
      </c>
      <c r="L3678" t="s">
        <v>21</v>
      </c>
      <c r="M3678" t="str">
        <f t="shared" si="171"/>
        <v>OK</v>
      </c>
      <c r="N3678" t="str">
        <f t="shared" si="172"/>
        <v>1950s</v>
      </c>
      <c r="O3678" t="str">
        <f t="shared" si="173"/>
        <v>N/A</v>
      </c>
      <c r="P3678" t="str">
        <f>VLOOKUP(E3678,calculated_fields!$F$4:$G$6,2,FALSE)</f>
        <v>Demographics</v>
      </c>
    </row>
    <row r="3679" spans="1:16">
      <c r="A3679" t="s">
        <v>5039</v>
      </c>
      <c r="B3679" t="s">
        <v>5032</v>
      </c>
      <c r="C3679" t="s">
        <v>80</v>
      </c>
      <c r="D3679">
        <v>1957</v>
      </c>
      <c r="E3679" t="s">
        <v>29</v>
      </c>
      <c r="F3679" t="s">
        <v>30</v>
      </c>
      <c r="G3679" t="s">
        <v>31</v>
      </c>
      <c r="H3679" t="s">
        <v>32</v>
      </c>
      <c r="I3679">
        <v>4734.2530189999998</v>
      </c>
      <c r="J3679" t="s">
        <v>33</v>
      </c>
      <c r="K3679" t="s">
        <v>5037</v>
      </c>
      <c r="L3679" t="s">
        <v>21</v>
      </c>
      <c r="M3679" t="str">
        <f t="shared" si="171"/>
        <v>OK</v>
      </c>
      <c r="N3679" t="str">
        <f t="shared" si="172"/>
        <v>1950s</v>
      </c>
      <c r="O3679" t="str">
        <f t="shared" si="173"/>
        <v>N/A</v>
      </c>
      <c r="P3679" t="str">
        <f>VLOOKUP(E3679,calculated_fields!$F$4:$G$6,2,FALSE)</f>
        <v>Economy</v>
      </c>
    </row>
    <row r="3680" spans="1:16">
      <c r="A3680" t="s">
        <v>5040</v>
      </c>
      <c r="B3680" t="s">
        <v>5032</v>
      </c>
      <c r="C3680" t="s">
        <v>80</v>
      </c>
      <c r="D3680">
        <v>1962</v>
      </c>
      <c r="E3680" t="s">
        <v>15</v>
      </c>
      <c r="F3680" t="s">
        <v>16</v>
      </c>
      <c r="G3680" t="s">
        <v>17</v>
      </c>
      <c r="H3680" t="s">
        <v>18</v>
      </c>
      <c r="I3680">
        <v>67.64</v>
      </c>
      <c r="J3680" t="s">
        <v>19</v>
      </c>
      <c r="K3680" t="s">
        <v>5041</v>
      </c>
      <c r="L3680" t="s">
        <v>21</v>
      </c>
      <c r="M3680" t="str">
        <f t="shared" si="171"/>
        <v>OK</v>
      </c>
      <c r="N3680" t="str">
        <f t="shared" si="172"/>
        <v>1960s</v>
      </c>
      <c r="O3680" t="str">
        <f t="shared" si="173"/>
        <v>Medium</v>
      </c>
      <c r="P3680" t="str">
        <f>VLOOKUP(E3680,calculated_fields!$F$4:$G$6,2,FALSE)</f>
        <v>Health</v>
      </c>
    </row>
    <row r="3681" spans="1:16">
      <c r="A3681" t="s">
        <v>5042</v>
      </c>
      <c r="B3681" t="s">
        <v>5032</v>
      </c>
      <c r="C3681" t="s">
        <v>80</v>
      </c>
      <c r="D3681">
        <v>1962</v>
      </c>
      <c r="E3681" t="s">
        <v>23</v>
      </c>
      <c r="F3681" t="s">
        <v>24</v>
      </c>
      <c r="G3681" t="s">
        <v>25</v>
      </c>
      <c r="H3681" t="s">
        <v>26</v>
      </c>
      <c r="I3681">
        <v>30329617</v>
      </c>
      <c r="J3681" t="s">
        <v>27</v>
      </c>
      <c r="K3681" t="s">
        <v>5041</v>
      </c>
      <c r="L3681" t="s">
        <v>21</v>
      </c>
      <c r="M3681" t="str">
        <f t="shared" si="171"/>
        <v>OK</v>
      </c>
      <c r="N3681" t="str">
        <f t="shared" si="172"/>
        <v>1960s</v>
      </c>
      <c r="O3681" t="str">
        <f t="shared" si="173"/>
        <v>N/A</v>
      </c>
      <c r="P3681" t="str">
        <f>VLOOKUP(E3681,calculated_fields!$F$4:$G$6,2,FALSE)</f>
        <v>Demographics</v>
      </c>
    </row>
    <row r="3682" spans="1:16">
      <c r="A3682" t="s">
        <v>5043</v>
      </c>
      <c r="B3682" t="s">
        <v>5032</v>
      </c>
      <c r="C3682" t="s">
        <v>80</v>
      </c>
      <c r="D3682">
        <v>1962</v>
      </c>
      <c r="E3682" t="s">
        <v>29</v>
      </c>
      <c r="F3682" t="s">
        <v>30</v>
      </c>
      <c r="G3682" t="s">
        <v>31</v>
      </c>
      <c r="H3682" t="s">
        <v>32</v>
      </c>
      <c r="I3682">
        <v>5338.7521429999997</v>
      </c>
      <c r="J3682" t="s">
        <v>33</v>
      </c>
      <c r="K3682" t="s">
        <v>5041</v>
      </c>
      <c r="L3682" t="s">
        <v>21</v>
      </c>
      <c r="M3682" t="str">
        <f t="shared" si="171"/>
        <v>OK</v>
      </c>
      <c r="N3682" t="str">
        <f t="shared" si="172"/>
        <v>1960s</v>
      </c>
      <c r="O3682" t="str">
        <f t="shared" si="173"/>
        <v>N/A</v>
      </c>
      <c r="P3682" t="str">
        <f>VLOOKUP(E3682,calculated_fields!$F$4:$G$6,2,FALSE)</f>
        <v>Economy</v>
      </c>
    </row>
    <row r="3683" spans="1:16">
      <c r="A3683" t="s">
        <v>5044</v>
      </c>
      <c r="B3683" t="s">
        <v>5032</v>
      </c>
      <c r="C3683" t="s">
        <v>80</v>
      </c>
      <c r="D3683">
        <v>1967</v>
      </c>
      <c r="E3683" t="s">
        <v>15</v>
      </c>
      <c r="F3683" t="s">
        <v>16</v>
      </c>
      <c r="G3683" t="s">
        <v>17</v>
      </c>
      <c r="H3683" t="s">
        <v>18</v>
      </c>
      <c r="I3683">
        <v>69.61</v>
      </c>
      <c r="J3683" t="s">
        <v>19</v>
      </c>
      <c r="K3683" t="s">
        <v>5045</v>
      </c>
      <c r="L3683" t="s">
        <v>21</v>
      </c>
      <c r="M3683" t="str">
        <f t="shared" si="171"/>
        <v>OK</v>
      </c>
      <c r="N3683" t="str">
        <f t="shared" si="172"/>
        <v>1960s</v>
      </c>
      <c r="O3683" t="str">
        <f t="shared" si="173"/>
        <v>Medium</v>
      </c>
      <c r="P3683" t="str">
        <f>VLOOKUP(E3683,calculated_fields!$F$4:$G$6,2,FALSE)</f>
        <v>Health</v>
      </c>
    </row>
    <row r="3684" spans="1:16">
      <c r="A3684" t="s">
        <v>5046</v>
      </c>
      <c r="B3684" t="s">
        <v>5032</v>
      </c>
      <c r="C3684" t="s">
        <v>80</v>
      </c>
      <c r="D3684">
        <v>1967</v>
      </c>
      <c r="E3684" t="s">
        <v>23</v>
      </c>
      <c r="F3684" t="s">
        <v>24</v>
      </c>
      <c r="G3684" t="s">
        <v>25</v>
      </c>
      <c r="H3684" t="s">
        <v>26</v>
      </c>
      <c r="I3684">
        <v>31785378</v>
      </c>
      <c r="J3684" t="s">
        <v>27</v>
      </c>
      <c r="K3684" t="s">
        <v>5045</v>
      </c>
      <c r="L3684" t="s">
        <v>21</v>
      </c>
      <c r="M3684" t="str">
        <f t="shared" si="171"/>
        <v>OK</v>
      </c>
      <c r="N3684" t="str">
        <f t="shared" si="172"/>
        <v>1960s</v>
      </c>
      <c r="O3684" t="str">
        <f t="shared" si="173"/>
        <v>N/A</v>
      </c>
      <c r="P3684" t="str">
        <f>VLOOKUP(E3684,calculated_fields!$F$4:$G$6,2,FALSE)</f>
        <v>Demographics</v>
      </c>
    </row>
    <row r="3685" spans="1:16">
      <c r="A3685" t="s">
        <v>5047</v>
      </c>
      <c r="B3685" t="s">
        <v>5032</v>
      </c>
      <c r="C3685" t="s">
        <v>80</v>
      </c>
      <c r="D3685">
        <v>1967</v>
      </c>
      <c r="E3685" t="s">
        <v>29</v>
      </c>
      <c r="F3685" t="s">
        <v>30</v>
      </c>
      <c r="G3685" t="s">
        <v>31</v>
      </c>
      <c r="H3685" t="s">
        <v>32</v>
      </c>
      <c r="I3685">
        <v>6557.1527759999999</v>
      </c>
      <c r="J3685" t="s">
        <v>33</v>
      </c>
      <c r="K3685" t="s">
        <v>5045</v>
      </c>
      <c r="L3685" t="s">
        <v>21</v>
      </c>
      <c r="M3685" t="str">
        <f t="shared" si="171"/>
        <v>OK</v>
      </c>
      <c r="N3685" t="str">
        <f t="shared" si="172"/>
        <v>1960s</v>
      </c>
      <c r="O3685" t="str">
        <f t="shared" si="173"/>
        <v>N/A</v>
      </c>
      <c r="P3685" t="str">
        <f>VLOOKUP(E3685,calculated_fields!$F$4:$G$6,2,FALSE)</f>
        <v>Economy</v>
      </c>
    </row>
    <row r="3686" spans="1:16">
      <c r="A3686" t="s">
        <v>5048</v>
      </c>
      <c r="B3686" t="s">
        <v>5032</v>
      </c>
      <c r="C3686" t="s">
        <v>80</v>
      </c>
      <c r="D3686">
        <v>1972</v>
      </c>
      <c r="E3686" t="s">
        <v>15</v>
      </c>
      <c r="F3686" t="s">
        <v>16</v>
      </c>
      <c r="G3686" t="s">
        <v>17</v>
      </c>
      <c r="H3686" t="s">
        <v>18</v>
      </c>
      <c r="I3686">
        <v>70.849999999999994</v>
      </c>
      <c r="J3686" t="s">
        <v>19</v>
      </c>
      <c r="K3686" t="s">
        <v>5049</v>
      </c>
      <c r="L3686" t="s">
        <v>21</v>
      </c>
      <c r="M3686" t="str">
        <f t="shared" si="171"/>
        <v>OK</v>
      </c>
      <c r="N3686" t="str">
        <f t="shared" si="172"/>
        <v>1970s</v>
      </c>
      <c r="O3686" t="str">
        <f t="shared" si="173"/>
        <v>High</v>
      </c>
      <c r="P3686" t="str">
        <f>VLOOKUP(E3686,calculated_fields!$F$4:$G$6,2,FALSE)</f>
        <v>Health</v>
      </c>
    </row>
    <row r="3687" spans="1:16">
      <c r="A3687" t="s">
        <v>5050</v>
      </c>
      <c r="B3687" t="s">
        <v>5032</v>
      </c>
      <c r="C3687" t="s">
        <v>80</v>
      </c>
      <c r="D3687">
        <v>1972</v>
      </c>
      <c r="E3687" t="s">
        <v>23</v>
      </c>
      <c r="F3687" t="s">
        <v>24</v>
      </c>
      <c r="G3687" t="s">
        <v>25</v>
      </c>
      <c r="H3687" t="s">
        <v>26</v>
      </c>
      <c r="I3687">
        <v>33039545</v>
      </c>
      <c r="J3687" t="s">
        <v>27</v>
      </c>
      <c r="K3687" t="s">
        <v>5049</v>
      </c>
      <c r="L3687" t="s">
        <v>21</v>
      </c>
      <c r="M3687" t="str">
        <f t="shared" si="171"/>
        <v>OK</v>
      </c>
      <c r="N3687" t="str">
        <f t="shared" si="172"/>
        <v>1970s</v>
      </c>
      <c r="O3687" t="str">
        <f t="shared" si="173"/>
        <v>N/A</v>
      </c>
      <c r="P3687" t="str">
        <f>VLOOKUP(E3687,calculated_fields!$F$4:$G$6,2,FALSE)</f>
        <v>Demographics</v>
      </c>
    </row>
    <row r="3688" spans="1:16">
      <c r="A3688" t="s">
        <v>5051</v>
      </c>
      <c r="B3688" t="s">
        <v>5032</v>
      </c>
      <c r="C3688" t="s">
        <v>80</v>
      </c>
      <c r="D3688">
        <v>1972</v>
      </c>
      <c r="E3688" t="s">
        <v>29</v>
      </c>
      <c r="F3688" t="s">
        <v>30</v>
      </c>
      <c r="G3688" t="s">
        <v>31</v>
      </c>
      <c r="H3688" t="s">
        <v>32</v>
      </c>
      <c r="I3688">
        <v>8006.506993</v>
      </c>
      <c r="J3688" t="s">
        <v>33</v>
      </c>
      <c r="K3688" t="s">
        <v>5049</v>
      </c>
      <c r="L3688" t="s">
        <v>21</v>
      </c>
      <c r="M3688" t="str">
        <f t="shared" si="171"/>
        <v>OK</v>
      </c>
      <c r="N3688" t="str">
        <f t="shared" si="172"/>
        <v>1970s</v>
      </c>
      <c r="O3688" t="str">
        <f t="shared" si="173"/>
        <v>N/A</v>
      </c>
      <c r="P3688" t="str">
        <f>VLOOKUP(E3688,calculated_fields!$F$4:$G$6,2,FALSE)</f>
        <v>Economy</v>
      </c>
    </row>
    <row r="3689" spans="1:16">
      <c r="A3689" t="s">
        <v>5052</v>
      </c>
      <c r="B3689" t="s">
        <v>5032</v>
      </c>
      <c r="C3689" t="s">
        <v>80</v>
      </c>
      <c r="D3689">
        <v>1977</v>
      </c>
      <c r="E3689" t="s">
        <v>15</v>
      </c>
      <c r="F3689" t="s">
        <v>16</v>
      </c>
      <c r="G3689" t="s">
        <v>17</v>
      </c>
      <c r="H3689" t="s">
        <v>18</v>
      </c>
      <c r="I3689">
        <v>70.67</v>
      </c>
      <c r="J3689" t="s">
        <v>19</v>
      </c>
      <c r="K3689" t="s">
        <v>5053</v>
      </c>
      <c r="L3689" t="s">
        <v>21</v>
      </c>
      <c r="M3689" t="str">
        <f t="shared" si="171"/>
        <v>OK</v>
      </c>
      <c r="N3689" t="str">
        <f t="shared" si="172"/>
        <v>1970s</v>
      </c>
      <c r="O3689" t="str">
        <f t="shared" si="173"/>
        <v>High</v>
      </c>
      <c r="P3689" t="str">
        <f>VLOOKUP(E3689,calculated_fields!$F$4:$G$6,2,FALSE)</f>
        <v>Health</v>
      </c>
    </row>
    <row r="3690" spans="1:16">
      <c r="A3690" t="s">
        <v>5054</v>
      </c>
      <c r="B3690" t="s">
        <v>5032</v>
      </c>
      <c r="C3690" t="s">
        <v>80</v>
      </c>
      <c r="D3690">
        <v>1977</v>
      </c>
      <c r="E3690" t="s">
        <v>23</v>
      </c>
      <c r="F3690" t="s">
        <v>24</v>
      </c>
      <c r="G3690" t="s">
        <v>25</v>
      </c>
      <c r="H3690" t="s">
        <v>26</v>
      </c>
      <c r="I3690">
        <v>34621254</v>
      </c>
      <c r="J3690" t="s">
        <v>27</v>
      </c>
      <c r="K3690" t="s">
        <v>5053</v>
      </c>
      <c r="L3690" t="s">
        <v>21</v>
      </c>
      <c r="M3690" t="str">
        <f t="shared" si="171"/>
        <v>OK</v>
      </c>
      <c r="N3690" t="str">
        <f t="shared" si="172"/>
        <v>1970s</v>
      </c>
      <c r="O3690" t="str">
        <f t="shared" si="173"/>
        <v>N/A</v>
      </c>
      <c r="P3690" t="str">
        <f>VLOOKUP(E3690,calculated_fields!$F$4:$G$6,2,FALSE)</f>
        <v>Demographics</v>
      </c>
    </row>
    <row r="3691" spans="1:16">
      <c r="A3691" t="s">
        <v>5055</v>
      </c>
      <c r="B3691" t="s">
        <v>5032</v>
      </c>
      <c r="C3691" t="s">
        <v>80</v>
      </c>
      <c r="D3691">
        <v>1977</v>
      </c>
      <c r="E3691" t="s">
        <v>29</v>
      </c>
      <c r="F3691" t="s">
        <v>30</v>
      </c>
      <c r="G3691" t="s">
        <v>31</v>
      </c>
      <c r="H3691" t="s">
        <v>32</v>
      </c>
      <c r="I3691">
        <v>9508.1414540000005</v>
      </c>
      <c r="J3691" t="s">
        <v>33</v>
      </c>
      <c r="K3691" t="s">
        <v>5053</v>
      </c>
      <c r="L3691" t="s">
        <v>21</v>
      </c>
      <c r="M3691" t="str">
        <f t="shared" si="171"/>
        <v>OK</v>
      </c>
      <c r="N3691" t="str">
        <f t="shared" si="172"/>
        <v>1970s</v>
      </c>
      <c r="O3691" t="str">
        <f t="shared" si="173"/>
        <v>N/A</v>
      </c>
      <c r="P3691" t="str">
        <f>VLOOKUP(E3691,calculated_fields!$F$4:$G$6,2,FALSE)</f>
        <v>Economy</v>
      </c>
    </row>
    <row r="3692" spans="1:16">
      <c r="A3692" t="s">
        <v>5056</v>
      </c>
      <c r="B3692" t="s">
        <v>5032</v>
      </c>
      <c r="C3692" t="s">
        <v>80</v>
      </c>
      <c r="D3692">
        <v>1982</v>
      </c>
      <c r="E3692" t="s">
        <v>15</v>
      </c>
      <c r="F3692" t="s">
        <v>16</v>
      </c>
      <c r="G3692" t="s">
        <v>17</v>
      </c>
      <c r="H3692" t="s">
        <v>18</v>
      </c>
      <c r="I3692">
        <v>71.319999999999993</v>
      </c>
      <c r="J3692" t="s">
        <v>19</v>
      </c>
      <c r="K3692" t="s">
        <v>5057</v>
      </c>
      <c r="L3692" t="s">
        <v>21</v>
      </c>
      <c r="M3692" t="str">
        <f t="shared" si="171"/>
        <v>OK</v>
      </c>
      <c r="N3692" t="str">
        <f t="shared" si="172"/>
        <v>1980s</v>
      </c>
      <c r="O3692" t="str">
        <f t="shared" si="173"/>
        <v>High</v>
      </c>
      <c r="P3692" t="str">
        <f>VLOOKUP(E3692,calculated_fields!$F$4:$G$6,2,FALSE)</f>
        <v>Health</v>
      </c>
    </row>
    <row r="3693" spans="1:16">
      <c r="A3693" t="s">
        <v>5058</v>
      </c>
      <c r="B3693" t="s">
        <v>5032</v>
      </c>
      <c r="C3693" t="s">
        <v>80</v>
      </c>
      <c r="D3693">
        <v>1982</v>
      </c>
      <c r="E3693" t="s">
        <v>23</v>
      </c>
      <c r="F3693" t="s">
        <v>24</v>
      </c>
      <c r="G3693" t="s">
        <v>25</v>
      </c>
      <c r="H3693" t="s">
        <v>26</v>
      </c>
      <c r="I3693">
        <v>36227381</v>
      </c>
      <c r="J3693" t="s">
        <v>27</v>
      </c>
      <c r="K3693" t="s">
        <v>5057</v>
      </c>
      <c r="L3693" t="s">
        <v>21</v>
      </c>
      <c r="M3693" t="str">
        <f t="shared" si="171"/>
        <v>OK</v>
      </c>
      <c r="N3693" t="str">
        <f t="shared" si="172"/>
        <v>1980s</v>
      </c>
      <c r="O3693" t="str">
        <f t="shared" si="173"/>
        <v>N/A</v>
      </c>
      <c r="P3693" t="str">
        <f>VLOOKUP(E3693,calculated_fields!$F$4:$G$6,2,FALSE)</f>
        <v>Demographics</v>
      </c>
    </row>
    <row r="3694" spans="1:16">
      <c r="A3694" t="s">
        <v>5059</v>
      </c>
      <c r="B3694" t="s">
        <v>5032</v>
      </c>
      <c r="C3694" t="s">
        <v>80</v>
      </c>
      <c r="D3694">
        <v>1982</v>
      </c>
      <c r="E3694" t="s">
        <v>29</v>
      </c>
      <c r="F3694" t="s">
        <v>30</v>
      </c>
      <c r="G3694" t="s">
        <v>31</v>
      </c>
      <c r="H3694" t="s">
        <v>32</v>
      </c>
      <c r="I3694">
        <v>8451.5310040000004</v>
      </c>
      <c r="J3694" t="s">
        <v>33</v>
      </c>
      <c r="K3694" t="s">
        <v>5057</v>
      </c>
      <c r="L3694" t="s">
        <v>21</v>
      </c>
      <c r="M3694" t="str">
        <f t="shared" si="171"/>
        <v>OK</v>
      </c>
      <c r="N3694" t="str">
        <f t="shared" si="172"/>
        <v>1980s</v>
      </c>
      <c r="O3694" t="str">
        <f t="shared" si="173"/>
        <v>N/A</v>
      </c>
      <c r="P3694" t="str">
        <f>VLOOKUP(E3694,calculated_fields!$F$4:$G$6,2,FALSE)</f>
        <v>Economy</v>
      </c>
    </row>
    <row r="3695" spans="1:16">
      <c r="A3695" t="s">
        <v>5060</v>
      </c>
      <c r="B3695" t="s">
        <v>5032</v>
      </c>
      <c r="C3695" t="s">
        <v>80</v>
      </c>
      <c r="D3695">
        <v>1987</v>
      </c>
      <c r="E3695" t="s">
        <v>15</v>
      </c>
      <c r="F3695" t="s">
        <v>16</v>
      </c>
      <c r="G3695" t="s">
        <v>17</v>
      </c>
      <c r="H3695" t="s">
        <v>18</v>
      </c>
      <c r="I3695">
        <v>70.98</v>
      </c>
      <c r="J3695" t="s">
        <v>19</v>
      </c>
      <c r="K3695" t="s">
        <v>5061</v>
      </c>
      <c r="L3695" t="s">
        <v>21</v>
      </c>
      <c r="M3695" t="str">
        <f t="shared" si="171"/>
        <v>OK</v>
      </c>
      <c r="N3695" t="str">
        <f t="shared" si="172"/>
        <v>1980s</v>
      </c>
      <c r="O3695" t="str">
        <f t="shared" si="173"/>
        <v>High</v>
      </c>
      <c r="P3695" t="str">
        <f>VLOOKUP(E3695,calculated_fields!$F$4:$G$6,2,FALSE)</f>
        <v>Health</v>
      </c>
    </row>
    <row r="3696" spans="1:16">
      <c r="A3696" t="s">
        <v>5062</v>
      </c>
      <c r="B3696" t="s">
        <v>5032</v>
      </c>
      <c r="C3696" t="s">
        <v>80</v>
      </c>
      <c r="D3696">
        <v>1987</v>
      </c>
      <c r="E3696" t="s">
        <v>23</v>
      </c>
      <c r="F3696" t="s">
        <v>24</v>
      </c>
      <c r="G3696" t="s">
        <v>25</v>
      </c>
      <c r="H3696" t="s">
        <v>26</v>
      </c>
      <c r="I3696">
        <v>37740710</v>
      </c>
      <c r="J3696" t="s">
        <v>27</v>
      </c>
      <c r="K3696" t="s">
        <v>5061</v>
      </c>
      <c r="L3696" t="s">
        <v>21</v>
      </c>
      <c r="M3696" t="str">
        <f t="shared" si="171"/>
        <v>OK</v>
      </c>
      <c r="N3696" t="str">
        <f t="shared" si="172"/>
        <v>1980s</v>
      </c>
      <c r="O3696" t="str">
        <f t="shared" si="173"/>
        <v>N/A</v>
      </c>
      <c r="P3696" t="str">
        <f>VLOOKUP(E3696,calculated_fields!$F$4:$G$6,2,FALSE)</f>
        <v>Demographics</v>
      </c>
    </row>
    <row r="3697" spans="1:16">
      <c r="A3697" t="s">
        <v>5063</v>
      </c>
      <c r="B3697" t="s">
        <v>5032</v>
      </c>
      <c r="C3697" t="s">
        <v>80</v>
      </c>
      <c r="D3697">
        <v>1987</v>
      </c>
      <c r="E3697" t="s">
        <v>29</v>
      </c>
      <c r="F3697" t="s">
        <v>30</v>
      </c>
      <c r="G3697" t="s">
        <v>31</v>
      </c>
      <c r="H3697" t="s">
        <v>32</v>
      </c>
      <c r="I3697">
        <v>9082.3511720000006</v>
      </c>
      <c r="J3697" t="s">
        <v>33</v>
      </c>
      <c r="K3697" t="s">
        <v>5061</v>
      </c>
      <c r="L3697" t="s">
        <v>21</v>
      </c>
      <c r="M3697" t="str">
        <f t="shared" si="171"/>
        <v>OK</v>
      </c>
      <c r="N3697" t="str">
        <f t="shared" si="172"/>
        <v>1980s</v>
      </c>
      <c r="O3697" t="str">
        <f t="shared" si="173"/>
        <v>N/A</v>
      </c>
      <c r="P3697" t="str">
        <f>VLOOKUP(E3697,calculated_fields!$F$4:$G$6,2,FALSE)</f>
        <v>Economy</v>
      </c>
    </row>
    <row r="3698" spans="1:16">
      <c r="A3698" t="s">
        <v>5064</v>
      </c>
      <c r="B3698" t="s">
        <v>5032</v>
      </c>
      <c r="C3698" t="s">
        <v>80</v>
      </c>
      <c r="D3698">
        <v>1992</v>
      </c>
      <c r="E3698" t="s">
        <v>15</v>
      </c>
      <c r="F3698" t="s">
        <v>16</v>
      </c>
      <c r="G3698" t="s">
        <v>17</v>
      </c>
      <c r="H3698" t="s">
        <v>18</v>
      </c>
      <c r="I3698">
        <v>70.989999999999995</v>
      </c>
      <c r="J3698" t="s">
        <v>19</v>
      </c>
      <c r="K3698" t="s">
        <v>5065</v>
      </c>
      <c r="L3698" t="s">
        <v>21</v>
      </c>
      <c r="M3698" t="str">
        <f t="shared" si="171"/>
        <v>OK</v>
      </c>
      <c r="N3698" t="str">
        <f t="shared" si="172"/>
        <v>1990s</v>
      </c>
      <c r="O3698" t="str">
        <f t="shared" si="173"/>
        <v>High</v>
      </c>
      <c r="P3698" t="str">
        <f>VLOOKUP(E3698,calculated_fields!$F$4:$G$6,2,FALSE)</f>
        <v>Health</v>
      </c>
    </row>
    <row r="3699" spans="1:16">
      <c r="A3699" t="s">
        <v>5066</v>
      </c>
      <c r="B3699" t="s">
        <v>5032</v>
      </c>
      <c r="C3699" t="s">
        <v>80</v>
      </c>
      <c r="D3699">
        <v>1992</v>
      </c>
      <c r="E3699" t="s">
        <v>23</v>
      </c>
      <c r="F3699" t="s">
        <v>24</v>
      </c>
      <c r="G3699" t="s">
        <v>25</v>
      </c>
      <c r="H3699" t="s">
        <v>26</v>
      </c>
      <c r="I3699">
        <v>38370697</v>
      </c>
      <c r="J3699" t="s">
        <v>27</v>
      </c>
      <c r="K3699" t="s">
        <v>5065</v>
      </c>
      <c r="L3699" t="s">
        <v>21</v>
      </c>
      <c r="M3699" t="str">
        <f t="shared" si="171"/>
        <v>OK</v>
      </c>
      <c r="N3699" t="str">
        <f t="shared" si="172"/>
        <v>1990s</v>
      </c>
      <c r="O3699" t="str">
        <f t="shared" si="173"/>
        <v>N/A</v>
      </c>
      <c r="P3699" t="str">
        <f>VLOOKUP(E3699,calculated_fields!$F$4:$G$6,2,FALSE)</f>
        <v>Demographics</v>
      </c>
    </row>
    <row r="3700" spans="1:16">
      <c r="A3700" t="s">
        <v>5067</v>
      </c>
      <c r="B3700" t="s">
        <v>5032</v>
      </c>
      <c r="C3700" t="s">
        <v>80</v>
      </c>
      <c r="D3700">
        <v>1992</v>
      </c>
      <c r="E3700" t="s">
        <v>29</v>
      </c>
      <c r="F3700" t="s">
        <v>30</v>
      </c>
      <c r="G3700" t="s">
        <v>31</v>
      </c>
      <c r="H3700" t="s">
        <v>32</v>
      </c>
      <c r="I3700">
        <v>7738.8812470000003</v>
      </c>
      <c r="J3700" t="s">
        <v>33</v>
      </c>
      <c r="K3700" t="s">
        <v>5065</v>
      </c>
      <c r="L3700" t="s">
        <v>21</v>
      </c>
      <c r="M3700" t="str">
        <f t="shared" si="171"/>
        <v>OK</v>
      </c>
      <c r="N3700" t="str">
        <f t="shared" si="172"/>
        <v>1990s</v>
      </c>
      <c r="O3700" t="str">
        <f t="shared" si="173"/>
        <v>N/A</v>
      </c>
      <c r="P3700" t="str">
        <f>VLOOKUP(E3700,calculated_fields!$F$4:$G$6,2,FALSE)</f>
        <v>Economy</v>
      </c>
    </row>
    <row r="3701" spans="1:16">
      <c r="A3701" t="s">
        <v>5068</v>
      </c>
      <c r="B3701" t="s">
        <v>5032</v>
      </c>
      <c r="C3701" t="s">
        <v>80</v>
      </c>
      <c r="D3701">
        <v>1997</v>
      </c>
      <c r="E3701" t="s">
        <v>15</v>
      </c>
      <c r="F3701" t="s">
        <v>16</v>
      </c>
      <c r="G3701" t="s">
        <v>17</v>
      </c>
      <c r="H3701" t="s">
        <v>18</v>
      </c>
      <c r="I3701">
        <v>72.75</v>
      </c>
      <c r="J3701" t="s">
        <v>19</v>
      </c>
      <c r="K3701" t="s">
        <v>5069</v>
      </c>
      <c r="L3701" t="s">
        <v>21</v>
      </c>
      <c r="M3701" t="str">
        <f t="shared" si="171"/>
        <v>OK</v>
      </c>
      <c r="N3701" t="str">
        <f t="shared" si="172"/>
        <v>1990s</v>
      </c>
      <c r="O3701" t="str">
        <f t="shared" si="173"/>
        <v>High</v>
      </c>
      <c r="P3701" t="str">
        <f>VLOOKUP(E3701,calculated_fields!$F$4:$G$6,2,FALSE)</f>
        <v>Health</v>
      </c>
    </row>
    <row r="3702" spans="1:16">
      <c r="A3702" t="s">
        <v>5070</v>
      </c>
      <c r="B3702" t="s">
        <v>5032</v>
      </c>
      <c r="C3702" t="s">
        <v>80</v>
      </c>
      <c r="D3702">
        <v>1997</v>
      </c>
      <c r="E3702" t="s">
        <v>23</v>
      </c>
      <c r="F3702" t="s">
        <v>24</v>
      </c>
      <c r="G3702" t="s">
        <v>25</v>
      </c>
      <c r="H3702" t="s">
        <v>26</v>
      </c>
      <c r="I3702">
        <v>38654957</v>
      </c>
      <c r="J3702" t="s">
        <v>27</v>
      </c>
      <c r="K3702" t="s">
        <v>5069</v>
      </c>
      <c r="L3702" t="s">
        <v>21</v>
      </c>
      <c r="M3702" t="str">
        <f t="shared" si="171"/>
        <v>OK</v>
      </c>
      <c r="N3702" t="str">
        <f t="shared" si="172"/>
        <v>1990s</v>
      </c>
      <c r="O3702" t="str">
        <f t="shared" si="173"/>
        <v>N/A</v>
      </c>
      <c r="P3702" t="str">
        <f>VLOOKUP(E3702,calculated_fields!$F$4:$G$6,2,FALSE)</f>
        <v>Demographics</v>
      </c>
    </row>
    <row r="3703" spans="1:16">
      <c r="A3703" t="s">
        <v>5071</v>
      </c>
      <c r="B3703" t="s">
        <v>5032</v>
      </c>
      <c r="C3703" t="s">
        <v>80</v>
      </c>
      <c r="D3703">
        <v>1997</v>
      </c>
      <c r="E3703" t="s">
        <v>29</v>
      </c>
      <c r="F3703" t="s">
        <v>30</v>
      </c>
      <c r="G3703" t="s">
        <v>31</v>
      </c>
      <c r="H3703" t="s">
        <v>32</v>
      </c>
      <c r="I3703">
        <v>10159.58368</v>
      </c>
      <c r="J3703" t="s">
        <v>33</v>
      </c>
      <c r="K3703" t="s">
        <v>5069</v>
      </c>
      <c r="L3703" t="s">
        <v>21</v>
      </c>
      <c r="M3703" t="str">
        <f t="shared" si="171"/>
        <v>OK</v>
      </c>
      <c r="N3703" t="str">
        <f t="shared" si="172"/>
        <v>1990s</v>
      </c>
      <c r="O3703" t="str">
        <f t="shared" si="173"/>
        <v>N/A</v>
      </c>
      <c r="P3703" t="str">
        <f>VLOOKUP(E3703,calculated_fields!$F$4:$G$6,2,FALSE)</f>
        <v>Economy</v>
      </c>
    </row>
    <row r="3704" spans="1:16">
      <c r="A3704" t="s">
        <v>5072</v>
      </c>
      <c r="B3704" t="s">
        <v>5032</v>
      </c>
      <c r="C3704" t="s">
        <v>80</v>
      </c>
      <c r="D3704">
        <v>2002</v>
      </c>
      <c r="E3704" t="s">
        <v>15</v>
      </c>
      <c r="F3704" t="s">
        <v>16</v>
      </c>
      <c r="G3704" t="s">
        <v>17</v>
      </c>
      <c r="H3704" t="s">
        <v>18</v>
      </c>
      <c r="I3704">
        <v>74.67</v>
      </c>
      <c r="J3704" t="s">
        <v>19</v>
      </c>
      <c r="K3704" t="s">
        <v>5073</v>
      </c>
      <c r="L3704" t="s">
        <v>21</v>
      </c>
      <c r="M3704" t="str">
        <f t="shared" si="171"/>
        <v>OK</v>
      </c>
      <c r="N3704" t="str">
        <f t="shared" si="172"/>
        <v>2000s</v>
      </c>
      <c r="O3704" t="str">
        <f t="shared" si="173"/>
        <v>High</v>
      </c>
      <c r="P3704" t="str">
        <f>VLOOKUP(E3704,calculated_fields!$F$4:$G$6,2,FALSE)</f>
        <v>Health</v>
      </c>
    </row>
    <row r="3705" spans="1:16">
      <c r="A3705" t="s">
        <v>5074</v>
      </c>
      <c r="B3705" t="s">
        <v>5032</v>
      </c>
      <c r="C3705" t="s">
        <v>80</v>
      </c>
      <c r="D3705">
        <v>2002</v>
      </c>
      <c r="E3705" t="s">
        <v>23</v>
      </c>
      <c r="F3705" t="s">
        <v>24</v>
      </c>
      <c r="G3705" t="s">
        <v>25</v>
      </c>
      <c r="H3705" t="s">
        <v>26</v>
      </c>
      <c r="I3705">
        <v>38625976</v>
      </c>
      <c r="J3705" t="s">
        <v>27</v>
      </c>
      <c r="K3705" t="s">
        <v>5073</v>
      </c>
      <c r="L3705" t="s">
        <v>21</v>
      </c>
      <c r="M3705" t="str">
        <f t="shared" si="171"/>
        <v>OK</v>
      </c>
      <c r="N3705" t="str">
        <f t="shared" si="172"/>
        <v>2000s</v>
      </c>
      <c r="O3705" t="str">
        <f t="shared" si="173"/>
        <v>N/A</v>
      </c>
      <c r="P3705" t="str">
        <f>VLOOKUP(E3705,calculated_fields!$F$4:$G$6,2,FALSE)</f>
        <v>Demographics</v>
      </c>
    </row>
    <row r="3706" spans="1:16">
      <c r="A3706" t="s">
        <v>5075</v>
      </c>
      <c r="B3706" t="s">
        <v>5032</v>
      </c>
      <c r="C3706" t="s">
        <v>80</v>
      </c>
      <c r="D3706">
        <v>2002</v>
      </c>
      <c r="E3706" t="s">
        <v>29</v>
      </c>
      <c r="F3706" t="s">
        <v>30</v>
      </c>
      <c r="G3706" t="s">
        <v>31</v>
      </c>
      <c r="H3706" t="s">
        <v>32</v>
      </c>
      <c r="I3706">
        <v>12002.239079999999</v>
      </c>
      <c r="J3706" t="s">
        <v>33</v>
      </c>
      <c r="K3706" t="s">
        <v>5073</v>
      </c>
      <c r="L3706" t="s">
        <v>21</v>
      </c>
      <c r="M3706" t="str">
        <f t="shared" si="171"/>
        <v>OK</v>
      </c>
      <c r="N3706" t="str">
        <f t="shared" si="172"/>
        <v>2000s</v>
      </c>
      <c r="O3706" t="str">
        <f t="shared" si="173"/>
        <v>N/A</v>
      </c>
      <c r="P3706" t="str">
        <f>VLOOKUP(E3706,calculated_fields!$F$4:$G$6,2,FALSE)</f>
        <v>Economy</v>
      </c>
    </row>
    <row r="3707" spans="1:16">
      <c r="A3707" t="s">
        <v>5076</v>
      </c>
      <c r="B3707" t="s">
        <v>5032</v>
      </c>
      <c r="C3707" t="s">
        <v>80</v>
      </c>
      <c r="D3707">
        <v>2007</v>
      </c>
      <c r="E3707" t="s">
        <v>15</v>
      </c>
      <c r="F3707" t="s">
        <v>16</v>
      </c>
      <c r="G3707" t="s">
        <v>17</v>
      </c>
      <c r="H3707" t="s">
        <v>18</v>
      </c>
      <c r="I3707">
        <v>75.563000000000002</v>
      </c>
      <c r="J3707" t="s">
        <v>19</v>
      </c>
      <c r="K3707" t="s">
        <v>5077</v>
      </c>
      <c r="L3707" t="s">
        <v>21</v>
      </c>
      <c r="M3707" t="str">
        <f t="shared" si="171"/>
        <v>OK</v>
      </c>
      <c r="N3707" t="str">
        <f t="shared" si="172"/>
        <v>2000s</v>
      </c>
      <c r="O3707" t="str">
        <f t="shared" si="173"/>
        <v>High</v>
      </c>
      <c r="P3707" t="str">
        <f>VLOOKUP(E3707,calculated_fields!$F$4:$G$6,2,FALSE)</f>
        <v>Health</v>
      </c>
    </row>
    <row r="3708" spans="1:16">
      <c r="A3708" t="s">
        <v>5078</v>
      </c>
      <c r="B3708" t="s">
        <v>5032</v>
      </c>
      <c r="C3708" t="s">
        <v>80</v>
      </c>
      <c r="D3708">
        <v>2007</v>
      </c>
      <c r="E3708" t="s">
        <v>23</v>
      </c>
      <c r="F3708" t="s">
        <v>24</v>
      </c>
      <c r="G3708" t="s">
        <v>25</v>
      </c>
      <c r="H3708" t="s">
        <v>26</v>
      </c>
      <c r="I3708">
        <v>38518241</v>
      </c>
      <c r="J3708" t="s">
        <v>27</v>
      </c>
      <c r="K3708" t="s">
        <v>5077</v>
      </c>
      <c r="L3708" t="s">
        <v>21</v>
      </c>
      <c r="M3708" t="str">
        <f t="shared" si="171"/>
        <v>OK</v>
      </c>
      <c r="N3708" t="str">
        <f t="shared" si="172"/>
        <v>2000s</v>
      </c>
      <c r="O3708" t="str">
        <f t="shared" si="173"/>
        <v>N/A</v>
      </c>
      <c r="P3708" t="str">
        <f>VLOOKUP(E3708,calculated_fields!$F$4:$G$6,2,FALSE)</f>
        <v>Demographics</v>
      </c>
    </row>
    <row r="3709" spans="1:16">
      <c r="A3709" t="s">
        <v>5079</v>
      </c>
      <c r="B3709" t="s">
        <v>5032</v>
      </c>
      <c r="C3709" t="s">
        <v>80</v>
      </c>
      <c r="D3709">
        <v>2007</v>
      </c>
      <c r="E3709" t="s">
        <v>29</v>
      </c>
      <c r="F3709" t="s">
        <v>30</v>
      </c>
      <c r="G3709" t="s">
        <v>31</v>
      </c>
      <c r="H3709" t="s">
        <v>32</v>
      </c>
      <c r="I3709">
        <v>15389.92468</v>
      </c>
      <c r="J3709" t="s">
        <v>33</v>
      </c>
      <c r="K3709" t="s">
        <v>5077</v>
      </c>
      <c r="L3709" t="s">
        <v>21</v>
      </c>
      <c r="M3709" t="str">
        <f t="shared" si="171"/>
        <v>OK</v>
      </c>
      <c r="N3709" t="str">
        <f t="shared" si="172"/>
        <v>2000s</v>
      </c>
      <c r="O3709" t="str">
        <f t="shared" si="173"/>
        <v>N/A</v>
      </c>
      <c r="P3709" t="str">
        <f>VLOOKUP(E3709,calculated_fields!$F$4:$G$6,2,FALSE)</f>
        <v>Economy</v>
      </c>
    </row>
    <row r="3710" spans="1:16">
      <c r="A3710" t="s">
        <v>5080</v>
      </c>
      <c r="B3710" t="s">
        <v>5081</v>
      </c>
      <c r="C3710" t="s">
        <v>80</v>
      </c>
      <c r="D3710">
        <v>1952</v>
      </c>
      <c r="E3710" t="s">
        <v>15</v>
      </c>
      <c r="F3710" t="s">
        <v>16</v>
      </c>
      <c r="G3710" t="s">
        <v>17</v>
      </c>
      <c r="H3710" t="s">
        <v>18</v>
      </c>
      <c r="I3710">
        <v>59.82</v>
      </c>
      <c r="J3710" t="s">
        <v>19</v>
      </c>
      <c r="K3710" t="s">
        <v>5082</v>
      </c>
      <c r="L3710" t="s">
        <v>21</v>
      </c>
      <c r="M3710" t="str">
        <f t="shared" si="171"/>
        <v>OK</v>
      </c>
      <c r="N3710" t="str">
        <f t="shared" si="172"/>
        <v>1950s</v>
      </c>
      <c r="O3710" t="str">
        <f t="shared" si="173"/>
        <v>Medium</v>
      </c>
      <c r="P3710" t="str">
        <f>VLOOKUP(E3710,calculated_fields!$F$4:$G$6,2,FALSE)</f>
        <v>Health</v>
      </c>
    </row>
    <row r="3711" spans="1:16">
      <c r="A3711" t="s">
        <v>5083</v>
      </c>
      <c r="B3711" t="s">
        <v>5081</v>
      </c>
      <c r="C3711" t="s">
        <v>80</v>
      </c>
      <c r="D3711">
        <v>1952</v>
      </c>
      <c r="E3711" t="s">
        <v>23</v>
      </c>
      <c r="F3711" t="s">
        <v>24</v>
      </c>
      <c r="G3711" t="s">
        <v>25</v>
      </c>
      <c r="H3711" t="s">
        <v>26</v>
      </c>
      <c r="I3711">
        <v>8526050</v>
      </c>
      <c r="J3711" t="s">
        <v>27</v>
      </c>
      <c r="K3711" t="s">
        <v>5082</v>
      </c>
      <c r="L3711" t="s">
        <v>21</v>
      </c>
      <c r="M3711" t="str">
        <f t="shared" si="171"/>
        <v>OK</v>
      </c>
      <c r="N3711" t="str">
        <f t="shared" si="172"/>
        <v>1950s</v>
      </c>
      <c r="O3711" t="str">
        <f t="shared" si="173"/>
        <v>N/A</v>
      </c>
      <c r="P3711" t="str">
        <f>VLOOKUP(E3711,calculated_fields!$F$4:$G$6,2,FALSE)</f>
        <v>Demographics</v>
      </c>
    </row>
    <row r="3712" spans="1:16">
      <c r="A3712" t="s">
        <v>5084</v>
      </c>
      <c r="B3712" t="s">
        <v>5081</v>
      </c>
      <c r="C3712" t="s">
        <v>80</v>
      </c>
      <c r="D3712">
        <v>1952</v>
      </c>
      <c r="E3712" t="s">
        <v>29</v>
      </c>
      <c r="F3712" t="s">
        <v>30</v>
      </c>
      <c r="G3712" t="s">
        <v>31</v>
      </c>
      <c r="H3712" t="s">
        <v>32</v>
      </c>
      <c r="I3712">
        <v>3068.3198670000002</v>
      </c>
      <c r="J3712" t="s">
        <v>33</v>
      </c>
      <c r="K3712" t="s">
        <v>5082</v>
      </c>
      <c r="L3712" t="s">
        <v>21</v>
      </c>
      <c r="M3712" t="str">
        <f t="shared" si="171"/>
        <v>OK</v>
      </c>
      <c r="N3712" t="str">
        <f t="shared" si="172"/>
        <v>1950s</v>
      </c>
      <c r="O3712" t="str">
        <f t="shared" si="173"/>
        <v>N/A</v>
      </c>
      <c r="P3712" t="str">
        <f>VLOOKUP(E3712,calculated_fields!$F$4:$G$6,2,FALSE)</f>
        <v>Economy</v>
      </c>
    </row>
    <row r="3713" spans="1:16">
      <c r="A3713" t="s">
        <v>5085</v>
      </c>
      <c r="B3713" t="s">
        <v>5081</v>
      </c>
      <c r="C3713" t="s">
        <v>80</v>
      </c>
      <c r="D3713">
        <v>1957</v>
      </c>
      <c r="E3713" t="s">
        <v>15</v>
      </c>
      <c r="F3713" t="s">
        <v>16</v>
      </c>
      <c r="G3713" t="s">
        <v>17</v>
      </c>
      <c r="H3713" t="s">
        <v>18</v>
      </c>
      <c r="I3713">
        <v>61.51</v>
      </c>
      <c r="J3713" t="s">
        <v>19</v>
      </c>
      <c r="K3713" t="s">
        <v>5086</v>
      </c>
      <c r="L3713" t="s">
        <v>21</v>
      </c>
      <c r="M3713" t="str">
        <f t="shared" si="171"/>
        <v>OK</v>
      </c>
      <c r="N3713" t="str">
        <f t="shared" si="172"/>
        <v>1950s</v>
      </c>
      <c r="O3713" t="str">
        <f t="shared" si="173"/>
        <v>Medium</v>
      </c>
      <c r="P3713" t="str">
        <f>VLOOKUP(E3713,calculated_fields!$F$4:$G$6,2,FALSE)</f>
        <v>Health</v>
      </c>
    </row>
    <row r="3714" spans="1:16">
      <c r="A3714" t="s">
        <v>5087</v>
      </c>
      <c r="B3714" t="s">
        <v>5081</v>
      </c>
      <c r="C3714" t="s">
        <v>80</v>
      </c>
      <c r="D3714">
        <v>1957</v>
      </c>
      <c r="E3714" t="s">
        <v>23</v>
      </c>
      <c r="F3714" t="s">
        <v>24</v>
      </c>
      <c r="G3714" t="s">
        <v>25</v>
      </c>
      <c r="H3714" t="s">
        <v>26</v>
      </c>
      <c r="I3714">
        <v>8817650</v>
      </c>
      <c r="J3714" t="s">
        <v>27</v>
      </c>
      <c r="K3714" t="s">
        <v>5086</v>
      </c>
      <c r="L3714" t="s">
        <v>21</v>
      </c>
      <c r="M3714" t="str">
        <f t="shared" ref="M3714:M3777" si="174">IF(AND(ISNUMBER(I3714),I3714&gt;=0),"OK","Review")</f>
        <v>OK</v>
      </c>
      <c r="N3714" t="str">
        <f t="shared" ref="N3714:N3777" si="175">FLOOR(D3714,10)&amp;"s"</f>
        <v>1950s</v>
      </c>
      <c r="O3714" t="str">
        <f t="shared" ref="O3714:O3777" si="176">IF(E3714="LIFE_EXP",IF(I3714&gt;=70,"High",IF(I3714&gt;=55,"Medium","Low")),"N/A")</f>
        <v>N/A</v>
      </c>
      <c r="P3714" t="str">
        <f>VLOOKUP(E3714,calculated_fields!$F$4:$G$6,2,FALSE)</f>
        <v>Demographics</v>
      </c>
    </row>
    <row r="3715" spans="1:16">
      <c r="A3715" t="s">
        <v>5088</v>
      </c>
      <c r="B3715" t="s">
        <v>5081</v>
      </c>
      <c r="C3715" t="s">
        <v>80</v>
      </c>
      <c r="D3715">
        <v>1957</v>
      </c>
      <c r="E3715" t="s">
        <v>29</v>
      </c>
      <c r="F3715" t="s">
        <v>30</v>
      </c>
      <c r="G3715" t="s">
        <v>31</v>
      </c>
      <c r="H3715" t="s">
        <v>32</v>
      </c>
      <c r="I3715">
        <v>3774.571743</v>
      </c>
      <c r="J3715" t="s">
        <v>33</v>
      </c>
      <c r="K3715" t="s">
        <v>5086</v>
      </c>
      <c r="L3715" t="s">
        <v>21</v>
      </c>
      <c r="M3715" t="str">
        <f t="shared" si="174"/>
        <v>OK</v>
      </c>
      <c r="N3715" t="str">
        <f t="shared" si="175"/>
        <v>1950s</v>
      </c>
      <c r="O3715" t="str">
        <f t="shared" si="176"/>
        <v>N/A</v>
      </c>
      <c r="P3715" t="str">
        <f>VLOOKUP(E3715,calculated_fields!$F$4:$G$6,2,FALSE)</f>
        <v>Economy</v>
      </c>
    </row>
    <row r="3716" spans="1:16">
      <c r="A3716" t="s">
        <v>5089</v>
      </c>
      <c r="B3716" t="s">
        <v>5081</v>
      </c>
      <c r="C3716" t="s">
        <v>80</v>
      </c>
      <c r="D3716">
        <v>1962</v>
      </c>
      <c r="E3716" t="s">
        <v>15</v>
      </c>
      <c r="F3716" t="s">
        <v>16</v>
      </c>
      <c r="G3716" t="s">
        <v>17</v>
      </c>
      <c r="H3716" t="s">
        <v>18</v>
      </c>
      <c r="I3716">
        <v>64.39</v>
      </c>
      <c r="J3716" t="s">
        <v>19</v>
      </c>
      <c r="K3716" t="s">
        <v>5090</v>
      </c>
      <c r="L3716" t="s">
        <v>21</v>
      </c>
      <c r="M3716" t="str">
        <f t="shared" si="174"/>
        <v>OK</v>
      </c>
      <c r="N3716" t="str">
        <f t="shared" si="175"/>
        <v>1960s</v>
      </c>
      <c r="O3716" t="str">
        <f t="shared" si="176"/>
        <v>Medium</v>
      </c>
      <c r="P3716" t="str">
        <f>VLOOKUP(E3716,calculated_fields!$F$4:$G$6,2,FALSE)</f>
        <v>Health</v>
      </c>
    </row>
    <row r="3717" spans="1:16">
      <c r="A3717" t="s">
        <v>5091</v>
      </c>
      <c r="B3717" t="s">
        <v>5081</v>
      </c>
      <c r="C3717" t="s">
        <v>80</v>
      </c>
      <c r="D3717">
        <v>1962</v>
      </c>
      <c r="E3717" t="s">
        <v>23</v>
      </c>
      <c r="F3717" t="s">
        <v>24</v>
      </c>
      <c r="G3717" t="s">
        <v>25</v>
      </c>
      <c r="H3717" t="s">
        <v>26</v>
      </c>
      <c r="I3717">
        <v>9019800</v>
      </c>
      <c r="J3717" t="s">
        <v>27</v>
      </c>
      <c r="K3717" t="s">
        <v>5090</v>
      </c>
      <c r="L3717" t="s">
        <v>21</v>
      </c>
      <c r="M3717" t="str">
        <f t="shared" si="174"/>
        <v>OK</v>
      </c>
      <c r="N3717" t="str">
        <f t="shared" si="175"/>
        <v>1960s</v>
      </c>
      <c r="O3717" t="str">
        <f t="shared" si="176"/>
        <v>N/A</v>
      </c>
      <c r="P3717" t="str">
        <f>VLOOKUP(E3717,calculated_fields!$F$4:$G$6,2,FALSE)</f>
        <v>Demographics</v>
      </c>
    </row>
    <row r="3718" spans="1:16">
      <c r="A3718" t="s">
        <v>5092</v>
      </c>
      <c r="B3718" t="s">
        <v>5081</v>
      </c>
      <c r="C3718" t="s">
        <v>80</v>
      </c>
      <c r="D3718">
        <v>1962</v>
      </c>
      <c r="E3718" t="s">
        <v>29</v>
      </c>
      <c r="F3718" t="s">
        <v>30</v>
      </c>
      <c r="G3718" t="s">
        <v>31</v>
      </c>
      <c r="H3718" t="s">
        <v>32</v>
      </c>
      <c r="I3718">
        <v>4727.9548889999996</v>
      </c>
      <c r="J3718" t="s">
        <v>33</v>
      </c>
      <c r="K3718" t="s">
        <v>5090</v>
      </c>
      <c r="L3718" t="s">
        <v>21</v>
      </c>
      <c r="M3718" t="str">
        <f t="shared" si="174"/>
        <v>OK</v>
      </c>
      <c r="N3718" t="str">
        <f t="shared" si="175"/>
        <v>1960s</v>
      </c>
      <c r="O3718" t="str">
        <f t="shared" si="176"/>
        <v>N/A</v>
      </c>
      <c r="P3718" t="str">
        <f>VLOOKUP(E3718,calculated_fields!$F$4:$G$6,2,FALSE)</f>
        <v>Economy</v>
      </c>
    </row>
    <row r="3719" spans="1:16">
      <c r="A3719" t="s">
        <v>5093</v>
      </c>
      <c r="B3719" t="s">
        <v>5081</v>
      </c>
      <c r="C3719" t="s">
        <v>80</v>
      </c>
      <c r="D3719">
        <v>1967</v>
      </c>
      <c r="E3719" t="s">
        <v>15</v>
      </c>
      <c r="F3719" t="s">
        <v>16</v>
      </c>
      <c r="G3719" t="s">
        <v>17</v>
      </c>
      <c r="H3719" t="s">
        <v>18</v>
      </c>
      <c r="I3719">
        <v>66.599999999999994</v>
      </c>
      <c r="J3719" t="s">
        <v>19</v>
      </c>
      <c r="K3719" t="s">
        <v>5094</v>
      </c>
      <c r="L3719" t="s">
        <v>21</v>
      </c>
      <c r="M3719" t="str">
        <f t="shared" si="174"/>
        <v>OK</v>
      </c>
      <c r="N3719" t="str">
        <f t="shared" si="175"/>
        <v>1960s</v>
      </c>
      <c r="O3719" t="str">
        <f t="shared" si="176"/>
        <v>Medium</v>
      </c>
      <c r="P3719" t="str">
        <f>VLOOKUP(E3719,calculated_fields!$F$4:$G$6,2,FALSE)</f>
        <v>Health</v>
      </c>
    </row>
    <row r="3720" spans="1:16">
      <c r="A3720" t="s">
        <v>5095</v>
      </c>
      <c r="B3720" t="s">
        <v>5081</v>
      </c>
      <c r="C3720" t="s">
        <v>80</v>
      </c>
      <c r="D3720">
        <v>1967</v>
      </c>
      <c r="E3720" t="s">
        <v>23</v>
      </c>
      <c r="F3720" t="s">
        <v>24</v>
      </c>
      <c r="G3720" t="s">
        <v>25</v>
      </c>
      <c r="H3720" t="s">
        <v>26</v>
      </c>
      <c r="I3720">
        <v>9103000</v>
      </c>
      <c r="J3720" t="s">
        <v>27</v>
      </c>
      <c r="K3720" t="s">
        <v>5094</v>
      </c>
      <c r="L3720" t="s">
        <v>21</v>
      </c>
      <c r="M3720" t="str">
        <f t="shared" si="174"/>
        <v>OK</v>
      </c>
      <c r="N3720" t="str">
        <f t="shared" si="175"/>
        <v>1960s</v>
      </c>
      <c r="O3720" t="str">
        <f t="shared" si="176"/>
        <v>N/A</v>
      </c>
      <c r="P3720" t="str">
        <f>VLOOKUP(E3720,calculated_fields!$F$4:$G$6,2,FALSE)</f>
        <v>Demographics</v>
      </c>
    </row>
    <row r="3721" spans="1:16">
      <c r="A3721" t="s">
        <v>5096</v>
      </c>
      <c r="B3721" t="s">
        <v>5081</v>
      </c>
      <c r="C3721" t="s">
        <v>80</v>
      </c>
      <c r="D3721">
        <v>1967</v>
      </c>
      <c r="E3721" t="s">
        <v>29</v>
      </c>
      <c r="F3721" t="s">
        <v>30</v>
      </c>
      <c r="G3721" t="s">
        <v>31</v>
      </c>
      <c r="H3721" t="s">
        <v>32</v>
      </c>
      <c r="I3721">
        <v>6361.5179930000004</v>
      </c>
      <c r="J3721" t="s">
        <v>33</v>
      </c>
      <c r="K3721" t="s">
        <v>5094</v>
      </c>
      <c r="L3721" t="s">
        <v>21</v>
      </c>
      <c r="M3721" t="str">
        <f t="shared" si="174"/>
        <v>OK</v>
      </c>
      <c r="N3721" t="str">
        <f t="shared" si="175"/>
        <v>1960s</v>
      </c>
      <c r="O3721" t="str">
        <f t="shared" si="176"/>
        <v>N/A</v>
      </c>
      <c r="P3721" t="str">
        <f>VLOOKUP(E3721,calculated_fields!$F$4:$G$6,2,FALSE)</f>
        <v>Economy</v>
      </c>
    </row>
    <row r="3722" spans="1:16">
      <c r="A3722" t="s">
        <v>5097</v>
      </c>
      <c r="B3722" t="s">
        <v>5081</v>
      </c>
      <c r="C3722" t="s">
        <v>80</v>
      </c>
      <c r="D3722">
        <v>1972</v>
      </c>
      <c r="E3722" t="s">
        <v>15</v>
      </c>
      <c r="F3722" t="s">
        <v>16</v>
      </c>
      <c r="G3722" t="s">
        <v>17</v>
      </c>
      <c r="H3722" t="s">
        <v>18</v>
      </c>
      <c r="I3722">
        <v>69.260000000000005</v>
      </c>
      <c r="J3722" t="s">
        <v>19</v>
      </c>
      <c r="K3722" t="s">
        <v>5098</v>
      </c>
      <c r="L3722" t="s">
        <v>21</v>
      </c>
      <c r="M3722" t="str">
        <f t="shared" si="174"/>
        <v>OK</v>
      </c>
      <c r="N3722" t="str">
        <f t="shared" si="175"/>
        <v>1970s</v>
      </c>
      <c r="O3722" t="str">
        <f t="shared" si="176"/>
        <v>Medium</v>
      </c>
      <c r="P3722" t="str">
        <f>VLOOKUP(E3722,calculated_fields!$F$4:$G$6,2,FALSE)</f>
        <v>Health</v>
      </c>
    </row>
    <row r="3723" spans="1:16">
      <c r="A3723" t="s">
        <v>5099</v>
      </c>
      <c r="B3723" t="s">
        <v>5081</v>
      </c>
      <c r="C3723" t="s">
        <v>80</v>
      </c>
      <c r="D3723">
        <v>1972</v>
      </c>
      <c r="E3723" t="s">
        <v>23</v>
      </c>
      <c r="F3723" t="s">
        <v>24</v>
      </c>
      <c r="G3723" t="s">
        <v>25</v>
      </c>
      <c r="H3723" t="s">
        <v>26</v>
      </c>
      <c r="I3723">
        <v>8970450</v>
      </c>
      <c r="J3723" t="s">
        <v>27</v>
      </c>
      <c r="K3723" t="s">
        <v>5098</v>
      </c>
      <c r="L3723" t="s">
        <v>21</v>
      </c>
      <c r="M3723" t="str">
        <f t="shared" si="174"/>
        <v>OK</v>
      </c>
      <c r="N3723" t="str">
        <f t="shared" si="175"/>
        <v>1970s</v>
      </c>
      <c r="O3723" t="str">
        <f t="shared" si="176"/>
        <v>N/A</v>
      </c>
      <c r="P3723" t="str">
        <f>VLOOKUP(E3723,calculated_fields!$F$4:$G$6,2,FALSE)</f>
        <v>Demographics</v>
      </c>
    </row>
    <row r="3724" spans="1:16">
      <c r="A3724" t="s">
        <v>5100</v>
      </c>
      <c r="B3724" t="s">
        <v>5081</v>
      </c>
      <c r="C3724" t="s">
        <v>80</v>
      </c>
      <c r="D3724">
        <v>1972</v>
      </c>
      <c r="E3724" t="s">
        <v>29</v>
      </c>
      <c r="F3724" t="s">
        <v>30</v>
      </c>
      <c r="G3724" t="s">
        <v>31</v>
      </c>
      <c r="H3724" t="s">
        <v>32</v>
      </c>
      <c r="I3724">
        <v>9022.2474170000005</v>
      </c>
      <c r="J3724" t="s">
        <v>33</v>
      </c>
      <c r="K3724" t="s">
        <v>5098</v>
      </c>
      <c r="L3724" t="s">
        <v>21</v>
      </c>
      <c r="M3724" t="str">
        <f t="shared" si="174"/>
        <v>OK</v>
      </c>
      <c r="N3724" t="str">
        <f t="shared" si="175"/>
        <v>1970s</v>
      </c>
      <c r="O3724" t="str">
        <f t="shared" si="176"/>
        <v>N/A</v>
      </c>
      <c r="P3724" t="str">
        <f>VLOOKUP(E3724,calculated_fields!$F$4:$G$6,2,FALSE)</f>
        <v>Economy</v>
      </c>
    </row>
    <row r="3725" spans="1:16">
      <c r="A3725" t="s">
        <v>5101</v>
      </c>
      <c r="B3725" t="s">
        <v>5081</v>
      </c>
      <c r="C3725" t="s">
        <v>80</v>
      </c>
      <c r="D3725">
        <v>1977</v>
      </c>
      <c r="E3725" t="s">
        <v>15</v>
      </c>
      <c r="F3725" t="s">
        <v>16</v>
      </c>
      <c r="G3725" t="s">
        <v>17</v>
      </c>
      <c r="H3725" t="s">
        <v>18</v>
      </c>
      <c r="I3725">
        <v>70.41</v>
      </c>
      <c r="J3725" t="s">
        <v>19</v>
      </c>
      <c r="K3725" t="s">
        <v>5102</v>
      </c>
      <c r="L3725" t="s">
        <v>21</v>
      </c>
      <c r="M3725" t="str">
        <f t="shared" si="174"/>
        <v>OK</v>
      </c>
      <c r="N3725" t="str">
        <f t="shared" si="175"/>
        <v>1970s</v>
      </c>
      <c r="O3725" t="str">
        <f t="shared" si="176"/>
        <v>High</v>
      </c>
      <c r="P3725" t="str">
        <f>VLOOKUP(E3725,calculated_fields!$F$4:$G$6,2,FALSE)</f>
        <v>Health</v>
      </c>
    </row>
    <row r="3726" spans="1:16">
      <c r="A3726" t="s">
        <v>5103</v>
      </c>
      <c r="B3726" t="s">
        <v>5081</v>
      </c>
      <c r="C3726" t="s">
        <v>80</v>
      </c>
      <c r="D3726">
        <v>1977</v>
      </c>
      <c r="E3726" t="s">
        <v>23</v>
      </c>
      <c r="F3726" t="s">
        <v>24</v>
      </c>
      <c r="G3726" t="s">
        <v>25</v>
      </c>
      <c r="H3726" t="s">
        <v>26</v>
      </c>
      <c r="I3726">
        <v>9662600</v>
      </c>
      <c r="J3726" t="s">
        <v>27</v>
      </c>
      <c r="K3726" t="s">
        <v>5102</v>
      </c>
      <c r="L3726" t="s">
        <v>21</v>
      </c>
      <c r="M3726" t="str">
        <f t="shared" si="174"/>
        <v>OK</v>
      </c>
      <c r="N3726" t="str">
        <f t="shared" si="175"/>
        <v>1970s</v>
      </c>
      <c r="O3726" t="str">
        <f t="shared" si="176"/>
        <v>N/A</v>
      </c>
      <c r="P3726" t="str">
        <f>VLOOKUP(E3726,calculated_fields!$F$4:$G$6,2,FALSE)</f>
        <v>Demographics</v>
      </c>
    </row>
    <row r="3727" spans="1:16">
      <c r="A3727" t="s">
        <v>5104</v>
      </c>
      <c r="B3727" t="s">
        <v>5081</v>
      </c>
      <c r="C3727" t="s">
        <v>80</v>
      </c>
      <c r="D3727">
        <v>1977</v>
      </c>
      <c r="E3727" t="s">
        <v>29</v>
      </c>
      <c r="F3727" t="s">
        <v>30</v>
      </c>
      <c r="G3727" t="s">
        <v>31</v>
      </c>
      <c r="H3727" t="s">
        <v>32</v>
      </c>
      <c r="I3727">
        <v>10172.485720000001</v>
      </c>
      <c r="J3727" t="s">
        <v>33</v>
      </c>
      <c r="K3727" t="s">
        <v>5102</v>
      </c>
      <c r="L3727" t="s">
        <v>21</v>
      </c>
      <c r="M3727" t="str">
        <f t="shared" si="174"/>
        <v>OK</v>
      </c>
      <c r="N3727" t="str">
        <f t="shared" si="175"/>
        <v>1970s</v>
      </c>
      <c r="O3727" t="str">
        <f t="shared" si="176"/>
        <v>N/A</v>
      </c>
      <c r="P3727" t="str">
        <f>VLOOKUP(E3727,calculated_fields!$F$4:$G$6,2,FALSE)</f>
        <v>Economy</v>
      </c>
    </row>
    <row r="3728" spans="1:16">
      <c r="A3728" t="s">
        <v>5105</v>
      </c>
      <c r="B3728" t="s">
        <v>5081</v>
      </c>
      <c r="C3728" t="s">
        <v>80</v>
      </c>
      <c r="D3728">
        <v>1982</v>
      </c>
      <c r="E3728" t="s">
        <v>15</v>
      </c>
      <c r="F3728" t="s">
        <v>16</v>
      </c>
      <c r="G3728" t="s">
        <v>17</v>
      </c>
      <c r="H3728" t="s">
        <v>18</v>
      </c>
      <c r="I3728">
        <v>72.77</v>
      </c>
      <c r="J3728" t="s">
        <v>19</v>
      </c>
      <c r="K3728" t="s">
        <v>5106</v>
      </c>
      <c r="L3728" t="s">
        <v>21</v>
      </c>
      <c r="M3728" t="str">
        <f t="shared" si="174"/>
        <v>OK</v>
      </c>
      <c r="N3728" t="str">
        <f t="shared" si="175"/>
        <v>1980s</v>
      </c>
      <c r="O3728" t="str">
        <f t="shared" si="176"/>
        <v>High</v>
      </c>
      <c r="P3728" t="str">
        <f>VLOOKUP(E3728,calculated_fields!$F$4:$G$6,2,FALSE)</f>
        <v>Health</v>
      </c>
    </row>
    <row r="3729" spans="1:16">
      <c r="A3729" t="s">
        <v>5107</v>
      </c>
      <c r="B3729" t="s">
        <v>5081</v>
      </c>
      <c r="C3729" t="s">
        <v>80</v>
      </c>
      <c r="D3729">
        <v>1982</v>
      </c>
      <c r="E3729" t="s">
        <v>23</v>
      </c>
      <c r="F3729" t="s">
        <v>24</v>
      </c>
      <c r="G3729" t="s">
        <v>25</v>
      </c>
      <c r="H3729" t="s">
        <v>26</v>
      </c>
      <c r="I3729">
        <v>9859650</v>
      </c>
      <c r="J3729" t="s">
        <v>27</v>
      </c>
      <c r="K3729" t="s">
        <v>5106</v>
      </c>
      <c r="L3729" t="s">
        <v>21</v>
      </c>
      <c r="M3729" t="str">
        <f t="shared" si="174"/>
        <v>OK</v>
      </c>
      <c r="N3729" t="str">
        <f t="shared" si="175"/>
        <v>1980s</v>
      </c>
      <c r="O3729" t="str">
        <f t="shared" si="176"/>
        <v>N/A</v>
      </c>
      <c r="P3729" t="str">
        <f>VLOOKUP(E3729,calculated_fields!$F$4:$G$6,2,FALSE)</f>
        <v>Demographics</v>
      </c>
    </row>
    <row r="3730" spans="1:16">
      <c r="A3730" t="s">
        <v>5108</v>
      </c>
      <c r="B3730" t="s">
        <v>5081</v>
      </c>
      <c r="C3730" t="s">
        <v>80</v>
      </c>
      <c r="D3730">
        <v>1982</v>
      </c>
      <c r="E3730" t="s">
        <v>29</v>
      </c>
      <c r="F3730" t="s">
        <v>30</v>
      </c>
      <c r="G3730" t="s">
        <v>31</v>
      </c>
      <c r="H3730" t="s">
        <v>32</v>
      </c>
      <c r="I3730">
        <v>11753.842909999999</v>
      </c>
      <c r="J3730" t="s">
        <v>33</v>
      </c>
      <c r="K3730" t="s">
        <v>5106</v>
      </c>
      <c r="L3730" t="s">
        <v>21</v>
      </c>
      <c r="M3730" t="str">
        <f t="shared" si="174"/>
        <v>OK</v>
      </c>
      <c r="N3730" t="str">
        <f t="shared" si="175"/>
        <v>1980s</v>
      </c>
      <c r="O3730" t="str">
        <f t="shared" si="176"/>
        <v>N/A</v>
      </c>
      <c r="P3730" t="str">
        <f>VLOOKUP(E3730,calculated_fields!$F$4:$G$6,2,FALSE)</f>
        <v>Economy</v>
      </c>
    </row>
    <row r="3731" spans="1:16">
      <c r="A3731" t="s">
        <v>5109</v>
      </c>
      <c r="B3731" t="s">
        <v>5081</v>
      </c>
      <c r="C3731" t="s">
        <v>80</v>
      </c>
      <c r="D3731">
        <v>1987</v>
      </c>
      <c r="E3731" t="s">
        <v>15</v>
      </c>
      <c r="F3731" t="s">
        <v>16</v>
      </c>
      <c r="G3731" t="s">
        <v>17</v>
      </c>
      <c r="H3731" t="s">
        <v>18</v>
      </c>
      <c r="I3731">
        <v>74.06</v>
      </c>
      <c r="J3731" t="s">
        <v>19</v>
      </c>
      <c r="K3731" t="s">
        <v>5110</v>
      </c>
      <c r="L3731" t="s">
        <v>21</v>
      </c>
      <c r="M3731" t="str">
        <f t="shared" si="174"/>
        <v>OK</v>
      </c>
      <c r="N3731" t="str">
        <f t="shared" si="175"/>
        <v>1980s</v>
      </c>
      <c r="O3731" t="str">
        <f t="shared" si="176"/>
        <v>High</v>
      </c>
      <c r="P3731" t="str">
        <f>VLOOKUP(E3731,calculated_fields!$F$4:$G$6,2,FALSE)</f>
        <v>Health</v>
      </c>
    </row>
    <row r="3732" spans="1:16">
      <c r="A3732" t="s">
        <v>5111</v>
      </c>
      <c r="B3732" t="s">
        <v>5081</v>
      </c>
      <c r="C3732" t="s">
        <v>80</v>
      </c>
      <c r="D3732">
        <v>1987</v>
      </c>
      <c r="E3732" t="s">
        <v>23</v>
      </c>
      <c r="F3732" t="s">
        <v>24</v>
      </c>
      <c r="G3732" t="s">
        <v>25</v>
      </c>
      <c r="H3732" t="s">
        <v>26</v>
      </c>
      <c r="I3732">
        <v>9915289</v>
      </c>
      <c r="J3732" t="s">
        <v>27</v>
      </c>
      <c r="K3732" t="s">
        <v>5110</v>
      </c>
      <c r="L3732" t="s">
        <v>21</v>
      </c>
      <c r="M3732" t="str">
        <f t="shared" si="174"/>
        <v>OK</v>
      </c>
      <c r="N3732" t="str">
        <f t="shared" si="175"/>
        <v>1980s</v>
      </c>
      <c r="O3732" t="str">
        <f t="shared" si="176"/>
        <v>N/A</v>
      </c>
      <c r="P3732" t="str">
        <f>VLOOKUP(E3732,calculated_fields!$F$4:$G$6,2,FALSE)</f>
        <v>Demographics</v>
      </c>
    </row>
    <row r="3733" spans="1:16">
      <c r="A3733" t="s">
        <v>5112</v>
      </c>
      <c r="B3733" t="s">
        <v>5081</v>
      </c>
      <c r="C3733" t="s">
        <v>80</v>
      </c>
      <c r="D3733">
        <v>1987</v>
      </c>
      <c r="E3733" t="s">
        <v>29</v>
      </c>
      <c r="F3733" t="s">
        <v>30</v>
      </c>
      <c r="G3733" t="s">
        <v>31</v>
      </c>
      <c r="H3733" t="s">
        <v>32</v>
      </c>
      <c r="I3733">
        <v>13039.30876</v>
      </c>
      <c r="J3733" t="s">
        <v>33</v>
      </c>
      <c r="K3733" t="s">
        <v>5110</v>
      </c>
      <c r="L3733" t="s">
        <v>21</v>
      </c>
      <c r="M3733" t="str">
        <f t="shared" si="174"/>
        <v>OK</v>
      </c>
      <c r="N3733" t="str">
        <f t="shared" si="175"/>
        <v>1980s</v>
      </c>
      <c r="O3733" t="str">
        <f t="shared" si="176"/>
        <v>N/A</v>
      </c>
      <c r="P3733" t="str">
        <f>VLOOKUP(E3733,calculated_fields!$F$4:$G$6,2,FALSE)</f>
        <v>Economy</v>
      </c>
    </row>
    <row r="3734" spans="1:16">
      <c r="A3734" t="s">
        <v>5113</v>
      </c>
      <c r="B3734" t="s">
        <v>5081</v>
      </c>
      <c r="C3734" t="s">
        <v>80</v>
      </c>
      <c r="D3734">
        <v>1992</v>
      </c>
      <c r="E3734" t="s">
        <v>15</v>
      </c>
      <c r="F3734" t="s">
        <v>16</v>
      </c>
      <c r="G3734" t="s">
        <v>17</v>
      </c>
      <c r="H3734" t="s">
        <v>18</v>
      </c>
      <c r="I3734">
        <v>74.86</v>
      </c>
      <c r="J3734" t="s">
        <v>19</v>
      </c>
      <c r="K3734" t="s">
        <v>5114</v>
      </c>
      <c r="L3734" t="s">
        <v>21</v>
      </c>
      <c r="M3734" t="str">
        <f t="shared" si="174"/>
        <v>OK</v>
      </c>
      <c r="N3734" t="str">
        <f t="shared" si="175"/>
        <v>1990s</v>
      </c>
      <c r="O3734" t="str">
        <f t="shared" si="176"/>
        <v>High</v>
      </c>
      <c r="P3734" t="str">
        <f>VLOOKUP(E3734,calculated_fields!$F$4:$G$6,2,FALSE)</f>
        <v>Health</v>
      </c>
    </row>
    <row r="3735" spans="1:16">
      <c r="A3735" t="s">
        <v>5115</v>
      </c>
      <c r="B3735" t="s">
        <v>5081</v>
      </c>
      <c r="C3735" t="s">
        <v>80</v>
      </c>
      <c r="D3735">
        <v>1992</v>
      </c>
      <c r="E3735" t="s">
        <v>23</v>
      </c>
      <c r="F3735" t="s">
        <v>24</v>
      </c>
      <c r="G3735" t="s">
        <v>25</v>
      </c>
      <c r="H3735" t="s">
        <v>26</v>
      </c>
      <c r="I3735">
        <v>9927680</v>
      </c>
      <c r="J3735" t="s">
        <v>27</v>
      </c>
      <c r="K3735" t="s">
        <v>5114</v>
      </c>
      <c r="L3735" t="s">
        <v>21</v>
      </c>
      <c r="M3735" t="str">
        <f t="shared" si="174"/>
        <v>OK</v>
      </c>
      <c r="N3735" t="str">
        <f t="shared" si="175"/>
        <v>1990s</v>
      </c>
      <c r="O3735" t="str">
        <f t="shared" si="176"/>
        <v>N/A</v>
      </c>
      <c r="P3735" t="str">
        <f>VLOOKUP(E3735,calculated_fields!$F$4:$G$6,2,FALSE)</f>
        <v>Demographics</v>
      </c>
    </row>
    <row r="3736" spans="1:16">
      <c r="A3736" t="s">
        <v>5116</v>
      </c>
      <c r="B3736" t="s">
        <v>5081</v>
      </c>
      <c r="C3736" t="s">
        <v>80</v>
      </c>
      <c r="D3736">
        <v>1992</v>
      </c>
      <c r="E3736" t="s">
        <v>29</v>
      </c>
      <c r="F3736" t="s">
        <v>30</v>
      </c>
      <c r="G3736" t="s">
        <v>31</v>
      </c>
      <c r="H3736" t="s">
        <v>32</v>
      </c>
      <c r="I3736">
        <v>16207.26663</v>
      </c>
      <c r="J3736" t="s">
        <v>33</v>
      </c>
      <c r="K3736" t="s">
        <v>5114</v>
      </c>
      <c r="L3736" t="s">
        <v>21</v>
      </c>
      <c r="M3736" t="str">
        <f t="shared" si="174"/>
        <v>OK</v>
      </c>
      <c r="N3736" t="str">
        <f t="shared" si="175"/>
        <v>1990s</v>
      </c>
      <c r="O3736" t="str">
        <f t="shared" si="176"/>
        <v>N/A</v>
      </c>
      <c r="P3736" t="str">
        <f>VLOOKUP(E3736,calculated_fields!$F$4:$G$6,2,FALSE)</f>
        <v>Economy</v>
      </c>
    </row>
    <row r="3737" spans="1:16">
      <c r="A3737" t="s">
        <v>5117</v>
      </c>
      <c r="B3737" t="s">
        <v>5081</v>
      </c>
      <c r="C3737" t="s">
        <v>80</v>
      </c>
      <c r="D3737">
        <v>1997</v>
      </c>
      <c r="E3737" t="s">
        <v>15</v>
      </c>
      <c r="F3737" t="s">
        <v>16</v>
      </c>
      <c r="G3737" t="s">
        <v>17</v>
      </c>
      <c r="H3737" t="s">
        <v>18</v>
      </c>
      <c r="I3737">
        <v>75.97</v>
      </c>
      <c r="J3737" t="s">
        <v>19</v>
      </c>
      <c r="K3737" t="s">
        <v>5118</v>
      </c>
      <c r="L3737" t="s">
        <v>21</v>
      </c>
      <c r="M3737" t="str">
        <f t="shared" si="174"/>
        <v>OK</v>
      </c>
      <c r="N3737" t="str">
        <f t="shared" si="175"/>
        <v>1990s</v>
      </c>
      <c r="O3737" t="str">
        <f t="shared" si="176"/>
        <v>High</v>
      </c>
      <c r="P3737" t="str">
        <f>VLOOKUP(E3737,calculated_fields!$F$4:$G$6,2,FALSE)</f>
        <v>Health</v>
      </c>
    </row>
    <row r="3738" spans="1:16">
      <c r="A3738" t="s">
        <v>5119</v>
      </c>
      <c r="B3738" t="s">
        <v>5081</v>
      </c>
      <c r="C3738" t="s">
        <v>80</v>
      </c>
      <c r="D3738">
        <v>1997</v>
      </c>
      <c r="E3738" t="s">
        <v>23</v>
      </c>
      <c r="F3738" t="s">
        <v>24</v>
      </c>
      <c r="G3738" t="s">
        <v>25</v>
      </c>
      <c r="H3738" t="s">
        <v>26</v>
      </c>
      <c r="I3738">
        <v>10156415</v>
      </c>
      <c r="J3738" t="s">
        <v>27</v>
      </c>
      <c r="K3738" t="s">
        <v>5118</v>
      </c>
      <c r="L3738" t="s">
        <v>21</v>
      </c>
      <c r="M3738" t="str">
        <f t="shared" si="174"/>
        <v>OK</v>
      </c>
      <c r="N3738" t="str">
        <f t="shared" si="175"/>
        <v>1990s</v>
      </c>
      <c r="O3738" t="str">
        <f t="shared" si="176"/>
        <v>N/A</v>
      </c>
      <c r="P3738" t="str">
        <f>VLOOKUP(E3738,calculated_fields!$F$4:$G$6,2,FALSE)</f>
        <v>Demographics</v>
      </c>
    </row>
    <row r="3739" spans="1:16">
      <c r="A3739" t="s">
        <v>5120</v>
      </c>
      <c r="B3739" t="s">
        <v>5081</v>
      </c>
      <c r="C3739" t="s">
        <v>80</v>
      </c>
      <c r="D3739">
        <v>1997</v>
      </c>
      <c r="E3739" t="s">
        <v>29</v>
      </c>
      <c r="F3739" t="s">
        <v>30</v>
      </c>
      <c r="G3739" t="s">
        <v>31</v>
      </c>
      <c r="H3739" t="s">
        <v>32</v>
      </c>
      <c r="I3739">
        <v>17641.031559999999</v>
      </c>
      <c r="J3739" t="s">
        <v>33</v>
      </c>
      <c r="K3739" t="s">
        <v>5118</v>
      </c>
      <c r="L3739" t="s">
        <v>21</v>
      </c>
      <c r="M3739" t="str">
        <f t="shared" si="174"/>
        <v>OK</v>
      </c>
      <c r="N3739" t="str">
        <f t="shared" si="175"/>
        <v>1990s</v>
      </c>
      <c r="O3739" t="str">
        <f t="shared" si="176"/>
        <v>N/A</v>
      </c>
      <c r="P3739" t="str">
        <f>VLOOKUP(E3739,calculated_fields!$F$4:$G$6,2,FALSE)</f>
        <v>Economy</v>
      </c>
    </row>
    <row r="3740" spans="1:16">
      <c r="A3740" t="s">
        <v>5121</v>
      </c>
      <c r="B3740" t="s">
        <v>5081</v>
      </c>
      <c r="C3740" t="s">
        <v>80</v>
      </c>
      <c r="D3740">
        <v>2002</v>
      </c>
      <c r="E3740" t="s">
        <v>15</v>
      </c>
      <c r="F3740" t="s">
        <v>16</v>
      </c>
      <c r="G3740" t="s">
        <v>17</v>
      </c>
      <c r="H3740" t="s">
        <v>18</v>
      </c>
      <c r="I3740">
        <v>77.290000000000006</v>
      </c>
      <c r="J3740" t="s">
        <v>19</v>
      </c>
      <c r="K3740" t="s">
        <v>5122</v>
      </c>
      <c r="L3740" t="s">
        <v>21</v>
      </c>
      <c r="M3740" t="str">
        <f t="shared" si="174"/>
        <v>OK</v>
      </c>
      <c r="N3740" t="str">
        <f t="shared" si="175"/>
        <v>2000s</v>
      </c>
      <c r="O3740" t="str">
        <f t="shared" si="176"/>
        <v>High</v>
      </c>
      <c r="P3740" t="str">
        <f>VLOOKUP(E3740,calculated_fields!$F$4:$G$6,2,FALSE)</f>
        <v>Health</v>
      </c>
    </row>
    <row r="3741" spans="1:16">
      <c r="A3741" t="s">
        <v>5123</v>
      </c>
      <c r="B3741" t="s">
        <v>5081</v>
      </c>
      <c r="C3741" t="s">
        <v>80</v>
      </c>
      <c r="D3741">
        <v>2002</v>
      </c>
      <c r="E3741" t="s">
        <v>23</v>
      </c>
      <c r="F3741" t="s">
        <v>24</v>
      </c>
      <c r="G3741" t="s">
        <v>25</v>
      </c>
      <c r="H3741" t="s">
        <v>26</v>
      </c>
      <c r="I3741">
        <v>10433867</v>
      </c>
      <c r="J3741" t="s">
        <v>27</v>
      </c>
      <c r="K3741" t="s">
        <v>5122</v>
      </c>
      <c r="L3741" t="s">
        <v>21</v>
      </c>
      <c r="M3741" t="str">
        <f t="shared" si="174"/>
        <v>OK</v>
      </c>
      <c r="N3741" t="str">
        <f t="shared" si="175"/>
        <v>2000s</v>
      </c>
      <c r="O3741" t="str">
        <f t="shared" si="176"/>
        <v>N/A</v>
      </c>
      <c r="P3741" t="str">
        <f>VLOOKUP(E3741,calculated_fields!$F$4:$G$6,2,FALSE)</f>
        <v>Demographics</v>
      </c>
    </row>
    <row r="3742" spans="1:16">
      <c r="A3742" t="s">
        <v>5124</v>
      </c>
      <c r="B3742" t="s">
        <v>5081</v>
      </c>
      <c r="C3742" t="s">
        <v>80</v>
      </c>
      <c r="D3742">
        <v>2002</v>
      </c>
      <c r="E3742" t="s">
        <v>29</v>
      </c>
      <c r="F3742" t="s">
        <v>30</v>
      </c>
      <c r="G3742" t="s">
        <v>31</v>
      </c>
      <c r="H3742" t="s">
        <v>32</v>
      </c>
      <c r="I3742">
        <v>19970.907869999999</v>
      </c>
      <c r="J3742" t="s">
        <v>33</v>
      </c>
      <c r="K3742" t="s">
        <v>5122</v>
      </c>
      <c r="L3742" t="s">
        <v>21</v>
      </c>
      <c r="M3742" t="str">
        <f t="shared" si="174"/>
        <v>OK</v>
      </c>
      <c r="N3742" t="str">
        <f t="shared" si="175"/>
        <v>2000s</v>
      </c>
      <c r="O3742" t="str">
        <f t="shared" si="176"/>
        <v>N/A</v>
      </c>
      <c r="P3742" t="str">
        <f>VLOOKUP(E3742,calculated_fields!$F$4:$G$6,2,FALSE)</f>
        <v>Economy</v>
      </c>
    </row>
    <row r="3743" spans="1:16">
      <c r="A3743" t="s">
        <v>5125</v>
      </c>
      <c r="B3743" t="s">
        <v>5081</v>
      </c>
      <c r="C3743" t="s">
        <v>80</v>
      </c>
      <c r="D3743">
        <v>2007</v>
      </c>
      <c r="E3743" t="s">
        <v>15</v>
      </c>
      <c r="F3743" t="s">
        <v>16</v>
      </c>
      <c r="G3743" t="s">
        <v>17</v>
      </c>
      <c r="H3743" t="s">
        <v>18</v>
      </c>
      <c r="I3743">
        <v>78.097999999999999</v>
      </c>
      <c r="J3743" t="s">
        <v>19</v>
      </c>
      <c r="K3743" t="s">
        <v>5126</v>
      </c>
      <c r="L3743" t="s">
        <v>21</v>
      </c>
      <c r="M3743" t="str">
        <f t="shared" si="174"/>
        <v>OK</v>
      </c>
      <c r="N3743" t="str">
        <f t="shared" si="175"/>
        <v>2000s</v>
      </c>
      <c r="O3743" t="str">
        <f t="shared" si="176"/>
        <v>High</v>
      </c>
      <c r="P3743" t="str">
        <f>VLOOKUP(E3743,calculated_fields!$F$4:$G$6,2,FALSE)</f>
        <v>Health</v>
      </c>
    </row>
    <row r="3744" spans="1:16">
      <c r="A3744" t="s">
        <v>5127</v>
      </c>
      <c r="B3744" t="s">
        <v>5081</v>
      </c>
      <c r="C3744" t="s">
        <v>80</v>
      </c>
      <c r="D3744">
        <v>2007</v>
      </c>
      <c r="E3744" t="s">
        <v>23</v>
      </c>
      <c r="F3744" t="s">
        <v>24</v>
      </c>
      <c r="G3744" t="s">
        <v>25</v>
      </c>
      <c r="H3744" t="s">
        <v>26</v>
      </c>
      <c r="I3744">
        <v>10642836</v>
      </c>
      <c r="J3744" t="s">
        <v>27</v>
      </c>
      <c r="K3744" t="s">
        <v>5126</v>
      </c>
      <c r="L3744" t="s">
        <v>21</v>
      </c>
      <c r="M3744" t="str">
        <f t="shared" si="174"/>
        <v>OK</v>
      </c>
      <c r="N3744" t="str">
        <f t="shared" si="175"/>
        <v>2000s</v>
      </c>
      <c r="O3744" t="str">
        <f t="shared" si="176"/>
        <v>N/A</v>
      </c>
      <c r="P3744" t="str">
        <f>VLOOKUP(E3744,calculated_fields!$F$4:$G$6,2,FALSE)</f>
        <v>Demographics</v>
      </c>
    </row>
    <row r="3745" spans="1:16">
      <c r="A3745" t="s">
        <v>5128</v>
      </c>
      <c r="B3745" t="s">
        <v>5081</v>
      </c>
      <c r="C3745" t="s">
        <v>80</v>
      </c>
      <c r="D3745">
        <v>2007</v>
      </c>
      <c r="E3745" t="s">
        <v>29</v>
      </c>
      <c r="F3745" t="s">
        <v>30</v>
      </c>
      <c r="G3745" t="s">
        <v>31</v>
      </c>
      <c r="H3745" t="s">
        <v>32</v>
      </c>
      <c r="I3745">
        <v>20509.64777</v>
      </c>
      <c r="J3745" t="s">
        <v>33</v>
      </c>
      <c r="K3745" t="s">
        <v>5126</v>
      </c>
      <c r="L3745" t="s">
        <v>21</v>
      </c>
      <c r="M3745" t="str">
        <f t="shared" si="174"/>
        <v>OK</v>
      </c>
      <c r="N3745" t="str">
        <f t="shared" si="175"/>
        <v>2000s</v>
      </c>
      <c r="O3745" t="str">
        <f t="shared" si="176"/>
        <v>N/A</v>
      </c>
      <c r="P3745" t="str">
        <f>VLOOKUP(E3745,calculated_fields!$F$4:$G$6,2,FALSE)</f>
        <v>Economy</v>
      </c>
    </row>
    <row r="3746" spans="1:16">
      <c r="A3746" t="s">
        <v>5129</v>
      </c>
      <c r="B3746" t="s">
        <v>5130</v>
      </c>
      <c r="C3746" t="s">
        <v>229</v>
      </c>
      <c r="D3746">
        <v>1952</v>
      </c>
      <c r="E3746" t="s">
        <v>15</v>
      </c>
      <c r="F3746" t="s">
        <v>16</v>
      </c>
      <c r="G3746" t="s">
        <v>17</v>
      </c>
      <c r="H3746" t="s">
        <v>18</v>
      </c>
      <c r="I3746">
        <v>64.28</v>
      </c>
      <c r="J3746" t="s">
        <v>19</v>
      </c>
      <c r="K3746" t="s">
        <v>5131</v>
      </c>
      <c r="L3746" t="s">
        <v>21</v>
      </c>
      <c r="M3746" t="str">
        <f t="shared" si="174"/>
        <v>OK</v>
      </c>
      <c r="N3746" t="str">
        <f t="shared" si="175"/>
        <v>1950s</v>
      </c>
      <c r="O3746" t="str">
        <f t="shared" si="176"/>
        <v>Medium</v>
      </c>
      <c r="P3746" t="str">
        <f>VLOOKUP(E3746,calculated_fields!$F$4:$G$6,2,FALSE)</f>
        <v>Health</v>
      </c>
    </row>
    <row r="3747" spans="1:16">
      <c r="A3747" t="s">
        <v>5132</v>
      </c>
      <c r="B3747" t="s">
        <v>5130</v>
      </c>
      <c r="C3747" t="s">
        <v>229</v>
      </c>
      <c r="D3747">
        <v>1952</v>
      </c>
      <c r="E3747" t="s">
        <v>23</v>
      </c>
      <c r="F3747" t="s">
        <v>24</v>
      </c>
      <c r="G3747" t="s">
        <v>25</v>
      </c>
      <c r="H3747" t="s">
        <v>26</v>
      </c>
      <c r="I3747">
        <v>2227000</v>
      </c>
      <c r="J3747" t="s">
        <v>27</v>
      </c>
      <c r="K3747" t="s">
        <v>5131</v>
      </c>
      <c r="L3747" t="s">
        <v>21</v>
      </c>
      <c r="M3747" t="str">
        <f t="shared" si="174"/>
        <v>OK</v>
      </c>
      <c r="N3747" t="str">
        <f t="shared" si="175"/>
        <v>1950s</v>
      </c>
      <c r="O3747" t="str">
        <f t="shared" si="176"/>
        <v>N/A</v>
      </c>
      <c r="P3747" t="str">
        <f>VLOOKUP(E3747,calculated_fields!$F$4:$G$6,2,FALSE)</f>
        <v>Demographics</v>
      </c>
    </row>
    <row r="3748" spans="1:16">
      <c r="A3748" t="s">
        <v>5133</v>
      </c>
      <c r="B3748" t="s">
        <v>5130</v>
      </c>
      <c r="C3748" t="s">
        <v>229</v>
      </c>
      <c r="D3748">
        <v>1952</v>
      </c>
      <c r="E3748" t="s">
        <v>29</v>
      </c>
      <c r="F3748" t="s">
        <v>30</v>
      </c>
      <c r="G3748" t="s">
        <v>31</v>
      </c>
      <c r="H3748" t="s">
        <v>32</v>
      </c>
      <c r="I3748">
        <v>3081.959785</v>
      </c>
      <c r="J3748" t="s">
        <v>33</v>
      </c>
      <c r="K3748" t="s">
        <v>5131</v>
      </c>
      <c r="L3748" t="s">
        <v>21</v>
      </c>
      <c r="M3748" t="str">
        <f t="shared" si="174"/>
        <v>OK</v>
      </c>
      <c r="N3748" t="str">
        <f t="shared" si="175"/>
        <v>1950s</v>
      </c>
      <c r="O3748" t="str">
        <f t="shared" si="176"/>
        <v>N/A</v>
      </c>
      <c r="P3748" t="str">
        <f>VLOOKUP(E3748,calculated_fields!$F$4:$G$6,2,FALSE)</f>
        <v>Economy</v>
      </c>
    </row>
    <row r="3749" spans="1:16">
      <c r="A3749" t="s">
        <v>5134</v>
      </c>
      <c r="B3749" t="s">
        <v>5130</v>
      </c>
      <c r="C3749" t="s">
        <v>229</v>
      </c>
      <c r="D3749">
        <v>1957</v>
      </c>
      <c r="E3749" t="s">
        <v>15</v>
      </c>
      <c r="F3749" t="s">
        <v>16</v>
      </c>
      <c r="G3749" t="s">
        <v>17</v>
      </c>
      <c r="H3749" t="s">
        <v>18</v>
      </c>
      <c r="I3749">
        <v>68.540000000000006</v>
      </c>
      <c r="J3749" t="s">
        <v>19</v>
      </c>
      <c r="K3749" t="s">
        <v>5135</v>
      </c>
      <c r="L3749" t="s">
        <v>21</v>
      </c>
      <c r="M3749" t="str">
        <f t="shared" si="174"/>
        <v>OK</v>
      </c>
      <c r="N3749" t="str">
        <f t="shared" si="175"/>
        <v>1950s</v>
      </c>
      <c r="O3749" t="str">
        <f t="shared" si="176"/>
        <v>Medium</v>
      </c>
      <c r="P3749" t="str">
        <f>VLOOKUP(E3749,calculated_fields!$F$4:$G$6,2,FALSE)</f>
        <v>Health</v>
      </c>
    </row>
    <row r="3750" spans="1:16">
      <c r="A3750" t="s">
        <v>5136</v>
      </c>
      <c r="B3750" t="s">
        <v>5130</v>
      </c>
      <c r="C3750" t="s">
        <v>229</v>
      </c>
      <c r="D3750">
        <v>1957</v>
      </c>
      <c r="E3750" t="s">
        <v>23</v>
      </c>
      <c r="F3750" t="s">
        <v>24</v>
      </c>
      <c r="G3750" t="s">
        <v>25</v>
      </c>
      <c r="H3750" t="s">
        <v>26</v>
      </c>
      <c r="I3750">
        <v>2260000</v>
      </c>
      <c r="J3750" t="s">
        <v>27</v>
      </c>
      <c r="K3750" t="s">
        <v>5135</v>
      </c>
      <c r="L3750" t="s">
        <v>21</v>
      </c>
      <c r="M3750" t="str">
        <f t="shared" si="174"/>
        <v>OK</v>
      </c>
      <c r="N3750" t="str">
        <f t="shared" si="175"/>
        <v>1950s</v>
      </c>
      <c r="O3750" t="str">
        <f t="shared" si="176"/>
        <v>N/A</v>
      </c>
      <c r="P3750" t="str">
        <f>VLOOKUP(E3750,calculated_fields!$F$4:$G$6,2,FALSE)</f>
        <v>Demographics</v>
      </c>
    </row>
    <row r="3751" spans="1:16">
      <c r="A3751" t="s">
        <v>5137</v>
      </c>
      <c r="B3751" t="s">
        <v>5130</v>
      </c>
      <c r="C3751" t="s">
        <v>229</v>
      </c>
      <c r="D3751">
        <v>1957</v>
      </c>
      <c r="E3751" t="s">
        <v>29</v>
      </c>
      <c r="F3751" t="s">
        <v>30</v>
      </c>
      <c r="G3751" t="s">
        <v>31</v>
      </c>
      <c r="H3751" t="s">
        <v>32</v>
      </c>
      <c r="I3751">
        <v>3907.1561889999998</v>
      </c>
      <c r="J3751" t="s">
        <v>33</v>
      </c>
      <c r="K3751" t="s">
        <v>5135</v>
      </c>
      <c r="L3751" t="s">
        <v>21</v>
      </c>
      <c r="M3751" t="str">
        <f t="shared" si="174"/>
        <v>OK</v>
      </c>
      <c r="N3751" t="str">
        <f t="shared" si="175"/>
        <v>1950s</v>
      </c>
      <c r="O3751" t="str">
        <f t="shared" si="176"/>
        <v>N/A</v>
      </c>
      <c r="P3751" t="str">
        <f>VLOOKUP(E3751,calculated_fields!$F$4:$G$6,2,FALSE)</f>
        <v>Economy</v>
      </c>
    </row>
    <row r="3752" spans="1:16">
      <c r="A3752" t="s">
        <v>5138</v>
      </c>
      <c r="B3752" t="s">
        <v>5130</v>
      </c>
      <c r="C3752" t="s">
        <v>229</v>
      </c>
      <c r="D3752">
        <v>1962</v>
      </c>
      <c r="E3752" t="s">
        <v>15</v>
      </c>
      <c r="F3752" t="s">
        <v>16</v>
      </c>
      <c r="G3752" t="s">
        <v>17</v>
      </c>
      <c r="H3752" t="s">
        <v>18</v>
      </c>
      <c r="I3752">
        <v>69.62</v>
      </c>
      <c r="J3752" t="s">
        <v>19</v>
      </c>
      <c r="K3752" t="s">
        <v>5139</v>
      </c>
      <c r="L3752" t="s">
        <v>21</v>
      </c>
      <c r="M3752" t="str">
        <f t="shared" si="174"/>
        <v>OK</v>
      </c>
      <c r="N3752" t="str">
        <f t="shared" si="175"/>
        <v>1960s</v>
      </c>
      <c r="O3752" t="str">
        <f t="shared" si="176"/>
        <v>Medium</v>
      </c>
      <c r="P3752" t="str">
        <f>VLOOKUP(E3752,calculated_fields!$F$4:$G$6,2,FALSE)</f>
        <v>Health</v>
      </c>
    </row>
    <row r="3753" spans="1:16">
      <c r="A3753" t="s">
        <v>5140</v>
      </c>
      <c r="B3753" t="s">
        <v>5130</v>
      </c>
      <c r="C3753" t="s">
        <v>229</v>
      </c>
      <c r="D3753">
        <v>1962</v>
      </c>
      <c r="E3753" t="s">
        <v>23</v>
      </c>
      <c r="F3753" t="s">
        <v>24</v>
      </c>
      <c r="G3753" t="s">
        <v>25</v>
      </c>
      <c r="H3753" t="s">
        <v>26</v>
      </c>
      <c r="I3753">
        <v>2448046</v>
      </c>
      <c r="J3753" t="s">
        <v>27</v>
      </c>
      <c r="K3753" t="s">
        <v>5139</v>
      </c>
      <c r="L3753" t="s">
        <v>21</v>
      </c>
      <c r="M3753" t="str">
        <f t="shared" si="174"/>
        <v>OK</v>
      </c>
      <c r="N3753" t="str">
        <f t="shared" si="175"/>
        <v>1960s</v>
      </c>
      <c r="O3753" t="str">
        <f t="shared" si="176"/>
        <v>N/A</v>
      </c>
      <c r="P3753" t="str">
        <f>VLOOKUP(E3753,calculated_fields!$F$4:$G$6,2,FALSE)</f>
        <v>Demographics</v>
      </c>
    </row>
    <row r="3754" spans="1:16">
      <c r="A3754" t="s">
        <v>5141</v>
      </c>
      <c r="B3754" t="s">
        <v>5130</v>
      </c>
      <c r="C3754" t="s">
        <v>229</v>
      </c>
      <c r="D3754">
        <v>1962</v>
      </c>
      <c r="E3754" t="s">
        <v>29</v>
      </c>
      <c r="F3754" t="s">
        <v>30</v>
      </c>
      <c r="G3754" t="s">
        <v>31</v>
      </c>
      <c r="H3754" t="s">
        <v>32</v>
      </c>
      <c r="I3754">
        <v>5108.3446299999996</v>
      </c>
      <c r="J3754" t="s">
        <v>33</v>
      </c>
      <c r="K3754" t="s">
        <v>5139</v>
      </c>
      <c r="L3754" t="s">
        <v>21</v>
      </c>
      <c r="M3754" t="str">
        <f t="shared" si="174"/>
        <v>OK</v>
      </c>
      <c r="N3754" t="str">
        <f t="shared" si="175"/>
        <v>1960s</v>
      </c>
      <c r="O3754" t="str">
        <f t="shared" si="176"/>
        <v>N/A</v>
      </c>
      <c r="P3754" t="str">
        <f>VLOOKUP(E3754,calculated_fields!$F$4:$G$6,2,FALSE)</f>
        <v>Economy</v>
      </c>
    </row>
    <row r="3755" spans="1:16">
      <c r="A3755" t="s">
        <v>5142</v>
      </c>
      <c r="B3755" t="s">
        <v>5130</v>
      </c>
      <c r="C3755" t="s">
        <v>229</v>
      </c>
      <c r="D3755">
        <v>1967</v>
      </c>
      <c r="E3755" t="s">
        <v>15</v>
      </c>
      <c r="F3755" t="s">
        <v>16</v>
      </c>
      <c r="G3755" t="s">
        <v>17</v>
      </c>
      <c r="H3755" t="s">
        <v>18</v>
      </c>
      <c r="I3755">
        <v>71.099999999999994</v>
      </c>
      <c r="J3755" t="s">
        <v>19</v>
      </c>
      <c r="K3755" t="s">
        <v>5143</v>
      </c>
      <c r="L3755" t="s">
        <v>21</v>
      </c>
      <c r="M3755" t="str">
        <f t="shared" si="174"/>
        <v>OK</v>
      </c>
      <c r="N3755" t="str">
        <f t="shared" si="175"/>
        <v>1960s</v>
      </c>
      <c r="O3755" t="str">
        <f t="shared" si="176"/>
        <v>High</v>
      </c>
      <c r="P3755" t="str">
        <f>VLOOKUP(E3755,calculated_fields!$F$4:$G$6,2,FALSE)</f>
        <v>Health</v>
      </c>
    </row>
    <row r="3756" spans="1:16">
      <c r="A3756" t="s">
        <v>5144</v>
      </c>
      <c r="B3756" t="s">
        <v>5130</v>
      </c>
      <c r="C3756" t="s">
        <v>229</v>
      </c>
      <c r="D3756">
        <v>1967</v>
      </c>
      <c r="E3756" t="s">
        <v>23</v>
      </c>
      <c r="F3756" t="s">
        <v>24</v>
      </c>
      <c r="G3756" t="s">
        <v>25</v>
      </c>
      <c r="H3756" t="s">
        <v>26</v>
      </c>
      <c r="I3756">
        <v>2648961</v>
      </c>
      <c r="J3756" t="s">
        <v>27</v>
      </c>
      <c r="K3756" t="s">
        <v>5143</v>
      </c>
      <c r="L3756" t="s">
        <v>21</v>
      </c>
      <c r="M3756" t="str">
        <f t="shared" si="174"/>
        <v>OK</v>
      </c>
      <c r="N3756" t="str">
        <f t="shared" si="175"/>
        <v>1960s</v>
      </c>
      <c r="O3756" t="str">
        <f t="shared" si="176"/>
        <v>N/A</v>
      </c>
      <c r="P3756" t="str">
        <f>VLOOKUP(E3756,calculated_fields!$F$4:$G$6,2,FALSE)</f>
        <v>Demographics</v>
      </c>
    </row>
    <row r="3757" spans="1:16">
      <c r="A3757" t="s">
        <v>5145</v>
      </c>
      <c r="B3757" t="s">
        <v>5130</v>
      </c>
      <c r="C3757" t="s">
        <v>229</v>
      </c>
      <c r="D3757">
        <v>1967</v>
      </c>
      <c r="E3757" t="s">
        <v>29</v>
      </c>
      <c r="F3757" t="s">
        <v>30</v>
      </c>
      <c r="G3757" t="s">
        <v>31</v>
      </c>
      <c r="H3757" t="s">
        <v>32</v>
      </c>
      <c r="I3757">
        <v>6929.2777139999998</v>
      </c>
      <c r="J3757" t="s">
        <v>33</v>
      </c>
      <c r="K3757" t="s">
        <v>5143</v>
      </c>
      <c r="L3757" t="s">
        <v>21</v>
      </c>
      <c r="M3757" t="str">
        <f t="shared" si="174"/>
        <v>OK</v>
      </c>
      <c r="N3757" t="str">
        <f t="shared" si="175"/>
        <v>1960s</v>
      </c>
      <c r="O3757" t="str">
        <f t="shared" si="176"/>
        <v>N/A</v>
      </c>
      <c r="P3757" t="str">
        <f>VLOOKUP(E3757,calculated_fields!$F$4:$G$6,2,FALSE)</f>
        <v>Economy</v>
      </c>
    </row>
    <row r="3758" spans="1:16">
      <c r="A3758" t="s">
        <v>5146</v>
      </c>
      <c r="B3758" t="s">
        <v>5130</v>
      </c>
      <c r="C3758" t="s">
        <v>229</v>
      </c>
      <c r="D3758">
        <v>1972</v>
      </c>
      <c r="E3758" t="s">
        <v>15</v>
      </c>
      <c r="F3758" t="s">
        <v>16</v>
      </c>
      <c r="G3758" t="s">
        <v>17</v>
      </c>
      <c r="H3758" t="s">
        <v>18</v>
      </c>
      <c r="I3758">
        <v>72.16</v>
      </c>
      <c r="J3758" t="s">
        <v>19</v>
      </c>
      <c r="K3758" t="s">
        <v>5147</v>
      </c>
      <c r="L3758" t="s">
        <v>21</v>
      </c>
      <c r="M3758" t="str">
        <f t="shared" si="174"/>
        <v>OK</v>
      </c>
      <c r="N3758" t="str">
        <f t="shared" si="175"/>
        <v>1970s</v>
      </c>
      <c r="O3758" t="str">
        <f t="shared" si="176"/>
        <v>High</v>
      </c>
      <c r="P3758" t="str">
        <f>VLOOKUP(E3758,calculated_fields!$F$4:$G$6,2,FALSE)</f>
        <v>Health</v>
      </c>
    </row>
    <row r="3759" spans="1:16">
      <c r="A3759" t="s">
        <v>5148</v>
      </c>
      <c r="B3759" t="s">
        <v>5130</v>
      </c>
      <c r="C3759" t="s">
        <v>229</v>
      </c>
      <c r="D3759">
        <v>1972</v>
      </c>
      <c r="E3759" t="s">
        <v>23</v>
      </c>
      <c r="F3759" t="s">
        <v>24</v>
      </c>
      <c r="G3759" t="s">
        <v>25</v>
      </c>
      <c r="H3759" t="s">
        <v>26</v>
      </c>
      <c r="I3759">
        <v>2847132</v>
      </c>
      <c r="J3759" t="s">
        <v>27</v>
      </c>
      <c r="K3759" t="s">
        <v>5147</v>
      </c>
      <c r="L3759" t="s">
        <v>21</v>
      </c>
      <c r="M3759" t="str">
        <f t="shared" si="174"/>
        <v>OK</v>
      </c>
      <c r="N3759" t="str">
        <f t="shared" si="175"/>
        <v>1970s</v>
      </c>
      <c r="O3759" t="str">
        <f t="shared" si="176"/>
        <v>N/A</v>
      </c>
      <c r="P3759" t="str">
        <f>VLOOKUP(E3759,calculated_fields!$F$4:$G$6,2,FALSE)</f>
        <v>Demographics</v>
      </c>
    </row>
    <row r="3760" spans="1:16">
      <c r="A3760" t="s">
        <v>5149</v>
      </c>
      <c r="B3760" t="s">
        <v>5130</v>
      </c>
      <c r="C3760" t="s">
        <v>229</v>
      </c>
      <c r="D3760">
        <v>1972</v>
      </c>
      <c r="E3760" t="s">
        <v>29</v>
      </c>
      <c r="F3760" t="s">
        <v>30</v>
      </c>
      <c r="G3760" t="s">
        <v>31</v>
      </c>
      <c r="H3760" t="s">
        <v>32</v>
      </c>
      <c r="I3760">
        <v>9123.0417419999994</v>
      </c>
      <c r="J3760" t="s">
        <v>33</v>
      </c>
      <c r="K3760" t="s">
        <v>5147</v>
      </c>
      <c r="L3760" t="s">
        <v>21</v>
      </c>
      <c r="M3760" t="str">
        <f t="shared" si="174"/>
        <v>OK</v>
      </c>
      <c r="N3760" t="str">
        <f t="shared" si="175"/>
        <v>1970s</v>
      </c>
      <c r="O3760" t="str">
        <f t="shared" si="176"/>
        <v>N/A</v>
      </c>
      <c r="P3760" t="str">
        <f>VLOOKUP(E3760,calculated_fields!$F$4:$G$6,2,FALSE)</f>
        <v>Economy</v>
      </c>
    </row>
    <row r="3761" spans="1:16">
      <c r="A3761" t="s">
        <v>5150</v>
      </c>
      <c r="B3761" t="s">
        <v>5130</v>
      </c>
      <c r="C3761" t="s">
        <v>229</v>
      </c>
      <c r="D3761">
        <v>1977</v>
      </c>
      <c r="E3761" t="s">
        <v>15</v>
      </c>
      <c r="F3761" t="s">
        <v>16</v>
      </c>
      <c r="G3761" t="s">
        <v>17</v>
      </c>
      <c r="H3761" t="s">
        <v>18</v>
      </c>
      <c r="I3761">
        <v>73.44</v>
      </c>
      <c r="J3761" t="s">
        <v>19</v>
      </c>
      <c r="K3761" t="s">
        <v>5151</v>
      </c>
      <c r="L3761" t="s">
        <v>21</v>
      </c>
      <c r="M3761" t="str">
        <f t="shared" si="174"/>
        <v>OK</v>
      </c>
      <c r="N3761" t="str">
        <f t="shared" si="175"/>
        <v>1970s</v>
      </c>
      <c r="O3761" t="str">
        <f t="shared" si="176"/>
        <v>High</v>
      </c>
      <c r="P3761" t="str">
        <f>VLOOKUP(E3761,calculated_fields!$F$4:$G$6,2,FALSE)</f>
        <v>Health</v>
      </c>
    </row>
    <row r="3762" spans="1:16">
      <c r="A3762" t="s">
        <v>5152</v>
      </c>
      <c r="B3762" t="s">
        <v>5130</v>
      </c>
      <c r="C3762" t="s">
        <v>229</v>
      </c>
      <c r="D3762">
        <v>1977</v>
      </c>
      <c r="E3762" t="s">
        <v>23</v>
      </c>
      <c r="F3762" t="s">
        <v>24</v>
      </c>
      <c r="G3762" t="s">
        <v>25</v>
      </c>
      <c r="H3762" t="s">
        <v>26</v>
      </c>
      <c r="I3762">
        <v>3080828</v>
      </c>
      <c r="J3762" t="s">
        <v>27</v>
      </c>
      <c r="K3762" t="s">
        <v>5151</v>
      </c>
      <c r="L3762" t="s">
        <v>21</v>
      </c>
      <c r="M3762" t="str">
        <f t="shared" si="174"/>
        <v>OK</v>
      </c>
      <c r="N3762" t="str">
        <f t="shared" si="175"/>
        <v>1970s</v>
      </c>
      <c r="O3762" t="str">
        <f t="shared" si="176"/>
        <v>N/A</v>
      </c>
      <c r="P3762" t="str">
        <f>VLOOKUP(E3762,calculated_fields!$F$4:$G$6,2,FALSE)</f>
        <v>Demographics</v>
      </c>
    </row>
    <row r="3763" spans="1:16">
      <c r="A3763" t="s">
        <v>5153</v>
      </c>
      <c r="B3763" t="s">
        <v>5130</v>
      </c>
      <c r="C3763" t="s">
        <v>229</v>
      </c>
      <c r="D3763">
        <v>1977</v>
      </c>
      <c r="E3763" t="s">
        <v>29</v>
      </c>
      <c r="F3763" t="s">
        <v>30</v>
      </c>
      <c r="G3763" t="s">
        <v>31</v>
      </c>
      <c r="H3763" t="s">
        <v>32</v>
      </c>
      <c r="I3763">
        <v>9770.5249210000002</v>
      </c>
      <c r="J3763" t="s">
        <v>33</v>
      </c>
      <c r="K3763" t="s">
        <v>5151</v>
      </c>
      <c r="L3763" t="s">
        <v>21</v>
      </c>
      <c r="M3763" t="str">
        <f t="shared" si="174"/>
        <v>OK</v>
      </c>
      <c r="N3763" t="str">
        <f t="shared" si="175"/>
        <v>1970s</v>
      </c>
      <c r="O3763" t="str">
        <f t="shared" si="176"/>
        <v>N/A</v>
      </c>
      <c r="P3763" t="str">
        <f>VLOOKUP(E3763,calculated_fields!$F$4:$G$6,2,FALSE)</f>
        <v>Economy</v>
      </c>
    </row>
    <row r="3764" spans="1:16">
      <c r="A3764" t="s">
        <v>5154</v>
      </c>
      <c r="B3764" t="s">
        <v>5130</v>
      </c>
      <c r="C3764" t="s">
        <v>229</v>
      </c>
      <c r="D3764">
        <v>1982</v>
      </c>
      <c r="E3764" t="s">
        <v>15</v>
      </c>
      <c r="F3764" t="s">
        <v>16</v>
      </c>
      <c r="G3764" t="s">
        <v>17</v>
      </c>
      <c r="H3764" t="s">
        <v>18</v>
      </c>
      <c r="I3764">
        <v>73.75</v>
      </c>
      <c r="J3764" t="s">
        <v>19</v>
      </c>
      <c r="K3764" t="s">
        <v>5155</v>
      </c>
      <c r="L3764" t="s">
        <v>21</v>
      </c>
      <c r="M3764" t="str">
        <f t="shared" si="174"/>
        <v>OK</v>
      </c>
      <c r="N3764" t="str">
        <f t="shared" si="175"/>
        <v>1980s</v>
      </c>
      <c r="O3764" t="str">
        <f t="shared" si="176"/>
        <v>High</v>
      </c>
      <c r="P3764" t="str">
        <f>VLOOKUP(E3764,calculated_fields!$F$4:$G$6,2,FALSE)</f>
        <v>Health</v>
      </c>
    </row>
    <row r="3765" spans="1:16">
      <c r="A3765" t="s">
        <v>5156</v>
      </c>
      <c r="B3765" t="s">
        <v>5130</v>
      </c>
      <c r="C3765" t="s">
        <v>229</v>
      </c>
      <c r="D3765">
        <v>1982</v>
      </c>
      <c r="E3765" t="s">
        <v>23</v>
      </c>
      <c r="F3765" t="s">
        <v>24</v>
      </c>
      <c r="G3765" t="s">
        <v>25</v>
      </c>
      <c r="H3765" t="s">
        <v>26</v>
      </c>
      <c r="I3765">
        <v>3279001</v>
      </c>
      <c r="J3765" t="s">
        <v>27</v>
      </c>
      <c r="K3765" t="s">
        <v>5155</v>
      </c>
      <c r="L3765" t="s">
        <v>21</v>
      </c>
      <c r="M3765" t="str">
        <f t="shared" si="174"/>
        <v>OK</v>
      </c>
      <c r="N3765" t="str">
        <f t="shared" si="175"/>
        <v>1980s</v>
      </c>
      <c r="O3765" t="str">
        <f t="shared" si="176"/>
        <v>N/A</v>
      </c>
      <c r="P3765" t="str">
        <f>VLOOKUP(E3765,calculated_fields!$F$4:$G$6,2,FALSE)</f>
        <v>Demographics</v>
      </c>
    </row>
    <row r="3766" spans="1:16">
      <c r="A3766" t="s">
        <v>5157</v>
      </c>
      <c r="B3766" t="s">
        <v>5130</v>
      </c>
      <c r="C3766" t="s">
        <v>229</v>
      </c>
      <c r="D3766">
        <v>1982</v>
      </c>
      <c r="E3766" t="s">
        <v>29</v>
      </c>
      <c r="F3766" t="s">
        <v>30</v>
      </c>
      <c r="G3766" t="s">
        <v>31</v>
      </c>
      <c r="H3766" t="s">
        <v>32</v>
      </c>
      <c r="I3766">
        <v>10330.989149999999</v>
      </c>
      <c r="J3766" t="s">
        <v>33</v>
      </c>
      <c r="K3766" t="s">
        <v>5155</v>
      </c>
      <c r="L3766" t="s">
        <v>21</v>
      </c>
      <c r="M3766" t="str">
        <f t="shared" si="174"/>
        <v>OK</v>
      </c>
      <c r="N3766" t="str">
        <f t="shared" si="175"/>
        <v>1980s</v>
      </c>
      <c r="O3766" t="str">
        <f t="shared" si="176"/>
        <v>N/A</v>
      </c>
      <c r="P3766" t="str">
        <f>VLOOKUP(E3766,calculated_fields!$F$4:$G$6,2,FALSE)</f>
        <v>Economy</v>
      </c>
    </row>
    <row r="3767" spans="1:16">
      <c r="A3767" t="s">
        <v>5158</v>
      </c>
      <c r="B3767" t="s">
        <v>5130</v>
      </c>
      <c r="C3767" t="s">
        <v>229</v>
      </c>
      <c r="D3767">
        <v>1987</v>
      </c>
      <c r="E3767" t="s">
        <v>15</v>
      </c>
      <c r="F3767" t="s">
        <v>16</v>
      </c>
      <c r="G3767" t="s">
        <v>17</v>
      </c>
      <c r="H3767" t="s">
        <v>18</v>
      </c>
      <c r="I3767">
        <v>74.63</v>
      </c>
      <c r="J3767" t="s">
        <v>19</v>
      </c>
      <c r="K3767" t="s">
        <v>5159</v>
      </c>
      <c r="L3767" t="s">
        <v>21</v>
      </c>
      <c r="M3767" t="str">
        <f t="shared" si="174"/>
        <v>OK</v>
      </c>
      <c r="N3767" t="str">
        <f t="shared" si="175"/>
        <v>1980s</v>
      </c>
      <c r="O3767" t="str">
        <f t="shared" si="176"/>
        <v>High</v>
      </c>
      <c r="P3767" t="str">
        <f>VLOOKUP(E3767,calculated_fields!$F$4:$G$6,2,FALSE)</f>
        <v>Health</v>
      </c>
    </row>
    <row r="3768" spans="1:16">
      <c r="A3768" t="s">
        <v>5160</v>
      </c>
      <c r="B3768" t="s">
        <v>5130</v>
      </c>
      <c r="C3768" t="s">
        <v>229</v>
      </c>
      <c r="D3768">
        <v>1987</v>
      </c>
      <c r="E3768" t="s">
        <v>23</v>
      </c>
      <c r="F3768" t="s">
        <v>24</v>
      </c>
      <c r="G3768" t="s">
        <v>25</v>
      </c>
      <c r="H3768" t="s">
        <v>26</v>
      </c>
      <c r="I3768">
        <v>3444468</v>
      </c>
      <c r="J3768" t="s">
        <v>27</v>
      </c>
      <c r="K3768" t="s">
        <v>5159</v>
      </c>
      <c r="L3768" t="s">
        <v>21</v>
      </c>
      <c r="M3768" t="str">
        <f t="shared" si="174"/>
        <v>OK</v>
      </c>
      <c r="N3768" t="str">
        <f t="shared" si="175"/>
        <v>1980s</v>
      </c>
      <c r="O3768" t="str">
        <f t="shared" si="176"/>
        <v>N/A</v>
      </c>
      <c r="P3768" t="str">
        <f>VLOOKUP(E3768,calculated_fields!$F$4:$G$6,2,FALSE)</f>
        <v>Demographics</v>
      </c>
    </row>
    <row r="3769" spans="1:16">
      <c r="A3769" t="s">
        <v>5161</v>
      </c>
      <c r="B3769" t="s">
        <v>5130</v>
      </c>
      <c r="C3769" t="s">
        <v>229</v>
      </c>
      <c r="D3769">
        <v>1987</v>
      </c>
      <c r="E3769" t="s">
        <v>29</v>
      </c>
      <c r="F3769" t="s">
        <v>30</v>
      </c>
      <c r="G3769" t="s">
        <v>31</v>
      </c>
      <c r="H3769" t="s">
        <v>32</v>
      </c>
      <c r="I3769">
        <v>12281.341909999999</v>
      </c>
      <c r="J3769" t="s">
        <v>33</v>
      </c>
      <c r="K3769" t="s">
        <v>5159</v>
      </c>
      <c r="L3769" t="s">
        <v>21</v>
      </c>
      <c r="M3769" t="str">
        <f t="shared" si="174"/>
        <v>OK</v>
      </c>
      <c r="N3769" t="str">
        <f t="shared" si="175"/>
        <v>1980s</v>
      </c>
      <c r="O3769" t="str">
        <f t="shared" si="176"/>
        <v>N/A</v>
      </c>
      <c r="P3769" t="str">
        <f>VLOOKUP(E3769,calculated_fields!$F$4:$G$6,2,FALSE)</f>
        <v>Economy</v>
      </c>
    </row>
    <row r="3770" spans="1:16">
      <c r="A3770" t="s">
        <v>5162</v>
      </c>
      <c r="B3770" t="s">
        <v>5130</v>
      </c>
      <c r="C3770" t="s">
        <v>229</v>
      </c>
      <c r="D3770">
        <v>1992</v>
      </c>
      <c r="E3770" t="s">
        <v>15</v>
      </c>
      <c r="F3770" t="s">
        <v>16</v>
      </c>
      <c r="G3770" t="s">
        <v>17</v>
      </c>
      <c r="H3770" t="s">
        <v>18</v>
      </c>
      <c r="I3770">
        <v>73.911000000000001</v>
      </c>
      <c r="J3770" t="s">
        <v>19</v>
      </c>
      <c r="K3770" t="s">
        <v>5163</v>
      </c>
      <c r="L3770" t="s">
        <v>21</v>
      </c>
      <c r="M3770" t="str">
        <f t="shared" si="174"/>
        <v>OK</v>
      </c>
      <c r="N3770" t="str">
        <f t="shared" si="175"/>
        <v>1990s</v>
      </c>
      <c r="O3770" t="str">
        <f t="shared" si="176"/>
        <v>High</v>
      </c>
      <c r="P3770" t="str">
        <f>VLOOKUP(E3770,calculated_fields!$F$4:$G$6,2,FALSE)</f>
        <v>Health</v>
      </c>
    </row>
    <row r="3771" spans="1:16">
      <c r="A3771" t="s">
        <v>5164</v>
      </c>
      <c r="B3771" t="s">
        <v>5130</v>
      </c>
      <c r="C3771" t="s">
        <v>229</v>
      </c>
      <c r="D3771">
        <v>1992</v>
      </c>
      <c r="E3771" t="s">
        <v>23</v>
      </c>
      <c r="F3771" t="s">
        <v>24</v>
      </c>
      <c r="G3771" t="s">
        <v>25</v>
      </c>
      <c r="H3771" t="s">
        <v>26</v>
      </c>
      <c r="I3771">
        <v>3585176</v>
      </c>
      <c r="J3771" t="s">
        <v>27</v>
      </c>
      <c r="K3771" t="s">
        <v>5163</v>
      </c>
      <c r="L3771" t="s">
        <v>21</v>
      </c>
      <c r="M3771" t="str">
        <f t="shared" si="174"/>
        <v>OK</v>
      </c>
      <c r="N3771" t="str">
        <f t="shared" si="175"/>
        <v>1990s</v>
      </c>
      <c r="O3771" t="str">
        <f t="shared" si="176"/>
        <v>N/A</v>
      </c>
      <c r="P3771" t="str">
        <f>VLOOKUP(E3771,calculated_fields!$F$4:$G$6,2,FALSE)</f>
        <v>Demographics</v>
      </c>
    </row>
    <row r="3772" spans="1:16">
      <c r="A3772" t="s">
        <v>5165</v>
      </c>
      <c r="B3772" t="s">
        <v>5130</v>
      </c>
      <c r="C3772" t="s">
        <v>229</v>
      </c>
      <c r="D3772">
        <v>1992</v>
      </c>
      <c r="E3772" t="s">
        <v>29</v>
      </c>
      <c r="F3772" t="s">
        <v>30</v>
      </c>
      <c r="G3772" t="s">
        <v>31</v>
      </c>
      <c r="H3772" t="s">
        <v>32</v>
      </c>
      <c r="I3772">
        <v>14641.58711</v>
      </c>
      <c r="J3772" t="s">
        <v>33</v>
      </c>
      <c r="K3772" t="s">
        <v>5163</v>
      </c>
      <c r="L3772" t="s">
        <v>21</v>
      </c>
      <c r="M3772" t="str">
        <f t="shared" si="174"/>
        <v>OK</v>
      </c>
      <c r="N3772" t="str">
        <f t="shared" si="175"/>
        <v>1990s</v>
      </c>
      <c r="O3772" t="str">
        <f t="shared" si="176"/>
        <v>N/A</v>
      </c>
      <c r="P3772" t="str">
        <f>VLOOKUP(E3772,calculated_fields!$F$4:$G$6,2,FALSE)</f>
        <v>Economy</v>
      </c>
    </row>
    <row r="3773" spans="1:16">
      <c r="A3773" t="s">
        <v>5166</v>
      </c>
      <c r="B3773" t="s">
        <v>5130</v>
      </c>
      <c r="C3773" t="s">
        <v>229</v>
      </c>
      <c r="D3773">
        <v>1997</v>
      </c>
      <c r="E3773" t="s">
        <v>15</v>
      </c>
      <c r="F3773" t="s">
        <v>16</v>
      </c>
      <c r="G3773" t="s">
        <v>17</v>
      </c>
      <c r="H3773" t="s">
        <v>18</v>
      </c>
      <c r="I3773">
        <v>74.917000000000002</v>
      </c>
      <c r="J3773" t="s">
        <v>19</v>
      </c>
      <c r="K3773" t="s">
        <v>5167</v>
      </c>
      <c r="L3773" t="s">
        <v>21</v>
      </c>
      <c r="M3773" t="str">
        <f t="shared" si="174"/>
        <v>OK</v>
      </c>
      <c r="N3773" t="str">
        <f t="shared" si="175"/>
        <v>1990s</v>
      </c>
      <c r="O3773" t="str">
        <f t="shared" si="176"/>
        <v>High</v>
      </c>
      <c r="P3773" t="str">
        <f>VLOOKUP(E3773,calculated_fields!$F$4:$G$6,2,FALSE)</f>
        <v>Health</v>
      </c>
    </row>
    <row r="3774" spans="1:16">
      <c r="A3774" t="s">
        <v>5168</v>
      </c>
      <c r="B3774" t="s">
        <v>5130</v>
      </c>
      <c r="C3774" t="s">
        <v>229</v>
      </c>
      <c r="D3774">
        <v>1997</v>
      </c>
      <c r="E3774" t="s">
        <v>23</v>
      </c>
      <c r="F3774" t="s">
        <v>24</v>
      </c>
      <c r="G3774" t="s">
        <v>25</v>
      </c>
      <c r="H3774" t="s">
        <v>26</v>
      </c>
      <c r="I3774">
        <v>3759430</v>
      </c>
      <c r="J3774" t="s">
        <v>27</v>
      </c>
      <c r="K3774" t="s">
        <v>5167</v>
      </c>
      <c r="L3774" t="s">
        <v>21</v>
      </c>
      <c r="M3774" t="str">
        <f t="shared" si="174"/>
        <v>OK</v>
      </c>
      <c r="N3774" t="str">
        <f t="shared" si="175"/>
        <v>1990s</v>
      </c>
      <c r="O3774" t="str">
        <f t="shared" si="176"/>
        <v>N/A</v>
      </c>
      <c r="P3774" t="str">
        <f>VLOOKUP(E3774,calculated_fields!$F$4:$G$6,2,FALSE)</f>
        <v>Demographics</v>
      </c>
    </row>
    <row r="3775" spans="1:16">
      <c r="A3775" t="s">
        <v>5169</v>
      </c>
      <c r="B3775" t="s">
        <v>5130</v>
      </c>
      <c r="C3775" t="s">
        <v>229</v>
      </c>
      <c r="D3775">
        <v>1997</v>
      </c>
      <c r="E3775" t="s">
        <v>29</v>
      </c>
      <c r="F3775" t="s">
        <v>30</v>
      </c>
      <c r="G3775" t="s">
        <v>31</v>
      </c>
      <c r="H3775" t="s">
        <v>32</v>
      </c>
      <c r="I3775">
        <v>16999.433300000001</v>
      </c>
      <c r="J3775" t="s">
        <v>33</v>
      </c>
      <c r="K3775" t="s">
        <v>5167</v>
      </c>
      <c r="L3775" t="s">
        <v>21</v>
      </c>
      <c r="M3775" t="str">
        <f t="shared" si="174"/>
        <v>OK</v>
      </c>
      <c r="N3775" t="str">
        <f t="shared" si="175"/>
        <v>1990s</v>
      </c>
      <c r="O3775" t="str">
        <f t="shared" si="176"/>
        <v>N/A</v>
      </c>
      <c r="P3775" t="str">
        <f>VLOOKUP(E3775,calculated_fields!$F$4:$G$6,2,FALSE)</f>
        <v>Economy</v>
      </c>
    </row>
    <row r="3776" spans="1:16">
      <c r="A3776" t="s">
        <v>5170</v>
      </c>
      <c r="B3776" t="s">
        <v>5130</v>
      </c>
      <c r="C3776" t="s">
        <v>229</v>
      </c>
      <c r="D3776">
        <v>2002</v>
      </c>
      <c r="E3776" t="s">
        <v>15</v>
      </c>
      <c r="F3776" t="s">
        <v>16</v>
      </c>
      <c r="G3776" t="s">
        <v>17</v>
      </c>
      <c r="H3776" t="s">
        <v>18</v>
      </c>
      <c r="I3776">
        <v>77.778000000000006</v>
      </c>
      <c r="J3776" t="s">
        <v>19</v>
      </c>
      <c r="K3776" t="s">
        <v>5171</v>
      </c>
      <c r="L3776" t="s">
        <v>21</v>
      </c>
      <c r="M3776" t="str">
        <f t="shared" si="174"/>
        <v>OK</v>
      </c>
      <c r="N3776" t="str">
        <f t="shared" si="175"/>
        <v>2000s</v>
      </c>
      <c r="O3776" t="str">
        <f t="shared" si="176"/>
        <v>High</v>
      </c>
      <c r="P3776" t="str">
        <f>VLOOKUP(E3776,calculated_fields!$F$4:$G$6,2,FALSE)</f>
        <v>Health</v>
      </c>
    </row>
    <row r="3777" spans="1:16">
      <c r="A3777" t="s">
        <v>5172</v>
      </c>
      <c r="B3777" t="s">
        <v>5130</v>
      </c>
      <c r="C3777" t="s">
        <v>229</v>
      </c>
      <c r="D3777">
        <v>2002</v>
      </c>
      <c r="E3777" t="s">
        <v>23</v>
      </c>
      <c r="F3777" t="s">
        <v>24</v>
      </c>
      <c r="G3777" t="s">
        <v>25</v>
      </c>
      <c r="H3777" t="s">
        <v>26</v>
      </c>
      <c r="I3777">
        <v>3859606</v>
      </c>
      <c r="J3777" t="s">
        <v>27</v>
      </c>
      <c r="K3777" t="s">
        <v>5171</v>
      </c>
      <c r="L3777" t="s">
        <v>21</v>
      </c>
      <c r="M3777" t="str">
        <f t="shared" si="174"/>
        <v>OK</v>
      </c>
      <c r="N3777" t="str">
        <f t="shared" si="175"/>
        <v>2000s</v>
      </c>
      <c r="O3777" t="str">
        <f t="shared" si="176"/>
        <v>N/A</v>
      </c>
      <c r="P3777" t="str">
        <f>VLOOKUP(E3777,calculated_fields!$F$4:$G$6,2,FALSE)</f>
        <v>Demographics</v>
      </c>
    </row>
    <row r="3778" spans="1:16">
      <c r="A3778" t="s">
        <v>5173</v>
      </c>
      <c r="B3778" t="s">
        <v>5130</v>
      </c>
      <c r="C3778" t="s">
        <v>229</v>
      </c>
      <c r="D3778">
        <v>2002</v>
      </c>
      <c r="E3778" t="s">
        <v>29</v>
      </c>
      <c r="F3778" t="s">
        <v>30</v>
      </c>
      <c r="G3778" t="s">
        <v>31</v>
      </c>
      <c r="H3778" t="s">
        <v>32</v>
      </c>
      <c r="I3778">
        <v>18855.606179999999</v>
      </c>
      <c r="J3778" t="s">
        <v>33</v>
      </c>
      <c r="K3778" t="s">
        <v>5171</v>
      </c>
      <c r="L3778" t="s">
        <v>21</v>
      </c>
      <c r="M3778" t="str">
        <f t="shared" ref="M3778:M3841" si="177">IF(AND(ISNUMBER(I3778),I3778&gt;=0),"OK","Review")</f>
        <v>OK</v>
      </c>
      <c r="N3778" t="str">
        <f t="shared" ref="N3778:N3841" si="178">FLOOR(D3778,10)&amp;"s"</f>
        <v>2000s</v>
      </c>
      <c r="O3778" t="str">
        <f t="shared" ref="O3778:O3841" si="179">IF(E3778="LIFE_EXP",IF(I3778&gt;=70,"High",IF(I3778&gt;=55,"Medium","Low")),"N/A")</f>
        <v>N/A</v>
      </c>
      <c r="P3778" t="str">
        <f>VLOOKUP(E3778,calculated_fields!$F$4:$G$6,2,FALSE)</f>
        <v>Economy</v>
      </c>
    </row>
    <row r="3779" spans="1:16">
      <c r="A3779" t="s">
        <v>5174</v>
      </c>
      <c r="B3779" t="s">
        <v>5130</v>
      </c>
      <c r="C3779" t="s">
        <v>229</v>
      </c>
      <c r="D3779">
        <v>2007</v>
      </c>
      <c r="E3779" t="s">
        <v>15</v>
      </c>
      <c r="F3779" t="s">
        <v>16</v>
      </c>
      <c r="G3779" t="s">
        <v>17</v>
      </c>
      <c r="H3779" t="s">
        <v>18</v>
      </c>
      <c r="I3779">
        <v>78.745999999999995</v>
      </c>
      <c r="J3779" t="s">
        <v>19</v>
      </c>
      <c r="K3779" t="s">
        <v>5175</v>
      </c>
      <c r="L3779" t="s">
        <v>21</v>
      </c>
      <c r="M3779" t="str">
        <f t="shared" si="177"/>
        <v>OK</v>
      </c>
      <c r="N3779" t="str">
        <f t="shared" si="178"/>
        <v>2000s</v>
      </c>
      <c r="O3779" t="str">
        <f t="shared" si="179"/>
        <v>High</v>
      </c>
      <c r="P3779" t="str">
        <f>VLOOKUP(E3779,calculated_fields!$F$4:$G$6,2,FALSE)</f>
        <v>Health</v>
      </c>
    </row>
    <row r="3780" spans="1:16">
      <c r="A3780" t="s">
        <v>5176</v>
      </c>
      <c r="B3780" t="s">
        <v>5130</v>
      </c>
      <c r="C3780" t="s">
        <v>229</v>
      </c>
      <c r="D3780">
        <v>2007</v>
      </c>
      <c r="E3780" t="s">
        <v>23</v>
      </c>
      <c r="F3780" t="s">
        <v>24</v>
      </c>
      <c r="G3780" t="s">
        <v>25</v>
      </c>
      <c r="H3780" t="s">
        <v>26</v>
      </c>
      <c r="I3780">
        <v>3942491</v>
      </c>
      <c r="J3780" t="s">
        <v>27</v>
      </c>
      <c r="K3780" t="s">
        <v>5175</v>
      </c>
      <c r="L3780" t="s">
        <v>21</v>
      </c>
      <c r="M3780" t="str">
        <f t="shared" si="177"/>
        <v>OK</v>
      </c>
      <c r="N3780" t="str">
        <f t="shared" si="178"/>
        <v>2000s</v>
      </c>
      <c r="O3780" t="str">
        <f t="shared" si="179"/>
        <v>N/A</v>
      </c>
      <c r="P3780" t="str">
        <f>VLOOKUP(E3780,calculated_fields!$F$4:$G$6,2,FALSE)</f>
        <v>Demographics</v>
      </c>
    </row>
    <row r="3781" spans="1:16">
      <c r="A3781" t="s">
        <v>5177</v>
      </c>
      <c r="B3781" t="s">
        <v>5130</v>
      </c>
      <c r="C3781" t="s">
        <v>229</v>
      </c>
      <c r="D3781">
        <v>2007</v>
      </c>
      <c r="E3781" t="s">
        <v>29</v>
      </c>
      <c r="F3781" t="s">
        <v>30</v>
      </c>
      <c r="G3781" t="s">
        <v>31</v>
      </c>
      <c r="H3781" t="s">
        <v>32</v>
      </c>
      <c r="I3781">
        <v>19328.709009999999</v>
      </c>
      <c r="J3781" t="s">
        <v>33</v>
      </c>
      <c r="K3781" t="s">
        <v>5175</v>
      </c>
      <c r="L3781" t="s">
        <v>21</v>
      </c>
      <c r="M3781" t="str">
        <f t="shared" si="177"/>
        <v>OK</v>
      </c>
      <c r="N3781" t="str">
        <f t="shared" si="178"/>
        <v>2000s</v>
      </c>
      <c r="O3781" t="str">
        <f t="shared" si="179"/>
        <v>N/A</v>
      </c>
      <c r="P3781" t="str">
        <f>VLOOKUP(E3781,calculated_fields!$F$4:$G$6,2,FALSE)</f>
        <v>Economy</v>
      </c>
    </row>
    <row r="3782" spans="1:16">
      <c r="A3782" t="s">
        <v>5178</v>
      </c>
      <c r="B3782" t="s">
        <v>5179</v>
      </c>
      <c r="C3782" t="s">
        <v>130</v>
      </c>
      <c r="D3782">
        <v>1952</v>
      </c>
      <c r="E3782" t="s">
        <v>15</v>
      </c>
      <c r="F3782" t="s">
        <v>16</v>
      </c>
      <c r="G3782" t="s">
        <v>17</v>
      </c>
      <c r="H3782" t="s">
        <v>18</v>
      </c>
      <c r="I3782">
        <v>52.723999999999997</v>
      </c>
      <c r="J3782" t="s">
        <v>19</v>
      </c>
      <c r="K3782" t="s">
        <v>5180</v>
      </c>
      <c r="L3782" t="s">
        <v>21</v>
      </c>
      <c r="M3782" t="str">
        <f t="shared" si="177"/>
        <v>OK</v>
      </c>
      <c r="N3782" t="str">
        <f t="shared" si="178"/>
        <v>1950s</v>
      </c>
      <c r="O3782" t="str">
        <f t="shared" si="179"/>
        <v>Low</v>
      </c>
      <c r="P3782" t="str">
        <f>VLOOKUP(E3782,calculated_fields!$F$4:$G$6,2,FALSE)</f>
        <v>Health</v>
      </c>
    </row>
    <row r="3783" spans="1:16">
      <c r="A3783" t="s">
        <v>5181</v>
      </c>
      <c r="B3783" t="s">
        <v>5179</v>
      </c>
      <c r="C3783" t="s">
        <v>130</v>
      </c>
      <c r="D3783">
        <v>1952</v>
      </c>
      <c r="E3783" t="s">
        <v>23</v>
      </c>
      <c r="F3783" t="s">
        <v>24</v>
      </c>
      <c r="G3783" t="s">
        <v>25</v>
      </c>
      <c r="H3783" t="s">
        <v>26</v>
      </c>
      <c r="I3783">
        <v>257700</v>
      </c>
      <c r="J3783" t="s">
        <v>27</v>
      </c>
      <c r="K3783" t="s">
        <v>5180</v>
      </c>
      <c r="L3783" t="s">
        <v>21</v>
      </c>
      <c r="M3783" t="str">
        <f t="shared" si="177"/>
        <v>OK</v>
      </c>
      <c r="N3783" t="str">
        <f t="shared" si="178"/>
        <v>1950s</v>
      </c>
      <c r="O3783" t="str">
        <f t="shared" si="179"/>
        <v>N/A</v>
      </c>
      <c r="P3783" t="str">
        <f>VLOOKUP(E3783,calculated_fields!$F$4:$G$6,2,FALSE)</f>
        <v>Demographics</v>
      </c>
    </row>
    <row r="3784" spans="1:16">
      <c r="A3784" t="s">
        <v>5182</v>
      </c>
      <c r="B3784" t="s">
        <v>5179</v>
      </c>
      <c r="C3784" t="s">
        <v>130</v>
      </c>
      <c r="D3784">
        <v>1952</v>
      </c>
      <c r="E3784" t="s">
        <v>29</v>
      </c>
      <c r="F3784" t="s">
        <v>30</v>
      </c>
      <c r="G3784" t="s">
        <v>31</v>
      </c>
      <c r="H3784" t="s">
        <v>32</v>
      </c>
      <c r="I3784">
        <v>2718.885295</v>
      </c>
      <c r="J3784" t="s">
        <v>33</v>
      </c>
      <c r="K3784" t="s">
        <v>5180</v>
      </c>
      <c r="L3784" t="s">
        <v>21</v>
      </c>
      <c r="M3784" t="str">
        <f t="shared" si="177"/>
        <v>OK</v>
      </c>
      <c r="N3784" t="str">
        <f t="shared" si="178"/>
        <v>1950s</v>
      </c>
      <c r="O3784" t="str">
        <f t="shared" si="179"/>
        <v>N/A</v>
      </c>
      <c r="P3784" t="str">
        <f>VLOOKUP(E3784,calculated_fields!$F$4:$G$6,2,FALSE)</f>
        <v>Economy</v>
      </c>
    </row>
    <row r="3785" spans="1:16">
      <c r="A3785" t="s">
        <v>5183</v>
      </c>
      <c r="B3785" t="s">
        <v>5179</v>
      </c>
      <c r="C3785" t="s">
        <v>130</v>
      </c>
      <c r="D3785">
        <v>1957</v>
      </c>
      <c r="E3785" t="s">
        <v>15</v>
      </c>
      <c r="F3785" t="s">
        <v>16</v>
      </c>
      <c r="G3785" t="s">
        <v>17</v>
      </c>
      <c r="H3785" t="s">
        <v>18</v>
      </c>
      <c r="I3785">
        <v>55.09</v>
      </c>
      <c r="J3785" t="s">
        <v>19</v>
      </c>
      <c r="K3785" t="s">
        <v>5184</v>
      </c>
      <c r="L3785" t="s">
        <v>21</v>
      </c>
      <c r="M3785" t="str">
        <f t="shared" si="177"/>
        <v>OK</v>
      </c>
      <c r="N3785" t="str">
        <f t="shared" si="178"/>
        <v>1950s</v>
      </c>
      <c r="O3785" t="str">
        <f t="shared" si="179"/>
        <v>Medium</v>
      </c>
      <c r="P3785" t="str">
        <f>VLOOKUP(E3785,calculated_fields!$F$4:$G$6,2,FALSE)</f>
        <v>Health</v>
      </c>
    </row>
    <row r="3786" spans="1:16">
      <c r="A3786" t="s">
        <v>5185</v>
      </c>
      <c r="B3786" t="s">
        <v>5179</v>
      </c>
      <c r="C3786" t="s">
        <v>130</v>
      </c>
      <c r="D3786">
        <v>1957</v>
      </c>
      <c r="E3786" t="s">
        <v>23</v>
      </c>
      <c r="F3786" t="s">
        <v>24</v>
      </c>
      <c r="G3786" t="s">
        <v>25</v>
      </c>
      <c r="H3786" t="s">
        <v>26</v>
      </c>
      <c r="I3786">
        <v>308700</v>
      </c>
      <c r="J3786" t="s">
        <v>27</v>
      </c>
      <c r="K3786" t="s">
        <v>5184</v>
      </c>
      <c r="L3786" t="s">
        <v>21</v>
      </c>
      <c r="M3786" t="str">
        <f t="shared" si="177"/>
        <v>OK</v>
      </c>
      <c r="N3786" t="str">
        <f t="shared" si="178"/>
        <v>1950s</v>
      </c>
      <c r="O3786" t="str">
        <f t="shared" si="179"/>
        <v>N/A</v>
      </c>
      <c r="P3786" t="str">
        <f>VLOOKUP(E3786,calculated_fields!$F$4:$G$6,2,FALSE)</f>
        <v>Demographics</v>
      </c>
    </row>
    <row r="3787" spans="1:16">
      <c r="A3787" t="s">
        <v>5186</v>
      </c>
      <c r="B3787" t="s">
        <v>5179</v>
      </c>
      <c r="C3787" t="s">
        <v>130</v>
      </c>
      <c r="D3787">
        <v>1957</v>
      </c>
      <c r="E3787" t="s">
        <v>29</v>
      </c>
      <c r="F3787" t="s">
        <v>30</v>
      </c>
      <c r="G3787" t="s">
        <v>31</v>
      </c>
      <c r="H3787" t="s">
        <v>32</v>
      </c>
      <c r="I3787">
        <v>2769.4518440000002</v>
      </c>
      <c r="J3787" t="s">
        <v>33</v>
      </c>
      <c r="K3787" t="s">
        <v>5184</v>
      </c>
      <c r="L3787" t="s">
        <v>21</v>
      </c>
      <c r="M3787" t="str">
        <f t="shared" si="177"/>
        <v>OK</v>
      </c>
      <c r="N3787" t="str">
        <f t="shared" si="178"/>
        <v>1950s</v>
      </c>
      <c r="O3787" t="str">
        <f t="shared" si="179"/>
        <v>N/A</v>
      </c>
      <c r="P3787" t="str">
        <f>VLOOKUP(E3787,calculated_fields!$F$4:$G$6,2,FALSE)</f>
        <v>Economy</v>
      </c>
    </row>
    <row r="3788" spans="1:16">
      <c r="A3788" t="s">
        <v>5187</v>
      </c>
      <c r="B3788" t="s">
        <v>5179</v>
      </c>
      <c r="C3788" t="s">
        <v>130</v>
      </c>
      <c r="D3788">
        <v>1962</v>
      </c>
      <c r="E3788" t="s">
        <v>15</v>
      </c>
      <c r="F3788" t="s">
        <v>16</v>
      </c>
      <c r="G3788" t="s">
        <v>17</v>
      </c>
      <c r="H3788" t="s">
        <v>18</v>
      </c>
      <c r="I3788">
        <v>57.665999999999997</v>
      </c>
      <c r="J3788" t="s">
        <v>19</v>
      </c>
      <c r="K3788" t="s">
        <v>5188</v>
      </c>
      <c r="L3788" t="s">
        <v>21</v>
      </c>
      <c r="M3788" t="str">
        <f t="shared" si="177"/>
        <v>OK</v>
      </c>
      <c r="N3788" t="str">
        <f t="shared" si="178"/>
        <v>1960s</v>
      </c>
      <c r="O3788" t="str">
        <f t="shared" si="179"/>
        <v>Medium</v>
      </c>
      <c r="P3788" t="str">
        <f>VLOOKUP(E3788,calculated_fields!$F$4:$G$6,2,FALSE)</f>
        <v>Health</v>
      </c>
    </row>
    <row r="3789" spans="1:16">
      <c r="A3789" t="s">
        <v>5189</v>
      </c>
      <c r="B3789" t="s">
        <v>5179</v>
      </c>
      <c r="C3789" t="s">
        <v>130</v>
      </c>
      <c r="D3789">
        <v>1962</v>
      </c>
      <c r="E3789" t="s">
        <v>23</v>
      </c>
      <c r="F3789" t="s">
        <v>24</v>
      </c>
      <c r="G3789" t="s">
        <v>25</v>
      </c>
      <c r="H3789" t="s">
        <v>26</v>
      </c>
      <c r="I3789">
        <v>358900</v>
      </c>
      <c r="J3789" t="s">
        <v>27</v>
      </c>
      <c r="K3789" t="s">
        <v>5188</v>
      </c>
      <c r="L3789" t="s">
        <v>21</v>
      </c>
      <c r="M3789" t="str">
        <f t="shared" si="177"/>
        <v>OK</v>
      </c>
      <c r="N3789" t="str">
        <f t="shared" si="178"/>
        <v>1960s</v>
      </c>
      <c r="O3789" t="str">
        <f t="shared" si="179"/>
        <v>N/A</v>
      </c>
      <c r="P3789" t="str">
        <f>VLOOKUP(E3789,calculated_fields!$F$4:$G$6,2,FALSE)</f>
        <v>Demographics</v>
      </c>
    </row>
    <row r="3790" spans="1:16">
      <c r="A3790" t="s">
        <v>5190</v>
      </c>
      <c r="B3790" t="s">
        <v>5179</v>
      </c>
      <c r="C3790" t="s">
        <v>130</v>
      </c>
      <c r="D3790">
        <v>1962</v>
      </c>
      <c r="E3790" t="s">
        <v>29</v>
      </c>
      <c r="F3790" t="s">
        <v>30</v>
      </c>
      <c r="G3790" t="s">
        <v>31</v>
      </c>
      <c r="H3790" t="s">
        <v>32</v>
      </c>
      <c r="I3790">
        <v>3173.72334</v>
      </c>
      <c r="J3790" t="s">
        <v>33</v>
      </c>
      <c r="K3790" t="s">
        <v>5188</v>
      </c>
      <c r="L3790" t="s">
        <v>21</v>
      </c>
      <c r="M3790" t="str">
        <f t="shared" si="177"/>
        <v>OK</v>
      </c>
      <c r="N3790" t="str">
        <f t="shared" si="178"/>
        <v>1960s</v>
      </c>
      <c r="O3790" t="str">
        <f t="shared" si="179"/>
        <v>N/A</v>
      </c>
      <c r="P3790" t="str">
        <f>VLOOKUP(E3790,calculated_fields!$F$4:$G$6,2,FALSE)</f>
        <v>Economy</v>
      </c>
    </row>
    <row r="3791" spans="1:16">
      <c r="A3791" t="s">
        <v>5191</v>
      </c>
      <c r="B3791" t="s">
        <v>5179</v>
      </c>
      <c r="C3791" t="s">
        <v>130</v>
      </c>
      <c r="D3791">
        <v>1967</v>
      </c>
      <c r="E3791" t="s">
        <v>15</v>
      </c>
      <c r="F3791" t="s">
        <v>16</v>
      </c>
      <c r="G3791" t="s">
        <v>17</v>
      </c>
      <c r="H3791" t="s">
        <v>18</v>
      </c>
      <c r="I3791">
        <v>60.542000000000002</v>
      </c>
      <c r="J3791" t="s">
        <v>19</v>
      </c>
      <c r="K3791" t="s">
        <v>5192</v>
      </c>
      <c r="L3791" t="s">
        <v>21</v>
      </c>
      <c r="M3791" t="str">
        <f t="shared" si="177"/>
        <v>OK</v>
      </c>
      <c r="N3791" t="str">
        <f t="shared" si="178"/>
        <v>1960s</v>
      </c>
      <c r="O3791" t="str">
        <f t="shared" si="179"/>
        <v>Medium</v>
      </c>
      <c r="P3791" t="str">
        <f>VLOOKUP(E3791,calculated_fields!$F$4:$G$6,2,FALSE)</f>
        <v>Health</v>
      </c>
    </row>
    <row r="3792" spans="1:16">
      <c r="A3792" t="s">
        <v>5193</v>
      </c>
      <c r="B3792" t="s">
        <v>5179</v>
      </c>
      <c r="C3792" t="s">
        <v>130</v>
      </c>
      <c r="D3792">
        <v>1967</v>
      </c>
      <c r="E3792" t="s">
        <v>23</v>
      </c>
      <c r="F3792" t="s">
        <v>24</v>
      </c>
      <c r="G3792" t="s">
        <v>25</v>
      </c>
      <c r="H3792" t="s">
        <v>26</v>
      </c>
      <c r="I3792">
        <v>414024</v>
      </c>
      <c r="J3792" t="s">
        <v>27</v>
      </c>
      <c r="K3792" t="s">
        <v>5192</v>
      </c>
      <c r="L3792" t="s">
        <v>21</v>
      </c>
      <c r="M3792" t="str">
        <f t="shared" si="177"/>
        <v>OK</v>
      </c>
      <c r="N3792" t="str">
        <f t="shared" si="178"/>
        <v>1960s</v>
      </c>
      <c r="O3792" t="str">
        <f t="shared" si="179"/>
        <v>N/A</v>
      </c>
      <c r="P3792" t="str">
        <f>VLOOKUP(E3792,calculated_fields!$F$4:$G$6,2,FALSE)</f>
        <v>Demographics</v>
      </c>
    </row>
    <row r="3793" spans="1:16">
      <c r="A3793" t="s">
        <v>5194</v>
      </c>
      <c r="B3793" t="s">
        <v>5179</v>
      </c>
      <c r="C3793" t="s">
        <v>130</v>
      </c>
      <c r="D3793">
        <v>1967</v>
      </c>
      <c r="E3793" t="s">
        <v>29</v>
      </c>
      <c r="F3793" t="s">
        <v>30</v>
      </c>
      <c r="G3793" t="s">
        <v>31</v>
      </c>
      <c r="H3793" t="s">
        <v>32</v>
      </c>
      <c r="I3793">
        <v>4021.1757389999998</v>
      </c>
      <c r="J3793" t="s">
        <v>33</v>
      </c>
      <c r="K3793" t="s">
        <v>5192</v>
      </c>
      <c r="L3793" t="s">
        <v>21</v>
      </c>
      <c r="M3793" t="str">
        <f t="shared" si="177"/>
        <v>OK</v>
      </c>
      <c r="N3793" t="str">
        <f t="shared" si="178"/>
        <v>1960s</v>
      </c>
      <c r="O3793" t="str">
        <f t="shared" si="179"/>
        <v>N/A</v>
      </c>
      <c r="P3793" t="str">
        <f>VLOOKUP(E3793,calculated_fields!$F$4:$G$6,2,FALSE)</f>
        <v>Economy</v>
      </c>
    </row>
    <row r="3794" spans="1:16">
      <c r="A3794" t="s">
        <v>5195</v>
      </c>
      <c r="B3794" t="s">
        <v>5179</v>
      </c>
      <c r="C3794" t="s">
        <v>130</v>
      </c>
      <c r="D3794">
        <v>1972</v>
      </c>
      <c r="E3794" t="s">
        <v>15</v>
      </c>
      <c r="F3794" t="s">
        <v>16</v>
      </c>
      <c r="G3794" t="s">
        <v>17</v>
      </c>
      <c r="H3794" t="s">
        <v>18</v>
      </c>
      <c r="I3794">
        <v>64.274000000000001</v>
      </c>
      <c r="J3794" t="s">
        <v>19</v>
      </c>
      <c r="K3794" t="s">
        <v>5196</v>
      </c>
      <c r="L3794" t="s">
        <v>21</v>
      </c>
      <c r="M3794" t="str">
        <f t="shared" si="177"/>
        <v>OK</v>
      </c>
      <c r="N3794" t="str">
        <f t="shared" si="178"/>
        <v>1970s</v>
      </c>
      <c r="O3794" t="str">
        <f t="shared" si="179"/>
        <v>Medium</v>
      </c>
      <c r="P3794" t="str">
        <f>VLOOKUP(E3794,calculated_fields!$F$4:$G$6,2,FALSE)</f>
        <v>Health</v>
      </c>
    </row>
    <row r="3795" spans="1:16">
      <c r="A3795" t="s">
        <v>5197</v>
      </c>
      <c r="B3795" t="s">
        <v>5179</v>
      </c>
      <c r="C3795" t="s">
        <v>130</v>
      </c>
      <c r="D3795">
        <v>1972</v>
      </c>
      <c r="E3795" t="s">
        <v>23</v>
      </c>
      <c r="F3795" t="s">
        <v>24</v>
      </c>
      <c r="G3795" t="s">
        <v>25</v>
      </c>
      <c r="H3795" t="s">
        <v>26</v>
      </c>
      <c r="I3795">
        <v>461633</v>
      </c>
      <c r="J3795" t="s">
        <v>27</v>
      </c>
      <c r="K3795" t="s">
        <v>5196</v>
      </c>
      <c r="L3795" t="s">
        <v>21</v>
      </c>
      <c r="M3795" t="str">
        <f t="shared" si="177"/>
        <v>OK</v>
      </c>
      <c r="N3795" t="str">
        <f t="shared" si="178"/>
        <v>1970s</v>
      </c>
      <c r="O3795" t="str">
        <f t="shared" si="179"/>
        <v>N/A</v>
      </c>
      <c r="P3795" t="str">
        <f>VLOOKUP(E3795,calculated_fields!$F$4:$G$6,2,FALSE)</f>
        <v>Demographics</v>
      </c>
    </row>
    <row r="3796" spans="1:16">
      <c r="A3796" t="s">
        <v>5198</v>
      </c>
      <c r="B3796" t="s">
        <v>5179</v>
      </c>
      <c r="C3796" t="s">
        <v>130</v>
      </c>
      <c r="D3796">
        <v>1972</v>
      </c>
      <c r="E3796" t="s">
        <v>29</v>
      </c>
      <c r="F3796" t="s">
        <v>30</v>
      </c>
      <c r="G3796" t="s">
        <v>31</v>
      </c>
      <c r="H3796" t="s">
        <v>32</v>
      </c>
      <c r="I3796">
        <v>5047.658563</v>
      </c>
      <c r="J3796" t="s">
        <v>33</v>
      </c>
      <c r="K3796" t="s">
        <v>5196</v>
      </c>
      <c r="L3796" t="s">
        <v>21</v>
      </c>
      <c r="M3796" t="str">
        <f t="shared" si="177"/>
        <v>OK</v>
      </c>
      <c r="N3796" t="str">
        <f t="shared" si="178"/>
        <v>1970s</v>
      </c>
      <c r="O3796" t="str">
        <f t="shared" si="179"/>
        <v>N/A</v>
      </c>
      <c r="P3796" t="str">
        <f>VLOOKUP(E3796,calculated_fields!$F$4:$G$6,2,FALSE)</f>
        <v>Economy</v>
      </c>
    </row>
    <row r="3797" spans="1:16">
      <c r="A3797" t="s">
        <v>5199</v>
      </c>
      <c r="B3797" t="s">
        <v>5179</v>
      </c>
      <c r="C3797" t="s">
        <v>130</v>
      </c>
      <c r="D3797">
        <v>1977</v>
      </c>
      <c r="E3797" t="s">
        <v>15</v>
      </c>
      <c r="F3797" t="s">
        <v>16</v>
      </c>
      <c r="G3797" t="s">
        <v>17</v>
      </c>
      <c r="H3797" t="s">
        <v>18</v>
      </c>
      <c r="I3797">
        <v>67.063999999999993</v>
      </c>
      <c r="J3797" t="s">
        <v>19</v>
      </c>
      <c r="K3797" t="s">
        <v>5200</v>
      </c>
      <c r="L3797" t="s">
        <v>21</v>
      </c>
      <c r="M3797" t="str">
        <f t="shared" si="177"/>
        <v>OK</v>
      </c>
      <c r="N3797" t="str">
        <f t="shared" si="178"/>
        <v>1970s</v>
      </c>
      <c r="O3797" t="str">
        <f t="shared" si="179"/>
        <v>Medium</v>
      </c>
      <c r="P3797" t="str">
        <f>VLOOKUP(E3797,calculated_fields!$F$4:$G$6,2,FALSE)</f>
        <v>Health</v>
      </c>
    </row>
    <row r="3798" spans="1:16">
      <c r="A3798" t="s">
        <v>5201</v>
      </c>
      <c r="B3798" t="s">
        <v>5179</v>
      </c>
      <c r="C3798" t="s">
        <v>130</v>
      </c>
      <c r="D3798">
        <v>1977</v>
      </c>
      <c r="E3798" t="s">
        <v>23</v>
      </c>
      <c r="F3798" t="s">
        <v>24</v>
      </c>
      <c r="G3798" t="s">
        <v>25</v>
      </c>
      <c r="H3798" t="s">
        <v>26</v>
      </c>
      <c r="I3798">
        <v>492095</v>
      </c>
      <c r="J3798" t="s">
        <v>27</v>
      </c>
      <c r="K3798" t="s">
        <v>5200</v>
      </c>
      <c r="L3798" t="s">
        <v>21</v>
      </c>
      <c r="M3798" t="str">
        <f t="shared" si="177"/>
        <v>OK</v>
      </c>
      <c r="N3798" t="str">
        <f t="shared" si="178"/>
        <v>1970s</v>
      </c>
      <c r="O3798" t="str">
        <f t="shared" si="179"/>
        <v>N/A</v>
      </c>
      <c r="P3798" t="str">
        <f>VLOOKUP(E3798,calculated_fields!$F$4:$G$6,2,FALSE)</f>
        <v>Demographics</v>
      </c>
    </row>
    <row r="3799" spans="1:16">
      <c r="A3799" t="s">
        <v>5202</v>
      </c>
      <c r="B3799" t="s">
        <v>5179</v>
      </c>
      <c r="C3799" t="s">
        <v>130</v>
      </c>
      <c r="D3799">
        <v>1977</v>
      </c>
      <c r="E3799" t="s">
        <v>29</v>
      </c>
      <c r="F3799" t="s">
        <v>30</v>
      </c>
      <c r="G3799" t="s">
        <v>31</v>
      </c>
      <c r="H3799" t="s">
        <v>32</v>
      </c>
      <c r="I3799">
        <v>4319.804067</v>
      </c>
      <c r="J3799" t="s">
        <v>33</v>
      </c>
      <c r="K3799" t="s">
        <v>5200</v>
      </c>
      <c r="L3799" t="s">
        <v>21</v>
      </c>
      <c r="M3799" t="str">
        <f t="shared" si="177"/>
        <v>OK</v>
      </c>
      <c r="N3799" t="str">
        <f t="shared" si="178"/>
        <v>1970s</v>
      </c>
      <c r="O3799" t="str">
        <f t="shared" si="179"/>
        <v>N/A</v>
      </c>
      <c r="P3799" t="str">
        <f>VLOOKUP(E3799,calculated_fields!$F$4:$G$6,2,FALSE)</f>
        <v>Economy</v>
      </c>
    </row>
    <row r="3800" spans="1:16">
      <c r="A3800" t="s">
        <v>5203</v>
      </c>
      <c r="B3800" t="s">
        <v>5179</v>
      </c>
      <c r="C3800" t="s">
        <v>130</v>
      </c>
      <c r="D3800">
        <v>1982</v>
      </c>
      <c r="E3800" t="s">
        <v>15</v>
      </c>
      <c r="F3800" t="s">
        <v>16</v>
      </c>
      <c r="G3800" t="s">
        <v>17</v>
      </c>
      <c r="H3800" t="s">
        <v>18</v>
      </c>
      <c r="I3800">
        <v>69.885000000000005</v>
      </c>
      <c r="J3800" t="s">
        <v>19</v>
      </c>
      <c r="K3800" t="s">
        <v>5204</v>
      </c>
      <c r="L3800" t="s">
        <v>21</v>
      </c>
      <c r="M3800" t="str">
        <f t="shared" si="177"/>
        <v>OK</v>
      </c>
      <c r="N3800" t="str">
        <f t="shared" si="178"/>
        <v>1980s</v>
      </c>
      <c r="O3800" t="str">
        <f t="shared" si="179"/>
        <v>Medium</v>
      </c>
      <c r="P3800" t="str">
        <f>VLOOKUP(E3800,calculated_fields!$F$4:$G$6,2,FALSE)</f>
        <v>Health</v>
      </c>
    </row>
    <row r="3801" spans="1:16">
      <c r="A3801" t="s">
        <v>5205</v>
      </c>
      <c r="B3801" t="s">
        <v>5179</v>
      </c>
      <c r="C3801" t="s">
        <v>130</v>
      </c>
      <c r="D3801">
        <v>1982</v>
      </c>
      <c r="E3801" t="s">
        <v>23</v>
      </c>
      <c r="F3801" t="s">
        <v>24</v>
      </c>
      <c r="G3801" t="s">
        <v>25</v>
      </c>
      <c r="H3801" t="s">
        <v>26</v>
      </c>
      <c r="I3801">
        <v>517810</v>
      </c>
      <c r="J3801" t="s">
        <v>27</v>
      </c>
      <c r="K3801" t="s">
        <v>5204</v>
      </c>
      <c r="L3801" t="s">
        <v>21</v>
      </c>
      <c r="M3801" t="str">
        <f t="shared" si="177"/>
        <v>OK</v>
      </c>
      <c r="N3801" t="str">
        <f t="shared" si="178"/>
        <v>1980s</v>
      </c>
      <c r="O3801" t="str">
        <f t="shared" si="179"/>
        <v>N/A</v>
      </c>
      <c r="P3801" t="str">
        <f>VLOOKUP(E3801,calculated_fields!$F$4:$G$6,2,FALSE)</f>
        <v>Demographics</v>
      </c>
    </row>
    <row r="3802" spans="1:16">
      <c r="A3802" t="s">
        <v>5206</v>
      </c>
      <c r="B3802" t="s">
        <v>5179</v>
      </c>
      <c r="C3802" t="s">
        <v>130</v>
      </c>
      <c r="D3802">
        <v>1982</v>
      </c>
      <c r="E3802" t="s">
        <v>29</v>
      </c>
      <c r="F3802" t="s">
        <v>30</v>
      </c>
      <c r="G3802" t="s">
        <v>31</v>
      </c>
      <c r="H3802" t="s">
        <v>32</v>
      </c>
      <c r="I3802">
        <v>5267.2193530000004</v>
      </c>
      <c r="J3802" t="s">
        <v>33</v>
      </c>
      <c r="K3802" t="s">
        <v>5204</v>
      </c>
      <c r="L3802" t="s">
        <v>21</v>
      </c>
      <c r="M3802" t="str">
        <f t="shared" si="177"/>
        <v>OK</v>
      </c>
      <c r="N3802" t="str">
        <f t="shared" si="178"/>
        <v>1980s</v>
      </c>
      <c r="O3802" t="str">
        <f t="shared" si="179"/>
        <v>N/A</v>
      </c>
      <c r="P3802" t="str">
        <f>VLOOKUP(E3802,calculated_fields!$F$4:$G$6,2,FALSE)</f>
        <v>Economy</v>
      </c>
    </row>
    <row r="3803" spans="1:16">
      <c r="A3803" t="s">
        <v>5207</v>
      </c>
      <c r="B3803" t="s">
        <v>5179</v>
      </c>
      <c r="C3803" t="s">
        <v>130</v>
      </c>
      <c r="D3803">
        <v>1987</v>
      </c>
      <c r="E3803" t="s">
        <v>15</v>
      </c>
      <c r="F3803" t="s">
        <v>16</v>
      </c>
      <c r="G3803" t="s">
        <v>17</v>
      </c>
      <c r="H3803" t="s">
        <v>18</v>
      </c>
      <c r="I3803">
        <v>71.912999999999997</v>
      </c>
      <c r="J3803" t="s">
        <v>19</v>
      </c>
      <c r="K3803" t="s">
        <v>5208</v>
      </c>
      <c r="L3803" t="s">
        <v>21</v>
      </c>
      <c r="M3803" t="str">
        <f t="shared" si="177"/>
        <v>OK</v>
      </c>
      <c r="N3803" t="str">
        <f t="shared" si="178"/>
        <v>1980s</v>
      </c>
      <c r="O3803" t="str">
        <f t="shared" si="179"/>
        <v>High</v>
      </c>
      <c r="P3803" t="str">
        <f>VLOOKUP(E3803,calculated_fields!$F$4:$G$6,2,FALSE)</f>
        <v>Health</v>
      </c>
    </row>
    <row r="3804" spans="1:16">
      <c r="A3804" t="s">
        <v>5209</v>
      </c>
      <c r="B3804" t="s">
        <v>5179</v>
      </c>
      <c r="C3804" t="s">
        <v>130</v>
      </c>
      <c r="D3804">
        <v>1987</v>
      </c>
      <c r="E3804" t="s">
        <v>23</v>
      </c>
      <c r="F3804" t="s">
        <v>24</v>
      </c>
      <c r="G3804" t="s">
        <v>25</v>
      </c>
      <c r="H3804" t="s">
        <v>26</v>
      </c>
      <c r="I3804">
        <v>562035</v>
      </c>
      <c r="J3804" t="s">
        <v>27</v>
      </c>
      <c r="K3804" t="s">
        <v>5208</v>
      </c>
      <c r="L3804" t="s">
        <v>21</v>
      </c>
      <c r="M3804" t="str">
        <f t="shared" si="177"/>
        <v>OK</v>
      </c>
      <c r="N3804" t="str">
        <f t="shared" si="178"/>
        <v>1980s</v>
      </c>
      <c r="O3804" t="str">
        <f t="shared" si="179"/>
        <v>N/A</v>
      </c>
      <c r="P3804" t="str">
        <f>VLOOKUP(E3804,calculated_fields!$F$4:$G$6,2,FALSE)</f>
        <v>Demographics</v>
      </c>
    </row>
    <row r="3805" spans="1:16">
      <c r="A3805" t="s">
        <v>5210</v>
      </c>
      <c r="B3805" t="s">
        <v>5179</v>
      </c>
      <c r="C3805" t="s">
        <v>130</v>
      </c>
      <c r="D3805">
        <v>1987</v>
      </c>
      <c r="E3805" t="s">
        <v>29</v>
      </c>
      <c r="F3805" t="s">
        <v>30</v>
      </c>
      <c r="G3805" t="s">
        <v>31</v>
      </c>
      <c r="H3805" t="s">
        <v>32</v>
      </c>
      <c r="I3805">
        <v>5303.3774880000001</v>
      </c>
      <c r="J3805" t="s">
        <v>33</v>
      </c>
      <c r="K3805" t="s">
        <v>5208</v>
      </c>
      <c r="L3805" t="s">
        <v>21</v>
      </c>
      <c r="M3805" t="str">
        <f t="shared" si="177"/>
        <v>OK</v>
      </c>
      <c r="N3805" t="str">
        <f t="shared" si="178"/>
        <v>1980s</v>
      </c>
      <c r="O3805" t="str">
        <f t="shared" si="179"/>
        <v>N/A</v>
      </c>
      <c r="P3805" t="str">
        <f>VLOOKUP(E3805,calculated_fields!$F$4:$G$6,2,FALSE)</f>
        <v>Economy</v>
      </c>
    </row>
    <row r="3806" spans="1:16">
      <c r="A3806" t="s">
        <v>5211</v>
      </c>
      <c r="B3806" t="s">
        <v>5179</v>
      </c>
      <c r="C3806" t="s">
        <v>130</v>
      </c>
      <c r="D3806">
        <v>1992</v>
      </c>
      <c r="E3806" t="s">
        <v>15</v>
      </c>
      <c r="F3806" t="s">
        <v>16</v>
      </c>
      <c r="G3806" t="s">
        <v>17</v>
      </c>
      <c r="H3806" t="s">
        <v>18</v>
      </c>
      <c r="I3806">
        <v>73.614999999999995</v>
      </c>
      <c r="J3806" t="s">
        <v>19</v>
      </c>
      <c r="K3806" t="s">
        <v>5212</v>
      </c>
      <c r="L3806" t="s">
        <v>21</v>
      </c>
      <c r="M3806" t="str">
        <f t="shared" si="177"/>
        <v>OK</v>
      </c>
      <c r="N3806" t="str">
        <f t="shared" si="178"/>
        <v>1990s</v>
      </c>
      <c r="O3806" t="str">
        <f t="shared" si="179"/>
        <v>High</v>
      </c>
      <c r="P3806" t="str">
        <f>VLOOKUP(E3806,calculated_fields!$F$4:$G$6,2,FALSE)</f>
        <v>Health</v>
      </c>
    </row>
    <row r="3807" spans="1:16">
      <c r="A3807" t="s">
        <v>5213</v>
      </c>
      <c r="B3807" t="s">
        <v>5179</v>
      </c>
      <c r="C3807" t="s">
        <v>130</v>
      </c>
      <c r="D3807">
        <v>1992</v>
      </c>
      <c r="E3807" t="s">
        <v>23</v>
      </c>
      <c r="F3807" t="s">
        <v>24</v>
      </c>
      <c r="G3807" t="s">
        <v>25</v>
      </c>
      <c r="H3807" t="s">
        <v>26</v>
      </c>
      <c r="I3807">
        <v>622191</v>
      </c>
      <c r="J3807" t="s">
        <v>27</v>
      </c>
      <c r="K3807" t="s">
        <v>5212</v>
      </c>
      <c r="L3807" t="s">
        <v>21</v>
      </c>
      <c r="M3807" t="str">
        <f t="shared" si="177"/>
        <v>OK</v>
      </c>
      <c r="N3807" t="str">
        <f t="shared" si="178"/>
        <v>1990s</v>
      </c>
      <c r="O3807" t="str">
        <f t="shared" si="179"/>
        <v>N/A</v>
      </c>
      <c r="P3807" t="str">
        <f>VLOOKUP(E3807,calculated_fields!$F$4:$G$6,2,FALSE)</f>
        <v>Demographics</v>
      </c>
    </row>
    <row r="3808" spans="1:16">
      <c r="A3808" t="s">
        <v>5214</v>
      </c>
      <c r="B3808" t="s">
        <v>5179</v>
      </c>
      <c r="C3808" t="s">
        <v>130</v>
      </c>
      <c r="D3808">
        <v>1992</v>
      </c>
      <c r="E3808" t="s">
        <v>29</v>
      </c>
      <c r="F3808" t="s">
        <v>30</v>
      </c>
      <c r="G3808" t="s">
        <v>31</v>
      </c>
      <c r="H3808" t="s">
        <v>32</v>
      </c>
      <c r="I3808">
        <v>6101.2558230000004</v>
      </c>
      <c r="J3808" t="s">
        <v>33</v>
      </c>
      <c r="K3808" t="s">
        <v>5212</v>
      </c>
      <c r="L3808" t="s">
        <v>21</v>
      </c>
      <c r="M3808" t="str">
        <f t="shared" si="177"/>
        <v>OK</v>
      </c>
      <c r="N3808" t="str">
        <f t="shared" si="178"/>
        <v>1990s</v>
      </c>
      <c r="O3808" t="str">
        <f t="shared" si="179"/>
        <v>N/A</v>
      </c>
      <c r="P3808" t="str">
        <f>VLOOKUP(E3808,calculated_fields!$F$4:$G$6,2,FALSE)</f>
        <v>Economy</v>
      </c>
    </row>
    <row r="3809" spans="1:16">
      <c r="A3809" t="s">
        <v>5215</v>
      </c>
      <c r="B3809" t="s">
        <v>5179</v>
      </c>
      <c r="C3809" t="s">
        <v>130</v>
      </c>
      <c r="D3809">
        <v>1997</v>
      </c>
      <c r="E3809" t="s">
        <v>15</v>
      </c>
      <c r="F3809" t="s">
        <v>16</v>
      </c>
      <c r="G3809" t="s">
        <v>17</v>
      </c>
      <c r="H3809" t="s">
        <v>18</v>
      </c>
      <c r="I3809">
        <v>74.771999999999906</v>
      </c>
      <c r="J3809" t="s">
        <v>19</v>
      </c>
      <c r="K3809" t="s">
        <v>5216</v>
      </c>
      <c r="L3809" t="s">
        <v>21</v>
      </c>
      <c r="M3809" t="str">
        <f t="shared" si="177"/>
        <v>OK</v>
      </c>
      <c r="N3809" t="str">
        <f t="shared" si="178"/>
        <v>1990s</v>
      </c>
      <c r="O3809" t="str">
        <f t="shared" si="179"/>
        <v>High</v>
      </c>
      <c r="P3809" t="str">
        <f>VLOOKUP(E3809,calculated_fields!$F$4:$G$6,2,FALSE)</f>
        <v>Health</v>
      </c>
    </row>
    <row r="3810" spans="1:16">
      <c r="A3810" t="s">
        <v>5217</v>
      </c>
      <c r="B3810" t="s">
        <v>5179</v>
      </c>
      <c r="C3810" t="s">
        <v>130</v>
      </c>
      <c r="D3810">
        <v>1997</v>
      </c>
      <c r="E3810" t="s">
        <v>23</v>
      </c>
      <c r="F3810" t="s">
        <v>24</v>
      </c>
      <c r="G3810" t="s">
        <v>25</v>
      </c>
      <c r="H3810" t="s">
        <v>26</v>
      </c>
      <c r="I3810">
        <v>684810</v>
      </c>
      <c r="J3810" t="s">
        <v>27</v>
      </c>
      <c r="K3810" t="s">
        <v>5216</v>
      </c>
      <c r="L3810" t="s">
        <v>21</v>
      </c>
      <c r="M3810" t="str">
        <f t="shared" si="177"/>
        <v>OK</v>
      </c>
      <c r="N3810" t="str">
        <f t="shared" si="178"/>
        <v>1990s</v>
      </c>
      <c r="O3810" t="str">
        <f t="shared" si="179"/>
        <v>N/A</v>
      </c>
      <c r="P3810" t="str">
        <f>VLOOKUP(E3810,calculated_fields!$F$4:$G$6,2,FALSE)</f>
        <v>Demographics</v>
      </c>
    </row>
    <row r="3811" spans="1:16">
      <c r="A3811" t="s">
        <v>5218</v>
      </c>
      <c r="B3811" t="s">
        <v>5179</v>
      </c>
      <c r="C3811" t="s">
        <v>130</v>
      </c>
      <c r="D3811">
        <v>1997</v>
      </c>
      <c r="E3811" t="s">
        <v>29</v>
      </c>
      <c r="F3811" t="s">
        <v>30</v>
      </c>
      <c r="G3811" t="s">
        <v>31</v>
      </c>
      <c r="H3811" t="s">
        <v>32</v>
      </c>
      <c r="I3811">
        <v>6071.9414109999998</v>
      </c>
      <c r="J3811" t="s">
        <v>33</v>
      </c>
      <c r="K3811" t="s">
        <v>5216</v>
      </c>
      <c r="L3811" t="s">
        <v>21</v>
      </c>
      <c r="M3811" t="str">
        <f t="shared" si="177"/>
        <v>OK</v>
      </c>
      <c r="N3811" t="str">
        <f t="shared" si="178"/>
        <v>1990s</v>
      </c>
      <c r="O3811" t="str">
        <f t="shared" si="179"/>
        <v>N/A</v>
      </c>
      <c r="P3811" t="str">
        <f>VLOOKUP(E3811,calculated_fields!$F$4:$G$6,2,FALSE)</f>
        <v>Economy</v>
      </c>
    </row>
    <row r="3812" spans="1:16">
      <c r="A3812" t="s">
        <v>5219</v>
      </c>
      <c r="B3812" t="s">
        <v>5179</v>
      </c>
      <c r="C3812" t="s">
        <v>130</v>
      </c>
      <c r="D3812">
        <v>2002</v>
      </c>
      <c r="E3812" t="s">
        <v>15</v>
      </c>
      <c r="F3812" t="s">
        <v>16</v>
      </c>
      <c r="G3812" t="s">
        <v>17</v>
      </c>
      <c r="H3812" t="s">
        <v>18</v>
      </c>
      <c r="I3812">
        <v>75.744</v>
      </c>
      <c r="J3812" t="s">
        <v>19</v>
      </c>
      <c r="K3812" t="s">
        <v>5220</v>
      </c>
      <c r="L3812" t="s">
        <v>21</v>
      </c>
      <c r="M3812" t="str">
        <f t="shared" si="177"/>
        <v>OK</v>
      </c>
      <c r="N3812" t="str">
        <f t="shared" si="178"/>
        <v>2000s</v>
      </c>
      <c r="O3812" t="str">
        <f t="shared" si="179"/>
        <v>High</v>
      </c>
      <c r="P3812" t="str">
        <f>VLOOKUP(E3812,calculated_fields!$F$4:$G$6,2,FALSE)</f>
        <v>Health</v>
      </c>
    </row>
    <row r="3813" spans="1:16">
      <c r="A3813" t="s">
        <v>5221</v>
      </c>
      <c r="B3813" t="s">
        <v>5179</v>
      </c>
      <c r="C3813" t="s">
        <v>130</v>
      </c>
      <c r="D3813">
        <v>2002</v>
      </c>
      <c r="E3813" t="s">
        <v>23</v>
      </c>
      <c r="F3813" t="s">
        <v>24</v>
      </c>
      <c r="G3813" t="s">
        <v>25</v>
      </c>
      <c r="H3813" t="s">
        <v>26</v>
      </c>
      <c r="I3813">
        <v>743981</v>
      </c>
      <c r="J3813" t="s">
        <v>27</v>
      </c>
      <c r="K3813" t="s">
        <v>5220</v>
      </c>
      <c r="L3813" t="s">
        <v>21</v>
      </c>
      <c r="M3813" t="str">
        <f t="shared" si="177"/>
        <v>OK</v>
      </c>
      <c r="N3813" t="str">
        <f t="shared" si="178"/>
        <v>2000s</v>
      </c>
      <c r="O3813" t="str">
        <f t="shared" si="179"/>
        <v>N/A</v>
      </c>
      <c r="P3813" t="str">
        <f>VLOOKUP(E3813,calculated_fields!$F$4:$G$6,2,FALSE)</f>
        <v>Demographics</v>
      </c>
    </row>
    <row r="3814" spans="1:16">
      <c r="A3814" t="s">
        <v>5222</v>
      </c>
      <c r="B3814" t="s">
        <v>5179</v>
      </c>
      <c r="C3814" t="s">
        <v>130</v>
      </c>
      <c r="D3814">
        <v>2002</v>
      </c>
      <c r="E3814" t="s">
        <v>29</v>
      </c>
      <c r="F3814" t="s">
        <v>30</v>
      </c>
      <c r="G3814" t="s">
        <v>31</v>
      </c>
      <c r="H3814" t="s">
        <v>32</v>
      </c>
      <c r="I3814">
        <v>6316.1652000000004</v>
      </c>
      <c r="J3814" t="s">
        <v>33</v>
      </c>
      <c r="K3814" t="s">
        <v>5220</v>
      </c>
      <c r="L3814" t="s">
        <v>21</v>
      </c>
      <c r="M3814" t="str">
        <f t="shared" si="177"/>
        <v>OK</v>
      </c>
      <c r="N3814" t="str">
        <f t="shared" si="178"/>
        <v>2000s</v>
      </c>
      <c r="O3814" t="str">
        <f t="shared" si="179"/>
        <v>N/A</v>
      </c>
      <c r="P3814" t="str">
        <f>VLOOKUP(E3814,calculated_fields!$F$4:$G$6,2,FALSE)</f>
        <v>Economy</v>
      </c>
    </row>
    <row r="3815" spans="1:16">
      <c r="A3815" t="s">
        <v>5223</v>
      </c>
      <c r="B3815" t="s">
        <v>5179</v>
      </c>
      <c r="C3815" t="s">
        <v>130</v>
      </c>
      <c r="D3815">
        <v>2007</v>
      </c>
      <c r="E3815" t="s">
        <v>15</v>
      </c>
      <c r="F3815" t="s">
        <v>16</v>
      </c>
      <c r="G3815" t="s">
        <v>17</v>
      </c>
      <c r="H3815" t="s">
        <v>18</v>
      </c>
      <c r="I3815">
        <v>76.441999999999993</v>
      </c>
      <c r="J3815" t="s">
        <v>19</v>
      </c>
      <c r="K3815" t="s">
        <v>5224</v>
      </c>
      <c r="L3815" t="s">
        <v>21</v>
      </c>
      <c r="M3815" t="str">
        <f t="shared" si="177"/>
        <v>OK</v>
      </c>
      <c r="N3815" t="str">
        <f t="shared" si="178"/>
        <v>2000s</v>
      </c>
      <c r="O3815" t="str">
        <f t="shared" si="179"/>
        <v>High</v>
      </c>
      <c r="P3815" t="str">
        <f>VLOOKUP(E3815,calculated_fields!$F$4:$G$6,2,FALSE)</f>
        <v>Health</v>
      </c>
    </row>
    <row r="3816" spans="1:16">
      <c r="A3816" t="s">
        <v>5225</v>
      </c>
      <c r="B3816" t="s">
        <v>5179</v>
      </c>
      <c r="C3816" t="s">
        <v>130</v>
      </c>
      <c r="D3816">
        <v>2007</v>
      </c>
      <c r="E3816" t="s">
        <v>23</v>
      </c>
      <c r="F3816" t="s">
        <v>24</v>
      </c>
      <c r="G3816" t="s">
        <v>25</v>
      </c>
      <c r="H3816" t="s">
        <v>26</v>
      </c>
      <c r="I3816">
        <v>798094</v>
      </c>
      <c r="J3816" t="s">
        <v>27</v>
      </c>
      <c r="K3816" t="s">
        <v>5224</v>
      </c>
      <c r="L3816" t="s">
        <v>21</v>
      </c>
      <c r="M3816" t="str">
        <f t="shared" si="177"/>
        <v>OK</v>
      </c>
      <c r="N3816" t="str">
        <f t="shared" si="178"/>
        <v>2000s</v>
      </c>
      <c r="O3816" t="str">
        <f t="shared" si="179"/>
        <v>N/A</v>
      </c>
      <c r="P3816" t="str">
        <f>VLOOKUP(E3816,calculated_fields!$F$4:$G$6,2,FALSE)</f>
        <v>Demographics</v>
      </c>
    </row>
    <row r="3817" spans="1:16">
      <c r="A3817" t="s">
        <v>5226</v>
      </c>
      <c r="B3817" t="s">
        <v>5179</v>
      </c>
      <c r="C3817" t="s">
        <v>130</v>
      </c>
      <c r="D3817">
        <v>2007</v>
      </c>
      <c r="E3817" t="s">
        <v>29</v>
      </c>
      <c r="F3817" t="s">
        <v>30</v>
      </c>
      <c r="G3817" t="s">
        <v>31</v>
      </c>
      <c r="H3817" t="s">
        <v>32</v>
      </c>
      <c r="I3817">
        <v>7670.122558</v>
      </c>
      <c r="J3817" t="s">
        <v>33</v>
      </c>
      <c r="K3817" t="s">
        <v>5224</v>
      </c>
      <c r="L3817" t="s">
        <v>21</v>
      </c>
      <c r="M3817" t="str">
        <f t="shared" si="177"/>
        <v>OK</v>
      </c>
      <c r="N3817" t="str">
        <f t="shared" si="178"/>
        <v>2000s</v>
      </c>
      <c r="O3817" t="str">
        <f t="shared" si="179"/>
        <v>N/A</v>
      </c>
      <c r="P3817" t="str">
        <f>VLOOKUP(E3817,calculated_fields!$F$4:$G$6,2,FALSE)</f>
        <v>Economy</v>
      </c>
    </row>
    <row r="3818" spans="1:16">
      <c r="A3818" t="s">
        <v>5227</v>
      </c>
      <c r="B3818" t="s">
        <v>5228</v>
      </c>
      <c r="C3818" t="s">
        <v>80</v>
      </c>
      <c r="D3818">
        <v>1952</v>
      </c>
      <c r="E3818" t="s">
        <v>15</v>
      </c>
      <c r="F3818" t="s">
        <v>16</v>
      </c>
      <c r="G3818" t="s">
        <v>17</v>
      </c>
      <c r="H3818" t="s">
        <v>18</v>
      </c>
      <c r="I3818">
        <v>61.05</v>
      </c>
      <c r="J3818" t="s">
        <v>19</v>
      </c>
      <c r="K3818" t="s">
        <v>5229</v>
      </c>
      <c r="L3818" t="s">
        <v>21</v>
      </c>
      <c r="M3818" t="str">
        <f t="shared" si="177"/>
        <v>OK</v>
      </c>
      <c r="N3818" t="str">
        <f t="shared" si="178"/>
        <v>1950s</v>
      </c>
      <c r="O3818" t="str">
        <f t="shared" si="179"/>
        <v>Medium</v>
      </c>
      <c r="P3818" t="str">
        <f>VLOOKUP(E3818,calculated_fields!$F$4:$G$6,2,FALSE)</f>
        <v>Health</v>
      </c>
    </row>
    <row r="3819" spans="1:16">
      <c r="A3819" t="s">
        <v>5230</v>
      </c>
      <c r="B3819" t="s">
        <v>5228</v>
      </c>
      <c r="C3819" t="s">
        <v>80</v>
      </c>
      <c r="D3819">
        <v>1952</v>
      </c>
      <c r="E3819" t="s">
        <v>23</v>
      </c>
      <c r="F3819" t="s">
        <v>24</v>
      </c>
      <c r="G3819" t="s">
        <v>25</v>
      </c>
      <c r="H3819" t="s">
        <v>26</v>
      </c>
      <c r="I3819">
        <v>16630000</v>
      </c>
      <c r="J3819" t="s">
        <v>27</v>
      </c>
      <c r="K3819" t="s">
        <v>5229</v>
      </c>
      <c r="L3819" t="s">
        <v>21</v>
      </c>
      <c r="M3819" t="str">
        <f t="shared" si="177"/>
        <v>OK</v>
      </c>
      <c r="N3819" t="str">
        <f t="shared" si="178"/>
        <v>1950s</v>
      </c>
      <c r="O3819" t="str">
        <f t="shared" si="179"/>
        <v>N/A</v>
      </c>
      <c r="P3819" t="str">
        <f>VLOOKUP(E3819,calculated_fields!$F$4:$G$6,2,FALSE)</f>
        <v>Demographics</v>
      </c>
    </row>
    <row r="3820" spans="1:16">
      <c r="A3820" t="s">
        <v>5231</v>
      </c>
      <c r="B3820" t="s">
        <v>5228</v>
      </c>
      <c r="C3820" t="s">
        <v>80</v>
      </c>
      <c r="D3820">
        <v>1952</v>
      </c>
      <c r="E3820" t="s">
        <v>29</v>
      </c>
      <c r="F3820" t="s">
        <v>30</v>
      </c>
      <c r="G3820" t="s">
        <v>31</v>
      </c>
      <c r="H3820" t="s">
        <v>32</v>
      </c>
      <c r="I3820">
        <v>3144.613186</v>
      </c>
      <c r="J3820" t="s">
        <v>33</v>
      </c>
      <c r="K3820" t="s">
        <v>5229</v>
      </c>
      <c r="L3820" t="s">
        <v>21</v>
      </c>
      <c r="M3820" t="str">
        <f t="shared" si="177"/>
        <v>OK</v>
      </c>
      <c r="N3820" t="str">
        <f t="shared" si="178"/>
        <v>1950s</v>
      </c>
      <c r="O3820" t="str">
        <f t="shared" si="179"/>
        <v>N/A</v>
      </c>
      <c r="P3820" t="str">
        <f>VLOOKUP(E3820,calculated_fields!$F$4:$G$6,2,FALSE)</f>
        <v>Economy</v>
      </c>
    </row>
    <row r="3821" spans="1:16">
      <c r="A3821" t="s">
        <v>5232</v>
      </c>
      <c r="B3821" t="s">
        <v>5228</v>
      </c>
      <c r="C3821" t="s">
        <v>80</v>
      </c>
      <c r="D3821">
        <v>1957</v>
      </c>
      <c r="E3821" t="s">
        <v>15</v>
      </c>
      <c r="F3821" t="s">
        <v>16</v>
      </c>
      <c r="G3821" t="s">
        <v>17</v>
      </c>
      <c r="H3821" t="s">
        <v>18</v>
      </c>
      <c r="I3821">
        <v>64.099999999999994</v>
      </c>
      <c r="J3821" t="s">
        <v>19</v>
      </c>
      <c r="K3821" t="s">
        <v>5233</v>
      </c>
      <c r="L3821" t="s">
        <v>21</v>
      </c>
      <c r="M3821" t="str">
        <f t="shared" si="177"/>
        <v>OK</v>
      </c>
      <c r="N3821" t="str">
        <f t="shared" si="178"/>
        <v>1950s</v>
      </c>
      <c r="O3821" t="str">
        <f t="shared" si="179"/>
        <v>Medium</v>
      </c>
      <c r="P3821" t="str">
        <f>VLOOKUP(E3821,calculated_fields!$F$4:$G$6,2,FALSE)</f>
        <v>Health</v>
      </c>
    </row>
    <row r="3822" spans="1:16">
      <c r="A3822" t="s">
        <v>5234</v>
      </c>
      <c r="B3822" t="s">
        <v>5228</v>
      </c>
      <c r="C3822" t="s">
        <v>80</v>
      </c>
      <c r="D3822">
        <v>1957</v>
      </c>
      <c r="E3822" t="s">
        <v>23</v>
      </c>
      <c r="F3822" t="s">
        <v>24</v>
      </c>
      <c r="G3822" t="s">
        <v>25</v>
      </c>
      <c r="H3822" t="s">
        <v>26</v>
      </c>
      <c r="I3822">
        <v>17829327</v>
      </c>
      <c r="J3822" t="s">
        <v>27</v>
      </c>
      <c r="K3822" t="s">
        <v>5233</v>
      </c>
      <c r="L3822" t="s">
        <v>21</v>
      </c>
      <c r="M3822" t="str">
        <f t="shared" si="177"/>
        <v>OK</v>
      </c>
      <c r="N3822" t="str">
        <f t="shared" si="178"/>
        <v>1950s</v>
      </c>
      <c r="O3822" t="str">
        <f t="shared" si="179"/>
        <v>N/A</v>
      </c>
      <c r="P3822" t="str">
        <f>VLOOKUP(E3822,calculated_fields!$F$4:$G$6,2,FALSE)</f>
        <v>Demographics</v>
      </c>
    </row>
    <row r="3823" spans="1:16">
      <c r="A3823" t="s">
        <v>5235</v>
      </c>
      <c r="B3823" t="s">
        <v>5228</v>
      </c>
      <c r="C3823" t="s">
        <v>80</v>
      </c>
      <c r="D3823">
        <v>1957</v>
      </c>
      <c r="E3823" t="s">
        <v>29</v>
      </c>
      <c r="F3823" t="s">
        <v>30</v>
      </c>
      <c r="G3823" t="s">
        <v>31</v>
      </c>
      <c r="H3823" t="s">
        <v>32</v>
      </c>
      <c r="I3823">
        <v>3943.3702250000001</v>
      </c>
      <c r="J3823" t="s">
        <v>33</v>
      </c>
      <c r="K3823" t="s">
        <v>5233</v>
      </c>
      <c r="L3823" t="s">
        <v>21</v>
      </c>
      <c r="M3823" t="str">
        <f t="shared" si="177"/>
        <v>OK</v>
      </c>
      <c r="N3823" t="str">
        <f t="shared" si="178"/>
        <v>1950s</v>
      </c>
      <c r="O3823" t="str">
        <f t="shared" si="179"/>
        <v>N/A</v>
      </c>
      <c r="P3823" t="str">
        <f>VLOOKUP(E3823,calculated_fields!$F$4:$G$6,2,FALSE)</f>
        <v>Economy</v>
      </c>
    </row>
    <row r="3824" spans="1:16">
      <c r="A3824" t="s">
        <v>5236</v>
      </c>
      <c r="B3824" t="s">
        <v>5228</v>
      </c>
      <c r="C3824" t="s">
        <v>80</v>
      </c>
      <c r="D3824">
        <v>1962</v>
      </c>
      <c r="E3824" t="s">
        <v>15</v>
      </c>
      <c r="F3824" t="s">
        <v>16</v>
      </c>
      <c r="G3824" t="s">
        <v>17</v>
      </c>
      <c r="H3824" t="s">
        <v>18</v>
      </c>
      <c r="I3824">
        <v>66.8</v>
      </c>
      <c r="J3824" t="s">
        <v>19</v>
      </c>
      <c r="K3824" t="s">
        <v>5237</v>
      </c>
      <c r="L3824" t="s">
        <v>21</v>
      </c>
      <c r="M3824" t="str">
        <f t="shared" si="177"/>
        <v>OK</v>
      </c>
      <c r="N3824" t="str">
        <f t="shared" si="178"/>
        <v>1960s</v>
      </c>
      <c r="O3824" t="str">
        <f t="shared" si="179"/>
        <v>Medium</v>
      </c>
      <c r="P3824" t="str">
        <f>VLOOKUP(E3824,calculated_fields!$F$4:$G$6,2,FALSE)</f>
        <v>Health</v>
      </c>
    </row>
    <row r="3825" spans="1:16">
      <c r="A3825" t="s">
        <v>5238</v>
      </c>
      <c r="B3825" t="s">
        <v>5228</v>
      </c>
      <c r="C3825" t="s">
        <v>80</v>
      </c>
      <c r="D3825">
        <v>1962</v>
      </c>
      <c r="E3825" t="s">
        <v>23</v>
      </c>
      <c r="F3825" t="s">
        <v>24</v>
      </c>
      <c r="G3825" t="s">
        <v>25</v>
      </c>
      <c r="H3825" t="s">
        <v>26</v>
      </c>
      <c r="I3825">
        <v>18680721</v>
      </c>
      <c r="J3825" t="s">
        <v>27</v>
      </c>
      <c r="K3825" t="s">
        <v>5237</v>
      </c>
      <c r="L3825" t="s">
        <v>21</v>
      </c>
      <c r="M3825" t="str">
        <f t="shared" si="177"/>
        <v>OK</v>
      </c>
      <c r="N3825" t="str">
        <f t="shared" si="178"/>
        <v>1960s</v>
      </c>
      <c r="O3825" t="str">
        <f t="shared" si="179"/>
        <v>N/A</v>
      </c>
      <c r="P3825" t="str">
        <f>VLOOKUP(E3825,calculated_fields!$F$4:$G$6,2,FALSE)</f>
        <v>Demographics</v>
      </c>
    </row>
    <row r="3826" spans="1:16">
      <c r="A3826" t="s">
        <v>5239</v>
      </c>
      <c r="B3826" t="s">
        <v>5228</v>
      </c>
      <c r="C3826" t="s">
        <v>80</v>
      </c>
      <c r="D3826">
        <v>1962</v>
      </c>
      <c r="E3826" t="s">
        <v>29</v>
      </c>
      <c r="F3826" t="s">
        <v>30</v>
      </c>
      <c r="G3826" t="s">
        <v>31</v>
      </c>
      <c r="H3826" t="s">
        <v>32</v>
      </c>
      <c r="I3826">
        <v>4734.9975860000004</v>
      </c>
      <c r="J3826" t="s">
        <v>33</v>
      </c>
      <c r="K3826" t="s">
        <v>5237</v>
      </c>
      <c r="L3826" t="s">
        <v>21</v>
      </c>
      <c r="M3826" t="str">
        <f t="shared" si="177"/>
        <v>OK</v>
      </c>
      <c r="N3826" t="str">
        <f t="shared" si="178"/>
        <v>1960s</v>
      </c>
      <c r="O3826" t="str">
        <f t="shared" si="179"/>
        <v>N/A</v>
      </c>
      <c r="P3826" t="str">
        <f>VLOOKUP(E3826,calculated_fields!$F$4:$G$6,2,FALSE)</f>
        <v>Economy</v>
      </c>
    </row>
    <row r="3827" spans="1:16">
      <c r="A3827" t="s">
        <v>5240</v>
      </c>
      <c r="B3827" t="s">
        <v>5228</v>
      </c>
      <c r="C3827" t="s">
        <v>80</v>
      </c>
      <c r="D3827">
        <v>1967</v>
      </c>
      <c r="E3827" t="s">
        <v>15</v>
      </c>
      <c r="F3827" t="s">
        <v>16</v>
      </c>
      <c r="G3827" t="s">
        <v>17</v>
      </c>
      <c r="H3827" t="s">
        <v>18</v>
      </c>
      <c r="I3827">
        <v>66.8</v>
      </c>
      <c r="J3827" t="s">
        <v>19</v>
      </c>
      <c r="K3827" t="s">
        <v>5241</v>
      </c>
      <c r="L3827" t="s">
        <v>21</v>
      </c>
      <c r="M3827" t="str">
        <f t="shared" si="177"/>
        <v>OK</v>
      </c>
      <c r="N3827" t="str">
        <f t="shared" si="178"/>
        <v>1960s</v>
      </c>
      <c r="O3827" t="str">
        <f t="shared" si="179"/>
        <v>Medium</v>
      </c>
      <c r="P3827" t="str">
        <f>VLOOKUP(E3827,calculated_fields!$F$4:$G$6,2,FALSE)</f>
        <v>Health</v>
      </c>
    </row>
    <row r="3828" spans="1:16">
      <c r="A3828" t="s">
        <v>5242</v>
      </c>
      <c r="B3828" t="s">
        <v>5228</v>
      </c>
      <c r="C3828" t="s">
        <v>80</v>
      </c>
      <c r="D3828">
        <v>1967</v>
      </c>
      <c r="E3828" t="s">
        <v>23</v>
      </c>
      <c r="F3828" t="s">
        <v>24</v>
      </c>
      <c r="G3828" t="s">
        <v>25</v>
      </c>
      <c r="H3828" t="s">
        <v>26</v>
      </c>
      <c r="I3828">
        <v>19284814</v>
      </c>
      <c r="J3828" t="s">
        <v>27</v>
      </c>
      <c r="K3828" t="s">
        <v>5241</v>
      </c>
      <c r="L3828" t="s">
        <v>21</v>
      </c>
      <c r="M3828" t="str">
        <f t="shared" si="177"/>
        <v>OK</v>
      </c>
      <c r="N3828" t="str">
        <f t="shared" si="178"/>
        <v>1960s</v>
      </c>
      <c r="O3828" t="str">
        <f t="shared" si="179"/>
        <v>N/A</v>
      </c>
      <c r="P3828" t="str">
        <f>VLOOKUP(E3828,calculated_fields!$F$4:$G$6,2,FALSE)</f>
        <v>Demographics</v>
      </c>
    </row>
    <row r="3829" spans="1:16">
      <c r="A3829" t="s">
        <v>5243</v>
      </c>
      <c r="B3829" t="s">
        <v>5228</v>
      </c>
      <c r="C3829" t="s">
        <v>80</v>
      </c>
      <c r="D3829">
        <v>1967</v>
      </c>
      <c r="E3829" t="s">
        <v>29</v>
      </c>
      <c r="F3829" t="s">
        <v>30</v>
      </c>
      <c r="G3829" t="s">
        <v>31</v>
      </c>
      <c r="H3829" t="s">
        <v>32</v>
      </c>
      <c r="I3829">
        <v>6470.8665449999999</v>
      </c>
      <c r="J3829" t="s">
        <v>33</v>
      </c>
      <c r="K3829" t="s">
        <v>5241</v>
      </c>
      <c r="L3829" t="s">
        <v>21</v>
      </c>
      <c r="M3829" t="str">
        <f t="shared" si="177"/>
        <v>OK</v>
      </c>
      <c r="N3829" t="str">
        <f t="shared" si="178"/>
        <v>1960s</v>
      </c>
      <c r="O3829" t="str">
        <f t="shared" si="179"/>
        <v>N/A</v>
      </c>
      <c r="P3829" t="str">
        <f>VLOOKUP(E3829,calculated_fields!$F$4:$G$6,2,FALSE)</f>
        <v>Economy</v>
      </c>
    </row>
    <row r="3830" spans="1:16">
      <c r="A3830" t="s">
        <v>5244</v>
      </c>
      <c r="B3830" t="s">
        <v>5228</v>
      </c>
      <c r="C3830" t="s">
        <v>80</v>
      </c>
      <c r="D3830">
        <v>1972</v>
      </c>
      <c r="E3830" t="s">
        <v>15</v>
      </c>
      <c r="F3830" t="s">
        <v>16</v>
      </c>
      <c r="G3830" t="s">
        <v>17</v>
      </c>
      <c r="H3830" t="s">
        <v>18</v>
      </c>
      <c r="I3830">
        <v>69.209999999999994</v>
      </c>
      <c r="J3830" t="s">
        <v>19</v>
      </c>
      <c r="K3830" t="s">
        <v>5245</v>
      </c>
      <c r="L3830" t="s">
        <v>21</v>
      </c>
      <c r="M3830" t="str">
        <f t="shared" si="177"/>
        <v>OK</v>
      </c>
      <c r="N3830" t="str">
        <f t="shared" si="178"/>
        <v>1970s</v>
      </c>
      <c r="O3830" t="str">
        <f t="shared" si="179"/>
        <v>Medium</v>
      </c>
      <c r="P3830" t="str">
        <f>VLOOKUP(E3830,calculated_fields!$F$4:$G$6,2,FALSE)</f>
        <v>Health</v>
      </c>
    </row>
    <row r="3831" spans="1:16">
      <c r="A3831" t="s">
        <v>5246</v>
      </c>
      <c r="B3831" t="s">
        <v>5228</v>
      </c>
      <c r="C3831" t="s">
        <v>80</v>
      </c>
      <c r="D3831">
        <v>1972</v>
      </c>
      <c r="E3831" t="s">
        <v>23</v>
      </c>
      <c r="F3831" t="s">
        <v>24</v>
      </c>
      <c r="G3831" t="s">
        <v>25</v>
      </c>
      <c r="H3831" t="s">
        <v>26</v>
      </c>
      <c r="I3831">
        <v>20662648</v>
      </c>
      <c r="J3831" t="s">
        <v>27</v>
      </c>
      <c r="K3831" t="s">
        <v>5245</v>
      </c>
      <c r="L3831" t="s">
        <v>21</v>
      </c>
      <c r="M3831" t="str">
        <f t="shared" si="177"/>
        <v>OK</v>
      </c>
      <c r="N3831" t="str">
        <f t="shared" si="178"/>
        <v>1970s</v>
      </c>
      <c r="O3831" t="str">
        <f t="shared" si="179"/>
        <v>N/A</v>
      </c>
      <c r="P3831" t="str">
        <f>VLOOKUP(E3831,calculated_fields!$F$4:$G$6,2,FALSE)</f>
        <v>Demographics</v>
      </c>
    </row>
    <row r="3832" spans="1:16">
      <c r="A3832" t="s">
        <v>5247</v>
      </c>
      <c r="B3832" t="s">
        <v>5228</v>
      </c>
      <c r="C3832" t="s">
        <v>80</v>
      </c>
      <c r="D3832">
        <v>1972</v>
      </c>
      <c r="E3832" t="s">
        <v>29</v>
      </c>
      <c r="F3832" t="s">
        <v>30</v>
      </c>
      <c r="G3832" t="s">
        <v>31</v>
      </c>
      <c r="H3832" t="s">
        <v>32</v>
      </c>
      <c r="I3832">
        <v>8011.4144019999903</v>
      </c>
      <c r="J3832" t="s">
        <v>33</v>
      </c>
      <c r="K3832" t="s">
        <v>5245</v>
      </c>
      <c r="L3832" t="s">
        <v>21</v>
      </c>
      <c r="M3832" t="str">
        <f t="shared" si="177"/>
        <v>OK</v>
      </c>
      <c r="N3832" t="str">
        <f t="shared" si="178"/>
        <v>1970s</v>
      </c>
      <c r="O3832" t="str">
        <f t="shared" si="179"/>
        <v>N/A</v>
      </c>
      <c r="P3832" t="str">
        <f>VLOOKUP(E3832,calculated_fields!$F$4:$G$6,2,FALSE)</f>
        <v>Economy</v>
      </c>
    </row>
    <row r="3833" spans="1:16">
      <c r="A3833" t="s">
        <v>5248</v>
      </c>
      <c r="B3833" t="s">
        <v>5228</v>
      </c>
      <c r="C3833" t="s">
        <v>80</v>
      </c>
      <c r="D3833">
        <v>1977</v>
      </c>
      <c r="E3833" t="s">
        <v>15</v>
      </c>
      <c r="F3833" t="s">
        <v>16</v>
      </c>
      <c r="G3833" t="s">
        <v>17</v>
      </c>
      <c r="H3833" t="s">
        <v>18</v>
      </c>
      <c r="I3833">
        <v>69.459999999999994</v>
      </c>
      <c r="J3833" t="s">
        <v>19</v>
      </c>
      <c r="K3833" t="s">
        <v>5249</v>
      </c>
      <c r="L3833" t="s">
        <v>21</v>
      </c>
      <c r="M3833" t="str">
        <f t="shared" si="177"/>
        <v>OK</v>
      </c>
      <c r="N3833" t="str">
        <f t="shared" si="178"/>
        <v>1970s</v>
      </c>
      <c r="O3833" t="str">
        <f t="shared" si="179"/>
        <v>Medium</v>
      </c>
      <c r="P3833" t="str">
        <f>VLOOKUP(E3833,calculated_fields!$F$4:$G$6,2,FALSE)</f>
        <v>Health</v>
      </c>
    </row>
    <row r="3834" spans="1:16">
      <c r="A3834" t="s">
        <v>5250</v>
      </c>
      <c r="B3834" t="s">
        <v>5228</v>
      </c>
      <c r="C3834" t="s">
        <v>80</v>
      </c>
      <c r="D3834">
        <v>1977</v>
      </c>
      <c r="E3834" t="s">
        <v>23</v>
      </c>
      <c r="F3834" t="s">
        <v>24</v>
      </c>
      <c r="G3834" t="s">
        <v>25</v>
      </c>
      <c r="H3834" t="s">
        <v>26</v>
      </c>
      <c r="I3834">
        <v>21658597</v>
      </c>
      <c r="J3834" t="s">
        <v>27</v>
      </c>
      <c r="K3834" t="s">
        <v>5249</v>
      </c>
      <c r="L3834" t="s">
        <v>21</v>
      </c>
      <c r="M3834" t="str">
        <f t="shared" si="177"/>
        <v>OK</v>
      </c>
      <c r="N3834" t="str">
        <f t="shared" si="178"/>
        <v>1970s</v>
      </c>
      <c r="O3834" t="str">
        <f t="shared" si="179"/>
        <v>N/A</v>
      </c>
      <c r="P3834" t="str">
        <f>VLOOKUP(E3834,calculated_fields!$F$4:$G$6,2,FALSE)</f>
        <v>Demographics</v>
      </c>
    </row>
    <row r="3835" spans="1:16">
      <c r="A3835" t="s">
        <v>5251</v>
      </c>
      <c r="B3835" t="s">
        <v>5228</v>
      </c>
      <c r="C3835" t="s">
        <v>80</v>
      </c>
      <c r="D3835">
        <v>1977</v>
      </c>
      <c r="E3835" t="s">
        <v>29</v>
      </c>
      <c r="F3835" t="s">
        <v>30</v>
      </c>
      <c r="G3835" t="s">
        <v>31</v>
      </c>
      <c r="H3835" t="s">
        <v>32</v>
      </c>
      <c r="I3835">
        <v>9356.3972400000002</v>
      </c>
      <c r="J3835" t="s">
        <v>33</v>
      </c>
      <c r="K3835" t="s">
        <v>5249</v>
      </c>
      <c r="L3835" t="s">
        <v>21</v>
      </c>
      <c r="M3835" t="str">
        <f t="shared" si="177"/>
        <v>OK</v>
      </c>
      <c r="N3835" t="str">
        <f t="shared" si="178"/>
        <v>1970s</v>
      </c>
      <c r="O3835" t="str">
        <f t="shared" si="179"/>
        <v>N/A</v>
      </c>
      <c r="P3835" t="str">
        <f>VLOOKUP(E3835,calculated_fields!$F$4:$G$6,2,FALSE)</f>
        <v>Economy</v>
      </c>
    </row>
    <row r="3836" spans="1:16">
      <c r="A3836" t="s">
        <v>5252</v>
      </c>
      <c r="B3836" t="s">
        <v>5228</v>
      </c>
      <c r="C3836" t="s">
        <v>80</v>
      </c>
      <c r="D3836">
        <v>1982</v>
      </c>
      <c r="E3836" t="s">
        <v>15</v>
      </c>
      <c r="F3836" t="s">
        <v>16</v>
      </c>
      <c r="G3836" t="s">
        <v>17</v>
      </c>
      <c r="H3836" t="s">
        <v>18</v>
      </c>
      <c r="I3836">
        <v>69.66</v>
      </c>
      <c r="J3836" t="s">
        <v>19</v>
      </c>
      <c r="K3836" t="s">
        <v>5253</v>
      </c>
      <c r="L3836" t="s">
        <v>21</v>
      </c>
      <c r="M3836" t="str">
        <f t="shared" si="177"/>
        <v>OK</v>
      </c>
      <c r="N3836" t="str">
        <f t="shared" si="178"/>
        <v>1980s</v>
      </c>
      <c r="O3836" t="str">
        <f t="shared" si="179"/>
        <v>Medium</v>
      </c>
      <c r="P3836" t="str">
        <f>VLOOKUP(E3836,calculated_fields!$F$4:$G$6,2,FALSE)</f>
        <v>Health</v>
      </c>
    </row>
    <row r="3837" spans="1:16">
      <c r="A3837" t="s">
        <v>5254</v>
      </c>
      <c r="B3837" t="s">
        <v>5228</v>
      </c>
      <c r="C3837" t="s">
        <v>80</v>
      </c>
      <c r="D3837">
        <v>1982</v>
      </c>
      <c r="E3837" t="s">
        <v>23</v>
      </c>
      <c r="F3837" t="s">
        <v>24</v>
      </c>
      <c r="G3837" t="s">
        <v>25</v>
      </c>
      <c r="H3837" t="s">
        <v>26</v>
      </c>
      <c r="I3837">
        <v>22356726</v>
      </c>
      <c r="J3837" t="s">
        <v>27</v>
      </c>
      <c r="K3837" t="s">
        <v>5253</v>
      </c>
      <c r="L3837" t="s">
        <v>21</v>
      </c>
      <c r="M3837" t="str">
        <f t="shared" si="177"/>
        <v>OK</v>
      </c>
      <c r="N3837" t="str">
        <f t="shared" si="178"/>
        <v>1980s</v>
      </c>
      <c r="O3837" t="str">
        <f t="shared" si="179"/>
        <v>N/A</v>
      </c>
      <c r="P3837" t="str">
        <f>VLOOKUP(E3837,calculated_fields!$F$4:$G$6,2,FALSE)</f>
        <v>Demographics</v>
      </c>
    </row>
    <row r="3838" spans="1:16">
      <c r="A3838" t="s">
        <v>5255</v>
      </c>
      <c r="B3838" t="s">
        <v>5228</v>
      </c>
      <c r="C3838" t="s">
        <v>80</v>
      </c>
      <c r="D3838">
        <v>1982</v>
      </c>
      <c r="E3838" t="s">
        <v>29</v>
      </c>
      <c r="F3838" t="s">
        <v>30</v>
      </c>
      <c r="G3838" t="s">
        <v>31</v>
      </c>
      <c r="H3838" t="s">
        <v>32</v>
      </c>
      <c r="I3838">
        <v>9605.3140530000001</v>
      </c>
      <c r="J3838" t="s">
        <v>33</v>
      </c>
      <c r="K3838" t="s">
        <v>5253</v>
      </c>
      <c r="L3838" t="s">
        <v>21</v>
      </c>
      <c r="M3838" t="str">
        <f t="shared" si="177"/>
        <v>OK</v>
      </c>
      <c r="N3838" t="str">
        <f t="shared" si="178"/>
        <v>1980s</v>
      </c>
      <c r="O3838" t="str">
        <f t="shared" si="179"/>
        <v>N/A</v>
      </c>
      <c r="P3838" t="str">
        <f>VLOOKUP(E3838,calculated_fields!$F$4:$G$6,2,FALSE)</f>
        <v>Economy</v>
      </c>
    </row>
    <row r="3839" spans="1:16">
      <c r="A3839" t="s">
        <v>5256</v>
      </c>
      <c r="B3839" t="s">
        <v>5228</v>
      </c>
      <c r="C3839" t="s">
        <v>80</v>
      </c>
      <c r="D3839">
        <v>1987</v>
      </c>
      <c r="E3839" t="s">
        <v>15</v>
      </c>
      <c r="F3839" t="s">
        <v>16</v>
      </c>
      <c r="G3839" t="s">
        <v>17</v>
      </c>
      <c r="H3839" t="s">
        <v>18</v>
      </c>
      <c r="I3839">
        <v>69.53</v>
      </c>
      <c r="J3839" t="s">
        <v>19</v>
      </c>
      <c r="K3839" t="s">
        <v>5257</v>
      </c>
      <c r="L3839" t="s">
        <v>21</v>
      </c>
      <c r="M3839" t="str">
        <f t="shared" si="177"/>
        <v>OK</v>
      </c>
      <c r="N3839" t="str">
        <f t="shared" si="178"/>
        <v>1980s</v>
      </c>
      <c r="O3839" t="str">
        <f t="shared" si="179"/>
        <v>Medium</v>
      </c>
      <c r="P3839" t="str">
        <f>VLOOKUP(E3839,calculated_fields!$F$4:$G$6,2,FALSE)</f>
        <v>Health</v>
      </c>
    </row>
    <row r="3840" spans="1:16">
      <c r="A3840" t="s">
        <v>5258</v>
      </c>
      <c r="B3840" t="s">
        <v>5228</v>
      </c>
      <c r="C3840" t="s">
        <v>80</v>
      </c>
      <c r="D3840">
        <v>1987</v>
      </c>
      <c r="E3840" t="s">
        <v>23</v>
      </c>
      <c r="F3840" t="s">
        <v>24</v>
      </c>
      <c r="G3840" t="s">
        <v>25</v>
      </c>
      <c r="H3840" t="s">
        <v>26</v>
      </c>
      <c r="I3840">
        <v>22686371</v>
      </c>
      <c r="J3840" t="s">
        <v>27</v>
      </c>
      <c r="K3840" t="s">
        <v>5257</v>
      </c>
      <c r="L3840" t="s">
        <v>21</v>
      </c>
      <c r="M3840" t="str">
        <f t="shared" si="177"/>
        <v>OK</v>
      </c>
      <c r="N3840" t="str">
        <f t="shared" si="178"/>
        <v>1980s</v>
      </c>
      <c r="O3840" t="str">
        <f t="shared" si="179"/>
        <v>N/A</v>
      </c>
      <c r="P3840" t="str">
        <f>VLOOKUP(E3840,calculated_fields!$F$4:$G$6,2,FALSE)</f>
        <v>Demographics</v>
      </c>
    </row>
    <row r="3841" spans="1:16">
      <c r="A3841" t="s">
        <v>5259</v>
      </c>
      <c r="B3841" t="s">
        <v>5228</v>
      </c>
      <c r="C3841" t="s">
        <v>80</v>
      </c>
      <c r="D3841">
        <v>1987</v>
      </c>
      <c r="E3841" t="s">
        <v>29</v>
      </c>
      <c r="F3841" t="s">
        <v>30</v>
      </c>
      <c r="G3841" t="s">
        <v>31</v>
      </c>
      <c r="H3841" t="s">
        <v>32</v>
      </c>
      <c r="I3841">
        <v>9696.2732950000009</v>
      </c>
      <c r="J3841" t="s">
        <v>33</v>
      </c>
      <c r="K3841" t="s">
        <v>5257</v>
      </c>
      <c r="L3841" t="s">
        <v>21</v>
      </c>
      <c r="M3841" t="str">
        <f t="shared" si="177"/>
        <v>OK</v>
      </c>
      <c r="N3841" t="str">
        <f t="shared" si="178"/>
        <v>1980s</v>
      </c>
      <c r="O3841" t="str">
        <f t="shared" si="179"/>
        <v>N/A</v>
      </c>
      <c r="P3841" t="str">
        <f>VLOOKUP(E3841,calculated_fields!$F$4:$G$6,2,FALSE)</f>
        <v>Economy</v>
      </c>
    </row>
    <row r="3842" spans="1:16">
      <c r="A3842" t="s">
        <v>5260</v>
      </c>
      <c r="B3842" t="s">
        <v>5228</v>
      </c>
      <c r="C3842" t="s">
        <v>80</v>
      </c>
      <c r="D3842">
        <v>1992</v>
      </c>
      <c r="E3842" t="s">
        <v>15</v>
      </c>
      <c r="F3842" t="s">
        <v>16</v>
      </c>
      <c r="G3842" t="s">
        <v>17</v>
      </c>
      <c r="H3842" t="s">
        <v>18</v>
      </c>
      <c r="I3842">
        <v>69.36</v>
      </c>
      <c r="J3842" t="s">
        <v>19</v>
      </c>
      <c r="K3842" t="s">
        <v>5261</v>
      </c>
      <c r="L3842" t="s">
        <v>21</v>
      </c>
      <c r="M3842" t="str">
        <f t="shared" ref="M3842:M3905" si="180">IF(AND(ISNUMBER(I3842),I3842&gt;=0),"OK","Review")</f>
        <v>OK</v>
      </c>
      <c r="N3842" t="str">
        <f t="shared" ref="N3842:N3905" si="181">FLOOR(D3842,10)&amp;"s"</f>
        <v>1990s</v>
      </c>
      <c r="O3842" t="str">
        <f t="shared" ref="O3842:O3905" si="182">IF(E3842="LIFE_EXP",IF(I3842&gt;=70,"High",IF(I3842&gt;=55,"Medium","Low")),"N/A")</f>
        <v>Medium</v>
      </c>
      <c r="P3842" t="str">
        <f>VLOOKUP(E3842,calculated_fields!$F$4:$G$6,2,FALSE)</f>
        <v>Health</v>
      </c>
    </row>
    <row r="3843" spans="1:16">
      <c r="A3843" t="s">
        <v>5262</v>
      </c>
      <c r="B3843" t="s">
        <v>5228</v>
      </c>
      <c r="C3843" t="s">
        <v>80</v>
      </c>
      <c r="D3843">
        <v>1992</v>
      </c>
      <c r="E3843" t="s">
        <v>23</v>
      </c>
      <c r="F3843" t="s">
        <v>24</v>
      </c>
      <c r="G3843" t="s">
        <v>25</v>
      </c>
      <c r="H3843" t="s">
        <v>26</v>
      </c>
      <c r="I3843">
        <v>22797027</v>
      </c>
      <c r="J3843" t="s">
        <v>27</v>
      </c>
      <c r="K3843" t="s">
        <v>5261</v>
      </c>
      <c r="L3843" t="s">
        <v>21</v>
      </c>
      <c r="M3843" t="str">
        <f t="shared" si="180"/>
        <v>OK</v>
      </c>
      <c r="N3843" t="str">
        <f t="shared" si="181"/>
        <v>1990s</v>
      </c>
      <c r="O3843" t="str">
        <f t="shared" si="182"/>
        <v>N/A</v>
      </c>
      <c r="P3843" t="str">
        <f>VLOOKUP(E3843,calculated_fields!$F$4:$G$6,2,FALSE)</f>
        <v>Demographics</v>
      </c>
    </row>
    <row r="3844" spans="1:16">
      <c r="A3844" t="s">
        <v>5263</v>
      </c>
      <c r="B3844" t="s">
        <v>5228</v>
      </c>
      <c r="C3844" t="s">
        <v>80</v>
      </c>
      <c r="D3844">
        <v>1992</v>
      </c>
      <c r="E3844" t="s">
        <v>29</v>
      </c>
      <c r="F3844" t="s">
        <v>30</v>
      </c>
      <c r="G3844" t="s">
        <v>31</v>
      </c>
      <c r="H3844" t="s">
        <v>32</v>
      </c>
      <c r="I3844">
        <v>6598.4099029999998</v>
      </c>
      <c r="J3844" t="s">
        <v>33</v>
      </c>
      <c r="K3844" t="s">
        <v>5261</v>
      </c>
      <c r="L3844" t="s">
        <v>21</v>
      </c>
      <c r="M3844" t="str">
        <f t="shared" si="180"/>
        <v>OK</v>
      </c>
      <c r="N3844" t="str">
        <f t="shared" si="181"/>
        <v>1990s</v>
      </c>
      <c r="O3844" t="str">
        <f t="shared" si="182"/>
        <v>N/A</v>
      </c>
      <c r="P3844" t="str">
        <f>VLOOKUP(E3844,calculated_fields!$F$4:$G$6,2,FALSE)</f>
        <v>Economy</v>
      </c>
    </row>
    <row r="3845" spans="1:16">
      <c r="A3845" t="s">
        <v>5264</v>
      </c>
      <c r="B3845" t="s">
        <v>5228</v>
      </c>
      <c r="C3845" t="s">
        <v>80</v>
      </c>
      <c r="D3845">
        <v>1997</v>
      </c>
      <c r="E3845" t="s">
        <v>15</v>
      </c>
      <c r="F3845" t="s">
        <v>16</v>
      </c>
      <c r="G3845" t="s">
        <v>17</v>
      </c>
      <c r="H3845" t="s">
        <v>18</v>
      </c>
      <c r="I3845">
        <v>69.72</v>
      </c>
      <c r="J3845" t="s">
        <v>19</v>
      </c>
      <c r="K3845" t="s">
        <v>5265</v>
      </c>
      <c r="L3845" t="s">
        <v>21</v>
      </c>
      <c r="M3845" t="str">
        <f t="shared" si="180"/>
        <v>OK</v>
      </c>
      <c r="N3845" t="str">
        <f t="shared" si="181"/>
        <v>1990s</v>
      </c>
      <c r="O3845" t="str">
        <f t="shared" si="182"/>
        <v>Medium</v>
      </c>
      <c r="P3845" t="str">
        <f>VLOOKUP(E3845,calculated_fields!$F$4:$G$6,2,FALSE)</f>
        <v>Health</v>
      </c>
    </row>
    <row r="3846" spans="1:16">
      <c r="A3846" t="s">
        <v>5266</v>
      </c>
      <c r="B3846" t="s">
        <v>5228</v>
      </c>
      <c r="C3846" t="s">
        <v>80</v>
      </c>
      <c r="D3846">
        <v>1997</v>
      </c>
      <c r="E3846" t="s">
        <v>23</v>
      </c>
      <c r="F3846" t="s">
        <v>24</v>
      </c>
      <c r="G3846" t="s">
        <v>25</v>
      </c>
      <c r="H3846" t="s">
        <v>26</v>
      </c>
      <c r="I3846">
        <v>22562458</v>
      </c>
      <c r="J3846" t="s">
        <v>27</v>
      </c>
      <c r="K3846" t="s">
        <v>5265</v>
      </c>
      <c r="L3846" t="s">
        <v>21</v>
      </c>
      <c r="M3846" t="str">
        <f t="shared" si="180"/>
        <v>OK</v>
      </c>
      <c r="N3846" t="str">
        <f t="shared" si="181"/>
        <v>1990s</v>
      </c>
      <c r="O3846" t="str">
        <f t="shared" si="182"/>
        <v>N/A</v>
      </c>
      <c r="P3846" t="str">
        <f>VLOOKUP(E3846,calculated_fields!$F$4:$G$6,2,FALSE)</f>
        <v>Demographics</v>
      </c>
    </row>
    <row r="3847" spans="1:16">
      <c r="A3847" t="s">
        <v>5267</v>
      </c>
      <c r="B3847" t="s">
        <v>5228</v>
      </c>
      <c r="C3847" t="s">
        <v>80</v>
      </c>
      <c r="D3847">
        <v>1997</v>
      </c>
      <c r="E3847" t="s">
        <v>29</v>
      </c>
      <c r="F3847" t="s">
        <v>30</v>
      </c>
      <c r="G3847" t="s">
        <v>31</v>
      </c>
      <c r="H3847" t="s">
        <v>32</v>
      </c>
      <c r="I3847">
        <v>7346.5475569999899</v>
      </c>
      <c r="J3847" t="s">
        <v>33</v>
      </c>
      <c r="K3847" t="s">
        <v>5265</v>
      </c>
      <c r="L3847" t="s">
        <v>21</v>
      </c>
      <c r="M3847" t="str">
        <f t="shared" si="180"/>
        <v>OK</v>
      </c>
      <c r="N3847" t="str">
        <f t="shared" si="181"/>
        <v>1990s</v>
      </c>
      <c r="O3847" t="str">
        <f t="shared" si="182"/>
        <v>N/A</v>
      </c>
      <c r="P3847" t="str">
        <f>VLOOKUP(E3847,calculated_fields!$F$4:$G$6,2,FALSE)</f>
        <v>Economy</v>
      </c>
    </row>
    <row r="3848" spans="1:16">
      <c r="A3848" t="s">
        <v>5268</v>
      </c>
      <c r="B3848" t="s">
        <v>5228</v>
      </c>
      <c r="C3848" t="s">
        <v>80</v>
      </c>
      <c r="D3848">
        <v>2002</v>
      </c>
      <c r="E3848" t="s">
        <v>15</v>
      </c>
      <c r="F3848" t="s">
        <v>16</v>
      </c>
      <c r="G3848" t="s">
        <v>17</v>
      </c>
      <c r="H3848" t="s">
        <v>18</v>
      </c>
      <c r="I3848">
        <v>71.322000000000003</v>
      </c>
      <c r="J3848" t="s">
        <v>19</v>
      </c>
      <c r="K3848" t="s">
        <v>5269</v>
      </c>
      <c r="L3848" t="s">
        <v>21</v>
      </c>
      <c r="M3848" t="str">
        <f t="shared" si="180"/>
        <v>OK</v>
      </c>
      <c r="N3848" t="str">
        <f t="shared" si="181"/>
        <v>2000s</v>
      </c>
      <c r="O3848" t="str">
        <f t="shared" si="182"/>
        <v>High</v>
      </c>
      <c r="P3848" t="str">
        <f>VLOOKUP(E3848,calculated_fields!$F$4:$G$6,2,FALSE)</f>
        <v>Health</v>
      </c>
    </row>
    <row r="3849" spans="1:16">
      <c r="A3849" t="s">
        <v>5270</v>
      </c>
      <c r="B3849" t="s">
        <v>5228</v>
      </c>
      <c r="C3849" t="s">
        <v>80</v>
      </c>
      <c r="D3849">
        <v>2002</v>
      </c>
      <c r="E3849" t="s">
        <v>23</v>
      </c>
      <c r="F3849" t="s">
        <v>24</v>
      </c>
      <c r="G3849" t="s">
        <v>25</v>
      </c>
      <c r="H3849" t="s">
        <v>26</v>
      </c>
      <c r="I3849">
        <v>22404337</v>
      </c>
      <c r="J3849" t="s">
        <v>27</v>
      </c>
      <c r="K3849" t="s">
        <v>5269</v>
      </c>
      <c r="L3849" t="s">
        <v>21</v>
      </c>
      <c r="M3849" t="str">
        <f t="shared" si="180"/>
        <v>OK</v>
      </c>
      <c r="N3849" t="str">
        <f t="shared" si="181"/>
        <v>2000s</v>
      </c>
      <c r="O3849" t="str">
        <f t="shared" si="182"/>
        <v>N/A</v>
      </c>
      <c r="P3849" t="str">
        <f>VLOOKUP(E3849,calculated_fields!$F$4:$G$6,2,FALSE)</f>
        <v>Demographics</v>
      </c>
    </row>
    <row r="3850" spans="1:16">
      <c r="A3850" t="s">
        <v>5271</v>
      </c>
      <c r="B3850" t="s">
        <v>5228</v>
      </c>
      <c r="C3850" t="s">
        <v>80</v>
      </c>
      <c r="D3850">
        <v>2002</v>
      </c>
      <c r="E3850" t="s">
        <v>29</v>
      </c>
      <c r="F3850" t="s">
        <v>30</v>
      </c>
      <c r="G3850" t="s">
        <v>31</v>
      </c>
      <c r="H3850" t="s">
        <v>32</v>
      </c>
      <c r="I3850">
        <v>7885.3600809999998</v>
      </c>
      <c r="J3850" t="s">
        <v>33</v>
      </c>
      <c r="K3850" t="s">
        <v>5269</v>
      </c>
      <c r="L3850" t="s">
        <v>21</v>
      </c>
      <c r="M3850" t="str">
        <f t="shared" si="180"/>
        <v>OK</v>
      </c>
      <c r="N3850" t="str">
        <f t="shared" si="181"/>
        <v>2000s</v>
      </c>
      <c r="O3850" t="str">
        <f t="shared" si="182"/>
        <v>N/A</v>
      </c>
      <c r="P3850" t="str">
        <f>VLOOKUP(E3850,calculated_fields!$F$4:$G$6,2,FALSE)</f>
        <v>Economy</v>
      </c>
    </row>
    <row r="3851" spans="1:16">
      <c r="A3851" t="s">
        <v>5272</v>
      </c>
      <c r="B3851" t="s">
        <v>5228</v>
      </c>
      <c r="C3851" t="s">
        <v>80</v>
      </c>
      <c r="D3851">
        <v>2007</v>
      </c>
      <c r="E3851" t="s">
        <v>15</v>
      </c>
      <c r="F3851" t="s">
        <v>16</v>
      </c>
      <c r="G3851" t="s">
        <v>17</v>
      </c>
      <c r="H3851" t="s">
        <v>18</v>
      </c>
      <c r="I3851">
        <v>72.475999999999999</v>
      </c>
      <c r="J3851" t="s">
        <v>19</v>
      </c>
      <c r="K3851" t="s">
        <v>5273</v>
      </c>
      <c r="L3851" t="s">
        <v>21</v>
      </c>
      <c r="M3851" t="str">
        <f t="shared" si="180"/>
        <v>OK</v>
      </c>
      <c r="N3851" t="str">
        <f t="shared" si="181"/>
        <v>2000s</v>
      </c>
      <c r="O3851" t="str">
        <f t="shared" si="182"/>
        <v>High</v>
      </c>
      <c r="P3851" t="str">
        <f>VLOOKUP(E3851,calculated_fields!$F$4:$G$6,2,FALSE)</f>
        <v>Health</v>
      </c>
    </row>
    <row r="3852" spans="1:16">
      <c r="A3852" t="s">
        <v>5274</v>
      </c>
      <c r="B3852" t="s">
        <v>5228</v>
      </c>
      <c r="C3852" t="s">
        <v>80</v>
      </c>
      <c r="D3852">
        <v>2007</v>
      </c>
      <c r="E3852" t="s">
        <v>23</v>
      </c>
      <c r="F3852" t="s">
        <v>24</v>
      </c>
      <c r="G3852" t="s">
        <v>25</v>
      </c>
      <c r="H3852" t="s">
        <v>26</v>
      </c>
      <c r="I3852">
        <v>22276056</v>
      </c>
      <c r="J3852" t="s">
        <v>27</v>
      </c>
      <c r="K3852" t="s">
        <v>5273</v>
      </c>
      <c r="L3852" t="s">
        <v>21</v>
      </c>
      <c r="M3852" t="str">
        <f t="shared" si="180"/>
        <v>OK</v>
      </c>
      <c r="N3852" t="str">
        <f t="shared" si="181"/>
        <v>2000s</v>
      </c>
      <c r="O3852" t="str">
        <f t="shared" si="182"/>
        <v>N/A</v>
      </c>
      <c r="P3852" t="str">
        <f>VLOOKUP(E3852,calculated_fields!$F$4:$G$6,2,FALSE)</f>
        <v>Demographics</v>
      </c>
    </row>
    <row r="3853" spans="1:16">
      <c r="A3853" t="s">
        <v>5275</v>
      </c>
      <c r="B3853" t="s">
        <v>5228</v>
      </c>
      <c r="C3853" t="s">
        <v>80</v>
      </c>
      <c r="D3853">
        <v>2007</v>
      </c>
      <c r="E3853" t="s">
        <v>29</v>
      </c>
      <c r="F3853" t="s">
        <v>30</v>
      </c>
      <c r="G3853" t="s">
        <v>31</v>
      </c>
      <c r="H3853" t="s">
        <v>32</v>
      </c>
      <c r="I3853">
        <v>10808.47561</v>
      </c>
      <c r="J3853" t="s">
        <v>33</v>
      </c>
      <c r="K3853" t="s">
        <v>5273</v>
      </c>
      <c r="L3853" t="s">
        <v>21</v>
      </c>
      <c r="M3853" t="str">
        <f t="shared" si="180"/>
        <v>OK</v>
      </c>
      <c r="N3853" t="str">
        <f t="shared" si="181"/>
        <v>2000s</v>
      </c>
      <c r="O3853" t="str">
        <f t="shared" si="182"/>
        <v>N/A</v>
      </c>
      <c r="P3853" t="str">
        <f>VLOOKUP(E3853,calculated_fields!$F$4:$G$6,2,FALSE)</f>
        <v>Economy</v>
      </c>
    </row>
    <row r="3854" spans="1:16">
      <c r="A3854" t="s">
        <v>5276</v>
      </c>
      <c r="B3854" t="s">
        <v>5277</v>
      </c>
      <c r="C3854" t="s">
        <v>130</v>
      </c>
      <c r="D3854">
        <v>1952</v>
      </c>
      <c r="E3854" t="s">
        <v>15</v>
      </c>
      <c r="F3854" t="s">
        <v>16</v>
      </c>
      <c r="G3854" t="s">
        <v>17</v>
      </c>
      <c r="H3854" t="s">
        <v>18</v>
      </c>
      <c r="I3854">
        <v>40</v>
      </c>
      <c r="J3854" t="s">
        <v>19</v>
      </c>
      <c r="K3854" t="s">
        <v>5278</v>
      </c>
      <c r="L3854" t="s">
        <v>21</v>
      </c>
      <c r="M3854" t="str">
        <f t="shared" si="180"/>
        <v>OK</v>
      </c>
      <c r="N3854" t="str">
        <f t="shared" si="181"/>
        <v>1950s</v>
      </c>
      <c r="O3854" t="str">
        <f t="shared" si="182"/>
        <v>Low</v>
      </c>
      <c r="P3854" t="str">
        <f>VLOOKUP(E3854,calculated_fields!$F$4:$G$6,2,FALSE)</f>
        <v>Health</v>
      </c>
    </row>
    <row r="3855" spans="1:16">
      <c r="A3855" t="s">
        <v>5279</v>
      </c>
      <c r="B3855" t="s">
        <v>5277</v>
      </c>
      <c r="C3855" t="s">
        <v>130</v>
      </c>
      <c r="D3855">
        <v>1952</v>
      </c>
      <c r="E3855" t="s">
        <v>23</v>
      </c>
      <c r="F3855" t="s">
        <v>24</v>
      </c>
      <c r="G3855" t="s">
        <v>25</v>
      </c>
      <c r="H3855" t="s">
        <v>26</v>
      </c>
      <c r="I3855">
        <v>2534927</v>
      </c>
      <c r="J3855" t="s">
        <v>27</v>
      </c>
      <c r="K3855" t="s">
        <v>5278</v>
      </c>
      <c r="L3855" t="s">
        <v>21</v>
      </c>
      <c r="M3855" t="str">
        <f t="shared" si="180"/>
        <v>OK</v>
      </c>
      <c r="N3855" t="str">
        <f t="shared" si="181"/>
        <v>1950s</v>
      </c>
      <c r="O3855" t="str">
        <f t="shared" si="182"/>
        <v>N/A</v>
      </c>
      <c r="P3855" t="str">
        <f>VLOOKUP(E3855,calculated_fields!$F$4:$G$6,2,FALSE)</f>
        <v>Demographics</v>
      </c>
    </row>
    <row r="3856" spans="1:16">
      <c r="A3856" t="s">
        <v>5280</v>
      </c>
      <c r="B3856" t="s">
        <v>5277</v>
      </c>
      <c r="C3856" t="s">
        <v>130</v>
      </c>
      <c r="D3856">
        <v>1952</v>
      </c>
      <c r="E3856" t="s">
        <v>29</v>
      </c>
      <c r="F3856" t="s">
        <v>30</v>
      </c>
      <c r="G3856" t="s">
        <v>31</v>
      </c>
      <c r="H3856" t="s">
        <v>32</v>
      </c>
      <c r="I3856">
        <v>493.32387519999997</v>
      </c>
      <c r="J3856" t="s">
        <v>33</v>
      </c>
      <c r="K3856" t="s">
        <v>5278</v>
      </c>
      <c r="L3856" t="s">
        <v>21</v>
      </c>
      <c r="M3856" t="str">
        <f t="shared" si="180"/>
        <v>OK</v>
      </c>
      <c r="N3856" t="str">
        <f t="shared" si="181"/>
        <v>1950s</v>
      </c>
      <c r="O3856" t="str">
        <f t="shared" si="182"/>
        <v>N/A</v>
      </c>
      <c r="P3856" t="str">
        <f>VLOOKUP(E3856,calculated_fields!$F$4:$G$6,2,FALSE)</f>
        <v>Economy</v>
      </c>
    </row>
    <row r="3857" spans="1:16">
      <c r="A3857" t="s">
        <v>5281</v>
      </c>
      <c r="B3857" t="s">
        <v>5277</v>
      </c>
      <c r="C3857" t="s">
        <v>130</v>
      </c>
      <c r="D3857">
        <v>1957</v>
      </c>
      <c r="E3857" t="s">
        <v>15</v>
      </c>
      <c r="F3857" t="s">
        <v>16</v>
      </c>
      <c r="G3857" t="s">
        <v>17</v>
      </c>
      <c r="H3857" t="s">
        <v>18</v>
      </c>
      <c r="I3857">
        <v>41.5</v>
      </c>
      <c r="J3857" t="s">
        <v>19</v>
      </c>
      <c r="K3857" t="s">
        <v>5282</v>
      </c>
      <c r="L3857" t="s">
        <v>21</v>
      </c>
      <c r="M3857" t="str">
        <f t="shared" si="180"/>
        <v>OK</v>
      </c>
      <c r="N3857" t="str">
        <f t="shared" si="181"/>
        <v>1950s</v>
      </c>
      <c r="O3857" t="str">
        <f t="shared" si="182"/>
        <v>Low</v>
      </c>
      <c r="P3857" t="str">
        <f>VLOOKUP(E3857,calculated_fields!$F$4:$G$6,2,FALSE)</f>
        <v>Health</v>
      </c>
    </row>
    <row r="3858" spans="1:16">
      <c r="A3858" t="s">
        <v>5283</v>
      </c>
      <c r="B3858" t="s">
        <v>5277</v>
      </c>
      <c r="C3858" t="s">
        <v>130</v>
      </c>
      <c r="D3858">
        <v>1957</v>
      </c>
      <c r="E3858" t="s">
        <v>23</v>
      </c>
      <c r="F3858" t="s">
        <v>24</v>
      </c>
      <c r="G3858" t="s">
        <v>25</v>
      </c>
      <c r="H3858" t="s">
        <v>26</v>
      </c>
      <c r="I3858">
        <v>2822082</v>
      </c>
      <c r="J3858" t="s">
        <v>27</v>
      </c>
      <c r="K3858" t="s">
        <v>5282</v>
      </c>
      <c r="L3858" t="s">
        <v>21</v>
      </c>
      <c r="M3858" t="str">
        <f t="shared" si="180"/>
        <v>OK</v>
      </c>
      <c r="N3858" t="str">
        <f t="shared" si="181"/>
        <v>1950s</v>
      </c>
      <c r="O3858" t="str">
        <f t="shared" si="182"/>
        <v>N/A</v>
      </c>
      <c r="P3858" t="str">
        <f>VLOOKUP(E3858,calculated_fields!$F$4:$G$6,2,FALSE)</f>
        <v>Demographics</v>
      </c>
    </row>
    <row r="3859" spans="1:16">
      <c r="A3859" t="s">
        <v>5284</v>
      </c>
      <c r="B3859" t="s">
        <v>5277</v>
      </c>
      <c r="C3859" t="s">
        <v>130</v>
      </c>
      <c r="D3859">
        <v>1957</v>
      </c>
      <c r="E3859" t="s">
        <v>29</v>
      </c>
      <c r="F3859" t="s">
        <v>30</v>
      </c>
      <c r="G3859" t="s">
        <v>31</v>
      </c>
      <c r="H3859" t="s">
        <v>32</v>
      </c>
      <c r="I3859">
        <v>540.28939829999899</v>
      </c>
      <c r="J3859" t="s">
        <v>33</v>
      </c>
      <c r="K3859" t="s">
        <v>5282</v>
      </c>
      <c r="L3859" t="s">
        <v>21</v>
      </c>
      <c r="M3859" t="str">
        <f t="shared" si="180"/>
        <v>OK</v>
      </c>
      <c r="N3859" t="str">
        <f t="shared" si="181"/>
        <v>1950s</v>
      </c>
      <c r="O3859" t="str">
        <f t="shared" si="182"/>
        <v>N/A</v>
      </c>
      <c r="P3859" t="str">
        <f>VLOOKUP(E3859,calculated_fields!$F$4:$G$6,2,FALSE)</f>
        <v>Economy</v>
      </c>
    </row>
    <row r="3860" spans="1:16">
      <c r="A3860" t="s">
        <v>5285</v>
      </c>
      <c r="B3860" t="s">
        <v>5277</v>
      </c>
      <c r="C3860" t="s">
        <v>130</v>
      </c>
      <c r="D3860">
        <v>1962</v>
      </c>
      <c r="E3860" t="s">
        <v>15</v>
      </c>
      <c r="F3860" t="s">
        <v>16</v>
      </c>
      <c r="G3860" t="s">
        <v>17</v>
      </c>
      <c r="H3860" t="s">
        <v>18</v>
      </c>
      <c r="I3860">
        <v>43</v>
      </c>
      <c r="J3860" t="s">
        <v>19</v>
      </c>
      <c r="K3860" t="s">
        <v>5286</v>
      </c>
      <c r="L3860" t="s">
        <v>21</v>
      </c>
      <c r="M3860" t="str">
        <f t="shared" si="180"/>
        <v>OK</v>
      </c>
      <c r="N3860" t="str">
        <f t="shared" si="181"/>
        <v>1960s</v>
      </c>
      <c r="O3860" t="str">
        <f t="shared" si="182"/>
        <v>Low</v>
      </c>
      <c r="P3860" t="str">
        <f>VLOOKUP(E3860,calculated_fields!$F$4:$G$6,2,FALSE)</f>
        <v>Health</v>
      </c>
    </row>
    <row r="3861" spans="1:16">
      <c r="A3861" t="s">
        <v>5287</v>
      </c>
      <c r="B3861" t="s">
        <v>5277</v>
      </c>
      <c r="C3861" t="s">
        <v>130</v>
      </c>
      <c r="D3861">
        <v>1962</v>
      </c>
      <c r="E3861" t="s">
        <v>23</v>
      </c>
      <c r="F3861" t="s">
        <v>24</v>
      </c>
      <c r="G3861" t="s">
        <v>25</v>
      </c>
      <c r="H3861" t="s">
        <v>26</v>
      </c>
      <c r="I3861">
        <v>3051242</v>
      </c>
      <c r="J3861" t="s">
        <v>27</v>
      </c>
      <c r="K3861" t="s">
        <v>5286</v>
      </c>
      <c r="L3861" t="s">
        <v>21</v>
      </c>
      <c r="M3861" t="str">
        <f t="shared" si="180"/>
        <v>OK</v>
      </c>
      <c r="N3861" t="str">
        <f t="shared" si="181"/>
        <v>1960s</v>
      </c>
      <c r="O3861" t="str">
        <f t="shared" si="182"/>
        <v>N/A</v>
      </c>
      <c r="P3861" t="str">
        <f>VLOOKUP(E3861,calculated_fields!$F$4:$G$6,2,FALSE)</f>
        <v>Demographics</v>
      </c>
    </row>
    <row r="3862" spans="1:16">
      <c r="A3862" t="s">
        <v>5288</v>
      </c>
      <c r="B3862" t="s">
        <v>5277</v>
      </c>
      <c r="C3862" t="s">
        <v>130</v>
      </c>
      <c r="D3862">
        <v>1962</v>
      </c>
      <c r="E3862" t="s">
        <v>29</v>
      </c>
      <c r="F3862" t="s">
        <v>30</v>
      </c>
      <c r="G3862" t="s">
        <v>31</v>
      </c>
      <c r="H3862" t="s">
        <v>32</v>
      </c>
      <c r="I3862">
        <v>597.47307269999999</v>
      </c>
      <c r="J3862" t="s">
        <v>33</v>
      </c>
      <c r="K3862" t="s">
        <v>5286</v>
      </c>
      <c r="L3862" t="s">
        <v>21</v>
      </c>
      <c r="M3862" t="str">
        <f t="shared" si="180"/>
        <v>OK</v>
      </c>
      <c r="N3862" t="str">
        <f t="shared" si="181"/>
        <v>1960s</v>
      </c>
      <c r="O3862" t="str">
        <f t="shared" si="182"/>
        <v>N/A</v>
      </c>
      <c r="P3862" t="str">
        <f>VLOOKUP(E3862,calculated_fields!$F$4:$G$6,2,FALSE)</f>
        <v>Economy</v>
      </c>
    </row>
    <row r="3863" spans="1:16">
      <c r="A3863" t="s">
        <v>5289</v>
      </c>
      <c r="B3863" t="s">
        <v>5277</v>
      </c>
      <c r="C3863" t="s">
        <v>130</v>
      </c>
      <c r="D3863">
        <v>1967</v>
      </c>
      <c r="E3863" t="s">
        <v>15</v>
      </c>
      <c r="F3863" t="s">
        <v>16</v>
      </c>
      <c r="G3863" t="s">
        <v>17</v>
      </c>
      <c r="H3863" t="s">
        <v>18</v>
      </c>
      <c r="I3863">
        <v>44.1</v>
      </c>
      <c r="J3863" t="s">
        <v>19</v>
      </c>
      <c r="K3863" t="s">
        <v>5290</v>
      </c>
      <c r="L3863" t="s">
        <v>21</v>
      </c>
      <c r="M3863" t="str">
        <f t="shared" si="180"/>
        <v>OK</v>
      </c>
      <c r="N3863" t="str">
        <f t="shared" si="181"/>
        <v>1960s</v>
      </c>
      <c r="O3863" t="str">
        <f t="shared" si="182"/>
        <v>Low</v>
      </c>
      <c r="P3863" t="str">
        <f>VLOOKUP(E3863,calculated_fields!$F$4:$G$6,2,FALSE)</f>
        <v>Health</v>
      </c>
    </row>
    <row r="3864" spans="1:16">
      <c r="A3864" t="s">
        <v>5291</v>
      </c>
      <c r="B3864" t="s">
        <v>5277</v>
      </c>
      <c r="C3864" t="s">
        <v>130</v>
      </c>
      <c r="D3864">
        <v>1967</v>
      </c>
      <c r="E3864" t="s">
        <v>23</v>
      </c>
      <c r="F3864" t="s">
        <v>24</v>
      </c>
      <c r="G3864" t="s">
        <v>25</v>
      </c>
      <c r="H3864" t="s">
        <v>26</v>
      </c>
      <c r="I3864">
        <v>3451079</v>
      </c>
      <c r="J3864" t="s">
        <v>27</v>
      </c>
      <c r="K3864" t="s">
        <v>5290</v>
      </c>
      <c r="L3864" t="s">
        <v>21</v>
      </c>
      <c r="M3864" t="str">
        <f t="shared" si="180"/>
        <v>OK</v>
      </c>
      <c r="N3864" t="str">
        <f t="shared" si="181"/>
        <v>1960s</v>
      </c>
      <c r="O3864" t="str">
        <f t="shared" si="182"/>
        <v>N/A</v>
      </c>
      <c r="P3864" t="str">
        <f>VLOOKUP(E3864,calculated_fields!$F$4:$G$6,2,FALSE)</f>
        <v>Demographics</v>
      </c>
    </row>
    <row r="3865" spans="1:16">
      <c r="A3865" t="s">
        <v>5292</v>
      </c>
      <c r="B3865" t="s">
        <v>5277</v>
      </c>
      <c r="C3865" t="s">
        <v>130</v>
      </c>
      <c r="D3865">
        <v>1967</v>
      </c>
      <c r="E3865" t="s">
        <v>29</v>
      </c>
      <c r="F3865" t="s">
        <v>30</v>
      </c>
      <c r="G3865" t="s">
        <v>31</v>
      </c>
      <c r="H3865" t="s">
        <v>32</v>
      </c>
      <c r="I3865">
        <v>510.96371420000003</v>
      </c>
      <c r="J3865" t="s">
        <v>33</v>
      </c>
      <c r="K3865" t="s">
        <v>5290</v>
      </c>
      <c r="L3865" t="s">
        <v>21</v>
      </c>
      <c r="M3865" t="str">
        <f t="shared" si="180"/>
        <v>OK</v>
      </c>
      <c r="N3865" t="str">
        <f t="shared" si="181"/>
        <v>1960s</v>
      </c>
      <c r="O3865" t="str">
        <f t="shared" si="182"/>
        <v>N/A</v>
      </c>
      <c r="P3865" t="str">
        <f>VLOOKUP(E3865,calculated_fields!$F$4:$G$6,2,FALSE)</f>
        <v>Economy</v>
      </c>
    </row>
    <row r="3866" spans="1:16">
      <c r="A3866" t="s">
        <v>5293</v>
      </c>
      <c r="B3866" t="s">
        <v>5277</v>
      </c>
      <c r="C3866" t="s">
        <v>130</v>
      </c>
      <c r="D3866">
        <v>1972</v>
      </c>
      <c r="E3866" t="s">
        <v>15</v>
      </c>
      <c r="F3866" t="s">
        <v>16</v>
      </c>
      <c r="G3866" t="s">
        <v>17</v>
      </c>
      <c r="H3866" t="s">
        <v>18</v>
      </c>
      <c r="I3866">
        <v>44.6</v>
      </c>
      <c r="J3866" t="s">
        <v>19</v>
      </c>
      <c r="K3866" t="s">
        <v>5294</v>
      </c>
      <c r="L3866" t="s">
        <v>21</v>
      </c>
      <c r="M3866" t="str">
        <f t="shared" si="180"/>
        <v>OK</v>
      </c>
      <c r="N3866" t="str">
        <f t="shared" si="181"/>
        <v>1970s</v>
      </c>
      <c r="O3866" t="str">
        <f t="shared" si="182"/>
        <v>Low</v>
      </c>
      <c r="P3866" t="str">
        <f>VLOOKUP(E3866,calculated_fields!$F$4:$G$6,2,FALSE)</f>
        <v>Health</v>
      </c>
    </row>
    <row r="3867" spans="1:16">
      <c r="A3867" t="s">
        <v>5295</v>
      </c>
      <c r="B3867" t="s">
        <v>5277</v>
      </c>
      <c r="C3867" t="s">
        <v>130</v>
      </c>
      <c r="D3867">
        <v>1972</v>
      </c>
      <c r="E3867" t="s">
        <v>23</v>
      </c>
      <c r="F3867" t="s">
        <v>24</v>
      </c>
      <c r="G3867" t="s">
        <v>25</v>
      </c>
      <c r="H3867" t="s">
        <v>26</v>
      </c>
      <c r="I3867">
        <v>3992121</v>
      </c>
      <c r="J3867" t="s">
        <v>27</v>
      </c>
      <c r="K3867" t="s">
        <v>5294</v>
      </c>
      <c r="L3867" t="s">
        <v>21</v>
      </c>
      <c r="M3867" t="str">
        <f t="shared" si="180"/>
        <v>OK</v>
      </c>
      <c r="N3867" t="str">
        <f t="shared" si="181"/>
        <v>1970s</v>
      </c>
      <c r="O3867" t="str">
        <f t="shared" si="182"/>
        <v>N/A</v>
      </c>
      <c r="P3867" t="str">
        <f>VLOOKUP(E3867,calculated_fields!$F$4:$G$6,2,FALSE)</f>
        <v>Demographics</v>
      </c>
    </row>
    <row r="3868" spans="1:16">
      <c r="A3868" t="s">
        <v>5296</v>
      </c>
      <c r="B3868" t="s">
        <v>5277</v>
      </c>
      <c r="C3868" t="s">
        <v>130</v>
      </c>
      <c r="D3868">
        <v>1972</v>
      </c>
      <c r="E3868" t="s">
        <v>29</v>
      </c>
      <c r="F3868" t="s">
        <v>30</v>
      </c>
      <c r="G3868" t="s">
        <v>31</v>
      </c>
      <c r="H3868" t="s">
        <v>32</v>
      </c>
      <c r="I3868">
        <v>590.580663799999</v>
      </c>
      <c r="J3868" t="s">
        <v>33</v>
      </c>
      <c r="K3868" t="s">
        <v>5294</v>
      </c>
      <c r="L3868" t="s">
        <v>21</v>
      </c>
      <c r="M3868" t="str">
        <f t="shared" si="180"/>
        <v>OK</v>
      </c>
      <c r="N3868" t="str">
        <f t="shared" si="181"/>
        <v>1970s</v>
      </c>
      <c r="O3868" t="str">
        <f t="shared" si="182"/>
        <v>N/A</v>
      </c>
      <c r="P3868" t="str">
        <f>VLOOKUP(E3868,calculated_fields!$F$4:$G$6,2,FALSE)</f>
        <v>Economy</v>
      </c>
    </row>
    <row r="3869" spans="1:16">
      <c r="A3869" t="s">
        <v>5297</v>
      </c>
      <c r="B3869" t="s">
        <v>5277</v>
      </c>
      <c r="C3869" t="s">
        <v>130</v>
      </c>
      <c r="D3869">
        <v>1977</v>
      </c>
      <c r="E3869" t="s">
        <v>15</v>
      </c>
      <c r="F3869" t="s">
        <v>16</v>
      </c>
      <c r="G3869" t="s">
        <v>17</v>
      </c>
      <c r="H3869" t="s">
        <v>18</v>
      </c>
      <c r="I3869">
        <v>45</v>
      </c>
      <c r="J3869" t="s">
        <v>19</v>
      </c>
      <c r="K3869" t="s">
        <v>5298</v>
      </c>
      <c r="L3869" t="s">
        <v>21</v>
      </c>
      <c r="M3869" t="str">
        <f t="shared" si="180"/>
        <v>OK</v>
      </c>
      <c r="N3869" t="str">
        <f t="shared" si="181"/>
        <v>1970s</v>
      </c>
      <c r="O3869" t="str">
        <f t="shared" si="182"/>
        <v>Low</v>
      </c>
      <c r="P3869" t="str">
        <f>VLOOKUP(E3869,calculated_fields!$F$4:$G$6,2,FALSE)</f>
        <v>Health</v>
      </c>
    </row>
    <row r="3870" spans="1:16">
      <c r="A3870" t="s">
        <v>5299</v>
      </c>
      <c r="B3870" t="s">
        <v>5277</v>
      </c>
      <c r="C3870" t="s">
        <v>130</v>
      </c>
      <c r="D3870">
        <v>1977</v>
      </c>
      <c r="E3870" t="s">
        <v>23</v>
      </c>
      <c r="F3870" t="s">
        <v>24</v>
      </c>
      <c r="G3870" t="s">
        <v>25</v>
      </c>
      <c r="H3870" t="s">
        <v>26</v>
      </c>
      <c r="I3870">
        <v>4657072</v>
      </c>
      <c r="J3870" t="s">
        <v>27</v>
      </c>
      <c r="K3870" t="s">
        <v>5298</v>
      </c>
      <c r="L3870" t="s">
        <v>21</v>
      </c>
      <c r="M3870" t="str">
        <f t="shared" si="180"/>
        <v>OK</v>
      </c>
      <c r="N3870" t="str">
        <f t="shared" si="181"/>
        <v>1970s</v>
      </c>
      <c r="O3870" t="str">
        <f t="shared" si="182"/>
        <v>N/A</v>
      </c>
      <c r="P3870" t="str">
        <f>VLOOKUP(E3870,calculated_fields!$F$4:$G$6,2,FALSE)</f>
        <v>Demographics</v>
      </c>
    </row>
    <row r="3871" spans="1:16">
      <c r="A3871" t="s">
        <v>5300</v>
      </c>
      <c r="B3871" t="s">
        <v>5277</v>
      </c>
      <c r="C3871" t="s">
        <v>130</v>
      </c>
      <c r="D3871">
        <v>1977</v>
      </c>
      <c r="E3871" t="s">
        <v>29</v>
      </c>
      <c r="F3871" t="s">
        <v>30</v>
      </c>
      <c r="G3871" t="s">
        <v>31</v>
      </c>
      <c r="H3871" t="s">
        <v>32</v>
      </c>
      <c r="I3871">
        <v>670.08060109999997</v>
      </c>
      <c r="J3871" t="s">
        <v>33</v>
      </c>
      <c r="K3871" t="s">
        <v>5298</v>
      </c>
      <c r="L3871" t="s">
        <v>21</v>
      </c>
      <c r="M3871" t="str">
        <f t="shared" si="180"/>
        <v>OK</v>
      </c>
      <c r="N3871" t="str">
        <f t="shared" si="181"/>
        <v>1970s</v>
      </c>
      <c r="O3871" t="str">
        <f t="shared" si="182"/>
        <v>N/A</v>
      </c>
      <c r="P3871" t="str">
        <f>VLOOKUP(E3871,calculated_fields!$F$4:$G$6,2,FALSE)</f>
        <v>Economy</v>
      </c>
    </row>
    <row r="3872" spans="1:16">
      <c r="A3872" t="s">
        <v>5301</v>
      </c>
      <c r="B3872" t="s">
        <v>5277</v>
      </c>
      <c r="C3872" t="s">
        <v>130</v>
      </c>
      <c r="D3872">
        <v>1982</v>
      </c>
      <c r="E3872" t="s">
        <v>15</v>
      </c>
      <c r="F3872" t="s">
        <v>16</v>
      </c>
      <c r="G3872" t="s">
        <v>17</v>
      </c>
      <c r="H3872" t="s">
        <v>18</v>
      </c>
      <c r="I3872">
        <v>46.218000000000004</v>
      </c>
      <c r="J3872" t="s">
        <v>19</v>
      </c>
      <c r="K3872" t="s">
        <v>5302</v>
      </c>
      <c r="L3872" t="s">
        <v>21</v>
      </c>
      <c r="M3872" t="str">
        <f t="shared" si="180"/>
        <v>OK</v>
      </c>
      <c r="N3872" t="str">
        <f t="shared" si="181"/>
        <v>1980s</v>
      </c>
      <c r="O3872" t="str">
        <f t="shared" si="182"/>
        <v>Low</v>
      </c>
      <c r="P3872" t="str">
        <f>VLOOKUP(E3872,calculated_fields!$F$4:$G$6,2,FALSE)</f>
        <v>Health</v>
      </c>
    </row>
    <row r="3873" spans="1:16">
      <c r="A3873" t="s">
        <v>5303</v>
      </c>
      <c r="B3873" t="s">
        <v>5277</v>
      </c>
      <c r="C3873" t="s">
        <v>130</v>
      </c>
      <c r="D3873">
        <v>1982</v>
      </c>
      <c r="E3873" t="s">
        <v>23</v>
      </c>
      <c r="F3873" t="s">
        <v>24</v>
      </c>
      <c r="G3873" t="s">
        <v>25</v>
      </c>
      <c r="H3873" t="s">
        <v>26</v>
      </c>
      <c r="I3873">
        <v>5507565</v>
      </c>
      <c r="J3873" t="s">
        <v>27</v>
      </c>
      <c r="K3873" t="s">
        <v>5302</v>
      </c>
      <c r="L3873" t="s">
        <v>21</v>
      </c>
      <c r="M3873" t="str">
        <f t="shared" si="180"/>
        <v>OK</v>
      </c>
      <c r="N3873" t="str">
        <f t="shared" si="181"/>
        <v>1980s</v>
      </c>
      <c r="O3873" t="str">
        <f t="shared" si="182"/>
        <v>N/A</v>
      </c>
      <c r="P3873" t="str">
        <f>VLOOKUP(E3873,calculated_fields!$F$4:$G$6,2,FALSE)</f>
        <v>Demographics</v>
      </c>
    </row>
    <row r="3874" spans="1:16">
      <c r="A3874" t="s">
        <v>5304</v>
      </c>
      <c r="B3874" t="s">
        <v>5277</v>
      </c>
      <c r="C3874" t="s">
        <v>130</v>
      </c>
      <c r="D3874">
        <v>1982</v>
      </c>
      <c r="E3874" t="s">
        <v>29</v>
      </c>
      <c r="F3874" t="s">
        <v>30</v>
      </c>
      <c r="G3874" t="s">
        <v>31</v>
      </c>
      <c r="H3874" t="s">
        <v>32</v>
      </c>
      <c r="I3874">
        <v>881.5706467</v>
      </c>
      <c r="J3874" t="s">
        <v>33</v>
      </c>
      <c r="K3874" t="s">
        <v>5302</v>
      </c>
      <c r="L3874" t="s">
        <v>21</v>
      </c>
      <c r="M3874" t="str">
        <f t="shared" si="180"/>
        <v>OK</v>
      </c>
      <c r="N3874" t="str">
        <f t="shared" si="181"/>
        <v>1980s</v>
      </c>
      <c r="O3874" t="str">
        <f t="shared" si="182"/>
        <v>N/A</v>
      </c>
      <c r="P3874" t="str">
        <f>VLOOKUP(E3874,calculated_fields!$F$4:$G$6,2,FALSE)</f>
        <v>Economy</v>
      </c>
    </row>
    <row r="3875" spans="1:16">
      <c r="A3875" t="s">
        <v>5305</v>
      </c>
      <c r="B3875" t="s">
        <v>5277</v>
      </c>
      <c r="C3875" t="s">
        <v>130</v>
      </c>
      <c r="D3875">
        <v>1987</v>
      </c>
      <c r="E3875" t="s">
        <v>15</v>
      </c>
      <c r="F3875" t="s">
        <v>16</v>
      </c>
      <c r="G3875" t="s">
        <v>17</v>
      </c>
      <c r="H3875" t="s">
        <v>18</v>
      </c>
      <c r="I3875">
        <v>44.02</v>
      </c>
      <c r="J3875" t="s">
        <v>19</v>
      </c>
      <c r="K3875" t="s">
        <v>5306</v>
      </c>
      <c r="L3875" t="s">
        <v>21</v>
      </c>
      <c r="M3875" t="str">
        <f t="shared" si="180"/>
        <v>OK</v>
      </c>
      <c r="N3875" t="str">
        <f t="shared" si="181"/>
        <v>1980s</v>
      </c>
      <c r="O3875" t="str">
        <f t="shared" si="182"/>
        <v>Low</v>
      </c>
      <c r="P3875" t="str">
        <f>VLOOKUP(E3875,calculated_fields!$F$4:$G$6,2,FALSE)</f>
        <v>Health</v>
      </c>
    </row>
    <row r="3876" spans="1:16">
      <c r="A3876" t="s">
        <v>5307</v>
      </c>
      <c r="B3876" t="s">
        <v>5277</v>
      </c>
      <c r="C3876" t="s">
        <v>130</v>
      </c>
      <c r="D3876">
        <v>1987</v>
      </c>
      <c r="E3876" t="s">
        <v>23</v>
      </c>
      <c r="F3876" t="s">
        <v>24</v>
      </c>
      <c r="G3876" t="s">
        <v>25</v>
      </c>
      <c r="H3876" t="s">
        <v>26</v>
      </c>
      <c r="I3876">
        <v>6349365</v>
      </c>
      <c r="J3876" t="s">
        <v>27</v>
      </c>
      <c r="K3876" t="s">
        <v>5306</v>
      </c>
      <c r="L3876" t="s">
        <v>21</v>
      </c>
      <c r="M3876" t="str">
        <f t="shared" si="180"/>
        <v>OK</v>
      </c>
      <c r="N3876" t="str">
        <f t="shared" si="181"/>
        <v>1980s</v>
      </c>
      <c r="O3876" t="str">
        <f t="shared" si="182"/>
        <v>N/A</v>
      </c>
      <c r="P3876" t="str">
        <f>VLOOKUP(E3876,calculated_fields!$F$4:$G$6,2,FALSE)</f>
        <v>Demographics</v>
      </c>
    </row>
    <row r="3877" spans="1:16">
      <c r="A3877" t="s">
        <v>5308</v>
      </c>
      <c r="B3877" t="s">
        <v>5277</v>
      </c>
      <c r="C3877" t="s">
        <v>130</v>
      </c>
      <c r="D3877">
        <v>1987</v>
      </c>
      <c r="E3877" t="s">
        <v>29</v>
      </c>
      <c r="F3877" t="s">
        <v>30</v>
      </c>
      <c r="G3877" t="s">
        <v>31</v>
      </c>
      <c r="H3877" t="s">
        <v>32</v>
      </c>
      <c r="I3877">
        <v>847.99121700000001</v>
      </c>
      <c r="J3877" t="s">
        <v>33</v>
      </c>
      <c r="K3877" t="s">
        <v>5306</v>
      </c>
      <c r="L3877" t="s">
        <v>21</v>
      </c>
      <c r="M3877" t="str">
        <f t="shared" si="180"/>
        <v>OK</v>
      </c>
      <c r="N3877" t="str">
        <f t="shared" si="181"/>
        <v>1980s</v>
      </c>
      <c r="O3877" t="str">
        <f t="shared" si="182"/>
        <v>N/A</v>
      </c>
      <c r="P3877" t="str">
        <f>VLOOKUP(E3877,calculated_fields!$F$4:$G$6,2,FALSE)</f>
        <v>Economy</v>
      </c>
    </row>
    <row r="3878" spans="1:16">
      <c r="A3878" t="s">
        <v>5309</v>
      </c>
      <c r="B3878" t="s">
        <v>5277</v>
      </c>
      <c r="C3878" t="s">
        <v>130</v>
      </c>
      <c r="D3878">
        <v>1992</v>
      </c>
      <c r="E3878" t="s">
        <v>15</v>
      </c>
      <c r="F3878" t="s">
        <v>16</v>
      </c>
      <c r="G3878" t="s">
        <v>17</v>
      </c>
      <c r="H3878" t="s">
        <v>18</v>
      </c>
      <c r="I3878">
        <v>23.599</v>
      </c>
      <c r="J3878" t="s">
        <v>19</v>
      </c>
      <c r="K3878" t="s">
        <v>5310</v>
      </c>
      <c r="L3878" t="s">
        <v>21</v>
      </c>
      <c r="M3878" t="str">
        <f t="shared" si="180"/>
        <v>OK</v>
      </c>
      <c r="N3878" t="str">
        <f t="shared" si="181"/>
        <v>1990s</v>
      </c>
      <c r="O3878" t="str">
        <f t="shared" si="182"/>
        <v>Low</v>
      </c>
      <c r="P3878" t="str">
        <f>VLOOKUP(E3878,calculated_fields!$F$4:$G$6,2,FALSE)</f>
        <v>Health</v>
      </c>
    </row>
    <row r="3879" spans="1:16">
      <c r="A3879" t="s">
        <v>5311</v>
      </c>
      <c r="B3879" t="s">
        <v>5277</v>
      </c>
      <c r="C3879" t="s">
        <v>130</v>
      </c>
      <c r="D3879">
        <v>1992</v>
      </c>
      <c r="E3879" t="s">
        <v>23</v>
      </c>
      <c r="F3879" t="s">
        <v>24</v>
      </c>
      <c r="G3879" t="s">
        <v>25</v>
      </c>
      <c r="H3879" t="s">
        <v>26</v>
      </c>
      <c r="I3879">
        <v>7290203</v>
      </c>
      <c r="J3879" t="s">
        <v>27</v>
      </c>
      <c r="K3879" t="s">
        <v>5310</v>
      </c>
      <c r="L3879" t="s">
        <v>21</v>
      </c>
      <c r="M3879" t="str">
        <f t="shared" si="180"/>
        <v>OK</v>
      </c>
      <c r="N3879" t="str">
        <f t="shared" si="181"/>
        <v>1990s</v>
      </c>
      <c r="O3879" t="str">
        <f t="shared" si="182"/>
        <v>N/A</v>
      </c>
      <c r="P3879" t="str">
        <f>VLOOKUP(E3879,calculated_fields!$F$4:$G$6,2,FALSE)</f>
        <v>Demographics</v>
      </c>
    </row>
    <row r="3880" spans="1:16">
      <c r="A3880" t="s">
        <v>5312</v>
      </c>
      <c r="B3880" t="s">
        <v>5277</v>
      </c>
      <c r="C3880" t="s">
        <v>130</v>
      </c>
      <c r="D3880">
        <v>1992</v>
      </c>
      <c r="E3880" t="s">
        <v>29</v>
      </c>
      <c r="F3880" t="s">
        <v>30</v>
      </c>
      <c r="G3880" t="s">
        <v>31</v>
      </c>
      <c r="H3880" t="s">
        <v>32</v>
      </c>
      <c r="I3880">
        <v>737.06859489999999</v>
      </c>
      <c r="J3880" t="s">
        <v>33</v>
      </c>
      <c r="K3880" t="s">
        <v>5310</v>
      </c>
      <c r="L3880" t="s">
        <v>21</v>
      </c>
      <c r="M3880" t="str">
        <f t="shared" si="180"/>
        <v>OK</v>
      </c>
      <c r="N3880" t="str">
        <f t="shared" si="181"/>
        <v>1990s</v>
      </c>
      <c r="O3880" t="str">
        <f t="shared" si="182"/>
        <v>N/A</v>
      </c>
      <c r="P3880" t="str">
        <f>VLOOKUP(E3880,calculated_fields!$F$4:$G$6,2,FALSE)</f>
        <v>Economy</v>
      </c>
    </row>
    <row r="3881" spans="1:16">
      <c r="A3881" t="s">
        <v>5313</v>
      </c>
      <c r="B3881" t="s">
        <v>5277</v>
      </c>
      <c r="C3881" t="s">
        <v>130</v>
      </c>
      <c r="D3881">
        <v>1997</v>
      </c>
      <c r="E3881" t="s">
        <v>15</v>
      </c>
      <c r="F3881" t="s">
        <v>16</v>
      </c>
      <c r="G3881" t="s">
        <v>17</v>
      </c>
      <c r="H3881" t="s">
        <v>18</v>
      </c>
      <c r="I3881">
        <v>36.087000000000003</v>
      </c>
      <c r="J3881" t="s">
        <v>19</v>
      </c>
      <c r="K3881" t="s">
        <v>5314</v>
      </c>
      <c r="L3881" t="s">
        <v>21</v>
      </c>
      <c r="M3881" t="str">
        <f t="shared" si="180"/>
        <v>OK</v>
      </c>
      <c r="N3881" t="str">
        <f t="shared" si="181"/>
        <v>1990s</v>
      </c>
      <c r="O3881" t="str">
        <f t="shared" si="182"/>
        <v>Low</v>
      </c>
      <c r="P3881" t="str">
        <f>VLOOKUP(E3881,calculated_fields!$F$4:$G$6,2,FALSE)</f>
        <v>Health</v>
      </c>
    </row>
    <row r="3882" spans="1:16">
      <c r="A3882" t="s">
        <v>5315</v>
      </c>
      <c r="B3882" t="s">
        <v>5277</v>
      </c>
      <c r="C3882" t="s">
        <v>130</v>
      </c>
      <c r="D3882">
        <v>1997</v>
      </c>
      <c r="E3882" t="s">
        <v>23</v>
      </c>
      <c r="F3882" t="s">
        <v>24</v>
      </c>
      <c r="G3882" t="s">
        <v>25</v>
      </c>
      <c r="H3882" t="s">
        <v>26</v>
      </c>
      <c r="I3882">
        <v>7212583</v>
      </c>
      <c r="J3882" t="s">
        <v>27</v>
      </c>
      <c r="K3882" t="s">
        <v>5314</v>
      </c>
      <c r="L3882" t="s">
        <v>21</v>
      </c>
      <c r="M3882" t="str">
        <f t="shared" si="180"/>
        <v>OK</v>
      </c>
      <c r="N3882" t="str">
        <f t="shared" si="181"/>
        <v>1990s</v>
      </c>
      <c r="O3882" t="str">
        <f t="shared" si="182"/>
        <v>N/A</v>
      </c>
      <c r="P3882" t="str">
        <f>VLOOKUP(E3882,calculated_fields!$F$4:$G$6,2,FALSE)</f>
        <v>Demographics</v>
      </c>
    </row>
    <row r="3883" spans="1:16">
      <c r="A3883" t="s">
        <v>5316</v>
      </c>
      <c r="B3883" t="s">
        <v>5277</v>
      </c>
      <c r="C3883" t="s">
        <v>130</v>
      </c>
      <c r="D3883">
        <v>1997</v>
      </c>
      <c r="E3883" t="s">
        <v>29</v>
      </c>
      <c r="F3883" t="s">
        <v>30</v>
      </c>
      <c r="G3883" t="s">
        <v>31</v>
      </c>
      <c r="H3883" t="s">
        <v>32</v>
      </c>
      <c r="I3883">
        <v>589.94450510000001</v>
      </c>
      <c r="J3883" t="s">
        <v>33</v>
      </c>
      <c r="K3883" t="s">
        <v>5314</v>
      </c>
      <c r="L3883" t="s">
        <v>21</v>
      </c>
      <c r="M3883" t="str">
        <f t="shared" si="180"/>
        <v>OK</v>
      </c>
      <c r="N3883" t="str">
        <f t="shared" si="181"/>
        <v>1990s</v>
      </c>
      <c r="O3883" t="str">
        <f t="shared" si="182"/>
        <v>N/A</v>
      </c>
      <c r="P3883" t="str">
        <f>VLOOKUP(E3883,calculated_fields!$F$4:$G$6,2,FALSE)</f>
        <v>Economy</v>
      </c>
    </row>
    <row r="3884" spans="1:16">
      <c r="A3884" t="s">
        <v>5317</v>
      </c>
      <c r="B3884" t="s">
        <v>5277</v>
      </c>
      <c r="C3884" t="s">
        <v>130</v>
      </c>
      <c r="D3884">
        <v>2002</v>
      </c>
      <c r="E3884" t="s">
        <v>15</v>
      </c>
      <c r="F3884" t="s">
        <v>16</v>
      </c>
      <c r="G3884" t="s">
        <v>17</v>
      </c>
      <c r="H3884" t="s">
        <v>18</v>
      </c>
      <c r="I3884">
        <v>43.412999999999997</v>
      </c>
      <c r="J3884" t="s">
        <v>19</v>
      </c>
      <c r="K3884" t="s">
        <v>5318</v>
      </c>
      <c r="L3884" t="s">
        <v>21</v>
      </c>
      <c r="M3884" t="str">
        <f t="shared" si="180"/>
        <v>OK</v>
      </c>
      <c r="N3884" t="str">
        <f t="shared" si="181"/>
        <v>2000s</v>
      </c>
      <c r="O3884" t="str">
        <f t="shared" si="182"/>
        <v>Low</v>
      </c>
      <c r="P3884" t="str">
        <f>VLOOKUP(E3884,calculated_fields!$F$4:$G$6,2,FALSE)</f>
        <v>Health</v>
      </c>
    </row>
    <row r="3885" spans="1:16">
      <c r="A3885" t="s">
        <v>5319</v>
      </c>
      <c r="B3885" t="s">
        <v>5277</v>
      </c>
      <c r="C3885" t="s">
        <v>130</v>
      </c>
      <c r="D3885">
        <v>2002</v>
      </c>
      <c r="E3885" t="s">
        <v>23</v>
      </c>
      <c r="F3885" t="s">
        <v>24</v>
      </c>
      <c r="G3885" t="s">
        <v>25</v>
      </c>
      <c r="H3885" t="s">
        <v>26</v>
      </c>
      <c r="I3885">
        <v>7852401</v>
      </c>
      <c r="J3885" t="s">
        <v>27</v>
      </c>
      <c r="K3885" t="s">
        <v>5318</v>
      </c>
      <c r="L3885" t="s">
        <v>21</v>
      </c>
      <c r="M3885" t="str">
        <f t="shared" si="180"/>
        <v>OK</v>
      </c>
      <c r="N3885" t="str">
        <f t="shared" si="181"/>
        <v>2000s</v>
      </c>
      <c r="O3885" t="str">
        <f t="shared" si="182"/>
        <v>N/A</v>
      </c>
      <c r="P3885" t="str">
        <f>VLOOKUP(E3885,calculated_fields!$F$4:$G$6,2,FALSE)</f>
        <v>Demographics</v>
      </c>
    </row>
    <row r="3886" spans="1:16">
      <c r="A3886" t="s">
        <v>5320</v>
      </c>
      <c r="B3886" t="s">
        <v>5277</v>
      </c>
      <c r="C3886" t="s">
        <v>130</v>
      </c>
      <c r="D3886">
        <v>2002</v>
      </c>
      <c r="E3886" t="s">
        <v>29</v>
      </c>
      <c r="F3886" t="s">
        <v>30</v>
      </c>
      <c r="G3886" t="s">
        <v>31</v>
      </c>
      <c r="H3886" t="s">
        <v>32</v>
      </c>
      <c r="I3886">
        <v>785.65376479999895</v>
      </c>
      <c r="J3886" t="s">
        <v>33</v>
      </c>
      <c r="K3886" t="s">
        <v>5318</v>
      </c>
      <c r="L3886" t="s">
        <v>21</v>
      </c>
      <c r="M3886" t="str">
        <f t="shared" si="180"/>
        <v>OK</v>
      </c>
      <c r="N3886" t="str">
        <f t="shared" si="181"/>
        <v>2000s</v>
      </c>
      <c r="O3886" t="str">
        <f t="shared" si="182"/>
        <v>N/A</v>
      </c>
      <c r="P3886" t="str">
        <f>VLOOKUP(E3886,calculated_fields!$F$4:$G$6,2,FALSE)</f>
        <v>Economy</v>
      </c>
    </row>
    <row r="3887" spans="1:16">
      <c r="A3887" t="s">
        <v>5321</v>
      </c>
      <c r="B3887" t="s">
        <v>5277</v>
      </c>
      <c r="C3887" t="s">
        <v>130</v>
      </c>
      <c r="D3887">
        <v>2007</v>
      </c>
      <c r="E3887" t="s">
        <v>15</v>
      </c>
      <c r="F3887" t="s">
        <v>16</v>
      </c>
      <c r="G3887" t="s">
        <v>17</v>
      </c>
      <c r="H3887" t="s">
        <v>18</v>
      </c>
      <c r="I3887">
        <v>46.241999999999997</v>
      </c>
      <c r="J3887" t="s">
        <v>19</v>
      </c>
      <c r="K3887" t="s">
        <v>5322</v>
      </c>
      <c r="L3887" t="s">
        <v>21</v>
      </c>
      <c r="M3887" t="str">
        <f t="shared" si="180"/>
        <v>OK</v>
      </c>
      <c r="N3887" t="str">
        <f t="shared" si="181"/>
        <v>2000s</v>
      </c>
      <c r="O3887" t="str">
        <f t="shared" si="182"/>
        <v>Low</v>
      </c>
      <c r="P3887" t="str">
        <f>VLOOKUP(E3887,calculated_fields!$F$4:$G$6,2,FALSE)</f>
        <v>Health</v>
      </c>
    </row>
    <row r="3888" spans="1:16">
      <c r="A3888" t="s">
        <v>5323</v>
      </c>
      <c r="B3888" t="s">
        <v>5277</v>
      </c>
      <c r="C3888" t="s">
        <v>130</v>
      </c>
      <c r="D3888">
        <v>2007</v>
      </c>
      <c r="E3888" t="s">
        <v>23</v>
      </c>
      <c r="F3888" t="s">
        <v>24</v>
      </c>
      <c r="G3888" t="s">
        <v>25</v>
      </c>
      <c r="H3888" t="s">
        <v>26</v>
      </c>
      <c r="I3888">
        <v>8860588</v>
      </c>
      <c r="J3888" t="s">
        <v>27</v>
      </c>
      <c r="K3888" t="s">
        <v>5322</v>
      </c>
      <c r="L3888" t="s">
        <v>21</v>
      </c>
      <c r="M3888" t="str">
        <f t="shared" si="180"/>
        <v>OK</v>
      </c>
      <c r="N3888" t="str">
        <f t="shared" si="181"/>
        <v>2000s</v>
      </c>
      <c r="O3888" t="str">
        <f t="shared" si="182"/>
        <v>N/A</v>
      </c>
      <c r="P3888" t="str">
        <f>VLOOKUP(E3888,calculated_fields!$F$4:$G$6,2,FALSE)</f>
        <v>Demographics</v>
      </c>
    </row>
    <row r="3889" spans="1:16">
      <c r="A3889" t="s">
        <v>5324</v>
      </c>
      <c r="B3889" t="s">
        <v>5277</v>
      </c>
      <c r="C3889" t="s">
        <v>130</v>
      </c>
      <c r="D3889">
        <v>2007</v>
      </c>
      <c r="E3889" t="s">
        <v>29</v>
      </c>
      <c r="F3889" t="s">
        <v>30</v>
      </c>
      <c r="G3889" t="s">
        <v>31</v>
      </c>
      <c r="H3889" t="s">
        <v>32</v>
      </c>
      <c r="I3889">
        <v>863.08846389999997</v>
      </c>
      <c r="J3889" t="s">
        <v>33</v>
      </c>
      <c r="K3889" t="s">
        <v>5322</v>
      </c>
      <c r="L3889" t="s">
        <v>21</v>
      </c>
      <c r="M3889" t="str">
        <f t="shared" si="180"/>
        <v>OK</v>
      </c>
      <c r="N3889" t="str">
        <f t="shared" si="181"/>
        <v>2000s</v>
      </c>
      <c r="O3889" t="str">
        <f t="shared" si="182"/>
        <v>N/A</v>
      </c>
      <c r="P3889" t="str">
        <f>VLOOKUP(E3889,calculated_fields!$F$4:$G$6,2,FALSE)</f>
        <v>Economy</v>
      </c>
    </row>
    <row r="3890" spans="1:16">
      <c r="A3890" t="s">
        <v>5325</v>
      </c>
      <c r="B3890" t="s">
        <v>5326</v>
      </c>
      <c r="C3890" t="s">
        <v>130</v>
      </c>
      <c r="D3890">
        <v>1952</v>
      </c>
      <c r="E3890" t="s">
        <v>15</v>
      </c>
      <c r="F3890" t="s">
        <v>16</v>
      </c>
      <c r="G3890" t="s">
        <v>17</v>
      </c>
      <c r="H3890" t="s">
        <v>18</v>
      </c>
      <c r="I3890">
        <v>46.470999999999997</v>
      </c>
      <c r="J3890" t="s">
        <v>19</v>
      </c>
      <c r="K3890" t="s">
        <v>5327</v>
      </c>
      <c r="L3890" t="s">
        <v>21</v>
      </c>
      <c r="M3890" t="str">
        <f t="shared" si="180"/>
        <v>OK</v>
      </c>
      <c r="N3890" t="str">
        <f t="shared" si="181"/>
        <v>1950s</v>
      </c>
      <c r="O3890" t="str">
        <f t="shared" si="182"/>
        <v>Low</v>
      </c>
      <c r="P3890" t="str">
        <f>VLOOKUP(E3890,calculated_fields!$F$4:$G$6,2,FALSE)</f>
        <v>Health</v>
      </c>
    </row>
    <row r="3891" spans="1:16">
      <c r="A3891" t="s">
        <v>5328</v>
      </c>
      <c r="B3891" t="s">
        <v>5326</v>
      </c>
      <c r="C3891" t="s">
        <v>130</v>
      </c>
      <c r="D3891">
        <v>1952</v>
      </c>
      <c r="E3891" t="s">
        <v>23</v>
      </c>
      <c r="F3891" t="s">
        <v>24</v>
      </c>
      <c r="G3891" t="s">
        <v>25</v>
      </c>
      <c r="H3891" t="s">
        <v>26</v>
      </c>
      <c r="I3891">
        <v>60011</v>
      </c>
      <c r="J3891" t="s">
        <v>27</v>
      </c>
      <c r="K3891" t="s">
        <v>5327</v>
      </c>
      <c r="L3891" t="s">
        <v>21</v>
      </c>
      <c r="M3891" t="str">
        <f t="shared" si="180"/>
        <v>OK</v>
      </c>
      <c r="N3891" t="str">
        <f t="shared" si="181"/>
        <v>1950s</v>
      </c>
      <c r="O3891" t="str">
        <f t="shared" si="182"/>
        <v>N/A</v>
      </c>
      <c r="P3891" t="str">
        <f>VLOOKUP(E3891,calculated_fields!$F$4:$G$6,2,FALSE)</f>
        <v>Demographics</v>
      </c>
    </row>
    <row r="3892" spans="1:16">
      <c r="A3892" t="s">
        <v>5329</v>
      </c>
      <c r="B3892" t="s">
        <v>5326</v>
      </c>
      <c r="C3892" t="s">
        <v>130</v>
      </c>
      <c r="D3892">
        <v>1952</v>
      </c>
      <c r="E3892" t="s">
        <v>29</v>
      </c>
      <c r="F3892" t="s">
        <v>30</v>
      </c>
      <c r="G3892" t="s">
        <v>31</v>
      </c>
      <c r="H3892" t="s">
        <v>32</v>
      </c>
      <c r="I3892">
        <v>879.58358550000003</v>
      </c>
      <c r="J3892" t="s">
        <v>33</v>
      </c>
      <c r="K3892" t="s">
        <v>5327</v>
      </c>
      <c r="L3892" t="s">
        <v>21</v>
      </c>
      <c r="M3892" t="str">
        <f t="shared" si="180"/>
        <v>OK</v>
      </c>
      <c r="N3892" t="str">
        <f t="shared" si="181"/>
        <v>1950s</v>
      </c>
      <c r="O3892" t="str">
        <f t="shared" si="182"/>
        <v>N/A</v>
      </c>
      <c r="P3892" t="str">
        <f>VLOOKUP(E3892,calculated_fields!$F$4:$G$6,2,FALSE)</f>
        <v>Economy</v>
      </c>
    </row>
    <row r="3893" spans="1:16">
      <c r="A3893" t="s">
        <v>5330</v>
      </c>
      <c r="B3893" t="s">
        <v>5326</v>
      </c>
      <c r="C3893" t="s">
        <v>130</v>
      </c>
      <c r="D3893">
        <v>1957</v>
      </c>
      <c r="E3893" t="s">
        <v>15</v>
      </c>
      <c r="F3893" t="s">
        <v>16</v>
      </c>
      <c r="G3893" t="s">
        <v>17</v>
      </c>
      <c r="H3893" t="s">
        <v>18</v>
      </c>
      <c r="I3893">
        <v>48.945</v>
      </c>
      <c r="J3893" t="s">
        <v>19</v>
      </c>
      <c r="K3893" t="s">
        <v>5331</v>
      </c>
      <c r="L3893" t="s">
        <v>21</v>
      </c>
      <c r="M3893" t="str">
        <f t="shared" si="180"/>
        <v>OK</v>
      </c>
      <c r="N3893" t="str">
        <f t="shared" si="181"/>
        <v>1950s</v>
      </c>
      <c r="O3893" t="str">
        <f t="shared" si="182"/>
        <v>Low</v>
      </c>
      <c r="P3893" t="str">
        <f>VLOOKUP(E3893,calculated_fields!$F$4:$G$6,2,FALSE)</f>
        <v>Health</v>
      </c>
    </row>
    <row r="3894" spans="1:16">
      <c r="A3894" t="s">
        <v>5332</v>
      </c>
      <c r="B3894" t="s">
        <v>5326</v>
      </c>
      <c r="C3894" t="s">
        <v>130</v>
      </c>
      <c r="D3894">
        <v>1957</v>
      </c>
      <c r="E3894" t="s">
        <v>23</v>
      </c>
      <c r="F3894" t="s">
        <v>24</v>
      </c>
      <c r="G3894" t="s">
        <v>25</v>
      </c>
      <c r="H3894" t="s">
        <v>26</v>
      </c>
      <c r="I3894">
        <v>61325</v>
      </c>
      <c r="J3894" t="s">
        <v>27</v>
      </c>
      <c r="K3894" t="s">
        <v>5331</v>
      </c>
      <c r="L3894" t="s">
        <v>21</v>
      </c>
      <c r="M3894" t="str">
        <f t="shared" si="180"/>
        <v>OK</v>
      </c>
      <c r="N3894" t="str">
        <f t="shared" si="181"/>
        <v>1950s</v>
      </c>
      <c r="O3894" t="str">
        <f t="shared" si="182"/>
        <v>N/A</v>
      </c>
      <c r="P3894" t="str">
        <f>VLOOKUP(E3894,calculated_fields!$F$4:$G$6,2,FALSE)</f>
        <v>Demographics</v>
      </c>
    </row>
    <row r="3895" spans="1:16">
      <c r="A3895" t="s">
        <v>5333</v>
      </c>
      <c r="B3895" t="s">
        <v>5326</v>
      </c>
      <c r="C3895" t="s">
        <v>130</v>
      </c>
      <c r="D3895">
        <v>1957</v>
      </c>
      <c r="E3895" t="s">
        <v>29</v>
      </c>
      <c r="F3895" t="s">
        <v>30</v>
      </c>
      <c r="G3895" t="s">
        <v>31</v>
      </c>
      <c r="H3895" t="s">
        <v>32</v>
      </c>
      <c r="I3895">
        <v>860.73690260000001</v>
      </c>
      <c r="J3895" t="s">
        <v>33</v>
      </c>
      <c r="K3895" t="s">
        <v>5331</v>
      </c>
      <c r="L3895" t="s">
        <v>21</v>
      </c>
      <c r="M3895" t="str">
        <f t="shared" si="180"/>
        <v>OK</v>
      </c>
      <c r="N3895" t="str">
        <f t="shared" si="181"/>
        <v>1950s</v>
      </c>
      <c r="O3895" t="str">
        <f t="shared" si="182"/>
        <v>N/A</v>
      </c>
      <c r="P3895" t="str">
        <f>VLOOKUP(E3895,calculated_fields!$F$4:$G$6,2,FALSE)</f>
        <v>Economy</v>
      </c>
    </row>
    <row r="3896" spans="1:16">
      <c r="A3896" t="s">
        <v>5334</v>
      </c>
      <c r="B3896" t="s">
        <v>5326</v>
      </c>
      <c r="C3896" t="s">
        <v>130</v>
      </c>
      <c r="D3896">
        <v>1962</v>
      </c>
      <c r="E3896" t="s">
        <v>15</v>
      </c>
      <c r="F3896" t="s">
        <v>16</v>
      </c>
      <c r="G3896" t="s">
        <v>17</v>
      </c>
      <c r="H3896" t="s">
        <v>18</v>
      </c>
      <c r="I3896">
        <v>51.893000000000001</v>
      </c>
      <c r="J3896" t="s">
        <v>19</v>
      </c>
      <c r="K3896" t="s">
        <v>5335</v>
      </c>
      <c r="L3896" t="s">
        <v>21</v>
      </c>
      <c r="M3896" t="str">
        <f t="shared" si="180"/>
        <v>OK</v>
      </c>
      <c r="N3896" t="str">
        <f t="shared" si="181"/>
        <v>1960s</v>
      </c>
      <c r="O3896" t="str">
        <f t="shared" si="182"/>
        <v>Low</v>
      </c>
      <c r="P3896" t="str">
        <f>VLOOKUP(E3896,calculated_fields!$F$4:$G$6,2,FALSE)</f>
        <v>Health</v>
      </c>
    </row>
    <row r="3897" spans="1:16">
      <c r="A3897" t="s">
        <v>5336</v>
      </c>
      <c r="B3897" t="s">
        <v>5326</v>
      </c>
      <c r="C3897" t="s">
        <v>130</v>
      </c>
      <c r="D3897">
        <v>1962</v>
      </c>
      <c r="E3897" t="s">
        <v>23</v>
      </c>
      <c r="F3897" t="s">
        <v>24</v>
      </c>
      <c r="G3897" t="s">
        <v>25</v>
      </c>
      <c r="H3897" t="s">
        <v>26</v>
      </c>
      <c r="I3897">
        <v>65345</v>
      </c>
      <c r="J3897" t="s">
        <v>27</v>
      </c>
      <c r="K3897" t="s">
        <v>5335</v>
      </c>
      <c r="L3897" t="s">
        <v>21</v>
      </c>
      <c r="M3897" t="str">
        <f t="shared" si="180"/>
        <v>OK</v>
      </c>
      <c r="N3897" t="str">
        <f t="shared" si="181"/>
        <v>1960s</v>
      </c>
      <c r="O3897" t="str">
        <f t="shared" si="182"/>
        <v>N/A</v>
      </c>
      <c r="P3897" t="str">
        <f>VLOOKUP(E3897,calculated_fields!$F$4:$G$6,2,FALSE)</f>
        <v>Demographics</v>
      </c>
    </row>
    <row r="3898" spans="1:16">
      <c r="A3898" t="s">
        <v>5337</v>
      </c>
      <c r="B3898" t="s">
        <v>5326</v>
      </c>
      <c r="C3898" t="s">
        <v>130</v>
      </c>
      <c r="D3898">
        <v>1962</v>
      </c>
      <c r="E3898" t="s">
        <v>29</v>
      </c>
      <c r="F3898" t="s">
        <v>30</v>
      </c>
      <c r="G3898" t="s">
        <v>31</v>
      </c>
      <c r="H3898" t="s">
        <v>32</v>
      </c>
      <c r="I3898">
        <v>1071.551119</v>
      </c>
      <c r="J3898" t="s">
        <v>33</v>
      </c>
      <c r="K3898" t="s">
        <v>5335</v>
      </c>
      <c r="L3898" t="s">
        <v>21</v>
      </c>
      <c r="M3898" t="str">
        <f t="shared" si="180"/>
        <v>OK</v>
      </c>
      <c r="N3898" t="str">
        <f t="shared" si="181"/>
        <v>1960s</v>
      </c>
      <c r="O3898" t="str">
        <f t="shared" si="182"/>
        <v>N/A</v>
      </c>
      <c r="P3898" t="str">
        <f>VLOOKUP(E3898,calculated_fields!$F$4:$G$6,2,FALSE)</f>
        <v>Economy</v>
      </c>
    </row>
    <row r="3899" spans="1:16">
      <c r="A3899" t="s">
        <v>5338</v>
      </c>
      <c r="B3899" t="s">
        <v>5326</v>
      </c>
      <c r="C3899" t="s">
        <v>130</v>
      </c>
      <c r="D3899">
        <v>1967</v>
      </c>
      <c r="E3899" t="s">
        <v>15</v>
      </c>
      <c r="F3899" t="s">
        <v>16</v>
      </c>
      <c r="G3899" t="s">
        <v>17</v>
      </c>
      <c r="H3899" t="s">
        <v>18</v>
      </c>
      <c r="I3899">
        <v>54.424999999999997</v>
      </c>
      <c r="J3899" t="s">
        <v>19</v>
      </c>
      <c r="K3899" t="s">
        <v>5339</v>
      </c>
      <c r="L3899" t="s">
        <v>21</v>
      </c>
      <c r="M3899" t="str">
        <f t="shared" si="180"/>
        <v>OK</v>
      </c>
      <c r="N3899" t="str">
        <f t="shared" si="181"/>
        <v>1960s</v>
      </c>
      <c r="O3899" t="str">
        <f t="shared" si="182"/>
        <v>Low</v>
      </c>
      <c r="P3899" t="str">
        <f>VLOOKUP(E3899,calculated_fields!$F$4:$G$6,2,FALSE)</f>
        <v>Health</v>
      </c>
    </row>
    <row r="3900" spans="1:16">
      <c r="A3900" t="s">
        <v>5340</v>
      </c>
      <c r="B3900" t="s">
        <v>5326</v>
      </c>
      <c r="C3900" t="s">
        <v>130</v>
      </c>
      <c r="D3900">
        <v>1967</v>
      </c>
      <c r="E3900" t="s">
        <v>23</v>
      </c>
      <c r="F3900" t="s">
        <v>24</v>
      </c>
      <c r="G3900" t="s">
        <v>25</v>
      </c>
      <c r="H3900" t="s">
        <v>26</v>
      </c>
      <c r="I3900">
        <v>70787</v>
      </c>
      <c r="J3900" t="s">
        <v>27</v>
      </c>
      <c r="K3900" t="s">
        <v>5339</v>
      </c>
      <c r="L3900" t="s">
        <v>21</v>
      </c>
      <c r="M3900" t="str">
        <f t="shared" si="180"/>
        <v>OK</v>
      </c>
      <c r="N3900" t="str">
        <f t="shared" si="181"/>
        <v>1960s</v>
      </c>
      <c r="O3900" t="str">
        <f t="shared" si="182"/>
        <v>N/A</v>
      </c>
      <c r="P3900" t="str">
        <f>VLOOKUP(E3900,calculated_fields!$F$4:$G$6,2,FALSE)</f>
        <v>Demographics</v>
      </c>
    </row>
    <row r="3901" spans="1:16">
      <c r="A3901" t="s">
        <v>5341</v>
      </c>
      <c r="B3901" t="s">
        <v>5326</v>
      </c>
      <c r="C3901" t="s">
        <v>130</v>
      </c>
      <c r="D3901">
        <v>1967</v>
      </c>
      <c r="E3901" t="s">
        <v>29</v>
      </c>
      <c r="F3901" t="s">
        <v>30</v>
      </c>
      <c r="G3901" t="s">
        <v>31</v>
      </c>
      <c r="H3901" t="s">
        <v>32</v>
      </c>
      <c r="I3901">
        <v>1384.8405929999999</v>
      </c>
      <c r="J3901" t="s">
        <v>33</v>
      </c>
      <c r="K3901" t="s">
        <v>5339</v>
      </c>
      <c r="L3901" t="s">
        <v>21</v>
      </c>
      <c r="M3901" t="str">
        <f t="shared" si="180"/>
        <v>OK</v>
      </c>
      <c r="N3901" t="str">
        <f t="shared" si="181"/>
        <v>1960s</v>
      </c>
      <c r="O3901" t="str">
        <f t="shared" si="182"/>
        <v>N/A</v>
      </c>
      <c r="P3901" t="str">
        <f>VLOOKUP(E3901,calculated_fields!$F$4:$G$6,2,FALSE)</f>
        <v>Economy</v>
      </c>
    </row>
    <row r="3902" spans="1:16">
      <c r="A3902" t="s">
        <v>5342</v>
      </c>
      <c r="B3902" t="s">
        <v>5326</v>
      </c>
      <c r="C3902" t="s">
        <v>130</v>
      </c>
      <c r="D3902">
        <v>1972</v>
      </c>
      <c r="E3902" t="s">
        <v>15</v>
      </c>
      <c r="F3902" t="s">
        <v>16</v>
      </c>
      <c r="G3902" t="s">
        <v>17</v>
      </c>
      <c r="H3902" t="s">
        <v>18</v>
      </c>
      <c r="I3902">
        <v>56.48</v>
      </c>
      <c r="J3902" t="s">
        <v>19</v>
      </c>
      <c r="K3902" t="s">
        <v>5343</v>
      </c>
      <c r="L3902" t="s">
        <v>21</v>
      </c>
      <c r="M3902" t="str">
        <f t="shared" si="180"/>
        <v>OK</v>
      </c>
      <c r="N3902" t="str">
        <f t="shared" si="181"/>
        <v>1970s</v>
      </c>
      <c r="O3902" t="str">
        <f t="shared" si="182"/>
        <v>Medium</v>
      </c>
      <c r="P3902" t="str">
        <f>VLOOKUP(E3902,calculated_fields!$F$4:$G$6,2,FALSE)</f>
        <v>Health</v>
      </c>
    </row>
    <row r="3903" spans="1:16">
      <c r="A3903" t="s">
        <v>5344</v>
      </c>
      <c r="B3903" t="s">
        <v>5326</v>
      </c>
      <c r="C3903" t="s">
        <v>130</v>
      </c>
      <c r="D3903">
        <v>1972</v>
      </c>
      <c r="E3903" t="s">
        <v>23</v>
      </c>
      <c r="F3903" t="s">
        <v>24</v>
      </c>
      <c r="G3903" t="s">
        <v>25</v>
      </c>
      <c r="H3903" t="s">
        <v>26</v>
      </c>
      <c r="I3903">
        <v>76595</v>
      </c>
      <c r="J3903" t="s">
        <v>27</v>
      </c>
      <c r="K3903" t="s">
        <v>5343</v>
      </c>
      <c r="L3903" t="s">
        <v>21</v>
      </c>
      <c r="M3903" t="str">
        <f t="shared" si="180"/>
        <v>OK</v>
      </c>
      <c r="N3903" t="str">
        <f t="shared" si="181"/>
        <v>1970s</v>
      </c>
      <c r="O3903" t="str">
        <f t="shared" si="182"/>
        <v>N/A</v>
      </c>
      <c r="P3903" t="str">
        <f>VLOOKUP(E3903,calculated_fields!$F$4:$G$6,2,FALSE)</f>
        <v>Demographics</v>
      </c>
    </row>
    <row r="3904" spans="1:16">
      <c r="A3904" t="s">
        <v>5345</v>
      </c>
      <c r="B3904" t="s">
        <v>5326</v>
      </c>
      <c r="C3904" t="s">
        <v>130</v>
      </c>
      <c r="D3904">
        <v>1972</v>
      </c>
      <c r="E3904" t="s">
        <v>29</v>
      </c>
      <c r="F3904" t="s">
        <v>30</v>
      </c>
      <c r="G3904" t="s">
        <v>31</v>
      </c>
      <c r="H3904" t="s">
        <v>32</v>
      </c>
      <c r="I3904">
        <v>1532.9852539999999</v>
      </c>
      <c r="J3904" t="s">
        <v>33</v>
      </c>
      <c r="K3904" t="s">
        <v>5343</v>
      </c>
      <c r="L3904" t="s">
        <v>21</v>
      </c>
      <c r="M3904" t="str">
        <f t="shared" si="180"/>
        <v>OK</v>
      </c>
      <c r="N3904" t="str">
        <f t="shared" si="181"/>
        <v>1970s</v>
      </c>
      <c r="O3904" t="str">
        <f t="shared" si="182"/>
        <v>N/A</v>
      </c>
      <c r="P3904" t="str">
        <f>VLOOKUP(E3904,calculated_fields!$F$4:$G$6,2,FALSE)</f>
        <v>Economy</v>
      </c>
    </row>
    <row r="3905" spans="1:16">
      <c r="A3905" t="s">
        <v>5346</v>
      </c>
      <c r="B3905" t="s">
        <v>5326</v>
      </c>
      <c r="C3905" t="s">
        <v>130</v>
      </c>
      <c r="D3905">
        <v>1977</v>
      </c>
      <c r="E3905" t="s">
        <v>15</v>
      </c>
      <c r="F3905" t="s">
        <v>16</v>
      </c>
      <c r="G3905" t="s">
        <v>17</v>
      </c>
      <c r="H3905" t="s">
        <v>18</v>
      </c>
      <c r="I3905">
        <v>58.55</v>
      </c>
      <c r="J3905" t="s">
        <v>19</v>
      </c>
      <c r="K3905" t="s">
        <v>5347</v>
      </c>
      <c r="L3905" t="s">
        <v>21</v>
      </c>
      <c r="M3905" t="str">
        <f t="shared" si="180"/>
        <v>OK</v>
      </c>
      <c r="N3905" t="str">
        <f t="shared" si="181"/>
        <v>1970s</v>
      </c>
      <c r="O3905" t="str">
        <f t="shared" si="182"/>
        <v>Medium</v>
      </c>
      <c r="P3905" t="str">
        <f>VLOOKUP(E3905,calculated_fields!$F$4:$G$6,2,FALSE)</f>
        <v>Health</v>
      </c>
    </row>
    <row r="3906" spans="1:16">
      <c r="A3906" t="s">
        <v>5348</v>
      </c>
      <c r="B3906" t="s">
        <v>5326</v>
      </c>
      <c r="C3906" t="s">
        <v>130</v>
      </c>
      <c r="D3906">
        <v>1977</v>
      </c>
      <c r="E3906" t="s">
        <v>23</v>
      </c>
      <c r="F3906" t="s">
        <v>24</v>
      </c>
      <c r="G3906" t="s">
        <v>25</v>
      </c>
      <c r="H3906" t="s">
        <v>26</v>
      </c>
      <c r="I3906">
        <v>86796</v>
      </c>
      <c r="J3906" t="s">
        <v>27</v>
      </c>
      <c r="K3906" t="s">
        <v>5347</v>
      </c>
      <c r="L3906" t="s">
        <v>21</v>
      </c>
      <c r="M3906" t="str">
        <f t="shared" ref="M3906:M3969" si="183">IF(AND(ISNUMBER(I3906),I3906&gt;=0),"OK","Review")</f>
        <v>OK</v>
      </c>
      <c r="N3906" t="str">
        <f t="shared" ref="N3906:N3969" si="184">FLOOR(D3906,10)&amp;"s"</f>
        <v>1970s</v>
      </c>
      <c r="O3906" t="str">
        <f t="shared" ref="O3906:O3969" si="185">IF(E3906="LIFE_EXP",IF(I3906&gt;=70,"High",IF(I3906&gt;=55,"Medium","Low")),"N/A")</f>
        <v>N/A</v>
      </c>
      <c r="P3906" t="str">
        <f>VLOOKUP(E3906,calculated_fields!$F$4:$G$6,2,FALSE)</f>
        <v>Demographics</v>
      </c>
    </row>
    <row r="3907" spans="1:16">
      <c r="A3907" t="s">
        <v>5349</v>
      </c>
      <c r="B3907" t="s">
        <v>5326</v>
      </c>
      <c r="C3907" t="s">
        <v>130</v>
      </c>
      <c r="D3907">
        <v>1977</v>
      </c>
      <c r="E3907" t="s">
        <v>29</v>
      </c>
      <c r="F3907" t="s">
        <v>30</v>
      </c>
      <c r="G3907" t="s">
        <v>31</v>
      </c>
      <c r="H3907" t="s">
        <v>32</v>
      </c>
      <c r="I3907">
        <v>1737.561657</v>
      </c>
      <c r="J3907" t="s">
        <v>33</v>
      </c>
      <c r="K3907" t="s">
        <v>5347</v>
      </c>
      <c r="L3907" t="s">
        <v>21</v>
      </c>
      <c r="M3907" t="str">
        <f t="shared" si="183"/>
        <v>OK</v>
      </c>
      <c r="N3907" t="str">
        <f t="shared" si="184"/>
        <v>1970s</v>
      </c>
      <c r="O3907" t="str">
        <f t="shared" si="185"/>
        <v>N/A</v>
      </c>
      <c r="P3907" t="str">
        <f>VLOOKUP(E3907,calculated_fields!$F$4:$G$6,2,FALSE)</f>
        <v>Economy</v>
      </c>
    </row>
    <row r="3908" spans="1:16">
      <c r="A3908" t="s">
        <v>5350</v>
      </c>
      <c r="B3908" t="s">
        <v>5326</v>
      </c>
      <c r="C3908" t="s">
        <v>130</v>
      </c>
      <c r="D3908">
        <v>1982</v>
      </c>
      <c r="E3908" t="s">
        <v>15</v>
      </c>
      <c r="F3908" t="s">
        <v>16</v>
      </c>
      <c r="G3908" t="s">
        <v>17</v>
      </c>
      <c r="H3908" t="s">
        <v>18</v>
      </c>
      <c r="I3908">
        <v>60.350999999999999</v>
      </c>
      <c r="J3908" t="s">
        <v>19</v>
      </c>
      <c r="K3908" t="s">
        <v>5351</v>
      </c>
      <c r="L3908" t="s">
        <v>21</v>
      </c>
      <c r="M3908" t="str">
        <f t="shared" si="183"/>
        <v>OK</v>
      </c>
      <c r="N3908" t="str">
        <f t="shared" si="184"/>
        <v>1980s</v>
      </c>
      <c r="O3908" t="str">
        <f t="shared" si="185"/>
        <v>Medium</v>
      </c>
      <c r="P3908" t="str">
        <f>VLOOKUP(E3908,calculated_fields!$F$4:$G$6,2,FALSE)</f>
        <v>Health</v>
      </c>
    </row>
    <row r="3909" spans="1:16">
      <c r="A3909" t="s">
        <v>5352</v>
      </c>
      <c r="B3909" t="s">
        <v>5326</v>
      </c>
      <c r="C3909" t="s">
        <v>130</v>
      </c>
      <c r="D3909">
        <v>1982</v>
      </c>
      <c r="E3909" t="s">
        <v>23</v>
      </c>
      <c r="F3909" t="s">
        <v>24</v>
      </c>
      <c r="G3909" t="s">
        <v>25</v>
      </c>
      <c r="H3909" t="s">
        <v>26</v>
      </c>
      <c r="I3909">
        <v>98593</v>
      </c>
      <c r="J3909" t="s">
        <v>27</v>
      </c>
      <c r="K3909" t="s">
        <v>5351</v>
      </c>
      <c r="L3909" t="s">
        <v>21</v>
      </c>
      <c r="M3909" t="str">
        <f t="shared" si="183"/>
        <v>OK</v>
      </c>
      <c r="N3909" t="str">
        <f t="shared" si="184"/>
        <v>1980s</v>
      </c>
      <c r="O3909" t="str">
        <f t="shared" si="185"/>
        <v>N/A</v>
      </c>
      <c r="P3909" t="str">
        <f>VLOOKUP(E3909,calculated_fields!$F$4:$G$6,2,FALSE)</f>
        <v>Demographics</v>
      </c>
    </row>
    <row r="3910" spans="1:16">
      <c r="A3910" t="s">
        <v>5353</v>
      </c>
      <c r="B3910" t="s">
        <v>5326</v>
      </c>
      <c r="C3910" t="s">
        <v>130</v>
      </c>
      <c r="D3910">
        <v>1982</v>
      </c>
      <c r="E3910" t="s">
        <v>29</v>
      </c>
      <c r="F3910" t="s">
        <v>30</v>
      </c>
      <c r="G3910" t="s">
        <v>31</v>
      </c>
      <c r="H3910" t="s">
        <v>32</v>
      </c>
      <c r="I3910">
        <v>1890.2181169999999</v>
      </c>
      <c r="J3910" t="s">
        <v>33</v>
      </c>
      <c r="K3910" t="s">
        <v>5351</v>
      </c>
      <c r="L3910" t="s">
        <v>21</v>
      </c>
      <c r="M3910" t="str">
        <f t="shared" si="183"/>
        <v>OK</v>
      </c>
      <c r="N3910" t="str">
        <f t="shared" si="184"/>
        <v>1980s</v>
      </c>
      <c r="O3910" t="str">
        <f t="shared" si="185"/>
        <v>N/A</v>
      </c>
      <c r="P3910" t="str">
        <f>VLOOKUP(E3910,calculated_fields!$F$4:$G$6,2,FALSE)</f>
        <v>Economy</v>
      </c>
    </row>
    <row r="3911" spans="1:16">
      <c r="A3911" t="s">
        <v>5354</v>
      </c>
      <c r="B3911" t="s">
        <v>5326</v>
      </c>
      <c r="C3911" t="s">
        <v>130</v>
      </c>
      <c r="D3911">
        <v>1987</v>
      </c>
      <c r="E3911" t="s">
        <v>15</v>
      </c>
      <c r="F3911" t="s">
        <v>16</v>
      </c>
      <c r="G3911" t="s">
        <v>17</v>
      </c>
      <c r="H3911" t="s">
        <v>18</v>
      </c>
      <c r="I3911">
        <v>61.728000000000002</v>
      </c>
      <c r="J3911" t="s">
        <v>19</v>
      </c>
      <c r="K3911" t="s">
        <v>5355</v>
      </c>
      <c r="L3911" t="s">
        <v>21</v>
      </c>
      <c r="M3911" t="str">
        <f t="shared" si="183"/>
        <v>OK</v>
      </c>
      <c r="N3911" t="str">
        <f t="shared" si="184"/>
        <v>1980s</v>
      </c>
      <c r="O3911" t="str">
        <f t="shared" si="185"/>
        <v>Medium</v>
      </c>
      <c r="P3911" t="str">
        <f>VLOOKUP(E3911,calculated_fields!$F$4:$G$6,2,FALSE)</f>
        <v>Health</v>
      </c>
    </row>
    <row r="3912" spans="1:16">
      <c r="A3912" t="s">
        <v>5356</v>
      </c>
      <c r="B3912" t="s">
        <v>5326</v>
      </c>
      <c r="C3912" t="s">
        <v>130</v>
      </c>
      <c r="D3912">
        <v>1987</v>
      </c>
      <c r="E3912" t="s">
        <v>23</v>
      </c>
      <c r="F3912" t="s">
        <v>24</v>
      </c>
      <c r="G3912" t="s">
        <v>25</v>
      </c>
      <c r="H3912" t="s">
        <v>26</v>
      </c>
      <c r="I3912">
        <v>110812</v>
      </c>
      <c r="J3912" t="s">
        <v>27</v>
      </c>
      <c r="K3912" t="s">
        <v>5355</v>
      </c>
      <c r="L3912" t="s">
        <v>21</v>
      </c>
      <c r="M3912" t="str">
        <f t="shared" si="183"/>
        <v>OK</v>
      </c>
      <c r="N3912" t="str">
        <f t="shared" si="184"/>
        <v>1980s</v>
      </c>
      <c r="O3912" t="str">
        <f t="shared" si="185"/>
        <v>N/A</v>
      </c>
      <c r="P3912" t="str">
        <f>VLOOKUP(E3912,calculated_fields!$F$4:$G$6,2,FALSE)</f>
        <v>Demographics</v>
      </c>
    </row>
    <row r="3913" spans="1:16">
      <c r="A3913" t="s">
        <v>5357</v>
      </c>
      <c r="B3913" t="s">
        <v>5326</v>
      </c>
      <c r="C3913" t="s">
        <v>130</v>
      </c>
      <c r="D3913">
        <v>1987</v>
      </c>
      <c r="E3913" t="s">
        <v>29</v>
      </c>
      <c r="F3913" t="s">
        <v>30</v>
      </c>
      <c r="G3913" t="s">
        <v>31</v>
      </c>
      <c r="H3913" t="s">
        <v>32</v>
      </c>
      <c r="I3913">
        <v>1516.525457</v>
      </c>
      <c r="J3913" t="s">
        <v>33</v>
      </c>
      <c r="K3913" t="s">
        <v>5355</v>
      </c>
      <c r="L3913" t="s">
        <v>21</v>
      </c>
      <c r="M3913" t="str">
        <f t="shared" si="183"/>
        <v>OK</v>
      </c>
      <c r="N3913" t="str">
        <f t="shared" si="184"/>
        <v>1980s</v>
      </c>
      <c r="O3913" t="str">
        <f t="shared" si="185"/>
        <v>N/A</v>
      </c>
      <c r="P3913" t="str">
        <f>VLOOKUP(E3913,calculated_fields!$F$4:$G$6,2,FALSE)</f>
        <v>Economy</v>
      </c>
    </row>
    <row r="3914" spans="1:16">
      <c r="A3914" t="s">
        <v>5358</v>
      </c>
      <c r="B3914" t="s">
        <v>5326</v>
      </c>
      <c r="C3914" t="s">
        <v>130</v>
      </c>
      <c r="D3914">
        <v>1992</v>
      </c>
      <c r="E3914" t="s">
        <v>15</v>
      </c>
      <c r="F3914" t="s">
        <v>16</v>
      </c>
      <c r="G3914" t="s">
        <v>17</v>
      </c>
      <c r="H3914" t="s">
        <v>18</v>
      </c>
      <c r="I3914">
        <v>62.741999999999997</v>
      </c>
      <c r="J3914" t="s">
        <v>19</v>
      </c>
      <c r="K3914" t="s">
        <v>5359</v>
      </c>
      <c r="L3914" t="s">
        <v>21</v>
      </c>
      <c r="M3914" t="str">
        <f t="shared" si="183"/>
        <v>OK</v>
      </c>
      <c r="N3914" t="str">
        <f t="shared" si="184"/>
        <v>1990s</v>
      </c>
      <c r="O3914" t="str">
        <f t="shared" si="185"/>
        <v>Medium</v>
      </c>
      <c r="P3914" t="str">
        <f>VLOOKUP(E3914,calculated_fields!$F$4:$G$6,2,FALSE)</f>
        <v>Health</v>
      </c>
    </row>
    <row r="3915" spans="1:16">
      <c r="A3915" t="s">
        <v>5360</v>
      </c>
      <c r="B3915" t="s">
        <v>5326</v>
      </c>
      <c r="C3915" t="s">
        <v>130</v>
      </c>
      <c r="D3915">
        <v>1992</v>
      </c>
      <c r="E3915" t="s">
        <v>23</v>
      </c>
      <c r="F3915" t="s">
        <v>24</v>
      </c>
      <c r="G3915" t="s">
        <v>25</v>
      </c>
      <c r="H3915" t="s">
        <v>26</v>
      </c>
      <c r="I3915">
        <v>125911</v>
      </c>
      <c r="J3915" t="s">
        <v>27</v>
      </c>
      <c r="K3915" t="s">
        <v>5359</v>
      </c>
      <c r="L3915" t="s">
        <v>21</v>
      </c>
      <c r="M3915" t="str">
        <f t="shared" si="183"/>
        <v>OK</v>
      </c>
      <c r="N3915" t="str">
        <f t="shared" si="184"/>
        <v>1990s</v>
      </c>
      <c r="O3915" t="str">
        <f t="shared" si="185"/>
        <v>N/A</v>
      </c>
      <c r="P3915" t="str">
        <f>VLOOKUP(E3915,calculated_fields!$F$4:$G$6,2,FALSE)</f>
        <v>Demographics</v>
      </c>
    </row>
    <row r="3916" spans="1:16">
      <c r="A3916" t="s">
        <v>5361</v>
      </c>
      <c r="B3916" t="s">
        <v>5326</v>
      </c>
      <c r="C3916" t="s">
        <v>130</v>
      </c>
      <c r="D3916">
        <v>1992</v>
      </c>
      <c r="E3916" t="s">
        <v>29</v>
      </c>
      <c r="F3916" t="s">
        <v>30</v>
      </c>
      <c r="G3916" t="s">
        <v>31</v>
      </c>
      <c r="H3916" t="s">
        <v>32</v>
      </c>
      <c r="I3916">
        <v>1428.777814</v>
      </c>
      <c r="J3916" t="s">
        <v>33</v>
      </c>
      <c r="K3916" t="s">
        <v>5359</v>
      </c>
      <c r="L3916" t="s">
        <v>21</v>
      </c>
      <c r="M3916" t="str">
        <f t="shared" si="183"/>
        <v>OK</v>
      </c>
      <c r="N3916" t="str">
        <f t="shared" si="184"/>
        <v>1990s</v>
      </c>
      <c r="O3916" t="str">
        <f t="shared" si="185"/>
        <v>N/A</v>
      </c>
      <c r="P3916" t="str">
        <f>VLOOKUP(E3916,calculated_fields!$F$4:$G$6,2,FALSE)</f>
        <v>Economy</v>
      </c>
    </row>
    <row r="3917" spans="1:16">
      <c r="A3917" t="s">
        <v>5362</v>
      </c>
      <c r="B3917" t="s">
        <v>5326</v>
      </c>
      <c r="C3917" t="s">
        <v>130</v>
      </c>
      <c r="D3917">
        <v>1997</v>
      </c>
      <c r="E3917" t="s">
        <v>15</v>
      </c>
      <c r="F3917" t="s">
        <v>16</v>
      </c>
      <c r="G3917" t="s">
        <v>17</v>
      </c>
      <c r="H3917" t="s">
        <v>18</v>
      </c>
      <c r="I3917">
        <v>63.305999999999997</v>
      </c>
      <c r="J3917" t="s">
        <v>19</v>
      </c>
      <c r="K3917" t="s">
        <v>5363</v>
      </c>
      <c r="L3917" t="s">
        <v>21</v>
      </c>
      <c r="M3917" t="str">
        <f t="shared" si="183"/>
        <v>OK</v>
      </c>
      <c r="N3917" t="str">
        <f t="shared" si="184"/>
        <v>1990s</v>
      </c>
      <c r="O3917" t="str">
        <f t="shared" si="185"/>
        <v>Medium</v>
      </c>
      <c r="P3917" t="str">
        <f>VLOOKUP(E3917,calculated_fields!$F$4:$G$6,2,FALSE)</f>
        <v>Health</v>
      </c>
    </row>
    <row r="3918" spans="1:16">
      <c r="A3918" t="s">
        <v>5364</v>
      </c>
      <c r="B3918" t="s">
        <v>5326</v>
      </c>
      <c r="C3918" t="s">
        <v>130</v>
      </c>
      <c r="D3918">
        <v>1997</v>
      </c>
      <c r="E3918" t="s">
        <v>23</v>
      </c>
      <c r="F3918" t="s">
        <v>24</v>
      </c>
      <c r="G3918" t="s">
        <v>25</v>
      </c>
      <c r="H3918" t="s">
        <v>26</v>
      </c>
      <c r="I3918">
        <v>145608</v>
      </c>
      <c r="J3918" t="s">
        <v>27</v>
      </c>
      <c r="K3918" t="s">
        <v>5363</v>
      </c>
      <c r="L3918" t="s">
        <v>21</v>
      </c>
      <c r="M3918" t="str">
        <f t="shared" si="183"/>
        <v>OK</v>
      </c>
      <c r="N3918" t="str">
        <f t="shared" si="184"/>
        <v>1990s</v>
      </c>
      <c r="O3918" t="str">
        <f t="shared" si="185"/>
        <v>N/A</v>
      </c>
      <c r="P3918" t="str">
        <f>VLOOKUP(E3918,calculated_fields!$F$4:$G$6,2,FALSE)</f>
        <v>Demographics</v>
      </c>
    </row>
    <row r="3919" spans="1:16">
      <c r="A3919" t="s">
        <v>5365</v>
      </c>
      <c r="B3919" t="s">
        <v>5326</v>
      </c>
      <c r="C3919" t="s">
        <v>130</v>
      </c>
      <c r="D3919">
        <v>1997</v>
      </c>
      <c r="E3919" t="s">
        <v>29</v>
      </c>
      <c r="F3919" t="s">
        <v>30</v>
      </c>
      <c r="G3919" t="s">
        <v>31</v>
      </c>
      <c r="H3919" t="s">
        <v>32</v>
      </c>
      <c r="I3919">
        <v>1339.0760359999999</v>
      </c>
      <c r="J3919" t="s">
        <v>33</v>
      </c>
      <c r="K3919" t="s">
        <v>5363</v>
      </c>
      <c r="L3919" t="s">
        <v>21</v>
      </c>
      <c r="M3919" t="str">
        <f t="shared" si="183"/>
        <v>OK</v>
      </c>
      <c r="N3919" t="str">
        <f t="shared" si="184"/>
        <v>1990s</v>
      </c>
      <c r="O3919" t="str">
        <f t="shared" si="185"/>
        <v>N/A</v>
      </c>
      <c r="P3919" t="str">
        <f>VLOOKUP(E3919,calculated_fields!$F$4:$G$6,2,FALSE)</f>
        <v>Economy</v>
      </c>
    </row>
    <row r="3920" spans="1:16">
      <c r="A3920" t="s">
        <v>5366</v>
      </c>
      <c r="B3920" t="s">
        <v>5326</v>
      </c>
      <c r="C3920" t="s">
        <v>130</v>
      </c>
      <c r="D3920">
        <v>2002</v>
      </c>
      <c r="E3920" t="s">
        <v>15</v>
      </c>
      <c r="F3920" t="s">
        <v>16</v>
      </c>
      <c r="G3920" t="s">
        <v>17</v>
      </c>
      <c r="H3920" t="s">
        <v>18</v>
      </c>
      <c r="I3920">
        <v>64.337000000000003</v>
      </c>
      <c r="J3920" t="s">
        <v>19</v>
      </c>
      <c r="K3920" t="s">
        <v>5367</v>
      </c>
      <c r="L3920" t="s">
        <v>21</v>
      </c>
      <c r="M3920" t="str">
        <f t="shared" si="183"/>
        <v>OK</v>
      </c>
      <c r="N3920" t="str">
        <f t="shared" si="184"/>
        <v>2000s</v>
      </c>
      <c r="O3920" t="str">
        <f t="shared" si="185"/>
        <v>Medium</v>
      </c>
      <c r="P3920" t="str">
        <f>VLOOKUP(E3920,calculated_fields!$F$4:$G$6,2,FALSE)</f>
        <v>Health</v>
      </c>
    </row>
    <row r="3921" spans="1:16">
      <c r="A3921" t="s">
        <v>5368</v>
      </c>
      <c r="B3921" t="s">
        <v>5326</v>
      </c>
      <c r="C3921" t="s">
        <v>130</v>
      </c>
      <c r="D3921">
        <v>2002</v>
      </c>
      <c r="E3921" t="s">
        <v>23</v>
      </c>
      <c r="F3921" t="s">
        <v>24</v>
      </c>
      <c r="G3921" t="s">
        <v>25</v>
      </c>
      <c r="H3921" t="s">
        <v>26</v>
      </c>
      <c r="I3921">
        <v>170372</v>
      </c>
      <c r="J3921" t="s">
        <v>27</v>
      </c>
      <c r="K3921" t="s">
        <v>5367</v>
      </c>
      <c r="L3921" t="s">
        <v>21</v>
      </c>
      <c r="M3921" t="str">
        <f t="shared" si="183"/>
        <v>OK</v>
      </c>
      <c r="N3921" t="str">
        <f t="shared" si="184"/>
        <v>2000s</v>
      </c>
      <c r="O3921" t="str">
        <f t="shared" si="185"/>
        <v>N/A</v>
      </c>
      <c r="P3921" t="str">
        <f>VLOOKUP(E3921,calculated_fields!$F$4:$G$6,2,FALSE)</f>
        <v>Demographics</v>
      </c>
    </row>
    <row r="3922" spans="1:16">
      <c r="A3922" t="s">
        <v>5369</v>
      </c>
      <c r="B3922" t="s">
        <v>5326</v>
      </c>
      <c r="C3922" t="s">
        <v>130</v>
      </c>
      <c r="D3922">
        <v>2002</v>
      </c>
      <c r="E3922" t="s">
        <v>29</v>
      </c>
      <c r="F3922" t="s">
        <v>30</v>
      </c>
      <c r="G3922" t="s">
        <v>31</v>
      </c>
      <c r="H3922" t="s">
        <v>32</v>
      </c>
      <c r="I3922">
        <v>1353.09239</v>
      </c>
      <c r="J3922" t="s">
        <v>33</v>
      </c>
      <c r="K3922" t="s">
        <v>5367</v>
      </c>
      <c r="L3922" t="s">
        <v>21</v>
      </c>
      <c r="M3922" t="str">
        <f t="shared" si="183"/>
        <v>OK</v>
      </c>
      <c r="N3922" t="str">
        <f t="shared" si="184"/>
        <v>2000s</v>
      </c>
      <c r="O3922" t="str">
        <f t="shared" si="185"/>
        <v>N/A</v>
      </c>
      <c r="P3922" t="str">
        <f>VLOOKUP(E3922,calculated_fields!$F$4:$G$6,2,FALSE)</f>
        <v>Economy</v>
      </c>
    </row>
    <row r="3923" spans="1:16">
      <c r="A3923" t="s">
        <v>5370</v>
      </c>
      <c r="B3923" t="s">
        <v>5326</v>
      </c>
      <c r="C3923" t="s">
        <v>130</v>
      </c>
      <c r="D3923">
        <v>2007</v>
      </c>
      <c r="E3923" t="s">
        <v>15</v>
      </c>
      <c r="F3923" t="s">
        <v>16</v>
      </c>
      <c r="G3923" t="s">
        <v>17</v>
      </c>
      <c r="H3923" t="s">
        <v>18</v>
      </c>
      <c r="I3923">
        <v>65.528000000000006</v>
      </c>
      <c r="J3923" t="s">
        <v>19</v>
      </c>
      <c r="K3923" t="s">
        <v>5371</v>
      </c>
      <c r="L3923" t="s">
        <v>21</v>
      </c>
      <c r="M3923" t="str">
        <f t="shared" si="183"/>
        <v>OK</v>
      </c>
      <c r="N3923" t="str">
        <f t="shared" si="184"/>
        <v>2000s</v>
      </c>
      <c r="O3923" t="str">
        <f t="shared" si="185"/>
        <v>Medium</v>
      </c>
      <c r="P3923" t="str">
        <f>VLOOKUP(E3923,calculated_fields!$F$4:$G$6,2,FALSE)</f>
        <v>Health</v>
      </c>
    </row>
    <row r="3924" spans="1:16">
      <c r="A3924" t="s">
        <v>5372</v>
      </c>
      <c r="B3924" t="s">
        <v>5326</v>
      </c>
      <c r="C3924" t="s">
        <v>130</v>
      </c>
      <c r="D3924">
        <v>2007</v>
      </c>
      <c r="E3924" t="s">
        <v>23</v>
      </c>
      <c r="F3924" t="s">
        <v>24</v>
      </c>
      <c r="G3924" t="s">
        <v>25</v>
      </c>
      <c r="H3924" t="s">
        <v>26</v>
      </c>
      <c r="I3924">
        <v>199579</v>
      </c>
      <c r="J3924" t="s">
        <v>27</v>
      </c>
      <c r="K3924" t="s">
        <v>5371</v>
      </c>
      <c r="L3924" t="s">
        <v>21</v>
      </c>
      <c r="M3924" t="str">
        <f t="shared" si="183"/>
        <v>OK</v>
      </c>
      <c r="N3924" t="str">
        <f t="shared" si="184"/>
        <v>2000s</v>
      </c>
      <c r="O3924" t="str">
        <f t="shared" si="185"/>
        <v>N/A</v>
      </c>
      <c r="P3924" t="str">
        <f>VLOOKUP(E3924,calculated_fields!$F$4:$G$6,2,FALSE)</f>
        <v>Demographics</v>
      </c>
    </row>
    <row r="3925" spans="1:16">
      <c r="A3925" t="s">
        <v>5373</v>
      </c>
      <c r="B3925" t="s">
        <v>5326</v>
      </c>
      <c r="C3925" t="s">
        <v>130</v>
      </c>
      <c r="D3925">
        <v>2007</v>
      </c>
      <c r="E3925" t="s">
        <v>29</v>
      </c>
      <c r="F3925" t="s">
        <v>30</v>
      </c>
      <c r="G3925" t="s">
        <v>31</v>
      </c>
      <c r="H3925" t="s">
        <v>32</v>
      </c>
      <c r="I3925">
        <v>1598.4350890000001</v>
      </c>
      <c r="J3925" t="s">
        <v>33</v>
      </c>
      <c r="K3925" t="s">
        <v>5371</v>
      </c>
      <c r="L3925" t="s">
        <v>21</v>
      </c>
      <c r="M3925" t="str">
        <f t="shared" si="183"/>
        <v>OK</v>
      </c>
      <c r="N3925" t="str">
        <f t="shared" si="184"/>
        <v>2000s</v>
      </c>
      <c r="O3925" t="str">
        <f t="shared" si="185"/>
        <v>N/A</v>
      </c>
      <c r="P3925" t="str">
        <f>VLOOKUP(E3925,calculated_fields!$F$4:$G$6,2,FALSE)</f>
        <v>Economy</v>
      </c>
    </row>
    <row r="3926" spans="1:16">
      <c r="A3926" t="s">
        <v>5374</v>
      </c>
      <c r="B3926" t="s">
        <v>5375</v>
      </c>
      <c r="C3926" t="s">
        <v>14</v>
      </c>
      <c r="D3926">
        <v>1952</v>
      </c>
      <c r="E3926" t="s">
        <v>15</v>
      </c>
      <c r="F3926" t="s">
        <v>16</v>
      </c>
      <c r="G3926" t="s">
        <v>17</v>
      </c>
      <c r="H3926" t="s">
        <v>18</v>
      </c>
      <c r="I3926">
        <v>39.875</v>
      </c>
      <c r="J3926" t="s">
        <v>19</v>
      </c>
      <c r="K3926" t="s">
        <v>5376</v>
      </c>
      <c r="L3926" t="s">
        <v>21</v>
      </c>
      <c r="M3926" t="str">
        <f t="shared" si="183"/>
        <v>OK</v>
      </c>
      <c r="N3926" t="str">
        <f t="shared" si="184"/>
        <v>1950s</v>
      </c>
      <c r="O3926" t="str">
        <f t="shared" si="185"/>
        <v>Low</v>
      </c>
      <c r="P3926" t="str">
        <f>VLOOKUP(E3926,calculated_fields!$F$4:$G$6,2,FALSE)</f>
        <v>Health</v>
      </c>
    </row>
    <row r="3927" spans="1:16">
      <c r="A3927" t="s">
        <v>5377</v>
      </c>
      <c r="B3927" t="s">
        <v>5375</v>
      </c>
      <c r="C3927" t="s">
        <v>14</v>
      </c>
      <c r="D3927">
        <v>1952</v>
      </c>
      <c r="E3927" t="s">
        <v>23</v>
      </c>
      <c r="F3927" t="s">
        <v>24</v>
      </c>
      <c r="G3927" t="s">
        <v>25</v>
      </c>
      <c r="H3927" t="s">
        <v>26</v>
      </c>
      <c r="I3927">
        <v>4005677</v>
      </c>
      <c r="J3927" t="s">
        <v>27</v>
      </c>
      <c r="K3927" t="s">
        <v>5376</v>
      </c>
      <c r="L3927" t="s">
        <v>21</v>
      </c>
      <c r="M3927" t="str">
        <f t="shared" si="183"/>
        <v>OK</v>
      </c>
      <c r="N3927" t="str">
        <f t="shared" si="184"/>
        <v>1950s</v>
      </c>
      <c r="O3927" t="str">
        <f t="shared" si="185"/>
        <v>N/A</v>
      </c>
      <c r="P3927" t="str">
        <f>VLOOKUP(E3927,calculated_fields!$F$4:$G$6,2,FALSE)</f>
        <v>Demographics</v>
      </c>
    </row>
    <row r="3928" spans="1:16">
      <c r="A3928" t="s">
        <v>5378</v>
      </c>
      <c r="B3928" t="s">
        <v>5375</v>
      </c>
      <c r="C3928" t="s">
        <v>14</v>
      </c>
      <c r="D3928">
        <v>1952</v>
      </c>
      <c r="E3928" t="s">
        <v>29</v>
      </c>
      <c r="F3928" t="s">
        <v>30</v>
      </c>
      <c r="G3928" t="s">
        <v>31</v>
      </c>
      <c r="H3928" t="s">
        <v>32</v>
      </c>
      <c r="I3928">
        <v>6459.5548230000004</v>
      </c>
      <c r="J3928" t="s">
        <v>33</v>
      </c>
      <c r="K3928" t="s">
        <v>5376</v>
      </c>
      <c r="L3928" t="s">
        <v>21</v>
      </c>
      <c r="M3928" t="str">
        <f t="shared" si="183"/>
        <v>OK</v>
      </c>
      <c r="N3928" t="str">
        <f t="shared" si="184"/>
        <v>1950s</v>
      </c>
      <c r="O3928" t="str">
        <f t="shared" si="185"/>
        <v>N/A</v>
      </c>
      <c r="P3928" t="str">
        <f>VLOOKUP(E3928,calculated_fields!$F$4:$G$6,2,FALSE)</f>
        <v>Economy</v>
      </c>
    </row>
    <row r="3929" spans="1:16">
      <c r="A3929" t="s">
        <v>5379</v>
      </c>
      <c r="B3929" t="s">
        <v>5375</v>
      </c>
      <c r="C3929" t="s">
        <v>14</v>
      </c>
      <c r="D3929">
        <v>1957</v>
      </c>
      <c r="E3929" t="s">
        <v>15</v>
      </c>
      <c r="F3929" t="s">
        <v>16</v>
      </c>
      <c r="G3929" t="s">
        <v>17</v>
      </c>
      <c r="H3929" t="s">
        <v>18</v>
      </c>
      <c r="I3929">
        <v>42.868000000000002</v>
      </c>
      <c r="J3929" t="s">
        <v>19</v>
      </c>
      <c r="K3929" t="s">
        <v>5380</v>
      </c>
      <c r="L3929" t="s">
        <v>21</v>
      </c>
      <c r="M3929" t="str">
        <f t="shared" si="183"/>
        <v>OK</v>
      </c>
      <c r="N3929" t="str">
        <f t="shared" si="184"/>
        <v>1950s</v>
      </c>
      <c r="O3929" t="str">
        <f t="shared" si="185"/>
        <v>Low</v>
      </c>
      <c r="P3929" t="str">
        <f>VLOOKUP(E3929,calculated_fields!$F$4:$G$6,2,FALSE)</f>
        <v>Health</v>
      </c>
    </row>
    <row r="3930" spans="1:16">
      <c r="A3930" t="s">
        <v>5381</v>
      </c>
      <c r="B3930" t="s">
        <v>5375</v>
      </c>
      <c r="C3930" t="s">
        <v>14</v>
      </c>
      <c r="D3930">
        <v>1957</v>
      </c>
      <c r="E3930" t="s">
        <v>23</v>
      </c>
      <c r="F3930" t="s">
        <v>24</v>
      </c>
      <c r="G3930" t="s">
        <v>25</v>
      </c>
      <c r="H3930" t="s">
        <v>26</v>
      </c>
      <c r="I3930">
        <v>4419650</v>
      </c>
      <c r="J3930" t="s">
        <v>27</v>
      </c>
      <c r="K3930" t="s">
        <v>5380</v>
      </c>
      <c r="L3930" t="s">
        <v>21</v>
      </c>
      <c r="M3930" t="str">
        <f t="shared" si="183"/>
        <v>OK</v>
      </c>
      <c r="N3930" t="str">
        <f t="shared" si="184"/>
        <v>1950s</v>
      </c>
      <c r="O3930" t="str">
        <f t="shared" si="185"/>
        <v>N/A</v>
      </c>
      <c r="P3930" t="str">
        <f>VLOOKUP(E3930,calculated_fields!$F$4:$G$6,2,FALSE)</f>
        <v>Demographics</v>
      </c>
    </row>
    <row r="3931" spans="1:16">
      <c r="A3931" t="s">
        <v>5382</v>
      </c>
      <c r="B3931" t="s">
        <v>5375</v>
      </c>
      <c r="C3931" t="s">
        <v>14</v>
      </c>
      <c r="D3931">
        <v>1957</v>
      </c>
      <c r="E3931" t="s">
        <v>29</v>
      </c>
      <c r="F3931" t="s">
        <v>30</v>
      </c>
      <c r="G3931" t="s">
        <v>31</v>
      </c>
      <c r="H3931" t="s">
        <v>32</v>
      </c>
      <c r="I3931">
        <v>8157.5912479999997</v>
      </c>
      <c r="J3931" t="s">
        <v>33</v>
      </c>
      <c r="K3931" t="s">
        <v>5380</v>
      </c>
      <c r="L3931" t="s">
        <v>21</v>
      </c>
      <c r="M3931" t="str">
        <f t="shared" si="183"/>
        <v>OK</v>
      </c>
      <c r="N3931" t="str">
        <f t="shared" si="184"/>
        <v>1950s</v>
      </c>
      <c r="O3931" t="str">
        <f t="shared" si="185"/>
        <v>N/A</v>
      </c>
      <c r="P3931" t="str">
        <f>VLOOKUP(E3931,calculated_fields!$F$4:$G$6,2,FALSE)</f>
        <v>Economy</v>
      </c>
    </row>
    <row r="3932" spans="1:16">
      <c r="A3932" t="s">
        <v>5383</v>
      </c>
      <c r="B3932" t="s">
        <v>5375</v>
      </c>
      <c r="C3932" t="s">
        <v>14</v>
      </c>
      <c r="D3932">
        <v>1962</v>
      </c>
      <c r="E3932" t="s">
        <v>15</v>
      </c>
      <c r="F3932" t="s">
        <v>16</v>
      </c>
      <c r="G3932" t="s">
        <v>17</v>
      </c>
      <c r="H3932" t="s">
        <v>18</v>
      </c>
      <c r="I3932">
        <v>45.914000000000001</v>
      </c>
      <c r="J3932" t="s">
        <v>19</v>
      </c>
      <c r="K3932" t="s">
        <v>5384</v>
      </c>
      <c r="L3932" t="s">
        <v>21</v>
      </c>
      <c r="M3932" t="str">
        <f t="shared" si="183"/>
        <v>OK</v>
      </c>
      <c r="N3932" t="str">
        <f t="shared" si="184"/>
        <v>1960s</v>
      </c>
      <c r="O3932" t="str">
        <f t="shared" si="185"/>
        <v>Low</v>
      </c>
      <c r="P3932" t="str">
        <f>VLOOKUP(E3932,calculated_fields!$F$4:$G$6,2,FALSE)</f>
        <v>Health</v>
      </c>
    </row>
    <row r="3933" spans="1:16">
      <c r="A3933" t="s">
        <v>5385</v>
      </c>
      <c r="B3933" t="s">
        <v>5375</v>
      </c>
      <c r="C3933" t="s">
        <v>14</v>
      </c>
      <c r="D3933">
        <v>1962</v>
      </c>
      <c r="E3933" t="s">
        <v>23</v>
      </c>
      <c r="F3933" t="s">
        <v>24</v>
      </c>
      <c r="G3933" t="s">
        <v>25</v>
      </c>
      <c r="H3933" t="s">
        <v>26</v>
      </c>
      <c r="I3933">
        <v>4943029</v>
      </c>
      <c r="J3933" t="s">
        <v>27</v>
      </c>
      <c r="K3933" t="s">
        <v>5384</v>
      </c>
      <c r="L3933" t="s">
        <v>21</v>
      </c>
      <c r="M3933" t="str">
        <f t="shared" si="183"/>
        <v>OK</v>
      </c>
      <c r="N3933" t="str">
        <f t="shared" si="184"/>
        <v>1960s</v>
      </c>
      <c r="O3933" t="str">
        <f t="shared" si="185"/>
        <v>N/A</v>
      </c>
      <c r="P3933" t="str">
        <f>VLOOKUP(E3933,calculated_fields!$F$4:$G$6,2,FALSE)</f>
        <v>Demographics</v>
      </c>
    </row>
    <row r="3934" spans="1:16">
      <c r="A3934" t="s">
        <v>5386</v>
      </c>
      <c r="B3934" t="s">
        <v>5375</v>
      </c>
      <c r="C3934" t="s">
        <v>14</v>
      </c>
      <c r="D3934">
        <v>1962</v>
      </c>
      <c r="E3934" t="s">
        <v>29</v>
      </c>
      <c r="F3934" t="s">
        <v>30</v>
      </c>
      <c r="G3934" t="s">
        <v>31</v>
      </c>
      <c r="H3934" t="s">
        <v>32</v>
      </c>
      <c r="I3934">
        <v>11626.419749999999</v>
      </c>
      <c r="J3934" t="s">
        <v>33</v>
      </c>
      <c r="K3934" t="s">
        <v>5384</v>
      </c>
      <c r="L3934" t="s">
        <v>21</v>
      </c>
      <c r="M3934" t="str">
        <f t="shared" si="183"/>
        <v>OK</v>
      </c>
      <c r="N3934" t="str">
        <f t="shared" si="184"/>
        <v>1960s</v>
      </c>
      <c r="O3934" t="str">
        <f t="shared" si="185"/>
        <v>N/A</v>
      </c>
      <c r="P3934" t="str">
        <f>VLOOKUP(E3934,calculated_fields!$F$4:$G$6,2,FALSE)</f>
        <v>Economy</v>
      </c>
    </row>
    <row r="3935" spans="1:16">
      <c r="A3935" t="s">
        <v>5387</v>
      </c>
      <c r="B3935" t="s">
        <v>5375</v>
      </c>
      <c r="C3935" t="s">
        <v>14</v>
      </c>
      <c r="D3935">
        <v>1967</v>
      </c>
      <c r="E3935" t="s">
        <v>15</v>
      </c>
      <c r="F3935" t="s">
        <v>16</v>
      </c>
      <c r="G3935" t="s">
        <v>17</v>
      </c>
      <c r="H3935" t="s">
        <v>18</v>
      </c>
      <c r="I3935">
        <v>49.901000000000003</v>
      </c>
      <c r="J3935" t="s">
        <v>19</v>
      </c>
      <c r="K3935" t="s">
        <v>5388</v>
      </c>
      <c r="L3935" t="s">
        <v>21</v>
      </c>
      <c r="M3935" t="str">
        <f t="shared" si="183"/>
        <v>OK</v>
      </c>
      <c r="N3935" t="str">
        <f t="shared" si="184"/>
        <v>1960s</v>
      </c>
      <c r="O3935" t="str">
        <f t="shared" si="185"/>
        <v>Low</v>
      </c>
      <c r="P3935" t="str">
        <f>VLOOKUP(E3935,calculated_fields!$F$4:$G$6,2,FALSE)</f>
        <v>Health</v>
      </c>
    </row>
    <row r="3936" spans="1:16">
      <c r="A3936" t="s">
        <v>5389</v>
      </c>
      <c r="B3936" t="s">
        <v>5375</v>
      </c>
      <c r="C3936" t="s">
        <v>14</v>
      </c>
      <c r="D3936">
        <v>1967</v>
      </c>
      <c r="E3936" t="s">
        <v>23</v>
      </c>
      <c r="F3936" t="s">
        <v>24</v>
      </c>
      <c r="G3936" t="s">
        <v>25</v>
      </c>
      <c r="H3936" t="s">
        <v>26</v>
      </c>
      <c r="I3936">
        <v>5618198</v>
      </c>
      <c r="J3936" t="s">
        <v>27</v>
      </c>
      <c r="K3936" t="s">
        <v>5388</v>
      </c>
      <c r="L3936" t="s">
        <v>21</v>
      </c>
      <c r="M3936" t="str">
        <f t="shared" si="183"/>
        <v>OK</v>
      </c>
      <c r="N3936" t="str">
        <f t="shared" si="184"/>
        <v>1960s</v>
      </c>
      <c r="O3936" t="str">
        <f t="shared" si="185"/>
        <v>N/A</v>
      </c>
      <c r="P3936" t="str">
        <f>VLOOKUP(E3936,calculated_fields!$F$4:$G$6,2,FALSE)</f>
        <v>Demographics</v>
      </c>
    </row>
    <row r="3937" spans="1:16">
      <c r="A3937" t="s">
        <v>5390</v>
      </c>
      <c r="B3937" t="s">
        <v>5375</v>
      </c>
      <c r="C3937" t="s">
        <v>14</v>
      </c>
      <c r="D3937">
        <v>1967</v>
      </c>
      <c r="E3937" t="s">
        <v>29</v>
      </c>
      <c r="F3937" t="s">
        <v>30</v>
      </c>
      <c r="G3937" t="s">
        <v>31</v>
      </c>
      <c r="H3937" t="s">
        <v>32</v>
      </c>
      <c r="I3937">
        <v>16903.048859999999</v>
      </c>
      <c r="J3937" t="s">
        <v>33</v>
      </c>
      <c r="K3937" t="s">
        <v>5388</v>
      </c>
      <c r="L3937" t="s">
        <v>21</v>
      </c>
      <c r="M3937" t="str">
        <f t="shared" si="183"/>
        <v>OK</v>
      </c>
      <c r="N3937" t="str">
        <f t="shared" si="184"/>
        <v>1960s</v>
      </c>
      <c r="O3937" t="str">
        <f t="shared" si="185"/>
        <v>N/A</v>
      </c>
      <c r="P3937" t="str">
        <f>VLOOKUP(E3937,calculated_fields!$F$4:$G$6,2,FALSE)</f>
        <v>Economy</v>
      </c>
    </row>
    <row r="3938" spans="1:16">
      <c r="A3938" t="s">
        <v>5391</v>
      </c>
      <c r="B3938" t="s">
        <v>5375</v>
      </c>
      <c r="C3938" t="s">
        <v>14</v>
      </c>
      <c r="D3938">
        <v>1972</v>
      </c>
      <c r="E3938" t="s">
        <v>15</v>
      </c>
      <c r="F3938" t="s">
        <v>16</v>
      </c>
      <c r="G3938" t="s">
        <v>17</v>
      </c>
      <c r="H3938" t="s">
        <v>18</v>
      </c>
      <c r="I3938">
        <v>53.886000000000003</v>
      </c>
      <c r="J3938" t="s">
        <v>19</v>
      </c>
      <c r="K3938" t="s">
        <v>5392</v>
      </c>
      <c r="L3938" t="s">
        <v>21</v>
      </c>
      <c r="M3938" t="str">
        <f t="shared" si="183"/>
        <v>OK</v>
      </c>
      <c r="N3938" t="str">
        <f t="shared" si="184"/>
        <v>1970s</v>
      </c>
      <c r="O3938" t="str">
        <f t="shared" si="185"/>
        <v>Low</v>
      </c>
      <c r="P3938" t="str">
        <f>VLOOKUP(E3938,calculated_fields!$F$4:$G$6,2,FALSE)</f>
        <v>Health</v>
      </c>
    </row>
    <row r="3939" spans="1:16">
      <c r="A3939" t="s">
        <v>5393</v>
      </c>
      <c r="B3939" t="s">
        <v>5375</v>
      </c>
      <c r="C3939" t="s">
        <v>14</v>
      </c>
      <c r="D3939">
        <v>1972</v>
      </c>
      <c r="E3939" t="s">
        <v>23</v>
      </c>
      <c r="F3939" t="s">
        <v>24</v>
      </c>
      <c r="G3939" t="s">
        <v>25</v>
      </c>
      <c r="H3939" t="s">
        <v>26</v>
      </c>
      <c r="I3939">
        <v>6472756</v>
      </c>
      <c r="J3939" t="s">
        <v>27</v>
      </c>
      <c r="K3939" t="s">
        <v>5392</v>
      </c>
      <c r="L3939" t="s">
        <v>21</v>
      </c>
      <c r="M3939" t="str">
        <f t="shared" si="183"/>
        <v>OK</v>
      </c>
      <c r="N3939" t="str">
        <f t="shared" si="184"/>
        <v>1970s</v>
      </c>
      <c r="O3939" t="str">
        <f t="shared" si="185"/>
        <v>N/A</v>
      </c>
      <c r="P3939" t="str">
        <f>VLOOKUP(E3939,calculated_fields!$F$4:$G$6,2,FALSE)</f>
        <v>Demographics</v>
      </c>
    </row>
    <row r="3940" spans="1:16">
      <c r="A3940" t="s">
        <v>5394</v>
      </c>
      <c r="B3940" t="s">
        <v>5375</v>
      </c>
      <c r="C3940" t="s">
        <v>14</v>
      </c>
      <c r="D3940">
        <v>1972</v>
      </c>
      <c r="E3940" t="s">
        <v>29</v>
      </c>
      <c r="F3940" t="s">
        <v>30</v>
      </c>
      <c r="G3940" t="s">
        <v>31</v>
      </c>
      <c r="H3940" t="s">
        <v>32</v>
      </c>
      <c r="I3940">
        <v>24837.428650000002</v>
      </c>
      <c r="J3940" t="s">
        <v>33</v>
      </c>
      <c r="K3940" t="s">
        <v>5392</v>
      </c>
      <c r="L3940" t="s">
        <v>21</v>
      </c>
      <c r="M3940" t="str">
        <f t="shared" si="183"/>
        <v>OK</v>
      </c>
      <c r="N3940" t="str">
        <f t="shared" si="184"/>
        <v>1970s</v>
      </c>
      <c r="O3940" t="str">
        <f t="shared" si="185"/>
        <v>N/A</v>
      </c>
      <c r="P3940" t="str">
        <f>VLOOKUP(E3940,calculated_fields!$F$4:$G$6,2,FALSE)</f>
        <v>Economy</v>
      </c>
    </row>
    <row r="3941" spans="1:16">
      <c r="A3941" t="s">
        <v>5395</v>
      </c>
      <c r="B3941" t="s">
        <v>5375</v>
      </c>
      <c r="C3941" t="s">
        <v>14</v>
      </c>
      <c r="D3941">
        <v>1977</v>
      </c>
      <c r="E3941" t="s">
        <v>15</v>
      </c>
      <c r="F3941" t="s">
        <v>16</v>
      </c>
      <c r="G3941" t="s">
        <v>17</v>
      </c>
      <c r="H3941" t="s">
        <v>18</v>
      </c>
      <c r="I3941">
        <v>58.69</v>
      </c>
      <c r="J3941" t="s">
        <v>19</v>
      </c>
      <c r="K3941" t="s">
        <v>5396</v>
      </c>
      <c r="L3941" t="s">
        <v>21</v>
      </c>
      <c r="M3941" t="str">
        <f t="shared" si="183"/>
        <v>OK</v>
      </c>
      <c r="N3941" t="str">
        <f t="shared" si="184"/>
        <v>1970s</v>
      </c>
      <c r="O3941" t="str">
        <f t="shared" si="185"/>
        <v>Medium</v>
      </c>
      <c r="P3941" t="str">
        <f>VLOOKUP(E3941,calculated_fields!$F$4:$G$6,2,FALSE)</f>
        <v>Health</v>
      </c>
    </row>
    <row r="3942" spans="1:16">
      <c r="A3942" t="s">
        <v>5397</v>
      </c>
      <c r="B3942" t="s">
        <v>5375</v>
      </c>
      <c r="C3942" t="s">
        <v>14</v>
      </c>
      <c r="D3942">
        <v>1977</v>
      </c>
      <c r="E3942" t="s">
        <v>23</v>
      </c>
      <c r="F3942" t="s">
        <v>24</v>
      </c>
      <c r="G3942" t="s">
        <v>25</v>
      </c>
      <c r="H3942" t="s">
        <v>26</v>
      </c>
      <c r="I3942">
        <v>8128505</v>
      </c>
      <c r="J3942" t="s">
        <v>27</v>
      </c>
      <c r="K3942" t="s">
        <v>5396</v>
      </c>
      <c r="L3942" t="s">
        <v>21</v>
      </c>
      <c r="M3942" t="str">
        <f t="shared" si="183"/>
        <v>OK</v>
      </c>
      <c r="N3942" t="str">
        <f t="shared" si="184"/>
        <v>1970s</v>
      </c>
      <c r="O3942" t="str">
        <f t="shared" si="185"/>
        <v>N/A</v>
      </c>
      <c r="P3942" t="str">
        <f>VLOOKUP(E3942,calculated_fields!$F$4:$G$6,2,FALSE)</f>
        <v>Demographics</v>
      </c>
    </row>
    <row r="3943" spans="1:16">
      <c r="A3943" t="s">
        <v>5398</v>
      </c>
      <c r="B3943" t="s">
        <v>5375</v>
      </c>
      <c r="C3943" t="s">
        <v>14</v>
      </c>
      <c r="D3943">
        <v>1977</v>
      </c>
      <c r="E3943" t="s">
        <v>29</v>
      </c>
      <c r="F3943" t="s">
        <v>30</v>
      </c>
      <c r="G3943" t="s">
        <v>31</v>
      </c>
      <c r="H3943" t="s">
        <v>32</v>
      </c>
      <c r="I3943">
        <v>34167.762600000002</v>
      </c>
      <c r="J3943" t="s">
        <v>33</v>
      </c>
      <c r="K3943" t="s">
        <v>5396</v>
      </c>
      <c r="L3943" t="s">
        <v>21</v>
      </c>
      <c r="M3943" t="str">
        <f t="shared" si="183"/>
        <v>OK</v>
      </c>
      <c r="N3943" t="str">
        <f t="shared" si="184"/>
        <v>1970s</v>
      </c>
      <c r="O3943" t="str">
        <f t="shared" si="185"/>
        <v>N/A</v>
      </c>
      <c r="P3943" t="str">
        <f>VLOOKUP(E3943,calculated_fields!$F$4:$G$6,2,FALSE)</f>
        <v>Economy</v>
      </c>
    </row>
    <row r="3944" spans="1:16">
      <c r="A3944" t="s">
        <v>5399</v>
      </c>
      <c r="B3944" t="s">
        <v>5375</v>
      </c>
      <c r="C3944" t="s">
        <v>14</v>
      </c>
      <c r="D3944">
        <v>1982</v>
      </c>
      <c r="E3944" t="s">
        <v>15</v>
      </c>
      <c r="F3944" t="s">
        <v>16</v>
      </c>
      <c r="G3944" t="s">
        <v>17</v>
      </c>
      <c r="H3944" t="s">
        <v>18</v>
      </c>
      <c r="I3944">
        <v>63.012</v>
      </c>
      <c r="J3944" t="s">
        <v>19</v>
      </c>
      <c r="K3944" t="s">
        <v>5400</v>
      </c>
      <c r="L3944" t="s">
        <v>21</v>
      </c>
      <c r="M3944" t="str">
        <f t="shared" si="183"/>
        <v>OK</v>
      </c>
      <c r="N3944" t="str">
        <f t="shared" si="184"/>
        <v>1980s</v>
      </c>
      <c r="O3944" t="str">
        <f t="shared" si="185"/>
        <v>Medium</v>
      </c>
      <c r="P3944" t="str">
        <f>VLOOKUP(E3944,calculated_fields!$F$4:$G$6,2,FALSE)</f>
        <v>Health</v>
      </c>
    </row>
    <row r="3945" spans="1:16">
      <c r="A3945" t="s">
        <v>5401</v>
      </c>
      <c r="B3945" t="s">
        <v>5375</v>
      </c>
      <c r="C3945" t="s">
        <v>14</v>
      </c>
      <c r="D3945">
        <v>1982</v>
      </c>
      <c r="E3945" t="s">
        <v>23</v>
      </c>
      <c r="F3945" t="s">
        <v>24</v>
      </c>
      <c r="G3945" t="s">
        <v>25</v>
      </c>
      <c r="H3945" t="s">
        <v>26</v>
      </c>
      <c r="I3945">
        <v>11254672</v>
      </c>
      <c r="J3945" t="s">
        <v>27</v>
      </c>
      <c r="K3945" t="s">
        <v>5400</v>
      </c>
      <c r="L3945" t="s">
        <v>21</v>
      </c>
      <c r="M3945" t="str">
        <f t="shared" si="183"/>
        <v>OK</v>
      </c>
      <c r="N3945" t="str">
        <f t="shared" si="184"/>
        <v>1980s</v>
      </c>
      <c r="O3945" t="str">
        <f t="shared" si="185"/>
        <v>N/A</v>
      </c>
      <c r="P3945" t="str">
        <f>VLOOKUP(E3945,calculated_fields!$F$4:$G$6,2,FALSE)</f>
        <v>Demographics</v>
      </c>
    </row>
    <row r="3946" spans="1:16">
      <c r="A3946" t="s">
        <v>5402</v>
      </c>
      <c r="B3946" t="s">
        <v>5375</v>
      </c>
      <c r="C3946" t="s">
        <v>14</v>
      </c>
      <c r="D3946">
        <v>1982</v>
      </c>
      <c r="E3946" t="s">
        <v>29</v>
      </c>
      <c r="F3946" t="s">
        <v>30</v>
      </c>
      <c r="G3946" t="s">
        <v>31</v>
      </c>
      <c r="H3946" t="s">
        <v>32</v>
      </c>
      <c r="I3946">
        <v>33693.17525</v>
      </c>
      <c r="J3946" t="s">
        <v>33</v>
      </c>
      <c r="K3946" t="s">
        <v>5400</v>
      </c>
      <c r="L3946" t="s">
        <v>21</v>
      </c>
      <c r="M3946" t="str">
        <f t="shared" si="183"/>
        <v>OK</v>
      </c>
      <c r="N3946" t="str">
        <f t="shared" si="184"/>
        <v>1980s</v>
      </c>
      <c r="O3946" t="str">
        <f t="shared" si="185"/>
        <v>N/A</v>
      </c>
      <c r="P3946" t="str">
        <f>VLOOKUP(E3946,calculated_fields!$F$4:$G$6,2,FALSE)</f>
        <v>Economy</v>
      </c>
    </row>
    <row r="3947" spans="1:16">
      <c r="A3947" t="s">
        <v>5403</v>
      </c>
      <c r="B3947" t="s">
        <v>5375</v>
      </c>
      <c r="C3947" t="s">
        <v>14</v>
      </c>
      <c r="D3947">
        <v>1987</v>
      </c>
      <c r="E3947" t="s">
        <v>15</v>
      </c>
      <c r="F3947" t="s">
        <v>16</v>
      </c>
      <c r="G3947" t="s">
        <v>17</v>
      </c>
      <c r="H3947" t="s">
        <v>18</v>
      </c>
      <c r="I3947">
        <v>66.295000000000002</v>
      </c>
      <c r="J3947" t="s">
        <v>19</v>
      </c>
      <c r="K3947" t="s">
        <v>5404</v>
      </c>
      <c r="L3947" t="s">
        <v>21</v>
      </c>
      <c r="M3947" t="str">
        <f t="shared" si="183"/>
        <v>OK</v>
      </c>
      <c r="N3947" t="str">
        <f t="shared" si="184"/>
        <v>1980s</v>
      </c>
      <c r="O3947" t="str">
        <f t="shared" si="185"/>
        <v>Medium</v>
      </c>
      <c r="P3947" t="str">
        <f>VLOOKUP(E3947,calculated_fields!$F$4:$G$6,2,FALSE)</f>
        <v>Health</v>
      </c>
    </row>
    <row r="3948" spans="1:16">
      <c r="A3948" t="s">
        <v>5405</v>
      </c>
      <c r="B3948" t="s">
        <v>5375</v>
      </c>
      <c r="C3948" t="s">
        <v>14</v>
      </c>
      <c r="D3948">
        <v>1987</v>
      </c>
      <c r="E3948" t="s">
        <v>23</v>
      </c>
      <c r="F3948" t="s">
        <v>24</v>
      </c>
      <c r="G3948" t="s">
        <v>25</v>
      </c>
      <c r="H3948" t="s">
        <v>26</v>
      </c>
      <c r="I3948">
        <v>14619745</v>
      </c>
      <c r="J3948" t="s">
        <v>27</v>
      </c>
      <c r="K3948" t="s">
        <v>5404</v>
      </c>
      <c r="L3948" t="s">
        <v>21</v>
      </c>
      <c r="M3948" t="str">
        <f t="shared" si="183"/>
        <v>OK</v>
      </c>
      <c r="N3948" t="str">
        <f t="shared" si="184"/>
        <v>1980s</v>
      </c>
      <c r="O3948" t="str">
        <f t="shared" si="185"/>
        <v>N/A</v>
      </c>
      <c r="P3948" t="str">
        <f>VLOOKUP(E3948,calculated_fields!$F$4:$G$6,2,FALSE)</f>
        <v>Demographics</v>
      </c>
    </row>
    <row r="3949" spans="1:16">
      <c r="A3949" t="s">
        <v>5406</v>
      </c>
      <c r="B3949" t="s">
        <v>5375</v>
      </c>
      <c r="C3949" t="s">
        <v>14</v>
      </c>
      <c r="D3949">
        <v>1987</v>
      </c>
      <c r="E3949" t="s">
        <v>29</v>
      </c>
      <c r="F3949" t="s">
        <v>30</v>
      </c>
      <c r="G3949" t="s">
        <v>31</v>
      </c>
      <c r="H3949" t="s">
        <v>32</v>
      </c>
      <c r="I3949">
        <v>21198.26136</v>
      </c>
      <c r="J3949" t="s">
        <v>33</v>
      </c>
      <c r="K3949" t="s">
        <v>5404</v>
      </c>
      <c r="L3949" t="s">
        <v>21</v>
      </c>
      <c r="M3949" t="str">
        <f t="shared" si="183"/>
        <v>OK</v>
      </c>
      <c r="N3949" t="str">
        <f t="shared" si="184"/>
        <v>1980s</v>
      </c>
      <c r="O3949" t="str">
        <f t="shared" si="185"/>
        <v>N/A</v>
      </c>
      <c r="P3949" t="str">
        <f>VLOOKUP(E3949,calculated_fields!$F$4:$G$6,2,FALSE)</f>
        <v>Economy</v>
      </c>
    </row>
    <row r="3950" spans="1:16">
      <c r="A3950" t="s">
        <v>5407</v>
      </c>
      <c r="B3950" t="s">
        <v>5375</v>
      </c>
      <c r="C3950" t="s">
        <v>14</v>
      </c>
      <c r="D3950">
        <v>1992</v>
      </c>
      <c r="E3950" t="s">
        <v>15</v>
      </c>
      <c r="F3950" t="s">
        <v>16</v>
      </c>
      <c r="G3950" t="s">
        <v>17</v>
      </c>
      <c r="H3950" t="s">
        <v>18</v>
      </c>
      <c r="I3950">
        <v>68.768000000000001</v>
      </c>
      <c r="J3950" t="s">
        <v>19</v>
      </c>
      <c r="K3950" t="s">
        <v>5408</v>
      </c>
      <c r="L3950" t="s">
        <v>21</v>
      </c>
      <c r="M3950" t="str">
        <f t="shared" si="183"/>
        <v>OK</v>
      </c>
      <c r="N3950" t="str">
        <f t="shared" si="184"/>
        <v>1990s</v>
      </c>
      <c r="O3950" t="str">
        <f t="shared" si="185"/>
        <v>Medium</v>
      </c>
      <c r="P3950" t="str">
        <f>VLOOKUP(E3950,calculated_fields!$F$4:$G$6,2,FALSE)</f>
        <v>Health</v>
      </c>
    </row>
    <row r="3951" spans="1:16">
      <c r="A3951" t="s">
        <v>5409</v>
      </c>
      <c r="B3951" t="s">
        <v>5375</v>
      </c>
      <c r="C3951" t="s">
        <v>14</v>
      </c>
      <c r="D3951">
        <v>1992</v>
      </c>
      <c r="E3951" t="s">
        <v>23</v>
      </c>
      <c r="F3951" t="s">
        <v>24</v>
      </c>
      <c r="G3951" t="s">
        <v>25</v>
      </c>
      <c r="H3951" t="s">
        <v>26</v>
      </c>
      <c r="I3951">
        <v>16945857</v>
      </c>
      <c r="J3951" t="s">
        <v>27</v>
      </c>
      <c r="K3951" t="s">
        <v>5408</v>
      </c>
      <c r="L3951" t="s">
        <v>21</v>
      </c>
      <c r="M3951" t="str">
        <f t="shared" si="183"/>
        <v>OK</v>
      </c>
      <c r="N3951" t="str">
        <f t="shared" si="184"/>
        <v>1990s</v>
      </c>
      <c r="O3951" t="str">
        <f t="shared" si="185"/>
        <v>N/A</v>
      </c>
      <c r="P3951" t="str">
        <f>VLOOKUP(E3951,calculated_fields!$F$4:$G$6,2,FALSE)</f>
        <v>Demographics</v>
      </c>
    </row>
    <row r="3952" spans="1:16">
      <c r="A3952" t="s">
        <v>5410</v>
      </c>
      <c r="B3952" t="s">
        <v>5375</v>
      </c>
      <c r="C3952" t="s">
        <v>14</v>
      </c>
      <c r="D3952">
        <v>1992</v>
      </c>
      <c r="E3952" t="s">
        <v>29</v>
      </c>
      <c r="F3952" t="s">
        <v>30</v>
      </c>
      <c r="G3952" t="s">
        <v>31</v>
      </c>
      <c r="H3952" t="s">
        <v>32</v>
      </c>
      <c r="I3952">
        <v>24841.617770000001</v>
      </c>
      <c r="J3952" t="s">
        <v>33</v>
      </c>
      <c r="K3952" t="s">
        <v>5408</v>
      </c>
      <c r="L3952" t="s">
        <v>21</v>
      </c>
      <c r="M3952" t="str">
        <f t="shared" si="183"/>
        <v>OK</v>
      </c>
      <c r="N3952" t="str">
        <f t="shared" si="184"/>
        <v>1990s</v>
      </c>
      <c r="O3952" t="str">
        <f t="shared" si="185"/>
        <v>N/A</v>
      </c>
      <c r="P3952" t="str">
        <f>VLOOKUP(E3952,calculated_fields!$F$4:$G$6,2,FALSE)</f>
        <v>Economy</v>
      </c>
    </row>
    <row r="3953" spans="1:16">
      <c r="A3953" t="s">
        <v>5411</v>
      </c>
      <c r="B3953" t="s">
        <v>5375</v>
      </c>
      <c r="C3953" t="s">
        <v>14</v>
      </c>
      <c r="D3953">
        <v>1997</v>
      </c>
      <c r="E3953" t="s">
        <v>15</v>
      </c>
      <c r="F3953" t="s">
        <v>16</v>
      </c>
      <c r="G3953" t="s">
        <v>17</v>
      </c>
      <c r="H3953" t="s">
        <v>18</v>
      </c>
      <c r="I3953">
        <v>70.533000000000001</v>
      </c>
      <c r="J3953" t="s">
        <v>19</v>
      </c>
      <c r="K3953" t="s">
        <v>5412</v>
      </c>
      <c r="L3953" t="s">
        <v>21</v>
      </c>
      <c r="M3953" t="str">
        <f t="shared" si="183"/>
        <v>OK</v>
      </c>
      <c r="N3953" t="str">
        <f t="shared" si="184"/>
        <v>1990s</v>
      </c>
      <c r="O3953" t="str">
        <f t="shared" si="185"/>
        <v>High</v>
      </c>
      <c r="P3953" t="str">
        <f>VLOOKUP(E3953,calculated_fields!$F$4:$G$6,2,FALSE)</f>
        <v>Health</v>
      </c>
    </row>
    <row r="3954" spans="1:16">
      <c r="A3954" t="s">
        <v>5413</v>
      </c>
      <c r="B3954" t="s">
        <v>5375</v>
      </c>
      <c r="C3954" t="s">
        <v>14</v>
      </c>
      <c r="D3954">
        <v>1997</v>
      </c>
      <c r="E3954" t="s">
        <v>23</v>
      </c>
      <c r="F3954" t="s">
        <v>24</v>
      </c>
      <c r="G3954" t="s">
        <v>25</v>
      </c>
      <c r="H3954" t="s">
        <v>26</v>
      </c>
      <c r="I3954">
        <v>21229759</v>
      </c>
      <c r="J3954" t="s">
        <v>27</v>
      </c>
      <c r="K3954" t="s">
        <v>5412</v>
      </c>
      <c r="L3954" t="s">
        <v>21</v>
      </c>
      <c r="M3954" t="str">
        <f t="shared" si="183"/>
        <v>OK</v>
      </c>
      <c r="N3954" t="str">
        <f t="shared" si="184"/>
        <v>1990s</v>
      </c>
      <c r="O3954" t="str">
        <f t="shared" si="185"/>
        <v>N/A</v>
      </c>
      <c r="P3954" t="str">
        <f>VLOOKUP(E3954,calculated_fields!$F$4:$G$6,2,FALSE)</f>
        <v>Demographics</v>
      </c>
    </row>
    <row r="3955" spans="1:16">
      <c r="A3955" t="s">
        <v>5414</v>
      </c>
      <c r="B3955" t="s">
        <v>5375</v>
      </c>
      <c r="C3955" t="s">
        <v>14</v>
      </c>
      <c r="D3955">
        <v>1997</v>
      </c>
      <c r="E3955" t="s">
        <v>29</v>
      </c>
      <c r="F3955" t="s">
        <v>30</v>
      </c>
      <c r="G3955" t="s">
        <v>31</v>
      </c>
      <c r="H3955" t="s">
        <v>32</v>
      </c>
      <c r="I3955">
        <v>20586.690190000001</v>
      </c>
      <c r="J3955" t="s">
        <v>33</v>
      </c>
      <c r="K3955" t="s">
        <v>5412</v>
      </c>
      <c r="L3955" t="s">
        <v>21</v>
      </c>
      <c r="M3955" t="str">
        <f t="shared" si="183"/>
        <v>OK</v>
      </c>
      <c r="N3955" t="str">
        <f t="shared" si="184"/>
        <v>1990s</v>
      </c>
      <c r="O3955" t="str">
        <f t="shared" si="185"/>
        <v>N/A</v>
      </c>
      <c r="P3955" t="str">
        <f>VLOOKUP(E3955,calculated_fields!$F$4:$G$6,2,FALSE)</f>
        <v>Economy</v>
      </c>
    </row>
    <row r="3956" spans="1:16">
      <c r="A3956" t="s">
        <v>5415</v>
      </c>
      <c r="B3956" t="s">
        <v>5375</v>
      </c>
      <c r="C3956" t="s">
        <v>14</v>
      </c>
      <c r="D3956">
        <v>2002</v>
      </c>
      <c r="E3956" t="s">
        <v>15</v>
      </c>
      <c r="F3956" t="s">
        <v>16</v>
      </c>
      <c r="G3956" t="s">
        <v>17</v>
      </c>
      <c r="H3956" t="s">
        <v>18</v>
      </c>
      <c r="I3956">
        <v>71.626000000000005</v>
      </c>
      <c r="J3956" t="s">
        <v>19</v>
      </c>
      <c r="K3956" t="s">
        <v>5416</v>
      </c>
      <c r="L3956" t="s">
        <v>21</v>
      </c>
      <c r="M3956" t="str">
        <f t="shared" si="183"/>
        <v>OK</v>
      </c>
      <c r="N3956" t="str">
        <f t="shared" si="184"/>
        <v>2000s</v>
      </c>
      <c r="O3956" t="str">
        <f t="shared" si="185"/>
        <v>High</v>
      </c>
      <c r="P3956" t="str">
        <f>VLOOKUP(E3956,calculated_fields!$F$4:$G$6,2,FALSE)</f>
        <v>Health</v>
      </c>
    </row>
    <row r="3957" spans="1:16">
      <c r="A3957" t="s">
        <v>5417</v>
      </c>
      <c r="B3957" t="s">
        <v>5375</v>
      </c>
      <c r="C3957" t="s">
        <v>14</v>
      </c>
      <c r="D3957">
        <v>2002</v>
      </c>
      <c r="E3957" t="s">
        <v>23</v>
      </c>
      <c r="F3957" t="s">
        <v>24</v>
      </c>
      <c r="G3957" t="s">
        <v>25</v>
      </c>
      <c r="H3957" t="s">
        <v>26</v>
      </c>
      <c r="I3957">
        <v>24501530</v>
      </c>
      <c r="J3957" t="s">
        <v>27</v>
      </c>
      <c r="K3957" t="s">
        <v>5416</v>
      </c>
      <c r="L3957" t="s">
        <v>21</v>
      </c>
      <c r="M3957" t="str">
        <f t="shared" si="183"/>
        <v>OK</v>
      </c>
      <c r="N3957" t="str">
        <f t="shared" si="184"/>
        <v>2000s</v>
      </c>
      <c r="O3957" t="str">
        <f t="shared" si="185"/>
        <v>N/A</v>
      </c>
      <c r="P3957" t="str">
        <f>VLOOKUP(E3957,calculated_fields!$F$4:$G$6,2,FALSE)</f>
        <v>Demographics</v>
      </c>
    </row>
    <row r="3958" spans="1:16">
      <c r="A3958" t="s">
        <v>5418</v>
      </c>
      <c r="B3958" t="s">
        <v>5375</v>
      </c>
      <c r="C3958" t="s">
        <v>14</v>
      </c>
      <c r="D3958">
        <v>2002</v>
      </c>
      <c r="E3958" t="s">
        <v>29</v>
      </c>
      <c r="F3958" t="s">
        <v>30</v>
      </c>
      <c r="G3958" t="s">
        <v>31</v>
      </c>
      <c r="H3958" t="s">
        <v>32</v>
      </c>
      <c r="I3958">
        <v>19014.54118</v>
      </c>
      <c r="J3958" t="s">
        <v>33</v>
      </c>
      <c r="K3958" t="s">
        <v>5416</v>
      </c>
      <c r="L3958" t="s">
        <v>21</v>
      </c>
      <c r="M3958" t="str">
        <f t="shared" si="183"/>
        <v>OK</v>
      </c>
      <c r="N3958" t="str">
        <f t="shared" si="184"/>
        <v>2000s</v>
      </c>
      <c r="O3958" t="str">
        <f t="shared" si="185"/>
        <v>N/A</v>
      </c>
      <c r="P3958" t="str">
        <f>VLOOKUP(E3958,calculated_fields!$F$4:$G$6,2,FALSE)</f>
        <v>Economy</v>
      </c>
    </row>
    <row r="3959" spans="1:16">
      <c r="A3959" t="s">
        <v>5419</v>
      </c>
      <c r="B3959" t="s">
        <v>5375</v>
      </c>
      <c r="C3959" t="s">
        <v>14</v>
      </c>
      <c r="D3959">
        <v>2007</v>
      </c>
      <c r="E3959" t="s">
        <v>15</v>
      </c>
      <c r="F3959" t="s">
        <v>16</v>
      </c>
      <c r="G3959" t="s">
        <v>17</v>
      </c>
      <c r="H3959" t="s">
        <v>18</v>
      </c>
      <c r="I3959">
        <v>72.777000000000001</v>
      </c>
      <c r="J3959" t="s">
        <v>19</v>
      </c>
      <c r="K3959" t="s">
        <v>5420</v>
      </c>
      <c r="L3959" t="s">
        <v>21</v>
      </c>
      <c r="M3959" t="str">
        <f t="shared" si="183"/>
        <v>OK</v>
      </c>
      <c r="N3959" t="str">
        <f t="shared" si="184"/>
        <v>2000s</v>
      </c>
      <c r="O3959" t="str">
        <f t="shared" si="185"/>
        <v>High</v>
      </c>
      <c r="P3959" t="str">
        <f>VLOOKUP(E3959,calculated_fields!$F$4:$G$6,2,FALSE)</f>
        <v>Health</v>
      </c>
    </row>
    <row r="3960" spans="1:16">
      <c r="A3960" t="s">
        <v>5421</v>
      </c>
      <c r="B3960" t="s">
        <v>5375</v>
      </c>
      <c r="C3960" t="s">
        <v>14</v>
      </c>
      <c r="D3960">
        <v>2007</v>
      </c>
      <c r="E3960" t="s">
        <v>23</v>
      </c>
      <c r="F3960" t="s">
        <v>24</v>
      </c>
      <c r="G3960" t="s">
        <v>25</v>
      </c>
      <c r="H3960" t="s">
        <v>26</v>
      </c>
      <c r="I3960">
        <v>27601038</v>
      </c>
      <c r="J3960" t="s">
        <v>27</v>
      </c>
      <c r="K3960" t="s">
        <v>5420</v>
      </c>
      <c r="L3960" t="s">
        <v>21</v>
      </c>
      <c r="M3960" t="str">
        <f t="shared" si="183"/>
        <v>OK</v>
      </c>
      <c r="N3960" t="str">
        <f t="shared" si="184"/>
        <v>2000s</v>
      </c>
      <c r="O3960" t="str">
        <f t="shared" si="185"/>
        <v>N/A</v>
      </c>
      <c r="P3960" t="str">
        <f>VLOOKUP(E3960,calculated_fields!$F$4:$G$6,2,FALSE)</f>
        <v>Demographics</v>
      </c>
    </row>
    <row r="3961" spans="1:16">
      <c r="A3961" t="s">
        <v>5422</v>
      </c>
      <c r="B3961" t="s">
        <v>5375</v>
      </c>
      <c r="C3961" t="s">
        <v>14</v>
      </c>
      <c r="D3961">
        <v>2007</v>
      </c>
      <c r="E3961" t="s">
        <v>29</v>
      </c>
      <c r="F3961" t="s">
        <v>30</v>
      </c>
      <c r="G3961" t="s">
        <v>31</v>
      </c>
      <c r="H3961" t="s">
        <v>32</v>
      </c>
      <c r="I3961">
        <v>21654.83194</v>
      </c>
      <c r="J3961" t="s">
        <v>33</v>
      </c>
      <c r="K3961" t="s">
        <v>5420</v>
      </c>
      <c r="L3961" t="s">
        <v>21</v>
      </c>
      <c r="M3961" t="str">
        <f t="shared" si="183"/>
        <v>OK</v>
      </c>
      <c r="N3961" t="str">
        <f t="shared" si="184"/>
        <v>2000s</v>
      </c>
      <c r="O3961" t="str">
        <f t="shared" si="185"/>
        <v>N/A</v>
      </c>
      <c r="P3961" t="str">
        <f>VLOOKUP(E3961,calculated_fields!$F$4:$G$6,2,FALSE)</f>
        <v>Economy</v>
      </c>
    </row>
    <row r="3962" spans="1:16">
      <c r="A3962" t="s">
        <v>5423</v>
      </c>
      <c r="B3962" t="s">
        <v>5424</v>
      </c>
      <c r="C3962" t="s">
        <v>130</v>
      </c>
      <c r="D3962">
        <v>1952</v>
      </c>
      <c r="E3962" t="s">
        <v>15</v>
      </c>
      <c r="F3962" t="s">
        <v>16</v>
      </c>
      <c r="G3962" t="s">
        <v>17</v>
      </c>
      <c r="H3962" t="s">
        <v>18</v>
      </c>
      <c r="I3962">
        <v>37.277999999999999</v>
      </c>
      <c r="J3962" t="s">
        <v>19</v>
      </c>
      <c r="K3962" t="s">
        <v>5425</v>
      </c>
      <c r="L3962" t="s">
        <v>21</v>
      </c>
      <c r="M3962" t="str">
        <f t="shared" si="183"/>
        <v>OK</v>
      </c>
      <c r="N3962" t="str">
        <f t="shared" si="184"/>
        <v>1950s</v>
      </c>
      <c r="O3962" t="str">
        <f t="shared" si="185"/>
        <v>Low</v>
      </c>
      <c r="P3962" t="str">
        <f>VLOOKUP(E3962,calculated_fields!$F$4:$G$6,2,FALSE)</f>
        <v>Health</v>
      </c>
    </row>
    <row r="3963" spans="1:16">
      <c r="A3963" t="s">
        <v>5426</v>
      </c>
      <c r="B3963" t="s">
        <v>5424</v>
      </c>
      <c r="C3963" t="s">
        <v>130</v>
      </c>
      <c r="D3963">
        <v>1952</v>
      </c>
      <c r="E3963" t="s">
        <v>23</v>
      </c>
      <c r="F3963" t="s">
        <v>24</v>
      </c>
      <c r="G3963" t="s">
        <v>25</v>
      </c>
      <c r="H3963" t="s">
        <v>26</v>
      </c>
      <c r="I3963">
        <v>2755589</v>
      </c>
      <c r="J3963" t="s">
        <v>27</v>
      </c>
      <c r="K3963" t="s">
        <v>5425</v>
      </c>
      <c r="L3963" t="s">
        <v>21</v>
      </c>
      <c r="M3963" t="str">
        <f t="shared" si="183"/>
        <v>OK</v>
      </c>
      <c r="N3963" t="str">
        <f t="shared" si="184"/>
        <v>1950s</v>
      </c>
      <c r="O3963" t="str">
        <f t="shared" si="185"/>
        <v>N/A</v>
      </c>
      <c r="P3963" t="str">
        <f>VLOOKUP(E3963,calculated_fields!$F$4:$G$6,2,FALSE)</f>
        <v>Demographics</v>
      </c>
    </row>
    <row r="3964" spans="1:16">
      <c r="A3964" t="s">
        <v>5427</v>
      </c>
      <c r="B3964" t="s">
        <v>5424</v>
      </c>
      <c r="C3964" t="s">
        <v>130</v>
      </c>
      <c r="D3964">
        <v>1952</v>
      </c>
      <c r="E3964" t="s">
        <v>29</v>
      </c>
      <c r="F3964" t="s">
        <v>30</v>
      </c>
      <c r="G3964" t="s">
        <v>31</v>
      </c>
      <c r="H3964" t="s">
        <v>32</v>
      </c>
      <c r="I3964">
        <v>1450.3569829999999</v>
      </c>
      <c r="J3964" t="s">
        <v>33</v>
      </c>
      <c r="K3964" t="s">
        <v>5425</v>
      </c>
      <c r="L3964" t="s">
        <v>21</v>
      </c>
      <c r="M3964" t="str">
        <f t="shared" si="183"/>
        <v>OK</v>
      </c>
      <c r="N3964" t="str">
        <f t="shared" si="184"/>
        <v>1950s</v>
      </c>
      <c r="O3964" t="str">
        <f t="shared" si="185"/>
        <v>N/A</v>
      </c>
      <c r="P3964" t="str">
        <f>VLOOKUP(E3964,calculated_fields!$F$4:$G$6,2,FALSE)</f>
        <v>Economy</v>
      </c>
    </row>
    <row r="3965" spans="1:16">
      <c r="A3965" t="s">
        <v>5428</v>
      </c>
      <c r="B3965" t="s">
        <v>5424</v>
      </c>
      <c r="C3965" t="s">
        <v>130</v>
      </c>
      <c r="D3965">
        <v>1957</v>
      </c>
      <c r="E3965" t="s">
        <v>15</v>
      </c>
      <c r="F3965" t="s">
        <v>16</v>
      </c>
      <c r="G3965" t="s">
        <v>17</v>
      </c>
      <c r="H3965" t="s">
        <v>18</v>
      </c>
      <c r="I3965">
        <v>39.329000000000001</v>
      </c>
      <c r="J3965" t="s">
        <v>19</v>
      </c>
      <c r="K3965" t="s">
        <v>5429</v>
      </c>
      <c r="L3965" t="s">
        <v>21</v>
      </c>
      <c r="M3965" t="str">
        <f t="shared" si="183"/>
        <v>OK</v>
      </c>
      <c r="N3965" t="str">
        <f t="shared" si="184"/>
        <v>1950s</v>
      </c>
      <c r="O3965" t="str">
        <f t="shared" si="185"/>
        <v>Low</v>
      </c>
      <c r="P3965" t="str">
        <f>VLOOKUP(E3965,calculated_fields!$F$4:$G$6,2,FALSE)</f>
        <v>Health</v>
      </c>
    </row>
    <row r="3966" spans="1:16">
      <c r="A3966" t="s">
        <v>5430</v>
      </c>
      <c r="B3966" t="s">
        <v>5424</v>
      </c>
      <c r="C3966" t="s">
        <v>130</v>
      </c>
      <c r="D3966">
        <v>1957</v>
      </c>
      <c r="E3966" t="s">
        <v>23</v>
      </c>
      <c r="F3966" t="s">
        <v>24</v>
      </c>
      <c r="G3966" t="s">
        <v>25</v>
      </c>
      <c r="H3966" t="s">
        <v>26</v>
      </c>
      <c r="I3966">
        <v>3054547</v>
      </c>
      <c r="J3966" t="s">
        <v>27</v>
      </c>
      <c r="K3966" t="s">
        <v>5429</v>
      </c>
      <c r="L3966" t="s">
        <v>21</v>
      </c>
      <c r="M3966" t="str">
        <f t="shared" si="183"/>
        <v>OK</v>
      </c>
      <c r="N3966" t="str">
        <f t="shared" si="184"/>
        <v>1950s</v>
      </c>
      <c r="O3966" t="str">
        <f t="shared" si="185"/>
        <v>N/A</v>
      </c>
      <c r="P3966" t="str">
        <f>VLOOKUP(E3966,calculated_fields!$F$4:$G$6,2,FALSE)</f>
        <v>Demographics</v>
      </c>
    </row>
    <row r="3967" spans="1:16">
      <c r="A3967" t="s">
        <v>5431</v>
      </c>
      <c r="B3967" t="s">
        <v>5424</v>
      </c>
      <c r="C3967" t="s">
        <v>130</v>
      </c>
      <c r="D3967">
        <v>1957</v>
      </c>
      <c r="E3967" t="s">
        <v>29</v>
      </c>
      <c r="F3967" t="s">
        <v>30</v>
      </c>
      <c r="G3967" t="s">
        <v>31</v>
      </c>
      <c r="H3967" t="s">
        <v>32</v>
      </c>
      <c r="I3967">
        <v>1567.653006</v>
      </c>
      <c r="J3967" t="s">
        <v>33</v>
      </c>
      <c r="K3967" t="s">
        <v>5429</v>
      </c>
      <c r="L3967" t="s">
        <v>21</v>
      </c>
      <c r="M3967" t="str">
        <f t="shared" si="183"/>
        <v>OK</v>
      </c>
      <c r="N3967" t="str">
        <f t="shared" si="184"/>
        <v>1950s</v>
      </c>
      <c r="O3967" t="str">
        <f t="shared" si="185"/>
        <v>N/A</v>
      </c>
      <c r="P3967" t="str">
        <f>VLOOKUP(E3967,calculated_fields!$F$4:$G$6,2,FALSE)</f>
        <v>Economy</v>
      </c>
    </row>
    <row r="3968" spans="1:16">
      <c r="A3968" t="s">
        <v>5432</v>
      </c>
      <c r="B3968" t="s">
        <v>5424</v>
      </c>
      <c r="C3968" t="s">
        <v>130</v>
      </c>
      <c r="D3968">
        <v>1962</v>
      </c>
      <c r="E3968" t="s">
        <v>15</v>
      </c>
      <c r="F3968" t="s">
        <v>16</v>
      </c>
      <c r="G3968" t="s">
        <v>17</v>
      </c>
      <c r="H3968" t="s">
        <v>18</v>
      </c>
      <c r="I3968">
        <v>41.453999999999901</v>
      </c>
      <c r="J3968" t="s">
        <v>19</v>
      </c>
      <c r="K3968" t="s">
        <v>5433</v>
      </c>
      <c r="L3968" t="s">
        <v>21</v>
      </c>
      <c r="M3968" t="str">
        <f t="shared" si="183"/>
        <v>OK</v>
      </c>
      <c r="N3968" t="str">
        <f t="shared" si="184"/>
        <v>1960s</v>
      </c>
      <c r="O3968" t="str">
        <f t="shared" si="185"/>
        <v>Low</v>
      </c>
      <c r="P3968" t="str">
        <f>VLOOKUP(E3968,calculated_fields!$F$4:$G$6,2,FALSE)</f>
        <v>Health</v>
      </c>
    </row>
    <row r="3969" spans="1:16">
      <c r="A3969" t="s">
        <v>5434</v>
      </c>
      <c r="B3969" t="s">
        <v>5424</v>
      </c>
      <c r="C3969" t="s">
        <v>130</v>
      </c>
      <c r="D3969">
        <v>1962</v>
      </c>
      <c r="E3969" t="s">
        <v>23</v>
      </c>
      <c r="F3969" t="s">
        <v>24</v>
      </c>
      <c r="G3969" t="s">
        <v>25</v>
      </c>
      <c r="H3969" t="s">
        <v>26</v>
      </c>
      <c r="I3969">
        <v>3430243</v>
      </c>
      <c r="J3969" t="s">
        <v>27</v>
      </c>
      <c r="K3969" t="s">
        <v>5433</v>
      </c>
      <c r="L3969" t="s">
        <v>21</v>
      </c>
      <c r="M3969" t="str">
        <f t="shared" si="183"/>
        <v>OK</v>
      </c>
      <c r="N3969" t="str">
        <f t="shared" si="184"/>
        <v>1960s</v>
      </c>
      <c r="O3969" t="str">
        <f t="shared" si="185"/>
        <v>N/A</v>
      </c>
      <c r="P3969" t="str">
        <f>VLOOKUP(E3969,calculated_fields!$F$4:$G$6,2,FALSE)</f>
        <v>Demographics</v>
      </c>
    </row>
    <row r="3970" spans="1:16">
      <c r="A3970" t="s">
        <v>5435</v>
      </c>
      <c r="B3970" t="s">
        <v>5424</v>
      </c>
      <c r="C3970" t="s">
        <v>130</v>
      </c>
      <c r="D3970">
        <v>1962</v>
      </c>
      <c r="E3970" t="s">
        <v>29</v>
      </c>
      <c r="F3970" t="s">
        <v>30</v>
      </c>
      <c r="G3970" t="s">
        <v>31</v>
      </c>
      <c r="H3970" t="s">
        <v>32</v>
      </c>
      <c r="I3970">
        <v>1654.9887229999999</v>
      </c>
      <c r="J3970" t="s">
        <v>33</v>
      </c>
      <c r="K3970" t="s">
        <v>5433</v>
      </c>
      <c r="L3970" t="s">
        <v>21</v>
      </c>
      <c r="M3970" t="str">
        <f t="shared" ref="M3970:M4033" si="186">IF(AND(ISNUMBER(I3970),I3970&gt;=0),"OK","Review")</f>
        <v>OK</v>
      </c>
      <c r="N3970" t="str">
        <f t="shared" ref="N3970:N4033" si="187">FLOOR(D3970,10)&amp;"s"</f>
        <v>1960s</v>
      </c>
      <c r="O3970" t="str">
        <f t="shared" ref="O3970:O4033" si="188">IF(E3970="LIFE_EXP",IF(I3970&gt;=70,"High",IF(I3970&gt;=55,"Medium","Low")),"N/A")</f>
        <v>N/A</v>
      </c>
      <c r="P3970" t="str">
        <f>VLOOKUP(E3970,calculated_fields!$F$4:$G$6,2,FALSE)</f>
        <v>Economy</v>
      </c>
    </row>
    <row r="3971" spans="1:16">
      <c r="A3971" t="s">
        <v>5436</v>
      </c>
      <c r="B3971" t="s">
        <v>5424</v>
      </c>
      <c r="C3971" t="s">
        <v>130</v>
      </c>
      <c r="D3971">
        <v>1967</v>
      </c>
      <c r="E3971" t="s">
        <v>15</v>
      </c>
      <c r="F3971" t="s">
        <v>16</v>
      </c>
      <c r="G3971" t="s">
        <v>17</v>
      </c>
      <c r="H3971" t="s">
        <v>18</v>
      </c>
      <c r="I3971">
        <v>43.563000000000002</v>
      </c>
      <c r="J3971" t="s">
        <v>19</v>
      </c>
      <c r="K3971" t="s">
        <v>5437</v>
      </c>
      <c r="L3971" t="s">
        <v>21</v>
      </c>
      <c r="M3971" t="str">
        <f t="shared" si="186"/>
        <v>OK</v>
      </c>
      <c r="N3971" t="str">
        <f t="shared" si="187"/>
        <v>1960s</v>
      </c>
      <c r="O3971" t="str">
        <f t="shared" si="188"/>
        <v>Low</v>
      </c>
      <c r="P3971" t="str">
        <f>VLOOKUP(E3971,calculated_fields!$F$4:$G$6,2,FALSE)</f>
        <v>Health</v>
      </c>
    </row>
    <row r="3972" spans="1:16">
      <c r="A3972" t="s">
        <v>5438</v>
      </c>
      <c r="B3972" t="s">
        <v>5424</v>
      </c>
      <c r="C3972" t="s">
        <v>130</v>
      </c>
      <c r="D3972">
        <v>1967</v>
      </c>
      <c r="E3972" t="s">
        <v>23</v>
      </c>
      <c r="F3972" t="s">
        <v>24</v>
      </c>
      <c r="G3972" t="s">
        <v>25</v>
      </c>
      <c r="H3972" t="s">
        <v>26</v>
      </c>
      <c r="I3972">
        <v>3965841</v>
      </c>
      <c r="J3972" t="s">
        <v>27</v>
      </c>
      <c r="K3972" t="s">
        <v>5437</v>
      </c>
      <c r="L3972" t="s">
        <v>21</v>
      </c>
      <c r="M3972" t="str">
        <f t="shared" si="186"/>
        <v>OK</v>
      </c>
      <c r="N3972" t="str">
        <f t="shared" si="187"/>
        <v>1960s</v>
      </c>
      <c r="O3972" t="str">
        <f t="shared" si="188"/>
        <v>N/A</v>
      </c>
      <c r="P3972" t="str">
        <f>VLOOKUP(E3972,calculated_fields!$F$4:$G$6,2,FALSE)</f>
        <v>Demographics</v>
      </c>
    </row>
    <row r="3973" spans="1:16">
      <c r="A3973" t="s">
        <v>5439</v>
      </c>
      <c r="B3973" t="s">
        <v>5424</v>
      </c>
      <c r="C3973" t="s">
        <v>130</v>
      </c>
      <c r="D3973">
        <v>1967</v>
      </c>
      <c r="E3973" t="s">
        <v>29</v>
      </c>
      <c r="F3973" t="s">
        <v>30</v>
      </c>
      <c r="G3973" t="s">
        <v>31</v>
      </c>
      <c r="H3973" t="s">
        <v>32</v>
      </c>
      <c r="I3973">
        <v>1612.404632</v>
      </c>
      <c r="J3973" t="s">
        <v>33</v>
      </c>
      <c r="K3973" t="s">
        <v>5437</v>
      </c>
      <c r="L3973" t="s">
        <v>21</v>
      </c>
      <c r="M3973" t="str">
        <f t="shared" si="186"/>
        <v>OK</v>
      </c>
      <c r="N3973" t="str">
        <f t="shared" si="187"/>
        <v>1960s</v>
      </c>
      <c r="O3973" t="str">
        <f t="shared" si="188"/>
        <v>N/A</v>
      </c>
      <c r="P3973" t="str">
        <f>VLOOKUP(E3973,calculated_fields!$F$4:$G$6,2,FALSE)</f>
        <v>Economy</v>
      </c>
    </row>
    <row r="3974" spans="1:16">
      <c r="A3974" t="s">
        <v>5440</v>
      </c>
      <c r="B3974" t="s">
        <v>5424</v>
      </c>
      <c r="C3974" t="s">
        <v>130</v>
      </c>
      <c r="D3974">
        <v>1972</v>
      </c>
      <c r="E3974" t="s">
        <v>15</v>
      </c>
      <c r="F3974" t="s">
        <v>16</v>
      </c>
      <c r="G3974" t="s">
        <v>17</v>
      </c>
      <c r="H3974" t="s">
        <v>18</v>
      </c>
      <c r="I3974">
        <v>45.814999999999998</v>
      </c>
      <c r="J3974" t="s">
        <v>19</v>
      </c>
      <c r="K3974" t="s">
        <v>5441</v>
      </c>
      <c r="L3974" t="s">
        <v>21</v>
      </c>
      <c r="M3974" t="str">
        <f t="shared" si="186"/>
        <v>OK</v>
      </c>
      <c r="N3974" t="str">
        <f t="shared" si="187"/>
        <v>1970s</v>
      </c>
      <c r="O3974" t="str">
        <f t="shared" si="188"/>
        <v>Low</v>
      </c>
      <c r="P3974" t="str">
        <f>VLOOKUP(E3974,calculated_fields!$F$4:$G$6,2,FALSE)</f>
        <v>Health</v>
      </c>
    </row>
    <row r="3975" spans="1:16">
      <c r="A3975" t="s">
        <v>5442</v>
      </c>
      <c r="B3975" t="s">
        <v>5424</v>
      </c>
      <c r="C3975" t="s">
        <v>130</v>
      </c>
      <c r="D3975">
        <v>1972</v>
      </c>
      <c r="E3975" t="s">
        <v>23</v>
      </c>
      <c r="F3975" t="s">
        <v>24</v>
      </c>
      <c r="G3975" t="s">
        <v>25</v>
      </c>
      <c r="H3975" t="s">
        <v>26</v>
      </c>
      <c r="I3975">
        <v>4588696</v>
      </c>
      <c r="J3975" t="s">
        <v>27</v>
      </c>
      <c r="K3975" t="s">
        <v>5441</v>
      </c>
      <c r="L3975" t="s">
        <v>21</v>
      </c>
      <c r="M3975" t="str">
        <f t="shared" si="186"/>
        <v>OK</v>
      </c>
      <c r="N3975" t="str">
        <f t="shared" si="187"/>
        <v>1970s</v>
      </c>
      <c r="O3975" t="str">
        <f t="shared" si="188"/>
        <v>N/A</v>
      </c>
      <c r="P3975" t="str">
        <f>VLOOKUP(E3975,calculated_fields!$F$4:$G$6,2,FALSE)</f>
        <v>Demographics</v>
      </c>
    </row>
    <row r="3976" spans="1:16">
      <c r="A3976" t="s">
        <v>5443</v>
      </c>
      <c r="B3976" t="s">
        <v>5424</v>
      </c>
      <c r="C3976" t="s">
        <v>130</v>
      </c>
      <c r="D3976">
        <v>1972</v>
      </c>
      <c r="E3976" t="s">
        <v>29</v>
      </c>
      <c r="F3976" t="s">
        <v>30</v>
      </c>
      <c r="G3976" t="s">
        <v>31</v>
      </c>
      <c r="H3976" t="s">
        <v>32</v>
      </c>
      <c r="I3976">
        <v>1597.7120560000001</v>
      </c>
      <c r="J3976" t="s">
        <v>33</v>
      </c>
      <c r="K3976" t="s">
        <v>5441</v>
      </c>
      <c r="L3976" t="s">
        <v>21</v>
      </c>
      <c r="M3976" t="str">
        <f t="shared" si="186"/>
        <v>OK</v>
      </c>
      <c r="N3976" t="str">
        <f t="shared" si="187"/>
        <v>1970s</v>
      </c>
      <c r="O3976" t="str">
        <f t="shared" si="188"/>
        <v>N/A</v>
      </c>
      <c r="P3976" t="str">
        <f>VLOOKUP(E3976,calculated_fields!$F$4:$G$6,2,FALSE)</f>
        <v>Economy</v>
      </c>
    </row>
    <row r="3977" spans="1:16">
      <c r="A3977" t="s">
        <v>5444</v>
      </c>
      <c r="B3977" t="s">
        <v>5424</v>
      </c>
      <c r="C3977" t="s">
        <v>130</v>
      </c>
      <c r="D3977">
        <v>1977</v>
      </c>
      <c r="E3977" t="s">
        <v>15</v>
      </c>
      <c r="F3977" t="s">
        <v>16</v>
      </c>
      <c r="G3977" t="s">
        <v>17</v>
      </c>
      <c r="H3977" t="s">
        <v>18</v>
      </c>
      <c r="I3977">
        <v>48.878999999999998</v>
      </c>
      <c r="J3977" t="s">
        <v>19</v>
      </c>
      <c r="K3977" t="s">
        <v>5445</v>
      </c>
      <c r="L3977" t="s">
        <v>21</v>
      </c>
      <c r="M3977" t="str">
        <f t="shared" si="186"/>
        <v>OK</v>
      </c>
      <c r="N3977" t="str">
        <f t="shared" si="187"/>
        <v>1970s</v>
      </c>
      <c r="O3977" t="str">
        <f t="shared" si="188"/>
        <v>Low</v>
      </c>
      <c r="P3977" t="str">
        <f>VLOOKUP(E3977,calculated_fields!$F$4:$G$6,2,FALSE)</f>
        <v>Health</v>
      </c>
    </row>
    <row r="3978" spans="1:16">
      <c r="A3978" t="s">
        <v>5446</v>
      </c>
      <c r="B3978" t="s">
        <v>5424</v>
      </c>
      <c r="C3978" t="s">
        <v>130</v>
      </c>
      <c r="D3978">
        <v>1977</v>
      </c>
      <c r="E3978" t="s">
        <v>23</v>
      </c>
      <c r="F3978" t="s">
        <v>24</v>
      </c>
      <c r="G3978" t="s">
        <v>25</v>
      </c>
      <c r="H3978" t="s">
        <v>26</v>
      </c>
      <c r="I3978">
        <v>5260855</v>
      </c>
      <c r="J3978" t="s">
        <v>27</v>
      </c>
      <c r="K3978" t="s">
        <v>5445</v>
      </c>
      <c r="L3978" t="s">
        <v>21</v>
      </c>
      <c r="M3978" t="str">
        <f t="shared" si="186"/>
        <v>OK</v>
      </c>
      <c r="N3978" t="str">
        <f t="shared" si="187"/>
        <v>1970s</v>
      </c>
      <c r="O3978" t="str">
        <f t="shared" si="188"/>
        <v>N/A</v>
      </c>
      <c r="P3978" t="str">
        <f>VLOOKUP(E3978,calculated_fields!$F$4:$G$6,2,FALSE)</f>
        <v>Demographics</v>
      </c>
    </row>
    <row r="3979" spans="1:16">
      <c r="A3979" t="s">
        <v>5447</v>
      </c>
      <c r="B3979" t="s">
        <v>5424</v>
      </c>
      <c r="C3979" t="s">
        <v>130</v>
      </c>
      <c r="D3979">
        <v>1977</v>
      </c>
      <c r="E3979" t="s">
        <v>29</v>
      </c>
      <c r="F3979" t="s">
        <v>30</v>
      </c>
      <c r="G3979" t="s">
        <v>31</v>
      </c>
      <c r="H3979" t="s">
        <v>32</v>
      </c>
      <c r="I3979">
        <v>1561.7691159999999</v>
      </c>
      <c r="J3979" t="s">
        <v>33</v>
      </c>
      <c r="K3979" t="s">
        <v>5445</v>
      </c>
      <c r="L3979" t="s">
        <v>21</v>
      </c>
      <c r="M3979" t="str">
        <f t="shared" si="186"/>
        <v>OK</v>
      </c>
      <c r="N3979" t="str">
        <f t="shared" si="187"/>
        <v>1970s</v>
      </c>
      <c r="O3979" t="str">
        <f t="shared" si="188"/>
        <v>N/A</v>
      </c>
      <c r="P3979" t="str">
        <f>VLOOKUP(E3979,calculated_fields!$F$4:$G$6,2,FALSE)</f>
        <v>Economy</v>
      </c>
    </row>
    <row r="3980" spans="1:16">
      <c r="A3980" t="s">
        <v>5448</v>
      </c>
      <c r="B3980" t="s">
        <v>5424</v>
      </c>
      <c r="C3980" t="s">
        <v>130</v>
      </c>
      <c r="D3980">
        <v>1982</v>
      </c>
      <c r="E3980" t="s">
        <v>15</v>
      </c>
      <c r="F3980" t="s">
        <v>16</v>
      </c>
      <c r="G3980" t="s">
        <v>17</v>
      </c>
      <c r="H3980" t="s">
        <v>18</v>
      </c>
      <c r="I3980">
        <v>52.378999999999998</v>
      </c>
      <c r="J3980" t="s">
        <v>19</v>
      </c>
      <c r="K3980" t="s">
        <v>5449</v>
      </c>
      <c r="L3980" t="s">
        <v>21</v>
      </c>
      <c r="M3980" t="str">
        <f t="shared" si="186"/>
        <v>OK</v>
      </c>
      <c r="N3980" t="str">
        <f t="shared" si="187"/>
        <v>1980s</v>
      </c>
      <c r="O3980" t="str">
        <f t="shared" si="188"/>
        <v>Low</v>
      </c>
      <c r="P3980" t="str">
        <f>VLOOKUP(E3980,calculated_fields!$F$4:$G$6,2,FALSE)</f>
        <v>Health</v>
      </c>
    </row>
    <row r="3981" spans="1:16">
      <c r="A3981" t="s">
        <v>5450</v>
      </c>
      <c r="B3981" t="s">
        <v>5424</v>
      </c>
      <c r="C3981" t="s">
        <v>130</v>
      </c>
      <c r="D3981">
        <v>1982</v>
      </c>
      <c r="E3981" t="s">
        <v>23</v>
      </c>
      <c r="F3981" t="s">
        <v>24</v>
      </c>
      <c r="G3981" t="s">
        <v>25</v>
      </c>
      <c r="H3981" t="s">
        <v>26</v>
      </c>
      <c r="I3981">
        <v>6147783</v>
      </c>
      <c r="J3981" t="s">
        <v>27</v>
      </c>
      <c r="K3981" t="s">
        <v>5449</v>
      </c>
      <c r="L3981" t="s">
        <v>21</v>
      </c>
      <c r="M3981" t="str">
        <f t="shared" si="186"/>
        <v>OK</v>
      </c>
      <c r="N3981" t="str">
        <f t="shared" si="187"/>
        <v>1980s</v>
      </c>
      <c r="O3981" t="str">
        <f t="shared" si="188"/>
        <v>N/A</v>
      </c>
      <c r="P3981" t="str">
        <f>VLOOKUP(E3981,calculated_fields!$F$4:$G$6,2,FALSE)</f>
        <v>Demographics</v>
      </c>
    </row>
    <row r="3982" spans="1:16">
      <c r="A3982" t="s">
        <v>5451</v>
      </c>
      <c r="B3982" t="s">
        <v>5424</v>
      </c>
      <c r="C3982" t="s">
        <v>130</v>
      </c>
      <c r="D3982">
        <v>1982</v>
      </c>
      <c r="E3982" t="s">
        <v>29</v>
      </c>
      <c r="F3982" t="s">
        <v>30</v>
      </c>
      <c r="G3982" t="s">
        <v>31</v>
      </c>
      <c r="H3982" t="s">
        <v>32</v>
      </c>
      <c r="I3982">
        <v>1518.4799840000001</v>
      </c>
      <c r="J3982" t="s">
        <v>33</v>
      </c>
      <c r="K3982" t="s">
        <v>5449</v>
      </c>
      <c r="L3982" t="s">
        <v>21</v>
      </c>
      <c r="M3982" t="str">
        <f t="shared" si="186"/>
        <v>OK</v>
      </c>
      <c r="N3982" t="str">
        <f t="shared" si="187"/>
        <v>1980s</v>
      </c>
      <c r="O3982" t="str">
        <f t="shared" si="188"/>
        <v>N/A</v>
      </c>
      <c r="P3982" t="str">
        <f>VLOOKUP(E3982,calculated_fields!$F$4:$G$6,2,FALSE)</f>
        <v>Economy</v>
      </c>
    </row>
    <row r="3983" spans="1:16">
      <c r="A3983" t="s">
        <v>5452</v>
      </c>
      <c r="B3983" t="s">
        <v>5424</v>
      </c>
      <c r="C3983" t="s">
        <v>130</v>
      </c>
      <c r="D3983">
        <v>1987</v>
      </c>
      <c r="E3983" t="s">
        <v>15</v>
      </c>
      <c r="F3983" t="s">
        <v>16</v>
      </c>
      <c r="G3983" t="s">
        <v>17</v>
      </c>
      <c r="H3983" t="s">
        <v>18</v>
      </c>
      <c r="I3983">
        <v>55.768999999999998</v>
      </c>
      <c r="J3983" t="s">
        <v>19</v>
      </c>
      <c r="K3983" t="s">
        <v>5453</v>
      </c>
      <c r="L3983" t="s">
        <v>21</v>
      </c>
      <c r="M3983" t="str">
        <f t="shared" si="186"/>
        <v>OK</v>
      </c>
      <c r="N3983" t="str">
        <f t="shared" si="187"/>
        <v>1980s</v>
      </c>
      <c r="O3983" t="str">
        <f t="shared" si="188"/>
        <v>Medium</v>
      </c>
      <c r="P3983" t="str">
        <f>VLOOKUP(E3983,calculated_fields!$F$4:$G$6,2,FALSE)</f>
        <v>Health</v>
      </c>
    </row>
    <row r="3984" spans="1:16">
      <c r="A3984" t="s">
        <v>5454</v>
      </c>
      <c r="B3984" t="s">
        <v>5424</v>
      </c>
      <c r="C3984" t="s">
        <v>130</v>
      </c>
      <c r="D3984">
        <v>1987</v>
      </c>
      <c r="E3984" t="s">
        <v>23</v>
      </c>
      <c r="F3984" t="s">
        <v>24</v>
      </c>
      <c r="G3984" t="s">
        <v>25</v>
      </c>
      <c r="H3984" t="s">
        <v>26</v>
      </c>
      <c r="I3984">
        <v>7171347</v>
      </c>
      <c r="J3984" t="s">
        <v>27</v>
      </c>
      <c r="K3984" t="s">
        <v>5453</v>
      </c>
      <c r="L3984" t="s">
        <v>21</v>
      </c>
      <c r="M3984" t="str">
        <f t="shared" si="186"/>
        <v>OK</v>
      </c>
      <c r="N3984" t="str">
        <f t="shared" si="187"/>
        <v>1980s</v>
      </c>
      <c r="O3984" t="str">
        <f t="shared" si="188"/>
        <v>N/A</v>
      </c>
      <c r="P3984" t="str">
        <f>VLOOKUP(E3984,calculated_fields!$F$4:$G$6,2,FALSE)</f>
        <v>Demographics</v>
      </c>
    </row>
    <row r="3985" spans="1:16">
      <c r="A3985" t="s">
        <v>5455</v>
      </c>
      <c r="B3985" t="s">
        <v>5424</v>
      </c>
      <c r="C3985" t="s">
        <v>130</v>
      </c>
      <c r="D3985">
        <v>1987</v>
      </c>
      <c r="E3985" t="s">
        <v>29</v>
      </c>
      <c r="F3985" t="s">
        <v>30</v>
      </c>
      <c r="G3985" t="s">
        <v>31</v>
      </c>
      <c r="H3985" t="s">
        <v>32</v>
      </c>
      <c r="I3985">
        <v>1441.72072</v>
      </c>
      <c r="J3985" t="s">
        <v>33</v>
      </c>
      <c r="K3985" t="s">
        <v>5453</v>
      </c>
      <c r="L3985" t="s">
        <v>21</v>
      </c>
      <c r="M3985" t="str">
        <f t="shared" si="186"/>
        <v>OK</v>
      </c>
      <c r="N3985" t="str">
        <f t="shared" si="187"/>
        <v>1980s</v>
      </c>
      <c r="O3985" t="str">
        <f t="shared" si="188"/>
        <v>N/A</v>
      </c>
      <c r="P3985" t="str">
        <f>VLOOKUP(E3985,calculated_fields!$F$4:$G$6,2,FALSE)</f>
        <v>Economy</v>
      </c>
    </row>
    <row r="3986" spans="1:16">
      <c r="A3986" t="s">
        <v>5456</v>
      </c>
      <c r="B3986" t="s">
        <v>5424</v>
      </c>
      <c r="C3986" t="s">
        <v>130</v>
      </c>
      <c r="D3986">
        <v>1992</v>
      </c>
      <c r="E3986" t="s">
        <v>15</v>
      </c>
      <c r="F3986" t="s">
        <v>16</v>
      </c>
      <c r="G3986" t="s">
        <v>17</v>
      </c>
      <c r="H3986" t="s">
        <v>18</v>
      </c>
      <c r="I3986">
        <v>58.195999999999998</v>
      </c>
      <c r="J3986" t="s">
        <v>19</v>
      </c>
      <c r="K3986" t="s">
        <v>5457</v>
      </c>
      <c r="L3986" t="s">
        <v>21</v>
      </c>
      <c r="M3986" t="str">
        <f t="shared" si="186"/>
        <v>OK</v>
      </c>
      <c r="N3986" t="str">
        <f t="shared" si="187"/>
        <v>1990s</v>
      </c>
      <c r="O3986" t="str">
        <f t="shared" si="188"/>
        <v>Medium</v>
      </c>
      <c r="P3986" t="str">
        <f>VLOOKUP(E3986,calculated_fields!$F$4:$G$6,2,FALSE)</f>
        <v>Health</v>
      </c>
    </row>
    <row r="3987" spans="1:16">
      <c r="A3987" t="s">
        <v>5458</v>
      </c>
      <c r="B3987" t="s">
        <v>5424</v>
      </c>
      <c r="C3987" t="s">
        <v>130</v>
      </c>
      <c r="D3987">
        <v>1992</v>
      </c>
      <c r="E3987" t="s">
        <v>23</v>
      </c>
      <c r="F3987" t="s">
        <v>24</v>
      </c>
      <c r="G3987" t="s">
        <v>25</v>
      </c>
      <c r="H3987" t="s">
        <v>26</v>
      </c>
      <c r="I3987">
        <v>8307920</v>
      </c>
      <c r="J3987" t="s">
        <v>27</v>
      </c>
      <c r="K3987" t="s">
        <v>5457</v>
      </c>
      <c r="L3987" t="s">
        <v>21</v>
      </c>
      <c r="M3987" t="str">
        <f t="shared" si="186"/>
        <v>OK</v>
      </c>
      <c r="N3987" t="str">
        <f t="shared" si="187"/>
        <v>1990s</v>
      </c>
      <c r="O3987" t="str">
        <f t="shared" si="188"/>
        <v>N/A</v>
      </c>
      <c r="P3987" t="str">
        <f>VLOOKUP(E3987,calculated_fields!$F$4:$G$6,2,FALSE)</f>
        <v>Demographics</v>
      </c>
    </row>
    <row r="3988" spans="1:16">
      <c r="A3988" t="s">
        <v>5459</v>
      </c>
      <c r="B3988" t="s">
        <v>5424</v>
      </c>
      <c r="C3988" t="s">
        <v>130</v>
      </c>
      <c r="D3988">
        <v>1992</v>
      </c>
      <c r="E3988" t="s">
        <v>29</v>
      </c>
      <c r="F3988" t="s">
        <v>30</v>
      </c>
      <c r="G3988" t="s">
        <v>31</v>
      </c>
      <c r="H3988" t="s">
        <v>32</v>
      </c>
      <c r="I3988">
        <v>1367.899369</v>
      </c>
      <c r="J3988" t="s">
        <v>33</v>
      </c>
      <c r="K3988" t="s">
        <v>5457</v>
      </c>
      <c r="L3988" t="s">
        <v>21</v>
      </c>
      <c r="M3988" t="str">
        <f t="shared" si="186"/>
        <v>OK</v>
      </c>
      <c r="N3988" t="str">
        <f t="shared" si="187"/>
        <v>1990s</v>
      </c>
      <c r="O3988" t="str">
        <f t="shared" si="188"/>
        <v>N/A</v>
      </c>
      <c r="P3988" t="str">
        <f>VLOOKUP(E3988,calculated_fields!$F$4:$G$6,2,FALSE)</f>
        <v>Economy</v>
      </c>
    </row>
    <row r="3989" spans="1:16">
      <c r="A3989" t="s">
        <v>5460</v>
      </c>
      <c r="B3989" t="s">
        <v>5424</v>
      </c>
      <c r="C3989" t="s">
        <v>130</v>
      </c>
      <c r="D3989">
        <v>1997</v>
      </c>
      <c r="E3989" t="s">
        <v>15</v>
      </c>
      <c r="F3989" t="s">
        <v>16</v>
      </c>
      <c r="G3989" t="s">
        <v>17</v>
      </c>
      <c r="H3989" t="s">
        <v>18</v>
      </c>
      <c r="I3989">
        <v>60.186999999999998</v>
      </c>
      <c r="J3989" t="s">
        <v>19</v>
      </c>
      <c r="K3989" t="s">
        <v>5461</v>
      </c>
      <c r="L3989" t="s">
        <v>21</v>
      </c>
      <c r="M3989" t="str">
        <f t="shared" si="186"/>
        <v>OK</v>
      </c>
      <c r="N3989" t="str">
        <f t="shared" si="187"/>
        <v>1990s</v>
      </c>
      <c r="O3989" t="str">
        <f t="shared" si="188"/>
        <v>Medium</v>
      </c>
      <c r="P3989" t="str">
        <f>VLOOKUP(E3989,calculated_fields!$F$4:$G$6,2,FALSE)</f>
        <v>Health</v>
      </c>
    </row>
    <row r="3990" spans="1:16">
      <c r="A3990" t="s">
        <v>5462</v>
      </c>
      <c r="B3990" t="s">
        <v>5424</v>
      </c>
      <c r="C3990" t="s">
        <v>130</v>
      </c>
      <c r="D3990">
        <v>1997</v>
      </c>
      <c r="E3990" t="s">
        <v>23</v>
      </c>
      <c r="F3990" t="s">
        <v>24</v>
      </c>
      <c r="G3990" t="s">
        <v>25</v>
      </c>
      <c r="H3990" t="s">
        <v>26</v>
      </c>
      <c r="I3990">
        <v>9535314</v>
      </c>
      <c r="J3990" t="s">
        <v>27</v>
      </c>
      <c r="K3990" t="s">
        <v>5461</v>
      </c>
      <c r="L3990" t="s">
        <v>21</v>
      </c>
      <c r="M3990" t="str">
        <f t="shared" si="186"/>
        <v>OK</v>
      </c>
      <c r="N3990" t="str">
        <f t="shared" si="187"/>
        <v>1990s</v>
      </c>
      <c r="O3990" t="str">
        <f t="shared" si="188"/>
        <v>N/A</v>
      </c>
      <c r="P3990" t="str">
        <f>VLOOKUP(E3990,calculated_fields!$F$4:$G$6,2,FALSE)</f>
        <v>Demographics</v>
      </c>
    </row>
    <row r="3991" spans="1:16">
      <c r="A3991" t="s">
        <v>5463</v>
      </c>
      <c r="B3991" t="s">
        <v>5424</v>
      </c>
      <c r="C3991" t="s">
        <v>130</v>
      </c>
      <c r="D3991">
        <v>1997</v>
      </c>
      <c r="E3991" t="s">
        <v>29</v>
      </c>
      <c r="F3991" t="s">
        <v>30</v>
      </c>
      <c r="G3991" t="s">
        <v>31</v>
      </c>
      <c r="H3991" t="s">
        <v>32</v>
      </c>
      <c r="I3991">
        <v>1392.3683470000001</v>
      </c>
      <c r="J3991" t="s">
        <v>33</v>
      </c>
      <c r="K3991" t="s">
        <v>5461</v>
      </c>
      <c r="L3991" t="s">
        <v>21</v>
      </c>
      <c r="M3991" t="str">
        <f t="shared" si="186"/>
        <v>OK</v>
      </c>
      <c r="N3991" t="str">
        <f t="shared" si="187"/>
        <v>1990s</v>
      </c>
      <c r="O3991" t="str">
        <f t="shared" si="188"/>
        <v>N/A</v>
      </c>
      <c r="P3991" t="str">
        <f>VLOOKUP(E3991,calculated_fields!$F$4:$G$6,2,FALSE)</f>
        <v>Economy</v>
      </c>
    </row>
    <row r="3992" spans="1:16">
      <c r="A3992" t="s">
        <v>5464</v>
      </c>
      <c r="B3992" t="s">
        <v>5424</v>
      </c>
      <c r="C3992" t="s">
        <v>130</v>
      </c>
      <c r="D3992">
        <v>2002</v>
      </c>
      <c r="E3992" t="s">
        <v>15</v>
      </c>
      <c r="F3992" t="s">
        <v>16</v>
      </c>
      <c r="G3992" t="s">
        <v>17</v>
      </c>
      <c r="H3992" t="s">
        <v>18</v>
      </c>
      <c r="I3992">
        <v>61.6</v>
      </c>
      <c r="J3992" t="s">
        <v>19</v>
      </c>
      <c r="K3992" t="s">
        <v>5465</v>
      </c>
      <c r="L3992" t="s">
        <v>21</v>
      </c>
      <c r="M3992" t="str">
        <f t="shared" si="186"/>
        <v>OK</v>
      </c>
      <c r="N3992" t="str">
        <f t="shared" si="187"/>
        <v>2000s</v>
      </c>
      <c r="O3992" t="str">
        <f t="shared" si="188"/>
        <v>Medium</v>
      </c>
      <c r="P3992" t="str">
        <f>VLOOKUP(E3992,calculated_fields!$F$4:$G$6,2,FALSE)</f>
        <v>Health</v>
      </c>
    </row>
    <row r="3993" spans="1:16">
      <c r="A3993" t="s">
        <v>5466</v>
      </c>
      <c r="B3993" t="s">
        <v>5424</v>
      </c>
      <c r="C3993" t="s">
        <v>130</v>
      </c>
      <c r="D3993">
        <v>2002</v>
      </c>
      <c r="E3993" t="s">
        <v>23</v>
      </c>
      <c r="F3993" t="s">
        <v>24</v>
      </c>
      <c r="G3993" t="s">
        <v>25</v>
      </c>
      <c r="H3993" t="s">
        <v>26</v>
      </c>
      <c r="I3993">
        <v>10870037</v>
      </c>
      <c r="J3993" t="s">
        <v>27</v>
      </c>
      <c r="K3993" t="s">
        <v>5465</v>
      </c>
      <c r="L3993" t="s">
        <v>21</v>
      </c>
      <c r="M3993" t="str">
        <f t="shared" si="186"/>
        <v>OK</v>
      </c>
      <c r="N3993" t="str">
        <f t="shared" si="187"/>
        <v>2000s</v>
      </c>
      <c r="O3993" t="str">
        <f t="shared" si="188"/>
        <v>N/A</v>
      </c>
      <c r="P3993" t="str">
        <f>VLOOKUP(E3993,calculated_fields!$F$4:$G$6,2,FALSE)</f>
        <v>Demographics</v>
      </c>
    </row>
    <row r="3994" spans="1:16">
      <c r="A3994" t="s">
        <v>5467</v>
      </c>
      <c r="B3994" t="s">
        <v>5424</v>
      </c>
      <c r="C3994" t="s">
        <v>130</v>
      </c>
      <c r="D3994">
        <v>2002</v>
      </c>
      <c r="E3994" t="s">
        <v>29</v>
      </c>
      <c r="F3994" t="s">
        <v>30</v>
      </c>
      <c r="G3994" t="s">
        <v>31</v>
      </c>
      <c r="H3994" t="s">
        <v>32</v>
      </c>
      <c r="I3994">
        <v>1519.635262</v>
      </c>
      <c r="J3994" t="s">
        <v>33</v>
      </c>
      <c r="K3994" t="s">
        <v>5465</v>
      </c>
      <c r="L3994" t="s">
        <v>21</v>
      </c>
      <c r="M3994" t="str">
        <f t="shared" si="186"/>
        <v>OK</v>
      </c>
      <c r="N3994" t="str">
        <f t="shared" si="187"/>
        <v>2000s</v>
      </c>
      <c r="O3994" t="str">
        <f t="shared" si="188"/>
        <v>N/A</v>
      </c>
      <c r="P3994" t="str">
        <f>VLOOKUP(E3994,calculated_fields!$F$4:$G$6,2,FALSE)</f>
        <v>Economy</v>
      </c>
    </row>
    <row r="3995" spans="1:16">
      <c r="A3995" t="s">
        <v>5468</v>
      </c>
      <c r="B3995" t="s">
        <v>5424</v>
      </c>
      <c r="C3995" t="s">
        <v>130</v>
      </c>
      <c r="D3995">
        <v>2007</v>
      </c>
      <c r="E3995" t="s">
        <v>15</v>
      </c>
      <c r="F3995" t="s">
        <v>16</v>
      </c>
      <c r="G3995" t="s">
        <v>17</v>
      </c>
      <c r="H3995" t="s">
        <v>18</v>
      </c>
      <c r="I3995">
        <v>63.061999999999998</v>
      </c>
      <c r="J3995" t="s">
        <v>19</v>
      </c>
      <c r="K3995" t="s">
        <v>5469</v>
      </c>
      <c r="L3995" t="s">
        <v>21</v>
      </c>
      <c r="M3995" t="str">
        <f t="shared" si="186"/>
        <v>OK</v>
      </c>
      <c r="N3995" t="str">
        <f t="shared" si="187"/>
        <v>2000s</v>
      </c>
      <c r="O3995" t="str">
        <f t="shared" si="188"/>
        <v>Medium</v>
      </c>
      <c r="P3995" t="str">
        <f>VLOOKUP(E3995,calculated_fields!$F$4:$G$6,2,FALSE)</f>
        <v>Health</v>
      </c>
    </row>
    <row r="3996" spans="1:16">
      <c r="A3996" t="s">
        <v>5470</v>
      </c>
      <c r="B3996" t="s">
        <v>5424</v>
      </c>
      <c r="C3996" t="s">
        <v>130</v>
      </c>
      <c r="D3996">
        <v>2007</v>
      </c>
      <c r="E3996" t="s">
        <v>23</v>
      </c>
      <c r="F3996" t="s">
        <v>24</v>
      </c>
      <c r="G3996" t="s">
        <v>25</v>
      </c>
      <c r="H3996" t="s">
        <v>26</v>
      </c>
      <c r="I3996">
        <v>12267493</v>
      </c>
      <c r="J3996" t="s">
        <v>27</v>
      </c>
      <c r="K3996" t="s">
        <v>5469</v>
      </c>
      <c r="L3996" t="s">
        <v>21</v>
      </c>
      <c r="M3996" t="str">
        <f t="shared" si="186"/>
        <v>OK</v>
      </c>
      <c r="N3996" t="str">
        <f t="shared" si="187"/>
        <v>2000s</v>
      </c>
      <c r="O3996" t="str">
        <f t="shared" si="188"/>
        <v>N/A</v>
      </c>
      <c r="P3996" t="str">
        <f>VLOOKUP(E3996,calculated_fields!$F$4:$G$6,2,FALSE)</f>
        <v>Demographics</v>
      </c>
    </row>
    <row r="3997" spans="1:16">
      <c r="A3997" t="s">
        <v>5471</v>
      </c>
      <c r="B3997" t="s">
        <v>5424</v>
      </c>
      <c r="C3997" t="s">
        <v>130</v>
      </c>
      <c r="D3997">
        <v>2007</v>
      </c>
      <c r="E3997" t="s">
        <v>29</v>
      </c>
      <c r="F3997" t="s">
        <v>30</v>
      </c>
      <c r="G3997" t="s">
        <v>31</v>
      </c>
      <c r="H3997" t="s">
        <v>32</v>
      </c>
      <c r="I3997">
        <v>1712.4721360000001</v>
      </c>
      <c r="J3997" t="s">
        <v>33</v>
      </c>
      <c r="K3997" t="s">
        <v>5469</v>
      </c>
      <c r="L3997" t="s">
        <v>21</v>
      </c>
      <c r="M3997" t="str">
        <f t="shared" si="186"/>
        <v>OK</v>
      </c>
      <c r="N3997" t="str">
        <f t="shared" si="187"/>
        <v>2000s</v>
      </c>
      <c r="O3997" t="str">
        <f t="shared" si="188"/>
        <v>N/A</v>
      </c>
      <c r="P3997" t="str">
        <f>VLOOKUP(E3997,calculated_fields!$F$4:$G$6,2,FALSE)</f>
        <v>Economy</v>
      </c>
    </row>
    <row r="3998" spans="1:16">
      <c r="A3998" t="s">
        <v>5472</v>
      </c>
      <c r="B3998" t="s">
        <v>5473</v>
      </c>
      <c r="C3998" t="s">
        <v>80</v>
      </c>
      <c r="D3998">
        <v>1952</v>
      </c>
      <c r="E3998" t="s">
        <v>15</v>
      </c>
      <c r="F3998" t="s">
        <v>16</v>
      </c>
      <c r="G3998" t="s">
        <v>17</v>
      </c>
      <c r="H3998" t="s">
        <v>18</v>
      </c>
      <c r="I3998">
        <v>57.996000000000002</v>
      </c>
      <c r="J3998" t="s">
        <v>19</v>
      </c>
      <c r="K3998" t="s">
        <v>5474</v>
      </c>
      <c r="L3998" t="s">
        <v>21</v>
      </c>
      <c r="M3998" t="str">
        <f t="shared" si="186"/>
        <v>OK</v>
      </c>
      <c r="N3998" t="str">
        <f t="shared" si="187"/>
        <v>1950s</v>
      </c>
      <c r="O3998" t="str">
        <f t="shared" si="188"/>
        <v>Medium</v>
      </c>
      <c r="P3998" t="str">
        <f>VLOOKUP(E3998,calculated_fields!$F$4:$G$6,2,FALSE)</f>
        <v>Health</v>
      </c>
    </row>
    <row r="3999" spans="1:16">
      <c r="A3999" t="s">
        <v>5475</v>
      </c>
      <c r="B3999" t="s">
        <v>5473</v>
      </c>
      <c r="C3999" t="s">
        <v>80</v>
      </c>
      <c r="D3999">
        <v>1952</v>
      </c>
      <c r="E3999" t="s">
        <v>23</v>
      </c>
      <c r="F3999" t="s">
        <v>24</v>
      </c>
      <c r="G3999" t="s">
        <v>25</v>
      </c>
      <c r="H3999" t="s">
        <v>26</v>
      </c>
      <c r="I3999">
        <v>6860147</v>
      </c>
      <c r="J3999" t="s">
        <v>27</v>
      </c>
      <c r="K3999" t="s">
        <v>5474</v>
      </c>
      <c r="L3999" t="s">
        <v>21</v>
      </c>
      <c r="M3999" t="str">
        <f t="shared" si="186"/>
        <v>OK</v>
      </c>
      <c r="N3999" t="str">
        <f t="shared" si="187"/>
        <v>1950s</v>
      </c>
      <c r="O3999" t="str">
        <f t="shared" si="188"/>
        <v>N/A</v>
      </c>
      <c r="P3999" t="str">
        <f>VLOOKUP(E3999,calculated_fields!$F$4:$G$6,2,FALSE)</f>
        <v>Demographics</v>
      </c>
    </row>
    <row r="4000" spans="1:16">
      <c r="A4000" t="s">
        <v>5476</v>
      </c>
      <c r="B4000" t="s">
        <v>5473</v>
      </c>
      <c r="C4000" t="s">
        <v>80</v>
      </c>
      <c r="D4000">
        <v>1952</v>
      </c>
      <c r="E4000" t="s">
        <v>29</v>
      </c>
      <c r="F4000" t="s">
        <v>30</v>
      </c>
      <c r="G4000" t="s">
        <v>31</v>
      </c>
      <c r="H4000" t="s">
        <v>32</v>
      </c>
      <c r="I4000">
        <v>3581.4594480000001</v>
      </c>
      <c r="J4000" t="s">
        <v>33</v>
      </c>
      <c r="K4000" t="s">
        <v>5474</v>
      </c>
      <c r="L4000" t="s">
        <v>21</v>
      </c>
      <c r="M4000" t="str">
        <f t="shared" si="186"/>
        <v>OK</v>
      </c>
      <c r="N4000" t="str">
        <f t="shared" si="187"/>
        <v>1950s</v>
      </c>
      <c r="O4000" t="str">
        <f t="shared" si="188"/>
        <v>N/A</v>
      </c>
      <c r="P4000" t="str">
        <f>VLOOKUP(E4000,calculated_fields!$F$4:$G$6,2,FALSE)</f>
        <v>Economy</v>
      </c>
    </row>
    <row r="4001" spans="1:16">
      <c r="A4001" t="s">
        <v>5477</v>
      </c>
      <c r="B4001" t="s">
        <v>5473</v>
      </c>
      <c r="C4001" t="s">
        <v>80</v>
      </c>
      <c r="D4001">
        <v>1957</v>
      </c>
      <c r="E4001" t="s">
        <v>15</v>
      </c>
      <c r="F4001" t="s">
        <v>16</v>
      </c>
      <c r="G4001" t="s">
        <v>17</v>
      </c>
      <c r="H4001" t="s">
        <v>18</v>
      </c>
      <c r="I4001">
        <v>61.685000000000002</v>
      </c>
      <c r="J4001" t="s">
        <v>19</v>
      </c>
      <c r="K4001" t="s">
        <v>5478</v>
      </c>
      <c r="L4001" t="s">
        <v>21</v>
      </c>
      <c r="M4001" t="str">
        <f t="shared" si="186"/>
        <v>OK</v>
      </c>
      <c r="N4001" t="str">
        <f t="shared" si="187"/>
        <v>1950s</v>
      </c>
      <c r="O4001" t="str">
        <f t="shared" si="188"/>
        <v>Medium</v>
      </c>
      <c r="P4001" t="str">
        <f>VLOOKUP(E4001,calculated_fields!$F$4:$G$6,2,FALSE)</f>
        <v>Health</v>
      </c>
    </row>
    <row r="4002" spans="1:16">
      <c r="A4002" t="s">
        <v>5479</v>
      </c>
      <c r="B4002" t="s">
        <v>5473</v>
      </c>
      <c r="C4002" t="s">
        <v>80</v>
      </c>
      <c r="D4002">
        <v>1957</v>
      </c>
      <c r="E4002" t="s">
        <v>23</v>
      </c>
      <c r="F4002" t="s">
        <v>24</v>
      </c>
      <c r="G4002" t="s">
        <v>25</v>
      </c>
      <c r="H4002" t="s">
        <v>26</v>
      </c>
      <c r="I4002">
        <v>7271135</v>
      </c>
      <c r="J4002" t="s">
        <v>27</v>
      </c>
      <c r="K4002" t="s">
        <v>5478</v>
      </c>
      <c r="L4002" t="s">
        <v>21</v>
      </c>
      <c r="M4002" t="str">
        <f t="shared" si="186"/>
        <v>OK</v>
      </c>
      <c r="N4002" t="str">
        <f t="shared" si="187"/>
        <v>1950s</v>
      </c>
      <c r="O4002" t="str">
        <f t="shared" si="188"/>
        <v>N/A</v>
      </c>
      <c r="P4002" t="str">
        <f>VLOOKUP(E4002,calculated_fields!$F$4:$G$6,2,FALSE)</f>
        <v>Demographics</v>
      </c>
    </row>
    <row r="4003" spans="1:16">
      <c r="A4003" t="s">
        <v>5480</v>
      </c>
      <c r="B4003" t="s">
        <v>5473</v>
      </c>
      <c r="C4003" t="s">
        <v>80</v>
      </c>
      <c r="D4003">
        <v>1957</v>
      </c>
      <c r="E4003" t="s">
        <v>29</v>
      </c>
      <c r="F4003" t="s">
        <v>30</v>
      </c>
      <c r="G4003" t="s">
        <v>31</v>
      </c>
      <c r="H4003" t="s">
        <v>32</v>
      </c>
      <c r="I4003">
        <v>4981.0908909999998</v>
      </c>
      <c r="J4003" t="s">
        <v>33</v>
      </c>
      <c r="K4003" t="s">
        <v>5478</v>
      </c>
      <c r="L4003" t="s">
        <v>21</v>
      </c>
      <c r="M4003" t="str">
        <f t="shared" si="186"/>
        <v>OK</v>
      </c>
      <c r="N4003" t="str">
        <f t="shared" si="187"/>
        <v>1950s</v>
      </c>
      <c r="O4003" t="str">
        <f t="shared" si="188"/>
        <v>N/A</v>
      </c>
      <c r="P4003" t="str">
        <f>VLOOKUP(E4003,calculated_fields!$F$4:$G$6,2,FALSE)</f>
        <v>Economy</v>
      </c>
    </row>
    <row r="4004" spans="1:16">
      <c r="A4004" t="s">
        <v>5481</v>
      </c>
      <c r="B4004" t="s">
        <v>5473</v>
      </c>
      <c r="C4004" t="s">
        <v>80</v>
      </c>
      <c r="D4004">
        <v>1962</v>
      </c>
      <c r="E4004" t="s">
        <v>15</v>
      </c>
      <c r="F4004" t="s">
        <v>16</v>
      </c>
      <c r="G4004" t="s">
        <v>17</v>
      </c>
      <c r="H4004" t="s">
        <v>18</v>
      </c>
      <c r="I4004">
        <v>64.531000000000006</v>
      </c>
      <c r="J4004" t="s">
        <v>19</v>
      </c>
      <c r="K4004" t="s">
        <v>5482</v>
      </c>
      <c r="L4004" t="s">
        <v>21</v>
      </c>
      <c r="M4004" t="str">
        <f t="shared" si="186"/>
        <v>OK</v>
      </c>
      <c r="N4004" t="str">
        <f t="shared" si="187"/>
        <v>1960s</v>
      </c>
      <c r="O4004" t="str">
        <f t="shared" si="188"/>
        <v>Medium</v>
      </c>
      <c r="P4004" t="str">
        <f>VLOOKUP(E4004,calculated_fields!$F$4:$G$6,2,FALSE)</f>
        <v>Health</v>
      </c>
    </row>
    <row r="4005" spans="1:16">
      <c r="A4005" t="s">
        <v>5483</v>
      </c>
      <c r="B4005" t="s">
        <v>5473</v>
      </c>
      <c r="C4005" t="s">
        <v>80</v>
      </c>
      <c r="D4005">
        <v>1962</v>
      </c>
      <c r="E4005" t="s">
        <v>23</v>
      </c>
      <c r="F4005" t="s">
        <v>24</v>
      </c>
      <c r="G4005" t="s">
        <v>25</v>
      </c>
      <c r="H4005" t="s">
        <v>26</v>
      </c>
      <c r="I4005">
        <v>7616060</v>
      </c>
      <c r="J4005" t="s">
        <v>27</v>
      </c>
      <c r="K4005" t="s">
        <v>5482</v>
      </c>
      <c r="L4005" t="s">
        <v>21</v>
      </c>
      <c r="M4005" t="str">
        <f t="shared" si="186"/>
        <v>OK</v>
      </c>
      <c r="N4005" t="str">
        <f t="shared" si="187"/>
        <v>1960s</v>
      </c>
      <c r="O4005" t="str">
        <f t="shared" si="188"/>
        <v>N/A</v>
      </c>
      <c r="P4005" t="str">
        <f>VLOOKUP(E4005,calculated_fields!$F$4:$G$6,2,FALSE)</f>
        <v>Demographics</v>
      </c>
    </row>
    <row r="4006" spans="1:16">
      <c r="A4006" t="s">
        <v>5484</v>
      </c>
      <c r="B4006" t="s">
        <v>5473</v>
      </c>
      <c r="C4006" t="s">
        <v>80</v>
      </c>
      <c r="D4006">
        <v>1962</v>
      </c>
      <c r="E4006" t="s">
        <v>29</v>
      </c>
      <c r="F4006" t="s">
        <v>30</v>
      </c>
      <c r="G4006" t="s">
        <v>31</v>
      </c>
      <c r="H4006" t="s">
        <v>32</v>
      </c>
      <c r="I4006">
        <v>6289.6291570000003</v>
      </c>
      <c r="J4006" t="s">
        <v>33</v>
      </c>
      <c r="K4006" t="s">
        <v>5482</v>
      </c>
      <c r="L4006" t="s">
        <v>21</v>
      </c>
      <c r="M4006" t="str">
        <f t="shared" si="186"/>
        <v>OK</v>
      </c>
      <c r="N4006" t="str">
        <f t="shared" si="187"/>
        <v>1960s</v>
      </c>
      <c r="O4006" t="str">
        <f t="shared" si="188"/>
        <v>N/A</v>
      </c>
      <c r="P4006" t="str">
        <f>VLOOKUP(E4006,calculated_fields!$F$4:$G$6,2,FALSE)</f>
        <v>Economy</v>
      </c>
    </row>
    <row r="4007" spans="1:16">
      <c r="A4007" t="s">
        <v>5485</v>
      </c>
      <c r="B4007" t="s">
        <v>5473</v>
      </c>
      <c r="C4007" t="s">
        <v>80</v>
      </c>
      <c r="D4007">
        <v>1967</v>
      </c>
      <c r="E4007" t="s">
        <v>15</v>
      </c>
      <c r="F4007" t="s">
        <v>16</v>
      </c>
      <c r="G4007" t="s">
        <v>17</v>
      </c>
      <c r="H4007" t="s">
        <v>18</v>
      </c>
      <c r="I4007">
        <v>66.914000000000001</v>
      </c>
      <c r="J4007" t="s">
        <v>19</v>
      </c>
      <c r="K4007" t="s">
        <v>5486</v>
      </c>
      <c r="L4007" t="s">
        <v>21</v>
      </c>
      <c r="M4007" t="str">
        <f t="shared" si="186"/>
        <v>OK</v>
      </c>
      <c r="N4007" t="str">
        <f t="shared" si="187"/>
        <v>1960s</v>
      </c>
      <c r="O4007" t="str">
        <f t="shared" si="188"/>
        <v>Medium</v>
      </c>
      <c r="P4007" t="str">
        <f>VLOOKUP(E4007,calculated_fields!$F$4:$G$6,2,FALSE)</f>
        <v>Health</v>
      </c>
    </row>
    <row r="4008" spans="1:16">
      <c r="A4008" t="s">
        <v>5487</v>
      </c>
      <c r="B4008" t="s">
        <v>5473</v>
      </c>
      <c r="C4008" t="s">
        <v>80</v>
      </c>
      <c r="D4008">
        <v>1967</v>
      </c>
      <c r="E4008" t="s">
        <v>23</v>
      </c>
      <c r="F4008" t="s">
        <v>24</v>
      </c>
      <c r="G4008" t="s">
        <v>25</v>
      </c>
      <c r="H4008" t="s">
        <v>26</v>
      </c>
      <c r="I4008">
        <v>7971222</v>
      </c>
      <c r="J4008" t="s">
        <v>27</v>
      </c>
      <c r="K4008" t="s">
        <v>5486</v>
      </c>
      <c r="L4008" t="s">
        <v>21</v>
      </c>
      <c r="M4008" t="str">
        <f t="shared" si="186"/>
        <v>OK</v>
      </c>
      <c r="N4008" t="str">
        <f t="shared" si="187"/>
        <v>1960s</v>
      </c>
      <c r="O4008" t="str">
        <f t="shared" si="188"/>
        <v>N/A</v>
      </c>
      <c r="P4008" t="str">
        <f>VLOOKUP(E4008,calculated_fields!$F$4:$G$6,2,FALSE)</f>
        <v>Demographics</v>
      </c>
    </row>
    <row r="4009" spans="1:16">
      <c r="A4009" t="s">
        <v>5488</v>
      </c>
      <c r="B4009" t="s">
        <v>5473</v>
      </c>
      <c r="C4009" t="s">
        <v>80</v>
      </c>
      <c r="D4009">
        <v>1967</v>
      </c>
      <c r="E4009" t="s">
        <v>29</v>
      </c>
      <c r="F4009" t="s">
        <v>30</v>
      </c>
      <c r="G4009" t="s">
        <v>31</v>
      </c>
      <c r="H4009" t="s">
        <v>32</v>
      </c>
      <c r="I4009">
        <v>7991.7070659999999</v>
      </c>
      <c r="J4009" t="s">
        <v>33</v>
      </c>
      <c r="K4009" t="s">
        <v>5486</v>
      </c>
      <c r="L4009" t="s">
        <v>21</v>
      </c>
      <c r="M4009" t="str">
        <f t="shared" si="186"/>
        <v>OK</v>
      </c>
      <c r="N4009" t="str">
        <f t="shared" si="187"/>
        <v>1960s</v>
      </c>
      <c r="O4009" t="str">
        <f t="shared" si="188"/>
        <v>N/A</v>
      </c>
      <c r="P4009" t="str">
        <f>VLOOKUP(E4009,calculated_fields!$F$4:$G$6,2,FALSE)</f>
        <v>Economy</v>
      </c>
    </row>
    <row r="4010" spans="1:16">
      <c r="A4010" t="s">
        <v>5489</v>
      </c>
      <c r="B4010" t="s">
        <v>5473</v>
      </c>
      <c r="C4010" t="s">
        <v>80</v>
      </c>
      <c r="D4010">
        <v>1972</v>
      </c>
      <c r="E4010" t="s">
        <v>15</v>
      </c>
      <c r="F4010" t="s">
        <v>16</v>
      </c>
      <c r="G4010" t="s">
        <v>17</v>
      </c>
      <c r="H4010" t="s">
        <v>18</v>
      </c>
      <c r="I4010">
        <v>68.7</v>
      </c>
      <c r="J4010" t="s">
        <v>19</v>
      </c>
      <c r="K4010" t="s">
        <v>5490</v>
      </c>
      <c r="L4010" t="s">
        <v>21</v>
      </c>
      <c r="M4010" t="str">
        <f t="shared" si="186"/>
        <v>OK</v>
      </c>
      <c r="N4010" t="str">
        <f t="shared" si="187"/>
        <v>1970s</v>
      </c>
      <c r="O4010" t="str">
        <f t="shared" si="188"/>
        <v>Medium</v>
      </c>
      <c r="P4010" t="str">
        <f>VLOOKUP(E4010,calculated_fields!$F$4:$G$6,2,FALSE)</f>
        <v>Health</v>
      </c>
    </row>
    <row r="4011" spans="1:16">
      <c r="A4011" t="s">
        <v>5491</v>
      </c>
      <c r="B4011" t="s">
        <v>5473</v>
      </c>
      <c r="C4011" t="s">
        <v>80</v>
      </c>
      <c r="D4011">
        <v>1972</v>
      </c>
      <c r="E4011" t="s">
        <v>23</v>
      </c>
      <c r="F4011" t="s">
        <v>24</v>
      </c>
      <c r="G4011" t="s">
        <v>25</v>
      </c>
      <c r="H4011" t="s">
        <v>26</v>
      </c>
      <c r="I4011">
        <v>8313288</v>
      </c>
      <c r="J4011" t="s">
        <v>27</v>
      </c>
      <c r="K4011" t="s">
        <v>5490</v>
      </c>
      <c r="L4011" t="s">
        <v>21</v>
      </c>
      <c r="M4011" t="str">
        <f t="shared" si="186"/>
        <v>OK</v>
      </c>
      <c r="N4011" t="str">
        <f t="shared" si="187"/>
        <v>1970s</v>
      </c>
      <c r="O4011" t="str">
        <f t="shared" si="188"/>
        <v>N/A</v>
      </c>
      <c r="P4011" t="str">
        <f>VLOOKUP(E4011,calculated_fields!$F$4:$G$6,2,FALSE)</f>
        <v>Demographics</v>
      </c>
    </row>
    <row r="4012" spans="1:16">
      <c r="A4012" t="s">
        <v>5492</v>
      </c>
      <c r="B4012" t="s">
        <v>5473</v>
      </c>
      <c r="C4012" t="s">
        <v>80</v>
      </c>
      <c r="D4012">
        <v>1972</v>
      </c>
      <c r="E4012" t="s">
        <v>29</v>
      </c>
      <c r="F4012" t="s">
        <v>30</v>
      </c>
      <c r="G4012" t="s">
        <v>31</v>
      </c>
      <c r="H4012" t="s">
        <v>32</v>
      </c>
      <c r="I4012">
        <v>10522.067489999999</v>
      </c>
      <c r="J4012" t="s">
        <v>33</v>
      </c>
      <c r="K4012" t="s">
        <v>5490</v>
      </c>
      <c r="L4012" t="s">
        <v>21</v>
      </c>
      <c r="M4012" t="str">
        <f t="shared" si="186"/>
        <v>OK</v>
      </c>
      <c r="N4012" t="str">
        <f t="shared" si="187"/>
        <v>1970s</v>
      </c>
      <c r="O4012" t="str">
        <f t="shared" si="188"/>
        <v>N/A</v>
      </c>
      <c r="P4012" t="str">
        <f>VLOOKUP(E4012,calculated_fields!$F$4:$G$6,2,FALSE)</f>
        <v>Economy</v>
      </c>
    </row>
    <row r="4013" spans="1:16">
      <c r="A4013" t="s">
        <v>5493</v>
      </c>
      <c r="B4013" t="s">
        <v>5473</v>
      </c>
      <c r="C4013" t="s">
        <v>80</v>
      </c>
      <c r="D4013">
        <v>1977</v>
      </c>
      <c r="E4013" t="s">
        <v>15</v>
      </c>
      <c r="F4013" t="s">
        <v>16</v>
      </c>
      <c r="G4013" t="s">
        <v>17</v>
      </c>
      <c r="H4013" t="s">
        <v>18</v>
      </c>
      <c r="I4013">
        <v>70.3</v>
      </c>
      <c r="J4013" t="s">
        <v>19</v>
      </c>
      <c r="K4013" t="s">
        <v>5494</v>
      </c>
      <c r="L4013" t="s">
        <v>21</v>
      </c>
      <c r="M4013" t="str">
        <f t="shared" si="186"/>
        <v>OK</v>
      </c>
      <c r="N4013" t="str">
        <f t="shared" si="187"/>
        <v>1970s</v>
      </c>
      <c r="O4013" t="str">
        <f t="shared" si="188"/>
        <v>High</v>
      </c>
      <c r="P4013" t="str">
        <f>VLOOKUP(E4013,calculated_fields!$F$4:$G$6,2,FALSE)</f>
        <v>Health</v>
      </c>
    </row>
    <row r="4014" spans="1:16">
      <c r="A4014" t="s">
        <v>5495</v>
      </c>
      <c r="B4014" t="s">
        <v>5473</v>
      </c>
      <c r="C4014" t="s">
        <v>80</v>
      </c>
      <c r="D4014">
        <v>1977</v>
      </c>
      <c r="E4014" t="s">
        <v>23</v>
      </c>
      <c r="F4014" t="s">
        <v>24</v>
      </c>
      <c r="G4014" t="s">
        <v>25</v>
      </c>
      <c r="H4014" t="s">
        <v>26</v>
      </c>
      <c r="I4014">
        <v>8686367</v>
      </c>
      <c r="J4014" t="s">
        <v>27</v>
      </c>
      <c r="K4014" t="s">
        <v>5494</v>
      </c>
      <c r="L4014" t="s">
        <v>21</v>
      </c>
      <c r="M4014" t="str">
        <f t="shared" si="186"/>
        <v>OK</v>
      </c>
      <c r="N4014" t="str">
        <f t="shared" si="187"/>
        <v>1970s</v>
      </c>
      <c r="O4014" t="str">
        <f t="shared" si="188"/>
        <v>N/A</v>
      </c>
      <c r="P4014" t="str">
        <f>VLOOKUP(E4014,calculated_fields!$F$4:$G$6,2,FALSE)</f>
        <v>Demographics</v>
      </c>
    </row>
    <row r="4015" spans="1:16">
      <c r="A4015" t="s">
        <v>5496</v>
      </c>
      <c r="B4015" t="s">
        <v>5473</v>
      </c>
      <c r="C4015" t="s">
        <v>80</v>
      </c>
      <c r="D4015">
        <v>1977</v>
      </c>
      <c r="E4015" t="s">
        <v>29</v>
      </c>
      <c r="F4015" t="s">
        <v>30</v>
      </c>
      <c r="G4015" t="s">
        <v>31</v>
      </c>
      <c r="H4015" t="s">
        <v>32</v>
      </c>
      <c r="I4015">
        <v>12980.66956</v>
      </c>
      <c r="J4015" t="s">
        <v>33</v>
      </c>
      <c r="K4015" t="s">
        <v>5494</v>
      </c>
      <c r="L4015" t="s">
        <v>21</v>
      </c>
      <c r="M4015" t="str">
        <f t="shared" si="186"/>
        <v>OK</v>
      </c>
      <c r="N4015" t="str">
        <f t="shared" si="187"/>
        <v>1970s</v>
      </c>
      <c r="O4015" t="str">
        <f t="shared" si="188"/>
        <v>N/A</v>
      </c>
      <c r="P4015" t="str">
        <f>VLOOKUP(E4015,calculated_fields!$F$4:$G$6,2,FALSE)</f>
        <v>Economy</v>
      </c>
    </row>
    <row r="4016" spans="1:16">
      <c r="A4016" t="s">
        <v>5497</v>
      </c>
      <c r="B4016" t="s">
        <v>5473</v>
      </c>
      <c r="C4016" t="s">
        <v>80</v>
      </c>
      <c r="D4016">
        <v>1982</v>
      </c>
      <c r="E4016" t="s">
        <v>15</v>
      </c>
      <c r="F4016" t="s">
        <v>16</v>
      </c>
      <c r="G4016" t="s">
        <v>17</v>
      </c>
      <c r="H4016" t="s">
        <v>18</v>
      </c>
      <c r="I4016">
        <v>70.161999999999907</v>
      </c>
      <c r="J4016" t="s">
        <v>19</v>
      </c>
      <c r="K4016" t="s">
        <v>5498</v>
      </c>
      <c r="L4016" t="s">
        <v>21</v>
      </c>
      <c r="M4016" t="str">
        <f t="shared" si="186"/>
        <v>OK</v>
      </c>
      <c r="N4016" t="str">
        <f t="shared" si="187"/>
        <v>1980s</v>
      </c>
      <c r="O4016" t="str">
        <f t="shared" si="188"/>
        <v>High</v>
      </c>
      <c r="P4016" t="str">
        <f>VLOOKUP(E4016,calculated_fields!$F$4:$G$6,2,FALSE)</f>
        <v>Health</v>
      </c>
    </row>
    <row r="4017" spans="1:16">
      <c r="A4017" t="s">
        <v>5499</v>
      </c>
      <c r="B4017" t="s">
        <v>5473</v>
      </c>
      <c r="C4017" t="s">
        <v>80</v>
      </c>
      <c r="D4017">
        <v>1982</v>
      </c>
      <c r="E4017" t="s">
        <v>23</v>
      </c>
      <c r="F4017" t="s">
        <v>24</v>
      </c>
      <c r="G4017" t="s">
        <v>25</v>
      </c>
      <c r="H4017" t="s">
        <v>26</v>
      </c>
      <c r="I4017">
        <v>9032824</v>
      </c>
      <c r="J4017" t="s">
        <v>27</v>
      </c>
      <c r="K4017" t="s">
        <v>5498</v>
      </c>
      <c r="L4017" t="s">
        <v>21</v>
      </c>
      <c r="M4017" t="str">
        <f t="shared" si="186"/>
        <v>OK</v>
      </c>
      <c r="N4017" t="str">
        <f t="shared" si="187"/>
        <v>1980s</v>
      </c>
      <c r="O4017" t="str">
        <f t="shared" si="188"/>
        <v>N/A</v>
      </c>
      <c r="P4017" t="str">
        <f>VLOOKUP(E4017,calculated_fields!$F$4:$G$6,2,FALSE)</f>
        <v>Demographics</v>
      </c>
    </row>
    <row r="4018" spans="1:16">
      <c r="A4018" t="s">
        <v>5500</v>
      </c>
      <c r="B4018" t="s">
        <v>5473</v>
      </c>
      <c r="C4018" t="s">
        <v>80</v>
      </c>
      <c r="D4018">
        <v>1982</v>
      </c>
      <c r="E4018" t="s">
        <v>29</v>
      </c>
      <c r="F4018" t="s">
        <v>30</v>
      </c>
      <c r="G4018" t="s">
        <v>31</v>
      </c>
      <c r="H4018" t="s">
        <v>32</v>
      </c>
      <c r="I4018">
        <v>15181.092699999999</v>
      </c>
      <c r="J4018" t="s">
        <v>33</v>
      </c>
      <c r="K4018" t="s">
        <v>5498</v>
      </c>
      <c r="L4018" t="s">
        <v>21</v>
      </c>
      <c r="M4018" t="str">
        <f t="shared" si="186"/>
        <v>OK</v>
      </c>
      <c r="N4018" t="str">
        <f t="shared" si="187"/>
        <v>1980s</v>
      </c>
      <c r="O4018" t="str">
        <f t="shared" si="188"/>
        <v>N/A</v>
      </c>
      <c r="P4018" t="str">
        <f>VLOOKUP(E4018,calculated_fields!$F$4:$G$6,2,FALSE)</f>
        <v>Economy</v>
      </c>
    </row>
    <row r="4019" spans="1:16">
      <c r="A4019" t="s">
        <v>5501</v>
      </c>
      <c r="B4019" t="s">
        <v>5473</v>
      </c>
      <c r="C4019" t="s">
        <v>80</v>
      </c>
      <c r="D4019">
        <v>1987</v>
      </c>
      <c r="E4019" t="s">
        <v>15</v>
      </c>
      <c r="F4019" t="s">
        <v>16</v>
      </c>
      <c r="G4019" t="s">
        <v>17</v>
      </c>
      <c r="H4019" t="s">
        <v>18</v>
      </c>
      <c r="I4019">
        <v>71.218000000000004</v>
      </c>
      <c r="J4019" t="s">
        <v>19</v>
      </c>
      <c r="K4019" t="s">
        <v>5502</v>
      </c>
      <c r="L4019" t="s">
        <v>21</v>
      </c>
      <c r="M4019" t="str">
        <f t="shared" si="186"/>
        <v>OK</v>
      </c>
      <c r="N4019" t="str">
        <f t="shared" si="187"/>
        <v>1980s</v>
      </c>
      <c r="O4019" t="str">
        <f t="shared" si="188"/>
        <v>High</v>
      </c>
      <c r="P4019" t="str">
        <f>VLOOKUP(E4019,calculated_fields!$F$4:$G$6,2,FALSE)</f>
        <v>Health</v>
      </c>
    </row>
    <row r="4020" spans="1:16">
      <c r="A4020" t="s">
        <v>5503</v>
      </c>
      <c r="B4020" t="s">
        <v>5473</v>
      </c>
      <c r="C4020" t="s">
        <v>80</v>
      </c>
      <c r="D4020">
        <v>1987</v>
      </c>
      <c r="E4020" t="s">
        <v>23</v>
      </c>
      <c r="F4020" t="s">
        <v>24</v>
      </c>
      <c r="G4020" t="s">
        <v>25</v>
      </c>
      <c r="H4020" t="s">
        <v>26</v>
      </c>
      <c r="I4020">
        <v>9230783</v>
      </c>
      <c r="J4020" t="s">
        <v>27</v>
      </c>
      <c r="K4020" t="s">
        <v>5502</v>
      </c>
      <c r="L4020" t="s">
        <v>21</v>
      </c>
      <c r="M4020" t="str">
        <f t="shared" si="186"/>
        <v>OK</v>
      </c>
      <c r="N4020" t="str">
        <f t="shared" si="187"/>
        <v>1980s</v>
      </c>
      <c r="O4020" t="str">
        <f t="shared" si="188"/>
        <v>N/A</v>
      </c>
      <c r="P4020" t="str">
        <f>VLOOKUP(E4020,calculated_fields!$F$4:$G$6,2,FALSE)</f>
        <v>Demographics</v>
      </c>
    </row>
    <row r="4021" spans="1:16">
      <c r="A4021" t="s">
        <v>5504</v>
      </c>
      <c r="B4021" t="s">
        <v>5473</v>
      </c>
      <c r="C4021" t="s">
        <v>80</v>
      </c>
      <c r="D4021">
        <v>1987</v>
      </c>
      <c r="E4021" t="s">
        <v>29</v>
      </c>
      <c r="F4021" t="s">
        <v>30</v>
      </c>
      <c r="G4021" t="s">
        <v>31</v>
      </c>
      <c r="H4021" t="s">
        <v>32</v>
      </c>
      <c r="I4021">
        <v>15870.87851</v>
      </c>
      <c r="J4021" t="s">
        <v>33</v>
      </c>
      <c r="K4021" t="s">
        <v>5502</v>
      </c>
      <c r="L4021" t="s">
        <v>21</v>
      </c>
      <c r="M4021" t="str">
        <f t="shared" si="186"/>
        <v>OK</v>
      </c>
      <c r="N4021" t="str">
        <f t="shared" si="187"/>
        <v>1980s</v>
      </c>
      <c r="O4021" t="str">
        <f t="shared" si="188"/>
        <v>N/A</v>
      </c>
      <c r="P4021" t="str">
        <f>VLOOKUP(E4021,calculated_fields!$F$4:$G$6,2,FALSE)</f>
        <v>Economy</v>
      </c>
    </row>
    <row r="4022" spans="1:16">
      <c r="A4022" t="s">
        <v>5505</v>
      </c>
      <c r="B4022" t="s">
        <v>5473</v>
      </c>
      <c r="C4022" t="s">
        <v>80</v>
      </c>
      <c r="D4022">
        <v>1992</v>
      </c>
      <c r="E4022" t="s">
        <v>15</v>
      </c>
      <c r="F4022" t="s">
        <v>16</v>
      </c>
      <c r="G4022" t="s">
        <v>17</v>
      </c>
      <c r="H4022" t="s">
        <v>18</v>
      </c>
      <c r="I4022">
        <v>71.658999999999907</v>
      </c>
      <c r="J4022" t="s">
        <v>19</v>
      </c>
      <c r="K4022" t="s">
        <v>5506</v>
      </c>
      <c r="L4022" t="s">
        <v>21</v>
      </c>
      <c r="M4022" t="str">
        <f t="shared" si="186"/>
        <v>OK</v>
      </c>
      <c r="N4022" t="str">
        <f t="shared" si="187"/>
        <v>1990s</v>
      </c>
      <c r="O4022" t="str">
        <f t="shared" si="188"/>
        <v>High</v>
      </c>
      <c r="P4022" t="str">
        <f>VLOOKUP(E4022,calculated_fields!$F$4:$G$6,2,FALSE)</f>
        <v>Health</v>
      </c>
    </row>
    <row r="4023" spans="1:16">
      <c r="A4023" t="s">
        <v>5507</v>
      </c>
      <c r="B4023" t="s">
        <v>5473</v>
      </c>
      <c r="C4023" t="s">
        <v>80</v>
      </c>
      <c r="D4023">
        <v>1992</v>
      </c>
      <c r="E4023" t="s">
        <v>23</v>
      </c>
      <c r="F4023" t="s">
        <v>24</v>
      </c>
      <c r="G4023" t="s">
        <v>25</v>
      </c>
      <c r="H4023" t="s">
        <v>26</v>
      </c>
      <c r="I4023">
        <v>9826397</v>
      </c>
      <c r="J4023" t="s">
        <v>27</v>
      </c>
      <c r="K4023" t="s">
        <v>5506</v>
      </c>
      <c r="L4023" t="s">
        <v>21</v>
      </c>
      <c r="M4023" t="str">
        <f t="shared" si="186"/>
        <v>OK</v>
      </c>
      <c r="N4023" t="str">
        <f t="shared" si="187"/>
        <v>1990s</v>
      </c>
      <c r="O4023" t="str">
        <f t="shared" si="188"/>
        <v>N/A</v>
      </c>
      <c r="P4023" t="str">
        <f>VLOOKUP(E4023,calculated_fields!$F$4:$G$6,2,FALSE)</f>
        <v>Demographics</v>
      </c>
    </row>
    <row r="4024" spans="1:16">
      <c r="A4024" t="s">
        <v>5508</v>
      </c>
      <c r="B4024" t="s">
        <v>5473</v>
      </c>
      <c r="C4024" t="s">
        <v>80</v>
      </c>
      <c r="D4024">
        <v>1992</v>
      </c>
      <c r="E4024" t="s">
        <v>29</v>
      </c>
      <c r="F4024" t="s">
        <v>30</v>
      </c>
      <c r="G4024" t="s">
        <v>31</v>
      </c>
      <c r="H4024" t="s">
        <v>32</v>
      </c>
      <c r="I4024">
        <v>9325.0682379999998</v>
      </c>
      <c r="J4024" t="s">
        <v>33</v>
      </c>
      <c r="K4024" t="s">
        <v>5506</v>
      </c>
      <c r="L4024" t="s">
        <v>21</v>
      </c>
      <c r="M4024" t="str">
        <f t="shared" si="186"/>
        <v>OK</v>
      </c>
      <c r="N4024" t="str">
        <f t="shared" si="187"/>
        <v>1990s</v>
      </c>
      <c r="O4024" t="str">
        <f t="shared" si="188"/>
        <v>N/A</v>
      </c>
      <c r="P4024" t="str">
        <f>VLOOKUP(E4024,calculated_fields!$F$4:$G$6,2,FALSE)</f>
        <v>Economy</v>
      </c>
    </row>
    <row r="4025" spans="1:16">
      <c r="A4025" t="s">
        <v>5509</v>
      </c>
      <c r="B4025" t="s">
        <v>5473</v>
      </c>
      <c r="C4025" t="s">
        <v>80</v>
      </c>
      <c r="D4025">
        <v>1997</v>
      </c>
      <c r="E4025" t="s">
        <v>15</v>
      </c>
      <c r="F4025" t="s">
        <v>16</v>
      </c>
      <c r="G4025" t="s">
        <v>17</v>
      </c>
      <c r="H4025" t="s">
        <v>18</v>
      </c>
      <c r="I4025">
        <v>72.231999999999999</v>
      </c>
      <c r="J4025" t="s">
        <v>19</v>
      </c>
      <c r="K4025" t="s">
        <v>5510</v>
      </c>
      <c r="L4025" t="s">
        <v>21</v>
      </c>
      <c r="M4025" t="str">
        <f t="shared" si="186"/>
        <v>OK</v>
      </c>
      <c r="N4025" t="str">
        <f t="shared" si="187"/>
        <v>1990s</v>
      </c>
      <c r="O4025" t="str">
        <f t="shared" si="188"/>
        <v>High</v>
      </c>
      <c r="P4025" t="str">
        <f>VLOOKUP(E4025,calculated_fields!$F$4:$G$6,2,FALSE)</f>
        <v>Health</v>
      </c>
    </row>
    <row r="4026" spans="1:16">
      <c r="A4026" t="s">
        <v>5511</v>
      </c>
      <c r="B4026" t="s">
        <v>5473</v>
      </c>
      <c r="C4026" t="s">
        <v>80</v>
      </c>
      <c r="D4026">
        <v>1997</v>
      </c>
      <c r="E4026" t="s">
        <v>23</v>
      </c>
      <c r="F4026" t="s">
        <v>24</v>
      </c>
      <c r="G4026" t="s">
        <v>25</v>
      </c>
      <c r="H4026" t="s">
        <v>26</v>
      </c>
      <c r="I4026">
        <v>10336594</v>
      </c>
      <c r="J4026" t="s">
        <v>27</v>
      </c>
      <c r="K4026" t="s">
        <v>5510</v>
      </c>
      <c r="L4026" t="s">
        <v>21</v>
      </c>
      <c r="M4026" t="str">
        <f t="shared" si="186"/>
        <v>OK</v>
      </c>
      <c r="N4026" t="str">
        <f t="shared" si="187"/>
        <v>1990s</v>
      </c>
      <c r="O4026" t="str">
        <f t="shared" si="188"/>
        <v>N/A</v>
      </c>
      <c r="P4026" t="str">
        <f>VLOOKUP(E4026,calculated_fields!$F$4:$G$6,2,FALSE)</f>
        <v>Demographics</v>
      </c>
    </row>
    <row r="4027" spans="1:16">
      <c r="A4027" t="s">
        <v>5512</v>
      </c>
      <c r="B4027" t="s">
        <v>5473</v>
      </c>
      <c r="C4027" t="s">
        <v>80</v>
      </c>
      <c r="D4027">
        <v>1997</v>
      </c>
      <c r="E4027" t="s">
        <v>29</v>
      </c>
      <c r="F4027" t="s">
        <v>30</v>
      </c>
      <c r="G4027" t="s">
        <v>31</v>
      </c>
      <c r="H4027" t="s">
        <v>32</v>
      </c>
      <c r="I4027">
        <v>7914.3203039999999</v>
      </c>
      <c r="J4027" t="s">
        <v>33</v>
      </c>
      <c r="K4027" t="s">
        <v>5510</v>
      </c>
      <c r="L4027" t="s">
        <v>21</v>
      </c>
      <c r="M4027" t="str">
        <f t="shared" si="186"/>
        <v>OK</v>
      </c>
      <c r="N4027" t="str">
        <f t="shared" si="187"/>
        <v>1990s</v>
      </c>
      <c r="O4027" t="str">
        <f t="shared" si="188"/>
        <v>N/A</v>
      </c>
      <c r="P4027" t="str">
        <f>VLOOKUP(E4027,calculated_fields!$F$4:$G$6,2,FALSE)</f>
        <v>Economy</v>
      </c>
    </row>
    <row r="4028" spans="1:16">
      <c r="A4028" t="s">
        <v>5513</v>
      </c>
      <c r="B4028" t="s">
        <v>5473</v>
      </c>
      <c r="C4028" t="s">
        <v>80</v>
      </c>
      <c r="D4028">
        <v>2002</v>
      </c>
      <c r="E4028" t="s">
        <v>15</v>
      </c>
      <c r="F4028" t="s">
        <v>16</v>
      </c>
      <c r="G4028" t="s">
        <v>17</v>
      </c>
      <c r="H4028" t="s">
        <v>18</v>
      </c>
      <c r="I4028">
        <v>73.212999999999994</v>
      </c>
      <c r="J4028" t="s">
        <v>19</v>
      </c>
      <c r="K4028" t="s">
        <v>5514</v>
      </c>
      <c r="L4028" t="s">
        <v>21</v>
      </c>
      <c r="M4028" t="str">
        <f t="shared" si="186"/>
        <v>OK</v>
      </c>
      <c r="N4028" t="str">
        <f t="shared" si="187"/>
        <v>2000s</v>
      </c>
      <c r="O4028" t="str">
        <f t="shared" si="188"/>
        <v>High</v>
      </c>
      <c r="P4028" t="str">
        <f>VLOOKUP(E4028,calculated_fields!$F$4:$G$6,2,FALSE)</f>
        <v>Health</v>
      </c>
    </row>
    <row r="4029" spans="1:16">
      <c r="A4029" t="s">
        <v>5515</v>
      </c>
      <c r="B4029" t="s">
        <v>5473</v>
      </c>
      <c r="C4029" t="s">
        <v>80</v>
      </c>
      <c r="D4029">
        <v>2002</v>
      </c>
      <c r="E4029" t="s">
        <v>23</v>
      </c>
      <c r="F4029" t="s">
        <v>24</v>
      </c>
      <c r="G4029" t="s">
        <v>25</v>
      </c>
      <c r="H4029" t="s">
        <v>26</v>
      </c>
      <c r="I4029">
        <v>10111559</v>
      </c>
      <c r="J4029" t="s">
        <v>27</v>
      </c>
      <c r="K4029" t="s">
        <v>5514</v>
      </c>
      <c r="L4029" t="s">
        <v>21</v>
      </c>
      <c r="M4029" t="str">
        <f t="shared" si="186"/>
        <v>OK</v>
      </c>
      <c r="N4029" t="str">
        <f t="shared" si="187"/>
        <v>2000s</v>
      </c>
      <c r="O4029" t="str">
        <f t="shared" si="188"/>
        <v>N/A</v>
      </c>
      <c r="P4029" t="str">
        <f>VLOOKUP(E4029,calculated_fields!$F$4:$G$6,2,FALSE)</f>
        <v>Demographics</v>
      </c>
    </row>
    <row r="4030" spans="1:16">
      <c r="A4030" t="s">
        <v>5516</v>
      </c>
      <c r="B4030" t="s">
        <v>5473</v>
      </c>
      <c r="C4030" t="s">
        <v>80</v>
      </c>
      <c r="D4030">
        <v>2002</v>
      </c>
      <c r="E4030" t="s">
        <v>29</v>
      </c>
      <c r="F4030" t="s">
        <v>30</v>
      </c>
      <c r="G4030" t="s">
        <v>31</v>
      </c>
      <c r="H4030" t="s">
        <v>32</v>
      </c>
      <c r="I4030">
        <v>7236.0752510000002</v>
      </c>
      <c r="J4030" t="s">
        <v>33</v>
      </c>
      <c r="K4030" t="s">
        <v>5514</v>
      </c>
      <c r="L4030" t="s">
        <v>21</v>
      </c>
      <c r="M4030" t="str">
        <f t="shared" si="186"/>
        <v>OK</v>
      </c>
      <c r="N4030" t="str">
        <f t="shared" si="187"/>
        <v>2000s</v>
      </c>
      <c r="O4030" t="str">
        <f t="shared" si="188"/>
        <v>N/A</v>
      </c>
      <c r="P4030" t="str">
        <f>VLOOKUP(E4030,calculated_fields!$F$4:$G$6,2,FALSE)</f>
        <v>Economy</v>
      </c>
    </row>
    <row r="4031" spans="1:16">
      <c r="A4031" t="s">
        <v>5517</v>
      </c>
      <c r="B4031" t="s">
        <v>5473</v>
      </c>
      <c r="C4031" t="s">
        <v>80</v>
      </c>
      <c r="D4031">
        <v>2007</v>
      </c>
      <c r="E4031" t="s">
        <v>15</v>
      </c>
      <c r="F4031" t="s">
        <v>16</v>
      </c>
      <c r="G4031" t="s">
        <v>17</v>
      </c>
      <c r="H4031" t="s">
        <v>18</v>
      </c>
      <c r="I4031">
        <v>74.001999999999995</v>
      </c>
      <c r="J4031" t="s">
        <v>19</v>
      </c>
      <c r="K4031" t="s">
        <v>5518</v>
      </c>
      <c r="L4031" t="s">
        <v>21</v>
      </c>
      <c r="M4031" t="str">
        <f t="shared" si="186"/>
        <v>OK</v>
      </c>
      <c r="N4031" t="str">
        <f t="shared" si="187"/>
        <v>2000s</v>
      </c>
      <c r="O4031" t="str">
        <f t="shared" si="188"/>
        <v>High</v>
      </c>
      <c r="P4031" t="str">
        <f>VLOOKUP(E4031,calculated_fields!$F$4:$G$6,2,FALSE)</f>
        <v>Health</v>
      </c>
    </row>
    <row r="4032" spans="1:16">
      <c r="A4032" t="s">
        <v>5519</v>
      </c>
      <c r="B4032" t="s">
        <v>5473</v>
      </c>
      <c r="C4032" t="s">
        <v>80</v>
      </c>
      <c r="D4032">
        <v>2007</v>
      </c>
      <c r="E4032" t="s">
        <v>23</v>
      </c>
      <c r="F4032" t="s">
        <v>24</v>
      </c>
      <c r="G4032" t="s">
        <v>25</v>
      </c>
      <c r="H4032" t="s">
        <v>26</v>
      </c>
      <c r="I4032">
        <v>10150265</v>
      </c>
      <c r="J4032" t="s">
        <v>27</v>
      </c>
      <c r="K4032" t="s">
        <v>5518</v>
      </c>
      <c r="L4032" t="s">
        <v>21</v>
      </c>
      <c r="M4032" t="str">
        <f t="shared" si="186"/>
        <v>OK</v>
      </c>
      <c r="N4032" t="str">
        <f t="shared" si="187"/>
        <v>2000s</v>
      </c>
      <c r="O4032" t="str">
        <f t="shared" si="188"/>
        <v>N/A</v>
      </c>
      <c r="P4032" t="str">
        <f>VLOOKUP(E4032,calculated_fields!$F$4:$G$6,2,FALSE)</f>
        <v>Demographics</v>
      </c>
    </row>
    <row r="4033" spans="1:16">
      <c r="A4033" t="s">
        <v>5520</v>
      </c>
      <c r="B4033" t="s">
        <v>5473</v>
      </c>
      <c r="C4033" t="s">
        <v>80</v>
      </c>
      <c r="D4033">
        <v>2007</v>
      </c>
      <c r="E4033" t="s">
        <v>29</v>
      </c>
      <c r="F4033" t="s">
        <v>30</v>
      </c>
      <c r="G4033" t="s">
        <v>31</v>
      </c>
      <c r="H4033" t="s">
        <v>32</v>
      </c>
      <c r="I4033">
        <v>9786.5347139999994</v>
      </c>
      <c r="J4033" t="s">
        <v>33</v>
      </c>
      <c r="K4033" t="s">
        <v>5518</v>
      </c>
      <c r="L4033" t="s">
        <v>21</v>
      </c>
      <c r="M4033" t="str">
        <f t="shared" si="186"/>
        <v>OK</v>
      </c>
      <c r="N4033" t="str">
        <f t="shared" si="187"/>
        <v>2000s</v>
      </c>
      <c r="O4033" t="str">
        <f t="shared" si="188"/>
        <v>N/A</v>
      </c>
      <c r="P4033" t="str">
        <f>VLOOKUP(E4033,calculated_fields!$F$4:$G$6,2,FALSE)</f>
        <v>Economy</v>
      </c>
    </row>
    <row r="4034" spans="1:16">
      <c r="A4034" t="s">
        <v>5521</v>
      </c>
      <c r="B4034" t="s">
        <v>5522</v>
      </c>
      <c r="C4034" t="s">
        <v>130</v>
      </c>
      <c r="D4034">
        <v>1952</v>
      </c>
      <c r="E4034" t="s">
        <v>15</v>
      </c>
      <c r="F4034" t="s">
        <v>16</v>
      </c>
      <c r="G4034" t="s">
        <v>17</v>
      </c>
      <c r="H4034" t="s">
        <v>18</v>
      </c>
      <c r="I4034">
        <v>30.331</v>
      </c>
      <c r="J4034" t="s">
        <v>19</v>
      </c>
      <c r="K4034" t="s">
        <v>5523</v>
      </c>
      <c r="L4034" t="s">
        <v>21</v>
      </c>
      <c r="M4034" t="str">
        <f t="shared" ref="M4034:M4097" si="189">IF(AND(ISNUMBER(I4034),I4034&gt;=0),"OK","Review")</f>
        <v>OK</v>
      </c>
      <c r="N4034" t="str">
        <f t="shared" ref="N4034:N4097" si="190">FLOOR(D4034,10)&amp;"s"</f>
        <v>1950s</v>
      </c>
      <c r="O4034" t="str">
        <f t="shared" ref="O4034:O4097" si="191">IF(E4034="LIFE_EXP",IF(I4034&gt;=70,"High",IF(I4034&gt;=55,"Medium","Low")),"N/A")</f>
        <v>Low</v>
      </c>
      <c r="P4034" t="str">
        <f>VLOOKUP(E4034,calculated_fields!$F$4:$G$6,2,FALSE)</f>
        <v>Health</v>
      </c>
    </row>
    <row r="4035" spans="1:16">
      <c r="A4035" t="s">
        <v>5524</v>
      </c>
      <c r="B4035" t="s">
        <v>5522</v>
      </c>
      <c r="C4035" t="s">
        <v>130</v>
      </c>
      <c r="D4035">
        <v>1952</v>
      </c>
      <c r="E4035" t="s">
        <v>23</v>
      </c>
      <c r="F4035" t="s">
        <v>24</v>
      </c>
      <c r="G4035" t="s">
        <v>25</v>
      </c>
      <c r="H4035" t="s">
        <v>26</v>
      </c>
      <c r="I4035">
        <v>2143249</v>
      </c>
      <c r="J4035" t="s">
        <v>27</v>
      </c>
      <c r="K4035" t="s">
        <v>5523</v>
      </c>
      <c r="L4035" t="s">
        <v>21</v>
      </c>
      <c r="M4035" t="str">
        <f t="shared" si="189"/>
        <v>OK</v>
      </c>
      <c r="N4035" t="str">
        <f t="shared" si="190"/>
        <v>1950s</v>
      </c>
      <c r="O4035" t="str">
        <f t="shared" si="191"/>
        <v>N/A</v>
      </c>
      <c r="P4035" t="str">
        <f>VLOOKUP(E4035,calculated_fields!$F$4:$G$6,2,FALSE)</f>
        <v>Demographics</v>
      </c>
    </row>
    <row r="4036" spans="1:16">
      <c r="A4036" t="s">
        <v>5525</v>
      </c>
      <c r="B4036" t="s">
        <v>5522</v>
      </c>
      <c r="C4036" t="s">
        <v>130</v>
      </c>
      <c r="D4036">
        <v>1952</v>
      </c>
      <c r="E4036" t="s">
        <v>29</v>
      </c>
      <c r="F4036" t="s">
        <v>30</v>
      </c>
      <c r="G4036" t="s">
        <v>31</v>
      </c>
      <c r="H4036" t="s">
        <v>32</v>
      </c>
      <c r="I4036">
        <v>879.78773579999995</v>
      </c>
      <c r="J4036" t="s">
        <v>33</v>
      </c>
      <c r="K4036" t="s">
        <v>5523</v>
      </c>
      <c r="L4036" t="s">
        <v>21</v>
      </c>
      <c r="M4036" t="str">
        <f t="shared" si="189"/>
        <v>OK</v>
      </c>
      <c r="N4036" t="str">
        <f t="shared" si="190"/>
        <v>1950s</v>
      </c>
      <c r="O4036" t="str">
        <f t="shared" si="191"/>
        <v>N/A</v>
      </c>
      <c r="P4036" t="str">
        <f>VLOOKUP(E4036,calculated_fields!$F$4:$G$6,2,FALSE)</f>
        <v>Economy</v>
      </c>
    </row>
    <row r="4037" spans="1:16">
      <c r="A4037" t="s">
        <v>5526</v>
      </c>
      <c r="B4037" t="s">
        <v>5522</v>
      </c>
      <c r="C4037" t="s">
        <v>130</v>
      </c>
      <c r="D4037">
        <v>1957</v>
      </c>
      <c r="E4037" t="s">
        <v>15</v>
      </c>
      <c r="F4037" t="s">
        <v>16</v>
      </c>
      <c r="G4037" t="s">
        <v>17</v>
      </c>
      <c r="H4037" t="s">
        <v>18</v>
      </c>
      <c r="I4037">
        <v>31.57</v>
      </c>
      <c r="J4037" t="s">
        <v>19</v>
      </c>
      <c r="K4037" t="s">
        <v>5527</v>
      </c>
      <c r="L4037" t="s">
        <v>21</v>
      </c>
      <c r="M4037" t="str">
        <f t="shared" si="189"/>
        <v>OK</v>
      </c>
      <c r="N4037" t="str">
        <f t="shared" si="190"/>
        <v>1950s</v>
      </c>
      <c r="O4037" t="str">
        <f t="shared" si="191"/>
        <v>Low</v>
      </c>
      <c r="P4037" t="str">
        <f>VLOOKUP(E4037,calculated_fields!$F$4:$G$6,2,FALSE)</f>
        <v>Health</v>
      </c>
    </row>
    <row r="4038" spans="1:16">
      <c r="A4038" t="s">
        <v>5528</v>
      </c>
      <c r="B4038" t="s">
        <v>5522</v>
      </c>
      <c r="C4038" t="s">
        <v>130</v>
      </c>
      <c r="D4038">
        <v>1957</v>
      </c>
      <c r="E4038" t="s">
        <v>23</v>
      </c>
      <c r="F4038" t="s">
        <v>24</v>
      </c>
      <c r="G4038" t="s">
        <v>25</v>
      </c>
      <c r="H4038" t="s">
        <v>26</v>
      </c>
      <c r="I4038">
        <v>2295678</v>
      </c>
      <c r="J4038" t="s">
        <v>27</v>
      </c>
      <c r="K4038" t="s">
        <v>5527</v>
      </c>
      <c r="L4038" t="s">
        <v>21</v>
      </c>
      <c r="M4038" t="str">
        <f t="shared" si="189"/>
        <v>OK</v>
      </c>
      <c r="N4038" t="str">
        <f t="shared" si="190"/>
        <v>1950s</v>
      </c>
      <c r="O4038" t="str">
        <f t="shared" si="191"/>
        <v>N/A</v>
      </c>
      <c r="P4038" t="str">
        <f>VLOOKUP(E4038,calculated_fields!$F$4:$G$6,2,FALSE)</f>
        <v>Demographics</v>
      </c>
    </row>
    <row r="4039" spans="1:16">
      <c r="A4039" t="s">
        <v>5529</v>
      </c>
      <c r="B4039" t="s">
        <v>5522</v>
      </c>
      <c r="C4039" t="s">
        <v>130</v>
      </c>
      <c r="D4039">
        <v>1957</v>
      </c>
      <c r="E4039" t="s">
        <v>29</v>
      </c>
      <c r="F4039" t="s">
        <v>30</v>
      </c>
      <c r="G4039" t="s">
        <v>31</v>
      </c>
      <c r="H4039" t="s">
        <v>32</v>
      </c>
      <c r="I4039">
        <v>1004.484437</v>
      </c>
      <c r="J4039" t="s">
        <v>33</v>
      </c>
      <c r="K4039" t="s">
        <v>5527</v>
      </c>
      <c r="L4039" t="s">
        <v>21</v>
      </c>
      <c r="M4039" t="str">
        <f t="shared" si="189"/>
        <v>OK</v>
      </c>
      <c r="N4039" t="str">
        <f t="shared" si="190"/>
        <v>1950s</v>
      </c>
      <c r="O4039" t="str">
        <f t="shared" si="191"/>
        <v>N/A</v>
      </c>
      <c r="P4039" t="str">
        <f>VLOOKUP(E4039,calculated_fields!$F$4:$G$6,2,FALSE)</f>
        <v>Economy</v>
      </c>
    </row>
    <row r="4040" spans="1:16">
      <c r="A4040" t="s">
        <v>5530</v>
      </c>
      <c r="B4040" t="s">
        <v>5522</v>
      </c>
      <c r="C4040" t="s">
        <v>130</v>
      </c>
      <c r="D4040">
        <v>1962</v>
      </c>
      <c r="E4040" t="s">
        <v>15</v>
      </c>
      <c r="F4040" t="s">
        <v>16</v>
      </c>
      <c r="G4040" t="s">
        <v>17</v>
      </c>
      <c r="H4040" t="s">
        <v>18</v>
      </c>
      <c r="I4040">
        <v>32.767000000000003</v>
      </c>
      <c r="J4040" t="s">
        <v>19</v>
      </c>
      <c r="K4040" t="s">
        <v>5531</v>
      </c>
      <c r="L4040" t="s">
        <v>21</v>
      </c>
      <c r="M4040" t="str">
        <f t="shared" si="189"/>
        <v>OK</v>
      </c>
      <c r="N4040" t="str">
        <f t="shared" si="190"/>
        <v>1960s</v>
      </c>
      <c r="O4040" t="str">
        <f t="shared" si="191"/>
        <v>Low</v>
      </c>
      <c r="P4040" t="str">
        <f>VLOOKUP(E4040,calculated_fields!$F$4:$G$6,2,FALSE)</f>
        <v>Health</v>
      </c>
    </row>
    <row r="4041" spans="1:16">
      <c r="A4041" t="s">
        <v>5532</v>
      </c>
      <c r="B4041" t="s">
        <v>5522</v>
      </c>
      <c r="C4041" t="s">
        <v>130</v>
      </c>
      <c r="D4041">
        <v>1962</v>
      </c>
      <c r="E4041" t="s">
        <v>23</v>
      </c>
      <c r="F4041" t="s">
        <v>24</v>
      </c>
      <c r="G4041" t="s">
        <v>25</v>
      </c>
      <c r="H4041" t="s">
        <v>26</v>
      </c>
      <c r="I4041">
        <v>2467895</v>
      </c>
      <c r="J4041" t="s">
        <v>27</v>
      </c>
      <c r="K4041" t="s">
        <v>5531</v>
      </c>
      <c r="L4041" t="s">
        <v>21</v>
      </c>
      <c r="M4041" t="str">
        <f t="shared" si="189"/>
        <v>OK</v>
      </c>
      <c r="N4041" t="str">
        <f t="shared" si="190"/>
        <v>1960s</v>
      </c>
      <c r="O4041" t="str">
        <f t="shared" si="191"/>
        <v>N/A</v>
      </c>
      <c r="P4041" t="str">
        <f>VLOOKUP(E4041,calculated_fields!$F$4:$G$6,2,FALSE)</f>
        <v>Demographics</v>
      </c>
    </row>
    <row r="4042" spans="1:16">
      <c r="A4042" t="s">
        <v>5533</v>
      </c>
      <c r="B4042" t="s">
        <v>5522</v>
      </c>
      <c r="C4042" t="s">
        <v>130</v>
      </c>
      <c r="D4042">
        <v>1962</v>
      </c>
      <c r="E4042" t="s">
        <v>29</v>
      </c>
      <c r="F4042" t="s">
        <v>30</v>
      </c>
      <c r="G4042" t="s">
        <v>31</v>
      </c>
      <c r="H4042" t="s">
        <v>32</v>
      </c>
      <c r="I4042">
        <v>1116.6398769999901</v>
      </c>
      <c r="J4042" t="s">
        <v>33</v>
      </c>
      <c r="K4042" t="s">
        <v>5531</v>
      </c>
      <c r="L4042" t="s">
        <v>21</v>
      </c>
      <c r="M4042" t="str">
        <f t="shared" si="189"/>
        <v>OK</v>
      </c>
      <c r="N4042" t="str">
        <f t="shared" si="190"/>
        <v>1960s</v>
      </c>
      <c r="O4042" t="str">
        <f t="shared" si="191"/>
        <v>N/A</v>
      </c>
      <c r="P4042" t="str">
        <f>VLOOKUP(E4042,calculated_fields!$F$4:$G$6,2,FALSE)</f>
        <v>Economy</v>
      </c>
    </row>
    <row r="4043" spans="1:16">
      <c r="A4043" t="s">
        <v>5534</v>
      </c>
      <c r="B4043" t="s">
        <v>5522</v>
      </c>
      <c r="C4043" t="s">
        <v>130</v>
      </c>
      <c r="D4043">
        <v>1967</v>
      </c>
      <c r="E4043" t="s">
        <v>15</v>
      </c>
      <c r="F4043" t="s">
        <v>16</v>
      </c>
      <c r="G4043" t="s">
        <v>17</v>
      </c>
      <c r="H4043" t="s">
        <v>18</v>
      </c>
      <c r="I4043">
        <v>34.113</v>
      </c>
      <c r="J4043" t="s">
        <v>19</v>
      </c>
      <c r="K4043" t="s">
        <v>5535</v>
      </c>
      <c r="L4043" t="s">
        <v>21</v>
      </c>
      <c r="M4043" t="str">
        <f t="shared" si="189"/>
        <v>OK</v>
      </c>
      <c r="N4043" t="str">
        <f t="shared" si="190"/>
        <v>1960s</v>
      </c>
      <c r="O4043" t="str">
        <f t="shared" si="191"/>
        <v>Low</v>
      </c>
      <c r="P4043" t="str">
        <f>VLOOKUP(E4043,calculated_fields!$F$4:$G$6,2,FALSE)</f>
        <v>Health</v>
      </c>
    </row>
    <row r="4044" spans="1:16">
      <c r="A4044" t="s">
        <v>5536</v>
      </c>
      <c r="B4044" t="s">
        <v>5522</v>
      </c>
      <c r="C4044" t="s">
        <v>130</v>
      </c>
      <c r="D4044">
        <v>1967</v>
      </c>
      <c r="E4044" t="s">
        <v>23</v>
      </c>
      <c r="F4044" t="s">
        <v>24</v>
      </c>
      <c r="G4044" t="s">
        <v>25</v>
      </c>
      <c r="H4044" t="s">
        <v>26</v>
      </c>
      <c r="I4044">
        <v>2662190</v>
      </c>
      <c r="J4044" t="s">
        <v>27</v>
      </c>
      <c r="K4044" t="s">
        <v>5535</v>
      </c>
      <c r="L4044" t="s">
        <v>21</v>
      </c>
      <c r="M4044" t="str">
        <f t="shared" si="189"/>
        <v>OK</v>
      </c>
      <c r="N4044" t="str">
        <f t="shared" si="190"/>
        <v>1960s</v>
      </c>
      <c r="O4044" t="str">
        <f t="shared" si="191"/>
        <v>N/A</v>
      </c>
      <c r="P4044" t="str">
        <f>VLOOKUP(E4044,calculated_fields!$F$4:$G$6,2,FALSE)</f>
        <v>Demographics</v>
      </c>
    </row>
    <row r="4045" spans="1:16">
      <c r="A4045" t="s">
        <v>5537</v>
      </c>
      <c r="B4045" t="s">
        <v>5522</v>
      </c>
      <c r="C4045" t="s">
        <v>130</v>
      </c>
      <c r="D4045">
        <v>1967</v>
      </c>
      <c r="E4045" t="s">
        <v>29</v>
      </c>
      <c r="F4045" t="s">
        <v>30</v>
      </c>
      <c r="G4045" t="s">
        <v>31</v>
      </c>
      <c r="H4045" t="s">
        <v>32</v>
      </c>
      <c r="I4045">
        <v>1206.043465</v>
      </c>
      <c r="J4045" t="s">
        <v>33</v>
      </c>
      <c r="K4045" t="s">
        <v>5535</v>
      </c>
      <c r="L4045" t="s">
        <v>21</v>
      </c>
      <c r="M4045" t="str">
        <f t="shared" si="189"/>
        <v>OK</v>
      </c>
      <c r="N4045" t="str">
        <f t="shared" si="190"/>
        <v>1960s</v>
      </c>
      <c r="O4045" t="str">
        <f t="shared" si="191"/>
        <v>N/A</v>
      </c>
      <c r="P4045" t="str">
        <f>VLOOKUP(E4045,calculated_fields!$F$4:$G$6,2,FALSE)</f>
        <v>Economy</v>
      </c>
    </row>
    <row r="4046" spans="1:16">
      <c r="A4046" t="s">
        <v>5538</v>
      </c>
      <c r="B4046" t="s">
        <v>5522</v>
      </c>
      <c r="C4046" t="s">
        <v>130</v>
      </c>
      <c r="D4046">
        <v>1972</v>
      </c>
      <c r="E4046" t="s">
        <v>15</v>
      </c>
      <c r="F4046" t="s">
        <v>16</v>
      </c>
      <c r="G4046" t="s">
        <v>17</v>
      </c>
      <c r="H4046" t="s">
        <v>18</v>
      </c>
      <c r="I4046">
        <v>35.4</v>
      </c>
      <c r="J4046" t="s">
        <v>19</v>
      </c>
      <c r="K4046" t="s">
        <v>5539</v>
      </c>
      <c r="L4046" t="s">
        <v>21</v>
      </c>
      <c r="M4046" t="str">
        <f t="shared" si="189"/>
        <v>OK</v>
      </c>
      <c r="N4046" t="str">
        <f t="shared" si="190"/>
        <v>1970s</v>
      </c>
      <c r="O4046" t="str">
        <f t="shared" si="191"/>
        <v>Low</v>
      </c>
      <c r="P4046" t="str">
        <f>VLOOKUP(E4046,calculated_fields!$F$4:$G$6,2,FALSE)</f>
        <v>Health</v>
      </c>
    </row>
    <row r="4047" spans="1:16">
      <c r="A4047" t="s">
        <v>5540</v>
      </c>
      <c r="B4047" t="s">
        <v>5522</v>
      </c>
      <c r="C4047" t="s">
        <v>130</v>
      </c>
      <c r="D4047">
        <v>1972</v>
      </c>
      <c r="E4047" t="s">
        <v>23</v>
      </c>
      <c r="F4047" t="s">
        <v>24</v>
      </c>
      <c r="G4047" t="s">
        <v>25</v>
      </c>
      <c r="H4047" t="s">
        <v>26</v>
      </c>
      <c r="I4047">
        <v>2879013</v>
      </c>
      <c r="J4047" t="s">
        <v>27</v>
      </c>
      <c r="K4047" t="s">
        <v>5539</v>
      </c>
      <c r="L4047" t="s">
        <v>21</v>
      </c>
      <c r="M4047" t="str">
        <f t="shared" si="189"/>
        <v>OK</v>
      </c>
      <c r="N4047" t="str">
        <f t="shared" si="190"/>
        <v>1970s</v>
      </c>
      <c r="O4047" t="str">
        <f t="shared" si="191"/>
        <v>N/A</v>
      </c>
      <c r="P4047" t="str">
        <f>VLOOKUP(E4047,calculated_fields!$F$4:$G$6,2,FALSE)</f>
        <v>Demographics</v>
      </c>
    </row>
    <row r="4048" spans="1:16">
      <c r="A4048" t="s">
        <v>5541</v>
      </c>
      <c r="B4048" t="s">
        <v>5522</v>
      </c>
      <c r="C4048" t="s">
        <v>130</v>
      </c>
      <c r="D4048">
        <v>1972</v>
      </c>
      <c r="E4048" t="s">
        <v>29</v>
      </c>
      <c r="F4048" t="s">
        <v>30</v>
      </c>
      <c r="G4048" t="s">
        <v>31</v>
      </c>
      <c r="H4048" t="s">
        <v>32</v>
      </c>
      <c r="I4048">
        <v>1353.7597619999999</v>
      </c>
      <c r="J4048" t="s">
        <v>33</v>
      </c>
      <c r="K4048" t="s">
        <v>5539</v>
      </c>
      <c r="L4048" t="s">
        <v>21</v>
      </c>
      <c r="M4048" t="str">
        <f t="shared" si="189"/>
        <v>OK</v>
      </c>
      <c r="N4048" t="str">
        <f t="shared" si="190"/>
        <v>1970s</v>
      </c>
      <c r="O4048" t="str">
        <f t="shared" si="191"/>
        <v>N/A</v>
      </c>
      <c r="P4048" t="str">
        <f>VLOOKUP(E4048,calculated_fields!$F$4:$G$6,2,FALSE)</f>
        <v>Economy</v>
      </c>
    </row>
    <row r="4049" spans="1:16">
      <c r="A4049" t="s">
        <v>5542</v>
      </c>
      <c r="B4049" t="s">
        <v>5522</v>
      </c>
      <c r="C4049" t="s">
        <v>130</v>
      </c>
      <c r="D4049">
        <v>1977</v>
      </c>
      <c r="E4049" t="s">
        <v>15</v>
      </c>
      <c r="F4049" t="s">
        <v>16</v>
      </c>
      <c r="G4049" t="s">
        <v>17</v>
      </c>
      <c r="H4049" t="s">
        <v>18</v>
      </c>
      <c r="I4049">
        <v>36.787999999999997</v>
      </c>
      <c r="J4049" t="s">
        <v>19</v>
      </c>
      <c r="K4049" t="s">
        <v>5543</v>
      </c>
      <c r="L4049" t="s">
        <v>21</v>
      </c>
      <c r="M4049" t="str">
        <f t="shared" si="189"/>
        <v>OK</v>
      </c>
      <c r="N4049" t="str">
        <f t="shared" si="190"/>
        <v>1970s</v>
      </c>
      <c r="O4049" t="str">
        <f t="shared" si="191"/>
        <v>Low</v>
      </c>
      <c r="P4049" t="str">
        <f>VLOOKUP(E4049,calculated_fields!$F$4:$G$6,2,FALSE)</f>
        <v>Health</v>
      </c>
    </row>
    <row r="4050" spans="1:16">
      <c r="A4050" t="s">
        <v>5544</v>
      </c>
      <c r="B4050" t="s">
        <v>5522</v>
      </c>
      <c r="C4050" t="s">
        <v>130</v>
      </c>
      <c r="D4050">
        <v>1977</v>
      </c>
      <c r="E4050" t="s">
        <v>23</v>
      </c>
      <c r="F4050" t="s">
        <v>24</v>
      </c>
      <c r="G4050" t="s">
        <v>25</v>
      </c>
      <c r="H4050" t="s">
        <v>26</v>
      </c>
      <c r="I4050">
        <v>3140897</v>
      </c>
      <c r="J4050" t="s">
        <v>27</v>
      </c>
      <c r="K4050" t="s">
        <v>5543</v>
      </c>
      <c r="L4050" t="s">
        <v>21</v>
      </c>
      <c r="M4050" t="str">
        <f t="shared" si="189"/>
        <v>OK</v>
      </c>
      <c r="N4050" t="str">
        <f t="shared" si="190"/>
        <v>1970s</v>
      </c>
      <c r="O4050" t="str">
        <f t="shared" si="191"/>
        <v>N/A</v>
      </c>
      <c r="P4050" t="str">
        <f>VLOOKUP(E4050,calculated_fields!$F$4:$G$6,2,FALSE)</f>
        <v>Demographics</v>
      </c>
    </row>
    <row r="4051" spans="1:16">
      <c r="A4051" t="s">
        <v>5545</v>
      </c>
      <c r="B4051" t="s">
        <v>5522</v>
      </c>
      <c r="C4051" t="s">
        <v>130</v>
      </c>
      <c r="D4051">
        <v>1977</v>
      </c>
      <c r="E4051" t="s">
        <v>29</v>
      </c>
      <c r="F4051" t="s">
        <v>30</v>
      </c>
      <c r="G4051" t="s">
        <v>31</v>
      </c>
      <c r="H4051" t="s">
        <v>32</v>
      </c>
      <c r="I4051">
        <v>1348.285159</v>
      </c>
      <c r="J4051" t="s">
        <v>33</v>
      </c>
      <c r="K4051" t="s">
        <v>5543</v>
      </c>
      <c r="L4051" t="s">
        <v>21</v>
      </c>
      <c r="M4051" t="str">
        <f t="shared" si="189"/>
        <v>OK</v>
      </c>
      <c r="N4051" t="str">
        <f t="shared" si="190"/>
        <v>1970s</v>
      </c>
      <c r="O4051" t="str">
        <f t="shared" si="191"/>
        <v>N/A</v>
      </c>
      <c r="P4051" t="str">
        <f>VLOOKUP(E4051,calculated_fields!$F$4:$G$6,2,FALSE)</f>
        <v>Economy</v>
      </c>
    </row>
    <row r="4052" spans="1:16">
      <c r="A4052" t="s">
        <v>5546</v>
      </c>
      <c r="B4052" t="s">
        <v>5522</v>
      </c>
      <c r="C4052" t="s">
        <v>130</v>
      </c>
      <c r="D4052">
        <v>1982</v>
      </c>
      <c r="E4052" t="s">
        <v>15</v>
      </c>
      <c r="F4052" t="s">
        <v>16</v>
      </c>
      <c r="G4052" t="s">
        <v>17</v>
      </c>
      <c r="H4052" t="s">
        <v>18</v>
      </c>
      <c r="I4052">
        <v>38.445</v>
      </c>
      <c r="J4052" t="s">
        <v>19</v>
      </c>
      <c r="K4052" t="s">
        <v>5547</v>
      </c>
      <c r="L4052" t="s">
        <v>21</v>
      </c>
      <c r="M4052" t="str">
        <f t="shared" si="189"/>
        <v>OK</v>
      </c>
      <c r="N4052" t="str">
        <f t="shared" si="190"/>
        <v>1980s</v>
      </c>
      <c r="O4052" t="str">
        <f t="shared" si="191"/>
        <v>Low</v>
      </c>
      <c r="P4052" t="str">
        <f>VLOOKUP(E4052,calculated_fields!$F$4:$G$6,2,FALSE)</f>
        <v>Health</v>
      </c>
    </row>
    <row r="4053" spans="1:16">
      <c r="A4053" t="s">
        <v>5548</v>
      </c>
      <c r="B4053" t="s">
        <v>5522</v>
      </c>
      <c r="C4053" t="s">
        <v>130</v>
      </c>
      <c r="D4053">
        <v>1982</v>
      </c>
      <c r="E4053" t="s">
        <v>23</v>
      </c>
      <c r="F4053" t="s">
        <v>24</v>
      </c>
      <c r="G4053" t="s">
        <v>25</v>
      </c>
      <c r="H4053" t="s">
        <v>26</v>
      </c>
      <c r="I4053">
        <v>3464522</v>
      </c>
      <c r="J4053" t="s">
        <v>27</v>
      </c>
      <c r="K4053" t="s">
        <v>5547</v>
      </c>
      <c r="L4053" t="s">
        <v>21</v>
      </c>
      <c r="M4053" t="str">
        <f t="shared" si="189"/>
        <v>OK</v>
      </c>
      <c r="N4053" t="str">
        <f t="shared" si="190"/>
        <v>1980s</v>
      </c>
      <c r="O4053" t="str">
        <f t="shared" si="191"/>
        <v>N/A</v>
      </c>
      <c r="P4053" t="str">
        <f>VLOOKUP(E4053,calculated_fields!$F$4:$G$6,2,FALSE)</f>
        <v>Demographics</v>
      </c>
    </row>
    <row r="4054" spans="1:16">
      <c r="A4054" t="s">
        <v>5549</v>
      </c>
      <c r="B4054" t="s">
        <v>5522</v>
      </c>
      <c r="C4054" t="s">
        <v>130</v>
      </c>
      <c r="D4054">
        <v>1982</v>
      </c>
      <c r="E4054" t="s">
        <v>29</v>
      </c>
      <c r="F4054" t="s">
        <v>30</v>
      </c>
      <c r="G4054" t="s">
        <v>31</v>
      </c>
      <c r="H4054" t="s">
        <v>32</v>
      </c>
      <c r="I4054">
        <v>1465.0107840000001</v>
      </c>
      <c r="J4054" t="s">
        <v>33</v>
      </c>
      <c r="K4054" t="s">
        <v>5547</v>
      </c>
      <c r="L4054" t="s">
        <v>21</v>
      </c>
      <c r="M4054" t="str">
        <f t="shared" si="189"/>
        <v>OK</v>
      </c>
      <c r="N4054" t="str">
        <f t="shared" si="190"/>
        <v>1980s</v>
      </c>
      <c r="O4054" t="str">
        <f t="shared" si="191"/>
        <v>N/A</v>
      </c>
      <c r="P4054" t="str">
        <f>VLOOKUP(E4054,calculated_fields!$F$4:$G$6,2,FALSE)</f>
        <v>Economy</v>
      </c>
    </row>
    <row r="4055" spans="1:16">
      <c r="A4055" t="s">
        <v>5550</v>
      </c>
      <c r="B4055" t="s">
        <v>5522</v>
      </c>
      <c r="C4055" t="s">
        <v>130</v>
      </c>
      <c r="D4055">
        <v>1987</v>
      </c>
      <c r="E4055" t="s">
        <v>15</v>
      </c>
      <c r="F4055" t="s">
        <v>16</v>
      </c>
      <c r="G4055" t="s">
        <v>17</v>
      </c>
      <c r="H4055" t="s">
        <v>18</v>
      </c>
      <c r="I4055">
        <v>40.006</v>
      </c>
      <c r="J4055" t="s">
        <v>19</v>
      </c>
      <c r="K4055" t="s">
        <v>5551</v>
      </c>
      <c r="L4055" t="s">
        <v>21</v>
      </c>
      <c r="M4055" t="str">
        <f t="shared" si="189"/>
        <v>OK</v>
      </c>
      <c r="N4055" t="str">
        <f t="shared" si="190"/>
        <v>1980s</v>
      </c>
      <c r="O4055" t="str">
        <f t="shared" si="191"/>
        <v>Low</v>
      </c>
      <c r="P4055" t="str">
        <f>VLOOKUP(E4055,calculated_fields!$F$4:$G$6,2,FALSE)</f>
        <v>Health</v>
      </c>
    </row>
    <row r="4056" spans="1:16">
      <c r="A4056" t="s">
        <v>5552</v>
      </c>
      <c r="B4056" t="s">
        <v>5522</v>
      </c>
      <c r="C4056" t="s">
        <v>130</v>
      </c>
      <c r="D4056">
        <v>1987</v>
      </c>
      <c r="E4056" t="s">
        <v>23</v>
      </c>
      <c r="F4056" t="s">
        <v>24</v>
      </c>
      <c r="G4056" t="s">
        <v>25</v>
      </c>
      <c r="H4056" t="s">
        <v>26</v>
      </c>
      <c r="I4056">
        <v>3868905</v>
      </c>
      <c r="J4056" t="s">
        <v>27</v>
      </c>
      <c r="K4056" t="s">
        <v>5551</v>
      </c>
      <c r="L4056" t="s">
        <v>21</v>
      </c>
      <c r="M4056" t="str">
        <f t="shared" si="189"/>
        <v>OK</v>
      </c>
      <c r="N4056" t="str">
        <f t="shared" si="190"/>
        <v>1980s</v>
      </c>
      <c r="O4056" t="str">
        <f t="shared" si="191"/>
        <v>N/A</v>
      </c>
      <c r="P4056" t="str">
        <f>VLOOKUP(E4056,calculated_fields!$F$4:$G$6,2,FALSE)</f>
        <v>Demographics</v>
      </c>
    </row>
    <row r="4057" spans="1:16">
      <c r="A4057" t="s">
        <v>5553</v>
      </c>
      <c r="B4057" t="s">
        <v>5522</v>
      </c>
      <c r="C4057" t="s">
        <v>130</v>
      </c>
      <c r="D4057">
        <v>1987</v>
      </c>
      <c r="E4057" t="s">
        <v>29</v>
      </c>
      <c r="F4057" t="s">
        <v>30</v>
      </c>
      <c r="G4057" t="s">
        <v>31</v>
      </c>
      <c r="H4057" t="s">
        <v>32</v>
      </c>
      <c r="I4057">
        <v>1294.4477879999999</v>
      </c>
      <c r="J4057" t="s">
        <v>33</v>
      </c>
      <c r="K4057" t="s">
        <v>5551</v>
      </c>
      <c r="L4057" t="s">
        <v>21</v>
      </c>
      <c r="M4057" t="str">
        <f t="shared" si="189"/>
        <v>OK</v>
      </c>
      <c r="N4057" t="str">
        <f t="shared" si="190"/>
        <v>1980s</v>
      </c>
      <c r="O4057" t="str">
        <f t="shared" si="191"/>
        <v>N/A</v>
      </c>
      <c r="P4057" t="str">
        <f>VLOOKUP(E4057,calculated_fields!$F$4:$G$6,2,FALSE)</f>
        <v>Economy</v>
      </c>
    </row>
    <row r="4058" spans="1:16">
      <c r="A4058" t="s">
        <v>5554</v>
      </c>
      <c r="B4058" t="s">
        <v>5522</v>
      </c>
      <c r="C4058" t="s">
        <v>130</v>
      </c>
      <c r="D4058">
        <v>1992</v>
      </c>
      <c r="E4058" t="s">
        <v>15</v>
      </c>
      <c r="F4058" t="s">
        <v>16</v>
      </c>
      <c r="G4058" t="s">
        <v>17</v>
      </c>
      <c r="H4058" t="s">
        <v>18</v>
      </c>
      <c r="I4058">
        <v>38.332999999999998</v>
      </c>
      <c r="J4058" t="s">
        <v>19</v>
      </c>
      <c r="K4058" t="s">
        <v>5555</v>
      </c>
      <c r="L4058" t="s">
        <v>21</v>
      </c>
      <c r="M4058" t="str">
        <f t="shared" si="189"/>
        <v>OK</v>
      </c>
      <c r="N4058" t="str">
        <f t="shared" si="190"/>
        <v>1990s</v>
      </c>
      <c r="O4058" t="str">
        <f t="shared" si="191"/>
        <v>Low</v>
      </c>
      <c r="P4058" t="str">
        <f>VLOOKUP(E4058,calculated_fields!$F$4:$G$6,2,FALSE)</f>
        <v>Health</v>
      </c>
    </row>
    <row r="4059" spans="1:16">
      <c r="A4059" t="s">
        <v>5556</v>
      </c>
      <c r="B4059" t="s">
        <v>5522</v>
      </c>
      <c r="C4059" t="s">
        <v>130</v>
      </c>
      <c r="D4059">
        <v>1992</v>
      </c>
      <c r="E4059" t="s">
        <v>23</v>
      </c>
      <c r="F4059" t="s">
        <v>24</v>
      </c>
      <c r="G4059" t="s">
        <v>25</v>
      </c>
      <c r="H4059" t="s">
        <v>26</v>
      </c>
      <c r="I4059">
        <v>4260884</v>
      </c>
      <c r="J4059" t="s">
        <v>27</v>
      </c>
      <c r="K4059" t="s">
        <v>5555</v>
      </c>
      <c r="L4059" t="s">
        <v>21</v>
      </c>
      <c r="M4059" t="str">
        <f t="shared" si="189"/>
        <v>OK</v>
      </c>
      <c r="N4059" t="str">
        <f t="shared" si="190"/>
        <v>1990s</v>
      </c>
      <c r="O4059" t="str">
        <f t="shared" si="191"/>
        <v>N/A</v>
      </c>
      <c r="P4059" t="str">
        <f>VLOOKUP(E4059,calculated_fields!$F$4:$G$6,2,FALSE)</f>
        <v>Demographics</v>
      </c>
    </row>
    <row r="4060" spans="1:16">
      <c r="A4060" t="s">
        <v>5557</v>
      </c>
      <c r="B4060" t="s">
        <v>5522</v>
      </c>
      <c r="C4060" t="s">
        <v>130</v>
      </c>
      <c r="D4060">
        <v>1992</v>
      </c>
      <c r="E4060" t="s">
        <v>29</v>
      </c>
      <c r="F4060" t="s">
        <v>30</v>
      </c>
      <c r="G4060" t="s">
        <v>31</v>
      </c>
      <c r="H4060" t="s">
        <v>32</v>
      </c>
      <c r="I4060">
        <v>1068.6962779999999</v>
      </c>
      <c r="J4060" t="s">
        <v>33</v>
      </c>
      <c r="K4060" t="s">
        <v>5555</v>
      </c>
      <c r="L4060" t="s">
        <v>21</v>
      </c>
      <c r="M4060" t="str">
        <f t="shared" si="189"/>
        <v>OK</v>
      </c>
      <c r="N4060" t="str">
        <f t="shared" si="190"/>
        <v>1990s</v>
      </c>
      <c r="O4060" t="str">
        <f t="shared" si="191"/>
        <v>N/A</v>
      </c>
      <c r="P4060" t="str">
        <f>VLOOKUP(E4060,calculated_fields!$F$4:$G$6,2,FALSE)</f>
        <v>Economy</v>
      </c>
    </row>
    <row r="4061" spans="1:16">
      <c r="A4061" t="s">
        <v>5558</v>
      </c>
      <c r="B4061" t="s">
        <v>5522</v>
      </c>
      <c r="C4061" t="s">
        <v>130</v>
      </c>
      <c r="D4061">
        <v>1997</v>
      </c>
      <c r="E4061" t="s">
        <v>15</v>
      </c>
      <c r="F4061" t="s">
        <v>16</v>
      </c>
      <c r="G4061" t="s">
        <v>17</v>
      </c>
      <c r="H4061" t="s">
        <v>18</v>
      </c>
      <c r="I4061">
        <v>39.896999999999998</v>
      </c>
      <c r="J4061" t="s">
        <v>19</v>
      </c>
      <c r="K4061" t="s">
        <v>5559</v>
      </c>
      <c r="L4061" t="s">
        <v>21</v>
      </c>
      <c r="M4061" t="str">
        <f t="shared" si="189"/>
        <v>OK</v>
      </c>
      <c r="N4061" t="str">
        <f t="shared" si="190"/>
        <v>1990s</v>
      </c>
      <c r="O4061" t="str">
        <f t="shared" si="191"/>
        <v>Low</v>
      </c>
      <c r="P4061" t="str">
        <f>VLOOKUP(E4061,calculated_fields!$F$4:$G$6,2,FALSE)</f>
        <v>Health</v>
      </c>
    </row>
    <row r="4062" spans="1:16">
      <c r="A4062" t="s">
        <v>5560</v>
      </c>
      <c r="B4062" t="s">
        <v>5522</v>
      </c>
      <c r="C4062" t="s">
        <v>130</v>
      </c>
      <c r="D4062">
        <v>1997</v>
      </c>
      <c r="E4062" t="s">
        <v>23</v>
      </c>
      <c r="F4062" t="s">
        <v>24</v>
      </c>
      <c r="G4062" t="s">
        <v>25</v>
      </c>
      <c r="H4062" t="s">
        <v>26</v>
      </c>
      <c r="I4062">
        <v>4578212</v>
      </c>
      <c r="J4062" t="s">
        <v>27</v>
      </c>
      <c r="K4062" t="s">
        <v>5559</v>
      </c>
      <c r="L4062" t="s">
        <v>21</v>
      </c>
      <c r="M4062" t="str">
        <f t="shared" si="189"/>
        <v>OK</v>
      </c>
      <c r="N4062" t="str">
        <f t="shared" si="190"/>
        <v>1990s</v>
      </c>
      <c r="O4062" t="str">
        <f t="shared" si="191"/>
        <v>N/A</v>
      </c>
      <c r="P4062" t="str">
        <f>VLOOKUP(E4062,calculated_fields!$F$4:$G$6,2,FALSE)</f>
        <v>Demographics</v>
      </c>
    </row>
    <row r="4063" spans="1:16">
      <c r="A4063" t="s">
        <v>5561</v>
      </c>
      <c r="B4063" t="s">
        <v>5522</v>
      </c>
      <c r="C4063" t="s">
        <v>130</v>
      </c>
      <c r="D4063">
        <v>1997</v>
      </c>
      <c r="E4063" t="s">
        <v>29</v>
      </c>
      <c r="F4063" t="s">
        <v>30</v>
      </c>
      <c r="G4063" t="s">
        <v>31</v>
      </c>
      <c r="H4063" t="s">
        <v>32</v>
      </c>
      <c r="I4063">
        <v>574.64815759999999</v>
      </c>
      <c r="J4063" t="s">
        <v>33</v>
      </c>
      <c r="K4063" t="s">
        <v>5559</v>
      </c>
      <c r="L4063" t="s">
        <v>21</v>
      </c>
      <c r="M4063" t="str">
        <f t="shared" si="189"/>
        <v>OK</v>
      </c>
      <c r="N4063" t="str">
        <f t="shared" si="190"/>
        <v>1990s</v>
      </c>
      <c r="O4063" t="str">
        <f t="shared" si="191"/>
        <v>N/A</v>
      </c>
      <c r="P4063" t="str">
        <f>VLOOKUP(E4063,calculated_fields!$F$4:$G$6,2,FALSE)</f>
        <v>Economy</v>
      </c>
    </row>
    <row r="4064" spans="1:16">
      <c r="A4064" t="s">
        <v>5562</v>
      </c>
      <c r="B4064" t="s">
        <v>5522</v>
      </c>
      <c r="C4064" t="s">
        <v>130</v>
      </c>
      <c r="D4064">
        <v>2002</v>
      </c>
      <c r="E4064" t="s">
        <v>15</v>
      </c>
      <c r="F4064" t="s">
        <v>16</v>
      </c>
      <c r="G4064" t="s">
        <v>17</v>
      </c>
      <c r="H4064" t="s">
        <v>18</v>
      </c>
      <c r="I4064">
        <v>41.012</v>
      </c>
      <c r="J4064" t="s">
        <v>19</v>
      </c>
      <c r="K4064" t="s">
        <v>5563</v>
      </c>
      <c r="L4064" t="s">
        <v>21</v>
      </c>
      <c r="M4064" t="str">
        <f t="shared" si="189"/>
        <v>OK</v>
      </c>
      <c r="N4064" t="str">
        <f t="shared" si="190"/>
        <v>2000s</v>
      </c>
      <c r="O4064" t="str">
        <f t="shared" si="191"/>
        <v>Low</v>
      </c>
      <c r="P4064" t="str">
        <f>VLOOKUP(E4064,calculated_fields!$F$4:$G$6,2,FALSE)</f>
        <v>Health</v>
      </c>
    </row>
    <row r="4065" spans="1:16">
      <c r="A4065" t="s">
        <v>5564</v>
      </c>
      <c r="B4065" t="s">
        <v>5522</v>
      </c>
      <c r="C4065" t="s">
        <v>130</v>
      </c>
      <c r="D4065">
        <v>2002</v>
      </c>
      <c r="E4065" t="s">
        <v>23</v>
      </c>
      <c r="F4065" t="s">
        <v>24</v>
      </c>
      <c r="G4065" t="s">
        <v>25</v>
      </c>
      <c r="H4065" t="s">
        <v>26</v>
      </c>
      <c r="I4065">
        <v>5359092</v>
      </c>
      <c r="J4065" t="s">
        <v>27</v>
      </c>
      <c r="K4065" t="s">
        <v>5563</v>
      </c>
      <c r="L4065" t="s">
        <v>21</v>
      </c>
      <c r="M4065" t="str">
        <f t="shared" si="189"/>
        <v>OK</v>
      </c>
      <c r="N4065" t="str">
        <f t="shared" si="190"/>
        <v>2000s</v>
      </c>
      <c r="O4065" t="str">
        <f t="shared" si="191"/>
        <v>N/A</v>
      </c>
      <c r="P4065" t="str">
        <f>VLOOKUP(E4065,calculated_fields!$F$4:$G$6,2,FALSE)</f>
        <v>Demographics</v>
      </c>
    </row>
    <row r="4066" spans="1:16">
      <c r="A4066" t="s">
        <v>5565</v>
      </c>
      <c r="B4066" t="s">
        <v>5522</v>
      </c>
      <c r="C4066" t="s">
        <v>130</v>
      </c>
      <c r="D4066">
        <v>2002</v>
      </c>
      <c r="E4066" t="s">
        <v>29</v>
      </c>
      <c r="F4066" t="s">
        <v>30</v>
      </c>
      <c r="G4066" t="s">
        <v>31</v>
      </c>
      <c r="H4066" t="s">
        <v>32</v>
      </c>
      <c r="I4066">
        <v>699.48971299999903</v>
      </c>
      <c r="J4066" t="s">
        <v>33</v>
      </c>
      <c r="K4066" t="s">
        <v>5563</v>
      </c>
      <c r="L4066" t="s">
        <v>21</v>
      </c>
      <c r="M4066" t="str">
        <f t="shared" si="189"/>
        <v>OK</v>
      </c>
      <c r="N4066" t="str">
        <f t="shared" si="190"/>
        <v>2000s</v>
      </c>
      <c r="O4066" t="str">
        <f t="shared" si="191"/>
        <v>N/A</v>
      </c>
      <c r="P4066" t="str">
        <f>VLOOKUP(E4066,calculated_fields!$F$4:$G$6,2,FALSE)</f>
        <v>Economy</v>
      </c>
    </row>
    <row r="4067" spans="1:16">
      <c r="A4067" t="s">
        <v>5566</v>
      </c>
      <c r="B4067" t="s">
        <v>5522</v>
      </c>
      <c r="C4067" t="s">
        <v>130</v>
      </c>
      <c r="D4067">
        <v>2007</v>
      </c>
      <c r="E4067" t="s">
        <v>15</v>
      </c>
      <c r="F4067" t="s">
        <v>16</v>
      </c>
      <c r="G4067" t="s">
        <v>17</v>
      </c>
      <c r="H4067" t="s">
        <v>18</v>
      </c>
      <c r="I4067">
        <v>42.567999999999998</v>
      </c>
      <c r="J4067" t="s">
        <v>19</v>
      </c>
      <c r="K4067" t="s">
        <v>5567</v>
      </c>
      <c r="L4067" t="s">
        <v>21</v>
      </c>
      <c r="M4067" t="str">
        <f t="shared" si="189"/>
        <v>OK</v>
      </c>
      <c r="N4067" t="str">
        <f t="shared" si="190"/>
        <v>2000s</v>
      </c>
      <c r="O4067" t="str">
        <f t="shared" si="191"/>
        <v>Low</v>
      </c>
      <c r="P4067" t="str">
        <f>VLOOKUP(E4067,calculated_fields!$F$4:$G$6,2,FALSE)</f>
        <v>Health</v>
      </c>
    </row>
    <row r="4068" spans="1:16">
      <c r="A4068" t="s">
        <v>5568</v>
      </c>
      <c r="B4068" t="s">
        <v>5522</v>
      </c>
      <c r="C4068" t="s">
        <v>130</v>
      </c>
      <c r="D4068">
        <v>2007</v>
      </c>
      <c r="E4068" t="s">
        <v>23</v>
      </c>
      <c r="F4068" t="s">
        <v>24</v>
      </c>
      <c r="G4068" t="s">
        <v>25</v>
      </c>
      <c r="H4068" t="s">
        <v>26</v>
      </c>
      <c r="I4068">
        <v>6144562</v>
      </c>
      <c r="J4068" t="s">
        <v>27</v>
      </c>
      <c r="K4068" t="s">
        <v>5567</v>
      </c>
      <c r="L4068" t="s">
        <v>21</v>
      </c>
      <c r="M4068" t="str">
        <f t="shared" si="189"/>
        <v>OK</v>
      </c>
      <c r="N4068" t="str">
        <f t="shared" si="190"/>
        <v>2000s</v>
      </c>
      <c r="O4068" t="str">
        <f t="shared" si="191"/>
        <v>N/A</v>
      </c>
      <c r="P4068" t="str">
        <f>VLOOKUP(E4068,calculated_fields!$F$4:$G$6,2,FALSE)</f>
        <v>Demographics</v>
      </c>
    </row>
    <row r="4069" spans="1:16">
      <c r="A4069" t="s">
        <v>5569</v>
      </c>
      <c r="B4069" t="s">
        <v>5522</v>
      </c>
      <c r="C4069" t="s">
        <v>130</v>
      </c>
      <c r="D4069">
        <v>2007</v>
      </c>
      <c r="E4069" t="s">
        <v>29</v>
      </c>
      <c r="F4069" t="s">
        <v>30</v>
      </c>
      <c r="G4069" t="s">
        <v>31</v>
      </c>
      <c r="H4069" t="s">
        <v>32</v>
      </c>
      <c r="I4069">
        <v>862.54075609999995</v>
      </c>
      <c r="J4069" t="s">
        <v>33</v>
      </c>
      <c r="K4069" t="s">
        <v>5567</v>
      </c>
      <c r="L4069" t="s">
        <v>21</v>
      </c>
      <c r="M4069" t="str">
        <f t="shared" si="189"/>
        <v>OK</v>
      </c>
      <c r="N4069" t="str">
        <f t="shared" si="190"/>
        <v>2000s</v>
      </c>
      <c r="O4069" t="str">
        <f t="shared" si="191"/>
        <v>N/A</v>
      </c>
      <c r="P4069" t="str">
        <f>VLOOKUP(E4069,calculated_fields!$F$4:$G$6,2,FALSE)</f>
        <v>Economy</v>
      </c>
    </row>
    <row r="4070" spans="1:16">
      <c r="A4070" t="s">
        <v>5570</v>
      </c>
      <c r="B4070" t="s">
        <v>5571</v>
      </c>
      <c r="C4070" t="s">
        <v>14</v>
      </c>
      <c r="D4070">
        <v>1952</v>
      </c>
      <c r="E4070" t="s">
        <v>15</v>
      </c>
      <c r="F4070" t="s">
        <v>16</v>
      </c>
      <c r="G4070" t="s">
        <v>17</v>
      </c>
      <c r="H4070" t="s">
        <v>18</v>
      </c>
      <c r="I4070">
        <v>60.396000000000001</v>
      </c>
      <c r="J4070" t="s">
        <v>19</v>
      </c>
      <c r="K4070" t="s">
        <v>5572</v>
      </c>
      <c r="L4070" t="s">
        <v>21</v>
      </c>
      <c r="M4070" t="str">
        <f t="shared" si="189"/>
        <v>OK</v>
      </c>
      <c r="N4070" t="str">
        <f t="shared" si="190"/>
        <v>1950s</v>
      </c>
      <c r="O4070" t="str">
        <f t="shared" si="191"/>
        <v>Medium</v>
      </c>
      <c r="P4070" t="str">
        <f>VLOOKUP(E4070,calculated_fields!$F$4:$G$6,2,FALSE)</f>
        <v>Health</v>
      </c>
    </row>
    <row r="4071" spans="1:16">
      <c r="A4071" t="s">
        <v>5573</v>
      </c>
      <c r="B4071" t="s">
        <v>5571</v>
      </c>
      <c r="C4071" t="s">
        <v>14</v>
      </c>
      <c r="D4071">
        <v>1952</v>
      </c>
      <c r="E4071" t="s">
        <v>23</v>
      </c>
      <c r="F4071" t="s">
        <v>24</v>
      </c>
      <c r="G4071" t="s">
        <v>25</v>
      </c>
      <c r="H4071" t="s">
        <v>26</v>
      </c>
      <c r="I4071">
        <v>1127000</v>
      </c>
      <c r="J4071" t="s">
        <v>27</v>
      </c>
      <c r="K4071" t="s">
        <v>5572</v>
      </c>
      <c r="L4071" t="s">
        <v>21</v>
      </c>
      <c r="M4071" t="str">
        <f t="shared" si="189"/>
        <v>OK</v>
      </c>
      <c r="N4071" t="str">
        <f t="shared" si="190"/>
        <v>1950s</v>
      </c>
      <c r="O4071" t="str">
        <f t="shared" si="191"/>
        <v>N/A</v>
      </c>
      <c r="P4071" t="str">
        <f>VLOOKUP(E4071,calculated_fields!$F$4:$G$6,2,FALSE)</f>
        <v>Demographics</v>
      </c>
    </row>
    <row r="4072" spans="1:16">
      <c r="A4072" t="s">
        <v>5574</v>
      </c>
      <c r="B4072" t="s">
        <v>5571</v>
      </c>
      <c r="C4072" t="s">
        <v>14</v>
      </c>
      <c r="D4072">
        <v>1952</v>
      </c>
      <c r="E4072" t="s">
        <v>29</v>
      </c>
      <c r="F4072" t="s">
        <v>30</v>
      </c>
      <c r="G4072" t="s">
        <v>31</v>
      </c>
      <c r="H4072" t="s">
        <v>32</v>
      </c>
      <c r="I4072">
        <v>2315.1382269999999</v>
      </c>
      <c r="J4072" t="s">
        <v>33</v>
      </c>
      <c r="K4072" t="s">
        <v>5572</v>
      </c>
      <c r="L4072" t="s">
        <v>21</v>
      </c>
      <c r="M4072" t="str">
        <f t="shared" si="189"/>
        <v>OK</v>
      </c>
      <c r="N4072" t="str">
        <f t="shared" si="190"/>
        <v>1950s</v>
      </c>
      <c r="O4072" t="str">
        <f t="shared" si="191"/>
        <v>N/A</v>
      </c>
      <c r="P4072" t="str">
        <f>VLOOKUP(E4072,calculated_fields!$F$4:$G$6,2,FALSE)</f>
        <v>Economy</v>
      </c>
    </row>
    <row r="4073" spans="1:16">
      <c r="A4073" t="s">
        <v>5575</v>
      </c>
      <c r="B4073" t="s">
        <v>5571</v>
      </c>
      <c r="C4073" t="s">
        <v>14</v>
      </c>
      <c r="D4073">
        <v>1957</v>
      </c>
      <c r="E4073" t="s">
        <v>15</v>
      </c>
      <c r="F4073" t="s">
        <v>16</v>
      </c>
      <c r="G4073" t="s">
        <v>17</v>
      </c>
      <c r="H4073" t="s">
        <v>18</v>
      </c>
      <c r="I4073">
        <v>63.179000000000002</v>
      </c>
      <c r="J4073" t="s">
        <v>19</v>
      </c>
      <c r="K4073" t="s">
        <v>5576</v>
      </c>
      <c r="L4073" t="s">
        <v>21</v>
      </c>
      <c r="M4073" t="str">
        <f t="shared" si="189"/>
        <v>OK</v>
      </c>
      <c r="N4073" t="str">
        <f t="shared" si="190"/>
        <v>1950s</v>
      </c>
      <c r="O4073" t="str">
        <f t="shared" si="191"/>
        <v>Medium</v>
      </c>
      <c r="P4073" t="str">
        <f>VLOOKUP(E4073,calculated_fields!$F$4:$G$6,2,FALSE)</f>
        <v>Health</v>
      </c>
    </row>
    <row r="4074" spans="1:16">
      <c r="A4074" t="s">
        <v>5577</v>
      </c>
      <c r="B4074" t="s">
        <v>5571</v>
      </c>
      <c r="C4074" t="s">
        <v>14</v>
      </c>
      <c r="D4074">
        <v>1957</v>
      </c>
      <c r="E4074" t="s">
        <v>23</v>
      </c>
      <c r="F4074" t="s">
        <v>24</v>
      </c>
      <c r="G4074" t="s">
        <v>25</v>
      </c>
      <c r="H4074" t="s">
        <v>26</v>
      </c>
      <c r="I4074">
        <v>1445929</v>
      </c>
      <c r="J4074" t="s">
        <v>27</v>
      </c>
      <c r="K4074" t="s">
        <v>5576</v>
      </c>
      <c r="L4074" t="s">
        <v>21</v>
      </c>
      <c r="M4074" t="str">
        <f t="shared" si="189"/>
        <v>OK</v>
      </c>
      <c r="N4074" t="str">
        <f t="shared" si="190"/>
        <v>1950s</v>
      </c>
      <c r="O4074" t="str">
        <f t="shared" si="191"/>
        <v>N/A</v>
      </c>
      <c r="P4074" t="str">
        <f>VLOOKUP(E4074,calculated_fields!$F$4:$G$6,2,FALSE)</f>
        <v>Demographics</v>
      </c>
    </row>
    <row r="4075" spans="1:16">
      <c r="A4075" t="s">
        <v>5578</v>
      </c>
      <c r="B4075" t="s">
        <v>5571</v>
      </c>
      <c r="C4075" t="s">
        <v>14</v>
      </c>
      <c r="D4075">
        <v>1957</v>
      </c>
      <c r="E4075" t="s">
        <v>29</v>
      </c>
      <c r="F4075" t="s">
        <v>30</v>
      </c>
      <c r="G4075" t="s">
        <v>31</v>
      </c>
      <c r="H4075" t="s">
        <v>32</v>
      </c>
      <c r="I4075">
        <v>2843.104409</v>
      </c>
      <c r="J4075" t="s">
        <v>33</v>
      </c>
      <c r="K4075" t="s">
        <v>5576</v>
      </c>
      <c r="L4075" t="s">
        <v>21</v>
      </c>
      <c r="M4075" t="str">
        <f t="shared" si="189"/>
        <v>OK</v>
      </c>
      <c r="N4075" t="str">
        <f t="shared" si="190"/>
        <v>1950s</v>
      </c>
      <c r="O4075" t="str">
        <f t="shared" si="191"/>
        <v>N/A</v>
      </c>
      <c r="P4075" t="str">
        <f>VLOOKUP(E4075,calculated_fields!$F$4:$G$6,2,FALSE)</f>
        <v>Economy</v>
      </c>
    </row>
    <row r="4076" spans="1:16">
      <c r="A4076" t="s">
        <v>5579</v>
      </c>
      <c r="B4076" t="s">
        <v>5571</v>
      </c>
      <c r="C4076" t="s">
        <v>14</v>
      </c>
      <c r="D4076">
        <v>1962</v>
      </c>
      <c r="E4076" t="s">
        <v>15</v>
      </c>
      <c r="F4076" t="s">
        <v>16</v>
      </c>
      <c r="G4076" t="s">
        <v>17</v>
      </c>
      <c r="H4076" t="s">
        <v>18</v>
      </c>
      <c r="I4076">
        <v>65.798000000000002</v>
      </c>
      <c r="J4076" t="s">
        <v>19</v>
      </c>
      <c r="K4076" t="s">
        <v>5580</v>
      </c>
      <c r="L4076" t="s">
        <v>21</v>
      </c>
      <c r="M4076" t="str">
        <f t="shared" si="189"/>
        <v>OK</v>
      </c>
      <c r="N4076" t="str">
        <f t="shared" si="190"/>
        <v>1960s</v>
      </c>
      <c r="O4076" t="str">
        <f t="shared" si="191"/>
        <v>Medium</v>
      </c>
      <c r="P4076" t="str">
        <f>VLOOKUP(E4076,calculated_fields!$F$4:$G$6,2,FALSE)</f>
        <v>Health</v>
      </c>
    </row>
    <row r="4077" spans="1:16">
      <c r="A4077" t="s">
        <v>5581</v>
      </c>
      <c r="B4077" t="s">
        <v>5571</v>
      </c>
      <c r="C4077" t="s">
        <v>14</v>
      </c>
      <c r="D4077">
        <v>1962</v>
      </c>
      <c r="E4077" t="s">
        <v>23</v>
      </c>
      <c r="F4077" t="s">
        <v>24</v>
      </c>
      <c r="G4077" t="s">
        <v>25</v>
      </c>
      <c r="H4077" t="s">
        <v>26</v>
      </c>
      <c r="I4077">
        <v>1750200</v>
      </c>
      <c r="J4077" t="s">
        <v>27</v>
      </c>
      <c r="K4077" t="s">
        <v>5580</v>
      </c>
      <c r="L4077" t="s">
        <v>21</v>
      </c>
      <c r="M4077" t="str">
        <f t="shared" si="189"/>
        <v>OK</v>
      </c>
      <c r="N4077" t="str">
        <f t="shared" si="190"/>
        <v>1960s</v>
      </c>
      <c r="O4077" t="str">
        <f t="shared" si="191"/>
        <v>N/A</v>
      </c>
      <c r="P4077" t="str">
        <f>VLOOKUP(E4077,calculated_fields!$F$4:$G$6,2,FALSE)</f>
        <v>Demographics</v>
      </c>
    </row>
    <row r="4078" spans="1:16">
      <c r="A4078" t="s">
        <v>5582</v>
      </c>
      <c r="B4078" t="s">
        <v>5571</v>
      </c>
      <c r="C4078" t="s">
        <v>14</v>
      </c>
      <c r="D4078">
        <v>1962</v>
      </c>
      <c r="E4078" t="s">
        <v>29</v>
      </c>
      <c r="F4078" t="s">
        <v>30</v>
      </c>
      <c r="G4078" t="s">
        <v>31</v>
      </c>
      <c r="H4078" t="s">
        <v>32</v>
      </c>
      <c r="I4078">
        <v>3674.735572</v>
      </c>
      <c r="J4078" t="s">
        <v>33</v>
      </c>
      <c r="K4078" t="s">
        <v>5580</v>
      </c>
      <c r="L4078" t="s">
        <v>21</v>
      </c>
      <c r="M4078" t="str">
        <f t="shared" si="189"/>
        <v>OK</v>
      </c>
      <c r="N4078" t="str">
        <f t="shared" si="190"/>
        <v>1960s</v>
      </c>
      <c r="O4078" t="str">
        <f t="shared" si="191"/>
        <v>N/A</v>
      </c>
      <c r="P4078" t="str">
        <f>VLOOKUP(E4078,calculated_fields!$F$4:$G$6,2,FALSE)</f>
        <v>Economy</v>
      </c>
    </row>
    <row r="4079" spans="1:16">
      <c r="A4079" t="s">
        <v>5583</v>
      </c>
      <c r="B4079" t="s">
        <v>5571</v>
      </c>
      <c r="C4079" t="s">
        <v>14</v>
      </c>
      <c r="D4079">
        <v>1967</v>
      </c>
      <c r="E4079" t="s">
        <v>15</v>
      </c>
      <c r="F4079" t="s">
        <v>16</v>
      </c>
      <c r="G4079" t="s">
        <v>17</v>
      </c>
      <c r="H4079" t="s">
        <v>18</v>
      </c>
      <c r="I4079">
        <v>67.945999999999998</v>
      </c>
      <c r="J4079" t="s">
        <v>19</v>
      </c>
      <c r="K4079" t="s">
        <v>5584</v>
      </c>
      <c r="L4079" t="s">
        <v>21</v>
      </c>
      <c r="M4079" t="str">
        <f t="shared" si="189"/>
        <v>OK</v>
      </c>
      <c r="N4079" t="str">
        <f t="shared" si="190"/>
        <v>1960s</v>
      </c>
      <c r="O4079" t="str">
        <f t="shared" si="191"/>
        <v>Medium</v>
      </c>
      <c r="P4079" t="str">
        <f>VLOOKUP(E4079,calculated_fields!$F$4:$G$6,2,FALSE)</f>
        <v>Health</v>
      </c>
    </row>
    <row r="4080" spans="1:16">
      <c r="A4080" t="s">
        <v>5585</v>
      </c>
      <c r="B4080" t="s">
        <v>5571</v>
      </c>
      <c r="C4080" t="s">
        <v>14</v>
      </c>
      <c r="D4080">
        <v>1967</v>
      </c>
      <c r="E4080" t="s">
        <v>23</v>
      </c>
      <c r="F4080" t="s">
        <v>24</v>
      </c>
      <c r="G4080" t="s">
        <v>25</v>
      </c>
      <c r="H4080" t="s">
        <v>26</v>
      </c>
      <c r="I4080">
        <v>1977600</v>
      </c>
      <c r="J4080" t="s">
        <v>27</v>
      </c>
      <c r="K4080" t="s">
        <v>5584</v>
      </c>
      <c r="L4080" t="s">
        <v>21</v>
      </c>
      <c r="M4080" t="str">
        <f t="shared" si="189"/>
        <v>OK</v>
      </c>
      <c r="N4080" t="str">
        <f t="shared" si="190"/>
        <v>1960s</v>
      </c>
      <c r="O4080" t="str">
        <f t="shared" si="191"/>
        <v>N/A</v>
      </c>
      <c r="P4080" t="str">
        <f>VLOOKUP(E4080,calculated_fields!$F$4:$G$6,2,FALSE)</f>
        <v>Demographics</v>
      </c>
    </row>
    <row r="4081" spans="1:16">
      <c r="A4081" t="s">
        <v>5586</v>
      </c>
      <c r="B4081" t="s">
        <v>5571</v>
      </c>
      <c r="C4081" t="s">
        <v>14</v>
      </c>
      <c r="D4081">
        <v>1967</v>
      </c>
      <c r="E4081" t="s">
        <v>29</v>
      </c>
      <c r="F4081" t="s">
        <v>30</v>
      </c>
      <c r="G4081" t="s">
        <v>31</v>
      </c>
      <c r="H4081" t="s">
        <v>32</v>
      </c>
      <c r="I4081">
        <v>4977.4185399999997</v>
      </c>
      <c r="J4081" t="s">
        <v>33</v>
      </c>
      <c r="K4081" t="s">
        <v>5584</v>
      </c>
      <c r="L4081" t="s">
        <v>21</v>
      </c>
      <c r="M4081" t="str">
        <f t="shared" si="189"/>
        <v>OK</v>
      </c>
      <c r="N4081" t="str">
        <f t="shared" si="190"/>
        <v>1960s</v>
      </c>
      <c r="O4081" t="str">
        <f t="shared" si="191"/>
        <v>N/A</v>
      </c>
      <c r="P4081" t="str">
        <f>VLOOKUP(E4081,calculated_fields!$F$4:$G$6,2,FALSE)</f>
        <v>Economy</v>
      </c>
    </row>
    <row r="4082" spans="1:16">
      <c r="A4082" t="s">
        <v>5587</v>
      </c>
      <c r="B4082" t="s">
        <v>5571</v>
      </c>
      <c r="C4082" t="s">
        <v>14</v>
      </c>
      <c r="D4082">
        <v>1972</v>
      </c>
      <c r="E4082" t="s">
        <v>15</v>
      </c>
      <c r="F4082" t="s">
        <v>16</v>
      </c>
      <c r="G4082" t="s">
        <v>17</v>
      </c>
      <c r="H4082" t="s">
        <v>18</v>
      </c>
      <c r="I4082">
        <v>69.521000000000001</v>
      </c>
      <c r="J4082" t="s">
        <v>19</v>
      </c>
      <c r="K4082" t="s">
        <v>5588</v>
      </c>
      <c r="L4082" t="s">
        <v>21</v>
      </c>
      <c r="M4082" t="str">
        <f t="shared" si="189"/>
        <v>OK</v>
      </c>
      <c r="N4082" t="str">
        <f t="shared" si="190"/>
        <v>1970s</v>
      </c>
      <c r="O4082" t="str">
        <f t="shared" si="191"/>
        <v>Medium</v>
      </c>
      <c r="P4082" t="str">
        <f>VLOOKUP(E4082,calculated_fields!$F$4:$G$6,2,FALSE)</f>
        <v>Health</v>
      </c>
    </row>
    <row r="4083" spans="1:16">
      <c r="A4083" t="s">
        <v>5589</v>
      </c>
      <c r="B4083" t="s">
        <v>5571</v>
      </c>
      <c r="C4083" t="s">
        <v>14</v>
      </c>
      <c r="D4083">
        <v>1972</v>
      </c>
      <c r="E4083" t="s">
        <v>23</v>
      </c>
      <c r="F4083" t="s">
        <v>24</v>
      </c>
      <c r="G4083" t="s">
        <v>25</v>
      </c>
      <c r="H4083" t="s">
        <v>26</v>
      </c>
      <c r="I4083">
        <v>2152400</v>
      </c>
      <c r="J4083" t="s">
        <v>27</v>
      </c>
      <c r="K4083" t="s">
        <v>5588</v>
      </c>
      <c r="L4083" t="s">
        <v>21</v>
      </c>
      <c r="M4083" t="str">
        <f t="shared" si="189"/>
        <v>OK</v>
      </c>
      <c r="N4083" t="str">
        <f t="shared" si="190"/>
        <v>1970s</v>
      </c>
      <c r="O4083" t="str">
        <f t="shared" si="191"/>
        <v>N/A</v>
      </c>
      <c r="P4083" t="str">
        <f>VLOOKUP(E4083,calculated_fields!$F$4:$G$6,2,FALSE)</f>
        <v>Demographics</v>
      </c>
    </row>
    <row r="4084" spans="1:16">
      <c r="A4084" t="s">
        <v>5590</v>
      </c>
      <c r="B4084" t="s">
        <v>5571</v>
      </c>
      <c r="C4084" t="s">
        <v>14</v>
      </c>
      <c r="D4084">
        <v>1972</v>
      </c>
      <c r="E4084" t="s">
        <v>29</v>
      </c>
      <c r="F4084" t="s">
        <v>30</v>
      </c>
      <c r="G4084" t="s">
        <v>31</v>
      </c>
      <c r="H4084" t="s">
        <v>32</v>
      </c>
      <c r="I4084">
        <v>8597.7562020000005</v>
      </c>
      <c r="J4084" t="s">
        <v>33</v>
      </c>
      <c r="K4084" t="s">
        <v>5588</v>
      </c>
      <c r="L4084" t="s">
        <v>21</v>
      </c>
      <c r="M4084" t="str">
        <f t="shared" si="189"/>
        <v>OK</v>
      </c>
      <c r="N4084" t="str">
        <f t="shared" si="190"/>
        <v>1970s</v>
      </c>
      <c r="O4084" t="str">
        <f t="shared" si="191"/>
        <v>N/A</v>
      </c>
      <c r="P4084" t="str">
        <f>VLOOKUP(E4084,calculated_fields!$F$4:$G$6,2,FALSE)</f>
        <v>Economy</v>
      </c>
    </row>
    <row r="4085" spans="1:16">
      <c r="A4085" t="s">
        <v>5591</v>
      </c>
      <c r="B4085" t="s">
        <v>5571</v>
      </c>
      <c r="C4085" t="s">
        <v>14</v>
      </c>
      <c r="D4085">
        <v>1977</v>
      </c>
      <c r="E4085" t="s">
        <v>15</v>
      </c>
      <c r="F4085" t="s">
        <v>16</v>
      </c>
      <c r="G4085" t="s">
        <v>17</v>
      </c>
      <c r="H4085" t="s">
        <v>18</v>
      </c>
      <c r="I4085">
        <v>70.795000000000002</v>
      </c>
      <c r="J4085" t="s">
        <v>19</v>
      </c>
      <c r="K4085" t="s">
        <v>5592</v>
      </c>
      <c r="L4085" t="s">
        <v>21</v>
      </c>
      <c r="M4085" t="str">
        <f t="shared" si="189"/>
        <v>OK</v>
      </c>
      <c r="N4085" t="str">
        <f t="shared" si="190"/>
        <v>1970s</v>
      </c>
      <c r="O4085" t="str">
        <f t="shared" si="191"/>
        <v>High</v>
      </c>
      <c r="P4085" t="str">
        <f>VLOOKUP(E4085,calculated_fields!$F$4:$G$6,2,FALSE)</f>
        <v>Health</v>
      </c>
    </row>
    <row r="4086" spans="1:16">
      <c r="A4086" t="s">
        <v>5593</v>
      </c>
      <c r="B4086" t="s">
        <v>5571</v>
      </c>
      <c r="C4086" t="s">
        <v>14</v>
      </c>
      <c r="D4086">
        <v>1977</v>
      </c>
      <c r="E4086" t="s">
        <v>23</v>
      </c>
      <c r="F4086" t="s">
        <v>24</v>
      </c>
      <c r="G4086" t="s">
        <v>25</v>
      </c>
      <c r="H4086" t="s">
        <v>26</v>
      </c>
      <c r="I4086">
        <v>2325300</v>
      </c>
      <c r="J4086" t="s">
        <v>27</v>
      </c>
      <c r="K4086" t="s">
        <v>5592</v>
      </c>
      <c r="L4086" t="s">
        <v>21</v>
      </c>
      <c r="M4086" t="str">
        <f t="shared" si="189"/>
        <v>OK</v>
      </c>
      <c r="N4086" t="str">
        <f t="shared" si="190"/>
        <v>1970s</v>
      </c>
      <c r="O4086" t="str">
        <f t="shared" si="191"/>
        <v>N/A</v>
      </c>
      <c r="P4086" t="str">
        <f>VLOOKUP(E4086,calculated_fields!$F$4:$G$6,2,FALSE)</f>
        <v>Demographics</v>
      </c>
    </row>
    <row r="4087" spans="1:16">
      <c r="A4087" t="s">
        <v>5594</v>
      </c>
      <c r="B4087" t="s">
        <v>5571</v>
      </c>
      <c r="C4087" t="s">
        <v>14</v>
      </c>
      <c r="D4087">
        <v>1977</v>
      </c>
      <c r="E4087" t="s">
        <v>29</v>
      </c>
      <c r="F4087" t="s">
        <v>30</v>
      </c>
      <c r="G4087" t="s">
        <v>31</v>
      </c>
      <c r="H4087" t="s">
        <v>32</v>
      </c>
      <c r="I4087">
        <v>11210.089480000001</v>
      </c>
      <c r="J4087" t="s">
        <v>33</v>
      </c>
      <c r="K4087" t="s">
        <v>5592</v>
      </c>
      <c r="L4087" t="s">
        <v>21</v>
      </c>
      <c r="M4087" t="str">
        <f t="shared" si="189"/>
        <v>OK</v>
      </c>
      <c r="N4087" t="str">
        <f t="shared" si="190"/>
        <v>1970s</v>
      </c>
      <c r="O4087" t="str">
        <f t="shared" si="191"/>
        <v>N/A</v>
      </c>
      <c r="P4087" t="str">
        <f>VLOOKUP(E4087,calculated_fields!$F$4:$G$6,2,FALSE)</f>
        <v>Economy</v>
      </c>
    </row>
    <row r="4088" spans="1:16">
      <c r="A4088" t="s">
        <v>5595</v>
      </c>
      <c r="B4088" t="s">
        <v>5571</v>
      </c>
      <c r="C4088" t="s">
        <v>14</v>
      </c>
      <c r="D4088">
        <v>1982</v>
      </c>
      <c r="E4088" t="s">
        <v>15</v>
      </c>
      <c r="F4088" t="s">
        <v>16</v>
      </c>
      <c r="G4088" t="s">
        <v>17</v>
      </c>
      <c r="H4088" t="s">
        <v>18</v>
      </c>
      <c r="I4088">
        <v>71.760000000000005</v>
      </c>
      <c r="J4088" t="s">
        <v>19</v>
      </c>
      <c r="K4088" t="s">
        <v>5596</v>
      </c>
      <c r="L4088" t="s">
        <v>21</v>
      </c>
      <c r="M4088" t="str">
        <f t="shared" si="189"/>
        <v>OK</v>
      </c>
      <c r="N4088" t="str">
        <f t="shared" si="190"/>
        <v>1980s</v>
      </c>
      <c r="O4088" t="str">
        <f t="shared" si="191"/>
        <v>High</v>
      </c>
      <c r="P4088" t="str">
        <f>VLOOKUP(E4088,calculated_fields!$F$4:$G$6,2,FALSE)</f>
        <v>Health</v>
      </c>
    </row>
    <row r="4089" spans="1:16">
      <c r="A4089" t="s">
        <v>5597</v>
      </c>
      <c r="B4089" t="s">
        <v>5571</v>
      </c>
      <c r="C4089" t="s">
        <v>14</v>
      </c>
      <c r="D4089">
        <v>1982</v>
      </c>
      <c r="E4089" t="s">
        <v>23</v>
      </c>
      <c r="F4089" t="s">
        <v>24</v>
      </c>
      <c r="G4089" t="s">
        <v>25</v>
      </c>
      <c r="H4089" t="s">
        <v>26</v>
      </c>
      <c r="I4089">
        <v>2651869</v>
      </c>
      <c r="J4089" t="s">
        <v>27</v>
      </c>
      <c r="K4089" t="s">
        <v>5596</v>
      </c>
      <c r="L4089" t="s">
        <v>21</v>
      </c>
      <c r="M4089" t="str">
        <f t="shared" si="189"/>
        <v>OK</v>
      </c>
      <c r="N4089" t="str">
        <f t="shared" si="190"/>
        <v>1980s</v>
      </c>
      <c r="O4089" t="str">
        <f t="shared" si="191"/>
        <v>N/A</v>
      </c>
      <c r="P4089" t="str">
        <f>VLOOKUP(E4089,calculated_fields!$F$4:$G$6,2,FALSE)</f>
        <v>Demographics</v>
      </c>
    </row>
    <row r="4090" spans="1:16">
      <c r="A4090" t="s">
        <v>5598</v>
      </c>
      <c r="B4090" t="s">
        <v>5571</v>
      </c>
      <c r="C4090" t="s">
        <v>14</v>
      </c>
      <c r="D4090">
        <v>1982</v>
      </c>
      <c r="E4090" t="s">
        <v>29</v>
      </c>
      <c r="F4090" t="s">
        <v>30</v>
      </c>
      <c r="G4090" t="s">
        <v>31</v>
      </c>
      <c r="H4090" t="s">
        <v>32</v>
      </c>
      <c r="I4090">
        <v>15169.161120000001</v>
      </c>
      <c r="J4090" t="s">
        <v>33</v>
      </c>
      <c r="K4090" t="s">
        <v>5596</v>
      </c>
      <c r="L4090" t="s">
        <v>21</v>
      </c>
      <c r="M4090" t="str">
        <f t="shared" si="189"/>
        <v>OK</v>
      </c>
      <c r="N4090" t="str">
        <f t="shared" si="190"/>
        <v>1980s</v>
      </c>
      <c r="O4090" t="str">
        <f t="shared" si="191"/>
        <v>N/A</v>
      </c>
      <c r="P4090" t="str">
        <f>VLOOKUP(E4090,calculated_fields!$F$4:$G$6,2,FALSE)</f>
        <v>Economy</v>
      </c>
    </row>
    <row r="4091" spans="1:16">
      <c r="A4091" t="s">
        <v>5599</v>
      </c>
      <c r="B4091" t="s">
        <v>5571</v>
      </c>
      <c r="C4091" t="s">
        <v>14</v>
      </c>
      <c r="D4091">
        <v>1987</v>
      </c>
      <c r="E4091" t="s">
        <v>15</v>
      </c>
      <c r="F4091" t="s">
        <v>16</v>
      </c>
      <c r="G4091" t="s">
        <v>17</v>
      </c>
      <c r="H4091" t="s">
        <v>18</v>
      </c>
      <c r="I4091">
        <v>73.56</v>
      </c>
      <c r="J4091" t="s">
        <v>19</v>
      </c>
      <c r="K4091" t="s">
        <v>5600</v>
      </c>
      <c r="L4091" t="s">
        <v>21</v>
      </c>
      <c r="M4091" t="str">
        <f t="shared" si="189"/>
        <v>OK</v>
      </c>
      <c r="N4091" t="str">
        <f t="shared" si="190"/>
        <v>1980s</v>
      </c>
      <c r="O4091" t="str">
        <f t="shared" si="191"/>
        <v>High</v>
      </c>
      <c r="P4091" t="str">
        <f>VLOOKUP(E4091,calculated_fields!$F$4:$G$6,2,FALSE)</f>
        <v>Health</v>
      </c>
    </row>
    <row r="4092" spans="1:16">
      <c r="A4092" t="s">
        <v>5601</v>
      </c>
      <c r="B4092" t="s">
        <v>5571</v>
      </c>
      <c r="C4092" t="s">
        <v>14</v>
      </c>
      <c r="D4092">
        <v>1987</v>
      </c>
      <c r="E4092" t="s">
        <v>23</v>
      </c>
      <c r="F4092" t="s">
        <v>24</v>
      </c>
      <c r="G4092" t="s">
        <v>25</v>
      </c>
      <c r="H4092" t="s">
        <v>26</v>
      </c>
      <c r="I4092">
        <v>2794552</v>
      </c>
      <c r="J4092" t="s">
        <v>27</v>
      </c>
      <c r="K4092" t="s">
        <v>5600</v>
      </c>
      <c r="L4092" t="s">
        <v>21</v>
      </c>
      <c r="M4092" t="str">
        <f t="shared" si="189"/>
        <v>OK</v>
      </c>
      <c r="N4092" t="str">
        <f t="shared" si="190"/>
        <v>1980s</v>
      </c>
      <c r="O4092" t="str">
        <f t="shared" si="191"/>
        <v>N/A</v>
      </c>
      <c r="P4092" t="str">
        <f>VLOOKUP(E4092,calculated_fields!$F$4:$G$6,2,FALSE)</f>
        <v>Demographics</v>
      </c>
    </row>
    <row r="4093" spans="1:16">
      <c r="A4093" t="s">
        <v>5602</v>
      </c>
      <c r="B4093" t="s">
        <v>5571</v>
      </c>
      <c r="C4093" t="s">
        <v>14</v>
      </c>
      <c r="D4093">
        <v>1987</v>
      </c>
      <c r="E4093" t="s">
        <v>29</v>
      </c>
      <c r="F4093" t="s">
        <v>30</v>
      </c>
      <c r="G4093" t="s">
        <v>31</v>
      </c>
      <c r="H4093" t="s">
        <v>32</v>
      </c>
      <c r="I4093">
        <v>18861.53081</v>
      </c>
      <c r="J4093" t="s">
        <v>33</v>
      </c>
      <c r="K4093" t="s">
        <v>5600</v>
      </c>
      <c r="L4093" t="s">
        <v>21</v>
      </c>
      <c r="M4093" t="str">
        <f t="shared" si="189"/>
        <v>OK</v>
      </c>
      <c r="N4093" t="str">
        <f t="shared" si="190"/>
        <v>1980s</v>
      </c>
      <c r="O4093" t="str">
        <f t="shared" si="191"/>
        <v>N/A</v>
      </c>
      <c r="P4093" t="str">
        <f>VLOOKUP(E4093,calculated_fields!$F$4:$G$6,2,FALSE)</f>
        <v>Economy</v>
      </c>
    </row>
    <row r="4094" spans="1:16">
      <c r="A4094" t="s">
        <v>5603</v>
      </c>
      <c r="B4094" t="s">
        <v>5571</v>
      </c>
      <c r="C4094" t="s">
        <v>14</v>
      </c>
      <c r="D4094">
        <v>1992</v>
      </c>
      <c r="E4094" t="s">
        <v>15</v>
      </c>
      <c r="F4094" t="s">
        <v>16</v>
      </c>
      <c r="G4094" t="s">
        <v>17</v>
      </c>
      <c r="H4094" t="s">
        <v>18</v>
      </c>
      <c r="I4094">
        <v>75.787999999999997</v>
      </c>
      <c r="J4094" t="s">
        <v>19</v>
      </c>
      <c r="K4094" t="s">
        <v>5604</v>
      </c>
      <c r="L4094" t="s">
        <v>21</v>
      </c>
      <c r="M4094" t="str">
        <f t="shared" si="189"/>
        <v>OK</v>
      </c>
      <c r="N4094" t="str">
        <f t="shared" si="190"/>
        <v>1990s</v>
      </c>
      <c r="O4094" t="str">
        <f t="shared" si="191"/>
        <v>High</v>
      </c>
      <c r="P4094" t="str">
        <f>VLOOKUP(E4094,calculated_fields!$F$4:$G$6,2,FALSE)</f>
        <v>Health</v>
      </c>
    </row>
    <row r="4095" spans="1:16">
      <c r="A4095" t="s">
        <v>5605</v>
      </c>
      <c r="B4095" t="s">
        <v>5571</v>
      </c>
      <c r="C4095" t="s">
        <v>14</v>
      </c>
      <c r="D4095">
        <v>1992</v>
      </c>
      <c r="E4095" t="s">
        <v>23</v>
      </c>
      <c r="F4095" t="s">
        <v>24</v>
      </c>
      <c r="G4095" t="s">
        <v>25</v>
      </c>
      <c r="H4095" t="s">
        <v>26</v>
      </c>
      <c r="I4095">
        <v>3235865</v>
      </c>
      <c r="J4095" t="s">
        <v>27</v>
      </c>
      <c r="K4095" t="s">
        <v>5604</v>
      </c>
      <c r="L4095" t="s">
        <v>21</v>
      </c>
      <c r="M4095" t="str">
        <f t="shared" si="189"/>
        <v>OK</v>
      </c>
      <c r="N4095" t="str">
        <f t="shared" si="190"/>
        <v>1990s</v>
      </c>
      <c r="O4095" t="str">
        <f t="shared" si="191"/>
        <v>N/A</v>
      </c>
      <c r="P4095" t="str">
        <f>VLOOKUP(E4095,calculated_fields!$F$4:$G$6,2,FALSE)</f>
        <v>Demographics</v>
      </c>
    </row>
    <row r="4096" spans="1:16">
      <c r="A4096" t="s">
        <v>5606</v>
      </c>
      <c r="B4096" t="s">
        <v>5571</v>
      </c>
      <c r="C4096" t="s">
        <v>14</v>
      </c>
      <c r="D4096">
        <v>1992</v>
      </c>
      <c r="E4096" t="s">
        <v>29</v>
      </c>
      <c r="F4096" t="s">
        <v>30</v>
      </c>
      <c r="G4096" t="s">
        <v>31</v>
      </c>
      <c r="H4096" t="s">
        <v>32</v>
      </c>
      <c r="I4096">
        <v>24769.891199999998</v>
      </c>
      <c r="J4096" t="s">
        <v>33</v>
      </c>
      <c r="K4096" t="s">
        <v>5604</v>
      </c>
      <c r="L4096" t="s">
        <v>21</v>
      </c>
      <c r="M4096" t="str">
        <f t="shared" si="189"/>
        <v>OK</v>
      </c>
      <c r="N4096" t="str">
        <f t="shared" si="190"/>
        <v>1990s</v>
      </c>
      <c r="O4096" t="str">
        <f t="shared" si="191"/>
        <v>N/A</v>
      </c>
      <c r="P4096" t="str">
        <f>VLOOKUP(E4096,calculated_fields!$F$4:$G$6,2,FALSE)</f>
        <v>Economy</v>
      </c>
    </row>
    <row r="4097" spans="1:16">
      <c r="A4097" t="s">
        <v>5607</v>
      </c>
      <c r="B4097" t="s">
        <v>5571</v>
      </c>
      <c r="C4097" t="s">
        <v>14</v>
      </c>
      <c r="D4097">
        <v>1997</v>
      </c>
      <c r="E4097" t="s">
        <v>15</v>
      </c>
      <c r="F4097" t="s">
        <v>16</v>
      </c>
      <c r="G4097" t="s">
        <v>17</v>
      </c>
      <c r="H4097" t="s">
        <v>18</v>
      </c>
      <c r="I4097">
        <v>77.158000000000001</v>
      </c>
      <c r="J4097" t="s">
        <v>19</v>
      </c>
      <c r="K4097" t="s">
        <v>5608</v>
      </c>
      <c r="L4097" t="s">
        <v>21</v>
      </c>
      <c r="M4097" t="str">
        <f t="shared" si="189"/>
        <v>OK</v>
      </c>
      <c r="N4097" t="str">
        <f t="shared" si="190"/>
        <v>1990s</v>
      </c>
      <c r="O4097" t="str">
        <f t="shared" si="191"/>
        <v>High</v>
      </c>
      <c r="P4097" t="str">
        <f>VLOOKUP(E4097,calculated_fields!$F$4:$G$6,2,FALSE)</f>
        <v>Health</v>
      </c>
    </row>
    <row r="4098" spans="1:16">
      <c r="A4098" t="s">
        <v>5609</v>
      </c>
      <c r="B4098" t="s">
        <v>5571</v>
      </c>
      <c r="C4098" t="s">
        <v>14</v>
      </c>
      <c r="D4098">
        <v>1997</v>
      </c>
      <c r="E4098" t="s">
        <v>23</v>
      </c>
      <c r="F4098" t="s">
        <v>24</v>
      </c>
      <c r="G4098" t="s">
        <v>25</v>
      </c>
      <c r="H4098" t="s">
        <v>26</v>
      </c>
      <c r="I4098">
        <v>3802309</v>
      </c>
      <c r="J4098" t="s">
        <v>27</v>
      </c>
      <c r="K4098" t="s">
        <v>5608</v>
      </c>
      <c r="L4098" t="s">
        <v>21</v>
      </c>
      <c r="M4098" t="str">
        <f t="shared" ref="M4098:M4161" si="192">IF(AND(ISNUMBER(I4098),I4098&gt;=0),"OK","Review")</f>
        <v>OK</v>
      </c>
      <c r="N4098" t="str">
        <f t="shared" ref="N4098:N4161" si="193">FLOOR(D4098,10)&amp;"s"</f>
        <v>1990s</v>
      </c>
      <c r="O4098" t="str">
        <f t="shared" ref="O4098:O4161" si="194">IF(E4098="LIFE_EXP",IF(I4098&gt;=70,"High",IF(I4098&gt;=55,"Medium","Low")),"N/A")</f>
        <v>N/A</v>
      </c>
      <c r="P4098" t="str">
        <f>VLOOKUP(E4098,calculated_fields!$F$4:$G$6,2,FALSE)</f>
        <v>Demographics</v>
      </c>
    </row>
    <row r="4099" spans="1:16">
      <c r="A4099" t="s">
        <v>5610</v>
      </c>
      <c r="B4099" t="s">
        <v>5571</v>
      </c>
      <c r="C4099" t="s">
        <v>14</v>
      </c>
      <c r="D4099">
        <v>1997</v>
      </c>
      <c r="E4099" t="s">
        <v>29</v>
      </c>
      <c r="F4099" t="s">
        <v>30</v>
      </c>
      <c r="G4099" t="s">
        <v>31</v>
      </c>
      <c r="H4099" t="s">
        <v>32</v>
      </c>
      <c r="I4099">
        <v>33519.476600000002</v>
      </c>
      <c r="J4099" t="s">
        <v>33</v>
      </c>
      <c r="K4099" t="s">
        <v>5608</v>
      </c>
      <c r="L4099" t="s">
        <v>21</v>
      </c>
      <c r="M4099" t="str">
        <f t="shared" si="192"/>
        <v>OK</v>
      </c>
      <c r="N4099" t="str">
        <f t="shared" si="193"/>
        <v>1990s</v>
      </c>
      <c r="O4099" t="str">
        <f t="shared" si="194"/>
        <v>N/A</v>
      </c>
      <c r="P4099" t="str">
        <f>VLOOKUP(E4099,calculated_fields!$F$4:$G$6,2,FALSE)</f>
        <v>Economy</v>
      </c>
    </row>
    <row r="4100" spans="1:16">
      <c r="A4100" t="s">
        <v>5611</v>
      </c>
      <c r="B4100" t="s">
        <v>5571</v>
      </c>
      <c r="C4100" t="s">
        <v>14</v>
      </c>
      <c r="D4100">
        <v>2002</v>
      </c>
      <c r="E4100" t="s">
        <v>15</v>
      </c>
      <c r="F4100" t="s">
        <v>16</v>
      </c>
      <c r="G4100" t="s">
        <v>17</v>
      </c>
      <c r="H4100" t="s">
        <v>18</v>
      </c>
      <c r="I4100">
        <v>78.77</v>
      </c>
      <c r="J4100" t="s">
        <v>19</v>
      </c>
      <c r="K4100" t="s">
        <v>5612</v>
      </c>
      <c r="L4100" t="s">
        <v>21</v>
      </c>
      <c r="M4100" t="str">
        <f t="shared" si="192"/>
        <v>OK</v>
      </c>
      <c r="N4100" t="str">
        <f t="shared" si="193"/>
        <v>2000s</v>
      </c>
      <c r="O4100" t="str">
        <f t="shared" si="194"/>
        <v>High</v>
      </c>
      <c r="P4100" t="str">
        <f>VLOOKUP(E4100,calculated_fields!$F$4:$G$6,2,FALSE)</f>
        <v>Health</v>
      </c>
    </row>
    <row r="4101" spans="1:16">
      <c r="A4101" t="s">
        <v>5613</v>
      </c>
      <c r="B4101" t="s">
        <v>5571</v>
      </c>
      <c r="C4101" t="s">
        <v>14</v>
      </c>
      <c r="D4101">
        <v>2002</v>
      </c>
      <c r="E4101" t="s">
        <v>23</v>
      </c>
      <c r="F4101" t="s">
        <v>24</v>
      </c>
      <c r="G4101" t="s">
        <v>25</v>
      </c>
      <c r="H4101" t="s">
        <v>26</v>
      </c>
      <c r="I4101">
        <v>4197776</v>
      </c>
      <c r="J4101" t="s">
        <v>27</v>
      </c>
      <c r="K4101" t="s">
        <v>5612</v>
      </c>
      <c r="L4101" t="s">
        <v>21</v>
      </c>
      <c r="M4101" t="str">
        <f t="shared" si="192"/>
        <v>OK</v>
      </c>
      <c r="N4101" t="str">
        <f t="shared" si="193"/>
        <v>2000s</v>
      </c>
      <c r="O4101" t="str">
        <f t="shared" si="194"/>
        <v>N/A</v>
      </c>
      <c r="P4101" t="str">
        <f>VLOOKUP(E4101,calculated_fields!$F$4:$G$6,2,FALSE)</f>
        <v>Demographics</v>
      </c>
    </row>
    <row r="4102" spans="1:16">
      <c r="A4102" t="s">
        <v>5614</v>
      </c>
      <c r="B4102" t="s">
        <v>5571</v>
      </c>
      <c r="C4102" t="s">
        <v>14</v>
      </c>
      <c r="D4102">
        <v>2002</v>
      </c>
      <c r="E4102" t="s">
        <v>29</v>
      </c>
      <c r="F4102" t="s">
        <v>30</v>
      </c>
      <c r="G4102" t="s">
        <v>31</v>
      </c>
      <c r="H4102" t="s">
        <v>32</v>
      </c>
      <c r="I4102">
        <v>36023.1054</v>
      </c>
      <c r="J4102" t="s">
        <v>33</v>
      </c>
      <c r="K4102" t="s">
        <v>5612</v>
      </c>
      <c r="L4102" t="s">
        <v>21</v>
      </c>
      <c r="M4102" t="str">
        <f t="shared" si="192"/>
        <v>OK</v>
      </c>
      <c r="N4102" t="str">
        <f t="shared" si="193"/>
        <v>2000s</v>
      </c>
      <c r="O4102" t="str">
        <f t="shared" si="194"/>
        <v>N/A</v>
      </c>
      <c r="P4102" t="str">
        <f>VLOOKUP(E4102,calculated_fields!$F$4:$G$6,2,FALSE)</f>
        <v>Economy</v>
      </c>
    </row>
    <row r="4103" spans="1:16">
      <c r="A4103" t="s">
        <v>5615</v>
      </c>
      <c r="B4103" t="s">
        <v>5571</v>
      </c>
      <c r="C4103" t="s">
        <v>14</v>
      </c>
      <c r="D4103">
        <v>2007</v>
      </c>
      <c r="E4103" t="s">
        <v>15</v>
      </c>
      <c r="F4103" t="s">
        <v>16</v>
      </c>
      <c r="G4103" t="s">
        <v>17</v>
      </c>
      <c r="H4103" t="s">
        <v>18</v>
      </c>
      <c r="I4103">
        <v>79.971999999999994</v>
      </c>
      <c r="J4103" t="s">
        <v>19</v>
      </c>
      <c r="K4103" t="s">
        <v>5616</v>
      </c>
      <c r="L4103" t="s">
        <v>21</v>
      </c>
      <c r="M4103" t="str">
        <f t="shared" si="192"/>
        <v>OK</v>
      </c>
      <c r="N4103" t="str">
        <f t="shared" si="193"/>
        <v>2000s</v>
      </c>
      <c r="O4103" t="str">
        <f t="shared" si="194"/>
        <v>High</v>
      </c>
      <c r="P4103" t="str">
        <f>VLOOKUP(E4103,calculated_fields!$F$4:$G$6,2,FALSE)</f>
        <v>Health</v>
      </c>
    </row>
    <row r="4104" spans="1:16">
      <c r="A4104" t="s">
        <v>5617</v>
      </c>
      <c r="B4104" t="s">
        <v>5571</v>
      </c>
      <c r="C4104" t="s">
        <v>14</v>
      </c>
      <c r="D4104">
        <v>2007</v>
      </c>
      <c r="E4104" t="s">
        <v>23</v>
      </c>
      <c r="F4104" t="s">
        <v>24</v>
      </c>
      <c r="G4104" t="s">
        <v>25</v>
      </c>
      <c r="H4104" t="s">
        <v>26</v>
      </c>
      <c r="I4104">
        <v>4553009</v>
      </c>
      <c r="J4104" t="s">
        <v>27</v>
      </c>
      <c r="K4104" t="s">
        <v>5616</v>
      </c>
      <c r="L4104" t="s">
        <v>21</v>
      </c>
      <c r="M4104" t="str">
        <f t="shared" si="192"/>
        <v>OK</v>
      </c>
      <c r="N4104" t="str">
        <f t="shared" si="193"/>
        <v>2000s</v>
      </c>
      <c r="O4104" t="str">
        <f t="shared" si="194"/>
        <v>N/A</v>
      </c>
      <c r="P4104" t="str">
        <f>VLOOKUP(E4104,calculated_fields!$F$4:$G$6,2,FALSE)</f>
        <v>Demographics</v>
      </c>
    </row>
    <row r="4105" spans="1:16">
      <c r="A4105" t="s">
        <v>5618</v>
      </c>
      <c r="B4105" t="s">
        <v>5571</v>
      </c>
      <c r="C4105" t="s">
        <v>14</v>
      </c>
      <c r="D4105">
        <v>2007</v>
      </c>
      <c r="E4105" t="s">
        <v>29</v>
      </c>
      <c r="F4105" t="s">
        <v>30</v>
      </c>
      <c r="G4105" t="s">
        <v>31</v>
      </c>
      <c r="H4105" t="s">
        <v>32</v>
      </c>
      <c r="I4105">
        <v>47143.179640000002</v>
      </c>
      <c r="J4105" t="s">
        <v>33</v>
      </c>
      <c r="K4105" t="s">
        <v>5616</v>
      </c>
      <c r="L4105" t="s">
        <v>21</v>
      </c>
      <c r="M4105" t="str">
        <f t="shared" si="192"/>
        <v>OK</v>
      </c>
      <c r="N4105" t="str">
        <f t="shared" si="193"/>
        <v>2000s</v>
      </c>
      <c r="O4105" t="str">
        <f t="shared" si="194"/>
        <v>N/A</v>
      </c>
      <c r="P4105" t="str">
        <f>VLOOKUP(E4105,calculated_fields!$F$4:$G$6,2,FALSE)</f>
        <v>Economy</v>
      </c>
    </row>
    <row r="4106" spans="1:16">
      <c r="A4106" t="s">
        <v>5619</v>
      </c>
      <c r="B4106" t="s">
        <v>5620</v>
      </c>
      <c r="C4106" t="s">
        <v>80</v>
      </c>
      <c r="D4106">
        <v>1952</v>
      </c>
      <c r="E4106" t="s">
        <v>15</v>
      </c>
      <c r="F4106" t="s">
        <v>16</v>
      </c>
      <c r="G4106" t="s">
        <v>17</v>
      </c>
      <c r="H4106" t="s">
        <v>18</v>
      </c>
      <c r="I4106">
        <v>64.36</v>
      </c>
      <c r="J4106" t="s">
        <v>19</v>
      </c>
      <c r="K4106" t="s">
        <v>5621</v>
      </c>
      <c r="L4106" t="s">
        <v>21</v>
      </c>
      <c r="M4106" t="str">
        <f t="shared" si="192"/>
        <v>OK</v>
      </c>
      <c r="N4106" t="str">
        <f t="shared" si="193"/>
        <v>1950s</v>
      </c>
      <c r="O4106" t="str">
        <f t="shared" si="194"/>
        <v>Medium</v>
      </c>
      <c r="P4106" t="str">
        <f>VLOOKUP(E4106,calculated_fields!$F$4:$G$6,2,FALSE)</f>
        <v>Health</v>
      </c>
    </row>
    <row r="4107" spans="1:16">
      <c r="A4107" t="s">
        <v>5622</v>
      </c>
      <c r="B4107" t="s">
        <v>5620</v>
      </c>
      <c r="C4107" t="s">
        <v>80</v>
      </c>
      <c r="D4107">
        <v>1952</v>
      </c>
      <c r="E4107" t="s">
        <v>23</v>
      </c>
      <c r="F4107" t="s">
        <v>24</v>
      </c>
      <c r="G4107" t="s">
        <v>25</v>
      </c>
      <c r="H4107" t="s">
        <v>26</v>
      </c>
      <c r="I4107">
        <v>3558137</v>
      </c>
      <c r="J4107" t="s">
        <v>27</v>
      </c>
      <c r="K4107" t="s">
        <v>5621</v>
      </c>
      <c r="L4107" t="s">
        <v>21</v>
      </c>
      <c r="M4107" t="str">
        <f t="shared" si="192"/>
        <v>OK</v>
      </c>
      <c r="N4107" t="str">
        <f t="shared" si="193"/>
        <v>1950s</v>
      </c>
      <c r="O4107" t="str">
        <f t="shared" si="194"/>
        <v>N/A</v>
      </c>
      <c r="P4107" t="str">
        <f>VLOOKUP(E4107,calculated_fields!$F$4:$G$6,2,FALSE)</f>
        <v>Demographics</v>
      </c>
    </row>
    <row r="4108" spans="1:16">
      <c r="A4108" t="s">
        <v>5623</v>
      </c>
      <c r="B4108" t="s">
        <v>5620</v>
      </c>
      <c r="C4108" t="s">
        <v>80</v>
      </c>
      <c r="D4108">
        <v>1952</v>
      </c>
      <c r="E4108" t="s">
        <v>29</v>
      </c>
      <c r="F4108" t="s">
        <v>30</v>
      </c>
      <c r="G4108" t="s">
        <v>31</v>
      </c>
      <c r="H4108" t="s">
        <v>32</v>
      </c>
      <c r="I4108">
        <v>5074.6591040000003</v>
      </c>
      <c r="J4108" t="s">
        <v>33</v>
      </c>
      <c r="K4108" t="s">
        <v>5621</v>
      </c>
      <c r="L4108" t="s">
        <v>21</v>
      </c>
      <c r="M4108" t="str">
        <f t="shared" si="192"/>
        <v>OK</v>
      </c>
      <c r="N4108" t="str">
        <f t="shared" si="193"/>
        <v>1950s</v>
      </c>
      <c r="O4108" t="str">
        <f t="shared" si="194"/>
        <v>N/A</v>
      </c>
      <c r="P4108" t="str">
        <f>VLOOKUP(E4108,calculated_fields!$F$4:$G$6,2,FALSE)</f>
        <v>Economy</v>
      </c>
    </row>
    <row r="4109" spans="1:16">
      <c r="A4109" t="s">
        <v>5624</v>
      </c>
      <c r="B4109" t="s">
        <v>5620</v>
      </c>
      <c r="C4109" t="s">
        <v>80</v>
      </c>
      <c r="D4109">
        <v>1957</v>
      </c>
      <c r="E4109" t="s">
        <v>15</v>
      </c>
      <c r="F4109" t="s">
        <v>16</v>
      </c>
      <c r="G4109" t="s">
        <v>17</v>
      </c>
      <c r="H4109" t="s">
        <v>18</v>
      </c>
      <c r="I4109">
        <v>67.45</v>
      </c>
      <c r="J4109" t="s">
        <v>19</v>
      </c>
      <c r="K4109" t="s">
        <v>5625</v>
      </c>
      <c r="L4109" t="s">
        <v>21</v>
      </c>
      <c r="M4109" t="str">
        <f t="shared" si="192"/>
        <v>OK</v>
      </c>
      <c r="N4109" t="str">
        <f t="shared" si="193"/>
        <v>1950s</v>
      </c>
      <c r="O4109" t="str">
        <f t="shared" si="194"/>
        <v>Medium</v>
      </c>
      <c r="P4109" t="str">
        <f>VLOOKUP(E4109,calculated_fields!$F$4:$G$6,2,FALSE)</f>
        <v>Health</v>
      </c>
    </row>
    <row r="4110" spans="1:16">
      <c r="A4110" t="s">
        <v>5626</v>
      </c>
      <c r="B4110" t="s">
        <v>5620</v>
      </c>
      <c r="C4110" t="s">
        <v>80</v>
      </c>
      <c r="D4110">
        <v>1957</v>
      </c>
      <c r="E4110" t="s">
        <v>23</v>
      </c>
      <c r="F4110" t="s">
        <v>24</v>
      </c>
      <c r="G4110" t="s">
        <v>25</v>
      </c>
      <c r="H4110" t="s">
        <v>26</v>
      </c>
      <c r="I4110">
        <v>3844277</v>
      </c>
      <c r="J4110" t="s">
        <v>27</v>
      </c>
      <c r="K4110" t="s">
        <v>5625</v>
      </c>
      <c r="L4110" t="s">
        <v>21</v>
      </c>
      <c r="M4110" t="str">
        <f t="shared" si="192"/>
        <v>OK</v>
      </c>
      <c r="N4110" t="str">
        <f t="shared" si="193"/>
        <v>1950s</v>
      </c>
      <c r="O4110" t="str">
        <f t="shared" si="194"/>
        <v>N/A</v>
      </c>
      <c r="P4110" t="str">
        <f>VLOOKUP(E4110,calculated_fields!$F$4:$G$6,2,FALSE)</f>
        <v>Demographics</v>
      </c>
    </row>
    <row r="4111" spans="1:16">
      <c r="A4111" t="s">
        <v>5627</v>
      </c>
      <c r="B4111" t="s">
        <v>5620</v>
      </c>
      <c r="C4111" t="s">
        <v>80</v>
      </c>
      <c r="D4111">
        <v>1957</v>
      </c>
      <c r="E4111" t="s">
        <v>29</v>
      </c>
      <c r="F4111" t="s">
        <v>30</v>
      </c>
      <c r="G4111" t="s">
        <v>31</v>
      </c>
      <c r="H4111" t="s">
        <v>32</v>
      </c>
      <c r="I4111">
        <v>6093.2629800000004</v>
      </c>
      <c r="J4111" t="s">
        <v>33</v>
      </c>
      <c r="K4111" t="s">
        <v>5625</v>
      </c>
      <c r="L4111" t="s">
        <v>21</v>
      </c>
      <c r="M4111" t="str">
        <f t="shared" si="192"/>
        <v>OK</v>
      </c>
      <c r="N4111" t="str">
        <f t="shared" si="193"/>
        <v>1950s</v>
      </c>
      <c r="O4111" t="str">
        <f t="shared" si="194"/>
        <v>N/A</v>
      </c>
      <c r="P4111" t="str">
        <f>VLOOKUP(E4111,calculated_fields!$F$4:$G$6,2,FALSE)</f>
        <v>Economy</v>
      </c>
    </row>
    <row r="4112" spans="1:16">
      <c r="A4112" t="s">
        <v>5628</v>
      </c>
      <c r="B4112" t="s">
        <v>5620</v>
      </c>
      <c r="C4112" t="s">
        <v>80</v>
      </c>
      <c r="D4112">
        <v>1962</v>
      </c>
      <c r="E4112" t="s">
        <v>15</v>
      </c>
      <c r="F4112" t="s">
        <v>16</v>
      </c>
      <c r="G4112" t="s">
        <v>17</v>
      </c>
      <c r="H4112" t="s">
        <v>18</v>
      </c>
      <c r="I4112">
        <v>70.33</v>
      </c>
      <c r="J4112" t="s">
        <v>19</v>
      </c>
      <c r="K4112" t="s">
        <v>5629</v>
      </c>
      <c r="L4112" t="s">
        <v>21</v>
      </c>
      <c r="M4112" t="str">
        <f t="shared" si="192"/>
        <v>OK</v>
      </c>
      <c r="N4112" t="str">
        <f t="shared" si="193"/>
        <v>1960s</v>
      </c>
      <c r="O4112" t="str">
        <f t="shared" si="194"/>
        <v>High</v>
      </c>
      <c r="P4112" t="str">
        <f>VLOOKUP(E4112,calculated_fields!$F$4:$G$6,2,FALSE)</f>
        <v>Health</v>
      </c>
    </row>
    <row r="4113" spans="1:16">
      <c r="A4113" t="s">
        <v>5630</v>
      </c>
      <c r="B4113" t="s">
        <v>5620</v>
      </c>
      <c r="C4113" t="s">
        <v>80</v>
      </c>
      <c r="D4113">
        <v>1962</v>
      </c>
      <c r="E4113" t="s">
        <v>23</v>
      </c>
      <c r="F4113" t="s">
        <v>24</v>
      </c>
      <c r="G4113" t="s">
        <v>25</v>
      </c>
      <c r="H4113" t="s">
        <v>26</v>
      </c>
      <c r="I4113">
        <v>4237384</v>
      </c>
      <c r="J4113" t="s">
        <v>27</v>
      </c>
      <c r="K4113" t="s">
        <v>5629</v>
      </c>
      <c r="L4113" t="s">
        <v>21</v>
      </c>
      <c r="M4113" t="str">
        <f t="shared" si="192"/>
        <v>OK</v>
      </c>
      <c r="N4113" t="str">
        <f t="shared" si="193"/>
        <v>1960s</v>
      </c>
      <c r="O4113" t="str">
        <f t="shared" si="194"/>
        <v>N/A</v>
      </c>
      <c r="P4113" t="str">
        <f>VLOOKUP(E4113,calculated_fields!$F$4:$G$6,2,FALSE)</f>
        <v>Demographics</v>
      </c>
    </row>
    <row r="4114" spans="1:16">
      <c r="A4114" t="s">
        <v>5631</v>
      </c>
      <c r="B4114" t="s">
        <v>5620</v>
      </c>
      <c r="C4114" t="s">
        <v>80</v>
      </c>
      <c r="D4114">
        <v>1962</v>
      </c>
      <c r="E4114" t="s">
        <v>29</v>
      </c>
      <c r="F4114" t="s">
        <v>30</v>
      </c>
      <c r="G4114" t="s">
        <v>31</v>
      </c>
      <c r="H4114" t="s">
        <v>32</v>
      </c>
      <c r="I4114">
        <v>7481.1075979999996</v>
      </c>
      <c r="J4114" t="s">
        <v>33</v>
      </c>
      <c r="K4114" t="s">
        <v>5629</v>
      </c>
      <c r="L4114" t="s">
        <v>21</v>
      </c>
      <c r="M4114" t="str">
        <f t="shared" si="192"/>
        <v>OK</v>
      </c>
      <c r="N4114" t="str">
        <f t="shared" si="193"/>
        <v>1960s</v>
      </c>
      <c r="O4114" t="str">
        <f t="shared" si="194"/>
        <v>N/A</v>
      </c>
      <c r="P4114" t="str">
        <f>VLOOKUP(E4114,calculated_fields!$F$4:$G$6,2,FALSE)</f>
        <v>Economy</v>
      </c>
    </row>
    <row r="4115" spans="1:16">
      <c r="A4115" t="s">
        <v>5632</v>
      </c>
      <c r="B4115" t="s">
        <v>5620</v>
      </c>
      <c r="C4115" t="s">
        <v>80</v>
      </c>
      <c r="D4115">
        <v>1967</v>
      </c>
      <c r="E4115" t="s">
        <v>15</v>
      </c>
      <c r="F4115" t="s">
        <v>16</v>
      </c>
      <c r="G4115" t="s">
        <v>17</v>
      </c>
      <c r="H4115" t="s">
        <v>18</v>
      </c>
      <c r="I4115">
        <v>70.98</v>
      </c>
      <c r="J4115" t="s">
        <v>19</v>
      </c>
      <c r="K4115" t="s">
        <v>5633</v>
      </c>
      <c r="L4115" t="s">
        <v>21</v>
      </c>
      <c r="M4115" t="str">
        <f t="shared" si="192"/>
        <v>OK</v>
      </c>
      <c r="N4115" t="str">
        <f t="shared" si="193"/>
        <v>1960s</v>
      </c>
      <c r="O4115" t="str">
        <f t="shared" si="194"/>
        <v>High</v>
      </c>
      <c r="P4115" t="str">
        <f>VLOOKUP(E4115,calculated_fields!$F$4:$G$6,2,FALSE)</f>
        <v>Health</v>
      </c>
    </row>
    <row r="4116" spans="1:16">
      <c r="A4116" t="s">
        <v>5634</v>
      </c>
      <c r="B4116" t="s">
        <v>5620</v>
      </c>
      <c r="C4116" t="s">
        <v>80</v>
      </c>
      <c r="D4116">
        <v>1967</v>
      </c>
      <c r="E4116" t="s">
        <v>23</v>
      </c>
      <c r="F4116" t="s">
        <v>24</v>
      </c>
      <c r="G4116" t="s">
        <v>25</v>
      </c>
      <c r="H4116" t="s">
        <v>26</v>
      </c>
      <c r="I4116">
        <v>4442238</v>
      </c>
      <c r="J4116" t="s">
        <v>27</v>
      </c>
      <c r="K4116" t="s">
        <v>5633</v>
      </c>
      <c r="L4116" t="s">
        <v>21</v>
      </c>
      <c r="M4116" t="str">
        <f t="shared" si="192"/>
        <v>OK</v>
      </c>
      <c r="N4116" t="str">
        <f t="shared" si="193"/>
        <v>1960s</v>
      </c>
      <c r="O4116" t="str">
        <f t="shared" si="194"/>
        <v>N/A</v>
      </c>
      <c r="P4116" t="str">
        <f>VLOOKUP(E4116,calculated_fields!$F$4:$G$6,2,FALSE)</f>
        <v>Demographics</v>
      </c>
    </row>
    <row r="4117" spans="1:16">
      <c r="A4117" t="s">
        <v>5635</v>
      </c>
      <c r="B4117" t="s">
        <v>5620</v>
      </c>
      <c r="C4117" t="s">
        <v>80</v>
      </c>
      <c r="D4117">
        <v>1967</v>
      </c>
      <c r="E4117" t="s">
        <v>29</v>
      </c>
      <c r="F4117" t="s">
        <v>30</v>
      </c>
      <c r="G4117" t="s">
        <v>31</v>
      </c>
      <c r="H4117" t="s">
        <v>32</v>
      </c>
      <c r="I4117">
        <v>8412.9023969999998</v>
      </c>
      <c r="J4117" t="s">
        <v>33</v>
      </c>
      <c r="K4117" t="s">
        <v>5633</v>
      </c>
      <c r="L4117" t="s">
        <v>21</v>
      </c>
      <c r="M4117" t="str">
        <f t="shared" si="192"/>
        <v>OK</v>
      </c>
      <c r="N4117" t="str">
        <f t="shared" si="193"/>
        <v>1960s</v>
      </c>
      <c r="O4117" t="str">
        <f t="shared" si="194"/>
        <v>N/A</v>
      </c>
      <c r="P4117" t="str">
        <f>VLOOKUP(E4117,calculated_fields!$F$4:$G$6,2,FALSE)</f>
        <v>Economy</v>
      </c>
    </row>
    <row r="4118" spans="1:16">
      <c r="A4118" t="s">
        <v>5636</v>
      </c>
      <c r="B4118" t="s">
        <v>5620</v>
      </c>
      <c r="C4118" t="s">
        <v>80</v>
      </c>
      <c r="D4118">
        <v>1972</v>
      </c>
      <c r="E4118" t="s">
        <v>15</v>
      </c>
      <c r="F4118" t="s">
        <v>16</v>
      </c>
      <c r="G4118" t="s">
        <v>17</v>
      </c>
      <c r="H4118" t="s">
        <v>18</v>
      </c>
      <c r="I4118">
        <v>70.349999999999994</v>
      </c>
      <c r="J4118" t="s">
        <v>19</v>
      </c>
      <c r="K4118" t="s">
        <v>5637</v>
      </c>
      <c r="L4118" t="s">
        <v>21</v>
      </c>
      <c r="M4118" t="str">
        <f t="shared" si="192"/>
        <v>OK</v>
      </c>
      <c r="N4118" t="str">
        <f t="shared" si="193"/>
        <v>1970s</v>
      </c>
      <c r="O4118" t="str">
        <f t="shared" si="194"/>
        <v>High</v>
      </c>
      <c r="P4118" t="str">
        <f>VLOOKUP(E4118,calculated_fields!$F$4:$G$6,2,FALSE)</f>
        <v>Health</v>
      </c>
    </row>
    <row r="4119" spans="1:16">
      <c r="A4119" t="s">
        <v>5638</v>
      </c>
      <c r="B4119" t="s">
        <v>5620</v>
      </c>
      <c r="C4119" t="s">
        <v>80</v>
      </c>
      <c r="D4119">
        <v>1972</v>
      </c>
      <c r="E4119" t="s">
        <v>23</v>
      </c>
      <c r="F4119" t="s">
        <v>24</v>
      </c>
      <c r="G4119" t="s">
        <v>25</v>
      </c>
      <c r="H4119" t="s">
        <v>26</v>
      </c>
      <c r="I4119">
        <v>4593433</v>
      </c>
      <c r="J4119" t="s">
        <v>27</v>
      </c>
      <c r="K4119" t="s">
        <v>5637</v>
      </c>
      <c r="L4119" t="s">
        <v>21</v>
      </c>
      <c r="M4119" t="str">
        <f t="shared" si="192"/>
        <v>OK</v>
      </c>
      <c r="N4119" t="str">
        <f t="shared" si="193"/>
        <v>1970s</v>
      </c>
      <c r="O4119" t="str">
        <f t="shared" si="194"/>
        <v>N/A</v>
      </c>
      <c r="P4119" t="str">
        <f>VLOOKUP(E4119,calculated_fields!$F$4:$G$6,2,FALSE)</f>
        <v>Demographics</v>
      </c>
    </row>
    <row r="4120" spans="1:16">
      <c r="A4120" t="s">
        <v>5639</v>
      </c>
      <c r="B4120" t="s">
        <v>5620</v>
      </c>
      <c r="C4120" t="s">
        <v>80</v>
      </c>
      <c r="D4120">
        <v>1972</v>
      </c>
      <c r="E4120" t="s">
        <v>29</v>
      </c>
      <c r="F4120" t="s">
        <v>30</v>
      </c>
      <c r="G4120" t="s">
        <v>31</v>
      </c>
      <c r="H4120" t="s">
        <v>32</v>
      </c>
      <c r="I4120">
        <v>9674.1676260000004</v>
      </c>
      <c r="J4120" t="s">
        <v>33</v>
      </c>
      <c r="K4120" t="s">
        <v>5637</v>
      </c>
      <c r="L4120" t="s">
        <v>21</v>
      </c>
      <c r="M4120" t="str">
        <f t="shared" si="192"/>
        <v>OK</v>
      </c>
      <c r="N4120" t="str">
        <f t="shared" si="193"/>
        <v>1970s</v>
      </c>
      <c r="O4120" t="str">
        <f t="shared" si="194"/>
        <v>N/A</v>
      </c>
      <c r="P4120" t="str">
        <f>VLOOKUP(E4120,calculated_fields!$F$4:$G$6,2,FALSE)</f>
        <v>Economy</v>
      </c>
    </row>
    <row r="4121" spans="1:16">
      <c r="A4121" t="s">
        <v>5640</v>
      </c>
      <c r="B4121" t="s">
        <v>5620</v>
      </c>
      <c r="C4121" t="s">
        <v>80</v>
      </c>
      <c r="D4121">
        <v>1977</v>
      </c>
      <c r="E4121" t="s">
        <v>15</v>
      </c>
      <c r="F4121" t="s">
        <v>16</v>
      </c>
      <c r="G4121" t="s">
        <v>17</v>
      </c>
      <c r="H4121" t="s">
        <v>18</v>
      </c>
      <c r="I4121">
        <v>70.45</v>
      </c>
      <c r="J4121" t="s">
        <v>19</v>
      </c>
      <c r="K4121" t="s">
        <v>5641</v>
      </c>
      <c r="L4121" t="s">
        <v>21</v>
      </c>
      <c r="M4121" t="str">
        <f t="shared" si="192"/>
        <v>OK</v>
      </c>
      <c r="N4121" t="str">
        <f t="shared" si="193"/>
        <v>1970s</v>
      </c>
      <c r="O4121" t="str">
        <f t="shared" si="194"/>
        <v>High</v>
      </c>
      <c r="P4121" t="str">
        <f>VLOOKUP(E4121,calculated_fields!$F$4:$G$6,2,FALSE)</f>
        <v>Health</v>
      </c>
    </row>
    <row r="4122" spans="1:16">
      <c r="A4122" t="s">
        <v>5642</v>
      </c>
      <c r="B4122" t="s">
        <v>5620</v>
      </c>
      <c r="C4122" t="s">
        <v>80</v>
      </c>
      <c r="D4122">
        <v>1977</v>
      </c>
      <c r="E4122" t="s">
        <v>23</v>
      </c>
      <c r="F4122" t="s">
        <v>24</v>
      </c>
      <c r="G4122" t="s">
        <v>25</v>
      </c>
      <c r="H4122" t="s">
        <v>26</v>
      </c>
      <c r="I4122">
        <v>4827803</v>
      </c>
      <c r="J4122" t="s">
        <v>27</v>
      </c>
      <c r="K4122" t="s">
        <v>5641</v>
      </c>
      <c r="L4122" t="s">
        <v>21</v>
      </c>
      <c r="M4122" t="str">
        <f t="shared" si="192"/>
        <v>OK</v>
      </c>
      <c r="N4122" t="str">
        <f t="shared" si="193"/>
        <v>1970s</v>
      </c>
      <c r="O4122" t="str">
        <f t="shared" si="194"/>
        <v>N/A</v>
      </c>
      <c r="P4122" t="str">
        <f>VLOOKUP(E4122,calculated_fields!$F$4:$G$6,2,FALSE)</f>
        <v>Demographics</v>
      </c>
    </row>
    <row r="4123" spans="1:16">
      <c r="A4123" t="s">
        <v>5643</v>
      </c>
      <c r="B4123" t="s">
        <v>5620</v>
      </c>
      <c r="C4123" t="s">
        <v>80</v>
      </c>
      <c r="D4123">
        <v>1977</v>
      </c>
      <c r="E4123" t="s">
        <v>29</v>
      </c>
      <c r="F4123" t="s">
        <v>30</v>
      </c>
      <c r="G4123" t="s">
        <v>31</v>
      </c>
      <c r="H4123" t="s">
        <v>32</v>
      </c>
      <c r="I4123">
        <v>10922.66404</v>
      </c>
      <c r="J4123" t="s">
        <v>33</v>
      </c>
      <c r="K4123" t="s">
        <v>5641</v>
      </c>
      <c r="L4123" t="s">
        <v>21</v>
      </c>
      <c r="M4123" t="str">
        <f t="shared" si="192"/>
        <v>OK</v>
      </c>
      <c r="N4123" t="str">
        <f t="shared" si="193"/>
        <v>1970s</v>
      </c>
      <c r="O4123" t="str">
        <f t="shared" si="194"/>
        <v>N/A</v>
      </c>
      <c r="P4123" t="str">
        <f>VLOOKUP(E4123,calculated_fields!$F$4:$G$6,2,FALSE)</f>
        <v>Economy</v>
      </c>
    </row>
    <row r="4124" spans="1:16">
      <c r="A4124" t="s">
        <v>5644</v>
      </c>
      <c r="B4124" t="s">
        <v>5620</v>
      </c>
      <c r="C4124" t="s">
        <v>80</v>
      </c>
      <c r="D4124">
        <v>1982</v>
      </c>
      <c r="E4124" t="s">
        <v>15</v>
      </c>
      <c r="F4124" t="s">
        <v>16</v>
      </c>
      <c r="G4124" t="s">
        <v>17</v>
      </c>
      <c r="H4124" t="s">
        <v>18</v>
      </c>
      <c r="I4124">
        <v>70.8</v>
      </c>
      <c r="J4124" t="s">
        <v>19</v>
      </c>
      <c r="K4124" t="s">
        <v>5645</v>
      </c>
      <c r="L4124" t="s">
        <v>21</v>
      </c>
      <c r="M4124" t="str">
        <f t="shared" si="192"/>
        <v>OK</v>
      </c>
      <c r="N4124" t="str">
        <f t="shared" si="193"/>
        <v>1980s</v>
      </c>
      <c r="O4124" t="str">
        <f t="shared" si="194"/>
        <v>High</v>
      </c>
      <c r="P4124" t="str">
        <f>VLOOKUP(E4124,calculated_fields!$F$4:$G$6,2,FALSE)</f>
        <v>Health</v>
      </c>
    </row>
    <row r="4125" spans="1:16">
      <c r="A4125" t="s">
        <v>5646</v>
      </c>
      <c r="B4125" t="s">
        <v>5620</v>
      </c>
      <c r="C4125" t="s">
        <v>80</v>
      </c>
      <c r="D4125">
        <v>1982</v>
      </c>
      <c r="E4125" t="s">
        <v>23</v>
      </c>
      <c r="F4125" t="s">
        <v>24</v>
      </c>
      <c r="G4125" t="s">
        <v>25</v>
      </c>
      <c r="H4125" t="s">
        <v>26</v>
      </c>
      <c r="I4125">
        <v>5048043</v>
      </c>
      <c r="J4125" t="s">
        <v>27</v>
      </c>
      <c r="K4125" t="s">
        <v>5645</v>
      </c>
      <c r="L4125" t="s">
        <v>21</v>
      </c>
      <c r="M4125" t="str">
        <f t="shared" si="192"/>
        <v>OK</v>
      </c>
      <c r="N4125" t="str">
        <f t="shared" si="193"/>
        <v>1980s</v>
      </c>
      <c r="O4125" t="str">
        <f t="shared" si="194"/>
        <v>N/A</v>
      </c>
      <c r="P4125" t="str">
        <f>VLOOKUP(E4125,calculated_fields!$F$4:$G$6,2,FALSE)</f>
        <v>Demographics</v>
      </c>
    </row>
    <row r="4126" spans="1:16">
      <c r="A4126" t="s">
        <v>5647</v>
      </c>
      <c r="B4126" t="s">
        <v>5620</v>
      </c>
      <c r="C4126" t="s">
        <v>80</v>
      </c>
      <c r="D4126">
        <v>1982</v>
      </c>
      <c r="E4126" t="s">
        <v>29</v>
      </c>
      <c r="F4126" t="s">
        <v>30</v>
      </c>
      <c r="G4126" t="s">
        <v>31</v>
      </c>
      <c r="H4126" t="s">
        <v>32</v>
      </c>
      <c r="I4126">
        <v>11348.54585</v>
      </c>
      <c r="J4126" t="s">
        <v>33</v>
      </c>
      <c r="K4126" t="s">
        <v>5645</v>
      </c>
      <c r="L4126" t="s">
        <v>21</v>
      </c>
      <c r="M4126" t="str">
        <f t="shared" si="192"/>
        <v>OK</v>
      </c>
      <c r="N4126" t="str">
        <f t="shared" si="193"/>
        <v>1980s</v>
      </c>
      <c r="O4126" t="str">
        <f t="shared" si="194"/>
        <v>N/A</v>
      </c>
      <c r="P4126" t="str">
        <f>VLOOKUP(E4126,calculated_fields!$F$4:$G$6,2,FALSE)</f>
        <v>Economy</v>
      </c>
    </row>
    <row r="4127" spans="1:16">
      <c r="A4127" t="s">
        <v>5648</v>
      </c>
      <c r="B4127" t="s">
        <v>5620</v>
      </c>
      <c r="C4127" t="s">
        <v>80</v>
      </c>
      <c r="D4127">
        <v>1987</v>
      </c>
      <c r="E4127" t="s">
        <v>15</v>
      </c>
      <c r="F4127" t="s">
        <v>16</v>
      </c>
      <c r="G4127" t="s">
        <v>17</v>
      </c>
      <c r="H4127" t="s">
        <v>18</v>
      </c>
      <c r="I4127">
        <v>71.08</v>
      </c>
      <c r="J4127" t="s">
        <v>19</v>
      </c>
      <c r="K4127" t="s">
        <v>5649</v>
      </c>
      <c r="L4127" t="s">
        <v>21</v>
      </c>
      <c r="M4127" t="str">
        <f t="shared" si="192"/>
        <v>OK</v>
      </c>
      <c r="N4127" t="str">
        <f t="shared" si="193"/>
        <v>1980s</v>
      </c>
      <c r="O4127" t="str">
        <f t="shared" si="194"/>
        <v>High</v>
      </c>
      <c r="P4127" t="str">
        <f>VLOOKUP(E4127,calculated_fields!$F$4:$G$6,2,FALSE)</f>
        <v>Health</v>
      </c>
    </row>
    <row r="4128" spans="1:16">
      <c r="A4128" t="s">
        <v>5650</v>
      </c>
      <c r="B4128" t="s">
        <v>5620</v>
      </c>
      <c r="C4128" t="s">
        <v>80</v>
      </c>
      <c r="D4128">
        <v>1987</v>
      </c>
      <c r="E4128" t="s">
        <v>23</v>
      </c>
      <c r="F4128" t="s">
        <v>24</v>
      </c>
      <c r="G4128" t="s">
        <v>25</v>
      </c>
      <c r="H4128" t="s">
        <v>26</v>
      </c>
      <c r="I4128">
        <v>5199318</v>
      </c>
      <c r="J4128" t="s">
        <v>27</v>
      </c>
      <c r="K4128" t="s">
        <v>5649</v>
      </c>
      <c r="L4128" t="s">
        <v>21</v>
      </c>
      <c r="M4128" t="str">
        <f t="shared" si="192"/>
        <v>OK</v>
      </c>
      <c r="N4128" t="str">
        <f t="shared" si="193"/>
        <v>1980s</v>
      </c>
      <c r="O4128" t="str">
        <f t="shared" si="194"/>
        <v>N/A</v>
      </c>
      <c r="P4128" t="str">
        <f>VLOOKUP(E4128,calculated_fields!$F$4:$G$6,2,FALSE)</f>
        <v>Demographics</v>
      </c>
    </row>
    <row r="4129" spans="1:16">
      <c r="A4129" t="s">
        <v>5651</v>
      </c>
      <c r="B4129" t="s">
        <v>5620</v>
      </c>
      <c r="C4129" t="s">
        <v>80</v>
      </c>
      <c r="D4129">
        <v>1987</v>
      </c>
      <c r="E4129" t="s">
        <v>29</v>
      </c>
      <c r="F4129" t="s">
        <v>30</v>
      </c>
      <c r="G4129" t="s">
        <v>31</v>
      </c>
      <c r="H4129" t="s">
        <v>32</v>
      </c>
      <c r="I4129">
        <v>12037.26758</v>
      </c>
      <c r="J4129" t="s">
        <v>33</v>
      </c>
      <c r="K4129" t="s">
        <v>5649</v>
      </c>
      <c r="L4129" t="s">
        <v>21</v>
      </c>
      <c r="M4129" t="str">
        <f t="shared" si="192"/>
        <v>OK</v>
      </c>
      <c r="N4129" t="str">
        <f t="shared" si="193"/>
        <v>1980s</v>
      </c>
      <c r="O4129" t="str">
        <f t="shared" si="194"/>
        <v>N/A</v>
      </c>
      <c r="P4129" t="str">
        <f>VLOOKUP(E4129,calculated_fields!$F$4:$G$6,2,FALSE)</f>
        <v>Economy</v>
      </c>
    </row>
    <row r="4130" spans="1:16">
      <c r="A4130" t="s">
        <v>5652</v>
      </c>
      <c r="B4130" t="s">
        <v>5620</v>
      </c>
      <c r="C4130" t="s">
        <v>80</v>
      </c>
      <c r="D4130">
        <v>1992</v>
      </c>
      <c r="E4130" t="s">
        <v>15</v>
      </c>
      <c r="F4130" t="s">
        <v>16</v>
      </c>
      <c r="G4130" t="s">
        <v>17</v>
      </c>
      <c r="H4130" t="s">
        <v>18</v>
      </c>
      <c r="I4130">
        <v>71.38</v>
      </c>
      <c r="J4130" t="s">
        <v>19</v>
      </c>
      <c r="K4130" t="s">
        <v>5653</v>
      </c>
      <c r="L4130" t="s">
        <v>21</v>
      </c>
      <c r="M4130" t="str">
        <f t="shared" si="192"/>
        <v>OK</v>
      </c>
      <c r="N4130" t="str">
        <f t="shared" si="193"/>
        <v>1990s</v>
      </c>
      <c r="O4130" t="str">
        <f t="shared" si="194"/>
        <v>High</v>
      </c>
      <c r="P4130" t="str">
        <f>VLOOKUP(E4130,calculated_fields!$F$4:$G$6,2,FALSE)</f>
        <v>Health</v>
      </c>
    </row>
    <row r="4131" spans="1:16">
      <c r="A4131" t="s">
        <v>5654</v>
      </c>
      <c r="B4131" t="s">
        <v>5620</v>
      </c>
      <c r="C4131" t="s">
        <v>80</v>
      </c>
      <c r="D4131">
        <v>1992</v>
      </c>
      <c r="E4131" t="s">
        <v>23</v>
      </c>
      <c r="F4131" t="s">
        <v>24</v>
      </c>
      <c r="G4131" t="s">
        <v>25</v>
      </c>
      <c r="H4131" t="s">
        <v>26</v>
      </c>
      <c r="I4131">
        <v>5302888</v>
      </c>
      <c r="J4131" t="s">
        <v>27</v>
      </c>
      <c r="K4131" t="s">
        <v>5653</v>
      </c>
      <c r="L4131" t="s">
        <v>21</v>
      </c>
      <c r="M4131" t="str">
        <f t="shared" si="192"/>
        <v>OK</v>
      </c>
      <c r="N4131" t="str">
        <f t="shared" si="193"/>
        <v>1990s</v>
      </c>
      <c r="O4131" t="str">
        <f t="shared" si="194"/>
        <v>N/A</v>
      </c>
      <c r="P4131" t="str">
        <f>VLOOKUP(E4131,calculated_fields!$F$4:$G$6,2,FALSE)</f>
        <v>Demographics</v>
      </c>
    </row>
    <row r="4132" spans="1:16">
      <c r="A4132" t="s">
        <v>5655</v>
      </c>
      <c r="B4132" t="s">
        <v>5620</v>
      </c>
      <c r="C4132" t="s">
        <v>80</v>
      </c>
      <c r="D4132">
        <v>1992</v>
      </c>
      <c r="E4132" t="s">
        <v>29</v>
      </c>
      <c r="F4132" t="s">
        <v>30</v>
      </c>
      <c r="G4132" t="s">
        <v>31</v>
      </c>
      <c r="H4132" t="s">
        <v>32</v>
      </c>
      <c r="I4132">
        <v>9498.4677229999998</v>
      </c>
      <c r="J4132" t="s">
        <v>33</v>
      </c>
      <c r="K4132" t="s">
        <v>5653</v>
      </c>
      <c r="L4132" t="s">
        <v>21</v>
      </c>
      <c r="M4132" t="str">
        <f t="shared" si="192"/>
        <v>OK</v>
      </c>
      <c r="N4132" t="str">
        <f t="shared" si="193"/>
        <v>1990s</v>
      </c>
      <c r="O4132" t="str">
        <f t="shared" si="194"/>
        <v>N/A</v>
      </c>
      <c r="P4132" t="str">
        <f>VLOOKUP(E4132,calculated_fields!$F$4:$G$6,2,FALSE)</f>
        <v>Economy</v>
      </c>
    </row>
    <row r="4133" spans="1:16">
      <c r="A4133" t="s">
        <v>5656</v>
      </c>
      <c r="B4133" t="s">
        <v>5620</v>
      </c>
      <c r="C4133" t="s">
        <v>80</v>
      </c>
      <c r="D4133">
        <v>1997</v>
      </c>
      <c r="E4133" t="s">
        <v>15</v>
      </c>
      <c r="F4133" t="s">
        <v>16</v>
      </c>
      <c r="G4133" t="s">
        <v>17</v>
      </c>
      <c r="H4133" t="s">
        <v>18</v>
      </c>
      <c r="I4133">
        <v>72.709999999999994</v>
      </c>
      <c r="J4133" t="s">
        <v>19</v>
      </c>
      <c r="K4133" t="s">
        <v>5657</v>
      </c>
      <c r="L4133" t="s">
        <v>21</v>
      </c>
      <c r="M4133" t="str">
        <f t="shared" si="192"/>
        <v>OK</v>
      </c>
      <c r="N4133" t="str">
        <f t="shared" si="193"/>
        <v>1990s</v>
      </c>
      <c r="O4133" t="str">
        <f t="shared" si="194"/>
        <v>High</v>
      </c>
      <c r="P4133" t="str">
        <f>VLOOKUP(E4133,calculated_fields!$F$4:$G$6,2,FALSE)</f>
        <v>Health</v>
      </c>
    </row>
    <row r="4134" spans="1:16">
      <c r="A4134" t="s">
        <v>5658</v>
      </c>
      <c r="B4134" t="s">
        <v>5620</v>
      </c>
      <c r="C4134" t="s">
        <v>80</v>
      </c>
      <c r="D4134">
        <v>1997</v>
      </c>
      <c r="E4134" t="s">
        <v>23</v>
      </c>
      <c r="F4134" t="s">
        <v>24</v>
      </c>
      <c r="G4134" t="s">
        <v>25</v>
      </c>
      <c r="H4134" t="s">
        <v>26</v>
      </c>
      <c r="I4134">
        <v>5383010</v>
      </c>
      <c r="J4134" t="s">
        <v>27</v>
      </c>
      <c r="K4134" t="s">
        <v>5657</v>
      </c>
      <c r="L4134" t="s">
        <v>21</v>
      </c>
      <c r="M4134" t="str">
        <f t="shared" si="192"/>
        <v>OK</v>
      </c>
      <c r="N4134" t="str">
        <f t="shared" si="193"/>
        <v>1990s</v>
      </c>
      <c r="O4134" t="str">
        <f t="shared" si="194"/>
        <v>N/A</v>
      </c>
      <c r="P4134" t="str">
        <f>VLOOKUP(E4134,calculated_fields!$F$4:$G$6,2,FALSE)</f>
        <v>Demographics</v>
      </c>
    </row>
    <row r="4135" spans="1:16">
      <c r="A4135" t="s">
        <v>5659</v>
      </c>
      <c r="B4135" t="s">
        <v>5620</v>
      </c>
      <c r="C4135" t="s">
        <v>80</v>
      </c>
      <c r="D4135">
        <v>1997</v>
      </c>
      <c r="E4135" t="s">
        <v>29</v>
      </c>
      <c r="F4135" t="s">
        <v>30</v>
      </c>
      <c r="G4135" t="s">
        <v>31</v>
      </c>
      <c r="H4135" t="s">
        <v>32</v>
      </c>
      <c r="I4135">
        <v>12126.23065</v>
      </c>
      <c r="J4135" t="s">
        <v>33</v>
      </c>
      <c r="K4135" t="s">
        <v>5657</v>
      </c>
      <c r="L4135" t="s">
        <v>21</v>
      </c>
      <c r="M4135" t="str">
        <f t="shared" si="192"/>
        <v>OK</v>
      </c>
      <c r="N4135" t="str">
        <f t="shared" si="193"/>
        <v>1990s</v>
      </c>
      <c r="O4135" t="str">
        <f t="shared" si="194"/>
        <v>N/A</v>
      </c>
      <c r="P4135" t="str">
        <f>VLOOKUP(E4135,calculated_fields!$F$4:$G$6,2,FALSE)</f>
        <v>Economy</v>
      </c>
    </row>
    <row r="4136" spans="1:16">
      <c r="A4136" t="s">
        <v>5660</v>
      </c>
      <c r="B4136" t="s">
        <v>5620</v>
      </c>
      <c r="C4136" t="s">
        <v>80</v>
      </c>
      <c r="D4136">
        <v>2002</v>
      </c>
      <c r="E4136" t="s">
        <v>15</v>
      </c>
      <c r="F4136" t="s">
        <v>16</v>
      </c>
      <c r="G4136" t="s">
        <v>17</v>
      </c>
      <c r="H4136" t="s">
        <v>18</v>
      </c>
      <c r="I4136">
        <v>73.8</v>
      </c>
      <c r="J4136" t="s">
        <v>19</v>
      </c>
      <c r="K4136" t="s">
        <v>5661</v>
      </c>
      <c r="L4136" t="s">
        <v>21</v>
      </c>
      <c r="M4136" t="str">
        <f t="shared" si="192"/>
        <v>OK</v>
      </c>
      <c r="N4136" t="str">
        <f t="shared" si="193"/>
        <v>2000s</v>
      </c>
      <c r="O4136" t="str">
        <f t="shared" si="194"/>
        <v>High</v>
      </c>
      <c r="P4136" t="str">
        <f>VLOOKUP(E4136,calculated_fields!$F$4:$G$6,2,FALSE)</f>
        <v>Health</v>
      </c>
    </row>
    <row r="4137" spans="1:16">
      <c r="A4137" t="s">
        <v>5662</v>
      </c>
      <c r="B4137" t="s">
        <v>5620</v>
      </c>
      <c r="C4137" t="s">
        <v>80</v>
      </c>
      <c r="D4137">
        <v>2002</v>
      </c>
      <c r="E4137" t="s">
        <v>23</v>
      </c>
      <c r="F4137" t="s">
        <v>24</v>
      </c>
      <c r="G4137" t="s">
        <v>25</v>
      </c>
      <c r="H4137" t="s">
        <v>26</v>
      </c>
      <c r="I4137">
        <v>5410052</v>
      </c>
      <c r="J4137" t="s">
        <v>27</v>
      </c>
      <c r="K4137" t="s">
        <v>5661</v>
      </c>
      <c r="L4137" t="s">
        <v>21</v>
      </c>
      <c r="M4137" t="str">
        <f t="shared" si="192"/>
        <v>OK</v>
      </c>
      <c r="N4137" t="str">
        <f t="shared" si="193"/>
        <v>2000s</v>
      </c>
      <c r="O4137" t="str">
        <f t="shared" si="194"/>
        <v>N/A</v>
      </c>
      <c r="P4137" t="str">
        <f>VLOOKUP(E4137,calculated_fields!$F$4:$G$6,2,FALSE)</f>
        <v>Demographics</v>
      </c>
    </row>
    <row r="4138" spans="1:16">
      <c r="A4138" t="s">
        <v>5663</v>
      </c>
      <c r="B4138" t="s">
        <v>5620</v>
      </c>
      <c r="C4138" t="s">
        <v>80</v>
      </c>
      <c r="D4138">
        <v>2002</v>
      </c>
      <c r="E4138" t="s">
        <v>29</v>
      </c>
      <c r="F4138" t="s">
        <v>30</v>
      </c>
      <c r="G4138" t="s">
        <v>31</v>
      </c>
      <c r="H4138" t="s">
        <v>32</v>
      </c>
      <c r="I4138">
        <v>13638.7783699999</v>
      </c>
      <c r="J4138" t="s">
        <v>33</v>
      </c>
      <c r="K4138" t="s">
        <v>5661</v>
      </c>
      <c r="L4138" t="s">
        <v>21</v>
      </c>
      <c r="M4138" t="str">
        <f t="shared" si="192"/>
        <v>OK</v>
      </c>
      <c r="N4138" t="str">
        <f t="shared" si="193"/>
        <v>2000s</v>
      </c>
      <c r="O4138" t="str">
        <f t="shared" si="194"/>
        <v>N/A</v>
      </c>
      <c r="P4138" t="str">
        <f>VLOOKUP(E4138,calculated_fields!$F$4:$G$6,2,FALSE)</f>
        <v>Economy</v>
      </c>
    </row>
    <row r="4139" spans="1:16">
      <c r="A4139" t="s">
        <v>5664</v>
      </c>
      <c r="B4139" t="s">
        <v>5620</v>
      </c>
      <c r="C4139" t="s">
        <v>80</v>
      </c>
      <c r="D4139">
        <v>2007</v>
      </c>
      <c r="E4139" t="s">
        <v>15</v>
      </c>
      <c r="F4139" t="s">
        <v>16</v>
      </c>
      <c r="G4139" t="s">
        <v>17</v>
      </c>
      <c r="H4139" t="s">
        <v>18</v>
      </c>
      <c r="I4139">
        <v>74.662999999999997</v>
      </c>
      <c r="J4139" t="s">
        <v>19</v>
      </c>
      <c r="K4139" t="s">
        <v>5665</v>
      </c>
      <c r="L4139" t="s">
        <v>21</v>
      </c>
      <c r="M4139" t="str">
        <f t="shared" si="192"/>
        <v>OK</v>
      </c>
      <c r="N4139" t="str">
        <f t="shared" si="193"/>
        <v>2000s</v>
      </c>
      <c r="O4139" t="str">
        <f t="shared" si="194"/>
        <v>High</v>
      </c>
      <c r="P4139" t="str">
        <f>VLOOKUP(E4139,calculated_fields!$F$4:$G$6,2,FALSE)</f>
        <v>Health</v>
      </c>
    </row>
    <row r="4140" spans="1:16">
      <c r="A4140" t="s">
        <v>5666</v>
      </c>
      <c r="B4140" t="s">
        <v>5620</v>
      </c>
      <c r="C4140" t="s">
        <v>80</v>
      </c>
      <c r="D4140">
        <v>2007</v>
      </c>
      <c r="E4140" t="s">
        <v>23</v>
      </c>
      <c r="F4140" t="s">
        <v>24</v>
      </c>
      <c r="G4140" t="s">
        <v>25</v>
      </c>
      <c r="H4140" t="s">
        <v>26</v>
      </c>
      <c r="I4140">
        <v>5447502</v>
      </c>
      <c r="J4140" t="s">
        <v>27</v>
      </c>
      <c r="K4140" t="s">
        <v>5665</v>
      </c>
      <c r="L4140" t="s">
        <v>21</v>
      </c>
      <c r="M4140" t="str">
        <f t="shared" si="192"/>
        <v>OK</v>
      </c>
      <c r="N4140" t="str">
        <f t="shared" si="193"/>
        <v>2000s</v>
      </c>
      <c r="O4140" t="str">
        <f t="shared" si="194"/>
        <v>N/A</v>
      </c>
      <c r="P4140" t="str">
        <f>VLOOKUP(E4140,calculated_fields!$F$4:$G$6,2,FALSE)</f>
        <v>Demographics</v>
      </c>
    </row>
    <row r="4141" spans="1:16">
      <c r="A4141" t="s">
        <v>5667</v>
      </c>
      <c r="B4141" t="s">
        <v>5620</v>
      </c>
      <c r="C4141" t="s">
        <v>80</v>
      </c>
      <c r="D4141">
        <v>2007</v>
      </c>
      <c r="E4141" t="s">
        <v>29</v>
      </c>
      <c r="F4141" t="s">
        <v>30</v>
      </c>
      <c r="G4141" t="s">
        <v>31</v>
      </c>
      <c r="H4141" t="s">
        <v>32</v>
      </c>
      <c r="I4141">
        <v>18678.314350000001</v>
      </c>
      <c r="J4141" t="s">
        <v>33</v>
      </c>
      <c r="K4141" t="s">
        <v>5665</v>
      </c>
      <c r="L4141" t="s">
        <v>21</v>
      </c>
      <c r="M4141" t="str">
        <f t="shared" si="192"/>
        <v>OK</v>
      </c>
      <c r="N4141" t="str">
        <f t="shared" si="193"/>
        <v>2000s</v>
      </c>
      <c r="O4141" t="str">
        <f t="shared" si="194"/>
        <v>N/A</v>
      </c>
      <c r="P4141" t="str">
        <f>VLOOKUP(E4141,calculated_fields!$F$4:$G$6,2,FALSE)</f>
        <v>Economy</v>
      </c>
    </row>
    <row r="4142" spans="1:16">
      <c r="A4142" t="s">
        <v>5668</v>
      </c>
      <c r="B4142" t="s">
        <v>5669</v>
      </c>
      <c r="C4142" t="s">
        <v>80</v>
      </c>
      <c r="D4142">
        <v>1952</v>
      </c>
      <c r="E4142" t="s">
        <v>15</v>
      </c>
      <c r="F4142" t="s">
        <v>16</v>
      </c>
      <c r="G4142" t="s">
        <v>17</v>
      </c>
      <c r="H4142" t="s">
        <v>18</v>
      </c>
      <c r="I4142">
        <v>65.569999999999993</v>
      </c>
      <c r="J4142" t="s">
        <v>19</v>
      </c>
      <c r="K4142" t="s">
        <v>5670</v>
      </c>
      <c r="L4142" t="s">
        <v>21</v>
      </c>
      <c r="M4142" t="str">
        <f t="shared" si="192"/>
        <v>OK</v>
      </c>
      <c r="N4142" t="str">
        <f t="shared" si="193"/>
        <v>1950s</v>
      </c>
      <c r="O4142" t="str">
        <f t="shared" si="194"/>
        <v>Medium</v>
      </c>
      <c r="P4142" t="str">
        <f>VLOOKUP(E4142,calculated_fields!$F$4:$G$6,2,FALSE)</f>
        <v>Health</v>
      </c>
    </row>
    <row r="4143" spans="1:16">
      <c r="A4143" t="s">
        <v>5671</v>
      </c>
      <c r="B4143" t="s">
        <v>5669</v>
      </c>
      <c r="C4143" t="s">
        <v>80</v>
      </c>
      <c r="D4143">
        <v>1952</v>
      </c>
      <c r="E4143" t="s">
        <v>23</v>
      </c>
      <c r="F4143" t="s">
        <v>24</v>
      </c>
      <c r="G4143" t="s">
        <v>25</v>
      </c>
      <c r="H4143" t="s">
        <v>26</v>
      </c>
      <c r="I4143">
        <v>1489518</v>
      </c>
      <c r="J4143" t="s">
        <v>27</v>
      </c>
      <c r="K4143" t="s">
        <v>5670</v>
      </c>
      <c r="L4143" t="s">
        <v>21</v>
      </c>
      <c r="M4143" t="str">
        <f t="shared" si="192"/>
        <v>OK</v>
      </c>
      <c r="N4143" t="str">
        <f t="shared" si="193"/>
        <v>1950s</v>
      </c>
      <c r="O4143" t="str">
        <f t="shared" si="194"/>
        <v>N/A</v>
      </c>
      <c r="P4143" t="str">
        <f>VLOOKUP(E4143,calculated_fields!$F$4:$G$6,2,FALSE)</f>
        <v>Demographics</v>
      </c>
    </row>
    <row r="4144" spans="1:16">
      <c r="A4144" t="s">
        <v>5672</v>
      </c>
      <c r="B4144" t="s">
        <v>5669</v>
      </c>
      <c r="C4144" t="s">
        <v>80</v>
      </c>
      <c r="D4144">
        <v>1952</v>
      </c>
      <c r="E4144" t="s">
        <v>29</v>
      </c>
      <c r="F4144" t="s">
        <v>30</v>
      </c>
      <c r="G4144" t="s">
        <v>31</v>
      </c>
      <c r="H4144" t="s">
        <v>32</v>
      </c>
      <c r="I4144">
        <v>4215.041741</v>
      </c>
      <c r="J4144" t="s">
        <v>33</v>
      </c>
      <c r="K4144" t="s">
        <v>5670</v>
      </c>
      <c r="L4144" t="s">
        <v>21</v>
      </c>
      <c r="M4144" t="str">
        <f t="shared" si="192"/>
        <v>OK</v>
      </c>
      <c r="N4144" t="str">
        <f t="shared" si="193"/>
        <v>1950s</v>
      </c>
      <c r="O4144" t="str">
        <f t="shared" si="194"/>
        <v>N/A</v>
      </c>
      <c r="P4144" t="str">
        <f>VLOOKUP(E4144,calculated_fields!$F$4:$G$6,2,FALSE)</f>
        <v>Economy</v>
      </c>
    </row>
    <row r="4145" spans="1:16">
      <c r="A4145" t="s">
        <v>5673</v>
      </c>
      <c r="B4145" t="s">
        <v>5669</v>
      </c>
      <c r="C4145" t="s">
        <v>80</v>
      </c>
      <c r="D4145">
        <v>1957</v>
      </c>
      <c r="E4145" t="s">
        <v>15</v>
      </c>
      <c r="F4145" t="s">
        <v>16</v>
      </c>
      <c r="G4145" t="s">
        <v>17</v>
      </c>
      <c r="H4145" t="s">
        <v>18</v>
      </c>
      <c r="I4145">
        <v>67.849999999999994</v>
      </c>
      <c r="J4145" t="s">
        <v>19</v>
      </c>
      <c r="K4145" t="s">
        <v>5674</v>
      </c>
      <c r="L4145" t="s">
        <v>21</v>
      </c>
      <c r="M4145" t="str">
        <f t="shared" si="192"/>
        <v>OK</v>
      </c>
      <c r="N4145" t="str">
        <f t="shared" si="193"/>
        <v>1950s</v>
      </c>
      <c r="O4145" t="str">
        <f t="shared" si="194"/>
        <v>Medium</v>
      </c>
      <c r="P4145" t="str">
        <f>VLOOKUP(E4145,calculated_fields!$F$4:$G$6,2,FALSE)</f>
        <v>Health</v>
      </c>
    </row>
    <row r="4146" spans="1:16">
      <c r="A4146" t="s">
        <v>5675</v>
      </c>
      <c r="B4146" t="s">
        <v>5669</v>
      </c>
      <c r="C4146" t="s">
        <v>80</v>
      </c>
      <c r="D4146">
        <v>1957</v>
      </c>
      <c r="E4146" t="s">
        <v>23</v>
      </c>
      <c r="F4146" t="s">
        <v>24</v>
      </c>
      <c r="G4146" t="s">
        <v>25</v>
      </c>
      <c r="H4146" t="s">
        <v>26</v>
      </c>
      <c r="I4146">
        <v>1533070</v>
      </c>
      <c r="J4146" t="s">
        <v>27</v>
      </c>
      <c r="K4146" t="s">
        <v>5674</v>
      </c>
      <c r="L4146" t="s">
        <v>21</v>
      </c>
      <c r="M4146" t="str">
        <f t="shared" si="192"/>
        <v>OK</v>
      </c>
      <c r="N4146" t="str">
        <f t="shared" si="193"/>
        <v>1950s</v>
      </c>
      <c r="O4146" t="str">
        <f t="shared" si="194"/>
        <v>N/A</v>
      </c>
      <c r="P4146" t="str">
        <f>VLOOKUP(E4146,calculated_fields!$F$4:$G$6,2,FALSE)</f>
        <v>Demographics</v>
      </c>
    </row>
    <row r="4147" spans="1:16">
      <c r="A4147" t="s">
        <v>5676</v>
      </c>
      <c r="B4147" t="s">
        <v>5669</v>
      </c>
      <c r="C4147" t="s">
        <v>80</v>
      </c>
      <c r="D4147">
        <v>1957</v>
      </c>
      <c r="E4147" t="s">
        <v>29</v>
      </c>
      <c r="F4147" t="s">
        <v>30</v>
      </c>
      <c r="G4147" t="s">
        <v>31</v>
      </c>
      <c r="H4147" t="s">
        <v>32</v>
      </c>
      <c r="I4147">
        <v>5862.276629</v>
      </c>
      <c r="J4147" t="s">
        <v>33</v>
      </c>
      <c r="K4147" t="s">
        <v>5674</v>
      </c>
      <c r="L4147" t="s">
        <v>21</v>
      </c>
      <c r="M4147" t="str">
        <f t="shared" si="192"/>
        <v>OK</v>
      </c>
      <c r="N4147" t="str">
        <f t="shared" si="193"/>
        <v>1950s</v>
      </c>
      <c r="O4147" t="str">
        <f t="shared" si="194"/>
        <v>N/A</v>
      </c>
      <c r="P4147" t="str">
        <f>VLOOKUP(E4147,calculated_fields!$F$4:$G$6,2,FALSE)</f>
        <v>Economy</v>
      </c>
    </row>
    <row r="4148" spans="1:16">
      <c r="A4148" t="s">
        <v>5677</v>
      </c>
      <c r="B4148" t="s">
        <v>5669</v>
      </c>
      <c r="C4148" t="s">
        <v>80</v>
      </c>
      <c r="D4148">
        <v>1962</v>
      </c>
      <c r="E4148" t="s">
        <v>15</v>
      </c>
      <c r="F4148" t="s">
        <v>16</v>
      </c>
      <c r="G4148" t="s">
        <v>17</v>
      </c>
      <c r="H4148" t="s">
        <v>18</v>
      </c>
      <c r="I4148">
        <v>69.150000000000006</v>
      </c>
      <c r="J4148" t="s">
        <v>19</v>
      </c>
      <c r="K4148" t="s">
        <v>5678</v>
      </c>
      <c r="L4148" t="s">
        <v>21</v>
      </c>
      <c r="M4148" t="str">
        <f t="shared" si="192"/>
        <v>OK</v>
      </c>
      <c r="N4148" t="str">
        <f t="shared" si="193"/>
        <v>1960s</v>
      </c>
      <c r="O4148" t="str">
        <f t="shared" si="194"/>
        <v>Medium</v>
      </c>
      <c r="P4148" t="str">
        <f>VLOOKUP(E4148,calculated_fields!$F$4:$G$6,2,FALSE)</f>
        <v>Health</v>
      </c>
    </row>
    <row r="4149" spans="1:16">
      <c r="A4149" t="s">
        <v>5679</v>
      </c>
      <c r="B4149" t="s">
        <v>5669</v>
      </c>
      <c r="C4149" t="s">
        <v>80</v>
      </c>
      <c r="D4149">
        <v>1962</v>
      </c>
      <c r="E4149" t="s">
        <v>23</v>
      </c>
      <c r="F4149" t="s">
        <v>24</v>
      </c>
      <c r="G4149" t="s">
        <v>25</v>
      </c>
      <c r="H4149" t="s">
        <v>26</v>
      </c>
      <c r="I4149">
        <v>1582962</v>
      </c>
      <c r="J4149" t="s">
        <v>27</v>
      </c>
      <c r="K4149" t="s">
        <v>5678</v>
      </c>
      <c r="L4149" t="s">
        <v>21</v>
      </c>
      <c r="M4149" t="str">
        <f t="shared" si="192"/>
        <v>OK</v>
      </c>
      <c r="N4149" t="str">
        <f t="shared" si="193"/>
        <v>1960s</v>
      </c>
      <c r="O4149" t="str">
        <f t="shared" si="194"/>
        <v>N/A</v>
      </c>
      <c r="P4149" t="str">
        <f>VLOOKUP(E4149,calculated_fields!$F$4:$G$6,2,FALSE)</f>
        <v>Demographics</v>
      </c>
    </row>
    <row r="4150" spans="1:16">
      <c r="A4150" t="s">
        <v>5680</v>
      </c>
      <c r="B4150" t="s">
        <v>5669</v>
      </c>
      <c r="C4150" t="s">
        <v>80</v>
      </c>
      <c r="D4150">
        <v>1962</v>
      </c>
      <c r="E4150" t="s">
        <v>29</v>
      </c>
      <c r="F4150" t="s">
        <v>30</v>
      </c>
      <c r="G4150" t="s">
        <v>31</v>
      </c>
      <c r="H4150" t="s">
        <v>32</v>
      </c>
      <c r="I4150">
        <v>7402.3033949999999</v>
      </c>
      <c r="J4150" t="s">
        <v>33</v>
      </c>
      <c r="K4150" t="s">
        <v>5678</v>
      </c>
      <c r="L4150" t="s">
        <v>21</v>
      </c>
      <c r="M4150" t="str">
        <f t="shared" si="192"/>
        <v>OK</v>
      </c>
      <c r="N4150" t="str">
        <f t="shared" si="193"/>
        <v>1960s</v>
      </c>
      <c r="O4150" t="str">
        <f t="shared" si="194"/>
        <v>N/A</v>
      </c>
      <c r="P4150" t="str">
        <f>VLOOKUP(E4150,calculated_fields!$F$4:$G$6,2,FALSE)</f>
        <v>Economy</v>
      </c>
    </row>
    <row r="4151" spans="1:16">
      <c r="A4151" t="s">
        <v>5681</v>
      </c>
      <c r="B4151" t="s">
        <v>5669</v>
      </c>
      <c r="C4151" t="s">
        <v>80</v>
      </c>
      <c r="D4151">
        <v>1967</v>
      </c>
      <c r="E4151" t="s">
        <v>15</v>
      </c>
      <c r="F4151" t="s">
        <v>16</v>
      </c>
      <c r="G4151" t="s">
        <v>17</v>
      </c>
      <c r="H4151" t="s">
        <v>18</v>
      </c>
      <c r="I4151">
        <v>69.180000000000007</v>
      </c>
      <c r="J4151" t="s">
        <v>19</v>
      </c>
      <c r="K4151" t="s">
        <v>5682</v>
      </c>
      <c r="L4151" t="s">
        <v>21</v>
      </c>
      <c r="M4151" t="str">
        <f t="shared" si="192"/>
        <v>OK</v>
      </c>
      <c r="N4151" t="str">
        <f t="shared" si="193"/>
        <v>1960s</v>
      </c>
      <c r="O4151" t="str">
        <f t="shared" si="194"/>
        <v>Medium</v>
      </c>
      <c r="P4151" t="str">
        <f>VLOOKUP(E4151,calculated_fields!$F$4:$G$6,2,FALSE)</f>
        <v>Health</v>
      </c>
    </row>
    <row r="4152" spans="1:16">
      <c r="A4152" t="s">
        <v>5683</v>
      </c>
      <c r="B4152" t="s">
        <v>5669</v>
      </c>
      <c r="C4152" t="s">
        <v>80</v>
      </c>
      <c r="D4152">
        <v>1967</v>
      </c>
      <c r="E4152" t="s">
        <v>23</v>
      </c>
      <c r="F4152" t="s">
        <v>24</v>
      </c>
      <c r="G4152" t="s">
        <v>25</v>
      </c>
      <c r="H4152" t="s">
        <v>26</v>
      </c>
      <c r="I4152">
        <v>1646912</v>
      </c>
      <c r="J4152" t="s">
        <v>27</v>
      </c>
      <c r="K4152" t="s">
        <v>5682</v>
      </c>
      <c r="L4152" t="s">
        <v>21</v>
      </c>
      <c r="M4152" t="str">
        <f t="shared" si="192"/>
        <v>OK</v>
      </c>
      <c r="N4152" t="str">
        <f t="shared" si="193"/>
        <v>1960s</v>
      </c>
      <c r="O4152" t="str">
        <f t="shared" si="194"/>
        <v>N/A</v>
      </c>
      <c r="P4152" t="str">
        <f>VLOOKUP(E4152,calculated_fields!$F$4:$G$6,2,FALSE)</f>
        <v>Demographics</v>
      </c>
    </row>
    <row r="4153" spans="1:16">
      <c r="A4153" t="s">
        <v>5684</v>
      </c>
      <c r="B4153" t="s">
        <v>5669</v>
      </c>
      <c r="C4153" t="s">
        <v>80</v>
      </c>
      <c r="D4153">
        <v>1967</v>
      </c>
      <c r="E4153" t="s">
        <v>29</v>
      </c>
      <c r="F4153" t="s">
        <v>30</v>
      </c>
      <c r="G4153" t="s">
        <v>31</v>
      </c>
      <c r="H4153" t="s">
        <v>32</v>
      </c>
      <c r="I4153">
        <v>9405.4893969999994</v>
      </c>
      <c r="J4153" t="s">
        <v>33</v>
      </c>
      <c r="K4153" t="s">
        <v>5682</v>
      </c>
      <c r="L4153" t="s">
        <v>21</v>
      </c>
      <c r="M4153" t="str">
        <f t="shared" si="192"/>
        <v>OK</v>
      </c>
      <c r="N4153" t="str">
        <f t="shared" si="193"/>
        <v>1960s</v>
      </c>
      <c r="O4153" t="str">
        <f t="shared" si="194"/>
        <v>N/A</v>
      </c>
      <c r="P4153" t="str">
        <f>VLOOKUP(E4153,calculated_fields!$F$4:$G$6,2,FALSE)</f>
        <v>Economy</v>
      </c>
    </row>
    <row r="4154" spans="1:16">
      <c r="A4154" t="s">
        <v>5685</v>
      </c>
      <c r="B4154" t="s">
        <v>5669</v>
      </c>
      <c r="C4154" t="s">
        <v>80</v>
      </c>
      <c r="D4154">
        <v>1972</v>
      </c>
      <c r="E4154" t="s">
        <v>15</v>
      </c>
      <c r="F4154" t="s">
        <v>16</v>
      </c>
      <c r="G4154" t="s">
        <v>17</v>
      </c>
      <c r="H4154" t="s">
        <v>18</v>
      </c>
      <c r="I4154">
        <v>69.819999999999993</v>
      </c>
      <c r="J4154" t="s">
        <v>19</v>
      </c>
      <c r="K4154" t="s">
        <v>5686</v>
      </c>
      <c r="L4154" t="s">
        <v>21</v>
      </c>
      <c r="M4154" t="str">
        <f t="shared" si="192"/>
        <v>OK</v>
      </c>
      <c r="N4154" t="str">
        <f t="shared" si="193"/>
        <v>1970s</v>
      </c>
      <c r="O4154" t="str">
        <f t="shared" si="194"/>
        <v>Medium</v>
      </c>
      <c r="P4154" t="str">
        <f>VLOOKUP(E4154,calculated_fields!$F$4:$G$6,2,FALSE)</f>
        <v>Health</v>
      </c>
    </row>
    <row r="4155" spans="1:16">
      <c r="A4155" t="s">
        <v>5687</v>
      </c>
      <c r="B4155" t="s">
        <v>5669</v>
      </c>
      <c r="C4155" t="s">
        <v>80</v>
      </c>
      <c r="D4155">
        <v>1972</v>
      </c>
      <c r="E4155" t="s">
        <v>23</v>
      </c>
      <c r="F4155" t="s">
        <v>24</v>
      </c>
      <c r="G4155" t="s">
        <v>25</v>
      </c>
      <c r="H4155" t="s">
        <v>26</v>
      </c>
      <c r="I4155">
        <v>1694510</v>
      </c>
      <c r="J4155" t="s">
        <v>27</v>
      </c>
      <c r="K4155" t="s">
        <v>5686</v>
      </c>
      <c r="L4155" t="s">
        <v>21</v>
      </c>
      <c r="M4155" t="str">
        <f t="shared" si="192"/>
        <v>OK</v>
      </c>
      <c r="N4155" t="str">
        <f t="shared" si="193"/>
        <v>1970s</v>
      </c>
      <c r="O4155" t="str">
        <f t="shared" si="194"/>
        <v>N/A</v>
      </c>
      <c r="P4155" t="str">
        <f>VLOOKUP(E4155,calculated_fields!$F$4:$G$6,2,FALSE)</f>
        <v>Demographics</v>
      </c>
    </row>
    <row r="4156" spans="1:16">
      <c r="A4156" t="s">
        <v>5688</v>
      </c>
      <c r="B4156" t="s">
        <v>5669</v>
      </c>
      <c r="C4156" t="s">
        <v>80</v>
      </c>
      <c r="D4156">
        <v>1972</v>
      </c>
      <c r="E4156" t="s">
        <v>29</v>
      </c>
      <c r="F4156" t="s">
        <v>30</v>
      </c>
      <c r="G4156" t="s">
        <v>31</v>
      </c>
      <c r="H4156" t="s">
        <v>32</v>
      </c>
      <c r="I4156">
        <v>12383.486199999999</v>
      </c>
      <c r="J4156" t="s">
        <v>33</v>
      </c>
      <c r="K4156" t="s">
        <v>5686</v>
      </c>
      <c r="L4156" t="s">
        <v>21</v>
      </c>
      <c r="M4156" t="str">
        <f t="shared" si="192"/>
        <v>OK</v>
      </c>
      <c r="N4156" t="str">
        <f t="shared" si="193"/>
        <v>1970s</v>
      </c>
      <c r="O4156" t="str">
        <f t="shared" si="194"/>
        <v>N/A</v>
      </c>
      <c r="P4156" t="str">
        <f>VLOOKUP(E4156,calculated_fields!$F$4:$G$6,2,FALSE)</f>
        <v>Economy</v>
      </c>
    </row>
    <row r="4157" spans="1:16">
      <c r="A4157" t="s">
        <v>5689</v>
      </c>
      <c r="B4157" t="s">
        <v>5669</v>
      </c>
      <c r="C4157" t="s">
        <v>80</v>
      </c>
      <c r="D4157">
        <v>1977</v>
      </c>
      <c r="E4157" t="s">
        <v>15</v>
      </c>
      <c r="F4157" t="s">
        <v>16</v>
      </c>
      <c r="G4157" t="s">
        <v>17</v>
      </c>
      <c r="H4157" t="s">
        <v>18</v>
      </c>
      <c r="I4157">
        <v>70.97</v>
      </c>
      <c r="J4157" t="s">
        <v>19</v>
      </c>
      <c r="K4157" t="s">
        <v>5690</v>
      </c>
      <c r="L4157" t="s">
        <v>21</v>
      </c>
      <c r="M4157" t="str">
        <f t="shared" si="192"/>
        <v>OK</v>
      </c>
      <c r="N4157" t="str">
        <f t="shared" si="193"/>
        <v>1970s</v>
      </c>
      <c r="O4157" t="str">
        <f t="shared" si="194"/>
        <v>High</v>
      </c>
      <c r="P4157" t="str">
        <f>VLOOKUP(E4157,calculated_fields!$F$4:$G$6,2,FALSE)</f>
        <v>Health</v>
      </c>
    </row>
    <row r="4158" spans="1:16">
      <c r="A4158" t="s">
        <v>5691</v>
      </c>
      <c r="B4158" t="s">
        <v>5669</v>
      </c>
      <c r="C4158" t="s">
        <v>80</v>
      </c>
      <c r="D4158">
        <v>1977</v>
      </c>
      <c r="E4158" t="s">
        <v>23</v>
      </c>
      <c r="F4158" t="s">
        <v>24</v>
      </c>
      <c r="G4158" t="s">
        <v>25</v>
      </c>
      <c r="H4158" t="s">
        <v>26</v>
      </c>
      <c r="I4158">
        <v>1746919</v>
      </c>
      <c r="J4158" t="s">
        <v>27</v>
      </c>
      <c r="K4158" t="s">
        <v>5690</v>
      </c>
      <c r="L4158" t="s">
        <v>21</v>
      </c>
      <c r="M4158" t="str">
        <f t="shared" si="192"/>
        <v>OK</v>
      </c>
      <c r="N4158" t="str">
        <f t="shared" si="193"/>
        <v>1970s</v>
      </c>
      <c r="O4158" t="str">
        <f t="shared" si="194"/>
        <v>N/A</v>
      </c>
      <c r="P4158" t="str">
        <f>VLOOKUP(E4158,calculated_fields!$F$4:$G$6,2,FALSE)</f>
        <v>Demographics</v>
      </c>
    </row>
    <row r="4159" spans="1:16">
      <c r="A4159" t="s">
        <v>5692</v>
      </c>
      <c r="B4159" t="s">
        <v>5669</v>
      </c>
      <c r="C4159" t="s">
        <v>80</v>
      </c>
      <c r="D4159">
        <v>1977</v>
      </c>
      <c r="E4159" t="s">
        <v>29</v>
      </c>
      <c r="F4159" t="s">
        <v>30</v>
      </c>
      <c r="G4159" t="s">
        <v>31</v>
      </c>
      <c r="H4159" t="s">
        <v>32</v>
      </c>
      <c r="I4159">
        <v>15277.0301699999</v>
      </c>
      <c r="J4159" t="s">
        <v>33</v>
      </c>
      <c r="K4159" t="s">
        <v>5690</v>
      </c>
      <c r="L4159" t="s">
        <v>21</v>
      </c>
      <c r="M4159" t="str">
        <f t="shared" si="192"/>
        <v>OK</v>
      </c>
      <c r="N4159" t="str">
        <f t="shared" si="193"/>
        <v>1970s</v>
      </c>
      <c r="O4159" t="str">
        <f t="shared" si="194"/>
        <v>N/A</v>
      </c>
      <c r="P4159" t="str">
        <f>VLOOKUP(E4159,calculated_fields!$F$4:$G$6,2,FALSE)</f>
        <v>Economy</v>
      </c>
    </row>
    <row r="4160" spans="1:16">
      <c r="A4160" t="s">
        <v>5693</v>
      </c>
      <c r="B4160" t="s">
        <v>5669</v>
      </c>
      <c r="C4160" t="s">
        <v>80</v>
      </c>
      <c r="D4160">
        <v>1982</v>
      </c>
      <c r="E4160" t="s">
        <v>15</v>
      </c>
      <c r="F4160" t="s">
        <v>16</v>
      </c>
      <c r="G4160" t="s">
        <v>17</v>
      </c>
      <c r="H4160" t="s">
        <v>18</v>
      </c>
      <c r="I4160">
        <v>71.063000000000002</v>
      </c>
      <c r="J4160" t="s">
        <v>19</v>
      </c>
      <c r="K4160" t="s">
        <v>5694</v>
      </c>
      <c r="L4160" t="s">
        <v>21</v>
      </c>
      <c r="M4160" t="str">
        <f t="shared" si="192"/>
        <v>OK</v>
      </c>
      <c r="N4160" t="str">
        <f t="shared" si="193"/>
        <v>1980s</v>
      </c>
      <c r="O4160" t="str">
        <f t="shared" si="194"/>
        <v>High</v>
      </c>
      <c r="P4160" t="str">
        <f>VLOOKUP(E4160,calculated_fields!$F$4:$G$6,2,FALSE)</f>
        <v>Health</v>
      </c>
    </row>
    <row r="4161" spans="1:16">
      <c r="A4161" t="s">
        <v>5695</v>
      </c>
      <c r="B4161" t="s">
        <v>5669</v>
      </c>
      <c r="C4161" t="s">
        <v>80</v>
      </c>
      <c r="D4161">
        <v>1982</v>
      </c>
      <c r="E4161" t="s">
        <v>23</v>
      </c>
      <c r="F4161" t="s">
        <v>24</v>
      </c>
      <c r="G4161" t="s">
        <v>25</v>
      </c>
      <c r="H4161" t="s">
        <v>26</v>
      </c>
      <c r="I4161">
        <v>1861252</v>
      </c>
      <c r="J4161" t="s">
        <v>27</v>
      </c>
      <c r="K4161" t="s">
        <v>5694</v>
      </c>
      <c r="L4161" t="s">
        <v>21</v>
      </c>
      <c r="M4161" t="str">
        <f t="shared" si="192"/>
        <v>OK</v>
      </c>
      <c r="N4161" t="str">
        <f t="shared" si="193"/>
        <v>1980s</v>
      </c>
      <c r="O4161" t="str">
        <f t="shared" si="194"/>
        <v>N/A</v>
      </c>
      <c r="P4161" t="str">
        <f>VLOOKUP(E4161,calculated_fields!$F$4:$G$6,2,FALSE)</f>
        <v>Demographics</v>
      </c>
    </row>
    <row r="4162" spans="1:16">
      <c r="A4162" t="s">
        <v>5696</v>
      </c>
      <c r="B4162" t="s">
        <v>5669</v>
      </c>
      <c r="C4162" t="s">
        <v>80</v>
      </c>
      <c r="D4162">
        <v>1982</v>
      </c>
      <c r="E4162" t="s">
        <v>29</v>
      </c>
      <c r="F4162" t="s">
        <v>30</v>
      </c>
      <c r="G4162" t="s">
        <v>31</v>
      </c>
      <c r="H4162" t="s">
        <v>32</v>
      </c>
      <c r="I4162">
        <v>17866.721750000001</v>
      </c>
      <c r="J4162" t="s">
        <v>33</v>
      </c>
      <c r="K4162" t="s">
        <v>5694</v>
      </c>
      <c r="L4162" t="s">
        <v>21</v>
      </c>
      <c r="M4162" t="str">
        <f t="shared" ref="M4162:M4225" si="195">IF(AND(ISNUMBER(I4162),I4162&gt;=0),"OK","Review")</f>
        <v>OK</v>
      </c>
      <c r="N4162" t="str">
        <f t="shared" ref="N4162:N4225" si="196">FLOOR(D4162,10)&amp;"s"</f>
        <v>1980s</v>
      </c>
      <c r="O4162" t="str">
        <f t="shared" ref="O4162:O4225" si="197">IF(E4162="LIFE_EXP",IF(I4162&gt;=70,"High",IF(I4162&gt;=55,"Medium","Low")),"N/A")</f>
        <v>N/A</v>
      </c>
      <c r="P4162" t="str">
        <f>VLOOKUP(E4162,calculated_fields!$F$4:$G$6,2,FALSE)</f>
        <v>Economy</v>
      </c>
    </row>
    <row r="4163" spans="1:16">
      <c r="A4163" t="s">
        <v>5697</v>
      </c>
      <c r="B4163" t="s">
        <v>5669</v>
      </c>
      <c r="C4163" t="s">
        <v>80</v>
      </c>
      <c r="D4163">
        <v>1987</v>
      </c>
      <c r="E4163" t="s">
        <v>15</v>
      </c>
      <c r="F4163" t="s">
        <v>16</v>
      </c>
      <c r="G4163" t="s">
        <v>17</v>
      </c>
      <c r="H4163" t="s">
        <v>18</v>
      </c>
      <c r="I4163">
        <v>72.25</v>
      </c>
      <c r="J4163" t="s">
        <v>19</v>
      </c>
      <c r="K4163" t="s">
        <v>5698</v>
      </c>
      <c r="L4163" t="s">
        <v>21</v>
      </c>
      <c r="M4163" t="str">
        <f t="shared" si="195"/>
        <v>OK</v>
      </c>
      <c r="N4163" t="str">
        <f t="shared" si="196"/>
        <v>1980s</v>
      </c>
      <c r="O4163" t="str">
        <f t="shared" si="197"/>
        <v>High</v>
      </c>
      <c r="P4163" t="str">
        <f>VLOOKUP(E4163,calculated_fields!$F$4:$G$6,2,FALSE)</f>
        <v>Health</v>
      </c>
    </row>
    <row r="4164" spans="1:16">
      <c r="A4164" t="s">
        <v>5699</v>
      </c>
      <c r="B4164" t="s">
        <v>5669</v>
      </c>
      <c r="C4164" t="s">
        <v>80</v>
      </c>
      <c r="D4164">
        <v>1987</v>
      </c>
      <c r="E4164" t="s">
        <v>23</v>
      </c>
      <c r="F4164" t="s">
        <v>24</v>
      </c>
      <c r="G4164" t="s">
        <v>25</v>
      </c>
      <c r="H4164" t="s">
        <v>26</v>
      </c>
      <c r="I4164">
        <v>1945870</v>
      </c>
      <c r="J4164" t="s">
        <v>27</v>
      </c>
      <c r="K4164" t="s">
        <v>5698</v>
      </c>
      <c r="L4164" t="s">
        <v>21</v>
      </c>
      <c r="M4164" t="str">
        <f t="shared" si="195"/>
        <v>OK</v>
      </c>
      <c r="N4164" t="str">
        <f t="shared" si="196"/>
        <v>1980s</v>
      </c>
      <c r="O4164" t="str">
        <f t="shared" si="197"/>
        <v>N/A</v>
      </c>
      <c r="P4164" t="str">
        <f>VLOOKUP(E4164,calculated_fields!$F$4:$G$6,2,FALSE)</f>
        <v>Demographics</v>
      </c>
    </row>
    <row r="4165" spans="1:16">
      <c r="A4165" t="s">
        <v>5700</v>
      </c>
      <c r="B4165" t="s">
        <v>5669</v>
      </c>
      <c r="C4165" t="s">
        <v>80</v>
      </c>
      <c r="D4165">
        <v>1987</v>
      </c>
      <c r="E4165" t="s">
        <v>29</v>
      </c>
      <c r="F4165" t="s">
        <v>30</v>
      </c>
      <c r="G4165" t="s">
        <v>31</v>
      </c>
      <c r="H4165" t="s">
        <v>32</v>
      </c>
      <c r="I4165">
        <v>18678.534919999998</v>
      </c>
      <c r="J4165" t="s">
        <v>33</v>
      </c>
      <c r="K4165" t="s">
        <v>5698</v>
      </c>
      <c r="L4165" t="s">
        <v>21</v>
      </c>
      <c r="M4165" t="str">
        <f t="shared" si="195"/>
        <v>OK</v>
      </c>
      <c r="N4165" t="str">
        <f t="shared" si="196"/>
        <v>1980s</v>
      </c>
      <c r="O4165" t="str">
        <f t="shared" si="197"/>
        <v>N/A</v>
      </c>
      <c r="P4165" t="str">
        <f>VLOOKUP(E4165,calculated_fields!$F$4:$G$6,2,FALSE)</f>
        <v>Economy</v>
      </c>
    </row>
    <row r="4166" spans="1:16">
      <c r="A4166" t="s">
        <v>5701</v>
      </c>
      <c r="B4166" t="s">
        <v>5669</v>
      </c>
      <c r="C4166" t="s">
        <v>80</v>
      </c>
      <c r="D4166">
        <v>1992</v>
      </c>
      <c r="E4166" t="s">
        <v>15</v>
      </c>
      <c r="F4166" t="s">
        <v>16</v>
      </c>
      <c r="G4166" t="s">
        <v>17</v>
      </c>
      <c r="H4166" t="s">
        <v>18</v>
      </c>
      <c r="I4166">
        <v>73.64</v>
      </c>
      <c r="J4166" t="s">
        <v>19</v>
      </c>
      <c r="K4166" t="s">
        <v>5702</v>
      </c>
      <c r="L4166" t="s">
        <v>21</v>
      </c>
      <c r="M4166" t="str">
        <f t="shared" si="195"/>
        <v>OK</v>
      </c>
      <c r="N4166" t="str">
        <f t="shared" si="196"/>
        <v>1990s</v>
      </c>
      <c r="O4166" t="str">
        <f t="shared" si="197"/>
        <v>High</v>
      </c>
      <c r="P4166" t="str">
        <f>VLOOKUP(E4166,calculated_fields!$F$4:$G$6,2,FALSE)</f>
        <v>Health</v>
      </c>
    </row>
    <row r="4167" spans="1:16">
      <c r="A4167" t="s">
        <v>5703</v>
      </c>
      <c r="B4167" t="s">
        <v>5669</v>
      </c>
      <c r="C4167" t="s">
        <v>80</v>
      </c>
      <c r="D4167">
        <v>1992</v>
      </c>
      <c r="E4167" t="s">
        <v>23</v>
      </c>
      <c r="F4167" t="s">
        <v>24</v>
      </c>
      <c r="G4167" t="s">
        <v>25</v>
      </c>
      <c r="H4167" t="s">
        <v>26</v>
      </c>
      <c r="I4167">
        <v>1999210</v>
      </c>
      <c r="J4167" t="s">
        <v>27</v>
      </c>
      <c r="K4167" t="s">
        <v>5702</v>
      </c>
      <c r="L4167" t="s">
        <v>21</v>
      </c>
      <c r="M4167" t="str">
        <f t="shared" si="195"/>
        <v>OK</v>
      </c>
      <c r="N4167" t="str">
        <f t="shared" si="196"/>
        <v>1990s</v>
      </c>
      <c r="O4167" t="str">
        <f t="shared" si="197"/>
        <v>N/A</v>
      </c>
      <c r="P4167" t="str">
        <f>VLOOKUP(E4167,calculated_fields!$F$4:$G$6,2,FALSE)</f>
        <v>Demographics</v>
      </c>
    </row>
    <row r="4168" spans="1:16">
      <c r="A4168" t="s">
        <v>5704</v>
      </c>
      <c r="B4168" t="s">
        <v>5669</v>
      </c>
      <c r="C4168" t="s">
        <v>80</v>
      </c>
      <c r="D4168">
        <v>1992</v>
      </c>
      <c r="E4168" t="s">
        <v>29</v>
      </c>
      <c r="F4168" t="s">
        <v>30</v>
      </c>
      <c r="G4168" t="s">
        <v>31</v>
      </c>
      <c r="H4168" t="s">
        <v>32</v>
      </c>
      <c r="I4168">
        <v>14214.71681</v>
      </c>
      <c r="J4168" t="s">
        <v>33</v>
      </c>
      <c r="K4168" t="s">
        <v>5702</v>
      </c>
      <c r="L4168" t="s">
        <v>21</v>
      </c>
      <c r="M4168" t="str">
        <f t="shared" si="195"/>
        <v>OK</v>
      </c>
      <c r="N4168" t="str">
        <f t="shared" si="196"/>
        <v>1990s</v>
      </c>
      <c r="O4168" t="str">
        <f t="shared" si="197"/>
        <v>N/A</v>
      </c>
      <c r="P4168" t="str">
        <f>VLOOKUP(E4168,calculated_fields!$F$4:$G$6,2,FALSE)</f>
        <v>Economy</v>
      </c>
    </row>
    <row r="4169" spans="1:16">
      <c r="A4169" t="s">
        <v>5705</v>
      </c>
      <c r="B4169" t="s">
        <v>5669</v>
      </c>
      <c r="C4169" t="s">
        <v>80</v>
      </c>
      <c r="D4169">
        <v>1997</v>
      </c>
      <c r="E4169" t="s">
        <v>15</v>
      </c>
      <c r="F4169" t="s">
        <v>16</v>
      </c>
      <c r="G4169" t="s">
        <v>17</v>
      </c>
      <c r="H4169" t="s">
        <v>18</v>
      </c>
      <c r="I4169">
        <v>75.13</v>
      </c>
      <c r="J4169" t="s">
        <v>19</v>
      </c>
      <c r="K4169" t="s">
        <v>5706</v>
      </c>
      <c r="L4169" t="s">
        <v>21</v>
      </c>
      <c r="M4169" t="str">
        <f t="shared" si="195"/>
        <v>OK</v>
      </c>
      <c r="N4169" t="str">
        <f t="shared" si="196"/>
        <v>1990s</v>
      </c>
      <c r="O4169" t="str">
        <f t="shared" si="197"/>
        <v>High</v>
      </c>
      <c r="P4169" t="str">
        <f>VLOOKUP(E4169,calculated_fields!$F$4:$G$6,2,FALSE)</f>
        <v>Health</v>
      </c>
    </row>
    <row r="4170" spans="1:16">
      <c r="A4170" t="s">
        <v>5707</v>
      </c>
      <c r="B4170" t="s">
        <v>5669</v>
      </c>
      <c r="C4170" t="s">
        <v>80</v>
      </c>
      <c r="D4170">
        <v>1997</v>
      </c>
      <c r="E4170" t="s">
        <v>23</v>
      </c>
      <c r="F4170" t="s">
        <v>24</v>
      </c>
      <c r="G4170" t="s">
        <v>25</v>
      </c>
      <c r="H4170" t="s">
        <v>26</v>
      </c>
      <c r="I4170">
        <v>2011612</v>
      </c>
      <c r="J4170" t="s">
        <v>27</v>
      </c>
      <c r="K4170" t="s">
        <v>5706</v>
      </c>
      <c r="L4170" t="s">
        <v>21</v>
      </c>
      <c r="M4170" t="str">
        <f t="shared" si="195"/>
        <v>OK</v>
      </c>
      <c r="N4170" t="str">
        <f t="shared" si="196"/>
        <v>1990s</v>
      </c>
      <c r="O4170" t="str">
        <f t="shared" si="197"/>
        <v>N/A</v>
      </c>
      <c r="P4170" t="str">
        <f>VLOOKUP(E4170,calculated_fields!$F$4:$G$6,2,FALSE)</f>
        <v>Demographics</v>
      </c>
    </row>
    <row r="4171" spans="1:16">
      <c r="A4171" t="s">
        <v>5708</v>
      </c>
      <c r="B4171" t="s">
        <v>5669</v>
      </c>
      <c r="C4171" t="s">
        <v>80</v>
      </c>
      <c r="D4171">
        <v>1997</v>
      </c>
      <c r="E4171" t="s">
        <v>29</v>
      </c>
      <c r="F4171" t="s">
        <v>30</v>
      </c>
      <c r="G4171" t="s">
        <v>31</v>
      </c>
      <c r="H4171" t="s">
        <v>32</v>
      </c>
      <c r="I4171">
        <v>17161.107349999998</v>
      </c>
      <c r="J4171" t="s">
        <v>33</v>
      </c>
      <c r="K4171" t="s">
        <v>5706</v>
      </c>
      <c r="L4171" t="s">
        <v>21</v>
      </c>
      <c r="M4171" t="str">
        <f t="shared" si="195"/>
        <v>OK</v>
      </c>
      <c r="N4171" t="str">
        <f t="shared" si="196"/>
        <v>1990s</v>
      </c>
      <c r="O4171" t="str">
        <f t="shared" si="197"/>
        <v>N/A</v>
      </c>
      <c r="P4171" t="str">
        <f>VLOOKUP(E4171,calculated_fields!$F$4:$G$6,2,FALSE)</f>
        <v>Economy</v>
      </c>
    </row>
    <row r="4172" spans="1:16">
      <c r="A4172" t="s">
        <v>5709</v>
      </c>
      <c r="B4172" t="s">
        <v>5669</v>
      </c>
      <c r="C4172" t="s">
        <v>80</v>
      </c>
      <c r="D4172">
        <v>2002</v>
      </c>
      <c r="E4172" t="s">
        <v>15</v>
      </c>
      <c r="F4172" t="s">
        <v>16</v>
      </c>
      <c r="G4172" t="s">
        <v>17</v>
      </c>
      <c r="H4172" t="s">
        <v>18</v>
      </c>
      <c r="I4172">
        <v>76.66</v>
      </c>
      <c r="J4172" t="s">
        <v>19</v>
      </c>
      <c r="K4172" t="s">
        <v>5710</v>
      </c>
      <c r="L4172" t="s">
        <v>21</v>
      </c>
      <c r="M4172" t="str">
        <f t="shared" si="195"/>
        <v>OK</v>
      </c>
      <c r="N4172" t="str">
        <f t="shared" si="196"/>
        <v>2000s</v>
      </c>
      <c r="O4172" t="str">
        <f t="shared" si="197"/>
        <v>High</v>
      </c>
      <c r="P4172" t="str">
        <f>VLOOKUP(E4172,calculated_fields!$F$4:$G$6,2,FALSE)</f>
        <v>Health</v>
      </c>
    </row>
    <row r="4173" spans="1:16">
      <c r="A4173" t="s">
        <v>5711</v>
      </c>
      <c r="B4173" t="s">
        <v>5669</v>
      </c>
      <c r="C4173" t="s">
        <v>80</v>
      </c>
      <c r="D4173">
        <v>2002</v>
      </c>
      <c r="E4173" t="s">
        <v>23</v>
      </c>
      <c r="F4173" t="s">
        <v>24</v>
      </c>
      <c r="G4173" t="s">
        <v>25</v>
      </c>
      <c r="H4173" t="s">
        <v>26</v>
      </c>
      <c r="I4173">
        <v>2011497</v>
      </c>
      <c r="J4173" t="s">
        <v>27</v>
      </c>
      <c r="K4173" t="s">
        <v>5710</v>
      </c>
      <c r="L4173" t="s">
        <v>21</v>
      </c>
      <c r="M4173" t="str">
        <f t="shared" si="195"/>
        <v>OK</v>
      </c>
      <c r="N4173" t="str">
        <f t="shared" si="196"/>
        <v>2000s</v>
      </c>
      <c r="O4173" t="str">
        <f t="shared" si="197"/>
        <v>N/A</v>
      </c>
      <c r="P4173" t="str">
        <f>VLOOKUP(E4173,calculated_fields!$F$4:$G$6,2,FALSE)</f>
        <v>Demographics</v>
      </c>
    </row>
    <row r="4174" spans="1:16">
      <c r="A4174" t="s">
        <v>5712</v>
      </c>
      <c r="B4174" t="s">
        <v>5669</v>
      </c>
      <c r="C4174" t="s">
        <v>80</v>
      </c>
      <c r="D4174">
        <v>2002</v>
      </c>
      <c r="E4174" t="s">
        <v>29</v>
      </c>
      <c r="F4174" t="s">
        <v>30</v>
      </c>
      <c r="G4174" t="s">
        <v>31</v>
      </c>
      <c r="H4174" t="s">
        <v>32</v>
      </c>
      <c r="I4174">
        <v>20660.019359999998</v>
      </c>
      <c r="J4174" t="s">
        <v>33</v>
      </c>
      <c r="K4174" t="s">
        <v>5710</v>
      </c>
      <c r="L4174" t="s">
        <v>21</v>
      </c>
      <c r="M4174" t="str">
        <f t="shared" si="195"/>
        <v>OK</v>
      </c>
      <c r="N4174" t="str">
        <f t="shared" si="196"/>
        <v>2000s</v>
      </c>
      <c r="O4174" t="str">
        <f t="shared" si="197"/>
        <v>N/A</v>
      </c>
      <c r="P4174" t="str">
        <f>VLOOKUP(E4174,calculated_fields!$F$4:$G$6,2,FALSE)</f>
        <v>Economy</v>
      </c>
    </row>
    <row r="4175" spans="1:16">
      <c r="A4175" t="s">
        <v>5713</v>
      </c>
      <c r="B4175" t="s">
        <v>5669</v>
      </c>
      <c r="C4175" t="s">
        <v>80</v>
      </c>
      <c r="D4175">
        <v>2007</v>
      </c>
      <c r="E4175" t="s">
        <v>15</v>
      </c>
      <c r="F4175" t="s">
        <v>16</v>
      </c>
      <c r="G4175" t="s">
        <v>17</v>
      </c>
      <c r="H4175" t="s">
        <v>18</v>
      </c>
      <c r="I4175">
        <v>77.926000000000002</v>
      </c>
      <c r="J4175" t="s">
        <v>19</v>
      </c>
      <c r="K4175" t="s">
        <v>5714</v>
      </c>
      <c r="L4175" t="s">
        <v>21</v>
      </c>
      <c r="M4175" t="str">
        <f t="shared" si="195"/>
        <v>OK</v>
      </c>
      <c r="N4175" t="str">
        <f t="shared" si="196"/>
        <v>2000s</v>
      </c>
      <c r="O4175" t="str">
        <f t="shared" si="197"/>
        <v>High</v>
      </c>
      <c r="P4175" t="str">
        <f>VLOOKUP(E4175,calculated_fields!$F$4:$G$6,2,FALSE)</f>
        <v>Health</v>
      </c>
    </row>
    <row r="4176" spans="1:16">
      <c r="A4176" t="s">
        <v>5715</v>
      </c>
      <c r="B4176" t="s">
        <v>5669</v>
      </c>
      <c r="C4176" t="s">
        <v>80</v>
      </c>
      <c r="D4176">
        <v>2007</v>
      </c>
      <c r="E4176" t="s">
        <v>23</v>
      </c>
      <c r="F4176" t="s">
        <v>24</v>
      </c>
      <c r="G4176" t="s">
        <v>25</v>
      </c>
      <c r="H4176" t="s">
        <v>26</v>
      </c>
      <c r="I4176">
        <v>2009245</v>
      </c>
      <c r="J4176" t="s">
        <v>27</v>
      </c>
      <c r="K4176" t="s">
        <v>5714</v>
      </c>
      <c r="L4176" t="s">
        <v>21</v>
      </c>
      <c r="M4176" t="str">
        <f t="shared" si="195"/>
        <v>OK</v>
      </c>
      <c r="N4176" t="str">
        <f t="shared" si="196"/>
        <v>2000s</v>
      </c>
      <c r="O4176" t="str">
        <f t="shared" si="197"/>
        <v>N/A</v>
      </c>
      <c r="P4176" t="str">
        <f>VLOOKUP(E4176,calculated_fields!$F$4:$G$6,2,FALSE)</f>
        <v>Demographics</v>
      </c>
    </row>
    <row r="4177" spans="1:16">
      <c r="A4177" t="s">
        <v>5716</v>
      </c>
      <c r="B4177" t="s">
        <v>5669</v>
      </c>
      <c r="C4177" t="s">
        <v>80</v>
      </c>
      <c r="D4177">
        <v>2007</v>
      </c>
      <c r="E4177" t="s">
        <v>29</v>
      </c>
      <c r="F4177" t="s">
        <v>30</v>
      </c>
      <c r="G4177" t="s">
        <v>31</v>
      </c>
      <c r="H4177" t="s">
        <v>32</v>
      </c>
      <c r="I4177">
        <v>25768.257590000001</v>
      </c>
      <c r="J4177" t="s">
        <v>33</v>
      </c>
      <c r="K4177" t="s">
        <v>5714</v>
      </c>
      <c r="L4177" t="s">
        <v>21</v>
      </c>
      <c r="M4177" t="str">
        <f t="shared" si="195"/>
        <v>OK</v>
      </c>
      <c r="N4177" t="str">
        <f t="shared" si="196"/>
        <v>2000s</v>
      </c>
      <c r="O4177" t="str">
        <f t="shared" si="197"/>
        <v>N/A</v>
      </c>
      <c r="P4177" t="str">
        <f>VLOOKUP(E4177,calculated_fields!$F$4:$G$6,2,FALSE)</f>
        <v>Economy</v>
      </c>
    </row>
    <row r="4178" spans="1:16">
      <c r="A4178" t="s">
        <v>5717</v>
      </c>
      <c r="B4178" t="s">
        <v>5718</v>
      </c>
      <c r="C4178" t="s">
        <v>130</v>
      </c>
      <c r="D4178">
        <v>1952</v>
      </c>
      <c r="E4178" t="s">
        <v>15</v>
      </c>
      <c r="F4178" t="s">
        <v>16</v>
      </c>
      <c r="G4178" t="s">
        <v>17</v>
      </c>
      <c r="H4178" t="s">
        <v>18</v>
      </c>
      <c r="I4178">
        <v>32.978000000000002</v>
      </c>
      <c r="J4178" t="s">
        <v>19</v>
      </c>
      <c r="K4178" t="s">
        <v>5719</v>
      </c>
      <c r="L4178" t="s">
        <v>21</v>
      </c>
      <c r="M4178" t="str">
        <f t="shared" si="195"/>
        <v>OK</v>
      </c>
      <c r="N4178" t="str">
        <f t="shared" si="196"/>
        <v>1950s</v>
      </c>
      <c r="O4178" t="str">
        <f t="shared" si="197"/>
        <v>Low</v>
      </c>
      <c r="P4178" t="str">
        <f>VLOOKUP(E4178,calculated_fields!$F$4:$G$6,2,FALSE)</f>
        <v>Health</v>
      </c>
    </row>
    <row r="4179" spans="1:16">
      <c r="A4179" t="s">
        <v>5720</v>
      </c>
      <c r="B4179" t="s">
        <v>5718</v>
      </c>
      <c r="C4179" t="s">
        <v>130</v>
      </c>
      <c r="D4179">
        <v>1952</v>
      </c>
      <c r="E4179" t="s">
        <v>23</v>
      </c>
      <c r="F4179" t="s">
        <v>24</v>
      </c>
      <c r="G4179" t="s">
        <v>25</v>
      </c>
      <c r="H4179" t="s">
        <v>26</v>
      </c>
      <c r="I4179">
        <v>2526994</v>
      </c>
      <c r="J4179" t="s">
        <v>27</v>
      </c>
      <c r="K4179" t="s">
        <v>5719</v>
      </c>
      <c r="L4179" t="s">
        <v>21</v>
      </c>
      <c r="M4179" t="str">
        <f t="shared" si="195"/>
        <v>OK</v>
      </c>
      <c r="N4179" t="str">
        <f t="shared" si="196"/>
        <v>1950s</v>
      </c>
      <c r="O4179" t="str">
        <f t="shared" si="197"/>
        <v>N/A</v>
      </c>
      <c r="P4179" t="str">
        <f>VLOOKUP(E4179,calculated_fields!$F$4:$G$6,2,FALSE)</f>
        <v>Demographics</v>
      </c>
    </row>
    <row r="4180" spans="1:16">
      <c r="A4180" t="s">
        <v>5721</v>
      </c>
      <c r="B4180" t="s">
        <v>5718</v>
      </c>
      <c r="C4180" t="s">
        <v>130</v>
      </c>
      <c r="D4180">
        <v>1952</v>
      </c>
      <c r="E4180" t="s">
        <v>29</v>
      </c>
      <c r="F4180" t="s">
        <v>30</v>
      </c>
      <c r="G4180" t="s">
        <v>31</v>
      </c>
      <c r="H4180" t="s">
        <v>32</v>
      </c>
      <c r="I4180">
        <v>1135.7498419999999</v>
      </c>
      <c r="J4180" t="s">
        <v>33</v>
      </c>
      <c r="K4180" t="s">
        <v>5719</v>
      </c>
      <c r="L4180" t="s">
        <v>21</v>
      </c>
      <c r="M4180" t="str">
        <f t="shared" si="195"/>
        <v>OK</v>
      </c>
      <c r="N4180" t="str">
        <f t="shared" si="196"/>
        <v>1950s</v>
      </c>
      <c r="O4180" t="str">
        <f t="shared" si="197"/>
        <v>N/A</v>
      </c>
      <c r="P4180" t="str">
        <f>VLOOKUP(E4180,calculated_fields!$F$4:$G$6,2,FALSE)</f>
        <v>Economy</v>
      </c>
    </row>
    <row r="4181" spans="1:16">
      <c r="A4181" t="s">
        <v>5722</v>
      </c>
      <c r="B4181" t="s">
        <v>5718</v>
      </c>
      <c r="C4181" t="s">
        <v>130</v>
      </c>
      <c r="D4181">
        <v>1957</v>
      </c>
      <c r="E4181" t="s">
        <v>15</v>
      </c>
      <c r="F4181" t="s">
        <v>16</v>
      </c>
      <c r="G4181" t="s">
        <v>17</v>
      </c>
      <c r="H4181" t="s">
        <v>18</v>
      </c>
      <c r="I4181">
        <v>34.976999999999997</v>
      </c>
      <c r="J4181" t="s">
        <v>19</v>
      </c>
      <c r="K4181" t="s">
        <v>5723</v>
      </c>
      <c r="L4181" t="s">
        <v>21</v>
      </c>
      <c r="M4181" t="str">
        <f t="shared" si="195"/>
        <v>OK</v>
      </c>
      <c r="N4181" t="str">
        <f t="shared" si="196"/>
        <v>1950s</v>
      </c>
      <c r="O4181" t="str">
        <f t="shared" si="197"/>
        <v>Low</v>
      </c>
      <c r="P4181" t="str">
        <f>VLOOKUP(E4181,calculated_fields!$F$4:$G$6,2,FALSE)</f>
        <v>Health</v>
      </c>
    </row>
    <row r="4182" spans="1:16">
      <c r="A4182" t="s">
        <v>5724</v>
      </c>
      <c r="B4182" t="s">
        <v>5718</v>
      </c>
      <c r="C4182" t="s">
        <v>130</v>
      </c>
      <c r="D4182">
        <v>1957</v>
      </c>
      <c r="E4182" t="s">
        <v>23</v>
      </c>
      <c r="F4182" t="s">
        <v>24</v>
      </c>
      <c r="G4182" t="s">
        <v>25</v>
      </c>
      <c r="H4182" t="s">
        <v>26</v>
      </c>
      <c r="I4182">
        <v>2780415</v>
      </c>
      <c r="J4182" t="s">
        <v>27</v>
      </c>
      <c r="K4182" t="s">
        <v>5723</v>
      </c>
      <c r="L4182" t="s">
        <v>21</v>
      </c>
      <c r="M4182" t="str">
        <f t="shared" si="195"/>
        <v>OK</v>
      </c>
      <c r="N4182" t="str">
        <f t="shared" si="196"/>
        <v>1950s</v>
      </c>
      <c r="O4182" t="str">
        <f t="shared" si="197"/>
        <v>N/A</v>
      </c>
      <c r="P4182" t="str">
        <f>VLOOKUP(E4182,calculated_fields!$F$4:$G$6,2,FALSE)</f>
        <v>Demographics</v>
      </c>
    </row>
    <row r="4183" spans="1:16">
      <c r="A4183" t="s">
        <v>5725</v>
      </c>
      <c r="B4183" t="s">
        <v>5718</v>
      </c>
      <c r="C4183" t="s">
        <v>130</v>
      </c>
      <c r="D4183">
        <v>1957</v>
      </c>
      <c r="E4183" t="s">
        <v>29</v>
      </c>
      <c r="F4183" t="s">
        <v>30</v>
      </c>
      <c r="G4183" t="s">
        <v>31</v>
      </c>
      <c r="H4183" t="s">
        <v>32</v>
      </c>
      <c r="I4183">
        <v>1258.1474129999999</v>
      </c>
      <c r="J4183" t="s">
        <v>33</v>
      </c>
      <c r="K4183" t="s">
        <v>5723</v>
      </c>
      <c r="L4183" t="s">
        <v>21</v>
      </c>
      <c r="M4183" t="str">
        <f t="shared" si="195"/>
        <v>OK</v>
      </c>
      <c r="N4183" t="str">
        <f t="shared" si="196"/>
        <v>1950s</v>
      </c>
      <c r="O4183" t="str">
        <f t="shared" si="197"/>
        <v>N/A</v>
      </c>
      <c r="P4183" t="str">
        <f>VLOOKUP(E4183,calculated_fields!$F$4:$G$6,2,FALSE)</f>
        <v>Economy</v>
      </c>
    </row>
    <row r="4184" spans="1:16">
      <c r="A4184" t="s">
        <v>5726</v>
      </c>
      <c r="B4184" t="s">
        <v>5718</v>
      </c>
      <c r="C4184" t="s">
        <v>130</v>
      </c>
      <c r="D4184">
        <v>1962</v>
      </c>
      <c r="E4184" t="s">
        <v>15</v>
      </c>
      <c r="F4184" t="s">
        <v>16</v>
      </c>
      <c r="G4184" t="s">
        <v>17</v>
      </c>
      <c r="H4184" t="s">
        <v>18</v>
      </c>
      <c r="I4184">
        <v>36.981000000000002</v>
      </c>
      <c r="J4184" t="s">
        <v>19</v>
      </c>
      <c r="K4184" t="s">
        <v>5727</v>
      </c>
      <c r="L4184" t="s">
        <v>21</v>
      </c>
      <c r="M4184" t="str">
        <f t="shared" si="195"/>
        <v>OK</v>
      </c>
      <c r="N4184" t="str">
        <f t="shared" si="196"/>
        <v>1960s</v>
      </c>
      <c r="O4184" t="str">
        <f t="shared" si="197"/>
        <v>Low</v>
      </c>
      <c r="P4184" t="str">
        <f>VLOOKUP(E4184,calculated_fields!$F$4:$G$6,2,FALSE)</f>
        <v>Health</v>
      </c>
    </row>
    <row r="4185" spans="1:16">
      <c r="A4185" t="s">
        <v>5728</v>
      </c>
      <c r="B4185" t="s">
        <v>5718</v>
      </c>
      <c r="C4185" t="s">
        <v>130</v>
      </c>
      <c r="D4185">
        <v>1962</v>
      </c>
      <c r="E4185" t="s">
        <v>23</v>
      </c>
      <c r="F4185" t="s">
        <v>24</v>
      </c>
      <c r="G4185" t="s">
        <v>25</v>
      </c>
      <c r="H4185" t="s">
        <v>26</v>
      </c>
      <c r="I4185">
        <v>3080153</v>
      </c>
      <c r="J4185" t="s">
        <v>27</v>
      </c>
      <c r="K4185" t="s">
        <v>5727</v>
      </c>
      <c r="L4185" t="s">
        <v>21</v>
      </c>
      <c r="M4185" t="str">
        <f t="shared" si="195"/>
        <v>OK</v>
      </c>
      <c r="N4185" t="str">
        <f t="shared" si="196"/>
        <v>1960s</v>
      </c>
      <c r="O4185" t="str">
        <f t="shared" si="197"/>
        <v>N/A</v>
      </c>
      <c r="P4185" t="str">
        <f>VLOOKUP(E4185,calculated_fields!$F$4:$G$6,2,FALSE)</f>
        <v>Demographics</v>
      </c>
    </row>
    <row r="4186" spans="1:16">
      <c r="A4186" t="s">
        <v>5729</v>
      </c>
      <c r="B4186" t="s">
        <v>5718</v>
      </c>
      <c r="C4186" t="s">
        <v>130</v>
      </c>
      <c r="D4186">
        <v>1962</v>
      </c>
      <c r="E4186" t="s">
        <v>29</v>
      </c>
      <c r="F4186" t="s">
        <v>30</v>
      </c>
      <c r="G4186" t="s">
        <v>31</v>
      </c>
      <c r="H4186" t="s">
        <v>32</v>
      </c>
      <c r="I4186">
        <v>1369.4883359999999</v>
      </c>
      <c r="J4186" t="s">
        <v>33</v>
      </c>
      <c r="K4186" t="s">
        <v>5727</v>
      </c>
      <c r="L4186" t="s">
        <v>21</v>
      </c>
      <c r="M4186" t="str">
        <f t="shared" si="195"/>
        <v>OK</v>
      </c>
      <c r="N4186" t="str">
        <f t="shared" si="196"/>
        <v>1960s</v>
      </c>
      <c r="O4186" t="str">
        <f t="shared" si="197"/>
        <v>N/A</v>
      </c>
      <c r="P4186" t="str">
        <f>VLOOKUP(E4186,calculated_fields!$F$4:$G$6,2,FALSE)</f>
        <v>Economy</v>
      </c>
    </row>
    <row r="4187" spans="1:16">
      <c r="A4187" t="s">
        <v>5730</v>
      </c>
      <c r="B4187" t="s">
        <v>5718</v>
      </c>
      <c r="C4187" t="s">
        <v>130</v>
      </c>
      <c r="D4187">
        <v>1967</v>
      </c>
      <c r="E4187" t="s">
        <v>15</v>
      </c>
      <c r="F4187" t="s">
        <v>16</v>
      </c>
      <c r="G4187" t="s">
        <v>17</v>
      </c>
      <c r="H4187" t="s">
        <v>18</v>
      </c>
      <c r="I4187">
        <v>38.976999999999997</v>
      </c>
      <c r="J4187" t="s">
        <v>19</v>
      </c>
      <c r="K4187" t="s">
        <v>5731</v>
      </c>
      <c r="L4187" t="s">
        <v>21</v>
      </c>
      <c r="M4187" t="str">
        <f t="shared" si="195"/>
        <v>OK</v>
      </c>
      <c r="N4187" t="str">
        <f t="shared" si="196"/>
        <v>1960s</v>
      </c>
      <c r="O4187" t="str">
        <f t="shared" si="197"/>
        <v>Low</v>
      </c>
      <c r="P4187" t="str">
        <f>VLOOKUP(E4187,calculated_fields!$F$4:$G$6,2,FALSE)</f>
        <v>Health</v>
      </c>
    </row>
    <row r="4188" spans="1:16">
      <c r="A4188" t="s">
        <v>5732</v>
      </c>
      <c r="B4188" t="s">
        <v>5718</v>
      </c>
      <c r="C4188" t="s">
        <v>130</v>
      </c>
      <c r="D4188">
        <v>1967</v>
      </c>
      <c r="E4188" t="s">
        <v>23</v>
      </c>
      <c r="F4188" t="s">
        <v>24</v>
      </c>
      <c r="G4188" t="s">
        <v>25</v>
      </c>
      <c r="H4188" t="s">
        <v>26</v>
      </c>
      <c r="I4188">
        <v>3428839</v>
      </c>
      <c r="J4188" t="s">
        <v>27</v>
      </c>
      <c r="K4188" t="s">
        <v>5731</v>
      </c>
      <c r="L4188" t="s">
        <v>21</v>
      </c>
      <c r="M4188" t="str">
        <f t="shared" si="195"/>
        <v>OK</v>
      </c>
      <c r="N4188" t="str">
        <f t="shared" si="196"/>
        <v>1960s</v>
      </c>
      <c r="O4188" t="str">
        <f t="shared" si="197"/>
        <v>N/A</v>
      </c>
      <c r="P4188" t="str">
        <f>VLOOKUP(E4188,calculated_fields!$F$4:$G$6,2,FALSE)</f>
        <v>Demographics</v>
      </c>
    </row>
    <row r="4189" spans="1:16">
      <c r="A4189" t="s">
        <v>5733</v>
      </c>
      <c r="B4189" t="s">
        <v>5718</v>
      </c>
      <c r="C4189" t="s">
        <v>130</v>
      </c>
      <c r="D4189">
        <v>1967</v>
      </c>
      <c r="E4189" t="s">
        <v>29</v>
      </c>
      <c r="F4189" t="s">
        <v>30</v>
      </c>
      <c r="G4189" t="s">
        <v>31</v>
      </c>
      <c r="H4189" t="s">
        <v>32</v>
      </c>
      <c r="I4189">
        <v>1284.7331799999999</v>
      </c>
      <c r="J4189" t="s">
        <v>33</v>
      </c>
      <c r="K4189" t="s">
        <v>5731</v>
      </c>
      <c r="L4189" t="s">
        <v>21</v>
      </c>
      <c r="M4189" t="str">
        <f t="shared" si="195"/>
        <v>OK</v>
      </c>
      <c r="N4189" t="str">
        <f t="shared" si="196"/>
        <v>1960s</v>
      </c>
      <c r="O4189" t="str">
        <f t="shared" si="197"/>
        <v>N/A</v>
      </c>
      <c r="P4189" t="str">
        <f>VLOOKUP(E4189,calculated_fields!$F$4:$G$6,2,FALSE)</f>
        <v>Economy</v>
      </c>
    </row>
    <row r="4190" spans="1:16">
      <c r="A4190" t="s">
        <v>5734</v>
      </c>
      <c r="B4190" t="s">
        <v>5718</v>
      </c>
      <c r="C4190" t="s">
        <v>130</v>
      </c>
      <c r="D4190">
        <v>1972</v>
      </c>
      <c r="E4190" t="s">
        <v>15</v>
      </c>
      <c r="F4190" t="s">
        <v>16</v>
      </c>
      <c r="G4190" t="s">
        <v>17</v>
      </c>
      <c r="H4190" t="s">
        <v>18</v>
      </c>
      <c r="I4190">
        <v>40.972999999999999</v>
      </c>
      <c r="J4190" t="s">
        <v>19</v>
      </c>
      <c r="K4190" t="s">
        <v>5735</v>
      </c>
      <c r="L4190" t="s">
        <v>21</v>
      </c>
      <c r="M4190" t="str">
        <f t="shared" si="195"/>
        <v>OK</v>
      </c>
      <c r="N4190" t="str">
        <f t="shared" si="196"/>
        <v>1970s</v>
      </c>
      <c r="O4190" t="str">
        <f t="shared" si="197"/>
        <v>Low</v>
      </c>
      <c r="P4190" t="str">
        <f>VLOOKUP(E4190,calculated_fields!$F$4:$G$6,2,FALSE)</f>
        <v>Health</v>
      </c>
    </row>
    <row r="4191" spans="1:16">
      <c r="A4191" t="s">
        <v>5736</v>
      </c>
      <c r="B4191" t="s">
        <v>5718</v>
      </c>
      <c r="C4191" t="s">
        <v>130</v>
      </c>
      <c r="D4191">
        <v>1972</v>
      </c>
      <c r="E4191" t="s">
        <v>23</v>
      </c>
      <c r="F4191" t="s">
        <v>24</v>
      </c>
      <c r="G4191" t="s">
        <v>25</v>
      </c>
      <c r="H4191" t="s">
        <v>26</v>
      </c>
      <c r="I4191">
        <v>3840161</v>
      </c>
      <c r="J4191" t="s">
        <v>27</v>
      </c>
      <c r="K4191" t="s">
        <v>5735</v>
      </c>
      <c r="L4191" t="s">
        <v>21</v>
      </c>
      <c r="M4191" t="str">
        <f t="shared" si="195"/>
        <v>OK</v>
      </c>
      <c r="N4191" t="str">
        <f t="shared" si="196"/>
        <v>1970s</v>
      </c>
      <c r="O4191" t="str">
        <f t="shared" si="197"/>
        <v>N/A</v>
      </c>
      <c r="P4191" t="str">
        <f>VLOOKUP(E4191,calculated_fields!$F$4:$G$6,2,FALSE)</f>
        <v>Demographics</v>
      </c>
    </row>
    <row r="4192" spans="1:16">
      <c r="A4192" t="s">
        <v>5737</v>
      </c>
      <c r="B4192" t="s">
        <v>5718</v>
      </c>
      <c r="C4192" t="s">
        <v>130</v>
      </c>
      <c r="D4192">
        <v>1972</v>
      </c>
      <c r="E4192" t="s">
        <v>29</v>
      </c>
      <c r="F4192" t="s">
        <v>30</v>
      </c>
      <c r="G4192" t="s">
        <v>31</v>
      </c>
      <c r="H4192" t="s">
        <v>32</v>
      </c>
      <c r="I4192">
        <v>1254.576127</v>
      </c>
      <c r="J4192" t="s">
        <v>33</v>
      </c>
      <c r="K4192" t="s">
        <v>5735</v>
      </c>
      <c r="L4192" t="s">
        <v>21</v>
      </c>
      <c r="M4192" t="str">
        <f t="shared" si="195"/>
        <v>OK</v>
      </c>
      <c r="N4192" t="str">
        <f t="shared" si="196"/>
        <v>1970s</v>
      </c>
      <c r="O4192" t="str">
        <f t="shared" si="197"/>
        <v>N/A</v>
      </c>
      <c r="P4192" t="str">
        <f>VLOOKUP(E4192,calculated_fields!$F$4:$G$6,2,FALSE)</f>
        <v>Economy</v>
      </c>
    </row>
    <row r="4193" spans="1:16">
      <c r="A4193" t="s">
        <v>5738</v>
      </c>
      <c r="B4193" t="s">
        <v>5718</v>
      </c>
      <c r="C4193" t="s">
        <v>130</v>
      </c>
      <c r="D4193">
        <v>1977</v>
      </c>
      <c r="E4193" t="s">
        <v>15</v>
      </c>
      <c r="F4193" t="s">
        <v>16</v>
      </c>
      <c r="G4193" t="s">
        <v>17</v>
      </c>
      <c r="H4193" t="s">
        <v>18</v>
      </c>
      <c r="I4193">
        <v>41.973999999999997</v>
      </c>
      <c r="J4193" t="s">
        <v>19</v>
      </c>
      <c r="K4193" t="s">
        <v>5739</v>
      </c>
      <c r="L4193" t="s">
        <v>21</v>
      </c>
      <c r="M4193" t="str">
        <f t="shared" si="195"/>
        <v>OK</v>
      </c>
      <c r="N4193" t="str">
        <f t="shared" si="196"/>
        <v>1970s</v>
      </c>
      <c r="O4193" t="str">
        <f t="shared" si="197"/>
        <v>Low</v>
      </c>
      <c r="P4193" t="str">
        <f>VLOOKUP(E4193,calculated_fields!$F$4:$G$6,2,FALSE)</f>
        <v>Health</v>
      </c>
    </row>
    <row r="4194" spans="1:16">
      <c r="A4194" t="s">
        <v>5740</v>
      </c>
      <c r="B4194" t="s">
        <v>5718</v>
      </c>
      <c r="C4194" t="s">
        <v>130</v>
      </c>
      <c r="D4194">
        <v>1977</v>
      </c>
      <c r="E4194" t="s">
        <v>23</v>
      </c>
      <c r="F4194" t="s">
        <v>24</v>
      </c>
      <c r="G4194" t="s">
        <v>25</v>
      </c>
      <c r="H4194" t="s">
        <v>26</v>
      </c>
      <c r="I4194">
        <v>4353666</v>
      </c>
      <c r="J4194" t="s">
        <v>27</v>
      </c>
      <c r="K4194" t="s">
        <v>5739</v>
      </c>
      <c r="L4194" t="s">
        <v>21</v>
      </c>
      <c r="M4194" t="str">
        <f t="shared" si="195"/>
        <v>OK</v>
      </c>
      <c r="N4194" t="str">
        <f t="shared" si="196"/>
        <v>1970s</v>
      </c>
      <c r="O4194" t="str">
        <f t="shared" si="197"/>
        <v>N/A</v>
      </c>
      <c r="P4194" t="str">
        <f>VLOOKUP(E4194,calculated_fields!$F$4:$G$6,2,FALSE)</f>
        <v>Demographics</v>
      </c>
    </row>
    <row r="4195" spans="1:16">
      <c r="A4195" t="s">
        <v>5741</v>
      </c>
      <c r="B4195" t="s">
        <v>5718</v>
      </c>
      <c r="C4195" t="s">
        <v>130</v>
      </c>
      <c r="D4195">
        <v>1977</v>
      </c>
      <c r="E4195" t="s">
        <v>29</v>
      </c>
      <c r="F4195" t="s">
        <v>30</v>
      </c>
      <c r="G4195" t="s">
        <v>31</v>
      </c>
      <c r="H4195" t="s">
        <v>32</v>
      </c>
      <c r="I4195">
        <v>1450.9925129999999</v>
      </c>
      <c r="J4195" t="s">
        <v>33</v>
      </c>
      <c r="K4195" t="s">
        <v>5739</v>
      </c>
      <c r="L4195" t="s">
        <v>21</v>
      </c>
      <c r="M4195" t="str">
        <f t="shared" si="195"/>
        <v>OK</v>
      </c>
      <c r="N4195" t="str">
        <f t="shared" si="196"/>
        <v>1970s</v>
      </c>
      <c r="O4195" t="str">
        <f t="shared" si="197"/>
        <v>N/A</v>
      </c>
      <c r="P4195" t="str">
        <f>VLOOKUP(E4195,calculated_fields!$F$4:$G$6,2,FALSE)</f>
        <v>Economy</v>
      </c>
    </row>
    <row r="4196" spans="1:16">
      <c r="A4196" t="s">
        <v>5742</v>
      </c>
      <c r="B4196" t="s">
        <v>5718</v>
      </c>
      <c r="C4196" t="s">
        <v>130</v>
      </c>
      <c r="D4196">
        <v>1982</v>
      </c>
      <c r="E4196" t="s">
        <v>15</v>
      </c>
      <c r="F4196" t="s">
        <v>16</v>
      </c>
      <c r="G4196" t="s">
        <v>17</v>
      </c>
      <c r="H4196" t="s">
        <v>18</v>
      </c>
      <c r="I4196">
        <v>42.954999999999998</v>
      </c>
      <c r="J4196" t="s">
        <v>19</v>
      </c>
      <c r="K4196" t="s">
        <v>5743</v>
      </c>
      <c r="L4196" t="s">
        <v>21</v>
      </c>
      <c r="M4196" t="str">
        <f t="shared" si="195"/>
        <v>OK</v>
      </c>
      <c r="N4196" t="str">
        <f t="shared" si="196"/>
        <v>1980s</v>
      </c>
      <c r="O4196" t="str">
        <f t="shared" si="197"/>
        <v>Low</v>
      </c>
      <c r="P4196" t="str">
        <f>VLOOKUP(E4196,calculated_fields!$F$4:$G$6,2,FALSE)</f>
        <v>Health</v>
      </c>
    </row>
    <row r="4197" spans="1:16">
      <c r="A4197" t="s">
        <v>5744</v>
      </c>
      <c r="B4197" t="s">
        <v>5718</v>
      </c>
      <c r="C4197" t="s">
        <v>130</v>
      </c>
      <c r="D4197">
        <v>1982</v>
      </c>
      <c r="E4197" t="s">
        <v>23</v>
      </c>
      <c r="F4197" t="s">
        <v>24</v>
      </c>
      <c r="G4197" t="s">
        <v>25</v>
      </c>
      <c r="H4197" t="s">
        <v>26</v>
      </c>
      <c r="I4197">
        <v>5828892</v>
      </c>
      <c r="J4197" t="s">
        <v>27</v>
      </c>
      <c r="K4197" t="s">
        <v>5743</v>
      </c>
      <c r="L4197" t="s">
        <v>21</v>
      </c>
      <c r="M4197" t="str">
        <f t="shared" si="195"/>
        <v>OK</v>
      </c>
      <c r="N4197" t="str">
        <f t="shared" si="196"/>
        <v>1980s</v>
      </c>
      <c r="O4197" t="str">
        <f t="shared" si="197"/>
        <v>N/A</v>
      </c>
      <c r="P4197" t="str">
        <f>VLOOKUP(E4197,calculated_fields!$F$4:$G$6,2,FALSE)</f>
        <v>Demographics</v>
      </c>
    </row>
    <row r="4198" spans="1:16">
      <c r="A4198" t="s">
        <v>5745</v>
      </c>
      <c r="B4198" t="s">
        <v>5718</v>
      </c>
      <c r="C4198" t="s">
        <v>130</v>
      </c>
      <c r="D4198">
        <v>1982</v>
      </c>
      <c r="E4198" t="s">
        <v>29</v>
      </c>
      <c r="F4198" t="s">
        <v>30</v>
      </c>
      <c r="G4198" t="s">
        <v>31</v>
      </c>
      <c r="H4198" t="s">
        <v>32</v>
      </c>
      <c r="I4198">
        <v>1176.8070310000001</v>
      </c>
      <c r="J4198" t="s">
        <v>33</v>
      </c>
      <c r="K4198" t="s">
        <v>5743</v>
      </c>
      <c r="L4198" t="s">
        <v>21</v>
      </c>
      <c r="M4198" t="str">
        <f t="shared" si="195"/>
        <v>OK</v>
      </c>
      <c r="N4198" t="str">
        <f t="shared" si="196"/>
        <v>1980s</v>
      </c>
      <c r="O4198" t="str">
        <f t="shared" si="197"/>
        <v>N/A</v>
      </c>
      <c r="P4198" t="str">
        <f>VLOOKUP(E4198,calculated_fields!$F$4:$G$6,2,FALSE)</f>
        <v>Economy</v>
      </c>
    </row>
    <row r="4199" spans="1:16">
      <c r="A4199" t="s">
        <v>5746</v>
      </c>
      <c r="B4199" t="s">
        <v>5718</v>
      </c>
      <c r="C4199" t="s">
        <v>130</v>
      </c>
      <c r="D4199">
        <v>1987</v>
      </c>
      <c r="E4199" t="s">
        <v>15</v>
      </c>
      <c r="F4199" t="s">
        <v>16</v>
      </c>
      <c r="G4199" t="s">
        <v>17</v>
      </c>
      <c r="H4199" t="s">
        <v>18</v>
      </c>
      <c r="I4199">
        <v>44.500999999999998</v>
      </c>
      <c r="J4199" t="s">
        <v>19</v>
      </c>
      <c r="K4199" t="s">
        <v>5747</v>
      </c>
      <c r="L4199" t="s">
        <v>21</v>
      </c>
      <c r="M4199" t="str">
        <f t="shared" si="195"/>
        <v>OK</v>
      </c>
      <c r="N4199" t="str">
        <f t="shared" si="196"/>
        <v>1980s</v>
      </c>
      <c r="O4199" t="str">
        <f t="shared" si="197"/>
        <v>Low</v>
      </c>
      <c r="P4199" t="str">
        <f>VLOOKUP(E4199,calculated_fields!$F$4:$G$6,2,FALSE)</f>
        <v>Health</v>
      </c>
    </row>
    <row r="4200" spans="1:16">
      <c r="A4200" t="s">
        <v>5748</v>
      </c>
      <c r="B4200" t="s">
        <v>5718</v>
      </c>
      <c r="C4200" t="s">
        <v>130</v>
      </c>
      <c r="D4200">
        <v>1987</v>
      </c>
      <c r="E4200" t="s">
        <v>23</v>
      </c>
      <c r="F4200" t="s">
        <v>24</v>
      </c>
      <c r="G4200" t="s">
        <v>25</v>
      </c>
      <c r="H4200" t="s">
        <v>26</v>
      </c>
      <c r="I4200">
        <v>6921858</v>
      </c>
      <c r="J4200" t="s">
        <v>27</v>
      </c>
      <c r="K4200" t="s">
        <v>5747</v>
      </c>
      <c r="L4200" t="s">
        <v>21</v>
      </c>
      <c r="M4200" t="str">
        <f t="shared" si="195"/>
        <v>OK</v>
      </c>
      <c r="N4200" t="str">
        <f t="shared" si="196"/>
        <v>1980s</v>
      </c>
      <c r="O4200" t="str">
        <f t="shared" si="197"/>
        <v>N/A</v>
      </c>
      <c r="P4200" t="str">
        <f>VLOOKUP(E4200,calculated_fields!$F$4:$G$6,2,FALSE)</f>
        <v>Demographics</v>
      </c>
    </row>
    <row r="4201" spans="1:16">
      <c r="A4201" t="s">
        <v>5749</v>
      </c>
      <c r="B4201" t="s">
        <v>5718</v>
      </c>
      <c r="C4201" t="s">
        <v>130</v>
      </c>
      <c r="D4201">
        <v>1987</v>
      </c>
      <c r="E4201" t="s">
        <v>29</v>
      </c>
      <c r="F4201" t="s">
        <v>30</v>
      </c>
      <c r="G4201" t="s">
        <v>31</v>
      </c>
      <c r="H4201" t="s">
        <v>32</v>
      </c>
      <c r="I4201">
        <v>1093.2449630000001</v>
      </c>
      <c r="J4201" t="s">
        <v>33</v>
      </c>
      <c r="K4201" t="s">
        <v>5747</v>
      </c>
      <c r="L4201" t="s">
        <v>21</v>
      </c>
      <c r="M4201" t="str">
        <f t="shared" si="195"/>
        <v>OK</v>
      </c>
      <c r="N4201" t="str">
        <f t="shared" si="196"/>
        <v>1980s</v>
      </c>
      <c r="O4201" t="str">
        <f t="shared" si="197"/>
        <v>N/A</v>
      </c>
      <c r="P4201" t="str">
        <f>VLOOKUP(E4201,calculated_fields!$F$4:$G$6,2,FALSE)</f>
        <v>Economy</v>
      </c>
    </row>
    <row r="4202" spans="1:16">
      <c r="A4202" t="s">
        <v>5750</v>
      </c>
      <c r="B4202" t="s">
        <v>5718</v>
      </c>
      <c r="C4202" t="s">
        <v>130</v>
      </c>
      <c r="D4202">
        <v>1992</v>
      </c>
      <c r="E4202" t="s">
        <v>15</v>
      </c>
      <c r="F4202" t="s">
        <v>16</v>
      </c>
      <c r="G4202" t="s">
        <v>17</v>
      </c>
      <c r="H4202" t="s">
        <v>18</v>
      </c>
      <c r="I4202">
        <v>39.658000000000001</v>
      </c>
      <c r="J4202" t="s">
        <v>19</v>
      </c>
      <c r="K4202" t="s">
        <v>5751</v>
      </c>
      <c r="L4202" t="s">
        <v>21</v>
      </c>
      <c r="M4202" t="str">
        <f t="shared" si="195"/>
        <v>OK</v>
      </c>
      <c r="N4202" t="str">
        <f t="shared" si="196"/>
        <v>1990s</v>
      </c>
      <c r="O4202" t="str">
        <f t="shared" si="197"/>
        <v>Low</v>
      </c>
      <c r="P4202" t="str">
        <f>VLOOKUP(E4202,calculated_fields!$F$4:$G$6,2,FALSE)</f>
        <v>Health</v>
      </c>
    </row>
    <row r="4203" spans="1:16">
      <c r="A4203" t="s">
        <v>5752</v>
      </c>
      <c r="B4203" t="s">
        <v>5718</v>
      </c>
      <c r="C4203" t="s">
        <v>130</v>
      </c>
      <c r="D4203">
        <v>1992</v>
      </c>
      <c r="E4203" t="s">
        <v>23</v>
      </c>
      <c r="F4203" t="s">
        <v>24</v>
      </c>
      <c r="G4203" t="s">
        <v>25</v>
      </c>
      <c r="H4203" t="s">
        <v>26</v>
      </c>
      <c r="I4203">
        <v>6099799</v>
      </c>
      <c r="J4203" t="s">
        <v>27</v>
      </c>
      <c r="K4203" t="s">
        <v>5751</v>
      </c>
      <c r="L4203" t="s">
        <v>21</v>
      </c>
      <c r="M4203" t="str">
        <f t="shared" si="195"/>
        <v>OK</v>
      </c>
      <c r="N4203" t="str">
        <f t="shared" si="196"/>
        <v>1990s</v>
      </c>
      <c r="O4203" t="str">
        <f t="shared" si="197"/>
        <v>N/A</v>
      </c>
      <c r="P4203" t="str">
        <f>VLOOKUP(E4203,calculated_fields!$F$4:$G$6,2,FALSE)</f>
        <v>Demographics</v>
      </c>
    </row>
    <row r="4204" spans="1:16">
      <c r="A4204" t="s">
        <v>5753</v>
      </c>
      <c r="B4204" t="s">
        <v>5718</v>
      </c>
      <c r="C4204" t="s">
        <v>130</v>
      </c>
      <c r="D4204">
        <v>1992</v>
      </c>
      <c r="E4204" t="s">
        <v>29</v>
      </c>
      <c r="F4204" t="s">
        <v>30</v>
      </c>
      <c r="G4204" t="s">
        <v>31</v>
      </c>
      <c r="H4204" t="s">
        <v>32</v>
      </c>
      <c r="I4204">
        <v>926.96029639999995</v>
      </c>
      <c r="J4204" t="s">
        <v>33</v>
      </c>
      <c r="K4204" t="s">
        <v>5751</v>
      </c>
      <c r="L4204" t="s">
        <v>21</v>
      </c>
      <c r="M4204" t="str">
        <f t="shared" si="195"/>
        <v>OK</v>
      </c>
      <c r="N4204" t="str">
        <f t="shared" si="196"/>
        <v>1990s</v>
      </c>
      <c r="O4204" t="str">
        <f t="shared" si="197"/>
        <v>N/A</v>
      </c>
      <c r="P4204" t="str">
        <f>VLOOKUP(E4204,calculated_fields!$F$4:$G$6,2,FALSE)</f>
        <v>Economy</v>
      </c>
    </row>
    <row r="4205" spans="1:16">
      <c r="A4205" t="s">
        <v>5754</v>
      </c>
      <c r="B4205" t="s">
        <v>5718</v>
      </c>
      <c r="C4205" t="s">
        <v>130</v>
      </c>
      <c r="D4205">
        <v>1997</v>
      </c>
      <c r="E4205" t="s">
        <v>15</v>
      </c>
      <c r="F4205" t="s">
        <v>16</v>
      </c>
      <c r="G4205" t="s">
        <v>17</v>
      </c>
      <c r="H4205" t="s">
        <v>18</v>
      </c>
      <c r="I4205">
        <v>43.795000000000002</v>
      </c>
      <c r="J4205" t="s">
        <v>19</v>
      </c>
      <c r="K4205" t="s">
        <v>5755</v>
      </c>
      <c r="L4205" t="s">
        <v>21</v>
      </c>
      <c r="M4205" t="str">
        <f t="shared" si="195"/>
        <v>OK</v>
      </c>
      <c r="N4205" t="str">
        <f t="shared" si="196"/>
        <v>1990s</v>
      </c>
      <c r="O4205" t="str">
        <f t="shared" si="197"/>
        <v>Low</v>
      </c>
      <c r="P4205" t="str">
        <f>VLOOKUP(E4205,calculated_fields!$F$4:$G$6,2,FALSE)</f>
        <v>Health</v>
      </c>
    </row>
    <row r="4206" spans="1:16">
      <c r="A4206" t="s">
        <v>5756</v>
      </c>
      <c r="B4206" t="s">
        <v>5718</v>
      </c>
      <c r="C4206" t="s">
        <v>130</v>
      </c>
      <c r="D4206">
        <v>1997</v>
      </c>
      <c r="E4206" t="s">
        <v>23</v>
      </c>
      <c r="F4206" t="s">
        <v>24</v>
      </c>
      <c r="G4206" t="s">
        <v>25</v>
      </c>
      <c r="H4206" t="s">
        <v>26</v>
      </c>
      <c r="I4206">
        <v>6633514</v>
      </c>
      <c r="J4206" t="s">
        <v>27</v>
      </c>
      <c r="K4206" t="s">
        <v>5755</v>
      </c>
      <c r="L4206" t="s">
        <v>21</v>
      </c>
      <c r="M4206" t="str">
        <f t="shared" si="195"/>
        <v>OK</v>
      </c>
      <c r="N4206" t="str">
        <f t="shared" si="196"/>
        <v>1990s</v>
      </c>
      <c r="O4206" t="str">
        <f t="shared" si="197"/>
        <v>N/A</v>
      </c>
      <c r="P4206" t="str">
        <f>VLOOKUP(E4206,calculated_fields!$F$4:$G$6,2,FALSE)</f>
        <v>Demographics</v>
      </c>
    </row>
    <row r="4207" spans="1:16">
      <c r="A4207" t="s">
        <v>5757</v>
      </c>
      <c r="B4207" t="s">
        <v>5718</v>
      </c>
      <c r="C4207" t="s">
        <v>130</v>
      </c>
      <c r="D4207">
        <v>1997</v>
      </c>
      <c r="E4207" t="s">
        <v>29</v>
      </c>
      <c r="F4207" t="s">
        <v>30</v>
      </c>
      <c r="G4207" t="s">
        <v>31</v>
      </c>
      <c r="H4207" t="s">
        <v>32</v>
      </c>
      <c r="I4207">
        <v>930.59642840000004</v>
      </c>
      <c r="J4207" t="s">
        <v>33</v>
      </c>
      <c r="K4207" t="s">
        <v>5755</v>
      </c>
      <c r="L4207" t="s">
        <v>21</v>
      </c>
      <c r="M4207" t="str">
        <f t="shared" si="195"/>
        <v>OK</v>
      </c>
      <c r="N4207" t="str">
        <f t="shared" si="196"/>
        <v>1990s</v>
      </c>
      <c r="O4207" t="str">
        <f t="shared" si="197"/>
        <v>N/A</v>
      </c>
      <c r="P4207" t="str">
        <f>VLOOKUP(E4207,calculated_fields!$F$4:$G$6,2,FALSE)</f>
        <v>Economy</v>
      </c>
    </row>
    <row r="4208" spans="1:16">
      <c r="A4208" t="s">
        <v>5758</v>
      </c>
      <c r="B4208" t="s">
        <v>5718</v>
      </c>
      <c r="C4208" t="s">
        <v>130</v>
      </c>
      <c r="D4208">
        <v>2002</v>
      </c>
      <c r="E4208" t="s">
        <v>15</v>
      </c>
      <c r="F4208" t="s">
        <v>16</v>
      </c>
      <c r="G4208" t="s">
        <v>17</v>
      </c>
      <c r="H4208" t="s">
        <v>18</v>
      </c>
      <c r="I4208">
        <v>45.936</v>
      </c>
      <c r="J4208" t="s">
        <v>19</v>
      </c>
      <c r="K4208" t="s">
        <v>5759</v>
      </c>
      <c r="L4208" t="s">
        <v>21</v>
      </c>
      <c r="M4208" t="str">
        <f t="shared" si="195"/>
        <v>OK</v>
      </c>
      <c r="N4208" t="str">
        <f t="shared" si="196"/>
        <v>2000s</v>
      </c>
      <c r="O4208" t="str">
        <f t="shared" si="197"/>
        <v>Low</v>
      </c>
      <c r="P4208" t="str">
        <f>VLOOKUP(E4208,calculated_fields!$F$4:$G$6,2,FALSE)</f>
        <v>Health</v>
      </c>
    </row>
    <row r="4209" spans="1:16">
      <c r="A4209" t="s">
        <v>5760</v>
      </c>
      <c r="B4209" t="s">
        <v>5718</v>
      </c>
      <c r="C4209" t="s">
        <v>130</v>
      </c>
      <c r="D4209">
        <v>2002</v>
      </c>
      <c r="E4209" t="s">
        <v>23</v>
      </c>
      <c r="F4209" t="s">
        <v>24</v>
      </c>
      <c r="G4209" t="s">
        <v>25</v>
      </c>
      <c r="H4209" t="s">
        <v>26</v>
      </c>
      <c r="I4209">
        <v>7753310</v>
      </c>
      <c r="J4209" t="s">
        <v>27</v>
      </c>
      <c r="K4209" t="s">
        <v>5759</v>
      </c>
      <c r="L4209" t="s">
        <v>21</v>
      </c>
      <c r="M4209" t="str">
        <f t="shared" si="195"/>
        <v>OK</v>
      </c>
      <c r="N4209" t="str">
        <f t="shared" si="196"/>
        <v>2000s</v>
      </c>
      <c r="O4209" t="str">
        <f t="shared" si="197"/>
        <v>N/A</v>
      </c>
      <c r="P4209" t="str">
        <f>VLOOKUP(E4209,calculated_fields!$F$4:$G$6,2,FALSE)</f>
        <v>Demographics</v>
      </c>
    </row>
    <row r="4210" spans="1:16">
      <c r="A4210" t="s">
        <v>5761</v>
      </c>
      <c r="B4210" t="s">
        <v>5718</v>
      </c>
      <c r="C4210" t="s">
        <v>130</v>
      </c>
      <c r="D4210">
        <v>2002</v>
      </c>
      <c r="E4210" t="s">
        <v>29</v>
      </c>
      <c r="F4210" t="s">
        <v>30</v>
      </c>
      <c r="G4210" t="s">
        <v>31</v>
      </c>
      <c r="H4210" t="s">
        <v>32</v>
      </c>
      <c r="I4210">
        <v>882.08182179999994</v>
      </c>
      <c r="J4210" t="s">
        <v>33</v>
      </c>
      <c r="K4210" t="s">
        <v>5759</v>
      </c>
      <c r="L4210" t="s">
        <v>21</v>
      </c>
      <c r="M4210" t="str">
        <f t="shared" si="195"/>
        <v>OK</v>
      </c>
      <c r="N4210" t="str">
        <f t="shared" si="196"/>
        <v>2000s</v>
      </c>
      <c r="O4210" t="str">
        <f t="shared" si="197"/>
        <v>N/A</v>
      </c>
      <c r="P4210" t="str">
        <f>VLOOKUP(E4210,calculated_fields!$F$4:$G$6,2,FALSE)</f>
        <v>Economy</v>
      </c>
    </row>
    <row r="4211" spans="1:16">
      <c r="A4211" t="s">
        <v>5762</v>
      </c>
      <c r="B4211" t="s">
        <v>5718</v>
      </c>
      <c r="C4211" t="s">
        <v>130</v>
      </c>
      <c r="D4211">
        <v>2007</v>
      </c>
      <c r="E4211" t="s">
        <v>15</v>
      </c>
      <c r="F4211" t="s">
        <v>16</v>
      </c>
      <c r="G4211" t="s">
        <v>17</v>
      </c>
      <c r="H4211" t="s">
        <v>18</v>
      </c>
      <c r="I4211">
        <v>48.158999999999999</v>
      </c>
      <c r="J4211" t="s">
        <v>19</v>
      </c>
      <c r="K4211" t="s">
        <v>5763</v>
      </c>
      <c r="L4211" t="s">
        <v>21</v>
      </c>
      <c r="M4211" t="str">
        <f t="shared" si="195"/>
        <v>OK</v>
      </c>
      <c r="N4211" t="str">
        <f t="shared" si="196"/>
        <v>2000s</v>
      </c>
      <c r="O4211" t="str">
        <f t="shared" si="197"/>
        <v>Low</v>
      </c>
      <c r="P4211" t="str">
        <f>VLOOKUP(E4211,calculated_fields!$F$4:$G$6,2,FALSE)</f>
        <v>Health</v>
      </c>
    </row>
    <row r="4212" spans="1:16">
      <c r="A4212" t="s">
        <v>5764</v>
      </c>
      <c r="B4212" t="s">
        <v>5718</v>
      </c>
      <c r="C4212" t="s">
        <v>130</v>
      </c>
      <c r="D4212">
        <v>2007</v>
      </c>
      <c r="E4212" t="s">
        <v>23</v>
      </c>
      <c r="F4212" t="s">
        <v>24</v>
      </c>
      <c r="G4212" t="s">
        <v>25</v>
      </c>
      <c r="H4212" t="s">
        <v>26</v>
      </c>
      <c r="I4212">
        <v>9118773</v>
      </c>
      <c r="J4212" t="s">
        <v>27</v>
      </c>
      <c r="K4212" t="s">
        <v>5763</v>
      </c>
      <c r="L4212" t="s">
        <v>21</v>
      </c>
      <c r="M4212" t="str">
        <f t="shared" si="195"/>
        <v>OK</v>
      </c>
      <c r="N4212" t="str">
        <f t="shared" si="196"/>
        <v>2000s</v>
      </c>
      <c r="O4212" t="str">
        <f t="shared" si="197"/>
        <v>N/A</v>
      </c>
      <c r="P4212" t="str">
        <f>VLOOKUP(E4212,calculated_fields!$F$4:$G$6,2,FALSE)</f>
        <v>Demographics</v>
      </c>
    </row>
    <row r="4213" spans="1:16">
      <c r="A4213" t="s">
        <v>5765</v>
      </c>
      <c r="B4213" t="s">
        <v>5718</v>
      </c>
      <c r="C4213" t="s">
        <v>130</v>
      </c>
      <c r="D4213">
        <v>2007</v>
      </c>
      <c r="E4213" t="s">
        <v>29</v>
      </c>
      <c r="F4213" t="s">
        <v>30</v>
      </c>
      <c r="G4213" t="s">
        <v>31</v>
      </c>
      <c r="H4213" t="s">
        <v>32</v>
      </c>
      <c r="I4213">
        <v>926.14106830000003</v>
      </c>
      <c r="J4213" t="s">
        <v>33</v>
      </c>
      <c r="K4213" t="s">
        <v>5763</v>
      </c>
      <c r="L4213" t="s">
        <v>21</v>
      </c>
      <c r="M4213" t="str">
        <f t="shared" si="195"/>
        <v>OK</v>
      </c>
      <c r="N4213" t="str">
        <f t="shared" si="196"/>
        <v>2000s</v>
      </c>
      <c r="O4213" t="str">
        <f t="shared" si="197"/>
        <v>N/A</v>
      </c>
      <c r="P4213" t="str">
        <f>VLOOKUP(E4213,calculated_fields!$F$4:$G$6,2,FALSE)</f>
        <v>Economy</v>
      </c>
    </row>
    <row r="4214" spans="1:16">
      <c r="A4214" t="s">
        <v>5766</v>
      </c>
      <c r="B4214" t="s">
        <v>5767</v>
      </c>
      <c r="C4214" t="s">
        <v>130</v>
      </c>
      <c r="D4214">
        <v>1952</v>
      </c>
      <c r="E4214" t="s">
        <v>15</v>
      </c>
      <c r="F4214" t="s">
        <v>16</v>
      </c>
      <c r="G4214" t="s">
        <v>17</v>
      </c>
      <c r="H4214" t="s">
        <v>18</v>
      </c>
      <c r="I4214">
        <v>45.008999999999901</v>
      </c>
      <c r="J4214" t="s">
        <v>19</v>
      </c>
      <c r="K4214" t="s">
        <v>5768</v>
      </c>
      <c r="L4214" t="s">
        <v>21</v>
      </c>
      <c r="M4214" t="str">
        <f t="shared" si="195"/>
        <v>OK</v>
      </c>
      <c r="N4214" t="str">
        <f t="shared" si="196"/>
        <v>1950s</v>
      </c>
      <c r="O4214" t="str">
        <f t="shared" si="197"/>
        <v>Low</v>
      </c>
      <c r="P4214" t="str">
        <f>VLOOKUP(E4214,calculated_fields!$F$4:$G$6,2,FALSE)</f>
        <v>Health</v>
      </c>
    </row>
    <row r="4215" spans="1:16">
      <c r="A4215" t="s">
        <v>5769</v>
      </c>
      <c r="B4215" t="s">
        <v>5767</v>
      </c>
      <c r="C4215" t="s">
        <v>130</v>
      </c>
      <c r="D4215">
        <v>1952</v>
      </c>
      <c r="E4215" t="s">
        <v>23</v>
      </c>
      <c r="F4215" t="s">
        <v>24</v>
      </c>
      <c r="G4215" t="s">
        <v>25</v>
      </c>
      <c r="H4215" t="s">
        <v>26</v>
      </c>
      <c r="I4215">
        <v>14264935</v>
      </c>
      <c r="J4215" t="s">
        <v>27</v>
      </c>
      <c r="K4215" t="s">
        <v>5768</v>
      </c>
      <c r="L4215" t="s">
        <v>21</v>
      </c>
      <c r="M4215" t="str">
        <f t="shared" si="195"/>
        <v>OK</v>
      </c>
      <c r="N4215" t="str">
        <f t="shared" si="196"/>
        <v>1950s</v>
      </c>
      <c r="O4215" t="str">
        <f t="shared" si="197"/>
        <v>N/A</v>
      </c>
      <c r="P4215" t="str">
        <f>VLOOKUP(E4215,calculated_fields!$F$4:$G$6,2,FALSE)</f>
        <v>Demographics</v>
      </c>
    </row>
    <row r="4216" spans="1:16">
      <c r="A4216" t="s">
        <v>5770</v>
      </c>
      <c r="B4216" t="s">
        <v>5767</v>
      </c>
      <c r="C4216" t="s">
        <v>130</v>
      </c>
      <c r="D4216">
        <v>1952</v>
      </c>
      <c r="E4216" t="s">
        <v>29</v>
      </c>
      <c r="F4216" t="s">
        <v>30</v>
      </c>
      <c r="G4216" t="s">
        <v>31</v>
      </c>
      <c r="H4216" t="s">
        <v>32</v>
      </c>
      <c r="I4216">
        <v>4725.2955309999998</v>
      </c>
      <c r="J4216" t="s">
        <v>33</v>
      </c>
      <c r="K4216" t="s">
        <v>5768</v>
      </c>
      <c r="L4216" t="s">
        <v>21</v>
      </c>
      <c r="M4216" t="str">
        <f t="shared" si="195"/>
        <v>OK</v>
      </c>
      <c r="N4216" t="str">
        <f t="shared" si="196"/>
        <v>1950s</v>
      </c>
      <c r="O4216" t="str">
        <f t="shared" si="197"/>
        <v>N/A</v>
      </c>
      <c r="P4216" t="str">
        <f>VLOOKUP(E4216,calculated_fields!$F$4:$G$6,2,FALSE)</f>
        <v>Economy</v>
      </c>
    </row>
    <row r="4217" spans="1:16">
      <c r="A4217" t="s">
        <v>5771</v>
      </c>
      <c r="B4217" t="s">
        <v>5767</v>
      </c>
      <c r="C4217" t="s">
        <v>130</v>
      </c>
      <c r="D4217">
        <v>1957</v>
      </c>
      <c r="E4217" t="s">
        <v>15</v>
      </c>
      <c r="F4217" t="s">
        <v>16</v>
      </c>
      <c r="G4217" t="s">
        <v>17</v>
      </c>
      <c r="H4217" t="s">
        <v>18</v>
      </c>
      <c r="I4217">
        <v>47.984999999999999</v>
      </c>
      <c r="J4217" t="s">
        <v>19</v>
      </c>
      <c r="K4217" t="s">
        <v>5772</v>
      </c>
      <c r="L4217" t="s">
        <v>21</v>
      </c>
      <c r="M4217" t="str">
        <f t="shared" si="195"/>
        <v>OK</v>
      </c>
      <c r="N4217" t="str">
        <f t="shared" si="196"/>
        <v>1950s</v>
      </c>
      <c r="O4217" t="str">
        <f t="shared" si="197"/>
        <v>Low</v>
      </c>
      <c r="P4217" t="str">
        <f>VLOOKUP(E4217,calculated_fields!$F$4:$G$6,2,FALSE)</f>
        <v>Health</v>
      </c>
    </row>
    <row r="4218" spans="1:16">
      <c r="A4218" t="s">
        <v>5773</v>
      </c>
      <c r="B4218" t="s">
        <v>5767</v>
      </c>
      <c r="C4218" t="s">
        <v>130</v>
      </c>
      <c r="D4218">
        <v>1957</v>
      </c>
      <c r="E4218" t="s">
        <v>23</v>
      </c>
      <c r="F4218" t="s">
        <v>24</v>
      </c>
      <c r="G4218" t="s">
        <v>25</v>
      </c>
      <c r="H4218" t="s">
        <v>26</v>
      </c>
      <c r="I4218">
        <v>16151549</v>
      </c>
      <c r="J4218" t="s">
        <v>27</v>
      </c>
      <c r="K4218" t="s">
        <v>5772</v>
      </c>
      <c r="L4218" t="s">
        <v>21</v>
      </c>
      <c r="M4218" t="str">
        <f t="shared" si="195"/>
        <v>OK</v>
      </c>
      <c r="N4218" t="str">
        <f t="shared" si="196"/>
        <v>1950s</v>
      </c>
      <c r="O4218" t="str">
        <f t="shared" si="197"/>
        <v>N/A</v>
      </c>
      <c r="P4218" t="str">
        <f>VLOOKUP(E4218,calculated_fields!$F$4:$G$6,2,FALSE)</f>
        <v>Demographics</v>
      </c>
    </row>
    <row r="4219" spans="1:16">
      <c r="A4219" t="s">
        <v>5774</v>
      </c>
      <c r="B4219" t="s">
        <v>5767</v>
      </c>
      <c r="C4219" t="s">
        <v>130</v>
      </c>
      <c r="D4219">
        <v>1957</v>
      </c>
      <c r="E4219" t="s">
        <v>29</v>
      </c>
      <c r="F4219" t="s">
        <v>30</v>
      </c>
      <c r="G4219" t="s">
        <v>31</v>
      </c>
      <c r="H4219" t="s">
        <v>32</v>
      </c>
      <c r="I4219">
        <v>5487.1042189999998</v>
      </c>
      <c r="J4219" t="s">
        <v>33</v>
      </c>
      <c r="K4219" t="s">
        <v>5772</v>
      </c>
      <c r="L4219" t="s">
        <v>21</v>
      </c>
      <c r="M4219" t="str">
        <f t="shared" si="195"/>
        <v>OK</v>
      </c>
      <c r="N4219" t="str">
        <f t="shared" si="196"/>
        <v>1950s</v>
      </c>
      <c r="O4219" t="str">
        <f t="shared" si="197"/>
        <v>N/A</v>
      </c>
      <c r="P4219" t="str">
        <f>VLOOKUP(E4219,calculated_fields!$F$4:$G$6,2,FALSE)</f>
        <v>Economy</v>
      </c>
    </row>
    <row r="4220" spans="1:16">
      <c r="A4220" t="s">
        <v>5775</v>
      </c>
      <c r="B4220" t="s">
        <v>5767</v>
      </c>
      <c r="C4220" t="s">
        <v>130</v>
      </c>
      <c r="D4220">
        <v>1962</v>
      </c>
      <c r="E4220" t="s">
        <v>15</v>
      </c>
      <c r="F4220" t="s">
        <v>16</v>
      </c>
      <c r="G4220" t="s">
        <v>17</v>
      </c>
      <c r="H4220" t="s">
        <v>18</v>
      </c>
      <c r="I4220">
        <v>49.951000000000001</v>
      </c>
      <c r="J4220" t="s">
        <v>19</v>
      </c>
      <c r="K4220" t="s">
        <v>5776</v>
      </c>
      <c r="L4220" t="s">
        <v>21</v>
      </c>
      <c r="M4220" t="str">
        <f t="shared" si="195"/>
        <v>OK</v>
      </c>
      <c r="N4220" t="str">
        <f t="shared" si="196"/>
        <v>1960s</v>
      </c>
      <c r="O4220" t="str">
        <f t="shared" si="197"/>
        <v>Low</v>
      </c>
      <c r="P4220" t="str">
        <f>VLOOKUP(E4220,calculated_fields!$F$4:$G$6,2,FALSE)</f>
        <v>Health</v>
      </c>
    </row>
    <row r="4221" spans="1:16">
      <c r="A4221" t="s">
        <v>5777</v>
      </c>
      <c r="B4221" t="s">
        <v>5767</v>
      </c>
      <c r="C4221" t="s">
        <v>130</v>
      </c>
      <c r="D4221">
        <v>1962</v>
      </c>
      <c r="E4221" t="s">
        <v>23</v>
      </c>
      <c r="F4221" t="s">
        <v>24</v>
      </c>
      <c r="G4221" t="s">
        <v>25</v>
      </c>
      <c r="H4221" t="s">
        <v>26</v>
      </c>
      <c r="I4221">
        <v>18356657</v>
      </c>
      <c r="J4221" t="s">
        <v>27</v>
      </c>
      <c r="K4221" t="s">
        <v>5776</v>
      </c>
      <c r="L4221" t="s">
        <v>21</v>
      </c>
      <c r="M4221" t="str">
        <f t="shared" si="195"/>
        <v>OK</v>
      </c>
      <c r="N4221" t="str">
        <f t="shared" si="196"/>
        <v>1960s</v>
      </c>
      <c r="O4221" t="str">
        <f t="shared" si="197"/>
        <v>N/A</v>
      </c>
      <c r="P4221" t="str">
        <f>VLOOKUP(E4221,calculated_fields!$F$4:$G$6,2,FALSE)</f>
        <v>Demographics</v>
      </c>
    </row>
    <row r="4222" spans="1:16">
      <c r="A4222" t="s">
        <v>5778</v>
      </c>
      <c r="B4222" t="s">
        <v>5767</v>
      </c>
      <c r="C4222" t="s">
        <v>130</v>
      </c>
      <c r="D4222">
        <v>1962</v>
      </c>
      <c r="E4222" t="s">
        <v>29</v>
      </c>
      <c r="F4222" t="s">
        <v>30</v>
      </c>
      <c r="G4222" t="s">
        <v>31</v>
      </c>
      <c r="H4222" t="s">
        <v>32</v>
      </c>
      <c r="I4222">
        <v>5768.7297170000002</v>
      </c>
      <c r="J4222" t="s">
        <v>33</v>
      </c>
      <c r="K4222" t="s">
        <v>5776</v>
      </c>
      <c r="L4222" t="s">
        <v>21</v>
      </c>
      <c r="M4222" t="str">
        <f t="shared" si="195"/>
        <v>OK</v>
      </c>
      <c r="N4222" t="str">
        <f t="shared" si="196"/>
        <v>1960s</v>
      </c>
      <c r="O4222" t="str">
        <f t="shared" si="197"/>
        <v>N/A</v>
      </c>
      <c r="P4222" t="str">
        <f>VLOOKUP(E4222,calculated_fields!$F$4:$G$6,2,FALSE)</f>
        <v>Economy</v>
      </c>
    </row>
    <row r="4223" spans="1:16">
      <c r="A4223" t="s">
        <v>5779</v>
      </c>
      <c r="B4223" t="s">
        <v>5767</v>
      </c>
      <c r="C4223" t="s">
        <v>130</v>
      </c>
      <c r="D4223">
        <v>1967</v>
      </c>
      <c r="E4223" t="s">
        <v>15</v>
      </c>
      <c r="F4223" t="s">
        <v>16</v>
      </c>
      <c r="G4223" t="s">
        <v>17</v>
      </c>
      <c r="H4223" t="s">
        <v>18</v>
      </c>
      <c r="I4223">
        <v>51.927</v>
      </c>
      <c r="J4223" t="s">
        <v>19</v>
      </c>
      <c r="K4223" t="s">
        <v>5780</v>
      </c>
      <c r="L4223" t="s">
        <v>21</v>
      </c>
      <c r="M4223" t="str">
        <f t="shared" si="195"/>
        <v>OK</v>
      </c>
      <c r="N4223" t="str">
        <f t="shared" si="196"/>
        <v>1960s</v>
      </c>
      <c r="O4223" t="str">
        <f t="shared" si="197"/>
        <v>Low</v>
      </c>
      <c r="P4223" t="str">
        <f>VLOOKUP(E4223,calculated_fields!$F$4:$G$6,2,FALSE)</f>
        <v>Health</v>
      </c>
    </row>
    <row r="4224" spans="1:16">
      <c r="A4224" t="s">
        <v>5781</v>
      </c>
      <c r="B4224" t="s">
        <v>5767</v>
      </c>
      <c r="C4224" t="s">
        <v>130</v>
      </c>
      <c r="D4224">
        <v>1967</v>
      </c>
      <c r="E4224" t="s">
        <v>23</v>
      </c>
      <c r="F4224" t="s">
        <v>24</v>
      </c>
      <c r="G4224" t="s">
        <v>25</v>
      </c>
      <c r="H4224" t="s">
        <v>26</v>
      </c>
      <c r="I4224">
        <v>20997321</v>
      </c>
      <c r="J4224" t="s">
        <v>27</v>
      </c>
      <c r="K4224" t="s">
        <v>5780</v>
      </c>
      <c r="L4224" t="s">
        <v>21</v>
      </c>
      <c r="M4224" t="str">
        <f t="shared" si="195"/>
        <v>OK</v>
      </c>
      <c r="N4224" t="str">
        <f t="shared" si="196"/>
        <v>1960s</v>
      </c>
      <c r="O4224" t="str">
        <f t="shared" si="197"/>
        <v>N/A</v>
      </c>
      <c r="P4224" t="str">
        <f>VLOOKUP(E4224,calculated_fields!$F$4:$G$6,2,FALSE)</f>
        <v>Demographics</v>
      </c>
    </row>
    <row r="4225" spans="1:16">
      <c r="A4225" t="s">
        <v>5782</v>
      </c>
      <c r="B4225" t="s">
        <v>5767</v>
      </c>
      <c r="C4225" t="s">
        <v>130</v>
      </c>
      <c r="D4225">
        <v>1967</v>
      </c>
      <c r="E4225" t="s">
        <v>29</v>
      </c>
      <c r="F4225" t="s">
        <v>30</v>
      </c>
      <c r="G4225" t="s">
        <v>31</v>
      </c>
      <c r="H4225" t="s">
        <v>32</v>
      </c>
      <c r="I4225">
        <v>7114.4779709999902</v>
      </c>
      <c r="J4225" t="s">
        <v>33</v>
      </c>
      <c r="K4225" t="s">
        <v>5780</v>
      </c>
      <c r="L4225" t="s">
        <v>21</v>
      </c>
      <c r="M4225" t="str">
        <f t="shared" si="195"/>
        <v>OK</v>
      </c>
      <c r="N4225" t="str">
        <f t="shared" si="196"/>
        <v>1960s</v>
      </c>
      <c r="O4225" t="str">
        <f t="shared" si="197"/>
        <v>N/A</v>
      </c>
      <c r="P4225" t="str">
        <f>VLOOKUP(E4225,calculated_fields!$F$4:$G$6,2,FALSE)</f>
        <v>Economy</v>
      </c>
    </row>
    <row r="4226" spans="1:16">
      <c r="A4226" t="s">
        <v>5783</v>
      </c>
      <c r="B4226" t="s">
        <v>5767</v>
      </c>
      <c r="C4226" t="s">
        <v>130</v>
      </c>
      <c r="D4226">
        <v>1972</v>
      </c>
      <c r="E4226" t="s">
        <v>15</v>
      </c>
      <c r="F4226" t="s">
        <v>16</v>
      </c>
      <c r="G4226" t="s">
        <v>17</v>
      </c>
      <c r="H4226" t="s">
        <v>18</v>
      </c>
      <c r="I4226">
        <v>53.695999999999998</v>
      </c>
      <c r="J4226" t="s">
        <v>19</v>
      </c>
      <c r="K4226" t="s">
        <v>5784</v>
      </c>
      <c r="L4226" t="s">
        <v>21</v>
      </c>
      <c r="M4226" t="str">
        <f t="shared" ref="M4226:M4289" si="198">IF(AND(ISNUMBER(I4226),I4226&gt;=0),"OK","Review")</f>
        <v>OK</v>
      </c>
      <c r="N4226" t="str">
        <f t="shared" ref="N4226:N4289" si="199">FLOOR(D4226,10)&amp;"s"</f>
        <v>1970s</v>
      </c>
      <c r="O4226" t="str">
        <f t="shared" ref="O4226:O4289" si="200">IF(E4226="LIFE_EXP",IF(I4226&gt;=70,"High",IF(I4226&gt;=55,"Medium","Low")),"N/A")</f>
        <v>Low</v>
      </c>
      <c r="P4226" t="str">
        <f>VLOOKUP(E4226,calculated_fields!$F$4:$G$6,2,FALSE)</f>
        <v>Health</v>
      </c>
    </row>
    <row r="4227" spans="1:16">
      <c r="A4227" t="s">
        <v>5785</v>
      </c>
      <c r="B4227" t="s">
        <v>5767</v>
      </c>
      <c r="C4227" t="s">
        <v>130</v>
      </c>
      <c r="D4227">
        <v>1972</v>
      </c>
      <c r="E4227" t="s">
        <v>23</v>
      </c>
      <c r="F4227" t="s">
        <v>24</v>
      </c>
      <c r="G4227" t="s">
        <v>25</v>
      </c>
      <c r="H4227" t="s">
        <v>26</v>
      </c>
      <c r="I4227">
        <v>23935810</v>
      </c>
      <c r="J4227" t="s">
        <v>27</v>
      </c>
      <c r="K4227" t="s">
        <v>5784</v>
      </c>
      <c r="L4227" t="s">
        <v>21</v>
      </c>
      <c r="M4227" t="str">
        <f t="shared" si="198"/>
        <v>OK</v>
      </c>
      <c r="N4227" t="str">
        <f t="shared" si="199"/>
        <v>1970s</v>
      </c>
      <c r="O4227" t="str">
        <f t="shared" si="200"/>
        <v>N/A</v>
      </c>
      <c r="P4227" t="str">
        <f>VLOOKUP(E4227,calculated_fields!$F$4:$G$6,2,FALSE)</f>
        <v>Demographics</v>
      </c>
    </row>
    <row r="4228" spans="1:16">
      <c r="A4228" t="s">
        <v>5786</v>
      </c>
      <c r="B4228" t="s">
        <v>5767</v>
      </c>
      <c r="C4228" t="s">
        <v>130</v>
      </c>
      <c r="D4228">
        <v>1972</v>
      </c>
      <c r="E4228" t="s">
        <v>29</v>
      </c>
      <c r="F4228" t="s">
        <v>30</v>
      </c>
      <c r="G4228" t="s">
        <v>31</v>
      </c>
      <c r="H4228" t="s">
        <v>32</v>
      </c>
      <c r="I4228">
        <v>7765.9626360000002</v>
      </c>
      <c r="J4228" t="s">
        <v>33</v>
      </c>
      <c r="K4228" t="s">
        <v>5784</v>
      </c>
      <c r="L4228" t="s">
        <v>21</v>
      </c>
      <c r="M4228" t="str">
        <f t="shared" si="198"/>
        <v>OK</v>
      </c>
      <c r="N4228" t="str">
        <f t="shared" si="199"/>
        <v>1970s</v>
      </c>
      <c r="O4228" t="str">
        <f t="shared" si="200"/>
        <v>N/A</v>
      </c>
      <c r="P4228" t="str">
        <f>VLOOKUP(E4228,calculated_fields!$F$4:$G$6,2,FALSE)</f>
        <v>Economy</v>
      </c>
    </row>
    <row r="4229" spans="1:16">
      <c r="A4229" t="s">
        <v>5787</v>
      </c>
      <c r="B4229" t="s">
        <v>5767</v>
      </c>
      <c r="C4229" t="s">
        <v>130</v>
      </c>
      <c r="D4229">
        <v>1977</v>
      </c>
      <c r="E4229" t="s">
        <v>15</v>
      </c>
      <c r="F4229" t="s">
        <v>16</v>
      </c>
      <c r="G4229" t="s">
        <v>17</v>
      </c>
      <c r="H4229" t="s">
        <v>18</v>
      </c>
      <c r="I4229">
        <v>55.527000000000001</v>
      </c>
      <c r="J4229" t="s">
        <v>19</v>
      </c>
      <c r="K4229" t="s">
        <v>5788</v>
      </c>
      <c r="L4229" t="s">
        <v>21</v>
      </c>
      <c r="M4229" t="str">
        <f t="shared" si="198"/>
        <v>OK</v>
      </c>
      <c r="N4229" t="str">
        <f t="shared" si="199"/>
        <v>1970s</v>
      </c>
      <c r="O4229" t="str">
        <f t="shared" si="200"/>
        <v>Medium</v>
      </c>
      <c r="P4229" t="str">
        <f>VLOOKUP(E4229,calculated_fields!$F$4:$G$6,2,FALSE)</f>
        <v>Health</v>
      </c>
    </row>
    <row r="4230" spans="1:16">
      <c r="A4230" t="s">
        <v>5789</v>
      </c>
      <c r="B4230" t="s">
        <v>5767</v>
      </c>
      <c r="C4230" t="s">
        <v>130</v>
      </c>
      <c r="D4230">
        <v>1977</v>
      </c>
      <c r="E4230" t="s">
        <v>23</v>
      </c>
      <c r="F4230" t="s">
        <v>24</v>
      </c>
      <c r="G4230" t="s">
        <v>25</v>
      </c>
      <c r="H4230" t="s">
        <v>26</v>
      </c>
      <c r="I4230">
        <v>27129932</v>
      </c>
      <c r="J4230" t="s">
        <v>27</v>
      </c>
      <c r="K4230" t="s">
        <v>5788</v>
      </c>
      <c r="L4230" t="s">
        <v>21</v>
      </c>
      <c r="M4230" t="str">
        <f t="shared" si="198"/>
        <v>OK</v>
      </c>
      <c r="N4230" t="str">
        <f t="shared" si="199"/>
        <v>1970s</v>
      </c>
      <c r="O4230" t="str">
        <f t="shared" si="200"/>
        <v>N/A</v>
      </c>
      <c r="P4230" t="str">
        <f>VLOOKUP(E4230,calculated_fields!$F$4:$G$6,2,FALSE)</f>
        <v>Demographics</v>
      </c>
    </row>
    <row r="4231" spans="1:16">
      <c r="A4231" t="s">
        <v>5790</v>
      </c>
      <c r="B4231" t="s">
        <v>5767</v>
      </c>
      <c r="C4231" t="s">
        <v>130</v>
      </c>
      <c r="D4231">
        <v>1977</v>
      </c>
      <c r="E4231" t="s">
        <v>29</v>
      </c>
      <c r="F4231" t="s">
        <v>30</v>
      </c>
      <c r="G4231" t="s">
        <v>31</v>
      </c>
      <c r="H4231" t="s">
        <v>32</v>
      </c>
      <c r="I4231">
        <v>8028.6514390000002</v>
      </c>
      <c r="J4231" t="s">
        <v>33</v>
      </c>
      <c r="K4231" t="s">
        <v>5788</v>
      </c>
      <c r="L4231" t="s">
        <v>21</v>
      </c>
      <c r="M4231" t="str">
        <f t="shared" si="198"/>
        <v>OK</v>
      </c>
      <c r="N4231" t="str">
        <f t="shared" si="199"/>
        <v>1970s</v>
      </c>
      <c r="O4231" t="str">
        <f t="shared" si="200"/>
        <v>N/A</v>
      </c>
      <c r="P4231" t="str">
        <f>VLOOKUP(E4231,calculated_fields!$F$4:$G$6,2,FALSE)</f>
        <v>Economy</v>
      </c>
    </row>
    <row r="4232" spans="1:16">
      <c r="A4232" t="s">
        <v>5791</v>
      </c>
      <c r="B4232" t="s">
        <v>5767</v>
      </c>
      <c r="C4232" t="s">
        <v>130</v>
      </c>
      <c r="D4232">
        <v>1982</v>
      </c>
      <c r="E4232" t="s">
        <v>15</v>
      </c>
      <c r="F4232" t="s">
        <v>16</v>
      </c>
      <c r="G4232" t="s">
        <v>17</v>
      </c>
      <c r="H4232" t="s">
        <v>18</v>
      </c>
      <c r="I4232">
        <v>58.161000000000001</v>
      </c>
      <c r="J4232" t="s">
        <v>19</v>
      </c>
      <c r="K4232" t="s">
        <v>5792</v>
      </c>
      <c r="L4232" t="s">
        <v>21</v>
      </c>
      <c r="M4232" t="str">
        <f t="shared" si="198"/>
        <v>OK</v>
      </c>
      <c r="N4232" t="str">
        <f t="shared" si="199"/>
        <v>1980s</v>
      </c>
      <c r="O4232" t="str">
        <f t="shared" si="200"/>
        <v>Medium</v>
      </c>
      <c r="P4232" t="str">
        <f>VLOOKUP(E4232,calculated_fields!$F$4:$G$6,2,FALSE)</f>
        <v>Health</v>
      </c>
    </row>
    <row r="4233" spans="1:16">
      <c r="A4233" t="s">
        <v>5793</v>
      </c>
      <c r="B4233" t="s">
        <v>5767</v>
      </c>
      <c r="C4233" t="s">
        <v>130</v>
      </c>
      <c r="D4233">
        <v>1982</v>
      </c>
      <c r="E4233" t="s">
        <v>23</v>
      </c>
      <c r="F4233" t="s">
        <v>24</v>
      </c>
      <c r="G4233" t="s">
        <v>25</v>
      </c>
      <c r="H4233" t="s">
        <v>26</v>
      </c>
      <c r="I4233">
        <v>31140029</v>
      </c>
      <c r="J4233" t="s">
        <v>27</v>
      </c>
      <c r="K4233" t="s">
        <v>5792</v>
      </c>
      <c r="L4233" t="s">
        <v>21</v>
      </c>
      <c r="M4233" t="str">
        <f t="shared" si="198"/>
        <v>OK</v>
      </c>
      <c r="N4233" t="str">
        <f t="shared" si="199"/>
        <v>1980s</v>
      </c>
      <c r="O4233" t="str">
        <f t="shared" si="200"/>
        <v>N/A</v>
      </c>
      <c r="P4233" t="str">
        <f>VLOOKUP(E4233,calculated_fields!$F$4:$G$6,2,FALSE)</f>
        <v>Demographics</v>
      </c>
    </row>
    <row r="4234" spans="1:16">
      <c r="A4234" t="s">
        <v>5794</v>
      </c>
      <c r="B4234" t="s">
        <v>5767</v>
      </c>
      <c r="C4234" t="s">
        <v>130</v>
      </c>
      <c r="D4234">
        <v>1982</v>
      </c>
      <c r="E4234" t="s">
        <v>29</v>
      </c>
      <c r="F4234" t="s">
        <v>30</v>
      </c>
      <c r="G4234" t="s">
        <v>31</v>
      </c>
      <c r="H4234" t="s">
        <v>32</v>
      </c>
      <c r="I4234">
        <v>8568.2662280000004</v>
      </c>
      <c r="J4234" t="s">
        <v>33</v>
      </c>
      <c r="K4234" t="s">
        <v>5792</v>
      </c>
      <c r="L4234" t="s">
        <v>21</v>
      </c>
      <c r="M4234" t="str">
        <f t="shared" si="198"/>
        <v>OK</v>
      </c>
      <c r="N4234" t="str">
        <f t="shared" si="199"/>
        <v>1980s</v>
      </c>
      <c r="O4234" t="str">
        <f t="shared" si="200"/>
        <v>N/A</v>
      </c>
      <c r="P4234" t="str">
        <f>VLOOKUP(E4234,calculated_fields!$F$4:$G$6,2,FALSE)</f>
        <v>Economy</v>
      </c>
    </row>
    <row r="4235" spans="1:16">
      <c r="A4235" t="s">
        <v>5795</v>
      </c>
      <c r="B4235" t="s">
        <v>5767</v>
      </c>
      <c r="C4235" t="s">
        <v>130</v>
      </c>
      <c r="D4235">
        <v>1987</v>
      </c>
      <c r="E4235" t="s">
        <v>15</v>
      </c>
      <c r="F4235" t="s">
        <v>16</v>
      </c>
      <c r="G4235" t="s">
        <v>17</v>
      </c>
      <c r="H4235" t="s">
        <v>18</v>
      </c>
      <c r="I4235">
        <v>60.834000000000003</v>
      </c>
      <c r="J4235" t="s">
        <v>19</v>
      </c>
      <c r="K4235" t="s">
        <v>5796</v>
      </c>
      <c r="L4235" t="s">
        <v>21</v>
      </c>
      <c r="M4235" t="str">
        <f t="shared" si="198"/>
        <v>OK</v>
      </c>
      <c r="N4235" t="str">
        <f t="shared" si="199"/>
        <v>1980s</v>
      </c>
      <c r="O4235" t="str">
        <f t="shared" si="200"/>
        <v>Medium</v>
      </c>
      <c r="P4235" t="str">
        <f>VLOOKUP(E4235,calculated_fields!$F$4:$G$6,2,FALSE)</f>
        <v>Health</v>
      </c>
    </row>
    <row r="4236" spans="1:16">
      <c r="A4236" t="s">
        <v>5797</v>
      </c>
      <c r="B4236" t="s">
        <v>5767</v>
      </c>
      <c r="C4236" t="s">
        <v>130</v>
      </c>
      <c r="D4236">
        <v>1987</v>
      </c>
      <c r="E4236" t="s">
        <v>23</v>
      </c>
      <c r="F4236" t="s">
        <v>24</v>
      </c>
      <c r="G4236" t="s">
        <v>25</v>
      </c>
      <c r="H4236" t="s">
        <v>26</v>
      </c>
      <c r="I4236">
        <v>35933379</v>
      </c>
      <c r="J4236" t="s">
        <v>27</v>
      </c>
      <c r="K4236" t="s">
        <v>5796</v>
      </c>
      <c r="L4236" t="s">
        <v>21</v>
      </c>
      <c r="M4236" t="str">
        <f t="shared" si="198"/>
        <v>OK</v>
      </c>
      <c r="N4236" t="str">
        <f t="shared" si="199"/>
        <v>1980s</v>
      </c>
      <c r="O4236" t="str">
        <f t="shared" si="200"/>
        <v>N/A</v>
      </c>
      <c r="P4236" t="str">
        <f>VLOOKUP(E4236,calculated_fields!$F$4:$G$6,2,FALSE)</f>
        <v>Demographics</v>
      </c>
    </row>
    <row r="4237" spans="1:16">
      <c r="A4237" t="s">
        <v>5798</v>
      </c>
      <c r="B4237" t="s">
        <v>5767</v>
      </c>
      <c r="C4237" t="s">
        <v>130</v>
      </c>
      <c r="D4237">
        <v>1987</v>
      </c>
      <c r="E4237" t="s">
        <v>29</v>
      </c>
      <c r="F4237" t="s">
        <v>30</v>
      </c>
      <c r="G4237" t="s">
        <v>31</v>
      </c>
      <c r="H4237" t="s">
        <v>32</v>
      </c>
      <c r="I4237">
        <v>7825.8233980000005</v>
      </c>
      <c r="J4237" t="s">
        <v>33</v>
      </c>
      <c r="K4237" t="s">
        <v>5796</v>
      </c>
      <c r="L4237" t="s">
        <v>21</v>
      </c>
      <c r="M4237" t="str">
        <f t="shared" si="198"/>
        <v>OK</v>
      </c>
      <c r="N4237" t="str">
        <f t="shared" si="199"/>
        <v>1980s</v>
      </c>
      <c r="O4237" t="str">
        <f t="shared" si="200"/>
        <v>N/A</v>
      </c>
      <c r="P4237" t="str">
        <f>VLOOKUP(E4237,calculated_fields!$F$4:$G$6,2,FALSE)</f>
        <v>Economy</v>
      </c>
    </row>
    <row r="4238" spans="1:16">
      <c r="A4238" t="s">
        <v>5799</v>
      </c>
      <c r="B4238" t="s">
        <v>5767</v>
      </c>
      <c r="C4238" t="s">
        <v>130</v>
      </c>
      <c r="D4238">
        <v>1992</v>
      </c>
      <c r="E4238" t="s">
        <v>15</v>
      </c>
      <c r="F4238" t="s">
        <v>16</v>
      </c>
      <c r="G4238" t="s">
        <v>17</v>
      </c>
      <c r="H4238" t="s">
        <v>18</v>
      </c>
      <c r="I4238">
        <v>61.887999999999998</v>
      </c>
      <c r="J4238" t="s">
        <v>19</v>
      </c>
      <c r="K4238" t="s">
        <v>5800</v>
      </c>
      <c r="L4238" t="s">
        <v>21</v>
      </c>
      <c r="M4238" t="str">
        <f t="shared" si="198"/>
        <v>OK</v>
      </c>
      <c r="N4238" t="str">
        <f t="shared" si="199"/>
        <v>1990s</v>
      </c>
      <c r="O4238" t="str">
        <f t="shared" si="200"/>
        <v>Medium</v>
      </c>
      <c r="P4238" t="str">
        <f>VLOOKUP(E4238,calculated_fields!$F$4:$G$6,2,FALSE)</f>
        <v>Health</v>
      </c>
    </row>
    <row r="4239" spans="1:16">
      <c r="A4239" t="s">
        <v>5801</v>
      </c>
      <c r="B4239" t="s">
        <v>5767</v>
      </c>
      <c r="C4239" t="s">
        <v>130</v>
      </c>
      <c r="D4239">
        <v>1992</v>
      </c>
      <c r="E4239" t="s">
        <v>23</v>
      </c>
      <c r="F4239" t="s">
        <v>24</v>
      </c>
      <c r="G4239" t="s">
        <v>25</v>
      </c>
      <c r="H4239" t="s">
        <v>26</v>
      </c>
      <c r="I4239">
        <v>39964159</v>
      </c>
      <c r="J4239" t="s">
        <v>27</v>
      </c>
      <c r="K4239" t="s">
        <v>5800</v>
      </c>
      <c r="L4239" t="s">
        <v>21</v>
      </c>
      <c r="M4239" t="str">
        <f t="shared" si="198"/>
        <v>OK</v>
      </c>
      <c r="N4239" t="str">
        <f t="shared" si="199"/>
        <v>1990s</v>
      </c>
      <c r="O4239" t="str">
        <f t="shared" si="200"/>
        <v>N/A</v>
      </c>
      <c r="P4239" t="str">
        <f>VLOOKUP(E4239,calculated_fields!$F$4:$G$6,2,FALSE)</f>
        <v>Demographics</v>
      </c>
    </row>
    <row r="4240" spans="1:16">
      <c r="A4240" t="s">
        <v>5802</v>
      </c>
      <c r="B4240" t="s">
        <v>5767</v>
      </c>
      <c r="C4240" t="s">
        <v>130</v>
      </c>
      <c r="D4240">
        <v>1992</v>
      </c>
      <c r="E4240" t="s">
        <v>29</v>
      </c>
      <c r="F4240" t="s">
        <v>30</v>
      </c>
      <c r="G4240" t="s">
        <v>31</v>
      </c>
      <c r="H4240" t="s">
        <v>32</v>
      </c>
      <c r="I4240">
        <v>7225.0692579999904</v>
      </c>
      <c r="J4240" t="s">
        <v>33</v>
      </c>
      <c r="K4240" t="s">
        <v>5800</v>
      </c>
      <c r="L4240" t="s">
        <v>21</v>
      </c>
      <c r="M4240" t="str">
        <f t="shared" si="198"/>
        <v>OK</v>
      </c>
      <c r="N4240" t="str">
        <f t="shared" si="199"/>
        <v>1990s</v>
      </c>
      <c r="O4240" t="str">
        <f t="shared" si="200"/>
        <v>N/A</v>
      </c>
      <c r="P4240" t="str">
        <f>VLOOKUP(E4240,calculated_fields!$F$4:$G$6,2,FALSE)</f>
        <v>Economy</v>
      </c>
    </row>
    <row r="4241" spans="1:16">
      <c r="A4241" t="s">
        <v>5803</v>
      </c>
      <c r="B4241" t="s">
        <v>5767</v>
      </c>
      <c r="C4241" t="s">
        <v>130</v>
      </c>
      <c r="D4241">
        <v>1997</v>
      </c>
      <c r="E4241" t="s">
        <v>15</v>
      </c>
      <c r="F4241" t="s">
        <v>16</v>
      </c>
      <c r="G4241" t="s">
        <v>17</v>
      </c>
      <c r="H4241" t="s">
        <v>18</v>
      </c>
      <c r="I4241">
        <v>60.235999999999997</v>
      </c>
      <c r="J4241" t="s">
        <v>19</v>
      </c>
      <c r="K4241" t="s">
        <v>5804</v>
      </c>
      <c r="L4241" t="s">
        <v>21</v>
      </c>
      <c r="M4241" t="str">
        <f t="shared" si="198"/>
        <v>OK</v>
      </c>
      <c r="N4241" t="str">
        <f t="shared" si="199"/>
        <v>1990s</v>
      </c>
      <c r="O4241" t="str">
        <f t="shared" si="200"/>
        <v>Medium</v>
      </c>
      <c r="P4241" t="str">
        <f>VLOOKUP(E4241,calculated_fields!$F$4:$G$6,2,FALSE)</f>
        <v>Health</v>
      </c>
    </row>
    <row r="4242" spans="1:16">
      <c r="A4242" t="s">
        <v>5805</v>
      </c>
      <c r="B4242" t="s">
        <v>5767</v>
      </c>
      <c r="C4242" t="s">
        <v>130</v>
      </c>
      <c r="D4242">
        <v>1997</v>
      </c>
      <c r="E4242" t="s">
        <v>23</v>
      </c>
      <c r="F4242" t="s">
        <v>24</v>
      </c>
      <c r="G4242" t="s">
        <v>25</v>
      </c>
      <c r="H4242" t="s">
        <v>26</v>
      </c>
      <c r="I4242">
        <v>42835005</v>
      </c>
      <c r="J4242" t="s">
        <v>27</v>
      </c>
      <c r="K4242" t="s">
        <v>5804</v>
      </c>
      <c r="L4242" t="s">
        <v>21</v>
      </c>
      <c r="M4242" t="str">
        <f t="shared" si="198"/>
        <v>OK</v>
      </c>
      <c r="N4242" t="str">
        <f t="shared" si="199"/>
        <v>1990s</v>
      </c>
      <c r="O4242" t="str">
        <f t="shared" si="200"/>
        <v>N/A</v>
      </c>
      <c r="P4242" t="str">
        <f>VLOOKUP(E4242,calculated_fields!$F$4:$G$6,2,FALSE)</f>
        <v>Demographics</v>
      </c>
    </row>
    <row r="4243" spans="1:16">
      <c r="A4243" t="s">
        <v>5806</v>
      </c>
      <c r="B4243" t="s">
        <v>5767</v>
      </c>
      <c r="C4243" t="s">
        <v>130</v>
      </c>
      <c r="D4243">
        <v>1997</v>
      </c>
      <c r="E4243" t="s">
        <v>29</v>
      </c>
      <c r="F4243" t="s">
        <v>30</v>
      </c>
      <c r="G4243" t="s">
        <v>31</v>
      </c>
      <c r="H4243" t="s">
        <v>32</v>
      </c>
      <c r="I4243">
        <v>7479.1882439999999</v>
      </c>
      <c r="J4243" t="s">
        <v>33</v>
      </c>
      <c r="K4243" t="s">
        <v>5804</v>
      </c>
      <c r="L4243" t="s">
        <v>21</v>
      </c>
      <c r="M4243" t="str">
        <f t="shared" si="198"/>
        <v>OK</v>
      </c>
      <c r="N4243" t="str">
        <f t="shared" si="199"/>
        <v>1990s</v>
      </c>
      <c r="O4243" t="str">
        <f t="shared" si="200"/>
        <v>N/A</v>
      </c>
      <c r="P4243" t="str">
        <f>VLOOKUP(E4243,calculated_fields!$F$4:$G$6,2,FALSE)</f>
        <v>Economy</v>
      </c>
    </row>
    <row r="4244" spans="1:16">
      <c r="A4244" t="s">
        <v>5807</v>
      </c>
      <c r="B4244" t="s">
        <v>5767</v>
      </c>
      <c r="C4244" t="s">
        <v>130</v>
      </c>
      <c r="D4244">
        <v>2002</v>
      </c>
      <c r="E4244" t="s">
        <v>15</v>
      </c>
      <c r="F4244" t="s">
        <v>16</v>
      </c>
      <c r="G4244" t="s">
        <v>17</v>
      </c>
      <c r="H4244" t="s">
        <v>18</v>
      </c>
      <c r="I4244">
        <v>53.365000000000002</v>
      </c>
      <c r="J4244" t="s">
        <v>19</v>
      </c>
      <c r="K4244" t="s">
        <v>5808</v>
      </c>
      <c r="L4244" t="s">
        <v>21</v>
      </c>
      <c r="M4244" t="str">
        <f t="shared" si="198"/>
        <v>OK</v>
      </c>
      <c r="N4244" t="str">
        <f t="shared" si="199"/>
        <v>2000s</v>
      </c>
      <c r="O4244" t="str">
        <f t="shared" si="200"/>
        <v>Low</v>
      </c>
      <c r="P4244" t="str">
        <f>VLOOKUP(E4244,calculated_fields!$F$4:$G$6,2,FALSE)</f>
        <v>Health</v>
      </c>
    </row>
    <row r="4245" spans="1:16">
      <c r="A4245" t="s">
        <v>5809</v>
      </c>
      <c r="B4245" t="s">
        <v>5767</v>
      </c>
      <c r="C4245" t="s">
        <v>130</v>
      </c>
      <c r="D4245">
        <v>2002</v>
      </c>
      <c r="E4245" t="s">
        <v>23</v>
      </c>
      <c r="F4245" t="s">
        <v>24</v>
      </c>
      <c r="G4245" t="s">
        <v>25</v>
      </c>
      <c r="H4245" t="s">
        <v>26</v>
      </c>
      <c r="I4245">
        <v>44433622</v>
      </c>
      <c r="J4245" t="s">
        <v>27</v>
      </c>
      <c r="K4245" t="s">
        <v>5808</v>
      </c>
      <c r="L4245" t="s">
        <v>21</v>
      </c>
      <c r="M4245" t="str">
        <f t="shared" si="198"/>
        <v>OK</v>
      </c>
      <c r="N4245" t="str">
        <f t="shared" si="199"/>
        <v>2000s</v>
      </c>
      <c r="O4245" t="str">
        <f t="shared" si="200"/>
        <v>N/A</v>
      </c>
      <c r="P4245" t="str">
        <f>VLOOKUP(E4245,calculated_fields!$F$4:$G$6,2,FALSE)</f>
        <v>Demographics</v>
      </c>
    </row>
    <row r="4246" spans="1:16">
      <c r="A4246" t="s">
        <v>5810</v>
      </c>
      <c r="B4246" t="s">
        <v>5767</v>
      </c>
      <c r="C4246" t="s">
        <v>130</v>
      </c>
      <c r="D4246">
        <v>2002</v>
      </c>
      <c r="E4246" t="s">
        <v>29</v>
      </c>
      <c r="F4246" t="s">
        <v>30</v>
      </c>
      <c r="G4246" t="s">
        <v>31</v>
      </c>
      <c r="H4246" t="s">
        <v>32</v>
      </c>
      <c r="I4246">
        <v>7710.9464440000002</v>
      </c>
      <c r="J4246" t="s">
        <v>33</v>
      </c>
      <c r="K4246" t="s">
        <v>5808</v>
      </c>
      <c r="L4246" t="s">
        <v>21</v>
      </c>
      <c r="M4246" t="str">
        <f t="shared" si="198"/>
        <v>OK</v>
      </c>
      <c r="N4246" t="str">
        <f t="shared" si="199"/>
        <v>2000s</v>
      </c>
      <c r="O4246" t="str">
        <f t="shared" si="200"/>
        <v>N/A</v>
      </c>
      <c r="P4246" t="str">
        <f>VLOOKUP(E4246,calculated_fields!$F$4:$G$6,2,FALSE)</f>
        <v>Economy</v>
      </c>
    </row>
    <row r="4247" spans="1:16">
      <c r="A4247" t="s">
        <v>5811</v>
      </c>
      <c r="B4247" t="s">
        <v>5767</v>
      </c>
      <c r="C4247" t="s">
        <v>130</v>
      </c>
      <c r="D4247">
        <v>2007</v>
      </c>
      <c r="E4247" t="s">
        <v>15</v>
      </c>
      <c r="F4247" t="s">
        <v>16</v>
      </c>
      <c r="G4247" t="s">
        <v>17</v>
      </c>
      <c r="H4247" t="s">
        <v>18</v>
      </c>
      <c r="I4247">
        <v>49.338999999999999</v>
      </c>
      <c r="J4247" t="s">
        <v>19</v>
      </c>
      <c r="K4247" t="s">
        <v>5812</v>
      </c>
      <c r="L4247" t="s">
        <v>21</v>
      </c>
      <c r="M4247" t="str">
        <f t="shared" si="198"/>
        <v>OK</v>
      </c>
      <c r="N4247" t="str">
        <f t="shared" si="199"/>
        <v>2000s</v>
      </c>
      <c r="O4247" t="str">
        <f t="shared" si="200"/>
        <v>Low</v>
      </c>
      <c r="P4247" t="str">
        <f>VLOOKUP(E4247,calculated_fields!$F$4:$G$6,2,FALSE)</f>
        <v>Health</v>
      </c>
    </row>
    <row r="4248" spans="1:16">
      <c r="A4248" t="s">
        <v>5813</v>
      </c>
      <c r="B4248" t="s">
        <v>5767</v>
      </c>
      <c r="C4248" t="s">
        <v>130</v>
      </c>
      <c r="D4248">
        <v>2007</v>
      </c>
      <c r="E4248" t="s">
        <v>23</v>
      </c>
      <c r="F4248" t="s">
        <v>24</v>
      </c>
      <c r="G4248" t="s">
        <v>25</v>
      </c>
      <c r="H4248" t="s">
        <v>26</v>
      </c>
      <c r="I4248">
        <v>43997828</v>
      </c>
      <c r="J4248" t="s">
        <v>27</v>
      </c>
      <c r="K4248" t="s">
        <v>5812</v>
      </c>
      <c r="L4248" t="s">
        <v>21</v>
      </c>
      <c r="M4248" t="str">
        <f t="shared" si="198"/>
        <v>OK</v>
      </c>
      <c r="N4248" t="str">
        <f t="shared" si="199"/>
        <v>2000s</v>
      </c>
      <c r="O4248" t="str">
        <f t="shared" si="200"/>
        <v>N/A</v>
      </c>
      <c r="P4248" t="str">
        <f>VLOOKUP(E4248,calculated_fields!$F$4:$G$6,2,FALSE)</f>
        <v>Demographics</v>
      </c>
    </row>
    <row r="4249" spans="1:16">
      <c r="A4249" t="s">
        <v>5814</v>
      </c>
      <c r="B4249" t="s">
        <v>5767</v>
      </c>
      <c r="C4249" t="s">
        <v>130</v>
      </c>
      <c r="D4249">
        <v>2007</v>
      </c>
      <c r="E4249" t="s">
        <v>29</v>
      </c>
      <c r="F4249" t="s">
        <v>30</v>
      </c>
      <c r="G4249" t="s">
        <v>31</v>
      </c>
      <c r="H4249" t="s">
        <v>32</v>
      </c>
      <c r="I4249">
        <v>9269.6578079999999</v>
      </c>
      <c r="J4249" t="s">
        <v>33</v>
      </c>
      <c r="K4249" t="s">
        <v>5812</v>
      </c>
      <c r="L4249" t="s">
        <v>21</v>
      </c>
      <c r="M4249" t="str">
        <f t="shared" si="198"/>
        <v>OK</v>
      </c>
      <c r="N4249" t="str">
        <f t="shared" si="199"/>
        <v>2000s</v>
      </c>
      <c r="O4249" t="str">
        <f t="shared" si="200"/>
        <v>N/A</v>
      </c>
      <c r="P4249" t="str">
        <f>VLOOKUP(E4249,calculated_fields!$F$4:$G$6,2,FALSE)</f>
        <v>Economy</v>
      </c>
    </row>
    <row r="4250" spans="1:16">
      <c r="A4250" t="s">
        <v>5815</v>
      </c>
      <c r="B4250" t="s">
        <v>5816</v>
      </c>
      <c r="C4250" t="s">
        <v>80</v>
      </c>
      <c r="D4250">
        <v>1952</v>
      </c>
      <c r="E4250" t="s">
        <v>15</v>
      </c>
      <c r="F4250" t="s">
        <v>16</v>
      </c>
      <c r="G4250" t="s">
        <v>17</v>
      </c>
      <c r="H4250" t="s">
        <v>18</v>
      </c>
      <c r="I4250">
        <v>64.94</v>
      </c>
      <c r="J4250" t="s">
        <v>19</v>
      </c>
      <c r="K4250" t="s">
        <v>5817</v>
      </c>
      <c r="L4250" t="s">
        <v>21</v>
      </c>
      <c r="M4250" t="str">
        <f t="shared" si="198"/>
        <v>OK</v>
      </c>
      <c r="N4250" t="str">
        <f t="shared" si="199"/>
        <v>1950s</v>
      </c>
      <c r="O4250" t="str">
        <f t="shared" si="200"/>
        <v>Medium</v>
      </c>
      <c r="P4250" t="str">
        <f>VLOOKUP(E4250,calculated_fields!$F$4:$G$6,2,FALSE)</f>
        <v>Health</v>
      </c>
    </row>
    <row r="4251" spans="1:16">
      <c r="A4251" t="s">
        <v>5818</v>
      </c>
      <c r="B4251" t="s">
        <v>5816</v>
      </c>
      <c r="C4251" t="s">
        <v>80</v>
      </c>
      <c r="D4251">
        <v>1952</v>
      </c>
      <c r="E4251" t="s">
        <v>23</v>
      </c>
      <c r="F4251" t="s">
        <v>24</v>
      </c>
      <c r="G4251" t="s">
        <v>25</v>
      </c>
      <c r="H4251" t="s">
        <v>26</v>
      </c>
      <c r="I4251">
        <v>28549870</v>
      </c>
      <c r="J4251" t="s">
        <v>27</v>
      </c>
      <c r="K4251" t="s">
        <v>5817</v>
      </c>
      <c r="L4251" t="s">
        <v>21</v>
      </c>
      <c r="M4251" t="str">
        <f t="shared" si="198"/>
        <v>OK</v>
      </c>
      <c r="N4251" t="str">
        <f t="shared" si="199"/>
        <v>1950s</v>
      </c>
      <c r="O4251" t="str">
        <f t="shared" si="200"/>
        <v>N/A</v>
      </c>
      <c r="P4251" t="str">
        <f>VLOOKUP(E4251,calculated_fields!$F$4:$G$6,2,FALSE)</f>
        <v>Demographics</v>
      </c>
    </row>
    <row r="4252" spans="1:16">
      <c r="A4252" t="s">
        <v>5819</v>
      </c>
      <c r="B4252" t="s">
        <v>5816</v>
      </c>
      <c r="C4252" t="s">
        <v>80</v>
      </c>
      <c r="D4252">
        <v>1952</v>
      </c>
      <c r="E4252" t="s">
        <v>29</v>
      </c>
      <c r="F4252" t="s">
        <v>30</v>
      </c>
      <c r="G4252" t="s">
        <v>31</v>
      </c>
      <c r="H4252" t="s">
        <v>32</v>
      </c>
      <c r="I4252">
        <v>3834.0347419999998</v>
      </c>
      <c r="J4252" t="s">
        <v>33</v>
      </c>
      <c r="K4252" t="s">
        <v>5817</v>
      </c>
      <c r="L4252" t="s">
        <v>21</v>
      </c>
      <c r="M4252" t="str">
        <f t="shared" si="198"/>
        <v>OK</v>
      </c>
      <c r="N4252" t="str">
        <f t="shared" si="199"/>
        <v>1950s</v>
      </c>
      <c r="O4252" t="str">
        <f t="shared" si="200"/>
        <v>N/A</v>
      </c>
      <c r="P4252" t="str">
        <f>VLOOKUP(E4252,calculated_fields!$F$4:$G$6,2,FALSE)</f>
        <v>Economy</v>
      </c>
    </row>
    <row r="4253" spans="1:16">
      <c r="A4253" t="s">
        <v>5820</v>
      </c>
      <c r="B4253" t="s">
        <v>5816</v>
      </c>
      <c r="C4253" t="s">
        <v>80</v>
      </c>
      <c r="D4253">
        <v>1957</v>
      </c>
      <c r="E4253" t="s">
        <v>15</v>
      </c>
      <c r="F4253" t="s">
        <v>16</v>
      </c>
      <c r="G4253" t="s">
        <v>17</v>
      </c>
      <c r="H4253" t="s">
        <v>18</v>
      </c>
      <c r="I4253">
        <v>66.66</v>
      </c>
      <c r="J4253" t="s">
        <v>19</v>
      </c>
      <c r="K4253" t="s">
        <v>5821</v>
      </c>
      <c r="L4253" t="s">
        <v>21</v>
      </c>
      <c r="M4253" t="str">
        <f t="shared" si="198"/>
        <v>OK</v>
      </c>
      <c r="N4253" t="str">
        <f t="shared" si="199"/>
        <v>1950s</v>
      </c>
      <c r="O4253" t="str">
        <f t="shared" si="200"/>
        <v>Medium</v>
      </c>
      <c r="P4253" t="str">
        <f>VLOOKUP(E4253,calculated_fields!$F$4:$G$6,2,FALSE)</f>
        <v>Health</v>
      </c>
    </row>
    <row r="4254" spans="1:16">
      <c r="A4254" t="s">
        <v>5822</v>
      </c>
      <c r="B4254" t="s">
        <v>5816</v>
      </c>
      <c r="C4254" t="s">
        <v>80</v>
      </c>
      <c r="D4254">
        <v>1957</v>
      </c>
      <c r="E4254" t="s">
        <v>23</v>
      </c>
      <c r="F4254" t="s">
        <v>24</v>
      </c>
      <c r="G4254" t="s">
        <v>25</v>
      </c>
      <c r="H4254" t="s">
        <v>26</v>
      </c>
      <c r="I4254">
        <v>29841614</v>
      </c>
      <c r="J4254" t="s">
        <v>27</v>
      </c>
      <c r="K4254" t="s">
        <v>5821</v>
      </c>
      <c r="L4254" t="s">
        <v>21</v>
      </c>
      <c r="M4254" t="str">
        <f t="shared" si="198"/>
        <v>OK</v>
      </c>
      <c r="N4254" t="str">
        <f t="shared" si="199"/>
        <v>1950s</v>
      </c>
      <c r="O4254" t="str">
        <f t="shared" si="200"/>
        <v>N/A</v>
      </c>
      <c r="P4254" t="str">
        <f>VLOOKUP(E4254,calculated_fields!$F$4:$G$6,2,FALSE)</f>
        <v>Demographics</v>
      </c>
    </row>
    <row r="4255" spans="1:16">
      <c r="A4255" t="s">
        <v>5823</v>
      </c>
      <c r="B4255" t="s">
        <v>5816</v>
      </c>
      <c r="C4255" t="s">
        <v>80</v>
      </c>
      <c r="D4255">
        <v>1957</v>
      </c>
      <c r="E4255" t="s">
        <v>29</v>
      </c>
      <c r="F4255" t="s">
        <v>30</v>
      </c>
      <c r="G4255" t="s">
        <v>31</v>
      </c>
      <c r="H4255" t="s">
        <v>32</v>
      </c>
      <c r="I4255">
        <v>4564.8024100000002</v>
      </c>
      <c r="J4255" t="s">
        <v>33</v>
      </c>
      <c r="K4255" t="s">
        <v>5821</v>
      </c>
      <c r="L4255" t="s">
        <v>21</v>
      </c>
      <c r="M4255" t="str">
        <f t="shared" si="198"/>
        <v>OK</v>
      </c>
      <c r="N4255" t="str">
        <f t="shared" si="199"/>
        <v>1950s</v>
      </c>
      <c r="O4255" t="str">
        <f t="shared" si="200"/>
        <v>N/A</v>
      </c>
      <c r="P4255" t="str">
        <f>VLOOKUP(E4255,calculated_fields!$F$4:$G$6,2,FALSE)</f>
        <v>Economy</v>
      </c>
    </row>
    <row r="4256" spans="1:16">
      <c r="A4256" t="s">
        <v>5824</v>
      </c>
      <c r="B4256" t="s">
        <v>5816</v>
      </c>
      <c r="C4256" t="s">
        <v>80</v>
      </c>
      <c r="D4256">
        <v>1962</v>
      </c>
      <c r="E4256" t="s">
        <v>15</v>
      </c>
      <c r="F4256" t="s">
        <v>16</v>
      </c>
      <c r="G4256" t="s">
        <v>17</v>
      </c>
      <c r="H4256" t="s">
        <v>18</v>
      </c>
      <c r="I4256">
        <v>69.69</v>
      </c>
      <c r="J4256" t="s">
        <v>19</v>
      </c>
      <c r="K4256" t="s">
        <v>5825</v>
      </c>
      <c r="L4256" t="s">
        <v>21</v>
      </c>
      <c r="M4256" t="str">
        <f t="shared" si="198"/>
        <v>OK</v>
      </c>
      <c r="N4256" t="str">
        <f t="shared" si="199"/>
        <v>1960s</v>
      </c>
      <c r="O4256" t="str">
        <f t="shared" si="200"/>
        <v>Medium</v>
      </c>
      <c r="P4256" t="str">
        <f>VLOOKUP(E4256,calculated_fields!$F$4:$G$6,2,FALSE)</f>
        <v>Health</v>
      </c>
    </row>
    <row r="4257" spans="1:16">
      <c r="A4257" t="s">
        <v>5826</v>
      </c>
      <c r="B4257" t="s">
        <v>5816</v>
      </c>
      <c r="C4257" t="s">
        <v>80</v>
      </c>
      <c r="D4257">
        <v>1962</v>
      </c>
      <c r="E4257" t="s">
        <v>23</v>
      </c>
      <c r="F4257" t="s">
        <v>24</v>
      </c>
      <c r="G4257" t="s">
        <v>25</v>
      </c>
      <c r="H4257" t="s">
        <v>26</v>
      </c>
      <c r="I4257">
        <v>31158061</v>
      </c>
      <c r="J4257" t="s">
        <v>27</v>
      </c>
      <c r="K4257" t="s">
        <v>5825</v>
      </c>
      <c r="L4257" t="s">
        <v>21</v>
      </c>
      <c r="M4257" t="str">
        <f t="shared" si="198"/>
        <v>OK</v>
      </c>
      <c r="N4257" t="str">
        <f t="shared" si="199"/>
        <v>1960s</v>
      </c>
      <c r="O4257" t="str">
        <f t="shared" si="200"/>
        <v>N/A</v>
      </c>
      <c r="P4257" t="str">
        <f>VLOOKUP(E4257,calculated_fields!$F$4:$G$6,2,FALSE)</f>
        <v>Demographics</v>
      </c>
    </row>
    <row r="4258" spans="1:16">
      <c r="A4258" t="s">
        <v>5827</v>
      </c>
      <c r="B4258" t="s">
        <v>5816</v>
      </c>
      <c r="C4258" t="s">
        <v>80</v>
      </c>
      <c r="D4258">
        <v>1962</v>
      </c>
      <c r="E4258" t="s">
        <v>29</v>
      </c>
      <c r="F4258" t="s">
        <v>30</v>
      </c>
      <c r="G4258" t="s">
        <v>31</v>
      </c>
      <c r="H4258" t="s">
        <v>32</v>
      </c>
      <c r="I4258">
        <v>5693.843879</v>
      </c>
      <c r="J4258" t="s">
        <v>33</v>
      </c>
      <c r="K4258" t="s">
        <v>5825</v>
      </c>
      <c r="L4258" t="s">
        <v>21</v>
      </c>
      <c r="M4258" t="str">
        <f t="shared" si="198"/>
        <v>OK</v>
      </c>
      <c r="N4258" t="str">
        <f t="shared" si="199"/>
        <v>1960s</v>
      </c>
      <c r="O4258" t="str">
        <f t="shared" si="200"/>
        <v>N/A</v>
      </c>
      <c r="P4258" t="str">
        <f>VLOOKUP(E4258,calculated_fields!$F$4:$G$6,2,FALSE)</f>
        <v>Economy</v>
      </c>
    </row>
    <row r="4259" spans="1:16">
      <c r="A4259" t="s">
        <v>5828</v>
      </c>
      <c r="B4259" t="s">
        <v>5816</v>
      </c>
      <c r="C4259" t="s">
        <v>80</v>
      </c>
      <c r="D4259">
        <v>1967</v>
      </c>
      <c r="E4259" t="s">
        <v>15</v>
      </c>
      <c r="F4259" t="s">
        <v>16</v>
      </c>
      <c r="G4259" t="s">
        <v>17</v>
      </c>
      <c r="H4259" t="s">
        <v>18</v>
      </c>
      <c r="I4259">
        <v>71.44</v>
      </c>
      <c r="J4259" t="s">
        <v>19</v>
      </c>
      <c r="K4259" t="s">
        <v>5829</v>
      </c>
      <c r="L4259" t="s">
        <v>21</v>
      </c>
      <c r="M4259" t="str">
        <f t="shared" si="198"/>
        <v>OK</v>
      </c>
      <c r="N4259" t="str">
        <f t="shared" si="199"/>
        <v>1960s</v>
      </c>
      <c r="O4259" t="str">
        <f t="shared" si="200"/>
        <v>High</v>
      </c>
      <c r="P4259" t="str">
        <f>VLOOKUP(E4259,calculated_fields!$F$4:$G$6,2,FALSE)</f>
        <v>Health</v>
      </c>
    </row>
    <row r="4260" spans="1:16">
      <c r="A4260" t="s">
        <v>5830</v>
      </c>
      <c r="B4260" t="s">
        <v>5816</v>
      </c>
      <c r="C4260" t="s">
        <v>80</v>
      </c>
      <c r="D4260">
        <v>1967</v>
      </c>
      <c r="E4260" t="s">
        <v>23</v>
      </c>
      <c r="F4260" t="s">
        <v>24</v>
      </c>
      <c r="G4260" t="s">
        <v>25</v>
      </c>
      <c r="H4260" t="s">
        <v>26</v>
      </c>
      <c r="I4260">
        <v>32850275</v>
      </c>
      <c r="J4260" t="s">
        <v>27</v>
      </c>
      <c r="K4260" t="s">
        <v>5829</v>
      </c>
      <c r="L4260" t="s">
        <v>21</v>
      </c>
      <c r="M4260" t="str">
        <f t="shared" si="198"/>
        <v>OK</v>
      </c>
      <c r="N4260" t="str">
        <f t="shared" si="199"/>
        <v>1960s</v>
      </c>
      <c r="O4260" t="str">
        <f t="shared" si="200"/>
        <v>N/A</v>
      </c>
      <c r="P4260" t="str">
        <f>VLOOKUP(E4260,calculated_fields!$F$4:$G$6,2,FALSE)</f>
        <v>Demographics</v>
      </c>
    </row>
    <row r="4261" spans="1:16">
      <c r="A4261" t="s">
        <v>5831</v>
      </c>
      <c r="B4261" t="s">
        <v>5816</v>
      </c>
      <c r="C4261" t="s">
        <v>80</v>
      </c>
      <c r="D4261">
        <v>1967</v>
      </c>
      <c r="E4261" t="s">
        <v>29</v>
      </c>
      <c r="F4261" t="s">
        <v>30</v>
      </c>
      <c r="G4261" t="s">
        <v>31</v>
      </c>
      <c r="H4261" t="s">
        <v>32</v>
      </c>
      <c r="I4261">
        <v>7993.5122940000001</v>
      </c>
      <c r="J4261" t="s">
        <v>33</v>
      </c>
      <c r="K4261" t="s">
        <v>5829</v>
      </c>
      <c r="L4261" t="s">
        <v>21</v>
      </c>
      <c r="M4261" t="str">
        <f t="shared" si="198"/>
        <v>OK</v>
      </c>
      <c r="N4261" t="str">
        <f t="shared" si="199"/>
        <v>1960s</v>
      </c>
      <c r="O4261" t="str">
        <f t="shared" si="200"/>
        <v>N/A</v>
      </c>
      <c r="P4261" t="str">
        <f>VLOOKUP(E4261,calculated_fields!$F$4:$G$6,2,FALSE)</f>
        <v>Economy</v>
      </c>
    </row>
    <row r="4262" spans="1:16">
      <c r="A4262" t="s">
        <v>5832</v>
      </c>
      <c r="B4262" t="s">
        <v>5816</v>
      </c>
      <c r="C4262" t="s">
        <v>80</v>
      </c>
      <c r="D4262">
        <v>1972</v>
      </c>
      <c r="E4262" t="s">
        <v>15</v>
      </c>
      <c r="F4262" t="s">
        <v>16</v>
      </c>
      <c r="G4262" t="s">
        <v>17</v>
      </c>
      <c r="H4262" t="s">
        <v>18</v>
      </c>
      <c r="I4262">
        <v>73.06</v>
      </c>
      <c r="J4262" t="s">
        <v>19</v>
      </c>
      <c r="K4262" t="s">
        <v>5833</v>
      </c>
      <c r="L4262" t="s">
        <v>21</v>
      </c>
      <c r="M4262" t="str">
        <f t="shared" si="198"/>
        <v>OK</v>
      </c>
      <c r="N4262" t="str">
        <f t="shared" si="199"/>
        <v>1970s</v>
      </c>
      <c r="O4262" t="str">
        <f t="shared" si="200"/>
        <v>High</v>
      </c>
      <c r="P4262" t="str">
        <f>VLOOKUP(E4262,calculated_fields!$F$4:$G$6,2,FALSE)</f>
        <v>Health</v>
      </c>
    </row>
    <row r="4263" spans="1:16">
      <c r="A4263" t="s">
        <v>5834</v>
      </c>
      <c r="B4263" t="s">
        <v>5816</v>
      </c>
      <c r="C4263" t="s">
        <v>80</v>
      </c>
      <c r="D4263">
        <v>1972</v>
      </c>
      <c r="E4263" t="s">
        <v>23</v>
      </c>
      <c r="F4263" t="s">
        <v>24</v>
      </c>
      <c r="G4263" t="s">
        <v>25</v>
      </c>
      <c r="H4263" t="s">
        <v>26</v>
      </c>
      <c r="I4263">
        <v>34513161</v>
      </c>
      <c r="J4263" t="s">
        <v>27</v>
      </c>
      <c r="K4263" t="s">
        <v>5833</v>
      </c>
      <c r="L4263" t="s">
        <v>21</v>
      </c>
      <c r="M4263" t="str">
        <f t="shared" si="198"/>
        <v>OK</v>
      </c>
      <c r="N4263" t="str">
        <f t="shared" si="199"/>
        <v>1970s</v>
      </c>
      <c r="O4263" t="str">
        <f t="shared" si="200"/>
        <v>N/A</v>
      </c>
      <c r="P4263" t="str">
        <f>VLOOKUP(E4263,calculated_fields!$F$4:$G$6,2,FALSE)</f>
        <v>Demographics</v>
      </c>
    </row>
    <row r="4264" spans="1:16">
      <c r="A4264" t="s">
        <v>5835</v>
      </c>
      <c r="B4264" t="s">
        <v>5816</v>
      </c>
      <c r="C4264" t="s">
        <v>80</v>
      </c>
      <c r="D4264">
        <v>1972</v>
      </c>
      <c r="E4264" t="s">
        <v>29</v>
      </c>
      <c r="F4264" t="s">
        <v>30</v>
      </c>
      <c r="G4264" t="s">
        <v>31</v>
      </c>
      <c r="H4264" t="s">
        <v>32</v>
      </c>
      <c r="I4264">
        <v>10638.75131</v>
      </c>
      <c r="J4264" t="s">
        <v>33</v>
      </c>
      <c r="K4264" t="s">
        <v>5833</v>
      </c>
      <c r="L4264" t="s">
        <v>21</v>
      </c>
      <c r="M4264" t="str">
        <f t="shared" si="198"/>
        <v>OK</v>
      </c>
      <c r="N4264" t="str">
        <f t="shared" si="199"/>
        <v>1970s</v>
      </c>
      <c r="O4264" t="str">
        <f t="shared" si="200"/>
        <v>N/A</v>
      </c>
      <c r="P4264" t="str">
        <f>VLOOKUP(E4264,calculated_fields!$F$4:$G$6,2,FALSE)</f>
        <v>Economy</v>
      </c>
    </row>
    <row r="4265" spans="1:16">
      <c r="A4265" t="s">
        <v>5836</v>
      </c>
      <c r="B4265" t="s">
        <v>5816</v>
      </c>
      <c r="C4265" t="s">
        <v>80</v>
      </c>
      <c r="D4265">
        <v>1977</v>
      </c>
      <c r="E4265" t="s">
        <v>15</v>
      </c>
      <c r="F4265" t="s">
        <v>16</v>
      </c>
      <c r="G4265" t="s">
        <v>17</v>
      </c>
      <c r="H4265" t="s">
        <v>18</v>
      </c>
      <c r="I4265">
        <v>74.39</v>
      </c>
      <c r="J4265" t="s">
        <v>19</v>
      </c>
      <c r="K4265" t="s">
        <v>5837</v>
      </c>
      <c r="L4265" t="s">
        <v>21</v>
      </c>
      <c r="M4265" t="str">
        <f t="shared" si="198"/>
        <v>OK</v>
      </c>
      <c r="N4265" t="str">
        <f t="shared" si="199"/>
        <v>1970s</v>
      </c>
      <c r="O4265" t="str">
        <f t="shared" si="200"/>
        <v>High</v>
      </c>
      <c r="P4265" t="str">
        <f>VLOOKUP(E4265,calculated_fields!$F$4:$G$6,2,FALSE)</f>
        <v>Health</v>
      </c>
    </row>
    <row r="4266" spans="1:16">
      <c r="A4266" t="s">
        <v>5838</v>
      </c>
      <c r="B4266" t="s">
        <v>5816</v>
      </c>
      <c r="C4266" t="s">
        <v>80</v>
      </c>
      <c r="D4266">
        <v>1977</v>
      </c>
      <c r="E4266" t="s">
        <v>23</v>
      </c>
      <c r="F4266" t="s">
        <v>24</v>
      </c>
      <c r="G4266" t="s">
        <v>25</v>
      </c>
      <c r="H4266" t="s">
        <v>26</v>
      </c>
      <c r="I4266">
        <v>36439000</v>
      </c>
      <c r="J4266" t="s">
        <v>27</v>
      </c>
      <c r="K4266" t="s">
        <v>5837</v>
      </c>
      <c r="L4266" t="s">
        <v>21</v>
      </c>
      <c r="M4266" t="str">
        <f t="shared" si="198"/>
        <v>OK</v>
      </c>
      <c r="N4266" t="str">
        <f t="shared" si="199"/>
        <v>1970s</v>
      </c>
      <c r="O4266" t="str">
        <f t="shared" si="200"/>
        <v>N/A</v>
      </c>
      <c r="P4266" t="str">
        <f>VLOOKUP(E4266,calculated_fields!$F$4:$G$6,2,FALSE)</f>
        <v>Demographics</v>
      </c>
    </row>
    <row r="4267" spans="1:16">
      <c r="A4267" t="s">
        <v>5839</v>
      </c>
      <c r="B4267" t="s">
        <v>5816</v>
      </c>
      <c r="C4267" t="s">
        <v>80</v>
      </c>
      <c r="D4267">
        <v>1977</v>
      </c>
      <c r="E4267" t="s">
        <v>29</v>
      </c>
      <c r="F4267" t="s">
        <v>30</v>
      </c>
      <c r="G4267" t="s">
        <v>31</v>
      </c>
      <c r="H4267" t="s">
        <v>32</v>
      </c>
      <c r="I4267">
        <v>13236.92117</v>
      </c>
      <c r="J4267" t="s">
        <v>33</v>
      </c>
      <c r="K4267" t="s">
        <v>5837</v>
      </c>
      <c r="L4267" t="s">
        <v>21</v>
      </c>
      <c r="M4267" t="str">
        <f t="shared" si="198"/>
        <v>OK</v>
      </c>
      <c r="N4267" t="str">
        <f t="shared" si="199"/>
        <v>1970s</v>
      </c>
      <c r="O4267" t="str">
        <f t="shared" si="200"/>
        <v>N/A</v>
      </c>
      <c r="P4267" t="str">
        <f>VLOOKUP(E4267,calculated_fields!$F$4:$G$6,2,FALSE)</f>
        <v>Economy</v>
      </c>
    </row>
    <row r="4268" spans="1:16">
      <c r="A4268" t="s">
        <v>5840</v>
      </c>
      <c r="B4268" t="s">
        <v>5816</v>
      </c>
      <c r="C4268" t="s">
        <v>80</v>
      </c>
      <c r="D4268">
        <v>1982</v>
      </c>
      <c r="E4268" t="s">
        <v>15</v>
      </c>
      <c r="F4268" t="s">
        <v>16</v>
      </c>
      <c r="G4268" t="s">
        <v>17</v>
      </c>
      <c r="H4268" t="s">
        <v>18</v>
      </c>
      <c r="I4268">
        <v>76.3</v>
      </c>
      <c r="J4268" t="s">
        <v>19</v>
      </c>
      <c r="K4268" t="s">
        <v>5841</v>
      </c>
      <c r="L4268" t="s">
        <v>21</v>
      </c>
      <c r="M4268" t="str">
        <f t="shared" si="198"/>
        <v>OK</v>
      </c>
      <c r="N4268" t="str">
        <f t="shared" si="199"/>
        <v>1980s</v>
      </c>
      <c r="O4268" t="str">
        <f t="shared" si="200"/>
        <v>High</v>
      </c>
      <c r="P4268" t="str">
        <f>VLOOKUP(E4268,calculated_fields!$F$4:$G$6,2,FALSE)</f>
        <v>Health</v>
      </c>
    </row>
    <row r="4269" spans="1:16">
      <c r="A4269" t="s">
        <v>5842</v>
      </c>
      <c r="B4269" t="s">
        <v>5816</v>
      </c>
      <c r="C4269" t="s">
        <v>80</v>
      </c>
      <c r="D4269">
        <v>1982</v>
      </c>
      <c r="E4269" t="s">
        <v>23</v>
      </c>
      <c r="F4269" t="s">
        <v>24</v>
      </c>
      <c r="G4269" t="s">
        <v>25</v>
      </c>
      <c r="H4269" t="s">
        <v>26</v>
      </c>
      <c r="I4269">
        <v>37983310</v>
      </c>
      <c r="J4269" t="s">
        <v>27</v>
      </c>
      <c r="K4269" t="s">
        <v>5841</v>
      </c>
      <c r="L4269" t="s">
        <v>21</v>
      </c>
      <c r="M4269" t="str">
        <f t="shared" si="198"/>
        <v>OK</v>
      </c>
      <c r="N4269" t="str">
        <f t="shared" si="199"/>
        <v>1980s</v>
      </c>
      <c r="O4269" t="str">
        <f t="shared" si="200"/>
        <v>N/A</v>
      </c>
      <c r="P4269" t="str">
        <f>VLOOKUP(E4269,calculated_fields!$F$4:$G$6,2,FALSE)</f>
        <v>Demographics</v>
      </c>
    </row>
    <row r="4270" spans="1:16">
      <c r="A4270" t="s">
        <v>5843</v>
      </c>
      <c r="B4270" t="s">
        <v>5816</v>
      </c>
      <c r="C4270" t="s">
        <v>80</v>
      </c>
      <c r="D4270">
        <v>1982</v>
      </c>
      <c r="E4270" t="s">
        <v>29</v>
      </c>
      <c r="F4270" t="s">
        <v>30</v>
      </c>
      <c r="G4270" t="s">
        <v>31</v>
      </c>
      <c r="H4270" t="s">
        <v>32</v>
      </c>
      <c r="I4270">
        <v>13926.169970000001</v>
      </c>
      <c r="J4270" t="s">
        <v>33</v>
      </c>
      <c r="K4270" t="s">
        <v>5841</v>
      </c>
      <c r="L4270" t="s">
        <v>21</v>
      </c>
      <c r="M4270" t="str">
        <f t="shared" si="198"/>
        <v>OK</v>
      </c>
      <c r="N4270" t="str">
        <f t="shared" si="199"/>
        <v>1980s</v>
      </c>
      <c r="O4270" t="str">
        <f t="shared" si="200"/>
        <v>N/A</v>
      </c>
      <c r="P4270" t="str">
        <f>VLOOKUP(E4270,calculated_fields!$F$4:$G$6,2,FALSE)</f>
        <v>Economy</v>
      </c>
    </row>
    <row r="4271" spans="1:16">
      <c r="A4271" t="s">
        <v>5844</v>
      </c>
      <c r="B4271" t="s">
        <v>5816</v>
      </c>
      <c r="C4271" t="s">
        <v>80</v>
      </c>
      <c r="D4271">
        <v>1987</v>
      </c>
      <c r="E4271" t="s">
        <v>15</v>
      </c>
      <c r="F4271" t="s">
        <v>16</v>
      </c>
      <c r="G4271" t="s">
        <v>17</v>
      </c>
      <c r="H4271" t="s">
        <v>18</v>
      </c>
      <c r="I4271">
        <v>76.900000000000006</v>
      </c>
      <c r="J4271" t="s">
        <v>19</v>
      </c>
      <c r="K4271" t="s">
        <v>5845</v>
      </c>
      <c r="L4271" t="s">
        <v>21</v>
      </c>
      <c r="M4271" t="str">
        <f t="shared" si="198"/>
        <v>OK</v>
      </c>
      <c r="N4271" t="str">
        <f t="shared" si="199"/>
        <v>1980s</v>
      </c>
      <c r="O4271" t="str">
        <f t="shared" si="200"/>
        <v>High</v>
      </c>
      <c r="P4271" t="str">
        <f>VLOOKUP(E4271,calculated_fields!$F$4:$G$6,2,FALSE)</f>
        <v>Health</v>
      </c>
    </row>
    <row r="4272" spans="1:16">
      <c r="A4272" t="s">
        <v>5846</v>
      </c>
      <c r="B4272" t="s">
        <v>5816</v>
      </c>
      <c r="C4272" t="s">
        <v>80</v>
      </c>
      <c r="D4272">
        <v>1987</v>
      </c>
      <c r="E4272" t="s">
        <v>23</v>
      </c>
      <c r="F4272" t="s">
        <v>24</v>
      </c>
      <c r="G4272" t="s">
        <v>25</v>
      </c>
      <c r="H4272" t="s">
        <v>26</v>
      </c>
      <c r="I4272">
        <v>38880702</v>
      </c>
      <c r="J4272" t="s">
        <v>27</v>
      </c>
      <c r="K4272" t="s">
        <v>5845</v>
      </c>
      <c r="L4272" t="s">
        <v>21</v>
      </c>
      <c r="M4272" t="str">
        <f t="shared" si="198"/>
        <v>OK</v>
      </c>
      <c r="N4272" t="str">
        <f t="shared" si="199"/>
        <v>1980s</v>
      </c>
      <c r="O4272" t="str">
        <f t="shared" si="200"/>
        <v>N/A</v>
      </c>
      <c r="P4272" t="str">
        <f>VLOOKUP(E4272,calculated_fields!$F$4:$G$6,2,FALSE)</f>
        <v>Demographics</v>
      </c>
    </row>
    <row r="4273" spans="1:16">
      <c r="A4273" t="s">
        <v>5847</v>
      </c>
      <c r="B4273" t="s">
        <v>5816</v>
      </c>
      <c r="C4273" t="s">
        <v>80</v>
      </c>
      <c r="D4273">
        <v>1987</v>
      </c>
      <c r="E4273" t="s">
        <v>29</v>
      </c>
      <c r="F4273" t="s">
        <v>30</v>
      </c>
      <c r="G4273" t="s">
        <v>31</v>
      </c>
      <c r="H4273" t="s">
        <v>32</v>
      </c>
      <c r="I4273">
        <v>15764.983130000001</v>
      </c>
      <c r="J4273" t="s">
        <v>33</v>
      </c>
      <c r="K4273" t="s">
        <v>5845</v>
      </c>
      <c r="L4273" t="s">
        <v>21</v>
      </c>
      <c r="M4273" t="str">
        <f t="shared" si="198"/>
        <v>OK</v>
      </c>
      <c r="N4273" t="str">
        <f t="shared" si="199"/>
        <v>1980s</v>
      </c>
      <c r="O4273" t="str">
        <f t="shared" si="200"/>
        <v>N/A</v>
      </c>
      <c r="P4273" t="str">
        <f>VLOOKUP(E4273,calculated_fields!$F$4:$G$6,2,FALSE)</f>
        <v>Economy</v>
      </c>
    </row>
    <row r="4274" spans="1:16">
      <c r="A4274" t="s">
        <v>5848</v>
      </c>
      <c r="B4274" t="s">
        <v>5816</v>
      </c>
      <c r="C4274" t="s">
        <v>80</v>
      </c>
      <c r="D4274">
        <v>1992</v>
      </c>
      <c r="E4274" t="s">
        <v>15</v>
      </c>
      <c r="F4274" t="s">
        <v>16</v>
      </c>
      <c r="G4274" t="s">
        <v>17</v>
      </c>
      <c r="H4274" t="s">
        <v>18</v>
      </c>
      <c r="I4274">
        <v>77.569999999999993</v>
      </c>
      <c r="J4274" t="s">
        <v>19</v>
      </c>
      <c r="K4274" t="s">
        <v>5849</v>
      </c>
      <c r="L4274" t="s">
        <v>21</v>
      </c>
      <c r="M4274" t="str">
        <f t="shared" si="198"/>
        <v>OK</v>
      </c>
      <c r="N4274" t="str">
        <f t="shared" si="199"/>
        <v>1990s</v>
      </c>
      <c r="O4274" t="str">
        <f t="shared" si="200"/>
        <v>High</v>
      </c>
      <c r="P4274" t="str">
        <f>VLOOKUP(E4274,calculated_fields!$F$4:$G$6,2,FALSE)</f>
        <v>Health</v>
      </c>
    </row>
    <row r="4275" spans="1:16">
      <c r="A4275" t="s">
        <v>5850</v>
      </c>
      <c r="B4275" t="s">
        <v>5816</v>
      </c>
      <c r="C4275" t="s">
        <v>80</v>
      </c>
      <c r="D4275">
        <v>1992</v>
      </c>
      <c r="E4275" t="s">
        <v>23</v>
      </c>
      <c r="F4275" t="s">
        <v>24</v>
      </c>
      <c r="G4275" t="s">
        <v>25</v>
      </c>
      <c r="H4275" t="s">
        <v>26</v>
      </c>
      <c r="I4275">
        <v>39549438</v>
      </c>
      <c r="J4275" t="s">
        <v>27</v>
      </c>
      <c r="K4275" t="s">
        <v>5849</v>
      </c>
      <c r="L4275" t="s">
        <v>21</v>
      </c>
      <c r="M4275" t="str">
        <f t="shared" si="198"/>
        <v>OK</v>
      </c>
      <c r="N4275" t="str">
        <f t="shared" si="199"/>
        <v>1990s</v>
      </c>
      <c r="O4275" t="str">
        <f t="shared" si="200"/>
        <v>N/A</v>
      </c>
      <c r="P4275" t="str">
        <f>VLOOKUP(E4275,calculated_fields!$F$4:$G$6,2,FALSE)</f>
        <v>Demographics</v>
      </c>
    </row>
    <row r="4276" spans="1:16">
      <c r="A4276" t="s">
        <v>5851</v>
      </c>
      <c r="B4276" t="s">
        <v>5816</v>
      </c>
      <c r="C4276" t="s">
        <v>80</v>
      </c>
      <c r="D4276">
        <v>1992</v>
      </c>
      <c r="E4276" t="s">
        <v>29</v>
      </c>
      <c r="F4276" t="s">
        <v>30</v>
      </c>
      <c r="G4276" t="s">
        <v>31</v>
      </c>
      <c r="H4276" t="s">
        <v>32</v>
      </c>
      <c r="I4276">
        <v>18603.06452</v>
      </c>
      <c r="J4276" t="s">
        <v>33</v>
      </c>
      <c r="K4276" t="s">
        <v>5849</v>
      </c>
      <c r="L4276" t="s">
        <v>21</v>
      </c>
      <c r="M4276" t="str">
        <f t="shared" si="198"/>
        <v>OK</v>
      </c>
      <c r="N4276" t="str">
        <f t="shared" si="199"/>
        <v>1990s</v>
      </c>
      <c r="O4276" t="str">
        <f t="shared" si="200"/>
        <v>N/A</v>
      </c>
      <c r="P4276" t="str">
        <f>VLOOKUP(E4276,calculated_fields!$F$4:$G$6,2,FALSE)</f>
        <v>Economy</v>
      </c>
    </row>
    <row r="4277" spans="1:16">
      <c r="A4277" t="s">
        <v>5852</v>
      </c>
      <c r="B4277" t="s">
        <v>5816</v>
      </c>
      <c r="C4277" t="s">
        <v>80</v>
      </c>
      <c r="D4277">
        <v>1997</v>
      </c>
      <c r="E4277" t="s">
        <v>15</v>
      </c>
      <c r="F4277" t="s">
        <v>16</v>
      </c>
      <c r="G4277" t="s">
        <v>17</v>
      </c>
      <c r="H4277" t="s">
        <v>18</v>
      </c>
      <c r="I4277">
        <v>78.77</v>
      </c>
      <c r="J4277" t="s">
        <v>19</v>
      </c>
      <c r="K4277" t="s">
        <v>5853</v>
      </c>
      <c r="L4277" t="s">
        <v>21</v>
      </c>
      <c r="M4277" t="str">
        <f t="shared" si="198"/>
        <v>OK</v>
      </c>
      <c r="N4277" t="str">
        <f t="shared" si="199"/>
        <v>1990s</v>
      </c>
      <c r="O4277" t="str">
        <f t="shared" si="200"/>
        <v>High</v>
      </c>
      <c r="P4277" t="str">
        <f>VLOOKUP(E4277,calculated_fields!$F$4:$G$6,2,FALSE)</f>
        <v>Health</v>
      </c>
    </row>
    <row r="4278" spans="1:16">
      <c r="A4278" t="s">
        <v>5854</v>
      </c>
      <c r="B4278" t="s">
        <v>5816</v>
      </c>
      <c r="C4278" t="s">
        <v>80</v>
      </c>
      <c r="D4278">
        <v>1997</v>
      </c>
      <c r="E4278" t="s">
        <v>23</v>
      </c>
      <c r="F4278" t="s">
        <v>24</v>
      </c>
      <c r="G4278" t="s">
        <v>25</v>
      </c>
      <c r="H4278" t="s">
        <v>26</v>
      </c>
      <c r="I4278">
        <v>39855442</v>
      </c>
      <c r="J4278" t="s">
        <v>27</v>
      </c>
      <c r="K4278" t="s">
        <v>5853</v>
      </c>
      <c r="L4278" t="s">
        <v>21</v>
      </c>
      <c r="M4278" t="str">
        <f t="shared" si="198"/>
        <v>OK</v>
      </c>
      <c r="N4278" t="str">
        <f t="shared" si="199"/>
        <v>1990s</v>
      </c>
      <c r="O4278" t="str">
        <f t="shared" si="200"/>
        <v>N/A</v>
      </c>
      <c r="P4278" t="str">
        <f>VLOOKUP(E4278,calculated_fields!$F$4:$G$6,2,FALSE)</f>
        <v>Demographics</v>
      </c>
    </row>
    <row r="4279" spans="1:16">
      <c r="A4279" t="s">
        <v>5855</v>
      </c>
      <c r="B4279" t="s">
        <v>5816</v>
      </c>
      <c r="C4279" t="s">
        <v>80</v>
      </c>
      <c r="D4279">
        <v>1997</v>
      </c>
      <c r="E4279" t="s">
        <v>29</v>
      </c>
      <c r="F4279" t="s">
        <v>30</v>
      </c>
      <c r="G4279" t="s">
        <v>31</v>
      </c>
      <c r="H4279" t="s">
        <v>32</v>
      </c>
      <c r="I4279">
        <v>20445.29896</v>
      </c>
      <c r="J4279" t="s">
        <v>33</v>
      </c>
      <c r="K4279" t="s">
        <v>5853</v>
      </c>
      <c r="L4279" t="s">
        <v>21</v>
      </c>
      <c r="M4279" t="str">
        <f t="shared" si="198"/>
        <v>OK</v>
      </c>
      <c r="N4279" t="str">
        <f t="shared" si="199"/>
        <v>1990s</v>
      </c>
      <c r="O4279" t="str">
        <f t="shared" si="200"/>
        <v>N/A</v>
      </c>
      <c r="P4279" t="str">
        <f>VLOOKUP(E4279,calculated_fields!$F$4:$G$6,2,FALSE)</f>
        <v>Economy</v>
      </c>
    </row>
    <row r="4280" spans="1:16">
      <c r="A4280" t="s">
        <v>5856</v>
      </c>
      <c r="B4280" t="s">
        <v>5816</v>
      </c>
      <c r="C4280" t="s">
        <v>80</v>
      </c>
      <c r="D4280">
        <v>2002</v>
      </c>
      <c r="E4280" t="s">
        <v>15</v>
      </c>
      <c r="F4280" t="s">
        <v>16</v>
      </c>
      <c r="G4280" t="s">
        <v>17</v>
      </c>
      <c r="H4280" t="s">
        <v>18</v>
      </c>
      <c r="I4280">
        <v>79.78</v>
      </c>
      <c r="J4280" t="s">
        <v>19</v>
      </c>
      <c r="K4280" t="s">
        <v>5857</v>
      </c>
      <c r="L4280" t="s">
        <v>21</v>
      </c>
      <c r="M4280" t="str">
        <f t="shared" si="198"/>
        <v>OK</v>
      </c>
      <c r="N4280" t="str">
        <f t="shared" si="199"/>
        <v>2000s</v>
      </c>
      <c r="O4280" t="str">
        <f t="shared" si="200"/>
        <v>High</v>
      </c>
      <c r="P4280" t="str">
        <f>VLOOKUP(E4280,calculated_fields!$F$4:$G$6,2,FALSE)</f>
        <v>Health</v>
      </c>
    </row>
    <row r="4281" spans="1:16">
      <c r="A4281" t="s">
        <v>5858</v>
      </c>
      <c r="B4281" t="s">
        <v>5816</v>
      </c>
      <c r="C4281" t="s">
        <v>80</v>
      </c>
      <c r="D4281">
        <v>2002</v>
      </c>
      <c r="E4281" t="s">
        <v>23</v>
      </c>
      <c r="F4281" t="s">
        <v>24</v>
      </c>
      <c r="G4281" t="s">
        <v>25</v>
      </c>
      <c r="H4281" t="s">
        <v>26</v>
      </c>
      <c r="I4281">
        <v>40152517</v>
      </c>
      <c r="J4281" t="s">
        <v>27</v>
      </c>
      <c r="K4281" t="s">
        <v>5857</v>
      </c>
      <c r="L4281" t="s">
        <v>21</v>
      </c>
      <c r="M4281" t="str">
        <f t="shared" si="198"/>
        <v>OK</v>
      </c>
      <c r="N4281" t="str">
        <f t="shared" si="199"/>
        <v>2000s</v>
      </c>
      <c r="O4281" t="str">
        <f t="shared" si="200"/>
        <v>N/A</v>
      </c>
      <c r="P4281" t="str">
        <f>VLOOKUP(E4281,calculated_fields!$F$4:$G$6,2,FALSE)</f>
        <v>Demographics</v>
      </c>
    </row>
    <row r="4282" spans="1:16">
      <c r="A4282" t="s">
        <v>5859</v>
      </c>
      <c r="B4282" t="s">
        <v>5816</v>
      </c>
      <c r="C4282" t="s">
        <v>80</v>
      </c>
      <c r="D4282">
        <v>2002</v>
      </c>
      <c r="E4282" t="s">
        <v>29</v>
      </c>
      <c r="F4282" t="s">
        <v>30</v>
      </c>
      <c r="G4282" t="s">
        <v>31</v>
      </c>
      <c r="H4282" t="s">
        <v>32</v>
      </c>
      <c r="I4282">
        <v>24835.471659999999</v>
      </c>
      <c r="J4282" t="s">
        <v>33</v>
      </c>
      <c r="K4282" t="s">
        <v>5857</v>
      </c>
      <c r="L4282" t="s">
        <v>21</v>
      </c>
      <c r="M4282" t="str">
        <f t="shared" si="198"/>
        <v>OK</v>
      </c>
      <c r="N4282" t="str">
        <f t="shared" si="199"/>
        <v>2000s</v>
      </c>
      <c r="O4282" t="str">
        <f t="shared" si="200"/>
        <v>N/A</v>
      </c>
      <c r="P4282" t="str">
        <f>VLOOKUP(E4282,calculated_fields!$F$4:$G$6,2,FALSE)</f>
        <v>Economy</v>
      </c>
    </row>
    <row r="4283" spans="1:16">
      <c r="A4283" t="s">
        <v>5860</v>
      </c>
      <c r="B4283" t="s">
        <v>5816</v>
      </c>
      <c r="C4283" t="s">
        <v>80</v>
      </c>
      <c r="D4283">
        <v>2007</v>
      </c>
      <c r="E4283" t="s">
        <v>15</v>
      </c>
      <c r="F4283" t="s">
        <v>16</v>
      </c>
      <c r="G4283" t="s">
        <v>17</v>
      </c>
      <c r="H4283" t="s">
        <v>18</v>
      </c>
      <c r="I4283">
        <v>80.941000000000003</v>
      </c>
      <c r="J4283" t="s">
        <v>19</v>
      </c>
      <c r="K4283" t="s">
        <v>5861</v>
      </c>
      <c r="L4283" t="s">
        <v>21</v>
      </c>
      <c r="M4283" t="str">
        <f t="shared" si="198"/>
        <v>OK</v>
      </c>
      <c r="N4283" t="str">
        <f t="shared" si="199"/>
        <v>2000s</v>
      </c>
      <c r="O4283" t="str">
        <f t="shared" si="200"/>
        <v>High</v>
      </c>
      <c r="P4283" t="str">
        <f>VLOOKUP(E4283,calculated_fields!$F$4:$G$6,2,FALSE)</f>
        <v>Health</v>
      </c>
    </row>
    <row r="4284" spans="1:16">
      <c r="A4284" t="s">
        <v>5862</v>
      </c>
      <c r="B4284" t="s">
        <v>5816</v>
      </c>
      <c r="C4284" t="s">
        <v>80</v>
      </c>
      <c r="D4284">
        <v>2007</v>
      </c>
      <c r="E4284" t="s">
        <v>23</v>
      </c>
      <c r="F4284" t="s">
        <v>24</v>
      </c>
      <c r="G4284" t="s">
        <v>25</v>
      </c>
      <c r="H4284" t="s">
        <v>26</v>
      </c>
      <c r="I4284">
        <v>40448191</v>
      </c>
      <c r="J4284" t="s">
        <v>27</v>
      </c>
      <c r="K4284" t="s">
        <v>5861</v>
      </c>
      <c r="L4284" t="s">
        <v>21</v>
      </c>
      <c r="M4284" t="str">
        <f t="shared" si="198"/>
        <v>OK</v>
      </c>
      <c r="N4284" t="str">
        <f t="shared" si="199"/>
        <v>2000s</v>
      </c>
      <c r="O4284" t="str">
        <f t="shared" si="200"/>
        <v>N/A</v>
      </c>
      <c r="P4284" t="str">
        <f>VLOOKUP(E4284,calculated_fields!$F$4:$G$6,2,FALSE)</f>
        <v>Demographics</v>
      </c>
    </row>
    <row r="4285" spans="1:16">
      <c r="A4285" t="s">
        <v>5863</v>
      </c>
      <c r="B4285" t="s">
        <v>5816</v>
      </c>
      <c r="C4285" t="s">
        <v>80</v>
      </c>
      <c r="D4285">
        <v>2007</v>
      </c>
      <c r="E4285" t="s">
        <v>29</v>
      </c>
      <c r="F4285" t="s">
        <v>30</v>
      </c>
      <c r="G4285" t="s">
        <v>31</v>
      </c>
      <c r="H4285" t="s">
        <v>32</v>
      </c>
      <c r="I4285">
        <v>28821.063699999999</v>
      </c>
      <c r="J4285" t="s">
        <v>33</v>
      </c>
      <c r="K4285" t="s">
        <v>5861</v>
      </c>
      <c r="L4285" t="s">
        <v>21</v>
      </c>
      <c r="M4285" t="str">
        <f t="shared" si="198"/>
        <v>OK</v>
      </c>
      <c r="N4285" t="str">
        <f t="shared" si="199"/>
        <v>2000s</v>
      </c>
      <c r="O4285" t="str">
        <f t="shared" si="200"/>
        <v>N/A</v>
      </c>
      <c r="P4285" t="str">
        <f>VLOOKUP(E4285,calculated_fields!$F$4:$G$6,2,FALSE)</f>
        <v>Economy</v>
      </c>
    </row>
    <row r="4286" spans="1:16">
      <c r="A4286" t="s">
        <v>5864</v>
      </c>
      <c r="B4286" t="s">
        <v>5865</v>
      </c>
      <c r="C4286" t="s">
        <v>14</v>
      </c>
      <c r="D4286">
        <v>1952</v>
      </c>
      <c r="E4286" t="s">
        <v>15</v>
      </c>
      <c r="F4286" t="s">
        <v>16</v>
      </c>
      <c r="G4286" t="s">
        <v>17</v>
      </c>
      <c r="H4286" t="s">
        <v>18</v>
      </c>
      <c r="I4286">
        <v>57.593000000000004</v>
      </c>
      <c r="J4286" t="s">
        <v>19</v>
      </c>
      <c r="K4286" t="s">
        <v>5866</v>
      </c>
      <c r="L4286" t="s">
        <v>21</v>
      </c>
      <c r="M4286" t="str">
        <f t="shared" si="198"/>
        <v>OK</v>
      </c>
      <c r="N4286" t="str">
        <f t="shared" si="199"/>
        <v>1950s</v>
      </c>
      <c r="O4286" t="str">
        <f t="shared" si="200"/>
        <v>Medium</v>
      </c>
      <c r="P4286" t="str">
        <f>VLOOKUP(E4286,calculated_fields!$F$4:$G$6,2,FALSE)</f>
        <v>Health</v>
      </c>
    </row>
    <row r="4287" spans="1:16">
      <c r="A4287" t="s">
        <v>5867</v>
      </c>
      <c r="B4287" t="s">
        <v>5865</v>
      </c>
      <c r="C4287" t="s">
        <v>14</v>
      </c>
      <c r="D4287">
        <v>1952</v>
      </c>
      <c r="E4287" t="s">
        <v>23</v>
      </c>
      <c r="F4287" t="s">
        <v>24</v>
      </c>
      <c r="G4287" t="s">
        <v>25</v>
      </c>
      <c r="H4287" t="s">
        <v>26</v>
      </c>
      <c r="I4287">
        <v>7982342</v>
      </c>
      <c r="J4287" t="s">
        <v>27</v>
      </c>
      <c r="K4287" t="s">
        <v>5866</v>
      </c>
      <c r="L4287" t="s">
        <v>21</v>
      </c>
      <c r="M4287" t="str">
        <f t="shared" si="198"/>
        <v>OK</v>
      </c>
      <c r="N4287" t="str">
        <f t="shared" si="199"/>
        <v>1950s</v>
      </c>
      <c r="O4287" t="str">
        <f t="shared" si="200"/>
        <v>N/A</v>
      </c>
      <c r="P4287" t="str">
        <f>VLOOKUP(E4287,calculated_fields!$F$4:$G$6,2,FALSE)</f>
        <v>Demographics</v>
      </c>
    </row>
    <row r="4288" spans="1:16">
      <c r="A4288" t="s">
        <v>5868</v>
      </c>
      <c r="B4288" t="s">
        <v>5865</v>
      </c>
      <c r="C4288" t="s">
        <v>14</v>
      </c>
      <c r="D4288">
        <v>1952</v>
      </c>
      <c r="E4288" t="s">
        <v>29</v>
      </c>
      <c r="F4288" t="s">
        <v>30</v>
      </c>
      <c r="G4288" t="s">
        <v>31</v>
      </c>
      <c r="H4288" t="s">
        <v>32</v>
      </c>
      <c r="I4288">
        <v>1083.5320300000001</v>
      </c>
      <c r="J4288" t="s">
        <v>33</v>
      </c>
      <c r="K4288" t="s">
        <v>5866</v>
      </c>
      <c r="L4288" t="s">
        <v>21</v>
      </c>
      <c r="M4288" t="str">
        <f t="shared" si="198"/>
        <v>OK</v>
      </c>
      <c r="N4288" t="str">
        <f t="shared" si="199"/>
        <v>1950s</v>
      </c>
      <c r="O4288" t="str">
        <f t="shared" si="200"/>
        <v>N/A</v>
      </c>
      <c r="P4288" t="str">
        <f>VLOOKUP(E4288,calculated_fields!$F$4:$G$6,2,FALSE)</f>
        <v>Economy</v>
      </c>
    </row>
    <row r="4289" spans="1:16">
      <c r="A4289" t="s">
        <v>5869</v>
      </c>
      <c r="B4289" t="s">
        <v>5865</v>
      </c>
      <c r="C4289" t="s">
        <v>14</v>
      </c>
      <c r="D4289">
        <v>1957</v>
      </c>
      <c r="E4289" t="s">
        <v>15</v>
      </c>
      <c r="F4289" t="s">
        <v>16</v>
      </c>
      <c r="G4289" t="s">
        <v>17</v>
      </c>
      <c r="H4289" t="s">
        <v>18</v>
      </c>
      <c r="I4289">
        <v>61.456000000000003</v>
      </c>
      <c r="J4289" t="s">
        <v>19</v>
      </c>
      <c r="K4289" t="s">
        <v>5870</v>
      </c>
      <c r="L4289" t="s">
        <v>21</v>
      </c>
      <c r="M4289" t="str">
        <f t="shared" si="198"/>
        <v>OK</v>
      </c>
      <c r="N4289" t="str">
        <f t="shared" si="199"/>
        <v>1950s</v>
      </c>
      <c r="O4289" t="str">
        <f t="shared" si="200"/>
        <v>Medium</v>
      </c>
      <c r="P4289" t="str">
        <f>VLOOKUP(E4289,calculated_fields!$F$4:$G$6,2,FALSE)</f>
        <v>Health</v>
      </c>
    </row>
    <row r="4290" spans="1:16">
      <c r="A4290" t="s">
        <v>5871</v>
      </c>
      <c r="B4290" t="s">
        <v>5865</v>
      </c>
      <c r="C4290" t="s">
        <v>14</v>
      </c>
      <c r="D4290">
        <v>1957</v>
      </c>
      <c r="E4290" t="s">
        <v>23</v>
      </c>
      <c r="F4290" t="s">
        <v>24</v>
      </c>
      <c r="G4290" t="s">
        <v>25</v>
      </c>
      <c r="H4290" t="s">
        <v>26</v>
      </c>
      <c r="I4290">
        <v>9128546</v>
      </c>
      <c r="J4290" t="s">
        <v>27</v>
      </c>
      <c r="K4290" t="s">
        <v>5870</v>
      </c>
      <c r="L4290" t="s">
        <v>21</v>
      </c>
      <c r="M4290" t="str">
        <f t="shared" ref="M4290:M4353" si="201">IF(AND(ISNUMBER(I4290),I4290&gt;=0),"OK","Review")</f>
        <v>OK</v>
      </c>
      <c r="N4290" t="str">
        <f t="shared" ref="N4290:N4353" si="202">FLOOR(D4290,10)&amp;"s"</f>
        <v>1950s</v>
      </c>
      <c r="O4290" t="str">
        <f t="shared" ref="O4290:O4353" si="203">IF(E4290="LIFE_EXP",IF(I4290&gt;=70,"High",IF(I4290&gt;=55,"Medium","Low")),"N/A")</f>
        <v>N/A</v>
      </c>
      <c r="P4290" t="str">
        <f>VLOOKUP(E4290,calculated_fields!$F$4:$G$6,2,FALSE)</f>
        <v>Demographics</v>
      </c>
    </row>
    <row r="4291" spans="1:16">
      <c r="A4291" t="s">
        <v>5872</v>
      </c>
      <c r="B4291" t="s">
        <v>5865</v>
      </c>
      <c r="C4291" t="s">
        <v>14</v>
      </c>
      <c r="D4291">
        <v>1957</v>
      </c>
      <c r="E4291" t="s">
        <v>29</v>
      </c>
      <c r="F4291" t="s">
        <v>30</v>
      </c>
      <c r="G4291" t="s">
        <v>31</v>
      </c>
      <c r="H4291" t="s">
        <v>32</v>
      </c>
      <c r="I4291">
        <v>1072.5466019999999</v>
      </c>
      <c r="J4291" t="s">
        <v>33</v>
      </c>
      <c r="K4291" t="s">
        <v>5870</v>
      </c>
      <c r="L4291" t="s">
        <v>21</v>
      </c>
      <c r="M4291" t="str">
        <f t="shared" si="201"/>
        <v>OK</v>
      </c>
      <c r="N4291" t="str">
        <f t="shared" si="202"/>
        <v>1950s</v>
      </c>
      <c r="O4291" t="str">
        <f t="shared" si="203"/>
        <v>N/A</v>
      </c>
      <c r="P4291" t="str">
        <f>VLOOKUP(E4291,calculated_fields!$F$4:$G$6,2,FALSE)</f>
        <v>Economy</v>
      </c>
    </row>
    <row r="4292" spans="1:16">
      <c r="A4292" t="s">
        <v>5873</v>
      </c>
      <c r="B4292" t="s">
        <v>5865</v>
      </c>
      <c r="C4292" t="s">
        <v>14</v>
      </c>
      <c r="D4292">
        <v>1962</v>
      </c>
      <c r="E4292" t="s">
        <v>15</v>
      </c>
      <c r="F4292" t="s">
        <v>16</v>
      </c>
      <c r="G4292" t="s">
        <v>17</v>
      </c>
      <c r="H4292" t="s">
        <v>18</v>
      </c>
      <c r="I4292">
        <v>62.192</v>
      </c>
      <c r="J4292" t="s">
        <v>19</v>
      </c>
      <c r="K4292" t="s">
        <v>5874</v>
      </c>
      <c r="L4292" t="s">
        <v>21</v>
      </c>
      <c r="M4292" t="str">
        <f t="shared" si="201"/>
        <v>OK</v>
      </c>
      <c r="N4292" t="str">
        <f t="shared" si="202"/>
        <v>1960s</v>
      </c>
      <c r="O4292" t="str">
        <f t="shared" si="203"/>
        <v>Medium</v>
      </c>
      <c r="P4292" t="str">
        <f>VLOOKUP(E4292,calculated_fields!$F$4:$G$6,2,FALSE)</f>
        <v>Health</v>
      </c>
    </row>
    <row r="4293" spans="1:16">
      <c r="A4293" t="s">
        <v>5875</v>
      </c>
      <c r="B4293" t="s">
        <v>5865</v>
      </c>
      <c r="C4293" t="s">
        <v>14</v>
      </c>
      <c r="D4293">
        <v>1962</v>
      </c>
      <c r="E4293" t="s">
        <v>23</v>
      </c>
      <c r="F4293" t="s">
        <v>24</v>
      </c>
      <c r="G4293" t="s">
        <v>25</v>
      </c>
      <c r="H4293" t="s">
        <v>26</v>
      </c>
      <c r="I4293">
        <v>10421936</v>
      </c>
      <c r="J4293" t="s">
        <v>27</v>
      </c>
      <c r="K4293" t="s">
        <v>5874</v>
      </c>
      <c r="L4293" t="s">
        <v>21</v>
      </c>
      <c r="M4293" t="str">
        <f t="shared" si="201"/>
        <v>OK</v>
      </c>
      <c r="N4293" t="str">
        <f t="shared" si="202"/>
        <v>1960s</v>
      </c>
      <c r="O4293" t="str">
        <f t="shared" si="203"/>
        <v>N/A</v>
      </c>
      <c r="P4293" t="str">
        <f>VLOOKUP(E4293,calculated_fields!$F$4:$G$6,2,FALSE)</f>
        <v>Demographics</v>
      </c>
    </row>
    <row r="4294" spans="1:16">
      <c r="A4294" t="s">
        <v>5876</v>
      </c>
      <c r="B4294" t="s">
        <v>5865</v>
      </c>
      <c r="C4294" t="s">
        <v>14</v>
      </c>
      <c r="D4294">
        <v>1962</v>
      </c>
      <c r="E4294" t="s">
        <v>29</v>
      </c>
      <c r="F4294" t="s">
        <v>30</v>
      </c>
      <c r="G4294" t="s">
        <v>31</v>
      </c>
      <c r="H4294" t="s">
        <v>32</v>
      </c>
      <c r="I4294">
        <v>1074.4719600000001</v>
      </c>
      <c r="J4294" t="s">
        <v>33</v>
      </c>
      <c r="K4294" t="s">
        <v>5874</v>
      </c>
      <c r="L4294" t="s">
        <v>21</v>
      </c>
      <c r="M4294" t="str">
        <f t="shared" si="201"/>
        <v>OK</v>
      </c>
      <c r="N4294" t="str">
        <f t="shared" si="202"/>
        <v>1960s</v>
      </c>
      <c r="O4294" t="str">
        <f t="shared" si="203"/>
        <v>N/A</v>
      </c>
      <c r="P4294" t="str">
        <f>VLOOKUP(E4294,calculated_fields!$F$4:$G$6,2,FALSE)</f>
        <v>Economy</v>
      </c>
    </row>
    <row r="4295" spans="1:16">
      <c r="A4295" t="s">
        <v>5877</v>
      </c>
      <c r="B4295" t="s">
        <v>5865</v>
      </c>
      <c r="C4295" t="s">
        <v>14</v>
      </c>
      <c r="D4295">
        <v>1967</v>
      </c>
      <c r="E4295" t="s">
        <v>15</v>
      </c>
      <c r="F4295" t="s">
        <v>16</v>
      </c>
      <c r="G4295" t="s">
        <v>17</v>
      </c>
      <c r="H4295" t="s">
        <v>18</v>
      </c>
      <c r="I4295">
        <v>64.266000000000005</v>
      </c>
      <c r="J4295" t="s">
        <v>19</v>
      </c>
      <c r="K4295" t="s">
        <v>5878</v>
      </c>
      <c r="L4295" t="s">
        <v>21</v>
      </c>
      <c r="M4295" t="str">
        <f t="shared" si="201"/>
        <v>OK</v>
      </c>
      <c r="N4295" t="str">
        <f t="shared" si="202"/>
        <v>1960s</v>
      </c>
      <c r="O4295" t="str">
        <f t="shared" si="203"/>
        <v>Medium</v>
      </c>
      <c r="P4295" t="str">
        <f>VLOOKUP(E4295,calculated_fields!$F$4:$G$6,2,FALSE)</f>
        <v>Health</v>
      </c>
    </row>
    <row r="4296" spans="1:16">
      <c r="A4296" t="s">
        <v>5879</v>
      </c>
      <c r="B4296" t="s">
        <v>5865</v>
      </c>
      <c r="C4296" t="s">
        <v>14</v>
      </c>
      <c r="D4296">
        <v>1967</v>
      </c>
      <c r="E4296" t="s">
        <v>23</v>
      </c>
      <c r="F4296" t="s">
        <v>24</v>
      </c>
      <c r="G4296" t="s">
        <v>25</v>
      </c>
      <c r="H4296" t="s">
        <v>26</v>
      </c>
      <c r="I4296">
        <v>11737396</v>
      </c>
      <c r="J4296" t="s">
        <v>27</v>
      </c>
      <c r="K4296" t="s">
        <v>5878</v>
      </c>
      <c r="L4296" t="s">
        <v>21</v>
      </c>
      <c r="M4296" t="str">
        <f t="shared" si="201"/>
        <v>OK</v>
      </c>
      <c r="N4296" t="str">
        <f t="shared" si="202"/>
        <v>1960s</v>
      </c>
      <c r="O4296" t="str">
        <f t="shared" si="203"/>
        <v>N/A</v>
      </c>
      <c r="P4296" t="str">
        <f>VLOOKUP(E4296,calculated_fields!$F$4:$G$6,2,FALSE)</f>
        <v>Demographics</v>
      </c>
    </row>
    <row r="4297" spans="1:16">
      <c r="A4297" t="s">
        <v>5880</v>
      </c>
      <c r="B4297" t="s">
        <v>5865</v>
      </c>
      <c r="C4297" t="s">
        <v>14</v>
      </c>
      <c r="D4297">
        <v>1967</v>
      </c>
      <c r="E4297" t="s">
        <v>29</v>
      </c>
      <c r="F4297" t="s">
        <v>30</v>
      </c>
      <c r="G4297" t="s">
        <v>31</v>
      </c>
      <c r="H4297" t="s">
        <v>32</v>
      </c>
      <c r="I4297">
        <v>1135.514326</v>
      </c>
      <c r="J4297" t="s">
        <v>33</v>
      </c>
      <c r="K4297" t="s">
        <v>5878</v>
      </c>
      <c r="L4297" t="s">
        <v>21</v>
      </c>
      <c r="M4297" t="str">
        <f t="shared" si="201"/>
        <v>OK</v>
      </c>
      <c r="N4297" t="str">
        <f t="shared" si="202"/>
        <v>1960s</v>
      </c>
      <c r="O4297" t="str">
        <f t="shared" si="203"/>
        <v>N/A</v>
      </c>
      <c r="P4297" t="str">
        <f>VLOOKUP(E4297,calculated_fields!$F$4:$G$6,2,FALSE)</f>
        <v>Economy</v>
      </c>
    </row>
    <row r="4298" spans="1:16">
      <c r="A4298" t="s">
        <v>5881</v>
      </c>
      <c r="B4298" t="s">
        <v>5865</v>
      </c>
      <c r="C4298" t="s">
        <v>14</v>
      </c>
      <c r="D4298">
        <v>1972</v>
      </c>
      <c r="E4298" t="s">
        <v>15</v>
      </c>
      <c r="F4298" t="s">
        <v>16</v>
      </c>
      <c r="G4298" t="s">
        <v>17</v>
      </c>
      <c r="H4298" t="s">
        <v>18</v>
      </c>
      <c r="I4298">
        <v>65.042000000000002</v>
      </c>
      <c r="J4298" t="s">
        <v>19</v>
      </c>
      <c r="K4298" t="s">
        <v>5882</v>
      </c>
      <c r="L4298" t="s">
        <v>21</v>
      </c>
      <c r="M4298" t="str">
        <f t="shared" si="201"/>
        <v>OK</v>
      </c>
      <c r="N4298" t="str">
        <f t="shared" si="202"/>
        <v>1970s</v>
      </c>
      <c r="O4298" t="str">
        <f t="shared" si="203"/>
        <v>Medium</v>
      </c>
      <c r="P4298" t="str">
        <f>VLOOKUP(E4298,calculated_fields!$F$4:$G$6,2,FALSE)</f>
        <v>Health</v>
      </c>
    </row>
    <row r="4299" spans="1:16">
      <c r="A4299" t="s">
        <v>5883</v>
      </c>
      <c r="B4299" t="s">
        <v>5865</v>
      </c>
      <c r="C4299" t="s">
        <v>14</v>
      </c>
      <c r="D4299">
        <v>1972</v>
      </c>
      <c r="E4299" t="s">
        <v>23</v>
      </c>
      <c r="F4299" t="s">
        <v>24</v>
      </c>
      <c r="G4299" t="s">
        <v>25</v>
      </c>
      <c r="H4299" t="s">
        <v>26</v>
      </c>
      <c r="I4299">
        <v>13016733</v>
      </c>
      <c r="J4299" t="s">
        <v>27</v>
      </c>
      <c r="K4299" t="s">
        <v>5882</v>
      </c>
      <c r="L4299" t="s">
        <v>21</v>
      </c>
      <c r="M4299" t="str">
        <f t="shared" si="201"/>
        <v>OK</v>
      </c>
      <c r="N4299" t="str">
        <f t="shared" si="202"/>
        <v>1970s</v>
      </c>
      <c r="O4299" t="str">
        <f t="shared" si="203"/>
        <v>N/A</v>
      </c>
      <c r="P4299" t="str">
        <f>VLOOKUP(E4299,calculated_fields!$F$4:$G$6,2,FALSE)</f>
        <v>Demographics</v>
      </c>
    </row>
    <row r="4300" spans="1:16">
      <c r="A4300" t="s">
        <v>5884</v>
      </c>
      <c r="B4300" t="s">
        <v>5865</v>
      </c>
      <c r="C4300" t="s">
        <v>14</v>
      </c>
      <c r="D4300">
        <v>1972</v>
      </c>
      <c r="E4300" t="s">
        <v>29</v>
      </c>
      <c r="F4300" t="s">
        <v>30</v>
      </c>
      <c r="G4300" t="s">
        <v>31</v>
      </c>
      <c r="H4300" t="s">
        <v>32</v>
      </c>
      <c r="I4300">
        <v>1213.39553</v>
      </c>
      <c r="J4300" t="s">
        <v>33</v>
      </c>
      <c r="K4300" t="s">
        <v>5882</v>
      </c>
      <c r="L4300" t="s">
        <v>21</v>
      </c>
      <c r="M4300" t="str">
        <f t="shared" si="201"/>
        <v>OK</v>
      </c>
      <c r="N4300" t="str">
        <f t="shared" si="202"/>
        <v>1970s</v>
      </c>
      <c r="O4300" t="str">
        <f t="shared" si="203"/>
        <v>N/A</v>
      </c>
      <c r="P4300" t="str">
        <f>VLOOKUP(E4300,calculated_fields!$F$4:$G$6,2,FALSE)</f>
        <v>Economy</v>
      </c>
    </row>
    <row r="4301" spans="1:16">
      <c r="A4301" t="s">
        <v>5885</v>
      </c>
      <c r="B4301" t="s">
        <v>5865</v>
      </c>
      <c r="C4301" t="s">
        <v>14</v>
      </c>
      <c r="D4301">
        <v>1977</v>
      </c>
      <c r="E4301" t="s">
        <v>15</v>
      </c>
      <c r="F4301" t="s">
        <v>16</v>
      </c>
      <c r="G4301" t="s">
        <v>17</v>
      </c>
      <c r="H4301" t="s">
        <v>18</v>
      </c>
      <c r="I4301">
        <v>65.948999999999998</v>
      </c>
      <c r="J4301" t="s">
        <v>19</v>
      </c>
      <c r="K4301" t="s">
        <v>5886</v>
      </c>
      <c r="L4301" t="s">
        <v>21</v>
      </c>
      <c r="M4301" t="str">
        <f t="shared" si="201"/>
        <v>OK</v>
      </c>
      <c r="N4301" t="str">
        <f t="shared" si="202"/>
        <v>1970s</v>
      </c>
      <c r="O4301" t="str">
        <f t="shared" si="203"/>
        <v>Medium</v>
      </c>
      <c r="P4301" t="str">
        <f>VLOOKUP(E4301,calculated_fields!$F$4:$G$6,2,FALSE)</f>
        <v>Health</v>
      </c>
    </row>
    <row r="4302" spans="1:16">
      <c r="A4302" t="s">
        <v>5887</v>
      </c>
      <c r="B4302" t="s">
        <v>5865</v>
      </c>
      <c r="C4302" t="s">
        <v>14</v>
      </c>
      <c r="D4302">
        <v>1977</v>
      </c>
      <c r="E4302" t="s">
        <v>23</v>
      </c>
      <c r="F4302" t="s">
        <v>24</v>
      </c>
      <c r="G4302" t="s">
        <v>25</v>
      </c>
      <c r="H4302" t="s">
        <v>26</v>
      </c>
      <c r="I4302">
        <v>14116836</v>
      </c>
      <c r="J4302" t="s">
        <v>27</v>
      </c>
      <c r="K4302" t="s">
        <v>5886</v>
      </c>
      <c r="L4302" t="s">
        <v>21</v>
      </c>
      <c r="M4302" t="str">
        <f t="shared" si="201"/>
        <v>OK</v>
      </c>
      <c r="N4302" t="str">
        <f t="shared" si="202"/>
        <v>1970s</v>
      </c>
      <c r="O4302" t="str">
        <f t="shared" si="203"/>
        <v>N/A</v>
      </c>
      <c r="P4302" t="str">
        <f>VLOOKUP(E4302,calculated_fields!$F$4:$G$6,2,FALSE)</f>
        <v>Demographics</v>
      </c>
    </row>
    <row r="4303" spans="1:16">
      <c r="A4303" t="s">
        <v>5888</v>
      </c>
      <c r="B4303" t="s">
        <v>5865</v>
      </c>
      <c r="C4303" t="s">
        <v>14</v>
      </c>
      <c r="D4303">
        <v>1977</v>
      </c>
      <c r="E4303" t="s">
        <v>29</v>
      </c>
      <c r="F4303" t="s">
        <v>30</v>
      </c>
      <c r="G4303" t="s">
        <v>31</v>
      </c>
      <c r="H4303" t="s">
        <v>32</v>
      </c>
      <c r="I4303">
        <v>1348.7756509999999</v>
      </c>
      <c r="J4303" t="s">
        <v>33</v>
      </c>
      <c r="K4303" t="s">
        <v>5886</v>
      </c>
      <c r="L4303" t="s">
        <v>21</v>
      </c>
      <c r="M4303" t="str">
        <f t="shared" si="201"/>
        <v>OK</v>
      </c>
      <c r="N4303" t="str">
        <f t="shared" si="202"/>
        <v>1970s</v>
      </c>
      <c r="O4303" t="str">
        <f t="shared" si="203"/>
        <v>N/A</v>
      </c>
      <c r="P4303" t="str">
        <f>VLOOKUP(E4303,calculated_fields!$F$4:$G$6,2,FALSE)</f>
        <v>Economy</v>
      </c>
    </row>
    <row r="4304" spans="1:16">
      <c r="A4304" t="s">
        <v>5889</v>
      </c>
      <c r="B4304" t="s">
        <v>5865</v>
      </c>
      <c r="C4304" t="s">
        <v>14</v>
      </c>
      <c r="D4304">
        <v>1982</v>
      </c>
      <c r="E4304" t="s">
        <v>15</v>
      </c>
      <c r="F4304" t="s">
        <v>16</v>
      </c>
      <c r="G4304" t="s">
        <v>17</v>
      </c>
      <c r="H4304" t="s">
        <v>18</v>
      </c>
      <c r="I4304">
        <v>68.757000000000005</v>
      </c>
      <c r="J4304" t="s">
        <v>19</v>
      </c>
      <c r="K4304" t="s">
        <v>5890</v>
      </c>
      <c r="L4304" t="s">
        <v>21</v>
      </c>
      <c r="M4304" t="str">
        <f t="shared" si="201"/>
        <v>OK</v>
      </c>
      <c r="N4304" t="str">
        <f t="shared" si="202"/>
        <v>1980s</v>
      </c>
      <c r="O4304" t="str">
        <f t="shared" si="203"/>
        <v>Medium</v>
      </c>
      <c r="P4304" t="str">
        <f>VLOOKUP(E4304,calculated_fields!$F$4:$G$6,2,FALSE)</f>
        <v>Health</v>
      </c>
    </row>
    <row r="4305" spans="1:16">
      <c r="A4305" t="s">
        <v>5891</v>
      </c>
      <c r="B4305" t="s">
        <v>5865</v>
      </c>
      <c r="C4305" t="s">
        <v>14</v>
      </c>
      <c r="D4305">
        <v>1982</v>
      </c>
      <c r="E4305" t="s">
        <v>23</v>
      </c>
      <c r="F4305" t="s">
        <v>24</v>
      </c>
      <c r="G4305" t="s">
        <v>25</v>
      </c>
      <c r="H4305" t="s">
        <v>26</v>
      </c>
      <c r="I4305">
        <v>15410151</v>
      </c>
      <c r="J4305" t="s">
        <v>27</v>
      </c>
      <c r="K4305" t="s">
        <v>5890</v>
      </c>
      <c r="L4305" t="s">
        <v>21</v>
      </c>
      <c r="M4305" t="str">
        <f t="shared" si="201"/>
        <v>OK</v>
      </c>
      <c r="N4305" t="str">
        <f t="shared" si="202"/>
        <v>1980s</v>
      </c>
      <c r="O4305" t="str">
        <f t="shared" si="203"/>
        <v>N/A</v>
      </c>
      <c r="P4305" t="str">
        <f>VLOOKUP(E4305,calculated_fields!$F$4:$G$6,2,FALSE)</f>
        <v>Demographics</v>
      </c>
    </row>
    <row r="4306" spans="1:16">
      <c r="A4306" t="s">
        <v>5892</v>
      </c>
      <c r="B4306" t="s">
        <v>5865</v>
      </c>
      <c r="C4306" t="s">
        <v>14</v>
      </c>
      <c r="D4306">
        <v>1982</v>
      </c>
      <c r="E4306" t="s">
        <v>29</v>
      </c>
      <c r="F4306" t="s">
        <v>30</v>
      </c>
      <c r="G4306" t="s">
        <v>31</v>
      </c>
      <c r="H4306" t="s">
        <v>32</v>
      </c>
      <c r="I4306">
        <v>1648.0797889999999</v>
      </c>
      <c r="J4306" t="s">
        <v>33</v>
      </c>
      <c r="K4306" t="s">
        <v>5890</v>
      </c>
      <c r="L4306" t="s">
        <v>21</v>
      </c>
      <c r="M4306" t="str">
        <f t="shared" si="201"/>
        <v>OK</v>
      </c>
      <c r="N4306" t="str">
        <f t="shared" si="202"/>
        <v>1980s</v>
      </c>
      <c r="O4306" t="str">
        <f t="shared" si="203"/>
        <v>N/A</v>
      </c>
      <c r="P4306" t="str">
        <f>VLOOKUP(E4306,calculated_fields!$F$4:$G$6,2,FALSE)</f>
        <v>Economy</v>
      </c>
    </row>
    <row r="4307" spans="1:16">
      <c r="A4307" t="s">
        <v>5893</v>
      </c>
      <c r="B4307" t="s">
        <v>5865</v>
      </c>
      <c r="C4307" t="s">
        <v>14</v>
      </c>
      <c r="D4307">
        <v>1987</v>
      </c>
      <c r="E4307" t="s">
        <v>15</v>
      </c>
      <c r="F4307" t="s">
        <v>16</v>
      </c>
      <c r="G4307" t="s">
        <v>17</v>
      </c>
      <c r="H4307" t="s">
        <v>18</v>
      </c>
      <c r="I4307">
        <v>69.010999999999996</v>
      </c>
      <c r="J4307" t="s">
        <v>19</v>
      </c>
      <c r="K4307" t="s">
        <v>5894</v>
      </c>
      <c r="L4307" t="s">
        <v>21</v>
      </c>
      <c r="M4307" t="str">
        <f t="shared" si="201"/>
        <v>OK</v>
      </c>
      <c r="N4307" t="str">
        <f t="shared" si="202"/>
        <v>1980s</v>
      </c>
      <c r="O4307" t="str">
        <f t="shared" si="203"/>
        <v>Medium</v>
      </c>
      <c r="P4307" t="str">
        <f>VLOOKUP(E4307,calculated_fields!$F$4:$G$6,2,FALSE)</f>
        <v>Health</v>
      </c>
    </row>
    <row r="4308" spans="1:16">
      <c r="A4308" t="s">
        <v>5895</v>
      </c>
      <c r="B4308" t="s">
        <v>5865</v>
      </c>
      <c r="C4308" t="s">
        <v>14</v>
      </c>
      <c r="D4308">
        <v>1987</v>
      </c>
      <c r="E4308" t="s">
        <v>23</v>
      </c>
      <c r="F4308" t="s">
        <v>24</v>
      </c>
      <c r="G4308" t="s">
        <v>25</v>
      </c>
      <c r="H4308" t="s">
        <v>26</v>
      </c>
      <c r="I4308">
        <v>16495304</v>
      </c>
      <c r="J4308" t="s">
        <v>27</v>
      </c>
      <c r="K4308" t="s">
        <v>5894</v>
      </c>
      <c r="L4308" t="s">
        <v>21</v>
      </c>
      <c r="M4308" t="str">
        <f t="shared" si="201"/>
        <v>OK</v>
      </c>
      <c r="N4308" t="str">
        <f t="shared" si="202"/>
        <v>1980s</v>
      </c>
      <c r="O4308" t="str">
        <f t="shared" si="203"/>
        <v>N/A</v>
      </c>
      <c r="P4308" t="str">
        <f>VLOOKUP(E4308,calculated_fields!$F$4:$G$6,2,FALSE)</f>
        <v>Demographics</v>
      </c>
    </row>
    <row r="4309" spans="1:16">
      <c r="A4309" t="s">
        <v>5896</v>
      </c>
      <c r="B4309" t="s">
        <v>5865</v>
      </c>
      <c r="C4309" t="s">
        <v>14</v>
      </c>
      <c r="D4309">
        <v>1987</v>
      </c>
      <c r="E4309" t="s">
        <v>29</v>
      </c>
      <c r="F4309" t="s">
        <v>30</v>
      </c>
      <c r="G4309" t="s">
        <v>31</v>
      </c>
      <c r="H4309" t="s">
        <v>32</v>
      </c>
      <c r="I4309">
        <v>1876.7668269999999</v>
      </c>
      <c r="J4309" t="s">
        <v>33</v>
      </c>
      <c r="K4309" t="s">
        <v>5894</v>
      </c>
      <c r="L4309" t="s">
        <v>21</v>
      </c>
      <c r="M4309" t="str">
        <f t="shared" si="201"/>
        <v>OK</v>
      </c>
      <c r="N4309" t="str">
        <f t="shared" si="202"/>
        <v>1980s</v>
      </c>
      <c r="O4309" t="str">
        <f t="shared" si="203"/>
        <v>N/A</v>
      </c>
      <c r="P4309" t="str">
        <f>VLOOKUP(E4309,calculated_fields!$F$4:$G$6,2,FALSE)</f>
        <v>Economy</v>
      </c>
    </row>
    <row r="4310" spans="1:16">
      <c r="A4310" t="s">
        <v>5897</v>
      </c>
      <c r="B4310" t="s">
        <v>5865</v>
      </c>
      <c r="C4310" t="s">
        <v>14</v>
      </c>
      <c r="D4310">
        <v>1992</v>
      </c>
      <c r="E4310" t="s">
        <v>15</v>
      </c>
      <c r="F4310" t="s">
        <v>16</v>
      </c>
      <c r="G4310" t="s">
        <v>17</v>
      </c>
      <c r="H4310" t="s">
        <v>18</v>
      </c>
      <c r="I4310">
        <v>70.378999999999905</v>
      </c>
      <c r="J4310" t="s">
        <v>19</v>
      </c>
      <c r="K4310" t="s">
        <v>5898</v>
      </c>
      <c r="L4310" t="s">
        <v>21</v>
      </c>
      <c r="M4310" t="str">
        <f t="shared" si="201"/>
        <v>OK</v>
      </c>
      <c r="N4310" t="str">
        <f t="shared" si="202"/>
        <v>1990s</v>
      </c>
      <c r="O4310" t="str">
        <f t="shared" si="203"/>
        <v>High</v>
      </c>
      <c r="P4310" t="str">
        <f>VLOOKUP(E4310,calculated_fields!$F$4:$G$6,2,FALSE)</f>
        <v>Health</v>
      </c>
    </row>
    <row r="4311" spans="1:16">
      <c r="A4311" t="s">
        <v>5899</v>
      </c>
      <c r="B4311" t="s">
        <v>5865</v>
      </c>
      <c r="C4311" t="s">
        <v>14</v>
      </c>
      <c r="D4311">
        <v>1992</v>
      </c>
      <c r="E4311" t="s">
        <v>23</v>
      </c>
      <c r="F4311" t="s">
        <v>24</v>
      </c>
      <c r="G4311" t="s">
        <v>25</v>
      </c>
      <c r="H4311" t="s">
        <v>26</v>
      </c>
      <c r="I4311">
        <v>17587060</v>
      </c>
      <c r="J4311" t="s">
        <v>27</v>
      </c>
      <c r="K4311" t="s">
        <v>5898</v>
      </c>
      <c r="L4311" t="s">
        <v>21</v>
      </c>
      <c r="M4311" t="str">
        <f t="shared" si="201"/>
        <v>OK</v>
      </c>
      <c r="N4311" t="str">
        <f t="shared" si="202"/>
        <v>1990s</v>
      </c>
      <c r="O4311" t="str">
        <f t="shared" si="203"/>
        <v>N/A</v>
      </c>
      <c r="P4311" t="str">
        <f>VLOOKUP(E4311,calculated_fields!$F$4:$G$6,2,FALSE)</f>
        <v>Demographics</v>
      </c>
    </row>
    <row r="4312" spans="1:16">
      <c r="A4312" t="s">
        <v>5900</v>
      </c>
      <c r="B4312" t="s">
        <v>5865</v>
      </c>
      <c r="C4312" t="s">
        <v>14</v>
      </c>
      <c r="D4312">
        <v>1992</v>
      </c>
      <c r="E4312" t="s">
        <v>29</v>
      </c>
      <c r="F4312" t="s">
        <v>30</v>
      </c>
      <c r="G4312" t="s">
        <v>31</v>
      </c>
      <c r="H4312" t="s">
        <v>32</v>
      </c>
      <c r="I4312">
        <v>2153.7392220000002</v>
      </c>
      <c r="J4312" t="s">
        <v>33</v>
      </c>
      <c r="K4312" t="s">
        <v>5898</v>
      </c>
      <c r="L4312" t="s">
        <v>21</v>
      </c>
      <c r="M4312" t="str">
        <f t="shared" si="201"/>
        <v>OK</v>
      </c>
      <c r="N4312" t="str">
        <f t="shared" si="202"/>
        <v>1990s</v>
      </c>
      <c r="O4312" t="str">
        <f t="shared" si="203"/>
        <v>N/A</v>
      </c>
      <c r="P4312" t="str">
        <f>VLOOKUP(E4312,calculated_fields!$F$4:$G$6,2,FALSE)</f>
        <v>Economy</v>
      </c>
    </row>
    <row r="4313" spans="1:16">
      <c r="A4313" t="s">
        <v>5901</v>
      </c>
      <c r="B4313" t="s">
        <v>5865</v>
      </c>
      <c r="C4313" t="s">
        <v>14</v>
      </c>
      <c r="D4313">
        <v>1997</v>
      </c>
      <c r="E4313" t="s">
        <v>15</v>
      </c>
      <c r="F4313" t="s">
        <v>16</v>
      </c>
      <c r="G4313" t="s">
        <v>17</v>
      </c>
      <c r="H4313" t="s">
        <v>18</v>
      </c>
      <c r="I4313">
        <v>70.456999999999994</v>
      </c>
      <c r="J4313" t="s">
        <v>19</v>
      </c>
      <c r="K4313" t="s">
        <v>5902</v>
      </c>
      <c r="L4313" t="s">
        <v>21</v>
      </c>
      <c r="M4313" t="str">
        <f t="shared" si="201"/>
        <v>OK</v>
      </c>
      <c r="N4313" t="str">
        <f t="shared" si="202"/>
        <v>1990s</v>
      </c>
      <c r="O4313" t="str">
        <f t="shared" si="203"/>
        <v>High</v>
      </c>
      <c r="P4313" t="str">
        <f>VLOOKUP(E4313,calculated_fields!$F$4:$G$6,2,FALSE)</f>
        <v>Health</v>
      </c>
    </row>
    <row r="4314" spans="1:16">
      <c r="A4314" t="s">
        <v>5903</v>
      </c>
      <c r="B4314" t="s">
        <v>5865</v>
      </c>
      <c r="C4314" t="s">
        <v>14</v>
      </c>
      <c r="D4314">
        <v>1997</v>
      </c>
      <c r="E4314" t="s">
        <v>23</v>
      </c>
      <c r="F4314" t="s">
        <v>24</v>
      </c>
      <c r="G4314" t="s">
        <v>25</v>
      </c>
      <c r="H4314" t="s">
        <v>26</v>
      </c>
      <c r="I4314">
        <v>18698655</v>
      </c>
      <c r="J4314" t="s">
        <v>27</v>
      </c>
      <c r="K4314" t="s">
        <v>5902</v>
      </c>
      <c r="L4314" t="s">
        <v>21</v>
      </c>
      <c r="M4314" t="str">
        <f t="shared" si="201"/>
        <v>OK</v>
      </c>
      <c r="N4314" t="str">
        <f t="shared" si="202"/>
        <v>1990s</v>
      </c>
      <c r="O4314" t="str">
        <f t="shared" si="203"/>
        <v>N/A</v>
      </c>
      <c r="P4314" t="str">
        <f>VLOOKUP(E4314,calculated_fields!$F$4:$G$6,2,FALSE)</f>
        <v>Demographics</v>
      </c>
    </row>
    <row r="4315" spans="1:16">
      <c r="A4315" t="s">
        <v>5904</v>
      </c>
      <c r="B4315" t="s">
        <v>5865</v>
      </c>
      <c r="C4315" t="s">
        <v>14</v>
      </c>
      <c r="D4315">
        <v>1997</v>
      </c>
      <c r="E4315" t="s">
        <v>29</v>
      </c>
      <c r="F4315" t="s">
        <v>30</v>
      </c>
      <c r="G4315" t="s">
        <v>31</v>
      </c>
      <c r="H4315" t="s">
        <v>32</v>
      </c>
      <c r="I4315">
        <v>2664.477257</v>
      </c>
      <c r="J4315" t="s">
        <v>33</v>
      </c>
      <c r="K4315" t="s">
        <v>5902</v>
      </c>
      <c r="L4315" t="s">
        <v>21</v>
      </c>
      <c r="M4315" t="str">
        <f t="shared" si="201"/>
        <v>OK</v>
      </c>
      <c r="N4315" t="str">
        <f t="shared" si="202"/>
        <v>1990s</v>
      </c>
      <c r="O4315" t="str">
        <f t="shared" si="203"/>
        <v>N/A</v>
      </c>
      <c r="P4315" t="str">
        <f>VLOOKUP(E4315,calculated_fields!$F$4:$G$6,2,FALSE)</f>
        <v>Economy</v>
      </c>
    </row>
    <row r="4316" spans="1:16">
      <c r="A4316" t="s">
        <v>5905</v>
      </c>
      <c r="B4316" t="s">
        <v>5865</v>
      </c>
      <c r="C4316" t="s">
        <v>14</v>
      </c>
      <c r="D4316">
        <v>2002</v>
      </c>
      <c r="E4316" t="s">
        <v>15</v>
      </c>
      <c r="F4316" t="s">
        <v>16</v>
      </c>
      <c r="G4316" t="s">
        <v>17</v>
      </c>
      <c r="H4316" t="s">
        <v>18</v>
      </c>
      <c r="I4316">
        <v>70.814999999999998</v>
      </c>
      <c r="J4316" t="s">
        <v>19</v>
      </c>
      <c r="K4316" t="s">
        <v>5906</v>
      </c>
      <c r="L4316" t="s">
        <v>21</v>
      </c>
      <c r="M4316" t="str">
        <f t="shared" si="201"/>
        <v>OK</v>
      </c>
      <c r="N4316" t="str">
        <f t="shared" si="202"/>
        <v>2000s</v>
      </c>
      <c r="O4316" t="str">
        <f t="shared" si="203"/>
        <v>High</v>
      </c>
      <c r="P4316" t="str">
        <f>VLOOKUP(E4316,calculated_fields!$F$4:$G$6,2,FALSE)</f>
        <v>Health</v>
      </c>
    </row>
    <row r="4317" spans="1:16">
      <c r="A4317" t="s">
        <v>5907</v>
      </c>
      <c r="B4317" t="s">
        <v>5865</v>
      </c>
      <c r="C4317" t="s">
        <v>14</v>
      </c>
      <c r="D4317">
        <v>2002</v>
      </c>
      <c r="E4317" t="s">
        <v>23</v>
      </c>
      <c r="F4317" t="s">
        <v>24</v>
      </c>
      <c r="G4317" t="s">
        <v>25</v>
      </c>
      <c r="H4317" t="s">
        <v>26</v>
      </c>
      <c r="I4317">
        <v>19576783</v>
      </c>
      <c r="J4317" t="s">
        <v>27</v>
      </c>
      <c r="K4317" t="s">
        <v>5906</v>
      </c>
      <c r="L4317" t="s">
        <v>21</v>
      </c>
      <c r="M4317" t="str">
        <f t="shared" si="201"/>
        <v>OK</v>
      </c>
      <c r="N4317" t="str">
        <f t="shared" si="202"/>
        <v>2000s</v>
      </c>
      <c r="O4317" t="str">
        <f t="shared" si="203"/>
        <v>N/A</v>
      </c>
      <c r="P4317" t="str">
        <f>VLOOKUP(E4317,calculated_fields!$F$4:$G$6,2,FALSE)</f>
        <v>Demographics</v>
      </c>
    </row>
    <row r="4318" spans="1:16">
      <c r="A4318" t="s">
        <v>5908</v>
      </c>
      <c r="B4318" t="s">
        <v>5865</v>
      </c>
      <c r="C4318" t="s">
        <v>14</v>
      </c>
      <c r="D4318">
        <v>2002</v>
      </c>
      <c r="E4318" t="s">
        <v>29</v>
      </c>
      <c r="F4318" t="s">
        <v>30</v>
      </c>
      <c r="G4318" t="s">
        <v>31</v>
      </c>
      <c r="H4318" t="s">
        <v>32</v>
      </c>
      <c r="I4318">
        <v>3015.3788330000002</v>
      </c>
      <c r="J4318" t="s">
        <v>33</v>
      </c>
      <c r="K4318" t="s">
        <v>5906</v>
      </c>
      <c r="L4318" t="s">
        <v>21</v>
      </c>
      <c r="M4318" t="str">
        <f t="shared" si="201"/>
        <v>OK</v>
      </c>
      <c r="N4318" t="str">
        <f t="shared" si="202"/>
        <v>2000s</v>
      </c>
      <c r="O4318" t="str">
        <f t="shared" si="203"/>
        <v>N/A</v>
      </c>
      <c r="P4318" t="str">
        <f>VLOOKUP(E4318,calculated_fields!$F$4:$G$6,2,FALSE)</f>
        <v>Economy</v>
      </c>
    </row>
    <row r="4319" spans="1:16">
      <c r="A4319" t="s">
        <v>5909</v>
      </c>
      <c r="B4319" t="s">
        <v>5865</v>
      </c>
      <c r="C4319" t="s">
        <v>14</v>
      </c>
      <c r="D4319">
        <v>2007</v>
      </c>
      <c r="E4319" t="s">
        <v>15</v>
      </c>
      <c r="F4319" t="s">
        <v>16</v>
      </c>
      <c r="G4319" t="s">
        <v>17</v>
      </c>
      <c r="H4319" t="s">
        <v>18</v>
      </c>
      <c r="I4319">
        <v>72.396000000000001</v>
      </c>
      <c r="J4319" t="s">
        <v>19</v>
      </c>
      <c r="K4319" t="s">
        <v>5910</v>
      </c>
      <c r="L4319" t="s">
        <v>21</v>
      </c>
      <c r="M4319" t="str">
        <f t="shared" si="201"/>
        <v>OK</v>
      </c>
      <c r="N4319" t="str">
        <f t="shared" si="202"/>
        <v>2000s</v>
      </c>
      <c r="O4319" t="str">
        <f t="shared" si="203"/>
        <v>High</v>
      </c>
      <c r="P4319" t="str">
        <f>VLOOKUP(E4319,calculated_fields!$F$4:$G$6,2,FALSE)</f>
        <v>Health</v>
      </c>
    </row>
    <row r="4320" spans="1:16">
      <c r="A4320" t="s">
        <v>5911</v>
      </c>
      <c r="B4320" t="s">
        <v>5865</v>
      </c>
      <c r="C4320" t="s">
        <v>14</v>
      </c>
      <c r="D4320">
        <v>2007</v>
      </c>
      <c r="E4320" t="s">
        <v>23</v>
      </c>
      <c r="F4320" t="s">
        <v>24</v>
      </c>
      <c r="G4320" t="s">
        <v>25</v>
      </c>
      <c r="H4320" t="s">
        <v>26</v>
      </c>
      <c r="I4320">
        <v>20378239</v>
      </c>
      <c r="J4320" t="s">
        <v>27</v>
      </c>
      <c r="K4320" t="s">
        <v>5910</v>
      </c>
      <c r="L4320" t="s">
        <v>21</v>
      </c>
      <c r="M4320" t="str">
        <f t="shared" si="201"/>
        <v>OK</v>
      </c>
      <c r="N4320" t="str">
        <f t="shared" si="202"/>
        <v>2000s</v>
      </c>
      <c r="O4320" t="str">
        <f t="shared" si="203"/>
        <v>N/A</v>
      </c>
      <c r="P4320" t="str">
        <f>VLOOKUP(E4320,calculated_fields!$F$4:$G$6,2,FALSE)</f>
        <v>Demographics</v>
      </c>
    </row>
    <row r="4321" spans="1:16">
      <c r="A4321" t="s">
        <v>5912</v>
      </c>
      <c r="B4321" t="s">
        <v>5865</v>
      </c>
      <c r="C4321" t="s">
        <v>14</v>
      </c>
      <c r="D4321">
        <v>2007</v>
      </c>
      <c r="E4321" t="s">
        <v>29</v>
      </c>
      <c r="F4321" t="s">
        <v>30</v>
      </c>
      <c r="G4321" t="s">
        <v>31</v>
      </c>
      <c r="H4321" t="s">
        <v>32</v>
      </c>
      <c r="I4321">
        <v>3970.0954069999998</v>
      </c>
      <c r="J4321" t="s">
        <v>33</v>
      </c>
      <c r="K4321" t="s">
        <v>5910</v>
      </c>
      <c r="L4321" t="s">
        <v>21</v>
      </c>
      <c r="M4321" t="str">
        <f t="shared" si="201"/>
        <v>OK</v>
      </c>
      <c r="N4321" t="str">
        <f t="shared" si="202"/>
        <v>2000s</v>
      </c>
      <c r="O4321" t="str">
        <f t="shared" si="203"/>
        <v>N/A</v>
      </c>
      <c r="P4321" t="str">
        <f>VLOOKUP(E4321,calculated_fields!$F$4:$G$6,2,FALSE)</f>
        <v>Economy</v>
      </c>
    </row>
    <row r="4322" spans="1:16">
      <c r="A4322" t="s">
        <v>5913</v>
      </c>
      <c r="B4322" t="s">
        <v>5914</v>
      </c>
      <c r="C4322" t="s">
        <v>130</v>
      </c>
      <c r="D4322">
        <v>1952</v>
      </c>
      <c r="E4322" t="s">
        <v>15</v>
      </c>
      <c r="F4322" t="s">
        <v>16</v>
      </c>
      <c r="G4322" t="s">
        <v>17</v>
      </c>
      <c r="H4322" t="s">
        <v>18</v>
      </c>
      <c r="I4322">
        <v>38.634999999999998</v>
      </c>
      <c r="J4322" t="s">
        <v>19</v>
      </c>
      <c r="K4322" t="s">
        <v>5915</v>
      </c>
      <c r="L4322" t="s">
        <v>21</v>
      </c>
      <c r="M4322" t="str">
        <f t="shared" si="201"/>
        <v>OK</v>
      </c>
      <c r="N4322" t="str">
        <f t="shared" si="202"/>
        <v>1950s</v>
      </c>
      <c r="O4322" t="str">
        <f t="shared" si="203"/>
        <v>Low</v>
      </c>
      <c r="P4322" t="str">
        <f>VLOOKUP(E4322,calculated_fields!$F$4:$G$6,2,FALSE)</f>
        <v>Health</v>
      </c>
    </row>
    <row r="4323" spans="1:16">
      <c r="A4323" t="s">
        <v>5916</v>
      </c>
      <c r="B4323" t="s">
        <v>5914</v>
      </c>
      <c r="C4323" t="s">
        <v>130</v>
      </c>
      <c r="D4323">
        <v>1952</v>
      </c>
      <c r="E4323" t="s">
        <v>23</v>
      </c>
      <c r="F4323" t="s">
        <v>24</v>
      </c>
      <c r="G4323" t="s">
        <v>25</v>
      </c>
      <c r="H4323" t="s">
        <v>26</v>
      </c>
      <c r="I4323">
        <v>8504667</v>
      </c>
      <c r="J4323" t="s">
        <v>27</v>
      </c>
      <c r="K4323" t="s">
        <v>5915</v>
      </c>
      <c r="L4323" t="s">
        <v>21</v>
      </c>
      <c r="M4323" t="str">
        <f t="shared" si="201"/>
        <v>OK</v>
      </c>
      <c r="N4323" t="str">
        <f t="shared" si="202"/>
        <v>1950s</v>
      </c>
      <c r="O4323" t="str">
        <f t="shared" si="203"/>
        <v>N/A</v>
      </c>
      <c r="P4323" t="str">
        <f>VLOOKUP(E4323,calculated_fields!$F$4:$G$6,2,FALSE)</f>
        <v>Demographics</v>
      </c>
    </row>
    <row r="4324" spans="1:16">
      <c r="A4324" t="s">
        <v>5917</v>
      </c>
      <c r="B4324" t="s">
        <v>5914</v>
      </c>
      <c r="C4324" t="s">
        <v>130</v>
      </c>
      <c r="D4324">
        <v>1952</v>
      </c>
      <c r="E4324" t="s">
        <v>29</v>
      </c>
      <c r="F4324" t="s">
        <v>30</v>
      </c>
      <c r="G4324" t="s">
        <v>31</v>
      </c>
      <c r="H4324" t="s">
        <v>32</v>
      </c>
      <c r="I4324">
        <v>1615.991129</v>
      </c>
      <c r="J4324" t="s">
        <v>33</v>
      </c>
      <c r="K4324" t="s">
        <v>5915</v>
      </c>
      <c r="L4324" t="s">
        <v>21</v>
      </c>
      <c r="M4324" t="str">
        <f t="shared" si="201"/>
        <v>OK</v>
      </c>
      <c r="N4324" t="str">
        <f t="shared" si="202"/>
        <v>1950s</v>
      </c>
      <c r="O4324" t="str">
        <f t="shared" si="203"/>
        <v>N/A</v>
      </c>
      <c r="P4324" t="str">
        <f>VLOOKUP(E4324,calculated_fields!$F$4:$G$6,2,FALSE)</f>
        <v>Economy</v>
      </c>
    </row>
    <row r="4325" spans="1:16">
      <c r="A4325" t="s">
        <v>5918</v>
      </c>
      <c r="B4325" t="s">
        <v>5914</v>
      </c>
      <c r="C4325" t="s">
        <v>130</v>
      </c>
      <c r="D4325">
        <v>1957</v>
      </c>
      <c r="E4325" t="s">
        <v>15</v>
      </c>
      <c r="F4325" t="s">
        <v>16</v>
      </c>
      <c r="G4325" t="s">
        <v>17</v>
      </c>
      <c r="H4325" t="s">
        <v>18</v>
      </c>
      <c r="I4325">
        <v>39.624000000000002</v>
      </c>
      <c r="J4325" t="s">
        <v>19</v>
      </c>
      <c r="K4325" t="s">
        <v>5919</v>
      </c>
      <c r="L4325" t="s">
        <v>21</v>
      </c>
      <c r="M4325" t="str">
        <f t="shared" si="201"/>
        <v>OK</v>
      </c>
      <c r="N4325" t="str">
        <f t="shared" si="202"/>
        <v>1950s</v>
      </c>
      <c r="O4325" t="str">
        <f t="shared" si="203"/>
        <v>Low</v>
      </c>
      <c r="P4325" t="str">
        <f>VLOOKUP(E4325,calculated_fields!$F$4:$G$6,2,FALSE)</f>
        <v>Health</v>
      </c>
    </row>
    <row r="4326" spans="1:16">
      <c r="A4326" t="s">
        <v>5920</v>
      </c>
      <c r="B4326" t="s">
        <v>5914</v>
      </c>
      <c r="C4326" t="s">
        <v>130</v>
      </c>
      <c r="D4326">
        <v>1957</v>
      </c>
      <c r="E4326" t="s">
        <v>23</v>
      </c>
      <c r="F4326" t="s">
        <v>24</v>
      </c>
      <c r="G4326" t="s">
        <v>25</v>
      </c>
      <c r="H4326" t="s">
        <v>26</v>
      </c>
      <c r="I4326">
        <v>9753392</v>
      </c>
      <c r="J4326" t="s">
        <v>27</v>
      </c>
      <c r="K4326" t="s">
        <v>5919</v>
      </c>
      <c r="L4326" t="s">
        <v>21</v>
      </c>
      <c r="M4326" t="str">
        <f t="shared" si="201"/>
        <v>OK</v>
      </c>
      <c r="N4326" t="str">
        <f t="shared" si="202"/>
        <v>1950s</v>
      </c>
      <c r="O4326" t="str">
        <f t="shared" si="203"/>
        <v>N/A</v>
      </c>
      <c r="P4326" t="str">
        <f>VLOOKUP(E4326,calculated_fields!$F$4:$G$6,2,FALSE)</f>
        <v>Demographics</v>
      </c>
    </row>
    <row r="4327" spans="1:16">
      <c r="A4327" t="s">
        <v>5921</v>
      </c>
      <c r="B4327" t="s">
        <v>5914</v>
      </c>
      <c r="C4327" t="s">
        <v>130</v>
      </c>
      <c r="D4327">
        <v>1957</v>
      </c>
      <c r="E4327" t="s">
        <v>29</v>
      </c>
      <c r="F4327" t="s">
        <v>30</v>
      </c>
      <c r="G4327" t="s">
        <v>31</v>
      </c>
      <c r="H4327" t="s">
        <v>32</v>
      </c>
      <c r="I4327">
        <v>1770.33707399999</v>
      </c>
      <c r="J4327" t="s">
        <v>33</v>
      </c>
      <c r="K4327" t="s">
        <v>5919</v>
      </c>
      <c r="L4327" t="s">
        <v>21</v>
      </c>
      <c r="M4327" t="str">
        <f t="shared" si="201"/>
        <v>OK</v>
      </c>
      <c r="N4327" t="str">
        <f t="shared" si="202"/>
        <v>1950s</v>
      </c>
      <c r="O4327" t="str">
        <f t="shared" si="203"/>
        <v>N/A</v>
      </c>
      <c r="P4327" t="str">
        <f>VLOOKUP(E4327,calculated_fields!$F$4:$G$6,2,FALSE)</f>
        <v>Economy</v>
      </c>
    </row>
    <row r="4328" spans="1:16">
      <c r="A4328" t="s">
        <v>5922</v>
      </c>
      <c r="B4328" t="s">
        <v>5914</v>
      </c>
      <c r="C4328" t="s">
        <v>130</v>
      </c>
      <c r="D4328">
        <v>1962</v>
      </c>
      <c r="E4328" t="s">
        <v>15</v>
      </c>
      <c r="F4328" t="s">
        <v>16</v>
      </c>
      <c r="G4328" t="s">
        <v>17</v>
      </c>
      <c r="H4328" t="s">
        <v>18</v>
      </c>
      <c r="I4328">
        <v>40.869999999999997</v>
      </c>
      <c r="J4328" t="s">
        <v>19</v>
      </c>
      <c r="K4328" t="s">
        <v>5923</v>
      </c>
      <c r="L4328" t="s">
        <v>21</v>
      </c>
      <c r="M4328" t="str">
        <f t="shared" si="201"/>
        <v>OK</v>
      </c>
      <c r="N4328" t="str">
        <f t="shared" si="202"/>
        <v>1960s</v>
      </c>
      <c r="O4328" t="str">
        <f t="shared" si="203"/>
        <v>Low</v>
      </c>
      <c r="P4328" t="str">
        <f>VLOOKUP(E4328,calculated_fields!$F$4:$G$6,2,FALSE)</f>
        <v>Health</v>
      </c>
    </row>
    <row r="4329" spans="1:16">
      <c r="A4329" t="s">
        <v>5924</v>
      </c>
      <c r="B4329" t="s">
        <v>5914</v>
      </c>
      <c r="C4329" t="s">
        <v>130</v>
      </c>
      <c r="D4329">
        <v>1962</v>
      </c>
      <c r="E4329" t="s">
        <v>23</v>
      </c>
      <c r="F4329" t="s">
        <v>24</v>
      </c>
      <c r="G4329" t="s">
        <v>25</v>
      </c>
      <c r="H4329" t="s">
        <v>26</v>
      </c>
      <c r="I4329">
        <v>11183227</v>
      </c>
      <c r="J4329" t="s">
        <v>27</v>
      </c>
      <c r="K4329" t="s">
        <v>5923</v>
      </c>
      <c r="L4329" t="s">
        <v>21</v>
      </c>
      <c r="M4329" t="str">
        <f t="shared" si="201"/>
        <v>OK</v>
      </c>
      <c r="N4329" t="str">
        <f t="shared" si="202"/>
        <v>1960s</v>
      </c>
      <c r="O4329" t="str">
        <f t="shared" si="203"/>
        <v>N/A</v>
      </c>
      <c r="P4329" t="str">
        <f>VLOOKUP(E4329,calculated_fields!$F$4:$G$6,2,FALSE)</f>
        <v>Demographics</v>
      </c>
    </row>
    <row r="4330" spans="1:16">
      <c r="A4330" t="s">
        <v>5925</v>
      </c>
      <c r="B4330" t="s">
        <v>5914</v>
      </c>
      <c r="C4330" t="s">
        <v>130</v>
      </c>
      <c r="D4330">
        <v>1962</v>
      </c>
      <c r="E4330" t="s">
        <v>29</v>
      </c>
      <c r="F4330" t="s">
        <v>30</v>
      </c>
      <c r="G4330" t="s">
        <v>31</v>
      </c>
      <c r="H4330" t="s">
        <v>32</v>
      </c>
      <c r="I4330">
        <v>1959.5937670000001</v>
      </c>
      <c r="J4330" t="s">
        <v>33</v>
      </c>
      <c r="K4330" t="s">
        <v>5923</v>
      </c>
      <c r="L4330" t="s">
        <v>21</v>
      </c>
      <c r="M4330" t="str">
        <f t="shared" si="201"/>
        <v>OK</v>
      </c>
      <c r="N4330" t="str">
        <f t="shared" si="202"/>
        <v>1960s</v>
      </c>
      <c r="O4330" t="str">
        <f t="shared" si="203"/>
        <v>N/A</v>
      </c>
      <c r="P4330" t="str">
        <f>VLOOKUP(E4330,calculated_fields!$F$4:$G$6,2,FALSE)</f>
        <v>Economy</v>
      </c>
    </row>
    <row r="4331" spans="1:16">
      <c r="A4331" t="s">
        <v>5926</v>
      </c>
      <c r="B4331" t="s">
        <v>5914</v>
      </c>
      <c r="C4331" t="s">
        <v>130</v>
      </c>
      <c r="D4331">
        <v>1967</v>
      </c>
      <c r="E4331" t="s">
        <v>15</v>
      </c>
      <c r="F4331" t="s">
        <v>16</v>
      </c>
      <c r="G4331" t="s">
        <v>17</v>
      </c>
      <c r="H4331" t="s">
        <v>18</v>
      </c>
      <c r="I4331">
        <v>42.857999999999997</v>
      </c>
      <c r="J4331" t="s">
        <v>19</v>
      </c>
      <c r="K4331" t="s">
        <v>5927</v>
      </c>
      <c r="L4331" t="s">
        <v>21</v>
      </c>
      <c r="M4331" t="str">
        <f t="shared" si="201"/>
        <v>OK</v>
      </c>
      <c r="N4331" t="str">
        <f t="shared" si="202"/>
        <v>1960s</v>
      </c>
      <c r="O4331" t="str">
        <f t="shared" si="203"/>
        <v>Low</v>
      </c>
      <c r="P4331" t="str">
        <f>VLOOKUP(E4331,calculated_fields!$F$4:$G$6,2,FALSE)</f>
        <v>Health</v>
      </c>
    </row>
    <row r="4332" spans="1:16">
      <c r="A4332" t="s">
        <v>5928</v>
      </c>
      <c r="B4332" t="s">
        <v>5914</v>
      </c>
      <c r="C4332" t="s">
        <v>130</v>
      </c>
      <c r="D4332">
        <v>1967</v>
      </c>
      <c r="E4332" t="s">
        <v>23</v>
      </c>
      <c r="F4332" t="s">
        <v>24</v>
      </c>
      <c r="G4332" t="s">
        <v>25</v>
      </c>
      <c r="H4332" t="s">
        <v>26</v>
      </c>
      <c r="I4332">
        <v>12716129</v>
      </c>
      <c r="J4332" t="s">
        <v>27</v>
      </c>
      <c r="K4332" t="s">
        <v>5927</v>
      </c>
      <c r="L4332" t="s">
        <v>21</v>
      </c>
      <c r="M4332" t="str">
        <f t="shared" si="201"/>
        <v>OK</v>
      </c>
      <c r="N4332" t="str">
        <f t="shared" si="202"/>
        <v>1960s</v>
      </c>
      <c r="O4332" t="str">
        <f t="shared" si="203"/>
        <v>N/A</v>
      </c>
      <c r="P4332" t="str">
        <f>VLOOKUP(E4332,calculated_fields!$F$4:$G$6,2,FALSE)</f>
        <v>Demographics</v>
      </c>
    </row>
    <row r="4333" spans="1:16">
      <c r="A4333" t="s">
        <v>5929</v>
      </c>
      <c r="B4333" t="s">
        <v>5914</v>
      </c>
      <c r="C4333" t="s">
        <v>130</v>
      </c>
      <c r="D4333">
        <v>1967</v>
      </c>
      <c r="E4333" t="s">
        <v>29</v>
      </c>
      <c r="F4333" t="s">
        <v>30</v>
      </c>
      <c r="G4333" t="s">
        <v>31</v>
      </c>
      <c r="H4333" t="s">
        <v>32</v>
      </c>
      <c r="I4333">
        <v>1687.9976409999999</v>
      </c>
      <c r="J4333" t="s">
        <v>33</v>
      </c>
      <c r="K4333" t="s">
        <v>5927</v>
      </c>
      <c r="L4333" t="s">
        <v>21</v>
      </c>
      <c r="M4333" t="str">
        <f t="shared" si="201"/>
        <v>OK</v>
      </c>
      <c r="N4333" t="str">
        <f t="shared" si="202"/>
        <v>1960s</v>
      </c>
      <c r="O4333" t="str">
        <f t="shared" si="203"/>
        <v>N/A</v>
      </c>
      <c r="P4333" t="str">
        <f>VLOOKUP(E4333,calculated_fields!$F$4:$G$6,2,FALSE)</f>
        <v>Economy</v>
      </c>
    </row>
    <row r="4334" spans="1:16">
      <c r="A4334" t="s">
        <v>5930</v>
      </c>
      <c r="B4334" t="s">
        <v>5914</v>
      </c>
      <c r="C4334" t="s">
        <v>130</v>
      </c>
      <c r="D4334">
        <v>1972</v>
      </c>
      <c r="E4334" t="s">
        <v>15</v>
      </c>
      <c r="F4334" t="s">
        <v>16</v>
      </c>
      <c r="G4334" t="s">
        <v>17</v>
      </c>
      <c r="H4334" t="s">
        <v>18</v>
      </c>
      <c r="I4334">
        <v>45.082999999999998</v>
      </c>
      <c r="J4334" t="s">
        <v>19</v>
      </c>
      <c r="K4334" t="s">
        <v>5931</v>
      </c>
      <c r="L4334" t="s">
        <v>21</v>
      </c>
      <c r="M4334" t="str">
        <f t="shared" si="201"/>
        <v>OK</v>
      </c>
      <c r="N4334" t="str">
        <f t="shared" si="202"/>
        <v>1970s</v>
      </c>
      <c r="O4334" t="str">
        <f t="shared" si="203"/>
        <v>Low</v>
      </c>
      <c r="P4334" t="str">
        <f>VLOOKUP(E4334,calculated_fields!$F$4:$G$6,2,FALSE)</f>
        <v>Health</v>
      </c>
    </row>
    <row r="4335" spans="1:16">
      <c r="A4335" t="s">
        <v>5932</v>
      </c>
      <c r="B4335" t="s">
        <v>5914</v>
      </c>
      <c r="C4335" t="s">
        <v>130</v>
      </c>
      <c r="D4335">
        <v>1972</v>
      </c>
      <c r="E4335" t="s">
        <v>23</v>
      </c>
      <c r="F4335" t="s">
        <v>24</v>
      </c>
      <c r="G4335" t="s">
        <v>25</v>
      </c>
      <c r="H4335" t="s">
        <v>26</v>
      </c>
      <c r="I4335">
        <v>14597019</v>
      </c>
      <c r="J4335" t="s">
        <v>27</v>
      </c>
      <c r="K4335" t="s">
        <v>5931</v>
      </c>
      <c r="L4335" t="s">
        <v>21</v>
      </c>
      <c r="M4335" t="str">
        <f t="shared" si="201"/>
        <v>OK</v>
      </c>
      <c r="N4335" t="str">
        <f t="shared" si="202"/>
        <v>1970s</v>
      </c>
      <c r="O4335" t="str">
        <f t="shared" si="203"/>
        <v>N/A</v>
      </c>
      <c r="P4335" t="str">
        <f>VLOOKUP(E4335,calculated_fields!$F$4:$G$6,2,FALSE)</f>
        <v>Demographics</v>
      </c>
    </row>
    <row r="4336" spans="1:16">
      <c r="A4336" t="s">
        <v>5933</v>
      </c>
      <c r="B4336" t="s">
        <v>5914</v>
      </c>
      <c r="C4336" t="s">
        <v>130</v>
      </c>
      <c r="D4336">
        <v>1972</v>
      </c>
      <c r="E4336" t="s">
        <v>29</v>
      </c>
      <c r="F4336" t="s">
        <v>30</v>
      </c>
      <c r="G4336" t="s">
        <v>31</v>
      </c>
      <c r="H4336" t="s">
        <v>32</v>
      </c>
      <c r="I4336">
        <v>1659.652775</v>
      </c>
      <c r="J4336" t="s">
        <v>33</v>
      </c>
      <c r="K4336" t="s">
        <v>5931</v>
      </c>
      <c r="L4336" t="s">
        <v>21</v>
      </c>
      <c r="M4336" t="str">
        <f t="shared" si="201"/>
        <v>OK</v>
      </c>
      <c r="N4336" t="str">
        <f t="shared" si="202"/>
        <v>1970s</v>
      </c>
      <c r="O4336" t="str">
        <f t="shared" si="203"/>
        <v>N/A</v>
      </c>
      <c r="P4336" t="str">
        <f>VLOOKUP(E4336,calculated_fields!$F$4:$G$6,2,FALSE)</f>
        <v>Economy</v>
      </c>
    </row>
    <row r="4337" spans="1:16">
      <c r="A4337" t="s">
        <v>5934</v>
      </c>
      <c r="B4337" t="s">
        <v>5914</v>
      </c>
      <c r="C4337" t="s">
        <v>130</v>
      </c>
      <c r="D4337">
        <v>1977</v>
      </c>
      <c r="E4337" t="s">
        <v>15</v>
      </c>
      <c r="F4337" t="s">
        <v>16</v>
      </c>
      <c r="G4337" t="s">
        <v>17</v>
      </c>
      <c r="H4337" t="s">
        <v>18</v>
      </c>
      <c r="I4337">
        <v>47.8</v>
      </c>
      <c r="J4337" t="s">
        <v>19</v>
      </c>
      <c r="K4337" t="s">
        <v>5935</v>
      </c>
      <c r="L4337" t="s">
        <v>21</v>
      </c>
      <c r="M4337" t="str">
        <f t="shared" si="201"/>
        <v>OK</v>
      </c>
      <c r="N4337" t="str">
        <f t="shared" si="202"/>
        <v>1970s</v>
      </c>
      <c r="O4337" t="str">
        <f t="shared" si="203"/>
        <v>Low</v>
      </c>
      <c r="P4337" t="str">
        <f>VLOOKUP(E4337,calculated_fields!$F$4:$G$6,2,FALSE)</f>
        <v>Health</v>
      </c>
    </row>
    <row r="4338" spans="1:16">
      <c r="A4338" t="s">
        <v>5936</v>
      </c>
      <c r="B4338" t="s">
        <v>5914</v>
      </c>
      <c r="C4338" t="s">
        <v>130</v>
      </c>
      <c r="D4338">
        <v>1977</v>
      </c>
      <c r="E4338" t="s">
        <v>23</v>
      </c>
      <c r="F4338" t="s">
        <v>24</v>
      </c>
      <c r="G4338" t="s">
        <v>25</v>
      </c>
      <c r="H4338" t="s">
        <v>26</v>
      </c>
      <c r="I4338">
        <v>17104986</v>
      </c>
      <c r="J4338" t="s">
        <v>27</v>
      </c>
      <c r="K4338" t="s">
        <v>5935</v>
      </c>
      <c r="L4338" t="s">
        <v>21</v>
      </c>
      <c r="M4338" t="str">
        <f t="shared" si="201"/>
        <v>OK</v>
      </c>
      <c r="N4338" t="str">
        <f t="shared" si="202"/>
        <v>1970s</v>
      </c>
      <c r="O4338" t="str">
        <f t="shared" si="203"/>
        <v>N/A</v>
      </c>
      <c r="P4338" t="str">
        <f>VLOOKUP(E4338,calculated_fields!$F$4:$G$6,2,FALSE)</f>
        <v>Demographics</v>
      </c>
    </row>
    <row r="4339" spans="1:16">
      <c r="A4339" t="s">
        <v>5937</v>
      </c>
      <c r="B4339" t="s">
        <v>5914</v>
      </c>
      <c r="C4339" t="s">
        <v>130</v>
      </c>
      <c r="D4339">
        <v>1977</v>
      </c>
      <c r="E4339" t="s">
        <v>29</v>
      </c>
      <c r="F4339" t="s">
        <v>30</v>
      </c>
      <c r="G4339" t="s">
        <v>31</v>
      </c>
      <c r="H4339" t="s">
        <v>32</v>
      </c>
      <c r="I4339">
        <v>2202.9884229999998</v>
      </c>
      <c r="J4339" t="s">
        <v>33</v>
      </c>
      <c r="K4339" t="s">
        <v>5935</v>
      </c>
      <c r="L4339" t="s">
        <v>21</v>
      </c>
      <c r="M4339" t="str">
        <f t="shared" si="201"/>
        <v>OK</v>
      </c>
      <c r="N4339" t="str">
        <f t="shared" si="202"/>
        <v>1970s</v>
      </c>
      <c r="O4339" t="str">
        <f t="shared" si="203"/>
        <v>N/A</v>
      </c>
      <c r="P4339" t="str">
        <f>VLOOKUP(E4339,calculated_fields!$F$4:$G$6,2,FALSE)</f>
        <v>Economy</v>
      </c>
    </row>
    <row r="4340" spans="1:16">
      <c r="A4340" t="s">
        <v>5938</v>
      </c>
      <c r="B4340" t="s">
        <v>5914</v>
      </c>
      <c r="C4340" t="s">
        <v>130</v>
      </c>
      <c r="D4340">
        <v>1982</v>
      </c>
      <c r="E4340" t="s">
        <v>15</v>
      </c>
      <c r="F4340" t="s">
        <v>16</v>
      </c>
      <c r="G4340" t="s">
        <v>17</v>
      </c>
      <c r="H4340" t="s">
        <v>18</v>
      </c>
      <c r="I4340">
        <v>50.338000000000001</v>
      </c>
      <c r="J4340" t="s">
        <v>19</v>
      </c>
      <c r="K4340" t="s">
        <v>5939</v>
      </c>
      <c r="L4340" t="s">
        <v>21</v>
      </c>
      <c r="M4340" t="str">
        <f t="shared" si="201"/>
        <v>OK</v>
      </c>
      <c r="N4340" t="str">
        <f t="shared" si="202"/>
        <v>1980s</v>
      </c>
      <c r="O4340" t="str">
        <f t="shared" si="203"/>
        <v>Low</v>
      </c>
      <c r="P4340" t="str">
        <f>VLOOKUP(E4340,calculated_fields!$F$4:$G$6,2,FALSE)</f>
        <v>Health</v>
      </c>
    </row>
    <row r="4341" spans="1:16">
      <c r="A4341" t="s">
        <v>5940</v>
      </c>
      <c r="B4341" t="s">
        <v>5914</v>
      </c>
      <c r="C4341" t="s">
        <v>130</v>
      </c>
      <c r="D4341">
        <v>1982</v>
      </c>
      <c r="E4341" t="s">
        <v>23</v>
      </c>
      <c r="F4341" t="s">
        <v>24</v>
      </c>
      <c r="G4341" t="s">
        <v>25</v>
      </c>
      <c r="H4341" t="s">
        <v>26</v>
      </c>
      <c r="I4341">
        <v>20367053</v>
      </c>
      <c r="J4341" t="s">
        <v>27</v>
      </c>
      <c r="K4341" t="s">
        <v>5939</v>
      </c>
      <c r="L4341" t="s">
        <v>21</v>
      </c>
      <c r="M4341" t="str">
        <f t="shared" si="201"/>
        <v>OK</v>
      </c>
      <c r="N4341" t="str">
        <f t="shared" si="202"/>
        <v>1980s</v>
      </c>
      <c r="O4341" t="str">
        <f t="shared" si="203"/>
        <v>N/A</v>
      </c>
      <c r="P4341" t="str">
        <f>VLOOKUP(E4341,calculated_fields!$F$4:$G$6,2,FALSE)</f>
        <v>Demographics</v>
      </c>
    </row>
    <row r="4342" spans="1:16">
      <c r="A4342" t="s">
        <v>5941</v>
      </c>
      <c r="B4342" t="s">
        <v>5914</v>
      </c>
      <c r="C4342" t="s">
        <v>130</v>
      </c>
      <c r="D4342">
        <v>1982</v>
      </c>
      <c r="E4342" t="s">
        <v>29</v>
      </c>
      <c r="F4342" t="s">
        <v>30</v>
      </c>
      <c r="G4342" t="s">
        <v>31</v>
      </c>
      <c r="H4342" t="s">
        <v>32</v>
      </c>
      <c r="I4342">
        <v>1895.544073</v>
      </c>
      <c r="J4342" t="s">
        <v>33</v>
      </c>
      <c r="K4342" t="s">
        <v>5939</v>
      </c>
      <c r="L4342" t="s">
        <v>21</v>
      </c>
      <c r="M4342" t="str">
        <f t="shared" si="201"/>
        <v>OK</v>
      </c>
      <c r="N4342" t="str">
        <f t="shared" si="202"/>
        <v>1980s</v>
      </c>
      <c r="O4342" t="str">
        <f t="shared" si="203"/>
        <v>N/A</v>
      </c>
      <c r="P4342" t="str">
        <f>VLOOKUP(E4342,calculated_fields!$F$4:$G$6,2,FALSE)</f>
        <v>Economy</v>
      </c>
    </row>
    <row r="4343" spans="1:16">
      <c r="A4343" t="s">
        <v>5942</v>
      </c>
      <c r="B4343" t="s">
        <v>5914</v>
      </c>
      <c r="C4343" t="s">
        <v>130</v>
      </c>
      <c r="D4343">
        <v>1987</v>
      </c>
      <c r="E4343" t="s">
        <v>15</v>
      </c>
      <c r="F4343" t="s">
        <v>16</v>
      </c>
      <c r="G4343" t="s">
        <v>17</v>
      </c>
      <c r="H4343" t="s">
        <v>18</v>
      </c>
      <c r="I4343">
        <v>51.744</v>
      </c>
      <c r="J4343" t="s">
        <v>19</v>
      </c>
      <c r="K4343" t="s">
        <v>5943</v>
      </c>
      <c r="L4343" t="s">
        <v>21</v>
      </c>
      <c r="M4343" t="str">
        <f t="shared" si="201"/>
        <v>OK</v>
      </c>
      <c r="N4343" t="str">
        <f t="shared" si="202"/>
        <v>1980s</v>
      </c>
      <c r="O4343" t="str">
        <f t="shared" si="203"/>
        <v>Low</v>
      </c>
      <c r="P4343" t="str">
        <f>VLOOKUP(E4343,calculated_fields!$F$4:$G$6,2,FALSE)</f>
        <v>Health</v>
      </c>
    </row>
    <row r="4344" spans="1:16">
      <c r="A4344" t="s">
        <v>5944</v>
      </c>
      <c r="B4344" t="s">
        <v>5914</v>
      </c>
      <c r="C4344" t="s">
        <v>130</v>
      </c>
      <c r="D4344">
        <v>1987</v>
      </c>
      <c r="E4344" t="s">
        <v>23</v>
      </c>
      <c r="F4344" t="s">
        <v>24</v>
      </c>
      <c r="G4344" t="s">
        <v>25</v>
      </c>
      <c r="H4344" t="s">
        <v>26</v>
      </c>
      <c r="I4344">
        <v>24725960</v>
      </c>
      <c r="J4344" t="s">
        <v>27</v>
      </c>
      <c r="K4344" t="s">
        <v>5943</v>
      </c>
      <c r="L4344" t="s">
        <v>21</v>
      </c>
      <c r="M4344" t="str">
        <f t="shared" si="201"/>
        <v>OK</v>
      </c>
      <c r="N4344" t="str">
        <f t="shared" si="202"/>
        <v>1980s</v>
      </c>
      <c r="O4344" t="str">
        <f t="shared" si="203"/>
        <v>N/A</v>
      </c>
      <c r="P4344" t="str">
        <f>VLOOKUP(E4344,calculated_fields!$F$4:$G$6,2,FALSE)</f>
        <v>Demographics</v>
      </c>
    </row>
    <row r="4345" spans="1:16">
      <c r="A4345" t="s">
        <v>5945</v>
      </c>
      <c r="B4345" t="s">
        <v>5914</v>
      </c>
      <c r="C4345" t="s">
        <v>130</v>
      </c>
      <c r="D4345">
        <v>1987</v>
      </c>
      <c r="E4345" t="s">
        <v>29</v>
      </c>
      <c r="F4345" t="s">
        <v>30</v>
      </c>
      <c r="G4345" t="s">
        <v>31</v>
      </c>
      <c r="H4345" t="s">
        <v>32</v>
      </c>
      <c r="I4345">
        <v>1507.8191589999999</v>
      </c>
      <c r="J4345" t="s">
        <v>33</v>
      </c>
      <c r="K4345" t="s">
        <v>5943</v>
      </c>
      <c r="L4345" t="s">
        <v>21</v>
      </c>
      <c r="M4345" t="str">
        <f t="shared" si="201"/>
        <v>OK</v>
      </c>
      <c r="N4345" t="str">
        <f t="shared" si="202"/>
        <v>1980s</v>
      </c>
      <c r="O4345" t="str">
        <f t="shared" si="203"/>
        <v>N/A</v>
      </c>
      <c r="P4345" t="str">
        <f>VLOOKUP(E4345,calculated_fields!$F$4:$G$6,2,FALSE)</f>
        <v>Economy</v>
      </c>
    </row>
    <row r="4346" spans="1:16">
      <c r="A4346" t="s">
        <v>5946</v>
      </c>
      <c r="B4346" t="s">
        <v>5914</v>
      </c>
      <c r="C4346" t="s">
        <v>130</v>
      </c>
      <c r="D4346">
        <v>1992</v>
      </c>
      <c r="E4346" t="s">
        <v>15</v>
      </c>
      <c r="F4346" t="s">
        <v>16</v>
      </c>
      <c r="G4346" t="s">
        <v>17</v>
      </c>
      <c r="H4346" t="s">
        <v>18</v>
      </c>
      <c r="I4346">
        <v>53.555999999999997</v>
      </c>
      <c r="J4346" t="s">
        <v>19</v>
      </c>
      <c r="K4346" t="s">
        <v>5947</v>
      </c>
      <c r="L4346" t="s">
        <v>21</v>
      </c>
      <c r="M4346" t="str">
        <f t="shared" si="201"/>
        <v>OK</v>
      </c>
      <c r="N4346" t="str">
        <f t="shared" si="202"/>
        <v>1990s</v>
      </c>
      <c r="O4346" t="str">
        <f t="shared" si="203"/>
        <v>Low</v>
      </c>
      <c r="P4346" t="str">
        <f>VLOOKUP(E4346,calculated_fields!$F$4:$G$6,2,FALSE)</f>
        <v>Health</v>
      </c>
    </row>
    <row r="4347" spans="1:16">
      <c r="A4347" t="s">
        <v>5948</v>
      </c>
      <c r="B4347" t="s">
        <v>5914</v>
      </c>
      <c r="C4347" t="s">
        <v>130</v>
      </c>
      <c r="D4347">
        <v>1992</v>
      </c>
      <c r="E4347" t="s">
        <v>23</v>
      </c>
      <c r="F4347" t="s">
        <v>24</v>
      </c>
      <c r="G4347" t="s">
        <v>25</v>
      </c>
      <c r="H4347" t="s">
        <v>26</v>
      </c>
      <c r="I4347">
        <v>28227588</v>
      </c>
      <c r="J4347" t="s">
        <v>27</v>
      </c>
      <c r="K4347" t="s">
        <v>5947</v>
      </c>
      <c r="L4347" t="s">
        <v>21</v>
      </c>
      <c r="M4347" t="str">
        <f t="shared" si="201"/>
        <v>OK</v>
      </c>
      <c r="N4347" t="str">
        <f t="shared" si="202"/>
        <v>1990s</v>
      </c>
      <c r="O4347" t="str">
        <f t="shared" si="203"/>
        <v>N/A</v>
      </c>
      <c r="P4347" t="str">
        <f>VLOOKUP(E4347,calculated_fields!$F$4:$G$6,2,FALSE)</f>
        <v>Demographics</v>
      </c>
    </row>
    <row r="4348" spans="1:16">
      <c r="A4348" t="s">
        <v>5949</v>
      </c>
      <c r="B4348" t="s">
        <v>5914</v>
      </c>
      <c r="C4348" t="s">
        <v>130</v>
      </c>
      <c r="D4348">
        <v>1992</v>
      </c>
      <c r="E4348" t="s">
        <v>29</v>
      </c>
      <c r="F4348" t="s">
        <v>30</v>
      </c>
      <c r="G4348" t="s">
        <v>31</v>
      </c>
      <c r="H4348" t="s">
        <v>32</v>
      </c>
      <c r="I4348">
        <v>1492.1970429999999</v>
      </c>
      <c r="J4348" t="s">
        <v>33</v>
      </c>
      <c r="K4348" t="s">
        <v>5947</v>
      </c>
      <c r="L4348" t="s">
        <v>21</v>
      </c>
      <c r="M4348" t="str">
        <f t="shared" si="201"/>
        <v>OK</v>
      </c>
      <c r="N4348" t="str">
        <f t="shared" si="202"/>
        <v>1990s</v>
      </c>
      <c r="O4348" t="str">
        <f t="shared" si="203"/>
        <v>N/A</v>
      </c>
      <c r="P4348" t="str">
        <f>VLOOKUP(E4348,calculated_fields!$F$4:$G$6,2,FALSE)</f>
        <v>Economy</v>
      </c>
    </row>
    <row r="4349" spans="1:16">
      <c r="A4349" t="s">
        <v>5950</v>
      </c>
      <c r="B4349" t="s">
        <v>5914</v>
      </c>
      <c r="C4349" t="s">
        <v>130</v>
      </c>
      <c r="D4349">
        <v>1997</v>
      </c>
      <c r="E4349" t="s">
        <v>15</v>
      </c>
      <c r="F4349" t="s">
        <v>16</v>
      </c>
      <c r="G4349" t="s">
        <v>17</v>
      </c>
      <c r="H4349" t="s">
        <v>18</v>
      </c>
      <c r="I4349">
        <v>55.372999999999998</v>
      </c>
      <c r="J4349" t="s">
        <v>19</v>
      </c>
      <c r="K4349" t="s">
        <v>5951</v>
      </c>
      <c r="L4349" t="s">
        <v>21</v>
      </c>
      <c r="M4349" t="str">
        <f t="shared" si="201"/>
        <v>OK</v>
      </c>
      <c r="N4349" t="str">
        <f t="shared" si="202"/>
        <v>1990s</v>
      </c>
      <c r="O4349" t="str">
        <f t="shared" si="203"/>
        <v>Medium</v>
      </c>
      <c r="P4349" t="str">
        <f>VLOOKUP(E4349,calculated_fields!$F$4:$G$6,2,FALSE)</f>
        <v>Health</v>
      </c>
    </row>
    <row r="4350" spans="1:16">
      <c r="A4350" t="s">
        <v>5952</v>
      </c>
      <c r="B4350" t="s">
        <v>5914</v>
      </c>
      <c r="C4350" t="s">
        <v>130</v>
      </c>
      <c r="D4350">
        <v>1997</v>
      </c>
      <c r="E4350" t="s">
        <v>23</v>
      </c>
      <c r="F4350" t="s">
        <v>24</v>
      </c>
      <c r="G4350" t="s">
        <v>25</v>
      </c>
      <c r="H4350" t="s">
        <v>26</v>
      </c>
      <c r="I4350">
        <v>32160729</v>
      </c>
      <c r="J4350" t="s">
        <v>27</v>
      </c>
      <c r="K4350" t="s">
        <v>5951</v>
      </c>
      <c r="L4350" t="s">
        <v>21</v>
      </c>
      <c r="M4350" t="str">
        <f t="shared" si="201"/>
        <v>OK</v>
      </c>
      <c r="N4350" t="str">
        <f t="shared" si="202"/>
        <v>1990s</v>
      </c>
      <c r="O4350" t="str">
        <f t="shared" si="203"/>
        <v>N/A</v>
      </c>
      <c r="P4350" t="str">
        <f>VLOOKUP(E4350,calculated_fields!$F$4:$G$6,2,FALSE)</f>
        <v>Demographics</v>
      </c>
    </row>
    <row r="4351" spans="1:16">
      <c r="A4351" t="s">
        <v>5953</v>
      </c>
      <c r="B4351" t="s">
        <v>5914</v>
      </c>
      <c r="C4351" t="s">
        <v>130</v>
      </c>
      <c r="D4351">
        <v>1997</v>
      </c>
      <c r="E4351" t="s">
        <v>29</v>
      </c>
      <c r="F4351" t="s">
        <v>30</v>
      </c>
      <c r="G4351" t="s">
        <v>31</v>
      </c>
      <c r="H4351" t="s">
        <v>32</v>
      </c>
      <c r="I4351">
        <v>1632.2107639999999</v>
      </c>
      <c r="J4351" t="s">
        <v>33</v>
      </c>
      <c r="K4351" t="s">
        <v>5951</v>
      </c>
      <c r="L4351" t="s">
        <v>21</v>
      </c>
      <c r="M4351" t="str">
        <f t="shared" si="201"/>
        <v>OK</v>
      </c>
      <c r="N4351" t="str">
        <f t="shared" si="202"/>
        <v>1990s</v>
      </c>
      <c r="O4351" t="str">
        <f t="shared" si="203"/>
        <v>N/A</v>
      </c>
      <c r="P4351" t="str">
        <f>VLOOKUP(E4351,calculated_fields!$F$4:$G$6,2,FALSE)</f>
        <v>Economy</v>
      </c>
    </row>
    <row r="4352" spans="1:16">
      <c r="A4352" t="s">
        <v>5954</v>
      </c>
      <c r="B4352" t="s">
        <v>5914</v>
      </c>
      <c r="C4352" t="s">
        <v>130</v>
      </c>
      <c r="D4352">
        <v>2002</v>
      </c>
      <c r="E4352" t="s">
        <v>15</v>
      </c>
      <c r="F4352" t="s">
        <v>16</v>
      </c>
      <c r="G4352" t="s">
        <v>17</v>
      </c>
      <c r="H4352" t="s">
        <v>18</v>
      </c>
      <c r="I4352">
        <v>56.369</v>
      </c>
      <c r="J4352" t="s">
        <v>19</v>
      </c>
      <c r="K4352" t="s">
        <v>5955</v>
      </c>
      <c r="L4352" t="s">
        <v>21</v>
      </c>
      <c r="M4352" t="str">
        <f t="shared" si="201"/>
        <v>OK</v>
      </c>
      <c r="N4352" t="str">
        <f t="shared" si="202"/>
        <v>2000s</v>
      </c>
      <c r="O4352" t="str">
        <f t="shared" si="203"/>
        <v>Medium</v>
      </c>
      <c r="P4352" t="str">
        <f>VLOOKUP(E4352,calculated_fields!$F$4:$G$6,2,FALSE)</f>
        <v>Health</v>
      </c>
    </row>
    <row r="4353" spans="1:16">
      <c r="A4353" t="s">
        <v>5956</v>
      </c>
      <c r="B4353" t="s">
        <v>5914</v>
      </c>
      <c r="C4353" t="s">
        <v>130</v>
      </c>
      <c r="D4353">
        <v>2002</v>
      </c>
      <c r="E4353" t="s">
        <v>23</v>
      </c>
      <c r="F4353" t="s">
        <v>24</v>
      </c>
      <c r="G4353" t="s">
        <v>25</v>
      </c>
      <c r="H4353" t="s">
        <v>26</v>
      </c>
      <c r="I4353">
        <v>37090298</v>
      </c>
      <c r="J4353" t="s">
        <v>27</v>
      </c>
      <c r="K4353" t="s">
        <v>5955</v>
      </c>
      <c r="L4353" t="s">
        <v>21</v>
      </c>
      <c r="M4353" t="str">
        <f t="shared" si="201"/>
        <v>OK</v>
      </c>
      <c r="N4353" t="str">
        <f t="shared" si="202"/>
        <v>2000s</v>
      </c>
      <c r="O4353" t="str">
        <f t="shared" si="203"/>
        <v>N/A</v>
      </c>
      <c r="P4353" t="str">
        <f>VLOOKUP(E4353,calculated_fields!$F$4:$G$6,2,FALSE)</f>
        <v>Demographics</v>
      </c>
    </row>
    <row r="4354" spans="1:16">
      <c r="A4354" t="s">
        <v>5957</v>
      </c>
      <c r="B4354" t="s">
        <v>5914</v>
      </c>
      <c r="C4354" t="s">
        <v>130</v>
      </c>
      <c r="D4354">
        <v>2002</v>
      </c>
      <c r="E4354" t="s">
        <v>29</v>
      </c>
      <c r="F4354" t="s">
        <v>30</v>
      </c>
      <c r="G4354" t="s">
        <v>31</v>
      </c>
      <c r="H4354" t="s">
        <v>32</v>
      </c>
      <c r="I4354">
        <v>1993.398314</v>
      </c>
      <c r="J4354" t="s">
        <v>33</v>
      </c>
      <c r="K4354" t="s">
        <v>5955</v>
      </c>
      <c r="L4354" t="s">
        <v>21</v>
      </c>
      <c r="M4354" t="str">
        <f t="shared" ref="M4354:M4417" si="204">IF(AND(ISNUMBER(I4354),I4354&gt;=0),"OK","Review")</f>
        <v>OK</v>
      </c>
      <c r="N4354" t="str">
        <f t="shared" ref="N4354:N4417" si="205">FLOOR(D4354,10)&amp;"s"</f>
        <v>2000s</v>
      </c>
      <c r="O4354" t="str">
        <f t="shared" ref="O4354:O4417" si="206">IF(E4354="LIFE_EXP",IF(I4354&gt;=70,"High",IF(I4354&gt;=55,"Medium","Low")),"N/A")</f>
        <v>N/A</v>
      </c>
      <c r="P4354" t="str">
        <f>VLOOKUP(E4354,calculated_fields!$F$4:$G$6,2,FALSE)</f>
        <v>Economy</v>
      </c>
    </row>
    <row r="4355" spans="1:16">
      <c r="A4355" t="s">
        <v>5958</v>
      </c>
      <c r="B4355" t="s">
        <v>5914</v>
      </c>
      <c r="C4355" t="s">
        <v>130</v>
      </c>
      <c r="D4355">
        <v>2007</v>
      </c>
      <c r="E4355" t="s">
        <v>15</v>
      </c>
      <c r="F4355" t="s">
        <v>16</v>
      </c>
      <c r="G4355" t="s">
        <v>17</v>
      </c>
      <c r="H4355" t="s">
        <v>18</v>
      </c>
      <c r="I4355">
        <v>58.555999999999997</v>
      </c>
      <c r="J4355" t="s">
        <v>19</v>
      </c>
      <c r="K4355" t="s">
        <v>5959</v>
      </c>
      <c r="L4355" t="s">
        <v>21</v>
      </c>
      <c r="M4355" t="str">
        <f t="shared" si="204"/>
        <v>OK</v>
      </c>
      <c r="N4355" t="str">
        <f t="shared" si="205"/>
        <v>2000s</v>
      </c>
      <c r="O4355" t="str">
        <f t="shared" si="206"/>
        <v>Medium</v>
      </c>
      <c r="P4355" t="str">
        <f>VLOOKUP(E4355,calculated_fields!$F$4:$G$6,2,FALSE)</f>
        <v>Health</v>
      </c>
    </row>
    <row r="4356" spans="1:16">
      <c r="A4356" t="s">
        <v>5960</v>
      </c>
      <c r="B4356" t="s">
        <v>5914</v>
      </c>
      <c r="C4356" t="s">
        <v>130</v>
      </c>
      <c r="D4356">
        <v>2007</v>
      </c>
      <c r="E4356" t="s">
        <v>23</v>
      </c>
      <c r="F4356" t="s">
        <v>24</v>
      </c>
      <c r="G4356" t="s">
        <v>25</v>
      </c>
      <c r="H4356" t="s">
        <v>26</v>
      </c>
      <c r="I4356">
        <v>42292929</v>
      </c>
      <c r="J4356" t="s">
        <v>27</v>
      </c>
      <c r="K4356" t="s">
        <v>5959</v>
      </c>
      <c r="L4356" t="s">
        <v>21</v>
      </c>
      <c r="M4356" t="str">
        <f t="shared" si="204"/>
        <v>OK</v>
      </c>
      <c r="N4356" t="str">
        <f t="shared" si="205"/>
        <v>2000s</v>
      </c>
      <c r="O4356" t="str">
        <f t="shared" si="206"/>
        <v>N/A</v>
      </c>
      <c r="P4356" t="str">
        <f>VLOOKUP(E4356,calculated_fields!$F$4:$G$6,2,FALSE)</f>
        <v>Demographics</v>
      </c>
    </row>
    <row r="4357" spans="1:16">
      <c r="A4357" t="s">
        <v>5961</v>
      </c>
      <c r="B4357" t="s">
        <v>5914</v>
      </c>
      <c r="C4357" t="s">
        <v>130</v>
      </c>
      <c r="D4357">
        <v>2007</v>
      </c>
      <c r="E4357" t="s">
        <v>29</v>
      </c>
      <c r="F4357" t="s">
        <v>30</v>
      </c>
      <c r="G4357" t="s">
        <v>31</v>
      </c>
      <c r="H4357" t="s">
        <v>32</v>
      </c>
      <c r="I4357">
        <v>2602.3949950000001</v>
      </c>
      <c r="J4357" t="s">
        <v>33</v>
      </c>
      <c r="K4357" t="s">
        <v>5959</v>
      </c>
      <c r="L4357" t="s">
        <v>21</v>
      </c>
      <c r="M4357" t="str">
        <f t="shared" si="204"/>
        <v>OK</v>
      </c>
      <c r="N4357" t="str">
        <f t="shared" si="205"/>
        <v>2000s</v>
      </c>
      <c r="O4357" t="str">
        <f t="shared" si="206"/>
        <v>N/A</v>
      </c>
      <c r="P4357" t="str">
        <f>VLOOKUP(E4357,calculated_fields!$F$4:$G$6,2,FALSE)</f>
        <v>Economy</v>
      </c>
    </row>
    <row r="4358" spans="1:16">
      <c r="A4358" t="s">
        <v>5962</v>
      </c>
      <c r="B4358" t="s">
        <v>5963</v>
      </c>
      <c r="C4358" t="s">
        <v>130</v>
      </c>
      <c r="D4358">
        <v>1952</v>
      </c>
      <c r="E4358" t="s">
        <v>15</v>
      </c>
      <c r="F4358" t="s">
        <v>16</v>
      </c>
      <c r="G4358" t="s">
        <v>17</v>
      </c>
      <c r="H4358" t="s">
        <v>18</v>
      </c>
      <c r="I4358">
        <v>41.406999999999996</v>
      </c>
      <c r="J4358" t="s">
        <v>19</v>
      </c>
      <c r="K4358" t="s">
        <v>5964</v>
      </c>
      <c r="L4358" t="s">
        <v>21</v>
      </c>
      <c r="M4358" t="str">
        <f t="shared" si="204"/>
        <v>OK</v>
      </c>
      <c r="N4358" t="str">
        <f t="shared" si="205"/>
        <v>1950s</v>
      </c>
      <c r="O4358" t="str">
        <f t="shared" si="206"/>
        <v>Low</v>
      </c>
      <c r="P4358" t="str">
        <f>VLOOKUP(E4358,calculated_fields!$F$4:$G$6,2,FALSE)</f>
        <v>Health</v>
      </c>
    </row>
    <row r="4359" spans="1:16">
      <c r="A4359" t="s">
        <v>5965</v>
      </c>
      <c r="B4359" t="s">
        <v>5963</v>
      </c>
      <c r="C4359" t="s">
        <v>130</v>
      </c>
      <c r="D4359">
        <v>1952</v>
      </c>
      <c r="E4359" t="s">
        <v>23</v>
      </c>
      <c r="F4359" t="s">
        <v>24</v>
      </c>
      <c r="G4359" t="s">
        <v>25</v>
      </c>
      <c r="H4359" t="s">
        <v>26</v>
      </c>
      <c r="I4359">
        <v>290243</v>
      </c>
      <c r="J4359" t="s">
        <v>27</v>
      </c>
      <c r="K4359" t="s">
        <v>5964</v>
      </c>
      <c r="L4359" t="s">
        <v>21</v>
      </c>
      <c r="M4359" t="str">
        <f t="shared" si="204"/>
        <v>OK</v>
      </c>
      <c r="N4359" t="str">
        <f t="shared" si="205"/>
        <v>1950s</v>
      </c>
      <c r="O4359" t="str">
        <f t="shared" si="206"/>
        <v>N/A</v>
      </c>
      <c r="P4359" t="str">
        <f>VLOOKUP(E4359,calculated_fields!$F$4:$G$6,2,FALSE)</f>
        <v>Demographics</v>
      </c>
    </row>
    <row r="4360" spans="1:16">
      <c r="A4360" t="s">
        <v>5966</v>
      </c>
      <c r="B4360" t="s">
        <v>5963</v>
      </c>
      <c r="C4360" t="s">
        <v>130</v>
      </c>
      <c r="D4360">
        <v>1952</v>
      </c>
      <c r="E4360" t="s">
        <v>29</v>
      </c>
      <c r="F4360" t="s">
        <v>30</v>
      </c>
      <c r="G4360" t="s">
        <v>31</v>
      </c>
      <c r="H4360" t="s">
        <v>32</v>
      </c>
      <c r="I4360">
        <v>1148.376626</v>
      </c>
      <c r="J4360" t="s">
        <v>33</v>
      </c>
      <c r="K4360" t="s">
        <v>5964</v>
      </c>
      <c r="L4360" t="s">
        <v>21</v>
      </c>
      <c r="M4360" t="str">
        <f t="shared" si="204"/>
        <v>OK</v>
      </c>
      <c r="N4360" t="str">
        <f t="shared" si="205"/>
        <v>1950s</v>
      </c>
      <c r="O4360" t="str">
        <f t="shared" si="206"/>
        <v>N/A</v>
      </c>
      <c r="P4360" t="str">
        <f>VLOOKUP(E4360,calculated_fields!$F$4:$G$6,2,FALSE)</f>
        <v>Economy</v>
      </c>
    </row>
    <row r="4361" spans="1:16">
      <c r="A4361" t="s">
        <v>5967</v>
      </c>
      <c r="B4361" t="s">
        <v>5963</v>
      </c>
      <c r="C4361" t="s">
        <v>130</v>
      </c>
      <c r="D4361">
        <v>1957</v>
      </c>
      <c r="E4361" t="s">
        <v>15</v>
      </c>
      <c r="F4361" t="s">
        <v>16</v>
      </c>
      <c r="G4361" t="s">
        <v>17</v>
      </c>
      <c r="H4361" t="s">
        <v>18</v>
      </c>
      <c r="I4361">
        <v>43.423999999999999</v>
      </c>
      <c r="J4361" t="s">
        <v>19</v>
      </c>
      <c r="K4361" t="s">
        <v>5968</v>
      </c>
      <c r="L4361" t="s">
        <v>21</v>
      </c>
      <c r="M4361" t="str">
        <f t="shared" si="204"/>
        <v>OK</v>
      </c>
      <c r="N4361" t="str">
        <f t="shared" si="205"/>
        <v>1950s</v>
      </c>
      <c r="O4361" t="str">
        <f t="shared" si="206"/>
        <v>Low</v>
      </c>
      <c r="P4361" t="str">
        <f>VLOOKUP(E4361,calculated_fields!$F$4:$G$6,2,FALSE)</f>
        <v>Health</v>
      </c>
    </row>
    <row r="4362" spans="1:16">
      <c r="A4362" t="s">
        <v>5969</v>
      </c>
      <c r="B4362" t="s">
        <v>5963</v>
      </c>
      <c r="C4362" t="s">
        <v>130</v>
      </c>
      <c r="D4362">
        <v>1957</v>
      </c>
      <c r="E4362" t="s">
        <v>23</v>
      </c>
      <c r="F4362" t="s">
        <v>24</v>
      </c>
      <c r="G4362" t="s">
        <v>25</v>
      </c>
      <c r="H4362" t="s">
        <v>26</v>
      </c>
      <c r="I4362">
        <v>326741</v>
      </c>
      <c r="J4362" t="s">
        <v>27</v>
      </c>
      <c r="K4362" t="s">
        <v>5968</v>
      </c>
      <c r="L4362" t="s">
        <v>21</v>
      </c>
      <c r="M4362" t="str">
        <f t="shared" si="204"/>
        <v>OK</v>
      </c>
      <c r="N4362" t="str">
        <f t="shared" si="205"/>
        <v>1950s</v>
      </c>
      <c r="O4362" t="str">
        <f t="shared" si="206"/>
        <v>N/A</v>
      </c>
      <c r="P4362" t="str">
        <f>VLOOKUP(E4362,calculated_fields!$F$4:$G$6,2,FALSE)</f>
        <v>Demographics</v>
      </c>
    </row>
    <row r="4363" spans="1:16">
      <c r="A4363" t="s">
        <v>5970</v>
      </c>
      <c r="B4363" t="s">
        <v>5963</v>
      </c>
      <c r="C4363" t="s">
        <v>130</v>
      </c>
      <c r="D4363">
        <v>1957</v>
      </c>
      <c r="E4363" t="s">
        <v>29</v>
      </c>
      <c r="F4363" t="s">
        <v>30</v>
      </c>
      <c r="G4363" t="s">
        <v>31</v>
      </c>
      <c r="H4363" t="s">
        <v>32</v>
      </c>
      <c r="I4363">
        <v>1244.7083640000001</v>
      </c>
      <c r="J4363" t="s">
        <v>33</v>
      </c>
      <c r="K4363" t="s">
        <v>5968</v>
      </c>
      <c r="L4363" t="s">
        <v>21</v>
      </c>
      <c r="M4363" t="str">
        <f t="shared" si="204"/>
        <v>OK</v>
      </c>
      <c r="N4363" t="str">
        <f t="shared" si="205"/>
        <v>1950s</v>
      </c>
      <c r="O4363" t="str">
        <f t="shared" si="206"/>
        <v>N/A</v>
      </c>
      <c r="P4363" t="str">
        <f>VLOOKUP(E4363,calculated_fields!$F$4:$G$6,2,FALSE)</f>
        <v>Economy</v>
      </c>
    </row>
    <row r="4364" spans="1:16">
      <c r="A4364" t="s">
        <v>5971</v>
      </c>
      <c r="B4364" t="s">
        <v>5963</v>
      </c>
      <c r="C4364" t="s">
        <v>130</v>
      </c>
      <c r="D4364">
        <v>1962</v>
      </c>
      <c r="E4364" t="s">
        <v>15</v>
      </c>
      <c r="F4364" t="s">
        <v>16</v>
      </c>
      <c r="G4364" t="s">
        <v>17</v>
      </c>
      <c r="H4364" t="s">
        <v>18</v>
      </c>
      <c r="I4364">
        <v>44.991999999999997</v>
      </c>
      <c r="J4364" t="s">
        <v>19</v>
      </c>
      <c r="K4364" t="s">
        <v>5972</v>
      </c>
      <c r="L4364" t="s">
        <v>21</v>
      </c>
      <c r="M4364" t="str">
        <f t="shared" si="204"/>
        <v>OK</v>
      </c>
      <c r="N4364" t="str">
        <f t="shared" si="205"/>
        <v>1960s</v>
      </c>
      <c r="O4364" t="str">
        <f t="shared" si="206"/>
        <v>Low</v>
      </c>
      <c r="P4364" t="str">
        <f>VLOOKUP(E4364,calculated_fields!$F$4:$G$6,2,FALSE)</f>
        <v>Health</v>
      </c>
    </row>
    <row r="4365" spans="1:16">
      <c r="A4365" t="s">
        <v>5973</v>
      </c>
      <c r="B4365" t="s">
        <v>5963</v>
      </c>
      <c r="C4365" t="s">
        <v>130</v>
      </c>
      <c r="D4365">
        <v>1962</v>
      </c>
      <c r="E4365" t="s">
        <v>23</v>
      </c>
      <c r="F4365" t="s">
        <v>24</v>
      </c>
      <c r="G4365" t="s">
        <v>25</v>
      </c>
      <c r="H4365" t="s">
        <v>26</v>
      </c>
      <c r="I4365">
        <v>370006</v>
      </c>
      <c r="J4365" t="s">
        <v>27</v>
      </c>
      <c r="K4365" t="s">
        <v>5972</v>
      </c>
      <c r="L4365" t="s">
        <v>21</v>
      </c>
      <c r="M4365" t="str">
        <f t="shared" si="204"/>
        <v>OK</v>
      </c>
      <c r="N4365" t="str">
        <f t="shared" si="205"/>
        <v>1960s</v>
      </c>
      <c r="O4365" t="str">
        <f t="shared" si="206"/>
        <v>N/A</v>
      </c>
      <c r="P4365" t="str">
        <f>VLOOKUP(E4365,calculated_fields!$F$4:$G$6,2,FALSE)</f>
        <v>Demographics</v>
      </c>
    </row>
    <row r="4366" spans="1:16">
      <c r="A4366" t="s">
        <v>5974</v>
      </c>
      <c r="B4366" t="s">
        <v>5963</v>
      </c>
      <c r="C4366" t="s">
        <v>130</v>
      </c>
      <c r="D4366">
        <v>1962</v>
      </c>
      <c r="E4366" t="s">
        <v>29</v>
      </c>
      <c r="F4366" t="s">
        <v>30</v>
      </c>
      <c r="G4366" t="s">
        <v>31</v>
      </c>
      <c r="H4366" t="s">
        <v>32</v>
      </c>
      <c r="I4366">
        <v>1856.182125</v>
      </c>
      <c r="J4366" t="s">
        <v>33</v>
      </c>
      <c r="K4366" t="s">
        <v>5972</v>
      </c>
      <c r="L4366" t="s">
        <v>21</v>
      </c>
      <c r="M4366" t="str">
        <f t="shared" si="204"/>
        <v>OK</v>
      </c>
      <c r="N4366" t="str">
        <f t="shared" si="205"/>
        <v>1960s</v>
      </c>
      <c r="O4366" t="str">
        <f t="shared" si="206"/>
        <v>N/A</v>
      </c>
      <c r="P4366" t="str">
        <f>VLOOKUP(E4366,calculated_fields!$F$4:$G$6,2,FALSE)</f>
        <v>Economy</v>
      </c>
    </row>
    <row r="4367" spans="1:16">
      <c r="A4367" t="s">
        <v>5975</v>
      </c>
      <c r="B4367" t="s">
        <v>5963</v>
      </c>
      <c r="C4367" t="s">
        <v>130</v>
      </c>
      <c r="D4367">
        <v>1967</v>
      </c>
      <c r="E4367" t="s">
        <v>15</v>
      </c>
      <c r="F4367" t="s">
        <v>16</v>
      </c>
      <c r="G4367" t="s">
        <v>17</v>
      </c>
      <c r="H4367" t="s">
        <v>18</v>
      </c>
      <c r="I4367">
        <v>46.633000000000003</v>
      </c>
      <c r="J4367" t="s">
        <v>19</v>
      </c>
      <c r="K4367" t="s">
        <v>5976</v>
      </c>
      <c r="L4367" t="s">
        <v>21</v>
      </c>
      <c r="M4367" t="str">
        <f t="shared" si="204"/>
        <v>OK</v>
      </c>
      <c r="N4367" t="str">
        <f t="shared" si="205"/>
        <v>1960s</v>
      </c>
      <c r="O4367" t="str">
        <f t="shared" si="206"/>
        <v>Low</v>
      </c>
      <c r="P4367" t="str">
        <f>VLOOKUP(E4367,calculated_fields!$F$4:$G$6,2,FALSE)</f>
        <v>Health</v>
      </c>
    </row>
    <row r="4368" spans="1:16">
      <c r="A4368" t="s">
        <v>5977</v>
      </c>
      <c r="B4368" t="s">
        <v>5963</v>
      </c>
      <c r="C4368" t="s">
        <v>130</v>
      </c>
      <c r="D4368">
        <v>1967</v>
      </c>
      <c r="E4368" t="s">
        <v>23</v>
      </c>
      <c r="F4368" t="s">
        <v>24</v>
      </c>
      <c r="G4368" t="s">
        <v>25</v>
      </c>
      <c r="H4368" t="s">
        <v>26</v>
      </c>
      <c r="I4368">
        <v>420690</v>
      </c>
      <c r="J4368" t="s">
        <v>27</v>
      </c>
      <c r="K4368" t="s">
        <v>5976</v>
      </c>
      <c r="L4368" t="s">
        <v>21</v>
      </c>
      <c r="M4368" t="str">
        <f t="shared" si="204"/>
        <v>OK</v>
      </c>
      <c r="N4368" t="str">
        <f t="shared" si="205"/>
        <v>1960s</v>
      </c>
      <c r="O4368" t="str">
        <f t="shared" si="206"/>
        <v>N/A</v>
      </c>
      <c r="P4368" t="str">
        <f>VLOOKUP(E4368,calculated_fields!$F$4:$G$6,2,FALSE)</f>
        <v>Demographics</v>
      </c>
    </row>
    <row r="4369" spans="1:16">
      <c r="A4369" t="s">
        <v>5978</v>
      </c>
      <c r="B4369" t="s">
        <v>5963</v>
      </c>
      <c r="C4369" t="s">
        <v>130</v>
      </c>
      <c r="D4369">
        <v>1967</v>
      </c>
      <c r="E4369" t="s">
        <v>29</v>
      </c>
      <c r="F4369" t="s">
        <v>30</v>
      </c>
      <c r="G4369" t="s">
        <v>31</v>
      </c>
      <c r="H4369" t="s">
        <v>32</v>
      </c>
      <c r="I4369">
        <v>2613.1016650000001</v>
      </c>
      <c r="J4369" t="s">
        <v>33</v>
      </c>
      <c r="K4369" t="s">
        <v>5976</v>
      </c>
      <c r="L4369" t="s">
        <v>21</v>
      </c>
      <c r="M4369" t="str">
        <f t="shared" si="204"/>
        <v>OK</v>
      </c>
      <c r="N4369" t="str">
        <f t="shared" si="205"/>
        <v>1960s</v>
      </c>
      <c r="O4369" t="str">
        <f t="shared" si="206"/>
        <v>N/A</v>
      </c>
      <c r="P4369" t="str">
        <f>VLOOKUP(E4369,calculated_fields!$F$4:$G$6,2,FALSE)</f>
        <v>Economy</v>
      </c>
    </row>
    <row r="4370" spans="1:16">
      <c r="A4370" t="s">
        <v>5979</v>
      </c>
      <c r="B4370" t="s">
        <v>5963</v>
      </c>
      <c r="C4370" t="s">
        <v>130</v>
      </c>
      <c r="D4370">
        <v>1972</v>
      </c>
      <c r="E4370" t="s">
        <v>15</v>
      </c>
      <c r="F4370" t="s">
        <v>16</v>
      </c>
      <c r="G4370" t="s">
        <v>17</v>
      </c>
      <c r="H4370" t="s">
        <v>18</v>
      </c>
      <c r="I4370">
        <v>49.552</v>
      </c>
      <c r="J4370" t="s">
        <v>19</v>
      </c>
      <c r="K4370" t="s">
        <v>5980</v>
      </c>
      <c r="L4370" t="s">
        <v>21</v>
      </c>
      <c r="M4370" t="str">
        <f t="shared" si="204"/>
        <v>OK</v>
      </c>
      <c r="N4370" t="str">
        <f t="shared" si="205"/>
        <v>1970s</v>
      </c>
      <c r="O4370" t="str">
        <f t="shared" si="206"/>
        <v>Low</v>
      </c>
      <c r="P4370" t="str">
        <f>VLOOKUP(E4370,calculated_fields!$F$4:$G$6,2,FALSE)</f>
        <v>Health</v>
      </c>
    </row>
    <row r="4371" spans="1:16">
      <c r="A4371" t="s">
        <v>5981</v>
      </c>
      <c r="B4371" t="s">
        <v>5963</v>
      </c>
      <c r="C4371" t="s">
        <v>130</v>
      </c>
      <c r="D4371">
        <v>1972</v>
      </c>
      <c r="E4371" t="s">
        <v>23</v>
      </c>
      <c r="F4371" t="s">
        <v>24</v>
      </c>
      <c r="G4371" t="s">
        <v>25</v>
      </c>
      <c r="H4371" t="s">
        <v>26</v>
      </c>
      <c r="I4371">
        <v>480105</v>
      </c>
      <c r="J4371" t="s">
        <v>27</v>
      </c>
      <c r="K4371" t="s">
        <v>5980</v>
      </c>
      <c r="L4371" t="s">
        <v>21</v>
      </c>
      <c r="M4371" t="str">
        <f t="shared" si="204"/>
        <v>OK</v>
      </c>
      <c r="N4371" t="str">
        <f t="shared" si="205"/>
        <v>1970s</v>
      </c>
      <c r="O4371" t="str">
        <f t="shared" si="206"/>
        <v>N/A</v>
      </c>
      <c r="P4371" t="str">
        <f>VLOOKUP(E4371,calculated_fields!$F$4:$G$6,2,FALSE)</f>
        <v>Demographics</v>
      </c>
    </row>
    <row r="4372" spans="1:16">
      <c r="A4372" t="s">
        <v>5982</v>
      </c>
      <c r="B4372" t="s">
        <v>5963</v>
      </c>
      <c r="C4372" t="s">
        <v>130</v>
      </c>
      <c r="D4372">
        <v>1972</v>
      </c>
      <c r="E4372" t="s">
        <v>29</v>
      </c>
      <c r="F4372" t="s">
        <v>30</v>
      </c>
      <c r="G4372" t="s">
        <v>31</v>
      </c>
      <c r="H4372" t="s">
        <v>32</v>
      </c>
      <c r="I4372">
        <v>3364.8366249999999</v>
      </c>
      <c r="J4372" t="s">
        <v>33</v>
      </c>
      <c r="K4372" t="s">
        <v>5980</v>
      </c>
      <c r="L4372" t="s">
        <v>21</v>
      </c>
      <c r="M4372" t="str">
        <f t="shared" si="204"/>
        <v>OK</v>
      </c>
      <c r="N4372" t="str">
        <f t="shared" si="205"/>
        <v>1970s</v>
      </c>
      <c r="O4372" t="str">
        <f t="shared" si="206"/>
        <v>N/A</v>
      </c>
      <c r="P4372" t="str">
        <f>VLOOKUP(E4372,calculated_fields!$F$4:$G$6,2,FALSE)</f>
        <v>Economy</v>
      </c>
    </row>
    <row r="4373" spans="1:16">
      <c r="A4373" t="s">
        <v>5983</v>
      </c>
      <c r="B4373" t="s">
        <v>5963</v>
      </c>
      <c r="C4373" t="s">
        <v>130</v>
      </c>
      <c r="D4373">
        <v>1977</v>
      </c>
      <c r="E4373" t="s">
        <v>15</v>
      </c>
      <c r="F4373" t="s">
        <v>16</v>
      </c>
      <c r="G4373" t="s">
        <v>17</v>
      </c>
      <c r="H4373" t="s">
        <v>18</v>
      </c>
      <c r="I4373">
        <v>52.536999999999999</v>
      </c>
      <c r="J4373" t="s">
        <v>19</v>
      </c>
      <c r="K4373" t="s">
        <v>5984</v>
      </c>
      <c r="L4373" t="s">
        <v>21</v>
      </c>
      <c r="M4373" t="str">
        <f t="shared" si="204"/>
        <v>OK</v>
      </c>
      <c r="N4373" t="str">
        <f t="shared" si="205"/>
        <v>1970s</v>
      </c>
      <c r="O4373" t="str">
        <f t="shared" si="206"/>
        <v>Low</v>
      </c>
      <c r="P4373" t="str">
        <f>VLOOKUP(E4373,calculated_fields!$F$4:$G$6,2,FALSE)</f>
        <v>Health</v>
      </c>
    </row>
    <row r="4374" spans="1:16">
      <c r="A4374" t="s">
        <v>5985</v>
      </c>
      <c r="B4374" t="s">
        <v>5963</v>
      </c>
      <c r="C4374" t="s">
        <v>130</v>
      </c>
      <c r="D4374">
        <v>1977</v>
      </c>
      <c r="E4374" t="s">
        <v>23</v>
      </c>
      <c r="F4374" t="s">
        <v>24</v>
      </c>
      <c r="G4374" t="s">
        <v>25</v>
      </c>
      <c r="H4374" t="s">
        <v>26</v>
      </c>
      <c r="I4374">
        <v>551425</v>
      </c>
      <c r="J4374" t="s">
        <v>27</v>
      </c>
      <c r="K4374" t="s">
        <v>5984</v>
      </c>
      <c r="L4374" t="s">
        <v>21</v>
      </c>
      <c r="M4374" t="str">
        <f t="shared" si="204"/>
        <v>OK</v>
      </c>
      <c r="N4374" t="str">
        <f t="shared" si="205"/>
        <v>1970s</v>
      </c>
      <c r="O4374" t="str">
        <f t="shared" si="206"/>
        <v>N/A</v>
      </c>
      <c r="P4374" t="str">
        <f>VLOOKUP(E4374,calculated_fields!$F$4:$G$6,2,FALSE)</f>
        <v>Demographics</v>
      </c>
    </row>
    <row r="4375" spans="1:16">
      <c r="A4375" t="s">
        <v>5986</v>
      </c>
      <c r="B4375" t="s">
        <v>5963</v>
      </c>
      <c r="C4375" t="s">
        <v>130</v>
      </c>
      <c r="D4375">
        <v>1977</v>
      </c>
      <c r="E4375" t="s">
        <v>29</v>
      </c>
      <c r="F4375" t="s">
        <v>30</v>
      </c>
      <c r="G4375" t="s">
        <v>31</v>
      </c>
      <c r="H4375" t="s">
        <v>32</v>
      </c>
      <c r="I4375">
        <v>3781.4106179999999</v>
      </c>
      <c r="J4375" t="s">
        <v>33</v>
      </c>
      <c r="K4375" t="s">
        <v>5984</v>
      </c>
      <c r="L4375" t="s">
        <v>21</v>
      </c>
      <c r="M4375" t="str">
        <f t="shared" si="204"/>
        <v>OK</v>
      </c>
      <c r="N4375" t="str">
        <f t="shared" si="205"/>
        <v>1970s</v>
      </c>
      <c r="O4375" t="str">
        <f t="shared" si="206"/>
        <v>N/A</v>
      </c>
      <c r="P4375" t="str">
        <f>VLOOKUP(E4375,calculated_fields!$F$4:$G$6,2,FALSE)</f>
        <v>Economy</v>
      </c>
    </row>
    <row r="4376" spans="1:16">
      <c r="A4376" t="s">
        <v>5987</v>
      </c>
      <c r="B4376" t="s">
        <v>5963</v>
      </c>
      <c r="C4376" t="s">
        <v>130</v>
      </c>
      <c r="D4376">
        <v>1982</v>
      </c>
      <c r="E4376" t="s">
        <v>15</v>
      </c>
      <c r="F4376" t="s">
        <v>16</v>
      </c>
      <c r="G4376" t="s">
        <v>17</v>
      </c>
      <c r="H4376" t="s">
        <v>18</v>
      </c>
      <c r="I4376">
        <v>55.561</v>
      </c>
      <c r="J4376" t="s">
        <v>19</v>
      </c>
      <c r="K4376" t="s">
        <v>5988</v>
      </c>
      <c r="L4376" t="s">
        <v>21</v>
      </c>
      <c r="M4376" t="str">
        <f t="shared" si="204"/>
        <v>OK</v>
      </c>
      <c r="N4376" t="str">
        <f t="shared" si="205"/>
        <v>1980s</v>
      </c>
      <c r="O4376" t="str">
        <f t="shared" si="206"/>
        <v>Medium</v>
      </c>
      <c r="P4376" t="str">
        <f>VLOOKUP(E4376,calculated_fields!$F$4:$G$6,2,FALSE)</f>
        <v>Health</v>
      </c>
    </row>
    <row r="4377" spans="1:16">
      <c r="A4377" t="s">
        <v>5989</v>
      </c>
      <c r="B4377" t="s">
        <v>5963</v>
      </c>
      <c r="C4377" t="s">
        <v>130</v>
      </c>
      <c r="D4377">
        <v>1982</v>
      </c>
      <c r="E4377" t="s">
        <v>23</v>
      </c>
      <c r="F4377" t="s">
        <v>24</v>
      </c>
      <c r="G4377" t="s">
        <v>25</v>
      </c>
      <c r="H4377" t="s">
        <v>26</v>
      </c>
      <c r="I4377">
        <v>649901</v>
      </c>
      <c r="J4377" t="s">
        <v>27</v>
      </c>
      <c r="K4377" t="s">
        <v>5988</v>
      </c>
      <c r="L4377" t="s">
        <v>21</v>
      </c>
      <c r="M4377" t="str">
        <f t="shared" si="204"/>
        <v>OK</v>
      </c>
      <c r="N4377" t="str">
        <f t="shared" si="205"/>
        <v>1980s</v>
      </c>
      <c r="O4377" t="str">
        <f t="shared" si="206"/>
        <v>N/A</v>
      </c>
      <c r="P4377" t="str">
        <f>VLOOKUP(E4377,calculated_fields!$F$4:$G$6,2,FALSE)</f>
        <v>Demographics</v>
      </c>
    </row>
    <row r="4378" spans="1:16">
      <c r="A4378" t="s">
        <v>5990</v>
      </c>
      <c r="B4378" t="s">
        <v>5963</v>
      </c>
      <c r="C4378" t="s">
        <v>130</v>
      </c>
      <c r="D4378">
        <v>1982</v>
      </c>
      <c r="E4378" t="s">
        <v>29</v>
      </c>
      <c r="F4378" t="s">
        <v>30</v>
      </c>
      <c r="G4378" t="s">
        <v>31</v>
      </c>
      <c r="H4378" t="s">
        <v>32</v>
      </c>
      <c r="I4378">
        <v>3895.3840180000002</v>
      </c>
      <c r="J4378" t="s">
        <v>33</v>
      </c>
      <c r="K4378" t="s">
        <v>5988</v>
      </c>
      <c r="L4378" t="s">
        <v>21</v>
      </c>
      <c r="M4378" t="str">
        <f t="shared" si="204"/>
        <v>OK</v>
      </c>
      <c r="N4378" t="str">
        <f t="shared" si="205"/>
        <v>1980s</v>
      </c>
      <c r="O4378" t="str">
        <f t="shared" si="206"/>
        <v>N/A</v>
      </c>
      <c r="P4378" t="str">
        <f>VLOOKUP(E4378,calculated_fields!$F$4:$G$6,2,FALSE)</f>
        <v>Economy</v>
      </c>
    </row>
    <row r="4379" spans="1:16">
      <c r="A4379" t="s">
        <v>5991</v>
      </c>
      <c r="B4379" t="s">
        <v>5963</v>
      </c>
      <c r="C4379" t="s">
        <v>130</v>
      </c>
      <c r="D4379">
        <v>1987</v>
      </c>
      <c r="E4379" t="s">
        <v>15</v>
      </c>
      <c r="F4379" t="s">
        <v>16</v>
      </c>
      <c r="G4379" t="s">
        <v>17</v>
      </c>
      <c r="H4379" t="s">
        <v>18</v>
      </c>
      <c r="I4379">
        <v>57.677999999999997</v>
      </c>
      <c r="J4379" t="s">
        <v>19</v>
      </c>
      <c r="K4379" t="s">
        <v>5992</v>
      </c>
      <c r="L4379" t="s">
        <v>21</v>
      </c>
      <c r="M4379" t="str">
        <f t="shared" si="204"/>
        <v>OK</v>
      </c>
      <c r="N4379" t="str">
        <f t="shared" si="205"/>
        <v>1980s</v>
      </c>
      <c r="O4379" t="str">
        <f t="shared" si="206"/>
        <v>Medium</v>
      </c>
      <c r="P4379" t="str">
        <f>VLOOKUP(E4379,calculated_fields!$F$4:$G$6,2,FALSE)</f>
        <v>Health</v>
      </c>
    </row>
    <row r="4380" spans="1:16">
      <c r="A4380" t="s">
        <v>5993</v>
      </c>
      <c r="B4380" t="s">
        <v>5963</v>
      </c>
      <c r="C4380" t="s">
        <v>130</v>
      </c>
      <c r="D4380">
        <v>1987</v>
      </c>
      <c r="E4380" t="s">
        <v>23</v>
      </c>
      <c r="F4380" t="s">
        <v>24</v>
      </c>
      <c r="G4380" t="s">
        <v>25</v>
      </c>
      <c r="H4380" t="s">
        <v>26</v>
      </c>
      <c r="I4380">
        <v>779348</v>
      </c>
      <c r="J4380" t="s">
        <v>27</v>
      </c>
      <c r="K4380" t="s">
        <v>5992</v>
      </c>
      <c r="L4380" t="s">
        <v>21</v>
      </c>
      <c r="M4380" t="str">
        <f t="shared" si="204"/>
        <v>OK</v>
      </c>
      <c r="N4380" t="str">
        <f t="shared" si="205"/>
        <v>1980s</v>
      </c>
      <c r="O4380" t="str">
        <f t="shared" si="206"/>
        <v>N/A</v>
      </c>
      <c r="P4380" t="str">
        <f>VLOOKUP(E4380,calculated_fields!$F$4:$G$6,2,FALSE)</f>
        <v>Demographics</v>
      </c>
    </row>
    <row r="4381" spans="1:16">
      <c r="A4381" t="s">
        <v>5994</v>
      </c>
      <c r="B4381" t="s">
        <v>5963</v>
      </c>
      <c r="C4381" t="s">
        <v>130</v>
      </c>
      <c r="D4381">
        <v>1987</v>
      </c>
      <c r="E4381" t="s">
        <v>29</v>
      </c>
      <c r="F4381" t="s">
        <v>30</v>
      </c>
      <c r="G4381" t="s">
        <v>31</v>
      </c>
      <c r="H4381" t="s">
        <v>32</v>
      </c>
      <c r="I4381">
        <v>3984.8398120000002</v>
      </c>
      <c r="J4381" t="s">
        <v>33</v>
      </c>
      <c r="K4381" t="s">
        <v>5992</v>
      </c>
      <c r="L4381" t="s">
        <v>21</v>
      </c>
      <c r="M4381" t="str">
        <f t="shared" si="204"/>
        <v>OK</v>
      </c>
      <c r="N4381" t="str">
        <f t="shared" si="205"/>
        <v>1980s</v>
      </c>
      <c r="O4381" t="str">
        <f t="shared" si="206"/>
        <v>N/A</v>
      </c>
      <c r="P4381" t="str">
        <f>VLOOKUP(E4381,calculated_fields!$F$4:$G$6,2,FALSE)</f>
        <v>Economy</v>
      </c>
    </row>
    <row r="4382" spans="1:16">
      <c r="A4382" t="s">
        <v>5995</v>
      </c>
      <c r="B4382" t="s">
        <v>5963</v>
      </c>
      <c r="C4382" t="s">
        <v>130</v>
      </c>
      <c r="D4382">
        <v>1992</v>
      </c>
      <c r="E4382" t="s">
        <v>15</v>
      </c>
      <c r="F4382" t="s">
        <v>16</v>
      </c>
      <c r="G4382" t="s">
        <v>17</v>
      </c>
      <c r="H4382" t="s">
        <v>18</v>
      </c>
      <c r="I4382">
        <v>58.473999999999997</v>
      </c>
      <c r="J4382" t="s">
        <v>19</v>
      </c>
      <c r="K4382" t="s">
        <v>5996</v>
      </c>
      <c r="L4382" t="s">
        <v>21</v>
      </c>
      <c r="M4382" t="str">
        <f t="shared" si="204"/>
        <v>OK</v>
      </c>
      <c r="N4382" t="str">
        <f t="shared" si="205"/>
        <v>1990s</v>
      </c>
      <c r="O4382" t="str">
        <f t="shared" si="206"/>
        <v>Medium</v>
      </c>
      <c r="P4382" t="str">
        <f>VLOOKUP(E4382,calculated_fields!$F$4:$G$6,2,FALSE)</f>
        <v>Health</v>
      </c>
    </row>
    <row r="4383" spans="1:16">
      <c r="A4383" t="s">
        <v>5997</v>
      </c>
      <c r="B4383" t="s">
        <v>5963</v>
      </c>
      <c r="C4383" t="s">
        <v>130</v>
      </c>
      <c r="D4383">
        <v>1992</v>
      </c>
      <c r="E4383" t="s">
        <v>23</v>
      </c>
      <c r="F4383" t="s">
        <v>24</v>
      </c>
      <c r="G4383" t="s">
        <v>25</v>
      </c>
      <c r="H4383" t="s">
        <v>26</v>
      </c>
      <c r="I4383">
        <v>962344</v>
      </c>
      <c r="J4383" t="s">
        <v>27</v>
      </c>
      <c r="K4383" t="s">
        <v>5996</v>
      </c>
      <c r="L4383" t="s">
        <v>21</v>
      </c>
      <c r="M4383" t="str">
        <f t="shared" si="204"/>
        <v>OK</v>
      </c>
      <c r="N4383" t="str">
        <f t="shared" si="205"/>
        <v>1990s</v>
      </c>
      <c r="O4383" t="str">
        <f t="shared" si="206"/>
        <v>N/A</v>
      </c>
      <c r="P4383" t="str">
        <f>VLOOKUP(E4383,calculated_fields!$F$4:$G$6,2,FALSE)</f>
        <v>Demographics</v>
      </c>
    </row>
    <row r="4384" spans="1:16">
      <c r="A4384" t="s">
        <v>5998</v>
      </c>
      <c r="B4384" t="s">
        <v>5963</v>
      </c>
      <c r="C4384" t="s">
        <v>130</v>
      </c>
      <c r="D4384">
        <v>1992</v>
      </c>
      <c r="E4384" t="s">
        <v>29</v>
      </c>
      <c r="F4384" t="s">
        <v>30</v>
      </c>
      <c r="G4384" t="s">
        <v>31</v>
      </c>
      <c r="H4384" t="s">
        <v>32</v>
      </c>
      <c r="I4384">
        <v>3553.0223999999998</v>
      </c>
      <c r="J4384" t="s">
        <v>33</v>
      </c>
      <c r="K4384" t="s">
        <v>5996</v>
      </c>
      <c r="L4384" t="s">
        <v>21</v>
      </c>
      <c r="M4384" t="str">
        <f t="shared" si="204"/>
        <v>OK</v>
      </c>
      <c r="N4384" t="str">
        <f t="shared" si="205"/>
        <v>1990s</v>
      </c>
      <c r="O4384" t="str">
        <f t="shared" si="206"/>
        <v>N/A</v>
      </c>
      <c r="P4384" t="str">
        <f>VLOOKUP(E4384,calculated_fields!$F$4:$G$6,2,FALSE)</f>
        <v>Economy</v>
      </c>
    </row>
    <row r="4385" spans="1:16">
      <c r="A4385" t="s">
        <v>5999</v>
      </c>
      <c r="B4385" t="s">
        <v>5963</v>
      </c>
      <c r="C4385" t="s">
        <v>130</v>
      </c>
      <c r="D4385">
        <v>1997</v>
      </c>
      <c r="E4385" t="s">
        <v>15</v>
      </c>
      <c r="F4385" t="s">
        <v>16</v>
      </c>
      <c r="G4385" t="s">
        <v>17</v>
      </c>
      <c r="H4385" t="s">
        <v>18</v>
      </c>
      <c r="I4385">
        <v>54.289000000000001</v>
      </c>
      <c r="J4385" t="s">
        <v>19</v>
      </c>
      <c r="K4385" t="s">
        <v>6000</v>
      </c>
      <c r="L4385" t="s">
        <v>21</v>
      </c>
      <c r="M4385" t="str">
        <f t="shared" si="204"/>
        <v>OK</v>
      </c>
      <c r="N4385" t="str">
        <f t="shared" si="205"/>
        <v>1990s</v>
      </c>
      <c r="O4385" t="str">
        <f t="shared" si="206"/>
        <v>Low</v>
      </c>
      <c r="P4385" t="str">
        <f>VLOOKUP(E4385,calculated_fields!$F$4:$G$6,2,FALSE)</f>
        <v>Health</v>
      </c>
    </row>
    <row r="4386" spans="1:16">
      <c r="A4386" t="s">
        <v>6001</v>
      </c>
      <c r="B4386" t="s">
        <v>5963</v>
      </c>
      <c r="C4386" t="s">
        <v>130</v>
      </c>
      <c r="D4386">
        <v>1997</v>
      </c>
      <c r="E4386" t="s">
        <v>23</v>
      </c>
      <c r="F4386" t="s">
        <v>24</v>
      </c>
      <c r="G4386" t="s">
        <v>25</v>
      </c>
      <c r="H4386" t="s">
        <v>26</v>
      </c>
      <c r="I4386">
        <v>1054486</v>
      </c>
      <c r="J4386" t="s">
        <v>27</v>
      </c>
      <c r="K4386" t="s">
        <v>6000</v>
      </c>
      <c r="L4386" t="s">
        <v>21</v>
      </c>
      <c r="M4386" t="str">
        <f t="shared" si="204"/>
        <v>OK</v>
      </c>
      <c r="N4386" t="str">
        <f t="shared" si="205"/>
        <v>1990s</v>
      </c>
      <c r="O4386" t="str">
        <f t="shared" si="206"/>
        <v>N/A</v>
      </c>
      <c r="P4386" t="str">
        <f>VLOOKUP(E4386,calculated_fields!$F$4:$G$6,2,FALSE)</f>
        <v>Demographics</v>
      </c>
    </row>
    <row r="4387" spans="1:16">
      <c r="A4387" t="s">
        <v>6002</v>
      </c>
      <c r="B4387" t="s">
        <v>5963</v>
      </c>
      <c r="C4387" t="s">
        <v>130</v>
      </c>
      <c r="D4387">
        <v>1997</v>
      </c>
      <c r="E4387" t="s">
        <v>29</v>
      </c>
      <c r="F4387" t="s">
        <v>30</v>
      </c>
      <c r="G4387" t="s">
        <v>31</v>
      </c>
      <c r="H4387" t="s">
        <v>32</v>
      </c>
      <c r="I4387">
        <v>3876.7684599999998</v>
      </c>
      <c r="J4387" t="s">
        <v>33</v>
      </c>
      <c r="K4387" t="s">
        <v>6000</v>
      </c>
      <c r="L4387" t="s">
        <v>21</v>
      </c>
      <c r="M4387" t="str">
        <f t="shared" si="204"/>
        <v>OK</v>
      </c>
      <c r="N4387" t="str">
        <f t="shared" si="205"/>
        <v>1990s</v>
      </c>
      <c r="O4387" t="str">
        <f t="shared" si="206"/>
        <v>N/A</v>
      </c>
      <c r="P4387" t="str">
        <f>VLOOKUP(E4387,calculated_fields!$F$4:$G$6,2,FALSE)</f>
        <v>Economy</v>
      </c>
    </row>
    <row r="4388" spans="1:16">
      <c r="A4388" t="s">
        <v>6003</v>
      </c>
      <c r="B4388" t="s">
        <v>5963</v>
      </c>
      <c r="C4388" t="s">
        <v>130</v>
      </c>
      <c r="D4388">
        <v>2002</v>
      </c>
      <c r="E4388" t="s">
        <v>15</v>
      </c>
      <c r="F4388" t="s">
        <v>16</v>
      </c>
      <c r="G4388" t="s">
        <v>17</v>
      </c>
      <c r="H4388" t="s">
        <v>18</v>
      </c>
      <c r="I4388">
        <v>43.869</v>
      </c>
      <c r="J4388" t="s">
        <v>19</v>
      </c>
      <c r="K4388" t="s">
        <v>6004</v>
      </c>
      <c r="L4388" t="s">
        <v>21</v>
      </c>
      <c r="M4388" t="str">
        <f t="shared" si="204"/>
        <v>OK</v>
      </c>
      <c r="N4388" t="str">
        <f t="shared" si="205"/>
        <v>2000s</v>
      </c>
      <c r="O4388" t="str">
        <f t="shared" si="206"/>
        <v>Low</v>
      </c>
      <c r="P4388" t="str">
        <f>VLOOKUP(E4388,calculated_fields!$F$4:$G$6,2,FALSE)</f>
        <v>Health</v>
      </c>
    </row>
    <row r="4389" spans="1:16">
      <c r="A4389" t="s">
        <v>6005</v>
      </c>
      <c r="B4389" t="s">
        <v>5963</v>
      </c>
      <c r="C4389" t="s">
        <v>130</v>
      </c>
      <c r="D4389">
        <v>2002</v>
      </c>
      <c r="E4389" t="s">
        <v>23</v>
      </c>
      <c r="F4389" t="s">
        <v>24</v>
      </c>
      <c r="G4389" t="s">
        <v>25</v>
      </c>
      <c r="H4389" t="s">
        <v>26</v>
      </c>
      <c r="I4389">
        <v>1130269</v>
      </c>
      <c r="J4389" t="s">
        <v>27</v>
      </c>
      <c r="K4389" t="s">
        <v>6004</v>
      </c>
      <c r="L4389" t="s">
        <v>21</v>
      </c>
      <c r="M4389" t="str">
        <f t="shared" si="204"/>
        <v>OK</v>
      </c>
      <c r="N4389" t="str">
        <f t="shared" si="205"/>
        <v>2000s</v>
      </c>
      <c r="O4389" t="str">
        <f t="shared" si="206"/>
        <v>N/A</v>
      </c>
      <c r="P4389" t="str">
        <f>VLOOKUP(E4389,calculated_fields!$F$4:$G$6,2,FALSE)</f>
        <v>Demographics</v>
      </c>
    </row>
    <row r="4390" spans="1:16">
      <c r="A4390" t="s">
        <v>6006</v>
      </c>
      <c r="B4390" t="s">
        <v>5963</v>
      </c>
      <c r="C4390" t="s">
        <v>130</v>
      </c>
      <c r="D4390">
        <v>2002</v>
      </c>
      <c r="E4390" t="s">
        <v>29</v>
      </c>
      <c r="F4390" t="s">
        <v>30</v>
      </c>
      <c r="G4390" t="s">
        <v>31</v>
      </c>
      <c r="H4390" t="s">
        <v>32</v>
      </c>
      <c r="I4390">
        <v>4128.116943</v>
      </c>
      <c r="J4390" t="s">
        <v>33</v>
      </c>
      <c r="K4390" t="s">
        <v>6004</v>
      </c>
      <c r="L4390" t="s">
        <v>21</v>
      </c>
      <c r="M4390" t="str">
        <f t="shared" si="204"/>
        <v>OK</v>
      </c>
      <c r="N4390" t="str">
        <f t="shared" si="205"/>
        <v>2000s</v>
      </c>
      <c r="O4390" t="str">
        <f t="shared" si="206"/>
        <v>N/A</v>
      </c>
      <c r="P4390" t="str">
        <f>VLOOKUP(E4390,calculated_fields!$F$4:$G$6,2,FALSE)</f>
        <v>Economy</v>
      </c>
    </row>
    <row r="4391" spans="1:16">
      <c r="A4391" t="s">
        <v>6007</v>
      </c>
      <c r="B4391" t="s">
        <v>5963</v>
      </c>
      <c r="C4391" t="s">
        <v>130</v>
      </c>
      <c r="D4391">
        <v>2007</v>
      </c>
      <c r="E4391" t="s">
        <v>15</v>
      </c>
      <c r="F4391" t="s">
        <v>16</v>
      </c>
      <c r="G4391" t="s">
        <v>17</v>
      </c>
      <c r="H4391" t="s">
        <v>18</v>
      </c>
      <c r="I4391">
        <v>39.613</v>
      </c>
      <c r="J4391" t="s">
        <v>19</v>
      </c>
      <c r="K4391" t="s">
        <v>6008</v>
      </c>
      <c r="L4391" t="s">
        <v>21</v>
      </c>
      <c r="M4391" t="str">
        <f t="shared" si="204"/>
        <v>OK</v>
      </c>
      <c r="N4391" t="str">
        <f t="shared" si="205"/>
        <v>2000s</v>
      </c>
      <c r="O4391" t="str">
        <f t="shared" si="206"/>
        <v>Low</v>
      </c>
      <c r="P4391" t="str">
        <f>VLOOKUP(E4391,calculated_fields!$F$4:$G$6,2,FALSE)</f>
        <v>Health</v>
      </c>
    </row>
    <row r="4392" spans="1:16">
      <c r="A4392" t="s">
        <v>6009</v>
      </c>
      <c r="B4392" t="s">
        <v>5963</v>
      </c>
      <c r="C4392" t="s">
        <v>130</v>
      </c>
      <c r="D4392">
        <v>2007</v>
      </c>
      <c r="E4392" t="s">
        <v>23</v>
      </c>
      <c r="F4392" t="s">
        <v>24</v>
      </c>
      <c r="G4392" t="s">
        <v>25</v>
      </c>
      <c r="H4392" t="s">
        <v>26</v>
      </c>
      <c r="I4392">
        <v>1133066</v>
      </c>
      <c r="J4392" t="s">
        <v>27</v>
      </c>
      <c r="K4392" t="s">
        <v>6008</v>
      </c>
      <c r="L4392" t="s">
        <v>21</v>
      </c>
      <c r="M4392" t="str">
        <f t="shared" si="204"/>
        <v>OK</v>
      </c>
      <c r="N4392" t="str">
        <f t="shared" si="205"/>
        <v>2000s</v>
      </c>
      <c r="O4392" t="str">
        <f t="shared" si="206"/>
        <v>N/A</v>
      </c>
      <c r="P4392" t="str">
        <f>VLOOKUP(E4392,calculated_fields!$F$4:$G$6,2,FALSE)</f>
        <v>Demographics</v>
      </c>
    </row>
    <row r="4393" spans="1:16">
      <c r="A4393" t="s">
        <v>6010</v>
      </c>
      <c r="B4393" t="s">
        <v>5963</v>
      </c>
      <c r="C4393" t="s">
        <v>130</v>
      </c>
      <c r="D4393">
        <v>2007</v>
      </c>
      <c r="E4393" t="s">
        <v>29</v>
      </c>
      <c r="F4393" t="s">
        <v>30</v>
      </c>
      <c r="G4393" t="s">
        <v>31</v>
      </c>
      <c r="H4393" t="s">
        <v>32</v>
      </c>
      <c r="I4393">
        <v>4513.4806429999999</v>
      </c>
      <c r="J4393" t="s">
        <v>33</v>
      </c>
      <c r="K4393" t="s">
        <v>6008</v>
      </c>
      <c r="L4393" t="s">
        <v>21</v>
      </c>
      <c r="M4393" t="str">
        <f t="shared" si="204"/>
        <v>OK</v>
      </c>
      <c r="N4393" t="str">
        <f t="shared" si="205"/>
        <v>2000s</v>
      </c>
      <c r="O4393" t="str">
        <f t="shared" si="206"/>
        <v>N/A</v>
      </c>
      <c r="P4393" t="str">
        <f>VLOOKUP(E4393,calculated_fields!$F$4:$G$6,2,FALSE)</f>
        <v>Economy</v>
      </c>
    </row>
    <row r="4394" spans="1:16">
      <c r="A4394" t="s">
        <v>6011</v>
      </c>
      <c r="B4394" t="s">
        <v>6012</v>
      </c>
      <c r="C4394" t="s">
        <v>80</v>
      </c>
      <c r="D4394">
        <v>1952</v>
      </c>
      <c r="E4394" t="s">
        <v>15</v>
      </c>
      <c r="F4394" t="s">
        <v>16</v>
      </c>
      <c r="G4394" t="s">
        <v>17</v>
      </c>
      <c r="H4394" t="s">
        <v>18</v>
      </c>
      <c r="I4394">
        <v>71.86</v>
      </c>
      <c r="J4394" t="s">
        <v>19</v>
      </c>
      <c r="K4394" t="s">
        <v>6013</v>
      </c>
      <c r="L4394" t="s">
        <v>21</v>
      </c>
      <c r="M4394" t="str">
        <f t="shared" si="204"/>
        <v>OK</v>
      </c>
      <c r="N4394" t="str">
        <f t="shared" si="205"/>
        <v>1950s</v>
      </c>
      <c r="O4394" t="str">
        <f t="shared" si="206"/>
        <v>High</v>
      </c>
      <c r="P4394" t="str">
        <f>VLOOKUP(E4394,calculated_fields!$F$4:$G$6,2,FALSE)</f>
        <v>Health</v>
      </c>
    </row>
    <row r="4395" spans="1:16">
      <c r="A4395" t="s">
        <v>6014</v>
      </c>
      <c r="B4395" t="s">
        <v>6012</v>
      </c>
      <c r="C4395" t="s">
        <v>80</v>
      </c>
      <c r="D4395">
        <v>1952</v>
      </c>
      <c r="E4395" t="s">
        <v>23</v>
      </c>
      <c r="F4395" t="s">
        <v>24</v>
      </c>
      <c r="G4395" t="s">
        <v>25</v>
      </c>
      <c r="H4395" t="s">
        <v>26</v>
      </c>
      <c r="I4395">
        <v>7124673</v>
      </c>
      <c r="J4395" t="s">
        <v>27</v>
      </c>
      <c r="K4395" t="s">
        <v>6013</v>
      </c>
      <c r="L4395" t="s">
        <v>21</v>
      </c>
      <c r="M4395" t="str">
        <f t="shared" si="204"/>
        <v>OK</v>
      </c>
      <c r="N4395" t="str">
        <f t="shared" si="205"/>
        <v>1950s</v>
      </c>
      <c r="O4395" t="str">
        <f t="shared" si="206"/>
        <v>N/A</v>
      </c>
      <c r="P4395" t="str">
        <f>VLOOKUP(E4395,calculated_fields!$F$4:$G$6,2,FALSE)</f>
        <v>Demographics</v>
      </c>
    </row>
    <row r="4396" spans="1:16">
      <c r="A4396" t="s">
        <v>6015</v>
      </c>
      <c r="B4396" t="s">
        <v>6012</v>
      </c>
      <c r="C4396" t="s">
        <v>80</v>
      </c>
      <c r="D4396">
        <v>1952</v>
      </c>
      <c r="E4396" t="s">
        <v>29</v>
      </c>
      <c r="F4396" t="s">
        <v>30</v>
      </c>
      <c r="G4396" t="s">
        <v>31</v>
      </c>
      <c r="H4396" t="s">
        <v>32</v>
      </c>
      <c r="I4396">
        <v>8527.8446619999995</v>
      </c>
      <c r="J4396" t="s">
        <v>33</v>
      </c>
      <c r="K4396" t="s">
        <v>6013</v>
      </c>
      <c r="L4396" t="s">
        <v>21</v>
      </c>
      <c r="M4396" t="str">
        <f t="shared" si="204"/>
        <v>OK</v>
      </c>
      <c r="N4396" t="str">
        <f t="shared" si="205"/>
        <v>1950s</v>
      </c>
      <c r="O4396" t="str">
        <f t="shared" si="206"/>
        <v>N/A</v>
      </c>
      <c r="P4396" t="str">
        <f>VLOOKUP(E4396,calculated_fields!$F$4:$G$6,2,FALSE)</f>
        <v>Economy</v>
      </c>
    </row>
    <row r="4397" spans="1:16">
      <c r="A4397" t="s">
        <v>6016</v>
      </c>
      <c r="B4397" t="s">
        <v>6012</v>
      </c>
      <c r="C4397" t="s">
        <v>80</v>
      </c>
      <c r="D4397">
        <v>1957</v>
      </c>
      <c r="E4397" t="s">
        <v>15</v>
      </c>
      <c r="F4397" t="s">
        <v>16</v>
      </c>
      <c r="G4397" t="s">
        <v>17</v>
      </c>
      <c r="H4397" t="s">
        <v>18</v>
      </c>
      <c r="I4397">
        <v>72.489999999999995</v>
      </c>
      <c r="J4397" t="s">
        <v>19</v>
      </c>
      <c r="K4397" t="s">
        <v>6017</v>
      </c>
      <c r="L4397" t="s">
        <v>21</v>
      </c>
      <c r="M4397" t="str">
        <f t="shared" si="204"/>
        <v>OK</v>
      </c>
      <c r="N4397" t="str">
        <f t="shared" si="205"/>
        <v>1950s</v>
      </c>
      <c r="O4397" t="str">
        <f t="shared" si="206"/>
        <v>High</v>
      </c>
      <c r="P4397" t="str">
        <f>VLOOKUP(E4397,calculated_fields!$F$4:$G$6,2,FALSE)</f>
        <v>Health</v>
      </c>
    </row>
    <row r="4398" spans="1:16">
      <c r="A4398" t="s">
        <v>6018</v>
      </c>
      <c r="B4398" t="s">
        <v>6012</v>
      </c>
      <c r="C4398" t="s">
        <v>80</v>
      </c>
      <c r="D4398">
        <v>1957</v>
      </c>
      <c r="E4398" t="s">
        <v>23</v>
      </c>
      <c r="F4398" t="s">
        <v>24</v>
      </c>
      <c r="G4398" t="s">
        <v>25</v>
      </c>
      <c r="H4398" t="s">
        <v>26</v>
      </c>
      <c r="I4398">
        <v>7363802</v>
      </c>
      <c r="J4398" t="s">
        <v>27</v>
      </c>
      <c r="K4398" t="s">
        <v>6017</v>
      </c>
      <c r="L4398" t="s">
        <v>21</v>
      </c>
      <c r="M4398" t="str">
        <f t="shared" si="204"/>
        <v>OK</v>
      </c>
      <c r="N4398" t="str">
        <f t="shared" si="205"/>
        <v>1950s</v>
      </c>
      <c r="O4398" t="str">
        <f t="shared" si="206"/>
        <v>N/A</v>
      </c>
      <c r="P4398" t="str">
        <f>VLOOKUP(E4398,calculated_fields!$F$4:$G$6,2,FALSE)</f>
        <v>Demographics</v>
      </c>
    </row>
    <row r="4399" spans="1:16">
      <c r="A4399" t="s">
        <v>6019</v>
      </c>
      <c r="B4399" t="s">
        <v>6012</v>
      </c>
      <c r="C4399" t="s">
        <v>80</v>
      </c>
      <c r="D4399">
        <v>1957</v>
      </c>
      <c r="E4399" t="s">
        <v>29</v>
      </c>
      <c r="F4399" t="s">
        <v>30</v>
      </c>
      <c r="G4399" t="s">
        <v>31</v>
      </c>
      <c r="H4399" t="s">
        <v>32</v>
      </c>
      <c r="I4399">
        <v>9911.8782260000007</v>
      </c>
      <c r="J4399" t="s">
        <v>33</v>
      </c>
      <c r="K4399" t="s">
        <v>6017</v>
      </c>
      <c r="L4399" t="s">
        <v>21</v>
      </c>
      <c r="M4399" t="str">
        <f t="shared" si="204"/>
        <v>OK</v>
      </c>
      <c r="N4399" t="str">
        <f t="shared" si="205"/>
        <v>1950s</v>
      </c>
      <c r="O4399" t="str">
        <f t="shared" si="206"/>
        <v>N/A</v>
      </c>
      <c r="P4399" t="str">
        <f>VLOOKUP(E4399,calculated_fields!$F$4:$G$6,2,FALSE)</f>
        <v>Economy</v>
      </c>
    </row>
    <row r="4400" spans="1:16">
      <c r="A4400" t="s">
        <v>6020</v>
      </c>
      <c r="B4400" t="s">
        <v>6012</v>
      </c>
      <c r="C4400" t="s">
        <v>80</v>
      </c>
      <c r="D4400">
        <v>1962</v>
      </c>
      <c r="E4400" t="s">
        <v>15</v>
      </c>
      <c r="F4400" t="s">
        <v>16</v>
      </c>
      <c r="G4400" t="s">
        <v>17</v>
      </c>
      <c r="H4400" t="s">
        <v>18</v>
      </c>
      <c r="I4400">
        <v>73.37</v>
      </c>
      <c r="J4400" t="s">
        <v>19</v>
      </c>
      <c r="K4400" t="s">
        <v>6021</v>
      </c>
      <c r="L4400" t="s">
        <v>21</v>
      </c>
      <c r="M4400" t="str">
        <f t="shared" si="204"/>
        <v>OK</v>
      </c>
      <c r="N4400" t="str">
        <f t="shared" si="205"/>
        <v>1960s</v>
      </c>
      <c r="O4400" t="str">
        <f t="shared" si="206"/>
        <v>High</v>
      </c>
      <c r="P4400" t="str">
        <f>VLOOKUP(E4400,calculated_fields!$F$4:$G$6,2,FALSE)</f>
        <v>Health</v>
      </c>
    </row>
    <row r="4401" spans="1:16">
      <c r="A4401" t="s">
        <v>6022</v>
      </c>
      <c r="B4401" t="s">
        <v>6012</v>
      </c>
      <c r="C4401" t="s">
        <v>80</v>
      </c>
      <c r="D4401">
        <v>1962</v>
      </c>
      <c r="E4401" t="s">
        <v>23</v>
      </c>
      <c r="F4401" t="s">
        <v>24</v>
      </c>
      <c r="G4401" t="s">
        <v>25</v>
      </c>
      <c r="H4401" t="s">
        <v>26</v>
      </c>
      <c r="I4401">
        <v>7561588</v>
      </c>
      <c r="J4401" t="s">
        <v>27</v>
      </c>
      <c r="K4401" t="s">
        <v>6021</v>
      </c>
      <c r="L4401" t="s">
        <v>21</v>
      </c>
      <c r="M4401" t="str">
        <f t="shared" si="204"/>
        <v>OK</v>
      </c>
      <c r="N4401" t="str">
        <f t="shared" si="205"/>
        <v>1960s</v>
      </c>
      <c r="O4401" t="str">
        <f t="shared" si="206"/>
        <v>N/A</v>
      </c>
      <c r="P4401" t="str">
        <f>VLOOKUP(E4401,calculated_fields!$F$4:$G$6,2,FALSE)</f>
        <v>Demographics</v>
      </c>
    </row>
    <row r="4402" spans="1:16">
      <c r="A4402" t="s">
        <v>6023</v>
      </c>
      <c r="B4402" t="s">
        <v>6012</v>
      </c>
      <c r="C4402" t="s">
        <v>80</v>
      </c>
      <c r="D4402">
        <v>1962</v>
      </c>
      <c r="E4402" t="s">
        <v>29</v>
      </c>
      <c r="F4402" t="s">
        <v>30</v>
      </c>
      <c r="G4402" t="s">
        <v>31</v>
      </c>
      <c r="H4402" t="s">
        <v>32</v>
      </c>
      <c r="I4402">
        <v>12329.441919999999</v>
      </c>
      <c r="J4402" t="s">
        <v>33</v>
      </c>
      <c r="K4402" t="s">
        <v>6021</v>
      </c>
      <c r="L4402" t="s">
        <v>21</v>
      </c>
      <c r="M4402" t="str">
        <f t="shared" si="204"/>
        <v>OK</v>
      </c>
      <c r="N4402" t="str">
        <f t="shared" si="205"/>
        <v>1960s</v>
      </c>
      <c r="O4402" t="str">
        <f t="shared" si="206"/>
        <v>N/A</v>
      </c>
      <c r="P4402" t="str">
        <f>VLOOKUP(E4402,calculated_fields!$F$4:$G$6,2,FALSE)</f>
        <v>Economy</v>
      </c>
    </row>
    <row r="4403" spans="1:16">
      <c r="A4403" t="s">
        <v>6024</v>
      </c>
      <c r="B4403" t="s">
        <v>6012</v>
      </c>
      <c r="C4403" t="s">
        <v>80</v>
      </c>
      <c r="D4403">
        <v>1967</v>
      </c>
      <c r="E4403" t="s">
        <v>15</v>
      </c>
      <c r="F4403" t="s">
        <v>16</v>
      </c>
      <c r="G4403" t="s">
        <v>17</v>
      </c>
      <c r="H4403" t="s">
        <v>18</v>
      </c>
      <c r="I4403">
        <v>74.16</v>
      </c>
      <c r="J4403" t="s">
        <v>19</v>
      </c>
      <c r="K4403" t="s">
        <v>6025</v>
      </c>
      <c r="L4403" t="s">
        <v>21</v>
      </c>
      <c r="M4403" t="str">
        <f t="shared" si="204"/>
        <v>OK</v>
      </c>
      <c r="N4403" t="str">
        <f t="shared" si="205"/>
        <v>1960s</v>
      </c>
      <c r="O4403" t="str">
        <f t="shared" si="206"/>
        <v>High</v>
      </c>
      <c r="P4403" t="str">
        <f>VLOOKUP(E4403,calculated_fields!$F$4:$G$6,2,FALSE)</f>
        <v>Health</v>
      </c>
    </row>
    <row r="4404" spans="1:16">
      <c r="A4404" t="s">
        <v>6026</v>
      </c>
      <c r="B4404" t="s">
        <v>6012</v>
      </c>
      <c r="C4404" t="s">
        <v>80</v>
      </c>
      <c r="D4404">
        <v>1967</v>
      </c>
      <c r="E4404" t="s">
        <v>23</v>
      </c>
      <c r="F4404" t="s">
        <v>24</v>
      </c>
      <c r="G4404" t="s">
        <v>25</v>
      </c>
      <c r="H4404" t="s">
        <v>26</v>
      </c>
      <c r="I4404">
        <v>7867931</v>
      </c>
      <c r="J4404" t="s">
        <v>27</v>
      </c>
      <c r="K4404" t="s">
        <v>6025</v>
      </c>
      <c r="L4404" t="s">
        <v>21</v>
      </c>
      <c r="M4404" t="str">
        <f t="shared" si="204"/>
        <v>OK</v>
      </c>
      <c r="N4404" t="str">
        <f t="shared" si="205"/>
        <v>1960s</v>
      </c>
      <c r="O4404" t="str">
        <f t="shared" si="206"/>
        <v>N/A</v>
      </c>
      <c r="P4404" t="str">
        <f>VLOOKUP(E4404,calculated_fields!$F$4:$G$6,2,FALSE)</f>
        <v>Demographics</v>
      </c>
    </row>
    <row r="4405" spans="1:16">
      <c r="A4405" t="s">
        <v>6027</v>
      </c>
      <c r="B4405" t="s">
        <v>6012</v>
      </c>
      <c r="C4405" t="s">
        <v>80</v>
      </c>
      <c r="D4405">
        <v>1967</v>
      </c>
      <c r="E4405" t="s">
        <v>29</v>
      </c>
      <c r="F4405" t="s">
        <v>30</v>
      </c>
      <c r="G4405" t="s">
        <v>31</v>
      </c>
      <c r="H4405" t="s">
        <v>32</v>
      </c>
      <c r="I4405">
        <v>15258.296969999999</v>
      </c>
      <c r="J4405" t="s">
        <v>33</v>
      </c>
      <c r="K4405" t="s">
        <v>6025</v>
      </c>
      <c r="L4405" t="s">
        <v>21</v>
      </c>
      <c r="M4405" t="str">
        <f t="shared" si="204"/>
        <v>OK</v>
      </c>
      <c r="N4405" t="str">
        <f t="shared" si="205"/>
        <v>1960s</v>
      </c>
      <c r="O4405" t="str">
        <f t="shared" si="206"/>
        <v>N/A</v>
      </c>
      <c r="P4405" t="str">
        <f>VLOOKUP(E4405,calculated_fields!$F$4:$G$6,2,FALSE)</f>
        <v>Economy</v>
      </c>
    </row>
    <row r="4406" spans="1:16">
      <c r="A4406" t="s">
        <v>6028</v>
      </c>
      <c r="B4406" t="s">
        <v>6012</v>
      </c>
      <c r="C4406" t="s">
        <v>80</v>
      </c>
      <c r="D4406">
        <v>1972</v>
      </c>
      <c r="E4406" t="s">
        <v>15</v>
      </c>
      <c r="F4406" t="s">
        <v>16</v>
      </c>
      <c r="G4406" t="s">
        <v>17</v>
      </c>
      <c r="H4406" t="s">
        <v>18</v>
      </c>
      <c r="I4406">
        <v>74.72</v>
      </c>
      <c r="J4406" t="s">
        <v>19</v>
      </c>
      <c r="K4406" t="s">
        <v>6029</v>
      </c>
      <c r="L4406" t="s">
        <v>21</v>
      </c>
      <c r="M4406" t="str">
        <f t="shared" si="204"/>
        <v>OK</v>
      </c>
      <c r="N4406" t="str">
        <f t="shared" si="205"/>
        <v>1970s</v>
      </c>
      <c r="O4406" t="str">
        <f t="shared" si="206"/>
        <v>High</v>
      </c>
      <c r="P4406" t="str">
        <f>VLOOKUP(E4406,calculated_fields!$F$4:$G$6,2,FALSE)</f>
        <v>Health</v>
      </c>
    </row>
    <row r="4407" spans="1:16">
      <c r="A4407" t="s">
        <v>6030</v>
      </c>
      <c r="B4407" t="s">
        <v>6012</v>
      </c>
      <c r="C4407" t="s">
        <v>80</v>
      </c>
      <c r="D4407">
        <v>1972</v>
      </c>
      <c r="E4407" t="s">
        <v>23</v>
      </c>
      <c r="F4407" t="s">
        <v>24</v>
      </c>
      <c r="G4407" t="s">
        <v>25</v>
      </c>
      <c r="H4407" t="s">
        <v>26</v>
      </c>
      <c r="I4407">
        <v>8122293</v>
      </c>
      <c r="J4407" t="s">
        <v>27</v>
      </c>
      <c r="K4407" t="s">
        <v>6029</v>
      </c>
      <c r="L4407" t="s">
        <v>21</v>
      </c>
      <c r="M4407" t="str">
        <f t="shared" si="204"/>
        <v>OK</v>
      </c>
      <c r="N4407" t="str">
        <f t="shared" si="205"/>
        <v>1970s</v>
      </c>
      <c r="O4407" t="str">
        <f t="shared" si="206"/>
        <v>N/A</v>
      </c>
      <c r="P4407" t="str">
        <f>VLOOKUP(E4407,calculated_fields!$F$4:$G$6,2,FALSE)</f>
        <v>Demographics</v>
      </c>
    </row>
    <row r="4408" spans="1:16">
      <c r="A4408" t="s">
        <v>6031</v>
      </c>
      <c r="B4408" t="s">
        <v>6012</v>
      </c>
      <c r="C4408" t="s">
        <v>80</v>
      </c>
      <c r="D4408">
        <v>1972</v>
      </c>
      <c r="E4408" t="s">
        <v>29</v>
      </c>
      <c r="F4408" t="s">
        <v>30</v>
      </c>
      <c r="G4408" t="s">
        <v>31</v>
      </c>
      <c r="H4408" t="s">
        <v>32</v>
      </c>
      <c r="I4408">
        <v>17832.02464</v>
      </c>
      <c r="J4408" t="s">
        <v>33</v>
      </c>
      <c r="K4408" t="s">
        <v>6029</v>
      </c>
      <c r="L4408" t="s">
        <v>21</v>
      </c>
      <c r="M4408" t="str">
        <f t="shared" si="204"/>
        <v>OK</v>
      </c>
      <c r="N4408" t="str">
        <f t="shared" si="205"/>
        <v>1970s</v>
      </c>
      <c r="O4408" t="str">
        <f t="shared" si="206"/>
        <v>N/A</v>
      </c>
      <c r="P4408" t="str">
        <f>VLOOKUP(E4408,calculated_fields!$F$4:$G$6,2,FALSE)</f>
        <v>Economy</v>
      </c>
    </row>
    <row r="4409" spans="1:16">
      <c r="A4409" t="s">
        <v>6032</v>
      </c>
      <c r="B4409" t="s">
        <v>6012</v>
      </c>
      <c r="C4409" t="s">
        <v>80</v>
      </c>
      <c r="D4409">
        <v>1977</v>
      </c>
      <c r="E4409" t="s">
        <v>15</v>
      </c>
      <c r="F4409" t="s">
        <v>16</v>
      </c>
      <c r="G4409" t="s">
        <v>17</v>
      </c>
      <c r="H4409" t="s">
        <v>18</v>
      </c>
      <c r="I4409">
        <v>75.44</v>
      </c>
      <c r="J4409" t="s">
        <v>19</v>
      </c>
      <c r="K4409" t="s">
        <v>6033</v>
      </c>
      <c r="L4409" t="s">
        <v>21</v>
      </c>
      <c r="M4409" t="str">
        <f t="shared" si="204"/>
        <v>OK</v>
      </c>
      <c r="N4409" t="str">
        <f t="shared" si="205"/>
        <v>1970s</v>
      </c>
      <c r="O4409" t="str">
        <f t="shared" si="206"/>
        <v>High</v>
      </c>
      <c r="P4409" t="str">
        <f>VLOOKUP(E4409,calculated_fields!$F$4:$G$6,2,FALSE)</f>
        <v>Health</v>
      </c>
    </row>
    <row r="4410" spans="1:16">
      <c r="A4410" t="s">
        <v>6034</v>
      </c>
      <c r="B4410" t="s">
        <v>6012</v>
      </c>
      <c r="C4410" t="s">
        <v>80</v>
      </c>
      <c r="D4410">
        <v>1977</v>
      </c>
      <c r="E4410" t="s">
        <v>23</v>
      </c>
      <c r="F4410" t="s">
        <v>24</v>
      </c>
      <c r="G4410" t="s">
        <v>25</v>
      </c>
      <c r="H4410" t="s">
        <v>26</v>
      </c>
      <c r="I4410">
        <v>8251648</v>
      </c>
      <c r="J4410" t="s">
        <v>27</v>
      </c>
      <c r="K4410" t="s">
        <v>6033</v>
      </c>
      <c r="L4410" t="s">
        <v>21</v>
      </c>
      <c r="M4410" t="str">
        <f t="shared" si="204"/>
        <v>OK</v>
      </c>
      <c r="N4410" t="str">
        <f t="shared" si="205"/>
        <v>1970s</v>
      </c>
      <c r="O4410" t="str">
        <f t="shared" si="206"/>
        <v>N/A</v>
      </c>
      <c r="P4410" t="str">
        <f>VLOOKUP(E4410,calculated_fields!$F$4:$G$6,2,FALSE)</f>
        <v>Demographics</v>
      </c>
    </row>
    <row r="4411" spans="1:16">
      <c r="A4411" t="s">
        <v>6035</v>
      </c>
      <c r="B4411" t="s">
        <v>6012</v>
      </c>
      <c r="C4411" t="s">
        <v>80</v>
      </c>
      <c r="D4411">
        <v>1977</v>
      </c>
      <c r="E4411" t="s">
        <v>29</v>
      </c>
      <c r="F4411" t="s">
        <v>30</v>
      </c>
      <c r="G4411" t="s">
        <v>31</v>
      </c>
      <c r="H4411" t="s">
        <v>32</v>
      </c>
      <c r="I4411">
        <v>18855.725210000001</v>
      </c>
      <c r="J4411" t="s">
        <v>33</v>
      </c>
      <c r="K4411" t="s">
        <v>6033</v>
      </c>
      <c r="L4411" t="s">
        <v>21</v>
      </c>
      <c r="M4411" t="str">
        <f t="shared" si="204"/>
        <v>OK</v>
      </c>
      <c r="N4411" t="str">
        <f t="shared" si="205"/>
        <v>1970s</v>
      </c>
      <c r="O4411" t="str">
        <f t="shared" si="206"/>
        <v>N/A</v>
      </c>
      <c r="P4411" t="str">
        <f>VLOOKUP(E4411,calculated_fields!$F$4:$G$6,2,FALSE)</f>
        <v>Economy</v>
      </c>
    </row>
    <row r="4412" spans="1:16">
      <c r="A4412" t="s">
        <v>6036</v>
      </c>
      <c r="B4412" t="s">
        <v>6012</v>
      </c>
      <c r="C4412" t="s">
        <v>80</v>
      </c>
      <c r="D4412">
        <v>1982</v>
      </c>
      <c r="E4412" t="s">
        <v>15</v>
      </c>
      <c r="F4412" t="s">
        <v>16</v>
      </c>
      <c r="G4412" t="s">
        <v>17</v>
      </c>
      <c r="H4412" t="s">
        <v>18</v>
      </c>
      <c r="I4412">
        <v>76.42</v>
      </c>
      <c r="J4412" t="s">
        <v>19</v>
      </c>
      <c r="K4412" t="s">
        <v>6037</v>
      </c>
      <c r="L4412" t="s">
        <v>21</v>
      </c>
      <c r="M4412" t="str">
        <f t="shared" si="204"/>
        <v>OK</v>
      </c>
      <c r="N4412" t="str">
        <f t="shared" si="205"/>
        <v>1980s</v>
      </c>
      <c r="O4412" t="str">
        <f t="shared" si="206"/>
        <v>High</v>
      </c>
      <c r="P4412" t="str">
        <f>VLOOKUP(E4412,calculated_fields!$F$4:$G$6,2,FALSE)</f>
        <v>Health</v>
      </c>
    </row>
    <row r="4413" spans="1:16">
      <c r="A4413" t="s">
        <v>6038</v>
      </c>
      <c r="B4413" t="s">
        <v>6012</v>
      </c>
      <c r="C4413" t="s">
        <v>80</v>
      </c>
      <c r="D4413">
        <v>1982</v>
      </c>
      <c r="E4413" t="s">
        <v>23</v>
      </c>
      <c r="F4413" t="s">
        <v>24</v>
      </c>
      <c r="G4413" t="s">
        <v>25</v>
      </c>
      <c r="H4413" t="s">
        <v>26</v>
      </c>
      <c r="I4413">
        <v>8325260</v>
      </c>
      <c r="J4413" t="s">
        <v>27</v>
      </c>
      <c r="K4413" t="s">
        <v>6037</v>
      </c>
      <c r="L4413" t="s">
        <v>21</v>
      </c>
      <c r="M4413" t="str">
        <f t="shared" si="204"/>
        <v>OK</v>
      </c>
      <c r="N4413" t="str">
        <f t="shared" si="205"/>
        <v>1980s</v>
      </c>
      <c r="O4413" t="str">
        <f t="shared" si="206"/>
        <v>N/A</v>
      </c>
      <c r="P4413" t="str">
        <f>VLOOKUP(E4413,calculated_fields!$F$4:$G$6,2,FALSE)</f>
        <v>Demographics</v>
      </c>
    </row>
    <row r="4414" spans="1:16">
      <c r="A4414" t="s">
        <v>6039</v>
      </c>
      <c r="B4414" t="s">
        <v>6012</v>
      </c>
      <c r="C4414" t="s">
        <v>80</v>
      </c>
      <c r="D4414">
        <v>1982</v>
      </c>
      <c r="E4414" t="s">
        <v>29</v>
      </c>
      <c r="F4414" t="s">
        <v>30</v>
      </c>
      <c r="G4414" t="s">
        <v>31</v>
      </c>
      <c r="H4414" t="s">
        <v>32</v>
      </c>
      <c r="I4414">
        <v>20667.381249999999</v>
      </c>
      <c r="J4414" t="s">
        <v>33</v>
      </c>
      <c r="K4414" t="s">
        <v>6037</v>
      </c>
      <c r="L4414" t="s">
        <v>21</v>
      </c>
      <c r="M4414" t="str">
        <f t="shared" si="204"/>
        <v>OK</v>
      </c>
      <c r="N4414" t="str">
        <f t="shared" si="205"/>
        <v>1980s</v>
      </c>
      <c r="O4414" t="str">
        <f t="shared" si="206"/>
        <v>N/A</v>
      </c>
      <c r="P4414" t="str">
        <f>VLOOKUP(E4414,calculated_fields!$F$4:$G$6,2,FALSE)</f>
        <v>Economy</v>
      </c>
    </row>
    <row r="4415" spans="1:16">
      <c r="A4415" t="s">
        <v>6040</v>
      </c>
      <c r="B4415" t="s">
        <v>6012</v>
      </c>
      <c r="C4415" t="s">
        <v>80</v>
      </c>
      <c r="D4415">
        <v>1987</v>
      </c>
      <c r="E4415" t="s">
        <v>15</v>
      </c>
      <c r="F4415" t="s">
        <v>16</v>
      </c>
      <c r="G4415" t="s">
        <v>17</v>
      </c>
      <c r="H4415" t="s">
        <v>18</v>
      </c>
      <c r="I4415">
        <v>77.19</v>
      </c>
      <c r="J4415" t="s">
        <v>19</v>
      </c>
      <c r="K4415" t="s">
        <v>6041</v>
      </c>
      <c r="L4415" t="s">
        <v>21</v>
      </c>
      <c r="M4415" t="str">
        <f t="shared" si="204"/>
        <v>OK</v>
      </c>
      <c r="N4415" t="str">
        <f t="shared" si="205"/>
        <v>1980s</v>
      </c>
      <c r="O4415" t="str">
        <f t="shared" si="206"/>
        <v>High</v>
      </c>
      <c r="P4415" t="str">
        <f>VLOOKUP(E4415,calculated_fields!$F$4:$G$6,2,FALSE)</f>
        <v>Health</v>
      </c>
    </row>
    <row r="4416" spans="1:16">
      <c r="A4416" t="s">
        <v>6042</v>
      </c>
      <c r="B4416" t="s">
        <v>6012</v>
      </c>
      <c r="C4416" t="s">
        <v>80</v>
      </c>
      <c r="D4416">
        <v>1987</v>
      </c>
      <c r="E4416" t="s">
        <v>23</v>
      </c>
      <c r="F4416" t="s">
        <v>24</v>
      </c>
      <c r="G4416" t="s">
        <v>25</v>
      </c>
      <c r="H4416" t="s">
        <v>26</v>
      </c>
      <c r="I4416">
        <v>8421403</v>
      </c>
      <c r="J4416" t="s">
        <v>27</v>
      </c>
      <c r="K4416" t="s">
        <v>6041</v>
      </c>
      <c r="L4416" t="s">
        <v>21</v>
      </c>
      <c r="M4416" t="str">
        <f t="shared" si="204"/>
        <v>OK</v>
      </c>
      <c r="N4416" t="str">
        <f t="shared" si="205"/>
        <v>1980s</v>
      </c>
      <c r="O4416" t="str">
        <f t="shared" si="206"/>
        <v>N/A</v>
      </c>
      <c r="P4416" t="str">
        <f>VLOOKUP(E4416,calculated_fields!$F$4:$G$6,2,FALSE)</f>
        <v>Demographics</v>
      </c>
    </row>
    <row r="4417" spans="1:16">
      <c r="A4417" t="s">
        <v>6043</v>
      </c>
      <c r="B4417" t="s">
        <v>6012</v>
      </c>
      <c r="C4417" t="s">
        <v>80</v>
      </c>
      <c r="D4417">
        <v>1987</v>
      </c>
      <c r="E4417" t="s">
        <v>29</v>
      </c>
      <c r="F4417" t="s">
        <v>30</v>
      </c>
      <c r="G4417" t="s">
        <v>31</v>
      </c>
      <c r="H4417" t="s">
        <v>32</v>
      </c>
      <c r="I4417">
        <v>23586.929270000001</v>
      </c>
      <c r="J4417" t="s">
        <v>33</v>
      </c>
      <c r="K4417" t="s">
        <v>6041</v>
      </c>
      <c r="L4417" t="s">
        <v>21</v>
      </c>
      <c r="M4417" t="str">
        <f t="shared" si="204"/>
        <v>OK</v>
      </c>
      <c r="N4417" t="str">
        <f t="shared" si="205"/>
        <v>1980s</v>
      </c>
      <c r="O4417" t="str">
        <f t="shared" si="206"/>
        <v>N/A</v>
      </c>
      <c r="P4417" t="str">
        <f>VLOOKUP(E4417,calculated_fields!$F$4:$G$6,2,FALSE)</f>
        <v>Economy</v>
      </c>
    </row>
    <row r="4418" spans="1:16">
      <c r="A4418" t="s">
        <v>6044</v>
      </c>
      <c r="B4418" t="s">
        <v>6012</v>
      </c>
      <c r="C4418" t="s">
        <v>80</v>
      </c>
      <c r="D4418">
        <v>1992</v>
      </c>
      <c r="E4418" t="s">
        <v>15</v>
      </c>
      <c r="F4418" t="s">
        <v>16</v>
      </c>
      <c r="G4418" t="s">
        <v>17</v>
      </c>
      <c r="H4418" t="s">
        <v>18</v>
      </c>
      <c r="I4418">
        <v>78.16</v>
      </c>
      <c r="J4418" t="s">
        <v>19</v>
      </c>
      <c r="K4418" t="s">
        <v>6045</v>
      </c>
      <c r="L4418" t="s">
        <v>21</v>
      </c>
      <c r="M4418" t="str">
        <f t="shared" ref="M4418:M4481" si="207">IF(AND(ISNUMBER(I4418),I4418&gt;=0),"OK","Review")</f>
        <v>OK</v>
      </c>
      <c r="N4418" t="str">
        <f t="shared" ref="N4418:N4481" si="208">FLOOR(D4418,10)&amp;"s"</f>
        <v>1990s</v>
      </c>
      <c r="O4418" t="str">
        <f t="shared" ref="O4418:O4481" si="209">IF(E4418="LIFE_EXP",IF(I4418&gt;=70,"High",IF(I4418&gt;=55,"Medium","Low")),"N/A")</f>
        <v>High</v>
      </c>
      <c r="P4418" t="str">
        <f>VLOOKUP(E4418,calculated_fields!$F$4:$G$6,2,FALSE)</f>
        <v>Health</v>
      </c>
    </row>
    <row r="4419" spans="1:16">
      <c r="A4419" t="s">
        <v>6046</v>
      </c>
      <c r="B4419" t="s">
        <v>6012</v>
      </c>
      <c r="C4419" t="s">
        <v>80</v>
      </c>
      <c r="D4419">
        <v>1992</v>
      </c>
      <c r="E4419" t="s">
        <v>23</v>
      </c>
      <c r="F4419" t="s">
        <v>24</v>
      </c>
      <c r="G4419" t="s">
        <v>25</v>
      </c>
      <c r="H4419" t="s">
        <v>26</v>
      </c>
      <c r="I4419">
        <v>8718867</v>
      </c>
      <c r="J4419" t="s">
        <v>27</v>
      </c>
      <c r="K4419" t="s">
        <v>6045</v>
      </c>
      <c r="L4419" t="s">
        <v>21</v>
      </c>
      <c r="M4419" t="str">
        <f t="shared" si="207"/>
        <v>OK</v>
      </c>
      <c r="N4419" t="str">
        <f t="shared" si="208"/>
        <v>1990s</v>
      </c>
      <c r="O4419" t="str">
        <f t="shared" si="209"/>
        <v>N/A</v>
      </c>
      <c r="P4419" t="str">
        <f>VLOOKUP(E4419,calculated_fields!$F$4:$G$6,2,FALSE)</f>
        <v>Demographics</v>
      </c>
    </row>
    <row r="4420" spans="1:16">
      <c r="A4420" t="s">
        <v>6047</v>
      </c>
      <c r="B4420" t="s">
        <v>6012</v>
      </c>
      <c r="C4420" t="s">
        <v>80</v>
      </c>
      <c r="D4420">
        <v>1992</v>
      </c>
      <c r="E4420" t="s">
        <v>29</v>
      </c>
      <c r="F4420" t="s">
        <v>30</v>
      </c>
      <c r="G4420" t="s">
        <v>31</v>
      </c>
      <c r="H4420" t="s">
        <v>32</v>
      </c>
      <c r="I4420">
        <v>23880.01683</v>
      </c>
      <c r="J4420" t="s">
        <v>33</v>
      </c>
      <c r="K4420" t="s">
        <v>6045</v>
      </c>
      <c r="L4420" t="s">
        <v>21</v>
      </c>
      <c r="M4420" t="str">
        <f t="shared" si="207"/>
        <v>OK</v>
      </c>
      <c r="N4420" t="str">
        <f t="shared" si="208"/>
        <v>1990s</v>
      </c>
      <c r="O4420" t="str">
        <f t="shared" si="209"/>
        <v>N/A</v>
      </c>
      <c r="P4420" t="str">
        <f>VLOOKUP(E4420,calculated_fields!$F$4:$G$6,2,FALSE)</f>
        <v>Economy</v>
      </c>
    </row>
    <row r="4421" spans="1:16">
      <c r="A4421" t="s">
        <v>6048</v>
      </c>
      <c r="B4421" t="s">
        <v>6012</v>
      </c>
      <c r="C4421" t="s">
        <v>80</v>
      </c>
      <c r="D4421">
        <v>1997</v>
      </c>
      <c r="E4421" t="s">
        <v>15</v>
      </c>
      <c r="F4421" t="s">
        <v>16</v>
      </c>
      <c r="G4421" t="s">
        <v>17</v>
      </c>
      <c r="H4421" t="s">
        <v>18</v>
      </c>
      <c r="I4421">
        <v>79.39</v>
      </c>
      <c r="J4421" t="s">
        <v>19</v>
      </c>
      <c r="K4421" t="s">
        <v>6049</v>
      </c>
      <c r="L4421" t="s">
        <v>21</v>
      </c>
      <c r="M4421" t="str">
        <f t="shared" si="207"/>
        <v>OK</v>
      </c>
      <c r="N4421" t="str">
        <f t="shared" si="208"/>
        <v>1990s</v>
      </c>
      <c r="O4421" t="str">
        <f t="shared" si="209"/>
        <v>High</v>
      </c>
      <c r="P4421" t="str">
        <f>VLOOKUP(E4421,calculated_fields!$F$4:$G$6,2,FALSE)</f>
        <v>Health</v>
      </c>
    </row>
    <row r="4422" spans="1:16">
      <c r="A4422" t="s">
        <v>6050</v>
      </c>
      <c r="B4422" t="s">
        <v>6012</v>
      </c>
      <c r="C4422" t="s">
        <v>80</v>
      </c>
      <c r="D4422">
        <v>1997</v>
      </c>
      <c r="E4422" t="s">
        <v>23</v>
      </c>
      <c r="F4422" t="s">
        <v>24</v>
      </c>
      <c r="G4422" t="s">
        <v>25</v>
      </c>
      <c r="H4422" t="s">
        <v>26</v>
      </c>
      <c r="I4422">
        <v>8897619</v>
      </c>
      <c r="J4422" t="s">
        <v>27</v>
      </c>
      <c r="K4422" t="s">
        <v>6049</v>
      </c>
      <c r="L4422" t="s">
        <v>21</v>
      </c>
      <c r="M4422" t="str">
        <f t="shared" si="207"/>
        <v>OK</v>
      </c>
      <c r="N4422" t="str">
        <f t="shared" si="208"/>
        <v>1990s</v>
      </c>
      <c r="O4422" t="str">
        <f t="shared" si="209"/>
        <v>N/A</v>
      </c>
      <c r="P4422" t="str">
        <f>VLOOKUP(E4422,calculated_fields!$F$4:$G$6,2,FALSE)</f>
        <v>Demographics</v>
      </c>
    </row>
    <row r="4423" spans="1:16">
      <c r="A4423" t="s">
        <v>6051</v>
      </c>
      <c r="B4423" t="s">
        <v>6012</v>
      </c>
      <c r="C4423" t="s">
        <v>80</v>
      </c>
      <c r="D4423">
        <v>1997</v>
      </c>
      <c r="E4423" t="s">
        <v>29</v>
      </c>
      <c r="F4423" t="s">
        <v>30</v>
      </c>
      <c r="G4423" t="s">
        <v>31</v>
      </c>
      <c r="H4423" t="s">
        <v>32</v>
      </c>
      <c r="I4423">
        <v>25266.594990000001</v>
      </c>
      <c r="J4423" t="s">
        <v>33</v>
      </c>
      <c r="K4423" t="s">
        <v>6049</v>
      </c>
      <c r="L4423" t="s">
        <v>21</v>
      </c>
      <c r="M4423" t="str">
        <f t="shared" si="207"/>
        <v>OK</v>
      </c>
      <c r="N4423" t="str">
        <f t="shared" si="208"/>
        <v>1990s</v>
      </c>
      <c r="O4423" t="str">
        <f t="shared" si="209"/>
        <v>N/A</v>
      </c>
      <c r="P4423" t="str">
        <f>VLOOKUP(E4423,calculated_fields!$F$4:$G$6,2,FALSE)</f>
        <v>Economy</v>
      </c>
    </row>
    <row r="4424" spans="1:16">
      <c r="A4424" t="s">
        <v>6052</v>
      </c>
      <c r="B4424" t="s">
        <v>6012</v>
      </c>
      <c r="C4424" t="s">
        <v>80</v>
      </c>
      <c r="D4424">
        <v>2002</v>
      </c>
      <c r="E4424" t="s">
        <v>15</v>
      </c>
      <c r="F4424" t="s">
        <v>16</v>
      </c>
      <c r="G4424" t="s">
        <v>17</v>
      </c>
      <c r="H4424" t="s">
        <v>18</v>
      </c>
      <c r="I4424">
        <v>80.040000000000006</v>
      </c>
      <c r="J4424" t="s">
        <v>19</v>
      </c>
      <c r="K4424" t="s">
        <v>6053</v>
      </c>
      <c r="L4424" t="s">
        <v>21</v>
      </c>
      <c r="M4424" t="str">
        <f t="shared" si="207"/>
        <v>OK</v>
      </c>
      <c r="N4424" t="str">
        <f t="shared" si="208"/>
        <v>2000s</v>
      </c>
      <c r="O4424" t="str">
        <f t="shared" si="209"/>
        <v>High</v>
      </c>
      <c r="P4424" t="str">
        <f>VLOOKUP(E4424,calculated_fields!$F$4:$G$6,2,FALSE)</f>
        <v>Health</v>
      </c>
    </row>
    <row r="4425" spans="1:16">
      <c r="A4425" t="s">
        <v>6054</v>
      </c>
      <c r="B4425" t="s">
        <v>6012</v>
      </c>
      <c r="C4425" t="s">
        <v>80</v>
      </c>
      <c r="D4425">
        <v>2002</v>
      </c>
      <c r="E4425" t="s">
        <v>23</v>
      </c>
      <c r="F4425" t="s">
        <v>24</v>
      </c>
      <c r="G4425" t="s">
        <v>25</v>
      </c>
      <c r="H4425" t="s">
        <v>26</v>
      </c>
      <c r="I4425">
        <v>8954175</v>
      </c>
      <c r="J4425" t="s">
        <v>27</v>
      </c>
      <c r="K4425" t="s">
        <v>6053</v>
      </c>
      <c r="L4425" t="s">
        <v>21</v>
      </c>
      <c r="M4425" t="str">
        <f t="shared" si="207"/>
        <v>OK</v>
      </c>
      <c r="N4425" t="str">
        <f t="shared" si="208"/>
        <v>2000s</v>
      </c>
      <c r="O4425" t="str">
        <f t="shared" si="209"/>
        <v>N/A</v>
      </c>
      <c r="P4425" t="str">
        <f>VLOOKUP(E4425,calculated_fields!$F$4:$G$6,2,FALSE)</f>
        <v>Demographics</v>
      </c>
    </row>
    <row r="4426" spans="1:16">
      <c r="A4426" t="s">
        <v>6055</v>
      </c>
      <c r="B4426" t="s">
        <v>6012</v>
      </c>
      <c r="C4426" t="s">
        <v>80</v>
      </c>
      <c r="D4426">
        <v>2002</v>
      </c>
      <c r="E4426" t="s">
        <v>29</v>
      </c>
      <c r="F4426" t="s">
        <v>30</v>
      </c>
      <c r="G4426" t="s">
        <v>31</v>
      </c>
      <c r="H4426" t="s">
        <v>32</v>
      </c>
      <c r="I4426">
        <v>29341.630929999999</v>
      </c>
      <c r="J4426" t="s">
        <v>33</v>
      </c>
      <c r="K4426" t="s">
        <v>6053</v>
      </c>
      <c r="L4426" t="s">
        <v>21</v>
      </c>
      <c r="M4426" t="str">
        <f t="shared" si="207"/>
        <v>OK</v>
      </c>
      <c r="N4426" t="str">
        <f t="shared" si="208"/>
        <v>2000s</v>
      </c>
      <c r="O4426" t="str">
        <f t="shared" si="209"/>
        <v>N/A</v>
      </c>
      <c r="P4426" t="str">
        <f>VLOOKUP(E4426,calculated_fields!$F$4:$G$6,2,FALSE)</f>
        <v>Economy</v>
      </c>
    </row>
    <row r="4427" spans="1:16">
      <c r="A4427" t="s">
        <v>6056</v>
      </c>
      <c r="B4427" t="s">
        <v>6012</v>
      </c>
      <c r="C4427" t="s">
        <v>80</v>
      </c>
      <c r="D4427">
        <v>2007</v>
      </c>
      <c r="E4427" t="s">
        <v>15</v>
      </c>
      <c r="F4427" t="s">
        <v>16</v>
      </c>
      <c r="G4427" t="s">
        <v>17</v>
      </c>
      <c r="H4427" t="s">
        <v>18</v>
      </c>
      <c r="I4427">
        <v>80.884</v>
      </c>
      <c r="J4427" t="s">
        <v>19</v>
      </c>
      <c r="K4427" t="s">
        <v>6057</v>
      </c>
      <c r="L4427" t="s">
        <v>21</v>
      </c>
      <c r="M4427" t="str">
        <f t="shared" si="207"/>
        <v>OK</v>
      </c>
      <c r="N4427" t="str">
        <f t="shared" si="208"/>
        <v>2000s</v>
      </c>
      <c r="O4427" t="str">
        <f t="shared" si="209"/>
        <v>High</v>
      </c>
      <c r="P4427" t="str">
        <f>VLOOKUP(E4427,calculated_fields!$F$4:$G$6,2,FALSE)</f>
        <v>Health</v>
      </c>
    </row>
    <row r="4428" spans="1:16">
      <c r="A4428" t="s">
        <v>6058</v>
      </c>
      <c r="B4428" t="s">
        <v>6012</v>
      </c>
      <c r="C4428" t="s">
        <v>80</v>
      </c>
      <c r="D4428">
        <v>2007</v>
      </c>
      <c r="E4428" t="s">
        <v>23</v>
      </c>
      <c r="F4428" t="s">
        <v>24</v>
      </c>
      <c r="G4428" t="s">
        <v>25</v>
      </c>
      <c r="H4428" t="s">
        <v>26</v>
      </c>
      <c r="I4428">
        <v>9031088</v>
      </c>
      <c r="J4428" t="s">
        <v>27</v>
      </c>
      <c r="K4428" t="s">
        <v>6057</v>
      </c>
      <c r="L4428" t="s">
        <v>21</v>
      </c>
      <c r="M4428" t="str">
        <f t="shared" si="207"/>
        <v>OK</v>
      </c>
      <c r="N4428" t="str">
        <f t="shared" si="208"/>
        <v>2000s</v>
      </c>
      <c r="O4428" t="str">
        <f t="shared" si="209"/>
        <v>N/A</v>
      </c>
      <c r="P4428" t="str">
        <f>VLOOKUP(E4428,calculated_fields!$F$4:$G$6,2,FALSE)</f>
        <v>Demographics</v>
      </c>
    </row>
    <row r="4429" spans="1:16">
      <c r="A4429" t="s">
        <v>6059</v>
      </c>
      <c r="B4429" t="s">
        <v>6012</v>
      </c>
      <c r="C4429" t="s">
        <v>80</v>
      </c>
      <c r="D4429">
        <v>2007</v>
      </c>
      <c r="E4429" t="s">
        <v>29</v>
      </c>
      <c r="F4429" t="s">
        <v>30</v>
      </c>
      <c r="G4429" t="s">
        <v>31</v>
      </c>
      <c r="H4429" t="s">
        <v>32</v>
      </c>
      <c r="I4429">
        <v>33859.748350000002</v>
      </c>
      <c r="J4429" t="s">
        <v>33</v>
      </c>
      <c r="K4429" t="s">
        <v>6057</v>
      </c>
      <c r="L4429" t="s">
        <v>21</v>
      </c>
      <c r="M4429" t="str">
        <f t="shared" si="207"/>
        <v>OK</v>
      </c>
      <c r="N4429" t="str">
        <f t="shared" si="208"/>
        <v>2000s</v>
      </c>
      <c r="O4429" t="str">
        <f t="shared" si="209"/>
        <v>N/A</v>
      </c>
      <c r="P4429" t="str">
        <f>VLOOKUP(E4429,calculated_fields!$F$4:$G$6,2,FALSE)</f>
        <v>Economy</v>
      </c>
    </row>
    <row r="4430" spans="1:16">
      <c r="A4430" t="s">
        <v>6060</v>
      </c>
      <c r="B4430" t="s">
        <v>6061</v>
      </c>
      <c r="C4430" t="s">
        <v>80</v>
      </c>
      <c r="D4430">
        <v>1952</v>
      </c>
      <c r="E4430" t="s">
        <v>15</v>
      </c>
      <c r="F4430" t="s">
        <v>16</v>
      </c>
      <c r="G4430" t="s">
        <v>17</v>
      </c>
      <c r="H4430" t="s">
        <v>18</v>
      </c>
      <c r="I4430">
        <v>69.62</v>
      </c>
      <c r="J4430" t="s">
        <v>19</v>
      </c>
      <c r="K4430" t="s">
        <v>6062</v>
      </c>
      <c r="L4430" t="s">
        <v>21</v>
      </c>
      <c r="M4430" t="str">
        <f t="shared" si="207"/>
        <v>OK</v>
      </c>
      <c r="N4430" t="str">
        <f t="shared" si="208"/>
        <v>1950s</v>
      </c>
      <c r="O4430" t="str">
        <f t="shared" si="209"/>
        <v>Medium</v>
      </c>
      <c r="P4430" t="str">
        <f>VLOOKUP(E4430,calculated_fields!$F$4:$G$6,2,FALSE)</f>
        <v>Health</v>
      </c>
    </row>
    <row r="4431" spans="1:16">
      <c r="A4431" t="s">
        <v>6063</v>
      </c>
      <c r="B4431" t="s">
        <v>6061</v>
      </c>
      <c r="C4431" t="s">
        <v>80</v>
      </c>
      <c r="D4431">
        <v>1952</v>
      </c>
      <c r="E4431" t="s">
        <v>23</v>
      </c>
      <c r="F4431" t="s">
        <v>24</v>
      </c>
      <c r="G4431" t="s">
        <v>25</v>
      </c>
      <c r="H4431" t="s">
        <v>26</v>
      </c>
      <c r="I4431">
        <v>4815000</v>
      </c>
      <c r="J4431" t="s">
        <v>27</v>
      </c>
      <c r="K4431" t="s">
        <v>6062</v>
      </c>
      <c r="L4431" t="s">
        <v>21</v>
      </c>
      <c r="M4431" t="str">
        <f t="shared" si="207"/>
        <v>OK</v>
      </c>
      <c r="N4431" t="str">
        <f t="shared" si="208"/>
        <v>1950s</v>
      </c>
      <c r="O4431" t="str">
        <f t="shared" si="209"/>
        <v>N/A</v>
      </c>
      <c r="P4431" t="str">
        <f>VLOOKUP(E4431,calculated_fields!$F$4:$G$6,2,FALSE)</f>
        <v>Demographics</v>
      </c>
    </row>
    <row r="4432" spans="1:16">
      <c r="A4432" t="s">
        <v>6064</v>
      </c>
      <c r="B4432" t="s">
        <v>6061</v>
      </c>
      <c r="C4432" t="s">
        <v>80</v>
      </c>
      <c r="D4432">
        <v>1952</v>
      </c>
      <c r="E4432" t="s">
        <v>29</v>
      </c>
      <c r="F4432" t="s">
        <v>30</v>
      </c>
      <c r="G4432" t="s">
        <v>31</v>
      </c>
      <c r="H4432" t="s">
        <v>32</v>
      </c>
      <c r="I4432">
        <v>14734.232749999999</v>
      </c>
      <c r="J4432" t="s">
        <v>33</v>
      </c>
      <c r="K4432" t="s">
        <v>6062</v>
      </c>
      <c r="L4432" t="s">
        <v>21</v>
      </c>
      <c r="M4432" t="str">
        <f t="shared" si="207"/>
        <v>OK</v>
      </c>
      <c r="N4432" t="str">
        <f t="shared" si="208"/>
        <v>1950s</v>
      </c>
      <c r="O4432" t="str">
        <f t="shared" si="209"/>
        <v>N/A</v>
      </c>
      <c r="P4432" t="str">
        <f>VLOOKUP(E4432,calculated_fields!$F$4:$G$6,2,FALSE)</f>
        <v>Economy</v>
      </c>
    </row>
    <row r="4433" spans="1:16">
      <c r="A4433" t="s">
        <v>6065</v>
      </c>
      <c r="B4433" t="s">
        <v>6061</v>
      </c>
      <c r="C4433" t="s">
        <v>80</v>
      </c>
      <c r="D4433">
        <v>1957</v>
      </c>
      <c r="E4433" t="s">
        <v>15</v>
      </c>
      <c r="F4433" t="s">
        <v>16</v>
      </c>
      <c r="G4433" t="s">
        <v>17</v>
      </c>
      <c r="H4433" t="s">
        <v>18</v>
      </c>
      <c r="I4433">
        <v>70.56</v>
      </c>
      <c r="J4433" t="s">
        <v>19</v>
      </c>
      <c r="K4433" t="s">
        <v>6066</v>
      </c>
      <c r="L4433" t="s">
        <v>21</v>
      </c>
      <c r="M4433" t="str">
        <f t="shared" si="207"/>
        <v>OK</v>
      </c>
      <c r="N4433" t="str">
        <f t="shared" si="208"/>
        <v>1950s</v>
      </c>
      <c r="O4433" t="str">
        <f t="shared" si="209"/>
        <v>High</v>
      </c>
      <c r="P4433" t="str">
        <f>VLOOKUP(E4433,calculated_fields!$F$4:$G$6,2,FALSE)</f>
        <v>Health</v>
      </c>
    </row>
    <row r="4434" spans="1:16">
      <c r="A4434" t="s">
        <v>6067</v>
      </c>
      <c r="B4434" t="s">
        <v>6061</v>
      </c>
      <c r="C4434" t="s">
        <v>80</v>
      </c>
      <c r="D4434">
        <v>1957</v>
      </c>
      <c r="E4434" t="s">
        <v>23</v>
      </c>
      <c r="F4434" t="s">
        <v>24</v>
      </c>
      <c r="G4434" t="s">
        <v>25</v>
      </c>
      <c r="H4434" t="s">
        <v>26</v>
      </c>
      <c r="I4434">
        <v>5126000</v>
      </c>
      <c r="J4434" t="s">
        <v>27</v>
      </c>
      <c r="K4434" t="s">
        <v>6066</v>
      </c>
      <c r="L4434" t="s">
        <v>21</v>
      </c>
      <c r="M4434" t="str">
        <f t="shared" si="207"/>
        <v>OK</v>
      </c>
      <c r="N4434" t="str">
        <f t="shared" si="208"/>
        <v>1950s</v>
      </c>
      <c r="O4434" t="str">
        <f t="shared" si="209"/>
        <v>N/A</v>
      </c>
      <c r="P4434" t="str">
        <f>VLOOKUP(E4434,calculated_fields!$F$4:$G$6,2,FALSE)</f>
        <v>Demographics</v>
      </c>
    </row>
    <row r="4435" spans="1:16">
      <c r="A4435" t="s">
        <v>6068</v>
      </c>
      <c r="B4435" t="s">
        <v>6061</v>
      </c>
      <c r="C4435" t="s">
        <v>80</v>
      </c>
      <c r="D4435">
        <v>1957</v>
      </c>
      <c r="E4435" t="s">
        <v>29</v>
      </c>
      <c r="F4435" t="s">
        <v>30</v>
      </c>
      <c r="G4435" t="s">
        <v>31</v>
      </c>
      <c r="H4435" t="s">
        <v>32</v>
      </c>
      <c r="I4435">
        <v>17909.489730000001</v>
      </c>
      <c r="J4435" t="s">
        <v>33</v>
      </c>
      <c r="K4435" t="s">
        <v>6066</v>
      </c>
      <c r="L4435" t="s">
        <v>21</v>
      </c>
      <c r="M4435" t="str">
        <f t="shared" si="207"/>
        <v>OK</v>
      </c>
      <c r="N4435" t="str">
        <f t="shared" si="208"/>
        <v>1950s</v>
      </c>
      <c r="O4435" t="str">
        <f t="shared" si="209"/>
        <v>N/A</v>
      </c>
      <c r="P4435" t="str">
        <f>VLOOKUP(E4435,calculated_fields!$F$4:$G$6,2,FALSE)</f>
        <v>Economy</v>
      </c>
    </row>
    <row r="4436" spans="1:16">
      <c r="A4436" t="s">
        <v>6069</v>
      </c>
      <c r="B4436" t="s">
        <v>6061</v>
      </c>
      <c r="C4436" t="s">
        <v>80</v>
      </c>
      <c r="D4436">
        <v>1962</v>
      </c>
      <c r="E4436" t="s">
        <v>15</v>
      </c>
      <c r="F4436" t="s">
        <v>16</v>
      </c>
      <c r="G4436" t="s">
        <v>17</v>
      </c>
      <c r="H4436" t="s">
        <v>18</v>
      </c>
      <c r="I4436">
        <v>71.319999999999993</v>
      </c>
      <c r="J4436" t="s">
        <v>19</v>
      </c>
      <c r="K4436" t="s">
        <v>6070</v>
      </c>
      <c r="L4436" t="s">
        <v>21</v>
      </c>
      <c r="M4436" t="str">
        <f t="shared" si="207"/>
        <v>OK</v>
      </c>
      <c r="N4436" t="str">
        <f t="shared" si="208"/>
        <v>1960s</v>
      </c>
      <c r="O4436" t="str">
        <f t="shared" si="209"/>
        <v>High</v>
      </c>
      <c r="P4436" t="str">
        <f>VLOOKUP(E4436,calculated_fields!$F$4:$G$6,2,FALSE)</f>
        <v>Health</v>
      </c>
    </row>
    <row r="4437" spans="1:16">
      <c r="A4437" t="s">
        <v>6071</v>
      </c>
      <c r="B4437" t="s">
        <v>6061</v>
      </c>
      <c r="C4437" t="s">
        <v>80</v>
      </c>
      <c r="D4437">
        <v>1962</v>
      </c>
      <c r="E4437" t="s">
        <v>23</v>
      </c>
      <c r="F4437" t="s">
        <v>24</v>
      </c>
      <c r="G4437" t="s">
        <v>25</v>
      </c>
      <c r="H4437" t="s">
        <v>26</v>
      </c>
      <c r="I4437">
        <v>5666000</v>
      </c>
      <c r="J4437" t="s">
        <v>27</v>
      </c>
      <c r="K4437" t="s">
        <v>6070</v>
      </c>
      <c r="L4437" t="s">
        <v>21</v>
      </c>
      <c r="M4437" t="str">
        <f t="shared" si="207"/>
        <v>OK</v>
      </c>
      <c r="N4437" t="str">
        <f t="shared" si="208"/>
        <v>1960s</v>
      </c>
      <c r="O4437" t="str">
        <f t="shared" si="209"/>
        <v>N/A</v>
      </c>
      <c r="P4437" t="str">
        <f>VLOOKUP(E4437,calculated_fields!$F$4:$G$6,2,FALSE)</f>
        <v>Demographics</v>
      </c>
    </row>
    <row r="4438" spans="1:16">
      <c r="A4438" t="s">
        <v>6072</v>
      </c>
      <c r="B4438" t="s">
        <v>6061</v>
      </c>
      <c r="C4438" t="s">
        <v>80</v>
      </c>
      <c r="D4438">
        <v>1962</v>
      </c>
      <c r="E4438" t="s">
        <v>29</v>
      </c>
      <c r="F4438" t="s">
        <v>30</v>
      </c>
      <c r="G4438" t="s">
        <v>31</v>
      </c>
      <c r="H4438" t="s">
        <v>32</v>
      </c>
      <c r="I4438">
        <v>20431.092700000001</v>
      </c>
      <c r="J4438" t="s">
        <v>33</v>
      </c>
      <c r="K4438" t="s">
        <v>6070</v>
      </c>
      <c r="L4438" t="s">
        <v>21</v>
      </c>
      <c r="M4438" t="str">
        <f t="shared" si="207"/>
        <v>OK</v>
      </c>
      <c r="N4438" t="str">
        <f t="shared" si="208"/>
        <v>1960s</v>
      </c>
      <c r="O4438" t="str">
        <f t="shared" si="209"/>
        <v>N/A</v>
      </c>
      <c r="P4438" t="str">
        <f>VLOOKUP(E4438,calculated_fields!$F$4:$G$6,2,FALSE)</f>
        <v>Economy</v>
      </c>
    </row>
    <row r="4439" spans="1:16">
      <c r="A4439" t="s">
        <v>6073</v>
      </c>
      <c r="B4439" t="s">
        <v>6061</v>
      </c>
      <c r="C4439" t="s">
        <v>80</v>
      </c>
      <c r="D4439">
        <v>1967</v>
      </c>
      <c r="E4439" t="s">
        <v>15</v>
      </c>
      <c r="F4439" t="s">
        <v>16</v>
      </c>
      <c r="G4439" t="s">
        <v>17</v>
      </c>
      <c r="H4439" t="s">
        <v>18</v>
      </c>
      <c r="I4439">
        <v>72.77</v>
      </c>
      <c r="J4439" t="s">
        <v>19</v>
      </c>
      <c r="K4439" t="s">
        <v>6074</v>
      </c>
      <c r="L4439" t="s">
        <v>21</v>
      </c>
      <c r="M4439" t="str">
        <f t="shared" si="207"/>
        <v>OK</v>
      </c>
      <c r="N4439" t="str">
        <f t="shared" si="208"/>
        <v>1960s</v>
      </c>
      <c r="O4439" t="str">
        <f t="shared" si="209"/>
        <v>High</v>
      </c>
      <c r="P4439" t="str">
        <f>VLOOKUP(E4439,calculated_fields!$F$4:$G$6,2,FALSE)</f>
        <v>Health</v>
      </c>
    </row>
    <row r="4440" spans="1:16">
      <c r="A4440" t="s">
        <v>6075</v>
      </c>
      <c r="B4440" t="s">
        <v>6061</v>
      </c>
      <c r="C4440" t="s">
        <v>80</v>
      </c>
      <c r="D4440">
        <v>1967</v>
      </c>
      <c r="E4440" t="s">
        <v>23</v>
      </c>
      <c r="F4440" t="s">
        <v>24</v>
      </c>
      <c r="G4440" t="s">
        <v>25</v>
      </c>
      <c r="H4440" t="s">
        <v>26</v>
      </c>
      <c r="I4440">
        <v>6063000</v>
      </c>
      <c r="J4440" t="s">
        <v>27</v>
      </c>
      <c r="K4440" t="s">
        <v>6074</v>
      </c>
      <c r="L4440" t="s">
        <v>21</v>
      </c>
      <c r="M4440" t="str">
        <f t="shared" si="207"/>
        <v>OK</v>
      </c>
      <c r="N4440" t="str">
        <f t="shared" si="208"/>
        <v>1960s</v>
      </c>
      <c r="O4440" t="str">
        <f t="shared" si="209"/>
        <v>N/A</v>
      </c>
      <c r="P4440" t="str">
        <f>VLOOKUP(E4440,calculated_fields!$F$4:$G$6,2,FALSE)</f>
        <v>Demographics</v>
      </c>
    </row>
    <row r="4441" spans="1:16">
      <c r="A4441" t="s">
        <v>6076</v>
      </c>
      <c r="B4441" t="s">
        <v>6061</v>
      </c>
      <c r="C4441" t="s">
        <v>80</v>
      </c>
      <c r="D4441">
        <v>1967</v>
      </c>
      <c r="E4441" t="s">
        <v>29</v>
      </c>
      <c r="F4441" t="s">
        <v>30</v>
      </c>
      <c r="G4441" t="s">
        <v>31</v>
      </c>
      <c r="H4441" t="s">
        <v>32</v>
      </c>
      <c r="I4441">
        <v>22966.144319999999</v>
      </c>
      <c r="J4441" t="s">
        <v>33</v>
      </c>
      <c r="K4441" t="s">
        <v>6074</v>
      </c>
      <c r="L4441" t="s">
        <v>21</v>
      </c>
      <c r="M4441" t="str">
        <f t="shared" si="207"/>
        <v>OK</v>
      </c>
      <c r="N4441" t="str">
        <f t="shared" si="208"/>
        <v>1960s</v>
      </c>
      <c r="O4441" t="str">
        <f t="shared" si="209"/>
        <v>N/A</v>
      </c>
      <c r="P4441" t="str">
        <f>VLOOKUP(E4441,calculated_fields!$F$4:$G$6,2,FALSE)</f>
        <v>Economy</v>
      </c>
    </row>
    <row r="4442" spans="1:16">
      <c r="A4442" t="s">
        <v>6077</v>
      </c>
      <c r="B4442" t="s">
        <v>6061</v>
      </c>
      <c r="C4442" t="s">
        <v>80</v>
      </c>
      <c r="D4442">
        <v>1972</v>
      </c>
      <c r="E4442" t="s">
        <v>15</v>
      </c>
      <c r="F4442" t="s">
        <v>16</v>
      </c>
      <c r="G4442" t="s">
        <v>17</v>
      </c>
      <c r="H4442" t="s">
        <v>18</v>
      </c>
      <c r="I4442">
        <v>73.78</v>
      </c>
      <c r="J4442" t="s">
        <v>19</v>
      </c>
      <c r="K4442" t="s">
        <v>6078</v>
      </c>
      <c r="L4442" t="s">
        <v>21</v>
      </c>
      <c r="M4442" t="str">
        <f t="shared" si="207"/>
        <v>OK</v>
      </c>
      <c r="N4442" t="str">
        <f t="shared" si="208"/>
        <v>1970s</v>
      </c>
      <c r="O4442" t="str">
        <f t="shared" si="209"/>
        <v>High</v>
      </c>
      <c r="P4442" t="str">
        <f>VLOOKUP(E4442,calculated_fields!$F$4:$G$6,2,FALSE)</f>
        <v>Health</v>
      </c>
    </row>
    <row r="4443" spans="1:16">
      <c r="A4443" t="s">
        <v>6079</v>
      </c>
      <c r="B4443" t="s">
        <v>6061</v>
      </c>
      <c r="C4443" t="s">
        <v>80</v>
      </c>
      <c r="D4443">
        <v>1972</v>
      </c>
      <c r="E4443" t="s">
        <v>23</v>
      </c>
      <c r="F4443" t="s">
        <v>24</v>
      </c>
      <c r="G4443" t="s">
        <v>25</v>
      </c>
      <c r="H4443" t="s">
        <v>26</v>
      </c>
      <c r="I4443">
        <v>6401400</v>
      </c>
      <c r="J4443" t="s">
        <v>27</v>
      </c>
      <c r="K4443" t="s">
        <v>6078</v>
      </c>
      <c r="L4443" t="s">
        <v>21</v>
      </c>
      <c r="M4443" t="str">
        <f t="shared" si="207"/>
        <v>OK</v>
      </c>
      <c r="N4443" t="str">
        <f t="shared" si="208"/>
        <v>1970s</v>
      </c>
      <c r="O4443" t="str">
        <f t="shared" si="209"/>
        <v>N/A</v>
      </c>
      <c r="P4443" t="str">
        <f>VLOOKUP(E4443,calculated_fields!$F$4:$G$6,2,FALSE)</f>
        <v>Demographics</v>
      </c>
    </row>
    <row r="4444" spans="1:16">
      <c r="A4444" t="s">
        <v>6080</v>
      </c>
      <c r="B4444" t="s">
        <v>6061</v>
      </c>
      <c r="C4444" t="s">
        <v>80</v>
      </c>
      <c r="D4444">
        <v>1972</v>
      </c>
      <c r="E4444" t="s">
        <v>29</v>
      </c>
      <c r="F4444" t="s">
        <v>30</v>
      </c>
      <c r="G4444" t="s">
        <v>31</v>
      </c>
      <c r="H4444" t="s">
        <v>32</v>
      </c>
      <c r="I4444">
        <v>27195.11304</v>
      </c>
      <c r="J4444" t="s">
        <v>33</v>
      </c>
      <c r="K4444" t="s">
        <v>6078</v>
      </c>
      <c r="L4444" t="s">
        <v>21</v>
      </c>
      <c r="M4444" t="str">
        <f t="shared" si="207"/>
        <v>OK</v>
      </c>
      <c r="N4444" t="str">
        <f t="shared" si="208"/>
        <v>1970s</v>
      </c>
      <c r="O4444" t="str">
        <f t="shared" si="209"/>
        <v>N/A</v>
      </c>
      <c r="P4444" t="str">
        <f>VLOOKUP(E4444,calculated_fields!$F$4:$G$6,2,FALSE)</f>
        <v>Economy</v>
      </c>
    </row>
    <row r="4445" spans="1:16">
      <c r="A4445" t="s">
        <v>6081</v>
      </c>
      <c r="B4445" t="s">
        <v>6061</v>
      </c>
      <c r="C4445" t="s">
        <v>80</v>
      </c>
      <c r="D4445">
        <v>1977</v>
      </c>
      <c r="E4445" t="s">
        <v>15</v>
      </c>
      <c r="F4445" t="s">
        <v>16</v>
      </c>
      <c r="G4445" t="s">
        <v>17</v>
      </c>
      <c r="H4445" t="s">
        <v>18</v>
      </c>
      <c r="I4445">
        <v>75.39</v>
      </c>
      <c r="J4445" t="s">
        <v>19</v>
      </c>
      <c r="K4445" t="s">
        <v>6082</v>
      </c>
      <c r="L4445" t="s">
        <v>21</v>
      </c>
      <c r="M4445" t="str">
        <f t="shared" si="207"/>
        <v>OK</v>
      </c>
      <c r="N4445" t="str">
        <f t="shared" si="208"/>
        <v>1970s</v>
      </c>
      <c r="O4445" t="str">
        <f t="shared" si="209"/>
        <v>High</v>
      </c>
      <c r="P4445" t="str">
        <f>VLOOKUP(E4445,calculated_fields!$F$4:$G$6,2,FALSE)</f>
        <v>Health</v>
      </c>
    </row>
    <row r="4446" spans="1:16">
      <c r="A4446" t="s">
        <v>6083</v>
      </c>
      <c r="B4446" t="s">
        <v>6061</v>
      </c>
      <c r="C4446" t="s">
        <v>80</v>
      </c>
      <c r="D4446">
        <v>1977</v>
      </c>
      <c r="E4446" t="s">
        <v>23</v>
      </c>
      <c r="F4446" t="s">
        <v>24</v>
      </c>
      <c r="G4446" t="s">
        <v>25</v>
      </c>
      <c r="H4446" t="s">
        <v>26</v>
      </c>
      <c r="I4446">
        <v>6316424</v>
      </c>
      <c r="J4446" t="s">
        <v>27</v>
      </c>
      <c r="K4446" t="s">
        <v>6082</v>
      </c>
      <c r="L4446" t="s">
        <v>21</v>
      </c>
      <c r="M4446" t="str">
        <f t="shared" si="207"/>
        <v>OK</v>
      </c>
      <c r="N4446" t="str">
        <f t="shared" si="208"/>
        <v>1970s</v>
      </c>
      <c r="O4446" t="str">
        <f t="shared" si="209"/>
        <v>N/A</v>
      </c>
      <c r="P4446" t="str">
        <f>VLOOKUP(E4446,calculated_fields!$F$4:$G$6,2,FALSE)</f>
        <v>Demographics</v>
      </c>
    </row>
    <row r="4447" spans="1:16">
      <c r="A4447" t="s">
        <v>6084</v>
      </c>
      <c r="B4447" t="s">
        <v>6061</v>
      </c>
      <c r="C4447" t="s">
        <v>80</v>
      </c>
      <c r="D4447">
        <v>1977</v>
      </c>
      <c r="E4447" t="s">
        <v>29</v>
      </c>
      <c r="F4447" t="s">
        <v>30</v>
      </c>
      <c r="G4447" t="s">
        <v>31</v>
      </c>
      <c r="H4447" t="s">
        <v>32</v>
      </c>
      <c r="I4447">
        <v>26982.290519999999</v>
      </c>
      <c r="J4447" t="s">
        <v>33</v>
      </c>
      <c r="K4447" t="s">
        <v>6082</v>
      </c>
      <c r="L4447" t="s">
        <v>21</v>
      </c>
      <c r="M4447" t="str">
        <f t="shared" si="207"/>
        <v>OK</v>
      </c>
      <c r="N4447" t="str">
        <f t="shared" si="208"/>
        <v>1970s</v>
      </c>
      <c r="O4447" t="str">
        <f t="shared" si="209"/>
        <v>N/A</v>
      </c>
      <c r="P4447" t="str">
        <f>VLOOKUP(E4447,calculated_fields!$F$4:$G$6,2,FALSE)</f>
        <v>Economy</v>
      </c>
    </row>
    <row r="4448" spans="1:16">
      <c r="A4448" t="s">
        <v>6085</v>
      </c>
      <c r="B4448" t="s">
        <v>6061</v>
      </c>
      <c r="C4448" t="s">
        <v>80</v>
      </c>
      <c r="D4448">
        <v>1982</v>
      </c>
      <c r="E4448" t="s">
        <v>15</v>
      </c>
      <c r="F4448" t="s">
        <v>16</v>
      </c>
      <c r="G4448" t="s">
        <v>17</v>
      </c>
      <c r="H4448" t="s">
        <v>18</v>
      </c>
      <c r="I4448">
        <v>76.209999999999994</v>
      </c>
      <c r="J4448" t="s">
        <v>19</v>
      </c>
      <c r="K4448" t="s">
        <v>6086</v>
      </c>
      <c r="L4448" t="s">
        <v>21</v>
      </c>
      <c r="M4448" t="str">
        <f t="shared" si="207"/>
        <v>OK</v>
      </c>
      <c r="N4448" t="str">
        <f t="shared" si="208"/>
        <v>1980s</v>
      </c>
      <c r="O4448" t="str">
        <f t="shared" si="209"/>
        <v>High</v>
      </c>
      <c r="P4448" t="str">
        <f>VLOOKUP(E4448,calculated_fields!$F$4:$G$6,2,FALSE)</f>
        <v>Health</v>
      </c>
    </row>
    <row r="4449" spans="1:16">
      <c r="A4449" t="s">
        <v>6087</v>
      </c>
      <c r="B4449" t="s">
        <v>6061</v>
      </c>
      <c r="C4449" t="s">
        <v>80</v>
      </c>
      <c r="D4449">
        <v>1982</v>
      </c>
      <c r="E4449" t="s">
        <v>23</v>
      </c>
      <c r="F4449" t="s">
        <v>24</v>
      </c>
      <c r="G4449" t="s">
        <v>25</v>
      </c>
      <c r="H4449" t="s">
        <v>26</v>
      </c>
      <c r="I4449">
        <v>6468126</v>
      </c>
      <c r="J4449" t="s">
        <v>27</v>
      </c>
      <c r="K4449" t="s">
        <v>6086</v>
      </c>
      <c r="L4449" t="s">
        <v>21</v>
      </c>
      <c r="M4449" t="str">
        <f t="shared" si="207"/>
        <v>OK</v>
      </c>
      <c r="N4449" t="str">
        <f t="shared" si="208"/>
        <v>1980s</v>
      </c>
      <c r="O4449" t="str">
        <f t="shared" si="209"/>
        <v>N/A</v>
      </c>
      <c r="P4449" t="str">
        <f>VLOOKUP(E4449,calculated_fields!$F$4:$G$6,2,FALSE)</f>
        <v>Demographics</v>
      </c>
    </row>
    <row r="4450" spans="1:16">
      <c r="A4450" t="s">
        <v>6088</v>
      </c>
      <c r="B4450" t="s">
        <v>6061</v>
      </c>
      <c r="C4450" t="s">
        <v>80</v>
      </c>
      <c r="D4450">
        <v>1982</v>
      </c>
      <c r="E4450" t="s">
        <v>29</v>
      </c>
      <c r="F4450" t="s">
        <v>30</v>
      </c>
      <c r="G4450" t="s">
        <v>31</v>
      </c>
      <c r="H4450" t="s">
        <v>32</v>
      </c>
      <c r="I4450">
        <v>28397.715120000001</v>
      </c>
      <c r="J4450" t="s">
        <v>33</v>
      </c>
      <c r="K4450" t="s">
        <v>6086</v>
      </c>
      <c r="L4450" t="s">
        <v>21</v>
      </c>
      <c r="M4450" t="str">
        <f t="shared" si="207"/>
        <v>OK</v>
      </c>
      <c r="N4450" t="str">
        <f t="shared" si="208"/>
        <v>1980s</v>
      </c>
      <c r="O4450" t="str">
        <f t="shared" si="209"/>
        <v>N/A</v>
      </c>
      <c r="P4450" t="str">
        <f>VLOOKUP(E4450,calculated_fields!$F$4:$G$6,2,FALSE)</f>
        <v>Economy</v>
      </c>
    </row>
    <row r="4451" spans="1:16">
      <c r="A4451" t="s">
        <v>6089</v>
      </c>
      <c r="B4451" t="s">
        <v>6061</v>
      </c>
      <c r="C4451" t="s">
        <v>80</v>
      </c>
      <c r="D4451">
        <v>1987</v>
      </c>
      <c r="E4451" t="s">
        <v>15</v>
      </c>
      <c r="F4451" t="s">
        <v>16</v>
      </c>
      <c r="G4451" t="s">
        <v>17</v>
      </c>
      <c r="H4451" t="s">
        <v>18</v>
      </c>
      <c r="I4451">
        <v>77.41</v>
      </c>
      <c r="J4451" t="s">
        <v>19</v>
      </c>
      <c r="K4451" t="s">
        <v>6090</v>
      </c>
      <c r="L4451" t="s">
        <v>21</v>
      </c>
      <c r="M4451" t="str">
        <f t="shared" si="207"/>
        <v>OK</v>
      </c>
      <c r="N4451" t="str">
        <f t="shared" si="208"/>
        <v>1980s</v>
      </c>
      <c r="O4451" t="str">
        <f t="shared" si="209"/>
        <v>High</v>
      </c>
      <c r="P4451" t="str">
        <f>VLOOKUP(E4451,calculated_fields!$F$4:$G$6,2,FALSE)</f>
        <v>Health</v>
      </c>
    </row>
    <row r="4452" spans="1:16">
      <c r="A4452" t="s">
        <v>6091</v>
      </c>
      <c r="B4452" t="s">
        <v>6061</v>
      </c>
      <c r="C4452" t="s">
        <v>80</v>
      </c>
      <c r="D4452">
        <v>1987</v>
      </c>
      <c r="E4452" t="s">
        <v>23</v>
      </c>
      <c r="F4452" t="s">
        <v>24</v>
      </c>
      <c r="G4452" t="s">
        <v>25</v>
      </c>
      <c r="H4452" t="s">
        <v>26</v>
      </c>
      <c r="I4452">
        <v>6649942</v>
      </c>
      <c r="J4452" t="s">
        <v>27</v>
      </c>
      <c r="K4452" t="s">
        <v>6090</v>
      </c>
      <c r="L4452" t="s">
        <v>21</v>
      </c>
      <c r="M4452" t="str">
        <f t="shared" si="207"/>
        <v>OK</v>
      </c>
      <c r="N4452" t="str">
        <f t="shared" si="208"/>
        <v>1980s</v>
      </c>
      <c r="O4452" t="str">
        <f t="shared" si="209"/>
        <v>N/A</v>
      </c>
      <c r="P4452" t="str">
        <f>VLOOKUP(E4452,calculated_fields!$F$4:$G$6,2,FALSE)</f>
        <v>Demographics</v>
      </c>
    </row>
    <row r="4453" spans="1:16">
      <c r="A4453" t="s">
        <v>6092</v>
      </c>
      <c r="B4453" t="s">
        <v>6061</v>
      </c>
      <c r="C4453" t="s">
        <v>80</v>
      </c>
      <c r="D4453">
        <v>1987</v>
      </c>
      <c r="E4453" t="s">
        <v>29</v>
      </c>
      <c r="F4453" t="s">
        <v>30</v>
      </c>
      <c r="G4453" t="s">
        <v>31</v>
      </c>
      <c r="H4453" t="s">
        <v>32</v>
      </c>
      <c r="I4453">
        <v>30281.704590000001</v>
      </c>
      <c r="J4453" t="s">
        <v>33</v>
      </c>
      <c r="K4453" t="s">
        <v>6090</v>
      </c>
      <c r="L4453" t="s">
        <v>21</v>
      </c>
      <c r="M4453" t="str">
        <f t="shared" si="207"/>
        <v>OK</v>
      </c>
      <c r="N4453" t="str">
        <f t="shared" si="208"/>
        <v>1980s</v>
      </c>
      <c r="O4453" t="str">
        <f t="shared" si="209"/>
        <v>N/A</v>
      </c>
      <c r="P4453" t="str">
        <f>VLOOKUP(E4453,calculated_fields!$F$4:$G$6,2,FALSE)</f>
        <v>Economy</v>
      </c>
    </row>
    <row r="4454" spans="1:16">
      <c r="A4454" t="s">
        <v>6093</v>
      </c>
      <c r="B4454" t="s">
        <v>6061</v>
      </c>
      <c r="C4454" t="s">
        <v>80</v>
      </c>
      <c r="D4454">
        <v>1992</v>
      </c>
      <c r="E4454" t="s">
        <v>15</v>
      </c>
      <c r="F4454" t="s">
        <v>16</v>
      </c>
      <c r="G4454" t="s">
        <v>17</v>
      </c>
      <c r="H4454" t="s">
        <v>18</v>
      </c>
      <c r="I4454">
        <v>78.03</v>
      </c>
      <c r="J4454" t="s">
        <v>19</v>
      </c>
      <c r="K4454" t="s">
        <v>6094</v>
      </c>
      <c r="L4454" t="s">
        <v>21</v>
      </c>
      <c r="M4454" t="str">
        <f t="shared" si="207"/>
        <v>OK</v>
      </c>
      <c r="N4454" t="str">
        <f t="shared" si="208"/>
        <v>1990s</v>
      </c>
      <c r="O4454" t="str">
        <f t="shared" si="209"/>
        <v>High</v>
      </c>
      <c r="P4454" t="str">
        <f>VLOOKUP(E4454,calculated_fields!$F$4:$G$6,2,FALSE)</f>
        <v>Health</v>
      </c>
    </row>
    <row r="4455" spans="1:16">
      <c r="A4455" t="s">
        <v>6095</v>
      </c>
      <c r="B4455" t="s">
        <v>6061</v>
      </c>
      <c r="C4455" t="s">
        <v>80</v>
      </c>
      <c r="D4455">
        <v>1992</v>
      </c>
      <c r="E4455" t="s">
        <v>23</v>
      </c>
      <c r="F4455" t="s">
        <v>24</v>
      </c>
      <c r="G4455" t="s">
        <v>25</v>
      </c>
      <c r="H4455" t="s">
        <v>26</v>
      </c>
      <c r="I4455">
        <v>6995447</v>
      </c>
      <c r="J4455" t="s">
        <v>27</v>
      </c>
      <c r="K4455" t="s">
        <v>6094</v>
      </c>
      <c r="L4455" t="s">
        <v>21</v>
      </c>
      <c r="M4455" t="str">
        <f t="shared" si="207"/>
        <v>OK</v>
      </c>
      <c r="N4455" t="str">
        <f t="shared" si="208"/>
        <v>1990s</v>
      </c>
      <c r="O4455" t="str">
        <f t="shared" si="209"/>
        <v>N/A</v>
      </c>
      <c r="P4455" t="str">
        <f>VLOOKUP(E4455,calculated_fields!$F$4:$G$6,2,FALSE)</f>
        <v>Demographics</v>
      </c>
    </row>
    <row r="4456" spans="1:16">
      <c r="A4456" t="s">
        <v>6096</v>
      </c>
      <c r="B4456" t="s">
        <v>6061</v>
      </c>
      <c r="C4456" t="s">
        <v>80</v>
      </c>
      <c r="D4456">
        <v>1992</v>
      </c>
      <c r="E4456" t="s">
        <v>29</v>
      </c>
      <c r="F4456" t="s">
        <v>30</v>
      </c>
      <c r="G4456" t="s">
        <v>31</v>
      </c>
      <c r="H4456" t="s">
        <v>32</v>
      </c>
      <c r="I4456">
        <v>31871.530299999999</v>
      </c>
      <c r="J4456" t="s">
        <v>33</v>
      </c>
      <c r="K4456" t="s">
        <v>6094</v>
      </c>
      <c r="L4456" t="s">
        <v>21</v>
      </c>
      <c r="M4456" t="str">
        <f t="shared" si="207"/>
        <v>OK</v>
      </c>
      <c r="N4456" t="str">
        <f t="shared" si="208"/>
        <v>1990s</v>
      </c>
      <c r="O4456" t="str">
        <f t="shared" si="209"/>
        <v>N/A</v>
      </c>
      <c r="P4456" t="str">
        <f>VLOOKUP(E4456,calculated_fields!$F$4:$G$6,2,FALSE)</f>
        <v>Economy</v>
      </c>
    </row>
    <row r="4457" spans="1:16">
      <c r="A4457" t="s">
        <v>6097</v>
      </c>
      <c r="B4457" t="s">
        <v>6061</v>
      </c>
      <c r="C4457" t="s">
        <v>80</v>
      </c>
      <c r="D4457">
        <v>1997</v>
      </c>
      <c r="E4457" t="s">
        <v>15</v>
      </c>
      <c r="F4457" t="s">
        <v>16</v>
      </c>
      <c r="G4457" t="s">
        <v>17</v>
      </c>
      <c r="H4457" t="s">
        <v>18</v>
      </c>
      <c r="I4457">
        <v>79.37</v>
      </c>
      <c r="J4457" t="s">
        <v>19</v>
      </c>
      <c r="K4457" t="s">
        <v>6098</v>
      </c>
      <c r="L4457" t="s">
        <v>21</v>
      </c>
      <c r="M4457" t="str">
        <f t="shared" si="207"/>
        <v>OK</v>
      </c>
      <c r="N4457" t="str">
        <f t="shared" si="208"/>
        <v>1990s</v>
      </c>
      <c r="O4457" t="str">
        <f t="shared" si="209"/>
        <v>High</v>
      </c>
      <c r="P4457" t="str">
        <f>VLOOKUP(E4457,calculated_fields!$F$4:$G$6,2,FALSE)</f>
        <v>Health</v>
      </c>
    </row>
    <row r="4458" spans="1:16">
      <c r="A4458" t="s">
        <v>6099</v>
      </c>
      <c r="B4458" t="s">
        <v>6061</v>
      </c>
      <c r="C4458" t="s">
        <v>80</v>
      </c>
      <c r="D4458">
        <v>1997</v>
      </c>
      <c r="E4458" t="s">
        <v>23</v>
      </c>
      <c r="F4458" t="s">
        <v>24</v>
      </c>
      <c r="G4458" t="s">
        <v>25</v>
      </c>
      <c r="H4458" t="s">
        <v>26</v>
      </c>
      <c r="I4458">
        <v>7193761</v>
      </c>
      <c r="J4458" t="s">
        <v>27</v>
      </c>
      <c r="K4458" t="s">
        <v>6098</v>
      </c>
      <c r="L4458" t="s">
        <v>21</v>
      </c>
      <c r="M4458" t="str">
        <f t="shared" si="207"/>
        <v>OK</v>
      </c>
      <c r="N4458" t="str">
        <f t="shared" si="208"/>
        <v>1990s</v>
      </c>
      <c r="O4458" t="str">
        <f t="shared" si="209"/>
        <v>N/A</v>
      </c>
      <c r="P4458" t="str">
        <f>VLOOKUP(E4458,calculated_fields!$F$4:$G$6,2,FALSE)</f>
        <v>Demographics</v>
      </c>
    </row>
    <row r="4459" spans="1:16">
      <c r="A4459" t="s">
        <v>6100</v>
      </c>
      <c r="B4459" t="s">
        <v>6061</v>
      </c>
      <c r="C4459" t="s">
        <v>80</v>
      </c>
      <c r="D4459">
        <v>1997</v>
      </c>
      <c r="E4459" t="s">
        <v>29</v>
      </c>
      <c r="F4459" t="s">
        <v>30</v>
      </c>
      <c r="G4459" t="s">
        <v>31</v>
      </c>
      <c r="H4459" t="s">
        <v>32</v>
      </c>
      <c r="I4459">
        <v>32135.32301</v>
      </c>
      <c r="J4459" t="s">
        <v>33</v>
      </c>
      <c r="K4459" t="s">
        <v>6098</v>
      </c>
      <c r="L4459" t="s">
        <v>21</v>
      </c>
      <c r="M4459" t="str">
        <f t="shared" si="207"/>
        <v>OK</v>
      </c>
      <c r="N4459" t="str">
        <f t="shared" si="208"/>
        <v>1990s</v>
      </c>
      <c r="O4459" t="str">
        <f t="shared" si="209"/>
        <v>N/A</v>
      </c>
      <c r="P4459" t="str">
        <f>VLOOKUP(E4459,calculated_fields!$F$4:$G$6,2,FALSE)</f>
        <v>Economy</v>
      </c>
    </row>
    <row r="4460" spans="1:16">
      <c r="A4460" t="s">
        <v>6101</v>
      </c>
      <c r="B4460" t="s">
        <v>6061</v>
      </c>
      <c r="C4460" t="s">
        <v>80</v>
      </c>
      <c r="D4460">
        <v>2002</v>
      </c>
      <c r="E4460" t="s">
        <v>15</v>
      </c>
      <c r="F4460" t="s">
        <v>16</v>
      </c>
      <c r="G4460" t="s">
        <v>17</v>
      </c>
      <c r="H4460" t="s">
        <v>18</v>
      </c>
      <c r="I4460">
        <v>80.62</v>
      </c>
      <c r="J4460" t="s">
        <v>19</v>
      </c>
      <c r="K4460" t="s">
        <v>6102</v>
      </c>
      <c r="L4460" t="s">
        <v>21</v>
      </c>
      <c r="M4460" t="str">
        <f t="shared" si="207"/>
        <v>OK</v>
      </c>
      <c r="N4460" t="str">
        <f t="shared" si="208"/>
        <v>2000s</v>
      </c>
      <c r="O4460" t="str">
        <f t="shared" si="209"/>
        <v>High</v>
      </c>
      <c r="P4460" t="str">
        <f>VLOOKUP(E4460,calculated_fields!$F$4:$G$6,2,FALSE)</f>
        <v>Health</v>
      </c>
    </row>
    <row r="4461" spans="1:16">
      <c r="A4461" t="s">
        <v>6103</v>
      </c>
      <c r="B4461" t="s">
        <v>6061</v>
      </c>
      <c r="C4461" t="s">
        <v>80</v>
      </c>
      <c r="D4461">
        <v>2002</v>
      </c>
      <c r="E4461" t="s">
        <v>23</v>
      </c>
      <c r="F4461" t="s">
        <v>24</v>
      </c>
      <c r="G4461" t="s">
        <v>25</v>
      </c>
      <c r="H4461" t="s">
        <v>26</v>
      </c>
      <c r="I4461">
        <v>7361757</v>
      </c>
      <c r="J4461" t="s">
        <v>27</v>
      </c>
      <c r="K4461" t="s">
        <v>6102</v>
      </c>
      <c r="L4461" t="s">
        <v>21</v>
      </c>
      <c r="M4461" t="str">
        <f t="shared" si="207"/>
        <v>OK</v>
      </c>
      <c r="N4461" t="str">
        <f t="shared" si="208"/>
        <v>2000s</v>
      </c>
      <c r="O4461" t="str">
        <f t="shared" si="209"/>
        <v>N/A</v>
      </c>
      <c r="P4461" t="str">
        <f>VLOOKUP(E4461,calculated_fields!$F$4:$G$6,2,FALSE)</f>
        <v>Demographics</v>
      </c>
    </row>
    <row r="4462" spans="1:16">
      <c r="A4462" t="s">
        <v>6104</v>
      </c>
      <c r="B4462" t="s">
        <v>6061</v>
      </c>
      <c r="C4462" t="s">
        <v>80</v>
      </c>
      <c r="D4462">
        <v>2002</v>
      </c>
      <c r="E4462" t="s">
        <v>29</v>
      </c>
      <c r="F4462" t="s">
        <v>30</v>
      </c>
      <c r="G4462" t="s">
        <v>31</v>
      </c>
      <c r="H4462" t="s">
        <v>32</v>
      </c>
      <c r="I4462">
        <v>34480.957710000002</v>
      </c>
      <c r="J4462" t="s">
        <v>33</v>
      </c>
      <c r="K4462" t="s">
        <v>6102</v>
      </c>
      <c r="L4462" t="s">
        <v>21</v>
      </c>
      <c r="M4462" t="str">
        <f t="shared" si="207"/>
        <v>OK</v>
      </c>
      <c r="N4462" t="str">
        <f t="shared" si="208"/>
        <v>2000s</v>
      </c>
      <c r="O4462" t="str">
        <f t="shared" si="209"/>
        <v>N/A</v>
      </c>
      <c r="P4462" t="str">
        <f>VLOOKUP(E4462,calculated_fields!$F$4:$G$6,2,FALSE)</f>
        <v>Economy</v>
      </c>
    </row>
    <row r="4463" spans="1:16">
      <c r="A4463" t="s">
        <v>6105</v>
      </c>
      <c r="B4463" t="s">
        <v>6061</v>
      </c>
      <c r="C4463" t="s">
        <v>80</v>
      </c>
      <c r="D4463">
        <v>2007</v>
      </c>
      <c r="E4463" t="s">
        <v>15</v>
      </c>
      <c r="F4463" t="s">
        <v>16</v>
      </c>
      <c r="G4463" t="s">
        <v>17</v>
      </c>
      <c r="H4463" t="s">
        <v>18</v>
      </c>
      <c r="I4463">
        <v>81.700999999999993</v>
      </c>
      <c r="J4463" t="s">
        <v>19</v>
      </c>
      <c r="K4463" t="s">
        <v>6106</v>
      </c>
      <c r="L4463" t="s">
        <v>21</v>
      </c>
      <c r="M4463" t="str">
        <f t="shared" si="207"/>
        <v>OK</v>
      </c>
      <c r="N4463" t="str">
        <f t="shared" si="208"/>
        <v>2000s</v>
      </c>
      <c r="O4463" t="str">
        <f t="shared" si="209"/>
        <v>High</v>
      </c>
      <c r="P4463" t="str">
        <f>VLOOKUP(E4463,calculated_fields!$F$4:$G$6,2,FALSE)</f>
        <v>Health</v>
      </c>
    </row>
    <row r="4464" spans="1:16">
      <c r="A4464" t="s">
        <v>6107</v>
      </c>
      <c r="B4464" t="s">
        <v>6061</v>
      </c>
      <c r="C4464" t="s">
        <v>80</v>
      </c>
      <c r="D4464">
        <v>2007</v>
      </c>
      <c r="E4464" t="s">
        <v>23</v>
      </c>
      <c r="F4464" t="s">
        <v>24</v>
      </c>
      <c r="G4464" t="s">
        <v>25</v>
      </c>
      <c r="H4464" t="s">
        <v>26</v>
      </c>
      <c r="I4464">
        <v>7554661</v>
      </c>
      <c r="J4464" t="s">
        <v>27</v>
      </c>
      <c r="K4464" t="s">
        <v>6106</v>
      </c>
      <c r="L4464" t="s">
        <v>21</v>
      </c>
      <c r="M4464" t="str">
        <f t="shared" si="207"/>
        <v>OK</v>
      </c>
      <c r="N4464" t="str">
        <f t="shared" si="208"/>
        <v>2000s</v>
      </c>
      <c r="O4464" t="str">
        <f t="shared" si="209"/>
        <v>N/A</v>
      </c>
      <c r="P4464" t="str">
        <f>VLOOKUP(E4464,calculated_fields!$F$4:$G$6,2,FALSE)</f>
        <v>Demographics</v>
      </c>
    </row>
    <row r="4465" spans="1:16">
      <c r="A4465" t="s">
        <v>6108</v>
      </c>
      <c r="B4465" t="s">
        <v>6061</v>
      </c>
      <c r="C4465" t="s">
        <v>80</v>
      </c>
      <c r="D4465">
        <v>2007</v>
      </c>
      <c r="E4465" t="s">
        <v>29</v>
      </c>
      <c r="F4465" t="s">
        <v>30</v>
      </c>
      <c r="G4465" t="s">
        <v>31</v>
      </c>
      <c r="H4465" t="s">
        <v>32</v>
      </c>
      <c r="I4465">
        <v>37506.419070000004</v>
      </c>
      <c r="J4465" t="s">
        <v>33</v>
      </c>
      <c r="K4465" t="s">
        <v>6106</v>
      </c>
      <c r="L4465" t="s">
        <v>21</v>
      </c>
      <c r="M4465" t="str">
        <f t="shared" si="207"/>
        <v>OK</v>
      </c>
      <c r="N4465" t="str">
        <f t="shared" si="208"/>
        <v>2000s</v>
      </c>
      <c r="O4465" t="str">
        <f t="shared" si="209"/>
        <v>N/A</v>
      </c>
      <c r="P4465" t="str">
        <f>VLOOKUP(E4465,calculated_fields!$F$4:$G$6,2,FALSE)</f>
        <v>Economy</v>
      </c>
    </row>
    <row r="4466" spans="1:16">
      <c r="A4466" t="s">
        <v>6109</v>
      </c>
      <c r="B4466" t="s">
        <v>6110</v>
      </c>
      <c r="C4466" t="s">
        <v>14</v>
      </c>
      <c r="D4466">
        <v>1952</v>
      </c>
      <c r="E4466" t="s">
        <v>15</v>
      </c>
      <c r="F4466" t="s">
        <v>16</v>
      </c>
      <c r="G4466" t="s">
        <v>17</v>
      </c>
      <c r="H4466" t="s">
        <v>18</v>
      </c>
      <c r="I4466">
        <v>45.883000000000003</v>
      </c>
      <c r="J4466" t="s">
        <v>19</v>
      </c>
      <c r="K4466" t="s">
        <v>6111</v>
      </c>
      <c r="L4466" t="s">
        <v>21</v>
      </c>
      <c r="M4466" t="str">
        <f t="shared" si="207"/>
        <v>OK</v>
      </c>
      <c r="N4466" t="str">
        <f t="shared" si="208"/>
        <v>1950s</v>
      </c>
      <c r="O4466" t="str">
        <f t="shared" si="209"/>
        <v>Low</v>
      </c>
      <c r="P4466" t="str">
        <f>VLOOKUP(E4466,calculated_fields!$F$4:$G$6,2,FALSE)</f>
        <v>Health</v>
      </c>
    </row>
    <row r="4467" spans="1:16">
      <c r="A4467" t="s">
        <v>6112</v>
      </c>
      <c r="B4467" t="s">
        <v>6110</v>
      </c>
      <c r="C4467" t="s">
        <v>14</v>
      </c>
      <c r="D4467">
        <v>1952</v>
      </c>
      <c r="E4467" t="s">
        <v>23</v>
      </c>
      <c r="F4467" t="s">
        <v>24</v>
      </c>
      <c r="G4467" t="s">
        <v>25</v>
      </c>
      <c r="H4467" t="s">
        <v>26</v>
      </c>
      <c r="I4467">
        <v>3661549</v>
      </c>
      <c r="J4467" t="s">
        <v>27</v>
      </c>
      <c r="K4467" t="s">
        <v>6111</v>
      </c>
      <c r="L4467" t="s">
        <v>21</v>
      </c>
      <c r="M4467" t="str">
        <f t="shared" si="207"/>
        <v>OK</v>
      </c>
      <c r="N4467" t="str">
        <f t="shared" si="208"/>
        <v>1950s</v>
      </c>
      <c r="O4467" t="str">
        <f t="shared" si="209"/>
        <v>N/A</v>
      </c>
      <c r="P4467" t="str">
        <f>VLOOKUP(E4467,calculated_fields!$F$4:$G$6,2,FALSE)</f>
        <v>Demographics</v>
      </c>
    </row>
    <row r="4468" spans="1:16">
      <c r="A4468" t="s">
        <v>6113</v>
      </c>
      <c r="B4468" t="s">
        <v>6110</v>
      </c>
      <c r="C4468" t="s">
        <v>14</v>
      </c>
      <c r="D4468">
        <v>1952</v>
      </c>
      <c r="E4468" t="s">
        <v>29</v>
      </c>
      <c r="F4468" t="s">
        <v>30</v>
      </c>
      <c r="G4468" t="s">
        <v>31</v>
      </c>
      <c r="H4468" t="s">
        <v>32</v>
      </c>
      <c r="I4468">
        <v>1643.4853539999999</v>
      </c>
      <c r="J4468" t="s">
        <v>33</v>
      </c>
      <c r="K4468" t="s">
        <v>6111</v>
      </c>
      <c r="L4468" t="s">
        <v>21</v>
      </c>
      <c r="M4468" t="str">
        <f t="shared" si="207"/>
        <v>OK</v>
      </c>
      <c r="N4468" t="str">
        <f t="shared" si="208"/>
        <v>1950s</v>
      </c>
      <c r="O4468" t="str">
        <f t="shared" si="209"/>
        <v>N/A</v>
      </c>
      <c r="P4468" t="str">
        <f>VLOOKUP(E4468,calculated_fields!$F$4:$G$6,2,FALSE)</f>
        <v>Economy</v>
      </c>
    </row>
    <row r="4469" spans="1:16">
      <c r="A4469" t="s">
        <v>6114</v>
      </c>
      <c r="B4469" t="s">
        <v>6110</v>
      </c>
      <c r="C4469" t="s">
        <v>14</v>
      </c>
      <c r="D4469">
        <v>1957</v>
      </c>
      <c r="E4469" t="s">
        <v>15</v>
      </c>
      <c r="F4469" t="s">
        <v>16</v>
      </c>
      <c r="G4469" t="s">
        <v>17</v>
      </c>
      <c r="H4469" t="s">
        <v>18</v>
      </c>
      <c r="I4469">
        <v>48.283999999999999</v>
      </c>
      <c r="J4469" t="s">
        <v>19</v>
      </c>
      <c r="K4469" t="s">
        <v>6115</v>
      </c>
      <c r="L4469" t="s">
        <v>21</v>
      </c>
      <c r="M4469" t="str">
        <f t="shared" si="207"/>
        <v>OK</v>
      </c>
      <c r="N4469" t="str">
        <f t="shared" si="208"/>
        <v>1950s</v>
      </c>
      <c r="O4469" t="str">
        <f t="shared" si="209"/>
        <v>Low</v>
      </c>
      <c r="P4469" t="str">
        <f>VLOOKUP(E4469,calculated_fields!$F$4:$G$6,2,FALSE)</f>
        <v>Health</v>
      </c>
    </row>
    <row r="4470" spans="1:16">
      <c r="A4470" t="s">
        <v>6116</v>
      </c>
      <c r="B4470" t="s">
        <v>6110</v>
      </c>
      <c r="C4470" t="s">
        <v>14</v>
      </c>
      <c r="D4470">
        <v>1957</v>
      </c>
      <c r="E4470" t="s">
        <v>23</v>
      </c>
      <c r="F4470" t="s">
        <v>24</v>
      </c>
      <c r="G4470" t="s">
        <v>25</v>
      </c>
      <c r="H4470" t="s">
        <v>26</v>
      </c>
      <c r="I4470">
        <v>4149908</v>
      </c>
      <c r="J4470" t="s">
        <v>27</v>
      </c>
      <c r="K4470" t="s">
        <v>6115</v>
      </c>
      <c r="L4470" t="s">
        <v>21</v>
      </c>
      <c r="M4470" t="str">
        <f t="shared" si="207"/>
        <v>OK</v>
      </c>
      <c r="N4470" t="str">
        <f t="shared" si="208"/>
        <v>1950s</v>
      </c>
      <c r="O4470" t="str">
        <f t="shared" si="209"/>
        <v>N/A</v>
      </c>
      <c r="P4470" t="str">
        <f>VLOOKUP(E4470,calculated_fields!$F$4:$G$6,2,FALSE)</f>
        <v>Demographics</v>
      </c>
    </row>
    <row r="4471" spans="1:16">
      <c r="A4471" t="s">
        <v>6117</v>
      </c>
      <c r="B4471" t="s">
        <v>6110</v>
      </c>
      <c r="C4471" t="s">
        <v>14</v>
      </c>
      <c r="D4471">
        <v>1957</v>
      </c>
      <c r="E4471" t="s">
        <v>29</v>
      </c>
      <c r="F4471" t="s">
        <v>30</v>
      </c>
      <c r="G4471" t="s">
        <v>31</v>
      </c>
      <c r="H4471" t="s">
        <v>32</v>
      </c>
      <c r="I4471">
        <v>2117.2348929999998</v>
      </c>
      <c r="J4471" t="s">
        <v>33</v>
      </c>
      <c r="K4471" t="s">
        <v>6115</v>
      </c>
      <c r="L4471" t="s">
        <v>21</v>
      </c>
      <c r="M4471" t="str">
        <f t="shared" si="207"/>
        <v>OK</v>
      </c>
      <c r="N4471" t="str">
        <f t="shared" si="208"/>
        <v>1950s</v>
      </c>
      <c r="O4471" t="str">
        <f t="shared" si="209"/>
        <v>N/A</v>
      </c>
      <c r="P4471" t="str">
        <f>VLOOKUP(E4471,calculated_fields!$F$4:$G$6,2,FALSE)</f>
        <v>Economy</v>
      </c>
    </row>
    <row r="4472" spans="1:16">
      <c r="A4472" t="s">
        <v>6118</v>
      </c>
      <c r="B4472" t="s">
        <v>6110</v>
      </c>
      <c r="C4472" t="s">
        <v>14</v>
      </c>
      <c r="D4472">
        <v>1962</v>
      </c>
      <c r="E4472" t="s">
        <v>15</v>
      </c>
      <c r="F4472" t="s">
        <v>16</v>
      </c>
      <c r="G4472" t="s">
        <v>17</v>
      </c>
      <c r="H4472" t="s">
        <v>18</v>
      </c>
      <c r="I4472">
        <v>50.305</v>
      </c>
      <c r="J4472" t="s">
        <v>19</v>
      </c>
      <c r="K4472" t="s">
        <v>6119</v>
      </c>
      <c r="L4472" t="s">
        <v>21</v>
      </c>
      <c r="M4472" t="str">
        <f t="shared" si="207"/>
        <v>OK</v>
      </c>
      <c r="N4472" t="str">
        <f t="shared" si="208"/>
        <v>1960s</v>
      </c>
      <c r="O4472" t="str">
        <f t="shared" si="209"/>
        <v>Low</v>
      </c>
      <c r="P4472" t="str">
        <f>VLOOKUP(E4472,calculated_fields!$F$4:$G$6,2,FALSE)</f>
        <v>Health</v>
      </c>
    </row>
    <row r="4473" spans="1:16">
      <c r="A4473" t="s">
        <v>6120</v>
      </c>
      <c r="B4473" t="s">
        <v>6110</v>
      </c>
      <c r="C4473" t="s">
        <v>14</v>
      </c>
      <c r="D4473">
        <v>1962</v>
      </c>
      <c r="E4473" t="s">
        <v>23</v>
      </c>
      <c r="F4473" t="s">
        <v>24</v>
      </c>
      <c r="G4473" t="s">
        <v>25</v>
      </c>
      <c r="H4473" t="s">
        <v>26</v>
      </c>
      <c r="I4473">
        <v>4834621</v>
      </c>
      <c r="J4473" t="s">
        <v>27</v>
      </c>
      <c r="K4473" t="s">
        <v>6119</v>
      </c>
      <c r="L4473" t="s">
        <v>21</v>
      </c>
      <c r="M4473" t="str">
        <f t="shared" si="207"/>
        <v>OK</v>
      </c>
      <c r="N4473" t="str">
        <f t="shared" si="208"/>
        <v>1960s</v>
      </c>
      <c r="O4473" t="str">
        <f t="shared" si="209"/>
        <v>N/A</v>
      </c>
      <c r="P4473" t="str">
        <f>VLOOKUP(E4473,calculated_fields!$F$4:$G$6,2,FALSE)</f>
        <v>Demographics</v>
      </c>
    </row>
    <row r="4474" spans="1:16">
      <c r="A4474" t="s">
        <v>6121</v>
      </c>
      <c r="B4474" t="s">
        <v>6110</v>
      </c>
      <c r="C4474" t="s">
        <v>14</v>
      </c>
      <c r="D4474">
        <v>1962</v>
      </c>
      <c r="E4474" t="s">
        <v>29</v>
      </c>
      <c r="F4474" t="s">
        <v>30</v>
      </c>
      <c r="G4474" t="s">
        <v>31</v>
      </c>
      <c r="H4474" t="s">
        <v>32</v>
      </c>
      <c r="I4474">
        <v>2193.0371329999998</v>
      </c>
      <c r="J4474" t="s">
        <v>33</v>
      </c>
      <c r="K4474" t="s">
        <v>6119</v>
      </c>
      <c r="L4474" t="s">
        <v>21</v>
      </c>
      <c r="M4474" t="str">
        <f t="shared" si="207"/>
        <v>OK</v>
      </c>
      <c r="N4474" t="str">
        <f t="shared" si="208"/>
        <v>1960s</v>
      </c>
      <c r="O4474" t="str">
        <f t="shared" si="209"/>
        <v>N/A</v>
      </c>
      <c r="P4474" t="str">
        <f>VLOOKUP(E4474,calculated_fields!$F$4:$G$6,2,FALSE)</f>
        <v>Economy</v>
      </c>
    </row>
    <row r="4475" spans="1:16">
      <c r="A4475" t="s">
        <v>6122</v>
      </c>
      <c r="B4475" t="s">
        <v>6110</v>
      </c>
      <c r="C4475" t="s">
        <v>14</v>
      </c>
      <c r="D4475">
        <v>1967</v>
      </c>
      <c r="E4475" t="s">
        <v>15</v>
      </c>
      <c r="F4475" t="s">
        <v>16</v>
      </c>
      <c r="G4475" t="s">
        <v>17</v>
      </c>
      <c r="H4475" t="s">
        <v>18</v>
      </c>
      <c r="I4475">
        <v>53.655000000000001</v>
      </c>
      <c r="J4475" t="s">
        <v>19</v>
      </c>
      <c r="K4475" t="s">
        <v>6123</v>
      </c>
      <c r="L4475" t="s">
        <v>21</v>
      </c>
      <c r="M4475" t="str">
        <f t="shared" si="207"/>
        <v>OK</v>
      </c>
      <c r="N4475" t="str">
        <f t="shared" si="208"/>
        <v>1960s</v>
      </c>
      <c r="O4475" t="str">
        <f t="shared" si="209"/>
        <v>Low</v>
      </c>
      <c r="P4475" t="str">
        <f>VLOOKUP(E4475,calculated_fields!$F$4:$G$6,2,FALSE)</f>
        <v>Health</v>
      </c>
    </row>
    <row r="4476" spans="1:16">
      <c r="A4476" t="s">
        <v>6124</v>
      </c>
      <c r="B4476" t="s">
        <v>6110</v>
      </c>
      <c r="C4476" t="s">
        <v>14</v>
      </c>
      <c r="D4476">
        <v>1967</v>
      </c>
      <c r="E4476" t="s">
        <v>23</v>
      </c>
      <c r="F4476" t="s">
        <v>24</v>
      </c>
      <c r="G4476" t="s">
        <v>25</v>
      </c>
      <c r="H4476" t="s">
        <v>26</v>
      </c>
      <c r="I4476">
        <v>5680812</v>
      </c>
      <c r="J4476" t="s">
        <v>27</v>
      </c>
      <c r="K4476" t="s">
        <v>6123</v>
      </c>
      <c r="L4476" t="s">
        <v>21</v>
      </c>
      <c r="M4476" t="str">
        <f t="shared" si="207"/>
        <v>OK</v>
      </c>
      <c r="N4476" t="str">
        <f t="shared" si="208"/>
        <v>1960s</v>
      </c>
      <c r="O4476" t="str">
        <f t="shared" si="209"/>
        <v>N/A</v>
      </c>
      <c r="P4476" t="str">
        <f>VLOOKUP(E4476,calculated_fields!$F$4:$G$6,2,FALSE)</f>
        <v>Demographics</v>
      </c>
    </row>
    <row r="4477" spans="1:16">
      <c r="A4477" t="s">
        <v>6125</v>
      </c>
      <c r="B4477" t="s">
        <v>6110</v>
      </c>
      <c r="C4477" t="s">
        <v>14</v>
      </c>
      <c r="D4477">
        <v>1967</v>
      </c>
      <c r="E4477" t="s">
        <v>29</v>
      </c>
      <c r="F4477" t="s">
        <v>30</v>
      </c>
      <c r="G4477" t="s">
        <v>31</v>
      </c>
      <c r="H4477" t="s">
        <v>32</v>
      </c>
      <c r="I4477">
        <v>1881.923632</v>
      </c>
      <c r="J4477" t="s">
        <v>33</v>
      </c>
      <c r="K4477" t="s">
        <v>6123</v>
      </c>
      <c r="L4477" t="s">
        <v>21</v>
      </c>
      <c r="M4477" t="str">
        <f t="shared" si="207"/>
        <v>OK</v>
      </c>
      <c r="N4477" t="str">
        <f t="shared" si="208"/>
        <v>1960s</v>
      </c>
      <c r="O4477" t="str">
        <f t="shared" si="209"/>
        <v>N/A</v>
      </c>
      <c r="P4477" t="str">
        <f>VLOOKUP(E4477,calculated_fields!$F$4:$G$6,2,FALSE)</f>
        <v>Economy</v>
      </c>
    </row>
    <row r="4478" spans="1:16">
      <c r="A4478" t="s">
        <v>6126</v>
      </c>
      <c r="B4478" t="s">
        <v>6110</v>
      </c>
      <c r="C4478" t="s">
        <v>14</v>
      </c>
      <c r="D4478">
        <v>1972</v>
      </c>
      <c r="E4478" t="s">
        <v>15</v>
      </c>
      <c r="F4478" t="s">
        <v>16</v>
      </c>
      <c r="G4478" t="s">
        <v>17</v>
      </c>
      <c r="H4478" t="s">
        <v>18</v>
      </c>
      <c r="I4478">
        <v>57.295999999999999</v>
      </c>
      <c r="J4478" t="s">
        <v>19</v>
      </c>
      <c r="K4478" t="s">
        <v>6127</v>
      </c>
      <c r="L4478" t="s">
        <v>21</v>
      </c>
      <c r="M4478" t="str">
        <f t="shared" si="207"/>
        <v>OK</v>
      </c>
      <c r="N4478" t="str">
        <f t="shared" si="208"/>
        <v>1970s</v>
      </c>
      <c r="O4478" t="str">
        <f t="shared" si="209"/>
        <v>Medium</v>
      </c>
      <c r="P4478" t="str">
        <f>VLOOKUP(E4478,calculated_fields!$F$4:$G$6,2,FALSE)</f>
        <v>Health</v>
      </c>
    </row>
    <row r="4479" spans="1:16">
      <c r="A4479" t="s">
        <v>6128</v>
      </c>
      <c r="B4479" t="s">
        <v>6110</v>
      </c>
      <c r="C4479" t="s">
        <v>14</v>
      </c>
      <c r="D4479">
        <v>1972</v>
      </c>
      <c r="E4479" t="s">
        <v>23</v>
      </c>
      <c r="F4479" t="s">
        <v>24</v>
      </c>
      <c r="G4479" t="s">
        <v>25</v>
      </c>
      <c r="H4479" t="s">
        <v>26</v>
      </c>
      <c r="I4479">
        <v>6701172</v>
      </c>
      <c r="J4479" t="s">
        <v>27</v>
      </c>
      <c r="K4479" t="s">
        <v>6127</v>
      </c>
      <c r="L4479" t="s">
        <v>21</v>
      </c>
      <c r="M4479" t="str">
        <f t="shared" si="207"/>
        <v>OK</v>
      </c>
      <c r="N4479" t="str">
        <f t="shared" si="208"/>
        <v>1970s</v>
      </c>
      <c r="O4479" t="str">
        <f t="shared" si="209"/>
        <v>N/A</v>
      </c>
      <c r="P4479" t="str">
        <f>VLOOKUP(E4479,calculated_fields!$F$4:$G$6,2,FALSE)</f>
        <v>Demographics</v>
      </c>
    </row>
    <row r="4480" spans="1:16">
      <c r="A4480" t="s">
        <v>6129</v>
      </c>
      <c r="B4480" t="s">
        <v>6110</v>
      </c>
      <c r="C4480" t="s">
        <v>14</v>
      </c>
      <c r="D4480">
        <v>1972</v>
      </c>
      <c r="E4480" t="s">
        <v>29</v>
      </c>
      <c r="F4480" t="s">
        <v>30</v>
      </c>
      <c r="G4480" t="s">
        <v>31</v>
      </c>
      <c r="H4480" t="s">
        <v>32</v>
      </c>
      <c r="I4480">
        <v>2571.423014</v>
      </c>
      <c r="J4480" t="s">
        <v>33</v>
      </c>
      <c r="K4480" t="s">
        <v>6127</v>
      </c>
      <c r="L4480" t="s">
        <v>21</v>
      </c>
      <c r="M4480" t="str">
        <f t="shared" si="207"/>
        <v>OK</v>
      </c>
      <c r="N4480" t="str">
        <f t="shared" si="208"/>
        <v>1970s</v>
      </c>
      <c r="O4480" t="str">
        <f t="shared" si="209"/>
        <v>N/A</v>
      </c>
      <c r="P4480" t="str">
        <f>VLOOKUP(E4480,calculated_fields!$F$4:$G$6,2,FALSE)</f>
        <v>Economy</v>
      </c>
    </row>
    <row r="4481" spans="1:16">
      <c r="A4481" t="s">
        <v>6130</v>
      </c>
      <c r="B4481" t="s">
        <v>6110</v>
      </c>
      <c r="C4481" t="s">
        <v>14</v>
      </c>
      <c r="D4481">
        <v>1977</v>
      </c>
      <c r="E4481" t="s">
        <v>15</v>
      </c>
      <c r="F4481" t="s">
        <v>16</v>
      </c>
      <c r="G4481" t="s">
        <v>17</v>
      </c>
      <c r="H4481" t="s">
        <v>18</v>
      </c>
      <c r="I4481">
        <v>61.195</v>
      </c>
      <c r="J4481" t="s">
        <v>19</v>
      </c>
      <c r="K4481" t="s">
        <v>6131</v>
      </c>
      <c r="L4481" t="s">
        <v>21</v>
      </c>
      <c r="M4481" t="str">
        <f t="shared" si="207"/>
        <v>OK</v>
      </c>
      <c r="N4481" t="str">
        <f t="shared" si="208"/>
        <v>1970s</v>
      </c>
      <c r="O4481" t="str">
        <f t="shared" si="209"/>
        <v>Medium</v>
      </c>
      <c r="P4481" t="str">
        <f>VLOOKUP(E4481,calculated_fields!$F$4:$G$6,2,FALSE)</f>
        <v>Health</v>
      </c>
    </row>
    <row r="4482" spans="1:16">
      <c r="A4482" t="s">
        <v>6132</v>
      </c>
      <c r="B4482" t="s">
        <v>6110</v>
      </c>
      <c r="C4482" t="s">
        <v>14</v>
      </c>
      <c r="D4482">
        <v>1977</v>
      </c>
      <c r="E4482" t="s">
        <v>23</v>
      </c>
      <c r="F4482" t="s">
        <v>24</v>
      </c>
      <c r="G4482" t="s">
        <v>25</v>
      </c>
      <c r="H4482" t="s">
        <v>26</v>
      </c>
      <c r="I4482">
        <v>7932503</v>
      </c>
      <c r="J4482" t="s">
        <v>27</v>
      </c>
      <c r="K4482" t="s">
        <v>6131</v>
      </c>
      <c r="L4482" t="s">
        <v>21</v>
      </c>
      <c r="M4482" t="str">
        <f t="shared" ref="M4482:M4545" si="210">IF(AND(ISNUMBER(I4482),I4482&gt;=0),"OK","Review")</f>
        <v>OK</v>
      </c>
      <c r="N4482" t="str">
        <f t="shared" ref="N4482:N4545" si="211">FLOOR(D4482,10)&amp;"s"</f>
        <v>1970s</v>
      </c>
      <c r="O4482" t="str">
        <f t="shared" ref="O4482:O4545" si="212">IF(E4482="LIFE_EXP",IF(I4482&gt;=70,"High",IF(I4482&gt;=55,"Medium","Low")),"N/A")</f>
        <v>N/A</v>
      </c>
      <c r="P4482" t="str">
        <f>VLOOKUP(E4482,calculated_fields!$F$4:$G$6,2,FALSE)</f>
        <v>Demographics</v>
      </c>
    </row>
    <row r="4483" spans="1:16">
      <c r="A4483" t="s">
        <v>6133</v>
      </c>
      <c r="B4483" t="s">
        <v>6110</v>
      </c>
      <c r="C4483" t="s">
        <v>14</v>
      </c>
      <c r="D4483">
        <v>1977</v>
      </c>
      <c r="E4483" t="s">
        <v>29</v>
      </c>
      <c r="F4483" t="s">
        <v>30</v>
      </c>
      <c r="G4483" t="s">
        <v>31</v>
      </c>
      <c r="H4483" t="s">
        <v>32</v>
      </c>
      <c r="I4483">
        <v>3195.484582</v>
      </c>
      <c r="J4483" t="s">
        <v>33</v>
      </c>
      <c r="K4483" t="s">
        <v>6131</v>
      </c>
      <c r="L4483" t="s">
        <v>21</v>
      </c>
      <c r="M4483" t="str">
        <f t="shared" si="210"/>
        <v>OK</v>
      </c>
      <c r="N4483" t="str">
        <f t="shared" si="211"/>
        <v>1970s</v>
      </c>
      <c r="O4483" t="str">
        <f t="shared" si="212"/>
        <v>N/A</v>
      </c>
      <c r="P4483" t="str">
        <f>VLOOKUP(E4483,calculated_fields!$F$4:$G$6,2,FALSE)</f>
        <v>Economy</v>
      </c>
    </row>
    <row r="4484" spans="1:16">
      <c r="A4484" t="s">
        <v>6134</v>
      </c>
      <c r="B4484" t="s">
        <v>6110</v>
      </c>
      <c r="C4484" t="s">
        <v>14</v>
      </c>
      <c r="D4484">
        <v>1982</v>
      </c>
      <c r="E4484" t="s">
        <v>15</v>
      </c>
      <c r="F4484" t="s">
        <v>16</v>
      </c>
      <c r="G4484" t="s">
        <v>17</v>
      </c>
      <c r="H4484" t="s">
        <v>18</v>
      </c>
      <c r="I4484">
        <v>64.59</v>
      </c>
      <c r="J4484" t="s">
        <v>19</v>
      </c>
      <c r="K4484" t="s">
        <v>6135</v>
      </c>
      <c r="L4484" t="s">
        <v>21</v>
      </c>
      <c r="M4484" t="str">
        <f t="shared" si="210"/>
        <v>OK</v>
      </c>
      <c r="N4484" t="str">
        <f t="shared" si="211"/>
        <v>1980s</v>
      </c>
      <c r="O4484" t="str">
        <f t="shared" si="212"/>
        <v>Medium</v>
      </c>
      <c r="P4484" t="str">
        <f>VLOOKUP(E4484,calculated_fields!$F$4:$G$6,2,FALSE)</f>
        <v>Health</v>
      </c>
    </row>
    <row r="4485" spans="1:16">
      <c r="A4485" t="s">
        <v>6136</v>
      </c>
      <c r="B4485" t="s">
        <v>6110</v>
      </c>
      <c r="C4485" t="s">
        <v>14</v>
      </c>
      <c r="D4485">
        <v>1982</v>
      </c>
      <c r="E4485" t="s">
        <v>23</v>
      </c>
      <c r="F4485" t="s">
        <v>24</v>
      </c>
      <c r="G4485" t="s">
        <v>25</v>
      </c>
      <c r="H4485" t="s">
        <v>26</v>
      </c>
      <c r="I4485">
        <v>9410494</v>
      </c>
      <c r="J4485" t="s">
        <v>27</v>
      </c>
      <c r="K4485" t="s">
        <v>6135</v>
      </c>
      <c r="L4485" t="s">
        <v>21</v>
      </c>
      <c r="M4485" t="str">
        <f t="shared" si="210"/>
        <v>OK</v>
      </c>
      <c r="N4485" t="str">
        <f t="shared" si="211"/>
        <v>1980s</v>
      </c>
      <c r="O4485" t="str">
        <f t="shared" si="212"/>
        <v>N/A</v>
      </c>
      <c r="P4485" t="str">
        <f>VLOOKUP(E4485,calculated_fields!$F$4:$G$6,2,FALSE)</f>
        <v>Demographics</v>
      </c>
    </row>
    <row r="4486" spans="1:16">
      <c r="A4486" t="s">
        <v>6137</v>
      </c>
      <c r="B4486" t="s">
        <v>6110</v>
      </c>
      <c r="C4486" t="s">
        <v>14</v>
      </c>
      <c r="D4486">
        <v>1982</v>
      </c>
      <c r="E4486" t="s">
        <v>29</v>
      </c>
      <c r="F4486" t="s">
        <v>30</v>
      </c>
      <c r="G4486" t="s">
        <v>31</v>
      </c>
      <c r="H4486" t="s">
        <v>32</v>
      </c>
      <c r="I4486">
        <v>3761.8377150000001</v>
      </c>
      <c r="J4486" t="s">
        <v>33</v>
      </c>
      <c r="K4486" t="s">
        <v>6135</v>
      </c>
      <c r="L4486" t="s">
        <v>21</v>
      </c>
      <c r="M4486" t="str">
        <f t="shared" si="210"/>
        <v>OK</v>
      </c>
      <c r="N4486" t="str">
        <f t="shared" si="211"/>
        <v>1980s</v>
      </c>
      <c r="O4486" t="str">
        <f t="shared" si="212"/>
        <v>N/A</v>
      </c>
      <c r="P4486" t="str">
        <f>VLOOKUP(E4486,calculated_fields!$F$4:$G$6,2,FALSE)</f>
        <v>Economy</v>
      </c>
    </row>
    <row r="4487" spans="1:16">
      <c r="A4487" t="s">
        <v>6138</v>
      </c>
      <c r="B4487" t="s">
        <v>6110</v>
      </c>
      <c r="C4487" t="s">
        <v>14</v>
      </c>
      <c r="D4487">
        <v>1987</v>
      </c>
      <c r="E4487" t="s">
        <v>15</v>
      </c>
      <c r="F4487" t="s">
        <v>16</v>
      </c>
      <c r="G4487" t="s">
        <v>17</v>
      </c>
      <c r="H4487" t="s">
        <v>18</v>
      </c>
      <c r="I4487">
        <v>66.973999999999904</v>
      </c>
      <c r="J4487" t="s">
        <v>19</v>
      </c>
      <c r="K4487" t="s">
        <v>6139</v>
      </c>
      <c r="L4487" t="s">
        <v>21</v>
      </c>
      <c r="M4487" t="str">
        <f t="shared" si="210"/>
        <v>OK</v>
      </c>
      <c r="N4487" t="str">
        <f t="shared" si="211"/>
        <v>1980s</v>
      </c>
      <c r="O4487" t="str">
        <f t="shared" si="212"/>
        <v>Medium</v>
      </c>
      <c r="P4487" t="str">
        <f>VLOOKUP(E4487,calculated_fields!$F$4:$G$6,2,FALSE)</f>
        <v>Health</v>
      </c>
    </row>
    <row r="4488" spans="1:16">
      <c r="A4488" t="s">
        <v>6140</v>
      </c>
      <c r="B4488" t="s">
        <v>6110</v>
      </c>
      <c r="C4488" t="s">
        <v>14</v>
      </c>
      <c r="D4488">
        <v>1987</v>
      </c>
      <c r="E4488" t="s">
        <v>23</v>
      </c>
      <c r="F4488" t="s">
        <v>24</v>
      </c>
      <c r="G4488" t="s">
        <v>25</v>
      </c>
      <c r="H4488" t="s">
        <v>26</v>
      </c>
      <c r="I4488">
        <v>11242847</v>
      </c>
      <c r="J4488" t="s">
        <v>27</v>
      </c>
      <c r="K4488" t="s">
        <v>6139</v>
      </c>
      <c r="L4488" t="s">
        <v>21</v>
      </c>
      <c r="M4488" t="str">
        <f t="shared" si="210"/>
        <v>OK</v>
      </c>
      <c r="N4488" t="str">
        <f t="shared" si="211"/>
        <v>1980s</v>
      </c>
      <c r="O4488" t="str">
        <f t="shared" si="212"/>
        <v>N/A</v>
      </c>
      <c r="P4488" t="str">
        <f>VLOOKUP(E4488,calculated_fields!$F$4:$G$6,2,FALSE)</f>
        <v>Demographics</v>
      </c>
    </row>
    <row r="4489" spans="1:16">
      <c r="A4489" t="s">
        <v>6141</v>
      </c>
      <c r="B4489" t="s">
        <v>6110</v>
      </c>
      <c r="C4489" t="s">
        <v>14</v>
      </c>
      <c r="D4489">
        <v>1987</v>
      </c>
      <c r="E4489" t="s">
        <v>29</v>
      </c>
      <c r="F4489" t="s">
        <v>30</v>
      </c>
      <c r="G4489" t="s">
        <v>31</v>
      </c>
      <c r="H4489" t="s">
        <v>32</v>
      </c>
      <c r="I4489">
        <v>3116.774285</v>
      </c>
      <c r="J4489" t="s">
        <v>33</v>
      </c>
      <c r="K4489" t="s">
        <v>6139</v>
      </c>
      <c r="L4489" t="s">
        <v>21</v>
      </c>
      <c r="M4489" t="str">
        <f t="shared" si="210"/>
        <v>OK</v>
      </c>
      <c r="N4489" t="str">
        <f t="shared" si="211"/>
        <v>1980s</v>
      </c>
      <c r="O4489" t="str">
        <f t="shared" si="212"/>
        <v>N/A</v>
      </c>
      <c r="P4489" t="str">
        <f>VLOOKUP(E4489,calculated_fields!$F$4:$G$6,2,FALSE)</f>
        <v>Economy</v>
      </c>
    </row>
    <row r="4490" spans="1:16">
      <c r="A4490" t="s">
        <v>6142</v>
      </c>
      <c r="B4490" t="s">
        <v>6110</v>
      </c>
      <c r="C4490" t="s">
        <v>14</v>
      </c>
      <c r="D4490">
        <v>1992</v>
      </c>
      <c r="E4490" t="s">
        <v>15</v>
      </c>
      <c r="F4490" t="s">
        <v>16</v>
      </c>
      <c r="G4490" t="s">
        <v>17</v>
      </c>
      <c r="H4490" t="s">
        <v>18</v>
      </c>
      <c r="I4490">
        <v>69.248999999999995</v>
      </c>
      <c r="J4490" t="s">
        <v>19</v>
      </c>
      <c r="K4490" t="s">
        <v>6143</v>
      </c>
      <c r="L4490" t="s">
        <v>21</v>
      </c>
      <c r="M4490" t="str">
        <f t="shared" si="210"/>
        <v>OK</v>
      </c>
      <c r="N4490" t="str">
        <f t="shared" si="211"/>
        <v>1990s</v>
      </c>
      <c r="O4490" t="str">
        <f t="shared" si="212"/>
        <v>Medium</v>
      </c>
      <c r="P4490" t="str">
        <f>VLOOKUP(E4490,calculated_fields!$F$4:$G$6,2,FALSE)</f>
        <v>Health</v>
      </c>
    </row>
    <row r="4491" spans="1:16">
      <c r="A4491" t="s">
        <v>6144</v>
      </c>
      <c r="B4491" t="s">
        <v>6110</v>
      </c>
      <c r="C4491" t="s">
        <v>14</v>
      </c>
      <c r="D4491">
        <v>1992</v>
      </c>
      <c r="E4491" t="s">
        <v>23</v>
      </c>
      <c r="F4491" t="s">
        <v>24</v>
      </c>
      <c r="G4491" t="s">
        <v>25</v>
      </c>
      <c r="H4491" t="s">
        <v>26</v>
      </c>
      <c r="I4491">
        <v>13219062</v>
      </c>
      <c r="J4491" t="s">
        <v>27</v>
      </c>
      <c r="K4491" t="s">
        <v>6143</v>
      </c>
      <c r="L4491" t="s">
        <v>21</v>
      </c>
      <c r="M4491" t="str">
        <f t="shared" si="210"/>
        <v>OK</v>
      </c>
      <c r="N4491" t="str">
        <f t="shared" si="211"/>
        <v>1990s</v>
      </c>
      <c r="O4491" t="str">
        <f t="shared" si="212"/>
        <v>N/A</v>
      </c>
      <c r="P4491" t="str">
        <f>VLOOKUP(E4491,calculated_fields!$F$4:$G$6,2,FALSE)</f>
        <v>Demographics</v>
      </c>
    </row>
    <row r="4492" spans="1:16">
      <c r="A4492" t="s">
        <v>6145</v>
      </c>
      <c r="B4492" t="s">
        <v>6110</v>
      </c>
      <c r="C4492" t="s">
        <v>14</v>
      </c>
      <c r="D4492">
        <v>1992</v>
      </c>
      <c r="E4492" t="s">
        <v>29</v>
      </c>
      <c r="F4492" t="s">
        <v>30</v>
      </c>
      <c r="G4492" t="s">
        <v>31</v>
      </c>
      <c r="H4492" t="s">
        <v>32</v>
      </c>
      <c r="I4492">
        <v>3340.5427679999998</v>
      </c>
      <c r="J4492" t="s">
        <v>33</v>
      </c>
      <c r="K4492" t="s">
        <v>6143</v>
      </c>
      <c r="L4492" t="s">
        <v>21</v>
      </c>
      <c r="M4492" t="str">
        <f t="shared" si="210"/>
        <v>OK</v>
      </c>
      <c r="N4492" t="str">
        <f t="shared" si="211"/>
        <v>1990s</v>
      </c>
      <c r="O4492" t="str">
        <f t="shared" si="212"/>
        <v>N/A</v>
      </c>
      <c r="P4492" t="str">
        <f>VLOOKUP(E4492,calculated_fields!$F$4:$G$6,2,FALSE)</f>
        <v>Economy</v>
      </c>
    </row>
    <row r="4493" spans="1:16">
      <c r="A4493" t="s">
        <v>6146</v>
      </c>
      <c r="B4493" t="s">
        <v>6110</v>
      </c>
      <c r="C4493" t="s">
        <v>14</v>
      </c>
      <c r="D4493">
        <v>1997</v>
      </c>
      <c r="E4493" t="s">
        <v>15</v>
      </c>
      <c r="F4493" t="s">
        <v>16</v>
      </c>
      <c r="G4493" t="s">
        <v>17</v>
      </c>
      <c r="H4493" t="s">
        <v>18</v>
      </c>
      <c r="I4493">
        <v>71.527000000000001</v>
      </c>
      <c r="J4493" t="s">
        <v>19</v>
      </c>
      <c r="K4493" t="s">
        <v>6147</v>
      </c>
      <c r="L4493" t="s">
        <v>21</v>
      </c>
      <c r="M4493" t="str">
        <f t="shared" si="210"/>
        <v>OK</v>
      </c>
      <c r="N4493" t="str">
        <f t="shared" si="211"/>
        <v>1990s</v>
      </c>
      <c r="O4493" t="str">
        <f t="shared" si="212"/>
        <v>High</v>
      </c>
      <c r="P4493" t="str">
        <f>VLOOKUP(E4493,calculated_fields!$F$4:$G$6,2,FALSE)</f>
        <v>Health</v>
      </c>
    </row>
    <row r="4494" spans="1:16">
      <c r="A4494" t="s">
        <v>6148</v>
      </c>
      <c r="B4494" t="s">
        <v>6110</v>
      </c>
      <c r="C4494" t="s">
        <v>14</v>
      </c>
      <c r="D4494">
        <v>1997</v>
      </c>
      <c r="E4494" t="s">
        <v>23</v>
      </c>
      <c r="F4494" t="s">
        <v>24</v>
      </c>
      <c r="G4494" t="s">
        <v>25</v>
      </c>
      <c r="H4494" t="s">
        <v>26</v>
      </c>
      <c r="I4494">
        <v>15081016</v>
      </c>
      <c r="J4494" t="s">
        <v>27</v>
      </c>
      <c r="K4494" t="s">
        <v>6147</v>
      </c>
      <c r="L4494" t="s">
        <v>21</v>
      </c>
      <c r="M4494" t="str">
        <f t="shared" si="210"/>
        <v>OK</v>
      </c>
      <c r="N4494" t="str">
        <f t="shared" si="211"/>
        <v>1990s</v>
      </c>
      <c r="O4494" t="str">
        <f t="shared" si="212"/>
        <v>N/A</v>
      </c>
      <c r="P4494" t="str">
        <f>VLOOKUP(E4494,calculated_fields!$F$4:$G$6,2,FALSE)</f>
        <v>Demographics</v>
      </c>
    </row>
    <row r="4495" spans="1:16">
      <c r="A4495" t="s">
        <v>6149</v>
      </c>
      <c r="B4495" t="s">
        <v>6110</v>
      </c>
      <c r="C4495" t="s">
        <v>14</v>
      </c>
      <c r="D4495">
        <v>1997</v>
      </c>
      <c r="E4495" t="s">
        <v>29</v>
      </c>
      <c r="F4495" t="s">
        <v>30</v>
      </c>
      <c r="G4495" t="s">
        <v>31</v>
      </c>
      <c r="H4495" t="s">
        <v>32</v>
      </c>
      <c r="I4495">
        <v>4014.2389720000001</v>
      </c>
      <c r="J4495" t="s">
        <v>33</v>
      </c>
      <c r="K4495" t="s">
        <v>6147</v>
      </c>
      <c r="L4495" t="s">
        <v>21</v>
      </c>
      <c r="M4495" t="str">
        <f t="shared" si="210"/>
        <v>OK</v>
      </c>
      <c r="N4495" t="str">
        <f t="shared" si="211"/>
        <v>1990s</v>
      </c>
      <c r="O4495" t="str">
        <f t="shared" si="212"/>
        <v>N/A</v>
      </c>
      <c r="P4495" t="str">
        <f>VLOOKUP(E4495,calculated_fields!$F$4:$G$6,2,FALSE)</f>
        <v>Economy</v>
      </c>
    </row>
    <row r="4496" spans="1:16">
      <c r="A4496" t="s">
        <v>6150</v>
      </c>
      <c r="B4496" t="s">
        <v>6110</v>
      </c>
      <c r="C4496" t="s">
        <v>14</v>
      </c>
      <c r="D4496">
        <v>2002</v>
      </c>
      <c r="E4496" t="s">
        <v>15</v>
      </c>
      <c r="F4496" t="s">
        <v>16</v>
      </c>
      <c r="G4496" t="s">
        <v>17</v>
      </c>
      <c r="H4496" t="s">
        <v>18</v>
      </c>
      <c r="I4496">
        <v>73.052999999999997</v>
      </c>
      <c r="J4496" t="s">
        <v>19</v>
      </c>
      <c r="K4496" t="s">
        <v>6151</v>
      </c>
      <c r="L4496" t="s">
        <v>21</v>
      </c>
      <c r="M4496" t="str">
        <f t="shared" si="210"/>
        <v>OK</v>
      </c>
      <c r="N4496" t="str">
        <f t="shared" si="211"/>
        <v>2000s</v>
      </c>
      <c r="O4496" t="str">
        <f t="shared" si="212"/>
        <v>High</v>
      </c>
      <c r="P4496" t="str">
        <f>VLOOKUP(E4496,calculated_fields!$F$4:$G$6,2,FALSE)</f>
        <v>Health</v>
      </c>
    </row>
    <row r="4497" spans="1:16">
      <c r="A4497" t="s">
        <v>6152</v>
      </c>
      <c r="B4497" t="s">
        <v>6110</v>
      </c>
      <c r="C4497" t="s">
        <v>14</v>
      </c>
      <c r="D4497">
        <v>2002</v>
      </c>
      <c r="E4497" t="s">
        <v>23</v>
      </c>
      <c r="F4497" t="s">
        <v>24</v>
      </c>
      <c r="G4497" t="s">
        <v>25</v>
      </c>
      <c r="H4497" t="s">
        <v>26</v>
      </c>
      <c r="I4497">
        <v>17155814</v>
      </c>
      <c r="J4497" t="s">
        <v>27</v>
      </c>
      <c r="K4497" t="s">
        <v>6151</v>
      </c>
      <c r="L4497" t="s">
        <v>21</v>
      </c>
      <c r="M4497" t="str">
        <f t="shared" si="210"/>
        <v>OK</v>
      </c>
      <c r="N4497" t="str">
        <f t="shared" si="211"/>
        <v>2000s</v>
      </c>
      <c r="O4497" t="str">
        <f t="shared" si="212"/>
        <v>N/A</v>
      </c>
      <c r="P4497" t="str">
        <f>VLOOKUP(E4497,calculated_fields!$F$4:$G$6,2,FALSE)</f>
        <v>Demographics</v>
      </c>
    </row>
    <row r="4498" spans="1:16">
      <c r="A4498" t="s">
        <v>6153</v>
      </c>
      <c r="B4498" t="s">
        <v>6110</v>
      </c>
      <c r="C4498" t="s">
        <v>14</v>
      </c>
      <c r="D4498">
        <v>2002</v>
      </c>
      <c r="E4498" t="s">
        <v>29</v>
      </c>
      <c r="F4498" t="s">
        <v>30</v>
      </c>
      <c r="G4498" t="s">
        <v>31</v>
      </c>
      <c r="H4498" t="s">
        <v>32</v>
      </c>
      <c r="I4498">
        <v>4090.9253309999999</v>
      </c>
      <c r="J4498" t="s">
        <v>33</v>
      </c>
      <c r="K4498" t="s">
        <v>6151</v>
      </c>
      <c r="L4498" t="s">
        <v>21</v>
      </c>
      <c r="M4498" t="str">
        <f t="shared" si="210"/>
        <v>OK</v>
      </c>
      <c r="N4498" t="str">
        <f t="shared" si="211"/>
        <v>2000s</v>
      </c>
      <c r="O4498" t="str">
        <f t="shared" si="212"/>
        <v>N/A</v>
      </c>
      <c r="P4498" t="str">
        <f>VLOOKUP(E4498,calculated_fields!$F$4:$G$6,2,FALSE)</f>
        <v>Economy</v>
      </c>
    </row>
    <row r="4499" spans="1:16">
      <c r="A4499" t="s">
        <v>6154</v>
      </c>
      <c r="B4499" t="s">
        <v>6110</v>
      </c>
      <c r="C4499" t="s">
        <v>14</v>
      </c>
      <c r="D4499">
        <v>2007</v>
      </c>
      <c r="E4499" t="s">
        <v>15</v>
      </c>
      <c r="F4499" t="s">
        <v>16</v>
      </c>
      <c r="G4499" t="s">
        <v>17</v>
      </c>
      <c r="H4499" t="s">
        <v>18</v>
      </c>
      <c r="I4499">
        <v>74.143000000000001</v>
      </c>
      <c r="J4499" t="s">
        <v>19</v>
      </c>
      <c r="K4499" t="s">
        <v>6155</v>
      </c>
      <c r="L4499" t="s">
        <v>21</v>
      </c>
      <c r="M4499" t="str">
        <f t="shared" si="210"/>
        <v>OK</v>
      </c>
      <c r="N4499" t="str">
        <f t="shared" si="211"/>
        <v>2000s</v>
      </c>
      <c r="O4499" t="str">
        <f t="shared" si="212"/>
        <v>High</v>
      </c>
      <c r="P4499" t="str">
        <f>VLOOKUP(E4499,calculated_fields!$F$4:$G$6,2,FALSE)</f>
        <v>Health</v>
      </c>
    </row>
    <row r="4500" spans="1:16">
      <c r="A4500" t="s">
        <v>6156</v>
      </c>
      <c r="B4500" t="s">
        <v>6110</v>
      </c>
      <c r="C4500" t="s">
        <v>14</v>
      </c>
      <c r="D4500">
        <v>2007</v>
      </c>
      <c r="E4500" t="s">
        <v>23</v>
      </c>
      <c r="F4500" t="s">
        <v>24</v>
      </c>
      <c r="G4500" t="s">
        <v>25</v>
      </c>
      <c r="H4500" t="s">
        <v>26</v>
      </c>
      <c r="I4500">
        <v>19314747</v>
      </c>
      <c r="J4500" t="s">
        <v>27</v>
      </c>
      <c r="K4500" t="s">
        <v>6155</v>
      </c>
      <c r="L4500" t="s">
        <v>21</v>
      </c>
      <c r="M4500" t="str">
        <f t="shared" si="210"/>
        <v>OK</v>
      </c>
      <c r="N4500" t="str">
        <f t="shared" si="211"/>
        <v>2000s</v>
      </c>
      <c r="O4500" t="str">
        <f t="shared" si="212"/>
        <v>N/A</v>
      </c>
      <c r="P4500" t="str">
        <f>VLOOKUP(E4500,calculated_fields!$F$4:$G$6,2,FALSE)</f>
        <v>Demographics</v>
      </c>
    </row>
    <row r="4501" spans="1:16">
      <c r="A4501" t="s">
        <v>6157</v>
      </c>
      <c r="B4501" t="s">
        <v>6110</v>
      </c>
      <c r="C4501" t="s">
        <v>14</v>
      </c>
      <c r="D4501">
        <v>2007</v>
      </c>
      <c r="E4501" t="s">
        <v>29</v>
      </c>
      <c r="F4501" t="s">
        <v>30</v>
      </c>
      <c r="G4501" t="s">
        <v>31</v>
      </c>
      <c r="H4501" t="s">
        <v>32</v>
      </c>
      <c r="I4501">
        <v>4184.5480889999999</v>
      </c>
      <c r="J4501" t="s">
        <v>33</v>
      </c>
      <c r="K4501" t="s">
        <v>6155</v>
      </c>
      <c r="L4501" t="s">
        <v>21</v>
      </c>
      <c r="M4501" t="str">
        <f t="shared" si="210"/>
        <v>OK</v>
      </c>
      <c r="N4501" t="str">
        <f t="shared" si="211"/>
        <v>2000s</v>
      </c>
      <c r="O4501" t="str">
        <f t="shared" si="212"/>
        <v>N/A</v>
      </c>
      <c r="P4501" t="str">
        <f>VLOOKUP(E4501,calculated_fields!$F$4:$G$6,2,FALSE)</f>
        <v>Economy</v>
      </c>
    </row>
    <row r="4502" spans="1:16">
      <c r="A4502" t="s">
        <v>6158</v>
      </c>
      <c r="B4502" t="s">
        <v>6159</v>
      </c>
      <c r="C4502" t="s">
        <v>14</v>
      </c>
      <c r="D4502">
        <v>1952</v>
      </c>
      <c r="E4502" t="s">
        <v>15</v>
      </c>
      <c r="F4502" t="s">
        <v>16</v>
      </c>
      <c r="G4502" t="s">
        <v>17</v>
      </c>
      <c r="H4502" t="s">
        <v>18</v>
      </c>
      <c r="I4502">
        <v>58.5</v>
      </c>
      <c r="J4502" t="s">
        <v>19</v>
      </c>
      <c r="K4502" t="s">
        <v>6160</v>
      </c>
      <c r="L4502" t="s">
        <v>21</v>
      </c>
      <c r="M4502" t="str">
        <f t="shared" si="210"/>
        <v>OK</v>
      </c>
      <c r="N4502" t="str">
        <f t="shared" si="211"/>
        <v>1950s</v>
      </c>
      <c r="O4502" t="str">
        <f t="shared" si="212"/>
        <v>Medium</v>
      </c>
      <c r="P4502" t="str">
        <f>VLOOKUP(E4502,calculated_fields!$F$4:$G$6,2,FALSE)</f>
        <v>Health</v>
      </c>
    </row>
    <row r="4503" spans="1:16">
      <c r="A4503" t="s">
        <v>6161</v>
      </c>
      <c r="B4503" t="s">
        <v>6159</v>
      </c>
      <c r="C4503" t="s">
        <v>14</v>
      </c>
      <c r="D4503">
        <v>1952</v>
      </c>
      <c r="E4503" t="s">
        <v>23</v>
      </c>
      <c r="F4503" t="s">
        <v>24</v>
      </c>
      <c r="G4503" t="s">
        <v>25</v>
      </c>
      <c r="H4503" t="s">
        <v>26</v>
      </c>
      <c r="I4503">
        <v>8550362</v>
      </c>
      <c r="J4503" t="s">
        <v>27</v>
      </c>
      <c r="K4503" t="s">
        <v>6160</v>
      </c>
      <c r="L4503" t="s">
        <v>21</v>
      </c>
      <c r="M4503" t="str">
        <f t="shared" si="210"/>
        <v>OK</v>
      </c>
      <c r="N4503" t="str">
        <f t="shared" si="211"/>
        <v>1950s</v>
      </c>
      <c r="O4503" t="str">
        <f t="shared" si="212"/>
        <v>N/A</v>
      </c>
      <c r="P4503" t="str">
        <f>VLOOKUP(E4503,calculated_fields!$F$4:$G$6,2,FALSE)</f>
        <v>Demographics</v>
      </c>
    </row>
    <row r="4504" spans="1:16">
      <c r="A4504" t="s">
        <v>6162</v>
      </c>
      <c r="B4504" t="s">
        <v>6159</v>
      </c>
      <c r="C4504" t="s">
        <v>14</v>
      </c>
      <c r="D4504">
        <v>1952</v>
      </c>
      <c r="E4504" t="s">
        <v>29</v>
      </c>
      <c r="F4504" t="s">
        <v>30</v>
      </c>
      <c r="G4504" t="s">
        <v>31</v>
      </c>
      <c r="H4504" t="s">
        <v>32</v>
      </c>
      <c r="I4504">
        <v>1206.947913</v>
      </c>
      <c r="J4504" t="s">
        <v>33</v>
      </c>
      <c r="K4504" t="s">
        <v>6160</v>
      </c>
      <c r="L4504" t="s">
        <v>21</v>
      </c>
      <c r="M4504" t="str">
        <f t="shared" si="210"/>
        <v>OK</v>
      </c>
      <c r="N4504" t="str">
        <f t="shared" si="211"/>
        <v>1950s</v>
      </c>
      <c r="O4504" t="str">
        <f t="shared" si="212"/>
        <v>N/A</v>
      </c>
      <c r="P4504" t="str">
        <f>VLOOKUP(E4504,calculated_fields!$F$4:$G$6,2,FALSE)</f>
        <v>Economy</v>
      </c>
    </row>
    <row r="4505" spans="1:16">
      <c r="A4505" t="s">
        <v>6163</v>
      </c>
      <c r="B4505" t="s">
        <v>6159</v>
      </c>
      <c r="C4505" t="s">
        <v>14</v>
      </c>
      <c r="D4505">
        <v>1957</v>
      </c>
      <c r="E4505" t="s">
        <v>15</v>
      </c>
      <c r="F4505" t="s">
        <v>16</v>
      </c>
      <c r="G4505" t="s">
        <v>17</v>
      </c>
      <c r="H4505" t="s">
        <v>18</v>
      </c>
      <c r="I4505">
        <v>62.4</v>
      </c>
      <c r="J4505" t="s">
        <v>19</v>
      </c>
      <c r="K4505" t="s">
        <v>6164</v>
      </c>
      <c r="L4505" t="s">
        <v>21</v>
      </c>
      <c r="M4505" t="str">
        <f t="shared" si="210"/>
        <v>OK</v>
      </c>
      <c r="N4505" t="str">
        <f t="shared" si="211"/>
        <v>1950s</v>
      </c>
      <c r="O4505" t="str">
        <f t="shared" si="212"/>
        <v>Medium</v>
      </c>
      <c r="P4505" t="str">
        <f>VLOOKUP(E4505,calculated_fields!$F$4:$G$6,2,FALSE)</f>
        <v>Health</v>
      </c>
    </row>
    <row r="4506" spans="1:16">
      <c r="A4506" t="s">
        <v>6165</v>
      </c>
      <c r="B4506" t="s">
        <v>6159</v>
      </c>
      <c r="C4506" t="s">
        <v>14</v>
      </c>
      <c r="D4506">
        <v>1957</v>
      </c>
      <c r="E4506" t="s">
        <v>23</v>
      </c>
      <c r="F4506" t="s">
        <v>24</v>
      </c>
      <c r="G4506" t="s">
        <v>25</v>
      </c>
      <c r="H4506" t="s">
        <v>26</v>
      </c>
      <c r="I4506">
        <v>10164215</v>
      </c>
      <c r="J4506" t="s">
        <v>27</v>
      </c>
      <c r="K4506" t="s">
        <v>6164</v>
      </c>
      <c r="L4506" t="s">
        <v>21</v>
      </c>
      <c r="M4506" t="str">
        <f t="shared" si="210"/>
        <v>OK</v>
      </c>
      <c r="N4506" t="str">
        <f t="shared" si="211"/>
        <v>1950s</v>
      </c>
      <c r="O4506" t="str">
        <f t="shared" si="212"/>
        <v>N/A</v>
      </c>
      <c r="P4506" t="str">
        <f>VLOOKUP(E4506,calculated_fields!$F$4:$G$6,2,FALSE)</f>
        <v>Demographics</v>
      </c>
    </row>
    <row r="4507" spans="1:16">
      <c r="A4507" t="s">
        <v>6166</v>
      </c>
      <c r="B4507" t="s">
        <v>6159</v>
      </c>
      <c r="C4507" t="s">
        <v>14</v>
      </c>
      <c r="D4507">
        <v>1957</v>
      </c>
      <c r="E4507" t="s">
        <v>29</v>
      </c>
      <c r="F4507" t="s">
        <v>30</v>
      </c>
      <c r="G4507" t="s">
        <v>31</v>
      </c>
      <c r="H4507" t="s">
        <v>32</v>
      </c>
      <c r="I4507">
        <v>1507.8612900000001</v>
      </c>
      <c r="J4507" t="s">
        <v>33</v>
      </c>
      <c r="K4507" t="s">
        <v>6164</v>
      </c>
      <c r="L4507" t="s">
        <v>21</v>
      </c>
      <c r="M4507" t="str">
        <f t="shared" si="210"/>
        <v>OK</v>
      </c>
      <c r="N4507" t="str">
        <f t="shared" si="211"/>
        <v>1950s</v>
      </c>
      <c r="O4507" t="str">
        <f t="shared" si="212"/>
        <v>N/A</v>
      </c>
      <c r="P4507" t="str">
        <f>VLOOKUP(E4507,calculated_fields!$F$4:$G$6,2,FALSE)</f>
        <v>Economy</v>
      </c>
    </row>
    <row r="4508" spans="1:16">
      <c r="A4508" t="s">
        <v>6167</v>
      </c>
      <c r="B4508" t="s">
        <v>6159</v>
      </c>
      <c r="C4508" t="s">
        <v>14</v>
      </c>
      <c r="D4508">
        <v>1962</v>
      </c>
      <c r="E4508" t="s">
        <v>15</v>
      </c>
      <c r="F4508" t="s">
        <v>16</v>
      </c>
      <c r="G4508" t="s">
        <v>17</v>
      </c>
      <c r="H4508" t="s">
        <v>18</v>
      </c>
      <c r="I4508">
        <v>65.2</v>
      </c>
      <c r="J4508" t="s">
        <v>19</v>
      </c>
      <c r="K4508" t="s">
        <v>6168</v>
      </c>
      <c r="L4508" t="s">
        <v>21</v>
      </c>
      <c r="M4508" t="str">
        <f t="shared" si="210"/>
        <v>OK</v>
      </c>
      <c r="N4508" t="str">
        <f t="shared" si="211"/>
        <v>1960s</v>
      </c>
      <c r="O4508" t="str">
        <f t="shared" si="212"/>
        <v>Medium</v>
      </c>
      <c r="P4508" t="str">
        <f>VLOOKUP(E4508,calculated_fields!$F$4:$G$6,2,FALSE)</f>
        <v>Health</v>
      </c>
    </row>
    <row r="4509" spans="1:16">
      <c r="A4509" t="s">
        <v>6169</v>
      </c>
      <c r="B4509" t="s">
        <v>6159</v>
      </c>
      <c r="C4509" t="s">
        <v>14</v>
      </c>
      <c r="D4509">
        <v>1962</v>
      </c>
      <c r="E4509" t="s">
        <v>23</v>
      </c>
      <c r="F4509" t="s">
        <v>24</v>
      </c>
      <c r="G4509" t="s">
        <v>25</v>
      </c>
      <c r="H4509" t="s">
        <v>26</v>
      </c>
      <c r="I4509">
        <v>11918938</v>
      </c>
      <c r="J4509" t="s">
        <v>27</v>
      </c>
      <c r="K4509" t="s">
        <v>6168</v>
      </c>
      <c r="L4509" t="s">
        <v>21</v>
      </c>
      <c r="M4509" t="str">
        <f t="shared" si="210"/>
        <v>OK</v>
      </c>
      <c r="N4509" t="str">
        <f t="shared" si="211"/>
        <v>1960s</v>
      </c>
      <c r="O4509" t="str">
        <f t="shared" si="212"/>
        <v>N/A</v>
      </c>
      <c r="P4509" t="str">
        <f>VLOOKUP(E4509,calculated_fields!$F$4:$G$6,2,FALSE)</f>
        <v>Demographics</v>
      </c>
    </row>
    <row r="4510" spans="1:16">
      <c r="A4510" t="s">
        <v>6170</v>
      </c>
      <c r="B4510" t="s">
        <v>6159</v>
      </c>
      <c r="C4510" t="s">
        <v>14</v>
      </c>
      <c r="D4510">
        <v>1962</v>
      </c>
      <c r="E4510" t="s">
        <v>29</v>
      </c>
      <c r="F4510" t="s">
        <v>30</v>
      </c>
      <c r="G4510" t="s">
        <v>31</v>
      </c>
      <c r="H4510" t="s">
        <v>32</v>
      </c>
      <c r="I4510">
        <v>1822.8790280000001</v>
      </c>
      <c r="J4510" t="s">
        <v>33</v>
      </c>
      <c r="K4510" t="s">
        <v>6168</v>
      </c>
      <c r="L4510" t="s">
        <v>21</v>
      </c>
      <c r="M4510" t="str">
        <f t="shared" si="210"/>
        <v>OK</v>
      </c>
      <c r="N4510" t="str">
        <f t="shared" si="211"/>
        <v>1960s</v>
      </c>
      <c r="O4510" t="str">
        <f t="shared" si="212"/>
        <v>N/A</v>
      </c>
      <c r="P4510" t="str">
        <f>VLOOKUP(E4510,calculated_fields!$F$4:$G$6,2,FALSE)</f>
        <v>Economy</v>
      </c>
    </row>
    <row r="4511" spans="1:16">
      <c r="A4511" t="s">
        <v>6171</v>
      </c>
      <c r="B4511" t="s">
        <v>6159</v>
      </c>
      <c r="C4511" t="s">
        <v>14</v>
      </c>
      <c r="D4511">
        <v>1967</v>
      </c>
      <c r="E4511" t="s">
        <v>15</v>
      </c>
      <c r="F4511" t="s">
        <v>16</v>
      </c>
      <c r="G4511" t="s">
        <v>17</v>
      </c>
      <c r="H4511" t="s">
        <v>18</v>
      </c>
      <c r="I4511">
        <v>67.5</v>
      </c>
      <c r="J4511" t="s">
        <v>19</v>
      </c>
      <c r="K4511" t="s">
        <v>6172</v>
      </c>
      <c r="L4511" t="s">
        <v>21</v>
      </c>
      <c r="M4511" t="str">
        <f t="shared" si="210"/>
        <v>OK</v>
      </c>
      <c r="N4511" t="str">
        <f t="shared" si="211"/>
        <v>1960s</v>
      </c>
      <c r="O4511" t="str">
        <f t="shared" si="212"/>
        <v>Medium</v>
      </c>
      <c r="P4511" t="str">
        <f>VLOOKUP(E4511,calculated_fields!$F$4:$G$6,2,FALSE)</f>
        <v>Health</v>
      </c>
    </row>
    <row r="4512" spans="1:16">
      <c r="A4512" t="s">
        <v>6173</v>
      </c>
      <c r="B4512" t="s">
        <v>6159</v>
      </c>
      <c r="C4512" t="s">
        <v>14</v>
      </c>
      <c r="D4512">
        <v>1967</v>
      </c>
      <c r="E4512" t="s">
        <v>23</v>
      </c>
      <c r="F4512" t="s">
        <v>24</v>
      </c>
      <c r="G4512" t="s">
        <v>25</v>
      </c>
      <c r="H4512" t="s">
        <v>26</v>
      </c>
      <c r="I4512">
        <v>13648692</v>
      </c>
      <c r="J4512" t="s">
        <v>27</v>
      </c>
      <c r="K4512" t="s">
        <v>6172</v>
      </c>
      <c r="L4512" t="s">
        <v>21</v>
      </c>
      <c r="M4512" t="str">
        <f t="shared" si="210"/>
        <v>OK</v>
      </c>
      <c r="N4512" t="str">
        <f t="shared" si="211"/>
        <v>1960s</v>
      </c>
      <c r="O4512" t="str">
        <f t="shared" si="212"/>
        <v>N/A</v>
      </c>
      <c r="P4512" t="str">
        <f>VLOOKUP(E4512,calculated_fields!$F$4:$G$6,2,FALSE)</f>
        <v>Demographics</v>
      </c>
    </row>
    <row r="4513" spans="1:16">
      <c r="A4513" t="s">
        <v>6174</v>
      </c>
      <c r="B4513" t="s">
        <v>6159</v>
      </c>
      <c r="C4513" t="s">
        <v>14</v>
      </c>
      <c r="D4513">
        <v>1967</v>
      </c>
      <c r="E4513" t="s">
        <v>29</v>
      </c>
      <c r="F4513" t="s">
        <v>30</v>
      </c>
      <c r="G4513" t="s">
        <v>31</v>
      </c>
      <c r="H4513" t="s">
        <v>32</v>
      </c>
      <c r="I4513">
        <v>2643.8586810000002</v>
      </c>
      <c r="J4513" t="s">
        <v>33</v>
      </c>
      <c r="K4513" t="s">
        <v>6172</v>
      </c>
      <c r="L4513" t="s">
        <v>21</v>
      </c>
      <c r="M4513" t="str">
        <f t="shared" si="210"/>
        <v>OK</v>
      </c>
      <c r="N4513" t="str">
        <f t="shared" si="211"/>
        <v>1960s</v>
      </c>
      <c r="O4513" t="str">
        <f t="shared" si="212"/>
        <v>N/A</v>
      </c>
      <c r="P4513" t="str">
        <f>VLOOKUP(E4513,calculated_fields!$F$4:$G$6,2,FALSE)</f>
        <v>Economy</v>
      </c>
    </row>
    <row r="4514" spans="1:16">
      <c r="A4514" t="s">
        <v>6175</v>
      </c>
      <c r="B4514" t="s">
        <v>6159</v>
      </c>
      <c r="C4514" t="s">
        <v>14</v>
      </c>
      <c r="D4514">
        <v>1972</v>
      </c>
      <c r="E4514" t="s">
        <v>15</v>
      </c>
      <c r="F4514" t="s">
        <v>16</v>
      </c>
      <c r="G4514" t="s">
        <v>17</v>
      </c>
      <c r="H4514" t="s">
        <v>18</v>
      </c>
      <c r="I4514">
        <v>69.39</v>
      </c>
      <c r="J4514" t="s">
        <v>19</v>
      </c>
      <c r="K4514" t="s">
        <v>6176</v>
      </c>
      <c r="L4514" t="s">
        <v>21</v>
      </c>
      <c r="M4514" t="str">
        <f t="shared" si="210"/>
        <v>OK</v>
      </c>
      <c r="N4514" t="str">
        <f t="shared" si="211"/>
        <v>1970s</v>
      </c>
      <c r="O4514" t="str">
        <f t="shared" si="212"/>
        <v>Medium</v>
      </c>
      <c r="P4514" t="str">
        <f>VLOOKUP(E4514,calculated_fields!$F$4:$G$6,2,FALSE)</f>
        <v>Health</v>
      </c>
    </row>
    <row r="4515" spans="1:16">
      <c r="A4515" t="s">
        <v>6177</v>
      </c>
      <c r="B4515" t="s">
        <v>6159</v>
      </c>
      <c r="C4515" t="s">
        <v>14</v>
      </c>
      <c r="D4515">
        <v>1972</v>
      </c>
      <c r="E4515" t="s">
        <v>23</v>
      </c>
      <c r="F4515" t="s">
        <v>24</v>
      </c>
      <c r="G4515" t="s">
        <v>25</v>
      </c>
      <c r="H4515" t="s">
        <v>26</v>
      </c>
      <c r="I4515">
        <v>15226039</v>
      </c>
      <c r="J4515" t="s">
        <v>27</v>
      </c>
      <c r="K4515" t="s">
        <v>6176</v>
      </c>
      <c r="L4515" t="s">
        <v>21</v>
      </c>
      <c r="M4515" t="str">
        <f t="shared" si="210"/>
        <v>OK</v>
      </c>
      <c r="N4515" t="str">
        <f t="shared" si="211"/>
        <v>1970s</v>
      </c>
      <c r="O4515" t="str">
        <f t="shared" si="212"/>
        <v>N/A</v>
      </c>
      <c r="P4515" t="str">
        <f>VLOOKUP(E4515,calculated_fields!$F$4:$G$6,2,FALSE)</f>
        <v>Demographics</v>
      </c>
    </row>
    <row r="4516" spans="1:16">
      <c r="A4516" t="s">
        <v>6178</v>
      </c>
      <c r="B4516" t="s">
        <v>6159</v>
      </c>
      <c r="C4516" t="s">
        <v>14</v>
      </c>
      <c r="D4516">
        <v>1972</v>
      </c>
      <c r="E4516" t="s">
        <v>29</v>
      </c>
      <c r="F4516" t="s">
        <v>30</v>
      </c>
      <c r="G4516" t="s">
        <v>31</v>
      </c>
      <c r="H4516" t="s">
        <v>32</v>
      </c>
      <c r="I4516">
        <v>4062.523897</v>
      </c>
      <c r="J4516" t="s">
        <v>33</v>
      </c>
      <c r="K4516" t="s">
        <v>6176</v>
      </c>
      <c r="L4516" t="s">
        <v>21</v>
      </c>
      <c r="M4516" t="str">
        <f t="shared" si="210"/>
        <v>OK</v>
      </c>
      <c r="N4516" t="str">
        <f t="shared" si="211"/>
        <v>1970s</v>
      </c>
      <c r="O4516" t="str">
        <f t="shared" si="212"/>
        <v>N/A</v>
      </c>
      <c r="P4516" t="str">
        <f>VLOOKUP(E4516,calculated_fields!$F$4:$G$6,2,FALSE)</f>
        <v>Economy</v>
      </c>
    </row>
    <row r="4517" spans="1:16">
      <c r="A4517" t="s">
        <v>6179</v>
      </c>
      <c r="B4517" t="s">
        <v>6159</v>
      </c>
      <c r="C4517" t="s">
        <v>14</v>
      </c>
      <c r="D4517">
        <v>1977</v>
      </c>
      <c r="E4517" t="s">
        <v>15</v>
      </c>
      <c r="F4517" t="s">
        <v>16</v>
      </c>
      <c r="G4517" t="s">
        <v>17</v>
      </c>
      <c r="H4517" t="s">
        <v>18</v>
      </c>
      <c r="I4517">
        <v>70.59</v>
      </c>
      <c r="J4517" t="s">
        <v>19</v>
      </c>
      <c r="K4517" t="s">
        <v>6180</v>
      </c>
      <c r="L4517" t="s">
        <v>21</v>
      </c>
      <c r="M4517" t="str">
        <f t="shared" si="210"/>
        <v>OK</v>
      </c>
      <c r="N4517" t="str">
        <f t="shared" si="211"/>
        <v>1970s</v>
      </c>
      <c r="O4517" t="str">
        <f t="shared" si="212"/>
        <v>High</v>
      </c>
      <c r="P4517" t="str">
        <f>VLOOKUP(E4517,calculated_fields!$F$4:$G$6,2,FALSE)</f>
        <v>Health</v>
      </c>
    </row>
    <row r="4518" spans="1:16">
      <c r="A4518" t="s">
        <v>6181</v>
      </c>
      <c r="B4518" t="s">
        <v>6159</v>
      </c>
      <c r="C4518" t="s">
        <v>14</v>
      </c>
      <c r="D4518">
        <v>1977</v>
      </c>
      <c r="E4518" t="s">
        <v>23</v>
      </c>
      <c r="F4518" t="s">
        <v>24</v>
      </c>
      <c r="G4518" t="s">
        <v>25</v>
      </c>
      <c r="H4518" t="s">
        <v>26</v>
      </c>
      <c r="I4518">
        <v>16785196</v>
      </c>
      <c r="J4518" t="s">
        <v>27</v>
      </c>
      <c r="K4518" t="s">
        <v>6180</v>
      </c>
      <c r="L4518" t="s">
        <v>21</v>
      </c>
      <c r="M4518" t="str">
        <f t="shared" si="210"/>
        <v>OK</v>
      </c>
      <c r="N4518" t="str">
        <f t="shared" si="211"/>
        <v>1970s</v>
      </c>
      <c r="O4518" t="str">
        <f t="shared" si="212"/>
        <v>N/A</v>
      </c>
      <c r="P4518" t="str">
        <f>VLOOKUP(E4518,calculated_fields!$F$4:$G$6,2,FALSE)</f>
        <v>Demographics</v>
      </c>
    </row>
    <row r="4519" spans="1:16">
      <c r="A4519" t="s">
        <v>6182</v>
      </c>
      <c r="B4519" t="s">
        <v>6159</v>
      </c>
      <c r="C4519" t="s">
        <v>14</v>
      </c>
      <c r="D4519">
        <v>1977</v>
      </c>
      <c r="E4519" t="s">
        <v>29</v>
      </c>
      <c r="F4519" t="s">
        <v>30</v>
      </c>
      <c r="G4519" t="s">
        <v>31</v>
      </c>
      <c r="H4519" t="s">
        <v>32</v>
      </c>
      <c r="I4519">
        <v>5596.5198259999997</v>
      </c>
      <c r="J4519" t="s">
        <v>33</v>
      </c>
      <c r="K4519" t="s">
        <v>6180</v>
      </c>
      <c r="L4519" t="s">
        <v>21</v>
      </c>
      <c r="M4519" t="str">
        <f t="shared" si="210"/>
        <v>OK</v>
      </c>
      <c r="N4519" t="str">
        <f t="shared" si="211"/>
        <v>1970s</v>
      </c>
      <c r="O4519" t="str">
        <f t="shared" si="212"/>
        <v>N/A</v>
      </c>
      <c r="P4519" t="str">
        <f>VLOOKUP(E4519,calculated_fields!$F$4:$G$6,2,FALSE)</f>
        <v>Economy</v>
      </c>
    </row>
    <row r="4520" spans="1:16">
      <c r="A4520" t="s">
        <v>6183</v>
      </c>
      <c r="B4520" t="s">
        <v>6159</v>
      </c>
      <c r="C4520" t="s">
        <v>14</v>
      </c>
      <c r="D4520">
        <v>1982</v>
      </c>
      <c r="E4520" t="s">
        <v>15</v>
      </c>
      <c r="F4520" t="s">
        <v>16</v>
      </c>
      <c r="G4520" t="s">
        <v>17</v>
      </c>
      <c r="H4520" t="s">
        <v>18</v>
      </c>
      <c r="I4520">
        <v>72.16</v>
      </c>
      <c r="J4520" t="s">
        <v>19</v>
      </c>
      <c r="K4520" t="s">
        <v>6184</v>
      </c>
      <c r="L4520" t="s">
        <v>21</v>
      </c>
      <c r="M4520" t="str">
        <f t="shared" si="210"/>
        <v>OK</v>
      </c>
      <c r="N4520" t="str">
        <f t="shared" si="211"/>
        <v>1980s</v>
      </c>
      <c r="O4520" t="str">
        <f t="shared" si="212"/>
        <v>High</v>
      </c>
      <c r="P4520" t="str">
        <f>VLOOKUP(E4520,calculated_fields!$F$4:$G$6,2,FALSE)</f>
        <v>Health</v>
      </c>
    </row>
    <row r="4521" spans="1:16">
      <c r="A4521" t="s">
        <v>6185</v>
      </c>
      <c r="B4521" t="s">
        <v>6159</v>
      </c>
      <c r="C4521" t="s">
        <v>14</v>
      </c>
      <c r="D4521">
        <v>1982</v>
      </c>
      <c r="E4521" t="s">
        <v>23</v>
      </c>
      <c r="F4521" t="s">
        <v>24</v>
      </c>
      <c r="G4521" t="s">
        <v>25</v>
      </c>
      <c r="H4521" t="s">
        <v>26</v>
      </c>
      <c r="I4521">
        <v>18501390</v>
      </c>
      <c r="J4521" t="s">
        <v>27</v>
      </c>
      <c r="K4521" t="s">
        <v>6184</v>
      </c>
      <c r="L4521" t="s">
        <v>21</v>
      </c>
      <c r="M4521" t="str">
        <f t="shared" si="210"/>
        <v>OK</v>
      </c>
      <c r="N4521" t="str">
        <f t="shared" si="211"/>
        <v>1980s</v>
      </c>
      <c r="O4521" t="str">
        <f t="shared" si="212"/>
        <v>N/A</v>
      </c>
      <c r="P4521" t="str">
        <f>VLOOKUP(E4521,calculated_fields!$F$4:$G$6,2,FALSE)</f>
        <v>Demographics</v>
      </c>
    </row>
    <row r="4522" spans="1:16">
      <c r="A4522" t="s">
        <v>6186</v>
      </c>
      <c r="B4522" t="s">
        <v>6159</v>
      </c>
      <c r="C4522" t="s">
        <v>14</v>
      </c>
      <c r="D4522">
        <v>1982</v>
      </c>
      <c r="E4522" t="s">
        <v>29</v>
      </c>
      <c r="F4522" t="s">
        <v>30</v>
      </c>
      <c r="G4522" t="s">
        <v>31</v>
      </c>
      <c r="H4522" t="s">
        <v>32</v>
      </c>
      <c r="I4522">
        <v>7426.3547739999904</v>
      </c>
      <c r="J4522" t="s">
        <v>33</v>
      </c>
      <c r="K4522" t="s">
        <v>6184</v>
      </c>
      <c r="L4522" t="s">
        <v>21</v>
      </c>
      <c r="M4522" t="str">
        <f t="shared" si="210"/>
        <v>OK</v>
      </c>
      <c r="N4522" t="str">
        <f t="shared" si="211"/>
        <v>1980s</v>
      </c>
      <c r="O4522" t="str">
        <f t="shared" si="212"/>
        <v>N/A</v>
      </c>
      <c r="P4522" t="str">
        <f>VLOOKUP(E4522,calculated_fields!$F$4:$G$6,2,FALSE)</f>
        <v>Economy</v>
      </c>
    </row>
    <row r="4523" spans="1:16">
      <c r="A4523" t="s">
        <v>6187</v>
      </c>
      <c r="B4523" t="s">
        <v>6159</v>
      </c>
      <c r="C4523" t="s">
        <v>14</v>
      </c>
      <c r="D4523">
        <v>1987</v>
      </c>
      <c r="E4523" t="s">
        <v>15</v>
      </c>
      <c r="F4523" t="s">
        <v>16</v>
      </c>
      <c r="G4523" t="s">
        <v>17</v>
      </c>
      <c r="H4523" t="s">
        <v>18</v>
      </c>
      <c r="I4523">
        <v>73.400000000000006</v>
      </c>
      <c r="J4523" t="s">
        <v>19</v>
      </c>
      <c r="K4523" t="s">
        <v>6188</v>
      </c>
      <c r="L4523" t="s">
        <v>21</v>
      </c>
      <c r="M4523" t="str">
        <f t="shared" si="210"/>
        <v>OK</v>
      </c>
      <c r="N4523" t="str">
        <f t="shared" si="211"/>
        <v>1980s</v>
      </c>
      <c r="O4523" t="str">
        <f t="shared" si="212"/>
        <v>High</v>
      </c>
      <c r="P4523" t="str">
        <f>VLOOKUP(E4523,calculated_fields!$F$4:$G$6,2,FALSE)</f>
        <v>Health</v>
      </c>
    </row>
    <row r="4524" spans="1:16">
      <c r="A4524" t="s">
        <v>6189</v>
      </c>
      <c r="B4524" t="s">
        <v>6159</v>
      </c>
      <c r="C4524" t="s">
        <v>14</v>
      </c>
      <c r="D4524">
        <v>1987</v>
      </c>
      <c r="E4524" t="s">
        <v>23</v>
      </c>
      <c r="F4524" t="s">
        <v>24</v>
      </c>
      <c r="G4524" t="s">
        <v>25</v>
      </c>
      <c r="H4524" t="s">
        <v>26</v>
      </c>
      <c r="I4524">
        <v>19757799</v>
      </c>
      <c r="J4524" t="s">
        <v>27</v>
      </c>
      <c r="K4524" t="s">
        <v>6188</v>
      </c>
      <c r="L4524" t="s">
        <v>21</v>
      </c>
      <c r="M4524" t="str">
        <f t="shared" si="210"/>
        <v>OK</v>
      </c>
      <c r="N4524" t="str">
        <f t="shared" si="211"/>
        <v>1980s</v>
      </c>
      <c r="O4524" t="str">
        <f t="shared" si="212"/>
        <v>N/A</v>
      </c>
      <c r="P4524" t="str">
        <f>VLOOKUP(E4524,calculated_fields!$F$4:$G$6,2,FALSE)</f>
        <v>Demographics</v>
      </c>
    </row>
    <row r="4525" spans="1:16">
      <c r="A4525" t="s">
        <v>6190</v>
      </c>
      <c r="B4525" t="s">
        <v>6159</v>
      </c>
      <c r="C4525" t="s">
        <v>14</v>
      </c>
      <c r="D4525">
        <v>1987</v>
      </c>
      <c r="E4525" t="s">
        <v>29</v>
      </c>
      <c r="F4525" t="s">
        <v>30</v>
      </c>
      <c r="G4525" t="s">
        <v>31</v>
      </c>
      <c r="H4525" t="s">
        <v>32</v>
      </c>
      <c r="I4525">
        <v>11054.561750000001</v>
      </c>
      <c r="J4525" t="s">
        <v>33</v>
      </c>
      <c r="K4525" t="s">
        <v>6188</v>
      </c>
      <c r="L4525" t="s">
        <v>21</v>
      </c>
      <c r="M4525" t="str">
        <f t="shared" si="210"/>
        <v>OK</v>
      </c>
      <c r="N4525" t="str">
        <f t="shared" si="211"/>
        <v>1980s</v>
      </c>
      <c r="O4525" t="str">
        <f t="shared" si="212"/>
        <v>N/A</v>
      </c>
      <c r="P4525" t="str">
        <f>VLOOKUP(E4525,calculated_fields!$F$4:$G$6,2,FALSE)</f>
        <v>Economy</v>
      </c>
    </row>
    <row r="4526" spans="1:16">
      <c r="A4526" t="s">
        <v>6191</v>
      </c>
      <c r="B4526" t="s">
        <v>6159</v>
      </c>
      <c r="C4526" t="s">
        <v>14</v>
      </c>
      <c r="D4526">
        <v>1992</v>
      </c>
      <c r="E4526" t="s">
        <v>15</v>
      </c>
      <c r="F4526" t="s">
        <v>16</v>
      </c>
      <c r="G4526" t="s">
        <v>17</v>
      </c>
      <c r="H4526" t="s">
        <v>18</v>
      </c>
      <c r="I4526">
        <v>74.260000000000005</v>
      </c>
      <c r="J4526" t="s">
        <v>19</v>
      </c>
      <c r="K4526" t="s">
        <v>6192</v>
      </c>
      <c r="L4526" t="s">
        <v>21</v>
      </c>
      <c r="M4526" t="str">
        <f t="shared" si="210"/>
        <v>OK</v>
      </c>
      <c r="N4526" t="str">
        <f t="shared" si="211"/>
        <v>1990s</v>
      </c>
      <c r="O4526" t="str">
        <f t="shared" si="212"/>
        <v>High</v>
      </c>
      <c r="P4526" t="str">
        <f>VLOOKUP(E4526,calculated_fields!$F$4:$G$6,2,FALSE)</f>
        <v>Health</v>
      </c>
    </row>
    <row r="4527" spans="1:16">
      <c r="A4527" t="s">
        <v>6193</v>
      </c>
      <c r="B4527" t="s">
        <v>6159</v>
      </c>
      <c r="C4527" t="s">
        <v>14</v>
      </c>
      <c r="D4527">
        <v>1992</v>
      </c>
      <c r="E4527" t="s">
        <v>23</v>
      </c>
      <c r="F4527" t="s">
        <v>24</v>
      </c>
      <c r="G4527" t="s">
        <v>25</v>
      </c>
      <c r="H4527" t="s">
        <v>26</v>
      </c>
      <c r="I4527">
        <v>20686918</v>
      </c>
      <c r="J4527" t="s">
        <v>27</v>
      </c>
      <c r="K4527" t="s">
        <v>6192</v>
      </c>
      <c r="L4527" t="s">
        <v>21</v>
      </c>
      <c r="M4527" t="str">
        <f t="shared" si="210"/>
        <v>OK</v>
      </c>
      <c r="N4527" t="str">
        <f t="shared" si="211"/>
        <v>1990s</v>
      </c>
      <c r="O4527" t="str">
        <f t="shared" si="212"/>
        <v>N/A</v>
      </c>
      <c r="P4527" t="str">
        <f>VLOOKUP(E4527,calculated_fields!$F$4:$G$6,2,FALSE)</f>
        <v>Demographics</v>
      </c>
    </row>
    <row r="4528" spans="1:16">
      <c r="A4528" t="s">
        <v>6194</v>
      </c>
      <c r="B4528" t="s">
        <v>6159</v>
      </c>
      <c r="C4528" t="s">
        <v>14</v>
      </c>
      <c r="D4528">
        <v>1992</v>
      </c>
      <c r="E4528" t="s">
        <v>29</v>
      </c>
      <c r="F4528" t="s">
        <v>30</v>
      </c>
      <c r="G4528" t="s">
        <v>31</v>
      </c>
      <c r="H4528" t="s">
        <v>32</v>
      </c>
      <c r="I4528">
        <v>15215.6579</v>
      </c>
      <c r="J4528" t="s">
        <v>33</v>
      </c>
      <c r="K4528" t="s">
        <v>6192</v>
      </c>
      <c r="L4528" t="s">
        <v>21</v>
      </c>
      <c r="M4528" t="str">
        <f t="shared" si="210"/>
        <v>OK</v>
      </c>
      <c r="N4528" t="str">
        <f t="shared" si="211"/>
        <v>1990s</v>
      </c>
      <c r="O4528" t="str">
        <f t="shared" si="212"/>
        <v>N/A</v>
      </c>
      <c r="P4528" t="str">
        <f>VLOOKUP(E4528,calculated_fields!$F$4:$G$6,2,FALSE)</f>
        <v>Economy</v>
      </c>
    </row>
    <row r="4529" spans="1:16">
      <c r="A4529" t="s">
        <v>6195</v>
      </c>
      <c r="B4529" t="s">
        <v>6159</v>
      </c>
      <c r="C4529" t="s">
        <v>14</v>
      </c>
      <c r="D4529">
        <v>1997</v>
      </c>
      <c r="E4529" t="s">
        <v>15</v>
      </c>
      <c r="F4529" t="s">
        <v>16</v>
      </c>
      <c r="G4529" t="s">
        <v>17</v>
      </c>
      <c r="H4529" t="s">
        <v>18</v>
      </c>
      <c r="I4529">
        <v>75.25</v>
      </c>
      <c r="J4529" t="s">
        <v>19</v>
      </c>
      <c r="K4529" t="s">
        <v>6196</v>
      </c>
      <c r="L4529" t="s">
        <v>21</v>
      </c>
      <c r="M4529" t="str">
        <f t="shared" si="210"/>
        <v>OK</v>
      </c>
      <c r="N4529" t="str">
        <f t="shared" si="211"/>
        <v>1990s</v>
      </c>
      <c r="O4529" t="str">
        <f t="shared" si="212"/>
        <v>High</v>
      </c>
      <c r="P4529" t="str">
        <f>VLOOKUP(E4529,calculated_fields!$F$4:$G$6,2,FALSE)</f>
        <v>Health</v>
      </c>
    </row>
    <row r="4530" spans="1:16">
      <c r="A4530" t="s">
        <v>6197</v>
      </c>
      <c r="B4530" t="s">
        <v>6159</v>
      </c>
      <c r="C4530" t="s">
        <v>14</v>
      </c>
      <c r="D4530">
        <v>1997</v>
      </c>
      <c r="E4530" t="s">
        <v>23</v>
      </c>
      <c r="F4530" t="s">
        <v>24</v>
      </c>
      <c r="G4530" t="s">
        <v>25</v>
      </c>
      <c r="H4530" t="s">
        <v>26</v>
      </c>
      <c r="I4530">
        <v>21628605</v>
      </c>
      <c r="J4530" t="s">
        <v>27</v>
      </c>
      <c r="K4530" t="s">
        <v>6196</v>
      </c>
      <c r="L4530" t="s">
        <v>21</v>
      </c>
      <c r="M4530" t="str">
        <f t="shared" si="210"/>
        <v>OK</v>
      </c>
      <c r="N4530" t="str">
        <f t="shared" si="211"/>
        <v>1990s</v>
      </c>
      <c r="O4530" t="str">
        <f t="shared" si="212"/>
        <v>N/A</v>
      </c>
      <c r="P4530" t="str">
        <f>VLOOKUP(E4530,calculated_fields!$F$4:$G$6,2,FALSE)</f>
        <v>Demographics</v>
      </c>
    </row>
    <row r="4531" spans="1:16">
      <c r="A4531" t="s">
        <v>6198</v>
      </c>
      <c r="B4531" t="s">
        <v>6159</v>
      </c>
      <c r="C4531" t="s">
        <v>14</v>
      </c>
      <c r="D4531">
        <v>1997</v>
      </c>
      <c r="E4531" t="s">
        <v>29</v>
      </c>
      <c r="F4531" t="s">
        <v>30</v>
      </c>
      <c r="G4531" t="s">
        <v>31</v>
      </c>
      <c r="H4531" t="s">
        <v>32</v>
      </c>
      <c r="I4531">
        <v>20206.82098</v>
      </c>
      <c r="J4531" t="s">
        <v>33</v>
      </c>
      <c r="K4531" t="s">
        <v>6196</v>
      </c>
      <c r="L4531" t="s">
        <v>21</v>
      </c>
      <c r="M4531" t="str">
        <f t="shared" si="210"/>
        <v>OK</v>
      </c>
      <c r="N4531" t="str">
        <f t="shared" si="211"/>
        <v>1990s</v>
      </c>
      <c r="O4531" t="str">
        <f t="shared" si="212"/>
        <v>N/A</v>
      </c>
      <c r="P4531" t="str">
        <f>VLOOKUP(E4531,calculated_fields!$F$4:$G$6,2,FALSE)</f>
        <v>Economy</v>
      </c>
    </row>
    <row r="4532" spans="1:16">
      <c r="A4532" t="s">
        <v>6199</v>
      </c>
      <c r="B4532" t="s">
        <v>6159</v>
      </c>
      <c r="C4532" t="s">
        <v>14</v>
      </c>
      <c r="D4532">
        <v>2002</v>
      </c>
      <c r="E4532" t="s">
        <v>15</v>
      </c>
      <c r="F4532" t="s">
        <v>16</v>
      </c>
      <c r="G4532" t="s">
        <v>17</v>
      </c>
      <c r="H4532" t="s">
        <v>18</v>
      </c>
      <c r="I4532">
        <v>76.989999999999995</v>
      </c>
      <c r="J4532" t="s">
        <v>19</v>
      </c>
      <c r="K4532" t="s">
        <v>6200</v>
      </c>
      <c r="L4532" t="s">
        <v>21</v>
      </c>
      <c r="M4532" t="str">
        <f t="shared" si="210"/>
        <v>OK</v>
      </c>
      <c r="N4532" t="str">
        <f t="shared" si="211"/>
        <v>2000s</v>
      </c>
      <c r="O4532" t="str">
        <f t="shared" si="212"/>
        <v>High</v>
      </c>
      <c r="P4532" t="str">
        <f>VLOOKUP(E4532,calculated_fields!$F$4:$G$6,2,FALSE)</f>
        <v>Health</v>
      </c>
    </row>
    <row r="4533" spans="1:16">
      <c r="A4533" t="s">
        <v>6201</v>
      </c>
      <c r="B4533" t="s">
        <v>6159</v>
      </c>
      <c r="C4533" t="s">
        <v>14</v>
      </c>
      <c r="D4533">
        <v>2002</v>
      </c>
      <c r="E4533" t="s">
        <v>23</v>
      </c>
      <c r="F4533" t="s">
        <v>24</v>
      </c>
      <c r="G4533" t="s">
        <v>25</v>
      </c>
      <c r="H4533" t="s">
        <v>26</v>
      </c>
      <c r="I4533">
        <v>22454239</v>
      </c>
      <c r="J4533" t="s">
        <v>27</v>
      </c>
      <c r="K4533" t="s">
        <v>6200</v>
      </c>
      <c r="L4533" t="s">
        <v>21</v>
      </c>
      <c r="M4533" t="str">
        <f t="shared" si="210"/>
        <v>OK</v>
      </c>
      <c r="N4533" t="str">
        <f t="shared" si="211"/>
        <v>2000s</v>
      </c>
      <c r="O4533" t="str">
        <f t="shared" si="212"/>
        <v>N/A</v>
      </c>
      <c r="P4533" t="str">
        <f>VLOOKUP(E4533,calculated_fields!$F$4:$G$6,2,FALSE)</f>
        <v>Demographics</v>
      </c>
    </row>
    <row r="4534" spans="1:16">
      <c r="A4534" t="s">
        <v>6202</v>
      </c>
      <c r="B4534" t="s">
        <v>6159</v>
      </c>
      <c r="C4534" t="s">
        <v>14</v>
      </c>
      <c r="D4534">
        <v>2002</v>
      </c>
      <c r="E4534" t="s">
        <v>29</v>
      </c>
      <c r="F4534" t="s">
        <v>30</v>
      </c>
      <c r="G4534" t="s">
        <v>31</v>
      </c>
      <c r="H4534" t="s">
        <v>32</v>
      </c>
      <c r="I4534">
        <v>23235.423289999999</v>
      </c>
      <c r="J4534" t="s">
        <v>33</v>
      </c>
      <c r="K4534" t="s">
        <v>6200</v>
      </c>
      <c r="L4534" t="s">
        <v>21</v>
      </c>
      <c r="M4534" t="str">
        <f t="shared" si="210"/>
        <v>OK</v>
      </c>
      <c r="N4534" t="str">
        <f t="shared" si="211"/>
        <v>2000s</v>
      </c>
      <c r="O4534" t="str">
        <f t="shared" si="212"/>
        <v>N/A</v>
      </c>
      <c r="P4534" t="str">
        <f>VLOOKUP(E4534,calculated_fields!$F$4:$G$6,2,FALSE)</f>
        <v>Economy</v>
      </c>
    </row>
    <row r="4535" spans="1:16">
      <c r="A4535" t="s">
        <v>6203</v>
      </c>
      <c r="B4535" t="s">
        <v>6159</v>
      </c>
      <c r="C4535" t="s">
        <v>14</v>
      </c>
      <c r="D4535">
        <v>2007</v>
      </c>
      <c r="E4535" t="s">
        <v>15</v>
      </c>
      <c r="F4535" t="s">
        <v>16</v>
      </c>
      <c r="G4535" t="s">
        <v>17</v>
      </c>
      <c r="H4535" t="s">
        <v>18</v>
      </c>
      <c r="I4535">
        <v>78.400000000000006</v>
      </c>
      <c r="J4535" t="s">
        <v>19</v>
      </c>
      <c r="K4535" t="s">
        <v>6204</v>
      </c>
      <c r="L4535" t="s">
        <v>21</v>
      </c>
      <c r="M4535" t="str">
        <f t="shared" si="210"/>
        <v>OK</v>
      </c>
      <c r="N4535" t="str">
        <f t="shared" si="211"/>
        <v>2000s</v>
      </c>
      <c r="O4535" t="str">
        <f t="shared" si="212"/>
        <v>High</v>
      </c>
      <c r="P4535" t="str">
        <f>VLOOKUP(E4535,calculated_fields!$F$4:$G$6,2,FALSE)</f>
        <v>Health</v>
      </c>
    </row>
    <row r="4536" spans="1:16">
      <c r="A4536" t="s">
        <v>6205</v>
      </c>
      <c r="B4536" t="s">
        <v>6159</v>
      </c>
      <c r="C4536" t="s">
        <v>14</v>
      </c>
      <c r="D4536">
        <v>2007</v>
      </c>
      <c r="E4536" t="s">
        <v>23</v>
      </c>
      <c r="F4536" t="s">
        <v>24</v>
      </c>
      <c r="G4536" t="s">
        <v>25</v>
      </c>
      <c r="H4536" t="s">
        <v>26</v>
      </c>
      <c r="I4536">
        <v>23174294</v>
      </c>
      <c r="J4536" t="s">
        <v>27</v>
      </c>
      <c r="K4536" t="s">
        <v>6204</v>
      </c>
      <c r="L4536" t="s">
        <v>21</v>
      </c>
      <c r="M4536" t="str">
        <f t="shared" si="210"/>
        <v>OK</v>
      </c>
      <c r="N4536" t="str">
        <f t="shared" si="211"/>
        <v>2000s</v>
      </c>
      <c r="O4536" t="str">
        <f t="shared" si="212"/>
        <v>N/A</v>
      </c>
      <c r="P4536" t="str">
        <f>VLOOKUP(E4536,calculated_fields!$F$4:$G$6,2,FALSE)</f>
        <v>Demographics</v>
      </c>
    </row>
    <row r="4537" spans="1:16">
      <c r="A4537" t="s">
        <v>6206</v>
      </c>
      <c r="B4537" t="s">
        <v>6159</v>
      </c>
      <c r="C4537" t="s">
        <v>14</v>
      </c>
      <c r="D4537">
        <v>2007</v>
      </c>
      <c r="E4537" t="s">
        <v>29</v>
      </c>
      <c r="F4537" t="s">
        <v>30</v>
      </c>
      <c r="G4537" t="s">
        <v>31</v>
      </c>
      <c r="H4537" t="s">
        <v>32</v>
      </c>
      <c r="I4537">
        <v>28718.276839999999</v>
      </c>
      <c r="J4537" t="s">
        <v>33</v>
      </c>
      <c r="K4537" t="s">
        <v>6204</v>
      </c>
      <c r="L4537" t="s">
        <v>21</v>
      </c>
      <c r="M4537" t="str">
        <f t="shared" si="210"/>
        <v>OK</v>
      </c>
      <c r="N4537" t="str">
        <f t="shared" si="211"/>
        <v>2000s</v>
      </c>
      <c r="O4537" t="str">
        <f t="shared" si="212"/>
        <v>N/A</v>
      </c>
      <c r="P4537" t="str">
        <f>VLOOKUP(E4537,calculated_fields!$F$4:$G$6,2,FALSE)</f>
        <v>Economy</v>
      </c>
    </row>
    <row r="4538" spans="1:16">
      <c r="A4538" t="s">
        <v>6207</v>
      </c>
      <c r="B4538" t="s">
        <v>6208</v>
      </c>
      <c r="C4538" t="s">
        <v>130</v>
      </c>
      <c r="D4538">
        <v>1952</v>
      </c>
      <c r="E4538" t="s">
        <v>15</v>
      </c>
      <c r="F4538" t="s">
        <v>16</v>
      </c>
      <c r="G4538" t="s">
        <v>17</v>
      </c>
      <c r="H4538" t="s">
        <v>18</v>
      </c>
      <c r="I4538">
        <v>41.215000000000003</v>
      </c>
      <c r="J4538" t="s">
        <v>19</v>
      </c>
      <c r="K4538" t="s">
        <v>6209</v>
      </c>
      <c r="L4538" t="s">
        <v>21</v>
      </c>
      <c r="M4538" t="str">
        <f t="shared" si="210"/>
        <v>OK</v>
      </c>
      <c r="N4538" t="str">
        <f t="shared" si="211"/>
        <v>1950s</v>
      </c>
      <c r="O4538" t="str">
        <f t="shared" si="212"/>
        <v>Low</v>
      </c>
      <c r="P4538" t="str">
        <f>VLOOKUP(E4538,calculated_fields!$F$4:$G$6,2,FALSE)</f>
        <v>Health</v>
      </c>
    </row>
    <row r="4539" spans="1:16">
      <c r="A4539" t="s">
        <v>6210</v>
      </c>
      <c r="B4539" t="s">
        <v>6208</v>
      </c>
      <c r="C4539" t="s">
        <v>130</v>
      </c>
      <c r="D4539">
        <v>1952</v>
      </c>
      <c r="E4539" t="s">
        <v>23</v>
      </c>
      <c r="F4539" t="s">
        <v>24</v>
      </c>
      <c r="G4539" t="s">
        <v>25</v>
      </c>
      <c r="H4539" t="s">
        <v>26</v>
      </c>
      <c r="I4539">
        <v>8322925</v>
      </c>
      <c r="J4539" t="s">
        <v>27</v>
      </c>
      <c r="K4539" t="s">
        <v>6209</v>
      </c>
      <c r="L4539" t="s">
        <v>21</v>
      </c>
      <c r="M4539" t="str">
        <f t="shared" si="210"/>
        <v>OK</v>
      </c>
      <c r="N4539" t="str">
        <f t="shared" si="211"/>
        <v>1950s</v>
      </c>
      <c r="O4539" t="str">
        <f t="shared" si="212"/>
        <v>N/A</v>
      </c>
      <c r="P4539" t="str">
        <f>VLOOKUP(E4539,calculated_fields!$F$4:$G$6,2,FALSE)</f>
        <v>Demographics</v>
      </c>
    </row>
    <row r="4540" spans="1:16">
      <c r="A4540" t="s">
        <v>6211</v>
      </c>
      <c r="B4540" t="s">
        <v>6208</v>
      </c>
      <c r="C4540" t="s">
        <v>130</v>
      </c>
      <c r="D4540">
        <v>1952</v>
      </c>
      <c r="E4540" t="s">
        <v>29</v>
      </c>
      <c r="F4540" t="s">
        <v>30</v>
      </c>
      <c r="G4540" t="s">
        <v>31</v>
      </c>
      <c r="H4540" t="s">
        <v>32</v>
      </c>
      <c r="I4540">
        <v>716.65007209999999</v>
      </c>
      <c r="J4540" t="s">
        <v>33</v>
      </c>
      <c r="K4540" t="s">
        <v>6209</v>
      </c>
      <c r="L4540" t="s">
        <v>21</v>
      </c>
      <c r="M4540" t="str">
        <f t="shared" si="210"/>
        <v>OK</v>
      </c>
      <c r="N4540" t="str">
        <f t="shared" si="211"/>
        <v>1950s</v>
      </c>
      <c r="O4540" t="str">
        <f t="shared" si="212"/>
        <v>N/A</v>
      </c>
      <c r="P4540" t="str">
        <f>VLOOKUP(E4540,calculated_fields!$F$4:$G$6,2,FALSE)</f>
        <v>Economy</v>
      </c>
    </row>
    <row r="4541" spans="1:16">
      <c r="A4541" t="s">
        <v>6212</v>
      </c>
      <c r="B4541" t="s">
        <v>6208</v>
      </c>
      <c r="C4541" t="s">
        <v>130</v>
      </c>
      <c r="D4541">
        <v>1957</v>
      </c>
      <c r="E4541" t="s">
        <v>15</v>
      </c>
      <c r="F4541" t="s">
        <v>16</v>
      </c>
      <c r="G4541" t="s">
        <v>17</v>
      </c>
      <c r="H4541" t="s">
        <v>18</v>
      </c>
      <c r="I4541">
        <v>42.973999999999997</v>
      </c>
      <c r="J4541" t="s">
        <v>19</v>
      </c>
      <c r="K4541" t="s">
        <v>6213</v>
      </c>
      <c r="L4541" t="s">
        <v>21</v>
      </c>
      <c r="M4541" t="str">
        <f t="shared" si="210"/>
        <v>OK</v>
      </c>
      <c r="N4541" t="str">
        <f t="shared" si="211"/>
        <v>1950s</v>
      </c>
      <c r="O4541" t="str">
        <f t="shared" si="212"/>
        <v>Low</v>
      </c>
      <c r="P4541" t="str">
        <f>VLOOKUP(E4541,calculated_fields!$F$4:$G$6,2,FALSE)</f>
        <v>Health</v>
      </c>
    </row>
    <row r="4542" spans="1:16">
      <c r="A4542" t="s">
        <v>6214</v>
      </c>
      <c r="B4542" t="s">
        <v>6208</v>
      </c>
      <c r="C4542" t="s">
        <v>130</v>
      </c>
      <c r="D4542">
        <v>1957</v>
      </c>
      <c r="E4542" t="s">
        <v>23</v>
      </c>
      <c r="F4542" t="s">
        <v>24</v>
      </c>
      <c r="G4542" t="s">
        <v>25</v>
      </c>
      <c r="H4542" t="s">
        <v>26</v>
      </c>
      <c r="I4542">
        <v>9452826</v>
      </c>
      <c r="J4542" t="s">
        <v>27</v>
      </c>
      <c r="K4542" t="s">
        <v>6213</v>
      </c>
      <c r="L4542" t="s">
        <v>21</v>
      </c>
      <c r="M4542" t="str">
        <f t="shared" si="210"/>
        <v>OK</v>
      </c>
      <c r="N4542" t="str">
        <f t="shared" si="211"/>
        <v>1950s</v>
      </c>
      <c r="O4542" t="str">
        <f t="shared" si="212"/>
        <v>N/A</v>
      </c>
      <c r="P4542" t="str">
        <f>VLOOKUP(E4542,calculated_fields!$F$4:$G$6,2,FALSE)</f>
        <v>Demographics</v>
      </c>
    </row>
    <row r="4543" spans="1:16">
      <c r="A4543" t="s">
        <v>6215</v>
      </c>
      <c r="B4543" t="s">
        <v>6208</v>
      </c>
      <c r="C4543" t="s">
        <v>130</v>
      </c>
      <c r="D4543">
        <v>1957</v>
      </c>
      <c r="E4543" t="s">
        <v>29</v>
      </c>
      <c r="F4543" t="s">
        <v>30</v>
      </c>
      <c r="G4543" t="s">
        <v>31</v>
      </c>
      <c r="H4543" t="s">
        <v>32</v>
      </c>
      <c r="I4543">
        <v>698.53560730000004</v>
      </c>
      <c r="J4543" t="s">
        <v>33</v>
      </c>
      <c r="K4543" t="s">
        <v>6213</v>
      </c>
      <c r="L4543" t="s">
        <v>21</v>
      </c>
      <c r="M4543" t="str">
        <f t="shared" si="210"/>
        <v>OK</v>
      </c>
      <c r="N4543" t="str">
        <f t="shared" si="211"/>
        <v>1950s</v>
      </c>
      <c r="O4543" t="str">
        <f t="shared" si="212"/>
        <v>N/A</v>
      </c>
      <c r="P4543" t="str">
        <f>VLOOKUP(E4543,calculated_fields!$F$4:$G$6,2,FALSE)</f>
        <v>Economy</v>
      </c>
    </row>
    <row r="4544" spans="1:16">
      <c r="A4544" t="s">
        <v>6216</v>
      </c>
      <c r="B4544" t="s">
        <v>6208</v>
      </c>
      <c r="C4544" t="s">
        <v>130</v>
      </c>
      <c r="D4544">
        <v>1962</v>
      </c>
      <c r="E4544" t="s">
        <v>15</v>
      </c>
      <c r="F4544" t="s">
        <v>16</v>
      </c>
      <c r="G4544" t="s">
        <v>17</v>
      </c>
      <c r="H4544" t="s">
        <v>18</v>
      </c>
      <c r="I4544">
        <v>44.246000000000002</v>
      </c>
      <c r="J4544" t="s">
        <v>19</v>
      </c>
      <c r="K4544" t="s">
        <v>6217</v>
      </c>
      <c r="L4544" t="s">
        <v>21</v>
      </c>
      <c r="M4544" t="str">
        <f t="shared" si="210"/>
        <v>OK</v>
      </c>
      <c r="N4544" t="str">
        <f t="shared" si="211"/>
        <v>1960s</v>
      </c>
      <c r="O4544" t="str">
        <f t="shared" si="212"/>
        <v>Low</v>
      </c>
      <c r="P4544" t="str">
        <f>VLOOKUP(E4544,calculated_fields!$F$4:$G$6,2,FALSE)</f>
        <v>Health</v>
      </c>
    </row>
    <row r="4545" spans="1:16">
      <c r="A4545" t="s">
        <v>6218</v>
      </c>
      <c r="B4545" t="s">
        <v>6208</v>
      </c>
      <c r="C4545" t="s">
        <v>130</v>
      </c>
      <c r="D4545">
        <v>1962</v>
      </c>
      <c r="E4545" t="s">
        <v>23</v>
      </c>
      <c r="F4545" t="s">
        <v>24</v>
      </c>
      <c r="G4545" t="s">
        <v>25</v>
      </c>
      <c r="H4545" t="s">
        <v>26</v>
      </c>
      <c r="I4545">
        <v>10863958</v>
      </c>
      <c r="J4545" t="s">
        <v>27</v>
      </c>
      <c r="K4545" t="s">
        <v>6217</v>
      </c>
      <c r="L4545" t="s">
        <v>21</v>
      </c>
      <c r="M4545" t="str">
        <f t="shared" si="210"/>
        <v>OK</v>
      </c>
      <c r="N4545" t="str">
        <f t="shared" si="211"/>
        <v>1960s</v>
      </c>
      <c r="O4545" t="str">
        <f t="shared" si="212"/>
        <v>N/A</v>
      </c>
      <c r="P4545" t="str">
        <f>VLOOKUP(E4545,calculated_fields!$F$4:$G$6,2,FALSE)</f>
        <v>Demographics</v>
      </c>
    </row>
    <row r="4546" spans="1:16">
      <c r="A4546" t="s">
        <v>6219</v>
      </c>
      <c r="B4546" t="s">
        <v>6208</v>
      </c>
      <c r="C4546" t="s">
        <v>130</v>
      </c>
      <c r="D4546">
        <v>1962</v>
      </c>
      <c r="E4546" t="s">
        <v>29</v>
      </c>
      <c r="F4546" t="s">
        <v>30</v>
      </c>
      <c r="G4546" t="s">
        <v>31</v>
      </c>
      <c r="H4546" t="s">
        <v>32</v>
      </c>
      <c r="I4546">
        <v>722.00380729999995</v>
      </c>
      <c r="J4546" t="s">
        <v>33</v>
      </c>
      <c r="K4546" t="s">
        <v>6217</v>
      </c>
      <c r="L4546" t="s">
        <v>21</v>
      </c>
      <c r="M4546" t="str">
        <f t="shared" ref="M4546:M4609" si="213">IF(AND(ISNUMBER(I4546),I4546&gt;=0),"OK","Review")</f>
        <v>OK</v>
      </c>
      <c r="N4546" t="str">
        <f t="shared" ref="N4546:N4609" si="214">FLOOR(D4546,10)&amp;"s"</f>
        <v>1960s</v>
      </c>
      <c r="O4546" t="str">
        <f t="shared" ref="O4546:O4609" si="215">IF(E4546="LIFE_EXP",IF(I4546&gt;=70,"High",IF(I4546&gt;=55,"Medium","Low")),"N/A")</f>
        <v>N/A</v>
      </c>
      <c r="P4546" t="str">
        <f>VLOOKUP(E4546,calculated_fields!$F$4:$G$6,2,FALSE)</f>
        <v>Economy</v>
      </c>
    </row>
    <row r="4547" spans="1:16">
      <c r="A4547" t="s">
        <v>6220</v>
      </c>
      <c r="B4547" t="s">
        <v>6208</v>
      </c>
      <c r="C4547" t="s">
        <v>130</v>
      </c>
      <c r="D4547">
        <v>1967</v>
      </c>
      <c r="E4547" t="s">
        <v>15</v>
      </c>
      <c r="F4547" t="s">
        <v>16</v>
      </c>
      <c r="G4547" t="s">
        <v>17</v>
      </c>
      <c r="H4547" t="s">
        <v>18</v>
      </c>
      <c r="I4547">
        <v>45.756999999999998</v>
      </c>
      <c r="J4547" t="s">
        <v>19</v>
      </c>
      <c r="K4547" t="s">
        <v>6221</v>
      </c>
      <c r="L4547" t="s">
        <v>21</v>
      </c>
      <c r="M4547" t="str">
        <f t="shared" si="213"/>
        <v>OK</v>
      </c>
      <c r="N4547" t="str">
        <f t="shared" si="214"/>
        <v>1960s</v>
      </c>
      <c r="O4547" t="str">
        <f t="shared" si="215"/>
        <v>Low</v>
      </c>
      <c r="P4547" t="str">
        <f>VLOOKUP(E4547,calculated_fields!$F$4:$G$6,2,FALSE)</f>
        <v>Health</v>
      </c>
    </row>
    <row r="4548" spans="1:16">
      <c r="A4548" t="s">
        <v>6222</v>
      </c>
      <c r="B4548" t="s">
        <v>6208</v>
      </c>
      <c r="C4548" t="s">
        <v>130</v>
      </c>
      <c r="D4548">
        <v>1967</v>
      </c>
      <c r="E4548" t="s">
        <v>23</v>
      </c>
      <c r="F4548" t="s">
        <v>24</v>
      </c>
      <c r="G4548" t="s">
        <v>25</v>
      </c>
      <c r="H4548" t="s">
        <v>26</v>
      </c>
      <c r="I4548">
        <v>12607312</v>
      </c>
      <c r="J4548" t="s">
        <v>27</v>
      </c>
      <c r="K4548" t="s">
        <v>6221</v>
      </c>
      <c r="L4548" t="s">
        <v>21</v>
      </c>
      <c r="M4548" t="str">
        <f t="shared" si="213"/>
        <v>OK</v>
      </c>
      <c r="N4548" t="str">
        <f t="shared" si="214"/>
        <v>1960s</v>
      </c>
      <c r="O4548" t="str">
        <f t="shared" si="215"/>
        <v>N/A</v>
      </c>
      <c r="P4548" t="str">
        <f>VLOOKUP(E4548,calculated_fields!$F$4:$G$6,2,FALSE)</f>
        <v>Demographics</v>
      </c>
    </row>
    <row r="4549" spans="1:16">
      <c r="A4549" t="s">
        <v>6223</v>
      </c>
      <c r="B4549" t="s">
        <v>6208</v>
      </c>
      <c r="C4549" t="s">
        <v>130</v>
      </c>
      <c r="D4549">
        <v>1967</v>
      </c>
      <c r="E4549" t="s">
        <v>29</v>
      </c>
      <c r="F4549" t="s">
        <v>30</v>
      </c>
      <c r="G4549" t="s">
        <v>31</v>
      </c>
      <c r="H4549" t="s">
        <v>32</v>
      </c>
      <c r="I4549">
        <v>848.21865749999995</v>
      </c>
      <c r="J4549" t="s">
        <v>33</v>
      </c>
      <c r="K4549" t="s">
        <v>6221</v>
      </c>
      <c r="L4549" t="s">
        <v>21</v>
      </c>
      <c r="M4549" t="str">
        <f t="shared" si="213"/>
        <v>OK</v>
      </c>
      <c r="N4549" t="str">
        <f t="shared" si="214"/>
        <v>1960s</v>
      </c>
      <c r="O4549" t="str">
        <f t="shared" si="215"/>
        <v>N/A</v>
      </c>
      <c r="P4549" t="str">
        <f>VLOOKUP(E4549,calculated_fields!$F$4:$G$6,2,FALSE)</f>
        <v>Economy</v>
      </c>
    </row>
    <row r="4550" spans="1:16">
      <c r="A4550" t="s">
        <v>6224</v>
      </c>
      <c r="B4550" t="s">
        <v>6208</v>
      </c>
      <c r="C4550" t="s">
        <v>130</v>
      </c>
      <c r="D4550">
        <v>1972</v>
      </c>
      <c r="E4550" t="s">
        <v>15</v>
      </c>
      <c r="F4550" t="s">
        <v>16</v>
      </c>
      <c r="G4550" t="s">
        <v>17</v>
      </c>
      <c r="H4550" t="s">
        <v>18</v>
      </c>
      <c r="I4550">
        <v>47.62</v>
      </c>
      <c r="J4550" t="s">
        <v>19</v>
      </c>
      <c r="K4550" t="s">
        <v>6225</v>
      </c>
      <c r="L4550" t="s">
        <v>21</v>
      </c>
      <c r="M4550" t="str">
        <f t="shared" si="213"/>
        <v>OK</v>
      </c>
      <c r="N4550" t="str">
        <f t="shared" si="214"/>
        <v>1970s</v>
      </c>
      <c r="O4550" t="str">
        <f t="shared" si="215"/>
        <v>Low</v>
      </c>
      <c r="P4550" t="str">
        <f>VLOOKUP(E4550,calculated_fields!$F$4:$G$6,2,FALSE)</f>
        <v>Health</v>
      </c>
    </row>
    <row r="4551" spans="1:16">
      <c r="A4551" t="s">
        <v>6226</v>
      </c>
      <c r="B4551" t="s">
        <v>6208</v>
      </c>
      <c r="C4551" t="s">
        <v>130</v>
      </c>
      <c r="D4551">
        <v>1972</v>
      </c>
      <c r="E4551" t="s">
        <v>23</v>
      </c>
      <c r="F4551" t="s">
        <v>24</v>
      </c>
      <c r="G4551" t="s">
        <v>25</v>
      </c>
      <c r="H4551" t="s">
        <v>26</v>
      </c>
      <c r="I4551">
        <v>14706593</v>
      </c>
      <c r="J4551" t="s">
        <v>27</v>
      </c>
      <c r="K4551" t="s">
        <v>6225</v>
      </c>
      <c r="L4551" t="s">
        <v>21</v>
      </c>
      <c r="M4551" t="str">
        <f t="shared" si="213"/>
        <v>OK</v>
      </c>
      <c r="N4551" t="str">
        <f t="shared" si="214"/>
        <v>1970s</v>
      </c>
      <c r="O4551" t="str">
        <f t="shared" si="215"/>
        <v>N/A</v>
      </c>
      <c r="P4551" t="str">
        <f>VLOOKUP(E4551,calculated_fields!$F$4:$G$6,2,FALSE)</f>
        <v>Demographics</v>
      </c>
    </row>
    <row r="4552" spans="1:16">
      <c r="A4552" t="s">
        <v>6227</v>
      </c>
      <c r="B4552" t="s">
        <v>6208</v>
      </c>
      <c r="C4552" t="s">
        <v>130</v>
      </c>
      <c r="D4552">
        <v>1972</v>
      </c>
      <c r="E4552" t="s">
        <v>29</v>
      </c>
      <c r="F4552" t="s">
        <v>30</v>
      </c>
      <c r="G4552" t="s">
        <v>31</v>
      </c>
      <c r="H4552" t="s">
        <v>32</v>
      </c>
      <c r="I4552">
        <v>915.98505920000002</v>
      </c>
      <c r="J4552" t="s">
        <v>33</v>
      </c>
      <c r="K4552" t="s">
        <v>6225</v>
      </c>
      <c r="L4552" t="s">
        <v>21</v>
      </c>
      <c r="M4552" t="str">
        <f t="shared" si="213"/>
        <v>OK</v>
      </c>
      <c r="N4552" t="str">
        <f t="shared" si="214"/>
        <v>1970s</v>
      </c>
      <c r="O4552" t="str">
        <f t="shared" si="215"/>
        <v>N/A</v>
      </c>
      <c r="P4552" t="str">
        <f>VLOOKUP(E4552,calculated_fields!$F$4:$G$6,2,FALSE)</f>
        <v>Economy</v>
      </c>
    </row>
    <row r="4553" spans="1:16">
      <c r="A4553" t="s">
        <v>6228</v>
      </c>
      <c r="B4553" t="s">
        <v>6208</v>
      </c>
      <c r="C4553" t="s">
        <v>130</v>
      </c>
      <c r="D4553">
        <v>1977</v>
      </c>
      <c r="E4553" t="s">
        <v>15</v>
      </c>
      <c r="F4553" t="s">
        <v>16</v>
      </c>
      <c r="G4553" t="s">
        <v>17</v>
      </c>
      <c r="H4553" t="s">
        <v>18</v>
      </c>
      <c r="I4553">
        <v>49.918999999999997</v>
      </c>
      <c r="J4553" t="s">
        <v>19</v>
      </c>
      <c r="K4553" t="s">
        <v>6229</v>
      </c>
      <c r="L4553" t="s">
        <v>21</v>
      </c>
      <c r="M4553" t="str">
        <f t="shared" si="213"/>
        <v>OK</v>
      </c>
      <c r="N4553" t="str">
        <f t="shared" si="214"/>
        <v>1970s</v>
      </c>
      <c r="O4553" t="str">
        <f t="shared" si="215"/>
        <v>Low</v>
      </c>
      <c r="P4553" t="str">
        <f>VLOOKUP(E4553,calculated_fields!$F$4:$G$6,2,FALSE)</f>
        <v>Health</v>
      </c>
    </row>
    <row r="4554" spans="1:16">
      <c r="A4554" t="s">
        <v>6230</v>
      </c>
      <c r="B4554" t="s">
        <v>6208</v>
      </c>
      <c r="C4554" t="s">
        <v>130</v>
      </c>
      <c r="D4554">
        <v>1977</v>
      </c>
      <c r="E4554" t="s">
        <v>23</v>
      </c>
      <c r="F4554" t="s">
        <v>24</v>
      </c>
      <c r="G4554" t="s">
        <v>25</v>
      </c>
      <c r="H4554" t="s">
        <v>26</v>
      </c>
      <c r="I4554">
        <v>17129565</v>
      </c>
      <c r="J4554" t="s">
        <v>27</v>
      </c>
      <c r="K4554" t="s">
        <v>6229</v>
      </c>
      <c r="L4554" t="s">
        <v>21</v>
      </c>
      <c r="M4554" t="str">
        <f t="shared" si="213"/>
        <v>OK</v>
      </c>
      <c r="N4554" t="str">
        <f t="shared" si="214"/>
        <v>1970s</v>
      </c>
      <c r="O4554" t="str">
        <f t="shared" si="215"/>
        <v>N/A</v>
      </c>
      <c r="P4554" t="str">
        <f>VLOOKUP(E4554,calculated_fields!$F$4:$G$6,2,FALSE)</f>
        <v>Demographics</v>
      </c>
    </row>
    <row r="4555" spans="1:16">
      <c r="A4555" t="s">
        <v>6231</v>
      </c>
      <c r="B4555" t="s">
        <v>6208</v>
      </c>
      <c r="C4555" t="s">
        <v>130</v>
      </c>
      <c r="D4555">
        <v>1977</v>
      </c>
      <c r="E4555" t="s">
        <v>29</v>
      </c>
      <c r="F4555" t="s">
        <v>30</v>
      </c>
      <c r="G4555" t="s">
        <v>31</v>
      </c>
      <c r="H4555" t="s">
        <v>32</v>
      </c>
      <c r="I4555">
        <v>962.49229319999995</v>
      </c>
      <c r="J4555" t="s">
        <v>33</v>
      </c>
      <c r="K4555" t="s">
        <v>6229</v>
      </c>
      <c r="L4555" t="s">
        <v>21</v>
      </c>
      <c r="M4555" t="str">
        <f t="shared" si="213"/>
        <v>OK</v>
      </c>
      <c r="N4555" t="str">
        <f t="shared" si="214"/>
        <v>1970s</v>
      </c>
      <c r="O4555" t="str">
        <f t="shared" si="215"/>
        <v>N/A</v>
      </c>
      <c r="P4555" t="str">
        <f>VLOOKUP(E4555,calculated_fields!$F$4:$G$6,2,FALSE)</f>
        <v>Economy</v>
      </c>
    </row>
    <row r="4556" spans="1:16">
      <c r="A4556" t="s">
        <v>6232</v>
      </c>
      <c r="B4556" t="s">
        <v>6208</v>
      </c>
      <c r="C4556" t="s">
        <v>130</v>
      </c>
      <c r="D4556">
        <v>1982</v>
      </c>
      <c r="E4556" t="s">
        <v>15</v>
      </c>
      <c r="F4556" t="s">
        <v>16</v>
      </c>
      <c r="G4556" t="s">
        <v>17</v>
      </c>
      <c r="H4556" t="s">
        <v>18</v>
      </c>
      <c r="I4556">
        <v>50.607999999999997</v>
      </c>
      <c r="J4556" t="s">
        <v>19</v>
      </c>
      <c r="K4556" t="s">
        <v>6233</v>
      </c>
      <c r="L4556" t="s">
        <v>21</v>
      </c>
      <c r="M4556" t="str">
        <f t="shared" si="213"/>
        <v>OK</v>
      </c>
      <c r="N4556" t="str">
        <f t="shared" si="214"/>
        <v>1980s</v>
      </c>
      <c r="O4556" t="str">
        <f t="shared" si="215"/>
        <v>Low</v>
      </c>
      <c r="P4556" t="str">
        <f>VLOOKUP(E4556,calculated_fields!$F$4:$G$6,2,FALSE)</f>
        <v>Health</v>
      </c>
    </row>
    <row r="4557" spans="1:16">
      <c r="A4557" t="s">
        <v>6234</v>
      </c>
      <c r="B4557" t="s">
        <v>6208</v>
      </c>
      <c r="C4557" t="s">
        <v>130</v>
      </c>
      <c r="D4557">
        <v>1982</v>
      </c>
      <c r="E4557" t="s">
        <v>23</v>
      </c>
      <c r="F4557" t="s">
        <v>24</v>
      </c>
      <c r="G4557" t="s">
        <v>25</v>
      </c>
      <c r="H4557" t="s">
        <v>26</v>
      </c>
      <c r="I4557">
        <v>19844382</v>
      </c>
      <c r="J4557" t="s">
        <v>27</v>
      </c>
      <c r="K4557" t="s">
        <v>6233</v>
      </c>
      <c r="L4557" t="s">
        <v>21</v>
      </c>
      <c r="M4557" t="str">
        <f t="shared" si="213"/>
        <v>OK</v>
      </c>
      <c r="N4557" t="str">
        <f t="shared" si="214"/>
        <v>1980s</v>
      </c>
      <c r="O4557" t="str">
        <f t="shared" si="215"/>
        <v>N/A</v>
      </c>
      <c r="P4557" t="str">
        <f>VLOOKUP(E4557,calculated_fields!$F$4:$G$6,2,FALSE)</f>
        <v>Demographics</v>
      </c>
    </row>
    <row r="4558" spans="1:16">
      <c r="A4558" t="s">
        <v>6235</v>
      </c>
      <c r="B4558" t="s">
        <v>6208</v>
      </c>
      <c r="C4558" t="s">
        <v>130</v>
      </c>
      <c r="D4558">
        <v>1982</v>
      </c>
      <c r="E4558" t="s">
        <v>29</v>
      </c>
      <c r="F4558" t="s">
        <v>30</v>
      </c>
      <c r="G4558" t="s">
        <v>31</v>
      </c>
      <c r="H4558" t="s">
        <v>32</v>
      </c>
      <c r="I4558">
        <v>874.24260690000006</v>
      </c>
      <c r="J4558" t="s">
        <v>33</v>
      </c>
      <c r="K4558" t="s">
        <v>6233</v>
      </c>
      <c r="L4558" t="s">
        <v>21</v>
      </c>
      <c r="M4558" t="str">
        <f t="shared" si="213"/>
        <v>OK</v>
      </c>
      <c r="N4558" t="str">
        <f t="shared" si="214"/>
        <v>1980s</v>
      </c>
      <c r="O4558" t="str">
        <f t="shared" si="215"/>
        <v>N/A</v>
      </c>
      <c r="P4558" t="str">
        <f>VLOOKUP(E4558,calculated_fields!$F$4:$G$6,2,FALSE)</f>
        <v>Economy</v>
      </c>
    </row>
    <row r="4559" spans="1:16">
      <c r="A4559" t="s">
        <v>6236</v>
      </c>
      <c r="B4559" t="s">
        <v>6208</v>
      </c>
      <c r="C4559" t="s">
        <v>130</v>
      </c>
      <c r="D4559">
        <v>1987</v>
      </c>
      <c r="E4559" t="s">
        <v>15</v>
      </c>
      <c r="F4559" t="s">
        <v>16</v>
      </c>
      <c r="G4559" t="s">
        <v>17</v>
      </c>
      <c r="H4559" t="s">
        <v>18</v>
      </c>
      <c r="I4559">
        <v>51.534999999999997</v>
      </c>
      <c r="J4559" t="s">
        <v>19</v>
      </c>
      <c r="K4559" t="s">
        <v>6237</v>
      </c>
      <c r="L4559" t="s">
        <v>21</v>
      </c>
      <c r="M4559" t="str">
        <f t="shared" si="213"/>
        <v>OK</v>
      </c>
      <c r="N4559" t="str">
        <f t="shared" si="214"/>
        <v>1980s</v>
      </c>
      <c r="O4559" t="str">
        <f t="shared" si="215"/>
        <v>Low</v>
      </c>
      <c r="P4559" t="str">
        <f>VLOOKUP(E4559,calculated_fields!$F$4:$G$6,2,FALSE)</f>
        <v>Health</v>
      </c>
    </row>
    <row r="4560" spans="1:16">
      <c r="A4560" t="s">
        <v>6238</v>
      </c>
      <c r="B4560" t="s">
        <v>6208</v>
      </c>
      <c r="C4560" t="s">
        <v>130</v>
      </c>
      <c r="D4560">
        <v>1987</v>
      </c>
      <c r="E4560" t="s">
        <v>23</v>
      </c>
      <c r="F4560" t="s">
        <v>24</v>
      </c>
      <c r="G4560" t="s">
        <v>25</v>
      </c>
      <c r="H4560" t="s">
        <v>26</v>
      </c>
      <c r="I4560">
        <v>23040630</v>
      </c>
      <c r="J4560" t="s">
        <v>27</v>
      </c>
      <c r="K4560" t="s">
        <v>6237</v>
      </c>
      <c r="L4560" t="s">
        <v>21</v>
      </c>
      <c r="M4560" t="str">
        <f t="shared" si="213"/>
        <v>OK</v>
      </c>
      <c r="N4560" t="str">
        <f t="shared" si="214"/>
        <v>1980s</v>
      </c>
      <c r="O4560" t="str">
        <f t="shared" si="215"/>
        <v>N/A</v>
      </c>
      <c r="P4560" t="str">
        <f>VLOOKUP(E4560,calculated_fields!$F$4:$G$6,2,FALSE)</f>
        <v>Demographics</v>
      </c>
    </row>
    <row r="4561" spans="1:16">
      <c r="A4561" t="s">
        <v>6239</v>
      </c>
      <c r="B4561" t="s">
        <v>6208</v>
      </c>
      <c r="C4561" t="s">
        <v>130</v>
      </c>
      <c r="D4561">
        <v>1987</v>
      </c>
      <c r="E4561" t="s">
        <v>29</v>
      </c>
      <c r="F4561" t="s">
        <v>30</v>
      </c>
      <c r="G4561" t="s">
        <v>31</v>
      </c>
      <c r="H4561" t="s">
        <v>32</v>
      </c>
      <c r="I4561">
        <v>831.82207940000001</v>
      </c>
      <c r="J4561" t="s">
        <v>33</v>
      </c>
      <c r="K4561" t="s">
        <v>6237</v>
      </c>
      <c r="L4561" t="s">
        <v>21</v>
      </c>
      <c r="M4561" t="str">
        <f t="shared" si="213"/>
        <v>OK</v>
      </c>
      <c r="N4561" t="str">
        <f t="shared" si="214"/>
        <v>1980s</v>
      </c>
      <c r="O4561" t="str">
        <f t="shared" si="215"/>
        <v>N/A</v>
      </c>
      <c r="P4561" t="str">
        <f>VLOOKUP(E4561,calculated_fields!$F$4:$G$6,2,FALSE)</f>
        <v>Economy</v>
      </c>
    </row>
    <row r="4562" spans="1:16">
      <c r="A4562" t="s">
        <v>6240</v>
      </c>
      <c r="B4562" t="s">
        <v>6208</v>
      </c>
      <c r="C4562" t="s">
        <v>130</v>
      </c>
      <c r="D4562">
        <v>1992</v>
      </c>
      <c r="E4562" t="s">
        <v>15</v>
      </c>
      <c r="F4562" t="s">
        <v>16</v>
      </c>
      <c r="G4562" t="s">
        <v>17</v>
      </c>
      <c r="H4562" t="s">
        <v>18</v>
      </c>
      <c r="I4562">
        <v>50.44</v>
      </c>
      <c r="J4562" t="s">
        <v>19</v>
      </c>
      <c r="K4562" t="s">
        <v>6241</v>
      </c>
      <c r="L4562" t="s">
        <v>21</v>
      </c>
      <c r="M4562" t="str">
        <f t="shared" si="213"/>
        <v>OK</v>
      </c>
      <c r="N4562" t="str">
        <f t="shared" si="214"/>
        <v>1990s</v>
      </c>
      <c r="O4562" t="str">
        <f t="shared" si="215"/>
        <v>Low</v>
      </c>
      <c r="P4562" t="str">
        <f>VLOOKUP(E4562,calculated_fields!$F$4:$G$6,2,FALSE)</f>
        <v>Health</v>
      </c>
    </row>
    <row r="4563" spans="1:16">
      <c r="A4563" t="s">
        <v>6242</v>
      </c>
      <c r="B4563" t="s">
        <v>6208</v>
      </c>
      <c r="C4563" t="s">
        <v>130</v>
      </c>
      <c r="D4563">
        <v>1992</v>
      </c>
      <c r="E4563" t="s">
        <v>23</v>
      </c>
      <c r="F4563" t="s">
        <v>24</v>
      </c>
      <c r="G4563" t="s">
        <v>25</v>
      </c>
      <c r="H4563" t="s">
        <v>26</v>
      </c>
      <c r="I4563">
        <v>26605473</v>
      </c>
      <c r="J4563" t="s">
        <v>27</v>
      </c>
      <c r="K4563" t="s">
        <v>6241</v>
      </c>
      <c r="L4563" t="s">
        <v>21</v>
      </c>
      <c r="M4563" t="str">
        <f t="shared" si="213"/>
        <v>OK</v>
      </c>
      <c r="N4563" t="str">
        <f t="shared" si="214"/>
        <v>1990s</v>
      </c>
      <c r="O4563" t="str">
        <f t="shared" si="215"/>
        <v>N/A</v>
      </c>
      <c r="P4563" t="str">
        <f>VLOOKUP(E4563,calculated_fields!$F$4:$G$6,2,FALSE)</f>
        <v>Demographics</v>
      </c>
    </row>
    <row r="4564" spans="1:16">
      <c r="A4564" t="s">
        <v>6243</v>
      </c>
      <c r="B4564" t="s">
        <v>6208</v>
      </c>
      <c r="C4564" t="s">
        <v>130</v>
      </c>
      <c r="D4564">
        <v>1992</v>
      </c>
      <c r="E4564" t="s">
        <v>29</v>
      </c>
      <c r="F4564" t="s">
        <v>30</v>
      </c>
      <c r="G4564" t="s">
        <v>31</v>
      </c>
      <c r="H4564" t="s">
        <v>32</v>
      </c>
      <c r="I4564">
        <v>825.68245400000001</v>
      </c>
      <c r="J4564" t="s">
        <v>33</v>
      </c>
      <c r="K4564" t="s">
        <v>6241</v>
      </c>
      <c r="L4564" t="s">
        <v>21</v>
      </c>
      <c r="M4564" t="str">
        <f t="shared" si="213"/>
        <v>OK</v>
      </c>
      <c r="N4564" t="str">
        <f t="shared" si="214"/>
        <v>1990s</v>
      </c>
      <c r="O4564" t="str">
        <f t="shared" si="215"/>
        <v>N/A</v>
      </c>
      <c r="P4564" t="str">
        <f>VLOOKUP(E4564,calculated_fields!$F$4:$G$6,2,FALSE)</f>
        <v>Economy</v>
      </c>
    </row>
    <row r="4565" spans="1:16">
      <c r="A4565" t="s">
        <v>6244</v>
      </c>
      <c r="B4565" t="s">
        <v>6208</v>
      </c>
      <c r="C4565" t="s">
        <v>130</v>
      </c>
      <c r="D4565">
        <v>1997</v>
      </c>
      <c r="E4565" t="s">
        <v>15</v>
      </c>
      <c r="F4565" t="s">
        <v>16</v>
      </c>
      <c r="G4565" t="s">
        <v>17</v>
      </c>
      <c r="H4565" t="s">
        <v>18</v>
      </c>
      <c r="I4565">
        <v>48.466000000000001</v>
      </c>
      <c r="J4565" t="s">
        <v>19</v>
      </c>
      <c r="K4565" t="s">
        <v>6245</v>
      </c>
      <c r="L4565" t="s">
        <v>21</v>
      </c>
      <c r="M4565" t="str">
        <f t="shared" si="213"/>
        <v>OK</v>
      </c>
      <c r="N4565" t="str">
        <f t="shared" si="214"/>
        <v>1990s</v>
      </c>
      <c r="O4565" t="str">
        <f t="shared" si="215"/>
        <v>Low</v>
      </c>
      <c r="P4565" t="str">
        <f>VLOOKUP(E4565,calculated_fields!$F$4:$G$6,2,FALSE)</f>
        <v>Health</v>
      </c>
    </row>
    <row r="4566" spans="1:16">
      <c r="A4566" t="s">
        <v>6246</v>
      </c>
      <c r="B4566" t="s">
        <v>6208</v>
      </c>
      <c r="C4566" t="s">
        <v>130</v>
      </c>
      <c r="D4566">
        <v>1997</v>
      </c>
      <c r="E4566" t="s">
        <v>23</v>
      </c>
      <c r="F4566" t="s">
        <v>24</v>
      </c>
      <c r="G4566" t="s">
        <v>25</v>
      </c>
      <c r="H4566" t="s">
        <v>26</v>
      </c>
      <c r="I4566">
        <v>30686889</v>
      </c>
      <c r="J4566" t="s">
        <v>27</v>
      </c>
      <c r="K4566" t="s">
        <v>6245</v>
      </c>
      <c r="L4566" t="s">
        <v>21</v>
      </c>
      <c r="M4566" t="str">
        <f t="shared" si="213"/>
        <v>OK</v>
      </c>
      <c r="N4566" t="str">
        <f t="shared" si="214"/>
        <v>1990s</v>
      </c>
      <c r="O4566" t="str">
        <f t="shared" si="215"/>
        <v>N/A</v>
      </c>
      <c r="P4566" t="str">
        <f>VLOOKUP(E4566,calculated_fields!$F$4:$G$6,2,FALSE)</f>
        <v>Demographics</v>
      </c>
    </row>
    <row r="4567" spans="1:16">
      <c r="A4567" t="s">
        <v>6247</v>
      </c>
      <c r="B4567" t="s">
        <v>6208</v>
      </c>
      <c r="C4567" t="s">
        <v>130</v>
      </c>
      <c r="D4567">
        <v>1997</v>
      </c>
      <c r="E4567" t="s">
        <v>29</v>
      </c>
      <c r="F4567" t="s">
        <v>30</v>
      </c>
      <c r="G4567" t="s">
        <v>31</v>
      </c>
      <c r="H4567" t="s">
        <v>32</v>
      </c>
      <c r="I4567">
        <v>789.18622310000001</v>
      </c>
      <c r="J4567" t="s">
        <v>33</v>
      </c>
      <c r="K4567" t="s">
        <v>6245</v>
      </c>
      <c r="L4567" t="s">
        <v>21</v>
      </c>
      <c r="M4567" t="str">
        <f t="shared" si="213"/>
        <v>OK</v>
      </c>
      <c r="N4567" t="str">
        <f t="shared" si="214"/>
        <v>1990s</v>
      </c>
      <c r="O4567" t="str">
        <f t="shared" si="215"/>
        <v>N/A</v>
      </c>
      <c r="P4567" t="str">
        <f>VLOOKUP(E4567,calculated_fields!$F$4:$G$6,2,FALSE)</f>
        <v>Economy</v>
      </c>
    </row>
    <row r="4568" spans="1:16">
      <c r="A4568" t="s">
        <v>6248</v>
      </c>
      <c r="B4568" t="s">
        <v>6208</v>
      </c>
      <c r="C4568" t="s">
        <v>130</v>
      </c>
      <c r="D4568">
        <v>2002</v>
      </c>
      <c r="E4568" t="s">
        <v>15</v>
      </c>
      <c r="F4568" t="s">
        <v>16</v>
      </c>
      <c r="G4568" t="s">
        <v>17</v>
      </c>
      <c r="H4568" t="s">
        <v>18</v>
      </c>
      <c r="I4568">
        <v>49.651000000000003</v>
      </c>
      <c r="J4568" t="s">
        <v>19</v>
      </c>
      <c r="K4568" t="s">
        <v>6249</v>
      </c>
      <c r="L4568" t="s">
        <v>21</v>
      </c>
      <c r="M4568" t="str">
        <f t="shared" si="213"/>
        <v>OK</v>
      </c>
      <c r="N4568" t="str">
        <f t="shared" si="214"/>
        <v>2000s</v>
      </c>
      <c r="O4568" t="str">
        <f t="shared" si="215"/>
        <v>Low</v>
      </c>
      <c r="P4568" t="str">
        <f>VLOOKUP(E4568,calculated_fields!$F$4:$G$6,2,FALSE)</f>
        <v>Health</v>
      </c>
    </row>
    <row r="4569" spans="1:16">
      <c r="A4569" t="s">
        <v>6250</v>
      </c>
      <c r="B4569" t="s">
        <v>6208</v>
      </c>
      <c r="C4569" t="s">
        <v>130</v>
      </c>
      <c r="D4569">
        <v>2002</v>
      </c>
      <c r="E4569" t="s">
        <v>23</v>
      </c>
      <c r="F4569" t="s">
        <v>24</v>
      </c>
      <c r="G4569" t="s">
        <v>25</v>
      </c>
      <c r="H4569" t="s">
        <v>26</v>
      </c>
      <c r="I4569">
        <v>34593779</v>
      </c>
      <c r="J4569" t="s">
        <v>27</v>
      </c>
      <c r="K4569" t="s">
        <v>6249</v>
      </c>
      <c r="L4569" t="s">
        <v>21</v>
      </c>
      <c r="M4569" t="str">
        <f t="shared" si="213"/>
        <v>OK</v>
      </c>
      <c r="N4569" t="str">
        <f t="shared" si="214"/>
        <v>2000s</v>
      </c>
      <c r="O4569" t="str">
        <f t="shared" si="215"/>
        <v>N/A</v>
      </c>
      <c r="P4569" t="str">
        <f>VLOOKUP(E4569,calculated_fields!$F$4:$G$6,2,FALSE)</f>
        <v>Demographics</v>
      </c>
    </row>
    <row r="4570" spans="1:16">
      <c r="A4570" t="s">
        <v>6251</v>
      </c>
      <c r="B4570" t="s">
        <v>6208</v>
      </c>
      <c r="C4570" t="s">
        <v>130</v>
      </c>
      <c r="D4570">
        <v>2002</v>
      </c>
      <c r="E4570" t="s">
        <v>29</v>
      </c>
      <c r="F4570" t="s">
        <v>30</v>
      </c>
      <c r="G4570" t="s">
        <v>31</v>
      </c>
      <c r="H4570" t="s">
        <v>32</v>
      </c>
      <c r="I4570">
        <v>899.07421109999996</v>
      </c>
      <c r="J4570" t="s">
        <v>33</v>
      </c>
      <c r="K4570" t="s">
        <v>6249</v>
      </c>
      <c r="L4570" t="s">
        <v>21</v>
      </c>
      <c r="M4570" t="str">
        <f t="shared" si="213"/>
        <v>OK</v>
      </c>
      <c r="N4570" t="str">
        <f t="shared" si="214"/>
        <v>2000s</v>
      </c>
      <c r="O4570" t="str">
        <f t="shared" si="215"/>
        <v>N/A</v>
      </c>
      <c r="P4570" t="str">
        <f>VLOOKUP(E4570,calculated_fields!$F$4:$G$6,2,FALSE)</f>
        <v>Economy</v>
      </c>
    </row>
    <row r="4571" spans="1:16">
      <c r="A4571" t="s">
        <v>6252</v>
      </c>
      <c r="B4571" t="s">
        <v>6208</v>
      </c>
      <c r="C4571" t="s">
        <v>130</v>
      </c>
      <c r="D4571">
        <v>2007</v>
      </c>
      <c r="E4571" t="s">
        <v>15</v>
      </c>
      <c r="F4571" t="s">
        <v>16</v>
      </c>
      <c r="G4571" t="s">
        <v>17</v>
      </c>
      <c r="H4571" t="s">
        <v>18</v>
      </c>
      <c r="I4571">
        <v>52.517000000000003</v>
      </c>
      <c r="J4571" t="s">
        <v>19</v>
      </c>
      <c r="K4571" t="s">
        <v>6253</v>
      </c>
      <c r="L4571" t="s">
        <v>21</v>
      </c>
      <c r="M4571" t="str">
        <f t="shared" si="213"/>
        <v>OK</v>
      </c>
      <c r="N4571" t="str">
        <f t="shared" si="214"/>
        <v>2000s</v>
      </c>
      <c r="O4571" t="str">
        <f t="shared" si="215"/>
        <v>Low</v>
      </c>
      <c r="P4571" t="str">
        <f>VLOOKUP(E4571,calculated_fields!$F$4:$G$6,2,FALSE)</f>
        <v>Health</v>
      </c>
    </row>
    <row r="4572" spans="1:16">
      <c r="A4572" t="s">
        <v>6254</v>
      </c>
      <c r="B4572" t="s">
        <v>6208</v>
      </c>
      <c r="C4572" t="s">
        <v>130</v>
      </c>
      <c r="D4572">
        <v>2007</v>
      </c>
      <c r="E4572" t="s">
        <v>23</v>
      </c>
      <c r="F4572" t="s">
        <v>24</v>
      </c>
      <c r="G4572" t="s">
        <v>25</v>
      </c>
      <c r="H4572" t="s">
        <v>26</v>
      </c>
      <c r="I4572">
        <v>38139640</v>
      </c>
      <c r="J4572" t="s">
        <v>27</v>
      </c>
      <c r="K4572" t="s">
        <v>6253</v>
      </c>
      <c r="L4572" t="s">
        <v>21</v>
      </c>
      <c r="M4572" t="str">
        <f t="shared" si="213"/>
        <v>OK</v>
      </c>
      <c r="N4572" t="str">
        <f t="shared" si="214"/>
        <v>2000s</v>
      </c>
      <c r="O4572" t="str">
        <f t="shared" si="215"/>
        <v>N/A</v>
      </c>
      <c r="P4572" t="str">
        <f>VLOOKUP(E4572,calculated_fields!$F$4:$G$6,2,FALSE)</f>
        <v>Demographics</v>
      </c>
    </row>
    <row r="4573" spans="1:16">
      <c r="A4573" t="s">
        <v>6255</v>
      </c>
      <c r="B4573" t="s">
        <v>6208</v>
      </c>
      <c r="C4573" t="s">
        <v>130</v>
      </c>
      <c r="D4573">
        <v>2007</v>
      </c>
      <c r="E4573" t="s">
        <v>29</v>
      </c>
      <c r="F4573" t="s">
        <v>30</v>
      </c>
      <c r="G4573" t="s">
        <v>31</v>
      </c>
      <c r="H4573" t="s">
        <v>32</v>
      </c>
      <c r="I4573">
        <v>1107.482182</v>
      </c>
      <c r="J4573" t="s">
        <v>33</v>
      </c>
      <c r="K4573" t="s">
        <v>6253</v>
      </c>
      <c r="L4573" t="s">
        <v>21</v>
      </c>
      <c r="M4573" t="str">
        <f t="shared" si="213"/>
        <v>OK</v>
      </c>
      <c r="N4573" t="str">
        <f t="shared" si="214"/>
        <v>2000s</v>
      </c>
      <c r="O4573" t="str">
        <f t="shared" si="215"/>
        <v>N/A</v>
      </c>
      <c r="P4573" t="str">
        <f>VLOOKUP(E4573,calculated_fields!$F$4:$G$6,2,FALSE)</f>
        <v>Economy</v>
      </c>
    </row>
    <row r="4574" spans="1:16">
      <c r="A4574" t="s">
        <v>6256</v>
      </c>
      <c r="B4574" t="s">
        <v>6257</v>
      </c>
      <c r="C4574" t="s">
        <v>14</v>
      </c>
      <c r="D4574">
        <v>1952</v>
      </c>
      <c r="E4574" t="s">
        <v>15</v>
      </c>
      <c r="F4574" t="s">
        <v>16</v>
      </c>
      <c r="G4574" t="s">
        <v>17</v>
      </c>
      <c r="H4574" t="s">
        <v>18</v>
      </c>
      <c r="I4574">
        <v>50.847999999999999</v>
      </c>
      <c r="J4574" t="s">
        <v>19</v>
      </c>
      <c r="K4574" t="s">
        <v>6258</v>
      </c>
      <c r="L4574" t="s">
        <v>21</v>
      </c>
      <c r="M4574" t="str">
        <f t="shared" si="213"/>
        <v>OK</v>
      </c>
      <c r="N4574" t="str">
        <f t="shared" si="214"/>
        <v>1950s</v>
      </c>
      <c r="O4574" t="str">
        <f t="shared" si="215"/>
        <v>Low</v>
      </c>
      <c r="P4574" t="str">
        <f>VLOOKUP(E4574,calculated_fields!$F$4:$G$6,2,FALSE)</f>
        <v>Health</v>
      </c>
    </row>
    <row r="4575" spans="1:16">
      <c r="A4575" t="s">
        <v>6259</v>
      </c>
      <c r="B4575" t="s">
        <v>6257</v>
      </c>
      <c r="C4575" t="s">
        <v>14</v>
      </c>
      <c r="D4575">
        <v>1952</v>
      </c>
      <c r="E4575" t="s">
        <v>23</v>
      </c>
      <c r="F4575" t="s">
        <v>24</v>
      </c>
      <c r="G4575" t="s">
        <v>25</v>
      </c>
      <c r="H4575" t="s">
        <v>26</v>
      </c>
      <c r="I4575">
        <v>21289402</v>
      </c>
      <c r="J4575" t="s">
        <v>27</v>
      </c>
      <c r="K4575" t="s">
        <v>6258</v>
      </c>
      <c r="L4575" t="s">
        <v>21</v>
      </c>
      <c r="M4575" t="str">
        <f t="shared" si="213"/>
        <v>OK</v>
      </c>
      <c r="N4575" t="str">
        <f t="shared" si="214"/>
        <v>1950s</v>
      </c>
      <c r="O4575" t="str">
        <f t="shared" si="215"/>
        <v>N/A</v>
      </c>
      <c r="P4575" t="str">
        <f>VLOOKUP(E4575,calculated_fields!$F$4:$G$6,2,FALSE)</f>
        <v>Demographics</v>
      </c>
    </row>
    <row r="4576" spans="1:16">
      <c r="A4576" t="s">
        <v>6260</v>
      </c>
      <c r="B4576" t="s">
        <v>6257</v>
      </c>
      <c r="C4576" t="s">
        <v>14</v>
      </c>
      <c r="D4576">
        <v>1952</v>
      </c>
      <c r="E4576" t="s">
        <v>29</v>
      </c>
      <c r="F4576" t="s">
        <v>30</v>
      </c>
      <c r="G4576" t="s">
        <v>31</v>
      </c>
      <c r="H4576" t="s">
        <v>32</v>
      </c>
      <c r="I4576">
        <v>757.79741769999998</v>
      </c>
      <c r="J4576" t="s">
        <v>33</v>
      </c>
      <c r="K4576" t="s">
        <v>6258</v>
      </c>
      <c r="L4576" t="s">
        <v>21</v>
      </c>
      <c r="M4576" t="str">
        <f t="shared" si="213"/>
        <v>OK</v>
      </c>
      <c r="N4576" t="str">
        <f t="shared" si="214"/>
        <v>1950s</v>
      </c>
      <c r="O4576" t="str">
        <f t="shared" si="215"/>
        <v>N/A</v>
      </c>
      <c r="P4576" t="str">
        <f>VLOOKUP(E4576,calculated_fields!$F$4:$G$6,2,FALSE)</f>
        <v>Economy</v>
      </c>
    </row>
    <row r="4577" spans="1:16">
      <c r="A4577" t="s">
        <v>6261</v>
      </c>
      <c r="B4577" t="s">
        <v>6257</v>
      </c>
      <c r="C4577" t="s">
        <v>14</v>
      </c>
      <c r="D4577">
        <v>1957</v>
      </c>
      <c r="E4577" t="s">
        <v>15</v>
      </c>
      <c r="F4577" t="s">
        <v>16</v>
      </c>
      <c r="G4577" t="s">
        <v>17</v>
      </c>
      <c r="H4577" t="s">
        <v>18</v>
      </c>
      <c r="I4577">
        <v>53.63</v>
      </c>
      <c r="J4577" t="s">
        <v>19</v>
      </c>
      <c r="K4577" t="s">
        <v>6262</v>
      </c>
      <c r="L4577" t="s">
        <v>21</v>
      </c>
      <c r="M4577" t="str">
        <f t="shared" si="213"/>
        <v>OK</v>
      </c>
      <c r="N4577" t="str">
        <f t="shared" si="214"/>
        <v>1950s</v>
      </c>
      <c r="O4577" t="str">
        <f t="shared" si="215"/>
        <v>Low</v>
      </c>
      <c r="P4577" t="str">
        <f>VLOOKUP(E4577,calculated_fields!$F$4:$G$6,2,FALSE)</f>
        <v>Health</v>
      </c>
    </row>
    <row r="4578" spans="1:16">
      <c r="A4578" t="s">
        <v>6263</v>
      </c>
      <c r="B4578" t="s">
        <v>6257</v>
      </c>
      <c r="C4578" t="s">
        <v>14</v>
      </c>
      <c r="D4578">
        <v>1957</v>
      </c>
      <c r="E4578" t="s">
        <v>23</v>
      </c>
      <c r="F4578" t="s">
        <v>24</v>
      </c>
      <c r="G4578" t="s">
        <v>25</v>
      </c>
      <c r="H4578" t="s">
        <v>26</v>
      </c>
      <c r="I4578">
        <v>25041917</v>
      </c>
      <c r="J4578" t="s">
        <v>27</v>
      </c>
      <c r="K4578" t="s">
        <v>6262</v>
      </c>
      <c r="L4578" t="s">
        <v>21</v>
      </c>
      <c r="M4578" t="str">
        <f t="shared" si="213"/>
        <v>OK</v>
      </c>
      <c r="N4578" t="str">
        <f t="shared" si="214"/>
        <v>1950s</v>
      </c>
      <c r="O4578" t="str">
        <f t="shared" si="215"/>
        <v>N/A</v>
      </c>
      <c r="P4578" t="str">
        <f>VLOOKUP(E4578,calculated_fields!$F$4:$G$6,2,FALSE)</f>
        <v>Demographics</v>
      </c>
    </row>
    <row r="4579" spans="1:16">
      <c r="A4579" t="s">
        <v>6264</v>
      </c>
      <c r="B4579" t="s">
        <v>6257</v>
      </c>
      <c r="C4579" t="s">
        <v>14</v>
      </c>
      <c r="D4579">
        <v>1957</v>
      </c>
      <c r="E4579" t="s">
        <v>29</v>
      </c>
      <c r="F4579" t="s">
        <v>30</v>
      </c>
      <c r="G4579" t="s">
        <v>31</v>
      </c>
      <c r="H4579" t="s">
        <v>32</v>
      </c>
      <c r="I4579">
        <v>793.57741479999902</v>
      </c>
      <c r="J4579" t="s">
        <v>33</v>
      </c>
      <c r="K4579" t="s">
        <v>6262</v>
      </c>
      <c r="L4579" t="s">
        <v>21</v>
      </c>
      <c r="M4579" t="str">
        <f t="shared" si="213"/>
        <v>OK</v>
      </c>
      <c r="N4579" t="str">
        <f t="shared" si="214"/>
        <v>1950s</v>
      </c>
      <c r="O4579" t="str">
        <f t="shared" si="215"/>
        <v>N/A</v>
      </c>
      <c r="P4579" t="str">
        <f>VLOOKUP(E4579,calculated_fields!$F$4:$G$6,2,FALSE)</f>
        <v>Economy</v>
      </c>
    </row>
    <row r="4580" spans="1:16">
      <c r="A4580" t="s">
        <v>6265</v>
      </c>
      <c r="B4580" t="s">
        <v>6257</v>
      </c>
      <c r="C4580" t="s">
        <v>14</v>
      </c>
      <c r="D4580">
        <v>1962</v>
      </c>
      <c r="E4580" t="s">
        <v>15</v>
      </c>
      <c r="F4580" t="s">
        <v>16</v>
      </c>
      <c r="G4580" t="s">
        <v>17</v>
      </c>
      <c r="H4580" t="s">
        <v>18</v>
      </c>
      <c r="I4580">
        <v>56.061</v>
      </c>
      <c r="J4580" t="s">
        <v>19</v>
      </c>
      <c r="K4580" t="s">
        <v>6266</v>
      </c>
      <c r="L4580" t="s">
        <v>21</v>
      </c>
      <c r="M4580" t="str">
        <f t="shared" si="213"/>
        <v>OK</v>
      </c>
      <c r="N4580" t="str">
        <f t="shared" si="214"/>
        <v>1960s</v>
      </c>
      <c r="O4580" t="str">
        <f t="shared" si="215"/>
        <v>Medium</v>
      </c>
      <c r="P4580" t="str">
        <f>VLOOKUP(E4580,calculated_fields!$F$4:$G$6,2,FALSE)</f>
        <v>Health</v>
      </c>
    </row>
    <row r="4581" spans="1:16">
      <c r="A4581" t="s">
        <v>6267</v>
      </c>
      <c r="B4581" t="s">
        <v>6257</v>
      </c>
      <c r="C4581" t="s">
        <v>14</v>
      </c>
      <c r="D4581">
        <v>1962</v>
      </c>
      <c r="E4581" t="s">
        <v>23</v>
      </c>
      <c r="F4581" t="s">
        <v>24</v>
      </c>
      <c r="G4581" t="s">
        <v>25</v>
      </c>
      <c r="H4581" t="s">
        <v>26</v>
      </c>
      <c r="I4581">
        <v>29263397</v>
      </c>
      <c r="J4581" t="s">
        <v>27</v>
      </c>
      <c r="K4581" t="s">
        <v>6266</v>
      </c>
      <c r="L4581" t="s">
        <v>21</v>
      </c>
      <c r="M4581" t="str">
        <f t="shared" si="213"/>
        <v>OK</v>
      </c>
      <c r="N4581" t="str">
        <f t="shared" si="214"/>
        <v>1960s</v>
      </c>
      <c r="O4581" t="str">
        <f t="shared" si="215"/>
        <v>N/A</v>
      </c>
      <c r="P4581" t="str">
        <f>VLOOKUP(E4581,calculated_fields!$F$4:$G$6,2,FALSE)</f>
        <v>Demographics</v>
      </c>
    </row>
    <row r="4582" spans="1:16">
      <c r="A4582" t="s">
        <v>6268</v>
      </c>
      <c r="B4582" t="s">
        <v>6257</v>
      </c>
      <c r="C4582" t="s">
        <v>14</v>
      </c>
      <c r="D4582">
        <v>1962</v>
      </c>
      <c r="E4582" t="s">
        <v>29</v>
      </c>
      <c r="F4582" t="s">
        <v>30</v>
      </c>
      <c r="G4582" t="s">
        <v>31</v>
      </c>
      <c r="H4582" t="s">
        <v>32</v>
      </c>
      <c r="I4582">
        <v>1002.199172</v>
      </c>
      <c r="J4582" t="s">
        <v>33</v>
      </c>
      <c r="K4582" t="s">
        <v>6266</v>
      </c>
      <c r="L4582" t="s">
        <v>21</v>
      </c>
      <c r="M4582" t="str">
        <f t="shared" si="213"/>
        <v>OK</v>
      </c>
      <c r="N4582" t="str">
        <f t="shared" si="214"/>
        <v>1960s</v>
      </c>
      <c r="O4582" t="str">
        <f t="shared" si="215"/>
        <v>N/A</v>
      </c>
      <c r="P4582" t="str">
        <f>VLOOKUP(E4582,calculated_fields!$F$4:$G$6,2,FALSE)</f>
        <v>Economy</v>
      </c>
    </row>
    <row r="4583" spans="1:16">
      <c r="A4583" t="s">
        <v>6269</v>
      </c>
      <c r="B4583" t="s">
        <v>6257</v>
      </c>
      <c r="C4583" t="s">
        <v>14</v>
      </c>
      <c r="D4583">
        <v>1967</v>
      </c>
      <c r="E4583" t="s">
        <v>15</v>
      </c>
      <c r="F4583" t="s">
        <v>16</v>
      </c>
      <c r="G4583" t="s">
        <v>17</v>
      </c>
      <c r="H4583" t="s">
        <v>18</v>
      </c>
      <c r="I4583">
        <v>58.284999999999997</v>
      </c>
      <c r="J4583" t="s">
        <v>19</v>
      </c>
      <c r="K4583" t="s">
        <v>6270</v>
      </c>
      <c r="L4583" t="s">
        <v>21</v>
      </c>
      <c r="M4583" t="str">
        <f t="shared" si="213"/>
        <v>OK</v>
      </c>
      <c r="N4583" t="str">
        <f t="shared" si="214"/>
        <v>1960s</v>
      </c>
      <c r="O4583" t="str">
        <f t="shared" si="215"/>
        <v>Medium</v>
      </c>
      <c r="P4583" t="str">
        <f>VLOOKUP(E4583,calculated_fields!$F$4:$G$6,2,FALSE)</f>
        <v>Health</v>
      </c>
    </row>
    <row r="4584" spans="1:16">
      <c r="A4584" t="s">
        <v>6271</v>
      </c>
      <c r="B4584" t="s">
        <v>6257</v>
      </c>
      <c r="C4584" t="s">
        <v>14</v>
      </c>
      <c r="D4584">
        <v>1967</v>
      </c>
      <c r="E4584" t="s">
        <v>23</v>
      </c>
      <c r="F4584" t="s">
        <v>24</v>
      </c>
      <c r="G4584" t="s">
        <v>25</v>
      </c>
      <c r="H4584" t="s">
        <v>26</v>
      </c>
      <c r="I4584">
        <v>34024249</v>
      </c>
      <c r="J4584" t="s">
        <v>27</v>
      </c>
      <c r="K4584" t="s">
        <v>6270</v>
      </c>
      <c r="L4584" t="s">
        <v>21</v>
      </c>
      <c r="M4584" t="str">
        <f t="shared" si="213"/>
        <v>OK</v>
      </c>
      <c r="N4584" t="str">
        <f t="shared" si="214"/>
        <v>1960s</v>
      </c>
      <c r="O4584" t="str">
        <f t="shared" si="215"/>
        <v>N/A</v>
      </c>
      <c r="P4584" t="str">
        <f>VLOOKUP(E4584,calculated_fields!$F$4:$G$6,2,FALSE)</f>
        <v>Demographics</v>
      </c>
    </row>
    <row r="4585" spans="1:16">
      <c r="A4585" t="s">
        <v>6272</v>
      </c>
      <c r="B4585" t="s">
        <v>6257</v>
      </c>
      <c r="C4585" t="s">
        <v>14</v>
      </c>
      <c r="D4585">
        <v>1967</v>
      </c>
      <c r="E4585" t="s">
        <v>29</v>
      </c>
      <c r="F4585" t="s">
        <v>30</v>
      </c>
      <c r="G4585" t="s">
        <v>31</v>
      </c>
      <c r="H4585" t="s">
        <v>32</v>
      </c>
      <c r="I4585">
        <v>1295.46066</v>
      </c>
      <c r="J4585" t="s">
        <v>33</v>
      </c>
      <c r="K4585" t="s">
        <v>6270</v>
      </c>
      <c r="L4585" t="s">
        <v>21</v>
      </c>
      <c r="M4585" t="str">
        <f t="shared" si="213"/>
        <v>OK</v>
      </c>
      <c r="N4585" t="str">
        <f t="shared" si="214"/>
        <v>1960s</v>
      </c>
      <c r="O4585" t="str">
        <f t="shared" si="215"/>
        <v>N/A</v>
      </c>
      <c r="P4585" t="str">
        <f>VLOOKUP(E4585,calculated_fields!$F$4:$G$6,2,FALSE)</f>
        <v>Economy</v>
      </c>
    </row>
    <row r="4586" spans="1:16">
      <c r="A4586" t="s">
        <v>6273</v>
      </c>
      <c r="B4586" t="s">
        <v>6257</v>
      </c>
      <c r="C4586" t="s">
        <v>14</v>
      </c>
      <c r="D4586">
        <v>1972</v>
      </c>
      <c r="E4586" t="s">
        <v>15</v>
      </c>
      <c r="F4586" t="s">
        <v>16</v>
      </c>
      <c r="G4586" t="s">
        <v>17</v>
      </c>
      <c r="H4586" t="s">
        <v>18</v>
      </c>
      <c r="I4586">
        <v>60.405000000000001</v>
      </c>
      <c r="J4586" t="s">
        <v>19</v>
      </c>
      <c r="K4586" t="s">
        <v>6274</v>
      </c>
      <c r="L4586" t="s">
        <v>21</v>
      </c>
      <c r="M4586" t="str">
        <f t="shared" si="213"/>
        <v>OK</v>
      </c>
      <c r="N4586" t="str">
        <f t="shared" si="214"/>
        <v>1970s</v>
      </c>
      <c r="O4586" t="str">
        <f t="shared" si="215"/>
        <v>Medium</v>
      </c>
      <c r="P4586" t="str">
        <f>VLOOKUP(E4586,calculated_fields!$F$4:$G$6,2,FALSE)</f>
        <v>Health</v>
      </c>
    </row>
    <row r="4587" spans="1:16">
      <c r="A4587" t="s">
        <v>6275</v>
      </c>
      <c r="B4587" t="s">
        <v>6257</v>
      </c>
      <c r="C4587" t="s">
        <v>14</v>
      </c>
      <c r="D4587">
        <v>1972</v>
      </c>
      <c r="E4587" t="s">
        <v>23</v>
      </c>
      <c r="F4587" t="s">
        <v>24</v>
      </c>
      <c r="G4587" t="s">
        <v>25</v>
      </c>
      <c r="H4587" t="s">
        <v>26</v>
      </c>
      <c r="I4587">
        <v>39276153</v>
      </c>
      <c r="J4587" t="s">
        <v>27</v>
      </c>
      <c r="K4587" t="s">
        <v>6274</v>
      </c>
      <c r="L4587" t="s">
        <v>21</v>
      </c>
      <c r="M4587" t="str">
        <f t="shared" si="213"/>
        <v>OK</v>
      </c>
      <c r="N4587" t="str">
        <f t="shared" si="214"/>
        <v>1970s</v>
      </c>
      <c r="O4587" t="str">
        <f t="shared" si="215"/>
        <v>N/A</v>
      </c>
      <c r="P4587" t="str">
        <f>VLOOKUP(E4587,calculated_fields!$F$4:$G$6,2,FALSE)</f>
        <v>Demographics</v>
      </c>
    </row>
    <row r="4588" spans="1:16">
      <c r="A4588" t="s">
        <v>6276</v>
      </c>
      <c r="B4588" t="s">
        <v>6257</v>
      </c>
      <c r="C4588" t="s">
        <v>14</v>
      </c>
      <c r="D4588">
        <v>1972</v>
      </c>
      <c r="E4588" t="s">
        <v>29</v>
      </c>
      <c r="F4588" t="s">
        <v>30</v>
      </c>
      <c r="G4588" t="s">
        <v>31</v>
      </c>
      <c r="H4588" t="s">
        <v>32</v>
      </c>
      <c r="I4588">
        <v>1524.3589360000001</v>
      </c>
      <c r="J4588" t="s">
        <v>33</v>
      </c>
      <c r="K4588" t="s">
        <v>6274</v>
      </c>
      <c r="L4588" t="s">
        <v>21</v>
      </c>
      <c r="M4588" t="str">
        <f t="shared" si="213"/>
        <v>OK</v>
      </c>
      <c r="N4588" t="str">
        <f t="shared" si="214"/>
        <v>1970s</v>
      </c>
      <c r="O4588" t="str">
        <f t="shared" si="215"/>
        <v>N/A</v>
      </c>
      <c r="P4588" t="str">
        <f>VLOOKUP(E4588,calculated_fields!$F$4:$G$6,2,FALSE)</f>
        <v>Economy</v>
      </c>
    </row>
    <row r="4589" spans="1:16">
      <c r="A4589" t="s">
        <v>6277</v>
      </c>
      <c r="B4589" t="s">
        <v>6257</v>
      </c>
      <c r="C4589" t="s">
        <v>14</v>
      </c>
      <c r="D4589">
        <v>1977</v>
      </c>
      <c r="E4589" t="s">
        <v>15</v>
      </c>
      <c r="F4589" t="s">
        <v>16</v>
      </c>
      <c r="G4589" t="s">
        <v>17</v>
      </c>
      <c r="H4589" t="s">
        <v>18</v>
      </c>
      <c r="I4589">
        <v>62.494</v>
      </c>
      <c r="J4589" t="s">
        <v>19</v>
      </c>
      <c r="K4589" t="s">
        <v>6278</v>
      </c>
      <c r="L4589" t="s">
        <v>21</v>
      </c>
      <c r="M4589" t="str">
        <f t="shared" si="213"/>
        <v>OK</v>
      </c>
      <c r="N4589" t="str">
        <f t="shared" si="214"/>
        <v>1970s</v>
      </c>
      <c r="O4589" t="str">
        <f t="shared" si="215"/>
        <v>Medium</v>
      </c>
      <c r="P4589" t="str">
        <f>VLOOKUP(E4589,calculated_fields!$F$4:$G$6,2,FALSE)</f>
        <v>Health</v>
      </c>
    </row>
    <row r="4590" spans="1:16">
      <c r="A4590" t="s">
        <v>6279</v>
      </c>
      <c r="B4590" t="s">
        <v>6257</v>
      </c>
      <c r="C4590" t="s">
        <v>14</v>
      </c>
      <c r="D4590">
        <v>1977</v>
      </c>
      <c r="E4590" t="s">
        <v>23</v>
      </c>
      <c r="F4590" t="s">
        <v>24</v>
      </c>
      <c r="G4590" t="s">
        <v>25</v>
      </c>
      <c r="H4590" t="s">
        <v>26</v>
      </c>
      <c r="I4590">
        <v>44148285</v>
      </c>
      <c r="J4590" t="s">
        <v>27</v>
      </c>
      <c r="K4590" t="s">
        <v>6278</v>
      </c>
      <c r="L4590" t="s">
        <v>21</v>
      </c>
      <c r="M4590" t="str">
        <f t="shared" si="213"/>
        <v>OK</v>
      </c>
      <c r="N4590" t="str">
        <f t="shared" si="214"/>
        <v>1970s</v>
      </c>
      <c r="O4590" t="str">
        <f t="shared" si="215"/>
        <v>N/A</v>
      </c>
      <c r="P4590" t="str">
        <f>VLOOKUP(E4590,calculated_fields!$F$4:$G$6,2,FALSE)</f>
        <v>Demographics</v>
      </c>
    </row>
    <row r="4591" spans="1:16">
      <c r="A4591" t="s">
        <v>6280</v>
      </c>
      <c r="B4591" t="s">
        <v>6257</v>
      </c>
      <c r="C4591" t="s">
        <v>14</v>
      </c>
      <c r="D4591">
        <v>1977</v>
      </c>
      <c r="E4591" t="s">
        <v>29</v>
      </c>
      <c r="F4591" t="s">
        <v>30</v>
      </c>
      <c r="G4591" t="s">
        <v>31</v>
      </c>
      <c r="H4591" t="s">
        <v>32</v>
      </c>
      <c r="I4591">
        <v>1961.224635</v>
      </c>
      <c r="J4591" t="s">
        <v>33</v>
      </c>
      <c r="K4591" t="s">
        <v>6278</v>
      </c>
      <c r="L4591" t="s">
        <v>21</v>
      </c>
      <c r="M4591" t="str">
        <f t="shared" si="213"/>
        <v>OK</v>
      </c>
      <c r="N4591" t="str">
        <f t="shared" si="214"/>
        <v>1970s</v>
      </c>
      <c r="O4591" t="str">
        <f t="shared" si="215"/>
        <v>N/A</v>
      </c>
      <c r="P4591" t="str">
        <f>VLOOKUP(E4591,calculated_fields!$F$4:$G$6,2,FALSE)</f>
        <v>Economy</v>
      </c>
    </row>
    <row r="4592" spans="1:16">
      <c r="A4592" t="s">
        <v>6281</v>
      </c>
      <c r="B4592" t="s">
        <v>6257</v>
      </c>
      <c r="C4592" t="s">
        <v>14</v>
      </c>
      <c r="D4592">
        <v>1982</v>
      </c>
      <c r="E4592" t="s">
        <v>15</v>
      </c>
      <c r="F4592" t="s">
        <v>16</v>
      </c>
      <c r="G4592" t="s">
        <v>17</v>
      </c>
      <c r="H4592" t="s">
        <v>18</v>
      </c>
      <c r="I4592">
        <v>64.596999999999994</v>
      </c>
      <c r="J4592" t="s">
        <v>19</v>
      </c>
      <c r="K4592" t="s">
        <v>6282</v>
      </c>
      <c r="L4592" t="s">
        <v>21</v>
      </c>
      <c r="M4592" t="str">
        <f t="shared" si="213"/>
        <v>OK</v>
      </c>
      <c r="N4592" t="str">
        <f t="shared" si="214"/>
        <v>1980s</v>
      </c>
      <c r="O4592" t="str">
        <f t="shared" si="215"/>
        <v>Medium</v>
      </c>
      <c r="P4592" t="str">
        <f>VLOOKUP(E4592,calculated_fields!$F$4:$G$6,2,FALSE)</f>
        <v>Health</v>
      </c>
    </row>
    <row r="4593" spans="1:16">
      <c r="A4593" t="s">
        <v>6283</v>
      </c>
      <c r="B4593" t="s">
        <v>6257</v>
      </c>
      <c r="C4593" t="s">
        <v>14</v>
      </c>
      <c r="D4593">
        <v>1982</v>
      </c>
      <c r="E4593" t="s">
        <v>23</v>
      </c>
      <c r="F4593" t="s">
        <v>24</v>
      </c>
      <c r="G4593" t="s">
        <v>25</v>
      </c>
      <c r="H4593" t="s">
        <v>26</v>
      </c>
      <c r="I4593">
        <v>48827160</v>
      </c>
      <c r="J4593" t="s">
        <v>27</v>
      </c>
      <c r="K4593" t="s">
        <v>6282</v>
      </c>
      <c r="L4593" t="s">
        <v>21</v>
      </c>
      <c r="M4593" t="str">
        <f t="shared" si="213"/>
        <v>OK</v>
      </c>
      <c r="N4593" t="str">
        <f t="shared" si="214"/>
        <v>1980s</v>
      </c>
      <c r="O4593" t="str">
        <f t="shared" si="215"/>
        <v>N/A</v>
      </c>
      <c r="P4593" t="str">
        <f>VLOOKUP(E4593,calculated_fields!$F$4:$G$6,2,FALSE)</f>
        <v>Demographics</v>
      </c>
    </row>
    <row r="4594" spans="1:16">
      <c r="A4594" t="s">
        <v>6284</v>
      </c>
      <c r="B4594" t="s">
        <v>6257</v>
      </c>
      <c r="C4594" t="s">
        <v>14</v>
      </c>
      <c r="D4594">
        <v>1982</v>
      </c>
      <c r="E4594" t="s">
        <v>29</v>
      </c>
      <c r="F4594" t="s">
        <v>30</v>
      </c>
      <c r="G4594" t="s">
        <v>31</v>
      </c>
      <c r="H4594" t="s">
        <v>32</v>
      </c>
      <c r="I4594">
        <v>2393.2197809999998</v>
      </c>
      <c r="J4594" t="s">
        <v>33</v>
      </c>
      <c r="K4594" t="s">
        <v>6282</v>
      </c>
      <c r="L4594" t="s">
        <v>21</v>
      </c>
      <c r="M4594" t="str">
        <f t="shared" si="213"/>
        <v>OK</v>
      </c>
      <c r="N4594" t="str">
        <f t="shared" si="214"/>
        <v>1980s</v>
      </c>
      <c r="O4594" t="str">
        <f t="shared" si="215"/>
        <v>N/A</v>
      </c>
      <c r="P4594" t="str">
        <f>VLOOKUP(E4594,calculated_fields!$F$4:$G$6,2,FALSE)</f>
        <v>Economy</v>
      </c>
    </row>
    <row r="4595" spans="1:16">
      <c r="A4595" t="s">
        <v>6285</v>
      </c>
      <c r="B4595" t="s">
        <v>6257</v>
      </c>
      <c r="C4595" t="s">
        <v>14</v>
      </c>
      <c r="D4595">
        <v>1987</v>
      </c>
      <c r="E4595" t="s">
        <v>15</v>
      </c>
      <c r="F4595" t="s">
        <v>16</v>
      </c>
      <c r="G4595" t="s">
        <v>17</v>
      </c>
      <c r="H4595" t="s">
        <v>18</v>
      </c>
      <c r="I4595">
        <v>66.084000000000003</v>
      </c>
      <c r="J4595" t="s">
        <v>19</v>
      </c>
      <c r="K4595" t="s">
        <v>6286</v>
      </c>
      <c r="L4595" t="s">
        <v>21</v>
      </c>
      <c r="M4595" t="str">
        <f t="shared" si="213"/>
        <v>OK</v>
      </c>
      <c r="N4595" t="str">
        <f t="shared" si="214"/>
        <v>1980s</v>
      </c>
      <c r="O4595" t="str">
        <f t="shared" si="215"/>
        <v>Medium</v>
      </c>
      <c r="P4595" t="str">
        <f>VLOOKUP(E4595,calculated_fields!$F$4:$G$6,2,FALSE)</f>
        <v>Health</v>
      </c>
    </row>
    <row r="4596" spans="1:16">
      <c r="A4596" t="s">
        <v>6287</v>
      </c>
      <c r="B4596" t="s">
        <v>6257</v>
      </c>
      <c r="C4596" t="s">
        <v>14</v>
      </c>
      <c r="D4596">
        <v>1987</v>
      </c>
      <c r="E4596" t="s">
        <v>23</v>
      </c>
      <c r="F4596" t="s">
        <v>24</v>
      </c>
      <c r="G4596" t="s">
        <v>25</v>
      </c>
      <c r="H4596" t="s">
        <v>26</v>
      </c>
      <c r="I4596">
        <v>52910342</v>
      </c>
      <c r="J4596" t="s">
        <v>27</v>
      </c>
      <c r="K4596" t="s">
        <v>6286</v>
      </c>
      <c r="L4596" t="s">
        <v>21</v>
      </c>
      <c r="M4596" t="str">
        <f t="shared" si="213"/>
        <v>OK</v>
      </c>
      <c r="N4596" t="str">
        <f t="shared" si="214"/>
        <v>1980s</v>
      </c>
      <c r="O4596" t="str">
        <f t="shared" si="215"/>
        <v>N/A</v>
      </c>
      <c r="P4596" t="str">
        <f>VLOOKUP(E4596,calculated_fields!$F$4:$G$6,2,FALSE)</f>
        <v>Demographics</v>
      </c>
    </row>
    <row r="4597" spans="1:16">
      <c r="A4597" t="s">
        <v>6288</v>
      </c>
      <c r="B4597" t="s">
        <v>6257</v>
      </c>
      <c r="C4597" t="s">
        <v>14</v>
      </c>
      <c r="D4597">
        <v>1987</v>
      </c>
      <c r="E4597" t="s">
        <v>29</v>
      </c>
      <c r="F4597" t="s">
        <v>30</v>
      </c>
      <c r="G4597" t="s">
        <v>31</v>
      </c>
      <c r="H4597" t="s">
        <v>32</v>
      </c>
      <c r="I4597">
        <v>2982.653773</v>
      </c>
      <c r="J4597" t="s">
        <v>33</v>
      </c>
      <c r="K4597" t="s">
        <v>6286</v>
      </c>
      <c r="L4597" t="s">
        <v>21</v>
      </c>
      <c r="M4597" t="str">
        <f t="shared" si="213"/>
        <v>OK</v>
      </c>
      <c r="N4597" t="str">
        <f t="shared" si="214"/>
        <v>1980s</v>
      </c>
      <c r="O4597" t="str">
        <f t="shared" si="215"/>
        <v>N/A</v>
      </c>
      <c r="P4597" t="str">
        <f>VLOOKUP(E4597,calculated_fields!$F$4:$G$6,2,FALSE)</f>
        <v>Economy</v>
      </c>
    </row>
    <row r="4598" spans="1:16">
      <c r="A4598" t="s">
        <v>6289</v>
      </c>
      <c r="B4598" t="s">
        <v>6257</v>
      </c>
      <c r="C4598" t="s">
        <v>14</v>
      </c>
      <c r="D4598">
        <v>1992</v>
      </c>
      <c r="E4598" t="s">
        <v>15</v>
      </c>
      <c r="F4598" t="s">
        <v>16</v>
      </c>
      <c r="G4598" t="s">
        <v>17</v>
      </c>
      <c r="H4598" t="s">
        <v>18</v>
      </c>
      <c r="I4598">
        <v>67.298000000000002</v>
      </c>
      <c r="J4598" t="s">
        <v>19</v>
      </c>
      <c r="K4598" t="s">
        <v>6290</v>
      </c>
      <c r="L4598" t="s">
        <v>21</v>
      </c>
      <c r="M4598" t="str">
        <f t="shared" si="213"/>
        <v>OK</v>
      </c>
      <c r="N4598" t="str">
        <f t="shared" si="214"/>
        <v>1990s</v>
      </c>
      <c r="O4598" t="str">
        <f t="shared" si="215"/>
        <v>Medium</v>
      </c>
      <c r="P4598" t="str">
        <f>VLOOKUP(E4598,calculated_fields!$F$4:$G$6,2,FALSE)</f>
        <v>Health</v>
      </c>
    </row>
    <row r="4599" spans="1:16">
      <c r="A4599" t="s">
        <v>6291</v>
      </c>
      <c r="B4599" t="s">
        <v>6257</v>
      </c>
      <c r="C4599" t="s">
        <v>14</v>
      </c>
      <c r="D4599">
        <v>1992</v>
      </c>
      <c r="E4599" t="s">
        <v>23</v>
      </c>
      <c r="F4599" t="s">
        <v>24</v>
      </c>
      <c r="G4599" t="s">
        <v>25</v>
      </c>
      <c r="H4599" t="s">
        <v>26</v>
      </c>
      <c r="I4599">
        <v>56667095</v>
      </c>
      <c r="J4599" t="s">
        <v>27</v>
      </c>
      <c r="K4599" t="s">
        <v>6290</v>
      </c>
      <c r="L4599" t="s">
        <v>21</v>
      </c>
      <c r="M4599" t="str">
        <f t="shared" si="213"/>
        <v>OK</v>
      </c>
      <c r="N4599" t="str">
        <f t="shared" si="214"/>
        <v>1990s</v>
      </c>
      <c r="O4599" t="str">
        <f t="shared" si="215"/>
        <v>N/A</v>
      </c>
      <c r="P4599" t="str">
        <f>VLOOKUP(E4599,calculated_fields!$F$4:$G$6,2,FALSE)</f>
        <v>Demographics</v>
      </c>
    </row>
    <row r="4600" spans="1:16">
      <c r="A4600" t="s">
        <v>6292</v>
      </c>
      <c r="B4600" t="s">
        <v>6257</v>
      </c>
      <c r="C4600" t="s">
        <v>14</v>
      </c>
      <c r="D4600">
        <v>1992</v>
      </c>
      <c r="E4600" t="s">
        <v>29</v>
      </c>
      <c r="F4600" t="s">
        <v>30</v>
      </c>
      <c r="G4600" t="s">
        <v>31</v>
      </c>
      <c r="H4600" t="s">
        <v>32</v>
      </c>
      <c r="I4600">
        <v>4616.8965449999996</v>
      </c>
      <c r="J4600" t="s">
        <v>33</v>
      </c>
      <c r="K4600" t="s">
        <v>6290</v>
      </c>
      <c r="L4600" t="s">
        <v>21</v>
      </c>
      <c r="M4600" t="str">
        <f t="shared" si="213"/>
        <v>OK</v>
      </c>
      <c r="N4600" t="str">
        <f t="shared" si="214"/>
        <v>1990s</v>
      </c>
      <c r="O4600" t="str">
        <f t="shared" si="215"/>
        <v>N/A</v>
      </c>
      <c r="P4600" t="str">
        <f>VLOOKUP(E4600,calculated_fields!$F$4:$G$6,2,FALSE)</f>
        <v>Economy</v>
      </c>
    </row>
    <row r="4601" spans="1:16">
      <c r="A4601" t="s">
        <v>6293</v>
      </c>
      <c r="B4601" t="s">
        <v>6257</v>
      </c>
      <c r="C4601" t="s">
        <v>14</v>
      </c>
      <c r="D4601">
        <v>1997</v>
      </c>
      <c r="E4601" t="s">
        <v>15</v>
      </c>
      <c r="F4601" t="s">
        <v>16</v>
      </c>
      <c r="G4601" t="s">
        <v>17</v>
      </c>
      <c r="H4601" t="s">
        <v>18</v>
      </c>
      <c r="I4601">
        <v>67.521000000000001</v>
      </c>
      <c r="J4601" t="s">
        <v>19</v>
      </c>
      <c r="K4601" t="s">
        <v>6294</v>
      </c>
      <c r="L4601" t="s">
        <v>21</v>
      </c>
      <c r="M4601" t="str">
        <f t="shared" si="213"/>
        <v>OK</v>
      </c>
      <c r="N4601" t="str">
        <f t="shared" si="214"/>
        <v>1990s</v>
      </c>
      <c r="O4601" t="str">
        <f t="shared" si="215"/>
        <v>Medium</v>
      </c>
      <c r="P4601" t="str">
        <f>VLOOKUP(E4601,calculated_fields!$F$4:$G$6,2,FALSE)</f>
        <v>Health</v>
      </c>
    </row>
    <row r="4602" spans="1:16">
      <c r="A4602" t="s">
        <v>6295</v>
      </c>
      <c r="B4602" t="s">
        <v>6257</v>
      </c>
      <c r="C4602" t="s">
        <v>14</v>
      </c>
      <c r="D4602">
        <v>1997</v>
      </c>
      <c r="E4602" t="s">
        <v>23</v>
      </c>
      <c r="F4602" t="s">
        <v>24</v>
      </c>
      <c r="G4602" t="s">
        <v>25</v>
      </c>
      <c r="H4602" t="s">
        <v>26</v>
      </c>
      <c r="I4602">
        <v>60216677</v>
      </c>
      <c r="J4602" t="s">
        <v>27</v>
      </c>
      <c r="K4602" t="s">
        <v>6294</v>
      </c>
      <c r="L4602" t="s">
        <v>21</v>
      </c>
      <c r="M4602" t="str">
        <f t="shared" si="213"/>
        <v>OK</v>
      </c>
      <c r="N4602" t="str">
        <f t="shared" si="214"/>
        <v>1990s</v>
      </c>
      <c r="O4602" t="str">
        <f t="shared" si="215"/>
        <v>N/A</v>
      </c>
      <c r="P4602" t="str">
        <f>VLOOKUP(E4602,calculated_fields!$F$4:$G$6,2,FALSE)</f>
        <v>Demographics</v>
      </c>
    </row>
    <row r="4603" spans="1:16">
      <c r="A4603" t="s">
        <v>6296</v>
      </c>
      <c r="B4603" t="s">
        <v>6257</v>
      </c>
      <c r="C4603" t="s">
        <v>14</v>
      </c>
      <c r="D4603">
        <v>1997</v>
      </c>
      <c r="E4603" t="s">
        <v>29</v>
      </c>
      <c r="F4603" t="s">
        <v>30</v>
      </c>
      <c r="G4603" t="s">
        <v>31</v>
      </c>
      <c r="H4603" t="s">
        <v>32</v>
      </c>
      <c r="I4603">
        <v>5852.625497</v>
      </c>
      <c r="J4603" t="s">
        <v>33</v>
      </c>
      <c r="K4603" t="s">
        <v>6294</v>
      </c>
      <c r="L4603" t="s">
        <v>21</v>
      </c>
      <c r="M4603" t="str">
        <f t="shared" si="213"/>
        <v>OK</v>
      </c>
      <c r="N4603" t="str">
        <f t="shared" si="214"/>
        <v>1990s</v>
      </c>
      <c r="O4603" t="str">
        <f t="shared" si="215"/>
        <v>N/A</v>
      </c>
      <c r="P4603" t="str">
        <f>VLOOKUP(E4603,calculated_fields!$F$4:$G$6,2,FALSE)</f>
        <v>Economy</v>
      </c>
    </row>
    <row r="4604" spans="1:16">
      <c r="A4604" t="s">
        <v>6297</v>
      </c>
      <c r="B4604" t="s">
        <v>6257</v>
      </c>
      <c r="C4604" t="s">
        <v>14</v>
      </c>
      <c r="D4604">
        <v>2002</v>
      </c>
      <c r="E4604" t="s">
        <v>15</v>
      </c>
      <c r="F4604" t="s">
        <v>16</v>
      </c>
      <c r="G4604" t="s">
        <v>17</v>
      </c>
      <c r="H4604" t="s">
        <v>18</v>
      </c>
      <c r="I4604">
        <v>68.563999999999993</v>
      </c>
      <c r="J4604" t="s">
        <v>19</v>
      </c>
      <c r="K4604" t="s">
        <v>6298</v>
      </c>
      <c r="L4604" t="s">
        <v>21</v>
      </c>
      <c r="M4604" t="str">
        <f t="shared" si="213"/>
        <v>OK</v>
      </c>
      <c r="N4604" t="str">
        <f t="shared" si="214"/>
        <v>2000s</v>
      </c>
      <c r="O4604" t="str">
        <f t="shared" si="215"/>
        <v>Medium</v>
      </c>
      <c r="P4604" t="str">
        <f>VLOOKUP(E4604,calculated_fields!$F$4:$G$6,2,FALSE)</f>
        <v>Health</v>
      </c>
    </row>
    <row r="4605" spans="1:16">
      <c r="A4605" t="s">
        <v>6299</v>
      </c>
      <c r="B4605" t="s">
        <v>6257</v>
      </c>
      <c r="C4605" t="s">
        <v>14</v>
      </c>
      <c r="D4605">
        <v>2002</v>
      </c>
      <c r="E4605" t="s">
        <v>23</v>
      </c>
      <c r="F4605" t="s">
        <v>24</v>
      </c>
      <c r="G4605" t="s">
        <v>25</v>
      </c>
      <c r="H4605" t="s">
        <v>26</v>
      </c>
      <c r="I4605">
        <v>62806748</v>
      </c>
      <c r="J4605" t="s">
        <v>27</v>
      </c>
      <c r="K4605" t="s">
        <v>6298</v>
      </c>
      <c r="L4605" t="s">
        <v>21</v>
      </c>
      <c r="M4605" t="str">
        <f t="shared" si="213"/>
        <v>OK</v>
      </c>
      <c r="N4605" t="str">
        <f t="shared" si="214"/>
        <v>2000s</v>
      </c>
      <c r="O4605" t="str">
        <f t="shared" si="215"/>
        <v>N/A</v>
      </c>
      <c r="P4605" t="str">
        <f>VLOOKUP(E4605,calculated_fields!$F$4:$G$6,2,FALSE)</f>
        <v>Demographics</v>
      </c>
    </row>
    <row r="4606" spans="1:16">
      <c r="A4606" t="s">
        <v>6300</v>
      </c>
      <c r="B4606" t="s">
        <v>6257</v>
      </c>
      <c r="C4606" t="s">
        <v>14</v>
      </c>
      <c r="D4606">
        <v>2002</v>
      </c>
      <c r="E4606" t="s">
        <v>29</v>
      </c>
      <c r="F4606" t="s">
        <v>30</v>
      </c>
      <c r="G4606" t="s">
        <v>31</v>
      </c>
      <c r="H4606" t="s">
        <v>32</v>
      </c>
      <c r="I4606">
        <v>5913.1875289999998</v>
      </c>
      <c r="J4606" t="s">
        <v>33</v>
      </c>
      <c r="K4606" t="s">
        <v>6298</v>
      </c>
      <c r="L4606" t="s">
        <v>21</v>
      </c>
      <c r="M4606" t="str">
        <f t="shared" si="213"/>
        <v>OK</v>
      </c>
      <c r="N4606" t="str">
        <f t="shared" si="214"/>
        <v>2000s</v>
      </c>
      <c r="O4606" t="str">
        <f t="shared" si="215"/>
        <v>N/A</v>
      </c>
      <c r="P4606" t="str">
        <f>VLOOKUP(E4606,calculated_fields!$F$4:$G$6,2,FALSE)</f>
        <v>Economy</v>
      </c>
    </row>
    <row r="4607" spans="1:16">
      <c r="A4607" t="s">
        <v>6301</v>
      </c>
      <c r="B4607" t="s">
        <v>6257</v>
      </c>
      <c r="C4607" t="s">
        <v>14</v>
      </c>
      <c r="D4607">
        <v>2007</v>
      </c>
      <c r="E4607" t="s">
        <v>15</v>
      </c>
      <c r="F4607" t="s">
        <v>16</v>
      </c>
      <c r="G4607" t="s">
        <v>17</v>
      </c>
      <c r="H4607" t="s">
        <v>18</v>
      </c>
      <c r="I4607">
        <v>70.616</v>
      </c>
      <c r="J4607" t="s">
        <v>19</v>
      </c>
      <c r="K4607" t="s">
        <v>6302</v>
      </c>
      <c r="L4607" t="s">
        <v>21</v>
      </c>
      <c r="M4607" t="str">
        <f t="shared" si="213"/>
        <v>OK</v>
      </c>
      <c r="N4607" t="str">
        <f t="shared" si="214"/>
        <v>2000s</v>
      </c>
      <c r="O4607" t="str">
        <f t="shared" si="215"/>
        <v>High</v>
      </c>
      <c r="P4607" t="str">
        <f>VLOOKUP(E4607,calculated_fields!$F$4:$G$6,2,FALSE)</f>
        <v>Health</v>
      </c>
    </row>
    <row r="4608" spans="1:16">
      <c r="A4608" t="s">
        <v>6303</v>
      </c>
      <c r="B4608" t="s">
        <v>6257</v>
      </c>
      <c r="C4608" t="s">
        <v>14</v>
      </c>
      <c r="D4608">
        <v>2007</v>
      </c>
      <c r="E4608" t="s">
        <v>23</v>
      </c>
      <c r="F4608" t="s">
        <v>24</v>
      </c>
      <c r="G4608" t="s">
        <v>25</v>
      </c>
      <c r="H4608" t="s">
        <v>26</v>
      </c>
      <c r="I4608">
        <v>65068149</v>
      </c>
      <c r="J4608" t="s">
        <v>27</v>
      </c>
      <c r="K4608" t="s">
        <v>6302</v>
      </c>
      <c r="L4608" t="s">
        <v>21</v>
      </c>
      <c r="M4608" t="str">
        <f t="shared" si="213"/>
        <v>OK</v>
      </c>
      <c r="N4608" t="str">
        <f t="shared" si="214"/>
        <v>2000s</v>
      </c>
      <c r="O4608" t="str">
        <f t="shared" si="215"/>
        <v>N/A</v>
      </c>
      <c r="P4608" t="str">
        <f>VLOOKUP(E4608,calculated_fields!$F$4:$G$6,2,FALSE)</f>
        <v>Demographics</v>
      </c>
    </row>
    <row r="4609" spans="1:16">
      <c r="A4609" t="s">
        <v>6304</v>
      </c>
      <c r="B4609" t="s">
        <v>6257</v>
      </c>
      <c r="C4609" t="s">
        <v>14</v>
      </c>
      <c r="D4609">
        <v>2007</v>
      </c>
      <c r="E4609" t="s">
        <v>29</v>
      </c>
      <c r="F4609" t="s">
        <v>30</v>
      </c>
      <c r="G4609" t="s">
        <v>31</v>
      </c>
      <c r="H4609" t="s">
        <v>32</v>
      </c>
      <c r="I4609">
        <v>7458.3963269999904</v>
      </c>
      <c r="J4609" t="s">
        <v>33</v>
      </c>
      <c r="K4609" t="s">
        <v>6302</v>
      </c>
      <c r="L4609" t="s">
        <v>21</v>
      </c>
      <c r="M4609" t="str">
        <f t="shared" si="213"/>
        <v>OK</v>
      </c>
      <c r="N4609" t="str">
        <f t="shared" si="214"/>
        <v>2000s</v>
      </c>
      <c r="O4609" t="str">
        <f t="shared" si="215"/>
        <v>N/A</v>
      </c>
      <c r="P4609" t="str">
        <f>VLOOKUP(E4609,calculated_fields!$F$4:$G$6,2,FALSE)</f>
        <v>Economy</v>
      </c>
    </row>
    <row r="4610" spans="1:16">
      <c r="A4610" t="s">
        <v>6305</v>
      </c>
      <c r="B4610" t="s">
        <v>6306</v>
      </c>
      <c r="C4610" t="s">
        <v>130</v>
      </c>
      <c r="D4610">
        <v>1952</v>
      </c>
      <c r="E4610" t="s">
        <v>15</v>
      </c>
      <c r="F4610" t="s">
        <v>16</v>
      </c>
      <c r="G4610" t="s">
        <v>17</v>
      </c>
      <c r="H4610" t="s">
        <v>18</v>
      </c>
      <c r="I4610">
        <v>38.595999999999997</v>
      </c>
      <c r="J4610" t="s">
        <v>19</v>
      </c>
      <c r="K4610" t="s">
        <v>6307</v>
      </c>
      <c r="L4610" t="s">
        <v>21</v>
      </c>
      <c r="M4610" t="str">
        <f t="shared" ref="M4610:M4673" si="216">IF(AND(ISNUMBER(I4610),I4610&gt;=0),"OK","Review")</f>
        <v>OK</v>
      </c>
      <c r="N4610" t="str">
        <f t="shared" ref="N4610:N4673" si="217">FLOOR(D4610,10)&amp;"s"</f>
        <v>1950s</v>
      </c>
      <c r="O4610" t="str">
        <f t="shared" ref="O4610:O4673" si="218">IF(E4610="LIFE_EXP",IF(I4610&gt;=70,"High",IF(I4610&gt;=55,"Medium","Low")),"N/A")</f>
        <v>Low</v>
      </c>
      <c r="P4610" t="str">
        <f>VLOOKUP(E4610,calculated_fields!$F$4:$G$6,2,FALSE)</f>
        <v>Health</v>
      </c>
    </row>
    <row r="4611" spans="1:16">
      <c r="A4611" t="s">
        <v>6308</v>
      </c>
      <c r="B4611" t="s">
        <v>6306</v>
      </c>
      <c r="C4611" t="s">
        <v>130</v>
      </c>
      <c r="D4611">
        <v>1952</v>
      </c>
      <c r="E4611" t="s">
        <v>23</v>
      </c>
      <c r="F4611" t="s">
        <v>24</v>
      </c>
      <c r="G4611" t="s">
        <v>25</v>
      </c>
      <c r="H4611" t="s">
        <v>26</v>
      </c>
      <c r="I4611">
        <v>1219113</v>
      </c>
      <c r="J4611" t="s">
        <v>27</v>
      </c>
      <c r="K4611" t="s">
        <v>6307</v>
      </c>
      <c r="L4611" t="s">
        <v>21</v>
      </c>
      <c r="M4611" t="str">
        <f t="shared" si="216"/>
        <v>OK</v>
      </c>
      <c r="N4611" t="str">
        <f t="shared" si="217"/>
        <v>1950s</v>
      </c>
      <c r="O4611" t="str">
        <f t="shared" si="218"/>
        <v>N/A</v>
      </c>
      <c r="P4611" t="str">
        <f>VLOOKUP(E4611,calculated_fields!$F$4:$G$6,2,FALSE)</f>
        <v>Demographics</v>
      </c>
    </row>
    <row r="4612" spans="1:16">
      <c r="A4612" t="s">
        <v>6309</v>
      </c>
      <c r="B4612" t="s">
        <v>6306</v>
      </c>
      <c r="C4612" t="s">
        <v>130</v>
      </c>
      <c r="D4612">
        <v>1952</v>
      </c>
      <c r="E4612" t="s">
        <v>29</v>
      </c>
      <c r="F4612" t="s">
        <v>30</v>
      </c>
      <c r="G4612" t="s">
        <v>31</v>
      </c>
      <c r="H4612" t="s">
        <v>32</v>
      </c>
      <c r="I4612">
        <v>859.80865670000003</v>
      </c>
      <c r="J4612" t="s">
        <v>33</v>
      </c>
      <c r="K4612" t="s">
        <v>6307</v>
      </c>
      <c r="L4612" t="s">
        <v>21</v>
      </c>
      <c r="M4612" t="str">
        <f t="shared" si="216"/>
        <v>OK</v>
      </c>
      <c r="N4612" t="str">
        <f t="shared" si="217"/>
        <v>1950s</v>
      </c>
      <c r="O4612" t="str">
        <f t="shared" si="218"/>
        <v>N/A</v>
      </c>
      <c r="P4612" t="str">
        <f>VLOOKUP(E4612,calculated_fields!$F$4:$G$6,2,FALSE)</f>
        <v>Economy</v>
      </c>
    </row>
    <row r="4613" spans="1:16">
      <c r="A4613" t="s">
        <v>6310</v>
      </c>
      <c r="B4613" t="s">
        <v>6306</v>
      </c>
      <c r="C4613" t="s">
        <v>130</v>
      </c>
      <c r="D4613">
        <v>1957</v>
      </c>
      <c r="E4613" t="s">
        <v>15</v>
      </c>
      <c r="F4613" t="s">
        <v>16</v>
      </c>
      <c r="G4613" t="s">
        <v>17</v>
      </c>
      <c r="H4613" t="s">
        <v>18</v>
      </c>
      <c r="I4613">
        <v>41.207999999999998</v>
      </c>
      <c r="J4613" t="s">
        <v>19</v>
      </c>
      <c r="K4613" t="s">
        <v>6311</v>
      </c>
      <c r="L4613" t="s">
        <v>21</v>
      </c>
      <c r="M4613" t="str">
        <f t="shared" si="216"/>
        <v>OK</v>
      </c>
      <c r="N4613" t="str">
        <f t="shared" si="217"/>
        <v>1950s</v>
      </c>
      <c r="O4613" t="str">
        <f t="shared" si="218"/>
        <v>Low</v>
      </c>
      <c r="P4613" t="str">
        <f>VLOOKUP(E4613,calculated_fields!$F$4:$G$6,2,FALSE)</f>
        <v>Health</v>
      </c>
    </row>
    <row r="4614" spans="1:16">
      <c r="A4614" t="s">
        <v>6312</v>
      </c>
      <c r="B4614" t="s">
        <v>6306</v>
      </c>
      <c r="C4614" t="s">
        <v>130</v>
      </c>
      <c r="D4614">
        <v>1957</v>
      </c>
      <c r="E4614" t="s">
        <v>23</v>
      </c>
      <c r="F4614" t="s">
        <v>24</v>
      </c>
      <c r="G4614" t="s">
        <v>25</v>
      </c>
      <c r="H4614" t="s">
        <v>26</v>
      </c>
      <c r="I4614">
        <v>1357445</v>
      </c>
      <c r="J4614" t="s">
        <v>27</v>
      </c>
      <c r="K4614" t="s">
        <v>6311</v>
      </c>
      <c r="L4614" t="s">
        <v>21</v>
      </c>
      <c r="M4614" t="str">
        <f t="shared" si="216"/>
        <v>OK</v>
      </c>
      <c r="N4614" t="str">
        <f t="shared" si="217"/>
        <v>1950s</v>
      </c>
      <c r="O4614" t="str">
        <f t="shared" si="218"/>
        <v>N/A</v>
      </c>
      <c r="P4614" t="str">
        <f>VLOOKUP(E4614,calculated_fields!$F$4:$G$6,2,FALSE)</f>
        <v>Demographics</v>
      </c>
    </row>
    <row r="4615" spans="1:16">
      <c r="A4615" t="s">
        <v>6313</v>
      </c>
      <c r="B4615" t="s">
        <v>6306</v>
      </c>
      <c r="C4615" t="s">
        <v>130</v>
      </c>
      <c r="D4615">
        <v>1957</v>
      </c>
      <c r="E4615" t="s">
        <v>29</v>
      </c>
      <c r="F4615" t="s">
        <v>30</v>
      </c>
      <c r="G4615" t="s">
        <v>31</v>
      </c>
      <c r="H4615" t="s">
        <v>32</v>
      </c>
      <c r="I4615">
        <v>925.90832020000005</v>
      </c>
      <c r="J4615" t="s">
        <v>33</v>
      </c>
      <c r="K4615" t="s">
        <v>6311</v>
      </c>
      <c r="L4615" t="s">
        <v>21</v>
      </c>
      <c r="M4615" t="str">
        <f t="shared" si="216"/>
        <v>OK</v>
      </c>
      <c r="N4615" t="str">
        <f t="shared" si="217"/>
        <v>1950s</v>
      </c>
      <c r="O4615" t="str">
        <f t="shared" si="218"/>
        <v>N/A</v>
      </c>
      <c r="P4615" t="str">
        <f>VLOOKUP(E4615,calculated_fields!$F$4:$G$6,2,FALSE)</f>
        <v>Economy</v>
      </c>
    </row>
    <row r="4616" spans="1:16">
      <c r="A4616" t="s">
        <v>6314</v>
      </c>
      <c r="B4616" t="s">
        <v>6306</v>
      </c>
      <c r="C4616" t="s">
        <v>130</v>
      </c>
      <c r="D4616">
        <v>1962</v>
      </c>
      <c r="E4616" t="s">
        <v>15</v>
      </c>
      <c r="F4616" t="s">
        <v>16</v>
      </c>
      <c r="G4616" t="s">
        <v>17</v>
      </c>
      <c r="H4616" t="s">
        <v>18</v>
      </c>
      <c r="I4616">
        <v>43.921999999999997</v>
      </c>
      <c r="J4616" t="s">
        <v>19</v>
      </c>
      <c r="K4616" t="s">
        <v>6315</v>
      </c>
      <c r="L4616" t="s">
        <v>21</v>
      </c>
      <c r="M4616" t="str">
        <f t="shared" si="216"/>
        <v>OK</v>
      </c>
      <c r="N4616" t="str">
        <f t="shared" si="217"/>
        <v>1960s</v>
      </c>
      <c r="O4616" t="str">
        <f t="shared" si="218"/>
        <v>Low</v>
      </c>
      <c r="P4616" t="str">
        <f>VLOOKUP(E4616,calculated_fields!$F$4:$G$6,2,FALSE)</f>
        <v>Health</v>
      </c>
    </row>
    <row r="4617" spans="1:16">
      <c r="A4617" t="s">
        <v>6316</v>
      </c>
      <c r="B4617" t="s">
        <v>6306</v>
      </c>
      <c r="C4617" t="s">
        <v>130</v>
      </c>
      <c r="D4617">
        <v>1962</v>
      </c>
      <c r="E4617" t="s">
        <v>23</v>
      </c>
      <c r="F4617" t="s">
        <v>24</v>
      </c>
      <c r="G4617" t="s">
        <v>25</v>
      </c>
      <c r="H4617" t="s">
        <v>26</v>
      </c>
      <c r="I4617">
        <v>1528098</v>
      </c>
      <c r="J4617" t="s">
        <v>27</v>
      </c>
      <c r="K4617" t="s">
        <v>6315</v>
      </c>
      <c r="L4617" t="s">
        <v>21</v>
      </c>
      <c r="M4617" t="str">
        <f t="shared" si="216"/>
        <v>OK</v>
      </c>
      <c r="N4617" t="str">
        <f t="shared" si="217"/>
        <v>1960s</v>
      </c>
      <c r="O4617" t="str">
        <f t="shared" si="218"/>
        <v>N/A</v>
      </c>
      <c r="P4617" t="str">
        <f>VLOOKUP(E4617,calculated_fields!$F$4:$G$6,2,FALSE)</f>
        <v>Demographics</v>
      </c>
    </row>
    <row r="4618" spans="1:16">
      <c r="A4618" t="s">
        <v>6317</v>
      </c>
      <c r="B4618" t="s">
        <v>6306</v>
      </c>
      <c r="C4618" t="s">
        <v>130</v>
      </c>
      <c r="D4618">
        <v>1962</v>
      </c>
      <c r="E4618" t="s">
        <v>29</v>
      </c>
      <c r="F4618" t="s">
        <v>30</v>
      </c>
      <c r="G4618" t="s">
        <v>31</v>
      </c>
      <c r="H4618" t="s">
        <v>32</v>
      </c>
      <c r="I4618">
        <v>1067.5348100000001</v>
      </c>
      <c r="J4618" t="s">
        <v>33</v>
      </c>
      <c r="K4618" t="s">
        <v>6315</v>
      </c>
      <c r="L4618" t="s">
        <v>21</v>
      </c>
      <c r="M4618" t="str">
        <f t="shared" si="216"/>
        <v>OK</v>
      </c>
      <c r="N4618" t="str">
        <f t="shared" si="217"/>
        <v>1960s</v>
      </c>
      <c r="O4618" t="str">
        <f t="shared" si="218"/>
        <v>N/A</v>
      </c>
      <c r="P4618" t="str">
        <f>VLOOKUP(E4618,calculated_fields!$F$4:$G$6,2,FALSE)</f>
        <v>Economy</v>
      </c>
    </row>
    <row r="4619" spans="1:16">
      <c r="A4619" t="s">
        <v>6318</v>
      </c>
      <c r="B4619" t="s">
        <v>6306</v>
      </c>
      <c r="C4619" t="s">
        <v>130</v>
      </c>
      <c r="D4619">
        <v>1967</v>
      </c>
      <c r="E4619" t="s">
        <v>15</v>
      </c>
      <c r="F4619" t="s">
        <v>16</v>
      </c>
      <c r="G4619" t="s">
        <v>17</v>
      </c>
      <c r="H4619" t="s">
        <v>18</v>
      </c>
      <c r="I4619">
        <v>46.768999999999998</v>
      </c>
      <c r="J4619" t="s">
        <v>19</v>
      </c>
      <c r="K4619" t="s">
        <v>6319</v>
      </c>
      <c r="L4619" t="s">
        <v>21</v>
      </c>
      <c r="M4619" t="str">
        <f t="shared" si="216"/>
        <v>OK</v>
      </c>
      <c r="N4619" t="str">
        <f t="shared" si="217"/>
        <v>1960s</v>
      </c>
      <c r="O4619" t="str">
        <f t="shared" si="218"/>
        <v>Low</v>
      </c>
      <c r="P4619" t="str">
        <f>VLOOKUP(E4619,calculated_fields!$F$4:$G$6,2,FALSE)</f>
        <v>Health</v>
      </c>
    </row>
    <row r="4620" spans="1:16">
      <c r="A4620" t="s">
        <v>6320</v>
      </c>
      <c r="B4620" t="s">
        <v>6306</v>
      </c>
      <c r="C4620" t="s">
        <v>130</v>
      </c>
      <c r="D4620">
        <v>1967</v>
      </c>
      <c r="E4620" t="s">
        <v>23</v>
      </c>
      <c r="F4620" t="s">
        <v>24</v>
      </c>
      <c r="G4620" t="s">
        <v>25</v>
      </c>
      <c r="H4620" t="s">
        <v>26</v>
      </c>
      <c r="I4620">
        <v>1735550</v>
      </c>
      <c r="J4620" t="s">
        <v>27</v>
      </c>
      <c r="K4620" t="s">
        <v>6319</v>
      </c>
      <c r="L4620" t="s">
        <v>21</v>
      </c>
      <c r="M4620" t="str">
        <f t="shared" si="216"/>
        <v>OK</v>
      </c>
      <c r="N4620" t="str">
        <f t="shared" si="217"/>
        <v>1960s</v>
      </c>
      <c r="O4620" t="str">
        <f t="shared" si="218"/>
        <v>N/A</v>
      </c>
      <c r="P4620" t="str">
        <f>VLOOKUP(E4620,calculated_fields!$F$4:$G$6,2,FALSE)</f>
        <v>Demographics</v>
      </c>
    </row>
    <row r="4621" spans="1:16">
      <c r="A4621" t="s">
        <v>6321</v>
      </c>
      <c r="B4621" t="s">
        <v>6306</v>
      </c>
      <c r="C4621" t="s">
        <v>130</v>
      </c>
      <c r="D4621">
        <v>1967</v>
      </c>
      <c r="E4621" t="s">
        <v>29</v>
      </c>
      <c r="F4621" t="s">
        <v>30</v>
      </c>
      <c r="G4621" t="s">
        <v>31</v>
      </c>
      <c r="H4621" t="s">
        <v>32</v>
      </c>
      <c r="I4621">
        <v>1477.5967599999999</v>
      </c>
      <c r="J4621" t="s">
        <v>33</v>
      </c>
      <c r="K4621" t="s">
        <v>6319</v>
      </c>
      <c r="L4621" t="s">
        <v>21</v>
      </c>
      <c r="M4621" t="str">
        <f t="shared" si="216"/>
        <v>OK</v>
      </c>
      <c r="N4621" t="str">
        <f t="shared" si="217"/>
        <v>1960s</v>
      </c>
      <c r="O4621" t="str">
        <f t="shared" si="218"/>
        <v>N/A</v>
      </c>
      <c r="P4621" t="str">
        <f>VLOOKUP(E4621,calculated_fields!$F$4:$G$6,2,FALSE)</f>
        <v>Economy</v>
      </c>
    </row>
    <row r="4622" spans="1:16">
      <c r="A4622" t="s">
        <v>6322</v>
      </c>
      <c r="B4622" t="s">
        <v>6306</v>
      </c>
      <c r="C4622" t="s">
        <v>130</v>
      </c>
      <c r="D4622">
        <v>1972</v>
      </c>
      <c r="E4622" t="s">
        <v>15</v>
      </c>
      <c r="F4622" t="s">
        <v>16</v>
      </c>
      <c r="G4622" t="s">
        <v>17</v>
      </c>
      <c r="H4622" t="s">
        <v>18</v>
      </c>
      <c r="I4622">
        <v>49.758999999999901</v>
      </c>
      <c r="J4622" t="s">
        <v>19</v>
      </c>
      <c r="K4622" t="s">
        <v>6323</v>
      </c>
      <c r="L4622" t="s">
        <v>21</v>
      </c>
      <c r="M4622" t="str">
        <f t="shared" si="216"/>
        <v>OK</v>
      </c>
      <c r="N4622" t="str">
        <f t="shared" si="217"/>
        <v>1970s</v>
      </c>
      <c r="O4622" t="str">
        <f t="shared" si="218"/>
        <v>Low</v>
      </c>
      <c r="P4622" t="str">
        <f>VLOOKUP(E4622,calculated_fields!$F$4:$G$6,2,FALSE)</f>
        <v>Health</v>
      </c>
    </row>
    <row r="4623" spans="1:16">
      <c r="A4623" t="s">
        <v>6324</v>
      </c>
      <c r="B4623" t="s">
        <v>6306</v>
      </c>
      <c r="C4623" t="s">
        <v>130</v>
      </c>
      <c r="D4623">
        <v>1972</v>
      </c>
      <c r="E4623" t="s">
        <v>23</v>
      </c>
      <c r="F4623" t="s">
        <v>24</v>
      </c>
      <c r="G4623" t="s">
        <v>25</v>
      </c>
      <c r="H4623" t="s">
        <v>26</v>
      </c>
      <c r="I4623">
        <v>2056351</v>
      </c>
      <c r="J4623" t="s">
        <v>27</v>
      </c>
      <c r="K4623" t="s">
        <v>6323</v>
      </c>
      <c r="L4623" t="s">
        <v>21</v>
      </c>
      <c r="M4623" t="str">
        <f t="shared" si="216"/>
        <v>OK</v>
      </c>
      <c r="N4623" t="str">
        <f t="shared" si="217"/>
        <v>1970s</v>
      </c>
      <c r="O4623" t="str">
        <f t="shared" si="218"/>
        <v>N/A</v>
      </c>
      <c r="P4623" t="str">
        <f>VLOOKUP(E4623,calculated_fields!$F$4:$G$6,2,FALSE)</f>
        <v>Demographics</v>
      </c>
    </row>
    <row r="4624" spans="1:16">
      <c r="A4624" t="s">
        <v>6325</v>
      </c>
      <c r="B4624" t="s">
        <v>6306</v>
      </c>
      <c r="C4624" t="s">
        <v>130</v>
      </c>
      <c r="D4624">
        <v>1972</v>
      </c>
      <c r="E4624" t="s">
        <v>29</v>
      </c>
      <c r="F4624" t="s">
        <v>30</v>
      </c>
      <c r="G4624" t="s">
        <v>31</v>
      </c>
      <c r="H4624" t="s">
        <v>32</v>
      </c>
      <c r="I4624">
        <v>1649.6601880000001</v>
      </c>
      <c r="J4624" t="s">
        <v>33</v>
      </c>
      <c r="K4624" t="s">
        <v>6323</v>
      </c>
      <c r="L4624" t="s">
        <v>21</v>
      </c>
      <c r="M4624" t="str">
        <f t="shared" si="216"/>
        <v>OK</v>
      </c>
      <c r="N4624" t="str">
        <f t="shared" si="217"/>
        <v>1970s</v>
      </c>
      <c r="O4624" t="str">
        <f t="shared" si="218"/>
        <v>N/A</v>
      </c>
      <c r="P4624" t="str">
        <f>VLOOKUP(E4624,calculated_fields!$F$4:$G$6,2,FALSE)</f>
        <v>Economy</v>
      </c>
    </row>
    <row r="4625" spans="1:16">
      <c r="A4625" t="s">
        <v>6326</v>
      </c>
      <c r="B4625" t="s">
        <v>6306</v>
      </c>
      <c r="C4625" t="s">
        <v>130</v>
      </c>
      <c r="D4625">
        <v>1977</v>
      </c>
      <c r="E4625" t="s">
        <v>15</v>
      </c>
      <c r="F4625" t="s">
        <v>16</v>
      </c>
      <c r="G4625" t="s">
        <v>17</v>
      </c>
      <c r="H4625" t="s">
        <v>18</v>
      </c>
      <c r="I4625">
        <v>52.887</v>
      </c>
      <c r="J4625" t="s">
        <v>19</v>
      </c>
      <c r="K4625" t="s">
        <v>6327</v>
      </c>
      <c r="L4625" t="s">
        <v>21</v>
      </c>
      <c r="M4625" t="str">
        <f t="shared" si="216"/>
        <v>OK</v>
      </c>
      <c r="N4625" t="str">
        <f t="shared" si="217"/>
        <v>1970s</v>
      </c>
      <c r="O4625" t="str">
        <f t="shared" si="218"/>
        <v>Low</v>
      </c>
      <c r="P4625" t="str">
        <f>VLOOKUP(E4625,calculated_fields!$F$4:$G$6,2,FALSE)</f>
        <v>Health</v>
      </c>
    </row>
    <row r="4626" spans="1:16">
      <c r="A4626" t="s">
        <v>6328</v>
      </c>
      <c r="B4626" t="s">
        <v>6306</v>
      </c>
      <c r="C4626" t="s">
        <v>130</v>
      </c>
      <c r="D4626">
        <v>1977</v>
      </c>
      <c r="E4626" t="s">
        <v>23</v>
      </c>
      <c r="F4626" t="s">
        <v>24</v>
      </c>
      <c r="G4626" t="s">
        <v>25</v>
      </c>
      <c r="H4626" t="s">
        <v>26</v>
      </c>
      <c r="I4626">
        <v>2308582</v>
      </c>
      <c r="J4626" t="s">
        <v>27</v>
      </c>
      <c r="K4626" t="s">
        <v>6327</v>
      </c>
      <c r="L4626" t="s">
        <v>21</v>
      </c>
      <c r="M4626" t="str">
        <f t="shared" si="216"/>
        <v>OK</v>
      </c>
      <c r="N4626" t="str">
        <f t="shared" si="217"/>
        <v>1970s</v>
      </c>
      <c r="O4626" t="str">
        <f t="shared" si="218"/>
        <v>N/A</v>
      </c>
      <c r="P4626" t="str">
        <f>VLOOKUP(E4626,calculated_fields!$F$4:$G$6,2,FALSE)</f>
        <v>Demographics</v>
      </c>
    </row>
    <row r="4627" spans="1:16">
      <c r="A4627" t="s">
        <v>6329</v>
      </c>
      <c r="B4627" t="s">
        <v>6306</v>
      </c>
      <c r="C4627" t="s">
        <v>130</v>
      </c>
      <c r="D4627">
        <v>1977</v>
      </c>
      <c r="E4627" t="s">
        <v>29</v>
      </c>
      <c r="F4627" t="s">
        <v>30</v>
      </c>
      <c r="G4627" t="s">
        <v>31</v>
      </c>
      <c r="H4627" t="s">
        <v>32</v>
      </c>
      <c r="I4627">
        <v>1532.776998</v>
      </c>
      <c r="J4627" t="s">
        <v>33</v>
      </c>
      <c r="K4627" t="s">
        <v>6327</v>
      </c>
      <c r="L4627" t="s">
        <v>21</v>
      </c>
      <c r="M4627" t="str">
        <f t="shared" si="216"/>
        <v>OK</v>
      </c>
      <c r="N4627" t="str">
        <f t="shared" si="217"/>
        <v>1970s</v>
      </c>
      <c r="O4627" t="str">
        <f t="shared" si="218"/>
        <v>N/A</v>
      </c>
      <c r="P4627" t="str">
        <f>VLOOKUP(E4627,calculated_fields!$F$4:$G$6,2,FALSE)</f>
        <v>Economy</v>
      </c>
    </row>
    <row r="4628" spans="1:16">
      <c r="A4628" t="s">
        <v>6330</v>
      </c>
      <c r="B4628" t="s">
        <v>6306</v>
      </c>
      <c r="C4628" t="s">
        <v>130</v>
      </c>
      <c r="D4628">
        <v>1982</v>
      </c>
      <c r="E4628" t="s">
        <v>15</v>
      </c>
      <c r="F4628" t="s">
        <v>16</v>
      </c>
      <c r="G4628" t="s">
        <v>17</v>
      </c>
      <c r="H4628" t="s">
        <v>18</v>
      </c>
      <c r="I4628">
        <v>55.470999999999997</v>
      </c>
      <c r="J4628" t="s">
        <v>19</v>
      </c>
      <c r="K4628" t="s">
        <v>6331</v>
      </c>
      <c r="L4628" t="s">
        <v>21</v>
      </c>
      <c r="M4628" t="str">
        <f t="shared" si="216"/>
        <v>OK</v>
      </c>
      <c r="N4628" t="str">
        <f t="shared" si="217"/>
        <v>1980s</v>
      </c>
      <c r="O4628" t="str">
        <f t="shared" si="218"/>
        <v>Medium</v>
      </c>
      <c r="P4628" t="str">
        <f>VLOOKUP(E4628,calculated_fields!$F$4:$G$6,2,FALSE)</f>
        <v>Health</v>
      </c>
    </row>
    <row r="4629" spans="1:16">
      <c r="A4629" t="s">
        <v>6332</v>
      </c>
      <c r="B4629" t="s">
        <v>6306</v>
      </c>
      <c r="C4629" t="s">
        <v>130</v>
      </c>
      <c r="D4629">
        <v>1982</v>
      </c>
      <c r="E4629" t="s">
        <v>23</v>
      </c>
      <c r="F4629" t="s">
        <v>24</v>
      </c>
      <c r="G4629" t="s">
        <v>25</v>
      </c>
      <c r="H4629" t="s">
        <v>26</v>
      </c>
      <c r="I4629">
        <v>2644765</v>
      </c>
      <c r="J4629" t="s">
        <v>27</v>
      </c>
      <c r="K4629" t="s">
        <v>6331</v>
      </c>
      <c r="L4629" t="s">
        <v>21</v>
      </c>
      <c r="M4629" t="str">
        <f t="shared" si="216"/>
        <v>OK</v>
      </c>
      <c r="N4629" t="str">
        <f t="shared" si="217"/>
        <v>1980s</v>
      </c>
      <c r="O4629" t="str">
        <f t="shared" si="218"/>
        <v>N/A</v>
      </c>
      <c r="P4629" t="str">
        <f>VLOOKUP(E4629,calculated_fields!$F$4:$G$6,2,FALSE)</f>
        <v>Demographics</v>
      </c>
    </row>
    <row r="4630" spans="1:16">
      <c r="A4630" t="s">
        <v>6333</v>
      </c>
      <c r="B4630" t="s">
        <v>6306</v>
      </c>
      <c r="C4630" t="s">
        <v>130</v>
      </c>
      <c r="D4630">
        <v>1982</v>
      </c>
      <c r="E4630" t="s">
        <v>29</v>
      </c>
      <c r="F4630" t="s">
        <v>30</v>
      </c>
      <c r="G4630" t="s">
        <v>31</v>
      </c>
      <c r="H4630" t="s">
        <v>32</v>
      </c>
      <c r="I4630">
        <v>1344.577953</v>
      </c>
      <c r="J4630" t="s">
        <v>33</v>
      </c>
      <c r="K4630" t="s">
        <v>6331</v>
      </c>
      <c r="L4630" t="s">
        <v>21</v>
      </c>
      <c r="M4630" t="str">
        <f t="shared" si="216"/>
        <v>OK</v>
      </c>
      <c r="N4630" t="str">
        <f t="shared" si="217"/>
        <v>1980s</v>
      </c>
      <c r="O4630" t="str">
        <f t="shared" si="218"/>
        <v>N/A</v>
      </c>
      <c r="P4630" t="str">
        <f>VLOOKUP(E4630,calculated_fields!$F$4:$G$6,2,FALSE)</f>
        <v>Economy</v>
      </c>
    </row>
    <row r="4631" spans="1:16">
      <c r="A4631" t="s">
        <v>6334</v>
      </c>
      <c r="B4631" t="s">
        <v>6306</v>
      </c>
      <c r="C4631" t="s">
        <v>130</v>
      </c>
      <c r="D4631">
        <v>1987</v>
      </c>
      <c r="E4631" t="s">
        <v>15</v>
      </c>
      <c r="F4631" t="s">
        <v>16</v>
      </c>
      <c r="G4631" t="s">
        <v>17</v>
      </c>
      <c r="H4631" t="s">
        <v>18</v>
      </c>
      <c r="I4631">
        <v>56.941000000000003</v>
      </c>
      <c r="J4631" t="s">
        <v>19</v>
      </c>
      <c r="K4631" t="s">
        <v>6335</v>
      </c>
      <c r="L4631" t="s">
        <v>21</v>
      </c>
      <c r="M4631" t="str">
        <f t="shared" si="216"/>
        <v>OK</v>
      </c>
      <c r="N4631" t="str">
        <f t="shared" si="217"/>
        <v>1980s</v>
      </c>
      <c r="O4631" t="str">
        <f t="shared" si="218"/>
        <v>Medium</v>
      </c>
      <c r="P4631" t="str">
        <f>VLOOKUP(E4631,calculated_fields!$F$4:$G$6,2,FALSE)</f>
        <v>Health</v>
      </c>
    </row>
    <row r="4632" spans="1:16">
      <c r="A4632" t="s">
        <v>6336</v>
      </c>
      <c r="B4632" t="s">
        <v>6306</v>
      </c>
      <c r="C4632" t="s">
        <v>130</v>
      </c>
      <c r="D4632">
        <v>1987</v>
      </c>
      <c r="E4632" t="s">
        <v>23</v>
      </c>
      <c r="F4632" t="s">
        <v>24</v>
      </c>
      <c r="G4632" t="s">
        <v>25</v>
      </c>
      <c r="H4632" t="s">
        <v>26</v>
      </c>
      <c r="I4632">
        <v>3154264</v>
      </c>
      <c r="J4632" t="s">
        <v>27</v>
      </c>
      <c r="K4632" t="s">
        <v>6335</v>
      </c>
      <c r="L4632" t="s">
        <v>21</v>
      </c>
      <c r="M4632" t="str">
        <f t="shared" si="216"/>
        <v>OK</v>
      </c>
      <c r="N4632" t="str">
        <f t="shared" si="217"/>
        <v>1980s</v>
      </c>
      <c r="O4632" t="str">
        <f t="shared" si="218"/>
        <v>N/A</v>
      </c>
      <c r="P4632" t="str">
        <f>VLOOKUP(E4632,calculated_fields!$F$4:$G$6,2,FALSE)</f>
        <v>Demographics</v>
      </c>
    </row>
    <row r="4633" spans="1:16">
      <c r="A4633" t="s">
        <v>6337</v>
      </c>
      <c r="B4633" t="s">
        <v>6306</v>
      </c>
      <c r="C4633" t="s">
        <v>130</v>
      </c>
      <c r="D4633">
        <v>1987</v>
      </c>
      <c r="E4633" t="s">
        <v>29</v>
      </c>
      <c r="F4633" t="s">
        <v>30</v>
      </c>
      <c r="G4633" t="s">
        <v>31</v>
      </c>
      <c r="H4633" t="s">
        <v>32</v>
      </c>
      <c r="I4633">
        <v>1202.2013609999999</v>
      </c>
      <c r="J4633" t="s">
        <v>33</v>
      </c>
      <c r="K4633" t="s">
        <v>6335</v>
      </c>
      <c r="L4633" t="s">
        <v>21</v>
      </c>
      <c r="M4633" t="str">
        <f t="shared" si="216"/>
        <v>OK</v>
      </c>
      <c r="N4633" t="str">
        <f t="shared" si="217"/>
        <v>1980s</v>
      </c>
      <c r="O4633" t="str">
        <f t="shared" si="218"/>
        <v>N/A</v>
      </c>
      <c r="P4633" t="str">
        <f>VLOOKUP(E4633,calculated_fields!$F$4:$G$6,2,FALSE)</f>
        <v>Economy</v>
      </c>
    </row>
    <row r="4634" spans="1:16">
      <c r="A4634" t="s">
        <v>6338</v>
      </c>
      <c r="B4634" t="s">
        <v>6306</v>
      </c>
      <c r="C4634" t="s">
        <v>130</v>
      </c>
      <c r="D4634">
        <v>1992</v>
      </c>
      <c r="E4634" t="s">
        <v>15</v>
      </c>
      <c r="F4634" t="s">
        <v>16</v>
      </c>
      <c r="G4634" t="s">
        <v>17</v>
      </c>
      <c r="H4634" t="s">
        <v>18</v>
      </c>
      <c r="I4634">
        <v>58.061</v>
      </c>
      <c r="J4634" t="s">
        <v>19</v>
      </c>
      <c r="K4634" t="s">
        <v>6339</v>
      </c>
      <c r="L4634" t="s">
        <v>21</v>
      </c>
      <c r="M4634" t="str">
        <f t="shared" si="216"/>
        <v>OK</v>
      </c>
      <c r="N4634" t="str">
        <f t="shared" si="217"/>
        <v>1990s</v>
      </c>
      <c r="O4634" t="str">
        <f t="shared" si="218"/>
        <v>Medium</v>
      </c>
      <c r="P4634" t="str">
        <f>VLOOKUP(E4634,calculated_fields!$F$4:$G$6,2,FALSE)</f>
        <v>Health</v>
      </c>
    </row>
    <row r="4635" spans="1:16">
      <c r="A4635" t="s">
        <v>6340</v>
      </c>
      <c r="B4635" t="s">
        <v>6306</v>
      </c>
      <c r="C4635" t="s">
        <v>130</v>
      </c>
      <c r="D4635">
        <v>1992</v>
      </c>
      <c r="E4635" t="s">
        <v>23</v>
      </c>
      <c r="F4635" t="s">
        <v>24</v>
      </c>
      <c r="G4635" t="s">
        <v>25</v>
      </c>
      <c r="H4635" t="s">
        <v>26</v>
      </c>
      <c r="I4635">
        <v>3747553</v>
      </c>
      <c r="J4635" t="s">
        <v>27</v>
      </c>
      <c r="K4635" t="s">
        <v>6339</v>
      </c>
      <c r="L4635" t="s">
        <v>21</v>
      </c>
      <c r="M4635" t="str">
        <f t="shared" si="216"/>
        <v>OK</v>
      </c>
      <c r="N4635" t="str">
        <f t="shared" si="217"/>
        <v>1990s</v>
      </c>
      <c r="O4635" t="str">
        <f t="shared" si="218"/>
        <v>N/A</v>
      </c>
      <c r="P4635" t="str">
        <f>VLOOKUP(E4635,calculated_fields!$F$4:$G$6,2,FALSE)</f>
        <v>Demographics</v>
      </c>
    </row>
    <row r="4636" spans="1:16">
      <c r="A4636" t="s">
        <v>6341</v>
      </c>
      <c r="B4636" t="s">
        <v>6306</v>
      </c>
      <c r="C4636" t="s">
        <v>130</v>
      </c>
      <c r="D4636">
        <v>1992</v>
      </c>
      <c r="E4636" t="s">
        <v>29</v>
      </c>
      <c r="F4636" t="s">
        <v>30</v>
      </c>
      <c r="G4636" t="s">
        <v>31</v>
      </c>
      <c r="H4636" t="s">
        <v>32</v>
      </c>
      <c r="I4636">
        <v>1034.298904</v>
      </c>
      <c r="J4636" t="s">
        <v>33</v>
      </c>
      <c r="K4636" t="s">
        <v>6339</v>
      </c>
      <c r="L4636" t="s">
        <v>21</v>
      </c>
      <c r="M4636" t="str">
        <f t="shared" si="216"/>
        <v>OK</v>
      </c>
      <c r="N4636" t="str">
        <f t="shared" si="217"/>
        <v>1990s</v>
      </c>
      <c r="O4636" t="str">
        <f t="shared" si="218"/>
        <v>N/A</v>
      </c>
      <c r="P4636" t="str">
        <f>VLOOKUP(E4636,calculated_fields!$F$4:$G$6,2,FALSE)</f>
        <v>Economy</v>
      </c>
    </row>
    <row r="4637" spans="1:16">
      <c r="A4637" t="s">
        <v>6342</v>
      </c>
      <c r="B4637" t="s">
        <v>6306</v>
      </c>
      <c r="C4637" t="s">
        <v>130</v>
      </c>
      <c r="D4637">
        <v>1997</v>
      </c>
      <c r="E4637" t="s">
        <v>15</v>
      </c>
      <c r="F4637" t="s">
        <v>16</v>
      </c>
      <c r="G4637" t="s">
        <v>17</v>
      </c>
      <c r="H4637" t="s">
        <v>18</v>
      </c>
      <c r="I4637">
        <v>58.39</v>
      </c>
      <c r="J4637" t="s">
        <v>19</v>
      </c>
      <c r="K4637" t="s">
        <v>6343</v>
      </c>
      <c r="L4637" t="s">
        <v>21</v>
      </c>
      <c r="M4637" t="str">
        <f t="shared" si="216"/>
        <v>OK</v>
      </c>
      <c r="N4637" t="str">
        <f t="shared" si="217"/>
        <v>1990s</v>
      </c>
      <c r="O4637" t="str">
        <f t="shared" si="218"/>
        <v>Medium</v>
      </c>
      <c r="P4637" t="str">
        <f>VLOOKUP(E4637,calculated_fields!$F$4:$G$6,2,FALSE)</f>
        <v>Health</v>
      </c>
    </row>
    <row r="4638" spans="1:16">
      <c r="A4638" t="s">
        <v>6344</v>
      </c>
      <c r="B4638" t="s">
        <v>6306</v>
      </c>
      <c r="C4638" t="s">
        <v>130</v>
      </c>
      <c r="D4638">
        <v>1997</v>
      </c>
      <c r="E4638" t="s">
        <v>23</v>
      </c>
      <c r="F4638" t="s">
        <v>24</v>
      </c>
      <c r="G4638" t="s">
        <v>25</v>
      </c>
      <c r="H4638" t="s">
        <v>26</v>
      </c>
      <c r="I4638">
        <v>4320890</v>
      </c>
      <c r="J4638" t="s">
        <v>27</v>
      </c>
      <c r="K4638" t="s">
        <v>6343</v>
      </c>
      <c r="L4638" t="s">
        <v>21</v>
      </c>
      <c r="M4638" t="str">
        <f t="shared" si="216"/>
        <v>OK</v>
      </c>
      <c r="N4638" t="str">
        <f t="shared" si="217"/>
        <v>1990s</v>
      </c>
      <c r="O4638" t="str">
        <f t="shared" si="218"/>
        <v>N/A</v>
      </c>
      <c r="P4638" t="str">
        <f>VLOOKUP(E4638,calculated_fields!$F$4:$G$6,2,FALSE)</f>
        <v>Demographics</v>
      </c>
    </row>
    <row r="4639" spans="1:16">
      <c r="A4639" t="s">
        <v>6345</v>
      </c>
      <c r="B4639" t="s">
        <v>6306</v>
      </c>
      <c r="C4639" t="s">
        <v>130</v>
      </c>
      <c r="D4639">
        <v>1997</v>
      </c>
      <c r="E4639" t="s">
        <v>29</v>
      </c>
      <c r="F4639" t="s">
        <v>30</v>
      </c>
      <c r="G4639" t="s">
        <v>31</v>
      </c>
      <c r="H4639" t="s">
        <v>32</v>
      </c>
      <c r="I4639">
        <v>982.28692430000001</v>
      </c>
      <c r="J4639" t="s">
        <v>33</v>
      </c>
      <c r="K4639" t="s">
        <v>6343</v>
      </c>
      <c r="L4639" t="s">
        <v>21</v>
      </c>
      <c r="M4639" t="str">
        <f t="shared" si="216"/>
        <v>OK</v>
      </c>
      <c r="N4639" t="str">
        <f t="shared" si="217"/>
        <v>1990s</v>
      </c>
      <c r="O4639" t="str">
        <f t="shared" si="218"/>
        <v>N/A</v>
      </c>
      <c r="P4639" t="str">
        <f>VLOOKUP(E4639,calculated_fields!$F$4:$G$6,2,FALSE)</f>
        <v>Economy</v>
      </c>
    </row>
    <row r="4640" spans="1:16">
      <c r="A4640" t="s">
        <v>6346</v>
      </c>
      <c r="B4640" t="s">
        <v>6306</v>
      </c>
      <c r="C4640" t="s">
        <v>130</v>
      </c>
      <c r="D4640">
        <v>2002</v>
      </c>
      <c r="E4640" t="s">
        <v>15</v>
      </c>
      <c r="F4640" t="s">
        <v>16</v>
      </c>
      <c r="G4640" t="s">
        <v>17</v>
      </c>
      <c r="H4640" t="s">
        <v>18</v>
      </c>
      <c r="I4640">
        <v>57.561</v>
      </c>
      <c r="J4640" t="s">
        <v>19</v>
      </c>
      <c r="K4640" t="s">
        <v>6347</v>
      </c>
      <c r="L4640" t="s">
        <v>21</v>
      </c>
      <c r="M4640" t="str">
        <f t="shared" si="216"/>
        <v>OK</v>
      </c>
      <c r="N4640" t="str">
        <f t="shared" si="217"/>
        <v>2000s</v>
      </c>
      <c r="O4640" t="str">
        <f t="shared" si="218"/>
        <v>Medium</v>
      </c>
      <c r="P4640" t="str">
        <f>VLOOKUP(E4640,calculated_fields!$F$4:$G$6,2,FALSE)</f>
        <v>Health</v>
      </c>
    </row>
    <row r="4641" spans="1:16">
      <c r="A4641" t="s">
        <v>6348</v>
      </c>
      <c r="B4641" t="s">
        <v>6306</v>
      </c>
      <c r="C4641" t="s">
        <v>130</v>
      </c>
      <c r="D4641">
        <v>2002</v>
      </c>
      <c r="E4641" t="s">
        <v>23</v>
      </c>
      <c r="F4641" t="s">
        <v>24</v>
      </c>
      <c r="G4641" t="s">
        <v>25</v>
      </c>
      <c r="H4641" t="s">
        <v>26</v>
      </c>
      <c r="I4641">
        <v>4977378</v>
      </c>
      <c r="J4641" t="s">
        <v>27</v>
      </c>
      <c r="K4641" t="s">
        <v>6347</v>
      </c>
      <c r="L4641" t="s">
        <v>21</v>
      </c>
      <c r="M4641" t="str">
        <f t="shared" si="216"/>
        <v>OK</v>
      </c>
      <c r="N4641" t="str">
        <f t="shared" si="217"/>
        <v>2000s</v>
      </c>
      <c r="O4641" t="str">
        <f t="shared" si="218"/>
        <v>N/A</v>
      </c>
      <c r="P4641" t="str">
        <f>VLOOKUP(E4641,calculated_fields!$F$4:$G$6,2,FALSE)</f>
        <v>Demographics</v>
      </c>
    </row>
    <row r="4642" spans="1:16">
      <c r="A4642" t="s">
        <v>6349</v>
      </c>
      <c r="B4642" t="s">
        <v>6306</v>
      </c>
      <c r="C4642" t="s">
        <v>130</v>
      </c>
      <c r="D4642">
        <v>2002</v>
      </c>
      <c r="E4642" t="s">
        <v>29</v>
      </c>
      <c r="F4642" t="s">
        <v>30</v>
      </c>
      <c r="G4642" t="s">
        <v>31</v>
      </c>
      <c r="H4642" t="s">
        <v>32</v>
      </c>
      <c r="I4642">
        <v>886.22057649999999</v>
      </c>
      <c r="J4642" t="s">
        <v>33</v>
      </c>
      <c r="K4642" t="s">
        <v>6347</v>
      </c>
      <c r="L4642" t="s">
        <v>21</v>
      </c>
      <c r="M4642" t="str">
        <f t="shared" si="216"/>
        <v>OK</v>
      </c>
      <c r="N4642" t="str">
        <f t="shared" si="217"/>
        <v>2000s</v>
      </c>
      <c r="O4642" t="str">
        <f t="shared" si="218"/>
        <v>N/A</v>
      </c>
      <c r="P4642" t="str">
        <f>VLOOKUP(E4642,calculated_fields!$F$4:$G$6,2,FALSE)</f>
        <v>Economy</v>
      </c>
    </row>
    <row r="4643" spans="1:16">
      <c r="A4643" t="s">
        <v>6350</v>
      </c>
      <c r="B4643" t="s">
        <v>6306</v>
      </c>
      <c r="C4643" t="s">
        <v>130</v>
      </c>
      <c r="D4643">
        <v>2007</v>
      </c>
      <c r="E4643" t="s">
        <v>15</v>
      </c>
      <c r="F4643" t="s">
        <v>16</v>
      </c>
      <c r="G4643" t="s">
        <v>17</v>
      </c>
      <c r="H4643" t="s">
        <v>18</v>
      </c>
      <c r="I4643">
        <v>58.42</v>
      </c>
      <c r="J4643" t="s">
        <v>19</v>
      </c>
      <c r="K4643" t="s">
        <v>6351</v>
      </c>
      <c r="L4643" t="s">
        <v>21</v>
      </c>
      <c r="M4643" t="str">
        <f t="shared" si="216"/>
        <v>OK</v>
      </c>
      <c r="N4643" t="str">
        <f t="shared" si="217"/>
        <v>2000s</v>
      </c>
      <c r="O4643" t="str">
        <f t="shared" si="218"/>
        <v>Medium</v>
      </c>
      <c r="P4643" t="str">
        <f>VLOOKUP(E4643,calculated_fields!$F$4:$G$6,2,FALSE)</f>
        <v>Health</v>
      </c>
    </row>
    <row r="4644" spans="1:16">
      <c r="A4644" t="s">
        <v>6352</v>
      </c>
      <c r="B4644" t="s">
        <v>6306</v>
      </c>
      <c r="C4644" t="s">
        <v>130</v>
      </c>
      <c r="D4644">
        <v>2007</v>
      </c>
      <c r="E4644" t="s">
        <v>23</v>
      </c>
      <c r="F4644" t="s">
        <v>24</v>
      </c>
      <c r="G4644" t="s">
        <v>25</v>
      </c>
      <c r="H4644" t="s">
        <v>26</v>
      </c>
      <c r="I4644">
        <v>5701579</v>
      </c>
      <c r="J4644" t="s">
        <v>27</v>
      </c>
      <c r="K4644" t="s">
        <v>6351</v>
      </c>
      <c r="L4644" t="s">
        <v>21</v>
      </c>
      <c r="M4644" t="str">
        <f t="shared" si="216"/>
        <v>OK</v>
      </c>
      <c r="N4644" t="str">
        <f t="shared" si="217"/>
        <v>2000s</v>
      </c>
      <c r="O4644" t="str">
        <f t="shared" si="218"/>
        <v>N/A</v>
      </c>
      <c r="P4644" t="str">
        <f>VLOOKUP(E4644,calculated_fields!$F$4:$G$6,2,FALSE)</f>
        <v>Demographics</v>
      </c>
    </row>
    <row r="4645" spans="1:16">
      <c r="A4645" t="s">
        <v>6353</v>
      </c>
      <c r="B4645" t="s">
        <v>6306</v>
      </c>
      <c r="C4645" t="s">
        <v>130</v>
      </c>
      <c r="D4645">
        <v>2007</v>
      </c>
      <c r="E4645" t="s">
        <v>29</v>
      </c>
      <c r="F4645" t="s">
        <v>30</v>
      </c>
      <c r="G4645" t="s">
        <v>31</v>
      </c>
      <c r="H4645" t="s">
        <v>32</v>
      </c>
      <c r="I4645">
        <v>882.96994379999899</v>
      </c>
      <c r="J4645" t="s">
        <v>33</v>
      </c>
      <c r="K4645" t="s">
        <v>6351</v>
      </c>
      <c r="L4645" t="s">
        <v>21</v>
      </c>
      <c r="M4645" t="str">
        <f t="shared" si="216"/>
        <v>OK</v>
      </c>
      <c r="N4645" t="str">
        <f t="shared" si="217"/>
        <v>2000s</v>
      </c>
      <c r="O4645" t="str">
        <f t="shared" si="218"/>
        <v>N/A</v>
      </c>
      <c r="P4645" t="str">
        <f>VLOOKUP(E4645,calculated_fields!$F$4:$G$6,2,FALSE)</f>
        <v>Economy</v>
      </c>
    </row>
    <row r="4646" spans="1:16">
      <c r="A4646" t="s">
        <v>6354</v>
      </c>
      <c r="B4646" t="s">
        <v>6355</v>
      </c>
      <c r="C4646" t="s">
        <v>229</v>
      </c>
      <c r="D4646">
        <v>1952</v>
      </c>
      <c r="E4646" t="s">
        <v>15</v>
      </c>
      <c r="F4646" t="s">
        <v>16</v>
      </c>
      <c r="G4646" t="s">
        <v>17</v>
      </c>
      <c r="H4646" t="s">
        <v>18</v>
      </c>
      <c r="I4646">
        <v>59.1</v>
      </c>
      <c r="J4646" t="s">
        <v>19</v>
      </c>
      <c r="K4646" t="s">
        <v>6356</v>
      </c>
      <c r="L4646" t="s">
        <v>21</v>
      </c>
      <c r="M4646" t="str">
        <f t="shared" si="216"/>
        <v>OK</v>
      </c>
      <c r="N4646" t="str">
        <f t="shared" si="217"/>
        <v>1950s</v>
      </c>
      <c r="O4646" t="str">
        <f t="shared" si="218"/>
        <v>Medium</v>
      </c>
      <c r="P4646" t="str">
        <f>VLOOKUP(E4646,calculated_fields!$F$4:$G$6,2,FALSE)</f>
        <v>Health</v>
      </c>
    </row>
    <row r="4647" spans="1:16">
      <c r="A4647" t="s">
        <v>6357</v>
      </c>
      <c r="B4647" t="s">
        <v>6355</v>
      </c>
      <c r="C4647" t="s">
        <v>229</v>
      </c>
      <c r="D4647">
        <v>1952</v>
      </c>
      <c r="E4647" t="s">
        <v>23</v>
      </c>
      <c r="F4647" t="s">
        <v>24</v>
      </c>
      <c r="G4647" t="s">
        <v>25</v>
      </c>
      <c r="H4647" t="s">
        <v>26</v>
      </c>
      <c r="I4647">
        <v>662850</v>
      </c>
      <c r="J4647" t="s">
        <v>27</v>
      </c>
      <c r="K4647" t="s">
        <v>6356</v>
      </c>
      <c r="L4647" t="s">
        <v>21</v>
      </c>
      <c r="M4647" t="str">
        <f t="shared" si="216"/>
        <v>OK</v>
      </c>
      <c r="N4647" t="str">
        <f t="shared" si="217"/>
        <v>1950s</v>
      </c>
      <c r="O4647" t="str">
        <f t="shared" si="218"/>
        <v>N/A</v>
      </c>
      <c r="P4647" t="str">
        <f>VLOOKUP(E4647,calculated_fields!$F$4:$G$6,2,FALSE)</f>
        <v>Demographics</v>
      </c>
    </row>
    <row r="4648" spans="1:16">
      <c r="A4648" t="s">
        <v>6358</v>
      </c>
      <c r="B4648" t="s">
        <v>6355</v>
      </c>
      <c r="C4648" t="s">
        <v>229</v>
      </c>
      <c r="D4648">
        <v>1952</v>
      </c>
      <c r="E4648" t="s">
        <v>29</v>
      </c>
      <c r="F4648" t="s">
        <v>30</v>
      </c>
      <c r="G4648" t="s">
        <v>31</v>
      </c>
      <c r="H4648" t="s">
        <v>32</v>
      </c>
      <c r="I4648">
        <v>3023.2719280000001</v>
      </c>
      <c r="J4648" t="s">
        <v>33</v>
      </c>
      <c r="K4648" t="s">
        <v>6356</v>
      </c>
      <c r="L4648" t="s">
        <v>21</v>
      </c>
      <c r="M4648" t="str">
        <f t="shared" si="216"/>
        <v>OK</v>
      </c>
      <c r="N4648" t="str">
        <f t="shared" si="217"/>
        <v>1950s</v>
      </c>
      <c r="O4648" t="str">
        <f t="shared" si="218"/>
        <v>N/A</v>
      </c>
      <c r="P4648" t="str">
        <f>VLOOKUP(E4648,calculated_fields!$F$4:$G$6,2,FALSE)</f>
        <v>Economy</v>
      </c>
    </row>
    <row r="4649" spans="1:16">
      <c r="A4649" t="s">
        <v>6359</v>
      </c>
      <c r="B4649" t="s">
        <v>6355</v>
      </c>
      <c r="C4649" t="s">
        <v>229</v>
      </c>
      <c r="D4649">
        <v>1957</v>
      </c>
      <c r="E4649" t="s">
        <v>15</v>
      </c>
      <c r="F4649" t="s">
        <v>16</v>
      </c>
      <c r="G4649" t="s">
        <v>17</v>
      </c>
      <c r="H4649" t="s">
        <v>18</v>
      </c>
      <c r="I4649">
        <v>61.8</v>
      </c>
      <c r="J4649" t="s">
        <v>19</v>
      </c>
      <c r="K4649" t="s">
        <v>6360</v>
      </c>
      <c r="L4649" t="s">
        <v>21</v>
      </c>
      <c r="M4649" t="str">
        <f t="shared" si="216"/>
        <v>OK</v>
      </c>
      <c r="N4649" t="str">
        <f t="shared" si="217"/>
        <v>1950s</v>
      </c>
      <c r="O4649" t="str">
        <f t="shared" si="218"/>
        <v>Medium</v>
      </c>
      <c r="P4649" t="str">
        <f>VLOOKUP(E4649,calculated_fields!$F$4:$G$6,2,FALSE)</f>
        <v>Health</v>
      </c>
    </row>
    <row r="4650" spans="1:16">
      <c r="A4650" t="s">
        <v>6361</v>
      </c>
      <c r="B4650" t="s">
        <v>6355</v>
      </c>
      <c r="C4650" t="s">
        <v>229</v>
      </c>
      <c r="D4650">
        <v>1957</v>
      </c>
      <c r="E4650" t="s">
        <v>23</v>
      </c>
      <c r="F4650" t="s">
        <v>24</v>
      </c>
      <c r="G4650" t="s">
        <v>25</v>
      </c>
      <c r="H4650" t="s">
        <v>26</v>
      </c>
      <c r="I4650">
        <v>764900</v>
      </c>
      <c r="J4650" t="s">
        <v>27</v>
      </c>
      <c r="K4650" t="s">
        <v>6360</v>
      </c>
      <c r="L4650" t="s">
        <v>21</v>
      </c>
      <c r="M4650" t="str">
        <f t="shared" si="216"/>
        <v>OK</v>
      </c>
      <c r="N4650" t="str">
        <f t="shared" si="217"/>
        <v>1950s</v>
      </c>
      <c r="O4650" t="str">
        <f t="shared" si="218"/>
        <v>N/A</v>
      </c>
      <c r="P4650" t="str">
        <f>VLOOKUP(E4650,calculated_fields!$F$4:$G$6,2,FALSE)</f>
        <v>Demographics</v>
      </c>
    </row>
    <row r="4651" spans="1:16">
      <c r="A4651" t="s">
        <v>6362</v>
      </c>
      <c r="B4651" t="s">
        <v>6355</v>
      </c>
      <c r="C4651" t="s">
        <v>229</v>
      </c>
      <c r="D4651">
        <v>1957</v>
      </c>
      <c r="E4651" t="s">
        <v>29</v>
      </c>
      <c r="F4651" t="s">
        <v>30</v>
      </c>
      <c r="G4651" t="s">
        <v>31</v>
      </c>
      <c r="H4651" t="s">
        <v>32</v>
      </c>
      <c r="I4651">
        <v>4100.3933999999999</v>
      </c>
      <c r="J4651" t="s">
        <v>33</v>
      </c>
      <c r="K4651" t="s">
        <v>6360</v>
      </c>
      <c r="L4651" t="s">
        <v>21</v>
      </c>
      <c r="M4651" t="str">
        <f t="shared" si="216"/>
        <v>OK</v>
      </c>
      <c r="N4651" t="str">
        <f t="shared" si="217"/>
        <v>1950s</v>
      </c>
      <c r="O4651" t="str">
        <f t="shared" si="218"/>
        <v>N/A</v>
      </c>
      <c r="P4651" t="str">
        <f>VLOOKUP(E4651,calculated_fields!$F$4:$G$6,2,FALSE)</f>
        <v>Economy</v>
      </c>
    </row>
    <row r="4652" spans="1:16">
      <c r="A4652" t="s">
        <v>6363</v>
      </c>
      <c r="B4652" t="s">
        <v>6355</v>
      </c>
      <c r="C4652" t="s">
        <v>229</v>
      </c>
      <c r="D4652">
        <v>1962</v>
      </c>
      <c r="E4652" t="s">
        <v>15</v>
      </c>
      <c r="F4652" t="s">
        <v>16</v>
      </c>
      <c r="G4652" t="s">
        <v>17</v>
      </c>
      <c r="H4652" t="s">
        <v>18</v>
      </c>
      <c r="I4652">
        <v>64.900000000000006</v>
      </c>
      <c r="J4652" t="s">
        <v>19</v>
      </c>
      <c r="K4652" t="s">
        <v>6364</v>
      </c>
      <c r="L4652" t="s">
        <v>21</v>
      </c>
      <c r="M4652" t="str">
        <f t="shared" si="216"/>
        <v>OK</v>
      </c>
      <c r="N4652" t="str">
        <f t="shared" si="217"/>
        <v>1960s</v>
      </c>
      <c r="O4652" t="str">
        <f t="shared" si="218"/>
        <v>Medium</v>
      </c>
      <c r="P4652" t="str">
        <f>VLOOKUP(E4652,calculated_fields!$F$4:$G$6,2,FALSE)</f>
        <v>Health</v>
      </c>
    </row>
    <row r="4653" spans="1:16">
      <c r="A4653" t="s">
        <v>6365</v>
      </c>
      <c r="B4653" t="s">
        <v>6355</v>
      </c>
      <c r="C4653" t="s">
        <v>229</v>
      </c>
      <c r="D4653">
        <v>1962</v>
      </c>
      <c r="E4653" t="s">
        <v>23</v>
      </c>
      <c r="F4653" t="s">
        <v>24</v>
      </c>
      <c r="G4653" t="s">
        <v>25</v>
      </c>
      <c r="H4653" t="s">
        <v>26</v>
      </c>
      <c r="I4653">
        <v>887498</v>
      </c>
      <c r="J4653" t="s">
        <v>27</v>
      </c>
      <c r="K4653" t="s">
        <v>6364</v>
      </c>
      <c r="L4653" t="s">
        <v>21</v>
      </c>
      <c r="M4653" t="str">
        <f t="shared" si="216"/>
        <v>OK</v>
      </c>
      <c r="N4653" t="str">
        <f t="shared" si="217"/>
        <v>1960s</v>
      </c>
      <c r="O4653" t="str">
        <f t="shared" si="218"/>
        <v>N/A</v>
      </c>
      <c r="P4653" t="str">
        <f>VLOOKUP(E4653,calculated_fields!$F$4:$G$6,2,FALSE)</f>
        <v>Demographics</v>
      </c>
    </row>
    <row r="4654" spans="1:16">
      <c r="A4654" t="s">
        <v>6366</v>
      </c>
      <c r="B4654" t="s">
        <v>6355</v>
      </c>
      <c r="C4654" t="s">
        <v>229</v>
      </c>
      <c r="D4654">
        <v>1962</v>
      </c>
      <c r="E4654" t="s">
        <v>29</v>
      </c>
      <c r="F4654" t="s">
        <v>30</v>
      </c>
      <c r="G4654" t="s">
        <v>31</v>
      </c>
      <c r="H4654" t="s">
        <v>32</v>
      </c>
      <c r="I4654">
        <v>4997.5239709999996</v>
      </c>
      <c r="J4654" t="s">
        <v>33</v>
      </c>
      <c r="K4654" t="s">
        <v>6364</v>
      </c>
      <c r="L4654" t="s">
        <v>21</v>
      </c>
      <c r="M4654" t="str">
        <f t="shared" si="216"/>
        <v>OK</v>
      </c>
      <c r="N4654" t="str">
        <f t="shared" si="217"/>
        <v>1960s</v>
      </c>
      <c r="O4654" t="str">
        <f t="shared" si="218"/>
        <v>N/A</v>
      </c>
      <c r="P4654" t="str">
        <f>VLOOKUP(E4654,calculated_fields!$F$4:$G$6,2,FALSE)</f>
        <v>Economy</v>
      </c>
    </row>
    <row r="4655" spans="1:16">
      <c r="A4655" t="s">
        <v>6367</v>
      </c>
      <c r="B4655" t="s">
        <v>6355</v>
      </c>
      <c r="C4655" t="s">
        <v>229</v>
      </c>
      <c r="D4655">
        <v>1967</v>
      </c>
      <c r="E4655" t="s">
        <v>15</v>
      </c>
      <c r="F4655" t="s">
        <v>16</v>
      </c>
      <c r="G4655" t="s">
        <v>17</v>
      </c>
      <c r="H4655" t="s">
        <v>18</v>
      </c>
      <c r="I4655">
        <v>65.400000000000006</v>
      </c>
      <c r="J4655" t="s">
        <v>19</v>
      </c>
      <c r="K4655" t="s">
        <v>6368</v>
      </c>
      <c r="L4655" t="s">
        <v>21</v>
      </c>
      <c r="M4655" t="str">
        <f t="shared" si="216"/>
        <v>OK</v>
      </c>
      <c r="N4655" t="str">
        <f t="shared" si="217"/>
        <v>1960s</v>
      </c>
      <c r="O4655" t="str">
        <f t="shared" si="218"/>
        <v>Medium</v>
      </c>
      <c r="P4655" t="str">
        <f>VLOOKUP(E4655,calculated_fields!$F$4:$G$6,2,FALSE)</f>
        <v>Health</v>
      </c>
    </row>
    <row r="4656" spans="1:16">
      <c r="A4656" t="s">
        <v>6369</v>
      </c>
      <c r="B4656" t="s">
        <v>6355</v>
      </c>
      <c r="C4656" t="s">
        <v>229</v>
      </c>
      <c r="D4656">
        <v>1967</v>
      </c>
      <c r="E4656" t="s">
        <v>23</v>
      </c>
      <c r="F4656" t="s">
        <v>24</v>
      </c>
      <c r="G4656" t="s">
        <v>25</v>
      </c>
      <c r="H4656" t="s">
        <v>26</v>
      </c>
      <c r="I4656">
        <v>960155</v>
      </c>
      <c r="J4656" t="s">
        <v>27</v>
      </c>
      <c r="K4656" t="s">
        <v>6368</v>
      </c>
      <c r="L4656" t="s">
        <v>21</v>
      </c>
      <c r="M4656" t="str">
        <f t="shared" si="216"/>
        <v>OK</v>
      </c>
      <c r="N4656" t="str">
        <f t="shared" si="217"/>
        <v>1960s</v>
      </c>
      <c r="O4656" t="str">
        <f t="shared" si="218"/>
        <v>N/A</v>
      </c>
      <c r="P4656" t="str">
        <f>VLOOKUP(E4656,calculated_fields!$F$4:$G$6,2,FALSE)</f>
        <v>Demographics</v>
      </c>
    </row>
    <row r="4657" spans="1:16">
      <c r="A4657" t="s">
        <v>6370</v>
      </c>
      <c r="B4657" t="s">
        <v>6355</v>
      </c>
      <c r="C4657" t="s">
        <v>229</v>
      </c>
      <c r="D4657">
        <v>1967</v>
      </c>
      <c r="E4657" t="s">
        <v>29</v>
      </c>
      <c r="F4657" t="s">
        <v>30</v>
      </c>
      <c r="G4657" t="s">
        <v>31</v>
      </c>
      <c r="H4657" t="s">
        <v>32</v>
      </c>
      <c r="I4657">
        <v>5621.3684720000001</v>
      </c>
      <c r="J4657" t="s">
        <v>33</v>
      </c>
      <c r="K4657" t="s">
        <v>6368</v>
      </c>
      <c r="L4657" t="s">
        <v>21</v>
      </c>
      <c r="M4657" t="str">
        <f t="shared" si="216"/>
        <v>OK</v>
      </c>
      <c r="N4657" t="str">
        <f t="shared" si="217"/>
        <v>1960s</v>
      </c>
      <c r="O4657" t="str">
        <f t="shared" si="218"/>
        <v>N/A</v>
      </c>
      <c r="P4657" t="str">
        <f>VLOOKUP(E4657,calculated_fields!$F$4:$G$6,2,FALSE)</f>
        <v>Economy</v>
      </c>
    </row>
    <row r="4658" spans="1:16">
      <c r="A4658" t="s">
        <v>6371</v>
      </c>
      <c r="B4658" t="s">
        <v>6355</v>
      </c>
      <c r="C4658" t="s">
        <v>229</v>
      </c>
      <c r="D4658">
        <v>1972</v>
      </c>
      <c r="E4658" t="s">
        <v>15</v>
      </c>
      <c r="F4658" t="s">
        <v>16</v>
      </c>
      <c r="G4658" t="s">
        <v>17</v>
      </c>
      <c r="H4658" t="s">
        <v>18</v>
      </c>
      <c r="I4658">
        <v>65.900000000000006</v>
      </c>
      <c r="J4658" t="s">
        <v>19</v>
      </c>
      <c r="K4658" t="s">
        <v>6372</v>
      </c>
      <c r="L4658" t="s">
        <v>21</v>
      </c>
      <c r="M4658" t="str">
        <f t="shared" si="216"/>
        <v>OK</v>
      </c>
      <c r="N4658" t="str">
        <f t="shared" si="217"/>
        <v>1970s</v>
      </c>
      <c r="O4658" t="str">
        <f t="shared" si="218"/>
        <v>Medium</v>
      </c>
      <c r="P4658" t="str">
        <f>VLOOKUP(E4658,calculated_fields!$F$4:$G$6,2,FALSE)</f>
        <v>Health</v>
      </c>
    </row>
    <row r="4659" spans="1:16">
      <c r="A4659" t="s">
        <v>6373</v>
      </c>
      <c r="B4659" t="s">
        <v>6355</v>
      </c>
      <c r="C4659" t="s">
        <v>229</v>
      </c>
      <c r="D4659">
        <v>1972</v>
      </c>
      <c r="E4659" t="s">
        <v>23</v>
      </c>
      <c r="F4659" t="s">
        <v>24</v>
      </c>
      <c r="G4659" t="s">
        <v>25</v>
      </c>
      <c r="H4659" t="s">
        <v>26</v>
      </c>
      <c r="I4659">
        <v>975199</v>
      </c>
      <c r="J4659" t="s">
        <v>27</v>
      </c>
      <c r="K4659" t="s">
        <v>6372</v>
      </c>
      <c r="L4659" t="s">
        <v>21</v>
      </c>
      <c r="M4659" t="str">
        <f t="shared" si="216"/>
        <v>OK</v>
      </c>
      <c r="N4659" t="str">
        <f t="shared" si="217"/>
        <v>1970s</v>
      </c>
      <c r="O4659" t="str">
        <f t="shared" si="218"/>
        <v>N/A</v>
      </c>
      <c r="P4659" t="str">
        <f>VLOOKUP(E4659,calculated_fields!$F$4:$G$6,2,FALSE)</f>
        <v>Demographics</v>
      </c>
    </row>
    <row r="4660" spans="1:16">
      <c r="A4660" t="s">
        <v>6374</v>
      </c>
      <c r="B4660" t="s">
        <v>6355</v>
      </c>
      <c r="C4660" t="s">
        <v>229</v>
      </c>
      <c r="D4660">
        <v>1972</v>
      </c>
      <c r="E4660" t="s">
        <v>29</v>
      </c>
      <c r="F4660" t="s">
        <v>30</v>
      </c>
      <c r="G4660" t="s">
        <v>31</v>
      </c>
      <c r="H4660" t="s">
        <v>32</v>
      </c>
      <c r="I4660">
        <v>6619.5514189999903</v>
      </c>
      <c r="J4660" t="s">
        <v>33</v>
      </c>
      <c r="K4660" t="s">
        <v>6372</v>
      </c>
      <c r="L4660" t="s">
        <v>21</v>
      </c>
      <c r="M4660" t="str">
        <f t="shared" si="216"/>
        <v>OK</v>
      </c>
      <c r="N4660" t="str">
        <f t="shared" si="217"/>
        <v>1970s</v>
      </c>
      <c r="O4660" t="str">
        <f t="shared" si="218"/>
        <v>N/A</v>
      </c>
      <c r="P4660" t="str">
        <f>VLOOKUP(E4660,calculated_fields!$F$4:$G$6,2,FALSE)</f>
        <v>Economy</v>
      </c>
    </row>
    <row r="4661" spans="1:16">
      <c r="A4661" t="s">
        <v>6375</v>
      </c>
      <c r="B4661" t="s">
        <v>6355</v>
      </c>
      <c r="C4661" t="s">
        <v>229</v>
      </c>
      <c r="D4661">
        <v>1977</v>
      </c>
      <c r="E4661" t="s">
        <v>15</v>
      </c>
      <c r="F4661" t="s">
        <v>16</v>
      </c>
      <c r="G4661" t="s">
        <v>17</v>
      </c>
      <c r="H4661" t="s">
        <v>18</v>
      </c>
      <c r="I4661">
        <v>68.3</v>
      </c>
      <c r="J4661" t="s">
        <v>19</v>
      </c>
      <c r="K4661" t="s">
        <v>6376</v>
      </c>
      <c r="L4661" t="s">
        <v>21</v>
      </c>
      <c r="M4661" t="str">
        <f t="shared" si="216"/>
        <v>OK</v>
      </c>
      <c r="N4661" t="str">
        <f t="shared" si="217"/>
        <v>1970s</v>
      </c>
      <c r="O4661" t="str">
        <f t="shared" si="218"/>
        <v>Medium</v>
      </c>
      <c r="P4661" t="str">
        <f>VLOOKUP(E4661,calculated_fields!$F$4:$G$6,2,FALSE)</f>
        <v>Health</v>
      </c>
    </row>
    <row r="4662" spans="1:16">
      <c r="A4662" t="s">
        <v>6377</v>
      </c>
      <c r="B4662" t="s">
        <v>6355</v>
      </c>
      <c r="C4662" t="s">
        <v>229</v>
      </c>
      <c r="D4662">
        <v>1977</v>
      </c>
      <c r="E4662" t="s">
        <v>23</v>
      </c>
      <c r="F4662" t="s">
        <v>24</v>
      </c>
      <c r="G4662" t="s">
        <v>25</v>
      </c>
      <c r="H4662" t="s">
        <v>26</v>
      </c>
      <c r="I4662">
        <v>1039009</v>
      </c>
      <c r="J4662" t="s">
        <v>27</v>
      </c>
      <c r="K4662" t="s">
        <v>6376</v>
      </c>
      <c r="L4662" t="s">
        <v>21</v>
      </c>
      <c r="M4662" t="str">
        <f t="shared" si="216"/>
        <v>OK</v>
      </c>
      <c r="N4662" t="str">
        <f t="shared" si="217"/>
        <v>1970s</v>
      </c>
      <c r="O4662" t="str">
        <f t="shared" si="218"/>
        <v>N/A</v>
      </c>
      <c r="P4662" t="str">
        <f>VLOOKUP(E4662,calculated_fields!$F$4:$G$6,2,FALSE)</f>
        <v>Demographics</v>
      </c>
    </row>
    <row r="4663" spans="1:16">
      <c r="A4663" t="s">
        <v>6378</v>
      </c>
      <c r="B4663" t="s">
        <v>6355</v>
      </c>
      <c r="C4663" t="s">
        <v>229</v>
      </c>
      <c r="D4663">
        <v>1977</v>
      </c>
      <c r="E4663" t="s">
        <v>29</v>
      </c>
      <c r="F4663" t="s">
        <v>30</v>
      </c>
      <c r="G4663" t="s">
        <v>31</v>
      </c>
      <c r="H4663" t="s">
        <v>32</v>
      </c>
      <c r="I4663">
        <v>7899.5542089999999</v>
      </c>
      <c r="J4663" t="s">
        <v>33</v>
      </c>
      <c r="K4663" t="s">
        <v>6376</v>
      </c>
      <c r="L4663" t="s">
        <v>21</v>
      </c>
      <c r="M4663" t="str">
        <f t="shared" si="216"/>
        <v>OK</v>
      </c>
      <c r="N4663" t="str">
        <f t="shared" si="217"/>
        <v>1970s</v>
      </c>
      <c r="O4663" t="str">
        <f t="shared" si="218"/>
        <v>N/A</v>
      </c>
      <c r="P4663" t="str">
        <f>VLOOKUP(E4663,calculated_fields!$F$4:$G$6,2,FALSE)</f>
        <v>Economy</v>
      </c>
    </row>
    <row r="4664" spans="1:16">
      <c r="A4664" t="s">
        <v>6379</v>
      </c>
      <c r="B4664" t="s">
        <v>6355</v>
      </c>
      <c r="C4664" t="s">
        <v>229</v>
      </c>
      <c r="D4664">
        <v>1982</v>
      </c>
      <c r="E4664" t="s">
        <v>15</v>
      </c>
      <c r="F4664" t="s">
        <v>16</v>
      </c>
      <c r="G4664" t="s">
        <v>17</v>
      </c>
      <c r="H4664" t="s">
        <v>18</v>
      </c>
      <c r="I4664">
        <v>68.831999999999994</v>
      </c>
      <c r="J4664" t="s">
        <v>19</v>
      </c>
      <c r="K4664" t="s">
        <v>6380</v>
      </c>
      <c r="L4664" t="s">
        <v>21</v>
      </c>
      <c r="M4664" t="str">
        <f t="shared" si="216"/>
        <v>OK</v>
      </c>
      <c r="N4664" t="str">
        <f t="shared" si="217"/>
        <v>1980s</v>
      </c>
      <c r="O4664" t="str">
        <f t="shared" si="218"/>
        <v>Medium</v>
      </c>
      <c r="P4664" t="str">
        <f>VLOOKUP(E4664,calculated_fields!$F$4:$G$6,2,FALSE)</f>
        <v>Health</v>
      </c>
    </row>
    <row r="4665" spans="1:16">
      <c r="A4665" t="s">
        <v>6381</v>
      </c>
      <c r="B4665" t="s">
        <v>6355</v>
      </c>
      <c r="C4665" t="s">
        <v>229</v>
      </c>
      <c r="D4665">
        <v>1982</v>
      </c>
      <c r="E4665" t="s">
        <v>23</v>
      </c>
      <c r="F4665" t="s">
        <v>24</v>
      </c>
      <c r="G4665" t="s">
        <v>25</v>
      </c>
      <c r="H4665" t="s">
        <v>26</v>
      </c>
      <c r="I4665">
        <v>1116479</v>
      </c>
      <c r="J4665" t="s">
        <v>27</v>
      </c>
      <c r="K4665" t="s">
        <v>6380</v>
      </c>
      <c r="L4665" t="s">
        <v>21</v>
      </c>
      <c r="M4665" t="str">
        <f t="shared" si="216"/>
        <v>OK</v>
      </c>
      <c r="N4665" t="str">
        <f t="shared" si="217"/>
        <v>1980s</v>
      </c>
      <c r="O4665" t="str">
        <f t="shared" si="218"/>
        <v>N/A</v>
      </c>
      <c r="P4665" t="str">
        <f>VLOOKUP(E4665,calculated_fields!$F$4:$G$6,2,FALSE)</f>
        <v>Demographics</v>
      </c>
    </row>
    <row r="4666" spans="1:16">
      <c r="A4666" t="s">
        <v>6382</v>
      </c>
      <c r="B4666" t="s">
        <v>6355</v>
      </c>
      <c r="C4666" t="s">
        <v>229</v>
      </c>
      <c r="D4666">
        <v>1982</v>
      </c>
      <c r="E4666" t="s">
        <v>29</v>
      </c>
      <c r="F4666" t="s">
        <v>30</v>
      </c>
      <c r="G4666" t="s">
        <v>31</v>
      </c>
      <c r="H4666" t="s">
        <v>32</v>
      </c>
      <c r="I4666">
        <v>9119.5286070000002</v>
      </c>
      <c r="J4666" t="s">
        <v>33</v>
      </c>
      <c r="K4666" t="s">
        <v>6380</v>
      </c>
      <c r="L4666" t="s">
        <v>21</v>
      </c>
      <c r="M4666" t="str">
        <f t="shared" si="216"/>
        <v>OK</v>
      </c>
      <c r="N4666" t="str">
        <f t="shared" si="217"/>
        <v>1980s</v>
      </c>
      <c r="O4666" t="str">
        <f t="shared" si="218"/>
        <v>N/A</v>
      </c>
      <c r="P4666" t="str">
        <f>VLOOKUP(E4666,calculated_fields!$F$4:$G$6,2,FALSE)</f>
        <v>Economy</v>
      </c>
    </row>
    <row r="4667" spans="1:16">
      <c r="A4667" t="s">
        <v>6383</v>
      </c>
      <c r="B4667" t="s">
        <v>6355</v>
      </c>
      <c r="C4667" t="s">
        <v>229</v>
      </c>
      <c r="D4667">
        <v>1987</v>
      </c>
      <c r="E4667" t="s">
        <v>15</v>
      </c>
      <c r="F4667" t="s">
        <v>16</v>
      </c>
      <c r="G4667" t="s">
        <v>17</v>
      </c>
      <c r="H4667" t="s">
        <v>18</v>
      </c>
      <c r="I4667">
        <v>69.581999999999994</v>
      </c>
      <c r="J4667" t="s">
        <v>19</v>
      </c>
      <c r="K4667" t="s">
        <v>6384</v>
      </c>
      <c r="L4667" t="s">
        <v>21</v>
      </c>
      <c r="M4667" t="str">
        <f t="shared" si="216"/>
        <v>OK</v>
      </c>
      <c r="N4667" t="str">
        <f t="shared" si="217"/>
        <v>1980s</v>
      </c>
      <c r="O4667" t="str">
        <f t="shared" si="218"/>
        <v>Medium</v>
      </c>
      <c r="P4667" t="str">
        <f>VLOOKUP(E4667,calculated_fields!$F$4:$G$6,2,FALSE)</f>
        <v>Health</v>
      </c>
    </row>
    <row r="4668" spans="1:16">
      <c r="A4668" t="s">
        <v>6385</v>
      </c>
      <c r="B4668" t="s">
        <v>6355</v>
      </c>
      <c r="C4668" t="s">
        <v>229</v>
      </c>
      <c r="D4668">
        <v>1987</v>
      </c>
      <c r="E4668" t="s">
        <v>23</v>
      </c>
      <c r="F4668" t="s">
        <v>24</v>
      </c>
      <c r="G4668" t="s">
        <v>25</v>
      </c>
      <c r="H4668" t="s">
        <v>26</v>
      </c>
      <c r="I4668">
        <v>1191336</v>
      </c>
      <c r="J4668" t="s">
        <v>27</v>
      </c>
      <c r="K4668" t="s">
        <v>6384</v>
      </c>
      <c r="L4668" t="s">
        <v>21</v>
      </c>
      <c r="M4668" t="str">
        <f t="shared" si="216"/>
        <v>OK</v>
      </c>
      <c r="N4668" t="str">
        <f t="shared" si="217"/>
        <v>1980s</v>
      </c>
      <c r="O4668" t="str">
        <f t="shared" si="218"/>
        <v>N/A</v>
      </c>
      <c r="P4668" t="str">
        <f>VLOOKUP(E4668,calculated_fields!$F$4:$G$6,2,FALSE)</f>
        <v>Demographics</v>
      </c>
    </row>
    <row r="4669" spans="1:16">
      <c r="A4669" t="s">
        <v>6386</v>
      </c>
      <c r="B4669" t="s">
        <v>6355</v>
      </c>
      <c r="C4669" t="s">
        <v>229</v>
      </c>
      <c r="D4669">
        <v>1987</v>
      </c>
      <c r="E4669" t="s">
        <v>29</v>
      </c>
      <c r="F4669" t="s">
        <v>30</v>
      </c>
      <c r="G4669" t="s">
        <v>31</v>
      </c>
      <c r="H4669" t="s">
        <v>32</v>
      </c>
      <c r="I4669">
        <v>7388.5978230000001</v>
      </c>
      <c r="J4669" t="s">
        <v>33</v>
      </c>
      <c r="K4669" t="s">
        <v>6384</v>
      </c>
      <c r="L4669" t="s">
        <v>21</v>
      </c>
      <c r="M4669" t="str">
        <f t="shared" si="216"/>
        <v>OK</v>
      </c>
      <c r="N4669" t="str">
        <f t="shared" si="217"/>
        <v>1980s</v>
      </c>
      <c r="O4669" t="str">
        <f t="shared" si="218"/>
        <v>N/A</v>
      </c>
      <c r="P4669" t="str">
        <f>VLOOKUP(E4669,calculated_fields!$F$4:$G$6,2,FALSE)</f>
        <v>Economy</v>
      </c>
    </row>
    <row r="4670" spans="1:16">
      <c r="A4670" t="s">
        <v>6387</v>
      </c>
      <c r="B4670" t="s">
        <v>6355</v>
      </c>
      <c r="C4670" t="s">
        <v>229</v>
      </c>
      <c r="D4670">
        <v>1992</v>
      </c>
      <c r="E4670" t="s">
        <v>15</v>
      </c>
      <c r="F4670" t="s">
        <v>16</v>
      </c>
      <c r="G4670" t="s">
        <v>17</v>
      </c>
      <c r="H4670" t="s">
        <v>18</v>
      </c>
      <c r="I4670">
        <v>69.861999999999995</v>
      </c>
      <c r="J4670" t="s">
        <v>19</v>
      </c>
      <c r="K4670" t="s">
        <v>6388</v>
      </c>
      <c r="L4670" t="s">
        <v>21</v>
      </c>
      <c r="M4670" t="str">
        <f t="shared" si="216"/>
        <v>OK</v>
      </c>
      <c r="N4670" t="str">
        <f t="shared" si="217"/>
        <v>1990s</v>
      </c>
      <c r="O4670" t="str">
        <f t="shared" si="218"/>
        <v>Medium</v>
      </c>
      <c r="P4670" t="str">
        <f>VLOOKUP(E4670,calculated_fields!$F$4:$G$6,2,FALSE)</f>
        <v>Health</v>
      </c>
    </row>
    <row r="4671" spans="1:16">
      <c r="A4671" t="s">
        <v>6389</v>
      </c>
      <c r="B4671" t="s">
        <v>6355</v>
      </c>
      <c r="C4671" t="s">
        <v>229</v>
      </c>
      <c r="D4671">
        <v>1992</v>
      </c>
      <c r="E4671" t="s">
        <v>23</v>
      </c>
      <c r="F4671" t="s">
        <v>24</v>
      </c>
      <c r="G4671" t="s">
        <v>25</v>
      </c>
      <c r="H4671" t="s">
        <v>26</v>
      </c>
      <c r="I4671">
        <v>1183669</v>
      </c>
      <c r="J4671" t="s">
        <v>27</v>
      </c>
      <c r="K4671" t="s">
        <v>6388</v>
      </c>
      <c r="L4671" t="s">
        <v>21</v>
      </c>
      <c r="M4671" t="str">
        <f t="shared" si="216"/>
        <v>OK</v>
      </c>
      <c r="N4671" t="str">
        <f t="shared" si="217"/>
        <v>1990s</v>
      </c>
      <c r="O4671" t="str">
        <f t="shared" si="218"/>
        <v>N/A</v>
      </c>
      <c r="P4671" t="str">
        <f>VLOOKUP(E4671,calculated_fields!$F$4:$G$6,2,FALSE)</f>
        <v>Demographics</v>
      </c>
    </row>
    <row r="4672" spans="1:16">
      <c r="A4672" t="s">
        <v>6390</v>
      </c>
      <c r="B4672" t="s">
        <v>6355</v>
      </c>
      <c r="C4672" t="s">
        <v>229</v>
      </c>
      <c r="D4672">
        <v>1992</v>
      </c>
      <c r="E4672" t="s">
        <v>29</v>
      </c>
      <c r="F4672" t="s">
        <v>30</v>
      </c>
      <c r="G4672" t="s">
        <v>31</v>
      </c>
      <c r="H4672" t="s">
        <v>32</v>
      </c>
      <c r="I4672">
        <v>7370.9909319999997</v>
      </c>
      <c r="J4672" t="s">
        <v>33</v>
      </c>
      <c r="K4672" t="s">
        <v>6388</v>
      </c>
      <c r="L4672" t="s">
        <v>21</v>
      </c>
      <c r="M4672" t="str">
        <f t="shared" si="216"/>
        <v>OK</v>
      </c>
      <c r="N4672" t="str">
        <f t="shared" si="217"/>
        <v>1990s</v>
      </c>
      <c r="O4672" t="str">
        <f t="shared" si="218"/>
        <v>N/A</v>
      </c>
      <c r="P4672" t="str">
        <f>VLOOKUP(E4672,calculated_fields!$F$4:$G$6,2,FALSE)</f>
        <v>Economy</v>
      </c>
    </row>
    <row r="4673" spans="1:16">
      <c r="A4673" t="s">
        <v>6391</v>
      </c>
      <c r="B4673" t="s">
        <v>6355</v>
      </c>
      <c r="C4673" t="s">
        <v>229</v>
      </c>
      <c r="D4673">
        <v>1997</v>
      </c>
      <c r="E4673" t="s">
        <v>15</v>
      </c>
      <c r="F4673" t="s">
        <v>16</v>
      </c>
      <c r="G4673" t="s">
        <v>17</v>
      </c>
      <c r="H4673" t="s">
        <v>18</v>
      </c>
      <c r="I4673">
        <v>69.465000000000003</v>
      </c>
      <c r="J4673" t="s">
        <v>19</v>
      </c>
      <c r="K4673" t="s">
        <v>6392</v>
      </c>
      <c r="L4673" t="s">
        <v>21</v>
      </c>
      <c r="M4673" t="str">
        <f t="shared" si="216"/>
        <v>OK</v>
      </c>
      <c r="N4673" t="str">
        <f t="shared" si="217"/>
        <v>1990s</v>
      </c>
      <c r="O4673" t="str">
        <f t="shared" si="218"/>
        <v>Medium</v>
      </c>
      <c r="P4673" t="str">
        <f>VLOOKUP(E4673,calculated_fields!$F$4:$G$6,2,FALSE)</f>
        <v>Health</v>
      </c>
    </row>
    <row r="4674" spans="1:16">
      <c r="A4674" t="s">
        <v>6393</v>
      </c>
      <c r="B4674" t="s">
        <v>6355</v>
      </c>
      <c r="C4674" t="s">
        <v>229</v>
      </c>
      <c r="D4674">
        <v>1997</v>
      </c>
      <c r="E4674" t="s">
        <v>23</v>
      </c>
      <c r="F4674" t="s">
        <v>24</v>
      </c>
      <c r="G4674" t="s">
        <v>25</v>
      </c>
      <c r="H4674" t="s">
        <v>26</v>
      </c>
      <c r="I4674">
        <v>1138101</v>
      </c>
      <c r="J4674" t="s">
        <v>27</v>
      </c>
      <c r="K4674" t="s">
        <v>6392</v>
      </c>
      <c r="L4674" t="s">
        <v>21</v>
      </c>
      <c r="M4674" t="str">
        <f t="shared" ref="M4674:M4737" si="219">IF(AND(ISNUMBER(I4674),I4674&gt;=0),"OK","Review")</f>
        <v>OK</v>
      </c>
      <c r="N4674" t="str">
        <f t="shared" ref="N4674:N4737" si="220">FLOOR(D4674,10)&amp;"s"</f>
        <v>1990s</v>
      </c>
      <c r="O4674" t="str">
        <f t="shared" ref="O4674:O4737" si="221">IF(E4674="LIFE_EXP",IF(I4674&gt;=70,"High",IF(I4674&gt;=55,"Medium","Low")),"N/A")</f>
        <v>N/A</v>
      </c>
      <c r="P4674" t="str">
        <f>VLOOKUP(E4674,calculated_fields!$F$4:$G$6,2,FALSE)</f>
        <v>Demographics</v>
      </c>
    </row>
    <row r="4675" spans="1:16">
      <c r="A4675" t="s">
        <v>6394</v>
      </c>
      <c r="B4675" t="s">
        <v>6355</v>
      </c>
      <c r="C4675" t="s">
        <v>229</v>
      </c>
      <c r="D4675">
        <v>1997</v>
      </c>
      <c r="E4675" t="s">
        <v>29</v>
      </c>
      <c r="F4675" t="s">
        <v>30</v>
      </c>
      <c r="G4675" t="s">
        <v>31</v>
      </c>
      <c r="H4675" t="s">
        <v>32</v>
      </c>
      <c r="I4675">
        <v>8792.5731259999993</v>
      </c>
      <c r="J4675" t="s">
        <v>33</v>
      </c>
      <c r="K4675" t="s">
        <v>6392</v>
      </c>
      <c r="L4675" t="s">
        <v>21</v>
      </c>
      <c r="M4675" t="str">
        <f t="shared" si="219"/>
        <v>OK</v>
      </c>
      <c r="N4675" t="str">
        <f t="shared" si="220"/>
        <v>1990s</v>
      </c>
      <c r="O4675" t="str">
        <f t="shared" si="221"/>
        <v>N/A</v>
      </c>
      <c r="P4675" t="str">
        <f>VLOOKUP(E4675,calculated_fields!$F$4:$G$6,2,FALSE)</f>
        <v>Economy</v>
      </c>
    </row>
    <row r="4676" spans="1:16">
      <c r="A4676" t="s">
        <v>6395</v>
      </c>
      <c r="B4676" t="s">
        <v>6355</v>
      </c>
      <c r="C4676" t="s">
        <v>229</v>
      </c>
      <c r="D4676">
        <v>2002</v>
      </c>
      <c r="E4676" t="s">
        <v>15</v>
      </c>
      <c r="F4676" t="s">
        <v>16</v>
      </c>
      <c r="G4676" t="s">
        <v>17</v>
      </c>
      <c r="H4676" t="s">
        <v>18</v>
      </c>
      <c r="I4676">
        <v>68.975999999999999</v>
      </c>
      <c r="J4676" t="s">
        <v>19</v>
      </c>
      <c r="K4676" t="s">
        <v>6396</v>
      </c>
      <c r="L4676" t="s">
        <v>21</v>
      </c>
      <c r="M4676" t="str">
        <f t="shared" si="219"/>
        <v>OK</v>
      </c>
      <c r="N4676" t="str">
        <f t="shared" si="220"/>
        <v>2000s</v>
      </c>
      <c r="O4676" t="str">
        <f t="shared" si="221"/>
        <v>Medium</v>
      </c>
      <c r="P4676" t="str">
        <f>VLOOKUP(E4676,calculated_fields!$F$4:$G$6,2,FALSE)</f>
        <v>Health</v>
      </c>
    </row>
    <row r="4677" spans="1:16">
      <c r="A4677" t="s">
        <v>6397</v>
      </c>
      <c r="B4677" t="s">
        <v>6355</v>
      </c>
      <c r="C4677" t="s">
        <v>229</v>
      </c>
      <c r="D4677">
        <v>2002</v>
      </c>
      <c r="E4677" t="s">
        <v>23</v>
      </c>
      <c r="F4677" t="s">
        <v>24</v>
      </c>
      <c r="G4677" t="s">
        <v>25</v>
      </c>
      <c r="H4677" t="s">
        <v>26</v>
      </c>
      <c r="I4677">
        <v>1101832</v>
      </c>
      <c r="J4677" t="s">
        <v>27</v>
      </c>
      <c r="K4677" t="s">
        <v>6396</v>
      </c>
      <c r="L4677" t="s">
        <v>21</v>
      </c>
      <c r="M4677" t="str">
        <f t="shared" si="219"/>
        <v>OK</v>
      </c>
      <c r="N4677" t="str">
        <f t="shared" si="220"/>
        <v>2000s</v>
      </c>
      <c r="O4677" t="str">
        <f t="shared" si="221"/>
        <v>N/A</v>
      </c>
      <c r="P4677" t="str">
        <f>VLOOKUP(E4677,calculated_fields!$F$4:$G$6,2,FALSE)</f>
        <v>Demographics</v>
      </c>
    </row>
    <row r="4678" spans="1:16">
      <c r="A4678" t="s">
        <v>6398</v>
      </c>
      <c r="B4678" t="s">
        <v>6355</v>
      </c>
      <c r="C4678" t="s">
        <v>229</v>
      </c>
      <c r="D4678">
        <v>2002</v>
      </c>
      <c r="E4678" t="s">
        <v>29</v>
      </c>
      <c r="F4678" t="s">
        <v>30</v>
      </c>
      <c r="G4678" t="s">
        <v>31</v>
      </c>
      <c r="H4678" t="s">
        <v>32</v>
      </c>
      <c r="I4678">
        <v>11460.60023</v>
      </c>
      <c r="J4678" t="s">
        <v>33</v>
      </c>
      <c r="K4678" t="s">
        <v>6396</v>
      </c>
      <c r="L4678" t="s">
        <v>21</v>
      </c>
      <c r="M4678" t="str">
        <f t="shared" si="219"/>
        <v>OK</v>
      </c>
      <c r="N4678" t="str">
        <f t="shared" si="220"/>
        <v>2000s</v>
      </c>
      <c r="O4678" t="str">
        <f t="shared" si="221"/>
        <v>N/A</v>
      </c>
      <c r="P4678" t="str">
        <f>VLOOKUP(E4678,calculated_fields!$F$4:$G$6,2,FALSE)</f>
        <v>Economy</v>
      </c>
    </row>
    <row r="4679" spans="1:16">
      <c r="A4679" t="s">
        <v>6399</v>
      </c>
      <c r="B4679" t="s">
        <v>6355</v>
      </c>
      <c r="C4679" t="s">
        <v>229</v>
      </c>
      <c r="D4679">
        <v>2007</v>
      </c>
      <c r="E4679" t="s">
        <v>15</v>
      </c>
      <c r="F4679" t="s">
        <v>16</v>
      </c>
      <c r="G4679" t="s">
        <v>17</v>
      </c>
      <c r="H4679" t="s">
        <v>18</v>
      </c>
      <c r="I4679">
        <v>69.819000000000003</v>
      </c>
      <c r="J4679" t="s">
        <v>19</v>
      </c>
      <c r="K4679" t="s">
        <v>6400</v>
      </c>
      <c r="L4679" t="s">
        <v>21</v>
      </c>
      <c r="M4679" t="str">
        <f t="shared" si="219"/>
        <v>OK</v>
      </c>
      <c r="N4679" t="str">
        <f t="shared" si="220"/>
        <v>2000s</v>
      </c>
      <c r="O4679" t="str">
        <f t="shared" si="221"/>
        <v>Medium</v>
      </c>
      <c r="P4679" t="str">
        <f>VLOOKUP(E4679,calculated_fields!$F$4:$G$6,2,FALSE)</f>
        <v>Health</v>
      </c>
    </row>
    <row r="4680" spans="1:16">
      <c r="A4680" t="s">
        <v>6401</v>
      </c>
      <c r="B4680" t="s">
        <v>6355</v>
      </c>
      <c r="C4680" t="s">
        <v>229</v>
      </c>
      <c r="D4680">
        <v>2007</v>
      </c>
      <c r="E4680" t="s">
        <v>23</v>
      </c>
      <c r="F4680" t="s">
        <v>24</v>
      </c>
      <c r="G4680" t="s">
        <v>25</v>
      </c>
      <c r="H4680" t="s">
        <v>26</v>
      </c>
      <c r="I4680">
        <v>1056608</v>
      </c>
      <c r="J4680" t="s">
        <v>27</v>
      </c>
      <c r="K4680" t="s">
        <v>6400</v>
      </c>
      <c r="L4680" t="s">
        <v>21</v>
      </c>
      <c r="M4680" t="str">
        <f t="shared" si="219"/>
        <v>OK</v>
      </c>
      <c r="N4680" t="str">
        <f t="shared" si="220"/>
        <v>2000s</v>
      </c>
      <c r="O4680" t="str">
        <f t="shared" si="221"/>
        <v>N/A</v>
      </c>
      <c r="P4680" t="str">
        <f>VLOOKUP(E4680,calculated_fields!$F$4:$G$6,2,FALSE)</f>
        <v>Demographics</v>
      </c>
    </row>
    <row r="4681" spans="1:16">
      <c r="A4681" t="s">
        <v>6402</v>
      </c>
      <c r="B4681" t="s">
        <v>6355</v>
      </c>
      <c r="C4681" t="s">
        <v>229</v>
      </c>
      <c r="D4681">
        <v>2007</v>
      </c>
      <c r="E4681" t="s">
        <v>29</v>
      </c>
      <c r="F4681" t="s">
        <v>30</v>
      </c>
      <c r="G4681" t="s">
        <v>31</v>
      </c>
      <c r="H4681" t="s">
        <v>32</v>
      </c>
      <c r="I4681">
        <v>18008.509239999999</v>
      </c>
      <c r="J4681" t="s">
        <v>33</v>
      </c>
      <c r="K4681" t="s">
        <v>6400</v>
      </c>
      <c r="L4681" t="s">
        <v>21</v>
      </c>
      <c r="M4681" t="str">
        <f t="shared" si="219"/>
        <v>OK</v>
      </c>
      <c r="N4681" t="str">
        <f t="shared" si="220"/>
        <v>2000s</v>
      </c>
      <c r="O4681" t="str">
        <f t="shared" si="221"/>
        <v>N/A</v>
      </c>
      <c r="P4681" t="str">
        <f>VLOOKUP(E4681,calculated_fields!$F$4:$G$6,2,FALSE)</f>
        <v>Economy</v>
      </c>
    </row>
    <row r="4682" spans="1:16">
      <c r="A4682" t="s">
        <v>6403</v>
      </c>
      <c r="B4682" t="s">
        <v>6404</v>
      </c>
      <c r="C4682" t="s">
        <v>130</v>
      </c>
      <c r="D4682">
        <v>1952</v>
      </c>
      <c r="E4682" t="s">
        <v>15</v>
      </c>
      <c r="F4682" t="s">
        <v>16</v>
      </c>
      <c r="G4682" t="s">
        <v>17</v>
      </c>
      <c r="H4682" t="s">
        <v>18</v>
      </c>
      <c r="I4682">
        <v>44.6</v>
      </c>
      <c r="J4682" t="s">
        <v>19</v>
      </c>
      <c r="K4682" t="s">
        <v>6405</v>
      </c>
      <c r="L4682" t="s">
        <v>21</v>
      </c>
      <c r="M4682" t="str">
        <f t="shared" si="219"/>
        <v>OK</v>
      </c>
      <c r="N4682" t="str">
        <f t="shared" si="220"/>
        <v>1950s</v>
      </c>
      <c r="O4682" t="str">
        <f t="shared" si="221"/>
        <v>Low</v>
      </c>
      <c r="P4682" t="str">
        <f>VLOOKUP(E4682,calculated_fields!$F$4:$G$6,2,FALSE)</f>
        <v>Health</v>
      </c>
    </row>
    <row r="4683" spans="1:16">
      <c r="A4683" t="s">
        <v>6406</v>
      </c>
      <c r="B4683" t="s">
        <v>6404</v>
      </c>
      <c r="C4683" t="s">
        <v>130</v>
      </c>
      <c r="D4683">
        <v>1952</v>
      </c>
      <c r="E4683" t="s">
        <v>23</v>
      </c>
      <c r="F4683" t="s">
        <v>24</v>
      </c>
      <c r="G4683" t="s">
        <v>25</v>
      </c>
      <c r="H4683" t="s">
        <v>26</v>
      </c>
      <c r="I4683">
        <v>3647735</v>
      </c>
      <c r="J4683" t="s">
        <v>27</v>
      </c>
      <c r="K4683" t="s">
        <v>6405</v>
      </c>
      <c r="L4683" t="s">
        <v>21</v>
      </c>
      <c r="M4683" t="str">
        <f t="shared" si="219"/>
        <v>OK</v>
      </c>
      <c r="N4683" t="str">
        <f t="shared" si="220"/>
        <v>1950s</v>
      </c>
      <c r="O4683" t="str">
        <f t="shared" si="221"/>
        <v>N/A</v>
      </c>
      <c r="P4683" t="str">
        <f>VLOOKUP(E4683,calculated_fields!$F$4:$G$6,2,FALSE)</f>
        <v>Demographics</v>
      </c>
    </row>
    <row r="4684" spans="1:16">
      <c r="A4684" t="s">
        <v>6407</v>
      </c>
      <c r="B4684" t="s">
        <v>6404</v>
      </c>
      <c r="C4684" t="s">
        <v>130</v>
      </c>
      <c r="D4684">
        <v>1952</v>
      </c>
      <c r="E4684" t="s">
        <v>29</v>
      </c>
      <c r="F4684" t="s">
        <v>30</v>
      </c>
      <c r="G4684" t="s">
        <v>31</v>
      </c>
      <c r="H4684" t="s">
        <v>32</v>
      </c>
      <c r="I4684">
        <v>1468.475631</v>
      </c>
      <c r="J4684" t="s">
        <v>33</v>
      </c>
      <c r="K4684" t="s">
        <v>6405</v>
      </c>
      <c r="L4684" t="s">
        <v>21</v>
      </c>
      <c r="M4684" t="str">
        <f t="shared" si="219"/>
        <v>OK</v>
      </c>
      <c r="N4684" t="str">
        <f t="shared" si="220"/>
        <v>1950s</v>
      </c>
      <c r="O4684" t="str">
        <f t="shared" si="221"/>
        <v>N/A</v>
      </c>
      <c r="P4684" t="str">
        <f>VLOOKUP(E4684,calculated_fields!$F$4:$G$6,2,FALSE)</f>
        <v>Economy</v>
      </c>
    </row>
    <row r="4685" spans="1:16">
      <c r="A4685" t="s">
        <v>6408</v>
      </c>
      <c r="B4685" t="s">
        <v>6404</v>
      </c>
      <c r="C4685" t="s">
        <v>130</v>
      </c>
      <c r="D4685">
        <v>1957</v>
      </c>
      <c r="E4685" t="s">
        <v>15</v>
      </c>
      <c r="F4685" t="s">
        <v>16</v>
      </c>
      <c r="G4685" t="s">
        <v>17</v>
      </c>
      <c r="H4685" t="s">
        <v>18</v>
      </c>
      <c r="I4685">
        <v>47.1</v>
      </c>
      <c r="J4685" t="s">
        <v>19</v>
      </c>
      <c r="K4685" t="s">
        <v>6409</v>
      </c>
      <c r="L4685" t="s">
        <v>21</v>
      </c>
      <c r="M4685" t="str">
        <f t="shared" si="219"/>
        <v>OK</v>
      </c>
      <c r="N4685" t="str">
        <f t="shared" si="220"/>
        <v>1950s</v>
      </c>
      <c r="O4685" t="str">
        <f t="shared" si="221"/>
        <v>Low</v>
      </c>
      <c r="P4685" t="str">
        <f>VLOOKUP(E4685,calculated_fields!$F$4:$G$6,2,FALSE)</f>
        <v>Health</v>
      </c>
    </row>
    <row r="4686" spans="1:16">
      <c r="A4686" t="s">
        <v>6410</v>
      </c>
      <c r="B4686" t="s">
        <v>6404</v>
      </c>
      <c r="C4686" t="s">
        <v>130</v>
      </c>
      <c r="D4686">
        <v>1957</v>
      </c>
      <c r="E4686" t="s">
        <v>23</v>
      </c>
      <c r="F4686" t="s">
        <v>24</v>
      </c>
      <c r="G4686" t="s">
        <v>25</v>
      </c>
      <c r="H4686" t="s">
        <v>26</v>
      </c>
      <c r="I4686">
        <v>3950849</v>
      </c>
      <c r="J4686" t="s">
        <v>27</v>
      </c>
      <c r="K4686" t="s">
        <v>6409</v>
      </c>
      <c r="L4686" t="s">
        <v>21</v>
      </c>
      <c r="M4686" t="str">
        <f t="shared" si="219"/>
        <v>OK</v>
      </c>
      <c r="N4686" t="str">
        <f t="shared" si="220"/>
        <v>1950s</v>
      </c>
      <c r="O4686" t="str">
        <f t="shared" si="221"/>
        <v>N/A</v>
      </c>
      <c r="P4686" t="str">
        <f>VLOOKUP(E4686,calculated_fields!$F$4:$G$6,2,FALSE)</f>
        <v>Demographics</v>
      </c>
    </row>
    <row r="4687" spans="1:16">
      <c r="A4687" t="s">
        <v>6411</v>
      </c>
      <c r="B4687" t="s">
        <v>6404</v>
      </c>
      <c r="C4687" t="s">
        <v>130</v>
      </c>
      <c r="D4687">
        <v>1957</v>
      </c>
      <c r="E4687" t="s">
        <v>29</v>
      </c>
      <c r="F4687" t="s">
        <v>30</v>
      </c>
      <c r="G4687" t="s">
        <v>31</v>
      </c>
      <c r="H4687" t="s">
        <v>32</v>
      </c>
      <c r="I4687">
        <v>1395.2324679999999</v>
      </c>
      <c r="J4687" t="s">
        <v>33</v>
      </c>
      <c r="K4687" t="s">
        <v>6409</v>
      </c>
      <c r="L4687" t="s">
        <v>21</v>
      </c>
      <c r="M4687" t="str">
        <f t="shared" si="219"/>
        <v>OK</v>
      </c>
      <c r="N4687" t="str">
        <f t="shared" si="220"/>
        <v>1950s</v>
      </c>
      <c r="O4687" t="str">
        <f t="shared" si="221"/>
        <v>N/A</v>
      </c>
      <c r="P4687" t="str">
        <f>VLOOKUP(E4687,calculated_fields!$F$4:$G$6,2,FALSE)</f>
        <v>Economy</v>
      </c>
    </row>
    <row r="4688" spans="1:16">
      <c r="A4688" t="s">
        <v>6412</v>
      </c>
      <c r="B4688" t="s">
        <v>6404</v>
      </c>
      <c r="C4688" t="s">
        <v>130</v>
      </c>
      <c r="D4688">
        <v>1962</v>
      </c>
      <c r="E4688" t="s">
        <v>15</v>
      </c>
      <c r="F4688" t="s">
        <v>16</v>
      </c>
      <c r="G4688" t="s">
        <v>17</v>
      </c>
      <c r="H4688" t="s">
        <v>18</v>
      </c>
      <c r="I4688">
        <v>49.578999999999901</v>
      </c>
      <c r="J4688" t="s">
        <v>19</v>
      </c>
      <c r="K4688" t="s">
        <v>6413</v>
      </c>
      <c r="L4688" t="s">
        <v>21</v>
      </c>
      <c r="M4688" t="str">
        <f t="shared" si="219"/>
        <v>OK</v>
      </c>
      <c r="N4688" t="str">
        <f t="shared" si="220"/>
        <v>1960s</v>
      </c>
      <c r="O4688" t="str">
        <f t="shared" si="221"/>
        <v>Low</v>
      </c>
      <c r="P4688" t="str">
        <f>VLOOKUP(E4688,calculated_fields!$F$4:$G$6,2,FALSE)</f>
        <v>Health</v>
      </c>
    </row>
    <row r="4689" spans="1:16">
      <c r="A4689" t="s">
        <v>6414</v>
      </c>
      <c r="B4689" t="s">
        <v>6404</v>
      </c>
      <c r="C4689" t="s">
        <v>130</v>
      </c>
      <c r="D4689">
        <v>1962</v>
      </c>
      <c r="E4689" t="s">
        <v>23</v>
      </c>
      <c r="F4689" t="s">
        <v>24</v>
      </c>
      <c r="G4689" t="s">
        <v>25</v>
      </c>
      <c r="H4689" t="s">
        <v>26</v>
      </c>
      <c r="I4689">
        <v>4286552</v>
      </c>
      <c r="J4689" t="s">
        <v>27</v>
      </c>
      <c r="K4689" t="s">
        <v>6413</v>
      </c>
      <c r="L4689" t="s">
        <v>21</v>
      </c>
      <c r="M4689" t="str">
        <f t="shared" si="219"/>
        <v>OK</v>
      </c>
      <c r="N4689" t="str">
        <f t="shared" si="220"/>
        <v>1960s</v>
      </c>
      <c r="O4689" t="str">
        <f t="shared" si="221"/>
        <v>N/A</v>
      </c>
      <c r="P4689" t="str">
        <f>VLOOKUP(E4689,calculated_fields!$F$4:$G$6,2,FALSE)</f>
        <v>Demographics</v>
      </c>
    </row>
    <row r="4690" spans="1:16">
      <c r="A4690" t="s">
        <v>6415</v>
      </c>
      <c r="B4690" t="s">
        <v>6404</v>
      </c>
      <c r="C4690" t="s">
        <v>130</v>
      </c>
      <c r="D4690">
        <v>1962</v>
      </c>
      <c r="E4690" t="s">
        <v>29</v>
      </c>
      <c r="F4690" t="s">
        <v>30</v>
      </c>
      <c r="G4690" t="s">
        <v>31</v>
      </c>
      <c r="H4690" t="s">
        <v>32</v>
      </c>
      <c r="I4690">
        <v>1660.30321</v>
      </c>
      <c r="J4690" t="s">
        <v>33</v>
      </c>
      <c r="K4690" t="s">
        <v>6413</v>
      </c>
      <c r="L4690" t="s">
        <v>21</v>
      </c>
      <c r="M4690" t="str">
        <f t="shared" si="219"/>
        <v>OK</v>
      </c>
      <c r="N4690" t="str">
        <f t="shared" si="220"/>
        <v>1960s</v>
      </c>
      <c r="O4690" t="str">
        <f t="shared" si="221"/>
        <v>N/A</v>
      </c>
      <c r="P4690" t="str">
        <f>VLOOKUP(E4690,calculated_fields!$F$4:$G$6,2,FALSE)</f>
        <v>Economy</v>
      </c>
    </row>
    <row r="4691" spans="1:16">
      <c r="A4691" t="s">
        <v>6416</v>
      </c>
      <c r="B4691" t="s">
        <v>6404</v>
      </c>
      <c r="C4691" t="s">
        <v>130</v>
      </c>
      <c r="D4691">
        <v>1967</v>
      </c>
      <c r="E4691" t="s">
        <v>15</v>
      </c>
      <c r="F4691" t="s">
        <v>16</v>
      </c>
      <c r="G4691" t="s">
        <v>17</v>
      </c>
      <c r="H4691" t="s">
        <v>18</v>
      </c>
      <c r="I4691">
        <v>52.052999999999997</v>
      </c>
      <c r="J4691" t="s">
        <v>19</v>
      </c>
      <c r="K4691" t="s">
        <v>6417</v>
      </c>
      <c r="L4691" t="s">
        <v>21</v>
      </c>
      <c r="M4691" t="str">
        <f t="shared" si="219"/>
        <v>OK</v>
      </c>
      <c r="N4691" t="str">
        <f t="shared" si="220"/>
        <v>1960s</v>
      </c>
      <c r="O4691" t="str">
        <f t="shared" si="221"/>
        <v>Low</v>
      </c>
      <c r="P4691" t="str">
        <f>VLOOKUP(E4691,calculated_fields!$F$4:$G$6,2,FALSE)</f>
        <v>Health</v>
      </c>
    </row>
    <row r="4692" spans="1:16">
      <c r="A4692" t="s">
        <v>6418</v>
      </c>
      <c r="B4692" t="s">
        <v>6404</v>
      </c>
      <c r="C4692" t="s">
        <v>130</v>
      </c>
      <c r="D4692">
        <v>1967</v>
      </c>
      <c r="E4692" t="s">
        <v>23</v>
      </c>
      <c r="F4692" t="s">
        <v>24</v>
      </c>
      <c r="G4692" t="s">
        <v>25</v>
      </c>
      <c r="H4692" t="s">
        <v>26</v>
      </c>
      <c r="I4692">
        <v>4786986</v>
      </c>
      <c r="J4692" t="s">
        <v>27</v>
      </c>
      <c r="K4692" t="s">
        <v>6417</v>
      </c>
      <c r="L4692" t="s">
        <v>21</v>
      </c>
      <c r="M4692" t="str">
        <f t="shared" si="219"/>
        <v>OK</v>
      </c>
      <c r="N4692" t="str">
        <f t="shared" si="220"/>
        <v>1960s</v>
      </c>
      <c r="O4692" t="str">
        <f t="shared" si="221"/>
        <v>N/A</v>
      </c>
      <c r="P4692" t="str">
        <f>VLOOKUP(E4692,calculated_fields!$F$4:$G$6,2,FALSE)</f>
        <v>Demographics</v>
      </c>
    </row>
    <row r="4693" spans="1:16">
      <c r="A4693" t="s">
        <v>6419</v>
      </c>
      <c r="B4693" t="s">
        <v>6404</v>
      </c>
      <c r="C4693" t="s">
        <v>130</v>
      </c>
      <c r="D4693">
        <v>1967</v>
      </c>
      <c r="E4693" t="s">
        <v>29</v>
      </c>
      <c r="F4693" t="s">
        <v>30</v>
      </c>
      <c r="G4693" t="s">
        <v>31</v>
      </c>
      <c r="H4693" t="s">
        <v>32</v>
      </c>
      <c r="I4693">
        <v>1932.360167</v>
      </c>
      <c r="J4693" t="s">
        <v>33</v>
      </c>
      <c r="K4693" t="s">
        <v>6417</v>
      </c>
      <c r="L4693" t="s">
        <v>21</v>
      </c>
      <c r="M4693" t="str">
        <f t="shared" si="219"/>
        <v>OK</v>
      </c>
      <c r="N4693" t="str">
        <f t="shared" si="220"/>
        <v>1960s</v>
      </c>
      <c r="O4693" t="str">
        <f t="shared" si="221"/>
        <v>N/A</v>
      </c>
      <c r="P4693" t="str">
        <f>VLOOKUP(E4693,calculated_fields!$F$4:$G$6,2,FALSE)</f>
        <v>Economy</v>
      </c>
    </row>
    <row r="4694" spans="1:16">
      <c r="A4694" t="s">
        <v>6420</v>
      </c>
      <c r="B4694" t="s">
        <v>6404</v>
      </c>
      <c r="C4694" t="s">
        <v>130</v>
      </c>
      <c r="D4694">
        <v>1972</v>
      </c>
      <c r="E4694" t="s">
        <v>15</v>
      </c>
      <c r="F4694" t="s">
        <v>16</v>
      </c>
      <c r="G4694" t="s">
        <v>17</v>
      </c>
      <c r="H4694" t="s">
        <v>18</v>
      </c>
      <c r="I4694">
        <v>55.601999999999997</v>
      </c>
      <c r="J4694" t="s">
        <v>19</v>
      </c>
      <c r="K4694" t="s">
        <v>6421</v>
      </c>
      <c r="L4694" t="s">
        <v>21</v>
      </c>
      <c r="M4694" t="str">
        <f t="shared" si="219"/>
        <v>OK</v>
      </c>
      <c r="N4694" t="str">
        <f t="shared" si="220"/>
        <v>1970s</v>
      </c>
      <c r="O4694" t="str">
        <f t="shared" si="221"/>
        <v>Medium</v>
      </c>
      <c r="P4694" t="str">
        <f>VLOOKUP(E4694,calculated_fields!$F$4:$G$6,2,FALSE)</f>
        <v>Health</v>
      </c>
    </row>
    <row r="4695" spans="1:16">
      <c r="A4695" t="s">
        <v>6422</v>
      </c>
      <c r="B4695" t="s">
        <v>6404</v>
      </c>
      <c r="C4695" t="s">
        <v>130</v>
      </c>
      <c r="D4695">
        <v>1972</v>
      </c>
      <c r="E4695" t="s">
        <v>23</v>
      </c>
      <c r="F4695" t="s">
        <v>24</v>
      </c>
      <c r="G4695" t="s">
        <v>25</v>
      </c>
      <c r="H4695" t="s">
        <v>26</v>
      </c>
      <c r="I4695">
        <v>5303507</v>
      </c>
      <c r="J4695" t="s">
        <v>27</v>
      </c>
      <c r="K4695" t="s">
        <v>6421</v>
      </c>
      <c r="L4695" t="s">
        <v>21</v>
      </c>
      <c r="M4695" t="str">
        <f t="shared" si="219"/>
        <v>OK</v>
      </c>
      <c r="N4695" t="str">
        <f t="shared" si="220"/>
        <v>1970s</v>
      </c>
      <c r="O4695" t="str">
        <f t="shared" si="221"/>
        <v>N/A</v>
      </c>
      <c r="P4695" t="str">
        <f>VLOOKUP(E4695,calculated_fields!$F$4:$G$6,2,FALSE)</f>
        <v>Demographics</v>
      </c>
    </row>
    <row r="4696" spans="1:16">
      <c r="A4696" t="s">
        <v>6423</v>
      </c>
      <c r="B4696" t="s">
        <v>6404</v>
      </c>
      <c r="C4696" t="s">
        <v>130</v>
      </c>
      <c r="D4696">
        <v>1972</v>
      </c>
      <c r="E4696" t="s">
        <v>29</v>
      </c>
      <c r="F4696" t="s">
        <v>30</v>
      </c>
      <c r="G4696" t="s">
        <v>31</v>
      </c>
      <c r="H4696" t="s">
        <v>32</v>
      </c>
      <c r="I4696">
        <v>2753.2859939999998</v>
      </c>
      <c r="J4696" t="s">
        <v>33</v>
      </c>
      <c r="K4696" t="s">
        <v>6421</v>
      </c>
      <c r="L4696" t="s">
        <v>21</v>
      </c>
      <c r="M4696" t="str">
        <f t="shared" si="219"/>
        <v>OK</v>
      </c>
      <c r="N4696" t="str">
        <f t="shared" si="220"/>
        <v>1970s</v>
      </c>
      <c r="O4696" t="str">
        <f t="shared" si="221"/>
        <v>N/A</v>
      </c>
      <c r="P4696" t="str">
        <f>VLOOKUP(E4696,calculated_fields!$F$4:$G$6,2,FALSE)</f>
        <v>Economy</v>
      </c>
    </row>
    <row r="4697" spans="1:16">
      <c r="A4697" t="s">
        <v>6424</v>
      </c>
      <c r="B4697" t="s">
        <v>6404</v>
      </c>
      <c r="C4697" t="s">
        <v>130</v>
      </c>
      <c r="D4697">
        <v>1977</v>
      </c>
      <c r="E4697" t="s">
        <v>15</v>
      </c>
      <c r="F4697" t="s">
        <v>16</v>
      </c>
      <c r="G4697" t="s">
        <v>17</v>
      </c>
      <c r="H4697" t="s">
        <v>18</v>
      </c>
      <c r="I4697">
        <v>59.837000000000003</v>
      </c>
      <c r="J4697" t="s">
        <v>19</v>
      </c>
      <c r="K4697" t="s">
        <v>6425</v>
      </c>
      <c r="L4697" t="s">
        <v>21</v>
      </c>
      <c r="M4697" t="str">
        <f t="shared" si="219"/>
        <v>OK</v>
      </c>
      <c r="N4697" t="str">
        <f t="shared" si="220"/>
        <v>1970s</v>
      </c>
      <c r="O4697" t="str">
        <f t="shared" si="221"/>
        <v>Medium</v>
      </c>
      <c r="P4697" t="str">
        <f>VLOOKUP(E4697,calculated_fields!$F$4:$G$6,2,FALSE)</f>
        <v>Health</v>
      </c>
    </row>
    <row r="4698" spans="1:16">
      <c r="A4698" t="s">
        <v>6426</v>
      </c>
      <c r="B4698" t="s">
        <v>6404</v>
      </c>
      <c r="C4698" t="s">
        <v>130</v>
      </c>
      <c r="D4698">
        <v>1977</v>
      </c>
      <c r="E4698" t="s">
        <v>23</v>
      </c>
      <c r="F4698" t="s">
        <v>24</v>
      </c>
      <c r="G4698" t="s">
        <v>25</v>
      </c>
      <c r="H4698" t="s">
        <v>26</v>
      </c>
      <c r="I4698">
        <v>6005061</v>
      </c>
      <c r="J4698" t="s">
        <v>27</v>
      </c>
      <c r="K4698" t="s">
        <v>6425</v>
      </c>
      <c r="L4698" t="s">
        <v>21</v>
      </c>
      <c r="M4698" t="str">
        <f t="shared" si="219"/>
        <v>OK</v>
      </c>
      <c r="N4698" t="str">
        <f t="shared" si="220"/>
        <v>1970s</v>
      </c>
      <c r="O4698" t="str">
        <f t="shared" si="221"/>
        <v>N/A</v>
      </c>
      <c r="P4698" t="str">
        <f>VLOOKUP(E4698,calculated_fields!$F$4:$G$6,2,FALSE)</f>
        <v>Demographics</v>
      </c>
    </row>
    <row r="4699" spans="1:16">
      <c r="A4699" t="s">
        <v>6427</v>
      </c>
      <c r="B4699" t="s">
        <v>6404</v>
      </c>
      <c r="C4699" t="s">
        <v>130</v>
      </c>
      <c r="D4699">
        <v>1977</v>
      </c>
      <c r="E4699" t="s">
        <v>29</v>
      </c>
      <c r="F4699" t="s">
        <v>30</v>
      </c>
      <c r="G4699" t="s">
        <v>31</v>
      </c>
      <c r="H4699" t="s">
        <v>32</v>
      </c>
      <c r="I4699">
        <v>3120.8768110000001</v>
      </c>
      <c r="J4699" t="s">
        <v>33</v>
      </c>
      <c r="K4699" t="s">
        <v>6425</v>
      </c>
      <c r="L4699" t="s">
        <v>21</v>
      </c>
      <c r="M4699" t="str">
        <f t="shared" si="219"/>
        <v>OK</v>
      </c>
      <c r="N4699" t="str">
        <f t="shared" si="220"/>
        <v>1970s</v>
      </c>
      <c r="O4699" t="str">
        <f t="shared" si="221"/>
        <v>N/A</v>
      </c>
      <c r="P4699" t="str">
        <f>VLOOKUP(E4699,calculated_fields!$F$4:$G$6,2,FALSE)</f>
        <v>Economy</v>
      </c>
    </row>
    <row r="4700" spans="1:16">
      <c r="A4700" t="s">
        <v>6428</v>
      </c>
      <c r="B4700" t="s">
        <v>6404</v>
      </c>
      <c r="C4700" t="s">
        <v>130</v>
      </c>
      <c r="D4700">
        <v>1982</v>
      </c>
      <c r="E4700" t="s">
        <v>15</v>
      </c>
      <c r="F4700" t="s">
        <v>16</v>
      </c>
      <c r="G4700" t="s">
        <v>17</v>
      </c>
      <c r="H4700" t="s">
        <v>18</v>
      </c>
      <c r="I4700">
        <v>64.048000000000002</v>
      </c>
      <c r="J4700" t="s">
        <v>19</v>
      </c>
      <c r="K4700" t="s">
        <v>6429</v>
      </c>
      <c r="L4700" t="s">
        <v>21</v>
      </c>
      <c r="M4700" t="str">
        <f t="shared" si="219"/>
        <v>OK</v>
      </c>
      <c r="N4700" t="str">
        <f t="shared" si="220"/>
        <v>1980s</v>
      </c>
      <c r="O4700" t="str">
        <f t="shared" si="221"/>
        <v>Medium</v>
      </c>
      <c r="P4700" t="str">
        <f>VLOOKUP(E4700,calculated_fields!$F$4:$G$6,2,FALSE)</f>
        <v>Health</v>
      </c>
    </row>
    <row r="4701" spans="1:16">
      <c r="A4701" t="s">
        <v>6430</v>
      </c>
      <c r="B4701" t="s">
        <v>6404</v>
      </c>
      <c r="C4701" t="s">
        <v>130</v>
      </c>
      <c r="D4701">
        <v>1982</v>
      </c>
      <c r="E4701" t="s">
        <v>23</v>
      </c>
      <c r="F4701" t="s">
        <v>24</v>
      </c>
      <c r="G4701" t="s">
        <v>25</v>
      </c>
      <c r="H4701" t="s">
        <v>26</v>
      </c>
      <c r="I4701">
        <v>6734098</v>
      </c>
      <c r="J4701" t="s">
        <v>27</v>
      </c>
      <c r="K4701" t="s">
        <v>6429</v>
      </c>
      <c r="L4701" t="s">
        <v>21</v>
      </c>
      <c r="M4701" t="str">
        <f t="shared" si="219"/>
        <v>OK</v>
      </c>
      <c r="N4701" t="str">
        <f t="shared" si="220"/>
        <v>1980s</v>
      </c>
      <c r="O4701" t="str">
        <f t="shared" si="221"/>
        <v>N/A</v>
      </c>
      <c r="P4701" t="str">
        <f>VLOOKUP(E4701,calculated_fields!$F$4:$G$6,2,FALSE)</f>
        <v>Demographics</v>
      </c>
    </row>
    <row r="4702" spans="1:16">
      <c r="A4702" t="s">
        <v>6431</v>
      </c>
      <c r="B4702" t="s">
        <v>6404</v>
      </c>
      <c r="C4702" t="s">
        <v>130</v>
      </c>
      <c r="D4702">
        <v>1982</v>
      </c>
      <c r="E4702" t="s">
        <v>29</v>
      </c>
      <c r="F4702" t="s">
        <v>30</v>
      </c>
      <c r="G4702" t="s">
        <v>31</v>
      </c>
      <c r="H4702" t="s">
        <v>32</v>
      </c>
      <c r="I4702">
        <v>3560.233174</v>
      </c>
      <c r="J4702" t="s">
        <v>33</v>
      </c>
      <c r="K4702" t="s">
        <v>6429</v>
      </c>
      <c r="L4702" t="s">
        <v>21</v>
      </c>
      <c r="M4702" t="str">
        <f t="shared" si="219"/>
        <v>OK</v>
      </c>
      <c r="N4702" t="str">
        <f t="shared" si="220"/>
        <v>1980s</v>
      </c>
      <c r="O4702" t="str">
        <f t="shared" si="221"/>
        <v>N/A</v>
      </c>
      <c r="P4702" t="str">
        <f>VLOOKUP(E4702,calculated_fields!$F$4:$G$6,2,FALSE)</f>
        <v>Economy</v>
      </c>
    </row>
    <row r="4703" spans="1:16">
      <c r="A4703" t="s">
        <v>6432</v>
      </c>
      <c r="B4703" t="s">
        <v>6404</v>
      </c>
      <c r="C4703" t="s">
        <v>130</v>
      </c>
      <c r="D4703">
        <v>1987</v>
      </c>
      <c r="E4703" t="s">
        <v>15</v>
      </c>
      <c r="F4703" t="s">
        <v>16</v>
      </c>
      <c r="G4703" t="s">
        <v>17</v>
      </c>
      <c r="H4703" t="s">
        <v>18</v>
      </c>
      <c r="I4703">
        <v>66.893999999999906</v>
      </c>
      <c r="J4703" t="s">
        <v>19</v>
      </c>
      <c r="K4703" t="s">
        <v>6433</v>
      </c>
      <c r="L4703" t="s">
        <v>21</v>
      </c>
      <c r="M4703" t="str">
        <f t="shared" si="219"/>
        <v>OK</v>
      </c>
      <c r="N4703" t="str">
        <f t="shared" si="220"/>
        <v>1980s</v>
      </c>
      <c r="O4703" t="str">
        <f t="shared" si="221"/>
        <v>Medium</v>
      </c>
      <c r="P4703" t="str">
        <f>VLOOKUP(E4703,calculated_fields!$F$4:$G$6,2,FALSE)</f>
        <v>Health</v>
      </c>
    </row>
    <row r="4704" spans="1:16">
      <c r="A4704" t="s">
        <v>6434</v>
      </c>
      <c r="B4704" t="s">
        <v>6404</v>
      </c>
      <c r="C4704" t="s">
        <v>130</v>
      </c>
      <c r="D4704">
        <v>1987</v>
      </c>
      <c r="E4704" t="s">
        <v>23</v>
      </c>
      <c r="F4704" t="s">
        <v>24</v>
      </c>
      <c r="G4704" t="s">
        <v>25</v>
      </c>
      <c r="H4704" t="s">
        <v>26</v>
      </c>
      <c r="I4704">
        <v>7724976</v>
      </c>
      <c r="J4704" t="s">
        <v>27</v>
      </c>
      <c r="K4704" t="s">
        <v>6433</v>
      </c>
      <c r="L4704" t="s">
        <v>21</v>
      </c>
      <c r="M4704" t="str">
        <f t="shared" si="219"/>
        <v>OK</v>
      </c>
      <c r="N4704" t="str">
        <f t="shared" si="220"/>
        <v>1980s</v>
      </c>
      <c r="O4704" t="str">
        <f t="shared" si="221"/>
        <v>N/A</v>
      </c>
      <c r="P4704" t="str">
        <f>VLOOKUP(E4704,calculated_fields!$F$4:$G$6,2,FALSE)</f>
        <v>Demographics</v>
      </c>
    </row>
    <row r="4705" spans="1:16">
      <c r="A4705" t="s">
        <v>6435</v>
      </c>
      <c r="B4705" t="s">
        <v>6404</v>
      </c>
      <c r="C4705" t="s">
        <v>130</v>
      </c>
      <c r="D4705">
        <v>1987</v>
      </c>
      <c r="E4705" t="s">
        <v>29</v>
      </c>
      <c r="F4705" t="s">
        <v>30</v>
      </c>
      <c r="G4705" t="s">
        <v>31</v>
      </c>
      <c r="H4705" t="s">
        <v>32</v>
      </c>
      <c r="I4705">
        <v>3810.419296</v>
      </c>
      <c r="J4705" t="s">
        <v>33</v>
      </c>
      <c r="K4705" t="s">
        <v>6433</v>
      </c>
      <c r="L4705" t="s">
        <v>21</v>
      </c>
      <c r="M4705" t="str">
        <f t="shared" si="219"/>
        <v>OK</v>
      </c>
      <c r="N4705" t="str">
        <f t="shared" si="220"/>
        <v>1980s</v>
      </c>
      <c r="O4705" t="str">
        <f t="shared" si="221"/>
        <v>N/A</v>
      </c>
      <c r="P4705" t="str">
        <f>VLOOKUP(E4705,calculated_fields!$F$4:$G$6,2,FALSE)</f>
        <v>Economy</v>
      </c>
    </row>
    <row r="4706" spans="1:16">
      <c r="A4706" t="s">
        <v>6436</v>
      </c>
      <c r="B4706" t="s">
        <v>6404</v>
      </c>
      <c r="C4706" t="s">
        <v>130</v>
      </c>
      <c r="D4706">
        <v>1992</v>
      </c>
      <c r="E4706" t="s">
        <v>15</v>
      </c>
      <c r="F4706" t="s">
        <v>16</v>
      </c>
      <c r="G4706" t="s">
        <v>17</v>
      </c>
      <c r="H4706" t="s">
        <v>18</v>
      </c>
      <c r="I4706">
        <v>70.001000000000005</v>
      </c>
      <c r="J4706" t="s">
        <v>19</v>
      </c>
      <c r="K4706" t="s">
        <v>6437</v>
      </c>
      <c r="L4706" t="s">
        <v>21</v>
      </c>
      <c r="M4706" t="str">
        <f t="shared" si="219"/>
        <v>OK</v>
      </c>
      <c r="N4706" t="str">
        <f t="shared" si="220"/>
        <v>1990s</v>
      </c>
      <c r="O4706" t="str">
        <f t="shared" si="221"/>
        <v>High</v>
      </c>
      <c r="P4706" t="str">
        <f>VLOOKUP(E4706,calculated_fields!$F$4:$G$6,2,FALSE)</f>
        <v>Health</v>
      </c>
    </row>
    <row r="4707" spans="1:16">
      <c r="A4707" t="s">
        <v>6438</v>
      </c>
      <c r="B4707" t="s">
        <v>6404</v>
      </c>
      <c r="C4707" t="s">
        <v>130</v>
      </c>
      <c r="D4707">
        <v>1992</v>
      </c>
      <c r="E4707" t="s">
        <v>23</v>
      </c>
      <c r="F4707" t="s">
        <v>24</v>
      </c>
      <c r="G4707" t="s">
        <v>25</v>
      </c>
      <c r="H4707" t="s">
        <v>26</v>
      </c>
      <c r="I4707">
        <v>8523077</v>
      </c>
      <c r="J4707" t="s">
        <v>27</v>
      </c>
      <c r="K4707" t="s">
        <v>6437</v>
      </c>
      <c r="L4707" t="s">
        <v>21</v>
      </c>
      <c r="M4707" t="str">
        <f t="shared" si="219"/>
        <v>OK</v>
      </c>
      <c r="N4707" t="str">
        <f t="shared" si="220"/>
        <v>1990s</v>
      </c>
      <c r="O4707" t="str">
        <f t="shared" si="221"/>
        <v>N/A</v>
      </c>
      <c r="P4707" t="str">
        <f>VLOOKUP(E4707,calculated_fields!$F$4:$G$6,2,FALSE)</f>
        <v>Demographics</v>
      </c>
    </row>
    <row r="4708" spans="1:16">
      <c r="A4708" t="s">
        <v>6439</v>
      </c>
      <c r="B4708" t="s">
        <v>6404</v>
      </c>
      <c r="C4708" t="s">
        <v>130</v>
      </c>
      <c r="D4708">
        <v>1992</v>
      </c>
      <c r="E4708" t="s">
        <v>29</v>
      </c>
      <c r="F4708" t="s">
        <v>30</v>
      </c>
      <c r="G4708" t="s">
        <v>31</v>
      </c>
      <c r="H4708" t="s">
        <v>32</v>
      </c>
      <c r="I4708">
        <v>4332.7201640000003</v>
      </c>
      <c r="J4708" t="s">
        <v>33</v>
      </c>
      <c r="K4708" t="s">
        <v>6437</v>
      </c>
      <c r="L4708" t="s">
        <v>21</v>
      </c>
      <c r="M4708" t="str">
        <f t="shared" si="219"/>
        <v>OK</v>
      </c>
      <c r="N4708" t="str">
        <f t="shared" si="220"/>
        <v>1990s</v>
      </c>
      <c r="O4708" t="str">
        <f t="shared" si="221"/>
        <v>N/A</v>
      </c>
      <c r="P4708" t="str">
        <f>VLOOKUP(E4708,calculated_fields!$F$4:$G$6,2,FALSE)</f>
        <v>Economy</v>
      </c>
    </row>
    <row r="4709" spans="1:16">
      <c r="A4709" t="s">
        <v>6440</v>
      </c>
      <c r="B4709" t="s">
        <v>6404</v>
      </c>
      <c r="C4709" t="s">
        <v>130</v>
      </c>
      <c r="D4709">
        <v>1997</v>
      </c>
      <c r="E4709" t="s">
        <v>15</v>
      </c>
      <c r="F4709" t="s">
        <v>16</v>
      </c>
      <c r="G4709" t="s">
        <v>17</v>
      </c>
      <c r="H4709" t="s">
        <v>18</v>
      </c>
      <c r="I4709">
        <v>71.972999999999999</v>
      </c>
      <c r="J4709" t="s">
        <v>19</v>
      </c>
      <c r="K4709" t="s">
        <v>6441</v>
      </c>
      <c r="L4709" t="s">
        <v>21</v>
      </c>
      <c r="M4709" t="str">
        <f t="shared" si="219"/>
        <v>OK</v>
      </c>
      <c r="N4709" t="str">
        <f t="shared" si="220"/>
        <v>1990s</v>
      </c>
      <c r="O4709" t="str">
        <f t="shared" si="221"/>
        <v>High</v>
      </c>
      <c r="P4709" t="str">
        <f>VLOOKUP(E4709,calculated_fields!$F$4:$G$6,2,FALSE)</f>
        <v>Health</v>
      </c>
    </row>
    <row r="4710" spans="1:16">
      <c r="A4710" t="s">
        <v>6442</v>
      </c>
      <c r="B4710" t="s">
        <v>6404</v>
      </c>
      <c r="C4710" t="s">
        <v>130</v>
      </c>
      <c r="D4710">
        <v>1997</v>
      </c>
      <c r="E4710" t="s">
        <v>23</v>
      </c>
      <c r="F4710" t="s">
        <v>24</v>
      </c>
      <c r="G4710" t="s">
        <v>25</v>
      </c>
      <c r="H4710" t="s">
        <v>26</v>
      </c>
      <c r="I4710">
        <v>9231669</v>
      </c>
      <c r="J4710" t="s">
        <v>27</v>
      </c>
      <c r="K4710" t="s">
        <v>6441</v>
      </c>
      <c r="L4710" t="s">
        <v>21</v>
      </c>
      <c r="M4710" t="str">
        <f t="shared" si="219"/>
        <v>OK</v>
      </c>
      <c r="N4710" t="str">
        <f t="shared" si="220"/>
        <v>1990s</v>
      </c>
      <c r="O4710" t="str">
        <f t="shared" si="221"/>
        <v>N/A</v>
      </c>
      <c r="P4710" t="str">
        <f>VLOOKUP(E4710,calculated_fields!$F$4:$G$6,2,FALSE)</f>
        <v>Demographics</v>
      </c>
    </row>
    <row r="4711" spans="1:16">
      <c r="A4711" t="s">
        <v>6443</v>
      </c>
      <c r="B4711" t="s">
        <v>6404</v>
      </c>
      <c r="C4711" t="s">
        <v>130</v>
      </c>
      <c r="D4711">
        <v>1997</v>
      </c>
      <c r="E4711" t="s">
        <v>29</v>
      </c>
      <c r="F4711" t="s">
        <v>30</v>
      </c>
      <c r="G4711" t="s">
        <v>31</v>
      </c>
      <c r="H4711" t="s">
        <v>32</v>
      </c>
      <c r="I4711">
        <v>4876.7986140000003</v>
      </c>
      <c r="J4711" t="s">
        <v>33</v>
      </c>
      <c r="K4711" t="s">
        <v>6441</v>
      </c>
      <c r="L4711" t="s">
        <v>21</v>
      </c>
      <c r="M4711" t="str">
        <f t="shared" si="219"/>
        <v>OK</v>
      </c>
      <c r="N4711" t="str">
        <f t="shared" si="220"/>
        <v>1990s</v>
      </c>
      <c r="O4711" t="str">
        <f t="shared" si="221"/>
        <v>N/A</v>
      </c>
      <c r="P4711" t="str">
        <f>VLOOKUP(E4711,calculated_fields!$F$4:$G$6,2,FALSE)</f>
        <v>Economy</v>
      </c>
    </row>
    <row r="4712" spans="1:16">
      <c r="A4712" t="s">
        <v>6444</v>
      </c>
      <c r="B4712" t="s">
        <v>6404</v>
      </c>
      <c r="C4712" t="s">
        <v>130</v>
      </c>
      <c r="D4712">
        <v>2002</v>
      </c>
      <c r="E4712" t="s">
        <v>15</v>
      </c>
      <c r="F4712" t="s">
        <v>16</v>
      </c>
      <c r="G4712" t="s">
        <v>17</v>
      </c>
      <c r="H4712" t="s">
        <v>18</v>
      </c>
      <c r="I4712">
        <v>73.042000000000002</v>
      </c>
      <c r="J4712" t="s">
        <v>19</v>
      </c>
      <c r="K4712" t="s">
        <v>6445</v>
      </c>
      <c r="L4712" t="s">
        <v>21</v>
      </c>
      <c r="M4712" t="str">
        <f t="shared" si="219"/>
        <v>OK</v>
      </c>
      <c r="N4712" t="str">
        <f t="shared" si="220"/>
        <v>2000s</v>
      </c>
      <c r="O4712" t="str">
        <f t="shared" si="221"/>
        <v>High</v>
      </c>
      <c r="P4712" t="str">
        <f>VLOOKUP(E4712,calculated_fields!$F$4:$G$6,2,FALSE)</f>
        <v>Health</v>
      </c>
    </row>
    <row r="4713" spans="1:16">
      <c r="A4713" t="s">
        <v>6446</v>
      </c>
      <c r="B4713" t="s">
        <v>6404</v>
      </c>
      <c r="C4713" t="s">
        <v>130</v>
      </c>
      <c r="D4713">
        <v>2002</v>
      </c>
      <c r="E4713" t="s">
        <v>23</v>
      </c>
      <c r="F4713" t="s">
        <v>24</v>
      </c>
      <c r="G4713" t="s">
        <v>25</v>
      </c>
      <c r="H4713" t="s">
        <v>26</v>
      </c>
      <c r="I4713">
        <v>9770575</v>
      </c>
      <c r="J4713" t="s">
        <v>27</v>
      </c>
      <c r="K4713" t="s">
        <v>6445</v>
      </c>
      <c r="L4713" t="s">
        <v>21</v>
      </c>
      <c r="M4713" t="str">
        <f t="shared" si="219"/>
        <v>OK</v>
      </c>
      <c r="N4713" t="str">
        <f t="shared" si="220"/>
        <v>2000s</v>
      </c>
      <c r="O4713" t="str">
        <f t="shared" si="221"/>
        <v>N/A</v>
      </c>
      <c r="P4713" t="str">
        <f>VLOOKUP(E4713,calculated_fields!$F$4:$G$6,2,FALSE)</f>
        <v>Demographics</v>
      </c>
    </row>
    <row r="4714" spans="1:16">
      <c r="A4714" t="s">
        <v>6447</v>
      </c>
      <c r="B4714" t="s">
        <v>6404</v>
      </c>
      <c r="C4714" t="s">
        <v>130</v>
      </c>
      <c r="D4714">
        <v>2002</v>
      </c>
      <c r="E4714" t="s">
        <v>29</v>
      </c>
      <c r="F4714" t="s">
        <v>30</v>
      </c>
      <c r="G4714" t="s">
        <v>31</v>
      </c>
      <c r="H4714" t="s">
        <v>32</v>
      </c>
      <c r="I4714">
        <v>5722.8956549999903</v>
      </c>
      <c r="J4714" t="s">
        <v>33</v>
      </c>
      <c r="K4714" t="s">
        <v>6445</v>
      </c>
      <c r="L4714" t="s">
        <v>21</v>
      </c>
      <c r="M4714" t="str">
        <f t="shared" si="219"/>
        <v>OK</v>
      </c>
      <c r="N4714" t="str">
        <f t="shared" si="220"/>
        <v>2000s</v>
      </c>
      <c r="O4714" t="str">
        <f t="shared" si="221"/>
        <v>N/A</v>
      </c>
      <c r="P4714" t="str">
        <f>VLOOKUP(E4714,calculated_fields!$F$4:$G$6,2,FALSE)</f>
        <v>Economy</v>
      </c>
    </row>
    <row r="4715" spans="1:16">
      <c r="A4715" t="s">
        <v>6448</v>
      </c>
      <c r="B4715" t="s">
        <v>6404</v>
      </c>
      <c r="C4715" t="s">
        <v>130</v>
      </c>
      <c r="D4715">
        <v>2007</v>
      </c>
      <c r="E4715" t="s">
        <v>15</v>
      </c>
      <c r="F4715" t="s">
        <v>16</v>
      </c>
      <c r="G4715" t="s">
        <v>17</v>
      </c>
      <c r="H4715" t="s">
        <v>18</v>
      </c>
      <c r="I4715">
        <v>73.923000000000002</v>
      </c>
      <c r="J4715" t="s">
        <v>19</v>
      </c>
      <c r="K4715" t="s">
        <v>6449</v>
      </c>
      <c r="L4715" t="s">
        <v>21</v>
      </c>
      <c r="M4715" t="str">
        <f t="shared" si="219"/>
        <v>OK</v>
      </c>
      <c r="N4715" t="str">
        <f t="shared" si="220"/>
        <v>2000s</v>
      </c>
      <c r="O4715" t="str">
        <f t="shared" si="221"/>
        <v>High</v>
      </c>
      <c r="P4715" t="str">
        <f>VLOOKUP(E4715,calculated_fields!$F$4:$G$6,2,FALSE)</f>
        <v>Health</v>
      </c>
    </row>
    <row r="4716" spans="1:16">
      <c r="A4716" t="s">
        <v>6450</v>
      </c>
      <c r="B4716" t="s">
        <v>6404</v>
      </c>
      <c r="C4716" t="s">
        <v>130</v>
      </c>
      <c r="D4716">
        <v>2007</v>
      </c>
      <c r="E4716" t="s">
        <v>23</v>
      </c>
      <c r="F4716" t="s">
        <v>24</v>
      </c>
      <c r="G4716" t="s">
        <v>25</v>
      </c>
      <c r="H4716" t="s">
        <v>26</v>
      </c>
      <c r="I4716">
        <v>10276158</v>
      </c>
      <c r="J4716" t="s">
        <v>27</v>
      </c>
      <c r="K4716" t="s">
        <v>6449</v>
      </c>
      <c r="L4716" t="s">
        <v>21</v>
      </c>
      <c r="M4716" t="str">
        <f t="shared" si="219"/>
        <v>OK</v>
      </c>
      <c r="N4716" t="str">
        <f t="shared" si="220"/>
        <v>2000s</v>
      </c>
      <c r="O4716" t="str">
        <f t="shared" si="221"/>
        <v>N/A</v>
      </c>
      <c r="P4716" t="str">
        <f>VLOOKUP(E4716,calculated_fields!$F$4:$G$6,2,FALSE)</f>
        <v>Demographics</v>
      </c>
    </row>
    <row r="4717" spans="1:16">
      <c r="A4717" t="s">
        <v>6451</v>
      </c>
      <c r="B4717" t="s">
        <v>6404</v>
      </c>
      <c r="C4717" t="s">
        <v>130</v>
      </c>
      <c r="D4717">
        <v>2007</v>
      </c>
      <c r="E4717" t="s">
        <v>29</v>
      </c>
      <c r="F4717" t="s">
        <v>30</v>
      </c>
      <c r="G4717" t="s">
        <v>31</v>
      </c>
      <c r="H4717" t="s">
        <v>32</v>
      </c>
      <c r="I4717">
        <v>7092.9230250000001</v>
      </c>
      <c r="J4717" t="s">
        <v>33</v>
      </c>
      <c r="K4717" t="s">
        <v>6449</v>
      </c>
      <c r="L4717" t="s">
        <v>21</v>
      </c>
      <c r="M4717" t="str">
        <f t="shared" si="219"/>
        <v>OK</v>
      </c>
      <c r="N4717" t="str">
        <f t="shared" si="220"/>
        <v>2000s</v>
      </c>
      <c r="O4717" t="str">
        <f t="shared" si="221"/>
        <v>N/A</v>
      </c>
      <c r="P4717" t="str">
        <f>VLOOKUP(E4717,calculated_fields!$F$4:$G$6,2,FALSE)</f>
        <v>Economy</v>
      </c>
    </row>
    <row r="4718" spans="1:16">
      <c r="A4718" t="s">
        <v>6452</v>
      </c>
      <c r="B4718" t="s">
        <v>6453</v>
      </c>
      <c r="C4718" t="s">
        <v>80</v>
      </c>
      <c r="D4718">
        <v>1952</v>
      </c>
      <c r="E4718" t="s">
        <v>15</v>
      </c>
      <c r="F4718" t="s">
        <v>16</v>
      </c>
      <c r="G4718" t="s">
        <v>17</v>
      </c>
      <c r="H4718" t="s">
        <v>18</v>
      </c>
      <c r="I4718">
        <v>43.585000000000001</v>
      </c>
      <c r="J4718" t="s">
        <v>19</v>
      </c>
      <c r="K4718" t="s">
        <v>6454</v>
      </c>
      <c r="L4718" t="s">
        <v>21</v>
      </c>
      <c r="M4718" t="str">
        <f t="shared" si="219"/>
        <v>OK</v>
      </c>
      <c r="N4718" t="str">
        <f t="shared" si="220"/>
        <v>1950s</v>
      </c>
      <c r="O4718" t="str">
        <f t="shared" si="221"/>
        <v>Low</v>
      </c>
      <c r="P4718" t="str">
        <f>VLOOKUP(E4718,calculated_fields!$F$4:$G$6,2,FALSE)</f>
        <v>Health</v>
      </c>
    </row>
    <row r="4719" spans="1:16">
      <c r="A4719" t="s">
        <v>6455</v>
      </c>
      <c r="B4719" t="s">
        <v>6453</v>
      </c>
      <c r="C4719" t="s">
        <v>80</v>
      </c>
      <c r="D4719">
        <v>1952</v>
      </c>
      <c r="E4719" t="s">
        <v>23</v>
      </c>
      <c r="F4719" t="s">
        <v>24</v>
      </c>
      <c r="G4719" t="s">
        <v>25</v>
      </c>
      <c r="H4719" t="s">
        <v>26</v>
      </c>
      <c r="I4719">
        <v>22235677</v>
      </c>
      <c r="J4719" t="s">
        <v>27</v>
      </c>
      <c r="K4719" t="s">
        <v>6454</v>
      </c>
      <c r="L4719" t="s">
        <v>21</v>
      </c>
      <c r="M4719" t="str">
        <f t="shared" si="219"/>
        <v>OK</v>
      </c>
      <c r="N4719" t="str">
        <f t="shared" si="220"/>
        <v>1950s</v>
      </c>
      <c r="O4719" t="str">
        <f t="shared" si="221"/>
        <v>N/A</v>
      </c>
      <c r="P4719" t="str">
        <f>VLOOKUP(E4719,calculated_fields!$F$4:$G$6,2,FALSE)</f>
        <v>Demographics</v>
      </c>
    </row>
    <row r="4720" spans="1:16">
      <c r="A4720" t="s">
        <v>6456</v>
      </c>
      <c r="B4720" t="s">
        <v>6453</v>
      </c>
      <c r="C4720" t="s">
        <v>80</v>
      </c>
      <c r="D4720">
        <v>1952</v>
      </c>
      <c r="E4720" t="s">
        <v>29</v>
      </c>
      <c r="F4720" t="s">
        <v>30</v>
      </c>
      <c r="G4720" t="s">
        <v>31</v>
      </c>
      <c r="H4720" t="s">
        <v>32</v>
      </c>
      <c r="I4720">
        <v>1969.1009799999999</v>
      </c>
      <c r="J4720" t="s">
        <v>33</v>
      </c>
      <c r="K4720" t="s">
        <v>6454</v>
      </c>
      <c r="L4720" t="s">
        <v>21</v>
      </c>
      <c r="M4720" t="str">
        <f t="shared" si="219"/>
        <v>OK</v>
      </c>
      <c r="N4720" t="str">
        <f t="shared" si="220"/>
        <v>1950s</v>
      </c>
      <c r="O4720" t="str">
        <f t="shared" si="221"/>
        <v>N/A</v>
      </c>
      <c r="P4720" t="str">
        <f>VLOOKUP(E4720,calculated_fields!$F$4:$G$6,2,FALSE)</f>
        <v>Economy</v>
      </c>
    </row>
    <row r="4721" spans="1:16">
      <c r="A4721" t="s">
        <v>6457</v>
      </c>
      <c r="B4721" t="s">
        <v>6453</v>
      </c>
      <c r="C4721" t="s">
        <v>80</v>
      </c>
      <c r="D4721">
        <v>1957</v>
      </c>
      <c r="E4721" t="s">
        <v>15</v>
      </c>
      <c r="F4721" t="s">
        <v>16</v>
      </c>
      <c r="G4721" t="s">
        <v>17</v>
      </c>
      <c r="H4721" t="s">
        <v>18</v>
      </c>
      <c r="I4721">
        <v>48.078999999999901</v>
      </c>
      <c r="J4721" t="s">
        <v>19</v>
      </c>
      <c r="K4721" t="s">
        <v>6458</v>
      </c>
      <c r="L4721" t="s">
        <v>21</v>
      </c>
      <c r="M4721" t="str">
        <f t="shared" si="219"/>
        <v>OK</v>
      </c>
      <c r="N4721" t="str">
        <f t="shared" si="220"/>
        <v>1950s</v>
      </c>
      <c r="O4721" t="str">
        <f t="shared" si="221"/>
        <v>Low</v>
      </c>
      <c r="P4721" t="str">
        <f>VLOOKUP(E4721,calculated_fields!$F$4:$G$6,2,FALSE)</f>
        <v>Health</v>
      </c>
    </row>
    <row r="4722" spans="1:16">
      <c r="A4722" t="s">
        <v>6459</v>
      </c>
      <c r="B4722" t="s">
        <v>6453</v>
      </c>
      <c r="C4722" t="s">
        <v>80</v>
      </c>
      <c r="D4722">
        <v>1957</v>
      </c>
      <c r="E4722" t="s">
        <v>23</v>
      </c>
      <c r="F4722" t="s">
        <v>24</v>
      </c>
      <c r="G4722" t="s">
        <v>25</v>
      </c>
      <c r="H4722" t="s">
        <v>26</v>
      </c>
      <c r="I4722">
        <v>25670939</v>
      </c>
      <c r="J4722" t="s">
        <v>27</v>
      </c>
      <c r="K4722" t="s">
        <v>6458</v>
      </c>
      <c r="L4722" t="s">
        <v>21</v>
      </c>
      <c r="M4722" t="str">
        <f t="shared" si="219"/>
        <v>OK</v>
      </c>
      <c r="N4722" t="str">
        <f t="shared" si="220"/>
        <v>1950s</v>
      </c>
      <c r="O4722" t="str">
        <f t="shared" si="221"/>
        <v>N/A</v>
      </c>
      <c r="P4722" t="str">
        <f>VLOOKUP(E4722,calculated_fields!$F$4:$G$6,2,FALSE)</f>
        <v>Demographics</v>
      </c>
    </row>
    <row r="4723" spans="1:16">
      <c r="A4723" t="s">
        <v>6460</v>
      </c>
      <c r="B4723" t="s">
        <v>6453</v>
      </c>
      <c r="C4723" t="s">
        <v>80</v>
      </c>
      <c r="D4723">
        <v>1957</v>
      </c>
      <c r="E4723" t="s">
        <v>29</v>
      </c>
      <c r="F4723" t="s">
        <v>30</v>
      </c>
      <c r="G4723" t="s">
        <v>31</v>
      </c>
      <c r="H4723" t="s">
        <v>32</v>
      </c>
      <c r="I4723">
        <v>2218.7542570000001</v>
      </c>
      <c r="J4723" t="s">
        <v>33</v>
      </c>
      <c r="K4723" t="s">
        <v>6458</v>
      </c>
      <c r="L4723" t="s">
        <v>21</v>
      </c>
      <c r="M4723" t="str">
        <f t="shared" si="219"/>
        <v>OK</v>
      </c>
      <c r="N4723" t="str">
        <f t="shared" si="220"/>
        <v>1950s</v>
      </c>
      <c r="O4723" t="str">
        <f t="shared" si="221"/>
        <v>N/A</v>
      </c>
      <c r="P4723" t="str">
        <f>VLOOKUP(E4723,calculated_fields!$F$4:$G$6,2,FALSE)</f>
        <v>Economy</v>
      </c>
    </row>
    <row r="4724" spans="1:16">
      <c r="A4724" t="s">
        <v>6461</v>
      </c>
      <c r="B4724" t="s">
        <v>6453</v>
      </c>
      <c r="C4724" t="s">
        <v>80</v>
      </c>
      <c r="D4724">
        <v>1962</v>
      </c>
      <c r="E4724" t="s">
        <v>15</v>
      </c>
      <c r="F4724" t="s">
        <v>16</v>
      </c>
      <c r="G4724" t="s">
        <v>17</v>
      </c>
      <c r="H4724" t="s">
        <v>18</v>
      </c>
      <c r="I4724">
        <v>52.097999999999999</v>
      </c>
      <c r="J4724" t="s">
        <v>19</v>
      </c>
      <c r="K4724" t="s">
        <v>6462</v>
      </c>
      <c r="L4724" t="s">
        <v>21</v>
      </c>
      <c r="M4724" t="str">
        <f t="shared" si="219"/>
        <v>OK</v>
      </c>
      <c r="N4724" t="str">
        <f t="shared" si="220"/>
        <v>1960s</v>
      </c>
      <c r="O4724" t="str">
        <f t="shared" si="221"/>
        <v>Low</v>
      </c>
      <c r="P4724" t="str">
        <f>VLOOKUP(E4724,calculated_fields!$F$4:$G$6,2,FALSE)</f>
        <v>Health</v>
      </c>
    </row>
    <row r="4725" spans="1:16">
      <c r="A4725" t="s">
        <v>6463</v>
      </c>
      <c r="B4725" t="s">
        <v>6453</v>
      </c>
      <c r="C4725" t="s">
        <v>80</v>
      </c>
      <c r="D4725">
        <v>1962</v>
      </c>
      <c r="E4725" t="s">
        <v>23</v>
      </c>
      <c r="F4725" t="s">
        <v>24</v>
      </c>
      <c r="G4725" t="s">
        <v>25</v>
      </c>
      <c r="H4725" t="s">
        <v>26</v>
      </c>
      <c r="I4725">
        <v>29788695</v>
      </c>
      <c r="J4725" t="s">
        <v>27</v>
      </c>
      <c r="K4725" t="s">
        <v>6462</v>
      </c>
      <c r="L4725" t="s">
        <v>21</v>
      </c>
      <c r="M4725" t="str">
        <f t="shared" si="219"/>
        <v>OK</v>
      </c>
      <c r="N4725" t="str">
        <f t="shared" si="220"/>
        <v>1960s</v>
      </c>
      <c r="O4725" t="str">
        <f t="shared" si="221"/>
        <v>N/A</v>
      </c>
      <c r="P4725" t="str">
        <f>VLOOKUP(E4725,calculated_fields!$F$4:$G$6,2,FALSE)</f>
        <v>Demographics</v>
      </c>
    </row>
    <row r="4726" spans="1:16">
      <c r="A4726" t="s">
        <v>6464</v>
      </c>
      <c r="B4726" t="s">
        <v>6453</v>
      </c>
      <c r="C4726" t="s">
        <v>80</v>
      </c>
      <c r="D4726">
        <v>1962</v>
      </c>
      <c r="E4726" t="s">
        <v>29</v>
      </c>
      <c r="F4726" t="s">
        <v>30</v>
      </c>
      <c r="G4726" t="s">
        <v>31</v>
      </c>
      <c r="H4726" t="s">
        <v>32</v>
      </c>
      <c r="I4726">
        <v>2322.8699080000001</v>
      </c>
      <c r="J4726" t="s">
        <v>33</v>
      </c>
      <c r="K4726" t="s">
        <v>6462</v>
      </c>
      <c r="L4726" t="s">
        <v>21</v>
      </c>
      <c r="M4726" t="str">
        <f t="shared" si="219"/>
        <v>OK</v>
      </c>
      <c r="N4726" t="str">
        <f t="shared" si="220"/>
        <v>1960s</v>
      </c>
      <c r="O4726" t="str">
        <f t="shared" si="221"/>
        <v>N/A</v>
      </c>
      <c r="P4726" t="str">
        <f>VLOOKUP(E4726,calculated_fields!$F$4:$G$6,2,FALSE)</f>
        <v>Economy</v>
      </c>
    </row>
    <row r="4727" spans="1:16">
      <c r="A4727" t="s">
        <v>6465</v>
      </c>
      <c r="B4727" t="s">
        <v>6453</v>
      </c>
      <c r="C4727" t="s">
        <v>80</v>
      </c>
      <c r="D4727">
        <v>1967</v>
      </c>
      <c r="E4727" t="s">
        <v>15</v>
      </c>
      <c r="F4727" t="s">
        <v>16</v>
      </c>
      <c r="G4727" t="s">
        <v>17</v>
      </c>
      <c r="H4727" t="s">
        <v>18</v>
      </c>
      <c r="I4727">
        <v>54.335999999999999</v>
      </c>
      <c r="J4727" t="s">
        <v>19</v>
      </c>
      <c r="K4727" t="s">
        <v>6466</v>
      </c>
      <c r="L4727" t="s">
        <v>21</v>
      </c>
      <c r="M4727" t="str">
        <f t="shared" si="219"/>
        <v>OK</v>
      </c>
      <c r="N4727" t="str">
        <f t="shared" si="220"/>
        <v>1960s</v>
      </c>
      <c r="O4727" t="str">
        <f t="shared" si="221"/>
        <v>Low</v>
      </c>
      <c r="P4727" t="str">
        <f>VLOOKUP(E4727,calculated_fields!$F$4:$G$6,2,FALSE)</f>
        <v>Health</v>
      </c>
    </row>
    <row r="4728" spans="1:16">
      <c r="A4728" t="s">
        <v>6467</v>
      </c>
      <c r="B4728" t="s">
        <v>6453</v>
      </c>
      <c r="C4728" t="s">
        <v>80</v>
      </c>
      <c r="D4728">
        <v>1967</v>
      </c>
      <c r="E4728" t="s">
        <v>23</v>
      </c>
      <c r="F4728" t="s">
        <v>24</v>
      </c>
      <c r="G4728" t="s">
        <v>25</v>
      </c>
      <c r="H4728" t="s">
        <v>26</v>
      </c>
      <c r="I4728">
        <v>33411317</v>
      </c>
      <c r="J4728" t="s">
        <v>27</v>
      </c>
      <c r="K4728" t="s">
        <v>6466</v>
      </c>
      <c r="L4728" t="s">
        <v>21</v>
      </c>
      <c r="M4728" t="str">
        <f t="shared" si="219"/>
        <v>OK</v>
      </c>
      <c r="N4728" t="str">
        <f t="shared" si="220"/>
        <v>1960s</v>
      </c>
      <c r="O4728" t="str">
        <f t="shared" si="221"/>
        <v>N/A</v>
      </c>
      <c r="P4728" t="str">
        <f>VLOOKUP(E4728,calculated_fields!$F$4:$G$6,2,FALSE)</f>
        <v>Demographics</v>
      </c>
    </row>
    <row r="4729" spans="1:16">
      <c r="A4729" t="s">
        <v>6468</v>
      </c>
      <c r="B4729" t="s">
        <v>6453</v>
      </c>
      <c r="C4729" t="s">
        <v>80</v>
      </c>
      <c r="D4729">
        <v>1967</v>
      </c>
      <c r="E4729" t="s">
        <v>29</v>
      </c>
      <c r="F4729" t="s">
        <v>30</v>
      </c>
      <c r="G4729" t="s">
        <v>31</v>
      </c>
      <c r="H4729" t="s">
        <v>32</v>
      </c>
      <c r="I4729">
        <v>2826.3563869999998</v>
      </c>
      <c r="J4729" t="s">
        <v>33</v>
      </c>
      <c r="K4729" t="s">
        <v>6466</v>
      </c>
      <c r="L4729" t="s">
        <v>21</v>
      </c>
      <c r="M4729" t="str">
        <f t="shared" si="219"/>
        <v>OK</v>
      </c>
      <c r="N4729" t="str">
        <f t="shared" si="220"/>
        <v>1960s</v>
      </c>
      <c r="O4729" t="str">
        <f t="shared" si="221"/>
        <v>N/A</v>
      </c>
      <c r="P4729" t="str">
        <f>VLOOKUP(E4729,calculated_fields!$F$4:$G$6,2,FALSE)</f>
        <v>Economy</v>
      </c>
    </row>
    <row r="4730" spans="1:16">
      <c r="A4730" t="s">
        <v>6469</v>
      </c>
      <c r="B4730" t="s">
        <v>6453</v>
      </c>
      <c r="C4730" t="s">
        <v>80</v>
      </c>
      <c r="D4730">
        <v>1972</v>
      </c>
      <c r="E4730" t="s">
        <v>15</v>
      </c>
      <c r="F4730" t="s">
        <v>16</v>
      </c>
      <c r="G4730" t="s">
        <v>17</v>
      </c>
      <c r="H4730" t="s">
        <v>18</v>
      </c>
      <c r="I4730">
        <v>57.005000000000003</v>
      </c>
      <c r="J4730" t="s">
        <v>19</v>
      </c>
      <c r="K4730" t="s">
        <v>6470</v>
      </c>
      <c r="L4730" t="s">
        <v>21</v>
      </c>
      <c r="M4730" t="str">
        <f t="shared" si="219"/>
        <v>OK</v>
      </c>
      <c r="N4730" t="str">
        <f t="shared" si="220"/>
        <v>1970s</v>
      </c>
      <c r="O4730" t="str">
        <f t="shared" si="221"/>
        <v>Medium</v>
      </c>
      <c r="P4730" t="str">
        <f>VLOOKUP(E4730,calculated_fields!$F$4:$G$6,2,FALSE)</f>
        <v>Health</v>
      </c>
    </row>
    <row r="4731" spans="1:16">
      <c r="A4731" t="s">
        <v>6471</v>
      </c>
      <c r="B4731" t="s">
        <v>6453</v>
      </c>
      <c r="C4731" t="s">
        <v>80</v>
      </c>
      <c r="D4731">
        <v>1972</v>
      </c>
      <c r="E4731" t="s">
        <v>23</v>
      </c>
      <c r="F4731" t="s">
        <v>24</v>
      </c>
      <c r="G4731" t="s">
        <v>25</v>
      </c>
      <c r="H4731" t="s">
        <v>26</v>
      </c>
      <c r="I4731">
        <v>37492953</v>
      </c>
      <c r="J4731" t="s">
        <v>27</v>
      </c>
      <c r="K4731" t="s">
        <v>6470</v>
      </c>
      <c r="L4731" t="s">
        <v>21</v>
      </c>
      <c r="M4731" t="str">
        <f t="shared" si="219"/>
        <v>OK</v>
      </c>
      <c r="N4731" t="str">
        <f t="shared" si="220"/>
        <v>1970s</v>
      </c>
      <c r="O4731" t="str">
        <f t="shared" si="221"/>
        <v>N/A</v>
      </c>
      <c r="P4731" t="str">
        <f>VLOOKUP(E4731,calculated_fields!$F$4:$G$6,2,FALSE)</f>
        <v>Demographics</v>
      </c>
    </row>
    <row r="4732" spans="1:16">
      <c r="A4732" t="s">
        <v>6472</v>
      </c>
      <c r="B4732" t="s">
        <v>6453</v>
      </c>
      <c r="C4732" t="s">
        <v>80</v>
      </c>
      <c r="D4732">
        <v>1972</v>
      </c>
      <c r="E4732" t="s">
        <v>29</v>
      </c>
      <c r="F4732" t="s">
        <v>30</v>
      </c>
      <c r="G4732" t="s">
        <v>31</v>
      </c>
      <c r="H4732" t="s">
        <v>32</v>
      </c>
      <c r="I4732">
        <v>3450.6963799999999</v>
      </c>
      <c r="J4732" t="s">
        <v>33</v>
      </c>
      <c r="K4732" t="s">
        <v>6470</v>
      </c>
      <c r="L4732" t="s">
        <v>21</v>
      </c>
      <c r="M4732" t="str">
        <f t="shared" si="219"/>
        <v>OK</v>
      </c>
      <c r="N4732" t="str">
        <f t="shared" si="220"/>
        <v>1970s</v>
      </c>
      <c r="O4732" t="str">
        <f t="shared" si="221"/>
        <v>N/A</v>
      </c>
      <c r="P4732" t="str">
        <f>VLOOKUP(E4732,calculated_fields!$F$4:$G$6,2,FALSE)</f>
        <v>Economy</v>
      </c>
    </row>
    <row r="4733" spans="1:16">
      <c r="A4733" t="s">
        <v>6473</v>
      </c>
      <c r="B4733" t="s">
        <v>6453</v>
      </c>
      <c r="C4733" t="s">
        <v>80</v>
      </c>
      <c r="D4733">
        <v>1977</v>
      </c>
      <c r="E4733" t="s">
        <v>15</v>
      </c>
      <c r="F4733" t="s">
        <v>16</v>
      </c>
      <c r="G4733" t="s">
        <v>17</v>
      </c>
      <c r="H4733" t="s">
        <v>18</v>
      </c>
      <c r="I4733">
        <v>59.506999999999998</v>
      </c>
      <c r="J4733" t="s">
        <v>19</v>
      </c>
      <c r="K4733" t="s">
        <v>6474</v>
      </c>
      <c r="L4733" t="s">
        <v>21</v>
      </c>
      <c r="M4733" t="str">
        <f t="shared" si="219"/>
        <v>OK</v>
      </c>
      <c r="N4733" t="str">
        <f t="shared" si="220"/>
        <v>1970s</v>
      </c>
      <c r="O4733" t="str">
        <f t="shared" si="221"/>
        <v>Medium</v>
      </c>
      <c r="P4733" t="str">
        <f>VLOOKUP(E4733,calculated_fields!$F$4:$G$6,2,FALSE)</f>
        <v>Health</v>
      </c>
    </row>
    <row r="4734" spans="1:16">
      <c r="A4734" t="s">
        <v>6475</v>
      </c>
      <c r="B4734" t="s">
        <v>6453</v>
      </c>
      <c r="C4734" t="s">
        <v>80</v>
      </c>
      <c r="D4734">
        <v>1977</v>
      </c>
      <c r="E4734" t="s">
        <v>23</v>
      </c>
      <c r="F4734" t="s">
        <v>24</v>
      </c>
      <c r="G4734" t="s">
        <v>25</v>
      </c>
      <c r="H4734" t="s">
        <v>26</v>
      </c>
      <c r="I4734">
        <v>42404033</v>
      </c>
      <c r="J4734" t="s">
        <v>27</v>
      </c>
      <c r="K4734" t="s">
        <v>6474</v>
      </c>
      <c r="L4734" t="s">
        <v>21</v>
      </c>
      <c r="M4734" t="str">
        <f t="shared" si="219"/>
        <v>OK</v>
      </c>
      <c r="N4734" t="str">
        <f t="shared" si="220"/>
        <v>1970s</v>
      </c>
      <c r="O4734" t="str">
        <f t="shared" si="221"/>
        <v>N/A</v>
      </c>
      <c r="P4734" t="str">
        <f>VLOOKUP(E4734,calculated_fields!$F$4:$G$6,2,FALSE)</f>
        <v>Demographics</v>
      </c>
    </row>
    <row r="4735" spans="1:16">
      <c r="A4735" t="s">
        <v>6476</v>
      </c>
      <c r="B4735" t="s">
        <v>6453</v>
      </c>
      <c r="C4735" t="s">
        <v>80</v>
      </c>
      <c r="D4735">
        <v>1977</v>
      </c>
      <c r="E4735" t="s">
        <v>29</v>
      </c>
      <c r="F4735" t="s">
        <v>30</v>
      </c>
      <c r="G4735" t="s">
        <v>31</v>
      </c>
      <c r="H4735" t="s">
        <v>32</v>
      </c>
      <c r="I4735">
        <v>4269.1223259999997</v>
      </c>
      <c r="J4735" t="s">
        <v>33</v>
      </c>
      <c r="K4735" t="s">
        <v>6474</v>
      </c>
      <c r="L4735" t="s">
        <v>21</v>
      </c>
      <c r="M4735" t="str">
        <f t="shared" si="219"/>
        <v>OK</v>
      </c>
      <c r="N4735" t="str">
        <f t="shared" si="220"/>
        <v>1970s</v>
      </c>
      <c r="O4735" t="str">
        <f t="shared" si="221"/>
        <v>N/A</v>
      </c>
      <c r="P4735" t="str">
        <f>VLOOKUP(E4735,calculated_fields!$F$4:$G$6,2,FALSE)</f>
        <v>Economy</v>
      </c>
    </row>
    <row r="4736" spans="1:16">
      <c r="A4736" t="s">
        <v>6477</v>
      </c>
      <c r="B4736" t="s">
        <v>6453</v>
      </c>
      <c r="C4736" t="s">
        <v>80</v>
      </c>
      <c r="D4736">
        <v>1982</v>
      </c>
      <c r="E4736" t="s">
        <v>15</v>
      </c>
      <c r="F4736" t="s">
        <v>16</v>
      </c>
      <c r="G4736" t="s">
        <v>17</v>
      </c>
      <c r="H4736" t="s">
        <v>18</v>
      </c>
      <c r="I4736">
        <v>61.036000000000001</v>
      </c>
      <c r="J4736" t="s">
        <v>19</v>
      </c>
      <c r="K4736" t="s">
        <v>6478</v>
      </c>
      <c r="L4736" t="s">
        <v>21</v>
      </c>
      <c r="M4736" t="str">
        <f t="shared" si="219"/>
        <v>OK</v>
      </c>
      <c r="N4736" t="str">
        <f t="shared" si="220"/>
        <v>1980s</v>
      </c>
      <c r="O4736" t="str">
        <f t="shared" si="221"/>
        <v>Medium</v>
      </c>
      <c r="P4736" t="str">
        <f>VLOOKUP(E4736,calculated_fields!$F$4:$G$6,2,FALSE)</f>
        <v>Health</v>
      </c>
    </row>
    <row r="4737" spans="1:16">
      <c r="A4737" t="s">
        <v>6479</v>
      </c>
      <c r="B4737" t="s">
        <v>6453</v>
      </c>
      <c r="C4737" t="s">
        <v>80</v>
      </c>
      <c r="D4737">
        <v>1982</v>
      </c>
      <c r="E4737" t="s">
        <v>23</v>
      </c>
      <c r="F4737" t="s">
        <v>24</v>
      </c>
      <c r="G4737" t="s">
        <v>25</v>
      </c>
      <c r="H4737" t="s">
        <v>26</v>
      </c>
      <c r="I4737">
        <v>47328791</v>
      </c>
      <c r="J4737" t="s">
        <v>27</v>
      </c>
      <c r="K4737" t="s">
        <v>6478</v>
      </c>
      <c r="L4737" t="s">
        <v>21</v>
      </c>
      <c r="M4737" t="str">
        <f t="shared" si="219"/>
        <v>OK</v>
      </c>
      <c r="N4737" t="str">
        <f t="shared" si="220"/>
        <v>1980s</v>
      </c>
      <c r="O4737" t="str">
        <f t="shared" si="221"/>
        <v>N/A</v>
      </c>
      <c r="P4737" t="str">
        <f>VLOOKUP(E4737,calculated_fields!$F$4:$G$6,2,FALSE)</f>
        <v>Demographics</v>
      </c>
    </row>
    <row r="4738" spans="1:16">
      <c r="A4738" t="s">
        <v>6480</v>
      </c>
      <c r="B4738" t="s">
        <v>6453</v>
      </c>
      <c r="C4738" t="s">
        <v>80</v>
      </c>
      <c r="D4738">
        <v>1982</v>
      </c>
      <c r="E4738" t="s">
        <v>29</v>
      </c>
      <c r="F4738" t="s">
        <v>30</v>
      </c>
      <c r="G4738" t="s">
        <v>31</v>
      </c>
      <c r="H4738" t="s">
        <v>32</v>
      </c>
      <c r="I4738">
        <v>4241.3563439999998</v>
      </c>
      <c r="J4738" t="s">
        <v>33</v>
      </c>
      <c r="K4738" t="s">
        <v>6478</v>
      </c>
      <c r="L4738" t="s">
        <v>21</v>
      </c>
      <c r="M4738" t="str">
        <f t="shared" ref="M4738:M4801" si="222">IF(AND(ISNUMBER(I4738),I4738&gt;=0),"OK","Review")</f>
        <v>OK</v>
      </c>
      <c r="N4738" t="str">
        <f t="shared" ref="N4738:N4801" si="223">FLOOR(D4738,10)&amp;"s"</f>
        <v>1980s</v>
      </c>
      <c r="O4738" t="str">
        <f t="shared" ref="O4738:O4801" si="224">IF(E4738="LIFE_EXP",IF(I4738&gt;=70,"High",IF(I4738&gt;=55,"Medium","Low")),"N/A")</f>
        <v>N/A</v>
      </c>
      <c r="P4738" t="str">
        <f>VLOOKUP(E4738,calculated_fields!$F$4:$G$6,2,FALSE)</f>
        <v>Economy</v>
      </c>
    </row>
    <row r="4739" spans="1:16">
      <c r="A4739" t="s">
        <v>6481</v>
      </c>
      <c r="B4739" t="s">
        <v>6453</v>
      </c>
      <c r="C4739" t="s">
        <v>80</v>
      </c>
      <c r="D4739">
        <v>1987</v>
      </c>
      <c r="E4739" t="s">
        <v>15</v>
      </c>
      <c r="F4739" t="s">
        <v>16</v>
      </c>
      <c r="G4739" t="s">
        <v>17</v>
      </c>
      <c r="H4739" t="s">
        <v>18</v>
      </c>
      <c r="I4739">
        <v>63.107999999999997</v>
      </c>
      <c r="J4739" t="s">
        <v>19</v>
      </c>
      <c r="K4739" t="s">
        <v>6482</v>
      </c>
      <c r="L4739" t="s">
        <v>21</v>
      </c>
      <c r="M4739" t="str">
        <f t="shared" si="222"/>
        <v>OK</v>
      </c>
      <c r="N4739" t="str">
        <f t="shared" si="223"/>
        <v>1980s</v>
      </c>
      <c r="O4739" t="str">
        <f t="shared" si="224"/>
        <v>Medium</v>
      </c>
      <c r="P4739" t="str">
        <f>VLOOKUP(E4739,calculated_fields!$F$4:$G$6,2,FALSE)</f>
        <v>Health</v>
      </c>
    </row>
    <row r="4740" spans="1:16">
      <c r="A4740" t="s">
        <v>6483</v>
      </c>
      <c r="B4740" t="s">
        <v>6453</v>
      </c>
      <c r="C4740" t="s">
        <v>80</v>
      </c>
      <c r="D4740">
        <v>1987</v>
      </c>
      <c r="E4740" t="s">
        <v>23</v>
      </c>
      <c r="F4740" t="s">
        <v>24</v>
      </c>
      <c r="G4740" t="s">
        <v>25</v>
      </c>
      <c r="H4740" t="s">
        <v>26</v>
      </c>
      <c r="I4740">
        <v>52881328</v>
      </c>
      <c r="J4740" t="s">
        <v>27</v>
      </c>
      <c r="K4740" t="s">
        <v>6482</v>
      </c>
      <c r="L4740" t="s">
        <v>21</v>
      </c>
      <c r="M4740" t="str">
        <f t="shared" si="222"/>
        <v>OK</v>
      </c>
      <c r="N4740" t="str">
        <f t="shared" si="223"/>
        <v>1980s</v>
      </c>
      <c r="O4740" t="str">
        <f t="shared" si="224"/>
        <v>N/A</v>
      </c>
      <c r="P4740" t="str">
        <f>VLOOKUP(E4740,calculated_fields!$F$4:$G$6,2,FALSE)</f>
        <v>Demographics</v>
      </c>
    </row>
    <row r="4741" spans="1:16">
      <c r="A4741" t="s">
        <v>6484</v>
      </c>
      <c r="B4741" t="s">
        <v>6453</v>
      </c>
      <c r="C4741" t="s">
        <v>80</v>
      </c>
      <c r="D4741">
        <v>1987</v>
      </c>
      <c r="E4741" t="s">
        <v>29</v>
      </c>
      <c r="F4741" t="s">
        <v>30</v>
      </c>
      <c r="G4741" t="s">
        <v>31</v>
      </c>
      <c r="H4741" t="s">
        <v>32</v>
      </c>
      <c r="I4741">
        <v>5089.043686</v>
      </c>
      <c r="J4741" t="s">
        <v>33</v>
      </c>
      <c r="K4741" t="s">
        <v>6482</v>
      </c>
      <c r="L4741" t="s">
        <v>21</v>
      </c>
      <c r="M4741" t="str">
        <f t="shared" si="222"/>
        <v>OK</v>
      </c>
      <c r="N4741" t="str">
        <f t="shared" si="223"/>
        <v>1980s</v>
      </c>
      <c r="O4741" t="str">
        <f t="shared" si="224"/>
        <v>N/A</v>
      </c>
      <c r="P4741" t="str">
        <f>VLOOKUP(E4741,calculated_fields!$F$4:$G$6,2,FALSE)</f>
        <v>Economy</v>
      </c>
    </row>
    <row r="4742" spans="1:16">
      <c r="A4742" t="s">
        <v>6485</v>
      </c>
      <c r="B4742" t="s">
        <v>6453</v>
      </c>
      <c r="C4742" t="s">
        <v>80</v>
      </c>
      <c r="D4742">
        <v>1992</v>
      </c>
      <c r="E4742" t="s">
        <v>15</v>
      </c>
      <c r="F4742" t="s">
        <v>16</v>
      </c>
      <c r="G4742" t="s">
        <v>17</v>
      </c>
      <c r="H4742" t="s">
        <v>18</v>
      </c>
      <c r="I4742">
        <v>66.146000000000001</v>
      </c>
      <c r="J4742" t="s">
        <v>19</v>
      </c>
      <c r="K4742" t="s">
        <v>6486</v>
      </c>
      <c r="L4742" t="s">
        <v>21</v>
      </c>
      <c r="M4742" t="str">
        <f t="shared" si="222"/>
        <v>OK</v>
      </c>
      <c r="N4742" t="str">
        <f t="shared" si="223"/>
        <v>1990s</v>
      </c>
      <c r="O4742" t="str">
        <f t="shared" si="224"/>
        <v>Medium</v>
      </c>
      <c r="P4742" t="str">
        <f>VLOOKUP(E4742,calculated_fields!$F$4:$G$6,2,FALSE)</f>
        <v>Health</v>
      </c>
    </row>
    <row r="4743" spans="1:16">
      <c r="A4743" t="s">
        <v>6487</v>
      </c>
      <c r="B4743" t="s">
        <v>6453</v>
      </c>
      <c r="C4743" t="s">
        <v>80</v>
      </c>
      <c r="D4743">
        <v>1992</v>
      </c>
      <c r="E4743" t="s">
        <v>23</v>
      </c>
      <c r="F4743" t="s">
        <v>24</v>
      </c>
      <c r="G4743" t="s">
        <v>25</v>
      </c>
      <c r="H4743" t="s">
        <v>26</v>
      </c>
      <c r="I4743">
        <v>58179144</v>
      </c>
      <c r="J4743" t="s">
        <v>27</v>
      </c>
      <c r="K4743" t="s">
        <v>6486</v>
      </c>
      <c r="L4743" t="s">
        <v>21</v>
      </c>
      <c r="M4743" t="str">
        <f t="shared" si="222"/>
        <v>OK</v>
      </c>
      <c r="N4743" t="str">
        <f t="shared" si="223"/>
        <v>1990s</v>
      </c>
      <c r="O4743" t="str">
        <f t="shared" si="224"/>
        <v>N/A</v>
      </c>
      <c r="P4743" t="str">
        <f>VLOOKUP(E4743,calculated_fields!$F$4:$G$6,2,FALSE)</f>
        <v>Demographics</v>
      </c>
    </row>
    <row r="4744" spans="1:16">
      <c r="A4744" t="s">
        <v>6488</v>
      </c>
      <c r="B4744" t="s">
        <v>6453</v>
      </c>
      <c r="C4744" t="s">
        <v>80</v>
      </c>
      <c r="D4744">
        <v>1992</v>
      </c>
      <c r="E4744" t="s">
        <v>29</v>
      </c>
      <c r="F4744" t="s">
        <v>30</v>
      </c>
      <c r="G4744" t="s">
        <v>31</v>
      </c>
      <c r="H4744" t="s">
        <v>32</v>
      </c>
      <c r="I4744">
        <v>5678.3482709999998</v>
      </c>
      <c r="J4744" t="s">
        <v>33</v>
      </c>
      <c r="K4744" t="s">
        <v>6486</v>
      </c>
      <c r="L4744" t="s">
        <v>21</v>
      </c>
      <c r="M4744" t="str">
        <f t="shared" si="222"/>
        <v>OK</v>
      </c>
      <c r="N4744" t="str">
        <f t="shared" si="223"/>
        <v>1990s</v>
      </c>
      <c r="O4744" t="str">
        <f t="shared" si="224"/>
        <v>N/A</v>
      </c>
      <c r="P4744" t="str">
        <f>VLOOKUP(E4744,calculated_fields!$F$4:$G$6,2,FALSE)</f>
        <v>Economy</v>
      </c>
    </row>
    <row r="4745" spans="1:16">
      <c r="A4745" t="s">
        <v>6489</v>
      </c>
      <c r="B4745" t="s">
        <v>6453</v>
      </c>
      <c r="C4745" t="s">
        <v>80</v>
      </c>
      <c r="D4745">
        <v>1997</v>
      </c>
      <c r="E4745" t="s">
        <v>15</v>
      </c>
      <c r="F4745" t="s">
        <v>16</v>
      </c>
      <c r="G4745" t="s">
        <v>17</v>
      </c>
      <c r="H4745" t="s">
        <v>18</v>
      </c>
      <c r="I4745">
        <v>68.834999999999994</v>
      </c>
      <c r="J4745" t="s">
        <v>19</v>
      </c>
      <c r="K4745" t="s">
        <v>6490</v>
      </c>
      <c r="L4745" t="s">
        <v>21</v>
      </c>
      <c r="M4745" t="str">
        <f t="shared" si="222"/>
        <v>OK</v>
      </c>
      <c r="N4745" t="str">
        <f t="shared" si="223"/>
        <v>1990s</v>
      </c>
      <c r="O4745" t="str">
        <f t="shared" si="224"/>
        <v>Medium</v>
      </c>
      <c r="P4745" t="str">
        <f>VLOOKUP(E4745,calculated_fields!$F$4:$G$6,2,FALSE)</f>
        <v>Health</v>
      </c>
    </row>
    <row r="4746" spans="1:16">
      <c r="A4746" t="s">
        <v>6491</v>
      </c>
      <c r="B4746" t="s">
        <v>6453</v>
      </c>
      <c r="C4746" t="s">
        <v>80</v>
      </c>
      <c r="D4746">
        <v>1997</v>
      </c>
      <c r="E4746" t="s">
        <v>23</v>
      </c>
      <c r="F4746" t="s">
        <v>24</v>
      </c>
      <c r="G4746" t="s">
        <v>25</v>
      </c>
      <c r="H4746" t="s">
        <v>26</v>
      </c>
      <c r="I4746">
        <v>63047647</v>
      </c>
      <c r="J4746" t="s">
        <v>27</v>
      </c>
      <c r="K4746" t="s">
        <v>6490</v>
      </c>
      <c r="L4746" t="s">
        <v>21</v>
      </c>
      <c r="M4746" t="str">
        <f t="shared" si="222"/>
        <v>OK</v>
      </c>
      <c r="N4746" t="str">
        <f t="shared" si="223"/>
        <v>1990s</v>
      </c>
      <c r="O4746" t="str">
        <f t="shared" si="224"/>
        <v>N/A</v>
      </c>
      <c r="P4746" t="str">
        <f>VLOOKUP(E4746,calculated_fields!$F$4:$G$6,2,FALSE)</f>
        <v>Demographics</v>
      </c>
    </row>
    <row r="4747" spans="1:16">
      <c r="A4747" t="s">
        <v>6492</v>
      </c>
      <c r="B4747" t="s">
        <v>6453</v>
      </c>
      <c r="C4747" t="s">
        <v>80</v>
      </c>
      <c r="D4747">
        <v>1997</v>
      </c>
      <c r="E4747" t="s">
        <v>29</v>
      </c>
      <c r="F4747" t="s">
        <v>30</v>
      </c>
      <c r="G4747" t="s">
        <v>31</v>
      </c>
      <c r="H4747" t="s">
        <v>32</v>
      </c>
      <c r="I4747">
        <v>6601.4299149999997</v>
      </c>
      <c r="J4747" t="s">
        <v>33</v>
      </c>
      <c r="K4747" t="s">
        <v>6490</v>
      </c>
      <c r="L4747" t="s">
        <v>21</v>
      </c>
      <c r="M4747" t="str">
        <f t="shared" si="222"/>
        <v>OK</v>
      </c>
      <c r="N4747" t="str">
        <f t="shared" si="223"/>
        <v>1990s</v>
      </c>
      <c r="O4747" t="str">
        <f t="shared" si="224"/>
        <v>N/A</v>
      </c>
      <c r="P4747" t="str">
        <f>VLOOKUP(E4747,calculated_fields!$F$4:$G$6,2,FALSE)</f>
        <v>Economy</v>
      </c>
    </row>
    <row r="4748" spans="1:16">
      <c r="A4748" t="s">
        <v>6493</v>
      </c>
      <c r="B4748" t="s">
        <v>6453</v>
      </c>
      <c r="C4748" t="s">
        <v>80</v>
      </c>
      <c r="D4748">
        <v>2002</v>
      </c>
      <c r="E4748" t="s">
        <v>15</v>
      </c>
      <c r="F4748" t="s">
        <v>16</v>
      </c>
      <c r="G4748" t="s">
        <v>17</v>
      </c>
      <c r="H4748" t="s">
        <v>18</v>
      </c>
      <c r="I4748">
        <v>70.844999999999999</v>
      </c>
      <c r="J4748" t="s">
        <v>19</v>
      </c>
      <c r="K4748" t="s">
        <v>6494</v>
      </c>
      <c r="L4748" t="s">
        <v>21</v>
      </c>
      <c r="M4748" t="str">
        <f t="shared" si="222"/>
        <v>OK</v>
      </c>
      <c r="N4748" t="str">
        <f t="shared" si="223"/>
        <v>2000s</v>
      </c>
      <c r="O4748" t="str">
        <f t="shared" si="224"/>
        <v>High</v>
      </c>
      <c r="P4748" t="str">
        <f>VLOOKUP(E4748,calculated_fields!$F$4:$G$6,2,FALSE)</f>
        <v>Health</v>
      </c>
    </row>
    <row r="4749" spans="1:16">
      <c r="A4749" t="s">
        <v>6495</v>
      </c>
      <c r="B4749" t="s">
        <v>6453</v>
      </c>
      <c r="C4749" t="s">
        <v>80</v>
      </c>
      <c r="D4749">
        <v>2002</v>
      </c>
      <c r="E4749" t="s">
        <v>23</v>
      </c>
      <c r="F4749" t="s">
        <v>24</v>
      </c>
      <c r="G4749" t="s">
        <v>25</v>
      </c>
      <c r="H4749" t="s">
        <v>26</v>
      </c>
      <c r="I4749">
        <v>67308928</v>
      </c>
      <c r="J4749" t="s">
        <v>27</v>
      </c>
      <c r="K4749" t="s">
        <v>6494</v>
      </c>
      <c r="L4749" t="s">
        <v>21</v>
      </c>
      <c r="M4749" t="str">
        <f t="shared" si="222"/>
        <v>OK</v>
      </c>
      <c r="N4749" t="str">
        <f t="shared" si="223"/>
        <v>2000s</v>
      </c>
      <c r="O4749" t="str">
        <f t="shared" si="224"/>
        <v>N/A</v>
      </c>
      <c r="P4749" t="str">
        <f>VLOOKUP(E4749,calculated_fields!$F$4:$G$6,2,FALSE)</f>
        <v>Demographics</v>
      </c>
    </row>
    <row r="4750" spans="1:16">
      <c r="A4750" t="s">
        <v>6496</v>
      </c>
      <c r="B4750" t="s">
        <v>6453</v>
      </c>
      <c r="C4750" t="s">
        <v>80</v>
      </c>
      <c r="D4750">
        <v>2002</v>
      </c>
      <c r="E4750" t="s">
        <v>29</v>
      </c>
      <c r="F4750" t="s">
        <v>30</v>
      </c>
      <c r="G4750" t="s">
        <v>31</v>
      </c>
      <c r="H4750" t="s">
        <v>32</v>
      </c>
      <c r="I4750">
        <v>6508.0857180000003</v>
      </c>
      <c r="J4750" t="s">
        <v>33</v>
      </c>
      <c r="K4750" t="s">
        <v>6494</v>
      </c>
      <c r="L4750" t="s">
        <v>21</v>
      </c>
      <c r="M4750" t="str">
        <f t="shared" si="222"/>
        <v>OK</v>
      </c>
      <c r="N4750" t="str">
        <f t="shared" si="223"/>
        <v>2000s</v>
      </c>
      <c r="O4750" t="str">
        <f t="shared" si="224"/>
        <v>N/A</v>
      </c>
      <c r="P4750" t="str">
        <f>VLOOKUP(E4750,calculated_fields!$F$4:$G$6,2,FALSE)</f>
        <v>Economy</v>
      </c>
    </row>
    <row r="4751" spans="1:16">
      <c r="A4751" t="s">
        <v>6497</v>
      </c>
      <c r="B4751" t="s">
        <v>6453</v>
      </c>
      <c r="C4751" t="s">
        <v>80</v>
      </c>
      <c r="D4751">
        <v>2007</v>
      </c>
      <c r="E4751" t="s">
        <v>15</v>
      </c>
      <c r="F4751" t="s">
        <v>16</v>
      </c>
      <c r="G4751" t="s">
        <v>17</v>
      </c>
      <c r="H4751" t="s">
        <v>18</v>
      </c>
      <c r="I4751">
        <v>71.777000000000001</v>
      </c>
      <c r="J4751" t="s">
        <v>19</v>
      </c>
      <c r="K4751" t="s">
        <v>6498</v>
      </c>
      <c r="L4751" t="s">
        <v>21</v>
      </c>
      <c r="M4751" t="str">
        <f t="shared" si="222"/>
        <v>OK</v>
      </c>
      <c r="N4751" t="str">
        <f t="shared" si="223"/>
        <v>2000s</v>
      </c>
      <c r="O4751" t="str">
        <f t="shared" si="224"/>
        <v>High</v>
      </c>
      <c r="P4751" t="str">
        <f>VLOOKUP(E4751,calculated_fields!$F$4:$G$6,2,FALSE)</f>
        <v>Health</v>
      </c>
    </row>
    <row r="4752" spans="1:16">
      <c r="A4752" t="s">
        <v>6499</v>
      </c>
      <c r="B4752" t="s">
        <v>6453</v>
      </c>
      <c r="C4752" t="s">
        <v>80</v>
      </c>
      <c r="D4752">
        <v>2007</v>
      </c>
      <c r="E4752" t="s">
        <v>23</v>
      </c>
      <c r="F4752" t="s">
        <v>24</v>
      </c>
      <c r="G4752" t="s">
        <v>25</v>
      </c>
      <c r="H4752" t="s">
        <v>26</v>
      </c>
      <c r="I4752">
        <v>71158647</v>
      </c>
      <c r="J4752" t="s">
        <v>27</v>
      </c>
      <c r="K4752" t="s">
        <v>6498</v>
      </c>
      <c r="L4752" t="s">
        <v>21</v>
      </c>
      <c r="M4752" t="str">
        <f t="shared" si="222"/>
        <v>OK</v>
      </c>
      <c r="N4752" t="str">
        <f t="shared" si="223"/>
        <v>2000s</v>
      </c>
      <c r="O4752" t="str">
        <f t="shared" si="224"/>
        <v>N/A</v>
      </c>
      <c r="P4752" t="str">
        <f>VLOOKUP(E4752,calculated_fields!$F$4:$G$6,2,FALSE)</f>
        <v>Demographics</v>
      </c>
    </row>
    <row r="4753" spans="1:16">
      <c r="A4753" t="s">
        <v>6500</v>
      </c>
      <c r="B4753" t="s">
        <v>6453</v>
      </c>
      <c r="C4753" t="s">
        <v>80</v>
      </c>
      <c r="D4753">
        <v>2007</v>
      </c>
      <c r="E4753" t="s">
        <v>29</v>
      </c>
      <c r="F4753" t="s">
        <v>30</v>
      </c>
      <c r="G4753" t="s">
        <v>31</v>
      </c>
      <c r="H4753" t="s">
        <v>32</v>
      </c>
      <c r="I4753">
        <v>8458.2763840000007</v>
      </c>
      <c r="J4753" t="s">
        <v>33</v>
      </c>
      <c r="K4753" t="s">
        <v>6498</v>
      </c>
      <c r="L4753" t="s">
        <v>21</v>
      </c>
      <c r="M4753" t="str">
        <f t="shared" si="222"/>
        <v>OK</v>
      </c>
      <c r="N4753" t="str">
        <f t="shared" si="223"/>
        <v>2000s</v>
      </c>
      <c r="O4753" t="str">
        <f t="shared" si="224"/>
        <v>N/A</v>
      </c>
      <c r="P4753" t="str">
        <f>VLOOKUP(E4753,calculated_fields!$F$4:$G$6,2,FALSE)</f>
        <v>Economy</v>
      </c>
    </row>
    <row r="4754" spans="1:16">
      <c r="A4754" t="s">
        <v>6501</v>
      </c>
      <c r="B4754" t="s">
        <v>6502</v>
      </c>
      <c r="C4754" t="s">
        <v>130</v>
      </c>
      <c r="D4754">
        <v>1952</v>
      </c>
      <c r="E4754" t="s">
        <v>15</v>
      </c>
      <c r="F4754" t="s">
        <v>16</v>
      </c>
      <c r="G4754" t="s">
        <v>17</v>
      </c>
      <c r="H4754" t="s">
        <v>18</v>
      </c>
      <c r="I4754">
        <v>39.978000000000002</v>
      </c>
      <c r="J4754" t="s">
        <v>19</v>
      </c>
      <c r="K4754" t="s">
        <v>6503</v>
      </c>
      <c r="L4754" t="s">
        <v>21</v>
      </c>
      <c r="M4754" t="str">
        <f t="shared" si="222"/>
        <v>OK</v>
      </c>
      <c r="N4754" t="str">
        <f t="shared" si="223"/>
        <v>1950s</v>
      </c>
      <c r="O4754" t="str">
        <f t="shared" si="224"/>
        <v>Low</v>
      </c>
      <c r="P4754" t="str">
        <f>VLOOKUP(E4754,calculated_fields!$F$4:$G$6,2,FALSE)</f>
        <v>Health</v>
      </c>
    </row>
    <row r="4755" spans="1:16">
      <c r="A4755" t="s">
        <v>6504</v>
      </c>
      <c r="B4755" t="s">
        <v>6502</v>
      </c>
      <c r="C4755" t="s">
        <v>130</v>
      </c>
      <c r="D4755">
        <v>1952</v>
      </c>
      <c r="E4755" t="s">
        <v>23</v>
      </c>
      <c r="F4755" t="s">
        <v>24</v>
      </c>
      <c r="G4755" t="s">
        <v>25</v>
      </c>
      <c r="H4755" t="s">
        <v>26</v>
      </c>
      <c r="I4755">
        <v>5824797</v>
      </c>
      <c r="J4755" t="s">
        <v>27</v>
      </c>
      <c r="K4755" t="s">
        <v>6503</v>
      </c>
      <c r="L4755" t="s">
        <v>21</v>
      </c>
      <c r="M4755" t="str">
        <f t="shared" si="222"/>
        <v>OK</v>
      </c>
      <c r="N4755" t="str">
        <f t="shared" si="223"/>
        <v>1950s</v>
      </c>
      <c r="O4755" t="str">
        <f t="shared" si="224"/>
        <v>N/A</v>
      </c>
      <c r="P4755" t="str">
        <f>VLOOKUP(E4755,calculated_fields!$F$4:$G$6,2,FALSE)</f>
        <v>Demographics</v>
      </c>
    </row>
    <row r="4756" spans="1:16">
      <c r="A4756" t="s">
        <v>6505</v>
      </c>
      <c r="B4756" t="s">
        <v>6502</v>
      </c>
      <c r="C4756" t="s">
        <v>130</v>
      </c>
      <c r="D4756">
        <v>1952</v>
      </c>
      <c r="E4756" t="s">
        <v>29</v>
      </c>
      <c r="F4756" t="s">
        <v>30</v>
      </c>
      <c r="G4756" t="s">
        <v>31</v>
      </c>
      <c r="H4756" t="s">
        <v>32</v>
      </c>
      <c r="I4756">
        <v>734.75348399999996</v>
      </c>
      <c r="J4756" t="s">
        <v>33</v>
      </c>
      <c r="K4756" t="s">
        <v>6503</v>
      </c>
      <c r="L4756" t="s">
        <v>21</v>
      </c>
      <c r="M4756" t="str">
        <f t="shared" si="222"/>
        <v>OK</v>
      </c>
      <c r="N4756" t="str">
        <f t="shared" si="223"/>
        <v>1950s</v>
      </c>
      <c r="O4756" t="str">
        <f t="shared" si="224"/>
        <v>N/A</v>
      </c>
      <c r="P4756" t="str">
        <f>VLOOKUP(E4756,calculated_fields!$F$4:$G$6,2,FALSE)</f>
        <v>Economy</v>
      </c>
    </row>
    <row r="4757" spans="1:16">
      <c r="A4757" t="s">
        <v>6506</v>
      </c>
      <c r="B4757" t="s">
        <v>6502</v>
      </c>
      <c r="C4757" t="s">
        <v>130</v>
      </c>
      <c r="D4757">
        <v>1957</v>
      </c>
      <c r="E4757" t="s">
        <v>15</v>
      </c>
      <c r="F4757" t="s">
        <v>16</v>
      </c>
      <c r="G4757" t="s">
        <v>17</v>
      </c>
      <c r="H4757" t="s">
        <v>18</v>
      </c>
      <c r="I4757">
        <v>42.570999999999998</v>
      </c>
      <c r="J4757" t="s">
        <v>19</v>
      </c>
      <c r="K4757" t="s">
        <v>6507</v>
      </c>
      <c r="L4757" t="s">
        <v>21</v>
      </c>
      <c r="M4757" t="str">
        <f t="shared" si="222"/>
        <v>OK</v>
      </c>
      <c r="N4757" t="str">
        <f t="shared" si="223"/>
        <v>1950s</v>
      </c>
      <c r="O4757" t="str">
        <f t="shared" si="224"/>
        <v>Low</v>
      </c>
      <c r="P4757" t="str">
        <f>VLOOKUP(E4757,calculated_fields!$F$4:$G$6,2,FALSE)</f>
        <v>Health</v>
      </c>
    </row>
    <row r="4758" spans="1:16">
      <c r="A4758" t="s">
        <v>6508</v>
      </c>
      <c r="B4758" t="s">
        <v>6502</v>
      </c>
      <c r="C4758" t="s">
        <v>130</v>
      </c>
      <c r="D4758">
        <v>1957</v>
      </c>
      <c r="E4758" t="s">
        <v>23</v>
      </c>
      <c r="F4758" t="s">
        <v>24</v>
      </c>
      <c r="G4758" t="s">
        <v>25</v>
      </c>
      <c r="H4758" t="s">
        <v>26</v>
      </c>
      <c r="I4758">
        <v>6675501</v>
      </c>
      <c r="J4758" t="s">
        <v>27</v>
      </c>
      <c r="K4758" t="s">
        <v>6507</v>
      </c>
      <c r="L4758" t="s">
        <v>21</v>
      </c>
      <c r="M4758" t="str">
        <f t="shared" si="222"/>
        <v>OK</v>
      </c>
      <c r="N4758" t="str">
        <f t="shared" si="223"/>
        <v>1950s</v>
      </c>
      <c r="O4758" t="str">
        <f t="shared" si="224"/>
        <v>N/A</v>
      </c>
      <c r="P4758" t="str">
        <f>VLOOKUP(E4758,calculated_fields!$F$4:$G$6,2,FALSE)</f>
        <v>Demographics</v>
      </c>
    </row>
    <row r="4759" spans="1:16">
      <c r="A4759" t="s">
        <v>6509</v>
      </c>
      <c r="B4759" t="s">
        <v>6502</v>
      </c>
      <c r="C4759" t="s">
        <v>130</v>
      </c>
      <c r="D4759">
        <v>1957</v>
      </c>
      <c r="E4759" t="s">
        <v>29</v>
      </c>
      <c r="F4759" t="s">
        <v>30</v>
      </c>
      <c r="G4759" t="s">
        <v>31</v>
      </c>
      <c r="H4759" t="s">
        <v>32</v>
      </c>
      <c r="I4759">
        <v>774.37106919999997</v>
      </c>
      <c r="J4759" t="s">
        <v>33</v>
      </c>
      <c r="K4759" t="s">
        <v>6507</v>
      </c>
      <c r="L4759" t="s">
        <v>21</v>
      </c>
      <c r="M4759" t="str">
        <f t="shared" si="222"/>
        <v>OK</v>
      </c>
      <c r="N4759" t="str">
        <f t="shared" si="223"/>
        <v>1950s</v>
      </c>
      <c r="O4759" t="str">
        <f t="shared" si="224"/>
        <v>N/A</v>
      </c>
      <c r="P4759" t="str">
        <f>VLOOKUP(E4759,calculated_fields!$F$4:$G$6,2,FALSE)</f>
        <v>Economy</v>
      </c>
    </row>
    <row r="4760" spans="1:16">
      <c r="A4760" t="s">
        <v>6510</v>
      </c>
      <c r="B4760" t="s">
        <v>6502</v>
      </c>
      <c r="C4760" t="s">
        <v>130</v>
      </c>
      <c r="D4760">
        <v>1962</v>
      </c>
      <c r="E4760" t="s">
        <v>15</v>
      </c>
      <c r="F4760" t="s">
        <v>16</v>
      </c>
      <c r="G4760" t="s">
        <v>17</v>
      </c>
      <c r="H4760" t="s">
        <v>18</v>
      </c>
      <c r="I4760">
        <v>45.344000000000001</v>
      </c>
      <c r="J4760" t="s">
        <v>19</v>
      </c>
      <c r="K4760" t="s">
        <v>6511</v>
      </c>
      <c r="L4760" t="s">
        <v>21</v>
      </c>
      <c r="M4760" t="str">
        <f t="shared" si="222"/>
        <v>OK</v>
      </c>
      <c r="N4760" t="str">
        <f t="shared" si="223"/>
        <v>1960s</v>
      </c>
      <c r="O4760" t="str">
        <f t="shared" si="224"/>
        <v>Low</v>
      </c>
      <c r="P4760" t="str">
        <f>VLOOKUP(E4760,calculated_fields!$F$4:$G$6,2,FALSE)</f>
        <v>Health</v>
      </c>
    </row>
    <row r="4761" spans="1:16">
      <c r="A4761" t="s">
        <v>6512</v>
      </c>
      <c r="B4761" t="s">
        <v>6502</v>
      </c>
      <c r="C4761" t="s">
        <v>130</v>
      </c>
      <c r="D4761">
        <v>1962</v>
      </c>
      <c r="E4761" t="s">
        <v>23</v>
      </c>
      <c r="F4761" t="s">
        <v>24</v>
      </c>
      <c r="G4761" t="s">
        <v>25</v>
      </c>
      <c r="H4761" t="s">
        <v>26</v>
      </c>
      <c r="I4761">
        <v>7688797</v>
      </c>
      <c r="J4761" t="s">
        <v>27</v>
      </c>
      <c r="K4761" t="s">
        <v>6511</v>
      </c>
      <c r="L4761" t="s">
        <v>21</v>
      </c>
      <c r="M4761" t="str">
        <f t="shared" si="222"/>
        <v>OK</v>
      </c>
      <c r="N4761" t="str">
        <f t="shared" si="223"/>
        <v>1960s</v>
      </c>
      <c r="O4761" t="str">
        <f t="shared" si="224"/>
        <v>N/A</v>
      </c>
      <c r="P4761" t="str">
        <f>VLOOKUP(E4761,calculated_fields!$F$4:$G$6,2,FALSE)</f>
        <v>Demographics</v>
      </c>
    </row>
    <row r="4762" spans="1:16">
      <c r="A4762" t="s">
        <v>6513</v>
      </c>
      <c r="B4762" t="s">
        <v>6502</v>
      </c>
      <c r="C4762" t="s">
        <v>130</v>
      </c>
      <c r="D4762">
        <v>1962</v>
      </c>
      <c r="E4762" t="s">
        <v>29</v>
      </c>
      <c r="F4762" t="s">
        <v>30</v>
      </c>
      <c r="G4762" t="s">
        <v>31</v>
      </c>
      <c r="H4762" t="s">
        <v>32</v>
      </c>
      <c r="I4762">
        <v>767.27173979999895</v>
      </c>
      <c r="J4762" t="s">
        <v>33</v>
      </c>
      <c r="K4762" t="s">
        <v>6511</v>
      </c>
      <c r="L4762" t="s">
        <v>21</v>
      </c>
      <c r="M4762" t="str">
        <f t="shared" si="222"/>
        <v>OK</v>
      </c>
      <c r="N4762" t="str">
        <f t="shared" si="223"/>
        <v>1960s</v>
      </c>
      <c r="O4762" t="str">
        <f t="shared" si="224"/>
        <v>N/A</v>
      </c>
      <c r="P4762" t="str">
        <f>VLOOKUP(E4762,calculated_fields!$F$4:$G$6,2,FALSE)</f>
        <v>Economy</v>
      </c>
    </row>
    <row r="4763" spans="1:16">
      <c r="A4763" t="s">
        <v>6514</v>
      </c>
      <c r="B4763" t="s">
        <v>6502</v>
      </c>
      <c r="C4763" t="s">
        <v>130</v>
      </c>
      <c r="D4763">
        <v>1967</v>
      </c>
      <c r="E4763" t="s">
        <v>15</v>
      </c>
      <c r="F4763" t="s">
        <v>16</v>
      </c>
      <c r="G4763" t="s">
        <v>17</v>
      </c>
      <c r="H4763" t="s">
        <v>18</v>
      </c>
      <c r="I4763">
        <v>48.051000000000002</v>
      </c>
      <c r="J4763" t="s">
        <v>19</v>
      </c>
      <c r="K4763" t="s">
        <v>6515</v>
      </c>
      <c r="L4763" t="s">
        <v>21</v>
      </c>
      <c r="M4763" t="str">
        <f t="shared" si="222"/>
        <v>OK</v>
      </c>
      <c r="N4763" t="str">
        <f t="shared" si="223"/>
        <v>1960s</v>
      </c>
      <c r="O4763" t="str">
        <f t="shared" si="224"/>
        <v>Low</v>
      </c>
      <c r="P4763" t="str">
        <f>VLOOKUP(E4763,calculated_fields!$F$4:$G$6,2,FALSE)</f>
        <v>Health</v>
      </c>
    </row>
    <row r="4764" spans="1:16">
      <c r="A4764" t="s">
        <v>6516</v>
      </c>
      <c r="B4764" t="s">
        <v>6502</v>
      </c>
      <c r="C4764" t="s">
        <v>130</v>
      </c>
      <c r="D4764">
        <v>1967</v>
      </c>
      <c r="E4764" t="s">
        <v>23</v>
      </c>
      <c r="F4764" t="s">
        <v>24</v>
      </c>
      <c r="G4764" t="s">
        <v>25</v>
      </c>
      <c r="H4764" t="s">
        <v>26</v>
      </c>
      <c r="I4764">
        <v>8900294</v>
      </c>
      <c r="J4764" t="s">
        <v>27</v>
      </c>
      <c r="K4764" t="s">
        <v>6515</v>
      </c>
      <c r="L4764" t="s">
        <v>21</v>
      </c>
      <c r="M4764" t="str">
        <f t="shared" si="222"/>
        <v>OK</v>
      </c>
      <c r="N4764" t="str">
        <f t="shared" si="223"/>
        <v>1960s</v>
      </c>
      <c r="O4764" t="str">
        <f t="shared" si="224"/>
        <v>N/A</v>
      </c>
      <c r="P4764" t="str">
        <f>VLOOKUP(E4764,calculated_fields!$F$4:$G$6,2,FALSE)</f>
        <v>Demographics</v>
      </c>
    </row>
    <row r="4765" spans="1:16">
      <c r="A4765" t="s">
        <v>6517</v>
      </c>
      <c r="B4765" t="s">
        <v>6502</v>
      </c>
      <c r="C4765" t="s">
        <v>130</v>
      </c>
      <c r="D4765">
        <v>1967</v>
      </c>
      <c r="E4765" t="s">
        <v>29</v>
      </c>
      <c r="F4765" t="s">
        <v>30</v>
      </c>
      <c r="G4765" t="s">
        <v>31</v>
      </c>
      <c r="H4765" t="s">
        <v>32</v>
      </c>
      <c r="I4765">
        <v>908.91852170000004</v>
      </c>
      <c r="J4765" t="s">
        <v>33</v>
      </c>
      <c r="K4765" t="s">
        <v>6515</v>
      </c>
      <c r="L4765" t="s">
        <v>21</v>
      </c>
      <c r="M4765" t="str">
        <f t="shared" si="222"/>
        <v>OK</v>
      </c>
      <c r="N4765" t="str">
        <f t="shared" si="223"/>
        <v>1960s</v>
      </c>
      <c r="O4765" t="str">
        <f t="shared" si="224"/>
        <v>N/A</v>
      </c>
      <c r="P4765" t="str">
        <f>VLOOKUP(E4765,calculated_fields!$F$4:$G$6,2,FALSE)</f>
        <v>Economy</v>
      </c>
    </row>
    <row r="4766" spans="1:16">
      <c r="A4766" t="s">
        <v>6518</v>
      </c>
      <c r="B4766" t="s">
        <v>6502</v>
      </c>
      <c r="C4766" t="s">
        <v>130</v>
      </c>
      <c r="D4766">
        <v>1972</v>
      </c>
      <c r="E4766" t="s">
        <v>15</v>
      </c>
      <c r="F4766" t="s">
        <v>16</v>
      </c>
      <c r="G4766" t="s">
        <v>17</v>
      </c>
      <c r="H4766" t="s">
        <v>18</v>
      </c>
      <c r="I4766">
        <v>51.015999999999998</v>
      </c>
      <c r="J4766" t="s">
        <v>19</v>
      </c>
      <c r="K4766" t="s">
        <v>6519</v>
      </c>
      <c r="L4766" t="s">
        <v>21</v>
      </c>
      <c r="M4766" t="str">
        <f t="shared" si="222"/>
        <v>OK</v>
      </c>
      <c r="N4766" t="str">
        <f t="shared" si="223"/>
        <v>1970s</v>
      </c>
      <c r="O4766" t="str">
        <f t="shared" si="224"/>
        <v>Low</v>
      </c>
      <c r="P4766" t="str">
        <f>VLOOKUP(E4766,calculated_fields!$F$4:$G$6,2,FALSE)</f>
        <v>Health</v>
      </c>
    </row>
    <row r="4767" spans="1:16">
      <c r="A4767" t="s">
        <v>6520</v>
      </c>
      <c r="B4767" t="s">
        <v>6502</v>
      </c>
      <c r="C4767" t="s">
        <v>130</v>
      </c>
      <c r="D4767">
        <v>1972</v>
      </c>
      <c r="E4767" t="s">
        <v>23</v>
      </c>
      <c r="F4767" t="s">
        <v>24</v>
      </c>
      <c r="G4767" t="s">
        <v>25</v>
      </c>
      <c r="H4767" t="s">
        <v>26</v>
      </c>
      <c r="I4767">
        <v>10190285</v>
      </c>
      <c r="J4767" t="s">
        <v>27</v>
      </c>
      <c r="K4767" t="s">
        <v>6519</v>
      </c>
      <c r="L4767" t="s">
        <v>21</v>
      </c>
      <c r="M4767" t="str">
        <f t="shared" si="222"/>
        <v>OK</v>
      </c>
      <c r="N4767" t="str">
        <f t="shared" si="223"/>
        <v>1970s</v>
      </c>
      <c r="O4767" t="str">
        <f t="shared" si="224"/>
        <v>N/A</v>
      </c>
      <c r="P4767" t="str">
        <f>VLOOKUP(E4767,calculated_fields!$F$4:$G$6,2,FALSE)</f>
        <v>Demographics</v>
      </c>
    </row>
    <row r="4768" spans="1:16">
      <c r="A4768" t="s">
        <v>6521</v>
      </c>
      <c r="B4768" t="s">
        <v>6502</v>
      </c>
      <c r="C4768" t="s">
        <v>130</v>
      </c>
      <c r="D4768">
        <v>1972</v>
      </c>
      <c r="E4768" t="s">
        <v>29</v>
      </c>
      <c r="F4768" t="s">
        <v>30</v>
      </c>
      <c r="G4768" t="s">
        <v>31</v>
      </c>
      <c r="H4768" t="s">
        <v>32</v>
      </c>
      <c r="I4768">
        <v>950.73586899999998</v>
      </c>
      <c r="J4768" t="s">
        <v>33</v>
      </c>
      <c r="K4768" t="s">
        <v>6519</v>
      </c>
      <c r="L4768" t="s">
        <v>21</v>
      </c>
      <c r="M4768" t="str">
        <f t="shared" si="222"/>
        <v>OK</v>
      </c>
      <c r="N4768" t="str">
        <f t="shared" si="223"/>
        <v>1970s</v>
      </c>
      <c r="O4768" t="str">
        <f t="shared" si="224"/>
        <v>N/A</v>
      </c>
      <c r="P4768" t="str">
        <f>VLOOKUP(E4768,calculated_fields!$F$4:$G$6,2,FALSE)</f>
        <v>Economy</v>
      </c>
    </row>
    <row r="4769" spans="1:16">
      <c r="A4769" t="s">
        <v>6522</v>
      </c>
      <c r="B4769" t="s">
        <v>6502</v>
      </c>
      <c r="C4769" t="s">
        <v>130</v>
      </c>
      <c r="D4769">
        <v>1977</v>
      </c>
      <c r="E4769" t="s">
        <v>15</v>
      </c>
      <c r="F4769" t="s">
        <v>16</v>
      </c>
      <c r="G4769" t="s">
        <v>17</v>
      </c>
      <c r="H4769" t="s">
        <v>18</v>
      </c>
      <c r="I4769">
        <v>50.35</v>
      </c>
      <c r="J4769" t="s">
        <v>19</v>
      </c>
      <c r="K4769" t="s">
        <v>6523</v>
      </c>
      <c r="L4769" t="s">
        <v>21</v>
      </c>
      <c r="M4769" t="str">
        <f t="shared" si="222"/>
        <v>OK</v>
      </c>
      <c r="N4769" t="str">
        <f t="shared" si="223"/>
        <v>1970s</v>
      </c>
      <c r="O4769" t="str">
        <f t="shared" si="224"/>
        <v>Low</v>
      </c>
      <c r="P4769" t="str">
        <f>VLOOKUP(E4769,calculated_fields!$F$4:$G$6,2,FALSE)</f>
        <v>Health</v>
      </c>
    </row>
    <row r="4770" spans="1:16">
      <c r="A4770" t="s">
        <v>6524</v>
      </c>
      <c r="B4770" t="s">
        <v>6502</v>
      </c>
      <c r="C4770" t="s">
        <v>130</v>
      </c>
      <c r="D4770">
        <v>1977</v>
      </c>
      <c r="E4770" t="s">
        <v>23</v>
      </c>
      <c r="F4770" t="s">
        <v>24</v>
      </c>
      <c r="G4770" t="s">
        <v>25</v>
      </c>
      <c r="H4770" t="s">
        <v>26</v>
      </c>
      <c r="I4770">
        <v>11457758</v>
      </c>
      <c r="J4770" t="s">
        <v>27</v>
      </c>
      <c r="K4770" t="s">
        <v>6523</v>
      </c>
      <c r="L4770" t="s">
        <v>21</v>
      </c>
      <c r="M4770" t="str">
        <f t="shared" si="222"/>
        <v>OK</v>
      </c>
      <c r="N4770" t="str">
        <f t="shared" si="223"/>
        <v>1970s</v>
      </c>
      <c r="O4770" t="str">
        <f t="shared" si="224"/>
        <v>N/A</v>
      </c>
      <c r="P4770" t="str">
        <f>VLOOKUP(E4770,calculated_fields!$F$4:$G$6,2,FALSE)</f>
        <v>Demographics</v>
      </c>
    </row>
    <row r="4771" spans="1:16">
      <c r="A4771" t="s">
        <v>6525</v>
      </c>
      <c r="B4771" t="s">
        <v>6502</v>
      </c>
      <c r="C4771" t="s">
        <v>130</v>
      </c>
      <c r="D4771">
        <v>1977</v>
      </c>
      <c r="E4771" t="s">
        <v>29</v>
      </c>
      <c r="F4771" t="s">
        <v>30</v>
      </c>
      <c r="G4771" t="s">
        <v>31</v>
      </c>
      <c r="H4771" t="s">
        <v>32</v>
      </c>
      <c r="I4771">
        <v>843.73313719999999</v>
      </c>
      <c r="J4771" t="s">
        <v>33</v>
      </c>
      <c r="K4771" t="s">
        <v>6523</v>
      </c>
      <c r="L4771" t="s">
        <v>21</v>
      </c>
      <c r="M4771" t="str">
        <f t="shared" si="222"/>
        <v>OK</v>
      </c>
      <c r="N4771" t="str">
        <f t="shared" si="223"/>
        <v>1970s</v>
      </c>
      <c r="O4771" t="str">
        <f t="shared" si="224"/>
        <v>N/A</v>
      </c>
      <c r="P4771" t="str">
        <f>VLOOKUP(E4771,calculated_fields!$F$4:$G$6,2,FALSE)</f>
        <v>Economy</v>
      </c>
    </row>
    <row r="4772" spans="1:16">
      <c r="A4772" t="s">
        <v>6526</v>
      </c>
      <c r="B4772" t="s">
        <v>6502</v>
      </c>
      <c r="C4772" t="s">
        <v>130</v>
      </c>
      <c r="D4772">
        <v>1982</v>
      </c>
      <c r="E4772" t="s">
        <v>15</v>
      </c>
      <c r="F4772" t="s">
        <v>16</v>
      </c>
      <c r="G4772" t="s">
        <v>17</v>
      </c>
      <c r="H4772" t="s">
        <v>18</v>
      </c>
      <c r="I4772">
        <v>49.848999999999997</v>
      </c>
      <c r="J4772" t="s">
        <v>19</v>
      </c>
      <c r="K4772" t="s">
        <v>6527</v>
      </c>
      <c r="L4772" t="s">
        <v>21</v>
      </c>
      <c r="M4772" t="str">
        <f t="shared" si="222"/>
        <v>OK</v>
      </c>
      <c r="N4772" t="str">
        <f t="shared" si="223"/>
        <v>1980s</v>
      </c>
      <c r="O4772" t="str">
        <f t="shared" si="224"/>
        <v>Low</v>
      </c>
      <c r="P4772" t="str">
        <f>VLOOKUP(E4772,calculated_fields!$F$4:$G$6,2,FALSE)</f>
        <v>Health</v>
      </c>
    </row>
    <row r="4773" spans="1:16">
      <c r="A4773" t="s">
        <v>6528</v>
      </c>
      <c r="B4773" t="s">
        <v>6502</v>
      </c>
      <c r="C4773" t="s">
        <v>130</v>
      </c>
      <c r="D4773">
        <v>1982</v>
      </c>
      <c r="E4773" t="s">
        <v>23</v>
      </c>
      <c r="F4773" t="s">
        <v>24</v>
      </c>
      <c r="G4773" t="s">
        <v>25</v>
      </c>
      <c r="H4773" t="s">
        <v>26</v>
      </c>
      <c r="I4773">
        <v>12939400</v>
      </c>
      <c r="J4773" t="s">
        <v>27</v>
      </c>
      <c r="K4773" t="s">
        <v>6527</v>
      </c>
      <c r="L4773" t="s">
        <v>21</v>
      </c>
      <c r="M4773" t="str">
        <f t="shared" si="222"/>
        <v>OK</v>
      </c>
      <c r="N4773" t="str">
        <f t="shared" si="223"/>
        <v>1980s</v>
      </c>
      <c r="O4773" t="str">
        <f t="shared" si="224"/>
        <v>N/A</v>
      </c>
      <c r="P4773" t="str">
        <f>VLOOKUP(E4773,calculated_fields!$F$4:$G$6,2,FALSE)</f>
        <v>Demographics</v>
      </c>
    </row>
    <row r="4774" spans="1:16">
      <c r="A4774" t="s">
        <v>6529</v>
      </c>
      <c r="B4774" t="s">
        <v>6502</v>
      </c>
      <c r="C4774" t="s">
        <v>130</v>
      </c>
      <c r="D4774">
        <v>1982</v>
      </c>
      <c r="E4774" t="s">
        <v>29</v>
      </c>
      <c r="F4774" t="s">
        <v>30</v>
      </c>
      <c r="G4774" t="s">
        <v>31</v>
      </c>
      <c r="H4774" t="s">
        <v>32</v>
      </c>
      <c r="I4774">
        <v>682.266226799999</v>
      </c>
      <c r="J4774" t="s">
        <v>33</v>
      </c>
      <c r="K4774" t="s">
        <v>6527</v>
      </c>
      <c r="L4774" t="s">
        <v>21</v>
      </c>
      <c r="M4774" t="str">
        <f t="shared" si="222"/>
        <v>OK</v>
      </c>
      <c r="N4774" t="str">
        <f t="shared" si="223"/>
        <v>1980s</v>
      </c>
      <c r="O4774" t="str">
        <f t="shared" si="224"/>
        <v>N/A</v>
      </c>
      <c r="P4774" t="str">
        <f>VLOOKUP(E4774,calculated_fields!$F$4:$G$6,2,FALSE)</f>
        <v>Economy</v>
      </c>
    </row>
    <row r="4775" spans="1:16">
      <c r="A4775" t="s">
        <v>6530</v>
      </c>
      <c r="B4775" t="s">
        <v>6502</v>
      </c>
      <c r="C4775" t="s">
        <v>130</v>
      </c>
      <c r="D4775">
        <v>1987</v>
      </c>
      <c r="E4775" t="s">
        <v>15</v>
      </c>
      <c r="F4775" t="s">
        <v>16</v>
      </c>
      <c r="G4775" t="s">
        <v>17</v>
      </c>
      <c r="H4775" t="s">
        <v>18</v>
      </c>
      <c r="I4775">
        <v>51.508999999999901</v>
      </c>
      <c r="J4775" t="s">
        <v>19</v>
      </c>
      <c r="K4775" t="s">
        <v>6531</v>
      </c>
      <c r="L4775" t="s">
        <v>21</v>
      </c>
      <c r="M4775" t="str">
        <f t="shared" si="222"/>
        <v>OK</v>
      </c>
      <c r="N4775" t="str">
        <f t="shared" si="223"/>
        <v>1980s</v>
      </c>
      <c r="O4775" t="str">
        <f t="shared" si="224"/>
        <v>Low</v>
      </c>
      <c r="P4775" t="str">
        <f>VLOOKUP(E4775,calculated_fields!$F$4:$G$6,2,FALSE)</f>
        <v>Health</v>
      </c>
    </row>
    <row r="4776" spans="1:16">
      <c r="A4776" t="s">
        <v>6532</v>
      </c>
      <c r="B4776" t="s">
        <v>6502</v>
      </c>
      <c r="C4776" t="s">
        <v>130</v>
      </c>
      <c r="D4776">
        <v>1987</v>
      </c>
      <c r="E4776" t="s">
        <v>23</v>
      </c>
      <c r="F4776" t="s">
        <v>24</v>
      </c>
      <c r="G4776" t="s">
        <v>25</v>
      </c>
      <c r="H4776" t="s">
        <v>26</v>
      </c>
      <c r="I4776">
        <v>15283050</v>
      </c>
      <c r="J4776" t="s">
        <v>27</v>
      </c>
      <c r="K4776" t="s">
        <v>6531</v>
      </c>
      <c r="L4776" t="s">
        <v>21</v>
      </c>
      <c r="M4776" t="str">
        <f t="shared" si="222"/>
        <v>OK</v>
      </c>
      <c r="N4776" t="str">
        <f t="shared" si="223"/>
        <v>1980s</v>
      </c>
      <c r="O4776" t="str">
        <f t="shared" si="224"/>
        <v>N/A</v>
      </c>
      <c r="P4776" t="str">
        <f>VLOOKUP(E4776,calculated_fields!$F$4:$G$6,2,FALSE)</f>
        <v>Demographics</v>
      </c>
    </row>
    <row r="4777" spans="1:16">
      <c r="A4777" t="s">
        <v>6533</v>
      </c>
      <c r="B4777" t="s">
        <v>6502</v>
      </c>
      <c r="C4777" t="s">
        <v>130</v>
      </c>
      <c r="D4777">
        <v>1987</v>
      </c>
      <c r="E4777" t="s">
        <v>29</v>
      </c>
      <c r="F4777" t="s">
        <v>30</v>
      </c>
      <c r="G4777" t="s">
        <v>31</v>
      </c>
      <c r="H4777" t="s">
        <v>32</v>
      </c>
      <c r="I4777">
        <v>617.72440649999999</v>
      </c>
      <c r="J4777" t="s">
        <v>33</v>
      </c>
      <c r="K4777" t="s">
        <v>6531</v>
      </c>
      <c r="L4777" t="s">
        <v>21</v>
      </c>
      <c r="M4777" t="str">
        <f t="shared" si="222"/>
        <v>OK</v>
      </c>
      <c r="N4777" t="str">
        <f t="shared" si="223"/>
        <v>1980s</v>
      </c>
      <c r="O4777" t="str">
        <f t="shared" si="224"/>
        <v>N/A</v>
      </c>
      <c r="P4777" t="str">
        <f>VLOOKUP(E4777,calculated_fields!$F$4:$G$6,2,FALSE)</f>
        <v>Economy</v>
      </c>
    </row>
    <row r="4778" spans="1:16">
      <c r="A4778" t="s">
        <v>6534</v>
      </c>
      <c r="B4778" t="s">
        <v>6502</v>
      </c>
      <c r="C4778" t="s">
        <v>130</v>
      </c>
      <c r="D4778">
        <v>1992</v>
      </c>
      <c r="E4778" t="s">
        <v>15</v>
      </c>
      <c r="F4778" t="s">
        <v>16</v>
      </c>
      <c r="G4778" t="s">
        <v>17</v>
      </c>
      <c r="H4778" t="s">
        <v>18</v>
      </c>
      <c r="I4778">
        <v>48.825000000000003</v>
      </c>
      <c r="J4778" t="s">
        <v>19</v>
      </c>
      <c r="K4778" t="s">
        <v>6535</v>
      </c>
      <c r="L4778" t="s">
        <v>21</v>
      </c>
      <c r="M4778" t="str">
        <f t="shared" si="222"/>
        <v>OK</v>
      </c>
      <c r="N4778" t="str">
        <f t="shared" si="223"/>
        <v>1990s</v>
      </c>
      <c r="O4778" t="str">
        <f t="shared" si="224"/>
        <v>Low</v>
      </c>
      <c r="P4778" t="str">
        <f>VLOOKUP(E4778,calculated_fields!$F$4:$G$6,2,FALSE)</f>
        <v>Health</v>
      </c>
    </row>
    <row r="4779" spans="1:16">
      <c r="A4779" t="s">
        <v>6536</v>
      </c>
      <c r="B4779" t="s">
        <v>6502</v>
      </c>
      <c r="C4779" t="s">
        <v>130</v>
      </c>
      <c r="D4779">
        <v>1992</v>
      </c>
      <c r="E4779" t="s">
        <v>23</v>
      </c>
      <c r="F4779" t="s">
        <v>24</v>
      </c>
      <c r="G4779" t="s">
        <v>25</v>
      </c>
      <c r="H4779" t="s">
        <v>26</v>
      </c>
      <c r="I4779">
        <v>18252190</v>
      </c>
      <c r="J4779" t="s">
        <v>27</v>
      </c>
      <c r="K4779" t="s">
        <v>6535</v>
      </c>
      <c r="L4779" t="s">
        <v>21</v>
      </c>
      <c r="M4779" t="str">
        <f t="shared" si="222"/>
        <v>OK</v>
      </c>
      <c r="N4779" t="str">
        <f t="shared" si="223"/>
        <v>1990s</v>
      </c>
      <c r="O4779" t="str">
        <f t="shared" si="224"/>
        <v>N/A</v>
      </c>
      <c r="P4779" t="str">
        <f>VLOOKUP(E4779,calculated_fields!$F$4:$G$6,2,FALSE)</f>
        <v>Demographics</v>
      </c>
    </row>
    <row r="4780" spans="1:16">
      <c r="A4780" t="s">
        <v>6537</v>
      </c>
      <c r="B4780" t="s">
        <v>6502</v>
      </c>
      <c r="C4780" t="s">
        <v>130</v>
      </c>
      <c r="D4780">
        <v>1992</v>
      </c>
      <c r="E4780" t="s">
        <v>29</v>
      </c>
      <c r="F4780" t="s">
        <v>30</v>
      </c>
      <c r="G4780" t="s">
        <v>31</v>
      </c>
      <c r="H4780" t="s">
        <v>32</v>
      </c>
      <c r="I4780">
        <v>644.170796899999</v>
      </c>
      <c r="J4780" t="s">
        <v>33</v>
      </c>
      <c r="K4780" t="s">
        <v>6535</v>
      </c>
      <c r="L4780" t="s">
        <v>21</v>
      </c>
      <c r="M4780" t="str">
        <f t="shared" si="222"/>
        <v>OK</v>
      </c>
      <c r="N4780" t="str">
        <f t="shared" si="223"/>
        <v>1990s</v>
      </c>
      <c r="O4780" t="str">
        <f t="shared" si="224"/>
        <v>N/A</v>
      </c>
      <c r="P4780" t="str">
        <f>VLOOKUP(E4780,calculated_fields!$F$4:$G$6,2,FALSE)</f>
        <v>Economy</v>
      </c>
    </row>
    <row r="4781" spans="1:16">
      <c r="A4781" t="s">
        <v>6538</v>
      </c>
      <c r="B4781" t="s">
        <v>6502</v>
      </c>
      <c r="C4781" t="s">
        <v>130</v>
      </c>
      <c r="D4781">
        <v>1997</v>
      </c>
      <c r="E4781" t="s">
        <v>15</v>
      </c>
      <c r="F4781" t="s">
        <v>16</v>
      </c>
      <c r="G4781" t="s">
        <v>17</v>
      </c>
      <c r="H4781" t="s">
        <v>18</v>
      </c>
      <c r="I4781">
        <v>44.578000000000003</v>
      </c>
      <c r="J4781" t="s">
        <v>19</v>
      </c>
      <c r="K4781" t="s">
        <v>6539</v>
      </c>
      <c r="L4781" t="s">
        <v>21</v>
      </c>
      <c r="M4781" t="str">
        <f t="shared" si="222"/>
        <v>OK</v>
      </c>
      <c r="N4781" t="str">
        <f t="shared" si="223"/>
        <v>1990s</v>
      </c>
      <c r="O4781" t="str">
        <f t="shared" si="224"/>
        <v>Low</v>
      </c>
      <c r="P4781" t="str">
        <f>VLOOKUP(E4781,calculated_fields!$F$4:$G$6,2,FALSE)</f>
        <v>Health</v>
      </c>
    </row>
    <row r="4782" spans="1:16">
      <c r="A4782" t="s">
        <v>6540</v>
      </c>
      <c r="B4782" t="s">
        <v>6502</v>
      </c>
      <c r="C4782" t="s">
        <v>130</v>
      </c>
      <c r="D4782">
        <v>1997</v>
      </c>
      <c r="E4782" t="s">
        <v>23</v>
      </c>
      <c r="F4782" t="s">
        <v>24</v>
      </c>
      <c r="G4782" t="s">
        <v>25</v>
      </c>
      <c r="H4782" t="s">
        <v>26</v>
      </c>
      <c r="I4782">
        <v>21210254</v>
      </c>
      <c r="J4782" t="s">
        <v>27</v>
      </c>
      <c r="K4782" t="s">
        <v>6539</v>
      </c>
      <c r="L4782" t="s">
        <v>21</v>
      </c>
      <c r="M4782" t="str">
        <f t="shared" si="222"/>
        <v>OK</v>
      </c>
      <c r="N4782" t="str">
        <f t="shared" si="223"/>
        <v>1990s</v>
      </c>
      <c r="O4782" t="str">
        <f t="shared" si="224"/>
        <v>N/A</v>
      </c>
      <c r="P4782" t="str">
        <f>VLOOKUP(E4782,calculated_fields!$F$4:$G$6,2,FALSE)</f>
        <v>Demographics</v>
      </c>
    </row>
    <row r="4783" spans="1:16">
      <c r="A4783" t="s">
        <v>6541</v>
      </c>
      <c r="B4783" t="s">
        <v>6502</v>
      </c>
      <c r="C4783" t="s">
        <v>130</v>
      </c>
      <c r="D4783">
        <v>1997</v>
      </c>
      <c r="E4783" t="s">
        <v>29</v>
      </c>
      <c r="F4783" t="s">
        <v>30</v>
      </c>
      <c r="G4783" t="s">
        <v>31</v>
      </c>
      <c r="H4783" t="s">
        <v>32</v>
      </c>
      <c r="I4783">
        <v>816.55908099999999</v>
      </c>
      <c r="J4783" t="s">
        <v>33</v>
      </c>
      <c r="K4783" t="s">
        <v>6539</v>
      </c>
      <c r="L4783" t="s">
        <v>21</v>
      </c>
      <c r="M4783" t="str">
        <f t="shared" si="222"/>
        <v>OK</v>
      </c>
      <c r="N4783" t="str">
        <f t="shared" si="223"/>
        <v>1990s</v>
      </c>
      <c r="O4783" t="str">
        <f t="shared" si="224"/>
        <v>N/A</v>
      </c>
      <c r="P4783" t="str">
        <f>VLOOKUP(E4783,calculated_fields!$F$4:$G$6,2,FALSE)</f>
        <v>Economy</v>
      </c>
    </row>
    <row r="4784" spans="1:16">
      <c r="A4784" t="s">
        <v>6542</v>
      </c>
      <c r="B4784" t="s">
        <v>6502</v>
      </c>
      <c r="C4784" t="s">
        <v>130</v>
      </c>
      <c r="D4784">
        <v>2002</v>
      </c>
      <c r="E4784" t="s">
        <v>15</v>
      </c>
      <c r="F4784" t="s">
        <v>16</v>
      </c>
      <c r="G4784" t="s">
        <v>17</v>
      </c>
      <c r="H4784" t="s">
        <v>18</v>
      </c>
      <c r="I4784">
        <v>47.813000000000002</v>
      </c>
      <c r="J4784" t="s">
        <v>19</v>
      </c>
      <c r="K4784" t="s">
        <v>6543</v>
      </c>
      <c r="L4784" t="s">
        <v>21</v>
      </c>
      <c r="M4784" t="str">
        <f t="shared" si="222"/>
        <v>OK</v>
      </c>
      <c r="N4784" t="str">
        <f t="shared" si="223"/>
        <v>2000s</v>
      </c>
      <c r="O4784" t="str">
        <f t="shared" si="224"/>
        <v>Low</v>
      </c>
      <c r="P4784" t="str">
        <f>VLOOKUP(E4784,calculated_fields!$F$4:$G$6,2,FALSE)</f>
        <v>Health</v>
      </c>
    </row>
    <row r="4785" spans="1:16">
      <c r="A4785" t="s">
        <v>6544</v>
      </c>
      <c r="B4785" t="s">
        <v>6502</v>
      </c>
      <c r="C4785" t="s">
        <v>130</v>
      </c>
      <c r="D4785">
        <v>2002</v>
      </c>
      <c r="E4785" t="s">
        <v>23</v>
      </c>
      <c r="F4785" t="s">
        <v>24</v>
      </c>
      <c r="G4785" t="s">
        <v>25</v>
      </c>
      <c r="H4785" t="s">
        <v>26</v>
      </c>
      <c r="I4785">
        <v>24739869</v>
      </c>
      <c r="J4785" t="s">
        <v>27</v>
      </c>
      <c r="K4785" t="s">
        <v>6543</v>
      </c>
      <c r="L4785" t="s">
        <v>21</v>
      </c>
      <c r="M4785" t="str">
        <f t="shared" si="222"/>
        <v>OK</v>
      </c>
      <c r="N4785" t="str">
        <f t="shared" si="223"/>
        <v>2000s</v>
      </c>
      <c r="O4785" t="str">
        <f t="shared" si="224"/>
        <v>N/A</v>
      </c>
      <c r="P4785" t="str">
        <f>VLOOKUP(E4785,calculated_fields!$F$4:$G$6,2,FALSE)</f>
        <v>Demographics</v>
      </c>
    </row>
    <row r="4786" spans="1:16">
      <c r="A4786" t="s">
        <v>6545</v>
      </c>
      <c r="B4786" t="s">
        <v>6502</v>
      </c>
      <c r="C4786" t="s">
        <v>130</v>
      </c>
      <c r="D4786">
        <v>2002</v>
      </c>
      <c r="E4786" t="s">
        <v>29</v>
      </c>
      <c r="F4786" t="s">
        <v>30</v>
      </c>
      <c r="G4786" t="s">
        <v>31</v>
      </c>
      <c r="H4786" t="s">
        <v>32</v>
      </c>
      <c r="I4786">
        <v>927.72100179999995</v>
      </c>
      <c r="J4786" t="s">
        <v>33</v>
      </c>
      <c r="K4786" t="s">
        <v>6543</v>
      </c>
      <c r="L4786" t="s">
        <v>21</v>
      </c>
      <c r="M4786" t="str">
        <f t="shared" si="222"/>
        <v>OK</v>
      </c>
      <c r="N4786" t="str">
        <f t="shared" si="223"/>
        <v>2000s</v>
      </c>
      <c r="O4786" t="str">
        <f t="shared" si="224"/>
        <v>N/A</v>
      </c>
      <c r="P4786" t="str">
        <f>VLOOKUP(E4786,calculated_fields!$F$4:$G$6,2,FALSE)</f>
        <v>Economy</v>
      </c>
    </row>
    <row r="4787" spans="1:16">
      <c r="A4787" t="s">
        <v>6546</v>
      </c>
      <c r="B4787" t="s">
        <v>6502</v>
      </c>
      <c r="C4787" t="s">
        <v>130</v>
      </c>
      <c r="D4787">
        <v>2007</v>
      </c>
      <c r="E4787" t="s">
        <v>15</v>
      </c>
      <c r="F4787" t="s">
        <v>16</v>
      </c>
      <c r="G4787" t="s">
        <v>17</v>
      </c>
      <c r="H4787" t="s">
        <v>18</v>
      </c>
      <c r="I4787">
        <v>51.542000000000002</v>
      </c>
      <c r="J4787" t="s">
        <v>19</v>
      </c>
      <c r="K4787" t="s">
        <v>6547</v>
      </c>
      <c r="L4787" t="s">
        <v>21</v>
      </c>
      <c r="M4787" t="str">
        <f t="shared" si="222"/>
        <v>OK</v>
      </c>
      <c r="N4787" t="str">
        <f t="shared" si="223"/>
        <v>2000s</v>
      </c>
      <c r="O4787" t="str">
        <f t="shared" si="224"/>
        <v>Low</v>
      </c>
      <c r="P4787" t="str">
        <f>VLOOKUP(E4787,calculated_fields!$F$4:$G$6,2,FALSE)</f>
        <v>Health</v>
      </c>
    </row>
    <row r="4788" spans="1:16">
      <c r="A4788" t="s">
        <v>6548</v>
      </c>
      <c r="B4788" t="s">
        <v>6502</v>
      </c>
      <c r="C4788" t="s">
        <v>130</v>
      </c>
      <c r="D4788">
        <v>2007</v>
      </c>
      <c r="E4788" t="s">
        <v>23</v>
      </c>
      <c r="F4788" t="s">
        <v>24</v>
      </c>
      <c r="G4788" t="s">
        <v>25</v>
      </c>
      <c r="H4788" t="s">
        <v>26</v>
      </c>
      <c r="I4788">
        <v>29170398</v>
      </c>
      <c r="J4788" t="s">
        <v>27</v>
      </c>
      <c r="K4788" t="s">
        <v>6547</v>
      </c>
      <c r="L4788" t="s">
        <v>21</v>
      </c>
      <c r="M4788" t="str">
        <f t="shared" si="222"/>
        <v>OK</v>
      </c>
      <c r="N4788" t="str">
        <f t="shared" si="223"/>
        <v>2000s</v>
      </c>
      <c r="O4788" t="str">
        <f t="shared" si="224"/>
        <v>N/A</v>
      </c>
      <c r="P4788" t="str">
        <f>VLOOKUP(E4788,calculated_fields!$F$4:$G$6,2,FALSE)</f>
        <v>Demographics</v>
      </c>
    </row>
    <row r="4789" spans="1:16">
      <c r="A4789" t="s">
        <v>6549</v>
      </c>
      <c r="B4789" t="s">
        <v>6502</v>
      </c>
      <c r="C4789" t="s">
        <v>130</v>
      </c>
      <c r="D4789">
        <v>2007</v>
      </c>
      <c r="E4789" t="s">
        <v>29</v>
      </c>
      <c r="F4789" t="s">
        <v>30</v>
      </c>
      <c r="G4789" t="s">
        <v>31</v>
      </c>
      <c r="H4789" t="s">
        <v>32</v>
      </c>
      <c r="I4789">
        <v>1056.3801209999999</v>
      </c>
      <c r="J4789" t="s">
        <v>33</v>
      </c>
      <c r="K4789" t="s">
        <v>6547</v>
      </c>
      <c r="L4789" t="s">
        <v>21</v>
      </c>
      <c r="M4789" t="str">
        <f t="shared" si="222"/>
        <v>OK</v>
      </c>
      <c r="N4789" t="str">
        <f t="shared" si="223"/>
        <v>2000s</v>
      </c>
      <c r="O4789" t="str">
        <f t="shared" si="224"/>
        <v>N/A</v>
      </c>
      <c r="P4789" t="str">
        <f>VLOOKUP(E4789,calculated_fields!$F$4:$G$6,2,FALSE)</f>
        <v>Economy</v>
      </c>
    </row>
    <row r="4790" spans="1:16">
      <c r="A4790" t="s">
        <v>6550</v>
      </c>
      <c r="B4790" t="s">
        <v>6551</v>
      </c>
      <c r="C4790" t="s">
        <v>80</v>
      </c>
      <c r="D4790">
        <v>1952</v>
      </c>
      <c r="E4790" t="s">
        <v>15</v>
      </c>
      <c r="F4790" t="s">
        <v>16</v>
      </c>
      <c r="G4790" t="s">
        <v>17</v>
      </c>
      <c r="H4790" t="s">
        <v>18</v>
      </c>
      <c r="I4790">
        <v>69.180000000000007</v>
      </c>
      <c r="J4790" t="s">
        <v>19</v>
      </c>
      <c r="K4790" t="s">
        <v>6552</v>
      </c>
      <c r="L4790" t="s">
        <v>21</v>
      </c>
      <c r="M4790" t="str">
        <f t="shared" si="222"/>
        <v>OK</v>
      </c>
      <c r="N4790" t="str">
        <f t="shared" si="223"/>
        <v>1950s</v>
      </c>
      <c r="O4790" t="str">
        <f t="shared" si="224"/>
        <v>Medium</v>
      </c>
      <c r="P4790" t="str">
        <f>VLOOKUP(E4790,calculated_fields!$F$4:$G$6,2,FALSE)</f>
        <v>Health</v>
      </c>
    </row>
    <row r="4791" spans="1:16">
      <c r="A4791" t="s">
        <v>6553</v>
      </c>
      <c r="B4791" t="s">
        <v>6551</v>
      </c>
      <c r="C4791" t="s">
        <v>80</v>
      </c>
      <c r="D4791">
        <v>1952</v>
      </c>
      <c r="E4791" t="s">
        <v>23</v>
      </c>
      <c r="F4791" t="s">
        <v>24</v>
      </c>
      <c r="G4791" t="s">
        <v>25</v>
      </c>
      <c r="H4791" t="s">
        <v>26</v>
      </c>
      <c r="I4791">
        <v>50430000</v>
      </c>
      <c r="J4791" t="s">
        <v>27</v>
      </c>
      <c r="K4791" t="s">
        <v>6552</v>
      </c>
      <c r="L4791" t="s">
        <v>21</v>
      </c>
      <c r="M4791" t="str">
        <f t="shared" si="222"/>
        <v>OK</v>
      </c>
      <c r="N4791" t="str">
        <f t="shared" si="223"/>
        <v>1950s</v>
      </c>
      <c r="O4791" t="str">
        <f t="shared" si="224"/>
        <v>N/A</v>
      </c>
      <c r="P4791" t="str">
        <f>VLOOKUP(E4791,calculated_fields!$F$4:$G$6,2,FALSE)</f>
        <v>Demographics</v>
      </c>
    </row>
    <row r="4792" spans="1:16">
      <c r="A4792" t="s">
        <v>6554</v>
      </c>
      <c r="B4792" t="s">
        <v>6551</v>
      </c>
      <c r="C4792" t="s">
        <v>80</v>
      </c>
      <c r="D4792">
        <v>1952</v>
      </c>
      <c r="E4792" t="s">
        <v>29</v>
      </c>
      <c r="F4792" t="s">
        <v>30</v>
      </c>
      <c r="G4792" t="s">
        <v>31</v>
      </c>
      <c r="H4792" t="s">
        <v>32</v>
      </c>
      <c r="I4792">
        <v>9979.5084869999991</v>
      </c>
      <c r="J4792" t="s">
        <v>33</v>
      </c>
      <c r="K4792" t="s">
        <v>6552</v>
      </c>
      <c r="L4792" t="s">
        <v>21</v>
      </c>
      <c r="M4792" t="str">
        <f t="shared" si="222"/>
        <v>OK</v>
      </c>
      <c r="N4792" t="str">
        <f t="shared" si="223"/>
        <v>1950s</v>
      </c>
      <c r="O4792" t="str">
        <f t="shared" si="224"/>
        <v>N/A</v>
      </c>
      <c r="P4792" t="str">
        <f>VLOOKUP(E4792,calculated_fields!$F$4:$G$6,2,FALSE)</f>
        <v>Economy</v>
      </c>
    </row>
    <row r="4793" spans="1:16">
      <c r="A4793" t="s">
        <v>6555</v>
      </c>
      <c r="B4793" t="s">
        <v>6551</v>
      </c>
      <c r="C4793" t="s">
        <v>80</v>
      </c>
      <c r="D4793">
        <v>1957</v>
      </c>
      <c r="E4793" t="s">
        <v>15</v>
      </c>
      <c r="F4793" t="s">
        <v>16</v>
      </c>
      <c r="G4793" t="s">
        <v>17</v>
      </c>
      <c r="H4793" t="s">
        <v>18</v>
      </c>
      <c r="I4793">
        <v>70.42</v>
      </c>
      <c r="J4793" t="s">
        <v>19</v>
      </c>
      <c r="K4793" t="s">
        <v>6556</v>
      </c>
      <c r="L4793" t="s">
        <v>21</v>
      </c>
      <c r="M4793" t="str">
        <f t="shared" si="222"/>
        <v>OK</v>
      </c>
      <c r="N4793" t="str">
        <f t="shared" si="223"/>
        <v>1950s</v>
      </c>
      <c r="O4793" t="str">
        <f t="shared" si="224"/>
        <v>High</v>
      </c>
      <c r="P4793" t="str">
        <f>VLOOKUP(E4793,calculated_fields!$F$4:$G$6,2,FALSE)</f>
        <v>Health</v>
      </c>
    </row>
    <row r="4794" spans="1:16">
      <c r="A4794" t="s">
        <v>6557</v>
      </c>
      <c r="B4794" t="s">
        <v>6551</v>
      </c>
      <c r="C4794" t="s">
        <v>80</v>
      </c>
      <c r="D4794">
        <v>1957</v>
      </c>
      <c r="E4794" t="s">
        <v>23</v>
      </c>
      <c r="F4794" t="s">
        <v>24</v>
      </c>
      <c r="G4794" t="s">
        <v>25</v>
      </c>
      <c r="H4794" t="s">
        <v>26</v>
      </c>
      <c r="I4794">
        <v>51430000</v>
      </c>
      <c r="J4794" t="s">
        <v>27</v>
      </c>
      <c r="K4794" t="s">
        <v>6556</v>
      </c>
      <c r="L4794" t="s">
        <v>21</v>
      </c>
      <c r="M4794" t="str">
        <f t="shared" si="222"/>
        <v>OK</v>
      </c>
      <c r="N4794" t="str">
        <f t="shared" si="223"/>
        <v>1950s</v>
      </c>
      <c r="O4794" t="str">
        <f t="shared" si="224"/>
        <v>N/A</v>
      </c>
      <c r="P4794" t="str">
        <f>VLOOKUP(E4794,calculated_fields!$F$4:$G$6,2,FALSE)</f>
        <v>Demographics</v>
      </c>
    </row>
    <row r="4795" spans="1:16">
      <c r="A4795" t="s">
        <v>6558</v>
      </c>
      <c r="B4795" t="s">
        <v>6551</v>
      </c>
      <c r="C4795" t="s">
        <v>80</v>
      </c>
      <c r="D4795">
        <v>1957</v>
      </c>
      <c r="E4795" t="s">
        <v>29</v>
      </c>
      <c r="F4795" t="s">
        <v>30</v>
      </c>
      <c r="G4795" t="s">
        <v>31</v>
      </c>
      <c r="H4795" t="s">
        <v>32</v>
      </c>
      <c r="I4795">
        <v>11283.177949999999</v>
      </c>
      <c r="J4795" t="s">
        <v>33</v>
      </c>
      <c r="K4795" t="s">
        <v>6556</v>
      </c>
      <c r="L4795" t="s">
        <v>21</v>
      </c>
      <c r="M4795" t="str">
        <f t="shared" si="222"/>
        <v>OK</v>
      </c>
      <c r="N4795" t="str">
        <f t="shared" si="223"/>
        <v>1950s</v>
      </c>
      <c r="O4795" t="str">
        <f t="shared" si="224"/>
        <v>N/A</v>
      </c>
      <c r="P4795" t="str">
        <f>VLOOKUP(E4795,calculated_fields!$F$4:$G$6,2,FALSE)</f>
        <v>Economy</v>
      </c>
    </row>
    <row r="4796" spans="1:16">
      <c r="A4796" t="s">
        <v>6559</v>
      </c>
      <c r="B4796" t="s">
        <v>6551</v>
      </c>
      <c r="C4796" t="s">
        <v>80</v>
      </c>
      <c r="D4796">
        <v>1962</v>
      </c>
      <c r="E4796" t="s">
        <v>15</v>
      </c>
      <c r="F4796" t="s">
        <v>16</v>
      </c>
      <c r="G4796" t="s">
        <v>17</v>
      </c>
      <c r="H4796" t="s">
        <v>18</v>
      </c>
      <c r="I4796">
        <v>70.760000000000005</v>
      </c>
      <c r="J4796" t="s">
        <v>19</v>
      </c>
      <c r="K4796" t="s">
        <v>6560</v>
      </c>
      <c r="L4796" t="s">
        <v>21</v>
      </c>
      <c r="M4796" t="str">
        <f t="shared" si="222"/>
        <v>OK</v>
      </c>
      <c r="N4796" t="str">
        <f t="shared" si="223"/>
        <v>1960s</v>
      </c>
      <c r="O4796" t="str">
        <f t="shared" si="224"/>
        <v>High</v>
      </c>
      <c r="P4796" t="str">
        <f>VLOOKUP(E4796,calculated_fields!$F$4:$G$6,2,FALSE)</f>
        <v>Health</v>
      </c>
    </row>
    <row r="4797" spans="1:16">
      <c r="A4797" t="s">
        <v>6561</v>
      </c>
      <c r="B4797" t="s">
        <v>6551</v>
      </c>
      <c r="C4797" t="s">
        <v>80</v>
      </c>
      <c r="D4797">
        <v>1962</v>
      </c>
      <c r="E4797" t="s">
        <v>23</v>
      </c>
      <c r="F4797" t="s">
        <v>24</v>
      </c>
      <c r="G4797" t="s">
        <v>25</v>
      </c>
      <c r="H4797" t="s">
        <v>26</v>
      </c>
      <c r="I4797">
        <v>53292000</v>
      </c>
      <c r="J4797" t="s">
        <v>27</v>
      </c>
      <c r="K4797" t="s">
        <v>6560</v>
      </c>
      <c r="L4797" t="s">
        <v>21</v>
      </c>
      <c r="M4797" t="str">
        <f t="shared" si="222"/>
        <v>OK</v>
      </c>
      <c r="N4797" t="str">
        <f t="shared" si="223"/>
        <v>1960s</v>
      </c>
      <c r="O4797" t="str">
        <f t="shared" si="224"/>
        <v>N/A</v>
      </c>
      <c r="P4797" t="str">
        <f>VLOOKUP(E4797,calculated_fields!$F$4:$G$6,2,FALSE)</f>
        <v>Demographics</v>
      </c>
    </row>
    <row r="4798" spans="1:16">
      <c r="A4798" t="s">
        <v>6562</v>
      </c>
      <c r="B4798" t="s">
        <v>6551</v>
      </c>
      <c r="C4798" t="s">
        <v>80</v>
      </c>
      <c r="D4798">
        <v>1962</v>
      </c>
      <c r="E4798" t="s">
        <v>29</v>
      </c>
      <c r="F4798" t="s">
        <v>30</v>
      </c>
      <c r="G4798" t="s">
        <v>31</v>
      </c>
      <c r="H4798" t="s">
        <v>32</v>
      </c>
      <c r="I4798">
        <v>12477.17707</v>
      </c>
      <c r="J4798" t="s">
        <v>33</v>
      </c>
      <c r="K4798" t="s">
        <v>6560</v>
      </c>
      <c r="L4798" t="s">
        <v>21</v>
      </c>
      <c r="M4798" t="str">
        <f t="shared" si="222"/>
        <v>OK</v>
      </c>
      <c r="N4798" t="str">
        <f t="shared" si="223"/>
        <v>1960s</v>
      </c>
      <c r="O4798" t="str">
        <f t="shared" si="224"/>
        <v>N/A</v>
      </c>
      <c r="P4798" t="str">
        <f>VLOOKUP(E4798,calculated_fields!$F$4:$G$6,2,FALSE)</f>
        <v>Economy</v>
      </c>
    </row>
    <row r="4799" spans="1:16">
      <c r="A4799" t="s">
        <v>6563</v>
      </c>
      <c r="B4799" t="s">
        <v>6551</v>
      </c>
      <c r="C4799" t="s">
        <v>80</v>
      </c>
      <c r="D4799">
        <v>1967</v>
      </c>
      <c r="E4799" t="s">
        <v>15</v>
      </c>
      <c r="F4799" t="s">
        <v>16</v>
      </c>
      <c r="G4799" t="s">
        <v>17</v>
      </c>
      <c r="H4799" t="s">
        <v>18</v>
      </c>
      <c r="I4799">
        <v>71.36</v>
      </c>
      <c r="J4799" t="s">
        <v>19</v>
      </c>
      <c r="K4799" t="s">
        <v>6564</v>
      </c>
      <c r="L4799" t="s">
        <v>21</v>
      </c>
      <c r="M4799" t="str">
        <f t="shared" si="222"/>
        <v>OK</v>
      </c>
      <c r="N4799" t="str">
        <f t="shared" si="223"/>
        <v>1960s</v>
      </c>
      <c r="O4799" t="str">
        <f t="shared" si="224"/>
        <v>High</v>
      </c>
      <c r="P4799" t="str">
        <f>VLOOKUP(E4799,calculated_fields!$F$4:$G$6,2,FALSE)</f>
        <v>Health</v>
      </c>
    </row>
    <row r="4800" spans="1:16">
      <c r="A4800" t="s">
        <v>6565</v>
      </c>
      <c r="B4800" t="s">
        <v>6551</v>
      </c>
      <c r="C4800" t="s">
        <v>80</v>
      </c>
      <c r="D4800">
        <v>1967</v>
      </c>
      <c r="E4800" t="s">
        <v>23</v>
      </c>
      <c r="F4800" t="s">
        <v>24</v>
      </c>
      <c r="G4800" t="s">
        <v>25</v>
      </c>
      <c r="H4800" t="s">
        <v>26</v>
      </c>
      <c r="I4800">
        <v>54959000</v>
      </c>
      <c r="J4800" t="s">
        <v>27</v>
      </c>
      <c r="K4800" t="s">
        <v>6564</v>
      </c>
      <c r="L4800" t="s">
        <v>21</v>
      </c>
      <c r="M4800" t="str">
        <f t="shared" si="222"/>
        <v>OK</v>
      </c>
      <c r="N4800" t="str">
        <f t="shared" si="223"/>
        <v>1960s</v>
      </c>
      <c r="O4800" t="str">
        <f t="shared" si="224"/>
        <v>N/A</v>
      </c>
      <c r="P4800" t="str">
        <f>VLOOKUP(E4800,calculated_fields!$F$4:$G$6,2,FALSE)</f>
        <v>Demographics</v>
      </c>
    </row>
    <row r="4801" spans="1:16">
      <c r="A4801" t="s">
        <v>6566</v>
      </c>
      <c r="B4801" t="s">
        <v>6551</v>
      </c>
      <c r="C4801" t="s">
        <v>80</v>
      </c>
      <c r="D4801">
        <v>1967</v>
      </c>
      <c r="E4801" t="s">
        <v>29</v>
      </c>
      <c r="F4801" t="s">
        <v>30</v>
      </c>
      <c r="G4801" t="s">
        <v>31</v>
      </c>
      <c r="H4801" t="s">
        <v>32</v>
      </c>
      <c r="I4801">
        <v>14142.85089</v>
      </c>
      <c r="J4801" t="s">
        <v>33</v>
      </c>
      <c r="K4801" t="s">
        <v>6564</v>
      </c>
      <c r="L4801" t="s">
        <v>21</v>
      </c>
      <c r="M4801" t="str">
        <f t="shared" si="222"/>
        <v>OK</v>
      </c>
      <c r="N4801" t="str">
        <f t="shared" si="223"/>
        <v>1960s</v>
      </c>
      <c r="O4801" t="str">
        <f t="shared" si="224"/>
        <v>N/A</v>
      </c>
      <c r="P4801" t="str">
        <f>VLOOKUP(E4801,calculated_fields!$F$4:$G$6,2,FALSE)</f>
        <v>Economy</v>
      </c>
    </row>
    <row r="4802" spans="1:16">
      <c r="A4802" t="s">
        <v>6567</v>
      </c>
      <c r="B4802" t="s">
        <v>6551</v>
      </c>
      <c r="C4802" t="s">
        <v>80</v>
      </c>
      <c r="D4802">
        <v>1972</v>
      </c>
      <c r="E4802" t="s">
        <v>15</v>
      </c>
      <c r="F4802" t="s">
        <v>16</v>
      </c>
      <c r="G4802" t="s">
        <v>17</v>
      </c>
      <c r="H4802" t="s">
        <v>18</v>
      </c>
      <c r="I4802">
        <v>72.010000000000005</v>
      </c>
      <c r="J4802" t="s">
        <v>19</v>
      </c>
      <c r="K4802" t="s">
        <v>6568</v>
      </c>
      <c r="L4802" t="s">
        <v>21</v>
      </c>
      <c r="M4802" t="str">
        <f t="shared" ref="M4802:M4865" si="225">IF(AND(ISNUMBER(I4802),I4802&gt;=0),"OK","Review")</f>
        <v>OK</v>
      </c>
      <c r="N4802" t="str">
        <f t="shared" ref="N4802:N4865" si="226">FLOOR(D4802,10)&amp;"s"</f>
        <v>1970s</v>
      </c>
      <c r="O4802" t="str">
        <f t="shared" ref="O4802:O4865" si="227">IF(E4802="LIFE_EXP",IF(I4802&gt;=70,"High",IF(I4802&gt;=55,"Medium","Low")),"N/A")</f>
        <v>High</v>
      </c>
      <c r="P4802" t="str">
        <f>VLOOKUP(E4802,calculated_fields!$F$4:$G$6,2,FALSE)</f>
        <v>Health</v>
      </c>
    </row>
    <row r="4803" spans="1:16">
      <c r="A4803" t="s">
        <v>6569</v>
      </c>
      <c r="B4803" t="s">
        <v>6551</v>
      </c>
      <c r="C4803" t="s">
        <v>80</v>
      </c>
      <c r="D4803">
        <v>1972</v>
      </c>
      <c r="E4803" t="s">
        <v>23</v>
      </c>
      <c r="F4803" t="s">
        <v>24</v>
      </c>
      <c r="G4803" t="s">
        <v>25</v>
      </c>
      <c r="H4803" t="s">
        <v>26</v>
      </c>
      <c r="I4803">
        <v>56079000</v>
      </c>
      <c r="J4803" t="s">
        <v>27</v>
      </c>
      <c r="K4803" t="s">
        <v>6568</v>
      </c>
      <c r="L4803" t="s">
        <v>21</v>
      </c>
      <c r="M4803" t="str">
        <f t="shared" si="225"/>
        <v>OK</v>
      </c>
      <c r="N4803" t="str">
        <f t="shared" si="226"/>
        <v>1970s</v>
      </c>
      <c r="O4803" t="str">
        <f t="shared" si="227"/>
        <v>N/A</v>
      </c>
      <c r="P4803" t="str">
        <f>VLOOKUP(E4803,calculated_fields!$F$4:$G$6,2,FALSE)</f>
        <v>Demographics</v>
      </c>
    </row>
    <row r="4804" spans="1:16">
      <c r="A4804" t="s">
        <v>6570</v>
      </c>
      <c r="B4804" t="s">
        <v>6551</v>
      </c>
      <c r="C4804" t="s">
        <v>80</v>
      </c>
      <c r="D4804">
        <v>1972</v>
      </c>
      <c r="E4804" t="s">
        <v>29</v>
      </c>
      <c r="F4804" t="s">
        <v>30</v>
      </c>
      <c r="G4804" t="s">
        <v>31</v>
      </c>
      <c r="H4804" t="s">
        <v>32</v>
      </c>
      <c r="I4804">
        <v>15895.116410000001</v>
      </c>
      <c r="J4804" t="s">
        <v>33</v>
      </c>
      <c r="K4804" t="s">
        <v>6568</v>
      </c>
      <c r="L4804" t="s">
        <v>21</v>
      </c>
      <c r="M4804" t="str">
        <f t="shared" si="225"/>
        <v>OK</v>
      </c>
      <c r="N4804" t="str">
        <f t="shared" si="226"/>
        <v>1970s</v>
      </c>
      <c r="O4804" t="str">
        <f t="shared" si="227"/>
        <v>N/A</v>
      </c>
      <c r="P4804" t="str">
        <f>VLOOKUP(E4804,calculated_fields!$F$4:$G$6,2,FALSE)</f>
        <v>Economy</v>
      </c>
    </row>
    <row r="4805" spans="1:16">
      <c r="A4805" t="s">
        <v>6571</v>
      </c>
      <c r="B4805" t="s">
        <v>6551</v>
      </c>
      <c r="C4805" t="s">
        <v>80</v>
      </c>
      <c r="D4805">
        <v>1977</v>
      </c>
      <c r="E4805" t="s">
        <v>15</v>
      </c>
      <c r="F4805" t="s">
        <v>16</v>
      </c>
      <c r="G4805" t="s">
        <v>17</v>
      </c>
      <c r="H4805" t="s">
        <v>18</v>
      </c>
      <c r="I4805">
        <v>72.760000000000005</v>
      </c>
      <c r="J4805" t="s">
        <v>19</v>
      </c>
      <c r="K4805" t="s">
        <v>6572</v>
      </c>
      <c r="L4805" t="s">
        <v>21</v>
      </c>
      <c r="M4805" t="str">
        <f t="shared" si="225"/>
        <v>OK</v>
      </c>
      <c r="N4805" t="str">
        <f t="shared" si="226"/>
        <v>1970s</v>
      </c>
      <c r="O4805" t="str">
        <f t="shared" si="227"/>
        <v>High</v>
      </c>
      <c r="P4805" t="str">
        <f>VLOOKUP(E4805,calculated_fields!$F$4:$G$6,2,FALSE)</f>
        <v>Health</v>
      </c>
    </row>
    <row r="4806" spans="1:16">
      <c r="A4806" t="s">
        <v>6573</v>
      </c>
      <c r="B4806" t="s">
        <v>6551</v>
      </c>
      <c r="C4806" t="s">
        <v>80</v>
      </c>
      <c r="D4806">
        <v>1977</v>
      </c>
      <c r="E4806" t="s">
        <v>23</v>
      </c>
      <c r="F4806" t="s">
        <v>24</v>
      </c>
      <c r="G4806" t="s">
        <v>25</v>
      </c>
      <c r="H4806" t="s">
        <v>26</v>
      </c>
      <c r="I4806">
        <v>56179000</v>
      </c>
      <c r="J4806" t="s">
        <v>27</v>
      </c>
      <c r="K4806" t="s">
        <v>6572</v>
      </c>
      <c r="L4806" t="s">
        <v>21</v>
      </c>
      <c r="M4806" t="str">
        <f t="shared" si="225"/>
        <v>OK</v>
      </c>
      <c r="N4806" t="str">
        <f t="shared" si="226"/>
        <v>1970s</v>
      </c>
      <c r="O4806" t="str">
        <f t="shared" si="227"/>
        <v>N/A</v>
      </c>
      <c r="P4806" t="str">
        <f>VLOOKUP(E4806,calculated_fields!$F$4:$G$6,2,FALSE)</f>
        <v>Demographics</v>
      </c>
    </row>
    <row r="4807" spans="1:16">
      <c r="A4807" t="s">
        <v>6574</v>
      </c>
      <c r="B4807" t="s">
        <v>6551</v>
      </c>
      <c r="C4807" t="s">
        <v>80</v>
      </c>
      <c r="D4807">
        <v>1977</v>
      </c>
      <c r="E4807" t="s">
        <v>29</v>
      </c>
      <c r="F4807" t="s">
        <v>30</v>
      </c>
      <c r="G4807" t="s">
        <v>31</v>
      </c>
      <c r="H4807" t="s">
        <v>32</v>
      </c>
      <c r="I4807">
        <v>17428.748459999999</v>
      </c>
      <c r="J4807" t="s">
        <v>33</v>
      </c>
      <c r="K4807" t="s">
        <v>6572</v>
      </c>
      <c r="L4807" t="s">
        <v>21</v>
      </c>
      <c r="M4807" t="str">
        <f t="shared" si="225"/>
        <v>OK</v>
      </c>
      <c r="N4807" t="str">
        <f t="shared" si="226"/>
        <v>1970s</v>
      </c>
      <c r="O4807" t="str">
        <f t="shared" si="227"/>
        <v>N/A</v>
      </c>
      <c r="P4807" t="str">
        <f>VLOOKUP(E4807,calculated_fields!$F$4:$G$6,2,FALSE)</f>
        <v>Economy</v>
      </c>
    </row>
    <row r="4808" spans="1:16">
      <c r="A4808" t="s">
        <v>6575</v>
      </c>
      <c r="B4808" t="s">
        <v>6551</v>
      </c>
      <c r="C4808" t="s">
        <v>80</v>
      </c>
      <c r="D4808">
        <v>1982</v>
      </c>
      <c r="E4808" t="s">
        <v>15</v>
      </c>
      <c r="F4808" t="s">
        <v>16</v>
      </c>
      <c r="G4808" t="s">
        <v>17</v>
      </c>
      <c r="H4808" t="s">
        <v>18</v>
      </c>
      <c r="I4808">
        <v>74.040000000000006</v>
      </c>
      <c r="J4808" t="s">
        <v>19</v>
      </c>
      <c r="K4808" t="s">
        <v>6576</v>
      </c>
      <c r="L4808" t="s">
        <v>21</v>
      </c>
      <c r="M4808" t="str">
        <f t="shared" si="225"/>
        <v>OK</v>
      </c>
      <c r="N4808" t="str">
        <f t="shared" si="226"/>
        <v>1980s</v>
      </c>
      <c r="O4808" t="str">
        <f t="shared" si="227"/>
        <v>High</v>
      </c>
      <c r="P4808" t="str">
        <f>VLOOKUP(E4808,calculated_fields!$F$4:$G$6,2,FALSE)</f>
        <v>Health</v>
      </c>
    </row>
    <row r="4809" spans="1:16">
      <c r="A4809" t="s">
        <v>6577</v>
      </c>
      <c r="B4809" t="s">
        <v>6551</v>
      </c>
      <c r="C4809" t="s">
        <v>80</v>
      </c>
      <c r="D4809">
        <v>1982</v>
      </c>
      <c r="E4809" t="s">
        <v>23</v>
      </c>
      <c r="F4809" t="s">
        <v>24</v>
      </c>
      <c r="G4809" t="s">
        <v>25</v>
      </c>
      <c r="H4809" t="s">
        <v>26</v>
      </c>
      <c r="I4809">
        <v>56339704</v>
      </c>
      <c r="J4809" t="s">
        <v>27</v>
      </c>
      <c r="K4809" t="s">
        <v>6576</v>
      </c>
      <c r="L4809" t="s">
        <v>21</v>
      </c>
      <c r="M4809" t="str">
        <f t="shared" si="225"/>
        <v>OK</v>
      </c>
      <c r="N4809" t="str">
        <f t="shared" si="226"/>
        <v>1980s</v>
      </c>
      <c r="O4809" t="str">
        <f t="shared" si="227"/>
        <v>N/A</v>
      </c>
      <c r="P4809" t="str">
        <f>VLOOKUP(E4809,calculated_fields!$F$4:$G$6,2,FALSE)</f>
        <v>Demographics</v>
      </c>
    </row>
    <row r="4810" spans="1:16">
      <c r="A4810" t="s">
        <v>6578</v>
      </c>
      <c r="B4810" t="s">
        <v>6551</v>
      </c>
      <c r="C4810" t="s">
        <v>80</v>
      </c>
      <c r="D4810">
        <v>1982</v>
      </c>
      <c r="E4810" t="s">
        <v>29</v>
      </c>
      <c r="F4810" t="s">
        <v>30</v>
      </c>
      <c r="G4810" t="s">
        <v>31</v>
      </c>
      <c r="H4810" t="s">
        <v>32</v>
      </c>
      <c r="I4810">
        <v>18232.42452</v>
      </c>
      <c r="J4810" t="s">
        <v>33</v>
      </c>
      <c r="K4810" t="s">
        <v>6576</v>
      </c>
      <c r="L4810" t="s">
        <v>21</v>
      </c>
      <c r="M4810" t="str">
        <f t="shared" si="225"/>
        <v>OK</v>
      </c>
      <c r="N4810" t="str">
        <f t="shared" si="226"/>
        <v>1980s</v>
      </c>
      <c r="O4810" t="str">
        <f t="shared" si="227"/>
        <v>N/A</v>
      </c>
      <c r="P4810" t="str">
        <f>VLOOKUP(E4810,calculated_fields!$F$4:$G$6,2,FALSE)</f>
        <v>Economy</v>
      </c>
    </row>
    <row r="4811" spans="1:16">
      <c r="A4811" t="s">
        <v>6579</v>
      </c>
      <c r="B4811" t="s">
        <v>6551</v>
      </c>
      <c r="C4811" t="s">
        <v>80</v>
      </c>
      <c r="D4811">
        <v>1987</v>
      </c>
      <c r="E4811" t="s">
        <v>15</v>
      </c>
      <c r="F4811" t="s">
        <v>16</v>
      </c>
      <c r="G4811" t="s">
        <v>17</v>
      </c>
      <c r="H4811" t="s">
        <v>18</v>
      </c>
      <c r="I4811">
        <v>75.007000000000005</v>
      </c>
      <c r="J4811" t="s">
        <v>19</v>
      </c>
      <c r="K4811" t="s">
        <v>6580</v>
      </c>
      <c r="L4811" t="s">
        <v>21</v>
      </c>
      <c r="M4811" t="str">
        <f t="shared" si="225"/>
        <v>OK</v>
      </c>
      <c r="N4811" t="str">
        <f t="shared" si="226"/>
        <v>1980s</v>
      </c>
      <c r="O4811" t="str">
        <f t="shared" si="227"/>
        <v>High</v>
      </c>
      <c r="P4811" t="str">
        <f>VLOOKUP(E4811,calculated_fields!$F$4:$G$6,2,FALSE)</f>
        <v>Health</v>
      </c>
    </row>
    <row r="4812" spans="1:16">
      <c r="A4812" t="s">
        <v>6581</v>
      </c>
      <c r="B4812" t="s">
        <v>6551</v>
      </c>
      <c r="C4812" t="s">
        <v>80</v>
      </c>
      <c r="D4812">
        <v>1987</v>
      </c>
      <c r="E4812" t="s">
        <v>23</v>
      </c>
      <c r="F4812" t="s">
        <v>24</v>
      </c>
      <c r="G4812" t="s">
        <v>25</v>
      </c>
      <c r="H4812" t="s">
        <v>26</v>
      </c>
      <c r="I4812">
        <v>56981620</v>
      </c>
      <c r="J4812" t="s">
        <v>27</v>
      </c>
      <c r="K4812" t="s">
        <v>6580</v>
      </c>
      <c r="L4812" t="s">
        <v>21</v>
      </c>
      <c r="M4812" t="str">
        <f t="shared" si="225"/>
        <v>OK</v>
      </c>
      <c r="N4812" t="str">
        <f t="shared" si="226"/>
        <v>1980s</v>
      </c>
      <c r="O4812" t="str">
        <f t="shared" si="227"/>
        <v>N/A</v>
      </c>
      <c r="P4812" t="str">
        <f>VLOOKUP(E4812,calculated_fields!$F$4:$G$6,2,FALSE)</f>
        <v>Demographics</v>
      </c>
    </row>
    <row r="4813" spans="1:16">
      <c r="A4813" t="s">
        <v>6582</v>
      </c>
      <c r="B4813" t="s">
        <v>6551</v>
      </c>
      <c r="C4813" t="s">
        <v>80</v>
      </c>
      <c r="D4813">
        <v>1987</v>
      </c>
      <c r="E4813" t="s">
        <v>29</v>
      </c>
      <c r="F4813" t="s">
        <v>30</v>
      </c>
      <c r="G4813" t="s">
        <v>31</v>
      </c>
      <c r="H4813" t="s">
        <v>32</v>
      </c>
      <c r="I4813">
        <v>21664.787670000002</v>
      </c>
      <c r="J4813" t="s">
        <v>33</v>
      </c>
      <c r="K4813" t="s">
        <v>6580</v>
      </c>
      <c r="L4813" t="s">
        <v>21</v>
      </c>
      <c r="M4813" t="str">
        <f t="shared" si="225"/>
        <v>OK</v>
      </c>
      <c r="N4813" t="str">
        <f t="shared" si="226"/>
        <v>1980s</v>
      </c>
      <c r="O4813" t="str">
        <f t="shared" si="227"/>
        <v>N/A</v>
      </c>
      <c r="P4813" t="str">
        <f>VLOOKUP(E4813,calculated_fields!$F$4:$G$6,2,FALSE)</f>
        <v>Economy</v>
      </c>
    </row>
    <row r="4814" spans="1:16">
      <c r="A4814" t="s">
        <v>6583</v>
      </c>
      <c r="B4814" t="s">
        <v>6551</v>
      </c>
      <c r="C4814" t="s">
        <v>80</v>
      </c>
      <c r="D4814">
        <v>1992</v>
      </c>
      <c r="E4814" t="s">
        <v>15</v>
      </c>
      <c r="F4814" t="s">
        <v>16</v>
      </c>
      <c r="G4814" t="s">
        <v>17</v>
      </c>
      <c r="H4814" t="s">
        <v>18</v>
      </c>
      <c r="I4814">
        <v>76.42</v>
      </c>
      <c r="J4814" t="s">
        <v>19</v>
      </c>
      <c r="K4814" t="s">
        <v>6584</v>
      </c>
      <c r="L4814" t="s">
        <v>21</v>
      </c>
      <c r="M4814" t="str">
        <f t="shared" si="225"/>
        <v>OK</v>
      </c>
      <c r="N4814" t="str">
        <f t="shared" si="226"/>
        <v>1990s</v>
      </c>
      <c r="O4814" t="str">
        <f t="shared" si="227"/>
        <v>High</v>
      </c>
      <c r="P4814" t="str">
        <f>VLOOKUP(E4814,calculated_fields!$F$4:$G$6,2,FALSE)</f>
        <v>Health</v>
      </c>
    </row>
    <row r="4815" spans="1:16">
      <c r="A4815" t="s">
        <v>6585</v>
      </c>
      <c r="B4815" t="s">
        <v>6551</v>
      </c>
      <c r="C4815" t="s">
        <v>80</v>
      </c>
      <c r="D4815">
        <v>1992</v>
      </c>
      <c r="E4815" t="s">
        <v>23</v>
      </c>
      <c r="F4815" t="s">
        <v>24</v>
      </c>
      <c r="G4815" t="s">
        <v>25</v>
      </c>
      <c r="H4815" t="s">
        <v>26</v>
      </c>
      <c r="I4815">
        <v>57866349</v>
      </c>
      <c r="J4815" t="s">
        <v>27</v>
      </c>
      <c r="K4815" t="s">
        <v>6584</v>
      </c>
      <c r="L4815" t="s">
        <v>21</v>
      </c>
      <c r="M4815" t="str">
        <f t="shared" si="225"/>
        <v>OK</v>
      </c>
      <c r="N4815" t="str">
        <f t="shared" si="226"/>
        <v>1990s</v>
      </c>
      <c r="O4815" t="str">
        <f t="shared" si="227"/>
        <v>N/A</v>
      </c>
      <c r="P4815" t="str">
        <f>VLOOKUP(E4815,calculated_fields!$F$4:$G$6,2,FALSE)</f>
        <v>Demographics</v>
      </c>
    </row>
    <row r="4816" spans="1:16">
      <c r="A4816" t="s">
        <v>6586</v>
      </c>
      <c r="B4816" t="s">
        <v>6551</v>
      </c>
      <c r="C4816" t="s">
        <v>80</v>
      </c>
      <c r="D4816">
        <v>1992</v>
      </c>
      <c r="E4816" t="s">
        <v>29</v>
      </c>
      <c r="F4816" t="s">
        <v>30</v>
      </c>
      <c r="G4816" t="s">
        <v>31</v>
      </c>
      <c r="H4816" t="s">
        <v>32</v>
      </c>
      <c r="I4816">
        <v>22705.092540000001</v>
      </c>
      <c r="J4816" t="s">
        <v>33</v>
      </c>
      <c r="K4816" t="s">
        <v>6584</v>
      </c>
      <c r="L4816" t="s">
        <v>21</v>
      </c>
      <c r="M4816" t="str">
        <f t="shared" si="225"/>
        <v>OK</v>
      </c>
      <c r="N4816" t="str">
        <f t="shared" si="226"/>
        <v>1990s</v>
      </c>
      <c r="O4816" t="str">
        <f t="shared" si="227"/>
        <v>N/A</v>
      </c>
      <c r="P4816" t="str">
        <f>VLOOKUP(E4816,calculated_fields!$F$4:$G$6,2,FALSE)</f>
        <v>Economy</v>
      </c>
    </row>
    <row r="4817" spans="1:16">
      <c r="A4817" t="s">
        <v>6587</v>
      </c>
      <c r="B4817" t="s">
        <v>6551</v>
      </c>
      <c r="C4817" t="s">
        <v>80</v>
      </c>
      <c r="D4817">
        <v>1997</v>
      </c>
      <c r="E4817" t="s">
        <v>15</v>
      </c>
      <c r="F4817" t="s">
        <v>16</v>
      </c>
      <c r="G4817" t="s">
        <v>17</v>
      </c>
      <c r="H4817" t="s">
        <v>18</v>
      </c>
      <c r="I4817">
        <v>77.218000000000004</v>
      </c>
      <c r="J4817" t="s">
        <v>19</v>
      </c>
      <c r="K4817" t="s">
        <v>6588</v>
      </c>
      <c r="L4817" t="s">
        <v>21</v>
      </c>
      <c r="M4817" t="str">
        <f t="shared" si="225"/>
        <v>OK</v>
      </c>
      <c r="N4817" t="str">
        <f t="shared" si="226"/>
        <v>1990s</v>
      </c>
      <c r="O4817" t="str">
        <f t="shared" si="227"/>
        <v>High</v>
      </c>
      <c r="P4817" t="str">
        <f>VLOOKUP(E4817,calculated_fields!$F$4:$G$6,2,FALSE)</f>
        <v>Health</v>
      </c>
    </row>
    <row r="4818" spans="1:16">
      <c r="A4818" t="s">
        <v>6589</v>
      </c>
      <c r="B4818" t="s">
        <v>6551</v>
      </c>
      <c r="C4818" t="s">
        <v>80</v>
      </c>
      <c r="D4818">
        <v>1997</v>
      </c>
      <c r="E4818" t="s">
        <v>23</v>
      </c>
      <c r="F4818" t="s">
        <v>24</v>
      </c>
      <c r="G4818" t="s">
        <v>25</v>
      </c>
      <c r="H4818" t="s">
        <v>26</v>
      </c>
      <c r="I4818">
        <v>58808266</v>
      </c>
      <c r="J4818" t="s">
        <v>27</v>
      </c>
      <c r="K4818" t="s">
        <v>6588</v>
      </c>
      <c r="L4818" t="s">
        <v>21</v>
      </c>
      <c r="M4818" t="str">
        <f t="shared" si="225"/>
        <v>OK</v>
      </c>
      <c r="N4818" t="str">
        <f t="shared" si="226"/>
        <v>1990s</v>
      </c>
      <c r="O4818" t="str">
        <f t="shared" si="227"/>
        <v>N/A</v>
      </c>
      <c r="P4818" t="str">
        <f>VLOOKUP(E4818,calculated_fields!$F$4:$G$6,2,FALSE)</f>
        <v>Demographics</v>
      </c>
    </row>
    <row r="4819" spans="1:16">
      <c r="A4819" t="s">
        <v>6590</v>
      </c>
      <c r="B4819" t="s">
        <v>6551</v>
      </c>
      <c r="C4819" t="s">
        <v>80</v>
      </c>
      <c r="D4819">
        <v>1997</v>
      </c>
      <c r="E4819" t="s">
        <v>29</v>
      </c>
      <c r="F4819" t="s">
        <v>30</v>
      </c>
      <c r="G4819" t="s">
        <v>31</v>
      </c>
      <c r="H4819" t="s">
        <v>32</v>
      </c>
      <c r="I4819">
        <v>26074.531360000001</v>
      </c>
      <c r="J4819" t="s">
        <v>33</v>
      </c>
      <c r="K4819" t="s">
        <v>6588</v>
      </c>
      <c r="L4819" t="s">
        <v>21</v>
      </c>
      <c r="M4819" t="str">
        <f t="shared" si="225"/>
        <v>OK</v>
      </c>
      <c r="N4819" t="str">
        <f t="shared" si="226"/>
        <v>1990s</v>
      </c>
      <c r="O4819" t="str">
        <f t="shared" si="227"/>
        <v>N/A</v>
      </c>
      <c r="P4819" t="str">
        <f>VLOOKUP(E4819,calculated_fields!$F$4:$G$6,2,FALSE)</f>
        <v>Economy</v>
      </c>
    </row>
    <row r="4820" spans="1:16">
      <c r="A4820" t="s">
        <v>6591</v>
      </c>
      <c r="B4820" t="s">
        <v>6551</v>
      </c>
      <c r="C4820" t="s">
        <v>80</v>
      </c>
      <c r="D4820">
        <v>2002</v>
      </c>
      <c r="E4820" t="s">
        <v>15</v>
      </c>
      <c r="F4820" t="s">
        <v>16</v>
      </c>
      <c r="G4820" t="s">
        <v>17</v>
      </c>
      <c r="H4820" t="s">
        <v>18</v>
      </c>
      <c r="I4820">
        <v>78.471000000000004</v>
      </c>
      <c r="J4820" t="s">
        <v>19</v>
      </c>
      <c r="K4820" t="s">
        <v>6592</v>
      </c>
      <c r="L4820" t="s">
        <v>21</v>
      </c>
      <c r="M4820" t="str">
        <f t="shared" si="225"/>
        <v>OK</v>
      </c>
      <c r="N4820" t="str">
        <f t="shared" si="226"/>
        <v>2000s</v>
      </c>
      <c r="O4820" t="str">
        <f t="shared" si="227"/>
        <v>High</v>
      </c>
      <c r="P4820" t="str">
        <f>VLOOKUP(E4820,calculated_fields!$F$4:$G$6,2,FALSE)</f>
        <v>Health</v>
      </c>
    </row>
    <row r="4821" spans="1:16">
      <c r="A4821" t="s">
        <v>6593</v>
      </c>
      <c r="B4821" t="s">
        <v>6551</v>
      </c>
      <c r="C4821" t="s">
        <v>80</v>
      </c>
      <c r="D4821">
        <v>2002</v>
      </c>
      <c r="E4821" t="s">
        <v>23</v>
      </c>
      <c r="F4821" t="s">
        <v>24</v>
      </c>
      <c r="G4821" t="s">
        <v>25</v>
      </c>
      <c r="H4821" t="s">
        <v>26</v>
      </c>
      <c r="I4821">
        <v>59912431</v>
      </c>
      <c r="J4821" t="s">
        <v>27</v>
      </c>
      <c r="K4821" t="s">
        <v>6592</v>
      </c>
      <c r="L4821" t="s">
        <v>21</v>
      </c>
      <c r="M4821" t="str">
        <f t="shared" si="225"/>
        <v>OK</v>
      </c>
      <c r="N4821" t="str">
        <f t="shared" si="226"/>
        <v>2000s</v>
      </c>
      <c r="O4821" t="str">
        <f t="shared" si="227"/>
        <v>N/A</v>
      </c>
      <c r="P4821" t="str">
        <f>VLOOKUP(E4821,calculated_fields!$F$4:$G$6,2,FALSE)</f>
        <v>Demographics</v>
      </c>
    </row>
    <row r="4822" spans="1:16">
      <c r="A4822" t="s">
        <v>6594</v>
      </c>
      <c r="B4822" t="s">
        <v>6551</v>
      </c>
      <c r="C4822" t="s">
        <v>80</v>
      </c>
      <c r="D4822">
        <v>2002</v>
      </c>
      <c r="E4822" t="s">
        <v>29</v>
      </c>
      <c r="F4822" t="s">
        <v>30</v>
      </c>
      <c r="G4822" t="s">
        <v>31</v>
      </c>
      <c r="H4822" t="s">
        <v>32</v>
      </c>
      <c r="I4822">
        <v>29478.999189999999</v>
      </c>
      <c r="J4822" t="s">
        <v>33</v>
      </c>
      <c r="K4822" t="s">
        <v>6592</v>
      </c>
      <c r="L4822" t="s">
        <v>21</v>
      </c>
      <c r="M4822" t="str">
        <f t="shared" si="225"/>
        <v>OK</v>
      </c>
      <c r="N4822" t="str">
        <f t="shared" si="226"/>
        <v>2000s</v>
      </c>
      <c r="O4822" t="str">
        <f t="shared" si="227"/>
        <v>N/A</v>
      </c>
      <c r="P4822" t="str">
        <f>VLOOKUP(E4822,calculated_fields!$F$4:$G$6,2,FALSE)</f>
        <v>Economy</v>
      </c>
    </row>
    <row r="4823" spans="1:16">
      <c r="A4823" t="s">
        <v>6595</v>
      </c>
      <c r="B4823" t="s">
        <v>6551</v>
      </c>
      <c r="C4823" t="s">
        <v>80</v>
      </c>
      <c r="D4823">
        <v>2007</v>
      </c>
      <c r="E4823" t="s">
        <v>15</v>
      </c>
      <c r="F4823" t="s">
        <v>16</v>
      </c>
      <c r="G4823" t="s">
        <v>17</v>
      </c>
      <c r="H4823" t="s">
        <v>18</v>
      </c>
      <c r="I4823">
        <v>79.424999999999997</v>
      </c>
      <c r="J4823" t="s">
        <v>19</v>
      </c>
      <c r="K4823" t="s">
        <v>6596</v>
      </c>
      <c r="L4823" t="s">
        <v>21</v>
      </c>
      <c r="M4823" t="str">
        <f t="shared" si="225"/>
        <v>OK</v>
      </c>
      <c r="N4823" t="str">
        <f t="shared" si="226"/>
        <v>2000s</v>
      </c>
      <c r="O4823" t="str">
        <f t="shared" si="227"/>
        <v>High</v>
      </c>
      <c r="P4823" t="str">
        <f>VLOOKUP(E4823,calculated_fields!$F$4:$G$6,2,FALSE)</f>
        <v>Health</v>
      </c>
    </row>
    <row r="4824" spans="1:16">
      <c r="A4824" t="s">
        <v>6597</v>
      </c>
      <c r="B4824" t="s">
        <v>6551</v>
      </c>
      <c r="C4824" t="s">
        <v>80</v>
      </c>
      <c r="D4824">
        <v>2007</v>
      </c>
      <c r="E4824" t="s">
        <v>23</v>
      </c>
      <c r="F4824" t="s">
        <v>24</v>
      </c>
      <c r="G4824" t="s">
        <v>25</v>
      </c>
      <c r="H4824" t="s">
        <v>26</v>
      </c>
      <c r="I4824">
        <v>60776238</v>
      </c>
      <c r="J4824" t="s">
        <v>27</v>
      </c>
      <c r="K4824" t="s">
        <v>6596</v>
      </c>
      <c r="L4824" t="s">
        <v>21</v>
      </c>
      <c r="M4824" t="str">
        <f t="shared" si="225"/>
        <v>OK</v>
      </c>
      <c r="N4824" t="str">
        <f t="shared" si="226"/>
        <v>2000s</v>
      </c>
      <c r="O4824" t="str">
        <f t="shared" si="227"/>
        <v>N/A</v>
      </c>
      <c r="P4824" t="str">
        <f>VLOOKUP(E4824,calculated_fields!$F$4:$G$6,2,FALSE)</f>
        <v>Demographics</v>
      </c>
    </row>
    <row r="4825" spans="1:16">
      <c r="A4825" t="s">
        <v>6598</v>
      </c>
      <c r="B4825" t="s">
        <v>6551</v>
      </c>
      <c r="C4825" t="s">
        <v>80</v>
      </c>
      <c r="D4825">
        <v>2007</v>
      </c>
      <c r="E4825" t="s">
        <v>29</v>
      </c>
      <c r="F4825" t="s">
        <v>30</v>
      </c>
      <c r="G4825" t="s">
        <v>31</v>
      </c>
      <c r="H4825" t="s">
        <v>32</v>
      </c>
      <c r="I4825">
        <v>33203.261279999999</v>
      </c>
      <c r="J4825" t="s">
        <v>33</v>
      </c>
      <c r="K4825" t="s">
        <v>6596</v>
      </c>
      <c r="L4825" t="s">
        <v>21</v>
      </c>
      <c r="M4825" t="str">
        <f t="shared" si="225"/>
        <v>OK</v>
      </c>
      <c r="N4825" t="str">
        <f t="shared" si="226"/>
        <v>2000s</v>
      </c>
      <c r="O4825" t="str">
        <f t="shared" si="227"/>
        <v>N/A</v>
      </c>
      <c r="P4825" t="str">
        <f>VLOOKUP(E4825,calculated_fields!$F$4:$G$6,2,FALSE)</f>
        <v>Economy</v>
      </c>
    </row>
    <row r="4826" spans="1:16">
      <c r="A4826" t="s">
        <v>6599</v>
      </c>
      <c r="B4826" t="s">
        <v>6600</v>
      </c>
      <c r="C4826" t="s">
        <v>229</v>
      </c>
      <c r="D4826">
        <v>1952</v>
      </c>
      <c r="E4826" t="s">
        <v>15</v>
      </c>
      <c r="F4826" t="s">
        <v>16</v>
      </c>
      <c r="G4826" t="s">
        <v>17</v>
      </c>
      <c r="H4826" t="s">
        <v>18</v>
      </c>
      <c r="I4826">
        <v>68.44</v>
      </c>
      <c r="J4826" t="s">
        <v>19</v>
      </c>
      <c r="K4826" t="s">
        <v>6601</v>
      </c>
      <c r="L4826" t="s">
        <v>21</v>
      </c>
      <c r="M4826" t="str">
        <f t="shared" si="225"/>
        <v>OK</v>
      </c>
      <c r="N4826" t="str">
        <f t="shared" si="226"/>
        <v>1950s</v>
      </c>
      <c r="O4826" t="str">
        <f t="shared" si="227"/>
        <v>Medium</v>
      </c>
      <c r="P4826" t="str">
        <f>VLOOKUP(E4826,calculated_fields!$F$4:$G$6,2,FALSE)</f>
        <v>Health</v>
      </c>
    </row>
    <row r="4827" spans="1:16">
      <c r="A4827" t="s">
        <v>6602</v>
      </c>
      <c r="B4827" t="s">
        <v>6600</v>
      </c>
      <c r="C4827" t="s">
        <v>229</v>
      </c>
      <c r="D4827">
        <v>1952</v>
      </c>
      <c r="E4827" t="s">
        <v>23</v>
      </c>
      <c r="F4827" t="s">
        <v>24</v>
      </c>
      <c r="G4827" t="s">
        <v>25</v>
      </c>
      <c r="H4827" t="s">
        <v>26</v>
      </c>
      <c r="I4827">
        <v>157553000</v>
      </c>
      <c r="J4827" t="s">
        <v>27</v>
      </c>
      <c r="K4827" t="s">
        <v>6601</v>
      </c>
      <c r="L4827" t="s">
        <v>21</v>
      </c>
      <c r="M4827" t="str">
        <f t="shared" si="225"/>
        <v>OK</v>
      </c>
      <c r="N4827" t="str">
        <f t="shared" si="226"/>
        <v>1950s</v>
      </c>
      <c r="O4827" t="str">
        <f t="shared" si="227"/>
        <v>N/A</v>
      </c>
      <c r="P4827" t="str">
        <f>VLOOKUP(E4827,calculated_fields!$F$4:$G$6,2,FALSE)</f>
        <v>Demographics</v>
      </c>
    </row>
    <row r="4828" spans="1:16">
      <c r="A4828" t="s">
        <v>6603</v>
      </c>
      <c r="B4828" t="s">
        <v>6600</v>
      </c>
      <c r="C4828" t="s">
        <v>229</v>
      </c>
      <c r="D4828">
        <v>1952</v>
      </c>
      <c r="E4828" t="s">
        <v>29</v>
      </c>
      <c r="F4828" t="s">
        <v>30</v>
      </c>
      <c r="G4828" t="s">
        <v>31</v>
      </c>
      <c r="H4828" t="s">
        <v>32</v>
      </c>
      <c r="I4828">
        <v>13990.48208</v>
      </c>
      <c r="J4828" t="s">
        <v>33</v>
      </c>
      <c r="K4828" t="s">
        <v>6601</v>
      </c>
      <c r="L4828" t="s">
        <v>21</v>
      </c>
      <c r="M4828" t="str">
        <f t="shared" si="225"/>
        <v>OK</v>
      </c>
      <c r="N4828" t="str">
        <f t="shared" si="226"/>
        <v>1950s</v>
      </c>
      <c r="O4828" t="str">
        <f t="shared" si="227"/>
        <v>N/A</v>
      </c>
      <c r="P4828" t="str">
        <f>VLOOKUP(E4828,calculated_fields!$F$4:$G$6,2,FALSE)</f>
        <v>Economy</v>
      </c>
    </row>
    <row r="4829" spans="1:16">
      <c r="A4829" t="s">
        <v>6604</v>
      </c>
      <c r="B4829" t="s">
        <v>6600</v>
      </c>
      <c r="C4829" t="s">
        <v>229</v>
      </c>
      <c r="D4829">
        <v>1957</v>
      </c>
      <c r="E4829" t="s">
        <v>15</v>
      </c>
      <c r="F4829" t="s">
        <v>16</v>
      </c>
      <c r="G4829" t="s">
        <v>17</v>
      </c>
      <c r="H4829" t="s">
        <v>18</v>
      </c>
      <c r="I4829">
        <v>69.489999999999995</v>
      </c>
      <c r="J4829" t="s">
        <v>19</v>
      </c>
      <c r="K4829" t="s">
        <v>6605</v>
      </c>
      <c r="L4829" t="s">
        <v>21</v>
      </c>
      <c r="M4829" t="str">
        <f t="shared" si="225"/>
        <v>OK</v>
      </c>
      <c r="N4829" t="str">
        <f t="shared" si="226"/>
        <v>1950s</v>
      </c>
      <c r="O4829" t="str">
        <f t="shared" si="227"/>
        <v>Medium</v>
      </c>
      <c r="P4829" t="str">
        <f>VLOOKUP(E4829,calculated_fields!$F$4:$G$6,2,FALSE)</f>
        <v>Health</v>
      </c>
    </row>
    <row r="4830" spans="1:16">
      <c r="A4830" t="s">
        <v>6606</v>
      </c>
      <c r="B4830" t="s">
        <v>6600</v>
      </c>
      <c r="C4830" t="s">
        <v>229</v>
      </c>
      <c r="D4830">
        <v>1957</v>
      </c>
      <c r="E4830" t="s">
        <v>23</v>
      </c>
      <c r="F4830" t="s">
        <v>24</v>
      </c>
      <c r="G4830" t="s">
        <v>25</v>
      </c>
      <c r="H4830" t="s">
        <v>26</v>
      </c>
      <c r="I4830">
        <v>171984000</v>
      </c>
      <c r="J4830" t="s">
        <v>27</v>
      </c>
      <c r="K4830" t="s">
        <v>6605</v>
      </c>
      <c r="L4830" t="s">
        <v>21</v>
      </c>
      <c r="M4830" t="str">
        <f t="shared" si="225"/>
        <v>OK</v>
      </c>
      <c r="N4830" t="str">
        <f t="shared" si="226"/>
        <v>1950s</v>
      </c>
      <c r="O4830" t="str">
        <f t="shared" si="227"/>
        <v>N/A</v>
      </c>
      <c r="P4830" t="str">
        <f>VLOOKUP(E4830,calculated_fields!$F$4:$G$6,2,FALSE)</f>
        <v>Demographics</v>
      </c>
    </row>
    <row r="4831" spans="1:16">
      <c r="A4831" t="s">
        <v>6607</v>
      </c>
      <c r="B4831" t="s">
        <v>6600</v>
      </c>
      <c r="C4831" t="s">
        <v>229</v>
      </c>
      <c r="D4831">
        <v>1957</v>
      </c>
      <c r="E4831" t="s">
        <v>29</v>
      </c>
      <c r="F4831" t="s">
        <v>30</v>
      </c>
      <c r="G4831" t="s">
        <v>31</v>
      </c>
      <c r="H4831" t="s">
        <v>32</v>
      </c>
      <c r="I4831">
        <v>14847.127119999999</v>
      </c>
      <c r="J4831" t="s">
        <v>33</v>
      </c>
      <c r="K4831" t="s">
        <v>6605</v>
      </c>
      <c r="L4831" t="s">
        <v>21</v>
      </c>
      <c r="M4831" t="str">
        <f t="shared" si="225"/>
        <v>OK</v>
      </c>
      <c r="N4831" t="str">
        <f t="shared" si="226"/>
        <v>1950s</v>
      </c>
      <c r="O4831" t="str">
        <f t="shared" si="227"/>
        <v>N/A</v>
      </c>
      <c r="P4831" t="str">
        <f>VLOOKUP(E4831,calculated_fields!$F$4:$G$6,2,FALSE)</f>
        <v>Economy</v>
      </c>
    </row>
    <row r="4832" spans="1:16">
      <c r="A4832" t="s">
        <v>6608</v>
      </c>
      <c r="B4832" t="s">
        <v>6600</v>
      </c>
      <c r="C4832" t="s">
        <v>229</v>
      </c>
      <c r="D4832">
        <v>1962</v>
      </c>
      <c r="E4832" t="s">
        <v>15</v>
      </c>
      <c r="F4832" t="s">
        <v>16</v>
      </c>
      <c r="G4832" t="s">
        <v>17</v>
      </c>
      <c r="H4832" t="s">
        <v>18</v>
      </c>
      <c r="I4832">
        <v>70.209999999999994</v>
      </c>
      <c r="J4832" t="s">
        <v>19</v>
      </c>
      <c r="K4832" t="s">
        <v>6609</v>
      </c>
      <c r="L4832" t="s">
        <v>21</v>
      </c>
      <c r="M4832" t="str">
        <f t="shared" si="225"/>
        <v>OK</v>
      </c>
      <c r="N4832" t="str">
        <f t="shared" si="226"/>
        <v>1960s</v>
      </c>
      <c r="O4832" t="str">
        <f t="shared" si="227"/>
        <v>High</v>
      </c>
      <c r="P4832" t="str">
        <f>VLOOKUP(E4832,calculated_fields!$F$4:$G$6,2,FALSE)</f>
        <v>Health</v>
      </c>
    </row>
    <row r="4833" spans="1:16">
      <c r="A4833" t="s">
        <v>6610</v>
      </c>
      <c r="B4833" t="s">
        <v>6600</v>
      </c>
      <c r="C4833" t="s">
        <v>229</v>
      </c>
      <c r="D4833">
        <v>1962</v>
      </c>
      <c r="E4833" t="s">
        <v>23</v>
      </c>
      <c r="F4833" t="s">
        <v>24</v>
      </c>
      <c r="G4833" t="s">
        <v>25</v>
      </c>
      <c r="H4833" t="s">
        <v>26</v>
      </c>
      <c r="I4833">
        <v>186538000</v>
      </c>
      <c r="J4833" t="s">
        <v>27</v>
      </c>
      <c r="K4833" t="s">
        <v>6609</v>
      </c>
      <c r="L4833" t="s">
        <v>21</v>
      </c>
      <c r="M4833" t="str">
        <f t="shared" si="225"/>
        <v>OK</v>
      </c>
      <c r="N4833" t="str">
        <f t="shared" si="226"/>
        <v>1960s</v>
      </c>
      <c r="O4833" t="str">
        <f t="shared" si="227"/>
        <v>N/A</v>
      </c>
      <c r="P4833" t="str">
        <f>VLOOKUP(E4833,calculated_fields!$F$4:$G$6,2,FALSE)</f>
        <v>Demographics</v>
      </c>
    </row>
    <row r="4834" spans="1:16">
      <c r="A4834" t="s">
        <v>6611</v>
      </c>
      <c r="B4834" t="s">
        <v>6600</v>
      </c>
      <c r="C4834" t="s">
        <v>229</v>
      </c>
      <c r="D4834">
        <v>1962</v>
      </c>
      <c r="E4834" t="s">
        <v>29</v>
      </c>
      <c r="F4834" t="s">
        <v>30</v>
      </c>
      <c r="G4834" t="s">
        <v>31</v>
      </c>
      <c r="H4834" t="s">
        <v>32</v>
      </c>
      <c r="I4834">
        <v>16173.145860000001</v>
      </c>
      <c r="J4834" t="s">
        <v>33</v>
      </c>
      <c r="K4834" t="s">
        <v>6609</v>
      </c>
      <c r="L4834" t="s">
        <v>21</v>
      </c>
      <c r="M4834" t="str">
        <f t="shared" si="225"/>
        <v>OK</v>
      </c>
      <c r="N4834" t="str">
        <f t="shared" si="226"/>
        <v>1960s</v>
      </c>
      <c r="O4834" t="str">
        <f t="shared" si="227"/>
        <v>N/A</v>
      </c>
      <c r="P4834" t="str">
        <f>VLOOKUP(E4834,calculated_fields!$F$4:$G$6,2,FALSE)</f>
        <v>Economy</v>
      </c>
    </row>
    <row r="4835" spans="1:16">
      <c r="A4835" t="s">
        <v>6612</v>
      </c>
      <c r="B4835" t="s">
        <v>6600</v>
      </c>
      <c r="C4835" t="s">
        <v>229</v>
      </c>
      <c r="D4835">
        <v>1967</v>
      </c>
      <c r="E4835" t="s">
        <v>15</v>
      </c>
      <c r="F4835" t="s">
        <v>16</v>
      </c>
      <c r="G4835" t="s">
        <v>17</v>
      </c>
      <c r="H4835" t="s">
        <v>18</v>
      </c>
      <c r="I4835">
        <v>70.760000000000005</v>
      </c>
      <c r="J4835" t="s">
        <v>19</v>
      </c>
      <c r="K4835" t="s">
        <v>6613</v>
      </c>
      <c r="L4835" t="s">
        <v>21</v>
      </c>
      <c r="M4835" t="str">
        <f t="shared" si="225"/>
        <v>OK</v>
      </c>
      <c r="N4835" t="str">
        <f t="shared" si="226"/>
        <v>1960s</v>
      </c>
      <c r="O4835" t="str">
        <f t="shared" si="227"/>
        <v>High</v>
      </c>
      <c r="P4835" t="str">
        <f>VLOOKUP(E4835,calculated_fields!$F$4:$G$6,2,FALSE)</f>
        <v>Health</v>
      </c>
    </row>
    <row r="4836" spans="1:16">
      <c r="A4836" t="s">
        <v>6614</v>
      </c>
      <c r="B4836" t="s">
        <v>6600</v>
      </c>
      <c r="C4836" t="s">
        <v>229</v>
      </c>
      <c r="D4836">
        <v>1967</v>
      </c>
      <c r="E4836" t="s">
        <v>23</v>
      </c>
      <c r="F4836" t="s">
        <v>24</v>
      </c>
      <c r="G4836" t="s">
        <v>25</v>
      </c>
      <c r="H4836" t="s">
        <v>26</v>
      </c>
      <c r="I4836">
        <v>198712000</v>
      </c>
      <c r="J4836" t="s">
        <v>27</v>
      </c>
      <c r="K4836" t="s">
        <v>6613</v>
      </c>
      <c r="L4836" t="s">
        <v>21</v>
      </c>
      <c r="M4836" t="str">
        <f t="shared" si="225"/>
        <v>OK</v>
      </c>
      <c r="N4836" t="str">
        <f t="shared" si="226"/>
        <v>1960s</v>
      </c>
      <c r="O4836" t="str">
        <f t="shared" si="227"/>
        <v>N/A</v>
      </c>
      <c r="P4836" t="str">
        <f>VLOOKUP(E4836,calculated_fields!$F$4:$G$6,2,FALSE)</f>
        <v>Demographics</v>
      </c>
    </row>
    <row r="4837" spans="1:16">
      <c r="A4837" t="s">
        <v>6615</v>
      </c>
      <c r="B4837" t="s">
        <v>6600</v>
      </c>
      <c r="C4837" t="s">
        <v>229</v>
      </c>
      <c r="D4837">
        <v>1967</v>
      </c>
      <c r="E4837" t="s">
        <v>29</v>
      </c>
      <c r="F4837" t="s">
        <v>30</v>
      </c>
      <c r="G4837" t="s">
        <v>31</v>
      </c>
      <c r="H4837" t="s">
        <v>32</v>
      </c>
      <c r="I4837">
        <v>19530.365570000002</v>
      </c>
      <c r="J4837" t="s">
        <v>33</v>
      </c>
      <c r="K4837" t="s">
        <v>6613</v>
      </c>
      <c r="L4837" t="s">
        <v>21</v>
      </c>
      <c r="M4837" t="str">
        <f t="shared" si="225"/>
        <v>OK</v>
      </c>
      <c r="N4837" t="str">
        <f t="shared" si="226"/>
        <v>1960s</v>
      </c>
      <c r="O4837" t="str">
        <f t="shared" si="227"/>
        <v>N/A</v>
      </c>
      <c r="P4837" t="str">
        <f>VLOOKUP(E4837,calculated_fields!$F$4:$G$6,2,FALSE)</f>
        <v>Economy</v>
      </c>
    </row>
    <row r="4838" spans="1:16">
      <c r="A4838" t="s">
        <v>6616</v>
      </c>
      <c r="B4838" t="s">
        <v>6600</v>
      </c>
      <c r="C4838" t="s">
        <v>229</v>
      </c>
      <c r="D4838">
        <v>1972</v>
      </c>
      <c r="E4838" t="s">
        <v>15</v>
      </c>
      <c r="F4838" t="s">
        <v>16</v>
      </c>
      <c r="G4838" t="s">
        <v>17</v>
      </c>
      <c r="H4838" t="s">
        <v>18</v>
      </c>
      <c r="I4838">
        <v>71.34</v>
      </c>
      <c r="J4838" t="s">
        <v>19</v>
      </c>
      <c r="K4838" t="s">
        <v>6617</v>
      </c>
      <c r="L4838" t="s">
        <v>21</v>
      </c>
      <c r="M4838" t="str">
        <f t="shared" si="225"/>
        <v>OK</v>
      </c>
      <c r="N4838" t="str">
        <f t="shared" si="226"/>
        <v>1970s</v>
      </c>
      <c r="O4838" t="str">
        <f t="shared" si="227"/>
        <v>High</v>
      </c>
      <c r="P4838" t="str">
        <f>VLOOKUP(E4838,calculated_fields!$F$4:$G$6,2,FALSE)</f>
        <v>Health</v>
      </c>
    </row>
    <row r="4839" spans="1:16">
      <c r="A4839" t="s">
        <v>6618</v>
      </c>
      <c r="B4839" t="s">
        <v>6600</v>
      </c>
      <c r="C4839" t="s">
        <v>229</v>
      </c>
      <c r="D4839">
        <v>1972</v>
      </c>
      <c r="E4839" t="s">
        <v>23</v>
      </c>
      <c r="F4839" t="s">
        <v>24</v>
      </c>
      <c r="G4839" t="s">
        <v>25</v>
      </c>
      <c r="H4839" t="s">
        <v>26</v>
      </c>
      <c r="I4839">
        <v>209896000</v>
      </c>
      <c r="J4839" t="s">
        <v>27</v>
      </c>
      <c r="K4839" t="s">
        <v>6617</v>
      </c>
      <c r="L4839" t="s">
        <v>21</v>
      </c>
      <c r="M4839" t="str">
        <f t="shared" si="225"/>
        <v>OK</v>
      </c>
      <c r="N4839" t="str">
        <f t="shared" si="226"/>
        <v>1970s</v>
      </c>
      <c r="O4839" t="str">
        <f t="shared" si="227"/>
        <v>N/A</v>
      </c>
      <c r="P4839" t="str">
        <f>VLOOKUP(E4839,calculated_fields!$F$4:$G$6,2,FALSE)</f>
        <v>Demographics</v>
      </c>
    </row>
    <row r="4840" spans="1:16">
      <c r="A4840" t="s">
        <v>6619</v>
      </c>
      <c r="B4840" t="s">
        <v>6600</v>
      </c>
      <c r="C4840" t="s">
        <v>229</v>
      </c>
      <c r="D4840">
        <v>1972</v>
      </c>
      <c r="E4840" t="s">
        <v>29</v>
      </c>
      <c r="F4840" t="s">
        <v>30</v>
      </c>
      <c r="G4840" t="s">
        <v>31</v>
      </c>
      <c r="H4840" t="s">
        <v>32</v>
      </c>
      <c r="I4840">
        <v>21806.035940000002</v>
      </c>
      <c r="J4840" t="s">
        <v>33</v>
      </c>
      <c r="K4840" t="s">
        <v>6617</v>
      </c>
      <c r="L4840" t="s">
        <v>21</v>
      </c>
      <c r="M4840" t="str">
        <f t="shared" si="225"/>
        <v>OK</v>
      </c>
      <c r="N4840" t="str">
        <f t="shared" si="226"/>
        <v>1970s</v>
      </c>
      <c r="O4840" t="str">
        <f t="shared" si="227"/>
        <v>N/A</v>
      </c>
      <c r="P4840" t="str">
        <f>VLOOKUP(E4840,calculated_fields!$F$4:$G$6,2,FALSE)</f>
        <v>Economy</v>
      </c>
    </row>
    <row r="4841" spans="1:16">
      <c r="A4841" t="s">
        <v>6620</v>
      </c>
      <c r="B4841" t="s">
        <v>6600</v>
      </c>
      <c r="C4841" t="s">
        <v>229</v>
      </c>
      <c r="D4841">
        <v>1977</v>
      </c>
      <c r="E4841" t="s">
        <v>15</v>
      </c>
      <c r="F4841" t="s">
        <v>16</v>
      </c>
      <c r="G4841" t="s">
        <v>17</v>
      </c>
      <c r="H4841" t="s">
        <v>18</v>
      </c>
      <c r="I4841">
        <v>73.38</v>
      </c>
      <c r="J4841" t="s">
        <v>19</v>
      </c>
      <c r="K4841" t="s">
        <v>6621</v>
      </c>
      <c r="L4841" t="s">
        <v>21</v>
      </c>
      <c r="M4841" t="str">
        <f t="shared" si="225"/>
        <v>OK</v>
      </c>
      <c r="N4841" t="str">
        <f t="shared" si="226"/>
        <v>1970s</v>
      </c>
      <c r="O4841" t="str">
        <f t="shared" si="227"/>
        <v>High</v>
      </c>
      <c r="P4841" t="str">
        <f>VLOOKUP(E4841,calculated_fields!$F$4:$G$6,2,FALSE)</f>
        <v>Health</v>
      </c>
    </row>
    <row r="4842" spans="1:16">
      <c r="A4842" t="s">
        <v>6622</v>
      </c>
      <c r="B4842" t="s">
        <v>6600</v>
      </c>
      <c r="C4842" t="s">
        <v>229</v>
      </c>
      <c r="D4842">
        <v>1977</v>
      </c>
      <c r="E4842" t="s">
        <v>23</v>
      </c>
      <c r="F4842" t="s">
        <v>24</v>
      </c>
      <c r="G4842" t="s">
        <v>25</v>
      </c>
      <c r="H4842" t="s">
        <v>26</v>
      </c>
      <c r="I4842">
        <v>220239000</v>
      </c>
      <c r="J4842" t="s">
        <v>27</v>
      </c>
      <c r="K4842" t="s">
        <v>6621</v>
      </c>
      <c r="L4842" t="s">
        <v>21</v>
      </c>
      <c r="M4842" t="str">
        <f t="shared" si="225"/>
        <v>OK</v>
      </c>
      <c r="N4842" t="str">
        <f t="shared" si="226"/>
        <v>1970s</v>
      </c>
      <c r="O4842" t="str">
        <f t="shared" si="227"/>
        <v>N/A</v>
      </c>
      <c r="P4842" t="str">
        <f>VLOOKUP(E4842,calculated_fields!$F$4:$G$6,2,FALSE)</f>
        <v>Demographics</v>
      </c>
    </row>
    <row r="4843" spans="1:16">
      <c r="A4843" t="s">
        <v>6623</v>
      </c>
      <c r="B4843" t="s">
        <v>6600</v>
      </c>
      <c r="C4843" t="s">
        <v>229</v>
      </c>
      <c r="D4843">
        <v>1977</v>
      </c>
      <c r="E4843" t="s">
        <v>29</v>
      </c>
      <c r="F4843" t="s">
        <v>30</v>
      </c>
      <c r="G4843" t="s">
        <v>31</v>
      </c>
      <c r="H4843" t="s">
        <v>32</v>
      </c>
      <c r="I4843">
        <v>24072.632130000002</v>
      </c>
      <c r="J4843" t="s">
        <v>33</v>
      </c>
      <c r="K4843" t="s">
        <v>6621</v>
      </c>
      <c r="L4843" t="s">
        <v>21</v>
      </c>
      <c r="M4843" t="str">
        <f t="shared" si="225"/>
        <v>OK</v>
      </c>
      <c r="N4843" t="str">
        <f t="shared" si="226"/>
        <v>1970s</v>
      </c>
      <c r="O4843" t="str">
        <f t="shared" si="227"/>
        <v>N/A</v>
      </c>
      <c r="P4843" t="str">
        <f>VLOOKUP(E4843,calculated_fields!$F$4:$G$6,2,FALSE)</f>
        <v>Economy</v>
      </c>
    </row>
    <row r="4844" spans="1:16">
      <c r="A4844" t="s">
        <v>6624</v>
      </c>
      <c r="B4844" t="s">
        <v>6600</v>
      </c>
      <c r="C4844" t="s">
        <v>229</v>
      </c>
      <c r="D4844">
        <v>1982</v>
      </c>
      <c r="E4844" t="s">
        <v>15</v>
      </c>
      <c r="F4844" t="s">
        <v>16</v>
      </c>
      <c r="G4844" t="s">
        <v>17</v>
      </c>
      <c r="H4844" t="s">
        <v>18</v>
      </c>
      <c r="I4844">
        <v>74.650000000000006</v>
      </c>
      <c r="J4844" t="s">
        <v>19</v>
      </c>
      <c r="K4844" t="s">
        <v>6625</v>
      </c>
      <c r="L4844" t="s">
        <v>21</v>
      </c>
      <c r="M4844" t="str">
        <f t="shared" si="225"/>
        <v>OK</v>
      </c>
      <c r="N4844" t="str">
        <f t="shared" si="226"/>
        <v>1980s</v>
      </c>
      <c r="O4844" t="str">
        <f t="shared" si="227"/>
        <v>High</v>
      </c>
      <c r="P4844" t="str">
        <f>VLOOKUP(E4844,calculated_fields!$F$4:$G$6,2,FALSE)</f>
        <v>Health</v>
      </c>
    </row>
    <row r="4845" spans="1:16">
      <c r="A4845" t="s">
        <v>6626</v>
      </c>
      <c r="B4845" t="s">
        <v>6600</v>
      </c>
      <c r="C4845" t="s">
        <v>229</v>
      </c>
      <c r="D4845">
        <v>1982</v>
      </c>
      <c r="E4845" t="s">
        <v>23</v>
      </c>
      <c r="F4845" t="s">
        <v>24</v>
      </c>
      <c r="G4845" t="s">
        <v>25</v>
      </c>
      <c r="H4845" t="s">
        <v>26</v>
      </c>
      <c r="I4845">
        <v>232187835</v>
      </c>
      <c r="J4845" t="s">
        <v>27</v>
      </c>
      <c r="K4845" t="s">
        <v>6625</v>
      </c>
      <c r="L4845" t="s">
        <v>21</v>
      </c>
      <c r="M4845" t="str">
        <f t="shared" si="225"/>
        <v>OK</v>
      </c>
      <c r="N4845" t="str">
        <f t="shared" si="226"/>
        <v>1980s</v>
      </c>
      <c r="O4845" t="str">
        <f t="shared" si="227"/>
        <v>N/A</v>
      </c>
      <c r="P4845" t="str">
        <f>VLOOKUP(E4845,calculated_fields!$F$4:$G$6,2,FALSE)</f>
        <v>Demographics</v>
      </c>
    </row>
    <row r="4846" spans="1:16">
      <c r="A4846" t="s">
        <v>6627</v>
      </c>
      <c r="B4846" t="s">
        <v>6600</v>
      </c>
      <c r="C4846" t="s">
        <v>229</v>
      </c>
      <c r="D4846">
        <v>1982</v>
      </c>
      <c r="E4846" t="s">
        <v>29</v>
      </c>
      <c r="F4846" t="s">
        <v>30</v>
      </c>
      <c r="G4846" t="s">
        <v>31</v>
      </c>
      <c r="H4846" t="s">
        <v>32</v>
      </c>
      <c r="I4846">
        <v>25009.559140000001</v>
      </c>
      <c r="J4846" t="s">
        <v>33</v>
      </c>
      <c r="K4846" t="s">
        <v>6625</v>
      </c>
      <c r="L4846" t="s">
        <v>21</v>
      </c>
      <c r="M4846" t="str">
        <f t="shared" si="225"/>
        <v>OK</v>
      </c>
      <c r="N4846" t="str">
        <f t="shared" si="226"/>
        <v>1980s</v>
      </c>
      <c r="O4846" t="str">
        <f t="shared" si="227"/>
        <v>N/A</v>
      </c>
      <c r="P4846" t="str">
        <f>VLOOKUP(E4846,calculated_fields!$F$4:$G$6,2,FALSE)</f>
        <v>Economy</v>
      </c>
    </row>
    <row r="4847" spans="1:16">
      <c r="A4847" t="s">
        <v>6628</v>
      </c>
      <c r="B4847" t="s">
        <v>6600</v>
      </c>
      <c r="C4847" t="s">
        <v>229</v>
      </c>
      <c r="D4847">
        <v>1987</v>
      </c>
      <c r="E4847" t="s">
        <v>15</v>
      </c>
      <c r="F4847" t="s">
        <v>16</v>
      </c>
      <c r="G4847" t="s">
        <v>17</v>
      </c>
      <c r="H4847" t="s">
        <v>18</v>
      </c>
      <c r="I4847">
        <v>75.02</v>
      </c>
      <c r="J4847" t="s">
        <v>19</v>
      </c>
      <c r="K4847" t="s">
        <v>6629</v>
      </c>
      <c r="L4847" t="s">
        <v>21</v>
      </c>
      <c r="M4847" t="str">
        <f t="shared" si="225"/>
        <v>OK</v>
      </c>
      <c r="N4847" t="str">
        <f t="shared" si="226"/>
        <v>1980s</v>
      </c>
      <c r="O4847" t="str">
        <f t="shared" si="227"/>
        <v>High</v>
      </c>
      <c r="P4847" t="str">
        <f>VLOOKUP(E4847,calculated_fields!$F$4:$G$6,2,FALSE)</f>
        <v>Health</v>
      </c>
    </row>
    <row r="4848" spans="1:16">
      <c r="A4848" t="s">
        <v>6630</v>
      </c>
      <c r="B4848" t="s">
        <v>6600</v>
      </c>
      <c r="C4848" t="s">
        <v>229</v>
      </c>
      <c r="D4848">
        <v>1987</v>
      </c>
      <c r="E4848" t="s">
        <v>23</v>
      </c>
      <c r="F4848" t="s">
        <v>24</v>
      </c>
      <c r="G4848" t="s">
        <v>25</v>
      </c>
      <c r="H4848" t="s">
        <v>26</v>
      </c>
      <c r="I4848">
        <v>242803533</v>
      </c>
      <c r="J4848" t="s">
        <v>27</v>
      </c>
      <c r="K4848" t="s">
        <v>6629</v>
      </c>
      <c r="L4848" t="s">
        <v>21</v>
      </c>
      <c r="M4848" t="str">
        <f t="shared" si="225"/>
        <v>OK</v>
      </c>
      <c r="N4848" t="str">
        <f t="shared" si="226"/>
        <v>1980s</v>
      </c>
      <c r="O4848" t="str">
        <f t="shared" si="227"/>
        <v>N/A</v>
      </c>
      <c r="P4848" t="str">
        <f>VLOOKUP(E4848,calculated_fields!$F$4:$G$6,2,FALSE)</f>
        <v>Demographics</v>
      </c>
    </row>
    <row r="4849" spans="1:16">
      <c r="A4849" t="s">
        <v>6631</v>
      </c>
      <c r="B4849" t="s">
        <v>6600</v>
      </c>
      <c r="C4849" t="s">
        <v>229</v>
      </c>
      <c r="D4849">
        <v>1987</v>
      </c>
      <c r="E4849" t="s">
        <v>29</v>
      </c>
      <c r="F4849" t="s">
        <v>30</v>
      </c>
      <c r="G4849" t="s">
        <v>31</v>
      </c>
      <c r="H4849" t="s">
        <v>32</v>
      </c>
      <c r="I4849">
        <v>29884.350409999999</v>
      </c>
      <c r="J4849" t="s">
        <v>33</v>
      </c>
      <c r="K4849" t="s">
        <v>6629</v>
      </c>
      <c r="L4849" t="s">
        <v>21</v>
      </c>
      <c r="M4849" t="str">
        <f t="shared" si="225"/>
        <v>OK</v>
      </c>
      <c r="N4849" t="str">
        <f t="shared" si="226"/>
        <v>1980s</v>
      </c>
      <c r="O4849" t="str">
        <f t="shared" si="227"/>
        <v>N/A</v>
      </c>
      <c r="P4849" t="str">
        <f>VLOOKUP(E4849,calculated_fields!$F$4:$G$6,2,FALSE)</f>
        <v>Economy</v>
      </c>
    </row>
    <row r="4850" spans="1:16">
      <c r="A4850" t="s">
        <v>6632</v>
      </c>
      <c r="B4850" t="s">
        <v>6600</v>
      </c>
      <c r="C4850" t="s">
        <v>229</v>
      </c>
      <c r="D4850">
        <v>1992</v>
      </c>
      <c r="E4850" t="s">
        <v>15</v>
      </c>
      <c r="F4850" t="s">
        <v>16</v>
      </c>
      <c r="G4850" t="s">
        <v>17</v>
      </c>
      <c r="H4850" t="s">
        <v>18</v>
      </c>
      <c r="I4850">
        <v>76.09</v>
      </c>
      <c r="J4850" t="s">
        <v>19</v>
      </c>
      <c r="K4850" t="s">
        <v>6633</v>
      </c>
      <c r="L4850" t="s">
        <v>21</v>
      </c>
      <c r="M4850" t="str">
        <f t="shared" si="225"/>
        <v>OK</v>
      </c>
      <c r="N4850" t="str">
        <f t="shared" si="226"/>
        <v>1990s</v>
      </c>
      <c r="O4850" t="str">
        <f t="shared" si="227"/>
        <v>High</v>
      </c>
      <c r="P4850" t="str">
        <f>VLOOKUP(E4850,calculated_fields!$F$4:$G$6,2,FALSE)</f>
        <v>Health</v>
      </c>
    </row>
    <row r="4851" spans="1:16">
      <c r="A4851" t="s">
        <v>6634</v>
      </c>
      <c r="B4851" t="s">
        <v>6600</v>
      </c>
      <c r="C4851" t="s">
        <v>229</v>
      </c>
      <c r="D4851">
        <v>1992</v>
      </c>
      <c r="E4851" t="s">
        <v>23</v>
      </c>
      <c r="F4851" t="s">
        <v>24</v>
      </c>
      <c r="G4851" t="s">
        <v>25</v>
      </c>
      <c r="H4851" t="s">
        <v>26</v>
      </c>
      <c r="I4851">
        <v>256894189</v>
      </c>
      <c r="J4851" t="s">
        <v>27</v>
      </c>
      <c r="K4851" t="s">
        <v>6633</v>
      </c>
      <c r="L4851" t="s">
        <v>21</v>
      </c>
      <c r="M4851" t="str">
        <f t="shared" si="225"/>
        <v>OK</v>
      </c>
      <c r="N4851" t="str">
        <f t="shared" si="226"/>
        <v>1990s</v>
      </c>
      <c r="O4851" t="str">
        <f t="shared" si="227"/>
        <v>N/A</v>
      </c>
      <c r="P4851" t="str">
        <f>VLOOKUP(E4851,calculated_fields!$F$4:$G$6,2,FALSE)</f>
        <v>Demographics</v>
      </c>
    </row>
    <row r="4852" spans="1:16">
      <c r="A4852" t="s">
        <v>6635</v>
      </c>
      <c r="B4852" t="s">
        <v>6600</v>
      </c>
      <c r="C4852" t="s">
        <v>229</v>
      </c>
      <c r="D4852">
        <v>1992</v>
      </c>
      <c r="E4852" t="s">
        <v>29</v>
      </c>
      <c r="F4852" t="s">
        <v>30</v>
      </c>
      <c r="G4852" t="s">
        <v>31</v>
      </c>
      <c r="H4852" t="s">
        <v>32</v>
      </c>
      <c r="I4852">
        <v>32003.932239999998</v>
      </c>
      <c r="J4852" t="s">
        <v>33</v>
      </c>
      <c r="K4852" t="s">
        <v>6633</v>
      </c>
      <c r="L4852" t="s">
        <v>21</v>
      </c>
      <c r="M4852" t="str">
        <f t="shared" si="225"/>
        <v>OK</v>
      </c>
      <c r="N4852" t="str">
        <f t="shared" si="226"/>
        <v>1990s</v>
      </c>
      <c r="O4852" t="str">
        <f t="shared" si="227"/>
        <v>N/A</v>
      </c>
      <c r="P4852" t="str">
        <f>VLOOKUP(E4852,calculated_fields!$F$4:$G$6,2,FALSE)</f>
        <v>Economy</v>
      </c>
    </row>
    <row r="4853" spans="1:16">
      <c r="A4853" t="s">
        <v>6636</v>
      </c>
      <c r="B4853" t="s">
        <v>6600</v>
      </c>
      <c r="C4853" t="s">
        <v>229</v>
      </c>
      <c r="D4853">
        <v>1997</v>
      </c>
      <c r="E4853" t="s">
        <v>15</v>
      </c>
      <c r="F4853" t="s">
        <v>16</v>
      </c>
      <c r="G4853" t="s">
        <v>17</v>
      </c>
      <c r="H4853" t="s">
        <v>18</v>
      </c>
      <c r="I4853">
        <v>76.81</v>
      </c>
      <c r="J4853" t="s">
        <v>19</v>
      </c>
      <c r="K4853" t="s">
        <v>6637</v>
      </c>
      <c r="L4853" t="s">
        <v>21</v>
      </c>
      <c r="M4853" t="str">
        <f t="shared" si="225"/>
        <v>OK</v>
      </c>
      <c r="N4853" t="str">
        <f t="shared" si="226"/>
        <v>1990s</v>
      </c>
      <c r="O4853" t="str">
        <f t="shared" si="227"/>
        <v>High</v>
      </c>
      <c r="P4853" t="str">
        <f>VLOOKUP(E4853,calculated_fields!$F$4:$G$6,2,FALSE)</f>
        <v>Health</v>
      </c>
    </row>
    <row r="4854" spans="1:16">
      <c r="A4854" t="s">
        <v>6638</v>
      </c>
      <c r="B4854" t="s">
        <v>6600</v>
      </c>
      <c r="C4854" t="s">
        <v>229</v>
      </c>
      <c r="D4854">
        <v>1997</v>
      </c>
      <c r="E4854" t="s">
        <v>23</v>
      </c>
      <c r="F4854" t="s">
        <v>24</v>
      </c>
      <c r="G4854" t="s">
        <v>25</v>
      </c>
      <c r="H4854" t="s">
        <v>26</v>
      </c>
      <c r="I4854">
        <v>272911760</v>
      </c>
      <c r="J4854" t="s">
        <v>27</v>
      </c>
      <c r="K4854" t="s">
        <v>6637</v>
      </c>
      <c r="L4854" t="s">
        <v>21</v>
      </c>
      <c r="M4854" t="str">
        <f t="shared" si="225"/>
        <v>OK</v>
      </c>
      <c r="N4854" t="str">
        <f t="shared" si="226"/>
        <v>1990s</v>
      </c>
      <c r="O4854" t="str">
        <f t="shared" si="227"/>
        <v>N/A</v>
      </c>
      <c r="P4854" t="str">
        <f>VLOOKUP(E4854,calculated_fields!$F$4:$G$6,2,FALSE)</f>
        <v>Demographics</v>
      </c>
    </row>
    <row r="4855" spans="1:16">
      <c r="A4855" t="s">
        <v>6639</v>
      </c>
      <c r="B4855" t="s">
        <v>6600</v>
      </c>
      <c r="C4855" t="s">
        <v>229</v>
      </c>
      <c r="D4855">
        <v>1997</v>
      </c>
      <c r="E4855" t="s">
        <v>29</v>
      </c>
      <c r="F4855" t="s">
        <v>30</v>
      </c>
      <c r="G4855" t="s">
        <v>31</v>
      </c>
      <c r="H4855" t="s">
        <v>32</v>
      </c>
      <c r="I4855">
        <v>35767.43303</v>
      </c>
      <c r="J4855" t="s">
        <v>33</v>
      </c>
      <c r="K4855" t="s">
        <v>6637</v>
      </c>
      <c r="L4855" t="s">
        <v>21</v>
      </c>
      <c r="M4855" t="str">
        <f t="shared" si="225"/>
        <v>OK</v>
      </c>
      <c r="N4855" t="str">
        <f t="shared" si="226"/>
        <v>1990s</v>
      </c>
      <c r="O4855" t="str">
        <f t="shared" si="227"/>
        <v>N/A</v>
      </c>
      <c r="P4855" t="str">
        <f>VLOOKUP(E4855,calculated_fields!$F$4:$G$6,2,FALSE)</f>
        <v>Economy</v>
      </c>
    </row>
    <row r="4856" spans="1:16">
      <c r="A4856" t="s">
        <v>6640</v>
      </c>
      <c r="B4856" t="s">
        <v>6600</v>
      </c>
      <c r="C4856" t="s">
        <v>229</v>
      </c>
      <c r="D4856">
        <v>2002</v>
      </c>
      <c r="E4856" t="s">
        <v>15</v>
      </c>
      <c r="F4856" t="s">
        <v>16</v>
      </c>
      <c r="G4856" t="s">
        <v>17</v>
      </c>
      <c r="H4856" t="s">
        <v>18</v>
      </c>
      <c r="I4856">
        <v>77.31</v>
      </c>
      <c r="J4856" t="s">
        <v>19</v>
      </c>
      <c r="K4856" t="s">
        <v>6641</v>
      </c>
      <c r="L4856" t="s">
        <v>21</v>
      </c>
      <c r="M4856" t="str">
        <f t="shared" si="225"/>
        <v>OK</v>
      </c>
      <c r="N4856" t="str">
        <f t="shared" si="226"/>
        <v>2000s</v>
      </c>
      <c r="O4856" t="str">
        <f t="shared" si="227"/>
        <v>High</v>
      </c>
      <c r="P4856" t="str">
        <f>VLOOKUP(E4856,calculated_fields!$F$4:$G$6,2,FALSE)</f>
        <v>Health</v>
      </c>
    </row>
    <row r="4857" spans="1:16">
      <c r="A4857" t="s">
        <v>6642</v>
      </c>
      <c r="B4857" t="s">
        <v>6600</v>
      </c>
      <c r="C4857" t="s">
        <v>229</v>
      </c>
      <c r="D4857">
        <v>2002</v>
      </c>
      <c r="E4857" t="s">
        <v>23</v>
      </c>
      <c r="F4857" t="s">
        <v>24</v>
      </c>
      <c r="G4857" t="s">
        <v>25</v>
      </c>
      <c r="H4857" t="s">
        <v>26</v>
      </c>
      <c r="I4857">
        <v>287675526</v>
      </c>
      <c r="J4857" t="s">
        <v>27</v>
      </c>
      <c r="K4857" t="s">
        <v>6641</v>
      </c>
      <c r="L4857" t="s">
        <v>21</v>
      </c>
      <c r="M4857" t="str">
        <f t="shared" si="225"/>
        <v>OK</v>
      </c>
      <c r="N4857" t="str">
        <f t="shared" si="226"/>
        <v>2000s</v>
      </c>
      <c r="O4857" t="str">
        <f t="shared" si="227"/>
        <v>N/A</v>
      </c>
      <c r="P4857" t="str">
        <f>VLOOKUP(E4857,calculated_fields!$F$4:$G$6,2,FALSE)</f>
        <v>Demographics</v>
      </c>
    </row>
    <row r="4858" spans="1:16">
      <c r="A4858" t="s">
        <v>6643</v>
      </c>
      <c r="B4858" t="s">
        <v>6600</v>
      </c>
      <c r="C4858" t="s">
        <v>229</v>
      </c>
      <c r="D4858">
        <v>2002</v>
      </c>
      <c r="E4858" t="s">
        <v>29</v>
      </c>
      <c r="F4858" t="s">
        <v>30</v>
      </c>
      <c r="G4858" t="s">
        <v>31</v>
      </c>
      <c r="H4858" t="s">
        <v>32</v>
      </c>
      <c r="I4858">
        <v>39097.099549999999</v>
      </c>
      <c r="J4858" t="s">
        <v>33</v>
      </c>
      <c r="K4858" t="s">
        <v>6641</v>
      </c>
      <c r="L4858" t="s">
        <v>21</v>
      </c>
      <c r="M4858" t="str">
        <f t="shared" si="225"/>
        <v>OK</v>
      </c>
      <c r="N4858" t="str">
        <f t="shared" si="226"/>
        <v>2000s</v>
      </c>
      <c r="O4858" t="str">
        <f t="shared" si="227"/>
        <v>N/A</v>
      </c>
      <c r="P4858" t="str">
        <f>VLOOKUP(E4858,calculated_fields!$F$4:$G$6,2,FALSE)</f>
        <v>Economy</v>
      </c>
    </row>
    <row r="4859" spans="1:16">
      <c r="A4859" t="s">
        <v>6644</v>
      </c>
      <c r="B4859" t="s">
        <v>6600</v>
      </c>
      <c r="C4859" t="s">
        <v>229</v>
      </c>
      <c r="D4859">
        <v>2007</v>
      </c>
      <c r="E4859" t="s">
        <v>15</v>
      </c>
      <c r="F4859" t="s">
        <v>16</v>
      </c>
      <c r="G4859" t="s">
        <v>17</v>
      </c>
      <c r="H4859" t="s">
        <v>18</v>
      </c>
      <c r="I4859">
        <v>78.242000000000004</v>
      </c>
      <c r="J4859" t="s">
        <v>19</v>
      </c>
      <c r="K4859" t="s">
        <v>6645</v>
      </c>
      <c r="L4859" t="s">
        <v>21</v>
      </c>
      <c r="M4859" t="str">
        <f t="shared" si="225"/>
        <v>OK</v>
      </c>
      <c r="N4859" t="str">
        <f t="shared" si="226"/>
        <v>2000s</v>
      </c>
      <c r="O4859" t="str">
        <f t="shared" si="227"/>
        <v>High</v>
      </c>
      <c r="P4859" t="str">
        <f>VLOOKUP(E4859,calculated_fields!$F$4:$G$6,2,FALSE)</f>
        <v>Health</v>
      </c>
    </row>
    <row r="4860" spans="1:16">
      <c r="A4860" t="s">
        <v>6646</v>
      </c>
      <c r="B4860" t="s">
        <v>6600</v>
      </c>
      <c r="C4860" t="s">
        <v>229</v>
      </c>
      <c r="D4860">
        <v>2007</v>
      </c>
      <c r="E4860" t="s">
        <v>23</v>
      </c>
      <c r="F4860" t="s">
        <v>24</v>
      </c>
      <c r="G4860" t="s">
        <v>25</v>
      </c>
      <c r="H4860" t="s">
        <v>26</v>
      </c>
      <c r="I4860">
        <v>301139947</v>
      </c>
      <c r="J4860" t="s">
        <v>27</v>
      </c>
      <c r="K4860" t="s">
        <v>6645</v>
      </c>
      <c r="L4860" t="s">
        <v>21</v>
      </c>
      <c r="M4860" t="str">
        <f t="shared" si="225"/>
        <v>OK</v>
      </c>
      <c r="N4860" t="str">
        <f t="shared" si="226"/>
        <v>2000s</v>
      </c>
      <c r="O4860" t="str">
        <f t="shared" si="227"/>
        <v>N/A</v>
      </c>
      <c r="P4860" t="str">
        <f>VLOOKUP(E4860,calculated_fields!$F$4:$G$6,2,FALSE)</f>
        <v>Demographics</v>
      </c>
    </row>
    <row r="4861" spans="1:16">
      <c r="A4861" t="s">
        <v>6647</v>
      </c>
      <c r="B4861" t="s">
        <v>6600</v>
      </c>
      <c r="C4861" t="s">
        <v>229</v>
      </c>
      <c r="D4861">
        <v>2007</v>
      </c>
      <c r="E4861" t="s">
        <v>29</v>
      </c>
      <c r="F4861" t="s">
        <v>30</v>
      </c>
      <c r="G4861" t="s">
        <v>31</v>
      </c>
      <c r="H4861" t="s">
        <v>32</v>
      </c>
      <c r="I4861">
        <v>42951.65309</v>
      </c>
      <c r="J4861" t="s">
        <v>33</v>
      </c>
      <c r="K4861" t="s">
        <v>6645</v>
      </c>
      <c r="L4861" t="s">
        <v>21</v>
      </c>
      <c r="M4861" t="str">
        <f t="shared" si="225"/>
        <v>OK</v>
      </c>
      <c r="N4861" t="str">
        <f t="shared" si="226"/>
        <v>2000s</v>
      </c>
      <c r="O4861" t="str">
        <f t="shared" si="227"/>
        <v>N/A</v>
      </c>
      <c r="P4861" t="str">
        <f>VLOOKUP(E4861,calculated_fields!$F$4:$G$6,2,FALSE)</f>
        <v>Economy</v>
      </c>
    </row>
    <row r="4862" spans="1:16">
      <c r="A4862" t="s">
        <v>6648</v>
      </c>
      <c r="B4862" t="s">
        <v>6649</v>
      </c>
      <c r="C4862" t="s">
        <v>229</v>
      </c>
      <c r="D4862">
        <v>1952</v>
      </c>
      <c r="E4862" t="s">
        <v>15</v>
      </c>
      <c r="F4862" t="s">
        <v>16</v>
      </c>
      <c r="G4862" t="s">
        <v>17</v>
      </c>
      <c r="H4862" t="s">
        <v>18</v>
      </c>
      <c r="I4862">
        <v>66.070999999999998</v>
      </c>
      <c r="J4862" t="s">
        <v>19</v>
      </c>
      <c r="K4862" t="s">
        <v>6650</v>
      </c>
      <c r="L4862" t="s">
        <v>21</v>
      </c>
      <c r="M4862" t="str">
        <f t="shared" si="225"/>
        <v>OK</v>
      </c>
      <c r="N4862" t="str">
        <f t="shared" si="226"/>
        <v>1950s</v>
      </c>
      <c r="O4862" t="str">
        <f t="shared" si="227"/>
        <v>Medium</v>
      </c>
      <c r="P4862" t="str">
        <f>VLOOKUP(E4862,calculated_fields!$F$4:$G$6,2,FALSE)</f>
        <v>Health</v>
      </c>
    </row>
    <row r="4863" spans="1:16">
      <c r="A4863" t="s">
        <v>6651</v>
      </c>
      <c r="B4863" t="s">
        <v>6649</v>
      </c>
      <c r="C4863" t="s">
        <v>229</v>
      </c>
      <c r="D4863">
        <v>1952</v>
      </c>
      <c r="E4863" t="s">
        <v>23</v>
      </c>
      <c r="F4863" t="s">
        <v>24</v>
      </c>
      <c r="G4863" t="s">
        <v>25</v>
      </c>
      <c r="H4863" t="s">
        <v>26</v>
      </c>
      <c r="I4863">
        <v>2252965</v>
      </c>
      <c r="J4863" t="s">
        <v>27</v>
      </c>
      <c r="K4863" t="s">
        <v>6650</v>
      </c>
      <c r="L4863" t="s">
        <v>21</v>
      </c>
      <c r="M4863" t="str">
        <f t="shared" si="225"/>
        <v>OK</v>
      </c>
      <c r="N4863" t="str">
        <f t="shared" si="226"/>
        <v>1950s</v>
      </c>
      <c r="O4863" t="str">
        <f t="shared" si="227"/>
        <v>N/A</v>
      </c>
      <c r="P4863" t="str">
        <f>VLOOKUP(E4863,calculated_fields!$F$4:$G$6,2,FALSE)</f>
        <v>Demographics</v>
      </c>
    </row>
    <row r="4864" spans="1:16">
      <c r="A4864" t="s">
        <v>6652</v>
      </c>
      <c r="B4864" t="s">
        <v>6649</v>
      </c>
      <c r="C4864" t="s">
        <v>229</v>
      </c>
      <c r="D4864">
        <v>1952</v>
      </c>
      <c r="E4864" t="s">
        <v>29</v>
      </c>
      <c r="F4864" t="s">
        <v>30</v>
      </c>
      <c r="G4864" t="s">
        <v>31</v>
      </c>
      <c r="H4864" t="s">
        <v>32</v>
      </c>
      <c r="I4864">
        <v>5716.7667439999996</v>
      </c>
      <c r="J4864" t="s">
        <v>33</v>
      </c>
      <c r="K4864" t="s">
        <v>6650</v>
      </c>
      <c r="L4864" t="s">
        <v>21</v>
      </c>
      <c r="M4864" t="str">
        <f t="shared" si="225"/>
        <v>OK</v>
      </c>
      <c r="N4864" t="str">
        <f t="shared" si="226"/>
        <v>1950s</v>
      </c>
      <c r="O4864" t="str">
        <f t="shared" si="227"/>
        <v>N/A</v>
      </c>
      <c r="P4864" t="str">
        <f>VLOOKUP(E4864,calculated_fields!$F$4:$G$6,2,FALSE)</f>
        <v>Economy</v>
      </c>
    </row>
    <row r="4865" spans="1:16">
      <c r="A4865" t="s">
        <v>6653</v>
      </c>
      <c r="B4865" t="s">
        <v>6649</v>
      </c>
      <c r="C4865" t="s">
        <v>229</v>
      </c>
      <c r="D4865">
        <v>1957</v>
      </c>
      <c r="E4865" t="s">
        <v>15</v>
      </c>
      <c r="F4865" t="s">
        <v>16</v>
      </c>
      <c r="G4865" t="s">
        <v>17</v>
      </c>
      <c r="H4865" t="s">
        <v>18</v>
      </c>
      <c r="I4865">
        <v>67.043999999999997</v>
      </c>
      <c r="J4865" t="s">
        <v>19</v>
      </c>
      <c r="K4865" t="s">
        <v>6654</v>
      </c>
      <c r="L4865" t="s">
        <v>21</v>
      </c>
      <c r="M4865" t="str">
        <f t="shared" si="225"/>
        <v>OK</v>
      </c>
      <c r="N4865" t="str">
        <f t="shared" si="226"/>
        <v>1950s</v>
      </c>
      <c r="O4865" t="str">
        <f t="shared" si="227"/>
        <v>Medium</v>
      </c>
      <c r="P4865" t="str">
        <f>VLOOKUP(E4865,calculated_fields!$F$4:$G$6,2,FALSE)</f>
        <v>Health</v>
      </c>
    </row>
    <row r="4866" spans="1:16">
      <c r="A4866" t="s">
        <v>6655</v>
      </c>
      <c r="B4866" t="s">
        <v>6649</v>
      </c>
      <c r="C4866" t="s">
        <v>229</v>
      </c>
      <c r="D4866">
        <v>1957</v>
      </c>
      <c r="E4866" t="s">
        <v>23</v>
      </c>
      <c r="F4866" t="s">
        <v>24</v>
      </c>
      <c r="G4866" t="s">
        <v>25</v>
      </c>
      <c r="H4866" t="s">
        <v>26</v>
      </c>
      <c r="I4866">
        <v>2424959</v>
      </c>
      <c r="J4866" t="s">
        <v>27</v>
      </c>
      <c r="K4866" t="s">
        <v>6654</v>
      </c>
      <c r="L4866" t="s">
        <v>21</v>
      </c>
      <c r="M4866" t="str">
        <f t="shared" ref="M4866:M4929" si="228">IF(AND(ISNUMBER(I4866),I4866&gt;=0),"OK","Review")</f>
        <v>OK</v>
      </c>
      <c r="N4866" t="str">
        <f t="shared" ref="N4866:N4929" si="229">FLOOR(D4866,10)&amp;"s"</f>
        <v>1950s</v>
      </c>
      <c r="O4866" t="str">
        <f t="shared" ref="O4866:O4929" si="230">IF(E4866="LIFE_EXP",IF(I4866&gt;=70,"High",IF(I4866&gt;=55,"Medium","Low")),"N/A")</f>
        <v>N/A</v>
      </c>
      <c r="P4866" t="str">
        <f>VLOOKUP(E4866,calculated_fields!$F$4:$G$6,2,FALSE)</f>
        <v>Demographics</v>
      </c>
    </row>
    <row r="4867" spans="1:16">
      <c r="A4867" t="s">
        <v>6656</v>
      </c>
      <c r="B4867" t="s">
        <v>6649</v>
      </c>
      <c r="C4867" t="s">
        <v>229</v>
      </c>
      <c r="D4867">
        <v>1957</v>
      </c>
      <c r="E4867" t="s">
        <v>29</v>
      </c>
      <c r="F4867" t="s">
        <v>30</v>
      </c>
      <c r="G4867" t="s">
        <v>31</v>
      </c>
      <c r="H4867" t="s">
        <v>32</v>
      </c>
      <c r="I4867">
        <v>6150.7729689999996</v>
      </c>
      <c r="J4867" t="s">
        <v>33</v>
      </c>
      <c r="K4867" t="s">
        <v>6654</v>
      </c>
      <c r="L4867" t="s">
        <v>21</v>
      </c>
      <c r="M4867" t="str">
        <f t="shared" si="228"/>
        <v>OK</v>
      </c>
      <c r="N4867" t="str">
        <f t="shared" si="229"/>
        <v>1950s</v>
      </c>
      <c r="O4867" t="str">
        <f t="shared" si="230"/>
        <v>N/A</v>
      </c>
      <c r="P4867" t="str">
        <f>VLOOKUP(E4867,calculated_fields!$F$4:$G$6,2,FALSE)</f>
        <v>Economy</v>
      </c>
    </row>
    <row r="4868" spans="1:16">
      <c r="A4868" t="s">
        <v>6657</v>
      </c>
      <c r="B4868" t="s">
        <v>6649</v>
      </c>
      <c r="C4868" t="s">
        <v>229</v>
      </c>
      <c r="D4868">
        <v>1962</v>
      </c>
      <c r="E4868" t="s">
        <v>15</v>
      </c>
      <c r="F4868" t="s">
        <v>16</v>
      </c>
      <c r="G4868" t="s">
        <v>17</v>
      </c>
      <c r="H4868" t="s">
        <v>18</v>
      </c>
      <c r="I4868">
        <v>68.253</v>
      </c>
      <c r="J4868" t="s">
        <v>19</v>
      </c>
      <c r="K4868" t="s">
        <v>6658</v>
      </c>
      <c r="L4868" t="s">
        <v>21</v>
      </c>
      <c r="M4868" t="str">
        <f t="shared" si="228"/>
        <v>OK</v>
      </c>
      <c r="N4868" t="str">
        <f t="shared" si="229"/>
        <v>1960s</v>
      </c>
      <c r="O4868" t="str">
        <f t="shared" si="230"/>
        <v>Medium</v>
      </c>
      <c r="P4868" t="str">
        <f>VLOOKUP(E4868,calculated_fields!$F$4:$G$6,2,FALSE)</f>
        <v>Health</v>
      </c>
    </row>
    <row r="4869" spans="1:16">
      <c r="A4869" t="s">
        <v>6659</v>
      </c>
      <c r="B4869" t="s">
        <v>6649</v>
      </c>
      <c r="C4869" t="s">
        <v>229</v>
      </c>
      <c r="D4869">
        <v>1962</v>
      </c>
      <c r="E4869" t="s">
        <v>23</v>
      </c>
      <c r="F4869" t="s">
        <v>24</v>
      </c>
      <c r="G4869" t="s">
        <v>25</v>
      </c>
      <c r="H4869" t="s">
        <v>26</v>
      </c>
      <c r="I4869">
        <v>2598466</v>
      </c>
      <c r="J4869" t="s">
        <v>27</v>
      </c>
      <c r="K4869" t="s">
        <v>6658</v>
      </c>
      <c r="L4869" t="s">
        <v>21</v>
      </c>
      <c r="M4869" t="str">
        <f t="shared" si="228"/>
        <v>OK</v>
      </c>
      <c r="N4869" t="str">
        <f t="shared" si="229"/>
        <v>1960s</v>
      </c>
      <c r="O4869" t="str">
        <f t="shared" si="230"/>
        <v>N/A</v>
      </c>
      <c r="P4869" t="str">
        <f>VLOOKUP(E4869,calculated_fields!$F$4:$G$6,2,FALSE)</f>
        <v>Demographics</v>
      </c>
    </row>
    <row r="4870" spans="1:16">
      <c r="A4870" t="s">
        <v>6660</v>
      </c>
      <c r="B4870" t="s">
        <v>6649</v>
      </c>
      <c r="C4870" t="s">
        <v>229</v>
      </c>
      <c r="D4870">
        <v>1962</v>
      </c>
      <c r="E4870" t="s">
        <v>29</v>
      </c>
      <c r="F4870" t="s">
        <v>30</v>
      </c>
      <c r="G4870" t="s">
        <v>31</v>
      </c>
      <c r="H4870" t="s">
        <v>32</v>
      </c>
      <c r="I4870">
        <v>5603.3577169999999</v>
      </c>
      <c r="J4870" t="s">
        <v>33</v>
      </c>
      <c r="K4870" t="s">
        <v>6658</v>
      </c>
      <c r="L4870" t="s">
        <v>21</v>
      </c>
      <c r="M4870" t="str">
        <f t="shared" si="228"/>
        <v>OK</v>
      </c>
      <c r="N4870" t="str">
        <f t="shared" si="229"/>
        <v>1960s</v>
      </c>
      <c r="O4870" t="str">
        <f t="shared" si="230"/>
        <v>N/A</v>
      </c>
      <c r="P4870" t="str">
        <f>VLOOKUP(E4870,calculated_fields!$F$4:$G$6,2,FALSE)</f>
        <v>Economy</v>
      </c>
    </row>
    <row r="4871" spans="1:16">
      <c r="A4871" t="s">
        <v>6661</v>
      </c>
      <c r="B4871" t="s">
        <v>6649</v>
      </c>
      <c r="C4871" t="s">
        <v>229</v>
      </c>
      <c r="D4871">
        <v>1967</v>
      </c>
      <c r="E4871" t="s">
        <v>15</v>
      </c>
      <c r="F4871" t="s">
        <v>16</v>
      </c>
      <c r="G4871" t="s">
        <v>17</v>
      </c>
      <c r="H4871" t="s">
        <v>18</v>
      </c>
      <c r="I4871">
        <v>68.468000000000004</v>
      </c>
      <c r="J4871" t="s">
        <v>19</v>
      </c>
      <c r="K4871" t="s">
        <v>6662</v>
      </c>
      <c r="L4871" t="s">
        <v>21</v>
      </c>
      <c r="M4871" t="str">
        <f t="shared" si="228"/>
        <v>OK</v>
      </c>
      <c r="N4871" t="str">
        <f t="shared" si="229"/>
        <v>1960s</v>
      </c>
      <c r="O4871" t="str">
        <f t="shared" si="230"/>
        <v>Medium</v>
      </c>
      <c r="P4871" t="str">
        <f>VLOOKUP(E4871,calculated_fields!$F$4:$G$6,2,FALSE)</f>
        <v>Health</v>
      </c>
    </row>
    <row r="4872" spans="1:16">
      <c r="A4872" t="s">
        <v>6663</v>
      </c>
      <c r="B4872" t="s">
        <v>6649</v>
      </c>
      <c r="C4872" t="s">
        <v>229</v>
      </c>
      <c r="D4872">
        <v>1967</v>
      </c>
      <c r="E4872" t="s">
        <v>23</v>
      </c>
      <c r="F4872" t="s">
        <v>24</v>
      </c>
      <c r="G4872" t="s">
        <v>25</v>
      </c>
      <c r="H4872" t="s">
        <v>26</v>
      </c>
      <c r="I4872">
        <v>2748579</v>
      </c>
      <c r="J4872" t="s">
        <v>27</v>
      </c>
      <c r="K4872" t="s">
        <v>6662</v>
      </c>
      <c r="L4872" t="s">
        <v>21</v>
      </c>
      <c r="M4872" t="str">
        <f t="shared" si="228"/>
        <v>OK</v>
      </c>
      <c r="N4872" t="str">
        <f t="shared" si="229"/>
        <v>1960s</v>
      </c>
      <c r="O4872" t="str">
        <f t="shared" si="230"/>
        <v>N/A</v>
      </c>
      <c r="P4872" t="str">
        <f>VLOOKUP(E4872,calculated_fields!$F$4:$G$6,2,FALSE)</f>
        <v>Demographics</v>
      </c>
    </row>
    <row r="4873" spans="1:16">
      <c r="A4873" t="s">
        <v>6664</v>
      </c>
      <c r="B4873" t="s">
        <v>6649</v>
      </c>
      <c r="C4873" t="s">
        <v>229</v>
      </c>
      <c r="D4873">
        <v>1967</v>
      </c>
      <c r="E4873" t="s">
        <v>29</v>
      </c>
      <c r="F4873" t="s">
        <v>30</v>
      </c>
      <c r="G4873" t="s">
        <v>31</v>
      </c>
      <c r="H4873" t="s">
        <v>32</v>
      </c>
      <c r="I4873">
        <v>5444.6196200000004</v>
      </c>
      <c r="J4873" t="s">
        <v>33</v>
      </c>
      <c r="K4873" t="s">
        <v>6662</v>
      </c>
      <c r="L4873" t="s">
        <v>21</v>
      </c>
      <c r="M4873" t="str">
        <f t="shared" si="228"/>
        <v>OK</v>
      </c>
      <c r="N4873" t="str">
        <f t="shared" si="229"/>
        <v>1960s</v>
      </c>
      <c r="O4873" t="str">
        <f t="shared" si="230"/>
        <v>N/A</v>
      </c>
      <c r="P4873" t="str">
        <f>VLOOKUP(E4873,calculated_fields!$F$4:$G$6,2,FALSE)</f>
        <v>Economy</v>
      </c>
    </row>
    <row r="4874" spans="1:16">
      <c r="A4874" t="s">
        <v>6665</v>
      </c>
      <c r="B4874" t="s">
        <v>6649</v>
      </c>
      <c r="C4874" t="s">
        <v>229</v>
      </c>
      <c r="D4874">
        <v>1972</v>
      </c>
      <c r="E4874" t="s">
        <v>15</v>
      </c>
      <c r="F4874" t="s">
        <v>16</v>
      </c>
      <c r="G4874" t="s">
        <v>17</v>
      </c>
      <c r="H4874" t="s">
        <v>18</v>
      </c>
      <c r="I4874">
        <v>68.673000000000002</v>
      </c>
      <c r="J4874" t="s">
        <v>19</v>
      </c>
      <c r="K4874" t="s">
        <v>6666</v>
      </c>
      <c r="L4874" t="s">
        <v>21</v>
      </c>
      <c r="M4874" t="str">
        <f t="shared" si="228"/>
        <v>OK</v>
      </c>
      <c r="N4874" t="str">
        <f t="shared" si="229"/>
        <v>1970s</v>
      </c>
      <c r="O4874" t="str">
        <f t="shared" si="230"/>
        <v>Medium</v>
      </c>
      <c r="P4874" t="str">
        <f>VLOOKUP(E4874,calculated_fields!$F$4:$G$6,2,FALSE)</f>
        <v>Health</v>
      </c>
    </row>
    <row r="4875" spans="1:16">
      <c r="A4875" t="s">
        <v>6667</v>
      </c>
      <c r="B4875" t="s">
        <v>6649</v>
      </c>
      <c r="C4875" t="s">
        <v>229</v>
      </c>
      <c r="D4875">
        <v>1972</v>
      </c>
      <c r="E4875" t="s">
        <v>23</v>
      </c>
      <c r="F4875" t="s">
        <v>24</v>
      </c>
      <c r="G4875" t="s">
        <v>25</v>
      </c>
      <c r="H4875" t="s">
        <v>26</v>
      </c>
      <c r="I4875">
        <v>2829526</v>
      </c>
      <c r="J4875" t="s">
        <v>27</v>
      </c>
      <c r="K4875" t="s">
        <v>6666</v>
      </c>
      <c r="L4875" t="s">
        <v>21</v>
      </c>
      <c r="M4875" t="str">
        <f t="shared" si="228"/>
        <v>OK</v>
      </c>
      <c r="N4875" t="str">
        <f t="shared" si="229"/>
        <v>1970s</v>
      </c>
      <c r="O4875" t="str">
        <f t="shared" si="230"/>
        <v>N/A</v>
      </c>
      <c r="P4875" t="str">
        <f>VLOOKUP(E4875,calculated_fields!$F$4:$G$6,2,FALSE)</f>
        <v>Demographics</v>
      </c>
    </row>
    <row r="4876" spans="1:16">
      <c r="A4876" t="s">
        <v>6668</v>
      </c>
      <c r="B4876" t="s">
        <v>6649</v>
      </c>
      <c r="C4876" t="s">
        <v>229</v>
      </c>
      <c r="D4876">
        <v>1972</v>
      </c>
      <c r="E4876" t="s">
        <v>29</v>
      </c>
      <c r="F4876" t="s">
        <v>30</v>
      </c>
      <c r="G4876" t="s">
        <v>31</v>
      </c>
      <c r="H4876" t="s">
        <v>32</v>
      </c>
      <c r="I4876">
        <v>5703.4088979999997</v>
      </c>
      <c r="J4876" t="s">
        <v>33</v>
      </c>
      <c r="K4876" t="s">
        <v>6666</v>
      </c>
      <c r="L4876" t="s">
        <v>21</v>
      </c>
      <c r="M4876" t="str">
        <f t="shared" si="228"/>
        <v>OK</v>
      </c>
      <c r="N4876" t="str">
        <f t="shared" si="229"/>
        <v>1970s</v>
      </c>
      <c r="O4876" t="str">
        <f t="shared" si="230"/>
        <v>N/A</v>
      </c>
      <c r="P4876" t="str">
        <f>VLOOKUP(E4876,calculated_fields!$F$4:$G$6,2,FALSE)</f>
        <v>Economy</v>
      </c>
    </row>
    <row r="4877" spans="1:16">
      <c r="A4877" t="s">
        <v>6669</v>
      </c>
      <c r="B4877" t="s">
        <v>6649</v>
      </c>
      <c r="C4877" t="s">
        <v>229</v>
      </c>
      <c r="D4877">
        <v>1977</v>
      </c>
      <c r="E4877" t="s">
        <v>15</v>
      </c>
      <c r="F4877" t="s">
        <v>16</v>
      </c>
      <c r="G4877" t="s">
        <v>17</v>
      </c>
      <c r="H4877" t="s">
        <v>18</v>
      </c>
      <c r="I4877">
        <v>69.480999999999995</v>
      </c>
      <c r="J4877" t="s">
        <v>19</v>
      </c>
      <c r="K4877" t="s">
        <v>6670</v>
      </c>
      <c r="L4877" t="s">
        <v>21</v>
      </c>
      <c r="M4877" t="str">
        <f t="shared" si="228"/>
        <v>OK</v>
      </c>
      <c r="N4877" t="str">
        <f t="shared" si="229"/>
        <v>1970s</v>
      </c>
      <c r="O4877" t="str">
        <f t="shared" si="230"/>
        <v>Medium</v>
      </c>
      <c r="P4877" t="str">
        <f>VLOOKUP(E4877,calculated_fields!$F$4:$G$6,2,FALSE)</f>
        <v>Health</v>
      </c>
    </row>
    <row r="4878" spans="1:16">
      <c r="A4878" t="s">
        <v>6671</v>
      </c>
      <c r="B4878" t="s">
        <v>6649</v>
      </c>
      <c r="C4878" t="s">
        <v>229</v>
      </c>
      <c r="D4878">
        <v>1977</v>
      </c>
      <c r="E4878" t="s">
        <v>23</v>
      </c>
      <c r="F4878" t="s">
        <v>24</v>
      </c>
      <c r="G4878" t="s">
        <v>25</v>
      </c>
      <c r="H4878" t="s">
        <v>26</v>
      </c>
      <c r="I4878">
        <v>2873520</v>
      </c>
      <c r="J4878" t="s">
        <v>27</v>
      </c>
      <c r="K4878" t="s">
        <v>6670</v>
      </c>
      <c r="L4878" t="s">
        <v>21</v>
      </c>
      <c r="M4878" t="str">
        <f t="shared" si="228"/>
        <v>OK</v>
      </c>
      <c r="N4878" t="str">
        <f t="shared" si="229"/>
        <v>1970s</v>
      </c>
      <c r="O4878" t="str">
        <f t="shared" si="230"/>
        <v>N/A</v>
      </c>
      <c r="P4878" t="str">
        <f>VLOOKUP(E4878,calculated_fields!$F$4:$G$6,2,FALSE)</f>
        <v>Demographics</v>
      </c>
    </row>
    <row r="4879" spans="1:16">
      <c r="A4879" t="s">
        <v>6672</v>
      </c>
      <c r="B4879" t="s">
        <v>6649</v>
      </c>
      <c r="C4879" t="s">
        <v>229</v>
      </c>
      <c r="D4879">
        <v>1977</v>
      </c>
      <c r="E4879" t="s">
        <v>29</v>
      </c>
      <c r="F4879" t="s">
        <v>30</v>
      </c>
      <c r="G4879" t="s">
        <v>31</v>
      </c>
      <c r="H4879" t="s">
        <v>32</v>
      </c>
      <c r="I4879">
        <v>6504.3396629999997</v>
      </c>
      <c r="J4879" t="s">
        <v>33</v>
      </c>
      <c r="K4879" t="s">
        <v>6670</v>
      </c>
      <c r="L4879" t="s">
        <v>21</v>
      </c>
      <c r="M4879" t="str">
        <f t="shared" si="228"/>
        <v>OK</v>
      </c>
      <c r="N4879" t="str">
        <f t="shared" si="229"/>
        <v>1970s</v>
      </c>
      <c r="O4879" t="str">
        <f t="shared" si="230"/>
        <v>N/A</v>
      </c>
      <c r="P4879" t="str">
        <f>VLOOKUP(E4879,calculated_fields!$F$4:$G$6,2,FALSE)</f>
        <v>Economy</v>
      </c>
    </row>
    <row r="4880" spans="1:16">
      <c r="A4880" t="s">
        <v>6673</v>
      </c>
      <c r="B4880" t="s">
        <v>6649</v>
      </c>
      <c r="C4880" t="s">
        <v>229</v>
      </c>
      <c r="D4880">
        <v>1982</v>
      </c>
      <c r="E4880" t="s">
        <v>15</v>
      </c>
      <c r="F4880" t="s">
        <v>16</v>
      </c>
      <c r="G4880" t="s">
        <v>17</v>
      </c>
      <c r="H4880" t="s">
        <v>18</v>
      </c>
      <c r="I4880">
        <v>70.805000000000007</v>
      </c>
      <c r="J4880" t="s">
        <v>19</v>
      </c>
      <c r="K4880" t="s">
        <v>6674</v>
      </c>
      <c r="L4880" t="s">
        <v>21</v>
      </c>
      <c r="M4880" t="str">
        <f t="shared" si="228"/>
        <v>OK</v>
      </c>
      <c r="N4880" t="str">
        <f t="shared" si="229"/>
        <v>1980s</v>
      </c>
      <c r="O4880" t="str">
        <f t="shared" si="230"/>
        <v>High</v>
      </c>
      <c r="P4880" t="str">
        <f>VLOOKUP(E4880,calculated_fields!$F$4:$G$6,2,FALSE)</f>
        <v>Health</v>
      </c>
    </row>
    <row r="4881" spans="1:16">
      <c r="A4881" t="s">
        <v>6675</v>
      </c>
      <c r="B4881" t="s">
        <v>6649</v>
      </c>
      <c r="C4881" t="s">
        <v>229</v>
      </c>
      <c r="D4881">
        <v>1982</v>
      </c>
      <c r="E4881" t="s">
        <v>23</v>
      </c>
      <c r="F4881" t="s">
        <v>24</v>
      </c>
      <c r="G4881" t="s">
        <v>25</v>
      </c>
      <c r="H4881" t="s">
        <v>26</v>
      </c>
      <c r="I4881">
        <v>2953997</v>
      </c>
      <c r="J4881" t="s">
        <v>27</v>
      </c>
      <c r="K4881" t="s">
        <v>6674</v>
      </c>
      <c r="L4881" t="s">
        <v>21</v>
      </c>
      <c r="M4881" t="str">
        <f t="shared" si="228"/>
        <v>OK</v>
      </c>
      <c r="N4881" t="str">
        <f t="shared" si="229"/>
        <v>1980s</v>
      </c>
      <c r="O4881" t="str">
        <f t="shared" si="230"/>
        <v>N/A</v>
      </c>
      <c r="P4881" t="str">
        <f>VLOOKUP(E4881,calculated_fields!$F$4:$G$6,2,FALSE)</f>
        <v>Demographics</v>
      </c>
    </row>
    <row r="4882" spans="1:16">
      <c r="A4882" t="s">
        <v>6676</v>
      </c>
      <c r="B4882" t="s">
        <v>6649</v>
      </c>
      <c r="C4882" t="s">
        <v>229</v>
      </c>
      <c r="D4882">
        <v>1982</v>
      </c>
      <c r="E4882" t="s">
        <v>29</v>
      </c>
      <c r="F4882" t="s">
        <v>30</v>
      </c>
      <c r="G4882" t="s">
        <v>31</v>
      </c>
      <c r="H4882" t="s">
        <v>32</v>
      </c>
      <c r="I4882">
        <v>6920.2230509999999</v>
      </c>
      <c r="J4882" t="s">
        <v>33</v>
      </c>
      <c r="K4882" t="s">
        <v>6674</v>
      </c>
      <c r="L4882" t="s">
        <v>21</v>
      </c>
      <c r="M4882" t="str">
        <f t="shared" si="228"/>
        <v>OK</v>
      </c>
      <c r="N4882" t="str">
        <f t="shared" si="229"/>
        <v>1980s</v>
      </c>
      <c r="O4882" t="str">
        <f t="shared" si="230"/>
        <v>N/A</v>
      </c>
      <c r="P4882" t="str">
        <f>VLOOKUP(E4882,calculated_fields!$F$4:$G$6,2,FALSE)</f>
        <v>Economy</v>
      </c>
    </row>
    <row r="4883" spans="1:16">
      <c r="A4883" t="s">
        <v>6677</v>
      </c>
      <c r="B4883" t="s">
        <v>6649</v>
      </c>
      <c r="C4883" t="s">
        <v>229</v>
      </c>
      <c r="D4883">
        <v>1987</v>
      </c>
      <c r="E4883" t="s">
        <v>15</v>
      </c>
      <c r="F4883" t="s">
        <v>16</v>
      </c>
      <c r="G4883" t="s">
        <v>17</v>
      </c>
      <c r="H4883" t="s">
        <v>18</v>
      </c>
      <c r="I4883">
        <v>71.918000000000006</v>
      </c>
      <c r="J4883" t="s">
        <v>19</v>
      </c>
      <c r="K4883" t="s">
        <v>6678</v>
      </c>
      <c r="L4883" t="s">
        <v>21</v>
      </c>
      <c r="M4883" t="str">
        <f t="shared" si="228"/>
        <v>OK</v>
      </c>
      <c r="N4883" t="str">
        <f t="shared" si="229"/>
        <v>1980s</v>
      </c>
      <c r="O4883" t="str">
        <f t="shared" si="230"/>
        <v>High</v>
      </c>
      <c r="P4883" t="str">
        <f>VLOOKUP(E4883,calculated_fields!$F$4:$G$6,2,FALSE)</f>
        <v>Health</v>
      </c>
    </row>
    <row r="4884" spans="1:16">
      <c r="A4884" t="s">
        <v>6679</v>
      </c>
      <c r="B4884" t="s">
        <v>6649</v>
      </c>
      <c r="C4884" t="s">
        <v>229</v>
      </c>
      <c r="D4884">
        <v>1987</v>
      </c>
      <c r="E4884" t="s">
        <v>23</v>
      </c>
      <c r="F4884" t="s">
        <v>24</v>
      </c>
      <c r="G4884" t="s">
        <v>25</v>
      </c>
      <c r="H4884" t="s">
        <v>26</v>
      </c>
      <c r="I4884">
        <v>3045153</v>
      </c>
      <c r="J4884" t="s">
        <v>27</v>
      </c>
      <c r="K4884" t="s">
        <v>6678</v>
      </c>
      <c r="L4884" t="s">
        <v>21</v>
      </c>
      <c r="M4884" t="str">
        <f t="shared" si="228"/>
        <v>OK</v>
      </c>
      <c r="N4884" t="str">
        <f t="shared" si="229"/>
        <v>1980s</v>
      </c>
      <c r="O4884" t="str">
        <f t="shared" si="230"/>
        <v>N/A</v>
      </c>
      <c r="P4884" t="str">
        <f>VLOOKUP(E4884,calculated_fields!$F$4:$G$6,2,FALSE)</f>
        <v>Demographics</v>
      </c>
    </row>
    <row r="4885" spans="1:16">
      <c r="A4885" t="s">
        <v>6680</v>
      </c>
      <c r="B4885" t="s">
        <v>6649</v>
      </c>
      <c r="C4885" t="s">
        <v>229</v>
      </c>
      <c r="D4885">
        <v>1987</v>
      </c>
      <c r="E4885" t="s">
        <v>29</v>
      </c>
      <c r="F4885" t="s">
        <v>30</v>
      </c>
      <c r="G4885" t="s">
        <v>31</v>
      </c>
      <c r="H4885" t="s">
        <v>32</v>
      </c>
      <c r="I4885">
        <v>7452.3989689999999</v>
      </c>
      <c r="J4885" t="s">
        <v>33</v>
      </c>
      <c r="K4885" t="s">
        <v>6678</v>
      </c>
      <c r="L4885" t="s">
        <v>21</v>
      </c>
      <c r="M4885" t="str">
        <f t="shared" si="228"/>
        <v>OK</v>
      </c>
      <c r="N4885" t="str">
        <f t="shared" si="229"/>
        <v>1980s</v>
      </c>
      <c r="O4885" t="str">
        <f t="shared" si="230"/>
        <v>N/A</v>
      </c>
      <c r="P4885" t="str">
        <f>VLOOKUP(E4885,calculated_fields!$F$4:$G$6,2,FALSE)</f>
        <v>Economy</v>
      </c>
    </row>
    <row r="4886" spans="1:16">
      <c r="A4886" t="s">
        <v>6681</v>
      </c>
      <c r="B4886" t="s">
        <v>6649</v>
      </c>
      <c r="C4886" t="s">
        <v>229</v>
      </c>
      <c r="D4886">
        <v>1992</v>
      </c>
      <c r="E4886" t="s">
        <v>15</v>
      </c>
      <c r="F4886" t="s">
        <v>16</v>
      </c>
      <c r="G4886" t="s">
        <v>17</v>
      </c>
      <c r="H4886" t="s">
        <v>18</v>
      </c>
      <c r="I4886">
        <v>72.751999999999995</v>
      </c>
      <c r="J4886" t="s">
        <v>19</v>
      </c>
      <c r="K4886" t="s">
        <v>6682</v>
      </c>
      <c r="L4886" t="s">
        <v>21</v>
      </c>
      <c r="M4886" t="str">
        <f t="shared" si="228"/>
        <v>OK</v>
      </c>
      <c r="N4886" t="str">
        <f t="shared" si="229"/>
        <v>1990s</v>
      </c>
      <c r="O4886" t="str">
        <f t="shared" si="230"/>
        <v>High</v>
      </c>
      <c r="P4886" t="str">
        <f>VLOOKUP(E4886,calculated_fields!$F$4:$G$6,2,FALSE)</f>
        <v>Health</v>
      </c>
    </row>
    <row r="4887" spans="1:16">
      <c r="A4887" t="s">
        <v>6683</v>
      </c>
      <c r="B4887" t="s">
        <v>6649</v>
      </c>
      <c r="C4887" t="s">
        <v>229</v>
      </c>
      <c r="D4887">
        <v>1992</v>
      </c>
      <c r="E4887" t="s">
        <v>23</v>
      </c>
      <c r="F4887" t="s">
        <v>24</v>
      </c>
      <c r="G4887" t="s">
        <v>25</v>
      </c>
      <c r="H4887" t="s">
        <v>26</v>
      </c>
      <c r="I4887">
        <v>3149262</v>
      </c>
      <c r="J4887" t="s">
        <v>27</v>
      </c>
      <c r="K4887" t="s">
        <v>6682</v>
      </c>
      <c r="L4887" t="s">
        <v>21</v>
      </c>
      <c r="M4887" t="str">
        <f t="shared" si="228"/>
        <v>OK</v>
      </c>
      <c r="N4887" t="str">
        <f t="shared" si="229"/>
        <v>1990s</v>
      </c>
      <c r="O4887" t="str">
        <f t="shared" si="230"/>
        <v>N/A</v>
      </c>
      <c r="P4887" t="str">
        <f>VLOOKUP(E4887,calculated_fields!$F$4:$G$6,2,FALSE)</f>
        <v>Demographics</v>
      </c>
    </row>
    <row r="4888" spans="1:16">
      <c r="A4888" t="s">
        <v>6684</v>
      </c>
      <c r="B4888" t="s">
        <v>6649</v>
      </c>
      <c r="C4888" t="s">
        <v>229</v>
      </c>
      <c r="D4888">
        <v>1992</v>
      </c>
      <c r="E4888" t="s">
        <v>29</v>
      </c>
      <c r="F4888" t="s">
        <v>30</v>
      </c>
      <c r="G4888" t="s">
        <v>31</v>
      </c>
      <c r="H4888" t="s">
        <v>32</v>
      </c>
      <c r="I4888">
        <v>8137.0047750000003</v>
      </c>
      <c r="J4888" t="s">
        <v>33</v>
      </c>
      <c r="K4888" t="s">
        <v>6682</v>
      </c>
      <c r="L4888" t="s">
        <v>21</v>
      </c>
      <c r="M4888" t="str">
        <f t="shared" si="228"/>
        <v>OK</v>
      </c>
      <c r="N4888" t="str">
        <f t="shared" si="229"/>
        <v>1990s</v>
      </c>
      <c r="O4888" t="str">
        <f t="shared" si="230"/>
        <v>N/A</v>
      </c>
      <c r="P4888" t="str">
        <f>VLOOKUP(E4888,calculated_fields!$F$4:$G$6,2,FALSE)</f>
        <v>Economy</v>
      </c>
    </row>
    <row r="4889" spans="1:16">
      <c r="A4889" t="s">
        <v>6685</v>
      </c>
      <c r="B4889" t="s">
        <v>6649</v>
      </c>
      <c r="C4889" t="s">
        <v>229</v>
      </c>
      <c r="D4889">
        <v>1997</v>
      </c>
      <c r="E4889" t="s">
        <v>15</v>
      </c>
      <c r="F4889" t="s">
        <v>16</v>
      </c>
      <c r="G4889" t="s">
        <v>17</v>
      </c>
      <c r="H4889" t="s">
        <v>18</v>
      </c>
      <c r="I4889">
        <v>74.222999999999999</v>
      </c>
      <c r="J4889" t="s">
        <v>19</v>
      </c>
      <c r="K4889" t="s">
        <v>6686</v>
      </c>
      <c r="L4889" t="s">
        <v>21</v>
      </c>
      <c r="M4889" t="str">
        <f t="shared" si="228"/>
        <v>OK</v>
      </c>
      <c r="N4889" t="str">
        <f t="shared" si="229"/>
        <v>1990s</v>
      </c>
      <c r="O4889" t="str">
        <f t="shared" si="230"/>
        <v>High</v>
      </c>
      <c r="P4889" t="str">
        <f>VLOOKUP(E4889,calculated_fields!$F$4:$G$6,2,FALSE)</f>
        <v>Health</v>
      </c>
    </row>
    <row r="4890" spans="1:16">
      <c r="A4890" t="s">
        <v>6687</v>
      </c>
      <c r="B4890" t="s">
        <v>6649</v>
      </c>
      <c r="C4890" t="s">
        <v>229</v>
      </c>
      <c r="D4890">
        <v>1997</v>
      </c>
      <c r="E4890" t="s">
        <v>23</v>
      </c>
      <c r="F4890" t="s">
        <v>24</v>
      </c>
      <c r="G4890" t="s">
        <v>25</v>
      </c>
      <c r="H4890" t="s">
        <v>26</v>
      </c>
      <c r="I4890">
        <v>3262838</v>
      </c>
      <c r="J4890" t="s">
        <v>27</v>
      </c>
      <c r="K4890" t="s">
        <v>6686</v>
      </c>
      <c r="L4890" t="s">
        <v>21</v>
      </c>
      <c r="M4890" t="str">
        <f t="shared" si="228"/>
        <v>OK</v>
      </c>
      <c r="N4890" t="str">
        <f t="shared" si="229"/>
        <v>1990s</v>
      </c>
      <c r="O4890" t="str">
        <f t="shared" si="230"/>
        <v>N/A</v>
      </c>
      <c r="P4890" t="str">
        <f>VLOOKUP(E4890,calculated_fields!$F$4:$G$6,2,FALSE)</f>
        <v>Demographics</v>
      </c>
    </row>
    <row r="4891" spans="1:16">
      <c r="A4891" t="s">
        <v>6688</v>
      </c>
      <c r="B4891" t="s">
        <v>6649</v>
      </c>
      <c r="C4891" t="s">
        <v>229</v>
      </c>
      <c r="D4891">
        <v>1997</v>
      </c>
      <c r="E4891" t="s">
        <v>29</v>
      </c>
      <c r="F4891" t="s">
        <v>30</v>
      </c>
      <c r="G4891" t="s">
        <v>31</v>
      </c>
      <c r="H4891" t="s">
        <v>32</v>
      </c>
      <c r="I4891">
        <v>9230.2407079999994</v>
      </c>
      <c r="J4891" t="s">
        <v>33</v>
      </c>
      <c r="K4891" t="s">
        <v>6686</v>
      </c>
      <c r="L4891" t="s">
        <v>21</v>
      </c>
      <c r="M4891" t="str">
        <f t="shared" si="228"/>
        <v>OK</v>
      </c>
      <c r="N4891" t="str">
        <f t="shared" si="229"/>
        <v>1990s</v>
      </c>
      <c r="O4891" t="str">
        <f t="shared" si="230"/>
        <v>N/A</v>
      </c>
      <c r="P4891" t="str">
        <f>VLOOKUP(E4891,calculated_fields!$F$4:$G$6,2,FALSE)</f>
        <v>Economy</v>
      </c>
    </row>
    <row r="4892" spans="1:16">
      <c r="A4892" t="s">
        <v>6689</v>
      </c>
      <c r="B4892" t="s">
        <v>6649</v>
      </c>
      <c r="C4892" t="s">
        <v>229</v>
      </c>
      <c r="D4892">
        <v>2002</v>
      </c>
      <c r="E4892" t="s">
        <v>15</v>
      </c>
      <c r="F4892" t="s">
        <v>16</v>
      </c>
      <c r="G4892" t="s">
        <v>17</v>
      </c>
      <c r="H4892" t="s">
        <v>18</v>
      </c>
      <c r="I4892">
        <v>75.307000000000002</v>
      </c>
      <c r="J4892" t="s">
        <v>19</v>
      </c>
      <c r="K4892" t="s">
        <v>6690</v>
      </c>
      <c r="L4892" t="s">
        <v>21</v>
      </c>
      <c r="M4892" t="str">
        <f t="shared" si="228"/>
        <v>OK</v>
      </c>
      <c r="N4892" t="str">
        <f t="shared" si="229"/>
        <v>2000s</v>
      </c>
      <c r="O4892" t="str">
        <f t="shared" si="230"/>
        <v>High</v>
      </c>
      <c r="P4892" t="str">
        <f>VLOOKUP(E4892,calculated_fields!$F$4:$G$6,2,FALSE)</f>
        <v>Health</v>
      </c>
    </row>
    <row r="4893" spans="1:16">
      <c r="A4893" t="s">
        <v>6691</v>
      </c>
      <c r="B4893" t="s">
        <v>6649</v>
      </c>
      <c r="C4893" t="s">
        <v>229</v>
      </c>
      <c r="D4893">
        <v>2002</v>
      </c>
      <c r="E4893" t="s">
        <v>23</v>
      </c>
      <c r="F4893" t="s">
        <v>24</v>
      </c>
      <c r="G4893" t="s">
        <v>25</v>
      </c>
      <c r="H4893" t="s">
        <v>26</v>
      </c>
      <c r="I4893">
        <v>3363085</v>
      </c>
      <c r="J4893" t="s">
        <v>27</v>
      </c>
      <c r="K4893" t="s">
        <v>6690</v>
      </c>
      <c r="L4893" t="s">
        <v>21</v>
      </c>
      <c r="M4893" t="str">
        <f t="shared" si="228"/>
        <v>OK</v>
      </c>
      <c r="N4893" t="str">
        <f t="shared" si="229"/>
        <v>2000s</v>
      </c>
      <c r="O4893" t="str">
        <f t="shared" si="230"/>
        <v>N/A</v>
      </c>
      <c r="P4893" t="str">
        <f>VLOOKUP(E4893,calculated_fields!$F$4:$G$6,2,FALSE)</f>
        <v>Demographics</v>
      </c>
    </row>
    <row r="4894" spans="1:16">
      <c r="A4894" t="s">
        <v>6692</v>
      </c>
      <c r="B4894" t="s">
        <v>6649</v>
      </c>
      <c r="C4894" t="s">
        <v>229</v>
      </c>
      <c r="D4894">
        <v>2002</v>
      </c>
      <c r="E4894" t="s">
        <v>29</v>
      </c>
      <c r="F4894" t="s">
        <v>30</v>
      </c>
      <c r="G4894" t="s">
        <v>31</v>
      </c>
      <c r="H4894" t="s">
        <v>32</v>
      </c>
      <c r="I4894">
        <v>7727.0020039999999</v>
      </c>
      <c r="J4894" t="s">
        <v>33</v>
      </c>
      <c r="K4894" t="s">
        <v>6690</v>
      </c>
      <c r="L4894" t="s">
        <v>21</v>
      </c>
      <c r="M4894" t="str">
        <f t="shared" si="228"/>
        <v>OK</v>
      </c>
      <c r="N4894" t="str">
        <f t="shared" si="229"/>
        <v>2000s</v>
      </c>
      <c r="O4894" t="str">
        <f t="shared" si="230"/>
        <v>N/A</v>
      </c>
      <c r="P4894" t="str">
        <f>VLOOKUP(E4894,calculated_fields!$F$4:$G$6,2,FALSE)</f>
        <v>Economy</v>
      </c>
    </row>
    <row r="4895" spans="1:16">
      <c r="A4895" t="s">
        <v>6693</v>
      </c>
      <c r="B4895" t="s">
        <v>6649</v>
      </c>
      <c r="C4895" t="s">
        <v>229</v>
      </c>
      <c r="D4895">
        <v>2007</v>
      </c>
      <c r="E4895" t="s">
        <v>15</v>
      </c>
      <c r="F4895" t="s">
        <v>16</v>
      </c>
      <c r="G4895" t="s">
        <v>17</v>
      </c>
      <c r="H4895" t="s">
        <v>18</v>
      </c>
      <c r="I4895">
        <v>76.384</v>
      </c>
      <c r="J4895" t="s">
        <v>19</v>
      </c>
      <c r="K4895" t="s">
        <v>6694</v>
      </c>
      <c r="L4895" t="s">
        <v>21</v>
      </c>
      <c r="M4895" t="str">
        <f t="shared" si="228"/>
        <v>OK</v>
      </c>
      <c r="N4895" t="str">
        <f t="shared" si="229"/>
        <v>2000s</v>
      </c>
      <c r="O4895" t="str">
        <f t="shared" si="230"/>
        <v>High</v>
      </c>
      <c r="P4895" t="str">
        <f>VLOOKUP(E4895,calculated_fields!$F$4:$G$6,2,FALSE)</f>
        <v>Health</v>
      </c>
    </row>
    <row r="4896" spans="1:16">
      <c r="A4896" t="s">
        <v>6695</v>
      </c>
      <c r="B4896" t="s">
        <v>6649</v>
      </c>
      <c r="C4896" t="s">
        <v>229</v>
      </c>
      <c r="D4896">
        <v>2007</v>
      </c>
      <c r="E4896" t="s">
        <v>23</v>
      </c>
      <c r="F4896" t="s">
        <v>24</v>
      </c>
      <c r="G4896" t="s">
        <v>25</v>
      </c>
      <c r="H4896" t="s">
        <v>26</v>
      </c>
      <c r="I4896">
        <v>3447496</v>
      </c>
      <c r="J4896" t="s">
        <v>27</v>
      </c>
      <c r="K4896" t="s">
        <v>6694</v>
      </c>
      <c r="L4896" t="s">
        <v>21</v>
      </c>
      <c r="M4896" t="str">
        <f t="shared" si="228"/>
        <v>OK</v>
      </c>
      <c r="N4896" t="str">
        <f t="shared" si="229"/>
        <v>2000s</v>
      </c>
      <c r="O4896" t="str">
        <f t="shared" si="230"/>
        <v>N/A</v>
      </c>
      <c r="P4896" t="str">
        <f>VLOOKUP(E4896,calculated_fields!$F$4:$G$6,2,FALSE)</f>
        <v>Demographics</v>
      </c>
    </row>
    <row r="4897" spans="1:16">
      <c r="A4897" t="s">
        <v>6696</v>
      </c>
      <c r="B4897" t="s">
        <v>6649</v>
      </c>
      <c r="C4897" t="s">
        <v>229</v>
      </c>
      <c r="D4897">
        <v>2007</v>
      </c>
      <c r="E4897" t="s">
        <v>29</v>
      </c>
      <c r="F4897" t="s">
        <v>30</v>
      </c>
      <c r="G4897" t="s">
        <v>31</v>
      </c>
      <c r="H4897" t="s">
        <v>32</v>
      </c>
      <c r="I4897">
        <v>10611.46299</v>
      </c>
      <c r="J4897" t="s">
        <v>33</v>
      </c>
      <c r="K4897" t="s">
        <v>6694</v>
      </c>
      <c r="L4897" t="s">
        <v>21</v>
      </c>
      <c r="M4897" t="str">
        <f t="shared" si="228"/>
        <v>OK</v>
      </c>
      <c r="N4897" t="str">
        <f t="shared" si="229"/>
        <v>2000s</v>
      </c>
      <c r="O4897" t="str">
        <f t="shared" si="230"/>
        <v>N/A</v>
      </c>
      <c r="P4897" t="str">
        <f>VLOOKUP(E4897,calculated_fields!$F$4:$G$6,2,FALSE)</f>
        <v>Economy</v>
      </c>
    </row>
    <row r="4898" spans="1:16">
      <c r="A4898" t="s">
        <v>6697</v>
      </c>
      <c r="B4898" t="s">
        <v>6698</v>
      </c>
      <c r="C4898" t="s">
        <v>229</v>
      </c>
      <c r="D4898">
        <v>1952</v>
      </c>
      <c r="E4898" t="s">
        <v>15</v>
      </c>
      <c r="F4898" t="s">
        <v>16</v>
      </c>
      <c r="G4898" t="s">
        <v>17</v>
      </c>
      <c r="H4898" t="s">
        <v>18</v>
      </c>
      <c r="I4898">
        <v>55.088000000000001</v>
      </c>
      <c r="J4898" t="s">
        <v>19</v>
      </c>
      <c r="K4898" t="s">
        <v>6699</v>
      </c>
      <c r="L4898" t="s">
        <v>21</v>
      </c>
      <c r="M4898" t="str">
        <f t="shared" si="228"/>
        <v>OK</v>
      </c>
      <c r="N4898" t="str">
        <f t="shared" si="229"/>
        <v>1950s</v>
      </c>
      <c r="O4898" t="str">
        <f t="shared" si="230"/>
        <v>Medium</v>
      </c>
      <c r="P4898" t="str">
        <f>VLOOKUP(E4898,calculated_fields!$F$4:$G$6,2,FALSE)</f>
        <v>Health</v>
      </c>
    </row>
    <row r="4899" spans="1:16">
      <c r="A4899" t="s">
        <v>6700</v>
      </c>
      <c r="B4899" t="s">
        <v>6698</v>
      </c>
      <c r="C4899" t="s">
        <v>229</v>
      </c>
      <c r="D4899">
        <v>1952</v>
      </c>
      <c r="E4899" t="s">
        <v>23</v>
      </c>
      <c r="F4899" t="s">
        <v>24</v>
      </c>
      <c r="G4899" t="s">
        <v>25</v>
      </c>
      <c r="H4899" t="s">
        <v>26</v>
      </c>
      <c r="I4899">
        <v>5439568</v>
      </c>
      <c r="J4899" t="s">
        <v>27</v>
      </c>
      <c r="K4899" t="s">
        <v>6699</v>
      </c>
      <c r="L4899" t="s">
        <v>21</v>
      </c>
      <c r="M4899" t="str">
        <f t="shared" si="228"/>
        <v>OK</v>
      </c>
      <c r="N4899" t="str">
        <f t="shared" si="229"/>
        <v>1950s</v>
      </c>
      <c r="O4899" t="str">
        <f t="shared" si="230"/>
        <v>N/A</v>
      </c>
      <c r="P4899" t="str">
        <f>VLOOKUP(E4899,calculated_fields!$F$4:$G$6,2,FALSE)</f>
        <v>Demographics</v>
      </c>
    </row>
    <row r="4900" spans="1:16">
      <c r="A4900" t="s">
        <v>6701</v>
      </c>
      <c r="B4900" t="s">
        <v>6698</v>
      </c>
      <c r="C4900" t="s">
        <v>229</v>
      </c>
      <c r="D4900">
        <v>1952</v>
      </c>
      <c r="E4900" t="s">
        <v>29</v>
      </c>
      <c r="F4900" t="s">
        <v>30</v>
      </c>
      <c r="G4900" t="s">
        <v>31</v>
      </c>
      <c r="H4900" t="s">
        <v>32</v>
      </c>
      <c r="I4900">
        <v>7689.7997610000002</v>
      </c>
      <c r="J4900" t="s">
        <v>33</v>
      </c>
      <c r="K4900" t="s">
        <v>6699</v>
      </c>
      <c r="L4900" t="s">
        <v>21</v>
      </c>
      <c r="M4900" t="str">
        <f t="shared" si="228"/>
        <v>OK</v>
      </c>
      <c r="N4900" t="str">
        <f t="shared" si="229"/>
        <v>1950s</v>
      </c>
      <c r="O4900" t="str">
        <f t="shared" si="230"/>
        <v>N/A</v>
      </c>
      <c r="P4900" t="str">
        <f>VLOOKUP(E4900,calculated_fields!$F$4:$G$6,2,FALSE)</f>
        <v>Economy</v>
      </c>
    </row>
    <row r="4901" spans="1:16">
      <c r="A4901" t="s">
        <v>6702</v>
      </c>
      <c r="B4901" t="s">
        <v>6698</v>
      </c>
      <c r="C4901" t="s">
        <v>229</v>
      </c>
      <c r="D4901">
        <v>1957</v>
      </c>
      <c r="E4901" t="s">
        <v>15</v>
      </c>
      <c r="F4901" t="s">
        <v>16</v>
      </c>
      <c r="G4901" t="s">
        <v>17</v>
      </c>
      <c r="H4901" t="s">
        <v>18</v>
      </c>
      <c r="I4901">
        <v>57.906999999999996</v>
      </c>
      <c r="J4901" t="s">
        <v>19</v>
      </c>
      <c r="K4901" t="s">
        <v>6703</v>
      </c>
      <c r="L4901" t="s">
        <v>21</v>
      </c>
      <c r="M4901" t="str">
        <f t="shared" si="228"/>
        <v>OK</v>
      </c>
      <c r="N4901" t="str">
        <f t="shared" si="229"/>
        <v>1950s</v>
      </c>
      <c r="O4901" t="str">
        <f t="shared" si="230"/>
        <v>Medium</v>
      </c>
      <c r="P4901" t="str">
        <f>VLOOKUP(E4901,calculated_fields!$F$4:$G$6,2,FALSE)</f>
        <v>Health</v>
      </c>
    </row>
    <row r="4902" spans="1:16">
      <c r="A4902" t="s">
        <v>6704</v>
      </c>
      <c r="B4902" t="s">
        <v>6698</v>
      </c>
      <c r="C4902" t="s">
        <v>229</v>
      </c>
      <c r="D4902">
        <v>1957</v>
      </c>
      <c r="E4902" t="s">
        <v>23</v>
      </c>
      <c r="F4902" t="s">
        <v>24</v>
      </c>
      <c r="G4902" t="s">
        <v>25</v>
      </c>
      <c r="H4902" t="s">
        <v>26</v>
      </c>
      <c r="I4902">
        <v>6702668</v>
      </c>
      <c r="J4902" t="s">
        <v>27</v>
      </c>
      <c r="K4902" t="s">
        <v>6703</v>
      </c>
      <c r="L4902" t="s">
        <v>21</v>
      </c>
      <c r="M4902" t="str">
        <f t="shared" si="228"/>
        <v>OK</v>
      </c>
      <c r="N4902" t="str">
        <f t="shared" si="229"/>
        <v>1950s</v>
      </c>
      <c r="O4902" t="str">
        <f t="shared" si="230"/>
        <v>N/A</v>
      </c>
      <c r="P4902" t="str">
        <f>VLOOKUP(E4902,calculated_fields!$F$4:$G$6,2,FALSE)</f>
        <v>Demographics</v>
      </c>
    </row>
    <row r="4903" spans="1:16">
      <c r="A4903" t="s">
        <v>6705</v>
      </c>
      <c r="B4903" t="s">
        <v>6698</v>
      </c>
      <c r="C4903" t="s">
        <v>229</v>
      </c>
      <c r="D4903">
        <v>1957</v>
      </c>
      <c r="E4903" t="s">
        <v>29</v>
      </c>
      <c r="F4903" t="s">
        <v>30</v>
      </c>
      <c r="G4903" t="s">
        <v>31</v>
      </c>
      <c r="H4903" t="s">
        <v>32</v>
      </c>
      <c r="I4903">
        <v>9802.4665260000002</v>
      </c>
      <c r="J4903" t="s">
        <v>33</v>
      </c>
      <c r="K4903" t="s">
        <v>6703</v>
      </c>
      <c r="L4903" t="s">
        <v>21</v>
      </c>
      <c r="M4903" t="str">
        <f t="shared" si="228"/>
        <v>OK</v>
      </c>
      <c r="N4903" t="str">
        <f t="shared" si="229"/>
        <v>1950s</v>
      </c>
      <c r="O4903" t="str">
        <f t="shared" si="230"/>
        <v>N/A</v>
      </c>
      <c r="P4903" t="str">
        <f>VLOOKUP(E4903,calculated_fields!$F$4:$G$6,2,FALSE)</f>
        <v>Economy</v>
      </c>
    </row>
    <row r="4904" spans="1:16">
      <c r="A4904" t="s">
        <v>6706</v>
      </c>
      <c r="B4904" t="s">
        <v>6698</v>
      </c>
      <c r="C4904" t="s">
        <v>229</v>
      </c>
      <c r="D4904">
        <v>1962</v>
      </c>
      <c r="E4904" t="s">
        <v>15</v>
      </c>
      <c r="F4904" t="s">
        <v>16</v>
      </c>
      <c r="G4904" t="s">
        <v>17</v>
      </c>
      <c r="H4904" t="s">
        <v>18</v>
      </c>
      <c r="I4904">
        <v>60.77</v>
      </c>
      <c r="J4904" t="s">
        <v>19</v>
      </c>
      <c r="K4904" t="s">
        <v>6707</v>
      </c>
      <c r="L4904" t="s">
        <v>21</v>
      </c>
      <c r="M4904" t="str">
        <f t="shared" si="228"/>
        <v>OK</v>
      </c>
      <c r="N4904" t="str">
        <f t="shared" si="229"/>
        <v>1960s</v>
      </c>
      <c r="O4904" t="str">
        <f t="shared" si="230"/>
        <v>Medium</v>
      </c>
      <c r="P4904" t="str">
        <f>VLOOKUP(E4904,calculated_fields!$F$4:$G$6,2,FALSE)</f>
        <v>Health</v>
      </c>
    </row>
    <row r="4905" spans="1:16">
      <c r="A4905" t="s">
        <v>6708</v>
      </c>
      <c r="B4905" t="s">
        <v>6698</v>
      </c>
      <c r="C4905" t="s">
        <v>229</v>
      </c>
      <c r="D4905">
        <v>1962</v>
      </c>
      <c r="E4905" t="s">
        <v>23</v>
      </c>
      <c r="F4905" t="s">
        <v>24</v>
      </c>
      <c r="G4905" t="s">
        <v>25</v>
      </c>
      <c r="H4905" t="s">
        <v>26</v>
      </c>
      <c r="I4905">
        <v>8143375</v>
      </c>
      <c r="J4905" t="s">
        <v>27</v>
      </c>
      <c r="K4905" t="s">
        <v>6707</v>
      </c>
      <c r="L4905" t="s">
        <v>21</v>
      </c>
      <c r="M4905" t="str">
        <f t="shared" si="228"/>
        <v>OK</v>
      </c>
      <c r="N4905" t="str">
        <f t="shared" si="229"/>
        <v>1960s</v>
      </c>
      <c r="O4905" t="str">
        <f t="shared" si="230"/>
        <v>N/A</v>
      </c>
      <c r="P4905" t="str">
        <f>VLOOKUP(E4905,calculated_fields!$F$4:$G$6,2,FALSE)</f>
        <v>Demographics</v>
      </c>
    </row>
    <row r="4906" spans="1:16">
      <c r="A4906" t="s">
        <v>6709</v>
      </c>
      <c r="B4906" t="s">
        <v>6698</v>
      </c>
      <c r="C4906" t="s">
        <v>229</v>
      </c>
      <c r="D4906">
        <v>1962</v>
      </c>
      <c r="E4906" t="s">
        <v>29</v>
      </c>
      <c r="F4906" t="s">
        <v>30</v>
      </c>
      <c r="G4906" t="s">
        <v>31</v>
      </c>
      <c r="H4906" t="s">
        <v>32</v>
      </c>
      <c r="I4906">
        <v>8422.9741649999996</v>
      </c>
      <c r="J4906" t="s">
        <v>33</v>
      </c>
      <c r="K4906" t="s">
        <v>6707</v>
      </c>
      <c r="L4906" t="s">
        <v>21</v>
      </c>
      <c r="M4906" t="str">
        <f t="shared" si="228"/>
        <v>OK</v>
      </c>
      <c r="N4906" t="str">
        <f t="shared" si="229"/>
        <v>1960s</v>
      </c>
      <c r="O4906" t="str">
        <f t="shared" si="230"/>
        <v>N/A</v>
      </c>
      <c r="P4906" t="str">
        <f>VLOOKUP(E4906,calculated_fields!$F$4:$G$6,2,FALSE)</f>
        <v>Economy</v>
      </c>
    </row>
    <row r="4907" spans="1:16">
      <c r="A4907" t="s">
        <v>6710</v>
      </c>
      <c r="B4907" t="s">
        <v>6698</v>
      </c>
      <c r="C4907" t="s">
        <v>229</v>
      </c>
      <c r="D4907">
        <v>1967</v>
      </c>
      <c r="E4907" t="s">
        <v>15</v>
      </c>
      <c r="F4907" t="s">
        <v>16</v>
      </c>
      <c r="G4907" t="s">
        <v>17</v>
      </c>
      <c r="H4907" t="s">
        <v>18</v>
      </c>
      <c r="I4907">
        <v>63.478999999999999</v>
      </c>
      <c r="J4907" t="s">
        <v>19</v>
      </c>
      <c r="K4907" t="s">
        <v>6711</v>
      </c>
      <c r="L4907" t="s">
        <v>21</v>
      </c>
      <c r="M4907" t="str">
        <f t="shared" si="228"/>
        <v>OK</v>
      </c>
      <c r="N4907" t="str">
        <f t="shared" si="229"/>
        <v>1960s</v>
      </c>
      <c r="O4907" t="str">
        <f t="shared" si="230"/>
        <v>Medium</v>
      </c>
      <c r="P4907" t="str">
        <f>VLOOKUP(E4907,calculated_fields!$F$4:$G$6,2,FALSE)</f>
        <v>Health</v>
      </c>
    </row>
    <row r="4908" spans="1:16">
      <c r="A4908" t="s">
        <v>6712</v>
      </c>
      <c r="B4908" t="s">
        <v>6698</v>
      </c>
      <c r="C4908" t="s">
        <v>229</v>
      </c>
      <c r="D4908">
        <v>1967</v>
      </c>
      <c r="E4908" t="s">
        <v>23</v>
      </c>
      <c r="F4908" t="s">
        <v>24</v>
      </c>
      <c r="G4908" t="s">
        <v>25</v>
      </c>
      <c r="H4908" t="s">
        <v>26</v>
      </c>
      <c r="I4908">
        <v>9709552</v>
      </c>
      <c r="J4908" t="s">
        <v>27</v>
      </c>
      <c r="K4908" t="s">
        <v>6711</v>
      </c>
      <c r="L4908" t="s">
        <v>21</v>
      </c>
      <c r="M4908" t="str">
        <f t="shared" si="228"/>
        <v>OK</v>
      </c>
      <c r="N4908" t="str">
        <f t="shared" si="229"/>
        <v>1960s</v>
      </c>
      <c r="O4908" t="str">
        <f t="shared" si="230"/>
        <v>N/A</v>
      </c>
      <c r="P4908" t="str">
        <f>VLOOKUP(E4908,calculated_fields!$F$4:$G$6,2,FALSE)</f>
        <v>Demographics</v>
      </c>
    </row>
    <row r="4909" spans="1:16">
      <c r="A4909" t="s">
        <v>6713</v>
      </c>
      <c r="B4909" t="s">
        <v>6698</v>
      </c>
      <c r="C4909" t="s">
        <v>229</v>
      </c>
      <c r="D4909">
        <v>1967</v>
      </c>
      <c r="E4909" t="s">
        <v>29</v>
      </c>
      <c r="F4909" t="s">
        <v>30</v>
      </c>
      <c r="G4909" t="s">
        <v>31</v>
      </c>
      <c r="H4909" t="s">
        <v>32</v>
      </c>
      <c r="I4909">
        <v>9541.4741880000001</v>
      </c>
      <c r="J4909" t="s">
        <v>33</v>
      </c>
      <c r="K4909" t="s">
        <v>6711</v>
      </c>
      <c r="L4909" t="s">
        <v>21</v>
      </c>
      <c r="M4909" t="str">
        <f t="shared" si="228"/>
        <v>OK</v>
      </c>
      <c r="N4909" t="str">
        <f t="shared" si="229"/>
        <v>1960s</v>
      </c>
      <c r="O4909" t="str">
        <f t="shared" si="230"/>
        <v>N/A</v>
      </c>
      <c r="P4909" t="str">
        <f>VLOOKUP(E4909,calculated_fields!$F$4:$G$6,2,FALSE)</f>
        <v>Economy</v>
      </c>
    </row>
    <row r="4910" spans="1:16">
      <c r="A4910" t="s">
        <v>6714</v>
      </c>
      <c r="B4910" t="s">
        <v>6698</v>
      </c>
      <c r="C4910" t="s">
        <v>229</v>
      </c>
      <c r="D4910">
        <v>1972</v>
      </c>
      <c r="E4910" t="s">
        <v>15</v>
      </c>
      <c r="F4910" t="s">
        <v>16</v>
      </c>
      <c r="G4910" t="s">
        <v>17</v>
      </c>
      <c r="H4910" t="s">
        <v>18</v>
      </c>
      <c r="I4910">
        <v>65.712000000000003</v>
      </c>
      <c r="J4910" t="s">
        <v>19</v>
      </c>
      <c r="K4910" t="s">
        <v>6715</v>
      </c>
      <c r="L4910" t="s">
        <v>21</v>
      </c>
      <c r="M4910" t="str">
        <f t="shared" si="228"/>
        <v>OK</v>
      </c>
      <c r="N4910" t="str">
        <f t="shared" si="229"/>
        <v>1970s</v>
      </c>
      <c r="O4910" t="str">
        <f t="shared" si="230"/>
        <v>Medium</v>
      </c>
      <c r="P4910" t="str">
        <f>VLOOKUP(E4910,calculated_fields!$F$4:$G$6,2,FALSE)</f>
        <v>Health</v>
      </c>
    </row>
    <row r="4911" spans="1:16">
      <c r="A4911" t="s">
        <v>6716</v>
      </c>
      <c r="B4911" t="s">
        <v>6698</v>
      </c>
      <c r="C4911" t="s">
        <v>229</v>
      </c>
      <c r="D4911">
        <v>1972</v>
      </c>
      <c r="E4911" t="s">
        <v>23</v>
      </c>
      <c r="F4911" t="s">
        <v>24</v>
      </c>
      <c r="G4911" t="s">
        <v>25</v>
      </c>
      <c r="H4911" t="s">
        <v>26</v>
      </c>
      <c r="I4911">
        <v>11515649</v>
      </c>
      <c r="J4911" t="s">
        <v>27</v>
      </c>
      <c r="K4911" t="s">
        <v>6715</v>
      </c>
      <c r="L4911" t="s">
        <v>21</v>
      </c>
      <c r="M4911" t="str">
        <f t="shared" si="228"/>
        <v>OK</v>
      </c>
      <c r="N4911" t="str">
        <f t="shared" si="229"/>
        <v>1970s</v>
      </c>
      <c r="O4911" t="str">
        <f t="shared" si="230"/>
        <v>N/A</v>
      </c>
      <c r="P4911" t="str">
        <f>VLOOKUP(E4911,calculated_fields!$F$4:$G$6,2,FALSE)</f>
        <v>Demographics</v>
      </c>
    </row>
    <row r="4912" spans="1:16">
      <c r="A4912" t="s">
        <v>6717</v>
      </c>
      <c r="B4912" t="s">
        <v>6698</v>
      </c>
      <c r="C4912" t="s">
        <v>229</v>
      </c>
      <c r="D4912">
        <v>1972</v>
      </c>
      <c r="E4912" t="s">
        <v>29</v>
      </c>
      <c r="F4912" t="s">
        <v>30</v>
      </c>
      <c r="G4912" t="s">
        <v>31</v>
      </c>
      <c r="H4912" t="s">
        <v>32</v>
      </c>
      <c r="I4912">
        <v>10505.25966</v>
      </c>
      <c r="J4912" t="s">
        <v>33</v>
      </c>
      <c r="K4912" t="s">
        <v>6715</v>
      </c>
      <c r="L4912" t="s">
        <v>21</v>
      </c>
      <c r="M4912" t="str">
        <f t="shared" si="228"/>
        <v>OK</v>
      </c>
      <c r="N4912" t="str">
        <f t="shared" si="229"/>
        <v>1970s</v>
      </c>
      <c r="O4912" t="str">
        <f t="shared" si="230"/>
        <v>N/A</v>
      </c>
      <c r="P4912" t="str">
        <f>VLOOKUP(E4912,calculated_fields!$F$4:$G$6,2,FALSE)</f>
        <v>Economy</v>
      </c>
    </row>
    <row r="4913" spans="1:16">
      <c r="A4913" t="s">
        <v>6718</v>
      </c>
      <c r="B4913" t="s">
        <v>6698</v>
      </c>
      <c r="C4913" t="s">
        <v>229</v>
      </c>
      <c r="D4913">
        <v>1977</v>
      </c>
      <c r="E4913" t="s">
        <v>15</v>
      </c>
      <c r="F4913" t="s">
        <v>16</v>
      </c>
      <c r="G4913" t="s">
        <v>17</v>
      </c>
      <c r="H4913" t="s">
        <v>18</v>
      </c>
      <c r="I4913">
        <v>67.456000000000003</v>
      </c>
      <c r="J4913" t="s">
        <v>19</v>
      </c>
      <c r="K4913" t="s">
        <v>6719</v>
      </c>
      <c r="L4913" t="s">
        <v>21</v>
      </c>
      <c r="M4913" t="str">
        <f t="shared" si="228"/>
        <v>OK</v>
      </c>
      <c r="N4913" t="str">
        <f t="shared" si="229"/>
        <v>1970s</v>
      </c>
      <c r="O4913" t="str">
        <f t="shared" si="230"/>
        <v>Medium</v>
      </c>
      <c r="P4913" t="str">
        <f>VLOOKUP(E4913,calculated_fields!$F$4:$G$6,2,FALSE)</f>
        <v>Health</v>
      </c>
    </row>
    <row r="4914" spans="1:16">
      <c r="A4914" t="s">
        <v>6720</v>
      </c>
      <c r="B4914" t="s">
        <v>6698</v>
      </c>
      <c r="C4914" t="s">
        <v>229</v>
      </c>
      <c r="D4914">
        <v>1977</v>
      </c>
      <c r="E4914" t="s">
        <v>23</v>
      </c>
      <c r="F4914" t="s">
        <v>24</v>
      </c>
      <c r="G4914" t="s">
        <v>25</v>
      </c>
      <c r="H4914" t="s">
        <v>26</v>
      </c>
      <c r="I4914">
        <v>13503563</v>
      </c>
      <c r="J4914" t="s">
        <v>27</v>
      </c>
      <c r="K4914" t="s">
        <v>6719</v>
      </c>
      <c r="L4914" t="s">
        <v>21</v>
      </c>
      <c r="M4914" t="str">
        <f t="shared" si="228"/>
        <v>OK</v>
      </c>
      <c r="N4914" t="str">
        <f t="shared" si="229"/>
        <v>1970s</v>
      </c>
      <c r="O4914" t="str">
        <f t="shared" si="230"/>
        <v>N/A</v>
      </c>
      <c r="P4914" t="str">
        <f>VLOOKUP(E4914,calculated_fields!$F$4:$G$6,2,FALSE)</f>
        <v>Demographics</v>
      </c>
    </row>
    <row r="4915" spans="1:16">
      <c r="A4915" t="s">
        <v>6721</v>
      </c>
      <c r="B4915" t="s">
        <v>6698</v>
      </c>
      <c r="C4915" t="s">
        <v>229</v>
      </c>
      <c r="D4915">
        <v>1977</v>
      </c>
      <c r="E4915" t="s">
        <v>29</v>
      </c>
      <c r="F4915" t="s">
        <v>30</v>
      </c>
      <c r="G4915" t="s">
        <v>31</v>
      </c>
      <c r="H4915" t="s">
        <v>32</v>
      </c>
      <c r="I4915">
        <v>13143.95095</v>
      </c>
      <c r="J4915" t="s">
        <v>33</v>
      </c>
      <c r="K4915" t="s">
        <v>6719</v>
      </c>
      <c r="L4915" t="s">
        <v>21</v>
      </c>
      <c r="M4915" t="str">
        <f t="shared" si="228"/>
        <v>OK</v>
      </c>
      <c r="N4915" t="str">
        <f t="shared" si="229"/>
        <v>1970s</v>
      </c>
      <c r="O4915" t="str">
        <f t="shared" si="230"/>
        <v>N/A</v>
      </c>
      <c r="P4915" t="str">
        <f>VLOOKUP(E4915,calculated_fields!$F$4:$G$6,2,FALSE)</f>
        <v>Economy</v>
      </c>
    </row>
    <row r="4916" spans="1:16">
      <c r="A4916" t="s">
        <v>6722</v>
      </c>
      <c r="B4916" t="s">
        <v>6698</v>
      </c>
      <c r="C4916" t="s">
        <v>229</v>
      </c>
      <c r="D4916">
        <v>1982</v>
      </c>
      <c r="E4916" t="s">
        <v>15</v>
      </c>
      <c r="F4916" t="s">
        <v>16</v>
      </c>
      <c r="G4916" t="s">
        <v>17</v>
      </c>
      <c r="H4916" t="s">
        <v>18</v>
      </c>
      <c r="I4916">
        <v>68.557000000000002</v>
      </c>
      <c r="J4916" t="s">
        <v>19</v>
      </c>
      <c r="K4916" t="s">
        <v>6723</v>
      </c>
      <c r="L4916" t="s">
        <v>21</v>
      </c>
      <c r="M4916" t="str">
        <f t="shared" si="228"/>
        <v>OK</v>
      </c>
      <c r="N4916" t="str">
        <f t="shared" si="229"/>
        <v>1980s</v>
      </c>
      <c r="O4916" t="str">
        <f t="shared" si="230"/>
        <v>Medium</v>
      </c>
      <c r="P4916" t="str">
        <f>VLOOKUP(E4916,calculated_fields!$F$4:$G$6,2,FALSE)</f>
        <v>Health</v>
      </c>
    </row>
    <row r="4917" spans="1:16">
      <c r="A4917" t="s">
        <v>6724</v>
      </c>
      <c r="B4917" t="s">
        <v>6698</v>
      </c>
      <c r="C4917" t="s">
        <v>229</v>
      </c>
      <c r="D4917">
        <v>1982</v>
      </c>
      <c r="E4917" t="s">
        <v>23</v>
      </c>
      <c r="F4917" t="s">
        <v>24</v>
      </c>
      <c r="G4917" t="s">
        <v>25</v>
      </c>
      <c r="H4917" t="s">
        <v>26</v>
      </c>
      <c r="I4917">
        <v>15620766</v>
      </c>
      <c r="J4917" t="s">
        <v>27</v>
      </c>
      <c r="K4917" t="s">
        <v>6723</v>
      </c>
      <c r="L4917" t="s">
        <v>21</v>
      </c>
      <c r="M4917" t="str">
        <f t="shared" si="228"/>
        <v>OK</v>
      </c>
      <c r="N4917" t="str">
        <f t="shared" si="229"/>
        <v>1980s</v>
      </c>
      <c r="O4917" t="str">
        <f t="shared" si="230"/>
        <v>N/A</v>
      </c>
      <c r="P4917" t="str">
        <f>VLOOKUP(E4917,calculated_fields!$F$4:$G$6,2,FALSE)</f>
        <v>Demographics</v>
      </c>
    </row>
    <row r="4918" spans="1:16">
      <c r="A4918" t="s">
        <v>6725</v>
      </c>
      <c r="B4918" t="s">
        <v>6698</v>
      </c>
      <c r="C4918" t="s">
        <v>229</v>
      </c>
      <c r="D4918">
        <v>1982</v>
      </c>
      <c r="E4918" t="s">
        <v>29</v>
      </c>
      <c r="F4918" t="s">
        <v>30</v>
      </c>
      <c r="G4918" t="s">
        <v>31</v>
      </c>
      <c r="H4918" t="s">
        <v>32</v>
      </c>
      <c r="I4918">
        <v>11152.410110000001</v>
      </c>
      <c r="J4918" t="s">
        <v>33</v>
      </c>
      <c r="K4918" t="s">
        <v>6723</v>
      </c>
      <c r="L4918" t="s">
        <v>21</v>
      </c>
      <c r="M4918" t="str">
        <f t="shared" si="228"/>
        <v>OK</v>
      </c>
      <c r="N4918" t="str">
        <f t="shared" si="229"/>
        <v>1980s</v>
      </c>
      <c r="O4918" t="str">
        <f t="shared" si="230"/>
        <v>N/A</v>
      </c>
      <c r="P4918" t="str">
        <f>VLOOKUP(E4918,calculated_fields!$F$4:$G$6,2,FALSE)</f>
        <v>Economy</v>
      </c>
    </row>
    <row r="4919" spans="1:16">
      <c r="A4919" t="s">
        <v>6726</v>
      </c>
      <c r="B4919" t="s">
        <v>6698</v>
      </c>
      <c r="C4919" t="s">
        <v>229</v>
      </c>
      <c r="D4919">
        <v>1987</v>
      </c>
      <c r="E4919" t="s">
        <v>15</v>
      </c>
      <c r="F4919" t="s">
        <v>16</v>
      </c>
      <c r="G4919" t="s">
        <v>17</v>
      </c>
      <c r="H4919" t="s">
        <v>18</v>
      </c>
      <c r="I4919">
        <v>70.19</v>
      </c>
      <c r="J4919" t="s">
        <v>19</v>
      </c>
      <c r="K4919" t="s">
        <v>6727</v>
      </c>
      <c r="L4919" t="s">
        <v>21</v>
      </c>
      <c r="M4919" t="str">
        <f t="shared" si="228"/>
        <v>OK</v>
      </c>
      <c r="N4919" t="str">
        <f t="shared" si="229"/>
        <v>1980s</v>
      </c>
      <c r="O4919" t="str">
        <f t="shared" si="230"/>
        <v>High</v>
      </c>
      <c r="P4919" t="str">
        <f>VLOOKUP(E4919,calculated_fields!$F$4:$G$6,2,FALSE)</f>
        <v>Health</v>
      </c>
    </row>
    <row r="4920" spans="1:16">
      <c r="A4920" t="s">
        <v>6728</v>
      </c>
      <c r="B4920" t="s">
        <v>6698</v>
      </c>
      <c r="C4920" t="s">
        <v>229</v>
      </c>
      <c r="D4920">
        <v>1987</v>
      </c>
      <c r="E4920" t="s">
        <v>23</v>
      </c>
      <c r="F4920" t="s">
        <v>24</v>
      </c>
      <c r="G4920" t="s">
        <v>25</v>
      </c>
      <c r="H4920" t="s">
        <v>26</v>
      </c>
      <c r="I4920">
        <v>17910182</v>
      </c>
      <c r="J4920" t="s">
        <v>27</v>
      </c>
      <c r="K4920" t="s">
        <v>6727</v>
      </c>
      <c r="L4920" t="s">
        <v>21</v>
      </c>
      <c r="M4920" t="str">
        <f t="shared" si="228"/>
        <v>OK</v>
      </c>
      <c r="N4920" t="str">
        <f t="shared" si="229"/>
        <v>1980s</v>
      </c>
      <c r="O4920" t="str">
        <f t="shared" si="230"/>
        <v>N/A</v>
      </c>
      <c r="P4920" t="str">
        <f>VLOOKUP(E4920,calculated_fields!$F$4:$G$6,2,FALSE)</f>
        <v>Demographics</v>
      </c>
    </row>
    <row r="4921" spans="1:16">
      <c r="A4921" t="s">
        <v>6729</v>
      </c>
      <c r="B4921" t="s">
        <v>6698</v>
      </c>
      <c r="C4921" t="s">
        <v>229</v>
      </c>
      <c r="D4921">
        <v>1987</v>
      </c>
      <c r="E4921" t="s">
        <v>29</v>
      </c>
      <c r="F4921" t="s">
        <v>30</v>
      </c>
      <c r="G4921" t="s">
        <v>31</v>
      </c>
      <c r="H4921" t="s">
        <v>32</v>
      </c>
      <c r="I4921">
        <v>9883.584648</v>
      </c>
      <c r="J4921" t="s">
        <v>33</v>
      </c>
      <c r="K4921" t="s">
        <v>6727</v>
      </c>
      <c r="L4921" t="s">
        <v>21</v>
      </c>
      <c r="M4921" t="str">
        <f t="shared" si="228"/>
        <v>OK</v>
      </c>
      <c r="N4921" t="str">
        <f t="shared" si="229"/>
        <v>1980s</v>
      </c>
      <c r="O4921" t="str">
        <f t="shared" si="230"/>
        <v>N/A</v>
      </c>
      <c r="P4921" t="str">
        <f>VLOOKUP(E4921,calculated_fields!$F$4:$G$6,2,FALSE)</f>
        <v>Economy</v>
      </c>
    </row>
    <row r="4922" spans="1:16">
      <c r="A4922" t="s">
        <v>6730</v>
      </c>
      <c r="B4922" t="s">
        <v>6698</v>
      </c>
      <c r="C4922" t="s">
        <v>229</v>
      </c>
      <c r="D4922">
        <v>1992</v>
      </c>
      <c r="E4922" t="s">
        <v>15</v>
      </c>
      <c r="F4922" t="s">
        <v>16</v>
      </c>
      <c r="G4922" t="s">
        <v>17</v>
      </c>
      <c r="H4922" t="s">
        <v>18</v>
      </c>
      <c r="I4922">
        <v>71.150000000000006</v>
      </c>
      <c r="J4922" t="s">
        <v>19</v>
      </c>
      <c r="K4922" t="s">
        <v>6731</v>
      </c>
      <c r="L4922" t="s">
        <v>21</v>
      </c>
      <c r="M4922" t="str">
        <f t="shared" si="228"/>
        <v>OK</v>
      </c>
      <c r="N4922" t="str">
        <f t="shared" si="229"/>
        <v>1990s</v>
      </c>
      <c r="O4922" t="str">
        <f t="shared" si="230"/>
        <v>High</v>
      </c>
      <c r="P4922" t="str">
        <f>VLOOKUP(E4922,calculated_fields!$F$4:$G$6,2,FALSE)</f>
        <v>Health</v>
      </c>
    </row>
    <row r="4923" spans="1:16">
      <c r="A4923" t="s">
        <v>6732</v>
      </c>
      <c r="B4923" t="s">
        <v>6698</v>
      </c>
      <c r="C4923" t="s">
        <v>229</v>
      </c>
      <c r="D4923">
        <v>1992</v>
      </c>
      <c r="E4923" t="s">
        <v>23</v>
      </c>
      <c r="F4923" t="s">
        <v>24</v>
      </c>
      <c r="G4923" t="s">
        <v>25</v>
      </c>
      <c r="H4923" t="s">
        <v>26</v>
      </c>
      <c r="I4923">
        <v>20265563</v>
      </c>
      <c r="J4923" t="s">
        <v>27</v>
      </c>
      <c r="K4923" t="s">
        <v>6731</v>
      </c>
      <c r="L4923" t="s">
        <v>21</v>
      </c>
      <c r="M4923" t="str">
        <f t="shared" si="228"/>
        <v>OK</v>
      </c>
      <c r="N4923" t="str">
        <f t="shared" si="229"/>
        <v>1990s</v>
      </c>
      <c r="O4923" t="str">
        <f t="shared" si="230"/>
        <v>N/A</v>
      </c>
      <c r="P4923" t="str">
        <f>VLOOKUP(E4923,calculated_fields!$F$4:$G$6,2,FALSE)</f>
        <v>Demographics</v>
      </c>
    </row>
    <row r="4924" spans="1:16">
      <c r="A4924" t="s">
        <v>6733</v>
      </c>
      <c r="B4924" t="s">
        <v>6698</v>
      </c>
      <c r="C4924" t="s">
        <v>229</v>
      </c>
      <c r="D4924">
        <v>1992</v>
      </c>
      <c r="E4924" t="s">
        <v>29</v>
      </c>
      <c r="F4924" t="s">
        <v>30</v>
      </c>
      <c r="G4924" t="s">
        <v>31</v>
      </c>
      <c r="H4924" t="s">
        <v>32</v>
      </c>
      <c r="I4924">
        <v>10733.926310000001</v>
      </c>
      <c r="J4924" t="s">
        <v>33</v>
      </c>
      <c r="K4924" t="s">
        <v>6731</v>
      </c>
      <c r="L4924" t="s">
        <v>21</v>
      </c>
      <c r="M4924" t="str">
        <f t="shared" si="228"/>
        <v>OK</v>
      </c>
      <c r="N4924" t="str">
        <f t="shared" si="229"/>
        <v>1990s</v>
      </c>
      <c r="O4924" t="str">
        <f t="shared" si="230"/>
        <v>N/A</v>
      </c>
      <c r="P4924" t="str">
        <f>VLOOKUP(E4924,calculated_fields!$F$4:$G$6,2,FALSE)</f>
        <v>Economy</v>
      </c>
    </row>
    <row r="4925" spans="1:16">
      <c r="A4925" t="s">
        <v>6734</v>
      </c>
      <c r="B4925" t="s">
        <v>6698</v>
      </c>
      <c r="C4925" t="s">
        <v>229</v>
      </c>
      <c r="D4925">
        <v>1997</v>
      </c>
      <c r="E4925" t="s">
        <v>15</v>
      </c>
      <c r="F4925" t="s">
        <v>16</v>
      </c>
      <c r="G4925" t="s">
        <v>17</v>
      </c>
      <c r="H4925" t="s">
        <v>18</v>
      </c>
      <c r="I4925">
        <v>72.146000000000001</v>
      </c>
      <c r="J4925" t="s">
        <v>19</v>
      </c>
      <c r="K4925" t="s">
        <v>6735</v>
      </c>
      <c r="L4925" t="s">
        <v>21</v>
      </c>
      <c r="M4925" t="str">
        <f t="shared" si="228"/>
        <v>OK</v>
      </c>
      <c r="N4925" t="str">
        <f t="shared" si="229"/>
        <v>1990s</v>
      </c>
      <c r="O4925" t="str">
        <f t="shared" si="230"/>
        <v>High</v>
      </c>
      <c r="P4925" t="str">
        <f>VLOOKUP(E4925,calculated_fields!$F$4:$G$6,2,FALSE)</f>
        <v>Health</v>
      </c>
    </row>
    <row r="4926" spans="1:16">
      <c r="A4926" t="s">
        <v>6736</v>
      </c>
      <c r="B4926" t="s">
        <v>6698</v>
      </c>
      <c r="C4926" t="s">
        <v>229</v>
      </c>
      <c r="D4926">
        <v>1997</v>
      </c>
      <c r="E4926" t="s">
        <v>23</v>
      </c>
      <c r="F4926" t="s">
        <v>24</v>
      </c>
      <c r="G4926" t="s">
        <v>25</v>
      </c>
      <c r="H4926" t="s">
        <v>26</v>
      </c>
      <c r="I4926">
        <v>22374398</v>
      </c>
      <c r="J4926" t="s">
        <v>27</v>
      </c>
      <c r="K4926" t="s">
        <v>6735</v>
      </c>
      <c r="L4926" t="s">
        <v>21</v>
      </c>
      <c r="M4926" t="str">
        <f t="shared" si="228"/>
        <v>OK</v>
      </c>
      <c r="N4926" t="str">
        <f t="shared" si="229"/>
        <v>1990s</v>
      </c>
      <c r="O4926" t="str">
        <f t="shared" si="230"/>
        <v>N/A</v>
      </c>
      <c r="P4926" t="str">
        <f>VLOOKUP(E4926,calculated_fields!$F$4:$G$6,2,FALSE)</f>
        <v>Demographics</v>
      </c>
    </row>
    <row r="4927" spans="1:16">
      <c r="A4927" t="s">
        <v>6737</v>
      </c>
      <c r="B4927" t="s">
        <v>6698</v>
      </c>
      <c r="C4927" t="s">
        <v>229</v>
      </c>
      <c r="D4927">
        <v>1997</v>
      </c>
      <c r="E4927" t="s">
        <v>29</v>
      </c>
      <c r="F4927" t="s">
        <v>30</v>
      </c>
      <c r="G4927" t="s">
        <v>31</v>
      </c>
      <c r="H4927" t="s">
        <v>32</v>
      </c>
      <c r="I4927">
        <v>10165.49518</v>
      </c>
      <c r="J4927" t="s">
        <v>33</v>
      </c>
      <c r="K4927" t="s">
        <v>6735</v>
      </c>
      <c r="L4927" t="s">
        <v>21</v>
      </c>
      <c r="M4927" t="str">
        <f t="shared" si="228"/>
        <v>OK</v>
      </c>
      <c r="N4927" t="str">
        <f t="shared" si="229"/>
        <v>1990s</v>
      </c>
      <c r="O4927" t="str">
        <f t="shared" si="230"/>
        <v>N/A</v>
      </c>
      <c r="P4927" t="str">
        <f>VLOOKUP(E4927,calculated_fields!$F$4:$G$6,2,FALSE)</f>
        <v>Economy</v>
      </c>
    </row>
    <row r="4928" spans="1:16">
      <c r="A4928" t="s">
        <v>6738</v>
      </c>
      <c r="B4928" t="s">
        <v>6698</v>
      </c>
      <c r="C4928" t="s">
        <v>229</v>
      </c>
      <c r="D4928">
        <v>2002</v>
      </c>
      <c r="E4928" t="s">
        <v>15</v>
      </c>
      <c r="F4928" t="s">
        <v>16</v>
      </c>
      <c r="G4928" t="s">
        <v>17</v>
      </c>
      <c r="H4928" t="s">
        <v>18</v>
      </c>
      <c r="I4928">
        <v>72.766000000000005</v>
      </c>
      <c r="J4928" t="s">
        <v>19</v>
      </c>
      <c r="K4928" t="s">
        <v>6739</v>
      </c>
      <c r="L4928" t="s">
        <v>21</v>
      </c>
      <c r="M4928" t="str">
        <f t="shared" si="228"/>
        <v>OK</v>
      </c>
      <c r="N4928" t="str">
        <f t="shared" si="229"/>
        <v>2000s</v>
      </c>
      <c r="O4928" t="str">
        <f t="shared" si="230"/>
        <v>High</v>
      </c>
      <c r="P4928" t="str">
        <f>VLOOKUP(E4928,calculated_fields!$F$4:$G$6,2,FALSE)</f>
        <v>Health</v>
      </c>
    </row>
    <row r="4929" spans="1:16">
      <c r="A4929" t="s">
        <v>6740</v>
      </c>
      <c r="B4929" t="s">
        <v>6698</v>
      </c>
      <c r="C4929" t="s">
        <v>229</v>
      </c>
      <c r="D4929">
        <v>2002</v>
      </c>
      <c r="E4929" t="s">
        <v>23</v>
      </c>
      <c r="F4929" t="s">
        <v>24</v>
      </c>
      <c r="G4929" t="s">
        <v>25</v>
      </c>
      <c r="H4929" t="s">
        <v>26</v>
      </c>
      <c r="I4929">
        <v>24287670</v>
      </c>
      <c r="J4929" t="s">
        <v>27</v>
      </c>
      <c r="K4929" t="s">
        <v>6739</v>
      </c>
      <c r="L4929" t="s">
        <v>21</v>
      </c>
      <c r="M4929" t="str">
        <f t="shared" si="228"/>
        <v>OK</v>
      </c>
      <c r="N4929" t="str">
        <f t="shared" si="229"/>
        <v>2000s</v>
      </c>
      <c r="O4929" t="str">
        <f t="shared" si="230"/>
        <v>N/A</v>
      </c>
      <c r="P4929" t="str">
        <f>VLOOKUP(E4929,calculated_fields!$F$4:$G$6,2,FALSE)</f>
        <v>Demographics</v>
      </c>
    </row>
    <row r="4930" spans="1:16">
      <c r="A4930" t="s">
        <v>6741</v>
      </c>
      <c r="B4930" t="s">
        <v>6698</v>
      </c>
      <c r="C4930" t="s">
        <v>229</v>
      </c>
      <c r="D4930">
        <v>2002</v>
      </c>
      <c r="E4930" t="s">
        <v>29</v>
      </c>
      <c r="F4930" t="s">
        <v>30</v>
      </c>
      <c r="G4930" t="s">
        <v>31</v>
      </c>
      <c r="H4930" t="s">
        <v>32</v>
      </c>
      <c r="I4930">
        <v>8605.0478309999999</v>
      </c>
      <c r="J4930" t="s">
        <v>33</v>
      </c>
      <c r="K4930" t="s">
        <v>6739</v>
      </c>
      <c r="L4930" t="s">
        <v>21</v>
      </c>
      <c r="M4930" t="str">
        <f t="shared" ref="M4930:M4993" si="231">IF(AND(ISNUMBER(I4930),I4930&gt;=0),"OK","Review")</f>
        <v>OK</v>
      </c>
      <c r="N4930" t="str">
        <f t="shared" ref="N4930:N4993" si="232">FLOOR(D4930,10)&amp;"s"</f>
        <v>2000s</v>
      </c>
      <c r="O4930" t="str">
        <f t="shared" ref="O4930:O4993" si="233">IF(E4930="LIFE_EXP",IF(I4930&gt;=70,"High",IF(I4930&gt;=55,"Medium","Low")),"N/A")</f>
        <v>N/A</v>
      </c>
      <c r="P4930" t="str">
        <f>VLOOKUP(E4930,calculated_fields!$F$4:$G$6,2,FALSE)</f>
        <v>Economy</v>
      </c>
    </row>
    <row r="4931" spans="1:16">
      <c r="A4931" t="s">
        <v>6742</v>
      </c>
      <c r="B4931" t="s">
        <v>6698</v>
      </c>
      <c r="C4931" t="s">
        <v>229</v>
      </c>
      <c r="D4931">
        <v>2007</v>
      </c>
      <c r="E4931" t="s">
        <v>15</v>
      </c>
      <c r="F4931" t="s">
        <v>16</v>
      </c>
      <c r="G4931" t="s">
        <v>17</v>
      </c>
      <c r="H4931" t="s">
        <v>18</v>
      </c>
      <c r="I4931">
        <v>73.747</v>
      </c>
      <c r="J4931" t="s">
        <v>19</v>
      </c>
      <c r="K4931" t="s">
        <v>6743</v>
      </c>
      <c r="L4931" t="s">
        <v>21</v>
      </c>
      <c r="M4931" t="str">
        <f t="shared" si="231"/>
        <v>OK</v>
      </c>
      <c r="N4931" t="str">
        <f t="shared" si="232"/>
        <v>2000s</v>
      </c>
      <c r="O4931" t="str">
        <f t="shared" si="233"/>
        <v>High</v>
      </c>
      <c r="P4931" t="str">
        <f>VLOOKUP(E4931,calculated_fields!$F$4:$G$6,2,FALSE)</f>
        <v>Health</v>
      </c>
    </row>
    <row r="4932" spans="1:16">
      <c r="A4932" t="s">
        <v>6744</v>
      </c>
      <c r="B4932" t="s">
        <v>6698</v>
      </c>
      <c r="C4932" t="s">
        <v>229</v>
      </c>
      <c r="D4932">
        <v>2007</v>
      </c>
      <c r="E4932" t="s">
        <v>23</v>
      </c>
      <c r="F4932" t="s">
        <v>24</v>
      </c>
      <c r="G4932" t="s">
        <v>25</v>
      </c>
      <c r="H4932" t="s">
        <v>26</v>
      </c>
      <c r="I4932">
        <v>26084662</v>
      </c>
      <c r="J4932" t="s">
        <v>27</v>
      </c>
      <c r="K4932" t="s">
        <v>6743</v>
      </c>
      <c r="L4932" t="s">
        <v>21</v>
      </c>
      <c r="M4932" t="str">
        <f t="shared" si="231"/>
        <v>OK</v>
      </c>
      <c r="N4932" t="str">
        <f t="shared" si="232"/>
        <v>2000s</v>
      </c>
      <c r="O4932" t="str">
        <f t="shared" si="233"/>
        <v>N/A</v>
      </c>
      <c r="P4932" t="str">
        <f>VLOOKUP(E4932,calculated_fields!$F$4:$G$6,2,FALSE)</f>
        <v>Demographics</v>
      </c>
    </row>
    <row r="4933" spans="1:16">
      <c r="A4933" t="s">
        <v>6745</v>
      </c>
      <c r="B4933" t="s">
        <v>6698</v>
      </c>
      <c r="C4933" t="s">
        <v>229</v>
      </c>
      <c r="D4933">
        <v>2007</v>
      </c>
      <c r="E4933" t="s">
        <v>29</v>
      </c>
      <c r="F4933" t="s">
        <v>30</v>
      </c>
      <c r="G4933" t="s">
        <v>31</v>
      </c>
      <c r="H4933" t="s">
        <v>32</v>
      </c>
      <c r="I4933">
        <v>11415.805689999999</v>
      </c>
      <c r="J4933" t="s">
        <v>33</v>
      </c>
      <c r="K4933" t="s">
        <v>6743</v>
      </c>
      <c r="L4933" t="s">
        <v>21</v>
      </c>
      <c r="M4933" t="str">
        <f t="shared" si="231"/>
        <v>OK</v>
      </c>
      <c r="N4933" t="str">
        <f t="shared" si="232"/>
        <v>2000s</v>
      </c>
      <c r="O4933" t="str">
        <f t="shared" si="233"/>
        <v>N/A</v>
      </c>
      <c r="P4933" t="str">
        <f>VLOOKUP(E4933,calculated_fields!$F$4:$G$6,2,FALSE)</f>
        <v>Economy</v>
      </c>
    </row>
    <row r="4934" spans="1:16">
      <c r="A4934" t="s">
        <v>6746</v>
      </c>
      <c r="B4934" t="s">
        <v>6747</v>
      </c>
      <c r="C4934" t="s">
        <v>14</v>
      </c>
      <c r="D4934">
        <v>1952</v>
      </c>
      <c r="E4934" t="s">
        <v>15</v>
      </c>
      <c r="F4934" t="s">
        <v>16</v>
      </c>
      <c r="G4934" t="s">
        <v>17</v>
      </c>
      <c r="H4934" t="s">
        <v>18</v>
      </c>
      <c r="I4934">
        <v>40.411999999999999</v>
      </c>
      <c r="J4934" t="s">
        <v>19</v>
      </c>
      <c r="K4934" t="s">
        <v>6748</v>
      </c>
      <c r="L4934" t="s">
        <v>21</v>
      </c>
      <c r="M4934" t="str">
        <f t="shared" si="231"/>
        <v>OK</v>
      </c>
      <c r="N4934" t="str">
        <f t="shared" si="232"/>
        <v>1950s</v>
      </c>
      <c r="O4934" t="str">
        <f t="shared" si="233"/>
        <v>Low</v>
      </c>
      <c r="P4934" t="str">
        <f>VLOOKUP(E4934,calculated_fields!$F$4:$G$6,2,FALSE)</f>
        <v>Health</v>
      </c>
    </row>
    <row r="4935" spans="1:16">
      <c r="A4935" t="s">
        <v>6749</v>
      </c>
      <c r="B4935" t="s">
        <v>6747</v>
      </c>
      <c r="C4935" t="s">
        <v>14</v>
      </c>
      <c r="D4935">
        <v>1952</v>
      </c>
      <c r="E4935" t="s">
        <v>23</v>
      </c>
      <c r="F4935" t="s">
        <v>24</v>
      </c>
      <c r="G4935" t="s">
        <v>25</v>
      </c>
      <c r="H4935" t="s">
        <v>26</v>
      </c>
      <c r="I4935">
        <v>26246839</v>
      </c>
      <c r="J4935" t="s">
        <v>27</v>
      </c>
      <c r="K4935" t="s">
        <v>6748</v>
      </c>
      <c r="L4935" t="s">
        <v>21</v>
      </c>
      <c r="M4935" t="str">
        <f t="shared" si="231"/>
        <v>OK</v>
      </c>
      <c r="N4935" t="str">
        <f t="shared" si="232"/>
        <v>1950s</v>
      </c>
      <c r="O4935" t="str">
        <f t="shared" si="233"/>
        <v>N/A</v>
      </c>
      <c r="P4935" t="str">
        <f>VLOOKUP(E4935,calculated_fields!$F$4:$G$6,2,FALSE)</f>
        <v>Demographics</v>
      </c>
    </row>
    <row r="4936" spans="1:16">
      <c r="A4936" t="s">
        <v>6750</v>
      </c>
      <c r="B4936" t="s">
        <v>6747</v>
      </c>
      <c r="C4936" t="s">
        <v>14</v>
      </c>
      <c r="D4936">
        <v>1952</v>
      </c>
      <c r="E4936" t="s">
        <v>29</v>
      </c>
      <c r="F4936" t="s">
        <v>30</v>
      </c>
      <c r="G4936" t="s">
        <v>31</v>
      </c>
      <c r="H4936" t="s">
        <v>32</v>
      </c>
      <c r="I4936">
        <v>605.06649170000003</v>
      </c>
      <c r="J4936" t="s">
        <v>33</v>
      </c>
      <c r="K4936" t="s">
        <v>6748</v>
      </c>
      <c r="L4936" t="s">
        <v>21</v>
      </c>
      <c r="M4936" t="str">
        <f t="shared" si="231"/>
        <v>OK</v>
      </c>
      <c r="N4936" t="str">
        <f t="shared" si="232"/>
        <v>1950s</v>
      </c>
      <c r="O4936" t="str">
        <f t="shared" si="233"/>
        <v>N/A</v>
      </c>
      <c r="P4936" t="str">
        <f>VLOOKUP(E4936,calculated_fields!$F$4:$G$6,2,FALSE)</f>
        <v>Economy</v>
      </c>
    </row>
    <row r="4937" spans="1:16">
      <c r="A4937" t="s">
        <v>6751</v>
      </c>
      <c r="B4937" t="s">
        <v>6747</v>
      </c>
      <c r="C4937" t="s">
        <v>14</v>
      </c>
      <c r="D4937">
        <v>1957</v>
      </c>
      <c r="E4937" t="s">
        <v>15</v>
      </c>
      <c r="F4937" t="s">
        <v>16</v>
      </c>
      <c r="G4937" t="s">
        <v>17</v>
      </c>
      <c r="H4937" t="s">
        <v>18</v>
      </c>
      <c r="I4937">
        <v>42.887</v>
      </c>
      <c r="J4937" t="s">
        <v>19</v>
      </c>
      <c r="K4937" t="s">
        <v>6752</v>
      </c>
      <c r="L4937" t="s">
        <v>21</v>
      </c>
      <c r="M4937" t="str">
        <f t="shared" si="231"/>
        <v>OK</v>
      </c>
      <c r="N4937" t="str">
        <f t="shared" si="232"/>
        <v>1950s</v>
      </c>
      <c r="O4937" t="str">
        <f t="shared" si="233"/>
        <v>Low</v>
      </c>
      <c r="P4937" t="str">
        <f>VLOOKUP(E4937,calculated_fields!$F$4:$G$6,2,FALSE)</f>
        <v>Health</v>
      </c>
    </row>
    <row r="4938" spans="1:16">
      <c r="A4938" t="s">
        <v>6753</v>
      </c>
      <c r="B4938" t="s">
        <v>6747</v>
      </c>
      <c r="C4938" t="s">
        <v>14</v>
      </c>
      <c r="D4938">
        <v>1957</v>
      </c>
      <c r="E4938" t="s">
        <v>23</v>
      </c>
      <c r="F4938" t="s">
        <v>24</v>
      </c>
      <c r="G4938" t="s">
        <v>25</v>
      </c>
      <c r="H4938" t="s">
        <v>26</v>
      </c>
      <c r="I4938">
        <v>28998543</v>
      </c>
      <c r="J4938" t="s">
        <v>27</v>
      </c>
      <c r="K4938" t="s">
        <v>6752</v>
      </c>
      <c r="L4938" t="s">
        <v>21</v>
      </c>
      <c r="M4938" t="str">
        <f t="shared" si="231"/>
        <v>OK</v>
      </c>
      <c r="N4938" t="str">
        <f t="shared" si="232"/>
        <v>1950s</v>
      </c>
      <c r="O4938" t="str">
        <f t="shared" si="233"/>
        <v>N/A</v>
      </c>
      <c r="P4938" t="str">
        <f>VLOOKUP(E4938,calculated_fields!$F$4:$G$6,2,FALSE)</f>
        <v>Demographics</v>
      </c>
    </row>
    <row r="4939" spans="1:16">
      <c r="A4939" t="s">
        <v>6754</v>
      </c>
      <c r="B4939" t="s">
        <v>6747</v>
      </c>
      <c r="C4939" t="s">
        <v>14</v>
      </c>
      <c r="D4939">
        <v>1957</v>
      </c>
      <c r="E4939" t="s">
        <v>29</v>
      </c>
      <c r="F4939" t="s">
        <v>30</v>
      </c>
      <c r="G4939" t="s">
        <v>31</v>
      </c>
      <c r="H4939" t="s">
        <v>32</v>
      </c>
      <c r="I4939">
        <v>676.28544779999902</v>
      </c>
      <c r="J4939" t="s">
        <v>33</v>
      </c>
      <c r="K4939" t="s">
        <v>6752</v>
      </c>
      <c r="L4939" t="s">
        <v>21</v>
      </c>
      <c r="M4939" t="str">
        <f t="shared" si="231"/>
        <v>OK</v>
      </c>
      <c r="N4939" t="str">
        <f t="shared" si="232"/>
        <v>1950s</v>
      </c>
      <c r="O4939" t="str">
        <f t="shared" si="233"/>
        <v>N/A</v>
      </c>
      <c r="P4939" t="str">
        <f>VLOOKUP(E4939,calculated_fields!$F$4:$G$6,2,FALSE)</f>
        <v>Economy</v>
      </c>
    </row>
    <row r="4940" spans="1:16">
      <c r="A4940" t="s">
        <v>6755</v>
      </c>
      <c r="B4940" t="s">
        <v>6747</v>
      </c>
      <c r="C4940" t="s">
        <v>14</v>
      </c>
      <c r="D4940">
        <v>1962</v>
      </c>
      <c r="E4940" t="s">
        <v>15</v>
      </c>
      <c r="F4940" t="s">
        <v>16</v>
      </c>
      <c r="G4940" t="s">
        <v>17</v>
      </c>
      <c r="H4940" t="s">
        <v>18</v>
      </c>
      <c r="I4940">
        <v>45.363</v>
      </c>
      <c r="J4940" t="s">
        <v>19</v>
      </c>
      <c r="K4940" t="s">
        <v>6756</v>
      </c>
      <c r="L4940" t="s">
        <v>21</v>
      </c>
      <c r="M4940" t="str">
        <f t="shared" si="231"/>
        <v>OK</v>
      </c>
      <c r="N4940" t="str">
        <f t="shared" si="232"/>
        <v>1960s</v>
      </c>
      <c r="O4940" t="str">
        <f t="shared" si="233"/>
        <v>Low</v>
      </c>
      <c r="P4940" t="str">
        <f>VLOOKUP(E4940,calculated_fields!$F$4:$G$6,2,FALSE)</f>
        <v>Health</v>
      </c>
    </row>
    <row r="4941" spans="1:16">
      <c r="A4941" t="s">
        <v>6757</v>
      </c>
      <c r="B4941" t="s">
        <v>6747</v>
      </c>
      <c r="C4941" t="s">
        <v>14</v>
      </c>
      <c r="D4941">
        <v>1962</v>
      </c>
      <c r="E4941" t="s">
        <v>23</v>
      </c>
      <c r="F4941" t="s">
        <v>24</v>
      </c>
      <c r="G4941" t="s">
        <v>25</v>
      </c>
      <c r="H4941" t="s">
        <v>26</v>
      </c>
      <c r="I4941">
        <v>33796140</v>
      </c>
      <c r="J4941" t="s">
        <v>27</v>
      </c>
      <c r="K4941" t="s">
        <v>6756</v>
      </c>
      <c r="L4941" t="s">
        <v>21</v>
      </c>
      <c r="M4941" t="str">
        <f t="shared" si="231"/>
        <v>OK</v>
      </c>
      <c r="N4941" t="str">
        <f t="shared" si="232"/>
        <v>1960s</v>
      </c>
      <c r="O4941" t="str">
        <f t="shared" si="233"/>
        <v>N/A</v>
      </c>
      <c r="P4941" t="str">
        <f>VLOOKUP(E4941,calculated_fields!$F$4:$G$6,2,FALSE)</f>
        <v>Demographics</v>
      </c>
    </row>
    <row r="4942" spans="1:16">
      <c r="A4942" t="s">
        <v>6758</v>
      </c>
      <c r="B4942" t="s">
        <v>6747</v>
      </c>
      <c r="C4942" t="s">
        <v>14</v>
      </c>
      <c r="D4942">
        <v>1962</v>
      </c>
      <c r="E4942" t="s">
        <v>29</v>
      </c>
      <c r="F4942" t="s">
        <v>30</v>
      </c>
      <c r="G4942" t="s">
        <v>31</v>
      </c>
      <c r="H4942" t="s">
        <v>32</v>
      </c>
      <c r="I4942">
        <v>772.04916019999996</v>
      </c>
      <c r="J4942" t="s">
        <v>33</v>
      </c>
      <c r="K4942" t="s">
        <v>6756</v>
      </c>
      <c r="L4942" t="s">
        <v>21</v>
      </c>
      <c r="M4942" t="str">
        <f t="shared" si="231"/>
        <v>OK</v>
      </c>
      <c r="N4942" t="str">
        <f t="shared" si="232"/>
        <v>1960s</v>
      </c>
      <c r="O4942" t="str">
        <f t="shared" si="233"/>
        <v>N/A</v>
      </c>
      <c r="P4942" t="str">
        <f>VLOOKUP(E4942,calculated_fields!$F$4:$G$6,2,FALSE)</f>
        <v>Economy</v>
      </c>
    </row>
    <row r="4943" spans="1:16">
      <c r="A4943" t="s">
        <v>6759</v>
      </c>
      <c r="B4943" t="s">
        <v>6747</v>
      </c>
      <c r="C4943" t="s">
        <v>14</v>
      </c>
      <c r="D4943">
        <v>1967</v>
      </c>
      <c r="E4943" t="s">
        <v>15</v>
      </c>
      <c r="F4943" t="s">
        <v>16</v>
      </c>
      <c r="G4943" t="s">
        <v>17</v>
      </c>
      <c r="H4943" t="s">
        <v>18</v>
      </c>
      <c r="I4943">
        <v>47.838000000000001</v>
      </c>
      <c r="J4943" t="s">
        <v>19</v>
      </c>
      <c r="K4943" t="s">
        <v>6760</v>
      </c>
      <c r="L4943" t="s">
        <v>21</v>
      </c>
      <c r="M4943" t="str">
        <f t="shared" si="231"/>
        <v>OK</v>
      </c>
      <c r="N4943" t="str">
        <f t="shared" si="232"/>
        <v>1960s</v>
      </c>
      <c r="O4943" t="str">
        <f t="shared" si="233"/>
        <v>Low</v>
      </c>
      <c r="P4943" t="str">
        <f>VLOOKUP(E4943,calculated_fields!$F$4:$G$6,2,FALSE)</f>
        <v>Health</v>
      </c>
    </row>
    <row r="4944" spans="1:16">
      <c r="A4944" t="s">
        <v>6761</v>
      </c>
      <c r="B4944" t="s">
        <v>6747</v>
      </c>
      <c r="C4944" t="s">
        <v>14</v>
      </c>
      <c r="D4944">
        <v>1967</v>
      </c>
      <c r="E4944" t="s">
        <v>23</v>
      </c>
      <c r="F4944" t="s">
        <v>24</v>
      </c>
      <c r="G4944" t="s">
        <v>25</v>
      </c>
      <c r="H4944" t="s">
        <v>26</v>
      </c>
      <c r="I4944">
        <v>39463910</v>
      </c>
      <c r="J4944" t="s">
        <v>27</v>
      </c>
      <c r="K4944" t="s">
        <v>6760</v>
      </c>
      <c r="L4944" t="s">
        <v>21</v>
      </c>
      <c r="M4944" t="str">
        <f t="shared" si="231"/>
        <v>OK</v>
      </c>
      <c r="N4944" t="str">
        <f t="shared" si="232"/>
        <v>1960s</v>
      </c>
      <c r="O4944" t="str">
        <f t="shared" si="233"/>
        <v>N/A</v>
      </c>
      <c r="P4944" t="str">
        <f>VLOOKUP(E4944,calculated_fields!$F$4:$G$6,2,FALSE)</f>
        <v>Demographics</v>
      </c>
    </row>
    <row r="4945" spans="1:16">
      <c r="A4945" t="s">
        <v>6762</v>
      </c>
      <c r="B4945" t="s">
        <v>6747</v>
      </c>
      <c r="C4945" t="s">
        <v>14</v>
      </c>
      <c r="D4945">
        <v>1967</v>
      </c>
      <c r="E4945" t="s">
        <v>29</v>
      </c>
      <c r="F4945" t="s">
        <v>30</v>
      </c>
      <c r="G4945" t="s">
        <v>31</v>
      </c>
      <c r="H4945" t="s">
        <v>32</v>
      </c>
      <c r="I4945">
        <v>637.12328869999999</v>
      </c>
      <c r="J4945" t="s">
        <v>33</v>
      </c>
      <c r="K4945" t="s">
        <v>6760</v>
      </c>
      <c r="L4945" t="s">
        <v>21</v>
      </c>
      <c r="M4945" t="str">
        <f t="shared" si="231"/>
        <v>OK</v>
      </c>
      <c r="N4945" t="str">
        <f t="shared" si="232"/>
        <v>1960s</v>
      </c>
      <c r="O4945" t="str">
        <f t="shared" si="233"/>
        <v>N/A</v>
      </c>
      <c r="P4945" t="str">
        <f>VLOOKUP(E4945,calculated_fields!$F$4:$G$6,2,FALSE)</f>
        <v>Economy</v>
      </c>
    </row>
    <row r="4946" spans="1:16">
      <c r="A4946" t="s">
        <v>6763</v>
      </c>
      <c r="B4946" t="s">
        <v>6747</v>
      </c>
      <c r="C4946" t="s">
        <v>14</v>
      </c>
      <c r="D4946">
        <v>1972</v>
      </c>
      <c r="E4946" t="s">
        <v>15</v>
      </c>
      <c r="F4946" t="s">
        <v>16</v>
      </c>
      <c r="G4946" t="s">
        <v>17</v>
      </c>
      <c r="H4946" t="s">
        <v>18</v>
      </c>
      <c r="I4946">
        <v>50.253999999999998</v>
      </c>
      <c r="J4946" t="s">
        <v>19</v>
      </c>
      <c r="K4946" t="s">
        <v>6764</v>
      </c>
      <c r="L4946" t="s">
        <v>21</v>
      </c>
      <c r="M4946" t="str">
        <f t="shared" si="231"/>
        <v>OK</v>
      </c>
      <c r="N4946" t="str">
        <f t="shared" si="232"/>
        <v>1970s</v>
      </c>
      <c r="O4946" t="str">
        <f t="shared" si="233"/>
        <v>Low</v>
      </c>
      <c r="P4946" t="str">
        <f>VLOOKUP(E4946,calculated_fields!$F$4:$G$6,2,FALSE)</f>
        <v>Health</v>
      </c>
    </row>
    <row r="4947" spans="1:16">
      <c r="A4947" t="s">
        <v>6765</v>
      </c>
      <c r="B4947" t="s">
        <v>6747</v>
      </c>
      <c r="C4947" t="s">
        <v>14</v>
      </c>
      <c r="D4947">
        <v>1972</v>
      </c>
      <c r="E4947" t="s">
        <v>23</v>
      </c>
      <c r="F4947" t="s">
        <v>24</v>
      </c>
      <c r="G4947" t="s">
        <v>25</v>
      </c>
      <c r="H4947" t="s">
        <v>26</v>
      </c>
      <c r="I4947">
        <v>44655014</v>
      </c>
      <c r="J4947" t="s">
        <v>27</v>
      </c>
      <c r="K4947" t="s">
        <v>6764</v>
      </c>
      <c r="L4947" t="s">
        <v>21</v>
      </c>
      <c r="M4947" t="str">
        <f t="shared" si="231"/>
        <v>OK</v>
      </c>
      <c r="N4947" t="str">
        <f t="shared" si="232"/>
        <v>1970s</v>
      </c>
      <c r="O4947" t="str">
        <f t="shared" si="233"/>
        <v>N/A</v>
      </c>
      <c r="P4947" t="str">
        <f>VLOOKUP(E4947,calculated_fields!$F$4:$G$6,2,FALSE)</f>
        <v>Demographics</v>
      </c>
    </row>
    <row r="4948" spans="1:16">
      <c r="A4948" t="s">
        <v>6766</v>
      </c>
      <c r="B4948" t="s">
        <v>6747</v>
      </c>
      <c r="C4948" t="s">
        <v>14</v>
      </c>
      <c r="D4948">
        <v>1972</v>
      </c>
      <c r="E4948" t="s">
        <v>29</v>
      </c>
      <c r="F4948" t="s">
        <v>30</v>
      </c>
      <c r="G4948" t="s">
        <v>31</v>
      </c>
      <c r="H4948" t="s">
        <v>32</v>
      </c>
      <c r="I4948">
        <v>699.50164410000002</v>
      </c>
      <c r="J4948" t="s">
        <v>33</v>
      </c>
      <c r="K4948" t="s">
        <v>6764</v>
      </c>
      <c r="L4948" t="s">
        <v>21</v>
      </c>
      <c r="M4948" t="str">
        <f t="shared" si="231"/>
        <v>OK</v>
      </c>
      <c r="N4948" t="str">
        <f t="shared" si="232"/>
        <v>1970s</v>
      </c>
      <c r="O4948" t="str">
        <f t="shared" si="233"/>
        <v>N/A</v>
      </c>
      <c r="P4948" t="str">
        <f>VLOOKUP(E4948,calculated_fields!$F$4:$G$6,2,FALSE)</f>
        <v>Economy</v>
      </c>
    </row>
    <row r="4949" spans="1:16">
      <c r="A4949" t="s">
        <v>6767</v>
      </c>
      <c r="B4949" t="s">
        <v>6747</v>
      </c>
      <c r="C4949" t="s">
        <v>14</v>
      </c>
      <c r="D4949">
        <v>1977</v>
      </c>
      <c r="E4949" t="s">
        <v>15</v>
      </c>
      <c r="F4949" t="s">
        <v>16</v>
      </c>
      <c r="G4949" t="s">
        <v>17</v>
      </c>
      <c r="H4949" t="s">
        <v>18</v>
      </c>
      <c r="I4949">
        <v>55.764000000000003</v>
      </c>
      <c r="J4949" t="s">
        <v>19</v>
      </c>
      <c r="K4949" t="s">
        <v>6768</v>
      </c>
      <c r="L4949" t="s">
        <v>21</v>
      </c>
      <c r="M4949" t="str">
        <f t="shared" si="231"/>
        <v>OK</v>
      </c>
      <c r="N4949" t="str">
        <f t="shared" si="232"/>
        <v>1970s</v>
      </c>
      <c r="O4949" t="str">
        <f t="shared" si="233"/>
        <v>Medium</v>
      </c>
      <c r="P4949" t="str">
        <f>VLOOKUP(E4949,calculated_fields!$F$4:$G$6,2,FALSE)</f>
        <v>Health</v>
      </c>
    </row>
    <row r="4950" spans="1:16">
      <c r="A4950" t="s">
        <v>6769</v>
      </c>
      <c r="B4950" t="s">
        <v>6747</v>
      </c>
      <c r="C4950" t="s">
        <v>14</v>
      </c>
      <c r="D4950">
        <v>1977</v>
      </c>
      <c r="E4950" t="s">
        <v>23</v>
      </c>
      <c r="F4950" t="s">
        <v>24</v>
      </c>
      <c r="G4950" t="s">
        <v>25</v>
      </c>
      <c r="H4950" t="s">
        <v>26</v>
      </c>
      <c r="I4950">
        <v>50533506</v>
      </c>
      <c r="J4950" t="s">
        <v>27</v>
      </c>
      <c r="K4950" t="s">
        <v>6768</v>
      </c>
      <c r="L4950" t="s">
        <v>21</v>
      </c>
      <c r="M4950" t="str">
        <f t="shared" si="231"/>
        <v>OK</v>
      </c>
      <c r="N4950" t="str">
        <f t="shared" si="232"/>
        <v>1970s</v>
      </c>
      <c r="O4950" t="str">
        <f t="shared" si="233"/>
        <v>N/A</v>
      </c>
      <c r="P4950" t="str">
        <f>VLOOKUP(E4950,calculated_fields!$F$4:$G$6,2,FALSE)</f>
        <v>Demographics</v>
      </c>
    </row>
    <row r="4951" spans="1:16">
      <c r="A4951" t="s">
        <v>6770</v>
      </c>
      <c r="B4951" t="s">
        <v>6747</v>
      </c>
      <c r="C4951" t="s">
        <v>14</v>
      </c>
      <c r="D4951">
        <v>1977</v>
      </c>
      <c r="E4951" t="s">
        <v>29</v>
      </c>
      <c r="F4951" t="s">
        <v>30</v>
      </c>
      <c r="G4951" t="s">
        <v>31</v>
      </c>
      <c r="H4951" t="s">
        <v>32</v>
      </c>
      <c r="I4951">
        <v>713.53711959999998</v>
      </c>
      <c r="J4951" t="s">
        <v>33</v>
      </c>
      <c r="K4951" t="s">
        <v>6768</v>
      </c>
      <c r="L4951" t="s">
        <v>21</v>
      </c>
      <c r="M4951" t="str">
        <f t="shared" si="231"/>
        <v>OK</v>
      </c>
      <c r="N4951" t="str">
        <f t="shared" si="232"/>
        <v>1970s</v>
      </c>
      <c r="O4951" t="str">
        <f t="shared" si="233"/>
        <v>N/A</v>
      </c>
      <c r="P4951" t="str">
        <f>VLOOKUP(E4951,calculated_fields!$F$4:$G$6,2,FALSE)</f>
        <v>Economy</v>
      </c>
    </row>
    <row r="4952" spans="1:16">
      <c r="A4952" t="s">
        <v>6771</v>
      </c>
      <c r="B4952" t="s">
        <v>6747</v>
      </c>
      <c r="C4952" t="s">
        <v>14</v>
      </c>
      <c r="D4952">
        <v>1982</v>
      </c>
      <c r="E4952" t="s">
        <v>15</v>
      </c>
      <c r="F4952" t="s">
        <v>16</v>
      </c>
      <c r="G4952" t="s">
        <v>17</v>
      </c>
      <c r="H4952" t="s">
        <v>18</v>
      </c>
      <c r="I4952">
        <v>58.816000000000003</v>
      </c>
      <c r="J4952" t="s">
        <v>19</v>
      </c>
      <c r="K4952" t="s">
        <v>6772</v>
      </c>
      <c r="L4952" t="s">
        <v>21</v>
      </c>
      <c r="M4952" t="str">
        <f t="shared" si="231"/>
        <v>OK</v>
      </c>
      <c r="N4952" t="str">
        <f t="shared" si="232"/>
        <v>1980s</v>
      </c>
      <c r="O4952" t="str">
        <f t="shared" si="233"/>
        <v>Medium</v>
      </c>
      <c r="P4952" t="str">
        <f>VLOOKUP(E4952,calculated_fields!$F$4:$G$6,2,FALSE)</f>
        <v>Health</v>
      </c>
    </row>
    <row r="4953" spans="1:16">
      <c r="A4953" t="s">
        <v>6773</v>
      </c>
      <c r="B4953" t="s">
        <v>6747</v>
      </c>
      <c r="C4953" t="s">
        <v>14</v>
      </c>
      <c r="D4953">
        <v>1982</v>
      </c>
      <c r="E4953" t="s">
        <v>23</v>
      </c>
      <c r="F4953" t="s">
        <v>24</v>
      </c>
      <c r="G4953" t="s">
        <v>25</v>
      </c>
      <c r="H4953" t="s">
        <v>26</v>
      </c>
      <c r="I4953">
        <v>56142181</v>
      </c>
      <c r="J4953" t="s">
        <v>27</v>
      </c>
      <c r="K4953" t="s">
        <v>6772</v>
      </c>
      <c r="L4953" t="s">
        <v>21</v>
      </c>
      <c r="M4953" t="str">
        <f t="shared" si="231"/>
        <v>OK</v>
      </c>
      <c r="N4953" t="str">
        <f t="shared" si="232"/>
        <v>1980s</v>
      </c>
      <c r="O4953" t="str">
        <f t="shared" si="233"/>
        <v>N/A</v>
      </c>
      <c r="P4953" t="str">
        <f>VLOOKUP(E4953,calculated_fields!$F$4:$G$6,2,FALSE)</f>
        <v>Demographics</v>
      </c>
    </row>
    <row r="4954" spans="1:16">
      <c r="A4954" t="s">
        <v>6774</v>
      </c>
      <c r="B4954" t="s">
        <v>6747</v>
      </c>
      <c r="C4954" t="s">
        <v>14</v>
      </c>
      <c r="D4954">
        <v>1982</v>
      </c>
      <c r="E4954" t="s">
        <v>29</v>
      </c>
      <c r="F4954" t="s">
        <v>30</v>
      </c>
      <c r="G4954" t="s">
        <v>31</v>
      </c>
      <c r="H4954" t="s">
        <v>32</v>
      </c>
      <c r="I4954">
        <v>707.23578629999997</v>
      </c>
      <c r="J4954" t="s">
        <v>33</v>
      </c>
      <c r="K4954" t="s">
        <v>6772</v>
      </c>
      <c r="L4954" t="s">
        <v>21</v>
      </c>
      <c r="M4954" t="str">
        <f t="shared" si="231"/>
        <v>OK</v>
      </c>
      <c r="N4954" t="str">
        <f t="shared" si="232"/>
        <v>1980s</v>
      </c>
      <c r="O4954" t="str">
        <f t="shared" si="233"/>
        <v>N/A</v>
      </c>
      <c r="P4954" t="str">
        <f>VLOOKUP(E4954,calculated_fields!$F$4:$G$6,2,FALSE)</f>
        <v>Economy</v>
      </c>
    </row>
    <row r="4955" spans="1:16">
      <c r="A4955" t="s">
        <v>6775</v>
      </c>
      <c r="B4955" t="s">
        <v>6747</v>
      </c>
      <c r="C4955" t="s">
        <v>14</v>
      </c>
      <c r="D4955">
        <v>1987</v>
      </c>
      <c r="E4955" t="s">
        <v>15</v>
      </c>
      <c r="F4955" t="s">
        <v>16</v>
      </c>
      <c r="G4955" t="s">
        <v>17</v>
      </c>
      <c r="H4955" t="s">
        <v>18</v>
      </c>
      <c r="I4955">
        <v>62.82</v>
      </c>
      <c r="J4955" t="s">
        <v>19</v>
      </c>
      <c r="K4955" t="s">
        <v>6776</v>
      </c>
      <c r="L4955" t="s">
        <v>21</v>
      </c>
      <c r="M4955" t="str">
        <f t="shared" si="231"/>
        <v>OK</v>
      </c>
      <c r="N4955" t="str">
        <f t="shared" si="232"/>
        <v>1980s</v>
      </c>
      <c r="O4955" t="str">
        <f t="shared" si="233"/>
        <v>Medium</v>
      </c>
      <c r="P4955" t="str">
        <f>VLOOKUP(E4955,calculated_fields!$F$4:$G$6,2,FALSE)</f>
        <v>Health</v>
      </c>
    </row>
    <row r="4956" spans="1:16">
      <c r="A4956" t="s">
        <v>6777</v>
      </c>
      <c r="B4956" t="s">
        <v>6747</v>
      </c>
      <c r="C4956" t="s">
        <v>14</v>
      </c>
      <c r="D4956">
        <v>1987</v>
      </c>
      <c r="E4956" t="s">
        <v>23</v>
      </c>
      <c r="F4956" t="s">
        <v>24</v>
      </c>
      <c r="G4956" t="s">
        <v>25</v>
      </c>
      <c r="H4956" t="s">
        <v>26</v>
      </c>
      <c r="I4956">
        <v>62826491</v>
      </c>
      <c r="J4956" t="s">
        <v>27</v>
      </c>
      <c r="K4956" t="s">
        <v>6776</v>
      </c>
      <c r="L4956" t="s">
        <v>21</v>
      </c>
      <c r="M4956" t="str">
        <f t="shared" si="231"/>
        <v>OK</v>
      </c>
      <c r="N4956" t="str">
        <f t="shared" si="232"/>
        <v>1980s</v>
      </c>
      <c r="O4956" t="str">
        <f t="shared" si="233"/>
        <v>N/A</v>
      </c>
      <c r="P4956" t="str">
        <f>VLOOKUP(E4956,calculated_fields!$F$4:$G$6,2,FALSE)</f>
        <v>Demographics</v>
      </c>
    </row>
    <row r="4957" spans="1:16">
      <c r="A4957" t="s">
        <v>6778</v>
      </c>
      <c r="B4957" t="s">
        <v>6747</v>
      </c>
      <c r="C4957" t="s">
        <v>14</v>
      </c>
      <c r="D4957">
        <v>1987</v>
      </c>
      <c r="E4957" t="s">
        <v>29</v>
      </c>
      <c r="F4957" t="s">
        <v>30</v>
      </c>
      <c r="G4957" t="s">
        <v>31</v>
      </c>
      <c r="H4957" t="s">
        <v>32</v>
      </c>
      <c r="I4957">
        <v>820.79944490000003</v>
      </c>
      <c r="J4957" t="s">
        <v>33</v>
      </c>
      <c r="K4957" t="s">
        <v>6776</v>
      </c>
      <c r="L4957" t="s">
        <v>21</v>
      </c>
      <c r="M4957" t="str">
        <f t="shared" si="231"/>
        <v>OK</v>
      </c>
      <c r="N4957" t="str">
        <f t="shared" si="232"/>
        <v>1980s</v>
      </c>
      <c r="O4957" t="str">
        <f t="shared" si="233"/>
        <v>N/A</v>
      </c>
      <c r="P4957" t="str">
        <f>VLOOKUP(E4957,calculated_fields!$F$4:$G$6,2,FALSE)</f>
        <v>Economy</v>
      </c>
    </row>
    <row r="4958" spans="1:16">
      <c r="A4958" t="s">
        <v>6779</v>
      </c>
      <c r="B4958" t="s">
        <v>6747</v>
      </c>
      <c r="C4958" t="s">
        <v>14</v>
      </c>
      <c r="D4958">
        <v>1992</v>
      </c>
      <c r="E4958" t="s">
        <v>15</v>
      </c>
      <c r="F4958" t="s">
        <v>16</v>
      </c>
      <c r="G4958" t="s">
        <v>17</v>
      </c>
      <c r="H4958" t="s">
        <v>18</v>
      </c>
      <c r="I4958">
        <v>67.661999999999907</v>
      </c>
      <c r="J4958" t="s">
        <v>19</v>
      </c>
      <c r="K4958" t="s">
        <v>6780</v>
      </c>
      <c r="L4958" t="s">
        <v>21</v>
      </c>
      <c r="M4958" t="str">
        <f t="shared" si="231"/>
        <v>OK</v>
      </c>
      <c r="N4958" t="str">
        <f t="shared" si="232"/>
        <v>1990s</v>
      </c>
      <c r="O4958" t="str">
        <f t="shared" si="233"/>
        <v>Medium</v>
      </c>
      <c r="P4958" t="str">
        <f>VLOOKUP(E4958,calculated_fields!$F$4:$G$6,2,FALSE)</f>
        <v>Health</v>
      </c>
    </row>
    <row r="4959" spans="1:16">
      <c r="A4959" t="s">
        <v>6781</v>
      </c>
      <c r="B4959" t="s">
        <v>6747</v>
      </c>
      <c r="C4959" t="s">
        <v>14</v>
      </c>
      <c r="D4959">
        <v>1992</v>
      </c>
      <c r="E4959" t="s">
        <v>23</v>
      </c>
      <c r="F4959" t="s">
        <v>24</v>
      </c>
      <c r="G4959" t="s">
        <v>25</v>
      </c>
      <c r="H4959" t="s">
        <v>26</v>
      </c>
      <c r="I4959">
        <v>69940728</v>
      </c>
      <c r="J4959" t="s">
        <v>27</v>
      </c>
      <c r="K4959" t="s">
        <v>6780</v>
      </c>
      <c r="L4959" t="s">
        <v>21</v>
      </c>
      <c r="M4959" t="str">
        <f t="shared" si="231"/>
        <v>OK</v>
      </c>
      <c r="N4959" t="str">
        <f t="shared" si="232"/>
        <v>1990s</v>
      </c>
      <c r="O4959" t="str">
        <f t="shared" si="233"/>
        <v>N/A</v>
      </c>
      <c r="P4959" t="str">
        <f>VLOOKUP(E4959,calculated_fields!$F$4:$G$6,2,FALSE)</f>
        <v>Demographics</v>
      </c>
    </row>
    <row r="4960" spans="1:16">
      <c r="A4960" t="s">
        <v>6782</v>
      </c>
      <c r="B4960" t="s">
        <v>6747</v>
      </c>
      <c r="C4960" t="s">
        <v>14</v>
      </c>
      <c r="D4960">
        <v>1992</v>
      </c>
      <c r="E4960" t="s">
        <v>29</v>
      </c>
      <c r="F4960" t="s">
        <v>30</v>
      </c>
      <c r="G4960" t="s">
        <v>31</v>
      </c>
      <c r="H4960" t="s">
        <v>32</v>
      </c>
      <c r="I4960">
        <v>989.02314869999998</v>
      </c>
      <c r="J4960" t="s">
        <v>33</v>
      </c>
      <c r="K4960" t="s">
        <v>6780</v>
      </c>
      <c r="L4960" t="s">
        <v>21</v>
      </c>
      <c r="M4960" t="str">
        <f t="shared" si="231"/>
        <v>OK</v>
      </c>
      <c r="N4960" t="str">
        <f t="shared" si="232"/>
        <v>1990s</v>
      </c>
      <c r="O4960" t="str">
        <f t="shared" si="233"/>
        <v>N/A</v>
      </c>
      <c r="P4960" t="str">
        <f>VLOOKUP(E4960,calculated_fields!$F$4:$G$6,2,FALSE)</f>
        <v>Economy</v>
      </c>
    </row>
    <row r="4961" spans="1:16">
      <c r="A4961" t="s">
        <v>6783</v>
      </c>
      <c r="B4961" t="s">
        <v>6747</v>
      </c>
      <c r="C4961" t="s">
        <v>14</v>
      </c>
      <c r="D4961">
        <v>1997</v>
      </c>
      <c r="E4961" t="s">
        <v>15</v>
      </c>
      <c r="F4961" t="s">
        <v>16</v>
      </c>
      <c r="G4961" t="s">
        <v>17</v>
      </c>
      <c r="H4961" t="s">
        <v>18</v>
      </c>
      <c r="I4961">
        <v>70.671999999999997</v>
      </c>
      <c r="J4961" t="s">
        <v>19</v>
      </c>
      <c r="K4961" t="s">
        <v>6784</v>
      </c>
      <c r="L4961" t="s">
        <v>21</v>
      </c>
      <c r="M4961" t="str">
        <f t="shared" si="231"/>
        <v>OK</v>
      </c>
      <c r="N4961" t="str">
        <f t="shared" si="232"/>
        <v>1990s</v>
      </c>
      <c r="O4961" t="str">
        <f t="shared" si="233"/>
        <v>High</v>
      </c>
      <c r="P4961" t="str">
        <f>VLOOKUP(E4961,calculated_fields!$F$4:$G$6,2,FALSE)</f>
        <v>Health</v>
      </c>
    </row>
    <row r="4962" spans="1:16">
      <c r="A4962" t="s">
        <v>6785</v>
      </c>
      <c r="B4962" t="s">
        <v>6747</v>
      </c>
      <c r="C4962" t="s">
        <v>14</v>
      </c>
      <c r="D4962">
        <v>1997</v>
      </c>
      <c r="E4962" t="s">
        <v>23</v>
      </c>
      <c r="F4962" t="s">
        <v>24</v>
      </c>
      <c r="G4962" t="s">
        <v>25</v>
      </c>
      <c r="H4962" t="s">
        <v>26</v>
      </c>
      <c r="I4962">
        <v>76048996</v>
      </c>
      <c r="J4962" t="s">
        <v>27</v>
      </c>
      <c r="K4962" t="s">
        <v>6784</v>
      </c>
      <c r="L4962" t="s">
        <v>21</v>
      </c>
      <c r="M4962" t="str">
        <f t="shared" si="231"/>
        <v>OK</v>
      </c>
      <c r="N4962" t="str">
        <f t="shared" si="232"/>
        <v>1990s</v>
      </c>
      <c r="O4962" t="str">
        <f t="shared" si="233"/>
        <v>N/A</v>
      </c>
      <c r="P4962" t="str">
        <f>VLOOKUP(E4962,calculated_fields!$F$4:$G$6,2,FALSE)</f>
        <v>Demographics</v>
      </c>
    </row>
    <row r="4963" spans="1:16">
      <c r="A4963" t="s">
        <v>6786</v>
      </c>
      <c r="B4963" t="s">
        <v>6747</v>
      </c>
      <c r="C4963" t="s">
        <v>14</v>
      </c>
      <c r="D4963">
        <v>1997</v>
      </c>
      <c r="E4963" t="s">
        <v>29</v>
      </c>
      <c r="F4963" t="s">
        <v>30</v>
      </c>
      <c r="G4963" t="s">
        <v>31</v>
      </c>
      <c r="H4963" t="s">
        <v>32</v>
      </c>
      <c r="I4963">
        <v>1385.8967689999999</v>
      </c>
      <c r="J4963" t="s">
        <v>33</v>
      </c>
      <c r="K4963" t="s">
        <v>6784</v>
      </c>
      <c r="L4963" t="s">
        <v>21</v>
      </c>
      <c r="M4963" t="str">
        <f t="shared" si="231"/>
        <v>OK</v>
      </c>
      <c r="N4963" t="str">
        <f t="shared" si="232"/>
        <v>1990s</v>
      </c>
      <c r="O4963" t="str">
        <f t="shared" si="233"/>
        <v>N/A</v>
      </c>
      <c r="P4963" t="str">
        <f>VLOOKUP(E4963,calculated_fields!$F$4:$G$6,2,FALSE)</f>
        <v>Economy</v>
      </c>
    </row>
    <row r="4964" spans="1:16">
      <c r="A4964" t="s">
        <v>6787</v>
      </c>
      <c r="B4964" t="s">
        <v>6747</v>
      </c>
      <c r="C4964" t="s">
        <v>14</v>
      </c>
      <c r="D4964">
        <v>2002</v>
      </c>
      <c r="E4964" t="s">
        <v>15</v>
      </c>
      <c r="F4964" t="s">
        <v>16</v>
      </c>
      <c r="G4964" t="s">
        <v>17</v>
      </c>
      <c r="H4964" t="s">
        <v>18</v>
      </c>
      <c r="I4964">
        <v>73.016999999999996</v>
      </c>
      <c r="J4964" t="s">
        <v>19</v>
      </c>
      <c r="K4964" t="s">
        <v>6788</v>
      </c>
      <c r="L4964" t="s">
        <v>21</v>
      </c>
      <c r="M4964" t="str">
        <f t="shared" si="231"/>
        <v>OK</v>
      </c>
      <c r="N4964" t="str">
        <f t="shared" si="232"/>
        <v>2000s</v>
      </c>
      <c r="O4964" t="str">
        <f t="shared" si="233"/>
        <v>High</v>
      </c>
      <c r="P4964" t="str">
        <f>VLOOKUP(E4964,calculated_fields!$F$4:$G$6,2,FALSE)</f>
        <v>Health</v>
      </c>
    </row>
    <row r="4965" spans="1:16">
      <c r="A4965" t="s">
        <v>6789</v>
      </c>
      <c r="B4965" t="s">
        <v>6747</v>
      </c>
      <c r="C4965" t="s">
        <v>14</v>
      </c>
      <c r="D4965">
        <v>2002</v>
      </c>
      <c r="E4965" t="s">
        <v>23</v>
      </c>
      <c r="F4965" t="s">
        <v>24</v>
      </c>
      <c r="G4965" t="s">
        <v>25</v>
      </c>
      <c r="H4965" t="s">
        <v>26</v>
      </c>
      <c r="I4965">
        <v>80908147</v>
      </c>
      <c r="J4965" t="s">
        <v>27</v>
      </c>
      <c r="K4965" t="s">
        <v>6788</v>
      </c>
      <c r="L4965" t="s">
        <v>21</v>
      </c>
      <c r="M4965" t="str">
        <f t="shared" si="231"/>
        <v>OK</v>
      </c>
      <c r="N4965" t="str">
        <f t="shared" si="232"/>
        <v>2000s</v>
      </c>
      <c r="O4965" t="str">
        <f t="shared" si="233"/>
        <v>N/A</v>
      </c>
      <c r="P4965" t="str">
        <f>VLOOKUP(E4965,calculated_fields!$F$4:$G$6,2,FALSE)</f>
        <v>Demographics</v>
      </c>
    </row>
    <row r="4966" spans="1:16">
      <c r="A4966" t="s">
        <v>6790</v>
      </c>
      <c r="B4966" t="s">
        <v>6747</v>
      </c>
      <c r="C4966" t="s">
        <v>14</v>
      </c>
      <c r="D4966">
        <v>2002</v>
      </c>
      <c r="E4966" t="s">
        <v>29</v>
      </c>
      <c r="F4966" t="s">
        <v>30</v>
      </c>
      <c r="G4966" t="s">
        <v>31</v>
      </c>
      <c r="H4966" t="s">
        <v>32</v>
      </c>
      <c r="I4966">
        <v>1764.4566769999999</v>
      </c>
      <c r="J4966" t="s">
        <v>33</v>
      </c>
      <c r="K4966" t="s">
        <v>6788</v>
      </c>
      <c r="L4966" t="s">
        <v>21</v>
      </c>
      <c r="M4966" t="str">
        <f t="shared" si="231"/>
        <v>OK</v>
      </c>
      <c r="N4966" t="str">
        <f t="shared" si="232"/>
        <v>2000s</v>
      </c>
      <c r="O4966" t="str">
        <f t="shared" si="233"/>
        <v>N/A</v>
      </c>
      <c r="P4966" t="str">
        <f>VLOOKUP(E4966,calculated_fields!$F$4:$G$6,2,FALSE)</f>
        <v>Economy</v>
      </c>
    </row>
    <row r="4967" spans="1:16">
      <c r="A4967" t="s">
        <v>6791</v>
      </c>
      <c r="B4967" t="s">
        <v>6747</v>
      </c>
      <c r="C4967" t="s">
        <v>14</v>
      </c>
      <c r="D4967">
        <v>2007</v>
      </c>
      <c r="E4967" t="s">
        <v>15</v>
      </c>
      <c r="F4967" t="s">
        <v>16</v>
      </c>
      <c r="G4967" t="s">
        <v>17</v>
      </c>
      <c r="H4967" t="s">
        <v>18</v>
      </c>
      <c r="I4967">
        <v>74.248999999999995</v>
      </c>
      <c r="J4967" t="s">
        <v>19</v>
      </c>
      <c r="K4967" t="s">
        <v>6792</v>
      </c>
      <c r="L4967" t="s">
        <v>21</v>
      </c>
      <c r="M4967" t="str">
        <f t="shared" si="231"/>
        <v>OK</v>
      </c>
      <c r="N4967" t="str">
        <f t="shared" si="232"/>
        <v>2000s</v>
      </c>
      <c r="O4967" t="str">
        <f t="shared" si="233"/>
        <v>High</v>
      </c>
      <c r="P4967" t="str">
        <f>VLOOKUP(E4967,calculated_fields!$F$4:$G$6,2,FALSE)</f>
        <v>Health</v>
      </c>
    </row>
    <row r="4968" spans="1:16">
      <c r="A4968" t="s">
        <v>6793</v>
      </c>
      <c r="B4968" t="s">
        <v>6747</v>
      </c>
      <c r="C4968" t="s">
        <v>14</v>
      </c>
      <c r="D4968">
        <v>2007</v>
      </c>
      <c r="E4968" t="s">
        <v>23</v>
      </c>
      <c r="F4968" t="s">
        <v>24</v>
      </c>
      <c r="G4968" t="s">
        <v>25</v>
      </c>
      <c r="H4968" t="s">
        <v>26</v>
      </c>
      <c r="I4968">
        <v>85262356</v>
      </c>
      <c r="J4968" t="s">
        <v>27</v>
      </c>
      <c r="K4968" t="s">
        <v>6792</v>
      </c>
      <c r="L4968" t="s">
        <v>21</v>
      </c>
      <c r="M4968" t="str">
        <f t="shared" si="231"/>
        <v>OK</v>
      </c>
      <c r="N4968" t="str">
        <f t="shared" si="232"/>
        <v>2000s</v>
      </c>
      <c r="O4968" t="str">
        <f t="shared" si="233"/>
        <v>N/A</v>
      </c>
      <c r="P4968" t="str">
        <f>VLOOKUP(E4968,calculated_fields!$F$4:$G$6,2,FALSE)</f>
        <v>Demographics</v>
      </c>
    </row>
    <row r="4969" spans="1:16">
      <c r="A4969" t="s">
        <v>6794</v>
      </c>
      <c r="B4969" t="s">
        <v>6747</v>
      </c>
      <c r="C4969" t="s">
        <v>14</v>
      </c>
      <c r="D4969">
        <v>2007</v>
      </c>
      <c r="E4969" t="s">
        <v>29</v>
      </c>
      <c r="F4969" t="s">
        <v>30</v>
      </c>
      <c r="G4969" t="s">
        <v>31</v>
      </c>
      <c r="H4969" t="s">
        <v>32</v>
      </c>
      <c r="I4969">
        <v>2441.5764039999999</v>
      </c>
      <c r="J4969" t="s">
        <v>33</v>
      </c>
      <c r="K4969" t="s">
        <v>6792</v>
      </c>
      <c r="L4969" t="s">
        <v>21</v>
      </c>
      <c r="M4969" t="str">
        <f t="shared" si="231"/>
        <v>OK</v>
      </c>
      <c r="N4969" t="str">
        <f t="shared" si="232"/>
        <v>2000s</v>
      </c>
      <c r="O4969" t="str">
        <f t="shared" si="233"/>
        <v>N/A</v>
      </c>
      <c r="P4969" t="str">
        <f>VLOOKUP(E4969,calculated_fields!$F$4:$G$6,2,FALSE)</f>
        <v>Economy</v>
      </c>
    </row>
    <row r="4970" spans="1:16">
      <c r="A4970" t="s">
        <v>6795</v>
      </c>
      <c r="B4970" t="s">
        <v>6796</v>
      </c>
      <c r="C4970" t="s">
        <v>14</v>
      </c>
      <c r="D4970">
        <v>1952</v>
      </c>
      <c r="E4970" t="s">
        <v>15</v>
      </c>
      <c r="F4970" t="s">
        <v>16</v>
      </c>
      <c r="G4970" t="s">
        <v>17</v>
      </c>
      <c r="H4970" t="s">
        <v>18</v>
      </c>
      <c r="I4970">
        <v>43.16</v>
      </c>
      <c r="J4970" t="s">
        <v>19</v>
      </c>
      <c r="K4970" t="s">
        <v>6797</v>
      </c>
      <c r="L4970" t="s">
        <v>21</v>
      </c>
      <c r="M4970" t="str">
        <f t="shared" si="231"/>
        <v>OK</v>
      </c>
      <c r="N4970" t="str">
        <f t="shared" si="232"/>
        <v>1950s</v>
      </c>
      <c r="O4970" t="str">
        <f t="shared" si="233"/>
        <v>Low</v>
      </c>
      <c r="P4970" t="str">
        <f>VLOOKUP(E4970,calculated_fields!$F$4:$G$6,2,FALSE)</f>
        <v>Health</v>
      </c>
    </row>
    <row r="4971" spans="1:16">
      <c r="A4971" t="s">
        <v>6798</v>
      </c>
      <c r="B4971" t="s">
        <v>6796</v>
      </c>
      <c r="C4971" t="s">
        <v>14</v>
      </c>
      <c r="D4971">
        <v>1952</v>
      </c>
      <c r="E4971" t="s">
        <v>23</v>
      </c>
      <c r="F4971" t="s">
        <v>24</v>
      </c>
      <c r="G4971" t="s">
        <v>25</v>
      </c>
      <c r="H4971" t="s">
        <v>26</v>
      </c>
      <c r="I4971">
        <v>1030585</v>
      </c>
      <c r="J4971" t="s">
        <v>27</v>
      </c>
      <c r="K4971" t="s">
        <v>6797</v>
      </c>
      <c r="L4971" t="s">
        <v>21</v>
      </c>
      <c r="M4971" t="str">
        <f t="shared" si="231"/>
        <v>OK</v>
      </c>
      <c r="N4971" t="str">
        <f t="shared" si="232"/>
        <v>1950s</v>
      </c>
      <c r="O4971" t="str">
        <f t="shared" si="233"/>
        <v>N/A</v>
      </c>
      <c r="P4971" t="str">
        <f>VLOOKUP(E4971,calculated_fields!$F$4:$G$6,2,FALSE)</f>
        <v>Demographics</v>
      </c>
    </row>
    <row r="4972" spans="1:16">
      <c r="A4972" t="s">
        <v>6799</v>
      </c>
      <c r="B4972" t="s">
        <v>6796</v>
      </c>
      <c r="C4972" t="s">
        <v>14</v>
      </c>
      <c r="D4972">
        <v>1952</v>
      </c>
      <c r="E4972" t="s">
        <v>29</v>
      </c>
      <c r="F4972" t="s">
        <v>30</v>
      </c>
      <c r="G4972" t="s">
        <v>31</v>
      </c>
      <c r="H4972" t="s">
        <v>32</v>
      </c>
      <c r="I4972">
        <v>1515.5923289999901</v>
      </c>
      <c r="J4972" t="s">
        <v>33</v>
      </c>
      <c r="K4972" t="s">
        <v>6797</v>
      </c>
      <c r="L4972" t="s">
        <v>21</v>
      </c>
      <c r="M4972" t="str">
        <f t="shared" si="231"/>
        <v>OK</v>
      </c>
      <c r="N4972" t="str">
        <f t="shared" si="232"/>
        <v>1950s</v>
      </c>
      <c r="O4972" t="str">
        <f t="shared" si="233"/>
        <v>N/A</v>
      </c>
      <c r="P4972" t="str">
        <f>VLOOKUP(E4972,calculated_fields!$F$4:$G$6,2,FALSE)</f>
        <v>Economy</v>
      </c>
    </row>
    <row r="4973" spans="1:16">
      <c r="A4973" t="s">
        <v>6800</v>
      </c>
      <c r="B4973" t="s">
        <v>6796</v>
      </c>
      <c r="C4973" t="s">
        <v>14</v>
      </c>
      <c r="D4973">
        <v>1957</v>
      </c>
      <c r="E4973" t="s">
        <v>15</v>
      </c>
      <c r="F4973" t="s">
        <v>16</v>
      </c>
      <c r="G4973" t="s">
        <v>17</v>
      </c>
      <c r="H4973" t="s">
        <v>18</v>
      </c>
      <c r="I4973">
        <v>45.670999999999999</v>
      </c>
      <c r="J4973" t="s">
        <v>19</v>
      </c>
      <c r="K4973" t="s">
        <v>6801</v>
      </c>
      <c r="L4973" t="s">
        <v>21</v>
      </c>
      <c r="M4973" t="str">
        <f t="shared" si="231"/>
        <v>OK</v>
      </c>
      <c r="N4973" t="str">
        <f t="shared" si="232"/>
        <v>1950s</v>
      </c>
      <c r="O4973" t="str">
        <f t="shared" si="233"/>
        <v>Low</v>
      </c>
      <c r="P4973" t="str">
        <f>VLOOKUP(E4973,calculated_fields!$F$4:$G$6,2,FALSE)</f>
        <v>Health</v>
      </c>
    </row>
    <row r="4974" spans="1:16">
      <c r="A4974" t="s">
        <v>6802</v>
      </c>
      <c r="B4974" t="s">
        <v>6796</v>
      </c>
      <c r="C4974" t="s">
        <v>14</v>
      </c>
      <c r="D4974">
        <v>1957</v>
      </c>
      <c r="E4974" t="s">
        <v>23</v>
      </c>
      <c r="F4974" t="s">
        <v>24</v>
      </c>
      <c r="G4974" t="s">
        <v>25</v>
      </c>
      <c r="H4974" t="s">
        <v>26</v>
      </c>
      <c r="I4974">
        <v>1070439</v>
      </c>
      <c r="J4974" t="s">
        <v>27</v>
      </c>
      <c r="K4974" t="s">
        <v>6801</v>
      </c>
      <c r="L4974" t="s">
        <v>21</v>
      </c>
      <c r="M4974" t="str">
        <f t="shared" si="231"/>
        <v>OK</v>
      </c>
      <c r="N4974" t="str">
        <f t="shared" si="232"/>
        <v>1950s</v>
      </c>
      <c r="O4974" t="str">
        <f t="shared" si="233"/>
        <v>N/A</v>
      </c>
      <c r="P4974" t="str">
        <f>VLOOKUP(E4974,calculated_fields!$F$4:$G$6,2,FALSE)</f>
        <v>Demographics</v>
      </c>
    </row>
    <row r="4975" spans="1:16">
      <c r="A4975" t="s">
        <v>6803</v>
      </c>
      <c r="B4975" t="s">
        <v>6796</v>
      </c>
      <c r="C4975" t="s">
        <v>14</v>
      </c>
      <c r="D4975">
        <v>1957</v>
      </c>
      <c r="E4975" t="s">
        <v>29</v>
      </c>
      <c r="F4975" t="s">
        <v>30</v>
      </c>
      <c r="G4975" t="s">
        <v>31</v>
      </c>
      <c r="H4975" t="s">
        <v>32</v>
      </c>
      <c r="I4975">
        <v>1827.067742</v>
      </c>
      <c r="J4975" t="s">
        <v>33</v>
      </c>
      <c r="K4975" t="s">
        <v>6801</v>
      </c>
      <c r="L4975" t="s">
        <v>21</v>
      </c>
      <c r="M4975" t="str">
        <f t="shared" si="231"/>
        <v>OK</v>
      </c>
      <c r="N4975" t="str">
        <f t="shared" si="232"/>
        <v>1950s</v>
      </c>
      <c r="O4975" t="str">
        <f t="shared" si="233"/>
        <v>N/A</v>
      </c>
      <c r="P4975" t="str">
        <f>VLOOKUP(E4975,calculated_fields!$F$4:$G$6,2,FALSE)</f>
        <v>Economy</v>
      </c>
    </row>
    <row r="4976" spans="1:16">
      <c r="A4976" t="s">
        <v>6804</v>
      </c>
      <c r="B4976" t="s">
        <v>6796</v>
      </c>
      <c r="C4976" t="s">
        <v>14</v>
      </c>
      <c r="D4976">
        <v>1962</v>
      </c>
      <c r="E4976" t="s">
        <v>15</v>
      </c>
      <c r="F4976" t="s">
        <v>16</v>
      </c>
      <c r="G4976" t="s">
        <v>17</v>
      </c>
      <c r="H4976" t="s">
        <v>18</v>
      </c>
      <c r="I4976">
        <v>48.127000000000002</v>
      </c>
      <c r="J4976" t="s">
        <v>19</v>
      </c>
      <c r="K4976" t="s">
        <v>6805</v>
      </c>
      <c r="L4976" t="s">
        <v>21</v>
      </c>
      <c r="M4976" t="str">
        <f t="shared" si="231"/>
        <v>OK</v>
      </c>
      <c r="N4976" t="str">
        <f t="shared" si="232"/>
        <v>1960s</v>
      </c>
      <c r="O4976" t="str">
        <f t="shared" si="233"/>
        <v>Low</v>
      </c>
      <c r="P4976" t="str">
        <f>VLOOKUP(E4976,calculated_fields!$F$4:$G$6,2,FALSE)</f>
        <v>Health</v>
      </c>
    </row>
    <row r="4977" spans="1:16">
      <c r="A4977" t="s">
        <v>6806</v>
      </c>
      <c r="B4977" t="s">
        <v>6796</v>
      </c>
      <c r="C4977" t="s">
        <v>14</v>
      </c>
      <c r="D4977">
        <v>1962</v>
      </c>
      <c r="E4977" t="s">
        <v>23</v>
      </c>
      <c r="F4977" t="s">
        <v>24</v>
      </c>
      <c r="G4977" t="s">
        <v>25</v>
      </c>
      <c r="H4977" t="s">
        <v>26</v>
      </c>
      <c r="I4977">
        <v>1133134</v>
      </c>
      <c r="J4977" t="s">
        <v>27</v>
      </c>
      <c r="K4977" t="s">
        <v>6805</v>
      </c>
      <c r="L4977" t="s">
        <v>21</v>
      </c>
      <c r="M4977" t="str">
        <f t="shared" si="231"/>
        <v>OK</v>
      </c>
      <c r="N4977" t="str">
        <f t="shared" si="232"/>
        <v>1960s</v>
      </c>
      <c r="O4977" t="str">
        <f t="shared" si="233"/>
        <v>N/A</v>
      </c>
      <c r="P4977" t="str">
        <f>VLOOKUP(E4977,calculated_fields!$F$4:$G$6,2,FALSE)</f>
        <v>Demographics</v>
      </c>
    </row>
    <row r="4978" spans="1:16">
      <c r="A4978" t="s">
        <v>6807</v>
      </c>
      <c r="B4978" t="s">
        <v>6796</v>
      </c>
      <c r="C4978" t="s">
        <v>14</v>
      </c>
      <c r="D4978">
        <v>1962</v>
      </c>
      <c r="E4978" t="s">
        <v>29</v>
      </c>
      <c r="F4978" t="s">
        <v>30</v>
      </c>
      <c r="G4978" t="s">
        <v>31</v>
      </c>
      <c r="H4978" t="s">
        <v>32</v>
      </c>
      <c r="I4978">
        <v>2198.9563119999998</v>
      </c>
      <c r="J4978" t="s">
        <v>33</v>
      </c>
      <c r="K4978" t="s">
        <v>6805</v>
      </c>
      <c r="L4978" t="s">
        <v>21</v>
      </c>
      <c r="M4978" t="str">
        <f t="shared" si="231"/>
        <v>OK</v>
      </c>
      <c r="N4978" t="str">
        <f t="shared" si="232"/>
        <v>1960s</v>
      </c>
      <c r="O4978" t="str">
        <f t="shared" si="233"/>
        <v>N/A</v>
      </c>
      <c r="P4978" t="str">
        <f>VLOOKUP(E4978,calculated_fields!$F$4:$G$6,2,FALSE)</f>
        <v>Economy</v>
      </c>
    </row>
    <row r="4979" spans="1:16">
      <c r="A4979" t="s">
        <v>6808</v>
      </c>
      <c r="B4979" t="s">
        <v>6796</v>
      </c>
      <c r="C4979" t="s">
        <v>14</v>
      </c>
      <c r="D4979">
        <v>1967</v>
      </c>
      <c r="E4979" t="s">
        <v>15</v>
      </c>
      <c r="F4979" t="s">
        <v>16</v>
      </c>
      <c r="G4979" t="s">
        <v>17</v>
      </c>
      <c r="H4979" t="s">
        <v>18</v>
      </c>
      <c r="I4979">
        <v>51.631</v>
      </c>
      <c r="J4979" t="s">
        <v>19</v>
      </c>
      <c r="K4979" t="s">
        <v>6809</v>
      </c>
      <c r="L4979" t="s">
        <v>21</v>
      </c>
      <c r="M4979" t="str">
        <f t="shared" si="231"/>
        <v>OK</v>
      </c>
      <c r="N4979" t="str">
        <f t="shared" si="232"/>
        <v>1960s</v>
      </c>
      <c r="O4979" t="str">
        <f t="shared" si="233"/>
        <v>Low</v>
      </c>
      <c r="P4979" t="str">
        <f>VLOOKUP(E4979,calculated_fields!$F$4:$G$6,2,FALSE)</f>
        <v>Health</v>
      </c>
    </row>
    <row r="4980" spans="1:16">
      <c r="A4980" t="s">
        <v>6810</v>
      </c>
      <c r="B4980" t="s">
        <v>6796</v>
      </c>
      <c r="C4980" t="s">
        <v>14</v>
      </c>
      <c r="D4980">
        <v>1967</v>
      </c>
      <c r="E4980" t="s">
        <v>23</v>
      </c>
      <c r="F4980" t="s">
        <v>24</v>
      </c>
      <c r="G4980" t="s">
        <v>25</v>
      </c>
      <c r="H4980" t="s">
        <v>26</v>
      </c>
      <c r="I4980">
        <v>1142636</v>
      </c>
      <c r="J4980" t="s">
        <v>27</v>
      </c>
      <c r="K4980" t="s">
        <v>6809</v>
      </c>
      <c r="L4980" t="s">
        <v>21</v>
      </c>
      <c r="M4980" t="str">
        <f t="shared" si="231"/>
        <v>OK</v>
      </c>
      <c r="N4980" t="str">
        <f t="shared" si="232"/>
        <v>1960s</v>
      </c>
      <c r="O4980" t="str">
        <f t="shared" si="233"/>
        <v>N/A</v>
      </c>
      <c r="P4980" t="str">
        <f>VLOOKUP(E4980,calculated_fields!$F$4:$G$6,2,FALSE)</f>
        <v>Demographics</v>
      </c>
    </row>
    <row r="4981" spans="1:16">
      <c r="A4981" t="s">
        <v>6811</v>
      </c>
      <c r="B4981" t="s">
        <v>6796</v>
      </c>
      <c r="C4981" t="s">
        <v>14</v>
      </c>
      <c r="D4981">
        <v>1967</v>
      </c>
      <c r="E4981" t="s">
        <v>29</v>
      </c>
      <c r="F4981" t="s">
        <v>30</v>
      </c>
      <c r="G4981" t="s">
        <v>31</v>
      </c>
      <c r="H4981" t="s">
        <v>32</v>
      </c>
      <c r="I4981">
        <v>2649.7150069999998</v>
      </c>
      <c r="J4981" t="s">
        <v>33</v>
      </c>
      <c r="K4981" t="s">
        <v>6809</v>
      </c>
      <c r="L4981" t="s">
        <v>21</v>
      </c>
      <c r="M4981" t="str">
        <f t="shared" si="231"/>
        <v>OK</v>
      </c>
      <c r="N4981" t="str">
        <f t="shared" si="232"/>
        <v>1960s</v>
      </c>
      <c r="O4981" t="str">
        <f t="shared" si="233"/>
        <v>N/A</v>
      </c>
      <c r="P4981" t="str">
        <f>VLOOKUP(E4981,calculated_fields!$F$4:$G$6,2,FALSE)</f>
        <v>Economy</v>
      </c>
    </row>
    <row r="4982" spans="1:16">
      <c r="A4982" t="s">
        <v>6812</v>
      </c>
      <c r="B4982" t="s">
        <v>6796</v>
      </c>
      <c r="C4982" t="s">
        <v>14</v>
      </c>
      <c r="D4982">
        <v>1972</v>
      </c>
      <c r="E4982" t="s">
        <v>15</v>
      </c>
      <c r="F4982" t="s">
        <v>16</v>
      </c>
      <c r="G4982" t="s">
        <v>17</v>
      </c>
      <c r="H4982" t="s">
        <v>18</v>
      </c>
      <c r="I4982">
        <v>56.531999999999996</v>
      </c>
      <c r="J4982" t="s">
        <v>19</v>
      </c>
      <c r="K4982" t="s">
        <v>6813</v>
      </c>
      <c r="L4982" t="s">
        <v>21</v>
      </c>
      <c r="M4982" t="str">
        <f t="shared" si="231"/>
        <v>OK</v>
      </c>
      <c r="N4982" t="str">
        <f t="shared" si="232"/>
        <v>1970s</v>
      </c>
      <c r="O4982" t="str">
        <f t="shared" si="233"/>
        <v>Medium</v>
      </c>
      <c r="P4982" t="str">
        <f>VLOOKUP(E4982,calculated_fields!$F$4:$G$6,2,FALSE)</f>
        <v>Health</v>
      </c>
    </row>
    <row r="4983" spans="1:16">
      <c r="A4983" t="s">
        <v>6814</v>
      </c>
      <c r="B4983" t="s">
        <v>6796</v>
      </c>
      <c r="C4983" t="s">
        <v>14</v>
      </c>
      <c r="D4983">
        <v>1972</v>
      </c>
      <c r="E4983" t="s">
        <v>23</v>
      </c>
      <c r="F4983" t="s">
        <v>24</v>
      </c>
      <c r="G4983" t="s">
        <v>25</v>
      </c>
      <c r="H4983" t="s">
        <v>26</v>
      </c>
      <c r="I4983">
        <v>1089572</v>
      </c>
      <c r="J4983" t="s">
        <v>27</v>
      </c>
      <c r="K4983" t="s">
        <v>6813</v>
      </c>
      <c r="L4983" t="s">
        <v>21</v>
      </c>
      <c r="M4983" t="str">
        <f t="shared" si="231"/>
        <v>OK</v>
      </c>
      <c r="N4983" t="str">
        <f t="shared" si="232"/>
        <v>1970s</v>
      </c>
      <c r="O4983" t="str">
        <f t="shared" si="233"/>
        <v>N/A</v>
      </c>
      <c r="P4983" t="str">
        <f>VLOOKUP(E4983,calculated_fields!$F$4:$G$6,2,FALSE)</f>
        <v>Demographics</v>
      </c>
    </row>
    <row r="4984" spans="1:16">
      <c r="A4984" t="s">
        <v>6815</v>
      </c>
      <c r="B4984" t="s">
        <v>6796</v>
      </c>
      <c r="C4984" t="s">
        <v>14</v>
      </c>
      <c r="D4984">
        <v>1972</v>
      </c>
      <c r="E4984" t="s">
        <v>29</v>
      </c>
      <c r="F4984" t="s">
        <v>30</v>
      </c>
      <c r="G4984" t="s">
        <v>31</v>
      </c>
      <c r="H4984" t="s">
        <v>32</v>
      </c>
      <c r="I4984">
        <v>3133.4092770000002</v>
      </c>
      <c r="J4984" t="s">
        <v>33</v>
      </c>
      <c r="K4984" t="s">
        <v>6813</v>
      </c>
      <c r="L4984" t="s">
        <v>21</v>
      </c>
      <c r="M4984" t="str">
        <f t="shared" si="231"/>
        <v>OK</v>
      </c>
      <c r="N4984" t="str">
        <f t="shared" si="232"/>
        <v>1970s</v>
      </c>
      <c r="O4984" t="str">
        <f t="shared" si="233"/>
        <v>N/A</v>
      </c>
      <c r="P4984" t="str">
        <f>VLOOKUP(E4984,calculated_fields!$F$4:$G$6,2,FALSE)</f>
        <v>Economy</v>
      </c>
    </row>
    <row r="4985" spans="1:16">
      <c r="A4985" t="s">
        <v>6816</v>
      </c>
      <c r="B4985" t="s">
        <v>6796</v>
      </c>
      <c r="C4985" t="s">
        <v>14</v>
      </c>
      <c r="D4985">
        <v>1977</v>
      </c>
      <c r="E4985" t="s">
        <v>15</v>
      </c>
      <c r="F4985" t="s">
        <v>16</v>
      </c>
      <c r="G4985" t="s">
        <v>17</v>
      </c>
      <c r="H4985" t="s">
        <v>18</v>
      </c>
      <c r="I4985">
        <v>60.765000000000001</v>
      </c>
      <c r="J4985" t="s">
        <v>19</v>
      </c>
      <c r="K4985" t="s">
        <v>6817</v>
      </c>
      <c r="L4985" t="s">
        <v>21</v>
      </c>
      <c r="M4985" t="str">
        <f t="shared" si="231"/>
        <v>OK</v>
      </c>
      <c r="N4985" t="str">
        <f t="shared" si="232"/>
        <v>1970s</v>
      </c>
      <c r="O4985" t="str">
        <f t="shared" si="233"/>
        <v>Medium</v>
      </c>
      <c r="P4985" t="str">
        <f>VLOOKUP(E4985,calculated_fields!$F$4:$G$6,2,FALSE)</f>
        <v>Health</v>
      </c>
    </row>
    <row r="4986" spans="1:16">
      <c r="A4986" t="s">
        <v>6818</v>
      </c>
      <c r="B4986" t="s">
        <v>6796</v>
      </c>
      <c r="C4986" t="s">
        <v>14</v>
      </c>
      <c r="D4986">
        <v>1977</v>
      </c>
      <c r="E4986" t="s">
        <v>23</v>
      </c>
      <c r="F4986" t="s">
        <v>24</v>
      </c>
      <c r="G4986" t="s">
        <v>25</v>
      </c>
      <c r="H4986" t="s">
        <v>26</v>
      </c>
      <c r="I4986">
        <v>1261091</v>
      </c>
      <c r="J4986" t="s">
        <v>27</v>
      </c>
      <c r="K4986" t="s">
        <v>6817</v>
      </c>
      <c r="L4986" t="s">
        <v>21</v>
      </c>
      <c r="M4986" t="str">
        <f t="shared" si="231"/>
        <v>OK</v>
      </c>
      <c r="N4986" t="str">
        <f t="shared" si="232"/>
        <v>1970s</v>
      </c>
      <c r="O4986" t="str">
        <f t="shared" si="233"/>
        <v>N/A</v>
      </c>
      <c r="P4986" t="str">
        <f>VLOOKUP(E4986,calculated_fields!$F$4:$G$6,2,FALSE)</f>
        <v>Demographics</v>
      </c>
    </row>
    <row r="4987" spans="1:16">
      <c r="A4987" t="s">
        <v>6819</v>
      </c>
      <c r="B4987" t="s">
        <v>6796</v>
      </c>
      <c r="C4987" t="s">
        <v>14</v>
      </c>
      <c r="D4987">
        <v>1977</v>
      </c>
      <c r="E4987" t="s">
        <v>29</v>
      </c>
      <c r="F4987" t="s">
        <v>30</v>
      </c>
      <c r="G4987" t="s">
        <v>31</v>
      </c>
      <c r="H4987" t="s">
        <v>32</v>
      </c>
      <c r="I4987">
        <v>3682.831494</v>
      </c>
      <c r="J4987" t="s">
        <v>33</v>
      </c>
      <c r="K4987" t="s">
        <v>6817</v>
      </c>
      <c r="L4987" t="s">
        <v>21</v>
      </c>
      <c r="M4987" t="str">
        <f t="shared" si="231"/>
        <v>OK</v>
      </c>
      <c r="N4987" t="str">
        <f t="shared" si="232"/>
        <v>1970s</v>
      </c>
      <c r="O4987" t="str">
        <f t="shared" si="233"/>
        <v>N/A</v>
      </c>
      <c r="P4987" t="str">
        <f>VLOOKUP(E4987,calculated_fields!$F$4:$G$6,2,FALSE)</f>
        <v>Economy</v>
      </c>
    </row>
    <row r="4988" spans="1:16">
      <c r="A4988" t="s">
        <v>6820</v>
      </c>
      <c r="B4988" t="s">
        <v>6796</v>
      </c>
      <c r="C4988" t="s">
        <v>14</v>
      </c>
      <c r="D4988">
        <v>1982</v>
      </c>
      <c r="E4988" t="s">
        <v>15</v>
      </c>
      <c r="F4988" t="s">
        <v>16</v>
      </c>
      <c r="G4988" t="s">
        <v>17</v>
      </c>
      <c r="H4988" t="s">
        <v>18</v>
      </c>
      <c r="I4988">
        <v>64.406000000000006</v>
      </c>
      <c r="J4988" t="s">
        <v>19</v>
      </c>
      <c r="K4988" t="s">
        <v>6821</v>
      </c>
      <c r="L4988" t="s">
        <v>21</v>
      </c>
      <c r="M4988" t="str">
        <f t="shared" si="231"/>
        <v>OK</v>
      </c>
      <c r="N4988" t="str">
        <f t="shared" si="232"/>
        <v>1980s</v>
      </c>
      <c r="O4988" t="str">
        <f t="shared" si="233"/>
        <v>Medium</v>
      </c>
      <c r="P4988" t="str">
        <f>VLOOKUP(E4988,calculated_fields!$F$4:$G$6,2,FALSE)</f>
        <v>Health</v>
      </c>
    </row>
    <row r="4989" spans="1:16">
      <c r="A4989" t="s">
        <v>6822</v>
      </c>
      <c r="B4989" t="s">
        <v>6796</v>
      </c>
      <c r="C4989" t="s">
        <v>14</v>
      </c>
      <c r="D4989">
        <v>1982</v>
      </c>
      <c r="E4989" t="s">
        <v>23</v>
      </c>
      <c r="F4989" t="s">
        <v>24</v>
      </c>
      <c r="G4989" t="s">
        <v>25</v>
      </c>
      <c r="H4989" t="s">
        <v>26</v>
      </c>
      <c r="I4989">
        <v>1425876</v>
      </c>
      <c r="J4989" t="s">
        <v>27</v>
      </c>
      <c r="K4989" t="s">
        <v>6821</v>
      </c>
      <c r="L4989" t="s">
        <v>21</v>
      </c>
      <c r="M4989" t="str">
        <f t="shared" si="231"/>
        <v>OK</v>
      </c>
      <c r="N4989" t="str">
        <f t="shared" si="232"/>
        <v>1980s</v>
      </c>
      <c r="O4989" t="str">
        <f t="shared" si="233"/>
        <v>N/A</v>
      </c>
      <c r="P4989" t="str">
        <f>VLOOKUP(E4989,calculated_fields!$F$4:$G$6,2,FALSE)</f>
        <v>Demographics</v>
      </c>
    </row>
    <row r="4990" spans="1:16">
      <c r="A4990" t="s">
        <v>6823</v>
      </c>
      <c r="B4990" t="s">
        <v>6796</v>
      </c>
      <c r="C4990" t="s">
        <v>14</v>
      </c>
      <c r="D4990">
        <v>1982</v>
      </c>
      <c r="E4990" t="s">
        <v>29</v>
      </c>
      <c r="F4990" t="s">
        <v>30</v>
      </c>
      <c r="G4990" t="s">
        <v>31</v>
      </c>
      <c r="H4990" t="s">
        <v>32</v>
      </c>
      <c r="I4990">
        <v>4336.0320819999997</v>
      </c>
      <c r="J4990" t="s">
        <v>33</v>
      </c>
      <c r="K4990" t="s">
        <v>6821</v>
      </c>
      <c r="L4990" t="s">
        <v>21</v>
      </c>
      <c r="M4990" t="str">
        <f t="shared" si="231"/>
        <v>OK</v>
      </c>
      <c r="N4990" t="str">
        <f t="shared" si="232"/>
        <v>1980s</v>
      </c>
      <c r="O4990" t="str">
        <f t="shared" si="233"/>
        <v>N/A</v>
      </c>
      <c r="P4990" t="str">
        <f>VLOOKUP(E4990,calculated_fields!$F$4:$G$6,2,FALSE)</f>
        <v>Economy</v>
      </c>
    </row>
    <row r="4991" spans="1:16">
      <c r="A4991" t="s">
        <v>6824</v>
      </c>
      <c r="B4991" t="s">
        <v>6796</v>
      </c>
      <c r="C4991" t="s">
        <v>14</v>
      </c>
      <c r="D4991">
        <v>1987</v>
      </c>
      <c r="E4991" t="s">
        <v>15</v>
      </c>
      <c r="F4991" t="s">
        <v>16</v>
      </c>
      <c r="G4991" t="s">
        <v>17</v>
      </c>
      <c r="H4991" t="s">
        <v>18</v>
      </c>
      <c r="I4991">
        <v>67.046000000000006</v>
      </c>
      <c r="J4991" t="s">
        <v>19</v>
      </c>
      <c r="K4991" t="s">
        <v>6825</v>
      </c>
      <c r="L4991" t="s">
        <v>21</v>
      </c>
      <c r="M4991" t="str">
        <f t="shared" si="231"/>
        <v>OK</v>
      </c>
      <c r="N4991" t="str">
        <f t="shared" si="232"/>
        <v>1980s</v>
      </c>
      <c r="O4991" t="str">
        <f t="shared" si="233"/>
        <v>Medium</v>
      </c>
      <c r="P4991" t="str">
        <f>VLOOKUP(E4991,calculated_fields!$F$4:$G$6,2,FALSE)</f>
        <v>Health</v>
      </c>
    </row>
    <row r="4992" spans="1:16">
      <c r="A4992" t="s">
        <v>6826</v>
      </c>
      <c r="B4992" t="s">
        <v>6796</v>
      </c>
      <c r="C4992" t="s">
        <v>14</v>
      </c>
      <c r="D4992">
        <v>1987</v>
      </c>
      <c r="E4992" t="s">
        <v>23</v>
      </c>
      <c r="F4992" t="s">
        <v>24</v>
      </c>
      <c r="G4992" t="s">
        <v>25</v>
      </c>
      <c r="H4992" t="s">
        <v>26</v>
      </c>
      <c r="I4992">
        <v>1691210</v>
      </c>
      <c r="J4992" t="s">
        <v>27</v>
      </c>
      <c r="K4992" t="s">
        <v>6825</v>
      </c>
      <c r="L4992" t="s">
        <v>21</v>
      </c>
      <c r="M4992" t="str">
        <f t="shared" si="231"/>
        <v>OK</v>
      </c>
      <c r="N4992" t="str">
        <f t="shared" si="232"/>
        <v>1980s</v>
      </c>
      <c r="O4992" t="str">
        <f t="shared" si="233"/>
        <v>N/A</v>
      </c>
      <c r="P4992" t="str">
        <f>VLOOKUP(E4992,calculated_fields!$F$4:$G$6,2,FALSE)</f>
        <v>Demographics</v>
      </c>
    </row>
    <row r="4993" spans="1:16">
      <c r="A4993" t="s">
        <v>6827</v>
      </c>
      <c r="B4993" t="s">
        <v>6796</v>
      </c>
      <c r="C4993" t="s">
        <v>14</v>
      </c>
      <c r="D4993">
        <v>1987</v>
      </c>
      <c r="E4993" t="s">
        <v>29</v>
      </c>
      <c r="F4993" t="s">
        <v>30</v>
      </c>
      <c r="G4993" t="s">
        <v>31</v>
      </c>
      <c r="H4993" t="s">
        <v>32</v>
      </c>
      <c r="I4993">
        <v>5107.1973840000001</v>
      </c>
      <c r="J4993" t="s">
        <v>33</v>
      </c>
      <c r="K4993" t="s">
        <v>6825</v>
      </c>
      <c r="L4993" t="s">
        <v>21</v>
      </c>
      <c r="M4993" t="str">
        <f t="shared" si="231"/>
        <v>OK</v>
      </c>
      <c r="N4993" t="str">
        <f t="shared" si="232"/>
        <v>1980s</v>
      </c>
      <c r="O4993" t="str">
        <f t="shared" si="233"/>
        <v>N/A</v>
      </c>
      <c r="P4993" t="str">
        <f>VLOOKUP(E4993,calculated_fields!$F$4:$G$6,2,FALSE)</f>
        <v>Economy</v>
      </c>
    </row>
    <row r="4994" spans="1:16">
      <c r="A4994" t="s">
        <v>6828</v>
      </c>
      <c r="B4994" t="s">
        <v>6796</v>
      </c>
      <c r="C4994" t="s">
        <v>14</v>
      </c>
      <c r="D4994">
        <v>1992</v>
      </c>
      <c r="E4994" t="s">
        <v>15</v>
      </c>
      <c r="F4994" t="s">
        <v>16</v>
      </c>
      <c r="G4994" t="s">
        <v>17</v>
      </c>
      <c r="H4994" t="s">
        <v>18</v>
      </c>
      <c r="I4994">
        <v>69.718000000000004</v>
      </c>
      <c r="J4994" t="s">
        <v>19</v>
      </c>
      <c r="K4994" t="s">
        <v>6829</v>
      </c>
      <c r="L4994" t="s">
        <v>21</v>
      </c>
      <c r="M4994" t="str">
        <f t="shared" ref="M4994:M5057" si="234">IF(AND(ISNUMBER(I4994),I4994&gt;=0),"OK","Review")</f>
        <v>OK</v>
      </c>
      <c r="N4994" t="str">
        <f t="shared" ref="N4994:N5057" si="235">FLOOR(D4994,10)&amp;"s"</f>
        <v>1990s</v>
      </c>
      <c r="O4994" t="str">
        <f t="shared" ref="O4994:O5057" si="236">IF(E4994="LIFE_EXP",IF(I4994&gt;=70,"High",IF(I4994&gt;=55,"Medium","Low")),"N/A")</f>
        <v>Medium</v>
      </c>
      <c r="P4994" t="str">
        <f>VLOOKUP(E4994,calculated_fields!$F$4:$G$6,2,FALSE)</f>
        <v>Health</v>
      </c>
    </row>
    <row r="4995" spans="1:16">
      <c r="A4995" t="s">
        <v>6830</v>
      </c>
      <c r="B4995" t="s">
        <v>6796</v>
      </c>
      <c r="C4995" t="s">
        <v>14</v>
      </c>
      <c r="D4995">
        <v>1992</v>
      </c>
      <c r="E4995" t="s">
        <v>23</v>
      </c>
      <c r="F4995" t="s">
        <v>24</v>
      </c>
      <c r="G4995" t="s">
        <v>25</v>
      </c>
      <c r="H4995" t="s">
        <v>26</v>
      </c>
      <c r="I4995">
        <v>2104779</v>
      </c>
      <c r="J4995" t="s">
        <v>27</v>
      </c>
      <c r="K4995" t="s">
        <v>6829</v>
      </c>
      <c r="L4995" t="s">
        <v>21</v>
      </c>
      <c r="M4995" t="str">
        <f t="shared" si="234"/>
        <v>OK</v>
      </c>
      <c r="N4995" t="str">
        <f t="shared" si="235"/>
        <v>1990s</v>
      </c>
      <c r="O4995" t="str">
        <f t="shared" si="236"/>
        <v>N/A</v>
      </c>
      <c r="P4995" t="str">
        <f>VLOOKUP(E4995,calculated_fields!$F$4:$G$6,2,FALSE)</f>
        <v>Demographics</v>
      </c>
    </row>
    <row r="4996" spans="1:16">
      <c r="A4996" t="s">
        <v>6831</v>
      </c>
      <c r="B4996" t="s">
        <v>6796</v>
      </c>
      <c r="C4996" t="s">
        <v>14</v>
      </c>
      <c r="D4996">
        <v>1992</v>
      </c>
      <c r="E4996" t="s">
        <v>29</v>
      </c>
      <c r="F4996" t="s">
        <v>30</v>
      </c>
      <c r="G4996" t="s">
        <v>31</v>
      </c>
      <c r="H4996" t="s">
        <v>32</v>
      </c>
      <c r="I4996">
        <v>6017.6547559999999</v>
      </c>
      <c r="J4996" t="s">
        <v>33</v>
      </c>
      <c r="K4996" t="s">
        <v>6829</v>
      </c>
      <c r="L4996" t="s">
        <v>21</v>
      </c>
      <c r="M4996" t="str">
        <f t="shared" si="234"/>
        <v>OK</v>
      </c>
      <c r="N4996" t="str">
        <f t="shared" si="235"/>
        <v>1990s</v>
      </c>
      <c r="O4996" t="str">
        <f t="shared" si="236"/>
        <v>N/A</v>
      </c>
      <c r="P4996" t="str">
        <f>VLOOKUP(E4996,calculated_fields!$F$4:$G$6,2,FALSE)</f>
        <v>Economy</v>
      </c>
    </row>
    <row r="4997" spans="1:16">
      <c r="A4997" t="s">
        <v>6832</v>
      </c>
      <c r="B4997" t="s">
        <v>6796</v>
      </c>
      <c r="C4997" t="s">
        <v>14</v>
      </c>
      <c r="D4997">
        <v>1997</v>
      </c>
      <c r="E4997" t="s">
        <v>15</v>
      </c>
      <c r="F4997" t="s">
        <v>16</v>
      </c>
      <c r="G4997" t="s">
        <v>17</v>
      </c>
      <c r="H4997" t="s">
        <v>18</v>
      </c>
      <c r="I4997">
        <v>71.096000000000004</v>
      </c>
      <c r="J4997" t="s">
        <v>19</v>
      </c>
      <c r="K4997" t="s">
        <v>6833</v>
      </c>
      <c r="L4997" t="s">
        <v>21</v>
      </c>
      <c r="M4997" t="str">
        <f t="shared" si="234"/>
        <v>OK</v>
      </c>
      <c r="N4997" t="str">
        <f t="shared" si="235"/>
        <v>1990s</v>
      </c>
      <c r="O4997" t="str">
        <f t="shared" si="236"/>
        <v>High</v>
      </c>
      <c r="P4997" t="str">
        <f>VLOOKUP(E4997,calculated_fields!$F$4:$G$6,2,FALSE)</f>
        <v>Health</v>
      </c>
    </row>
    <row r="4998" spans="1:16">
      <c r="A4998" t="s">
        <v>6834</v>
      </c>
      <c r="B4998" t="s">
        <v>6796</v>
      </c>
      <c r="C4998" t="s">
        <v>14</v>
      </c>
      <c r="D4998">
        <v>1997</v>
      </c>
      <c r="E4998" t="s">
        <v>23</v>
      </c>
      <c r="F4998" t="s">
        <v>24</v>
      </c>
      <c r="G4998" t="s">
        <v>25</v>
      </c>
      <c r="H4998" t="s">
        <v>26</v>
      </c>
      <c r="I4998">
        <v>2826046</v>
      </c>
      <c r="J4998" t="s">
        <v>27</v>
      </c>
      <c r="K4998" t="s">
        <v>6833</v>
      </c>
      <c r="L4998" t="s">
        <v>21</v>
      </c>
      <c r="M4998" t="str">
        <f t="shared" si="234"/>
        <v>OK</v>
      </c>
      <c r="N4998" t="str">
        <f t="shared" si="235"/>
        <v>1990s</v>
      </c>
      <c r="O4998" t="str">
        <f t="shared" si="236"/>
        <v>N/A</v>
      </c>
      <c r="P4998" t="str">
        <f>VLOOKUP(E4998,calculated_fields!$F$4:$G$6,2,FALSE)</f>
        <v>Demographics</v>
      </c>
    </row>
    <row r="4999" spans="1:16">
      <c r="A4999" t="s">
        <v>6835</v>
      </c>
      <c r="B4999" t="s">
        <v>6796</v>
      </c>
      <c r="C4999" t="s">
        <v>14</v>
      </c>
      <c r="D4999">
        <v>1997</v>
      </c>
      <c r="E4999" t="s">
        <v>29</v>
      </c>
      <c r="F4999" t="s">
        <v>30</v>
      </c>
      <c r="G4999" t="s">
        <v>31</v>
      </c>
      <c r="H4999" t="s">
        <v>32</v>
      </c>
      <c r="I4999">
        <v>7110.6676189999998</v>
      </c>
      <c r="J4999" t="s">
        <v>33</v>
      </c>
      <c r="K4999" t="s">
        <v>6833</v>
      </c>
      <c r="L4999" t="s">
        <v>21</v>
      </c>
      <c r="M4999" t="str">
        <f t="shared" si="234"/>
        <v>OK</v>
      </c>
      <c r="N4999" t="str">
        <f t="shared" si="235"/>
        <v>1990s</v>
      </c>
      <c r="O4999" t="str">
        <f t="shared" si="236"/>
        <v>N/A</v>
      </c>
      <c r="P4999" t="str">
        <f>VLOOKUP(E4999,calculated_fields!$F$4:$G$6,2,FALSE)</f>
        <v>Economy</v>
      </c>
    </row>
    <row r="5000" spans="1:16">
      <c r="A5000" t="s">
        <v>6836</v>
      </c>
      <c r="B5000" t="s">
        <v>6796</v>
      </c>
      <c r="C5000" t="s">
        <v>14</v>
      </c>
      <c r="D5000">
        <v>2002</v>
      </c>
      <c r="E5000" t="s">
        <v>15</v>
      </c>
      <c r="F5000" t="s">
        <v>16</v>
      </c>
      <c r="G5000" t="s">
        <v>17</v>
      </c>
      <c r="H5000" t="s">
        <v>18</v>
      </c>
      <c r="I5000">
        <v>72.37</v>
      </c>
      <c r="J5000" t="s">
        <v>19</v>
      </c>
      <c r="K5000" t="s">
        <v>6837</v>
      </c>
      <c r="L5000" t="s">
        <v>21</v>
      </c>
      <c r="M5000" t="str">
        <f t="shared" si="234"/>
        <v>OK</v>
      </c>
      <c r="N5000" t="str">
        <f t="shared" si="235"/>
        <v>2000s</v>
      </c>
      <c r="O5000" t="str">
        <f t="shared" si="236"/>
        <v>High</v>
      </c>
      <c r="P5000" t="str">
        <f>VLOOKUP(E5000,calculated_fields!$F$4:$G$6,2,FALSE)</f>
        <v>Health</v>
      </c>
    </row>
    <row r="5001" spans="1:16">
      <c r="A5001" t="s">
        <v>6838</v>
      </c>
      <c r="B5001" t="s">
        <v>6796</v>
      </c>
      <c r="C5001" t="s">
        <v>14</v>
      </c>
      <c r="D5001">
        <v>2002</v>
      </c>
      <c r="E5001" t="s">
        <v>23</v>
      </c>
      <c r="F5001" t="s">
        <v>24</v>
      </c>
      <c r="G5001" t="s">
        <v>25</v>
      </c>
      <c r="H5001" t="s">
        <v>26</v>
      </c>
      <c r="I5001">
        <v>3389578</v>
      </c>
      <c r="J5001" t="s">
        <v>27</v>
      </c>
      <c r="K5001" t="s">
        <v>6837</v>
      </c>
      <c r="L5001" t="s">
        <v>21</v>
      </c>
      <c r="M5001" t="str">
        <f t="shared" si="234"/>
        <v>OK</v>
      </c>
      <c r="N5001" t="str">
        <f t="shared" si="235"/>
        <v>2000s</v>
      </c>
      <c r="O5001" t="str">
        <f t="shared" si="236"/>
        <v>N/A</v>
      </c>
      <c r="P5001" t="str">
        <f>VLOOKUP(E5001,calculated_fields!$F$4:$G$6,2,FALSE)</f>
        <v>Demographics</v>
      </c>
    </row>
    <row r="5002" spans="1:16">
      <c r="A5002" t="s">
        <v>6839</v>
      </c>
      <c r="B5002" t="s">
        <v>6796</v>
      </c>
      <c r="C5002" t="s">
        <v>14</v>
      </c>
      <c r="D5002">
        <v>2002</v>
      </c>
      <c r="E5002" t="s">
        <v>29</v>
      </c>
      <c r="F5002" t="s">
        <v>30</v>
      </c>
      <c r="G5002" t="s">
        <v>31</v>
      </c>
      <c r="H5002" t="s">
        <v>32</v>
      </c>
      <c r="I5002">
        <v>4515.4875750000001</v>
      </c>
      <c r="J5002" t="s">
        <v>33</v>
      </c>
      <c r="K5002" t="s">
        <v>6837</v>
      </c>
      <c r="L5002" t="s">
        <v>21</v>
      </c>
      <c r="M5002" t="str">
        <f t="shared" si="234"/>
        <v>OK</v>
      </c>
      <c r="N5002" t="str">
        <f t="shared" si="235"/>
        <v>2000s</v>
      </c>
      <c r="O5002" t="str">
        <f t="shared" si="236"/>
        <v>N/A</v>
      </c>
      <c r="P5002" t="str">
        <f>VLOOKUP(E5002,calculated_fields!$F$4:$G$6,2,FALSE)</f>
        <v>Economy</v>
      </c>
    </row>
    <row r="5003" spans="1:16">
      <c r="A5003" t="s">
        <v>6840</v>
      </c>
      <c r="B5003" t="s">
        <v>6796</v>
      </c>
      <c r="C5003" t="s">
        <v>14</v>
      </c>
      <c r="D5003">
        <v>2007</v>
      </c>
      <c r="E5003" t="s">
        <v>15</v>
      </c>
      <c r="F5003" t="s">
        <v>16</v>
      </c>
      <c r="G5003" t="s">
        <v>17</v>
      </c>
      <c r="H5003" t="s">
        <v>18</v>
      </c>
      <c r="I5003">
        <v>73.421999999999997</v>
      </c>
      <c r="J5003" t="s">
        <v>19</v>
      </c>
      <c r="K5003" t="s">
        <v>6841</v>
      </c>
      <c r="L5003" t="s">
        <v>21</v>
      </c>
      <c r="M5003" t="str">
        <f t="shared" si="234"/>
        <v>OK</v>
      </c>
      <c r="N5003" t="str">
        <f t="shared" si="235"/>
        <v>2000s</v>
      </c>
      <c r="O5003" t="str">
        <f t="shared" si="236"/>
        <v>High</v>
      </c>
      <c r="P5003" t="str">
        <f>VLOOKUP(E5003,calculated_fields!$F$4:$G$6,2,FALSE)</f>
        <v>Health</v>
      </c>
    </row>
    <row r="5004" spans="1:16">
      <c r="A5004" t="s">
        <v>6842</v>
      </c>
      <c r="B5004" t="s">
        <v>6796</v>
      </c>
      <c r="C5004" t="s">
        <v>14</v>
      </c>
      <c r="D5004">
        <v>2007</v>
      </c>
      <c r="E5004" t="s">
        <v>23</v>
      </c>
      <c r="F5004" t="s">
        <v>24</v>
      </c>
      <c r="G5004" t="s">
        <v>25</v>
      </c>
      <c r="H5004" t="s">
        <v>26</v>
      </c>
      <c r="I5004">
        <v>4018332</v>
      </c>
      <c r="J5004" t="s">
        <v>27</v>
      </c>
      <c r="K5004" t="s">
        <v>6841</v>
      </c>
      <c r="L5004" t="s">
        <v>21</v>
      </c>
      <c r="M5004" t="str">
        <f t="shared" si="234"/>
        <v>OK</v>
      </c>
      <c r="N5004" t="str">
        <f t="shared" si="235"/>
        <v>2000s</v>
      </c>
      <c r="O5004" t="str">
        <f t="shared" si="236"/>
        <v>N/A</v>
      </c>
      <c r="P5004" t="str">
        <f>VLOOKUP(E5004,calculated_fields!$F$4:$G$6,2,FALSE)</f>
        <v>Demographics</v>
      </c>
    </row>
    <row r="5005" spans="1:16">
      <c r="A5005" t="s">
        <v>6843</v>
      </c>
      <c r="B5005" t="s">
        <v>6796</v>
      </c>
      <c r="C5005" t="s">
        <v>14</v>
      </c>
      <c r="D5005">
        <v>2007</v>
      </c>
      <c r="E5005" t="s">
        <v>29</v>
      </c>
      <c r="F5005" t="s">
        <v>30</v>
      </c>
      <c r="G5005" t="s">
        <v>31</v>
      </c>
      <c r="H5005" t="s">
        <v>32</v>
      </c>
      <c r="I5005">
        <v>3025.3497980000002</v>
      </c>
      <c r="J5005" t="s">
        <v>33</v>
      </c>
      <c r="K5005" t="s">
        <v>6841</v>
      </c>
      <c r="L5005" t="s">
        <v>21</v>
      </c>
      <c r="M5005" t="str">
        <f t="shared" si="234"/>
        <v>OK</v>
      </c>
      <c r="N5005" t="str">
        <f t="shared" si="235"/>
        <v>2000s</v>
      </c>
      <c r="O5005" t="str">
        <f t="shared" si="236"/>
        <v>N/A</v>
      </c>
      <c r="P5005" t="str">
        <f>VLOOKUP(E5005,calculated_fields!$F$4:$G$6,2,FALSE)</f>
        <v>Economy</v>
      </c>
    </row>
    <row r="5006" spans="1:16">
      <c r="A5006" t="s">
        <v>6844</v>
      </c>
      <c r="B5006" t="s">
        <v>6845</v>
      </c>
      <c r="C5006" t="s">
        <v>14</v>
      </c>
      <c r="D5006">
        <v>1952</v>
      </c>
      <c r="E5006" t="s">
        <v>15</v>
      </c>
      <c r="F5006" t="s">
        <v>16</v>
      </c>
      <c r="G5006" t="s">
        <v>17</v>
      </c>
      <c r="H5006" t="s">
        <v>18</v>
      </c>
      <c r="I5006">
        <v>32.548000000000002</v>
      </c>
      <c r="J5006" t="s">
        <v>19</v>
      </c>
      <c r="K5006" t="s">
        <v>6846</v>
      </c>
      <c r="L5006" t="s">
        <v>21</v>
      </c>
      <c r="M5006" t="str">
        <f t="shared" si="234"/>
        <v>OK</v>
      </c>
      <c r="N5006" t="str">
        <f t="shared" si="235"/>
        <v>1950s</v>
      </c>
      <c r="O5006" t="str">
        <f t="shared" si="236"/>
        <v>Low</v>
      </c>
      <c r="P5006" t="str">
        <f>VLOOKUP(E5006,calculated_fields!$F$4:$G$6,2,FALSE)</f>
        <v>Health</v>
      </c>
    </row>
    <row r="5007" spans="1:16">
      <c r="A5007" t="s">
        <v>6847</v>
      </c>
      <c r="B5007" t="s">
        <v>6845</v>
      </c>
      <c r="C5007" t="s">
        <v>14</v>
      </c>
      <c r="D5007">
        <v>1952</v>
      </c>
      <c r="E5007" t="s">
        <v>23</v>
      </c>
      <c r="F5007" t="s">
        <v>24</v>
      </c>
      <c r="G5007" t="s">
        <v>25</v>
      </c>
      <c r="H5007" t="s">
        <v>26</v>
      </c>
      <c r="I5007">
        <v>4963829</v>
      </c>
      <c r="J5007" t="s">
        <v>27</v>
      </c>
      <c r="K5007" t="s">
        <v>6846</v>
      </c>
      <c r="L5007" t="s">
        <v>21</v>
      </c>
      <c r="M5007" t="str">
        <f t="shared" si="234"/>
        <v>OK</v>
      </c>
      <c r="N5007" t="str">
        <f t="shared" si="235"/>
        <v>1950s</v>
      </c>
      <c r="O5007" t="str">
        <f t="shared" si="236"/>
        <v>N/A</v>
      </c>
      <c r="P5007" t="str">
        <f>VLOOKUP(E5007,calculated_fields!$F$4:$G$6,2,FALSE)</f>
        <v>Demographics</v>
      </c>
    </row>
    <row r="5008" spans="1:16">
      <c r="A5008" t="s">
        <v>6848</v>
      </c>
      <c r="B5008" t="s">
        <v>6845</v>
      </c>
      <c r="C5008" t="s">
        <v>14</v>
      </c>
      <c r="D5008">
        <v>1952</v>
      </c>
      <c r="E5008" t="s">
        <v>29</v>
      </c>
      <c r="F5008" t="s">
        <v>30</v>
      </c>
      <c r="G5008" t="s">
        <v>31</v>
      </c>
      <c r="H5008" t="s">
        <v>32</v>
      </c>
      <c r="I5008">
        <v>781.71757609999997</v>
      </c>
      <c r="J5008" t="s">
        <v>33</v>
      </c>
      <c r="K5008" t="s">
        <v>6846</v>
      </c>
      <c r="L5008" t="s">
        <v>21</v>
      </c>
      <c r="M5008" t="str">
        <f t="shared" si="234"/>
        <v>OK</v>
      </c>
      <c r="N5008" t="str">
        <f t="shared" si="235"/>
        <v>1950s</v>
      </c>
      <c r="O5008" t="str">
        <f t="shared" si="236"/>
        <v>N/A</v>
      </c>
      <c r="P5008" t="str">
        <f>VLOOKUP(E5008,calculated_fields!$F$4:$G$6,2,FALSE)</f>
        <v>Economy</v>
      </c>
    </row>
    <row r="5009" spans="1:16">
      <c r="A5009" t="s">
        <v>6849</v>
      </c>
      <c r="B5009" t="s">
        <v>6845</v>
      </c>
      <c r="C5009" t="s">
        <v>14</v>
      </c>
      <c r="D5009">
        <v>1957</v>
      </c>
      <c r="E5009" t="s">
        <v>15</v>
      </c>
      <c r="F5009" t="s">
        <v>16</v>
      </c>
      <c r="G5009" t="s">
        <v>17</v>
      </c>
      <c r="H5009" t="s">
        <v>18</v>
      </c>
      <c r="I5009">
        <v>33.97</v>
      </c>
      <c r="J5009" t="s">
        <v>19</v>
      </c>
      <c r="K5009" t="s">
        <v>6850</v>
      </c>
      <c r="L5009" t="s">
        <v>21</v>
      </c>
      <c r="M5009" t="str">
        <f t="shared" si="234"/>
        <v>OK</v>
      </c>
      <c r="N5009" t="str">
        <f t="shared" si="235"/>
        <v>1950s</v>
      </c>
      <c r="O5009" t="str">
        <f t="shared" si="236"/>
        <v>Low</v>
      </c>
      <c r="P5009" t="str">
        <f>VLOOKUP(E5009,calculated_fields!$F$4:$G$6,2,FALSE)</f>
        <v>Health</v>
      </c>
    </row>
    <row r="5010" spans="1:16">
      <c r="A5010" t="s">
        <v>6851</v>
      </c>
      <c r="B5010" t="s">
        <v>6845</v>
      </c>
      <c r="C5010" t="s">
        <v>14</v>
      </c>
      <c r="D5010">
        <v>1957</v>
      </c>
      <c r="E5010" t="s">
        <v>23</v>
      </c>
      <c r="F5010" t="s">
        <v>24</v>
      </c>
      <c r="G5010" t="s">
        <v>25</v>
      </c>
      <c r="H5010" t="s">
        <v>26</v>
      </c>
      <c r="I5010">
        <v>5498090</v>
      </c>
      <c r="J5010" t="s">
        <v>27</v>
      </c>
      <c r="K5010" t="s">
        <v>6850</v>
      </c>
      <c r="L5010" t="s">
        <v>21</v>
      </c>
      <c r="M5010" t="str">
        <f t="shared" si="234"/>
        <v>OK</v>
      </c>
      <c r="N5010" t="str">
        <f t="shared" si="235"/>
        <v>1950s</v>
      </c>
      <c r="O5010" t="str">
        <f t="shared" si="236"/>
        <v>N/A</v>
      </c>
      <c r="P5010" t="str">
        <f>VLOOKUP(E5010,calculated_fields!$F$4:$G$6,2,FALSE)</f>
        <v>Demographics</v>
      </c>
    </row>
    <row r="5011" spans="1:16">
      <c r="A5011" t="s">
        <v>6852</v>
      </c>
      <c r="B5011" t="s">
        <v>6845</v>
      </c>
      <c r="C5011" t="s">
        <v>14</v>
      </c>
      <c r="D5011">
        <v>1957</v>
      </c>
      <c r="E5011" t="s">
        <v>29</v>
      </c>
      <c r="F5011" t="s">
        <v>30</v>
      </c>
      <c r="G5011" t="s">
        <v>31</v>
      </c>
      <c r="H5011" t="s">
        <v>32</v>
      </c>
      <c r="I5011">
        <v>804.83045470000002</v>
      </c>
      <c r="J5011" t="s">
        <v>33</v>
      </c>
      <c r="K5011" t="s">
        <v>6850</v>
      </c>
      <c r="L5011" t="s">
        <v>21</v>
      </c>
      <c r="M5011" t="str">
        <f t="shared" si="234"/>
        <v>OK</v>
      </c>
      <c r="N5011" t="str">
        <f t="shared" si="235"/>
        <v>1950s</v>
      </c>
      <c r="O5011" t="str">
        <f t="shared" si="236"/>
        <v>N/A</v>
      </c>
      <c r="P5011" t="str">
        <f>VLOOKUP(E5011,calculated_fields!$F$4:$G$6,2,FALSE)</f>
        <v>Economy</v>
      </c>
    </row>
    <row r="5012" spans="1:16">
      <c r="A5012" t="s">
        <v>6853</v>
      </c>
      <c r="B5012" t="s">
        <v>6845</v>
      </c>
      <c r="C5012" t="s">
        <v>14</v>
      </c>
      <c r="D5012">
        <v>1962</v>
      </c>
      <c r="E5012" t="s">
        <v>15</v>
      </c>
      <c r="F5012" t="s">
        <v>16</v>
      </c>
      <c r="G5012" t="s">
        <v>17</v>
      </c>
      <c r="H5012" t="s">
        <v>18</v>
      </c>
      <c r="I5012">
        <v>35.18</v>
      </c>
      <c r="J5012" t="s">
        <v>19</v>
      </c>
      <c r="K5012" t="s">
        <v>6854</v>
      </c>
      <c r="L5012" t="s">
        <v>21</v>
      </c>
      <c r="M5012" t="str">
        <f t="shared" si="234"/>
        <v>OK</v>
      </c>
      <c r="N5012" t="str">
        <f t="shared" si="235"/>
        <v>1960s</v>
      </c>
      <c r="O5012" t="str">
        <f t="shared" si="236"/>
        <v>Low</v>
      </c>
      <c r="P5012" t="str">
        <f>VLOOKUP(E5012,calculated_fields!$F$4:$G$6,2,FALSE)</f>
        <v>Health</v>
      </c>
    </row>
    <row r="5013" spans="1:16">
      <c r="A5013" t="s">
        <v>6855</v>
      </c>
      <c r="B5013" t="s">
        <v>6845</v>
      </c>
      <c r="C5013" t="s">
        <v>14</v>
      </c>
      <c r="D5013">
        <v>1962</v>
      </c>
      <c r="E5013" t="s">
        <v>23</v>
      </c>
      <c r="F5013" t="s">
        <v>24</v>
      </c>
      <c r="G5013" t="s">
        <v>25</v>
      </c>
      <c r="H5013" t="s">
        <v>26</v>
      </c>
      <c r="I5013">
        <v>6120081</v>
      </c>
      <c r="J5013" t="s">
        <v>27</v>
      </c>
      <c r="K5013" t="s">
        <v>6854</v>
      </c>
      <c r="L5013" t="s">
        <v>21</v>
      </c>
      <c r="M5013" t="str">
        <f t="shared" si="234"/>
        <v>OK</v>
      </c>
      <c r="N5013" t="str">
        <f t="shared" si="235"/>
        <v>1960s</v>
      </c>
      <c r="O5013" t="str">
        <f t="shared" si="236"/>
        <v>N/A</v>
      </c>
      <c r="P5013" t="str">
        <f>VLOOKUP(E5013,calculated_fields!$F$4:$G$6,2,FALSE)</f>
        <v>Demographics</v>
      </c>
    </row>
    <row r="5014" spans="1:16">
      <c r="A5014" t="s">
        <v>6856</v>
      </c>
      <c r="B5014" t="s">
        <v>6845</v>
      </c>
      <c r="C5014" t="s">
        <v>14</v>
      </c>
      <c r="D5014">
        <v>1962</v>
      </c>
      <c r="E5014" t="s">
        <v>29</v>
      </c>
      <c r="F5014" t="s">
        <v>30</v>
      </c>
      <c r="G5014" t="s">
        <v>31</v>
      </c>
      <c r="H5014" t="s">
        <v>32</v>
      </c>
      <c r="I5014">
        <v>825.62320060000002</v>
      </c>
      <c r="J5014" t="s">
        <v>33</v>
      </c>
      <c r="K5014" t="s">
        <v>6854</v>
      </c>
      <c r="L5014" t="s">
        <v>21</v>
      </c>
      <c r="M5014" t="str">
        <f t="shared" si="234"/>
        <v>OK</v>
      </c>
      <c r="N5014" t="str">
        <f t="shared" si="235"/>
        <v>1960s</v>
      </c>
      <c r="O5014" t="str">
        <f t="shared" si="236"/>
        <v>N/A</v>
      </c>
      <c r="P5014" t="str">
        <f>VLOOKUP(E5014,calculated_fields!$F$4:$G$6,2,FALSE)</f>
        <v>Economy</v>
      </c>
    </row>
    <row r="5015" spans="1:16">
      <c r="A5015" t="s">
        <v>6857</v>
      </c>
      <c r="B5015" t="s">
        <v>6845</v>
      </c>
      <c r="C5015" t="s">
        <v>14</v>
      </c>
      <c r="D5015">
        <v>1967</v>
      </c>
      <c r="E5015" t="s">
        <v>15</v>
      </c>
      <c r="F5015" t="s">
        <v>16</v>
      </c>
      <c r="G5015" t="s">
        <v>17</v>
      </c>
      <c r="H5015" t="s">
        <v>18</v>
      </c>
      <c r="I5015">
        <v>36.984000000000002</v>
      </c>
      <c r="J5015" t="s">
        <v>19</v>
      </c>
      <c r="K5015" t="s">
        <v>6858</v>
      </c>
      <c r="L5015" t="s">
        <v>21</v>
      </c>
      <c r="M5015" t="str">
        <f t="shared" si="234"/>
        <v>OK</v>
      </c>
      <c r="N5015" t="str">
        <f t="shared" si="235"/>
        <v>1960s</v>
      </c>
      <c r="O5015" t="str">
        <f t="shared" si="236"/>
        <v>Low</v>
      </c>
      <c r="P5015" t="str">
        <f>VLOOKUP(E5015,calculated_fields!$F$4:$G$6,2,FALSE)</f>
        <v>Health</v>
      </c>
    </row>
    <row r="5016" spans="1:16">
      <c r="A5016" t="s">
        <v>6859</v>
      </c>
      <c r="B5016" t="s">
        <v>6845</v>
      </c>
      <c r="C5016" t="s">
        <v>14</v>
      </c>
      <c r="D5016">
        <v>1967</v>
      </c>
      <c r="E5016" t="s">
        <v>23</v>
      </c>
      <c r="F5016" t="s">
        <v>24</v>
      </c>
      <c r="G5016" t="s">
        <v>25</v>
      </c>
      <c r="H5016" t="s">
        <v>26</v>
      </c>
      <c r="I5016">
        <v>6740785</v>
      </c>
      <c r="J5016" t="s">
        <v>27</v>
      </c>
      <c r="K5016" t="s">
        <v>6858</v>
      </c>
      <c r="L5016" t="s">
        <v>21</v>
      </c>
      <c r="M5016" t="str">
        <f t="shared" si="234"/>
        <v>OK</v>
      </c>
      <c r="N5016" t="str">
        <f t="shared" si="235"/>
        <v>1960s</v>
      </c>
      <c r="O5016" t="str">
        <f t="shared" si="236"/>
        <v>N/A</v>
      </c>
      <c r="P5016" t="str">
        <f>VLOOKUP(E5016,calculated_fields!$F$4:$G$6,2,FALSE)</f>
        <v>Demographics</v>
      </c>
    </row>
    <row r="5017" spans="1:16">
      <c r="A5017" t="s">
        <v>6860</v>
      </c>
      <c r="B5017" t="s">
        <v>6845</v>
      </c>
      <c r="C5017" t="s">
        <v>14</v>
      </c>
      <c r="D5017">
        <v>1967</v>
      </c>
      <c r="E5017" t="s">
        <v>29</v>
      </c>
      <c r="F5017" t="s">
        <v>30</v>
      </c>
      <c r="G5017" t="s">
        <v>31</v>
      </c>
      <c r="H5017" t="s">
        <v>32</v>
      </c>
      <c r="I5017">
        <v>862.44214629999999</v>
      </c>
      <c r="J5017" t="s">
        <v>33</v>
      </c>
      <c r="K5017" t="s">
        <v>6858</v>
      </c>
      <c r="L5017" t="s">
        <v>21</v>
      </c>
      <c r="M5017" t="str">
        <f t="shared" si="234"/>
        <v>OK</v>
      </c>
      <c r="N5017" t="str">
        <f t="shared" si="235"/>
        <v>1960s</v>
      </c>
      <c r="O5017" t="str">
        <f t="shared" si="236"/>
        <v>N/A</v>
      </c>
      <c r="P5017" t="str">
        <f>VLOOKUP(E5017,calculated_fields!$F$4:$G$6,2,FALSE)</f>
        <v>Economy</v>
      </c>
    </row>
    <row r="5018" spans="1:16">
      <c r="A5018" t="s">
        <v>6861</v>
      </c>
      <c r="B5018" t="s">
        <v>6845</v>
      </c>
      <c r="C5018" t="s">
        <v>14</v>
      </c>
      <c r="D5018">
        <v>1972</v>
      </c>
      <c r="E5018" t="s">
        <v>15</v>
      </c>
      <c r="F5018" t="s">
        <v>16</v>
      </c>
      <c r="G5018" t="s">
        <v>17</v>
      </c>
      <c r="H5018" t="s">
        <v>18</v>
      </c>
      <c r="I5018">
        <v>39.847999999999999</v>
      </c>
      <c r="J5018" t="s">
        <v>19</v>
      </c>
      <c r="K5018" t="s">
        <v>6862</v>
      </c>
      <c r="L5018" t="s">
        <v>21</v>
      </c>
      <c r="M5018" t="str">
        <f t="shared" si="234"/>
        <v>OK</v>
      </c>
      <c r="N5018" t="str">
        <f t="shared" si="235"/>
        <v>1970s</v>
      </c>
      <c r="O5018" t="str">
        <f t="shared" si="236"/>
        <v>Low</v>
      </c>
      <c r="P5018" t="str">
        <f>VLOOKUP(E5018,calculated_fields!$F$4:$G$6,2,FALSE)</f>
        <v>Health</v>
      </c>
    </row>
    <row r="5019" spans="1:16">
      <c r="A5019" t="s">
        <v>6863</v>
      </c>
      <c r="B5019" t="s">
        <v>6845</v>
      </c>
      <c r="C5019" t="s">
        <v>14</v>
      </c>
      <c r="D5019">
        <v>1972</v>
      </c>
      <c r="E5019" t="s">
        <v>23</v>
      </c>
      <c r="F5019" t="s">
        <v>24</v>
      </c>
      <c r="G5019" t="s">
        <v>25</v>
      </c>
      <c r="H5019" t="s">
        <v>26</v>
      </c>
      <c r="I5019">
        <v>7407075</v>
      </c>
      <c r="J5019" t="s">
        <v>27</v>
      </c>
      <c r="K5019" t="s">
        <v>6862</v>
      </c>
      <c r="L5019" t="s">
        <v>21</v>
      </c>
      <c r="M5019" t="str">
        <f t="shared" si="234"/>
        <v>OK</v>
      </c>
      <c r="N5019" t="str">
        <f t="shared" si="235"/>
        <v>1970s</v>
      </c>
      <c r="O5019" t="str">
        <f t="shared" si="236"/>
        <v>N/A</v>
      </c>
      <c r="P5019" t="str">
        <f>VLOOKUP(E5019,calculated_fields!$F$4:$G$6,2,FALSE)</f>
        <v>Demographics</v>
      </c>
    </row>
    <row r="5020" spans="1:16">
      <c r="A5020" t="s">
        <v>6864</v>
      </c>
      <c r="B5020" t="s">
        <v>6845</v>
      </c>
      <c r="C5020" t="s">
        <v>14</v>
      </c>
      <c r="D5020">
        <v>1972</v>
      </c>
      <c r="E5020" t="s">
        <v>29</v>
      </c>
      <c r="F5020" t="s">
        <v>30</v>
      </c>
      <c r="G5020" t="s">
        <v>31</v>
      </c>
      <c r="H5020" t="s">
        <v>32</v>
      </c>
      <c r="I5020">
        <v>1265.0470310000001</v>
      </c>
      <c r="J5020" t="s">
        <v>33</v>
      </c>
      <c r="K5020" t="s">
        <v>6862</v>
      </c>
      <c r="L5020" t="s">
        <v>21</v>
      </c>
      <c r="M5020" t="str">
        <f t="shared" si="234"/>
        <v>OK</v>
      </c>
      <c r="N5020" t="str">
        <f t="shared" si="235"/>
        <v>1970s</v>
      </c>
      <c r="O5020" t="str">
        <f t="shared" si="236"/>
        <v>N/A</v>
      </c>
      <c r="P5020" t="str">
        <f>VLOOKUP(E5020,calculated_fields!$F$4:$G$6,2,FALSE)</f>
        <v>Economy</v>
      </c>
    </row>
    <row r="5021" spans="1:16">
      <c r="A5021" t="s">
        <v>6865</v>
      </c>
      <c r="B5021" t="s">
        <v>6845</v>
      </c>
      <c r="C5021" t="s">
        <v>14</v>
      </c>
      <c r="D5021">
        <v>1977</v>
      </c>
      <c r="E5021" t="s">
        <v>15</v>
      </c>
      <c r="F5021" t="s">
        <v>16</v>
      </c>
      <c r="G5021" t="s">
        <v>17</v>
      </c>
      <c r="H5021" t="s">
        <v>18</v>
      </c>
      <c r="I5021">
        <v>44.174999999999997</v>
      </c>
      <c r="J5021" t="s">
        <v>19</v>
      </c>
      <c r="K5021" t="s">
        <v>6866</v>
      </c>
      <c r="L5021" t="s">
        <v>21</v>
      </c>
      <c r="M5021" t="str">
        <f t="shared" si="234"/>
        <v>OK</v>
      </c>
      <c r="N5021" t="str">
        <f t="shared" si="235"/>
        <v>1970s</v>
      </c>
      <c r="O5021" t="str">
        <f t="shared" si="236"/>
        <v>Low</v>
      </c>
      <c r="P5021" t="str">
        <f>VLOOKUP(E5021,calculated_fields!$F$4:$G$6,2,FALSE)</f>
        <v>Health</v>
      </c>
    </row>
    <row r="5022" spans="1:16">
      <c r="A5022" t="s">
        <v>6867</v>
      </c>
      <c r="B5022" t="s">
        <v>6845</v>
      </c>
      <c r="C5022" t="s">
        <v>14</v>
      </c>
      <c r="D5022">
        <v>1977</v>
      </c>
      <c r="E5022" t="s">
        <v>23</v>
      </c>
      <c r="F5022" t="s">
        <v>24</v>
      </c>
      <c r="G5022" t="s">
        <v>25</v>
      </c>
      <c r="H5022" t="s">
        <v>26</v>
      </c>
      <c r="I5022">
        <v>8403990</v>
      </c>
      <c r="J5022" t="s">
        <v>27</v>
      </c>
      <c r="K5022" t="s">
        <v>6866</v>
      </c>
      <c r="L5022" t="s">
        <v>21</v>
      </c>
      <c r="M5022" t="str">
        <f t="shared" si="234"/>
        <v>OK</v>
      </c>
      <c r="N5022" t="str">
        <f t="shared" si="235"/>
        <v>1970s</v>
      </c>
      <c r="O5022" t="str">
        <f t="shared" si="236"/>
        <v>N/A</v>
      </c>
      <c r="P5022" t="str">
        <f>VLOOKUP(E5022,calculated_fields!$F$4:$G$6,2,FALSE)</f>
        <v>Demographics</v>
      </c>
    </row>
    <row r="5023" spans="1:16">
      <c r="A5023" t="s">
        <v>6868</v>
      </c>
      <c r="B5023" t="s">
        <v>6845</v>
      </c>
      <c r="C5023" t="s">
        <v>14</v>
      </c>
      <c r="D5023">
        <v>1977</v>
      </c>
      <c r="E5023" t="s">
        <v>29</v>
      </c>
      <c r="F5023" t="s">
        <v>30</v>
      </c>
      <c r="G5023" t="s">
        <v>31</v>
      </c>
      <c r="H5023" t="s">
        <v>32</v>
      </c>
      <c r="I5023">
        <v>1829.765177</v>
      </c>
      <c r="J5023" t="s">
        <v>33</v>
      </c>
      <c r="K5023" t="s">
        <v>6866</v>
      </c>
      <c r="L5023" t="s">
        <v>21</v>
      </c>
      <c r="M5023" t="str">
        <f t="shared" si="234"/>
        <v>OK</v>
      </c>
      <c r="N5023" t="str">
        <f t="shared" si="235"/>
        <v>1970s</v>
      </c>
      <c r="O5023" t="str">
        <f t="shared" si="236"/>
        <v>N/A</v>
      </c>
      <c r="P5023" t="str">
        <f>VLOOKUP(E5023,calculated_fields!$F$4:$G$6,2,FALSE)</f>
        <v>Economy</v>
      </c>
    </row>
    <row r="5024" spans="1:16">
      <c r="A5024" t="s">
        <v>6869</v>
      </c>
      <c r="B5024" t="s">
        <v>6845</v>
      </c>
      <c r="C5024" t="s">
        <v>14</v>
      </c>
      <c r="D5024">
        <v>1982</v>
      </c>
      <c r="E5024" t="s">
        <v>15</v>
      </c>
      <c r="F5024" t="s">
        <v>16</v>
      </c>
      <c r="G5024" t="s">
        <v>17</v>
      </c>
      <c r="H5024" t="s">
        <v>18</v>
      </c>
      <c r="I5024">
        <v>49.113</v>
      </c>
      <c r="J5024" t="s">
        <v>19</v>
      </c>
      <c r="K5024" t="s">
        <v>6870</v>
      </c>
      <c r="L5024" t="s">
        <v>21</v>
      </c>
      <c r="M5024" t="str">
        <f t="shared" si="234"/>
        <v>OK</v>
      </c>
      <c r="N5024" t="str">
        <f t="shared" si="235"/>
        <v>1980s</v>
      </c>
      <c r="O5024" t="str">
        <f t="shared" si="236"/>
        <v>Low</v>
      </c>
      <c r="P5024" t="str">
        <f>VLOOKUP(E5024,calculated_fields!$F$4:$G$6,2,FALSE)</f>
        <v>Health</v>
      </c>
    </row>
    <row r="5025" spans="1:16">
      <c r="A5025" t="s">
        <v>6871</v>
      </c>
      <c r="B5025" t="s">
        <v>6845</v>
      </c>
      <c r="C5025" t="s">
        <v>14</v>
      </c>
      <c r="D5025">
        <v>1982</v>
      </c>
      <c r="E5025" t="s">
        <v>23</v>
      </c>
      <c r="F5025" t="s">
        <v>24</v>
      </c>
      <c r="G5025" t="s">
        <v>25</v>
      </c>
      <c r="H5025" t="s">
        <v>26</v>
      </c>
      <c r="I5025">
        <v>9657618</v>
      </c>
      <c r="J5025" t="s">
        <v>27</v>
      </c>
      <c r="K5025" t="s">
        <v>6870</v>
      </c>
      <c r="L5025" t="s">
        <v>21</v>
      </c>
      <c r="M5025" t="str">
        <f t="shared" si="234"/>
        <v>OK</v>
      </c>
      <c r="N5025" t="str">
        <f t="shared" si="235"/>
        <v>1980s</v>
      </c>
      <c r="O5025" t="str">
        <f t="shared" si="236"/>
        <v>N/A</v>
      </c>
      <c r="P5025" t="str">
        <f>VLOOKUP(E5025,calculated_fields!$F$4:$G$6,2,FALSE)</f>
        <v>Demographics</v>
      </c>
    </row>
    <row r="5026" spans="1:16">
      <c r="A5026" t="s">
        <v>6872</v>
      </c>
      <c r="B5026" t="s">
        <v>6845</v>
      </c>
      <c r="C5026" t="s">
        <v>14</v>
      </c>
      <c r="D5026">
        <v>1982</v>
      </c>
      <c r="E5026" t="s">
        <v>29</v>
      </c>
      <c r="F5026" t="s">
        <v>30</v>
      </c>
      <c r="G5026" t="s">
        <v>31</v>
      </c>
      <c r="H5026" t="s">
        <v>32</v>
      </c>
      <c r="I5026">
        <v>1977.55701</v>
      </c>
      <c r="J5026" t="s">
        <v>33</v>
      </c>
      <c r="K5026" t="s">
        <v>6870</v>
      </c>
      <c r="L5026" t="s">
        <v>21</v>
      </c>
      <c r="M5026" t="str">
        <f t="shared" si="234"/>
        <v>OK</v>
      </c>
      <c r="N5026" t="str">
        <f t="shared" si="235"/>
        <v>1980s</v>
      </c>
      <c r="O5026" t="str">
        <f t="shared" si="236"/>
        <v>N/A</v>
      </c>
      <c r="P5026" t="str">
        <f>VLOOKUP(E5026,calculated_fields!$F$4:$G$6,2,FALSE)</f>
        <v>Economy</v>
      </c>
    </row>
    <row r="5027" spans="1:16">
      <c r="A5027" t="s">
        <v>6873</v>
      </c>
      <c r="B5027" t="s">
        <v>6845</v>
      </c>
      <c r="C5027" t="s">
        <v>14</v>
      </c>
      <c r="D5027">
        <v>1987</v>
      </c>
      <c r="E5027" t="s">
        <v>15</v>
      </c>
      <c r="F5027" t="s">
        <v>16</v>
      </c>
      <c r="G5027" t="s">
        <v>17</v>
      </c>
      <c r="H5027" t="s">
        <v>18</v>
      </c>
      <c r="I5027">
        <v>52.921999999999997</v>
      </c>
      <c r="J5027" t="s">
        <v>19</v>
      </c>
      <c r="K5027" t="s">
        <v>6874</v>
      </c>
      <c r="L5027" t="s">
        <v>21</v>
      </c>
      <c r="M5027" t="str">
        <f t="shared" si="234"/>
        <v>OK</v>
      </c>
      <c r="N5027" t="str">
        <f t="shared" si="235"/>
        <v>1980s</v>
      </c>
      <c r="O5027" t="str">
        <f t="shared" si="236"/>
        <v>Low</v>
      </c>
      <c r="P5027" t="str">
        <f>VLOOKUP(E5027,calculated_fields!$F$4:$G$6,2,FALSE)</f>
        <v>Health</v>
      </c>
    </row>
    <row r="5028" spans="1:16">
      <c r="A5028" t="s">
        <v>6875</v>
      </c>
      <c r="B5028" t="s">
        <v>6845</v>
      </c>
      <c r="C5028" t="s">
        <v>14</v>
      </c>
      <c r="D5028">
        <v>1987</v>
      </c>
      <c r="E5028" t="s">
        <v>23</v>
      </c>
      <c r="F5028" t="s">
        <v>24</v>
      </c>
      <c r="G5028" t="s">
        <v>25</v>
      </c>
      <c r="H5028" t="s">
        <v>26</v>
      </c>
      <c r="I5028">
        <v>11219340</v>
      </c>
      <c r="J5028" t="s">
        <v>27</v>
      </c>
      <c r="K5028" t="s">
        <v>6874</v>
      </c>
      <c r="L5028" t="s">
        <v>21</v>
      </c>
      <c r="M5028" t="str">
        <f t="shared" si="234"/>
        <v>OK</v>
      </c>
      <c r="N5028" t="str">
        <f t="shared" si="235"/>
        <v>1980s</v>
      </c>
      <c r="O5028" t="str">
        <f t="shared" si="236"/>
        <v>N/A</v>
      </c>
      <c r="P5028" t="str">
        <f>VLOOKUP(E5028,calculated_fields!$F$4:$G$6,2,FALSE)</f>
        <v>Demographics</v>
      </c>
    </row>
    <row r="5029" spans="1:16">
      <c r="A5029" t="s">
        <v>6876</v>
      </c>
      <c r="B5029" t="s">
        <v>6845</v>
      </c>
      <c r="C5029" t="s">
        <v>14</v>
      </c>
      <c r="D5029">
        <v>1987</v>
      </c>
      <c r="E5029" t="s">
        <v>29</v>
      </c>
      <c r="F5029" t="s">
        <v>30</v>
      </c>
      <c r="G5029" t="s">
        <v>31</v>
      </c>
      <c r="H5029" t="s">
        <v>32</v>
      </c>
      <c r="I5029">
        <v>1971.741538</v>
      </c>
      <c r="J5029" t="s">
        <v>33</v>
      </c>
      <c r="K5029" t="s">
        <v>6874</v>
      </c>
      <c r="L5029" t="s">
        <v>21</v>
      </c>
      <c r="M5029" t="str">
        <f t="shared" si="234"/>
        <v>OK</v>
      </c>
      <c r="N5029" t="str">
        <f t="shared" si="235"/>
        <v>1980s</v>
      </c>
      <c r="O5029" t="str">
        <f t="shared" si="236"/>
        <v>N/A</v>
      </c>
      <c r="P5029" t="str">
        <f>VLOOKUP(E5029,calculated_fields!$F$4:$G$6,2,FALSE)</f>
        <v>Economy</v>
      </c>
    </row>
    <row r="5030" spans="1:16">
      <c r="A5030" t="s">
        <v>6877</v>
      </c>
      <c r="B5030" t="s">
        <v>6845</v>
      </c>
      <c r="C5030" t="s">
        <v>14</v>
      </c>
      <c r="D5030">
        <v>1992</v>
      </c>
      <c r="E5030" t="s">
        <v>15</v>
      </c>
      <c r="F5030" t="s">
        <v>16</v>
      </c>
      <c r="G5030" t="s">
        <v>17</v>
      </c>
      <c r="H5030" t="s">
        <v>18</v>
      </c>
      <c r="I5030">
        <v>55.598999999999997</v>
      </c>
      <c r="J5030" t="s">
        <v>19</v>
      </c>
      <c r="K5030" t="s">
        <v>6878</v>
      </c>
      <c r="L5030" t="s">
        <v>21</v>
      </c>
      <c r="M5030" t="str">
        <f t="shared" si="234"/>
        <v>OK</v>
      </c>
      <c r="N5030" t="str">
        <f t="shared" si="235"/>
        <v>1990s</v>
      </c>
      <c r="O5030" t="str">
        <f t="shared" si="236"/>
        <v>Medium</v>
      </c>
      <c r="P5030" t="str">
        <f>VLOOKUP(E5030,calculated_fields!$F$4:$G$6,2,FALSE)</f>
        <v>Health</v>
      </c>
    </row>
    <row r="5031" spans="1:16">
      <c r="A5031" t="s">
        <v>6879</v>
      </c>
      <c r="B5031" t="s">
        <v>6845</v>
      </c>
      <c r="C5031" t="s">
        <v>14</v>
      </c>
      <c r="D5031">
        <v>1992</v>
      </c>
      <c r="E5031" t="s">
        <v>23</v>
      </c>
      <c r="F5031" t="s">
        <v>24</v>
      </c>
      <c r="G5031" t="s">
        <v>25</v>
      </c>
      <c r="H5031" t="s">
        <v>26</v>
      </c>
      <c r="I5031">
        <v>13367997</v>
      </c>
      <c r="J5031" t="s">
        <v>27</v>
      </c>
      <c r="K5031" t="s">
        <v>6878</v>
      </c>
      <c r="L5031" t="s">
        <v>21</v>
      </c>
      <c r="M5031" t="str">
        <f t="shared" si="234"/>
        <v>OK</v>
      </c>
      <c r="N5031" t="str">
        <f t="shared" si="235"/>
        <v>1990s</v>
      </c>
      <c r="O5031" t="str">
        <f t="shared" si="236"/>
        <v>N/A</v>
      </c>
      <c r="P5031" t="str">
        <f>VLOOKUP(E5031,calculated_fields!$F$4:$G$6,2,FALSE)</f>
        <v>Demographics</v>
      </c>
    </row>
    <row r="5032" spans="1:16">
      <c r="A5032" t="s">
        <v>6880</v>
      </c>
      <c r="B5032" t="s">
        <v>6845</v>
      </c>
      <c r="C5032" t="s">
        <v>14</v>
      </c>
      <c r="D5032">
        <v>1992</v>
      </c>
      <c r="E5032" t="s">
        <v>29</v>
      </c>
      <c r="F5032" t="s">
        <v>30</v>
      </c>
      <c r="G5032" t="s">
        <v>31</v>
      </c>
      <c r="H5032" t="s">
        <v>32</v>
      </c>
      <c r="I5032">
        <v>1879.4966730000001</v>
      </c>
      <c r="J5032" t="s">
        <v>33</v>
      </c>
      <c r="K5032" t="s">
        <v>6878</v>
      </c>
      <c r="L5032" t="s">
        <v>21</v>
      </c>
      <c r="M5032" t="str">
        <f t="shared" si="234"/>
        <v>OK</v>
      </c>
      <c r="N5032" t="str">
        <f t="shared" si="235"/>
        <v>1990s</v>
      </c>
      <c r="O5032" t="str">
        <f t="shared" si="236"/>
        <v>N/A</v>
      </c>
      <c r="P5032" t="str">
        <f>VLOOKUP(E5032,calculated_fields!$F$4:$G$6,2,FALSE)</f>
        <v>Economy</v>
      </c>
    </row>
    <row r="5033" spans="1:16">
      <c r="A5033" t="s">
        <v>6881</v>
      </c>
      <c r="B5033" t="s">
        <v>6845</v>
      </c>
      <c r="C5033" t="s">
        <v>14</v>
      </c>
      <c r="D5033">
        <v>1997</v>
      </c>
      <c r="E5033" t="s">
        <v>15</v>
      </c>
      <c r="F5033" t="s">
        <v>16</v>
      </c>
      <c r="G5033" t="s">
        <v>17</v>
      </c>
      <c r="H5033" t="s">
        <v>18</v>
      </c>
      <c r="I5033">
        <v>58.02</v>
      </c>
      <c r="J5033" t="s">
        <v>19</v>
      </c>
      <c r="K5033" t="s">
        <v>6882</v>
      </c>
      <c r="L5033" t="s">
        <v>21</v>
      </c>
      <c r="M5033" t="str">
        <f t="shared" si="234"/>
        <v>OK</v>
      </c>
      <c r="N5033" t="str">
        <f t="shared" si="235"/>
        <v>1990s</v>
      </c>
      <c r="O5033" t="str">
        <f t="shared" si="236"/>
        <v>Medium</v>
      </c>
      <c r="P5033" t="str">
        <f>VLOOKUP(E5033,calculated_fields!$F$4:$G$6,2,FALSE)</f>
        <v>Health</v>
      </c>
    </row>
    <row r="5034" spans="1:16">
      <c r="A5034" t="s">
        <v>6883</v>
      </c>
      <c r="B5034" t="s">
        <v>6845</v>
      </c>
      <c r="C5034" t="s">
        <v>14</v>
      </c>
      <c r="D5034">
        <v>1997</v>
      </c>
      <c r="E5034" t="s">
        <v>23</v>
      </c>
      <c r="F5034" t="s">
        <v>24</v>
      </c>
      <c r="G5034" t="s">
        <v>25</v>
      </c>
      <c r="H5034" t="s">
        <v>26</v>
      </c>
      <c r="I5034">
        <v>15826497</v>
      </c>
      <c r="J5034" t="s">
        <v>27</v>
      </c>
      <c r="K5034" t="s">
        <v>6882</v>
      </c>
      <c r="L5034" t="s">
        <v>21</v>
      </c>
      <c r="M5034" t="str">
        <f t="shared" si="234"/>
        <v>OK</v>
      </c>
      <c r="N5034" t="str">
        <f t="shared" si="235"/>
        <v>1990s</v>
      </c>
      <c r="O5034" t="str">
        <f t="shared" si="236"/>
        <v>N/A</v>
      </c>
      <c r="P5034" t="str">
        <f>VLOOKUP(E5034,calculated_fields!$F$4:$G$6,2,FALSE)</f>
        <v>Demographics</v>
      </c>
    </row>
    <row r="5035" spans="1:16">
      <c r="A5035" t="s">
        <v>6884</v>
      </c>
      <c r="B5035" t="s">
        <v>6845</v>
      </c>
      <c r="C5035" t="s">
        <v>14</v>
      </c>
      <c r="D5035">
        <v>1997</v>
      </c>
      <c r="E5035" t="s">
        <v>29</v>
      </c>
      <c r="F5035" t="s">
        <v>30</v>
      </c>
      <c r="G5035" t="s">
        <v>31</v>
      </c>
      <c r="H5035" t="s">
        <v>32</v>
      </c>
      <c r="I5035">
        <v>2117.4845260000002</v>
      </c>
      <c r="J5035" t="s">
        <v>33</v>
      </c>
      <c r="K5035" t="s">
        <v>6882</v>
      </c>
      <c r="L5035" t="s">
        <v>21</v>
      </c>
      <c r="M5035" t="str">
        <f t="shared" si="234"/>
        <v>OK</v>
      </c>
      <c r="N5035" t="str">
        <f t="shared" si="235"/>
        <v>1990s</v>
      </c>
      <c r="O5035" t="str">
        <f t="shared" si="236"/>
        <v>N/A</v>
      </c>
      <c r="P5035" t="str">
        <f>VLOOKUP(E5035,calculated_fields!$F$4:$G$6,2,FALSE)</f>
        <v>Economy</v>
      </c>
    </row>
    <row r="5036" spans="1:16">
      <c r="A5036" t="s">
        <v>6885</v>
      </c>
      <c r="B5036" t="s">
        <v>6845</v>
      </c>
      <c r="C5036" t="s">
        <v>14</v>
      </c>
      <c r="D5036">
        <v>2002</v>
      </c>
      <c r="E5036" t="s">
        <v>15</v>
      </c>
      <c r="F5036" t="s">
        <v>16</v>
      </c>
      <c r="G5036" t="s">
        <v>17</v>
      </c>
      <c r="H5036" t="s">
        <v>18</v>
      </c>
      <c r="I5036">
        <v>60.308</v>
      </c>
      <c r="J5036" t="s">
        <v>19</v>
      </c>
      <c r="K5036" t="s">
        <v>6886</v>
      </c>
      <c r="L5036" t="s">
        <v>21</v>
      </c>
      <c r="M5036" t="str">
        <f t="shared" si="234"/>
        <v>OK</v>
      </c>
      <c r="N5036" t="str">
        <f t="shared" si="235"/>
        <v>2000s</v>
      </c>
      <c r="O5036" t="str">
        <f t="shared" si="236"/>
        <v>Medium</v>
      </c>
      <c r="P5036" t="str">
        <f>VLOOKUP(E5036,calculated_fields!$F$4:$G$6,2,FALSE)</f>
        <v>Health</v>
      </c>
    </row>
    <row r="5037" spans="1:16">
      <c r="A5037" t="s">
        <v>6887</v>
      </c>
      <c r="B5037" t="s">
        <v>6845</v>
      </c>
      <c r="C5037" t="s">
        <v>14</v>
      </c>
      <c r="D5037">
        <v>2002</v>
      </c>
      <c r="E5037" t="s">
        <v>23</v>
      </c>
      <c r="F5037" t="s">
        <v>24</v>
      </c>
      <c r="G5037" t="s">
        <v>25</v>
      </c>
      <c r="H5037" t="s">
        <v>26</v>
      </c>
      <c r="I5037">
        <v>18701257</v>
      </c>
      <c r="J5037" t="s">
        <v>27</v>
      </c>
      <c r="K5037" t="s">
        <v>6886</v>
      </c>
      <c r="L5037" t="s">
        <v>21</v>
      </c>
      <c r="M5037" t="str">
        <f t="shared" si="234"/>
        <v>OK</v>
      </c>
      <c r="N5037" t="str">
        <f t="shared" si="235"/>
        <v>2000s</v>
      </c>
      <c r="O5037" t="str">
        <f t="shared" si="236"/>
        <v>N/A</v>
      </c>
      <c r="P5037" t="str">
        <f>VLOOKUP(E5037,calculated_fields!$F$4:$G$6,2,FALSE)</f>
        <v>Demographics</v>
      </c>
    </row>
    <row r="5038" spans="1:16">
      <c r="A5038" t="s">
        <v>6888</v>
      </c>
      <c r="B5038" t="s">
        <v>6845</v>
      </c>
      <c r="C5038" t="s">
        <v>14</v>
      </c>
      <c r="D5038">
        <v>2002</v>
      </c>
      <c r="E5038" t="s">
        <v>29</v>
      </c>
      <c r="F5038" t="s">
        <v>30</v>
      </c>
      <c r="G5038" t="s">
        <v>31</v>
      </c>
      <c r="H5038" t="s">
        <v>32</v>
      </c>
      <c r="I5038">
        <v>2234.820827</v>
      </c>
      <c r="J5038" t="s">
        <v>33</v>
      </c>
      <c r="K5038" t="s">
        <v>6886</v>
      </c>
      <c r="L5038" t="s">
        <v>21</v>
      </c>
      <c r="M5038" t="str">
        <f t="shared" si="234"/>
        <v>OK</v>
      </c>
      <c r="N5038" t="str">
        <f t="shared" si="235"/>
        <v>2000s</v>
      </c>
      <c r="O5038" t="str">
        <f t="shared" si="236"/>
        <v>N/A</v>
      </c>
      <c r="P5038" t="str">
        <f>VLOOKUP(E5038,calculated_fields!$F$4:$G$6,2,FALSE)</f>
        <v>Economy</v>
      </c>
    </row>
    <row r="5039" spans="1:16">
      <c r="A5039" t="s">
        <v>6889</v>
      </c>
      <c r="B5039" t="s">
        <v>6845</v>
      </c>
      <c r="C5039" t="s">
        <v>14</v>
      </c>
      <c r="D5039">
        <v>2007</v>
      </c>
      <c r="E5039" t="s">
        <v>15</v>
      </c>
      <c r="F5039" t="s">
        <v>16</v>
      </c>
      <c r="G5039" t="s">
        <v>17</v>
      </c>
      <c r="H5039" t="s">
        <v>18</v>
      </c>
      <c r="I5039">
        <v>62.698</v>
      </c>
      <c r="J5039" t="s">
        <v>19</v>
      </c>
      <c r="K5039" t="s">
        <v>6890</v>
      </c>
      <c r="L5039" t="s">
        <v>21</v>
      </c>
      <c r="M5039" t="str">
        <f t="shared" si="234"/>
        <v>OK</v>
      </c>
      <c r="N5039" t="str">
        <f t="shared" si="235"/>
        <v>2000s</v>
      </c>
      <c r="O5039" t="str">
        <f t="shared" si="236"/>
        <v>Medium</v>
      </c>
      <c r="P5039" t="str">
        <f>VLOOKUP(E5039,calculated_fields!$F$4:$G$6,2,FALSE)</f>
        <v>Health</v>
      </c>
    </row>
    <row r="5040" spans="1:16">
      <c r="A5040" t="s">
        <v>6891</v>
      </c>
      <c r="B5040" t="s">
        <v>6845</v>
      </c>
      <c r="C5040" t="s">
        <v>14</v>
      </c>
      <c r="D5040">
        <v>2007</v>
      </c>
      <c r="E5040" t="s">
        <v>23</v>
      </c>
      <c r="F5040" t="s">
        <v>24</v>
      </c>
      <c r="G5040" t="s">
        <v>25</v>
      </c>
      <c r="H5040" t="s">
        <v>26</v>
      </c>
      <c r="I5040">
        <v>22211743</v>
      </c>
      <c r="J5040" t="s">
        <v>27</v>
      </c>
      <c r="K5040" t="s">
        <v>6890</v>
      </c>
      <c r="L5040" t="s">
        <v>21</v>
      </c>
      <c r="M5040" t="str">
        <f t="shared" si="234"/>
        <v>OK</v>
      </c>
      <c r="N5040" t="str">
        <f t="shared" si="235"/>
        <v>2000s</v>
      </c>
      <c r="O5040" t="str">
        <f t="shared" si="236"/>
        <v>N/A</v>
      </c>
      <c r="P5040" t="str">
        <f>VLOOKUP(E5040,calculated_fields!$F$4:$G$6,2,FALSE)</f>
        <v>Demographics</v>
      </c>
    </row>
    <row r="5041" spans="1:16">
      <c r="A5041" t="s">
        <v>6892</v>
      </c>
      <c r="B5041" t="s">
        <v>6845</v>
      </c>
      <c r="C5041" t="s">
        <v>14</v>
      </c>
      <c r="D5041">
        <v>2007</v>
      </c>
      <c r="E5041" t="s">
        <v>29</v>
      </c>
      <c r="F5041" t="s">
        <v>30</v>
      </c>
      <c r="G5041" t="s">
        <v>31</v>
      </c>
      <c r="H5041" t="s">
        <v>32</v>
      </c>
      <c r="I5041">
        <v>2280.769906</v>
      </c>
      <c r="J5041" t="s">
        <v>33</v>
      </c>
      <c r="K5041" t="s">
        <v>6890</v>
      </c>
      <c r="L5041" t="s">
        <v>21</v>
      </c>
      <c r="M5041" t="str">
        <f t="shared" si="234"/>
        <v>OK</v>
      </c>
      <c r="N5041" t="str">
        <f t="shared" si="235"/>
        <v>2000s</v>
      </c>
      <c r="O5041" t="str">
        <f t="shared" si="236"/>
        <v>N/A</v>
      </c>
      <c r="P5041" t="str">
        <f>VLOOKUP(E5041,calculated_fields!$F$4:$G$6,2,FALSE)</f>
        <v>Economy</v>
      </c>
    </row>
    <row r="5042" spans="1:16">
      <c r="A5042" t="s">
        <v>6893</v>
      </c>
      <c r="B5042" t="s">
        <v>6894</v>
      </c>
      <c r="C5042" t="s">
        <v>130</v>
      </c>
      <c r="D5042">
        <v>1952</v>
      </c>
      <c r="E5042" t="s">
        <v>15</v>
      </c>
      <c r="F5042" t="s">
        <v>16</v>
      </c>
      <c r="G5042" t="s">
        <v>17</v>
      </c>
      <c r="H5042" t="s">
        <v>18</v>
      </c>
      <c r="I5042">
        <v>42.037999999999997</v>
      </c>
      <c r="J5042" t="s">
        <v>19</v>
      </c>
      <c r="K5042" t="s">
        <v>6895</v>
      </c>
      <c r="L5042" t="s">
        <v>21</v>
      </c>
      <c r="M5042" t="str">
        <f t="shared" si="234"/>
        <v>OK</v>
      </c>
      <c r="N5042" t="str">
        <f t="shared" si="235"/>
        <v>1950s</v>
      </c>
      <c r="O5042" t="str">
        <f t="shared" si="236"/>
        <v>Low</v>
      </c>
      <c r="P5042" t="str">
        <f>VLOOKUP(E5042,calculated_fields!$F$4:$G$6,2,FALSE)</f>
        <v>Health</v>
      </c>
    </row>
    <row r="5043" spans="1:16">
      <c r="A5043" t="s">
        <v>6896</v>
      </c>
      <c r="B5043" t="s">
        <v>6894</v>
      </c>
      <c r="C5043" t="s">
        <v>130</v>
      </c>
      <c r="D5043">
        <v>1952</v>
      </c>
      <c r="E5043" t="s">
        <v>23</v>
      </c>
      <c r="F5043" t="s">
        <v>24</v>
      </c>
      <c r="G5043" t="s">
        <v>25</v>
      </c>
      <c r="H5043" t="s">
        <v>26</v>
      </c>
      <c r="I5043">
        <v>2672000</v>
      </c>
      <c r="J5043" t="s">
        <v>27</v>
      </c>
      <c r="K5043" t="s">
        <v>6895</v>
      </c>
      <c r="L5043" t="s">
        <v>21</v>
      </c>
      <c r="M5043" t="str">
        <f t="shared" si="234"/>
        <v>OK</v>
      </c>
      <c r="N5043" t="str">
        <f t="shared" si="235"/>
        <v>1950s</v>
      </c>
      <c r="O5043" t="str">
        <f t="shared" si="236"/>
        <v>N/A</v>
      </c>
      <c r="P5043" t="str">
        <f>VLOOKUP(E5043,calculated_fields!$F$4:$G$6,2,FALSE)</f>
        <v>Demographics</v>
      </c>
    </row>
    <row r="5044" spans="1:16">
      <c r="A5044" t="s">
        <v>6897</v>
      </c>
      <c r="B5044" t="s">
        <v>6894</v>
      </c>
      <c r="C5044" t="s">
        <v>130</v>
      </c>
      <c r="D5044">
        <v>1952</v>
      </c>
      <c r="E5044" t="s">
        <v>29</v>
      </c>
      <c r="F5044" t="s">
        <v>30</v>
      </c>
      <c r="G5044" t="s">
        <v>31</v>
      </c>
      <c r="H5044" t="s">
        <v>32</v>
      </c>
      <c r="I5044">
        <v>1147.388831</v>
      </c>
      <c r="J5044" t="s">
        <v>33</v>
      </c>
      <c r="K5044" t="s">
        <v>6895</v>
      </c>
      <c r="L5044" t="s">
        <v>21</v>
      </c>
      <c r="M5044" t="str">
        <f t="shared" si="234"/>
        <v>OK</v>
      </c>
      <c r="N5044" t="str">
        <f t="shared" si="235"/>
        <v>1950s</v>
      </c>
      <c r="O5044" t="str">
        <f t="shared" si="236"/>
        <v>N/A</v>
      </c>
      <c r="P5044" t="str">
        <f>VLOOKUP(E5044,calculated_fields!$F$4:$G$6,2,FALSE)</f>
        <v>Economy</v>
      </c>
    </row>
    <row r="5045" spans="1:16">
      <c r="A5045" t="s">
        <v>6898</v>
      </c>
      <c r="B5045" t="s">
        <v>6894</v>
      </c>
      <c r="C5045" t="s">
        <v>130</v>
      </c>
      <c r="D5045">
        <v>1957</v>
      </c>
      <c r="E5045" t="s">
        <v>15</v>
      </c>
      <c r="F5045" t="s">
        <v>16</v>
      </c>
      <c r="G5045" t="s">
        <v>17</v>
      </c>
      <c r="H5045" t="s">
        <v>18</v>
      </c>
      <c r="I5045">
        <v>44.076999999999998</v>
      </c>
      <c r="J5045" t="s">
        <v>19</v>
      </c>
      <c r="K5045" t="s">
        <v>6899</v>
      </c>
      <c r="L5045" t="s">
        <v>21</v>
      </c>
      <c r="M5045" t="str">
        <f t="shared" si="234"/>
        <v>OK</v>
      </c>
      <c r="N5045" t="str">
        <f t="shared" si="235"/>
        <v>1950s</v>
      </c>
      <c r="O5045" t="str">
        <f t="shared" si="236"/>
        <v>Low</v>
      </c>
      <c r="P5045" t="str">
        <f>VLOOKUP(E5045,calculated_fields!$F$4:$G$6,2,FALSE)</f>
        <v>Health</v>
      </c>
    </row>
    <row r="5046" spans="1:16">
      <c r="A5046" t="s">
        <v>6900</v>
      </c>
      <c r="B5046" t="s">
        <v>6894</v>
      </c>
      <c r="C5046" t="s">
        <v>130</v>
      </c>
      <c r="D5046">
        <v>1957</v>
      </c>
      <c r="E5046" t="s">
        <v>23</v>
      </c>
      <c r="F5046" t="s">
        <v>24</v>
      </c>
      <c r="G5046" t="s">
        <v>25</v>
      </c>
      <c r="H5046" t="s">
        <v>26</v>
      </c>
      <c r="I5046">
        <v>3016000</v>
      </c>
      <c r="J5046" t="s">
        <v>27</v>
      </c>
      <c r="K5046" t="s">
        <v>6899</v>
      </c>
      <c r="L5046" t="s">
        <v>21</v>
      </c>
      <c r="M5046" t="str">
        <f t="shared" si="234"/>
        <v>OK</v>
      </c>
      <c r="N5046" t="str">
        <f t="shared" si="235"/>
        <v>1950s</v>
      </c>
      <c r="O5046" t="str">
        <f t="shared" si="236"/>
        <v>N/A</v>
      </c>
      <c r="P5046" t="str">
        <f>VLOOKUP(E5046,calculated_fields!$F$4:$G$6,2,FALSE)</f>
        <v>Demographics</v>
      </c>
    </row>
    <row r="5047" spans="1:16">
      <c r="A5047" t="s">
        <v>6901</v>
      </c>
      <c r="B5047" t="s">
        <v>6894</v>
      </c>
      <c r="C5047" t="s">
        <v>130</v>
      </c>
      <c r="D5047">
        <v>1957</v>
      </c>
      <c r="E5047" t="s">
        <v>29</v>
      </c>
      <c r="F5047" t="s">
        <v>30</v>
      </c>
      <c r="G5047" t="s">
        <v>31</v>
      </c>
      <c r="H5047" t="s">
        <v>32</v>
      </c>
      <c r="I5047">
        <v>1311.956766</v>
      </c>
      <c r="J5047" t="s">
        <v>33</v>
      </c>
      <c r="K5047" t="s">
        <v>6899</v>
      </c>
      <c r="L5047" t="s">
        <v>21</v>
      </c>
      <c r="M5047" t="str">
        <f t="shared" si="234"/>
        <v>OK</v>
      </c>
      <c r="N5047" t="str">
        <f t="shared" si="235"/>
        <v>1950s</v>
      </c>
      <c r="O5047" t="str">
        <f t="shared" si="236"/>
        <v>N/A</v>
      </c>
      <c r="P5047" t="str">
        <f>VLOOKUP(E5047,calculated_fields!$F$4:$G$6,2,FALSE)</f>
        <v>Economy</v>
      </c>
    </row>
    <row r="5048" spans="1:16">
      <c r="A5048" t="s">
        <v>6902</v>
      </c>
      <c r="B5048" t="s">
        <v>6894</v>
      </c>
      <c r="C5048" t="s">
        <v>130</v>
      </c>
      <c r="D5048">
        <v>1962</v>
      </c>
      <c r="E5048" t="s">
        <v>15</v>
      </c>
      <c r="F5048" t="s">
        <v>16</v>
      </c>
      <c r="G5048" t="s">
        <v>17</v>
      </c>
      <c r="H5048" t="s">
        <v>18</v>
      </c>
      <c r="I5048">
        <v>46.023000000000003</v>
      </c>
      <c r="J5048" t="s">
        <v>19</v>
      </c>
      <c r="K5048" t="s">
        <v>6903</v>
      </c>
      <c r="L5048" t="s">
        <v>21</v>
      </c>
      <c r="M5048" t="str">
        <f t="shared" si="234"/>
        <v>OK</v>
      </c>
      <c r="N5048" t="str">
        <f t="shared" si="235"/>
        <v>1960s</v>
      </c>
      <c r="O5048" t="str">
        <f t="shared" si="236"/>
        <v>Low</v>
      </c>
      <c r="P5048" t="str">
        <f>VLOOKUP(E5048,calculated_fields!$F$4:$G$6,2,FALSE)</f>
        <v>Health</v>
      </c>
    </row>
    <row r="5049" spans="1:16">
      <c r="A5049" t="s">
        <v>6904</v>
      </c>
      <c r="B5049" t="s">
        <v>6894</v>
      </c>
      <c r="C5049" t="s">
        <v>130</v>
      </c>
      <c r="D5049">
        <v>1962</v>
      </c>
      <c r="E5049" t="s">
        <v>23</v>
      </c>
      <c r="F5049" t="s">
        <v>24</v>
      </c>
      <c r="G5049" t="s">
        <v>25</v>
      </c>
      <c r="H5049" t="s">
        <v>26</v>
      </c>
      <c r="I5049">
        <v>3421000</v>
      </c>
      <c r="J5049" t="s">
        <v>27</v>
      </c>
      <c r="K5049" t="s">
        <v>6903</v>
      </c>
      <c r="L5049" t="s">
        <v>21</v>
      </c>
      <c r="M5049" t="str">
        <f t="shared" si="234"/>
        <v>OK</v>
      </c>
      <c r="N5049" t="str">
        <f t="shared" si="235"/>
        <v>1960s</v>
      </c>
      <c r="O5049" t="str">
        <f t="shared" si="236"/>
        <v>N/A</v>
      </c>
      <c r="P5049" t="str">
        <f>VLOOKUP(E5049,calculated_fields!$F$4:$G$6,2,FALSE)</f>
        <v>Demographics</v>
      </c>
    </row>
    <row r="5050" spans="1:16">
      <c r="A5050" t="s">
        <v>6905</v>
      </c>
      <c r="B5050" t="s">
        <v>6894</v>
      </c>
      <c r="C5050" t="s">
        <v>130</v>
      </c>
      <c r="D5050">
        <v>1962</v>
      </c>
      <c r="E5050" t="s">
        <v>29</v>
      </c>
      <c r="F5050" t="s">
        <v>30</v>
      </c>
      <c r="G5050" t="s">
        <v>31</v>
      </c>
      <c r="H5050" t="s">
        <v>32</v>
      </c>
      <c r="I5050">
        <v>1452.725766</v>
      </c>
      <c r="J5050" t="s">
        <v>33</v>
      </c>
      <c r="K5050" t="s">
        <v>6903</v>
      </c>
      <c r="L5050" t="s">
        <v>21</v>
      </c>
      <c r="M5050" t="str">
        <f t="shared" si="234"/>
        <v>OK</v>
      </c>
      <c r="N5050" t="str">
        <f t="shared" si="235"/>
        <v>1960s</v>
      </c>
      <c r="O5050" t="str">
        <f t="shared" si="236"/>
        <v>N/A</v>
      </c>
      <c r="P5050" t="str">
        <f>VLOOKUP(E5050,calculated_fields!$F$4:$G$6,2,FALSE)</f>
        <v>Economy</v>
      </c>
    </row>
    <row r="5051" spans="1:16">
      <c r="A5051" t="s">
        <v>6906</v>
      </c>
      <c r="B5051" t="s">
        <v>6894</v>
      </c>
      <c r="C5051" t="s">
        <v>130</v>
      </c>
      <c r="D5051">
        <v>1967</v>
      </c>
      <c r="E5051" t="s">
        <v>15</v>
      </c>
      <c r="F5051" t="s">
        <v>16</v>
      </c>
      <c r="G5051" t="s">
        <v>17</v>
      </c>
      <c r="H5051" t="s">
        <v>18</v>
      </c>
      <c r="I5051">
        <v>47.768000000000001</v>
      </c>
      <c r="J5051" t="s">
        <v>19</v>
      </c>
      <c r="K5051" t="s">
        <v>6907</v>
      </c>
      <c r="L5051" t="s">
        <v>21</v>
      </c>
      <c r="M5051" t="str">
        <f t="shared" si="234"/>
        <v>OK</v>
      </c>
      <c r="N5051" t="str">
        <f t="shared" si="235"/>
        <v>1960s</v>
      </c>
      <c r="O5051" t="str">
        <f t="shared" si="236"/>
        <v>Low</v>
      </c>
      <c r="P5051" t="str">
        <f>VLOOKUP(E5051,calculated_fields!$F$4:$G$6,2,FALSE)</f>
        <v>Health</v>
      </c>
    </row>
    <row r="5052" spans="1:16">
      <c r="A5052" t="s">
        <v>6908</v>
      </c>
      <c r="B5052" t="s">
        <v>6894</v>
      </c>
      <c r="C5052" t="s">
        <v>130</v>
      </c>
      <c r="D5052">
        <v>1967</v>
      </c>
      <c r="E5052" t="s">
        <v>23</v>
      </c>
      <c r="F5052" t="s">
        <v>24</v>
      </c>
      <c r="G5052" t="s">
        <v>25</v>
      </c>
      <c r="H5052" t="s">
        <v>26</v>
      </c>
      <c r="I5052">
        <v>3900000</v>
      </c>
      <c r="J5052" t="s">
        <v>27</v>
      </c>
      <c r="K5052" t="s">
        <v>6907</v>
      </c>
      <c r="L5052" t="s">
        <v>21</v>
      </c>
      <c r="M5052" t="str">
        <f t="shared" si="234"/>
        <v>OK</v>
      </c>
      <c r="N5052" t="str">
        <f t="shared" si="235"/>
        <v>1960s</v>
      </c>
      <c r="O5052" t="str">
        <f t="shared" si="236"/>
        <v>N/A</v>
      </c>
      <c r="P5052" t="str">
        <f>VLOOKUP(E5052,calculated_fields!$F$4:$G$6,2,FALSE)</f>
        <v>Demographics</v>
      </c>
    </row>
    <row r="5053" spans="1:16">
      <c r="A5053" t="s">
        <v>6909</v>
      </c>
      <c r="B5053" t="s">
        <v>6894</v>
      </c>
      <c r="C5053" t="s">
        <v>130</v>
      </c>
      <c r="D5053">
        <v>1967</v>
      </c>
      <c r="E5053" t="s">
        <v>29</v>
      </c>
      <c r="F5053" t="s">
        <v>30</v>
      </c>
      <c r="G5053" t="s">
        <v>31</v>
      </c>
      <c r="H5053" t="s">
        <v>32</v>
      </c>
      <c r="I5053">
        <v>1777.0773180000001</v>
      </c>
      <c r="J5053" t="s">
        <v>33</v>
      </c>
      <c r="K5053" t="s">
        <v>6907</v>
      </c>
      <c r="L5053" t="s">
        <v>21</v>
      </c>
      <c r="M5053" t="str">
        <f t="shared" si="234"/>
        <v>OK</v>
      </c>
      <c r="N5053" t="str">
        <f t="shared" si="235"/>
        <v>1960s</v>
      </c>
      <c r="O5053" t="str">
        <f t="shared" si="236"/>
        <v>N/A</v>
      </c>
      <c r="P5053" t="str">
        <f>VLOOKUP(E5053,calculated_fields!$F$4:$G$6,2,FALSE)</f>
        <v>Economy</v>
      </c>
    </row>
    <row r="5054" spans="1:16">
      <c r="A5054" t="s">
        <v>6910</v>
      </c>
      <c r="B5054" t="s">
        <v>6894</v>
      </c>
      <c r="C5054" t="s">
        <v>130</v>
      </c>
      <c r="D5054">
        <v>1972</v>
      </c>
      <c r="E5054" t="s">
        <v>15</v>
      </c>
      <c r="F5054" t="s">
        <v>16</v>
      </c>
      <c r="G5054" t="s">
        <v>17</v>
      </c>
      <c r="H5054" t="s">
        <v>18</v>
      </c>
      <c r="I5054">
        <v>50.106999999999999</v>
      </c>
      <c r="J5054" t="s">
        <v>19</v>
      </c>
      <c r="K5054" t="s">
        <v>6911</v>
      </c>
      <c r="L5054" t="s">
        <v>21</v>
      </c>
      <c r="M5054" t="str">
        <f t="shared" si="234"/>
        <v>OK</v>
      </c>
      <c r="N5054" t="str">
        <f t="shared" si="235"/>
        <v>1970s</v>
      </c>
      <c r="O5054" t="str">
        <f t="shared" si="236"/>
        <v>Low</v>
      </c>
      <c r="P5054" t="str">
        <f>VLOOKUP(E5054,calculated_fields!$F$4:$G$6,2,FALSE)</f>
        <v>Health</v>
      </c>
    </row>
    <row r="5055" spans="1:16">
      <c r="A5055" t="s">
        <v>6912</v>
      </c>
      <c r="B5055" t="s">
        <v>6894</v>
      </c>
      <c r="C5055" t="s">
        <v>130</v>
      </c>
      <c r="D5055">
        <v>1972</v>
      </c>
      <c r="E5055" t="s">
        <v>23</v>
      </c>
      <c r="F5055" t="s">
        <v>24</v>
      </c>
      <c r="G5055" t="s">
        <v>25</v>
      </c>
      <c r="H5055" t="s">
        <v>26</v>
      </c>
      <c r="I5055">
        <v>4506497</v>
      </c>
      <c r="J5055" t="s">
        <v>27</v>
      </c>
      <c r="K5055" t="s">
        <v>6911</v>
      </c>
      <c r="L5055" t="s">
        <v>21</v>
      </c>
      <c r="M5055" t="str">
        <f t="shared" si="234"/>
        <v>OK</v>
      </c>
      <c r="N5055" t="str">
        <f t="shared" si="235"/>
        <v>1970s</v>
      </c>
      <c r="O5055" t="str">
        <f t="shared" si="236"/>
        <v>N/A</v>
      </c>
      <c r="P5055" t="str">
        <f>VLOOKUP(E5055,calculated_fields!$F$4:$G$6,2,FALSE)</f>
        <v>Demographics</v>
      </c>
    </row>
    <row r="5056" spans="1:16">
      <c r="A5056" t="s">
        <v>6913</v>
      </c>
      <c r="B5056" t="s">
        <v>6894</v>
      </c>
      <c r="C5056" t="s">
        <v>130</v>
      </c>
      <c r="D5056">
        <v>1972</v>
      </c>
      <c r="E5056" t="s">
        <v>29</v>
      </c>
      <c r="F5056" t="s">
        <v>30</v>
      </c>
      <c r="G5056" t="s">
        <v>31</v>
      </c>
      <c r="H5056" t="s">
        <v>32</v>
      </c>
      <c r="I5056">
        <v>1773.4982649999999</v>
      </c>
      <c r="J5056" t="s">
        <v>33</v>
      </c>
      <c r="K5056" t="s">
        <v>6911</v>
      </c>
      <c r="L5056" t="s">
        <v>21</v>
      </c>
      <c r="M5056" t="str">
        <f t="shared" si="234"/>
        <v>OK</v>
      </c>
      <c r="N5056" t="str">
        <f t="shared" si="235"/>
        <v>1970s</v>
      </c>
      <c r="O5056" t="str">
        <f t="shared" si="236"/>
        <v>N/A</v>
      </c>
      <c r="P5056" t="str">
        <f>VLOOKUP(E5056,calculated_fields!$F$4:$G$6,2,FALSE)</f>
        <v>Economy</v>
      </c>
    </row>
    <row r="5057" spans="1:16">
      <c r="A5057" t="s">
        <v>6914</v>
      </c>
      <c r="B5057" t="s">
        <v>6894</v>
      </c>
      <c r="C5057" t="s">
        <v>130</v>
      </c>
      <c r="D5057">
        <v>1977</v>
      </c>
      <c r="E5057" t="s">
        <v>15</v>
      </c>
      <c r="F5057" t="s">
        <v>16</v>
      </c>
      <c r="G5057" t="s">
        <v>17</v>
      </c>
      <c r="H5057" t="s">
        <v>18</v>
      </c>
      <c r="I5057">
        <v>51.386000000000003</v>
      </c>
      <c r="J5057" t="s">
        <v>19</v>
      </c>
      <c r="K5057" t="s">
        <v>6915</v>
      </c>
      <c r="L5057" t="s">
        <v>21</v>
      </c>
      <c r="M5057" t="str">
        <f t="shared" si="234"/>
        <v>OK</v>
      </c>
      <c r="N5057" t="str">
        <f t="shared" si="235"/>
        <v>1970s</v>
      </c>
      <c r="O5057" t="str">
        <f t="shared" si="236"/>
        <v>Low</v>
      </c>
      <c r="P5057" t="str">
        <f>VLOOKUP(E5057,calculated_fields!$F$4:$G$6,2,FALSE)</f>
        <v>Health</v>
      </c>
    </row>
    <row r="5058" spans="1:16">
      <c r="A5058" t="s">
        <v>6916</v>
      </c>
      <c r="B5058" t="s">
        <v>6894</v>
      </c>
      <c r="C5058" t="s">
        <v>130</v>
      </c>
      <c r="D5058">
        <v>1977</v>
      </c>
      <c r="E5058" t="s">
        <v>23</v>
      </c>
      <c r="F5058" t="s">
        <v>24</v>
      </c>
      <c r="G5058" t="s">
        <v>25</v>
      </c>
      <c r="H5058" t="s">
        <v>26</v>
      </c>
      <c r="I5058">
        <v>5216550</v>
      </c>
      <c r="J5058" t="s">
        <v>27</v>
      </c>
      <c r="K5058" t="s">
        <v>6915</v>
      </c>
      <c r="L5058" t="s">
        <v>21</v>
      </c>
      <c r="M5058" t="str">
        <f t="shared" ref="M5058:M5113" si="237">IF(AND(ISNUMBER(I5058),I5058&gt;=0),"OK","Review")</f>
        <v>OK</v>
      </c>
      <c r="N5058" t="str">
        <f t="shared" ref="N5058:N5113" si="238">FLOOR(D5058,10)&amp;"s"</f>
        <v>1970s</v>
      </c>
      <c r="O5058" t="str">
        <f t="shared" ref="O5058:O5113" si="239">IF(E5058="LIFE_EXP",IF(I5058&gt;=70,"High",IF(I5058&gt;=55,"Medium","Low")),"N/A")</f>
        <v>N/A</v>
      </c>
      <c r="P5058" t="str">
        <f>VLOOKUP(E5058,calculated_fields!$F$4:$G$6,2,FALSE)</f>
        <v>Demographics</v>
      </c>
    </row>
    <row r="5059" spans="1:16">
      <c r="A5059" t="s">
        <v>6917</v>
      </c>
      <c r="B5059" t="s">
        <v>6894</v>
      </c>
      <c r="C5059" t="s">
        <v>130</v>
      </c>
      <c r="D5059">
        <v>1977</v>
      </c>
      <c r="E5059" t="s">
        <v>29</v>
      </c>
      <c r="F5059" t="s">
        <v>30</v>
      </c>
      <c r="G5059" t="s">
        <v>31</v>
      </c>
      <c r="H5059" t="s">
        <v>32</v>
      </c>
      <c r="I5059">
        <v>1588.6882989999999</v>
      </c>
      <c r="J5059" t="s">
        <v>33</v>
      </c>
      <c r="K5059" t="s">
        <v>6915</v>
      </c>
      <c r="L5059" t="s">
        <v>21</v>
      </c>
      <c r="M5059" t="str">
        <f t="shared" si="237"/>
        <v>OK</v>
      </c>
      <c r="N5059" t="str">
        <f t="shared" si="238"/>
        <v>1970s</v>
      </c>
      <c r="O5059" t="str">
        <f t="shared" si="239"/>
        <v>N/A</v>
      </c>
      <c r="P5059" t="str">
        <f>VLOOKUP(E5059,calculated_fields!$F$4:$G$6,2,FALSE)</f>
        <v>Economy</v>
      </c>
    </row>
    <row r="5060" spans="1:16">
      <c r="A5060" t="s">
        <v>6918</v>
      </c>
      <c r="B5060" t="s">
        <v>6894</v>
      </c>
      <c r="C5060" t="s">
        <v>130</v>
      </c>
      <c r="D5060">
        <v>1982</v>
      </c>
      <c r="E5060" t="s">
        <v>15</v>
      </c>
      <c r="F5060" t="s">
        <v>16</v>
      </c>
      <c r="G5060" t="s">
        <v>17</v>
      </c>
      <c r="H5060" t="s">
        <v>18</v>
      </c>
      <c r="I5060">
        <v>51.820999999999998</v>
      </c>
      <c r="J5060" t="s">
        <v>19</v>
      </c>
      <c r="K5060" t="s">
        <v>6919</v>
      </c>
      <c r="L5060" t="s">
        <v>21</v>
      </c>
      <c r="M5060" t="str">
        <f t="shared" si="237"/>
        <v>OK</v>
      </c>
      <c r="N5060" t="str">
        <f t="shared" si="238"/>
        <v>1980s</v>
      </c>
      <c r="O5060" t="str">
        <f t="shared" si="239"/>
        <v>Low</v>
      </c>
      <c r="P5060" t="str">
        <f>VLOOKUP(E5060,calculated_fields!$F$4:$G$6,2,FALSE)</f>
        <v>Health</v>
      </c>
    </row>
    <row r="5061" spans="1:16">
      <c r="A5061" t="s">
        <v>6920</v>
      </c>
      <c r="B5061" t="s">
        <v>6894</v>
      </c>
      <c r="C5061" t="s">
        <v>130</v>
      </c>
      <c r="D5061">
        <v>1982</v>
      </c>
      <c r="E5061" t="s">
        <v>23</v>
      </c>
      <c r="F5061" t="s">
        <v>24</v>
      </c>
      <c r="G5061" t="s">
        <v>25</v>
      </c>
      <c r="H5061" t="s">
        <v>26</v>
      </c>
      <c r="I5061">
        <v>6100407</v>
      </c>
      <c r="J5061" t="s">
        <v>27</v>
      </c>
      <c r="K5061" t="s">
        <v>6919</v>
      </c>
      <c r="L5061" t="s">
        <v>21</v>
      </c>
      <c r="M5061" t="str">
        <f t="shared" si="237"/>
        <v>OK</v>
      </c>
      <c r="N5061" t="str">
        <f t="shared" si="238"/>
        <v>1980s</v>
      </c>
      <c r="O5061" t="str">
        <f t="shared" si="239"/>
        <v>N/A</v>
      </c>
      <c r="P5061" t="str">
        <f>VLOOKUP(E5061,calculated_fields!$F$4:$G$6,2,FALSE)</f>
        <v>Demographics</v>
      </c>
    </row>
    <row r="5062" spans="1:16">
      <c r="A5062" t="s">
        <v>6921</v>
      </c>
      <c r="B5062" t="s">
        <v>6894</v>
      </c>
      <c r="C5062" t="s">
        <v>130</v>
      </c>
      <c r="D5062">
        <v>1982</v>
      </c>
      <c r="E5062" t="s">
        <v>29</v>
      </c>
      <c r="F5062" t="s">
        <v>30</v>
      </c>
      <c r="G5062" t="s">
        <v>31</v>
      </c>
      <c r="H5062" t="s">
        <v>32</v>
      </c>
      <c r="I5062">
        <v>1408.6785649999999</v>
      </c>
      <c r="J5062" t="s">
        <v>33</v>
      </c>
      <c r="K5062" t="s">
        <v>6919</v>
      </c>
      <c r="L5062" t="s">
        <v>21</v>
      </c>
      <c r="M5062" t="str">
        <f t="shared" si="237"/>
        <v>OK</v>
      </c>
      <c r="N5062" t="str">
        <f t="shared" si="238"/>
        <v>1980s</v>
      </c>
      <c r="O5062" t="str">
        <f t="shared" si="239"/>
        <v>N/A</v>
      </c>
      <c r="P5062" t="str">
        <f>VLOOKUP(E5062,calculated_fields!$F$4:$G$6,2,FALSE)</f>
        <v>Economy</v>
      </c>
    </row>
    <row r="5063" spans="1:16">
      <c r="A5063" t="s">
        <v>6922</v>
      </c>
      <c r="B5063" t="s">
        <v>6894</v>
      </c>
      <c r="C5063" t="s">
        <v>130</v>
      </c>
      <c r="D5063">
        <v>1987</v>
      </c>
      <c r="E5063" t="s">
        <v>15</v>
      </c>
      <c r="F5063" t="s">
        <v>16</v>
      </c>
      <c r="G5063" t="s">
        <v>17</v>
      </c>
      <c r="H5063" t="s">
        <v>18</v>
      </c>
      <c r="I5063">
        <v>50.820999999999998</v>
      </c>
      <c r="J5063" t="s">
        <v>19</v>
      </c>
      <c r="K5063" t="s">
        <v>6923</v>
      </c>
      <c r="L5063" t="s">
        <v>21</v>
      </c>
      <c r="M5063" t="str">
        <f t="shared" si="237"/>
        <v>OK</v>
      </c>
      <c r="N5063" t="str">
        <f t="shared" si="238"/>
        <v>1980s</v>
      </c>
      <c r="O5063" t="str">
        <f t="shared" si="239"/>
        <v>Low</v>
      </c>
      <c r="P5063" t="str">
        <f>VLOOKUP(E5063,calculated_fields!$F$4:$G$6,2,FALSE)</f>
        <v>Health</v>
      </c>
    </row>
    <row r="5064" spans="1:16">
      <c r="A5064" t="s">
        <v>6924</v>
      </c>
      <c r="B5064" t="s">
        <v>6894</v>
      </c>
      <c r="C5064" t="s">
        <v>130</v>
      </c>
      <c r="D5064">
        <v>1987</v>
      </c>
      <c r="E5064" t="s">
        <v>23</v>
      </c>
      <c r="F5064" t="s">
        <v>24</v>
      </c>
      <c r="G5064" t="s">
        <v>25</v>
      </c>
      <c r="H5064" t="s">
        <v>26</v>
      </c>
      <c r="I5064">
        <v>7272406</v>
      </c>
      <c r="J5064" t="s">
        <v>27</v>
      </c>
      <c r="K5064" t="s">
        <v>6923</v>
      </c>
      <c r="L5064" t="s">
        <v>21</v>
      </c>
      <c r="M5064" t="str">
        <f t="shared" si="237"/>
        <v>OK</v>
      </c>
      <c r="N5064" t="str">
        <f t="shared" si="238"/>
        <v>1980s</v>
      </c>
      <c r="O5064" t="str">
        <f t="shared" si="239"/>
        <v>N/A</v>
      </c>
      <c r="P5064" t="str">
        <f>VLOOKUP(E5064,calculated_fields!$F$4:$G$6,2,FALSE)</f>
        <v>Demographics</v>
      </c>
    </row>
    <row r="5065" spans="1:16">
      <c r="A5065" t="s">
        <v>6925</v>
      </c>
      <c r="B5065" t="s">
        <v>6894</v>
      </c>
      <c r="C5065" t="s">
        <v>130</v>
      </c>
      <c r="D5065">
        <v>1987</v>
      </c>
      <c r="E5065" t="s">
        <v>29</v>
      </c>
      <c r="F5065" t="s">
        <v>30</v>
      </c>
      <c r="G5065" t="s">
        <v>31</v>
      </c>
      <c r="H5065" t="s">
        <v>32</v>
      </c>
      <c r="I5065">
        <v>1213.315116</v>
      </c>
      <c r="J5065" t="s">
        <v>33</v>
      </c>
      <c r="K5065" t="s">
        <v>6923</v>
      </c>
      <c r="L5065" t="s">
        <v>21</v>
      </c>
      <c r="M5065" t="str">
        <f t="shared" si="237"/>
        <v>OK</v>
      </c>
      <c r="N5065" t="str">
        <f t="shared" si="238"/>
        <v>1980s</v>
      </c>
      <c r="O5065" t="str">
        <f t="shared" si="239"/>
        <v>N/A</v>
      </c>
      <c r="P5065" t="str">
        <f>VLOOKUP(E5065,calculated_fields!$F$4:$G$6,2,FALSE)</f>
        <v>Economy</v>
      </c>
    </row>
    <row r="5066" spans="1:16">
      <c r="A5066" t="s">
        <v>6926</v>
      </c>
      <c r="B5066" t="s">
        <v>6894</v>
      </c>
      <c r="C5066" t="s">
        <v>130</v>
      </c>
      <c r="D5066">
        <v>1992</v>
      </c>
      <c r="E5066" t="s">
        <v>15</v>
      </c>
      <c r="F5066" t="s">
        <v>16</v>
      </c>
      <c r="G5066" t="s">
        <v>17</v>
      </c>
      <c r="H5066" t="s">
        <v>18</v>
      </c>
      <c r="I5066">
        <v>46.1</v>
      </c>
      <c r="J5066" t="s">
        <v>19</v>
      </c>
      <c r="K5066" t="s">
        <v>6927</v>
      </c>
      <c r="L5066" t="s">
        <v>21</v>
      </c>
      <c r="M5066" t="str">
        <f t="shared" si="237"/>
        <v>OK</v>
      </c>
      <c r="N5066" t="str">
        <f t="shared" si="238"/>
        <v>1990s</v>
      </c>
      <c r="O5066" t="str">
        <f t="shared" si="239"/>
        <v>Low</v>
      </c>
      <c r="P5066" t="str">
        <f>VLOOKUP(E5066,calculated_fields!$F$4:$G$6,2,FALSE)</f>
        <v>Health</v>
      </c>
    </row>
    <row r="5067" spans="1:16">
      <c r="A5067" t="s">
        <v>6928</v>
      </c>
      <c r="B5067" t="s">
        <v>6894</v>
      </c>
      <c r="C5067" t="s">
        <v>130</v>
      </c>
      <c r="D5067">
        <v>1992</v>
      </c>
      <c r="E5067" t="s">
        <v>23</v>
      </c>
      <c r="F5067" t="s">
        <v>24</v>
      </c>
      <c r="G5067" t="s">
        <v>25</v>
      </c>
      <c r="H5067" t="s">
        <v>26</v>
      </c>
      <c r="I5067">
        <v>8381163</v>
      </c>
      <c r="J5067" t="s">
        <v>27</v>
      </c>
      <c r="K5067" t="s">
        <v>6927</v>
      </c>
      <c r="L5067" t="s">
        <v>21</v>
      </c>
      <c r="M5067" t="str">
        <f t="shared" si="237"/>
        <v>OK</v>
      </c>
      <c r="N5067" t="str">
        <f t="shared" si="238"/>
        <v>1990s</v>
      </c>
      <c r="O5067" t="str">
        <f t="shared" si="239"/>
        <v>N/A</v>
      </c>
      <c r="P5067" t="str">
        <f>VLOOKUP(E5067,calculated_fields!$F$4:$G$6,2,FALSE)</f>
        <v>Demographics</v>
      </c>
    </row>
    <row r="5068" spans="1:16">
      <c r="A5068" t="s">
        <v>6929</v>
      </c>
      <c r="B5068" t="s">
        <v>6894</v>
      </c>
      <c r="C5068" t="s">
        <v>130</v>
      </c>
      <c r="D5068">
        <v>1992</v>
      </c>
      <c r="E5068" t="s">
        <v>29</v>
      </c>
      <c r="F5068" t="s">
        <v>30</v>
      </c>
      <c r="G5068" t="s">
        <v>31</v>
      </c>
      <c r="H5068" t="s">
        <v>32</v>
      </c>
      <c r="I5068">
        <v>1210.8846329999999</v>
      </c>
      <c r="J5068" t="s">
        <v>33</v>
      </c>
      <c r="K5068" t="s">
        <v>6927</v>
      </c>
      <c r="L5068" t="s">
        <v>21</v>
      </c>
      <c r="M5068" t="str">
        <f t="shared" si="237"/>
        <v>OK</v>
      </c>
      <c r="N5068" t="str">
        <f t="shared" si="238"/>
        <v>1990s</v>
      </c>
      <c r="O5068" t="str">
        <f t="shared" si="239"/>
        <v>N/A</v>
      </c>
      <c r="P5068" t="str">
        <f>VLOOKUP(E5068,calculated_fields!$F$4:$G$6,2,FALSE)</f>
        <v>Economy</v>
      </c>
    </row>
    <row r="5069" spans="1:16">
      <c r="A5069" t="s">
        <v>6930</v>
      </c>
      <c r="B5069" t="s">
        <v>6894</v>
      </c>
      <c r="C5069" t="s">
        <v>130</v>
      </c>
      <c r="D5069">
        <v>1997</v>
      </c>
      <c r="E5069" t="s">
        <v>15</v>
      </c>
      <c r="F5069" t="s">
        <v>16</v>
      </c>
      <c r="G5069" t="s">
        <v>17</v>
      </c>
      <c r="H5069" t="s">
        <v>18</v>
      </c>
      <c r="I5069">
        <v>40.238</v>
      </c>
      <c r="J5069" t="s">
        <v>19</v>
      </c>
      <c r="K5069" t="s">
        <v>6931</v>
      </c>
      <c r="L5069" t="s">
        <v>21</v>
      </c>
      <c r="M5069" t="str">
        <f t="shared" si="237"/>
        <v>OK</v>
      </c>
      <c r="N5069" t="str">
        <f t="shared" si="238"/>
        <v>1990s</v>
      </c>
      <c r="O5069" t="str">
        <f t="shared" si="239"/>
        <v>Low</v>
      </c>
      <c r="P5069" t="str">
        <f>VLOOKUP(E5069,calculated_fields!$F$4:$G$6,2,FALSE)</f>
        <v>Health</v>
      </c>
    </row>
    <row r="5070" spans="1:16">
      <c r="A5070" t="s">
        <v>6932</v>
      </c>
      <c r="B5070" t="s">
        <v>6894</v>
      </c>
      <c r="C5070" t="s">
        <v>130</v>
      </c>
      <c r="D5070">
        <v>1997</v>
      </c>
      <c r="E5070" t="s">
        <v>23</v>
      </c>
      <c r="F5070" t="s">
        <v>24</v>
      </c>
      <c r="G5070" t="s">
        <v>25</v>
      </c>
      <c r="H5070" t="s">
        <v>26</v>
      </c>
      <c r="I5070">
        <v>9417789</v>
      </c>
      <c r="J5070" t="s">
        <v>27</v>
      </c>
      <c r="K5070" t="s">
        <v>6931</v>
      </c>
      <c r="L5070" t="s">
        <v>21</v>
      </c>
      <c r="M5070" t="str">
        <f t="shared" si="237"/>
        <v>OK</v>
      </c>
      <c r="N5070" t="str">
        <f t="shared" si="238"/>
        <v>1990s</v>
      </c>
      <c r="O5070" t="str">
        <f t="shared" si="239"/>
        <v>N/A</v>
      </c>
      <c r="P5070" t="str">
        <f>VLOOKUP(E5070,calculated_fields!$F$4:$G$6,2,FALSE)</f>
        <v>Demographics</v>
      </c>
    </row>
    <row r="5071" spans="1:16">
      <c r="A5071" t="s">
        <v>6933</v>
      </c>
      <c r="B5071" t="s">
        <v>6894</v>
      </c>
      <c r="C5071" t="s">
        <v>130</v>
      </c>
      <c r="D5071">
        <v>1997</v>
      </c>
      <c r="E5071" t="s">
        <v>29</v>
      </c>
      <c r="F5071" t="s">
        <v>30</v>
      </c>
      <c r="G5071" t="s">
        <v>31</v>
      </c>
      <c r="H5071" t="s">
        <v>32</v>
      </c>
      <c r="I5071">
        <v>1071.353818</v>
      </c>
      <c r="J5071" t="s">
        <v>33</v>
      </c>
      <c r="K5071" t="s">
        <v>6931</v>
      </c>
      <c r="L5071" t="s">
        <v>21</v>
      </c>
      <c r="M5071" t="str">
        <f t="shared" si="237"/>
        <v>OK</v>
      </c>
      <c r="N5071" t="str">
        <f t="shared" si="238"/>
        <v>1990s</v>
      </c>
      <c r="O5071" t="str">
        <f t="shared" si="239"/>
        <v>N/A</v>
      </c>
      <c r="P5071" t="str">
        <f>VLOOKUP(E5071,calculated_fields!$F$4:$G$6,2,FALSE)</f>
        <v>Economy</v>
      </c>
    </row>
    <row r="5072" spans="1:16">
      <c r="A5072" t="s">
        <v>6934</v>
      </c>
      <c r="B5072" t="s">
        <v>6894</v>
      </c>
      <c r="C5072" t="s">
        <v>130</v>
      </c>
      <c r="D5072">
        <v>2002</v>
      </c>
      <c r="E5072" t="s">
        <v>15</v>
      </c>
      <c r="F5072" t="s">
        <v>16</v>
      </c>
      <c r="G5072" t="s">
        <v>17</v>
      </c>
      <c r="H5072" t="s">
        <v>18</v>
      </c>
      <c r="I5072">
        <v>39.192999999999998</v>
      </c>
      <c r="J5072" t="s">
        <v>19</v>
      </c>
      <c r="K5072" t="s">
        <v>6935</v>
      </c>
      <c r="L5072" t="s">
        <v>21</v>
      </c>
      <c r="M5072" t="str">
        <f t="shared" si="237"/>
        <v>OK</v>
      </c>
      <c r="N5072" t="str">
        <f t="shared" si="238"/>
        <v>2000s</v>
      </c>
      <c r="O5072" t="str">
        <f t="shared" si="239"/>
        <v>Low</v>
      </c>
      <c r="P5072" t="str">
        <f>VLOOKUP(E5072,calculated_fields!$F$4:$G$6,2,FALSE)</f>
        <v>Health</v>
      </c>
    </row>
    <row r="5073" spans="1:16">
      <c r="A5073" t="s">
        <v>6936</v>
      </c>
      <c r="B5073" t="s">
        <v>6894</v>
      </c>
      <c r="C5073" t="s">
        <v>130</v>
      </c>
      <c r="D5073">
        <v>2002</v>
      </c>
      <c r="E5073" t="s">
        <v>23</v>
      </c>
      <c r="F5073" t="s">
        <v>24</v>
      </c>
      <c r="G5073" t="s">
        <v>25</v>
      </c>
      <c r="H5073" t="s">
        <v>26</v>
      </c>
      <c r="I5073">
        <v>10595811</v>
      </c>
      <c r="J5073" t="s">
        <v>27</v>
      </c>
      <c r="K5073" t="s">
        <v>6935</v>
      </c>
      <c r="L5073" t="s">
        <v>21</v>
      </c>
      <c r="M5073" t="str">
        <f t="shared" si="237"/>
        <v>OK</v>
      </c>
      <c r="N5073" t="str">
        <f t="shared" si="238"/>
        <v>2000s</v>
      </c>
      <c r="O5073" t="str">
        <f t="shared" si="239"/>
        <v>N/A</v>
      </c>
      <c r="P5073" t="str">
        <f>VLOOKUP(E5073,calculated_fields!$F$4:$G$6,2,FALSE)</f>
        <v>Demographics</v>
      </c>
    </row>
    <row r="5074" spans="1:16">
      <c r="A5074" t="s">
        <v>6937</v>
      </c>
      <c r="B5074" t="s">
        <v>6894</v>
      </c>
      <c r="C5074" t="s">
        <v>130</v>
      </c>
      <c r="D5074">
        <v>2002</v>
      </c>
      <c r="E5074" t="s">
        <v>29</v>
      </c>
      <c r="F5074" t="s">
        <v>30</v>
      </c>
      <c r="G5074" t="s">
        <v>31</v>
      </c>
      <c r="H5074" t="s">
        <v>32</v>
      </c>
      <c r="I5074">
        <v>1071.613938</v>
      </c>
      <c r="J5074" t="s">
        <v>33</v>
      </c>
      <c r="K5074" t="s">
        <v>6935</v>
      </c>
      <c r="L5074" t="s">
        <v>21</v>
      </c>
      <c r="M5074" t="str">
        <f t="shared" si="237"/>
        <v>OK</v>
      </c>
      <c r="N5074" t="str">
        <f t="shared" si="238"/>
        <v>2000s</v>
      </c>
      <c r="O5074" t="str">
        <f t="shared" si="239"/>
        <v>N/A</v>
      </c>
      <c r="P5074" t="str">
        <f>VLOOKUP(E5074,calculated_fields!$F$4:$G$6,2,FALSE)</f>
        <v>Economy</v>
      </c>
    </row>
    <row r="5075" spans="1:16">
      <c r="A5075" t="s">
        <v>6938</v>
      </c>
      <c r="B5075" t="s">
        <v>6894</v>
      </c>
      <c r="C5075" t="s">
        <v>130</v>
      </c>
      <c r="D5075">
        <v>2007</v>
      </c>
      <c r="E5075" t="s">
        <v>15</v>
      </c>
      <c r="F5075" t="s">
        <v>16</v>
      </c>
      <c r="G5075" t="s">
        <v>17</v>
      </c>
      <c r="H5075" t="s">
        <v>18</v>
      </c>
      <c r="I5075">
        <v>42.383999999999901</v>
      </c>
      <c r="J5075" t="s">
        <v>19</v>
      </c>
      <c r="K5075" t="s">
        <v>6939</v>
      </c>
      <c r="L5075" t="s">
        <v>21</v>
      </c>
      <c r="M5075" t="str">
        <f t="shared" si="237"/>
        <v>OK</v>
      </c>
      <c r="N5075" t="str">
        <f t="shared" si="238"/>
        <v>2000s</v>
      </c>
      <c r="O5075" t="str">
        <f t="shared" si="239"/>
        <v>Low</v>
      </c>
      <c r="P5075" t="str">
        <f>VLOOKUP(E5075,calculated_fields!$F$4:$G$6,2,FALSE)</f>
        <v>Health</v>
      </c>
    </row>
    <row r="5076" spans="1:16">
      <c r="A5076" t="s">
        <v>6940</v>
      </c>
      <c r="B5076" t="s">
        <v>6894</v>
      </c>
      <c r="C5076" t="s">
        <v>130</v>
      </c>
      <c r="D5076">
        <v>2007</v>
      </c>
      <c r="E5076" t="s">
        <v>23</v>
      </c>
      <c r="F5076" t="s">
        <v>24</v>
      </c>
      <c r="G5076" t="s">
        <v>25</v>
      </c>
      <c r="H5076" t="s">
        <v>26</v>
      </c>
      <c r="I5076">
        <v>11746035</v>
      </c>
      <c r="J5076" t="s">
        <v>27</v>
      </c>
      <c r="K5076" t="s">
        <v>6939</v>
      </c>
      <c r="L5076" t="s">
        <v>21</v>
      </c>
      <c r="M5076" t="str">
        <f t="shared" si="237"/>
        <v>OK</v>
      </c>
      <c r="N5076" t="str">
        <f t="shared" si="238"/>
        <v>2000s</v>
      </c>
      <c r="O5076" t="str">
        <f t="shared" si="239"/>
        <v>N/A</v>
      </c>
      <c r="P5076" t="str">
        <f>VLOOKUP(E5076,calculated_fields!$F$4:$G$6,2,FALSE)</f>
        <v>Demographics</v>
      </c>
    </row>
    <row r="5077" spans="1:16">
      <c r="A5077" t="s">
        <v>6941</v>
      </c>
      <c r="B5077" t="s">
        <v>6894</v>
      </c>
      <c r="C5077" t="s">
        <v>130</v>
      </c>
      <c r="D5077">
        <v>2007</v>
      </c>
      <c r="E5077" t="s">
        <v>29</v>
      </c>
      <c r="F5077" t="s">
        <v>30</v>
      </c>
      <c r="G5077" t="s">
        <v>31</v>
      </c>
      <c r="H5077" t="s">
        <v>32</v>
      </c>
      <c r="I5077">
        <v>1271.211593</v>
      </c>
      <c r="J5077" t="s">
        <v>33</v>
      </c>
      <c r="K5077" t="s">
        <v>6939</v>
      </c>
      <c r="L5077" t="s">
        <v>21</v>
      </c>
      <c r="M5077" t="str">
        <f t="shared" si="237"/>
        <v>OK</v>
      </c>
      <c r="N5077" t="str">
        <f t="shared" si="238"/>
        <v>2000s</v>
      </c>
      <c r="O5077" t="str">
        <f t="shared" si="239"/>
        <v>N/A</v>
      </c>
      <c r="P5077" t="str">
        <f>VLOOKUP(E5077,calculated_fields!$F$4:$G$6,2,FALSE)</f>
        <v>Economy</v>
      </c>
    </row>
    <row r="5078" spans="1:16">
      <c r="A5078" t="s">
        <v>6942</v>
      </c>
      <c r="B5078" t="s">
        <v>6943</v>
      </c>
      <c r="C5078" t="s">
        <v>130</v>
      </c>
      <c r="D5078">
        <v>1952</v>
      </c>
      <c r="E5078" t="s">
        <v>15</v>
      </c>
      <c r="F5078" t="s">
        <v>16</v>
      </c>
      <c r="G5078" t="s">
        <v>17</v>
      </c>
      <c r="H5078" t="s">
        <v>18</v>
      </c>
      <c r="I5078">
        <v>48.451000000000001</v>
      </c>
      <c r="J5078" t="s">
        <v>19</v>
      </c>
      <c r="K5078" t="s">
        <v>6944</v>
      </c>
      <c r="L5078" t="s">
        <v>21</v>
      </c>
      <c r="M5078" t="str">
        <f t="shared" si="237"/>
        <v>OK</v>
      </c>
      <c r="N5078" t="str">
        <f t="shared" si="238"/>
        <v>1950s</v>
      </c>
      <c r="O5078" t="str">
        <f t="shared" si="239"/>
        <v>Low</v>
      </c>
      <c r="P5078" t="str">
        <f>VLOOKUP(E5078,calculated_fields!$F$4:$G$6,2,FALSE)</f>
        <v>Health</v>
      </c>
    </row>
    <row r="5079" spans="1:16">
      <c r="A5079" t="s">
        <v>6945</v>
      </c>
      <c r="B5079" t="s">
        <v>6943</v>
      </c>
      <c r="C5079" t="s">
        <v>130</v>
      </c>
      <c r="D5079">
        <v>1952</v>
      </c>
      <c r="E5079" t="s">
        <v>23</v>
      </c>
      <c r="F5079" t="s">
        <v>24</v>
      </c>
      <c r="G5079" t="s">
        <v>25</v>
      </c>
      <c r="H5079" t="s">
        <v>26</v>
      </c>
      <c r="I5079">
        <v>3080907</v>
      </c>
      <c r="J5079" t="s">
        <v>27</v>
      </c>
      <c r="K5079" t="s">
        <v>6944</v>
      </c>
      <c r="L5079" t="s">
        <v>21</v>
      </c>
      <c r="M5079" t="str">
        <f t="shared" si="237"/>
        <v>OK</v>
      </c>
      <c r="N5079" t="str">
        <f t="shared" si="238"/>
        <v>1950s</v>
      </c>
      <c r="O5079" t="str">
        <f t="shared" si="239"/>
        <v>N/A</v>
      </c>
      <c r="P5079" t="str">
        <f>VLOOKUP(E5079,calculated_fields!$F$4:$G$6,2,FALSE)</f>
        <v>Demographics</v>
      </c>
    </row>
    <row r="5080" spans="1:16">
      <c r="A5080" t="s">
        <v>6946</v>
      </c>
      <c r="B5080" t="s">
        <v>6943</v>
      </c>
      <c r="C5080" t="s">
        <v>130</v>
      </c>
      <c r="D5080">
        <v>1952</v>
      </c>
      <c r="E5080" t="s">
        <v>29</v>
      </c>
      <c r="F5080" t="s">
        <v>30</v>
      </c>
      <c r="G5080" t="s">
        <v>31</v>
      </c>
      <c r="H5080" t="s">
        <v>32</v>
      </c>
      <c r="I5080">
        <v>406.88411480000002</v>
      </c>
      <c r="J5080" t="s">
        <v>33</v>
      </c>
      <c r="K5080" t="s">
        <v>6944</v>
      </c>
      <c r="L5080" t="s">
        <v>21</v>
      </c>
      <c r="M5080" t="str">
        <f t="shared" si="237"/>
        <v>OK</v>
      </c>
      <c r="N5080" t="str">
        <f t="shared" si="238"/>
        <v>1950s</v>
      </c>
      <c r="O5080" t="str">
        <f t="shared" si="239"/>
        <v>N/A</v>
      </c>
      <c r="P5080" t="str">
        <f>VLOOKUP(E5080,calculated_fields!$F$4:$G$6,2,FALSE)</f>
        <v>Economy</v>
      </c>
    </row>
    <row r="5081" spans="1:16">
      <c r="A5081" t="s">
        <v>6947</v>
      </c>
      <c r="B5081" t="s">
        <v>6943</v>
      </c>
      <c r="C5081" t="s">
        <v>130</v>
      </c>
      <c r="D5081">
        <v>1957</v>
      </c>
      <c r="E5081" t="s">
        <v>15</v>
      </c>
      <c r="F5081" t="s">
        <v>16</v>
      </c>
      <c r="G5081" t="s">
        <v>17</v>
      </c>
      <c r="H5081" t="s">
        <v>18</v>
      </c>
      <c r="I5081">
        <v>50.469000000000001</v>
      </c>
      <c r="J5081" t="s">
        <v>19</v>
      </c>
      <c r="K5081" t="s">
        <v>6948</v>
      </c>
      <c r="L5081" t="s">
        <v>21</v>
      </c>
      <c r="M5081" t="str">
        <f t="shared" si="237"/>
        <v>OK</v>
      </c>
      <c r="N5081" t="str">
        <f t="shared" si="238"/>
        <v>1950s</v>
      </c>
      <c r="O5081" t="str">
        <f t="shared" si="239"/>
        <v>Low</v>
      </c>
      <c r="P5081" t="str">
        <f>VLOOKUP(E5081,calculated_fields!$F$4:$G$6,2,FALSE)</f>
        <v>Health</v>
      </c>
    </row>
    <row r="5082" spans="1:16">
      <c r="A5082" t="s">
        <v>6949</v>
      </c>
      <c r="B5082" t="s">
        <v>6943</v>
      </c>
      <c r="C5082" t="s">
        <v>130</v>
      </c>
      <c r="D5082">
        <v>1957</v>
      </c>
      <c r="E5082" t="s">
        <v>23</v>
      </c>
      <c r="F5082" t="s">
        <v>24</v>
      </c>
      <c r="G5082" t="s">
        <v>25</v>
      </c>
      <c r="H5082" t="s">
        <v>26</v>
      </c>
      <c r="I5082">
        <v>3646340</v>
      </c>
      <c r="J5082" t="s">
        <v>27</v>
      </c>
      <c r="K5082" t="s">
        <v>6948</v>
      </c>
      <c r="L5082" t="s">
        <v>21</v>
      </c>
      <c r="M5082" t="str">
        <f t="shared" si="237"/>
        <v>OK</v>
      </c>
      <c r="N5082" t="str">
        <f t="shared" si="238"/>
        <v>1950s</v>
      </c>
      <c r="O5082" t="str">
        <f t="shared" si="239"/>
        <v>N/A</v>
      </c>
      <c r="P5082" t="str">
        <f>VLOOKUP(E5082,calculated_fields!$F$4:$G$6,2,FALSE)</f>
        <v>Demographics</v>
      </c>
    </row>
    <row r="5083" spans="1:16">
      <c r="A5083" t="s">
        <v>6950</v>
      </c>
      <c r="B5083" t="s">
        <v>6943</v>
      </c>
      <c r="C5083" t="s">
        <v>130</v>
      </c>
      <c r="D5083">
        <v>1957</v>
      </c>
      <c r="E5083" t="s">
        <v>29</v>
      </c>
      <c r="F5083" t="s">
        <v>30</v>
      </c>
      <c r="G5083" t="s">
        <v>31</v>
      </c>
      <c r="H5083" t="s">
        <v>32</v>
      </c>
      <c r="I5083">
        <v>518.76426809999998</v>
      </c>
      <c r="J5083" t="s">
        <v>33</v>
      </c>
      <c r="K5083" t="s">
        <v>6948</v>
      </c>
      <c r="L5083" t="s">
        <v>21</v>
      </c>
      <c r="M5083" t="str">
        <f t="shared" si="237"/>
        <v>OK</v>
      </c>
      <c r="N5083" t="str">
        <f t="shared" si="238"/>
        <v>1950s</v>
      </c>
      <c r="O5083" t="str">
        <f t="shared" si="239"/>
        <v>N/A</v>
      </c>
      <c r="P5083" t="str">
        <f>VLOOKUP(E5083,calculated_fields!$F$4:$G$6,2,FALSE)</f>
        <v>Economy</v>
      </c>
    </row>
    <row r="5084" spans="1:16">
      <c r="A5084" t="s">
        <v>6951</v>
      </c>
      <c r="B5084" t="s">
        <v>6943</v>
      </c>
      <c r="C5084" t="s">
        <v>130</v>
      </c>
      <c r="D5084">
        <v>1962</v>
      </c>
      <c r="E5084" t="s">
        <v>15</v>
      </c>
      <c r="F5084" t="s">
        <v>16</v>
      </c>
      <c r="G5084" t="s">
        <v>17</v>
      </c>
      <c r="H5084" t="s">
        <v>18</v>
      </c>
      <c r="I5084">
        <v>52.357999999999997</v>
      </c>
      <c r="J5084" t="s">
        <v>19</v>
      </c>
      <c r="K5084" t="s">
        <v>6952</v>
      </c>
      <c r="L5084" t="s">
        <v>21</v>
      </c>
      <c r="M5084" t="str">
        <f t="shared" si="237"/>
        <v>OK</v>
      </c>
      <c r="N5084" t="str">
        <f t="shared" si="238"/>
        <v>1960s</v>
      </c>
      <c r="O5084" t="str">
        <f t="shared" si="239"/>
        <v>Low</v>
      </c>
      <c r="P5084" t="str">
        <f>VLOOKUP(E5084,calculated_fields!$F$4:$G$6,2,FALSE)</f>
        <v>Health</v>
      </c>
    </row>
    <row r="5085" spans="1:16">
      <c r="A5085" t="s">
        <v>6953</v>
      </c>
      <c r="B5085" t="s">
        <v>6943</v>
      </c>
      <c r="C5085" t="s">
        <v>130</v>
      </c>
      <c r="D5085">
        <v>1962</v>
      </c>
      <c r="E5085" t="s">
        <v>23</v>
      </c>
      <c r="F5085" t="s">
        <v>24</v>
      </c>
      <c r="G5085" t="s">
        <v>25</v>
      </c>
      <c r="H5085" t="s">
        <v>26</v>
      </c>
      <c r="I5085">
        <v>4277736</v>
      </c>
      <c r="J5085" t="s">
        <v>27</v>
      </c>
      <c r="K5085" t="s">
        <v>6952</v>
      </c>
      <c r="L5085" t="s">
        <v>21</v>
      </c>
      <c r="M5085" t="str">
        <f t="shared" si="237"/>
        <v>OK</v>
      </c>
      <c r="N5085" t="str">
        <f t="shared" si="238"/>
        <v>1960s</v>
      </c>
      <c r="O5085" t="str">
        <f t="shared" si="239"/>
        <v>N/A</v>
      </c>
      <c r="P5085" t="str">
        <f>VLOOKUP(E5085,calculated_fields!$F$4:$G$6,2,FALSE)</f>
        <v>Demographics</v>
      </c>
    </row>
    <row r="5086" spans="1:16">
      <c r="A5086" t="s">
        <v>6954</v>
      </c>
      <c r="B5086" t="s">
        <v>6943</v>
      </c>
      <c r="C5086" t="s">
        <v>130</v>
      </c>
      <c r="D5086">
        <v>1962</v>
      </c>
      <c r="E5086" t="s">
        <v>29</v>
      </c>
      <c r="F5086" t="s">
        <v>30</v>
      </c>
      <c r="G5086" t="s">
        <v>31</v>
      </c>
      <c r="H5086" t="s">
        <v>32</v>
      </c>
      <c r="I5086">
        <v>527.2721818</v>
      </c>
      <c r="J5086" t="s">
        <v>33</v>
      </c>
      <c r="K5086" t="s">
        <v>6952</v>
      </c>
      <c r="L5086" t="s">
        <v>21</v>
      </c>
      <c r="M5086" t="str">
        <f t="shared" si="237"/>
        <v>OK</v>
      </c>
      <c r="N5086" t="str">
        <f t="shared" si="238"/>
        <v>1960s</v>
      </c>
      <c r="O5086" t="str">
        <f t="shared" si="239"/>
        <v>N/A</v>
      </c>
      <c r="P5086" t="str">
        <f>VLOOKUP(E5086,calculated_fields!$F$4:$G$6,2,FALSE)</f>
        <v>Economy</v>
      </c>
    </row>
    <row r="5087" spans="1:16">
      <c r="A5087" t="s">
        <v>6955</v>
      </c>
      <c r="B5087" t="s">
        <v>6943</v>
      </c>
      <c r="C5087" t="s">
        <v>130</v>
      </c>
      <c r="D5087">
        <v>1967</v>
      </c>
      <c r="E5087" t="s">
        <v>15</v>
      </c>
      <c r="F5087" t="s">
        <v>16</v>
      </c>
      <c r="G5087" t="s">
        <v>17</v>
      </c>
      <c r="H5087" t="s">
        <v>18</v>
      </c>
      <c r="I5087">
        <v>53.994999999999997</v>
      </c>
      <c r="J5087" t="s">
        <v>19</v>
      </c>
      <c r="K5087" t="s">
        <v>6956</v>
      </c>
      <c r="L5087" t="s">
        <v>21</v>
      </c>
      <c r="M5087" t="str">
        <f t="shared" si="237"/>
        <v>OK</v>
      </c>
      <c r="N5087" t="str">
        <f t="shared" si="238"/>
        <v>1960s</v>
      </c>
      <c r="O5087" t="str">
        <f t="shared" si="239"/>
        <v>Low</v>
      </c>
      <c r="P5087" t="str">
        <f>VLOOKUP(E5087,calculated_fields!$F$4:$G$6,2,FALSE)</f>
        <v>Health</v>
      </c>
    </row>
    <row r="5088" spans="1:16">
      <c r="A5088" t="s">
        <v>6957</v>
      </c>
      <c r="B5088" t="s">
        <v>6943</v>
      </c>
      <c r="C5088" t="s">
        <v>130</v>
      </c>
      <c r="D5088">
        <v>1967</v>
      </c>
      <c r="E5088" t="s">
        <v>23</v>
      </c>
      <c r="F5088" t="s">
        <v>24</v>
      </c>
      <c r="G5088" t="s">
        <v>25</v>
      </c>
      <c r="H5088" t="s">
        <v>26</v>
      </c>
      <c r="I5088">
        <v>4995432</v>
      </c>
      <c r="J5088" t="s">
        <v>27</v>
      </c>
      <c r="K5088" t="s">
        <v>6956</v>
      </c>
      <c r="L5088" t="s">
        <v>21</v>
      </c>
      <c r="M5088" t="str">
        <f t="shared" si="237"/>
        <v>OK</v>
      </c>
      <c r="N5088" t="str">
        <f t="shared" si="238"/>
        <v>1960s</v>
      </c>
      <c r="O5088" t="str">
        <f t="shared" si="239"/>
        <v>N/A</v>
      </c>
      <c r="P5088" t="str">
        <f>VLOOKUP(E5088,calculated_fields!$F$4:$G$6,2,FALSE)</f>
        <v>Demographics</v>
      </c>
    </row>
    <row r="5089" spans="1:16">
      <c r="A5089" t="s">
        <v>6958</v>
      </c>
      <c r="B5089" t="s">
        <v>6943</v>
      </c>
      <c r="C5089" t="s">
        <v>130</v>
      </c>
      <c r="D5089">
        <v>1967</v>
      </c>
      <c r="E5089" t="s">
        <v>29</v>
      </c>
      <c r="F5089" t="s">
        <v>30</v>
      </c>
      <c r="G5089" t="s">
        <v>31</v>
      </c>
      <c r="H5089" t="s">
        <v>32</v>
      </c>
      <c r="I5089">
        <v>569.79507120000005</v>
      </c>
      <c r="J5089" t="s">
        <v>33</v>
      </c>
      <c r="K5089" t="s">
        <v>6956</v>
      </c>
      <c r="L5089" t="s">
        <v>21</v>
      </c>
      <c r="M5089" t="str">
        <f t="shared" si="237"/>
        <v>OK</v>
      </c>
      <c r="N5089" t="str">
        <f t="shared" si="238"/>
        <v>1960s</v>
      </c>
      <c r="O5089" t="str">
        <f t="shared" si="239"/>
        <v>N/A</v>
      </c>
      <c r="P5089" t="str">
        <f>VLOOKUP(E5089,calculated_fields!$F$4:$G$6,2,FALSE)</f>
        <v>Economy</v>
      </c>
    </row>
    <row r="5090" spans="1:16">
      <c r="A5090" t="s">
        <v>6959</v>
      </c>
      <c r="B5090" t="s">
        <v>6943</v>
      </c>
      <c r="C5090" t="s">
        <v>130</v>
      </c>
      <c r="D5090">
        <v>1972</v>
      </c>
      <c r="E5090" t="s">
        <v>15</v>
      </c>
      <c r="F5090" t="s">
        <v>16</v>
      </c>
      <c r="G5090" t="s">
        <v>17</v>
      </c>
      <c r="H5090" t="s">
        <v>18</v>
      </c>
      <c r="I5090">
        <v>55.634999999999998</v>
      </c>
      <c r="J5090" t="s">
        <v>19</v>
      </c>
      <c r="K5090" t="s">
        <v>6960</v>
      </c>
      <c r="L5090" t="s">
        <v>21</v>
      </c>
      <c r="M5090" t="str">
        <f t="shared" si="237"/>
        <v>OK</v>
      </c>
      <c r="N5090" t="str">
        <f t="shared" si="238"/>
        <v>1970s</v>
      </c>
      <c r="O5090" t="str">
        <f t="shared" si="239"/>
        <v>Medium</v>
      </c>
      <c r="P5090" t="str">
        <f>VLOOKUP(E5090,calculated_fields!$F$4:$G$6,2,FALSE)</f>
        <v>Health</v>
      </c>
    </row>
    <row r="5091" spans="1:16">
      <c r="A5091" t="s">
        <v>6961</v>
      </c>
      <c r="B5091" t="s">
        <v>6943</v>
      </c>
      <c r="C5091" t="s">
        <v>130</v>
      </c>
      <c r="D5091">
        <v>1972</v>
      </c>
      <c r="E5091" t="s">
        <v>23</v>
      </c>
      <c r="F5091" t="s">
        <v>24</v>
      </c>
      <c r="G5091" t="s">
        <v>25</v>
      </c>
      <c r="H5091" t="s">
        <v>26</v>
      </c>
      <c r="I5091">
        <v>5861135</v>
      </c>
      <c r="J5091" t="s">
        <v>27</v>
      </c>
      <c r="K5091" t="s">
        <v>6960</v>
      </c>
      <c r="L5091" t="s">
        <v>21</v>
      </c>
      <c r="M5091" t="str">
        <f t="shared" si="237"/>
        <v>OK</v>
      </c>
      <c r="N5091" t="str">
        <f t="shared" si="238"/>
        <v>1970s</v>
      </c>
      <c r="O5091" t="str">
        <f t="shared" si="239"/>
        <v>N/A</v>
      </c>
      <c r="P5091" t="str">
        <f>VLOOKUP(E5091,calculated_fields!$F$4:$G$6,2,FALSE)</f>
        <v>Demographics</v>
      </c>
    </row>
    <row r="5092" spans="1:16">
      <c r="A5092" t="s">
        <v>6962</v>
      </c>
      <c r="B5092" t="s">
        <v>6943</v>
      </c>
      <c r="C5092" t="s">
        <v>130</v>
      </c>
      <c r="D5092">
        <v>1972</v>
      </c>
      <c r="E5092" t="s">
        <v>29</v>
      </c>
      <c r="F5092" t="s">
        <v>30</v>
      </c>
      <c r="G5092" t="s">
        <v>31</v>
      </c>
      <c r="H5092" t="s">
        <v>32</v>
      </c>
      <c r="I5092">
        <v>799.36217579999902</v>
      </c>
      <c r="J5092" t="s">
        <v>33</v>
      </c>
      <c r="K5092" t="s">
        <v>6960</v>
      </c>
      <c r="L5092" t="s">
        <v>21</v>
      </c>
      <c r="M5092" t="str">
        <f t="shared" si="237"/>
        <v>OK</v>
      </c>
      <c r="N5092" t="str">
        <f t="shared" si="238"/>
        <v>1970s</v>
      </c>
      <c r="O5092" t="str">
        <f t="shared" si="239"/>
        <v>N/A</v>
      </c>
      <c r="P5092" t="str">
        <f>VLOOKUP(E5092,calculated_fields!$F$4:$G$6,2,FALSE)</f>
        <v>Economy</v>
      </c>
    </row>
    <row r="5093" spans="1:16">
      <c r="A5093" t="s">
        <v>6963</v>
      </c>
      <c r="B5093" t="s">
        <v>6943</v>
      </c>
      <c r="C5093" t="s">
        <v>130</v>
      </c>
      <c r="D5093">
        <v>1977</v>
      </c>
      <c r="E5093" t="s">
        <v>15</v>
      </c>
      <c r="F5093" t="s">
        <v>16</v>
      </c>
      <c r="G5093" t="s">
        <v>17</v>
      </c>
      <c r="H5093" t="s">
        <v>18</v>
      </c>
      <c r="I5093">
        <v>57.673999999999999</v>
      </c>
      <c r="J5093" t="s">
        <v>19</v>
      </c>
      <c r="K5093" t="s">
        <v>6964</v>
      </c>
      <c r="L5093" t="s">
        <v>21</v>
      </c>
      <c r="M5093" t="str">
        <f t="shared" si="237"/>
        <v>OK</v>
      </c>
      <c r="N5093" t="str">
        <f t="shared" si="238"/>
        <v>1970s</v>
      </c>
      <c r="O5093" t="str">
        <f t="shared" si="239"/>
        <v>Medium</v>
      </c>
      <c r="P5093" t="str">
        <f>VLOOKUP(E5093,calculated_fields!$F$4:$G$6,2,FALSE)</f>
        <v>Health</v>
      </c>
    </row>
    <row r="5094" spans="1:16">
      <c r="A5094" t="s">
        <v>6965</v>
      </c>
      <c r="B5094" t="s">
        <v>6943</v>
      </c>
      <c r="C5094" t="s">
        <v>130</v>
      </c>
      <c r="D5094">
        <v>1977</v>
      </c>
      <c r="E5094" t="s">
        <v>23</v>
      </c>
      <c r="F5094" t="s">
        <v>24</v>
      </c>
      <c r="G5094" t="s">
        <v>25</v>
      </c>
      <c r="H5094" t="s">
        <v>26</v>
      </c>
      <c r="I5094">
        <v>6642107</v>
      </c>
      <c r="J5094" t="s">
        <v>27</v>
      </c>
      <c r="K5094" t="s">
        <v>6964</v>
      </c>
      <c r="L5094" t="s">
        <v>21</v>
      </c>
      <c r="M5094" t="str">
        <f t="shared" si="237"/>
        <v>OK</v>
      </c>
      <c r="N5094" t="str">
        <f t="shared" si="238"/>
        <v>1970s</v>
      </c>
      <c r="O5094" t="str">
        <f t="shared" si="239"/>
        <v>N/A</v>
      </c>
      <c r="P5094" t="str">
        <f>VLOOKUP(E5094,calculated_fields!$F$4:$G$6,2,FALSE)</f>
        <v>Demographics</v>
      </c>
    </row>
    <row r="5095" spans="1:16">
      <c r="A5095" t="s">
        <v>6966</v>
      </c>
      <c r="B5095" t="s">
        <v>6943</v>
      </c>
      <c r="C5095" t="s">
        <v>130</v>
      </c>
      <c r="D5095">
        <v>1977</v>
      </c>
      <c r="E5095" t="s">
        <v>29</v>
      </c>
      <c r="F5095" t="s">
        <v>30</v>
      </c>
      <c r="G5095" t="s">
        <v>31</v>
      </c>
      <c r="H5095" t="s">
        <v>32</v>
      </c>
      <c r="I5095">
        <v>685.58768210000005</v>
      </c>
      <c r="J5095" t="s">
        <v>33</v>
      </c>
      <c r="K5095" t="s">
        <v>6964</v>
      </c>
      <c r="L5095" t="s">
        <v>21</v>
      </c>
      <c r="M5095" t="str">
        <f t="shared" si="237"/>
        <v>OK</v>
      </c>
      <c r="N5095" t="str">
        <f t="shared" si="238"/>
        <v>1970s</v>
      </c>
      <c r="O5095" t="str">
        <f t="shared" si="239"/>
        <v>N/A</v>
      </c>
      <c r="P5095" t="str">
        <f>VLOOKUP(E5095,calculated_fields!$F$4:$G$6,2,FALSE)</f>
        <v>Economy</v>
      </c>
    </row>
    <row r="5096" spans="1:16">
      <c r="A5096" t="s">
        <v>6967</v>
      </c>
      <c r="B5096" t="s">
        <v>6943</v>
      </c>
      <c r="C5096" t="s">
        <v>130</v>
      </c>
      <c r="D5096">
        <v>1982</v>
      </c>
      <c r="E5096" t="s">
        <v>15</v>
      </c>
      <c r="F5096" t="s">
        <v>16</v>
      </c>
      <c r="G5096" t="s">
        <v>17</v>
      </c>
      <c r="H5096" t="s">
        <v>18</v>
      </c>
      <c r="I5096">
        <v>60.363</v>
      </c>
      <c r="J5096" t="s">
        <v>19</v>
      </c>
      <c r="K5096" t="s">
        <v>6968</v>
      </c>
      <c r="L5096" t="s">
        <v>21</v>
      </c>
      <c r="M5096" t="str">
        <f t="shared" si="237"/>
        <v>OK</v>
      </c>
      <c r="N5096" t="str">
        <f t="shared" si="238"/>
        <v>1980s</v>
      </c>
      <c r="O5096" t="str">
        <f t="shared" si="239"/>
        <v>Medium</v>
      </c>
      <c r="P5096" t="str">
        <f>VLOOKUP(E5096,calculated_fields!$F$4:$G$6,2,FALSE)</f>
        <v>Health</v>
      </c>
    </row>
    <row r="5097" spans="1:16">
      <c r="A5097" t="s">
        <v>6969</v>
      </c>
      <c r="B5097" t="s">
        <v>6943</v>
      </c>
      <c r="C5097" t="s">
        <v>130</v>
      </c>
      <c r="D5097">
        <v>1982</v>
      </c>
      <c r="E5097" t="s">
        <v>23</v>
      </c>
      <c r="F5097" t="s">
        <v>24</v>
      </c>
      <c r="G5097" t="s">
        <v>25</v>
      </c>
      <c r="H5097" t="s">
        <v>26</v>
      </c>
      <c r="I5097">
        <v>7636524</v>
      </c>
      <c r="J5097" t="s">
        <v>27</v>
      </c>
      <c r="K5097" t="s">
        <v>6968</v>
      </c>
      <c r="L5097" t="s">
        <v>21</v>
      </c>
      <c r="M5097" t="str">
        <f t="shared" si="237"/>
        <v>OK</v>
      </c>
      <c r="N5097" t="str">
        <f t="shared" si="238"/>
        <v>1980s</v>
      </c>
      <c r="O5097" t="str">
        <f t="shared" si="239"/>
        <v>N/A</v>
      </c>
      <c r="P5097" t="str">
        <f>VLOOKUP(E5097,calculated_fields!$F$4:$G$6,2,FALSE)</f>
        <v>Demographics</v>
      </c>
    </row>
    <row r="5098" spans="1:16">
      <c r="A5098" t="s">
        <v>6970</v>
      </c>
      <c r="B5098" t="s">
        <v>6943</v>
      </c>
      <c r="C5098" t="s">
        <v>130</v>
      </c>
      <c r="D5098">
        <v>1982</v>
      </c>
      <c r="E5098" t="s">
        <v>29</v>
      </c>
      <c r="F5098" t="s">
        <v>30</v>
      </c>
      <c r="G5098" t="s">
        <v>31</v>
      </c>
      <c r="H5098" t="s">
        <v>32</v>
      </c>
      <c r="I5098">
        <v>788.85504109999999</v>
      </c>
      <c r="J5098" t="s">
        <v>33</v>
      </c>
      <c r="K5098" t="s">
        <v>6968</v>
      </c>
      <c r="L5098" t="s">
        <v>21</v>
      </c>
      <c r="M5098" t="str">
        <f t="shared" si="237"/>
        <v>OK</v>
      </c>
      <c r="N5098" t="str">
        <f t="shared" si="238"/>
        <v>1980s</v>
      </c>
      <c r="O5098" t="str">
        <f t="shared" si="239"/>
        <v>N/A</v>
      </c>
      <c r="P5098" t="str">
        <f>VLOOKUP(E5098,calculated_fields!$F$4:$G$6,2,FALSE)</f>
        <v>Economy</v>
      </c>
    </row>
    <row r="5099" spans="1:16">
      <c r="A5099" t="s">
        <v>6971</v>
      </c>
      <c r="B5099" t="s">
        <v>6943</v>
      </c>
      <c r="C5099" t="s">
        <v>130</v>
      </c>
      <c r="D5099">
        <v>1987</v>
      </c>
      <c r="E5099" t="s">
        <v>15</v>
      </c>
      <c r="F5099" t="s">
        <v>16</v>
      </c>
      <c r="G5099" t="s">
        <v>17</v>
      </c>
      <c r="H5099" t="s">
        <v>18</v>
      </c>
      <c r="I5099">
        <v>62.350999999999999</v>
      </c>
      <c r="J5099" t="s">
        <v>19</v>
      </c>
      <c r="K5099" t="s">
        <v>6972</v>
      </c>
      <c r="L5099" t="s">
        <v>21</v>
      </c>
      <c r="M5099" t="str">
        <f t="shared" si="237"/>
        <v>OK</v>
      </c>
      <c r="N5099" t="str">
        <f t="shared" si="238"/>
        <v>1980s</v>
      </c>
      <c r="O5099" t="str">
        <f t="shared" si="239"/>
        <v>Medium</v>
      </c>
      <c r="P5099" t="str">
        <f>VLOOKUP(E5099,calculated_fields!$F$4:$G$6,2,FALSE)</f>
        <v>Health</v>
      </c>
    </row>
    <row r="5100" spans="1:16">
      <c r="A5100" t="s">
        <v>6973</v>
      </c>
      <c r="B5100" t="s">
        <v>6943</v>
      </c>
      <c r="C5100" t="s">
        <v>130</v>
      </c>
      <c r="D5100">
        <v>1987</v>
      </c>
      <c r="E5100" t="s">
        <v>23</v>
      </c>
      <c r="F5100" t="s">
        <v>24</v>
      </c>
      <c r="G5100" t="s">
        <v>25</v>
      </c>
      <c r="H5100" t="s">
        <v>26</v>
      </c>
      <c r="I5100">
        <v>9216418</v>
      </c>
      <c r="J5100" t="s">
        <v>27</v>
      </c>
      <c r="K5100" t="s">
        <v>6972</v>
      </c>
      <c r="L5100" t="s">
        <v>21</v>
      </c>
      <c r="M5100" t="str">
        <f t="shared" si="237"/>
        <v>OK</v>
      </c>
      <c r="N5100" t="str">
        <f t="shared" si="238"/>
        <v>1980s</v>
      </c>
      <c r="O5100" t="str">
        <f t="shared" si="239"/>
        <v>N/A</v>
      </c>
      <c r="P5100" t="str">
        <f>VLOOKUP(E5100,calculated_fields!$F$4:$G$6,2,FALSE)</f>
        <v>Demographics</v>
      </c>
    </row>
    <row r="5101" spans="1:16">
      <c r="A5101" t="s">
        <v>6974</v>
      </c>
      <c r="B5101" t="s">
        <v>6943</v>
      </c>
      <c r="C5101" t="s">
        <v>130</v>
      </c>
      <c r="D5101">
        <v>1987</v>
      </c>
      <c r="E5101" t="s">
        <v>29</v>
      </c>
      <c r="F5101" t="s">
        <v>30</v>
      </c>
      <c r="G5101" t="s">
        <v>31</v>
      </c>
      <c r="H5101" t="s">
        <v>32</v>
      </c>
      <c r="I5101">
        <v>706.15730589999998</v>
      </c>
      <c r="J5101" t="s">
        <v>33</v>
      </c>
      <c r="K5101" t="s">
        <v>6972</v>
      </c>
      <c r="L5101" t="s">
        <v>21</v>
      </c>
      <c r="M5101" t="str">
        <f t="shared" si="237"/>
        <v>OK</v>
      </c>
      <c r="N5101" t="str">
        <f t="shared" si="238"/>
        <v>1980s</v>
      </c>
      <c r="O5101" t="str">
        <f t="shared" si="239"/>
        <v>N/A</v>
      </c>
      <c r="P5101" t="str">
        <f>VLOOKUP(E5101,calculated_fields!$F$4:$G$6,2,FALSE)</f>
        <v>Economy</v>
      </c>
    </row>
    <row r="5102" spans="1:16">
      <c r="A5102" t="s">
        <v>6975</v>
      </c>
      <c r="B5102" t="s">
        <v>6943</v>
      </c>
      <c r="C5102" t="s">
        <v>130</v>
      </c>
      <c r="D5102">
        <v>1992</v>
      </c>
      <c r="E5102" t="s">
        <v>15</v>
      </c>
      <c r="F5102" t="s">
        <v>16</v>
      </c>
      <c r="G5102" t="s">
        <v>17</v>
      </c>
      <c r="H5102" t="s">
        <v>18</v>
      </c>
      <c r="I5102">
        <v>60.377000000000002</v>
      </c>
      <c r="J5102" t="s">
        <v>19</v>
      </c>
      <c r="K5102" t="s">
        <v>6976</v>
      </c>
      <c r="L5102" t="s">
        <v>21</v>
      </c>
      <c r="M5102" t="str">
        <f t="shared" si="237"/>
        <v>OK</v>
      </c>
      <c r="N5102" t="str">
        <f t="shared" si="238"/>
        <v>1990s</v>
      </c>
      <c r="O5102" t="str">
        <f t="shared" si="239"/>
        <v>Medium</v>
      </c>
      <c r="P5102" t="str">
        <f>VLOOKUP(E5102,calculated_fields!$F$4:$G$6,2,FALSE)</f>
        <v>Health</v>
      </c>
    </row>
    <row r="5103" spans="1:16">
      <c r="A5103" t="s">
        <v>6977</v>
      </c>
      <c r="B5103" t="s">
        <v>6943</v>
      </c>
      <c r="C5103" t="s">
        <v>130</v>
      </c>
      <c r="D5103">
        <v>1992</v>
      </c>
      <c r="E5103" t="s">
        <v>23</v>
      </c>
      <c r="F5103" t="s">
        <v>24</v>
      </c>
      <c r="G5103" t="s">
        <v>25</v>
      </c>
      <c r="H5103" t="s">
        <v>26</v>
      </c>
      <c r="I5103">
        <v>10704340</v>
      </c>
      <c r="J5103" t="s">
        <v>27</v>
      </c>
      <c r="K5103" t="s">
        <v>6976</v>
      </c>
      <c r="L5103" t="s">
        <v>21</v>
      </c>
      <c r="M5103" t="str">
        <f t="shared" si="237"/>
        <v>OK</v>
      </c>
      <c r="N5103" t="str">
        <f t="shared" si="238"/>
        <v>1990s</v>
      </c>
      <c r="O5103" t="str">
        <f t="shared" si="239"/>
        <v>N/A</v>
      </c>
      <c r="P5103" t="str">
        <f>VLOOKUP(E5103,calculated_fields!$F$4:$G$6,2,FALSE)</f>
        <v>Demographics</v>
      </c>
    </row>
    <row r="5104" spans="1:16">
      <c r="A5104" t="s">
        <v>6978</v>
      </c>
      <c r="B5104" t="s">
        <v>6943</v>
      </c>
      <c r="C5104" t="s">
        <v>130</v>
      </c>
      <c r="D5104">
        <v>1992</v>
      </c>
      <c r="E5104" t="s">
        <v>29</v>
      </c>
      <c r="F5104" t="s">
        <v>30</v>
      </c>
      <c r="G5104" t="s">
        <v>31</v>
      </c>
      <c r="H5104" t="s">
        <v>32</v>
      </c>
      <c r="I5104">
        <v>693.42078560000004</v>
      </c>
      <c r="J5104" t="s">
        <v>33</v>
      </c>
      <c r="K5104" t="s">
        <v>6976</v>
      </c>
      <c r="L5104" t="s">
        <v>21</v>
      </c>
      <c r="M5104" t="str">
        <f t="shared" si="237"/>
        <v>OK</v>
      </c>
      <c r="N5104" t="str">
        <f t="shared" si="238"/>
        <v>1990s</v>
      </c>
      <c r="O5104" t="str">
        <f t="shared" si="239"/>
        <v>N/A</v>
      </c>
      <c r="P5104" t="str">
        <f>VLOOKUP(E5104,calculated_fields!$F$4:$G$6,2,FALSE)</f>
        <v>Economy</v>
      </c>
    </row>
    <row r="5105" spans="1:16">
      <c r="A5105" t="s">
        <v>6979</v>
      </c>
      <c r="B5105" t="s">
        <v>6943</v>
      </c>
      <c r="C5105" t="s">
        <v>130</v>
      </c>
      <c r="D5105">
        <v>1997</v>
      </c>
      <c r="E5105" t="s">
        <v>15</v>
      </c>
      <c r="F5105" t="s">
        <v>16</v>
      </c>
      <c r="G5105" t="s">
        <v>17</v>
      </c>
      <c r="H5105" t="s">
        <v>18</v>
      </c>
      <c r="I5105">
        <v>46.808999999999997</v>
      </c>
      <c r="J5105" t="s">
        <v>19</v>
      </c>
      <c r="K5105" t="s">
        <v>6980</v>
      </c>
      <c r="L5105" t="s">
        <v>21</v>
      </c>
      <c r="M5105" t="str">
        <f t="shared" si="237"/>
        <v>OK</v>
      </c>
      <c r="N5105" t="str">
        <f t="shared" si="238"/>
        <v>1990s</v>
      </c>
      <c r="O5105" t="str">
        <f t="shared" si="239"/>
        <v>Low</v>
      </c>
      <c r="P5105" t="str">
        <f>VLOOKUP(E5105,calculated_fields!$F$4:$G$6,2,FALSE)</f>
        <v>Health</v>
      </c>
    </row>
    <row r="5106" spans="1:16">
      <c r="A5106" t="s">
        <v>6981</v>
      </c>
      <c r="B5106" t="s">
        <v>6943</v>
      </c>
      <c r="C5106" t="s">
        <v>130</v>
      </c>
      <c r="D5106">
        <v>1997</v>
      </c>
      <c r="E5106" t="s">
        <v>23</v>
      </c>
      <c r="F5106" t="s">
        <v>24</v>
      </c>
      <c r="G5106" t="s">
        <v>25</v>
      </c>
      <c r="H5106" t="s">
        <v>26</v>
      </c>
      <c r="I5106">
        <v>11404948</v>
      </c>
      <c r="J5106" t="s">
        <v>27</v>
      </c>
      <c r="K5106" t="s">
        <v>6980</v>
      </c>
      <c r="L5106" t="s">
        <v>21</v>
      </c>
      <c r="M5106" t="str">
        <f t="shared" si="237"/>
        <v>OK</v>
      </c>
      <c r="N5106" t="str">
        <f t="shared" si="238"/>
        <v>1990s</v>
      </c>
      <c r="O5106" t="str">
        <f t="shared" si="239"/>
        <v>N/A</v>
      </c>
      <c r="P5106" t="str">
        <f>VLOOKUP(E5106,calculated_fields!$F$4:$G$6,2,FALSE)</f>
        <v>Demographics</v>
      </c>
    </row>
    <row r="5107" spans="1:16">
      <c r="A5107" t="s">
        <v>6982</v>
      </c>
      <c r="B5107" t="s">
        <v>6943</v>
      </c>
      <c r="C5107" t="s">
        <v>130</v>
      </c>
      <c r="D5107">
        <v>1997</v>
      </c>
      <c r="E5107" t="s">
        <v>29</v>
      </c>
      <c r="F5107" t="s">
        <v>30</v>
      </c>
      <c r="G5107" t="s">
        <v>31</v>
      </c>
      <c r="H5107" t="s">
        <v>32</v>
      </c>
      <c r="I5107">
        <v>792.44996029999902</v>
      </c>
      <c r="J5107" t="s">
        <v>33</v>
      </c>
      <c r="K5107" t="s">
        <v>6980</v>
      </c>
      <c r="L5107" t="s">
        <v>21</v>
      </c>
      <c r="M5107" t="str">
        <f t="shared" si="237"/>
        <v>OK</v>
      </c>
      <c r="N5107" t="str">
        <f t="shared" si="238"/>
        <v>1990s</v>
      </c>
      <c r="O5107" t="str">
        <f t="shared" si="239"/>
        <v>N/A</v>
      </c>
      <c r="P5107" t="str">
        <f>VLOOKUP(E5107,calculated_fields!$F$4:$G$6,2,FALSE)</f>
        <v>Economy</v>
      </c>
    </row>
    <row r="5108" spans="1:16">
      <c r="A5108" t="s">
        <v>6983</v>
      </c>
      <c r="B5108" t="s">
        <v>6943</v>
      </c>
      <c r="C5108" t="s">
        <v>130</v>
      </c>
      <c r="D5108">
        <v>2002</v>
      </c>
      <c r="E5108" t="s">
        <v>15</v>
      </c>
      <c r="F5108" t="s">
        <v>16</v>
      </c>
      <c r="G5108" t="s">
        <v>17</v>
      </c>
      <c r="H5108" t="s">
        <v>18</v>
      </c>
      <c r="I5108">
        <v>39.988999999999997</v>
      </c>
      <c r="J5108" t="s">
        <v>19</v>
      </c>
      <c r="K5108" t="s">
        <v>6984</v>
      </c>
      <c r="L5108" t="s">
        <v>21</v>
      </c>
      <c r="M5108" t="str">
        <f t="shared" si="237"/>
        <v>OK</v>
      </c>
      <c r="N5108" t="str">
        <f t="shared" si="238"/>
        <v>2000s</v>
      </c>
      <c r="O5108" t="str">
        <f t="shared" si="239"/>
        <v>Low</v>
      </c>
      <c r="P5108" t="str">
        <f>VLOOKUP(E5108,calculated_fields!$F$4:$G$6,2,FALSE)</f>
        <v>Health</v>
      </c>
    </row>
    <row r="5109" spans="1:16">
      <c r="A5109" t="s">
        <v>6985</v>
      </c>
      <c r="B5109" t="s">
        <v>6943</v>
      </c>
      <c r="C5109" t="s">
        <v>130</v>
      </c>
      <c r="D5109">
        <v>2002</v>
      </c>
      <c r="E5109" t="s">
        <v>23</v>
      </c>
      <c r="F5109" t="s">
        <v>24</v>
      </c>
      <c r="G5109" t="s">
        <v>25</v>
      </c>
      <c r="H5109" t="s">
        <v>26</v>
      </c>
      <c r="I5109">
        <v>11926563</v>
      </c>
      <c r="J5109" t="s">
        <v>27</v>
      </c>
      <c r="K5109" t="s">
        <v>6984</v>
      </c>
      <c r="L5109" t="s">
        <v>21</v>
      </c>
      <c r="M5109" t="str">
        <f t="shared" si="237"/>
        <v>OK</v>
      </c>
      <c r="N5109" t="str">
        <f t="shared" si="238"/>
        <v>2000s</v>
      </c>
      <c r="O5109" t="str">
        <f t="shared" si="239"/>
        <v>N/A</v>
      </c>
      <c r="P5109" t="str">
        <f>VLOOKUP(E5109,calculated_fields!$F$4:$G$6,2,FALSE)</f>
        <v>Demographics</v>
      </c>
    </row>
    <row r="5110" spans="1:16">
      <c r="A5110" t="s">
        <v>6986</v>
      </c>
      <c r="B5110" t="s">
        <v>6943</v>
      </c>
      <c r="C5110" t="s">
        <v>130</v>
      </c>
      <c r="D5110">
        <v>2002</v>
      </c>
      <c r="E5110" t="s">
        <v>29</v>
      </c>
      <c r="F5110" t="s">
        <v>30</v>
      </c>
      <c r="G5110" t="s">
        <v>31</v>
      </c>
      <c r="H5110" t="s">
        <v>32</v>
      </c>
      <c r="I5110">
        <v>672.03862270000002</v>
      </c>
      <c r="J5110" t="s">
        <v>33</v>
      </c>
      <c r="K5110" t="s">
        <v>6984</v>
      </c>
      <c r="L5110" t="s">
        <v>21</v>
      </c>
      <c r="M5110" t="str">
        <f t="shared" si="237"/>
        <v>OK</v>
      </c>
      <c r="N5110" t="str">
        <f t="shared" si="238"/>
        <v>2000s</v>
      </c>
      <c r="O5110" t="str">
        <f t="shared" si="239"/>
        <v>N/A</v>
      </c>
      <c r="P5110" t="str">
        <f>VLOOKUP(E5110,calculated_fields!$F$4:$G$6,2,FALSE)</f>
        <v>Economy</v>
      </c>
    </row>
    <row r="5111" spans="1:16">
      <c r="A5111" t="s">
        <v>6987</v>
      </c>
      <c r="B5111" t="s">
        <v>6943</v>
      </c>
      <c r="C5111" t="s">
        <v>130</v>
      </c>
      <c r="D5111">
        <v>2007</v>
      </c>
      <c r="E5111" t="s">
        <v>15</v>
      </c>
      <c r="F5111" t="s">
        <v>16</v>
      </c>
      <c r="G5111" t="s">
        <v>17</v>
      </c>
      <c r="H5111" t="s">
        <v>18</v>
      </c>
      <c r="I5111">
        <v>43.487000000000002</v>
      </c>
      <c r="J5111" t="s">
        <v>19</v>
      </c>
      <c r="K5111" t="s">
        <v>6988</v>
      </c>
      <c r="L5111" t="s">
        <v>21</v>
      </c>
      <c r="M5111" t="str">
        <f t="shared" si="237"/>
        <v>OK</v>
      </c>
      <c r="N5111" t="str">
        <f t="shared" si="238"/>
        <v>2000s</v>
      </c>
      <c r="O5111" t="str">
        <f t="shared" si="239"/>
        <v>Low</v>
      </c>
      <c r="P5111" t="str">
        <f>VLOOKUP(E5111,calculated_fields!$F$4:$G$6,2,FALSE)</f>
        <v>Health</v>
      </c>
    </row>
    <row r="5112" spans="1:16">
      <c r="A5112" t="s">
        <v>6989</v>
      </c>
      <c r="B5112" t="s">
        <v>6943</v>
      </c>
      <c r="C5112" t="s">
        <v>130</v>
      </c>
      <c r="D5112">
        <v>2007</v>
      </c>
      <c r="E5112" t="s">
        <v>23</v>
      </c>
      <c r="F5112" t="s">
        <v>24</v>
      </c>
      <c r="G5112" t="s">
        <v>25</v>
      </c>
      <c r="H5112" t="s">
        <v>26</v>
      </c>
      <c r="I5112">
        <v>12311143</v>
      </c>
      <c r="J5112" t="s">
        <v>27</v>
      </c>
      <c r="K5112" t="s">
        <v>6988</v>
      </c>
      <c r="L5112" t="s">
        <v>21</v>
      </c>
      <c r="M5112" t="str">
        <f t="shared" si="237"/>
        <v>OK</v>
      </c>
      <c r="N5112" t="str">
        <f t="shared" si="238"/>
        <v>2000s</v>
      </c>
      <c r="O5112" t="str">
        <f t="shared" si="239"/>
        <v>N/A</v>
      </c>
      <c r="P5112" t="str">
        <f>VLOOKUP(E5112,calculated_fields!$F$4:$G$6,2,FALSE)</f>
        <v>Demographics</v>
      </c>
    </row>
    <row r="5113" spans="1:16">
      <c r="A5113" t="s">
        <v>6990</v>
      </c>
      <c r="B5113" t="s">
        <v>6943</v>
      </c>
      <c r="C5113" t="s">
        <v>130</v>
      </c>
      <c r="D5113">
        <v>2007</v>
      </c>
      <c r="E5113" t="s">
        <v>29</v>
      </c>
      <c r="F5113" t="s">
        <v>30</v>
      </c>
      <c r="G5113" t="s">
        <v>31</v>
      </c>
      <c r="H5113" t="s">
        <v>32</v>
      </c>
      <c r="I5113">
        <v>469.70929810000001</v>
      </c>
      <c r="J5113" t="s">
        <v>33</v>
      </c>
      <c r="K5113" t="s">
        <v>6988</v>
      </c>
      <c r="L5113" t="s">
        <v>21</v>
      </c>
      <c r="M5113" t="str">
        <f t="shared" si="237"/>
        <v>OK</v>
      </c>
      <c r="N5113" t="str">
        <f t="shared" si="238"/>
        <v>2000s</v>
      </c>
      <c r="O5113" t="str">
        <f t="shared" si="239"/>
        <v>N/A</v>
      </c>
      <c r="P5113" t="str">
        <f>VLOOKUP(E5113,calculated_fields!$F$4:$G$6,2,FALSE)</f>
        <v>Economy</v>
      </c>
    </row>
  </sheetData>
  <conditionalFormatting sqref="I2:I5113">
    <cfRule type="cellIs" dxfId="5" priority="2" operator="lessThan">
      <formula>0</formula>
    </cfRule>
  </conditionalFormatting>
  <conditionalFormatting sqref="M2:M5113">
    <cfRule type="containsText" dxfId="4" priority="1" operator="containsText" text="Review">
      <formula>NOT(ISERROR(SEARCH("Review",M2)))</formula>
    </cfRule>
  </conditionalFormatting>
  <dataValidations count="1">
    <dataValidation type="whole" allowBlank="1" showInputMessage="1" showErrorMessage="1" sqref="D2:D5113" xr:uid="{BB3AB9C7-241A-4097-904E-D2EC398942B5}">
      <formula1>1952</formula1>
      <formula2>2007</formula2>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8A2E5-A1A3-46B4-8717-312F0953285F}">
  <dimension ref="A1:D13"/>
  <sheetViews>
    <sheetView workbookViewId="0">
      <selection activeCell="F8" sqref="F8"/>
    </sheetView>
  </sheetViews>
  <sheetFormatPr defaultRowHeight="15"/>
  <cols>
    <col min="1" max="1" width="19.85546875" customWidth="1"/>
    <col min="2" max="2" width="30.7109375" customWidth="1"/>
    <col min="4" max="4" width="36.5703125" customWidth="1"/>
  </cols>
  <sheetData>
    <row r="1" spans="1:4">
      <c r="A1" t="s">
        <v>6995</v>
      </c>
    </row>
    <row r="3" spans="1:4">
      <c r="A3" t="s">
        <v>6996</v>
      </c>
      <c r="B3" s="1" t="s">
        <v>6997</v>
      </c>
      <c r="C3" t="s">
        <v>6998</v>
      </c>
      <c r="D3" t="s">
        <v>6999</v>
      </c>
    </row>
    <row r="4" spans="1:4">
      <c r="A4" s="1" t="s">
        <v>7000</v>
      </c>
      <c r="B4" t="s">
        <v>7001</v>
      </c>
      <c r="C4">
        <f>COUNTA(cleaned_data!A:A)-1</f>
        <v>5112</v>
      </c>
      <c r="D4" t="s">
        <v>7002</v>
      </c>
    </row>
    <row r="5" spans="1:4">
      <c r="A5" s="1" t="s">
        <v>7003</v>
      </c>
      <c r="B5" s="1" t="s">
        <v>7004</v>
      </c>
      <c r="C5">
        <f>COUNTBLANK(cleaned_data!A2:A5113)</f>
        <v>0</v>
      </c>
      <c r="D5" s="1" t="s">
        <v>7005</v>
      </c>
    </row>
    <row r="6" spans="1:4">
      <c r="A6" s="1" t="s">
        <v>7006</v>
      </c>
      <c r="B6" t="s">
        <v>7007</v>
      </c>
      <c r="C6">
        <f>COUNTIF(cleaned_data!E:E,"LIFE_EXP")</f>
        <v>1704</v>
      </c>
      <c r="D6" t="s">
        <v>7008</v>
      </c>
    </row>
    <row r="7" spans="1:4">
      <c r="A7" s="1" t="s">
        <v>7009</v>
      </c>
      <c r="B7" t="s">
        <v>7007</v>
      </c>
      <c r="C7">
        <f>COUNTIF(cleaned_data!E:E,"POP_TOTAL")</f>
        <v>1704</v>
      </c>
      <c r="D7" t="s">
        <v>7008</v>
      </c>
    </row>
    <row r="8" spans="1:4">
      <c r="A8" s="1" t="s">
        <v>7010</v>
      </c>
      <c r="B8" t="s">
        <v>7007</v>
      </c>
      <c r="C8">
        <f>COUNTIF(cleaned_data!E:E,"GDP_PC")</f>
        <v>1704</v>
      </c>
      <c r="D8" t="s">
        <v>7008</v>
      </c>
    </row>
    <row r="9" spans="1:4">
      <c r="A9" s="1" t="s">
        <v>7011</v>
      </c>
      <c r="B9" t="s">
        <v>7012</v>
      </c>
      <c r="C9">
        <f>MIN(cleaned_data!D2:D5113)</f>
        <v>1952</v>
      </c>
      <c r="D9" t="s">
        <v>7013</v>
      </c>
    </row>
    <row r="10" spans="1:4">
      <c r="A10" s="1" t="s">
        <v>7014</v>
      </c>
      <c r="B10" t="s">
        <v>7015</v>
      </c>
      <c r="C10">
        <f>MAX(cleaned_data!D2:D5113)</f>
        <v>2007</v>
      </c>
      <c r="D10" t="s">
        <v>7016</v>
      </c>
    </row>
    <row r="11" spans="1:4">
      <c r="A11" s="1" t="s">
        <v>7017</v>
      </c>
      <c r="B11" s="1" t="s">
        <v>7018</v>
      </c>
      <c r="C11">
        <f>MIN(cleaned_data!I2:I5113)</f>
        <v>23.599</v>
      </c>
      <c r="D11" t="s">
        <v>7019</v>
      </c>
    </row>
    <row r="12" spans="1:4">
      <c r="A12" s="1" t="s">
        <v>7020</v>
      </c>
      <c r="B12" s="1" t="s">
        <v>7021</v>
      </c>
      <c r="C12">
        <f>MAX(cleaned_data!I2:I5113)</f>
        <v>1318683096</v>
      </c>
      <c r="D12" s="1" t="s">
        <v>7022</v>
      </c>
    </row>
    <row r="13" spans="1:4">
      <c r="A13" s="1" t="s">
        <v>7023</v>
      </c>
      <c r="B13" s="1" t="s">
        <v>7024</v>
      </c>
      <c r="C13">
        <f>COUNTIF(cleaned_data!M:M,"Review")</f>
        <v>0</v>
      </c>
      <c r="D13" t="s">
        <v>7025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4F904-886C-4E88-BB7B-C86CA801CAC5}">
  <dimension ref="A1:G19"/>
  <sheetViews>
    <sheetView tabSelected="1" workbookViewId="0">
      <selection activeCell="D16" sqref="D16"/>
    </sheetView>
  </sheetViews>
  <sheetFormatPr defaultRowHeight="15"/>
  <cols>
    <col min="1" max="1" width="30.42578125" customWidth="1"/>
    <col min="2" max="2" width="25.140625" customWidth="1"/>
    <col min="3" max="3" width="34.7109375" customWidth="1"/>
    <col min="4" max="4" width="22.42578125" customWidth="1"/>
    <col min="6" max="6" width="14.140625" customWidth="1"/>
    <col min="7" max="7" width="22.140625" customWidth="1"/>
    <col min="16" max="16" width="17.42578125" customWidth="1"/>
  </cols>
  <sheetData>
    <row r="1" spans="1:7">
      <c r="A1" s="1"/>
    </row>
    <row r="2" spans="1:7" ht="37.5">
      <c r="A2" s="37" t="s">
        <v>7026</v>
      </c>
    </row>
    <row r="3" spans="1:7">
      <c r="A3" s="26" t="s">
        <v>7027</v>
      </c>
      <c r="B3" s="26" t="s">
        <v>6997</v>
      </c>
      <c r="C3" s="29" t="s">
        <v>7028</v>
      </c>
      <c r="D3" s="26" t="s">
        <v>7029</v>
      </c>
      <c r="F3" s="1" t="s">
        <v>4</v>
      </c>
      <c r="G3" t="s">
        <v>6</v>
      </c>
    </row>
    <row r="4" spans="1:7">
      <c r="A4" t="s">
        <v>6991</v>
      </c>
      <c r="B4" t="s">
        <v>7030</v>
      </c>
      <c r="C4" t="s">
        <v>7031</v>
      </c>
      <c r="F4" t="s">
        <v>15</v>
      </c>
      <c r="G4" t="s">
        <v>17</v>
      </c>
    </row>
    <row r="5" spans="1:7">
      <c r="A5" t="s">
        <v>6992</v>
      </c>
      <c r="B5" t="s">
        <v>7032</v>
      </c>
      <c r="C5" t="s">
        <v>7033</v>
      </c>
      <c r="F5" t="s">
        <v>23</v>
      </c>
      <c r="G5" t="s">
        <v>25</v>
      </c>
    </row>
    <row r="6" spans="1:7" ht="30.75">
      <c r="A6" t="s">
        <v>6993</v>
      </c>
      <c r="B6" t="s">
        <v>7034</v>
      </c>
      <c r="C6" s="36" t="s">
        <v>7035</v>
      </c>
      <c r="F6" t="s">
        <v>29</v>
      </c>
      <c r="G6" t="s">
        <v>31</v>
      </c>
    </row>
    <row r="7" spans="1:7" ht="30.75">
      <c r="A7" t="s">
        <v>7036</v>
      </c>
      <c r="B7" t="s">
        <v>7037</v>
      </c>
      <c r="C7" s="9">
        <f>COUNTIF(cleaned_data!C:C,"Africa")</f>
        <v>1872</v>
      </c>
      <c r="D7" s="33" t="s">
        <v>7038</v>
      </c>
    </row>
    <row r="8" spans="1:7">
      <c r="A8" s="1" t="s">
        <v>7039</v>
      </c>
      <c r="B8" t="s">
        <v>7040</v>
      </c>
      <c r="C8" s="11">
        <v>3811953827</v>
      </c>
    </row>
    <row r="9" spans="1:7">
      <c r="A9" t="s">
        <v>6994</v>
      </c>
      <c r="B9" s="1" t="s">
        <v>7041</v>
      </c>
      <c r="C9" s="33" t="s">
        <v>7042</v>
      </c>
    </row>
    <row r="10" spans="1:7" ht="30.75">
      <c r="A10" t="s">
        <v>7043</v>
      </c>
      <c r="B10" t="s">
        <v>7044</v>
      </c>
      <c r="C10" s="9">
        <f>AVERAGEIF(cleaned_data!E:E,"LIFE_EXP",cleaned_data!I:I)</f>
        <v>59.474439366197139</v>
      </c>
      <c r="D10" s="33" t="s">
        <v>7045</v>
      </c>
    </row>
    <row r="12" spans="1:7">
      <c r="A12" s="1"/>
    </row>
    <row r="13" spans="1:7" ht="18.75">
      <c r="A13" s="35" t="s">
        <v>7046</v>
      </c>
    </row>
    <row r="14" spans="1:7">
      <c r="A14" s="26" t="s">
        <v>7047</v>
      </c>
      <c r="B14" s="26" t="s">
        <v>6998</v>
      </c>
      <c r="C14" s="38" t="s">
        <v>6999</v>
      </c>
    </row>
    <row r="15" spans="1:7" ht="45.75">
      <c r="A15" s="39" t="s">
        <v>7048</v>
      </c>
      <c r="B15" s="40">
        <f>pivot_analysis!B16-pivot_analysis!B5</f>
        <v>15.670538461538484</v>
      </c>
      <c r="C15" s="33" t="s">
        <v>7049</v>
      </c>
    </row>
    <row r="16" spans="1:7" ht="45.75">
      <c r="A16" s="39" t="s">
        <v>7050</v>
      </c>
      <c r="B16" s="40">
        <f>pivot_analysis!D16-pivot_analysis!D5</f>
        <v>24.414090909090923</v>
      </c>
      <c r="C16" s="33" t="s">
        <v>7051</v>
      </c>
    </row>
    <row r="17" spans="1:3" ht="45.75">
      <c r="A17" s="39" t="s">
        <v>7052</v>
      </c>
      <c r="B17" s="14" t="str">
        <f>INDEX(pivot_analysis!B4:F4,1,MATCH(MAX(pivot_analysis!B16:F16),pivot_analysis!B16:F16,0))&amp;" — "&amp;TEXT(MAX(pivot_analysis!B16:F16),"0.00")&amp;" years"</f>
        <v>Oceania — 80.72 years</v>
      </c>
      <c r="C17" s="33" t="s">
        <v>7053</v>
      </c>
    </row>
    <row r="18" spans="1:3" ht="30.75">
      <c r="A18" s="36" t="s">
        <v>7054</v>
      </c>
      <c r="B18" t="str">
        <f>INDEX(pivot_analysis!B35:F35,1,MATCH(MAX(pivot_analysis!B47:F47),pivot_analysis!B47:F47,0))&amp;" — "&amp;TEXT(MAX(pivot_analysis!B47:F47),"#,##0.00")</f>
        <v>Oceania — 29,810.19</v>
      </c>
      <c r="C18" s="33" t="s">
        <v>7055</v>
      </c>
    </row>
    <row r="19" spans="1:3" ht="45.75">
      <c r="A19" s="39" t="s">
        <v>7056</v>
      </c>
      <c r="B19" s="14" t="str">
        <f>INDEX(pivot_analysis!A23:A27,MATCH(MAX(pivot_analysis!B23:B27),pivot_analysis!B23:B27,0))&amp;" — "&amp;TEXT(MAX(pivot_analysis!B23:B27),"#,##0")</f>
        <v>Asia — 3,811,953,827</v>
      </c>
      <c r="C19" s="33" t="s">
        <v>7057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E0A1F-A798-46C2-ADCE-031063934959}">
  <dimension ref="A1:N48"/>
  <sheetViews>
    <sheetView topLeftCell="A25" workbookViewId="0">
      <selection activeCell="H26" sqref="H26"/>
    </sheetView>
  </sheetViews>
  <sheetFormatPr defaultRowHeight="15"/>
  <cols>
    <col min="1" max="1" width="16.42578125" customWidth="1"/>
    <col min="2" max="2" width="17.140625" customWidth="1"/>
    <col min="3" max="6" width="9.85546875" bestFit="1" customWidth="1"/>
    <col min="7" max="7" width="11.7109375" bestFit="1" customWidth="1"/>
    <col min="8" max="14" width="12.5703125" bestFit="1" customWidth="1"/>
  </cols>
  <sheetData>
    <row r="1" spans="1:14">
      <c r="A1" s="4" t="s">
        <v>4</v>
      </c>
      <c r="B1" s="2" t="s">
        <v>15</v>
      </c>
      <c r="C1" s="2"/>
      <c r="D1" s="2"/>
      <c r="E1" s="2"/>
      <c r="F1" s="2"/>
      <c r="G1" s="2"/>
      <c r="H1" s="2"/>
      <c r="I1" s="2"/>
      <c r="J1" s="2"/>
      <c r="K1" s="2"/>
      <c r="L1" s="2"/>
      <c r="M1" s="2"/>
      <c r="N1" s="2"/>
    </row>
    <row r="2" spans="1:14">
      <c r="A2" s="2"/>
      <c r="B2" s="2"/>
      <c r="C2" s="2"/>
      <c r="D2" s="2"/>
      <c r="E2" s="2"/>
      <c r="F2" s="2"/>
      <c r="G2" s="2"/>
      <c r="H2" s="2"/>
      <c r="I2" s="2"/>
      <c r="J2" s="2"/>
      <c r="K2" s="2"/>
      <c r="L2" s="2"/>
      <c r="M2" s="2"/>
      <c r="N2" s="2"/>
    </row>
    <row r="3" spans="1:14">
      <c r="A3" s="4" t="s">
        <v>7058</v>
      </c>
      <c r="B3" s="4" t="s">
        <v>2</v>
      </c>
      <c r="C3" s="2"/>
      <c r="D3" s="2"/>
      <c r="E3" s="2"/>
      <c r="F3" s="2"/>
      <c r="G3" s="2"/>
    </row>
    <row r="4" spans="1:14">
      <c r="A4" s="4" t="s">
        <v>3</v>
      </c>
      <c r="B4" s="2" t="s">
        <v>130</v>
      </c>
      <c r="C4" s="2" t="s">
        <v>229</v>
      </c>
      <c r="D4" s="2" t="s">
        <v>14</v>
      </c>
      <c r="E4" s="2" t="s">
        <v>80</v>
      </c>
      <c r="F4" s="2" t="s">
        <v>279</v>
      </c>
      <c r="G4" s="2" t="s">
        <v>7059</v>
      </c>
    </row>
    <row r="5" spans="1:14">
      <c r="A5" s="5">
        <v>1952</v>
      </c>
      <c r="B5" s="2">
        <v>39.135499999999993</v>
      </c>
      <c r="C5" s="2">
        <v>53.279839999999993</v>
      </c>
      <c r="D5" s="2">
        <v>46.314393939393931</v>
      </c>
      <c r="E5" s="2">
        <v>64.408500000000018</v>
      </c>
      <c r="F5" s="2">
        <v>69.254999999999995</v>
      </c>
      <c r="G5" s="2">
        <v>49.05761971830983</v>
      </c>
    </row>
    <row r="6" spans="1:14">
      <c r="A6" s="5">
        <v>1957</v>
      </c>
      <c r="B6" s="2">
        <v>41.26634615384615</v>
      </c>
      <c r="C6" s="2">
        <v>55.96027999999999</v>
      </c>
      <c r="D6" s="2">
        <v>49.318544242424238</v>
      </c>
      <c r="E6" s="2">
        <v>66.703066666666672</v>
      </c>
      <c r="F6" s="2">
        <v>70.295000000000002</v>
      </c>
      <c r="G6" s="2">
        <v>51.507401126760541</v>
      </c>
    </row>
    <row r="7" spans="1:14">
      <c r="A7" s="5">
        <v>1962</v>
      </c>
      <c r="B7" s="2">
        <v>43.319442307692306</v>
      </c>
      <c r="C7" s="2">
        <v>58.398760000000003</v>
      </c>
      <c r="D7" s="2">
        <v>51.563223030303035</v>
      </c>
      <c r="E7" s="2">
        <v>68.539233333333343</v>
      </c>
      <c r="F7" s="2">
        <v>71.085000000000008</v>
      </c>
      <c r="G7" s="2">
        <v>53.609249014084504</v>
      </c>
    </row>
    <row r="8" spans="1:14">
      <c r="A8" s="5">
        <v>1967</v>
      </c>
      <c r="B8" s="2">
        <v>45.334538461538465</v>
      </c>
      <c r="C8" s="2">
        <v>60.410919999999997</v>
      </c>
      <c r="D8" s="2">
        <v>54.663639999999994</v>
      </c>
      <c r="E8" s="2">
        <v>69.737599999999986</v>
      </c>
      <c r="F8" s="2">
        <v>71.31</v>
      </c>
      <c r="G8" s="2">
        <v>55.678289577464803</v>
      </c>
    </row>
    <row r="9" spans="1:14">
      <c r="A9" s="5">
        <v>1972</v>
      </c>
      <c r="B9" s="2">
        <v>47.450942307692308</v>
      </c>
      <c r="C9" s="2">
        <v>62.394920000000013</v>
      </c>
      <c r="D9" s="2">
        <v>57.319269090909089</v>
      </c>
      <c r="E9" s="2">
        <v>70.77503333333334</v>
      </c>
      <c r="F9" s="2">
        <v>71.91</v>
      </c>
      <c r="G9" s="2">
        <v>57.647386478873258</v>
      </c>
    </row>
    <row r="10" spans="1:14">
      <c r="A10" s="5">
        <v>1977</v>
      </c>
      <c r="B10" s="2">
        <v>49.580423076923076</v>
      </c>
      <c r="C10" s="2">
        <v>64.391559999999984</v>
      </c>
      <c r="D10" s="2">
        <v>59.610556363636356</v>
      </c>
      <c r="E10" s="2">
        <v>71.937766666666676</v>
      </c>
      <c r="F10" s="2">
        <v>72.85499999999999</v>
      </c>
      <c r="G10" s="2">
        <v>59.570157464788714</v>
      </c>
    </row>
    <row r="11" spans="1:14">
      <c r="A11" s="5">
        <v>1982</v>
      </c>
      <c r="B11" s="2">
        <v>51.592865384615386</v>
      </c>
      <c r="C11" s="2">
        <v>66.228840000000019</v>
      </c>
      <c r="D11" s="2">
        <v>62.617939393939388</v>
      </c>
      <c r="E11" s="2">
        <v>72.806399999999996</v>
      </c>
      <c r="F11" s="2">
        <v>74.289999999999992</v>
      </c>
      <c r="G11" s="2">
        <v>61.533197183098551</v>
      </c>
    </row>
    <row r="12" spans="1:14">
      <c r="A12" s="5">
        <v>1987</v>
      </c>
      <c r="B12" s="2">
        <v>53.344788461538457</v>
      </c>
      <c r="C12" s="2">
        <v>68.09071999999999</v>
      </c>
      <c r="D12" s="2">
        <v>64.8511818181818</v>
      </c>
      <c r="E12" s="2">
        <v>73.642166666666682</v>
      </c>
      <c r="F12" s="2">
        <v>75.319999999999993</v>
      </c>
      <c r="G12" s="2">
        <v>63.212612676056345</v>
      </c>
    </row>
    <row r="13" spans="1:14">
      <c r="A13" s="5">
        <v>1992</v>
      </c>
      <c r="B13" s="2">
        <v>53.629576923076911</v>
      </c>
      <c r="C13" s="2">
        <v>69.568359999999998</v>
      </c>
      <c r="D13" s="2">
        <v>66.537212121212121</v>
      </c>
      <c r="E13" s="2">
        <v>74.440100000000001</v>
      </c>
      <c r="F13" s="2">
        <v>76.944999999999993</v>
      </c>
      <c r="G13" s="2">
        <v>64.160338028168979</v>
      </c>
    </row>
    <row r="14" spans="1:14">
      <c r="A14" s="5">
        <v>1997</v>
      </c>
      <c r="B14" s="2">
        <v>53.59826923076924</v>
      </c>
      <c r="C14" s="2">
        <v>71.150480000000002</v>
      </c>
      <c r="D14" s="2">
        <v>68.020515151515141</v>
      </c>
      <c r="E14" s="2">
        <v>75.505166666666668</v>
      </c>
      <c r="F14" s="2">
        <v>78.19</v>
      </c>
      <c r="G14" s="2">
        <v>65.014676056338047</v>
      </c>
    </row>
    <row r="15" spans="1:14">
      <c r="A15" s="5">
        <v>2002</v>
      </c>
      <c r="B15" s="2">
        <v>53.325230769230764</v>
      </c>
      <c r="C15" s="2">
        <v>72.422039999999996</v>
      </c>
      <c r="D15" s="2">
        <v>69.233878787878766</v>
      </c>
      <c r="E15" s="2">
        <v>76.70059999999998</v>
      </c>
      <c r="F15" s="2">
        <v>79.740000000000009</v>
      </c>
      <c r="G15" s="2">
        <v>65.694922535211262</v>
      </c>
    </row>
    <row r="16" spans="1:14">
      <c r="A16" s="5">
        <v>2007</v>
      </c>
      <c r="B16" s="2">
        <v>54.806038461538478</v>
      </c>
      <c r="C16" s="2">
        <v>73.608119999999971</v>
      </c>
      <c r="D16" s="2">
        <v>70.728484848484854</v>
      </c>
      <c r="E16" s="2">
        <v>77.648600000000016</v>
      </c>
      <c r="F16" s="2">
        <v>80.719499999999996</v>
      </c>
      <c r="G16" s="2">
        <v>67.007422535211262</v>
      </c>
    </row>
    <row r="17" spans="1:14">
      <c r="A17" s="2" t="s">
        <v>7059</v>
      </c>
      <c r="B17" s="2">
        <v>48.865330128205109</v>
      </c>
      <c r="C17" s="2">
        <v>64.658736666666627</v>
      </c>
      <c r="D17" s="2">
        <v>60.064903232323189</v>
      </c>
      <c r="E17" s="2">
        <v>71.903686111111028</v>
      </c>
      <c r="F17" s="2">
        <v>74.326208333333312</v>
      </c>
      <c r="G17" s="2">
        <v>59.474439366197174</v>
      </c>
    </row>
    <row r="19" spans="1:14">
      <c r="A19" s="8" t="s">
        <v>4</v>
      </c>
      <c r="B19" s="6" t="s">
        <v>23</v>
      </c>
    </row>
    <row r="20" spans="1:14">
      <c r="A20" s="8" t="s">
        <v>3</v>
      </c>
      <c r="B20" s="10">
        <v>2007</v>
      </c>
      <c r="C20" s="6"/>
      <c r="D20" s="6"/>
      <c r="E20" s="6"/>
      <c r="F20" s="6"/>
      <c r="G20" s="6"/>
      <c r="H20" s="6"/>
      <c r="I20" s="6"/>
      <c r="J20" s="6"/>
      <c r="K20" s="6"/>
      <c r="L20" s="6"/>
      <c r="M20" s="6"/>
      <c r="N20" s="6"/>
    </row>
    <row r="21" spans="1:14">
      <c r="A21" s="6"/>
      <c r="B21" s="6"/>
      <c r="C21" s="6"/>
      <c r="D21" s="6"/>
      <c r="E21" s="6"/>
      <c r="F21" s="6"/>
      <c r="G21" s="6"/>
      <c r="H21" s="6"/>
      <c r="I21" s="6"/>
      <c r="J21" s="6"/>
      <c r="K21" s="6"/>
      <c r="L21" s="6"/>
      <c r="M21" s="6"/>
      <c r="N21" s="6"/>
    </row>
    <row r="22" spans="1:14">
      <c r="A22" s="8" t="s">
        <v>2</v>
      </c>
      <c r="B22" s="6" t="s">
        <v>7060</v>
      </c>
    </row>
    <row r="23" spans="1:14">
      <c r="A23" s="6" t="s">
        <v>130</v>
      </c>
      <c r="B23" s="6">
        <v>929539692</v>
      </c>
    </row>
    <row r="24" spans="1:14">
      <c r="A24" s="6" t="s">
        <v>229</v>
      </c>
      <c r="B24" s="6">
        <v>898871184</v>
      </c>
    </row>
    <row r="25" spans="1:14">
      <c r="A25" s="6" t="s">
        <v>14</v>
      </c>
      <c r="B25" s="6">
        <v>3811953827</v>
      </c>
    </row>
    <row r="26" spans="1:14">
      <c r="A26" s="6" t="s">
        <v>80</v>
      </c>
      <c r="B26" s="6">
        <v>586098529</v>
      </c>
    </row>
    <row r="27" spans="1:14">
      <c r="A27" s="6" t="s">
        <v>279</v>
      </c>
      <c r="B27" s="6">
        <v>24549947</v>
      </c>
    </row>
    <row r="28" spans="1:14">
      <c r="A28" s="6" t="s">
        <v>7059</v>
      </c>
      <c r="B28" s="6">
        <v>6251013179</v>
      </c>
    </row>
    <row r="32" spans="1:14">
      <c r="A32" s="7" t="s">
        <v>4</v>
      </c>
      <c r="B32" s="3" t="s">
        <v>29</v>
      </c>
      <c r="C32" s="3"/>
      <c r="D32" s="3"/>
      <c r="E32" s="3"/>
      <c r="F32" s="3"/>
      <c r="G32" s="3"/>
      <c r="H32" s="3"/>
      <c r="I32" s="3"/>
      <c r="J32" s="3"/>
      <c r="K32" s="3"/>
      <c r="L32" s="3"/>
      <c r="M32" s="3"/>
      <c r="N32" s="3"/>
    </row>
    <row r="33" spans="1:14">
      <c r="A33" s="3"/>
      <c r="B33" s="3"/>
      <c r="C33" s="3"/>
      <c r="D33" s="3"/>
      <c r="E33" s="3"/>
      <c r="F33" s="3"/>
      <c r="G33" s="3"/>
      <c r="H33" s="3"/>
      <c r="I33" s="3"/>
      <c r="J33" s="3"/>
      <c r="K33" s="3"/>
      <c r="L33" s="3"/>
      <c r="M33" s="3"/>
      <c r="N33" s="3"/>
    </row>
    <row r="34" spans="1:14">
      <c r="A34" s="7" t="s">
        <v>7058</v>
      </c>
      <c r="B34" s="7" t="s">
        <v>2</v>
      </c>
      <c r="C34" s="3"/>
      <c r="D34" s="3"/>
      <c r="E34" s="3"/>
      <c r="F34" s="3"/>
      <c r="G34" s="3"/>
    </row>
    <row r="35" spans="1:14">
      <c r="A35" s="7" t="s">
        <v>3</v>
      </c>
      <c r="B35" s="3" t="s">
        <v>130</v>
      </c>
      <c r="C35" s="3" t="s">
        <v>229</v>
      </c>
      <c r="D35" s="3" t="s">
        <v>14</v>
      </c>
      <c r="E35" s="3" t="s">
        <v>80</v>
      </c>
      <c r="F35" s="3" t="s">
        <v>279</v>
      </c>
      <c r="G35" s="3" t="s">
        <v>7059</v>
      </c>
    </row>
    <row r="36" spans="1:14">
      <c r="A36" s="5">
        <v>1952</v>
      </c>
      <c r="B36" s="3">
        <v>1252.5724658211539</v>
      </c>
      <c r="C36" s="3">
        <v>4079.0625521999991</v>
      </c>
      <c r="D36" s="3">
        <v>5195.4840040393938</v>
      </c>
      <c r="E36" s="3">
        <v>5661.0574347599986</v>
      </c>
      <c r="F36" s="3">
        <v>10298.085650000001</v>
      </c>
      <c r="G36" s="3">
        <v>3725.27604580141</v>
      </c>
    </row>
    <row r="37" spans="1:14">
      <c r="A37" s="5">
        <v>1957</v>
      </c>
      <c r="B37" s="3">
        <v>1385.2360622557685</v>
      </c>
      <c r="C37" s="3">
        <v>4616.0437331599987</v>
      </c>
      <c r="D37" s="3">
        <v>5787.7329399424225</v>
      </c>
      <c r="E37" s="3">
        <v>6963.0128159333344</v>
      </c>
      <c r="F37" s="3">
        <v>11598.522455</v>
      </c>
      <c r="G37" s="3">
        <v>4299.4083448760566</v>
      </c>
    </row>
    <row r="38" spans="1:14">
      <c r="A38" s="5">
        <v>1962</v>
      </c>
      <c r="B38" s="3">
        <v>1598.0788248461531</v>
      </c>
      <c r="C38" s="3">
        <v>4901.5418704000003</v>
      </c>
      <c r="D38" s="3">
        <v>5729.3696247757571</v>
      </c>
      <c r="E38" s="3">
        <v>8365.4868143000003</v>
      </c>
      <c r="F38" s="3">
        <v>12696.452430000001</v>
      </c>
      <c r="G38" s="3">
        <v>4725.8123419619706</v>
      </c>
    </row>
    <row r="39" spans="1:14">
      <c r="A39" s="5">
        <v>1967</v>
      </c>
      <c r="B39" s="3">
        <v>2050.3638008576927</v>
      </c>
      <c r="C39" s="3">
        <v>5668.2534960399998</v>
      </c>
      <c r="D39" s="3">
        <v>5971.1733736060614</v>
      </c>
      <c r="E39" s="3">
        <v>10143.823756533331</v>
      </c>
      <c r="F39" s="3">
        <v>14495.021789999999</v>
      </c>
      <c r="G39" s="3">
        <v>5483.6530468352103</v>
      </c>
    </row>
    <row r="40" spans="1:14">
      <c r="A40" s="5">
        <v>1972</v>
      </c>
      <c r="B40" s="3">
        <v>2339.6156741980767</v>
      </c>
      <c r="C40" s="3">
        <v>6491.3341390399992</v>
      </c>
      <c r="D40" s="3">
        <v>8187.4686994484846</v>
      </c>
      <c r="E40" s="3">
        <v>12479.575246466666</v>
      </c>
      <c r="F40" s="3">
        <v>16417.33338</v>
      </c>
      <c r="G40" s="3">
        <v>6770.0828152823951</v>
      </c>
    </row>
    <row r="41" spans="1:14">
      <c r="A41" s="5">
        <v>1977</v>
      </c>
      <c r="B41" s="3">
        <v>2585.9385084634609</v>
      </c>
      <c r="C41" s="3">
        <v>7352.0071262799984</v>
      </c>
      <c r="D41" s="3">
        <v>7791.3140199303034</v>
      </c>
      <c r="E41" s="3">
        <v>14283.979109599995</v>
      </c>
      <c r="F41" s="3">
        <v>17283.957605</v>
      </c>
      <c r="G41" s="3">
        <v>7313.166420794365</v>
      </c>
    </row>
    <row r="42" spans="1:14">
      <c r="A42" s="5">
        <v>1982</v>
      </c>
      <c r="B42" s="3">
        <v>2481.5929597538461</v>
      </c>
      <c r="C42" s="3">
        <v>7506.7370880799999</v>
      </c>
      <c r="D42" s="3">
        <v>7434.1351574848477</v>
      </c>
      <c r="E42" s="3">
        <v>15617.896551233333</v>
      </c>
      <c r="F42" s="3">
        <v>18554.70984</v>
      </c>
      <c r="G42" s="3">
        <v>7518.9016726985901</v>
      </c>
    </row>
    <row r="43" spans="1:14">
      <c r="A43" s="5">
        <v>1987</v>
      </c>
      <c r="B43" s="3">
        <v>2282.6689912596153</v>
      </c>
      <c r="C43" s="3">
        <v>7793.4002611200003</v>
      </c>
      <c r="D43" s="3">
        <v>7608.2265077303045</v>
      </c>
      <c r="E43" s="3">
        <v>17214.310726633335</v>
      </c>
      <c r="F43" s="3">
        <v>20448.040159999997</v>
      </c>
      <c r="G43" s="3">
        <v>7900.9202179408458</v>
      </c>
    </row>
    <row r="44" spans="1:14">
      <c r="A44" s="5">
        <v>1992</v>
      </c>
      <c r="B44" s="3">
        <v>2281.8103332442306</v>
      </c>
      <c r="C44" s="3">
        <v>8044.9344055199981</v>
      </c>
      <c r="D44" s="3">
        <v>8639.6902477303047</v>
      </c>
      <c r="E44" s="3">
        <v>17061.568084200007</v>
      </c>
      <c r="F44" s="3">
        <v>20894.045885</v>
      </c>
      <c r="G44" s="3">
        <v>8158.6085206887301</v>
      </c>
    </row>
    <row r="45" spans="1:14">
      <c r="A45" s="5">
        <v>1997</v>
      </c>
      <c r="B45" s="3">
        <v>2378.7595551019226</v>
      </c>
      <c r="C45" s="3">
        <v>8889.3008625600014</v>
      </c>
      <c r="D45" s="3">
        <v>9834.0932952484873</v>
      </c>
      <c r="E45" s="3">
        <v>19076.781801600002</v>
      </c>
      <c r="F45" s="3">
        <v>24024.175170000002</v>
      </c>
      <c r="G45" s="3">
        <v>9090.1753631021147</v>
      </c>
    </row>
    <row r="46" spans="1:14">
      <c r="A46" s="5">
        <v>2002</v>
      </c>
      <c r="B46" s="3">
        <v>2599.3851588903849</v>
      </c>
      <c r="C46" s="3">
        <v>9287.677107319998</v>
      </c>
      <c r="D46" s="3">
        <v>10174.090396578786</v>
      </c>
      <c r="E46" s="3">
        <v>21711.732422433328</v>
      </c>
      <c r="F46" s="3">
        <v>26938.778040000001</v>
      </c>
      <c r="G46" s="3">
        <v>9917.8483646859167</v>
      </c>
    </row>
    <row r="47" spans="1:14">
      <c r="A47" s="5">
        <v>2007</v>
      </c>
      <c r="B47" s="3">
        <v>3089.0326047365384</v>
      </c>
      <c r="C47" s="3">
        <v>11003.031625359999</v>
      </c>
      <c r="D47" s="3">
        <v>12473.026870133332</v>
      </c>
      <c r="E47" s="3">
        <v>25054.481635933334</v>
      </c>
      <c r="F47" s="3">
        <v>29810.188274999949</v>
      </c>
      <c r="G47" s="3">
        <v>11680.071819878172</v>
      </c>
    </row>
    <row r="48" spans="1:14">
      <c r="A48" s="3" t="s">
        <v>7059</v>
      </c>
      <c r="B48" s="3">
        <v>2193.7545782857355</v>
      </c>
      <c r="C48" s="3">
        <v>7136.1103555899981</v>
      </c>
      <c r="D48" s="3">
        <v>7902.1504280540366</v>
      </c>
      <c r="E48" s="3">
        <v>14469.475533302226</v>
      </c>
      <c r="F48" s="3">
        <v>18621.609223333329</v>
      </c>
      <c r="G48" s="3">
        <v>7215.3270812121473</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C9C7F-6AF7-4FE1-B6E8-DF7494B01266}">
  <dimension ref="A1"/>
  <sheetViews>
    <sheetView workbookViewId="0">
      <selection activeCell="Q21" sqref="Q21"/>
    </sheetView>
  </sheetViews>
  <sheetFormatPr defaultRowHeight="1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94863-5CF6-469E-AA93-42FD9AB27817}">
  <dimension ref="B2:AA56"/>
  <sheetViews>
    <sheetView showGridLines="0" workbookViewId="0">
      <selection activeCell="AI30" sqref="AI30"/>
    </sheetView>
  </sheetViews>
  <sheetFormatPr defaultRowHeight="15"/>
  <sheetData>
    <row r="2" spans="2:19" ht="15" customHeight="1">
      <c r="C2" s="13" t="s">
        <v>7061</v>
      </c>
      <c r="D2" s="13"/>
      <c r="E2" s="13"/>
      <c r="F2" s="13"/>
      <c r="G2" s="13"/>
      <c r="H2" s="13"/>
      <c r="I2" s="13"/>
      <c r="J2" s="13"/>
      <c r="K2" s="13"/>
      <c r="L2" s="13"/>
      <c r="M2" s="13"/>
      <c r="N2" s="13"/>
      <c r="O2" s="13"/>
      <c r="P2" s="13"/>
      <c r="Q2" s="13"/>
    </row>
    <row r="3" spans="2:19" ht="15" customHeight="1">
      <c r="C3" s="13"/>
      <c r="D3" s="13"/>
      <c r="E3" s="13"/>
      <c r="F3" s="13"/>
      <c r="G3" s="13"/>
      <c r="H3" s="13"/>
      <c r="I3" s="13"/>
      <c r="J3" s="13"/>
      <c r="K3" s="13"/>
      <c r="L3" s="13"/>
      <c r="M3" s="13"/>
      <c r="N3" s="13"/>
      <c r="O3" s="13"/>
      <c r="P3" s="13"/>
      <c r="Q3" s="13"/>
    </row>
    <row r="4" spans="2:19" ht="15" customHeight="1">
      <c r="C4" s="12"/>
      <c r="D4" s="12"/>
      <c r="E4" s="12"/>
      <c r="F4" s="12"/>
      <c r="G4" s="12"/>
      <c r="H4" s="12"/>
      <c r="I4" s="12"/>
      <c r="J4" s="12"/>
      <c r="K4" s="12"/>
      <c r="L4" s="12"/>
      <c r="M4" s="12"/>
      <c r="N4" s="12"/>
      <c r="O4" s="12"/>
      <c r="P4" s="12"/>
      <c r="Q4" s="12"/>
    </row>
    <row r="5" spans="2:19" ht="15" customHeight="1"/>
    <row r="7" spans="2:19">
      <c r="B7" s="19" t="s">
        <v>7062</v>
      </c>
      <c r="C7" s="19"/>
      <c r="D7" s="19"/>
      <c r="E7" s="19"/>
      <c r="F7" s="15"/>
      <c r="G7" s="19" t="s">
        <v>7063</v>
      </c>
      <c r="H7" s="19"/>
      <c r="I7" s="19"/>
      <c r="K7" s="19" t="s">
        <v>7064</v>
      </c>
      <c r="L7" s="19"/>
      <c r="M7" s="19"/>
      <c r="N7" s="19"/>
      <c r="O7" s="15"/>
      <c r="P7" s="19" t="s">
        <v>7065</v>
      </c>
      <c r="Q7" s="19"/>
      <c r="R7" s="19"/>
      <c r="S7" s="19"/>
    </row>
    <row r="8" spans="2:19">
      <c r="B8" s="19"/>
      <c r="C8" s="19"/>
      <c r="D8" s="19"/>
      <c r="E8" s="19"/>
      <c r="F8" s="15"/>
      <c r="G8" s="19"/>
      <c r="H8" s="19"/>
      <c r="I8" s="19"/>
      <c r="K8" s="19"/>
      <c r="L8" s="19"/>
      <c r="M8" s="19"/>
      <c r="N8" s="19"/>
      <c r="O8" s="15"/>
      <c r="P8" s="19"/>
      <c r="Q8" s="19"/>
      <c r="R8" s="19"/>
      <c r="S8" s="19"/>
    </row>
    <row r="9" spans="2:19">
      <c r="B9" s="19"/>
      <c r="C9" s="19"/>
      <c r="D9" s="19"/>
      <c r="E9" s="19"/>
      <c r="F9" s="15"/>
      <c r="G9" s="19"/>
      <c r="H9" s="19"/>
      <c r="I9" s="19"/>
      <c r="K9" s="19"/>
      <c r="L9" s="19"/>
      <c r="M9" s="19"/>
      <c r="N9" s="19"/>
      <c r="O9" s="15"/>
      <c r="P9" s="19"/>
      <c r="Q9" s="19"/>
      <c r="R9" s="19"/>
      <c r="S9" s="19"/>
    </row>
    <row r="10" spans="2:19">
      <c r="B10" s="20"/>
      <c r="C10" s="20"/>
      <c r="D10" s="20"/>
      <c r="E10" s="20"/>
      <c r="F10" s="15"/>
      <c r="G10" s="20"/>
      <c r="H10" s="20"/>
      <c r="I10" s="20"/>
      <c r="K10" s="19"/>
      <c r="L10" s="19"/>
      <c r="M10" s="19"/>
      <c r="N10" s="19"/>
      <c r="O10" s="15"/>
      <c r="P10" s="19"/>
      <c r="Q10" s="19"/>
      <c r="R10" s="19"/>
      <c r="S10" s="19"/>
    </row>
    <row r="11" spans="2:19" ht="15" customHeight="1">
      <c r="B11" s="22" t="s">
        <v>7066</v>
      </c>
      <c r="C11" s="22"/>
      <c r="D11" s="22"/>
      <c r="E11" s="22"/>
      <c r="F11" s="15"/>
      <c r="G11" s="22" t="s">
        <v>7067</v>
      </c>
      <c r="H11" s="22"/>
      <c r="I11" s="22"/>
      <c r="K11" s="21" t="s">
        <v>7068</v>
      </c>
      <c r="L11" s="21"/>
      <c r="M11" s="21"/>
      <c r="N11" s="21"/>
      <c r="O11" s="17"/>
      <c r="P11" s="21" t="s">
        <v>7069</v>
      </c>
      <c r="Q11" s="21"/>
      <c r="R11" s="21"/>
      <c r="S11" s="21"/>
    </row>
    <row r="12" spans="2:19" ht="15" customHeight="1">
      <c r="B12" s="22"/>
      <c r="C12" s="22"/>
      <c r="D12" s="22"/>
      <c r="E12" s="22"/>
      <c r="F12" s="15"/>
      <c r="G12" s="22"/>
      <c r="H12" s="22"/>
      <c r="I12" s="22"/>
      <c r="K12" s="22"/>
      <c r="L12" s="22"/>
      <c r="M12" s="22"/>
      <c r="N12" s="22"/>
      <c r="O12" s="17"/>
      <c r="P12" s="22"/>
      <c r="Q12" s="22"/>
      <c r="R12" s="22"/>
      <c r="S12" s="22"/>
    </row>
    <row r="25" spans="27:27">
      <c r="AA25" s="14"/>
    </row>
    <row r="35" spans="12:19">
      <c r="L35" s="23" t="s">
        <v>7070</v>
      </c>
      <c r="M35" s="23"/>
      <c r="N35" s="23"/>
      <c r="O35" s="23"/>
      <c r="P35" s="23"/>
      <c r="Q35" s="23"/>
      <c r="R35" s="23"/>
      <c r="S35" s="23"/>
    </row>
    <row r="36" spans="12:19">
      <c r="L36" s="23"/>
      <c r="M36" s="23"/>
      <c r="N36" s="23"/>
      <c r="O36" s="23"/>
      <c r="P36" s="23"/>
      <c r="Q36" s="23"/>
      <c r="R36" s="23"/>
      <c r="S36" s="23"/>
    </row>
    <row r="37" spans="12:19">
      <c r="L37" s="18" t="s">
        <v>7071</v>
      </c>
      <c r="M37" s="19"/>
      <c r="N37" s="19"/>
      <c r="Q37" s="18" t="s">
        <v>7072</v>
      </c>
      <c r="R37" s="19"/>
      <c r="S37" s="19"/>
    </row>
    <row r="38" spans="12:19">
      <c r="L38" s="19"/>
      <c r="M38" s="19"/>
      <c r="N38" s="19"/>
      <c r="Q38" s="19"/>
      <c r="R38" s="19"/>
      <c r="S38" s="19"/>
    </row>
    <row r="39" spans="12:19">
      <c r="L39" s="19"/>
      <c r="M39" s="19"/>
      <c r="N39" s="19"/>
      <c r="Q39" s="19"/>
      <c r="R39" s="19"/>
      <c r="S39" s="19"/>
    </row>
    <row r="40" spans="12:19">
      <c r="L40" s="19"/>
      <c r="M40" s="19"/>
      <c r="N40" s="19"/>
      <c r="Q40" s="19"/>
      <c r="R40" s="19"/>
      <c r="S40" s="19"/>
    </row>
    <row r="41" spans="12:19">
      <c r="L41" s="19"/>
      <c r="M41" s="19"/>
      <c r="N41" s="19"/>
      <c r="Q41" s="19"/>
      <c r="R41" s="19"/>
      <c r="S41" s="19"/>
    </row>
    <row r="42" spans="12:19">
      <c r="L42" s="19"/>
      <c r="M42" s="19"/>
      <c r="N42" s="19"/>
      <c r="Q42" s="19"/>
      <c r="R42" s="19"/>
      <c r="S42" s="19"/>
    </row>
    <row r="43" spans="12:19">
      <c r="L43" s="19"/>
      <c r="M43" s="19"/>
      <c r="N43" s="19"/>
      <c r="Q43" s="19"/>
      <c r="R43" s="19"/>
      <c r="S43" s="19"/>
    </row>
    <row r="45" spans="12:19">
      <c r="L45" s="18" t="s">
        <v>7073</v>
      </c>
      <c r="M45" s="19"/>
      <c r="N45" s="19"/>
      <c r="Q45" s="18" t="s">
        <v>7074</v>
      </c>
      <c r="R45" s="19"/>
      <c r="S45" s="19"/>
    </row>
    <row r="46" spans="12:19">
      <c r="L46" s="19"/>
      <c r="M46" s="19"/>
      <c r="N46" s="19"/>
      <c r="Q46" s="19"/>
      <c r="R46" s="19"/>
      <c r="S46" s="19"/>
    </row>
    <row r="47" spans="12:19">
      <c r="L47" s="19"/>
      <c r="M47" s="19"/>
      <c r="N47" s="19"/>
      <c r="Q47" s="19"/>
      <c r="R47" s="19"/>
      <c r="S47" s="19"/>
    </row>
    <row r="48" spans="12:19">
      <c r="L48" s="19"/>
      <c r="M48" s="19"/>
      <c r="N48" s="19"/>
      <c r="Q48" s="19"/>
      <c r="R48" s="19"/>
      <c r="S48" s="19"/>
    </row>
    <row r="49" spans="3:19">
      <c r="L49" s="19"/>
      <c r="M49" s="19"/>
      <c r="N49" s="19"/>
      <c r="Q49" s="19"/>
      <c r="R49" s="19"/>
      <c r="S49" s="19"/>
    </row>
    <row r="50" spans="3:19">
      <c r="L50" s="19"/>
      <c r="M50" s="19"/>
      <c r="N50" s="19"/>
      <c r="Q50" s="19"/>
      <c r="R50" s="19"/>
      <c r="S50" s="19"/>
    </row>
    <row r="51" spans="3:19">
      <c r="L51" s="19"/>
      <c r="M51" s="19"/>
      <c r="N51" s="19"/>
      <c r="Q51" s="19"/>
      <c r="R51" s="19"/>
      <c r="S51" s="19"/>
    </row>
    <row r="55" spans="3:19" ht="18.75">
      <c r="C55" s="24" t="s">
        <v>7075</v>
      </c>
      <c r="D55" s="25"/>
      <c r="E55" s="25"/>
      <c r="F55" s="25"/>
      <c r="G55" s="25"/>
      <c r="H55" s="25"/>
      <c r="I55" s="25"/>
      <c r="J55" s="25"/>
      <c r="K55" s="25"/>
      <c r="L55" s="25"/>
      <c r="M55" s="25"/>
      <c r="N55" s="25"/>
      <c r="O55" s="25"/>
      <c r="P55" s="25"/>
      <c r="Q55" s="25"/>
      <c r="R55" s="25"/>
    </row>
    <row r="56" spans="3:19" ht="15.75">
      <c r="D56" s="16"/>
      <c r="E56" s="15"/>
      <c r="F56" s="15"/>
      <c r="G56" s="15"/>
      <c r="H56" s="15"/>
      <c r="I56" s="15"/>
      <c r="J56" s="15"/>
      <c r="K56" s="15"/>
      <c r="L56" s="15"/>
      <c r="M56" s="15"/>
      <c r="N56" s="15"/>
      <c r="O56" s="15"/>
      <c r="P56" s="15"/>
      <c r="Q56" s="15"/>
    </row>
  </sheetData>
  <mergeCells count="16">
    <mergeCell ref="C55:R55"/>
    <mergeCell ref="L35:S36"/>
    <mergeCell ref="L45:N51"/>
    <mergeCell ref="L37:N43"/>
    <mergeCell ref="Q37:S43"/>
    <mergeCell ref="Q45:S51"/>
    <mergeCell ref="G11:I12"/>
    <mergeCell ref="B7:E10"/>
    <mergeCell ref="B11:E12"/>
    <mergeCell ref="P7:S10"/>
    <mergeCell ref="P11:S12"/>
    <mergeCell ref="K11:N12"/>
    <mergeCell ref="C2:Q3"/>
    <mergeCell ref="C4:Q4"/>
    <mergeCell ref="G7:I10"/>
    <mergeCell ref="K7:N10"/>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5F5C2-02AF-4C63-B24F-BD267BAA1D51}">
  <dimension ref="A1:A21"/>
  <sheetViews>
    <sheetView showGridLines="0" workbookViewId="0">
      <selection activeCell="F13" sqref="F13"/>
    </sheetView>
  </sheetViews>
  <sheetFormatPr defaultRowHeight="15"/>
  <cols>
    <col min="1" max="1" width="84.85546875" customWidth="1"/>
  </cols>
  <sheetData>
    <row r="1" spans="1:1" ht="23.25">
      <c r="A1" s="27" t="s">
        <v>7076</v>
      </c>
    </row>
    <row r="3" spans="1:1" ht="21">
      <c r="A3" s="28" t="s">
        <v>7077</v>
      </c>
    </row>
    <row r="4" spans="1:1" ht="45.75">
      <c r="A4" s="33" t="s">
        <v>7078</v>
      </c>
    </row>
    <row r="6" spans="1:1" ht="21">
      <c r="A6" s="32"/>
    </row>
    <row r="7" spans="1:1" ht="21">
      <c r="A7" s="28" t="s">
        <v>7079</v>
      </c>
    </row>
    <row r="8" spans="1:1" ht="15.75">
      <c r="A8" s="30" t="s">
        <v>7080</v>
      </c>
    </row>
    <row r="9" spans="1:1" ht="45.75">
      <c r="A9" s="33" t="s">
        <v>7081</v>
      </c>
    </row>
    <row r="11" spans="1:1" ht="15.75">
      <c r="A11" s="31" t="s">
        <v>7082</v>
      </c>
    </row>
    <row r="12" spans="1:1" ht="30.75">
      <c r="A12" s="33" t="s">
        <v>7083</v>
      </c>
    </row>
    <row r="14" spans="1:1" ht="15.75">
      <c r="A14" s="31" t="s">
        <v>7084</v>
      </c>
    </row>
    <row r="15" spans="1:1" ht="30.75">
      <c r="A15" s="33" t="s">
        <v>7085</v>
      </c>
    </row>
    <row r="17" spans="1:1" ht="15.75">
      <c r="A17" s="31" t="s">
        <v>7086</v>
      </c>
    </row>
    <row r="18" spans="1:1" ht="45.75">
      <c r="A18" s="33" t="s">
        <v>7087</v>
      </c>
    </row>
    <row r="20" spans="1:1" ht="21">
      <c r="A20" s="28" t="s">
        <v>7088</v>
      </c>
    </row>
    <row r="21" spans="1:1" ht="60.75">
      <c r="A21" s="34" t="s">
        <v>7089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Hamza Khalil Ahmed (Student)</cp:lastModifiedBy>
  <cp:revision/>
  <dcterms:created xsi:type="dcterms:W3CDTF">2026-09-21T18:28:36Z</dcterms:created>
  <dcterms:modified xsi:type="dcterms:W3CDTF">2026-09-22T13:15:49Z</dcterms:modified>
  <cp:category/>
  <cp:contentStatus/>
</cp:coreProperties>
</file>